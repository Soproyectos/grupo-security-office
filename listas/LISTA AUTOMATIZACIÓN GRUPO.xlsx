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efe Compras\OneDrive\Documents\Desktop\LISTAS DE PRECIOS\listados grupo nuevo con formulas\LISTA PROVISIONAL DAÑO PLATAFORMA\LISTAS EMPRESA GRUPO\"/>
    </mc:Choice>
  </mc:AlternateContent>
  <xr:revisionPtr revIDLastSave="0" documentId="13_ncr:1_{A0B6448B-5257-49E3-AA5D-EBE78AFF348B}" xr6:coauthVersionLast="47" xr6:coauthVersionMax="47" xr10:uidLastSave="{00000000-0000-0000-0000-000000000000}"/>
  <bookViews>
    <workbookView xWindow="-120" yWindow="-120" windowWidth="24240" windowHeight="13140" activeTab="1" xr2:uid="{F2E513AD-DE0A-452C-93E3-0576BC0F616E}"/>
  </bookViews>
  <sheets>
    <sheet name="CERCOS ELECTRICOS" sheetId="1" r:id="rId1"/>
    <sheet name="PUERTAS AUTOMATICAS"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v" localSheetId="1" hidden="1">{"'ADV&amp;DP'!$A$4:$C$25"}</definedName>
    <definedName name="\v" hidden="1">{"'ADV&amp;DP'!$A$4:$C$25"}</definedName>
    <definedName name="_??" localSheetId="1" hidden="1">{"'?????10.27??????'!$Q$16"}</definedName>
    <definedName name="_??" hidden="1">{"'?????10.27??????'!$Q$16"}</definedName>
    <definedName name="_????" localSheetId="1" hidden="1">{"'?????10.27??????'!$Q$16"}</definedName>
    <definedName name="_????" hidden="1">{"'?????10.27??????'!$Q$16"}</definedName>
    <definedName name="_?????" localSheetId="1" hidden="1">{"DCF-???",#N/A,TRUE,"???";"DCF-??",#N/A,TRUE,"??";"DCF-??",#N/A,TRUE,"??";"DCF-??",#N/A,TRUE,"??";"DCF-??",#N/A,TRUE,"??";"DCF-??",#N/A,TRUE,"??";"DCF-??",#N/A,TRUE,"??";"DCF-??",#N/A,TRUE,"??";"DCF-??",#N/A,TRUE,"??"}</definedName>
    <definedName name="_?????" hidden="1">{"DCF-???",#N/A,TRUE,"???";"DCF-??",#N/A,TRUE,"??";"DCF-??",#N/A,TRUE,"??";"DCF-??",#N/A,TRUE,"??";"DCF-??",#N/A,TRUE,"??";"DCF-??",#N/A,TRUE,"??";"DCF-??",#N/A,TRUE,"??";"DCF-??",#N/A,TRUE,"??";"DCF-??",#N/A,TRUE,"??"}</definedName>
    <definedName name="_??????" localSheetId="1" hidden="1">{"'?????10.27??????'!$Q$16"}</definedName>
    <definedName name="_??????" hidden="1">{"'?????10.27??????'!$Q$16"}</definedName>
    <definedName name="_??06" localSheetId="1" hidden="1">{"'?????10.27??????'!$Q$16"}</definedName>
    <definedName name="_??06" hidden="1">{"'?????10.27??????'!$Q$16"}</definedName>
    <definedName name="_?16??" localSheetId="1" hidden="1">{"'????'!$A$1:$C$37"}</definedName>
    <definedName name="_?16??" hidden="1">{"'????'!$A$1:$C$37"}</definedName>
    <definedName name="________o1" localSheetId="1" hidden="1">{#N/A,#N/A,FALSE,"SUMMARY";#N/A,#N/A,FALSE,"mcsh";#N/A,#N/A,FALSE,"vol&amp;rev";#N/A,#N/A,FALSE,"wkgcap";#N/A,#N/A,FALSE,"DEPR&amp;DT";#N/A,#N/A,FALSE,"ASSETS";#N/A,#N/A,FALSE,"NI&amp;OTH&amp;DIV";#N/A,#N/A,FALSE,"CASHFLOW";#N/A,#N/A,FALSE,"CAPEMPL";#N/A,#N/A,FALSE,"ROCE"}</definedName>
    <definedName name="________o1" hidden="1">{#N/A,#N/A,FALSE,"SUMMARY";#N/A,#N/A,FALSE,"mcsh";#N/A,#N/A,FALSE,"vol&amp;rev";#N/A,#N/A,FALSE,"wkgcap";#N/A,#N/A,FALSE,"DEPR&amp;DT";#N/A,#N/A,FALSE,"ASSETS";#N/A,#N/A,FALSE,"NI&amp;OTH&amp;DIV";#N/A,#N/A,FALSE,"CASHFLOW";#N/A,#N/A,FALSE,"CAPEMPL";#N/A,#N/A,FALSE,"ROCE"}</definedName>
    <definedName name="_______DF4" localSheetId="1" hidden="1">#REF!</definedName>
    <definedName name="_______DF4" hidden="1">#REF!</definedName>
    <definedName name="______DF4" localSheetId="1" hidden="1">#REF!</definedName>
    <definedName name="______DF4" hidden="1">#REF!</definedName>
    <definedName name="______o1" localSheetId="1" hidden="1">{#N/A,#N/A,FALSE,"SUMMARY";#N/A,#N/A,FALSE,"mcsh";#N/A,#N/A,FALSE,"vol&amp;rev";#N/A,#N/A,FALSE,"wkgcap";#N/A,#N/A,FALSE,"DEPR&amp;DT";#N/A,#N/A,FALSE,"ASSETS";#N/A,#N/A,FALSE,"NI&amp;OTH&amp;DIV";#N/A,#N/A,FALSE,"CASHFLOW";#N/A,#N/A,FALSE,"CAPEMPL";#N/A,#N/A,FALSE,"ROCE"}</definedName>
    <definedName name="______o1" hidden="1">{#N/A,#N/A,FALSE,"SUMMARY";#N/A,#N/A,FALSE,"mcsh";#N/A,#N/A,FALSE,"vol&amp;rev";#N/A,#N/A,FALSE,"wkgcap";#N/A,#N/A,FALSE,"DEPR&amp;DT";#N/A,#N/A,FALSE,"ASSETS";#N/A,#N/A,FALSE,"NI&amp;OTH&amp;DIV";#N/A,#N/A,FALSE,"CASHFLOW";#N/A,#N/A,FALSE,"CAPEMPL";#N/A,#N/A,FALSE,"ROCE"}</definedName>
    <definedName name="_____DF4" localSheetId="1" hidden="1">#REF!</definedName>
    <definedName name="_____DF4" hidden="1">#REF!</definedName>
    <definedName name="_____o1" localSheetId="1" hidden="1">{#N/A,#N/A,FALSE,"SUMMARY";#N/A,#N/A,FALSE,"mcsh";#N/A,#N/A,FALSE,"vol&amp;rev";#N/A,#N/A,FALSE,"wkgcap";#N/A,#N/A,FALSE,"DEPR&amp;DT";#N/A,#N/A,FALSE,"ASSETS";#N/A,#N/A,FALSE,"NI&amp;OTH&amp;DIV";#N/A,#N/A,FALSE,"CASHFLOW";#N/A,#N/A,FALSE,"CAPEMPL";#N/A,#N/A,FALSE,"ROCE"}</definedName>
    <definedName name="_____o1" hidden="1">{#N/A,#N/A,FALSE,"SUMMARY";#N/A,#N/A,FALSE,"mcsh";#N/A,#N/A,FALSE,"vol&amp;rev";#N/A,#N/A,FALSE,"wkgcap";#N/A,#N/A,FALSE,"DEPR&amp;DT";#N/A,#N/A,FALSE,"ASSETS";#N/A,#N/A,FALSE,"NI&amp;OTH&amp;DIV";#N/A,#N/A,FALSE,"CASHFLOW";#N/A,#N/A,FALSE,"CAPEMPL";#N/A,#N/A,FALSE,"ROCE"}</definedName>
    <definedName name="____DF4" localSheetId="1" hidden="1">#REF!</definedName>
    <definedName name="____DF4" hidden="1">#REF!</definedName>
    <definedName name="____o1" localSheetId="1"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DF4" localSheetId="1" hidden="1">#REF!</definedName>
    <definedName name="___DF4" hidden="1">#REF!</definedName>
    <definedName name="___o1" localSheetId="1"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localSheetId="1" hidden="1">#REF!</definedName>
    <definedName name="__DF4" hidden="1">#REF!</definedName>
    <definedName name="__FDS_HYPERLINK_TOGGLE_STATE__" hidden="1">"ON"</definedName>
    <definedName name="__o1" localSheetId="1"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localSheetId="1" hidden="1">#REF!</definedName>
    <definedName name="_1__123Graph_AIRR_IRR" hidden="1">#REF!</definedName>
    <definedName name="_10___123Graph_XIRR_IRR" localSheetId="1"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localSheetId="1" hidden="1">#REF!</definedName>
    <definedName name="_103__123Graph_Cｸﾞﾗﾌ_1" hidden="1">#REF!</definedName>
    <definedName name="_104__123Graph_Dｸﾞﾗﾌ_1" localSheetId="1" hidden="1">#REF!</definedName>
    <definedName name="_104__123Graph_Dｸﾞﾗﾌ_1" hidden="1">#REF!</definedName>
    <definedName name="_105__123Graph_XIRR_IRR" localSheetId="1" hidden="1">#REF!</definedName>
    <definedName name="_105__123Graph_XIRR_IRR" hidden="1">#REF!</definedName>
    <definedName name="_106__123Graph_XMOF_NB" localSheetId="1" hidden="1">#REF!</definedName>
    <definedName name="_106__123Graph_XMOF_NB" hidden="1">#REF!</definedName>
    <definedName name="_11___123Graph_XMOF_NB" localSheetId="1"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localSheetId="1" hidden="1">#REF!</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localSheetId="1" hidden="1">#REF!</definedName>
    <definedName name="_131__123Graph_Xｸﾞﾗﾌ_1" hidden="1">#REF!</definedName>
    <definedName name="_14__123Graph_A????_1" localSheetId="1" hidden="1">#REF!</definedName>
    <definedName name="_14__123Graph_A????_1" hidden="1">#REF!</definedName>
    <definedName name="_14__123Graph_ACHART_2" localSheetId="1" hidden="1">#REF!</definedName>
    <definedName name="_14__123Graph_ACHART_2" hidden="1">#REF!</definedName>
    <definedName name="_14__123Graph_Aｸﾞﾗﾌ_1" localSheetId="1" hidden="1">#REF!</definedName>
    <definedName name="_14__123Graph_Aｸﾞﾗﾌ_1" hidden="1">#REF!</definedName>
    <definedName name="_14__123Graph_LBL_ACHART_3" hidden="1">'[3]Historical IS'!#REF!</definedName>
    <definedName name="_15__123Graph_ACHART_20" hidden="1">[4]sga!$P$10:$R$10</definedName>
    <definedName name="_15__123Graph_BIRR_IRR" localSheetId="1" hidden="1">#REF!</definedName>
    <definedName name="_15__123Graph_BIRR_IRR" hidden="1">#REF!</definedName>
    <definedName name="_15__123Graph_LBL_ACHART_4" hidden="1">'[3]Historical IS'!#REF!</definedName>
    <definedName name="_16__123Graph_ACHART_3" localSheetId="1" hidden="1">#REF!</definedName>
    <definedName name="_16__123Graph_ACHART_3" hidden="1">#REF!</definedName>
    <definedName name="_16__123Graph_BMOF_NB" localSheetId="1" hidden="1">#REF!</definedName>
    <definedName name="_16__123Graph_BMOF_NB" hidden="1">#REF!</definedName>
    <definedName name="_16__123Graph_LBL_BCHART_3" hidden="1">'[3]Historical IS'!#REF!</definedName>
    <definedName name="_17__123Graph_ACHART_4" localSheetId="1" hidden="1">#REF!</definedName>
    <definedName name="_17__123Graph_ACHART_4" hidden="1">#REF!</definedName>
    <definedName name="_17__123Graph_B????_1" localSheetId="1" hidden="1">#REF!</definedName>
    <definedName name="_17__123Graph_B????_1" hidden="1">#REF!</definedName>
    <definedName name="_17__123Graph_Bｸﾞﾗﾌ_1" localSheetId="1" hidden="1">#REF!</definedName>
    <definedName name="_17__123Graph_Bｸﾞﾗﾌ_1" hidden="1">#REF!</definedName>
    <definedName name="_17__123Graph_LBL_BCHART_4" hidden="1">'[3]Historical IS'!#REF!</definedName>
    <definedName name="_18__123Graph_ACHART_5" localSheetId="1" hidden="1">#REF!</definedName>
    <definedName name="_18__123Graph_ACHART_5" hidden="1">#REF!</definedName>
    <definedName name="_18__123Graph_C????_1" localSheetId="1" hidden="1">#REF!</definedName>
    <definedName name="_18__123Graph_C????_1" hidden="1">#REF!</definedName>
    <definedName name="_18__123Graph_Cｸﾞﾗﾌ_1" localSheetId="1" hidden="1">#REF!</definedName>
    <definedName name="_18__123Graph_Cｸﾞﾗﾌ_1" hidden="1">#REF!</definedName>
    <definedName name="_18__123Graph_LBL_CCHART_3" hidden="1">'[3]Historical IS'!#REF!</definedName>
    <definedName name="_19__123Graph_ACHART_6" localSheetId="1" hidden="1">#REF!</definedName>
    <definedName name="_19__123Graph_ACHART_6" hidden="1">#REF!</definedName>
    <definedName name="_19__123Graph_D????_1" localSheetId="1" hidden="1">#REF!</definedName>
    <definedName name="_19__123Graph_D????_1" hidden="1">#REF!</definedName>
    <definedName name="_19__123Graph_Dｸﾞﾗﾌ_1" localSheetId="1" hidden="1">#REF!</definedName>
    <definedName name="_19__123Graph_Dｸﾞﾗﾌ_1" hidden="1">#REF!</definedName>
    <definedName name="_19__123Graph_XCHART_1" hidden="1">'[3]Historical IS'!#REF!</definedName>
    <definedName name="_2_??" localSheetId="1" hidden="1">{"'?????10.27??????'!$Q$16"}</definedName>
    <definedName name="_2_??" hidden="1">{"'?????10.27??????'!$Q$16"}</definedName>
    <definedName name="_2____123Graph_A????_1" localSheetId="1" hidden="1">#REF!</definedName>
    <definedName name="_2____123Graph_A????_1" hidden="1">#REF!</definedName>
    <definedName name="_2____123Graph_Aｸﾞﾗﾌ_1" localSheetId="1" hidden="1">#REF!</definedName>
    <definedName name="_2____123Graph_Aｸﾞﾗﾌ_1" hidden="1">#REF!</definedName>
    <definedName name="_2__123Graph_ACHART_3" hidden="1">'[3]Historical IS'!#REF!</definedName>
    <definedName name="_20__123Graph_ACHART_7" localSheetId="1" hidden="1">#REF!</definedName>
    <definedName name="_20__123Graph_ACHART_7" hidden="1">#REF!</definedName>
    <definedName name="_20__123Graph_XCHART_3" hidden="1">'[3]Historical IS'!#REF!</definedName>
    <definedName name="_20__123Graph_XIRR_IRR" localSheetId="1" hidden="1">#REF!</definedName>
    <definedName name="_20__123Graph_XIRR_IRR" hidden="1">#REF!</definedName>
    <definedName name="_21__123Graph_ACHART_8" localSheetId="1" hidden="1">#REF!</definedName>
    <definedName name="_21__123Graph_ACHART_8" hidden="1">#REF!</definedName>
    <definedName name="_21__123Graph_XCHART_4" hidden="1">'[3]Historical IS'!#REF!</definedName>
    <definedName name="_21__123Graph_XMOF_NB" localSheetId="1" hidden="1">#REF!</definedName>
    <definedName name="_21__123Graph_XMOF_NB" hidden="1">#REF!</definedName>
    <definedName name="_22__123Graph_ACHART_9" localSheetId="1" hidden="1">#REF!</definedName>
    <definedName name="_22__123Graph_ACHART_9" hidden="1">#REF!</definedName>
    <definedName name="_22__123Graph_X????_1" localSheetId="1" hidden="1">#REF!</definedName>
    <definedName name="_22__123Graph_X????_1" hidden="1">#REF!</definedName>
    <definedName name="_22__123Graph_XCHART_8" hidden="1">'[3]Historical IS'!#REF!</definedName>
    <definedName name="_22__123Graph_Xｸﾞﾗﾌ_1" localSheetId="1" hidden="1">#REF!</definedName>
    <definedName name="_22__123Graph_Xｸﾞﾗﾌ_1" hidden="1">#REF!</definedName>
    <definedName name="_23__123Graph_BCHART_1" localSheetId="1" hidden="1">#REF!</definedName>
    <definedName name="_23__123Graph_BCHART_1" hidden="1">#REF!</definedName>
    <definedName name="_24__123Graph_BCHART_11" localSheetId="1" hidden="1">#REF!</definedName>
    <definedName name="_24__123Graph_BCHART_11" hidden="1">#REF!</definedName>
    <definedName name="_25__123Graph_BCHART_12" localSheetId="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localSheetId="1" hidden="1">#REF!</definedName>
    <definedName name="_28__123Graph_BCHART_15" hidden="1">#REF!</definedName>
    <definedName name="_29__123Graph_BCHART_16" hidden="1">[4]engineering!$Q$50:$S$50</definedName>
    <definedName name="_3____123Graph_B????_1" localSheetId="1" hidden="1">#REF!</definedName>
    <definedName name="_3____123Graph_B????_1" hidden="1">#REF!</definedName>
    <definedName name="_3____123Graph_Bｸﾞﾗﾌ_1" localSheetId="1" hidden="1">#REF!</definedName>
    <definedName name="_3____123Graph_Bｸﾞﾗﾌ_1" hidden="1">#REF!</definedName>
    <definedName name="_3__123Graph_ACHART_1" localSheetId="1" hidden="1">#REF!</definedName>
    <definedName name="_3__123Graph_ACHART_1" hidden="1">#REF!</definedName>
    <definedName name="_3__123Graph_ACHART_4" hidden="1">'[3]Historical IS'!#REF!</definedName>
    <definedName name="_30__123Graph_BCHART_17" hidden="1">[4]revenue!$P$78:$R$78</definedName>
    <definedName name="_31__123Graph_BCHART_2" localSheetId="1" hidden="1">#REF!</definedName>
    <definedName name="_31__123Graph_BCHART_2" hidden="1">#REF!</definedName>
    <definedName name="_32__123Graph_BCHART_20" hidden="1">[4]sga!$P$11:$R$11</definedName>
    <definedName name="_33__123Graph_BCHART_3" hidden="1">[4]revenue!$P$10:$R$10</definedName>
    <definedName name="_34__123Graph_BCHART_6" localSheetId="1" hidden="1">#REF!</definedName>
    <definedName name="_34__123Graph_BCHART_6" hidden="1">#REF!</definedName>
    <definedName name="_35__123Graph_BCHART_7" hidden="1">[4]revenue!$P$45:$R$45</definedName>
    <definedName name="_36_??06" localSheetId="1" hidden="1">{"'?????10.27??????'!$Q$16"}</definedName>
    <definedName name="_36_??06" hidden="1">{"'?????10.27??????'!$Q$16"}</definedName>
    <definedName name="_36__123Graph_BCHART_8" localSheetId="1" hidden="1">#REF!</definedName>
    <definedName name="_36__123Graph_BCHART_8" hidden="1">#REF!</definedName>
    <definedName name="_37__123Graph_BCHART_9" hidden="1">[4]engineering!$P$7:$T$7</definedName>
    <definedName name="_38__123Graph_CCHART_1" localSheetId="1" hidden="1">#REF!</definedName>
    <definedName name="_38__123Graph_CCHART_1" hidden="1">#REF!</definedName>
    <definedName name="_39__123Graph_CCHART_11" hidden="1">[4]engineering!$P$16:$T$16</definedName>
    <definedName name="_4____123Graph_C????_1" localSheetId="1" hidden="1">#REF!</definedName>
    <definedName name="_4____123Graph_C????_1" hidden="1">#REF!</definedName>
    <definedName name="_4____123Graph_Cｸﾞﾗﾌ_1" localSheetId="1" hidden="1">#REF!</definedName>
    <definedName name="_4____123Graph_Cｸﾞﾗﾌ_1" hidden="1">#REF!</definedName>
    <definedName name="_4__123Graph_ACHART_10" localSheetId="1" hidden="1">#REF!</definedName>
    <definedName name="_4__123Graph_ACHART_10" hidden="1">#REF!</definedName>
    <definedName name="_4__123Graph_ACHART_8" hidden="1">'[3]Historical IS'!#REF!</definedName>
    <definedName name="_40__123Graph_CCHART_12" localSheetId="1" hidden="1">#REF!</definedName>
    <definedName name="_40__123Graph_CCHART_12" hidden="1">#REF!</definedName>
    <definedName name="_41__123Graph_CCHART_2" localSheetId="1" hidden="1">#REF!</definedName>
    <definedName name="_41__123Graph_CCHART_2" hidden="1">#REF!</definedName>
    <definedName name="_42__123Graph_CCHART_20" hidden="1">[4]sga!$P$12:$R$12</definedName>
    <definedName name="_43__123Graph_CCHART_7" hidden="1">[4]revenue!$P$46:$R$46</definedName>
    <definedName name="_44__123Graph_CCHART_8" localSheetId="1" hidden="1">#REF!</definedName>
    <definedName name="_44__123Graph_CCHART_8" hidden="1">#REF!</definedName>
    <definedName name="_45__123Graph_DCHART_1" localSheetId="1" hidden="1">#REF!</definedName>
    <definedName name="_45__123Graph_DCHART_1" hidden="1">#REF!</definedName>
    <definedName name="_46__123Graph_DCHART_12" localSheetId="1" hidden="1">#REF!</definedName>
    <definedName name="_46__123Graph_DCHART_12" hidden="1">#REF!</definedName>
    <definedName name="_47__123Graph_DCHART_2" localSheetId="1" hidden="1">#REF!</definedName>
    <definedName name="_47__123Graph_DCHART_2" hidden="1">#REF!</definedName>
    <definedName name="_48__123Graph_DCHART_8" localSheetId="1" hidden="1">#REF!</definedName>
    <definedName name="_48__123Graph_DCHART_8" hidden="1">#REF!</definedName>
    <definedName name="_49__123Graph_ECHART_12" localSheetId="1" hidden="1">#REF!</definedName>
    <definedName name="_49__123Graph_ECHART_12" hidden="1">#REF!</definedName>
    <definedName name="_5____123Graph_X????_1" localSheetId="1" hidden="1">#REF!</definedName>
    <definedName name="_5____123Graph_X????_1" hidden="1">#REF!</definedName>
    <definedName name="_5____123Graph_Xｸﾞﾗﾌ_1" localSheetId="1" hidden="1">#REF!</definedName>
    <definedName name="_5____123Graph_Xｸﾞﾗﾌ_1" hidden="1">#REF!</definedName>
    <definedName name="_5__123Graph_ACHART_11" localSheetId="1" hidden="1">#REF!</definedName>
    <definedName name="_5__123Graph_ACHART_11" hidden="1">#REF!</definedName>
    <definedName name="_5__123Graph_BCHART_1" hidden="1">'[3]Historical IS'!#REF!</definedName>
    <definedName name="_50__123Graph_ECHART_2" localSheetId="1" hidden="1">#REF!</definedName>
    <definedName name="_50__123Graph_ECHART_2" hidden="1">#REF!</definedName>
    <definedName name="_51__123Graph_Aｸﾞﾗﾌ_1" localSheetId="1" hidden="1">#REF!</definedName>
    <definedName name="_51__123Graph_Aｸﾞﾗﾌ_1" hidden="1">#REF!</definedName>
    <definedName name="_51__123Graph_ECHART_8" localSheetId="1" hidden="1">#REF!</definedName>
    <definedName name="_51__123Graph_ECHART_8" hidden="1">#REF!</definedName>
    <definedName name="_52__123Graph_BIRR_IRR" localSheetId="1" hidden="1">#REF!</definedName>
    <definedName name="_52__123Graph_BIRR_IRR" hidden="1">#REF!</definedName>
    <definedName name="_52__123Graph_FCHART_1" localSheetId="1" hidden="1">#REF!</definedName>
    <definedName name="_52__123Graph_FCHART_1" hidden="1">#REF!</definedName>
    <definedName name="_53__123Graph_BMOF_NB" localSheetId="1" hidden="1">#REF!</definedName>
    <definedName name="_53__123Graph_BMOF_NB" hidden="1">#REF!</definedName>
    <definedName name="_53__123Graph_XCHART_10" localSheetId="1" hidden="1">#REF!</definedName>
    <definedName name="_53__123Graph_XCHART_10" hidden="1">#REF!</definedName>
    <definedName name="_54__123Graph_XCHART_11" localSheetId="1" hidden="1">#REF!</definedName>
    <definedName name="_54__123Graph_XCHART_11" hidden="1">#REF!</definedName>
    <definedName name="_55__123Graph_XCHART_12" localSheetId="1" hidden="1">#REF!</definedName>
    <definedName name="_55__123Graph_XCHART_12" hidden="1">#REF!</definedName>
    <definedName name="_56__123Graph_XCHART_13" localSheetId="1" hidden="1">#REF!</definedName>
    <definedName name="_56__123Graph_XCHART_13" hidden="1">#REF!</definedName>
    <definedName name="_57__123Graph_XCHART_14" localSheetId="1" hidden="1">#REF!</definedName>
    <definedName name="_57__123Graph_XCHART_14" hidden="1">#REF!</definedName>
    <definedName name="_58__123Graph_XCHART_15" localSheetId="1" hidden="1">#REF!</definedName>
    <definedName name="_58__123Graph_XCHART_15" hidden="1">#REF!</definedName>
    <definedName name="_59__123Graph_XCHART_16" hidden="1">[4]engineering!$Q$48:$S$48</definedName>
    <definedName name="_6___123Graph_AIRR_IRR" localSheetId="1" hidden="1">#REF!</definedName>
    <definedName name="_6___123Graph_AIRR_IRR" hidden="1">#REF!</definedName>
    <definedName name="_6__123Graph_ACHART_12" localSheetId="1" hidden="1">#REF!</definedName>
    <definedName name="_6__123Graph_ACHART_12" hidden="1">#REF!</definedName>
    <definedName name="_6__123Graph_BCHART_3" hidden="1">'[3]Historical IS'!#REF!</definedName>
    <definedName name="_60__123Graph_XCHART_18" hidden="1">[4]revenue!$P$81:$R$81</definedName>
    <definedName name="_61__123Graph_XCHART_2" localSheetId="1" hidden="1">#REF!</definedName>
    <definedName name="_61__123Graph_XCHART_2" hidden="1">#REF!</definedName>
    <definedName name="_62__123Graph_XCHART_20" hidden="1">[4]sga!$P$9:$R$9</definedName>
    <definedName name="_63__123Graph_XCHART_3" localSheetId="1" hidden="1">#REF!</definedName>
    <definedName name="_63__123Graph_XCHART_3" hidden="1">#REF!</definedName>
    <definedName name="_64__123Graph_XCHART_4" localSheetId="1" hidden="1">#REF!</definedName>
    <definedName name="_64__123Graph_XCHART_4" hidden="1">#REF!</definedName>
    <definedName name="_65__123Graph_XCHART_5" localSheetId="1" hidden="1">#REF!</definedName>
    <definedName name="_65__123Graph_XCHART_5" hidden="1">#REF!</definedName>
    <definedName name="_66__123Graph_XCHART_6" localSheetId="1" hidden="1">#REF!</definedName>
    <definedName name="_66__123Graph_XCHART_6" hidden="1">#REF!</definedName>
    <definedName name="_67__123Graph_XCHART_7" localSheetId="1" hidden="1">#REF!</definedName>
    <definedName name="_67__123Graph_XCHART_7" hidden="1">#REF!</definedName>
    <definedName name="_68_?16??" localSheetId="1" hidden="1">{"'????'!$A$1:$C$37"}</definedName>
    <definedName name="_68_?16??" hidden="1">{"'????'!$A$1:$C$37"}</definedName>
    <definedName name="_68__123Graph_XCHART_8" localSheetId="1" hidden="1">#REF!</definedName>
    <definedName name="_68__123Graph_XCHART_8" hidden="1">#REF!</definedName>
    <definedName name="_69__123Graph_XCHART_9" localSheetId="1" hidden="1">#REF!</definedName>
    <definedName name="_69__123Graph_XCHART_9" hidden="1">#REF!</definedName>
    <definedName name="_7_????" localSheetId="1" hidden="1">{"'?????10.27??????'!$Q$16"}</definedName>
    <definedName name="_7_????" hidden="1">{"'?????10.27??????'!$Q$16"}</definedName>
    <definedName name="_7___123Graph_BIRR_IRR" localSheetId="1" hidden="1">#REF!</definedName>
    <definedName name="_7___123Graph_BIRR_IRR" hidden="1">#REF!</definedName>
    <definedName name="_7__123Graph_ACHART_13" localSheetId="1" hidden="1">#REF!</definedName>
    <definedName name="_7__123Graph_ACHART_13" hidden="1">#REF!</definedName>
    <definedName name="_7__123Graph_BCHART_4" hidden="1">'[3]Historical IS'!#REF!</definedName>
    <definedName name="_78__123Graph_Bｸﾞﾗﾌ_1" localSheetId="1" hidden="1">#REF!</definedName>
    <definedName name="_78__123Graph_Bｸﾞﾗﾌ_1" hidden="1">#REF!</definedName>
    <definedName name="_8_?????" localSheetId="1" hidden="1">{"DCF-???",#N/A,TRUE,"???";"DCF-??",#N/A,TRUE,"??";"DCF-??",#N/A,TRUE,"??";"DCF-??",#N/A,TRUE,"??";"DCF-??",#N/A,TRUE,"??";"DCF-??",#N/A,TRUE,"??";"DCF-??",#N/A,TRUE,"??";"DCF-??",#N/A,TRUE,"??";"DCF-??",#N/A,TRUE,"??"}</definedName>
    <definedName name="_8_?????" hidden="1">{"DCF-???",#N/A,TRUE,"???";"DCF-??",#N/A,TRUE,"??";"DCF-??",#N/A,TRUE,"??";"DCF-??",#N/A,TRUE,"??";"DCF-??",#N/A,TRUE,"??";"DCF-??",#N/A,TRUE,"??";"DCF-??",#N/A,TRUE,"??";"DCF-??",#N/A,TRUE,"??";"DCF-??",#N/A,TRUE,"??"}</definedName>
    <definedName name="_8___123Graph_BMOF_NB" localSheetId="1" hidden="1">#REF!</definedName>
    <definedName name="_8___123Graph_BMOF_NB" hidden="1">#REF!</definedName>
    <definedName name="_8__123Graph_ACHART_14" localSheetId="1" hidden="1">#REF!</definedName>
    <definedName name="_8__123Graph_ACHART_14" hidden="1">#REF!</definedName>
    <definedName name="_8__123Graph_BCHART_8" hidden="1">'[3]Historical IS'!#REF!</definedName>
    <definedName name="_9_??????" localSheetId="1" hidden="1">{"'?????10.27??????'!$Q$16"}</definedName>
    <definedName name="_9_??????" hidden="1">{"'?????10.27??????'!$Q$16"}</definedName>
    <definedName name="_9___123Graph_D????_1" localSheetId="1" hidden="1">#REF!</definedName>
    <definedName name="_9___123Graph_D????_1" hidden="1">#REF!</definedName>
    <definedName name="_9___123Graph_Dｸﾞﾗﾌ_1" localSheetId="1" hidden="1">#REF!</definedName>
    <definedName name="_9___123Graph_Dｸﾞﾗﾌ_1" hidden="1">#REF!</definedName>
    <definedName name="_9__123Graph_ACHART_15" localSheetId="1" hidden="1">#REF!</definedName>
    <definedName name="_9__123Graph_ACHART_15" hidden="1">#REF!</definedName>
    <definedName name="_9__123Graph_CCHART_1" hidden="1">'[3]Historical IS'!#REF!</definedName>
    <definedName name="_DF4" localSheetId="1" hidden="1">#REF!</definedName>
    <definedName name="_DF4" hidden="1">#REF!</definedName>
    <definedName name="_Fill" localSheetId="1" hidden="1">#REF!</definedName>
    <definedName name="_Fill" hidden="1">#REF!</definedName>
    <definedName name="_xlnm._FilterDatabase" hidden="1">'[5]46W9'!#REF!</definedName>
    <definedName name="_Key2" localSheetId="1" hidden="1">#REF!</definedName>
    <definedName name="_Key2" hidden="1">#REF!</definedName>
    <definedName name="_o1" localSheetId="1"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localSheetId="1" hidden="1">{#N/A,#N/A,FALSE,"TOTFINAL";#N/A,#N/A,FALSE,"FINPLAN";#N/A,#N/A,FALSE,"TOTMOTADJ";#N/A,#N/A,FALSE,"tieEQ";#N/A,#N/A,FALSE,"G";#N/A,#N/A,FALSE,"ELIMS";#N/A,#N/A,FALSE,"NEXTEL ADJ";#N/A,#N/A,FALSE,"MIMS";#N/A,#N/A,FALSE,"LMPS";#N/A,#N/A,FALSE,"CNSS";#N/A,#N/A,FALSE,"CSS";#N/A,#N/A,FALSE,"MCG";#N/A,#N/A,FALSE,"AECS";#N/A,#N/A,FALSE,"SPS";#N/A,#N/A,FALSE,"CORP"}</definedName>
    <definedName name="a" hidden="1">{#N/A,#N/A,FALSE,"TOTFINAL";#N/A,#N/A,FALSE,"FINPLAN";#N/A,#N/A,FALSE,"TOTMOTADJ";#N/A,#N/A,FALSE,"tieEQ";#N/A,#N/A,FALSE,"G";#N/A,#N/A,FALSE,"ELIMS";#N/A,#N/A,FALSE,"NEXTEL ADJ";#N/A,#N/A,FALSE,"MIMS";#N/A,#N/A,FALSE,"LMPS";#N/A,#N/A,FALSE,"CNSS";#N/A,#N/A,FALSE,"CSS";#N/A,#N/A,FALSE,"MCG";#N/A,#N/A,FALSE,"AECS";#N/A,#N/A,FALSE,"SPS";#N/A,#N/A,FALSE,"CORP"}</definedName>
    <definedName name="ando" localSheetId="1" hidden="1">{"'下期集計（10.27迄・速報値）'!$Q$16"}</definedName>
    <definedName name="ando" hidden="1">{"'下期集計（10.27迄・速報値）'!$Q$16"}</definedName>
    <definedName name="anscount" hidden="1">3</definedName>
    <definedName name="AS2DocOpenMode" hidden="1">"AS2DocumentEdit"</definedName>
    <definedName name="AS2HasNoAutoHeaderFooter" hidden="1">" "</definedName>
    <definedName name="asdf" localSheetId="1" hidden="1">{"'年間台数'!$A$1:$K$20","'中古車登録台数'!$A$1:$I$39"}</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localSheetId="1" hidden="1">{"'Highlights'!$A$1:$M$123"}</definedName>
    <definedName name="Bridge" hidden="1">{"'Highlights'!$A$1:$M$123"}</definedName>
    <definedName name="CARLOS" localSheetId="1" hidden="1">{#N/A,#N/A,TRUE,"A"}</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localSheetId="1" hidden="1">{"'下期集計（10.27迄・速報値）'!$Q$16"}</definedName>
    <definedName name="chiho" hidden="1">{"'下期集計（10.27迄・速報値）'!$Q$16"}</definedName>
    <definedName name="cover" localSheetId="1" hidden="1">#REF!</definedName>
    <definedName name="cover" hidden="1">#REF!</definedName>
    <definedName name="efg" localSheetId="1" hidden="1">{#N/A,#N/A,TRUE,"A"}</definedName>
    <definedName name="efg" hidden="1">{#N/A,#N/A,TRUE,"A"}</definedName>
    <definedName name="fds" localSheetId="1" hidden="1">{"'下期集計（10.27迄・速報値）'!$Q$16"}</definedName>
    <definedName name="fds" hidden="1">{"'下期集計（10.27迄・速報値）'!$Q$16"}</definedName>
    <definedName name="ｇ" localSheetId="1" hidden="1">{"'下期集計（10.27迄・速報値）'!$Q$16"}</definedName>
    <definedName name="ｇ" hidden="1">{"'下期集計（10.27迄・速報値）'!$Q$16"}</definedName>
    <definedName name="gd" localSheetId="1" hidden="1">{"'下期集計（10.27迄・速報値）'!$Q$16"}</definedName>
    <definedName name="gd" hidden="1">{"'下期集計（10.27迄・速報値）'!$Q$16"}</definedName>
    <definedName name="gda" localSheetId="1" hidden="1">{"'下期集計（10.27迄・速報値）'!$Q$16"}</definedName>
    <definedName name="gda" hidden="1">{"'下期集計（10.27迄・速報値）'!$Q$16"}</definedName>
    <definedName name="gdsa" localSheetId="1" hidden="1">{"'下期集計（10.27迄・速報値）'!$Q$16"}</definedName>
    <definedName name="gdsa" hidden="1">{"'下期集計（10.27迄・速報値）'!$Q$16"}</definedName>
    <definedName name="gh" localSheetId="1" hidden="1">{"'Highlights'!$A$1:$M$123"}</definedName>
    <definedName name="gh" hidden="1">{"'Highlights'!$A$1:$M$123"}</definedName>
    <definedName name="ｈ" localSheetId="1" hidden="1">{"'下期集計（10.27迄・速報値）'!$Q$16"}</definedName>
    <definedName name="ｈ" hidden="1">{"'下期集計（10.27迄・速報値）'!$Q$16"}</definedName>
    <definedName name="H16?1??" localSheetId="1" hidden="1">{"'????'!$A$1:$C$37"}</definedName>
    <definedName name="H16?1??" hidden="1">{"'????'!$A$1:$C$37"}</definedName>
    <definedName name="Ｈ16・１" localSheetId="1" hidden="1">{"'コメント'!$A$1:$C$37"}</definedName>
    <definedName name="Ｈ16・１" hidden="1">{"'コメント'!$A$1:$C$37"}</definedName>
    <definedName name="H16･1速報" localSheetId="1" hidden="1">{"'コメント'!$A$1:$C$37"}</definedName>
    <definedName name="H16･1速報" hidden="1">{"'コメント'!$A$1:$C$37"}</definedName>
    <definedName name="HTM_Control" localSheetId="1" hidden="1">{"'下期集計（10.27迄・速報値）'!$Q$16"}</definedName>
    <definedName name="HTM_Control" hidden="1">{"'下期集計（10.27迄・速報値）'!$Q$16"}</definedName>
    <definedName name="ＨＴＭＬ" localSheetId="1" hidden="1">{"'コメント'!$A$1:$C$37"}</definedName>
    <definedName name="ＨＴＭＬ" hidden="1">{"'コメント'!$A$1:$C$37"}</definedName>
    <definedName name="HTML_CodePage" hidden="1">1252</definedName>
    <definedName name="HTML_Control" localSheetId="1" hidden="1">{"'Highlights'!$A$1:$M$123"}</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localSheetId="1" hidden="1">#REF!</definedName>
    <definedName name="hyousi" hidden="1">#REF!</definedName>
    <definedName name="INDICADOR_COLUMNAS" localSheetId="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localSheetId="1" hidden="1">{"'Highlights'!$A$1:$M$123"}</definedName>
    <definedName name="ji" hidden="1">{"'Highlights'!$A$1:$M$123"}</definedName>
    <definedName name="k" localSheetId="1" hidden="1">{"'下期集計（10.27迄・速報値）'!$Q$16"}</definedName>
    <definedName name="k" hidden="1">{"'下期集計（10.27迄・速報値）'!$Q$16"}</definedName>
    <definedName name="kjh" localSheetId="1" hidden="1">{#N/A,#N/A,TRUE,"A"}</definedName>
    <definedName name="kjh" hidden="1">{#N/A,#N/A,TRUE,"A"}</definedName>
    <definedName name="kjl" localSheetId="1" hidden="1">{#N/A,#N/A,FALSE,"TOTFINAL";#N/A,#N/A,FALSE,"FINPLAN";#N/A,#N/A,FALSE,"TOTMOTADJ";#N/A,#N/A,FALSE,"tieEQ";#N/A,#N/A,FALSE,"G";#N/A,#N/A,FALSE,"ELIMS";#N/A,#N/A,FALSE,"NEXTEL ADJ";#N/A,#N/A,FALSE,"MIMS";#N/A,#N/A,FALSE,"LMPS";#N/A,#N/A,FALSE,"CNSS";#N/A,#N/A,FALSE,"CSS";#N/A,#N/A,FALSE,"MCG";#N/A,#N/A,FALSE,"AECS";#N/A,#N/A,FALSE,"SPS";#N/A,#N/A,FALSE,"CORP"}</definedName>
    <definedName name="kjl" hidden="1">{#N/A,#N/A,FALSE,"TOTFINAL";#N/A,#N/A,FALSE,"FINPLAN";#N/A,#N/A,FALSE,"TOTMOTADJ";#N/A,#N/A,FALSE,"tieEQ";#N/A,#N/A,FALSE,"G";#N/A,#N/A,FALSE,"ELIMS";#N/A,#N/A,FALSE,"NEXTEL ADJ";#N/A,#N/A,FALSE,"MIMS";#N/A,#N/A,FALSE,"LMPS";#N/A,#N/A,FALSE,"CNSS";#N/A,#N/A,FALSE,"CSS";#N/A,#N/A,FALSE,"MCG";#N/A,#N/A,FALSE,"AECS";#N/A,#N/A,FALSE,"SPS";#N/A,#N/A,FALSE,"CORP"}</definedName>
    <definedName name="kk" localSheetId="1" hidden="1">{"'下期集計（10.27迄・速報値）'!$Q$16"}</definedName>
    <definedName name="kk" hidden="1">{"'下期集計（10.27迄・速報値）'!$Q$16"}</definedName>
    <definedName name="kkk" localSheetId="1" hidden="1">{"'下期集計（10.27迄・速報値）'!$Q$16"}</definedName>
    <definedName name="kkk" hidden="1">{"'下期集計（10.27迄・速報値）'!$Q$16"}</definedName>
    <definedName name="lio" localSheetId="1" hidden="1">{#N/A,#N/A,TRUE,"A"}</definedName>
    <definedName name="lio" hidden="1">{#N/A,#N/A,TRUE,"A"}</definedName>
    <definedName name="LISTA" localSheetId="1">#REF!</definedName>
    <definedName name="LISTA">#REF!</definedName>
    <definedName name="ListOffset" hidden="1">1</definedName>
    <definedName name="MBAS" localSheetId="1" hidden="1">{"'ADV&amp;DP'!$A$4:$C$25"}</definedName>
    <definedName name="MBAS" hidden="1">{"'ADV&amp;DP'!$A$4:$C$25"}</definedName>
    <definedName name="mbs" localSheetId="1" hidden="1">{"'ADV&amp;DP'!$A$4:$C$25"}</definedName>
    <definedName name="mbs" hidden="1">{"'ADV&amp;DP'!$A$4:$C$25"}</definedName>
    <definedName name="MKK" localSheetId="1" hidden="1">{"'下期集計（10.27迄・速報値）'!$Q$16"}</definedName>
    <definedName name="MKK" hidden="1">{"'下期集計（10.27迄・速報値）'!$Q$16"}</definedName>
    <definedName name="mmm" localSheetId="1" hidden="1">{"'ADV&amp;DP'!$A$4:$C$25"}</definedName>
    <definedName name="mmm" hidden="1">{"'ADV&amp;DP'!$A$4:$C$25"}</definedName>
    <definedName name="MOBILE" localSheetId="1" hidden="1">{"'ADV&amp;DP'!$A$4:$C$25"}</definedName>
    <definedName name="MOBILE" hidden="1">{"'ADV&amp;DP'!$A$4:$C$25"}</definedName>
    <definedName name="n" localSheetId="1" hidden="1">{"'下期集計（10.27迄・速報値）'!$Q$16"}</definedName>
    <definedName name="n" hidden="1">{"'下期集計（10.27迄・速報値）'!$Q$16"}</definedName>
    <definedName name="new" localSheetId="1" hidden="1">{"'Highlights'!$A$1:$M$123"}</definedName>
    <definedName name="new" hidden="1">{"'Highlights'!$A$1:$M$123"}</definedName>
    <definedName name="nm" localSheetId="1" hidden="1">{#N/A,#N/A,TRUE,"A"}</definedName>
    <definedName name="nm" hidden="1">{#N/A,#N/A,TRUE,"A"}</definedName>
    <definedName name="ñlo" localSheetId="1" hidden="1">{#N/A,#N/A,TRUE,"A"}</definedName>
    <definedName name="ñlo" hidden="1">{#N/A,#N/A,TRUE,"A"}</definedName>
    <definedName name="ñp" localSheetId="1" hidden="1">{#N/A,#N/A,TRUE,"A"}</definedName>
    <definedName name="ñp" hidden="1">{#N/A,#N/A,TRUE,"A"}</definedName>
    <definedName name="oi" localSheetId="1" hidden="1">{#N/A,#N/A,TRUE,"A"}</definedName>
    <definedName name="oi" hidden="1">{#N/A,#N/A,TRUE,"A"}</definedName>
    <definedName name="ok" localSheetId="1" hidden="1">{"'Highlights'!$A$1:$M$123"}</definedName>
    <definedName name="ok" hidden="1">{"'Highlights'!$A$1:$M$123"}</definedName>
    <definedName name="PANELES" localSheetId="1">#REF!</definedName>
    <definedName name="PANELES">#REF!</definedName>
    <definedName name="piu" localSheetId="1" hidden="1">{#N/A,#N/A,TRUE,"A"}</definedName>
    <definedName name="piu" hidden="1">{#N/A,#N/A,TRUE,"A"}</definedName>
    <definedName name="plo" localSheetId="1" hidden="1">{#N/A,#N/A,TRUE,"A"}</definedName>
    <definedName name="plo" hidden="1">{#N/A,#N/A,TRUE,"A"}</definedName>
    <definedName name="po" localSheetId="1" hidden="1">{#N/A,#N/A,TRUE,"A"}</definedName>
    <definedName name="po" hidden="1">{#N/A,#N/A,TRUE,"A"}</definedName>
    <definedName name="PTSB" localSheetId="1" hidden="1">{"'Highlights'!$A$1:$M$123"}</definedName>
    <definedName name="PTSB" hidden="1">{"'Highlights'!$A$1:$M$123"}</definedName>
    <definedName name="Q2Fcst" localSheetId="1" hidden="1">{#N/A,#N/A,FALSE,"TOTFINAL";#N/A,#N/A,FALSE,"FINPLAN";#N/A,#N/A,FALSE,"TOTMOTADJ";#N/A,#N/A,FALSE,"tieEQ";#N/A,#N/A,FALSE,"G";#N/A,#N/A,FALSE,"ELIMS";#N/A,#N/A,FALSE,"NEXTEL ADJ";#N/A,#N/A,FALSE,"MIMS";#N/A,#N/A,FALSE,"LMPS";#N/A,#N/A,FALSE,"CNSS";#N/A,#N/A,FALSE,"CSS";#N/A,#N/A,FALSE,"MCG";#N/A,#N/A,FALSE,"AECS";#N/A,#N/A,FALSE,"SPS";#N/A,#N/A,FALSE,"CORP"}</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localSheetId="1" hidden="1">{"'下期集計（10.27迄・速報値）'!$Q$16"}</definedName>
    <definedName name="qw" hidden="1">{"'下期集計（10.27迄・速報値）'!$Q$16"}</definedName>
    <definedName name="ＲＡＲＯＡ" localSheetId="1" hidden="1">{"'下期集計（10.27迄・速報値）'!$Q$16"}</definedName>
    <definedName name="ＲＡＲＯＡ" hidden="1">{"'下期集計（10.27迄・速報値）'!$Q$16"}</definedName>
    <definedName name="RETENCION">'[7]Cálculo LPVta Cambium'!$AA$4</definedName>
    <definedName name="rfg" localSheetId="1" hidden="1">{#N/A,#N/A,TRUE,"A"}</definedName>
    <definedName name="rfg" hidden="1">{#N/A,#N/A,TRUE,"A"}</definedName>
    <definedName name="SAPBEXdnldView" hidden="1">"4X7PHJJ3EF70UJ33CI6YVQIOV"</definedName>
    <definedName name="SAPBEXsysID" hidden="1">"PBK"</definedName>
    <definedName name="SCOG" localSheetId="1" hidden="1">{"'ADV&amp;DP'!$A$4:$C$25"}</definedName>
    <definedName name="SCOG" hidden="1">{"'ADV&amp;DP'!$A$4:$C$25"}</definedName>
    <definedName name="sencount" hidden="1">1</definedName>
    <definedName name="sfgasd" localSheetId="1"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localSheetId="1" hidden="1">#REF!</definedName>
    <definedName name="solver_adj" hidden="1">#REF!</definedName>
    <definedName name="solver_lin" hidden="1">0</definedName>
    <definedName name="solver_num" hidden="1">0</definedName>
    <definedName name="solver_opt" localSheetId="1" hidden="1">#REF!</definedName>
    <definedName name="solver_opt" hidden="1">#REF!</definedName>
    <definedName name="solver_typ" hidden="1">3</definedName>
    <definedName name="solver_val" hidden="1">0.6</definedName>
    <definedName name="stp">[8]Resumen_Inv!$I$66</definedName>
    <definedName name="t" localSheetId="1" hidden="1">{"'下期集計（10.27迄・速報値）'!$Q$16"}</definedName>
    <definedName name="t" hidden="1">{"'下期集計（10.27迄・速報値）'!$Q$16"}</definedName>
    <definedName name="tyh" localSheetId="1" hidden="1">{#N/A,#N/A,TRUE,"A"}</definedName>
    <definedName name="tyh" hidden="1">{#N/A,#N/A,TRUE,"A"}</definedName>
    <definedName name="v" localSheetId="1" hidden="1">{#N/A,#N/A,FALSE,"TOTFINAL";#N/A,#N/A,FALSE,"FINPLAN";#N/A,#N/A,FALSE,"TOTMOTADJ";#N/A,#N/A,FALSE,"tieEQ";#N/A,#N/A,FALSE,"G";#N/A,#N/A,FALSE,"ELIMS";#N/A,#N/A,FALSE,"NEXTEL ADJ";#N/A,#N/A,FALSE,"MIMS";#N/A,#N/A,FALSE,"LMPS";#N/A,#N/A,FALSE,"CNSS";#N/A,#N/A,FALSE,"CSS";#N/A,#N/A,FALSE,"MCG";#N/A,#N/A,FALSE,"AECS";#N/A,#N/A,FALSE,"SPS";#N/A,#N/A,FALSE,"CORP"}</definedName>
    <definedName name="v" hidden="1">{#N/A,#N/A,FALSE,"TOTFINAL";#N/A,#N/A,FALSE,"FINPLAN";#N/A,#N/A,FALSE,"TOTMOTADJ";#N/A,#N/A,FALSE,"tieEQ";#N/A,#N/A,FALSE,"G";#N/A,#N/A,FALSE,"ELIMS";#N/A,#N/A,FALSE,"NEXTEL ADJ";#N/A,#N/A,FALSE,"MIMS";#N/A,#N/A,FALSE,"LMPS";#N/A,#N/A,FALSE,"CNSS";#N/A,#N/A,FALSE,"CSS";#N/A,#N/A,FALSE,"MCG";#N/A,#N/A,FALSE,"AECS";#N/A,#N/A,FALSE,"SPS";#N/A,#N/A,FALSE,"CORP"}</definedName>
    <definedName name="vbn" localSheetId="1" hidden="1">{#N/A,#N/A,TRUE,"A"}</definedName>
    <definedName name="vbn" hidden="1">{#N/A,#N/A,TRUE,"A"}</definedName>
    <definedName name="w" localSheetId="1" hidden="1">{"'下期集計（10.27迄・速報値）'!$Q$16"}</definedName>
    <definedName name="w" hidden="1">{"'下期集計（10.27迄・速報値）'!$Q$16"}</definedName>
    <definedName name="wrn.???." localSheetId="1" hidden="1">{"DCF-???",#N/A,TRUE,"???";"FS-???",#N/A,TRUE,"???";"DCF-??",#N/A,TRUE,"??";"FS-??",#N/A,TRUE,"??";"DCF-??",#N/A,TRUE,"??";"FS-??",#N/A,TRUE,"??";"DCF-??",#N/A,TRUE,"??";"FS-??",#N/A,TRUE,"??";"DCF-??",#N/A,TRUE,"??";"FS-??",#N/A,TRUE,"??";"DCF-??",#N/A,TRUE,"??";"FS-??",#N/A,TRUE,"??";"DCF-??",#N/A,TRUE,"??";"FS-??",#N/A,TRUE,"??";"DCF-??",#N/A,TRUE,"??";"FS-??",#N/A,TRUE,"??";"DCF-??",#N/A,TRUE,"??";"FS-??",#N/A,TRUE,"??"}</definedName>
    <definedName name="wrn.???." hidden="1">{"DCF-???",#N/A,TRUE,"???";"FS-???",#N/A,TRUE,"???";"DCF-??",#N/A,TRUE,"??";"FS-??",#N/A,TRUE,"??";"DCF-??",#N/A,TRUE,"??";"FS-??",#N/A,TRUE,"??";"DCF-??",#N/A,TRUE,"??";"FS-??",#N/A,TRUE,"??";"DCF-??",#N/A,TRUE,"??";"FS-??",#N/A,TRUE,"??";"DCF-??",#N/A,TRUE,"??";"FS-??",#N/A,TRUE,"??";"DCF-??",#N/A,TRUE,"??";"FS-??",#N/A,TRUE,"??";"DCF-??",#N/A,TRUE,"??";"FS-??",#N/A,TRUE,"??";"DCF-??",#N/A,TRUE,"??";"FS-??",#N/A,TRUE,"??"}</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Sheets." localSheetId="1" hidden="1">{#N/A,#N/A,FALSE,"1997 WW (Short)";#N/A,#N/A,FALSE,"1997 RF Mfg";#N/A,#N/A,FALSE,"Ancillary-CSM";#N/A,#N/A,FALSE,"1997 Service"}</definedName>
    <definedName name="wrn.All._.Sheets." hidden="1">{#N/A,#N/A,FALSE,"1997 WW (Short)";#N/A,#N/A,FALSE,"1997 RF Mfg";#N/A,#N/A,FALSE,"Ancillary-CSM";#N/A,#N/A,FALSE,"1997 Service"}</definedName>
    <definedName name="wrn.AR._.Meeting._.Schedules."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localSheetId="1"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1"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1"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DCF????." localSheetId="1" hidden="1">{"DCF-???",#N/A,TRUE,"???";"DCF-??",#N/A,TRUE,"??";"DCF-??",#N/A,TRUE,"??";"DCF-??",#N/A,TRUE,"??";"DCF-??",#N/A,TRUE,"??";"DCF-??",#N/A,TRUE,"??";"DCF-??",#N/A,TRUE,"??";"DCF-??",#N/A,TRUE,"??";"DCF-??",#N/A,TRUE,"??"}</definedName>
    <definedName name="wrn.DCF????." hidden="1">{"DCF-???",#N/A,TRUE,"???";"DCF-??",#N/A,TRUE,"??";"DCF-??",#N/A,TRUE,"??";"DCF-??",#N/A,TRUE,"??";"DCF-??",#N/A,TRUE,"??";"DCF-??",#N/A,TRUE,"??";"DCF-??",#N/A,TRUE,"??";"DCF-??",#N/A,TRUE,"??";"DCF-??",#N/A,TRUE,"??"}</definedName>
    <definedName name="wrn.DCF一括印刷." localSheetId="1" hidden="1">{"DCF-北海道",#N/A,TRUE,"北海道";"DCF-東北",#N/A,TRUE,"東北";"DCF-東海",#N/A,TRUE,"東海";"DCF-北陸",#N/A,TRUE,"北陸";"DCF-関西",#N/A,TRUE,"関西";"DCF-中国",#N/A,TRUE,"中国";"DCF-四国",#N/A,TRUE,"四国";"DCF-九州",#N/A,TRUE,"九州";"DCF-連結",#N/A,TRUE,"連結"}</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localSheetId="1" hidden="1">{#N/A,#N/A,TRUE,"A"}</definedName>
    <definedName name="wrn.EAN2." hidden="1">{#N/A,#N/A,TRUE,"A"}</definedName>
    <definedName name="wrn.EAN3" localSheetId="1" hidden="1">{#N/A,#N/A,TRUE,"A"}</definedName>
    <definedName name="wrn.EAN3" hidden="1">{#N/A,#N/A,TRUE,"A"}</definedName>
    <definedName name="wrn.FS????." localSheetId="1" hidden="1">{"FS-???",#N/A,TRUE,"???";"FS-??",#N/A,TRUE,"??";"FS-??",#N/A,TRUE,"??";"FS-??",#N/A,TRUE,"??";"FS-??",#N/A,TRUE,"??";"FS-??",#N/A,TRUE,"??";"FS-??",#N/A,TRUE,"??";"FS-??",#N/A,TRUE,"??";"FS-??",#N/A,TRUE,"??"}</definedName>
    <definedName name="wrn.FS????." hidden="1">{"FS-???",#N/A,TRUE,"???";"FS-??",#N/A,TRUE,"??";"FS-??",#N/A,TRUE,"??";"FS-??",#N/A,TRUE,"??";"FS-??",#N/A,TRUE,"??";"FS-??",#N/A,TRUE,"??";"FS-??",#N/A,TRUE,"??";"FS-??",#N/A,TRUE,"??";"FS-??",#N/A,TRUE,"??"}</definedName>
    <definedName name="wrn.FS一括印刷." localSheetId="1" hidden="1">{"FS-北海道",#N/A,TRUE,"北海道";"FS-東北",#N/A,TRUE,"東北";"FS-東海",#N/A,TRUE,"東海";"FS-北陸",#N/A,TRUE,"北陸";"FS-関西",#N/A,TRUE,"関西";"FS-中国",#N/A,TRUE,"中国";"FS-四国",#N/A,TRUE,"四国";"FS-九州",#N/A,TRUE,"九州";"FS-連結",#N/A,TRUE,"連結"}</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localSheetId="1" hidden="1">{#N/A,#N/A,FALSE,"Outlook for Month ";#N/A,#N/A,FALSE,"Risk for Month ";#N/A,#N/A,FALSE,"Upside for Month"}</definedName>
    <definedName name="wrn.Outlook._.Report." hidden="1">{#N/A,#N/A,FALSE,"Outlook for Month ";#N/A,#N/A,FALSE,"Risk for Month ";#N/A,#N/A,FALSE,"Upside for Month"}</definedName>
    <definedName name="wrn.RPT." localSheetId="1"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localSheetId="1"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localSheetId="1" hidden="1">{#N/A,#N/A,TRUE,"A"}</definedName>
    <definedName name="ws" hidden="1">{#N/A,#N/A,TRUE,"A"}</definedName>
    <definedName name="yhu" localSheetId="1" hidden="1">{#N/A,#N/A,TRUE,"A"}</definedName>
    <definedName name="yhu" hidden="1">{#N/A,#N/A,TRUE,"A"}</definedName>
    <definedName name="ｚ" localSheetId="1" hidden="1">{"'下期集計（10.27迄・速報値）'!$Q$16"}</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localSheetId="1" hidden="1">{#N/A,#N/A,FALSE,"TOTFINAL";#N/A,#N/A,FALSE,"FINPLAN";#N/A,#N/A,FALSE,"TOTMOTADJ";#N/A,#N/A,FALSE,"tieEQ";#N/A,#N/A,FALSE,"G";#N/A,#N/A,FALSE,"ELIMS";#N/A,#N/A,FALSE,"NEXTEL ADJ";#N/A,#N/A,FALSE,"MIMS";#N/A,#N/A,FALSE,"LMPS";#N/A,#N/A,FALSE,"CNSS";#N/A,#N/A,FALSE,"CSS";#N/A,#N/A,FALSE,"MCG";#N/A,#N/A,FALSE,"AECS";#N/A,#N/A,FALSE,"SPS";#N/A,#N/A,FALSE,"CORP"}</definedName>
    <definedName name="zz" hidden="1">{#N/A,#N/A,FALSE,"TOTFINAL";#N/A,#N/A,FALSE,"FINPLAN";#N/A,#N/A,FALSE,"TOTMOTADJ";#N/A,#N/A,FALSE,"tieEQ";#N/A,#N/A,FALSE,"G";#N/A,#N/A,FALSE,"ELIMS";#N/A,#N/A,FALSE,"NEXTEL ADJ";#N/A,#N/A,FALSE,"MIMS";#N/A,#N/A,FALSE,"LMPS";#N/A,#N/A,FALSE,"CNSS";#N/A,#N/A,FALSE,"CSS";#N/A,#N/A,FALSE,"MCG";#N/A,#N/A,FALSE,"AECS";#N/A,#N/A,FALSE,"SPS";#N/A,#N/A,FALSE,"CORP"}</definedName>
    <definedName name="ぁ" localSheetId="1" hidden="1">{"'下期集計（10.27迄・速報値）'!$Q$16"}</definedName>
    <definedName name="ぁ" hidden="1">{"'下期集計（10.27迄・速報値）'!$Q$16"}</definedName>
    <definedName name="あ" localSheetId="1" hidden="1">{"'下期集計（10.27迄・速報値）'!$Q$16"}</definedName>
    <definedName name="あ" hidden="1">{"'下期集計（10.27迄・速報値）'!$Q$16"}</definedName>
    <definedName name="あああ" localSheetId="1" hidden="1">{"'下期集計（10.27迄・速報値）'!$Q$16"}</definedName>
    <definedName name="あああ" hidden="1">{"'下期集計（10.27迄・速報値）'!$Q$16"}</definedName>
    <definedName name="ｼｰﾄ" hidden="1">[9]計算過程シート!#REF!</definedName>
    <definedName name="なんで" localSheetId="1" hidden="1">{"'下期集計（10.27迄・速報値）'!$Q$16"}</definedName>
    <definedName name="なんで" hidden="1">{"'下期集計（10.27迄・速報値）'!$Q$16"}</definedName>
    <definedName name="なんなの" localSheetId="1" hidden="1">{"'下期集計（10.27迄・速報値）'!$Q$16"}</definedName>
    <definedName name="なんなの" hidden="1">{"'下期集計（10.27迄・速報値）'!$Q$16"}</definedName>
    <definedName name="一括" localSheetId="1" hidden="1">{"DCF-北海道",#N/A,TRUE,"北海道";"DCF-東北",#N/A,TRUE,"東北";"DCF-東海",#N/A,TRUE,"東海";"DCF-北陸",#N/A,TRUE,"北陸";"DCF-関西",#N/A,TRUE,"関西";"DCF-中国",#N/A,TRUE,"中国";"DCF-四国",#N/A,TRUE,"四国";"DCF-九州",#N/A,TRUE,"九州";"DCF-連結",#N/A,TRUE,"連結"}</definedName>
    <definedName name="一括" hidden="1">{"DCF-北海道",#N/A,TRUE,"北海道";"DCF-東北",#N/A,TRUE,"東北";"DCF-東海",#N/A,TRUE,"東海";"DCF-北陸",#N/A,TRUE,"北陸";"DCF-関西",#N/A,TRUE,"関西";"DCF-中国",#N/A,TRUE,"中国";"DCF-四国",#N/A,TRUE,"四国";"DCF-九州",#N/A,TRUE,"九州";"DCF-連結",#N/A,TRUE,"連結"}</definedName>
    <definedName name="印刷" localSheetId="1"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localSheetId="1" hidden="1">{"'下期集計（10.27迄・速報値）'!$Q$16"}</definedName>
    <definedName name="年間収支買掛" hidden="1">{"'下期集計（10.27迄・速報値）'!$Q$16"}</definedName>
    <definedName name="年間資金収支あ" localSheetId="1" hidden="1">{"'下期集計（10.27迄・速報値）'!$Q$16"}</definedName>
    <definedName name="年間資金収支あ" hidden="1">{"'下期集計（10.27迄・速報値）'!$Q$16"}</definedName>
    <definedName name="日繰06" localSheetId="1" hidden="1">{"'下期集計（10.27迄・速報値）'!$Q$16"}</definedName>
    <definedName name="日繰06" hidden="1">{"'下期集計（10.27迄・速報値）'!$Q$16"}</definedName>
    <definedName name="系統出資金" localSheetId="1" hidden="1">{"DCF-北海道",#N/A,TRUE,"北海道";"DCF-東北",#N/A,TRUE,"東北";"DCF-東海",#N/A,TRUE,"東海";"DCF-北陸",#N/A,TRUE,"北陸";"DCF-関西",#N/A,TRUE,"関西";"DCF-中国",#N/A,TRUE,"中国";"DCF-四国",#N/A,TRUE,"四国";"DCF-九州",#N/A,TRUE,"九州";"DCF-連結",#N/A,TRUE,"連結"}</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localSheetId="1"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localSheetId="1" hidden="1">{"'下期集計（10.27迄・速報値）'!$Q$16"}</definedName>
    <definedName name="要処理資産②" hidden="1">{"'下期集計（10.27迄・速報値）'!$Q$16"}</definedName>
    <definedName name="評価対象" hidden="1">[9]計算過程シート!#REF!</definedName>
    <definedName name="資金" localSheetId="1" hidden="1">{"'下期集計（10.27迄・速報値）'!$Q$16"}</definedName>
    <definedName name="資金" hidden="1">{"'下期集計（10.27迄・速報値）'!$Q$16"}</definedName>
    <definedName name="金利体系" localSheetId="1" hidden="1">{"'下期集計（10.27迄・速報値）'!$Q$16"}</definedName>
    <definedName name="金利体系" hidden="1">{"'下期集計（10.27迄・速報値）'!$Q$16"}</definedName>
    <definedName name="関連" localSheetId="1"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40" i="2" l="1"/>
  <c r="K26" i="2"/>
  <c r="K24" i="2"/>
  <c r="F2" i="2"/>
  <c r="K3" i="2"/>
  <c r="C3" i="2" s="1"/>
  <c r="E3" i="2" s="1"/>
  <c r="C4" i="2"/>
  <c r="K4" i="2"/>
  <c r="H4" i="2" s="1"/>
  <c r="K5" i="2"/>
  <c r="C5" i="2" s="1"/>
  <c r="C6" i="2"/>
  <c r="H6" i="2"/>
  <c r="K6" i="2"/>
  <c r="K7" i="2"/>
  <c r="C7" i="2" s="1"/>
  <c r="E7" i="2" s="1"/>
  <c r="K8" i="2"/>
  <c r="C8" i="2" s="1"/>
  <c r="F9" i="2"/>
  <c r="K10" i="2"/>
  <c r="K11" i="2"/>
  <c r="C11" i="2" s="1"/>
  <c r="F11" i="2" s="1"/>
  <c r="K12" i="2"/>
  <c r="K13" i="2"/>
  <c r="C13" i="2" s="1"/>
  <c r="F13" i="2" s="1"/>
  <c r="K14" i="2"/>
  <c r="F15" i="2"/>
  <c r="K16" i="2"/>
  <c r="C16" i="2" s="1"/>
  <c r="K17" i="2"/>
  <c r="C17" i="2" s="1"/>
  <c r="E18" i="2"/>
  <c r="K18" i="2"/>
  <c r="C18" i="2" s="1"/>
  <c r="H19" i="2"/>
  <c r="K19" i="2"/>
  <c r="C19" i="2" s="1"/>
  <c r="K20" i="2"/>
  <c r="C20" i="2" s="1"/>
  <c r="H21" i="2"/>
  <c r="K21" i="2"/>
  <c r="C21" i="2" s="1"/>
  <c r="K22" i="2"/>
  <c r="C22" i="2" s="1"/>
  <c r="E22" i="2" s="1"/>
  <c r="F23" i="2"/>
  <c r="K23" i="2"/>
  <c r="H23" i="2" s="1"/>
  <c r="K25" i="2"/>
  <c r="C25" i="2" s="1"/>
  <c r="F25" i="2" s="1"/>
  <c r="K27" i="2"/>
  <c r="C27" i="2" s="1"/>
  <c r="F27" i="2" s="1"/>
  <c r="K28" i="2"/>
  <c r="K29" i="2"/>
  <c r="C29" i="2" s="1"/>
  <c r="F29" i="2" s="1"/>
  <c r="K30" i="2"/>
  <c r="F31" i="2"/>
  <c r="K31" i="2"/>
  <c r="C31" i="2" s="1"/>
  <c r="K32" i="2"/>
  <c r="K33" i="2"/>
  <c r="C33" i="2" s="1"/>
  <c r="F33" i="2" s="1"/>
  <c r="K34" i="2"/>
  <c r="K35" i="2"/>
  <c r="C35" i="2" s="1"/>
  <c r="F35" i="2" s="1"/>
  <c r="K36" i="2"/>
  <c r="K37" i="2"/>
  <c r="C37" i="2" s="1"/>
  <c r="F37" i="2" s="1"/>
  <c r="K38" i="2"/>
  <c r="F39" i="2"/>
  <c r="K39" i="2"/>
  <c r="C39" i="2" s="1"/>
  <c r="K41" i="2"/>
  <c r="C41" i="2" s="1"/>
  <c r="F41" i="2" s="1"/>
  <c r="K42" i="2"/>
  <c r="K43" i="2"/>
  <c r="C43" i="2" s="1"/>
  <c r="F43" i="2" s="1"/>
  <c r="K44" i="2"/>
  <c r="K45" i="2"/>
  <c r="C45" i="2" s="1"/>
  <c r="F45" i="2" s="1"/>
  <c r="K46" i="2"/>
  <c r="F47" i="2"/>
  <c r="K47" i="2"/>
  <c r="C47" i="2" s="1"/>
  <c r="K48" i="2"/>
  <c r="K49" i="2"/>
  <c r="C49" i="2" s="1"/>
  <c r="F49" i="2" s="1"/>
  <c r="K50" i="2"/>
  <c r="K51" i="2"/>
  <c r="C51" i="2" s="1"/>
  <c r="F51" i="2" s="1"/>
  <c r="K52" i="2"/>
  <c r="K53" i="2"/>
  <c r="C53" i="2" s="1"/>
  <c r="F53" i="2" s="1"/>
  <c r="K54" i="2"/>
  <c r="F55" i="2"/>
  <c r="K55" i="2"/>
  <c r="C55" i="2" s="1"/>
  <c r="K56" i="2"/>
  <c r="F57" i="2"/>
  <c r="K57" i="2"/>
  <c r="H57" i="2" s="1"/>
  <c r="K58" i="2"/>
  <c r="C58" i="2" s="1"/>
  <c r="K59" i="2"/>
  <c r="C59" i="2" s="1"/>
  <c r="K60" i="2"/>
  <c r="C60" i="2" s="1"/>
  <c r="E61" i="2"/>
  <c r="K61" i="2"/>
  <c r="C61" i="2" s="1"/>
  <c r="K62" i="2"/>
  <c r="C62" i="2" s="1"/>
  <c r="K63" i="2"/>
  <c r="C63" i="2" s="1"/>
  <c r="H64" i="2"/>
  <c r="K64" i="2"/>
  <c r="C64" i="2" s="1"/>
  <c r="F64" i="2" s="1"/>
  <c r="K65" i="2"/>
  <c r="C65" i="2" s="1"/>
  <c r="F65" i="2" s="1"/>
  <c r="K66" i="2"/>
  <c r="C66" i="2" s="1"/>
  <c r="C67" i="2"/>
  <c r="K67" i="2"/>
  <c r="H67" i="2" s="1"/>
  <c r="K68" i="2"/>
  <c r="H68" i="2" s="1"/>
  <c r="K69" i="2"/>
  <c r="H69" i="2" s="1"/>
  <c r="F70" i="2"/>
  <c r="K70" i="2"/>
  <c r="H70" i="2" s="1"/>
  <c r="F71" i="2"/>
  <c r="K71" i="2"/>
  <c r="H71" i="2" s="1"/>
  <c r="K72" i="2"/>
  <c r="H72" i="2" s="1"/>
  <c r="H73" i="2"/>
  <c r="K73" i="2"/>
  <c r="C73" i="2" s="1"/>
  <c r="C74" i="2"/>
  <c r="F74" i="2" s="1"/>
  <c r="K74" i="2"/>
  <c r="H74" i="2" s="1"/>
  <c r="C75" i="2"/>
  <c r="K75" i="2"/>
  <c r="H75" i="2" s="1"/>
  <c r="K76" i="2"/>
  <c r="H76" i="2" s="1"/>
  <c r="C77" i="2"/>
  <c r="H77" i="2"/>
  <c r="K77" i="2"/>
  <c r="F78" i="2"/>
  <c r="K78" i="2"/>
  <c r="H78" i="2" s="1"/>
  <c r="K79" i="2"/>
  <c r="C79" i="2" s="1"/>
  <c r="F80" i="2"/>
  <c r="K80" i="2"/>
  <c r="H80" i="2" s="1"/>
  <c r="C81" i="2"/>
  <c r="F81" i="2" s="1"/>
  <c r="K81" i="2"/>
  <c r="H81" i="2" s="1"/>
  <c r="C82" i="2"/>
  <c r="K82" i="2"/>
  <c r="H82" i="2" s="1"/>
  <c r="F83" i="2"/>
  <c r="K83" i="2"/>
  <c r="H83" i="2" s="1"/>
  <c r="K84" i="2"/>
  <c r="K85" i="2"/>
  <c r="K86" i="2"/>
  <c r="K87" i="2"/>
  <c r="K88" i="2"/>
  <c r="C89" i="2"/>
  <c r="E89" i="2" s="1"/>
  <c r="F89" i="2"/>
  <c r="D89" i="2" s="1"/>
  <c r="H89" i="2"/>
  <c r="C90" i="2"/>
  <c r="E90" i="2" s="1"/>
  <c r="H90" i="2"/>
  <c r="K91" i="2"/>
  <c r="K92" i="2"/>
  <c r="F93" i="2"/>
  <c r="K93" i="2"/>
  <c r="H93" i="2" s="1"/>
  <c r="C94" i="2"/>
  <c r="E94" i="2" s="1"/>
  <c r="H94" i="2"/>
  <c r="K94" i="2"/>
  <c r="C95" i="2"/>
  <c r="E95" i="2" s="1"/>
  <c r="K95" i="2"/>
  <c r="H95" i="2" s="1"/>
  <c r="H96" i="2"/>
  <c r="K96" i="2"/>
  <c r="C96" i="2" s="1"/>
  <c r="E96" i="2" s="1"/>
  <c r="K97" i="2"/>
  <c r="C97" i="2" s="1"/>
  <c r="E97" i="2" s="1"/>
  <c r="C98" i="2"/>
  <c r="E98" i="2" s="1"/>
  <c r="H98" i="2"/>
  <c r="K98" i="2"/>
  <c r="C99" i="2"/>
  <c r="E99" i="2" s="1"/>
  <c r="K99" i="2"/>
  <c r="H99" i="2" s="1"/>
  <c r="F100" i="2"/>
  <c r="K100" i="2"/>
  <c r="H100" i="2" s="1"/>
  <c r="K101" i="2"/>
  <c r="K102" i="2"/>
  <c r="K103" i="2"/>
  <c r="K104" i="2"/>
  <c r="K105" i="2"/>
  <c r="K106" i="2"/>
  <c r="K107" i="2"/>
  <c r="K108" i="2"/>
  <c r="F109" i="2"/>
  <c r="K109" i="2"/>
  <c r="H109" i="2" s="1"/>
  <c r="K110" i="2"/>
  <c r="H110" i="2" s="1"/>
  <c r="K111" i="2"/>
  <c r="H111" i="2" s="1"/>
  <c r="K112" i="2"/>
  <c r="C112" i="2" s="1"/>
  <c r="K113" i="2"/>
  <c r="H113" i="2" s="1"/>
  <c r="H114" i="2"/>
  <c r="K114" i="2"/>
  <c r="C114" i="2" s="1"/>
  <c r="E114" i="2" s="1"/>
  <c r="K115" i="2"/>
  <c r="H115" i="2" s="1"/>
  <c r="H116" i="2"/>
  <c r="K116" i="2"/>
  <c r="C116" i="2" s="1"/>
  <c r="K117" i="2"/>
  <c r="H117" i="2" s="1"/>
  <c r="F118" i="2"/>
  <c r="K118" i="2"/>
  <c r="H118" i="2" s="1"/>
  <c r="K119" i="2"/>
  <c r="C119" i="2" s="1"/>
  <c r="K120" i="2"/>
  <c r="K121" i="2"/>
  <c r="H121" i="2" s="1"/>
  <c r="K122" i="2"/>
  <c r="H123" i="2"/>
  <c r="K123" i="2"/>
  <c r="C123" i="2" s="1"/>
  <c r="K124" i="2"/>
  <c r="K125" i="2"/>
  <c r="H125" i="2" s="1"/>
  <c r="K126" i="2"/>
  <c r="F127" i="2"/>
  <c r="K127" i="2"/>
  <c r="H127" i="2" s="1"/>
  <c r="C128" i="2"/>
  <c r="K128" i="2"/>
  <c r="H128" i="2" s="1"/>
  <c r="H129" i="2"/>
  <c r="K129" i="2"/>
  <c r="C129" i="2" s="1"/>
  <c r="K130" i="2"/>
  <c r="H130" i="2" s="1"/>
  <c r="C131" i="2"/>
  <c r="E131" i="2" s="1"/>
  <c r="K131" i="2"/>
  <c r="H131" i="2" s="1"/>
  <c r="K132" i="2"/>
  <c r="H132" i="2" s="1"/>
  <c r="F133" i="2"/>
  <c r="K133" i="2"/>
  <c r="H133" i="2" s="1"/>
  <c r="K134" i="2"/>
  <c r="C134" i="2" s="1"/>
  <c r="K135" i="2"/>
  <c r="K136" i="2"/>
  <c r="C136" i="2" s="1"/>
  <c r="F136" i="2" s="1"/>
  <c r="K137" i="2"/>
  <c r="K138" i="2"/>
  <c r="C138" i="2" s="1"/>
  <c r="F138" i="2" s="1"/>
  <c r="F139" i="2"/>
  <c r="H139" i="2"/>
  <c r="K139" i="2"/>
  <c r="C140" i="2"/>
  <c r="F140" i="2" s="1"/>
  <c r="H140" i="2"/>
  <c r="K140" i="2"/>
  <c r="C141" i="2"/>
  <c r="K141" i="2"/>
  <c r="H141" i="2" s="1"/>
  <c r="K142" i="2"/>
  <c r="H142" i="2" s="1"/>
  <c r="F143" i="2"/>
  <c r="K143" i="2"/>
  <c r="H143" i="2" s="1"/>
  <c r="F144" i="2"/>
  <c r="H144" i="2"/>
  <c r="K144" i="2"/>
  <c r="C145" i="2"/>
  <c r="F145" i="2" s="1"/>
  <c r="H145" i="2"/>
  <c r="K145" i="2"/>
  <c r="C146" i="2"/>
  <c r="K146" i="2"/>
  <c r="H146" i="2" s="1"/>
  <c r="K147" i="2"/>
  <c r="H147" i="2" s="1"/>
  <c r="H148" i="2"/>
  <c r="K148" i="2"/>
  <c r="C148" i="2" s="1"/>
  <c r="H149" i="2"/>
  <c r="K149" i="2"/>
  <c r="C149" i="2" s="1"/>
  <c r="K150" i="2"/>
  <c r="C150" i="2" s="1"/>
  <c r="K151" i="2"/>
  <c r="C151" i="2" s="1"/>
  <c r="C152" i="2"/>
  <c r="H152" i="2"/>
  <c r="K152" i="2"/>
  <c r="F153" i="2"/>
  <c r="K153" i="2"/>
  <c r="H153" i="2" s="1"/>
  <c r="K154" i="2"/>
  <c r="C154" i="2" s="1"/>
  <c r="K155" i="2"/>
  <c r="K156" i="2"/>
  <c r="C156" i="2" s="1"/>
  <c r="K157" i="2"/>
  <c r="K158" i="2"/>
  <c r="C158" i="2" s="1"/>
  <c r="K159" i="2"/>
  <c r="K160" i="2"/>
  <c r="C160" i="2" s="1"/>
  <c r="K161" i="2"/>
  <c r="K162" i="2"/>
  <c r="C162" i="2" s="1"/>
  <c r="K163" i="2"/>
  <c r="K164" i="2"/>
  <c r="C164" i="2" s="1"/>
  <c r="K165" i="2"/>
  <c r="K166" i="2"/>
  <c r="C166" i="2" s="1"/>
  <c r="K167" i="2"/>
  <c r="K168" i="2"/>
  <c r="C168" i="2" s="1"/>
  <c r="K169" i="2"/>
  <c r="K170" i="2"/>
  <c r="C170" i="2" s="1"/>
  <c r="F171" i="2"/>
  <c r="H171" i="2"/>
  <c r="K171" i="2"/>
  <c r="C172" i="2"/>
  <c r="F172" i="2" s="1"/>
  <c r="H172" i="2"/>
  <c r="K172" i="2"/>
  <c r="K173" i="2"/>
  <c r="C173" i="2" s="1"/>
  <c r="K174" i="2"/>
  <c r="C174" i="2" s="1"/>
  <c r="H175" i="2"/>
  <c r="K175" i="2"/>
  <c r="C175" i="2" s="1"/>
  <c r="C176" i="2"/>
  <c r="F176" i="2" s="1"/>
  <c r="H176" i="2"/>
  <c r="K176" i="2"/>
  <c r="C177" i="2"/>
  <c r="K177" i="2"/>
  <c r="H177" i="2" s="1"/>
  <c r="K178" i="2"/>
  <c r="H178" i="2" s="1"/>
  <c r="H179" i="2"/>
  <c r="K179" i="2"/>
  <c r="C179" i="2" s="1"/>
  <c r="C180" i="2"/>
  <c r="F180" i="2" s="1"/>
  <c r="H180" i="2"/>
  <c r="K180" i="2"/>
  <c r="F181" i="2"/>
  <c r="K181" i="2"/>
  <c r="H181" i="2" s="1"/>
  <c r="F182" i="2"/>
  <c r="K182" i="2"/>
  <c r="H182" i="2" s="1"/>
  <c r="K183" i="2"/>
  <c r="H183" i="2" s="1"/>
  <c r="F184" i="2"/>
  <c r="K184" i="2"/>
  <c r="H184" i="2" s="1"/>
  <c r="K185" i="2"/>
  <c r="F186" i="2"/>
  <c r="K186" i="2"/>
  <c r="H186" i="2" s="1"/>
  <c r="H187" i="2"/>
  <c r="K187" i="2"/>
  <c r="C187" i="2" s="1"/>
  <c r="F188" i="2"/>
  <c r="K188" i="2"/>
  <c r="H188" i="2" s="1"/>
  <c r="K189" i="2"/>
  <c r="C189" i="2" s="1"/>
  <c r="K191" i="2"/>
  <c r="F192" i="2"/>
  <c r="K192" i="2"/>
  <c r="H192" i="2" s="1"/>
  <c r="F193" i="2"/>
  <c r="K193" i="2"/>
  <c r="H193" i="2" s="1"/>
  <c r="K194" i="2"/>
  <c r="F195" i="2"/>
  <c r="K195" i="2"/>
  <c r="H195" i="2" s="1"/>
  <c r="H196" i="2"/>
  <c r="K196" i="2"/>
  <c r="C196" i="2" s="1"/>
  <c r="F197" i="2"/>
  <c r="K197" i="2"/>
  <c r="H197" i="2" s="1"/>
  <c r="K198" i="2"/>
  <c r="C198" i="2" s="1"/>
  <c r="F198" i="2" s="1"/>
  <c r="F199" i="2"/>
  <c r="H199" i="2"/>
  <c r="K199" i="2"/>
  <c r="C200" i="2"/>
  <c r="F200" i="2" s="1"/>
  <c r="H200" i="2"/>
  <c r="K200" i="2"/>
  <c r="K201" i="2"/>
  <c r="C201" i="2" s="1"/>
  <c r="K202" i="2"/>
  <c r="C202" i="2" s="1"/>
  <c r="H203" i="2"/>
  <c r="K203" i="2"/>
  <c r="C203" i="2" s="1"/>
  <c r="C204" i="2"/>
  <c r="F204" i="2" s="1"/>
  <c r="H204" i="2"/>
  <c r="K204" i="2"/>
  <c r="C205" i="2"/>
  <c r="K205" i="2"/>
  <c r="H205" i="2" s="1"/>
  <c r="K206" i="2"/>
  <c r="H206" i="2" s="1"/>
  <c r="H207" i="2"/>
  <c r="K207" i="2"/>
  <c r="C207" i="2" s="1"/>
  <c r="C208" i="2"/>
  <c r="F208" i="2" s="1"/>
  <c r="H208" i="2"/>
  <c r="K208" i="2"/>
  <c r="K209" i="2"/>
  <c r="C209" i="2" s="1"/>
  <c r="K210" i="2"/>
  <c r="C210" i="2" s="1"/>
  <c r="H211" i="2"/>
  <c r="K211" i="2"/>
  <c r="C211" i="2" s="1"/>
  <c r="C212" i="2"/>
  <c r="F212" i="2" s="1"/>
  <c r="H212" i="2"/>
  <c r="K212" i="2"/>
  <c r="C213" i="2"/>
  <c r="K213" i="2"/>
  <c r="H213" i="2" s="1"/>
  <c r="F214" i="2"/>
  <c r="K214" i="2"/>
  <c r="H214" i="2" s="1"/>
  <c r="K215" i="2"/>
  <c r="C215" i="2" s="1"/>
  <c r="F215" i="2" s="1"/>
  <c r="K216" i="2"/>
  <c r="K217" i="2"/>
  <c r="C217" i="2" s="1"/>
  <c r="F217" i="2" s="1"/>
  <c r="K218" i="2"/>
  <c r="K219" i="2"/>
  <c r="C219" i="2" s="1"/>
  <c r="F219" i="2" s="1"/>
  <c r="K220" i="2"/>
  <c r="F221" i="2"/>
  <c r="H221" i="2"/>
  <c r="K221" i="2"/>
  <c r="K222" i="2"/>
  <c r="C222" i="2" s="1"/>
  <c r="K223" i="2"/>
  <c r="C223" i="2" s="1"/>
  <c r="K224" i="2"/>
  <c r="C224" i="2" s="1"/>
  <c r="F225" i="2"/>
  <c r="K225" i="2"/>
  <c r="H225" i="2" s="1"/>
  <c r="K226" i="2"/>
  <c r="C226" i="2" s="1"/>
  <c r="F227" i="2"/>
  <c r="H227" i="2"/>
  <c r="K227" i="2"/>
  <c r="H228" i="2"/>
  <c r="K228" i="2"/>
  <c r="C228" i="2" s="1"/>
  <c r="H229" i="2"/>
  <c r="K229" i="2"/>
  <c r="C229" i="2" s="1"/>
  <c r="E229" i="2" s="1"/>
  <c r="F230" i="2"/>
  <c r="K230" i="2"/>
  <c r="H230" i="2" s="1"/>
  <c r="K231" i="2"/>
  <c r="F232" i="2"/>
  <c r="K232" i="2"/>
  <c r="H232" i="2" s="1"/>
  <c r="C233" i="2"/>
  <c r="E233" i="2" s="1"/>
  <c r="K233" i="2"/>
  <c r="H233" i="2" s="1"/>
  <c r="C234" i="2"/>
  <c r="E234" i="2" s="1"/>
  <c r="K234" i="2"/>
  <c r="H234" i="2" s="1"/>
  <c r="C235" i="2"/>
  <c r="E235" i="2" s="1"/>
  <c r="K235" i="2"/>
  <c r="H235" i="2" s="1"/>
  <c r="C236" i="2"/>
  <c r="E236" i="2" s="1"/>
  <c r="K236" i="2"/>
  <c r="H236" i="2" s="1"/>
  <c r="C237" i="2"/>
  <c r="E237" i="2" s="1"/>
  <c r="K237" i="2"/>
  <c r="H237" i="2" s="1"/>
  <c r="C238" i="2"/>
  <c r="E238" i="2" s="1"/>
  <c r="K238" i="2"/>
  <c r="H238" i="2" s="1"/>
  <c r="C239" i="2"/>
  <c r="E239" i="2" s="1"/>
  <c r="K239" i="2"/>
  <c r="H239" i="2" s="1"/>
  <c r="F240" i="2"/>
  <c r="K240" i="2"/>
  <c r="H240" i="2" s="1"/>
  <c r="K241" i="2"/>
  <c r="K242" i="2"/>
  <c r="K243" i="2"/>
  <c r="K244" i="2"/>
  <c r="F228" i="2" l="1"/>
  <c r="D228" i="2" s="1"/>
  <c r="E228" i="2"/>
  <c r="F202" i="2"/>
  <c r="E202" i="2"/>
  <c r="E129" i="2"/>
  <c r="F129" i="2"/>
  <c r="E112" i="2"/>
  <c r="F112" i="2"/>
  <c r="D112" i="2" s="1"/>
  <c r="E66" i="2"/>
  <c r="F66" i="2"/>
  <c r="F223" i="2"/>
  <c r="E223" i="2"/>
  <c r="F210" i="2"/>
  <c r="E210" i="2"/>
  <c r="F174" i="2"/>
  <c r="E174" i="2"/>
  <c r="F149" i="2"/>
  <c r="D149" i="2" s="1"/>
  <c r="E149" i="2"/>
  <c r="F151" i="2"/>
  <c r="E151" i="2"/>
  <c r="F116" i="2"/>
  <c r="D116" i="2" s="1"/>
  <c r="E116" i="2"/>
  <c r="H223" i="2"/>
  <c r="H222" i="2"/>
  <c r="H210" i="2"/>
  <c r="H209" i="2"/>
  <c r="E208" i="2"/>
  <c r="C206" i="2"/>
  <c r="H202" i="2"/>
  <c r="H201" i="2"/>
  <c r="E200" i="2"/>
  <c r="C183" i="2"/>
  <c r="E180" i="2"/>
  <c r="C178" i="2"/>
  <c r="H174" i="2"/>
  <c r="H173" i="2"/>
  <c r="E172" i="2"/>
  <c r="H151" i="2"/>
  <c r="H150" i="2"/>
  <c r="C147" i="2"/>
  <c r="C142" i="2"/>
  <c r="H134" i="2"/>
  <c r="H119" i="2"/>
  <c r="H112" i="2"/>
  <c r="C110" i="2"/>
  <c r="E110" i="2" s="1"/>
  <c r="H97" i="2"/>
  <c r="C76" i="2"/>
  <c r="C68" i="2"/>
  <c r="H66" i="2"/>
  <c r="H62" i="2"/>
  <c r="H17" i="2"/>
  <c r="H224" i="2"/>
  <c r="E65" i="2"/>
  <c r="H60" i="2"/>
  <c r="H58" i="2"/>
  <c r="H8" i="2"/>
  <c r="E212" i="2"/>
  <c r="E204" i="2"/>
  <c r="E176" i="2"/>
  <c r="E145" i="2"/>
  <c r="E140" i="2"/>
  <c r="E81" i="2"/>
  <c r="E74" i="2"/>
  <c r="D123" i="2"/>
  <c r="C243" i="2"/>
  <c r="H243" i="2"/>
  <c r="E224" i="2"/>
  <c r="F224" i="2"/>
  <c r="D224" i="2" s="1"/>
  <c r="E189" i="2"/>
  <c r="C169" i="2"/>
  <c r="H169" i="2"/>
  <c r="C167" i="2"/>
  <c r="H167" i="2"/>
  <c r="C163" i="2"/>
  <c r="H163" i="2"/>
  <c r="C157" i="2"/>
  <c r="H157" i="2"/>
  <c r="E152" i="2"/>
  <c r="F152" i="2"/>
  <c r="D152" i="2" s="1"/>
  <c r="C244" i="2"/>
  <c r="H244" i="2"/>
  <c r="C241" i="2"/>
  <c r="H241" i="2"/>
  <c r="F239" i="2"/>
  <c r="D239" i="2"/>
  <c r="F238" i="2"/>
  <c r="D238" i="2" s="1"/>
  <c r="F237" i="2"/>
  <c r="D237" i="2" s="1"/>
  <c r="F236" i="2"/>
  <c r="D236" i="2" s="1"/>
  <c r="F235" i="2"/>
  <c r="D235" i="2" s="1"/>
  <c r="F234" i="2"/>
  <c r="D234" i="2" s="1"/>
  <c r="F233" i="2"/>
  <c r="D233" i="2"/>
  <c r="C231" i="2"/>
  <c r="H231" i="2"/>
  <c r="F229" i="2"/>
  <c r="D229" i="2" s="1"/>
  <c r="E226" i="2"/>
  <c r="D211" i="2"/>
  <c r="E211" i="2"/>
  <c r="F211" i="2"/>
  <c r="D203" i="2"/>
  <c r="E203" i="2"/>
  <c r="F203" i="2"/>
  <c r="C191" i="2"/>
  <c r="H191" i="2"/>
  <c r="D187" i="2"/>
  <c r="E187" i="2"/>
  <c r="F187" i="2"/>
  <c r="C185" i="2"/>
  <c r="H185" i="2"/>
  <c r="E173" i="2"/>
  <c r="F173" i="2"/>
  <c r="D173" i="2" s="1"/>
  <c r="E170" i="2"/>
  <c r="E168" i="2"/>
  <c r="E166" i="2"/>
  <c r="E164" i="2"/>
  <c r="E162" i="2"/>
  <c r="E160" i="2"/>
  <c r="E158" i="2"/>
  <c r="E156" i="2"/>
  <c r="E154" i="2"/>
  <c r="E148" i="2"/>
  <c r="F148" i="2"/>
  <c r="D148" i="2" s="1"/>
  <c r="C125" i="2"/>
  <c r="E119" i="2"/>
  <c r="F119" i="2"/>
  <c r="D119" i="2" s="1"/>
  <c r="C115" i="2"/>
  <c r="C242" i="2"/>
  <c r="H242" i="2"/>
  <c r="F226" i="2"/>
  <c r="D226" i="2" s="1"/>
  <c r="E222" i="2"/>
  <c r="F222" i="2"/>
  <c r="D222" i="2" s="1"/>
  <c r="C220" i="2"/>
  <c r="H220" i="2"/>
  <c r="C218" i="2"/>
  <c r="H218" i="2"/>
  <c r="C216" i="2"/>
  <c r="H216" i="2"/>
  <c r="E213" i="2"/>
  <c r="F213" i="2"/>
  <c r="D213" i="2" s="1"/>
  <c r="E205" i="2"/>
  <c r="F205" i="2"/>
  <c r="D205" i="2" s="1"/>
  <c r="D196" i="2"/>
  <c r="E196" i="2"/>
  <c r="F196" i="2"/>
  <c r="C194" i="2"/>
  <c r="H194" i="2"/>
  <c r="E175" i="2"/>
  <c r="F175" i="2"/>
  <c r="D175" i="2" s="1"/>
  <c r="F170" i="2"/>
  <c r="D170" i="2" s="1"/>
  <c r="F168" i="2"/>
  <c r="D168" i="2" s="1"/>
  <c r="F166" i="2"/>
  <c r="D166" i="2" s="1"/>
  <c r="F164" i="2"/>
  <c r="D164" i="2" s="1"/>
  <c r="F162" i="2"/>
  <c r="D162" i="2" s="1"/>
  <c r="F160" i="2"/>
  <c r="D160" i="2" s="1"/>
  <c r="F158" i="2"/>
  <c r="D158" i="2" s="1"/>
  <c r="F156" i="2"/>
  <c r="D156" i="2" s="1"/>
  <c r="F154" i="2"/>
  <c r="D154" i="2" s="1"/>
  <c r="E150" i="2"/>
  <c r="F150" i="2"/>
  <c r="D150" i="2" s="1"/>
  <c r="C137" i="2"/>
  <c r="H137" i="2"/>
  <c r="C135" i="2"/>
  <c r="H135" i="2"/>
  <c r="C132" i="2"/>
  <c r="C111" i="2"/>
  <c r="C107" i="2"/>
  <c r="H107" i="2"/>
  <c r="C161" i="2"/>
  <c r="H161" i="2"/>
  <c r="F128" i="2"/>
  <c r="D128" i="2" s="1"/>
  <c r="E128" i="2"/>
  <c r="C126" i="2"/>
  <c r="H126" i="2"/>
  <c r="E207" i="2"/>
  <c r="F207" i="2"/>
  <c r="D207" i="2" s="1"/>
  <c r="E177" i="2"/>
  <c r="F177" i="2"/>
  <c r="D177" i="2" s="1"/>
  <c r="C165" i="2"/>
  <c r="H165" i="2"/>
  <c r="C159" i="2"/>
  <c r="H159" i="2"/>
  <c r="C155" i="2"/>
  <c r="H155" i="2"/>
  <c r="D219" i="2"/>
  <c r="E219" i="2"/>
  <c r="D217" i="2"/>
  <c r="E217" i="2"/>
  <c r="D215" i="2"/>
  <c r="E215" i="2"/>
  <c r="E209" i="2"/>
  <c r="F209" i="2"/>
  <c r="D209" i="2" s="1"/>
  <c r="D201" i="2"/>
  <c r="E201" i="2"/>
  <c r="F201" i="2"/>
  <c r="D198" i="2"/>
  <c r="E198" i="2"/>
  <c r="F189" i="2"/>
  <c r="D189" i="2" s="1"/>
  <c r="E179" i="2"/>
  <c r="F179" i="2"/>
  <c r="D179" i="2" s="1"/>
  <c r="E146" i="2"/>
  <c r="F146" i="2"/>
  <c r="D146" i="2" s="1"/>
  <c r="E141" i="2"/>
  <c r="F141" i="2"/>
  <c r="D141" i="2" s="1"/>
  <c r="D138" i="2"/>
  <c r="E138" i="2"/>
  <c r="D136" i="2"/>
  <c r="E136" i="2"/>
  <c r="E134" i="2"/>
  <c r="F134" i="2"/>
  <c r="D134" i="2" s="1"/>
  <c r="E123" i="2"/>
  <c r="F123" i="2"/>
  <c r="C103" i="2"/>
  <c r="H103" i="2"/>
  <c r="C88" i="2"/>
  <c r="H88" i="2"/>
  <c r="C84" i="2"/>
  <c r="H84" i="2"/>
  <c r="D82" i="2"/>
  <c r="F82" i="2"/>
  <c r="E79" i="2"/>
  <c r="E4" i="2"/>
  <c r="F4" i="2"/>
  <c r="D4" i="2" s="1"/>
  <c r="D223" i="2"/>
  <c r="D212" i="2"/>
  <c r="D210" i="2"/>
  <c r="D208" i="2"/>
  <c r="D204" i="2"/>
  <c r="D202" i="2"/>
  <c r="D200" i="2"/>
  <c r="D180" i="2"/>
  <c r="D176" i="2"/>
  <c r="D174" i="2"/>
  <c r="D172" i="2"/>
  <c r="D151" i="2"/>
  <c r="D145" i="2"/>
  <c r="D140" i="2"/>
  <c r="C124" i="2"/>
  <c r="H124" i="2"/>
  <c r="C108" i="2"/>
  <c r="H108" i="2"/>
  <c r="C104" i="2"/>
  <c r="H104" i="2"/>
  <c r="C91" i="2"/>
  <c r="H91" i="2"/>
  <c r="C85" i="2"/>
  <c r="H85" i="2"/>
  <c r="F79" i="2"/>
  <c r="D79" i="2" s="1"/>
  <c r="D75" i="2"/>
  <c r="E75" i="2"/>
  <c r="F75" i="2"/>
  <c r="C72" i="2"/>
  <c r="D19" i="2"/>
  <c r="E19" i="2"/>
  <c r="F19" i="2"/>
  <c r="F5" i="2"/>
  <c r="D5" i="2"/>
  <c r="E5" i="2"/>
  <c r="C130" i="2"/>
  <c r="C122" i="2"/>
  <c r="H122" i="2"/>
  <c r="C121" i="2"/>
  <c r="C117" i="2"/>
  <c r="C113" i="2"/>
  <c r="C105" i="2"/>
  <c r="H105" i="2"/>
  <c r="C101" i="2"/>
  <c r="H101" i="2"/>
  <c r="F99" i="2"/>
  <c r="D99" i="2" s="1"/>
  <c r="D98" i="2"/>
  <c r="F98" i="2"/>
  <c r="F97" i="2"/>
  <c r="D97" i="2" s="1"/>
  <c r="D96" i="2"/>
  <c r="F96" i="2"/>
  <c r="F95" i="2"/>
  <c r="D95" i="2" s="1"/>
  <c r="F94" i="2"/>
  <c r="D94" i="2" s="1"/>
  <c r="C92" i="2"/>
  <c r="H92" i="2"/>
  <c r="F90" i="2"/>
  <c r="D90" i="2" s="1"/>
  <c r="C86" i="2"/>
  <c r="H86" i="2"/>
  <c r="E77" i="2"/>
  <c r="F77" i="2"/>
  <c r="D77" i="2" s="1"/>
  <c r="D73" i="2"/>
  <c r="E73" i="2"/>
  <c r="F73" i="2"/>
  <c r="F67" i="2"/>
  <c r="D67" i="2" s="1"/>
  <c r="E67" i="2"/>
  <c r="E58" i="2"/>
  <c r="F58" i="2"/>
  <c r="D58" i="2" s="1"/>
  <c r="F20" i="2"/>
  <c r="D20" i="2" s="1"/>
  <c r="E20" i="2"/>
  <c r="H226" i="2"/>
  <c r="H219" i="2"/>
  <c r="H217" i="2"/>
  <c r="H215" i="2"/>
  <c r="H198" i="2"/>
  <c r="H189" i="2"/>
  <c r="H170" i="2"/>
  <c r="H168" i="2"/>
  <c r="H166" i="2"/>
  <c r="H164" i="2"/>
  <c r="H162" i="2"/>
  <c r="H160" i="2"/>
  <c r="H158" i="2"/>
  <c r="H156" i="2"/>
  <c r="H154" i="2"/>
  <c r="H138" i="2"/>
  <c r="H136" i="2"/>
  <c r="F131" i="2"/>
  <c r="D131" i="2" s="1"/>
  <c r="D129" i="2"/>
  <c r="C120" i="2"/>
  <c r="H120" i="2"/>
  <c r="F114" i="2"/>
  <c r="D114" i="2" s="1"/>
  <c r="C106" i="2"/>
  <c r="H106" i="2"/>
  <c r="C102" i="2"/>
  <c r="H102" i="2"/>
  <c r="C87" i="2"/>
  <c r="H87" i="2"/>
  <c r="E82" i="2"/>
  <c r="F59" i="2"/>
  <c r="D59" i="2"/>
  <c r="E59" i="2"/>
  <c r="D81" i="2"/>
  <c r="D74" i="2"/>
  <c r="D66" i="2"/>
  <c r="D65" i="2"/>
  <c r="D64" i="2"/>
  <c r="E64" i="2"/>
  <c r="D55" i="2"/>
  <c r="E55" i="2"/>
  <c r="D53" i="2"/>
  <c r="E53" i="2"/>
  <c r="D51" i="2"/>
  <c r="E51" i="2"/>
  <c r="D49" i="2"/>
  <c r="E49" i="2"/>
  <c r="D47" i="2"/>
  <c r="E47" i="2"/>
  <c r="D45" i="2"/>
  <c r="E45" i="2"/>
  <c r="D43" i="2"/>
  <c r="E43" i="2"/>
  <c r="D41" i="2"/>
  <c r="E41" i="2"/>
  <c r="D39" i="2"/>
  <c r="E39" i="2"/>
  <c r="D37" i="2"/>
  <c r="E37" i="2"/>
  <c r="D35" i="2"/>
  <c r="E35" i="2"/>
  <c r="D33" i="2"/>
  <c r="E33" i="2"/>
  <c r="D31" i="2"/>
  <c r="E31" i="2"/>
  <c r="D29" i="2"/>
  <c r="E29" i="2"/>
  <c r="D27" i="2"/>
  <c r="E27" i="2"/>
  <c r="D25" i="2"/>
  <c r="E25" i="2"/>
  <c r="F18" i="2"/>
  <c r="D18" i="2" s="1"/>
  <c r="E17" i="2"/>
  <c r="F17" i="2"/>
  <c r="D17" i="2" s="1"/>
  <c r="C14" i="2"/>
  <c r="H14" i="2"/>
  <c r="C12" i="2"/>
  <c r="H12" i="2"/>
  <c r="C10" i="2"/>
  <c r="H10" i="2"/>
  <c r="F3" i="2"/>
  <c r="D3" i="2" s="1"/>
  <c r="C69" i="2"/>
  <c r="F63" i="2"/>
  <c r="D63" i="2" s="1"/>
  <c r="E62" i="2"/>
  <c r="F62" i="2"/>
  <c r="D62" i="2" s="1"/>
  <c r="F16" i="2"/>
  <c r="D16" i="2" s="1"/>
  <c r="E8" i="2"/>
  <c r="F8" i="2"/>
  <c r="D8" i="2" s="1"/>
  <c r="H79" i="2"/>
  <c r="H65" i="2"/>
  <c r="E63" i="2"/>
  <c r="F61" i="2"/>
  <c r="D61" i="2" s="1"/>
  <c r="E60" i="2"/>
  <c r="F60" i="2"/>
  <c r="D60" i="2" s="1"/>
  <c r="C56" i="2"/>
  <c r="H56" i="2"/>
  <c r="C54" i="2"/>
  <c r="H54" i="2"/>
  <c r="C52" i="2"/>
  <c r="H52" i="2"/>
  <c r="C50" i="2"/>
  <c r="H50" i="2"/>
  <c r="C48" i="2"/>
  <c r="H48" i="2"/>
  <c r="C46" i="2"/>
  <c r="H46" i="2"/>
  <c r="C44" i="2"/>
  <c r="H44" i="2"/>
  <c r="C42" i="2"/>
  <c r="H42" i="2"/>
  <c r="C40" i="2"/>
  <c r="H40" i="2"/>
  <c r="C38" i="2"/>
  <c r="H38" i="2"/>
  <c r="C36" i="2"/>
  <c r="H36" i="2"/>
  <c r="C34" i="2"/>
  <c r="H34" i="2"/>
  <c r="C32" i="2"/>
  <c r="H32" i="2"/>
  <c r="C30" i="2"/>
  <c r="H30" i="2"/>
  <c r="C28" i="2"/>
  <c r="H28" i="2"/>
  <c r="C26" i="2"/>
  <c r="H26" i="2"/>
  <c r="C24" i="2"/>
  <c r="H24" i="2"/>
  <c r="F22" i="2"/>
  <c r="D22" i="2" s="1"/>
  <c r="D21" i="2"/>
  <c r="E21" i="2"/>
  <c r="F21" i="2"/>
  <c r="E16" i="2"/>
  <c r="D13" i="2"/>
  <c r="E13" i="2"/>
  <c r="D11" i="2"/>
  <c r="E11" i="2"/>
  <c r="F7" i="2"/>
  <c r="D7" i="2" s="1"/>
  <c r="E6" i="2"/>
  <c r="F6" i="2"/>
  <c r="D6" i="2" s="1"/>
  <c r="H63" i="2"/>
  <c r="H61" i="2"/>
  <c r="H59" i="2"/>
  <c r="H22" i="2"/>
  <c r="H20" i="2"/>
  <c r="H18" i="2"/>
  <c r="H16" i="2"/>
  <c r="H7" i="2"/>
  <c r="H5" i="2"/>
  <c r="H3" i="2"/>
  <c r="H55" i="2"/>
  <c r="H53" i="2"/>
  <c r="H51" i="2"/>
  <c r="H49" i="2"/>
  <c r="H47" i="2"/>
  <c r="H45" i="2"/>
  <c r="H43" i="2"/>
  <c r="H41" i="2"/>
  <c r="H39" i="2"/>
  <c r="H37" i="2"/>
  <c r="H35" i="2"/>
  <c r="H33" i="2"/>
  <c r="H31" i="2"/>
  <c r="H29" i="2"/>
  <c r="H27" i="2"/>
  <c r="H25" i="2"/>
  <c r="H13" i="2"/>
  <c r="H11" i="2"/>
  <c r="F68" i="2" l="1"/>
  <c r="E68" i="2"/>
  <c r="F147" i="2"/>
  <c r="E147" i="2"/>
  <c r="F183" i="2"/>
  <c r="E183" i="2"/>
  <c r="F206" i="2"/>
  <c r="E206" i="2"/>
  <c r="D147" i="2"/>
  <c r="D183" i="2"/>
  <c r="D206" i="2"/>
  <c r="F76" i="2"/>
  <c r="D76" i="2" s="1"/>
  <c r="E76" i="2"/>
  <c r="D68" i="2"/>
  <c r="F110" i="2"/>
  <c r="D110" i="2"/>
  <c r="F178" i="2"/>
  <c r="D178" i="2" s="1"/>
  <c r="E178" i="2"/>
  <c r="F142" i="2"/>
  <c r="D142" i="2" s="1"/>
  <c r="E142" i="2"/>
  <c r="E24" i="2"/>
  <c r="F24" i="2"/>
  <c r="D24" i="2" s="1"/>
  <c r="E28" i="2"/>
  <c r="F28" i="2"/>
  <c r="D28" i="2"/>
  <c r="E32" i="2"/>
  <c r="F32" i="2"/>
  <c r="D32" i="2"/>
  <c r="E36" i="2"/>
  <c r="F36" i="2"/>
  <c r="D36" i="2" s="1"/>
  <c r="E40" i="2"/>
  <c r="F40" i="2"/>
  <c r="D40" i="2" s="1"/>
  <c r="E44" i="2"/>
  <c r="F44" i="2"/>
  <c r="D44" i="2" s="1"/>
  <c r="E48" i="2"/>
  <c r="F48" i="2"/>
  <c r="D48" i="2"/>
  <c r="E52" i="2"/>
  <c r="F52" i="2"/>
  <c r="D52" i="2" s="1"/>
  <c r="E56" i="2"/>
  <c r="F56" i="2"/>
  <c r="D56" i="2" s="1"/>
  <c r="F69" i="2"/>
  <c r="D69" i="2" s="1"/>
  <c r="E69" i="2"/>
  <c r="E10" i="2"/>
  <c r="F10" i="2"/>
  <c r="D10" i="2"/>
  <c r="E14" i="2"/>
  <c r="F14" i="2"/>
  <c r="D14" i="2" s="1"/>
  <c r="E102" i="2"/>
  <c r="D102" i="2"/>
  <c r="F102" i="2"/>
  <c r="E120" i="2"/>
  <c r="F120" i="2"/>
  <c r="D120" i="2" s="1"/>
  <c r="E86" i="2"/>
  <c r="F86" i="2"/>
  <c r="D86" i="2"/>
  <c r="E92" i="2"/>
  <c r="F92" i="2"/>
  <c r="D92" i="2" s="1"/>
  <c r="E105" i="2"/>
  <c r="F105" i="2"/>
  <c r="D105" i="2" s="1"/>
  <c r="E84" i="2"/>
  <c r="F84" i="2"/>
  <c r="D84" i="2" s="1"/>
  <c r="E103" i="2"/>
  <c r="F103" i="2"/>
  <c r="D103" i="2" s="1"/>
  <c r="E159" i="2"/>
  <c r="F159" i="2"/>
  <c r="D159" i="2" s="1"/>
  <c r="E194" i="2"/>
  <c r="F194" i="2"/>
  <c r="D194" i="2" s="1"/>
  <c r="E185" i="2"/>
  <c r="F185" i="2"/>
  <c r="D185" i="2" s="1"/>
  <c r="E157" i="2"/>
  <c r="F157" i="2"/>
  <c r="D157" i="2"/>
  <c r="E167" i="2"/>
  <c r="F167" i="2"/>
  <c r="D167" i="2" s="1"/>
  <c r="F113" i="2"/>
  <c r="D113" i="2"/>
  <c r="E113" i="2"/>
  <c r="F122" i="2"/>
  <c r="D122" i="2" s="1"/>
  <c r="E122" i="2"/>
  <c r="F72" i="2"/>
  <c r="D72" i="2" s="1"/>
  <c r="E72" i="2"/>
  <c r="E91" i="2"/>
  <c r="D91" i="2"/>
  <c r="F91" i="2"/>
  <c r="E108" i="2"/>
  <c r="F108" i="2"/>
  <c r="D108" i="2" s="1"/>
  <c r="E124" i="2"/>
  <c r="F124" i="2"/>
  <c r="D124" i="2"/>
  <c r="E107" i="2"/>
  <c r="F107" i="2"/>
  <c r="D107" i="2" s="1"/>
  <c r="E135" i="2"/>
  <c r="F135" i="2"/>
  <c r="D135" i="2" s="1"/>
  <c r="E218" i="2"/>
  <c r="F218" i="2"/>
  <c r="D218" i="2" s="1"/>
  <c r="E242" i="2"/>
  <c r="F242" i="2"/>
  <c r="D242" i="2"/>
  <c r="E191" i="2"/>
  <c r="F191" i="2"/>
  <c r="D191" i="2"/>
  <c r="E231" i="2"/>
  <c r="F231" i="2"/>
  <c r="D231" i="2" s="1"/>
  <c r="E241" i="2"/>
  <c r="F241" i="2"/>
  <c r="D241" i="2" s="1"/>
  <c r="E243" i="2"/>
  <c r="F243" i="2"/>
  <c r="D243" i="2"/>
  <c r="E26" i="2"/>
  <c r="F26" i="2"/>
  <c r="D26" i="2" s="1"/>
  <c r="E30" i="2"/>
  <c r="F30" i="2"/>
  <c r="D30" i="2" s="1"/>
  <c r="E34" i="2"/>
  <c r="F34" i="2"/>
  <c r="D34" i="2" s="1"/>
  <c r="E38" i="2"/>
  <c r="F38" i="2"/>
  <c r="D38" i="2"/>
  <c r="E42" i="2"/>
  <c r="F42" i="2"/>
  <c r="D42" i="2"/>
  <c r="E46" i="2"/>
  <c r="F46" i="2"/>
  <c r="D46" i="2" s="1"/>
  <c r="E50" i="2"/>
  <c r="F50" i="2"/>
  <c r="D50" i="2" s="1"/>
  <c r="E54" i="2"/>
  <c r="F54" i="2"/>
  <c r="D54" i="2" s="1"/>
  <c r="E12" i="2"/>
  <c r="F12" i="2"/>
  <c r="D12" i="2"/>
  <c r="E87" i="2"/>
  <c r="F87" i="2"/>
  <c r="D87" i="2" s="1"/>
  <c r="E106" i="2"/>
  <c r="F106" i="2"/>
  <c r="D106" i="2" s="1"/>
  <c r="E101" i="2"/>
  <c r="F101" i="2"/>
  <c r="D101" i="2" s="1"/>
  <c r="F117" i="2"/>
  <c r="D117" i="2" s="1"/>
  <c r="E117" i="2"/>
  <c r="F130" i="2"/>
  <c r="D130" i="2" s="1"/>
  <c r="E130" i="2"/>
  <c r="E88" i="2"/>
  <c r="F88" i="2"/>
  <c r="D88" i="2" s="1"/>
  <c r="E155" i="2"/>
  <c r="F155" i="2"/>
  <c r="D155" i="2" s="1"/>
  <c r="E165" i="2"/>
  <c r="F165" i="2"/>
  <c r="D165" i="2"/>
  <c r="D126" i="2"/>
  <c r="E126" i="2"/>
  <c r="F126" i="2"/>
  <c r="F111" i="2"/>
  <c r="D111" i="2"/>
  <c r="E111" i="2"/>
  <c r="F115" i="2"/>
  <c r="D115" i="2"/>
  <c r="E115" i="2"/>
  <c r="E125" i="2"/>
  <c r="F125" i="2"/>
  <c r="D125" i="2" s="1"/>
  <c r="E163" i="2"/>
  <c r="F163" i="2"/>
  <c r="D163" i="2" s="1"/>
  <c r="E169" i="2"/>
  <c r="F169" i="2"/>
  <c r="D169" i="2" s="1"/>
  <c r="E121" i="2"/>
  <c r="F121" i="2"/>
  <c r="D121" i="2" s="1"/>
  <c r="E85" i="2"/>
  <c r="F85" i="2"/>
  <c r="D85" i="2" s="1"/>
  <c r="E104" i="2"/>
  <c r="D104" i="2"/>
  <c r="F104" i="2"/>
  <c r="E161" i="2"/>
  <c r="F161" i="2"/>
  <c r="D161" i="2" s="1"/>
  <c r="F132" i="2"/>
  <c r="D132" i="2" s="1"/>
  <c r="E132" i="2"/>
  <c r="E137" i="2"/>
  <c r="F137" i="2"/>
  <c r="D137" i="2" s="1"/>
  <c r="E216" i="2"/>
  <c r="F216" i="2"/>
  <c r="D216" i="2" s="1"/>
  <c r="E220" i="2"/>
  <c r="F220" i="2"/>
  <c r="D220" i="2" s="1"/>
  <c r="E244" i="2"/>
  <c r="F244" i="2"/>
  <c r="D244" i="2" s="1"/>
  <c r="H2" i="1" l="1"/>
  <c r="C2" i="1" s="1"/>
  <c r="H3" i="1"/>
  <c r="C3" i="1" s="1"/>
  <c r="H4" i="1"/>
  <c r="C4" i="1" s="1"/>
  <c r="H5" i="1"/>
  <c r="C5" i="1" s="1"/>
  <c r="H6" i="1"/>
  <c r="C6" i="1" s="1"/>
  <c r="H7" i="1"/>
  <c r="C7" i="1" s="1"/>
  <c r="H8" i="1"/>
  <c r="C8" i="1" s="1"/>
  <c r="H9" i="1"/>
  <c r="C9" i="1" s="1"/>
  <c r="H10" i="1"/>
  <c r="C10" i="1" s="1"/>
  <c r="H11" i="1"/>
  <c r="C11" i="1" s="1"/>
  <c r="H12" i="1"/>
  <c r="C12" i="1" s="1"/>
  <c r="H13" i="1"/>
  <c r="C13" i="1" s="1"/>
  <c r="H14" i="1"/>
  <c r="C14" i="1" s="1"/>
  <c r="H15" i="1"/>
  <c r="C15" i="1" s="1"/>
  <c r="H16" i="1"/>
  <c r="C16" i="1" s="1"/>
  <c r="H17" i="1"/>
  <c r="C17" i="1" s="1"/>
  <c r="H18" i="1"/>
  <c r="C18" i="1" s="1"/>
  <c r="H19" i="1"/>
  <c r="C19" i="1" s="1"/>
  <c r="H20" i="1"/>
  <c r="C20" i="1" s="1"/>
  <c r="H21" i="1"/>
  <c r="C21" i="1" s="1"/>
  <c r="H22" i="1"/>
  <c r="C22" i="1" s="1"/>
  <c r="H23" i="1"/>
  <c r="C23" i="1" s="1"/>
  <c r="H24" i="1"/>
  <c r="C24" i="1" s="1"/>
  <c r="H25" i="1"/>
  <c r="C25" i="1" s="1"/>
  <c r="H26" i="1"/>
  <c r="C26" i="1" s="1"/>
  <c r="H27" i="1"/>
  <c r="C27" i="1" s="1"/>
  <c r="H28" i="1"/>
  <c r="C28" i="1" s="1"/>
  <c r="H29" i="1"/>
  <c r="C29" i="1" s="1"/>
  <c r="H30" i="1"/>
  <c r="C30" i="1" s="1"/>
  <c r="H31" i="1"/>
  <c r="C31" i="1" s="1"/>
  <c r="E29" i="1" l="1"/>
  <c r="F29" i="1"/>
  <c r="D29" i="1" s="1"/>
  <c r="E25" i="1"/>
  <c r="F25" i="1"/>
  <c r="D25" i="1" s="1"/>
  <c r="E21" i="1"/>
  <c r="F21" i="1"/>
  <c r="D21" i="1" s="1"/>
  <c r="E17" i="1"/>
  <c r="F17" i="1"/>
  <c r="D17" i="1" s="1"/>
  <c r="E13" i="1"/>
  <c r="F13" i="1"/>
  <c r="D13" i="1" s="1"/>
  <c r="E9" i="1"/>
  <c r="F9" i="1"/>
  <c r="D9" i="1" s="1"/>
  <c r="E5" i="1"/>
  <c r="F5" i="1"/>
  <c r="D5" i="1" s="1"/>
  <c r="E28" i="1"/>
  <c r="F28" i="1"/>
  <c r="D28" i="1" s="1"/>
  <c r="E24" i="1"/>
  <c r="F24" i="1"/>
  <c r="D24" i="1" s="1"/>
  <c r="E20" i="1"/>
  <c r="F20" i="1"/>
  <c r="D20" i="1" s="1"/>
  <c r="E16" i="1"/>
  <c r="F16" i="1"/>
  <c r="D16" i="1" s="1"/>
  <c r="E12" i="1"/>
  <c r="F12" i="1"/>
  <c r="D12" i="1" s="1"/>
  <c r="E4" i="1"/>
  <c r="F4" i="1"/>
  <c r="D4" i="1" s="1"/>
  <c r="E8" i="1"/>
  <c r="F8" i="1"/>
  <c r="D8" i="1" s="1"/>
  <c r="F31" i="1"/>
  <c r="D31" i="1" s="1"/>
  <c r="E31" i="1"/>
  <c r="F27" i="1"/>
  <c r="D27" i="1" s="1"/>
  <c r="E27" i="1"/>
  <c r="F23" i="1"/>
  <c r="D23" i="1" s="1"/>
  <c r="E23" i="1"/>
  <c r="F19" i="1"/>
  <c r="D19" i="1" s="1"/>
  <c r="E19" i="1"/>
  <c r="F15" i="1"/>
  <c r="D15" i="1" s="1"/>
  <c r="E15" i="1"/>
  <c r="F11" i="1"/>
  <c r="D11" i="1" s="1"/>
  <c r="E11" i="1"/>
  <c r="F7" i="1"/>
  <c r="D7" i="1" s="1"/>
  <c r="E7" i="1"/>
  <c r="F3" i="1"/>
  <c r="D3" i="1" s="1"/>
  <c r="E3" i="1"/>
  <c r="F30" i="1"/>
  <c r="D30" i="1" s="1"/>
  <c r="E30" i="1"/>
  <c r="E26" i="1"/>
  <c r="F26" i="1"/>
  <c r="D26" i="1" s="1"/>
  <c r="F22" i="1"/>
  <c r="D22" i="1" s="1"/>
  <c r="E22" i="1"/>
  <c r="E18" i="1"/>
  <c r="F18" i="1"/>
  <c r="D18" i="1" s="1"/>
  <c r="E14" i="1"/>
  <c r="F14" i="1"/>
  <c r="D14" i="1" s="1"/>
  <c r="E10" i="1"/>
  <c r="F10" i="1"/>
  <c r="D10" i="1" s="1"/>
  <c r="E6" i="1"/>
  <c r="F6" i="1"/>
  <c r="D6" i="1" s="1"/>
  <c r="E2" i="1"/>
  <c r="F2" i="1"/>
  <c r="D2" i="1" s="1"/>
</calcChain>
</file>

<file path=xl/sharedStrings.xml><?xml version="1.0" encoding="utf-8"?>
<sst xmlns="http://schemas.openxmlformats.org/spreadsheetml/2006/main" count="530" uniqueCount="518">
  <si>
    <t>MODULO ETHERNET PARA CONEXIÓN DE ALARMAS Y ELECTRIFICADORES JFL CON APLICACIÓN MÓVIL</t>
  </si>
  <si>
    <t>ME05-WB-V2</t>
  </si>
  <si>
    <t>AVISO CERCO ELECTRICO</t>
  </si>
  <si>
    <t>JFL-AVISO</t>
  </si>
  <si>
    <t>DETECTOR DE MOVIMIENTO DUAL CABLEADO PARA USO INTERIOR DETECCION 108°X12M ANTIMASCOTA HASTA 20KG</t>
  </si>
  <si>
    <t>IDX-2001-PET</t>
  </si>
  <si>
    <t>AISLADOR TIPO ANILLO</t>
  </si>
  <si>
    <t>AS13250</t>
  </si>
  <si>
    <t>AISLADOR DE PUNTILLA</t>
  </si>
  <si>
    <t>AS31000</t>
  </si>
  <si>
    <t>AISLADOR INTERMEDIO O ESTANTILLO</t>
  </si>
  <si>
    <t>AS1500</t>
  </si>
  <si>
    <t>AS1500 - AISLADOR INTERMEDIO O ESTANTILLO - UNIDAD</t>
  </si>
  <si>
    <t>AS0001</t>
  </si>
  <si>
    <t>AISLADOR DE CABILLA</t>
  </si>
  <si>
    <t>AS9500</t>
  </si>
  <si>
    <t>AISLADOR FINAL O ESQUINERO</t>
  </si>
  <si>
    <t>AS2500</t>
  </si>
  <si>
    <t>AS2500 AISLADOR FINAL O ESQUINERO - UNIDAD</t>
  </si>
  <si>
    <t>AS0002</t>
  </si>
  <si>
    <t>Aislador de Paso para cercos eléctricos, resistente al clima extremo.</t>
  </si>
  <si>
    <t>AP101</t>
  </si>
  <si>
    <t>AISLADOR RECIBIDOR</t>
  </si>
  <si>
    <t>AS8250</t>
  </si>
  <si>
    <t>Aislador de esquina compatible con SFSP, con Gran Resistencia Mecánica y alta resistencia a climas extremos</t>
  </si>
  <si>
    <t>AP201</t>
  </si>
  <si>
    <t>MANIGUETA PARA CERCADOS ELECTRICOS</t>
  </si>
  <si>
    <t>MAN001</t>
  </si>
  <si>
    <t>CONTROL REMOTO DE 3 BOTONES PARA EQUIPOS JFL ALCANCE INALAMBRICO 100M SIN OBSTACULOS COLOR NEGRO</t>
  </si>
  <si>
    <t>TX4R-PR-V2</t>
  </si>
  <si>
    <t>RECEPTOR PROGAMABLE DE 4 CANALES SOPORTA HASTA 300 CONTROLES REMOTOS Y 40 SENSORES CARGA HASTA 400W</t>
  </si>
  <si>
    <t>RRC-400</t>
  </si>
  <si>
    <t>RECEPTOR PROGAMABLE DE 4 CANALES SOPORTA HASTA 1600 CONTROLES REMOTOS Y SENSORES CARGA HASTA 400W</t>
  </si>
  <si>
    <t>RRC-400-PLUS</t>
  </si>
  <si>
    <t>DETECTOR DE MOVIMIENTO PIR Y MICROONDAS CABLEADO DETECCION 115°X15M ANTIMASCOTA HASTA 20KG</t>
  </si>
  <si>
    <t>LZ-550</t>
  </si>
  <si>
    <t>ELECTRIFICADOR PARA CERCA ELÉCTRICA 18000V EN CTO ABIERTO PULSO 0.5 JOULE RECIBE CONTROL REMOTO</t>
  </si>
  <si>
    <t>ECR18PLUS</t>
  </si>
  <si>
    <t>Cable de Aluminio Reforzado / Intemperie / Ideal para Cercas Electrificadas / Calibre 14 - 500mts</t>
  </si>
  <si>
    <t>SF14AWG500A</t>
  </si>
  <si>
    <t>Cable doble aislado de alta durabilidad para cercas electrificadas Bobina con 25 mts (Cable bujia)</t>
  </si>
  <si>
    <t>AWG25A</t>
  </si>
  <si>
    <t>Modulo Amplificador de Potencia para Energizador</t>
  </si>
  <si>
    <t>AMP30</t>
  </si>
  <si>
    <t>Modulo WIFI LITE con gabinete para uso en Energizadores YONUSA / Aplicación sin costo / Botón de Pánico/ 1 Salida Propósito General</t>
  </si>
  <si>
    <t>TARJET-WIFI-LITE</t>
  </si>
  <si>
    <t>Cable de Aluminio Reforzado / Intemperie / Ideal para Cercas Electrificadas / Calibre 16 - 500mts</t>
  </si>
  <si>
    <t>SF16AWG500A</t>
  </si>
  <si>
    <t>Llavero YONUSA para Energizadores de Cercos eléctricos con Función Encendido/Apagado/Panico</t>
  </si>
  <si>
    <t>KL2V2</t>
  </si>
  <si>
    <t>Modulo WIFI con gabinete para uso en Energizadores YONUSA/Aplicación sin costo/Activación Remota de 4 salidas tipo Relay con alta capacidad.</t>
  </si>
  <si>
    <t>TARJET-WIFI-V2</t>
  </si>
  <si>
    <t>Energizador Tecnologia SMT de 12,000Volts-1.2JOULES/3500Mts Lineales de Protección / Cercas Electrificadas</t>
  </si>
  <si>
    <t>SYS12000/127V2</t>
  </si>
  <si>
    <t>Energizador con tecnología SMT de 12,000Volts-1Joule/ 2500Mts Lineales de Protección / Cercos electricos</t>
  </si>
  <si>
    <t>SYSNGV2</t>
  </si>
  <si>
    <t>Energizador ANTIPLANTAS de 10,000Volts-5JOULES/10000 Mts lineales de protección / Cercas Electrificadas</t>
  </si>
  <si>
    <t>SYS12000/127AFV2</t>
  </si>
  <si>
    <t>COSTO</t>
  </si>
  <si>
    <t>Columna8</t>
  </si>
  <si>
    <t>Columna7</t>
  </si>
  <si>
    <t>COSTO + IVA</t>
  </si>
  <si>
    <t>Columna5</t>
  </si>
  <si>
    <t>Columna2</t>
  </si>
  <si>
    <t>PRECIO CLIENTE FINAL (CON IVA)</t>
  </si>
  <si>
    <t>PRECIO TIENDA (CON IVA)</t>
  </si>
  <si>
    <t>PRECIO INSTALLER (CON IVA)</t>
  </si>
  <si>
    <t>DESCRIPCION</t>
  </si>
  <si>
    <t>REFERENCIA</t>
  </si>
  <si>
    <t>TAMBOR IZQUIERDO PARA PUERTAS SECCIONALES ACCESSMATIC</t>
  </si>
  <si>
    <t>AUVATAMBORIZQ</t>
  </si>
  <si>
    <t>TAMBOR DERECHO PARA PUERTAS SECCIONALES ACCESSMATIC</t>
  </si>
  <si>
    <t>AUVATAMBORDER</t>
  </si>
  <si>
    <t>SOPORTE CENTRAL PARA PUERTAS SECCIONALES ACCESSMATIC</t>
  </si>
  <si>
    <t>AUAC3-40-1</t>
  </si>
  <si>
    <t>SOPORTE LATERAL PARA PUERTAS SECCIONALES ACCESSMATIC</t>
  </si>
  <si>
    <t>AUAC3-40-2</t>
  </si>
  <si>
    <t>HERRAJES Y PARTES</t>
  </si>
  <si>
    <t>BISAGRAS LATERALES PARA PUERTAS SECCIONALES ACCESSMATIC</t>
  </si>
  <si>
    <t>AUAC3-66-3</t>
  </si>
  <si>
    <t>BISAGRAS CENTRALES PARA PUERTAS SECCIONALES ACCESSMATIC ANTIPELLIZCOS</t>
  </si>
  <si>
    <t>AUAC3-66-5</t>
  </si>
  <si>
    <t>BISAGRAS CENTRALES PARA PUERTAS SECCIONALES ACCESSMATIC</t>
  </si>
  <si>
    <t>AUAC3-66-1</t>
  </si>
  <si>
    <t>ÁNGULO HORIZONTAL PARA GUIA DE HERRAJE DE PUERTAS SECCIONALES</t>
  </si>
  <si>
    <t>AUACHTA15</t>
  </si>
  <si>
    <t>BISAGRA NUMERO CUATRO (4) EN ACERO GALVANIZADO CALIBRE 11. FABRICADA EN USA.</t>
  </si>
  <si>
    <t>AUNA3-20-4</t>
  </si>
  <si>
    <t>BISAGRA NUMERO TRES (3) EN ACERO GALVANIZADO CALIBRE 11. FABRICADA EN USA.</t>
  </si>
  <si>
    <t>AUNA3-20-3</t>
  </si>
  <si>
    <t>BISAGRA NUMERO DOS (2) EN ACERO GALVANIZADO CALIBRE 11. FABRICADA EN USA.</t>
  </si>
  <si>
    <t>AUNA3-20-2</t>
  </si>
  <si>
    <t>CALIBRE 11</t>
  </si>
  <si>
    <t>BISAGRA NUMERO TRES (3) EN ACERO GALVANIZADO CALIBRE 14. FABRICADA EN USA.</t>
  </si>
  <si>
    <t>AUNA3-19-3</t>
  </si>
  <si>
    <t>CALIBRE 14</t>
  </si>
  <si>
    <t>BISAGRA NUMERO DOS (2)EN ACERO GALVANIZADO EN CALIBRE 18.
FABRICADA EN USA.</t>
  </si>
  <si>
    <t>AUNA3-18-2</t>
  </si>
  <si>
    <t>BISAGRA NUMERO UNO (1) EN ACERO GALVANIZADO EN CALIBRE 18.
FABRICADA EN USA .</t>
  </si>
  <si>
    <t>AUNA3-18-1</t>
  </si>
  <si>
    <t>CALIBRE 18</t>
  </si>
  <si>
    <t>BALINERA O RODACHINA DE 2” EN NYLON CON BALINES, PARA PUERTAS LEVADIZAS SECCIONALES</t>
  </si>
  <si>
    <t>AUAC3-4-1</t>
  </si>
  <si>
    <t>JUEGO DE GUÍAS VERTICALES Y HORIZONTALES PARA PUERTAS SECCIONALES DE HASTA 2,44 MTS DE ALTURA EN CAL. 16 (1,8MM) RIEL DOBLE.</t>
  </si>
  <si>
    <t>AUACKG8LH</t>
  </si>
  <si>
    <t>JUEGO DE GUÍAS VERTICALES Y HORIZONTALES PARA PUERTAS SECCIONALES DE HASTA 2,44 MTS DE ALTURA EN CAL. 16 (1,8MM).</t>
  </si>
  <si>
    <t>AUACKG8</t>
  </si>
  <si>
    <t>JUEGO DE GUÍAS VERTICALES Y HORIZONTALES PARA PUERTAS SECCIONALES DE HASTA 2,14 MTS DE ALTURA EN CAL. 16 (1,8MM).</t>
  </si>
  <si>
    <t>AUACKG7</t>
  </si>
  <si>
    <t>JUEGOS DE GUÍAS VERTICALES</t>
  </si>
  <si>
    <t>BARRAS DE TORSIÓN PARA PUERTAS DE GARAJE Y EJES DE 1” CAL. 14, DE 5,50 MTS DE LONGITUD</t>
  </si>
  <si>
    <t>AUACT18</t>
  </si>
  <si>
    <t>BARRAS DE TORSIÓN PARA PUERTAS DE GARAJE Y EJES DE 1” CAL. 14, DE 4,88 MTS DE LONGITUD</t>
  </si>
  <si>
    <t>AUACT16</t>
  </si>
  <si>
    <t>BARRAS DE TORSIÓN PARA PUERTAS DE GARAJE Y EJES DE 1” CAL. 14, DE 3,66 MTS DE LONGITUD</t>
  </si>
  <si>
    <t>AUACT12</t>
  </si>
  <si>
    <t>BARRAS DE TORSIÓN PARA PUERTAS DE GARAJE Y EJES DE 1” CAL. 14, DE 3,05 MTS DE LONGITUD</t>
  </si>
  <si>
    <t>AUACT10</t>
  </si>
  <si>
    <t>BARRAS DE TORSIÓN PARA PUERTAS DE GARAJE Y EJES DE 1” CAL. 14, DE 2,74 MTS DE
LONGITUD</t>
  </si>
  <si>
    <t>AUACT9</t>
  </si>
  <si>
    <t>BARRAS DE TORSIÓN PARA PUERTAS DE GARAJE Y EJES DE 1” CAL. 14, DE 2,44 MTS DE LONGITUD</t>
  </si>
  <si>
    <t>AUACT8</t>
  </si>
  <si>
    <t>BARRAS DE TORSIÓN</t>
  </si>
  <si>
    <t>RESORTE DE TORSIÓN IZQUIERDO PARA PUERTAS SECCIONALES DE 80KG</t>
  </si>
  <si>
    <t>AUACSPRING80L</t>
  </si>
  <si>
    <t>RESORTE DE TORSIÓN DERECHO PARA PUERTAS SECCIONALES DE 80KG</t>
  </si>
  <si>
    <t>AUACSPRING80R</t>
  </si>
  <si>
    <t>RESORTE DE TORSIÓN IZQUIERDO PARA PUERTAS SECCIONALES DE 70KG</t>
  </si>
  <si>
    <t>AUACSPRING70L</t>
  </si>
  <si>
    <t>RESORTE DE TORSIÓN DERECHO PARA PUERTAS SECCIONALES DE 70KG</t>
  </si>
  <si>
    <t>AUACSPRING70R</t>
  </si>
  <si>
    <t>RESORTE DE TORSIÓN IZQUIERDO PARA PUERTAS SECCIONALES DE 60KG</t>
  </si>
  <si>
    <t>AUACSPRING60L</t>
  </si>
  <si>
    <t>RESORTE DE TORSIÓN DERECHO PARA PUERTAS SECCIONALES DE 60KG</t>
  </si>
  <si>
    <t>AUACSPRING60R</t>
  </si>
  <si>
    <t>RESORTE DE TORSIÓN IZQUIERDO PARA PUERTAS SECCIONALES DE 55KG</t>
  </si>
  <si>
    <t>AUACSPRING55L</t>
  </si>
  <si>
    <t>RESORTE DE TORSIÓN DERECHO PARA PUERTAS SECCIONALES DE 55KG</t>
  </si>
  <si>
    <t>AUACSPRING55R</t>
  </si>
  <si>
    <t>RESORTE DE TORSIÓN IZQUIERDO PARA PUERTAS SECCIONALES DE 50KG</t>
  </si>
  <si>
    <t>AUACSPRING50L</t>
  </si>
  <si>
    <t>RESORTE DE TORSIÓN DERECHO PARA PUERTAS SECCIONALES DE 50KG</t>
  </si>
  <si>
    <t>AUACSPRING50R</t>
  </si>
  <si>
    <t>RESORTE DE TORSIÓN IZQUIERDO PARA PUERTAS SECCIONALES DE 45KG</t>
  </si>
  <si>
    <t>AUACSPRING45L</t>
  </si>
  <si>
    <t>RESORTE DE TORSIÓN DERECHO PARA PUERTAS SECCIONALES DE 45KG</t>
  </si>
  <si>
    <t>AUACSPRING45R</t>
  </si>
  <si>
    <t>RESORTE DE TORSIÓN IZQUIERDO PARA PUERTAS SECCIONALES DE 35KG</t>
  </si>
  <si>
    <t>AUACSPRING35L</t>
  </si>
  <si>
    <t>RESORTE DE TORSIÓN DERECHO PARA PUERTAS SECCIONALES DE 35KG</t>
  </si>
  <si>
    <t>AUACSPRING35R</t>
  </si>
  <si>
    <t>RESORTES DE TORSIÓN</t>
  </si>
  <si>
    <t>2 Resortes 80kg Caja de herrajes G8 - Juego de guías
T12 - Barra de torsión</t>
  </si>
  <si>
    <t>AUACANT160</t>
  </si>
  <si>
    <t>KIT DE HERRAJES PARA 160KG &amp; 3,66M X 2,44M</t>
  </si>
  <si>
    <t>2 Resortes 70kg Caja de herrajes G8 - Juego de guías
T12 - Barra de torsión</t>
  </si>
  <si>
    <t>AUACATN140</t>
  </si>
  <si>
    <t>KIT DE HERRAJES PARA 140KG &amp; 3,66M X 2,44M</t>
  </si>
  <si>
    <t>2 Resortes 60kg Caja de herrajes G8 - Juego de guías
T12 - Barra de torsión</t>
  </si>
  <si>
    <t>AUACANT120</t>
  </si>
  <si>
    <t>KIT DE HERRAJES PARA 120KG &amp; 3,66M X 2,44M</t>
  </si>
  <si>
    <t>2 Resortes 50kg Caja de herrajes G8 - Juego de guías
T12 - Barra de torsión</t>
  </si>
  <si>
    <t>AUACANT100</t>
  </si>
  <si>
    <t>KIT DE HERRAJES PARA 100KG &amp; 3,66M X 2,44M</t>
  </si>
  <si>
    <t>Resorte 80kg Caja de herrajes
G8 - Juego de guías T12 - Barra de torsión</t>
  </si>
  <si>
    <t>AUACANT80</t>
  </si>
  <si>
    <t>KIT DE HERRAJES PARA 80KG &amp; 3,66M X 2,44M</t>
  </si>
  <si>
    <t>Resorte 70kg
Caja de herrajes G8 - Juego de guías
T10 - Barra de torsión</t>
  </si>
  <si>
    <t>AUACANT70</t>
  </si>
  <si>
    <t>KIT DE HERRAJES PARA 70KG &amp; 3,05M X 2,44M</t>
  </si>
  <si>
    <t>Resorte 60kg Caja de herrajes
G8 - Juego de guías T10 - Barra de torsión</t>
  </si>
  <si>
    <t>AUACANT60</t>
  </si>
  <si>
    <t>KIT DE HERRAJES PARA 60KG &amp; 3,05M X 2,44M</t>
  </si>
  <si>
    <t>Resorte 55kg Caja de herrajes
G8 - Juego de guías T10 - Barra de torsión</t>
  </si>
  <si>
    <t>AUACANT55</t>
  </si>
  <si>
    <t>KIT DE HERRAJES PARA 55KG &amp; 3,05M X 2,44M</t>
  </si>
  <si>
    <t>JUEGO DE TUBOS PLÁSTICOS PARA COMPLETAR EL ENSAMBLE Y DAR ESTABILIDAD A LAS PUERTAS ENROLLABLES CON LÁMINAS DE POLICARBONATO. 36 PCS.</t>
  </si>
  <si>
    <t>AUACTP34</t>
  </si>
  <si>
    <t>JUEGO DE GANCHOS INFERIORES PARA PUERTAS ENROLLABLES CON LÁMINAS DE POLICARBONATO.
(Q REQUERIDA = TAPAS EXTERNAS / 2) 6 PCS.</t>
  </si>
  <si>
    <t>AUACDHOOK06</t>
  </si>
  <si>
    <t>JUEGO DE TAPAS PLÁSTICAS PARA PUERTAS ENROLLABLES CON LÁMINAS DE POLICARBONATO. 2 PCS.</t>
  </si>
  <si>
    <t>AUACTAP02</t>
  </si>
  <si>
    <t>PANEL SUPERIOR EN ACERO INOXIDABLE PARA SUJETAR LA COR-
TINA ENROLLABLE CON LÁMINAS EN POLICARBONATO CON EL TUBODE LA CORTINA.</t>
  </si>
  <si>
    <t>AUACPAN03</t>
  </si>
  <si>
    <t>BARRA INFERIOR EN PERFIL RECTANGULAR DE ACERO INOXIDABLE PARA PUERTAS ENROLLABLES CON LÁMINAS DE POLICARBONATO. SE PUEDE SOLDAR PARA EXTENDER SU LONGITUD.
LONGITUD: 3M; ANCHO: 75MM; ALTO: 45MM; ESPESOR: 1MM;</t>
  </si>
  <si>
    <t>AUACBAR03</t>
  </si>
  <si>
    <t>JUEGO DE GANCHOS SUPERIORES E INFERIORES EN ALUMINIO PARA SUJETAR PUERTAS ENROLLABLES CON LÁMINAS DE POLICAR-
BONATO. (Q REQUERIDA = TAPAS EXTERNAS / 2)  - 20PCS</t>
  </si>
  <si>
    <t>AUACUHOOK20</t>
  </si>
  <si>
    <t>JUEGO DE 60 PCS TAPAS EXTERNAS PARA ASEGURAR LAS LÁMINAS DE POLICARBONATO EN LA BARRA. INCLUYE PIN DE SEGURIDAD. SE REQUIERE UN JUEGO DE TAPAS (UNA EN CADA EXTREMO) PARA CADA ESLABÓN (Q REQUERIDA = ALTURA EN METROS X 22).</t>
  </si>
  <si>
    <t>AUACCAP60</t>
  </si>
  <si>
    <t>LÁMINAS DE POLICARBONATO CON ACABADO ESCARCHADO PARA PUERTAS ENROLLABLES DE HASTA 16 METROS DE ANCHO. IDEAL PARA ALMACENES Y LOCALES COMERCIALES.
RESISTENTES A LOS RAYOS UV DEL SOL.
ANCHO: 30CM; ALTO TOTAL: 11.4CM; ALTURA ENSAMBLADO
5.2CM; ESPESOR: 3MM; UNIDADES POR CAJA: 144PCS;
UNIDADES POR M2: 36PCS; PESO POR METRO CUADRADO: 9KG.</t>
  </si>
  <si>
    <t>AUACRD30E</t>
  </si>
  <si>
    <t>LÁMINAS DE POLICARBONATO CON ACABADO DE CRISTAL PARA PUERTAS ENROLLABLES DE HASTA 16 METROS DE ANCHO. IDEAL PARA ALMACENES Y LOCALES COMERCIALES.
RESISTENTES A LOS RAYOS UV DEL SOL.
ANCHO: 30CM; ALTO TOTAL: 11.4CM; ALTURA ENSAMBLADO
5.2CM; ESPESOR: 3MM; UNIDADES POR CAJA: 144PCS;
UNIDADES POR M2: 36PCS; PESO POR METRO CUADRADO: 9KG.</t>
  </si>
  <si>
    <t>AUACRD30C</t>
  </si>
  <si>
    <t>PUERTAS COMERCIALES</t>
  </si>
  <si>
    <t>PUERTA PÁNEL LISO 5,50m DE ANCHO X 2,44m DE ALTO</t>
  </si>
  <si>
    <t>AUACKCP975R</t>
  </si>
  <si>
    <t>PUERTA PÁNEL LISO 5,50m DE ANCHO X 2,29m DE ALTO</t>
  </si>
  <si>
    <t>AUACKCP950R</t>
  </si>
  <si>
    <t>PUERTA PÁNEL LISO 5,49m DE ANCHO X 2,14m DE ALTO</t>
  </si>
  <si>
    <t>AUACKCP900R</t>
  </si>
  <si>
    <t>PUERTA PÁNEL LISO 4,88m DE ANCHO X 2,44m DE ALTO</t>
  </si>
  <si>
    <t>AUACKCP875R</t>
  </si>
  <si>
    <t>PUERTA PÁNEL LISO 4,88m DE ANCHO X 2,29m DE ALTO</t>
  </si>
  <si>
    <t>AUACKCP850R</t>
  </si>
  <si>
    <t>PUERTA PÁNEL LISO 4,88m DE ANCHO X 2,14m DE ALTO</t>
  </si>
  <si>
    <t>AUACKCP801R</t>
  </si>
  <si>
    <t>PUERTA PÁNEL LISO 3,66m DE ANCHO X 2,44m DE ALTO</t>
  </si>
  <si>
    <t>AUACKCP575R</t>
  </si>
  <si>
    <t>PUERTA PÁNEL LISO 3,66m DE ANCHO X 2,29m DE ALTO</t>
  </si>
  <si>
    <t>AUACKCP551R</t>
  </si>
  <si>
    <t>PUERTA PÁNEL LISO 3,66m DE ANCHO X 2,14m DE ALTO</t>
  </si>
  <si>
    <t>AUACKCP501R</t>
  </si>
  <si>
    <t>PUERTA PÁNEL LISO 3,05m DE ANCHO X 2,44m DE ALTO</t>
  </si>
  <si>
    <t>AUACKCP491R</t>
  </si>
  <si>
    <t>PUERTA PÁNEL LISO 3,05m DE ANCHO X 2,29m DE ALTO</t>
  </si>
  <si>
    <t xml:space="preserve">AUACKCP450R </t>
  </si>
  <si>
    <t>PUERTA PÁNEL LISO 3,05m DE ANCHO X 2,14m DE ALTO</t>
  </si>
  <si>
    <t>AUACKCP401R</t>
  </si>
  <si>
    <t>PUERTA PÁNEL LISO 2,74m DE ANCHO X 2,44m DE ALTO</t>
  </si>
  <si>
    <t xml:space="preserve">AUACKCP376R </t>
  </si>
  <si>
    <t>PUERTA PÁNEL LISO 2,74m DE ANCHOX 2,29m DE ALTO</t>
  </si>
  <si>
    <t>AUACKCP351R</t>
  </si>
  <si>
    <t>PUERTA PÁNEL LISO 2,74m DE ANCHO X 2,14m DE ALTO</t>
  </si>
  <si>
    <t xml:space="preserve">AUACKCP301R </t>
  </si>
  <si>
    <t>PUERTA PÁNEL LISO 2,44 DE ANCHO X 2,29m DE ALTO</t>
  </si>
  <si>
    <t xml:space="preserve">AUACKCP250R </t>
  </si>
  <si>
    <t>PUERTA PÁNEL LISO 2,44m DE ANCHO X 2,14m DE ALTO</t>
  </si>
  <si>
    <t xml:space="preserve">AUACKCP201R </t>
  </si>
  <si>
    <t>PUERTAS PÁNEL LISO</t>
  </si>
  <si>
    <t>PUERTA PÁNEL A CUADROS 3,05m DE ANCHO X 2,44m DE ALTO</t>
  </si>
  <si>
    <t>AUACKCP490C</t>
  </si>
  <si>
    <t>PUERTA PÁNEL A CUADROS 3,05m DE ANCHO X 2,29m DE ALTO</t>
  </si>
  <si>
    <t>AUACKCP451C</t>
  </si>
  <si>
    <t>PUERTA PÁNEL A CUADROS 3,05m DE ANCHO X 2,14m DE ALTO</t>
  </si>
  <si>
    <t>AUACKCP400C</t>
  </si>
  <si>
    <t>PUERTA PÁNEL A CUADROS 2,74m DE ANCHO X 2,44m DE ALTO</t>
  </si>
  <si>
    <t>AUACKCP375C</t>
  </si>
  <si>
    <t>PUERTA PÁNEL A CUADROS 2,74m DE ANCHO X 2,29m DE ALTO</t>
  </si>
  <si>
    <t>AUACKCP350C</t>
  </si>
  <si>
    <t>PUERTA PÁNEL A CUADROS 2,74m DE ANCHO X 2,14m DE ALTO</t>
  </si>
  <si>
    <t>AUACKCP300C</t>
  </si>
  <si>
    <t>PUERTA PÁNEL A CUADROS 2,44m DE ANCHO X 2,29m DE ALTO</t>
  </si>
  <si>
    <t>AUACKCP251C</t>
  </si>
  <si>
    <t>PUERTA PÁNEL A CUADROS 2,44m DE ANCHO X 2,14m DE ALTO</t>
  </si>
  <si>
    <t>AUACKCP200C</t>
  </si>
  <si>
    <t>PUERTAS PÁNEL A CUADROS (MEDIDAS ANCHO X ALTO)</t>
  </si>
  <si>
    <t>PUERTAS DE GARAJE</t>
  </si>
  <si>
    <t>KIT DE ASTA ARTICULADA PARA TALANQUERA ACCESSMATIC MTD624. 4 METROS. INCLUYE SOPORTE LATERAL.</t>
  </si>
  <si>
    <t>AUACBOOM04F</t>
  </si>
  <si>
    <t>ASTA TELESCOPICA PARA TALANQUERA ACCESSMATIC. AJUSTABLE DE 3 A 6 METROS.</t>
  </si>
  <si>
    <t>AUACBOOM06T</t>
  </si>
  <si>
    <t>ASTA METÁLICA REDONDA PARA TALANQUERA ACCESSMATIC DE 2 METROS.</t>
  </si>
  <si>
    <t>AUACBOOM02</t>
  </si>
  <si>
    <t>ACCESORIOS PARA TALANQUERAS BARRERAS ELECTRÓNICAS</t>
  </si>
  <si>
    <t>KIT BARRERA ACCESSMATIC MASTODON624 PARA ACCESOS VEHICULARES. USO CONTINUO DE 3.000.000 DE CICLOS. REDUCCIONES COMPLETAMENTE METÁLICAS Y MOTOR BRUSHLESS 24V DC. DIRECCIÓN INTERCAMBIABLE.
APERTURA DE 0.6 A 6 SEGUNDOS. MOTOR 110V/220V AC.
INCLUYE SEMAFORO LED, ASTA ARTICULADA DE 4 METROS, TARJETA CON DISPLAY DIGITAL Y 2 CONTROLES REMOTOS.</t>
  </si>
  <si>
    <t>AUACKMTD624ART</t>
  </si>
  <si>
    <t>KIT BARRERA ACCESSMATIC MASTODON624 PARA ACCESOS VEHICULARES. USO CONTINUO DE 3.000.000 DE CICLOS. REDUCCIONES COMPLETAMENTE METÁLICAS Y MOTOR BRUSHLESS 24V DC. DIRECCIÓN INTERCAMBIABLE.
APERTURA DE 0.6 A 6 SEGUNDOS. MOTOR 110V/220V AC.
INCLUYE SEMAFORO LED, ASTA TELESCOPICA AJUSTABLE DE 3 A 6 METROS, TARJETA CON DISPLAY DIGITAL Y 2 CONTROLES REMOTOS.</t>
  </si>
  <si>
    <t>AUACKMTD624</t>
  </si>
  <si>
    <t>BARRERA ACCESSMATIC MASTODON624 PARA ACCESOS VEHICULARES. USO CONTINUO DE 3.000.000 DE CICLOS. REDUCCIONES COMPLETAMENTE METÁLICAS Y MOTOR BRUSHLESS 24V DC. DIRECCIÓN INTERCAMBIABLE.
APERTURA DE 0.6 A 6 SEGUNDOS. MOTOR 110V/220V AC.
INCLUYE SEMAFORO LED, TARJETA CON DISPLAY DIGITAL Y 2 CONTROLES REMOTOS.</t>
  </si>
  <si>
    <t>AUACMTD624</t>
  </si>
  <si>
    <t>KIT BARRERA ACCESSMATIC MASTODON224 PARA ACCESOS VEHICULARES. USO CONTINUO DE 3.000.000 DE CICLOS. REDUCCIONES COMPLETAMENTE METÁLICAS Y MOTOR BRUSHLESS 24V DC. DIRECCIÓN INTERCAMBIABLE. APERTURA DE 3 A
6 SEGUNDOS. MOTOR 220V AC. INCLUYE SEMAFORO LED, ASTA METALICA DE 2 METROS, TARJETA CON DISPLAY DIGITAL Y 2 CONTROLES REMOTOS.</t>
  </si>
  <si>
    <t>AUCKMTD224</t>
  </si>
  <si>
    <t>BARRERA ACCESSMATIC MASTODON224 PARA ACCESOS VEHICULARES. USO CONTINUO DE 3.000.000 DE CICLOS. REDUCCIONES COMPLETAMENTE METÁLICAS Y MOTOR BRUSHLESS 24V DC. DIRECCIÓN INTERCAMBIABLE. APERTURA DE 3 A
6 SEGUNDOS. MOTOR 220V AC. INCLUYE SEMAFORO LED, TARJETA CON DISPLAY DIGITAL Y 2 CONTROLES REMOTOS.</t>
  </si>
  <si>
    <t>AUACMTD224</t>
  </si>
  <si>
    <t>TALANQUERAS BARRERAS ELECTRÓNICAS</t>
  </si>
  <si>
    <t>FOTOCELDAS ACCESSMATIC ACCESSEYE MINI PARA CABEZALES/PUERTAS AUTOMÁTICAS. SIRVE PARA TODAS LAS MARCAS.</t>
  </si>
  <si>
    <t>AUACAE15</t>
  </si>
  <si>
    <t>SENSOR DE DOBLE TECNOLOGÍA ACCESSMATIC ACCESS-VISION45 CON SENSOR DE MOVIMIENTO Y DETECTOR DE PRESENCIA, SIRVE PARA TODO TIPO DE CABEZALES DE PUERTAS AUTOMÁTICAS.</t>
  </si>
  <si>
    <t>AUACV515</t>
  </si>
  <si>
    <t>SENSOR DE MOVIMIENTO ACCESSMATIC ACCESS-MOTION. DETECTA EL MOVIMIENTO A TRAVES DE MICROONDAS, SIRVE PARA TODO TIPO DE CABEZALES DE TODAS LAS MARCAS.</t>
  </si>
  <si>
    <t>AUACMN20</t>
  </si>
  <si>
    <t>CONTROL REMOTO ACCESSMATIC DE 6 FUNCIONES DE 433 MHZ; COMPATIBLE CON CABEZALES ACCESSMATIC. AVANTI Y AVALON.</t>
  </si>
  <si>
    <t>AUACALN6</t>
  </si>
  <si>
    <t>PINZA PARA VIDRIO CON TAPA EN ALUMINIO. 1 METRO. SIRVE PARA TODOS LOS CABEZALES.</t>
  </si>
  <si>
    <t>AUACGC02</t>
  </si>
  <si>
    <t>ACCESORIOS PARA CABEZALES DE PUERTAS AUTOMÁTICAS</t>
  </si>
  <si>
    <t>KIT DE PUERTA  BATIENTE ACCESSMATIC PULL &amp; PUSH PARA HOJAS DE MAX. 350KG. INCLUYE BRAZO DE EMPUJE (INSTALACIÓN EXTERNA) Y PINZA DE VIDRIO
2 CONTROLES MULTIFUNCIÓN, BOTÓN NO TOUCH. VOLTAJE DE ENTRADA 110V.  99° DE APERTURA. PARA USO INTENSIVO EXTERNO (CON BRISA).  3 AÑOS DE GARANTÍA.</t>
  </si>
  <si>
    <t>AUACKVIPER350</t>
  </si>
  <si>
    <t>KIT DE PUERTA  BATIENTE ACCESSMATIC PULL &amp; PUSH PARA HOJAS DE MAX. 200KG. INCLUYE BRAZO DE EMPUJE (INSTALACIÓN EXTERNA) Y PINZA DE VIDRIO
2 CONTROLES MULTIFUNCIÓN, BOTÓN NO TOUCH. VOLTAJE DE ENTRADA 110V.  115° DE APERTURA. PARA USO INTENSIVO INTERNO (SIN BRISA). 3 AÑOS DE GARANTÍA.</t>
  </si>
  <si>
    <t>AUACKVIPER200</t>
  </si>
  <si>
    <t>KIT DE PUERTA  BATIENTE ACCESSMATIC PULL &amp; PUSH PARA HOJAS DE MAX. 100KG. INCLUYE BRAZO DE EMPUJE (INSTALACIÓN EXTERNA) Y PINZA DE VIDRIO
2 CONTROLES MULTIFUNCIÓN, BOTÓN NO TOUCH. VOLTAJE DE ENTRADA 110V.  120° DE
APERTURA. PARA USO INTENSIVO INTERNO (SIN BRISA). 3 AÑOS DE GARANTÍA.</t>
  </si>
  <si>
    <t>AUACKVIPER100</t>
  </si>
  <si>
    <t>KIT DE PUERTA AUTOMÁTICA ACCESSMATIC TELESCOPICA DE 6 METROS. PARA 4 HOJAS DE MAX. 120KG. HOJAS DE 600 A 1500mm. INCLUYE DOS SENSORES MN20, 2 CONTROLES MULTIFUNCIÓN, BATERÍA DE RESPALDO. 3 AÑOS DE GARANTÍA.</t>
  </si>
  <si>
    <t>AUACKAVANTI6000Z</t>
  </si>
  <si>
    <t>KIT DE PUERTA AUTOMÁTICA ACCESSMATIC AVANTI6300 DE 6.3 MT DE ANCHO PARA 2 HOJAS DE 1.4 MT DE ANCHO Y MAXIMO 140 KG DE PESO POR HOJA O TAMBIÉN UNA SOLA HOJA DE 2 MT DE ANCHO Y 150 KG DE PESO. TECNOLOGIA FULL RANGE VOLTAGE QUE FUNCIONA DESDE 95V-265V A 60HZ. INCLUYE 2 SENSORES DE DOBLE FUNCION ACCESSVISION SIRVE PARA PRESENCIA Y MOVIMIENTO, 2 CONTROLES DE 433 MHZ MULTIFUNCIÓN. FUNCIONA A 110/220V.
3 AÑOS DE GARANTÍA.</t>
  </si>
  <si>
    <t>AUACKAT63M</t>
  </si>
  <si>
    <t>KIT DE PUERTA AUTOMÁTICA ACCESSMATIC AVANTI4200 DE 4.2 MT DE ANCHO PARA 2 HOJAS DE 1 MT DE ANCHO Y MAXIMO 140 KG DE PESO POR HOJA O TAMBIÉN UNA SOLA HOJA DE 1.6 MT DE ANCHO Y 150 KG DE PESO. TECNOLOGIA FULL RANGE VOLTAGE QUE FUNCIONA DESDE 95V-265V A 60HZ. INCLUYE 2 SENSORES DE DOBLE FUNCION ACCESSVISION SIRVE PARA PRESENCIA Y MOVIMIENTO, 2 CONTROLES DE 433 MHZ MULTIFUNCIÓN, BATERÍA DE RESPALDO. FUNCIONA A 110/220V.
3 AÑOS DE GARANTÍA.</t>
  </si>
  <si>
    <t>AUACKAT42M</t>
  </si>
  <si>
    <t>KIT DE PUERTA AUTOMÁTICA ACCESSMATIC AVALON 4200 DE 4.2 MTS DE ANCHO PARA 2 HOJAS DE 1 MT DE ANCHO Y MAXIMO 100 KG DE PESO POR HOJA O TAMBIÉN UNA SOLA HOJA DE 1.6 MT DE ANCHO Y 120 KG DE PESO. TECNOLOGIA FULL RANGE VOLTAJE QUE FUNCIONA DESDE 95V - 265V A 60 HZ. INCLUYE 2 SENSORES DE DOBLE FUNCION ACCESS VISION SIRVE PARA PRESENCIA Y MOVIMIENTO, BATERÍAS DE RESPALDO, Y 2 CONTROLES DE 433 MHZ MULTIFUNCIÓN. FUNCIONA A 110/220V.
3 AÑOS DE GARANTÍA.</t>
  </si>
  <si>
    <t>AUACKAN4275</t>
  </si>
  <si>
    <t>KIT DE PUERTA AUTOMÁTICA ELITE ZOOM DE 4.2 MT DE ANCHO O TAMBIÉN PARA DOS HOJAS DE 1 MT DE ANCHO Y MAXIMO 100 KG DE PESO PARA 2 HOJAS Y 120 PARA 1 SOLA HOJA DE MÁXIMO 1.5 MT DE ANCHO Y 120 KG DE PESO. CONTROL MULTIFUNCIONES WIRELESS, 2 SENSORES MN20. ALIMENTACIÓN 220V. INCLUYE  UN JUEGO DE FOTOCEL- DAS AE15 Y BATERÍA DE RESPALDO.
2 AÑOS DE GARANTÍA.</t>
  </si>
  <si>
    <t>AUELKPA42</t>
  </si>
  <si>
    <t>CABEZALES DE PUERTAS AUTOMÁTICAS</t>
  </si>
  <si>
    <t>4 METROS DE CADENA ADICIONALES PARA MOTOR HULK</t>
  </si>
  <si>
    <t>AUACCH1</t>
  </si>
  <si>
    <t>CAJA DE SEGURIDAD ACCESSMATIC PARA DESBLOQUEO DE MOTORES CENTRALES COMO EL ARMADILLO AR161, 261 Y 282.
INCLUYE BOTONERA INTERNA PARA APERTURA Y CIERRE.</t>
  </si>
  <si>
    <t>AUACBL05</t>
  </si>
  <si>
    <t>FRENO PARACAÍDAS PARA MOTORES HULK 700 &amp; HULK 900.</t>
  </si>
  <si>
    <t>AUACSB9</t>
  </si>
  <si>
    <t>FRENO PARACAÍDAS PARA MOTORES HULK 400.</t>
  </si>
  <si>
    <t>AUACSB4</t>
  </si>
  <si>
    <t>FOTOCELDAS ACCESSMATIC PARA MOTORES HULK, DEBEN TENER LA RECEPTORA HR42
PARA SU CONEXIÓN.</t>
  </si>
  <si>
    <t>AUACAE25</t>
  </si>
  <si>
    <t>CONTROL REMOTO ACCESSMATIC DE 4 CANALES DE 433 MHZ; COMPATIBLE CON MOTOR HULK Y RECEPTOR HR42.</t>
  </si>
  <si>
    <t>AUACHK4</t>
  </si>
  <si>
    <t>RECEPTORA ACCESSMATIC PARA MOTORES HULK. INCLUYE DOS CONTROLES DE 433 MHz Y ENTRADA PARA FOTOCELDAS.</t>
  </si>
  <si>
    <t>AUACHR42</t>
  </si>
  <si>
    <t>TARJETA CONTROLADORA ACCESSMATIC ACCESS-COMAND265, SIRVE PARA MOTORES CENTRALES Y TUBULARES DE TODAS LAS MARCAS, VIENE CON TECNOLOGIA FLEX-VOLT QUE LE BRINDA FLEXIBILIDAD EN EL VOLTAJE DE ENTRADA DESDE 95-265V, SIRVE PARA MOTORES AC DE 110V Y 220V. IDEAL PARA AR161, AR261 Y AR282 O DE CUALQUIER MARCA. VIENE CON PULSADOR DE 3 PASOS INCORPORADO,
RECEPTOR PARA 64 CONTROLES.</t>
  </si>
  <si>
    <t>AUAC265</t>
  </si>
  <si>
    <t>ACCESORIOS PARA MOTORES - CORTINAS ENROLLABLES</t>
  </si>
  <si>
    <t>KIT DE SISTEMA DE APERTURA PARA CORTINAS ENROLLABLES ACCESSMATIC HULK DE PESO DE 1500KG SIN RESORTE, MUY ROBUSTO PARA USO INDUSTRIAL, IDEAL PARA CORTINAS ENROLLABLES DE ALMACENES Y CENTROS DE DISTRIBUCIÓN.
INCLUYE MOTOR, ACCESORIOS PARA SU INSTALACIÓN Y PULSADOR INDUSTRIAL DE 3 BOTONES. 220V/60HZ. 3 AÑOS DE GARANTÍA.</t>
  </si>
  <si>
    <t>AUACKHULK1500</t>
  </si>
  <si>
    <t>KIT DE SISTEMA DE APERTURA CON RESPALDO DE BATERÍA PARA CORTINAS ENROLLABLES ACCESSMATIC HULK DE PESO DE 1000KG SIN RESORTE, MUY ROBUSTO PARA USO INDUSTRIAL, IDEAL PARA CORTINAS ENROLLABLES DE ALMACENES Y CENTROS DE DISTRIBUCIÓN. INCLUYE MOTOR, ACCESORIOS PARA SU INSTALACIÓN.
110V/60HZ. 3 AÑOS DE GARANTÍA.</t>
  </si>
  <si>
    <t>AUACKHULK1024DC</t>
  </si>
  <si>
    <t>KIT DE SISTEMA DE APERTURA PARA CORTINAS ENROLLABLES ACCESSMATIC HULK DE PESO DE 950KG SIN RESORTE, MUY FUERTE, IDEAL PARA CORTINAS ENROLLABLES DE ALMACENES Y CENTROS DE DISTRIBUCIÓN. INCLUYE MOTOR, ACCESORIOS PARA SU INSTALACIÓN Y PULSADOR INDUSTRIAL DE 3 BOTONES. 110V/60HZ.
3 AÑOS DE GARANTÍA.</t>
  </si>
  <si>
    <t>AUACKHULK950</t>
  </si>
  <si>
    <t>KIT DE SISTEMA DE APERTURA PARA CORTINAS ENROLLABLES ACCESSMATIC HULK DE PESO DE 750KG SIN RESORTE, MUY FUERTE, IDEAL PARA CORTINAS ENROLLABLES DE ALMACENES Y CENTROS DE DISTRIBUCIÓN. INCLUYE MOTOR, ACCESORIOS PARA SU INSTALACIÓN Y PULSADOR INDUSTRIAL DE 3 BOTONES.  110V/60HZ.
3 AÑOS DE GARANTÍA.</t>
  </si>
  <si>
    <t>AUACKHULK750</t>
  </si>
  <si>
    <t>KIT DE SISTEMA DE APERTURA CON RESPALDO DE BATERÍA PARA CORTINAS ENROLLABLES ACCESSMATIC HULK DE PESO DE 600KG SIN RESORTE, MUY ROBUSTO PARA USO INDUSTRIAL, IDEAL PARA CORTINAS ENROLLABLES DE ALMACENES Y CENTROS DE DISTRIBUCIÓN. INCLUYE MOTOR, ACCESORIOS PARA SU INSTALACIÓN.
110V/60HZ. 3 AÑOS DE GARANTÍA.</t>
  </si>
  <si>
    <t>AUACKHULK624DC</t>
  </si>
  <si>
    <t>KIT DE SISTEMA DE APERTURA RAPIDO PARA CORTINAS ENROLLABLES ACCESSMATIC HULK DE PESO DE 500KG SIN RESORTE, MUY ROBUSTO PARA USO INDUSTRIAL, IDEAL PARA CORTINAS ENROLLABLES DE ALMACENES Y CENTROS DE DISTRIBUCIÓN. INCLUYE MOTOR, ACCESORIOS PARA SU INSTALACIÓN.
110V/60HZ. 3 AÑOS DE GARANTÍA. 15RPM</t>
  </si>
  <si>
    <t>AUACKHULK500S</t>
  </si>
  <si>
    <t>KIT DE SISTEMA DE APERTURA PARA CORTINAS ENROLLABLES ELITE SPIN ME824DC DE 800 KG SIN RESORTE; IDEAL PARA CORTINAS ENROLLABLES DE CENTROS DE DISTRIBUCIÓN. INCLUYE MOTOR, ACCESORIOS DE INSTALACIÓN, TARJETA DE CONTROL, BATERIAS DE RESPALDO Y 2 CONTROLES.
FUNCIONA A 110V. 2 AÑOS DE GARANTÍA.</t>
  </si>
  <si>
    <t>AUELKME824DC</t>
  </si>
  <si>
    <t>KIT DE SISTEMA DE APERTURA PARA CORTINAS ENROLLABLES ELITE SPIN ME8511 DE 800 KG SIN RESORTE; IDEAL PARA CORTINAS ENROLLABLES DE CENTROS DE DISTRIBUCIÓN. INCLUYE MOTOR, ACCESORIOS DE INSTALACIÓN, RECEPTOR INCORPORADO Y
2 CONTROLES.
FUNCIONA A 110V. 2 AÑOS DE GARANTÍA.</t>
  </si>
  <si>
    <t>AUELKME8511</t>
  </si>
  <si>
    <t>MOTORES PARA CORTINAS ENROLLABLES E INDUSTRIALES</t>
  </si>
  <si>
    <t>KIT DE SISTEMA DE APERTURA PARA CORTINAS ENROLLABLES ELITE SPIN624DC PARA CORTINAS DE 600KG SIN RESORTES; IDEAL PARA CORTINAS ENROLLABLES DE CENTROS DE DISTRIBUCIÓN. INCLUYE MOTOR, ACCESORIOS DE INSTALACIÓN, RECEPTOR INCORPORADO, 2 CONTROLES, TARJETA DE CONTROL Y BATERIAS DE RESPALDO. FUNCIONA A 24V. 400W. 2 AÑOS DE GARANTÍA.</t>
  </si>
  <si>
    <t>AUELKME624DC</t>
  </si>
  <si>
    <t>KIT DE SISTEMA DE APERTURA PARA CORTINAS ENROLLABLES ELITE ME622 PARA CORTINAS DE 600 KG SIN RESORTE; IDEAL PARA CORTINAS ENROLLABLES DE CENTROS DE DISTRIBUCIÓN. INCLUYE MOTOR, ACCESORIOS DE INSTALACIÓN, RECEPTOR INCORPORADO, 2 CONTROLES Y PULSADOR INDUSTRIAL DE 3 BOTONES. FUNCIONA A 110V. 370W. 2 AÑOS DE GARANTÍA.
(DISPONIBLE EN 220V, CÓDIGO ME622)</t>
  </si>
  <si>
    <t>AUELKME611</t>
  </si>
  <si>
    <t>KIT ACCESSMATIC SISTEMA DE APERTURA CENTRAL PARA CORTINAS ENROLLABLES DE HASTA 380KG DE PESO CON COMPENSACIÓN. 110V/60HZ. USO COMERCIAL.
INCLUYE DISPOSITIVO DE DESBLOQUEO, FRENO, TARJETA ELECTRONICA CON RECEPTOR Y DOS CONTROLES. 3 AÑOS DE GARANTÍA.</t>
  </si>
  <si>
    <t>NUEVO AUACKAR382F ANTES AUACKAR380F</t>
  </si>
  <si>
    <t>KIT ACCESSMATIC SISTEMA DE APERTURA CENTRAL PARA CORTINAS ENROLLABLES DE HASTA 200KG DE PESO CON COMPENSACIÓN. 110V/60HZ. USO COMERCIAL.
INCLUYE DISPOSITIVO DE DESBLOQUEO, FRENO, TARJETA ELECTRONICA CON RECEPTOR Y DOS CONTROLES. 3 AÑOS DE GARANTÍA.</t>
  </si>
  <si>
    <t>NUEVO AUACKAR201F ANTES AUACKAR200F</t>
  </si>
  <si>
    <t>KIT ACCESSMATIC SISTEMA DE APERTURA CENTRAL PARA CORTINAS ENROLLABLES DE HASTA 380KG DE PESO CON COMPENSACIÓN. INCLUYE DISPOSITIVO DE DESBLOQUEO Y FRENO. 110V/60HZ. USO COMERCIAL. 3 AÑOS DE GARANTÍA.</t>
  </si>
  <si>
    <t>NUEVO AUACKAR382B ANTES AUACKAR380B</t>
  </si>
  <si>
    <t>KIT ACCESSMATIC SISTEMA DE APERTURA CENTRAL PARA CORTINAS ENROLLABLES DE HASTA 200KG DE PESO CON COMPENSACIÓN. INCLUYE DISPOSITIVO DE DESBLOQUEO Y FRENO. 110V/60HZ. USO COMERCIAL. 3 AÑOS DE GARANTÍA.</t>
  </si>
  <si>
    <t>NUEVO AUACKAR201B ANTES AUACKAR200B</t>
  </si>
  <si>
    <t>FOTOCELDAS ACCESSMATIC REFLEX15 SIRVEN ALCANCE DE 15 METROS, IDEALES PARA MOTORES  COMERCIALES  Y  BARRERAS/TALANQUERAS  ELECTRÓNICAS.ALIMENTACIÓN 12-36V DC / 10-24V AC ALCANCE HASTA 15 M. PROTECTORES INCLUIDOS.</t>
  </si>
  <si>
    <t>AUACRT2415U</t>
  </si>
  <si>
    <t>FOTOCELDAS ACCESSMATIC ACCESSEYE 30 CON 30 MT DE ALCANCE PARA LA INTERPERIE, FUNCIONAN DE 12-24V. ORIENTABLES A 180 GRADOS. COMPATIBLES CON TODOS LOS MOTORES ACCESSMATIC, BENINCA, KING GATES.</t>
  </si>
  <si>
    <t>AUACAE30</t>
  </si>
  <si>
    <t>CÁMARA Y MÓDULO WIFI ACCESSCAM UNIVERSAL. SIRVE CON TODOS LOS MOTORES ACCESSMATIC. 1280P X 720P. FUNCIÓN DE GRABACIÓN, VISION NOCTURNA E INTERCOMUNICACIÓN. 100° DE VISIÓN. COMPATIBLE CON LA APLICACIÓN ACCESSHUB.</t>
  </si>
  <si>
    <t>AUACACCESSCAM</t>
  </si>
  <si>
    <t>MÓDULO WIFI ELITE ELITE-PULSE UNIVERSAL. COMPATIBLE CON TODOS LOS MOTORES ELITE. INCLUYE SENSOR MAGNÉTICO.
COMPATIBLE CON LA APLICACIÓN TUYA, AMAZON ALEXA Y GOOGLE ASSISTANT.</t>
  </si>
  <si>
    <t>AUELEP100240</t>
  </si>
  <si>
    <t>CONTROL REMOTO ACCESSMATIC DE 4 CANALES DE 433 MHZ COMPATIBLE CON EAGLE 250 / FALCON 350/351.</t>
  </si>
  <si>
    <t>AUACALM4</t>
  </si>
  <si>
    <t>TARJETA CONTROLADORA ACCESSMATIC ACCESSCOMAND24 NE PARA MOTORES BATIENTES FENIX600. ALIMENTACIÓN 110V, SALIDA BRAZOS 24V, CARGADOR DE BATERÍAS INCORPORADO. DISPLAY DIGITAL.</t>
  </si>
  <si>
    <t>AUACAC24NE600</t>
  </si>
  <si>
    <t>TARJETA CONTROLADORA ACCESSMATIC ACCESSCOMAND24 NE PARA MOTORES BATIENTES EAGLE500. ALIMENTACIÓN 110V, SALIDA BRAZOS 24V, CARGADOR DE BATERÍAS INCORPORADO. DISPLAY DIGITAL.</t>
  </si>
  <si>
    <t>AUACAC24NE500</t>
  </si>
  <si>
    <t>TARJETA CONTROLADORA ACCESSMATIC ACCESSCOMAND24 NE PARA MOTORES BATIENTES EAGLE Y FALCON. ALIMENTACIÓN 110V, SALIDA BRAZOS 24V, CARGADOR DE BATERÍAS INCORPORADO.  DISPLAY DIGITAL.</t>
  </si>
  <si>
    <t>AUACAC24NE</t>
  </si>
  <si>
    <t>ELECTRO-CERRADURA VERTICAL ACCESSMATIC. 12V.</t>
  </si>
  <si>
    <t>AUACEL12</t>
  </si>
  <si>
    <t>ACCESORIOS DE MOTORES PARA PUERTAS BATIENTES/ABATIBLES</t>
  </si>
  <si>
    <t>KIT DE MOTOR BATIENTE FENIX PARA PUERTAS DE 1 HOJA DE 5.5 MT DE ANCHO O MAXIMO 600KG. INCLUYE 1 MOTOR FENIX600, 2 CONTROLES Y TARJETA ELECTRONICA ACCESSCOMAND AC24NE CON DISPLAY DIGITAL. 24V.
3 AÑOS DE GARANTIA. PARA USO INTENSIVO.</t>
  </si>
  <si>
    <t>AUACFENIX601</t>
  </si>
  <si>
    <t>KIT DE MOTOR BATIENTE ACCESSMATIC EAGLE 501 PARA PUERTAS DE 1 HOJAS DE 5MT DE ANCHO O MAX 350 KG. INCLUYE 1 MOTOR EG501, 2 CONTROLES Y TARJETA ELECTRÓNICA ACCESSCOMAND 24NE CON DISPLAY DIGITAL. 24V.
FUNCIONA CON BATERÍA DE RESPALDO AUACAF2X (NO INCLUIDA).
USO INTENSIVO. 3 AÑOS DE GARANTÍA.</t>
  </si>
  <si>
    <t>AUACEG501</t>
  </si>
  <si>
    <t>MOTORES PARA PUERTAS BATIENTES/ABATIBLES</t>
  </si>
  <si>
    <t>KIT DE MOTOR BATIENTE ACCESSMATIC PARA PUERTAS HASTA 4 MT DE ANCHO O MAX 350 KG PESO. INCLUYE 2 CONTROLES Y TARJETA ELECTRÓNICA ACCESSCOMAND 24NE CON DISPLAY DIGITAL. 24V. 1 BRAZO FALCON.
FUNCIONA CON BATERÍA DE RESPALDO AUACAF2X (NO INCLUIDA).
USO INTENSIVO. 3 AÑOS DE GARANTÍA.</t>
  </si>
  <si>
    <t>AUACFC351</t>
  </si>
  <si>
    <t>KITS BRAZOS BATIENTES DE 1 HOJA</t>
  </si>
  <si>
    <t>KIT DE 2 MOTORES BATIENTES FENIX PARA PUERTAS DE 2 HOJAS DE 5.5 MT DE ANCHO O MAXIMO 600KG. INCLUYE 2 MOTORES FENIX600, 2 CONTROLES Y TARJETA ELECTRONICA ACCESSCOMAND AC24NE CON DISPLAY DIGITAL. 24V.
3 AÑOS DE GARANTIA. PARA USO INTENSIVO.</t>
  </si>
  <si>
    <t>AUACFENIX600</t>
  </si>
  <si>
    <t>KIT DE MOTORES BATIENTES ACCESSMATIC EAGLE 500 PARA PUERTAS DE 2 HOJAS DE 5MT DE ANCHO O MAX 350 KG. INCLUYE 2 MOTORES EG500, 2 CONTROLES Y TARJETA ELECTRÓNICA ACCESSCOMAND 24NE CON DISPLAY DIGITAL. 24V.
FUNCIONA CON BATERÍA DE RESPALDO AUACAF2X (NO INCLUIDA).
USO INTENSIVO. 3 AÑOS DE GARANTÍA.</t>
  </si>
  <si>
    <t>AUACEG500</t>
  </si>
  <si>
    <t>KIT DE MOTORES BATIENTES ACCESSMATIC FALCON 350 PARA PUERTAS DE 2 HOJAS DE 4 MT DE ANCHO O MAX 350 KG DE PESO. INCLUYE 2 MOTORES FN350, 2 CONTROLES Y TARJETA ELECTRÓNICA ACCESSCOMAND 24NE CON DISPLAY DIGITAL. 24V.
FUNCIONA CON BATERÍA DE RESPALDO AUACAF2X (NO INCLUIDA).
USO INTENSIVO. 3 AÑOS DE GARANTÍA.</t>
  </si>
  <si>
    <t>AUACFC350</t>
  </si>
  <si>
    <t>KIT DE MOTORES BATIENTES FALCON 300 PARA PUERTAS DE 2 HOJAS DE 3MT DE ANCHO O MAX 300KG DE PESO POR HOJA. INCLUYE 2 MOTORES FC300, 2 CONTROLES, TARJETA ELECTRONICA CON DISPLAY DIGITAL. 24V. SISTEMA DE RESPALDO INCLUIDO. USO INTENSIVO RESIDENCIAL. 3 AÑOS DE GARANTIA.</t>
  </si>
  <si>
    <t>AUACFC300</t>
  </si>
  <si>
    <t>KIT DE MOTORES BATIENTES ACCESSMATIC EAGLE 250 PARA PUERTAS DE 2 HOJAS DE 3MT DE ANCHO O MAX 250 KG. INCLUYE 2 MOTORES EG250, 2 CONTROLES Y TARJETA ELECTRÓNICA ACCESSCOMAND 24NE CON DISPLAY DIGITAL. 24V.
FUNCIONA CON BATERÍA DE RESPALDO AUACAF2X (NO INCLUIDA).
USO INTENSIVO RESIDENCIAL. 3 AÑOS DE GARANTÍA.</t>
  </si>
  <si>
    <t>AUACEG250</t>
  </si>
  <si>
    <t>KIT DE MOTORES BATIENTES ELITE TWIST250 PARA PUERTAS ABATIBLES DE 2.5 MTS Y 250 KG POR HOJA. ALIMENTACIÓN 110/24V. INCLUYE 2 PISTONES, 2 CON-
TROLES, TARJETA ELECTRÓNICA CON DISPLAY DIGITAL.
OPCIÓN DE BATERÍA DE RESPALDO (NO INCLUÍDA). 2 AÑOS DE GARANTÍA.</t>
  </si>
  <si>
    <t>AUELTW25</t>
  </si>
  <si>
    <t>KITS BRAZOS BATIENTES DE 2 HOJAS</t>
  </si>
  <si>
    <t>KIT DE MOTOR CORREDIZO ACCESSMATIC BULLDOG 2024 DE 2000KG. INCLUYE MOTOR BD2024 + 4 METROS DE CREMALLERA DE ACERO CON PERNOS RIM4Z Y 2 CONTROLES. VELOCIDAD 14 MT/MIN. 110V AC. EN BAÑO DE ACEITE.
USO INDUSTRIAL. 3 AÑOS DE GARANTÍA.</t>
  </si>
  <si>
    <t>AUACKBD2024</t>
  </si>
  <si>
    <t>KIT DE MOTOR CORREDIZO ACCESSMATIC BULLDOG 1824BL SIN ESCOBILLAS DE 1800KG. INCLUYE MOTOR A 24V BD1824BL + BATERÍAS DE RESPALDO + 4 METROS DE CREMALLERA DE ACERO CON PERNOS RIM4Z Y 2 CONTROLES.
VELOCIDAD 14 MT/ MIN. 110 VAC. USO INTENSIVO. 3 AÑOS DE GARANTÍA.</t>
  </si>
  <si>
    <t>AUACKBD1824BL</t>
  </si>
  <si>
    <t>KIT DE MOTOR CORREDIZO ACCESSMATIC BULLDOG 1522 DE 1500KG. INCLUYE MOTOR BD1522 + 4 METROS DE CREMALLERA DE ACERO CON PERNOS RIM4Z Y 2 CONTROLES. VELOCIDAD 14 MT/MIN. 220V AC. EN BAÑO DE ACEITE.
USO INDUSTRIAL. 3 AÑOS DE GARANTÍA.</t>
  </si>
  <si>
    <t>AUACKBD1522</t>
  </si>
  <si>
    <t>KIT DE MOTOR CORREDIZO MARCA ELITE PARA PUERTAS DE 1.200KG . INCLUYE 2 CONTROLES REMOTOS Y 4 METROS DE CREMALLERA. 110V DE USO INDUSTRIAL.
2 AÑOS DE GARANTÍA.</t>
  </si>
  <si>
    <t>AUELMC12</t>
  </si>
  <si>
    <t>KIT DE MOTOR CORREDIZO ACCESSMATIC BULLDOG 1100 DE 1100KG. INCLUYE MOTOR BD1100 + 4 METROS DE CREMALLERA DE ACERO CON PERNOS RIM4F Y 2 CONTROLES. VELOCIDAD 14 MT/MIN. 110V AC.
USO RESIDENCIAL/SEMI-INDUSTRIAL.
3 AÑOS DE GARANTÍA.</t>
  </si>
  <si>
    <t>AUACKBD1100</t>
  </si>
  <si>
    <t>KIT DE MOTOR CORREDIZO ACCESSMATIC BULLDOG 1024BL SIN ESCOBILLAS DE 1000KG. INCLUYE MOTOR A 24V BD1024BL + BATERÍAS DE RESPALDO + 4 METROS   DE CREMALLERA DE ACERO CON PERNOS RIM4F Y 2 CONTROLES. VELOCIDAD 20 MT/ MIN. 110V AC. USO INTENSIVO. 3 AÑOS DE GARANTÍA.</t>
  </si>
  <si>
    <t>AUACKBD1024BL</t>
  </si>
  <si>
    <t>KIT DE MOTOR CORREDIZO ACCESSMATIC BULLDOZER 850 DE 850KG. INCLUYE MOTOR BULLDOZER 850 + 4 METROS DE CREMALLERA DE ACERO CON PERNOS RIM4F Y 2 CONTROLES DE 4 BOTONES. MOTOR AC MUY ROBUSTO CON ENGRANAJES METALICOS. USO RESIDENCIAL/SEMI-INDUSTRIAL. 110V.
3 AÑOS DE GARANTÍA.</t>
  </si>
  <si>
    <t>AUACKBD850</t>
  </si>
  <si>
    <t>KIT MOTOR DE CREMALLERA ELITE SLIDE 800 DE 800KG.
INCLUYE MOTOR MC8 + 5 METROS DE CREMALLERA DE ACERO CON PERNOS + LAMPARA DESTELLANTE + BASE METÁLICA Y 2 CONTROLES.
(CREMALLERA INCLUIDA EN LA CAJA) VELOCIDAD 14 MT/MIN. 110V AC. USO RESIDENCIAL. 2 AÑOS DE GARANTÍA.</t>
  </si>
  <si>
    <t>AUELMC8FV</t>
  </si>
  <si>
    <t>KIT MOTOR DE CREMALLERA ELITE SLIDE 800 DE 800KG.
INCLUYE MOTOR MC8 + 4 METROS DE CREMALLERA DE ACERO CON PERNOS Y 2 CONTROLES. (CREMALLERA INCLUIDA EN LA CAJA) VELOCIDAD 14 MT/MIN. 110V AC. USO RESIDENCIAL. 2 AÑOS DE GARANTÍA.</t>
  </si>
  <si>
    <t>AUELMC8</t>
  </si>
  <si>
    <t>KIT DE MOTOR CORREDIZO ELITE SLIDE 500 DE 500KG. INCLUYE MOTOR MC5 + 4 METROS DE CREMALLERA DE ACERO CON PERNOS Y 2 CONTROLES. (CREMALLERA INCLUIDA EN LA CAJA)
VELOCIDAD 14 MT/MIN. 110V AC. USO RESIDENCIAL.
2 AÑOS DE GARANTÍA.</t>
  </si>
  <si>
    <t>AUELMC5</t>
  </si>
  <si>
    <t>KIT DE MOTOR CORREDIZO ACCESSMATIC PITBULL 400 DE 400KG. INCLUYE MOTOR PB400 + 4 METROS DE CREMALLERA DE ACERO CON PERNOS RIM4F Y 2 CONTROLES. VELOCIDAD 14 MT/MIN. 110V AC. USO RESIDENCIAL.
3 AÑOS DE GARANTÍA.</t>
  </si>
  <si>
    <t>AUACKPB400</t>
  </si>
  <si>
    <t>KIT DE MOTOR CORREDIZO ELITE SLIDE 400 DE 400KG. INCLUYE MOTOR MC4 CON ENGRANAJE METÁLICO+ 4 METROS DE CREMALLERA DE ACERO CON PERNOS Y 2 CONTROLES. (CREMALLERA INCLUIDA EN LA CAJA) VELOCIDAD 14 MT/MIN. 110V AC. USO RESIDENCIAL. 2 AÑOS DE GARANTÍA.</t>
  </si>
  <si>
    <t>AUELMC4</t>
  </si>
  <si>
    <t>MOTORES PARA PUERTAS CORREDIZAS</t>
  </si>
  <si>
    <t>CREMALLERA GRUESA PARA SOLDAR DE ACERO GALVANIZADO DE 1 MT DE LARGO. RECOMENDADA PARA PUERTAS DE HASTA 2000 KG DE PESO. PARA
SOLDAR. DE 22MM X 22MM.</t>
  </si>
  <si>
    <t>AUACRIM4Z</t>
  </si>
  <si>
    <t>CREMALLERA MEDIANA DE ACERO GALVANIZADO DE 1 MT DE LARGO. RECOMENDADA PARA PUERTAS DE HASTA 1200 KG DE PESO. INCLUYE PERNOS DE FIJACIÓN DE 30MM X 12MM.</t>
  </si>
  <si>
    <t>AUACRIM4F</t>
  </si>
  <si>
    <t>CONTROL REMOTO ELITE DE 433MHZ DE 3 BOTONES EDICION VISOR CLIP PARA PONER EN EL CARRO.</t>
  </si>
  <si>
    <t>AUELCR433</t>
  </si>
  <si>
    <t>CONTROL REMOTO ACCESSMATIC DE 4 CANALES DE 433 MHZ COMPATIBLE CON MOTORES PITBULL, BULLDOZER Y BULLDOG</t>
  </si>
  <si>
    <t>AUACALS4</t>
  </si>
  <si>
    <t>RIEL EN C PARA MOTOR SCORPION 1800. 4 METROS DE RIEL. VIENE EN SECCIONES DE 1 METRO. INCLUYE TROLLEY Y CONECTORES</t>
  </si>
  <si>
    <t>AUACRC4S</t>
  </si>
  <si>
    <t>RIEL EN T PARA MOTOR SCORPION 1800. 4 METROS DE RIEL. VIENE EN SECCIONES DE 1 METRO. INCLUYE TROLLEY Y CONECTORES.</t>
  </si>
  <si>
    <t>AUACRT4SC</t>
  </si>
  <si>
    <t>RIEL T PARA MOTOR FOX1000 VIENE EN 3 PARTES CON TROLLEY Y CONECTORES.</t>
  </si>
  <si>
    <t>AUACRT3FX</t>
  </si>
  <si>
    <t>RIEL EN C EN CORREA SUPER SILENCIOSO PARA MOTOR FOX 1000 DE 3.15 MT.</t>
  </si>
  <si>
    <t>AUACRCBLT3</t>
  </si>
  <si>
    <t>EXTENSIÓN DE RIEL EN T PARA FOX1000 DE 1 METRO, INCLUYE CADENA Y CONECTORES.</t>
  </si>
  <si>
    <t>AUACFEX10</t>
  </si>
  <si>
    <t>EXTENSIÓN DE 1 METRO DE RIEL PARA MOTORES DE GARAJE ACCESSMATIC SHARK
1000. INCLUYE CONECTOR, CADENA Y RIEL DE 1 METRO DE LARGO.</t>
  </si>
  <si>
    <t>AUACAR10SH</t>
  </si>
  <si>
    <t>EXTENSIÓN DE 1 METRO DE RIEL PARA MOTORES DE GARAJE RAPTOR Y MG700.
INCLUYE CONECTOR, CADENA Y RIEL DE 1 METRO DE LARGO.</t>
  </si>
  <si>
    <t>AUACAR10</t>
  </si>
  <si>
    <t>RIEL EN C PARA SISTEMA DE APERTURA DE GARAJE LEVADIZA SC901. 1M. ESPESOR DE 1.2MM.</t>
  </si>
  <si>
    <t>AUACAR10SC901</t>
  </si>
  <si>
    <t>LÁMPARA LED DESTELLANTE 12-240V AC/DC. NARANJA CON LUZ BLANCA PARA MOTOR KONG.</t>
  </si>
  <si>
    <t>AUACFL1224</t>
  </si>
  <si>
    <t>ACOPLE DE EJE CON EXTENSIÓN 200MM PARA MOTOR KONG50. INCLUYE TORNILLOS.</t>
  </si>
  <si>
    <t>AUACKSH20</t>
  </si>
  <si>
    <t>SISTEMA ANTICAIDA PARA PUERTAS SECCIONALES LEVADIZAS. INCLUYE 2 FRENOS AJUSTABLES DE 3” CONTRA FALLA DE GUAYAS.
2 GUAYAS DE 4.0M (3/16).</t>
  </si>
  <si>
    <t>AUACCRAB03</t>
  </si>
  <si>
    <t>SISTEMA ANTICAIDA PARA PUERTAS SECCIONALES LEVADIZAS. INCLUYE 2 FRENOS AJUSTABLES DE 2” CONTRA FALLA DE GUAYAS.
2 GUAYAS DE 3.5M (1/8).</t>
  </si>
  <si>
    <t>AUACCRAB02</t>
  </si>
  <si>
    <t>FOTOCELDAS ACCESSMATIC ACCESSEYE 20 CON 20 MT DE ALCANCE PARA USO INTERIOR, FUNCIONAN DE 12-24V. COMPATIBLES CON TODOS LOS MOTORES ACCESSMATIC, BENINCA, KING GATES</t>
  </si>
  <si>
    <t>AUACAE20</t>
  </si>
  <si>
    <t>SISTEMA DE APERTURA REMOTO WIFI ACCESSMATIC COMPATIBLE CON MOTORES
FOX1000, FOX1050HS, RP120. 2.4GHZ</t>
  </si>
  <si>
    <t>AUACSONAR</t>
  </si>
  <si>
    <t>RECEPTORA  UNIVERSAL  ACCESSMATIC  ACCESSHUB  500,  CAPACIDAD  DE  MEMORIZAR HASTA 500 CONTROLES, TECNOLOGÍA ROLLING CODE, COMPATIBLE CON TODOS LOS CONTROLES ACCESSMATIC Y ELITE DE 433MHZ. 2 CANALES.</t>
  </si>
  <si>
    <t>AUACAH45</t>
  </si>
  <si>
    <t>SOPORTE PARA BATERÍA DE RESPALDO ACCESSMATIC PARA MOTORES SHARK, RAPTOR, COBRA 3424 Y ELITE MG.</t>
  </si>
  <si>
    <t>AUACBBA</t>
  </si>
  <si>
    <t>BOTÓN DE PARADA DE EMERGENCIA PARA MOTOR KONG CON 3.5M DE CABLE. PARA CERTIFICACIÓN.</t>
  </si>
  <si>
    <t>AUACESA3.5</t>
  </si>
  <si>
    <t>BOTÓN DE PARADA DE EMERGENCIA PARA MOTOR KONG. PARA CERTIFICACIÓN.</t>
  </si>
  <si>
    <t>AUACESA</t>
  </si>
  <si>
    <t>BOTONERA EXTERNA PARA MOTOR KONG. A PRUEBA DE AGUA IP54.</t>
  </si>
  <si>
    <t>AUACWAP100</t>
  </si>
  <si>
    <t>KIT DE RECEPTORA PARA MOTOR KONG 433.92MHZ. INCLUYE DOS CONTROLES DE 4 CANALES.</t>
  </si>
  <si>
    <t>AUACALK4</t>
  </si>
  <si>
    <t>CONTROL  REMOTO  ACCESSMATIC  UNIVERSAL  DE  3  CANALES,  FRECUENCIA  300-868 MHZ.</t>
  </si>
  <si>
    <t>AUACAL3900U</t>
  </si>
  <si>
    <t>PULSADOR  ACCESSMATIC  ACCESS-PULSE  DE  4  BOTONES.  COMPATIBLE  CON  MOTOR PANTHER 1500</t>
  </si>
  <si>
    <t>AUACAP40</t>
  </si>
  <si>
    <t>CONTROL REMOTO ACCESSMATIC DE 4 CANALES DE 433 MHZ COMPATIBLE CON RAPTOR Y ELITE.</t>
  </si>
  <si>
    <t>AUACALR4</t>
  </si>
  <si>
    <t>CONTROL REMOTO ACCESSMATIC 433MHZ. COMPATIBLE CON MOTOR DE GARAJE SHARK 1000.</t>
  </si>
  <si>
    <t>AUACALH2</t>
  </si>
  <si>
    <t>BATERÍA DE RESPALDO ACCESMATIC ACCESFUEL24Li PARA MOTORES DE GARAJE
SCORPION, SHARK, RAPTOR Y FOX. LITIO</t>
  </si>
  <si>
    <t>AUACAF24Li</t>
  </si>
  <si>
    <t>CONTROL REMOTO ACCESSMATIC DE 2 BOTONES CON CLIP PARA EL VISOR,
FRECUENCIA 433MHZ. ORIGINAL PARA MOTOR FOX.</t>
  </si>
  <si>
    <t>AUACALT2</t>
  </si>
  <si>
    <t>CONTROL REMOTO ACCESSMATIC DE 3 BOTONES CON CLIP PARA EL VISOR, FRECUENCIA 433MHZ. ORIGINAL PARA MOTOR SHARK1000.</t>
  </si>
  <si>
    <t>AUACALH3</t>
  </si>
  <si>
    <t>ACCESSCLIP. CLIP UNIVERSAL PARA CONTROLES REMOTOS. ALTURA AJUSTABLE.</t>
  </si>
  <si>
    <t>AUACACCESSCLIP</t>
  </si>
  <si>
    <t>CONTROL REMOTO ACCESSMATIC DE 4 BOTONES VERDES PARA MOTORES ACCESSMATIC. 433MHZ. RESISTENTE AL AGUA Y CAIDAS.</t>
  </si>
  <si>
    <t>AUACALW4</t>
  </si>
  <si>
    <t>ACCESORIOS DE MOTORES PARA PUERTAS LEVADIZAS</t>
  </si>
  <si>
    <t>MOTOR DE GARAJE ACCESSMATIC SCORPION 1800 DE 1.5 HP DE FUERZA, SALIDA 12/24V PARA CONECTAR TODO TIPO DE ACCESORIOS. USO INTENSIVO. INCLUYE 2 CONTROLES DE 4 BOTONES, BOTONERA INALÁMBRICA DE 3 BOTONES. CARGADOR DE BATERÍA INCORPORADO. 8 MT DE RECORRIDO. INCLUYE 4 METROS DE RIEL EN T. 110V.
3 AÑOS DE GARANTÍA.</t>
  </si>
  <si>
    <t>AUACKSC1800T</t>
  </si>
  <si>
    <t>MOTOR DE GARAJE ACCESSMATIC SCORPION 1800 DE 1.5 HP DE FUERZA, SALIDA 12/24V PARA CONECTAR TODO TIPO DE ACCESORIOS. USO INTENSIVO. INCLUYE 2 CONTROLES DE 4 BOTONES, BOTONERA INALÁMBRICA DE 3 BOTONES. CARGADOR DE BATERÍA INCORPORADO. 8 MT DE RECORRIDO. INCLUYE 4 METROS DE RIEL EN C. 110V.
3 AÑOS DE GARANTÍA.</t>
  </si>
  <si>
    <t>AUACKSC1800C</t>
  </si>
  <si>
    <t>MOTOR DE GARAJE ACCESSMATIC PUMA 1200 SILENCIOSO Y RÁPIDO DE USO CONTÍNUO. ALIMENTACIÓN 110V/24V. FUERZA 1 HP (1200N). TRANSMISIÓN DE CADENA EN RIEL EN C (ADAPTABLE RIEL EN T) CON EXTENSIÓN HASTA 5 METROS. FÁCIL PROGRAMACIÓN. INCLUYE 2 CONTROLES DE 3 CANALES 433MHZ,
PULSADOR DE PARED WIRELESS. WIFI PARA APERTURA Y CIERRE VÍA INTERNET.
OPCIÓN DE BATERÍA DE RESPALDO (NO INCLUIDA).
GARANTÍA DE 3 AÑOS.</t>
  </si>
  <si>
    <t>AUACPUMA1200</t>
  </si>
  <si>
    <t>MOTOR DE GARAJE ACCESSMATIC RAPTOR 1200 DE 1HP DE FUERZA, 24V USO INTENSIVO. INCLUYE 2 CONTROLES DE 4 BOTONES, BOTONERA INALÁMBRICA DE 3 BOTONES. SUPER SILENCIOSO, CARGADOR DE BATERÍA INCORPORADO,
RIEL DE 4 MT. 12 MT DE RECORRIDO. 110V.
3 AÑOS DE GARANTÍA.</t>
  </si>
  <si>
    <t>AUACRP120</t>
  </si>
  <si>
    <t>MOTOR DE GARAJE ACCESSMATIC SHARK 1000, MOTOR DE 3/4HP DE FUERZA, 24V USO INTENSIVO COMPLETAMENTE SILENCIOSO, 12 MT DE RECORRIDO AGREGANDOLE “ACCESSRAIL” INCLUYE 2 CONTROLES DE 2 BOTONES DE 433MHZ, CARGADOR DE BATERÍA INCORPORADO, PULSADOR INALÁMBRICO DE 3 FUNCIONES. 110V
3 AÑOS DE GARANTÍA.</t>
  </si>
  <si>
    <t>AUACSH1000</t>
  </si>
  <si>
    <t>MOTOR DE GARAJE ACCESSMATIC FOX 1100 PRO SILENCIOSO Y RÁPIDO DE USO CONTÍNUO. ALIMENTACIÓN 110V/24V. FUERZA 3/4 HP (1000N). TRANSMISIÓN DE CADENA EN RIEL EN T (ADAPTABLE RIEL EN C) DE 3 METROS Y CON EXTENSIÓN HASTA 7 METROS.FÁCIL PROGRAMACIÓN. WIFI INCORPORADO PARA APERTURA Y CIERRE, RÁPIDO. INCLUYE 2 CONTROLES DE 4 CANALES 433MHZ, PULSADOR DE PARED WIRELESS.OPCIÓN DE BATERÍA DE RESPALDO (NO INCLUIDA).
GARANTÍA DE 3 AÑOS.</t>
  </si>
  <si>
    <t>AUACKFOX1100WS</t>
  </si>
  <si>
    <t>MOTOR DE GARAJE ACCESSMATIC FOX 1050 HIGH SPEED DE 3/4 HP DE FUERZA, SALIDA 12/24VPARA CONECTAR TODO TIPO DE ACCESORIOS. ALTA VELOCIDAD 240CM/S. TECNOLOGIA DE COMUNICACION INALAMBRICA PARA ACCESORIOS.
USO INTENSIVO. INCLUYE 2 CONTROLES DE 4 BOTONES, BOTONERA INALÁMBRICA DE 3 BOTONES. CARGADOR DE BATERÍA INCORPORADO, FUNCIONA CON RIEL EN C Y RIEL EN T. 12 MT DE RECORRIDO. INCLUYE 3M RIEL, MUY SILENCIOSO
SILENTDRIVE. 110V. 3 AÑOS DE GARANTÍA.</t>
  </si>
  <si>
    <t>AUACKFOX1050HS</t>
  </si>
  <si>
    <t>MOTORES PARA PUERTAS LEVADIZAS</t>
  </si>
  <si>
    <t>CERRADURA INTELIGENTE DIGITAL CON 6 MÉTODOS DE APERTURA: HUELLA DIGITAL / CONTRASEÑA / TARJETA / LLAVE / APP / NFC.
RESPALDO DE BATERÍA CON PUERTO USB. CILINDRO TIPO “C.</t>
  </si>
  <si>
    <t>AUACOWL608</t>
  </si>
  <si>
    <t>CERRADURA INTELIGENTE DIGITAL CON 5 MÉTODOS DE APERTURA: HUELLA DIGITAL / CONTRASEÑA / TARJETA / LLAVE / APP.
RESPALDO DE BATERÍA CON PUERTO USB. CILINDRO TIPO “C.</t>
  </si>
  <si>
    <t>AUACOWL504</t>
  </si>
  <si>
    <t>CERRADURA INTELIGENTE ELITE LOCK SL5500L PARA PUERTAS DE HASTA 8CM.
5 MÉTODOS DE APERTURA:
100 HUELLAS / LLAVE / WIFI APP / 100 CONTRASEÑAS / TARJETA.</t>
  </si>
  <si>
    <t>AUELSL5500L</t>
  </si>
  <si>
    <t>CERRADURA INTELIGENTE ELITE LOCK SL5000 DE SOBREPONER PARA PUERTAS DE HASTA 8CM. 5 MÉTODOS DE APERTURA:
100 HUELLAS / LLAVE / WIFI APP / 100 CONTRASEÑAS / TARJETA. FÁCIL INSTALACIÓN.</t>
  </si>
  <si>
    <t>AUELSL5000</t>
  </si>
  <si>
    <t>CERRADURA INTELIGENTE ELITE LOCK SL3000 PARA PUERTAS DE HASTA 6CM.
5 METODOS DE APERTURA:
50 HUELLAS / LLAVE / BLUETOOTH APP / 100 CONTRASEÑAS / TARJETA. FÁCIL INSTALACIÓN.</t>
  </si>
  <si>
    <t>AUELSL3000L</t>
  </si>
  <si>
    <t>SMART LOCK</t>
  </si>
  <si>
    <t>ABREPUERTAS DE GARAJE FOX 1100 PRO SILENCIOSO Y RÁPIDO DE USO CONTÍNUO. ALIMENTACIÓN 110V/24V. FUERZA 3/4 HP (1000N).
FÁCIL PROGRAMACIÓN. WIFI INCORPORADO PARA APERTURA Y CIERRE, RÁPIDO. INCLUYE 2 TRANSMISORES DE 4 CANALES 433MHZ, PULSADOR DE PARED WIRELESS. OPCIÓN DE BATERÍA DE RESPALDO (NO INCLUIDA) NO INCLUYE RIEL. GARANTÍA DE 3 AÑOS.</t>
  </si>
  <si>
    <t>AUACFX1100WS</t>
  </si>
  <si>
    <t>MOTOR DE GARAJE ACCESSMATIC FOX 1000 PRO DE 3/4 HP DE FUERZA, SALIDA 12/24V PARA CONECTAR TODO TIPO DE ACCESORIOS.  USO INTENSIVO. INCLUYE 2 CONTROLES DE 4 BOTONES, BOTONERA INALÁMBRICA DE 3 BOTONES. CARGADOR DE BATERÍA INCORPORADO, FUNCIONA CON RIEL EN C Y RIEL EN T. 12 MT DE RECORRIDO.
INCLUYE RIEL EN T COCHE METÁLICO. 110V.
3 AÑOS DE GARANTÍA.</t>
  </si>
  <si>
    <t>AUACKFOX1000T</t>
  </si>
  <si>
    <t>MOTOR DE GARAJE ACCESSMATIC FOX 1000 PRO DE 3/4 HP DE FUERZA, SALIDA 12/24VPARA CONECTAR TODO TIPO DE ACCESORIOS.  USO INTENSIVO. INCLUYE 2 CONTROLES DE 4 BOTONES, BOTONERA INALÁMBRICA DE 3 BOTONES. CARGADOR DE BATERÍA INCORPORADO, FUNCIONA CON RIEL EN C Y RIEL EN T. 12 MT DE RECORRIDO. INCLUYE RIEL EN C DE CORREA, MUY SILENCIOSO SILENTDRIVE. 110V.
3 AÑOS DE GARANTÍA.</t>
  </si>
  <si>
    <t>AUACKFOX1000C</t>
  </si>
  <si>
    <t>MOTOR DE GARAJE ACCESSMATIC FOX 1000 PRO DE 3/4 HP DE FUERZA, SALIDA 12/24VPARA CONECTAR TODO TIPO DE ACCESORIOS.  USO INTENSIVO. INCLUYE 2 CONTROLES DE 4 BOTONES, BOTONERA INALÁMBRICA DE 3 BOTONES. CARGADOR DE BATERÍA INCORPORADO, FUNCIONA CON RIEL EN C Y RIEL EN T. 12 MT DE RECORRIDO. MUY SILENCIOSO SILENTDRIVE. 110V. NO INCLUYE RIEL.
3 AÑOS DE GARANTÍA.</t>
  </si>
  <si>
    <t>AUACFX1000</t>
  </si>
  <si>
    <t>MOTOR DE GARAJE ACCESSMATIC SCORPION 901 DE 1/2 HP, MOTOR DE 24V
3 TRAMOS DE RIEL EN C CADA UNO DE 1 METRO, CAJA TODO EN 1 CON CADENA. ACCESSSCREEN. PANTALLA L.C.D. PARA UNA FÁCIL PROGRAMACIÓN INCLUYE 2 CONTROLES DE 3 CANALES, PULSADOR DE PARED WIRELESS.
110V. 3 AÑOS DE GARANTÍA.</t>
  </si>
  <si>
    <t>AUACSC901COM</t>
  </si>
  <si>
    <t>MOTOR DE GARAJE ELITE MG 750 SILENCIOSO Y RÁPIDO DE USO CONTÍNUO. ALIMENTACIÓN 110V/24V. FUERZA ½ HP (750N). TRANSMISIÓN DE CADENA EN RIEL EN C (ADAPTABLE RIEL EN T) DE 3 METROS CON EXTENSIÓN
HASTA 5 METROS. FÁCIL PROGRAMACIÓN. INCLUYE 2 CONTROLES DE
3 CANALES 433MHZ, PULSADOR DE PARED WIRELESS. OPCIÓN DE BATERÍA DE
RESPALDO (NO INCLUIDA). 2 AÑOS DE GARANTÍA.</t>
  </si>
  <si>
    <t>AUELMG750</t>
  </si>
  <si>
    <t>MASTER</t>
  </si>
  <si>
    <t>INSTALLER</t>
  </si>
  <si>
    <t>Columna1</t>
  </si>
  <si>
    <t>COSTO MAS IVA</t>
  </si>
  <si>
    <t>Columna4</t>
  </si>
  <si>
    <t>Columna6</t>
  </si>
  <si>
    <t>DESCRIPCIÓN</t>
  </si>
  <si>
    <t xml:space="preserve">REFERENCIA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</si>
</sst>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quot;$&quot;\ #,##0"/>
    <numFmt numFmtId="165" formatCode="_-&quot;$&quot;\ * #,##0_-;\-&quot;$&quot;\ * #,##0_-;_-&quot;$&quot;\ * &quot;-&quot;??_-;_-@_-"/>
  </numFmts>
  <fonts count="13" x14ac:knownFonts="1">
    <font>
      <sz val="11"/>
      <color theme="1"/>
      <name val="Aptos Narrow"/>
      <family val="2"/>
      <scheme val="minor"/>
    </font>
    <font>
      <sz val="11"/>
      <color theme="1"/>
      <name val="Aptos Narrow"/>
      <family val="2"/>
      <scheme val="minor"/>
    </font>
    <font>
      <sz val="10"/>
      <name val="Arial"/>
      <family val="2"/>
    </font>
    <font>
      <sz val="10"/>
      <name val="Aptos Narrow"/>
      <family val="2"/>
      <scheme val="minor"/>
    </font>
    <font>
      <sz val="10"/>
      <color theme="0"/>
      <name val="Aptos Narrow"/>
      <family val="2"/>
      <scheme val="minor"/>
    </font>
    <font>
      <sz val="11"/>
      <name val="Aptos Narrow"/>
      <family val="2"/>
      <scheme val="minor"/>
    </font>
    <font>
      <sz val="10"/>
      <color rgb="FF282828"/>
      <name val="Aptos Narrow"/>
      <family val="2"/>
      <scheme val="minor"/>
    </font>
    <font>
      <sz val="10"/>
      <color theme="8"/>
      <name val="Aptos Narrow"/>
      <family val="2"/>
      <scheme val="minor"/>
    </font>
    <font>
      <b/>
      <sz val="10"/>
      <color rgb="FF282828"/>
      <name val="Aptos Narrow"/>
      <family val="2"/>
      <scheme val="minor"/>
    </font>
    <font>
      <b/>
      <sz val="10"/>
      <name val="Aptos Narrow"/>
      <family val="2"/>
      <scheme val="minor"/>
    </font>
    <font>
      <sz val="11"/>
      <color theme="8"/>
      <name val="Aptos Narrow"/>
      <family val="2"/>
      <scheme val="minor"/>
    </font>
    <font>
      <b/>
      <sz val="12"/>
      <color rgb="FFFBFBFB"/>
      <name val="Aptos Narrow"/>
      <family val="2"/>
      <scheme val="minor"/>
    </font>
    <font>
      <b/>
      <sz val="12"/>
      <color theme="0"/>
      <name val="Aptos Narrow"/>
      <family val="2"/>
      <scheme val="minor"/>
    </font>
  </fonts>
  <fills count="3">
    <fill>
      <patternFill patternType="none"/>
    </fill>
    <fill>
      <patternFill patternType="gray125"/>
    </fill>
    <fill>
      <patternFill patternType="solid">
        <fgColor rgb="FF92D050"/>
        <bgColor indexed="64"/>
      </patternFill>
    </fill>
  </fills>
  <borders count="1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medium">
        <color rgb="FF5D6975"/>
      </bottom>
      <diagonal/>
    </border>
    <border>
      <left style="thin">
        <color rgb="FF000000"/>
      </left>
      <right/>
      <top/>
      <bottom style="medium">
        <color rgb="FF5D6975"/>
      </bottom>
      <diagonal/>
    </border>
  </borders>
  <cellStyleXfs count="3">
    <xf numFmtId="0" fontId="0" fillId="0" borderId="0"/>
    <xf numFmtId="44" fontId="1" fillId="0" borderId="0" applyFont="0" applyFill="0" applyBorder="0" applyAlignment="0" applyProtection="0"/>
    <xf numFmtId="0" fontId="2" fillId="0" borderId="0"/>
  </cellStyleXfs>
  <cellXfs count="48">
    <xf numFmtId="0" fontId="0" fillId="0" borderId="0" xfId="0"/>
    <xf numFmtId="0" fontId="3" fillId="0" borderId="0" xfId="2" applyFont="1"/>
    <xf numFmtId="164" fontId="3" fillId="0" borderId="0" xfId="2" applyNumberFormat="1" applyFont="1"/>
    <xf numFmtId="165" fontId="3" fillId="0" borderId="0" xfId="1" applyNumberFormat="1" applyFont="1"/>
    <xf numFmtId="0" fontId="3" fillId="0" borderId="0" xfId="2" applyFont="1" applyAlignment="1">
      <alignment wrapText="1"/>
    </xf>
    <xf numFmtId="164" fontId="3" fillId="0" borderId="1" xfId="2" applyNumberFormat="1" applyFont="1" applyBorder="1" applyAlignment="1">
      <alignment vertical="center"/>
    </xf>
    <xf numFmtId="1" fontId="3" fillId="0" borderId="2" xfId="2" applyNumberFormat="1" applyFont="1" applyBorder="1" applyAlignment="1">
      <alignment vertical="center"/>
    </xf>
    <xf numFmtId="2" fontId="3" fillId="0" borderId="2" xfId="2" applyNumberFormat="1" applyFont="1" applyBorder="1" applyAlignment="1">
      <alignment vertical="center"/>
    </xf>
    <xf numFmtId="165" fontId="3" fillId="0" borderId="2" xfId="1" applyNumberFormat="1" applyFont="1" applyBorder="1" applyAlignment="1">
      <alignment vertical="center"/>
    </xf>
    <xf numFmtId="0" fontId="3" fillId="0" borderId="2" xfId="2" applyFont="1" applyBorder="1" applyAlignment="1">
      <alignment vertical="center" wrapText="1"/>
    </xf>
    <xf numFmtId="0" fontId="3" fillId="0" borderId="2" xfId="2" applyFont="1" applyBorder="1"/>
    <xf numFmtId="0" fontId="3" fillId="0" borderId="0" xfId="2" applyFont="1" applyAlignment="1">
      <alignment vertical="center"/>
    </xf>
    <xf numFmtId="164" fontId="3" fillId="0" borderId="3" xfId="2" applyNumberFormat="1" applyFont="1" applyBorder="1" applyAlignment="1">
      <alignment vertical="center"/>
    </xf>
    <xf numFmtId="1" fontId="3" fillId="0" borderId="4" xfId="2" applyNumberFormat="1" applyFont="1" applyBorder="1" applyAlignment="1">
      <alignment vertical="center"/>
    </xf>
    <xf numFmtId="165" fontId="4" fillId="0" borderId="4" xfId="1" applyNumberFormat="1" applyFont="1" applyBorder="1" applyAlignment="1">
      <alignment horizontal="center" vertical="center" wrapText="1"/>
    </xf>
    <xf numFmtId="165" fontId="4" fillId="0" borderId="2" xfId="1" applyNumberFormat="1" applyFont="1" applyBorder="1" applyAlignment="1">
      <alignment horizontal="center" vertical="center" wrapText="1"/>
    </xf>
    <xf numFmtId="0" fontId="4" fillId="0" borderId="2" xfId="2" applyFont="1" applyBorder="1" applyAlignment="1">
      <alignment horizontal="center" vertical="center" wrapText="1"/>
    </xf>
    <xf numFmtId="0" fontId="4" fillId="0" borderId="2" xfId="2" applyFont="1" applyBorder="1" applyAlignment="1">
      <alignment horizontal="center" vertical="center"/>
    </xf>
    <xf numFmtId="0" fontId="0" fillId="0" borderId="0" xfId="0" applyAlignment="1">
      <alignment horizontal="left"/>
    </xf>
    <xf numFmtId="165" fontId="0" fillId="0" borderId="0" xfId="1" applyNumberFormat="1" applyFont="1" applyAlignment="1">
      <alignment horizontal="left"/>
    </xf>
    <xf numFmtId="0" fontId="0" fillId="0" borderId="0" xfId="0" applyAlignment="1">
      <alignment horizontal="left" wrapText="1"/>
    </xf>
    <xf numFmtId="0" fontId="5" fillId="0" borderId="0" xfId="0" applyFont="1" applyAlignment="1">
      <alignment horizontal="left"/>
    </xf>
    <xf numFmtId="165" fontId="3" fillId="0" borderId="5" xfId="1" applyNumberFormat="1"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165" fontId="6" fillId="0" borderId="5" xfId="1" applyNumberFormat="1" applyFont="1" applyBorder="1" applyAlignment="1">
      <alignment horizontal="center" vertical="center"/>
    </xf>
    <xf numFmtId="0" fontId="7" fillId="0" borderId="6" xfId="0" applyFont="1" applyBorder="1" applyAlignment="1">
      <alignment horizontal="center" vertical="center"/>
    </xf>
    <xf numFmtId="0" fontId="6" fillId="0" borderId="6" xfId="0" applyFont="1" applyBorder="1" applyAlignment="1">
      <alignment horizontal="left" vertical="center"/>
    </xf>
    <xf numFmtId="165" fontId="6" fillId="0" borderId="6" xfId="1" applyNumberFormat="1" applyFont="1" applyBorder="1" applyAlignment="1">
      <alignment horizontal="left" vertical="center"/>
    </xf>
    <xf numFmtId="0" fontId="6" fillId="0" borderId="6" xfId="0" applyFont="1" applyBorder="1" applyAlignment="1">
      <alignment horizontal="left" vertical="center" wrapText="1"/>
    </xf>
    <xf numFmtId="0" fontId="3" fillId="0" borderId="6" xfId="0" applyFont="1" applyBorder="1" applyAlignment="1">
      <alignment horizontal="left" vertical="center"/>
    </xf>
    <xf numFmtId="0" fontId="8" fillId="0" borderId="6" xfId="0" applyFont="1" applyBorder="1" applyAlignment="1">
      <alignment horizontal="left" vertical="center"/>
    </xf>
    <xf numFmtId="165" fontId="8" fillId="0" borderId="6" xfId="1" applyNumberFormat="1" applyFont="1" applyBorder="1" applyAlignment="1">
      <alignment horizontal="left" vertical="center"/>
    </xf>
    <xf numFmtId="0" fontId="8" fillId="0" borderId="6" xfId="0" applyFont="1" applyBorder="1" applyAlignment="1">
      <alignment horizontal="left" vertical="center" wrapText="1"/>
    </xf>
    <xf numFmtId="0" fontId="9" fillId="0" borderId="6" xfId="0" applyFont="1" applyBorder="1" applyAlignment="1">
      <alignment horizontal="left" vertical="center"/>
    </xf>
    <xf numFmtId="165" fontId="9" fillId="0" borderId="6" xfId="1" applyNumberFormat="1" applyFont="1" applyBorder="1" applyAlignment="1">
      <alignment horizontal="left" vertical="center"/>
    </xf>
    <xf numFmtId="0" fontId="9" fillId="0" borderId="6" xfId="0" applyFont="1" applyBorder="1" applyAlignment="1">
      <alignment horizontal="left" vertical="center" wrapText="1"/>
    </xf>
    <xf numFmtId="0" fontId="6" fillId="0" borderId="5" xfId="0" applyFont="1" applyBorder="1" applyAlignment="1">
      <alignment horizontal="center" vertical="center"/>
    </xf>
    <xf numFmtId="0" fontId="10" fillId="0" borderId="0" xfId="0" applyFont="1"/>
    <xf numFmtId="165" fontId="7" fillId="0" borderId="5" xfId="1" applyNumberFormat="1"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left"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165" fontId="11" fillId="2" borderId="9" xfId="1" applyNumberFormat="1" applyFont="1" applyFill="1" applyBorder="1" applyAlignment="1">
      <alignment horizontal="center" vertical="center"/>
    </xf>
    <xf numFmtId="165" fontId="11" fillId="2" borderId="8" xfId="1" applyNumberFormat="1" applyFont="1" applyFill="1" applyBorder="1" applyAlignment="1">
      <alignment horizontal="center" vertical="center" wrapText="1"/>
    </xf>
    <xf numFmtId="0" fontId="11" fillId="2" borderId="8" xfId="0" applyFont="1" applyFill="1" applyBorder="1" applyAlignment="1">
      <alignment horizontal="center" vertical="center" wrapText="1"/>
    </xf>
    <xf numFmtId="0" fontId="12" fillId="2" borderId="8" xfId="0" applyFont="1" applyFill="1" applyBorder="1" applyAlignment="1">
      <alignment horizontal="center" vertical="center"/>
    </xf>
  </cellXfs>
  <cellStyles count="3">
    <cellStyle name="Moneda" xfId="1" builtinId="4"/>
    <cellStyle name="Normal" xfId="0" builtinId="0"/>
    <cellStyle name="Normal 2" xfId="2" xr:uid="{9D269A75-867C-4C09-B4C0-A4A9B0C21F22}"/>
  </cellStyles>
  <dxfs count="34">
    <dxf>
      <font>
        <color rgb="FF9C0006"/>
      </font>
      <fill>
        <patternFill>
          <bgColor rgb="FFFFC7CE"/>
        </patternFill>
      </fill>
    </dxf>
    <dxf>
      <alignment textRotation="0" wrapText="0" indent="0" justifyLastLine="0" shrinkToFit="0" readingOrder="0"/>
    </dxf>
    <dxf>
      <alignment textRotation="0" wrapText="0" indent="0" justifyLastLine="0" shrinkToFit="0" readingOrder="0"/>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numFmt numFmtId="165" formatCode="_-&quot;$&quot;\ * #,##0_-;\-&quot;$&quot;\ * #,##0_-;_-&quot;$&quot;\ * &quot;-&quot;??_-;_-@_-"/>
      <alignment horizontal="center" vertical="center" textRotation="0" wrapText="0" indent="0" justifyLastLine="0" shrinkToFit="0" readingOrder="0"/>
      <border diagonalUp="0" diagonalDown="0">
        <left style="thin">
          <color rgb="FF000000"/>
        </left>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282828"/>
        <name val="Aptos Narrow"/>
        <family val="2"/>
        <scheme val="minor"/>
      </font>
      <numFmt numFmtId="165"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165"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165"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ptos Narrow"/>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0" indent="0" justifyLastLine="0" shrinkToFit="0" readingOrder="0"/>
    </dxf>
    <dxf>
      <border outline="0">
        <bottom style="medium">
          <color rgb="FF5D6975"/>
        </bottom>
      </border>
    </dxf>
    <dxf>
      <font>
        <b/>
        <i val="0"/>
        <strike val="0"/>
        <condense val="0"/>
        <extend val="0"/>
        <outline val="0"/>
        <shadow val="0"/>
        <u val="none"/>
        <vertAlign val="baseline"/>
        <sz val="12"/>
        <color rgb="FFFBFBFB"/>
        <name val="Aptos Narrow"/>
        <scheme val="minor"/>
      </font>
      <fill>
        <patternFill patternType="solid">
          <fgColor indexed="64"/>
          <bgColor rgb="FF92D05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strike val="0"/>
        <outline val="0"/>
        <shadow val="0"/>
        <u val="none"/>
        <vertAlign val="baseline"/>
        <sz val="10"/>
        <color auto="1"/>
        <name val="Aptos Narrow"/>
        <family val="2"/>
        <scheme val="minor"/>
      </font>
      <numFmt numFmtId="164" formatCode="&quot;$&quot;\ #,##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165"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165"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5"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5"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none">
          <fgColor indexed="64"/>
          <bgColor indexed="65"/>
        </patternFill>
      </fill>
      <alignment horizontal="general"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calcChain" Target="calcChain.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85970E-3298-408E-9C1E-0083AB8C2B1D}" name="Tabla2" displayName="Tabla2" ref="A1:K31" totalsRowShown="0" headerRowDxfId="33" dataDxfId="31" headerRowBorderDxfId="32" tableBorderDxfId="30" totalsRowBorderDxfId="29">
  <autoFilter ref="A1:K31" xr:uid="{00000000-0009-0000-0100-000002000000}"/>
  <sortState xmlns:xlrd2="http://schemas.microsoft.com/office/spreadsheetml/2017/richdata2" ref="A2:K31">
    <sortCondition descending="1" ref="K1:K31"/>
  </sortState>
  <tableColumns count="11">
    <tableColumn id="3" xr3:uid="{6514F664-58F6-476D-87C6-3C63050B06CA}" name="REFERENCIA" dataDxfId="28"/>
    <tableColumn id="4" xr3:uid="{0A5A61C1-21E2-4BD3-A620-1A94F6CFE611}" name="DESCRIPCION" dataDxfId="27"/>
    <tableColumn id="10" xr3:uid="{AB56F8AC-C337-4ACE-A0DF-6E52861DE920}" name="PRECIO INSTALLER (CON IVA)" dataDxfId="26" dataCellStyle="Moneda">
      <calculatedColumnFormula>+Tabla2[[#This Row],[COSTO + IVA]]/Tabla2[[#This Row],[Columna5]]</calculatedColumnFormula>
    </tableColumn>
    <tableColumn id="11" xr3:uid="{8AFBEC2C-62DD-4169-8B52-FC990F61F687}" name="PRECIO TIENDA (CON IVA)" dataDxfId="25" dataCellStyle="Moneda">
      <calculatedColumnFormula>+Tabla2[[#This Row],[PRECIO INSTALLER (CON IVA)]]-F2</calculatedColumnFormula>
    </tableColumn>
    <tableColumn id="13" xr3:uid="{AE22618A-4B4B-4997-B7D9-98A23C0ED16B}" name="PRECIO CLIENTE FINAL (CON IVA)" dataDxfId="24" dataCellStyle="Moneda">
      <calculatedColumnFormula>+Tabla2[[#This Row],[PRECIO INSTALLER (CON IVA)]]/0.7</calculatedColumnFormula>
    </tableColumn>
    <tableColumn id="12" xr3:uid="{7AEF0064-B119-4043-BB97-F68C728871DE}" name="Columna2" dataDxfId="23" dataCellStyle="Moneda">
      <calculatedColumnFormula>+Tabla2[[#This Row],[PRECIO INSTALLER (CON IVA)]]*5%</calculatedColumnFormula>
    </tableColumn>
    <tableColumn id="5" xr3:uid="{D4BBD334-7030-49C8-8CB0-622C12CFBB17}" name="Columna5" dataDxfId="22"/>
    <tableColumn id="6" xr3:uid="{0FE9672B-3D21-433B-AD07-0A7BE28D90CE}" name="COSTO + IVA" dataDxfId="21">
      <calculatedColumnFormula>Tabla2[[#This Row],[COSTO]]*1.19</calculatedColumnFormula>
    </tableColumn>
    <tableColumn id="7" xr3:uid="{ACA2B690-BCD6-4B9F-A1EE-BF688B2E393B}" name="Columna7" dataDxfId="20"/>
    <tableColumn id="8" xr3:uid="{5C9CA4AC-862E-47D9-A220-514E0E7A5C8A}" name="Columna8" dataDxfId="19"/>
    <tableColumn id="9" xr3:uid="{169377F3-9010-49E3-A952-39543BA1FA3F}" name="COSTO"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FABD3C-593E-463E-8F6A-38B46532EB27}" name="Tabla127" displayName="Tabla127" ref="A1:L244" totalsRowShown="0" headerRowDxfId="17" dataDxfId="15" headerRowBorderDxfId="16" tableBorderDxfId="14" totalsRowBorderDxfId="13">
  <autoFilter ref="A1:L244" xr:uid="{00000000-0009-0000-0100-000001000000}"/>
  <sortState xmlns:xlrd2="http://schemas.microsoft.com/office/spreadsheetml/2017/richdata2" ref="A2:K187">
    <sortCondition ref="A1:A187"/>
  </sortState>
  <tableColumns count="12">
    <tableColumn id="3" xr3:uid="{3FF08A92-6789-4B1E-AE40-AFDA941A4BC8}" name="REFERENCIA " dataDxfId="12"/>
    <tableColumn id="4" xr3:uid="{794351F0-7016-4787-A175-1E63FAA67530}" name="DESCRIPCIÓN" dataDxfId="11"/>
    <tableColumn id="11" xr3:uid="{C94A59A4-A456-4A43-96CA-CCC528F5286D}" name="PRECIO INSTALLER (CON IVA)" dataDxfId="10" dataCellStyle="Moneda">
      <calculatedColumnFormula>+Tabla127[[#This Row],[INSTALLER]]</calculatedColumnFormula>
    </tableColumn>
    <tableColumn id="13" xr3:uid="{2A4A5123-C8CF-4704-B987-501B8A0434A8}" name="PRECIO TIENDA (CON IVA)" dataDxfId="9" dataCellStyle="Moneda">
      <calculatedColumnFormula>+Tabla127[[#This Row],[PRECIO INSTALLER (CON IVA)]]-Tabla127[[#This Row],[Columna6]]</calculatedColumnFormula>
    </tableColumn>
    <tableColumn id="14" xr3:uid="{67AF59F1-2BC2-427F-A0E5-7F4D2E018BCF}" name="PRECIO CLIENTE FINAL (CON IVA)" dataDxfId="8" dataCellStyle="Moneda">
      <calculatedColumnFormula>+Tabla127[[#This Row],[PRECIO INSTALLER (CON IVA)]]/0.7</calculatedColumnFormula>
    </tableColumn>
    <tableColumn id="12" xr3:uid="{BEB456C8-AC45-4B3A-98A3-AA45143594E7}" name="Columna6" dataDxfId="7">
      <calculatedColumnFormula>+Tabla127[[#This Row],[PRECIO INSTALLER (CON IVA)]]*5%</calculatedColumnFormula>
    </tableColumn>
    <tableColumn id="5" xr3:uid="{B2632F18-AC3E-43C6-9EEE-4852690A17C4}" name="Columna4" dataDxfId="6"/>
    <tableColumn id="9" xr3:uid="{8D5DCE3B-5942-438C-B964-F7344ED1FBA0}" name="COSTO MAS IVA" dataDxfId="5" dataCellStyle="Moneda">
      <calculatedColumnFormula>Tabla127[[#This Row],[INSTALLER]]</calculatedColumnFormula>
    </tableColumn>
    <tableColumn id="8" xr3:uid="{C49905DC-08BA-4CDC-B002-744710C72607}" name="Columna2" dataDxfId="4"/>
    <tableColumn id="7" xr3:uid="{F7AB2E77-C471-4D9B-AD87-8E5E43399457}" name="Columna1" dataDxfId="3"/>
    <tableColumn id="10" xr3:uid="{1124F46F-11DA-4530-B066-B3CB38FDFA17}" name="INSTALLER" dataDxfId="2"/>
    <tableColumn id="6" xr3:uid="{D6F52927-B65D-45F1-9594-FA64D48A3D80}" name="MASTER" dataDxfId="1"/>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6CC2-CC9C-4355-807A-0BBF37E8D86D}">
  <sheetPr>
    <pageSetUpPr fitToPage="1"/>
  </sheetPr>
  <dimension ref="A1:K31"/>
  <sheetViews>
    <sheetView workbookViewId="0">
      <pane ySplit="1" topLeftCell="A8" activePane="bottomLeft" state="frozen"/>
      <selection pane="bottomLeft" activeCell="B15" sqref="B15"/>
    </sheetView>
  </sheetViews>
  <sheetFormatPr baseColWidth="10" defaultRowHeight="13.5" x14ac:dyDescent="0.25"/>
  <cols>
    <col min="1" max="1" width="20" style="1" customWidth="1"/>
    <col min="2" max="2" width="44" style="4" customWidth="1"/>
    <col min="3" max="5" width="18" style="3" customWidth="1"/>
    <col min="6" max="6" width="18" style="3" hidden="1" customWidth="1"/>
    <col min="7" max="7" width="9" style="2" hidden="1" customWidth="1"/>
    <col min="8" max="8" width="13.140625" style="2" hidden="1" customWidth="1"/>
    <col min="9" max="9" width="6.140625" style="2" hidden="1" customWidth="1"/>
    <col min="10" max="10" width="8.42578125" style="2" hidden="1" customWidth="1"/>
    <col min="11" max="11" width="11.28515625" style="2" hidden="1" customWidth="1"/>
    <col min="12" max="259" width="9.140625" style="1" customWidth="1"/>
    <col min="260" max="16384" width="11.42578125" style="1"/>
  </cols>
  <sheetData>
    <row r="1" spans="1:11" s="11" customFormat="1" ht="48" customHeight="1" x14ac:dyDescent="0.25">
      <c r="A1" s="17" t="s">
        <v>68</v>
      </c>
      <c r="B1" s="16" t="s">
        <v>67</v>
      </c>
      <c r="C1" s="15" t="s">
        <v>66</v>
      </c>
      <c r="D1" s="15" t="s">
        <v>65</v>
      </c>
      <c r="E1" s="15" t="s">
        <v>64</v>
      </c>
      <c r="F1" s="14" t="s">
        <v>63</v>
      </c>
      <c r="G1" s="13" t="s">
        <v>62</v>
      </c>
      <c r="H1" s="13" t="s">
        <v>61</v>
      </c>
      <c r="I1" s="13" t="s">
        <v>60</v>
      </c>
      <c r="J1" s="13" t="s">
        <v>59</v>
      </c>
      <c r="K1" s="12" t="s">
        <v>58</v>
      </c>
    </row>
    <row r="2" spans="1:11" ht="40.5" x14ac:dyDescent="0.25">
      <c r="A2" s="10" t="s">
        <v>57</v>
      </c>
      <c r="B2" s="9" t="s">
        <v>56</v>
      </c>
      <c r="C2" s="8">
        <f>+Tabla2[[#This Row],[COSTO + IVA]]/Tabla2[[#This Row],[Columna5]]</f>
        <v>998340</v>
      </c>
      <c r="D2" s="8">
        <f>+Tabla2[[#This Row],[PRECIO INSTALLER (CON IVA)]]-F2</f>
        <v>948423</v>
      </c>
      <c r="E2" s="8">
        <f>+Tabla2[[#This Row],[PRECIO INSTALLER (CON IVA)]]/0.7</f>
        <v>1426200</v>
      </c>
      <c r="F2" s="8">
        <f>+Tabla2[[#This Row],[PRECIO INSTALLER (CON IVA)]]*5%</f>
        <v>49917</v>
      </c>
      <c r="G2" s="7">
        <v>0.85</v>
      </c>
      <c r="H2" s="6">
        <f>Tabla2[[#This Row],[COSTO]]*1.19</f>
        <v>848589</v>
      </c>
      <c r="I2" s="6"/>
      <c r="J2" s="6"/>
      <c r="K2" s="5">
        <v>713100</v>
      </c>
    </row>
    <row r="3" spans="1:11" ht="27" x14ac:dyDescent="0.25">
      <c r="A3" s="10" t="s">
        <v>55</v>
      </c>
      <c r="B3" s="9" t="s">
        <v>54</v>
      </c>
      <c r="C3" s="8">
        <f>+Tabla2[[#This Row],[COSTO + IVA]]/Tabla2[[#This Row],[Columna5]]</f>
        <v>483980</v>
      </c>
      <c r="D3" s="8">
        <f>+Tabla2[[#This Row],[PRECIO INSTALLER (CON IVA)]]-F3</f>
        <v>459781</v>
      </c>
      <c r="E3" s="8">
        <f>+Tabla2[[#This Row],[PRECIO INSTALLER (CON IVA)]]/0.7</f>
        <v>691400</v>
      </c>
      <c r="F3" s="8">
        <f>+Tabla2[[#This Row],[PRECIO INSTALLER (CON IVA)]]*5%</f>
        <v>24199</v>
      </c>
      <c r="G3" s="7">
        <v>0.85</v>
      </c>
      <c r="H3" s="6">
        <f>Tabla2[[#This Row],[COSTO]]*1.19</f>
        <v>411383</v>
      </c>
      <c r="I3" s="6"/>
      <c r="J3" s="6"/>
      <c r="K3" s="5">
        <v>345700</v>
      </c>
    </row>
    <row r="4" spans="1:11" ht="40.5" x14ac:dyDescent="0.25">
      <c r="A4" s="10" t="s">
        <v>53</v>
      </c>
      <c r="B4" s="9" t="s">
        <v>52</v>
      </c>
      <c r="C4" s="8">
        <f>+Tabla2[[#This Row],[COSTO + IVA]]/Tabla2[[#This Row],[Columna5]]</f>
        <v>738500</v>
      </c>
      <c r="D4" s="8">
        <f>+Tabla2[[#This Row],[PRECIO INSTALLER (CON IVA)]]-F4</f>
        <v>701575</v>
      </c>
      <c r="E4" s="8">
        <f>+Tabla2[[#This Row],[PRECIO INSTALLER (CON IVA)]]/0.7</f>
        <v>1055000</v>
      </c>
      <c r="F4" s="8">
        <f>+Tabla2[[#This Row],[PRECIO INSTALLER (CON IVA)]]*5%</f>
        <v>36925</v>
      </c>
      <c r="G4" s="7">
        <v>0.85</v>
      </c>
      <c r="H4" s="6">
        <f>Tabla2[[#This Row],[COSTO]]*1.19</f>
        <v>627725</v>
      </c>
      <c r="I4" s="6"/>
      <c r="J4" s="6"/>
      <c r="K4" s="5">
        <v>527500</v>
      </c>
    </row>
    <row r="5" spans="1:11" ht="40.5" x14ac:dyDescent="0.25">
      <c r="A5" s="10" t="s">
        <v>51</v>
      </c>
      <c r="B5" s="9" t="s">
        <v>50</v>
      </c>
      <c r="C5" s="8">
        <f>+Tabla2[[#This Row],[COSTO + IVA]]/Tabla2[[#This Row],[Columna5]]</f>
        <v>831600</v>
      </c>
      <c r="D5" s="8">
        <f>+Tabla2[[#This Row],[PRECIO INSTALLER (CON IVA)]]-F5</f>
        <v>790020</v>
      </c>
      <c r="E5" s="8">
        <f>+Tabla2[[#This Row],[PRECIO INSTALLER (CON IVA)]]/0.7</f>
        <v>1188000</v>
      </c>
      <c r="F5" s="8">
        <f>+Tabla2[[#This Row],[PRECIO INSTALLER (CON IVA)]]*5%</f>
        <v>41580</v>
      </c>
      <c r="G5" s="7">
        <v>0.85</v>
      </c>
      <c r="H5" s="6">
        <f>Tabla2[[#This Row],[COSTO]]*1.19</f>
        <v>706860</v>
      </c>
      <c r="I5" s="6"/>
      <c r="J5" s="6"/>
      <c r="K5" s="5">
        <v>594000</v>
      </c>
    </row>
    <row r="6" spans="1:11" ht="27" x14ac:dyDescent="0.25">
      <c r="A6" s="10" t="s">
        <v>49</v>
      </c>
      <c r="B6" s="9" t="s">
        <v>48</v>
      </c>
      <c r="C6" s="8">
        <f>+Tabla2[[#This Row],[COSTO + IVA]]/Tabla2[[#This Row],[Columna5]]</f>
        <v>331940</v>
      </c>
      <c r="D6" s="8">
        <f>+Tabla2[[#This Row],[PRECIO INSTALLER (CON IVA)]]-F6</f>
        <v>315343</v>
      </c>
      <c r="E6" s="8">
        <f>+Tabla2[[#This Row],[PRECIO INSTALLER (CON IVA)]]/0.7</f>
        <v>474200.00000000006</v>
      </c>
      <c r="F6" s="8">
        <f>+Tabla2[[#This Row],[PRECIO INSTALLER (CON IVA)]]*5%</f>
        <v>16597</v>
      </c>
      <c r="G6" s="7">
        <v>0.85</v>
      </c>
      <c r="H6" s="6">
        <f>Tabla2[[#This Row],[COSTO]]*1.19</f>
        <v>282149</v>
      </c>
      <c r="I6" s="6"/>
      <c r="J6" s="6"/>
      <c r="K6" s="5">
        <v>237100</v>
      </c>
    </row>
    <row r="7" spans="1:11" ht="27" x14ac:dyDescent="0.25">
      <c r="A7" s="10" t="s">
        <v>47</v>
      </c>
      <c r="B7" s="9" t="s">
        <v>46</v>
      </c>
      <c r="C7" s="8">
        <f>+Tabla2[[#This Row],[COSTO + IVA]]/Tabla2[[#This Row],[Columna5]]</f>
        <v>74200</v>
      </c>
      <c r="D7" s="8">
        <f>+Tabla2[[#This Row],[PRECIO INSTALLER (CON IVA)]]-F7</f>
        <v>70490</v>
      </c>
      <c r="E7" s="8">
        <f>+Tabla2[[#This Row],[PRECIO INSTALLER (CON IVA)]]/0.7</f>
        <v>106000</v>
      </c>
      <c r="F7" s="8">
        <f>+Tabla2[[#This Row],[PRECIO INSTALLER (CON IVA)]]*5%</f>
        <v>3710</v>
      </c>
      <c r="G7" s="7">
        <v>0.85</v>
      </c>
      <c r="H7" s="6">
        <f>Tabla2[[#This Row],[COSTO]]*1.19</f>
        <v>63070</v>
      </c>
      <c r="I7" s="6"/>
      <c r="J7" s="6"/>
      <c r="K7" s="5">
        <v>53000</v>
      </c>
    </row>
    <row r="8" spans="1:11" ht="40.5" x14ac:dyDescent="0.25">
      <c r="A8" s="10" t="s">
        <v>45</v>
      </c>
      <c r="B8" s="9" t="s">
        <v>44</v>
      </c>
      <c r="C8" s="8">
        <f>+Tabla2[[#This Row],[COSTO + IVA]]/Tabla2[[#This Row],[Columna5]]</f>
        <v>512540</v>
      </c>
      <c r="D8" s="8">
        <f>+Tabla2[[#This Row],[PRECIO INSTALLER (CON IVA)]]-F8</f>
        <v>486913</v>
      </c>
      <c r="E8" s="8">
        <f>+Tabla2[[#This Row],[PRECIO INSTALLER (CON IVA)]]/0.7</f>
        <v>732200</v>
      </c>
      <c r="F8" s="8">
        <f>+Tabla2[[#This Row],[PRECIO INSTALLER (CON IVA)]]*5%</f>
        <v>25627</v>
      </c>
      <c r="G8" s="7">
        <v>0.85</v>
      </c>
      <c r="H8" s="6">
        <f>Tabla2[[#This Row],[COSTO]]*1.19</f>
        <v>435659</v>
      </c>
      <c r="I8" s="6"/>
      <c r="J8" s="6"/>
      <c r="K8" s="5">
        <v>366100</v>
      </c>
    </row>
    <row r="9" spans="1:11" x14ac:dyDescent="0.25">
      <c r="A9" s="10" t="s">
        <v>43</v>
      </c>
      <c r="B9" s="9" t="s">
        <v>42</v>
      </c>
      <c r="C9" s="8">
        <f>+Tabla2[[#This Row],[COSTO + IVA]]/Tabla2[[#This Row],[Columna5]]</f>
        <v>233800</v>
      </c>
      <c r="D9" s="8">
        <f>+Tabla2[[#This Row],[PRECIO INSTALLER (CON IVA)]]-F9</f>
        <v>222110</v>
      </c>
      <c r="E9" s="8">
        <f>+Tabla2[[#This Row],[PRECIO INSTALLER (CON IVA)]]/0.7</f>
        <v>334000</v>
      </c>
      <c r="F9" s="8">
        <f>+Tabla2[[#This Row],[PRECIO INSTALLER (CON IVA)]]*5%</f>
        <v>11690</v>
      </c>
      <c r="G9" s="7">
        <v>0.85</v>
      </c>
      <c r="H9" s="6">
        <f>Tabla2[[#This Row],[COSTO]]*1.19</f>
        <v>198730</v>
      </c>
      <c r="I9" s="6"/>
      <c r="J9" s="6"/>
      <c r="K9" s="5">
        <v>167000</v>
      </c>
    </row>
    <row r="10" spans="1:11" ht="27" x14ac:dyDescent="0.25">
      <c r="A10" s="10" t="s">
        <v>41</v>
      </c>
      <c r="B10" s="9" t="s">
        <v>40</v>
      </c>
      <c r="C10" s="8">
        <f>+Tabla2[[#This Row],[COSTO + IVA]]/Tabla2[[#This Row],[Columna5]]</f>
        <v>26180</v>
      </c>
      <c r="D10" s="8">
        <f>+Tabla2[[#This Row],[PRECIO INSTALLER (CON IVA)]]-F10</f>
        <v>24871</v>
      </c>
      <c r="E10" s="8">
        <f>+Tabla2[[#This Row],[PRECIO INSTALLER (CON IVA)]]/0.7</f>
        <v>37400</v>
      </c>
      <c r="F10" s="8">
        <f>+Tabla2[[#This Row],[PRECIO INSTALLER (CON IVA)]]*5%</f>
        <v>1309</v>
      </c>
      <c r="G10" s="7">
        <v>0.85</v>
      </c>
      <c r="H10" s="6">
        <f>Tabla2[[#This Row],[COSTO]]*1.19</f>
        <v>22253</v>
      </c>
      <c r="I10" s="6"/>
      <c r="J10" s="6"/>
      <c r="K10" s="5">
        <v>18700</v>
      </c>
    </row>
    <row r="11" spans="1:11" ht="27" x14ac:dyDescent="0.25">
      <c r="A11" s="10" t="s">
        <v>39</v>
      </c>
      <c r="B11" s="9" t="s">
        <v>38</v>
      </c>
      <c r="C11" s="8">
        <f>+Tabla2[[#This Row],[COSTO + IVA]]/Tabla2[[#This Row],[Columna5]]</f>
        <v>103460</v>
      </c>
      <c r="D11" s="8">
        <f>+Tabla2[[#This Row],[PRECIO INSTALLER (CON IVA)]]-F11</f>
        <v>98287</v>
      </c>
      <c r="E11" s="8">
        <f>+Tabla2[[#This Row],[PRECIO INSTALLER (CON IVA)]]/0.7</f>
        <v>147800</v>
      </c>
      <c r="F11" s="8">
        <f>+Tabla2[[#This Row],[PRECIO INSTALLER (CON IVA)]]*5%</f>
        <v>5173</v>
      </c>
      <c r="G11" s="7">
        <v>0.85</v>
      </c>
      <c r="H11" s="6">
        <f>Tabla2[[#This Row],[COSTO]]*1.19</f>
        <v>87941</v>
      </c>
      <c r="I11" s="6"/>
      <c r="J11" s="6"/>
      <c r="K11" s="5">
        <v>73900</v>
      </c>
    </row>
    <row r="12" spans="1:11" ht="40.5" x14ac:dyDescent="0.25">
      <c r="A12" s="10" t="s">
        <v>37</v>
      </c>
      <c r="B12" s="9" t="s">
        <v>36</v>
      </c>
      <c r="C12" s="8">
        <f>+Tabla2[[#This Row],[COSTO + IVA]]/Tabla2[[#This Row],[Columna5]]</f>
        <v>163380</v>
      </c>
      <c r="D12" s="8">
        <f>+Tabla2[[#This Row],[PRECIO INSTALLER (CON IVA)]]-F12</f>
        <v>155211</v>
      </c>
      <c r="E12" s="8">
        <f>+Tabla2[[#This Row],[PRECIO INSTALLER (CON IVA)]]/0.7</f>
        <v>233400.00000000003</v>
      </c>
      <c r="F12" s="8">
        <f>+Tabla2[[#This Row],[PRECIO INSTALLER (CON IVA)]]*5%</f>
        <v>8169</v>
      </c>
      <c r="G12" s="7">
        <v>0.85</v>
      </c>
      <c r="H12" s="6">
        <f>Tabla2[[#This Row],[COSTO]]*1.19</f>
        <v>138873</v>
      </c>
      <c r="I12" s="6"/>
      <c r="J12" s="6"/>
      <c r="K12" s="5">
        <v>116700</v>
      </c>
    </row>
    <row r="13" spans="1:11" ht="40.5" x14ac:dyDescent="0.25">
      <c r="A13" s="10" t="s">
        <v>35</v>
      </c>
      <c r="B13" s="9" t="s">
        <v>34</v>
      </c>
      <c r="C13" s="8">
        <f>+Tabla2[[#This Row],[COSTO + IVA]]/Tabla2[[#This Row],[Columna5]]</f>
        <v>80134.600000000006</v>
      </c>
      <c r="D13" s="8">
        <f>+Tabla2[[#This Row],[PRECIO INSTALLER (CON IVA)]]-F13</f>
        <v>76127.87000000001</v>
      </c>
      <c r="E13" s="8">
        <f>+Tabla2[[#This Row],[PRECIO INSTALLER (CON IVA)]]/0.7</f>
        <v>114478.00000000001</v>
      </c>
      <c r="F13" s="8">
        <f>+Tabla2[[#This Row],[PRECIO INSTALLER (CON IVA)]]*5%</f>
        <v>4006.7300000000005</v>
      </c>
      <c r="G13" s="7">
        <v>0.85</v>
      </c>
      <c r="H13" s="6">
        <f>Tabla2[[#This Row],[COSTO]]*1.19</f>
        <v>68114.41</v>
      </c>
      <c r="I13" s="6"/>
      <c r="J13" s="6"/>
      <c r="K13" s="5">
        <v>57239</v>
      </c>
    </row>
    <row r="14" spans="1:11" ht="40.5" x14ac:dyDescent="0.25">
      <c r="A14" s="10" t="s">
        <v>33</v>
      </c>
      <c r="B14" s="9" t="s">
        <v>32</v>
      </c>
      <c r="C14" s="8">
        <f>+Tabla2[[#This Row],[COSTO + IVA]]/Tabla2[[#This Row],[Columna5]]</f>
        <v>68320</v>
      </c>
      <c r="D14" s="8">
        <f>+Tabla2[[#This Row],[PRECIO INSTALLER (CON IVA)]]-F14</f>
        <v>64904</v>
      </c>
      <c r="E14" s="8">
        <f>+Tabla2[[#This Row],[PRECIO INSTALLER (CON IVA)]]/0.7</f>
        <v>97600</v>
      </c>
      <c r="F14" s="8">
        <f>+Tabla2[[#This Row],[PRECIO INSTALLER (CON IVA)]]*5%</f>
        <v>3416</v>
      </c>
      <c r="G14" s="7">
        <v>0.85</v>
      </c>
      <c r="H14" s="6">
        <f>Tabla2[[#This Row],[COSTO]]*1.19</f>
        <v>58072</v>
      </c>
      <c r="I14" s="6"/>
      <c r="J14" s="6"/>
      <c r="K14" s="5">
        <v>48800</v>
      </c>
    </row>
    <row r="15" spans="1:11" ht="40.5" x14ac:dyDescent="0.25">
      <c r="A15" s="10" t="s">
        <v>31</v>
      </c>
      <c r="B15" s="9" t="s">
        <v>30</v>
      </c>
      <c r="C15" s="8">
        <f>+Tabla2[[#This Row],[COSTO + IVA]]/Tabla2[[#This Row],[Columna5]]</f>
        <v>64400</v>
      </c>
      <c r="D15" s="8">
        <f>+Tabla2[[#This Row],[PRECIO INSTALLER (CON IVA)]]-F15</f>
        <v>61180</v>
      </c>
      <c r="E15" s="8">
        <f>+Tabla2[[#This Row],[PRECIO INSTALLER (CON IVA)]]/0.7</f>
        <v>92000</v>
      </c>
      <c r="F15" s="8">
        <f>+Tabla2[[#This Row],[PRECIO INSTALLER (CON IVA)]]*5%</f>
        <v>3220</v>
      </c>
      <c r="G15" s="7">
        <v>0.85</v>
      </c>
      <c r="H15" s="6">
        <f>Tabla2[[#This Row],[COSTO]]*1.19</f>
        <v>54740</v>
      </c>
      <c r="I15" s="6"/>
      <c r="J15" s="6"/>
      <c r="K15" s="5">
        <v>46000</v>
      </c>
    </row>
    <row r="16" spans="1:11" ht="40.5" x14ac:dyDescent="0.25">
      <c r="A16" s="10" t="s">
        <v>29</v>
      </c>
      <c r="B16" s="9" t="s">
        <v>28</v>
      </c>
      <c r="C16" s="8">
        <f>+Tabla2[[#This Row],[COSTO + IVA]]/Tabla2[[#This Row],[Columna5]]</f>
        <v>14000</v>
      </c>
      <c r="D16" s="8">
        <f>+Tabla2[[#This Row],[PRECIO INSTALLER (CON IVA)]]-F16</f>
        <v>13300</v>
      </c>
      <c r="E16" s="8">
        <f>+Tabla2[[#This Row],[PRECIO INSTALLER (CON IVA)]]/0.7</f>
        <v>20000</v>
      </c>
      <c r="F16" s="8">
        <f>+Tabla2[[#This Row],[PRECIO INSTALLER (CON IVA)]]*5%</f>
        <v>700</v>
      </c>
      <c r="G16" s="7">
        <v>0.85</v>
      </c>
      <c r="H16" s="6">
        <f>Tabla2[[#This Row],[COSTO]]*1.19</f>
        <v>11900</v>
      </c>
      <c r="I16" s="6"/>
      <c r="J16" s="6"/>
      <c r="K16" s="5">
        <v>10000</v>
      </c>
    </row>
    <row r="17" spans="1:11" x14ac:dyDescent="0.25">
      <c r="A17" s="10" t="s">
        <v>27</v>
      </c>
      <c r="B17" s="9" t="s">
        <v>26</v>
      </c>
      <c r="C17" s="8">
        <f>+Tabla2[[#This Row],[COSTO + IVA]]/Tabla2[[#This Row],[Columna5]]</f>
        <v>9506</v>
      </c>
      <c r="D17" s="8">
        <f>+Tabla2[[#This Row],[PRECIO INSTALLER (CON IVA)]]-F17</f>
        <v>9030.7000000000007</v>
      </c>
      <c r="E17" s="8">
        <f>+Tabla2[[#This Row],[PRECIO INSTALLER (CON IVA)]]/0.7</f>
        <v>13580</v>
      </c>
      <c r="F17" s="8">
        <f>+Tabla2[[#This Row],[PRECIO INSTALLER (CON IVA)]]*5%</f>
        <v>475.3</v>
      </c>
      <c r="G17" s="7">
        <v>0.85</v>
      </c>
      <c r="H17" s="6">
        <f>Tabla2[[#This Row],[COSTO]]*1.19</f>
        <v>8080.0999999999995</v>
      </c>
      <c r="I17" s="6"/>
      <c r="J17" s="6"/>
      <c r="K17" s="5">
        <v>6790</v>
      </c>
    </row>
    <row r="18" spans="1:11" ht="27" x14ac:dyDescent="0.25">
      <c r="A18" s="10" t="s">
        <v>25</v>
      </c>
      <c r="B18" s="9" t="s">
        <v>24</v>
      </c>
      <c r="C18" s="8">
        <f>+Tabla2[[#This Row],[COSTO + IVA]]/Tabla2[[#This Row],[Columna5]]</f>
        <v>1820</v>
      </c>
      <c r="D18" s="8">
        <f>+Tabla2[[#This Row],[PRECIO INSTALLER (CON IVA)]]-F18</f>
        <v>1729</v>
      </c>
      <c r="E18" s="8">
        <f>+Tabla2[[#This Row],[PRECIO INSTALLER (CON IVA)]]/0.7</f>
        <v>2600</v>
      </c>
      <c r="F18" s="8">
        <f>+Tabla2[[#This Row],[PRECIO INSTALLER (CON IVA)]]*5%</f>
        <v>91</v>
      </c>
      <c r="G18" s="7">
        <v>0.85</v>
      </c>
      <c r="H18" s="6">
        <f>Tabla2[[#This Row],[COSTO]]*1.19</f>
        <v>1547</v>
      </c>
      <c r="I18" s="6"/>
      <c r="J18" s="6"/>
      <c r="K18" s="5">
        <v>1300</v>
      </c>
    </row>
    <row r="19" spans="1:11" x14ac:dyDescent="0.25">
      <c r="A19" s="10" t="s">
        <v>7</v>
      </c>
      <c r="B19" s="9" t="s">
        <v>6</v>
      </c>
      <c r="C19" s="8">
        <f>+Tabla2[[#This Row],[COSTO + IVA]]/Tabla2[[#This Row],[Columna5]]</f>
        <v>1820</v>
      </c>
      <c r="D19" s="8">
        <f>+Tabla2[[#This Row],[PRECIO INSTALLER (CON IVA)]]-F19</f>
        <v>1729</v>
      </c>
      <c r="E19" s="8">
        <f>+Tabla2[[#This Row],[PRECIO INSTALLER (CON IVA)]]/0.7</f>
        <v>2600</v>
      </c>
      <c r="F19" s="8">
        <f>+Tabla2[[#This Row],[PRECIO INSTALLER (CON IVA)]]*5%</f>
        <v>91</v>
      </c>
      <c r="G19" s="7">
        <v>0.85</v>
      </c>
      <c r="H19" s="6">
        <f>Tabla2[[#This Row],[COSTO]]*1.19</f>
        <v>1547</v>
      </c>
      <c r="I19" s="6"/>
      <c r="J19" s="6"/>
      <c r="K19" s="5">
        <v>1300</v>
      </c>
    </row>
    <row r="20" spans="1:11" x14ac:dyDescent="0.25">
      <c r="A20" s="10" t="s">
        <v>23</v>
      </c>
      <c r="B20" s="9" t="s">
        <v>22</v>
      </c>
      <c r="C20" s="8">
        <f>+Tabla2[[#This Row],[COSTO + IVA]]/Tabla2[[#This Row],[Columna5]]</f>
        <v>1442</v>
      </c>
      <c r="D20" s="8">
        <f>+Tabla2[[#This Row],[PRECIO INSTALLER (CON IVA)]]-F20</f>
        <v>1369.9</v>
      </c>
      <c r="E20" s="8">
        <f>+Tabla2[[#This Row],[PRECIO INSTALLER (CON IVA)]]/0.7</f>
        <v>2060</v>
      </c>
      <c r="F20" s="8">
        <f>+Tabla2[[#This Row],[PRECIO INSTALLER (CON IVA)]]*5%</f>
        <v>72.100000000000009</v>
      </c>
      <c r="G20" s="7">
        <v>0.85</v>
      </c>
      <c r="H20" s="6">
        <f>Tabla2[[#This Row],[COSTO]]*1.19</f>
        <v>1225.7</v>
      </c>
      <c r="I20" s="6"/>
      <c r="J20" s="6"/>
      <c r="K20" s="5">
        <v>1030</v>
      </c>
    </row>
    <row r="21" spans="1:11" ht="27" x14ac:dyDescent="0.25">
      <c r="A21" s="10" t="s">
        <v>21</v>
      </c>
      <c r="B21" s="9" t="s">
        <v>20</v>
      </c>
      <c r="C21" s="8">
        <f>+Tabla2[[#This Row],[COSTO + IVA]]/Tabla2[[#This Row],[Columna5]]</f>
        <v>1120</v>
      </c>
      <c r="D21" s="8">
        <f>+Tabla2[[#This Row],[PRECIO INSTALLER (CON IVA)]]-F21</f>
        <v>1064</v>
      </c>
      <c r="E21" s="8">
        <f>+Tabla2[[#This Row],[PRECIO INSTALLER (CON IVA)]]/0.7</f>
        <v>1600</v>
      </c>
      <c r="F21" s="8">
        <f>+Tabla2[[#This Row],[PRECIO INSTALLER (CON IVA)]]*5%</f>
        <v>56</v>
      </c>
      <c r="G21" s="7">
        <v>0.85</v>
      </c>
      <c r="H21" s="6">
        <f>Tabla2[[#This Row],[COSTO]]*1.19</f>
        <v>952</v>
      </c>
      <c r="I21" s="6"/>
      <c r="J21" s="6"/>
      <c r="K21" s="5">
        <v>800</v>
      </c>
    </row>
    <row r="22" spans="1:11" x14ac:dyDescent="0.25">
      <c r="A22" s="10" t="s">
        <v>19</v>
      </c>
      <c r="B22" s="9" t="s">
        <v>18</v>
      </c>
      <c r="C22" s="8">
        <f>+Tabla2[[#This Row],[COSTO + IVA]]/Tabla2[[#This Row],[Columna5]]</f>
        <v>749</v>
      </c>
      <c r="D22" s="8">
        <f>+Tabla2[[#This Row],[PRECIO INSTALLER (CON IVA)]]-F22</f>
        <v>711.55</v>
      </c>
      <c r="E22" s="8">
        <f>+Tabla2[[#This Row],[PRECIO INSTALLER (CON IVA)]]/0.7</f>
        <v>1070</v>
      </c>
      <c r="F22" s="8">
        <f>+Tabla2[[#This Row],[PRECIO INSTALLER (CON IVA)]]*5%</f>
        <v>37.450000000000003</v>
      </c>
      <c r="G22" s="7">
        <v>0.85</v>
      </c>
      <c r="H22" s="6">
        <f>Tabla2[[#This Row],[COSTO]]*1.19</f>
        <v>636.65</v>
      </c>
      <c r="I22" s="6"/>
      <c r="J22" s="6"/>
      <c r="K22" s="5">
        <v>535</v>
      </c>
    </row>
    <row r="23" spans="1:11" x14ac:dyDescent="0.25">
      <c r="A23" s="10" t="s">
        <v>17</v>
      </c>
      <c r="B23" s="9" t="s">
        <v>16</v>
      </c>
      <c r="C23" s="8">
        <f>+Tabla2[[#This Row],[COSTO + IVA]]/Tabla2[[#This Row],[Columna5]]</f>
        <v>749</v>
      </c>
      <c r="D23" s="8">
        <f>+Tabla2[[#This Row],[PRECIO INSTALLER (CON IVA)]]-F23</f>
        <v>711.55</v>
      </c>
      <c r="E23" s="8">
        <f>+Tabla2[[#This Row],[PRECIO INSTALLER (CON IVA)]]/0.7</f>
        <v>1070</v>
      </c>
      <c r="F23" s="8">
        <f>+Tabla2[[#This Row],[PRECIO INSTALLER (CON IVA)]]*5%</f>
        <v>37.450000000000003</v>
      </c>
      <c r="G23" s="7">
        <v>0.85</v>
      </c>
      <c r="H23" s="6">
        <f>Tabla2[[#This Row],[COSTO]]*1.19</f>
        <v>636.65</v>
      </c>
      <c r="I23" s="6"/>
      <c r="J23" s="6"/>
      <c r="K23" s="5">
        <v>535</v>
      </c>
    </row>
    <row r="24" spans="1:11" x14ac:dyDescent="0.25">
      <c r="A24" s="10" t="s">
        <v>15</v>
      </c>
      <c r="B24" s="9" t="s">
        <v>14</v>
      </c>
      <c r="C24" s="8">
        <f>+Tabla2[[#This Row],[COSTO + IVA]]/Tabla2[[#This Row],[Columna5]]</f>
        <v>701.4</v>
      </c>
      <c r="D24" s="8">
        <f>+Tabla2[[#This Row],[PRECIO INSTALLER (CON IVA)]]-F24</f>
        <v>666.32999999999993</v>
      </c>
      <c r="E24" s="8">
        <f>+Tabla2[[#This Row],[PRECIO INSTALLER (CON IVA)]]/0.7</f>
        <v>1002</v>
      </c>
      <c r="F24" s="8">
        <f>+Tabla2[[#This Row],[PRECIO INSTALLER (CON IVA)]]*5%</f>
        <v>35.07</v>
      </c>
      <c r="G24" s="7">
        <v>0.85</v>
      </c>
      <c r="H24" s="6">
        <f>Tabla2[[#This Row],[COSTO]]*1.19</f>
        <v>596.18999999999994</v>
      </c>
      <c r="I24" s="6"/>
      <c r="J24" s="6"/>
      <c r="K24" s="5">
        <v>501</v>
      </c>
    </row>
    <row r="25" spans="1:11" ht="27" x14ac:dyDescent="0.25">
      <c r="A25" s="10" t="s">
        <v>13</v>
      </c>
      <c r="B25" s="9" t="s">
        <v>12</v>
      </c>
      <c r="C25" s="8">
        <f>+Tabla2[[#This Row],[COSTO + IVA]]/Tabla2[[#This Row],[Columna5]]</f>
        <v>582.4</v>
      </c>
      <c r="D25" s="8">
        <f>+Tabla2[[#This Row],[PRECIO INSTALLER (CON IVA)]]-F25</f>
        <v>553.28</v>
      </c>
      <c r="E25" s="8">
        <f>+Tabla2[[#This Row],[PRECIO INSTALLER (CON IVA)]]/0.7</f>
        <v>832</v>
      </c>
      <c r="F25" s="8">
        <f>+Tabla2[[#This Row],[PRECIO INSTALLER (CON IVA)]]*5%</f>
        <v>29.12</v>
      </c>
      <c r="G25" s="7">
        <v>0.85</v>
      </c>
      <c r="H25" s="6">
        <f>Tabla2[[#This Row],[COSTO]]*1.19</f>
        <v>495.03999999999996</v>
      </c>
      <c r="I25" s="6"/>
      <c r="J25" s="6"/>
      <c r="K25" s="5">
        <v>416</v>
      </c>
    </row>
    <row r="26" spans="1:11" x14ac:dyDescent="0.25">
      <c r="A26" s="10" t="s">
        <v>11</v>
      </c>
      <c r="B26" s="9" t="s">
        <v>10</v>
      </c>
      <c r="C26" s="8">
        <f>+Tabla2[[#This Row],[COSTO + IVA]]/Tabla2[[#This Row],[Columna5]]</f>
        <v>582.4</v>
      </c>
      <c r="D26" s="8">
        <f>+Tabla2[[#This Row],[PRECIO INSTALLER (CON IVA)]]-F26</f>
        <v>553.28</v>
      </c>
      <c r="E26" s="8">
        <f>+Tabla2[[#This Row],[PRECIO INSTALLER (CON IVA)]]/0.7</f>
        <v>832</v>
      </c>
      <c r="F26" s="8">
        <f>+Tabla2[[#This Row],[PRECIO INSTALLER (CON IVA)]]*5%</f>
        <v>29.12</v>
      </c>
      <c r="G26" s="7">
        <v>0.85</v>
      </c>
      <c r="H26" s="6">
        <f>Tabla2[[#This Row],[COSTO]]*1.19</f>
        <v>495.03999999999996</v>
      </c>
      <c r="I26" s="6"/>
      <c r="J26" s="6"/>
      <c r="K26" s="5">
        <v>416</v>
      </c>
    </row>
    <row r="27" spans="1:11" x14ac:dyDescent="0.25">
      <c r="A27" s="10" t="s">
        <v>9</v>
      </c>
      <c r="B27" s="9" t="s">
        <v>8</v>
      </c>
      <c r="C27" s="8">
        <f>+Tabla2[[#This Row],[COSTO + IVA]]/Tabla2[[#This Row],[Columna5]]</f>
        <v>162.4</v>
      </c>
      <c r="D27" s="8">
        <f>+Tabla2[[#This Row],[PRECIO INSTALLER (CON IVA)]]-F27</f>
        <v>154.28</v>
      </c>
      <c r="E27" s="8">
        <f>+Tabla2[[#This Row],[PRECIO INSTALLER (CON IVA)]]/0.7</f>
        <v>232.00000000000003</v>
      </c>
      <c r="F27" s="8">
        <f>+Tabla2[[#This Row],[PRECIO INSTALLER (CON IVA)]]*5%</f>
        <v>8.120000000000001</v>
      </c>
      <c r="G27" s="7">
        <v>0.85</v>
      </c>
      <c r="H27" s="6">
        <f>Tabla2[[#This Row],[COSTO]]*1.19</f>
        <v>138.04</v>
      </c>
      <c r="I27" s="6"/>
      <c r="J27" s="6"/>
      <c r="K27" s="5">
        <v>116</v>
      </c>
    </row>
    <row r="28" spans="1:11" x14ac:dyDescent="0.25">
      <c r="A28" s="10" t="s">
        <v>7</v>
      </c>
      <c r="B28" s="9" t="s">
        <v>6</v>
      </c>
      <c r="C28" s="8">
        <f>+Tabla2[[#This Row],[COSTO + IVA]]/Tabla2[[#This Row],[Columna5]]</f>
        <v>1960</v>
      </c>
      <c r="D28" s="8">
        <f>+Tabla2[[#This Row],[PRECIO INSTALLER (CON IVA)]]-F28</f>
        <v>1862</v>
      </c>
      <c r="E28" s="8">
        <f>+Tabla2[[#This Row],[PRECIO INSTALLER (CON IVA)]]/0.7</f>
        <v>2800</v>
      </c>
      <c r="F28" s="8">
        <f>+Tabla2[[#This Row],[PRECIO INSTALLER (CON IVA)]]*5%</f>
        <v>98</v>
      </c>
      <c r="G28" s="7">
        <v>0.85</v>
      </c>
      <c r="H28" s="6">
        <f>Tabla2[[#This Row],[COSTO]]*1.19</f>
        <v>1666</v>
      </c>
      <c r="I28" s="6"/>
      <c r="J28" s="6"/>
      <c r="K28" s="5">
        <v>1400</v>
      </c>
    </row>
    <row r="29" spans="1:11" ht="40.5" x14ac:dyDescent="0.25">
      <c r="A29" s="10" t="s">
        <v>5</v>
      </c>
      <c r="B29" s="9" t="s">
        <v>4</v>
      </c>
      <c r="C29" s="8">
        <f>+Tabla2[[#This Row],[COSTO + IVA]]/Tabla2[[#This Row],[Columna5]]</f>
        <v>28208.6</v>
      </c>
      <c r="D29" s="8">
        <f>+Tabla2[[#This Row],[PRECIO INSTALLER (CON IVA)]]-F29</f>
        <v>26798.17</v>
      </c>
      <c r="E29" s="8">
        <f>+Tabla2[[#This Row],[PRECIO INSTALLER (CON IVA)]]/0.7</f>
        <v>40298</v>
      </c>
      <c r="F29" s="8">
        <f>+Tabla2[[#This Row],[PRECIO INSTALLER (CON IVA)]]*5%</f>
        <v>1410.43</v>
      </c>
      <c r="G29" s="7">
        <v>0.85</v>
      </c>
      <c r="H29" s="6">
        <f>Tabla2[[#This Row],[COSTO]]*1.19</f>
        <v>23977.309999999998</v>
      </c>
      <c r="I29" s="6"/>
      <c r="J29" s="6"/>
      <c r="K29" s="5">
        <v>20149</v>
      </c>
    </row>
    <row r="30" spans="1:11" x14ac:dyDescent="0.25">
      <c r="A30" s="10" t="s">
        <v>3</v>
      </c>
      <c r="B30" s="9" t="s">
        <v>2</v>
      </c>
      <c r="C30" s="8">
        <f>+Tabla2[[#This Row],[COSTO + IVA]]/Tabla2[[#This Row],[Columna5]]</f>
        <v>3166.7999999999997</v>
      </c>
      <c r="D30" s="8">
        <f>+Tabla2[[#This Row],[PRECIO INSTALLER (CON IVA)]]-F30</f>
        <v>3008.4599999999996</v>
      </c>
      <c r="E30" s="8">
        <f>+Tabla2[[#This Row],[PRECIO INSTALLER (CON IVA)]]/0.7</f>
        <v>4524</v>
      </c>
      <c r="F30" s="8">
        <f>+Tabla2[[#This Row],[PRECIO INSTALLER (CON IVA)]]*5%</f>
        <v>158.34</v>
      </c>
      <c r="G30" s="7">
        <v>0.85</v>
      </c>
      <c r="H30" s="6">
        <f>Tabla2[[#This Row],[COSTO]]*1.19</f>
        <v>2691.7799999999997</v>
      </c>
      <c r="I30" s="6"/>
      <c r="J30" s="6"/>
      <c r="K30" s="5">
        <v>2262</v>
      </c>
    </row>
    <row r="31" spans="1:11" ht="27" x14ac:dyDescent="0.25">
      <c r="A31" s="10" t="s">
        <v>1</v>
      </c>
      <c r="B31" s="9" t="s">
        <v>0</v>
      </c>
      <c r="C31" s="8">
        <f>+Tabla2[[#This Row],[COSTO + IVA]]/Tabla2[[#This Row],[Columna5]]</f>
        <v>73591</v>
      </c>
      <c r="D31" s="8">
        <f>+Tabla2[[#This Row],[PRECIO INSTALLER (CON IVA)]]-F31</f>
        <v>69911.45</v>
      </c>
      <c r="E31" s="8">
        <f>+Tabla2[[#This Row],[PRECIO INSTALLER (CON IVA)]]/0.7</f>
        <v>105130</v>
      </c>
      <c r="F31" s="8">
        <f>+Tabla2[[#This Row],[PRECIO INSTALLER (CON IVA)]]*5%</f>
        <v>3679.55</v>
      </c>
      <c r="G31" s="7">
        <v>0.85</v>
      </c>
      <c r="H31" s="6">
        <f>Tabla2[[#This Row],[COSTO]]*1.19</f>
        <v>62552.35</v>
      </c>
      <c r="I31" s="6"/>
      <c r="J31" s="6"/>
      <c r="K31" s="5">
        <v>52565</v>
      </c>
    </row>
  </sheetData>
  <pageMargins left="0.74791666666666667" right="0.74791666666666667" top="0.98402777777777772" bottom="0.98402777777777772" header="0.51180555555555551" footer="0.51180555555555551"/>
  <pageSetup scale="75" firstPageNumber="0" orientation="portrait" horizontalDpi="300" verticalDpi="300"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B15B-49DC-47E6-A90C-3ED21BD95BAC}">
  <dimension ref="A1:L244"/>
  <sheetViews>
    <sheetView showGridLines="0" tabSelected="1" view="pageBreakPreview" zoomScale="60" zoomScaleNormal="130" workbookViewId="0">
      <pane ySplit="1" topLeftCell="A31" activePane="bottomLeft" state="frozen"/>
      <selection pane="bottomLeft" activeCell="K41" sqref="K41"/>
    </sheetView>
  </sheetViews>
  <sheetFormatPr baseColWidth="10" defaultRowHeight="15" x14ac:dyDescent="0.25"/>
  <cols>
    <col min="1" max="1" width="17.7109375" style="21" customWidth="1"/>
    <col min="2" max="2" width="44" style="20" customWidth="1"/>
    <col min="3" max="5" width="19.42578125" style="19" customWidth="1"/>
    <col min="6" max="6" width="19.42578125" style="18" customWidth="1"/>
    <col min="7" max="7" width="5.28515625" customWidth="1"/>
    <col min="8" max="8" width="13.42578125" customWidth="1"/>
    <col min="9" max="9" width="3.42578125" customWidth="1"/>
    <col min="10" max="10" width="3.28515625" customWidth="1"/>
    <col min="11" max="11" width="15.28515625" customWidth="1"/>
    <col min="12" max="15" width="11.42578125" customWidth="1"/>
  </cols>
  <sheetData>
    <row r="1" spans="1:12" ht="62.25" customHeight="1" thickBot="1" x14ac:dyDescent="0.3">
      <c r="A1" s="47" t="s">
        <v>517</v>
      </c>
      <c r="B1" s="46" t="s">
        <v>516</v>
      </c>
      <c r="C1" s="45" t="s">
        <v>66</v>
      </c>
      <c r="D1" s="45" t="s">
        <v>65</v>
      </c>
      <c r="E1" s="45" t="s">
        <v>64</v>
      </c>
      <c r="F1" s="42" t="s">
        <v>515</v>
      </c>
      <c r="G1" s="42" t="s">
        <v>514</v>
      </c>
      <c r="H1" s="44" t="s">
        <v>513</v>
      </c>
      <c r="I1" s="43" t="s">
        <v>63</v>
      </c>
      <c r="J1" s="43" t="s">
        <v>512</v>
      </c>
      <c r="K1" s="42" t="s">
        <v>511</v>
      </c>
      <c r="L1" s="42" t="s">
        <v>510</v>
      </c>
    </row>
    <row r="2" spans="1:12" x14ac:dyDescent="0.25">
      <c r="A2" s="30"/>
      <c r="B2" s="31" t="s">
        <v>486</v>
      </c>
      <c r="C2" s="32"/>
      <c r="D2" s="32"/>
      <c r="E2" s="32"/>
      <c r="F2" s="31">
        <f>+Tabla127[[#This Row],[PRECIO INSTALLER (CON IVA)]]*5%</f>
        <v>0</v>
      </c>
      <c r="G2" s="23"/>
      <c r="H2" s="25"/>
      <c r="I2" s="37"/>
      <c r="J2" s="37"/>
      <c r="K2" s="22"/>
    </row>
    <row r="3" spans="1:12" ht="121.5" x14ac:dyDescent="0.25">
      <c r="A3" s="30" t="s">
        <v>509</v>
      </c>
      <c r="B3" s="29" t="s">
        <v>508</v>
      </c>
      <c r="C3" s="28">
        <f>+Tabla127[[#This Row],[INSTALLER]]</f>
        <v>845910</v>
      </c>
      <c r="D3" s="28">
        <f>+Tabla127[[#This Row],[PRECIO INSTALLER (CON IVA)]]-Tabla127[[#This Row],[Columna6]]</f>
        <v>803614.5</v>
      </c>
      <c r="E3" s="28">
        <f>+Tabla127[[#This Row],[PRECIO INSTALLER (CON IVA)]]/0.7</f>
        <v>1208442.8571428573</v>
      </c>
      <c r="F3" s="27">
        <f>+Tabla127[[#This Row],[PRECIO INSTALLER (CON IVA)]]*5%</f>
        <v>42295.5</v>
      </c>
      <c r="G3" s="23">
        <v>1</v>
      </c>
      <c r="H3" s="25">
        <f>Tabla127[[#This Row],[INSTALLER]]</f>
        <v>845910</v>
      </c>
      <c r="I3" s="37"/>
      <c r="J3" s="37"/>
      <c r="K3" s="22">
        <f>Tabla127[[#This Row],[MASTER]]*0.9</f>
        <v>845910</v>
      </c>
      <c r="L3">
        <v>939900</v>
      </c>
    </row>
    <row r="4" spans="1:12" ht="108" x14ac:dyDescent="0.25">
      <c r="A4" s="30" t="s">
        <v>507</v>
      </c>
      <c r="B4" s="29" t="s">
        <v>506</v>
      </c>
      <c r="C4" s="28">
        <f>+Tabla127[[#This Row],[INSTALLER]]</f>
        <v>899910</v>
      </c>
      <c r="D4" s="28">
        <f>+Tabla127[[#This Row],[PRECIO INSTALLER (CON IVA)]]-Tabla127[[#This Row],[Columna6]]</f>
        <v>854914.5</v>
      </c>
      <c r="E4" s="28">
        <f>+Tabla127[[#This Row],[PRECIO INSTALLER (CON IVA)]]/0.7</f>
        <v>1285585.7142857143</v>
      </c>
      <c r="F4" s="27">
        <f>+Tabla127[[#This Row],[PRECIO INSTALLER (CON IVA)]]*5%</f>
        <v>44995.5</v>
      </c>
      <c r="G4" s="23">
        <v>1</v>
      </c>
      <c r="H4" s="25">
        <f>Tabla127[[#This Row],[INSTALLER]]</f>
        <v>899910</v>
      </c>
      <c r="I4" s="37"/>
      <c r="J4" s="37"/>
      <c r="K4" s="22">
        <f>Tabla127[[#This Row],[MASTER]]*0.9</f>
        <v>899910</v>
      </c>
      <c r="L4">
        <v>999900</v>
      </c>
    </row>
    <row r="5" spans="1:12" ht="121.5" x14ac:dyDescent="0.25">
      <c r="A5" s="30" t="s">
        <v>505</v>
      </c>
      <c r="B5" s="29" t="s">
        <v>504</v>
      </c>
      <c r="C5" s="28">
        <f>+Tabla127[[#This Row],[INSTALLER]]</f>
        <v>719910</v>
      </c>
      <c r="D5" s="28">
        <f>+Tabla127[[#This Row],[PRECIO INSTALLER (CON IVA)]]-Tabla127[[#This Row],[Columna6]]</f>
        <v>683914.5</v>
      </c>
      <c r="E5" s="28">
        <f>+Tabla127[[#This Row],[PRECIO INSTALLER (CON IVA)]]/0.7</f>
        <v>1028442.8571428572</v>
      </c>
      <c r="F5" s="27">
        <f>+Tabla127[[#This Row],[PRECIO INSTALLER (CON IVA)]]*5%</f>
        <v>35995.5</v>
      </c>
      <c r="G5" s="23">
        <v>1</v>
      </c>
      <c r="H5" s="25">
        <f>Tabla127[[#This Row],[INSTALLER]]</f>
        <v>719910</v>
      </c>
      <c r="I5" s="37"/>
      <c r="J5" s="37"/>
      <c r="K5" s="22">
        <f>Tabla127[[#This Row],[MASTER]]*0.9</f>
        <v>719910</v>
      </c>
      <c r="L5">
        <v>799900</v>
      </c>
    </row>
    <row r="6" spans="1:12" ht="121.5" x14ac:dyDescent="0.25">
      <c r="A6" s="30" t="s">
        <v>503</v>
      </c>
      <c r="B6" s="29" t="s">
        <v>502</v>
      </c>
      <c r="C6" s="28">
        <f>+Tabla127[[#This Row],[INSTALLER]]</f>
        <v>944910</v>
      </c>
      <c r="D6" s="28">
        <f>+Tabla127[[#This Row],[PRECIO INSTALLER (CON IVA)]]-Tabla127[[#This Row],[Columna6]]</f>
        <v>897664.5</v>
      </c>
      <c r="E6" s="28">
        <f>+Tabla127[[#This Row],[PRECIO INSTALLER (CON IVA)]]/0.7</f>
        <v>1349871.4285714286</v>
      </c>
      <c r="F6" s="27">
        <f>+Tabla127[[#This Row],[PRECIO INSTALLER (CON IVA)]]*5%</f>
        <v>47245.5</v>
      </c>
      <c r="G6" s="23">
        <v>1</v>
      </c>
      <c r="H6" s="25">
        <f>Tabla127[[#This Row],[INSTALLER]]</f>
        <v>944910</v>
      </c>
      <c r="I6" s="37"/>
      <c r="J6" s="37"/>
      <c r="K6" s="22">
        <f>Tabla127[[#This Row],[MASTER]]*0.9</f>
        <v>944910</v>
      </c>
      <c r="L6">
        <v>1049900</v>
      </c>
    </row>
    <row r="7" spans="1:12" ht="121.5" x14ac:dyDescent="0.25">
      <c r="A7" s="30" t="s">
        <v>501</v>
      </c>
      <c r="B7" s="29" t="s">
        <v>500</v>
      </c>
      <c r="C7" s="28">
        <f>+Tabla127[[#This Row],[INSTALLER]]</f>
        <v>1034910</v>
      </c>
      <c r="D7" s="28">
        <f>+Tabla127[[#This Row],[PRECIO INSTALLER (CON IVA)]]-Tabla127[[#This Row],[Columna6]]</f>
        <v>983164.5</v>
      </c>
      <c r="E7" s="28">
        <f>+Tabla127[[#This Row],[PRECIO INSTALLER (CON IVA)]]/0.7</f>
        <v>1478442.8571428573</v>
      </c>
      <c r="F7" s="27">
        <f>+Tabla127[[#This Row],[PRECIO INSTALLER (CON IVA)]]*5%</f>
        <v>51745.5</v>
      </c>
      <c r="G7" s="23">
        <v>1</v>
      </c>
      <c r="H7" s="25">
        <f>Tabla127[[#This Row],[INSTALLER]]</f>
        <v>1034910</v>
      </c>
      <c r="I7" s="37"/>
      <c r="J7" s="37"/>
      <c r="K7" s="22">
        <f>Tabla127[[#This Row],[MASTER]]*0.9</f>
        <v>1034910</v>
      </c>
      <c r="L7">
        <v>1149900</v>
      </c>
    </row>
    <row r="8" spans="1:12" ht="108" x14ac:dyDescent="0.25">
      <c r="A8" s="30" t="s">
        <v>499</v>
      </c>
      <c r="B8" s="29" t="s">
        <v>498</v>
      </c>
      <c r="C8" s="28">
        <f>+Tabla127[[#This Row],[INSTALLER]]</f>
        <v>1007910</v>
      </c>
      <c r="D8" s="28">
        <f>+Tabla127[[#This Row],[PRECIO INSTALLER (CON IVA)]]-Tabla127[[#This Row],[Columna6]]</f>
        <v>957514.5</v>
      </c>
      <c r="E8" s="28">
        <f>+Tabla127[[#This Row],[PRECIO INSTALLER (CON IVA)]]/0.7</f>
        <v>1439871.4285714286</v>
      </c>
      <c r="F8" s="27">
        <f>+Tabla127[[#This Row],[PRECIO INSTALLER (CON IVA)]]*5%</f>
        <v>50395.5</v>
      </c>
      <c r="G8" s="23">
        <v>1</v>
      </c>
      <c r="H8" s="25">
        <f>Tabla127[[#This Row],[INSTALLER]]</f>
        <v>1007910</v>
      </c>
      <c r="I8" s="37"/>
      <c r="J8" s="37"/>
      <c r="K8" s="22">
        <f>Tabla127[[#This Row],[MASTER]]*0.9</f>
        <v>1007910</v>
      </c>
      <c r="L8">
        <v>1119900</v>
      </c>
    </row>
    <row r="9" spans="1:12" x14ac:dyDescent="0.25">
      <c r="A9" s="30"/>
      <c r="B9" s="33" t="s">
        <v>497</v>
      </c>
      <c r="C9" s="32"/>
      <c r="D9" s="32"/>
      <c r="E9" s="32"/>
      <c r="F9" s="31">
        <f>+Tabla127[[#This Row],[PRECIO INSTALLER (CON IVA)]]*5%</f>
        <v>0</v>
      </c>
      <c r="G9" s="23"/>
      <c r="H9" s="25"/>
      <c r="I9" s="37"/>
      <c r="J9" s="37"/>
      <c r="K9" s="22"/>
    </row>
    <row r="10" spans="1:12" ht="67.5" x14ac:dyDescent="0.25">
      <c r="A10" s="30" t="s">
        <v>496</v>
      </c>
      <c r="B10" s="29" t="s">
        <v>495</v>
      </c>
      <c r="C10" s="28">
        <f>+Tabla127[[#This Row],[INSTALLER]]</f>
        <v>329900</v>
      </c>
      <c r="D10" s="28">
        <f>+Tabla127[[#This Row],[PRECIO INSTALLER (CON IVA)]]-Tabla127[[#This Row],[Columna6]]</f>
        <v>313405</v>
      </c>
      <c r="E10" s="28">
        <f>+Tabla127[[#This Row],[PRECIO INSTALLER (CON IVA)]]/0.7</f>
        <v>471285.71428571432</v>
      </c>
      <c r="F10" s="41">
        <f>+Tabla127[[#This Row],[PRECIO INSTALLER (CON IVA)]]*5%</f>
        <v>16495</v>
      </c>
      <c r="G10" s="26">
        <v>1</v>
      </c>
      <c r="H10" s="39">
        <f>Tabla127[[#This Row],[INSTALLER]]</f>
        <v>329900</v>
      </c>
      <c r="I10" s="40"/>
      <c r="J10" s="40"/>
      <c r="K10" s="39">
        <f>Tabla127[[#This Row],[MASTER]]</f>
        <v>329900</v>
      </c>
      <c r="L10" s="38">
        <v>329900</v>
      </c>
    </row>
    <row r="11" spans="1:12" ht="67.5" x14ac:dyDescent="0.25">
      <c r="A11" s="30" t="s">
        <v>494</v>
      </c>
      <c r="B11" s="29" t="s">
        <v>493</v>
      </c>
      <c r="C11" s="28">
        <f>+Tabla127[[#This Row],[INSTALLER]]</f>
        <v>369900</v>
      </c>
      <c r="D11" s="28">
        <f>+Tabla127[[#This Row],[PRECIO INSTALLER (CON IVA)]]-Tabla127[[#This Row],[Columna6]]</f>
        <v>351405</v>
      </c>
      <c r="E11" s="28">
        <f>+Tabla127[[#This Row],[PRECIO INSTALLER (CON IVA)]]/0.7</f>
        <v>528428.57142857148</v>
      </c>
      <c r="F11" s="41">
        <f>+Tabla127[[#This Row],[PRECIO INSTALLER (CON IVA)]]*5%</f>
        <v>18495</v>
      </c>
      <c r="G11" s="26">
        <v>1</v>
      </c>
      <c r="H11" s="39">
        <f>Tabla127[[#This Row],[INSTALLER]]</f>
        <v>369900</v>
      </c>
      <c r="I11" s="40"/>
      <c r="J11" s="40"/>
      <c r="K11" s="39">
        <f>Tabla127[[#This Row],[MASTER]]</f>
        <v>369900</v>
      </c>
      <c r="L11" s="38">
        <v>369900</v>
      </c>
    </row>
    <row r="12" spans="1:12" ht="67.5" x14ac:dyDescent="0.25">
      <c r="A12" s="30" t="s">
        <v>492</v>
      </c>
      <c r="B12" s="29" t="s">
        <v>491</v>
      </c>
      <c r="C12" s="28">
        <f>+Tabla127[[#This Row],[INSTALLER]]</f>
        <v>399900</v>
      </c>
      <c r="D12" s="28">
        <f>+Tabla127[[#This Row],[PRECIO INSTALLER (CON IVA)]]-Tabla127[[#This Row],[Columna6]]</f>
        <v>379905</v>
      </c>
      <c r="E12" s="28">
        <f>+Tabla127[[#This Row],[PRECIO INSTALLER (CON IVA)]]/0.7</f>
        <v>571285.71428571432</v>
      </c>
      <c r="F12" s="41">
        <f>+Tabla127[[#This Row],[PRECIO INSTALLER (CON IVA)]]*5%</f>
        <v>19995</v>
      </c>
      <c r="G12" s="26">
        <v>1</v>
      </c>
      <c r="H12" s="39">
        <f>Tabla127[[#This Row],[INSTALLER]]</f>
        <v>399900</v>
      </c>
      <c r="I12" s="40"/>
      <c r="J12" s="40"/>
      <c r="K12" s="39">
        <f>Tabla127[[#This Row],[MASTER]]</f>
        <v>399900</v>
      </c>
      <c r="L12" s="38">
        <v>399900</v>
      </c>
    </row>
    <row r="13" spans="1:12" ht="67.5" x14ac:dyDescent="0.25">
      <c r="A13" s="30" t="s">
        <v>490</v>
      </c>
      <c r="B13" s="29" t="s">
        <v>489</v>
      </c>
      <c r="C13" s="28">
        <f>+Tabla127[[#This Row],[INSTALLER]]</f>
        <v>699900</v>
      </c>
      <c r="D13" s="28">
        <f>+Tabla127[[#This Row],[PRECIO INSTALLER (CON IVA)]]-Tabla127[[#This Row],[Columna6]]</f>
        <v>664905</v>
      </c>
      <c r="E13" s="28">
        <f>+Tabla127[[#This Row],[PRECIO INSTALLER (CON IVA)]]/0.7</f>
        <v>999857.14285714296</v>
      </c>
      <c r="F13" s="41">
        <f>+Tabla127[[#This Row],[PRECIO INSTALLER (CON IVA)]]*5%</f>
        <v>34995</v>
      </c>
      <c r="G13" s="26">
        <v>1</v>
      </c>
      <c r="H13" s="39">
        <f>Tabla127[[#This Row],[INSTALLER]]</f>
        <v>699900</v>
      </c>
      <c r="I13" s="40"/>
      <c r="J13" s="40"/>
      <c r="K13" s="39">
        <f>Tabla127[[#This Row],[MASTER]]</f>
        <v>699900</v>
      </c>
      <c r="L13" s="38">
        <v>699900</v>
      </c>
    </row>
    <row r="14" spans="1:12" ht="67.5" x14ac:dyDescent="0.25">
      <c r="A14" s="30" t="s">
        <v>488</v>
      </c>
      <c r="B14" s="29" t="s">
        <v>487</v>
      </c>
      <c r="C14" s="28">
        <f>+Tabla127[[#This Row],[INSTALLER]]</f>
        <v>899900</v>
      </c>
      <c r="D14" s="28">
        <f>+Tabla127[[#This Row],[PRECIO INSTALLER (CON IVA)]]-Tabla127[[#This Row],[Columna6]]</f>
        <v>854905</v>
      </c>
      <c r="E14" s="28">
        <f>+Tabla127[[#This Row],[PRECIO INSTALLER (CON IVA)]]/0.7</f>
        <v>1285571.4285714286</v>
      </c>
      <c r="F14" s="41">
        <f>+Tabla127[[#This Row],[PRECIO INSTALLER (CON IVA)]]*5%</f>
        <v>44995</v>
      </c>
      <c r="G14" s="26">
        <v>1</v>
      </c>
      <c r="H14" s="39">
        <f>Tabla127[[#This Row],[INSTALLER]]</f>
        <v>899900</v>
      </c>
      <c r="I14" s="40"/>
      <c r="J14" s="40"/>
      <c r="K14" s="39">
        <f>Tabla127[[#This Row],[MASTER]]</f>
        <v>899900</v>
      </c>
      <c r="L14" s="38">
        <v>899900</v>
      </c>
    </row>
    <row r="15" spans="1:12" x14ac:dyDescent="0.25">
      <c r="A15" s="30"/>
      <c r="B15" s="33" t="s">
        <v>486</v>
      </c>
      <c r="C15" s="32"/>
      <c r="D15" s="32"/>
      <c r="E15" s="32"/>
      <c r="F15" s="31">
        <f>+Tabla127[[#This Row],[PRECIO INSTALLER (CON IVA)]]*5%</f>
        <v>0</v>
      </c>
      <c r="G15" s="26"/>
      <c r="H15" s="25"/>
      <c r="I15" s="37"/>
      <c r="J15" s="37"/>
      <c r="K15" s="22"/>
    </row>
    <row r="16" spans="1:12" ht="148.5" x14ac:dyDescent="0.25">
      <c r="A16" s="30" t="s">
        <v>485</v>
      </c>
      <c r="B16" s="29" t="s">
        <v>484</v>
      </c>
      <c r="C16" s="28">
        <f>+Tabla127[[#This Row],[INSTALLER]]</f>
        <v>1097910</v>
      </c>
      <c r="D16" s="28">
        <f>+Tabla127[[#This Row],[PRECIO INSTALLER (CON IVA)]]-Tabla127[[#This Row],[Columna6]]</f>
        <v>1043014.5</v>
      </c>
      <c r="E16" s="28">
        <f>+Tabla127[[#This Row],[PRECIO INSTALLER (CON IVA)]]/0.7</f>
        <v>1568442.8571428573</v>
      </c>
      <c r="F16" s="27">
        <f>+Tabla127[[#This Row],[PRECIO INSTALLER (CON IVA)]]*5%</f>
        <v>54895.5</v>
      </c>
      <c r="G16" s="26">
        <v>1</v>
      </c>
      <c r="H16" s="25">
        <f>Tabla127[[#This Row],[INSTALLER]]</f>
        <v>1097910</v>
      </c>
      <c r="I16" s="37"/>
      <c r="J16" s="37"/>
      <c r="K16" s="22">
        <f>Tabla127[[#This Row],[MASTER]]*0.9</f>
        <v>1097910</v>
      </c>
      <c r="L16">
        <v>1219900</v>
      </c>
    </row>
    <row r="17" spans="1:12" ht="148.5" x14ac:dyDescent="0.25">
      <c r="A17" s="30" t="s">
        <v>483</v>
      </c>
      <c r="B17" s="29" t="s">
        <v>482</v>
      </c>
      <c r="C17" s="28">
        <f>+Tabla127[[#This Row],[INSTALLER]]</f>
        <v>1259910</v>
      </c>
      <c r="D17" s="28">
        <f>+Tabla127[[#This Row],[PRECIO INSTALLER (CON IVA)]]-Tabla127[[#This Row],[Columna6]]</f>
        <v>1196914.5</v>
      </c>
      <c r="E17" s="28">
        <f>+Tabla127[[#This Row],[PRECIO INSTALLER (CON IVA)]]/0.7</f>
        <v>1799871.4285714286</v>
      </c>
      <c r="F17" s="27">
        <f>+Tabla127[[#This Row],[PRECIO INSTALLER (CON IVA)]]*5%</f>
        <v>62995.5</v>
      </c>
      <c r="G17" s="26">
        <v>1</v>
      </c>
      <c r="H17" s="25">
        <f>Tabla127[[#This Row],[INSTALLER]]</f>
        <v>1259910</v>
      </c>
      <c r="I17" s="37"/>
      <c r="J17" s="37"/>
      <c r="K17" s="22">
        <f>Tabla127[[#This Row],[MASTER]]*0.9</f>
        <v>1259910</v>
      </c>
      <c r="L17">
        <v>1399900</v>
      </c>
    </row>
    <row r="18" spans="1:12" ht="108" x14ac:dyDescent="0.25">
      <c r="A18" s="30" t="s">
        <v>481</v>
      </c>
      <c r="B18" s="29" t="s">
        <v>480</v>
      </c>
      <c r="C18" s="28">
        <f>+Tabla127[[#This Row],[INSTALLER]]</f>
        <v>986310</v>
      </c>
      <c r="D18" s="28">
        <f>+Tabla127[[#This Row],[PRECIO INSTALLER (CON IVA)]]-Tabla127[[#This Row],[Columna6]]</f>
        <v>936994.5</v>
      </c>
      <c r="E18" s="28">
        <f>+Tabla127[[#This Row],[PRECIO INSTALLER (CON IVA)]]/0.7</f>
        <v>1409014.2857142859</v>
      </c>
      <c r="F18" s="27">
        <f>+Tabla127[[#This Row],[PRECIO INSTALLER (CON IVA)]]*5%</f>
        <v>49315.5</v>
      </c>
      <c r="G18" s="26">
        <v>1</v>
      </c>
      <c r="H18" s="25">
        <f>Tabla127[[#This Row],[INSTALLER]]</f>
        <v>986310</v>
      </c>
      <c r="I18" s="37"/>
      <c r="J18" s="37"/>
      <c r="K18" s="22">
        <f>Tabla127[[#This Row],[MASTER]]*0.9</f>
        <v>986310</v>
      </c>
      <c r="L18">
        <v>1095900</v>
      </c>
    </row>
    <row r="19" spans="1:12" ht="94.5" x14ac:dyDescent="0.25">
      <c r="A19" s="30" t="s">
        <v>479</v>
      </c>
      <c r="B19" s="29" t="s">
        <v>478</v>
      </c>
      <c r="C19" s="28">
        <f>+Tabla127[[#This Row],[INSTALLER]]</f>
        <v>1259910</v>
      </c>
      <c r="D19" s="28">
        <f>+Tabla127[[#This Row],[PRECIO INSTALLER (CON IVA)]]-Tabla127[[#This Row],[Columna6]]</f>
        <v>1196914.5</v>
      </c>
      <c r="E19" s="28">
        <f>+Tabla127[[#This Row],[PRECIO INSTALLER (CON IVA)]]/0.7</f>
        <v>1799871.4285714286</v>
      </c>
      <c r="F19" s="27">
        <f>+Tabla127[[#This Row],[PRECIO INSTALLER (CON IVA)]]*5%</f>
        <v>62995.5</v>
      </c>
      <c r="G19" s="26">
        <v>1</v>
      </c>
      <c r="H19" s="25">
        <f>Tabla127[[#This Row],[INSTALLER]]</f>
        <v>1259910</v>
      </c>
      <c r="I19" s="37"/>
      <c r="J19" s="37"/>
      <c r="K19" s="22">
        <f>Tabla127[[#This Row],[MASTER]]*0.9</f>
        <v>1259910</v>
      </c>
      <c r="L19">
        <v>1399900</v>
      </c>
    </row>
    <row r="20" spans="1:12" ht="148.5" x14ac:dyDescent="0.25">
      <c r="A20" s="30" t="s">
        <v>477</v>
      </c>
      <c r="B20" s="29" t="s">
        <v>476</v>
      </c>
      <c r="C20" s="28">
        <f>+Tabla127[[#This Row],[INSTALLER]]</f>
        <v>1232910</v>
      </c>
      <c r="D20" s="28">
        <f>+Tabla127[[#This Row],[PRECIO INSTALLER (CON IVA)]]-Tabla127[[#This Row],[Columna6]]</f>
        <v>1171264.5</v>
      </c>
      <c r="E20" s="28">
        <f>+Tabla127[[#This Row],[PRECIO INSTALLER (CON IVA)]]/0.7</f>
        <v>1761300</v>
      </c>
      <c r="F20" s="27">
        <f>+Tabla127[[#This Row],[PRECIO INSTALLER (CON IVA)]]*5%</f>
        <v>61645.5</v>
      </c>
      <c r="G20" s="26">
        <v>1</v>
      </c>
      <c r="H20" s="25">
        <f>Tabla127[[#This Row],[INSTALLER]]</f>
        <v>1232910</v>
      </c>
      <c r="I20" s="37"/>
      <c r="J20" s="37"/>
      <c r="K20" s="22">
        <f>Tabla127[[#This Row],[MASTER]]*0.9</f>
        <v>1232910</v>
      </c>
      <c r="L20">
        <v>1369900</v>
      </c>
    </row>
    <row r="21" spans="1:12" ht="108" x14ac:dyDescent="0.25">
      <c r="A21" s="30" t="s">
        <v>475</v>
      </c>
      <c r="B21" s="29" t="s">
        <v>474</v>
      </c>
      <c r="C21" s="28">
        <f>+Tabla127[[#This Row],[INSTALLER]]</f>
        <v>1799910</v>
      </c>
      <c r="D21" s="28">
        <f>+Tabla127[[#This Row],[PRECIO INSTALLER (CON IVA)]]-Tabla127[[#This Row],[Columna6]]</f>
        <v>1709914.5</v>
      </c>
      <c r="E21" s="28">
        <f>+Tabla127[[#This Row],[PRECIO INSTALLER (CON IVA)]]/0.7</f>
        <v>2571300</v>
      </c>
      <c r="F21" s="27">
        <f>+Tabla127[[#This Row],[PRECIO INSTALLER (CON IVA)]]*5%</f>
        <v>89995.5</v>
      </c>
      <c r="G21" s="26">
        <v>1</v>
      </c>
      <c r="H21" s="25">
        <f>Tabla127[[#This Row],[INSTALLER]]</f>
        <v>1799910</v>
      </c>
      <c r="I21" s="37"/>
      <c r="J21" s="37"/>
      <c r="K21" s="22">
        <f>Tabla127[[#This Row],[MASTER]]*0.9</f>
        <v>1799910</v>
      </c>
      <c r="L21">
        <v>1999900</v>
      </c>
    </row>
    <row r="22" spans="1:12" ht="108" x14ac:dyDescent="0.25">
      <c r="A22" s="30" t="s">
        <v>473</v>
      </c>
      <c r="B22" s="29" t="s">
        <v>472</v>
      </c>
      <c r="C22" s="28">
        <f>+Tabla127[[#This Row],[INSTALLER]]</f>
        <v>1799910</v>
      </c>
      <c r="D22" s="28">
        <f>+Tabla127[[#This Row],[PRECIO INSTALLER (CON IVA)]]-Tabla127[[#This Row],[Columna6]]</f>
        <v>1709914.5</v>
      </c>
      <c r="E22" s="28">
        <f>+Tabla127[[#This Row],[PRECIO INSTALLER (CON IVA)]]/0.7</f>
        <v>2571300</v>
      </c>
      <c r="F22" s="27">
        <f>+Tabla127[[#This Row],[PRECIO INSTALLER (CON IVA)]]*5%</f>
        <v>89995.5</v>
      </c>
      <c r="G22" s="26">
        <v>1</v>
      </c>
      <c r="H22" s="25">
        <f>Tabla127[[#This Row],[INSTALLER]]</f>
        <v>1799910</v>
      </c>
      <c r="I22" s="37"/>
      <c r="J22" s="37"/>
      <c r="K22" s="22">
        <f>Tabla127[[#This Row],[MASTER]]*0.9</f>
        <v>1799910</v>
      </c>
      <c r="L22">
        <v>1999900</v>
      </c>
    </row>
    <row r="23" spans="1:12" x14ac:dyDescent="0.25">
      <c r="A23" s="30"/>
      <c r="B23" s="33" t="s">
        <v>471</v>
      </c>
      <c r="C23" s="32"/>
      <c r="D23" s="32"/>
      <c r="E23" s="32"/>
      <c r="F23" s="31">
        <f>+Tabla127[[#This Row],[PRECIO INSTALLER (CON IVA)]]*5%</f>
        <v>0</v>
      </c>
      <c r="G23" s="26"/>
      <c r="H23" s="25">
        <f>Tabla127[[#This Row],[INSTALLER]]</f>
        <v>0</v>
      </c>
      <c r="I23" s="37"/>
      <c r="J23" s="37"/>
      <c r="K23" s="22">
        <f>Tabla127[[#This Row],[MASTER]]*0.9</f>
        <v>0</v>
      </c>
    </row>
    <row r="24" spans="1:12" ht="40.5" x14ac:dyDescent="0.25">
      <c r="A24" s="30" t="s">
        <v>470</v>
      </c>
      <c r="B24" s="29" t="s">
        <v>469</v>
      </c>
      <c r="C24" s="28">
        <f>+Tabla127[[#This Row],[INSTALLER]]</f>
        <v>70000</v>
      </c>
      <c r="D24" s="28">
        <f>+Tabla127[[#This Row],[PRECIO INSTALLER (CON IVA)]]-Tabla127[[#This Row],[Columna6]]</f>
        <v>66500</v>
      </c>
      <c r="E24" s="28">
        <f>+Tabla127[[#This Row],[PRECIO INSTALLER (CON IVA)]]/0.7</f>
        <v>100000</v>
      </c>
      <c r="F24" s="27">
        <f>+Tabla127[[#This Row],[PRECIO INSTALLER (CON IVA)]]*5%</f>
        <v>3500</v>
      </c>
      <c r="G24" s="26">
        <v>1</v>
      </c>
      <c r="H24" s="25">
        <f>Tabla127[[#This Row],[INSTALLER]]</f>
        <v>70000</v>
      </c>
      <c r="I24" s="37"/>
      <c r="J24" s="37"/>
      <c r="K24" s="22">
        <f>Tabla127[[#This Row],[MASTER]]*1</f>
        <v>70000</v>
      </c>
      <c r="L24">
        <v>70000</v>
      </c>
    </row>
    <row r="25" spans="1:12" ht="27" x14ac:dyDescent="0.25">
      <c r="A25" s="30" t="s">
        <v>468</v>
      </c>
      <c r="B25" s="29" t="s">
        <v>467</v>
      </c>
      <c r="C25" s="28">
        <f>+Tabla127[[#This Row],[INSTALLER]]</f>
        <v>8910</v>
      </c>
      <c r="D25" s="28">
        <f>+Tabla127[[#This Row],[PRECIO INSTALLER (CON IVA)]]-Tabla127[[#This Row],[Columna6]]</f>
        <v>8464.5</v>
      </c>
      <c r="E25" s="28">
        <f>+Tabla127[[#This Row],[PRECIO INSTALLER (CON IVA)]]/0.7</f>
        <v>12728.571428571429</v>
      </c>
      <c r="F25" s="27">
        <f>+Tabla127[[#This Row],[PRECIO INSTALLER (CON IVA)]]*5%</f>
        <v>445.5</v>
      </c>
      <c r="G25" s="26">
        <v>1</v>
      </c>
      <c r="H25" s="25">
        <f>Tabla127[[#This Row],[INSTALLER]]</f>
        <v>8910</v>
      </c>
      <c r="I25" s="37"/>
      <c r="J25" s="37"/>
      <c r="K25" s="22">
        <f>Tabla127[[#This Row],[MASTER]]*0.9</f>
        <v>8910</v>
      </c>
      <c r="L25">
        <v>9900</v>
      </c>
    </row>
    <row r="26" spans="1:12" ht="40.5" x14ac:dyDescent="0.25">
      <c r="A26" s="30" t="s">
        <v>466</v>
      </c>
      <c r="B26" s="29" t="s">
        <v>465</v>
      </c>
      <c r="C26" s="28">
        <f>+Tabla127[[#This Row],[INSTALLER]]</f>
        <v>69900</v>
      </c>
      <c r="D26" s="28">
        <f>+Tabla127[[#This Row],[PRECIO INSTALLER (CON IVA)]]-Tabla127[[#This Row],[Columna6]]</f>
        <v>66405</v>
      </c>
      <c r="E26" s="28">
        <f>+Tabla127[[#This Row],[PRECIO INSTALLER (CON IVA)]]/0.7</f>
        <v>99857.14285714287</v>
      </c>
      <c r="F26" s="27">
        <f>+Tabla127[[#This Row],[PRECIO INSTALLER (CON IVA)]]*5%</f>
        <v>3495</v>
      </c>
      <c r="G26" s="26">
        <v>1</v>
      </c>
      <c r="H26" s="25">
        <f>Tabla127[[#This Row],[INSTALLER]]</f>
        <v>69900</v>
      </c>
      <c r="I26" s="37"/>
      <c r="J26" s="37"/>
      <c r="K26" s="22">
        <f>Tabla127[[#This Row],[MASTER]]*1</f>
        <v>69900</v>
      </c>
      <c r="L26">
        <v>69900</v>
      </c>
    </row>
    <row r="27" spans="1:12" ht="40.5" x14ac:dyDescent="0.25">
      <c r="A27" s="30" t="s">
        <v>464</v>
      </c>
      <c r="B27" s="29" t="s">
        <v>463</v>
      </c>
      <c r="C27" s="28">
        <f>+Tabla127[[#This Row],[INSTALLER]]</f>
        <v>62910</v>
      </c>
      <c r="D27" s="28">
        <f>+Tabla127[[#This Row],[PRECIO INSTALLER (CON IVA)]]-Tabla127[[#This Row],[Columna6]]</f>
        <v>59764.5</v>
      </c>
      <c r="E27" s="28">
        <f>+Tabla127[[#This Row],[PRECIO INSTALLER (CON IVA)]]/0.7</f>
        <v>89871.42857142858</v>
      </c>
      <c r="F27" s="27">
        <f>+Tabla127[[#This Row],[PRECIO INSTALLER (CON IVA)]]*5%</f>
        <v>3145.5</v>
      </c>
      <c r="G27" s="26">
        <v>1</v>
      </c>
      <c r="H27" s="25">
        <f>Tabla127[[#This Row],[INSTALLER]]</f>
        <v>62910</v>
      </c>
      <c r="I27" s="37"/>
      <c r="J27" s="37"/>
      <c r="K27" s="22">
        <f>Tabla127[[#This Row],[MASTER]]*0.9</f>
        <v>62910</v>
      </c>
      <c r="L27">
        <v>69900</v>
      </c>
    </row>
    <row r="28" spans="1:12" ht="40.5" x14ac:dyDescent="0.25">
      <c r="A28" s="30" t="s">
        <v>462</v>
      </c>
      <c r="B28" s="29" t="s">
        <v>461</v>
      </c>
      <c r="C28" s="28">
        <f>+Tabla127[[#This Row],[INSTALLER]]</f>
        <v>224910</v>
      </c>
      <c r="D28" s="28">
        <f>+Tabla127[[#This Row],[PRECIO INSTALLER (CON IVA)]]-Tabla127[[#This Row],[Columna6]]</f>
        <v>213664.5</v>
      </c>
      <c r="E28" s="28">
        <f>+Tabla127[[#This Row],[PRECIO INSTALLER (CON IVA)]]/0.7</f>
        <v>321300</v>
      </c>
      <c r="F28" s="27">
        <f>+Tabla127[[#This Row],[PRECIO INSTALLER (CON IVA)]]*5%</f>
        <v>11245.5</v>
      </c>
      <c r="G28" s="26">
        <v>1</v>
      </c>
      <c r="H28" s="25">
        <f>Tabla127[[#This Row],[INSTALLER]]</f>
        <v>224910</v>
      </c>
      <c r="I28" s="37"/>
      <c r="J28" s="37"/>
      <c r="K28" s="22">
        <f>Tabla127[[#This Row],[MASTER]]*0.9</f>
        <v>224910</v>
      </c>
      <c r="L28">
        <v>249900</v>
      </c>
    </row>
    <row r="29" spans="1:12" ht="27" x14ac:dyDescent="0.25">
      <c r="A29" s="30" t="s">
        <v>460</v>
      </c>
      <c r="B29" s="29" t="s">
        <v>459</v>
      </c>
      <c r="C29" s="28">
        <f>+Tabla127[[#This Row],[INSTALLER]]</f>
        <v>62910</v>
      </c>
      <c r="D29" s="28">
        <f>+Tabla127[[#This Row],[PRECIO INSTALLER (CON IVA)]]-Tabla127[[#This Row],[Columna6]]</f>
        <v>59764.5</v>
      </c>
      <c r="E29" s="28">
        <f>+Tabla127[[#This Row],[PRECIO INSTALLER (CON IVA)]]/0.7</f>
        <v>89871.42857142858</v>
      </c>
      <c r="F29" s="27">
        <f>+Tabla127[[#This Row],[PRECIO INSTALLER (CON IVA)]]*5%</f>
        <v>3145.5</v>
      </c>
      <c r="G29" s="26">
        <v>1</v>
      </c>
      <c r="H29" s="25">
        <f>Tabla127[[#This Row],[INSTALLER]]</f>
        <v>62910</v>
      </c>
      <c r="I29" s="37"/>
      <c r="J29" s="37"/>
      <c r="K29" s="22">
        <f>Tabla127[[#This Row],[MASTER]]*0.9</f>
        <v>62910</v>
      </c>
      <c r="L29">
        <v>69900</v>
      </c>
    </row>
    <row r="30" spans="1:12" ht="27" x14ac:dyDescent="0.25">
      <c r="A30" s="30" t="s">
        <v>458</v>
      </c>
      <c r="B30" s="29" t="s">
        <v>457</v>
      </c>
      <c r="C30" s="28">
        <f>+Tabla127[[#This Row],[INSTALLER]]</f>
        <v>62910</v>
      </c>
      <c r="D30" s="28">
        <f>+Tabla127[[#This Row],[PRECIO INSTALLER (CON IVA)]]-Tabla127[[#This Row],[Columna6]]</f>
        <v>59764.5</v>
      </c>
      <c r="E30" s="28">
        <f>+Tabla127[[#This Row],[PRECIO INSTALLER (CON IVA)]]/0.7</f>
        <v>89871.42857142858</v>
      </c>
      <c r="F30" s="27">
        <f>+Tabla127[[#This Row],[PRECIO INSTALLER (CON IVA)]]*5%</f>
        <v>3145.5</v>
      </c>
      <c r="G30" s="26">
        <v>1</v>
      </c>
      <c r="H30" s="25">
        <f>Tabla127[[#This Row],[INSTALLER]]</f>
        <v>62910</v>
      </c>
      <c r="I30" s="37"/>
      <c r="J30" s="37"/>
      <c r="K30" s="22">
        <f>Tabla127[[#This Row],[MASTER]]*0.9</f>
        <v>62910</v>
      </c>
      <c r="L30">
        <v>69900</v>
      </c>
    </row>
    <row r="31" spans="1:12" ht="27" x14ac:dyDescent="0.25">
      <c r="A31" s="30" t="s">
        <v>456</v>
      </c>
      <c r="B31" s="29" t="s">
        <v>455</v>
      </c>
      <c r="C31" s="28">
        <f>+Tabla127[[#This Row],[INSTALLER]]</f>
        <v>148410</v>
      </c>
      <c r="D31" s="28">
        <f>+Tabla127[[#This Row],[PRECIO INSTALLER (CON IVA)]]-Tabla127[[#This Row],[Columna6]]</f>
        <v>140989.5</v>
      </c>
      <c r="E31" s="28">
        <f>+Tabla127[[#This Row],[PRECIO INSTALLER (CON IVA)]]/0.7</f>
        <v>212014.28571428574</v>
      </c>
      <c r="F31" s="27">
        <f>+Tabla127[[#This Row],[PRECIO INSTALLER (CON IVA)]]*5%</f>
        <v>7420.5</v>
      </c>
      <c r="G31" s="26">
        <v>1</v>
      </c>
      <c r="H31" s="25">
        <f>Tabla127[[#This Row],[INSTALLER]]</f>
        <v>148410</v>
      </c>
      <c r="I31" s="37"/>
      <c r="J31" s="37"/>
      <c r="K31" s="22">
        <f>Tabla127[[#This Row],[MASTER]]*0.9</f>
        <v>148410</v>
      </c>
      <c r="L31">
        <v>164900</v>
      </c>
    </row>
    <row r="32" spans="1:12" ht="27" x14ac:dyDescent="0.25">
      <c r="A32" s="30" t="s">
        <v>454</v>
      </c>
      <c r="B32" s="29" t="s">
        <v>453</v>
      </c>
      <c r="C32" s="28">
        <f>+Tabla127[[#This Row],[INSTALLER]]</f>
        <v>179910</v>
      </c>
      <c r="D32" s="28">
        <f>+Tabla127[[#This Row],[PRECIO INSTALLER (CON IVA)]]-Tabla127[[#This Row],[Columna6]]</f>
        <v>170914.5</v>
      </c>
      <c r="E32" s="28">
        <f>+Tabla127[[#This Row],[PRECIO INSTALLER (CON IVA)]]/0.7</f>
        <v>257014.28571428574</v>
      </c>
      <c r="F32" s="27">
        <f>+Tabla127[[#This Row],[PRECIO INSTALLER (CON IVA)]]*5%</f>
        <v>8995.5</v>
      </c>
      <c r="G32" s="26">
        <v>1</v>
      </c>
      <c r="H32" s="25">
        <f>Tabla127[[#This Row],[INSTALLER]]</f>
        <v>179910</v>
      </c>
      <c r="I32" s="37"/>
      <c r="J32" s="37"/>
      <c r="K32" s="22">
        <f>Tabla127[[#This Row],[MASTER]]*0.9</f>
        <v>179910</v>
      </c>
      <c r="L32">
        <v>199900</v>
      </c>
    </row>
    <row r="33" spans="1:12" ht="27" x14ac:dyDescent="0.25">
      <c r="A33" s="30" t="s">
        <v>452</v>
      </c>
      <c r="B33" s="29" t="s">
        <v>451</v>
      </c>
      <c r="C33" s="28">
        <f>+Tabla127[[#This Row],[INSTALLER]]</f>
        <v>224910</v>
      </c>
      <c r="D33" s="28">
        <f>+Tabla127[[#This Row],[PRECIO INSTALLER (CON IVA)]]-Tabla127[[#This Row],[Columna6]]</f>
        <v>213664.5</v>
      </c>
      <c r="E33" s="28">
        <f>+Tabla127[[#This Row],[PRECIO INSTALLER (CON IVA)]]/0.7</f>
        <v>321300</v>
      </c>
      <c r="F33" s="27">
        <f>+Tabla127[[#This Row],[PRECIO INSTALLER (CON IVA)]]*5%</f>
        <v>11245.5</v>
      </c>
      <c r="G33" s="26">
        <v>1</v>
      </c>
      <c r="H33" s="25">
        <f>Tabla127[[#This Row],[INSTALLER]]</f>
        <v>224910</v>
      </c>
      <c r="I33" s="37"/>
      <c r="J33" s="37"/>
      <c r="K33" s="22">
        <f>Tabla127[[#This Row],[MASTER]]*0.9</f>
        <v>224910</v>
      </c>
      <c r="L33">
        <v>249900</v>
      </c>
    </row>
    <row r="34" spans="1:12" ht="27" x14ac:dyDescent="0.25">
      <c r="A34" s="30" t="s">
        <v>450</v>
      </c>
      <c r="B34" s="29" t="s">
        <v>449</v>
      </c>
      <c r="C34" s="28">
        <f>+Tabla127[[#This Row],[INSTALLER]]</f>
        <v>242910</v>
      </c>
      <c r="D34" s="28">
        <f>+Tabla127[[#This Row],[PRECIO INSTALLER (CON IVA)]]-Tabla127[[#This Row],[Columna6]]</f>
        <v>230764.5</v>
      </c>
      <c r="E34" s="28">
        <f>+Tabla127[[#This Row],[PRECIO INSTALLER (CON IVA)]]/0.7</f>
        <v>347014.28571428574</v>
      </c>
      <c r="F34" s="27">
        <f>+Tabla127[[#This Row],[PRECIO INSTALLER (CON IVA)]]*5%</f>
        <v>12145.5</v>
      </c>
      <c r="G34" s="26">
        <v>1</v>
      </c>
      <c r="H34" s="25">
        <f>Tabla127[[#This Row],[INSTALLER]]</f>
        <v>242910</v>
      </c>
      <c r="I34" s="37"/>
      <c r="J34" s="37"/>
      <c r="K34" s="22">
        <f>Tabla127[[#This Row],[MASTER]]*0.9</f>
        <v>242910</v>
      </c>
      <c r="L34">
        <v>269900</v>
      </c>
    </row>
    <row r="35" spans="1:12" ht="27" x14ac:dyDescent="0.25">
      <c r="A35" s="30" t="s">
        <v>448</v>
      </c>
      <c r="B35" s="29" t="s">
        <v>447</v>
      </c>
      <c r="C35" s="28">
        <f>+Tabla127[[#This Row],[INSTALLER]]</f>
        <v>116910</v>
      </c>
      <c r="D35" s="28">
        <f>+Tabla127[[#This Row],[PRECIO INSTALLER (CON IVA)]]-Tabla127[[#This Row],[Columna6]]</f>
        <v>111064.5</v>
      </c>
      <c r="E35" s="28">
        <f>+Tabla127[[#This Row],[PRECIO INSTALLER (CON IVA)]]/0.7</f>
        <v>167014.28571428574</v>
      </c>
      <c r="F35" s="27">
        <f>+Tabla127[[#This Row],[PRECIO INSTALLER (CON IVA)]]*5%</f>
        <v>5845.5</v>
      </c>
      <c r="G35" s="26">
        <v>1</v>
      </c>
      <c r="H35" s="25">
        <f>Tabla127[[#This Row],[INSTALLER]]</f>
        <v>116910</v>
      </c>
      <c r="I35" s="37"/>
      <c r="J35" s="37"/>
      <c r="K35" s="22">
        <f>Tabla127[[#This Row],[MASTER]]*0.9</f>
        <v>116910</v>
      </c>
      <c r="L35">
        <v>129900</v>
      </c>
    </row>
    <row r="36" spans="1:12" ht="27" x14ac:dyDescent="0.25">
      <c r="A36" s="30" t="s">
        <v>446</v>
      </c>
      <c r="B36" s="29" t="s">
        <v>445</v>
      </c>
      <c r="C36" s="28">
        <f>+Tabla127[[#This Row],[INSTALLER]]</f>
        <v>116910</v>
      </c>
      <c r="D36" s="28">
        <f>+Tabla127[[#This Row],[PRECIO INSTALLER (CON IVA)]]-Tabla127[[#This Row],[Columna6]]</f>
        <v>111064.5</v>
      </c>
      <c r="E36" s="28">
        <f>+Tabla127[[#This Row],[PRECIO INSTALLER (CON IVA)]]/0.7</f>
        <v>167014.28571428574</v>
      </c>
      <c r="F36" s="27">
        <f>+Tabla127[[#This Row],[PRECIO INSTALLER (CON IVA)]]*5%</f>
        <v>5845.5</v>
      </c>
      <c r="G36" s="26">
        <v>1</v>
      </c>
      <c r="H36" s="25">
        <f>Tabla127[[#This Row],[INSTALLER]]</f>
        <v>116910</v>
      </c>
      <c r="I36" s="37"/>
      <c r="J36" s="37"/>
      <c r="K36" s="22">
        <f>Tabla127[[#This Row],[MASTER]]*0.9</f>
        <v>116910</v>
      </c>
      <c r="L36">
        <v>129900</v>
      </c>
    </row>
    <row r="37" spans="1:12" ht="40.5" x14ac:dyDescent="0.25">
      <c r="A37" s="30" t="s">
        <v>444</v>
      </c>
      <c r="B37" s="29" t="s">
        <v>443</v>
      </c>
      <c r="C37" s="28">
        <f>+Tabla127[[#This Row],[INSTALLER]]</f>
        <v>35910</v>
      </c>
      <c r="D37" s="28">
        <f>+Tabla127[[#This Row],[PRECIO INSTALLER (CON IVA)]]-Tabla127[[#This Row],[Columna6]]</f>
        <v>34114.5</v>
      </c>
      <c r="E37" s="28">
        <f>+Tabla127[[#This Row],[PRECIO INSTALLER (CON IVA)]]/0.7</f>
        <v>51300</v>
      </c>
      <c r="F37" s="27">
        <f>+Tabla127[[#This Row],[PRECIO INSTALLER (CON IVA)]]*5%</f>
        <v>1795.5</v>
      </c>
      <c r="G37" s="26">
        <v>1</v>
      </c>
      <c r="H37" s="25">
        <f>Tabla127[[#This Row],[INSTALLER]]</f>
        <v>35910</v>
      </c>
      <c r="I37" s="37"/>
      <c r="J37" s="37"/>
      <c r="K37" s="22">
        <f>Tabla127[[#This Row],[MASTER]]*0.9</f>
        <v>35910</v>
      </c>
      <c r="L37">
        <v>39900</v>
      </c>
    </row>
    <row r="38" spans="1:12" ht="67.5" x14ac:dyDescent="0.25">
      <c r="A38" s="30" t="s">
        <v>442</v>
      </c>
      <c r="B38" s="29" t="s">
        <v>441</v>
      </c>
      <c r="C38" s="28">
        <f>+Tabla127[[#This Row],[INSTALLER]]</f>
        <v>175410</v>
      </c>
      <c r="D38" s="28">
        <f>+Tabla127[[#This Row],[PRECIO INSTALLER (CON IVA)]]-Tabla127[[#This Row],[Columna6]]</f>
        <v>166639.5</v>
      </c>
      <c r="E38" s="28">
        <f>+Tabla127[[#This Row],[PRECIO INSTALLER (CON IVA)]]/0.7</f>
        <v>250585.71428571429</v>
      </c>
      <c r="F38" s="27">
        <f>+Tabla127[[#This Row],[PRECIO INSTALLER (CON IVA)]]*5%</f>
        <v>8770.5</v>
      </c>
      <c r="G38" s="26">
        <v>1</v>
      </c>
      <c r="H38" s="25">
        <f>Tabla127[[#This Row],[INSTALLER]]</f>
        <v>175410</v>
      </c>
      <c r="I38" s="37"/>
      <c r="J38" s="37"/>
      <c r="K38" s="22">
        <f>Tabla127[[#This Row],[MASTER]]*0.9</f>
        <v>175410</v>
      </c>
      <c r="L38">
        <v>194900</v>
      </c>
    </row>
    <row r="39" spans="1:12" ht="40.5" x14ac:dyDescent="0.25">
      <c r="A39" s="30" t="s">
        <v>440</v>
      </c>
      <c r="B39" s="29" t="s">
        <v>439</v>
      </c>
      <c r="C39" s="28">
        <f>+Tabla127[[#This Row],[INSTALLER]]</f>
        <v>134910</v>
      </c>
      <c r="D39" s="28">
        <f>+Tabla127[[#This Row],[PRECIO INSTALLER (CON IVA)]]-Tabla127[[#This Row],[Columna6]]</f>
        <v>128164.5</v>
      </c>
      <c r="E39" s="28">
        <f>+Tabla127[[#This Row],[PRECIO INSTALLER (CON IVA)]]/0.7</f>
        <v>192728.57142857145</v>
      </c>
      <c r="F39" s="27">
        <f>+Tabla127[[#This Row],[PRECIO INSTALLER (CON IVA)]]*5%</f>
        <v>6745.5</v>
      </c>
      <c r="G39" s="26">
        <v>1</v>
      </c>
      <c r="H39" s="25">
        <f>Tabla127[[#This Row],[INSTALLER]]</f>
        <v>134910</v>
      </c>
      <c r="I39" s="37"/>
      <c r="J39" s="37"/>
      <c r="K39" s="22">
        <f>Tabla127[[#This Row],[MASTER]]*0.9</f>
        <v>134910</v>
      </c>
      <c r="L39">
        <v>149900</v>
      </c>
    </row>
    <row r="40" spans="1:12" ht="54" x14ac:dyDescent="0.25">
      <c r="A40" s="30" t="s">
        <v>438</v>
      </c>
      <c r="B40" s="29" t="s">
        <v>437</v>
      </c>
      <c r="C40" s="28">
        <f>+Tabla127[[#This Row],[INSTALLER]]</f>
        <v>55900</v>
      </c>
      <c r="D40" s="28">
        <f>+Tabla127[[#This Row],[PRECIO INSTALLER (CON IVA)]]-Tabla127[[#This Row],[Columna6]]</f>
        <v>53105</v>
      </c>
      <c r="E40" s="28">
        <f>+Tabla127[[#This Row],[PRECIO INSTALLER (CON IVA)]]/0.7</f>
        <v>79857.142857142855</v>
      </c>
      <c r="F40" s="27">
        <f>+Tabla127[[#This Row],[PRECIO INSTALLER (CON IVA)]]*5%</f>
        <v>2795</v>
      </c>
      <c r="G40" s="26">
        <v>1</v>
      </c>
      <c r="H40" s="25">
        <f>Tabla127[[#This Row],[INSTALLER]]</f>
        <v>55900</v>
      </c>
      <c r="I40" s="37"/>
      <c r="J40" s="37"/>
      <c r="K40" s="22">
        <f>Tabla127[[#This Row],[MASTER]]*1</f>
        <v>55900</v>
      </c>
      <c r="L40">
        <v>55900</v>
      </c>
    </row>
    <row r="41" spans="1:12" ht="54" x14ac:dyDescent="0.25">
      <c r="A41" s="30" t="s">
        <v>436</v>
      </c>
      <c r="B41" s="29" t="s">
        <v>435</v>
      </c>
      <c r="C41" s="28">
        <f>+Tabla127[[#This Row],[INSTALLER]]</f>
        <v>152910</v>
      </c>
      <c r="D41" s="28">
        <f>+Tabla127[[#This Row],[PRECIO INSTALLER (CON IVA)]]-Tabla127[[#This Row],[Columna6]]</f>
        <v>145264.5</v>
      </c>
      <c r="E41" s="28">
        <f>+Tabla127[[#This Row],[PRECIO INSTALLER (CON IVA)]]/0.7</f>
        <v>218442.85714285716</v>
      </c>
      <c r="F41" s="27">
        <f>+Tabla127[[#This Row],[PRECIO INSTALLER (CON IVA)]]*5%</f>
        <v>7645.5</v>
      </c>
      <c r="G41" s="26">
        <v>1</v>
      </c>
      <c r="H41" s="25">
        <f>Tabla127[[#This Row],[INSTALLER]]</f>
        <v>152910</v>
      </c>
      <c r="I41" s="37"/>
      <c r="J41" s="37"/>
      <c r="K41" s="22">
        <f>Tabla127[[#This Row],[MASTER]]*0.9</f>
        <v>152910</v>
      </c>
      <c r="L41">
        <v>169900</v>
      </c>
    </row>
    <row r="42" spans="1:12" ht="54" x14ac:dyDescent="0.25">
      <c r="A42" s="30" t="s">
        <v>434</v>
      </c>
      <c r="B42" s="29" t="s">
        <v>433</v>
      </c>
      <c r="C42" s="28">
        <f>+Tabla127[[#This Row],[INSTALLER]]</f>
        <v>233910</v>
      </c>
      <c r="D42" s="28">
        <f>+Tabla127[[#This Row],[PRECIO INSTALLER (CON IVA)]]-Tabla127[[#This Row],[Columna6]]</f>
        <v>222214.5</v>
      </c>
      <c r="E42" s="28">
        <f>+Tabla127[[#This Row],[PRECIO INSTALLER (CON IVA)]]/0.7</f>
        <v>334157.1428571429</v>
      </c>
      <c r="F42" s="27">
        <f>+Tabla127[[#This Row],[PRECIO INSTALLER (CON IVA)]]*5%</f>
        <v>11695.5</v>
      </c>
      <c r="G42" s="26">
        <v>1</v>
      </c>
      <c r="H42" s="25">
        <f>Tabla127[[#This Row],[INSTALLER]]</f>
        <v>233910</v>
      </c>
      <c r="I42" s="37"/>
      <c r="J42" s="37"/>
      <c r="K42" s="22">
        <f>Tabla127[[#This Row],[MASTER]]*0.9</f>
        <v>233910</v>
      </c>
      <c r="L42">
        <v>259900</v>
      </c>
    </row>
    <row r="43" spans="1:12" ht="27" x14ac:dyDescent="0.25">
      <c r="A43" s="30" t="s">
        <v>432</v>
      </c>
      <c r="B43" s="29" t="s">
        <v>431</v>
      </c>
      <c r="C43" s="28">
        <f>+Tabla127[[#This Row],[INSTALLER]]</f>
        <v>98910</v>
      </c>
      <c r="D43" s="28">
        <f>+Tabla127[[#This Row],[PRECIO INSTALLER (CON IVA)]]-Tabla127[[#This Row],[Columna6]]</f>
        <v>93964.5</v>
      </c>
      <c r="E43" s="28">
        <f>+Tabla127[[#This Row],[PRECIO INSTALLER (CON IVA)]]/0.7</f>
        <v>141300</v>
      </c>
      <c r="F43" s="27">
        <f>+Tabla127[[#This Row],[PRECIO INSTALLER (CON IVA)]]*5%</f>
        <v>4945.5</v>
      </c>
      <c r="G43" s="26">
        <v>1</v>
      </c>
      <c r="H43" s="25">
        <f>Tabla127[[#This Row],[INSTALLER]]</f>
        <v>98910</v>
      </c>
      <c r="I43" s="37"/>
      <c r="J43" s="37"/>
      <c r="K43" s="22">
        <f>Tabla127[[#This Row],[MASTER]]*0.9</f>
        <v>98910</v>
      </c>
      <c r="L43">
        <v>109900</v>
      </c>
    </row>
    <row r="44" spans="1:12" ht="27" x14ac:dyDescent="0.25">
      <c r="A44" s="30" t="s">
        <v>430</v>
      </c>
      <c r="B44" s="29" t="s">
        <v>429</v>
      </c>
      <c r="C44" s="28">
        <f>+Tabla127[[#This Row],[INSTALLER]]</f>
        <v>143910</v>
      </c>
      <c r="D44" s="28">
        <f>+Tabla127[[#This Row],[PRECIO INSTALLER (CON IVA)]]-Tabla127[[#This Row],[Columna6]]</f>
        <v>136714.5</v>
      </c>
      <c r="E44" s="28">
        <f>+Tabla127[[#This Row],[PRECIO INSTALLER (CON IVA)]]/0.7</f>
        <v>205585.71428571429</v>
      </c>
      <c r="F44" s="27">
        <f>+Tabla127[[#This Row],[PRECIO INSTALLER (CON IVA)]]*5%</f>
        <v>7195.5</v>
      </c>
      <c r="G44" s="26">
        <v>1</v>
      </c>
      <c r="H44" s="25">
        <f>Tabla127[[#This Row],[INSTALLER]]</f>
        <v>143910</v>
      </c>
      <c r="I44" s="37"/>
      <c r="J44" s="37"/>
      <c r="K44" s="22">
        <f>Tabla127[[#This Row],[MASTER]]*0.9</f>
        <v>143910</v>
      </c>
      <c r="L44">
        <v>159900</v>
      </c>
    </row>
    <row r="45" spans="1:12" ht="27" x14ac:dyDescent="0.25">
      <c r="A45" s="30" t="s">
        <v>428</v>
      </c>
      <c r="B45" s="29" t="s">
        <v>427</v>
      </c>
      <c r="C45" s="28">
        <f>+Tabla127[[#This Row],[INSTALLER]]</f>
        <v>148410</v>
      </c>
      <c r="D45" s="28">
        <f>+Tabla127[[#This Row],[PRECIO INSTALLER (CON IVA)]]-Tabla127[[#This Row],[Columna6]]</f>
        <v>140989.5</v>
      </c>
      <c r="E45" s="28">
        <f>+Tabla127[[#This Row],[PRECIO INSTALLER (CON IVA)]]/0.7</f>
        <v>212014.28571428574</v>
      </c>
      <c r="F45" s="27">
        <f>+Tabla127[[#This Row],[PRECIO INSTALLER (CON IVA)]]*5%</f>
        <v>7420.5</v>
      </c>
      <c r="G45" s="26">
        <v>1</v>
      </c>
      <c r="H45" s="25">
        <f>Tabla127[[#This Row],[INSTALLER]]</f>
        <v>148410</v>
      </c>
      <c r="I45" s="37"/>
      <c r="J45" s="37"/>
      <c r="K45" s="22">
        <f>Tabla127[[#This Row],[MASTER]]*0.9</f>
        <v>148410</v>
      </c>
      <c r="L45">
        <v>164900</v>
      </c>
    </row>
    <row r="46" spans="1:12" ht="54" x14ac:dyDescent="0.25">
      <c r="A46" s="30" t="s">
        <v>426</v>
      </c>
      <c r="B46" s="29" t="s">
        <v>425</v>
      </c>
      <c r="C46" s="28">
        <f>+Tabla127[[#This Row],[INSTALLER]]</f>
        <v>148410</v>
      </c>
      <c r="D46" s="28">
        <f>+Tabla127[[#This Row],[PRECIO INSTALLER (CON IVA)]]-Tabla127[[#This Row],[Columna6]]</f>
        <v>140989.5</v>
      </c>
      <c r="E46" s="28">
        <f>+Tabla127[[#This Row],[PRECIO INSTALLER (CON IVA)]]/0.7</f>
        <v>212014.28571428574</v>
      </c>
      <c r="F46" s="27">
        <f>+Tabla127[[#This Row],[PRECIO INSTALLER (CON IVA)]]*5%</f>
        <v>7420.5</v>
      </c>
      <c r="G46" s="26">
        <v>1</v>
      </c>
      <c r="H46" s="25">
        <f>Tabla127[[#This Row],[INSTALLER]]</f>
        <v>148410</v>
      </c>
      <c r="I46" s="37"/>
      <c r="J46" s="37"/>
      <c r="K46" s="22">
        <f>Tabla127[[#This Row],[MASTER]]*0.9</f>
        <v>148410</v>
      </c>
      <c r="L46">
        <v>164900</v>
      </c>
    </row>
    <row r="47" spans="1:12" ht="54" x14ac:dyDescent="0.25">
      <c r="A47" s="30" t="s">
        <v>424</v>
      </c>
      <c r="B47" s="29" t="s">
        <v>423</v>
      </c>
      <c r="C47" s="28">
        <f>+Tabla127[[#This Row],[INSTALLER]]</f>
        <v>148410</v>
      </c>
      <c r="D47" s="28">
        <f>+Tabla127[[#This Row],[PRECIO INSTALLER (CON IVA)]]-Tabla127[[#This Row],[Columna6]]</f>
        <v>140989.5</v>
      </c>
      <c r="E47" s="28">
        <f>+Tabla127[[#This Row],[PRECIO INSTALLER (CON IVA)]]/0.7</f>
        <v>212014.28571428574</v>
      </c>
      <c r="F47" s="27">
        <f>+Tabla127[[#This Row],[PRECIO INSTALLER (CON IVA)]]*5%</f>
        <v>7420.5</v>
      </c>
      <c r="G47" s="26">
        <v>1</v>
      </c>
      <c r="H47" s="25">
        <f>Tabla127[[#This Row],[INSTALLER]]</f>
        <v>148410</v>
      </c>
      <c r="I47" s="37"/>
      <c r="J47" s="37"/>
      <c r="K47" s="22">
        <f>Tabla127[[#This Row],[MASTER]]*0.9</f>
        <v>148410</v>
      </c>
      <c r="L47">
        <v>164900</v>
      </c>
    </row>
    <row r="48" spans="1:12" ht="27" x14ac:dyDescent="0.25">
      <c r="A48" s="30" t="s">
        <v>422</v>
      </c>
      <c r="B48" s="29" t="s">
        <v>421</v>
      </c>
      <c r="C48" s="28">
        <f>+Tabla127[[#This Row],[INSTALLER]]</f>
        <v>148410</v>
      </c>
      <c r="D48" s="28">
        <f>+Tabla127[[#This Row],[PRECIO INSTALLER (CON IVA)]]-Tabla127[[#This Row],[Columna6]]</f>
        <v>140989.5</v>
      </c>
      <c r="E48" s="28">
        <f>+Tabla127[[#This Row],[PRECIO INSTALLER (CON IVA)]]/0.7</f>
        <v>212014.28571428574</v>
      </c>
      <c r="F48" s="27">
        <f>+Tabla127[[#This Row],[PRECIO INSTALLER (CON IVA)]]*5%</f>
        <v>7420.5</v>
      </c>
      <c r="G48" s="26">
        <v>1</v>
      </c>
      <c r="H48" s="25">
        <f>Tabla127[[#This Row],[INSTALLER]]</f>
        <v>148410</v>
      </c>
      <c r="I48" s="37"/>
      <c r="J48" s="37"/>
      <c r="K48" s="22">
        <f>Tabla127[[#This Row],[MASTER]]*0.9</f>
        <v>148410</v>
      </c>
      <c r="L48">
        <v>164900</v>
      </c>
    </row>
    <row r="49" spans="1:12" ht="27" x14ac:dyDescent="0.25">
      <c r="A49" s="30" t="s">
        <v>420</v>
      </c>
      <c r="B49" s="29" t="s">
        <v>419</v>
      </c>
      <c r="C49" s="28">
        <f>+Tabla127[[#This Row],[INSTALLER]]</f>
        <v>422910</v>
      </c>
      <c r="D49" s="28">
        <f>+Tabla127[[#This Row],[PRECIO INSTALLER (CON IVA)]]-Tabla127[[#This Row],[Columna6]]</f>
        <v>401764.5</v>
      </c>
      <c r="E49" s="28">
        <f>+Tabla127[[#This Row],[PRECIO INSTALLER (CON IVA)]]/0.7</f>
        <v>604157.14285714284</v>
      </c>
      <c r="F49" s="27">
        <f>+Tabla127[[#This Row],[PRECIO INSTALLER (CON IVA)]]*5%</f>
        <v>21145.5</v>
      </c>
      <c r="G49" s="26">
        <v>1</v>
      </c>
      <c r="H49" s="25">
        <f>Tabla127[[#This Row],[INSTALLER]]</f>
        <v>422910</v>
      </c>
      <c r="I49" s="37"/>
      <c r="J49" s="37"/>
      <c r="K49" s="22">
        <f>Tabla127[[#This Row],[MASTER]]*0.9</f>
        <v>422910</v>
      </c>
      <c r="L49">
        <v>469900</v>
      </c>
    </row>
    <row r="50" spans="1:12" ht="27" x14ac:dyDescent="0.25">
      <c r="A50" s="30" t="s">
        <v>418</v>
      </c>
      <c r="B50" s="29" t="s">
        <v>417</v>
      </c>
      <c r="C50" s="28">
        <f>+Tabla127[[#This Row],[INSTALLER]]</f>
        <v>422910</v>
      </c>
      <c r="D50" s="28">
        <f>+Tabla127[[#This Row],[PRECIO INSTALLER (CON IVA)]]-Tabla127[[#This Row],[Columna6]]</f>
        <v>401764.5</v>
      </c>
      <c r="E50" s="28">
        <f>+Tabla127[[#This Row],[PRECIO INSTALLER (CON IVA)]]/0.7</f>
        <v>604157.14285714284</v>
      </c>
      <c r="F50" s="27">
        <f>+Tabla127[[#This Row],[PRECIO INSTALLER (CON IVA)]]*5%</f>
        <v>21145.5</v>
      </c>
      <c r="G50" s="26">
        <v>1</v>
      </c>
      <c r="H50" s="25">
        <f>Tabla127[[#This Row],[INSTALLER]]</f>
        <v>422910</v>
      </c>
      <c r="I50" s="37"/>
      <c r="J50" s="37"/>
      <c r="K50" s="22">
        <f>Tabla127[[#This Row],[MASTER]]*0.9</f>
        <v>422910</v>
      </c>
      <c r="L50">
        <v>469900</v>
      </c>
    </row>
    <row r="51" spans="1:12" ht="40.5" x14ac:dyDescent="0.25">
      <c r="A51" s="30" t="s">
        <v>416</v>
      </c>
      <c r="B51" s="29" t="s">
        <v>415</v>
      </c>
      <c r="C51" s="28">
        <f>+Tabla127[[#This Row],[INSTALLER]]</f>
        <v>629910</v>
      </c>
      <c r="D51" s="28">
        <f>+Tabla127[[#This Row],[PRECIO INSTALLER (CON IVA)]]-Tabla127[[#This Row],[Columna6]]</f>
        <v>598414.5</v>
      </c>
      <c r="E51" s="28">
        <f>+Tabla127[[#This Row],[PRECIO INSTALLER (CON IVA)]]/0.7</f>
        <v>899871.42857142864</v>
      </c>
      <c r="F51" s="27">
        <f>+Tabla127[[#This Row],[PRECIO INSTALLER (CON IVA)]]*5%</f>
        <v>31495.5</v>
      </c>
      <c r="G51" s="26">
        <v>1</v>
      </c>
      <c r="H51" s="25">
        <f>Tabla127[[#This Row],[INSTALLER]]</f>
        <v>629910</v>
      </c>
      <c r="I51" s="37"/>
      <c r="J51" s="37"/>
      <c r="K51" s="22">
        <f>Tabla127[[#This Row],[MASTER]]*0.9</f>
        <v>629910</v>
      </c>
      <c r="L51">
        <v>699900</v>
      </c>
    </row>
    <row r="52" spans="1:12" ht="40.5" x14ac:dyDescent="0.25">
      <c r="A52" s="30" t="s">
        <v>414</v>
      </c>
      <c r="B52" s="29" t="s">
        <v>413</v>
      </c>
      <c r="C52" s="28">
        <f>+Tabla127[[#This Row],[INSTALLER]]</f>
        <v>629910</v>
      </c>
      <c r="D52" s="28">
        <f>+Tabla127[[#This Row],[PRECIO INSTALLER (CON IVA)]]-Tabla127[[#This Row],[Columna6]]</f>
        <v>598414.5</v>
      </c>
      <c r="E52" s="28">
        <f>+Tabla127[[#This Row],[PRECIO INSTALLER (CON IVA)]]/0.7</f>
        <v>899871.42857142864</v>
      </c>
      <c r="F52" s="27">
        <f>+Tabla127[[#This Row],[PRECIO INSTALLER (CON IVA)]]*5%</f>
        <v>31495.5</v>
      </c>
      <c r="G52" s="26">
        <v>1</v>
      </c>
      <c r="H52" s="25">
        <f>Tabla127[[#This Row],[INSTALLER]]</f>
        <v>629910</v>
      </c>
      <c r="I52" s="37"/>
      <c r="J52" s="37"/>
      <c r="K52" s="22">
        <f>Tabla127[[#This Row],[MASTER]]*0.9</f>
        <v>629910</v>
      </c>
      <c r="L52">
        <v>699900</v>
      </c>
    </row>
    <row r="53" spans="1:12" ht="40.5" x14ac:dyDescent="0.25">
      <c r="A53" s="30" t="s">
        <v>412</v>
      </c>
      <c r="B53" s="29" t="s">
        <v>411</v>
      </c>
      <c r="C53" s="28">
        <f>+Tabla127[[#This Row],[INSTALLER]]</f>
        <v>62910</v>
      </c>
      <c r="D53" s="28">
        <f>+Tabla127[[#This Row],[PRECIO INSTALLER (CON IVA)]]-Tabla127[[#This Row],[Columna6]]</f>
        <v>59764.5</v>
      </c>
      <c r="E53" s="28">
        <f>+Tabla127[[#This Row],[PRECIO INSTALLER (CON IVA)]]/0.7</f>
        <v>89871.42857142858</v>
      </c>
      <c r="F53" s="27">
        <f>+Tabla127[[#This Row],[PRECIO INSTALLER (CON IVA)]]*5%</f>
        <v>3145.5</v>
      </c>
      <c r="G53" s="26">
        <v>1</v>
      </c>
      <c r="H53" s="25">
        <f>Tabla127[[#This Row],[INSTALLER]]</f>
        <v>62910</v>
      </c>
      <c r="I53" s="37"/>
      <c r="J53" s="37"/>
      <c r="K53" s="22">
        <f>Tabla127[[#This Row],[MASTER]]*0.9</f>
        <v>62910</v>
      </c>
      <c r="L53">
        <v>69900</v>
      </c>
    </row>
    <row r="54" spans="1:12" ht="27" x14ac:dyDescent="0.25">
      <c r="A54" s="30" t="s">
        <v>410</v>
      </c>
      <c r="B54" s="29" t="s">
        <v>409</v>
      </c>
      <c r="C54" s="28">
        <f>+Tabla127[[#This Row],[INSTALLER]]</f>
        <v>49410</v>
      </c>
      <c r="D54" s="28">
        <f>+Tabla127[[#This Row],[PRECIO INSTALLER (CON IVA)]]-Tabla127[[#This Row],[Columna6]]</f>
        <v>46939.5</v>
      </c>
      <c r="E54" s="28">
        <f>+Tabla127[[#This Row],[PRECIO INSTALLER (CON IVA)]]/0.7</f>
        <v>70585.71428571429</v>
      </c>
      <c r="F54" s="27">
        <f>+Tabla127[[#This Row],[PRECIO INSTALLER (CON IVA)]]*5%</f>
        <v>2470.5</v>
      </c>
      <c r="G54" s="26">
        <v>1</v>
      </c>
      <c r="H54" s="25">
        <f>Tabla127[[#This Row],[INSTALLER]]</f>
        <v>49410</v>
      </c>
      <c r="I54" s="37"/>
      <c r="J54" s="37"/>
      <c r="K54" s="22">
        <f>Tabla127[[#This Row],[MASTER]]*0.9</f>
        <v>49410</v>
      </c>
      <c r="L54">
        <v>54900</v>
      </c>
    </row>
    <row r="55" spans="1:12" ht="54" x14ac:dyDescent="0.25">
      <c r="A55" s="30" t="s">
        <v>408</v>
      </c>
      <c r="B55" s="29" t="s">
        <v>407</v>
      </c>
      <c r="C55" s="28">
        <f>+Tabla127[[#This Row],[INSTALLER]]</f>
        <v>80910</v>
      </c>
      <c r="D55" s="28">
        <f>+Tabla127[[#This Row],[PRECIO INSTALLER (CON IVA)]]-Tabla127[[#This Row],[Columna6]]</f>
        <v>76864.5</v>
      </c>
      <c r="E55" s="28">
        <f>+Tabla127[[#This Row],[PRECIO INSTALLER (CON IVA)]]/0.7</f>
        <v>115585.71428571429</v>
      </c>
      <c r="F55" s="27">
        <f>+Tabla127[[#This Row],[PRECIO INSTALLER (CON IVA)]]*5%</f>
        <v>4045.5</v>
      </c>
      <c r="G55" s="26">
        <v>1</v>
      </c>
      <c r="H55" s="25">
        <f>Tabla127[[#This Row],[INSTALLER]]</f>
        <v>80910</v>
      </c>
      <c r="I55" s="37"/>
      <c r="J55" s="37"/>
      <c r="K55" s="22">
        <f>Tabla127[[#This Row],[MASTER]]*0.9</f>
        <v>80910</v>
      </c>
      <c r="L55">
        <v>89900</v>
      </c>
    </row>
    <row r="56" spans="1:12" ht="54" x14ac:dyDescent="0.25">
      <c r="A56" s="30" t="s">
        <v>406</v>
      </c>
      <c r="B56" s="29" t="s">
        <v>405</v>
      </c>
      <c r="C56" s="28">
        <f>+Tabla127[[#This Row],[INSTALLER]]</f>
        <v>116910</v>
      </c>
      <c r="D56" s="28">
        <f>+Tabla127[[#This Row],[PRECIO INSTALLER (CON IVA)]]-Tabla127[[#This Row],[Columna6]]</f>
        <v>111064.5</v>
      </c>
      <c r="E56" s="28">
        <f>+Tabla127[[#This Row],[PRECIO INSTALLER (CON IVA)]]/0.7</f>
        <v>167014.28571428574</v>
      </c>
      <c r="F56" s="27">
        <f>+Tabla127[[#This Row],[PRECIO INSTALLER (CON IVA)]]*5%</f>
        <v>5845.5</v>
      </c>
      <c r="G56" s="26">
        <v>1</v>
      </c>
      <c r="H56" s="25">
        <f>Tabla127[[#This Row],[INSTALLER]]</f>
        <v>116910</v>
      </c>
      <c r="I56" s="37"/>
      <c r="J56" s="37"/>
      <c r="K56" s="22">
        <f>Tabla127[[#This Row],[MASTER]]*0.9</f>
        <v>116910</v>
      </c>
      <c r="L56">
        <v>129900</v>
      </c>
    </row>
    <row r="57" spans="1:12" x14ac:dyDescent="0.25">
      <c r="A57" s="30"/>
      <c r="B57" s="33" t="s">
        <v>404</v>
      </c>
      <c r="C57" s="32"/>
      <c r="D57" s="32"/>
      <c r="E57" s="32"/>
      <c r="F57" s="31">
        <f>+Tabla127[[#This Row],[PRECIO INSTALLER (CON IVA)]]*5%</f>
        <v>0</v>
      </c>
      <c r="G57" s="26"/>
      <c r="H57" s="25">
        <f>Tabla127[[#This Row],[INSTALLER]]</f>
        <v>0</v>
      </c>
      <c r="I57" s="37"/>
      <c r="J57" s="37"/>
      <c r="K57" s="22">
        <f>Tabla127[[#This Row],[MASTER]]*0.9</f>
        <v>0</v>
      </c>
    </row>
    <row r="58" spans="1:12" ht="81" x14ac:dyDescent="0.25">
      <c r="A58" s="30" t="s">
        <v>403</v>
      </c>
      <c r="B58" s="29" t="s">
        <v>402</v>
      </c>
      <c r="C58" s="28">
        <f>+Tabla127[[#This Row],[INSTALLER]]</f>
        <v>962910</v>
      </c>
      <c r="D58" s="28">
        <f>+Tabla127[[#This Row],[PRECIO INSTALLER (CON IVA)]]-Tabla127[[#This Row],[Columna6]]</f>
        <v>914764.5</v>
      </c>
      <c r="E58" s="28">
        <f>+Tabla127[[#This Row],[PRECIO INSTALLER (CON IVA)]]/0.7</f>
        <v>1375585.7142857143</v>
      </c>
      <c r="F58" s="27">
        <f>+Tabla127[[#This Row],[PRECIO INSTALLER (CON IVA)]]*5%</f>
        <v>48145.5</v>
      </c>
      <c r="G58" s="26">
        <v>1</v>
      </c>
      <c r="H58" s="25">
        <f>Tabla127[[#This Row],[INSTALLER]]</f>
        <v>962910</v>
      </c>
      <c r="I58" s="37"/>
      <c r="J58" s="37"/>
      <c r="K58" s="22">
        <f>Tabla127[[#This Row],[MASTER]]*0.9</f>
        <v>962910</v>
      </c>
      <c r="L58">
        <v>1069900</v>
      </c>
    </row>
    <row r="59" spans="1:12" ht="81" x14ac:dyDescent="0.25">
      <c r="A59" s="30" t="s">
        <v>401</v>
      </c>
      <c r="B59" s="29" t="s">
        <v>400</v>
      </c>
      <c r="C59" s="28">
        <f>+Tabla127[[#This Row],[INSTALLER]]</f>
        <v>989910</v>
      </c>
      <c r="D59" s="28">
        <f>+Tabla127[[#This Row],[PRECIO INSTALLER (CON IVA)]]-Tabla127[[#This Row],[Columna6]]</f>
        <v>940414.5</v>
      </c>
      <c r="E59" s="28">
        <f>+Tabla127[[#This Row],[PRECIO INSTALLER (CON IVA)]]/0.7</f>
        <v>1414157.142857143</v>
      </c>
      <c r="F59" s="27">
        <f>+Tabla127[[#This Row],[PRECIO INSTALLER (CON IVA)]]*5%</f>
        <v>49495.5</v>
      </c>
      <c r="G59" s="26">
        <v>1</v>
      </c>
      <c r="H59" s="25">
        <f>Tabla127[[#This Row],[INSTALLER]]</f>
        <v>989910</v>
      </c>
      <c r="I59" s="37"/>
      <c r="J59" s="37"/>
      <c r="K59" s="22">
        <f>Tabla127[[#This Row],[MASTER]]*0.9</f>
        <v>989910</v>
      </c>
      <c r="L59">
        <v>1099900</v>
      </c>
    </row>
    <row r="60" spans="1:12" ht="81" x14ac:dyDescent="0.25">
      <c r="A60" s="30" t="s">
        <v>399</v>
      </c>
      <c r="B60" s="29" t="s">
        <v>398</v>
      </c>
      <c r="C60" s="28">
        <f>+Tabla127[[#This Row],[INSTALLER]]</f>
        <v>1079910</v>
      </c>
      <c r="D60" s="28">
        <f>+Tabla127[[#This Row],[PRECIO INSTALLER (CON IVA)]]-Tabla127[[#This Row],[Columna6]]</f>
        <v>1025914.5</v>
      </c>
      <c r="E60" s="28">
        <f>+Tabla127[[#This Row],[PRECIO INSTALLER (CON IVA)]]/0.7</f>
        <v>1542728.5714285716</v>
      </c>
      <c r="F60" s="27">
        <f>+Tabla127[[#This Row],[PRECIO INSTALLER (CON IVA)]]*5%</f>
        <v>53995.5</v>
      </c>
      <c r="G60" s="26">
        <v>1</v>
      </c>
      <c r="H60" s="25">
        <f>Tabla127[[#This Row],[INSTALLER]]</f>
        <v>1079910</v>
      </c>
      <c r="I60" s="37"/>
      <c r="J60" s="37"/>
      <c r="K60" s="22">
        <f>Tabla127[[#This Row],[MASTER]]*0.9</f>
        <v>1079910</v>
      </c>
      <c r="L60">
        <v>1199900</v>
      </c>
    </row>
    <row r="61" spans="1:12" ht="67.5" x14ac:dyDescent="0.25">
      <c r="A61" s="30" t="s">
        <v>397</v>
      </c>
      <c r="B61" s="29" t="s">
        <v>396</v>
      </c>
      <c r="C61" s="28">
        <f>+Tabla127[[#This Row],[INSTALLER]]</f>
        <v>1394910</v>
      </c>
      <c r="D61" s="28">
        <f>+Tabla127[[#This Row],[PRECIO INSTALLER (CON IVA)]]-Tabla127[[#This Row],[Columna6]]</f>
        <v>1325164.5</v>
      </c>
      <c r="E61" s="28">
        <f>+Tabla127[[#This Row],[PRECIO INSTALLER (CON IVA)]]/0.7</f>
        <v>1992728.5714285716</v>
      </c>
      <c r="F61" s="27">
        <f>+Tabla127[[#This Row],[PRECIO INSTALLER (CON IVA)]]*5%</f>
        <v>69745.5</v>
      </c>
      <c r="G61" s="26">
        <v>1</v>
      </c>
      <c r="H61" s="25">
        <f>Tabla127[[#This Row],[INSTALLER]]</f>
        <v>1394910</v>
      </c>
      <c r="I61" s="37"/>
      <c r="J61" s="37"/>
      <c r="K61" s="22">
        <f>Tabla127[[#This Row],[MASTER]]*0.9</f>
        <v>1394910</v>
      </c>
      <c r="L61">
        <v>1549900</v>
      </c>
    </row>
    <row r="62" spans="1:12" ht="94.5" x14ac:dyDescent="0.25">
      <c r="A62" s="30" t="s">
        <v>395</v>
      </c>
      <c r="B62" s="29" t="s">
        <v>394</v>
      </c>
      <c r="C62" s="28">
        <f>+Tabla127[[#This Row],[INSTALLER]]</f>
        <v>1709910</v>
      </c>
      <c r="D62" s="28">
        <f>+Tabla127[[#This Row],[PRECIO INSTALLER (CON IVA)]]-Tabla127[[#This Row],[Columna6]]</f>
        <v>1624414.5</v>
      </c>
      <c r="E62" s="28">
        <f>+Tabla127[[#This Row],[PRECIO INSTALLER (CON IVA)]]/0.7</f>
        <v>2442728.5714285714</v>
      </c>
      <c r="F62" s="27">
        <f>+Tabla127[[#This Row],[PRECIO INSTALLER (CON IVA)]]*5%</f>
        <v>85495.5</v>
      </c>
      <c r="G62" s="26">
        <v>1</v>
      </c>
      <c r="H62" s="25">
        <f>Tabla127[[#This Row],[INSTALLER]]</f>
        <v>1709910</v>
      </c>
      <c r="I62" s="37"/>
      <c r="J62" s="37"/>
      <c r="K62" s="22">
        <f>Tabla127[[#This Row],[MASTER]]*0.9</f>
        <v>1709910</v>
      </c>
      <c r="L62">
        <v>1899900</v>
      </c>
    </row>
    <row r="63" spans="1:12" ht="94.5" x14ac:dyDescent="0.25">
      <c r="A63" s="30" t="s">
        <v>393</v>
      </c>
      <c r="B63" s="29" t="s">
        <v>392</v>
      </c>
      <c r="C63" s="28">
        <f>+Tabla127[[#This Row],[INSTALLER]]</f>
        <v>1439910</v>
      </c>
      <c r="D63" s="28">
        <f>+Tabla127[[#This Row],[PRECIO INSTALLER (CON IVA)]]-Tabla127[[#This Row],[Columna6]]</f>
        <v>1367914.5</v>
      </c>
      <c r="E63" s="28">
        <f>+Tabla127[[#This Row],[PRECIO INSTALLER (CON IVA)]]/0.7</f>
        <v>2057014.2857142859</v>
      </c>
      <c r="F63" s="27">
        <f>+Tabla127[[#This Row],[PRECIO INSTALLER (CON IVA)]]*5%</f>
        <v>71995.5</v>
      </c>
      <c r="G63" s="26">
        <v>1</v>
      </c>
      <c r="H63" s="25">
        <f>Tabla127[[#This Row],[INSTALLER]]</f>
        <v>1439910</v>
      </c>
      <c r="I63" s="37"/>
      <c r="J63" s="37"/>
      <c r="K63" s="22">
        <f>Tabla127[[#This Row],[MASTER]]*0.9</f>
        <v>1439910</v>
      </c>
      <c r="L63">
        <v>1599900</v>
      </c>
    </row>
    <row r="64" spans="1:12" ht="81" x14ac:dyDescent="0.25">
      <c r="A64" s="30" t="s">
        <v>391</v>
      </c>
      <c r="B64" s="29" t="s">
        <v>390</v>
      </c>
      <c r="C64" s="28">
        <f>+Tabla127[[#This Row],[INSTALLER]]</f>
        <v>2699910</v>
      </c>
      <c r="D64" s="28">
        <f>+Tabla127[[#This Row],[PRECIO INSTALLER (CON IVA)]]-Tabla127[[#This Row],[Columna6]]</f>
        <v>2564914.5</v>
      </c>
      <c r="E64" s="28">
        <f>+Tabla127[[#This Row],[PRECIO INSTALLER (CON IVA)]]/0.7</f>
        <v>3857014.2857142859</v>
      </c>
      <c r="F64" s="27">
        <f>+Tabla127[[#This Row],[PRECIO INSTALLER (CON IVA)]]*5%</f>
        <v>134995.5</v>
      </c>
      <c r="G64" s="26">
        <v>1</v>
      </c>
      <c r="H64" s="25">
        <f>Tabla127[[#This Row],[INSTALLER]]</f>
        <v>2699910</v>
      </c>
      <c r="I64" s="37"/>
      <c r="J64" s="37"/>
      <c r="K64" s="22">
        <f>Tabla127[[#This Row],[MASTER]]*0.9</f>
        <v>2699910</v>
      </c>
      <c r="L64">
        <v>2999900</v>
      </c>
    </row>
    <row r="65" spans="1:12" ht="81" x14ac:dyDescent="0.25">
      <c r="A65" s="30" t="s">
        <v>389</v>
      </c>
      <c r="B65" s="29" t="s">
        <v>388</v>
      </c>
      <c r="C65" s="28">
        <f>+Tabla127[[#This Row],[INSTALLER]]</f>
        <v>1799910</v>
      </c>
      <c r="D65" s="28">
        <f>+Tabla127[[#This Row],[PRECIO INSTALLER (CON IVA)]]-Tabla127[[#This Row],[Columna6]]</f>
        <v>1709914.5</v>
      </c>
      <c r="E65" s="28">
        <f>+Tabla127[[#This Row],[PRECIO INSTALLER (CON IVA)]]/0.7</f>
        <v>2571300</v>
      </c>
      <c r="F65" s="27">
        <f>+Tabla127[[#This Row],[PRECIO INSTALLER (CON IVA)]]*5%</f>
        <v>89995.5</v>
      </c>
      <c r="G65" s="26">
        <v>1</v>
      </c>
      <c r="H65" s="25">
        <f>Tabla127[[#This Row],[INSTALLER]]</f>
        <v>1799910</v>
      </c>
      <c r="I65" s="37"/>
      <c r="J65" s="37"/>
      <c r="K65" s="22">
        <f>Tabla127[[#This Row],[MASTER]]*0.9</f>
        <v>1799910</v>
      </c>
      <c r="L65">
        <v>1999900</v>
      </c>
    </row>
    <row r="66" spans="1:12" ht="54" x14ac:dyDescent="0.25">
      <c r="A66" s="30" t="s">
        <v>387</v>
      </c>
      <c r="B66" s="29" t="s">
        <v>386</v>
      </c>
      <c r="C66" s="28">
        <f>+Tabla127[[#This Row],[INSTALLER]]</f>
        <v>1799910</v>
      </c>
      <c r="D66" s="28">
        <f>+Tabla127[[#This Row],[PRECIO INSTALLER (CON IVA)]]-Tabla127[[#This Row],[Columna6]]</f>
        <v>1709914.5</v>
      </c>
      <c r="E66" s="28">
        <f>+Tabla127[[#This Row],[PRECIO INSTALLER (CON IVA)]]/0.7</f>
        <v>2571300</v>
      </c>
      <c r="F66" s="27">
        <f>+Tabla127[[#This Row],[PRECIO INSTALLER (CON IVA)]]*5%</f>
        <v>89995.5</v>
      </c>
      <c r="G66" s="26">
        <v>1</v>
      </c>
      <c r="H66" s="25">
        <f>Tabla127[[#This Row],[INSTALLER]]</f>
        <v>1799910</v>
      </c>
      <c r="I66" s="37"/>
      <c r="J66" s="37"/>
      <c r="K66" s="22">
        <f>Tabla127[[#This Row],[MASTER]]*0.9</f>
        <v>1799910</v>
      </c>
      <c r="L66">
        <v>1999900</v>
      </c>
    </row>
    <row r="67" spans="1:12" ht="81" x14ac:dyDescent="0.25">
      <c r="A67" s="30" t="s">
        <v>385</v>
      </c>
      <c r="B67" s="29" t="s">
        <v>384</v>
      </c>
      <c r="C67" s="28">
        <f>+Tabla127[[#This Row],[INSTALLER]]</f>
        <v>2366910</v>
      </c>
      <c r="D67" s="28">
        <f>+Tabla127[[#This Row],[PRECIO INSTALLER (CON IVA)]]-Tabla127[[#This Row],[Columna6]]</f>
        <v>2248564.5</v>
      </c>
      <c r="E67" s="28">
        <f>+Tabla127[[#This Row],[PRECIO INSTALLER (CON IVA)]]/0.7</f>
        <v>3381300</v>
      </c>
      <c r="F67" s="27">
        <f>+Tabla127[[#This Row],[PRECIO INSTALLER (CON IVA)]]*5%</f>
        <v>118345.5</v>
      </c>
      <c r="G67" s="26">
        <v>1</v>
      </c>
      <c r="H67" s="25">
        <f>Tabla127[[#This Row],[INSTALLER]]</f>
        <v>2366910</v>
      </c>
      <c r="I67" s="37"/>
      <c r="J67" s="37"/>
      <c r="K67" s="22">
        <f>Tabla127[[#This Row],[MASTER]]*0.9</f>
        <v>2366910</v>
      </c>
      <c r="L67">
        <v>2629900</v>
      </c>
    </row>
    <row r="68" spans="1:12" ht="94.5" x14ac:dyDescent="0.25">
      <c r="A68" s="30" t="s">
        <v>383</v>
      </c>
      <c r="B68" s="29" t="s">
        <v>382</v>
      </c>
      <c r="C68" s="28">
        <f>+Tabla127[[#This Row],[INSTALLER]]</f>
        <v>3599910</v>
      </c>
      <c r="D68" s="28">
        <f>+Tabla127[[#This Row],[PRECIO INSTALLER (CON IVA)]]-Tabla127[[#This Row],[Columna6]]</f>
        <v>3419914.5</v>
      </c>
      <c r="E68" s="28">
        <f>+Tabla127[[#This Row],[PRECIO INSTALLER (CON IVA)]]/0.7</f>
        <v>5142728.5714285718</v>
      </c>
      <c r="F68" s="27">
        <f>+Tabla127[[#This Row],[PRECIO INSTALLER (CON IVA)]]*5%</f>
        <v>179995.5</v>
      </c>
      <c r="G68" s="26">
        <v>1</v>
      </c>
      <c r="H68" s="25">
        <f>Tabla127[[#This Row],[INSTALLER]]</f>
        <v>3599910</v>
      </c>
      <c r="I68" s="37"/>
      <c r="J68" s="37"/>
      <c r="K68" s="22">
        <f>Tabla127[[#This Row],[MASTER]]*0.9</f>
        <v>3599910</v>
      </c>
      <c r="L68">
        <v>3999900</v>
      </c>
    </row>
    <row r="69" spans="1:12" ht="81" x14ac:dyDescent="0.25">
      <c r="A69" s="30" t="s">
        <v>381</v>
      </c>
      <c r="B69" s="29" t="s">
        <v>380</v>
      </c>
      <c r="C69" s="28">
        <f>+Tabla127[[#This Row],[INSTALLER]]</f>
        <v>3239910</v>
      </c>
      <c r="D69" s="28">
        <f>+Tabla127[[#This Row],[PRECIO INSTALLER (CON IVA)]]-Tabla127[[#This Row],[Columna6]]</f>
        <v>3077914.5</v>
      </c>
      <c r="E69" s="28">
        <f>+Tabla127[[#This Row],[PRECIO INSTALLER (CON IVA)]]/0.7</f>
        <v>4628442.8571428573</v>
      </c>
      <c r="F69" s="27">
        <f>+Tabla127[[#This Row],[PRECIO INSTALLER (CON IVA)]]*5%</f>
        <v>161995.5</v>
      </c>
      <c r="G69" s="26">
        <v>1</v>
      </c>
      <c r="H69" s="25">
        <f>Tabla127[[#This Row],[INSTALLER]]</f>
        <v>3239910</v>
      </c>
      <c r="I69" s="37"/>
      <c r="J69" s="37"/>
      <c r="K69" s="22">
        <f>Tabla127[[#This Row],[MASTER]]*0.9</f>
        <v>3239910</v>
      </c>
      <c r="L69">
        <v>3599900</v>
      </c>
    </row>
    <row r="70" spans="1:12" x14ac:dyDescent="0.25">
      <c r="A70" s="30"/>
      <c r="B70" s="33" t="s">
        <v>363</v>
      </c>
      <c r="C70" s="32"/>
      <c r="D70" s="32"/>
      <c r="E70" s="32"/>
      <c r="F70" s="31">
        <f>+Tabla127[[#This Row],[PRECIO INSTALLER (CON IVA)]]*5%</f>
        <v>0</v>
      </c>
      <c r="G70" s="26"/>
      <c r="H70" s="25">
        <f>Tabla127[[#This Row],[INSTALLER]]</f>
        <v>0</v>
      </c>
      <c r="I70" s="37"/>
      <c r="J70" s="37"/>
      <c r="K70" s="22">
        <f>Tabla127[[#This Row],[MASTER]]*0.9</f>
        <v>0</v>
      </c>
    </row>
    <row r="71" spans="1:12" x14ac:dyDescent="0.25">
      <c r="A71" s="30"/>
      <c r="B71" s="36" t="s">
        <v>379</v>
      </c>
      <c r="C71" s="35"/>
      <c r="D71" s="35"/>
      <c r="E71" s="35"/>
      <c r="F71" s="34">
        <f>+Tabla127[[#This Row],[PRECIO INSTALLER (CON IVA)]]*5%</f>
        <v>0</v>
      </c>
      <c r="G71" s="26"/>
      <c r="H71" s="25">
        <f>Tabla127[[#This Row],[INSTALLER]]</f>
        <v>0</v>
      </c>
      <c r="I71" s="37"/>
      <c r="J71" s="37"/>
      <c r="K71" s="22">
        <f>Tabla127[[#This Row],[MASTER]]*0.9</f>
        <v>0</v>
      </c>
    </row>
    <row r="72" spans="1:12" ht="81" x14ac:dyDescent="0.25">
      <c r="A72" s="30" t="s">
        <v>378</v>
      </c>
      <c r="B72" s="29" t="s">
        <v>377</v>
      </c>
      <c r="C72" s="28">
        <f>+Tabla127[[#This Row],[INSTALLER]]</f>
        <v>1619910</v>
      </c>
      <c r="D72" s="28">
        <f>+Tabla127[[#This Row],[PRECIO INSTALLER (CON IVA)]]-Tabla127[[#This Row],[Columna6]]</f>
        <v>1538914.5</v>
      </c>
      <c r="E72" s="28">
        <f>+Tabla127[[#This Row],[PRECIO INSTALLER (CON IVA)]]/0.7</f>
        <v>2314157.1428571432</v>
      </c>
      <c r="F72" s="27">
        <f>+Tabla127[[#This Row],[PRECIO INSTALLER (CON IVA)]]*5%</f>
        <v>80995.5</v>
      </c>
      <c r="G72" s="26">
        <v>1</v>
      </c>
      <c r="H72" s="25">
        <f>Tabla127[[#This Row],[INSTALLER]]</f>
        <v>1619910</v>
      </c>
      <c r="I72" s="37"/>
      <c r="J72" s="37"/>
      <c r="K72" s="22">
        <f>Tabla127[[#This Row],[MASTER]]*0.9</f>
        <v>1619910</v>
      </c>
      <c r="L72">
        <v>1799900</v>
      </c>
    </row>
    <row r="73" spans="1:12" ht="108" x14ac:dyDescent="0.25">
      <c r="A73" s="30" t="s">
        <v>376</v>
      </c>
      <c r="B73" s="29" t="s">
        <v>375</v>
      </c>
      <c r="C73" s="28">
        <f>+Tabla127[[#This Row],[INSTALLER]]</f>
        <v>2267910</v>
      </c>
      <c r="D73" s="28">
        <f>+Tabla127[[#This Row],[PRECIO INSTALLER (CON IVA)]]-Tabla127[[#This Row],[Columna6]]</f>
        <v>2154514.5</v>
      </c>
      <c r="E73" s="28">
        <f>+Tabla127[[#This Row],[PRECIO INSTALLER (CON IVA)]]/0.7</f>
        <v>3239871.4285714286</v>
      </c>
      <c r="F73" s="27">
        <f>+Tabla127[[#This Row],[PRECIO INSTALLER (CON IVA)]]*5%</f>
        <v>113395.5</v>
      </c>
      <c r="G73" s="26">
        <v>1</v>
      </c>
      <c r="H73" s="25">
        <f>Tabla127[[#This Row],[INSTALLER]]</f>
        <v>2267910</v>
      </c>
      <c r="I73" s="37"/>
      <c r="J73" s="37"/>
      <c r="K73" s="22">
        <f>Tabla127[[#This Row],[MASTER]]*0.9</f>
        <v>2267910</v>
      </c>
      <c r="L73">
        <v>2519900</v>
      </c>
    </row>
    <row r="74" spans="1:12" ht="81" x14ac:dyDescent="0.25">
      <c r="A74" s="30" t="s">
        <v>374</v>
      </c>
      <c r="B74" s="29" t="s">
        <v>373</v>
      </c>
      <c r="C74" s="28">
        <f>+Tabla127[[#This Row],[INSTALLER]]</f>
        <v>1979910</v>
      </c>
      <c r="D74" s="28">
        <f>+Tabla127[[#This Row],[PRECIO INSTALLER (CON IVA)]]-Tabla127[[#This Row],[Columna6]]</f>
        <v>1880914.5</v>
      </c>
      <c r="E74" s="28">
        <f>+Tabla127[[#This Row],[PRECIO INSTALLER (CON IVA)]]/0.7</f>
        <v>2828442.8571428573</v>
      </c>
      <c r="F74" s="27">
        <f>+Tabla127[[#This Row],[PRECIO INSTALLER (CON IVA)]]*5%</f>
        <v>98995.5</v>
      </c>
      <c r="G74" s="26">
        <v>1</v>
      </c>
      <c r="H74" s="25">
        <f>Tabla127[[#This Row],[INSTALLER]]</f>
        <v>1979910</v>
      </c>
      <c r="I74" s="37"/>
      <c r="J74" s="37"/>
      <c r="K74" s="22">
        <f>Tabla127[[#This Row],[MASTER]]*0.9</f>
        <v>1979910</v>
      </c>
      <c r="L74">
        <v>2199900</v>
      </c>
    </row>
    <row r="75" spans="1:12" ht="108" x14ac:dyDescent="0.25">
      <c r="A75" s="30" t="s">
        <v>372</v>
      </c>
      <c r="B75" s="29" t="s">
        <v>371</v>
      </c>
      <c r="C75" s="28">
        <f>+Tabla127[[#This Row],[INSTALLER]]</f>
        <v>3374910</v>
      </c>
      <c r="D75" s="28">
        <f>+Tabla127[[#This Row],[PRECIO INSTALLER (CON IVA)]]-Tabla127[[#This Row],[Columna6]]</f>
        <v>3206164.5</v>
      </c>
      <c r="E75" s="28">
        <f>+Tabla127[[#This Row],[PRECIO INSTALLER (CON IVA)]]/0.7</f>
        <v>4821300</v>
      </c>
      <c r="F75" s="27">
        <f>+Tabla127[[#This Row],[PRECIO INSTALLER (CON IVA)]]*5%</f>
        <v>168745.5</v>
      </c>
      <c r="G75" s="26">
        <v>1</v>
      </c>
      <c r="H75" s="25">
        <f>Tabla127[[#This Row],[INSTALLER]]</f>
        <v>3374910</v>
      </c>
      <c r="I75" s="37"/>
      <c r="J75" s="37"/>
      <c r="K75" s="22">
        <f>Tabla127[[#This Row],[MASTER]]*0.9</f>
        <v>3374910</v>
      </c>
      <c r="L75">
        <v>3749900</v>
      </c>
    </row>
    <row r="76" spans="1:12" ht="108" x14ac:dyDescent="0.25">
      <c r="A76" s="30" t="s">
        <v>370</v>
      </c>
      <c r="B76" s="29" t="s">
        <v>369</v>
      </c>
      <c r="C76" s="28">
        <f>+Tabla127[[#This Row],[INSTALLER]]</f>
        <v>3500910</v>
      </c>
      <c r="D76" s="28">
        <f>+Tabla127[[#This Row],[PRECIO INSTALLER (CON IVA)]]-Tabla127[[#This Row],[Columna6]]</f>
        <v>3325864.5</v>
      </c>
      <c r="E76" s="28">
        <f>+Tabla127[[#This Row],[PRECIO INSTALLER (CON IVA)]]/0.7</f>
        <v>5001300</v>
      </c>
      <c r="F76" s="27">
        <f>+Tabla127[[#This Row],[PRECIO INSTALLER (CON IVA)]]*5%</f>
        <v>175045.5</v>
      </c>
      <c r="G76" s="26">
        <v>1</v>
      </c>
      <c r="H76" s="25">
        <f>Tabla127[[#This Row],[INSTALLER]]</f>
        <v>3500910</v>
      </c>
      <c r="I76" s="37"/>
      <c r="J76" s="37"/>
      <c r="K76" s="22">
        <f>Tabla127[[#This Row],[MASTER]]*0.9</f>
        <v>3500910</v>
      </c>
      <c r="L76">
        <v>3889900</v>
      </c>
    </row>
    <row r="77" spans="1:12" ht="81" x14ac:dyDescent="0.25">
      <c r="A77" s="30" t="s">
        <v>368</v>
      </c>
      <c r="B77" s="29" t="s">
        <v>367</v>
      </c>
      <c r="C77" s="28">
        <f>+Tabla127[[#This Row],[INSTALLER]]</f>
        <v>6047910</v>
      </c>
      <c r="D77" s="28">
        <f>+Tabla127[[#This Row],[PRECIO INSTALLER (CON IVA)]]-Tabla127[[#This Row],[Columna6]]</f>
        <v>5745514.5</v>
      </c>
      <c r="E77" s="28">
        <f>+Tabla127[[#This Row],[PRECIO INSTALLER (CON IVA)]]/0.7</f>
        <v>8639871.4285714291</v>
      </c>
      <c r="F77" s="27">
        <f>+Tabla127[[#This Row],[PRECIO INSTALLER (CON IVA)]]*5%</f>
        <v>302395.5</v>
      </c>
      <c r="G77" s="26">
        <v>1</v>
      </c>
      <c r="H77" s="25">
        <f>Tabla127[[#This Row],[INSTALLER]]</f>
        <v>6047910</v>
      </c>
      <c r="I77" s="37"/>
      <c r="J77" s="37"/>
      <c r="K77" s="22">
        <f>Tabla127[[#This Row],[MASTER]]*0.9</f>
        <v>6047910</v>
      </c>
      <c r="L77">
        <v>6719900</v>
      </c>
    </row>
    <row r="78" spans="1:12" x14ac:dyDescent="0.25">
      <c r="A78" s="30"/>
      <c r="B78" s="36" t="s">
        <v>366</v>
      </c>
      <c r="C78" s="35"/>
      <c r="D78" s="35"/>
      <c r="E78" s="35"/>
      <c r="F78" s="34">
        <f>+Tabla127[[#This Row],[PRECIO INSTALLER (CON IVA)]]*5%</f>
        <v>0</v>
      </c>
      <c r="G78" s="26"/>
      <c r="H78" s="25">
        <f>Tabla127[[#This Row],[INSTALLER]]</f>
        <v>0</v>
      </c>
      <c r="I78" s="37"/>
      <c r="J78" s="37"/>
      <c r="K78" s="22">
        <f>Tabla127[[#This Row],[MASTER]]*0.9</f>
        <v>0</v>
      </c>
    </row>
    <row r="79" spans="1:12" ht="94.5" x14ac:dyDescent="0.25">
      <c r="A79" s="30" t="s">
        <v>365</v>
      </c>
      <c r="B79" s="29" t="s">
        <v>364</v>
      </c>
      <c r="C79" s="28">
        <f>+Tabla127[[#This Row],[INSTALLER]]</f>
        <v>2447910</v>
      </c>
      <c r="D79" s="28">
        <f>+Tabla127[[#This Row],[PRECIO INSTALLER (CON IVA)]]-Tabla127[[#This Row],[Columna6]]</f>
        <v>2325514.5</v>
      </c>
      <c r="E79" s="28">
        <f>+Tabla127[[#This Row],[PRECIO INSTALLER (CON IVA)]]/0.7</f>
        <v>3497014.2857142859</v>
      </c>
      <c r="F79" s="27">
        <f>+Tabla127[[#This Row],[PRECIO INSTALLER (CON IVA)]]*5%</f>
        <v>122395.5</v>
      </c>
      <c r="G79" s="26">
        <v>1</v>
      </c>
      <c r="H79" s="25">
        <f>Tabla127[[#This Row],[INSTALLER]]</f>
        <v>2447910</v>
      </c>
      <c r="I79" s="37"/>
      <c r="J79" s="37"/>
      <c r="K79" s="22">
        <f>Tabla127[[#This Row],[MASTER]]*0.9</f>
        <v>2447910</v>
      </c>
      <c r="L79">
        <v>2719900</v>
      </c>
    </row>
    <row r="80" spans="1:12" x14ac:dyDescent="0.25">
      <c r="A80" s="30"/>
      <c r="B80" s="33" t="s">
        <v>363</v>
      </c>
      <c r="C80" s="32"/>
      <c r="D80" s="32"/>
      <c r="E80" s="32"/>
      <c r="F80" s="31">
        <f>+Tabla127[[#This Row],[PRECIO INSTALLER (CON IVA)]]*5%</f>
        <v>0</v>
      </c>
      <c r="G80" s="26"/>
      <c r="H80" s="25">
        <f>Tabla127[[#This Row],[INSTALLER]]</f>
        <v>0</v>
      </c>
      <c r="I80" s="37"/>
      <c r="J80" s="37"/>
      <c r="K80" s="22">
        <f>Tabla127[[#This Row],[MASTER]]*0.9</f>
        <v>0</v>
      </c>
    </row>
    <row r="81" spans="1:12" ht="108" x14ac:dyDescent="0.25">
      <c r="A81" s="30" t="s">
        <v>362</v>
      </c>
      <c r="B81" s="29" t="s">
        <v>361</v>
      </c>
      <c r="C81" s="28">
        <f>+Tabla127[[#This Row],[INSTALLER]]</f>
        <v>2456910</v>
      </c>
      <c r="D81" s="28">
        <f>+Tabla127[[#This Row],[PRECIO INSTALLER (CON IVA)]]-Tabla127[[#This Row],[Columna6]]</f>
        <v>2334064.5</v>
      </c>
      <c r="E81" s="28">
        <f>+Tabla127[[#This Row],[PRECIO INSTALLER (CON IVA)]]/0.7</f>
        <v>3509871.4285714286</v>
      </c>
      <c r="F81" s="27">
        <f>+Tabla127[[#This Row],[PRECIO INSTALLER (CON IVA)]]*5%</f>
        <v>122845.5</v>
      </c>
      <c r="G81" s="26">
        <v>1</v>
      </c>
      <c r="H81" s="25">
        <f>Tabla127[[#This Row],[INSTALLER]]</f>
        <v>2456910</v>
      </c>
      <c r="I81" s="37"/>
      <c r="J81" s="37"/>
      <c r="K81" s="22">
        <f>Tabla127[[#This Row],[MASTER]]*0.9</f>
        <v>2456910</v>
      </c>
      <c r="L81">
        <v>2729900</v>
      </c>
    </row>
    <row r="82" spans="1:12" ht="81" x14ac:dyDescent="0.25">
      <c r="A82" s="30" t="s">
        <v>360</v>
      </c>
      <c r="B82" s="29" t="s">
        <v>359</v>
      </c>
      <c r="C82" s="28">
        <f>+Tabla127[[#This Row],[INSTALLER]]</f>
        <v>3743910</v>
      </c>
      <c r="D82" s="28">
        <f>+Tabla127[[#This Row],[PRECIO INSTALLER (CON IVA)]]-Tabla127[[#This Row],[Columna6]]</f>
        <v>3556714.5</v>
      </c>
      <c r="E82" s="28">
        <f>+Tabla127[[#This Row],[PRECIO INSTALLER (CON IVA)]]/0.7</f>
        <v>5348442.8571428573</v>
      </c>
      <c r="F82" s="27">
        <f>+Tabla127[[#This Row],[PRECIO INSTALLER (CON IVA)]]*5%</f>
        <v>187195.5</v>
      </c>
      <c r="G82" s="26">
        <v>1</v>
      </c>
      <c r="H82" s="25">
        <f>Tabla127[[#This Row],[INSTALLER]]</f>
        <v>3743910</v>
      </c>
      <c r="I82" s="37"/>
      <c r="J82" s="37"/>
      <c r="K82" s="22">
        <f>Tabla127[[#This Row],[MASTER]]*0.9</f>
        <v>3743910</v>
      </c>
      <c r="L82">
        <v>4159900</v>
      </c>
    </row>
    <row r="83" spans="1:12" ht="27" x14ac:dyDescent="0.25">
      <c r="A83" s="30"/>
      <c r="B83" s="33" t="s">
        <v>358</v>
      </c>
      <c r="C83" s="32"/>
      <c r="D83" s="32"/>
      <c r="E83" s="32"/>
      <c r="F83" s="31">
        <f>+Tabla127[[#This Row],[PRECIO INSTALLER (CON IVA)]]*5%</f>
        <v>0</v>
      </c>
      <c r="G83" s="26"/>
      <c r="H83" s="25">
        <f>Tabla127[[#This Row],[INSTALLER]]</f>
        <v>0</v>
      </c>
      <c r="I83" s="37"/>
      <c r="J83" s="37"/>
      <c r="K83" s="22">
        <f>Tabla127[[#This Row],[MASTER]]*0.9</f>
        <v>0</v>
      </c>
    </row>
    <row r="84" spans="1:12" x14ac:dyDescent="0.25">
      <c r="A84" s="30" t="s">
        <v>357</v>
      </c>
      <c r="B84" s="29" t="s">
        <v>356</v>
      </c>
      <c r="C84" s="28">
        <f>+Tabla127[[#This Row],[INSTALLER]]</f>
        <v>332910</v>
      </c>
      <c r="D84" s="28">
        <f>+Tabla127[[#This Row],[PRECIO INSTALLER (CON IVA)]]-Tabla127[[#This Row],[Columna6]]</f>
        <v>316264.5</v>
      </c>
      <c r="E84" s="28">
        <f>+Tabla127[[#This Row],[PRECIO INSTALLER (CON IVA)]]/0.7</f>
        <v>475585.71428571432</v>
      </c>
      <c r="F84" s="27">
        <f>+Tabla127[[#This Row],[PRECIO INSTALLER (CON IVA)]]*5%</f>
        <v>16645.5</v>
      </c>
      <c r="G84" s="26">
        <v>1</v>
      </c>
      <c r="H84" s="25">
        <f>Tabla127[[#This Row],[INSTALLER]]</f>
        <v>332910</v>
      </c>
      <c r="I84" s="37"/>
      <c r="J84" s="37"/>
      <c r="K84" s="22">
        <f>Tabla127[[#This Row],[MASTER]]*0.9</f>
        <v>332910</v>
      </c>
      <c r="L84">
        <v>369900</v>
      </c>
    </row>
    <row r="85" spans="1:12" ht="67.5" x14ac:dyDescent="0.25">
      <c r="A85" s="30" t="s">
        <v>355</v>
      </c>
      <c r="B85" s="29" t="s">
        <v>354</v>
      </c>
      <c r="C85" s="28">
        <f>+Tabla127[[#This Row],[INSTALLER]]</f>
        <v>899910</v>
      </c>
      <c r="D85" s="28">
        <f>+Tabla127[[#This Row],[PRECIO INSTALLER (CON IVA)]]-Tabla127[[#This Row],[Columna6]]</f>
        <v>854914.5</v>
      </c>
      <c r="E85" s="28">
        <f>+Tabla127[[#This Row],[PRECIO INSTALLER (CON IVA)]]/0.7</f>
        <v>1285585.7142857143</v>
      </c>
      <c r="F85" s="27">
        <f>+Tabla127[[#This Row],[PRECIO INSTALLER (CON IVA)]]*5%</f>
        <v>44995.5</v>
      </c>
      <c r="G85" s="26">
        <v>1</v>
      </c>
      <c r="H85" s="25">
        <f>Tabla127[[#This Row],[INSTALLER]]</f>
        <v>899910</v>
      </c>
      <c r="I85" s="37"/>
      <c r="J85" s="37"/>
      <c r="K85" s="22">
        <f>Tabla127[[#This Row],[MASTER]]*0.9</f>
        <v>899910</v>
      </c>
      <c r="L85">
        <v>999900</v>
      </c>
    </row>
    <row r="86" spans="1:12" ht="67.5" x14ac:dyDescent="0.25">
      <c r="A86" s="30" t="s">
        <v>353</v>
      </c>
      <c r="B86" s="29" t="s">
        <v>352</v>
      </c>
      <c r="C86" s="28">
        <f>+Tabla127[[#This Row],[INSTALLER]]</f>
        <v>899910</v>
      </c>
      <c r="D86" s="28">
        <f>+Tabla127[[#This Row],[PRECIO INSTALLER (CON IVA)]]-Tabla127[[#This Row],[Columna6]]</f>
        <v>854914.5</v>
      </c>
      <c r="E86" s="28">
        <f>+Tabla127[[#This Row],[PRECIO INSTALLER (CON IVA)]]/0.7</f>
        <v>1285585.7142857143</v>
      </c>
      <c r="F86" s="27">
        <f>+Tabla127[[#This Row],[PRECIO INSTALLER (CON IVA)]]*5%</f>
        <v>44995.5</v>
      </c>
      <c r="G86" s="26">
        <v>1</v>
      </c>
      <c r="H86" s="25">
        <f>Tabla127[[#This Row],[INSTALLER]]</f>
        <v>899910</v>
      </c>
      <c r="I86" s="37"/>
      <c r="J86" s="37"/>
      <c r="K86" s="22">
        <f>Tabla127[[#This Row],[MASTER]]*0.9</f>
        <v>899910</v>
      </c>
      <c r="L86">
        <v>999900</v>
      </c>
    </row>
    <row r="87" spans="1:12" ht="67.5" x14ac:dyDescent="0.25">
      <c r="A87" s="30" t="s">
        <v>351</v>
      </c>
      <c r="B87" s="29" t="s">
        <v>350</v>
      </c>
      <c r="C87" s="28">
        <f>+Tabla127[[#This Row],[INSTALLER]]</f>
        <v>899910</v>
      </c>
      <c r="D87" s="28">
        <f>+Tabla127[[#This Row],[PRECIO INSTALLER (CON IVA)]]-Tabla127[[#This Row],[Columna6]]</f>
        <v>854914.5</v>
      </c>
      <c r="E87" s="28">
        <f>+Tabla127[[#This Row],[PRECIO INSTALLER (CON IVA)]]/0.7</f>
        <v>1285585.7142857143</v>
      </c>
      <c r="F87" s="27">
        <f>+Tabla127[[#This Row],[PRECIO INSTALLER (CON IVA)]]*5%</f>
        <v>44995.5</v>
      </c>
      <c r="G87" s="26">
        <v>1</v>
      </c>
      <c r="H87" s="25">
        <f>Tabla127[[#This Row],[INSTALLER]]</f>
        <v>899910</v>
      </c>
      <c r="I87" s="37"/>
      <c r="J87" s="37"/>
      <c r="K87" s="22">
        <f>Tabla127[[#This Row],[MASTER]]*0.9</f>
        <v>899910</v>
      </c>
      <c r="L87">
        <v>999900</v>
      </c>
    </row>
    <row r="88" spans="1:12" ht="40.5" x14ac:dyDescent="0.25">
      <c r="A88" s="30" t="s">
        <v>349</v>
      </c>
      <c r="B88" s="29" t="s">
        <v>348</v>
      </c>
      <c r="C88" s="28">
        <f>+Tabla127[[#This Row],[INSTALLER]]</f>
        <v>62910</v>
      </c>
      <c r="D88" s="28">
        <f>+Tabla127[[#This Row],[PRECIO INSTALLER (CON IVA)]]-Tabla127[[#This Row],[Columna6]]</f>
        <v>59764.5</v>
      </c>
      <c r="E88" s="28">
        <f>+Tabla127[[#This Row],[PRECIO INSTALLER (CON IVA)]]/0.7</f>
        <v>89871.42857142858</v>
      </c>
      <c r="F88" s="27">
        <f>+Tabla127[[#This Row],[PRECIO INSTALLER (CON IVA)]]*5%</f>
        <v>3145.5</v>
      </c>
      <c r="G88" s="26">
        <v>1</v>
      </c>
      <c r="H88" s="25">
        <f>Tabla127[[#This Row],[INSTALLER]]</f>
        <v>62910</v>
      </c>
      <c r="I88" s="37"/>
      <c r="J88" s="37"/>
      <c r="K88" s="22">
        <f>Tabla127[[#This Row],[MASTER]]*0.9</f>
        <v>62910</v>
      </c>
      <c r="L88">
        <v>69900</v>
      </c>
    </row>
    <row r="89" spans="1:12" ht="67.5" x14ac:dyDescent="0.25">
      <c r="A89" s="30" t="s">
        <v>347</v>
      </c>
      <c r="B89" s="29" t="s">
        <v>346</v>
      </c>
      <c r="C89" s="28">
        <f>+Tabla127[[#This Row],[INSTALLER]]</f>
        <v>199900</v>
      </c>
      <c r="D89" s="28">
        <f>+Tabla127[[#This Row],[PRECIO INSTALLER (CON IVA)]]-Tabla127[[#This Row],[Columna6]]</f>
        <v>189905</v>
      </c>
      <c r="E89" s="28">
        <f>+Tabla127[[#This Row],[PRECIO INSTALLER (CON IVA)]]/0.7</f>
        <v>285571.42857142858</v>
      </c>
      <c r="F89" s="27">
        <f>+Tabla127[[#This Row],[PRECIO INSTALLER (CON IVA)]]*5%</f>
        <v>9995</v>
      </c>
      <c r="G89" s="26">
        <v>1</v>
      </c>
      <c r="H89" s="25">
        <f>Tabla127[[#This Row],[INSTALLER]]</f>
        <v>199900</v>
      </c>
      <c r="I89" s="37"/>
      <c r="J89" s="37"/>
      <c r="K89">
        <v>199900</v>
      </c>
      <c r="L89">
        <v>199900</v>
      </c>
    </row>
    <row r="90" spans="1:12" ht="67.5" x14ac:dyDescent="0.25">
      <c r="A90" s="30" t="s">
        <v>345</v>
      </c>
      <c r="B90" s="29" t="s">
        <v>344</v>
      </c>
      <c r="C90" s="28">
        <f>+Tabla127[[#This Row],[INSTALLER]]</f>
        <v>519900</v>
      </c>
      <c r="D90" s="28">
        <f>+Tabla127[[#This Row],[PRECIO INSTALLER (CON IVA)]]-Tabla127[[#This Row],[Columna6]]</f>
        <v>493905</v>
      </c>
      <c r="E90" s="28">
        <f>+Tabla127[[#This Row],[PRECIO INSTALLER (CON IVA)]]/0.7</f>
        <v>742714.2857142858</v>
      </c>
      <c r="F90" s="27">
        <f>+Tabla127[[#This Row],[PRECIO INSTALLER (CON IVA)]]*5%</f>
        <v>25995</v>
      </c>
      <c r="G90" s="26">
        <v>1</v>
      </c>
      <c r="H90" s="25">
        <f>Tabla127[[#This Row],[INSTALLER]]</f>
        <v>519900</v>
      </c>
      <c r="I90" s="37"/>
      <c r="J90" s="37"/>
      <c r="K90">
        <v>519900</v>
      </c>
      <c r="L90">
        <v>519900</v>
      </c>
    </row>
    <row r="91" spans="1:12" ht="67.5" x14ac:dyDescent="0.25">
      <c r="A91" s="30" t="s">
        <v>343</v>
      </c>
      <c r="B91" s="29" t="s">
        <v>342</v>
      </c>
      <c r="C91" s="28">
        <f>+Tabla127[[#This Row],[INSTALLER]]</f>
        <v>116910</v>
      </c>
      <c r="D91" s="28">
        <f>+Tabla127[[#This Row],[PRECIO INSTALLER (CON IVA)]]-Tabla127[[#This Row],[Columna6]]</f>
        <v>111064.5</v>
      </c>
      <c r="E91" s="28">
        <f>+Tabla127[[#This Row],[PRECIO INSTALLER (CON IVA)]]/0.7</f>
        <v>167014.28571428574</v>
      </c>
      <c r="F91" s="27">
        <f>+Tabla127[[#This Row],[PRECIO INSTALLER (CON IVA)]]*5%</f>
        <v>5845.5</v>
      </c>
      <c r="G91" s="26">
        <v>1</v>
      </c>
      <c r="H91" s="25">
        <f>Tabla127[[#This Row],[INSTALLER]]</f>
        <v>116910</v>
      </c>
      <c r="I91" s="37"/>
      <c r="J91" s="37"/>
      <c r="K91" s="22">
        <f>Tabla127[[#This Row],[MASTER]]*0.9</f>
        <v>116910</v>
      </c>
      <c r="L91">
        <v>129900</v>
      </c>
    </row>
    <row r="92" spans="1:12" ht="67.5" x14ac:dyDescent="0.25">
      <c r="A92" s="30" t="s">
        <v>341</v>
      </c>
      <c r="B92" s="29" t="s">
        <v>340</v>
      </c>
      <c r="C92" s="28">
        <f>+Tabla127[[#This Row],[INSTALLER]]</f>
        <v>341910</v>
      </c>
      <c r="D92" s="28">
        <f>+Tabla127[[#This Row],[PRECIO INSTALLER (CON IVA)]]-Tabla127[[#This Row],[Columna6]]</f>
        <v>324814.5</v>
      </c>
      <c r="E92" s="28">
        <f>+Tabla127[[#This Row],[PRECIO INSTALLER (CON IVA)]]/0.7</f>
        <v>488442.85714285716</v>
      </c>
      <c r="F92" s="27">
        <f>+Tabla127[[#This Row],[PRECIO INSTALLER (CON IVA)]]*5%</f>
        <v>17095.5</v>
      </c>
      <c r="G92" s="26">
        <v>1</v>
      </c>
      <c r="H92" s="25">
        <f>Tabla127[[#This Row],[INSTALLER]]</f>
        <v>341910</v>
      </c>
      <c r="I92" s="37"/>
      <c r="J92" s="37"/>
      <c r="K92" s="22">
        <f>Tabla127[[#This Row],[MASTER]]*0.9</f>
        <v>341910</v>
      </c>
      <c r="L92">
        <v>379900</v>
      </c>
    </row>
    <row r="93" spans="1:12" ht="27" x14ac:dyDescent="0.25">
      <c r="A93" s="30"/>
      <c r="B93" s="33" t="s">
        <v>327</v>
      </c>
      <c r="C93" s="32"/>
      <c r="D93" s="32"/>
      <c r="E93" s="32"/>
      <c r="F93" s="31">
        <f>+Tabla127[[#This Row],[PRECIO INSTALLER (CON IVA)]]*5%</f>
        <v>0</v>
      </c>
      <c r="G93" s="26"/>
      <c r="H93" s="25">
        <f>Tabla127[[#This Row],[INSTALLER]]</f>
        <v>0</v>
      </c>
      <c r="I93" s="37"/>
      <c r="J93" s="37"/>
      <c r="K93" s="22">
        <f>Tabla127[[#This Row],[MASTER]]*0.9</f>
        <v>0</v>
      </c>
    </row>
    <row r="94" spans="1:12" ht="67.5" x14ac:dyDescent="0.25">
      <c r="A94" s="30" t="s">
        <v>339</v>
      </c>
      <c r="B94" s="29" t="s">
        <v>338</v>
      </c>
      <c r="C94" s="28">
        <f>+Tabla127[[#This Row],[INSTALLER]]</f>
        <v>1124910</v>
      </c>
      <c r="D94" s="28">
        <f>+Tabla127[[#This Row],[PRECIO INSTALLER (CON IVA)]]-Tabla127[[#This Row],[Columna6]]</f>
        <v>1068664.5</v>
      </c>
      <c r="E94" s="28">
        <f>+Tabla127[[#This Row],[PRECIO INSTALLER (CON IVA)]]/0.7</f>
        <v>1607014.2857142859</v>
      </c>
      <c r="F94" s="27">
        <f>+Tabla127[[#This Row],[PRECIO INSTALLER (CON IVA)]]*5%</f>
        <v>56245.5</v>
      </c>
      <c r="G94" s="26">
        <v>1</v>
      </c>
      <c r="H94" s="25">
        <f>Tabla127[[#This Row],[INSTALLER]]</f>
        <v>1124910</v>
      </c>
      <c r="I94" s="37"/>
      <c r="J94" s="37"/>
      <c r="K94" s="22">
        <f>Tabla127[[#This Row],[MASTER]]*0.9</f>
        <v>1124910</v>
      </c>
      <c r="L94">
        <v>1249900</v>
      </c>
    </row>
    <row r="95" spans="1:12" ht="67.5" x14ac:dyDescent="0.25">
      <c r="A95" s="30" t="s">
        <v>337</v>
      </c>
      <c r="B95" s="29" t="s">
        <v>336</v>
      </c>
      <c r="C95" s="28">
        <f>+Tabla127[[#This Row],[INSTALLER]]</f>
        <v>1529910</v>
      </c>
      <c r="D95" s="28">
        <f>+Tabla127[[#This Row],[PRECIO INSTALLER (CON IVA)]]-Tabla127[[#This Row],[Columna6]]</f>
        <v>1453414.5</v>
      </c>
      <c r="E95" s="28">
        <f>+Tabla127[[#This Row],[PRECIO INSTALLER (CON IVA)]]/0.7</f>
        <v>2185585.7142857146</v>
      </c>
      <c r="F95" s="27">
        <f>+Tabla127[[#This Row],[PRECIO INSTALLER (CON IVA)]]*5%</f>
        <v>76495.5</v>
      </c>
      <c r="G95" s="26">
        <v>1</v>
      </c>
      <c r="H95" s="25">
        <f>Tabla127[[#This Row],[INSTALLER]]</f>
        <v>1529910</v>
      </c>
      <c r="I95" s="37"/>
      <c r="J95" s="37"/>
      <c r="K95" s="22">
        <f>Tabla127[[#This Row],[MASTER]]*0.9</f>
        <v>1529910</v>
      </c>
      <c r="L95">
        <v>1699900</v>
      </c>
    </row>
    <row r="96" spans="1:12" ht="94.5" x14ac:dyDescent="0.25">
      <c r="A96" s="30" t="s">
        <v>335</v>
      </c>
      <c r="B96" s="29" t="s">
        <v>334</v>
      </c>
      <c r="C96" s="28">
        <f>+Tabla127[[#This Row],[INSTALLER]]</f>
        <v>1214910</v>
      </c>
      <c r="D96" s="28">
        <f>+Tabla127[[#This Row],[PRECIO INSTALLER (CON IVA)]]-Tabla127[[#This Row],[Columna6]]</f>
        <v>1154164.5</v>
      </c>
      <c r="E96" s="28">
        <f>+Tabla127[[#This Row],[PRECIO INSTALLER (CON IVA)]]/0.7</f>
        <v>1735585.7142857143</v>
      </c>
      <c r="F96" s="27">
        <f>+Tabla127[[#This Row],[PRECIO INSTALLER (CON IVA)]]*5%</f>
        <v>60745.5</v>
      </c>
      <c r="G96" s="26">
        <v>1</v>
      </c>
      <c r="H96" s="25">
        <f>Tabla127[[#This Row],[INSTALLER]]</f>
        <v>1214910</v>
      </c>
      <c r="I96" s="37"/>
      <c r="J96" s="37"/>
      <c r="K96" s="22">
        <f>Tabla127[[#This Row],[MASTER]]*0.9</f>
        <v>1214910</v>
      </c>
      <c r="L96">
        <v>1349900</v>
      </c>
    </row>
    <row r="97" spans="1:12" ht="94.5" x14ac:dyDescent="0.25">
      <c r="A97" s="30" t="s">
        <v>333</v>
      </c>
      <c r="B97" s="29" t="s">
        <v>332</v>
      </c>
      <c r="C97" s="28">
        <f>+Tabla127[[#This Row],[INSTALLER]]</f>
        <v>1700910</v>
      </c>
      <c r="D97" s="28">
        <f>+Tabla127[[#This Row],[PRECIO INSTALLER (CON IVA)]]-Tabla127[[#This Row],[Columna6]]</f>
        <v>1615864.5</v>
      </c>
      <c r="E97" s="28">
        <f>+Tabla127[[#This Row],[PRECIO INSTALLER (CON IVA)]]/0.7</f>
        <v>2429871.4285714286</v>
      </c>
      <c r="F97" s="27">
        <f>+Tabla127[[#This Row],[PRECIO INSTALLER (CON IVA)]]*5%</f>
        <v>85045.5</v>
      </c>
      <c r="G97" s="26">
        <v>1</v>
      </c>
      <c r="H97" s="25">
        <f>Tabla127[[#This Row],[INSTALLER]]</f>
        <v>1700910</v>
      </c>
      <c r="I97" s="37"/>
      <c r="J97" s="37"/>
      <c r="K97" s="22">
        <f>Tabla127[[#This Row],[MASTER]]*0.9</f>
        <v>1700910</v>
      </c>
      <c r="L97">
        <v>1889900</v>
      </c>
    </row>
    <row r="98" spans="1:12" ht="121.5" x14ac:dyDescent="0.25">
      <c r="A98" s="30" t="s">
        <v>331</v>
      </c>
      <c r="B98" s="29" t="s">
        <v>330</v>
      </c>
      <c r="C98" s="28">
        <f>+Tabla127[[#This Row],[INSTALLER]]</f>
        <v>1052910</v>
      </c>
      <c r="D98" s="28">
        <f>+Tabla127[[#This Row],[PRECIO INSTALLER (CON IVA)]]-Tabla127[[#This Row],[Columna6]]</f>
        <v>1000264.5</v>
      </c>
      <c r="E98" s="28">
        <f>+Tabla127[[#This Row],[PRECIO INSTALLER (CON IVA)]]/0.7</f>
        <v>1504157.142857143</v>
      </c>
      <c r="F98" s="27">
        <f>+Tabla127[[#This Row],[PRECIO INSTALLER (CON IVA)]]*5%</f>
        <v>52645.5</v>
      </c>
      <c r="G98" s="26">
        <v>1</v>
      </c>
      <c r="H98" s="25">
        <f>Tabla127[[#This Row],[INSTALLER]]</f>
        <v>1052910</v>
      </c>
      <c r="I98" s="37"/>
      <c r="J98" s="37"/>
      <c r="K98" s="22">
        <f>Tabla127[[#This Row],[MASTER]]*0.9</f>
        <v>1052910</v>
      </c>
      <c r="L98">
        <v>1169900</v>
      </c>
    </row>
    <row r="99" spans="1:12" ht="108" x14ac:dyDescent="0.25">
      <c r="A99" s="30" t="s">
        <v>329</v>
      </c>
      <c r="B99" s="29" t="s">
        <v>328</v>
      </c>
      <c r="C99" s="28">
        <f>+Tabla127[[#This Row],[INSTALLER]]</f>
        <v>1484910</v>
      </c>
      <c r="D99" s="28">
        <f>+Tabla127[[#This Row],[PRECIO INSTALLER (CON IVA)]]-Tabla127[[#This Row],[Columna6]]</f>
        <v>1410664.5</v>
      </c>
      <c r="E99" s="28">
        <f>+Tabla127[[#This Row],[PRECIO INSTALLER (CON IVA)]]/0.7</f>
        <v>2121300</v>
      </c>
      <c r="F99" s="27">
        <f>+Tabla127[[#This Row],[PRECIO INSTALLER (CON IVA)]]*5%</f>
        <v>74245.5</v>
      </c>
      <c r="G99" s="26">
        <v>1</v>
      </c>
      <c r="H99" s="25">
        <f>Tabla127[[#This Row],[INSTALLER]]</f>
        <v>1484910</v>
      </c>
      <c r="I99" s="37"/>
      <c r="J99" s="37"/>
      <c r="K99" s="22">
        <f>Tabla127[[#This Row],[MASTER]]*0.9</f>
        <v>1484910</v>
      </c>
      <c r="L99">
        <v>1649900</v>
      </c>
    </row>
    <row r="100" spans="1:12" ht="27" x14ac:dyDescent="0.25">
      <c r="A100" s="30"/>
      <c r="B100" s="33" t="s">
        <v>327</v>
      </c>
      <c r="C100" s="32"/>
      <c r="D100" s="32"/>
      <c r="E100" s="32"/>
      <c r="F100" s="31">
        <f>+Tabla127[[#This Row],[PRECIO INSTALLER (CON IVA)]]*5%</f>
        <v>0</v>
      </c>
      <c r="G100" s="26"/>
      <c r="H100" s="25">
        <f>Tabla127[[#This Row],[INSTALLER]]</f>
        <v>0</v>
      </c>
      <c r="I100" s="37"/>
      <c r="J100" s="37"/>
      <c r="K100" s="22">
        <f>Tabla127[[#This Row],[MASTER]]*0.9</f>
        <v>0</v>
      </c>
    </row>
    <row r="101" spans="1:12" ht="108" x14ac:dyDescent="0.25">
      <c r="A101" s="30" t="s">
        <v>326</v>
      </c>
      <c r="B101" s="29" t="s">
        <v>325</v>
      </c>
      <c r="C101" s="28">
        <f>+Tabla127[[#This Row],[INSTALLER]]</f>
        <v>1583910</v>
      </c>
      <c r="D101" s="28">
        <f>+Tabla127[[#This Row],[PRECIO INSTALLER (CON IVA)]]-Tabla127[[#This Row],[Columna6]]</f>
        <v>1504714.5</v>
      </c>
      <c r="E101" s="28">
        <f>+Tabla127[[#This Row],[PRECIO INSTALLER (CON IVA)]]/0.7</f>
        <v>2262728.5714285714</v>
      </c>
      <c r="F101" s="27">
        <f>+Tabla127[[#This Row],[PRECIO INSTALLER (CON IVA)]]*5%</f>
        <v>79195.5</v>
      </c>
      <c r="G101" s="26">
        <v>1</v>
      </c>
      <c r="H101" s="25">
        <f>Tabla127[[#This Row],[INSTALLER]]</f>
        <v>1583910</v>
      </c>
      <c r="I101" s="37"/>
      <c r="J101" s="37"/>
      <c r="K101" s="22">
        <f>Tabla127[[#This Row],[MASTER]]*0.9</f>
        <v>1583910</v>
      </c>
      <c r="L101">
        <v>1759900</v>
      </c>
    </row>
    <row r="102" spans="1:12" ht="94.5" x14ac:dyDescent="0.25">
      <c r="A102" s="30" t="s">
        <v>324</v>
      </c>
      <c r="B102" s="29" t="s">
        <v>323</v>
      </c>
      <c r="C102" s="28">
        <f>+Tabla127[[#This Row],[INSTALLER]]</f>
        <v>2222910</v>
      </c>
      <c r="D102" s="28">
        <f>+Tabla127[[#This Row],[PRECIO INSTALLER (CON IVA)]]-Tabla127[[#This Row],[Columna6]]</f>
        <v>2111764.5</v>
      </c>
      <c r="E102" s="28">
        <f>+Tabla127[[#This Row],[PRECIO INSTALLER (CON IVA)]]/0.7</f>
        <v>3175585.7142857146</v>
      </c>
      <c r="F102" s="27">
        <f>+Tabla127[[#This Row],[PRECIO INSTALLER (CON IVA)]]*5%</f>
        <v>111145.5</v>
      </c>
      <c r="G102" s="26">
        <v>1</v>
      </c>
      <c r="H102" s="25">
        <f>Tabla127[[#This Row],[INSTALLER]]</f>
        <v>2222910</v>
      </c>
      <c r="I102" s="37"/>
      <c r="J102" s="37"/>
      <c r="K102" s="22">
        <f>Tabla127[[#This Row],[MASTER]]*0.9</f>
        <v>2222910</v>
      </c>
      <c r="L102">
        <v>2469900</v>
      </c>
    </row>
    <row r="103" spans="1:12" ht="94.5" x14ac:dyDescent="0.25">
      <c r="A103" s="30" t="s">
        <v>322</v>
      </c>
      <c r="B103" s="29" t="s">
        <v>321</v>
      </c>
      <c r="C103" s="28">
        <f>+Tabla127[[#This Row],[INSTALLER]]</f>
        <v>1259910</v>
      </c>
      <c r="D103" s="28">
        <f>+Tabla127[[#This Row],[PRECIO INSTALLER (CON IVA)]]-Tabla127[[#This Row],[Columna6]]</f>
        <v>1196914.5</v>
      </c>
      <c r="E103" s="28">
        <f>+Tabla127[[#This Row],[PRECIO INSTALLER (CON IVA)]]/0.7</f>
        <v>1799871.4285714286</v>
      </c>
      <c r="F103" s="27">
        <f>+Tabla127[[#This Row],[PRECIO INSTALLER (CON IVA)]]*5%</f>
        <v>62995.5</v>
      </c>
      <c r="G103" s="26">
        <v>1</v>
      </c>
      <c r="H103" s="25">
        <f>Tabla127[[#This Row],[INSTALLER]]</f>
        <v>1259910</v>
      </c>
      <c r="I103" s="37"/>
      <c r="J103" s="37"/>
      <c r="K103" s="22">
        <f>Tabla127[[#This Row],[MASTER]]*0.9</f>
        <v>1259910</v>
      </c>
      <c r="L103">
        <v>1399900</v>
      </c>
    </row>
    <row r="104" spans="1:12" ht="108" x14ac:dyDescent="0.25">
      <c r="A104" s="30" t="s">
        <v>320</v>
      </c>
      <c r="B104" s="29" t="s">
        <v>319</v>
      </c>
      <c r="C104" s="28">
        <f>+Tabla127[[#This Row],[INSTALLER]]</f>
        <v>1556910</v>
      </c>
      <c r="D104" s="28">
        <f>+Tabla127[[#This Row],[PRECIO INSTALLER (CON IVA)]]-Tabla127[[#This Row],[Columna6]]</f>
        <v>1479064.5</v>
      </c>
      <c r="E104" s="28">
        <f>+Tabla127[[#This Row],[PRECIO INSTALLER (CON IVA)]]/0.7</f>
        <v>2224157.1428571432</v>
      </c>
      <c r="F104" s="27">
        <f>+Tabla127[[#This Row],[PRECIO INSTALLER (CON IVA)]]*5%</f>
        <v>77845.5</v>
      </c>
      <c r="G104" s="26">
        <v>1</v>
      </c>
      <c r="H104" s="25">
        <f>Tabla127[[#This Row],[INSTALLER]]</f>
        <v>1556910</v>
      </c>
      <c r="I104" s="37"/>
      <c r="J104" s="37"/>
      <c r="K104" s="22">
        <f>Tabla127[[#This Row],[MASTER]]*0.9</f>
        <v>1556910</v>
      </c>
      <c r="L104">
        <v>1729900</v>
      </c>
    </row>
    <row r="105" spans="1:12" ht="108" x14ac:dyDescent="0.25">
      <c r="A105" s="30" t="s">
        <v>318</v>
      </c>
      <c r="B105" s="29" t="s">
        <v>317</v>
      </c>
      <c r="C105" s="28">
        <f>+Tabla127[[#This Row],[INSTALLER]]</f>
        <v>1799910</v>
      </c>
      <c r="D105" s="28">
        <f>+Tabla127[[#This Row],[PRECIO INSTALLER (CON IVA)]]-Tabla127[[#This Row],[Columna6]]</f>
        <v>1709914.5</v>
      </c>
      <c r="E105" s="28">
        <f>+Tabla127[[#This Row],[PRECIO INSTALLER (CON IVA)]]/0.7</f>
        <v>2571300</v>
      </c>
      <c r="F105" s="27">
        <f>+Tabla127[[#This Row],[PRECIO INSTALLER (CON IVA)]]*5%</f>
        <v>89995.5</v>
      </c>
      <c r="G105" s="26">
        <v>1</v>
      </c>
      <c r="H105" s="25">
        <f>Tabla127[[#This Row],[INSTALLER]]</f>
        <v>1799910</v>
      </c>
      <c r="I105" s="37"/>
      <c r="J105" s="37"/>
      <c r="K105" s="22">
        <f>Tabla127[[#This Row],[MASTER]]*0.9</f>
        <v>1799910</v>
      </c>
      <c r="L105">
        <v>1999900</v>
      </c>
    </row>
    <row r="106" spans="1:12" ht="108" x14ac:dyDescent="0.25">
      <c r="A106" s="30" t="s">
        <v>316</v>
      </c>
      <c r="B106" s="29" t="s">
        <v>315</v>
      </c>
      <c r="C106" s="28">
        <f>+Tabla127[[#This Row],[INSTALLER]]</f>
        <v>2024910</v>
      </c>
      <c r="D106" s="28">
        <f>+Tabla127[[#This Row],[PRECIO INSTALLER (CON IVA)]]-Tabla127[[#This Row],[Columna6]]</f>
        <v>1923664.5</v>
      </c>
      <c r="E106" s="28">
        <f>+Tabla127[[#This Row],[PRECIO INSTALLER (CON IVA)]]/0.7</f>
        <v>2892728.5714285718</v>
      </c>
      <c r="F106" s="27">
        <f>+Tabla127[[#This Row],[PRECIO INSTALLER (CON IVA)]]*5%</f>
        <v>101245.5</v>
      </c>
      <c r="G106" s="26">
        <v>1</v>
      </c>
      <c r="H106" s="25">
        <f>Tabla127[[#This Row],[INSTALLER]]</f>
        <v>2024910</v>
      </c>
      <c r="I106" s="37"/>
      <c r="J106" s="37"/>
      <c r="K106" s="22">
        <f>Tabla127[[#This Row],[MASTER]]*0.9</f>
        <v>2024910</v>
      </c>
      <c r="L106">
        <v>2249900</v>
      </c>
    </row>
    <row r="107" spans="1:12" ht="108" x14ac:dyDescent="0.25">
      <c r="A107" s="30" t="s">
        <v>314</v>
      </c>
      <c r="B107" s="29" t="s">
        <v>313</v>
      </c>
      <c r="C107" s="28">
        <f>+Tabla127[[#This Row],[INSTALLER]]</f>
        <v>2429910</v>
      </c>
      <c r="D107" s="28">
        <f>+Tabla127[[#This Row],[PRECIO INSTALLER (CON IVA)]]-Tabla127[[#This Row],[Columna6]]</f>
        <v>2308414.5</v>
      </c>
      <c r="E107" s="28">
        <f>+Tabla127[[#This Row],[PRECIO INSTALLER (CON IVA)]]/0.7</f>
        <v>3471300</v>
      </c>
      <c r="F107" s="27">
        <f>+Tabla127[[#This Row],[PRECIO INSTALLER (CON IVA)]]*5%</f>
        <v>121495.5</v>
      </c>
      <c r="G107" s="26">
        <v>1</v>
      </c>
      <c r="H107" s="25">
        <f>Tabla127[[#This Row],[INSTALLER]]</f>
        <v>2429910</v>
      </c>
      <c r="I107" s="37"/>
      <c r="J107" s="37"/>
      <c r="K107" s="22">
        <f>Tabla127[[#This Row],[MASTER]]*0.9</f>
        <v>2429910</v>
      </c>
      <c r="L107">
        <v>2699900</v>
      </c>
    </row>
    <row r="108" spans="1:12" ht="108" x14ac:dyDescent="0.25">
      <c r="A108" s="30" t="s">
        <v>312</v>
      </c>
      <c r="B108" s="29" t="s">
        <v>311</v>
      </c>
      <c r="C108" s="28">
        <f>+Tabla127[[#This Row],[INSTALLER]]</f>
        <v>3824910</v>
      </c>
      <c r="D108" s="28">
        <f>+Tabla127[[#This Row],[PRECIO INSTALLER (CON IVA)]]-Tabla127[[#This Row],[Columna6]]</f>
        <v>3633664.5</v>
      </c>
      <c r="E108" s="28">
        <f>+Tabla127[[#This Row],[PRECIO INSTALLER (CON IVA)]]/0.7</f>
        <v>5464157.1428571437</v>
      </c>
      <c r="F108" s="27">
        <f>+Tabla127[[#This Row],[PRECIO INSTALLER (CON IVA)]]*5%</f>
        <v>191245.5</v>
      </c>
      <c r="G108" s="26">
        <v>1</v>
      </c>
      <c r="H108" s="25">
        <f>Tabla127[[#This Row],[INSTALLER]]</f>
        <v>3824910</v>
      </c>
      <c r="I108" s="37"/>
      <c r="J108" s="37"/>
      <c r="K108" s="22">
        <f>Tabla127[[#This Row],[MASTER]]*0.9</f>
        <v>3824910</v>
      </c>
      <c r="L108">
        <v>4249900</v>
      </c>
    </row>
    <row r="109" spans="1:12" ht="27" x14ac:dyDescent="0.25">
      <c r="A109" s="30"/>
      <c r="B109" s="33" t="s">
        <v>310</v>
      </c>
      <c r="C109" s="32"/>
      <c r="D109" s="32"/>
      <c r="E109" s="32"/>
      <c r="F109" s="31">
        <f>+Tabla127[[#This Row],[PRECIO INSTALLER (CON IVA)]]*5%</f>
        <v>0</v>
      </c>
      <c r="G109" s="26"/>
      <c r="H109" s="25">
        <f>Tabla127[[#This Row],[INSTALLER]]</f>
        <v>0</v>
      </c>
      <c r="I109" s="37"/>
      <c r="J109" s="37"/>
      <c r="K109" s="22">
        <f>Tabla127[[#This Row],[MASTER]]*0.9</f>
        <v>0</v>
      </c>
    </row>
    <row r="110" spans="1:12" ht="121.5" x14ac:dyDescent="0.25">
      <c r="A110" s="30" t="s">
        <v>309</v>
      </c>
      <c r="B110" s="29" t="s">
        <v>308</v>
      </c>
      <c r="C110" s="28">
        <f>+Tabla127[[#This Row],[INSTALLER]]</f>
        <v>386910</v>
      </c>
      <c r="D110" s="28">
        <f>+Tabla127[[#This Row],[PRECIO INSTALLER (CON IVA)]]-Tabla127[[#This Row],[Columna6]]</f>
        <v>367564.5</v>
      </c>
      <c r="E110" s="28">
        <f>+Tabla127[[#This Row],[PRECIO INSTALLER (CON IVA)]]/0.7</f>
        <v>552728.57142857148</v>
      </c>
      <c r="F110" s="27">
        <f>+Tabla127[[#This Row],[PRECIO INSTALLER (CON IVA)]]*5%</f>
        <v>19345.5</v>
      </c>
      <c r="G110" s="26">
        <v>1</v>
      </c>
      <c r="H110" s="25">
        <f>Tabla127[[#This Row],[INSTALLER]]</f>
        <v>386910</v>
      </c>
      <c r="I110" s="37"/>
      <c r="J110" s="37"/>
      <c r="K110" s="22">
        <f>Tabla127[[#This Row],[MASTER]]*0.9</f>
        <v>386910</v>
      </c>
      <c r="L110">
        <v>429900</v>
      </c>
    </row>
    <row r="111" spans="1:12" ht="40.5" x14ac:dyDescent="0.25">
      <c r="A111" s="30" t="s">
        <v>307</v>
      </c>
      <c r="B111" s="29" t="s">
        <v>306</v>
      </c>
      <c r="C111" s="28">
        <f>+Tabla127[[#This Row],[INSTALLER]]</f>
        <v>125910</v>
      </c>
      <c r="D111" s="28">
        <f>+Tabla127[[#This Row],[PRECIO INSTALLER (CON IVA)]]-Tabla127[[#This Row],[Columna6]]</f>
        <v>119614.5</v>
      </c>
      <c r="E111" s="28">
        <f>+Tabla127[[#This Row],[PRECIO INSTALLER (CON IVA)]]/0.7</f>
        <v>179871.42857142858</v>
      </c>
      <c r="F111" s="27">
        <f>+Tabla127[[#This Row],[PRECIO INSTALLER (CON IVA)]]*5%</f>
        <v>6295.5</v>
      </c>
      <c r="G111" s="26">
        <v>1</v>
      </c>
      <c r="H111" s="25">
        <f>Tabla127[[#This Row],[INSTALLER]]</f>
        <v>125910</v>
      </c>
      <c r="I111" s="37"/>
      <c r="J111" s="37"/>
      <c r="K111" s="22">
        <f>Tabla127[[#This Row],[MASTER]]*0.9</f>
        <v>125910</v>
      </c>
      <c r="L111">
        <v>139900</v>
      </c>
    </row>
    <row r="112" spans="1:12" ht="40.5" x14ac:dyDescent="0.25">
      <c r="A112" s="30" t="s">
        <v>305</v>
      </c>
      <c r="B112" s="29" t="s">
        <v>304</v>
      </c>
      <c r="C112" s="28">
        <f>+Tabla127[[#This Row],[INSTALLER]]</f>
        <v>89910</v>
      </c>
      <c r="D112" s="28">
        <f>+Tabla127[[#This Row],[PRECIO INSTALLER (CON IVA)]]-Tabla127[[#This Row],[Columna6]]</f>
        <v>85414.5</v>
      </c>
      <c r="E112" s="28">
        <f>+Tabla127[[#This Row],[PRECIO INSTALLER (CON IVA)]]/0.7</f>
        <v>128442.85714285714</v>
      </c>
      <c r="F112" s="27">
        <f>+Tabla127[[#This Row],[PRECIO INSTALLER (CON IVA)]]*5%</f>
        <v>4495.5</v>
      </c>
      <c r="G112" s="26">
        <v>1</v>
      </c>
      <c r="H112" s="25">
        <f>Tabla127[[#This Row],[INSTALLER]]</f>
        <v>89910</v>
      </c>
      <c r="I112" s="37"/>
      <c r="J112" s="37"/>
      <c r="K112" s="22">
        <f>Tabla127[[#This Row],[MASTER]]*0.9</f>
        <v>89910</v>
      </c>
      <c r="L112">
        <v>99900</v>
      </c>
    </row>
    <row r="113" spans="1:12" ht="40.5" x14ac:dyDescent="0.25">
      <c r="A113" s="30" t="s">
        <v>303</v>
      </c>
      <c r="B113" s="29" t="s">
        <v>302</v>
      </c>
      <c r="C113" s="28">
        <f>+Tabla127[[#This Row],[INSTALLER]]</f>
        <v>206910</v>
      </c>
      <c r="D113" s="28">
        <f>+Tabla127[[#This Row],[PRECIO INSTALLER (CON IVA)]]-Tabla127[[#This Row],[Columna6]]</f>
        <v>196564.5</v>
      </c>
      <c r="E113" s="28">
        <f>+Tabla127[[#This Row],[PRECIO INSTALLER (CON IVA)]]/0.7</f>
        <v>295585.71428571432</v>
      </c>
      <c r="F113" s="27">
        <f>+Tabla127[[#This Row],[PRECIO INSTALLER (CON IVA)]]*5%</f>
        <v>10345.5</v>
      </c>
      <c r="G113" s="26">
        <v>1</v>
      </c>
      <c r="H113" s="25">
        <f>Tabla127[[#This Row],[INSTALLER]]</f>
        <v>206910</v>
      </c>
      <c r="I113" s="37"/>
      <c r="J113" s="37"/>
      <c r="K113" s="22">
        <f>Tabla127[[#This Row],[MASTER]]*0.9</f>
        <v>206910</v>
      </c>
      <c r="L113">
        <v>229900</v>
      </c>
    </row>
    <row r="114" spans="1:12" x14ac:dyDescent="0.25">
      <c r="A114" s="30" t="s">
        <v>301</v>
      </c>
      <c r="B114" s="29" t="s">
        <v>300</v>
      </c>
      <c r="C114" s="28">
        <f>+Tabla127[[#This Row],[INSTALLER]]</f>
        <v>539910</v>
      </c>
      <c r="D114" s="28">
        <f>+Tabla127[[#This Row],[PRECIO INSTALLER (CON IVA)]]-Tabla127[[#This Row],[Columna6]]</f>
        <v>512914.5</v>
      </c>
      <c r="E114" s="28">
        <f>+Tabla127[[#This Row],[PRECIO INSTALLER (CON IVA)]]/0.7</f>
        <v>771300</v>
      </c>
      <c r="F114" s="27">
        <f>+Tabla127[[#This Row],[PRECIO INSTALLER (CON IVA)]]*5%</f>
        <v>26995.5</v>
      </c>
      <c r="G114" s="26">
        <v>1</v>
      </c>
      <c r="H114" s="25">
        <f>Tabla127[[#This Row],[INSTALLER]]</f>
        <v>539910</v>
      </c>
      <c r="I114" s="37"/>
      <c r="J114" s="37"/>
      <c r="K114" s="22">
        <f>Tabla127[[#This Row],[MASTER]]*0.9</f>
        <v>539910</v>
      </c>
      <c r="L114">
        <v>599900</v>
      </c>
    </row>
    <row r="115" spans="1:12" ht="27" x14ac:dyDescent="0.25">
      <c r="A115" s="30" t="s">
        <v>299</v>
      </c>
      <c r="B115" s="29" t="s">
        <v>298</v>
      </c>
      <c r="C115" s="28">
        <f>+Tabla127[[#This Row],[INSTALLER]]</f>
        <v>719910</v>
      </c>
      <c r="D115" s="28">
        <f>+Tabla127[[#This Row],[PRECIO INSTALLER (CON IVA)]]-Tabla127[[#This Row],[Columna6]]</f>
        <v>683914.5</v>
      </c>
      <c r="E115" s="28">
        <f>+Tabla127[[#This Row],[PRECIO INSTALLER (CON IVA)]]/0.7</f>
        <v>1028442.8571428572</v>
      </c>
      <c r="F115" s="27">
        <f>+Tabla127[[#This Row],[PRECIO INSTALLER (CON IVA)]]*5%</f>
        <v>35995.5</v>
      </c>
      <c r="G115" s="26">
        <v>1</v>
      </c>
      <c r="H115" s="25">
        <f>Tabla127[[#This Row],[INSTALLER]]</f>
        <v>719910</v>
      </c>
      <c r="I115" s="37"/>
      <c r="J115" s="37"/>
      <c r="K115" s="22">
        <f>Tabla127[[#This Row],[MASTER]]*0.9</f>
        <v>719910</v>
      </c>
      <c r="L115">
        <v>799900</v>
      </c>
    </row>
    <row r="116" spans="1:12" ht="67.5" x14ac:dyDescent="0.25">
      <c r="A116" s="30" t="s">
        <v>297</v>
      </c>
      <c r="B116" s="29" t="s">
        <v>296</v>
      </c>
      <c r="C116" s="28">
        <f>+Tabla127[[#This Row],[INSTALLER]]</f>
        <v>287910</v>
      </c>
      <c r="D116" s="28">
        <f>+Tabla127[[#This Row],[PRECIO INSTALLER (CON IVA)]]-Tabla127[[#This Row],[Columna6]]</f>
        <v>273514.5</v>
      </c>
      <c r="E116" s="28">
        <f>+Tabla127[[#This Row],[PRECIO INSTALLER (CON IVA)]]/0.7</f>
        <v>411300</v>
      </c>
      <c r="F116" s="27">
        <f>+Tabla127[[#This Row],[PRECIO INSTALLER (CON IVA)]]*5%</f>
        <v>14395.5</v>
      </c>
      <c r="G116" s="26">
        <v>1</v>
      </c>
      <c r="H116" s="25">
        <f>Tabla127[[#This Row],[INSTALLER]]</f>
        <v>287910</v>
      </c>
      <c r="I116" s="37"/>
      <c r="J116" s="37"/>
      <c r="K116" s="22">
        <f>Tabla127[[#This Row],[MASTER]]*0.9</f>
        <v>287910</v>
      </c>
      <c r="L116">
        <v>319900</v>
      </c>
    </row>
    <row r="117" spans="1:12" ht="27" x14ac:dyDescent="0.25">
      <c r="A117" s="30" t="s">
        <v>295</v>
      </c>
      <c r="B117" s="29" t="s">
        <v>294</v>
      </c>
      <c r="C117" s="28">
        <f>+Tabla127[[#This Row],[INSTALLER]]</f>
        <v>58050</v>
      </c>
      <c r="D117" s="28">
        <f>+Tabla127[[#This Row],[PRECIO INSTALLER (CON IVA)]]-Tabla127[[#This Row],[Columna6]]</f>
        <v>55147.5</v>
      </c>
      <c r="E117" s="28">
        <f>+Tabla127[[#This Row],[PRECIO INSTALLER (CON IVA)]]/0.7</f>
        <v>82928.571428571435</v>
      </c>
      <c r="F117" s="27">
        <f>+Tabla127[[#This Row],[PRECIO INSTALLER (CON IVA)]]*5%</f>
        <v>2902.5</v>
      </c>
      <c r="G117" s="26">
        <v>1</v>
      </c>
      <c r="H117" s="25">
        <f>Tabla127[[#This Row],[INSTALLER]]</f>
        <v>58050</v>
      </c>
      <c r="I117" s="37"/>
      <c r="J117" s="37"/>
      <c r="K117" s="22">
        <f>Tabla127[[#This Row],[MASTER]]*0.9</f>
        <v>58050</v>
      </c>
      <c r="L117">
        <v>64500</v>
      </c>
    </row>
    <row r="118" spans="1:12" x14ac:dyDescent="0.25">
      <c r="A118" s="30"/>
      <c r="B118" s="33" t="s">
        <v>293</v>
      </c>
      <c r="C118" s="32"/>
      <c r="D118" s="32"/>
      <c r="E118" s="32"/>
      <c r="F118" s="31">
        <f>+Tabla127[[#This Row],[PRECIO INSTALLER (CON IVA)]]*5%</f>
        <v>0</v>
      </c>
      <c r="G118" s="26"/>
      <c r="H118" s="25">
        <f>Tabla127[[#This Row],[INSTALLER]]</f>
        <v>0</v>
      </c>
      <c r="I118" s="37"/>
      <c r="J118" s="37"/>
      <c r="K118" s="22">
        <f>Tabla127[[#This Row],[MASTER]]*0.9</f>
        <v>0</v>
      </c>
    </row>
    <row r="119" spans="1:12" ht="121.5" x14ac:dyDescent="0.25">
      <c r="A119" s="30" t="s">
        <v>292</v>
      </c>
      <c r="B119" s="29" t="s">
        <v>291</v>
      </c>
      <c r="C119" s="28">
        <f>+Tabla127[[#This Row],[INSTALLER]]</f>
        <v>4769910</v>
      </c>
      <c r="D119" s="28">
        <f>+Tabla127[[#This Row],[PRECIO INSTALLER (CON IVA)]]-Tabla127[[#This Row],[Columna6]]</f>
        <v>4531414.5</v>
      </c>
      <c r="E119" s="28">
        <f>+Tabla127[[#This Row],[PRECIO INSTALLER (CON IVA)]]/0.7</f>
        <v>6814157.1428571437</v>
      </c>
      <c r="F119" s="27">
        <f>+Tabla127[[#This Row],[PRECIO INSTALLER (CON IVA)]]*5%</f>
        <v>238495.5</v>
      </c>
      <c r="G119" s="26">
        <v>1</v>
      </c>
      <c r="H119" s="25">
        <f>Tabla127[[#This Row],[INSTALLER]]</f>
        <v>4769910</v>
      </c>
      <c r="I119" s="37"/>
      <c r="J119" s="37"/>
      <c r="K119" s="22">
        <f>Tabla127[[#This Row],[MASTER]]*0.9</f>
        <v>4769910</v>
      </c>
      <c r="L119">
        <v>5299900</v>
      </c>
    </row>
    <row r="120" spans="1:12" ht="148.5" x14ac:dyDescent="0.25">
      <c r="A120" s="30" t="s">
        <v>290</v>
      </c>
      <c r="B120" s="29" t="s">
        <v>289</v>
      </c>
      <c r="C120" s="28">
        <f>+Tabla127[[#This Row],[INSTALLER]]</f>
        <v>6389910</v>
      </c>
      <c r="D120" s="28">
        <f>+Tabla127[[#This Row],[PRECIO INSTALLER (CON IVA)]]-Tabla127[[#This Row],[Columna6]]</f>
        <v>6070414.5</v>
      </c>
      <c r="E120" s="28">
        <f>+Tabla127[[#This Row],[PRECIO INSTALLER (CON IVA)]]/0.7</f>
        <v>9128442.8571428582</v>
      </c>
      <c r="F120" s="27">
        <f>+Tabla127[[#This Row],[PRECIO INSTALLER (CON IVA)]]*5%</f>
        <v>319495.5</v>
      </c>
      <c r="G120" s="26">
        <v>1</v>
      </c>
      <c r="H120" s="25">
        <f>Tabla127[[#This Row],[INSTALLER]]</f>
        <v>6389910</v>
      </c>
      <c r="I120" s="37"/>
      <c r="J120" s="37"/>
      <c r="K120" s="22">
        <f>Tabla127[[#This Row],[MASTER]]*0.9</f>
        <v>6389910</v>
      </c>
      <c r="L120">
        <v>7099900</v>
      </c>
    </row>
    <row r="121" spans="1:12" ht="148.5" x14ac:dyDescent="0.25">
      <c r="A121" s="30" t="s">
        <v>288</v>
      </c>
      <c r="B121" s="29" t="s">
        <v>287</v>
      </c>
      <c r="C121" s="28">
        <f>+Tabla127[[#This Row],[INSTALLER]]</f>
        <v>7694910</v>
      </c>
      <c r="D121" s="28">
        <f>+Tabla127[[#This Row],[PRECIO INSTALLER (CON IVA)]]-Tabla127[[#This Row],[Columna6]]</f>
        <v>7310164.5</v>
      </c>
      <c r="E121" s="28">
        <f>+Tabla127[[#This Row],[PRECIO INSTALLER (CON IVA)]]/0.7</f>
        <v>10992728.571428573</v>
      </c>
      <c r="F121" s="27">
        <f>+Tabla127[[#This Row],[PRECIO INSTALLER (CON IVA)]]*5%</f>
        <v>384745.5</v>
      </c>
      <c r="G121" s="26">
        <v>1</v>
      </c>
      <c r="H121" s="25">
        <f>Tabla127[[#This Row],[INSTALLER]]</f>
        <v>7694910</v>
      </c>
      <c r="I121" s="37"/>
      <c r="J121" s="37"/>
      <c r="K121" s="22">
        <f>Tabla127[[#This Row],[MASTER]]*0.9</f>
        <v>7694910</v>
      </c>
      <c r="L121">
        <v>8549900</v>
      </c>
    </row>
    <row r="122" spans="1:12" ht="135" x14ac:dyDescent="0.25">
      <c r="A122" s="30" t="s">
        <v>286</v>
      </c>
      <c r="B122" s="29" t="s">
        <v>285</v>
      </c>
      <c r="C122" s="28">
        <f>+Tabla127[[#This Row],[INSTALLER]]</f>
        <v>8729910</v>
      </c>
      <c r="D122" s="28">
        <f>+Tabla127[[#This Row],[PRECIO INSTALLER (CON IVA)]]-Tabla127[[#This Row],[Columna6]]</f>
        <v>8293414.5</v>
      </c>
      <c r="E122" s="28">
        <f>+Tabla127[[#This Row],[PRECIO INSTALLER (CON IVA)]]/0.7</f>
        <v>12471300</v>
      </c>
      <c r="F122" s="27">
        <f>+Tabla127[[#This Row],[PRECIO INSTALLER (CON IVA)]]*5%</f>
        <v>436495.5</v>
      </c>
      <c r="G122" s="26">
        <v>1</v>
      </c>
      <c r="H122" s="25">
        <f>Tabla127[[#This Row],[INSTALLER]]</f>
        <v>8729910</v>
      </c>
      <c r="I122" s="37"/>
      <c r="J122" s="37"/>
      <c r="K122" s="22">
        <f>Tabla127[[#This Row],[MASTER]]*0.9</f>
        <v>8729910</v>
      </c>
      <c r="L122">
        <v>9699900</v>
      </c>
    </row>
    <row r="123" spans="1:12" ht="67.5" x14ac:dyDescent="0.25">
      <c r="A123" s="30" t="s">
        <v>284</v>
      </c>
      <c r="B123" s="29" t="s">
        <v>283</v>
      </c>
      <c r="C123" s="28">
        <f>+Tabla127[[#This Row],[INSTALLER]]</f>
        <v>14391000</v>
      </c>
      <c r="D123" s="28">
        <f>+Tabla127[[#This Row],[PRECIO INSTALLER (CON IVA)]]-Tabla127[[#This Row],[Columna6]]</f>
        <v>13671450</v>
      </c>
      <c r="E123" s="28">
        <f>+Tabla127[[#This Row],[PRECIO INSTALLER (CON IVA)]]/0.7</f>
        <v>20558571.428571429</v>
      </c>
      <c r="F123" s="27">
        <f>+Tabla127[[#This Row],[PRECIO INSTALLER (CON IVA)]]*5%</f>
        <v>719550</v>
      </c>
      <c r="G123" s="26">
        <v>1</v>
      </c>
      <c r="H123" s="25">
        <f>Tabla127[[#This Row],[INSTALLER]]</f>
        <v>14391000</v>
      </c>
      <c r="I123" s="37"/>
      <c r="J123" s="37"/>
      <c r="K123" s="22">
        <f>Tabla127[[#This Row],[MASTER]]*0.9</f>
        <v>14391000</v>
      </c>
      <c r="L123">
        <v>15990000</v>
      </c>
    </row>
    <row r="124" spans="1:12" ht="94.5" x14ac:dyDescent="0.25">
      <c r="A124" s="30" t="s">
        <v>282</v>
      </c>
      <c r="B124" s="29" t="s">
        <v>281</v>
      </c>
      <c r="C124" s="28">
        <f>+Tabla127[[#This Row],[INSTALLER]]</f>
        <v>1799910</v>
      </c>
      <c r="D124" s="28">
        <f>+Tabla127[[#This Row],[PRECIO INSTALLER (CON IVA)]]-Tabla127[[#This Row],[Columna6]]</f>
        <v>1709914.5</v>
      </c>
      <c r="E124" s="28">
        <f>+Tabla127[[#This Row],[PRECIO INSTALLER (CON IVA)]]/0.7</f>
        <v>2571300</v>
      </c>
      <c r="F124" s="27">
        <f>+Tabla127[[#This Row],[PRECIO INSTALLER (CON IVA)]]*5%</f>
        <v>89995.5</v>
      </c>
      <c r="G124" s="26">
        <v>1</v>
      </c>
      <c r="H124" s="25">
        <f>Tabla127[[#This Row],[INSTALLER]]</f>
        <v>1799910</v>
      </c>
      <c r="I124" s="37"/>
      <c r="J124" s="37"/>
      <c r="K124" s="22">
        <f>Tabla127[[#This Row],[MASTER]]*0.9</f>
        <v>1799910</v>
      </c>
      <c r="L124">
        <v>1999900</v>
      </c>
    </row>
    <row r="125" spans="1:12" ht="94.5" x14ac:dyDescent="0.25">
      <c r="A125" s="30" t="s">
        <v>280</v>
      </c>
      <c r="B125" s="29" t="s">
        <v>279</v>
      </c>
      <c r="C125" s="28">
        <f>+Tabla127[[#This Row],[INSTALLER]]</f>
        <v>3059910</v>
      </c>
      <c r="D125" s="28">
        <f>+Tabla127[[#This Row],[PRECIO INSTALLER (CON IVA)]]-Tabla127[[#This Row],[Columna6]]</f>
        <v>2906914.5</v>
      </c>
      <c r="E125" s="28">
        <f>+Tabla127[[#This Row],[PRECIO INSTALLER (CON IVA)]]/0.7</f>
        <v>4371300</v>
      </c>
      <c r="F125" s="27">
        <f>+Tabla127[[#This Row],[PRECIO INSTALLER (CON IVA)]]*5%</f>
        <v>152995.5</v>
      </c>
      <c r="G125" s="26">
        <v>1</v>
      </c>
      <c r="H125" s="25">
        <f>Tabla127[[#This Row],[INSTALLER]]</f>
        <v>3059910</v>
      </c>
      <c r="I125" s="37"/>
      <c r="J125" s="37"/>
      <c r="K125" s="22">
        <f>Tabla127[[#This Row],[MASTER]]*0.9</f>
        <v>3059910</v>
      </c>
      <c r="L125">
        <v>3399900</v>
      </c>
    </row>
    <row r="126" spans="1:12" ht="94.5" x14ac:dyDescent="0.25">
      <c r="A126" s="30" t="s">
        <v>278</v>
      </c>
      <c r="B126" s="29" t="s">
        <v>277</v>
      </c>
      <c r="C126" s="28">
        <f>+Tabla127[[#This Row],[INSTALLER]]</f>
        <v>7109910</v>
      </c>
      <c r="D126" s="28">
        <f>+Tabla127[[#This Row],[PRECIO INSTALLER (CON IVA)]]-Tabla127[[#This Row],[Columna6]]</f>
        <v>6754414.5</v>
      </c>
      <c r="E126" s="28">
        <f>+Tabla127[[#This Row],[PRECIO INSTALLER (CON IVA)]]/0.7</f>
        <v>10157014.285714285</v>
      </c>
      <c r="F126" s="27">
        <f>+Tabla127[[#This Row],[PRECIO INSTALLER (CON IVA)]]*5%</f>
        <v>355495.5</v>
      </c>
      <c r="G126" s="26">
        <v>1</v>
      </c>
      <c r="H126" s="25">
        <f>Tabla127[[#This Row],[INSTALLER]]</f>
        <v>7109910</v>
      </c>
      <c r="I126" s="37"/>
      <c r="J126" s="37"/>
      <c r="K126" s="22">
        <f>Tabla127[[#This Row],[MASTER]]*0.9</f>
        <v>7109910</v>
      </c>
      <c r="L126">
        <v>7899900</v>
      </c>
    </row>
    <row r="127" spans="1:12" ht="27" x14ac:dyDescent="0.25">
      <c r="A127" s="30"/>
      <c r="B127" s="33" t="s">
        <v>276</v>
      </c>
      <c r="C127" s="32"/>
      <c r="D127" s="32"/>
      <c r="E127" s="32"/>
      <c r="F127" s="31">
        <f>+Tabla127[[#This Row],[PRECIO INSTALLER (CON IVA)]]*5%</f>
        <v>0</v>
      </c>
      <c r="G127" s="26"/>
      <c r="H127" s="25">
        <f>Tabla127[[#This Row],[INSTALLER]]</f>
        <v>0</v>
      </c>
      <c r="I127" s="37"/>
      <c r="J127" s="37"/>
      <c r="K127" s="22">
        <f>Tabla127[[#This Row],[MASTER]]*0.9</f>
        <v>0</v>
      </c>
    </row>
    <row r="128" spans="1:12" ht="27" x14ac:dyDescent="0.25">
      <c r="A128" s="30" t="s">
        <v>275</v>
      </c>
      <c r="B128" s="29" t="s">
        <v>274</v>
      </c>
      <c r="C128" s="28">
        <f>+Tabla127[[#This Row],[INSTALLER]]</f>
        <v>539910</v>
      </c>
      <c r="D128" s="28">
        <f>+Tabla127[[#This Row],[PRECIO INSTALLER (CON IVA)]]-Tabla127[[#This Row],[Columna6]]</f>
        <v>512914.5</v>
      </c>
      <c r="E128" s="28">
        <f>+Tabla127[[#This Row],[PRECIO INSTALLER (CON IVA)]]/0.7</f>
        <v>771300</v>
      </c>
      <c r="F128" s="27">
        <f>+Tabla127[[#This Row],[PRECIO INSTALLER (CON IVA)]]*5%</f>
        <v>26995.5</v>
      </c>
      <c r="G128" s="26">
        <v>1</v>
      </c>
      <c r="H128" s="25">
        <f>Tabla127[[#This Row],[INSTALLER]]</f>
        <v>539910</v>
      </c>
      <c r="I128" s="37"/>
      <c r="J128" s="37"/>
      <c r="K128" s="22">
        <f>Tabla127[[#This Row],[MASTER]]*0.9</f>
        <v>539910</v>
      </c>
      <c r="L128">
        <v>599900</v>
      </c>
    </row>
    <row r="129" spans="1:12" ht="40.5" x14ac:dyDescent="0.25">
      <c r="A129" s="30" t="s">
        <v>273</v>
      </c>
      <c r="B129" s="29" t="s">
        <v>272</v>
      </c>
      <c r="C129" s="28">
        <f>+Tabla127[[#This Row],[INSTALLER]]</f>
        <v>110610</v>
      </c>
      <c r="D129" s="28">
        <f>+Tabla127[[#This Row],[PRECIO INSTALLER (CON IVA)]]-Tabla127[[#This Row],[Columna6]]</f>
        <v>105079.5</v>
      </c>
      <c r="E129" s="28">
        <f>+Tabla127[[#This Row],[PRECIO INSTALLER (CON IVA)]]/0.7</f>
        <v>158014.28571428571</v>
      </c>
      <c r="F129" s="27">
        <f>+Tabla127[[#This Row],[PRECIO INSTALLER (CON IVA)]]*5%</f>
        <v>5530.5</v>
      </c>
      <c r="G129" s="26">
        <v>1</v>
      </c>
      <c r="H129" s="25">
        <f>Tabla127[[#This Row],[INSTALLER]]</f>
        <v>110610</v>
      </c>
      <c r="I129" s="37"/>
      <c r="J129" s="37"/>
      <c r="K129" s="22">
        <f>Tabla127[[#This Row],[MASTER]]*0.9</f>
        <v>110610</v>
      </c>
      <c r="L129">
        <v>122900</v>
      </c>
    </row>
    <row r="130" spans="1:12" ht="54" x14ac:dyDescent="0.25">
      <c r="A130" s="30" t="s">
        <v>271</v>
      </c>
      <c r="B130" s="29" t="s">
        <v>270</v>
      </c>
      <c r="C130" s="28">
        <f>+Tabla127[[#This Row],[INSTALLER]]</f>
        <v>512910</v>
      </c>
      <c r="D130" s="28">
        <f>+Tabla127[[#This Row],[PRECIO INSTALLER (CON IVA)]]-Tabla127[[#This Row],[Columna6]]</f>
        <v>487264.5</v>
      </c>
      <c r="E130" s="28">
        <f>+Tabla127[[#This Row],[PRECIO INSTALLER (CON IVA)]]/0.7</f>
        <v>732728.57142857148</v>
      </c>
      <c r="F130" s="27">
        <f>+Tabla127[[#This Row],[PRECIO INSTALLER (CON IVA)]]*5%</f>
        <v>25645.5</v>
      </c>
      <c r="G130" s="26">
        <v>1</v>
      </c>
      <c r="H130" s="25">
        <f>Tabla127[[#This Row],[INSTALLER]]</f>
        <v>512910</v>
      </c>
      <c r="I130" s="37"/>
      <c r="J130" s="37"/>
      <c r="K130" s="22">
        <f>Tabla127[[#This Row],[MASTER]]*0.9</f>
        <v>512910</v>
      </c>
      <c r="L130">
        <v>569900</v>
      </c>
    </row>
    <row r="131" spans="1:12" ht="54" x14ac:dyDescent="0.25">
      <c r="A131" s="30" t="s">
        <v>269</v>
      </c>
      <c r="B131" s="29" t="s">
        <v>268</v>
      </c>
      <c r="C131" s="28">
        <f>+Tabla127[[#This Row],[INSTALLER]]</f>
        <v>1331910</v>
      </c>
      <c r="D131" s="28">
        <f>+Tabla127[[#This Row],[PRECIO INSTALLER (CON IVA)]]-Tabla127[[#This Row],[Columna6]]</f>
        <v>1265314.5</v>
      </c>
      <c r="E131" s="28">
        <f>+Tabla127[[#This Row],[PRECIO INSTALLER (CON IVA)]]/0.7</f>
        <v>1902728.5714285716</v>
      </c>
      <c r="F131" s="27">
        <f>+Tabla127[[#This Row],[PRECIO INSTALLER (CON IVA)]]*5%</f>
        <v>66595.5</v>
      </c>
      <c r="G131" s="26">
        <v>1</v>
      </c>
      <c r="H131" s="25">
        <f>Tabla127[[#This Row],[INSTALLER]]</f>
        <v>1331910</v>
      </c>
      <c r="I131" s="37"/>
      <c r="J131" s="37"/>
      <c r="K131" s="22">
        <f>Tabla127[[#This Row],[MASTER]]*0.9</f>
        <v>1331910</v>
      </c>
      <c r="L131">
        <v>1479900</v>
      </c>
    </row>
    <row r="132" spans="1:12" ht="40.5" x14ac:dyDescent="0.25">
      <c r="A132" s="30" t="s">
        <v>267</v>
      </c>
      <c r="B132" s="29" t="s">
        <v>266</v>
      </c>
      <c r="C132" s="28">
        <f>+Tabla127[[#This Row],[INSTALLER]]</f>
        <v>260910</v>
      </c>
      <c r="D132" s="28">
        <f>+Tabla127[[#This Row],[PRECIO INSTALLER (CON IVA)]]-Tabla127[[#This Row],[Columna6]]</f>
        <v>247864.5</v>
      </c>
      <c r="E132" s="28">
        <f>+Tabla127[[#This Row],[PRECIO INSTALLER (CON IVA)]]/0.7</f>
        <v>372728.57142857148</v>
      </c>
      <c r="F132" s="27">
        <f>+Tabla127[[#This Row],[PRECIO INSTALLER (CON IVA)]]*5%</f>
        <v>13045.5</v>
      </c>
      <c r="G132" s="26">
        <v>1</v>
      </c>
      <c r="H132" s="25">
        <f>Tabla127[[#This Row],[INSTALLER]]</f>
        <v>260910</v>
      </c>
      <c r="I132" s="37"/>
      <c r="J132" s="37"/>
      <c r="K132" s="22">
        <f>Tabla127[[#This Row],[MASTER]]*0.9</f>
        <v>260910</v>
      </c>
      <c r="L132">
        <v>289900</v>
      </c>
    </row>
    <row r="133" spans="1:12" x14ac:dyDescent="0.25">
      <c r="A133" s="30"/>
      <c r="B133" s="33" t="s">
        <v>265</v>
      </c>
      <c r="C133" s="32"/>
      <c r="D133" s="32"/>
      <c r="E133" s="32"/>
      <c r="F133" s="31">
        <f>+Tabla127[[#This Row],[PRECIO INSTALLER (CON IVA)]]*5%</f>
        <v>0</v>
      </c>
      <c r="G133" s="26"/>
      <c r="H133" s="25">
        <f>Tabla127[[#This Row],[INSTALLER]]</f>
        <v>0</v>
      </c>
      <c r="I133" s="37"/>
      <c r="J133" s="37"/>
      <c r="K133" s="22">
        <f>Tabla127[[#This Row],[MASTER]]*0.9</f>
        <v>0</v>
      </c>
    </row>
    <row r="134" spans="1:12" ht="108" x14ac:dyDescent="0.25">
      <c r="A134" s="30" t="s">
        <v>264</v>
      </c>
      <c r="B134" s="29" t="s">
        <v>263</v>
      </c>
      <c r="C134" s="28">
        <f>+Tabla127[[#This Row],[INSTALLER]]</f>
        <v>2699910</v>
      </c>
      <c r="D134" s="28">
        <f>+Tabla127[[#This Row],[PRECIO INSTALLER (CON IVA)]]-Tabla127[[#This Row],[Columna6]]</f>
        <v>2564914.5</v>
      </c>
      <c r="E134" s="28">
        <f>+Tabla127[[#This Row],[PRECIO INSTALLER (CON IVA)]]/0.7</f>
        <v>3857014.2857142859</v>
      </c>
      <c r="F134" s="27">
        <f>+Tabla127[[#This Row],[PRECIO INSTALLER (CON IVA)]]*5%</f>
        <v>134995.5</v>
      </c>
      <c r="G134" s="26">
        <v>1</v>
      </c>
      <c r="H134" s="25">
        <f>Tabla127[[#This Row],[INSTALLER]]</f>
        <v>2699910</v>
      </c>
      <c r="I134" s="37"/>
      <c r="J134" s="37"/>
      <c r="K134" s="22">
        <f>Tabla127[[#This Row],[MASTER]]*0.9</f>
        <v>2699910</v>
      </c>
      <c r="L134">
        <v>2999900</v>
      </c>
    </row>
    <row r="135" spans="1:12" ht="108" x14ac:dyDescent="0.25">
      <c r="A135" s="30" t="s">
        <v>262</v>
      </c>
      <c r="B135" s="29" t="s">
        <v>261</v>
      </c>
      <c r="C135" s="28">
        <f>+Tabla127[[#This Row],[INSTALLER]]</f>
        <v>3149910</v>
      </c>
      <c r="D135" s="28">
        <f>+Tabla127[[#This Row],[PRECIO INSTALLER (CON IVA)]]-Tabla127[[#This Row],[Columna6]]</f>
        <v>2992414.5</v>
      </c>
      <c r="E135" s="28">
        <f>+Tabla127[[#This Row],[PRECIO INSTALLER (CON IVA)]]/0.7</f>
        <v>4499871.4285714291</v>
      </c>
      <c r="F135" s="27">
        <f>+Tabla127[[#This Row],[PRECIO INSTALLER (CON IVA)]]*5%</f>
        <v>157495.5</v>
      </c>
      <c r="G135" s="26">
        <v>1</v>
      </c>
      <c r="H135" s="25">
        <f>Tabla127[[#This Row],[INSTALLER]]</f>
        <v>3149910</v>
      </c>
      <c r="I135" s="37"/>
      <c r="J135" s="37"/>
      <c r="K135" s="22">
        <f>Tabla127[[#This Row],[MASTER]]*0.9</f>
        <v>3149910</v>
      </c>
      <c r="L135">
        <v>3499900</v>
      </c>
    </row>
    <row r="136" spans="1:12" ht="121.5" x14ac:dyDescent="0.25">
      <c r="A136" s="30" t="s">
        <v>260</v>
      </c>
      <c r="B136" s="29" t="s">
        <v>259</v>
      </c>
      <c r="C136" s="28">
        <f>+Tabla127[[#This Row],[INSTALLER]]</f>
        <v>4139910</v>
      </c>
      <c r="D136" s="28">
        <f>+Tabla127[[#This Row],[PRECIO INSTALLER (CON IVA)]]-Tabla127[[#This Row],[Columna6]]</f>
        <v>3932914.5</v>
      </c>
      <c r="E136" s="28">
        <f>+Tabla127[[#This Row],[PRECIO INSTALLER (CON IVA)]]/0.7</f>
        <v>5914157.1428571437</v>
      </c>
      <c r="F136" s="27">
        <f>+Tabla127[[#This Row],[PRECIO INSTALLER (CON IVA)]]*5%</f>
        <v>206995.5</v>
      </c>
      <c r="G136" s="26">
        <v>1</v>
      </c>
      <c r="H136" s="25">
        <f>Tabla127[[#This Row],[INSTALLER]]</f>
        <v>4139910</v>
      </c>
      <c r="I136" s="37"/>
      <c r="J136" s="37"/>
      <c r="K136" s="22">
        <f>Tabla127[[#This Row],[MASTER]]*0.9</f>
        <v>4139910</v>
      </c>
      <c r="L136">
        <v>4599900</v>
      </c>
    </row>
    <row r="137" spans="1:12" ht="135" x14ac:dyDescent="0.25">
      <c r="A137" s="30" t="s">
        <v>258</v>
      </c>
      <c r="B137" s="29" t="s">
        <v>257</v>
      </c>
      <c r="C137" s="28">
        <f>+Tabla127[[#This Row],[INSTALLER]]</f>
        <v>4859910</v>
      </c>
      <c r="D137" s="28">
        <f>+Tabla127[[#This Row],[PRECIO INSTALLER (CON IVA)]]-Tabla127[[#This Row],[Columna6]]</f>
        <v>4616914.5</v>
      </c>
      <c r="E137" s="28">
        <f>+Tabla127[[#This Row],[PRECIO INSTALLER (CON IVA)]]/0.7</f>
        <v>6942728.5714285718</v>
      </c>
      <c r="F137" s="27">
        <f>+Tabla127[[#This Row],[PRECIO INSTALLER (CON IVA)]]*5%</f>
        <v>242995.5</v>
      </c>
      <c r="G137" s="26">
        <v>1</v>
      </c>
      <c r="H137" s="25">
        <f>Tabla127[[#This Row],[INSTALLER]]</f>
        <v>4859910</v>
      </c>
      <c r="I137" s="37"/>
      <c r="J137" s="37"/>
      <c r="K137" s="22">
        <f>Tabla127[[#This Row],[MASTER]]*0.9</f>
        <v>4859910</v>
      </c>
      <c r="L137">
        <v>5399900</v>
      </c>
    </row>
    <row r="138" spans="1:12" ht="135" x14ac:dyDescent="0.25">
      <c r="A138" s="30" t="s">
        <v>256</v>
      </c>
      <c r="B138" s="29" t="s">
        <v>255</v>
      </c>
      <c r="C138" s="28">
        <f>+Tabla127[[#This Row],[INSTALLER]]</f>
        <v>5579910</v>
      </c>
      <c r="D138" s="28">
        <f>+Tabla127[[#This Row],[PRECIO INSTALLER (CON IVA)]]-Tabla127[[#This Row],[Columna6]]</f>
        <v>5300914.5</v>
      </c>
      <c r="E138" s="28">
        <f>+Tabla127[[#This Row],[PRECIO INSTALLER (CON IVA)]]/0.7</f>
        <v>7971300.0000000009</v>
      </c>
      <c r="F138" s="27">
        <f>+Tabla127[[#This Row],[PRECIO INSTALLER (CON IVA)]]*5%</f>
        <v>278995.5</v>
      </c>
      <c r="G138" s="26">
        <v>1</v>
      </c>
      <c r="H138" s="25">
        <f>Tabla127[[#This Row],[INSTALLER]]</f>
        <v>5579910</v>
      </c>
      <c r="I138" s="37"/>
      <c r="J138" s="37"/>
      <c r="K138" s="22">
        <f>Tabla127[[#This Row],[MASTER]]*0.9</f>
        <v>5579910</v>
      </c>
      <c r="L138">
        <v>6199900</v>
      </c>
    </row>
    <row r="139" spans="1:12" ht="27" x14ac:dyDescent="0.25">
      <c r="A139" s="30"/>
      <c r="B139" s="33" t="s">
        <v>254</v>
      </c>
      <c r="C139" s="32"/>
      <c r="D139" s="32"/>
      <c r="E139" s="32"/>
      <c r="F139" s="31">
        <f>+Tabla127[[#This Row],[PRECIO INSTALLER (CON IVA)]]*5%</f>
        <v>0</v>
      </c>
      <c r="G139" s="26"/>
      <c r="H139" s="25">
        <f>Tabla127[[#This Row],[INSTALLER]]</f>
        <v>0</v>
      </c>
      <c r="I139" s="37"/>
      <c r="J139" s="37"/>
      <c r="K139" s="22">
        <f>Tabla127[[#This Row],[MASTER]]*0.9</f>
        <v>0</v>
      </c>
    </row>
    <row r="140" spans="1:12" ht="27" x14ac:dyDescent="0.25">
      <c r="A140" s="30" t="s">
        <v>253</v>
      </c>
      <c r="B140" s="29" t="s">
        <v>252</v>
      </c>
      <c r="C140" s="28">
        <f>+Tabla127[[#This Row],[INSTALLER]]</f>
        <v>503910</v>
      </c>
      <c r="D140" s="28">
        <f>+Tabla127[[#This Row],[PRECIO INSTALLER (CON IVA)]]-Tabla127[[#This Row],[Columna6]]</f>
        <v>478714.5</v>
      </c>
      <c r="E140" s="28">
        <f>+Tabla127[[#This Row],[PRECIO INSTALLER (CON IVA)]]/0.7</f>
        <v>719871.42857142864</v>
      </c>
      <c r="F140" s="27">
        <f>+Tabla127[[#This Row],[PRECIO INSTALLER (CON IVA)]]*5%</f>
        <v>25195.5</v>
      </c>
      <c r="G140" s="26">
        <v>1</v>
      </c>
      <c r="H140" s="25">
        <f>Tabla127[[#This Row],[INSTALLER]]</f>
        <v>503910</v>
      </c>
      <c r="I140" s="37"/>
      <c r="J140" s="37"/>
      <c r="K140" s="22">
        <f>Tabla127[[#This Row],[MASTER]]*0.9</f>
        <v>503910</v>
      </c>
      <c r="L140">
        <v>559900</v>
      </c>
    </row>
    <row r="141" spans="1:12" ht="27" x14ac:dyDescent="0.25">
      <c r="A141" s="30" t="s">
        <v>251</v>
      </c>
      <c r="B141" s="29" t="s">
        <v>250</v>
      </c>
      <c r="C141" s="28">
        <f>+Tabla127[[#This Row],[INSTALLER]]</f>
        <v>1007910</v>
      </c>
      <c r="D141" s="28">
        <f>+Tabla127[[#This Row],[PRECIO INSTALLER (CON IVA)]]-Tabla127[[#This Row],[Columna6]]</f>
        <v>957514.5</v>
      </c>
      <c r="E141" s="28">
        <f>+Tabla127[[#This Row],[PRECIO INSTALLER (CON IVA)]]/0.7</f>
        <v>1439871.4285714286</v>
      </c>
      <c r="F141" s="27">
        <f>+Tabla127[[#This Row],[PRECIO INSTALLER (CON IVA)]]*5%</f>
        <v>50395.5</v>
      </c>
      <c r="G141" s="26">
        <v>1</v>
      </c>
      <c r="H141" s="25">
        <f>Tabla127[[#This Row],[INSTALLER]]</f>
        <v>1007910</v>
      </c>
      <c r="I141" s="37"/>
      <c r="J141" s="37"/>
      <c r="K141" s="22">
        <f>Tabla127[[#This Row],[MASTER]]*0.9</f>
        <v>1007910</v>
      </c>
      <c r="L141">
        <v>1119900</v>
      </c>
    </row>
    <row r="142" spans="1:12" ht="40.5" x14ac:dyDescent="0.25">
      <c r="A142" s="30" t="s">
        <v>249</v>
      </c>
      <c r="B142" s="29" t="s">
        <v>248</v>
      </c>
      <c r="C142" s="28">
        <f>+Tabla127[[#This Row],[INSTALLER]]</f>
        <v>1439910</v>
      </c>
      <c r="D142" s="28">
        <f>+Tabla127[[#This Row],[PRECIO INSTALLER (CON IVA)]]-Tabla127[[#This Row],[Columna6]]</f>
        <v>1367914.5</v>
      </c>
      <c r="E142" s="28">
        <f>+Tabla127[[#This Row],[PRECIO INSTALLER (CON IVA)]]/0.7</f>
        <v>2057014.2857142859</v>
      </c>
      <c r="F142" s="27">
        <f>+Tabla127[[#This Row],[PRECIO INSTALLER (CON IVA)]]*5%</f>
        <v>71995.5</v>
      </c>
      <c r="G142" s="26">
        <v>1</v>
      </c>
      <c r="H142" s="25">
        <f>Tabla127[[#This Row],[INSTALLER]]</f>
        <v>1439910</v>
      </c>
      <c r="I142" s="37"/>
      <c r="J142" s="37"/>
      <c r="K142" s="22">
        <f>Tabla127[[#This Row],[MASTER]]*0.9</f>
        <v>1439910</v>
      </c>
      <c r="L142">
        <v>1599900</v>
      </c>
    </row>
    <row r="143" spans="1:12" x14ac:dyDescent="0.25">
      <c r="A143" s="30"/>
      <c r="B143" s="33" t="s">
        <v>247</v>
      </c>
      <c r="C143" s="32"/>
      <c r="D143" s="32"/>
      <c r="E143" s="32"/>
      <c r="F143" s="31">
        <f>+Tabla127[[#This Row],[PRECIO INSTALLER (CON IVA)]]*5%</f>
        <v>0</v>
      </c>
      <c r="G143" s="26"/>
      <c r="H143" s="25">
        <f>Tabla127[[#This Row],[INSTALLER]]</f>
        <v>0</v>
      </c>
      <c r="I143" s="37"/>
      <c r="J143" s="37"/>
      <c r="K143" s="22">
        <f>Tabla127[[#This Row],[MASTER]]*0.9</f>
        <v>0</v>
      </c>
    </row>
    <row r="144" spans="1:12" x14ac:dyDescent="0.25">
      <c r="A144" s="30"/>
      <c r="B144" s="36" t="s">
        <v>246</v>
      </c>
      <c r="C144" s="35"/>
      <c r="D144" s="35"/>
      <c r="E144" s="35"/>
      <c r="F144" s="34">
        <f>+Tabla127[[#This Row],[PRECIO INSTALLER (CON IVA)]]*5%</f>
        <v>0</v>
      </c>
      <c r="G144" s="26"/>
      <c r="H144" s="25">
        <f>Tabla127[[#This Row],[INSTALLER]]</f>
        <v>0</v>
      </c>
      <c r="I144" s="37"/>
      <c r="J144" s="37"/>
      <c r="K144" s="22">
        <f>Tabla127[[#This Row],[MASTER]]*0.9</f>
        <v>0</v>
      </c>
    </row>
    <row r="145" spans="1:12" ht="27" x14ac:dyDescent="0.25">
      <c r="A145" s="30" t="s">
        <v>245</v>
      </c>
      <c r="B145" s="29" t="s">
        <v>244</v>
      </c>
      <c r="C145" s="28">
        <f>+Tabla127[[#This Row],[INSTALLER]]</f>
        <v>3050910</v>
      </c>
      <c r="D145" s="28">
        <f>+Tabla127[[#This Row],[PRECIO INSTALLER (CON IVA)]]-Tabla127[[#This Row],[Columna6]]</f>
        <v>2898364.5</v>
      </c>
      <c r="E145" s="28">
        <f>+Tabla127[[#This Row],[PRECIO INSTALLER (CON IVA)]]/0.7</f>
        <v>4358442.8571428573</v>
      </c>
      <c r="F145" s="27">
        <f>+Tabla127[[#This Row],[PRECIO INSTALLER (CON IVA)]]*5%</f>
        <v>152545.5</v>
      </c>
      <c r="G145" s="26">
        <v>1</v>
      </c>
      <c r="H145" s="25">
        <f>Tabla127[[#This Row],[INSTALLER]]</f>
        <v>3050910</v>
      </c>
      <c r="I145" s="37"/>
      <c r="J145" s="37"/>
      <c r="K145" s="22">
        <f>Tabla127[[#This Row],[MASTER]]*0.9</f>
        <v>3050910</v>
      </c>
      <c r="L145">
        <v>3389900</v>
      </c>
    </row>
    <row r="146" spans="1:12" ht="27" x14ac:dyDescent="0.25">
      <c r="A146" s="30" t="s">
        <v>243</v>
      </c>
      <c r="B146" s="29" t="s">
        <v>242</v>
      </c>
      <c r="C146" s="28">
        <f>+Tabla127[[#This Row],[INSTALLER]]</f>
        <v>3383910</v>
      </c>
      <c r="D146" s="28">
        <f>+Tabla127[[#This Row],[PRECIO INSTALLER (CON IVA)]]-Tabla127[[#This Row],[Columna6]]</f>
        <v>3214714.5</v>
      </c>
      <c r="E146" s="28">
        <f>+Tabla127[[#This Row],[PRECIO INSTALLER (CON IVA)]]/0.7</f>
        <v>4834157.1428571427</v>
      </c>
      <c r="F146" s="27">
        <f>+Tabla127[[#This Row],[PRECIO INSTALLER (CON IVA)]]*5%</f>
        <v>169195.5</v>
      </c>
      <c r="G146" s="26">
        <v>1</v>
      </c>
      <c r="H146" s="25">
        <f>Tabla127[[#This Row],[INSTALLER]]</f>
        <v>3383910</v>
      </c>
      <c r="I146" s="37"/>
      <c r="J146" s="37"/>
      <c r="K146" s="22">
        <f>Tabla127[[#This Row],[MASTER]]*0.9</f>
        <v>3383910</v>
      </c>
      <c r="L146">
        <v>3759900</v>
      </c>
    </row>
    <row r="147" spans="1:12" ht="27" x14ac:dyDescent="0.25">
      <c r="A147" s="30" t="s">
        <v>241</v>
      </c>
      <c r="B147" s="29" t="s">
        <v>240</v>
      </c>
      <c r="C147" s="28">
        <f>+Tabla127[[#This Row],[INSTALLER]]</f>
        <v>3329910</v>
      </c>
      <c r="D147" s="28">
        <f>+Tabla127[[#This Row],[PRECIO INSTALLER (CON IVA)]]-Tabla127[[#This Row],[Columna6]]</f>
        <v>3163414.5</v>
      </c>
      <c r="E147" s="28">
        <f>+Tabla127[[#This Row],[PRECIO INSTALLER (CON IVA)]]/0.7</f>
        <v>4757014.2857142864</v>
      </c>
      <c r="F147" s="27">
        <f>+Tabla127[[#This Row],[PRECIO INSTALLER (CON IVA)]]*5%</f>
        <v>166495.5</v>
      </c>
      <c r="G147" s="26">
        <v>1</v>
      </c>
      <c r="H147" s="25">
        <f>Tabla127[[#This Row],[INSTALLER]]</f>
        <v>3329910</v>
      </c>
      <c r="I147" s="37"/>
      <c r="J147" s="37"/>
      <c r="K147" s="22">
        <f>Tabla127[[#This Row],[MASTER]]*0.9</f>
        <v>3329910</v>
      </c>
      <c r="L147">
        <v>3699900</v>
      </c>
    </row>
    <row r="148" spans="1:12" ht="27" x14ac:dyDescent="0.25">
      <c r="A148" s="30" t="s">
        <v>239</v>
      </c>
      <c r="B148" s="29" t="s">
        <v>238</v>
      </c>
      <c r="C148" s="28">
        <f>+Tabla127[[#This Row],[INSTALLER]]</f>
        <v>3644910</v>
      </c>
      <c r="D148" s="28">
        <f>+Tabla127[[#This Row],[PRECIO INSTALLER (CON IVA)]]-Tabla127[[#This Row],[Columna6]]</f>
        <v>3462664.5</v>
      </c>
      <c r="E148" s="28">
        <f>+Tabla127[[#This Row],[PRECIO INSTALLER (CON IVA)]]/0.7</f>
        <v>5207014.2857142864</v>
      </c>
      <c r="F148" s="27">
        <f>+Tabla127[[#This Row],[PRECIO INSTALLER (CON IVA)]]*5%</f>
        <v>182245.5</v>
      </c>
      <c r="G148" s="26">
        <v>1</v>
      </c>
      <c r="H148" s="25">
        <f>Tabla127[[#This Row],[INSTALLER]]</f>
        <v>3644910</v>
      </c>
      <c r="I148" s="37"/>
      <c r="J148" s="37"/>
      <c r="K148" s="22">
        <f>Tabla127[[#This Row],[MASTER]]*0.9</f>
        <v>3644910</v>
      </c>
      <c r="L148">
        <v>4049900</v>
      </c>
    </row>
    <row r="149" spans="1:12" ht="27" x14ac:dyDescent="0.25">
      <c r="A149" s="30" t="s">
        <v>237</v>
      </c>
      <c r="B149" s="29" t="s">
        <v>236</v>
      </c>
      <c r="C149" s="28">
        <f>+Tabla127[[#This Row],[INSTALLER]]</f>
        <v>3896910</v>
      </c>
      <c r="D149" s="28">
        <f>+Tabla127[[#This Row],[PRECIO INSTALLER (CON IVA)]]-Tabla127[[#This Row],[Columna6]]</f>
        <v>3702064.5</v>
      </c>
      <c r="E149" s="28">
        <f>+Tabla127[[#This Row],[PRECIO INSTALLER (CON IVA)]]/0.7</f>
        <v>5567014.2857142864</v>
      </c>
      <c r="F149" s="27">
        <f>+Tabla127[[#This Row],[PRECIO INSTALLER (CON IVA)]]*5%</f>
        <v>194845.5</v>
      </c>
      <c r="G149" s="26">
        <v>1</v>
      </c>
      <c r="H149" s="25">
        <f>Tabla127[[#This Row],[INSTALLER]]</f>
        <v>3896910</v>
      </c>
      <c r="I149" s="37"/>
      <c r="J149" s="37"/>
      <c r="K149" s="22">
        <f>Tabla127[[#This Row],[MASTER]]*0.9</f>
        <v>3896910</v>
      </c>
      <c r="L149">
        <v>4329900</v>
      </c>
    </row>
    <row r="150" spans="1:12" ht="27" x14ac:dyDescent="0.25">
      <c r="A150" s="30" t="s">
        <v>235</v>
      </c>
      <c r="B150" s="29" t="s">
        <v>234</v>
      </c>
      <c r="C150" s="28">
        <f>+Tabla127[[#This Row],[INSTALLER]]</f>
        <v>3626910</v>
      </c>
      <c r="D150" s="28">
        <f>+Tabla127[[#This Row],[PRECIO INSTALLER (CON IVA)]]-Tabla127[[#This Row],[Columna6]]</f>
        <v>3445564.5</v>
      </c>
      <c r="E150" s="28">
        <f>+Tabla127[[#This Row],[PRECIO INSTALLER (CON IVA)]]/0.7</f>
        <v>5181300</v>
      </c>
      <c r="F150" s="27">
        <f>+Tabla127[[#This Row],[PRECIO INSTALLER (CON IVA)]]*5%</f>
        <v>181345.5</v>
      </c>
      <c r="G150" s="26">
        <v>1</v>
      </c>
      <c r="H150" s="25">
        <f>Tabla127[[#This Row],[INSTALLER]]</f>
        <v>3626910</v>
      </c>
      <c r="I150" s="37"/>
      <c r="J150" s="37"/>
      <c r="K150" s="22">
        <f>Tabla127[[#This Row],[MASTER]]*0.9</f>
        <v>3626910</v>
      </c>
      <c r="L150">
        <v>4029900</v>
      </c>
    </row>
    <row r="151" spans="1:12" ht="27" x14ac:dyDescent="0.25">
      <c r="A151" s="30" t="s">
        <v>233</v>
      </c>
      <c r="B151" s="29" t="s">
        <v>232</v>
      </c>
      <c r="C151" s="28">
        <f>+Tabla127[[#This Row],[INSTALLER]]</f>
        <v>3977910</v>
      </c>
      <c r="D151" s="28">
        <f>+Tabla127[[#This Row],[PRECIO INSTALLER (CON IVA)]]-Tabla127[[#This Row],[Columna6]]</f>
        <v>3779014.5</v>
      </c>
      <c r="E151" s="28">
        <f>+Tabla127[[#This Row],[PRECIO INSTALLER (CON IVA)]]/0.7</f>
        <v>5682728.5714285718</v>
      </c>
      <c r="F151" s="27">
        <f>+Tabla127[[#This Row],[PRECIO INSTALLER (CON IVA)]]*5%</f>
        <v>198895.5</v>
      </c>
      <c r="G151" s="26">
        <v>1</v>
      </c>
      <c r="H151" s="25">
        <f>Tabla127[[#This Row],[INSTALLER]]</f>
        <v>3977910</v>
      </c>
      <c r="I151" s="37"/>
      <c r="J151" s="37"/>
      <c r="K151" s="22">
        <f>Tabla127[[#This Row],[MASTER]]*0.9</f>
        <v>3977910</v>
      </c>
      <c r="L151">
        <v>4419900</v>
      </c>
    </row>
    <row r="152" spans="1:12" ht="27" x14ac:dyDescent="0.25">
      <c r="A152" s="30" t="s">
        <v>231</v>
      </c>
      <c r="B152" s="29" t="s">
        <v>230</v>
      </c>
      <c r="C152" s="28">
        <f>+Tabla127[[#This Row],[INSTALLER]]</f>
        <v>4139910</v>
      </c>
      <c r="D152" s="28">
        <f>+Tabla127[[#This Row],[PRECIO INSTALLER (CON IVA)]]-Tabla127[[#This Row],[Columna6]]</f>
        <v>3932914.5</v>
      </c>
      <c r="E152" s="28">
        <f>+Tabla127[[#This Row],[PRECIO INSTALLER (CON IVA)]]/0.7</f>
        <v>5914157.1428571437</v>
      </c>
      <c r="F152" s="27">
        <f>+Tabla127[[#This Row],[PRECIO INSTALLER (CON IVA)]]*5%</f>
        <v>206995.5</v>
      </c>
      <c r="G152" s="26">
        <v>1</v>
      </c>
      <c r="H152" s="25">
        <f>Tabla127[[#This Row],[INSTALLER]]</f>
        <v>4139910</v>
      </c>
      <c r="I152" s="37"/>
      <c r="J152" s="37"/>
      <c r="K152" s="22">
        <f>Tabla127[[#This Row],[MASTER]]*0.9</f>
        <v>4139910</v>
      </c>
      <c r="L152">
        <v>4599900</v>
      </c>
    </row>
    <row r="153" spans="1:12" x14ac:dyDescent="0.25">
      <c r="A153" s="30"/>
      <c r="B153" s="36" t="s">
        <v>229</v>
      </c>
      <c r="C153" s="35"/>
      <c r="D153" s="35"/>
      <c r="E153" s="35"/>
      <c r="F153" s="34">
        <f>+Tabla127[[#This Row],[PRECIO INSTALLER (CON IVA)]]*5%</f>
        <v>0</v>
      </c>
      <c r="G153" s="26"/>
      <c r="H153" s="25">
        <f>Tabla127[[#This Row],[INSTALLER]]</f>
        <v>0</v>
      </c>
      <c r="I153" s="37"/>
      <c r="J153" s="37"/>
      <c r="K153" s="22">
        <f>Tabla127[[#This Row],[MASTER]]*0.9</f>
        <v>0</v>
      </c>
    </row>
    <row r="154" spans="1:12" x14ac:dyDescent="0.25">
      <c r="A154" s="30" t="s">
        <v>228</v>
      </c>
      <c r="B154" s="29" t="s">
        <v>227</v>
      </c>
      <c r="C154" s="28">
        <f>+Tabla127[[#This Row],[INSTALLER]]</f>
        <v>3050910</v>
      </c>
      <c r="D154" s="28">
        <f>+Tabla127[[#This Row],[PRECIO INSTALLER (CON IVA)]]-Tabla127[[#This Row],[Columna6]]</f>
        <v>2898364.5</v>
      </c>
      <c r="E154" s="28">
        <f>+Tabla127[[#This Row],[PRECIO INSTALLER (CON IVA)]]/0.7</f>
        <v>4358442.8571428573</v>
      </c>
      <c r="F154" s="27">
        <f>+Tabla127[[#This Row],[PRECIO INSTALLER (CON IVA)]]*5%</f>
        <v>152545.5</v>
      </c>
      <c r="G154" s="26">
        <v>1</v>
      </c>
      <c r="H154" s="25">
        <f>Tabla127[[#This Row],[INSTALLER]]</f>
        <v>3050910</v>
      </c>
      <c r="I154" s="37"/>
      <c r="J154" s="37"/>
      <c r="K154" s="22">
        <f>Tabla127[[#This Row],[MASTER]]*0.9</f>
        <v>3050910</v>
      </c>
      <c r="L154">
        <v>3389900</v>
      </c>
    </row>
    <row r="155" spans="1:12" x14ac:dyDescent="0.25">
      <c r="A155" s="30" t="s">
        <v>226</v>
      </c>
      <c r="B155" s="29" t="s">
        <v>225</v>
      </c>
      <c r="C155" s="28">
        <f>+Tabla127[[#This Row],[INSTALLER]]</f>
        <v>3383910</v>
      </c>
      <c r="D155" s="28">
        <f>+Tabla127[[#This Row],[PRECIO INSTALLER (CON IVA)]]-Tabla127[[#This Row],[Columna6]]</f>
        <v>3214714.5</v>
      </c>
      <c r="E155" s="28">
        <f>+Tabla127[[#This Row],[PRECIO INSTALLER (CON IVA)]]/0.7</f>
        <v>4834157.1428571427</v>
      </c>
      <c r="F155" s="27">
        <f>+Tabla127[[#This Row],[PRECIO INSTALLER (CON IVA)]]*5%</f>
        <v>169195.5</v>
      </c>
      <c r="G155" s="26">
        <v>1</v>
      </c>
      <c r="H155" s="25">
        <f>Tabla127[[#This Row],[INSTALLER]]</f>
        <v>3383910</v>
      </c>
      <c r="I155" s="37"/>
      <c r="J155" s="37"/>
      <c r="K155" s="22">
        <f>Tabla127[[#This Row],[MASTER]]*0.9</f>
        <v>3383910</v>
      </c>
      <c r="L155">
        <v>3759900</v>
      </c>
    </row>
    <row r="156" spans="1:12" x14ac:dyDescent="0.25">
      <c r="A156" s="30" t="s">
        <v>224</v>
      </c>
      <c r="B156" s="29" t="s">
        <v>223</v>
      </c>
      <c r="C156" s="28">
        <f>+Tabla127[[#This Row],[INSTALLER]]</f>
        <v>3329910</v>
      </c>
      <c r="D156" s="28">
        <f>+Tabla127[[#This Row],[PRECIO INSTALLER (CON IVA)]]-Tabla127[[#This Row],[Columna6]]</f>
        <v>3163414.5</v>
      </c>
      <c r="E156" s="28">
        <f>+Tabla127[[#This Row],[PRECIO INSTALLER (CON IVA)]]/0.7</f>
        <v>4757014.2857142864</v>
      </c>
      <c r="F156" s="27">
        <f>+Tabla127[[#This Row],[PRECIO INSTALLER (CON IVA)]]*5%</f>
        <v>166495.5</v>
      </c>
      <c r="G156" s="26">
        <v>1</v>
      </c>
      <c r="H156" s="25">
        <f>Tabla127[[#This Row],[INSTALLER]]</f>
        <v>3329910</v>
      </c>
      <c r="I156" s="37"/>
      <c r="J156" s="37"/>
      <c r="K156" s="22">
        <f>Tabla127[[#This Row],[MASTER]]*0.9</f>
        <v>3329910</v>
      </c>
      <c r="L156">
        <v>3699900</v>
      </c>
    </row>
    <row r="157" spans="1:12" x14ac:dyDescent="0.25">
      <c r="A157" s="30" t="s">
        <v>222</v>
      </c>
      <c r="B157" s="29" t="s">
        <v>221</v>
      </c>
      <c r="C157" s="28">
        <f>+Tabla127[[#This Row],[INSTALLER]]</f>
        <v>3644910</v>
      </c>
      <c r="D157" s="28">
        <f>+Tabla127[[#This Row],[PRECIO INSTALLER (CON IVA)]]-Tabla127[[#This Row],[Columna6]]</f>
        <v>3462664.5</v>
      </c>
      <c r="E157" s="28">
        <f>+Tabla127[[#This Row],[PRECIO INSTALLER (CON IVA)]]/0.7</f>
        <v>5207014.2857142864</v>
      </c>
      <c r="F157" s="27">
        <f>+Tabla127[[#This Row],[PRECIO INSTALLER (CON IVA)]]*5%</f>
        <v>182245.5</v>
      </c>
      <c r="G157" s="26">
        <v>1</v>
      </c>
      <c r="H157" s="25">
        <f>Tabla127[[#This Row],[INSTALLER]]</f>
        <v>3644910</v>
      </c>
      <c r="I157" s="37"/>
      <c r="J157" s="37"/>
      <c r="K157" s="22">
        <f>Tabla127[[#This Row],[MASTER]]*0.9</f>
        <v>3644910</v>
      </c>
      <c r="L157">
        <v>4049900</v>
      </c>
    </row>
    <row r="158" spans="1:12" x14ac:dyDescent="0.25">
      <c r="A158" s="30" t="s">
        <v>220</v>
      </c>
      <c r="B158" s="29" t="s">
        <v>219</v>
      </c>
      <c r="C158" s="28">
        <f>+Tabla127[[#This Row],[INSTALLER]]</f>
        <v>3896910</v>
      </c>
      <c r="D158" s="28">
        <f>+Tabla127[[#This Row],[PRECIO INSTALLER (CON IVA)]]-Tabla127[[#This Row],[Columna6]]</f>
        <v>3702064.5</v>
      </c>
      <c r="E158" s="28">
        <f>+Tabla127[[#This Row],[PRECIO INSTALLER (CON IVA)]]/0.7</f>
        <v>5567014.2857142864</v>
      </c>
      <c r="F158" s="27">
        <f>+Tabla127[[#This Row],[PRECIO INSTALLER (CON IVA)]]*5%</f>
        <v>194845.5</v>
      </c>
      <c r="G158" s="26">
        <v>1</v>
      </c>
      <c r="H158" s="25">
        <f>Tabla127[[#This Row],[INSTALLER]]</f>
        <v>3896910</v>
      </c>
      <c r="I158" s="37"/>
      <c r="J158" s="37"/>
      <c r="K158" s="22">
        <f>Tabla127[[#This Row],[MASTER]]*0.9</f>
        <v>3896910</v>
      </c>
      <c r="L158">
        <v>4329900</v>
      </c>
    </row>
    <row r="159" spans="1:12" x14ac:dyDescent="0.25">
      <c r="A159" s="30" t="s">
        <v>218</v>
      </c>
      <c r="B159" s="29" t="s">
        <v>217</v>
      </c>
      <c r="C159" s="28">
        <f>+Tabla127[[#This Row],[INSTALLER]]</f>
        <v>3626910</v>
      </c>
      <c r="D159" s="28">
        <f>+Tabla127[[#This Row],[PRECIO INSTALLER (CON IVA)]]-Tabla127[[#This Row],[Columna6]]</f>
        <v>3445564.5</v>
      </c>
      <c r="E159" s="28">
        <f>+Tabla127[[#This Row],[PRECIO INSTALLER (CON IVA)]]/0.7</f>
        <v>5181300</v>
      </c>
      <c r="F159" s="27">
        <f>+Tabla127[[#This Row],[PRECIO INSTALLER (CON IVA)]]*5%</f>
        <v>181345.5</v>
      </c>
      <c r="G159" s="26">
        <v>1</v>
      </c>
      <c r="H159" s="25">
        <f>Tabla127[[#This Row],[INSTALLER]]</f>
        <v>3626910</v>
      </c>
      <c r="I159" s="37"/>
      <c r="J159" s="37"/>
      <c r="K159" s="22">
        <f>Tabla127[[#This Row],[MASTER]]*0.9</f>
        <v>3626910</v>
      </c>
      <c r="L159">
        <v>4029900</v>
      </c>
    </row>
    <row r="160" spans="1:12" x14ac:dyDescent="0.25">
      <c r="A160" s="30" t="s">
        <v>216</v>
      </c>
      <c r="B160" s="29" t="s">
        <v>215</v>
      </c>
      <c r="C160" s="28">
        <f>+Tabla127[[#This Row],[INSTALLER]]</f>
        <v>3977910</v>
      </c>
      <c r="D160" s="28">
        <f>+Tabla127[[#This Row],[PRECIO INSTALLER (CON IVA)]]-Tabla127[[#This Row],[Columna6]]</f>
        <v>3779014.5</v>
      </c>
      <c r="E160" s="28">
        <f>+Tabla127[[#This Row],[PRECIO INSTALLER (CON IVA)]]/0.7</f>
        <v>5682728.5714285718</v>
      </c>
      <c r="F160" s="27">
        <f>+Tabla127[[#This Row],[PRECIO INSTALLER (CON IVA)]]*5%</f>
        <v>198895.5</v>
      </c>
      <c r="G160" s="26">
        <v>1</v>
      </c>
      <c r="H160" s="25">
        <f>Tabla127[[#This Row],[INSTALLER]]</f>
        <v>3977910</v>
      </c>
      <c r="I160" s="37"/>
      <c r="J160" s="37"/>
      <c r="K160" s="22">
        <f>Tabla127[[#This Row],[MASTER]]*0.9</f>
        <v>3977910</v>
      </c>
      <c r="L160">
        <v>4419900</v>
      </c>
    </row>
    <row r="161" spans="1:12" x14ac:dyDescent="0.25">
      <c r="A161" s="30" t="s">
        <v>214</v>
      </c>
      <c r="B161" s="29" t="s">
        <v>213</v>
      </c>
      <c r="C161" s="28">
        <f>+Tabla127[[#This Row],[INSTALLER]]</f>
        <v>4139910</v>
      </c>
      <c r="D161" s="28">
        <f>+Tabla127[[#This Row],[PRECIO INSTALLER (CON IVA)]]-Tabla127[[#This Row],[Columna6]]</f>
        <v>3932914.5</v>
      </c>
      <c r="E161" s="28">
        <f>+Tabla127[[#This Row],[PRECIO INSTALLER (CON IVA)]]/0.7</f>
        <v>5914157.1428571437</v>
      </c>
      <c r="F161" s="27">
        <f>+Tabla127[[#This Row],[PRECIO INSTALLER (CON IVA)]]*5%</f>
        <v>206995.5</v>
      </c>
      <c r="G161" s="26">
        <v>1</v>
      </c>
      <c r="H161" s="25">
        <f>Tabla127[[#This Row],[INSTALLER]]</f>
        <v>4139910</v>
      </c>
      <c r="I161" s="37"/>
      <c r="J161" s="37"/>
      <c r="K161" s="22">
        <f>Tabla127[[#This Row],[MASTER]]*0.9</f>
        <v>4139910</v>
      </c>
      <c r="L161">
        <v>4599900</v>
      </c>
    </row>
    <row r="162" spans="1:12" x14ac:dyDescent="0.25">
      <c r="A162" s="30" t="s">
        <v>212</v>
      </c>
      <c r="B162" s="29" t="s">
        <v>211</v>
      </c>
      <c r="C162" s="28">
        <f>+Tabla127[[#This Row],[INSTALLER]]</f>
        <v>4238910</v>
      </c>
      <c r="D162" s="28">
        <f>+Tabla127[[#This Row],[PRECIO INSTALLER (CON IVA)]]-Tabla127[[#This Row],[Columna6]]</f>
        <v>4026964.5</v>
      </c>
      <c r="E162" s="28">
        <f>+Tabla127[[#This Row],[PRECIO INSTALLER (CON IVA)]]/0.7</f>
        <v>6055585.7142857146</v>
      </c>
      <c r="F162" s="27">
        <f>+Tabla127[[#This Row],[PRECIO INSTALLER (CON IVA)]]*5%</f>
        <v>211945.5</v>
      </c>
      <c r="G162" s="26">
        <v>1</v>
      </c>
      <c r="H162" s="25">
        <f>Tabla127[[#This Row],[INSTALLER]]</f>
        <v>4238910</v>
      </c>
      <c r="I162" s="37"/>
      <c r="J162" s="37"/>
      <c r="K162" s="22">
        <f>Tabla127[[#This Row],[MASTER]]*0.9</f>
        <v>4238910</v>
      </c>
      <c r="L162">
        <v>4709900</v>
      </c>
    </row>
    <row r="163" spans="1:12" x14ac:dyDescent="0.25">
      <c r="A163" s="30" t="s">
        <v>210</v>
      </c>
      <c r="B163" s="29" t="s">
        <v>209</v>
      </c>
      <c r="C163" s="28">
        <f>+Tabla127[[#This Row],[INSTALLER]]</f>
        <v>4526100</v>
      </c>
      <c r="D163" s="28">
        <f>+Tabla127[[#This Row],[PRECIO INSTALLER (CON IVA)]]-Tabla127[[#This Row],[Columna6]]</f>
        <v>4299795</v>
      </c>
      <c r="E163" s="28">
        <f>+Tabla127[[#This Row],[PRECIO INSTALLER (CON IVA)]]/0.7</f>
        <v>6465857.1428571437</v>
      </c>
      <c r="F163" s="27">
        <f>+Tabla127[[#This Row],[PRECIO INSTALLER (CON IVA)]]*5%</f>
        <v>226305</v>
      </c>
      <c r="G163" s="26">
        <v>1</v>
      </c>
      <c r="H163" s="25">
        <f>Tabla127[[#This Row],[INSTALLER]]</f>
        <v>4526100</v>
      </c>
      <c r="I163" s="37"/>
      <c r="J163" s="37"/>
      <c r="K163" s="22">
        <f>Tabla127[[#This Row],[MASTER]]*0.9</f>
        <v>4526100</v>
      </c>
      <c r="L163">
        <v>5029000</v>
      </c>
    </row>
    <row r="164" spans="1:12" x14ac:dyDescent="0.25">
      <c r="A164" s="30" t="s">
        <v>208</v>
      </c>
      <c r="B164" s="29" t="s">
        <v>207</v>
      </c>
      <c r="C164" s="28">
        <f>+Tabla127[[#This Row],[INSTALLER]]</f>
        <v>4661910</v>
      </c>
      <c r="D164" s="28">
        <f>+Tabla127[[#This Row],[PRECIO INSTALLER (CON IVA)]]-Tabla127[[#This Row],[Columna6]]</f>
        <v>4428814.5</v>
      </c>
      <c r="E164" s="28">
        <f>+Tabla127[[#This Row],[PRECIO INSTALLER (CON IVA)]]/0.7</f>
        <v>6659871.4285714291</v>
      </c>
      <c r="F164" s="27">
        <f>+Tabla127[[#This Row],[PRECIO INSTALLER (CON IVA)]]*5%</f>
        <v>233095.5</v>
      </c>
      <c r="G164" s="26">
        <v>1</v>
      </c>
      <c r="H164" s="25">
        <f>Tabla127[[#This Row],[INSTALLER]]</f>
        <v>4661910</v>
      </c>
      <c r="I164" s="37"/>
      <c r="J164" s="37"/>
      <c r="K164" s="22">
        <f>Tabla127[[#This Row],[MASTER]]*0.9</f>
        <v>4661910</v>
      </c>
      <c r="L164">
        <v>5179900</v>
      </c>
    </row>
    <row r="165" spans="1:12" x14ac:dyDescent="0.25">
      <c r="A165" s="30" t="s">
        <v>206</v>
      </c>
      <c r="B165" s="29" t="s">
        <v>205</v>
      </c>
      <c r="C165" s="28">
        <f>+Tabla127[[#This Row],[INSTALLER]]</f>
        <v>5606910</v>
      </c>
      <c r="D165" s="28">
        <f>+Tabla127[[#This Row],[PRECIO INSTALLER (CON IVA)]]-Tabla127[[#This Row],[Columna6]]</f>
        <v>5326564.5</v>
      </c>
      <c r="E165" s="28">
        <f>+Tabla127[[#This Row],[PRECIO INSTALLER (CON IVA)]]/0.7</f>
        <v>8009871.4285714291</v>
      </c>
      <c r="F165" s="27">
        <f>+Tabla127[[#This Row],[PRECIO INSTALLER (CON IVA)]]*5%</f>
        <v>280345.5</v>
      </c>
      <c r="G165" s="26">
        <v>1</v>
      </c>
      <c r="H165" s="25">
        <f>Tabla127[[#This Row],[INSTALLER]]</f>
        <v>5606910</v>
      </c>
      <c r="I165" s="37"/>
      <c r="J165" s="37"/>
      <c r="K165" s="22">
        <f>Tabla127[[#This Row],[MASTER]]*0.9</f>
        <v>5606910</v>
      </c>
      <c r="L165">
        <v>6229900</v>
      </c>
    </row>
    <row r="166" spans="1:12" x14ac:dyDescent="0.25">
      <c r="A166" s="30" t="s">
        <v>204</v>
      </c>
      <c r="B166" s="29" t="s">
        <v>203</v>
      </c>
      <c r="C166" s="28">
        <f>+Tabla127[[#This Row],[INSTALLER]]</f>
        <v>6047910</v>
      </c>
      <c r="D166" s="28">
        <f>+Tabla127[[#This Row],[PRECIO INSTALLER (CON IVA)]]-Tabla127[[#This Row],[Columna6]]</f>
        <v>5745514.5</v>
      </c>
      <c r="E166" s="28">
        <f>+Tabla127[[#This Row],[PRECIO INSTALLER (CON IVA)]]/0.7</f>
        <v>8639871.4285714291</v>
      </c>
      <c r="F166" s="27">
        <f>+Tabla127[[#This Row],[PRECIO INSTALLER (CON IVA)]]*5%</f>
        <v>302395.5</v>
      </c>
      <c r="G166" s="26">
        <v>1</v>
      </c>
      <c r="H166" s="25">
        <f>Tabla127[[#This Row],[INSTALLER]]</f>
        <v>6047910</v>
      </c>
      <c r="I166" s="37"/>
      <c r="J166" s="37"/>
      <c r="K166" s="22">
        <f>Tabla127[[#This Row],[MASTER]]*0.9</f>
        <v>6047910</v>
      </c>
      <c r="L166">
        <v>6719900</v>
      </c>
    </row>
    <row r="167" spans="1:12" x14ac:dyDescent="0.25">
      <c r="A167" s="30" t="s">
        <v>202</v>
      </c>
      <c r="B167" s="29" t="s">
        <v>201</v>
      </c>
      <c r="C167" s="28">
        <f>+Tabla127[[#This Row],[INSTALLER]]</f>
        <v>6245910</v>
      </c>
      <c r="D167" s="28">
        <f>+Tabla127[[#This Row],[PRECIO INSTALLER (CON IVA)]]-Tabla127[[#This Row],[Columna6]]</f>
        <v>5933614.5</v>
      </c>
      <c r="E167" s="28">
        <f>+Tabla127[[#This Row],[PRECIO INSTALLER (CON IVA)]]/0.7</f>
        <v>8922728.5714285728</v>
      </c>
      <c r="F167" s="27">
        <f>+Tabla127[[#This Row],[PRECIO INSTALLER (CON IVA)]]*5%</f>
        <v>312295.5</v>
      </c>
      <c r="G167" s="26">
        <v>1</v>
      </c>
      <c r="H167" s="25">
        <f>Tabla127[[#This Row],[INSTALLER]]</f>
        <v>6245910</v>
      </c>
      <c r="I167" s="37"/>
      <c r="J167" s="37"/>
      <c r="K167" s="22">
        <f>Tabla127[[#This Row],[MASTER]]*0.9</f>
        <v>6245910</v>
      </c>
      <c r="L167">
        <v>6939900</v>
      </c>
    </row>
    <row r="168" spans="1:12" x14ac:dyDescent="0.25">
      <c r="A168" s="30" t="s">
        <v>200</v>
      </c>
      <c r="B168" s="29" t="s">
        <v>199</v>
      </c>
      <c r="C168" s="28">
        <f>+Tabla127[[#This Row],[INSTALLER]]</f>
        <v>5840910</v>
      </c>
      <c r="D168" s="28">
        <f>+Tabla127[[#This Row],[PRECIO INSTALLER (CON IVA)]]-Tabla127[[#This Row],[Columna6]]</f>
        <v>5548864.5</v>
      </c>
      <c r="E168" s="28">
        <f>+Tabla127[[#This Row],[PRECIO INSTALLER (CON IVA)]]/0.7</f>
        <v>8344157.1428571437</v>
      </c>
      <c r="F168" s="27">
        <f>+Tabla127[[#This Row],[PRECIO INSTALLER (CON IVA)]]*5%</f>
        <v>292045.5</v>
      </c>
      <c r="G168" s="26">
        <v>1</v>
      </c>
      <c r="H168" s="25">
        <f>Tabla127[[#This Row],[INSTALLER]]</f>
        <v>5840910</v>
      </c>
      <c r="I168" s="37"/>
      <c r="J168" s="37"/>
      <c r="K168" s="22">
        <f>Tabla127[[#This Row],[MASTER]]*0.9</f>
        <v>5840910</v>
      </c>
      <c r="L168">
        <v>6489900</v>
      </c>
    </row>
    <row r="169" spans="1:12" x14ac:dyDescent="0.25">
      <c r="A169" s="30" t="s">
        <v>198</v>
      </c>
      <c r="B169" s="29" t="s">
        <v>197</v>
      </c>
      <c r="C169" s="28">
        <f>+Tabla127[[#This Row],[INSTALLER]]</f>
        <v>6209910</v>
      </c>
      <c r="D169" s="28">
        <f>+Tabla127[[#This Row],[PRECIO INSTALLER (CON IVA)]]-Tabla127[[#This Row],[Columna6]]</f>
        <v>5899414.5</v>
      </c>
      <c r="E169" s="28">
        <f>+Tabla127[[#This Row],[PRECIO INSTALLER (CON IVA)]]/0.7</f>
        <v>8871300</v>
      </c>
      <c r="F169" s="27">
        <f>+Tabla127[[#This Row],[PRECIO INSTALLER (CON IVA)]]*5%</f>
        <v>310495.5</v>
      </c>
      <c r="G169" s="26">
        <v>1</v>
      </c>
      <c r="H169" s="25">
        <f>Tabla127[[#This Row],[INSTALLER]]</f>
        <v>6209910</v>
      </c>
      <c r="I169" s="37"/>
      <c r="J169" s="37"/>
      <c r="K169" s="22">
        <f>Tabla127[[#This Row],[MASTER]]*0.9</f>
        <v>6209910</v>
      </c>
      <c r="L169">
        <v>6899900</v>
      </c>
    </row>
    <row r="170" spans="1:12" x14ac:dyDescent="0.25">
      <c r="A170" s="30" t="s">
        <v>196</v>
      </c>
      <c r="B170" s="29" t="s">
        <v>195</v>
      </c>
      <c r="C170" s="28">
        <f>+Tabla127[[#This Row],[INSTALLER]]</f>
        <v>7271910</v>
      </c>
      <c r="D170" s="28">
        <f>+Tabla127[[#This Row],[PRECIO INSTALLER (CON IVA)]]-Tabla127[[#This Row],[Columna6]]</f>
        <v>6908314.5</v>
      </c>
      <c r="E170" s="28">
        <f>+Tabla127[[#This Row],[PRECIO INSTALLER (CON IVA)]]/0.7</f>
        <v>10388442.857142858</v>
      </c>
      <c r="F170" s="27">
        <f>+Tabla127[[#This Row],[PRECIO INSTALLER (CON IVA)]]*5%</f>
        <v>363595.5</v>
      </c>
      <c r="G170" s="26">
        <v>1</v>
      </c>
      <c r="H170" s="25">
        <f>Tabla127[[#This Row],[INSTALLER]]</f>
        <v>7271910</v>
      </c>
      <c r="I170" s="37"/>
      <c r="J170" s="37"/>
      <c r="K170" s="22">
        <f>Tabla127[[#This Row],[MASTER]]*0.9</f>
        <v>7271910</v>
      </c>
      <c r="L170">
        <v>8079900</v>
      </c>
    </row>
    <row r="171" spans="1:12" x14ac:dyDescent="0.25">
      <c r="A171" s="30"/>
      <c r="B171" s="33" t="s">
        <v>194</v>
      </c>
      <c r="C171" s="32"/>
      <c r="D171" s="32"/>
      <c r="E171" s="32"/>
      <c r="F171" s="31">
        <f>+Tabla127[[#This Row],[PRECIO INSTALLER (CON IVA)]]*5%</f>
        <v>0</v>
      </c>
      <c r="G171" s="26"/>
      <c r="H171" s="25">
        <f>Tabla127[[#This Row],[INSTALLER]]</f>
        <v>0</v>
      </c>
      <c r="I171" s="37"/>
      <c r="J171" s="37"/>
      <c r="K171" s="22">
        <f>Tabla127[[#This Row],[MASTER]]*0.9</f>
        <v>0</v>
      </c>
    </row>
    <row r="172" spans="1:12" ht="135" x14ac:dyDescent="0.25">
      <c r="A172" s="30" t="s">
        <v>193</v>
      </c>
      <c r="B172" s="29" t="s">
        <v>192</v>
      </c>
      <c r="C172" s="28">
        <f>+Tabla127[[#This Row],[INSTALLER]]</f>
        <v>1349910</v>
      </c>
      <c r="D172" s="28">
        <f>+Tabla127[[#This Row],[PRECIO INSTALLER (CON IVA)]]-Tabla127[[#This Row],[Columna6]]</f>
        <v>1282414.5</v>
      </c>
      <c r="E172" s="28">
        <f>+Tabla127[[#This Row],[PRECIO INSTALLER (CON IVA)]]/0.7</f>
        <v>1928442.8571428573</v>
      </c>
      <c r="F172" s="27">
        <f>+Tabla127[[#This Row],[PRECIO INSTALLER (CON IVA)]]*5%</f>
        <v>67495.5</v>
      </c>
      <c r="G172" s="26">
        <v>1</v>
      </c>
      <c r="H172" s="25">
        <f>Tabla127[[#This Row],[INSTALLER]]</f>
        <v>1349910</v>
      </c>
      <c r="I172" s="37"/>
      <c r="J172" s="37"/>
      <c r="K172" s="22">
        <f>Tabla127[[#This Row],[MASTER]]*0.9</f>
        <v>1349910</v>
      </c>
      <c r="L172">
        <v>1499900</v>
      </c>
    </row>
    <row r="173" spans="1:12" ht="135" x14ac:dyDescent="0.25">
      <c r="A173" s="30" t="s">
        <v>191</v>
      </c>
      <c r="B173" s="29" t="s">
        <v>190</v>
      </c>
      <c r="C173" s="28">
        <f>+Tabla127[[#This Row],[INSTALLER]]</f>
        <v>1349910</v>
      </c>
      <c r="D173" s="28">
        <f>+Tabla127[[#This Row],[PRECIO INSTALLER (CON IVA)]]-Tabla127[[#This Row],[Columna6]]</f>
        <v>1282414.5</v>
      </c>
      <c r="E173" s="28">
        <f>+Tabla127[[#This Row],[PRECIO INSTALLER (CON IVA)]]/0.7</f>
        <v>1928442.8571428573</v>
      </c>
      <c r="F173" s="27">
        <f>+Tabla127[[#This Row],[PRECIO INSTALLER (CON IVA)]]*5%</f>
        <v>67495.5</v>
      </c>
      <c r="G173" s="26">
        <v>1</v>
      </c>
      <c r="H173" s="25">
        <f>Tabla127[[#This Row],[INSTALLER]]</f>
        <v>1349910</v>
      </c>
      <c r="I173" s="37"/>
      <c r="J173" s="37"/>
      <c r="K173" s="22">
        <f>Tabla127[[#This Row],[MASTER]]*0.9</f>
        <v>1349910</v>
      </c>
      <c r="L173">
        <v>1499900</v>
      </c>
    </row>
    <row r="174" spans="1:12" ht="67.5" x14ac:dyDescent="0.25">
      <c r="A174" s="30" t="s">
        <v>189</v>
      </c>
      <c r="B174" s="29" t="s">
        <v>188</v>
      </c>
      <c r="C174" s="28">
        <f>+Tabla127[[#This Row],[INSTALLER]]</f>
        <v>98910</v>
      </c>
      <c r="D174" s="28">
        <f>+Tabla127[[#This Row],[PRECIO INSTALLER (CON IVA)]]-Tabla127[[#This Row],[Columna6]]</f>
        <v>93964.5</v>
      </c>
      <c r="E174" s="28">
        <f>+Tabla127[[#This Row],[PRECIO INSTALLER (CON IVA)]]/0.7</f>
        <v>141300</v>
      </c>
      <c r="F174" s="27">
        <f>+Tabla127[[#This Row],[PRECIO INSTALLER (CON IVA)]]*5%</f>
        <v>4945.5</v>
      </c>
      <c r="G174" s="26">
        <v>1</v>
      </c>
      <c r="H174" s="25">
        <f>Tabla127[[#This Row],[INSTALLER]]</f>
        <v>98910</v>
      </c>
      <c r="I174" s="37"/>
      <c r="J174" s="37"/>
      <c r="K174" s="22">
        <f>Tabla127[[#This Row],[MASTER]]*0.9</f>
        <v>98910</v>
      </c>
      <c r="L174">
        <v>109900</v>
      </c>
    </row>
    <row r="175" spans="1:12" ht="67.5" x14ac:dyDescent="0.25">
      <c r="A175" s="30" t="s">
        <v>187</v>
      </c>
      <c r="B175" s="29" t="s">
        <v>186</v>
      </c>
      <c r="C175" s="28">
        <f>+Tabla127[[#This Row],[INSTALLER]]</f>
        <v>67410</v>
      </c>
      <c r="D175" s="28">
        <f>+Tabla127[[#This Row],[PRECIO INSTALLER (CON IVA)]]-Tabla127[[#This Row],[Columna6]]</f>
        <v>64039.5</v>
      </c>
      <c r="E175" s="28">
        <f>+Tabla127[[#This Row],[PRECIO INSTALLER (CON IVA)]]/0.7</f>
        <v>96300</v>
      </c>
      <c r="F175" s="27">
        <f>+Tabla127[[#This Row],[PRECIO INSTALLER (CON IVA)]]*5%</f>
        <v>3370.5</v>
      </c>
      <c r="G175" s="26">
        <v>1</v>
      </c>
      <c r="H175" s="25">
        <f>Tabla127[[#This Row],[INSTALLER]]</f>
        <v>67410</v>
      </c>
      <c r="I175" s="37"/>
      <c r="J175" s="37"/>
      <c r="K175" s="22">
        <f>Tabla127[[#This Row],[MASTER]]*0.9</f>
        <v>67410</v>
      </c>
      <c r="L175">
        <v>74900</v>
      </c>
    </row>
    <row r="176" spans="1:12" ht="81" x14ac:dyDescent="0.25">
      <c r="A176" s="30" t="s">
        <v>185</v>
      </c>
      <c r="B176" s="29" t="s">
        <v>184</v>
      </c>
      <c r="C176" s="28">
        <f>+Tabla127[[#This Row],[INSTALLER]]</f>
        <v>269910</v>
      </c>
      <c r="D176" s="28">
        <f>+Tabla127[[#This Row],[PRECIO INSTALLER (CON IVA)]]-Tabla127[[#This Row],[Columna6]]</f>
        <v>256414.5</v>
      </c>
      <c r="E176" s="28">
        <f>+Tabla127[[#This Row],[PRECIO INSTALLER (CON IVA)]]/0.7</f>
        <v>385585.71428571432</v>
      </c>
      <c r="F176" s="27">
        <f>+Tabla127[[#This Row],[PRECIO INSTALLER (CON IVA)]]*5%</f>
        <v>13495.5</v>
      </c>
      <c r="G176" s="26">
        <v>1</v>
      </c>
      <c r="H176" s="25">
        <f>Tabla127[[#This Row],[INSTALLER]]</f>
        <v>269910</v>
      </c>
      <c r="I176" s="37"/>
      <c r="J176" s="37"/>
      <c r="K176" s="22">
        <f>Tabla127[[#This Row],[MASTER]]*0.9</f>
        <v>269910</v>
      </c>
      <c r="L176">
        <v>299900</v>
      </c>
    </row>
    <row r="177" spans="1:12" ht="54" x14ac:dyDescent="0.25">
      <c r="A177" s="30" t="s">
        <v>183</v>
      </c>
      <c r="B177" s="29" t="s">
        <v>182</v>
      </c>
      <c r="C177" s="28">
        <f>+Tabla127[[#This Row],[INSTALLER]]</f>
        <v>152910</v>
      </c>
      <c r="D177" s="28">
        <f>+Tabla127[[#This Row],[PRECIO INSTALLER (CON IVA)]]-Tabla127[[#This Row],[Columna6]]</f>
        <v>145264.5</v>
      </c>
      <c r="E177" s="28">
        <f>+Tabla127[[#This Row],[PRECIO INSTALLER (CON IVA)]]/0.7</f>
        <v>218442.85714285716</v>
      </c>
      <c r="F177" s="27">
        <f>+Tabla127[[#This Row],[PRECIO INSTALLER (CON IVA)]]*5%</f>
        <v>7645.5</v>
      </c>
      <c r="G177" s="26">
        <v>1</v>
      </c>
      <c r="H177" s="25">
        <f>Tabla127[[#This Row],[INSTALLER]]</f>
        <v>152910</v>
      </c>
      <c r="I177" s="37"/>
      <c r="J177" s="37"/>
      <c r="K177" s="22">
        <f>Tabla127[[#This Row],[MASTER]]*0.9</f>
        <v>152910</v>
      </c>
      <c r="L177">
        <v>169900</v>
      </c>
    </row>
    <row r="178" spans="1:12" ht="40.5" x14ac:dyDescent="0.25">
      <c r="A178" s="30" t="s">
        <v>181</v>
      </c>
      <c r="B178" s="29" t="s">
        <v>180</v>
      </c>
      <c r="C178" s="28">
        <f>+Tabla127[[#This Row],[INSTALLER]]</f>
        <v>17910</v>
      </c>
      <c r="D178" s="28">
        <f>+Tabla127[[#This Row],[PRECIO INSTALLER (CON IVA)]]-Tabla127[[#This Row],[Columna6]]</f>
        <v>17014.5</v>
      </c>
      <c r="E178" s="28">
        <f>+Tabla127[[#This Row],[PRECIO INSTALLER (CON IVA)]]/0.7</f>
        <v>25585.714285714286</v>
      </c>
      <c r="F178" s="27">
        <f>+Tabla127[[#This Row],[PRECIO INSTALLER (CON IVA)]]*5%</f>
        <v>895.5</v>
      </c>
      <c r="G178" s="26">
        <v>1</v>
      </c>
      <c r="H178" s="25">
        <f>Tabla127[[#This Row],[INSTALLER]]</f>
        <v>17910</v>
      </c>
      <c r="I178" s="37"/>
      <c r="J178" s="37"/>
      <c r="K178" s="22">
        <f>Tabla127[[#This Row],[MASTER]]*0.9</f>
        <v>17910</v>
      </c>
      <c r="L178">
        <v>19900</v>
      </c>
    </row>
    <row r="179" spans="1:12" ht="40.5" x14ac:dyDescent="0.25">
      <c r="A179" s="30" t="s">
        <v>179</v>
      </c>
      <c r="B179" s="29" t="s">
        <v>178</v>
      </c>
      <c r="C179" s="28">
        <f>+Tabla127[[#This Row],[INSTALLER]]</f>
        <v>17910</v>
      </c>
      <c r="D179" s="28">
        <f>+Tabla127[[#This Row],[PRECIO INSTALLER (CON IVA)]]-Tabla127[[#This Row],[Columna6]]</f>
        <v>17014.5</v>
      </c>
      <c r="E179" s="28">
        <f>+Tabla127[[#This Row],[PRECIO INSTALLER (CON IVA)]]/0.7</f>
        <v>25585.714285714286</v>
      </c>
      <c r="F179" s="27">
        <f>+Tabla127[[#This Row],[PRECIO INSTALLER (CON IVA)]]*5%</f>
        <v>895.5</v>
      </c>
      <c r="G179" s="26">
        <v>1</v>
      </c>
      <c r="H179" s="25">
        <f>Tabla127[[#This Row],[INSTALLER]]</f>
        <v>17910</v>
      </c>
      <c r="I179" s="37"/>
      <c r="J179" s="37"/>
      <c r="K179" s="22">
        <f>Tabla127[[#This Row],[MASTER]]*0.9</f>
        <v>17910</v>
      </c>
      <c r="L179">
        <v>19900</v>
      </c>
    </row>
    <row r="180" spans="1:12" ht="54" x14ac:dyDescent="0.25">
      <c r="A180" s="30" t="s">
        <v>177</v>
      </c>
      <c r="B180" s="29" t="s">
        <v>176</v>
      </c>
      <c r="C180" s="28">
        <f>+Tabla127[[#This Row],[INSTALLER]]</f>
        <v>31410</v>
      </c>
      <c r="D180" s="28">
        <f>+Tabla127[[#This Row],[PRECIO INSTALLER (CON IVA)]]-Tabla127[[#This Row],[Columna6]]</f>
        <v>29839.5</v>
      </c>
      <c r="E180" s="28">
        <f>+Tabla127[[#This Row],[PRECIO INSTALLER (CON IVA)]]/0.7</f>
        <v>44871.428571428572</v>
      </c>
      <c r="F180" s="27">
        <f>+Tabla127[[#This Row],[PRECIO INSTALLER (CON IVA)]]*5%</f>
        <v>1570.5</v>
      </c>
      <c r="G180" s="26">
        <v>1</v>
      </c>
      <c r="H180" s="25">
        <f>Tabla127[[#This Row],[INSTALLER]]</f>
        <v>31410</v>
      </c>
      <c r="I180" s="37"/>
      <c r="J180" s="37"/>
      <c r="K180" s="22">
        <f>Tabla127[[#This Row],[MASTER]]*0.9</f>
        <v>31410</v>
      </c>
      <c r="L180">
        <v>34900</v>
      </c>
    </row>
    <row r="181" spans="1:12" x14ac:dyDescent="0.25">
      <c r="A181" s="30"/>
      <c r="B181" s="33" t="s">
        <v>77</v>
      </c>
      <c r="C181" s="32"/>
      <c r="D181" s="32"/>
      <c r="E181" s="32"/>
      <c r="F181" s="31">
        <f>+Tabla127[[#This Row],[PRECIO INSTALLER (CON IVA)]]*5%</f>
        <v>0</v>
      </c>
      <c r="G181" s="26"/>
      <c r="H181" s="25">
        <f>Tabla127[[#This Row],[INSTALLER]]</f>
        <v>0</v>
      </c>
      <c r="I181" s="37"/>
      <c r="J181" s="37"/>
      <c r="K181" s="22">
        <f>Tabla127[[#This Row],[MASTER]]*0.9</f>
        <v>0</v>
      </c>
    </row>
    <row r="182" spans="1:12" x14ac:dyDescent="0.25">
      <c r="A182" s="30"/>
      <c r="B182" s="36" t="s">
        <v>175</v>
      </c>
      <c r="C182" s="35"/>
      <c r="D182" s="35"/>
      <c r="E182" s="35"/>
      <c r="F182" s="34">
        <f>+Tabla127[[#This Row],[PRECIO INSTALLER (CON IVA)]]*5%</f>
        <v>0</v>
      </c>
      <c r="G182" s="26"/>
      <c r="H182" s="25">
        <f>Tabla127[[#This Row],[INSTALLER]]</f>
        <v>0</v>
      </c>
      <c r="I182" s="37"/>
      <c r="J182" s="37"/>
      <c r="K182" s="22">
        <f>Tabla127[[#This Row],[MASTER]]*0.9</f>
        <v>0</v>
      </c>
    </row>
    <row r="183" spans="1:12" ht="27" x14ac:dyDescent="0.25">
      <c r="A183" s="30" t="s">
        <v>174</v>
      </c>
      <c r="B183" s="29" t="s">
        <v>173</v>
      </c>
      <c r="C183" s="28">
        <f>+Tabla127[[#This Row],[INSTALLER]]</f>
        <v>1097910</v>
      </c>
      <c r="D183" s="28">
        <f>+Tabla127[[#This Row],[PRECIO INSTALLER (CON IVA)]]-Tabla127[[#This Row],[Columna6]]</f>
        <v>1043014.5</v>
      </c>
      <c r="E183" s="28">
        <f>+Tabla127[[#This Row],[PRECIO INSTALLER (CON IVA)]]/0.7</f>
        <v>1568442.8571428573</v>
      </c>
      <c r="F183" s="27">
        <f>+Tabla127[[#This Row],[PRECIO INSTALLER (CON IVA)]]*5%</f>
        <v>54895.5</v>
      </c>
      <c r="G183" s="26">
        <v>1</v>
      </c>
      <c r="H183" s="25">
        <f>Tabla127[[#This Row],[INSTALLER]]</f>
        <v>1097910</v>
      </c>
      <c r="I183" s="37"/>
      <c r="J183" s="37"/>
      <c r="K183" s="22">
        <f>Tabla127[[#This Row],[MASTER]]*0.9</f>
        <v>1097910</v>
      </c>
      <c r="L183">
        <v>1219900</v>
      </c>
    </row>
    <row r="184" spans="1:12" x14ac:dyDescent="0.25">
      <c r="A184" s="30"/>
      <c r="B184" s="36" t="s">
        <v>172</v>
      </c>
      <c r="C184" s="35"/>
      <c r="D184" s="35"/>
      <c r="E184" s="35"/>
      <c r="F184" s="34">
        <f>+Tabla127[[#This Row],[PRECIO INSTALLER (CON IVA)]]*5%</f>
        <v>0</v>
      </c>
      <c r="G184" s="26"/>
      <c r="H184" s="25">
        <f>Tabla127[[#This Row],[INSTALLER]]</f>
        <v>0</v>
      </c>
      <c r="I184" s="37"/>
      <c r="J184" s="37"/>
      <c r="K184" s="22">
        <f>Tabla127[[#This Row],[MASTER]]*0.9</f>
        <v>0</v>
      </c>
    </row>
    <row r="185" spans="1:12" ht="27" x14ac:dyDescent="0.25">
      <c r="A185" s="30" t="s">
        <v>171</v>
      </c>
      <c r="B185" s="29" t="s">
        <v>170</v>
      </c>
      <c r="C185" s="28">
        <f>+Tabla127[[#This Row],[INSTALLER]]</f>
        <v>1178910</v>
      </c>
      <c r="D185" s="28">
        <f>+Tabla127[[#This Row],[PRECIO INSTALLER (CON IVA)]]-Tabla127[[#This Row],[Columna6]]</f>
        <v>1119964.5</v>
      </c>
      <c r="E185" s="28">
        <f>+Tabla127[[#This Row],[PRECIO INSTALLER (CON IVA)]]/0.7</f>
        <v>1684157.142857143</v>
      </c>
      <c r="F185" s="27">
        <f>+Tabla127[[#This Row],[PRECIO INSTALLER (CON IVA)]]*5%</f>
        <v>58945.5</v>
      </c>
      <c r="G185" s="26">
        <v>1</v>
      </c>
      <c r="H185" s="25">
        <f>Tabla127[[#This Row],[INSTALLER]]</f>
        <v>1178910</v>
      </c>
      <c r="I185" s="37"/>
      <c r="J185" s="37"/>
      <c r="K185" s="22">
        <f>Tabla127[[#This Row],[MASTER]]*0.9</f>
        <v>1178910</v>
      </c>
      <c r="L185">
        <v>1309900</v>
      </c>
    </row>
    <row r="186" spans="1:12" x14ac:dyDescent="0.25">
      <c r="A186" s="30"/>
      <c r="B186" s="36" t="s">
        <v>169</v>
      </c>
      <c r="C186" s="35"/>
      <c r="D186" s="35"/>
      <c r="E186" s="35"/>
      <c r="F186" s="34">
        <f>+Tabla127[[#This Row],[PRECIO INSTALLER (CON IVA)]]*5%</f>
        <v>0</v>
      </c>
      <c r="G186" s="26"/>
      <c r="H186" s="25">
        <f>Tabla127[[#This Row],[INSTALLER]]</f>
        <v>0</v>
      </c>
      <c r="I186" s="37"/>
      <c r="J186" s="37"/>
      <c r="K186" s="22">
        <f>Tabla127[[#This Row],[MASTER]]*0.9</f>
        <v>0</v>
      </c>
    </row>
    <row r="187" spans="1:12" ht="40.5" x14ac:dyDescent="0.25">
      <c r="A187" s="30" t="s">
        <v>168</v>
      </c>
      <c r="B187" s="29" t="s">
        <v>167</v>
      </c>
      <c r="C187" s="28">
        <f>+Tabla127[[#This Row],[INSTALLER]]</f>
        <v>1205910</v>
      </c>
      <c r="D187" s="28">
        <f>+Tabla127[[#This Row],[PRECIO INSTALLER (CON IVA)]]-Tabla127[[#This Row],[Columna6]]</f>
        <v>1145614.5</v>
      </c>
      <c r="E187" s="28">
        <f>+Tabla127[[#This Row],[PRECIO INSTALLER (CON IVA)]]/0.7</f>
        <v>1722728.5714285716</v>
      </c>
      <c r="F187" s="27">
        <f>+Tabla127[[#This Row],[PRECIO INSTALLER (CON IVA)]]*5%</f>
        <v>60295.5</v>
      </c>
      <c r="G187" s="26">
        <v>1</v>
      </c>
      <c r="H187" s="25">
        <f>Tabla127[[#This Row],[INSTALLER]]</f>
        <v>1205910</v>
      </c>
      <c r="I187" s="37"/>
      <c r="J187" s="37"/>
      <c r="K187" s="22">
        <f>Tabla127[[#This Row],[MASTER]]*0.9</f>
        <v>1205910</v>
      </c>
      <c r="L187">
        <v>1339900</v>
      </c>
    </row>
    <row r="188" spans="1:12" x14ac:dyDescent="0.25">
      <c r="A188" s="30"/>
      <c r="B188" s="36" t="s">
        <v>166</v>
      </c>
      <c r="C188" s="35"/>
      <c r="D188" s="35"/>
      <c r="E188" s="35"/>
      <c r="F188" s="34">
        <f>+Tabla127[[#This Row],[PRECIO INSTALLER (CON IVA)]]*5%</f>
        <v>0</v>
      </c>
      <c r="G188" s="26"/>
      <c r="H188" s="25">
        <f>Tabla127[[#This Row],[INSTALLER]]</f>
        <v>0</v>
      </c>
      <c r="I188" s="24"/>
      <c r="J188" s="23"/>
      <c r="K188" s="22">
        <f>Tabla127[[#This Row],[MASTER]]*0.9</f>
        <v>0</v>
      </c>
    </row>
    <row r="189" spans="1:12" ht="27" x14ac:dyDescent="0.25">
      <c r="A189" s="30" t="s">
        <v>165</v>
      </c>
      <c r="B189" s="29" t="s">
        <v>164</v>
      </c>
      <c r="C189" s="28">
        <f>+Tabla127[[#This Row],[INSTALLER]]</f>
        <v>1241910</v>
      </c>
      <c r="D189" s="28">
        <f>+Tabla127[[#This Row],[PRECIO INSTALLER (CON IVA)]]-Tabla127[[#This Row],[Columna6]]</f>
        <v>1179814.5</v>
      </c>
      <c r="E189" s="28">
        <f>+Tabla127[[#This Row],[PRECIO INSTALLER (CON IVA)]]/0.7</f>
        <v>1774157.142857143</v>
      </c>
      <c r="F189" s="27">
        <f>+Tabla127[[#This Row],[PRECIO INSTALLER (CON IVA)]]*5%</f>
        <v>62095.5</v>
      </c>
      <c r="G189" s="26">
        <v>1</v>
      </c>
      <c r="H189" s="25">
        <f>Tabla127[[#This Row],[INSTALLER]]</f>
        <v>1241910</v>
      </c>
      <c r="I189" s="24"/>
      <c r="J189" s="23"/>
      <c r="K189" s="22">
        <f>Tabla127[[#This Row],[MASTER]]*0.9</f>
        <v>1241910</v>
      </c>
      <c r="L189">
        <v>1379900</v>
      </c>
    </row>
    <row r="190" spans="1:12" x14ac:dyDescent="0.25">
      <c r="A190" s="30"/>
      <c r="B190" s="36" t="s">
        <v>163</v>
      </c>
      <c r="C190" s="35"/>
      <c r="D190" s="35"/>
      <c r="E190" s="35"/>
      <c r="F190" s="34"/>
      <c r="G190" s="26"/>
      <c r="H190" s="25"/>
      <c r="I190" s="24"/>
      <c r="J190" s="23"/>
      <c r="K190" s="22"/>
    </row>
    <row r="191" spans="1:12" ht="27" x14ac:dyDescent="0.25">
      <c r="A191" s="30" t="s">
        <v>162</v>
      </c>
      <c r="B191" s="29" t="s">
        <v>161</v>
      </c>
      <c r="C191" s="28">
        <f>+Tabla127[[#This Row],[INSTALLER]]</f>
        <v>1349910</v>
      </c>
      <c r="D191" s="28">
        <f>+Tabla127[[#This Row],[PRECIO INSTALLER (CON IVA)]]-Tabla127[[#This Row],[Columna6]]</f>
        <v>1282414.5</v>
      </c>
      <c r="E191" s="28">
        <f>+Tabla127[[#This Row],[PRECIO INSTALLER (CON IVA)]]/0.7</f>
        <v>1928442.8571428573</v>
      </c>
      <c r="F191" s="27">
        <f>+Tabla127[[#This Row],[PRECIO INSTALLER (CON IVA)]]*5%</f>
        <v>67495.5</v>
      </c>
      <c r="G191" s="26">
        <v>1</v>
      </c>
      <c r="H191" s="25">
        <f>Tabla127[[#This Row],[INSTALLER]]</f>
        <v>1349910</v>
      </c>
      <c r="I191" s="24"/>
      <c r="J191" s="23"/>
      <c r="K191" s="22">
        <f>Tabla127[[#This Row],[MASTER]]*0.9</f>
        <v>1349910</v>
      </c>
      <c r="L191">
        <v>1499900</v>
      </c>
    </row>
    <row r="192" spans="1:12" x14ac:dyDescent="0.25">
      <c r="A192" s="30"/>
      <c r="B192" s="33" t="s">
        <v>77</v>
      </c>
      <c r="C192" s="32"/>
      <c r="D192" s="32"/>
      <c r="E192" s="32"/>
      <c r="F192" s="31">
        <f>+Tabla127[[#This Row],[PRECIO INSTALLER (CON IVA)]]*5%</f>
        <v>0</v>
      </c>
      <c r="G192" s="26"/>
      <c r="H192" s="25">
        <f>Tabla127[[#This Row],[INSTALLER]]</f>
        <v>0</v>
      </c>
      <c r="I192" s="24"/>
      <c r="J192" s="23"/>
      <c r="K192" s="22">
        <f>Tabla127[[#This Row],[MASTER]]*0.9</f>
        <v>0</v>
      </c>
    </row>
    <row r="193" spans="1:12" x14ac:dyDescent="0.25">
      <c r="A193" s="30"/>
      <c r="B193" s="36" t="s">
        <v>160</v>
      </c>
      <c r="C193" s="35"/>
      <c r="D193" s="35"/>
      <c r="E193" s="35"/>
      <c r="F193" s="34">
        <f>+Tabla127[[#This Row],[PRECIO INSTALLER (CON IVA)]]*5%</f>
        <v>0</v>
      </c>
      <c r="G193" s="26"/>
      <c r="H193" s="25">
        <f>Tabla127[[#This Row],[INSTALLER]]</f>
        <v>0</v>
      </c>
      <c r="I193" s="24"/>
      <c r="J193" s="23"/>
      <c r="K193" s="22">
        <f>Tabla127[[#This Row],[MASTER]]*0.9</f>
        <v>0</v>
      </c>
    </row>
    <row r="194" spans="1:12" ht="27" x14ac:dyDescent="0.25">
      <c r="A194" s="30" t="s">
        <v>159</v>
      </c>
      <c r="B194" s="29" t="s">
        <v>158</v>
      </c>
      <c r="C194" s="28">
        <f>+Tabla127[[#This Row],[INSTALLER]]</f>
        <v>1421910</v>
      </c>
      <c r="D194" s="28">
        <f>+Tabla127[[#This Row],[PRECIO INSTALLER (CON IVA)]]-Tabla127[[#This Row],[Columna6]]</f>
        <v>1350814.5</v>
      </c>
      <c r="E194" s="28">
        <f>+Tabla127[[#This Row],[PRECIO INSTALLER (CON IVA)]]/0.7</f>
        <v>2031300.0000000002</v>
      </c>
      <c r="F194" s="27">
        <f>+Tabla127[[#This Row],[PRECIO INSTALLER (CON IVA)]]*5%</f>
        <v>71095.5</v>
      </c>
      <c r="G194" s="26">
        <v>1</v>
      </c>
      <c r="H194" s="25">
        <f>Tabla127[[#This Row],[INSTALLER]]</f>
        <v>1421910</v>
      </c>
      <c r="I194" s="24"/>
      <c r="J194" s="23"/>
      <c r="K194" s="22">
        <f>Tabla127[[#This Row],[MASTER]]*0.9</f>
        <v>1421910</v>
      </c>
      <c r="L194">
        <v>1579900</v>
      </c>
    </row>
    <row r="195" spans="1:12" x14ac:dyDescent="0.25">
      <c r="A195" s="30"/>
      <c r="B195" s="36" t="s">
        <v>157</v>
      </c>
      <c r="C195" s="35"/>
      <c r="D195" s="35"/>
      <c r="E195" s="35"/>
      <c r="F195" s="34">
        <f>+Tabla127[[#This Row],[PRECIO INSTALLER (CON IVA)]]*5%</f>
        <v>0</v>
      </c>
      <c r="G195" s="26"/>
      <c r="H195" s="25">
        <f>Tabla127[[#This Row],[INSTALLER]]</f>
        <v>0</v>
      </c>
      <c r="I195" s="24"/>
      <c r="J195" s="23"/>
      <c r="K195" s="22">
        <f>Tabla127[[#This Row],[MASTER]]*0.9</f>
        <v>0</v>
      </c>
    </row>
    <row r="196" spans="1:12" ht="27" x14ac:dyDescent="0.25">
      <c r="A196" s="30" t="s">
        <v>156</v>
      </c>
      <c r="B196" s="29" t="s">
        <v>155</v>
      </c>
      <c r="C196" s="28">
        <f>+Tabla127[[#This Row],[INSTALLER]]</f>
        <v>1619910</v>
      </c>
      <c r="D196" s="28">
        <f>+Tabla127[[#This Row],[PRECIO INSTALLER (CON IVA)]]-Tabla127[[#This Row],[Columna6]]</f>
        <v>1538914.5</v>
      </c>
      <c r="E196" s="28">
        <f>+Tabla127[[#This Row],[PRECIO INSTALLER (CON IVA)]]/0.7</f>
        <v>2314157.1428571432</v>
      </c>
      <c r="F196" s="27">
        <f>+Tabla127[[#This Row],[PRECIO INSTALLER (CON IVA)]]*5%</f>
        <v>80995.5</v>
      </c>
      <c r="G196" s="26">
        <v>1</v>
      </c>
      <c r="H196" s="25">
        <f>Tabla127[[#This Row],[INSTALLER]]</f>
        <v>1619910</v>
      </c>
      <c r="I196" s="24"/>
      <c r="J196" s="23"/>
      <c r="K196" s="22">
        <f>Tabla127[[#This Row],[MASTER]]*0.9</f>
        <v>1619910</v>
      </c>
      <c r="L196">
        <v>1799900</v>
      </c>
    </row>
    <row r="197" spans="1:12" x14ac:dyDescent="0.25">
      <c r="A197" s="30"/>
      <c r="B197" s="36" t="s">
        <v>154</v>
      </c>
      <c r="C197" s="35"/>
      <c r="D197" s="35"/>
      <c r="E197" s="35"/>
      <c r="F197" s="34">
        <f>+Tabla127[[#This Row],[PRECIO INSTALLER (CON IVA)]]*5%</f>
        <v>0</v>
      </c>
      <c r="G197" s="26"/>
      <c r="H197" s="25">
        <f>Tabla127[[#This Row],[INSTALLER]]</f>
        <v>0</v>
      </c>
      <c r="I197" s="24"/>
      <c r="J197" s="23"/>
      <c r="K197" s="22">
        <f>Tabla127[[#This Row],[MASTER]]*0.9</f>
        <v>0</v>
      </c>
    </row>
    <row r="198" spans="1:12" ht="27" x14ac:dyDescent="0.25">
      <c r="A198" s="30" t="s">
        <v>153</v>
      </c>
      <c r="B198" s="29" t="s">
        <v>152</v>
      </c>
      <c r="C198" s="28">
        <f>+Tabla127[[#This Row],[INSTALLER]]</f>
        <v>1673910</v>
      </c>
      <c r="D198" s="28">
        <f>+Tabla127[[#This Row],[PRECIO INSTALLER (CON IVA)]]-Tabla127[[#This Row],[Columna6]]</f>
        <v>1590214.5</v>
      </c>
      <c r="E198" s="28">
        <f>+Tabla127[[#This Row],[PRECIO INSTALLER (CON IVA)]]/0.7</f>
        <v>2391300</v>
      </c>
      <c r="F198" s="27">
        <f>+Tabla127[[#This Row],[PRECIO INSTALLER (CON IVA)]]*5%</f>
        <v>83695.5</v>
      </c>
      <c r="G198" s="26">
        <v>1</v>
      </c>
      <c r="H198" s="25">
        <f>Tabla127[[#This Row],[INSTALLER]]</f>
        <v>1673910</v>
      </c>
      <c r="I198" s="24"/>
      <c r="J198" s="23"/>
      <c r="K198" s="22">
        <f>Tabla127[[#This Row],[MASTER]]*0.9</f>
        <v>1673910</v>
      </c>
      <c r="L198">
        <v>1859900</v>
      </c>
    </row>
    <row r="199" spans="1:12" x14ac:dyDescent="0.25">
      <c r="A199" s="30"/>
      <c r="B199" s="33" t="s">
        <v>151</v>
      </c>
      <c r="C199" s="32"/>
      <c r="D199" s="32"/>
      <c r="E199" s="32"/>
      <c r="F199" s="31">
        <f>+Tabla127[[#This Row],[PRECIO INSTALLER (CON IVA)]]*5%</f>
        <v>0</v>
      </c>
      <c r="G199" s="26"/>
      <c r="H199" s="25">
        <f>Tabla127[[#This Row],[INSTALLER]]</f>
        <v>0</v>
      </c>
      <c r="I199" s="24"/>
      <c r="J199" s="23"/>
      <c r="K199" s="22">
        <f>Tabla127[[#This Row],[MASTER]]*0.9</f>
        <v>0</v>
      </c>
    </row>
    <row r="200" spans="1:12" ht="27" x14ac:dyDescent="0.25">
      <c r="A200" s="30" t="s">
        <v>150</v>
      </c>
      <c r="B200" s="29" t="s">
        <v>149</v>
      </c>
      <c r="C200" s="28">
        <f>+Tabla127[[#This Row],[INSTALLER]]</f>
        <v>260910</v>
      </c>
      <c r="D200" s="28">
        <f>+Tabla127[[#This Row],[PRECIO INSTALLER (CON IVA)]]-Tabla127[[#This Row],[Columna6]]</f>
        <v>247864.5</v>
      </c>
      <c r="E200" s="28">
        <f>+Tabla127[[#This Row],[PRECIO INSTALLER (CON IVA)]]/0.7</f>
        <v>372728.57142857148</v>
      </c>
      <c r="F200" s="27">
        <f>+Tabla127[[#This Row],[PRECIO INSTALLER (CON IVA)]]*5%</f>
        <v>13045.5</v>
      </c>
      <c r="G200" s="26">
        <v>1</v>
      </c>
      <c r="H200" s="25">
        <f>Tabla127[[#This Row],[INSTALLER]]</f>
        <v>260910</v>
      </c>
      <c r="I200" s="24"/>
      <c r="J200" s="23"/>
      <c r="K200" s="22">
        <f>Tabla127[[#This Row],[MASTER]]*0.9</f>
        <v>260910</v>
      </c>
      <c r="L200">
        <v>289900</v>
      </c>
    </row>
    <row r="201" spans="1:12" ht="27" x14ac:dyDescent="0.25">
      <c r="A201" s="30" t="s">
        <v>148</v>
      </c>
      <c r="B201" s="29" t="s">
        <v>147</v>
      </c>
      <c r="C201" s="28">
        <f>+Tabla127[[#This Row],[INSTALLER]]</f>
        <v>260910</v>
      </c>
      <c r="D201" s="28">
        <f>+Tabla127[[#This Row],[PRECIO INSTALLER (CON IVA)]]-Tabla127[[#This Row],[Columna6]]</f>
        <v>247864.5</v>
      </c>
      <c r="E201" s="28">
        <f>+Tabla127[[#This Row],[PRECIO INSTALLER (CON IVA)]]/0.7</f>
        <v>372728.57142857148</v>
      </c>
      <c r="F201" s="27">
        <f>+Tabla127[[#This Row],[PRECIO INSTALLER (CON IVA)]]*5%</f>
        <v>13045.5</v>
      </c>
      <c r="G201" s="26">
        <v>1</v>
      </c>
      <c r="H201" s="25">
        <f>Tabla127[[#This Row],[INSTALLER]]</f>
        <v>260910</v>
      </c>
      <c r="I201" s="24"/>
      <c r="J201" s="23"/>
      <c r="K201" s="22">
        <f>Tabla127[[#This Row],[MASTER]]*0.9</f>
        <v>260910</v>
      </c>
      <c r="L201">
        <v>289900</v>
      </c>
    </row>
    <row r="202" spans="1:12" ht="27" x14ac:dyDescent="0.25">
      <c r="A202" s="30" t="s">
        <v>146</v>
      </c>
      <c r="B202" s="29" t="s">
        <v>145</v>
      </c>
      <c r="C202" s="28">
        <f>+Tabla127[[#This Row],[INSTALLER]]</f>
        <v>314910</v>
      </c>
      <c r="D202" s="28">
        <f>+Tabla127[[#This Row],[PRECIO INSTALLER (CON IVA)]]-Tabla127[[#This Row],[Columna6]]</f>
        <v>299164.5</v>
      </c>
      <c r="E202" s="28">
        <f>+Tabla127[[#This Row],[PRECIO INSTALLER (CON IVA)]]/0.7</f>
        <v>449871.42857142858</v>
      </c>
      <c r="F202" s="27">
        <f>+Tabla127[[#This Row],[PRECIO INSTALLER (CON IVA)]]*5%</f>
        <v>15745.5</v>
      </c>
      <c r="G202" s="26">
        <v>1</v>
      </c>
      <c r="H202" s="25">
        <f>Tabla127[[#This Row],[INSTALLER]]</f>
        <v>314910</v>
      </c>
      <c r="I202" s="24"/>
      <c r="J202" s="23"/>
      <c r="K202" s="22">
        <f>Tabla127[[#This Row],[MASTER]]*0.9</f>
        <v>314910</v>
      </c>
      <c r="L202">
        <v>349900</v>
      </c>
    </row>
    <row r="203" spans="1:12" ht="27" x14ac:dyDescent="0.25">
      <c r="A203" s="30" t="s">
        <v>144</v>
      </c>
      <c r="B203" s="29" t="s">
        <v>143</v>
      </c>
      <c r="C203" s="28">
        <f>+Tabla127[[#This Row],[INSTALLER]]</f>
        <v>314910</v>
      </c>
      <c r="D203" s="28">
        <f>+Tabla127[[#This Row],[PRECIO INSTALLER (CON IVA)]]-Tabla127[[#This Row],[Columna6]]</f>
        <v>299164.5</v>
      </c>
      <c r="E203" s="28">
        <f>+Tabla127[[#This Row],[PRECIO INSTALLER (CON IVA)]]/0.7</f>
        <v>449871.42857142858</v>
      </c>
      <c r="F203" s="27">
        <f>+Tabla127[[#This Row],[PRECIO INSTALLER (CON IVA)]]*5%</f>
        <v>15745.5</v>
      </c>
      <c r="G203" s="26">
        <v>1</v>
      </c>
      <c r="H203" s="25">
        <f>Tabla127[[#This Row],[INSTALLER]]</f>
        <v>314910</v>
      </c>
      <c r="I203" s="24"/>
      <c r="J203" s="23"/>
      <c r="K203" s="22">
        <f>Tabla127[[#This Row],[MASTER]]*0.9</f>
        <v>314910</v>
      </c>
      <c r="L203">
        <v>349900</v>
      </c>
    </row>
    <row r="204" spans="1:12" ht="27" x14ac:dyDescent="0.25">
      <c r="A204" s="30" t="s">
        <v>142</v>
      </c>
      <c r="B204" s="29" t="s">
        <v>141</v>
      </c>
      <c r="C204" s="28">
        <f>+Tabla127[[#This Row],[INSTALLER]]</f>
        <v>350910</v>
      </c>
      <c r="D204" s="28">
        <f>+Tabla127[[#This Row],[PRECIO INSTALLER (CON IVA)]]-Tabla127[[#This Row],[Columna6]]</f>
        <v>333364.5</v>
      </c>
      <c r="E204" s="28">
        <f>+Tabla127[[#This Row],[PRECIO INSTALLER (CON IVA)]]/0.7</f>
        <v>501300.00000000006</v>
      </c>
      <c r="F204" s="27">
        <f>+Tabla127[[#This Row],[PRECIO INSTALLER (CON IVA)]]*5%</f>
        <v>17545.5</v>
      </c>
      <c r="G204" s="26">
        <v>1</v>
      </c>
      <c r="H204" s="25">
        <f>Tabla127[[#This Row],[INSTALLER]]</f>
        <v>350910</v>
      </c>
      <c r="I204" s="24"/>
      <c r="J204" s="23"/>
      <c r="K204" s="22">
        <f>Tabla127[[#This Row],[MASTER]]*0.9</f>
        <v>350910</v>
      </c>
      <c r="L204">
        <v>389900</v>
      </c>
    </row>
    <row r="205" spans="1:12" ht="27" x14ac:dyDescent="0.25">
      <c r="A205" s="30" t="s">
        <v>140</v>
      </c>
      <c r="B205" s="29" t="s">
        <v>139</v>
      </c>
      <c r="C205" s="28">
        <f>+Tabla127[[#This Row],[INSTALLER]]</f>
        <v>350910</v>
      </c>
      <c r="D205" s="28">
        <f>+Tabla127[[#This Row],[PRECIO INSTALLER (CON IVA)]]-Tabla127[[#This Row],[Columna6]]</f>
        <v>333364.5</v>
      </c>
      <c r="E205" s="28">
        <f>+Tabla127[[#This Row],[PRECIO INSTALLER (CON IVA)]]/0.7</f>
        <v>501300.00000000006</v>
      </c>
      <c r="F205" s="27">
        <f>+Tabla127[[#This Row],[PRECIO INSTALLER (CON IVA)]]*5%</f>
        <v>17545.5</v>
      </c>
      <c r="G205" s="26">
        <v>1</v>
      </c>
      <c r="H205" s="25">
        <f>Tabla127[[#This Row],[INSTALLER]]</f>
        <v>350910</v>
      </c>
      <c r="I205" s="24"/>
      <c r="J205" s="23"/>
      <c r="K205" s="22">
        <f>Tabla127[[#This Row],[MASTER]]*0.9</f>
        <v>350910</v>
      </c>
      <c r="L205">
        <v>389900</v>
      </c>
    </row>
    <row r="206" spans="1:12" ht="27" x14ac:dyDescent="0.25">
      <c r="A206" s="30" t="s">
        <v>138</v>
      </c>
      <c r="B206" s="29" t="s">
        <v>137</v>
      </c>
      <c r="C206" s="28">
        <f>+Tabla127[[#This Row],[INSTALLER]]</f>
        <v>386910</v>
      </c>
      <c r="D206" s="28">
        <f>+Tabla127[[#This Row],[PRECIO INSTALLER (CON IVA)]]-Tabla127[[#This Row],[Columna6]]</f>
        <v>367564.5</v>
      </c>
      <c r="E206" s="28">
        <f>+Tabla127[[#This Row],[PRECIO INSTALLER (CON IVA)]]/0.7</f>
        <v>552728.57142857148</v>
      </c>
      <c r="F206" s="27">
        <f>+Tabla127[[#This Row],[PRECIO INSTALLER (CON IVA)]]*5%</f>
        <v>19345.5</v>
      </c>
      <c r="G206" s="26">
        <v>1</v>
      </c>
      <c r="H206" s="25">
        <f>Tabla127[[#This Row],[INSTALLER]]</f>
        <v>386910</v>
      </c>
      <c r="I206" s="24"/>
      <c r="J206" s="23"/>
      <c r="K206" s="22">
        <f>Tabla127[[#This Row],[MASTER]]*0.9</f>
        <v>386910</v>
      </c>
      <c r="L206">
        <v>429900</v>
      </c>
    </row>
    <row r="207" spans="1:12" ht="27" x14ac:dyDescent="0.25">
      <c r="A207" s="30" t="s">
        <v>136</v>
      </c>
      <c r="B207" s="29" t="s">
        <v>135</v>
      </c>
      <c r="C207" s="28">
        <f>+Tabla127[[#This Row],[INSTALLER]]</f>
        <v>386910</v>
      </c>
      <c r="D207" s="28">
        <f>+Tabla127[[#This Row],[PRECIO INSTALLER (CON IVA)]]-Tabla127[[#This Row],[Columna6]]</f>
        <v>367564.5</v>
      </c>
      <c r="E207" s="28">
        <f>+Tabla127[[#This Row],[PRECIO INSTALLER (CON IVA)]]/0.7</f>
        <v>552728.57142857148</v>
      </c>
      <c r="F207" s="27">
        <f>+Tabla127[[#This Row],[PRECIO INSTALLER (CON IVA)]]*5%</f>
        <v>19345.5</v>
      </c>
      <c r="G207" s="26">
        <v>1</v>
      </c>
      <c r="H207" s="25">
        <f>Tabla127[[#This Row],[INSTALLER]]</f>
        <v>386910</v>
      </c>
      <c r="I207" s="24"/>
      <c r="J207" s="23"/>
      <c r="K207" s="22">
        <f>Tabla127[[#This Row],[MASTER]]*0.9</f>
        <v>386910</v>
      </c>
      <c r="L207">
        <v>429900</v>
      </c>
    </row>
    <row r="208" spans="1:12" ht="27" x14ac:dyDescent="0.25">
      <c r="A208" s="30" t="s">
        <v>134</v>
      </c>
      <c r="B208" s="29" t="s">
        <v>133</v>
      </c>
      <c r="C208" s="28">
        <f>+Tabla127[[#This Row],[INSTALLER]]</f>
        <v>404910</v>
      </c>
      <c r="D208" s="28">
        <f>+Tabla127[[#This Row],[PRECIO INSTALLER (CON IVA)]]-Tabla127[[#This Row],[Columna6]]</f>
        <v>384664.5</v>
      </c>
      <c r="E208" s="28">
        <f>+Tabla127[[#This Row],[PRECIO INSTALLER (CON IVA)]]/0.7</f>
        <v>578442.85714285716</v>
      </c>
      <c r="F208" s="27">
        <f>+Tabla127[[#This Row],[PRECIO INSTALLER (CON IVA)]]*5%</f>
        <v>20245.5</v>
      </c>
      <c r="G208" s="26">
        <v>1</v>
      </c>
      <c r="H208" s="25">
        <f>Tabla127[[#This Row],[INSTALLER]]</f>
        <v>404910</v>
      </c>
      <c r="I208" s="24"/>
      <c r="J208" s="23"/>
      <c r="K208" s="22">
        <f>Tabla127[[#This Row],[MASTER]]*0.9</f>
        <v>404910</v>
      </c>
      <c r="L208">
        <v>449900</v>
      </c>
    </row>
    <row r="209" spans="1:12" ht="27" x14ac:dyDescent="0.25">
      <c r="A209" s="30" t="s">
        <v>132</v>
      </c>
      <c r="B209" s="29" t="s">
        <v>131</v>
      </c>
      <c r="C209" s="28">
        <f>+Tabla127[[#This Row],[INSTALLER]]</f>
        <v>404910</v>
      </c>
      <c r="D209" s="28">
        <f>+Tabla127[[#This Row],[PRECIO INSTALLER (CON IVA)]]-Tabla127[[#This Row],[Columna6]]</f>
        <v>384664.5</v>
      </c>
      <c r="E209" s="28">
        <f>+Tabla127[[#This Row],[PRECIO INSTALLER (CON IVA)]]/0.7</f>
        <v>578442.85714285716</v>
      </c>
      <c r="F209" s="27">
        <f>+Tabla127[[#This Row],[PRECIO INSTALLER (CON IVA)]]*5%</f>
        <v>20245.5</v>
      </c>
      <c r="G209" s="26">
        <v>1</v>
      </c>
      <c r="H209" s="25">
        <f>Tabla127[[#This Row],[INSTALLER]]</f>
        <v>404910</v>
      </c>
      <c r="I209" s="24"/>
      <c r="J209" s="23"/>
      <c r="K209" s="22">
        <f>Tabla127[[#This Row],[MASTER]]*0.9</f>
        <v>404910</v>
      </c>
      <c r="L209">
        <v>449900</v>
      </c>
    </row>
    <row r="210" spans="1:12" ht="27" x14ac:dyDescent="0.25">
      <c r="A210" s="30" t="s">
        <v>130</v>
      </c>
      <c r="B210" s="29" t="s">
        <v>129</v>
      </c>
      <c r="C210" s="28">
        <f>+Tabla127[[#This Row],[INSTALLER]]</f>
        <v>485910</v>
      </c>
      <c r="D210" s="28">
        <f>+Tabla127[[#This Row],[PRECIO INSTALLER (CON IVA)]]-Tabla127[[#This Row],[Columna6]]</f>
        <v>461614.5</v>
      </c>
      <c r="E210" s="28">
        <f>+Tabla127[[#This Row],[PRECIO INSTALLER (CON IVA)]]/0.7</f>
        <v>694157.14285714296</v>
      </c>
      <c r="F210" s="27">
        <f>+Tabla127[[#This Row],[PRECIO INSTALLER (CON IVA)]]*5%</f>
        <v>24295.5</v>
      </c>
      <c r="G210" s="26">
        <v>1</v>
      </c>
      <c r="H210" s="25">
        <f>Tabla127[[#This Row],[INSTALLER]]</f>
        <v>485910</v>
      </c>
      <c r="I210" s="24"/>
      <c r="J210" s="23"/>
      <c r="K210" s="22">
        <f>Tabla127[[#This Row],[MASTER]]*0.9</f>
        <v>485910</v>
      </c>
      <c r="L210">
        <v>539900</v>
      </c>
    </row>
    <row r="211" spans="1:12" ht="27" x14ac:dyDescent="0.25">
      <c r="A211" s="30" t="s">
        <v>128</v>
      </c>
      <c r="B211" s="29" t="s">
        <v>127</v>
      </c>
      <c r="C211" s="28">
        <f>+Tabla127[[#This Row],[INSTALLER]]</f>
        <v>485910</v>
      </c>
      <c r="D211" s="28">
        <f>+Tabla127[[#This Row],[PRECIO INSTALLER (CON IVA)]]-Tabla127[[#This Row],[Columna6]]</f>
        <v>461614.5</v>
      </c>
      <c r="E211" s="28">
        <f>+Tabla127[[#This Row],[PRECIO INSTALLER (CON IVA)]]/0.7</f>
        <v>694157.14285714296</v>
      </c>
      <c r="F211" s="27">
        <f>+Tabla127[[#This Row],[PRECIO INSTALLER (CON IVA)]]*5%</f>
        <v>24295.5</v>
      </c>
      <c r="G211" s="26">
        <v>1</v>
      </c>
      <c r="H211" s="25">
        <f>Tabla127[[#This Row],[INSTALLER]]</f>
        <v>485910</v>
      </c>
      <c r="I211" s="24"/>
      <c r="J211" s="23"/>
      <c r="K211" s="22">
        <f>Tabla127[[#This Row],[MASTER]]*0.9</f>
        <v>485910</v>
      </c>
      <c r="L211">
        <v>539900</v>
      </c>
    </row>
    <row r="212" spans="1:12" ht="27" x14ac:dyDescent="0.25">
      <c r="A212" s="30" t="s">
        <v>126</v>
      </c>
      <c r="B212" s="29" t="s">
        <v>125</v>
      </c>
      <c r="C212" s="28">
        <f>+Tabla127[[#This Row],[INSTALLER]]</f>
        <v>539910</v>
      </c>
      <c r="D212" s="28">
        <f>+Tabla127[[#This Row],[PRECIO INSTALLER (CON IVA)]]-Tabla127[[#This Row],[Columna6]]</f>
        <v>512914.5</v>
      </c>
      <c r="E212" s="28">
        <f>+Tabla127[[#This Row],[PRECIO INSTALLER (CON IVA)]]/0.7</f>
        <v>771300</v>
      </c>
      <c r="F212" s="27">
        <f>+Tabla127[[#This Row],[PRECIO INSTALLER (CON IVA)]]*5%</f>
        <v>26995.5</v>
      </c>
      <c r="G212" s="26">
        <v>1</v>
      </c>
      <c r="H212" s="25">
        <f>Tabla127[[#This Row],[INSTALLER]]</f>
        <v>539910</v>
      </c>
      <c r="I212" s="24"/>
      <c r="J212" s="23"/>
      <c r="K212" s="22">
        <f>Tabla127[[#This Row],[MASTER]]*0.9</f>
        <v>539910</v>
      </c>
      <c r="L212">
        <v>599900</v>
      </c>
    </row>
    <row r="213" spans="1:12" ht="27" x14ac:dyDescent="0.25">
      <c r="A213" s="30" t="s">
        <v>124</v>
      </c>
      <c r="B213" s="29" t="s">
        <v>123</v>
      </c>
      <c r="C213" s="28">
        <f>+Tabla127[[#This Row],[INSTALLER]]</f>
        <v>539910</v>
      </c>
      <c r="D213" s="28">
        <f>+Tabla127[[#This Row],[PRECIO INSTALLER (CON IVA)]]-Tabla127[[#This Row],[Columna6]]</f>
        <v>512914.5</v>
      </c>
      <c r="E213" s="28">
        <f>+Tabla127[[#This Row],[PRECIO INSTALLER (CON IVA)]]/0.7</f>
        <v>771300</v>
      </c>
      <c r="F213" s="27">
        <f>+Tabla127[[#This Row],[PRECIO INSTALLER (CON IVA)]]*5%</f>
        <v>26995.5</v>
      </c>
      <c r="G213" s="26">
        <v>1</v>
      </c>
      <c r="H213" s="25">
        <f>Tabla127[[#This Row],[INSTALLER]]</f>
        <v>539910</v>
      </c>
      <c r="I213" s="24"/>
      <c r="J213" s="23"/>
      <c r="K213" s="22">
        <f>Tabla127[[#This Row],[MASTER]]*0.9</f>
        <v>539910</v>
      </c>
      <c r="L213">
        <v>599900</v>
      </c>
    </row>
    <row r="214" spans="1:12" x14ac:dyDescent="0.25">
      <c r="A214" s="30"/>
      <c r="B214" s="33" t="s">
        <v>122</v>
      </c>
      <c r="C214" s="32"/>
      <c r="D214" s="32"/>
      <c r="E214" s="32"/>
      <c r="F214" s="31">
        <f>+Tabla127[[#This Row],[PRECIO INSTALLER (CON IVA)]]*5%</f>
        <v>0</v>
      </c>
      <c r="G214" s="26"/>
      <c r="H214" s="25">
        <f>Tabla127[[#This Row],[INSTALLER]]</f>
        <v>0</v>
      </c>
      <c r="I214" s="24"/>
      <c r="J214" s="23"/>
      <c r="K214" s="22">
        <f>Tabla127[[#This Row],[MASTER]]*0.9</f>
        <v>0</v>
      </c>
    </row>
    <row r="215" spans="1:12" ht="27" x14ac:dyDescent="0.25">
      <c r="A215" s="30" t="s">
        <v>121</v>
      </c>
      <c r="B215" s="29" t="s">
        <v>120</v>
      </c>
      <c r="C215" s="28">
        <f>+Tabla127[[#This Row],[INSTALLER]]</f>
        <v>103410</v>
      </c>
      <c r="D215" s="28">
        <f>+Tabla127[[#This Row],[PRECIO INSTALLER (CON IVA)]]-Tabla127[[#This Row],[Columna6]]</f>
        <v>98239.5</v>
      </c>
      <c r="E215" s="28">
        <f>+Tabla127[[#This Row],[PRECIO INSTALLER (CON IVA)]]/0.7</f>
        <v>147728.57142857145</v>
      </c>
      <c r="F215" s="27">
        <f>+Tabla127[[#This Row],[PRECIO INSTALLER (CON IVA)]]*5%</f>
        <v>5170.5</v>
      </c>
      <c r="G215" s="26">
        <v>1</v>
      </c>
      <c r="H215" s="25">
        <f>Tabla127[[#This Row],[INSTALLER]]</f>
        <v>103410</v>
      </c>
      <c r="I215" s="24"/>
      <c r="J215" s="23"/>
      <c r="K215" s="22">
        <f>Tabla127[[#This Row],[MASTER]]*0.9</f>
        <v>103410</v>
      </c>
      <c r="L215">
        <v>114900</v>
      </c>
    </row>
    <row r="216" spans="1:12" ht="40.5" x14ac:dyDescent="0.25">
      <c r="A216" s="30" t="s">
        <v>119</v>
      </c>
      <c r="B216" s="29" t="s">
        <v>118</v>
      </c>
      <c r="C216" s="28">
        <f>+Tabla127[[#This Row],[INSTALLER]]</f>
        <v>112410</v>
      </c>
      <c r="D216" s="28">
        <f>+Tabla127[[#This Row],[PRECIO INSTALLER (CON IVA)]]-Tabla127[[#This Row],[Columna6]]</f>
        <v>106789.5</v>
      </c>
      <c r="E216" s="28">
        <f>+Tabla127[[#This Row],[PRECIO INSTALLER (CON IVA)]]/0.7</f>
        <v>160585.71428571429</v>
      </c>
      <c r="F216" s="27">
        <f>+Tabla127[[#This Row],[PRECIO INSTALLER (CON IVA)]]*5%</f>
        <v>5620.5</v>
      </c>
      <c r="G216" s="26">
        <v>1</v>
      </c>
      <c r="H216" s="25">
        <f>Tabla127[[#This Row],[INSTALLER]]</f>
        <v>112410</v>
      </c>
      <c r="I216" s="24"/>
      <c r="J216" s="23"/>
      <c r="K216" s="22">
        <f>Tabla127[[#This Row],[MASTER]]*0.9</f>
        <v>112410</v>
      </c>
      <c r="L216">
        <v>124900</v>
      </c>
    </row>
    <row r="217" spans="1:12" ht="27" x14ac:dyDescent="0.25">
      <c r="A217" s="30" t="s">
        <v>117</v>
      </c>
      <c r="B217" s="29" t="s">
        <v>116</v>
      </c>
      <c r="C217" s="28">
        <f>+Tabla127[[#This Row],[INSTALLER]]</f>
        <v>125910</v>
      </c>
      <c r="D217" s="28">
        <f>+Tabla127[[#This Row],[PRECIO INSTALLER (CON IVA)]]-Tabla127[[#This Row],[Columna6]]</f>
        <v>119614.5</v>
      </c>
      <c r="E217" s="28">
        <f>+Tabla127[[#This Row],[PRECIO INSTALLER (CON IVA)]]/0.7</f>
        <v>179871.42857142858</v>
      </c>
      <c r="F217" s="27">
        <f>+Tabla127[[#This Row],[PRECIO INSTALLER (CON IVA)]]*5%</f>
        <v>6295.5</v>
      </c>
      <c r="G217" s="26">
        <v>1</v>
      </c>
      <c r="H217" s="25">
        <f>Tabla127[[#This Row],[INSTALLER]]</f>
        <v>125910</v>
      </c>
      <c r="I217" s="24"/>
      <c r="J217" s="23"/>
      <c r="K217" s="22">
        <f>Tabla127[[#This Row],[MASTER]]*0.9</f>
        <v>125910</v>
      </c>
      <c r="L217">
        <v>139900</v>
      </c>
    </row>
    <row r="218" spans="1:12" ht="27" x14ac:dyDescent="0.25">
      <c r="A218" s="30" t="s">
        <v>115</v>
      </c>
      <c r="B218" s="29" t="s">
        <v>114</v>
      </c>
      <c r="C218" s="28">
        <f>+Tabla127[[#This Row],[INSTALLER]]</f>
        <v>139410</v>
      </c>
      <c r="D218" s="28">
        <f>+Tabla127[[#This Row],[PRECIO INSTALLER (CON IVA)]]-Tabla127[[#This Row],[Columna6]]</f>
        <v>132439.5</v>
      </c>
      <c r="E218" s="28">
        <f>+Tabla127[[#This Row],[PRECIO INSTALLER (CON IVA)]]/0.7</f>
        <v>199157.14285714287</v>
      </c>
      <c r="F218" s="27">
        <f>+Tabla127[[#This Row],[PRECIO INSTALLER (CON IVA)]]*5%</f>
        <v>6970.5</v>
      </c>
      <c r="G218" s="26">
        <v>1</v>
      </c>
      <c r="H218" s="25">
        <f>Tabla127[[#This Row],[INSTALLER]]</f>
        <v>139410</v>
      </c>
      <c r="I218" s="24"/>
      <c r="J218" s="23"/>
      <c r="K218" s="22">
        <f>Tabla127[[#This Row],[MASTER]]*0.9</f>
        <v>139410</v>
      </c>
      <c r="L218">
        <v>154900</v>
      </c>
    </row>
    <row r="219" spans="1:12" ht="27" x14ac:dyDescent="0.25">
      <c r="A219" s="30" t="s">
        <v>113</v>
      </c>
      <c r="B219" s="29" t="s">
        <v>112</v>
      </c>
      <c r="C219" s="28">
        <f>+Tabla127[[#This Row],[INSTALLER]]</f>
        <v>179910</v>
      </c>
      <c r="D219" s="28">
        <f>+Tabla127[[#This Row],[PRECIO INSTALLER (CON IVA)]]-Tabla127[[#This Row],[Columna6]]</f>
        <v>170914.5</v>
      </c>
      <c r="E219" s="28">
        <f>+Tabla127[[#This Row],[PRECIO INSTALLER (CON IVA)]]/0.7</f>
        <v>257014.28571428574</v>
      </c>
      <c r="F219" s="27">
        <f>+Tabla127[[#This Row],[PRECIO INSTALLER (CON IVA)]]*5%</f>
        <v>8995.5</v>
      </c>
      <c r="G219" s="26">
        <v>1</v>
      </c>
      <c r="H219" s="25">
        <f>Tabla127[[#This Row],[INSTALLER]]</f>
        <v>179910</v>
      </c>
      <c r="I219" s="24"/>
      <c r="J219" s="23"/>
      <c r="K219" s="22">
        <f>Tabla127[[#This Row],[MASTER]]*0.9</f>
        <v>179910</v>
      </c>
      <c r="L219">
        <v>199900</v>
      </c>
    </row>
    <row r="220" spans="1:12" ht="27" x14ac:dyDescent="0.25">
      <c r="A220" s="30" t="s">
        <v>111</v>
      </c>
      <c r="B220" s="29" t="s">
        <v>110</v>
      </c>
      <c r="C220" s="28">
        <f>+Tabla127[[#This Row],[INSTALLER]]</f>
        <v>206910</v>
      </c>
      <c r="D220" s="28">
        <f>+Tabla127[[#This Row],[PRECIO INSTALLER (CON IVA)]]-Tabla127[[#This Row],[Columna6]]</f>
        <v>196564.5</v>
      </c>
      <c r="E220" s="28">
        <f>+Tabla127[[#This Row],[PRECIO INSTALLER (CON IVA)]]/0.7</f>
        <v>295585.71428571432</v>
      </c>
      <c r="F220" s="27">
        <f>+Tabla127[[#This Row],[PRECIO INSTALLER (CON IVA)]]*5%</f>
        <v>10345.5</v>
      </c>
      <c r="G220" s="26">
        <v>1</v>
      </c>
      <c r="H220" s="25">
        <f>Tabla127[[#This Row],[INSTALLER]]</f>
        <v>206910</v>
      </c>
      <c r="I220" s="24"/>
      <c r="J220" s="23"/>
      <c r="K220" s="22">
        <f>Tabla127[[#This Row],[MASTER]]*0.9</f>
        <v>206910</v>
      </c>
      <c r="L220">
        <v>229900</v>
      </c>
    </row>
    <row r="221" spans="1:12" x14ac:dyDescent="0.25">
      <c r="A221" s="30"/>
      <c r="B221" s="33" t="s">
        <v>109</v>
      </c>
      <c r="C221" s="32"/>
      <c r="D221" s="32"/>
      <c r="E221" s="32"/>
      <c r="F221" s="31">
        <f>+Tabla127[[#This Row],[PRECIO INSTALLER (CON IVA)]]*5%</f>
        <v>0</v>
      </c>
      <c r="G221" s="26"/>
      <c r="H221" s="25">
        <f>Tabla127[[#This Row],[INSTALLER]]</f>
        <v>0</v>
      </c>
      <c r="I221" s="24"/>
      <c r="J221" s="23"/>
      <c r="K221" s="22">
        <f>Tabla127[[#This Row],[MASTER]]*0.9</f>
        <v>0</v>
      </c>
    </row>
    <row r="222" spans="1:12" ht="40.5" x14ac:dyDescent="0.25">
      <c r="A222" s="30" t="s">
        <v>108</v>
      </c>
      <c r="B222" s="29" t="s">
        <v>107</v>
      </c>
      <c r="C222" s="28">
        <f>+Tabla127[[#This Row],[INSTALLER]]</f>
        <v>359910</v>
      </c>
      <c r="D222" s="28">
        <f>+Tabla127[[#This Row],[PRECIO INSTALLER (CON IVA)]]-Tabla127[[#This Row],[Columna6]]</f>
        <v>341914.5</v>
      </c>
      <c r="E222" s="28">
        <f>+Tabla127[[#This Row],[PRECIO INSTALLER (CON IVA)]]/0.7</f>
        <v>514157.1428571429</v>
      </c>
      <c r="F222" s="27">
        <f>+Tabla127[[#This Row],[PRECIO INSTALLER (CON IVA)]]*5%</f>
        <v>17995.5</v>
      </c>
      <c r="G222" s="26">
        <v>1</v>
      </c>
      <c r="H222" s="25">
        <f>Tabla127[[#This Row],[INSTALLER]]</f>
        <v>359910</v>
      </c>
      <c r="I222" s="24"/>
      <c r="J222" s="23"/>
      <c r="K222" s="22">
        <f>Tabla127[[#This Row],[MASTER]]*0.9</f>
        <v>359910</v>
      </c>
      <c r="L222">
        <v>399900</v>
      </c>
    </row>
    <row r="223" spans="1:12" ht="40.5" x14ac:dyDescent="0.25">
      <c r="A223" s="30" t="s">
        <v>106</v>
      </c>
      <c r="B223" s="29" t="s">
        <v>105</v>
      </c>
      <c r="C223" s="28">
        <f>+Tabla127[[#This Row],[INSTALLER]]</f>
        <v>404910</v>
      </c>
      <c r="D223" s="28">
        <f>+Tabla127[[#This Row],[PRECIO INSTALLER (CON IVA)]]-Tabla127[[#This Row],[Columna6]]</f>
        <v>384664.5</v>
      </c>
      <c r="E223" s="28">
        <f>+Tabla127[[#This Row],[PRECIO INSTALLER (CON IVA)]]/0.7</f>
        <v>578442.85714285716</v>
      </c>
      <c r="F223" s="27">
        <f>+Tabla127[[#This Row],[PRECIO INSTALLER (CON IVA)]]*5%</f>
        <v>20245.5</v>
      </c>
      <c r="G223" s="26">
        <v>1</v>
      </c>
      <c r="H223" s="25">
        <f>Tabla127[[#This Row],[INSTALLER]]</f>
        <v>404910</v>
      </c>
      <c r="I223" s="24"/>
      <c r="J223" s="23"/>
      <c r="K223" s="22">
        <f>Tabla127[[#This Row],[MASTER]]*0.9</f>
        <v>404910</v>
      </c>
      <c r="L223">
        <v>449900</v>
      </c>
    </row>
    <row r="224" spans="1:12" ht="40.5" x14ac:dyDescent="0.25">
      <c r="A224" s="30" t="s">
        <v>104</v>
      </c>
      <c r="B224" s="29" t="s">
        <v>103</v>
      </c>
      <c r="C224" s="28">
        <f>+Tabla127[[#This Row],[INSTALLER]]</f>
        <v>575910</v>
      </c>
      <c r="D224" s="28">
        <f>+Tabla127[[#This Row],[PRECIO INSTALLER (CON IVA)]]-Tabla127[[#This Row],[Columna6]]</f>
        <v>547114.5</v>
      </c>
      <c r="E224" s="28">
        <f>+Tabla127[[#This Row],[PRECIO INSTALLER (CON IVA)]]/0.7</f>
        <v>822728.57142857148</v>
      </c>
      <c r="F224" s="27">
        <f>+Tabla127[[#This Row],[PRECIO INSTALLER (CON IVA)]]*5%</f>
        <v>28795.5</v>
      </c>
      <c r="G224" s="26">
        <v>1</v>
      </c>
      <c r="H224" s="25">
        <f>Tabla127[[#This Row],[INSTALLER]]</f>
        <v>575910</v>
      </c>
      <c r="I224" s="24"/>
      <c r="J224" s="23"/>
      <c r="K224" s="22">
        <f>Tabla127[[#This Row],[MASTER]]*0.9</f>
        <v>575910</v>
      </c>
      <c r="L224">
        <v>639900</v>
      </c>
    </row>
    <row r="225" spans="1:12" x14ac:dyDescent="0.25">
      <c r="A225" s="30"/>
      <c r="B225" s="33" t="s">
        <v>77</v>
      </c>
      <c r="C225" s="32"/>
      <c r="D225" s="32"/>
      <c r="E225" s="32"/>
      <c r="F225" s="31">
        <f>+Tabla127[[#This Row],[PRECIO INSTALLER (CON IVA)]]*5%</f>
        <v>0</v>
      </c>
      <c r="G225" s="26"/>
      <c r="H225" s="25">
        <f>Tabla127[[#This Row],[INSTALLER]]</f>
        <v>0</v>
      </c>
      <c r="I225" s="24"/>
      <c r="J225" s="23"/>
      <c r="K225" s="22">
        <f>Tabla127[[#This Row],[MASTER]]*0.9</f>
        <v>0</v>
      </c>
    </row>
    <row r="226" spans="1:12" ht="27" x14ac:dyDescent="0.25">
      <c r="A226" s="30" t="s">
        <v>102</v>
      </c>
      <c r="B226" s="29" t="s">
        <v>101</v>
      </c>
      <c r="C226" s="28">
        <f>+Tabla127[[#This Row],[INSTALLER]]</f>
        <v>6210</v>
      </c>
      <c r="D226" s="28">
        <f>+Tabla127[[#This Row],[PRECIO INSTALLER (CON IVA)]]-Tabla127[[#This Row],[Columna6]]</f>
        <v>5899.5</v>
      </c>
      <c r="E226" s="28">
        <f>+Tabla127[[#This Row],[PRECIO INSTALLER (CON IVA)]]/0.7</f>
        <v>8871.4285714285725</v>
      </c>
      <c r="F226" s="27">
        <f>+Tabla127[[#This Row],[PRECIO INSTALLER (CON IVA)]]*5%</f>
        <v>310.5</v>
      </c>
      <c r="G226" s="26">
        <v>1</v>
      </c>
      <c r="H226" s="25">
        <f>Tabla127[[#This Row],[INSTALLER]]</f>
        <v>6210</v>
      </c>
      <c r="I226" s="24"/>
      <c r="J226" s="23"/>
      <c r="K226" s="22">
        <f>Tabla127[[#This Row],[MASTER]]*0.9</f>
        <v>6210</v>
      </c>
      <c r="L226">
        <v>6900</v>
      </c>
    </row>
    <row r="227" spans="1:12" x14ac:dyDescent="0.25">
      <c r="A227" s="30"/>
      <c r="B227" s="36" t="s">
        <v>100</v>
      </c>
      <c r="C227" s="35"/>
      <c r="D227" s="35"/>
      <c r="E227" s="35"/>
      <c r="F227" s="34">
        <f>+Tabla127[[#This Row],[PRECIO INSTALLER (CON IVA)]]*5%</f>
        <v>0</v>
      </c>
      <c r="G227" s="26"/>
      <c r="H227" s="25">
        <f>Tabla127[[#This Row],[INSTALLER]]</f>
        <v>0</v>
      </c>
      <c r="I227" s="24"/>
      <c r="J227" s="23"/>
      <c r="K227" s="22">
        <f>Tabla127[[#This Row],[MASTER]]*0.9</f>
        <v>0</v>
      </c>
    </row>
    <row r="228" spans="1:12" ht="40.5" x14ac:dyDescent="0.25">
      <c r="A228" s="30" t="s">
        <v>99</v>
      </c>
      <c r="B228" s="29" t="s">
        <v>98</v>
      </c>
      <c r="C228" s="28">
        <f>+Tabla127[[#This Row],[INSTALLER]]</f>
        <v>5310</v>
      </c>
      <c r="D228" s="28">
        <f>+Tabla127[[#This Row],[PRECIO INSTALLER (CON IVA)]]-Tabla127[[#This Row],[Columna6]]</f>
        <v>5044.5</v>
      </c>
      <c r="E228" s="28">
        <f>+Tabla127[[#This Row],[PRECIO INSTALLER (CON IVA)]]/0.7</f>
        <v>7585.7142857142862</v>
      </c>
      <c r="F228" s="27">
        <f>+Tabla127[[#This Row],[PRECIO INSTALLER (CON IVA)]]*5%</f>
        <v>265.5</v>
      </c>
      <c r="G228" s="26">
        <v>1</v>
      </c>
      <c r="H228" s="25">
        <f>Tabla127[[#This Row],[INSTALLER]]</f>
        <v>5310</v>
      </c>
      <c r="I228" s="24"/>
      <c r="J228" s="23"/>
      <c r="K228" s="22">
        <f>Tabla127[[#This Row],[MASTER]]*0.9</f>
        <v>5310</v>
      </c>
      <c r="L228">
        <v>5900</v>
      </c>
    </row>
    <row r="229" spans="1:12" ht="40.5" x14ac:dyDescent="0.25">
      <c r="A229" s="30" t="s">
        <v>97</v>
      </c>
      <c r="B229" s="29" t="s">
        <v>96</v>
      </c>
      <c r="C229" s="28">
        <f>+Tabla127[[#This Row],[INSTALLER]]</f>
        <v>6210</v>
      </c>
      <c r="D229" s="28">
        <f>+Tabla127[[#This Row],[PRECIO INSTALLER (CON IVA)]]-Tabla127[[#This Row],[Columna6]]</f>
        <v>5899.5</v>
      </c>
      <c r="E229" s="28">
        <f>+Tabla127[[#This Row],[PRECIO INSTALLER (CON IVA)]]/0.7</f>
        <v>8871.4285714285725</v>
      </c>
      <c r="F229" s="27">
        <f>+Tabla127[[#This Row],[PRECIO INSTALLER (CON IVA)]]*5%</f>
        <v>310.5</v>
      </c>
      <c r="G229" s="26">
        <v>1</v>
      </c>
      <c r="H229" s="25">
        <f>Tabla127[[#This Row],[INSTALLER]]</f>
        <v>6210</v>
      </c>
      <c r="I229" s="24"/>
      <c r="J229" s="23"/>
      <c r="K229" s="22">
        <f>Tabla127[[#This Row],[MASTER]]*0.9</f>
        <v>6210</v>
      </c>
      <c r="L229">
        <v>6900</v>
      </c>
    </row>
    <row r="230" spans="1:12" x14ac:dyDescent="0.25">
      <c r="A230" s="30"/>
      <c r="B230" s="36" t="s">
        <v>95</v>
      </c>
      <c r="C230" s="35"/>
      <c r="D230" s="35"/>
      <c r="E230" s="35"/>
      <c r="F230" s="34">
        <f>+Tabla127[[#This Row],[PRECIO INSTALLER (CON IVA)]]*5%</f>
        <v>0</v>
      </c>
      <c r="G230" s="26"/>
      <c r="H230" s="25">
        <f>Tabla127[[#This Row],[INSTALLER]]</f>
        <v>0</v>
      </c>
      <c r="I230" s="24"/>
      <c r="J230" s="23"/>
      <c r="K230" s="22">
        <f>Tabla127[[#This Row],[MASTER]]*0.9</f>
        <v>0</v>
      </c>
    </row>
    <row r="231" spans="1:12" ht="27" x14ac:dyDescent="0.25">
      <c r="A231" s="30" t="s">
        <v>94</v>
      </c>
      <c r="B231" s="29" t="s">
        <v>93</v>
      </c>
      <c r="C231" s="28">
        <f>+Tabla127[[#This Row],[INSTALLER]]</f>
        <v>7650</v>
      </c>
      <c r="D231" s="28">
        <f>+Tabla127[[#This Row],[PRECIO INSTALLER (CON IVA)]]-Tabla127[[#This Row],[Columna6]]</f>
        <v>7267.5</v>
      </c>
      <c r="E231" s="28">
        <f>+Tabla127[[#This Row],[PRECIO INSTALLER (CON IVA)]]/0.7</f>
        <v>10928.571428571429</v>
      </c>
      <c r="F231" s="27">
        <f>+Tabla127[[#This Row],[PRECIO INSTALLER (CON IVA)]]*5%</f>
        <v>382.5</v>
      </c>
      <c r="G231" s="26">
        <v>1</v>
      </c>
      <c r="H231" s="25">
        <f>Tabla127[[#This Row],[INSTALLER]]</f>
        <v>7650</v>
      </c>
      <c r="I231" s="24"/>
      <c r="J231" s="23"/>
      <c r="K231" s="22">
        <f>Tabla127[[#This Row],[MASTER]]*0.9</f>
        <v>7650</v>
      </c>
      <c r="L231">
        <v>8500</v>
      </c>
    </row>
    <row r="232" spans="1:12" x14ac:dyDescent="0.25">
      <c r="A232" s="30"/>
      <c r="B232" s="36" t="s">
        <v>92</v>
      </c>
      <c r="C232" s="35"/>
      <c r="D232" s="35"/>
      <c r="E232" s="35"/>
      <c r="F232" s="34">
        <f>+Tabla127[[#This Row],[PRECIO INSTALLER (CON IVA)]]*5%</f>
        <v>0</v>
      </c>
      <c r="G232" s="26"/>
      <c r="H232" s="25">
        <f>Tabla127[[#This Row],[INSTALLER]]</f>
        <v>0</v>
      </c>
      <c r="I232" s="24"/>
      <c r="J232" s="23"/>
      <c r="K232" s="22">
        <f>Tabla127[[#This Row],[MASTER]]*0.9</f>
        <v>0</v>
      </c>
    </row>
    <row r="233" spans="1:12" ht="27" x14ac:dyDescent="0.25">
      <c r="A233" s="30" t="s">
        <v>91</v>
      </c>
      <c r="B233" s="29" t="s">
        <v>90</v>
      </c>
      <c r="C233" s="28">
        <f>+Tabla127[[#This Row],[INSTALLER]]</f>
        <v>12510</v>
      </c>
      <c r="D233" s="28">
        <f>+Tabla127[[#This Row],[PRECIO INSTALLER (CON IVA)]]-Tabla127[[#This Row],[Columna6]]</f>
        <v>11884.5</v>
      </c>
      <c r="E233" s="28">
        <f>+Tabla127[[#This Row],[PRECIO INSTALLER (CON IVA)]]/0.7</f>
        <v>17871.428571428572</v>
      </c>
      <c r="F233" s="27">
        <f>+Tabla127[[#This Row],[PRECIO INSTALLER (CON IVA)]]*5%</f>
        <v>625.5</v>
      </c>
      <c r="G233" s="26">
        <v>1</v>
      </c>
      <c r="H233" s="25">
        <f>Tabla127[[#This Row],[INSTALLER]]</f>
        <v>12510</v>
      </c>
      <c r="I233" s="24"/>
      <c r="J233" s="23"/>
      <c r="K233" s="22">
        <f>Tabla127[[#This Row],[MASTER]]*0.9</f>
        <v>12510</v>
      </c>
      <c r="L233">
        <v>13900</v>
      </c>
    </row>
    <row r="234" spans="1:12" ht="27" x14ac:dyDescent="0.25">
      <c r="A234" s="30" t="s">
        <v>89</v>
      </c>
      <c r="B234" s="29" t="s">
        <v>88</v>
      </c>
      <c r="C234" s="28">
        <f>+Tabla127[[#This Row],[INSTALLER]]</f>
        <v>12510</v>
      </c>
      <c r="D234" s="28">
        <f>+Tabla127[[#This Row],[PRECIO INSTALLER (CON IVA)]]-Tabla127[[#This Row],[Columna6]]</f>
        <v>11884.5</v>
      </c>
      <c r="E234" s="28">
        <f>+Tabla127[[#This Row],[PRECIO INSTALLER (CON IVA)]]/0.7</f>
        <v>17871.428571428572</v>
      </c>
      <c r="F234" s="27">
        <f>+Tabla127[[#This Row],[PRECIO INSTALLER (CON IVA)]]*5%</f>
        <v>625.5</v>
      </c>
      <c r="G234" s="26">
        <v>1</v>
      </c>
      <c r="H234" s="25">
        <f>Tabla127[[#This Row],[INSTALLER]]</f>
        <v>12510</v>
      </c>
      <c r="I234" s="24"/>
      <c r="J234" s="23"/>
      <c r="K234" s="22">
        <f>Tabla127[[#This Row],[MASTER]]*0.9</f>
        <v>12510</v>
      </c>
      <c r="L234">
        <v>13900</v>
      </c>
    </row>
    <row r="235" spans="1:12" ht="27" x14ac:dyDescent="0.25">
      <c r="A235" s="30" t="s">
        <v>87</v>
      </c>
      <c r="B235" s="29" t="s">
        <v>86</v>
      </c>
      <c r="C235" s="28">
        <f>+Tabla127[[#This Row],[INSTALLER]]</f>
        <v>12510</v>
      </c>
      <c r="D235" s="28">
        <f>+Tabla127[[#This Row],[PRECIO INSTALLER (CON IVA)]]-Tabla127[[#This Row],[Columna6]]</f>
        <v>11884.5</v>
      </c>
      <c r="E235" s="28">
        <f>+Tabla127[[#This Row],[PRECIO INSTALLER (CON IVA)]]/0.7</f>
        <v>17871.428571428572</v>
      </c>
      <c r="F235" s="27">
        <f>+Tabla127[[#This Row],[PRECIO INSTALLER (CON IVA)]]*5%</f>
        <v>625.5</v>
      </c>
      <c r="G235" s="26">
        <v>1</v>
      </c>
      <c r="H235" s="25">
        <f>Tabla127[[#This Row],[INSTALLER]]</f>
        <v>12510</v>
      </c>
      <c r="I235" s="24"/>
      <c r="J235" s="23"/>
      <c r="K235" s="22">
        <f>Tabla127[[#This Row],[MASTER]]*0.9</f>
        <v>12510</v>
      </c>
      <c r="L235">
        <v>13900</v>
      </c>
    </row>
    <row r="236" spans="1:12" ht="27" x14ac:dyDescent="0.25">
      <c r="A236" s="30" t="s">
        <v>85</v>
      </c>
      <c r="B236" s="29" t="s">
        <v>84</v>
      </c>
      <c r="C236" s="28">
        <f>+Tabla127[[#This Row],[INSTALLER]]</f>
        <v>34110</v>
      </c>
      <c r="D236" s="28">
        <f>+Tabla127[[#This Row],[PRECIO INSTALLER (CON IVA)]]-Tabla127[[#This Row],[Columna6]]</f>
        <v>32404.5</v>
      </c>
      <c r="E236" s="28">
        <f>+Tabla127[[#This Row],[PRECIO INSTALLER (CON IVA)]]/0.7</f>
        <v>48728.571428571435</v>
      </c>
      <c r="F236" s="27">
        <f>+Tabla127[[#This Row],[PRECIO INSTALLER (CON IVA)]]*5%</f>
        <v>1705.5</v>
      </c>
      <c r="G236" s="26">
        <v>1</v>
      </c>
      <c r="H236" s="25">
        <f>Tabla127[[#This Row],[INSTALLER]]</f>
        <v>34110</v>
      </c>
      <c r="I236" s="24"/>
      <c r="J236" s="23"/>
      <c r="K236" s="22">
        <f>Tabla127[[#This Row],[MASTER]]*0.9</f>
        <v>34110</v>
      </c>
      <c r="L236">
        <v>37900</v>
      </c>
    </row>
    <row r="237" spans="1:12" ht="27" x14ac:dyDescent="0.25">
      <c r="A237" s="30" t="s">
        <v>83</v>
      </c>
      <c r="B237" s="29" t="s">
        <v>82</v>
      </c>
      <c r="C237" s="28">
        <f>+Tabla127[[#This Row],[INSTALLER]]</f>
        <v>6300</v>
      </c>
      <c r="D237" s="28">
        <f>+Tabla127[[#This Row],[PRECIO INSTALLER (CON IVA)]]-Tabla127[[#This Row],[Columna6]]</f>
        <v>5985</v>
      </c>
      <c r="E237" s="28">
        <f>+Tabla127[[#This Row],[PRECIO INSTALLER (CON IVA)]]/0.7</f>
        <v>9000</v>
      </c>
      <c r="F237" s="27">
        <f>+Tabla127[[#This Row],[PRECIO INSTALLER (CON IVA)]]*5%</f>
        <v>315</v>
      </c>
      <c r="G237" s="26">
        <v>1</v>
      </c>
      <c r="H237" s="25">
        <f>Tabla127[[#This Row],[INSTALLER]]</f>
        <v>6300</v>
      </c>
      <c r="I237" s="24"/>
      <c r="J237" s="23"/>
      <c r="K237" s="22">
        <f>Tabla127[[#This Row],[MASTER]]*0.9</f>
        <v>6300</v>
      </c>
      <c r="L237">
        <v>7000</v>
      </c>
    </row>
    <row r="238" spans="1:12" ht="27" x14ac:dyDescent="0.25">
      <c r="A238" s="30" t="s">
        <v>81</v>
      </c>
      <c r="B238" s="29" t="s">
        <v>80</v>
      </c>
      <c r="C238" s="28">
        <f>+Tabla127[[#This Row],[INSTALLER]]</f>
        <v>6300</v>
      </c>
      <c r="D238" s="28">
        <f>+Tabla127[[#This Row],[PRECIO INSTALLER (CON IVA)]]-Tabla127[[#This Row],[Columna6]]</f>
        <v>5985</v>
      </c>
      <c r="E238" s="28">
        <f>+Tabla127[[#This Row],[PRECIO INSTALLER (CON IVA)]]/0.7</f>
        <v>9000</v>
      </c>
      <c r="F238" s="27">
        <f>+Tabla127[[#This Row],[PRECIO INSTALLER (CON IVA)]]*5%</f>
        <v>315</v>
      </c>
      <c r="G238" s="26">
        <v>1</v>
      </c>
      <c r="H238" s="25">
        <f>Tabla127[[#This Row],[INSTALLER]]</f>
        <v>6300</v>
      </c>
      <c r="I238" s="24"/>
      <c r="J238" s="23"/>
      <c r="K238" s="22">
        <f>Tabla127[[#This Row],[MASTER]]*0.9</f>
        <v>6300</v>
      </c>
      <c r="L238">
        <v>7000</v>
      </c>
    </row>
    <row r="239" spans="1:12" ht="27" x14ac:dyDescent="0.25">
      <c r="A239" s="30" t="s">
        <v>79</v>
      </c>
      <c r="B239" s="29" t="s">
        <v>78</v>
      </c>
      <c r="C239" s="28">
        <f>+Tabla127[[#This Row],[INSTALLER]]</f>
        <v>15210</v>
      </c>
      <c r="D239" s="28">
        <f>+Tabla127[[#This Row],[PRECIO INSTALLER (CON IVA)]]-Tabla127[[#This Row],[Columna6]]</f>
        <v>14449.5</v>
      </c>
      <c r="E239" s="28">
        <f>+Tabla127[[#This Row],[PRECIO INSTALLER (CON IVA)]]/0.7</f>
        <v>21728.571428571431</v>
      </c>
      <c r="F239" s="27">
        <f>+Tabla127[[#This Row],[PRECIO INSTALLER (CON IVA)]]*5%</f>
        <v>760.5</v>
      </c>
      <c r="G239" s="26">
        <v>1</v>
      </c>
      <c r="H239" s="25">
        <f>Tabla127[[#This Row],[INSTALLER]]</f>
        <v>15210</v>
      </c>
      <c r="I239" s="24"/>
      <c r="J239" s="23"/>
      <c r="K239" s="22">
        <f>Tabla127[[#This Row],[MASTER]]*0.9</f>
        <v>15210</v>
      </c>
      <c r="L239">
        <v>16900</v>
      </c>
    </row>
    <row r="240" spans="1:12" x14ac:dyDescent="0.25">
      <c r="A240" s="30"/>
      <c r="B240" s="33" t="s">
        <v>77</v>
      </c>
      <c r="C240" s="32"/>
      <c r="D240" s="32"/>
      <c r="E240" s="32"/>
      <c r="F240" s="31">
        <f>+Tabla127[[#This Row],[PRECIO INSTALLER (CON IVA)]]*5%</f>
        <v>0</v>
      </c>
      <c r="G240" s="26"/>
      <c r="H240" s="25">
        <f>Tabla127[[#This Row],[INSTALLER]]</f>
        <v>0</v>
      </c>
      <c r="I240" s="24"/>
      <c r="J240" s="23"/>
      <c r="K240" s="22">
        <f>Tabla127[[#This Row],[MASTER]]*0.9</f>
        <v>0</v>
      </c>
    </row>
    <row r="241" spans="1:12" ht="27" x14ac:dyDescent="0.25">
      <c r="A241" s="30" t="s">
        <v>76</v>
      </c>
      <c r="B241" s="29" t="s">
        <v>75</v>
      </c>
      <c r="C241" s="28">
        <f>+Tabla127[[#This Row],[INSTALLER]]</f>
        <v>28710</v>
      </c>
      <c r="D241" s="28">
        <f>+Tabla127[[#This Row],[PRECIO INSTALLER (CON IVA)]]-Tabla127[[#This Row],[Columna6]]</f>
        <v>27274.5</v>
      </c>
      <c r="E241" s="28">
        <f>+Tabla127[[#This Row],[PRECIO INSTALLER (CON IVA)]]/0.7</f>
        <v>41014.285714285717</v>
      </c>
      <c r="F241" s="27">
        <f>+Tabla127[[#This Row],[PRECIO INSTALLER (CON IVA)]]*5%</f>
        <v>1435.5</v>
      </c>
      <c r="G241" s="26">
        <v>1</v>
      </c>
      <c r="H241" s="25">
        <f>Tabla127[[#This Row],[INSTALLER]]</f>
        <v>28710</v>
      </c>
      <c r="I241" s="24"/>
      <c r="J241" s="23"/>
      <c r="K241" s="22">
        <f>Tabla127[[#This Row],[MASTER]]*0.9</f>
        <v>28710</v>
      </c>
      <c r="L241">
        <v>31900</v>
      </c>
    </row>
    <row r="242" spans="1:12" ht="27" x14ac:dyDescent="0.25">
      <c r="A242" s="30" t="s">
        <v>74</v>
      </c>
      <c r="B242" s="29" t="s">
        <v>73</v>
      </c>
      <c r="C242" s="28">
        <f>+Tabla127[[#This Row],[INSTALLER]]</f>
        <v>9450</v>
      </c>
      <c r="D242" s="28">
        <f>+Tabla127[[#This Row],[PRECIO INSTALLER (CON IVA)]]-Tabla127[[#This Row],[Columna6]]</f>
        <v>8977.5</v>
      </c>
      <c r="E242" s="28">
        <f>+Tabla127[[#This Row],[PRECIO INSTALLER (CON IVA)]]/0.7</f>
        <v>13500</v>
      </c>
      <c r="F242" s="27">
        <f>+Tabla127[[#This Row],[PRECIO INSTALLER (CON IVA)]]*5%</f>
        <v>472.5</v>
      </c>
      <c r="G242" s="26">
        <v>1</v>
      </c>
      <c r="H242" s="25">
        <f>Tabla127[[#This Row],[INSTALLER]]</f>
        <v>9450</v>
      </c>
      <c r="I242" s="24"/>
      <c r="J242" s="23"/>
      <c r="K242" s="22">
        <f>Tabla127[[#This Row],[MASTER]]*0.9</f>
        <v>9450</v>
      </c>
      <c r="L242">
        <v>10500</v>
      </c>
    </row>
    <row r="243" spans="1:12" ht="27" x14ac:dyDescent="0.25">
      <c r="A243" s="30" t="s">
        <v>72</v>
      </c>
      <c r="B243" s="29" t="s">
        <v>71</v>
      </c>
      <c r="C243" s="28">
        <f>+Tabla127[[#This Row],[INSTALLER]]</f>
        <v>31500</v>
      </c>
      <c r="D243" s="28">
        <f>+Tabla127[[#This Row],[PRECIO INSTALLER (CON IVA)]]-Tabla127[[#This Row],[Columna6]]</f>
        <v>29925</v>
      </c>
      <c r="E243" s="28">
        <f>+Tabla127[[#This Row],[PRECIO INSTALLER (CON IVA)]]/0.7</f>
        <v>45000</v>
      </c>
      <c r="F243" s="27">
        <f>+Tabla127[[#This Row],[PRECIO INSTALLER (CON IVA)]]*5%</f>
        <v>1575</v>
      </c>
      <c r="G243" s="26">
        <v>1</v>
      </c>
      <c r="H243" s="25">
        <f>Tabla127[[#This Row],[INSTALLER]]</f>
        <v>31500</v>
      </c>
      <c r="I243" s="24"/>
      <c r="J243" s="23"/>
      <c r="K243" s="22">
        <f>Tabla127[[#This Row],[MASTER]]*0.9</f>
        <v>31500</v>
      </c>
      <c r="L243">
        <v>35000</v>
      </c>
    </row>
    <row r="244" spans="1:12" ht="27" x14ac:dyDescent="0.25">
      <c r="A244" s="30" t="s">
        <v>70</v>
      </c>
      <c r="B244" s="29" t="s">
        <v>69</v>
      </c>
      <c r="C244" s="28">
        <f>+Tabla127[[#This Row],[INSTALLER]]</f>
        <v>31500</v>
      </c>
      <c r="D244" s="28">
        <f>+Tabla127[[#This Row],[PRECIO INSTALLER (CON IVA)]]-Tabla127[[#This Row],[Columna6]]</f>
        <v>29925</v>
      </c>
      <c r="E244" s="28">
        <f>+Tabla127[[#This Row],[PRECIO INSTALLER (CON IVA)]]/0.7</f>
        <v>45000</v>
      </c>
      <c r="F244" s="27">
        <f>+Tabla127[[#This Row],[PRECIO INSTALLER (CON IVA)]]*5%</f>
        <v>1575</v>
      </c>
      <c r="G244" s="26">
        <v>1</v>
      </c>
      <c r="H244" s="25">
        <f>Tabla127[[#This Row],[INSTALLER]]</f>
        <v>31500</v>
      </c>
      <c r="I244" s="24"/>
      <c r="J244" s="23"/>
      <c r="K244" s="22">
        <f>Tabla127[[#This Row],[MASTER]]*0.9</f>
        <v>31500</v>
      </c>
      <c r="L244">
        <v>35000</v>
      </c>
    </row>
  </sheetData>
  <conditionalFormatting sqref="A1:A1048576">
    <cfRule type="duplicateValues" dxfId="0" priority="1"/>
  </conditionalFormatting>
  <pageMargins left="0.75" right="0.75" top="1" bottom="1" header="0.5" footer="0.5"/>
  <pageSetup scale="74" orientation="portrait" r:id="rId1"/>
  <colBreaks count="1" manualBreakCount="1">
    <brk id="5" max="1048575" man="1"/>
  </colBreak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CERCOS ELECTRICOS</vt:lpstr>
      <vt:lpstr>PUERTAS AUTOMATICAS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Jenifer Loaiza</cp:lastModifiedBy>
  <cp:lastPrinted>2026-05-14T14:37:54Z</cp:lastPrinted>
  <dcterms:created xsi:type="dcterms:W3CDTF">2026-05-12T22:29:29Z</dcterms:created>
  <dcterms:modified xsi:type="dcterms:W3CDTF">2026-06-23T16:54:23Z</dcterms:modified>
</cp:coreProperties>
</file>