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EXCEL\"/>
    </mc:Choice>
  </mc:AlternateContent>
  <xr:revisionPtr revIDLastSave="0" documentId="13_ncr:1_{B9A31E30-B875-431B-B670-423683E81C29}" xr6:coauthVersionLast="47" xr6:coauthVersionMax="47" xr10:uidLastSave="{00000000-0000-0000-0000-000000000000}"/>
  <bookViews>
    <workbookView xWindow="-120" yWindow="-120" windowWidth="24240" windowHeight="13140" xr2:uid="{E5B4353C-EAC2-4D8B-B57F-CA59D3BA66DF}"/>
  </bookViews>
  <sheets>
    <sheet name="CILE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v" hidden="1">{"'ADV&amp;DP'!$A$4:$C$25"}</definedName>
    <definedName name="_??" hidden="1">{"'?????10.27??????'!$Q$16"}</definedName>
    <definedName name="_????" hidden="1">{"'?????10.27??????'!$Q$16"}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hidden="1">{"'?????10.27??????'!$Q$16"}</definedName>
    <definedName name="_??06" hidden="1">{"'?????10.27??????'!$Q$16"}</definedName>
    <definedName name="_?16??" hidden="1">{"'????'!$A$1:$C$37"}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[1]Pub!$H$13:$H$83</definedName>
    <definedName name="__123Graph_B" hidden="1">[1]Pub!$I$13:$I$83</definedName>
    <definedName name="__123Graph_C" hidden="1">[1]Pub!$J$13:$J$83</definedName>
    <definedName name="__123Graph_D" hidden="1">[1]Pub!$K$13:$K$83</definedName>
    <definedName name="__123Graph_E" hidden="1">[1]Pub!#REF!</definedName>
    <definedName name="__123Graph_F" hidden="1">[1]Pub!$L$13:$L$83</definedName>
    <definedName name="__123Graph_X" hidden="1">[1]Pub!$G$13:$G$83</definedName>
    <definedName name="__DF4" hidden="1">#REF!</definedName>
    <definedName name="__FDS_HYPERLINK_TOGGLE_STATE__" hidden="1">"ON"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[2]計算過程シート!#REF!</definedName>
    <definedName name="_1__123Graph_ACHART_1" hidden="1">'[3]Historical IS'!#REF!</definedName>
    <definedName name="_1__123Graph_AIRR_IRR" hidden="1">#REF!</definedName>
    <definedName name="_10___123Graph_XIRR_IRR" hidden="1">#REF!</definedName>
    <definedName name="_10__123Graph_ACHART_16" hidden="1">[4]engineering!$Q$49:$S$49</definedName>
    <definedName name="_10__123Graph_CCHART_3" hidden="1">'[3]Historical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[4]revenue!$P$77:$R$77</definedName>
    <definedName name="_11__123Graph_CCHART_8" hidden="1">'[3]Historical IS'!#REF!</definedName>
    <definedName name="_12__123Graph_ACHART_18" hidden="1">[4]revenue!$P$82:$R$82</definedName>
    <definedName name="_12__123Graph_AIRR_IRR" hidden="1">#REF!</definedName>
    <definedName name="_12__123Graph_DCHART_1" hidden="1">'[3]Historical IS'!#REF!</definedName>
    <definedName name="_13__123Graph_ACHART_19" hidden="1">[4]sga!$P$7:$R$7</definedName>
    <definedName name="_13__123Graph_AMOF_NB" hidden="1">[2]計算過程シート!#REF!</definedName>
    <definedName name="_13__123Graph_DCHART_8" hidden="1">'[3]Historical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'[3]Historical IS'!#REF!</definedName>
    <definedName name="_15__123Graph_ACHART_20" hidden="1">[4]sga!$P$10:$R$10</definedName>
    <definedName name="_15__123Graph_BIRR_IRR" hidden="1">#REF!</definedName>
    <definedName name="_15__123Graph_LBL_ACHART_4" hidden="1">'[3]Historical IS'!#REF!</definedName>
    <definedName name="_16__123Graph_ACHART_3" hidden="1">#REF!</definedName>
    <definedName name="_16__123Graph_BMOF_NB" hidden="1">#REF!</definedName>
    <definedName name="_16__123Graph_LBL_BCHART_3" hidden="1">'[3]Historical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'[3]Historical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'[3]Historical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'[3]Historical IS'!#REF!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'[3]Historical IS'!#REF!</definedName>
    <definedName name="_20__123Graph_ACHART_7" hidden="1">#REF!</definedName>
    <definedName name="_20__123Graph_XCHART_3" hidden="1">'[3]Historical IS'!#REF!</definedName>
    <definedName name="_20__123Graph_XIRR_IRR" hidden="1">#REF!</definedName>
    <definedName name="_21__123Graph_ACHART_8" hidden="1">#REF!</definedName>
    <definedName name="_21__123Graph_XCHART_4" hidden="1">'[3]Historical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'[3]Historical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[2]計算過程シート!#REF!</definedName>
    <definedName name="_26__123Graph_BCHART_13" hidden="1">[4]engineering!$Q$42:$W$42</definedName>
    <definedName name="_27__123Graph_BCHART_14" hidden="1">[4]engineering!$Q$46:$W$46</definedName>
    <definedName name="_28__123Graph_BCHART_15" hidden="1">#REF!</definedName>
    <definedName name="_29__123Graph_BCHART_16" hidden="1">[4]engineering!$Q$50:$S$50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'[3]Historical IS'!#REF!</definedName>
    <definedName name="_30__123Graph_BCHART_17" hidden="1">[4]revenue!$P$78:$R$78</definedName>
    <definedName name="_31__123Graph_BCHART_2" hidden="1">#REF!</definedName>
    <definedName name="_32__123Graph_BCHART_20" hidden="1">[4]sga!$P$11:$R$11</definedName>
    <definedName name="_33__123Graph_BCHART_3" hidden="1">[4]revenue!$P$10:$R$10</definedName>
    <definedName name="_34__123Graph_BCHART_6" hidden="1">#REF!</definedName>
    <definedName name="_35__123Graph_BCHART_7" hidden="1">[4]revenue!$P$45:$R$45</definedName>
    <definedName name="_36_??06" hidden="1">{"'?????10.27??????'!$Q$16"}</definedName>
    <definedName name="_36__123Graph_BCHART_8" hidden="1">#REF!</definedName>
    <definedName name="_37__123Graph_BCHART_9" hidden="1">[4]engineering!$P$7:$T$7</definedName>
    <definedName name="_38__123Graph_CCHART_1" hidden="1">#REF!</definedName>
    <definedName name="_39__123Graph_CCHART_11" hidden="1">[4]engineering!$P$16:$T$16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'[3]Historical IS'!#REF!</definedName>
    <definedName name="_40__123Graph_CCHART_12" hidden="1">#REF!</definedName>
    <definedName name="_41__123Graph_CCHART_2" hidden="1">#REF!</definedName>
    <definedName name="_42__123Graph_CCHART_20" hidden="1">[4]sga!$P$12:$R$12</definedName>
    <definedName name="_43__123Graph_CCHART_7" hidden="1">[4]revenue!$P$46:$R$46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'[3]Historical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[4]engineering!$Q$48:$S$48</definedName>
    <definedName name="_6___123Graph_AIRR_IRR" hidden="1">#REF!</definedName>
    <definedName name="_6__123Graph_ACHART_12" hidden="1">#REF!</definedName>
    <definedName name="_6__123Graph_BCHART_3" hidden="1">'[3]Historical IS'!#REF!</definedName>
    <definedName name="_60__123Graph_XCHART_18" hidden="1">[4]revenue!$P$81:$R$81</definedName>
    <definedName name="_61__123Graph_XCHART_2" hidden="1">#REF!</definedName>
    <definedName name="_62__123Graph_XCHART_20" hidden="1">[4]sga!$P$9:$R$9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'[3]Historical IS'!#REF!</definedName>
    <definedName name="_78__123Graph_Bｸﾞﾗﾌ_1" hidden="1">#REF!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'[3]Historical IS'!#REF!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'[3]Historical IS'!#REF!</definedName>
    <definedName name="_DF4" hidden="1">#REF!</definedName>
    <definedName name="_Fill" hidden="1">#REF!</definedName>
    <definedName name="_xlnm._FilterDatabase" hidden="1">'[5]46W9'!#REF!</definedName>
    <definedName name="_Key2" hidden="1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hidden="1">{"'下期集計（10.27迄・速報値）'!$Q$16"}</definedName>
    <definedName name="anscount" hidden="1">3</definedName>
    <definedName name="_xlnm.Print_Area" localSheetId="0">Tabla114[[#All],[REFERENCIA]:[PRECIO CLIENTE FINAL (IVA INCLUIDO)]]</definedName>
    <definedName name="AS2DocOpenMode" hidden="1">"AS2DocumentEdit"</definedName>
    <definedName name="AS2HasNoAutoHeaderFooter" hidden="1">" "</definedName>
    <definedName name="asdf" hidden="1">{"'年間台数'!$A$1:$K$20","'中古車登録台数'!$A$1:$I$39"}</definedName>
    <definedName name="BLPH1" hidden="1">'[6]Data sheet'!$A$4</definedName>
    <definedName name="BLPH10" hidden="1">'[6]Data sheet'!$AB$4</definedName>
    <definedName name="BLPH11" hidden="1">'[6]Data sheet'!$AE$4</definedName>
    <definedName name="BLPH12" hidden="1">'[6]Data sheet'!$AH$4</definedName>
    <definedName name="BLPH2" hidden="1">'[6]Data sheet'!$D$4</definedName>
    <definedName name="BLPH3" hidden="1">'[6]Data sheet'!$G$4</definedName>
    <definedName name="BLPH4" hidden="1">'[6]Data sheet'!$J$4</definedName>
    <definedName name="BLPH5" hidden="1">'[6]Data sheet'!$M$4</definedName>
    <definedName name="BLPH6" hidden="1">'[6]Data sheet'!$P$4</definedName>
    <definedName name="BLPH7" hidden="1">'[6]Data sheet'!$S$4</definedName>
    <definedName name="BLPH8" hidden="1">'[6]Data sheet'!$V$4</definedName>
    <definedName name="BLPH9" hidden="1">'[6]Data sheet'!$Y$4</definedName>
    <definedName name="Bridge" hidden="1">{"'Highlights'!$A$1:$M$123"}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hidden="1">{"'下期集計（10.27迄・速報値）'!$Q$16"}</definedName>
    <definedName name="cover" hidden="1">#REF!</definedName>
    <definedName name="efg" hidden="1">{#N/A,#N/A,TRUE,"A"}</definedName>
    <definedName name="fds" hidden="1">{"'下期集計（10.27迄・速報値）'!$Q$16"}</definedName>
    <definedName name="ｇ" hidden="1">{"'下期集計（10.27迄・速報値）'!$Q$16"}</definedName>
    <definedName name="gd" hidden="1">{"'下期集計（10.27迄・速報値）'!$Q$16"}</definedName>
    <definedName name="gda" hidden="1">{"'下期集計（10.27迄・速報値）'!$Q$16"}</definedName>
    <definedName name="gdsa" hidden="1">{"'下期集計（10.27迄・速報値）'!$Q$16"}</definedName>
    <definedName name="gh" hidden="1">{"'Highlights'!$A$1:$M$123"}</definedName>
    <definedName name="ｈ" hidden="1">{"'下期集計（10.27迄・速報値）'!$Q$16"}</definedName>
    <definedName name="H16?1??" hidden="1">{"'????'!$A$1:$C$37"}</definedName>
    <definedName name="Ｈ16・１" hidden="1">{"'コメント'!$A$1:$C$37"}</definedName>
    <definedName name="H16･1速報" hidden="1">{"'コメント'!$A$1:$C$37"}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hidden="1">{"'Highlights'!$A$1:$M$123"}</definedName>
    <definedName name="k" hidden="1">{"'下期集計（10.27迄・速報値）'!$Q$16"}</definedName>
    <definedName name="kjh" hidden="1">{#N/A,#N/A,TRUE,"A"}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hidden="1">{"'下期集計（10.27迄・速報値）'!$Q$16"}</definedName>
    <definedName name="kkk" hidden="1">{"'下期集計（10.27迄・速報値）'!$Q$16"}</definedName>
    <definedName name="lio" hidden="1">{#N/A,#N/A,TRUE,"A"}</definedName>
    <definedName name="LISTA">#REF!</definedName>
    <definedName name="ListOffset" hidden="1">1</definedName>
    <definedName name="MBAS" hidden="1">{"'ADV&amp;DP'!$A$4:$C$25"}</definedName>
    <definedName name="mbs" hidden="1">{"'ADV&amp;DP'!$A$4:$C$25"}</definedName>
    <definedName name="MKK" hidden="1">{"'下期集計（10.27迄・速報値）'!$Q$16"}</definedName>
    <definedName name="mmm" hidden="1">{"'ADV&amp;DP'!$A$4:$C$25"}</definedName>
    <definedName name="MOBILE" hidden="1">{"'ADV&amp;DP'!$A$4:$C$25"}</definedName>
    <definedName name="n" hidden="1">{"'下期集計（10.27迄・速報値）'!$Q$16"}</definedName>
    <definedName name="new" hidden="1">{"'Highlights'!$A$1:$M$123"}</definedName>
    <definedName name="nm" hidden="1">{#N/A,#N/A,TRUE,"A"}</definedName>
    <definedName name="ñlo" hidden="1">{#N/A,#N/A,TRUE,"A"}</definedName>
    <definedName name="ñp" hidden="1">{#N/A,#N/A,TRUE,"A"}</definedName>
    <definedName name="oi" hidden="1">{#N/A,#N/A,TRUE,"A"}</definedName>
    <definedName name="ok" hidden="1">{"'Highlights'!$A$1:$M$123"}</definedName>
    <definedName name="PANELES">#REF!</definedName>
    <definedName name="piu" hidden="1">{#N/A,#N/A,TRUE,"A"}</definedName>
    <definedName name="plo" hidden="1">{#N/A,#N/A,TRUE,"A"}</definedName>
    <definedName name="po" hidden="1">{#N/A,#N/A,TRUE,"A"}</definedName>
    <definedName name="PTSB" hidden="1">{"'Highlights'!$A$1:$M$123"}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hidden="1">{"'下期集計（10.27迄・速報値）'!$Q$16"}</definedName>
    <definedName name="ＲＡＲＯＡ" hidden="1">{"'下期集計（10.27迄・速報値）'!$Q$16"}</definedName>
    <definedName name="RETENCION">'[7]Cálculo LPVta Cambium'!$AA$4</definedName>
    <definedName name="rfg" hidden="1">{#N/A,#N/A,TRUE,"A"}</definedName>
    <definedName name="SAPBEXdnldView" hidden="1">"4X7PHJJ3EF70UJ33CI6YVQIOV"</definedName>
    <definedName name="SAPBEXsysID" hidden="1">"PBK"</definedName>
    <definedName name="SCOG" hidden="1">{"'ADV&amp;DP'!$A$4:$C$25"}</definedName>
    <definedName name="sencount" hidden="1">1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[8]Resumen_Inv!$I$66</definedName>
    <definedName name="t" hidden="1">{"'下期集計（10.27迄・速報値）'!$Q$16"}</definedName>
    <definedName name="tyh" hidden="1">{#N/A,#N/A,TRUE,"A"}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hidden="1">{#N/A,#N/A,TRUE,"A"}</definedName>
    <definedName name="w" hidden="1">{"'下期集計（10.27迄・速報値）'!$Q$16"}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hidden="1">{#N/A,#N/A,FALSE,"Aging Summary";#N/A,#N/A,FALSE,"Ratio Analysis";#N/A,#N/A,FALSE,"Test 120 Day Accts";#N/A,#N/A,FALSE,"Tickmarks"}</definedName>
    <definedName name="wrn.All._.Sheets." hidden="1">{#N/A,#N/A,FALSE,"1997 WW (Short)";#N/A,#N/A,FALSE,"1997 RF Mfg";#N/A,#N/A,FALSE,"Ancillary-CSM";#N/A,#N/A,FALSE,"1997 Service"}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hidden="1">{#N/A,#N/A,TRUE,"A"}</definedName>
    <definedName name="wrn.EAN3" hidden="1">{#N/A,#N/A,TRUE,"A"}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hidden="1">{#N/A,#N/A,FALSE,"Outlook for Month ";#N/A,#N/A,FALSE,"Risk for Month ";#N/A,#N/A,FALSE,"Upside for Month"}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hidden="1">{#N/A,#N/A,TRUE,"A"}</definedName>
    <definedName name="yhu" hidden="1">{#N/A,#N/A,TRUE,"A"}</definedName>
    <definedName name="ｚ" hidden="1">{"'下期集計（10.27迄・速報値）'!$Q$16"}</definedName>
    <definedName name="Z_086A872D_15DF_436A_8459_CE22F6819FF4_.wvu.Rows" hidden="1">[5]Presentacion!#REF!</definedName>
    <definedName name="Z_D55C8B2E_861A_459E_9D09_3AF38A1DE99E_.wvu.Rows" hidden="1">[5]Presentacion!#REF!</definedName>
    <definedName name="Z_F540D718_D9AA_403F_AE49_60D937FD77E5_.wvu.Rows" hidden="1">[5]Presentacion!#REF!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hidden="1">{"'下期集計（10.27迄・速報値）'!$Q$16"}</definedName>
    <definedName name="あ" hidden="1">{"'下期集計（10.27迄・速報値）'!$Q$16"}</definedName>
    <definedName name="あああ" hidden="1">{"'下期集計（10.27迄・速報値）'!$Q$16"}</definedName>
    <definedName name="ｼｰﾄ" hidden="1">[9]計算過程シート!#REF!</definedName>
    <definedName name="なんで" hidden="1">{"'下期集計（10.27迄・速報値）'!$Q$16"}</definedName>
    <definedName name="なんなの" hidden="1">{"'下期集計（10.27迄・速報値）'!$Q$16"}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hidden="1">{"'下期集計（10.27迄・速報値）'!$Q$16"}</definedName>
    <definedName name="評価対象" hidden="1">[9]計算過程シート!#REF!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727" i="1" l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H727" i="1"/>
  <c r="D727" i="1" s="1"/>
  <c r="H728" i="1"/>
  <c r="D728" i="1" s="1"/>
  <c r="H729" i="1"/>
  <c r="D729" i="1" s="1"/>
  <c r="H730" i="1"/>
  <c r="D730" i="1" s="1"/>
  <c r="H731" i="1"/>
  <c r="D731" i="1" s="1"/>
  <c r="H732" i="1"/>
  <c r="D732" i="1" s="1"/>
  <c r="H733" i="1"/>
  <c r="D733" i="1" s="1"/>
  <c r="H734" i="1"/>
  <c r="D734" i="1" s="1"/>
  <c r="H735" i="1"/>
  <c r="D735" i="1" s="1"/>
  <c r="H736" i="1"/>
  <c r="D736" i="1" s="1"/>
  <c r="H737" i="1"/>
  <c r="D737" i="1" s="1"/>
  <c r="H738" i="1"/>
  <c r="D738" i="1" s="1"/>
  <c r="H739" i="1"/>
  <c r="D739" i="1" s="1"/>
  <c r="H740" i="1"/>
  <c r="D740" i="1" s="1"/>
  <c r="H741" i="1"/>
  <c r="D741" i="1" s="1"/>
  <c r="H742" i="1"/>
  <c r="D742" i="1" s="1"/>
  <c r="H743" i="1"/>
  <c r="D743" i="1" s="1"/>
  <c r="H744" i="1"/>
  <c r="D744" i="1" s="1"/>
  <c r="H745" i="1"/>
  <c r="D745" i="1" s="1"/>
  <c r="H746" i="1"/>
  <c r="D746" i="1" s="1"/>
  <c r="H747" i="1"/>
  <c r="D747" i="1" s="1"/>
  <c r="H748" i="1"/>
  <c r="D748" i="1" s="1"/>
  <c r="H749" i="1"/>
  <c r="D749" i="1" s="1"/>
  <c r="H750" i="1"/>
  <c r="D750" i="1" s="1"/>
  <c r="H751" i="1"/>
  <c r="D751" i="1" s="1"/>
  <c r="H752" i="1"/>
  <c r="D752" i="1" s="1"/>
  <c r="H753" i="1"/>
  <c r="D753" i="1" s="1"/>
  <c r="H754" i="1"/>
  <c r="D754" i="1" s="1"/>
  <c r="H755" i="1"/>
  <c r="D755" i="1" s="1"/>
  <c r="H756" i="1"/>
  <c r="D756" i="1" s="1"/>
  <c r="H757" i="1"/>
  <c r="D757" i="1" s="1"/>
  <c r="H758" i="1"/>
  <c r="D758" i="1" s="1"/>
  <c r="H759" i="1"/>
  <c r="D759" i="1" s="1"/>
  <c r="H760" i="1"/>
  <c r="D760" i="1" s="1"/>
  <c r="H761" i="1"/>
  <c r="D761" i="1" s="1"/>
  <c r="H762" i="1"/>
  <c r="D762" i="1" s="1"/>
  <c r="H763" i="1"/>
  <c r="D763" i="1" s="1"/>
  <c r="H764" i="1"/>
  <c r="D764" i="1" s="1"/>
  <c r="H765" i="1"/>
  <c r="D765" i="1" s="1"/>
  <c r="H766" i="1"/>
  <c r="D766" i="1" s="1"/>
  <c r="H767" i="1"/>
  <c r="D767" i="1" s="1"/>
  <c r="H768" i="1"/>
  <c r="D768" i="1" s="1"/>
  <c r="H769" i="1"/>
  <c r="D769" i="1" s="1"/>
  <c r="H770" i="1"/>
  <c r="D770" i="1" s="1"/>
  <c r="H771" i="1"/>
  <c r="D771" i="1" s="1"/>
  <c r="H772" i="1"/>
  <c r="D772" i="1" s="1"/>
  <c r="H773" i="1"/>
  <c r="D773" i="1" s="1"/>
  <c r="H774" i="1"/>
  <c r="D774" i="1" s="1"/>
  <c r="H775" i="1"/>
  <c r="D775" i="1" s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C712" i="1"/>
  <c r="E712" i="1" s="1"/>
  <c r="H712" i="1"/>
  <c r="D712" i="1" s="1"/>
  <c r="C713" i="1"/>
  <c r="E713" i="1" s="1"/>
  <c r="H713" i="1"/>
  <c r="D713" i="1" s="1"/>
  <c r="C714" i="1"/>
  <c r="C715" i="1"/>
  <c r="E715" i="1" s="1"/>
  <c r="H715" i="1"/>
  <c r="D715" i="1" s="1"/>
  <c r="C716" i="1"/>
  <c r="E716" i="1" s="1"/>
  <c r="H716" i="1"/>
  <c r="D716" i="1" s="1"/>
  <c r="C717" i="1"/>
  <c r="E717" i="1"/>
  <c r="H717" i="1"/>
  <c r="D717" i="1" s="1"/>
  <c r="C718" i="1"/>
  <c r="E718" i="1" s="1"/>
  <c r="H718" i="1"/>
  <c r="D718" i="1" s="1"/>
  <c r="C719" i="1"/>
  <c r="C720" i="1"/>
  <c r="E720" i="1"/>
  <c r="H720" i="1"/>
  <c r="D720" i="1" s="1"/>
  <c r="C721" i="1"/>
  <c r="E721" i="1" s="1"/>
  <c r="H721" i="1"/>
  <c r="D721" i="1" s="1"/>
  <c r="C722" i="1"/>
  <c r="C723" i="1"/>
  <c r="E723" i="1"/>
  <c r="H723" i="1"/>
  <c r="D723" i="1" s="1"/>
  <c r="C724" i="1"/>
  <c r="E724" i="1"/>
  <c r="H724" i="1"/>
  <c r="D724" i="1" s="1"/>
  <c r="C725" i="1"/>
  <c r="E725" i="1" s="1"/>
  <c r="H725" i="1"/>
  <c r="D725" i="1" s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26" i="1"/>
  <c r="G661" i="1"/>
  <c r="G662" i="1"/>
  <c r="G663" i="1"/>
  <c r="G664" i="1"/>
  <c r="G665" i="1"/>
  <c r="G666" i="1"/>
  <c r="G667" i="1"/>
  <c r="G668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E705" i="1" s="1"/>
  <c r="C706" i="1"/>
  <c r="C707" i="1"/>
  <c r="C708" i="1"/>
  <c r="C709" i="1"/>
  <c r="C710" i="1"/>
  <c r="C711" i="1"/>
  <c r="C726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6" i="1"/>
  <c r="E707" i="1"/>
  <c r="E708" i="1"/>
  <c r="E709" i="1"/>
  <c r="E710" i="1"/>
  <c r="E711" i="1"/>
  <c r="E726" i="1"/>
  <c r="H670" i="1"/>
  <c r="D670" i="1" s="1"/>
  <c r="H671" i="1"/>
  <c r="D671" i="1" s="1"/>
  <c r="H672" i="1"/>
  <c r="D672" i="1" s="1"/>
  <c r="H673" i="1"/>
  <c r="D673" i="1" s="1"/>
  <c r="H674" i="1"/>
  <c r="D674" i="1" s="1"/>
  <c r="H675" i="1"/>
  <c r="D675" i="1" s="1"/>
  <c r="H676" i="1"/>
  <c r="D676" i="1" s="1"/>
  <c r="H677" i="1"/>
  <c r="D677" i="1" s="1"/>
  <c r="H678" i="1"/>
  <c r="D678" i="1" s="1"/>
  <c r="H679" i="1"/>
  <c r="D679" i="1" s="1"/>
  <c r="H680" i="1"/>
  <c r="D680" i="1" s="1"/>
  <c r="H681" i="1"/>
  <c r="D681" i="1" s="1"/>
  <c r="H682" i="1"/>
  <c r="D682" i="1" s="1"/>
  <c r="H683" i="1"/>
  <c r="D683" i="1" s="1"/>
  <c r="H684" i="1"/>
  <c r="D684" i="1" s="1"/>
  <c r="H685" i="1"/>
  <c r="D685" i="1" s="1"/>
  <c r="H686" i="1"/>
  <c r="D686" i="1" s="1"/>
  <c r="H687" i="1"/>
  <c r="D687" i="1" s="1"/>
  <c r="H688" i="1"/>
  <c r="D688" i="1" s="1"/>
  <c r="H689" i="1"/>
  <c r="D689" i="1" s="1"/>
  <c r="H690" i="1"/>
  <c r="D690" i="1" s="1"/>
  <c r="H691" i="1"/>
  <c r="D691" i="1" s="1"/>
  <c r="H692" i="1"/>
  <c r="D692" i="1" s="1"/>
  <c r="H693" i="1"/>
  <c r="D693" i="1" s="1"/>
  <c r="H694" i="1"/>
  <c r="D694" i="1" s="1"/>
  <c r="H695" i="1"/>
  <c r="D695" i="1" s="1"/>
  <c r="H696" i="1"/>
  <c r="D696" i="1" s="1"/>
  <c r="H697" i="1"/>
  <c r="D697" i="1" s="1"/>
  <c r="H698" i="1"/>
  <c r="D698" i="1" s="1"/>
  <c r="H699" i="1"/>
  <c r="D699" i="1" s="1"/>
  <c r="H700" i="1"/>
  <c r="D700" i="1" s="1"/>
  <c r="H701" i="1"/>
  <c r="D701" i="1" s="1"/>
  <c r="H702" i="1"/>
  <c r="D702" i="1" s="1"/>
  <c r="H703" i="1"/>
  <c r="D703" i="1" s="1"/>
  <c r="H704" i="1"/>
  <c r="D704" i="1" s="1"/>
  <c r="H705" i="1"/>
  <c r="D705" i="1" s="1"/>
  <c r="H706" i="1"/>
  <c r="D706" i="1" s="1"/>
  <c r="H707" i="1"/>
  <c r="D707" i="1" s="1"/>
  <c r="H708" i="1"/>
  <c r="D708" i="1" s="1"/>
  <c r="H709" i="1"/>
  <c r="D709" i="1" s="1"/>
  <c r="H710" i="1"/>
  <c r="D710" i="1" s="1"/>
  <c r="H711" i="1"/>
  <c r="D711" i="1" s="1"/>
  <c r="H726" i="1"/>
  <c r="D726" i="1" s="1"/>
  <c r="C661" i="1"/>
  <c r="E661" i="1"/>
  <c r="H661" i="1"/>
  <c r="D661" i="1" s="1"/>
  <c r="C662" i="1"/>
  <c r="C663" i="1"/>
  <c r="C664" i="1"/>
  <c r="C665" i="1"/>
  <c r="E665" i="1" s="1"/>
  <c r="H665" i="1"/>
  <c r="D665" i="1" s="1"/>
  <c r="C666" i="1"/>
  <c r="E666" i="1" s="1"/>
  <c r="H666" i="1"/>
  <c r="D666" i="1" s="1"/>
  <c r="C667" i="1"/>
  <c r="E667" i="1"/>
  <c r="H667" i="1"/>
  <c r="D667" i="1" s="1"/>
  <c r="C668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9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9" i="1"/>
  <c r="E669" i="1" s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H632" i="1"/>
  <c r="D632" i="1" s="1"/>
  <c r="H633" i="1"/>
  <c r="D633" i="1" s="1"/>
  <c r="H634" i="1"/>
  <c r="D634" i="1" s="1"/>
  <c r="H635" i="1"/>
  <c r="D635" i="1" s="1"/>
  <c r="H636" i="1"/>
  <c r="D636" i="1" s="1"/>
  <c r="H637" i="1"/>
  <c r="D637" i="1" s="1"/>
  <c r="H638" i="1"/>
  <c r="D638" i="1" s="1"/>
  <c r="H639" i="1"/>
  <c r="D639" i="1" s="1"/>
  <c r="H640" i="1"/>
  <c r="D640" i="1" s="1"/>
  <c r="H641" i="1"/>
  <c r="D641" i="1" s="1"/>
  <c r="H642" i="1"/>
  <c r="D642" i="1" s="1"/>
  <c r="H643" i="1"/>
  <c r="D643" i="1" s="1"/>
  <c r="H644" i="1"/>
  <c r="D644" i="1" s="1"/>
  <c r="H645" i="1"/>
  <c r="D645" i="1" s="1"/>
  <c r="H646" i="1"/>
  <c r="D646" i="1" s="1"/>
  <c r="H647" i="1"/>
  <c r="D647" i="1" s="1"/>
  <c r="H648" i="1"/>
  <c r="D648" i="1" s="1"/>
  <c r="H649" i="1"/>
  <c r="D649" i="1" s="1"/>
  <c r="H650" i="1"/>
  <c r="D650" i="1" s="1"/>
  <c r="H651" i="1"/>
  <c r="D651" i="1" s="1"/>
  <c r="H652" i="1"/>
  <c r="D652" i="1" s="1"/>
  <c r="H653" i="1"/>
  <c r="D653" i="1" s="1"/>
  <c r="H654" i="1"/>
  <c r="D654" i="1" s="1"/>
  <c r="H655" i="1"/>
  <c r="D655" i="1" s="1"/>
  <c r="H656" i="1"/>
  <c r="D656" i="1" s="1"/>
  <c r="H657" i="1"/>
  <c r="D657" i="1" s="1"/>
  <c r="H658" i="1"/>
  <c r="D658" i="1" s="1"/>
  <c r="H659" i="1"/>
  <c r="D659" i="1" s="1"/>
  <c r="H660" i="1"/>
  <c r="D660" i="1" s="1"/>
  <c r="H669" i="1"/>
  <c r="D669" i="1" s="1"/>
  <c r="G615" i="1"/>
  <c r="G616" i="1"/>
  <c r="G617" i="1"/>
  <c r="C617" i="1" s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C631" i="1" s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15" i="1"/>
  <c r="C616" i="1"/>
  <c r="G543" i="1"/>
  <c r="C543" i="1" s="1"/>
  <c r="G544" i="1"/>
  <c r="C544" i="1" s="1"/>
  <c r="G545" i="1"/>
  <c r="C545" i="1" s="1"/>
  <c r="G546" i="1"/>
  <c r="C546" i="1" s="1"/>
  <c r="G547" i="1"/>
  <c r="C547" i="1" s="1"/>
  <c r="G548" i="1"/>
  <c r="C548" i="1" s="1"/>
  <c r="G549" i="1"/>
  <c r="C549" i="1" s="1"/>
  <c r="G550" i="1"/>
  <c r="C550" i="1" s="1"/>
  <c r="G551" i="1"/>
  <c r="C551" i="1" s="1"/>
  <c r="G552" i="1"/>
  <c r="C552" i="1" s="1"/>
  <c r="G553" i="1"/>
  <c r="C553" i="1" s="1"/>
  <c r="G554" i="1"/>
  <c r="C554" i="1" s="1"/>
  <c r="G555" i="1"/>
  <c r="C555" i="1" s="1"/>
  <c r="G556" i="1"/>
  <c r="C556" i="1" s="1"/>
  <c r="G557" i="1"/>
  <c r="C557" i="1" s="1"/>
  <c r="G558" i="1"/>
  <c r="C558" i="1" s="1"/>
  <c r="G559" i="1"/>
  <c r="C559" i="1" s="1"/>
  <c r="G560" i="1"/>
  <c r="C560" i="1" s="1"/>
  <c r="G561" i="1"/>
  <c r="C561" i="1" s="1"/>
  <c r="G562" i="1"/>
  <c r="C562" i="1" s="1"/>
  <c r="G563" i="1"/>
  <c r="C563" i="1" s="1"/>
  <c r="G564" i="1"/>
  <c r="C564" i="1" s="1"/>
  <c r="G565" i="1"/>
  <c r="C565" i="1" s="1"/>
  <c r="G566" i="1"/>
  <c r="C566" i="1" s="1"/>
  <c r="G567" i="1"/>
  <c r="C567" i="1" s="1"/>
  <c r="G568" i="1"/>
  <c r="C568" i="1" s="1"/>
  <c r="G569" i="1"/>
  <c r="C569" i="1" s="1"/>
  <c r="G570" i="1"/>
  <c r="C570" i="1" s="1"/>
  <c r="G571" i="1"/>
  <c r="C571" i="1" s="1"/>
  <c r="G572" i="1"/>
  <c r="C572" i="1" s="1"/>
  <c r="G573" i="1"/>
  <c r="C573" i="1" s="1"/>
  <c r="G574" i="1"/>
  <c r="C574" i="1" s="1"/>
  <c r="G575" i="1"/>
  <c r="C575" i="1" s="1"/>
  <c r="G576" i="1"/>
  <c r="C576" i="1" s="1"/>
  <c r="G577" i="1"/>
  <c r="C577" i="1" s="1"/>
  <c r="G578" i="1"/>
  <c r="C578" i="1" s="1"/>
  <c r="G579" i="1"/>
  <c r="C579" i="1" s="1"/>
  <c r="G580" i="1"/>
  <c r="C580" i="1" s="1"/>
  <c r="G581" i="1"/>
  <c r="C581" i="1" s="1"/>
  <c r="G582" i="1"/>
  <c r="C582" i="1" s="1"/>
  <c r="G583" i="1"/>
  <c r="C583" i="1" s="1"/>
  <c r="G584" i="1"/>
  <c r="C584" i="1" s="1"/>
  <c r="G585" i="1"/>
  <c r="C585" i="1" s="1"/>
  <c r="G586" i="1"/>
  <c r="C586" i="1" s="1"/>
  <c r="G587" i="1"/>
  <c r="C587" i="1" s="1"/>
  <c r="G588" i="1"/>
  <c r="C588" i="1" s="1"/>
  <c r="G589" i="1"/>
  <c r="C589" i="1" s="1"/>
  <c r="G590" i="1"/>
  <c r="C590" i="1" s="1"/>
  <c r="G591" i="1"/>
  <c r="C591" i="1" s="1"/>
  <c r="G592" i="1"/>
  <c r="C592" i="1" s="1"/>
  <c r="G593" i="1"/>
  <c r="C593" i="1" s="1"/>
  <c r="G594" i="1"/>
  <c r="C594" i="1" s="1"/>
  <c r="G595" i="1"/>
  <c r="C595" i="1" s="1"/>
  <c r="G596" i="1"/>
  <c r="C596" i="1" s="1"/>
  <c r="G597" i="1"/>
  <c r="C597" i="1" s="1"/>
  <c r="G598" i="1"/>
  <c r="C598" i="1" s="1"/>
  <c r="G599" i="1"/>
  <c r="C599" i="1" s="1"/>
  <c r="G600" i="1"/>
  <c r="C600" i="1" s="1"/>
  <c r="G601" i="1"/>
  <c r="C601" i="1" s="1"/>
  <c r="G602" i="1"/>
  <c r="C602" i="1" s="1"/>
  <c r="G603" i="1"/>
  <c r="C603" i="1" s="1"/>
  <c r="G604" i="1"/>
  <c r="C604" i="1" s="1"/>
  <c r="G605" i="1"/>
  <c r="C605" i="1" s="1"/>
  <c r="G606" i="1"/>
  <c r="C606" i="1" s="1"/>
  <c r="G607" i="1"/>
  <c r="C607" i="1" s="1"/>
  <c r="G608" i="1"/>
  <c r="C608" i="1" s="1"/>
  <c r="G609" i="1"/>
  <c r="C609" i="1" s="1"/>
  <c r="G610" i="1"/>
  <c r="C610" i="1" s="1"/>
  <c r="G611" i="1"/>
  <c r="C611" i="1" s="1"/>
  <c r="G612" i="1"/>
  <c r="C612" i="1" s="1"/>
  <c r="G613" i="1"/>
  <c r="C613" i="1" s="1"/>
  <c r="G614" i="1"/>
  <c r="C614" i="1" s="1"/>
  <c r="G401" i="1"/>
  <c r="C401" i="1" s="1"/>
  <c r="G402" i="1"/>
  <c r="C402" i="1" s="1"/>
  <c r="G403" i="1"/>
  <c r="C403" i="1" s="1"/>
  <c r="G404" i="1"/>
  <c r="C404" i="1" s="1"/>
  <c r="G405" i="1"/>
  <c r="C405" i="1" s="1"/>
  <c r="G406" i="1"/>
  <c r="C406" i="1" s="1"/>
  <c r="G407" i="1"/>
  <c r="C407" i="1" s="1"/>
  <c r="G408" i="1"/>
  <c r="C408" i="1" s="1"/>
  <c r="G409" i="1"/>
  <c r="C409" i="1" s="1"/>
  <c r="G410" i="1"/>
  <c r="C410" i="1" s="1"/>
  <c r="G411" i="1"/>
  <c r="C411" i="1" s="1"/>
  <c r="G412" i="1"/>
  <c r="C412" i="1" s="1"/>
  <c r="G413" i="1"/>
  <c r="C413" i="1" s="1"/>
  <c r="G414" i="1"/>
  <c r="C414" i="1" s="1"/>
  <c r="G415" i="1"/>
  <c r="C415" i="1" s="1"/>
  <c r="G416" i="1"/>
  <c r="C416" i="1" s="1"/>
  <c r="G417" i="1"/>
  <c r="C417" i="1" s="1"/>
  <c r="G418" i="1"/>
  <c r="C418" i="1" s="1"/>
  <c r="G419" i="1"/>
  <c r="C419" i="1" s="1"/>
  <c r="G420" i="1"/>
  <c r="C420" i="1" s="1"/>
  <c r="G421" i="1"/>
  <c r="C421" i="1" s="1"/>
  <c r="G422" i="1"/>
  <c r="C422" i="1" s="1"/>
  <c r="G423" i="1"/>
  <c r="C423" i="1" s="1"/>
  <c r="G424" i="1"/>
  <c r="C424" i="1" s="1"/>
  <c r="G425" i="1"/>
  <c r="C425" i="1" s="1"/>
  <c r="G426" i="1"/>
  <c r="C426" i="1" s="1"/>
  <c r="G427" i="1"/>
  <c r="C427" i="1" s="1"/>
  <c r="G428" i="1"/>
  <c r="C428" i="1" s="1"/>
  <c r="G429" i="1"/>
  <c r="C429" i="1" s="1"/>
  <c r="G430" i="1"/>
  <c r="C430" i="1" s="1"/>
  <c r="G431" i="1"/>
  <c r="C431" i="1" s="1"/>
  <c r="G432" i="1"/>
  <c r="C432" i="1" s="1"/>
  <c r="G433" i="1"/>
  <c r="C433" i="1" s="1"/>
  <c r="G434" i="1"/>
  <c r="C434" i="1" s="1"/>
  <c r="G435" i="1"/>
  <c r="C435" i="1" s="1"/>
  <c r="G436" i="1"/>
  <c r="C436" i="1" s="1"/>
  <c r="G437" i="1"/>
  <c r="C437" i="1" s="1"/>
  <c r="G438" i="1"/>
  <c r="C438" i="1" s="1"/>
  <c r="G439" i="1"/>
  <c r="C439" i="1" s="1"/>
  <c r="G440" i="1"/>
  <c r="C440" i="1" s="1"/>
  <c r="G441" i="1"/>
  <c r="C441" i="1" s="1"/>
  <c r="G442" i="1"/>
  <c r="C442" i="1" s="1"/>
  <c r="G443" i="1"/>
  <c r="C443" i="1" s="1"/>
  <c r="G444" i="1"/>
  <c r="C444" i="1" s="1"/>
  <c r="G445" i="1"/>
  <c r="C445" i="1" s="1"/>
  <c r="G446" i="1"/>
  <c r="C446" i="1" s="1"/>
  <c r="G447" i="1"/>
  <c r="C447" i="1" s="1"/>
  <c r="G448" i="1"/>
  <c r="C448" i="1" s="1"/>
  <c r="G449" i="1"/>
  <c r="C449" i="1" s="1"/>
  <c r="G450" i="1"/>
  <c r="C450" i="1" s="1"/>
  <c r="G451" i="1"/>
  <c r="C451" i="1" s="1"/>
  <c r="G452" i="1"/>
  <c r="C452" i="1" s="1"/>
  <c r="G453" i="1"/>
  <c r="C453" i="1" s="1"/>
  <c r="G454" i="1"/>
  <c r="C454" i="1" s="1"/>
  <c r="G455" i="1"/>
  <c r="C455" i="1" s="1"/>
  <c r="G456" i="1"/>
  <c r="C456" i="1" s="1"/>
  <c r="G457" i="1"/>
  <c r="C457" i="1" s="1"/>
  <c r="G458" i="1"/>
  <c r="C458" i="1" s="1"/>
  <c r="G459" i="1"/>
  <c r="C459" i="1" s="1"/>
  <c r="G460" i="1"/>
  <c r="C460" i="1" s="1"/>
  <c r="G461" i="1"/>
  <c r="C461" i="1" s="1"/>
  <c r="G462" i="1"/>
  <c r="C462" i="1" s="1"/>
  <c r="G463" i="1"/>
  <c r="C463" i="1" s="1"/>
  <c r="G464" i="1"/>
  <c r="C464" i="1" s="1"/>
  <c r="G465" i="1"/>
  <c r="C465" i="1" s="1"/>
  <c r="G466" i="1"/>
  <c r="C466" i="1" s="1"/>
  <c r="G467" i="1"/>
  <c r="C467" i="1" s="1"/>
  <c r="G468" i="1"/>
  <c r="C468" i="1" s="1"/>
  <c r="G469" i="1"/>
  <c r="C469" i="1" s="1"/>
  <c r="G470" i="1"/>
  <c r="C470" i="1" s="1"/>
  <c r="G471" i="1"/>
  <c r="C471" i="1" s="1"/>
  <c r="G472" i="1"/>
  <c r="C472" i="1" s="1"/>
  <c r="G473" i="1"/>
  <c r="C473" i="1" s="1"/>
  <c r="G474" i="1"/>
  <c r="C474" i="1" s="1"/>
  <c r="G475" i="1"/>
  <c r="C475" i="1" s="1"/>
  <c r="G476" i="1"/>
  <c r="C476" i="1" s="1"/>
  <c r="G477" i="1"/>
  <c r="C477" i="1" s="1"/>
  <c r="G478" i="1"/>
  <c r="C478" i="1" s="1"/>
  <c r="G479" i="1"/>
  <c r="C479" i="1" s="1"/>
  <c r="G480" i="1"/>
  <c r="C480" i="1" s="1"/>
  <c r="G481" i="1"/>
  <c r="C481" i="1" s="1"/>
  <c r="G482" i="1"/>
  <c r="C482" i="1" s="1"/>
  <c r="G483" i="1"/>
  <c r="C483" i="1" s="1"/>
  <c r="G484" i="1"/>
  <c r="C484" i="1" s="1"/>
  <c r="G485" i="1"/>
  <c r="C485" i="1" s="1"/>
  <c r="G486" i="1"/>
  <c r="C486" i="1" s="1"/>
  <c r="G487" i="1"/>
  <c r="C487" i="1" s="1"/>
  <c r="G488" i="1"/>
  <c r="C488" i="1" s="1"/>
  <c r="G489" i="1"/>
  <c r="C489" i="1" s="1"/>
  <c r="G490" i="1"/>
  <c r="C490" i="1" s="1"/>
  <c r="G491" i="1"/>
  <c r="C491" i="1" s="1"/>
  <c r="G492" i="1"/>
  <c r="C492" i="1" s="1"/>
  <c r="G493" i="1"/>
  <c r="C493" i="1" s="1"/>
  <c r="G494" i="1"/>
  <c r="C494" i="1" s="1"/>
  <c r="G495" i="1"/>
  <c r="C495" i="1" s="1"/>
  <c r="G496" i="1"/>
  <c r="C496" i="1" s="1"/>
  <c r="G497" i="1"/>
  <c r="C497" i="1" s="1"/>
  <c r="G498" i="1"/>
  <c r="C498" i="1" s="1"/>
  <c r="G499" i="1"/>
  <c r="C499" i="1" s="1"/>
  <c r="G500" i="1"/>
  <c r="C500" i="1" s="1"/>
  <c r="G501" i="1"/>
  <c r="C501" i="1" s="1"/>
  <c r="G502" i="1"/>
  <c r="C502" i="1" s="1"/>
  <c r="G503" i="1"/>
  <c r="C503" i="1" s="1"/>
  <c r="G504" i="1"/>
  <c r="C504" i="1" s="1"/>
  <c r="G505" i="1"/>
  <c r="C505" i="1" s="1"/>
  <c r="G506" i="1"/>
  <c r="C506" i="1" s="1"/>
  <c r="G507" i="1"/>
  <c r="C507" i="1" s="1"/>
  <c r="G508" i="1"/>
  <c r="C508" i="1" s="1"/>
  <c r="G509" i="1"/>
  <c r="C509" i="1" s="1"/>
  <c r="G510" i="1"/>
  <c r="C510" i="1" s="1"/>
  <c r="G511" i="1"/>
  <c r="C511" i="1" s="1"/>
  <c r="G512" i="1"/>
  <c r="C512" i="1" s="1"/>
  <c r="G513" i="1"/>
  <c r="C513" i="1" s="1"/>
  <c r="G514" i="1"/>
  <c r="C514" i="1" s="1"/>
  <c r="G515" i="1"/>
  <c r="C515" i="1" s="1"/>
  <c r="G516" i="1"/>
  <c r="C516" i="1" s="1"/>
  <c r="G517" i="1"/>
  <c r="C517" i="1" s="1"/>
  <c r="G518" i="1"/>
  <c r="C518" i="1" s="1"/>
  <c r="G519" i="1"/>
  <c r="C519" i="1" s="1"/>
  <c r="G520" i="1"/>
  <c r="C520" i="1" s="1"/>
  <c r="G521" i="1"/>
  <c r="C521" i="1" s="1"/>
  <c r="G522" i="1"/>
  <c r="C522" i="1" s="1"/>
  <c r="G523" i="1"/>
  <c r="C523" i="1" s="1"/>
  <c r="G524" i="1"/>
  <c r="C524" i="1" s="1"/>
  <c r="G525" i="1"/>
  <c r="C525" i="1" s="1"/>
  <c r="G526" i="1"/>
  <c r="C526" i="1" s="1"/>
  <c r="G527" i="1"/>
  <c r="C527" i="1" s="1"/>
  <c r="G528" i="1"/>
  <c r="C528" i="1" s="1"/>
  <c r="G529" i="1"/>
  <c r="C529" i="1" s="1"/>
  <c r="G530" i="1"/>
  <c r="C530" i="1" s="1"/>
  <c r="G531" i="1"/>
  <c r="C531" i="1" s="1"/>
  <c r="G532" i="1"/>
  <c r="C532" i="1" s="1"/>
  <c r="G533" i="1"/>
  <c r="C533" i="1" s="1"/>
  <c r="G534" i="1"/>
  <c r="C534" i="1" s="1"/>
  <c r="G535" i="1"/>
  <c r="C535" i="1" s="1"/>
  <c r="G536" i="1"/>
  <c r="C536" i="1" s="1"/>
  <c r="G537" i="1"/>
  <c r="C537" i="1" s="1"/>
  <c r="G538" i="1"/>
  <c r="C538" i="1" s="1"/>
  <c r="G539" i="1"/>
  <c r="C539" i="1" s="1"/>
  <c r="G540" i="1"/>
  <c r="G541" i="1"/>
  <c r="C541" i="1" s="1"/>
  <c r="G542" i="1"/>
  <c r="C542" i="1" s="1"/>
  <c r="C540" i="1"/>
  <c r="G397" i="1"/>
  <c r="C397" i="1" s="1"/>
  <c r="H397" i="1" s="1"/>
  <c r="G398" i="1"/>
  <c r="C398" i="1" s="1"/>
  <c r="G399" i="1"/>
  <c r="G400" i="1"/>
  <c r="C399" i="1"/>
  <c r="E399" i="1" s="1"/>
  <c r="H399" i="1"/>
  <c r="D399" i="1" s="1"/>
  <c r="C400" i="1"/>
  <c r="E400" i="1"/>
  <c r="H400" i="1"/>
  <c r="D400" i="1" s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C125" i="1" s="1"/>
  <c r="G126" i="1"/>
  <c r="C126" i="1" s="1"/>
  <c r="G127" i="1"/>
  <c r="C127" i="1" s="1"/>
  <c r="G128" i="1"/>
  <c r="C128" i="1" s="1"/>
  <c r="G129" i="1"/>
  <c r="C129" i="1" s="1"/>
  <c r="G130" i="1"/>
  <c r="C130" i="1" s="1"/>
  <c r="G131" i="1"/>
  <c r="C131" i="1" s="1"/>
  <c r="G132" i="1"/>
  <c r="C132" i="1" s="1"/>
  <c r="G133" i="1"/>
  <c r="C133" i="1" s="1"/>
  <c r="G134" i="1"/>
  <c r="C134" i="1" s="1"/>
  <c r="G135" i="1"/>
  <c r="C135" i="1" s="1"/>
  <c r="G136" i="1"/>
  <c r="C136" i="1" s="1"/>
  <c r="G137" i="1"/>
  <c r="C137" i="1" s="1"/>
  <c r="G138" i="1"/>
  <c r="C138" i="1" s="1"/>
  <c r="G139" i="1"/>
  <c r="C139" i="1" s="1"/>
  <c r="G140" i="1"/>
  <c r="C140" i="1" s="1"/>
  <c r="G141" i="1"/>
  <c r="C141" i="1" s="1"/>
  <c r="G142" i="1"/>
  <c r="C142" i="1" s="1"/>
  <c r="G143" i="1"/>
  <c r="C143" i="1" s="1"/>
  <c r="G144" i="1"/>
  <c r="C144" i="1" s="1"/>
  <c r="G145" i="1"/>
  <c r="C145" i="1" s="1"/>
  <c r="G146" i="1"/>
  <c r="C146" i="1" s="1"/>
  <c r="G147" i="1"/>
  <c r="C147" i="1" s="1"/>
  <c r="G148" i="1"/>
  <c r="C148" i="1" s="1"/>
  <c r="G149" i="1"/>
  <c r="C149" i="1" s="1"/>
  <c r="G150" i="1"/>
  <c r="C150" i="1" s="1"/>
  <c r="G151" i="1"/>
  <c r="C151" i="1" s="1"/>
  <c r="G152" i="1"/>
  <c r="C152" i="1" s="1"/>
  <c r="G153" i="1"/>
  <c r="C153" i="1" s="1"/>
  <c r="G154" i="1"/>
  <c r="C154" i="1" s="1"/>
  <c r="G155" i="1"/>
  <c r="C155" i="1" s="1"/>
  <c r="G156" i="1"/>
  <c r="C156" i="1" s="1"/>
  <c r="G157" i="1"/>
  <c r="C157" i="1" s="1"/>
  <c r="G158" i="1"/>
  <c r="C158" i="1" s="1"/>
  <c r="G159" i="1"/>
  <c r="C159" i="1" s="1"/>
  <c r="G160" i="1"/>
  <c r="C160" i="1" s="1"/>
  <c r="G161" i="1"/>
  <c r="C161" i="1" s="1"/>
  <c r="G162" i="1"/>
  <c r="C162" i="1" s="1"/>
  <c r="G163" i="1"/>
  <c r="C163" i="1" s="1"/>
  <c r="G164" i="1"/>
  <c r="C164" i="1" s="1"/>
  <c r="G165" i="1"/>
  <c r="C165" i="1" s="1"/>
  <c r="G166" i="1"/>
  <c r="C166" i="1" s="1"/>
  <c r="G167" i="1"/>
  <c r="C167" i="1" s="1"/>
  <c r="G168" i="1"/>
  <c r="C168" i="1" s="1"/>
  <c r="G169" i="1"/>
  <c r="C169" i="1" s="1"/>
  <c r="G170" i="1"/>
  <c r="C170" i="1" s="1"/>
  <c r="G171" i="1"/>
  <c r="C171" i="1" s="1"/>
  <c r="G172" i="1"/>
  <c r="C172" i="1" s="1"/>
  <c r="G173" i="1"/>
  <c r="C173" i="1" s="1"/>
  <c r="G174" i="1"/>
  <c r="C174" i="1" s="1"/>
  <c r="G175" i="1"/>
  <c r="C175" i="1" s="1"/>
  <c r="G176" i="1"/>
  <c r="C176" i="1" s="1"/>
  <c r="G177" i="1"/>
  <c r="C177" i="1" s="1"/>
  <c r="G178" i="1"/>
  <c r="C178" i="1" s="1"/>
  <c r="G179" i="1"/>
  <c r="C179" i="1" s="1"/>
  <c r="G180" i="1"/>
  <c r="C180" i="1" s="1"/>
  <c r="G181" i="1"/>
  <c r="C181" i="1" s="1"/>
  <c r="G182" i="1"/>
  <c r="C182" i="1" s="1"/>
  <c r="G183" i="1"/>
  <c r="C183" i="1" s="1"/>
  <c r="G184" i="1"/>
  <c r="C184" i="1" s="1"/>
  <c r="G185" i="1"/>
  <c r="C185" i="1" s="1"/>
  <c r="G186" i="1"/>
  <c r="C186" i="1" s="1"/>
  <c r="G187" i="1"/>
  <c r="C187" i="1" s="1"/>
  <c r="G188" i="1"/>
  <c r="C188" i="1" s="1"/>
  <c r="G189" i="1"/>
  <c r="C189" i="1" s="1"/>
  <c r="G190" i="1"/>
  <c r="C190" i="1" s="1"/>
  <c r="G191" i="1"/>
  <c r="C191" i="1" s="1"/>
  <c r="G192" i="1"/>
  <c r="C192" i="1" s="1"/>
  <c r="G193" i="1"/>
  <c r="C193" i="1" s="1"/>
  <c r="G194" i="1"/>
  <c r="C194" i="1" s="1"/>
  <c r="G195" i="1"/>
  <c r="C195" i="1" s="1"/>
  <c r="G196" i="1"/>
  <c r="C196" i="1" s="1"/>
  <c r="G197" i="1"/>
  <c r="C197" i="1" s="1"/>
  <c r="G198" i="1"/>
  <c r="C198" i="1" s="1"/>
  <c r="G199" i="1"/>
  <c r="C199" i="1" s="1"/>
  <c r="G200" i="1"/>
  <c r="C200" i="1" s="1"/>
  <c r="G201" i="1"/>
  <c r="C201" i="1" s="1"/>
  <c r="G202" i="1"/>
  <c r="C202" i="1" s="1"/>
  <c r="G203" i="1"/>
  <c r="C203" i="1" s="1"/>
  <c r="G204" i="1"/>
  <c r="C204" i="1" s="1"/>
  <c r="G205" i="1"/>
  <c r="C205" i="1" s="1"/>
  <c r="G206" i="1"/>
  <c r="C206" i="1" s="1"/>
  <c r="G207" i="1"/>
  <c r="C207" i="1" s="1"/>
  <c r="G208" i="1"/>
  <c r="C208" i="1" s="1"/>
  <c r="G209" i="1"/>
  <c r="C209" i="1" s="1"/>
  <c r="G210" i="1"/>
  <c r="C210" i="1" s="1"/>
  <c r="G211" i="1"/>
  <c r="C211" i="1" s="1"/>
  <c r="G212" i="1"/>
  <c r="C212" i="1" s="1"/>
  <c r="G213" i="1"/>
  <c r="C213" i="1" s="1"/>
  <c r="G214" i="1"/>
  <c r="C214" i="1" s="1"/>
  <c r="G215" i="1"/>
  <c r="C215" i="1" s="1"/>
  <c r="G216" i="1"/>
  <c r="C216" i="1" s="1"/>
  <c r="G217" i="1"/>
  <c r="C217" i="1" s="1"/>
  <c r="G218" i="1"/>
  <c r="C218" i="1" s="1"/>
  <c r="G219" i="1"/>
  <c r="C219" i="1" s="1"/>
  <c r="G220" i="1"/>
  <c r="C220" i="1" s="1"/>
  <c r="G221" i="1"/>
  <c r="C221" i="1" s="1"/>
  <c r="G222" i="1"/>
  <c r="C222" i="1" s="1"/>
  <c r="G223" i="1"/>
  <c r="C223" i="1" s="1"/>
  <c r="G224" i="1"/>
  <c r="C224" i="1" s="1"/>
  <c r="G225" i="1"/>
  <c r="C225" i="1" s="1"/>
  <c r="G226" i="1"/>
  <c r="C226" i="1" s="1"/>
  <c r="G227" i="1"/>
  <c r="C227" i="1" s="1"/>
  <c r="G228" i="1"/>
  <c r="C228" i="1" s="1"/>
  <c r="G229" i="1"/>
  <c r="C229" i="1" s="1"/>
  <c r="G230" i="1"/>
  <c r="C230" i="1" s="1"/>
  <c r="G231" i="1"/>
  <c r="C231" i="1" s="1"/>
  <c r="G232" i="1"/>
  <c r="C232" i="1" s="1"/>
  <c r="G233" i="1"/>
  <c r="C233" i="1" s="1"/>
  <c r="G234" i="1"/>
  <c r="C234" i="1" s="1"/>
  <c r="G235" i="1"/>
  <c r="C235" i="1" s="1"/>
  <c r="G236" i="1"/>
  <c r="C236" i="1" s="1"/>
  <c r="G237" i="1"/>
  <c r="C237" i="1" s="1"/>
  <c r="G238" i="1"/>
  <c r="C238" i="1" s="1"/>
  <c r="G239" i="1"/>
  <c r="C239" i="1" s="1"/>
  <c r="G240" i="1"/>
  <c r="C240" i="1" s="1"/>
  <c r="G241" i="1"/>
  <c r="C241" i="1" s="1"/>
  <c r="G242" i="1"/>
  <c r="C242" i="1" s="1"/>
  <c r="G243" i="1"/>
  <c r="C243" i="1" s="1"/>
  <c r="G244" i="1"/>
  <c r="C244" i="1" s="1"/>
  <c r="G245" i="1"/>
  <c r="C245" i="1" s="1"/>
  <c r="G246" i="1"/>
  <c r="C246" i="1" s="1"/>
  <c r="G247" i="1"/>
  <c r="C247" i="1" s="1"/>
  <c r="G248" i="1"/>
  <c r="C248" i="1" s="1"/>
  <c r="G249" i="1"/>
  <c r="C249" i="1" s="1"/>
  <c r="G250" i="1"/>
  <c r="C250" i="1" s="1"/>
  <c r="G251" i="1"/>
  <c r="C251" i="1" s="1"/>
  <c r="G252" i="1"/>
  <c r="C252" i="1" s="1"/>
  <c r="G253" i="1"/>
  <c r="C253" i="1" s="1"/>
  <c r="G254" i="1"/>
  <c r="C254" i="1" s="1"/>
  <c r="G255" i="1"/>
  <c r="C255" i="1" s="1"/>
  <c r="G256" i="1"/>
  <c r="C256" i="1" s="1"/>
  <c r="G257" i="1"/>
  <c r="C257" i="1" s="1"/>
  <c r="G258" i="1"/>
  <c r="C258" i="1" s="1"/>
  <c r="G259" i="1"/>
  <c r="C259" i="1" s="1"/>
  <c r="G260" i="1"/>
  <c r="C260" i="1" s="1"/>
  <c r="G261" i="1"/>
  <c r="C261" i="1" s="1"/>
  <c r="G262" i="1"/>
  <c r="C262" i="1" s="1"/>
  <c r="G263" i="1"/>
  <c r="C263" i="1" s="1"/>
  <c r="G264" i="1"/>
  <c r="C264" i="1" s="1"/>
  <c r="G265" i="1"/>
  <c r="C265" i="1" s="1"/>
  <c r="G266" i="1"/>
  <c r="C266" i="1" s="1"/>
  <c r="G267" i="1"/>
  <c r="C267" i="1" s="1"/>
  <c r="G268" i="1"/>
  <c r="C268" i="1" s="1"/>
  <c r="G269" i="1"/>
  <c r="C269" i="1" s="1"/>
  <c r="G270" i="1"/>
  <c r="C270" i="1" s="1"/>
  <c r="G271" i="1"/>
  <c r="C271" i="1" s="1"/>
  <c r="G272" i="1"/>
  <c r="C272" i="1" s="1"/>
  <c r="G273" i="1"/>
  <c r="C273" i="1" s="1"/>
  <c r="G274" i="1"/>
  <c r="C274" i="1" s="1"/>
  <c r="G275" i="1"/>
  <c r="C275" i="1" s="1"/>
  <c r="G276" i="1"/>
  <c r="C276" i="1" s="1"/>
  <c r="G277" i="1"/>
  <c r="C277" i="1" s="1"/>
  <c r="G278" i="1"/>
  <c r="C278" i="1" s="1"/>
  <c r="G279" i="1"/>
  <c r="C279" i="1" s="1"/>
  <c r="G280" i="1"/>
  <c r="C280" i="1" s="1"/>
  <c r="G281" i="1"/>
  <c r="C281" i="1" s="1"/>
  <c r="G282" i="1"/>
  <c r="C282" i="1" s="1"/>
  <c r="G283" i="1"/>
  <c r="C283" i="1" s="1"/>
  <c r="G284" i="1"/>
  <c r="C284" i="1" s="1"/>
  <c r="G285" i="1"/>
  <c r="C285" i="1" s="1"/>
  <c r="G286" i="1"/>
  <c r="C286" i="1" s="1"/>
  <c r="G287" i="1"/>
  <c r="C287" i="1" s="1"/>
  <c r="G288" i="1"/>
  <c r="C288" i="1" s="1"/>
  <c r="G289" i="1"/>
  <c r="C289" i="1" s="1"/>
  <c r="G290" i="1"/>
  <c r="C290" i="1" s="1"/>
  <c r="G291" i="1"/>
  <c r="C291" i="1" s="1"/>
  <c r="G292" i="1"/>
  <c r="C292" i="1" s="1"/>
  <c r="G293" i="1"/>
  <c r="C293" i="1" s="1"/>
  <c r="G294" i="1"/>
  <c r="C294" i="1" s="1"/>
  <c r="G295" i="1"/>
  <c r="C295" i="1" s="1"/>
  <c r="G296" i="1"/>
  <c r="C296" i="1" s="1"/>
  <c r="G297" i="1"/>
  <c r="C297" i="1" s="1"/>
  <c r="G298" i="1"/>
  <c r="C298" i="1" s="1"/>
  <c r="G299" i="1"/>
  <c r="C299" i="1" s="1"/>
  <c r="G300" i="1"/>
  <c r="C300" i="1" s="1"/>
  <c r="G301" i="1"/>
  <c r="C301" i="1" s="1"/>
  <c r="G302" i="1"/>
  <c r="C302" i="1" s="1"/>
  <c r="G303" i="1"/>
  <c r="C303" i="1" s="1"/>
  <c r="G304" i="1"/>
  <c r="C304" i="1" s="1"/>
  <c r="G305" i="1"/>
  <c r="C305" i="1" s="1"/>
  <c r="G306" i="1"/>
  <c r="C306" i="1" s="1"/>
  <c r="G307" i="1"/>
  <c r="C307" i="1" s="1"/>
  <c r="G308" i="1"/>
  <c r="C308" i="1" s="1"/>
  <c r="G309" i="1"/>
  <c r="C309" i="1" s="1"/>
  <c r="G310" i="1"/>
  <c r="C310" i="1" s="1"/>
  <c r="G311" i="1"/>
  <c r="C311" i="1" s="1"/>
  <c r="G312" i="1"/>
  <c r="C312" i="1" s="1"/>
  <c r="G313" i="1"/>
  <c r="C313" i="1" s="1"/>
  <c r="G314" i="1"/>
  <c r="C314" i="1" s="1"/>
  <c r="G315" i="1"/>
  <c r="C315" i="1" s="1"/>
  <c r="G316" i="1"/>
  <c r="C316" i="1" s="1"/>
  <c r="G317" i="1"/>
  <c r="C317" i="1" s="1"/>
  <c r="G318" i="1"/>
  <c r="C318" i="1" s="1"/>
  <c r="G319" i="1"/>
  <c r="C319" i="1" s="1"/>
  <c r="G320" i="1"/>
  <c r="C320" i="1" s="1"/>
  <c r="G321" i="1"/>
  <c r="C321" i="1" s="1"/>
  <c r="G322" i="1"/>
  <c r="C322" i="1" s="1"/>
  <c r="G323" i="1"/>
  <c r="C323" i="1" s="1"/>
  <c r="G324" i="1"/>
  <c r="C324" i="1" s="1"/>
  <c r="G325" i="1"/>
  <c r="C325" i="1" s="1"/>
  <c r="G326" i="1"/>
  <c r="C326" i="1" s="1"/>
  <c r="G327" i="1"/>
  <c r="C327" i="1" s="1"/>
  <c r="G328" i="1"/>
  <c r="C328" i="1" s="1"/>
  <c r="G329" i="1"/>
  <c r="C329" i="1" s="1"/>
  <c r="G330" i="1"/>
  <c r="C330" i="1" s="1"/>
  <c r="G331" i="1"/>
  <c r="C331" i="1" s="1"/>
  <c r="G332" i="1"/>
  <c r="C332" i="1" s="1"/>
  <c r="G333" i="1"/>
  <c r="C333" i="1" s="1"/>
  <c r="G334" i="1"/>
  <c r="C334" i="1" s="1"/>
  <c r="G335" i="1"/>
  <c r="C335" i="1" s="1"/>
  <c r="G336" i="1"/>
  <c r="C336" i="1" s="1"/>
  <c r="G337" i="1"/>
  <c r="C337" i="1" s="1"/>
  <c r="G338" i="1"/>
  <c r="C338" i="1" s="1"/>
  <c r="G339" i="1"/>
  <c r="C339" i="1" s="1"/>
  <c r="G340" i="1"/>
  <c r="C340" i="1" s="1"/>
  <c r="G341" i="1"/>
  <c r="C341" i="1" s="1"/>
  <c r="G342" i="1"/>
  <c r="C342" i="1" s="1"/>
  <c r="G343" i="1"/>
  <c r="C343" i="1" s="1"/>
  <c r="G344" i="1"/>
  <c r="C344" i="1" s="1"/>
  <c r="G345" i="1"/>
  <c r="C345" i="1" s="1"/>
  <c r="G346" i="1"/>
  <c r="C346" i="1" s="1"/>
  <c r="G347" i="1"/>
  <c r="C347" i="1" s="1"/>
  <c r="G348" i="1"/>
  <c r="C348" i="1" s="1"/>
  <c r="G349" i="1"/>
  <c r="C349" i="1" s="1"/>
  <c r="G350" i="1"/>
  <c r="C350" i="1" s="1"/>
  <c r="G351" i="1"/>
  <c r="C351" i="1" s="1"/>
  <c r="G352" i="1"/>
  <c r="C352" i="1" s="1"/>
  <c r="G353" i="1"/>
  <c r="C353" i="1" s="1"/>
  <c r="G354" i="1"/>
  <c r="C354" i="1" s="1"/>
  <c r="G355" i="1"/>
  <c r="C355" i="1" s="1"/>
  <c r="G356" i="1"/>
  <c r="C356" i="1" s="1"/>
  <c r="G357" i="1"/>
  <c r="C357" i="1" s="1"/>
  <c r="G358" i="1"/>
  <c r="C358" i="1" s="1"/>
  <c r="G359" i="1"/>
  <c r="C359" i="1" s="1"/>
  <c r="G360" i="1"/>
  <c r="C360" i="1" s="1"/>
  <c r="G361" i="1"/>
  <c r="C361" i="1" s="1"/>
  <c r="G362" i="1"/>
  <c r="C362" i="1" s="1"/>
  <c r="G363" i="1"/>
  <c r="C363" i="1" s="1"/>
  <c r="G364" i="1"/>
  <c r="C364" i="1" s="1"/>
  <c r="G365" i="1"/>
  <c r="C365" i="1" s="1"/>
  <c r="G366" i="1"/>
  <c r="C366" i="1" s="1"/>
  <c r="G367" i="1"/>
  <c r="C367" i="1" s="1"/>
  <c r="G368" i="1"/>
  <c r="C368" i="1" s="1"/>
  <c r="G369" i="1"/>
  <c r="C369" i="1" s="1"/>
  <c r="G370" i="1"/>
  <c r="C370" i="1" s="1"/>
  <c r="G371" i="1"/>
  <c r="C371" i="1" s="1"/>
  <c r="G372" i="1"/>
  <c r="C372" i="1" s="1"/>
  <c r="G373" i="1"/>
  <c r="C373" i="1" s="1"/>
  <c r="G374" i="1"/>
  <c r="C374" i="1" s="1"/>
  <c r="G375" i="1"/>
  <c r="C375" i="1" s="1"/>
  <c r="G376" i="1"/>
  <c r="C376" i="1" s="1"/>
  <c r="G377" i="1"/>
  <c r="C377" i="1" s="1"/>
  <c r="G378" i="1"/>
  <c r="C378" i="1" s="1"/>
  <c r="G379" i="1"/>
  <c r="C379" i="1" s="1"/>
  <c r="G380" i="1"/>
  <c r="C380" i="1" s="1"/>
  <c r="G381" i="1"/>
  <c r="C381" i="1" s="1"/>
  <c r="G382" i="1"/>
  <c r="C382" i="1" s="1"/>
  <c r="G383" i="1"/>
  <c r="C383" i="1" s="1"/>
  <c r="G384" i="1"/>
  <c r="C384" i="1" s="1"/>
  <c r="G385" i="1"/>
  <c r="C385" i="1" s="1"/>
  <c r="G386" i="1"/>
  <c r="C386" i="1" s="1"/>
  <c r="G387" i="1"/>
  <c r="C387" i="1" s="1"/>
  <c r="G388" i="1"/>
  <c r="C388" i="1" s="1"/>
  <c r="G389" i="1"/>
  <c r="C389" i="1" s="1"/>
  <c r="G390" i="1"/>
  <c r="C390" i="1" s="1"/>
  <c r="G391" i="1"/>
  <c r="C391" i="1" s="1"/>
  <c r="G392" i="1"/>
  <c r="C392" i="1" s="1"/>
  <c r="G393" i="1"/>
  <c r="C393" i="1" s="1"/>
  <c r="G394" i="1"/>
  <c r="C394" i="1" s="1"/>
  <c r="G395" i="1"/>
  <c r="C395" i="1" s="1"/>
  <c r="G396" i="1"/>
  <c r="C396" i="1" s="1"/>
  <c r="G3" i="1"/>
  <c r="C3" i="1" s="1"/>
  <c r="G4" i="1"/>
  <c r="C4" i="1" s="1"/>
  <c r="G5" i="1"/>
  <c r="C5" i="1" s="1"/>
  <c r="G6" i="1"/>
  <c r="C6" i="1" s="1"/>
  <c r="G7" i="1"/>
  <c r="C7" i="1" s="1"/>
  <c r="G8" i="1"/>
  <c r="C8" i="1" s="1"/>
  <c r="G9" i="1"/>
  <c r="C9" i="1" s="1"/>
  <c r="G10" i="1"/>
  <c r="C10" i="1" s="1"/>
  <c r="G11" i="1"/>
  <c r="C11" i="1" s="1"/>
  <c r="G12" i="1"/>
  <c r="C12" i="1" s="1"/>
  <c r="G13" i="1"/>
  <c r="C13" i="1" s="1"/>
  <c r="G14" i="1"/>
  <c r="C14" i="1" s="1"/>
  <c r="G15" i="1"/>
  <c r="C15" i="1" s="1"/>
  <c r="G16" i="1"/>
  <c r="C16" i="1" s="1"/>
  <c r="G17" i="1"/>
  <c r="C17" i="1" s="1"/>
  <c r="G18" i="1"/>
  <c r="C18" i="1" s="1"/>
  <c r="G19" i="1"/>
  <c r="C19" i="1" s="1"/>
  <c r="G20" i="1"/>
  <c r="C20" i="1" s="1"/>
  <c r="G21" i="1"/>
  <c r="C21" i="1" s="1"/>
  <c r="G22" i="1"/>
  <c r="C22" i="1" s="1"/>
  <c r="G23" i="1"/>
  <c r="C23" i="1" s="1"/>
  <c r="G24" i="1"/>
  <c r="C24" i="1" s="1"/>
  <c r="G25" i="1"/>
  <c r="C25" i="1" s="1"/>
  <c r="G26" i="1"/>
  <c r="C26" i="1" s="1"/>
  <c r="G27" i="1"/>
  <c r="C27" i="1" s="1"/>
  <c r="G28" i="1"/>
  <c r="C28" i="1" s="1"/>
  <c r="G29" i="1"/>
  <c r="C29" i="1" s="1"/>
  <c r="G30" i="1"/>
  <c r="C30" i="1" s="1"/>
  <c r="G31" i="1"/>
  <c r="C31" i="1" s="1"/>
  <c r="G32" i="1"/>
  <c r="C32" i="1" s="1"/>
  <c r="G33" i="1"/>
  <c r="C33" i="1" s="1"/>
  <c r="G34" i="1"/>
  <c r="C34" i="1" s="1"/>
  <c r="G35" i="1"/>
  <c r="C35" i="1" s="1"/>
  <c r="G36" i="1"/>
  <c r="C36" i="1" s="1"/>
  <c r="G37" i="1"/>
  <c r="C37" i="1" s="1"/>
  <c r="G38" i="1"/>
  <c r="C38" i="1" s="1"/>
  <c r="G39" i="1"/>
  <c r="C39" i="1" s="1"/>
  <c r="G40" i="1"/>
  <c r="C40" i="1" s="1"/>
  <c r="G41" i="1"/>
  <c r="C41" i="1" s="1"/>
  <c r="G42" i="1"/>
  <c r="C42" i="1" s="1"/>
  <c r="G43" i="1"/>
  <c r="C43" i="1" s="1"/>
  <c r="G44" i="1"/>
  <c r="C44" i="1" s="1"/>
  <c r="G45" i="1"/>
  <c r="C45" i="1" s="1"/>
  <c r="G46" i="1"/>
  <c r="C46" i="1" s="1"/>
  <c r="G47" i="1"/>
  <c r="C47" i="1" s="1"/>
  <c r="G48" i="1"/>
  <c r="C48" i="1" s="1"/>
  <c r="G49" i="1"/>
  <c r="C49" i="1" s="1"/>
  <c r="H49" i="1" s="1"/>
  <c r="G50" i="1"/>
  <c r="C50" i="1" s="1"/>
  <c r="G51" i="1"/>
  <c r="C51" i="1" s="1"/>
  <c r="G52" i="1"/>
  <c r="C52" i="1" s="1"/>
  <c r="G53" i="1"/>
  <c r="C53" i="1" s="1"/>
  <c r="G54" i="1"/>
  <c r="C54" i="1" s="1"/>
  <c r="G55" i="1"/>
  <c r="C55" i="1" s="1"/>
  <c r="G56" i="1"/>
  <c r="C56" i="1" s="1"/>
  <c r="G57" i="1"/>
  <c r="C57" i="1" s="1"/>
  <c r="G58" i="1"/>
  <c r="C58" i="1" s="1"/>
  <c r="G59" i="1"/>
  <c r="C59" i="1" s="1"/>
  <c r="G60" i="1"/>
  <c r="C60" i="1" s="1"/>
  <c r="G61" i="1"/>
  <c r="C61" i="1" s="1"/>
  <c r="G62" i="1"/>
  <c r="C62" i="1" s="1"/>
  <c r="G63" i="1"/>
  <c r="C63" i="1" s="1"/>
  <c r="G64" i="1"/>
  <c r="C64" i="1" s="1"/>
  <c r="G65" i="1"/>
  <c r="C65" i="1" s="1"/>
  <c r="G66" i="1"/>
  <c r="C66" i="1" s="1"/>
  <c r="G67" i="1"/>
  <c r="C67" i="1" s="1"/>
  <c r="G68" i="1"/>
  <c r="C68" i="1" s="1"/>
  <c r="G69" i="1"/>
  <c r="C69" i="1" s="1"/>
  <c r="G70" i="1"/>
  <c r="C70" i="1" s="1"/>
  <c r="G71" i="1"/>
  <c r="C71" i="1" s="1"/>
  <c r="G72" i="1"/>
  <c r="C72" i="1" s="1"/>
  <c r="G73" i="1"/>
  <c r="C73" i="1" s="1"/>
  <c r="G74" i="1"/>
  <c r="C74" i="1" s="1"/>
  <c r="G75" i="1"/>
  <c r="C75" i="1" s="1"/>
  <c r="G76" i="1"/>
  <c r="C76" i="1" s="1"/>
  <c r="G77" i="1"/>
  <c r="C77" i="1" s="1"/>
  <c r="G78" i="1"/>
  <c r="C78" i="1" s="1"/>
  <c r="G79" i="1"/>
  <c r="C79" i="1" s="1"/>
  <c r="G80" i="1"/>
  <c r="C80" i="1" s="1"/>
  <c r="G81" i="1"/>
  <c r="C81" i="1" s="1"/>
  <c r="G82" i="1"/>
  <c r="C82" i="1" s="1"/>
  <c r="G83" i="1"/>
  <c r="C83" i="1" s="1"/>
  <c r="G84" i="1"/>
  <c r="C84" i="1" s="1"/>
  <c r="G85" i="1"/>
  <c r="C85" i="1" s="1"/>
  <c r="G86" i="1"/>
  <c r="C86" i="1" s="1"/>
  <c r="G87" i="1"/>
  <c r="C87" i="1" s="1"/>
  <c r="G88" i="1"/>
  <c r="C88" i="1" s="1"/>
  <c r="G89" i="1"/>
  <c r="C89" i="1" s="1"/>
  <c r="G90" i="1"/>
  <c r="C90" i="1" s="1"/>
  <c r="G91" i="1"/>
  <c r="C91" i="1" s="1"/>
  <c r="G92" i="1"/>
  <c r="C92" i="1" s="1"/>
  <c r="G93" i="1"/>
  <c r="C93" i="1" s="1"/>
  <c r="G94" i="1"/>
  <c r="C94" i="1" s="1"/>
  <c r="G95" i="1"/>
  <c r="C95" i="1" s="1"/>
  <c r="G96" i="1"/>
  <c r="C96" i="1" s="1"/>
  <c r="G97" i="1"/>
  <c r="C97" i="1" s="1"/>
  <c r="G98" i="1"/>
  <c r="C98" i="1" s="1"/>
  <c r="G99" i="1"/>
  <c r="C99" i="1" s="1"/>
  <c r="G100" i="1"/>
  <c r="C100" i="1" s="1"/>
  <c r="G101" i="1"/>
  <c r="C101" i="1" s="1"/>
  <c r="G102" i="1"/>
  <c r="C102" i="1" s="1"/>
  <c r="G103" i="1"/>
  <c r="C103" i="1" s="1"/>
  <c r="G104" i="1"/>
  <c r="C104" i="1" s="1"/>
  <c r="G105" i="1"/>
  <c r="C105" i="1" s="1"/>
  <c r="G106" i="1"/>
  <c r="C106" i="1" s="1"/>
  <c r="G2" i="1"/>
  <c r="C2" i="1" s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H617" i="1" l="1"/>
  <c r="D617" i="1" s="1"/>
  <c r="E617" i="1"/>
  <c r="H631" i="1"/>
  <c r="D631" i="1" s="1"/>
  <c r="E631" i="1"/>
  <c r="E615" i="1"/>
  <c r="H615" i="1"/>
  <c r="D615" i="1" s="1"/>
  <c r="E616" i="1"/>
  <c r="H616" i="1"/>
  <c r="D616" i="1" s="1"/>
  <c r="H714" i="1"/>
  <c r="D714" i="1" s="1"/>
  <c r="E714" i="1"/>
  <c r="E719" i="1"/>
  <c r="H719" i="1"/>
  <c r="D719" i="1" s="1"/>
  <c r="E722" i="1"/>
  <c r="H722" i="1"/>
  <c r="D722" i="1" s="1"/>
  <c r="E663" i="1"/>
  <c r="H663" i="1"/>
  <c r="D663" i="1" s="1"/>
  <c r="E662" i="1"/>
  <c r="H662" i="1"/>
  <c r="D662" i="1" s="1"/>
  <c r="E664" i="1"/>
  <c r="H664" i="1"/>
  <c r="D664" i="1" s="1"/>
  <c r="E619" i="1"/>
  <c r="H619" i="1"/>
  <c r="D619" i="1" s="1"/>
  <c r="E621" i="1"/>
  <c r="H621" i="1"/>
  <c r="D621" i="1" s="1"/>
  <c r="E622" i="1"/>
  <c r="H622" i="1"/>
  <c r="D622" i="1" s="1"/>
  <c r="E623" i="1"/>
  <c r="H623" i="1"/>
  <c r="D623" i="1" s="1"/>
  <c r="E597" i="1"/>
  <c r="H597" i="1"/>
  <c r="D597" i="1" s="1"/>
  <c r="E598" i="1"/>
  <c r="H598" i="1"/>
  <c r="D598" i="1" s="1"/>
  <c r="E599" i="1"/>
  <c r="H599" i="1"/>
  <c r="D599" i="1" s="1"/>
  <c r="E600" i="1"/>
  <c r="H600" i="1"/>
  <c r="D600" i="1" s="1"/>
  <c r="E601" i="1"/>
  <c r="H601" i="1"/>
  <c r="D601" i="1" s="1"/>
  <c r="E602" i="1"/>
  <c r="H602" i="1"/>
  <c r="D602" i="1" s="1"/>
  <c r="E603" i="1"/>
  <c r="H603" i="1"/>
  <c r="D603" i="1" s="1"/>
  <c r="E614" i="1"/>
  <c r="H614" i="1"/>
  <c r="D614" i="1" s="1"/>
  <c r="E543" i="1"/>
  <c r="H543" i="1"/>
  <c r="D543" i="1" s="1"/>
  <c r="E544" i="1"/>
  <c r="H544" i="1"/>
  <c r="D544" i="1" s="1"/>
  <c r="E545" i="1"/>
  <c r="H545" i="1"/>
  <c r="D545" i="1" s="1"/>
  <c r="E546" i="1"/>
  <c r="H546" i="1"/>
  <c r="D546" i="1" s="1"/>
  <c r="E547" i="1"/>
  <c r="H547" i="1"/>
  <c r="D547" i="1" s="1"/>
  <c r="E548" i="1"/>
  <c r="H548" i="1"/>
  <c r="D548" i="1" s="1"/>
  <c r="E549" i="1"/>
  <c r="H549" i="1"/>
  <c r="D549" i="1" s="1"/>
  <c r="E550" i="1"/>
  <c r="H550" i="1"/>
  <c r="D550" i="1" s="1"/>
  <c r="E551" i="1"/>
  <c r="H551" i="1"/>
  <c r="D551" i="1" s="1"/>
  <c r="H552" i="1"/>
  <c r="D552" i="1" s="1"/>
  <c r="E552" i="1"/>
  <c r="H553" i="1"/>
  <c r="D553" i="1" s="1"/>
  <c r="E553" i="1"/>
  <c r="H554" i="1"/>
  <c r="D554" i="1" s="1"/>
  <c r="E554" i="1"/>
  <c r="E555" i="1"/>
  <c r="H555" i="1"/>
  <c r="D555" i="1" s="1"/>
  <c r="E556" i="1"/>
  <c r="H556" i="1"/>
  <c r="D556" i="1" s="1"/>
  <c r="E557" i="1"/>
  <c r="H557" i="1"/>
  <c r="D557" i="1" s="1"/>
  <c r="E558" i="1"/>
  <c r="H558" i="1"/>
  <c r="D558" i="1" s="1"/>
  <c r="E559" i="1"/>
  <c r="H559" i="1"/>
  <c r="D559" i="1" s="1"/>
  <c r="E560" i="1"/>
  <c r="H560" i="1"/>
  <c r="D560" i="1" s="1"/>
  <c r="E561" i="1"/>
  <c r="H561" i="1"/>
  <c r="D561" i="1" s="1"/>
  <c r="H562" i="1"/>
  <c r="D562" i="1" s="1"/>
  <c r="E562" i="1"/>
  <c r="H563" i="1"/>
  <c r="D563" i="1" s="1"/>
  <c r="E563" i="1"/>
  <c r="H564" i="1"/>
  <c r="D564" i="1" s="1"/>
  <c r="E564" i="1"/>
  <c r="H565" i="1"/>
  <c r="D565" i="1" s="1"/>
  <c r="E565" i="1"/>
  <c r="H566" i="1"/>
  <c r="D566" i="1" s="1"/>
  <c r="E566" i="1"/>
  <c r="H567" i="1"/>
  <c r="D567" i="1" s="1"/>
  <c r="E567" i="1"/>
  <c r="H568" i="1"/>
  <c r="D568" i="1" s="1"/>
  <c r="E568" i="1"/>
  <c r="H569" i="1"/>
  <c r="D569" i="1" s="1"/>
  <c r="E569" i="1"/>
  <c r="H570" i="1"/>
  <c r="D570" i="1" s="1"/>
  <c r="E570" i="1"/>
  <c r="H571" i="1"/>
  <c r="D571" i="1" s="1"/>
  <c r="E571" i="1"/>
  <c r="H572" i="1"/>
  <c r="D572" i="1" s="1"/>
  <c r="E572" i="1"/>
  <c r="H573" i="1"/>
  <c r="D573" i="1" s="1"/>
  <c r="E573" i="1"/>
  <c r="H574" i="1"/>
  <c r="D574" i="1" s="1"/>
  <c r="E574" i="1"/>
  <c r="H575" i="1"/>
  <c r="D575" i="1" s="1"/>
  <c r="E575" i="1"/>
  <c r="H576" i="1"/>
  <c r="D576" i="1" s="1"/>
  <c r="E576" i="1"/>
  <c r="H577" i="1"/>
  <c r="D577" i="1" s="1"/>
  <c r="E577" i="1"/>
  <c r="H578" i="1"/>
  <c r="D578" i="1" s="1"/>
  <c r="E578" i="1"/>
  <c r="H579" i="1"/>
  <c r="D579" i="1" s="1"/>
  <c r="E579" i="1"/>
  <c r="H580" i="1"/>
  <c r="D580" i="1" s="1"/>
  <c r="E580" i="1"/>
  <c r="H581" i="1"/>
  <c r="D581" i="1" s="1"/>
  <c r="E581" i="1"/>
  <c r="H582" i="1"/>
  <c r="D582" i="1" s="1"/>
  <c r="E582" i="1"/>
  <c r="H583" i="1"/>
  <c r="D583" i="1" s="1"/>
  <c r="E583" i="1"/>
  <c r="H584" i="1"/>
  <c r="D584" i="1" s="1"/>
  <c r="E584" i="1"/>
  <c r="H585" i="1"/>
  <c r="D585" i="1" s="1"/>
  <c r="E585" i="1"/>
  <c r="H586" i="1"/>
  <c r="D586" i="1" s="1"/>
  <c r="E586" i="1"/>
  <c r="H587" i="1"/>
  <c r="D587" i="1" s="1"/>
  <c r="E587" i="1"/>
  <c r="H588" i="1"/>
  <c r="D588" i="1" s="1"/>
  <c r="E588" i="1"/>
  <c r="H589" i="1"/>
  <c r="D589" i="1" s="1"/>
  <c r="E589" i="1"/>
  <c r="H590" i="1"/>
  <c r="D590" i="1" s="1"/>
  <c r="E590" i="1"/>
  <c r="H591" i="1"/>
  <c r="D591" i="1" s="1"/>
  <c r="E591" i="1"/>
  <c r="H592" i="1"/>
  <c r="D592" i="1" s="1"/>
  <c r="E592" i="1"/>
  <c r="H593" i="1"/>
  <c r="D593" i="1" s="1"/>
  <c r="E593" i="1"/>
  <c r="H594" i="1"/>
  <c r="D594" i="1" s="1"/>
  <c r="E594" i="1"/>
  <c r="H595" i="1"/>
  <c r="D595" i="1" s="1"/>
  <c r="E595" i="1"/>
  <c r="H596" i="1"/>
  <c r="D596" i="1" s="1"/>
  <c r="E596" i="1"/>
  <c r="E624" i="1"/>
  <c r="H624" i="1"/>
  <c r="D624" i="1" s="1"/>
  <c r="E607" i="1"/>
  <c r="H607" i="1"/>
  <c r="D607" i="1" s="1"/>
  <c r="E668" i="1"/>
  <c r="H668" i="1"/>
  <c r="D668" i="1" s="1"/>
  <c r="E613" i="1"/>
  <c r="H613" i="1"/>
  <c r="D613" i="1" s="1"/>
  <c r="H612" i="1"/>
  <c r="D612" i="1" s="1"/>
  <c r="E612" i="1"/>
  <c r="E618" i="1"/>
  <c r="H618" i="1"/>
  <c r="D618" i="1" s="1"/>
  <c r="E620" i="1"/>
  <c r="H620" i="1"/>
  <c r="D620" i="1" s="1"/>
  <c r="E630" i="1"/>
  <c r="H630" i="1"/>
  <c r="D630" i="1" s="1"/>
  <c r="E625" i="1"/>
  <c r="H625" i="1"/>
  <c r="D625" i="1" s="1"/>
  <c r="E626" i="1"/>
  <c r="H626" i="1"/>
  <c r="E627" i="1"/>
  <c r="H627" i="1"/>
  <c r="D627" i="1" s="1"/>
  <c r="H628" i="1"/>
  <c r="D628" i="1" s="1"/>
  <c r="E628" i="1"/>
  <c r="H629" i="1"/>
  <c r="D629" i="1" s="1"/>
  <c r="E629" i="1"/>
  <c r="E610" i="1"/>
  <c r="H610" i="1"/>
  <c r="D610" i="1" s="1"/>
  <c r="E611" i="1"/>
  <c r="H611" i="1"/>
  <c r="D611" i="1" s="1"/>
  <c r="D626" i="1"/>
  <c r="E606" i="1"/>
  <c r="H606" i="1"/>
  <c r="D606" i="1" s="1"/>
  <c r="E605" i="1"/>
  <c r="H605" i="1"/>
  <c r="D605" i="1" s="1"/>
  <c r="E609" i="1"/>
  <c r="H609" i="1"/>
  <c r="D609" i="1" s="1"/>
  <c r="H604" i="1"/>
  <c r="D604" i="1" s="1"/>
  <c r="E604" i="1"/>
  <c r="E608" i="1"/>
  <c r="H608" i="1"/>
  <c r="D608" i="1" s="1"/>
  <c r="H534" i="1"/>
  <c r="D534" i="1" s="1"/>
  <c r="E534" i="1"/>
  <c r="H536" i="1"/>
  <c r="D536" i="1" s="1"/>
  <c r="E536" i="1"/>
  <c r="H537" i="1"/>
  <c r="D537" i="1" s="1"/>
  <c r="E537" i="1"/>
  <c r="H538" i="1"/>
  <c r="D538" i="1" s="1"/>
  <c r="E538" i="1"/>
  <c r="E540" i="1"/>
  <c r="H540" i="1"/>
  <c r="D540" i="1" s="1"/>
  <c r="E533" i="1"/>
  <c r="H533" i="1"/>
  <c r="D533" i="1" s="1"/>
  <c r="E539" i="1"/>
  <c r="H539" i="1"/>
  <c r="D539" i="1" s="1"/>
  <c r="E541" i="1"/>
  <c r="H541" i="1"/>
  <c r="D541" i="1" s="1"/>
  <c r="E535" i="1"/>
  <c r="H535" i="1"/>
  <c r="D535" i="1" s="1"/>
  <c r="E401" i="1"/>
  <c r="H401" i="1"/>
  <c r="D401" i="1" s="1"/>
  <c r="E402" i="1"/>
  <c r="H402" i="1"/>
  <c r="D402" i="1" s="1"/>
  <c r="E403" i="1"/>
  <c r="H403" i="1"/>
  <c r="D403" i="1" s="1"/>
  <c r="E404" i="1"/>
  <c r="H404" i="1"/>
  <c r="D404" i="1" s="1"/>
  <c r="E405" i="1"/>
  <c r="H405" i="1"/>
  <c r="D405" i="1" s="1"/>
  <c r="E406" i="1"/>
  <c r="H406" i="1"/>
  <c r="D406" i="1" s="1"/>
  <c r="E407" i="1"/>
  <c r="H407" i="1"/>
  <c r="D407" i="1" s="1"/>
  <c r="E408" i="1"/>
  <c r="H408" i="1"/>
  <c r="D408" i="1" s="1"/>
  <c r="E409" i="1"/>
  <c r="H409" i="1"/>
  <c r="D409" i="1" s="1"/>
  <c r="E410" i="1"/>
  <c r="H410" i="1"/>
  <c r="D410" i="1" s="1"/>
  <c r="E411" i="1"/>
  <c r="H411" i="1"/>
  <c r="D411" i="1" s="1"/>
  <c r="H412" i="1"/>
  <c r="D412" i="1" s="1"/>
  <c r="E412" i="1"/>
  <c r="H413" i="1"/>
  <c r="D413" i="1" s="1"/>
  <c r="E413" i="1"/>
  <c r="H414" i="1"/>
  <c r="D414" i="1" s="1"/>
  <c r="E414" i="1"/>
  <c r="H415" i="1"/>
  <c r="D415" i="1" s="1"/>
  <c r="E415" i="1"/>
  <c r="H416" i="1"/>
  <c r="D416" i="1" s="1"/>
  <c r="E416" i="1"/>
  <c r="H417" i="1"/>
  <c r="D417" i="1" s="1"/>
  <c r="E417" i="1"/>
  <c r="H418" i="1"/>
  <c r="D418" i="1" s="1"/>
  <c r="E418" i="1"/>
  <c r="H419" i="1"/>
  <c r="D419" i="1" s="1"/>
  <c r="E419" i="1"/>
  <c r="H420" i="1"/>
  <c r="D420" i="1" s="1"/>
  <c r="E420" i="1"/>
  <c r="H421" i="1"/>
  <c r="D421" i="1" s="1"/>
  <c r="E421" i="1"/>
  <c r="H422" i="1"/>
  <c r="D422" i="1" s="1"/>
  <c r="E422" i="1"/>
  <c r="H423" i="1"/>
  <c r="D423" i="1" s="1"/>
  <c r="E423" i="1"/>
  <c r="H424" i="1"/>
  <c r="D424" i="1" s="1"/>
  <c r="E424" i="1"/>
  <c r="H425" i="1"/>
  <c r="D425" i="1" s="1"/>
  <c r="E425" i="1"/>
  <c r="H426" i="1"/>
  <c r="D426" i="1" s="1"/>
  <c r="E426" i="1"/>
  <c r="H427" i="1"/>
  <c r="D427" i="1" s="1"/>
  <c r="E427" i="1"/>
  <c r="H428" i="1"/>
  <c r="D428" i="1" s="1"/>
  <c r="E428" i="1"/>
  <c r="H429" i="1"/>
  <c r="D429" i="1" s="1"/>
  <c r="E429" i="1"/>
  <c r="H430" i="1"/>
  <c r="D430" i="1" s="1"/>
  <c r="E430" i="1"/>
  <c r="H431" i="1"/>
  <c r="D431" i="1" s="1"/>
  <c r="E431" i="1"/>
  <c r="H432" i="1"/>
  <c r="D432" i="1" s="1"/>
  <c r="E432" i="1"/>
  <c r="H433" i="1"/>
  <c r="D433" i="1" s="1"/>
  <c r="E433" i="1"/>
  <c r="H434" i="1"/>
  <c r="D434" i="1" s="1"/>
  <c r="E434" i="1"/>
  <c r="H435" i="1"/>
  <c r="D435" i="1" s="1"/>
  <c r="E435" i="1"/>
  <c r="H436" i="1"/>
  <c r="D436" i="1" s="1"/>
  <c r="E436" i="1"/>
  <c r="H437" i="1"/>
  <c r="D437" i="1" s="1"/>
  <c r="E437" i="1"/>
  <c r="H438" i="1"/>
  <c r="D438" i="1" s="1"/>
  <c r="E438" i="1"/>
  <c r="H439" i="1"/>
  <c r="D439" i="1" s="1"/>
  <c r="E439" i="1"/>
  <c r="H440" i="1"/>
  <c r="D440" i="1" s="1"/>
  <c r="E440" i="1"/>
  <c r="H441" i="1"/>
  <c r="D441" i="1" s="1"/>
  <c r="E441" i="1"/>
  <c r="H442" i="1"/>
  <c r="D442" i="1" s="1"/>
  <c r="E442" i="1"/>
  <c r="H443" i="1"/>
  <c r="D443" i="1" s="1"/>
  <c r="E443" i="1"/>
  <c r="H444" i="1"/>
  <c r="D444" i="1" s="1"/>
  <c r="E444" i="1"/>
  <c r="H445" i="1"/>
  <c r="D445" i="1" s="1"/>
  <c r="E445" i="1"/>
  <c r="H446" i="1"/>
  <c r="D446" i="1" s="1"/>
  <c r="E446" i="1"/>
  <c r="H447" i="1"/>
  <c r="D447" i="1" s="1"/>
  <c r="E447" i="1"/>
  <c r="H448" i="1"/>
  <c r="D448" i="1" s="1"/>
  <c r="E448" i="1"/>
  <c r="H449" i="1"/>
  <c r="D449" i="1" s="1"/>
  <c r="E449" i="1"/>
  <c r="H450" i="1"/>
  <c r="D450" i="1" s="1"/>
  <c r="E450" i="1"/>
  <c r="H451" i="1"/>
  <c r="D451" i="1" s="1"/>
  <c r="E451" i="1"/>
  <c r="H452" i="1"/>
  <c r="D452" i="1" s="1"/>
  <c r="E452" i="1"/>
  <c r="H453" i="1"/>
  <c r="D453" i="1" s="1"/>
  <c r="E453" i="1"/>
  <c r="H454" i="1"/>
  <c r="D454" i="1" s="1"/>
  <c r="E454" i="1"/>
  <c r="H455" i="1"/>
  <c r="D455" i="1" s="1"/>
  <c r="E455" i="1"/>
  <c r="H456" i="1"/>
  <c r="D456" i="1" s="1"/>
  <c r="E456" i="1"/>
  <c r="H457" i="1"/>
  <c r="D457" i="1" s="1"/>
  <c r="E457" i="1"/>
  <c r="H458" i="1"/>
  <c r="D458" i="1" s="1"/>
  <c r="E458" i="1"/>
  <c r="H459" i="1"/>
  <c r="D459" i="1" s="1"/>
  <c r="E459" i="1"/>
  <c r="H460" i="1"/>
  <c r="D460" i="1" s="1"/>
  <c r="E460" i="1"/>
  <c r="H461" i="1"/>
  <c r="D461" i="1" s="1"/>
  <c r="E461" i="1"/>
  <c r="H462" i="1"/>
  <c r="D462" i="1" s="1"/>
  <c r="E462" i="1"/>
  <c r="H463" i="1"/>
  <c r="D463" i="1" s="1"/>
  <c r="E463" i="1"/>
  <c r="H464" i="1"/>
  <c r="D464" i="1" s="1"/>
  <c r="E464" i="1"/>
  <c r="H465" i="1"/>
  <c r="D465" i="1" s="1"/>
  <c r="E465" i="1"/>
  <c r="H466" i="1"/>
  <c r="D466" i="1" s="1"/>
  <c r="E466" i="1"/>
  <c r="H467" i="1"/>
  <c r="D467" i="1" s="1"/>
  <c r="E467" i="1"/>
  <c r="H468" i="1"/>
  <c r="D468" i="1" s="1"/>
  <c r="E468" i="1"/>
  <c r="H469" i="1"/>
  <c r="D469" i="1" s="1"/>
  <c r="E469" i="1"/>
  <c r="H470" i="1"/>
  <c r="D470" i="1" s="1"/>
  <c r="E470" i="1"/>
  <c r="H471" i="1"/>
  <c r="D471" i="1" s="1"/>
  <c r="E471" i="1"/>
  <c r="H472" i="1"/>
  <c r="D472" i="1" s="1"/>
  <c r="E472" i="1"/>
  <c r="H473" i="1"/>
  <c r="D473" i="1" s="1"/>
  <c r="E473" i="1"/>
  <c r="H474" i="1"/>
  <c r="D474" i="1" s="1"/>
  <c r="E474" i="1"/>
  <c r="H475" i="1"/>
  <c r="D475" i="1" s="1"/>
  <c r="E475" i="1"/>
  <c r="H476" i="1"/>
  <c r="D476" i="1" s="1"/>
  <c r="E476" i="1"/>
  <c r="H477" i="1"/>
  <c r="D477" i="1" s="1"/>
  <c r="E477" i="1"/>
  <c r="H478" i="1"/>
  <c r="D478" i="1" s="1"/>
  <c r="E478" i="1"/>
  <c r="H479" i="1"/>
  <c r="D479" i="1" s="1"/>
  <c r="E479" i="1"/>
  <c r="H480" i="1"/>
  <c r="D480" i="1" s="1"/>
  <c r="E480" i="1"/>
  <c r="H481" i="1"/>
  <c r="D481" i="1" s="1"/>
  <c r="E481" i="1"/>
  <c r="H482" i="1"/>
  <c r="D482" i="1" s="1"/>
  <c r="E482" i="1"/>
  <c r="H483" i="1"/>
  <c r="D483" i="1" s="1"/>
  <c r="E483" i="1"/>
  <c r="H484" i="1"/>
  <c r="D484" i="1" s="1"/>
  <c r="E484" i="1"/>
  <c r="H485" i="1"/>
  <c r="D485" i="1" s="1"/>
  <c r="E485" i="1"/>
  <c r="H486" i="1"/>
  <c r="D486" i="1" s="1"/>
  <c r="E486" i="1"/>
  <c r="H487" i="1"/>
  <c r="D487" i="1" s="1"/>
  <c r="E487" i="1"/>
  <c r="H488" i="1"/>
  <c r="D488" i="1" s="1"/>
  <c r="E488" i="1"/>
  <c r="H489" i="1"/>
  <c r="D489" i="1" s="1"/>
  <c r="E489" i="1"/>
  <c r="H490" i="1"/>
  <c r="D490" i="1" s="1"/>
  <c r="E490" i="1"/>
  <c r="H491" i="1"/>
  <c r="D491" i="1" s="1"/>
  <c r="E491" i="1"/>
  <c r="H492" i="1"/>
  <c r="D492" i="1" s="1"/>
  <c r="E492" i="1"/>
  <c r="H493" i="1"/>
  <c r="D493" i="1" s="1"/>
  <c r="E493" i="1"/>
  <c r="H494" i="1"/>
  <c r="D494" i="1" s="1"/>
  <c r="E494" i="1"/>
  <c r="H495" i="1"/>
  <c r="D495" i="1" s="1"/>
  <c r="E495" i="1"/>
  <c r="H496" i="1"/>
  <c r="D496" i="1" s="1"/>
  <c r="E496" i="1"/>
  <c r="H497" i="1"/>
  <c r="D497" i="1" s="1"/>
  <c r="E497" i="1"/>
  <c r="H498" i="1"/>
  <c r="D498" i="1" s="1"/>
  <c r="E498" i="1"/>
  <c r="H499" i="1"/>
  <c r="D499" i="1" s="1"/>
  <c r="E499" i="1"/>
  <c r="H500" i="1"/>
  <c r="D500" i="1" s="1"/>
  <c r="E500" i="1"/>
  <c r="H501" i="1"/>
  <c r="D501" i="1" s="1"/>
  <c r="E501" i="1"/>
  <c r="H502" i="1"/>
  <c r="D502" i="1" s="1"/>
  <c r="E502" i="1"/>
  <c r="H503" i="1"/>
  <c r="D503" i="1" s="1"/>
  <c r="E503" i="1"/>
  <c r="H504" i="1"/>
  <c r="D504" i="1" s="1"/>
  <c r="E504" i="1"/>
  <c r="H505" i="1"/>
  <c r="D505" i="1" s="1"/>
  <c r="E505" i="1"/>
  <c r="H506" i="1"/>
  <c r="D506" i="1" s="1"/>
  <c r="E506" i="1"/>
  <c r="H507" i="1"/>
  <c r="D507" i="1" s="1"/>
  <c r="E507" i="1"/>
  <c r="H508" i="1"/>
  <c r="D508" i="1" s="1"/>
  <c r="E508" i="1"/>
  <c r="H509" i="1"/>
  <c r="D509" i="1" s="1"/>
  <c r="E509" i="1"/>
  <c r="H510" i="1"/>
  <c r="D510" i="1" s="1"/>
  <c r="E510" i="1"/>
  <c r="H511" i="1"/>
  <c r="D511" i="1" s="1"/>
  <c r="E511" i="1"/>
  <c r="H512" i="1"/>
  <c r="D512" i="1" s="1"/>
  <c r="E512" i="1"/>
  <c r="H513" i="1"/>
  <c r="D513" i="1" s="1"/>
  <c r="E513" i="1"/>
  <c r="H514" i="1"/>
  <c r="D514" i="1" s="1"/>
  <c r="E514" i="1"/>
  <c r="H515" i="1"/>
  <c r="D515" i="1" s="1"/>
  <c r="E515" i="1"/>
  <c r="H516" i="1"/>
  <c r="D516" i="1" s="1"/>
  <c r="E516" i="1"/>
  <c r="H517" i="1"/>
  <c r="D517" i="1" s="1"/>
  <c r="E517" i="1"/>
  <c r="H518" i="1"/>
  <c r="D518" i="1" s="1"/>
  <c r="E518" i="1"/>
  <c r="H519" i="1"/>
  <c r="D519" i="1" s="1"/>
  <c r="E519" i="1"/>
  <c r="H520" i="1"/>
  <c r="D520" i="1" s="1"/>
  <c r="E520" i="1"/>
  <c r="H521" i="1"/>
  <c r="D521" i="1" s="1"/>
  <c r="E521" i="1"/>
  <c r="H522" i="1"/>
  <c r="D522" i="1" s="1"/>
  <c r="E522" i="1"/>
  <c r="H523" i="1"/>
  <c r="D523" i="1" s="1"/>
  <c r="E523" i="1"/>
  <c r="H524" i="1"/>
  <c r="D524" i="1" s="1"/>
  <c r="E524" i="1"/>
  <c r="H525" i="1"/>
  <c r="D525" i="1" s="1"/>
  <c r="E525" i="1"/>
  <c r="H526" i="1"/>
  <c r="D526" i="1" s="1"/>
  <c r="E526" i="1"/>
  <c r="H527" i="1"/>
  <c r="D527" i="1" s="1"/>
  <c r="E527" i="1"/>
  <c r="H528" i="1"/>
  <c r="D528" i="1" s="1"/>
  <c r="E528" i="1"/>
  <c r="H529" i="1"/>
  <c r="D529" i="1" s="1"/>
  <c r="E529" i="1"/>
  <c r="H530" i="1"/>
  <c r="D530" i="1" s="1"/>
  <c r="E530" i="1"/>
  <c r="H531" i="1"/>
  <c r="D531" i="1" s="1"/>
  <c r="E531" i="1"/>
  <c r="H532" i="1"/>
  <c r="D532" i="1" s="1"/>
  <c r="E532" i="1"/>
  <c r="H542" i="1"/>
  <c r="D542" i="1" s="1"/>
  <c r="E542" i="1"/>
  <c r="H398" i="1"/>
  <c r="D398" i="1" s="1"/>
  <c r="E398" i="1"/>
  <c r="E107" i="1"/>
  <c r="H107" i="1"/>
  <c r="D107" i="1" s="1"/>
  <c r="D397" i="1"/>
  <c r="E397" i="1"/>
  <c r="E108" i="1"/>
  <c r="H108" i="1"/>
  <c r="D108" i="1" s="1"/>
  <c r="E109" i="1"/>
  <c r="H109" i="1"/>
  <c r="D109" i="1" s="1"/>
  <c r="E110" i="1"/>
  <c r="H110" i="1"/>
  <c r="D110" i="1" s="1"/>
  <c r="E111" i="1"/>
  <c r="H111" i="1"/>
  <c r="D111" i="1" s="1"/>
  <c r="E112" i="1"/>
  <c r="H112" i="1"/>
  <c r="D112" i="1" s="1"/>
  <c r="E113" i="1"/>
  <c r="H113" i="1"/>
  <c r="D113" i="1" s="1"/>
  <c r="E114" i="1"/>
  <c r="H114" i="1"/>
  <c r="D114" i="1" s="1"/>
  <c r="E115" i="1"/>
  <c r="H115" i="1"/>
  <c r="D115" i="1" s="1"/>
  <c r="E116" i="1"/>
  <c r="H116" i="1"/>
  <c r="D116" i="1" s="1"/>
  <c r="E117" i="1"/>
  <c r="H117" i="1"/>
  <c r="D117" i="1" s="1"/>
  <c r="E118" i="1"/>
  <c r="H118" i="1"/>
  <c r="D118" i="1" s="1"/>
  <c r="E119" i="1"/>
  <c r="H119" i="1"/>
  <c r="D119" i="1" s="1"/>
  <c r="E120" i="1"/>
  <c r="H120" i="1"/>
  <c r="D120" i="1" s="1"/>
  <c r="E121" i="1"/>
  <c r="H121" i="1"/>
  <c r="D121" i="1" s="1"/>
  <c r="E122" i="1"/>
  <c r="H122" i="1"/>
  <c r="D122" i="1" s="1"/>
  <c r="E123" i="1"/>
  <c r="H123" i="1"/>
  <c r="D123" i="1" s="1"/>
  <c r="E124" i="1"/>
  <c r="H124" i="1"/>
  <c r="D124" i="1" s="1"/>
  <c r="E125" i="1"/>
  <c r="H125" i="1"/>
  <c r="D125" i="1" s="1"/>
  <c r="E126" i="1"/>
  <c r="H126" i="1"/>
  <c r="D126" i="1" s="1"/>
  <c r="E127" i="1"/>
  <c r="H127" i="1"/>
  <c r="D127" i="1" s="1"/>
  <c r="E128" i="1"/>
  <c r="H128" i="1"/>
  <c r="D128" i="1" s="1"/>
  <c r="E129" i="1"/>
  <c r="H129" i="1"/>
  <c r="D129" i="1" s="1"/>
  <c r="E130" i="1"/>
  <c r="H130" i="1"/>
  <c r="D130" i="1" s="1"/>
  <c r="E131" i="1"/>
  <c r="H131" i="1"/>
  <c r="D131" i="1" s="1"/>
  <c r="E132" i="1"/>
  <c r="H132" i="1"/>
  <c r="D132" i="1" s="1"/>
  <c r="E133" i="1"/>
  <c r="H133" i="1"/>
  <c r="D133" i="1" s="1"/>
  <c r="E134" i="1"/>
  <c r="H134" i="1"/>
  <c r="D134" i="1" s="1"/>
  <c r="E135" i="1"/>
  <c r="H135" i="1"/>
  <c r="D135" i="1" s="1"/>
  <c r="E136" i="1"/>
  <c r="H136" i="1"/>
  <c r="D136" i="1" s="1"/>
  <c r="E137" i="1"/>
  <c r="H137" i="1"/>
  <c r="D137" i="1" s="1"/>
  <c r="E138" i="1"/>
  <c r="H138" i="1"/>
  <c r="D138" i="1" s="1"/>
  <c r="E139" i="1"/>
  <c r="H139" i="1"/>
  <c r="D139" i="1" s="1"/>
  <c r="E140" i="1"/>
  <c r="H140" i="1"/>
  <c r="D140" i="1" s="1"/>
  <c r="E141" i="1"/>
  <c r="H141" i="1"/>
  <c r="D141" i="1" s="1"/>
  <c r="E142" i="1"/>
  <c r="H142" i="1"/>
  <c r="D142" i="1" s="1"/>
  <c r="E143" i="1"/>
  <c r="H143" i="1"/>
  <c r="D143" i="1" s="1"/>
  <c r="E144" i="1"/>
  <c r="H144" i="1"/>
  <c r="D144" i="1" s="1"/>
  <c r="E145" i="1"/>
  <c r="H145" i="1"/>
  <c r="D145" i="1" s="1"/>
  <c r="E146" i="1"/>
  <c r="H146" i="1"/>
  <c r="D146" i="1" s="1"/>
  <c r="E147" i="1"/>
  <c r="H147" i="1"/>
  <c r="D147" i="1" s="1"/>
  <c r="E148" i="1"/>
  <c r="H148" i="1"/>
  <c r="D148" i="1" s="1"/>
  <c r="E149" i="1"/>
  <c r="H149" i="1"/>
  <c r="D149" i="1" s="1"/>
  <c r="E150" i="1"/>
  <c r="H150" i="1"/>
  <c r="D150" i="1" s="1"/>
  <c r="E151" i="1"/>
  <c r="H151" i="1"/>
  <c r="D151" i="1" s="1"/>
  <c r="E152" i="1"/>
  <c r="H152" i="1"/>
  <c r="D152" i="1" s="1"/>
  <c r="E153" i="1"/>
  <c r="H153" i="1"/>
  <c r="D153" i="1" s="1"/>
  <c r="E154" i="1"/>
  <c r="H154" i="1"/>
  <c r="D154" i="1" s="1"/>
  <c r="E155" i="1"/>
  <c r="H155" i="1"/>
  <c r="D155" i="1" s="1"/>
  <c r="E156" i="1"/>
  <c r="H156" i="1"/>
  <c r="D156" i="1" s="1"/>
  <c r="E157" i="1"/>
  <c r="H157" i="1"/>
  <c r="D157" i="1" s="1"/>
  <c r="E158" i="1"/>
  <c r="H158" i="1"/>
  <c r="D158" i="1" s="1"/>
  <c r="E159" i="1"/>
  <c r="H159" i="1"/>
  <c r="D159" i="1" s="1"/>
  <c r="E160" i="1"/>
  <c r="H160" i="1"/>
  <c r="D160" i="1" s="1"/>
  <c r="E161" i="1"/>
  <c r="H161" i="1"/>
  <c r="D161" i="1" s="1"/>
  <c r="E162" i="1"/>
  <c r="H162" i="1"/>
  <c r="D162" i="1" s="1"/>
  <c r="H163" i="1"/>
  <c r="D163" i="1" s="1"/>
  <c r="E163" i="1"/>
  <c r="H164" i="1"/>
  <c r="D164" i="1" s="1"/>
  <c r="E164" i="1"/>
  <c r="H165" i="1"/>
  <c r="D165" i="1" s="1"/>
  <c r="E165" i="1"/>
  <c r="H166" i="1"/>
  <c r="D166" i="1" s="1"/>
  <c r="E166" i="1"/>
  <c r="H167" i="1"/>
  <c r="D167" i="1" s="1"/>
  <c r="E167" i="1"/>
  <c r="H168" i="1"/>
  <c r="D168" i="1" s="1"/>
  <c r="E168" i="1"/>
  <c r="H169" i="1"/>
  <c r="D169" i="1" s="1"/>
  <c r="E169" i="1"/>
  <c r="H170" i="1"/>
  <c r="D170" i="1" s="1"/>
  <c r="E170" i="1"/>
  <c r="H171" i="1"/>
  <c r="D171" i="1" s="1"/>
  <c r="E171" i="1"/>
  <c r="H172" i="1"/>
  <c r="D172" i="1" s="1"/>
  <c r="E172" i="1"/>
  <c r="H173" i="1"/>
  <c r="D173" i="1" s="1"/>
  <c r="E173" i="1"/>
  <c r="H174" i="1"/>
  <c r="D174" i="1" s="1"/>
  <c r="E174" i="1"/>
  <c r="H175" i="1"/>
  <c r="D175" i="1" s="1"/>
  <c r="E175" i="1"/>
  <c r="H176" i="1"/>
  <c r="D176" i="1" s="1"/>
  <c r="E176" i="1"/>
  <c r="H177" i="1"/>
  <c r="D177" i="1" s="1"/>
  <c r="E177" i="1"/>
  <c r="H178" i="1"/>
  <c r="D178" i="1" s="1"/>
  <c r="E178" i="1"/>
  <c r="H179" i="1"/>
  <c r="D179" i="1" s="1"/>
  <c r="E179" i="1"/>
  <c r="H180" i="1"/>
  <c r="D180" i="1" s="1"/>
  <c r="E180" i="1"/>
  <c r="H181" i="1"/>
  <c r="D181" i="1" s="1"/>
  <c r="E181" i="1"/>
  <c r="H182" i="1"/>
  <c r="D182" i="1" s="1"/>
  <c r="E182" i="1"/>
  <c r="H183" i="1"/>
  <c r="D183" i="1" s="1"/>
  <c r="E183" i="1"/>
  <c r="H184" i="1"/>
  <c r="D184" i="1" s="1"/>
  <c r="E184" i="1"/>
  <c r="H185" i="1"/>
  <c r="D185" i="1" s="1"/>
  <c r="E185" i="1"/>
  <c r="H186" i="1"/>
  <c r="D186" i="1" s="1"/>
  <c r="E186" i="1"/>
  <c r="H187" i="1"/>
  <c r="D187" i="1" s="1"/>
  <c r="E187" i="1"/>
  <c r="H188" i="1"/>
  <c r="D188" i="1" s="1"/>
  <c r="E188" i="1"/>
  <c r="H189" i="1"/>
  <c r="D189" i="1" s="1"/>
  <c r="E189" i="1"/>
  <c r="H190" i="1"/>
  <c r="D190" i="1" s="1"/>
  <c r="E190" i="1"/>
  <c r="H191" i="1"/>
  <c r="D191" i="1" s="1"/>
  <c r="E191" i="1"/>
  <c r="H192" i="1"/>
  <c r="D192" i="1" s="1"/>
  <c r="E192" i="1"/>
  <c r="H193" i="1"/>
  <c r="D193" i="1" s="1"/>
  <c r="E193" i="1"/>
  <c r="H194" i="1"/>
  <c r="D194" i="1" s="1"/>
  <c r="E194" i="1"/>
  <c r="H195" i="1"/>
  <c r="D195" i="1" s="1"/>
  <c r="E195" i="1"/>
  <c r="H196" i="1"/>
  <c r="D196" i="1" s="1"/>
  <c r="E196" i="1"/>
  <c r="H197" i="1"/>
  <c r="D197" i="1" s="1"/>
  <c r="E197" i="1"/>
  <c r="H198" i="1"/>
  <c r="D198" i="1" s="1"/>
  <c r="E198" i="1"/>
  <c r="H199" i="1"/>
  <c r="D199" i="1" s="1"/>
  <c r="E199" i="1"/>
  <c r="H200" i="1"/>
  <c r="D200" i="1" s="1"/>
  <c r="E200" i="1"/>
  <c r="H201" i="1"/>
  <c r="D201" i="1" s="1"/>
  <c r="E201" i="1"/>
  <c r="H202" i="1"/>
  <c r="D202" i="1" s="1"/>
  <c r="E202" i="1"/>
  <c r="H203" i="1"/>
  <c r="D203" i="1" s="1"/>
  <c r="E203" i="1"/>
  <c r="H204" i="1"/>
  <c r="D204" i="1" s="1"/>
  <c r="E204" i="1"/>
  <c r="H205" i="1"/>
  <c r="D205" i="1" s="1"/>
  <c r="E205" i="1"/>
  <c r="H206" i="1"/>
  <c r="D206" i="1" s="1"/>
  <c r="E206" i="1"/>
  <c r="H207" i="1"/>
  <c r="D207" i="1" s="1"/>
  <c r="E207" i="1"/>
  <c r="H208" i="1"/>
  <c r="D208" i="1" s="1"/>
  <c r="E208" i="1"/>
  <c r="H209" i="1"/>
  <c r="D209" i="1" s="1"/>
  <c r="E209" i="1"/>
  <c r="H210" i="1"/>
  <c r="D210" i="1" s="1"/>
  <c r="E210" i="1"/>
  <c r="H211" i="1"/>
  <c r="D211" i="1" s="1"/>
  <c r="E211" i="1"/>
  <c r="H212" i="1"/>
  <c r="D212" i="1" s="1"/>
  <c r="E212" i="1"/>
  <c r="H213" i="1"/>
  <c r="D213" i="1" s="1"/>
  <c r="E213" i="1"/>
  <c r="H214" i="1"/>
  <c r="D214" i="1" s="1"/>
  <c r="E214" i="1"/>
  <c r="H215" i="1"/>
  <c r="D215" i="1" s="1"/>
  <c r="E215" i="1"/>
  <c r="H216" i="1"/>
  <c r="D216" i="1" s="1"/>
  <c r="E216" i="1"/>
  <c r="H217" i="1"/>
  <c r="D217" i="1" s="1"/>
  <c r="E217" i="1"/>
  <c r="H218" i="1"/>
  <c r="D218" i="1" s="1"/>
  <c r="E218" i="1"/>
  <c r="H219" i="1"/>
  <c r="D219" i="1" s="1"/>
  <c r="E219" i="1"/>
  <c r="H220" i="1"/>
  <c r="D220" i="1" s="1"/>
  <c r="E220" i="1"/>
  <c r="H221" i="1"/>
  <c r="D221" i="1" s="1"/>
  <c r="E221" i="1"/>
  <c r="H222" i="1"/>
  <c r="D222" i="1" s="1"/>
  <c r="E222" i="1"/>
  <c r="H223" i="1"/>
  <c r="D223" i="1" s="1"/>
  <c r="E223" i="1"/>
  <c r="H224" i="1"/>
  <c r="D224" i="1" s="1"/>
  <c r="E224" i="1"/>
  <c r="H225" i="1"/>
  <c r="D225" i="1" s="1"/>
  <c r="E225" i="1"/>
  <c r="H226" i="1"/>
  <c r="D226" i="1" s="1"/>
  <c r="E226" i="1"/>
  <c r="H227" i="1"/>
  <c r="D227" i="1" s="1"/>
  <c r="E227" i="1"/>
  <c r="H228" i="1"/>
  <c r="D228" i="1" s="1"/>
  <c r="E228" i="1"/>
  <c r="H229" i="1"/>
  <c r="D229" i="1" s="1"/>
  <c r="E229" i="1"/>
  <c r="H230" i="1"/>
  <c r="D230" i="1" s="1"/>
  <c r="E230" i="1"/>
  <c r="H231" i="1"/>
  <c r="D231" i="1" s="1"/>
  <c r="E231" i="1"/>
  <c r="H232" i="1"/>
  <c r="D232" i="1" s="1"/>
  <c r="E232" i="1"/>
  <c r="H233" i="1"/>
  <c r="D233" i="1" s="1"/>
  <c r="E233" i="1"/>
  <c r="H234" i="1"/>
  <c r="D234" i="1" s="1"/>
  <c r="E234" i="1"/>
  <c r="H235" i="1"/>
  <c r="D235" i="1" s="1"/>
  <c r="E235" i="1"/>
  <c r="H236" i="1"/>
  <c r="D236" i="1" s="1"/>
  <c r="E236" i="1"/>
  <c r="H237" i="1"/>
  <c r="D237" i="1" s="1"/>
  <c r="E237" i="1"/>
  <c r="H238" i="1"/>
  <c r="D238" i="1" s="1"/>
  <c r="E238" i="1"/>
  <c r="H239" i="1"/>
  <c r="D239" i="1" s="1"/>
  <c r="E239" i="1"/>
  <c r="H240" i="1"/>
  <c r="D240" i="1" s="1"/>
  <c r="E240" i="1"/>
  <c r="H241" i="1"/>
  <c r="D241" i="1" s="1"/>
  <c r="E241" i="1"/>
  <c r="H242" i="1"/>
  <c r="D242" i="1" s="1"/>
  <c r="E242" i="1"/>
  <c r="H243" i="1"/>
  <c r="D243" i="1" s="1"/>
  <c r="E243" i="1"/>
  <c r="H244" i="1"/>
  <c r="D244" i="1" s="1"/>
  <c r="E244" i="1"/>
  <c r="H245" i="1"/>
  <c r="D245" i="1" s="1"/>
  <c r="E245" i="1"/>
  <c r="H246" i="1"/>
  <c r="D246" i="1" s="1"/>
  <c r="E246" i="1"/>
  <c r="H247" i="1"/>
  <c r="D247" i="1" s="1"/>
  <c r="E247" i="1"/>
  <c r="H248" i="1"/>
  <c r="D248" i="1" s="1"/>
  <c r="E248" i="1"/>
  <c r="H249" i="1"/>
  <c r="D249" i="1" s="1"/>
  <c r="E249" i="1"/>
  <c r="H250" i="1"/>
  <c r="D250" i="1" s="1"/>
  <c r="E250" i="1"/>
  <c r="H251" i="1"/>
  <c r="D251" i="1" s="1"/>
  <c r="E251" i="1"/>
  <c r="H252" i="1"/>
  <c r="D252" i="1" s="1"/>
  <c r="E252" i="1"/>
  <c r="H253" i="1"/>
  <c r="D253" i="1" s="1"/>
  <c r="E253" i="1"/>
  <c r="H254" i="1"/>
  <c r="D254" i="1" s="1"/>
  <c r="E254" i="1"/>
  <c r="H255" i="1"/>
  <c r="D255" i="1" s="1"/>
  <c r="E255" i="1"/>
  <c r="H256" i="1"/>
  <c r="D256" i="1" s="1"/>
  <c r="E256" i="1"/>
  <c r="H257" i="1"/>
  <c r="D257" i="1" s="1"/>
  <c r="E257" i="1"/>
  <c r="H258" i="1"/>
  <c r="D258" i="1" s="1"/>
  <c r="E258" i="1"/>
  <c r="H259" i="1"/>
  <c r="D259" i="1" s="1"/>
  <c r="E259" i="1"/>
  <c r="H260" i="1"/>
  <c r="D260" i="1" s="1"/>
  <c r="E260" i="1"/>
  <c r="H261" i="1"/>
  <c r="D261" i="1" s="1"/>
  <c r="E261" i="1"/>
  <c r="H262" i="1"/>
  <c r="D262" i="1" s="1"/>
  <c r="E262" i="1"/>
  <c r="H263" i="1"/>
  <c r="D263" i="1" s="1"/>
  <c r="E263" i="1"/>
  <c r="H264" i="1"/>
  <c r="D264" i="1" s="1"/>
  <c r="E264" i="1"/>
  <c r="H265" i="1"/>
  <c r="D265" i="1" s="1"/>
  <c r="E265" i="1"/>
  <c r="H266" i="1"/>
  <c r="D266" i="1" s="1"/>
  <c r="E266" i="1"/>
  <c r="H267" i="1"/>
  <c r="D267" i="1" s="1"/>
  <c r="E267" i="1"/>
  <c r="H268" i="1"/>
  <c r="D268" i="1" s="1"/>
  <c r="E268" i="1"/>
  <c r="H269" i="1"/>
  <c r="D269" i="1" s="1"/>
  <c r="E269" i="1"/>
  <c r="H270" i="1"/>
  <c r="D270" i="1" s="1"/>
  <c r="E270" i="1"/>
  <c r="H271" i="1"/>
  <c r="D271" i="1" s="1"/>
  <c r="E271" i="1"/>
  <c r="H272" i="1"/>
  <c r="D272" i="1" s="1"/>
  <c r="E272" i="1"/>
  <c r="H273" i="1"/>
  <c r="D273" i="1" s="1"/>
  <c r="E273" i="1"/>
  <c r="H274" i="1"/>
  <c r="D274" i="1" s="1"/>
  <c r="E274" i="1"/>
  <c r="H275" i="1"/>
  <c r="D275" i="1" s="1"/>
  <c r="E275" i="1"/>
  <c r="H276" i="1"/>
  <c r="D276" i="1" s="1"/>
  <c r="E276" i="1"/>
  <c r="H277" i="1"/>
  <c r="D277" i="1" s="1"/>
  <c r="E277" i="1"/>
  <c r="H278" i="1"/>
  <c r="D278" i="1" s="1"/>
  <c r="E278" i="1"/>
  <c r="H279" i="1"/>
  <c r="D279" i="1" s="1"/>
  <c r="E279" i="1"/>
  <c r="H280" i="1"/>
  <c r="D280" i="1" s="1"/>
  <c r="E280" i="1"/>
  <c r="H281" i="1"/>
  <c r="D281" i="1" s="1"/>
  <c r="E281" i="1"/>
  <c r="H282" i="1"/>
  <c r="D282" i="1" s="1"/>
  <c r="E282" i="1"/>
  <c r="H283" i="1"/>
  <c r="D283" i="1" s="1"/>
  <c r="E283" i="1"/>
  <c r="H105" i="1"/>
  <c r="D105" i="1" s="1"/>
  <c r="E105" i="1"/>
  <c r="E284" i="1"/>
  <c r="H284" i="1"/>
  <c r="D284" i="1" s="1"/>
  <c r="E285" i="1"/>
  <c r="H285" i="1"/>
  <c r="D285" i="1" s="1"/>
  <c r="E286" i="1"/>
  <c r="H286" i="1"/>
  <c r="D286" i="1" s="1"/>
  <c r="E287" i="1"/>
  <c r="H287" i="1"/>
  <c r="D287" i="1" s="1"/>
  <c r="E288" i="1"/>
  <c r="H288" i="1"/>
  <c r="D288" i="1" s="1"/>
  <c r="E289" i="1"/>
  <c r="H289" i="1"/>
  <c r="D289" i="1" s="1"/>
  <c r="E290" i="1"/>
  <c r="H290" i="1"/>
  <c r="D290" i="1" s="1"/>
  <c r="E291" i="1"/>
  <c r="H291" i="1"/>
  <c r="D291" i="1" s="1"/>
  <c r="E292" i="1"/>
  <c r="H292" i="1"/>
  <c r="D292" i="1" s="1"/>
  <c r="E293" i="1"/>
  <c r="H293" i="1"/>
  <c r="D293" i="1" s="1"/>
  <c r="E294" i="1"/>
  <c r="H294" i="1"/>
  <c r="D294" i="1" s="1"/>
  <c r="E295" i="1"/>
  <c r="H295" i="1"/>
  <c r="D295" i="1" s="1"/>
  <c r="E296" i="1"/>
  <c r="H296" i="1"/>
  <c r="D296" i="1" s="1"/>
  <c r="E297" i="1"/>
  <c r="H297" i="1"/>
  <c r="D297" i="1" s="1"/>
  <c r="E298" i="1"/>
  <c r="H298" i="1"/>
  <c r="D298" i="1" s="1"/>
  <c r="E299" i="1"/>
  <c r="H299" i="1"/>
  <c r="D299" i="1" s="1"/>
  <c r="E300" i="1"/>
  <c r="H300" i="1"/>
  <c r="D300" i="1" s="1"/>
  <c r="H301" i="1"/>
  <c r="D301" i="1" s="1"/>
  <c r="E301" i="1"/>
  <c r="E302" i="1"/>
  <c r="H302" i="1"/>
  <c r="D302" i="1" s="1"/>
  <c r="E303" i="1"/>
  <c r="H303" i="1"/>
  <c r="D303" i="1" s="1"/>
  <c r="E304" i="1"/>
  <c r="H304" i="1"/>
  <c r="D304" i="1" s="1"/>
  <c r="E305" i="1"/>
  <c r="H305" i="1"/>
  <c r="D305" i="1" s="1"/>
  <c r="E306" i="1"/>
  <c r="H306" i="1"/>
  <c r="D306" i="1" s="1"/>
  <c r="E307" i="1"/>
  <c r="H307" i="1"/>
  <c r="D307" i="1" s="1"/>
  <c r="E308" i="1"/>
  <c r="H308" i="1"/>
  <c r="D308" i="1" s="1"/>
  <c r="E309" i="1"/>
  <c r="H309" i="1"/>
  <c r="D309" i="1" s="1"/>
  <c r="H310" i="1"/>
  <c r="D310" i="1" s="1"/>
  <c r="E310" i="1"/>
  <c r="E311" i="1"/>
  <c r="H311" i="1"/>
  <c r="D311" i="1" s="1"/>
  <c r="E312" i="1"/>
  <c r="H312" i="1"/>
  <c r="D312" i="1" s="1"/>
  <c r="E313" i="1"/>
  <c r="H313" i="1"/>
  <c r="D313" i="1" s="1"/>
  <c r="E314" i="1"/>
  <c r="H314" i="1"/>
  <c r="D314" i="1" s="1"/>
  <c r="E315" i="1"/>
  <c r="H315" i="1"/>
  <c r="D315" i="1" s="1"/>
  <c r="E316" i="1"/>
  <c r="H316" i="1"/>
  <c r="D316" i="1" s="1"/>
  <c r="E317" i="1"/>
  <c r="H317" i="1"/>
  <c r="D317" i="1" s="1"/>
  <c r="E318" i="1"/>
  <c r="H318" i="1"/>
  <c r="D318" i="1" s="1"/>
  <c r="E319" i="1"/>
  <c r="H319" i="1"/>
  <c r="D319" i="1" s="1"/>
  <c r="E320" i="1"/>
  <c r="H320" i="1"/>
  <c r="D320" i="1" s="1"/>
  <c r="H321" i="1"/>
  <c r="D321" i="1" s="1"/>
  <c r="E321" i="1"/>
  <c r="H322" i="1"/>
  <c r="D322" i="1" s="1"/>
  <c r="E322" i="1"/>
  <c r="H323" i="1"/>
  <c r="D323" i="1" s="1"/>
  <c r="E323" i="1"/>
  <c r="H324" i="1"/>
  <c r="D324" i="1" s="1"/>
  <c r="E324" i="1"/>
  <c r="H325" i="1"/>
  <c r="D325" i="1" s="1"/>
  <c r="E325" i="1"/>
  <c r="H326" i="1"/>
  <c r="D326" i="1" s="1"/>
  <c r="E326" i="1"/>
  <c r="H327" i="1"/>
  <c r="D327" i="1" s="1"/>
  <c r="E327" i="1"/>
  <c r="H328" i="1"/>
  <c r="D328" i="1" s="1"/>
  <c r="E328" i="1"/>
  <c r="H329" i="1"/>
  <c r="D329" i="1" s="1"/>
  <c r="E329" i="1"/>
  <c r="H330" i="1"/>
  <c r="D330" i="1" s="1"/>
  <c r="E330" i="1"/>
  <c r="H331" i="1"/>
  <c r="D331" i="1" s="1"/>
  <c r="E331" i="1"/>
  <c r="H332" i="1"/>
  <c r="D332" i="1" s="1"/>
  <c r="E332" i="1"/>
  <c r="H333" i="1"/>
  <c r="D333" i="1" s="1"/>
  <c r="E333" i="1"/>
  <c r="H334" i="1"/>
  <c r="D334" i="1" s="1"/>
  <c r="E334" i="1"/>
  <c r="H335" i="1"/>
  <c r="D335" i="1" s="1"/>
  <c r="E335" i="1"/>
  <c r="H336" i="1"/>
  <c r="D336" i="1" s="1"/>
  <c r="E336" i="1"/>
  <c r="H337" i="1"/>
  <c r="D337" i="1" s="1"/>
  <c r="E337" i="1"/>
  <c r="H338" i="1"/>
  <c r="D338" i="1" s="1"/>
  <c r="E338" i="1"/>
  <c r="H339" i="1"/>
  <c r="D339" i="1" s="1"/>
  <c r="E339" i="1"/>
  <c r="H340" i="1"/>
  <c r="D340" i="1" s="1"/>
  <c r="E340" i="1"/>
  <c r="H341" i="1"/>
  <c r="D341" i="1" s="1"/>
  <c r="E341" i="1"/>
  <c r="H342" i="1"/>
  <c r="D342" i="1" s="1"/>
  <c r="E342" i="1"/>
  <c r="H343" i="1"/>
  <c r="D343" i="1" s="1"/>
  <c r="E343" i="1"/>
  <c r="H344" i="1"/>
  <c r="D344" i="1" s="1"/>
  <c r="E344" i="1"/>
  <c r="H345" i="1"/>
  <c r="D345" i="1" s="1"/>
  <c r="E345" i="1"/>
  <c r="H346" i="1"/>
  <c r="D346" i="1" s="1"/>
  <c r="E346" i="1"/>
  <c r="H347" i="1"/>
  <c r="D347" i="1" s="1"/>
  <c r="E347" i="1"/>
  <c r="H348" i="1"/>
  <c r="D348" i="1" s="1"/>
  <c r="E348" i="1"/>
  <c r="H349" i="1"/>
  <c r="D349" i="1" s="1"/>
  <c r="E349" i="1"/>
  <c r="H350" i="1"/>
  <c r="D350" i="1" s="1"/>
  <c r="E350" i="1"/>
  <c r="H351" i="1"/>
  <c r="D351" i="1" s="1"/>
  <c r="E351" i="1"/>
  <c r="H352" i="1"/>
  <c r="D352" i="1" s="1"/>
  <c r="E352" i="1"/>
  <c r="H353" i="1"/>
  <c r="D353" i="1" s="1"/>
  <c r="E353" i="1"/>
  <c r="H354" i="1"/>
  <c r="D354" i="1" s="1"/>
  <c r="E354" i="1"/>
  <c r="H355" i="1"/>
  <c r="D355" i="1" s="1"/>
  <c r="E355" i="1"/>
  <c r="H356" i="1"/>
  <c r="D356" i="1" s="1"/>
  <c r="E356" i="1"/>
  <c r="H357" i="1"/>
  <c r="D357" i="1" s="1"/>
  <c r="E357" i="1"/>
  <c r="H358" i="1"/>
  <c r="D358" i="1" s="1"/>
  <c r="E358" i="1"/>
  <c r="H359" i="1"/>
  <c r="D359" i="1" s="1"/>
  <c r="E359" i="1"/>
  <c r="H360" i="1"/>
  <c r="D360" i="1" s="1"/>
  <c r="E360" i="1"/>
  <c r="H361" i="1"/>
  <c r="D361" i="1" s="1"/>
  <c r="E361" i="1"/>
  <c r="H362" i="1"/>
  <c r="D362" i="1" s="1"/>
  <c r="E362" i="1"/>
  <c r="H363" i="1"/>
  <c r="D363" i="1" s="1"/>
  <c r="E363" i="1"/>
  <c r="H364" i="1"/>
  <c r="D364" i="1" s="1"/>
  <c r="E364" i="1"/>
  <c r="H365" i="1"/>
  <c r="D365" i="1" s="1"/>
  <c r="E365" i="1"/>
  <c r="H366" i="1"/>
  <c r="D366" i="1" s="1"/>
  <c r="E366" i="1"/>
  <c r="H367" i="1"/>
  <c r="D367" i="1" s="1"/>
  <c r="E367" i="1"/>
  <c r="H368" i="1"/>
  <c r="D368" i="1" s="1"/>
  <c r="E368" i="1"/>
  <c r="H369" i="1"/>
  <c r="D369" i="1" s="1"/>
  <c r="E369" i="1"/>
  <c r="H370" i="1"/>
  <c r="D370" i="1" s="1"/>
  <c r="E370" i="1"/>
  <c r="H371" i="1"/>
  <c r="D371" i="1" s="1"/>
  <c r="E371" i="1"/>
  <c r="H372" i="1"/>
  <c r="D372" i="1" s="1"/>
  <c r="E372" i="1"/>
  <c r="H373" i="1"/>
  <c r="D373" i="1" s="1"/>
  <c r="E373" i="1"/>
  <c r="H374" i="1"/>
  <c r="D374" i="1" s="1"/>
  <c r="E374" i="1"/>
  <c r="H375" i="1"/>
  <c r="D375" i="1" s="1"/>
  <c r="E375" i="1"/>
  <c r="H376" i="1"/>
  <c r="D376" i="1" s="1"/>
  <c r="E376" i="1"/>
  <c r="H377" i="1"/>
  <c r="D377" i="1" s="1"/>
  <c r="E377" i="1"/>
  <c r="H378" i="1"/>
  <c r="D378" i="1" s="1"/>
  <c r="E378" i="1"/>
  <c r="H379" i="1"/>
  <c r="D379" i="1" s="1"/>
  <c r="E379" i="1"/>
  <c r="H380" i="1"/>
  <c r="D380" i="1" s="1"/>
  <c r="E380" i="1"/>
  <c r="H381" i="1"/>
  <c r="D381" i="1" s="1"/>
  <c r="E381" i="1"/>
  <c r="H382" i="1"/>
  <c r="D382" i="1" s="1"/>
  <c r="E382" i="1"/>
  <c r="H383" i="1"/>
  <c r="D383" i="1" s="1"/>
  <c r="E383" i="1"/>
  <c r="H384" i="1"/>
  <c r="D384" i="1" s="1"/>
  <c r="E384" i="1"/>
  <c r="H385" i="1"/>
  <c r="D385" i="1" s="1"/>
  <c r="E385" i="1"/>
  <c r="H386" i="1"/>
  <c r="D386" i="1" s="1"/>
  <c r="E386" i="1"/>
  <c r="H387" i="1"/>
  <c r="D387" i="1" s="1"/>
  <c r="E387" i="1"/>
  <c r="H388" i="1"/>
  <c r="D388" i="1" s="1"/>
  <c r="E388" i="1"/>
  <c r="H389" i="1"/>
  <c r="D389" i="1" s="1"/>
  <c r="E389" i="1"/>
  <c r="H390" i="1"/>
  <c r="D390" i="1" s="1"/>
  <c r="E390" i="1"/>
  <c r="H391" i="1"/>
  <c r="D391" i="1" s="1"/>
  <c r="E391" i="1"/>
  <c r="H392" i="1"/>
  <c r="D392" i="1" s="1"/>
  <c r="E392" i="1"/>
  <c r="H393" i="1"/>
  <c r="D393" i="1" s="1"/>
  <c r="E393" i="1"/>
  <c r="H394" i="1"/>
  <c r="D394" i="1" s="1"/>
  <c r="E394" i="1"/>
  <c r="H395" i="1"/>
  <c r="D395" i="1" s="1"/>
  <c r="E395" i="1"/>
  <c r="H396" i="1"/>
  <c r="D396" i="1" s="1"/>
  <c r="E396" i="1"/>
  <c r="H29" i="1"/>
  <c r="D29" i="1" s="1"/>
  <c r="E29" i="1"/>
  <c r="E104" i="1"/>
  <c r="H104" i="1"/>
  <c r="D104" i="1" s="1"/>
  <c r="H2" i="1"/>
  <c r="D2" i="1" s="1"/>
  <c r="E2" i="1"/>
  <c r="H3" i="1"/>
  <c r="D3" i="1" s="1"/>
  <c r="E3" i="1"/>
  <c r="H4" i="1"/>
  <c r="D4" i="1" s="1"/>
  <c r="E4" i="1"/>
  <c r="H5" i="1"/>
  <c r="D5" i="1" s="1"/>
  <c r="E5" i="1"/>
  <c r="H6" i="1"/>
  <c r="D6" i="1" s="1"/>
  <c r="E6" i="1"/>
  <c r="H8" i="1"/>
  <c r="E8" i="1"/>
  <c r="D8" i="1"/>
  <c r="H9" i="1"/>
  <c r="E9" i="1"/>
  <c r="D9" i="1"/>
  <c r="H10" i="1"/>
  <c r="D10" i="1" s="1"/>
  <c r="E10" i="1"/>
  <c r="H11" i="1"/>
  <c r="E11" i="1"/>
  <c r="D11" i="1"/>
  <c r="H13" i="1"/>
  <c r="E13" i="1"/>
  <c r="D13" i="1"/>
  <c r="H14" i="1"/>
  <c r="D14" i="1" s="1"/>
  <c r="E14" i="1"/>
  <c r="H15" i="1"/>
  <c r="E15" i="1"/>
  <c r="D15" i="1"/>
  <c r="H16" i="1"/>
  <c r="E16" i="1"/>
  <c r="D16" i="1"/>
  <c r="H17" i="1"/>
  <c r="E17" i="1"/>
  <c r="D17" i="1"/>
  <c r="H18" i="1"/>
  <c r="E18" i="1"/>
  <c r="D18" i="1"/>
  <c r="H19" i="1"/>
  <c r="D19" i="1" s="1"/>
  <c r="E19" i="1"/>
  <c r="H20" i="1"/>
  <c r="E20" i="1"/>
  <c r="D20" i="1"/>
  <c r="H21" i="1"/>
  <c r="E21" i="1"/>
  <c r="D21" i="1"/>
  <c r="H22" i="1"/>
  <c r="E22" i="1"/>
  <c r="D22" i="1"/>
  <c r="H23" i="1"/>
  <c r="E23" i="1"/>
  <c r="D23" i="1"/>
  <c r="H24" i="1"/>
  <c r="E24" i="1"/>
  <c r="D24" i="1"/>
  <c r="H25" i="1"/>
  <c r="E25" i="1"/>
  <c r="D25" i="1"/>
  <c r="H26" i="1"/>
  <c r="E26" i="1"/>
  <c r="D26" i="1"/>
  <c r="H27" i="1"/>
  <c r="D27" i="1" s="1"/>
  <c r="E27" i="1"/>
  <c r="H28" i="1"/>
  <c r="D28" i="1" s="1"/>
  <c r="E28" i="1"/>
  <c r="H30" i="1"/>
  <c r="E30" i="1"/>
  <c r="D30" i="1"/>
  <c r="H31" i="1"/>
  <c r="D31" i="1" s="1"/>
  <c r="E31" i="1"/>
  <c r="H32" i="1"/>
  <c r="E32" i="1"/>
  <c r="D32" i="1"/>
  <c r="H33" i="1"/>
  <c r="E33" i="1"/>
  <c r="D33" i="1"/>
  <c r="H34" i="1"/>
  <c r="E34" i="1"/>
  <c r="D34" i="1"/>
  <c r="H35" i="1"/>
  <c r="E35" i="1"/>
  <c r="D35" i="1"/>
  <c r="H36" i="1"/>
  <c r="D36" i="1" s="1"/>
  <c r="E36" i="1"/>
  <c r="H37" i="1"/>
  <c r="E37" i="1"/>
  <c r="D37" i="1"/>
  <c r="H38" i="1"/>
  <c r="E38" i="1"/>
  <c r="D38" i="1"/>
  <c r="H39" i="1"/>
  <c r="E39" i="1"/>
  <c r="D39" i="1"/>
  <c r="H40" i="1"/>
  <c r="E40" i="1"/>
  <c r="D40" i="1"/>
  <c r="H41" i="1"/>
  <c r="E41" i="1"/>
  <c r="D41" i="1"/>
  <c r="H42" i="1"/>
  <c r="D42" i="1" s="1"/>
  <c r="E42" i="1"/>
  <c r="H43" i="1"/>
  <c r="E43" i="1"/>
  <c r="D43" i="1"/>
  <c r="H44" i="1"/>
  <c r="E44" i="1"/>
  <c r="D44" i="1"/>
  <c r="H45" i="1"/>
  <c r="E45" i="1"/>
  <c r="D45" i="1"/>
  <c r="H46" i="1"/>
  <c r="D46" i="1" s="1"/>
  <c r="E46" i="1"/>
  <c r="H47" i="1"/>
  <c r="D47" i="1" s="1"/>
  <c r="E47" i="1"/>
  <c r="H48" i="1"/>
  <c r="D48" i="1" s="1"/>
  <c r="E48" i="1"/>
  <c r="D49" i="1"/>
  <c r="E49" i="1"/>
  <c r="H50" i="1"/>
  <c r="D50" i="1" s="1"/>
  <c r="E50" i="1"/>
  <c r="H51" i="1"/>
  <c r="D51" i="1" s="1"/>
  <c r="E51" i="1"/>
  <c r="H52" i="1"/>
  <c r="D52" i="1" s="1"/>
  <c r="E52" i="1"/>
  <c r="H53" i="1"/>
  <c r="D53" i="1" s="1"/>
  <c r="E53" i="1"/>
  <c r="H54" i="1"/>
  <c r="D54" i="1" s="1"/>
  <c r="E54" i="1"/>
  <c r="H55" i="1"/>
  <c r="D55" i="1" s="1"/>
  <c r="E55" i="1"/>
  <c r="H56" i="1"/>
  <c r="D56" i="1" s="1"/>
  <c r="E56" i="1"/>
  <c r="H57" i="1"/>
  <c r="D57" i="1" s="1"/>
  <c r="E57" i="1"/>
  <c r="H58" i="1"/>
  <c r="D58" i="1" s="1"/>
  <c r="E58" i="1"/>
  <c r="H59" i="1"/>
  <c r="D59" i="1"/>
  <c r="E59" i="1"/>
  <c r="H60" i="1"/>
  <c r="D60" i="1" s="1"/>
  <c r="E60" i="1"/>
  <c r="H61" i="1"/>
  <c r="D61" i="1" s="1"/>
  <c r="E61" i="1"/>
  <c r="H12" i="1"/>
  <c r="D12" i="1" s="1"/>
  <c r="E12" i="1"/>
  <c r="E62" i="1"/>
  <c r="H62" i="1"/>
  <c r="D62" i="1"/>
  <c r="H63" i="1"/>
  <c r="D63" i="1" s="1"/>
  <c r="E63" i="1"/>
  <c r="H64" i="1"/>
  <c r="E64" i="1"/>
  <c r="D64" i="1"/>
  <c r="H65" i="1"/>
  <c r="D65" i="1"/>
  <c r="E65" i="1"/>
  <c r="H66" i="1"/>
  <c r="D66" i="1" s="1"/>
  <c r="E66" i="1"/>
  <c r="H67" i="1"/>
  <c r="E67" i="1"/>
  <c r="D67" i="1"/>
  <c r="H68" i="1"/>
  <c r="D68" i="1" s="1"/>
  <c r="E68" i="1"/>
  <c r="E69" i="1"/>
  <c r="H69" i="1"/>
  <c r="D69" i="1"/>
  <c r="H70" i="1"/>
  <c r="D70" i="1" s="1"/>
  <c r="E70" i="1"/>
  <c r="H71" i="1"/>
  <c r="E71" i="1"/>
  <c r="D71" i="1"/>
  <c r="H72" i="1"/>
  <c r="E72" i="1"/>
  <c r="D72" i="1"/>
  <c r="H73" i="1"/>
  <c r="E73" i="1"/>
  <c r="D73" i="1"/>
  <c r="H74" i="1"/>
  <c r="E74" i="1"/>
  <c r="D74" i="1"/>
  <c r="H75" i="1"/>
  <c r="E75" i="1"/>
  <c r="D75" i="1"/>
  <c r="H76" i="1"/>
  <c r="D76" i="1" s="1"/>
  <c r="E76" i="1"/>
  <c r="H77" i="1"/>
  <c r="E77" i="1"/>
  <c r="D77" i="1"/>
  <c r="H78" i="1"/>
  <c r="D78" i="1" s="1"/>
  <c r="E78" i="1"/>
  <c r="H79" i="1"/>
  <c r="E79" i="1"/>
  <c r="D79" i="1"/>
  <c r="H80" i="1"/>
  <c r="E80" i="1"/>
  <c r="D80" i="1"/>
  <c r="H81" i="1"/>
  <c r="E81" i="1"/>
  <c r="D81" i="1"/>
  <c r="H82" i="1"/>
  <c r="E82" i="1"/>
  <c r="D82" i="1"/>
  <c r="H83" i="1"/>
  <c r="E83" i="1"/>
  <c r="D83" i="1"/>
  <c r="H84" i="1"/>
  <c r="E84" i="1"/>
  <c r="D84" i="1"/>
  <c r="H85" i="1"/>
  <c r="D85" i="1" s="1"/>
  <c r="E85" i="1"/>
  <c r="H7" i="1"/>
  <c r="E7" i="1"/>
  <c r="D7" i="1"/>
  <c r="H86" i="1"/>
  <c r="D86" i="1" s="1"/>
  <c r="E86" i="1"/>
  <c r="H87" i="1"/>
  <c r="E87" i="1"/>
  <c r="D87" i="1"/>
  <c r="H88" i="1"/>
  <c r="E88" i="1"/>
  <c r="D88" i="1"/>
  <c r="H89" i="1"/>
  <c r="E89" i="1"/>
  <c r="D89" i="1"/>
  <c r="H90" i="1"/>
  <c r="E90" i="1"/>
  <c r="D90" i="1"/>
  <c r="H91" i="1"/>
  <c r="D91" i="1" s="1"/>
  <c r="E91" i="1"/>
  <c r="H92" i="1"/>
  <c r="D92" i="1" s="1"/>
  <c r="E92" i="1"/>
  <c r="H93" i="1"/>
  <c r="D93" i="1" s="1"/>
  <c r="E93" i="1"/>
  <c r="H94" i="1"/>
  <c r="D94" i="1" s="1"/>
  <c r="E94" i="1"/>
  <c r="H95" i="1"/>
  <c r="D95" i="1" s="1"/>
  <c r="E95" i="1"/>
  <c r="H96" i="1"/>
  <c r="E96" i="1"/>
  <c r="D96" i="1"/>
  <c r="H97" i="1"/>
  <c r="D97" i="1" s="1"/>
  <c r="E97" i="1"/>
  <c r="H98" i="1"/>
  <c r="D98" i="1" s="1"/>
  <c r="E98" i="1"/>
  <c r="H99" i="1"/>
  <c r="D99" i="1" s="1"/>
  <c r="E99" i="1"/>
  <c r="H100" i="1"/>
  <c r="E100" i="1"/>
  <c r="D100" i="1"/>
  <c r="H101" i="1"/>
  <c r="E101" i="1"/>
  <c r="D101" i="1"/>
  <c r="H102" i="1"/>
  <c r="E102" i="1"/>
  <c r="D102" i="1"/>
  <c r="H103" i="1"/>
  <c r="E103" i="1"/>
  <c r="D103" i="1"/>
  <c r="H106" i="1"/>
  <c r="E106" i="1"/>
  <c r="D106" i="1"/>
</calcChain>
</file>

<file path=xl/sharedStrings.xml><?xml version="1.0" encoding="utf-8"?>
<sst xmlns="http://schemas.openxmlformats.org/spreadsheetml/2006/main" count="1558" uniqueCount="1520">
  <si>
    <t>COSTO</t>
  </si>
  <si>
    <t>Columna2</t>
  </si>
  <si>
    <t>DCTO TIENDA</t>
  </si>
  <si>
    <t>COSTO CON IVA</t>
  </si>
  <si>
    <t>UTILIDAD</t>
  </si>
  <si>
    <t>PRECIO CLIENTE FINAL (IVA INCLUIDO)</t>
  </si>
  <si>
    <t>PRECIO TIENDA (IVA INCLUIDO)</t>
  </si>
  <si>
    <t>PRECIO INSTALADOR (IVA INCLUIDO)</t>
  </si>
  <si>
    <t>DESCRIPCION</t>
  </si>
  <si>
    <t>REFERENCIA</t>
  </si>
  <si>
    <t>PT144020B</t>
  </si>
  <si>
    <t xml:space="preserve">INT. SENCILLO 10A/127V BASIC BLANCO          </t>
  </si>
  <si>
    <t>PT144023B</t>
  </si>
  <si>
    <t>INT. CONMUTABLE SENCILLO 10A/127V BASIC BLANCO</t>
  </si>
  <si>
    <t>PT144026B</t>
  </si>
  <si>
    <t>PULSADOR TIMBRE SENCILLO BASIC BLANCO</t>
  </si>
  <si>
    <t>PT144801B</t>
  </si>
  <si>
    <t xml:space="preserve">TOMACTE DOBLE 15A-125V T/AMERICANO BASIC BLANCO </t>
  </si>
  <si>
    <t>PT144805B</t>
  </si>
  <si>
    <t xml:space="preserve">TOMACTE DOBLE INTEGRAL GFCI 15A-125V BASIC BLANCO </t>
  </si>
  <si>
    <t>PT144101-B</t>
  </si>
  <si>
    <t xml:space="preserve">INT. SENCILLO 10A/127V ASTRAL BLANCO         </t>
  </si>
  <si>
    <t>PT144102-B</t>
  </si>
  <si>
    <t xml:space="preserve">INT. DOBLE 10A/127V ASTRAL BLANCO            </t>
  </si>
  <si>
    <t>PT144103-B</t>
  </si>
  <si>
    <t xml:space="preserve">INT. TRIPLE 10A/127V ASTRAL BLANCO           </t>
  </si>
  <si>
    <t>PT144104-B</t>
  </si>
  <si>
    <t xml:space="preserve">INT. SENCILLO CONMU. 10A/127V ASTRAL BLANCO  </t>
  </si>
  <si>
    <t>PT144105-B</t>
  </si>
  <si>
    <t xml:space="preserve">INT. DOBLE CONMU. 10A/127V ASTRAL BLANCO     </t>
  </si>
  <si>
    <t>PT144106-B</t>
  </si>
  <si>
    <t xml:space="preserve">INT. TRIPLE CONMUT. 10A/127V ASTRAL BLANCO   </t>
  </si>
  <si>
    <t>PT144107-B</t>
  </si>
  <si>
    <t xml:space="preserve">PULS. DE TIMBRE SENCILLO 10A/127V ASTRAL BLA </t>
  </si>
  <si>
    <t>PT144108-B</t>
  </si>
  <si>
    <t xml:space="preserve">PULS. DE TIMBRE DOBLE 10A/127V ASTRAL BLANCO </t>
  </si>
  <si>
    <t>PT144109-B</t>
  </si>
  <si>
    <t xml:space="preserve">PULSADOR DE TIMBRE TRIPLE 10A/127V ASTRAL BL </t>
  </si>
  <si>
    <t>PT144110-B</t>
  </si>
  <si>
    <t xml:space="preserve">INT. Y TOMA CTE C/P.TIERRA 10A/127V ASTRAL B </t>
  </si>
  <si>
    <t>PT144111-B</t>
  </si>
  <si>
    <t xml:space="preserve">INT. SENCILLO MAS CONMU.10A/127V ASTRAL BLA  </t>
  </si>
  <si>
    <t>PT144112-B</t>
  </si>
  <si>
    <t xml:space="preserve">INT. SENC.MAS PULS. TIMBRE 10A/127V ASTRAL B </t>
  </si>
  <si>
    <t>PT144113-B</t>
  </si>
  <si>
    <t xml:space="preserve">INT. CONMU. MAS PULS. TIMBRE 10A/127V ASTRAL </t>
  </si>
  <si>
    <t>PT144300B</t>
  </si>
  <si>
    <t xml:space="preserve">TOMACORRIENTE SENCILLO C/P.T 15A/127V ASTRAL </t>
  </si>
  <si>
    <t>PT144301-B</t>
  </si>
  <si>
    <t xml:space="preserve">TOMACTE DOBLE MODULAR C/P.T 15A/127V ASTRAL  </t>
  </si>
  <si>
    <t>PT144302-B</t>
  </si>
  <si>
    <t xml:space="preserve">TOMACTE DOBLE INTEGRAL C/P.T 15A/127V ASTRAL </t>
  </si>
  <si>
    <t>PT144303-B</t>
  </si>
  <si>
    <t xml:space="preserve">TOMA TELEF.AMER.SENC.4 HILOS ASTRAL BLANCO.  </t>
  </si>
  <si>
    <t>PT144304-B</t>
  </si>
  <si>
    <t xml:space="preserve">TOMA TELEF.AMER.DOBLE 4 HILOS ASTRAL BLANCO. </t>
  </si>
  <si>
    <t>PT144305-B</t>
  </si>
  <si>
    <t xml:space="preserve">SALIDA COAXIAL SENCILLA ASTRAL BLANCA.       </t>
  </si>
  <si>
    <t>PT144306-B</t>
  </si>
  <si>
    <t xml:space="preserve">SALIDA COAXIAL MAS T.TELF.A.4HILOS ASTRAL BL </t>
  </si>
  <si>
    <t>PT144307-B</t>
  </si>
  <si>
    <t xml:space="preserve">SALIDA CORDON ASTRAL BLANCO                  </t>
  </si>
  <si>
    <t>PT144114B</t>
  </si>
  <si>
    <t xml:space="preserve">ZUMBADOR ASTRAL BLANCO                       </t>
  </si>
  <si>
    <t>PT144115BA</t>
  </si>
  <si>
    <t xml:space="preserve">PLACA SENCILLA ASTRAL BLANCA                 </t>
  </si>
  <si>
    <t>PT144116BA</t>
  </si>
  <si>
    <t xml:space="preserve">PLACA DOBLE ASTRAL BLANCA                    </t>
  </si>
  <si>
    <t>PT144117BA</t>
  </si>
  <si>
    <t xml:space="preserve">PLACA TRIPLE ASTRAL BLANCA                   </t>
  </si>
  <si>
    <t>PT144118BA</t>
  </si>
  <si>
    <t xml:space="preserve">PLACA TOMACTE  ASTRAL BLANCA                 </t>
  </si>
  <si>
    <t>PT144160B</t>
  </si>
  <si>
    <t xml:space="preserve">PLACA SENCILLA MAS SOPORTE ASTRAL BLANCA     </t>
  </si>
  <si>
    <t>PT144161B</t>
  </si>
  <si>
    <t xml:space="preserve">PLACA DOBLE MAS SOPORTE ASTRAL BLANCA        </t>
  </si>
  <si>
    <t>PT144162B</t>
  </si>
  <si>
    <t xml:space="preserve">PLACA TRIPLE MAS SOPORTE ASTRAL BLANCA       </t>
  </si>
  <si>
    <t>PT144166B</t>
  </si>
  <si>
    <t xml:space="preserve">PLACA CIEGA MAS SOPORTE ASTRAL BLANCA        </t>
  </si>
  <si>
    <t>PT144401B</t>
  </si>
  <si>
    <t xml:space="preserve">TOMACTE DOBLE 15A-125V T/AMERICANO ASTRAL BL </t>
  </si>
  <si>
    <t>PT144402B</t>
  </si>
  <si>
    <t xml:space="preserve">TOMACTE DOBLE 20A-125V T/AMERICANO ASTRAL BL </t>
  </si>
  <si>
    <t>PT144403B</t>
  </si>
  <si>
    <t xml:space="preserve">TOMACTE DOBLE PATA TRAB 20A-250V ASTRAL BLAN </t>
  </si>
  <si>
    <t>PT144404O</t>
  </si>
  <si>
    <t xml:space="preserve">TOMACTE DOBLE RED REGULADA 20A-120V ASTRAL   </t>
  </si>
  <si>
    <t>PT144405B</t>
  </si>
  <si>
    <t xml:space="preserve">TOMACTE DOBLE GFCI 20A/125V ASTRAL BLANCO    </t>
  </si>
  <si>
    <t>PT144406-B</t>
  </si>
  <si>
    <t xml:space="preserve">TOMACTE DOBLE 15A-125V + 2 USB 4.2A ASTRAL B </t>
  </si>
  <si>
    <t>PT144407B</t>
  </si>
  <si>
    <t>TOMACTE DOBLE 15A-125V + 1 USB + 1 TIPO C 4. ASTRAL BLANCO</t>
  </si>
  <si>
    <t>PT144216B</t>
  </si>
  <si>
    <t xml:space="preserve">SALIDA DATOS SENCILLA ASTRAL CAT.6 BLANCA    </t>
  </si>
  <si>
    <t>PT144217B</t>
  </si>
  <si>
    <t xml:space="preserve">SALIDA DATOS DOBLE ASTRAL CAT.6 BLANCA       </t>
  </si>
  <si>
    <t>PT144218B</t>
  </si>
  <si>
    <t xml:space="preserve">SALIDA DATOS CAT.6 + TOMA TELEFONO ASTRAL BL </t>
  </si>
  <si>
    <t>PT144219B</t>
  </si>
  <si>
    <t xml:space="preserve">SALIDA DATOS CAT.6 + COAXIAL ASTRAL BLANCO   </t>
  </si>
  <si>
    <t>PT044014</t>
  </si>
  <si>
    <t xml:space="preserve">TOMA CORRIENTE SENCILLO S.P. ASTRAL          </t>
  </si>
  <si>
    <t>PT044015</t>
  </si>
  <si>
    <t xml:space="preserve">TOMA CORRIENTE DOBLE S.P. ASTRAL             </t>
  </si>
  <si>
    <t>PT044016</t>
  </si>
  <si>
    <t xml:space="preserve">INT.  Y TOMA CORRIENTE S.P. ASTRAL           </t>
  </si>
  <si>
    <t>PT044017</t>
  </si>
  <si>
    <t xml:space="preserve">INT. SENCILLO S.P. ASTRAL                    </t>
  </si>
  <si>
    <t>PT044018</t>
  </si>
  <si>
    <t xml:space="preserve">INT. DOBLE S.P. ASTRAL                       </t>
  </si>
  <si>
    <t>PT044019</t>
  </si>
  <si>
    <t xml:space="preserve">PULS.  TIMBRE S.P. ASTRAL                    </t>
  </si>
  <si>
    <t>PT044021</t>
  </si>
  <si>
    <t>TOMA TELEFONO C/ADHESIVO ASTRAL</t>
  </si>
  <si>
    <t>PT144183B</t>
  </si>
  <si>
    <t xml:space="preserve">INT. SENCILLO 10A/127V FUGA BLANCO           </t>
  </si>
  <si>
    <t>PT144184B</t>
  </si>
  <si>
    <t xml:space="preserve">INT. DOBLE 10A/127V FUGA BLANCO              </t>
  </si>
  <si>
    <t>PT144185B</t>
  </si>
  <si>
    <t xml:space="preserve">INT. TRIPLE 10A/127V FUGA BLANCO             </t>
  </si>
  <si>
    <t>PT144186B</t>
  </si>
  <si>
    <t xml:space="preserve">INT. SENCILLO CONMU. 10A/127V FUGA BLANCO    </t>
  </si>
  <si>
    <t>PT144187B</t>
  </si>
  <si>
    <t xml:space="preserve">INT. DOBLE CONMU.10A/127V FUGA BLANCO        </t>
  </si>
  <si>
    <t>PT144188B</t>
  </si>
  <si>
    <t xml:space="preserve">INT.TRIPLE CONMUT.10A/127V FUGA BLANCO       </t>
  </si>
  <si>
    <t>PT144189B</t>
  </si>
  <si>
    <t xml:space="preserve">PULS. DE TIMBRE SENCILLO 10A/127V FUGA BLANC </t>
  </si>
  <si>
    <t>PT144190B</t>
  </si>
  <si>
    <t xml:space="preserve">PULS. DE TIMBRE DOBLE 10A/127V FUGA BLANCO   </t>
  </si>
  <si>
    <t>PT144191B</t>
  </si>
  <si>
    <t xml:space="preserve">PULS.DE TIMBRE TRIPLE 10A/127V FUGA BLANCO   </t>
  </si>
  <si>
    <t>PT144192B</t>
  </si>
  <si>
    <t xml:space="preserve">INT. Y TOMA CTE C/P. TIERRA 10A/127V FUGA BL </t>
  </si>
  <si>
    <t>PT144193B</t>
  </si>
  <si>
    <t xml:space="preserve">INT. SENCILLO MAS CONMU. 10A/127V FUGA BLANC </t>
  </si>
  <si>
    <t>PT144194B</t>
  </si>
  <si>
    <t xml:space="preserve">INT. SENC. MAS PULS. TIMBRE 10A/127V FUGA BL </t>
  </si>
  <si>
    <t>PT144195B</t>
  </si>
  <si>
    <t xml:space="preserve">INT. CONMU. MAS PULS. TIMBRE 10A/127V FUGA B </t>
  </si>
  <si>
    <t>PT144196B</t>
  </si>
  <si>
    <t xml:space="preserve">ZUMBADOR FUGA BLANCO                         </t>
  </si>
  <si>
    <t>PT144330B</t>
  </si>
  <si>
    <t xml:space="preserve">TOMACTE SENCILLO C/P. 15A/127V FUGA BLANCO   </t>
  </si>
  <si>
    <t>PT144331B</t>
  </si>
  <si>
    <t xml:space="preserve">TOMACTE  DOBLE MODULAR C/P.T 15A/127V FUGA B </t>
  </si>
  <si>
    <t>PT144332B</t>
  </si>
  <si>
    <t xml:space="preserve">TOMACTE DOBLE INTEGRAL C/P.T 15A/127V FUGA B </t>
  </si>
  <si>
    <t>PT144333B</t>
  </si>
  <si>
    <t xml:space="preserve">TOMA TELEF. AMER. SENCILLO 4 HILOS FUGA BLAN </t>
  </si>
  <si>
    <t>PT144334B</t>
  </si>
  <si>
    <t xml:space="preserve">TOMA TELEF. AMER. DOBLE 4 HILOS FUGA BLANCO  </t>
  </si>
  <si>
    <t>PT144335B</t>
  </si>
  <si>
    <t xml:space="preserve">SALIDA COAXIAL SENCILLA FUGA BLANCO          </t>
  </si>
  <si>
    <t>PT144336B</t>
  </si>
  <si>
    <t xml:space="preserve">SALIDA COAXIAL MAS TELEF. AMER. 4 HILOS FUGA </t>
  </si>
  <si>
    <t>PT144337B</t>
  </si>
  <si>
    <t xml:space="preserve">SALIDA CORDON FUGA                           </t>
  </si>
  <si>
    <t>PT144174B</t>
  </si>
  <si>
    <t xml:space="preserve">PLACA SENCILLA MAS SOPORTE FUGA  BLANCA      </t>
  </si>
  <si>
    <t>PT144175B</t>
  </si>
  <si>
    <t xml:space="preserve">PLACA DOBLE MAS SOPORTE FUGA BLANCA          </t>
  </si>
  <si>
    <t>PT144176B</t>
  </si>
  <si>
    <t xml:space="preserve">PLACA TRIPLE MAS SOPORTE FUGA BLANCA         </t>
  </si>
  <si>
    <t>PT144177B</t>
  </si>
  <si>
    <t xml:space="preserve">PLACA CIEGA MAS SOPORTE FUGA BLANCA          </t>
  </si>
  <si>
    <t>PT144115BF</t>
  </si>
  <si>
    <t xml:space="preserve">PLACA SENCILLA FUGA BLANCA                   </t>
  </si>
  <si>
    <t>PT144116BF</t>
  </si>
  <si>
    <t xml:space="preserve">PLACA DOBLE FUGA BLANCA                      </t>
  </si>
  <si>
    <t>PT144117BF</t>
  </si>
  <si>
    <t xml:space="preserve">PLACA TRIPLE FUGA BLANCA                     </t>
  </si>
  <si>
    <t>PT144118BF</t>
  </si>
  <si>
    <t xml:space="preserve">PLACA TOMACTE FUGA BLANCA                    </t>
  </si>
  <si>
    <t>PT144701B</t>
  </si>
  <si>
    <t xml:space="preserve">TOMACTE DOBLE 15A-125V FUGA BLANCO           </t>
  </si>
  <si>
    <t>PT144702B</t>
  </si>
  <si>
    <t xml:space="preserve">TOMACTE DOBLE 20A-125V FUGA BLANCO           </t>
  </si>
  <si>
    <t>PT144703B</t>
  </si>
  <si>
    <t xml:space="preserve">TOMACTE DOBLE PATA TRAB 20A-250V FUGA BLANCO </t>
  </si>
  <si>
    <t>PT144704O</t>
  </si>
  <si>
    <t>TOMACTE DOBLE RED REGULADA 20A-125V FUGA</t>
  </si>
  <si>
    <t>PT144705B</t>
  </si>
  <si>
    <t xml:space="preserve">TOMACTE DOBLE GFCI 20A/125V FUGA BLANCO      </t>
  </si>
  <si>
    <t>PT144706B</t>
  </si>
  <si>
    <t xml:space="preserve">TOMACTE DOBLE 15A-125V + 2 USB 4.2A FUGA BLA </t>
  </si>
  <si>
    <t>PT144707B</t>
  </si>
  <si>
    <t>TOMACTE DOBLE 15A-125V + 1 USB + 1 TIPO C 4. FUGA BLANCO</t>
  </si>
  <si>
    <t>PT144178B</t>
  </si>
  <si>
    <t xml:space="preserve">SALIDA DATOS SENCILLA FUGA CAT.6 BLANCA      </t>
  </si>
  <si>
    <t>PT144179B</t>
  </si>
  <si>
    <t xml:space="preserve">SALIDA DATOS DOBLE FUGA CAT.6 BLANCA         </t>
  </si>
  <si>
    <t>PT144198B</t>
  </si>
  <si>
    <t xml:space="preserve">SALIDA DATOS CAT.6 + TELEFONO FUGA BLANCO    </t>
  </si>
  <si>
    <t>PT144199B</t>
  </si>
  <si>
    <t xml:space="preserve">SALIDA DATOS CAT.6 + COAXIAL FUGA BLANCO     </t>
  </si>
  <si>
    <t>PT144120-SB</t>
  </si>
  <si>
    <t xml:space="preserve">INT. SENCILLO 10A/127V ULTRA NATURAL BLANCO  </t>
  </si>
  <si>
    <t>PT144121-SB</t>
  </si>
  <si>
    <t xml:space="preserve">INT. DOBLE 10A/127V ULTRA NATURAL BLANCO     </t>
  </si>
  <si>
    <t>PT144122-SB</t>
  </si>
  <si>
    <t xml:space="preserve">INT. TRIPLE 10A/127V ULTRA NATURAL BLANCO    </t>
  </si>
  <si>
    <t>PT144123-SB</t>
  </si>
  <si>
    <t xml:space="preserve">INT. SENCILLO CONMU. 10A/127V ULTRA NATURAL  </t>
  </si>
  <si>
    <t>PT144124-SB</t>
  </si>
  <si>
    <t xml:space="preserve">INT. DOBLE CONMU. 10A/127V ULTRA NATURAL BLA </t>
  </si>
  <si>
    <t>PT144125-SB</t>
  </si>
  <si>
    <t xml:space="preserve">INT. TRIPLE CONMU. 10A/127V ULTRA NATURAL BL </t>
  </si>
  <si>
    <t>PT144126-SB</t>
  </si>
  <si>
    <t xml:space="preserve">PULS. DE TIMBRE SENCILLO 10A/127V ULTRA NATU </t>
  </si>
  <si>
    <t>PT144127-SB</t>
  </si>
  <si>
    <t xml:space="preserve">PULS. DE TIMBRE DOBLE 10A/127V ULTRA NATURAL </t>
  </si>
  <si>
    <t>PT144128-SB</t>
  </si>
  <si>
    <t xml:space="preserve">PULS. DE TIMBRE TRIPLE 10A/127V ULTRA NATURA </t>
  </si>
  <si>
    <t>PT144129-SB</t>
  </si>
  <si>
    <t xml:space="preserve">INT. Y TOMA C.POLO A TIERRA 10/15A - 127V UL </t>
  </si>
  <si>
    <t>PT144130-SB</t>
  </si>
  <si>
    <t xml:space="preserve">INT. SENCILLO MAS CONMU.10A/127V ULTRA NATUR </t>
  </si>
  <si>
    <t>PT144131-SB</t>
  </si>
  <si>
    <t xml:space="preserve">INT. SENCILLO MAS PULS. DE TIMBRE 10A/127V U </t>
  </si>
  <si>
    <t>PT144132-SB</t>
  </si>
  <si>
    <t xml:space="preserve">INT. CONMU. MAS PULS.DE TIMBRE 10A/127V ULTR </t>
  </si>
  <si>
    <t>PT144136SB</t>
  </si>
  <si>
    <t xml:space="preserve">ZUMBADOR ULTRA BLANCO SIN MARCO              </t>
  </si>
  <si>
    <t>PT144321-SB</t>
  </si>
  <si>
    <t xml:space="preserve">TOMA DOBLE INTEGRAL C. POLO A TIERRA 15A/127 </t>
  </si>
  <si>
    <t>PT144320-SB</t>
  </si>
  <si>
    <t xml:space="preserve">TOMACTE DOBLE MODULAR C/P.T 15A/127V ULTRA N </t>
  </si>
  <si>
    <t>PT144322-SB</t>
  </si>
  <si>
    <t xml:space="preserve">TOMA TELEFONO AMERICANA SENCILLA 4 HILOS ULT </t>
  </si>
  <si>
    <t>PT144323-SB</t>
  </si>
  <si>
    <t xml:space="preserve">TOMA TELEFONO AMERICANA DOBLE 4 HILOS ULTRA  </t>
  </si>
  <si>
    <t>PT144324-SB</t>
  </si>
  <si>
    <t xml:space="preserve">SALIDA COAXIAL SENCILLA ULTRA NATURAL BLANCA </t>
  </si>
  <si>
    <t>PT144325-SB</t>
  </si>
  <si>
    <t xml:space="preserve">SALIDA COAXIAL MAS TOMA TEL AMERICANA 4 HILO </t>
  </si>
  <si>
    <t>PT144326-SB</t>
  </si>
  <si>
    <t xml:space="preserve">SALIDA CORDON ULTRA NATURAL                  </t>
  </si>
  <si>
    <t>PT144115BU</t>
  </si>
  <si>
    <t xml:space="preserve">PLACA SENCILLA ULTRA BLANCA                  </t>
  </si>
  <si>
    <t>PT144116BU</t>
  </si>
  <si>
    <t xml:space="preserve">PLACA DOBLE ULTRA BLANCA                     </t>
  </si>
  <si>
    <t>PT144117BU</t>
  </si>
  <si>
    <t xml:space="preserve">PLACA TRIPLE ULTRA BLANCA                    </t>
  </si>
  <si>
    <t>PT144118BU</t>
  </si>
  <si>
    <t xml:space="preserve">PLACA TOMACTE ULTRA BLANCA                   </t>
  </si>
  <si>
    <t>PT144163B</t>
  </si>
  <si>
    <t xml:space="preserve">PLACA SENCILLA MAS SOPORTE ULTRA BLANCA      </t>
  </si>
  <si>
    <t>PT144164B</t>
  </si>
  <si>
    <t xml:space="preserve">PLACA DOBLE MAS SOPORTE ULTRA BLANCA         </t>
  </si>
  <si>
    <t>PT144165B</t>
  </si>
  <si>
    <t xml:space="preserve">PLACA TRIPLE MAS SOPORTE ULTRA BLANCA        </t>
  </si>
  <si>
    <t>PT144167B</t>
  </si>
  <si>
    <t xml:space="preserve">PLACA CIEGA MAS SOPORTE ULTRA BLANCA         </t>
  </si>
  <si>
    <t>PT144501SB</t>
  </si>
  <si>
    <t xml:space="preserve">TOMACTE DOBLE 15A-125V ULTRA NATURAL BLANCO  </t>
  </si>
  <si>
    <t>PT144502SB</t>
  </si>
  <si>
    <t xml:space="preserve">TOMACTE DOBLE 20A-125V ULTRA NATURAL BLANCO  </t>
  </si>
  <si>
    <t>PT144503SB</t>
  </si>
  <si>
    <t xml:space="preserve">TOMACTE DOBLE PATA TRAB 20A-250V ULTRA NATUR </t>
  </si>
  <si>
    <t>PT144504O</t>
  </si>
  <si>
    <t>TOMACTE DOBLE RED REGULADA 20A-125V ULTRA NATURAL</t>
  </si>
  <si>
    <t>PT144505SB</t>
  </si>
  <si>
    <t xml:space="preserve">TOMACTE DOBLE GFCI 20A ULTRA NATURAL BLANCO  </t>
  </si>
  <si>
    <t>PT144506SB</t>
  </si>
  <si>
    <t xml:space="preserve">TOMACTE DOBLE 15A-125V + 2 USB 4.2A ULTRA NA </t>
  </si>
  <si>
    <t>PT144507SB</t>
  </si>
  <si>
    <t>TOMACTE DOBLE 15A-125V + 1 USB + 1 TIPO C 4. ULTRA BASICO BLANCO</t>
  </si>
  <si>
    <t>PT144233SB</t>
  </si>
  <si>
    <t xml:space="preserve">SALIDA DATOS SENCILLA ULTRA NATURAL CAT.6 BL </t>
  </si>
  <si>
    <t>PT144234SB</t>
  </si>
  <si>
    <t>SALIDA DATOS DOBLE ULTRA NATURAL CAT.6 B</t>
  </si>
  <si>
    <t>PT144235SB</t>
  </si>
  <si>
    <t>SALIDA DATOS CAT.6 + TELEFONO ULTRA NATU</t>
  </si>
  <si>
    <t>PT144236SB</t>
  </si>
  <si>
    <t xml:space="preserve">SALIDA DATOS CAT.6 + COAXIAL ULTRA NATURAL B </t>
  </si>
  <si>
    <t>PT144120-SN</t>
  </si>
  <si>
    <t xml:space="preserve">INT. SENCILLO 10A/127V ULTRA NATURAL NEGRO   </t>
  </si>
  <si>
    <t>PT144121-SN</t>
  </si>
  <si>
    <t xml:space="preserve">INT. DOBLE 10A/127V ULTRA NATURAL NEGRO      </t>
  </si>
  <si>
    <t>PT144122-SN</t>
  </si>
  <si>
    <t xml:space="preserve">INT. TRIPLE 10A/127V ULTRA NATURAL NEGRO     </t>
  </si>
  <si>
    <t>PT144123-SN</t>
  </si>
  <si>
    <t>PT144124-SN</t>
  </si>
  <si>
    <t xml:space="preserve">INT. DOBLE CONMU. 10A/127V ULTRA NATURAL NEG </t>
  </si>
  <si>
    <t>PT144125-SN</t>
  </si>
  <si>
    <t xml:space="preserve">INT.TRIPLE CONMU. 10A/127V ULTRA BASICO NEGR </t>
  </si>
  <si>
    <t>PT144126-SN</t>
  </si>
  <si>
    <t>PT144127-SN</t>
  </si>
  <si>
    <t>PT144128-SN</t>
  </si>
  <si>
    <t>PT144129-SN</t>
  </si>
  <si>
    <t>PT144130-SN</t>
  </si>
  <si>
    <t xml:space="preserve">INT. SENCILLO MAS CONMU 10A/127V ULTRA NATUR </t>
  </si>
  <si>
    <t>PT144131-SN</t>
  </si>
  <si>
    <t>PT144132-SN</t>
  </si>
  <si>
    <t xml:space="preserve">INT. CONMU. MAS PULS. DE TIMBRE 10A/127V ULT </t>
  </si>
  <si>
    <t>PT144136SN</t>
  </si>
  <si>
    <t xml:space="preserve">ZUMBADOR ULTRA NEGRO SIN MARCO               </t>
  </si>
  <si>
    <t>PT144321SN</t>
  </si>
  <si>
    <t>PT144320SN</t>
  </si>
  <si>
    <t>PT144322SN</t>
  </si>
  <si>
    <t>PT144323SN</t>
  </si>
  <si>
    <t>PT144324SN</t>
  </si>
  <si>
    <t xml:space="preserve">SALIDA COAXIAL SENCILLA ULTRA NATURAL NEGRO  </t>
  </si>
  <si>
    <t>PT144325-SN</t>
  </si>
  <si>
    <t>PT144326SN</t>
  </si>
  <si>
    <t xml:space="preserve">SALIDA CORDON ULTRA NATURAL NEGRA            </t>
  </si>
  <si>
    <t>PT144167N</t>
  </si>
  <si>
    <t xml:space="preserve">PLACA CIEGA MAS SOPORTE ULTRA NEGRA          </t>
  </si>
  <si>
    <t>PT144502SN</t>
  </si>
  <si>
    <t xml:space="preserve">TOMACTE DOBLE 20A-125V ULTRA NATURAL NEGRO   </t>
  </si>
  <si>
    <t>PT144505SN</t>
  </si>
  <si>
    <t>TOMACTE DOBLE GFCI 20A ULTRA NATURAL NEGRO</t>
  </si>
  <si>
    <t>PT144233SN</t>
  </si>
  <si>
    <t>SALIDA DATOS SENCILLA ULTRA NATURAL CAT.6 NEGRA</t>
  </si>
  <si>
    <t>PT144360B</t>
  </si>
  <si>
    <t xml:space="preserve">INT. SENCILLO 10A/127V SPAZIO BLANCO         </t>
  </si>
  <si>
    <t>PT144361B</t>
  </si>
  <si>
    <t xml:space="preserve">INT. DOBLE 10A/127V SPAZIO BLANCO            </t>
  </si>
  <si>
    <t>PT144362B</t>
  </si>
  <si>
    <t xml:space="preserve">INT. TRIPLE 10A/127V SPAZIO BLANCO           </t>
  </si>
  <si>
    <t>PT144363B</t>
  </si>
  <si>
    <t xml:space="preserve">INT. SENCILLO CONMUT 10A/127V SPAZIO BLANCO  </t>
  </si>
  <si>
    <t>PT144364B</t>
  </si>
  <si>
    <t xml:space="preserve">INT. DOBLE CONMUT 10A/127V SPAZIO BLANCO     </t>
  </si>
  <si>
    <t>PT144365B</t>
  </si>
  <si>
    <t xml:space="preserve">INT.  TRIPLE CONMU. 10A/127V SPAZIO BLANCO   </t>
  </si>
  <si>
    <t>PT144366B</t>
  </si>
  <si>
    <t xml:space="preserve">PULS.  DE TIMBRE SENC 10A/127V SPAZIO BLANCO </t>
  </si>
  <si>
    <t>PT144367B</t>
  </si>
  <si>
    <t xml:space="preserve">PULS.  DE TIMBRE DOBLE 10A/127V SPAZIO BLANC </t>
  </si>
  <si>
    <t>PT144368B</t>
  </si>
  <si>
    <t xml:space="preserve">PULS.  DE TIMBRE TRIPLE 10A/127V SPAZIO BLAN </t>
  </si>
  <si>
    <t>PT144369B</t>
  </si>
  <si>
    <t xml:space="preserve">INT. Y TOMA C/POLO TIERRA 10/15A - 127V SPAZ </t>
  </si>
  <si>
    <t>PT144370B</t>
  </si>
  <si>
    <t xml:space="preserve">INT.SENCILLO MAS CONM. 10A/127V SPAZIO B     </t>
  </si>
  <si>
    <t>PT144371B</t>
  </si>
  <si>
    <t xml:space="preserve">INT.SENCILLO MAS PULSADOR DE TIMBRE 10A/127V </t>
  </si>
  <si>
    <t>PT144372B</t>
  </si>
  <si>
    <t xml:space="preserve">INT.CONM.MAS PULSADOR DE TIMBRE 10A/127V SPA </t>
  </si>
  <si>
    <t>PT144373B</t>
  </si>
  <si>
    <t xml:space="preserve">TOMACTE DOBLE INTEGRAL C/P.T 15A/127V SPAZIO </t>
  </si>
  <si>
    <t>PT144374B</t>
  </si>
  <si>
    <t xml:space="preserve">TOMACTE DOBLE MODULAR C/P.T 15A/127V SPAZIO  </t>
  </si>
  <si>
    <t>PT144375B</t>
  </si>
  <si>
    <t xml:space="preserve">TOMA TELEFONO AMER.SENC.4 HILOS SPAZIO BLANC </t>
  </si>
  <si>
    <t>PT144376B</t>
  </si>
  <si>
    <t xml:space="preserve">TOMA TELEFONO AMERIC.DOBLE 4 HILOS SPAZIO BL </t>
  </si>
  <si>
    <t>PT144377B</t>
  </si>
  <si>
    <t xml:space="preserve">SALIDA COAXIAL SENCILLA SPAZIO BLANCO        </t>
  </si>
  <si>
    <t>PT144378B</t>
  </si>
  <si>
    <t xml:space="preserve">SALIDA COAXIAL MAS TOMA TELEF.AMER.4 HILOS S </t>
  </si>
  <si>
    <t>PT144379B</t>
  </si>
  <si>
    <t xml:space="preserve">SALIDA CORDON SPAZIO BLANCO                  </t>
  </si>
  <si>
    <t>PT144380B</t>
  </si>
  <si>
    <t xml:space="preserve">DIMMER SENCILLO SPAZIO BLANCO-V119           </t>
  </si>
  <si>
    <t>PT144395B</t>
  </si>
  <si>
    <t>TOMACTE SENCILLO MODULAR C/P.T 15A/127V SPAZIO BLANCO</t>
  </si>
  <si>
    <t>PT144381B</t>
  </si>
  <si>
    <t xml:space="preserve">ZUMBADOR SPAZIO BLANCO                       </t>
  </si>
  <si>
    <t>PT144384B</t>
  </si>
  <si>
    <t xml:space="preserve">SALIDA DATOS SENCILLA SPAZIO CAT.6 BLANCO    </t>
  </si>
  <si>
    <t>PT144385B</t>
  </si>
  <si>
    <t xml:space="preserve">SALIDA DATOS DOBLE SPAZIO CAT.6 BLANCA       </t>
  </si>
  <si>
    <t>PT144386B</t>
  </si>
  <si>
    <t xml:space="preserve">SALIDA DATOS + TOMA TELEFONO SPAZIO BLANCO   </t>
  </si>
  <si>
    <t>PT144387B</t>
  </si>
  <si>
    <t xml:space="preserve">INT SENCILLO 4 VIAS SPAZIO BLANCO            </t>
  </si>
  <si>
    <t>PT144388B</t>
  </si>
  <si>
    <t xml:space="preserve">INT DOBLE 4 VIAS SPAZIO BLANCO               </t>
  </si>
  <si>
    <t>PT144389B</t>
  </si>
  <si>
    <t>INTERRUPTOR TRIPLE 4 VIAS SPAZIO BLANCO</t>
  </si>
  <si>
    <t>PT144396B</t>
  </si>
  <si>
    <t xml:space="preserve">SALIDA DATOS CAT.6 + COAXIAL SPAZIO BLANCO   </t>
  </si>
  <si>
    <t>PT144601B</t>
  </si>
  <si>
    <t xml:space="preserve">TOMACTE DOBLE 15A-125V SPAZIO BLANCO         </t>
  </si>
  <si>
    <t>PT144602B</t>
  </si>
  <si>
    <t xml:space="preserve">TOMACTE DOBLE 20A-125V SPAZIO BLANCO         </t>
  </si>
  <si>
    <t>PT144603B</t>
  </si>
  <si>
    <t xml:space="preserve">TOMACTE DOBLE PATA TRAB 20A-250V SPAZIO BLAN </t>
  </si>
  <si>
    <t>PT144604O</t>
  </si>
  <si>
    <t>TOMACTE DOBLE RED REGULADA 20A-125V SPAZIO</t>
  </si>
  <si>
    <t>PT144605B</t>
  </si>
  <si>
    <t xml:space="preserve">TOMACTE DOBLE GFCI 20A/125V SPAZIO BLANCO    </t>
  </si>
  <si>
    <t>PT144606B</t>
  </si>
  <si>
    <t xml:space="preserve">TOMACTE DOBLE 15A-125V + 2 USB 4.2A SPAZIO B </t>
  </si>
  <si>
    <t>PT144607B</t>
  </si>
  <si>
    <t>TOMACTE DOBLE 15A-125V + 1 USB + 1 TIPO C 4. SPAZIO BLANCO</t>
  </si>
  <si>
    <t>PT144348B</t>
  </si>
  <si>
    <t xml:space="preserve">PLACA SENCILLA MAS SOPORTE SPAZIO BLANCA     </t>
  </si>
  <si>
    <t>PT144349B</t>
  </si>
  <si>
    <t xml:space="preserve">PLACA DOBLE MAS SOPORTE SPAZIO BLANCA        </t>
  </si>
  <si>
    <t>PT144350B</t>
  </si>
  <si>
    <t xml:space="preserve">PLACA TRIPLE MAS SOPORTE SPAZIO BLANCA       </t>
  </si>
  <si>
    <t>PT144351B</t>
  </si>
  <si>
    <t xml:space="preserve">PLACA CIEGA MAS SOPORTE SPAZIO BLANCA        </t>
  </si>
  <si>
    <t>PT144340</t>
  </si>
  <si>
    <t xml:space="preserve">MODULO INTERRUPTOR 10A  127V SPAZIO BLANCO   </t>
  </si>
  <si>
    <t>PT144341</t>
  </si>
  <si>
    <t xml:space="preserve">MODULO INT CONMUT 10A/127V SPAZIO BLANCO     </t>
  </si>
  <si>
    <t>PT144342</t>
  </si>
  <si>
    <t xml:space="preserve">MODULO PULSADOR DE TIMBRE 10A  127V SPAZIO B </t>
  </si>
  <si>
    <t>PT144343</t>
  </si>
  <si>
    <t xml:space="preserve">MODULO TOMACORRIENTE 15A  127V SPAZIO BLANCO </t>
  </si>
  <si>
    <t>PT144344</t>
  </si>
  <si>
    <t xml:space="preserve">MODULO TOMA TELEFONO SPAZIO BLANCO           </t>
  </si>
  <si>
    <t>PT144345</t>
  </si>
  <si>
    <t xml:space="preserve">MODULO SALIDA COAXIAL SPAZIO BLANCO          </t>
  </si>
  <si>
    <t>PT144346</t>
  </si>
  <si>
    <t xml:space="preserve">MODULO ZUMBADOR SPAZIO BLANCO                </t>
  </si>
  <si>
    <t>PT144347</t>
  </si>
  <si>
    <t xml:space="preserve">MODULO DIMMER SPAZIO BLANCO                  </t>
  </si>
  <si>
    <t>PT144360NM</t>
  </si>
  <si>
    <t xml:space="preserve">INT. SENCILLO 10A/127V SPAZIO NEGRO MATE     </t>
  </si>
  <si>
    <t>PT144361NM</t>
  </si>
  <si>
    <t xml:space="preserve">INT. DOBLE 10A/127V SPAZIO NEGRO MATE        </t>
  </si>
  <si>
    <t>PT144362NM</t>
  </si>
  <si>
    <t xml:space="preserve">INT. TRIPLE 10A/127V SPAZIO NEGRO MATE       </t>
  </si>
  <si>
    <t>PT144363NM</t>
  </si>
  <si>
    <t xml:space="preserve">INT. SENCILLO CONMUT 10A/127V SPAZIO NEGRO M </t>
  </si>
  <si>
    <t>PT144364NM</t>
  </si>
  <si>
    <t xml:space="preserve">INT. DOBLE CONMUT 10A/127V SPAZIO NEGRO MATE </t>
  </si>
  <si>
    <t>PT144365NM</t>
  </si>
  <si>
    <t xml:space="preserve">INT.  TRIPLE CONMU. 10A/127V SPAZIO NEGRO MA </t>
  </si>
  <si>
    <t>PT144366NM</t>
  </si>
  <si>
    <t xml:space="preserve">PULS.  DE TIMBRE SENC 10A/127V SPAZIO NEGRO  </t>
  </si>
  <si>
    <t>PT144367NM</t>
  </si>
  <si>
    <t xml:space="preserve">PULS.  DE TIMBRE DOBLE 10A/127V SPAZIO NEGRO </t>
  </si>
  <si>
    <t>PT144368NM</t>
  </si>
  <si>
    <t xml:space="preserve">PULS.  DE TIMBRE TRIPLE 10A/127V SPAZIO NEGR </t>
  </si>
  <si>
    <t>PT144369NM</t>
  </si>
  <si>
    <t>PT144370NM</t>
  </si>
  <si>
    <t xml:space="preserve">INT.SENCILLO MAS CONM. 10A/127V SPAZIO NEGRO </t>
  </si>
  <si>
    <t>PT144371NM</t>
  </si>
  <si>
    <t>PT144372NM</t>
  </si>
  <si>
    <t>PT144373NM</t>
  </si>
  <si>
    <t>PT144374NM</t>
  </si>
  <si>
    <t>PT144375NM</t>
  </si>
  <si>
    <t xml:space="preserve">TOMA TELEFONO AMER.SENC.4 HILOS SPAZIO NEGRO </t>
  </si>
  <si>
    <t>PT144376NM</t>
  </si>
  <si>
    <t xml:space="preserve">TOMA TELEFONO AMERIC.DOBLE 4 HILOS SPAZIO NE </t>
  </si>
  <si>
    <t>PT144377NM</t>
  </si>
  <si>
    <t xml:space="preserve">SALIDA COAXIAL SENCILLA SPAZIO NEGRO MATE    </t>
  </si>
  <si>
    <t>PT144378NM</t>
  </si>
  <si>
    <t>PT144379NM</t>
  </si>
  <si>
    <t xml:space="preserve">SALIDA CORDON SPAZIO NEGRA MATE              </t>
  </si>
  <si>
    <t>PT144381NM</t>
  </si>
  <si>
    <t xml:space="preserve">ZUMBADOR SPAZIO NEGRO MATE                   </t>
  </si>
  <si>
    <t>PT144602NM</t>
  </si>
  <si>
    <t xml:space="preserve">TOMACTE DOBLE 20A-125V SPAZIO NEGRO MATE     </t>
  </si>
  <si>
    <t>PT144605NM</t>
  </si>
  <si>
    <t xml:space="preserve">TOMACTE DOBLE GFCI 20A SPAZIO NEGRO MATE     </t>
  </si>
  <si>
    <t>PT144351NM</t>
  </si>
  <si>
    <t xml:space="preserve">PLACA CIEGA MAS SOPORTE SPAZIO NEGRA MATE    </t>
  </si>
  <si>
    <t>PT144349NM</t>
  </si>
  <si>
    <t>PLACA DOBLE MAS SOPORTE SPAZIO NEGRA MATE</t>
  </si>
  <si>
    <t>PT144350NM</t>
  </si>
  <si>
    <t>PLACA TRIPLE MAS SOPORTE SPAZIO NEGRA MATE</t>
  </si>
  <si>
    <t>PT144606NM</t>
  </si>
  <si>
    <t xml:space="preserve">TOMACTE DOBLE 15A-125V + 2 USB 4.2A SPAZIO N </t>
  </si>
  <si>
    <t>PT144607NM</t>
  </si>
  <si>
    <t>TOMACTE DOBLE 15A-125V + 1 USB + 1 TIPO C 4. SPAZIO NEGRO MATE</t>
  </si>
  <si>
    <t>PT144601NM</t>
  </si>
  <si>
    <t>TOMA DOBLE 15A - 125V SPAZIO NEGRO MATE</t>
  </si>
  <si>
    <t>PT144603NM</t>
  </si>
  <si>
    <t xml:space="preserve">TOMA DOBLE PATA TRABADA 20A -250V SPAZIO NEGRO MATE </t>
  </si>
  <si>
    <t>PT144384NM</t>
  </si>
  <si>
    <t xml:space="preserve">SALIDA DE DATOS  SENCILLA CAT. 6 NEGRO MATE </t>
  </si>
  <si>
    <t>PT144385NM</t>
  </si>
  <si>
    <t xml:space="preserve">SALIDA DE DATOS DOBLE  CAT. 6 NEGRO MATE </t>
  </si>
  <si>
    <t>PT144386NM</t>
  </si>
  <si>
    <t xml:space="preserve">SALIDA DE DATOS CAT. 6 + TELEFONO 4C NEGRO MATE </t>
  </si>
  <si>
    <t>PT144396NM</t>
  </si>
  <si>
    <t xml:space="preserve">SALIDA DE DATOS CAT. 6 + COAXIAL SPAZIO NEGRO MATE </t>
  </si>
  <si>
    <t>PT144387NM</t>
  </si>
  <si>
    <t>INTERRUPTOR SENCILLO 4 VIAS SPAZIO NEGRO MATE 10A/127V</t>
  </si>
  <si>
    <t>PT144388NM</t>
  </si>
  <si>
    <t xml:space="preserve">INTERRUPTOR DOBLE 4 VIAS SPAZIO  NEGRO MATE 10A/127V </t>
  </si>
  <si>
    <t>PT144389NM</t>
  </si>
  <si>
    <t>INTERRUPTOR TRIPLE 4 VIAS SPAZIO NEGRO MATE</t>
  </si>
  <si>
    <t>PT144380NM</t>
  </si>
  <si>
    <t xml:space="preserve">DIMMER SENCILLO SPAZIO NEGRO MATE </t>
  </si>
  <si>
    <t>PT144395NM</t>
  </si>
  <si>
    <t xml:space="preserve">TOMACTE SENCILLO MODULAR C/P.T 15A/127V SPAZIO NEGRO MATE </t>
  </si>
  <si>
    <t>PT144342NM</t>
  </si>
  <si>
    <t xml:space="preserve">MODULO PULSADOR TIMBRE SPAZIO NEGRO MATE </t>
  </si>
  <si>
    <t>PT144343NM</t>
  </si>
  <si>
    <t xml:space="preserve">MODULO TOMACORRIENTE C/POLO TIERRA SPAZIO NEGRO MATE </t>
  </si>
  <si>
    <t>PT144344NM</t>
  </si>
  <si>
    <t xml:space="preserve">MODULO TELEFONO 4C SPAZIO NEGRO MATE </t>
  </si>
  <si>
    <t>PT144345NM</t>
  </si>
  <si>
    <t xml:space="preserve">MODULO COAXIAL SPAZIO NEGRO MATE </t>
  </si>
  <si>
    <t>PT144346NM</t>
  </si>
  <si>
    <t xml:space="preserve">MODULO ZUMBADOR SPAZIO NEGRO MATE </t>
  </si>
  <si>
    <t>PT144347NM</t>
  </si>
  <si>
    <t xml:space="preserve">MODULO DIMMER SPAZIO NEGRO MATE </t>
  </si>
  <si>
    <t>PT144340NM</t>
  </si>
  <si>
    <t>MODULO INTERRUPTOR 10A  127V SPAZIO NEGRO MATE</t>
  </si>
  <si>
    <t>PT144341NM</t>
  </si>
  <si>
    <t>MODULO INT CONMUT 10A/127V SPAZIO NEGRO MATE</t>
  </si>
  <si>
    <t>PT144355NM</t>
  </si>
  <si>
    <t>MODULO INTERRUPTOR 4 VIAS 10A  127V NEGRO MATE</t>
  </si>
  <si>
    <t>PT144414B</t>
  </si>
  <si>
    <t xml:space="preserve">INTERRUPTOR SENCILLO 10A/127V NOVA BLANCO    </t>
  </si>
  <si>
    <t>PT144415B</t>
  </si>
  <si>
    <t xml:space="preserve">INTERRUPTOR DOBLE 10A/127V NOVA BLANCO       </t>
  </si>
  <si>
    <t>PT144416B</t>
  </si>
  <si>
    <t xml:space="preserve">INTERRUPTOR TRIPLE 10A/127V NOVA BLANCO      </t>
  </si>
  <si>
    <t>PT144417B</t>
  </si>
  <si>
    <t xml:space="preserve">INTERRUPTOR SENCILLO CONM 10A/127V NOVA BLAN </t>
  </si>
  <si>
    <t>PT144418B</t>
  </si>
  <si>
    <t xml:space="preserve">INTERRUPTOR DOBLE CONM 10A/127V NOVA BLANCO  </t>
  </si>
  <si>
    <t>PT144419B</t>
  </si>
  <si>
    <t xml:space="preserve">INTERRUPTOR TRIPLE CONM 10A/127V NOVA BLANCO </t>
  </si>
  <si>
    <t>PT144420B</t>
  </si>
  <si>
    <t xml:space="preserve">PULSADOR TIMBRE SENCILLO 10A/127V NOVA BLANC </t>
  </si>
  <si>
    <t>PT144421B</t>
  </si>
  <si>
    <t xml:space="preserve">PULSADOR TIMBRE DOBLE 10A/127V NOVA BLANCO   </t>
  </si>
  <si>
    <t>PT144422B</t>
  </si>
  <si>
    <t xml:space="preserve">PULSADOR TIMBRE TRIPLE 10A/127V NOVA BLANCO  </t>
  </si>
  <si>
    <t>PT144423B</t>
  </si>
  <si>
    <t xml:space="preserve">INTERRUPTOR SENCILLO 4 VIAS 10A/127V NOVA BL </t>
  </si>
  <si>
    <t>PT144424B</t>
  </si>
  <si>
    <t xml:space="preserve">INTERUPTOR DOBLE 4 VIAS 10A/127V NOVA BLANCO </t>
  </si>
  <si>
    <t>PT144425B</t>
  </si>
  <si>
    <t xml:space="preserve">INTERRUPTOR + TOMACTE 10A/127V NOVA BLANCO   </t>
  </si>
  <si>
    <t>PT144426B</t>
  </si>
  <si>
    <t xml:space="preserve">INTERRUPTOR + CONM 10A/127V NOVA BLANCO      </t>
  </si>
  <si>
    <t>PT144427B</t>
  </si>
  <si>
    <t xml:space="preserve">INTERRUPTOR + PULSADOR 10A/127V NOVA BLANCO  </t>
  </si>
  <si>
    <t>PT144428B</t>
  </si>
  <si>
    <t xml:space="preserve">INTERRUPTOR SENCILLO CONM + PULSADOR TIMBRE  </t>
  </si>
  <si>
    <t>PT144429B</t>
  </si>
  <si>
    <t xml:space="preserve">TOMACTE DOBLE INTEGRAL 15A/127V NOVA BLANCO  </t>
  </si>
  <si>
    <t>PT144430B</t>
  </si>
  <si>
    <t xml:space="preserve">TOMACTE SENCILLO MODULAR 15A/127 NOVA BLANCO </t>
  </si>
  <si>
    <t>PT144431B</t>
  </si>
  <si>
    <t xml:space="preserve">TOMACTE DOBLE MODULAR 15A/127V NOVA BLANCO   </t>
  </si>
  <si>
    <t>PT144432B</t>
  </si>
  <si>
    <t xml:space="preserve">TOMA TELEFONO AMERICANO SENCILLO NOVA BLANCO </t>
  </si>
  <si>
    <t>PT144433B</t>
  </si>
  <si>
    <t xml:space="preserve">TOMA TELEFONO AMERICANO DOBLE NOVA BLANCO    </t>
  </si>
  <si>
    <t>PT144434B</t>
  </si>
  <si>
    <t xml:space="preserve">SALIDA COAXIAL SENCILLA NOVA BLANCO          </t>
  </si>
  <si>
    <t>PT144435B</t>
  </si>
  <si>
    <t xml:space="preserve">SALIDA COAXIAL + TOMA TELEFONO NOVA BLANCO   </t>
  </si>
  <si>
    <t>PT144436B</t>
  </si>
  <si>
    <t xml:space="preserve">SALIDA CORDON NOVA BLANCA                    </t>
  </si>
  <si>
    <t>PT144437B</t>
  </si>
  <si>
    <t xml:space="preserve">DIMMER SENCILLO NOVA BLANCO                  </t>
  </si>
  <si>
    <t>PT144438B</t>
  </si>
  <si>
    <t xml:space="preserve">ZUMBADOR NOVA BLANCO                         </t>
  </si>
  <si>
    <t>PT144440B</t>
  </si>
  <si>
    <t xml:space="preserve">SALIDA DATOS SENCILLA NOVA CAT.6 BLANCA      </t>
  </si>
  <si>
    <t>PT144441B</t>
  </si>
  <si>
    <t xml:space="preserve">SALIDA DATOS DOBLE CAT.6 NOVA BLANCA         </t>
  </si>
  <si>
    <t>PT144442B</t>
  </si>
  <si>
    <t xml:space="preserve">SALIDA DATOS + TOMA TELEFONO NOVA BLANCO     </t>
  </si>
  <si>
    <t>PT144446B</t>
  </si>
  <si>
    <t xml:space="preserve">SALIDA DATOS CAT.6 + COAXIAL NOVA BLANCO     </t>
  </si>
  <si>
    <t>PT144443B</t>
  </si>
  <si>
    <t xml:space="preserve">TOMACTE DOBLE GFCI 20A 125V NOVA BLANCO      </t>
  </si>
  <si>
    <t>PT144444B</t>
  </si>
  <si>
    <t xml:space="preserve">TOMACTE DOBLE 15A 125V + 2 USB 4.2A NOVA BLA </t>
  </si>
  <si>
    <t>PT144447B</t>
  </si>
  <si>
    <t>TOMACTE DOBLE 15A-125V + 1 USB + 1 TIPO C 4. NOVA BLANCO</t>
  </si>
  <si>
    <t>PT144445B</t>
  </si>
  <si>
    <t xml:space="preserve">PLACA CIEGA MAS SOPORTE NOVA BLANCA          </t>
  </si>
  <si>
    <t>PT144450B</t>
  </si>
  <si>
    <t>INTERRUPTOR TRIPLE 4 VIAS 10A/127V NOVA BLANCO</t>
  </si>
  <si>
    <t>PT144451B</t>
  </si>
  <si>
    <t>DIMMER + INTERRUPTOR SENCILLO NOVA BLANCO</t>
  </si>
  <si>
    <t>PT144414NM</t>
  </si>
  <si>
    <t>INTERRUPTOR SENCILLO 10A/127V NOVA NEGRO MATE</t>
  </si>
  <si>
    <t>PT144415NM</t>
  </si>
  <si>
    <t xml:space="preserve">INTERRUPTOR DOBLE 10A/127V NOVA NEGRO MATE   </t>
  </si>
  <si>
    <t>PT144416NM</t>
  </si>
  <si>
    <t xml:space="preserve">INTERRUPTOR TRIPLE 10A/127V NOVA NEGRO MATE  </t>
  </si>
  <si>
    <t>PT144417NM</t>
  </si>
  <si>
    <t xml:space="preserve">INTERRUPTOR SENCILLO CONM 10A/127V NOVA NEGR </t>
  </si>
  <si>
    <t>PT144418NM</t>
  </si>
  <si>
    <t xml:space="preserve">INTERRUPTOR DOBLE CONM 10A/127V NOVA NEGRO M </t>
  </si>
  <si>
    <t>PT144419NM</t>
  </si>
  <si>
    <t xml:space="preserve">INTERRUPTOR TRIPLE CONM 10A/127V NOVA NEGRO  </t>
  </si>
  <si>
    <t>PT144420NM</t>
  </si>
  <si>
    <t xml:space="preserve">PULSADOR TIMBRE SENCILLO 10A/127V NOVA NEGRO </t>
  </si>
  <si>
    <t>PT144421NM</t>
  </si>
  <si>
    <t xml:space="preserve">PULSADOR TIMBRE DOBLE 10A/127V NOVA NEGRO MA </t>
  </si>
  <si>
    <t>PT144422NM</t>
  </si>
  <si>
    <t xml:space="preserve">PULSADOR TIMBRE TRIPLE 10A/127V NOVA NEGRO M </t>
  </si>
  <si>
    <t>PT144423NM</t>
  </si>
  <si>
    <t xml:space="preserve">INTERRUPTOR SENCILLO 4 VIAS 10A/127V NOVA NE </t>
  </si>
  <si>
    <t>PT144424NM</t>
  </si>
  <si>
    <t xml:space="preserve">INTERRUPTOR DOBLE 4 VIAS 10A/127V NOVA NEGRO </t>
  </si>
  <si>
    <t>PT144425NM</t>
  </si>
  <si>
    <t xml:space="preserve">INTERRUPTOR + TOMACTE 10A/127V NOVA NEGRO MA </t>
  </si>
  <si>
    <t>PT144426NM</t>
  </si>
  <si>
    <t xml:space="preserve">INTERRUPTOR + CONM 10A/127V NOVA NEGRO MATE  </t>
  </si>
  <si>
    <t>PT144427NM</t>
  </si>
  <si>
    <t xml:space="preserve">INTERRUPTOR + PULSADOR 10A/127V NOVA NEGRO M </t>
  </si>
  <si>
    <t>PT144428NM</t>
  </si>
  <si>
    <t>PT144429NM</t>
  </si>
  <si>
    <t xml:space="preserve">TOMACTE DOBLE INTEGRAL 15A/127V NOVA NEGRO M </t>
  </si>
  <si>
    <t>PT144430NM</t>
  </si>
  <si>
    <t xml:space="preserve">TOMACTE SENCILLO MODULAR 15A/127V NOVA NEGRO </t>
  </si>
  <si>
    <t>PT144431NM</t>
  </si>
  <si>
    <t xml:space="preserve">TOMACTE DOBLE MODULAR 15A/127V NOVA NEGRO MA </t>
  </si>
  <si>
    <t>PT144432NM</t>
  </si>
  <si>
    <t xml:space="preserve">TOMA TELEFONO AMERICANO SENCILLO NOVA NEGRO  </t>
  </si>
  <si>
    <t>PT144433NM</t>
  </si>
  <si>
    <t xml:space="preserve">TOMA TELEFONO AMERICANO DOBLE NOVA NEGRO MAT </t>
  </si>
  <si>
    <t>PT144434NM</t>
  </si>
  <si>
    <t xml:space="preserve">SALIDA COAXIAL SENCILLA NOVA NEGRO MATE      </t>
  </si>
  <si>
    <t>PT144435NM</t>
  </si>
  <si>
    <t xml:space="preserve">SALIDA COAXIAL + TOMA TELEFONO NOVA NEGRO MA </t>
  </si>
  <si>
    <t>PT144436NM</t>
  </si>
  <si>
    <t xml:space="preserve">SALIDA CORDON NOVA NEGRO MATE                </t>
  </si>
  <si>
    <t>PT144437NM</t>
  </si>
  <si>
    <t xml:space="preserve">DIMMER SENCILLO NOVA NEGRO MATE              </t>
  </si>
  <si>
    <t>PT144438NM</t>
  </si>
  <si>
    <t xml:space="preserve">ZUMBADOR NOVA NEGRO MATE                     </t>
  </si>
  <si>
    <t>PT144440NM</t>
  </si>
  <si>
    <t xml:space="preserve">SALIDA DATOS SENCILLA CAT.6 NOVA NEGRO MATE  </t>
  </si>
  <si>
    <t>PT144441NM</t>
  </si>
  <si>
    <t xml:space="preserve">SALIDA DATOS DOBLE CAT.6 NOVA NEGRO MATE     </t>
  </si>
  <si>
    <t>PT144442NM</t>
  </si>
  <si>
    <t xml:space="preserve">SALIDA DATOS + TOMA TELEFONO NOVA NEGRO MATE </t>
  </si>
  <si>
    <t>PT144446NM</t>
  </si>
  <si>
    <t xml:space="preserve">SALIDA DATOS CAT.6 + COAXIAL NOVA NEGRO MATE </t>
  </si>
  <si>
    <t>PT144443NM</t>
  </si>
  <si>
    <t xml:space="preserve">TOMACTE DOBLE GFCI 20A 125V NOVA NEGRO MATE  </t>
  </si>
  <si>
    <t>PT144444NM</t>
  </si>
  <si>
    <t xml:space="preserve">TOMACTE DOBLE 15A 125V + 2 USB 4.2A NOVA NEG </t>
  </si>
  <si>
    <t>PT144447NM</t>
  </si>
  <si>
    <t>TOMACTE DOBLE 15A-125V + 1 USB + 1 TIPO C 4. NOVA NEGRO MATE</t>
  </si>
  <si>
    <t>PT144445NM</t>
  </si>
  <si>
    <t xml:space="preserve">PLACA CIEGA MAS SOPORTE NOVA NEGRO MATE      </t>
  </si>
  <si>
    <t>PT144448NM</t>
  </si>
  <si>
    <t>PLACA DOBLE MAS SOPORTE NOVA NEGRO MATE</t>
  </si>
  <si>
    <t>PT144449NM</t>
  </si>
  <si>
    <t>PLACA TRIPLE MAS SOPORTE NOVA NEGRO MATE</t>
  </si>
  <si>
    <t>PT144450NM</t>
  </si>
  <si>
    <t xml:space="preserve">INTERRUPTOR TRIPLE 4 VIAS 10A/127V NOVA NEGR </t>
  </si>
  <si>
    <t>PT144455B</t>
  </si>
  <si>
    <t xml:space="preserve">MODULO INTERRUPTOR SENCILLO NOVA BLANCO NATURAL </t>
  </si>
  <si>
    <t>PT144456B</t>
  </si>
  <si>
    <t xml:space="preserve">MODULO INTERRUPTOR DOBLE NOVA NEGRO BLANCO </t>
  </si>
  <si>
    <t>PT144457B</t>
  </si>
  <si>
    <t>MODULO INT SENCILLO CONMUTABLE NOVA BLANCO</t>
  </si>
  <si>
    <t>PT144458B</t>
  </si>
  <si>
    <t>MODULO INT DOBLE CONMUTABLE NOVA BLANCO</t>
  </si>
  <si>
    <t>PT144355B</t>
  </si>
  <si>
    <t>MODULO INT 4 VIAS BLANCO</t>
  </si>
  <si>
    <t>PT144459B</t>
  </si>
  <si>
    <t xml:space="preserve">MODULO PULSADOR SENCILLO NOVA BLANCO </t>
  </si>
  <si>
    <t>PT144460B</t>
  </si>
  <si>
    <t xml:space="preserve">MODULO PULSADOR DOBLE NOVA BLANCO </t>
  </si>
  <si>
    <t>PT144461B</t>
  </si>
  <si>
    <t xml:space="preserve">MODULO TOMACTE NOVA BLANDO </t>
  </si>
  <si>
    <t>PT144462B</t>
  </si>
  <si>
    <t xml:space="preserve">MODULO DIMMER NOVA BLANCO </t>
  </si>
  <si>
    <t>PT144463B</t>
  </si>
  <si>
    <t xml:space="preserve">MODULO SALIDA DE DATOS BLANCO </t>
  </si>
  <si>
    <t>PT144452B</t>
  </si>
  <si>
    <t>PLACA SENCILLA MAS SOPORTE NOVA BLANCO</t>
  </si>
  <si>
    <t>PT144448B</t>
  </si>
  <si>
    <t xml:space="preserve">PLACA DOBLE MAS SOPORTE NOVA BLANCO </t>
  </si>
  <si>
    <t>PT144449B</t>
  </si>
  <si>
    <t xml:space="preserve">PLACA TRIPLE MAS SOPORTE NOVA BLANCO </t>
  </si>
  <si>
    <t>PT144455NM</t>
  </si>
  <si>
    <t xml:space="preserve">MODULO INTERRUPTOR SENCILLO NOVA NEGRO MATE </t>
  </si>
  <si>
    <t>PT144456NM</t>
  </si>
  <si>
    <t xml:space="preserve">MODULO INTERRUPTOR DOBLE NOVA NEGRO MATE </t>
  </si>
  <si>
    <t>PT144457NM</t>
  </si>
  <si>
    <t xml:space="preserve">MODULO INT SENCILLO CONMUTABLE NOVA NEGRO MATE </t>
  </si>
  <si>
    <t>PT144458NM</t>
  </si>
  <si>
    <t xml:space="preserve">MODULO INT DOBLE CONMUTABLE NOVA NEGRO MATE </t>
  </si>
  <si>
    <t>PT144459NM</t>
  </si>
  <si>
    <t xml:space="preserve">MODULO PULSADOR SENCILLO NOVA NEGRO MATE </t>
  </si>
  <si>
    <t>PT144460NM</t>
  </si>
  <si>
    <t xml:space="preserve">MODULO PULSADOR DOBLE NOVA NEGRO MATE </t>
  </si>
  <si>
    <t>PT144461NM</t>
  </si>
  <si>
    <t xml:space="preserve">MODULO TOMACTE NOVA NEGRO MATE </t>
  </si>
  <si>
    <t>PT144462NM</t>
  </si>
  <si>
    <t xml:space="preserve">MODULO DIMMER NOVA NEGRO MATE </t>
  </si>
  <si>
    <t>PT144463NM</t>
  </si>
  <si>
    <t xml:space="preserve">MODULO SALIDA DATOS NEGRO MATE </t>
  </si>
  <si>
    <t>PT144439NM</t>
  </si>
  <si>
    <t>SENSOR DE PRESENCIA NOVA NEGRO MATE</t>
  </si>
  <si>
    <t>PT144452NM</t>
  </si>
  <si>
    <t xml:space="preserve">PLACA SENCILLA MAS SOPORTE NOVA NEGRO MATE </t>
  </si>
  <si>
    <t>PT144250BF</t>
  </si>
  <si>
    <t>MODULO INTERRUPTOR ASTRAL C/FOTOLUMINISCENTE</t>
  </si>
  <si>
    <t>PT144251BF</t>
  </si>
  <si>
    <t>MODULO CUNMUTABLE ASTRAL C/FOTOLUMINISCENTE</t>
  </si>
  <si>
    <t>PT144252BF</t>
  </si>
  <si>
    <t>MODULO PULSADOR ASTRAL C/FOTOLUMINISCENTE</t>
  </si>
  <si>
    <t>PT144180B</t>
  </si>
  <si>
    <t>MODULO INTERRUPTOR ULTRA BASICA SIN INDICADOR</t>
  </si>
  <si>
    <t>PT144181B</t>
  </si>
  <si>
    <t>MODULO CONMUTABLE ULTRA BASICA SIN INDICADOR</t>
  </si>
  <si>
    <t>PT144182B</t>
  </si>
  <si>
    <t>MODULO PULSADOR ULTRA BASICA SIN INDICADOR</t>
  </si>
  <si>
    <t>PT144170BF</t>
  </si>
  <si>
    <t>MODULO INTERRUPTOR ULTRA FOTOLUMINISCENTE</t>
  </si>
  <si>
    <t>PT144171BF</t>
  </si>
  <si>
    <t>MODULO INTERRUPTOR CONMUTABLE ULTRA FOTOLUMINISCENTE</t>
  </si>
  <si>
    <t>PT144172BF</t>
  </si>
  <si>
    <t>MODULO PULSADOR ULTRA FOTOLUMINISCENTE</t>
  </si>
  <si>
    <t>PT144153B</t>
  </si>
  <si>
    <t xml:space="preserve">MODULO TOMACORRIENTE C/POLO TIERRA astral </t>
  </si>
  <si>
    <t>PT144154B</t>
  </si>
  <si>
    <t>MODULO SALIDA TELEFONO 4C ASTRAL</t>
  </si>
  <si>
    <t>PT144155B</t>
  </si>
  <si>
    <t xml:space="preserve">MODULO SALIDA COAXIAL ASTRAL </t>
  </si>
  <si>
    <t>PT144169A</t>
  </si>
  <si>
    <t>MARCO ULTRA AZUL</t>
  </si>
  <si>
    <t>PT144169O</t>
  </si>
  <si>
    <t>MARCO ULTRA NARANJA</t>
  </si>
  <si>
    <t>PT144169R</t>
  </si>
  <si>
    <t>MARCO ULTRA ROSADO</t>
  </si>
  <si>
    <t>PT144169V</t>
  </si>
  <si>
    <t>MARCO ULTRA VERDE</t>
  </si>
  <si>
    <t>PT144169Y</t>
  </si>
  <si>
    <t>MARCO ULTRA AMARILLO</t>
  </si>
  <si>
    <t>PT144169N</t>
  </si>
  <si>
    <t>MARCO ULTRA NEGRO</t>
  </si>
  <si>
    <t>PT144169B</t>
  </si>
  <si>
    <t>MARCO ULTRA NATURAL (BLANCO/MARFIL)</t>
  </si>
  <si>
    <t>PT144169P</t>
  </si>
  <si>
    <t xml:space="preserve">MARCO ULTRA PINTADO (PLATA) </t>
  </si>
  <si>
    <t>PT144169C</t>
  </si>
  <si>
    <t>MARCO ULTRA PINTADO (CHAMPAGNE)</t>
  </si>
  <si>
    <t>PT144101BD</t>
  </si>
  <si>
    <t xml:space="preserve">INT. SENCILLO 10A/127V ASTRAL BLANCO PACK X 12 </t>
  </si>
  <si>
    <t>PT144102BD</t>
  </si>
  <si>
    <t xml:space="preserve">INT. DOBLE 10A/127V ASTRAL BLANCO PACK X 12  </t>
  </si>
  <si>
    <t>PT144110BD</t>
  </si>
  <si>
    <t xml:space="preserve">INT.Y TOMACTE C/P.TIERRA 10A/127V ASTRAL BLANCO PACK X 12 </t>
  </si>
  <si>
    <t>PT144302BD</t>
  </si>
  <si>
    <t>TOMACTE DOBLE INTEGRAL C/P.T 15A/127V BLANCO PACK X 12</t>
  </si>
  <si>
    <t>PT144120SBD</t>
  </si>
  <si>
    <t>INT. SENCILLO 10A/127V ULTRA NATURAL BLANCO  PACK X 12</t>
  </si>
  <si>
    <t>PT144121SBD</t>
  </si>
  <si>
    <t>INT. DOBLE 10A/127V ULTRA NATURAL BLANCO PACK X 12</t>
  </si>
  <si>
    <t>PT144129SBD</t>
  </si>
  <si>
    <t xml:space="preserve">INT. Y TOMA C. POLO A TIERRA 10/15A-127V ULTRA NATURAL PACK X 12 </t>
  </si>
  <si>
    <t>PT144321SBD</t>
  </si>
  <si>
    <t>TOMA DOBLE INTEGRAL C. POLO A TIERRA 15A/127 ULTRA NATURAL PACK X 12</t>
  </si>
  <si>
    <t>PT144183BD</t>
  </si>
  <si>
    <t xml:space="preserve">INT. SENCILLO 10A/127V FUGA BLANCO PACK X 12 </t>
  </si>
  <si>
    <t>PT144184BD</t>
  </si>
  <si>
    <t xml:space="preserve">INT. DOBLE 10A/127V FUGA BLANCO PACK X 12    </t>
  </si>
  <si>
    <t>PT144192BD</t>
  </si>
  <si>
    <t xml:space="preserve">INT. Y TOMA CTE C/P.T 15A/127V FUGA BLANCO PACK X 12 </t>
  </si>
  <si>
    <t>PT144332BD</t>
  </si>
  <si>
    <t xml:space="preserve">TOMACTE DOBLE INTEGRAL C/P.T 15A/127V FUGA BLANCO PACK X 12 </t>
  </si>
  <si>
    <t>PT144360BD</t>
  </si>
  <si>
    <t>INT. SENCILLO 10A/127V SPAZIO BLANCO PACK X  12</t>
  </si>
  <si>
    <t>PT144361BD</t>
  </si>
  <si>
    <t xml:space="preserve">INT. DOBLE 10A/127V SPAZIO BLANCO PACK X 12  </t>
  </si>
  <si>
    <t>PT144369BD</t>
  </si>
  <si>
    <t>INT. Y TOMA C/POLO TIERRA 10/15A-127V SPAZIO PACK X 12</t>
  </si>
  <si>
    <t>PT144373BD</t>
  </si>
  <si>
    <t>TOMACTE DOBLE INTEGRAL C/P.T 15A/127V SPAZIO PACK X 12</t>
  </si>
  <si>
    <t>PT144414BD</t>
  </si>
  <si>
    <t xml:space="preserve">INTERRUPTOR SENCILLO 10A/127V NOVA BLANCO PACK X 8 </t>
  </si>
  <si>
    <t>PT144415BD</t>
  </si>
  <si>
    <t>INTERRUPTOR DOBLE 10A/127V NOVA BLANCO PACK  X 8</t>
  </si>
  <si>
    <t>PT144425BD</t>
  </si>
  <si>
    <t>INTERRUPTOR + TOMACTE 10A/127V NOVA BLANCO PACK X 8</t>
  </si>
  <si>
    <t>PT144429BD</t>
  </si>
  <si>
    <t>TOMACTE DOBLE INTEGRAL 15A/127V NOVA BLANCO  PACK X 12</t>
  </si>
  <si>
    <t>PT144414NMD</t>
  </si>
  <si>
    <t>INTERRUPTOR SENCILLO 10A/127V NOVA NEGRO MATE PACK X 8</t>
  </si>
  <si>
    <t>PT144415NMD</t>
  </si>
  <si>
    <t>INTERRUPTOR DOBLE 10A/127V NOVA NEGRO MATE PACK X 8</t>
  </si>
  <si>
    <t>PT144425NMD</t>
  </si>
  <si>
    <t xml:space="preserve">INTERRUPTOR + TOMACTE 10A/127V NOVA NEGRO MATE PACK X 8 </t>
  </si>
  <si>
    <t>PT144429NMD</t>
  </si>
  <si>
    <t xml:space="preserve">TOMACTE DOBLE INTEGRAL 15A/127V NOVA NEGRO MATE PACK X 12 </t>
  </si>
  <si>
    <t>PT730000U</t>
  </si>
  <si>
    <t xml:space="preserve">TABLERO PARA BREAKER ENCHUFABLE 2 CIR MONOFA </t>
  </si>
  <si>
    <t>PT730000B</t>
  </si>
  <si>
    <t xml:space="preserve">TABLERO PARA BREAKER ENCHUFABLE 2 CIR BIFÁSI </t>
  </si>
  <si>
    <t>PT730001U</t>
  </si>
  <si>
    <t xml:space="preserve">TABLERO PARA BREAKER ENCHUFABLE 4 CIR MONOFA </t>
  </si>
  <si>
    <t>PT730001B</t>
  </si>
  <si>
    <t xml:space="preserve">TABLERO PARA BREAKER ENCHUFABLE 4 CIR BIFASI </t>
  </si>
  <si>
    <t>PT730002U</t>
  </si>
  <si>
    <t xml:space="preserve">TABLERO PARA BREAKER ENCHUFABLE 6 CIR MONOFA </t>
  </si>
  <si>
    <t>PT730002B</t>
  </si>
  <si>
    <t xml:space="preserve">TABLERO PARA BREAKER ENCHUFABLE 6 CIR BIFASI </t>
  </si>
  <si>
    <t>PT730003U</t>
  </si>
  <si>
    <t xml:space="preserve">TABLERO PARA BREAKER ENCHUFABLE 8 CIR MONOFA </t>
  </si>
  <si>
    <t>PT730003B</t>
  </si>
  <si>
    <t xml:space="preserve">TABLERO PARA BREAKER ENCHUFABLE 8 CIR BIFASI </t>
  </si>
  <si>
    <t>PT730004U</t>
  </si>
  <si>
    <t xml:space="preserve">TABLERO PARA BREAKER ENCHUFABLE 10 CIR MONOF </t>
  </si>
  <si>
    <t>PT730004B</t>
  </si>
  <si>
    <t xml:space="preserve">TABLERO PARA BREAKER ENCHUFABLE 10 CIR BIFAS </t>
  </si>
  <si>
    <t>PT730005U</t>
  </si>
  <si>
    <t xml:space="preserve">TABLERO PARA BREAKER ENCHUFABLE 12 CIR MONOF </t>
  </si>
  <si>
    <t>PT730005B</t>
  </si>
  <si>
    <t xml:space="preserve">TABLERO PARA BREAKER ENCHUFABLE 12 CIR BIFAS </t>
  </si>
  <si>
    <t>PT730009U</t>
  </si>
  <si>
    <t xml:space="preserve">TABLERO ENCHUFABLE 2 CIR. MONOFASICO DE SOBR </t>
  </si>
  <si>
    <t>PT730009B</t>
  </si>
  <si>
    <t xml:space="preserve">TABLERO ENCHUFABLE 2 CIR. BIFASICO DE SOBREP </t>
  </si>
  <si>
    <t>PT730011B</t>
  </si>
  <si>
    <t xml:space="preserve">TABLERO PARA BREAKER ENCHUFABLE SOBREPONER 4CIR BIFASICO </t>
  </si>
  <si>
    <t>PT730011U</t>
  </si>
  <si>
    <t>TABLERO PARA BREAKER ENCHUFABLE SOBREPONER 4CIR MONOFASICO</t>
  </si>
  <si>
    <t>PT730000UN</t>
  </si>
  <si>
    <t>PT730000BN</t>
  </si>
  <si>
    <t>PT730001UN</t>
  </si>
  <si>
    <t>PT730001BN</t>
  </si>
  <si>
    <t>PT730002UN</t>
  </si>
  <si>
    <t>PT730002BN</t>
  </si>
  <si>
    <t>TABLERO PARA BREAKER ENCHUFABLE 6 CIR BIFASICO 220V NEGRO</t>
  </si>
  <si>
    <t>PT730003UN</t>
  </si>
  <si>
    <t>PT730003BN</t>
  </si>
  <si>
    <t>PT730004UN</t>
  </si>
  <si>
    <t>PT730004BN</t>
  </si>
  <si>
    <t>PT730005UN</t>
  </si>
  <si>
    <t>PT730005BN</t>
  </si>
  <si>
    <t>PT730015TC</t>
  </si>
  <si>
    <t>TABLERO INDUSTRIAL DE BAJA TENSION ENCH. TRIF 6 CIR. CON TOTALIZADOR</t>
  </si>
  <si>
    <t xml:space="preserve">PT730012TC </t>
  </si>
  <si>
    <t>TABLERO INDUSTRIAL DE BAJA TENSION ENCH. TRIF 12 CIR. CON TOTALIZADOR</t>
  </si>
  <si>
    <t xml:space="preserve">PT730012TS </t>
  </si>
  <si>
    <t>TABLERO INDUSTRIAL DE BAJA TENSION ENCH. TRIF 12 CIR. SIN TOTALIZADOR</t>
  </si>
  <si>
    <t xml:space="preserve">PT730013TS </t>
  </si>
  <si>
    <t>TABLERO INDUSTRIAL DE BAJA TENSION ENCH. TRIF 18 CIR. SIN TOTALIZADOR</t>
  </si>
  <si>
    <t>PT730014TS</t>
  </si>
  <si>
    <t>TABLERO INDUSTRIAL DE BAJA TENSION ENCH. TRIF 24 CIR. SIN TOTALIZADOR</t>
  </si>
  <si>
    <t>PT730016BS</t>
  </si>
  <si>
    <t>TABLERO INDUSTRIAL DE BAJA TENSION ENCH. BIF 8 CIR. SIN TOTALIZADOR</t>
  </si>
  <si>
    <t>PT730017BS</t>
  </si>
  <si>
    <t>TABLERO INDUSTRIAL DE BAJA TENSION ENCH. BIF 12 CIR. SIN TOTALIZADOR</t>
  </si>
  <si>
    <t>PT730018BS</t>
  </si>
  <si>
    <t>TABLERO INDUSTRIAL DE BAJA TENSION ENCH. BIF 16 CIR. SIN TOTALIZADOR</t>
  </si>
  <si>
    <t>PT730019BS</t>
  </si>
  <si>
    <t>TABLERO INDUSTRIAL DE BAJA TENSION ENCH. BIF 20 CIR. SIN TOTALIZADOR</t>
  </si>
  <si>
    <t>PT730020BS</t>
  </si>
  <si>
    <t>TABLERO INDUSTRIAL DE BAJA TENSION ENCH. BIF 24 CIR. SIN TOTALIZADOR</t>
  </si>
  <si>
    <t>PT730311</t>
  </si>
  <si>
    <t xml:space="preserve">CAJA DE PROTECCION RIEL 1 Y 2 POSICIONES      </t>
  </si>
  <si>
    <t>PT730318</t>
  </si>
  <si>
    <t xml:space="preserve">CAJA DE PROTECCION RIEL 3 Y 4 POSICIONES      </t>
  </si>
  <si>
    <t>PT730331</t>
  </si>
  <si>
    <t>CAJA DE PROTECCION DE RIEL 6-8 POSICIONES DE SOBREPONER</t>
  </si>
  <si>
    <t>PT730331U</t>
  </si>
  <si>
    <t>TABLERO PARA BREAKER DE RIEL 6 CIRCUITOS MONOFASICO DE SOBREPONER</t>
  </si>
  <si>
    <t>PT730331B</t>
  </si>
  <si>
    <t>TABLERO PARA BREAKER DE RIEL 6 CIRCUITOS BIFASICO DE SOBREPONER</t>
  </si>
  <si>
    <t>PT730331T</t>
  </si>
  <si>
    <t>TABLERO PARA BREAKER DE RIEL 6 CIRCUITOS TRIFASICO DE SOBREPONER</t>
  </si>
  <si>
    <t>PT730332U</t>
  </si>
  <si>
    <t>TABLERO PARA BREAKER DE RIEL 8C MONOFASICO DE SOBREPONER</t>
  </si>
  <si>
    <t>PT730332B</t>
  </si>
  <si>
    <t>TABLERO PARA BREAKER DE RIEL 8C BIFASICO DE SOBREPONER</t>
  </si>
  <si>
    <t>PT730333U</t>
  </si>
  <si>
    <t xml:space="preserve">TABLERO PARA BREAKER DE RIEL 4C MONOFASICO DE SOBREPONER </t>
  </si>
  <si>
    <t>PT730333B</t>
  </si>
  <si>
    <t>TABLERO PARA BREAKER DE RIEL 4C BIFASICO DE SOBREPONER</t>
  </si>
  <si>
    <t>PT730334U</t>
  </si>
  <si>
    <t>TABLERO DE PROTECCION RIEL 8C MONOFASICO HERMETICO IP66</t>
  </si>
  <si>
    <t>PT730334B</t>
  </si>
  <si>
    <t>TABLERO DE PROTECCION RIEL 8C BIFASICO HERMETICO IP66</t>
  </si>
  <si>
    <t>PT730335U</t>
  </si>
  <si>
    <t>TABLERO DE PROTECCION RIEL 12C MONOFASICO HERMETICO IP66</t>
  </si>
  <si>
    <t>PT730335B</t>
  </si>
  <si>
    <t>TABLERO DE PROTECCION RIEL 12C BIFASICO HERMETICO IP66</t>
  </si>
  <si>
    <t>PT730335T</t>
  </si>
  <si>
    <t>TABLERO DE PROTECCION RIEL 12C TRIFASICO HERMETICO IP66</t>
  </si>
  <si>
    <t>PT730336</t>
  </si>
  <si>
    <t xml:space="preserve">CAJA COMBINADORA RIEL 12 POSICIONES PARA SISTEMAS SOLARES </t>
  </si>
  <si>
    <t>PT730300U</t>
  </si>
  <si>
    <t xml:space="preserve">TABLERO PARA BREAKER DE RIEL 4C 75A MONOFASI </t>
  </si>
  <si>
    <t>PT730300B</t>
  </si>
  <si>
    <t xml:space="preserve">TABLERO PARA BREAKER DE RIEL 4C 75A BIFASICO </t>
  </si>
  <si>
    <t>PT730301U</t>
  </si>
  <si>
    <t xml:space="preserve">TABLERO PARA BREAKER DE RIEL 6C 75A MONOFASI </t>
  </si>
  <si>
    <t>PT730301B</t>
  </si>
  <si>
    <t xml:space="preserve">TABLERO PARA BREAKER DE RIEL 6C 75A BIFASICO </t>
  </si>
  <si>
    <t>PT730301T</t>
  </si>
  <si>
    <t xml:space="preserve">TABLERO PARA BREAKER DE RIEL 6C 75A TRIFASIC </t>
  </si>
  <si>
    <t>PT730302U</t>
  </si>
  <si>
    <t xml:space="preserve">TABLERO PARA BREAKER DE RIEL 8C 75A MONOFASI </t>
  </si>
  <si>
    <t>PT730302B</t>
  </si>
  <si>
    <t xml:space="preserve">TABLERO PARA BREAKER DE RIEL 8C 75A BIFASICO </t>
  </si>
  <si>
    <t>PT730306T</t>
  </si>
  <si>
    <t xml:space="preserve">TABLERO PARA BREAKER DE RIEL 9C 75A TRIFASIC </t>
  </si>
  <si>
    <t>PT730303U</t>
  </si>
  <si>
    <t xml:space="preserve">TABLERO PARA BREAKER DE RIEL 12C 75A MONOFAS </t>
  </si>
  <si>
    <t>PT730303B</t>
  </si>
  <si>
    <t xml:space="preserve">TABLERO PARA BREAKER DE RIEL 12C 100A BIFASI </t>
  </si>
  <si>
    <t>PT730303T</t>
  </si>
  <si>
    <t xml:space="preserve">TABLERO PARA BREAKER DE RIEL 12C 75A TRIFASI </t>
  </si>
  <si>
    <t>PT730310B</t>
  </si>
  <si>
    <t>TABLERO PARA BREAKER DE RIEL 12C-75A BIFASICO P/TOTAL</t>
  </si>
  <si>
    <t>PT730310T</t>
  </si>
  <si>
    <t>TABLERO PARA BREAKER DE RIEL 12C-75A TRIFASICO P/TOTAL</t>
  </si>
  <si>
    <t>PT730304B</t>
  </si>
  <si>
    <t xml:space="preserve">TABLERO PARA BREAKER DE RIEL 18C 100A BIFASI </t>
  </si>
  <si>
    <t>PT730304T</t>
  </si>
  <si>
    <t xml:space="preserve">TABLERO PARA BREAKER DE RIEL 18C 75A TRIFASI </t>
  </si>
  <si>
    <t>PT730305B</t>
  </si>
  <si>
    <t>TABLERO PARA BREAKER DE RIEL 24C 75A BIFASICO - 3SD5-24</t>
  </si>
  <si>
    <t>PT730305T</t>
  </si>
  <si>
    <t>TABLERO PARA BREAKER DE RIEL 24C 75A TRIFASICO</t>
  </si>
  <si>
    <t>PT730300UN</t>
  </si>
  <si>
    <t>TABLERO PARA BREAKER DE RIEL 4C 75AMONOFASI</t>
  </si>
  <si>
    <t>PT730300BN</t>
  </si>
  <si>
    <t>PT730301UN</t>
  </si>
  <si>
    <t>PT730301BN</t>
  </si>
  <si>
    <t>PT730301TN</t>
  </si>
  <si>
    <t>PT730302UN</t>
  </si>
  <si>
    <t xml:space="preserve">TABLERO PARA BREAKER DE RIEL 8C 100A MONOFAS </t>
  </si>
  <si>
    <t>PT730302BN</t>
  </si>
  <si>
    <t>PT730303UN</t>
  </si>
  <si>
    <t xml:space="preserve">TABLERO PARA BREAKER DE RIEL 12C 100A MONOFA </t>
  </si>
  <si>
    <t>PT730303BN</t>
  </si>
  <si>
    <t>PT730303TN</t>
  </si>
  <si>
    <t>PT730304BN</t>
  </si>
  <si>
    <t>PT730304TN</t>
  </si>
  <si>
    <t>PT734317</t>
  </si>
  <si>
    <t xml:space="preserve">TABLERO RIEL C/PUERTA 18C BIF 125A-240V - 20 </t>
  </si>
  <si>
    <t>PT734320</t>
  </si>
  <si>
    <t xml:space="preserve">TABLERO RIEL C/PUERTA 24C TRIF 125A-240V - 2 </t>
  </si>
  <si>
    <t>PT734321</t>
  </si>
  <si>
    <t xml:space="preserve">TABLERO RIEL C/PUERTA 30C TRIF 225A-240V - 2 </t>
  </si>
  <si>
    <t>PT730320</t>
  </si>
  <si>
    <t xml:space="preserve">SUPLEMENTO TABLERO DE RIEL                   </t>
  </si>
  <si>
    <t>PT730319</t>
  </si>
  <si>
    <t xml:space="preserve">SUPLEMENTO TABLERO ENCHUFABLE                </t>
  </si>
  <si>
    <t>PT730323</t>
  </si>
  <si>
    <t>VISOR TABLERO DISTRIBUCION UNIV 2C Y 4C ENC. Y 6 - 8C RIEL</t>
  </si>
  <si>
    <t>PT730324</t>
  </si>
  <si>
    <t>VISOR TABLERO DISTRIBUCION UNIV 6C Y 8C ENC. Y 10C - 12C RIEL</t>
  </si>
  <si>
    <t>PT730322</t>
  </si>
  <si>
    <t>VISOR TABLERO DISTRIBUCION UNIV 2C ENCHUFABLE Y 4C RIEL</t>
  </si>
  <si>
    <t>PT730330</t>
  </si>
  <si>
    <t>VISOR TABLERO INDUSTRIAL ENCHUFABLE</t>
  </si>
  <si>
    <t>PT730328</t>
  </si>
  <si>
    <t>VISOR TABLERO ENCHUFABLE DE SOBREPONER 2C</t>
  </si>
  <si>
    <t>PT730325</t>
  </si>
  <si>
    <t>VISOR TABLERO DISTRIBUCION UNIV 12C ENC, 18C RIEL</t>
  </si>
  <si>
    <t>PP730023</t>
  </si>
  <si>
    <t>TAPA TABLERO SOBREPONER ENCHUFABLE 4C</t>
  </si>
  <si>
    <t>PP730015</t>
  </si>
  <si>
    <t>TAPA TABLERO ENCHUFABLE 2 CIRCUITOS</t>
  </si>
  <si>
    <t>PP730004</t>
  </si>
  <si>
    <t xml:space="preserve">TAPA TABLERO ENCHUFABLE 4 CIRCUITOS          </t>
  </si>
  <si>
    <t>PP730004N</t>
  </si>
  <si>
    <t xml:space="preserve">TAPA TABLERO ENCHUFABLE 4 CIRCUITOS NEGRA    </t>
  </si>
  <si>
    <t>PP730005</t>
  </si>
  <si>
    <t xml:space="preserve">TAPA TABLERO ENCHUFABLE 6Y8 CIRCUITOS        </t>
  </si>
  <si>
    <t>PP730005N</t>
  </si>
  <si>
    <t xml:space="preserve">TAPA TABLERO ENCHUFABLE 6Y8 CIRCUITOS NEGRAS </t>
  </si>
  <si>
    <t>PP730006</t>
  </si>
  <si>
    <t xml:space="preserve">TAPA TABLERO ENCHUFABLE 10Y12 CIRCUITOS      </t>
  </si>
  <si>
    <t>PP730006N</t>
  </si>
  <si>
    <t xml:space="preserve">TAPA TABLERO ENCHUFABLE 10Y12 CIRCUITOS NEGR </t>
  </si>
  <si>
    <t>PP730025</t>
  </si>
  <si>
    <t>TAPA TABLERO INDUSTRIAL 6 Y 12 CIRCUITOS P/TOTALIZADOR</t>
  </si>
  <si>
    <t>PP730024</t>
  </si>
  <si>
    <t>TAPA TABLERO INDUSTRIAL 12,18 Y 24 CIRCUITOS S/TOTALIZADOR</t>
  </si>
  <si>
    <t>PP730016</t>
  </si>
  <si>
    <t>TAPA TABLERO RIEL 4 CIRCUITOS</t>
  </si>
  <si>
    <t>PP730007</t>
  </si>
  <si>
    <t xml:space="preserve">TAPA TABLERO RIEL 6Y8 CIRCUITOS              </t>
  </si>
  <si>
    <t>PP730007N</t>
  </si>
  <si>
    <t xml:space="preserve">TAPA TABLERO  RIEL 6Y8 CIRCUITOS NEGRA       </t>
  </si>
  <si>
    <t>PP730008</t>
  </si>
  <si>
    <t xml:space="preserve">TAPA TABLERO  RIEL 12 CIRCUITOS              </t>
  </si>
  <si>
    <t>PP730008N</t>
  </si>
  <si>
    <t xml:space="preserve">TAPA TABLERO  RIEL 12 CIRCUITOS NEGRA        </t>
  </si>
  <si>
    <t>PP730009</t>
  </si>
  <si>
    <t xml:space="preserve">TAPA TABLERO  RIEL 18 CIRCUITOS              </t>
  </si>
  <si>
    <t>PP730009N</t>
  </si>
  <si>
    <t xml:space="preserve">TAPA TABLERO  RIEL 18 CIRCUITOS NEGRA        </t>
  </si>
  <si>
    <t>PP734000</t>
  </si>
  <si>
    <t xml:space="preserve">KIT ACCESORIOS TE-2U                         </t>
  </si>
  <si>
    <t>PP734001</t>
  </si>
  <si>
    <t xml:space="preserve">KIT ACCESORIOS TE-4U                         </t>
  </si>
  <si>
    <t>PP734002</t>
  </si>
  <si>
    <t xml:space="preserve">KIT ACCESORIOS TE-4B                         </t>
  </si>
  <si>
    <t>PP734003</t>
  </si>
  <si>
    <t xml:space="preserve">KIT ACCESORIOS TE-6U                         </t>
  </si>
  <si>
    <t>PP734004</t>
  </si>
  <si>
    <t xml:space="preserve">KIT ACCESORIOS TE-6B                         </t>
  </si>
  <si>
    <t>PP734005</t>
  </si>
  <si>
    <t xml:space="preserve">KIT ACCESORIOS TE-8U                         </t>
  </si>
  <si>
    <t>PP734006</t>
  </si>
  <si>
    <t xml:space="preserve">KIT ACCESORIOS TE-8B                         </t>
  </si>
  <si>
    <t>PP734007</t>
  </si>
  <si>
    <t xml:space="preserve">KIT ACCESORIOS TE-10U                        </t>
  </si>
  <si>
    <t>PP734008</t>
  </si>
  <si>
    <t xml:space="preserve">KIT ACCESORIOS TE-10B                        </t>
  </si>
  <si>
    <t>PP734009</t>
  </si>
  <si>
    <t xml:space="preserve">KIT ACCESORIOS TE-12U                        </t>
  </si>
  <si>
    <t>PP734010</t>
  </si>
  <si>
    <t xml:space="preserve">KIT ACCESORIOS TE-12B                        </t>
  </si>
  <si>
    <t>PP734011</t>
  </si>
  <si>
    <t xml:space="preserve">KIT ACCESORIOS TR-4B                         </t>
  </si>
  <si>
    <t>PP734012</t>
  </si>
  <si>
    <t xml:space="preserve">KIT ACCESORIOS TR-4U                         </t>
  </si>
  <si>
    <t>PP734013</t>
  </si>
  <si>
    <t xml:space="preserve">KIT ACCESORIOS TR-6B                         </t>
  </si>
  <si>
    <t>PP734014</t>
  </si>
  <si>
    <t xml:space="preserve">KIT ACCESORIOS TR-6U                         </t>
  </si>
  <si>
    <t>PP734015</t>
  </si>
  <si>
    <t xml:space="preserve">KIT ACCESORIOS TR-6T                         </t>
  </si>
  <si>
    <t>PP734016</t>
  </si>
  <si>
    <t xml:space="preserve">KIT ACCESORIOS TR-8B                         </t>
  </si>
  <si>
    <t>PP734017</t>
  </si>
  <si>
    <t xml:space="preserve">KIT ACCESORIOS TR-8U                         </t>
  </si>
  <si>
    <t>PP734018</t>
  </si>
  <si>
    <t xml:space="preserve">KIT ACCESORIOS TR-12B                        </t>
  </si>
  <si>
    <t>PP734019</t>
  </si>
  <si>
    <t xml:space="preserve">KIT ACCESORIOS TR-12U                        </t>
  </si>
  <si>
    <t>PP734020</t>
  </si>
  <si>
    <t xml:space="preserve">KIT ACCESORIOS TR-12T                        </t>
  </si>
  <si>
    <t>PP734021</t>
  </si>
  <si>
    <t xml:space="preserve">KIT ACCESORIOS TR-18B                        </t>
  </si>
  <si>
    <t>PP734022</t>
  </si>
  <si>
    <t xml:space="preserve">KIT ACCESORIOS TR-18T                        </t>
  </si>
  <si>
    <t>PP734039</t>
  </si>
  <si>
    <t xml:space="preserve">KIT ACCESORIOS TR-24B                        </t>
  </si>
  <si>
    <t>PP734040</t>
  </si>
  <si>
    <t xml:space="preserve">KIT ACCESORIOS TR-24T                        </t>
  </si>
  <si>
    <t>PT349379</t>
  </si>
  <si>
    <t>BREAKER PARA RIEL 1P 16A-6KA - 3SB1-63N</t>
  </si>
  <si>
    <t>PT349380</t>
  </si>
  <si>
    <t>BREAKER PARA RIEL 1P 20A-6KA - 3SB1-63N</t>
  </si>
  <si>
    <t>PT349381</t>
  </si>
  <si>
    <t>BREAKER PARA RIEL 1P 32A-6KA - 3SB1-63N</t>
  </si>
  <si>
    <t>PT349382</t>
  </si>
  <si>
    <t>BREAKER PARA RIEL 1P 40A-6KA - 3SB1-63N</t>
  </si>
  <si>
    <t>PT349383</t>
  </si>
  <si>
    <t>BREAKER PARA RIEL 1P 50A-4.5KA - 3SB1-63N</t>
  </si>
  <si>
    <t>PT349384</t>
  </si>
  <si>
    <t>BREAKER PARA RIEL 1P 63A-4.5KA - 3SB1-63N</t>
  </si>
  <si>
    <t>PT349393</t>
  </si>
  <si>
    <t>BREAKER PARA RIEL 2P 16A-6KA - 3SB1-63N</t>
  </si>
  <si>
    <t>PT349394</t>
  </si>
  <si>
    <t>BREAKER PARA RIEL 2P 20A-6KA - 3SB1-63N</t>
  </si>
  <si>
    <t>PT349385</t>
  </si>
  <si>
    <t>BREAKER PARA RIEL 2P 32A-6KA - 3SB1-63N</t>
  </si>
  <si>
    <t>PT349386</t>
  </si>
  <si>
    <t>BREAKER PARA RIEL 2P 40A-6KA - 3SB1-63N</t>
  </si>
  <si>
    <t>PT349387</t>
  </si>
  <si>
    <t>BREAKER PARA RIEL 2P 50A-4.5KA - 3SB1-63N</t>
  </si>
  <si>
    <t>PT349388</t>
  </si>
  <si>
    <t>BREAKER PARA RIEL 2P 63A-4.5KA - 3SB1-63N</t>
  </si>
  <si>
    <t>PT349389</t>
  </si>
  <si>
    <t>BREAKER PARA RIEL 3P 32A-6KA - 3SB1-63N</t>
  </si>
  <si>
    <t>PT349395</t>
  </si>
  <si>
    <t>BREAKER PARA RIEL 3P 16A-6KA - 3SB1-63N</t>
  </si>
  <si>
    <t>PT349396</t>
  </si>
  <si>
    <t>BREAKER PARA RIEL 3P 20A-6KA - 3SB1-63N</t>
  </si>
  <si>
    <t>PT349390</t>
  </si>
  <si>
    <t>BREAKER PARA RIEL 3P 40A-6KA - 3SB1-63N</t>
  </si>
  <si>
    <t>PT349391</t>
  </si>
  <si>
    <t>BREAKER PARA RIEL 3P 50A-4.5KA - 3SB1-63N</t>
  </si>
  <si>
    <t>PT349392</t>
  </si>
  <si>
    <t>BREAKER PARA RIEL 3P 63A-4.5KA - 3SB1-63N</t>
  </si>
  <si>
    <t>PT349361M1</t>
  </si>
  <si>
    <t>BREAKER PARA RIEL 1-POLO 16A-10KA</t>
  </si>
  <si>
    <t>PT349362M1</t>
  </si>
  <si>
    <t>BREAKER PARA RIEL 1-POLO 20A-10KA</t>
  </si>
  <si>
    <t>PT349363M1</t>
  </si>
  <si>
    <t>BREAKER PARA RIEL 1-POLO 32A-10KA</t>
  </si>
  <si>
    <t>PT349364M1</t>
  </si>
  <si>
    <t>BREAKER PARA RIEL 1-POLO 40A-10KA</t>
  </si>
  <si>
    <t>PT349365M1</t>
  </si>
  <si>
    <t>BREAKER PARA RIEL 1-POLO 50A-10KA</t>
  </si>
  <si>
    <t>PT349366M1</t>
  </si>
  <si>
    <t>BREAKER PARA RIEL 1-POLO 63A-10KA</t>
  </si>
  <si>
    <t>PT349367M1</t>
  </si>
  <si>
    <t>BREAKER PARA RIEL 2 -POLO 16A-10KA</t>
  </si>
  <si>
    <t>PT349368M1</t>
  </si>
  <si>
    <t>BREAKER PARA RIEL 2 -POLO 20A-10KA</t>
  </si>
  <si>
    <t>PT349369M1</t>
  </si>
  <si>
    <t>BREAKER PARA RIEL 2 -POLO 32A-10KA</t>
  </si>
  <si>
    <t>PT349370M1</t>
  </si>
  <si>
    <t>BREAKER PARA RIEL 2 -POLO 40A-10KA</t>
  </si>
  <si>
    <t>PT349371M1</t>
  </si>
  <si>
    <t>BREAKER PARA RIEL 2 -POLO 50A-10KA</t>
  </si>
  <si>
    <t>PT349372M1</t>
  </si>
  <si>
    <t>BREAKER PARA RIEL 2 -POLO 63A-10KA</t>
  </si>
  <si>
    <t>PT349373M1</t>
  </si>
  <si>
    <t>BREAKER PARA RIEL 3 -POLO 16A-10KA</t>
  </si>
  <si>
    <t>PT349374M1</t>
  </si>
  <si>
    <t>BREAKER PARA RIEL 3 -POLO 20A-10KA</t>
  </si>
  <si>
    <t>PT349375M1</t>
  </si>
  <si>
    <t>BREAKER PARA RIEL 3 -POLO 32A-10KA</t>
  </si>
  <si>
    <t>PT349376M1</t>
  </si>
  <si>
    <t>BREAKER PARA RIEL 3 -POLO 40A-10KA</t>
  </si>
  <si>
    <t>PT349377M1</t>
  </si>
  <si>
    <t>BREAKER PARA RIEL 3 -POLO 50A-10KA</t>
  </si>
  <si>
    <t>PT349378M1</t>
  </si>
  <si>
    <t>BREAKER PARA RIEL 3 -POLO 63A-10KA</t>
  </si>
  <si>
    <t>PT349306E</t>
  </si>
  <si>
    <t>BREAKER ENCHUFABLE 1P 16A-10KA/6KA-ETM12-L.</t>
  </si>
  <si>
    <t>PT349307E</t>
  </si>
  <si>
    <t>BREAKER ENCHUFABLE 1P20A-10KA/6KA-ETM12-L.</t>
  </si>
  <si>
    <t>PT349308E</t>
  </si>
  <si>
    <t>BREAKER ENCHUFABLE 1P32A–10KA/6KA-ETM12-L.</t>
  </si>
  <si>
    <t>PT349309E</t>
  </si>
  <si>
    <t>BREAKER ENCHUFABLE 1P40A-10KA/6KA-ETM12-M.</t>
  </si>
  <si>
    <t>PT349310E</t>
  </si>
  <si>
    <t>BREAKER ENCHUFABLE 1P50A-10KA/6KA-ETM12-M.</t>
  </si>
  <si>
    <t>PT349311E</t>
  </si>
  <si>
    <t>BREAKER ENCHUFABLE 1P63A-10KA/6KA-ETM12-M.</t>
  </si>
  <si>
    <t>PT349312E</t>
  </si>
  <si>
    <t>BREAKER ENCHUFABLE 2P16A-10KA/6KA-ETM12-L.</t>
  </si>
  <si>
    <t>PT349313E</t>
  </si>
  <si>
    <t>BREAKER ENCHUFABLE 2P20A-10KA/6KA-ETM12-L.</t>
  </si>
  <si>
    <t>PT349314E</t>
  </si>
  <si>
    <t>BREAKER ENCHUFABLE 2P32A-10KA/6KA-ETM12-L.</t>
  </si>
  <si>
    <t>PT349315E</t>
  </si>
  <si>
    <t>BREAKER ENCHUFABLE 2P40A-10KA/6KA-ETM12-M.</t>
  </si>
  <si>
    <t>PT349316E</t>
  </si>
  <si>
    <t>BREAKER ENCHUFABLE 2P50A-10KA/6KAETM12-M.</t>
  </si>
  <si>
    <t>PT349317E</t>
  </si>
  <si>
    <t>BREAKER ENCHUFABLE 2P63A-10KA/6KAETM12-M.</t>
  </si>
  <si>
    <t>PT349332E</t>
  </si>
  <si>
    <t>BREAKER ENCHUFABLE 3P 16A-10KA/6KA ETM12-L.</t>
  </si>
  <si>
    <t>PT349333E</t>
  </si>
  <si>
    <t>BREAKER ENCHUFABLE 3P 20A-10KA/6KA ETM12-L.</t>
  </si>
  <si>
    <t>PT349334E</t>
  </si>
  <si>
    <t>BREAKER ENCHUFABLE 3P 32A-10KA/6KA ETM12-L.</t>
  </si>
  <si>
    <t>PT349335E</t>
  </si>
  <si>
    <t>BREAKER ENCHUFABLE 3P 40A-10KA/6KA ETM12-M.</t>
  </si>
  <si>
    <t>PT349336E</t>
  </si>
  <si>
    <t>BREAKER ENCHUFABLE 3P 50A-10KA/6KA ETM12-M.</t>
  </si>
  <si>
    <t>PT349337E</t>
  </si>
  <si>
    <t>BREAKER ENCHUFABLE 3P 63A-10KA/6KA ETM12-M.</t>
  </si>
  <si>
    <t>PT349397</t>
  </si>
  <si>
    <t>BREAKER RESID 30-MA RIEL 1P+N 20A/120V/415V/</t>
  </si>
  <si>
    <t>PT349398</t>
  </si>
  <si>
    <t>BREAKER RESID 30-MA RIEL 1P+N 32A/120V/415V/</t>
  </si>
  <si>
    <t>PT349399</t>
  </si>
  <si>
    <t>BREAKER RESID 30-MA RIEL 1P+N 40A/120V/415V/</t>
  </si>
  <si>
    <t>PT350313</t>
  </si>
  <si>
    <t>BREAKER INDUSTRIAL VARIABLE 3P 16-160A-25K/4</t>
  </si>
  <si>
    <t>PT350300</t>
  </si>
  <si>
    <t>BREAKER TOTALIZADOR MCCB 3P/40A/25KA - SGM6-125M</t>
  </si>
  <si>
    <t>PT350301</t>
  </si>
  <si>
    <t>BREAKER TOTALIZADOR MCCB 3P/50A/25KA - SGM6-125M</t>
  </si>
  <si>
    <t>PT350302</t>
  </si>
  <si>
    <t>BREAKER TOTALIZADOR MCCB 3P/60A/25KA - SGM6-125M</t>
  </si>
  <si>
    <t>PT350303</t>
  </si>
  <si>
    <t>BREAKER TOTALIZADOR MCCB 3P/70A/25KA - SGM6-125M</t>
  </si>
  <si>
    <t>PT350304</t>
  </si>
  <si>
    <t>BREAKER TOTALIZADOR MCCB 3P/80A/25KA - SGM6-125M</t>
  </si>
  <si>
    <t>PT350305</t>
  </si>
  <si>
    <t>BREAKER TOTALIZADOR MCCB 3P/100A/25KA - SGM6-125M</t>
  </si>
  <si>
    <t>PT350306</t>
  </si>
  <si>
    <t>BREAKER TOTALIZADOR MCCB 3P/125A/25KA - SGM6-125M</t>
  </si>
  <si>
    <t>PT350318</t>
  </si>
  <si>
    <t xml:space="preserve">BREAKER TOTALIZADOR MCCB 3P/150A/25KA - SGM6-250L </t>
  </si>
  <si>
    <t>PT350319</t>
  </si>
  <si>
    <t>BREAKER TOTALIZADOR MCCB 3P/175A/25KA - SGM6-250L</t>
  </si>
  <si>
    <t>PT350320</t>
  </si>
  <si>
    <t>BREAKER TOTALIZADOR MCCB 3P/200A/25KA - SGM6-250L</t>
  </si>
  <si>
    <t>PT350321</t>
  </si>
  <si>
    <t>BREAKER TOTALIZADOR MCCB 3P/225A/25KA - SGM6-250L</t>
  </si>
  <si>
    <t>PT350322</t>
  </si>
  <si>
    <t>BREAKER TOTALIZADOR MCCB 3P/250A/25KA - SGM6-250L</t>
  </si>
  <si>
    <t xml:space="preserve">PT350313            </t>
  </si>
  <si>
    <t>BREAKER INDUSTRIAL VARIABLE 3P 16-160A-25K/415V-3SM28 </t>
  </si>
  <si>
    <t>PT842300N</t>
  </si>
  <si>
    <t xml:space="preserve">CINTA AISLANTE ELÉCTRICA DE PVC 5 MTS NEGRA  </t>
  </si>
  <si>
    <t>PT842300B</t>
  </si>
  <si>
    <t xml:space="preserve">CINTA AISLANTE ELÉCTRICA DE PVC 5 MTS BLANCA </t>
  </si>
  <si>
    <t>PT842300A</t>
  </si>
  <si>
    <t xml:space="preserve">CINTA AISLANTE ELÉCTRICA DE PVC 5 MTS AZUL - </t>
  </si>
  <si>
    <t>PT842300Y</t>
  </si>
  <si>
    <t xml:space="preserve">CINTA AISLANTE ELÉCTRICA DE PVC 5 MTS AMARIL </t>
  </si>
  <si>
    <t>PT842300R</t>
  </si>
  <si>
    <t xml:space="preserve">CINTA AISLANTE ELÉCTRICA DE PVC 5 MTS ROJA - </t>
  </si>
  <si>
    <t>PT842300V</t>
  </si>
  <si>
    <t xml:space="preserve">CINTA AISLANTE ELÉCTRICA DE PVC 5 MTS VERDE  </t>
  </si>
  <si>
    <t>PT842306</t>
  </si>
  <si>
    <t xml:space="preserve">CINTA  AISLANTE ELÉCTRICA DE PVC 20 MTS NEGR </t>
  </si>
  <si>
    <t>PT842307</t>
  </si>
  <si>
    <t xml:space="preserve">CINTA AISLANTE ELÉCTRICA DE PVC 15 MTS NEGRA </t>
  </si>
  <si>
    <t>PT842307A</t>
  </si>
  <si>
    <t xml:space="preserve">CINTA AISLANTE ELÉCTRICA DE PVC 15 MTS AZUL  </t>
  </si>
  <si>
    <t>PT842307V</t>
  </si>
  <si>
    <t xml:space="preserve">CINTA AISLANTE ELÉCTRICA DE PVC 15 MTS VERDE </t>
  </si>
  <si>
    <t>PT842307R</t>
  </si>
  <si>
    <t xml:space="preserve">CINTA AISLANTE ELÉCTRICA DE PVC 15 MTS ROJA  </t>
  </si>
  <si>
    <t>PT842307B</t>
  </si>
  <si>
    <t xml:space="preserve">CINTA AISLANTE ELÉCTRICA DE PVC 15 MTS BLANC </t>
  </si>
  <si>
    <t>PT842307Y</t>
  </si>
  <si>
    <t xml:space="preserve">CINTA AISLANTE ELÉCTRICA DE PVC 15 MTS AMARI </t>
  </si>
  <si>
    <t>PT842301</t>
  </si>
  <si>
    <t>DISPENSADOR CINTAS AISLANTES CILES</t>
  </si>
  <si>
    <t>PT850300</t>
  </si>
  <si>
    <t xml:space="preserve">CONECTOR BIMETALICO DE PIN CU-AL 12-AWG 20A  </t>
  </si>
  <si>
    <t>PT850301</t>
  </si>
  <si>
    <t xml:space="preserve">CONECTOR BIMETALICO DE PIN CU-AL 10-AWG 30A- </t>
  </si>
  <si>
    <t>PT850302</t>
  </si>
  <si>
    <t xml:space="preserve">CONECTOR BIMETALICO DE PIN CU-AL 8-AWG 40A-P </t>
  </si>
  <si>
    <t>PT850303</t>
  </si>
  <si>
    <t xml:space="preserve">CONECTOR BIMETALICO DE PIN CU-AL 6-AWG 50A-P </t>
  </si>
  <si>
    <t>PT850304</t>
  </si>
  <si>
    <t xml:space="preserve">CONECTOR BIMETALICO DE PIN CU-AL 4-AWG 65A-P </t>
  </si>
  <si>
    <t>PT850305</t>
  </si>
  <si>
    <t xml:space="preserve">CONECTOR BIMETALICO DE PIN CU-AL 2-AWG 90A-P </t>
  </si>
  <si>
    <t>PT850367</t>
  </si>
  <si>
    <t>CONECTOR BIMETALICO DE PIN CU-AL 1/0-AWG 120A-PBL-50</t>
  </si>
  <si>
    <t>PT850320</t>
  </si>
  <si>
    <t xml:space="preserve">CONECTOR BIMETALICO PALA 6-AWG 50A-DTL-1-10  </t>
  </si>
  <si>
    <t>PT850321</t>
  </si>
  <si>
    <t xml:space="preserve">CONECTOR BIMETALICO PALA 4-AWG 65A-DTL-1-16  </t>
  </si>
  <si>
    <t>PT850322</t>
  </si>
  <si>
    <t xml:space="preserve">CONECTOR BIMETALICO PALA 2-AWG 90A-DTL-1-25  </t>
  </si>
  <si>
    <t>PT850324</t>
  </si>
  <si>
    <t xml:space="preserve">CONECTOR BIMETALICO PALA 1/0 120A-DTL-1-50   </t>
  </si>
  <si>
    <t>PT850325</t>
  </si>
  <si>
    <t xml:space="preserve">CONECTOR BIMETALICO PALA 2/0 135A-DTL-1-70   </t>
  </si>
  <si>
    <t>PT850326</t>
  </si>
  <si>
    <t xml:space="preserve">CONECTOR BIMETALICO PALA 3/0 155A- DTL-1-80  </t>
  </si>
  <si>
    <t>PT850327</t>
  </si>
  <si>
    <t xml:space="preserve">CONECTOR BIMETALICO PALA 4/0 180A-DTL-1-95   </t>
  </si>
  <si>
    <t>PT850328</t>
  </si>
  <si>
    <t xml:space="preserve">CONECTOR BIMETALICO PALA 250 MCM  205A-DTL-1 </t>
  </si>
  <si>
    <t>PT850329</t>
  </si>
  <si>
    <t xml:space="preserve">CONECTOR BIMETALICO PALA 300 MCM 235A- DTL 1 </t>
  </si>
  <si>
    <t>PT850330</t>
  </si>
  <si>
    <t xml:space="preserve">CONECTOR BIMETALICO PALA 350 MCM 250A- DTL-1 </t>
  </si>
  <si>
    <t>PT850332</t>
  </si>
  <si>
    <t xml:space="preserve">CONECTOR BIMETALICO PALA 500 MCM 310A- DTL-1 </t>
  </si>
  <si>
    <t>PT850306</t>
  </si>
  <si>
    <t xml:space="preserve">CONECTOR BIMETALICO DE OJO CU-AL 6-AWG 50A-D </t>
  </si>
  <si>
    <t>PT850307</t>
  </si>
  <si>
    <t xml:space="preserve">CONECTOR BIMETALICO DE OJO CU-AL 4-AWG 65A-D </t>
  </si>
  <si>
    <t>PT850308</t>
  </si>
  <si>
    <t xml:space="preserve">CONECTOR BIMETALICO DE OJO CU-AL 2-AWG 90A-D </t>
  </si>
  <si>
    <t>PT850309</t>
  </si>
  <si>
    <t xml:space="preserve">CONECTOR BIMETALICO DE OJO CU-AL 1/0-AWG 120 </t>
  </si>
  <si>
    <t>PT850310</t>
  </si>
  <si>
    <t xml:space="preserve">CONECTOR BIMETALICO DE OJO CU-AL 2/0-AWG 135 </t>
  </si>
  <si>
    <t>PT850311</t>
  </si>
  <si>
    <t xml:space="preserve">CONECTOR BIMETALICO DE OJO CU-AL 4/0-AWG 180 </t>
  </si>
  <si>
    <t>PT850312</t>
  </si>
  <si>
    <t xml:space="preserve">CONECTOR BIMETALICO DE OJO CU-AL 250 MCM-205 </t>
  </si>
  <si>
    <t>PT850313</t>
  </si>
  <si>
    <t xml:space="preserve">CONECTOR BIMETALICO DE OJO CU-AL 350 MCM-250 </t>
  </si>
  <si>
    <t>PT850315</t>
  </si>
  <si>
    <t xml:space="preserve">CONECTOR BIMETALICO DE OJO CU-AL 500 MCM-310 </t>
  </si>
  <si>
    <t>PT850380</t>
  </si>
  <si>
    <t xml:space="preserve">CONECTOR BIMETALICO 6-AWG 50A-DTL-2S-10 PARA </t>
  </si>
  <si>
    <t>PT850381</t>
  </si>
  <si>
    <t xml:space="preserve">CONECTOR BIMETALICO 4-AWG 65A-DTL-2S-16 PARA </t>
  </si>
  <si>
    <t>PT850382</t>
  </si>
  <si>
    <t xml:space="preserve">CONECTOR BIMETALICO 2-AWG 90A-DTL-2S-25 PARA </t>
  </si>
  <si>
    <t>PT850383</t>
  </si>
  <si>
    <t xml:space="preserve">CONECTOR BIMETALICO 1/0 120A-DTL-2S-50 PARA  </t>
  </si>
  <si>
    <t>PT850384</t>
  </si>
  <si>
    <t xml:space="preserve">CONECTOR BIMETALICO 2/0 135A-DTL-2S-70 PARA  </t>
  </si>
  <si>
    <t>PT850386</t>
  </si>
  <si>
    <t xml:space="preserve">CONECTOR BIMETALICO 4/0 180A-DTL-2S-95 PARA  </t>
  </si>
  <si>
    <t>PT850387</t>
  </si>
  <si>
    <t xml:space="preserve">CONECTOR BIMETALICO 250 MCM  205A-DTL-2S-120 </t>
  </si>
  <si>
    <t>PT850388</t>
  </si>
  <si>
    <t xml:space="preserve">CONECTOR BIMETALICO 350 MCM 250A- DTL-2S-165 </t>
  </si>
  <si>
    <t>PT850389</t>
  </si>
  <si>
    <t xml:space="preserve">CONECTOR BIMETALICO 500 MCM 310A- DTL-2S-240 </t>
  </si>
  <si>
    <t xml:space="preserve">PT850390         </t>
  </si>
  <si>
    <t>CONECTOR DE COMPRESION COBRE TERMINAL DE UN OJO 8 AWG-CL 3/16-8.</t>
  </si>
  <si>
    <t xml:space="preserve">PT850391      </t>
  </si>
  <si>
    <t>CONECTOR DE COMPRESION COBRE TERMINAL DE UN OJO 6 AWG-CL 1-4/6</t>
  </si>
  <si>
    <t>PT850392</t>
  </si>
  <si>
    <t>CONECTOR DE COMPRESION COBRE TERMINAL DE UN OJO 4 AWG-CL 1-4/4.</t>
  </si>
  <si>
    <t>PT850393</t>
  </si>
  <si>
    <t>CONECTOR DE COMPRESION COBRE TERMINAL DE UN OJO 2 AWG-CL 5/16-2.</t>
  </si>
  <si>
    <t>PT850394</t>
  </si>
  <si>
    <t>CONECTOR DE COMPRESION COBRE TERMINAL DE UN OJO 1/0 AWG-CL 3/8-1/0.</t>
  </si>
  <si>
    <t xml:space="preserve">PT850395       </t>
  </si>
  <si>
    <t>CONECTOR DE COMPRESION COBRE TERMINAL DE UN OJO 2/0 AWG-CL 3/8-2/0</t>
  </si>
  <si>
    <t xml:space="preserve">PT850397     </t>
  </si>
  <si>
    <t>CONECTOR DE COMPRESION COBRE TERMINAL DE UN OJO 4/0 AWG-CL 1/2-4/0.</t>
  </si>
  <si>
    <t>PT144014</t>
  </si>
  <si>
    <t xml:space="preserve">CAJA RECTANGULAR 2X4 PLASTICA RETIE.         </t>
  </si>
  <si>
    <t>PT144014P</t>
  </si>
  <si>
    <t>CAJA CONDUIT STD 2"X4" PLUS</t>
  </si>
  <si>
    <t>PT144015</t>
  </si>
  <si>
    <t xml:space="preserve">CAJA CUADRADA 4 X 4 PLASTICA RETIE           </t>
  </si>
  <si>
    <t>PT144016</t>
  </si>
  <si>
    <t xml:space="preserve">CAJA OCTOGONAL PLASTICA RETIE                </t>
  </si>
  <si>
    <t>PT130012</t>
  </si>
  <si>
    <t xml:space="preserve">CAJA +TAPA 2X4 REFORZADA                     </t>
  </si>
  <si>
    <t>PT130019</t>
  </si>
  <si>
    <t xml:space="preserve">CAJA + TAPA CUADRADA 4X4 REFORZADA           </t>
  </si>
  <si>
    <t>PT130022</t>
  </si>
  <si>
    <t xml:space="preserve">CAJA + TAPA OCTOGONAL REFORZADA              </t>
  </si>
  <si>
    <t>PT130011</t>
  </si>
  <si>
    <t xml:space="preserve">CAJA RECTANGULAR 2X4 REFORZADA SIN TAPA      </t>
  </si>
  <si>
    <t>PT130018</t>
  </si>
  <si>
    <t xml:space="preserve">CAJA CUADRADA 4X4 REFORZADA SIN TAPA         </t>
  </si>
  <si>
    <t>PT130021</t>
  </si>
  <si>
    <t xml:space="preserve">CAJA OCTOGONAL REFORZADA SIN TAPA            </t>
  </si>
  <si>
    <t>PT630000</t>
  </si>
  <si>
    <t xml:space="preserve">CAJA HERMÉTICA 10X10                         </t>
  </si>
  <si>
    <t>PT630001</t>
  </si>
  <si>
    <t xml:space="preserve">CAJA 2X4 PARA CANALETA                       </t>
  </si>
  <si>
    <t>PT630002</t>
  </si>
  <si>
    <t xml:space="preserve">CAJA HERMÉTICA 14X18                         </t>
  </si>
  <si>
    <t>PT630003</t>
  </si>
  <si>
    <t xml:space="preserve">CAJA HERMÉTICA 17X22                         </t>
  </si>
  <si>
    <t>PT630011</t>
  </si>
  <si>
    <t>CAJA HERMÉTICA 14X18 TAPA TRANSPARENTE</t>
  </si>
  <si>
    <t>PT630012</t>
  </si>
  <si>
    <t>CAJA HERMÉTICA 14X18 CON RIEL Y TAPA TRANSPARENTE</t>
  </si>
  <si>
    <t>PT630013</t>
  </si>
  <si>
    <t>CAJA HERMÉTICA 17X22 CON TAPA TRANSPARENTE</t>
  </si>
  <si>
    <t>PT630014</t>
  </si>
  <si>
    <t>CAJA HERMÉTICA 17X22 CON RIEL Y TAPA TRANSPARENTE</t>
  </si>
  <si>
    <t>PT130000B</t>
  </si>
  <si>
    <t xml:space="preserve">TAPA RECTANGULAR 2X4" PLASTICA BLANCA        </t>
  </si>
  <si>
    <t>PT130001B</t>
  </si>
  <si>
    <t xml:space="preserve">TAPA REDONDA 4" PLASTICA BLANCA              </t>
  </si>
  <si>
    <t>PT130002B</t>
  </si>
  <si>
    <t xml:space="preserve">TAPA CUADRADA 4X4" PLASTICA BLANCA           </t>
  </si>
  <si>
    <t>PT130003B</t>
  </si>
  <si>
    <t xml:space="preserve">TAPA SUPLEMENTO 4X4" PLASTICA BLANCA         </t>
  </si>
  <si>
    <t>PT130000G</t>
  </si>
  <si>
    <t xml:space="preserve">TAPA RECTANGULAR 2X4" PLASTICA GRIS        </t>
  </si>
  <si>
    <t>PT130001G</t>
  </si>
  <si>
    <t xml:space="preserve">TAPA REDONDA 4" PLASTICA GRIS              </t>
  </si>
  <si>
    <t>PT130002G</t>
  </si>
  <si>
    <t xml:space="preserve">TAPA CUADRADA 4X4" PLASTICA GRIS           </t>
  </si>
  <si>
    <t>PT130003G</t>
  </si>
  <si>
    <t xml:space="preserve">TAPA SUPLEMENTO 4X4" PLASTICA GRIS         </t>
  </si>
  <si>
    <t>PT130010</t>
  </si>
  <si>
    <t xml:space="preserve">TAPA CAJA RECTANGULAR 2X4 REFORZADA          </t>
  </si>
  <si>
    <t>PT130017</t>
  </si>
  <si>
    <t xml:space="preserve">TAPA CAJA CUADRADA 4X4 REFORZADA             </t>
  </si>
  <si>
    <t>PT130020</t>
  </si>
  <si>
    <t>TAPA CAJA OCTOGONAL REFORZADA</t>
  </si>
  <si>
    <t>PT130004</t>
  </si>
  <si>
    <t>CONECTOR CONDUIT DE CAMPANA 1/2"</t>
  </si>
  <si>
    <t>PT130005</t>
  </si>
  <si>
    <t>CONECTOR CONDUIT DE CAMPANA 3/4"</t>
  </si>
  <si>
    <t>PT130006</t>
  </si>
  <si>
    <t>UNION CONDUIT DE 1/2"</t>
  </si>
  <si>
    <t>PT130007</t>
  </si>
  <si>
    <t xml:space="preserve">UNION CONDUIT DE 3/4"                        </t>
  </si>
  <si>
    <t>PT130004LH</t>
  </si>
  <si>
    <t xml:space="preserve">CONECTOR CONDUIT DE CAMPANA 1/2" GRIS LIBRE DE HALOGENO                                                                                                                        </t>
  </si>
  <si>
    <t>PT130005LH</t>
  </si>
  <si>
    <t>CONECTOR CONDUIT DE CAMPANA 3/4" GRIS LIBRE DE HALOGENO</t>
  </si>
  <si>
    <t>PT130006LH</t>
  </si>
  <si>
    <t>UNION CONDUIT DE 1/2" GRIS LIBRE DE HALOGENO</t>
  </si>
  <si>
    <t>PT130007LH</t>
  </si>
  <si>
    <t>UNION CONDUIT DE 3/4" GRIS LIBRE DE HALOGENO</t>
  </si>
  <si>
    <t>PT130013</t>
  </si>
  <si>
    <t>CONECTOR CONDUIT DE ROSCA 1/2" CON CONTRATUERCA</t>
  </si>
  <si>
    <t>PT130014</t>
  </si>
  <si>
    <t>CONECTOR CONDUIT DE ROSCA 3/4" CON CONTRATUERCA</t>
  </si>
  <si>
    <t>PT130015</t>
  </si>
  <si>
    <t>CONECTOR CONDUIT DE ROSCA 1" CON TUERCA</t>
  </si>
  <si>
    <t>PT130013LH</t>
  </si>
  <si>
    <t>CONECTOR CONDUIT DE ROSCA 1/2" SCH40 CON TUERCA LIBRE DE HALOGENOS</t>
  </si>
  <si>
    <t>PT130014LH</t>
  </si>
  <si>
    <t>CONECTOR CONDUIT DE ROSCA 3/4" SCH40 CON TUERCA LIBRE DE HALOGENOS</t>
  </si>
  <si>
    <t>PT130015LH</t>
  </si>
  <si>
    <t>CONECTOR CONDUIT DE ROSCA 1" SCH40 CON TUERCA LIBRE DE HALOGENOS</t>
  </si>
  <si>
    <t>PT630007S</t>
  </si>
  <si>
    <t xml:space="preserve">CAJA DOBLE FONDO CONDUIT 10X10X6.8 CM SIN PLACA </t>
  </si>
  <si>
    <t>PT130027</t>
  </si>
  <si>
    <t>TAPA DE EXTENSION MEDIA ALTURA 2CMS PARA CAJA REF 2X4"</t>
  </si>
  <si>
    <t>PT130028</t>
  </si>
  <si>
    <t>TAPA DE EXTENSION DOBLE ALTURA 3.5CMS PARA CAJA REF 2X4"</t>
  </si>
  <si>
    <t>PT130029</t>
  </si>
  <si>
    <t>TAPA DE EXTENSION MEDIA ALTURA 2CMS PARA CAJA REF 4X4"</t>
  </si>
  <si>
    <t>PT130030</t>
  </si>
  <si>
    <t>TAPA DE EXTENSION DOBLE ALTURA 3.5CMS PARA CAJA REF 4X4"</t>
  </si>
  <si>
    <t>PT130031</t>
  </si>
  <si>
    <t xml:space="preserve">TAPA DE EXTENSION MEDIA ALTURA 2 CMS PARA CAJA OCTOGONAL REFORZADA  </t>
  </si>
  <si>
    <t>PT130032</t>
  </si>
  <si>
    <t>TAPA DE EXTENSION DOBLE ALTURA 3.5CMS PARA CAJA OCTOGONAL REFORZADA</t>
  </si>
  <si>
    <t>PT130033</t>
  </si>
  <si>
    <t>TAPA DE EXTENSION TRIPLE ALTURA 5,0 CMS PARA CAJA REFORZADA 2*4</t>
  </si>
  <si>
    <t>PT130034</t>
  </si>
  <si>
    <t>TAPA DE EXTENSION TRIPLE ALTURA 5,0 CMS PARA CAJA REFORZADA 4*4</t>
  </si>
  <si>
    <t>PT630004S</t>
  </si>
  <si>
    <t>CAJA RITEL PUNTO DE ACCESO AL USUARI-PAU S/T</t>
  </si>
  <si>
    <t>PT630004C</t>
  </si>
  <si>
    <t>CAJA PAU RITEL CON TOMACTE INTERNO 30X50X7.7 CM</t>
  </si>
  <si>
    <t>PT630015</t>
  </si>
  <si>
    <t>CAJA PAU RITEL 30*30*7,5 CM S/T</t>
  </si>
  <si>
    <t>PT630005</t>
  </si>
  <si>
    <t>CAJA RETIE DE PASO 12X12 CM + TAPA</t>
  </si>
  <si>
    <t>PT630006</t>
  </si>
  <si>
    <t>CAJA RITEL DE PASO 12X12 CM + PLACA</t>
  </si>
  <si>
    <t>PT630007C</t>
  </si>
  <si>
    <t>CAJA DOBLE FONDO RETIE 10X10X6.8 CM + PLACA</t>
  </si>
  <si>
    <t>PT630008S</t>
  </si>
  <si>
    <t>CAJA TOMA DE USUARIO RITEL 10X10X5 CM SIN PLACA</t>
  </si>
  <si>
    <t>PT630008C</t>
  </si>
  <si>
    <t>CAJA TOMA DE USUARIO RITEL 10X10X5 CM + PLACA</t>
  </si>
  <si>
    <t>PT850377</t>
  </si>
  <si>
    <t xml:space="preserve">BORNA AL-CU AWG-2/0  -  NUG-2/0-1B           </t>
  </si>
  <si>
    <t>PT850378</t>
  </si>
  <si>
    <t xml:space="preserve">BORNA AL-CU AWG-4/0  -  NUG-4/0-1B           </t>
  </si>
  <si>
    <t>PT850379</t>
  </si>
  <si>
    <t xml:space="preserve">BORNA AL-CU AWG-250 MCM  -  NUG-250-1B       </t>
  </si>
  <si>
    <t>PT545319</t>
  </si>
  <si>
    <t xml:space="preserve">CONTROLADOR PANEL LED - 6W                   </t>
  </si>
  <si>
    <t>PT545320</t>
  </si>
  <si>
    <t xml:space="preserve">CONTROLADOR PANEL LED - 9W                   </t>
  </si>
  <si>
    <t>PT130008K</t>
  </si>
  <si>
    <t xml:space="preserve">GEL ANTIOXIDANTE X 300 GR                    </t>
  </si>
  <si>
    <t>PT130008</t>
  </si>
  <si>
    <t xml:space="preserve">GEL ANTIOXIDANTE CAPSULA                     </t>
  </si>
  <si>
    <t>PT144309B</t>
  </si>
  <si>
    <t xml:space="preserve">TOMACTE DOBLE 20A-125V T.AMER BLANCO S/PLACA </t>
  </si>
  <si>
    <t>PT144309N</t>
  </si>
  <si>
    <t xml:space="preserve">TOMACTE DOBLE 20A-125V T.AMER NEGRO S/PLACA  </t>
  </si>
  <si>
    <t>PT144313</t>
  </si>
  <si>
    <t>TOMACTE DOBLE RED REGULADA NAR 20A/125V-LD CON PLACA</t>
  </si>
  <si>
    <t>PT144317B</t>
  </si>
  <si>
    <t xml:space="preserve">TOMACTE DOBLE PATA TRABADA 20A-250V BLANCO-U </t>
  </si>
  <si>
    <t>PT044300</t>
  </si>
  <si>
    <t xml:space="preserve">TOMA DOBLE S.P TIPO AMERICANO POLO TIERRA 15 </t>
  </si>
  <si>
    <t>PT344300</t>
  </si>
  <si>
    <t xml:space="preserve">TOMA AEREA BLINDADO P/T 15A-125V U44/3S      </t>
  </si>
  <si>
    <t>PT344315</t>
  </si>
  <si>
    <t xml:space="preserve">TOMA AEREO CHINITO VINYL 15A.250-V C/P.T - U </t>
  </si>
  <si>
    <t>PT344316</t>
  </si>
  <si>
    <t xml:space="preserve">TOMA AEREO BLINDADO 2 POLOS 15A-125V U44/2S  </t>
  </si>
  <si>
    <t>PT344318</t>
  </si>
  <si>
    <t xml:space="preserve">TOMA AEREO CAUCHO C/POLO TIERRA 15A-125V U35 </t>
  </si>
  <si>
    <t>PT344319</t>
  </si>
  <si>
    <t xml:space="preserve">TOMA AEREO VINYL 2 POLOS 15A-125V U38/2S     </t>
  </si>
  <si>
    <t>PT344320</t>
  </si>
  <si>
    <t xml:space="preserve">TOMA AEREO VINYL C/POLO TIERRA 15A-125V U38/ </t>
  </si>
  <si>
    <t>PT144391N</t>
  </si>
  <si>
    <t xml:space="preserve">TOMACTE DOBLE INTEGRAL GFCI 20A-125V NEGRO - </t>
  </si>
  <si>
    <t>PT144391BC</t>
  </si>
  <si>
    <t>TOMACTE DOBLE INTEGRAL GFCI 20A-125V BLANCO - GLX-20A</t>
  </si>
  <si>
    <t>PT144399B</t>
  </si>
  <si>
    <t>TOMACTE DOBLE INTEGRAL GFCI 15A-125V BLANCO - GLX-15A</t>
  </si>
  <si>
    <t>PT144397B</t>
  </si>
  <si>
    <t xml:space="preserve">TOMACTE DOBLE INTEGRAL GFCI 20A-125V BLAN S/P - FSD-002                                                                                                                                                 </t>
  </si>
  <si>
    <t>PT144397N</t>
  </si>
  <si>
    <t>TOMACTE DOBLE INTEGRAL GFCI 20A-125V NEGRO S/P - FSD-002</t>
  </si>
  <si>
    <t>PT144393B</t>
  </si>
  <si>
    <t xml:space="preserve">TOMACTE DOBLE 15A-125V + 2 USB 4.2A BLANCO L </t>
  </si>
  <si>
    <t>PT144315</t>
  </si>
  <si>
    <t>TOMACTE DOBLE RED REGULADA NAR 20A/125V - LD SIN PLACA</t>
  </si>
  <si>
    <t>PT144312</t>
  </si>
  <si>
    <t xml:space="preserve">PLACA DOBLE INTEMPERIE CILES - JFSG-002      </t>
  </si>
  <si>
    <t>PT144400</t>
  </si>
  <si>
    <t>PLACA DOBLE INTEMPERIE PARA GFCI BLANCO</t>
  </si>
  <si>
    <t>PT144393N</t>
  </si>
  <si>
    <t>TOMACTE DOBLE 15A-125V + 2 USB 4.2A NEGRO LD-UR01</t>
  </si>
  <si>
    <t>PT144013BH</t>
  </si>
  <si>
    <t>TOMACTE DOBLE 15A-125V T.AMERICANO BLANCO S/PLACA - LD-3010</t>
  </si>
  <si>
    <t>PT244010</t>
  </si>
  <si>
    <t xml:space="preserve">PLAFON 43/16 RESINA                          </t>
  </si>
  <si>
    <t>PT244011</t>
  </si>
  <si>
    <t xml:space="preserve">PLAFON 4 1/2 CON BORNES E-27                 </t>
  </si>
  <si>
    <t>PT244012</t>
  </si>
  <si>
    <t>PLAFON PREMIUM</t>
  </si>
  <si>
    <t>PT764403</t>
  </si>
  <si>
    <t>PORTALAMPARA C/PASADOR E-27</t>
  </si>
  <si>
    <t>PT144011-B</t>
  </si>
  <si>
    <t xml:space="preserve">TOMACTE DOBLE 20A-125V T.AMERICANO BLANCO C/ </t>
  </si>
  <si>
    <t>PT144011N</t>
  </si>
  <si>
    <t xml:space="preserve">TOMACTE DOBLE 20A-125V T.AMERICANO NEGRO C/P </t>
  </si>
  <si>
    <t>PT144319B</t>
  </si>
  <si>
    <t xml:space="preserve">TOMACTE DOBLE PATA TRABADA 20A-250V C/PLACA  </t>
  </si>
  <si>
    <t>PT344001</t>
  </si>
  <si>
    <t xml:space="preserve">TOMACORRIENTE 3 POLOS 2X4" 50A/250V          </t>
  </si>
  <si>
    <t>PT344002</t>
  </si>
  <si>
    <t xml:space="preserve">TOMACORRIENTE 2 POLOS 20A/250V PATITRABADO   </t>
  </si>
  <si>
    <t>PT344003</t>
  </si>
  <si>
    <t xml:space="preserve">TOMACORRIENTE 3 POLOS 20A/250V               </t>
  </si>
  <si>
    <t>PT344004</t>
  </si>
  <si>
    <t xml:space="preserve">TOMACORRIENTE.3 POLOS S.P 50A/250V           </t>
  </si>
  <si>
    <t>PT344005</t>
  </si>
  <si>
    <t xml:space="preserve">TOMA CTE.3 POLOS 4X4 50A.                    </t>
  </si>
  <si>
    <t>PT344007</t>
  </si>
  <si>
    <t xml:space="preserve">TOMACORRIENTE 3 POLOS 4X4" 50A/250V P/PLASTI </t>
  </si>
  <si>
    <t>PT344007-T</t>
  </si>
  <si>
    <t xml:space="preserve">TOMACORRIENTE 3 POLOS 4X4" 50A/250V P/TROPIC </t>
  </si>
  <si>
    <t>PT545308</t>
  </si>
  <si>
    <t xml:space="preserve">PANEL LED REDONDO INCRUSTAR 3W               </t>
  </si>
  <si>
    <t>PT545310</t>
  </si>
  <si>
    <t xml:space="preserve">PANEL LED REDONDO INCRUSTAR 9W               </t>
  </si>
  <si>
    <t>PT545312</t>
  </si>
  <si>
    <t xml:space="preserve">PANEL LED REDONDO INCRUSTAR 18W              </t>
  </si>
  <si>
    <t>PT544308</t>
  </si>
  <si>
    <t xml:space="preserve">SENSOR EXTRAPLANO S.P. CIELO-TECHO 360°  - S </t>
  </si>
  <si>
    <t>PT544313</t>
  </si>
  <si>
    <t xml:space="preserve">SENSOR PRESENCIA INCRUST TIPO SUICHE 180° -  </t>
  </si>
  <si>
    <t>PT544314</t>
  </si>
  <si>
    <t xml:space="preserve">SENSOR PRESENCIA TIPO SOCKET 360° - ST451    </t>
  </si>
  <si>
    <t>PT544316</t>
  </si>
  <si>
    <t xml:space="preserve">SENSOR PRESENCIA 360° TECHO - ST07           </t>
  </si>
  <si>
    <t>PT544306</t>
  </si>
  <si>
    <t xml:space="preserve">DETECTOR FOTOELECTRICO DE HUMO HIBRIDO AC/DC </t>
  </si>
  <si>
    <t>PT753475-B</t>
  </si>
  <si>
    <t xml:space="preserve">PLACA TOMACTE DOBLE T.AMERICANA BLANCA       </t>
  </si>
  <si>
    <t>PT753475N</t>
  </si>
  <si>
    <t xml:space="preserve">PLACA TOMACTE DOBLE T.AMERICANA NEGRA        </t>
  </si>
  <si>
    <t>PT130300N</t>
  </si>
  <si>
    <t xml:space="preserve">PLACA TOMACTE DOBLE T. AMERICANA  NARANJA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</si>
</sst>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282828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82828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5D6975"/>
      </bottom>
      <diagonal/>
    </border>
    <border>
      <left style="thin">
        <color rgb="FF000000"/>
      </left>
      <right style="thin">
        <color rgb="FF000000"/>
      </right>
      <top/>
      <bottom style="medium">
        <color rgb="FF5D697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/>
  </cellStyleXfs>
  <cellXfs count="34">
    <xf numFmtId="0" fontId="0" fillId="0" borderId="0" xfId="0"/>
    <xf numFmtId="0" fontId="2" fillId="0" borderId="0" xfId="0" applyFont="1"/>
    <xf numFmtId="44" fontId="2" fillId="0" borderId="0" xfId="1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0" borderId="2" xfId="1" applyNumberFormat="1" applyFont="1" applyBorder="1" applyAlignment="1">
      <alignment horizontal="left" vertical="center"/>
    </xf>
    <xf numFmtId="164" fontId="0" fillId="0" borderId="0" xfId="1" applyNumberFormat="1" applyFont="1" applyBorder="1" applyAlignment="1">
      <alignment horizontal="left" vertical="center"/>
    </xf>
    <xf numFmtId="164" fontId="2" fillId="0" borderId="0" xfId="1" applyNumberFormat="1" applyFont="1" applyAlignment="1">
      <alignment horizontal="left" vertical="top"/>
    </xf>
    <xf numFmtId="164" fontId="3" fillId="0" borderId="2" xfId="1" applyNumberFormat="1" applyFont="1" applyBorder="1" applyAlignment="1">
      <alignment horizontal="left" vertical="top"/>
    </xf>
    <xf numFmtId="164" fontId="0" fillId="0" borderId="4" xfId="1" applyNumberFormat="1" applyFont="1" applyFill="1" applyBorder="1" applyAlignment="1"/>
    <xf numFmtId="1" fontId="4" fillId="0" borderId="5" xfId="0" applyNumberFormat="1" applyFont="1" applyBorder="1"/>
    <xf numFmtId="1" fontId="4" fillId="0" borderId="3" xfId="0" applyNumberFormat="1" applyFont="1" applyBorder="1"/>
    <xf numFmtId="164" fontId="3" fillId="0" borderId="6" xfId="1" applyNumberFormat="1" applyFont="1" applyBorder="1" applyAlignment="1">
      <alignment horizontal="center" vertical="center"/>
    </xf>
    <xf numFmtId="0" fontId="5" fillId="0" borderId="0" xfId="0" applyFont="1"/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/>
    </xf>
    <xf numFmtId="0" fontId="9" fillId="0" borderId="5" xfId="0" applyFont="1" applyBorder="1"/>
    <xf numFmtId="0" fontId="0" fillId="0" borderId="5" xfId="0" applyBorder="1"/>
    <xf numFmtId="0" fontId="11" fillId="0" borderId="2" xfId="0" applyFont="1" applyBorder="1" applyAlignment="1">
      <alignment horizontal="center" vertical="center"/>
    </xf>
    <xf numFmtId="0" fontId="11" fillId="0" borderId="2" xfId="0" applyNumberFormat="1" applyFont="1" applyBorder="1" applyAlignment="1">
      <alignment horizontal="center" vertical="center"/>
    </xf>
    <xf numFmtId="164" fontId="3" fillId="0" borderId="10" xfId="1" applyNumberFormat="1" applyFont="1" applyBorder="1" applyAlignment="1">
      <alignment horizontal="left" vertical="center"/>
    </xf>
    <xf numFmtId="164" fontId="3" fillId="0" borderId="10" xfId="1" applyNumberFormat="1" applyFont="1" applyBorder="1" applyAlignment="1">
      <alignment horizontal="left" vertical="top"/>
    </xf>
    <xf numFmtId="49" fontId="9" fillId="0" borderId="5" xfId="0" applyNumberFormat="1" applyFont="1" applyBorder="1"/>
    <xf numFmtId="49" fontId="0" fillId="0" borderId="5" xfId="0" applyNumberFormat="1" applyBorder="1"/>
    <xf numFmtId="164" fontId="10" fillId="0" borderId="5" xfId="1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1" xfId="0" applyBorder="1"/>
  </cellXfs>
  <cellStyles count="3">
    <cellStyle name="Moneda" xfId="1" builtinId="4"/>
    <cellStyle name="Normal" xfId="0" builtinId="0"/>
    <cellStyle name="Normal 2" xfId="2" xr:uid="{1C6CBC37-C542-4240-87C3-1AC773CE1096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family val="2"/>
        <scheme val="none"/>
      </font>
      <numFmt numFmtId="164" formatCode="_-&quot;$&quot;\ * #,##0_-;\-&quot;$&quot;\ * #,##0_-;_-&quot;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family val="2"/>
        <scheme val="none"/>
      </font>
      <numFmt numFmtId="164" formatCode="_-&quot;$&quot;\ * #,##0_-;\-&quot;$&quot;\ * #,##0_-;_-&quot;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family val="2"/>
        <scheme val="none"/>
      </font>
      <numFmt numFmtId="164" formatCode="_-&quot;$&quot;\ * #,##0_-;\-&quot;$&quot;\ * #,##0_-;_-&quot;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family val="2"/>
        <scheme val="none"/>
      </font>
      <numFmt numFmtId="164" formatCode="_-&quot;$&quot;\ * #,##0_-;\-&quot;$&quot;\ * #,##0_-;_-&quot;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family val="2"/>
        <scheme val="none"/>
      </font>
      <numFmt numFmtId="164" formatCode="_-&quot;$&quot;\ * #,##0_-;\-&quot;$&quot;\ * #,##0_-;_-&quot;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rgb="FF5D697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D6DB71-7582-4B06-BBD9-F7E256FBDC4F}" name="Tabla114" displayName="Tabla114" ref="A1:J775" totalsRowShown="0" headerRowDxfId="21" dataDxfId="19" headerRowBorderDxfId="20" tableBorderDxfId="18" totalsRowBorderDxfId="17">
  <autoFilter ref="A1:J775" xr:uid="{00000000-0009-0000-0100-000001000000}"/>
  <tableColumns count="10">
    <tableColumn id="3" xr3:uid="{352CF5E8-642B-4C10-9B07-FBE3769D484A}" name="REFERENCIA" dataDxfId="8"/>
    <tableColumn id="4" xr3:uid="{506E30FB-63C8-49B5-ACAF-7FF9E7F6D537}" name="DESCRIPCION" dataDxfId="7"/>
    <tableColumn id="1" xr3:uid="{07236312-8FD2-41F3-9C2F-2FA318E022BB}" name="PRECIO INSTALADOR (IVA INCLUIDO)" dataDxfId="16" dataCellStyle="Moneda">
      <calculatedColumnFormula>+Tabla114[[#This Row],[COSTO CON IVA]]/Tabla114[[#This Row],[UTILIDAD]]</calculatedColumnFormula>
    </tableColumn>
    <tableColumn id="2" xr3:uid="{36D47992-9298-42C2-A21C-264574011F92}" name="PRECIO TIENDA (IVA INCLUIDO)" dataDxfId="15" dataCellStyle="Moneda">
      <calculatedColumnFormula>+Tabla114[[#This Row],[PRECIO INSTALADOR (IVA INCLUIDO)]]-Tabla114[[#This Row],[DCTO TIENDA]]</calculatedColumnFormula>
    </tableColumn>
    <tableColumn id="10" xr3:uid="{9AC7E7DF-EE30-49D3-81B3-95FD0917C7C0}" name="PRECIO CLIENTE FINAL (IVA INCLUIDO)" dataDxfId="14" dataCellStyle="Moneda">
      <calculatedColumnFormula>+Tabla114[[#This Row],[PRECIO INSTALADOR (IVA INCLUIDO)]]/0.7</calculatedColumnFormula>
    </tableColumn>
    <tableColumn id="5" xr3:uid="{BA32E92B-263D-460B-B04C-C2FED82410CF}" name="UTILIDAD" dataDxfId="13"/>
    <tableColumn id="6" xr3:uid="{1A08A4EA-01EC-4345-B897-A415F3A3748F}" name="COSTO CON IVA" dataDxfId="12" dataCellStyle="Moneda"/>
    <tableColumn id="7" xr3:uid="{1BF05181-BB24-42E7-814A-313A5D768E06}" name="DCTO TIENDA" dataDxfId="11">
      <calculatedColumnFormula>+Tabla114[[#This Row],[PRECIO INSTALADOR (IVA INCLUIDO)]]*5%</calculatedColumnFormula>
    </tableColumn>
    <tableColumn id="8" xr3:uid="{B155309F-D8F7-4CA3-8620-74E9159C41D7}" name="Columna2" dataDxfId="10"/>
    <tableColumn id="9" xr3:uid="{C5430F9C-CF11-4394-8CC5-FCF63879940F}" name="COSTO" dataDxfId="9" dataCellStyle="Moneda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85103-C4B2-4B76-9396-5DB68A7D3EFA}">
  <dimension ref="A1:J775"/>
  <sheetViews>
    <sheetView showGridLines="0" tabSelected="1" view="pageBreakPreview" zoomScale="60" zoomScaleNormal="100" workbookViewId="0">
      <pane ySplit="1" topLeftCell="A710" activePane="bottomLeft" state="frozen"/>
      <selection activeCell="D1" sqref="D1"/>
      <selection pane="bottomLeft" activeCell="M727" sqref="M727"/>
    </sheetView>
  </sheetViews>
  <sheetFormatPr baseColWidth="10" defaultRowHeight="14.25" x14ac:dyDescent="0.2"/>
  <cols>
    <col min="1" max="1" width="21.42578125" style="4" customWidth="1"/>
    <col min="2" max="2" width="45.28515625" style="3" customWidth="1"/>
    <col min="3" max="5" width="22.7109375" style="2" customWidth="1"/>
    <col min="6" max="6" width="12" style="1" customWidth="1"/>
    <col min="7" max="7" width="15.42578125" style="1" customWidth="1"/>
    <col min="8" max="8" width="9.5703125" style="1" customWidth="1"/>
    <col min="9" max="9" width="2.5703125" style="1" customWidth="1"/>
    <col min="10" max="10" width="15.5703125" style="1" customWidth="1"/>
    <col min="11" max="16384" width="11.42578125" style="1"/>
  </cols>
  <sheetData>
    <row r="1" spans="1:10" s="17" customFormat="1" ht="30.75" thickBot="1" x14ac:dyDescent="0.25">
      <c r="A1" s="22" t="s">
        <v>9</v>
      </c>
      <c r="B1" s="21" t="s">
        <v>8</v>
      </c>
      <c r="C1" s="21" t="s">
        <v>7</v>
      </c>
      <c r="D1" s="21" t="s">
        <v>6</v>
      </c>
      <c r="E1" s="21" t="s">
        <v>5</v>
      </c>
      <c r="F1" s="20" t="s">
        <v>4</v>
      </c>
      <c r="G1" s="20" t="s">
        <v>3</v>
      </c>
      <c r="H1" s="19" t="s">
        <v>2</v>
      </c>
      <c r="I1" s="19" t="s">
        <v>1</v>
      </c>
      <c r="J1" s="18" t="s">
        <v>0</v>
      </c>
    </row>
    <row r="2" spans="1:10" ht="15" x14ac:dyDescent="0.25">
      <c r="A2" s="23" t="s">
        <v>10</v>
      </c>
      <c r="B2" s="24" t="s">
        <v>11</v>
      </c>
      <c r="C2" s="27">
        <f>+Tabla114[[#This Row],[COSTO CON IVA]]/Tabla114[[#This Row],[UTILIDAD]]</f>
        <v>4368</v>
      </c>
      <c r="D2" s="9">
        <f>+Tabla114[[#This Row],[PRECIO INSTALADOR (IVA INCLUIDO)]]-Tabla114[[#This Row],[DCTO TIENDA]]</f>
        <v>4149.6000000000004</v>
      </c>
      <c r="E2" s="9">
        <f>+Tabla114[[#This Row],[PRECIO INSTALADOR (IVA INCLUIDO)]]/0.7</f>
        <v>6240</v>
      </c>
      <c r="F2" s="8">
        <v>0.85</v>
      </c>
      <c r="G2" s="16">
        <f>+Tabla114[[#This Row],[COSTO]]*1.19</f>
        <v>3712.7999999999997</v>
      </c>
      <c r="H2" s="8">
        <f>+Tabla114[[#This Row],[PRECIO INSTALADOR (IVA INCLUIDO)]]*5%</f>
        <v>218.4</v>
      </c>
      <c r="I2" s="8"/>
      <c r="J2" s="7">
        <v>3120</v>
      </c>
    </row>
    <row r="3" spans="1:10" ht="15" x14ac:dyDescent="0.25">
      <c r="A3" s="23" t="s">
        <v>12</v>
      </c>
      <c r="B3" s="24" t="s">
        <v>13</v>
      </c>
      <c r="C3" s="27">
        <f>+Tabla114[[#This Row],[COSTO CON IVA]]/Tabla114[[#This Row],[UTILIDAD]]</f>
        <v>5005</v>
      </c>
      <c r="D3" s="9">
        <f>+Tabla114[[#This Row],[PRECIO INSTALADOR (IVA INCLUIDO)]]-Tabla114[[#This Row],[DCTO TIENDA]]</f>
        <v>4754.75</v>
      </c>
      <c r="E3" s="9">
        <f>+Tabla114[[#This Row],[PRECIO INSTALADOR (IVA INCLUIDO)]]/0.7</f>
        <v>7150</v>
      </c>
      <c r="F3" s="8">
        <v>0.85</v>
      </c>
      <c r="G3" s="16">
        <f>+Tabla114[[#This Row],[COSTO]]*1.19</f>
        <v>4254.25</v>
      </c>
      <c r="H3" s="8">
        <f>+Tabla114[[#This Row],[PRECIO INSTALADOR (IVA INCLUIDO)]]*5%</f>
        <v>250.25</v>
      </c>
      <c r="I3" s="8"/>
      <c r="J3" s="7">
        <v>3575</v>
      </c>
    </row>
    <row r="4" spans="1:10" ht="15" x14ac:dyDescent="0.25">
      <c r="A4" s="23" t="s">
        <v>14</v>
      </c>
      <c r="B4" s="24" t="s">
        <v>15</v>
      </c>
      <c r="C4" s="27">
        <f>+Tabla114[[#This Row],[COSTO CON IVA]]/Tabla114[[#This Row],[UTILIDAD]]</f>
        <v>4641</v>
      </c>
      <c r="D4" s="9">
        <f>+Tabla114[[#This Row],[PRECIO INSTALADOR (IVA INCLUIDO)]]-Tabla114[[#This Row],[DCTO TIENDA]]</f>
        <v>4408.95</v>
      </c>
      <c r="E4" s="9">
        <f>+Tabla114[[#This Row],[PRECIO INSTALADOR (IVA INCLUIDO)]]/0.7</f>
        <v>6630</v>
      </c>
      <c r="F4" s="8">
        <v>0.85</v>
      </c>
      <c r="G4" s="16">
        <f>+Tabla114[[#This Row],[COSTO]]*1.19</f>
        <v>3944.85</v>
      </c>
      <c r="H4" s="8">
        <f>+Tabla114[[#This Row],[PRECIO INSTALADOR (IVA INCLUIDO)]]*5%</f>
        <v>232.05</v>
      </c>
      <c r="I4" s="8"/>
      <c r="J4" s="7">
        <v>3315</v>
      </c>
    </row>
    <row r="5" spans="1:10" ht="15" x14ac:dyDescent="0.25">
      <c r="A5" s="23" t="s">
        <v>16</v>
      </c>
      <c r="B5" s="24" t="s">
        <v>17</v>
      </c>
      <c r="C5" s="27">
        <f>+Tabla114[[#This Row],[COSTO CON IVA]]/Tabla114[[#This Row],[UTILIDAD]]</f>
        <v>5005</v>
      </c>
      <c r="D5" s="9">
        <f>+Tabla114[[#This Row],[PRECIO INSTALADOR (IVA INCLUIDO)]]-Tabla114[[#This Row],[DCTO TIENDA]]</f>
        <v>4754.75</v>
      </c>
      <c r="E5" s="9">
        <f>+Tabla114[[#This Row],[PRECIO INSTALADOR (IVA INCLUIDO)]]/0.7</f>
        <v>7150</v>
      </c>
      <c r="F5" s="8">
        <v>0.85</v>
      </c>
      <c r="G5" s="16">
        <f>+Tabla114[[#This Row],[COSTO]]*1.19</f>
        <v>4254.25</v>
      </c>
      <c r="H5" s="8">
        <f>+Tabla114[[#This Row],[PRECIO INSTALADOR (IVA INCLUIDO)]]*5%</f>
        <v>250.25</v>
      </c>
      <c r="I5" s="8"/>
      <c r="J5" s="7">
        <v>3575</v>
      </c>
    </row>
    <row r="6" spans="1:10" ht="18" customHeight="1" x14ac:dyDescent="0.25">
      <c r="A6" s="23" t="s">
        <v>18</v>
      </c>
      <c r="B6" s="24" t="s">
        <v>19</v>
      </c>
      <c r="C6" s="27">
        <f>+Tabla114[[#This Row],[COSTO CON IVA]]/Tabla114[[#This Row],[UTILIDAD]]</f>
        <v>31813.599999999999</v>
      </c>
      <c r="D6" s="9">
        <f>+Tabla114[[#This Row],[PRECIO INSTALADOR (IVA INCLUIDO)]]-Tabla114[[#This Row],[DCTO TIENDA]]</f>
        <v>30222.92</v>
      </c>
      <c r="E6" s="9">
        <f>+Tabla114[[#This Row],[PRECIO INSTALADOR (IVA INCLUIDO)]]/0.7</f>
        <v>45448</v>
      </c>
      <c r="F6" s="8">
        <v>0.85</v>
      </c>
      <c r="G6" s="16">
        <f>+Tabla114[[#This Row],[COSTO]]*1.19</f>
        <v>27041.559999999998</v>
      </c>
      <c r="H6" s="8">
        <f>+Tabla114[[#This Row],[PRECIO INSTALADOR (IVA INCLUIDO)]]*5%</f>
        <v>1590.68</v>
      </c>
      <c r="I6" s="8"/>
      <c r="J6" s="7">
        <v>22724</v>
      </c>
    </row>
    <row r="7" spans="1:10" ht="15" x14ac:dyDescent="0.25">
      <c r="A7" s="23" t="s">
        <v>20</v>
      </c>
      <c r="B7" s="24" t="s">
        <v>21</v>
      </c>
      <c r="C7" s="27">
        <f>+Tabla114[[#This Row],[COSTO CON IVA]]/Tabla114[[#This Row],[UTILIDAD]]</f>
        <v>5778.4999999999991</v>
      </c>
      <c r="D7" s="9">
        <f>+Tabla114[[#This Row],[PRECIO INSTALADOR (IVA INCLUIDO)]]-Tabla114[[#This Row],[DCTO TIENDA]]</f>
        <v>5489.5749999999989</v>
      </c>
      <c r="E7" s="9">
        <f>+Tabla114[[#This Row],[PRECIO INSTALADOR (IVA INCLUIDO)]]/0.7</f>
        <v>8255</v>
      </c>
      <c r="F7" s="8">
        <v>0.85</v>
      </c>
      <c r="G7" s="16">
        <f>+Tabla114[[#This Row],[COSTO]]*1.19</f>
        <v>4911.7249999999995</v>
      </c>
      <c r="H7" s="8">
        <f>+Tabla114[[#This Row],[PRECIO INSTALADOR (IVA INCLUIDO)]]*5%</f>
        <v>288.92499999999995</v>
      </c>
      <c r="I7" s="8"/>
      <c r="J7" s="7">
        <v>4127.5</v>
      </c>
    </row>
    <row r="8" spans="1:10" ht="15" x14ac:dyDescent="0.25">
      <c r="A8" s="23" t="s">
        <v>22</v>
      </c>
      <c r="B8" s="24" t="s">
        <v>23</v>
      </c>
      <c r="C8" s="27">
        <f>+Tabla114[[#This Row],[COSTO CON IVA]]/Tabla114[[#This Row],[UTILIDAD]]</f>
        <v>8736</v>
      </c>
      <c r="D8" s="9">
        <f>+Tabla114[[#This Row],[PRECIO INSTALADOR (IVA INCLUIDO)]]-Tabla114[[#This Row],[DCTO TIENDA]]</f>
        <v>8299.2000000000007</v>
      </c>
      <c r="E8" s="9">
        <f>+Tabla114[[#This Row],[PRECIO INSTALADOR (IVA INCLUIDO)]]/0.7</f>
        <v>12480</v>
      </c>
      <c r="F8" s="8">
        <v>0.85</v>
      </c>
      <c r="G8" s="16">
        <f>+Tabla114[[#This Row],[COSTO]]*1.19</f>
        <v>7425.5999999999995</v>
      </c>
      <c r="H8" s="8">
        <f>+Tabla114[[#This Row],[PRECIO INSTALADOR (IVA INCLUIDO)]]*5%</f>
        <v>436.8</v>
      </c>
      <c r="I8" s="8"/>
      <c r="J8" s="7">
        <v>6240</v>
      </c>
    </row>
    <row r="9" spans="1:10" ht="15" x14ac:dyDescent="0.25">
      <c r="A9" s="23" t="s">
        <v>24</v>
      </c>
      <c r="B9" s="24" t="s">
        <v>25</v>
      </c>
      <c r="C9" s="27">
        <f>+Tabla114[[#This Row],[COSTO CON IVA]]/Tabla114[[#This Row],[UTILIDAD]]</f>
        <v>12339.6</v>
      </c>
      <c r="D9" s="9">
        <f>+Tabla114[[#This Row],[PRECIO INSTALADOR (IVA INCLUIDO)]]-Tabla114[[#This Row],[DCTO TIENDA]]</f>
        <v>11722.62</v>
      </c>
      <c r="E9" s="9">
        <f>+Tabla114[[#This Row],[PRECIO INSTALADOR (IVA INCLUIDO)]]/0.7</f>
        <v>17628</v>
      </c>
      <c r="F9" s="8">
        <v>0.85</v>
      </c>
      <c r="G9" s="16">
        <f>+Tabla114[[#This Row],[COSTO]]*1.19</f>
        <v>10488.66</v>
      </c>
      <c r="H9" s="8">
        <f>+Tabla114[[#This Row],[PRECIO INSTALADOR (IVA INCLUIDO)]]*5%</f>
        <v>616.98</v>
      </c>
      <c r="I9" s="8"/>
      <c r="J9" s="7">
        <v>8814</v>
      </c>
    </row>
    <row r="10" spans="1:10" ht="15" x14ac:dyDescent="0.25">
      <c r="A10" s="23" t="s">
        <v>26</v>
      </c>
      <c r="B10" s="24" t="s">
        <v>27</v>
      </c>
      <c r="C10" s="27">
        <f>+Tabla114[[#This Row],[COSTO CON IVA]]/Tabla114[[#This Row],[UTILIDAD]]</f>
        <v>6683.95</v>
      </c>
      <c r="D10" s="9">
        <f>+Tabla114[[#This Row],[PRECIO INSTALADOR (IVA INCLUIDO)]]-Tabla114[[#This Row],[DCTO TIENDA]]</f>
        <v>6349.7524999999996</v>
      </c>
      <c r="E10" s="9">
        <f>+Tabla114[[#This Row],[PRECIO INSTALADOR (IVA INCLUIDO)]]/0.7</f>
        <v>9548.5</v>
      </c>
      <c r="F10" s="8">
        <v>0.85</v>
      </c>
      <c r="G10" s="16">
        <f>+Tabla114[[#This Row],[COSTO]]*1.19</f>
        <v>5681.3575000000001</v>
      </c>
      <c r="H10" s="8">
        <f>+Tabla114[[#This Row],[PRECIO INSTALADOR (IVA INCLUIDO)]]*5%</f>
        <v>334.19749999999999</v>
      </c>
      <c r="I10" s="8"/>
      <c r="J10" s="7">
        <v>4774.25</v>
      </c>
    </row>
    <row r="11" spans="1:10" ht="15" x14ac:dyDescent="0.25">
      <c r="A11" s="23" t="s">
        <v>28</v>
      </c>
      <c r="B11" s="24" t="s">
        <v>29</v>
      </c>
      <c r="C11" s="27">
        <f>+Tabla114[[#This Row],[COSTO CON IVA]]/Tabla114[[#This Row],[UTILIDAD]]</f>
        <v>10301.200000000001</v>
      </c>
      <c r="D11" s="9">
        <f>+Tabla114[[#This Row],[PRECIO INSTALADOR (IVA INCLUIDO)]]-Tabla114[[#This Row],[DCTO TIENDA]]</f>
        <v>9786.1400000000012</v>
      </c>
      <c r="E11" s="9">
        <f>+Tabla114[[#This Row],[PRECIO INSTALADOR (IVA INCLUIDO)]]/0.7</f>
        <v>14716.000000000002</v>
      </c>
      <c r="F11" s="8">
        <v>0.85</v>
      </c>
      <c r="G11" s="16">
        <f>+Tabla114[[#This Row],[COSTO]]*1.19</f>
        <v>8756.02</v>
      </c>
      <c r="H11" s="8">
        <f>+Tabla114[[#This Row],[PRECIO INSTALADOR (IVA INCLUIDO)]]*5%</f>
        <v>515.06000000000006</v>
      </c>
      <c r="I11" s="8"/>
      <c r="J11" s="7">
        <v>7358</v>
      </c>
    </row>
    <row r="12" spans="1:10" ht="25.5" customHeight="1" x14ac:dyDescent="0.25">
      <c r="A12" s="23" t="s">
        <v>30</v>
      </c>
      <c r="B12" s="24" t="s">
        <v>31</v>
      </c>
      <c r="C12" s="27">
        <f>+Tabla114[[#This Row],[COSTO CON IVA]]/Tabla114[[#This Row],[UTILIDAD]]</f>
        <v>14560</v>
      </c>
      <c r="D12" s="9">
        <f>+Tabla114[[#This Row],[PRECIO INSTALADOR (IVA INCLUIDO)]]-Tabla114[[#This Row],[DCTO TIENDA]]</f>
        <v>13832</v>
      </c>
      <c r="E12" s="9">
        <f>+Tabla114[[#This Row],[PRECIO INSTALADOR (IVA INCLUIDO)]]/0.7</f>
        <v>20800</v>
      </c>
      <c r="F12" s="8">
        <v>0.85</v>
      </c>
      <c r="G12" s="16">
        <f>+Tabla114[[#This Row],[COSTO]]*1.19</f>
        <v>12376</v>
      </c>
      <c r="H12" s="8">
        <f>+Tabla114[[#This Row],[PRECIO INSTALADOR (IVA INCLUIDO)]]*5%</f>
        <v>728</v>
      </c>
      <c r="I12" s="8"/>
      <c r="J12" s="7">
        <v>10400</v>
      </c>
    </row>
    <row r="13" spans="1:10" ht="15" x14ac:dyDescent="0.25">
      <c r="A13" s="23" t="s">
        <v>32</v>
      </c>
      <c r="B13" s="24" t="s">
        <v>33</v>
      </c>
      <c r="C13" s="27">
        <f>+Tabla114[[#This Row],[COSTO CON IVA]]/Tabla114[[#This Row],[UTILIDAD]]</f>
        <v>6265.3499999999995</v>
      </c>
      <c r="D13" s="9">
        <f>+Tabla114[[#This Row],[PRECIO INSTALADOR (IVA INCLUIDO)]]-Tabla114[[#This Row],[DCTO TIENDA]]</f>
        <v>5952.0824999999995</v>
      </c>
      <c r="E13" s="9">
        <f>+Tabla114[[#This Row],[PRECIO INSTALADOR (IVA INCLUIDO)]]/0.7</f>
        <v>8950.5</v>
      </c>
      <c r="F13" s="8">
        <v>0.85</v>
      </c>
      <c r="G13" s="16">
        <f>+Tabla114[[#This Row],[COSTO]]*1.19</f>
        <v>5325.5474999999997</v>
      </c>
      <c r="H13" s="8">
        <f>+Tabla114[[#This Row],[PRECIO INSTALADOR (IVA INCLUIDO)]]*5%</f>
        <v>313.26749999999998</v>
      </c>
      <c r="I13" s="8"/>
      <c r="J13" s="7">
        <v>4475.25</v>
      </c>
    </row>
    <row r="14" spans="1:10" ht="15" x14ac:dyDescent="0.25">
      <c r="A14" s="23" t="s">
        <v>34</v>
      </c>
      <c r="B14" s="24" t="s">
        <v>35</v>
      </c>
      <c r="C14" s="27">
        <f>+Tabla114[[#This Row],[COSTO CON IVA]]/Tabla114[[#This Row],[UTILIDAD]]</f>
        <v>9418.5</v>
      </c>
      <c r="D14" s="9">
        <f>+Tabla114[[#This Row],[PRECIO INSTALADOR (IVA INCLUIDO)]]-Tabla114[[#This Row],[DCTO TIENDA]]</f>
        <v>8947.5750000000007</v>
      </c>
      <c r="E14" s="9">
        <f>+Tabla114[[#This Row],[PRECIO INSTALADOR (IVA INCLUIDO)]]/0.7</f>
        <v>13455</v>
      </c>
      <c r="F14" s="8">
        <v>0.85</v>
      </c>
      <c r="G14" s="16">
        <f>+Tabla114[[#This Row],[COSTO]]*1.19</f>
        <v>8005.7249999999995</v>
      </c>
      <c r="H14" s="8">
        <f>+Tabla114[[#This Row],[PRECIO INSTALADOR (IVA INCLUIDO)]]*5%</f>
        <v>470.92500000000001</v>
      </c>
      <c r="I14" s="8"/>
      <c r="J14" s="7">
        <v>6727.5</v>
      </c>
    </row>
    <row r="15" spans="1:10" ht="15" x14ac:dyDescent="0.25">
      <c r="A15" s="23" t="s">
        <v>36</v>
      </c>
      <c r="B15" s="24" t="s">
        <v>37</v>
      </c>
      <c r="C15" s="27">
        <f>+Tabla114[[#This Row],[COSTO CON IVA]]/Tabla114[[#This Row],[UTILIDAD]]</f>
        <v>13181.349999999999</v>
      </c>
      <c r="D15" s="9">
        <f>+Tabla114[[#This Row],[PRECIO INSTALADOR (IVA INCLUIDO)]]-Tabla114[[#This Row],[DCTO TIENDA]]</f>
        <v>12522.282499999999</v>
      </c>
      <c r="E15" s="9">
        <f>+Tabla114[[#This Row],[PRECIO INSTALADOR (IVA INCLUIDO)]]/0.7</f>
        <v>18830.5</v>
      </c>
      <c r="F15" s="8">
        <v>0.85</v>
      </c>
      <c r="G15" s="16">
        <f>+Tabla114[[#This Row],[COSTO]]*1.19</f>
        <v>11204.147499999999</v>
      </c>
      <c r="H15" s="8">
        <f>+Tabla114[[#This Row],[PRECIO INSTALADOR (IVA INCLUIDO)]]*5%</f>
        <v>659.0675</v>
      </c>
      <c r="I15" s="8"/>
      <c r="J15" s="7">
        <v>9415.25</v>
      </c>
    </row>
    <row r="16" spans="1:10" ht="15" x14ac:dyDescent="0.25">
      <c r="A16" s="23" t="s">
        <v>38</v>
      </c>
      <c r="B16" s="24" t="s">
        <v>39</v>
      </c>
      <c r="C16" s="27">
        <f>+Tabla114[[#This Row],[COSTO CON IVA]]/Tabla114[[#This Row],[UTILIDAD]]</f>
        <v>9941.75</v>
      </c>
      <c r="D16" s="9">
        <f>+Tabla114[[#This Row],[PRECIO INSTALADOR (IVA INCLUIDO)]]-Tabla114[[#This Row],[DCTO TIENDA]]</f>
        <v>9444.6625000000004</v>
      </c>
      <c r="E16" s="9">
        <f>+Tabla114[[#This Row],[PRECIO INSTALADOR (IVA INCLUIDO)]]/0.7</f>
        <v>14202.5</v>
      </c>
      <c r="F16" s="8">
        <v>0.85</v>
      </c>
      <c r="G16" s="16">
        <f>+Tabla114[[#This Row],[COSTO]]*1.19</f>
        <v>8450.4874999999993</v>
      </c>
      <c r="H16" s="8">
        <f>+Tabla114[[#This Row],[PRECIO INSTALADOR (IVA INCLUIDO)]]*5%</f>
        <v>497.08750000000003</v>
      </c>
      <c r="I16" s="8"/>
      <c r="J16" s="7">
        <v>7101.25</v>
      </c>
    </row>
    <row r="17" spans="1:10" ht="15" x14ac:dyDescent="0.25">
      <c r="A17" s="23" t="s">
        <v>40</v>
      </c>
      <c r="B17" s="24" t="s">
        <v>41</v>
      </c>
      <c r="C17" s="27">
        <f>+Tabla114[[#This Row],[COSTO CON IVA]]/Tabla114[[#This Row],[UTILIDAD]]</f>
        <v>9932.6500000000015</v>
      </c>
      <c r="D17" s="9">
        <f>+Tabla114[[#This Row],[PRECIO INSTALADOR (IVA INCLUIDO)]]-Tabla114[[#This Row],[DCTO TIENDA]]</f>
        <v>9436.0175000000017</v>
      </c>
      <c r="E17" s="9">
        <f>+Tabla114[[#This Row],[PRECIO INSTALADOR (IVA INCLUIDO)]]/0.7</f>
        <v>14189.500000000004</v>
      </c>
      <c r="F17" s="8">
        <v>0.85</v>
      </c>
      <c r="G17" s="16">
        <f>+Tabla114[[#This Row],[COSTO]]*1.19</f>
        <v>8442.7525000000005</v>
      </c>
      <c r="H17" s="8">
        <f>+Tabla114[[#This Row],[PRECIO INSTALADOR (IVA INCLUIDO)]]*5%</f>
        <v>496.63250000000011</v>
      </c>
      <c r="I17" s="8"/>
      <c r="J17" s="7">
        <v>7094.75</v>
      </c>
    </row>
    <row r="18" spans="1:10" ht="15" x14ac:dyDescent="0.25">
      <c r="A18" s="23" t="s">
        <v>42</v>
      </c>
      <c r="B18" s="24" t="s">
        <v>43</v>
      </c>
      <c r="C18" s="27">
        <f>+Tabla114[[#This Row],[COSTO CON IVA]]/Tabla114[[#This Row],[UTILIDAD]]</f>
        <v>9413.9500000000007</v>
      </c>
      <c r="D18" s="9">
        <f>+Tabla114[[#This Row],[PRECIO INSTALADOR (IVA INCLUIDO)]]-Tabla114[[#This Row],[DCTO TIENDA]]</f>
        <v>8943.2525000000005</v>
      </c>
      <c r="E18" s="9">
        <f>+Tabla114[[#This Row],[PRECIO INSTALADOR (IVA INCLUIDO)]]/0.7</f>
        <v>13448.500000000002</v>
      </c>
      <c r="F18" s="8">
        <v>0.85</v>
      </c>
      <c r="G18" s="16">
        <f>+Tabla114[[#This Row],[COSTO]]*1.19</f>
        <v>8001.8575000000001</v>
      </c>
      <c r="H18" s="8">
        <f>+Tabla114[[#This Row],[PRECIO INSTALADOR (IVA INCLUIDO)]]*5%</f>
        <v>470.69750000000005</v>
      </c>
      <c r="I18" s="8"/>
      <c r="J18" s="7">
        <v>6724.25</v>
      </c>
    </row>
    <row r="19" spans="1:10" ht="15" x14ac:dyDescent="0.25">
      <c r="A19" s="23" t="s">
        <v>44</v>
      </c>
      <c r="B19" s="24" t="s">
        <v>45</v>
      </c>
      <c r="C19" s="27">
        <f>+Tabla114[[#This Row],[COSTO CON IVA]]/Tabla114[[#This Row],[UTILIDAD]]</f>
        <v>9978.15</v>
      </c>
      <c r="D19" s="9">
        <f>+Tabla114[[#This Row],[PRECIO INSTALADOR (IVA INCLUIDO)]]-Tabla114[[#This Row],[DCTO TIENDA]]</f>
        <v>9479.2425000000003</v>
      </c>
      <c r="E19" s="9">
        <f>+Tabla114[[#This Row],[PRECIO INSTALADOR (IVA INCLUIDO)]]/0.7</f>
        <v>14254.5</v>
      </c>
      <c r="F19" s="8">
        <v>0.85</v>
      </c>
      <c r="G19" s="16">
        <f>+Tabla114[[#This Row],[COSTO]]*1.19</f>
        <v>8481.4274999999998</v>
      </c>
      <c r="H19" s="8">
        <f>+Tabla114[[#This Row],[PRECIO INSTALADOR (IVA INCLUIDO)]]*5%</f>
        <v>498.90750000000003</v>
      </c>
      <c r="I19" s="8"/>
      <c r="J19" s="7">
        <v>7127.25</v>
      </c>
    </row>
    <row r="20" spans="1:10" ht="15" x14ac:dyDescent="0.25">
      <c r="A20" s="23" t="s">
        <v>46</v>
      </c>
      <c r="B20" s="24" t="s">
        <v>47</v>
      </c>
      <c r="C20" s="27">
        <f>+Tabla114[[#This Row],[COSTO CON IVA]]/Tabla114[[#This Row],[UTILIDAD]]</f>
        <v>6415.5</v>
      </c>
      <c r="D20" s="9">
        <f>+Tabla114[[#This Row],[PRECIO INSTALADOR (IVA INCLUIDO)]]-Tabla114[[#This Row],[DCTO TIENDA]]</f>
        <v>6094.7250000000004</v>
      </c>
      <c r="E20" s="9">
        <f>+Tabla114[[#This Row],[PRECIO INSTALADOR (IVA INCLUIDO)]]/0.7</f>
        <v>9165</v>
      </c>
      <c r="F20" s="8">
        <v>0.85</v>
      </c>
      <c r="G20" s="16">
        <f>+Tabla114[[#This Row],[COSTO]]*1.19</f>
        <v>5453.1750000000002</v>
      </c>
      <c r="H20" s="8">
        <f>+Tabla114[[#This Row],[PRECIO INSTALADOR (IVA INCLUIDO)]]*5%</f>
        <v>320.77500000000003</v>
      </c>
      <c r="I20" s="8"/>
      <c r="J20" s="7">
        <v>4582.5</v>
      </c>
    </row>
    <row r="21" spans="1:10" ht="15" x14ac:dyDescent="0.25">
      <c r="A21" s="23" t="s">
        <v>48</v>
      </c>
      <c r="B21" s="24" t="s">
        <v>49</v>
      </c>
      <c r="C21" s="27">
        <f>+Tabla114[[#This Row],[COSTO CON IVA]]/Tabla114[[#This Row],[UTILIDAD]]</f>
        <v>10082.799999999999</v>
      </c>
      <c r="D21" s="9">
        <f>+Tabla114[[#This Row],[PRECIO INSTALADOR (IVA INCLUIDO)]]-Tabla114[[#This Row],[DCTO TIENDA]]</f>
        <v>9578.66</v>
      </c>
      <c r="E21" s="9">
        <f>+Tabla114[[#This Row],[PRECIO INSTALADOR (IVA INCLUIDO)]]/0.7</f>
        <v>14404</v>
      </c>
      <c r="F21" s="8">
        <v>0.85</v>
      </c>
      <c r="G21" s="16">
        <f>+Tabla114[[#This Row],[COSTO]]*1.19</f>
        <v>8570.3799999999992</v>
      </c>
      <c r="H21" s="8">
        <f>+Tabla114[[#This Row],[PRECIO INSTALADOR (IVA INCLUIDO)]]*5%</f>
        <v>504.14</v>
      </c>
      <c r="I21" s="8"/>
      <c r="J21" s="7">
        <v>7202</v>
      </c>
    </row>
    <row r="22" spans="1:10" ht="15" x14ac:dyDescent="0.25">
      <c r="A22" s="23" t="s">
        <v>50</v>
      </c>
      <c r="B22" s="24" t="s">
        <v>51</v>
      </c>
      <c r="C22" s="27">
        <f>+Tabla114[[#This Row],[COSTO CON IVA]]/Tabla114[[#This Row],[UTILIDAD]]</f>
        <v>7007</v>
      </c>
      <c r="D22" s="9">
        <f>+Tabla114[[#This Row],[PRECIO INSTALADOR (IVA INCLUIDO)]]-Tabla114[[#This Row],[DCTO TIENDA]]</f>
        <v>6656.65</v>
      </c>
      <c r="E22" s="9">
        <f>+Tabla114[[#This Row],[PRECIO INSTALADOR (IVA INCLUIDO)]]/0.7</f>
        <v>10010</v>
      </c>
      <c r="F22" s="8">
        <v>0.85</v>
      </c>
      <c r="G22" s="16">
        <f>+Tabla114[[#This Row],[COSTO]]*1.19</f>
        <v>5955.95</v>
      </c>
      <c r="H22" s="8">
        <f>+Tabla114[[#This Row],[PRECIO INSTALADOR (IVA INCLUIDO)]]*5%</f>
        <v>350.35</v>
      </c>
      <c r="I22" s="8"/>
      <c r="J22" s="7">
        <v>5005</v>
      </c>
    </row>
    <row r="23" spans="1:10" ht="15" x14ac:dyDescent="0.25">
      <c r="A23" s="23" t="s">
        <v>52</v>
      </c>
      <c r="B23" s="24" t="s">
        <v>53</v>
      </c>
      <c r="C23" s="27">
        <f>+Tabla114[[#This Row],[COSTO CON IVA]]/Tabla114[[#This Row],[UTILIDAD]]</f>
        <v>5960.5</v>
      </c>
      <c r="D23" s="9">
        <f>+Tabla114[[#This Row],[PRECIO INSTALADOR (IVA INCLUIDO)]]-Tabla114[[#This Row],[DCTO TIENDA]]</f>
        <v>5662.4750000000004</v>
      </c>
      <c r="E23" s="9">
        <f>+Tabla114[[#This Row],[PRECIO INSTALADOR (IVA INCLUIDO)]]/0.7</f>
        <v>8515</v>
      </c>
      <c r="F23" s="8">
        <v>0.85</v>
      </c>
      <c r="G23" s="16">
        <f>+Tabla114[[#This Row],[COSTO]]*1.19</f>
        <v>5066.4250000000002</v>
      </c>
      <c r="H23" s="8">
        <f>+Tabla114[[#This Row],[PRECIO INSTALADOR (IVA INCLUIDO)]]*5%</f>
        <v>298.02500000000003</v>
      </c>
      <c r="I23" s="8"/>
      <c r="J23" s="7">
        <v>4257.5</v>
      </c>
    </row>
    <row r="24" spans="1:10" ht="15" x14ac:dyDescent="0.25">
      <c r="A24" s="23" t="s">
        <v>54</v>
      </c>
      <c r="B24" s="24" t="s">
        <v>55</v>
      </c>
      <c r="C24" s="27">
        <f>+Tabla114[[#This Row],[COSTO CON IVA]]/Tabla114[[#This Row],[UTILIDAD]]</f>
        <v>8827</v>
      </c>
      <c r="D24" s="9">
        <f>+Tabla114[[#This Row],[PRECIO INSTALADOR (IVA INCLUIDO)]]-Tabla114[[#This Row],[DCTO TIENDA]]</f>
        <v>8385.65</v>
      </c>
      <c r="E24" s="9">
        <f>+Tabla114[[#This Row],[PRECIO INSTALADOR (IVA INCLUIDO)]]/0.7</f>
        <v>12610</v>
      </c>
      <c r="F24" s="8">
        <v>0.85</v>
      </c>
      <c r="G24" s="16">
        <f>+Tabla114[[#This Row],[COSTO]]*1.19</f>
        <v>7502.95</v>
      </c>
      <c r="H24" s="8">
        <f>+Tabla114[[#This Row],[PRECIO INSTALADOR (IVA INCLUIDO)]]*5%</f>
        <v>441.35</v>
      </c>
      <c r="I24" s="8"/>
      <c r="J24" s="7">
        <v>6305</v>
      </c>
    </row>
    <row r="25" spans="1:10" ht="15" x14ac:dyDescent="0.25">
      <c r="A25" s="23" t="s">
        <v>56</v>
      </c>
      <c r="B25" s="24" t="s">
        <v>57</v>
      </c>
      <c r="C25" s="27">
        <f>+Tabla114[[#This Row],[COSTO CON IVA]]/Tabla114[[#This Row],[UTILIDAD]]</f>
        <v>5946.85</v>
      </c>
      <c r="D25" s="9">
        <f>+Tabla114[[#This Row],[PRECIO INSTALADOR (IVA INCLUIDO)]]-Tabla114[[#This Row],[DCTO TIENDA]]</f>
        <v>5649.5075000000006</v>
      </c>
      <c r="E25" s="9">
        <f>+Tabla114[[#This Row],[PRECIO INSTALADOR (IVA INCLUIDO)]]/0.7</f>
        <v>8495.5000000000018</v>
      </c>
      <c r="F25" s="8">
        <v>0.85</v>
      </c>
      <c r="G25" s="16">
        <f>+Tabla114[[#This Row],[COSTO]]*1.19</f>
        <v>5054.8225000000002</v>
      </c>
      <c r="H25" s="8">
        <f>+Tabla114[[#This Row],[PRECIO INSTALADOR (IVA INCLUIDO)]]*5%</f>
        <v>297.34250000000003</v>
      </c>
      <c r="I25" s="8"/>
      <c r="J25" s="7">
        <v>4247.75</v>
      </c>
    </row>
    <row r="26" spans="1:10" ht="15" x14ac:dyDescent="0.25">
      <c r="A26" s="23" t="s">
        <v>58</v>
      </c>
      <c r="B26" s="24" t="s">
        <v>59</v>
      </c>
      <c r="C26" s="27">
        <f>+Tabla114[[#This Row],[COSTO CON IVA]]/Tabla114[[#This Row],[UTILIDAD]]</f>
        <v>8608.6</v>
      </c>
      <c r="D26" s="9">
        <f>+Tabla114[[#This Row],[PRECIO INSTALADOR (IVA INCLUIDO)]]-Tabla114[[#This Row],[DCTO TIENDA]]</f>
        <v>8178.17</v>
      </c>
      <c r="E26" s="9">
        <f>+Tabla114[[#This Row],[PRECIO INSTALADOR (IVA INCLUIDO)]]/0.7</f>
        <v>12298.000000000002</v>
      </c>
      <c r="F26" s="8">
        <v>0.85</v>
      </c>
      <c r="G26" s="16">
        <f>+Tabla114[[#This Row],[COSTO]]*1.19</f>
        <v>7317.3099999999995</v>
      </c>
      <c r="H26" s="8">
        <f>+Tabla114[[#This Row],[PRECIO INSTALADOR (IVA INCLUIDO)]]*5%</f>
        <v>430.43000000000006</v>
      </c>
      <c r="I26" s="8"/>
      <c r="J26" s="7">
        <v>6149</v>
      </c>
    </row>
    <row r="27" spans="1:10" ht="15" x14ac:dyDescent="0.25">
      <c r="A27" s="23" t="s">
        <v>60</v>
      </c>
      <c r="B27" s="24" t="s">
        <v>61</v>
      </c>
      <c r="C27" s="27">
        <f>+Tabla114[[#This Row],[COSTO CON IVA]]/Tabla114[[#This Row],[UTILIDAD]]</f>
        <v>3166.7999999999997</v>
      </c>
      <c r="D27" s="9">
        <f>+Tabla114[[#This Row],[PRECIO INSTALADOR (IVA INCLUIDO)]]-Tabla114[[#This Row],[DCTO TIENDA]]</f>
        <v>3008.4599999999996</v>
      </c>
      <c r="E27" s="9">
        <f>+Tabla114[[#This Row],[PRECIO INSTALADOR (IVA INCLUIDO)]]/0.7</f>
        <v>4524</v>
      </c>
      <c r="F27" s="8">
        <v>0.85</v>
      </c>
      <c r="G27" s="16">
        <f>+Tabla114[[#This Row],[COSTO]]*1.19</f>
        <v>2691.7799999999997</v>
      </c>
      <c r="H27" s="8">
        <f>+Tabla114[[#This Row],[PRECIO INSTALADOR (IVA INCLUIDO)]]*5%</f>
        <v>158.34</v>
      </c>
      <c r="I27" s="8"/>
      <c r="J27" s="7">
        <v>2262</v>
      </c>
    </row>
    <row r="28" spans="1:10" ht="15" x14ac:dyDescent="0.25">
      <c r="A28" s="23" t="s">
        <v>62</v>
      </c>
      <c r="B28" s="24" t="s">
        <v>63</v>
      </c>
      <c r="C28" s="27">
        <f>+Tabla114[[#This Row],[COSTO CON IVA]]/Tabla114[[#This Row],[UTILIDAD]]</f>
        <v>14924</v>
      </c>
      <c r="D28" s="9">
        <f>+Tabla114[[#This Row],[PRECIO INSTALADOR (IVA INCLUIDO)]]-Tabla114[[#This Row],[DCTO TIENDA]]</f>
        <v>14177.8</v>
      </c>
      <c r="E28" s="9">
        <f>+Tabla114[[#This Row],[PRECIO INSTALADOR (IVA INCLUIDO)]]/0.7</f>
        <v>21320</v>
      </c>
      <c r="F28" s="8">
        <v>0.85</v>
      </c>
      <c r="G28" s="16">
        <f>+Tabla114[[#This Row],[COSTO]]*1.19</f>
        <v>12685.4</v>
      </c>
      <c r="H28" s="8">
        <f>+Tabla114[[#This Row],[PRECIO INSTALADOR (IVA INCLUIDO)]]*5%</f>
        <v>746.2</v>
      </c>
      <c r="I28" s="8"/>
      <c r="J28" s="7">
        <v>10660</v>
      </c>
    </row>
    <row r="29" spans="1:10" ht="15" x14ac:dyDescent="0.25">
      <c r="A29" s="23" t="s">
        <v>64</v>
      </c>
      <c r="B29" s="24" t="s">
        <v>65</v>
      </c>
      <c r="C29" s="10">
        <f>+Tabla114[[#This Row],[COSTO CON IVA]]/Tabla114[[#This Row],[UTILIDAD]]</f>
        <v>1774.5</v>
      </c>
      <c r="D29" s="10">
        <f>+Tabla114[[#This Row],[PRECIO INSTALADOR (IVA INCLUIDO)]]-Tabla114[[#This Row],[DCTO TIENDA]]</f>
        <v>1685.7750000000001</v>
      </c>
      <c r="E29" s="10">
        <f>+Tabla114[[#This Row],[PRECIO INSTALADOR (IVA INCLUIDO)]]/0.7</f>
        <v>2535</v>
      </c>
      <c r="F29" s="8">
        <v>0.85</v>
      </c>
      <c r="G29" s="16">
        <f>+Tabla114[[#This Row],[COSTO]]*1.19</f>
        <v>1508.325</v>
      </c>
      <c r="H29" s="15">
        <f>+Tabla114[[#This Row],[PRECIO INSTALADOR (IVA INCLUIDO)]]*5%</f>
        <v>88.725000000000009</v>
      </c>
      <c r="I29" s="14"/>
      <c r="J29" s="13">
        <v>1267.5</v>
      </c>
    </row>
    <row r="30" spans="1:10" ht="15" x14ac:dyDescent="0.25">
      <c r="A30" s="23" t="s">
        <v>66</v>
      </c>
      <c r="B30" s="24" t="s">
        <v>67</v>
      </c>
      <c r="C30" s="27">
        <f>+Tabla114[[#This Row],[COSTO CON IVA]]/Tabla114[[#This Row],[UTILIDAD]]</f>
        <v>1774.5</v>
      </c>
      <c r="D30" s="9">
        <f>+Tabla114[[#This Row],[PRECIO INSTALADOR (IVA INCLUIDO)]]-Tabla114[[#This Row],[DCTO TIENDA]]</f>
        <v>1685.7750000000001</v>
      </c>
      <c r="E30" s="9">
        <f>+Tabla114[[#This Row],[PRECIO INSTALADOR (IVA INCLUIDO)]]/0.7</f>
        <v>2535</v>
      </c>
      <c r="F30" s="8">
        <v>0.85</v>
      </c>
      <c r="G30" s="16">
        <f>+Tabla114[[#This Row],[COSTO]]*1.19</f>
        <v>1508.325</v>
      </c>
      <c r="H30" s="8">
        <f>+Tabla114[[#This Row],[PRECIO INSTALADOR (IVA INCLUIDO)]]*5%</f>
        <v>88.725000000000009</v>
      </c>
      <c r="I30" s="8"/>
      <c r="J30" s="7">
        <v>1267.5</v>
      </c>
    </row>
    <row r="31" spans="1:10" ht="15" x14ac:dyDescent="0.25">
      <c r="A31" s="23" t="s">
        <v>68</v>
      </c>
      <c r="B31" s="24" t="s">
        <v>69</v>
      </c>
      <c r="C31" s="27">
        <f>+Tabla114[[#This Row],[COSTO CON IVA]]/Tabla114[[#This Row],[UTILIDAD]]</f>
        <v>1774.5</v>
      </c>
      <c r="D31" s="9">
        <f>+Tabla114[[#This Row],[PRECIO INSTALADOR (IVA INCLUIDO)]]-Tabla114[[#This Row],[DCTO TIENDA]]</f>
        <v>1685.7750000000001</v>
      </c>
      <c r="E31" s="9">
        <f>+Tabla114[[#This Row],[PRECIO INSTALADOR (IVA INCLUIDO)]]/0.7</f>
        <v>2535</v>
      </c>
      <c r="F31" s="8">
        <v>0.85</v>
      </c>
      <c r="G31" s="16">
        <f>+Tabla114[[#This Row],[COSTO]]*1.19</f>
        <v>1508.325</v>
      </c>
      <c r="H31" s="8">
        <f>+Tabla114[[#This Row],[PRECIO INSTALADOR (IVA INCLUIDO)]]*5%</f>
        <v>88.725000000000009</v>
      </c>
      <c r="I31" s="8"/>
      <c r="J31" s="7">
        <v>1267.5</v>
      </c>
    </row>
    <row r="32" spans="1:10" ht="15" x14ac:dyDescent="0.25">
      <c r="A32" s="23" t="s">
        <v>70</v>
      </c>
      <c r="B32" s="24" t="s">
        <v>71</v>
      </c>
      <c r="C32" s="27">
        <f>+Tabla114[[#This Row],[COSTO CON IVA]]/Tabla114[[#This Row],[UTILIDAD]]</f>
        <v>1774.5</v>
      </c>
      <c r="D32" s="9">
        <f>+Tabla114[[#This Row],[PRECIO INSTALADOR (IVA INCLUIDO)]]-Tabla114[[#This Row],[DCTO TIENDA]]</f>
        <v>1685.7750000000001</v>
      </c>
      <c r="E32" s="9">
        <f>+Tabla114[[#This Row],[PRECIO INSTALADOR (IVA INCLUIDO)]]/0.7</f>
        <v>2535</v>
      </c>
      <c r="F32" s="8">
        <v>0.85</v>
      </c>
      <c r="G32" s="16">
        <f>+Tabla114[[#This Row],[COSTO]]*1.19</f>
        <v>1508.325</v>
      </c>
      <c r="H32" s="8">
        <f>+Tabla114[[#This Row],[PRECIO INSTALADOR (IVA INCLUIDO)]]*5%</f>
        <v>88.725000000000009</v>
      </c>
      <c r="I32" s="8"/>
      <c r="J32" s="7">
        <v>1267.5</v>
      </c>
    </row>
    <row r="33" spans="1:10" ht="15" x14ac:dyDescent="0.25">
      <c r="A33" s="23" t="s">
        <v>72</v>
      </c>
      <c r="B33" s="24" t="s">
        <v>73</v>
      </c>
      <c r="C33" s="27">
        <f>+Tabla114[[#This Row],[COSTO CON IVA]]/Tabla114[[#This Row],[UTILIDAD]]</f>
        <v>3166.7999999999997</v>
      </c>
      <c r="D33" s="9">
        <f>+Tabla114[[#This Row],[PRECIO INSTALADOR (IVA INCLUIDO)]]-Tabla114[[#This Row],[DCTO TIENDA]]</f>
        <v>3008.4599999999996</v>
      </c>
      <c r="E33" s="9">
        <f>+Tabla114[[#This Row],[PRECIO INSTALADOR (IVA INCLUIDO)]]/0.7</f>
        <v>4524</v>
      </c>
      <c r="F33" s="8">
        <v>0.85</v>
      </c>
      <c r="G33" s="16">
        <f>+Tabla114[[#This Row],[COSTO]]*1.19</f>
        <v>2691.7799999999997</v>
      </c>
      <c r="H33" s="8">
        <f>+Tabla114[[#This Row],[PRECIO INSTALADOR (IVA INCLUIDO)]]*5%</f>
        <v>158.34</v>
      </c>
      <c r="I33" s="8"/>
      <c r="J33" s="7">
        <v>2262</v>
      </c>
    </row>
    <row r="34" spans="1:10" ht="15" x14ac:dyDescent="0.25">
      <c r="A34" s="23" t="s">
        <v>74</v>
      </c>
      <c r="B34" s="24" t="s">
        <v>75</v>
      </c>
      <c r="C34" s="27">
        <f>+Tabla114[[#This Row],[COSTO CON IVA]]/Tabla114[[#This Row],[UTILIDAD]]</f>
        <v>3166.7999999999997</v>
      </c>
      <c r="D34" s="9">
        <f>+Tabla114[[#This Row],[PRECIO INSTALADOR (IVA INCLUIDO)]]-Tabla114[[#This Row],[DCTO TIENDA]]</f>
        <v>3008.4599999999996</v>
      </c>
      <c r="E34" s="9">
        <f>+Tabla114[[#This Row],[PRECIO INSTALADOR (IVA INCLUIDO)]]/0.7</f>
        <v>4524</v>
      </c>
      <c r="F34" s="8">
        <v>0.85</v>
      </c>
      <c r="G34" s="16">
        <f>+Tabla114[[#This Row],[COSTO]]*1.19</f>
        <v>2691.7799999999997</v>
      </c>
      <c r="H34" s="8">
        <f>+Tabla114[[#This Row],[PRECIO INSTALADOR (IVA INCLUIDO)]]*5%</f>
        <v>158.34</v>
      </c>
      <c r="I34" s="8"/>
      <c r="J34" s="7">
        <v>2262</v>
      </c>
    </row>
    <row r="35" spans="1:10" ht="15" x14ac:dyDescent="0.25">
      <c r="A35" s="23" t="s">
        <v>76</v>
      </c>
      <c r="B35" s="24" t="s">
        <v>77</v>
      </c>
      <c r="C35" s="27">
        <f>+Tabla114[[#This Row],[COSTO CON IVA]]/Tabla114[[#This Row],[UTILIDAD]]</f>
        <v>3166.7999999999997</v>
      </c>
      <c r="D35" s="9">
        <f>+Tabla114[[#This Row],[PRECIO INSTALADOR (IVA INCLUIDO)]]-Tabla114[[#This Row],[DCTO TIENDA]]</f>
        <v>3008.4599999999996</v>
      </c>
      <c r="E35" s="9">
        <f>+Tabla114[[#This Row],[PRECIO INSTALADOR (IVA INCLUIDO)]]/0.7</f>
        <v>4524</v>
      </c>
      <c r="F35" s="8">
        <v>0.85</v>
      </c>
      <c r="G35" s="16">
        <f>+Tabla114[[#This Row],[COSTO]]*1.19</f>
        <v>2691.7799999999997</v>
      </c>
      <c r="H35" s="8">
        <f>+Tabla114[[#This Row],[PRECIO INSTALADOR (IVA INCLUIDO)]]*5%</f>
        <v>158.34</v>
      </c>
      <c r="I35" s="8"/>
      <c r="J35" s="7">
        <v>2262</v>
      </c>
    </row>
    <row r="36" spans="1:10" ht="15" x14ac:dyDescent="0.25">
      <c r="A36" s="23" t="s">
        <v>78</v>
      </c>
      <c r="B36" s="24" t="s">
        <v>79</v>
      </c>
      <c r="C36" s="27">
        <f>+Tabla114[[#This Row],[COSTO CON IVA]]/Tabla114[[#This Row],[UTILIDAD]]</f>
        <v>3166.7999999999997</v>
      </c>
      <c r="D36" s="9">
        <f>+Tabla114[[#This Row],[PRECIO INSTALADOR (IVA INCLUIDO)]]-Tabla114[[#This Row],[DCTO TIENDA]]</f>
        <v>3008.4599999999996</v>
      </c>
      <c r="E36" s="9">
        <f>+Tabla114[[#This Row],[PRECIO INSTALADOR (IVA INCLUIDO)]]/0.7</f>
        <v>4524</v>
      </c>
      <c r="F36" s="8">
        <v>0.85</v>
      </c>
      <c r="G36" s="16">
        <f>+Tabla114[[#This Row],[COSTO]]*1.19</f>
        <v>2691.7799999999997</v>
      </c>
      <c r="H36" s="8">
        <f>+Tabla114[[#This Row],[PRECIO INSTALADOR (IVA INCLUIDO)]]*5%</f>
        <v>158.34</v>
      </c>
      <c r="I36" s="8"/>
      <c r="J36" s="7">
        <v>2262</v>
      </c>
    </row>
    <row r="37" spans="1:10" ht="15" x14ac:dyDescent="0.25">
      <c r="A37" s="23" t="s">
        <v>80</v>
      </c>
      <c r="B37" s="24" t="s">
        <v>81</v>
      </c>
      <c r="C37" s="27">
        <f>+Tabla114[[#This Row],[COSTO CON IVA]]/Tabla114[[#This Row],[UTILIDAD]]</f>
        <v>7234.5</v>
      </c>
      <c r="D37" s="9">
        <f>+Tabla114[[#This Row],[PRECIO INSTALADOR (IVA INCLUIDO)]]-Tabla114[[#This Row],[DCTO TIENDA]]</f>
        <v>6872.7749999999996</v>
      </c>
      <c r="E37" s="9">
        <f>+Tabla114[[#This Row],[PRECIO INSTALADOR (IVA INCLUIDO)]]/0.7</f>
        <v>10335</v>
      </c>
      <c r="F37" s="8">
        <v>0.85</v>
      </c>
      <c r="G37" s="16">
        <f>+Tabla114[[#This Row],[COSTO]]*1.19</f>
        <v>6149.3249999999998</v>
      </c>
      <c r="H37" s="8">
        <f>+Tabla114[[#This Row],[PRECIO INSTALADOR (IVA INCLUIDO)]]*5%</f>
        <v>361.72500000000002</v>
      </c>
      <c r="I37" s="8"/>
      <c r="J37" s="7">
        <v>5167.5</v>
      </c>
    </row>
    <row r="38" spans="1:10" ht="15" x14ac:dyDescent="0.25">
      <c r="A38" s="23" t="s">
        <v>82</v>
      </c>
      <c r="B38" s="24" t="s">
        <v>83</v>
      </c>
      <c r="C38" s="27">
        <f>+Tabla114[[#This Row],[COSTO CON IVA]]/Tabla114[[#This Row],[UTILIDAD]]</f>
        <v>9545.9</v>
      </c>
      <c r="D38" s="9">
        <f>+Tabla114[[#This Row],[PRECIO INSTALADOR (IVA INCLUIDO)]]-Tabla114[[#This Row],[DCTO TIENDA]]</f>
        <v>9068.6049999999996</v>
      </c>
      <c r="E38" s="9">
        <f>+Tabla114[[#This Row],[PRECIO INSTALADOR (IVA INCLUIDO)]]/0.7</f>
        <v>13637</v>
      </c>
      <c r="F38" s="8">
        <v>0.85</v>
      </c>
      <c r="G38" s="16">
        <f>+Tabla114[[#This Row],[COSTO]]*1.19</f>
        <v>8114.0149999999994</v>
      </c>
      <c r="H38" s="8">
        <f>+Tabla114[[#This Row],[PRECIO INSTALADOR (IVA INCLUIDO)]]*5%</f>
        <v>477.29500000000002</v>
      </c>
      <c r="I38" s="8"/>
      <c r="J38" s="7">
        <v>6818.5</v>
      </c>
    </row>
    <row r="39" spans="1:10" ht="15" x14ac:dyDescent="0.25">
      <c r="A39" s="23" t="s">
        <v>84</v>
      </c>
      <c r="B39" s="24" t="s">
        <v>85</v>
      </c>
      <c r="C39" s="27">
        <f>+Tabla114[[#This Row],[COSTO CON IVA]]/Tabla114[[#This Row],[UTILIDAD]]</f>
        <v>11538.8</v>
      </c>
      <c r="D39" s="9">
        <f>+Tabla114[[#This Row],[PRECIO INSTALADOR (IVA INCLUIDO)]]-Tabla114[[#This Row],[DCTO TIENDA]]</f>
        <v>10961.859999999999</v>
      </c>
      <c r="E39" s="9">
        <f>+Tabla114[[#This Row],[PRECIO INSTALADOR (IVA INCLUIDO)]]/0.7</f>
        <v>16484</v>
      </c>
      <c r="F39" s="8">
        <v>0.85</v>
      </c>
      <c r="G39" s="16">
        <f>+Tabla114[[#This Row],[COSTO]]*1.19</f>
        <v>9807.98</v>
      </c>
      <c r="H39" s="8">
        <f>+Tabla114[[#This Row],[PRECIO INSTALADOR (IVA INCLUIDO)]]*5%</f>
        <v>576.93999999999994</v>
      </c>
      <c r="I39" s="8"/>
      <c r="J39" s="7">
        <v>8242</v>
      </c>
    </row>
    <row r="40" spans="1:10" ht="15" x14ac:dyDescent="0.25">
      <c r="A40" s="23" t="s">
        <v>86</v>
      </c>
      <c r="B40" s="24" t="s">
        <v>87</v>
      </c>
      <c r="C40" s="27">
        <f>+Tabla114[[#This Row],[COSTO CON IVA]]/Tabla114[[#This Row],[UTILIDAD]]</f>
        <v>13622.7</v>
      </c>
      <c r="D40" s="9">
        <f>+Tabla114[[#This Row],[PRECIO INSTALADOR (IVA INCLUIDO)]]-Tabla114[[#This Row],[DCTO TIENDA]]</f>
        <v>12941.565000000001</v>
      </c>
      <c r="E40" s="9">
        <f>+Tabla114[[#This Row],[PRECIO INSTALADOR (IVA INCLUIDO)]]/0.7</f>
        <v>19461.000000000004</v>
      </c>
      <c r="F40" s="8">
        <v>0.85</v>
      </c>
      <c r="G40" s="16">
        <f>+Tabla114[[#This Row],[COSTO]]*1.19</f>
        <v>11579.295</v>
      </c>
      <c r="H40" s="8">
        <f>+Tabla114[[#This Row],[PRECIO INSTALADOR (IVA INCLUIDO)]]*5%</f>
        <v>681.1350000000001</v>
      </c>
      <c r="I40" s="8"/>
      <c r="J40" s="7">
        <v>9730.5</v>
      </c>
    </row>
    <row r="41" spans="1:10" ht="15" x14ac:dyDescent="0.25">
      <c r="A41" s="23" t="s">
        <v>88</v>
      </c>
      <c r="B41" s="24" t="s">
        <v>89</v>
      </c>
      <c r="C41" s="27">
        <f>+Tabla114[[#This Row],[COSTO CON IVA]]/Tabla114[[#This Row],[UTILIDAD]]</f>
        <v>39312</v>
      </c>
      <c r="D41" s="9">
        <f>+Tabla114[[#This Row],[PRECIO INSTALADOR (IVA INCLUIDO)]]-Tabla114[[#This Row],[DCTO TIENDA]]</f>
        <v>37346.400000000001</v>
      </c>
      <c r="E41" s="9">
        <f>+Tabla114[[#This Row],[PRECIO INSTALADOR (IVA INCLUIDO)]]/0.7</f>
        <v>56160</v>
      </c>
      <c r="F41" s="8">
        <v>0.85</v>
      </c>
      <c r="G41" s="16">
        <f>+Tabla114[[#This Row],[COSTO]]*1.19</f>
        <v>33415.199999999997</v>
      </c>
      <c r="H41" s="8">
        <f>+Tabla114[[#This Row],[PRECIO INSTALADOR (IVA INCLUIDO)]]*5%</f>
        <v>1965.6000000000001</v>
      </c>
      <c r="I41" s="8"/>
      <c r="J41" s="7">
        <v>28080</v>
      </c>
    </row>
    <row r="42" spans="1:10" ht="15" x14ac:dyDescent="0.25">
      <c r="A42" s="23" t="s">
        <v>90</v>
      </c>
      <c r="B42" s="24" t="s">
        <v>91</v>
      </c>
      <c r="C42" s="27">
        <f>+Tabla114[[#This Row],[COSTO CON IVA]]/Tabla114[[#This Row],[UTILIDAD]]</f>
        <v>54600</v>
      </c>
      <c r="D42" s="9">
        <f>+Tabla114[[#This Row],[PRECIO INSTALADOR (IVA INCLUIDO)]]-Tabla114[[#This Row],[DCTO TIENDA]]</f>
        <v>51870</v>
      </c>
      <c r="E42" s="9">
        <f>+Tabla114[[#This Row],[PRECIO INSTALADOR (IVA INCLUIDO)]]/0.7</f>
        <v>78000</v>
      </c>
      <c r="F42" s="8">
        <v>0.85</v>
      </c>
      <c r="G42" s="16">
        <f>+Tabla114[[#This Row],[COSTO]]*1.19</f>
        <v>46410</v>
      </c>
      <c r="H42" s="8">
        <f>+Tabla114[[#This Row],[PRECIO INSTALADOR (IVA INCLUIDO)]]*5%</f>
        <v>2730</v>
      </c>
      <c r="I42" s="8"/>
      <c r="J42" s="7">
        <v>39000</v>
      </c>
    </row>
    <row r="43" spans="1:10" ht="15" x14ac:dyDescent="0.25">
      <c r="A43" s="23" t="s">
        <v>92</v>
      </c>
      <c r="B43" s="24" t="s">
        <v>93</v>
      </c>
      <c r="C43" s="27">
        <f>+Tabla114[[#This Row],[COSTO CON IVA]]/Tabla114[[#This Row],[UTILIDAD]]</f>
        <v>70333.899999999994</v>
      </c>
      <c r="D43" s="9">
        <f>+Tabla114[[#This Row],[PRECIO INSTALADOR (IVA INCLUIDO)]]-Tabla114[[#This Row],[DCTO TIENDA]]</f>
        <v>66817.204999999987</v>
      </c>
      <c r="E43" s="9">
        <f>+Tabla114[[#This Row],[PRECIO INSTALADOR (IVA INCLUIDO)]]/0.7</f>
        <v>100477</v>
      </c>
      <c r="F43" s="8">
        <v>0.85</v>
      </c>
      <c r="G43" s="16">
        <f>+Tabla114[[#This Row],[COSTO]]*1.19</f>
        <v>59783.814999999995</v>
      </c>
      <c r="H43" s="8">
        <f>+Tabla114[[#This Row],[PRECIO INSTALADOR (IVA INCLUIDO)]]*5%</f>
        <v>3516.6949999999997</v>
      </c>
      <c r="I43" s="8"/>
      <c r="J43" s="7">
        <v>50238.5</v>
      </c>
    </row>
    <row r="44" spans="1:10" ht="15" x14ac:dyDescent="0.25">
      <c r="A44" s="23" t="s">
        <v>94</v>
      </c>
      <c r="B44" s="24" t="s">
        <v>95</v>
      </c>
      <c r="C44" s="27">
        <f>+Tabla114[[#This Row],[COSTO CON IVA]]/Tabla114[[#This Row],[UTILIDAD]]</f>
        <v>10010</v>
      </c>
      <c r="D44" s="9">
        <f>+Tabla114[[#This Row],[PRECIO INSTALADOR (IVA INCLUIDO)]]-Tabla114[[#This Row],[DCTO TIENDA]]</f>
        <v>9509.5</v>
      </c>
      <c r="E44" s="9">
        <f>+Tabla114[[#This Row],[PRECIO INSTALADOR (IVA INCLUIDO)]]/0.7</f>
        <v>14300</v>
      </c>
      <c r="F44" s="8">
        <v>0.85</v>
      </c>
      <c r="G44" s="16">
        <f>+Tabla114[[#This Row],[COSTO]]*1.19</f>
        <v>8508.5</v>
      </c>
      <c r="H44" s="8">
        <f>+Tabla114[[#This Row],[PRECIO INSTALADOR (IVA INCLUIDO)]]*5%</f>
        <v>500.5</v>
      </c>
      <c r="I44" s="8"/>
      <c r="J44" s="7">
        <v>7150</v>
      </c>
    </row>
    <row r="45" spans="1:10" ht="15" x14ac:dyDescent="0.25">
      <c r="A45" s="23" t="s">
        <v>96</v>
      </c>
      <c r="B45" s="24" t="s">
        <v>97</v>
      </c>
      <c r="C45" s="27">
        <f>+Tabla114[[#This Row],[COSTO CON IVA]]/Tabla114[[#This Row],[UTILIDAD]]</f>
        <v>16835</v>
      </c>
      <c r="D45" s="9">
        <f>+Tabla114[[#This Row],[PRECIO INSTALADOR (IVA INCLUIDO)]]-Tabla114[[#This Row],[DCTO TIENDA]]</f>
        <v>15993.25</v>
      </c>
      <c r="E45" s="9">
        <f>+Tabla114[[#This Row],[PRECIO INSTALADOR (IVA INCLUIDO)]]/0.7</f>
        <v>24050</v>
      </c>
      <c r="F45" s="8">
        <v>0.85</v>
      </c>
      <c r="G45" s="16">
        <f>+Tabla114[[#This Row],[COSTO]]*1.19</f>
        <v>14309.75</v>
      </c>
      <c r="H45" s="8">
        <f>+Tabla114[[#This Row],[PRECIO INSTALADOR (IVA INCLUIDO)]]*5%</f>
        <v>841.75</v>
      </c>
      <c r="I45" s="8"/>
      <c r="J45" s="7">
        <v>12025</v>
      </c>
    </row>
    <row r="46" spans="1:10" ht="15" x14ac:dyDescent="0.25">
      <c r="A46" s="23" t="s">
        <v>98</v>
      </c>
      <c r="B46" s="24" t="s">
        <v>99</v>
      </c>
      <c r="C46" s="27">
        <f>+Tabla114[[#This Row],[COSTO CON IVA]]/Tabla114[[#This Row],[UTILIDAD]]</f>
        <v>14105</v>
      </c>
      <c r="D46" s="9">
        <f>+Tabla114[[#This Row],[PRECIO INSTALADOR (IVA INCLUIDO)]]-Tabla114[[#This Row],[DCTO TIENDA]]</f>
        <v>13399.75</v>
      </c>
      <c r="E46" s="9">
        <f>+Tabla114[[#This Row],[PRECIO INSTALADOR (IVA INCLUIDO)]]/0.7</f>
        <v>20150</v>
      </c>
      <c r="F46" s="8">
        <v>0.85</v>
      </c>
      <c r="G46" s="16">
        <f>+Tabla114[[#This Row],[COSTO]]*1.19</f>
        <v>11989.25</v>
      </c>
      <c r="H46" s="8">
        <f>+Tabla114[[#This Row],[PRECIO INSTALADOR (IVA INCLUIDO)]]*5%</f>
        <v>705.25</v>
      </c>
      <c r="I46" s="8"/>
      <c r="J46" s="7">
        <v>10075</v>
      </c>
    </row>
    <row r="47" spans="1:10" ht="15" x14ac:dyDescent="0.25">
      <c r="A47" s="23" t="s">
        <v>100</v>
      </c>
      <c r="B47" s="24" t="s">
        <v>101</v>
      </c>
      <c r="C47" s="27">
        <f>+Tabla114[[#This Row],[COSTO CON IVA]]/Tabla114[[#This Row],[UTILIDAD]]</f>
        <v>13650</v>
      </c>
      <c r="D47" s="9">
        <f>+Tabla114[[#This Row],[PRECIO INSTALADOR (IVA INCLUIDO)]]-Tabla114[[#This Row],[DCTO TIENDA]]</f>
        <v>12967.5</v>
      </c>
      <c r="E47" s="9">
        <f>+Tabla114[[#This Row],[PRECIO INSTALADOR (IVA INCLUIDO)]]/0.7</f>
        <v>19500</v>
      </c>
      <c r="F47" s="8">
        <v>0.85</v>
      </c>
      <c r="G47" s="16">
        <f>+Tabla114[[#This Row],[COSTO]]*1.19</f>
        <v>11602.5</v>
      </c>
      <c r="H47" s="8">
        <f>+Tabla114[[#This Row],[PRECIO INSTALADOR (IVA INCLUIDO)]]*5%</f>
        <v>682.5</v>
      </c>
      <c r="I47" s="8"/>
      <c r="J47" s="7">
        <v>9750</v>
      </c>
    </row>
    <row r="48" spans="1:10" ht="15" x14ac:dyDescent="0.25">
      <c r="A48" s="23" t="s">
        <v>102</v>
      </c>
      <c r="B48" s="24" t="s">
        <v>103</v>
      </c>
      <c r="C48" s="27">
        <f>+Tabla114[[#This Row],[COSTO CON IVA]]/Tabla114[[#This Row],[UTILIDAD]]</f>
        <v>2320.5</v>
      </c>
      <c r="D48" s="9">
        <f>+Tabla114[[#This Row],[PRECIO INSTALADOR (IVA INCLUIDO)]]-Tabla114[[#This Row],[DCTO TIENDA]]</f>
        <v>2204.4749999999999</v>
      </c>
      <c r="E48" s="9">
        <f>+Tabla114[[#This Row],[PRECIO INSTALADOR (IVA INCLUIDO)]]/0.7</f>
        <v>3315</v>
      </c>
      <c r="F48" s="8">
        <v>0.85</v>
      </c>
      <c r="G48" s="16">
        <f>+Tabla114[[#This Row],[COSTO]]*1.19</f>
        <v>1972.425</v>
      </c>
      <c r="H48" s="8">
        <f>+Tabla114[[#This Row],[PRECIO INSTALADOR (IVA INCLUIDO)]]*5%</f>
        <v>116.02500000000001</v>
      </c>
      <c r="I48" s="8"/>
      <c r="J48" s="7">
        <v>1657.5</v>
      </c>
    </row>
    <row r="49" spans="1:10" ht="15" x14ac:dyDescent="0.25">
      <c r="A49" s="23" t="s">
        <v>104</v>
      </c>
      <c r="B49" s="24" t="s">
        <v>105</v>
      </c>
      <c r="C49" s="27">
        <f>+Tabla114[[#This Row],[COSTO CON IVA]]/Tabla114[[#This Row],[UTILIDAD]]</f>
        <v>3526.25</v>
      </c>
      <c r="D49" s="9">
        <f>+Tabla114[[#This Row],[PRECIO INSTALADOR (IVA INCLUIDO)]]-Tabla114[[#This Row],[DCTO TIENDA]]</f>
        <v>3349.9375</v>
      </c>
      <c r="E49" s="9">
        <f>+Tabla114[[#This Row],[PRECIO INSTALADOR (IVA INCLUIDO)]]/0.7</f>
        <v>5037.5</v>
      </c>
      <c r="F49" s="8">
        <v>0.85</v>
      </c>
      <c r="G49" s="16">
        <f>+Tabla114[[#This Row],[COSTO]]*1.19</f>
        <v>2997.3125</v>
      </c>
      <c r="H49" s="8">
        <f>+Tabla114[[#This Row],[PRECIO INSTALADOR (IVA INCLUIDO)]]*5%</f>
        <v>176.3125</v>
      </c>
      <c r="I49" s="8"/>
      <c r="J49" s="7">
        <v>2518.75</v>
      </c>
    </row>
    <row r="50" spans="1:10" ht="15" x14ac:dyDescent="0.25">
      <c r="A50" s="23" t="s">
        <v>106</v>
      </c>
      <c r="B50" s="24" t="s">
        <v>107</v>
      </c>
      <c r="C50" s="27">
        <f>+Tabla114[[#This Row],[COSTO CON IVA]]/Tabla114[[#This Row],[UTILIDAD]]</f>
        <v>5223.3999999999996</v>
      </c>
      <c r="D50" s="9">
        <f>+Tabla114[[#This Row],[PRECIO INSTALADOR (IVA INCLUIDO)]]-Tabla114[[#This Row],[DCTO TIENDA]]</f>
        <v>4962.2299999999996</v>
      </c>
      <c r="E50" s="9">
        <f>+Tabla114[[#This Row],[PRECIO INSTALADOR (IVA INCLUIDO)]]/0.7</f>
        <v>7462</v>
      </c>
      <c r="F50" s="8">
        <v>0.85</v>
      </c>
      <c r="G50" s="16">
        <f>+Tabla114[[#This Row],[COSTO]]*1.19</f>
        <v>4439.8899999999994</v>
      </c>
      <c r="H50" s="8">
        <f>+Tabla114[[#This Row],[PRECIO INSTALADOR (IVA INCLUIDO)]]*5%</f>
        <v>261.17</v>
      </c>
      <c r="I50" s="8"/>
      <c r="J50" s="7">
        <v>3731</v>
      </c>
    </row>
    <row r="51" spans="1:10" ht="15" x14ac:dyDescent="0.25">
      <c r="A51" s="23" t="s">
        <v>108</v>
      </c>
      <c r="B51" s="24" t="s">
        <v>109</v>
      </c>
      <c r="C51" s="27">
        <f>+Tabla114[[#This Row],[COSTO CON IVA]]/Tabla114[[#This Row],[UTILIDAD]]</f>
        <v>3194.1</v>
      </c>
      <c r="D51" s="9">
        <f>+Tabla114[[#This Row],[PRECIO INSTALADOR (IVA INCLUIDO)]]-Tabla114[[#This Row],[DCTO TIENDA]]</f>
        <v>3034.395</v>
      </c>
      <c r="E51" s="9">
        <f>+Tabla114[[#This Row],[PRECIO INSTALADOR (IVA INCLUIDO)]]/0.7</f>
        <v>4563</v>
      </c>
      <c r="F51" s="8">
        <v>0.85</v>
      </c>
      <c r="G51" s="16">
        <f>+Tabla114[[#This Row],[COSTO]]*1.19</f>
        <v>2714.9849999999997</v>
      </c>
      <c r="H51" s="8">
        <f>+Tabla114[[#This Row],[PRECIO INSTALADOR (IVA INCLUIDO)]]*5%</f>
        <v>159.70500000000001</v>
      </c>
      <c r="I51" s="8"/>
      <c r="J51" s="7">
        <v>2281.5</v>
      </c>
    </row>
    <row r="52" spans="1:10" ht="15" x14ac:dyDescent="0.25">
      <c r="A52" s="23" t="s">
        <v>110</v>
      </c>
      <c r="B52" s="24" t="s">
        <v>111</v>
      </c>
      <c r="C52" s="27">
        <f>+Tabla114[[#This Row],[COSTO CON IVA]]/Tabla114[[#This Row],[UTILIDAD]]</f>
        <v>5714.8</v>
      </c>
      <c r="D52" s="9">
        <f>+Tabla114[[#This Row],[PRECIO INSTALADOR (IVA INCLUIDO)]]-Tabla114[[#This Row],[DCTO TIENDA]]</f>
        <v>5429.06</v>
      </c>
      <c r="E52" s="9">
        <f>+Tabla114[[#This Row],[PRECIO INSTALADOR (IVA INCLUIDO)]]/0.7</f>
        <v>8164.0000000000009</v>
      </c>
      <c r="F52" s="8">
        <v>0.85</v>
      </c>
      <c r="G52" s="16">
        <f>+Tabla114[[#This Row],[COSTO]]*1.19</f>
        <v>4857.58</v>
      </c>
      <c r="H52" s="8">
        <f>+Tabla114[[#This Row],[PRECIO INSTALADOR (IVA INCLUIDO)]]*5%</f>
        <v>285.74</v>
      </c>
      <c r="I52" s="8"/>
      <c r="J52" s="7">
        <v>4082</v>
      </c>
    </row>
    <row r="53" spans="1:10" ht="15" x14ac:dyDescent="0.25">
      <c r="A53" s="23" t="s">
        <v>112</v>
      </c>
      <c r="B53" s="24" t="s">
        <v>113</v>
      </c>
      <c r="C53" s="27">
        <f>+Tabla114[[#This Row],[COSTO CON IVA]]/Tabla114[[#This Row],[UTILIDAD]]</f>
        <v>3294.2</v>
      </c>
      <c r="D53" s="9">
        <f>+Tabla114[[#This Row],[PRECIO INSTALADOR (IVA INCLUIDO)]]-Tabla114[[#This Row],[DCTO TIENDA]]</f>
        <v>3129.49</v>
      </c>
      <c r="E53" s="9">
        <f>+Tabla114[[#This Row],[PRECIO INSTALADOR (IVA INCLUIDO)]]/0.7</f>
        <v>4706</v>
      </c>
      <c r="F53" s="8">
        <v>0.85</v>
      </c>
      <c r="G53" s="16">
        <f>+Tabla114[[#This Row],[COSTO]]*1.19</f>
        <v>2800.0699999999997</v>
      </c>
      <c r="H53" s="8">
        <f>+Tabla114[[#This Row],[PRECIO INSTALADOR (IVA INCLUIDO)]]*5%</f>
        <v>164.71</v>
      </c>
      <c r="I53" s="8"/>
      <c r="J53" s="7">
        <v>2353</v>
      </c>
    </row>
    <row r="54" spans="1:10" ht="15" x14ac:dyDescent="0.25">
      <c r="A54" s="23" t="s">
        <v>114</v>
      </c>
      <c r="B54" s="24" t="s">
        <v>115</v>
      </c>
      <c r="C54" s="27">
        <f>+Tabla114[[#This Row],[COSTO CON IVA]]/Tabla114[[#This Row],[UTILIDAD]]</f>
        <v>2611.6999999999998</v>
      </c>
      <c r="D54" s="9">
        <f>+Tabla114[[#This Row],[PRECIO INSTALADOR (IVA INCLUIDO)]]-Tabla114[[#This Row],[DCTO TIENDA]]</f>
        <v>2481.1149999999998</v>
      </c>
      <c r="E54" s="9">
        <f>+Tabla114[[#This Row],[PRECIO INSTALADOR (IVA INCLUIDO)]]/0.7</f>
        <v>3731</v>
      </c>
      <c r="F54" s="8">
        <v>0.85</v>
      </c>
      <c r="G54" s="16">
        <f>+Tabla114[[#This Row],[COSTO]]*1.19</f>
        <v>2219.9449999999997</v>
      </c>
      <c r="H54" s="8">
        <f>+Tabla114[[#This Row],[PRECIO INSTALADOR (IVA INCLUIDO)]]*5%</f>
        <v>130.58500000000001</v>
      </c>
      <c r="I54" s="8"/>
      <c r="J54" s="7">
        <v>1865.5</v>
      </c>
    </row>
    <row r="55" spans="1:10" ht="15" x14ac:dyDescent="0.25">
      <c r="A55" s="23" t="s">
        <v>116</v>
      </c>
      <c r="B55" s="24" t="s">
        <v>117</v>
      </c>
      <c r="C55" s="27">
        <f>+Tabla114[[#This Row],[COSTO CON IVA]]/Tabla114[[#This Row],[UTILIDAD]]</f>
        <v>5569.2</v>
      </c>
      <c r="D55" s="9">
        <f>+Tabla114[[#This Row],[PRECIO INSTALADOR (IVA INCLUIDO)]]-Tabla114[[#This Row],[DCTO TIENDA]]</f>
        <v>5290.74</v>
      </c>
      <c r="E55" s="9">
        <f>+Tabla114[[#This Row],[PRECIO INSTALADOR (IVA INCLUIDO)]]/0.7</f>
        <v>7956</v>
      </c>
      <c r="F55" s="8">
        <v>0.85</v>
      </c>
      <c r="G55" s="16">
        <f>+Tabla114[[#This Row],[COSTO]]*1.19</f>
        <v>4733.82</v>
      </c>
      <c r="H55" s="8">
        <f>+Tabla114[[#This Row],[PRECIO INSTALADOR (IVA INCLUIDO)]]*5%</f>
        <v>278.45999999999998</v>
      </c>
      <c r="I55" s="8"/>
      <c r="J55" s="7">
        <v>3978</v>
      </c>
    </row>
    <row r="56" spans="1:10" ht="15" x14ac:dyDescent="0.25">
      <c r="A56" s="23" t="s">
        <v>118</v>
      </c>
      <c r="B56" s="24" t="s">
        <v>119</v>
      </c>
      <c r="C56" s="27">
        <f>+Tabla114[[#This Row],[COSTO CON IVA]]/Tabla114[[#This Row],[UTILIDAD]]</f>
        <v>8444.7999999999993</v>
      </c>
      <c r="D56" s="9">
        <f>+Tabla114[[#This Row],[PRECIO INSTALADOR (IVA INCLUIDO)]]-Tabla114[[#This Row],[DCTO TIENDA]]</f>
        <v>8022.5599999999995</v>
      </c>
      <c r="E56" s="9">
        <f>+Tabla114[[#This Row],[PRECIO INSTALADOR (IVA INCLUIDO)]]/0.7</f>
        <v>12064</v>
      </c>
      <c r="F56" s="8">
        <v>0.85</v>
      </c>
      <c r="G56" s="16">
        <f>+Tabla114[[#This Row],[COSTO]]*1.19</f>
        <v>7178.08</v>
      </c>
      <c r="H56" s="8">
        <f>+Tabla114[[#This Row],[PRECIO INSTALADOR (IVA INCLUIDO)]]*5%</f>
        <v>422.24</v>
      </c>
      <c r="I56" s="8"/>
      <c r="J56" s="7">
        <v>6032</v>
      </c>
    </row>
    <row r="57" spans="1:10" ht="15" x14ac:dyDescent="0.25">
      <c r="A57" s="23" t="s">
        <v>120</v>
      </c>
      <c r="B57" s="24" t="s">
        <v>121</v>
      </c>
      <c r="C57" s="27">
        <f>+Tabla114[[#This Row],[COSTO CON IVA]]/Tabla114[[#This Row],[UTILIDAD]]</f>
        <v>11902.8</v>
      </c>
      <c r="D57" s="9">
        <f>+Tabla114[[#This Row],[PRECIO INSTALADOR (IVA INCLUIDO)]]-Tabla114[[#This Row],[DCTO TIENDA]]</f>
        <v>11307.66</v>
      </c>
      <c r="E57" s="9">
        <f>+Tabla114[[#This Row],[PRECIO INSTALADOR (IVA INCLUIDO)]]/0.7</f>
        <v>17004</v>
      </c>
      <c r="F57" s="8">
        <v>0.85</v>
      </c>
      <c r="G57" s="16">
        <f>+Tabla114[[#This Row],[COSTO]]*1.19</f>
        <v>10117.379999999999</v>
      </c>
      <c r="H57" s="8">
        <f>+Tabla114[[#This Row],[PRECIO INSTALADOR (IVA INCLUIDO)]]*5%</f>
        <v>595.14</v>
      </c>
      <c r="I57" s="8"/>
      <c r="J57" s="7">
        <v>8502</v>
      </c>
    </row>
    <row r="58" spans="1:10" ht="15" x14ac:dyDescent="0.25">
      <c r="A58" s="23" t="s">
        <v>122</v>
      </c>
      <c r="B58" s="24" t="s">
        <v>123</v>
      </c>
      <c r="C58" s="27">
        <f>+Tabla114[[#This Row],[COSTO CON IVA]]/Tabla114[[#This Row],[UTILIDAD]]</f>
        <v>6456.45</v>
      </c>
      <c r="D58" s="9">
        <f>+Tabla114[[#This Row],[PRECIO INSTALADOR (IVA INCLUIDO)]]-Tabla114[[#This Row],[DCTO TIENDA]]</f>
        <v>6133.6274999999996</v>
      </c>
      <c r="E58" s="9">
        <f>+Tabla114[[#This Row],[PRECIO INSTALADOR (IVA INCLUIDO)]]/0.7</f>
        <v>9223.5</v>
      </c>
      <c r="F58" s="8">
        <v>0.85</v>
      </c>
      <c r="G58" s="16">
        <f>+Tabla114[[#This Row],[COSTO]]*1.19</f>
        <v>5487.9825000000001</v>
      </c>
      <c r="H58" s="8">
        <f>+Tabla114[[#This Row],[PRECIO INSTALADOR (IVA INCLUIDO)]]*5%</f>
        <v>322.82249999999999</v>
      </c>
      <c r="I58" s="8"/>
      <c r="J58" s="7">
        <v>4611.75</v>
      </c>
    </row>
    <row r="59" spans="1:10" ht="15" x14ac:dyDescent="0.25">
      <c r="A59" s="23" t="s">
        <v>124</v>
      </c>
      <c r="B59" s="24" t="s">
        <v>125</v>
      </c>
      <c r="C59" s="27">
        <f>+Tabla114[[#This Row],[COSTO CON IVA]]/Tabla114[[#This Row],[UTILIDAD]]</f>
        <v>9937.1999999999989</v>
      </c>
      <c r="D59" s="9">
        <f>+Tabla114[[#This Row],[PRECIO INSTALADOR (IVA INCLUIDO)]]-Tabla114[[#This Row],[DCTO TIENDA]]</f>
        <v>9440.3399999999983</v>
      </c>
      <c r="E59" s="9">
        <f>+Tabla114[[#This Row],[PRECIO INSTALADOR (IVA INCLUIDO)]]/0.7</f>
        <v>14196</v>
      </c>
      <c r="F59" s="8">
        <v>0.85</v>
      </c>
      <c r="G59" s="16">
        <f>+Tabla114[[#This Row],[COSTO]]*1.19</f>
        <v>8446.619999999999</v>
      </c>
      <c r="H59" s="8">
        <f>+Tabla114[[#This Row],[PRECIO INSTALADOR (IVA INCLUIDO)]]*5%</f>
        <v>496.85999999999996</v>
      </c>
      <c r="I59" s="8"/>
      <c r="J59" s="7">
        <v>7098</v>
      </c>
    </row>
    <row r="60" spans="1:10" ht="15" x14ac:dyDescent="0.25">
      <c r="A60" s="23" t="s">
        <v>126</v>
      </c>
      <c r="B60" s="24" t="s">
        <v>127</v>
      </c>
      <c r="C60" s="27">
        <f>+Tabla114[[#This Row],[COSTO CON IVA]]/Tabla114[[#This Row],[UTILIDAD]]</f>
        <v>14068.6</v>
      </c>
      <c r="D60" s="9">
        <f>+Tabla114[[#This Row],[PRECIO INSTALADOR (IVA INCLUIDO)]]-Tabla114[[#This Row],[DCTO TIENDA]]</f>
        <v>13365.17</v>
      </c>
      <c r="E60" s="9">
        <f>+Tabla114[[#This Row],[PRECIO INSTALADOR (IVA INCLUIDO)]]/0.7</f>
        <v>20098</v>
      </c>
      <c r="F60" s="8">
        <v>0.85</v>
      </c>
      <c r="G60" s="16">
        <f>+Tabla114[[#This Row],[COSTO]]*1.19</f>
        <v>11958.31</v>
      </c>
      <c r="H60" s="8">
        <f>+Tabla114[[#This Row],[PRECIO INSTALADOR (IVA INCLUIDO)]]*5%</f>
        <v>703.43000000000006</v>
      </c>
      <c r="I60" s="8"/>
      <c r="J60" s="7">
        <v>10049</v>
      </c>
    </row>
    <row r="61" spans="1:10" ht="15" x14ac:dyDescent="0.25">
      <c r="A61" s="23" t="s">
        <v>128</v>
      </c>
      <c r="B61" s="24" t="s">
        <v>129</v>
      </c>
      <c r="C61" s="27">
        <f>+Tabla114[[#This Row],[COSTO CON IVA]]/Tabla114[[#This Row],[UTILIDAD]]</f>
        <v>6060.6</v>
      </c>
      <c r="D61" s="9">
        <f>+Tabla114[[#This Row],[PRECIO INSTALADOR (IVA INCLUIDO)]]-Tabla114[[#This Row],[DCTO TIENDA]]</f>
        <v>5757.5700000000006</v>
      </c>
      <c r="E61" s="9">
        <f>+Tabla114[[#This Row],[PRECIO INSTALADOR (IVA INCLUIDO)]]/0.7</f>
        <v>8658.0000000000018</v>
      </c>
      <c r="F61" s="8">
        <v>0.85</v>
      </c>
      <c r="G61" s="16">
        <f>+Tabla114[[#This Row],[COSTO]]*1.19</f>
        <v>5151.51</v>
      </c>
      <c r="H61" s="8">
        <f>+Tabla114[[#This Row],[PRECIO INSTALADOR (IVA INCLUIDO)]]*5%</f>
        <v>303.03000000000003</v>
      </c>
      <c r="I61" s="8"/>
      <c r="J61" s="7">
        <v>4329</v>
      </c>
    </row>
    <row r="62" spans="1:10" ht="15" x14ac:dyDescent="0.25">
      <c r="A62" s="23" t="s">
        <v>130</v>
      </c>
      <c r="B62" s="24" t="s">
        <v>131</v>
      </c>
      <c r="C62" s="27">
        <f>+Tabla114[[#This Row],[COSTO CON IVA]]/Tabla114[[#This Row],[UTILIDAD]]</f>
        <v>9100</v>
      </c>
      <c r="D62" s="9">
        <f>+Tabla114[[#This Row],[PRECIO INSTALADOR (IVA INCLUIDO)]]-Tabla114[[#This Row],[DCTO TIENDA]]</f>
        <v>8645</v>
      </c>
      <c r="E62" s="9">
        <f>+Tabla114[[#This Row],[PRECIO INSTALADOR (IVA INCLUIDO)]]/0.7</f>
        <v>13000</v>
      </c>
      <c r="F62" s="8">
        <v>0.85</v>
      </c>
      <c r="G62" s="16">
        <f>+Tabla114[[#This Row],[COSTO]]*1.19</f>
        <v>7735</v>
      </c>
      <c r="H62" s="8">
        <f>+Tabla114[[#This Row],[PRECIO INSTALADOR (IVA INCLUIDO)]]*5%</f>
        <v>455</v>
      </c>
      <c r="I62" s="8"/>
      <c r="J62" s="7">
        <v>6500</v>
      </c>
    </row>
    <row r="63" spans="1:10" ht="15" x14ac:dyDescent="0.25">
      <c r="A63" s="23" t="s">
        <v>132</v>
      </c>
      <c r="B63" s="24" t="s">
        <v>133</v>
      </c>
      <c r="C63" s="27">
        <f>+Tabla114[[#This Row],[COSTO CON IVA]]/Tabla114[[#This Row],[UTILIDAD]]</f>
        <v>12740</v>
      </c>
      <c r="D63" s="9">
        <f>+Tabla114[[#This Row],[PRECIO INSTALADOR (IVA INCLUIDO)]]-Tabla114[[#This Row],[DCTO TIENDA]]</f>
        <v>12103</v>
      </c>
      <c r="E63" s="9">
        <f>+Tabla114[[#This Row],[PRECIO INSTALADOR (IVA INCLUIDO)]]/0.7</f>
        <v>18200</v>
      </c>
      <c r="F63" s="8">
        <v>0.85</v>
      </c>
      <c r="G63" s="16">
        <f>+Tabla114[[#This Row],[COSTO]]*1.19</f>
        <v>10829</v>
      </c>
      <c r="H63" s="8">
        <f>+Tabla114[[#This Row],[PRECIO INSTALADOR (IVA INCLUIDO)]]*5%</f>
        <v>637</v>
      </c>
      <c r="I63" s="8"/>
      <c r="J63" s="7">
        <v>9100</v>
      </c>
    </row>
    <row r="64" spans="1:10" ht="15" x14ac:dyDescent="0.25">
      <c r="A64" s="23" t="s">
        <v>134</v>
      </c>
      <c r="B64" s="24" t="s">
        <v>135</v>
      </c>
      <c r="C64" s="27">
        <f>+Tabla114[[#This Row],[COSTO CON IVA]]/Tabla114[[#This Row],[UTILIDAD]]</f>
        <v>9609.6</v>
      </c>
      <c r="D64" s="9">
        <f>+Tabla114[[#This Row],[PRECIO INSTALADOR (IVA INCLUIDO)]]-Tabla114[[#This Row],[DCTO TIENDA]]</f>
        <v>9129.1200000000008</v>
      </c>
      <c r="E64" s="9">
        <f>+Tabla114[[#This Row],[PRECIO INSTALADOR (IVA INCLUIDO)]]/0.7</f>
        <v>13728.000000000002</v>
      </c>
      <c r="F64" s="8">
        <v>0.85</v>
      </c>
      <c r="G64" s="16">
        <f>+Tabla114[[#This Row],[COSTO]]*1.19</f>
        <v>8168.16</v>
      </c>
      <c r="H64" s="8">
        <f>+Tabla114[[#This Row],[PRECIO INSTALADOR (IVA INCLUIDO)]]*5%</f>
        <v>480.48</v>
      </c>
      <c r="I64" s="8"/>
      <c r="J64" s="7">
        <v>6864</v>
      </c>
    </row>
    <row r="65" spans="1:10" ht="15" x14ac:dyDescent="0.25">
      <c r="A65" s="23" t="s">
        <v>136</v>
      </c>
      <c r="B65" s="24" t="s">
        <v>137</v>
      </c>
      <c r="C65" s="27">
        <f>+Tabla114[[#This Row],[COSTO CON IVA]]/Tabla114[[#This Row],[UTILIDAD]]</f>
        <v>9577.75</v>
      </c>
      <c r="D65" s="9">
        <f>+Tabla114[[#This Row],[PRECIO INSTALADOR (IVA INCLUIDO)]]-Tabla114[[#This Row],[DCTO TIENDA]]</f>
        <v>9098.8624999999993</v>
      </c>
      <c r="E65" s="9">
        <f>+Tabla114[[#This Row],[PRECIO INSTALADOR (IVA INCLUIDO)]]/0.7</f>
        <v>13682.5</v>
      </c>
      <c r="F65" s="8">
        <v>0.85</v>
      </c>
      <c r="G65" s="16">
        <f>+Tabla114[[#This Row],[COSTO]]*1.19</f>
        <v>8141.0874999999996</v>
      </c>
      <c r="H65" s="8">
        <f>+Tabla114[[#This Row],[PRECIO INSTALADOR (IVA INCLUIDO)]]*5%</f>
        <v>478.88750000000005</v>
      </c>
      <c r="I65" s="8"/>
      <c r="J65" s="7">
        <v>6841.25</v>
      </c>
    </row>
    <row r="66" spans="1:10" ht="15" x14ac:dyDescent="0.25">
      <c r="A66" s="23" t="s">
        <v>138</v>
      </c>
      <c r="B66" s="24" t="s">
        <v>139</v>
      </c>
      <c r="C66" s="27">
        <f>+Tabla114[[#This Row],[COSTO CON IVA]]/Tabla114[[#This Row],[UTILIDAD]]</f>
        <v>9090.9</v>
      </c>
      <c r="D66" s="9">
        <f>+Tabla114[[#This Row],[PRECIO INSTALADOR (IVA INCLUIDO)]]-Tabla114[[#This Row],[DCTO TIENDA]]</f>
        <v>8636.3549999999996</v>
      </c>
      <c r="E66" s="9">
        <f>+Tabla114[[#This Row],[PRECIO INSTALADOR (IVA INCLUIDO)]]/0.7</f>
        <v>12987</v>
      </c>
      <c r="F66" s="8">
        <v>0.85</v>
      </c>
      <c r="G66" s="16">
        <f>+Tabla114[[#This Row],[COSTO]]*1.19</f>
        <v>7727.2649999999994</v>
      </c>
      <c r="H66" s="8">
        <f>+Tabla114[[#This Row],[PRECIO INSTALADOR (IVA INCLUIDO)]]*5%</f>
        <v>454.54500000000002</v>
      </c>
      <c r="I66" s="8"/>
      <c r="J66" s="7">
        <v>6493.5</v>
      </c>
    </row>
    <row r="67" spans="1:10" ht="15" x14ac:dyDescent="0.25">
      <c r="A67" s="23" t="s">
        <v>140</v>
      </c>
      <c r="B67" s="24" t="s">
        <v>141</v>
      </c>
      <c r="C67" s="27">
        <f>+Tabla114[[#This Row],[COSTO CON IVA]]/Tabla114[[#This Row],[UTILIDAD]]</f>
        <v>9636.9</v>
      </c>
      <c r="D67" s="9">
        <f>+Tabla114[[#This Row],[PRECIO INSTALADOR (IVA INCLUIDO)]]-Tabla114[[#This Row],[DCTO TIENDA]]</f>
        <v>9155.0550000000003</v>
      </c>
      <c r="E67" s="9">
        <f>+Tabla114[[#This Row],[PRECIO INSTALADOR (IVA INCLUIDO)]]/0.7</f>
        <v>13767</v>
      </c>
      <c r="F67" s="8">
        <v>0.85</v>
      </c>
      <c r="G67" s="16">
        <f>+Tabla114[[#This Row],[COSTO]]*1.19</f>
        <v>8191.3649999999998</v>
      </c>
      <c r="H67" s="8">
        <f>+Tabla114[[#This Row],[PRECIO INSTALADOR (IVA INCLUIDO)]]*5%</f>
        <v>481.84500000000003</v>
      </c>
      <c r="I67" s="8"/>
      <c r="J67" s="7">
        <v>6883.5</v>
      </c>
    </row>
    <row r="68" spans="1:10" ht="15" x14ac:dyDescent="0.25">
      <c r="A68" s="23" t="s">
        <v>142</v>
      </c>
      <c r="B68" s="24" t="s">
        <v>143</v>
      </c>
      <c r="C68" s="27">
        <f>+Tabla114[[#This Row],[COSTO CON IVA]]/Tabla114[[#This Row],[UTILIDAD]]</f>
        <v>14560</v>
      </c>
      <c r="D68" s="9">
        <f>+Tabla114[[#This Row],[PRECIO INSTALADOR (IVA INCLUIDO)]]-Tabla114[[#This Row],[DCTO TIENDA]]</f>
        <v>13832</v>
      </c>
      <c r="E68" s="9">
        <f>+Tabla114[[#This Row],[PRECIO INSTALADOR (IVA INCLUIDO)]]/0.7</f>
        <v>20800</v>
      </c>
      <c r="F68" s="8">
        <v>0.85</v>
      </c>
      <c r="G68" s="16">
        <f>+Tabla114[[#This Row],[COSTO]]*1.19</f>
        <v>12376</v>
      </c>
      <c r="H68" s="8">
        <f>+Tabla114[[#This Row],[PRECIO INSTALADOR (IVA INCLUIDO)]]*5%</f>
        <v>728</v>
      </c>
      <c r="I68" s="8"/>
      <c r="J68" s="7">
        <v>10400</v>
      </c>
    </row>
    <row r="69" spans="1:10" ht="15" x14ac:dyDescent="0.25">
      <c r="A69" s="23" t="s">
        <v>144</v>
      </c>
      <c r="B69" s="24" t="s">
        <v>145</v>
      </c>
      <c r="C69" s="27">
        <f>+Tabla114[[#This Row],[COSTO CON IVA]]/Tabla114[[#This Row],[UTILIDAD]]</f>
        <v>6142.5</v>
      </c>
      <c r="D69" s="9">
        <f>+Tabla114[[#This Row],[PRECIO INSTALADOR (IVA INCLUIDO)]]-Tabla114[[#This Row],[DCTO TIENDA]]</f>
        <v>5835.375</v>
      </c>
      <c r="E69" s="9">
        <f>+Tabla114[[#This Row],[PRECIO INSTALADOR (IVA INCLUIDO)]]/0.7</f>
        <v>8775</v>
      </c>
      <c r="F69" s="8">
        <v>0.85</v>
      </c>
      <c r="G69" s="16">
        <f>+Tabla114[[#This Row],[COSTO]]*1.19</f>
        <v>5221.125</v>
      </c>
      <c r="H69" s="8">
        <f>+Tabla114[[#This Row],[PRECIO INSTALADOR (IVA INCLUIDO)]]*5%</f>
        <v>307.125</v>
      </c>
      <c r="I69" s="8"/>
      <c r="J69" s="7">
        <v>4387.5</v>
      </c>
    </row>
    <row r="70" spans="1:10" ht="15" x14ac:dyDescent="0.25">
      <c r="A70" s="23" t="s">
        <v>146</v>
      </c>
      <c r="B70" s="24" t="s">
        <v>147</v>
      </c>
      <c r="C70" s="27">
        <f>+Tabla114[[#This Row],[COSTO CON IVA]]/Tabla114[[#This Row],[UTILIDAD]]</f>
        <v>9736.9999999999982</v>
      </c>
      <c r="D70" s="9">
        <f>+Tabla114[[#This Row],[PRECIO INSTALADOR (IVA INCLUIDO)]]-Tabla114[[#This Row],[DCTO TIENDA]]</f>
        <v>9250.1499999999978</v>
      </c>
      <c r="E70" s="9">
        <f>+Tabla114[[#This Row],[PRECIO INSTALADOR (IVA INCLUIDO)]]/0.7</f>
        <v>13909.999999999998</v>
      </c>
      <c r="F70" s="8">
        <v>0.85</v>
      </c>
      <c r="G70" s="16">
        <f>+Tabla114[[#This Row],[COSTO]]*1.19</f>
        <v>8276.4499999999989</v>
      </c>
      <c r="H70" s="8">
        <f>+Tabla114[[#This Row],[PRECIO INSTALADOR (IVA INCLUIDO)]]*5%</f>
        <v>486.84999999999991</v>
      </c>
      <c r="I70" s="8"/>
      <c r="J70" s="7">
        <v>6955</v>
      </c>
    </row>
    <row r="71" spans="1:10" ht="15" x14ac:dyDescent="0.25">
      <c r="A71" s="23" t="s">
        <v>148</v>
      </c>
      <c r="B71" s="24" t="s">
        <v>149</v>
      </c>
      <c r="C71" s="27">
        <f>+Tabla114[[#This Row],[COSTO CON IVA]]/Tabla114[[#This Row],[UTILIDAD]]</f>
        <v>6779.5</v>
      </c>
      <c r="D71" s="9">
        <f>+Tabla114[[#This Row],[PRECIO INSTALADOR (IVA INCLUIDO)]]-Tabla114[[#This Row],[DCTO TIENDA]]</f>
        <v>6440.5249999999996</v>
      </c>
      <c r="E71" s="9">
        <f>+Tabla114[[#This Row],[PRECIO INSTALADOR (IVA INCLUIDO)]]/0.7</f>
        <v>9685</v>
      </c>
      <c r="F71" s="8">
        <v>0.85</v>
      </c>
      <c r="G71" s="16">
        <f>+Tabla114[[#This Row],[COSTO]]*1.19</f>
        <v>5762.5749999999998</v>
      </c>
      <c r="H71" s="8">
        <f>+Tabla114[[#This Row],[PRECIO INSTALADOR (IVA INCLUIDO)]]*5%</f>
        <v>338.97500000000002</v>
      </c>
      <c r="I71" s="8"/>
      <c r="J71" s="7">
        <v>4842.5</v>
      </c>
    </row>
    <row r="72" spans="1:10" ht="15" x14ac:dyDescent="0.25">
      <c r="A72" s="23" t="s">
        <v>150</v>
      </c>
      <c r="B72" s="24" t="s">
        <v>151</v>
      </c>
      <c r="C72" s="27">
        <f>+Tabla114[[#This Row],[COSTO CON IVA]]/Tabla114[[#This Row],[UTILIDAD]]</f>
        <v>5778.4999999999991</v>
      </c>
      <c r="D72" s="9">
        <f>+Tabla114[[#This Row],[PRECIO INSTALADOR (IVA INCLUIDO)]]-Tabla114[[#This Row],[DCTO TIENDA]]</f>
        <v>5489.5749999999989</v>
      </c>
      <c r="E72" s="9">
        <f>+Tabla114[[#This Row],[PRECIO INSTALADOR (IVA INCLUIDO)]]/0.7</f>
        <v>8255</v>
      </c>
      <c r="F72" s="8">
        <v>0.85</v>
      </c>
      <c r="G72" s="16">
        <f>+Tabla114[[#This Row],[COSTO]]*1.19</f>
        <v>4911.7249999999995</v>
      </c>
      <c r="H72" s="8">
        <f>+Tabla114[[#This Row],[PRECIO INSTALADOR (IVA INCLUIDO)]]*5%</f>
        <v>288.92499999999995</v>
      </c>
      <c r="I72" s="8"/>
      <c r="J72" s="7">
        <v>4127.5</v>
      </c>
    </row>
    <row r="73" spans="1:10" ht="15" x14ac:dyDescent="0.25">
      <c r="A73" s="23" t="s">
        <v>152</v>
      </c>
      <c r="B73" s="24" t="s">
        <v>153</v>
      </c>
      <c r="C73" s="27">
        <f>+Tabla114[[#This Row],[COSTO CON IVA]]/Tabla114[[#This Row],[UTILIDAD]]</f>
        <v>8517.6</v>
      </c>
      <c r="D73" s="9">
        <f>+Tabla114[[#This Row],[PRECIO INSTALADOR (IVA INCLUIDO)]]-Tabla114[[#This Row],[DCTO TIENDA]]</f>
        <v>8091.72</v>
      </c>
      <c r="E73" s="9">
        <f>+Tabla114[[#This Row],[PRECIO INSTALADOR (IVA INCLUIDO)]]/0.7</f>
        <v>12168.000000000002</v>
      </c>
      <c r="F73" s="8">
        <v>0.85</v>
      </c>
      <c r="G73" s="16">
        <f>+Tabla114[[#This Row],[COSTO]]*1.19</f>
        <v>7239.96</v>
      </c>
      <c r="H73" s="8">
        <f>+Tabla114[[#This Row],[PRECIO INSTALADOR (IVA INCLUIDO)]]*5%</f>
        <v>425.88000000000005</v>
      </c>
      <c r="I73" s="8"/>
      <c r="J73" s="7">
        <v>6084</v>
      </c>
    </row>
    <row r="74" spans="1:10" ht="15" x14ac:dyDescent="0.25">
      <c r="A74" s="23" t="s">
        <v>154</v>
      </c>
      <c r="B74" s="24" t="s">
        <v>155</v>
      </c>
      <c r="C74" s="27">
        <f>+Tabla114[[#This Row],[COSTO CON IVA]]/Tabla114[[#This Row],[UTILIDAD]]</f>
        <v>5733</v>
      </c>
      <c r="D74" s="9">
        <f>+Tabla114[[#This Row],[PRECIO INSTALADOR (IVA INCLUIDO)]]-Tabla114[[#This Row],[DCTO TIENDA]]</f>
        <v>5446.35</v>
      </c>
      <c r="E74" s="9">
        <f>+Tabla114[[#This Row],[PRECIO INSTALADOR (IVA INCLUIDO)]]/0.7</f>
        <v>8190.0000000000009</v>
      </c>
      <c r="F74" s="8">
        <v>0.85</v>
      </c>
      <c r="G74" s="16">
        <f>+Tabla114[[#This Row],[COSTO]]*1.19</f>
        <v>4873.05</v>
      </c>
      <c r="H74" s="8">
        <f>+Tabla114[[#This Row],[PRECIO INSTALADOR (IVA INCLUIDO)]]*5%</f>
        <v>286.65000000000003</v>
      </c>
      <c r="I74" s="8"/>
      <c r="J74" s="7">
        <v>4095</v>
      </c>
    </row>
    <row r="75" spans="1:10" ht="15" x14ac:dyDescent="0.25">
      <c r="A75" s="23" t="s">
        <v>156</v>
      </c>
      <c r="B75" s="24" t="s">
        <v>157</v>
      </c>
      <c r="C75" s="27">
        <f>+Tabla114[[#This Row],[COSTO CON IVA]]/Tabla114[[#This Row],[UTILIDAD]]</f>
        <v>8326.5</v>
      </c>
      <c r="D75" s="9">
        <f>+Tabla114[[#This Row],[PRECIO INSTALADOR (IVA INCLUIDO)]]-Tabla114[[#This Row],[DCTO TIENDA]]</f>
        <v>7910.1750000000002</v>
      </c>
      <c r="E75" s="9">
        <f>+Tabla114[[#This Row],[PRECIO INSTALADOR (IVA INCLUIDO)]]/0.7</f>
        <v>11895</v>
      </c>
      <c r="F75" s="8">
        <v>0.85</v>
      </c>
      <c r="G75" s="16">
        <f>+Tabla114[[#This Row],[COSTO]]*1.19</f>
        <v>7077.5249999999996</v>
      </c>
      <c r="H75" s="8">
        <f>+Tabla114[[#This Row],[PRECIO INSTALADOR (IVA INCLUIDO)]]*5%</f>
        <v>416.32500000000005</v>
      </c>
      <c r="I75" s="8"/>
      <c r="J75" s="7">
        <v>5947.5</v>
      </c>
    </row>
    <row r="76" spans="1:10" ht="15" x14ac:dyDescent="0.25">
      <c r="A76" s="23" t="s">
        <v>158</v>
      </c>
      <c r="B76" s="24" t="s">
        <v>159</v>
      </c>
      <c r="C76" s="27">
        <f>+Tabla114[[#This Row],[COSTO CON IVA]]/Tabla114[[#This Row],[UTILIDAD]]</f>
        <v>3075.7999999999997</v>
      </c>
      <c r="D76" s="9">
        <f>+Tabla114[[#This Row],[PRECIO INSTALADOR (IVA INCLUIDO)]]-Tabla114[[#This Row],[DCTO TIENDA]]</f>
        <v>2922.0099999999998</v>
      </c>
      <c r="E76" s="9">
        <f>+Tabla114[[#This Row],[PRECIO INSTALADOR (IVA INCLUIDO)]]/0.7</f>
        <v>4394</v>
      </c>
      <c r="F76" s="8">
        <v>0.85</v>
      </c>
      <c r="G76" s="16">
        <f>+Tabla114[[#This Row],[COSTO]]*1.19</f>
        <v>2614.4299999999998</v>
      </c>
      <c r="H76" s="8">
        <f>+Tabla114[[#This Row],[PRECIO INSTALADOR (IVA INCLUIDO)]]*5%</f>
        <v>153.79</v>
      </c>
      <c r="I76" s="8"/>
      <c r="J76" s="7">
        <v>2197</v>
      </c>
    </row>
    <row r="77" spans="1:10" ht="15" x14ac:dyDescent="0.25">
      <c r="A77" s="23" t="s">
        <v>160</v>
      </c>
      <c r="B77" s="24" t="s">
        <v>161</v>
      </c>
      <c r="C77" s="27">
        <f>+Tabla114[[#This Row],[COSTO CON IVA]]/Tabla114[[#This Row],[UTILIDAD]]</f>
        <v>3075.7999999999997</v>
      </c>
      <c r="D77" s="9">
        <f>+Tabla114[[#This Row],[PRECIO INSTALADOR (IVA INCLUIDO)]]-Tabla114[[#This Row],[DCTO TIENDA]]</f>
        <v>2922.0099999999998</v>
      </c>
      <c r="E77" s="9">
        <f>+Tabla114[[#This Row],[PRECIO INSTALADOR (IVA INCLUIDO)]]/0.7</f>
        <v>4394</v>
      </c>
      <c r="F77" s="8">
        <v>0.85</v>
      </c>
      <c r="G77" s="16">
        <f>+Tabla114[[#This Row],[COSTO]]*1.19</f>
        <v>2614.4299999999998</v>
      </c>
      <c r="H77" s="8">
        <f>+Tabla114[[#This Row],[PRECIO INSTALADOR (IVA INCLUIDO)]]*5%</f>
        <v>153.79</v>
      </c>
      <c r="I77" s="8"/>
      <c r="J77" s="7">
        <v>2197</v>
      </c>
    </row>
    <row r="78" spans="1:10" ht="15" x14ac:dyDescent="0.25">
      <c r="A78" s="23" t="s">
        <v>162</v>
      </c>
      <c r="B78" s="24" t="s">
        <v>163</v>
      </c>
      <c r="C78" s="27">
        <f>+Tabla114[[#This Row],[COSTO CON IVA]]/Tabla114[[#This Row],[UTILIDAD]]</f>
        <v>3075.7999999999997</v>
      </c>
      <c r="D78" s="9">
        <f>+Tabla114[[#This Row],[PRECIO INSTALADOR (IVA INCLUIDO)]]-Tabla114[[#This Row],[DCTO TIENDA]]</f>
        <v>2922.0099999999998</v>
      </c>
      <c r="E78" s="9">
        <f>+Tabla114[[#This Row],[PRECIO INSTALADOR (IVA INCLUIDO)]]/0.7</f>
        <v>4394</v>
      </c>
      <c r="F78" s="8">
        <v>0.85</v>
      </c>
      <c r="G78" s="16">
        <f>+Tabla114[[#This Row],[COSTO]]*1.19</f>
        <v>2614.4299999999998</v>
      </c>
      <c r="H78" s="8">
        <f>+Tabla114[[#This Row],[PRECIO INSTALADOR (IVA INCLUIDO)]]*5%</f>
        <v>153.79</v>
      </c>
      <c r="I78" s="8"/>
      <c r="J78" s="7">
        <v>2197</v>
      </c>
    </row>
    <row r="79" spans="1:10" ht="15" x14ac:dyDescent="0.25">
      <c r="A79" s="23" t="s">
        <v>164</v>
      </c>
      <c r="B79" s="24" t="s">
        <v>165</v>
      </c>
      <c r="C79" s="27">
        <f>+Tabla114[[#This Row],[COSTO CON IVA]]/Tabla114[[#This Row],[UTILIDAD]]</f>
        <v>3075.7999999999997</v>
      </c>
      <c r="D79" s="9">
        <f>+Tabla114[[#This Row],[PRECIO INSTALADOR (IVA INCLUIDO)]]-Tabla114[[#This Row],[DCTO TIENDA]]</f>
        <v>2922.0099999999998</v>
      </c>
      <c r="E79" s="9">
        <f>+Tabla114[[#This Row],[PRECIO INSTALADOR (IVA INCLUIDO)]]/0.7</f>
        <v>4394</v>
      </c>
      <c r="F79" s="8">
        <v>0.85</v>
      </c>
      <c r="G79" s="16">
        <f>+Tabla114[[#This Row],[COSTO]]*1.19</f>
        <v>2614.4299999999998</v>
      </c>
      <c r="H79" s="8">
        <f>+Tabla114[[#This Row],[PRECIO INSTALADOR (IVA INCLUIDO)]]*5%</f>
        <v>153.79</v>
      </c>
      <c r="I79" s="8"/>
      <c r="J79" s="7">
        <v>2197</v>
      </c>
    </row>
    <row r="80" spans="1:10" ht="15" x14ac:dyDescent="0.25">
      <c r="A80" s="23" t="s">
        <v>166</v>
      </c>
      <c r="B80" s="24" t="s">
        <v>167</v>
      </c>
      <c r="C80" s="27">
        <f>+Tabla114[[#This Row],[COSTO CON IVA]]/Tabla114[[#This Row],[UTILIDAD]]</f>
        <v>3075.7999999999997</v>
      </c>
      <c r="D80" s="9">
        <f>+Tabla114[[#This Row],[PRECIO INSTALADOR (IVA INCLUIDO)]]-Tabla114[[#This Row],[DCTO TIENDA]]</f>
        <v>2922.0099999999998</v>
      </c>
      <c r="E80" s="9">
        <f>+Tabla114[[#This Row],[PRECIO INSTALADOR (IVA INCLUIDO)]]/0.7</f>
        <v>4394</v>
      </c>
      <c r="F80" s="8">
        <v>0.85</v>
      </c>
      <c r="G80" s="16">
        <f>+Tabla114[[#This Row],[COSTO]]*1.19</f>
        <v>2614.4299999999998</v>
      </c>
      <c r="H80" s="8">
        <f>+Tabla114[[#This Row],[PRECIO INSTALADOR (IVA INCLUIDO)]]*5%</f>
        <v>153.79</v>
      </c>
      <c r="I80" s="8"/>
      <c r="J80" s="7">
        <v>2197</v>
      </c>
    </row>
    <row r="81" spans="1:10" ht="15" x14ac:dyDescent="0.25">
      <c r="A81" s="23" t="s">
        <v>168</v>
      </c>
      <c r="B81" s="24" t="s">
        <v>169</v>
      </c>
      <c r="C81" s="27">
        <f>+Tabla114[[#This Row],[COSTO CON IVA]]/Tabla114[[#This Row],[UTILIDAD]]</f>
        <v>1728.9999999999998</v>
      </c>
      <c r="D81" s="9">
        <f>+Tabla114[[#This Row],[PRECIO INSTALADOR (IVA INCLUIDO)]]-Tabla114[[#This Row],[DCTO TIENDA]]</f>
        <v>1642.5499999999997</v>
      </c>
      <c r="E81" s="9">
        <f>+Tabla114[[#This Row],[PRECIO INSTALADOR (IVA INCLUIDO)]]/0.7</f>
        <v>2470</v>
      </c>
      <c r="F81" s="8">
        <v>0.85</v>
      </c>
      <c r="G81" s="16">
        <f>+Tabla114[[#This Row],[COSTO]]*1.19</f>
        <v>1469.6499999999999</v>
      </c>
      <c r="H81" s="8">
        <f>+Tabla114[[#This Row],[PRECIO INSTALADOR (IVA INCLUIDO)]]*5%</f>
        <v>86.449999999999989</v>
      </c>
      <c r="I81" s="8"/>
      <c r="J81" s="7">
        <v>1235</v>
      </c>
    </row>
    <row r="82" spans="1:10" ht="15" x14ac:dyDescent="0.25">
      <c r="A82" s="23" t="s">
        <v>170</v>
      </c>
      <c r="B82" s="24" t="s">
        <v>171</v>
      </c>
      <c r="C82" s="27">
        <f>+Tabla114[[#This Row],[COSTO CON IVA]]/Tabla114[[#This Row],[UTILIDAD]]</f>
        <v>1728.9999999999998</v>
      </c>
      <c r="D82" s="9">
        <f>+Tabla114[[#This Row],[PRECIO INSTALADOR (IVA INCLUIDO)]]-Tabla114[[#This Row],[DCTO TIENDA]]</f>
        <v>1642.5499999999997</v>
      </c>
      <c r="E82" s="9">
        <f>+Tabla114[[#This Row],[PRECIO INSTALADOR (IVA INCLUIDO)]]/0.7</f>
        <v>2470</v>
      </c>
      <c r="F82" s="8">
        <v>0.85</v>
      </c>
      <c r="G82" s="16">
        <f>+Tabla114[[#This Row],[COSTO]]*1.19</f>
        <v>1469.6499999999999</v>
      </c>
      <c r="H82" s="8">
        <f>+Tabla114[[#This Row],[PRECIO INSTALADOR (IVA INCLUIDO)]]*5%</f>
        <v>86.449999999999989</v>
      </c>
      <c r="I82" s="8"/>
      <c r="J82" s="7">
        <v>1235</v>
      </c>
    </row>
    <row r="83" spans="1:10" ht="15" x14ac:dyDescent="0.25">
      <c r="A83" s="23" t="s">
        <v>172</v>
      </c>
      <c r="B83" s="24" t="s">
        <v>173</v>
      </c>
      <c r="C83" s="27">
        <f>+Tabla114[[#This Row],[COSTO CON IVA]]/Tabla114[[#This Row],[UTILIDAD]]</f>
        <v>1728.9999999999998</v>
      </c>
      <c r="D83" s="9">
        <f>+Tabla114[[#This Row],[PRECIO INSTALADOR (IVA INCLUIDO)]]-Tabla114[[#This Row],[DCTO TIENDA]]</f>
        <v>1642.5499999999997</v>
      </c>
      <c r="E83" s="9">
        <f>+Tabla114[[#This Row],[PRECIO INSTALADOR (IVA INCLUIDO)]]/0.7</f>
        <v>2470</v>
      </c>
      <c r="F83" s="8">
        <v>0.85</v>
      </c>
      <c r="G83" s="16">
        <f>+Tabla114[[#This Row],[COSTO]]*1.19</f>
        <v>1469.6499999999999</v>
      </c>
      <c r="H83" s="8">
        <f>+Tabla114[[#This Row],[PRECIO INSTALADOR (IVA INCLUIDO)]]*5%</f>
        <v>86.449999999999989</v>
      </c>
      <c r="I83" s="8"/>
      <c r="J83" s="7">
        <v>1235</v>
      </c>
    </row>
    <row r="84" spans="1:10" ht="15" x14ac:dyDescent="0.25">
      <c r="A84" s="23" t="s">
        <v>174</v>
      </c>
      <c r="B84" s="24" t="s">
        <v>175</v>
      </c>
      <c r="C84" s="27">
        <f>+Tabla114[[#This Row],[COSTO CON IVA]]/Tabla114[[#This Row],[UTILIDAD]]</f>
        <v>1728.9999999999998</v>
      </c>
      <c r="D84" s="9">
        <f>+Tabla114[[#This Row],[PRECIO INSTALADOR (IVA INCLUIDO)]]-Tabla114[[#This Row],[DCTO TIENDA]]</f>
        <v>1642.5499999999997</v>
      </c>
      <c r="E84" s="9">
        <f>+Tabla114[[#This Row],[PRECIO INSTALADOR (IVA INCLUIDO)]]/0.7</f>
        <v>2470</v>
      </c>
      <c r="F84" s="8">
        <v>0.85</v>
      </c>
      <c r="G84" s="16">
        <f>+Tabla114[[#This Row],[COSTO]]*1.19</f>
        <v>1469.6499999999999</v>
      </c>
      <c r="H84" s="8">
        <f>+Tabla114[[#This Row],[PRECIO INSTALADOR (IVA INCLUIDO)]]*5%</f>
        <v>86.449999999999989</v>
      </c>
      <c r="I84" s="8"/>
      <c r="J84" s="7">
        <v>1235</v>
      </c>
    </row>
    <row r="85" spans="1:10" ht="15" x14ac:dyDescent="0.25">
      <c r="A85" s="23" t="s">
        <v>176</v>
      </c>
      <c r="B85" s="24" t="s">
        <v>177</v>
      </c>
      <c r="C85" s="27">
        <f>+Tabla114[[#This Row],[COSTO CON IVA]]/Tabla114[[#This Row],[UTILIDAD]]</f>
        <v>7032.48</v>
      </c>
      <c r="D85" s="9">
        <f>+Tabla114[[#This Row],[PRECIO INSTALADOR (IVA INCLUIDO)]]-Tabla114[[#This Row],[DCTO TIENDA]]</f>
        <v>6680.8559999999998</v>
      </c>
      <c r="E85" s="9">
        <f>+Tabla114[[#This Row],[PRECIO INSTALADOR (IVA INCLUIDO)]]/0.7</f>
        <v>10046.4</v>
      </c>
      <c r="F85" s="8">
        <v>0.85</v>
      </c>
      <c r="G85" s="16">
        <f>+Tabla114[[#This Row],[COSTO]]*1.19</f>
        <v>5977.6079999999993</v>
      </c>
      <c r="H85" s="8">
        <f>+Tabla114[[#This Row],[PRECIO INSTALADOR (IVA INCLUIDO)]]*5%</f>
        <v>351.62400000000002</v>
      </c>
      <c r="I85" s="8"/>
      <c r="J85" s="7">
        <v>5023.2</v>
      </c>
    </row>
    <row r="86" spans="1:10" ht="15" x14ac:dyDescent="0.25">
      <c r="A86" s="23" t="s">
        <v>178</v>
      </c>
      <c r="B86" s="24" t="s">
        <v>179</v>
      </c>
      <c r="C86" s="27">
        <f>+Tabla114[[#This Row],[COSTO CON IVA]]/Tabla114[[#This Row],[UTILIDAD]]</f>
        <v>9277.4499999999989</v>
      </c>
      <c r="D86" s="9">
        <f>+Tabla114[[#This Row],[PRECIO INSTALADOR (IVA INCLUIDO)]]-Tabla114[[#This Row],[DCTO TIENDA]]</f>
        <v>8813.5774999999994</v>
      </c>
      <c r="E86" s="9">
        <f>+Tabla114[[#This Row],[PRECIO INSTALADOR (IVA INCLUIDO)]]/0.7</f>
        <v>13253.5</v>
      </c>
      <c r="F86" s="8">
        <v>0.85</v>
      </c>
      <c r="G86" s="16">
        <f>+Tabla114[[#This Row],[COSTO]]*1.19</f>
        <v>7885.8324999999995</v>
      </c>
      <c r="H86" s="8">
        <f>+Tabla114[[#This Row],[PRECIO INSTALADOR (IVA INCLUIDO)]]*5%</f>
        <v>463.87249999999995</v>
      </c>
      <c r="I86" s="8"/>
      <c r="J86" s="7">
        <v>6626.75</v>
      </c>
    </row>
    <row r="87" spans="1:10" ht="15" x14ac:dyDescent="0.25">
      <c r="A87" s="23" t="s">
        <v>180</v>
      </c>
      <c r="B87" s="24" t="s">
        <v>181</v>
      </c>
      <c r="C87" s="27">
        <f>+Tabla114[[#This Row],[COSTO CON IVA]]/Tabla114[[#This Row],[UTILIDAD]]</f>
        <v>11356.8</v>
      </c>
      <c r="D87" s="9">
        <f>+Tabla114[[#This Row],[PRECIO INSTALADOR (IVA INCLUIDO)]]-Tabla114[[#This Row],[DCTO TIENDA]]</f>
        <v>10788.96</v>
      </c>
      <c r="E87" s="9">
        <f>+Tabla114[[#This Row],[PRECIO INSTALADOR (IVA INCLUIDO)]]/0.7</f>
        <v>16224</v>
      </c>
      <c r="F87" s="8">
        <v>0.85</v>
      </c>
      <c r="G87" s="16">
        <f>+Tabla114[[#This Row],[COSTO]]*1.19</f>
        <v>9653.2799999999988</v>
      </c>
      <c r="H87" s="8">
        <f>+Tabla114[[#This Row],[PRECIO INSTALADOR (IVA INCLUIDO)]]*5%</f>
        <v>567.84</v>
      </c>
      <c r="I87" s="8"/>
      <c r="J87" s="7">
        <v>8112</v>
      </c>
    </row>
    <row r="88" spans="1:10" ht="15" x14ac:dyDescent="0.25">
      <c r="A88" s="23" t="s">
        <v>182</v>
      </c>
      <c r="B88" s="24" t="s">
        <v>183</v>
      </c>
      <c r="C88" s="27">
        <f>+Tabla114[[#This Row],[COSTO CON IVA]]/Tabla114[[#This Row],[UTILIDAD]]</f>
        <v>13240.5</v>
      </c>
      <c r="D88" s="9">
        <f>+Tabla114[[#This Row],[PRECIO INSTALADOR (IVA INCLUIDO)]]-Tabla114[[#This Row],[DCTO TIENDA]]</f>
        <v>12578.475</v>
      </c>
      <c r="E88" s="9">
        <f>+Tabla114[[#This Row],[PRECIO INSTALADOR (IVA INCLUIDO)]]/0.7</f>
        <v>18915</v>
      </c>
      <c r="F88" s="8">
        <v>0.85</v>
      </c>
      <c r="G88" s="16">
        <f>+Tabla114[[#This Row],[COSTO]]*1.19</f>
        <v>11254.424999999999</v>
      </c>
      <c r="H88" s="8">
        <f>+Tabla114[[#This Row],[PRECIO INSTALADOR (IVA INCLUIDO)]]*5%</f>
        <v>662.02500000000009</v>
      </c>
      <c r="I88" s="8"/>
      <c r="J88" s="7">
        <v>9457.5</v>
      </c>
    </row>
    <row r="89" spans="1:10" ht="15" x14ac:dyDescent="0.25">
      <c r="A89" s="23" t="s">
        <v>184</v>
      </c>
      <c r="B89" s="24" t="s">
        <v>185</v>
      </c>
      <c r="C89" s="27">
        <f>+Tabla114[[#This Row],[COSTO CON IVA]]/Tabla114[[#This Row],[UTILIDAD]]</f>
        <v>38675</v>
      </c>
      <c r="D89" s="9">
        <f>+Tabla114[[#This Row],[PRECIO INSTALADOR (IVA INCLUIDO)]]-Tabla114[[#This Row],[DCTO TIENDA]]</f>
        <v>36741.25</v>
      </c>
      <c r="E89" s="9">
        <f>+Tabla114[[#This Row],[PRECIO INSTALADOR (IVA INCLUIDO)]]/0.7</f>
        <v>55250</v>
      </c>
      <c r="F89" s="8">
        <v>0.85</v>
      </c>
      <c r="G89" s="16">
        <f>+Tabla114[[#This Row],[COSTO]]*1.19</f>
        <v>32873.75</v>
      </c>
      <c r="H89" s="8">
        <f>+Tabla114[[#This Row],[PRECIO INSTALADOR (IVA INCLUIDO)]]*5%</f>
        <v>1933.75</v>
      </c>
      <c r="I89" s="8"/>
      <c r="J89" s="7">
        <v>27625</v>
      </c>
    </row>
    <row r="90" spans="1:10" ht="15" x14ac:dyDescent="0.25">
      <c r="A90" s="23" t="s">
        <v>186</v>
      </c>
      <c r="B90" s="24" t="s">
        <v>187</v>
      </c>
      <c r="C90" s="27">
        <f>+Tabla114[[#This Row],[COSTO CON IVA]]/Tabla114[[#This Row],[UTILIDAD]]</f>
        <v>52689</v>
      </c>
      <c r="D90" s="9">
        <f>+Tabla114[[#This Row],[PRECIO INSTALADOR (IVA INCLUIDO)]]-Tabla114[[#This Row],[DCTO TIENDA]]</f>
        <v>50054.55</v>
      </c>
      <c r="E90" s="9">
        <f>+Tabla114[[#This Row],[PRECIO INSTALADOR (IVA INCLUIDO)]]/0.7</f>
        <v>75270</v>
      </c>
      <c r="F90" s="8">
        <v>0.85</v>
      </c>
      <c r="G90" s="16">
        <f>+Tabla114[[#This Row],[COSTO]]*1.19</f>
        <v>44785.65</v>
      </c>
      <c r="H90" s="8">
        <f>+Tabla114[[#This Row],[PRECIO INSTALADOR (IVA INCLUIDO)]]*5%</f>
        <v>2634.4500000000003</v>
      </c>
      <c r="I90" s="8"/>
      <c r="J90" s="7">
        <v>37635</v>
      </c>
    </row>
    <row r="91" spans="1:10" ht="15" x14ac:dyDescent="0.25">
      <c r="A91" s="23" t="s">
        <v>188</v>
      </c>
      <c r="B91" s="24" t="s">
        <v>189</v>
      </c>
      <c r="C91" s="27">
        <f>+Tabla114[[#This Row],[COSTO CON IVA]]/Tabla114[[#This Row],[UTILIDAD]]</f>
        <v>63217.7</v>
      </c>
      <c r="D91" s="9">
        <f>+Tabla114[[#This Row],[PRECIO INSTALADOR (IVA INCLUIDO)]]-Tabla114[[#This Row],[DCTO TIENDA]]</f>
        <v>60056.814999999995</v>
      </c>
      <c r="E91" s="9">
        <f>+Tabla114[[#This Row],[PRECIO INSTALADOR (IVA INCLUIDO)]]/0.7</f>
        <v>90311</v>
      </c>
      <c r="F91" s="8">
        <v>0.85</v>
      </c>
      <c r="G91" s="16">
        <f>+Tabla114[[#This Row],[COSTO]]*1.19</f>
        <v>53735.044999999998</v>
      </c>
      <c r="H91" s="8">
        <f>+Tabla114[[#This Row],[PRECIO INSTALADOR (IVA INCLUIDO)]]*5%</f>
        <v>3160.8850000000002</v>
      </c>
      <c r="I91" s="8"/>
      <c r="J91" s="7">
        <v>45155.5</v>
      </c>
    </row>
    <row r="92" spans="1:10" ht="15" x14ac:dyDescent="0.25">
      <c r="A92" s="23" t="s">
        <v>190</v>
      </c>
      <c r="B92" s="24" t="s">
        <v>191</v>
      </c>
      <c r="C92" s="27">
        <f>+Tabla114[[#This Row],[COSTO CON IVA]]/Tabla114[[#This Row],[UTILIDAD]]</f>
        <v>10947.300000000001</v>
      </c>
      <c r="D92" s="9">
        <f>+Tabla114[[#This Row],[PRECIO INSTALADOR (IVA INCLUIDO)]]-Tabla114[[#This Row],[DCTO TIENDA]]</f>
        <v>10399.935000000001</v>
      </c>
      <c r="E92" s="9">
        <f>+Tabla114[[#This Row],[PRECIO INSTALADOR (IVA INCLUIDO)]]/0.7</f>
        <v>15639.000000000002</v>
      </c>
      <c r="F92" s="8">
        <v>0.85</v>
      </c>
      <c r="G92" s="16">
        <f>+Tabla114[[#This Row],[COSTO]]*1.19</f>
        <v>9305.2049999999999</v>
      </c>
      <c r="H92" s="8">
        <f>+Tabla114[[#This Row],[PRECIO INSTALADOR (IVA INCLUIDO)]]*5%</f>
        <v>547.36500000000012</v>
      </c>
      <c r="I92" s="8"/>
      <c r="J92" s="7">
        <v>7819.5</v>
      </c>
    </row>
    <row r="93" spans="1:10" ht="15" x14ac:dyDescent="0.25">
      <c r="A93" s="23" t="s">
        <v>192</v>
      </c>
      <c r="B93" s="24" t="s">
        <v>193</v>
      </c>
      <c r="C93" s="27">
        <f>+Tabla114[[#This Row],[COSTO CON IVA]]/Tabla114[[#This Row],[UTILIDAD]]</f>
        <v>17426.5</v>
      </c>
      <c r="D93" s="9">
        <f>+Tabla114[[#This Row],[PRECIO INSTALADOR (IVA INCLUIDO)]]-Tabla114[[#This Row],[DCTO TIENDA]]</f>
        <v>16555.174999999999</v>
      </c>
      <c r="E93" s="9">
        <f>+Tabla114[[#This Row],[PRECIO INSTALADOR (IVA INCLUIDO)]]/0.7</f>
        <v>24895</v>
      </c>
      <c r="F93" s="8">
        <v>0.85</v>
      </c>
      <c r="G93" s="16">
        <f>+Tabla114[[#This Row],[COSTO]]*1.19</f>
        <v>14812.525</v>
      </c>
      <c r="H93" s="8">
        <f>+Tabla114[[#This Row],[PRECIO INSTALADOR (IVA INCLUIDO)]]*5%</f>
        <v>871.32500000000005</v>
      </c>
      <c r="I93" s="8"/>
      <c r="J93" s="7">
        <v>12447.5</v>
      </c>
    </row>
    <row r="94" spans="1:10" ht="15" x14ac:dyDescent="0.25">
      <c r="A94" s="23" t="s">
        <v>194</v>
      </c>
      <c r="B94" s="24" t="s">
        <v>195</v>
      </c>
      <c r="C94" s="27">
        <f>+Tabla114[[#This Row],[COSTO CON IVA]]/Tabla114[[#This Row],[UTILIDAD]]</f>
        <v>14596.4</v>
      </c>
      <c r="D94" s="9">
        <f>+Tabla114[[#This Row],[PRECIO INSTALADOR (IVA INCLUIDO)]]-Tabla114[[#This Row],[DCTO TIENDA]]</f>
        <v>13866.58</v>
      </c>
      <c r="E94" s="9">
        <f>+Tabla114[[#This Row],[PRECIO INSTALADOR (IVA INCLUIDO)]]/0.7</f>
        <v>20852</v>
      </c>
      <c r="F94" s="8">
        <v>0.85</v>
      </c>
      <c r="G94" s="16">
        <f>+Tabla114[[#This Row],[COSTO]]*1.19</f>
        <v>12406.939999999999</v>
      </c>
      <c r="H94" s="8">
        <f>+Tabla114[[#This Row],[PRECIO INSTALADOR (IVA INCLUIDO)]]*5%</f>
        <v>729.82</v>
      </c>
      <c r="I94" s="8"/>
      <c r="J94" s="7">
        <v>10426</v>
      </c>
    </row>
    <row r="95" spans="1:10" ht="15" x14ac:dyDescent="0.25">
      <c r="A95" s="23" t="s">
        <v>196</v>
      </c>
      <c r="B95" s="24" t="s">
        <v>197</v>
      </c>
      <c r="C95" s="27">
        <f>+Tabla114[[#This Row],[COSTO CON IVA]]/Tabla114[[#This Row],[UTILIDAD]]</f>
        <v>14136.85</v>
      </c>
      <c r="D95" s="9">
        <f>+Tabla114[[#This Row],[PRECIO INSTALADOR (IVA INCLUIDO)]]-Tabla114[[#This Row],[DCTO TIENDA]]</f>
        <v>13430.0075</v>
      </c>
      <c r="E95" s="9">
        <f>+Tabla114[[#This Row],[PRECIO INSTALADOR (IVA INCLUIDO)]]/0.7</f>
        <v>20195.5</v>
      </c>
      <c r="F95" s="8">
        <v>0.85</v>
      </c>
      <c r="G95" s="16">
        <f>+Tabla114[[#This Row],[COSTO]]*1.19</f>
        <v>12016.3225</v>
      </c>
      <c r="H95" s="8">
        <f>+Tabla114[[#This Row],[PRECIO INSTALADOR (IVA INCLUIDO)]]*5%</f>
        <v>706.84250000000009</v>
      </c>
      <c r="I95" s="8"/>
      <c r="J95" s="7">
        <v>10097.75</v>
      </c>
    </row>
    <row r="96" spans="1:10" ht="15" x14ac:dyDescent="0.25">
      <c r="A96" s="23" t="s">
        <v>198</v>
      </c>
      <c r="B96" s="24" t="s">
        <v>199</v>
      </c>
      <c r="C96" s="27">
        <f>+Tabla114[[#This Row],[COSTO CON IVA]]/Tabla114[[#This Row],[UTILIDAD]]</f>
        <v>5569.2</v>
      </c>
      <c r="D96" s="9">
        <f>+Tabla114[[#This Row],[PRECIO INSTALADOR (IVA INCLUIDO)]]-Tabla114[[#This Row],[DCTO TIENDA]]</f>
        <v>5290.74</v>
      </c>
      <c r="E96" s="9">
        <f>+Tabla114[[#This Row],[PRECIO INSTALADOR (IVA INCLUIDO)]]/0.7</f>
        <v>7956</v>
      </c>
      <c r="F96" s="8">
        <v>0.85</v>
      </c>
      <c r="G96" s="16">
        <f>+Tabla114[[#This Row],[COSTO]]*1.19</f>
        <v>4733.82</v>
      </c>
      <c r="H96" s="8">
        <f>+Tabla114[[#This Row],[PRECIO INSTALADOR (IVA INCLUIDO)]]*5%</f>
        <v>278.45999999999998</v>
      </c>
      <c r="I96" s="8"/>
      <c r="J96" s="7">
        <v>3978</v>
      </c>
    </row>
    <row r="97" spans="1:10" ht="15" x14ac:dyDescent="0.25">
      <c r="A97" s="23" t="s">
        <v>200</v>
      </c>
      <c r="B97" s="24" t="s">
        <v>201</v>
      </c>
      <c r="C97" s="27">
        <f>+Tabla114[[#This Row],[COSTO CON IVA]]/Tabla114[[#This Row],[UTILIDAD]]</f>
        <v>8444.7999999999993</v>
      </c>
      <c r="D97" s="9">
        <f>+Tabla114[[#This Row],[PRECIO INSTALADOR (IVA INCLUIDO)]]-Tabla114[[#This Row],[DCTO TIENDA]]</f>
        <v>8022.5599999999995</v>
      </c>
      <c r="E97" s="9">
        <f>+Tabla114[[#This Row],[PRECIO INSTALADOR (IVA INCLUIDO)]]/0.7</f>
        <v>12064</v>
      </c>
      <c r="F97" s="8">
        <v>0.85</v>
      </c>
      <c r="G97" s="16">
        <f>+Tabla114[[#This Row],[COSTO]]*1.19</f>
        <v>7178.08</v>
      </c>
      <c r="H97" s="8">
        <f>+Tabla114[[#This Row],[PRECIO INSTALADOR (IVA INCLUIDO)]]*5%</f>
        <v>422.24</v>
      </c>
      <c r="I97" s="8"/>
      <c r="J97" s="7">
        <v>6032</v>
      </c>
    </row>
    <row r="98" spans="1:10" ht="15" x14ac:dyDescent="0.25">
      <c r="A98" s="23" t="s">
        <v>202</v>
      </c>
      <c r="B98" s="24" t="s">
        <v>203</v>
      </c>
      <c r="C98" s="27">
        <f>+Tabla114[[#This Row],[COSTO CON IVA]]/Tabla114[[#This Row],[UTILIDAD]]</f>
        <v>11902.8</v>
      </c>
      <c r="D98" s="9">
        <f>+Tabla114[[#This Row],[PRECIO INSTALADOR (IVA INCLUIDO)]]-Tabla114[[#This Row],[DCTO TIENDA]]</f>
        <v>11307.66</v>
      </c>
      <c r="E98" s="9">
        <f>+Tabla114[[#This Row],[PRECIO INSTALADOR (IVA INCLUIDO)]]/0.7</f>
        <v>17004</v>
      </c>
      <c r="F98" s="8">
        <v>0.85</v>
      </c>
      <c r="G98" s="16">
        <f>+Tabla114[[#This Row],[COSTO]]*1.19</f>
        <v>10117.379999999999</v>
      </c>
      <c r="H98" s="8">
        <f>+Tabla114[[#This Row],[PRECIO INSTALADOR (IVA INCLUIDO)]]*5%</f>
        <v>595.14</v>
      </c>
      <c r="I98" s="8"/>
      <c r="J98" s="7">
        <v>8502</v>
      </c>
    </row>
    <row r="99" spans="1:10" ht="15" x14ac:dyDescent="0.25">
      <c r="A99" s="23" t="s">
        <v>204</v>
      </c>
      <c r="B99" s="24" t="s">
        <v>205</v>
      </c>
      <c r="C99" s="27">
        <f>+Tabla114[[#This Row],[COSTO CON IVA]]/Tabla114[[#This Row],[UTILIDAD]]</f>
        <v>6456.45</v>
      </c>
      <c r="D99" s="9">
        <f>+Tabla114[[#This Row],[PRECIO INSTALADOR (IVA INCLUIDO)]]-Tabla114[[#This Row],[DCTO TIENDA]]</f>
        <v>6133.6274999999996</v>
      </c>
      <c r="E99" s="9">
        <f>+Tabla114[[#This Row],[PRECIO INSTALADOR (IVA INCLUIDO)]]/0.7</f>
        <v>9223.5</v>
      </c>
      <c r="F99" s="8">
        <v>0.85</v>
      </c>
      <c r="G99" s="16">
        <f>+Tabla114[[#This Row],[COSTO]]*1.19</f>
        <v>5487.9825000000001</v>
      </c>
      <c r="H99" s="8">
        <f>+Tabla114[[#This Row],[PRECIO INSTALADOR (IVA INCLUIDO)]]*5%</f>
        <v>322.82249999999999</v>
      </c>
      <c r="I99" s="8"/>
      <c r="J99" s="7">
        <v>4611.75</v>
      </c>
    </row>
    <row r="100" spans="1:10" ht="15" x14ac:dyDescent="0.25">
      <c r="A100" s="23" t="s">
        <v>206</v>
      </c>
      <c r="B100" s="24" t="s">
        <v>207</v>
      </c>
      <c r="C100" s="27">
        <f>+Tabla114[[#This Row],[COSTO CON IVA]]/Tabla114[[#This Row],[UTILIDAD]]</f>
        <v>9937.1999999999989</v>
      </c>
      <c r="D100" s="9">
        <f>+Tabla114[[#This Row],[PRECIO INSTALADOR (IVA INCLUIDO)]]-Tabla114[[#This Row],[DCTO TIENDA]]</f>
        <v>9440.3399999999983</v>
      </c>
      <c r="E100" s="9">
        <f>+Tabla114[[#This Row],[PRECIO INSTALADOR (IVA INCLUIDO)]]/0.7</f>
        <v>14196</v>
      </c>
      <c r="F100" s="8">
        <v>0.85</v>
      </c>
      <c r="G100" s="16">
        <f>+Tabla114[[#This Row],[COSTO]]*1.19</f>
        <v>8446.619999999999</v>
      </c>
      <c r="H100" s="8">
        <f>+Tabla114[[#This Row],[PRECIO INSTALADOR (IVA INCLUIDO)]]*5%</f>
        <v>496.85999999999996</v>
      </c>
      <c r="I100" s="8"/>
      <c r="J100" s="7">
        <v>7098</v>
      </c>
    </row>
    <row r="101" spans="1:10" ht="15" x14ac:dyDescent="0.25">
      <c r="A101" s="23" t="s">
        <v>208</v>
      </c>
      <c r="B101" s="24" t="s">
        <v>209</v>
      </c>
      <c r="C101" s="28">
        <f>+Tabla114[[#This Row],[COSTO CON IVA]]/Tabla114[[#This Row],[UTILIDAD]]</f>
        <v>14068.6</v>
      </c>
      <c r="D101" s="12">
        <f>+Tabla114[[#This Row],[PRECIO INSTALADOR (IVA INCLUIDO)]]-Tabla114[[#This Row],[DCTO TIENDA]]</f>
        <v>13365.17</v>
      </c>
      <c r="E101" s="12">
        <f>+Tabla114[[#This Row],[PRECIO INSTALADOR (IVA INCLUIDO)]]/0.7</f>
        <v>20098</v>
      </c>
      <c r="F101" s="8">
        <v>0.85</v>
      </c>
      <c r="G101" s="16">
        <f>+Tabla114[[#This Row],[COSTO]]*1.19</f>
        <v>11958.31</v>
      </c>
      <c r="H101" s="8">
        <f>+Tabla114[[#This Row],[PRECIO INSTALADOR (IVA INCLUIDO)]]*5%</f>
        <v>703.43000000000006</v>
      </c>
      <c r="I101" s="8"/>
      <c r="J101" s="7">
        <v>10049</v>
      </c>
    </row>
    <row r="102" spans="1:10" ht="15" x14ac:dyDescent="0.25">
      <c r="A102" s="23" t="s">
        <v>210</v>
      </c>
      <c r="B102" s="24" t="s">
        <v>211</v>
      </c>
      <c r="C102" s="11">
        <f>+Tabla114[[#This Row],[COSTO CON IVA]]/Tabla114[[#This Row],[UTILIDAD]]</f>
        <v>6060.6</v>
      </c>
      <c r="D102" s="11">
        <f>+Tabla114[[#This Row],[PRECIO INSTALADOR (IVA INCLUIDO)]]-Tabla114[[#This Row],[DCTO TIENDA]]</f>
        <v>5757.5700000000006</v>
      </c>
      <c r="E102" s="11">
        <f>+Tabla114[[#This Row],[PRECIO INSTALADOR (IVA INCLUIDO)]]/0.7</f>
        <v>8658.0000000000018</v>
      </c>
      <c r="F102" s="8">
        <v>0.85</v>
      </c>
      <c r="G102" s="16">
        <f>+Tabla114[[#This Row],[COSTO]]*1.19</f>
        <v>5151.51</v>
      </c>
      <c r="H102" s="6">
        <f>+Tabla114[[#This Row],[PRECIO INSTALADOR (IVA INCLUIDO)]]*5%</f>
        <v>303.03000000000003</v>
      </c>
      <c r="I102" s="6"/>
      <c r="J102" s="5">
        <v>4329</v>
      </c>
    </row>
    <row r="103" spans="1:10" ht="15" x14ac:dyDescent="0.25">
      <c r="A103" s="23" t="s">
        <v>212</v>
      </c>
      <c r="B103" s="24" t="s">
        <v>213</v>
      </c>
      <c r="C103" s="27">
        <f>+Tabla114[[#This Row],[COSTO CON IVA]]/Tabla114[[#This Row],[UTILIDAD]]</f>
        <v>9100</v>
      </c>
      <c r="D103" s="9">
        <f>+Tabla114[[#This Row],[PRECIO INSTALADOR (IVA INCLUIDO)]]-Tabla114[[#This Row],[DCTO TIENDA]]</f>
        <v>8645</v>
      </c>
      <c r="E103" s="9">
        <f>+Tabla114[[#This Row],[PRECIO INSTALADOR (IVA INCLUIDO)]]/0.7</f>
        <v>13000</v>
      </c>
      <c r="F103" s="8">
        <v>0.85</v>
      </c>
      <c r="G103" s="16">
        <f>+Tabla114[[#This Row],[COSTO]]*1.19</f>
        <v>7735</v>
      </c>
      <c r="H103" s="8">
        <f>+Tabla114[[#This Row],[PRECIO INSTALADOR (IVA INCLUIDO)]]*5%</f>
        <v>455</v>
      </c>
      <c r="I103" s="8"/>
      <c r="J103" s="7">
        <v>6500</v>
      </c>
    </row>
    <row r="104" spans="1:10" ht="15" x14ac:dyDescent="0.25">
      <c r="A104" s="23" t="s">
        <v>214</v>
      </c>
      <c r="B104" s="24" t="s">
        <v>215</v>
      </c>
      <c r="C104" s="10">
        <f>+Tabla114[[#This Row],[COSTO CON IVA]]/Tabla114[[#This Row],[UTILIDAD]]</f>
        <v>12740</v>
      </c>
      <c r="D104" s="10">
        <f>+Tabla114[[#This Row],[PRECIO INSTALADOR (IVA INCLUIDO)]]-Tabla114[[#This Row],[DCTO TIENDA]]</f>
        <v>12103</v>
      </c>
      <c r="E104" s="10">
        <f>+Tabla114[[#This Row],[PRECIO INSTALADOR (IVA INCLUIDO)]]/0.7</f>
        <v>18200</v>
      </c>
      <c r="F104" s="8">
        <v>0.85</v>
      </c>
      <c r="G104" s="16">
        <f>+Tabla114[[#This Row],[COSTO]]*1.19</f>
        <v>10829</v>
      </c>
      <c r="H104" s="8">
        <f>+Tabla114[[#This Row],[PRECIO INSTALADOR (IVA INCLUIDO)]]*5%</f>
        <v>637</v>
      </c>
      <c r="I104" s="8"/>
      <c r="J104" s="7">
        <v>9100</v>
      </c>
    </row>
    <row r="105" spans="1:10" ht="15" x14ac:dyDescent="0.25">
      <c r="A105" s="23" t="s">
        <v>216</v>
      </c>
      <c r="B105" s="24" t="s">
        <v>217</v>
      </c>
      <c r="C105" s="10">
        <f>+Tabla114[[#This Row],[COSTO CON IVA]]/Tabla114[[#This Row],[UTILIDAD]]</f>
        <v>9609.6</v>
      </c>
      <c r="D105" s="10">
        <f>+Tabla114[[#This Row],[PRECIO INSTALADOR (IVA INCLUIDO)]]-Tabla114[[#This Row],[DCTO TIENDA]]</f>
        <v>9129.1200000000008</v>
      </c>
      <c r="E105" s="10">
        <f>+Tabla114[[#This Row],[PRECIO INSTALADOR (IVA INCLUIDO)]]/0.7</f>
        <v>13728.000000000002</v>
      </c>
      <c r="F105" s="8">
        <v>0.85</v>
      </c>
      <c r="G105" s="16">
        <f>+Tabla114[[#This Row],[COSTO]]*1.19</f>
        <v>8168.16</v>
      </c>
      <c r="H105" s="8">
        <f>+Tabla114[[#This Row],[PRECIO INSTALADOR (IVA INCLUIDO)]]*5%</f>
        <v>480.48</v>
      </c>
      <c r="I105" s="8"/>
      <c r="J105" s="7">
        <v>6864</v>
      </c>
    </row>
    <row r="106" spans="1:10" ht="15" x14ac:dyDescent="0.25">
      <c r="A106" s="23" t="s">
        <v>218</v>
      </c>
      <c r="B106" s="24" t="s">
        <v>219</v>
      </c>
      <c r="C106" s="27">
        <f>+Tabla114[[#This Row],[COSTO CON IVA]]/Tabla114[[#This Row],[UTILIDAD]]</f>
        <v>9577.75</v>
      </c>
      <c r="D106" s="9">
        <f>+Tabla114[[#This Row],[PRECIO INSTALADOR (IVA INCLUIDO)]]-Tabla114[[#This Row],[DCTO TIENDA]]</f>
        <v>9098.8624999999993</v>
      </c>
      <c r="E106" s="9">
        <f>+Tabla114[[#This Row],[PRECIO INSTALADOR (IVA INCLUIDO)]]/0.7</f>
        <v>13682.5</v>
      </c>
      <c r="F106" s="8">
        <v>0.85</v>
      </c>
      <c r="G106" s="16">
        <f>+Tabla114[[#This Row],[COSTO]]*1.19</f>
        <v>8141.0874999999996</v>
      </c>
      <c r="H106" s="8">
        <f>+Tabla114[[#This Row],[PRECIO INSTALADOR (IVA INCLUIDO)]]*5%</f>
        <v>478.88750000000005</v>
      </c>
      <c r="I106" s="8"/>
      <c r="J106" s="7">
        <v>6841.25</v>
      </c>
    </row>
    <row r="107" spans="1:10" ht="15" x14ac:dyDescent="0.25">
      <c r="A107" s="23" t="s">
        <v>220</v>
      </c>
      <c r="B107" s="24" t="s">
        <v>221</v>
      </c>
      <c r="C107" s="27">
        <f>+Tabla114[[#This Row],[COSTO CON IVA]]/Tabla114[[#This Row],[UTILIDAD]]</f>
        <v>9090.9</v>
      </c>
      <c r="D107" s="9">
        <f>+Tabla114[[#This Row],[PRECIO INSTALADOR (IVA INCLUIDO)]]-Tabla114[[#This Row],[DCTO TIENDA]]</f>
        <v>8636.3549999999996</v>
      </c>
      <c r="E107" s="9">
        <f>+Tabla114[[#This Row],[PRECIO INSTALADOR (IVA INCLUIDO)]]/0.7</f>
        <v>12987</v>
      </c>
      <c r="F107" s="8">
        <v>0.85</v>
      </c>
      <c r="G107" s="16">
        <f>+Tabla114[[#This Row],[COSTO]]*1.19</f>
        <v>7727.2649999999994</v>
      </c>
      <c r="H107" s="26">
        <f>+Tabla114[[#This Row],[PRECIO INSTALADOR (IVA INCLUIDO)]]*5%</f>
        <v>454.54500000000002</v>
      </c>
      <c r="I107" s="25"/>
      <c r="J107" s="7">
        <v>6493.5</v>
      </c>
    </row>
    <row r="108" spans="1:10" ht="15" x14ac:dyDescent="0.25">
      <c r="A108" s="23" t="s">
        <v>222</v>
      </c>
      <c r="B108" s="24" t="s">
        <v>223</v>
      </c>
      <c r="C108" s="27">
        <f>+Tabla114[[#This Row],[COSTO CON IVA]]/Tabla114[[#This Row],[UTILIDAD]]</f>
        <v>9636.9</v>
      </c>
      <c r="D108" s="9">
        <f>+Tabla114[[#This Row],[PRECIO INSTALADOR (IVA INCLUIDO)]]-Tabla114[[#This Row],[DCTO TIENDA]]</f>
        <v>9155.0550000000003</v>
      </c>
      <c r="E108" s="9">
        <f>+Tabla114[[#This Row],[PRECIO INSTALADOR (IVA INCLUIDO)]]/0.7</f>
        <v>13767</v>
      </c>
      <c r="F108" s="8">
        <v>0.85</v>
      </c>
      <c r="G108" s="16">
        <f>+Tabla114[[#This Row],[COSTO]]*1.19</f>
        <v>8191.3649999999998</v>
      </c>
      <c r="H108" s="26">
        <f>+Tabla114[[#This Row],[PRECIO INSTALADOR (IVA INCLUIDO)]]*5%</f>
        <v>481.84500000000003</v>
      </c>
      <c r="I108" s="25"/>
      <c r="J108" s="7">
        <v>6883.5</v>
      </c>
    </row>
    <row r="109" spans="1:10" ht="15" x14ac:dyDescent="0.25">
      <c r="A109" s="23" t="s">
        <v>224</v>
      </c>
      <c r="B109" s="24" t="s">
        <v>225</v>
      </c>
      <c r="C109" s="27">
        <f>+Tabla114[[#This Row],[COSTO CON IVA]]/Tabla114[[#This Row],[UTILIDAD]]</f>
        <v>14560</v>
      </c>
      <c r="D109" s="9">
        <f>+Tabla114[[#This Row],[PRECIO INSTALADOR (IVA INCLUIDO)]]-Tabla114[[#This Row],[DCTO TIENDA]]</f>
        <v>13832</v>
      </c>
      <c r="E109" s="9">
        <f>+Tabla114[[#This Row],[PRECIO INSTALADOR (IVA INCLUIDO)]]/0.7</f>
        <v>20800</v>
      </c>
      <c r="F109" s="8">
        <v>0.85</v>
      </c>
      <c r="G109" s="16">
        <f>+Tabla114[[#This Row],[COSTO]]*1.19</f>
        <v>12376</v>
      </c>
      <c r="H109" s="26">
        <f>+Tabla114[[#This Row],[PRECIO INSTALADOR (IVA INCLUIDO)]]*5%</f>
        <v>728</v>
      </c>
      <c r="I109" s="25"/>
      <c r="J109" s="7">
        <v>10400</v>
      </c>
    </row>
    <row r="110" spans="1:10" ht="15" x14ac:dyDescent="0.25">
      <c r="A110" s="23" t="s">
        <v>226</v>
      </c>
      <c r="B110" s="24" t="s">
        <v>227</v>
      </c>
      <c r="C110" s="27">
        <f>+Tabla114[[#This Row],[COSTO CON IVA]]/Tabla114[[#This Row],[UTILIDAD]]</f>
        <v>6779.5</v>
      </c>
      <c r="D110" s="9">
        <f>+Tabla114[[#This Row],[PRECIO INSTALADOR (IVA INCLUIDO)]]-Tabla114[[#This Row],[DCTO TIENDA]]</f>
        <v>6440.5249999999996</v>
      </c>
      <c r="E110" s="9">
        <f>+Tabla114[[#This Row],[PRECIO INSTALADOR (IVA INCLUIDO)]]/0.7</f>
        <v>9685</v>
      </c>
      <c r="F110" s="8">
        <v>0.85</v>
      </c>
      <c r="G110" s="16">
        <f>+Tabla114[[#This Row],[COSTO]]*1.19</f>
        <v>5762.5749999999998</v>
      </c>
      <c r="H110" s="26">
        <f>+Tabla114[[#This Row],[PRECIO INSTALADOR (IVA INCLUIDO)]]*5%</f>
        <v>338.97500000000002</v>
      </c>
      <c r="I110" s="25"/>
      <c r="J110" s="7">
        <v>4842.5</v>
      </c>
    </row>
    <row r="111" spans="1:10" ht="15" x14ac:dyDescent="0.25">
      <c r="A111" s="23" t="s">
        <v>228</v>
      </c>
      <c r="B111" s="24" t="s">
        <v>229</v>
      </c>
      <c r="C111" s="27">
        <f>+Tabla114[[#This Row],[COSTO CON IVA]]/Tabla114[[#This Row],[UTILIDAD]]</f>
        <v>9736.9999999999982</v>
      </c>
      <c r="D111" s="9">
        <f>+Tabla114[[#This Row],[PRECIO INSTALADOR (IVA INCLUIDO)]]-Tabla114[[#This Row],[DCTO TIENDA]]</f>
        <v>9250.1499999999978</v>
      </c>
      <c r="E111" s="9">
        <f>+Tabla114[[#This Row],[PRECIO INSTALADOR (IVA INCLUIDO)]]/0.7</f>
        <v>13909.999999999998</v>
      </c>
      <c r="F111" s="8">
        <v>0.85</v>
      </c>
      <c r="G111" s="16">
        <f>+Tabla114[[#This Row],[COSTO]]*1.19</f>
        <v>8276.4499999999989</v>
      </c>
      <c r="H111" s="26">
        <f>+Tabla114[[#This Row],[PRECIO INSTALADOR (IVA INCLUIDO)]]*5%</f>
        <v>486.84999999999991</v>
      </c>
      <c r="I111" s="25"/>
      <c r="J111" s="7">
        <v>6955</v>
      </c>
    </row>
    <row r="112" spans="1:10" ht="15" x14ac:dyDescent="0.25">
      <c r="A112" s="23" t="s">
        <v>230</v>
      </c>
      <c r="B112" s="24" t="s">
        <v>231</v>
      </c>
      <c r="C112" s="27">
        <f>+Tabla114[[#This Row],[COSTO CON IVA]]/Tabla114[[#This Row],[UTILIDAD]]</f>
        <v>5778.4999999999991</v>
      </c>
      <c r="D112" s="9">
        <f>+Tabla114[[#This Row],[PRECIO INSTALADOR (IVA INCLUIDO)]]-Tabla114[[#This Row],[DCTO TIENDA]]</f>
        <v>5489.5749999999989</v>
      </c>
      <c r="E112" s="9">
        <f>+Tabla114[[#This Row],[PRECIO INSTALADOR (IVA INCLUIDO)]]/0.7</f>
        <v>8255</v>
      </c>
      <c r="F112" s="8">
        <v>0.85</v>
      </c>
      <c r="G112" s="16">
        <f>+Tabla114[[#This Row],[COSTO]]*1.19</f>
        <v>4911.7249999999995</v>
      </c>
      <c r="H112" s="26">
        <f>+Tabla114[[#This Row],[PRECIO INSTALADOR (IVA INCLUIDO)]]*5%</f>
        <v>288.92499999999995</v>
      </c>
      <c r="I112" s="25"/>
      <c r="J112" s="7">
        <v>4127.5</v>
      </c>
    </row>
    <row r="113" spans="1:10" ht="15" x14ac:dyDescent="0.25">
      <c r="A113" s="23" t="s">
        <v>232</v>
      </c>
      <c r="B113" s="24" t="s">
        <v>233</v>
      </c>
      <c r="C113" s="27">
        <f>+Tabla114[[#This Row],[COSTO CON IVA]]/Tabla114[[#This Row],[UTILIDAD]]</f>
        <v>8517.6</v>
      </c>
      <c r="D113" s="9">
        <f>+Tabla114[[#This Row],[PRECIO INSTALADOR (IVA INCLUIDO)]]-Tabla114[[#This Row],[DCTO TIENDA]]</f>
        <v>8091.72</v>
      </c>
      <c r="E113" s="9">
        <f>+Tabla114[[#This Row],[PRECIO INSTALADOR (IVA INCLUIDO)]]/0.7</f>
        <v>12168.000000000002</v>
      </c>
      <c r="F113" s="8">
        <v>0.85</v>
      </c>
      <c r="G113" s="16">
        <f>+Tabla114[[#This Row],[COSTO]]*1.19</f>
        <v>7239.96</v>
      </c>
      <c r="H113" s="26">
        <f>+Tabla114[[#This Row],[PRECIO INSTALADOR (IVA INCLUIDO)]]*5%</f>
        <v>425.88000000000005</v>
      </c>
      <c r="I113" s="25"/>
      <c r="J113" s="7">
        <v>6084</v>
      </c>
    </row>
    <row r="114" spans="1:10" ht="15" x14ac:dyDescent="0.25">
      <c r="A114" s="23" t="s">
        <v>234</v>
      </c>
      <c r="B114" s="24" t="s">
        <v>235</v>
      </c>
      <c r="C114" s="27">
        <f>+Tabla114[[#This Row],[COSTO CON IVA]]/Tabla114[[#This Row],[UTILIDAD]]</f>
        <v>5733</v>
      </c>
      <c r="D114" s="9">
        <f>+Tabla114[[#This Row],[PRECIO INSTALADOR (IVA INCLUIDO)]]-Tabla114[[#This Row],[DCTO TIENDA]]</f>
        <v>5446.35</v>
      </c>
      <c r="E114" s="9">
        <f>+Tabla114[[#This Row],[PRECIO INSTALADOR (IVA INCLUIDO)]]/0.7</f>
        <v>8190.0000000000009</v>
      </c>
      <c r="F114" s="8">
        <v>0.85</v>
      </c>
      <c r="G114" s="16">
        <f>+Tabla114[[#This Row],[COSTO]]*1.19</f>
        <v>4873.05</v>
      </c>
      <c r="H114" s="26">
        <f>+Tabla114[[#This Row],[PRECIO INSTALADOR (IVA INCLUIDO)]]*5%</f>
        <v>286.65000000000003</v>
      </c>
      <c r="I114" s="25"/>
      <c r="J114" s="7">
        <v>4095</v>
      </c>
    </row>
    <row r="115" spans="1:10" ht="15" x14ac:dyDescent="0.25">
      <c r="A115" s="23" t="s">
        <v>236</v>
      </c>
      <c r="B115" s="24" t="s">
        <v>237</v>
      </c>
      <c r="C115" s="27">
        <f>+Tabla114[[#This Row],[COSTO CON IVA]]/Tabla114[[#This Row],[UTILIDAD]]</f>
        <v>8326.5</v>
      </c>
      <c r="D115" s="9">
        <f>+Tabla114[[#This Row],[PRECIO INSTALADOR (IVA INCLUIDO)]]-Tabla114[[#This Row],[DCTO TIENDA]]</f>
        <v>7910.1750000000002</v>
      </c>
      <c r="E115" s="9">
        <f>+Tabla114[[#This Row],[PRECIO INSTALADOR (IVA INCLUIDO)]]/0.7</f>
        <v>11895</v>
      </c>
      <c r="F115" s="8">
        <v>0.85</v>
      </c>
      <c r="G115" s="16">
        <f>+Tabla114[[#This Row],[COSTO]]*1.19</f>
        <v>7077.5249999999996</v>
      </c>
      <c r="H115" s="26">
        <f>+Tabla114[[#This Row],[PRECIO INSTALADOR (IVA INCLUIDO)]]*5%</f>
        <v>416.32500000000005</v>
      </c>
      <c r="I115" s="25"/>
      <c r="J115" s="7">
        <v>5947.5</v>
      </c>
    </row>
    <row r="116" spans="1:10" ht="15" x14ac:dyDescent="0.25">
      <c r="A116" s="23" t="s">
        <v>238</v>
      </c>
      <c r="B116" s="24" t="s">
        <v>239</v>
      </c>
      <c r="C116" s="27">
        <f>+Tabla114[[#This Row],[COSTO CON IVA]]/Tabla114[[#This Row],[UTILIDAD]]</f>
        <v>3075.7999999999997</v>
      </c>
      <c r="D116" s="9">
        <f>+Tabla114[[#This Row],[PRECIO INSTALADOR (IVA INCLUIDO)]]-Tabla114[[#This Row],[DCTO TIENDA]]</f>
        <v>2922.0099999999998</v>
      </c>
      <c r="E116" s="9">
        <f>+Tabla114[[#This Row],[PRECIO INSTALADOR (IVA INCLUIDO)]]/0.7</f>
        <v>4394</v>
      </c>
      <c r="F116" s="8">
        <v>0.85</v>
      </c>
      <c r="G116" s="16">
        <f>+Tabla114[[#This Row],[COSTO]]*1.19</f>
        <v>2614.4299999999998</v>
      </c>
      <c r="H116" s="26">
        <f>+Tabla114[[#This Row],[PRECIO INSTALADOR (IVA INCLUIDO)]]*5%</f>
        <v>153.79</v>
      </c>
      <c r="I116" s="25"/>
      <c r="J116" s="7">
        <v>2197</v>
      </c>
    </row>
    <row r="117" spans="1:10" ht="15" x14ac:dyDescent="0.25">
      <c r="A117" s="23" t="s">
        <v>240</v>
      </c>
      <c r="B117" s="24" t="s">
        <v>241</v>
      </c>
      <c r="C117" s="27">
        <f>+Tabla114[[#This Row],[COSTO CON IVA]]/Tabla114[[#This Row],[UTILIDAD]]</f>
        <v>1728.9999999999998</v>
      </c>
      <c r="D117" s="9">
        <f>+Tabla114[[#This Row],[PRECIO INSTALADOR (IVA INCLUIDO)]]-Tabla114[[#This Row],[DCTO TIENDA]]</f>
        <v>1642.5499999999997</v>
      </c>
      <c r="E117" s="9">
        <f>+Tabla114[[#This Row],[PRECIO INSTALADOR (IVA INCLUIDO)]]/0.7</f>
        <v>2470</v>
      </c>
      <c r="F117" s="8">
        <v>0.85</v>
      </c>
      <c r="G117" s="16">
        <f>+Tabla114[[#This Row],[COSTO]]*1.19</f>
        <v>1469.6499999999999</v>
      </c>
      <c r="H117" s="26">
        <f>+Tabla114[[#This Row],[PRECIO INSTALADOR (IVA INCLUIDO)]]*5%</f>
        <v>86.449999999999989</v>
      </c>
      <c r="I117" s="25"/>
      <c r="J117" s="7">
        <v>1235</v>
      </c>
    </row>
    <row r="118" spans="1:10" ht="15" x14ac:dyDescent="0.25">
      <c r="A118" s="23" t="s">
        <v>242</v>
      </c>
      <c r="B118" s="24" t="s">
        <v>243</v>
      </c>
      <c r="C118" s="27">
        <f>+Tabla114[[#This Row],[COSTO CON IVA]]/Tabla114[[#This Row],[UTILIDAD]]</f>
        <v>1728.9999999999998</v>
      </c>
      <c r="D118" s="9">
        <f>+Tabla114[[#This Row],[PRECIO INSTALADOR (IVA INCLUIDO)]]-Tabla114[[#This Row],[DCTO TIENDA]]</f>
        <v>1642.5499999999997</v>
      </c>
      <c r="E118" s="9">
        <f>+Tabla114[[#This Row],[PRECIO INSTALADOR (IVA INCLUIDO)]]/0.7</f>
        <v>2470</v>
      </c>
      <c r="F118" s="8">
        <v>0.85</v>
      </c>
      <c r="G118" s="16">
        <f>+Tabla114[[#This Row],[COSTO]]*1.19</f>
        <v>1469.6499999999999</v>
      </c>
      <c r="H118" s="26">
        <f>+Tabla114[[#This Row],[PRECIO INSTALADOR (IVA INCLUIDO)]]*5%</f>
        <v>86.449999999999989</v>
      </c>
      <c r="I118" s="25"/>
      <c r="J118" s="7">
        <v>1235</v>
      </c>
    </row>
    <row r="119" spans="1:10" ht="15" x14ac:dyDescent="0.25">
      <c r="A119" s="23" t="s">
        <v>244</v>
      </c>
      <c r="B119" s="24" t="s">
        <v>245</v>
      </c>
      <c r="C119" s="27">
        <f>+Tabla114[[#This Row],[COSTO CON IVA]]/Tabla114[[#This Row],[UTILIDAD]]</f>
        <v>1728.9999999999998</v>
      </c>
      <c r="D119" s="9">
        <f>+Tabla114[[#This Row],[PRECIO INSTALADOR (IVA INCLUIDO)]]-Tabla114[[#This Row],[DCTO TIENDA]]</f>
        <v>1642.5499999999997</v>
      </c>
      <c r="E119" s="9">
        <f>+Tabla114[[#This Row],[PRECIO INSTALADOR (IVA INCLUIDO)]]/0.7</f>
        <v>2470</v>
      </c>
      <c r="F119" s="8">
        <v>0.85</v>
      </c>
      <c r="G119" s="16">
        <f>+Tabla114[[#This Row],[COSTO]]*1.19</f>
        <v>1469.6499999999999</v>
      </c>
      <c r="H119" s="26">
        <f>+Tabla114[[#This Row],[PRECIO INSTALADOR (IVA INCLUIDO)]]*5%</f>
        <v>86.449999999999989</v>
      </c>
      <c r="I119" s="25"/>
      <c r="J119" s="7">
        <v>1235</v>
      </c>
    </row>
    <row r="120" spans="1:10" ht="15" x14ac:dyDescent="0.25">
      <c r="A120" s="23" t="s">
        <v>246</v>
      </c>
      <c r="B120" s="24" t="s">
        <v>247</v>
      </c>
      <c r="C120" s="27">
        <f>+Tabla114[[#This Row],[COSTO CON IVA]]/Tabla114[[#This Row],[UTILIDAD]]</f>
        <v>1728.9999999999998</v>
      </c>
      <c r="D120" s="9">
        <f>+Tabla114[[#This Row],[PRECIO INSTALADOR (IVA INCLUIDO)]]-Tabla114[[#This Row],[DCTO TIENDA]]</f>
        <v>1642.5499999999997</v>
      </c>
      <c r="E120" s="9">
        <f>+Tabla114[[#This Row],[PRECIO INSTALADOR (IVA INCLUIDO)]]/0.7</f>
        <v>2470</v>
      </c>
      <c r="F120" s="8">
        <v>0.85</v>
      </c>
      <c r="G120" s="16">
        <f>+Tabla114[[#This Row],[COSTO]]*1.19</f>
        <v>1469.6499999999999</v>
      </c>
      <c r="H120" s="26">
        <f>+Tabla114[[#This Row],[PRECIO INSTALADOR (IVA INCLUIDO)]]*5%</f>
        <v>86.449999999999989</v>
      </c>
      <c r="I120" s="25"/>
      <c r="J120" s="7">
        <v>1235</v>
      </c>
    </row>
    <row r="121" spans="1:10" ht="15" x14ac:dyDescent="0.25">
      <c r="A121" s="23" t="s">
        <v>248</v>
      </c>
      <c r="B121" s="24" t="s">
        <v>249</v>
      </c>
      <c r="C121" s="27">
        <f>+Tabla114[[#This Row],[COSTO CON IVA]]/Tabla114[[#This Row],[UTILIDAD]]</f>
        <v>3075.7999999999997</v>
      </c>
      <c r="D121" s="9">
        <f>+Tabla114[[#This Row],[PRECIO INSTALADOR (IVA INCLUIDO)]]-Tabla114[[#This Row],[DCTO TIENDA]]</f>
        <v>2922.0099999999998</v>
      </c>
      <c r="E121" s="9">
        <f>+Tabla114[[#This Row],[PRECIO INSTALADOR (IVA INCLUIDO)]]/0.7</f>
        <v>4394</v>
      </c>
      <c r="F121" s="8">
        <v>0.85</v>
      </c>
      <c r="G121" s="16">
        <f>+Tabla114[[#This Row],[COSTO]]*1.19</f>
        <v>2614.4299999999998</v>
      </c>
      <c r="H121" s="26">
        <f>+Tabla114[[#This Row],[PRECIO INSTALADOR (IVA INCLUIDO)]]*5%</f>
        <v>153.79</v>
      </c>
      <c r="I121" s="25"/>
      <c r="J121" s="7">
        <v>2197</v>
      </c>
    </row>
    <row r="122" spans="1:10" ht="15" x14ac:dyDescent="0.25">
      <c r="A122" s="23" t="s">
        <v>250</v>
      </c>
      <c r="B122" s="24" t="s">
        <v>251</v>
      </c>
      <c r="C122" s="27">
        <f>+Tabla114[[#This Row],[COSTO CON IVA]]/Tabla114[[#This Row],[UTILIDAD]]</f>
        <v>3075.7999999999997</v>
      </c>
      <c r="D122" s="9">
        <f>+Tabla114[[#This Row],[PRECIO INSTALADOR (IVA INCLUIDO)]]-Tabla114[[#This Row],[DCTO TIENDA]]</f>
        <v>2922.0099999999998</v>
      </c>
      <c r="E122" s="9">
        <f>+Tabla114[[#This Row],[PRECIO INSTALADOR (IVA INCLUIDO)]]/0.7</f>
        <v>4394</v>
      </c>
      <c r="F122" s="8">
        <v>0.85</v>
      </c>
      <c r="G122" s="16">
        <f>+Tabla114[[#This Row],[COSTO]]*1.19</f>
        <v>2614.4299999999998</v>
      </c>
      <c r="H122" s="26">
        <f>+Tabla114[[#This Row],[PRECIO INSTALADOR (IVA INCLUIDO)]]*5%</f>
        <v>153.79</v>
      </c>
      <c r="I122" s="25"/>
      <c r="J122" s="7">
        <v>2197</v>
      </c>
    </row>
    <row r="123" spans="1:10" ht="15" x14ac:dyDescent="0.25">
      <c r="A123" s="23" t="s">
        <v>252</v>
      </c>
      <c r="B123" s="24" t="s">
        <v>253</v>
      </c>
      <c r="C123" s="27">
        <f>+Tabla114[[#This Row],[COSTO CON IVA]]/Tabla114[[#This Row],[UTILIDAD]]</f>
        <v>3075.7999999999997</v>
      </c>
      <c r="D123" s="9">
        <f>+Tabla114[[#This Row],[PRECIO INSTALADOR (IVA INCLUIDO)]]-Tabla114[[#This Row],[DCTO TIENDA]]</f>
        <v>2922.0099999999998</v>
      </c>
      <c r="E123" s="9">
        <f>+Tabla114[[#This Row],[PRECIO INSTALADOR (IVA INCLUIDO)]]/0.7</f>
        <v>4394</v>
      </c>
      <c r="F123" s="8">
        <v>0.85</v>
      </c>
      <c r="G123" s="16">
        <f>+Tabla114[[#This Row],[COSTO]]*1.19</f>
        <v>2614.4299999999998</v>
      </c>
      <c r="H123" s="26">
        <f>+Tabla114[[#This Row],[PRECIO INSTALADOR (IVA INCLUIDO)]]*5%</f>
        <v>153.79</v>
      </c>
      <c r="I123" s="25"/>
      <c r="J123" s="7">
        <v>2197</v>
      </c>
    </row>
    <row r="124" spans="1:10" ht="15" x14ac:dyDescent="0.25">
      <c r="A124" s="23" t="s">
        <v>254</v>
      </c>
      <c r="B124" s="24" t="s">
        <v>255</v>
      </c>
      <c r="C124" s="27">
        <f>+Tabla114[[#This Row],[COSTO CON IVA]]/Tabla114[[#This Row],[UTILIDAD]]</f>
        <v>3075.7999999999997</v>
      </c>
      <c r="D124" s="9">
        <f>+Tabla114[[#This Row],[PRECIO INSTALADOR (IVA INCLUIDO)]]-Tabla114[[#This Row],[DCTO TIENDA]]</f>
        <v>2922.0099999999998</v>
      </c>
      <c r="E124" s="9">
        <f>+Tabla114[[#This Row],[PRECIO INSTALADOR (IVA INCLUIDO)]]/0.7</f>
        <v>4394</v>
      </c>
      <c r="F124" s="8">
        <v>0.85</v>
      </c>
      <c r="G124" s="16">
        <f>+Tabla114[[#This Row],[COSTO]]*1.19</f>
        <v>2614.4299999999998</v>
      </c>
      <c r="H124" s="26">
        <f>+Tabla114[[#This Row],[PRECIO INSTALADOR (IVA INCLUIDO)]]*5%</f>
        <v>153.79</v>
      </c>
      <c r="I124" s="25"/>
      <c r="J124" s="7">
        <v>2197</v>
      </c>
    </row>
    <row r="125" spans="1:10" ht="15" x14ac:dyDescent="0.25">
      <c r="A125" s="23" t="s">
        <v>256</v>
      </c>
      <c r="B125" s="24" t="s">
        <v>257</v>
      </c>
      <c r="C125" s="27">
        <f>+Tabla114[[#This Row],[COSTO CON IVA]]/Tabla114[[#This Row],[UTILIDAD]]</f>
        <v>7032.48</v>
      </c>
      <c r="D125" s="9">
        <f>+Tabla114[[#This Row],[PRECIO INSTALADOR (IVA INCLUIDO)]]-Tabla114[[#This Row],[DCTO TIENDA]]</f>
        <v>6680.8559999999998</v>
      </c>
      <c r="E125" s="9">
        <f>+Tabla114[[#This Row],[PRECIO INSTALADOR (IVA INCLUIDO)]]/0.7</f>
        <v>10046.4</v>
      </c>
      <c r="F125" s="8">
        <v>0.85</v>
      </c>
      <c r="G125" s="16">
        <f>+Tabla114[[#This Row],[COSTO]]*1.19</f>
        <v>5977.6079999999993</v>
      </c>
      <c r="H125" s="26">
        <f>+Tabla114[[#This Row],[PRECIO INSTALADOR (IVA INCLUIDO)]]*5%</f>
        <v>351.62400000000002</v>
      </c>
      <c r="I125" s="25"/>
      <c r="J125" s="7">
        <v>5023.2</v>
      </c>
    </row>
    <row r="126" spans="1:10" ht="15" x14ac:dyDescent="0.25">
      <c r="A126" s="23" t="s">
        <v>258</v>
      </c>
      <c r="B126" s="24" t="s">
        <v>259</v>
      </c>
      <c r="C126" s="27">
        <f>+Tabla114[[#This Row],[COSTO CON IVA]]/Tabla114[[#This Row],[UTILIDAD]]</f>
        <v>9277.4499999999989</v>
      </c>
      <c r="D126" s="9">
        <f>+Tabla114[[#This Row],[PRECIO INSTALADOR (IVA INCLUIDO)]]-Tabla114[[#This Row],[DCTO TIENDA]]</f>
        <v>8813.5774999999994</v>
      </c>
      <c r="E126" s="9">
        <f>+Tabla114[[#This Row],[PRECIO INSTALADOR (IVA INCLUIDO)]]/0.7</f>
        <v>13253.5</v>
      </c>
      <c r="F126" s="8">
        <v>0.85</v>
      </c>
      <c r="G126" s="16">
        <f>+Tabla114[[#This Row],[COSTO]]*1.19</f>
        <v>7885.8324999999995</v>
      </c>
      <c r="H126" s="26">
        <f>+Tabla114[[#This Row],[PRECIO INSTALADOR (IVA INCLUIDO)]]*5%</f>
        <v>463.87249999999995</v>
      </c>
      <c r="I126" s="25"/>
      <c r="J126" s="7">
        <v>6626.75</v>
      </c>
    </row>
    <row r="127" spans="1:10" ht="15" x14ac:dyDescent="0.25">
      <c r="A127" s="23" t="s">
        <v>260</v>
      </c>
      <c r="B127" s="24" t="s">
        <v>261</v>
      </c>
      <c r="C127" s="27">
        <f>+Tabla114[[#This Row],[COSTO CON IVA]]/Tabla114[[#This Row],[UTILIDAD]]</f>
        <v>11356.8</v>
      </c>
      <c r="D127" s="9">
        <f>+Tabla114[[#This Row],[PRECIO INSTALADOR (IVA INCLUIDO)]]-Tabla114[[#This Row],[DCTO TIENDA]]</f>
        <v>10788.96</v>
      </c>
      <c r="E127" s="9">
        <f>+Tabla114[[#This Row],[PRECIO INSTALADOR (IVA INCLUIDO)]]/0.7</f>
        <v>16224</v>
      </c>
      <c r="F127" s="8">
        <v>0.85</v>
      </c>
      <c r="G127" s="16">
        <f>+Tabla114[[#This Row],[COSTO]]*1.19</f>
        <v>9653.2799999999988</v>
      </c>
      <c r="H127" s="26">
        <f>+Tabla114[[#This Row],[PRECIO INSTALADOR (IVA INCLUIDO)]]*5%</f>
        <v>567.84</v>
      </c>
      <c r="I127" s="25"/>
      <c r="J127" s="7">
        <v>8112</v>
      </c>
    </row>
    <row r="128" spans="1:10" ht="15" x14ac:dyDescent="0.25">
      <c r="A128" s="23" t="s">
        <v>262</v>
      </c>
      <c r="B128" s="24" t="s">
        <v>263</v>
      </c>
      <c r="C128" s="27">
        <f>+Tabla114[[#This Row],[COSTO CON IVA]]/Tabla114[[#This Row],[UTILIDAD]]</f>
        <v>13240.5</v>
      </c>
      <c r="D128" s="9">
        <f>+Tabla114[[#This Row],[PRECIO INSTALADOR (IVA INCLUIDO)]]-Tabla114[[#This Row],[DCTO TIENDA]]</f>
        <v>12578.475</v>
      </c>
      <c r="E128" s="9">
        <f>+Tabla114[[#This Row],[PRECIO INSTALADOR (IVA INCLUIDO)]]/0.7</f>
        <v>18915</v>
      </c>
      <c r="F128" s="8">
        <v>0.85</v>
      </c>
      <c r="G128" s="16">
        <f>+Tabla114[[#This Row],[COSTO]]*1.19</f>
        <v>11254.424999999999</v>
      </c>
      <c r="H128" s="26">
        <f>+Tabla114[[#This Row],[PRECIO INSTALADOR (IVA INCLUIDO)]]*5%</f>
        <v>662.02500000000009</v>
      </c>
      <c r="I128" s="25"/>
      <c r="J128" s="7">
        <v>9457.5</v>
      </c>
    </row>
    <row r="129" spans="1:10" ht="15" x14ac:dyDescent="0.25">
      <c r="A129" s="23" t="s">
        <v>264</v>
      </c>
      <c r="B129" s="24" t="s">
        <v>265</v>
      </c>
      <c r="C129" s="27">
        <f>+Tabla114[[#This Row],[COSTO CON IVA]]/Tabla114[[#This Row],[UTILIDAD]]</f>
        <v>38675</v>
      </c>
      <c r="D129" s="9">
        <f>+Tabla114[[#This Row],[PRECIO INSTALADOR (IVA INCLUIDO)]]-Tabla114[[#This Row],[DCTO TIENDA]]</f>
        <v>36741.25</v>
      </c>
      <c r="E129" s="9">
        <f>+Tabla114[[#This Row],[PRECIO INSTALADOR (IVA INCLUIDO)]]/0.7</f>
        <v>55250</v>
      </c>
      <c r="F129" s="8">
        <v>0.85</v>
      </c>
      <c r="G129" s="16">
        <f>+Tabla114[[#This Row],[COSTO]]*1.19</f>
        <v>32873.75</v>
      </c>
      <c r="H129" s="26">
        <f>+Tabla114[[#This Row],[PRECIO INSTALADOR (IVA INCLUIDO)]]*5%</f>
        <v>1933.75</v>
      </c>
      <c r="I129" s="25"/>
      <c r="J129" s="7">
        <v>27625</v>
      </c>
    </row>
    <row r="130" spans="1:10" ht="15" x14ac:dyDescent="0.25">
      <c r="A130" s="23" t="s">
        <v>266</v>
      </c>
      <c r="B130" s="24" t="s">
        <v>267</v>
      </c>
      <c r="C130" s="27">
        <f>+Tabla114[[#This Row],[COSTO CON IVA]]/Tabla114[[#This Row],[UTILIDAD]]</f>
        <v>52689</v>
      </c>
      <c r="D130" s="9">
        <f>+Tabla114[[#This Row],[PRECIO INSTALADOR (IVA INCLUIDO)]]-Tabla114[[#This Row],[DCTO TIENDA]]</f>
        <v>50054.55</v>
      </c>
      <c r="E130" s="9">
        <f>+Tabla114[[#This Row],[PRECIO INSTALADOR (IVA INCLUIDO)]]/0.7</f>
        <v>75270</v>
      </c>
      <c r="F130" s="8">
        <v>0.85</v>
      </c>
      <c r="G130" s="16">
        <f>+Tabla114[[#This Row],[COSTO]]*1.19</f>
        <v>44785.65</v>
      </c>
      <c r="H130" s="26">
        <f>+Tabla114[[#This Row],[PRECIO INSTALADOR (IVA INCLUIDO)]]*5%</f>
        <v>2634.4500000000003</v>
      </c>
      <c r="I130" s="25"/>
      <c r="J130" s="7">
        <v>37635</v>
      </c>
    </row>
    <row r="131" spans="1:10" ht="15" x14ac:dyDescent="0.25">
      <c r="A131" s="23" t="s">
        <v>268</v>
      </c>
      <c r="B131" s="24" t="s">
        <v>269</v>
      </c>
      <c r="C131" s="27">
        <f>+Tabla114[[#This Row],[COSTO CON IVA]]/Tabla114[[#This Row],[UTILIDAD]]</f>
        <v>63217.7</v>
      </c>
      <c r="D131" s="9">
        <f>+Tabla114[[#This Row],[PRECIO INSTALADOR (IVA INCLUIDO)]]-Tabla114[[#This Row],[DCTO TIENDA]]</f>
        <v>60056.814999999995</v>
      </c>
      <c r="E131" s="9">
        <f>+Tabla114[[#This Row],[PRECIO INSTALADOR (IVA INCLUIDO)]]/0.7</f>
        <v>90311</v>
      </c>
      <c r="F131" s="8">
        <v>0.85</v>
      </c>
      <c r="G131" s="16">
        <f>+Tabla114[[#This Row],[COSTO]]*1.19</f>
        <v>53735.044999999998</v>
      </c>
      <c r="H131" s="26">
        <f>+Tabla114[[#This Row],[PRECIO INSTALADOR (IVA INCLUIDO)]]*5%</f>
        <v>3160.8850000000002</v>
      </c>
      <c r="I131" s="25"/>
      <c r="J131" s="7">
        <v>45155.5</v>
      </c>
    </row>
    <row r="132" spans="1:10" ht="15" x14ac:dyDescent="0.25">
      <c r="A132" s="23" t="s">
        <v>270</v>
      </c>
      <c r="B132" s="24" t="s">
        <v>271</v>
      </c>
      <c r="C132" s="27">
        <f>+Tabla114[[#This Row],[COSTO CON IVA]]/Tabla114[[#This Row],[UTILIDAD]]</f>
        <v>10956.4</v>
      </c>
      <c r="D132" s="9">
        <f>+Tabla114[[#This Row],[PRECIO INSTALADOR (IVA INCLUIDO)]]-Tabla114[[#This Row],[DCTO TIENDA]]</f>
        <v>10408.58</v>
      </c>
      <c r="E132" s="9">
        <f>+Tabla114[[#This Row],[PRECIO INSTALADOR (IVA INCLUIDO)]]/0.7</f>
        <v>15652</v>
      </c>
      <c r="F132" s="8">
        <v>0.85</v>
      </c>
      <c r="G132" s="16">
        <f>+Tabla114[[#This Row],[COSTO]]*1.19</f>
        <v>9312.9399999999987</v>
      </c>
      <c r="H132" s="26">
        <f>+Tabla114[[#This Row],[PRECIO INSTALADOR (IVA INCLUIDO)]]*5%</f>
        <v>547.82000000000005</v>
      </c>
      <c r="I132" s="25"/>
      <c r="J132" s="7">
        <v>7826</v>
      </c>
    </row>
    <row r="133" spans="1:10" ht="15" x14ac:dyDescent="0.25">
      <c r="A133" s="23" t="s">
        <v>272</v>
      </c>
      <c r="B133" s="24" t="s">
        <v>273</v>
      </c>
      <c r="C133" s="27">
        <f>+Tabla114[[#This Row],[COSTO CON IVA]]/Tabla114[[#This Row],[UTILIDAD]]</f>
        <v>17426.5</v>
      </c>
      <c r="D133" s="9">
        <f>+Tabla114[[#This Row],[PRECIO INSTALADOR (IVA INCLUIDO)]]-Tabla114[[#This Row],[DCTO TIENDA]]</f>
        <v>16555.174999999999</v>
      </c>
      <c r="E133" s="9">
        <f>+Tabla114[[#This Row],[PRECIO INSTALADOR (IVA INCLUIDO)]]/0.7</f>
        <v>24895</v>
      </c>
      <c r="F133" s="8">
        <v>0.85</v>
      </c>
      <c r="G133" s="16">
        <f>+Tabla114[[#This Row],[COSTO]]*1.19</f>
        <v>14812.525</v>
      </c>
      <c r="H133" s="26">
        <f>+Tabla114[[#This Row],[PRECIO INSTALADOR (IVA INCLUIDO)]]*5%</f>
        <v>871.32500000000005</v>
      </c>
      <c r="I133" s="25"/>
      <c r="J133" s="7">
        <v>12447.5</v>
      </c>
    </row>
    <row r="134" spans="1:10" ht="15" x14ac:dyDescent="0.25">
      <c r="A134" s="23" t="s">
        <v>274</v>
      </c>
      <c r="B134" s="24" t="s">
        <v>275</v>
      </c>
      <c r="C134" s="27">
        <f>+Tabla114[[#This Row],[COSTO CON IVA]]/Tabla114[[#This Row],[UTILIDAD]]</f>
        <v>14605.5</v>
      </c>
      <c r="D134" s="9">
        <f>+Tabla114[[#This Row],[PRECIO INSTALADOR (IVA INCLUIDO)]]-Tabla114[[#This Row],[DCTO TIENDA]]</f>
        <v>13875.225</v>
      </c>
      <c r="E134" s="9">
        <f>+Tabla114[[#This Row],[PRECIO INSTALADOR (IVA INCLUIDO)]]/0.7</f>
        <v>20865</v>
      </c>
      <c r="F134" s="8">
        <v>0.85</v>
      </c>
      <c r="G134" s="16">
        <f>+Tabla114[[#This Row],[COSTO]]*1.19</f>
        <v>12414.674999999999</v>
      </c>
      <c r="H134" s="26">
        <f>+Tabla114[[#This Row],[PRECIO INSTALADOR (IVA INCLUIDO)]]*5%</f>
        <v>730.27500000000009</v>
      </c>
      <c r="I134" s="25"/>
      <c r="J134" s="7">
        <v>10432.5</v>
      </c>
    </row>
    <row r="135" spans="1:10" ht="15" x14ac:dyDescent="0.25">
      <c r="A135" s="23" t="s">
        <v>276</v>
      </c>
      <c r="B135" s="24" t="s">
        <v>277</v>
      </c>
      <c r="C135" s="27">
        <f>+Tabla114[[#This Row],[COSTO CON IVA]]/Tabla114[[#This Row],[UTILIDAD]]</f>
        <v>14141.4</v>
      </c>
      <c r="D135" s="9">
        <f>+Tabla114[[#This Row],[PRECIO INSTALADOR (IVA INCLUIDO)]]-Tabla114[[#This Row],[DCTO TIENDA]]</f>
        <v>13434.33</v>
      </c>
      <c r="E135" s="9">
        <f>+Tabla114[[#This Row],[PRECIO INSTALADOR (IVA INCLUIDO)]]/0.7</f>
        <v>20202</v>
      </c>
      <c r="F135" s="8">
        <v>0.85</v>
      </c>
      <c r="G135" s="16">
        <f>+Tabla114[[#This Row],[COSTO]]*1.19</f>
        <v>12020.189999999999</v>
      </c>
      <c r="H135" s="26">
        <f>+Tabla114[[#This Row],[PRECIO INSTALADOR (IVA INCLUIDO)]]*5%</f>
        <v>707.07</v>
      </c>
      <c r="I135" s="25"/>
      <c r="J135" s="7">
        <v>10101</v>
      </c>
    </row>
    <row r="136" spans="1:10" ht="15" x14ac:dyDescent="0.25">
      <c r="A136" s="23" t="s">
        <v>278</v>
      </c>
      <c r="B136" s="24" t="s">
        <v>279</v>
      </c>
      <c r="C136" s="27">
        <f>+Tabla114[[#This Row],[COSTO CON IVA]]/Tabla114[[#This Row],[UTILIDAD]]</f>
        <v>5569.2</v>
      </c>
      <c r="D136" s="9">
        <f>+Tabla114[[#This Row],[PRECIO INSTALADOR (IVA INCLUIDO)]]-Tabla114[[#This Row],[DCTO TIENDA]]</f>
        <v>5290.74</v>
      </c>
      <c r="E136" s="9">
        <f>+Tabla114[[#This Row],[PRECIO INSTALADOR (IVA INCLUIDO)]]/0.7</f>
        <v>7956</v>
      </c>
      <c r="F136" s="8">
        <v>0.85</v>
      </c>
      <c r="G136" s="16">
        <f>+Tabla114[[#This Row],[COSTO]]*1.19</f>
        <v>4733.82</v>
      </c>
      <c r="H136" s="26">
        <f>+Tabla114[[#This Row],[PRECIO INSTALADOR (IVA INCLUIDO)]]*5%</f>
        <v>278.45999999999998</v>
      </c>
      <c r="I136" s="25"/>
      <c r="J136" s="7">
        <v>3978</v>
      </c>
    </row>
    <row r="137" spans="1:10" ht="15" x14ac:dyDescent="0.25">
      <c r="A137" s="23" t="s">
        <v>280</v>
      </c>
      <c r="B137" s="24" t="s">
        <v>281</v>
      </c>
      <c r="C137" s="27">
        <f>+Tabla114[[#This Row],[COSTO CON IVA]]/Tabla114[[#This Row],[UTILIDAD]]</f>
        <v>8444.7999999999993</v>
      </c>
      <c r="D137" s="9">
        <f>+Tabla114[[#This Row],[PRECIO INSTALADOR (IVA INCLUIDO)]]-Tabla114[[#This Row],[DCTO TIENDA]]</f>
        <v>8022.5599999999995</v>
      </c>
      <c r="E137" s="9">
        <f>+Tabla114[[#This Row],[PRECIO INSTALADOR (IVA INCLUIDO)]]/0.7</f>
        <v>12064</v>
      </c>
      <c r="F137" s="8">
        <v>0.85</v>
      </c>
      <c r="G137" s="16">
        <f>+Tabla114[[#This Row],[COSTO]]*1.19</f>
        <v>7178.08</v>
      </c>
      <c r="H137" s="26">
        <f>+Tabla114[[#This Row],[PRECIO INSTALADOR (IVA INCLUIDO)]]*5%</f>
        <v>422.24</v>
      </c>
      <c r="I137" s="25"/>
      <c r="J137" s="7">
        <v>6032</v>
      </c>
    </row>
    <row r="138" spans="1:10" ht="15" x14ac:dyDescent="0.25">
      <c r="A138" s="23" t="s">
        <v>282</v>
      </c>
      <c r="B138" s="24" t="s">
        <v>283</v>
      </c>
      <c r="C138" s="27">
        <f>+Tabla114[[#This Row],[COSTO CON IVA]]/Tabla114[[#This Row],[UTILIDAD]]</f>
        <v>11902.8</v>
      </c>
      <c r="D138" s="9">
        <f>+Tabla114[[#This Row],[PRECIO INSTALADOR (IVA INCLUIDO)]]-Tabla114[[#This Row],[DCTO TIENDA]]</f>
        <v>11307.66</v>
      </c>
      <c r="E138" s="9">
        <f>+Tabla114[[#This Row],[PRECIO INSTALADOR (IVA INCLUIDO)]]/0.7</f>
        <v>17004</v>
      </c>
      <c r="F138" s="8">
        <v>0.85</v>
      </c>
      <c r="G138" s="16">
        <f>+Tabla114[[#This Row],[COSTO]]*1.19</f>
        <v>10117.379999999999</v>
      </c>
      <c r="H138" s="26">
        <f>+Tabla114[[#This Row],[PRECIO INSTALADOR (IVA INCLUIDO)]]*5%</f>
        <v>595.14</v>
      </c>
      <c r="I138" s="25"/>
      <c r="J138" s="7">
        <v>8502</v>
      </c>
    </row>
    <row r="139" spans="1:10" ht="15" x14ac:dyDescent="0.25">
      <c r="A139" s="23" t="s">
        <v>284</v>
      </c>
      <c r="B139" s="24" t="s">
        <v>205</v>
      </c>
      <c r="C139" s="27">
        <f>+Tabla114[[#This Row],[COSTO CON IVA]]/Tabla114[[#This Row],[UTILIDAD]]</f>
        <v>6456.45</v>
      </c>
      <c r="D139" s="9">
        <f>+Tabla114[[#This Row],[PRECIO INSTALADOR (IVA INCLUIDO)]]-Tabla114[[#This Row],[DCTO TIENDA]]</f>
        <v>6133.6274999999996</v>
      </c>
      <c r="E139" s="9">
        <f>+Tabla114[[#This Row],[PRECIO INSTALADOR (IVA INCLUIDO)]]/0.7</f>
        <v>9223.5</v>
      </c>
      <c r="F139" s="8">
        <v>0.85</v>
      </c>
      <c r="G139" s="16">
        <f>+Tabla114[[#This Row],[COSTO]]*1.19</f>
        <v>5487.9825000000001</v>
      </c>
      <c r="H139" s="26">
        <f>+Tabla114[[#This Row],[PRECIO INSTALADOR (IVA INCLUIDO)]]*5%</f>
        <v>322.82249999999999</v>
      </c>
      <c r="I139" s="25"/>
      <c r="J139" s="7">
        <v>4611.75</v>
      </c>
    </row>
    <row r="140" spans="1:10" ht="15" x14ac:dyDescent="0.25">
      <c r="A140" s="23" t="s">
        <v>285</v>
      </c>
      <c r="B140" s="24" t="s">
        <v>286</v>
      </c>
      <c r="C140" s="27">
        <f>+Tabla114[[#This Row],[COSTO CON IVA]]/Tabla114[[#This Row],[UTILIDAD]]</f>
        <v>9937.1999999999989</v>
      </c>
      <c r="D140" s="9">
        <f>+Tabla114[[#This Row],[PRECIO INSTALADOR (IVA INCLUIDO)]]-Tabla114[[#This Row],[DCTO TIENDA]]</f>
        <v>9440.3399999999983</v>
      </c>
      <c r="E140" s="9">
        <f>+Tabla114[[#This Row],[PRECIO INSTALADOR (IVA INCLUIDO)]]/0.7</f>
        <v>14196</v>
      </c>
      <c r="F140" s="8">
        <v>0.85</v>
      </c>
      <c r="G140" s="16">
        <f>+Tabla114[[#This Row],[COSTO]]*1.19</f>
        <v>8446.619999999999</v>
      </c>
      <c r="H140" s="26">
        <f>+Tabla114[[#This Row],[PRECIO INSTALADOR (IVA INCLUIDO)]]*5%</f>
        <v>496.85999999999996</v>
      </c>
      <c r="I140" s="25"/>
      <c r="J140" s="7">
        <v>7098</v>
      </c>
    </row>
    <row r="141" spans="1:10" ht="15" x14ac:dyDescent="0.25">
      <c r="A141" s="23" t="s">
        <v>287</v>
      </c>
      <c r="B141" s="24" t="s">
        <v>288</v>
      </c>
      <c r="C141" s="27">
        <f>+Tabla114[[#This Row],[COSTO CON IVA]]/Tabla114[[#This Row],[UTILIDAD]]</f>
        <v>14068.6</v>
      </c>
      <c r="D141" s="9">
        <f>+Tabla114[[#This Row],[PRECIO INSTALADOR (IVA INCLUIDO)]]-Tabla114[[#This Row],[DCTO TIENDA]]</f>
        <v>13365.17</v>
      </c>
      <c r="E141" s="9">
        <f>+Tabla114[[#This Row],[PRECIO INSTALADOR (IVA INCLUIDO)]]/0.7</f>
        <v>20098</v>
      </c>
      <c r="F141" s="8">
        <v>0.85</v>
      </c>
      <c r="G141" s="16">
        <f>+Tabla114[[#This Row],[COSTO]]*1.19</f>
        <v>11958.31</v>
      </c>
      <c r="H141" s="26">
        <f>+Tabla114[[#This Row],[PRECIO INSTALADOR (IVA INCLUIDO)]]*5%</f>
        <v>703.43000000000006</v>
      </c>
      <c r="I141" s="25"/>
      <c r="J141" s="7">
        <v>10049</v>
      </c>
    </row>
    <row r="142" spans="1:10" ht="15" x14ac:dyDescent="0.25">
      <c r="A142" s="23" t="s">
        <v>289</v>
      </c>
      <c r="B142" s="24" t="s">
        <v>211</v>
      </c>
      <c r="C142" s="27">
        <f>+Tabla114[[#This Row],[COSTO CON IVA]]/Tabla114[[#This Row],[UTILIDAD]]</f>
        <v>6060.6</v>
      </c>
      <c r="D142" s="9">
        <f>+Tabla114[[#This Row],[PRECIO INSTALADOR (IVA INCLUIDO)]]-Tabla114[[#This Row],[DCTO TIENDA]]</f>
        <v>5757.5700000000006</v>
      </c>
      <c r="E142" s="9">
        <f>+Tabla114[[#This Row],[PRECIO INSTALADOR (IVA INCLUIDO)]]/0.7</f>
        <v>8658.0000000000018</v>
      </c>
      <c r="F142" s="8">
        <v>0.85</v>
      </c>
      <c r="G142" s="16">
        <f>+Tabla114[[#This Row],[COSTO]]*1.19</f>
        <v>5151.51</v>
      </c>
      <c r="H142" s="26">
        <f>+Tabla114[[#This Row],[PRECIO INSTALADOR (IVA INCLUIDO)]]*5%</f>
        <v>303.03000000000003</v>
      </c>
      <c r="I142" s="25"/>
      <c r="J142" s="7">
        <v>4329</v>
      </c>
    </row>
    <row r="143" spans="1:10" ht="15" x14ac:dyDescent="0.25">
      <c r="A143" s="23" t="s">
        <v>290</v>
      </c>
      <c r="B143" s="24" t="s">
        <v>213</v>
      </c>
      <c r="C143" s="27">
        <f>+Tabla114[[#This Row],[COSTO CON IVA]]/Tabla114[[#This Row],[UTILIDAD]]</f>
        <v>9100</v>
      </c>
      <c r="D143" s="9">
        <f>+Tabla114[[#This Row],[PRECIO INSTALADOR (IVA INCLUIDO)]]-Tabla114[[#This Row],[DCTO TIENDA]]</f>
        <v>8645</v>
      </c>
      <c r="E143" s="9">
        <f>+Tabla114[[#This Row],[PRECIO INSTALADOR (IVA INCLUIDO)]]/0.7</f>
        <v>13000</v>
      </c>
      <c r="F143" s="8">
        <v>0.85</v>
      </c>
      <c r="G143" s="16">
        <f>+Tabla114[[#This Row],[COSTO]]*1.19</f>
        <v>7735</v>
      </c>
      <c r="H143" s="26">
        <f>+Tabla114[[#This Row],[PRECIO INSTALADOR (IVA INCLUIDO)]]*5%</f>
        <v>455</v>
      </c>
      <c r="I143" s="25"/>
      <c r="J143" s="7">
        <v>6500</v>
      </c>
    </row>
    <row r="144" spans="1:10" ht="15" x14ac:dyDescent="0.25">
      <c r="A144" s="23" t="s">
        <v>291</v>
      </c>
      <c r="B144" s="24" t="s">
        <v>215</v>
      </c>
      <c r="C144" s="27">
        <f>+Tabla114[[#This Row],[COSTO CON IVA]]/Tabla114[[#This Row],[UTILIDAD]]</f>
        <v>12740</v>
      </c>
      <c r="D144" s="9">
        <f>+Tabla114[[#This Row],[PRECIO INSTALADOR (IVA INCLUIDO)]]-Tabla114[[#This Row],[DCTO TIENDA]]</f>
        <v>12103</v>
      </c>
      <c r="E144" s="9">
        <f>+Tabla114[[#This Row],[PRECIO INSTALADOR (IVA INCLUIDO)]]/0.7</f>
        <v>18200</v>
      </c>
      <c r="F144" s="8">
        <v>0.85</v>
      </c>
      <c r="G144" s="16">
        <f>+Tabla114[[#This Row],[COSTO]]*1.19</f>
        <v>10829</v>
      </c>
      <c r="H144" s="26">
        <f>+Tabla114[[#This Row],[PRECIO INSTALADOR (IVA INCLUIDO)]]*5%</f>
        <v>637</v>
      </c>
      <c r="I144" s="25"/>
      <c r="J144" s="7">
        <v>9100</v>
      </c>
    </row>
    <row r="145" spans="1:10" ht="15" x14ac:dyDescent="0.25">
      <c r="A145" s="23" t="s">
        <v>292</v>
      </c>
      <c r="B145" s="24" t="s">
        <v>217</v>
      </c>
      <c r="C145" s="27">
        <f>+Tabla114[[#This Row],[COSTO CON IVA]]/Tabla114[[#This Row],[UTILIDAD]]</f>
        <v>9609.6</v>
      </c>
      <c r="D145" s="9">
        <f>+Tabla114[[#This Row],[PRECIO INSTALADOR (IVA INCLUIDO)]]-Tabla114[[#This Row],[DCTO TIENDA]]</f>
        <v>9129.1200000000008</v>
      </c>
      <c r="E145" s="9">
        <f>+Tabla114[[#This Row],[PRECIO INSTALADOR (IVA INCLUIDO)]]/0.7</f>
        <v>13728.000000000002</v>
      </c>
      <c r="F145" s="8">
        <v>0.85</v>
      </c>
      <c r="G145" s="16">
        <f>+Tabla114[[#This Row],[COSTO]]*1.19</f>
        <v>8168.16</v>
      </c>
      <c r="H145" s="26">
        <f>+Tabla114[[#This Row],[PRECIO INSTALADOR (IVA INCLUIDO)]]*5%</f>
        <v>480.48</v>
      </c>
      <c r="I145" s="25"/>
      <c r="J145" s="7">
        <v>6864</v>
      </c>
    </row>
    <row r="146" spans="1:10" ht="15" x14ac:dyDescent="0.25">
      <c r="A146" s="23" t="s">
        <v>293</v>
      </c>
      <c r="B146" s="24" t="s">
        <v>294</v>
      </c>
      <c r="C146" s="27">
        <f>+Tabla114[[#This Row],[COSTO CON IVA]]/Tabla114[[#This Row],[UTILIDAD]]</f>
        <v>9577.75</v>
      </c>
      <c r="D146" s="9">
        <f>+Tabla114[[#This Row],[PRECIO INSTALADOR (IVA INCLUIDO)]]-Tabla114[[#This Row],[DCTO TIENDA]]</f>
        <v>9098.8624999999993</v>
      </c>
      <c r="E146" s="9">
        <f>+Tabla114[[#This Row],[PRECIO INSTALADOR (IVA INCLUIDO)]]/0.7</f>
        <v>13682.5</v>
      </c>
      <c r="F146" s="8">
        <v>0.85</v>
      </c>
      <c r="G146" s="16">
        <f>+Tabla114[[#This Row],[COSTO]]*1.19</f>
        <v>8141.0874999999996</v>
      </c>
      <c r="H146" s="26">
        <f>+Tabla114[[#This Row],[PRECIO INSTALADOR (IVA INCLUIDO)]]*5%</f>
        <v>478.88750000000005</v>
      </c>
      <c r="I146" s="25"/>
      <c r="J146" s="7">
        <v>6841.25</v>
      </c>
    </row>
    <row r="147" spans="1:10" ht="15" x14ac:dyDescent="0.25">
      <c r="A147" s="23" t="s">
        <v>295</v>
      </c>
      <c r="B147" s="24" t="s">
        <v>221</v>
      </c>
      <c r="C147" s="27">
        <f>+Tabla114[[#This Row],[COSTO CON IVA]]/Tabla114[[#This Row],[UTILIDAD]]</f>
        <v>9090.9</v>
      </c>
      <c r="D147" s="9">
        <f>+Tabla114[[#This Row],[PRECIO INSTALADOR (IVA INCLUIDO)]]-Tabla114[[#This Row],[DCTO TIENDA]]</f>
        <v>8636.3549999999996</v>
      </c>
      <c r="E147" s="9">
        <f>+Tabla114[[#This Row],[PRECIO INSTALADOR (IVA INCLUIDO)]]/0.7</f>
        <v>12987</v>
      </c>
      <c r="F147" s="8">
        <v>0.85</v>
      </c>
      <c r="G147" s="16">
        <f>+Tabla114[[#This Row],[COSTO]]*1.19</f>
        <v>7727.2649999999994</v>
      </c>
      <c r="H147" s="26">
        <f>+Tabla114[[#This Row],[PRECIO INSTALADOR (IVA INCLUIDO)]]*5%</f>
        <v>454.54500000000002</v>
      </c>
      <c r="I147" s="25"/>
      <c r="J147" s="7">
        <v>6493.5</v>
      </c>
    </row>
    <row r="148" spans="1:10" ht="15" x14ac:dyDescent="0.25">
      <c r="A148" s="23" t="s">
        <v>296</v>
      </c>
      <c r="B148" s="24" t="s">
        <v>297</v>
      </c>
      <c r="C148" s="27">
        <f>+Tabla114[[#This Row],[COSTO CON IVA]]/Tabla114[[#This Row],[UTILIDAD]]</f>
        <v>9636.9</v>
      </c>
      <c r="D148" s="9">
        <f>+Tabla114[[#This Row],[PRECIO INSTALADOR (IVA INCLUIDO)]]-Tabla114[[#This Row],[DCTO TIENDA]]</f>
        <v>9155.0550000000003</v>
      </c>
      <c r="E148" s="9">
        <f>+Tabla114[[#This Row],[PRECIO INSTALADOR (IVA INCLUIDO)]]/0.7</f>
        <v>13767</v>
      </c>
      <c r="F148" s="8">
        <v>0.85</v>
      </c>
      <c r="G148" s="16">
        <f>+Tabla114[[#This Row],[COSTO]]*1.19</f>
        <v>8191.3649999999998</v>
      </c>
      <c r="H148" s="26">
        <f>+Tabla114[[#This Row],[PRECIO INSTALADOR (IVA INCLUIDO)]]*5%</f>
        <v>481.84500000000003</v>
      </c>
      <c r="I148" s="25"/>
      <c r="J148" s="7">
        <v>6883.5</v>
      </c>
    </row>
    <row r="149" spans="1:10" ht="15" x14ac:dyDescent="0.25">
      <c r="A149" s="23" t="s">
        <v>298</v>
      </c>
      <c r="B149" s="24" t="s">
        <v>299</v>
      </c>
      <c r="C149" s="27">
        <f>+Tabla114[[#This Row],[COSTO CON IVA]]/Tabla114[[#This Row],[UTILIDAD]]</f>
        <v>14560</v>
      </c>
      <c r="D149" s="9">
        <f>+Tabla114[[#This Row],[PRECIO INSTALADOR (IVA INCLUIDO)]]-Tabla114[[#This Row],[DCTO TIENDA]]</f>
        <v>13832</v>
      </c>
      <c r="E149" s="9">
        <f>+Tabla114[[#This Row],[PRECIO INSTALADOR (IVA INCLUIDO)]]/0.7</f>
        <v>20800</v>
      </c>
      <c r="F149" s="8">
        <v>0.85</v>
      </c>
      <c r="G149" s="16">
        <f>+Tabla114[[#This Row],[COSTO]]*1.19</f>
        <v>12376</v>
      </c>
      <c r="H149" s="26">
        <f>+Tabla114[[#This Row],[PRECIO INSTALADOR (IVA INCLUIDO)]]*5%</f>
        <v>728</v>
      </c>
      <c r="I149" s="25"/>
      <c r="J149" s="7">
        <v>10400</v>
      </c>
    </row>
    <row r="150" spans="1:10" ht="15" x14ac:dyDescent="0.25">
      <c r="A150" s="23" t="s">
        <v>300</v>
      </c>
      <c r="B150" s="24" t="s">
        <v>227</v>
      </c>
      <c r="C150" s="27">
        <f>+Tabla114[[#This Row],[COSTO CON IVA]]/Tabla114[[#This Row],[UTILIDAD]]</f>
        <v>6779.5</v>
      </c>
      <c r="D150" s="9">
        <f>+Tabla114[[#This Row],[PRECIO INSTALADOR (IVA INCLUIDO)]]-Tabla114[[#This Row],[DCTO TIENDA]]</f>
        <v>6440.5249999999996</v>
      </c>
      <c r="E150" s="9">
        <f>+Tabla114[[#This Row],[PRECIO INSTALADOR (IVA INCLUIDO)]]/0.7</f>
        <v>9685</v>
      </c>
      <c r="F150" s="8">
        <v>0.85</v>
      </c>
      <c r="G150" s="16">
        <f>+Tabla114[[#This Row],[COSTO]]*1.19</f>
        <v>5762.5749999999998</v>
      </c>
      <c r="H150" s="26">
        <f>+Tabla114[[#This Row],[PRECIO INSTALADOR (IVA INCLUIDO)]]*5%</f>
        <v>338.97500000000002</v>
      </c>
      <c r="I150" s="25"/>
      <c r="J150" s="7">
        <v>4842.5</v>
      </c>
    </row>
    <row r="151" spans="1:10" ht="15" x14ac:dyDescent="0.25">
      <c r="A151" s="23" t="s">
        <v>301</v>
      </c>
      <c r="B151" s="24" t="s">
        <v>229</v>
      </c>
      <c r="C151" s="27">
        <f>+Tabla114[[#This Row],[COSTO CON IVA]]/Tabla114[[#This Row],[UTILIDAD]]</f>
        <v>9736.9999999999982</v>
      </c>
      <c r="D151" s="9">
        <f>+Tabla114[[#This Row],[PRECIO INSTALADOR (IVA INCLUIDO)]]-Tabla114[[#This Row],[DCTO TIENDA]]</f>
        <v>9250.1499999999978</v>
      </c>
      <c r="E151" s="9">
        <f>+Tabla114[[#This Row],[PRECIO INSTALADOR (IVA INCLUIDO)]]/0.7</f>
        <v>13909.999999999998</v>
      </c>
      <c r="F151" s="8">
        <v>0.85</v>
      </c>
      <c r="G151" s="16">
        <f>+Tabla114[[#This Row],[COSTO]]*1.19</f>
        <v>8276.4499999999989</v>
      </c>
      <c r="H151" s="26">
        <f>+Tabla114[[#This Row],[PRECIO INSTALADOR (IVA INCLUIDO)]]*5%</f>
        <v>486.84999999999991</v>
      </c>
      <c r="I151" s="25"/>
      <c r="J151" s="7">
        <v>6955</v>
      </c>
    </row>
    <row r="152" spans="1:10" ht="15" x14ac:dyDescent="0.25">
      <c r="A152" s="23" t="s">
        <v>302</v>
      </c>
      <c r="B152" s="24" t="s">
        <v>231</v>
      </c>
      <c r="C152" s="27">
        <f>+Tabla114[[#This Row],[COSTO CON IVA]]/Tabla114[[#This Row],[UTILIDAD]]</f>
        <v>5778.4999999999991</v>
      </c>
      <c r="D152" s="9">
        <f>+Tabla114[[#This Row],[PRECIO INSTALADOR (IVA INCLUIDO)]]-Tabla114[[#This Row],[DCTO TIENDA]]</f>
        <v>5489.5749999999989</v>
      </c>
      <c r="E152" s="9">
        <f>+Tabla114[[#This Row],[PRECIO INSTALADOR (IVA INCLUIDO)]]/0.7</f>
        <v>8255</v>
      </c>
      <c r="F152" s="8">
        <v>0.85</v>
      </c>
      <c r="G152" s="16">
        <f>+Tabla114[[#This Row],[COSTO]]*1.19</f>
        <v>4911.7249999999995</v>
      </c>
      <c r="H152" s="26">
        <f>+Tabla114[[#This Row],[PRECIO INSTALADOR (IVA INCLUIDO)]]*5%</f>
        <v>288.92499999999995</v>
      </c>
      <c r="I152" s="25"/>
      <c r="J152" s="7">
        <v>4127.5</v>
      </c>
    </row>
    <row r="153" spans="1:10" ht="15" x14ac:dyDescent="0.25">
      <c r="A153" s="23" t="s">
        <v>303</v>
      </c>
      <c r="B153" s="24" t="s">
        <v>233</v>
      </c>
      <c r="C153" s="27">
        <f>+Tabla114[[#This Row],[COSTO CON IVA]]/Tabla114[[#This Row],[UTILIDAD]]</f>
        <v>8517.6</v>
      </c>
      <c r="D153" s="9">
        <f>+Tabla114[[#This Row],[PRECIO INSTALADOR (IVA INCLUIDO)]]-Tabla114[[#This Row],[DCTO TIENDA]]</f>
        <v>8091.72</v>
      </c>
      <c r="E153" s="9">
        <f>+Tabla114[[#This Row],[PRECIO INSTALADOR (IVA INCLUIDO)]]/0.7</f>
        <v>12168.000000000002</v>
      </c>
      <c r="F153" s="8">
        <v>0.85</v>
      </c>
      <c r="G153" s="16">
        <f>+Tabla114[[#This Row],[COSTO]]*1.19</f>
        <v>7239.96</v>
      </c>
      <c r="H153" s="26">
        <f>+Tabla114[[#This Row],[PRECIO INSTALADOR (IVA INCLUIDO)]]*5%</f>
        <v>425.88000000000005</v>
      </c>
      <c r="I153" s="25"/>
      <c r="J153" s="7">
        <v>6084</v>
      </c>
    </row>
    <row r="154" spans="1:10" ht="15" x14ac:dyDescent="0.25">
      <c r="A154" s="23" t="s">
        <v>304</v>
      </c>
      <c r="B154" s="24" t="s">
        <v>305</v>
      </c>
      <c r="C154" s="27">
        <f>+Tabla114[[#This Row],[COSTO CON IVA]]/Tabla114[[#This Row],[UTILIDAD]]</f>
        <v>5733</v>
      </c>
      <c r="D154" s="9">
        <f>+Tabla114[[#This Row],[PRECIO INSTALADOR (IVA INCLUIDO)]]-Tabla114[[#This Row],[DCTO TIENDA]]</f>
        <v>5446.35</v>
      </c>
      <c r="E154" s="9">
        <f>+Tabla114[[#This Row],[PRECIO INSTALADOR (IVA INCLUIDO)]]/0.7</f>
        <v>8190.0000000000009</v>
      </c>
      <c r="F154" s="8">
        <v>0.85</v>
      </c>
      <c r="G154" s="16">
        <f>+Tabla114[[#This Row],[COSTO]]*1.19</f>
        <v>4873.05</v>
      </c>
      <c r="H154" s="26">
        <f>+Tabla114[[#This Row],[PRECIO INSTALADOR (IVA INCLUIDO)]]*5%</f>
        <v>286.65000000000003</v>
      </c>
      <c r="I154" s="25"/>
      <c r="J154" s="7">
        <v>4095</v>
      </c>
    </row>
    <row r="155" spans="1:10" ht="15" x14ac:dyDescent="0.25">
      <c r="A155" s="23" t="s">
        <v>306</v>
      </c>
      <c r="B155" s="24" t="s">
        <v>237</v>
      </c>
      <c r="C155" s="27">
        <f>+Tabla114[[#This Row],[COSTO CON IVA]]/Tabla114[[#This Row],[UTILIDAD]]</f>
        <v>8326.5</v>
      </c>
      <c r="D155" s="9">
        <f>+Tabla114[[#This Row],[PRECIO INSTALADOR (IVA INCLUIDO)]]-Tabla114[[#This Row],[DCTO TIENDA]]</f>
        <v>7910.1750000000002</v>
      </c>
      <c r="E155" s="9">
        <f>+Tabla114[[#This Row],[PRECIO INSTALADOR (IVA INCLUIDO)]]/0.7</f>
        <v>11895</v>
      </c>
      <c r="F155" s="8">
        <v>0.85</v>
      </c>
      <c r="G155" s="16">
        <f>+Tabla114[[#This Row],[COSTO]]*1.19</f>
        <v>7077.5249999999996</v>
      </c>
      <c r="H155" s="26">
        <f>+Tabla114[[#This Row],[PRECIO INSTALADOR (IVA INCLUIDO)]]*5%</f>
        <v>416.32500000000005</v>
      </c>
      <c r="I155" s="25"/>
      <c r="J155" s="7">
        <v>5947.5</v>
      </c>
    </row>
    <row r="156" spans="1:10" ht="15" x14ac:dyDescent="0.25">
      <c r="A156" s="23" t="s">
        <v>307</v>
      </c>
      <c r="B156" s="24" t="s">
        <v>308</v>
      </c>
      <c r="C156" s="27">
        <f>+Tabla114[[#This Row],[COSTO CON IVA]]/Tabla114[[#This Row],[UTILIDAD]]</f>
        <v>3075.7999999999997</v>
      </c>
      <c r="D156" s="9">
        <f>+Tabla114[[#This Row],[PRECIO INSTALADOR (IVA INCLUIDO)]]-Tabla114[[#This Row],[DCTO TIENDA]]</f>
        <v>2922.0099999999998</v>
      </c>
      <c r="E156" s="9">
        <f>+Tabla114[[#This Row],[PRECIO INSTALADOR (IVA INCLUIDO)]]/0.7</f>
        <v>4394</v>
      </c>
      <c r="F156" s="8">
        <v>0.85</v>
      </c>
      <c r="G156" s="16">
        <f>+Tabla114[[#This Row],[COSTO]]*1.19</f>
        <v>2614.4299999999998</v>
      </c>
      <c r="H156" s="26">
        <f>+Tabla114[[#This Row],[PRECIO INSTALADOR (IVA INCLUIDO)]]*5%</f>
        <v>153.79</v>
      </c>
      <c r="I156" s="25"/>
      <c r="J156" s="7">
        <v>2197</v>
      </c>
    </row>
    <row r="157" spans="1:10" ht="15" x14ac:dyDescent="0.25">
      <c r="A157" s="23" t="s">
        <v>309</v>
      </c>
      <c r="B157" s="24" t="s">
        <v>310</v>
      </c>
      <c r="C157" s="27">
        <f>+Tabla114[[#This Row],[COSTO CON IVA]]/Tabla114[[#This Row],[UTILIDAD]]</f>
        <v>3075.7999999999997</v>
      </c>
      <c r="D157" s="9">
        <f>+Tabla114[[#This Row],[PRECIO INSTALADOR (IVA INCLUIDO)]]-Tabla114[[#This Row],[DCTO TIENDA]]</f>
        <v>2922.0099999999998</v>
      </c>
      <c r="E157" s="9">
        <f>+Tabla114[[#This Row],[PRECIO INSTALADOR (IVA INCLUIDO)]]/0.7</f>
        <v>4394</v>
      </c>
      <c r="F157" s="8">
        <v>0.85</v>
      </c>
      <c r="G157" s="16">
        <f>+Tabla114[[#This Row],[COSTO]]*1.19</f>
        <v>2614.4299999999998</v>
      </c>
      <c r="H157" s="26">
        <f>+Tabla114[[#This Row],[PRECIO INSTALADOR (IVA INCLUIDO)]]*5%</f>
        <v>153.79</v>
      </c>
      <c r="I157" s="25"/>
      <c r="J157" s="7">
        <v>2197</v>
      </c>
    </row>
    <row r="158" spans="1:10" ht="15" x14ac:dyDescent="0.25">
      <c r="A158" s="23" t="s">
        <v>311</v>
      </c>
      <c r="B158" s="24" t="s">
        <v>312</v>
      </c>
      <c r="C158" s="27">
        <f>+Tabla114[[#This Row],[COSTO CON IVA]]/Tabla114[[#This Row],[UTILIDAD]]</f>
        <v>9277.4499999999989</v>
      </c>
      <c r="D158" s="9">
        <f>+Tabla114[[#This Row],[PRECIO INSTALADOR (IVA INCLUIDO)]]-Tabla114[[#This Row],[DCTO TIENDA]]</f>
        <v>8813.5774999999994</v>
      </c>
      <c r="E158" s="9">
        <f>+Tabla114[[#This Row],[PRECIO INSTALADOR (IVA INCLUIDO)]]/0.7</f>
        <v>13253.5</v>
      </c>
      <c r="F158" s="8">
        <v>0.85</v>
      </c>
      <c r="G158" s="16">
        <f>+Tabla114[[#This Row],[COSTO]]*1.19</f>
        <v>7885.8324999999995</v>
      </c>
      <c r="H158" s="26">
        <f>+Tabla114[[#This Row],[PRECIO INSTALADOR (IVA INCLUIDO)]]*5%</f>
        <v>463.87249999999995</v>
      </c>
      <c r="I158" s="25"/>
      <c r="J158" s="7">
        <v>6626.75</v>
      </c>
    </row>
    <row r="159" spans="1:10" ht="15" x14ac:dyDescent="0.25">
      <c r="A159" s="23" t="s">
        <v>313</v>
      </c>
      <c r="B159" s="24" t="s">
        <v>314</v>
      </c>
      <c r="C159" s="27">
        <f>+Tabla114[[#This Row],[COSTO CON IVA]]/Tabla114[[#This Row],[UTILIDAD]]</f>
        <v>38675</v>
      </c>
      <c r="D159" s="9">
        <f>+Tabla114[[#This Row],[PRECIO INSTALADOR (IVA INCLUIDO)]]-Tabla114[[#This Row],[DCTO TIENDA]]</f>
        <v>36741.25</v>
      </c>
      <c r="E159" s="9">
        <f>+Tabla114[[#This Row],[PRECIO INSTALADOR (IVA INCLUIDO)]]/0.7</f>
        <v>55250</v>
      </c>
      <c r="F159" s="8">
        <v>0.85</v>
      </c>
      <c r="G159" s="16">
        <f>+Tabla114[[#This Row],[COSTO]]*1.19</f>
        <v>32873.75</v>
      </c>
      <c r="H159" s="26">
        <f>+Tabla114[[#This Row],[PRECIO INSTALADOR (IVA INCLUIDO)]]*5%</f>
        <v>1933.75</v>
      </c>
      <c r="I159" s="25"/>
      <c r="J159" s="7">
        <v>27625</v>
      </c>
    </row>
    <row r="160" spans="1:10" ht="15" x14ac:dyDescent="0.25">
      <c r="A160" s="23" t="s">
        <v>315</v>
      </c>
      <c r="B160" s="24" t="s">
        <v>316</v>
      </c>
      <c r="C160" s="27">
        <f>+Tabla114[[#This Row],[COSTO CON IVA]]/Tabla114[[#This Row],[UTILIDAD]]</f>
        <v>10956.4</v>
      </c>
      <c r="D160" s="9">
        <f>+Tabla114[[#This Row],[PRECIO INSTALADOR (IVA INCLUIDO)]]-Tabla114[[#This Row],[DCTO TIENDA]]</f>
        <v>10408.58</v>
      </c>
      <c r="E160" s="9">
        <f>+Tabla114[[#This Row],[PRECIO INSTALADOR (IVA INCLUIDO)]]/0.7</f>
        <v>15652</v>
      </c>
      <c r="F160" s="8">
        <v>0.85</v>
      </c>
      <c r="G160" s="16">
        <f>+Tabla114[[#This Row],[COSTO]]*1.19</f>
        <v>9312.9399999999987</v>
      </c>
      <c r="H160" s="26">
        <f>+Tabla114[[#This Row],[PRECIO INSTALADOR (IVA INCLUIDO)]]*5%</f>
        <v>547.82000000000005</v>
      </c>
      <c r="I160" s="25"/>
      <c r="J160" s="7">
        <v>7826</v>
      </c>
    </row>
    <row r="161" spans="1:10" ht="15" x14ac:dyDescent="0.25">
      <c r="A161" s="23" t="s">
        <v>317</v>
      </c>
      <c r="B161" s="24" t="s">
        <v>318</v>
      </c>
      <c r="C161" s="27">
        <f>+Tabla114[[#This Row],[COSTO CON IVA]]/Tabla114[[#This Row],[UTILIDAD]]</f>
        <v>6806.8</v>
      </c>
      <c r="D161" s="9">
        <f>+Tabla114[[#This Row],[PRECIO INSTALADOR (IVA INCLUIDO)]]-Tabla114[[#This Row],[DCTO TIENDA]]</f>
        <v>6466.46</v>
      </c>
      <c r="E161" s="9">
        <f>+Tabla114[[#This Row],[PRECIO INSTALADOR (IVA INCLUIDO)]]/0.7</f>
        <v>9724</v>
      </c>
      <c r="F161" s="8">
        <v>0.85</v>
      </c>
      <c r="G161" s="16">
        <f>+Tabla114[[#This Row],[COSTO]]*1.19</f>
        <v>5785.78</v>
      </c>
      <c r="H161" s="26">
        <f>+Tabla114[[#This Row],[PRECIO INSTALADOR (IVA INCLUIDO)]]*5%</f>
        <v>340.34000000000003</v>
      </c>
      <c r="I161" s="25"/>
      <c r="J161" s="7">
        <v>4862</v>
      </c>
    </row>
    <row r="162" spans="1:10" ht="15" x14ac:dyDescent="0.25">
      <c r="A162" s="23" t="s">
        <v>319</v>
      </c>
      <c r="B162" s="24" t="s">
        <v>320</v>
      </c>
      <c r="C162" s="27">
        <f>+Tabla114[[#This Row],[COSTO CON IVA]]/Tabla114[[#This Row],[UTILIDAD]]</f>
        <v>9973.6</v>
      </c>
      <c r="D162" s="9">
        <f>+Tabla114[[#This Row],[PRECIO INSTALADOR (IVA INCLUIDO)]]-Tabla114[[#This Row],[DCTO TIENDA]]</f>
        <v>9474.92</v>
      </c>
      <c r="E162" s="9">
        <f>+Tabla114[[#This Row],[PRECIO INSTALADOR (IVA INCLUIDO)]]/0.7</f>
        <v>14248.000000000002</v>
      </c>
      <c r="F162" s="8">
        <v>0.85</v>
      </c>
      <c r="G162" s="16">
        <f>+Tabla114[[#This Row],[COSTO]]*1.19</f>
        <v>8477.56</v>
      </c>
      <c r="H162" s="26">
        <f>+Tabla114[[#This Row],[PRECIO INSTALADOR (IVA INCLUIDO)]]*5%</f>
        <v>498.68000000000006</v>
      </c>
      <c r="I162" s="25"/>
      <c r="J162" s="7">
        <v>7124</v>
      </c>
    </row>
    <row r="163" spans="1:10" ht="15" x14ac:dyDescent="0.25">
      <c r="A163" s="23" t="s">
        <v>321</v>
      </c>
      <c r="B163" s="24" t="s">
        <v>322</v>
      </c>
      <c r="C163" s="27">
        <f>+Tabla114[[#This Row],[COSTO CON IVA]]/Tabla114[[#This Row],[UTILIDAD]]</f>
        <v>13577.199999999999</v>
      </c>
      <c r="D163" s="9">
        <f>+Tabla114[[#This Row],[PRECIO INSTALADOR (IVA INCLUIDO)]]-Tabla114[[#This Row],[DCTO TIENDA]]</f>
        <v>12898.339999999998</v>
      </c>
      <c r="E163" s="9">
        <f>+Tabla114[[#This Row],[PRECIO INSTALADOR (IVA INCLUIDO)]]/0.7</f>
        <v>19396</v>
      </c>
      <c r="F163" s="8">
        <v>0.85</v>
      </c>
      <c r="G163" s="16">
        <f>+Tabla114[[#This Row],[COSTO]]*1.19</f>
        <v>11540.619999999999</v>
      </c>
      <c r="H163" s="26">
        <f>+Tabla114[[#This Row],[PRECIO INSTALADOR (IVA INCLUIDO)]]*5%</f>
        <v>678.86</v>
      </c>
      <c r="I163" s="25"/>
      <c r="J163" s="7">
        <v>9698</v>
      </c>
    </row>
    <row r="164" spans="1:10" ht="15" x14ac:dyDescent="0.25">
      <c r="A164" s="23" t="s">
        <v>323</v>
      </c>
      <c r="B164" s="24" t="s">
        <v>324</v>
      </c>
      <c r="C164" s="27">
        <f>+Tabla114[[#This Row],[COSTO CON IVA]]/Tabla114[[#This Row],[UTILIDAD]]</f>
        <v>7730.45</v>
      </c>
      <c r="D164" s="9">
        <f>+Tabla114[[#This Row],[PRECIO INSTALADOR (IVA INCLUIDO)]]-Tabla114[[#This Row],[DCTO TIENDA]]</f>
        <v>7343.9274999999998</v>
      </c>
      <c r="E164" s="9">
        <f>+Tabla114[[#This Row],[PRECIO INSTALADOR (IVA INCLUIDO)]]/0.7</f>
        <v>11043.5</v>
      </c>
      <c r="F164" s="8">
        <v>0.85</v>
      </c>
      <c r="G164" s="16">
        <f>+Tabla114[[#This Row],[COSTO]]*1.19</f>
        <v>6570.8824999999997</v>
      </c>
      <c r="H164" s="26">
        <f>+Tabla114[[#This Row],[PRECIO INSTALADOR (IVA INCLUIDO)]]*5%</f>
        <v>386.52250000000004</v>
      </c>
      <c r="I164" s="25"/>
      <c r="J164" s="7">
        <v>5521.75</v>
      </c>
    </row>
    <row r="165" spans="1:10" ht="15" x14ac:dyDescent="0.25">
      <c r="A165" s="23" t="s">
        <v>325</v>
      </c>
      <c r="B165" s="24" t="s">
        <v>326</v>
      </c>
      <c r="C165" s="27">
        <f>+Tabla114[[#This Row],[COSTO CON IVA]]/Tabla114[[#This Row],[UTILIDAD]]</f>
        <v>11711.7</v>
      </c>
      <c r="D165" s="9">
        <f>+Tabla114[[#This Row],[PRECIO INSTALADOR (IVA INCLUIDO)]]-Tabla114[[#This Row],[DCTO TIENDA]]</f>
        <v>11126.115000000002</v>
      </c>
      <c r="E165" s="9">
        <f>+Tabla114[[#This Row],[PRECIO INSTALADOR (IVA INCLUIDO)]]/0.7</f>
        <v>16731.000000000004</v>
      </c>
      <c r="F165" s="8">
        <v>0.85</v>
      </c>
      <c r="G165" s="16">
        <f>+Tabla114[[#This Row],[COSTO]]*1.19</f>
        <v>9954.9449999999997</v>
      </c>
      <c r="H165" s="26">
        <f>+Tabla114[[#This Row],[PRECIO INSTALADOR (IVA INCLUIDO)]]*5%</f>
        <v>585.58500000000004</v>
      </c>
      <c r="I165" s="25"/>
      <c r="J165" s="7">
        <v>8365.5</v>
      </c>
    </row>
    <row r="166" spans="1:10" ht="15" x14ac:dyDescent="0.25">
      <c r="A166" s="23" t="s">
        <v>327</v>
      </c>
      <c r="B166" s="24" t="s">
        <v>328</v>
      </c>
      <c r="C166" s="27">
        <f>+Tabla114[[#This Row],[COSTO CON IVA]]/Tabla114[[#This Row],[UTILIDAD]]</f>
        <v>16580.2</v>
      </c>
      <c r="D166" s="9">
        <f>+Tabla114[[#This Row],[PRECIO INSTALADOR (IVA INCLUIDO)]]-Tabla114[[#This Row],[DCTO TIENDA]]</f>
        <v>15751.19</v>
      </c>
      <c r="E166" s="9">
        <f>+Tabla114[[#This Row],[PRECIO INSTALADOR (IVA INCLUIDO)]]/0.7</f>
        <v>23686.000000000004</v>
      </c>
      <c r="F166" s="8">
        <v>0.85</v>
      </c>
      <c r="G166" s="16">
        <f>+Tabla114[[#This Row],[COSTO]]*1.19</f>
        <v>14093.17</v>
      </c>
      <c r="H166" s="26">
        <f>+Tabla114[[#This Row],[PRECIO INSTALADOR (IVA INCLUIDO)]]*5%</f>
        <v>829.0100000000001</v>
      </c>
      <c r="I166" s="25"/>
      <c r="J166" s="7">
        <v>11843</v>
      </c>
    </row>
    <row r="167" spans="1:10" ht="15" x14ac:dyDescent="0.25">
      <c r="A167" s="23" t="s">
        <v>329</v>
      </c>
      <c r="B167" s="24" t="s">
        <v>330</v>
      </c>
      <c r="C167" s="27">
        <f>+Tabla114[[#This Row],[COSTO CON IVA]]/Tabla114[[#This Row],[UTILIDAD]]</f>
        <v>7207.2</v>
      </c>
      <c r="D167" s="9">
        <f>+Tabla114[[#This Row],[PRECIO INSTALADOR (IVA INCLUIDO)]]-Tabla114[[#This Row],[DCTO TIENDA]]</f>
        <v>6846.84</v>
      </c>
      <c r="E167" s="9">
        <f>+Tabla114[[#This Row],[PRECIO INSTALADOR (IVA INCLUIDO)]]/0.7</f>
        <v>10296</v>
      </c>
      <c r="F167" s="8">
        <v>0.85</v>
      </c>
      <c r="G167" s="16">
        <f>+Tabla114[[#This Row],[COSTO]]*1.19</f>
        <v>6126.12</v>
      </c>
      <c r="H167" s="26">
        <f>+Tabla114[[#This Row],[PRECIO INSTALADOR (IVA INCLUIDO)]]*5%</f>
        <v>360.36</v>
      </c>
      <c r="I167" s="25"/>
      <c r="J167" s="7">
        <v>5148</v>
      </c>
    </row>
    <row r="168" spans="1:10" ht="15" x14ac:dyDescent="0.25">
      <c r="A168" s="23" t="s">
        <v>331</v>
      </c>
      <c r="B168" s="24" t="s">
        <v>332</v>
      </c>
      <c r="C168" s="27">
        <f>+Tabla114[[#This Row],[COSTO CON IVA]]/Tabla114[[#This Row],[UTILIDAD]]</f>
        <v>10601.5</v>
      </c>
      <c r="D168" s="9">
        <f>+Tabla114[[#This Row],[PRECIO INSTALADOR (IVA INCLUIDO)]]-Tabla114[[#This Row],[DCTO TIENDA]]</f>
        <v>10071.424999999999</v>
      </c>
      <c r="E168" s="9">
        <f>+Tabla114[[#This Row],[PRECIO INSTALADOR (IVA INCLUIDO)]]/0.7</f>
        <v>15145.000000000002</v>
      </c>
      <c r="F168" s="8">
        <v>0.85</v>
      </c>
      <c r="G168" s="16">
        <f>+Tabla114[[#This Row],[COSTO]]*1.19</f>
        <v>9011.2749999999996</v>
      </c>
      <c r="H168" s="26">
        <f>+Tabla114[[#This Row],[PRECIO INSTALADOR (IVA INCLUIDO)]]*5%</f>
        <v>530.07500000000005</v>
      </c>
      <c r="I168" s="25"/>
      <c r="J168" s="7">
        <v>7572.5</v>
      </c>
    </row>
    <row r="169" spans="1:10" ht="15" x14ac:dyDescent="0.25">
      <c r="A169" s="23" t="s">
        <v>333</v>
      </c>
      <c r="B169" s="24" t="s">
        <v>334</v>
      </c>
      <c r="C169" s="27">
        <f>+Tabla114[[#This Row],[COSTO CON IVA]]/Tabla114[[#This Row],[UTILIDAD]]</f>
        <v>14587.300000000001</v>
      </c>
      <c r="D169" s="9">
        <f>+Tabla114[[#This Row],[PRECIO INSTALADOR (IVA INCLUIDO)]]-Tabla114[[#This Row],[DCTO TIENDA]]</f>
        <v>13857.935000000001</v>
      </c>
      <c r="E169" s="9">
        <f>+Tabla114[[#This Row],[PRECIO INSTALADOR (IVA INCLUIDO)]]/0.7</f>
        <v>20839.000000000004</v>
      </c>
      <c r="F169" s="8">
        <v>0.85</v>
      </c>
      <c r="G169" s="16">
        <f>+Tabla114[[#This Row],[COSTO]]*1.19</f>
        <v>12399.205</v>
      </c>
      <c r="H169" s="26">
        <f>+Tabla114[[#This Row],[PRECIO INSTALADOR (IVA INCLUIDO)]]*5%</f>
        <v>729.36500000000012</v>
      </c>
      <c r="I169" s="25"/>
      <c r="J169" s="7">
        <v>10419.5</v>
      </c>
    </row>
    <row r="170" spans="1:10" ht="15" x14ac:dyDescent="0.25">
      <c r="A170" s="23" t="s">
        <v>335</v>
      </c>
      <c r="B170" s="24" t="s">
        <v>336</v>
      </c>
      <c r="C170" s="27">
        <f>+Tabla114[[#This Row],[COSTO CON IVA]]/Tabla114[[#This Row],[UTILIDAD]]</f>
        <v>10847.199999999999</v>
      </c>
      <c r="D170" s="9">
        <f>+Tabla114[[#This Row],[PRECIO INSTALADOR (IVA INCLUIDO)]]-Tabla114[[#This Row],[DCTO TIENDA]]</f>
        <v>10304.839999999998</v>
      </c>
      <c r="E170" s="9">
        <f>+Tabla114[[#This Row],[PRECIO INSTALADOR (IVA INCLUIDO)]]/0.7</f>
        <v>15496</v>
      </c>
      <c r="F170" s="8">
        <v>0.85</v>
      </c>
      <c r="G170" s="16">
        <f>+Tabla114[[#This Row],[COSTO]]*1.19</f>
        <v>9220.119999999999</v>
      </c>
      <c r="H170" s="26">
        <f>+Tabla114[[#This Row],[PRECIO INSTALADOR (IVA INCLUIDO)]]*5%</f>
        <v>542.36</v>
      </c>
      <c r="I170" s="25"/>
      <c r="J170" s="7">
        <v>7748</v>
      </c>
    </row>
    <row r="171" spans="1:10" ht="15" x14ac:dyDescent="0.25">
      <c r="A171" s="23" t="s">
        <v>337</v>
      </c>
      <c r="B171" s="24" t="s">
        <v>338</v>
      </c>
      <c r="C171" s="27">
        <f>+Tabla114[[#This Row],[COSTO CON IVA]]/Tabla114[[#This Row],[UTILIDAD]]</f>
        <v>11215.749999999998</v>
      </c>
      <c r="D171" s="9">
        <f>+Tabla114[[#This Row],[PRECIO INSTALADOR (IVA INCLUIDO)]]-Tabla114[[#This Row],[DCTO TIENDA]]</f>
        <v>10654.962499999998</v>
      </c>
      <c r="E171" s="9">
        <f>+Tabla114[[#This Row],[PRECIO INSTALADOR (IVA INCLUIDO)]]/0.7</f>
        <v>16022.499999999998</v>
      </c>
      <c r="F171" s="8">
        <v>0.85</v>
      </c>
      <c r="G171" s="16">
        <f>+Tabla114[[#This Row],[COSTO]]*1.19</f>
        <v>9533.3874999999989</v>
      </c>
      <c r="H171" s="26">
        <f>+Tabla114[[#This Row],[PRECIO INSTALADOR (IVA INCLUIDO)]]*5%</f>
        <v>560.78749999999991</v>
      </c>
      <c r="I171" s="25"/>
      <c r="J171" s="7">
        <v>8011.25</v>
      </c>
    </row>
    <row r="172" spans="1:10" ht="15" x14ac:dyDescent="0.25">
      <c r="A172" s="23" t="s">
        <v>339</v>
      </c>
      <c r="B172" s="24" t="s">
        <v>340</v>
      </c>
      <c r="C172" s="27">
        <f>+Tabla114[[#This Row],[COSTO CON IVA]]/Tabla114[[#This Row],[UTILIDAD]]</f>
        <v>10592.4</v>
      </c>
      <c r="D172" s="9">
        <f>+Tabla114[[#This Row],[PRECIO INSTALADOR (IVA INCLUIDO)]]-Tabla114[[#This Row],[DCTO TIENDA]]</f>
        <v>10062.779999999999</v>
      </c>
      <c r="E172" s="9">
        <f>+Tabla114[[#This Row],[PRECIO INSTALADOR (IVA INCLUIDO)]]/0.7</f>
        <v>15132</v>
      </c>
      <c r="F172" s="8">
        <v>0.85</v>
      </c>
      <c r="G172" s="16">
        <f>+Tabla114[[#This Row],[COSTO]]*1.19</f>
        <v>9003.5399999999991</v>
      </c>
      <c r="H172" s="26">
        <f>+Tabla114[[#This Row],[PRECIO INSTALADOR (IVA INCLUIDO)]]*5%</f>
        <v>529.62</v>
      </c>
      <c r="I172" s="25"/>
      <c r="J172" s="7">
        <v>7566</v>
      </c>
    </row>
    <row r="173" spans="1:10" ht="15" x14ac:dyDescent="0.25">
      <c r="A173" s="23" t="s">
        <v>341</v>
      </c>
      <c r="B173" s="24" t="s">
        <v>342</v>
      </c>
      <c r="C173" s="27">
        <f>+Tabla114[[#This Row],[COSTO CON IVA]]/Tabla114[[#This Row],[UTILIDAD]]</f>
        <v>11347.7</v>
      </c>
      <c r="D173" s="9">
        <f>+Tabla114[[#This Row],[PRECIO INSTALADOR (IVA INCLUIDO)]]-Tabla114[[#This Row],[DCTO TIENDA]]</f>
        <v>10780.315000000001</v>
      </c>
      <c r="E173" s="9">
        <f>+Tabla114[[#This Row],[PRECIO INSTALADOR (IVA INCLUIDO)]]/0.7</f>
        <v>16211.000000000002</v>
      </c>
      <c r="F173" s="8">
        <v>0.85</v>
      </c>
      <c r="G173" s="16">
        <f>+Tabla114[[#This Row],[COSTO]]*1.19</f>
        <v>9645.5450000000001</v>
      </c>
      <c r="H173" s="26">
        <f>+Tabla114[[#This Row],[PRECIO INSTALADOR (IVA INCLUIDO)]]*5%</f>
        <v>567.3850000000001</v>
      </c>
      <c r="I173" s="25"/>
      <c r="J173" s="7">
        <v>8105.5</v>
      </c>
    </row>
    <row r="174" spans="1:10" ht="15" x14ac:dyDescent="0.25">
      <c r="A174" s="23" t="s">
        <v>343</v>
      </c>
      <c r="B174" s="24" t="s">
        <v>344</v>
      </c>
      <c r="C174" s="27">
        <f>+Tabla114[[#This Row],[COSTO CON IVA]]/Tabla114[[#This Row],[UTILIDAD]]</f>
        <v>8253.6999999999989</v>
      </c>
      <c r="D174" s="9">
        <f>+Tabla114[[#This Row],[PRECIO INSTALADOR (IVA INCLUIDO)]]-Tabla114[[#This Row],[DCTO TIENDA]]</f>
        <v>7841.0149999999994</v>
      </c>
      <c r="E174" s="9">
        <f>+Tabla114[[#This Row],[PRECIO INSTALADOR (IVA INCLUIDO)]]/0.7</f>
        <v>11791</v>
      </c>
      <c r="F174" s="8">
        <v>0.85</v>
      </c>
      <c r="G174" s="16">
        <f>+Tabla114[[#This Row],[COSTO]]*1.19</f>
        <v>7015.6449999999995</v>
      </c>
      <c r="H174" s="26">
        <f>+Tabla114[[#This Row],[PRECIO INSTALADOR (IVA INCLUIDO)]]*5%</f>
        <v>412.68499999999995</v>
      </c>
      <c r="I174" s="25"/>
      <c r="J174" s="7">
        <v>5895.5</v>
      </c>
    </row>
    <row r="175" spans="1:10" ht="15" x14ac:dyDescent="0.25">
      <c r="A175" s="23" t="s">
        <v>345</v>
      </c>
      <c r="B175" s="24" t="s">
        <v>346</v>
      </c>
      <c r="C175" s="27">
        <f>+Tabla114[[#This Row],[COSTO CON IVA]]/Tabla114[[#This Row],[UTILIDAD]]</f>
        <v>11393.199999999999</v>
      </c>
      <c r="D175" s="9">
        <f>+Tabla114[[#This Row],[PRECIO INSTALADOR (IVA INCLUIDO)]]-Tabla114[[#This Row],[DCTO TIENDA]]</f>
        <v>10823.539999999999</v>
      </c>
      <c r="E175" s="9">
        <f>+Tabla114[[#This Row],[PRECIO INSTALADOR (IVA INCLUIDO)]]/0.7</f>
        <v>16276</v>
      </c>
      <c r="F175" s="8">
        <v>0.85</v>
      </c>
      <c r="G175" s="16">
        <f>+Tabla114[[#This Row],[COSTO]]*1.19</f>
        <v>9684.2199999999993</v>
      </c>
      <c r="H175" s="26">
        <f>+Tabla114[[#This Row],[PRECIO INSTALADOR (IVA INCLUIDO)]]*5%</f>
        <v>569.66</v>
      </c>
      <c r="I175" s="25"/>
      <c r="J175" s="7">
        <v>8138</v>
      </c>
    </row>
    <row r="176" spans="1:10" ht="15" x14ac:dyDescent="0.25">
      <c r="A176" s="23" t="s">
        <v>347</v>
      </c>
      <c r="B176" s="24" t="s">
        <v>348</v>
      </c>
      <c r="C176" s="27">
        <f>+Tabla114[[#This Row],[COSTO CON IVA]]/Tabla114[[#This Row],[UTILIDAD]]</f>
        <v>7689.5</v>
      </c>
      <c r="D176" s="9">
        <f>+Tabla114[[#This Row],[PRECIO INSTALADOR (IVA INCLUIDO)]]-Tabla114[[#This Row],[DCTO TIENDA]]</f>
        <v>7305.0249999999996</v>
      </c>
      <c r="E176" s="9">
        <f>+Tabla114[[#This Row],[PRECIO INSTALADOR (IVA INCLUIDO)]]/0.7</f>
        <v>10985</v>
      </c>
      <c r="F176" s="8">
        <v>0.85</v>
      </c>
      <c r="G176" s="16">
        <f>+Tabla114[[#This Row],[COSTO]]*1.19</f>
        <v>6536.0749999999998</v>
      </c>
      <c r="H176" s="26">
        <f>+Tabla114[[#This Row],[PRECIO INSTALADOR (IVA INCLUIDO)]]*5%</f>
        <v>384.47500000000002</v>
      </c>
      <c r="I176" s="25"/>
      <c r="J176" s="7">
        <v>5492.5</v>
      </c>
    </row>
    <row r="177" spans="1:10" ht="15" x14ac:dyDescent="0.25">
      <c r="A177" s="23" t="s">
        <v>349</v>
      </c>
      <c r="B177" s="24" t="s">
        <v>350</v>
      </c>
      <c r="C177" s="27">
        <f>+Tabla114[[#This Row],[COSTO CON IVA]]/Tabla114[[#This Row],[UTILIDAD]]</f>
        <v>10537.8</v>
      </c>
      <c r="D177" s="9">
        <f>+Tabla114[[#This Row],[PRECIO INSTALADOR (IVA INCLUIDO)]]-Tabla114[[#This Row],[DCTO TIENDA]]</f>
        <v>10010.91</v>
      </c>
      <c r="E177" s="9">
        <f>+Tabla114[[#This Row],[PRECIO INSTALADOR (IVA INCLUIDO)]]/0.7</f>
        <v>15054</v>
      </c>
      <c r="F177" s="8">
        <v>0.85</v>
      </c>
      <c r="G177" s="16">
        <f>+Tabla114[[#This Row],[COSTO]]*1.19</f>
        <v>8957.1299999999992</v>
      </c>
      <c r="H177" s="26">
        <f>+Tabla114[[#This Row],[PRECIO INSTALADOR (IVA INCLUIDO)]]*5%</f>
        <v>526.89</v>
      </c>
      <c r="I177" s="25"/>
      <c r="J177" s="7">
        <v>7527</v>
      </c>
    </row>
    <row r="178" spans="1:10" ht="15" x14ac:dyDescent="0.25">
      <c r="A178" s="23" t="s">
        <v>351</v>
      </c>
      <c r="B178" s="24" t="s">
        <v>352</v>
      </c>
      <c r="C178" s="27">
        <f>+Tabla114[[#This Row],[COSTO CON IVA]]/Tabla114[[#This Row],[UTILIDAD]]</f>
        <v>7079.8</v>
      </c>
      <c r="D178" s="9">
        <f>+Tabla114[[#This Row],[PRECIO INSTALADOR (IVA INCLUIDO)]]-Tabla114[[#This Row],[DCTO TIENDA]]</f>
        <v>6725.81</v>
      </c>
      <c r="E178" s="9">
        <f>+Tabla114[[#This Row],[PRECIO INSTALADOR (IVA INCLUIDO)]]/0.7</f>
        <v>10114</v>
      </c>
      <c r="F178" s="8">
        <v>0.85</v>
      </c>
      <c r="G178" s="16">
        <f>+Tabla114[[#This Row],[COSTO]]*1.19</f>
        <v>6017.83</v>
      </c>
      <c r="H178" s="26">
        <f>+Tabla114[[#This Row],[PRECIO INSTALADOR (IVA INCLUIDO)]]*5%</f>
        <v>353.99</v>
      </c>
      <c r="I178" s="25"/>
      <c r="J178" s="7">
        <v>5057</v>
      </c>
    </row>
    <row r="179" spans="1:10" ht="15" x14ac:dyDescent="0.25">
      <c r="A179" s="23" t="s">
        <v>353</v>
      </c>
      <c r="B179" s="24" t="s">
        <v>354</v>
      </c>
      <c r="C179" s="27">
        <f>+Tabla114[[#This Row],[COSTO CON IVA]]/Tabla114[[#This Row],[UTILIDAD]]</f>
        <v>10055.5</v>
      </c>
      <c r="D179" s="9">
        <f>+Tabla114[[#This Row],[PRECIO INSTALADOR (IVA INCLUIDO)]]-Tabla114[[#This Row],[DCTO TIENDA]]</f>
        <v>9552.7250000000004</v>
      </c>
      <c r="E179" s="9">
        <f>+Tabla114[[#This Row],[PRECIO INSTALADOR (IVA INCLUIDO)]]/0.7</f>
        <v>14365.000000000002</v>
      </c>
      <c r="F179" s="8">
        <v>0.85</v>
      </c>
      <c r="G179" s="16">
        <f>+Tabla114[[#This Row],[COSTO]]*1.19</f>
        <v>8547.1749999999993</v>
      </c>
      <c r="H179" s="26">
        <f>+Tabla114[[#This Row],[PRECIO INSTALADOR (IVA INCLUIDO)]]*5%</f>
        <v>502.77500000000003</v>
      </c>
      <c r="I179" s="25"/>
      <c r="J179" s="7">
        <v>7182.5</v>
      </c>
    </row>
    <row r="180" spans="1:10" ht="15" x14ac:dyDescent="0.25">
      <c r="A180" s="23" t="s">
        <v>355</v>
      </c>
      <c r="B180" s="24" t="s">
        <v>356</v>
      </c>
      <c r="C180" s="27">
        <f>+Tabla114[[#This Row],[COSTO CON IVA]]/Tabla114[[#This Row],[UTILIDAD]]</f>
        <v>4090.45</v>
      </c>
      <c r="D180" s="9">
        <f>+Tabla114[[#This Row],[PRECIO INSTALADOR (IVA INCLUIDO)]]-Tabla114[[#This Row],[DCTO TIENDA]]</f>
        <v>3885.9274999999998</v>
      </c>
      <c r="E180" s="9">
        <f>+Tabla114[[#This Row],[PRECIO INSTALADOR (IVA INCLUIDO)]]/0.7</f>
        <v>5843.5</v>
      </c>
      <c r="F180" s="8">
        <v>0.85</v>
      </c>
      <c r="G180" s="16">
        <f>+Tabla114[[#This Row],[COSTO]]*1.19</f>
        <v>3476.8824999999997</v>
      </c>
      <c r="H180" s="26">
        <f>+Tabla114[[#This Row],[PRECIO INSTALADOR (IVA INCLUIDO)]]*5%</f>
        <v>204.52250000000001</v>
      </c>
      <c r="I180" s="25"/>
      <c r="J180" s="7">
        <v>2921.75</v>
      </c>
    </row>
    <row r="181" spans="1:10" ht="15" x14ac:dyDescent="0.25">
      <c r="A181" s="23" t="s">
        <v>357</v>
      </c>
      <c r="B181" s="24" t="s">
        <v>358</v>
      </c>
      <c r="C181" s="27">
        <f>+Tabla114[[#This Row],[COSTO CON IVA]]/Tabla114[[#This Row],[UTILIDAD]]</f>
        <v>28137.200000000001</v>
      </c>
      <c r="D181" s="9">
        <f>+Tabla114[[#This Row],[PRECIO INSTALADOR (IVA INCLUIDO)]]-Tabla114[[#This Row],[DCTO TIENDA]]</f>
        <v>26730.34</v>
      </c>
      <c r="E181" s="9">
        <f>+Tabla114[[#This Row],[PRECIO INSTALADOR (IVA INCLUIDO)]]/0.7</f>
        <v>40196</v>
      </c>
      <c r="F181" s="8">
        <v>0.85</v>
      </c>
      <c r="G181" s="16">
        <f>+Tabla114[[#This Row],[COSTO]]*1.19</f>
        <v>23916.62</v>
      </c>
      <c r="H181" s="26">
        <f>+Tabla114[[#This Row],[PRECIO INSTALADOR (IVA INCLUIDO)]]*5%</f>
        <v>1406.8600000000001</v>
      </c>
      <c r="I181" s="25"/>
      <c r="J181" s="7">
        <v>20098</v>
      </c>
    </row>
    <row r="182" spans="1:10" ht="15" x14ac:dyDescent="0.25">
      <c r="A182" s="23" t="s">
        <v>359</v>
      </c>
      <c r="B182" s="24" t="s">
        <v>360</v>
      </c>
      <c r="C182" s="27">
        <f>+Tabla114[[#This Row],[COSTO CON IVA]]/Tabla114[[#This Row],[UTILIDAD]]</f>
        <v>8526.7000000000007</v>
      </c>
      <c r="D182" s="9">
        <f>+Tabla114[[#This Row],[PRECIO INSTALADOR (IVA INCLUIDO)]]-Tabla114[[#This Row],[DCTO TIENDA]]</f>
        <v>8100.3650000000007</v>
      </c>
      <c r="E182" s="9">
        <f>+Tabla114[[#This Row],[PRECIO INSTALADOR (IVA INCLUIDO)]]/0.7</f>
        <v>12181.000000000002</v>
      </c>
      <c r="F182" s="8">
        <v>0.85</v>
      </c>
      <c r="G182" s="16">
        <f>+Tabla114[[#This Row],[COSTO]]*1.19</f>
        <v>7247.6949999999997</v>
      </c>
      <c r="H182" s="26">
        <f>+Tabla114[[#This Row],[PRECIO INSTALADOR (IVA INCLUIDO)]]*5%</f>
        <v>426.33500000000004</v>
      </c>
      <c r="I182" s="25"/>
      <c r="J182" s="7">
        <v>6090.5</v>
      </c>
    </row>
    <row r="183" spans="1:10" ht="15" x14ac:dyDescent="0.25">
      <c r="A183" s="23" t="s">
        <v>361</v>
      </c>
      <c r="B183" s="24" t="s">
        <v>362</v>
      </c>
      <c r="C183" s="27">
        <f>+Tabla114[[#This Row],[COSTO CON IVA]]/Tabla114[[#This Row],[UTILIDAD]]</f>
        <v>16643.899999999998</v>
      </c>
      <c r="D183" s="9">
        <f>+Tabla114[[#This Row],[PRECIO INSTALADOR (IVA INCLUIDO)]]-Tabla114[[#This Row],[DCTO TIENDA]]</f>
        <v>15811.704999999998</v>
      </c>
      <c r="E183" s="9">
        <f>+Tabla114[[#This Row],[PRECIO INSTALADOR (IVA INCLUIDO)]]/0.7</f>
        <v>23777</v>
      </c>
      <c r="F183" s="8">
        <v>0.85</v>
      </c>
      <c r="G183" s="16">
        <f>+Tabla114[[#This Row],[COSTO]]*1.19</f>
        <v>14147.314999999999</v>
      </c>
      <c r="H183" s="26">
        <f>+Tabla114[[#This Row],[PRECIO INSTALADOR (IVA INCLUIDO)]]*5%</f>
        <v>832.19499999999994</v>
      </c>
      <c r="I183" s="25"/>
      <c r="J183" s="7">
        <v>11888.5</v>
      </c>
    </row>
    <row r="184" spans="1:10" ht="15" x14ac:dyDescent="0.25">
      <c r="A184" s="23" t="s">
        <v>363</v>
      </c>
      <c r="B184" s="24" t="s">
        <v>364</v>
      </c>
      <c r="C184" s="27">
        <f>+Tabla114[[#This Row],[COSTO CON IVA]]/Tabla114[[#This Row],[UTILIDAD]]</f>
        <v>12416.949999999999</v>
      </c>
      <c r="D184" s="9">
        <f>+Tabla114[[#This Row],[PRECIO INSTALADOR (IVA INCLUIDO)]]-Tabla114[[#This Row],[DCTO TIENDA]]</f>
        <v>11796.102499999999</v>
      </c>
      <c r="E184" s="9">
        <f>+Tabla114[[#This Row],[PRECIO INSTALADOR (IVA INCLUIDO)]]/0.7</f>
        <v>17738.5</v>
      </c>
      <c r="F184" s="8">
        <v>0.85</v>
      </c>
      <c r="G184" s="16">
        <f>+Tabla114[[#This Row],[COSTO]]*1.19</f>
        <v>10554.407499999999</v>
      </c>
      <c r="H184" s="26">
        <f>+Tabla114[[#This Row],[PRECIO INSTALADOR (IVA INCLUIDO)]]*5%</f>
        <v>620.84749999999997</v>
      </c>
      <c r="I184" s="25"/>
      <c r="J184" s="7">
        <v>8869.25</v>
      </c>
    </row>
    <row r="185" spans="1:10" ht="15" x14ac:dyDescent="0.25">
      <c r="A185" s="23" t="s">
        <v>365</v>
      </c>
      <c r="B185" s="24" t="s">
        <v>366</v>
      </c>
      <c r="C185" s="27">
        <f>+Tabla114[[#This Row],[COSTO CON IVA]]/Tabla114[[#This Row],[UTILIDAD]]</f>
        <v>21139.3</v>
      </c>
      <c r="D185" s="9">
        <f>+Tabla114[[#This Row],[PRECIO INSTALADOR (IVA INCLUIDO)]]-Tabla114[[#This Row],[DCTO TIENDA]]</f>
        <v>20082.334999999999</v>
      </c>
      <c r="E185" s="9">
        <f>+Tabla114[[#This Row],[PRECIO INSTALADOR (IVA INCLUIDO)]]/0.7</f>
        <v>30199</v>
      </c>
      <c r="F185" s="8">
        <v>0.85</v>
      </c>
      <c r="G185" s="16">
        <f>+Tabla114[[#This Row],[COSTO]]*1.19</f>
        <v>17968.404999999999</v>
      </c>
      <c r="H185" s="26">
        <f>+Tabla114[[#This Row],[PRECIO INSTALADOR (IVA INCLUIDO)]]*5%</f>
        <v>1056.9649999999999</v>
      </c>
      <c r="I185" s="25"/>
      <c r="J185" s="7">
        <v>15099.5</v>
      </c>
    </row>
    <row r="186" spans="1:10" ht="15" x14ac:dyDescent="0.25">
      <c r="A186" s="23" t="s">
        <v>367</v>
      </c>
      <c r="B186" s="24" t="s">
        <v>368</v>
      </c>
      <c r="C186" s="27">
        <f>+Tabla114[[#This Row],[COSTO CON IVA]]/Tabla114[[#This Row],[UTILIDAD]]</f>
        <v>16653</v>
      </c>
      <c r="D186" s="9">
        <f>+Tabla114[[#This Row],[PRECIO INSTALADOR (IVA INCLUIDO)]]-Tabla114[[#This Row],[DCTO TIENDA]]</f>
        <v>15820.35</v>
      </c>
      <c r="E186" s="9">
        <f>+Tabla114[[#This Row],[PRECIO INSTALADOR (IVA INCLUIDO)]]/0.7</f>
        <v>23790</v>
      </c>
      <c r="F186" s="8">
        <v>0.85</v>
      </c>
      <c r="G186" s="16">
        <f>+Tabla114[[#This Row],[COSTO]]*1.19</f>
        <v>14155.05</v>
      </c>
      <c r="H186" s="26">
        <f>+Tabla114[[#This Row],[PRECIO INSTALADOR (IVA INCLUIDO)]]*5%</f>
        <v>832.65000000000009</v>
      </c>
      <c r="I186" s="25"/>
      <c r="J186" s="7">
        <v>11895</v>
      </c>
    </row>
    <row r="187" spans="1:10" ht="15" x14ac:dyDescent="0.25">
      <c r="A187" s="23" t="s">
        <v>369</v>
      </c>
      <c r="B187" s="24" t="s">
        <v>370</v>
      </c>
      <c r="C187" s="27">
        <f>+Tabla114[[#This Row],[COSTO CON IVA]]/Tabla114[[#This Row],[UTILIDAD]]</f>
        <v>14896.7</v>
      </c>
      <c r="D187" s="9">
        <f>+Tabla114[[#This Row],[PRECIO INSTALADOR (IVA INCLUIDO)]]-Tabla114[[#This Row],[DCTO TIENDA]]</f>
        <v>14151.865000000002</v>
      </c>
      <c r="E187" s="9">
        <f>+Tabla114[[#This Row],[PRECIO INSTALADOR (IVA INCLUIDO)]]/0.7</f>
        <v>21281.000000000004</v>
      </c>
      <c r="F187" s="8">
        <v>0.85</v>
      </c>
      <c r="G187" s="16">
        <f>+Tabla114[[#This Row],[COSTO]]*1.19</f>
        <v>12662.195</v>
      </c>
      <c r="H187" s="26">
        <f>+Tabla114[[#This Row],[PRECIO INSTALADOR (IVA INCLUIDO)]]*5%</f>
        <v>744.83500000000004</v>
      </c>
      <c r="I187" s="25"/>
      <c r="J187" s="7">
        <v>10640.5</v>
      </c>
    </row>
    <row r="188" spans="1:10" ht="15" x14ac:dyDescent="0.25">
      <c r="A188" s="23" t="s">
        <v>371</v>
      </c>
      <c r="B188" s="24" t="s">
        <v>372</v>
      </c>
      <c r="C188" s="27">
        <f>+Tabla114[[#This Row],[COSTO CON IVA]]/Tabla114[[#This Row],[UTILIDAD]]</f>
        <v>24242.400000000001</v>
      </c>
      <c r="D188" s="9">
        <f>+Tabla114[[#This Row],[PRECIO INSTALADOR (IVA INCLUIDO)]]-Tabla114[[#This Row],[DCTO TIENDA]]</f>
        <v>23030.280000000002</v>
      </c>
      <c r="E188" s="9">
        <f>+Tabla114[[#This Row],[PRECIO INSTALADOR (IVA INCLUIDO)]]/0.7</f>
        <v>34632.000000000007</v>
      </c>
      <c r="F188" s="8">
        <v>0.85</v>
      </c>
      <c r="G188" s="16">
        <f>+Tabla114[[#This Row],[COSTO]]*1.19</f>
        <v>20606.04</v>
      </c>
      <c r="H188" s="26">
        <f>+Tabla114[[#This Row],[PRECIO INSTALADOR (IVA INCLUIDO)]]*5%</f>
        <v>1212.1200000000001</v>
      </c>
      <c r="I188" s="25"/>
      <c r="J188" s="7">
        <v>17316</v>
      </c>
    </row>
    <row r="189" spans="1:10" ht="15" x14ac:dyDescent="0.25">
      <c r="A189" s="23" t="s">
        <v>373</v>
      </c>
      <c r="B189" s="24" t="s">
        <v>374</v>
      </c>
      <c r="C189" s="27">
        <f>+Tabla114[[#This Row],[COSTO CON IVA]]/Tabla114[[#This Row],[UTILIDAD]]</f>
        <v>39921.699999999997</v>
      </c>
      <c r="D189" s="9">
        <f>+Tabla114[[#This Row],[PRECIO INSTALADOR (IVA INCLUIDO)]]-Tabla114[[#This Row],[DCTO TIENDA]]</f>
        <v>37925.614999999998</v>
      </c>
      <c r="E189" s="9">
        <f>+Tabla114[[#This Row],[PRECIO INSTALADOR (IVA INCLUIDO)]]/0.7</f>
        <v>57031</v>
      </c>
      <c r="F189" s="8">
        <v>0.85</v>
      </c>
      <c r="G189" s="16">
        <f>+Tabla114[[#This Row],[COSTO]]*1.19</f>
        <v>33933.445</v>
      </c>
      <c r="H189" s="26">
        <f>+Tabla114[[#This Row],[PRECIO INSTALADOR (IVA INCLUIDO)]]*5%</f>
        <v>1996.085</v>
      </c>
      <c r="I189" s="25"/>
      <c r="J189" s="7">
        <v>28515.5</v>
      </c>
    </row>
    <row r="190" spans="1:10" ht="15" x14ac:dyDescent="0.25">
      <c r="A190" s="23" t="s">
        <v>375</v>
      </c>
      <c r="B190" s="24" t="s">
        <v>376</v>
      </c>
      <c r="C190" s="27">
        <f>+Tabla114[[#This Row],[COSTO CON IVA]]/Tabla114[[#This Row],[UTILIDAD]]</f>
        <v>17244.5</v>
      </c>
      <c r="D190" s="9">
        <f>+Tabla114[[#This Row],[PRECIO INSTALADOR (IVA INCLUIDO)]]-Tabla114[[#This Row],[DCTO TIENDA]]</f>
        <v>16382.275</v>
      </c>
      <c r="E190" s="9">
        <f>+Tabla114[[#This Row],[PRECIO INSTALADOR (IVA INCLUIDO)]]/0.7</f>
        <v>24635</v>
      </c>
      <c r="F190" s="8">
        <v>0.85</v>
      </c>
      <c r="G190" s="16">
        <f>+Tabla114[[#This Row],[COSTO]]*1.19</f>
        <v>14657.824999999999</v>
      </c>
      <c r="H190" s="26">
        <f>+Tabla114[[#This Row],[PRECIO INSTALADOR (IVA INCLUIDO)]]*5%</f>
        <v>862.22500000000002</v>
      </c>
      <c r="I190" s="25"/>
      <c r="J190" s="7">
        <v>12317.5</v>
      </c>
    </row>
    <row r="191" spans="1:10" ht="15" x14ac:dyDescent="0.25">
      <c r="A191" s="23" t="s">
        <v>377</v>
      </c>
      <c r="B191" s="24" t="s">
        <v>378</v>
      </c>
      <c r="C191" s="27">
        <f>+Tabla114[[#This Row],[COSTO CON IVA]]/Tabla114[[#This Row],[UTILIDAD]]</f>
        <v>10738</v>
      </c>
      <c r="D191" s="9">
        <f>+Tabla114[[#This Row],[PRECIO INSTALADOR (IVA INCLUIDO)]]-Tabla114[[#This Row],[DCTO TIENDA]]</f>
        <v>10201.1</v>
      </c>
      <c r="E191" s="9">
        <f>+Tabla114[[#This Row],[PRECIO INSTALADOR (IVA INCLUIDO)]]/0.7</f>
        <v>15340.000000000002</v>
      </c>
      <c r="F191" s="8">
        <v>0.85</v>
      </c>
      <c r="G191" s="16">
        <f>+Tabla114[[#This Row],[COSTO]]*1.19</f>
        <v>9127.2999999999993</v>
      </c>
      <c r="H191" s="26">
        <f>+Tabla114[[#This Row],[PRECIO INSTALADOR (IVA INCLUIDO)]]*5%</f>
        <v>536.9</v>
      </c>
      <c r="I191" s="25"/>
      <c r="J191" s="7">
        <v>7670</v>
      </c>
    </row>
    <row r="192" spans="1:10" ht="15" x14ac:dyDescent="0.25">
      <c r="A192" s="23" t="s">
        <v>379</v>
      </c>
      <c r="B192" s="24" t="s">
        <v>380</v>
      </c>
      <c r="C192" s="27">
        <f>+Tabla114[[#This Row],[COSTO CON IVA]]/Tabla114[[#This Row],[UTILIDAD]]</f>
        <v>13326.949999999999</v>
      </c>
      <c r="D192" s="9">
        <f>+Tabla114[[#This Row],[PRECIO INSTALADOR (IVA INCLUIDO)]]-Tabla114[[#This Row],[DCTO TIENDA]]</f>
        <v>12660.602499999999</v>
      </c>
      <c r="E192" s="9">
        <f>+Tabla114[[#This Row],[PRECIO INSTALADOR (IVA INCLUIDO)]]/0.7</f>
        <v>19038.5</v>
      </c>
      <c r="F192" s="8">
        <v>0.85</v>
      </c>
      <c r="G192" s="16">
        <f>+Tabla114[[#This Row],[COSTO]]*1.19</f>
        <v>11327.907499999999</v>
      </c>
      <c r="H192" s="26">
        <f>+Tabla114[[#This Row],[PRECIO INSTALADOR (IVA INCLUIDO)]]*5%</f>
        <v>666.34749999999997</v>
      </c>
      <c r="I192" s="25"/>
      <c r="J192" s="7">
        <v>9519.25</v>
      </c>
    </row>
    <row r="193" spans="1:10" ht="15" x14ac:dyDescent="0.25">
      <c r="A193" s="23" t="s">
        <v>381</v>
      </c>
      <c r="B193" s="24" t="s">
        <v>382</v>
      </c>
      <c r="C193" s="27">
        <f>+Tabla114[[#This Row],[COSTO CON IVA]]/Tabla114[[#This Row],[UTILIDAD]]</f>
        <v>12448.8</v>
      </c>
      <c r="D193" s="9">
        <f>+Tabla114[[#This Row],[PRECIO INSTALADOR (IVA INCLUIDO)]]-Tabla114[[#This Row],[DCTO TIENDA]]</f>
        <v>11826.359999999999</v>
      </c>
      <c r="E193" s="9">
        <f>+Tabla114[[#This Row],[PRECIO INSTALADOR (IVA INCLUIDO)]]/0.7</f>
        <v>17784</v>
      </c>
      <c r="F193" s="8">
        <v>0.85</v>
      </c>
      <c r="G193" s="16">
        <f>+Tabla114[[#This Row],[COSTO]]*1.19</f>
        <v>10581.48</v>
      </c>
      <c r="H193" s="26">
        <f>+Tabla114[[#This Row],[PRECIO INSTALADOR (IVA INCLUIDO)]]*5%</f>
        <v>622.44000000000005</v>
      </c>
      <c r="I193" s="25"/>
      <c r="J193" s="7">
        <v>8892</v>
      </c>
    </row>
    <row r="194" spans="1:10" ht="15" x14ac:dyDescent="0.25">
      <c r="A194" s="23" t="s">
        <v>383</v>
      </c>
      <c r="B194" s="24" t="s">
        <v>384</v>
      </c>
      <c r="C194" s="27">
        <f>+Tabla114[[#This Row],[COSTO CON IVA]]/Tabla114[[#This Row],[UTILIDAD]]</f>
        <v>14437.15</v>
      </c>
      <c r="D194" s="9">
        <f>+Tabla114[[#This Row],[PRECIO INSTALADOR (IVA INCLUIDO)]]-Tabla114[[#This Row],[DCTO TIENDA]]</f>
        <v>13715.2925</v>
      </c>
      <c r="E194" s="9">
        <f>+Tabla114[[#This Row],[PRECIO INSTALADOR (IVA INCLUIDO)]]/0.7</f>
        <v>20624.5</v>
      </c>
      <c r="F194" s="8">
        <v>0.85</v>
      </c>
      <c r="G194" s="16">
        <f>+Tabla114[[#This Row],[COSTO]]*1.19</f>
        <v>12271.577499999999</v>
      </c>
      <c r="H194" s="26">
        <f>+Tabla114[[#This Row],[PRECIO INSTALADOR (IVA INCLUIDO)]]*5%</f>
        <v>721.85750000000007</v>
      </c>
      <c r="I194" s="25"/>
      <c r="J194" s="7">
        <v>10312.25</v>
      </c>
    </row>
    <row r="195" spans="1:10" ht="15" x14ac:dyDescent="0.25">
      <c r="A195" s="23" t="s">
        <v>385</v>
      </c>
      <c r="B195" s="24" t="s">
        <v>386</v>
      </c>
      <c r="C195" s="27">
        <f>+Tabla114[[#This Row],[COSTO CON IVA]]/Tabla114[[#This Row],[UTILIDAD]]</f>
        <v>46501</v>
      </c>
      <c r="D195" s="9">
        <f>+Tabla114[[#This Row],[PRECIO INSTALADOR (IVA INCLUIDO)]]-Tabla114[[#This Row],[DCTO TIENDA]]</f>
        <v>44175.95</v>
      </c>
      <c r="E195" s="9">
        <f>+Tabla114[[#This Row],[PRECIO INSTALADOR (IVA INCLUIDO)]]/0.7</f>
        <v>66430</v>
      </c>
      <c r="F195" s="8">
        <v>0.85</v>
      </c>
      <c r="G195" s="16">
        <f>+Tabla114[[#This Row],[COSTO]]*1.19</f>
        <v>39525.85</v>
      </c>
      <c r="H195" s="26">
        <f>+Tabla114[[#This Row],[PRECIO INSTALADOR (IVA INCLUIDO)]]*5%</f>
        <v>2325.0500000000002</v>
      </c>
      <c r="I195" s="25"/>
      <c r="J195" s="7">
        <v>33215</v>
      </c>
    </row>
    <row r="196" spans="1:10" ht="15" x14ac:dyDescent="0.25">
      <c r="A196" s="23" t="s">
        <v>387</v>
      </c>
      <c r="B196" s="24" t="s">
        <v>388</v>
      </c>
      <c r="C196" s="27">
        <f>+Tabla114[[#This Row],[COSTO CON IVA]]/Tabla114[[#This Row],[UTILIDAD]]</f>
        <v>64355.199999999997</v>
      </c>
      <c r="D196" s="9">
        <f>+Tabla114[[#This Row],[PRECIO INSTALADOR (IVA INCLUIDO)]]-Tabla114[[#This Row],[DCTO TIENDA]]</f>
        <v>61137.439999999995</v>
      </c>
      <c r="E196" s="9">
        <f>+Tabla114[[#This Row],[PRECIO INSTALADOR (IVA INCLUIDO)]]/0.7</f>
        <v>91936</v>
      </c>
      <c r="F196" s="8">
        <v>0.85</v>
      </c>
      <c r="G196" s="16">
        <f>+Tabla114[[#This Row],[COSTO]]*1.19</f>
        <v>54701.919999999998</v>
      </c>
      <c r="H196" s="26">
        <f>+Tabla114[[#This Row],[PRECIO INSTALADOR (IVA INCLUIDO)]]*5%</f>
        <v>3217.76</v>
      </c>
      <c r="I196" s="25"/>
      <c r="J196" s="7">
        <v>45968</v>
      </c>
    </row>
    <row r="197" spans="1:10" ht="15" x14ac:dyDescent="0.25">
      <c r="A197" s="23" t="s">
        <v>389</v>
      </c>
      <c r="B197" s="24" t="s">
        <v>390</v>
      </c>
      <c r="C197" s="27">
        <f>+Tabla114[[#This Row],[COSTO CON IVA]]/Tabla114[[#This Row],[UTILIDAD]]</f>
        <v>70333.899999999994</v>
      </c>
      <c r="D197" s="9">
        <f>+Tabla114[[#This Row],[PRECIO INSTALADOR (IVA INCLUIDO)]]-Tabla114[[#This Row],[DCTO TIENDA]]</f>
        <v>66817.204999999987</v>
      </c>
      <c r="E197" s="9">
        <f>+Tabla114[[#This Row],[PRECIO INSTALADOR (IVA INCLUIDO)]]/0.7</f>
        <v>100477</v>
      </c>
      <c r="F197" s="8">
        <v>0.85</v>
      </c>
      <c r="G197" s="16">
        <f>+Tabla114[[#This Row],[COSTO]]*1.19</f>
        <v>59783.814999999995</v>
      </c>
      <c r="H197" s="26">
        <f>+Tabla114[[#This Row],[PRECIO INSTALADOR (IVA INCLUIDO)]]*5%</f>
        <v>3516.6949999999997</v>
      </c>
      <c r="I197" s="25"/>
      <c r="J197" s="7">
        <v>50238.5</v>
      </c>
    </row>
    <row r="198" spans="1:10" ht="15" x14ac:dyDescent="0.25">
      <c r="A198" s="23" t="s">
        <v>391</v>
      </c>
      <c r="B198" s="24" t="s">
        <v>392</v>
      </c>
      <c r="C198" s="27">
        <f>+Tabla114[[#This Row],[COSTO CON IVA]]/Tabla114[[#This Row],[UTILIDAD]]</f>
        <v>4090.45</v>
      </c>
      <c r="D198" s="9">
        <f>+Tabla114[[#This Row],[PRECIO INSTALADOR (IVA INCLUIDO)]]-Tabla114[[#This Row],[DCTO TIENDA]]</f>
        <v>3885.9274999999998</v>
      </c>
      <c r="E198" s="9">
        <f>+Tabla114[[#This Row],[PRECIO INSTALADOR (IVA INCLUIDO)]]/0.7</f>
        <v>5843.5</v>
      </c>
      <c r="F198" s="8">
        <v>0.85</v>
      </c>
      <c r="G198" s="16">
        <f>+Tabla114[[#This Row],[COSTO]]*1.19</f>
        <v>3476.8824999999997</v>
      </c>
      <c r="H198" s="26">
        <f>+Tabla114[[#This Row],[PRECIO INSTALADOR (IVA INCLUIDO)]]*5%</f>
        <v>204.52250000000001</v>
      </c>
      <c r="I198" s="25"/>
      <c r="J198" s="7">
        <v>2921.75</v>
      </c>
    </row>
    <row r="199" spans="1:10" ht="15" x14ac:dyDescent="0.25">
      <c r="A199" s="23" t="s">
        <v>393</v>
      </c>
      <c r="B199" s="24" t="s">
        <v>394</v>
      </c>
      <c r="C199" s="27">
        <f>+Tabla114[[#This Row],[COSTO CON IVA]]/Tabla114[[#This Row],[UTILIDAD]]</f>
        <v>4090.45</v>
      </c>
      <c r="D199" s="9">
        <f>+Tabla114[[#This Row],[PRECIO INSTALADOR (IVA INCLUIDO)]]-Tabla114[[#This Row],[DCTO TIENDA]]</f>
        <v>3885.9274999999998</v>
      </c>
      <c r="E199" s="9">
        <f>+Tabla114[[#This Row],[PRECIO INSTALADOR (IVA INCLUIDO)]]/0.7</f>
        <v>5843.5</v>
      </c>
      <c r="F199" s="8">
        <v>0.85</v>
      </c>
      <c r="G199" s="16">
        <f>+Tabla114[[#This Row],[COSTO]]*1.19</f>
        <v>3476.8824999999997</v>
      </c>
      <c r="H199" s="26">
        <f>+Tabla114[[#This Row],[PRECIO INSTALADOR (IVA INCLUIDO)]]*5%</f>
        <v>204.52250000000001</v>
      </c>
      <c r="I199" s="25"/>
      <c r="J199" s="7">
        <v>2921.75</v>
      </c>
    </row>
    <row r="200" spans="1:10" ht="15" x14ac:dyDescent="0.25">
      <c r="A200" s="23" t="s">
        <v>395</v>
      </c>
      <c r="B200" s="24" t="s">
        <v>396</v>
      </c>
      <c r="C200" s="27">
        <f>+Tabla114[[#This Row],[COSTO CON IVA]]/Tabla114[[#This Row],[UTILIDAD]]</f>
        <v>4090.45</v>
      </c>
      <c r="D200" s="9">
        <f>+Tabla114[[#This Row],[PRECIO INSTALADOR (IVA INCLUIDO)]]-Tabla114[[#This Row],[DCTO TIENDA]]</f>
        <v>3885.9274999999998</v>
      </c>
      <c r="E200" s="9">
        <f>+Tabla114[[#This Row],[PRECIO INSTALADOR (IVA INCLUIDO)]]/0.7</f>
        <v>5843.5</v>
      </c>
      <c r="F200" s="8">
        <v>0.85</v>
      </c>
      <c r="G200" s="16">
        <f>+Tabla114[[#This Row],[COSTO]]*1.19</f>
        <v>3476.8824999999997</v>
      </c>
      <c r="H200" s="26">
        <f>+Tabla114[[#This Row],[PRECIO INSTALADOR (IVA INCLUIDO)]]*5%</f>
        <v>204.52250000000001</v>
      </c>
      <c r="I200" s="25"/>
      <c r="J200" s="7">
        <v>2921.75</v>
      </c>
    </row>
    <row r="201" spans="1:10" ht="15" x14ac:dyDescent="0.25">
      <c r="A201" s="23" t="s">
        <v>397</v>
      </c>
      <c r="B201" s="24" t="s">
        <v>398</v>
      </c>
      <c r="C201" s="27">
        <f>+Tabla114[[#This Row],[COSTO CON IVA]]/Tabla114[[#This Row],[UTILIDAD]]</f>
        <v>4090.45</v>
      </c>
      <c r="D201" s="9">
        <f>+Tabla114[[#This Row],[PRECIO INSTALADOR (IVA INCLUIDO)]]-Tabla114[[#This Row],[DCTO TIENDA]]</f>
        <v>3885.9274999999998</v>
      </c>
      <c r="E201" s="9">
        <f>+Tabla114[[#This Row],[PRECIO INSTALADOR (IVA INCLUIDO)]]/0.7</f>
        <v>5843.5</v>
      </c>
      <c r="F201" s="8">
        <v>0.85</v>
      </c>
      <c r="G201" s="16">
        <f>+Tabla114[[#This Row],[COSTO]]*1.19</f>
        <v>3476.8824999999997</v>
      </c>
      <c r="H201" s="26">
        <f>+Tabla114[[#This Row],[PRECIO INSTALADOR (IVA INCLUIDO)]]*5%</f>
        <v>204.52250000000001</v>
      </c>
      <c r="I201" s="25"/>
      <c r="J201" s="7">
        <v>2921.75</v>
      </c>
    </row>
    <row r="202" spans="1:10" ht="15" x14ac:dyDescent="0.25">
      <c r="A202" s="23" t="s">
        <v>399</v>
      </c>
      <c r="B202" s="24" t="s">
        <v>400</v>
      </c>
      <c r="C202" s="27">
        <f>+Tabla114[[#This Row],[COSTO CON IVA]]/Tabla114[[#This Row],[UTILIDAD]]</f>
        <v>3794.7</v>
      </c>
      <c r="D202" s="9">
        <f>+Tabla114[[#This Row],[PRECIO INSTALADOR (IVA INCLUIDO)]]-Tabla114[[#This Row],[DCTO TIENDA]]</f>
        <v>3604.9649999999997</v>
      </c>
      <c r="E202" s="9">
        <f>+Tabla114[[#This Row],[PRECIO INSTALADOR (IVA INCLUIDO)]]/0.7</f>
        <v>5421</v>
      </c>
      <c r="F202" s="8">
        <v>0.85</v>
      </c>
      <c r="G202" s="16">
        <f>+Tabla114[[#This Row],[COSTO]]*1.19</f>
        <v>3225.4949999999999</v>
      </c>
      <c r="H202" s="26">
        <f>+Tabla114[[#This Row],[PRECIO INSTALADOR (IVA INCLUIDO)]]*5%</f>
        <v>189.73500000000001</v>
      </c>
      <c r="I202" s="25"/>
      <c r="J202" s="7">
        <v>2710.5</v>
      </c>
    </row>
    <row r="203" spans="1:10" ht="15" x14ac:dyDescent="0.25">
      <c r="A203" s="23" t="s">
        <v>401</v>
      </c>
      <c r="B203" s="24" t="s">
        <v>402</v>
      </c>
      <c r="C203" s="27">
        <f>+Tabla114[[#This Row],[COSTO CON IVA]]/Tabla114[[#This Row],[UTILIDAD]]</f>
        <v>4577.3</v>
      </c>
      <c r="D203" s="9">
        <f>+Tabla114[[#This Row],[PRECIO INSTALADOR (IVA INCLUIDO)]]-Tabla114[[#This Row],[DCTO TIENDA]]</f>
        <v>4348.4350000000004</v>
      </c>
      <c r="E203" s="9">
        <f>+Tabla114[[#This Row],[PRECIO INSTALADOR (IVA INCLUIDO)]]/0.7</f>
        <v>6539.0000000000009</v>
      </c>
      <c r="F203" s="8">
        <v>0.85</v>
      </c>
      <c r="G203" s="16">
        <f>+Tabla114[[#This Row],[COSTO]]*1.19</f>
        <v>3890.7049999999999</v>
      </c>
      <c r="H203" s="26">
        <f>+Tabla114[[#This Row],[PRECIO INSTALADOR (IVA INCLUIDO)]]*5%</f>
        <v>228.86500000000001</v>
      </c>
      <c r="I203" s="25"/>
      <c r="J203" s="7">
        <v>3269.5</v>
      </c>
    </row>
    <row r="204" spans="1:10" ht="15" x14ac:dyDescent="0.25">
      <c r="A204" s="23" t="s">
        <v>403</v>
      </c>
      <c r="B204" s="24" t="s">
        <v>404</v>
      </c>
      <c r="C204" s="27">
        <f>+Tabla114[[#This Row],[COSTO CON IVA]]/Tabla114[[#This Row],[UTILIDAD]]</f>
        <v>4277</v>
      </c>
      <c r="D204" s="9">
        <f>+Tabla114[[#This Row],[PRECIO INSTALADOR (IVA INCLUIDO)]]-Tabla114[[#This Row],[DCTO TIENDA]]</f>
        <v>4063.15</v>
      </c>
      <c r="E204" s="9">
        <f>+Tabla114[[#This Row],[PRECIO INSTALADOR (IVA INCLUIDO)]]/0.7</f>
        <v>6110</v>
      </c>
      <c r="F204" s="8">
        <v>0.85</v>
      </c>
      <c r="G204" s="16">
        <f>+Tabla114[[#This Row],[COSTO]]*1.19</f>
        <v>3635.45</v>
      </c>
      <c r="H204" s="26">
        <f>+Tabla114[[#This Row],[PRECIO INSTALADOR (IVA INCLUIDO)]]*5%</f>
        <v>213.85000000000002</v>
      </c>
      <c r="I204" s="25"/>
      <c r="J204" s="7">
        <v>3055</v>
      </c>
    </row>
    <row r="205" spans="1:10" ht="15" x14ac:dyDescent="0.25">
      <c r="A205" s="23" t="s">
        <v>405</v>
      </c>
      <c r="B205" s="24" t="s">
        <v>406</v>
      </c>
      <c r="C205" s="27">
        <f>+Tabla114[[#This Row],[COSTO CON IVA]]/Tabla114[[#This Row],[UTILIDAD]]</f>
        <v>3640</v>
      </c>
      <c r="D205" s="9">
        <f>+Tabla114[[#This Row],[PRECIO INSTALADOR (IVA INCLUIDO)]]-Tabla114[[#This Row],[DCTO TIENDA]]</f>
        <v>3458</v>
      </c>
      <c r="E205" s="9">
        <f>+Tabla114[[#This Row],[PRECIO INSTALADOR (IVA INCLUIDO)]]/0.7</f>
        <v>5200</v>
      </c>
      <c r="F205" s="8">
        <v>0.85</v>
      </c>
      <c r="G205" s="16">
        <f>+Tabla114[[#This Row],[COSTO]]*1.19</f>
        <v>3094</v>
      </c>
      <c r="H205" s="26">
        <f>+Tabla114[[#This Row],[PRECIO INSTALADOR (IVA INCLUIDO)]]*5%</f>
        <v>182</v>
      </c>
      <c r="I205" s="25"/>
      <c r="J205" s="7">
        <v>2600</v>
      </c>
    </row>
    <row r="206" spans="1:10" ht="15" x14ac:dyDescent="0.25">
      <c r="A206" s="23" t="s">
        <v>407</v>
      </c>
      <c r="B206" s="24" t="s">
        <v>408</v>
      </c>
      <c r="C206" s="27">
        <f>+Tabla114[[#This Row],[COSTO CON IVA]]/Tabla114[[#This Row],[UTILIDAD]]</f>
        <v>2657.2</v>
      </c>
      <c r="D206" s="9">
        <f>+Tabla114[[#This Row],[PRECIO INSTALADOR (IVA INCLUIDO)]]-Tabla114[[#This Row],[DCTO TIENDA]]</f>
        <v>2524.3399999999997</v>
      </c>
      <c r="E206" s="9">
        <f>+Tabla114[[#This Row],[PRECIO INSTALADOR (IVA INCLUIDO)]]/0.7</f>
        <v>3796</v>
      </c>
      <c r="F206" s="8">
        <v>0.85</v>
      </c>
      <c r="G206" s="16">
        <f>+Tabla114[[#This Row],[COSTO]]*1.19</f>
        <v>2258.62</v>
      </c>
      <c r="H206" s="26">
        <f>+Tabla114[[#This Row],[PRECIO INSTALADOR (IVA INCLUIDO)]]*5%</f>
        <v>132.85999999999999</v>
      </c>
      <c r="I206" s="25"/>
      <c r="J206" s="7">
        <v>1898</v>
      </c>
    </row>
    <row r="207" spans="1:10" ht="15" x14ac:dyDescent="0.25">
      <c r="A207" s="23" t="s">
        <v>409</v>
      </c>
      <c r="B207" s="24" t="s">
        <v>410</v>
      </c>
      <c r="C207" s="27">
        <f>+Tabla114[[#This Row],[COSTO CON IVA]]/Tabla114[[#This Row],[UTILIDAD]]</f>
        <v>2720.9</v>
      </c>
      <c r="D207" s="9">
        <f>+Tabla114[[#This Row],[PRECIO INSTALADOR (IVA INCLUIDO)]]-Tabla114[[#This Row],[DCTO TIENDA]]</f>
        <v>2584.855</v>
      </c>
      <c r="E207" s="9">
        <f>+Tabla114[[#This Row],[PRECIO INSTALADOR (IVA INCLUIDO)]]/0.7</f>
        <v>3887.0000000000005</v>
      </c>
      <c r="F207" s="8">
        <v>0.85</v>
      </c>
      <c r="G207" s="16">
        <f>+Tabla114[[#This Row],[COSTO]]*1.19</f>
        <v>2312.7649999999999</v>
      </c>
      <c r="H207" s="26">
        <f>+Tabla114[[#This Row],[PRECIO INSTALADOR (IVA INCLUIDO)]]*5%</f>
        <v>136.04500000000002</v>
      </c>
      <c r="I207" s="25"/>
      <c r="J207" s="7">
        <v>1943.5</v>
      </c>
    </row>
    <row r="208" spans="1:10" ht="15" x14ac:dyDescent="0.25">
      <c r="A208" s="23" t="s">
        <v>411</v>
      </c>
      <c r="B208" s="24" t="s">
        <v>412</v>
      </c>
      <c r="C208" s="27">
        <f>+Tabla114[[#This Row],[COSTO CON IVA]]/Tabla114[[#This Row],[UTILIDAD]]</f>
        <v>12075.699999999999</v>
      </c>
      <c r="D208" s="9">
        <f>+Tabla114[[#This Row],[PRECIO INSTALADOR (IVA INCLUIDO)]]-Tabla114[[#This Row],[DCTO TIENDA]]</f>
        <v>11471.914999999999</v>
      </c>
      <c r="E208" s="9">
        <f>+Tabla114[[#This Row],[PRECIO INSTALADOR (IVA INCLUIDO)]]/0.7</f>
        <v>17251</v>
      </c>
      <c r="F208" s="8">
        <v>0.85</v>
      </c>
      <c r="G208" s="16">
        <f>+Tabla114[[#This Row],[COSTO]]*1.19</f>
        <v>10264.344999999999</v>
      </c>
      <c r="H208" s="26">
        <f>+Tabla114[[#This Row],[PRECIO INSTALADOR (IVA INCLUIDO)]]*5%</f>
        <v>603.78499999999997</v>
      </c>
      <c r="I208" s="25"/>
      <c r="J208" s="7">
        <v>8625.5</v>
      </c>
    </row>
    <row r="209" spans="1:10" ht="15" x14ac:dyDescent="0.25">
      <c r="A209" s="23" t="s">
        <v>413</v>
      </c>
      <c r="B209" s="24" t="s">
        <v>414</v>
      </c>
      <c r="C209" s="27">
        <f>+Tabla114[[#This Row],[COSTO CON IVA]]/Tabla114[[#This Row],[UTILIDAD]]</f>
        <v>16942.38</v>
      </c>
      <c r="D209" s="9">
        <f>+Tabla114[[#This Row],[PRECIO INSTALADOR (IVA INCLUIDO)]]-Tabla114[[#This Row],[DCTO TIENDA]]</f>
        <v>16095.261</v>
      </c>
      <c r="E209" s="9">
        <f>+Tabla114[[#This Row],[PRECIO INSTALADOR (IVA INCLUIDO)]]/0.7</f>
        <v>24203.4</v>
      </c>
      <c r="F209" s="8">
        <v>0.85</v>
      </c>
      <c r="G209" s="16">
        <f>+Tabla114[[#This Row],[COSTO]]*1.19</f>
        <v>14401.023000000001</v>
      </c>
      <c r="H209" s="26">
        <f>+Tabla114[[#This Row],[PRECIO INSTALADOR (IVA INCLUIDO)]]*5%</f>
        <v>847.11900000000014</v>
      </c>
      <c r="I209" s="25"/>
      <c r="J209" s="7">
        <v>12101.7</v>
      </c>
    </row>
    <row r="210" spans="1:10" ht="15" x14ac:dyDescent="0.25">
      <c r="A210" s="23" t="s">
        <v>415</v>
      </c>
      <c r="B210" s="24" t="s">
        <v>416</v>
      </c>
      <c r="C210" s="27">
        <f>+Tabla114[[#This Row],[COSTO CON IVA]]/Tabla114[[#This Row],[UTILIDAD]]</f>
        <v>10810.800000000001</v>
      </c>
      <c r="D210" s="9">
        <f>+Tabla114[[#This Row],[PRECIO INSTALADOR (IVA INCLUIDO)]]-Tabla114[[#This Row],[DCTO TIENDA]]</f>
        <v>10270.26</v>
      </c>
      <c r="E210" s="9">
        <f>+Tabla114[[#This Row],[PRECIO INSTALADOR (IVA INCLUIDO)]]/0.7</f>
        <v>15444.000000000002</v>
      </c>
      <c r="F210" s="8">
        <v>0.85</v>
      </c>
      <c r="G210" s="16">
        <f>+Tabla114[[#This Row],[COSTO]]*1.19</f>
        <v>9189.18</v>
      </c>
      <c r="H210" s="26">
        <f>+Tabla114[[#This Row],[PRECIO INSTALADOR (IVA INCLUIDO)]]*5%</f>
        <v>540.54000000000008</v>
      </c>
      <c r="I210" s="25"/>
      <c r="J210" s="7">
        <v>7722</v>
      </c>
    </row>
    <row r="211" spans="1:10" ht="15" x14ac:dyDescent="0.25">
      <c r="A211" s="23" t="s">
        <v>417</v>
      </c>
      <c r="B211" s="24" t="s">
        <v>418</v>
      </c>
      <c r="C211" s="27">
        <f>+Tabla114[[#This Row],[COSTO CON IVA]]/Tabla114[[#This Row],[UTILIDAD]]</f>
        <v>15697.5</v>
      </c>
      <c r="D211" s="9">
        <f>+Tabla114[[#This Row],[PRECIO INSTALADOR (IVA INCLUIDO)]]-Tabla114[[#This Row],[DCTO TIENDA]]</f>
        <v>14912.625</v>
      </c>
      <c r="E211" s="9">
        <f>+Tabla114[[#This Row],[PRECIO INSTALADOR (IVA INCLUIDO)]]/0.7</f>
        <v>22425</v>
      </c>
      <c r="F211" s="8">
        <v>0.85</v>
      </c>
      <c r="G211" s="16">
        <f>+Tabla114[[#This Row],[COSTO]]*1.19</f>
        <v>13342.875</v>
      </c>
      <c r="H211" s="26">
        <f>+Tabla114[[#This Row],[PRECIO INSTALADOR (IVA INCLUIDO)]]*5%</f>
        <v>784.875</v>
      </c>
      <c r="I211" s="25"/>
      <c r="J211" s="7">
        <v>11212.5</v>
      </c>
    </row>
    <row r="212" spans="1:10" ht="15" x14ac:dyDescent="0.25">
      <c r="A212" s="23" t="s">
        <v>419</v>
      </c>
      <c r="B212" s="24" t="s">
        <v>420</v>
      </c>
      <c r="C212" s="27">
        <f>+Tabla114[[#This Row],[COSTO CON IVA]]/Tabla114[[#This Row],[UTILIDAD]]</f>
        <v>21931</v>
      </c>
      <c r="D212" s="9">
        <f>+Tabla114[[#This Row],[PRECIO INSTALADOR (IVA INCLUIDO)]]-Tabla114[[#This Row],[DCTO TIENDA]]</f>
        <v>20834.45</v>
      </c>
      <c r="E212" s="9">
        <f>+Tabla114[[#This Row],[PRECIO INSTALADOR (IVA INCLUIDO)]]/0.7</f>
        <v>31330.000000000004</v>
      </c>
      <c r="F212" s="8">
        <v>0.85</v>
      </c>
      <c r="G212" s="16">
        <f>+Tabla114[[#This Row],[COSTO]]*1.19</f>
        <v>18641.349999999999</v>
      </c>
      <c r="H212" s="26">
        <f>+Tabla114[[#This Row],[PRECIO INSTALADOR (IVA INCLUIDO)]]*5%</f>
        <v>1096.55</v>
      </c>
      <c r="I212" s="25"/>
      <c r="J212" s="7">
        <v>15665</v>
      </c>
    </row>
    <row r="213" spans="1:10" ht="15" x14ac:dyDescent="0.25">
      <c r="A213" s="23" t="s">
        <v>421</v>
      </c>
      <c r="B213" s="24" t="s">
        <v>422</v>
      </c>
      <c r="C213" s="27">
        <f>+Tabla114[[#This Row],[COSTO CON IVA]]/Tabla114[[#This Row],[UTILIDAD]]</f>
        <v>11993.8</v>
      </c>
      <c r="D213" s="9">
        <f>+Tabla114[[#This Row],[PRECIO INSTALADOR (IVA INCLUIDO)]]-Tabla114[[#This Row],[DCTO TIENDA]]</f>
        <v>11394.109999999999</v>
      </c>
      <c r="E213" s="9">
        <f>+Tabla114[[#This Row],[PRECIO INSTALADOR (IVA INCLUIDO)]]/0.7</f>
        <v>17134</v>
      </c>
      <c r="F213" s="8">
        <v>0.85</v>
      </c>
      <c r="G213" s="16">
        <f>+Tabla114[[#This Row],[COSTO]]*1.19</f>
        <v>10194.73</v>
      </c>
      <c r="H213" s="26">
        <f>+Tabla114[[#This Row],[PRECIO INSTALADOR (IVA INCLUIDO)]]*5%</f>
        <v>599.68999999999994</v>
      </c>
      <c r="I213" s="25"/>
      <c r="J213" s="7">
        <v>8567</v>
      </c>
    </row>
    <row r="214" spans="1:10" ht="15" x14ac:dyDescent="0.25">
      <c r="A214" s="23" t="s">
        <v>423</v>
      </c>
      <c r="B214" s="24" t="s">
        <v>424</v>
      </c>
      <c r="C214" s="27">
        <f>+Tabla114[[#This Row],[COSTO CON IVA]]/Tabla114[[#This Row],[UTILIDAD]]</f>
        <v>18500.3</v>
      </c>
      <c r="D214" s="9">
        <f>+Tabla114[[#This Row],[PRECIO INSTALADOR (IVA INCLUIDO)]]-Tabla114[[#This Row],[DCTO TIENDA]]</f>
        <v>17575.285</v>
      </c>
      <c r="E214" s="9">
        <f>+Tabla114[[#This Row],[PRECIO INSTALADOR (IVA INCLUIDO)]]/0.7</f>
        <v>26429</v>
      </c>
      <c r="F214" s="8">
        <v>0.85</v>
      </c>
      <c r="G214" s="16">
        <f>+Tabla114[[#This Row],[COSTO]]*1.19</f>
        <v>15725.254999999999</v>
      </c>
      <c r="H214" s="26">
        <f>+Tabla114[[#This Row],[PRECIO INSTALADOR (IVA INCLUIDO)]]*5%</f>
        <v>925.01499999999999</v>
      </c>
      <c r="I214" s="25"/>
      <c r="J214" s="7">
        <v>13214.5</v>
      </c>
    </row>
    <row r="215" spans="1:10" ht="15" x14ac:dyDescent="0.25">
      <c r="A215" s="23" t="s">
        <v>425</v>
      </c>
      <c r="B215" s="24" t="s">
        <v>426</v>
      </c>
      <c r="C215" s="27">
        <f>+Tabla114[[#This Row],[COSTO CON IVA]]/Tabla114[[#This Row],[UTILIDAD]]</f>
        <v>26289.899999999998</v>
      </c>
      <c r="D215" s="9">
        <f>+Tabla114[[#This Row],[PRECIO INSTALADOR (IVA INCLUIDO)]]-Tabla114[[#This Row],[DCTO TIENDA]]</f>
        <v>24975.404999999999</v>
      </c>
      <c r="E215" s="9">
        <f>+Tabla114[[#This Row],[PRECIO INSTALADOR (IVA INCLUIDO)]]/0.7</f>
        <v>37557</v>
      </c>
      <c r="F215" s="8">
        <v>0.85</v>
      </c>
      <c r="G215" s="16">
        <f>+Tabla114[[#This Row],[COSTO]]*1.19</f>
        <v>22346.414999999997</v>
      </c>
      <c r="H215" s="26">
        <f>+Tabla114[[#This Row],[PRECIO INSTALADOR (IVA INCLUIDO)]]*5%</f>
        <v>1314.4949999999999</v>
      </c>
      <c r="I215" s="25"/>
      <c r="J215" s="7">
        <v>18778.5</v>
      </c>
    </row>
    <row r="216" spans="1:10" ht="15" x14ac:dyDescent="0.25">
      <c r="A216" s="23" t="s">
        <v>427</v>
      </c>
      <c r="B216" s="24" t="s">
        <v>428</v>
      </c>
      <c r="C216" s="27">
        <f>+Tabla114[[#This Row],[COSTO CON IVA]]/Tabla114[[#This Row],[UTILIDAD]]</f>
        <v>11875.5</v>
      </c>
      <c r="D216" s="9">
        <f>+Tabla114[[#This Row],[PRECIO INSTALADOR (IVA INCLUIDO)]]-Tabla114[[#This Row],[DCTO TIENDA]]</f>
        <v>11281.725</v>
      </c>
      <c r="E216" s="9">
        <f>+Tabla114[[#This Row],[PRECIO INSTALADOR (IVA INCLUIDO)]]/0.7</f>
        <v>16965</v>
      </c>
      <c r="F216" s="8">
        <v>0.85</v>
      </c>
      <c r="G216" s="16">
        <f>+Tabla114[[#This Row],[COSTO]]*1.19</f>
        <v>10094.174999999999</v>
      </c>
      <c r="H216" s="26">
        <f>+Tabla114[[#This Row],[PRECIO INSTALADOR (IVA INCLUIDO)]]*5%</f>
        <v>593.77499999999998</v>
      </c>
      <c r="I216" s="25"/>
      <c r="J216" s="7">
        <v>8482.5</v>
      </c>
    </row>
    <row r="217" spans="1:10" ht="15" x14ac:dyDescent="0.25">
      <c r="A217" s="23" t="s">
        <v>429</v>
      </c>
      <c r="B217" s="24" t="s">
        <v>430</v>
      </c>
      <c r="C217" s="27">
        <f>+Tabla114[[#This Row],[COSTO CON IVA]]/Tabla114[[#This Row],[UTILIDAD]]</f>
        <v>17039.75</v>
      </c>
      <c r="D217" s="9">
        <f>+Tabla114[[#This Row],[PRECIO INSTALADOR (IVA INCLUIDO)]]-Tabla114[[#This Row],[DCTO TIENDA]]</f>
        <v>16187.762500000001</v>
      </c>
      <c r="E217" s="9">
        <f>+Tabla114[[#This Row],[PRECIO INSTALADOR (IVA INCLUIDO)]]/0.7</f>
        <v>24342.5</v>
      </c>
      <c r="F217" s="8">
        <v>0.85</v>
      </c>
      <c r="G217" s="16">
        <f>+Tabla114[[#This Row],[COSTO]]*1.19</f>
        <v>14483.787499999999</v>
      </c>
      <c r="H217" s="26">
        <f>+Tabla114[[#This Row],[PRECIO INSTALADOR (IVA INCLUIDO)]]*5%</f>
        <v>851.98750000000007</v>
      </c>
      <c r="I217" s="25"/>
      <c r="J217" s="7">
        <v>12171.25</v>
      </c>
    </row>
    <row r="218" spans="1:10" ht="15" x14ac:dyDescent="0.25">
      <c r="A218" s="23" t="s">
        <v>431</v>
      </c>
      <c r="B218" s="24" t="s">
        <v>432</v>
      </c>
      <c r="C218" s="27">
        <f>+Tabla114[[#This Row],[COSTO CON IVA]]/Tabla114[[#This Row],[UTILIDAD]]</f>
        <v>24146.85</v>
      </c>
      <c r="D218" s="9">
        <f>+Tabla114[[#This Row],[PRECIO INSTALADOR (IVA INCLUIDO)]]-Tabla114[[#This Row],[DCTO TIENDA]]</f>
        <v>22939.5075</v>
      </c>
      <c r="E218" s="9">
        <f>+Tabla114[[#This Row],[PRECIO INSTALADOR (IVA INCLUIDO)]]/0.7</f>
        <v>34495.5</v>
      </c>
      <c r="F218" s="8">
        <v>0.85</v>
      </c>
      <c r="G218" s="16">
        <f>+Tabla114[[#This Row],[COSTO]]*1.19</f>
        <v>20524.822499999998</v>
      </c>
      <c r="H218" s="26">
        <f>+Tabla114[[#This Row],[PRECIO INSTALADOR (IVA INCLUIDO)]]*5%</f>
        <v>1207.3425</v>
      </c>
      <c r="I218" s="25"/>
      <c r="J218" s="7">
        <v>17247.75</v>
      </c>
    </row>
    <row r="219" spans="1:10" ht="15" x14ac:dyDescent="0.25">
      <c r="A219" s="23" t="s">
        <v>433</v>
      </c>
      <c r="B219" s="24" t="s">
        <v>336</v>
      </c>
      <c r="C219" s="27">
        <f>+Tabla114[[#This Row],[COSTO CON IVA]]/Tabla114[[#This Row],[UTILIDAD]]</f>
        <v>17039.75</v>
      </c>
      <c r="D219" s="9">
        <f>+Tabla114[[#This Row],[PRECIO INSTALADOR (IVA INCLUIDO)]]-Tabla114[[#This Row],[DCTO TIENDA]]</f>
        <v>16187.762500000001</v>
      </c>
      <c r="E219" s="9">
        <f>+Tabla114[[#This Row],[PRECIO INSTALADOR (IVA INCLUIDO)]]/0.7</f>
        <v>24342.5</v>
      </c>
      <c r="F219" s="8">
        <v>0.85</v>
      </c>
      <c r="G219" s="16">
        <f>+Tabla114[[#This Row],[COSTO]]*1.19</f>
        <v>14483.787499999999</v>
      </c>
      <c r="H219" s="26">
        <f>+Tabla114[[#This Row],[PRECIO INSTALADOR (IVA INCLUIDO)]]*5%</f>
        <v>851.98750000000007</v>
      </c>
      <c r="I219" s="25"/>
      <c r="J219" s="7">
        <v>12171.25</v>
      </c>
    </row>
    <row r="220" spans="1:10" ht="15" x14ac:dyDescent="0.25">
      <c r="A220" s="23" t="s">
        <v>434</v>
      </c>
      <c r="B220" s="24" t="s">
        <v>435</v>
      </c>
      <c r="C220" s="27">
        <f>+Tabla114[[#This Row],[COSTO CON IVA]]/Tabla114[[#This Row],[UTILIDAD]]</f>
        <v>17722.25</v>
      </c>
      <c r="D220" s="9">
        <f>+Tabla114[[#This Row],[PRECIO INSTALADOR (IVA INCLUIDO)]]-Tabla114[[#This Row],[DCTO TIENDA]]</f>
        <v>16836.137500000001</v>
      </c>
      <c r="E220" s="9">
        <f>+Tabla114[[#This Row],[PRECIO INSTALADOR (IVA INCLUIDO)]]/0.7</f>
        <v>25317.5</v>
      </c>
      <c r="F220" s="8">
        <v>0.85</v>
      </c>
      <c r="G220" s="16">
        <f>+Tabla114[[#This Row],[COSTO]]*1.19</f>
        <v>15063.912499999999</v>
      </c>
      <c r="H220" s="26">
        <f>+Tabla114[[#This Row],[PRECIO INSTALADOR (IVA INCLUIDO)]]*5%</f>
        <v>886.11250000000007</v>
      </c>
      <c r="I220" s="25"/>
      <c r="J220" s="7">
        <v>12658.75</v>
      </c>
    </row>
    <row r="221" spans="1:10" ht="15" x14ac:dyDescent="0.25">
      <c r="A221" s="23" t="s">
        <v>436</v>
      </c>
      <c r="B221" s="24" t="s">
        <v>340</v>
      </c>
      <c r="C221" s="27">
        <f>+Tabla114[[#This Row],[COSTO CON IVA]]/Tabla114[[#This Row],[UTILIDAD]]</f>
        <v>16844.099999999999</v>
      </c>
      <c r="D221" s="9">
        <f>+Tabla114[[#This Row],[PRECIO INSTALADOR (IVA INCLUIDO)]]-Tabla114[[#This Row],[DCTO TIENDA]]</f>
        <v>16001.894999999999</v>
      </c>
      <c r="E221" s="9">
        <f>+Tabla114[[#This Row],[PRECIO INSTALADOR (IVA INCLUIDO)]]/0.7</f>
        <v>24063</v>
      </c>
      <c r="F221" s="8">
        <v>0.85</v>
      </c>
      <c r="G221" s="16">
        <f>+Tabla114[[#This Row],[COSTO]]*1.19</f>
        <v>14317.484999999999</v>
      </c>
      <c r="H221" s="26">
        <f>+Tabla114[[#This Row],[PRECIO INSTALADOR (IVA INCLUIDO)]]*5%</f>
        <v>842.20499999999993</v>
      </c>
      <c r="I221" s="25"/>
      <c r="J221" s="7">
        <v>12031.5</v>
      </c>
    </row>
    <row r="222" spans="1:10" ht="15" x14ac:dyDescent="0.25">
      <c r="A222" s="23" t="s">
        <v>437</v>
      </c>
      <c r="B222" s="24" t="s">
        <v>342</v>
      </c>
      <c r="C222" s="27">
        <f>+Tabla114[[#This Row],[COSTO CON IVA]]/Tabla114[[#This Row],[UTILIDAD]]</f>
        <v>17817.8</v>
      </c>
      <c r="D222" s="9">
        <f>+Tabla114[[#This Row],[PRECIO INSTALADOR (IVA INCLUIDO)]]-Tabla114[[#This Row],[DCTO TIENDA]]</f>
        <v>16926.91</v>
      </c>
      <c r="E222" s="9">
        <f>+Tabla114[[#This Row],[PRECIO INSTALADOR (IVA INCLUIDO)]]/0.7</f>
        <v>25454</v>
      </c>
      <c r="F222" s="8">
        <v>0.85</v>
      </c>
      <c r="G222" s="16">
        <f>+Tabla114[[#This Row],[COSTO]]*1.19</f>
        <v>15145.13</v>
      </c>
      <c r="H222" s="26">
        <f>+Tabla114[[#This Row],[PRECIO INSTALADOR (IVA INCLUIDO)]]*5%</f>
        <v>890.89</v>
      </c>
      <c r="I222" s="25"/>
      <c r="J222" s="7">
        <v>12727</v>
      </c>
    </row>
    <row r="223" spans="1:10" ht="15" x14ac:dyDescent="0.25">
      <c r="A223" s="23" t="s">
        <v>438</v>
      </c>
      <c r="B223" s="24" t="s">
        <v>344</v>
      </c>
      <c r="C223" s="27">
        <f>+Tabla114[[#This Row],[COSTO CON IVA]]/Tabla114[[#This Row],[UTILIDAD]]</f>
        <v>13267.8</v>
      </c>
      <c r="D223" s="9">
        <f>+Tabla114[[#This Row],[PRECIO INSTALADOR (IVA INCLUIDO)]]-Tabla114[[#This Row],[DCTO TIENDA]]</f>
        <v>12604.41</v>
      </c>
      <c r="E223" s="9">
        <f>+Tabla114[[#This Row],[PRECIO INSTALADOR (IVA INCLUIDO)]]/0.7</f>
        <v>18954</v>
      </c>
      <c r="F223" s="8">
        <v>0.85</v>
      </c>
      <c r="G223" s="16">
        <f>+Tabla114[[#This Row],[COSTO]]*1.19</f>
        <v>11277.63</v>
      </c>
      <c r="H223" s="26">
        <f>+Tabla114[[#This Row],[PRECIO INSTALADOR (IVA INCLUIDO)]]*5%</f>
        <v>663.39</v>
      </c>
      <c r="I223" s="25"/>
      <c r="J223" s="7">
        <v>9477</v>
      </c>
    </row>
    <row r="224" spans="1:10" ht="15" x14ac:dyDescent="0.25">
      <c r="A224" s="23" t="s">
        <v>439</v>
      </c>
      <c r="B224" s="24" t="s">
        <v>346</v>
      </c>
      <c r="C224" s="27">
        <f>+Tabla114[[#This Row],[COSTO CON IVA]]/Tabla114[[#This Row],[UTILIDAD]]</f>
        <v>18454.8</v>
      </c>
      <c r="D224" s="9">
        <f>+Tabla114[[#This Row],[PRECIO INSTALADOR (IVA INCLUIDO)]]-Tabla114[[#This Row],[DCTO TIENDA]]</f>
        <v>17532.059999999998</v>
      </c>
      <c r="E224" s="9">
        <f>+Tabla114[[#This Row],[PRECIO INSTALADOR (IVA INCLUIDO)]]/0.7</f>
        <v>26364</v>
      </c>
      <c r="F224" s="8">
        <v>0.85</v>
      </c>
      <c r="G224" s="16">
        <f>+Tabla114[[#This Row],[COSTO]]*1.19</f>
        <v>15686.58</v>
      </c>
      <c r="H224" s="26">
        <f>+Tabla114[[#This Row],[PRECIO INSTALADOR (IVA INCLUIDO)]]*5%</f>
        <v>922.74</v>
      </c>
      <c r="I224" s="25"/>
      <c r="J224" s="7">
        <v>13182</v>
      </c>
    </row>
    <row r="225" spans="1:10" ht="15" x14ac:dyDescent="0.25">
      <c r="A225" s="23" t="s">
        <v>440</v>
      </c>
      <c r="B225" s="24" t="s">
        <v>441</v>
      </c>
      <c r="C225" s="27">
        <f>+Tabla114[[#This Row],[COSTO CON IVA]]/Tabla114[[#This Row],[UTILIDAD]]</f>
        <v>11984.699999999999</v>
      </c>
      <c r="D225" s="9">
        <f>+Tabla114[[#This Row],[PRECIO INSTALADOR (IVA INCLUIDO)]]-Tabla114[[#This Row],[DCTO TIENDA]]</f>
        <v>11385.464999999998</v>
      </c>
      <c r="E225" s="9">
        <f>+Tabla114[[#This Row],[PRECIO INSTALADOR (IVA INCLUIDO)]]/0.7</f>
        <v>17121</v>
      </c>
      <c r="F225" s="8">
        <v>0.85</v>
      </c>
      <c r="G225" s="16">
        <f>+Tabla114[[#This Row],[COSTO]]*1.19</f>
        <v>10186.994999999999</v>
      </c>
      <c r="H225" s="26">
        <f>+Tabla114[[#This Row],[PRECIO INSTALADOR (IVA INCLUIDO)]]*5%</f>
        <v>599.23500000000001</v>
      </c>
      <c r="I225" s="25"/>
      <c r="J225" s="7">
        <v>8560.5</v>
      </c>
    </row>
    <row r="226" spans="1:10" ht="15" x14ac:dyDescent="0.25">
      <c r="A226" s="23" t="s">
        <v>442</v>
      </c>
      <c r="B226" s="24" t="s">
        <v>443</v>
      </c>
      <c r="C226" s="27">
        <f>+Tabla114[[#This Row],[COSTO CON IVA]]/Tabla114[[#This Row],[UTILIDAD]]</f>
        <v>16552.900000000001</v>
      </c>
      <c r="D226" s="9">
        <f>+Tabla114[[#This Row],[PRECIO INSTALADOR (IVA INCLUIDO)]]-Tabla114[[#This Row],[DCTO TIENDA]]</f>
        <v>15725.255000000001</v>
      </c>
      <c r="E226" s="9">
        <f>+Tabla114[[#This Row],[PRECIO INSTALADOR (IVA INCLUIDO)]]/0.7</f>
        <v>23647.000000000004</v>
      </c>
      <c r="F226" s="8">
        <v>0.85</v>
      </c>
      <c r="G226" s="16">
        <f>+Tabla114[[#This Row],[COSTO]]*1.19</f>
        <v>14069.965</v>
      </c>
      <c r="H226" s="26">
        <f>+Tabla114[[#This Row],[PRECIO INSTALADOR (IVA INCLUIDO)]]*5%</f>
        <v>827.6450000000001</v>
      </c>
      <c r="I226" s="25"/>
      <c r="J226" s="7">
        <v>11823.5</v>
      </c>
    </row>
    <row r="227" spans="1:10" ht="15" x14ac:dyDescent="0.25">
      <c r="A227" s="23" t="s">
        <v>444</v>
      </c>
      <c r="B227" s="24" t="s">
        <v>445</v>
      </c>
      <c r="C227" s="27">
        <f>+Tabla114[[#This Row],[COSTO CON IVA]]/Tabla114[[#This Row],[UTILIDAD]]</f>
        <v>11441.43</v>
      </c>
      <c r="D227" s="9">
        <f>+Tabla114[[#This Row],[PRECIO INSTALADOR (IVA INCLUIDO)]]-Tabla114[[#This Row],[DCTO TIENDA]]</f>
        <v>10869.3585</v>
      </c>
      <c r="E227" s="9">
        <f>+Tabla114[[#This Row],[PRECIO INSTALADOR (IVA INCLUIDO)]]/0.7</f>
        <v>16344.900000000001</v>
      </c>
      <c r="F227" s="8">
        <v>0.85</v>
      </c>
      <c r="G227" s="16">
        <f>+Tabla114[[#This Row],[COSTO]]*1.19</f>
        <v>9725.2155000000002</v>
      </c>
      <c r="H227" s="26">
        <f>+Tabla114[[#This Row],[PRECIO INSTALADOR (IVA INCLUIDO)]]*5%</f>
        <v>572.07150000000001</v>
      </c>
      <c r="I227" s="25"/>
      <c r="J227" s="7">
        <v>8172.4500000000007</v>
      </c>
    </row>
    <row r="228" spans="1:10" ht="15" x14ac:dyDescent="0.25">
      <c r="A228" s="23" t="s">
        <v>446</v>
      </c>
      <c r="B228" s="24" t="s">
        <v>354</v>
      </c>
      <c r="C228" s="27">
        <f>+Tabla114[[#This Row],[COSTO CON IVA]]/Tabla114[[#This Row],[UTILIDAD]]</f>
        <v>14362.53</v>
      </c>
      <c r="D228" s="9">
        <f>+Tabla114[[#This Row],[PRECIO INSTALADOR (IVA INCLUIDO)]]-Tabla114[[#This Row],[DCTO TIENDA]]</f>
        <v>13644.4035</v>
      </c>
      <c r="E228" s="9">
        <f>+Tabla114[[#This Row],[PRECIO INSTALADOR (IVA INCLUIDO)]]/0.7</f>
        <v>20517.900000000001</v>
      </c>
      <c r="F228" s="8">
        <v>0.85</v>
      </c>
      <c r="G228" s="16">
        <f>+Tabla114[[#This Row],[COSTO]]*1.19</f>
        <v>12208.1505</v>
      </c>
      <c r="H228" s="26">
        <f>+Tabla114[[#This Row],[PRECIO INSTALADOR (IVA INCLUIDO)]]*5%</f>
        <v>718.12650000000008</v>
      </c>
      <c r="I228" s="25"/>
      <c r="J228" s="7">
        <v>10258.950000000001</v>
      </c>
    </row>
    <row r="229" spans="1:10" ht="15" x14ac:dyDescent="0.25">
      <c r="A229" s="23" t="s">
        <v>447</v>
      </c>
      <c r="B229" s="24" t="s">
        <v>448</v>
      </c>
      <c r="C229" s="27">
        <f>+Tabla114[[#This Row],[COSTO CON IVA]]/Tabla114[[#This Row],[UTILIDAD]]</f>
        <v>6188</v>
      </c>
      <c r="D229" s="9">
        <f>+Tabla114[[#This Row],[PRECIO INSTALADOR (IVA INCLUIDO)]]-Tabla114[[#This Row],[DCTO TIENDA]]</f>
        <v>5878.6</v>
      </c>
      <c r="E229" s="9">
        <f>+Tabla114[[#This Row],[PRECIO INSTALADOR (IVA INCLUIDO)]]/0.7</f>
        <v>8840</v>
      </c>
      <c r="F229" s="8">
        <v>0.85</v>
      </c>
      <c r="G229" s="16">
        <f>+Tabla114[[#This Row],[COSTO]]*1.19</f>
        <v>5259.8</v>
      </c>
      <c r="H229" s="26">
        <f>+Tabla114[[#This Row],[PRECIO INSTALADOR (IVA INCLUIDO)]]*5%</f>
        <v>309.40000000000003</v>
      </c>
      <c r="I229" s="25"/>
      <c r="J229" s="7">
        <v>4420</v>
      </c>
    </row>
    <row r="230" spans="1:10" ht="15" x14ac:dyDescent="0.25">
      <c r="A230" s="23" t="s">
        <v>449</v>
      </c>
      <c r="B230" s="24" t="s">
        <v>450</v>
      </c>
      <c r="C230" s="27">
        <f>+Tabla114[[#This Row],[COSTO CON IVA]]/Tabla114[[#This Row],[UTILIDAD]]</f>
        <v>24924.899999999998</v>
      </c>
      <c r="D230" s="9">
        <f>+Tabla114[[#This Row],[PRECIO INSTALADOR (IVA INCLUIDO)]]-Tabla114[[#This Row],[DCTO TIENDA]]</f>
        <v>23678.654999999999</v>
      </c>
      <c r="E230" s="9">
        <f>+Tabla114[[#This Row],[PRECIO INSTALADOR (IVA INCLUIDO)]]/0.7</f>
        <v>35607</v>
      </c>
      <c r="F230" s="8">
        <v>0.85</v>
      </c>
      <c r="G230" s="16">
        <f>+Tabla114[[#This Row],[COSTO]]*1.19</f>
        <v>21186.164999999997</v>
      </c>
      <c r="H230" s="26">
        <f>+Tabla114[[#This Row],[PRECIO INSTALADOR (IVA INCLUIDO)]]*5%</f>
        <v>1246.2449999999999</v>
      </c>
      <c r="I230" s="25"/>
      <c r="J230" s="7">
        <v>17803.5</v>
      </c>
    </row>
    <row r="231" spans="1:10" ht="15" x14ac:dyDescent="0.25">
      <c r="A231" s="23" t="s">
        <v>451</v>
      </c>
      <c r="B231" s="24" t="s">
        <v>452</v>
      </c>
      <c r="C231" s="27">
        <f>+Tabla114[[#This Row],[COSTO CON IVA]]/Tabla114[[#This Row],[UTILIDAD]]</f>
        <v>21612.5</v>
      </c>
      <c r="D231" s="9">
        <f>+Tabla114[[#This Row],[PRECIO INSTALADOR (IVA INCLUIDO)]]-Tabla114[[#This Row],[DCTO TIENDA]]</f>
        <v>20531.875</v>
      </c>
      <c r="E231" s="9">
        <f>+Tabla114[[#This Row],[PRECIO INSTALADOR (IVA INCLUIDO)]]/0.7</f>
        <v>30875.000000000004</v>
      </c>
      <c r="F231" s="8">
        <v>0.85</v>
      </c>
      <c r="G231" s="16">
        <f>+Tabla114[[#This Row],[COSTO]]*1.19</f>
        <v>18370.625</v>
      </c>
      <c r="H231" s="26">
        <f>+Tabla114[[#This Row],[PRECIO INSTALADOR (IVA INCLUIDO)]]*5%</f>
        <v>1080.625</v>
      </c>
      <c r="I231" s="25"/>
      <c r="J231" s="7">
        <v>15437.5</v>
      </c>
    </row>
    <row r="232" spans="1:10" ht="15" x14ac:dyDescent="0.25">
      <c r="A232" s="23" t="s">
        <v>453</v>
      </c>
      <c r="B232" s="24" t="s">
        <v>454</v>
      </c>
      <c r="C232" s="27">
        <f>+Tabla114[[#This Row],[COSTO CON IVA]]/Tabla114[[#This Row],[UTILIDAD]]</f>
        <v>54590.9</v>
      </c>
      <c r="D232" s="9">
        <f>+Tabla114[[#This Row],[PRECIO INSTALADOR (IVA INCLUIDO)]]-Tabla114[[#This Row],[DCTO TIENDA]]</f>
        <v>51861.355000000003</v>
      </c>
      <c r="E232" s="9">
        <f>+Tabla114[[#This Row],[PRECIO INSTALADOR (IVA INCLUIDO)]]/0.7</f>
        <v>77987</v>
      </c>
      <c r="F232" s="8">
        <v>0.85</v>
      </c>
      <c r="G232" s="16">
        <f>+Tabla114[[#This Row],[COSTO]]*1.19</f>
        <v>46402.264999999999</v>
      </c>
      <c r="H232" s="26">
        <f>+Tabla114[[#This Row],[PRECIO INSTALADOR (IVA INCLUIDO)]]*5%</f>
        <v>2729.5450000000001</v>
      </c>
      <c r="I232" s="25"/>
      <c r="J232" s="7">
        <v>38993.5</v>
      </c>
    </row>
    <row r="233" spans="1:10" ht="15" x14ac:dyDescent="0.25">
      <c r="A233" s="23" t="s">
        <v>455</v>
      </c>
      <c r="B233" s="24" t="s">
        <v>456</v>
      </c>
      <c r="C233" s="27">
        <f>+Tabla114[[#This Row],[COSTO CON IVA]]/Tabla114[[#This Row],[UTILIDAD]]</f>
        <v>6188</v>
      </c>
      <c r="D233" s="9">
        <f>+Tabla114[[#This Row],[PRECIO INSTALADOR (IVA INCLUIDO)]]-Tabla114[[#This Row],[DCTO TIENDA]]</f>
        <v>5878.6</v>
      </c>
      <c r="E233" s="9">
        <f>+Tabla114[[#This Row],[PRECIO INSTALADOR (IVA INCLUIDO)]]/0.7</f>
        <v>8840</v>
      </c>
      <c r="F233" s="8">
        <v>0.85</v>
      </c>
      <c r="G233" s="16">
        <f>+Tabla114[[#This Row],[COSTO]]*1.19</f>
        <v>5259.8</v>
      </c>
      <c r="H233" s="26">
        <f>+Tabla114[[#This Row],[PRECIO INSTALADOR (IVA INCLUIDO)]]*5%</f>
        <v>309.40000000000003</v>
      </c>
      <c r="I233" s="25"/>
      <c r="J233" s="7">
        <v>4420</v>
      </c>
    </row>
    <row r="234" spans="1:10" ht="15" x14ac:dyDescent="0.25">
      <c r="A234" s="23" t="s">
        <v>457</v>
      </c>
      <c r="B234" s="24" t="s">
        <v>458</v>
      </c>
      <c r="C234" s="27">
        <f>+Tabla114[[#This Row],[COSTO CON IVA]]/Tabla114[[#This Row],[UTILIDAD]]</f>
        <v>6188</v>
      </c>
      <c r="D234" s="9">
        <f>+Tabla114[[#This Row],[PRECIO INSTALADOR (IVA INCLUIDO)]]-Tabla114[[#This Row],[DCTO TIENDA]]</f>
        <v>5878.6</v>
      </c>
      <c r="E234" s="9">
        <f>+Tabla114[[#This Row],[PRECIO INSTALADOR (IVA INCLUIDO)]]/0.7</f>
        <v>8840</v>
      </c>
      <c r="F234" s="8">
        <v>0.85</v>
      </c>
      <c r="G234" s="16">
        <f>+Tabla114[[#This Row],[COSTO]]*1.19</f>
        <v>5259.8</v>
      </c>
      <c r="H234" s="26">
        <f>+Tabla114[[#This Row],[PRECIO INSTALADOR (IVA INCLUIDO)]]*5%</f>
        <v>309.40000000000003</v>
      </c>
      <c r="I234" s="25"/>
      <c r="J234" s="7">
        <v>4420</v>
      </c>
    </row>
    <row r="235" spans="1:10" ht="15" x14ac:dyDescent="0.25">
      <c r="A235" s="23" t="s">
        <v>459</v>
      </c>
      <c r="B235" s="24" t="s">
        <v>460</v>
      </c>
      <c r="C235" s="27">
        <f>+Tabla114[[#This Row],[COSTO CON IVA]]/Tabla114[[#This Row],[UTILIDAD]]</f>
        <v>6188</v>
      </c>
      <c r="D235" s="9">
        <f>+Tabla114[[#This Row],[PRECIO INSTALADOR (IVA INCLUIDO)]]-Tabla114[[#This Row],[DCTO TIENDA]]</f>
        <v>5878.6</v>
      </c>
      <c r="E235" s="9">
        <f>+Tabla114[[#This Row],[PRECIO INSTALADOR (IVA INCLUIDO)]]/0.7</f>
        <v>8840</v>
      </c>
      <c r="F235" s="8">
        <v>0.85</v>
      </c>
      <c r="G235" s="16">
        <f>+Tabla114[[#This Row],[COSTO]]*1.19</f>
        <v>5259.8</v>
      </c>
      <c r="H235" s="26">
        <f>+Tabla114[[#This Row],[PRECIO INSTALADOR (IVA INCLUIDO)]]*5%</f>
        <v>309.40000000000003</v>
      </c>
      <c r="I235" s="25"/>
      <c r="J235" s="7">
        <v>4420</v>
      </c>
    </row>
    <row r="236" spans="1:10" ht="15" x14ac:dyDescent="0.25">
      <c r="A236" s="23" t="s">
        <v>461</v>
      </c>
      <c r="B236" s="24" t="s">
        <v>462</v>
      </c>
      <c r="C236" s="27">
        <f>+Tabla114[[#This Row],[COSTO CON IVA]]/Tabla114[[#This Row],[UTILIDAD]]</f>
        <v>83720</v>
      </c>
      <c r="D236" s="9">
        <f>+Tabla114[[#This Row],[PRECIO INSTALADOR (IVA INCLUIDO)]]-Tabla114[[#This Row],[DCTO TIENDA]]</f>
        <v>79534</v>
      </c>
      <c r="E236" s="9">
        <f>+Tabla114[[#This Row],[PRECIO INSTALADOR (IVA INCLUIDO)]]/0.7</f>
        <v>119600.00000000001</v>
      </c>
      <c r="F236" s="8">
        <v>0.85</v>
      </c>
      <c r="G236" s="16">
        <f>+Tabla114[[#This Row],[COSTO]]*1.19</f>
        <v>71162</v>
      </c>
      <c r="H236" s="26">
        <f>+Tabla114[[#This Row],[PRECIO INSTALADOR (IVA INCLUIDO)]]*5%</f>
        <v>4186</v>
      </c>
      <c r="I236" s="25"/>
      <c r="J236" s="7">
        <v>59800</v>
      </c>
    </row>
    <row r="237" spans="1:10" ht="15" x14ac:dyDescent="0.25">
      <c r="A237" s="23" t="s">
        <v>463</v>
      </c>
      <c r="B237" s="24" t="s">
        <v>464</v>
      </c>
      <c r="C237" s="27">
        <f>+Tabla114[[#This Row],[COSTO CON IVA]]/Tabla114[[#This Row],[UTILIDAD]]</f>
        <v>85985.900000000009</v>
      </c>
      <c r="D237" s="9">
        <f>+Tabla114[[#This Row],[PRECIO INSTALADOR (IVA INCLUIDO)]]-Tabla114[[#This Row],[DCTO TIENDA]]</f>
        <v>81686.60500000001</v>
      </c>
      <c r="E237" s="9">
        <f>+Tabla114[[#This Row],[PRECIO INSTALADOR (IVA INCLUIDO)]]/0.7</f>
        <v>122837.00000000001</v>
      </c>
      <c r="F237" s="8">
        <v>0.85</v>
      </c>
      <c r="G237" s="16">
        <f>+Tabla114[[#This Row],[COSTO]]*1.19</f>
        <v>73088.014999999999</v>
      </c>
      <c r="H237" s="26">
        <f>+Tabla114[[#This Row],[PRECIO INSTALADOR (IVA INCLUIDO)]]*5%</f>
        <v>4299.295000000001</v>
      </c>
      <c r="I237" s="25"/>
      <c r="J237" s="7">
        <v>61418.5</v>
      </c>
    </row>
    <row r="238" spans="1:10" ht="15" x14ac:dyDescent="0.25">
      <c r="A238" s="23" t="s">
        <v>465</v>
      </c>
      <c r="B238" s="24" t="s">
        <v>466</v>
      </c>
      <c r="C238" s="27">
        <f>+Tabla114[[#This Row],[COSTO CON IVA]]/Tabla114[[#This Row],[UTILIDAD]]</f>
        <v>11556.999999999998</v>
      </c>
      <c r="D238" s="9">
        <f>+Tabla114[[#This Row],[PRECIO INSTALADOR (IVA INCLUIDO)]]-Tabla114[[#This Row],[DCTO TIENDA]]</f>
        <v>10979.149999999998</v>
      </c>
      <c r="E238" s="9">
        <f>+Tabla114[[#This Row],[PRECIO INSTALADOR (IVA INCLUIDO)]]/0.7</f>
        <v>16510</v>
      </c>
      <c r="F238" s="8">
        <v>0.85</v>
      </c>
      <c r="G238" s="16">
        <f>+Tabla114[[#This Row],[COSTO]]*1.19</f>
        <v>9823.4499999999989</v>
      </c>
      <c r="H238" s="26">
        <f>+Tabla114[[#This Row],[PRECIO INSTALADOR (IVA INCLUIDO)]]*5%</f>
        <v>577.84999999999991</v>
      </c>
      <c r="I238" s="25"/>
      <c r="J238" s="7">
        <v>8255</v>
      </c>
    </row>
    <row r="239" spans="1:10" ht="15" x14ac:dyDescent="0.25">
      <c r="A239" s="23" t="s">
        <v>467</v>
      </c>
      <c r="B239" s="24" t="s">
        <v>468</v>
      </c>
      <c r="C239" s="27">
        <f>+Tabla114[[#This Row],[COSTO CON IVA]]/Tabla114[[#This Row],[UTILIDAD]]</f>
        <v>17608.5</v>
      </c>
      <c r="D239" s="9">
        <f>+Tabla114[[#This Row],[PRECIO INSTALADOR (IVA INCLUIDO)]]-Tabla114[[#This Row],[DCTO TIENDA]]</f>
        <v>16728.075000000001</v>
      </c>
      <c r="E239" s="9">
        <f>+Tabla114[[#This Row],[PRECIO INSTALADOR (IVA INCLUIDO)]]/0.7</f>
        <v>25155</v>
      </c>
      <c r="F239" s="8">
        <v>0.85</v>
      </c>
      <c r="G239" s="16">
        <f>+Tabla114[[#This Row],[COSTO]]*1.19</f>
        <v>14967.224999999999</v>
      </c>
      <c r="H239" s="26">
        <f>+Tabla114[[#This Row],[PRECIO INSTALADOR (IVA INCLUIDO)]]*5%</f>
        <v>880.42500000000007</v>
      </c>
      <c r="I239" s="25"/>
      <c r="J239" s="7">
        <v>12577.5</v>
      </c>
    </row>
    <row r="240" spans="1:10" ht="15" x14ac:dyDescent="0.25">
      <c r="A240" s="23" t="s">
        <v>469</v>
      </c>
      <c r="B240" s="24" t="s">
        <v>470</v>
      </c>
      <c r="C240" s="27">
        <f>+Tabla114[[#This Row],[COSTO CON IVA]]/Tabla114[[#This Row],[UTILIDAD]]</f>
        <v>16607.5</v>
      </c>
      <c r="D240" s="9">
        <f>+Tabla114[[#This Row],[PRECIO INSTALADOR (IVA INCLUIDO)]]-Tabla114[[#This Row],[DCTO TIENDA]]</f>
        <v>15777.125</v>
      </c>
      <c r="E240" s="9">
        <f>+Tabla114[[#This Row],[PRECIO INSTALADOR (IVA INCLUIDO)]]/0.7</f>
        <v>23725</v>
      </c>
      <c r="F240" s="8">
        <v>0.85</v>
      </c>
      <c r="G240" s="16">
        <f>+Tabla114[[#This Row],[COSTO]]*1.19</f>
        <v>14116.375</v>
      </c>
      <c r="H240" s="26">
        <f>+Tabla114[[#This Row],[PRECIO INSTALADOR (IVA INCLUIDO)]]*5%</f>
        <v>830.375</v>
      </c>
      <c r="I240" s="25"/>
      <c r="J240" s="7">
        <v>11862.5</v>
      </c>
    </row>
    <row r="241" spans="1:10" ht="15" x14ac:dyDescent="0.25">
      <c r="A241" s="23" t="s">
        <v>471</v>
      </c>
      <c r="B241" s="24" t="s">
        <v>472</v>
      </c>
      <c r="C241" s="27">
        <f>+Tabla114[[#This Row],[COSTO CON IVA]]/Tabla114[[#This Row],[UTILIDAD]]</f>
        <v>26917.8</v>
      </c>
      <c r="D241" s="9">
        <f>+Tabla114[[#This Row],[PRECIO INSTALADOR (IVA INCLUIDO)]]-Tabla114[[#This Row],[DCTO TIENDA]]</f>
        <v>25571.91</v>
      </c>
      <c r="E241" s="9">
        <f>+Tabla114[[#This Row],[PRECIO INSTALADOR (IVA INCLUIDO)]]/0.7</f>
        <v>38454</v>
      </c>
      <c r="F241" s="8">
        <v>0.85</v>
      </c>
      <c r="G241" s="16">
        <f>+Tabla114[[#This Row],[COSTO]]*1.19</f>
        <v>22880.129999999997</v>
      </c>
      <c r="H241" s="26">
        <f>+Tabla114[[#This Row],[PRECIO INSTALADOR (IVA INCLUIDO)]]*5%</f>
        <v>1345.89</v>
      </c>
      <c r="I241" s="25"/>
      <c r="J241" s="7">
        <v>19227</v>
      </c>
    </row>
    <row r="242" spans="1:10" ht="15" x14ac:dyDescent="0.25">
      <c r="A242" s="23" t="s">
        <v>473</v>
      </c>
      <c r="B242" s="24" t="s">
        <v>474</v>
      </c>
      <c r="C242" s="27">
        <f>+Tabla114[[#This Row],[COSTO CON IVA]]/Tabla114[[#This Row],[UTILIDAD]]</f>
        <v>25379.899999999998</v>
      </c>
      <c r="D242" s="9">
        <f>+Tabla114[[#This Row],[PRECIO INSTALADOR (IVA INCLUIDO)]]-Tabla114[[#This Row],[DCTO TIENDA]]</f>
        <v>24110.904999999999</v>
      </c>
      <c r="E242" s="9">
        <f>+Tabla114[[#This Row],[PRECIO INSTALADOR (IVA INCLUIDO)]]/0.7</f>
        <v>36257</v>
      </c>
      <c r="F242" s="8">
        <v>0.85</v>
      </c>
      <c r="G242" s="16">
        <f>+Tabla114[[#This Row],[COSTO]]*1.19</f>
        <v>21572.914999999997</v>
      </c>
      <c r="H242" s="26">
        <f>+Tabla114[[#This Row],[PRECIO INSTALADOR (IVA INCLUIDO)]]*5%</f>
        <v>1268.9949999999999</v>
      </c>
      <c r="I242" s="25"/>
      <c r="J242" s="7">
        <v>18128.5</v>
      </c>
    </row>
    <row r="243" spans="1:10" ht="15" x14ac:dyDescent="0.25">
      <c r="A243" s="23" t="s">
        <v>475</v>
      </c>
      <c r="B243" s="24" t="s">
        <v>476</v>
      </c>
      <c r="C243" s="27">
        <f>+Tabla114[[#This Row],[COSTO CON IVA]]/Tabla114[[#This Row],[UTILIDAD]]</f>
        <v>20829.900000000001</v>
      </c>
      <c r="D243" s="9">
        <f>+Tabla114[[#This Row],[PRECIO INSTALADOR (IVA INCLUIDO)]]-Tabla114[[#This Row],[DCTO TIENDA]]</f>
        <v>19788.405000000002</v>
      </c>
      <c r="E243" s="9">
        <f>+Tabla114[[#This Row],[PRECIO INSTALADOR (IVA INCLUIDO)]]/0.7</f>
        <v>29757.000000000004</v>
      </c>
      <c r="F243" s="8">
        <v>0.85</v>
      </c>
      <c r="G243" s="16">
        <f>+Tabla114[[#This Row],[COSTO]]*1.19</f>
        <v>17705.415000000001</v>
      </c>
      <c r="H243" s="26">
        <f>+Tabla114[[#This Row],[PRECIO INSTALADOR (IVA INCLUIDO)]]*5%</f>
        <v>1041.4950000000001</v>
      </c>
      <c r="I243" s="25"/>
      <c r="J243" s="7">
        <v>14878.5</v>
      </c>
    </row>
    <row r="244" spans="1:10" ht="15" x14ac:dyDescent="0.25">
      <c r="A244" s="23" t="s">
        <v>477</v>
      </c>
      <c r="B244" s="24" t="s">
        <v>478</v>
      </c>
      <c r="C244" s="27">
        <f>+Tabla114[[#This Row],[COSTO CON IVA]]/Tabla114[[#This Row],[UTILIDAD]]</f>
        <v>21908.25</v>
      </c>
      <c r="D244" s="9">
        <f>+Tabla114[[#This Row],[PRECIO INSTALADOR (IVA INCLUIDO)]]-Tabla114[[#This Row],[DCTO TIENDA]]</f>
        <v>20812.837500000001</v>
      </c>
      <c r="E244" s="9">
        <f>+Tabla114[[#This Row],[PRECIO INSTALADOR (IVA INCLUIDO)]]/0.7</f>
        <v>31297.500000000004</v>
      </c>
      <c r="F244" s="8">
        <v>0.85</v>
      </c>
      <c r="G244" s="16">
        <f>+Tabla114[[#This Row],[COSTO]]*1.19</f>
        <v>18622.012500000001</v>
      </c>
      <c r="H244" s="26">
        <f>+Tabla114[[#This Row],[PRECIO INSTALADOR (IVA INCLUIDO)]]*5%</f>
        <v>1095.4125000000001</v>
      </c>
      <c r="I244" s="25"/>
      <c r="J244" s="7">
        <v>15648.75</v>
      </c>
    </row>
    <row r="245" spans="1:10" ht="15" x14ac:dyDescent="0.25">
      <c r="A245" s="23" t="s">
        <v>479</v>
      </c>
      <c r="B245" s="24" t="s">
        <v>480</v>
      </c>
      <c r="C245" s="27">
        <f>+Tabla114[[#This Row],[COSTO CON IVA]]/Tabla114[[#This Row],[UTILIDAD]]</f>
        <v>34762</v>
      </c>
      <c r="D245" s="9">
        <f>+Tabla114[[#This Row],[PRECIO INSTALADOR (IVA INCLUIDO)]]-Tabla114[[#This Row],[DCTO TIENDA]]</f>
        <v>33023.9</v>
      </c>
      <c r="E245" s="9">
        <f>+Tabla114[[#This Row],[PRECIO INSTALADOR (IVA INCLUIDO)]]/0.7</f>
        <v>49660</v>
      </c>
      <c r="F245" s="8">
        <v>0.85</v>
      </c>
      <c r="G245" s="16">
        <f>+Tabla114[[#This Row],[COSTO]]*1.19</f>
        <v>29547.699999999997</v>
      </c>
      <c r="H245" s="26">
        <f>+Tabla114[[#This Row],[PRECIO INSTALADOR (IVA INCLUIDO)]]*5%</f>
        <v>1738.1000000000001</v>
      </c>
      <c r="I245" s="25"/>
      <c r="J245" s="7">
        <v>24830</v>
      </c>
    </row>
    <row r="246" spans="1:10" ht="15" x14ac:dyDescent="0.25">
      <c r="A246" s="23" t="s">
        <v>481</v>
      </c>
      <c r="B246" s="24" t="s">
        <v>482</v>
      </c>
      <c r="C246" s="27">
        <f>+Tabla114[[#This Row],[COSTO CON IVA]]/Tabla114[[#This Row],[UTILIDAD]]</f>
        <v>53553.5</v>
      </c>
      <c r="D246" s="9">
        <f>+Tabla114[[#This Row],[PRECIO INSTALADOR (IVA INCLUIDO)]]-Tabla114[[#This Row],[DCTO TIENDA]]</f>
        <v>50875.824999999997</v>
      </c>
      <c r="E246" s="9">
        <f>+Tabla114[[#This Row],[PRECIO INSTALADOR (IVA INCLUIDO)]]/0.7</f>
        <v>76505</v>
      </c>
      <c r="F246" s="8">
        <v>0.85</v>
      </c>
      <c r="G246" s="16">
        <f>+Tabla114[[#This Row],[COSTO]]*1.19</f>
        <v>45520.474999999999</v>
      </c>
      <c r="H246" s="26">
        <f>+Tabla114[[#This Row],[PRECIO INSTALADOR (IVA INCLUIDO)]]*5%</f>
        <v>2677.6750000000002</v>
      </c>
      <c r="I246" s="25"/>
      <c r="J246" s="7">
        <v>38252.5</v>
      </c>
    </row>
    <row r="247" spans="1:10" ht="15" x14ac:dyDescent="0.25">
      <c r="A247" s="23" t="s">
        <v>483</v>
      </c>
      <c r="B247" s="24" t="s">
        <v>484</v>
      </c>
      <c r="C247" s="27">
        <f>+Tabla114[[#This Row],[COSTO CON IVA]]/Tabla114[[#This Row],[UTILIDAD]]</f>
        <v>42651.700000000004</v>
      </c>
      <c r="D247" s="9">
        <f>+Tabla114[[#This Row],[PRECIO INSTALADOR (IVA INCLUIDO)]]-Tabla114[[#This Row],[DCTO TIENDA]]</f>
        <v>40519.115000000005</v>
      </c>
      <c r="E247" s="9">
        <f>+Tabla114[[#This Row],[PRECIO INSTALADOR (IVA INCLUIDO)]]/0.7</f>
        <v>60931.000000000007</v>
      </c>
      <c r="F247" s="8">
        <v>0.85</v>
      </c>
      <c r="G247" s="16">
        <f>+Tabla114[[#This Row],[COSTO]]*1.19</f>
        <v>36253.945</v>
      </c>
      <c r="H247" s="26">
        <f>+Tabla114[[#This Row],[PRECIO INSTALADOR (IVA INCLUIDO)]]*5%</f>
        <v>2132.5850000000005</v>
      </c>
      <c r="I247" s="25"/>
      <c r="J247" s="7">
        <v>30465.5</v>
      </c>
    </row>
    <row r="248" spans="1:10" ht="15" x14ac:dyDescent="0.25">
      <c r="A248" s="23" t="s">
        <v>485</v>
      </c>
      <c r="B248" s="24" t="s">
        <v>486</v>
      </c>
      <c r="C248" s="27">
        <f>+Tabla114[[#This Row],[COSTO CON IVA]]/Tabla114[[#This Row],[UTILIDAD]]</f>
        <v>12539.800000000001</v>
      </c>
      <c r="D248" s="9">
        <f>+Tabla114[[#This Row],[PRECIO INSTALADOR (IVA INCLUIDO)]]-Tabla114[[#This Row],[DCTO TIENDA]]</f>
        <v>11912.810000000001</v>
      </c>
      <c r="E248" s="9">
        <f>+Tabla114[[#This Row],[PRECIO INSTALADOR (IVA INCLUIDO)]]/0.7</f>
        <v>17914.000000000004</v>
      </c>
      <c r="F248" s="8">
        <v>0.85</v>
      </c>
      <c r="G248" s="16">
        <f>+Tabla114[[#This Row],[COSTO]]*1.19</f>
        <v>10658.83</v>
      </c>
      <c r="H248" s="26">
        <f>+Tabla114[[#This Row],[PRECIO INSTALADOR (IVA INCLUIDO)]]*5%</f>
        <v>626.99000000000012</v>
      </c>
      <c r="I248" s="25"/>
      <c r="J248" s="7">
        <v>8957</v>
      </c>
    </row>
    <row r="249" spans="1:10" ht="15" x14ac:dyDescent="0.25">
      <c r="A249" s="23" t="s">
        <v>487</v>
      </c>
      <c r="B249" s="24" t="s">
        <v>488</v>
      </c>
      <c r="C249" s="27">
        <f>+Tabla114[[#This Row],[COSTO CON IVA]]/Tabla114[[#This Row],[UTILIDAD]]</f>
        <v>4965.87</v>
      </c>
      <c r="D249" s="9">
        <f>+Tabla114[[#This Row],[PRECIO INSTALADOR (IVA INCLUIDO)]]-Tabla114[[#This Row],[DCTO TIENDA]]</f>
        <v>4717.5765000000001</v>
      </c>
      <c r="E249" s="9">
        <f>+Tabla114[[#This Row],[PRECIO INSTALADOR (IVA INCLUIDO)]]/0.7</f>
        <v>7094.1</v>
      </c>
      <c r="F249" s="8">
        <v>0.85</v>
      </c>
      <c r="G249" s="16">
        <f>+Tabla114[[#This Row],[COSTO]]*1.19</f>
        <v>4220.9894999999997</v>
      </c>
      <c r="H249" s="26">
        <f>+Tabla114[[#This Row],[PRECIO INSTALADOR (IVA INCLUIDO)]]*5%</f>
        <v>248.29349999999999</v>
      </c>
      <c r="I249" s="25"/>
      <c r="J249" s="7">
        <v>3547.05</v>
      </c>
    </row>
    <row r="250" spans="1:10" ht="15" x14ac:dyDescent="0.25">
      <c r="A250" s="23" t="s">
        <v>489</v>
      </c>
      <c r="B250" s="24" t="s">
        <v>490</v>
      </c>
      <c r="C250" s="27">
        <f>+Tabla114[[#This Row],[COSTO CON IVA]]/Tabla114[[#This Row],[UTILIDAD]]</f>
        <v>4673.76</v>
      </c>
      <c r="D250" s="9">
        <f>+Tabla114[[#This Row],[PRECIO INSTALADOR (IVA INCLUIDO)]]-Tabla114[[#This Row],[DCTO TIENDA]]</f>
        <v>4440.0720000000001</v>
      </c>
      <c r="E250" s="9">
        <f>+Tabla114[[#This Row],[PRECIO INSTALADOR (IVA INCLUIDO)]]/0.7</f>
        <v>6676.8000000000011</v>
      </c>
      <c r="F250" s="8">
        <v>0.85</v>
      </c>
      <c r="G250" s="16">
        <f>+Tabla114[[#This Row],[COSTO]]*1.19</f>
        <v>3972.6959999999999</v>
      </c>
      <c r="H250" s="26">
        <f>+Tabla114[[#This Row],[PRECIO INSTALADOR (IVA INCLUIDO)]]*5%</f>
        <v>233.68800000000002</v>
      </c>
      <c r="I250" s="25"/>
      <c r="J250" s="7">
        <v>3338.4</v>
      </c>
    </row>
    <row r="251" spans="1:10" ht="15" x14ac:dyDescent="0.25">
      <c r="A251" s="23" t="s">
        <v>491</v>
      </c>
      <c r="B251" s="24" t="s">
        <v>492</v>
      </c>
      <c r="C251" s="27">
        <f>+Tabla114[[#This Row],[COSTO CON IVA]]/Tabla114[[#This Row],[UTILIDAD]]</f>
        <v>5793.97</v>
      </c>
      <c r="D251" s="9">
        <f>+Tabla114[[#This Row],[PRECIO INSTALADOR (IVA INCLUIDO)]]-Tabla114[[#This Row],[DCTO TIENDA]]</f>
        <v>5504.2714999999998</v>
      </c>
      <c r="E251" s="9">
        <f>+Tabla114[[#This Row],[PRECIO INSTALADOR (IVA INCLUIDO)]]/0.7</f>
        <v>8277.1</v>
      </c>
      <c r="F251" s="8">
        <v>0.85</v>
      </c>
      <c r="G251" s="16">
        <f>+Tabla114[[#This Row],[COSTO]]*1.19</f>
        <v>4924.8744999999999</v>
      </c>
      <c r="H251" s="26">
        <f>+Tabla114[[#This Row],[PRECIO INSTALADOR (IVA INCLUIDO)]]*5%</f>
        <v>289.69850000000002</v>
      </c>
      <c r="I251" s="25"/>
      <c r="J251" s="7">
        <v>4138.55</v>
      </c>
    </row>
    <row r="252" spans="1:10" ht="15" x14ac:dyDescent="0.25">
      <c r="A252" s="23" t="s">
        <v>493</v>
      </c>
      <c r="B252" s="24" t="s">
        <v>494</v>
      </c>
      <c r="C252" s="27">
        <f>+Tabla114[[#This Row],[COSTO CON IVA]]/Tabla114[[#This Row],[UTILIDAD]]</f>
        <v>5647.4599999999991</v>
      </c>
      <c r="D252" s="9">
        <f>+Tabla114[[#This Row],[PRECIO INSTALADOR (IVA INCLUIDO)]]-Tabla114[[#This Row],[DCTO TIENDA]]</f>
        <v>5365.0869999999995</v>
      </c>
      <c r="E252" s="9">
        <f>+Tabla114[[#This Row],[PRECIO INSTALADOR (IVA INCLUIDO)]]/0.7</f>
        <v>8067.7999999999993</v>
      </c>
      <c r="F252" s="8">
        <v>0.85</v>
      </c>
      <c r="G252" s="16">
        <f>+Tabla114[[#This Row],[COSTO]]*1.19</f>
        <v>4800.3409999999994</v>
      </c>
      <c r="H252" s="26">
        <f>+Tabla114[[#This Row],[PRECIO INSTALADOR (IVA INCLUIDO)]]*5%</f>
        <v>282.37299999999999</v>
      </c>
      <c r="I252" s="25"/>
      <c r="J252" s="7">
        <v>4033.9</v>
      </c>
    </row>
    <row r="253" spans="1:10" ht="15" x14ac:dyDescent="0.25">
      <c r="A253" s="23" t="s">
        <v>495</v>
      </c>
      <c r="B253" s="24" t="s">
        <v>496</v>
      </c>
      <c r="C253" s="27">
        <f>+Tabla114[[#This Row],[COSTO CON IVA]]/Tabla114[[#This Row],[UTILIDAD]]</f>
        <v>12658.1</v>
      </c>
      <c r="D253" s="9">
        <f>+Tabla114[[#This Row],[PRECIO INSTALADOR (IVA INCLUIDO)]]-Tabla114[[#This Row],[DCTO TIENDA]]</f>
        <v>12025.195</v>
      </c>
      <c r="E253" s="9">
        <f>+Tabla114[[#This Row],[PRECIO INSTALADOR (IVA INCLUIDO)]]/0.7</f>
        <v>18083</v>
      </c>
      <c r="F253" s="8">
        <v>0.85</v>
      </c>
      <c r="G253" s="16">
        <f>+Tabla114[[#This Row],[COSTO]]*1.19</f>
        <v>10759.385</v>
      </c>
      <c r="H253" s="26">
        <f>+Tabla114[[#This Row],[PRECIO INSTALADOR (IVA INCLUIDO)]]*5%</f>
        <v>632.90500000000009</v>
      </c>
      <c r="I253" s="25"/>
      <c r="J253" s="7">
        <v>9041.5</v>
      </c>
    </row>
    <row r="254" spans="1:10" ht="15" x14ac:dyDescent="0.25">
      <c r="A254" s="23" t="s">
        <v>497</v>
      </c>
      <c r="B254" s="24" t="s">
        <v>498</v>
      </c>
      <c r="C254" s="27">
        <f>+Tabla114[[#This Row],[COSTO CON IVA]]/Tabla114[[#This Row],[UTILIDAD]]</f>
        <v>25218.829999999998</v>
      </c>
      <c r="D254" s="9">
        <f>+Tabla114[[#This Row],[PRECIO INSTALADOR (IVA INCLUIDO)]]-Tabla114[[#This Row],[DCTO TIENDA]]</f>
        <v>23957.888499999997</v>
      </c>
      <c r="E254" s="9">
        <f>+Tabla114[[#This Row],[PRECIO INSTALADOR (IVA INCLUIDO)]]/0.7</f>
        <v>36026.9</v>
      </c>
      <c r="F254" s="8">
        <v>0.85</v>
      </c>
      <c r="G254" s="16">
        <f>+Tabla114[[#This Row],[COSTO]]*1.19</f>
        <v>21436.005499999999</v>
      </c>
      <c r="H254" s="26">
        <f>+Tabla114[[#This Row],[PRECIO INSTALADOR (IVA INCLUIDO)]]*5%</f>
        <v>1260.9414999999999</v>
      </c>
      <c r="I254" s="25"/>
      <c r="J254" s="7">
        <v>18013.45</v>
      </c>
    </row>
    <row r="255" spans="1:10" ht="15" x14ac:dyDescent="0.25">
      <c r="A255" s="23" t="s">
        <v>499</v>
      </c>
      <c r="B255" s="24" t="s">
        <v>500</v>
      </c>
      <c r="C255" s="27">
        <f>+Tabla114[[#This Row],[COSTO CON IVA]]/Tabla114[[#This Row],[UTILIDAD]]</f>
        <v>4576.3899999999994</v>
      </c>
      <c r="D255" s="9">
        <f>+Tabla114[[#This Row],[PRECIO INSTALADOR (IVA INCLUIDO)]]-Tabla114[[#This Row],[DCTO TIENDA]]</f>
        <v>4347.5704999999998</v>
      </c>
      <c r="E255" s="9">
        <f>+Tabla114[[#This Row],[PRECIO INSTALADOR (IVA INCLUIDO)]]/0.7</f>
        <v>6537.7</v>
      </c>
      <c r="F255" s="8">
        <v>0.85</v>
      </c>
      <c r="G255" s="16">
        <f>+Tabla114[[#This Row],[COSTO]]*1.19</f>
        <v>3889.9314999999997</v>
      </c>
      <c r="H255" s="26">
        <f>+Tabla114[[#This Row],[PRECIO INSTALADOR (IVA INCLUIDO)]]*5%</f>
        <v>228.81949999999998</v>
      </c>
      <c r="I255" s="25"/>
      <c r="J255" s="7">
        <v>3268.85</v>
      </c>
    </row>
    <row r="256" spans="1:10" ht="15" x14ac:dyDescent="0.25">
      <c r="A256" s="23" t="s">
        <v>501</v>
      </c>
      <c r="B256" s="24" t="s">
        <v>502</v>
      </c>
      <c r="C256" s="27">
        <f>+Tabla114[[#This Row],[COSTO CON IVA]]/Tabla114[[#This Row],[UTILIDAD]]</f>
        <v>5209.7499999999991</v>
      </c>
      <c r="D256" s="9">
        <f>+Tabla114[[#This Row],[PRECIO INSTALADOR (IVA INCLUIDO)]]-Tabla114[[#This Row],[DCTO TIENDA]]</f>
        <v>4949.2624999999989</v>
      </c>
      <c r="E256" s="9">
        <f>+Tabla114[[#This Row],[PRECIO INSTALADOR (IVA INCLUIDO)]]/0.7</f>
        <v>7442.4999999999991</v>
      </c>
      <c r="F256" s="8">
        <v>0.85</v>
      </c>
      <c r="G256" s="16">
        <f>+Tabla114[[#This Row],[COSTO]]*1.19</f>
        <v>4428.2874999999995</v>
      </c>
      <c r="H256" s="26">
        <f>+Tabla114[[#This Row],[PRECIO INSTALADOR (IVA INCLUIDO)]]*5%</f>
        <v>260.48749999999995</v>
      </c>
      <c r="I256" s="25"/>
      <c r="J256" s="7">
        <v>3721.25</v>
      </c>
    </row>
    <row r="257" spans="1:10" ht="15" x14ac:dyDescent="0.25">
      <c r="A257" s="23" t="s">
        <v>503</v>
      </c>
      <c r="B257" s="24" t="s">
        <v>504</v>
      </c>
      <c r="C257" s="27">
        <f>+Tabla114[[#This Row],[COSTO CON IVA]]/Tabla114[[#This Row],[UTILIDAD]]</f>
        <v>18964.400000000001</v>
      </c>
      <c r="D257" s="9">
        <f>+Tabla114[[#This Row],[PRECIO INSTALADOR (IVA INCLUIDO)]]-Tabla114[[#This Row],[DCTO TIENDA]]</f>
        <v>18016.18</v>
      </c>
      <c r="E257" s="9">
        <f>+Tabla114[[#This Row],[PRECIO INSTALADOR (IVA INCLUIDO)]]/0.7</f>
        <v>27092.000000000004</v>
      </c>
      <c r="F257" s="8">
        <v>0.85</v>
      </c>
      <c r="G257" s="16">
        <f>+Tabla114[[#This Row],[COSTO]]*1.19</f>
        <v>16119.74</v>
      </c>
      <c r="H257" s="26">
        <f>+Tabla114[[#This Row],[PRECIO INSTALADOR (IVA INCLUIDO)]]*5%</f>
        <v>948.22000000000014</v>
      </c>
      <c r="I257" s="25"/>
      <c r="J257" s="7">
        <v>13546</v>
      </c>
    </row>
    <row r="258" spans="1:10" ht="15" x14ac:dyDescent="0.25">
      <c r="A258" s="23" t="s">
        <v>505</v>
      </c>
      <c r="B258" s="24" t="s">
        <v>506</v>
      </c>
      <c r="C258" s="27">
        <f>+Tabla114[[#This Row],[COSTO CON IVA]]/Tabla114[[#This Row],[UTILIDAD]]</f>
        <v>11802.7</v>
      </c>
      <c r="D258" s="9">
        <f>+Tabla114[[#This Row],[PRECIO INSTALADOR (IVA INCLUIDO)]]-Tabla114[[#This Row],[DCTO TIENDA]]</f>
        <v>11212.565000000001</v>
      </c>
      <c r="E258" s="9">
        <f>+Tabla114[[#This Row],[PRECIO INSTALADOR (IVA INCLUIDO)]]/0.7</f>
        <v>16861.000000000004</v>
      </c>
      <c r="F258" s="8">
        <v>0.85</v>
      </c>
      <c r="G258" s="16">
        <f>+Tabla114[[#This Row],[COSTO]]*1.19</f>
        <v>10032.295</v>
      </c>
      <c r="H258" s="26">
        <f>+Tabla114[[#This Row],[PRECIO INSTALADOR (IVA INCLUIDO)]]*5%</f>
        <v>590.1350000000001</v>
      </c>
      <c r="I258" s="25"/>
      <c r="J258" s="7">
        <v>8430.5</v>
      </c>
    </row>
    <row r="259" spans="1:10" ht="15" x14ac:dyDescent="0.25">
      <c r="A259" s="23" t="s">
        <v>507</v>
      </c>
      <c r="B259" s="24" t="s">
        <v>508</v>
      </c>
      <c r="C259" s="27">
        <f>+Tabla114[[#This Row],[COSTO CON IVA]]/Tabla114[[#This Row],[UTILIDAD]]</f>
        <v>17290</v>
      </c>
      <c r="D259" s="9">
        <f>+Tabla114[[#This Row],[PRECIO INSTALADOR (IVA INCLUIDO)]]-Tabla114[[#This Row],[DCTO TIENDA]]</f>
        <v>16425.5</v>
      </c>
      <c r="E259" s="9">
        <f>+Tabla114[[#This Row],[PRECIO INSTALADOR (IVA INCLUIDO)]]/0.7</f>
        <v>24700</v>
      </c>
      <c r="F259" s="8">
        <v>0.85</v>
      </c>
      <c r="G259" s="16">
        <f>+Tabla114[[#This Row],[COSTO]]*1.19</f>
        <v>14696.5</v>
      </c>
      <c r="H259" s="26">
        <f>+Tabla114[[#This Row],[PRECIO INSTALADOR (IVA INCLUIDO)]]*5%</f>
        <v>864.5</v>
      </c>
      <c r="I259" s="25"/>
      <c r="J259" s="7">
        <v>12350</v>
      </c>
    </row>
    <row r="260" spans="1:10" ht="15" x14ac:dyDescent="0.25">
      <c r="A260" s="23" t="s">
        <v>509</v>
      </c>
      <c r="B260" s="24" t="s">
        <v>510</v>
      </c>
      <c r="C260" s="27">
        <f>+Tabla114[[#This Row],[COSTO CON IVA]]/Tabla114[[#This Row],[UTILIDAD]]</f>
        <v>24155.95</v>
      </c>
      <c r="D260" s="9">
        <f>+Tabla114[[#This Row],[PRECIO INSTALADOR (IVA INCLUIDO)]]-Tabla114[[#This Row],[DCTO TIENDA]]</f>
        <v>22948.1525</v>
      </c>
      <c r="E260" s="9">
        <f>+Tabla114[[#This Row],[PRECIO INSTALADOR (IVA INCLUIDO)]]/0.7</f>
        <v>34508.5</v>
      </c>
      <c r="F260" s="8">
        <v>0.85</v>
      </c>
      <c r="G260" s="16">
        <f>+Tabla114[[#This Row],[COSTO]]*1.19</f>
        <v>20532.557499999999</v>
      </c>
      <c r="H260" s="26">
        <f>+Tabla114[[#This Row],[PRECIO INSTALADOR (IVA INCLUIDO)]]*5%</f>
        <v>1207.7975000000001</v>
      </c>
      <c r="I260" s="25"/>
      <c r="J260" s="7">
        <v>17254.25</v>
      </c>
    </row>
    <row r="261" spans="1:10" ht="15" x14ac:dyDescent="0.25">
      <c r="A261" s="23" t="s">
        <v>511</v>
      </c>
      <c r="B261" s="24" t="s">
        <v>512</v>
      </c>
      <c r="C261" s="27">
        <f>+Tabla114[[#This Row],[COSTO CON IVA]]/Tabla114[[#This Row],[UTILIDAD]]</f>
        <v>13208.65</v>
      </c>
      <c r="D261" s="9">
        <f>+Tabla114[[#This Row],[PRECIO INSTALADOR (IVA INCLUIDO)]]-Tabla114[[#This Row],[DCTO TIENDA]]</f>
        <v>12548.217499999999</v>
      </c>
      <c r="E261" s="9">
        <f>+Tabla114[[#This Row],[PRECIO INSTALADOR (IVA INCLUIDO)]]/0.7</f>
        <v>18869.5</v>
      </c>
      <c r="F261" s="8">
        <v>0.85</v>
      </c>
      <c r="G261" s="16">
        <f>+Tabla114[[#This Row],[COSTO]]*1.19</f>
        <v>11227.352499999999</v>
      </c>
      <c r="H261" s="26">
        <f>+Tabla114[[#This Row],[PRECIO INSTALADOR (IVA INCLUIDO)]]*5%</f>
        <v>660.4325</v>
      </c>
      <c r="I261" s="25"/>
      <c r="J261" s="7">
        <v>9434.75</v>
      </c>
    </row>
    <row r="262" spans="1:10" ht="15" x14ac:dyDescent="0.25">
      <c r="A262" s="23" t="s">
        <v>513</v>
      </c>
      <c r="B262" s="24" t="s">
        <v>514</v>
      </c>
      <c r="C262" s="27">
        <f>+Tabla114[[#This Row],[COSTO CON IVA]]/Tabla114[[#This Row],[UTILIDAD]]</f>
        <v>20388.55</v>
      </c>
      <c r="D262" s="9">
        <f>+Tabla114[[#This Row],[PRECIO INSTALADOR (IVA INCLUIDO)]]-Tabla114[[#This Row],[DCTO TIENDA]]</f>
        <v>19369.122499999998</v>
      </c>
      <c r="E262" s="9">
        <f>+Tabla114[[#This Row],[PRECIO INSTALADOR (IVA INCLUIDO)]]/0.7</f>
        <v>29126.5</v>
      </c>
      <c r="F262" s="8">
        <v>0.85</v>
      </c>
      <c r="G262" s="16">
        <f>+Tabla114[[#This Row],[COSTO]]*1.19</f>
        <v>17330.267499999998</v>
      </c>
      <c r="H262" s="26">
        <f>+Tabla114[[#This Row],[PRECIO INSTALADOR (IVA INCLUIDO)]]*5%</f>
        <v>1019.4275</v>
      </c>
      <c r="I262" s="25"/>
      <c r="J262" s="7">
        <v>14563.25</v>
      </c>
    </row>
    <row r="263" spans="1:10" ht="15" x14ac:dyDescent="0.25">
      <c r="A263" s="23" t="s">
        <v>515</v>
      </c>
      <c r="B263" s="24" t="s">
        <v>516</v>
      </c>
      <c r="C263" s="27">
        <f>+Tabla114[[#This Row],[COSTO CON IVA]]/Tabla114[[#This Row],[UTILIDAD]]</f>
        <v>28974.399999999998</v>
      </c>
      <c r="D263" s="9">
        <f>+Tabla114[[#This Row],[PRECIO INSTALADOR (IVA INCLUIDO)]]-Tabla114[[#This Row],[DCTO TIENDA]]</f>
        <v>27525.679999999997</v>
      </c>
      <c r="E263" s="9">
        <f>+Tabla114[[#This Row],[PRECIO INSTALADOR (IVA INCLUIDO)]]/0.7</f>
        <v>41392</v>
      </c>
      <c r="F263" s="8">
        <v>0.85</v>
      </c>
      <c r="G263" s="16">
        <f>+Tabla114[[#This Row],[COSTO]]*1.19</f>
        <v>24628.239999999998</v>
      </c>
      <c r="H263" s="26">
        <f>+Tabla114[[#This Row],[PRECIO INSTALADOR (IVA INCLUIDO)]]*5%</f>
        <v>1448.72</v>
      </c>
      <c r="I263" s="25"/>
      <c r="J263" s="7">
        <v>20696</v>
      </c>
    </row>
    <row r="264" spans="1:10" ht="15" x14ac:dyDescent="0.25">
      <c r="A264" s="23" t="s">
        <v>517</v>
      </c>
      <c r="B264" s="24" t="s">
        <v>518</v>
      </c>
      <c r="C264" s="27">
        <f>+Tabla114[[#This Row],[COSTO CON IVA]]/Tabla114[[#This Row],[UTILIDAD]]</f>
        <v>13085.800000000001</v>
      </c>
      <c r="D264" s="9">
        <f>+Tabla114[[#This Row],[PRECIO INSTALADOR (IVA INCLUIDO)]]-Tabla114[[#This Row],[DCTO TIENDA]]</f>
        <v>12431.51</v>
      </c>
      <c r="E264" s="9">
        <f>+Tabla114[[#This Row],[PRECIO INSTALADOR (IVA INCLUIDO)]]/0.7</f>
        <v>18694.000000000004</v>
      </c>
      <c r="F264" s="8">
        <v>0.85</v>
      </c>
      <c r="G264" s="16">
        <f>+Tabla114[[#This Row],[COSTO]]*1.19</f>
        <v>11122.93</v>
      </c>
      <c r="H264" s="26">
        <f>+Tabla114[[#This Row],[PRECIO INSTALADOR (IVA INCLUIDO)]]*5%</f>
        <v>654.29000000000008</v>
      </c>
      <c r="I264" s="25"/>
      <c r="J264" s="7">
        <v>9347</v>
      </c>
    </row>
    <row r="265" spans="1:10" ht="15" x14ac:dyDescent="0.25">
      <c r="A265" s="23" t="s">
        <v>519</v>
      </c>
      <c r="B265" s="24" t="s">
        <v>520</v>
      </c>
      <c r="C265" s="27">
        <f>+Tabla114[[#This Row],[COSTO CON IVA]]/Tabla114[[#This Row],[UTILIDAD]]</f>
        <v>18746</v>
      </c>
      <c r="D265" s="9">
        <f>+Tabla114[[#This Row],[PRECIO INSTALADOR (IVA INCLUIDO)]]-Tabla114[[#This Row],[DCTO TIENDA]]</f>
        <v>17808.7</v>
      </c>
      <c r="E265" s="9">
        <f>+Tabla114[[#This Row],[PRECIO INSTALADOR (IVA INCLUIDO)]]/0.7</f>
        <v>26780</v>
      </c>
      <c r="F265" s="8">
        <v>0.85</v>
      </c>
      <c r="G265" s="16">
        <f>+Tabla114[[#This Row],[COSTO]]*1.19</f>
        <v>15934.099999999999</v>
      </c>
      <c r="H265" s="26">
        <f>+Tabla114[[#This Row],[PRECIO INSTALADOR (IVA INCLUIDO)]]*5%</f>
        <v>937.30000000000007</v>
      </c>
      <c r="I265" s="25"/>
      <c r="J265" s="7">
        <v>13390</v>
      </c>
    </row>
    <row r="266" spans="1:10" ht="15" x14ac:dyDescent="0.25">
      <c r="A266" s="23" t="s">
        <v>521</v>
      </c>
      <c r="B266" s="24" t="s">
        <v>522</v>
      </c>
      <c r="C266" s="27">
        <f>+Tabla114[[#This Row],[COSTO CON IVA]]/Tabla114[[#This Row],[UTILIDAD]]</f>
        <v>26603.85</v>
      </c>
      <c r="D266" s="9">
        <f>+Tabla114[[#This Row],[PRECIO INSTALADOR (IVA INCLUIDO)]]-Tabla114[[#This Row],[DCTO TIENDA]]</f>
        <v>25273.657499999998</v>
      </c>
      <c r="E266" s="9">
        <f>+Tabla114[[#This Row],[PRECIO INSTALADOR (IVA INCLUIDO)]]/0.7</f>
        <v>38005.5</v>
      </c>
      <c r="F266" s="8">
        <v>0.85</v>
      </c>
      <c r="G266" s="16">
        <f>+Tabla114[[#This Row],[COSTO]]*1.19</f>
        <v>22613.272499999999</v>
      </c>
      <c r="H266" s="26">
        <f>+Tabla114[[#This Row],[PRECIO INSTALADOR (IVA INCLUIDO)]]*5%</f>
        <v>1330.1925000000001</v>
      </c>
      <c r="I266" s="25"/>
      <c r="J266" s="7">
        <v>19002.75</v>
      </c>
    </row>
    <row r="267" spans="1:10" ht="15" x14ac:dyDescent="0.25">
      <c r="A267" s="23" t="s">
        <v>523</v>
      </c>
      <c r="B267" s="24" t="s">
        <v>524</v>
      </c>
      <c r="C267" s="27">
        <f>+Tabla114[[#This Row],[COSTO CON IVA]]/Tabla114[[#This Row],[UTILIDAD]]</f>
        <v>24146.85</v>
      </c>
      <c r="D267" s="9">
        <f>+Tabla114[[#This Row],[PRECIO INSTALADOR (IVA INCLUIDO)]]-Tabla114[[#This Row],[DCTO TIENDA]]</f>
        <v>22939.5075</v>
      </c>
      <c r="E267" s="9">
        <f>+Tabla114[[#This Row],[PRECIO INSTALADOR (IVA INCLUIDO)]]/0.7</f>
        <v>34495.5</v>
      </c>
      <c r="F267" s="8">
        <v>0.85</v>
      </c>
      <c r="G267" s="16">
        <f>+Tabla114[[#This Row],[COSTO]]*1.19</f>
        <v>20524.822499999998</v>
      </c>
      <c r="H267" s="26">
        <f>+Tabla114[[#This Row],[PRECIO INSTALADOR (IVA INCLUIDO)]]*5%</f>
        <v>1207.3425</v>
      </c>
      <c r="I267" s="25"/>
      <c r="J267" s="7">
        <v>17247.75</v>
      </c>
    </row>
    <row r="268" spans="1:10" ht="15" x14ac:dyDescent="0.25">
      <c r="A268" s="23" t="s">
        <v>525</v>
      </c>
      <c r="B268" s="24" t="s">
        <v>526</v>
      </c>
      <c r="C268" s="27">
        <f>+Tabla114[[#This Row],[COSTO CON IVA]]/Tabla114[[#This Row],[UTILIDAD]]</f>
        <v>38311</v>
      </c>
      <c r="D268" s="9">
        <f>+Tabla114[[#This Row],[PRECIO INSTALADOR (IVA INCLUIDO)]]-Tabla114[[#This Row],[DCTO TIENDA]]</f>
        <v>36395.449999999997</v>
      </c>
      <c r="E268" s="9">
        <f>+Tabla114[[#This Row],[PRECIO INSTALADOR (IVA INCLUIDO)]]/0.7</f>
        <v>54730</v>
      </c>
      <c r="F268" s="8">
        <v>0.85</v>
      </c>
      <c r="G268" s="16">
        <f>+Tabla114[[#This Row],[COSTO]]*1.19</f>
        <v>32564.35</v>
      </c>
      <c r="H268" s="26">
        <f>+Tabla114[[#This Row],[PRECIO INSTALADOR (IVA INCLUIDO)]]*5%</f>
        <v>1915.5500000000002</v>
      </c>
      <c r="I268" s="25"/>
      <c r="J268" s="7">
        <v>27365</v>
      </c>
    </row>
    <row r="269" spans="1:10" ht="15" x14ac:dyDescent="0.25">
      <c r="A269" s="23" t="s">
        <v>527</v>
      </c>
      <c r="B269" s="24" t="s">
        <v>528</v>
      </c>
      <c r="C269" s="27">
        <f>+Tabla114[[#This Row],[COSTO CON IVA]]/Tabla114[[#This Row],[UTILIDAD]]</f>
        <v>18746</v>
      </c>
      <c r="D269" s="9">
        <f>+Tabla114[[#This Row],[PRECIO INSTALADOR (IVA INCLUIDO)]]-Tabla114[[#This Row],[DCTO TIENDA]]</f>
        <v>17808.7</v>
      </c>
      <c r="E269" s="9">
        <f>+Tabla114[[#This Row],[PRECIO INSTALADOR (IVA INCLUIDO)]]/0.7</f>
        <v>26780</v>
      </c>
      <c r="F269" s="8">
        <v>0.85</v>
      </c>
      <c r="G269" s="16">
        <f>+Tabla114[[#This Row],[COSTO]]*1.19</f>
        <v>15934.099999999999</v>
      </c>
      <c r="H269" s="26">
        <f>+Tabla114[[#This Row],[PRECIO INSTALADOR (IVA INCLUIDO)]]*5%</f>
        <v>937.30000000000007</v>
      </c>
      <c r="I269" s="25"/>
      <c r="J269" s="7">
        <v>13390</v>
      </c>
    </row>
    <row r="270" spans="1:10" ht="15" x14ac:dyDescent="0.25">
      <c r="A270" s="23" t="s">
        <v>529</v>
      </c>
      <c r="B270" s="24" t="s">
        <v>530</v>
      </c>
      <c r="C270" s="27">
        <f>+Tabla114[[#This Row],[COSTO CON IVA]]/Tabla114[[#This Row],[UTILIDAD]]</f>
        <v>19533.149999999998</v>
      </c>
      <c r="D270" s="9">
        <f>+Tabla114[[#This Row],[PRECIO INSTALADOR (IVA INCLUIDO)]]-Tabla114[[#This Row],[DCTO TIENDA]]</f>
        <v>18556.492499999997</v>
      </c>
      <c r="E270" s="9">
        <f>+Tabla114[[#This Row],[PRECIO INSTALADOR (IVA INCLUIDO)]]/0.7</f>
        <v>27904.5</v>
      </c>
      <c r="F270" s="8">
        <v>0.85</v>
      </c>
      <c r="G270" s="16">
        <f>+Tabla114[[#This Row],[COSTO]]*1.19</f>
        <v>16603.177499999998</v>
      </c>
      <c r="H270" s="26">
        <f>+Tabla114[[#This Row],[PRECIO INSTALADOR (IVA INCLUIDO)]]*5%</f>
        <v>976.65749999999991</v>
      </c>
      <c r="I270" s="25"/>
      <c r="J270" s="7">
        <v>13952.25</v>
      </c>
    </row>
    <row r="271" spans="1:10" ht="15" x14ac:dyDescent="0.25">
      <c r="A271" s="23" t="s">
        <v>531</v>
      </c>
      <c r="B271" s="24" t="s">
        <v>532</v>
      </c>
      <c r="C271" s="27">
        <f>+Tabla114[[#This Row],[COSTO CON IVA]]/Tabla114[[#This Row],[UTILIDAD]]</f>
        <v>18564</v>
      </c>
      <c r="D271" s="9">
        <f>+Tabla114[[#This Row],[PRECIO INSTALADOR (IVA INCLUIDO)]]-Tabla114[[#This Row],[DCTO TIENDA]]</f>
        <v>17635.8</v>
      </c>
      <c r="E271" s="9">
        <f>+Tabla114[[#This Row],[PRECIO INSTALADOR (IVA INCLUIDO)]]/0.7</f>
        <v>26520</v>
      </c>
      <c r="F271" s="8">
        <v>0.85</v>
      </c>
      <c r="G271" s="16">
        <f>+Tabla114[[#This Row],[COSTO]]*1.19</f>
        <v>15779.4</v>
      </c>
      <c r="H271" s="26">
        <f>+Tabla114[[#This Row],[PRECIO INSTALADOR (IVA INCLUIDO)]]*5%</f>
        <v>928.2</v>
      </c>
      <c r="I271" s="25"/>
      <c r="J271" s="7">
        <v>13260</v>
      </c>
    </row>
    <row r="272" spans="1:10" ht="15" x14ac:dyDescent="0.25">
      <c r="A272" s="23" t="s">
        <v>533</v>
      </c>
      <c r="B272" s="24" t="s">
        <v>534</v>
      </c>
      <c r="C272" s="27">
        <f>+Tabla114[[#This Row],[COSTO CON IVA]]/Tabla114[[#This Row],[UTILIDAD]]</f>
        <v>19646.899999999998</v>
      </c>
      <c r="D272" s="9">
        <f>+Tabla114[[#This Row],[PRECIO INSTALADOR (IVA INCLUIDO)]]-Tabla114[[#This Row],[DCTO TIENDA]]</f>
        <v>18664.554999999997</v>
      </c>
      <c r="E272" s="9">
        <f>+Tabla114[[#This Row],[PRECIO INSTALADOR (IVA INCLUIDO)]]/0.7</f>
        <v>28067</v>
      </c>
      <c r="F272" s="8">
        <v>0.85</v>
      </c>
      <c r="G272" s="16">
        <f>+Tabla114[[#This Row],[COSTO]]*1.19</f>
        <v>16699.864999999998</v>
      </c>
      <c r="H272" s="26">
        <f>+Tabla114[[#This Row],[PRECIO INSTALADOR (IVA INCLUIDO)]]*5%</f>
        <v>982.34499999999991</v>
      </c>
      <c r="I272" s="25"/>
      <c r="J272" s="7">
        <v>14033.5</v>
      </c>
    </row>
    <row r="273" spans="1:10" ht="15" x14ac:dyDescent="0.25">
      <c r="A273" s="23" t="s">
        <v>535</v>
      </c>
      <c r="B273" s="24" t="s">
        <v>536</v>
      </c>
      <c r="C273" s="27">
        <f>+Tabla114[[#This Row],[COSTO CON IVA]]/Tabla114[[#This Row],[UTILIDAD]]</f>
        <v>14450.800000000001</v>
      </c>
      <c r="D273" s="9">
        <f>+Tabla114[[#This Row],[PRECIO INSTALADOR (IVA INCLUIDO)]]-Tabla114[[#This Row],[DCTO TIENDA]]</f>
        <v>13728.26</v>
      </c>
      <c r="E273" s="9">
        <f>+Tabla114[[#This Row],[PRECIO INSTALADOR (IVA INCLUIDO)]]/0.7</f>
        <v>20644.000000000004</v>
      </c>
      <c r="F273" s="8">
        <v>0.85</v>
      </c>
      <c r="G273" s="16">
        <f>+Tabla114[[#This Row],[COSTO]]*1.19</f>
        <v>12283.18</v>
      </c>
      <c r="H273" s="26">
        <f>+Tabla114[[#This Row],[PRECIO INSTALADOR (IVA INCLUIDO)]]*5%</f>
        <v>722.54000000000008</v>
      </c>
      <c r="I273" s="25"/>
      <c r="J273" s="7">
        <v>10322</v>
      </c>
    </row>
    <row r="274" spans="1:10" ht="15" x14ac:dyDescent="0.25">
      <c r="A274" s="23" t="s">
        <v>537</v>
      </c>
      <c r="B274" s="24" t="s">
        <v>538</v>
      </c>
      <c r="C274" s="27">
        <f>+Tabla114[[#This Row],[COSTO CON IVA]]/Tabla114[[#This Row],[UTILIDAD]]</f>
        <v>11775.4</v>
      </c>
      <c r="D274" s="9">
        <f>+Tabla114[[#This Row],[PRECIO INSTALADOR (IVA INCLUIDO)]]-Tabla114[[#This Row],[DCTO TIENDA]]</f>
        <v>11186.63</v>
      </c>
      <c r="E274" s="9">
        <f>+Tabla114[[#This Row],[PRECIO INSTALADOR (IVA INCLUIDO)]]/0.7</f>
        <v>16822</v>
      </c>
      <c r="F274" s="8">
        <v>0.85</v>
      </c>
      <c r="G274" s="16">
        <f>+Tabla114[[#This Row],[COSTO]]*1.19</f>
        <v>10009.09</v>
      </c>
      <c r="H274" s="26">
        <f>+Tabla114[[#This Row],[PRECIO INSTALADOR (IVA INCLUIDO)]]*5%</f>
        <v>588.77</v>
      </c>
      <c r="I274" s="25"/>
      <c r="J274" s="7">
        <v>8411</v>
      </c>
    </row>
    <row r="275" spans="1:10" ht="15" x14ac:dyDescent="0.25">
      <c r="A275" s="23" t="s">
        <v>539</v>
      </c>
      <c r="B275" s="24" t="s">
        <v>540</v>
      </c>
      <c r="C275" s="27">
        <f>+Tabla114[[#This Row],[COSTO CON IVA]]/Tabla114[[#This Row],[UTILIDAD]]</f>
        <v>20333.949999999997</v>
      </c>
      <c r="D275" s="9">
        <f>+Tabla114[[#This Row],[PRECIO INSTALADOR (IVA INCLUIDO)]]-Tabla114[[#This Row],[DCTO TIENDA]]</f>
        <v>19317.252499999999</v>
      </c>
      <c r="E275" s="9">
        <f>+Tabla114[[#This Row],[PRECIO INSTALADOR (IVA INCLUIDO)]]/0.7</f>
        <v>29048.499999999996</v>
      </c>
      <c r="F275" s="8">
        <v>0.85</v>
      </c>
      <c r="G275" s="16">
        <f>+Tabla114[[#This Row],[COSTO]]*1.19</f>
        <v>17283.857499999998</v>
      </c>
      <c r="H275" s="26">
        <f>+Tabla114[[#This Row],[PRECIO INSTALADOR (IVA INCLUIDO)]]*5%</f>
        <v>1016.6974999999999</v>
      </c>
      <c r="I275" s="25"/>
      <c r="J275" s="7">
        <v>14524.25</v>
      </c>
    </row>
    <row r="276" spans="1:10" ht="15" x14ac:dyDescent="0.25">
      <c r="A276" s="23" t="s">
        <v>541</v>
      </c>
      <c r="B276" s="24" t="s">
        <v>542</v>
      </c>
      <c r="C276" s="27">
        <f>+Tabla114[[#This Row],[COSTO CON IVA]]/Tabla114[[#This Row],[UTILIDAD]]</f>
        <v>13208.65</v>
      </c>
      <c r="D276" s="9">
        <f>+Tabla114[[#This Row],[PRECIO INSTALADOR (IVA INCLUIDO)]]-Tabla114[[#This Row],[DCTO TIENDA]]</f>
        <v>12548.217499999999</v>
      </c>
      <c r="E276" s="9">
        <f>+Tabla114[[#This Row],[PRECIO INSTALADOR (IVA INCLUIDO)]]/0.7</f>
        <v>18869.5</v>
      </c>
      <c r="F276" s="8">
        <v>0.85</v>
      </c>
      <c r="G276" s="16">
        <f>+Tabla114[[#This Row],[COSTO]]*1.19</f>
        <v>11227.352499999999</v>
      </c>
      <c r="H276" s="26">
        <f>+Tabla114[[#This Row],[PRECIO INSTALADOR (IVA INCLUIDO)]]*5%</f>
        <v>660.4325</v>
      </c>
      <c r="I276" s="25"/>
      <c r="J276" s="7">
        <v>9434.75</v>
      </c>
    </row>
    <row r="277" spans="1:10" ht="15" x14ac:dyDescent="0.25">
      <c r="A277" s="23" t="s">
        <v>543</v>
      </c>
      <c r="B277" s="24" t="s">
        <v>544</v>
      </c>
      <c r="C277" s="27">
        <f>+Tabla114[[#This Row],[COSTO CON IVA]]/Tabla114[[#This Row],[UTILIDAD]]</f>
        <v>18240.95</v>
      </c>
      <c r="D277" s="9">
        <f>+Tabla114[[#This Row],[PRECIO INSTALADOR (IVA INCLUIDO)]]-Tabla114[[#This Row],[DCTO TIENDA]]</f>
        <v>17328.9025</v>
      </c>
      <c r="E277" s="9">
        <f>+Tabla114[[#This Row],[PRECIO INSTALADOR (IVA INCLUIDO)]]/0.7</f>
        <v>26058.500000000004</v>
      </c>
      <c r="F277" s="8">
        <v>0.85</v>
      </c>
      <c r="G277" s="16">
        <f>+Tabla114[[#This Row],[COSTO]]*1.19</f>
        <v>15504.807499999999</v>
      </c>
      <c r="H277" s="26">
        <f>+Tabla114[[#This Row],[PRECIO INSTALADOR (IVA INCLUIDO)]]*5%</f>
        <v>912.04750000000013</v>
      </c>
      <c r="I277" s="25"/>
      <c r="J277" s="7">
        <v>13029.25</v>
      </c>
    </row>
    <row r="278" spans="1:10" ht="15" x14ac:dyDescent="0.25">
      <c r="A278" s="23" t="s">
        <v>545</v>
      </c>
      <c r="B278" s="24" t="s">
        <v>546</v>
      </c>
      <c r="C278" s="27">
        <f>+Tabla114[[#This Row],[COSTO CON IVA]]/Tabla114[[#This Row],[UTILIDAD]]</f>
        <v>12603.5</v>
      </c>
      <c r="D278" s="9">
        <f>+Tabla114[[#This Row],[PRECIO INSTALADOR (IVA INCLUIDO)]]-Tabla114[[#This Row],[DCTO TIENDA]]</f>
        <v>11973.325000000001</v>
      </c>
      <c r="E278" s="9">
        <f>+Tabla114[[#This Row],[PRECIO INSTALADOR (IVA INCLUIDO)]]/0.7</f>
        <v>18005</v>
      </c>
      <c r="F278" s="8">
        <v>0.85</v>
      </c>
      <c r="G278" s="16">
        <f>+Tabla114[[#This Row],[COSTO]]*1.19</f>
        <v>10712.975</v>
      </c>
      <c r="H278" s="26">
        <f>+Tabla114[[#This Row],[PRECIO INSTALADOR (IVA INCLUIDO)]]*5%</f>
        <v>630.17500000000007</v>
      </c>
      <c r="I278" s="25"/>
      <c r="J278" s="7">
        <v>9002.5</v>
      </c>
    </row>
    <row r="279" spans="1:10" ht="15" x14ac:dyDescent="0.25">
      <c r="A279" s="23" t="s">
        <v>547</v>
      </c>
      <c r="B279" s="24" t="s">
        <v>548</v>
      </c>
      <c r="C279" s="27">
        <f>+Tabla114[[#This Row],[COSTO CON IVA]]/Tabla114[[#This Row],[UTILIDAD]]</f>
        <v>15824.9</v>
      </c>
      <c r="D279" s="9">
        <f>+Tabla114[[#This Row],[PRECIO INSTALADOR (IVA INCLUIDO)]]-Tabla114[[#This Row],[DCTO TIENDA]]</f>
        <v>15033.654999999999</v>
      </c>
      <c r="E279" s="9">
        <f>+Tabla114[[#This Row],[PRECIO INSTALADOR (IVA INCLUIDO)]]/0.7</f>
        <v>22607</v>
      </c>
      <c r="F279" s="8">
        <v>0.85</v>
      </c>
      <c r="G279" s="16">
        <f>+Tabla114[[#This Row],[COSTO]]*1.19</f>
        <v>13451.164999999999</v>
      </c>
      <c r="H279" s="26">
        <f>+Tabla114[[#This Row],[PRECIO INSTALADOR (IVA INCLUIDO)]]*5%</f>
        <v>791.245</v>
      </c>
      <c r="I279" s="25"/>
      <c r="J279" s="7">
        <v>11303.5</v>
      </c>
    </row>
    <row r="280" spans="1:10" ht="15" x14ac:dyDescent="0.25">
      <c r="A280" s="23" t="s">
        <v>549</v>
      </c>
      <c r="B280" s="24" t="s">
        <v>550</v>
      </c>
      <c r="C280" s="27">
        <f>+Tabla114[[#This Row],[COSTO CON IVA]]/Tabla114[[#This Row],[UTILIDAD]]</f>
        <v>7407.4000000000005</v>
      </c>
      <c r="D280" s="9">
        <f>+Tabla114[[#This Row],[PRECIO INSTALADOR (IVA INCLUIDO)]]-Tabla114[[#This Row],[DCTO TIENDA]]</f>
        <v>7037.0300000000007</v>
      </c>
      <c r="E280" s="9">
        <f>+Tabla114[[#This Row],[PRECIO INSTALADOR (IVA INCLUIDO)]]/0.7</f>
        <v>10582.000000000002</v>
      </c>
      <c r="F280" s="8">
        <v>0.85</v>
      </c>
      <c r="G280" s="16">
        <f>+Tabla114[[#This Row],[COSTO]]*1.19</f>
        <v>6296.29</v>
      </c>
      <c r="H280" s="26">
        <f>+Tabla114[[#This Row],[PRECIO INSTALADOR (IVA INCLUIDO)]]*5%</f>
        <v>370.37000000000006</v>
      </c>
      <c r="I280" s="25"/>
      <c r="J280" s="7">
        <v>5291</v>
      </c>
    </row>
    <row r="281" spans="1:10" ht="15" x14ac:dyDescent="0.25">
      <c r="A281" s="23" t="s">
        <v>551</v>
      </c>
      <c r="B281" s="24" t="s">
        <v>552</v>
      </c>
      <c r="C281" s="27">
        <f>+Tabla114[[#This Row],[COSTO CON IVA]]/Tabla114[[#This Row],[UTILIDAD]]</f>
        <v>47001.5</v>
      </c>
      <c r="D281" s="9">
        <f>+Tabla114[[#This Row],[PRECIO INSTALADOR (IVA INCLUIDO)]]-Tabla114[[#This Row],[DCTO TIENDA]]</f>
        <v>44651.425000000003</v>
      </c>
      <c r="E281" s="9">
        <f>+Tabla114[[#This Row],[PRECIO INSTALADOR (IVA INCLUIDO)]]/0.7</f>
        <v>67145</v>
      </c>
      <c r="F281" s="8">
        <v>0.85</v>
      </c>
      <c r="G281" s="16">
        <f>+Tabla114[[#This Row],[COSTO]]*1.19</f>
        <v>39951.275000000001</v>
      </c>
      <c r="H281" s="26">
        <f>+Tabla114[[#This Row],[PRECIO INSTALADOR (IVA INCLUIDO)]]*5%</f>
        <v>2350.0750000000003</v>
      </c>
      <c r="I281" s="25"/>
      <c r="J281" s="7">
        <v>33572.5</v>
      </c>
    </row>
    <row r="282" spans="1:10" ht="15" x14ac:dyDescent="0.25">
      <c r="A282" s="23" t="s">
        <v>553</v>
      </c>
      <c r="B282" s="24" t="s">
        <v>554</v>
      </c>
      <c r="C282" s="27">
        <f>+Tabla114[[#This Row],[COSTO CON IVA]]/Tabla114[[#This Row],[UTILIDAD]]</f>
        <v>27468.350000000002</v>
      </c>
      <c r="D282" s="9">
        <f>+Tabla114[[#This Row],[PRECIO INSTALADOR (IVA INCLUIDO)]]-Tabla114[[#This Row],[DCTO TIENDA]]</f>
        <v>26094.932500000003</v>
      </c>
      <c r="E282" s="9">
        <f>+Tabla114[[#This Row],[PRECIO INSTALADOR (IVA INCLUIDO)]]/0.7</f>
        <v>39240.500000000007</v>
      </c>
      <c r="F282" s="8">
        <v>0.85</v>
      </c>
      <c r="G282" s="16">
        <f>+Tabla114[[#This Row],[COSTO]]*1.19</f>
        <v>23348.0975</v>
      </c>
      <c r="H282" s="26">
        <f>+Tabla114[[#This Row],[PRECIO INSTALADOR (IVA INCLUIDO)]]*5%</f>
        <v>1373.4175000000002</v>
      </c>
      <c r="I282" s="25"/>
      <c r="J282" s="7">
        <v>19620.25</v>
      </c>
    </row>
    <row r="283" spans="1:10" ht="15" x14ac:dyDescent="0.25">
      <c r="A283" s="23" t="s">
        <v>555</v>
      </c>
      <c r="B283" s="24" t="s">
        <v>556</v>
      </c>
      <c r="C283" s="27">
        <f>+Tabla114[[#This Row],[COSTO CON IVA]]/Tabla114[[#This Row],[UTILIDAD]]</f>
        <v>13577.199999999999</v>
      </c>
      <c r="D283" s="9">
        <f>+Tabla114[[#This Row],[PRECIO INSTALADOR (IVA INCLUIDO)]]-Tabla114[[#This Row],[DCTO TIENDA]]</f>
        <v>12898.339999999998</v>
      </c>
      <c r="E283" s="9">
        <f>+Tabla114[[#This Row],[PRECIO INSTALADOR (IVA INCLUIDO)]]/0.7</f>
        <v>19396</v>
      </c>
      <c r="F283" s="8">
        <v>0.85</v>
      </c>
      <c r="G283" s="16">
        <f>+Tabla114[[#This Row],[COSTO]]*1.19</f>
        <v>11540.619999999999</v>
      </c>
      <c r="H283" s="26">
        <f>+Tabla114[[#This Row],[PRECIO INSTALADOR (IVA INCLUIDO)]]*5%</f>
        <v>678.86</v>
      </c>
      <c r="I283" s="25"/>
      <c r="J283" s="7">
        <v>9698</v>
      </c>
    </row>
    <row r="284" spans="1:10" ht="15" x14ac:dyDescent="0.25">
      <c r="A284" s="23" t="s">
        <v>557</v>
      </c>
      <c r="B284" s="24" t="s">
        <v>558</v>
      </c>
      <c r="C284" s="27">
        <f>+Tabla114[[#This Row],[COSTO CON IVA]]/Tabla114[[#This Row],[UTILIDAD]]</f>
        <v>19019</v>
      </c>
      <c r="D284" s="9">
        <f>+Tabla114[[#This Row],[PRECIO INSTALADOR (IVA INCLUIDO)]]-Tabla114[[#This Row],[DCTO TIENDA]]</f>
        <v>18068.05</v>
      </c>
      <c r="E284" s="9">
        <f>+Tabla114[[#This Row],[PRECIO INSTALADOR (IVA INCLUIDO)]]/0.7</f>
        <v>27170</v>
      </c>
      <c r="F284" s="8">
        <v>0.85</v>
      </c>
      <c r="G284" s="16">
        <f>+Tabla114[[#This Row],[COSTO]]*1.19</f>
        <v>16166.15</v>
      </c>
      <c r="H284" s="26">
        <f>+Tabla114[[#This Row],[PRECIO INSTALADOR (IVA INCLUIDO)]]*5%</f>
        <v>950.95</v>
      </c>
      <c r="I284" s="25"/>
      <c r="J284" s="7">
        <v>13585</v>
      </c>
    </row>
    <row r="285" spans="1:10" ht="15" x14ac:dyDescent="0.25">
      <c r="A285" s="23" t="s">
        <v>559</v>
      </c>
      <c r="B285" s="24" t="s">
        <v>560</v>
      </c>
      <c r="C285" s="27">
        <f>+Tabla114[[#This Row],[COSTO CON IVA]]/Tabla114[[#This Row],[UTILIDAD]]</f>
        <v>23805.599999999999</v>
      </c>
      <c r="D285" s="9">
        <f>+Tabla114[[#This Row],[PRECIO INSTALADOR (IVA INCLUIDO)]]-Tabla114[[#This Row],[DCTO TIENDA]]</f>
        <v>22615.32</v>
      </c>
      <c r="E285" s="9">
        <f>+Tabla114[[#This Row],[PRECIO INSTALADOR (IVA INCLUIDO)]]/0.7</f>
        <v>34008</v>
      </c>
      <c r="F285" s="8">
        <v>0.85</v>
      </c>
      <c r="G285" s="16">
        <f>+Tabla114[[#This Row],[COSTO]]*1.19</f>
        <v>20234.759999999998</v>
      </c>
      <c r="H285" s="26">
        <f>+Tabla114[[#This Row],[PRECIO INSTALADOR (IVA INCLUIDO)]]*5%</f>
        <v>1190.28</v>
      </c>
      <c r="I285" s="25"/>
      <c r="J285" s="7">
        <v>17004</v>
      </c>
    </row>
    <row r="286" spans="1:10" ht="15" x14ac:dyDescent="0.25">
      <c r="A286" s="23" t="s">
        <v>561</v>
      </c>
      <c r="B286" s="24" t="s">
        <v>562</v>
      </c>
      <c r="C286" s="27">
        <f>+Tabla114[[#This Row],[COSTO CON IVA]]/Tabla114[[#This Row],[UTILIDAD]]</f>
        <v>20356.7</v>
      </c>
      <c r="D286" s="9">
        <f>+Tabla114[[#This Row],[PRECIO INSTALADOR (IVA INCLUIDO)]]-Tabla114[[#This Row],[DCTO TIENDA]]</f>
        <v>19338.865000000002</v>
      </c>
      <c r="E286" s="9">
        <f>+Tabla114[[#This Row],[PRECIO INSTALADOR (IVA INCLUIDO)]]/0.7</f>
        <v>29081.000000000004</v>
      </c>
      <c r="F286" s="8">
        <v>0.85</v>
      </c>
      <c r="G286" s="16">
        <f>+Tabla114[[#This Row],[COSTO]]*1.19</f>
        <v>17303.195</v>
      </c>
      <c r="H286" s="26">
        <f>+Tabla114[[#This Row],[PRECIO INSTALADOR (IVA INCLUIDO)]]*5%</f>
        <v>1017.835</v>
      </c>
      <c r="I286" s="25"/>
      <c r="J286" s="7">
        <v>14540.5</v>
      </c>
    </row>
    <row r="287" spans="1:10" ht="15" x14ac:dyDescent="0.25">
      <c r="A287" s="23" t="s">
        <v>563</v>
      </c>
      <c r="B287" s="24" t="s">
        <v>564</v>
      </c>
      <c r="C287" s="27">
        <f>+Tabla114[[#This Row],[COSTO CON IVA]]/Tabla114[[#This Row],[UTILIDAD]]</f>
        <v>56228.899999999994</v>
      </c>
      <c r="D287" s="9">
        <f>+Tabla114[[#This Row],[PRECIO INSTALADOR (IVA INCLUIDO)]]-Tabla114[[#This Row],[DCTO TIENDA]]</f>
        <v>53417.454999999994</v>
      </c>
      <c r="E287" s="9">
        <f>+Tabla114[[#This Row],[PRECIO INSTALADOR (IVA INCLUIDO)]]/0.7</f>
        <v>80327</v>
      </c>
      <c r="F287" s="8">
        <v>0.85</v>
      </c>
      <c r="G287" s="16">
        <f>+Tabla114[[#This Row],[COSTO]]*1.19</f>
        <v>47794.564999999995</v>
      </c>
      <c r="H287" s="26">
        <f>+Tabla114[[#This Row],[PRECIO INSTALADOR (IVA INCLUIDO)]]*5%</f>
        <v>2811.4449999999997</v>
      </c>
      <c r="I287" s="25"/>
      <c r="J287" s="7">
        <v>40163.5</v>
      </c>
    </row>
    <row r="288" spans="1:10" ht="15" x14ac:dyDescent="0.25">
      <c r="A288" s="23" t="s">
        <v>565</v>
      </c>
      <c r="B288" s="24" t="s">
        <v>566</v>
      </c>
      <c r="C288" s="27">
        <f>+Tabla114[[#This Row],[COSTO CON IVA]]/Tabla114[[#This Row],[UTILIDAD]]</f>
        <v>91409.5</v>
      </c>
      <c r="D288" s="9">
        <f>+Tabla114[[#This Row],[PRECIO INSTALADOR (IVA INCLUIDO)]]-Tabla114[[#This Row],[DCTO TIENDA]]</f>
        <v>86839.024999999994</v>
      </c>
      <c r="E288" s="9">
        <f>+Tabla114[[#This Row],[PRECIO INSTALADOR (IVA INCLUIDO)]]/0.7</f>
        <v>130585.00000000001</v>
      </c>
      <c r="F288" s="8">
        <v>0.85</v>
      </c>
      <c r="G288" s="16">
        <f>+Tabla114[[#This Row],[COSTO]]*1.19</f>
        <v>77698.074999999997</v>
      </c>
      <c r="H288" s="26">
        <f>+Tabla114[[#This Row],[PRECIO INSTALADOR (IVA INCLUIDO)]]*5%</f>
        <v>4570.4750000000004</v>
      </c>
      <c r="I288" s="25"/>
      <c r="J288" s="7">
        <v>65292.5</v>
      </c>
    </row>
    <row r="289" spans="1:10" ht="15" x14ac:dyDescent="0.25">
      <c r="A289" s="23" t="s">
        <v>567</v>
      </c>
      <c r="B289" s="24" t="s">
        <v>568</v>
      </c>
      <c r="C289" s="27">
        <f>+Tabla114[[#This Row],[COSTO CON IVA]]/Tabla114[[#This Row],[UTILIDAD]]</f>
        <v>95977.7</v>
      </c>
      <c r="D289" s="9">
        <f>+Tabla114[[#This Row],[PRECIO INSTALADOR (IVA INCLUIDO)]]-Tabla114[[#This Row],[DCTO TIENDA]]</f>
        <v>91178.815000000002</v>
      </c>
      <c r="E289" s="9">
        <f>+Tabla114[[#This Row],[PRECIO INSTALADOR (IVA INCLUIDO)]]/0.7</f>
        <v>137111</v>
      </c>
      <c r="F289" s="8">
        <v>0.85</v>
      </c>
      <c r="G289" s="16">
        <f>+Tabla114[[#This Row],[COSTO]]*1.19</f>
        <v>81581.044999999998</v>
      </c>
      <c r="H289" s="26">
        <f>+Tabla114[[#This Row],[PRECIO INSTALADOR (IVA INCLUIDO)]]*5%</f>
        <v>4798.8850000000002</v>
      </c>
      <c r="I289" s="25"/>
      <c r="J289" s="7">
        <v>68555.5</v>
      </c>
    </row>
    <row r="290" spans="1:10" ht="15" x14ac:dyDescent="0.25">
      <c r="A290" s="23" t="s">
        <v>569</v>
      </c>
      <c r="B290" s="24" t="s">
        <v>570</v>
      </c>
      <c r="C290" s="27">
        <f>+Tabla114[[#This Row],[COSTO CON IVA]]/Tabla114[[#This Row],[UTILIDAD]]</f>
        <v>7998.9</v>
      </c>
      <c r="D290" s="9">
        <f>+Tabla114[[#This Row],[PRECIO INSTALADOR (IVA INCLUIDO)]]-Tabla114[[#This Row],[DCTO TIENDA]]</f>
        <v>7598.9549999999999</v>
      </c>
      <c r="E290" s="9">
        <f>+Tabla114[[#This Row],[PRECIO INSTALADOR (IVA INCLUIDO)]]/0.7</f>
        <v>11427</v>
      </c>
      <c r="F290" s="8">
        <v>0.85</v>
      </c>
      <c r="G290" s="16">
        <f>+Tabla114[[#This Row],[COSTO]]*1.19</f>
        <v>6799.0649999999996</v>
      </c>
      <c r="H290" s="26">
        <f>+Tabla114[[#This Row],[PRECIO INSTALADOR (IVA INCLUIDO)]]*5%</f>
        <v>399.94499999999999</v>
      </c>
      <c r="I290" s="25"/>
      <c r="J290" s="7">
        <v>5713.5</v>
      </c>
    </row>
    <row r="291" spans="1:10" ht="15" x14ac:dyDescent="0.25">
      <c r="A291" s="23" t="s">
        <v>571</v>
      </c>
      <c r="B291" s="24" t="s">
        <v>572</v>
      </c>
      <c r="C291" s="27">
        <f>+Tabla114[[#This Row],[COSTO CON IVA]]/Tabla114[[#This Row],[UTILIDAD]]</f>
        <v>59018.05</v>
      </c>
      <c r="D291" s="9">
        <f>+Tabla114[[#This Row],[PRECIO INSTALADOR (IVA INCLUIDO)]]-Tabla114[[#This Row],[DCTO TIENDA]]</f>
        <v>56067.147500000006</v>
      </c>
      <c r="E291" s="9">
        <f>+Tabla114[[#This Row],[PRECIO INSTALADOR (IVA INCLUIDO)]]/0.7</f>
        <v>84311.500000000015</v>
      </c>
      <c r="F291" s="8">
        <v>0.85</v>
      </c>
      <c r="G291" s="16">
        <f>+Tabla114[[#This Row],[COSTO]]*1.19</f>
        <v>50165.342499999999</v>
      </c>
      <c r="H291" s="26">
        <f>+Tabla114[[#This Row],[PRECIO INSTALADOR (IVA INCLUIDO)]]*5%</f>
        <v>2950.9025000000001</v>
      </c>
      <c r="I291" s="25"/>
      <c r="J291" s="7">
        <v>42155.75</v>
      </c>
    </row>
    <row r="292" spans="1:10" ht="15" x14ac:dyDescent="0.25">
      <c r="A292" s="23" t="s">
        <v>573</v>
      </c>
      <c r="B292" s="24" t="s">
        <v>574</v>
      </c>
      <c r="C292" s="27">
        <f>+Tabla114[[#This Row],[COSTO CON IVA]]/Tabla114[[#This Row],[UTILIDAD]]</f>
        <v>57816.85</v>
      </c>
      <c r="D292" s="9">
        <f>+Tabla114[[#This Row],[PRECIO INSTALADOR (IVA INCLUIDO)]]-Tabla114[[#This Row],[DCTO TIENDA]]</f>
        <v>54926.0075</v>
      </c>
      <c r="E292" s="9">
        <f>+Tabla114[[#This Row],[PRECIO INSTALADOR (IVA INCLUIDO)]]/0.7</f>
        <v>82595.5</v>
      </c>
      <c r="F292" s="8">
        <v>0.85</v>
      </c>
      <c r="G292" s="16">
        <f>+Tabla114[[#This Row],[COSTO]]*1.19</f>
        <v>49144.322499999995</v>
      </c>
      <c r="H292" s="26">
        <f>+Tabla114[[#This Row],[PRECIO INSTALADOR (IVA INCLUIDO)]]*5%</f>
        <v>2890.8425000000002</v>
      </c>
      <c r="I292" s="25"/>
      <c r="J292" s="7">
        <v>41297.75</v>
      </c>
    </row>
    <row r="293" spans="1:10" ht="15" x14ac:dyDescent="0.25">
      <c r="A293" s="23" t="s">
        <v>575</v>
      </c>
      <c r="B293" s="24" t="s">
        <v>576</v>
      </c>
      <c r="C293" s="27">
        <f>+Tabla114[[#This Row],[COSTO CON IVA]]/Tabla114[[#This Row],[UTILIDAD]]</f>
        <v>15333.499999999998</v>
      </c>
      <c r="D293" s="9">
        <f>+Tabla114[[#This Row],[PRECIO INSTALADOR (IVA INCLUIDO)]]-Tabla114[[#This Row],[DCTO TIENDA]]</f>
        <v>14566.824999999999</v>
      </c>
      <c r="E293" s="9">
        <f>+Tabla114[[#This Row],[PRECIO INSTALADOR (IVA INCLUIDO)]]/0.7</f>
        <v>21905</v>
      </c>
      <c r="F293" s="8">
        <v>0.85</v>
      </c>
      <c r="G293" s="16">
        <f>+Tabla114[[#This Row],[COSTO]]*1.19</f>
        <v>13033.474999999999</v>
      </c>
      <c r="H293" s="26">
        <f>+Tabla114[[#This Row],[PRECIO INSTALADOR (IVA INCLUIDO)]]*5%</f>
        <v>766.67499999999995</v>
      </c>
      <c r="I293" s="25"/>
      <c r="J293" s="7">
        <v>10952.5</v>
      </c>
    </row>
    <row r="294" spans="1:10" ht="15" x14ac:dyDescent="0.25">
      <c r="A294" s="23" t="s">
        <v>577</v>
      </c>
      <c r="B294" s="24" t="s">
        <v>578</v>
      </c>
      <c r="C294" s="27">
        <f>+Tabla114[[#This Row],[COSTO CON IVA]]/Tabla114[[#This Row],[UTILIDAD]]</f>
        <v>22481.55</v>
      </c>
      <c r="D294" s="9">
        <f>+Tabla114[[#This Row],[PRECIO INSTALADOR (IVA INCLUIDO)]]-Tabla114[[#This Row],[DCTO TIENDA]]</f>
        <v>21357.4725</v>
      </c>
      <c r="E294" s="9">
        <f>+Tabla114[[#This Row],[PRECIO INSTALADOR (IVA INCLUIDO)]]/0.7</f>
        <v>32116.5</v>
      </c>
      <c r="F294" s="8">
        <v>0.85</v>
      </c>
      <c r="G294" s="16">
        <f>+Tabla114[[#This Row],[COSTO]]*1.19</f>
        <v>19109.317499999997</v>
      </c>
      <c r="H294" s="26">
        <f>+Tabla114[[#This Row],[PRECIO INSTALADOR (IVA INCLUIDO)]]*5%</f>
        <v>1124.0775000000001</v>
      </c>
      <c r="I294" s="25"/>
      <c r="J294" s="7">
        <v>16058.25</v>
      </c>
    </row>
    <row r="295" spans="1:10" ht="15" x14ac:dyDescent="0.25">
      <c r="A295" s="23" t="s">
        <v>579</v>
      </c>
      <c r="B295" s="24" t="s">
        <v>580</v>
      </c>
      <c r="C295" s="27">
        <f>+Tabla114[[#This Row],[COSTO CON IVA]]/Tabla114[[#This Row],[UTILIDAD]]</f>
        <v>31408.649999999998</v>
      </c>
      <c r="D295" s="9">
        <f>+Tabla114[[#This Row],[PRECIO INSTALADOR (IVA INCLUIDO)]]-Tabla114[[#This Row],[DCTO TIENDA]]</f>
        <v>29838.217499999999</v>
      </c>
      <c r="E295" s="9">
        <f>+Tabla114[[#This Row],[PRECIO INSTALADOR (IVA INCLUIDO)]]/0.7</f>
        <v>44869.5</v>
      </c>
      <c r="F295" s="8">
        <v>0.85</v>
      </c>
      <c r="G295" s="16">
        <f>+Tabla114[[#This Row],[COSTO]]*1.19</f>
        <v>26697.352499999997</v>
      </c>
      <c r="H295" s="26">
        <f>+Tabla114[[#This Row],[PRECIO INSTALADOR (IVA INCLUIDO)]]*5%</f>
        <v>1570.4324999999999</v>
      </c>
      <c r="I295" s="25"/>
      <c r="J295" s="7">
        <v>22434.75</v>
      </c>
    </row>
    <row r="296" spans="1:10" ht="15" x14ac:dyDescent="0.25">
      <c r="A296" s="23" t="s">
        <v>581</v>
      </c>
      <c r="B296" s="24" t="s">
        <v>582</v>
      </c>
      <c r="C296" s="27">
        <f>+Tabla114[[#This Row],[COSTO CON IVA]]/Tabla114[[#This Row],[UTILIDAD]]</f>
        <v>17171.7</v>
      </c>
      <c r="D296" s="9">
        <f>+Tabla114[[#This Row],[PRECIO INSTALADOR (IVA INCLUIDO)]]-Tabla114[[#This Row],[DCTO TIENDA]]</f>
        <v>16313.115000000002</v>
      </c>
      <c r="E296" s="9">
        <f>+Tabla114[[#This Row],[PRECIO INSTALADOR (IVA INCLUIDO)]]/0.7</f>
        <v>24531.000000000004</v>
      </c>
      <c r="F296" s="8">
        <v>0.85</v>
      </c>
      <c r="G296" s="16">
        <f>+Tabla114[[#This Row],[COSTO]]*1.19</f>
        <v>14595.945</v>
      </c>
      <c r="H296" s="26">
        <f>+Tabla114[[#This Row],[PRECIO INSTALADOR (IVA INCLUIDO)]]*5%</f>
        <v>858.58500000000004</v>
      </c>
      <c r="I296" s="25"/>
      <c r="J296" s="7">
        <v>12265.5</v>
      </c>
    </row>
    <row r="297" spans="1:10" ht="15" x14ac:dyDescent="0.25">
      <c r="A297" s="23" t="s">
        <v>583</v>
      </c>
      <c r="B297" s="24" t="s">
        <v>584</v>
      </c>
      <c r="C297" s="27">
        <f>+Tabla114[[#This Row],[COSTO CON IVA]]/Tabla114[[#This Row],[UTILIDAD]]</f>
        <v>26499.200000000001</v>
      </c>
      <c r="D297" s="9">
        <f>+Tabla114[[#This Row],[PRECIO INSTALADOR (IVA INCLUIDO)]]-Tabla114[[#This Row],[DCTO TIENDA]]</f>
        <v>25174.240000000002</v>
      </c>
      <c r="E297" s="9">
        <f>+Tabla114[[#This Row],[PRECIO INSTALADOR (IVA INCLUIDO)]]/0.7</f>
        <v>37856</v>
      </c>
      <c r="F297" s="8">
        <v>0.85</v>
      </c>
      <c r="G297" s="16">
        <f>+Tabla114[[#This Row],[COSTO]]*1.19</f>
        <v>22524.32</v>
      </c>
      <c r="H297" s="26">
        <f>+Tabla114[[#This Row],[PRECIO INSTALADOR (IVA INCLUIDO)]]*5%</f>
        <v>1324.96</v>
      </c>
      <c r="I297" s="25"/>
      <c r="J297" s="7">
        <v>18928</v>
      </c>
    </row>
    <row r="298" spans="1:10" ht="15" x14ac:dyDescent="0.25">
      <c r="A298" s="23" t="s">
        <v>585</v>
      </c>
      <c r="B298" s="24" t="s">
        <v>586</v>
      </c>
      <c r="C298" s="27">
        <f>+Tabla114[[#This Row],[COSTO CON IVA]]/Tabla114[[#This Row],[UTILIDAD]]</f>
        <v>37660.35</v>
      </c>
      <c r="D298" s="9">
        <f>+Tabla114[[#This Row],[PRECIO INSTALADOR (IVA INCLUIDO)]]-Tabla114[[#This Row],[DCTO TIENDA]]</f>
        <v>35777.332499999997</v>
      </c>
      <c r="E298" s="9">
        <f>+Tabla114[[#This Row],[PRECIO INSTALADOR (IVA INCLUIDO)]]/0.7</f>
        <v>53800.5</v>
      </c>
      <c r="F298" s="8">
        <v>0.85</v>
      </c>
      <c r="G298" s="16">
        <f>+Tabla114[[#This Row],[COSTO]]*1.19</f>
        <v>32011.297499999997</v>
      </c>
      <c r="H298" s="26">
        <f>+Tabla114[[#This Row],[PRECIO INSTALADOR (IVA INCLUIDO)]]*5%</f>
        <v>1883.0174999999999</v>
      </c>
      <c r="I298" s="25"/>
      <c r="J298" s="7">
        <v>26900.25</v>
      </c>
    </row>
    <row r="299" spans="1:10" ht="15" x14ac:dyDescent="0.25">
      <c r="A299" s="23" t="s">
        <v>587</v>
      </c>
      <c r="B299" s="24" t="s">
        <v>588</v>
      </c>
      <c r="C299" s="27">
        <f>+Tabla114[[#This Row],[COSTO CON IVA]]/Tabla114[[#This Row],[UTILIDAD]]</f>
        <v>17012.449999999997</v>
      </c>
      <c r="D299" s="9">
        <f>+Tabla114[[#This Row],[PRECIO INSTALADOR (IVA INCLUIDO)]]-Tabla114[[#This Row],[DCTO TIENDA]]</f>
        <v>16161.827499999998</v>
      </c>
      <c r="E299" s="9">
        <f>+Tabla114[[#This Row],[PRECIO INSTALADOR (IVA INCLUIDO)]]/0.7</f>
        <v>24303.499999999996</v>
      </c>
      <c r="F299" s="8">
        <v>0.85</v>
      </c>
      <c r="G299" s="16">
        <f>+Tabla114[[#This Row],[COSTO]]*1.19</f>
        <v>14460.582499999999</v>
      </c>
      <c r="H299" s="26">
        <f>+Tabla114[[#This Row],[PRECIO INSTALADOR (IVA INCLUIDO)]]*5%</f>
        <v>850.62249999999995</v>
      </c>
      <c r="I299" s="25"/>
      <c r="J299" s="7">
        <v>12151.75</v>
      </c>
    </row>
    <row r="300" spans="1:10" ht="15" x14ac:dyDescent="0.25">
      <c r="A300" s="23" t="s">
        <v>589</v>
      </c>
      <c r="B300" s="24" t="s">
        <v>590</v>
      </c>
      <c r="C300" s="27">
        <f>+Tabla114[[#This Row],[COSTO CON IVA]]/Tabla114[[#This Row],[UTILIDAD]]</f>
        <v>24374.35</v>
      </c>
      <c r="D300" s="9">
        <f>+Tabla114[[#This Row],[PRECIO INSTALADOR (IVA INCLUIDO)]]-Tabla114[[#This Row],[DCTO TIENDA]]</f>
        <v>23155.6325</v>
      </c>
      <c r="E300" s="9">
        <f>+Tabla114[[#This Row],[PRECIO INSTALADOR (IVA INCLUIDO)]]/0.7</f>
        <v>34820.5</v>
      </c>
      <c r="F300" s="8">
        <v>0.85</v>
      </c>
      <c r="G300" s="16">
        <f>+Tabla114[[#This Row],[COSTO]]*1.19</f>
        <v>20718.197499999998</v>
      </c>
      <c r="H300" s="26">
        <f>+Tabla114[[#This Row],[PRECIO INSTALADOR (IVA INCLUIDO)]]*5%</f>
        <v>1218.7175</v>
      </c>
      <c r="I300" s="25"/>
      <c r="J300" s="7">
        <v>17410.25</v>
      </c>
    </row>
    <row r="301" spans="1:10" ht="15" x14ac:dyDescent="0.25">
      <c r="A301" s="23" t="s">
        <v>591</v>
      </c>
      <c r="B301" s="24" t="s">
        <v>592</v>
      </c>
      <c r="C301" s="27">
        <f>+Tabla114[[#This Row],[COSTO CON IVA]]/Tabla114[[#This Row],[UTILIDAD]]</f>
        <v>34580</v>
      </c>
      <c r="D301" s="9">
        <f>+Tabla114[[#This Row],[PRECIO INSTALADOR (IVA INCLUIDO)]]-Tabla114[[#This Row],[DCTO TIENDA]]</f>
        <v>32851</v>
      </c>
      <c r="E301" s="9">
        <f>+Tabla114[[#This Row],[PRECIO INSTALADOR (IVA INCLUIDO)]]/0.7</f>
        <v>49400</v>
      </c>
      <c r="F301" s="8">
        <v>0.85</v>
      </c>
      <c r="G301" s="16">
        <f>+Tabla114[[#This Row],[COSTO]]*1.19</f>
        <v>29393</v>
      </c>
      <c r="H301" s="26">
        <f>+Tabla114[[#This Row],[PRECIO INSTALADOR (IVA INCLUIDO)]]*5%</f>
        <v>1729</v>
      </c>
      <c r="I301" s="25"/>
      <c r="J301" s="7">
        <v>24700</v>
      </c>
    </row>
    <row r="302" spans="1:10" ht="15" x14ac:dyDescent="0.25">
      <c r="A302" s="23" t="s">
        <v>593</v>
      </c>
      <c r="B302" s="24" t="s">
        <v>594</v>
      </c>
      <c r="C302" s="27">
        <f>+Tabla114[[#This Row],[COSTO CON IVA]]/Tabla114[[#This Row],[UTILIDAD]]</f>
        <v>31390.45</v>
      </c>
      <c r="D302" s="9">
        <f>+Tabla114[[#This Row],[PRECIO INSTALADOR (IVA INCLUIDO)]]-Tabla114[[#This Row],[DCTO TIENDA]]</f>
        <v>29820.927500000002</v>
      </c>
      <c r="E302" s="9">
        <f>+Tabla114[[#This Row],[PRECIO INSTALADOR (IVA INCLUIDO)]]/0.7</f>
        <v>44843.500000000007</v>
      </c>
      <c r="F302" s="8">
        <v>0.85</v>
      </c>
      <c r="G302" s="16">
        <f>+Tabla114[[#This Row],[COSTO]]*1.19</f>
        <v>26681.8825</v>
      </c>
      <c r="H302" s="26">
        <f>+Tabla114[[#This Row],[PRECIO INSTALADOR (IVA INCLUIDO)]]*5%</f>
        <v>1569.5225</v>
      </c>
      <c r="I302" s="25"/>
      <c r="J302" s="7">
        <v>22421.75</v>
      </c>
    </row>
    <row r="303" spans="1:10" ht="15" x14ac:dyDescent="0.25">
      <c r="A303" s="23" t="s">
        <v>595</v>
      </c>
      <c r="B303" s="24" t="s">
        <v>596</v>
      </c>
      <c r="C303" s="27">
        <f>+Tabla114[[#This Row],[COSTO CON IVA]]/Tabla114[[#This Row],[UTILIDAD]]</f>
        <v>49799.75</v>
      </c>
      <c r="D303" s="9">
        <f>+Tabla114[[#This Row],[PRECIO INSTALADOR (IVA INCLUIDO)]]-Tabla114[[#This Row],[DCTO TIENDA]]</f>
        <v>47309.762499999997</v>
      </c>
      <c r="E303" s="9">
        <f>+Tabla114[[#This Row],[PRECIO INSTALADOR (IVA INCLUIDO)]]/0.7</f>
        <v>71142.5</v>
      </c>
      <c r="F303" s="8">
        <v>0.85</v>
      </c>
      <c r="G303" s="16">
        <f>+Tabla114[[#This Row],[COSTO]]*1.19</f>
        <v>42329.787499999999</v>
      </c>
      <c r="H303" s="26">
        <f>+Tabla114[[#This Row],[PRECIO INSTALADOR (IVA INCLUIDO)]]*5%</f>
        <v>2489.9875000000002</v>
      </c>
      <c r="I303" s="25"/>
      <c r="J303" s="7">
        <v>35571.25</v>
      </c>
    </row>
    <row r="304" spans="1:10" ht="15" x14ac:dyDescent="0.25">
      <c r="A304" s="23" t="s">
        <v>597</v>
      </c>
      <c r="B304" s="24" t="s">
        <v>598</v>
      </c>
      <c r="C304" s="27">
        <f>+Tabla114[[#This Row],[COSTO CON IVA]]/Tabla114[[#This Row],[UTILIDAD]]</f>
        <v>24374.35</v>
      </c>
      <c r="D304" s="9">
        <f>+Tabla114[[#This Row],[PRECIO INSTALADOR (IVA INCLUIDO)]]-Tabla114[[#This Row],[DCTO TIENDA]]</f>
        <v>23155.6325</v>
      </c>
      <c r="E304" s="9">
        <f>+Tabla114[[#This Row],[PRECIO INSTALADOR (IVA INCLUIDO)]]/0.7</f>
        <v>34820.5</v>
      </c>
      <c r="F304" s="8">
        <v>0.85</v>
      </c>
      <c r="G304" s="16">
        <f>+Tabla114[[#This Row],[COSTO]]*1.19</f>
        <v>20718.197499999998</v>
      </c>
      <c r="H304" s="26">
        <f>+Tabla114[[#This Row],[PRECIO INSTALADOR (IVA INCLUIDO)]]*5%</f>
        <v>1218.7175</v>
      </c>
      <c r="I304" s="25"/>
      <c r="J304" s="7">
        <v>17410.25</v>
      </c>
    </row>
    <row r="305" spans="1:10" ht="15" x14ac:dyDescent="0.25">
      <c r="A305" s="23" t="s">
        <v>599</v>
      </c>
      <c r="B305" s="24" t="s">
        <v>600</v>
      </c>
      <c r="C305" s="27">
        <f>+Tabla114[[#This Row],[COSTO CON IVA]]/Tabla114[[#This Row],[UTILIDAD]]</f>
        <v>25393.55</v>
      </c>
      <c r="D305" s="9">
        <f>+Tabla114[[#This Row],[PRECIO INSTALADOR (IVA INCLUIDO)]]-Tabla114[[#This Row],[DCTO TIENDA]]</f>
        <v>24123.872499999998</v>
      </c>
      <c r="E305" s="9">
        <f>+Tabla114[[#This Row],[PRECIO INSTALADOR (IVA INCLUIDO)]]/0.7</f>
        <v>36276.5</v>
      </c>
      <c r="F305" s="8">
        <v>0.85</v>
      </c>
      <c r="G305" s="16">
        <f>+Tabla114[[#This Row],[COSTO]]*1.19</f>
        <v>21584.517499999998</v>
      </c>
      <c r="H305" s="26">
        <f>+Tabla114[[#This Row],[PRECIO INSTALADOR (IVA INCLUIDO)]]*5%</f>
        <v>1269.6775</v>
      </c>
      <c r="I305" s="25"/>
      <c r="J305" s="7">
        <v>18138.25</v>
      </c>
    </row>
    <row r="306" spans="1:10" ht="15" x14ac:dyDescent="0.25">
      <c r="A306" s="23" t="s">
        <v>601</v>
      </c>
      <c r="B306" s="24" t="s">
        <v>602</v>
      </c>
      <c r="C306" s="27">
        <f>+Tabla114[[#This Row],[COSTO CON IVA]]/Tabla114[[#This Row],[UTILIDAD]]</f>
        <v>24137.749999999996</v>
      </c>
      <c r="D306" s="9">
        <f>+Tabla114[[#This Row],[PRECIO INSTALADOR (IVA INCLUIDO)]]-Tabla114[[#This Row],[DCTO TIENDA]]</f>
        <v>22930.862499999996</v>
      </c>
      <c r="E306" s="9">
        <f>+Tabla114[[#This Row],[PRECIO INSTALADOR (IVA INCLUIDO)]]/0.7</f>
        <v>34482.5</v>
      </c>
      <c r="F306" s="8">
        <v>0.85</v>
      </c>
      <c r="G306" s="16">
        <f>+Tabla114[[#This Row],[COSTO]]*1.19</f>
        <v>20517.087499999998</v>
      </c>
      <c r="H306" s="26">
        <f>+Tabla114[[#This Row],[PRECIO INSTALADOR (IVA INCLUIDO)]]*5%</f>
        <v>1206.8874999999998</v>
      </c>
      <c r="I306" s="25"/>
      <c r="J306" s="7">
        <v>17241.25</v>
      </c>
    </row>
    <row r="307" spans="1:10" ht="15" x14ac:dyDescent="0.25">
      <c r="A307" s="23" t="s">
        <v>603</v>
      </c>
      <c r="B307" s="24" t="s">
        <v>534</v>
      </c>
      <c r="C307" s="27">
        <f>+Tabla114[[#This Row],[COSTO CON IVA]]/Tabla114[[#This Row],[UTILIDAD]]</f>
        <v>25525.5</v>
      </c>
      <c r="D307" s="9">
        <f>+Tabla114[[#This Row],[PRECIO INSTALADOR (IVA INCLUIDO)]]-Tabla114[[#This Row],[DCTO TIENDA]]</f>
        <v>24249.224999999999</v>
      </c>
      <c r="E307" s="9">
        <f>+Tabla114[[#This Row],[PRECIO INSTALADOR (IVA INCLUIDO)]]/0.7</f>
        <v>36465</v>
      </c>
      <c r="F307" s="8">
        <v>0.85</v>
      </c>
      <c r="G307" s="16">
        <f>+Tabla114[[#This Row],[COSTO]]*1.19</f>
        <v>21696.674999999999</v>
      </c>
      <c r="H307" s="26">
        <f>+Tabla114[[#This Row],[PRECIO INSTALADOR (IVA INCLUIDO)]]*5%</f>
        <v>1276.2750000000001</v>
      </c>
      <c r="I307" s="25"/>
      <c r="J307" s="7">
        <v>18232.5</v>
      </c>
    </row>
    <row r="308" spans="1:10" ht="15" x14ac:dyDescent="0.25">
      <c r="A308" s="23" t="s">
        <v>604</v>
      </c>
      <c r="B308" s="24" t="s">
        <v>605</v>
      </c>
      <c r="C308" s="27">
        <f>+Tabla114[[#This Row],[COSTO CON IVA]]/Tabla114[[#This Row],[UTILIDAD]]</f>
        <v>18782.399999999998</v>
      </c>
      <c r="D308" s="9">
        <f>+Tabla114[[#This Row],[PRECIO INSTALADOR (IVA INCLUIDO)]]-Tabla114[[#This Row],[DCTO TIENDA]]</f>
        <v>17843.28</v>
      </c>
      <c r="E308" s="9">
        <f>+Tabla114[[#This Row],[PRECIO INSTALADOR (IVA INCLUIDO)]]/0.7</f>
        <v>26832</v>
      </c>
      <c r="F308" s="8">
        <v>0.85</v>
      </c>
      <c r="G308" s="16">
        <f>+Tabla114[[#This Row],[COSTO]]*1.19</f>
        <v>15965.039999999999</v>
      </c>
      <c r="H308" s="26">
        <f>+Tabla114[[#This Row],[PRECIO INSTALADOR (IVA INCLUIDO)]]*5%</f>
        <v>939.11999999999989</v>
      </c>
      <c r="I308" s="25"/>
      <c r="J308" s="7">
        <v>13416</v>
      </c>
    </row>
    <row r="309" spans="1:10" ht="15" x14ac:dyDescent="0.25">
      <c r="A309" s="23" t="s">
        <v>606</v>
      </c>
      <c r="B309" s="24" t="s">
        <v>607</v>
      </c>
      <c r="C309" s="27">
        <f>+Tabla114[[#This Row],[COSTO CON IVA]]/Tabla114[[#This Row],[UTILIDAD]]</f>
        <v>15301.650000000001</v>
      </c>
      <c r="D309" s="9">
        <f>+Tabla114[[#This Row],[PRECIO INSTALADOR (IVA INCLUIDO)]]-Tabla114[[#This Row],[DCTO TIENDA]]</f>
        <v>14536.567500000001</v>
      </c>
      <c r="E309" s="9">
        <f>+Tabla114[[#This Row],[PRECIO INSTALADOR (IVA INCLUIDO)]]/0.7</f>
        <v>21859.500000000004</v>
      </c>
      <c r="F309" s="8">
        <v>0.85</v>
      </c>
      <c r="G309" s="16">
        <f>+Tabla114[[#This Row],[COSTO]]*1.19</f>
        <v>13006.4025</v>
      </c>
      <c r="H309" s="26">
        <f>+Tabla114[[#This Row],[PRECIO INSTALADOR (IVA INCLUIDO)]]*5%</f>
        <v>765.0825000000001</v>
      </c>
      <c r="I309" s="25"/>
      <c r="J309" s="7">
        <v>10929.75</v>
      </c>
    </row>
    <row r="310" spans="1:10" ht="15" x14ac:dyDescent="0.25">
      <c r="A310" s="23" t="s">
        <v>608</v>
      </c>
      <c r="B310" s="24" t="s">
        <v>609</v>
      </c>
      <c r="C310" s="27">
        <f>+Tabla114[[#This Row],[COSTO CON IVA]]/Tabla114[[#This Row],[UTILIDAD]]</f>
        <v>26440.05</v>
      </c>
      <c r="D310" s="9">
        <f>+Tabla114[[#This Row],[PRECIO INSTALADOR (IVA INCLUIDO)]]-Tabla114[[#This Row],[DCTO TIENDA]]</f>
        <v>25118.047500000001</v>
      </c>
      <c r="E310" s="9">
        <f>+Tabla114[[#This Row],[PRECIO INSTALADOR (IVA INCLUIDO)]]/0.7</f>
        <v>37771.5</v>
      </c>
      <c r="F310" s="8">
        <v>0.85</v>
      </c>
      <c r="G310" s="16">
        <f>+Tabla114[[#This Row],[COSTO]]*1.19</f>
        <v>22474.0425</v>
      </c>
      <c r="H310" s="26">
        <f>+Tabla114[[#This Row],[PRECIO INSTALADOR (IVA INCLUIDO)]]*5%</f>
        <v>1322.0025000000001</v>
      </c>
      <c r="I310" s="25"/>
      <c r="J310" s="7">
        <v>18885.75</v>
      </c>
    </row>
    <row r="311" spans="1:10" ht="15" x14ac:dyDescent="0.25">
      <c r="A311" s="23" t="s">
        <v>610</v>
      </c>
      <c r="B311" s="24" t="s">
        <v>611</v>
      </c>
      <c r="C311" s="27">
        <f>+Tabla114[[#This Row],[COSTO CON IVA]]/Tabla114[[#This Row],[UTILIDAD]]</f>
        <v>17171.7</v>
      </c>
      <c r="D311" s="9">
        <f>+Tabla114[[#This Row],[PRECIO INSTALADOR (IVA INCLUIDO)]]-Tabla114[[#This Row],[DCTO TIENDA]]</f>
        <v>16313.115000000002</v>
      </c>
      <c r="E311" s="9">
        <f>+Tabla114[[#This Row],[PRECIO INSTALADOR (IVA INCLUIDO)]]/0.7</f>
        <v>24531.000000000004</v>
      </c>
      <c r="F311" s="8">
        <v>0.85</v>
      </c>
      <c r="G311" s="16">
        <f>+Tabla114[[#This Row],[COSTO]]*1.19</f>
        <v>14595.945</v>
      </c>
      <c r="H311" s="26">
        <f>+Tabla114[[#This Row],[PRECIO INSTALADOR (IVA INCLUIDO)]]*5%</f>
        <v>858.58500000000004</v>
      </c>
      <c r="I311" s="25"/>
      <c r="J311" s="7">
        <v>12265.5</v>
      </c>
    </row>
    <row r="312" spans="1:10" ht="15" x14ac:dyDescent="0.25">
      <c r="A312" s="23" t="s">
        <v>612</v>
      </c>
      <c r="B312" s="24" t="s">
        <v>613</v>
      </c>
      <c r="C312" s="27">
        <f>+Tabla114[[#This Row],[COSTO CON IVA]]/Tabla114[[#This Row],[UTILIDAD]]</f>
        <v>23710.05</v>
      </c>
      <c r="D312" s="9">
        <f>+Tabla114[[#This Row],[PRECIO INSTALADOR (IVA INCLUIDO)]]-Tabla114[[#This Row],[DCTO TIENDA]]</f>
        <v>22524.547500000001</v>
      </c>
      <c r="E312" s="9">
        <f>+Tabla114[[#This Row],[PRECIO INSTALADOR (IVA INCLUIDO)]]/0.7</f>
        <v>33871.5</v>
      </c>
      <c r="F312" s="8">
        <v>0.85</v>
      </c>
      <c r="G312" s="16">
        <f>+Tabla114[[#This Row],[COSTO]]*1.19</f>
        <v>20153.5425</v>
      </c>
      <c r="H312" s="26">
        <f>+Tabla114[[#This Row],[PRECIO INSTALADOR (IVA INCLUIDO)]]*5%</f>
        <v>1185.5025000000001</v>
      </c>
      <c r="I312" s="25"/>
      <c r="J312" s="7">
        <v>16935.75</v>
      </c>
    </row>
    <row r="313" spans="1:10" ht="15" x14ac:dyDescent="0.25">
      <c r="A313" s="23" t="s">
        <v>614</v>
      </c>
      <c r="B313" s="24" t="s">
        <v>615</v>
      </c>
      <c r="C313" s="27">
        <f>+Tabla114[[#This Row],[COSTO CON IVA]]/Tabla114[[#This Row],[UTILIDAD]]</f>
        <v>16380</v>
      </c>
      <c r="D313" s="9">
        <f>+Tabla114[[#This Row],[PRECIO INSTALADOR (IVA INCLUIDO)]]-Tabla114[[#This Row],[DCTO TIENDA]]</f>
        <v>15561</v>
      </c>
      <c r="E313" s="9">
        <f>+Tabla114[[#This Row],[PRECIO INSTALADOR (IVA INCLUIDO)]]/0.7</f>
        <v>23400</v>
      </c>
      <c r="F313" s="8">
        <v>0.85</v>
      </c>
      <c r="G313" s="16">
        <f>+Tabla114[[#This Row],[COSTO]]*1.19</f>
        <v>13923</v>
      </c>
      <c r="H313" s="26">
        <f>+Tabla114[[#This Row],[PRECIO INSTALADOR (IVA INCLUIDO)]]*5%</f>
        <v>819</v>
      </c>
      <c r="I313" s="25"/>
      <c r="J313" s="7">
        <v>11700</v>
      </c>
    </row>
    <row r="314" spans="1:10" ht="15" x14ac:dyDescent="0.25">
      <c r="A314" s="23" t="s">
        <v>616</v>
      </c>
      <c r="B314" s="24" t="s">
        <v>617</v>
      </c>
      <c r="C314" s="27">
        <f>+Tabla114[[#This Row],[COSTO CON IVA]]/Tabla114[[#This Row],[UTILIDAD]]</f>
        <v>20629.7</v>
      </c>
      <c r="D314" s="9">
        <f>+Tabla114[[#This Row],[PRECIO INSTALADOR (IVA INCLUIDO)]]-Tabla114[[#This Row],[DCTO TIENDA]]</f>
        <v>19598.215</v>
      </c>
      <c r="E314" s="9">
        <f>+Tabla114[[#This Row],[PRECIO INSTALADOR (IVA INCLUIDO)]]/0.7</f>
        <v>29471.000000000004</v>
      </c>
      <c r="F314" s="8">
        <v>0.85</v>
      </c>
      <c r="G314" s="16">
        <f>+Tabla114[[#This Row],[COSTO]]*1.19</f>
        <v>17535.244999999999</v>
      </c>
      <c r="H314" s="26">
        <f>+Tabla114[[#This Row],[PRECIO INSTALADOR (IVA INCLUIDO)]]*5%</f>
        <v>1031.4850000000001</v>
      </c>
      <c r="I314" s="25"/>
      <c r="J314" s="7">
        <v>14735.5</v>
      </c>
    </row>
    <row r="315" spans="1:10" ht="15" x14ac:dyDescent="0.25">
      <c r="A315" s="23" t="s">
        <v>618</v>
      </c>
      <c r="B315" s="24" t="s">
        <v>619</v>
      </c>
      <c r="C315" s="27">
        <f>+Tabla114[[#This Row],[COSTO CON IVA]]/Tabla114[[#This Row],[UTILIDAD]]</f>
        <v>9595.9500000000007</v>
      </c>
      <c r="D315" s="9">
        <f>+Tabla114[[#This Row],[PRECIO INSTALADOR (IVA INCLUIDO)]]-Tabla114[[#This Row],[DCTO TIENDA]]</f>
        <v>9116.1525000000001</v>
      </c>
      <c r="E315" s="9">
        <f>+Tabla114[[#This Row],[PRECIO INSTALADOR (IVA INCLUIDO)]]/0.7</f>
        <v>13708.500000000002</v>
      </c>
      <c r="F315" s="8">
        <v>0.85</v>
      </c>
      <c r="G315" s="16">
        <f>+Tabla114[[#This Row],[COSTO]]*1.19</f>
        <v>8156.5574999999999</v>
      </c>
      <c r="H315" s="26">
        <f>+Tabla114[[#This Row],[PRECIO INSTALADOR (IVA INCLUIDO)]]*5%</f>
        <v>479.79750000000007</v>
      </c>
      <c r="I315" s="25"/>
      <c r="J315" s="7">
        <v>6854.25</v>
      </c>
    </row>
    <row r="316" spans="1:10" ht="15" x14ac:dyDescent="0.25">
      <c r="A316" s="23" t="s">
        <v>620</v>
      </c>
      <c r="B316" s="24" t="s">
        <v>621</v>
      </c>
      <c r="C316" s="27">
        <f>+Tabla114[[#This Row],[COSTO CON IVA]]/Tabla114[[#This Row],[UTILIDAD]]</f>
        <v>61101.950000000004</v>
      </c>
      <c r="D316" s="9">
        <f>+Tabla114[[#This Row],[PRECIO INSTALADOR (IVA INCLUIDO)]]-Tabla114[[#This Row],[DCTO TIENDA]]</f>
        <v>58046.852500000001</v>
      </c>
      <c r="E316" s="9">
        <f>+Tabla114[[#This Row],[PRECIO INSTALADOR (IVA INCLUIDO)]]/0.7</f>
        <v>87288.500000000015</v>
      </c>
      <c r="F316" s="8">
        <v>0.85</v>
      </c>
      <c r="G316" s="16">
        <f>+Tabla114[[#This Row],[COSTO]]*1.19</f>
        <v>51936.657500000001</v>
      </c>
      <c r="H316" s="26">
        <f>+Tabla114[[#This Row],[PRECIO INSTALADOR (IVA INCLUIDO)]]*5%</f>
        <v>3055.0975000000003</v>
      </c>
      <c r="I316" s="25"/>
      <c r="J316" s="7">
        <v>43644.25</v>
      </c>
    </row>
    <row r="317" spans="1:10" ht="15" x14ac:dyDescent="0.25">
      <c r="A317" s="23" t="s">
        <v>622</v>
      </c>
      <c r="B317" s="24" t="s">
        <v>623</v>
      </c>
      <c r="C317" s="27">
        <f>+Tabla114[[#This Row],[COSTO CON IVA]]/Tabla114[[#This Row],[UTILIDAD]]</f>
        <v>35717.5</v>
      </c>
      <c r="D317" s="9">
        <f>+Tabla114[[#This Row],[PRECIO INSTALADOR (IVA INCLUIDO)]]-Tabla114[[#This Row],[DCTO TIENDA]]</f>
        <v>33931.625</v>
      </c>
      <c r="E317" s="9">
        <f>+Tabla114[[#This Row],[PRECIO INSTALADOR (IVA INCLUIDO)]]/0.7</f>
        <v>51025</v>
      </c>
      <c r="F317" s="8">
        <v>0.85</v>
      </c>
      <c r="G317" s="16">
        <f>+Tabla114[[#This Row],[COSTO]]*1.19</f>
        <v>30359.875</v>
      </c>
      <c r="H317" s="26">
        <f>+Tabla114[[#This Row],[PRECIO INSTALADOR (IVA INCLUIDO)]]*5%</f>
        <v>1785.875</v>
      </c>
      <c r="I317" s="25"/>
      <c r="J317" s="7">
        <v>25512.5</v>
      </c>
    </row>
    <row r="318" spans="1:10" ht="15" x14ac:dyDescent="0.25">
      <c r="A318" s="23" t="s">
        <v>624</v>
      </c>
      <c r="B318" s="24" t="s">
        <v>625</v>
      </c>
      <c r="C318" s="27">
        <f>+Tabla114[[#This Row],[COSTO CON IVA]]/Tabla114[[#This Row],[UTILIDAD]]</f>
        <v>17681.3</v>
      </c>
      <c r="D318" s="9">
        <f>+Tabla114[[#This Row],[PRECIO INSTALADOR (IVA INCLUIDO)]]-Tabla114[[#This Row],[DCTO TIENDA]]</f>
        <v>16797.235000000001</v>
      </c>
      <c r="E318" s="9">
        <f>+Tabla114[[#This Row],[PRECIO INSTALADOR (IVA INCLUIDO)]]/0.7</f>
        <v>25259</v>
      </c>
      <c r="F318" s="8">
        <v>0.85</v>
      </c>
      <c r="G318" s="16">
        <f>+Tabla114[[#This Row],[COSTO]]*1.19</f>
        <v>15029.105</v>
      </c>
      <c r="H318" s="26">
        <f>+Tabla114[[#This Row],[PRECIO INSTALADOR (IVA INCLUIDO)]]*5%</f>
        <v>884.06500000000005</v>
      </c>
      <c r="I318" s="25"/>
      <c r="J318" s="7">
        <v>12629.5</v>
      </c>
    </row>
    <row r="319" spans="1:10" ht="15" x14ac:dyDescent="0.25">
      <c r="A319" s="23" t="s">
        <v>626</v>
      </c>
      <c r="B319" s="24" t="s">
        <v>627</v>
      </c>
      <c r="C319" s="27">
        <f>+Tabla114[[#This Row],[COSTO CON IVA]]/Tabla114[[#This Row],[UTILIDAD]]</f>
        <v>24833.899999999998</v>
      </c>
      <c r="D319" s="9">
        <f>+Tabla114[[#This Row],[PRECIO INSTALADOR (IVA INCLUIDO)]]-Tabla114[[#This Row],[DCTO TIENDA]]</f>
        <v>23592.204999999998</v>
      </c>
      <c r="E319" s="9">
        <f>+Tabla114[[#This Row],[PRECIO INSTALADOR (IVA INCLUIDO)]]/0.7</f>
        <v>35477</v>
      </c>
      <c r="F319" s="8">
        <v>0.85</v>
      </c>
      <c r="G319" s="16">
        <f>+Tabla114[[#This Row],[COSTO]]*1.19</f>
        <v>21108.814999999999</v>
      </c>
      <c r="H319" s="26">
        <f>+Tabla114[[#This Row],[PRECIO INSTALADOR (IVA INCLUIDO)]]*5%</f>
        <v>1241.6949999999999</v>
      </c>
      <c r="I319" s="25"/>
      <c r="J319" s="7">
        <v>17738.5</v>
      </c>
    </row>
    <row r="320" spans="1:10" ht="15" x14ac:dyDescent="0.25">
      <c r="A320" s="23" t="s">
        <v>628</v>
      </c>
      <c r="B320" s="24" t="s">
        <v>629</v>
      </c>
      <c r="C320" s="27">
        <f>+Tabla114[[#This Row],[COSTO CON IVA]]/Tabla114[[#This Row],[UTILIDAD]]</f>
        <v>28501.200000000001</v>
      </c>
      <c r="D320" s="9">
        <f>+Tabla114[[#This Row],[PRECIO INSTALADOR (IVA INCLUIDO)]]-Tabla114[[#This Row],[DCTO TIENDA]]</f>
        <v>27076.14</v>
      </c>
      <c r="E320" s="9">
        <f>+Tabla114[[#This Row],[PRECIO INSTALADOR (IVA INCLUIDO)]]/0.7</f>
        <v>40716</v>
      </c>
      <c r="F320" s="8">
        <v>0.85</v>
      </c>
      <c r="G320" s="16">
        <f>+Tabla114[[#This Row],[COSTO]]*1.19</f>
        <v>24226.02</v>
      </c>
      <c r="H320" s="26">
        <f>+Tabla114[[#This Row],[PRECIO INSTALADOR (IVA INCLUIDO)]]*5%</f>
        <v>1425.0600000000002</v>
      </c>
      <c r="I320" s="25"/>
      <c r="J320" s="7">
        <v>20358</v>
      </c>
    </row>
    <row r="321" spans="1:10" ht="15" x14ac:dyDescent="0.25">
      <c r="A321" s="23" t="s">
        <v>630</v>
      </c>
      <c r="B321" s="24" t="s">
        <v>631</v>
      </c>
      <c r="C321" s="27">
        <f>+Tabla114[[#This Row],[COSTO CON IVA]]/Tabla114[[#This Row],[UTILIDAD]]</f>
        <v>28601.3</v>
      </c>
      <c r="D321" s="9">
        <f>+Tabla114[[#This Row],[PRECIO INSTALADOR (IVA INCLUIDO)]]-Tabla114[[#This Row],[DCTO TIENDA]]</f>
        <v>27171.235000000001</v>
      </c>
      <c r="E321" s="9">
        <f>+Tabla114[[#This Row],[PRECIO INSTALADOR (IVA INCLUIDO)]]/0.7</f>
        <v>40859</v>
      </c>
      <c r="F321" s="8">
        <v>0.85</v>
      </c>
      <c r="G321" s="16">
        <f>+Tabla114[[#This Row],[COSTO]]*1.19</f>
        <v>24311.105</v>
      </c>
      <c r="H321" s="26">
        <f>+Tabla114[[#This Row],[PRECIO INSTALADOR (IVA INCLUIDO)]]*5%</f>
        <v>1430.0650000000001</v>
      </c>
      <c r="I321" s="25"/>
      <c r="J321" s="7">
        <v>20429.5</v>
      </c>
    </row>
    <row r="322" spans="1:10" ht="15" x14ac:dyDescent="0.25">
      <c r="A322" s="23" t="s">
        <v>632</v>
      </c>
      <c r="B322" s="24" t="s">
        <v>633</v>
      </c>
      <c r="C322" s="27">
        <f>+Tabla114[[#This Row],[COSTO CON IVA]]/Tabla114[[#This Row],[UTILIDAD]]</f>
        <v>68022.5</v>
      </c>
      <c r="D322" s="9">
        <f>+Tabla114[[#This Row],[PRECIO INSTALADOR (IVA INCLUIDO)]]-Tabla114[[#This Row],[DCTO TIENDA]]</f>
        <v>64621.375</v>
      </c>
      <c r="E322" s="9">
        <f>+Tabla114[[#This Row],[PRECIO INSTALADOR (IVA INCLUIDO)]]/0.7</f>
        <v>97175</v>
      </c>
      <c r="F322" s="8">
        <v>0.85</v>
      </c>
      <c r="G322" s="16">
        <f>+Tabla114[[#This Row],[COSTO]]*1.19</f>
        <v>57819.125</v>
      </c>
      <c r="H322" s="26">
        <f>+Tabla114[[#This Row],[PRECIO INSTALADOR (IVA INCLUIDO)]]*5%</f>
        <v>3401.125</v>
      </c>
      <c r="I322" s="25"/>
      <c r="J322" s="7">
        <v>48587.5</v>
      </c>
    </row>
    <row r="323" spans="1:10" ht="15" x14ac:dyDescent="0.25">
      <c r="A323" s="23" t="s">
        <v>634</v>
      </c>
      <c r="B323" s="24" t="s">
        <v>635</v>
      </c>
      <c r="C323" s="27">
        <f>+Tabla114[[#This Row],[COSTO CON IVA]]/Tabla114[[#This Row],[UTILIDAD]]</f>
        <v>108713.15</v>
      </c>
      <c r="D323" s="9">
        <f>+Tabla114[[#This Row],[PRECIO INSTALADOR (IVA INCLUIDO)]]-Tabla114[[#This Row],[DCTO TIENDA]]</f>
        <v>103277.49249999999</v>
      </c>
      <c r="E323" s="9">
        <f>+Tabla114[[#This Row],[PRECIO INSTALADOR (IVA INCLUIDO)]]/0.7</f>
        <v>155304.5</v>
      </c>
      <c r="F323" s="8">
        <v>0.85</v>
      </c>
      <c r="G323" s="16">
        <f>+Tabla114[[#This Row],[COSTO]]*1.19</f>
        <v>92406.177499999991</v>
      </c>
      <c r="H323" s="26">
        <f>+Tabla114[[#This Row],[PRECIO INSTALADOR (IVA INCLUIDO)]]*5%</f>
        <v>5435.6575000000003</v>
      </c>
      <c r="I323" s="25"/>
      <c r="J323" s="7">
        <v>77652.25</v>
      </c>
    </row>
    <row r="324" spans="1:10" ht="15" x14ac:dyDescent="0.25">
      <c r="A324" s="23" t="s">
        <v>636</v>
      </c>
      <c r="B324" s="24" t="s">
        <v>637</v>
      </c>
      <c r="C324" s="27">
        <f>+Tabla114[[#This Row],[COSTO CON IVA]]/Tabla114[[#This Row],[UTILIDAD]]</f>
        <v>114150.39999999999</v>
      </c>
      <c r="D324" s="9">
        <f>+Tabla114[[#This Row],[PRECIO INSTALADOR (IVA INCLUIDO)]]-Tabla114[[#This Row],[DCTO TIENDA]]</f>
        <v>108442.87999999999</v>
      </c>
      <c r="E324" s="9">
        <f>+Tabla114[[#This Row],[PRECIO INSTALADOR (IVA INCLUIDO)]]/0.7</f>
        <v>163072</v>
      </c>
      <c r="F324" s="8">
        <v>0.85</v>
      </c>
      <c r="G324" s="16">
        <f>+Tabla114[[#This Row],[COSTO]]*1.19</f>
        <v>97027.839999999997</v>
      </c>
      <c r="H324" s="26">
        <f>+Tabla114[[#This Row],[PRECIO INSTALADOR (IVA INCLUIDO)]]*5%</f>
        <v>5707.52</v>
      </c>
      <c r="I324" s="25"/>
      <c r="J324" s="7">
        <v>81536</v>
      </c>
    </row>
    <row r="325" spans="1:10" ht="15" x14ac:dyDescent="0.25">
      <c r="A325" s="23" t="s">
        <v>638</v>
      </c>
      <c r="B325" s="24" t="s">
        <v>639</v>
      </c>
      <c r="C325" s="27">
        <f>+Tabla114[[#This Row],[COSTO CON IVA]]/Tabla114[[#This Row],[UTILIDAD]]</f>
        <v>9595.9500000000007</v>
      </c>
      <c r="D325" s="9">
        <f>+Tabla114[[#This Row],[PRECIO INSTALADOR (IVA INCLUIDO)]]-Tabla114[[#This Row],[DCTO TIENDA]]</f>
        <v>9116.1525000000001</v>
      </c>
      <c r="E325" s="9">
        <f>+Tabla114[[#This Row],[PRECIO INSTALADOR (IVA INCLUIDO)]]/0.7</f>
        <v>13708.500000000002</v>
      </c>
      <c r="F325" s="8">
        <v>0.85</v>
      </c>
      <c r="G325" s="16">
        <f>+Tabla114[[#This Row],[COSTO]]*1.19</f>
        <v>8156.5574999999999</v>
      </c>
      <c r="H325" s="26">
        <f>+Tabla114[[#This Row],[PRECIO INSTALADOR (IVA INCLUIDO)]]*5%</f>
        <v>479.79750000000007</v>
      </c>
      <c r="I325" s="25"/>
      <c r="J325" s="7">
        <v>6854.25</v>
      </c>
    </row>
    <row r="326" spans="1:10" ht="15" x14ac:dyDescent="0.25">
      <c r="A326" s="23" t="s">
        <v>640</v>
      </c>
      <c r="B326" s="24" t="s">
        <v>641</v>
      </c>
      <c r="C326" s="27">
        <f>+Tabla114[[#This Row],[COSTO CON IVA]]/Tabla114[[#This Row],[UTILIDAD]]</f>
        <v>9595.9500000000007</v>
      </c>
      <c r="D326" s="9">
        <f>+Tabla114[[#This Row],[PRECIO INSTALADOR (IVA INCLUIDO)]]-Tabla114[[#This Row],[DCTO TIENDA]]</f>
        <v>9116.1525000000001</v>
      </c>
      <c r="E326" s="9">
        <f>+Tabla114[[#This Row],[PRECIO INSTALADOR (IVA INCLUIDO)]]/0.7</f>
        <v>13708.500000000002</v>
      </c>
      <c r="F326" s="8">
        <v>0.85</v>
      </c>
      <c r="G326" s="16">
        <f>+Tabla114[[#This Row],[COSTO]]*1.19</f>
        <v>8156.5574999999999</v>
      </c>
      <c r="H326" s="26">
        <f>+Tabla114[[#This Row],[PRECIO INSTALADOR (IVA INCLUIDO)]]*5%</f>
        <v>479.79750000000007</v>
      </c>
      <c r="I326" s="25"/>
      <c r="J326" s="7">
        <v>6854.25</v>
      </c>
    </row>
    <row r="327" spans="1:10" ht="15" x14ac:dyDescent="0.25">
      <c r="A327" s="23" t="s">
        <v>642</v>
      </c>
      <c r="B327" s="24" t="s">
        <v>643</v>
      </c>
      <c r="C327" s="27">
        <f>+Tabla114[[#This Row],[COSTO CON IVA]]/Tabla114[[#This Row],[UTILIDAD]]</f>
        <v>9595.9500000000007</v>
      </c>
      <c r="D327" s="9">
        <f>+Tabla114[[#This Row],[PRECIO INSTALADOR (IVA INCLUIDO)]]-Tabla114[[#This Row],[DCTO TIENDA]]</f>
        <v>9116.1525000000001</v>
      </c>
      <c r="E327" s="9">
        <f>+Tabla114[[#This Row],[PRECIO INSTALADOR (IVA INCLUIDO)]]/0.7</f>
        <v>13708.500000000002</v>
      </c>
      <c r="F327" s="8">
        <v>0.85</v>
      </c>
      <c r="G327" s="16">
        <f>+Tabla114[[#This Row],[COSTO]]*1.19</f>
        <v>8156.5574999999999</v>
      </c>
      <c r="H327" s="26">
        <f>+Tabla114[[#This Row],[PRECIO INSTALADOR (IVA INCLUIDO)]]*5%</f>
        <v>479.79750000000007</v>
      </c>
      <c r="I327" s="25"/>
      <c r="J327" s="7">
        <v>6854.25</v>
      </c>
    </row>
    <row r="328" spans="1:10" ht="15" x14ac:dyDescent="0.25">
      <c r="A328" s="23" t="s">
        <v>644</v>
      </c>
      <c r="B328" s="24" t="s">
        <v>645</v>
      </c>
      <c r="C328" s="27">
        <f>+Tabla114[[#This Row],[COSTO CON IVA]]/Tabla114[[#This Row],[UTILIDAD]]</f>
        <v>76726.649999999994</v>
      </c>
      <c r="D328" s="9">
        <f>+Tabla114[[#This Row],[PRECIO INSTALADOR (IVA INCLUIDO)]]-Tabla114[[#This Row],[DCTO TIENDA]]</f>
        <v>72890.31749999999</v>
      </c>
      <c r="E328" s="9">
        <f>+Tabla114[[#This Row],[PRECIO INSTALADOR (IVA INCLUIDO)]]/0.7</f>
        <v>109609.5</v>
      </c>
      <c r="F328" s="8">
        <v>0.85</v>
      </c>
      <c r="G328" s="16">
        <f>+Tabla114[[#This Row],[COSTO]]*1.19</f>
        <v>65217.652499999997</v>
      </c>
      <c r="H328" s="26">
        <f>+Tabla114[[#This Row],[PRECIO INSTALADOR (IVA INCLUIDO)]]*5%</f>
        <v>3836.3325</v>
      </c>
      <c r="I328" s="25"/>
      <c r="J328" s="7">
        <v>54804.75</v>
      </c>
    </row>
    <row r="329" spans="1:10" ht="15" x14ac:dyDescent="0.25">
      <c r="A329" s="23" t="s">
        <v>646</v>
      </c>
      <c r="B329" s="24" t="s">
        <v>647</v>
      </c>
      <c r="C329" s="27">
        <f>+Tabla114[[#This Row],[COSTO CON IVA]]/Tabla114[[#This Row],[UTILIDAD]]</f>
        <v>4095</v>
      </c>
      <c r="D329" s="9">
        <f>+Tabla114[[#This Row],[PRECIO INSTALADOR (IVA INCLUIDO)]]-Tabla114[[#This Row],[DCTO TIENDA]]</f>
        <v>3890.25</v>
      </c>
      <c r="E329" s="9">
        <f>+Tabla114[[#This Row],[PRECIO INSTALADOR (IVA INCLUIDO)]]/0.7</f>
        <v>5850</v>
      </c>
      <c r="F329" s="8">
        <v>0.85</v>
      </c>
      <c r="G329" s="16">
        <f>+Tabla114[[#This Row],[COSTO]]*1.19</f>
        <v>3480.75</v>
      </c>
      <c r="H329" s="26">
        <f>+Tabla114[[#This Row],[PRECIO INSTALADOR (IVA INCLUIDO)]]*5%</f>
        <v>204.75</v>
      </c>
      <c r="I329" s="25"/>
      <c r="J329" s="7">
        <v>2925</v>
      </c>
    </row>
    <row r="330" spans="1:10" ht="15" x14ac:dyDescent="0.25">
      <c r="A330" s="23" t="s">
        <v>648</v>
      </c>
      <c r="B330" s="24" t="s">
        <v>649</v>
      </c>
      <c r="C330" s="27">
        <f>+Tabla114[[#This Row],[COSTO CON IVA]]/Tabla114[[#This Row],[UTILIDAD]]</f>
        <v>5095.9999999999991</v>
      </c>
      <c r="D330" s="9">
        <f>+Tabla114[[#This Row],[PRECIO INSTALADOR (IVA INCLUIDO)]]-Tabla114[[#This Row],[DCTO TIENDA]]</f>
        <v>4841.1999999999989</v>
      </c>
      <c r="E330" s="9">
        <f>+Tabla114[[#This Row],[PRECIO INSTALADOR (IVA INCLUIDO)]]/0.7</f>
        <v>7279.9999999999991</v>
      </c>
      <c r="F330" s="8">
        <v>0.85</v>
      </c>
      <c r="G330" s="16">
        <f>+Tabla114[[#This Row],[COSTO]]*1.19</f>
        <v>4331.5999999999995</v>
      </c>
      <c r="H330" s="26">
        <f>+Tabla114[[#This Row],[PRECIO INSTALADOR (IVA INCLUIDO)]]*5%</f>
        <v>254.79999999999995</v>
      </c>
      <c r="I330" s="25"/>
      <c r="J330" s="7">
        <v>3640</v>
      </c>
    </row>
    <row r="331" spans="1:10" ht="15" x14ac:dyDescent="0.25">
      <c r="A331" s="23" t="s">
        <v>650</v>
      </c>
      <c r="B331" s="24" t="s">
        <v>651</v>
      </c>
      <c r="C331" s="27">
        <f>+Tabla114[[#This Row],[COSTO CON IVA]]/Tabla114[[#This Row],[UTILIDAD]]</f>
        <v>5164.25</v>
      </c>
      <c r="D331" s="9">
        <f>+Tabla114[[#This Row],[PRECIO INSTALADOR (IVA INCLUIDO)]]-Tabla114[[#This Row],[DCTO TIENDA]]</f>
        <v>4906.0375000000004</v>
      </c>
      <c r="E331" s="9">
        <f>+Tabla114[[#This Row],[PRECIO INSTALADOR (IVA INCLUIDO)]]/0.7</f>
        <v>7377.5000000000009</v>
      </c>
      <c r="F331" s="8">
        <v>0.85</v>
      </c>
      <c r="G331" s="16">
        <f>+Tabla114[[#This Row],[COSTO]]*1.19</f>
        <v>4389.6125000000002</v>
      </c>
      <c r="H331" s="26">
        <f>+Tabla114[[#This Row],[PRECIO INSTALADOR (IVA INCLUIDO)]]*5%</f>
        <v>258.21250000000003</v>
      </c>
      <c r="I331" s="25"/>
      <c r="J331" s="7">
        <v>3688.75</v>
      </c>
    </row>
    <row r="332" spans="1:10" ht="15" x14ac:dyDescent="0.25">
      <c r="A332" s="23" t="s">
        <v>652</v>
      </c>
      <c r="B332" s="24" t="s">
        <v>653</v>
      </c>
      <c r="C332" s="27">
        <f>+Tabla114[[#This Row],[COSTO CON IVA]]/Tabla114[[#This Row],[UTILIDAD]]</f>
        <v>6151.5999999999995</v>
      </c>
      <c r="D332" s="9">
        <f>+Tabla114[[#This Row],[PRECIO INSTALADOR (IVA INCLUIDO)]]-Tabla114[[#This Row],[DCTO TIENDA]]</f>
        <v>5844.0199999999995</v>
      </c>
      <c r="E332" s="9">
        <f>+Tabla114[[#This Row],[PRECIO INSTALADOR (IVA INCLUIDO)]]/0.7</f>
        <v>8788</v>
      </c>
      <c r="F332" s="8">
        <v>0.85</v>
      </c>
      <c r="G332" s="16">
        <f>+Tabla114[[#This Row],[COSTO]]*1.19</f>
        <v>5228.8599999999997</v>
      </c>
      <c r="H332" s="26">
        <f>+Tabla114[[#This Row],[PRECIO INSTALADOR (IVA INCLUIDO)]]*5%</f>
        <v>307.58</v>
      </c>
      <c r="I332" s="25"/>
      <c r="J332" s="7">
        <v>4394</v>
      </c>
    </row>
    <row r="333" spans="1:10" ht="15" x14ac:dyDescent="0.25">
      <c r="A333" s="23" t="s">
        <v>654</v>
      </c>
      <c r="B333" s="24" t="s">
        <v>655</v>
      </c>
      <c r="C333" s="27">
        <f>+Tabla114[[#This Row],[COSTO CON IVA]]/Tabla114[[#This Row],[UTILIDAD]]</f>
        <v>15911.349999999999</v>
      </c>
      <c r="D333" s="9">
        <f>+Tabla114[[#This Row],[PRECIO INSTALADOR (IVA INCLUIDO)]]-Tabla114[[#This Row],[DCTO TIENDA]]</f>
        <v>15115.782499999999</v>
      </c>
      <c r="E333" s="9">
        <f>+Tabla114[[#This Row],[PRECIO INSTALADOR (IVA INCLUIDO)]]/0.7</f>
        <v>22730.5</v>
      </c>
      <c r="F333" s="8">
        <v>0.85</v>
      </c>
      <c r="G333" s="16">
        <f>+Tabla114[[#This Row],[COSTO]]*1.19</f>
        <v>13524.647499999999</v>
      </c>
      <c r="H333" s="26">
        <f>+Tabla114[[#This Row],[PRECIO INSTALADOR (IVA INCLUIDO)]]*5%</f>
        <v>795.5675</v>
      </c>
      <c r="I333" s="25"/>
      <c r="J333" s="7">
        <v>11365.25</v>
      </c>
    </row>
    <row r="334" spans="1:10" ht="15" x14ac:dyDescent="0.25">
      <c r="A334" s="23" t="s">
        <v>656</v>
      </c>
      <c r="B334" s="24" t="s">
        <v>657</v>
      </c>
      <c r="C334" s="27">
        <f>+Tabla114[[#This Row],[COSTO CON IVA]]/Tabla114[[#This Row],[UTILIDAD]]</f>
        <v>4595.5</v>
      </c>
      <c r="D334" s="9">
        <f>+Tabla114[[#This Row],[PRECIO INSTALADOR (IVA INCLUIDO)]]-Tabla114[[#This Row],[DCTO TIENDA]]</f>
        <v>4365.7250000000004</v>
      </c>
      <c r="E334" s="9">
        <f>+Tabla114[[#This Row],[PRECIO INSTALADOR (IVA INCLUIDO)]]/0.7</f>
        <v>6565</v>
      </c>
      <c r="F334" s="8">
        <v>0.85</v>
      </c>
      <c r="G334" s="16">
        <f>+Tabla114[[#This Row],[COSTO]]*1.19</f>
        <v>3906.1749999999997</v>
      </c>
      <c r="H334" s="26">
        <f>+Tabla114[[#This Row],[PRECIO INSTALADOR (IVA INCLUIDO)]]*5%</f>
        <v>229.77500000000001</v>
      </c>
      <c r="I334" s="25"/>
      <c r="J334" s="7">
        <v>3282.5</v>
      </c>
    </row>
    <row r="335" spans="1:10" ht="15" x14ac:dyDescent="0.25">
      <c r="A335" s="23" t="s">
        <v>658</v>
      </c>
      <c r="B335" s="24" t="s">
        <v>659</v>
      </c>
      <c r="C335" s="27">
        <f>+Tabla114[[#This Row],[COSTO CON IVA]]/Tabla114[[#This Row],[UTILIDAD]]</f>
        <v>6370</v>
      </c>
      <c r="D335" s="9">
        <f>+Tabla114[[#This Row],[PRECIO INSTALADOR (IVA INCLUIDO)]]-Tabla114[[#This Row],[DCTO TIENDA]]</f>
        <v>6051.5</v>
      </c>
      <c r="E335" s="9">
        <f>+Tabla114[[#This Row],[PRECIO INSTALADOR (IVA INCLUIDO)]]/0.7</f>
        <v>9100</v>
      </c>
      <c r="F335" s="8">
        <v>0.85</v>
      </c>
      <c r="G335" s="16">
        <f>+Tabla114[[#This Row],[COSTO]]*1.19</f>
        <v>5414.5</v>
      </c>
      <c r="H335" s="26">
        <f>+Tabla114[[#This Row],[PRECIO INSTALADOR (IVA INCLUIDO)]]*5%</f>
        <v>318.5</v>
      </c>
      <c r="I335" s="25"/>
      <c r="J335" s="7">
        <v>4550</v>
      </c>
    </row>
    <row r="336" spans="1:10" ht="15" x14ac:dyDescent="0.25">
      <c r="A336" s="23" t="s">
        <v>660</v>
      </c>
      <c r="B336" s="24" t="s">
        <v>661</v>
      </c>
      <c r="C336" s="27">
        <f>+Tabla114[[#This Row],[COSTO CON IVA]]/Tabla114[[#This Row],[UTILIDAD]]</f>
        <v>5405.4000000000005</v>
      </c>
      <c r="D336" s="9">
        <f>+Tabla114[[#This Row],[PRECIO INSTALADOR (IVA INCLUIDO)]]-Tabla114[[#This Row],[DCTO TIENDA]]</f>
        <v>5135.13</v>
      </c>
      <c r="E336" s="9">
        <f>+Tabla114[[#This Row],[PRECIO INSTALADOR (IVA INCLUIDO)]]/0.7</f>
        <v>7722.0000000000009</v>
      </c>
      <c r="F336" s="8">
        <v>0.85</v>
      </c>
      <c r="G336" s="16">
        <f>+Tabla114[[#This Row],[COSTO]]*1.19</f>
        <v>4594.59</v>
      </c>
      <c r="H336" s="26">
        <f>+Tabla114[[#This Row],[PRECIO INSTALADOR (IVA INCLUIDO)]]*5%</f>
        <v>270.27000000000004</v>
      </c>
      <c r="I336" s="25"/>
      <c r="J336" s="7">
        <v>3861</v>
      </c>
    </row>
    <row r="337" spans="1:10" ht="15" x14ac:dyDescent="0.25">
      <c r="A337" s="23" t="s">
        <v>662</v>
      </c>
      <c r="B337" s="24" t="s">
        <v>663</v>
      </c>
      <c r="C337" s="27">
        <f>+Tabla114[[#This Row],[COSTO CON IVA]]/Tabla114[[#This Row],[UTILIDAD]]</f>
        <v>25989.600000000002</v>
      </c>
      <c r="D337" s="9">
        <f>+Tabla114[[#This Row],[PRECIO INSTALADOR (IVA INCLUIDO)]]-Tabla114[[#This Row],[DCTO TIENDA]]</f>
        <v>24690.120000000003</v>
      </c>
      <c r="E337" s="9">
        <f>+Tabla114[[#This Row],[PRECIO INSTALADOR (IVA INCLUIDO)]]/0.7</f>
        <v>37128.000000000007</v>
      </c>
      <c r="F337" s="8">
        <v>0.85</v>
      </c>
      <c r="G337" s="16">
        <f>+Tabla114[[#This Row],[COSTO]]*1.19</f>
        <v>22091.16</v>
      </c>
      <c r="H337" s="26">
        <f>+Tabla114[[#This Row],[PRECIO INSTALADOR (IVA INCLUIDO)]]*5%</f>
        <v>1299.4800000000002</v>
      </c>
      <c r="I337" s="25"/>
      <c r="J337" s="7">
        <v>18564</v>
      </c>
    </row>
    <row r="338" spans="1:10" ht="15" x14ac:dyDescent="0.25">
      <c r="A338" s="23" t="s">
        <v>664</v>
      </c>
      <c r="B338" s="24" t="s">
        <v>665</v>
      </c>
      <c r="C338" s="27">
        <f>+Tabla114[[#This Row],[COSTO CON IVA]]/Tabla114[[#This Row],[UTILIDAD]]</f>
        <v>24570</v>
      </c>
      <c r="D338" s="9">
        <f>+Tabla114[[#This Row],[PRECIO INSTALADOR (IVA INCLUIDO)]]-Tabla114[[#This Row],[DCTO TIENDA]]</f>
        <v>23341.5</v>
      </c>
      <c r="E338" s="9">
        <f>+Tabla114[[#This Row],[PRECIO INSTALADOR (IVA INCLUIDO)]]/0.7</f>
        <v>35100</v>
      </c>
      <c r="F338" s="8">
        <v>0.85</v>
      </c>
      <c r="G338" s="16">
        <f>+Tabla114[[#This Row],[COSTO]]*1.19</f>
        <v>20884.5</v>
      </c>
      <c r="H338" s="26">
        <f>+Tabla114[[#This Row],[PRECIO INSTALADOR (IVA INCLUIDO)]]*5%</f>
        <v>1228.5</v>
      </c>
      <c r="I338" s="25"/>
      <c r="J338" s="7">
        <v>17550</v>
      </c>
    </row>
    <row r="339" spans="1:10" ht="15" x14ac:dyDescent="0.25">
      <c r="A339" s="23" t="s">
        <v>666</v>
      </c>
      <c r="B339" s="24" t="s">
        <v>667</v>
      </c>
      <c r="C339" s="27">
        <f>+Tabla114[[#This Row],[COSTO CON IVA]]/Tabla114[[#This Row],[UTILIDAD]]</f>
        <v>7998.9</v>
      </c>
      <c r="D339" s="9">
        <f>+Tabla114[[#This Row],[PRECIO INSTALADOR (IVA INCLUIDO)]]-Tabla114[[#This Row],[DCTO TIENDA]]</f>
        <v>7598.9549999999999</v>
      </c>
      <c r="E339" s="9">
        <f>+Tabla114[[#This Row],[PRECIO INSTALADOR (IVA INCLUIDO)]]/0.7</f>
        <v>11427</v>
      </c>
      <c r="F339" s="8">
        <v>0.85</v>
      </c>
      <c r="G339" s="16">
        <f>+Tabla114[[#This Row],[COSTO]]*1.19</f>
        <v>6799.0649999999996</v>
      </c>
      <c r="H339" s="26">
        <f>+Tabla114[[#This Row],[PRECIO INSTALADOR (IVA INCLUIDO)]]*5%</f>
        <v>399.94499999999999</v>
      </c>
      <c r="I339" s="25"/>
      <c r="J339" s="7">
        <v>5713.5</v>
      </c>
    </row>
    <row r="340" spans="1:10" ht="15" x14ac:dyDescent="0.25">
      <c r="A340" s="23" t="s">
        <v>668</v>
      </c>
      <c r="B340" s="24" t="s">
        <v>669</v>
      </c>
      <c r="C340" s="27">
        <f>+Tabla114[[#This Row],[COSTO CON IVA]]/Tabla114[[#This Row],[UTILIDAD]]</f>
        <v>7998.9</v>
      </c>
      <c r="D340" s="9">
        <f>+Tabla114[[#This Row],[PRECIO INSTALADOR (IVA INCLUIDO)]]-Tabla114[[#This Row],[DCTO TIENDA]]</f>
        <v>7598.9549999999999</v>
      </c>
      <c r="E340" s="9">
        <f>+Tabla114[[#This Row],[PRECIO INSTALADOR (IVA INCLUIDO)]]/0.7</f>
        <v>11427</v>
      </c>
      <c r="F340" s="8">
        <v>0.85</v>
      </c>
      <c r="G340" s="16">
        <f>+Tabla114[[#This Row],[COSTO]]*1.19</f>
        <v>6799.0649999999996</v>
      </c>
      <c r="H340" s="26">
        <f>+Tabla114[[#This Row],[PRECIO INSTALADOR (IVA INCLUIDO)]]*5%</f>
        <v>399.94499999999999</v>
      </c>
      <c r="I340" s="25"/>
      <c r="J340" s="7">
        <v>5713.5</v>
      </c>
    </row>
    <row r="341" spans="1:10" ht="15" x14ac:dyDescent="0.25">
      <c r="A341" s="23" t="s">
        <v>670</v>
      </c>
      <c r="B341" s="24" t="s">
        <v>671</v>
      </c>
      <c r="C341" s="27">
        <f>+Tabla114[[#This Row],[COSTO CON IVA]]/Tabla114[[#This Row],[UTILIDAD]]</f>
        <v>7998.9</v>
      </c>
      <c r="D341" s="9">
        <f>+Tabla114[[#This Row],[PRECIO INSTALADOR (IVA INCLUIDO)]]-Tabla114[[#This Row],[DCTO TIENDA]]</f>
        <v>7598.9549999999999</v>
      </c>
      <c r="E341" s="9">
        <f>+Tabla114[[#This Row],[PRECIO INSTALADOR (IVA INCLUIDO)]]/0.7</f>
        <v>11427</v>
      </c>
      <c r="F341" s="8">
        <v>0.85</v>
      </c>
      <c r="G341" s="16">
        <f>+Tabla114[[#This Row],[COSTO]]*1.19</f>
        <v>6799.0649999999996</v>
      </c>
      <c r="H341" s="26">
        <f>+Tabla114[[#This Row],[PRECIO INSTALADOR (IVA INCLUIDO)]]*5%</f>
        <v>399.94499999999999</v>
      </c>
      <c r="I341" s="25"/>
      <c r="J341" s="7">
        <v>5713.5</v>
      </c>
    </row>
    <row r="342" spans="1:10" ht="15" x14ac:dyDescent="0.25">
      <c r="A342" s="23" t="s">
        <v>672</v>
      </c>
      <c r="B342" s="24" t="s">
        <v>673</v>
      </c>
      <c r="C342" s="27">
        <f>+Tabla114[[#This Row],[COSTO CON IVA]]/Tabla114[[#This Row],[UTILIDAD]]</f>
        <v>5678.4</v>
      </c>
      <c r="D342" s="9">
        <f>+Tabla114[[#This Row],[PRECIO INSTALADOR (IVA INCLUIDO)]]-Tabla114[[#This Row],[DCTO TIENDA]]</f>
        <v>5394.48</v>
      </c>
      <c r="E342" s="9">
        <f>+Tabla114[[#This Row],[PRECIO INSTALADOR (IVA INCLUIDO)]]/0.7</f>
        <v>8112</v>
      </c>
      <c r="F342" s="8">
        <v>0.85</v>
      </c>
      <c r="G342" s="16">
        <f>+Tabla114[[#This Row],[COSTO]]*1.19</f>
        <v>4826.6399999999994</v>
      </c>
      <c r="H342" s="26">
        <f>+Tabla114[[#This Row],[PRECIO INSTALADOR (IVA INCLUIDO)]]*5%</f>
        <v>283.92</v>
      </c>
      <c r="I342" s="25"/>
      <c r="J342" s="7">
        <v>4056</v>
      </c>
    </row>
    <row r="343" spans="1:10" ht="15" x14ac:dyDescent="0.25">
      <c r="A343" s="23" t="s">
        <v>674</v>
      </c>
      <c r="B343" s="24" t="s">
        <v>675</v>
      </c>
      <c r="C343" s="27">
        <f>+Tabla114[[#This Row],[COSTO CON IVA]]/Tabla114[[#This Row],[UTILIDAD]]</f>
        <v>6351.8</v>
      </c>
      <c r="D343" s="9">
        <f>+Tabla114[[#This Row],[PRECIO INSTALADOR (IVA INCLUIDO)]]-Tabla114[[#This Row],[DCTO TIENDA]]</f>
        <v>6034.21</v>
      </c>
      <c r="E343" s="9">
        <f>+Tabla114[[#This Row],[PRECIO INSTALADOR (IVA INCLUIDO)]]/0.7</f>
        <v>9074</v>
      </c>
      <c r="F343" s="8">
        <v>0.85</v>
      </c>
      <c r="G343" s="16">
        <f>+Tabla114[[#This Row],[COSTO]]*1.19</f>
        <v>5399.03</v>
      </c>
      <c r="H343" s="26">
        <f>+Tabla114[[#This Row],[PRECIO INSTALADOR (IVA INCLUIDO)]]*5%</f>
        <v>317.59000000000003</v>
      </c>
      <c r="I343" s="25"/>
      <c r="J343" s="7">
        <v>4537</v>
      </c>
    </row>
    <row r="344" spans="1:10" ht="15" x14ac:dyDescent="0.25">
      <c r="A344" s="23" t="s">
        <v>676</v>
      </c>
      <c r="B344" s="24" t="s">
        <v>677</v>
      </c>
      <c r="C344" s="27">
        <f>+Tabla114[[#This Row],[COSTO CON IVA]]/Tabla114[[#This Row],[UTILIDAD]]</f>
        <v>6761.2999999999993</v>
      </c>
      <c r="D344" s="9">
        <f>+Tabla114[[#This Row],[PRECIO INSTALADOR (IVA INCLUIDO)]]-Tabla114[[#This Row],[DCTO TIENDA]]</f>
        <v>6423.2349999999997</v>
      </c>
      <c r="E344" s="9">
        <f>+Tabla114[[#This Row],[PRECIO INSTALADOR (IVA INCLUIDO)]]/0.7</f>
        <v>9659</v>
      </c>
      <c r="F344" s="8">
        <v>0.85</v>
      </c>
      <c r="G344" s="16">
        <f>+Tabla114[[#This Row],[COSTO]]*1.19</f>
        <v>5747.1049999999996</v>
      </c>
      <c r="H344" s="26">
        <f>+Tabla114[[#This Row],[PRECIO INSTALADOR (IVA INCLUIDO)]]*5%</f>
        <v>338.065</v>
      </c>
      <c r="I344" s="25"/>
      <c r="J344" s="7">
        <v>4829.5</v>
      </c>
    </row>
    <row r="345" spans="1:10" ht="15" x14ac:dyDescent="0.25">
      <c r="A345" s="23" t="s">
        <v>678</v>
      </c>
      <c r="B345" s="24" t="s">
        <v>679</v>
      </c>
      <c r="C345" s="27">
        <f>+Tabla114[[#This Row],[COSTO CON IVA]]/Tabla114[[#This Row],[UTILIDAD]]</f>
        <v>7543.9</v>
      </c>
      <c r="D345" s="9">
        <f>+Tabla114[[#This Row],[PRECIO INSTALADOR (IVA INCLUIDO)]]-Tabla114[[#This Row],[DCTO TIENDA]]</f>
        <v>7166.7049999999999</v>
      </c>
      <c r="E345" s="9">
        <f>+Tabla114[[#This Row],[PRECIO INSTALADOR (IVA INCLUIDO)]]/0.7</f>
        <v>10777</v>
      </c>
      <c r="F345" s="8">
        <v>0.85</v>
      </c>
      <c r="G345" s="16">
        <f>+Tabla114[[#This Row],[COSTO]]*1.19</f>
        <v>6412.3149999999996</v>
      </c>
      <c r="H345" s="26">
        <f>+Tabla114[[#This Row],[PRECIO INSTALADOR (IVA INCLUIDO)]]*5%</f>
        <v>377.19499999999999</v>
      </c>
      <c r="I345" s="25"/>
      <c r="J345" s="7">
        <v>5388.5</v>
      </c>
    </row>
    <row r="346" spans="1:10" ht="15" x14ac:dyDescent="0.25">
      <c r="A346" s="23" t="s">
        <v>680</v>
      </c>
      <c r="B346" s="24" t="s">
        <v>681</v>
      </c>
      <c r="C346" s="27">
        <f>+Tabla114[[#This Row],[COSTO CON IVA]]/Tabla114[[#This Row],[UTILIDAD]]</f>
        <v>5983.25</v>
      </c>
      <c r="D346" s="9">
        <f>+Tabla114[[#This Row],[PRECIO INSTALADOR (IVA INCLUIDO)]]-Tabla114[[#This Row],[DCTO TIENDA]]</f>
        <v>5684.0874999999996</v>
      </c>
      <c r="E346" s="9">
        <f>+Tabla114[[#This Row],[PRECIO INSTALADOR (IVA INCLUIDO)]]/0.7</f>
        <v>8547.5</v>
      </c>
      <c r="F346" s="8">
        <v>0.85</v>
      </c>
      <c r="G346" s="16">
        <f>+Tabla114[[#This Row],[COSTO]]*1.19</f>
        <v>5085.7624999999998</v>
      </c>
      <c r="H346" s="26">
        <f>+Tabla114[[#This Row],[PRECIO INSTALADOR (IVA INCLUIDO)]]*5%</f>
        <v>299.16250000000002</v>
      </c>
      <c r="I346" s="25"/>
      <c r="J346" s="7">
        <v>4273.75</v>
      </c>
    </row>
    <row r="347" spans="1:10" ht="15" x14ac:dyDescent="0.25">
      <c r="A347" s="23" t="s">
        <v>682</v>
      </c>
      <c r="B347" s="24" t="s">
        <v>683</v>
      </c>
      <c r="C347" s="27">
        <f>+Tabla114[[#This Row],[COSTO CON IVA]]/Tabla114[[#This Row],[UTILIDAD]]</f>
        <v>7694.05</v>
      </c>
      <c r="D347" s="9">
        <f>+Tabla114[[#This Row],[PRECIO INSTALADOR (IVA INCLUIDO)]]-Tabla114[[#This Row],[DCTO TIENDA]]</f>
        <v>7309.3474999999999</v>
      </c>
      <c r="E347" s="9">
        <f>+Tabla114[[#This Row],[PRECIO INSTALADOR (IVA INCLUIDO)]]/0.7</f>
        <v>10991.500000000002</v>
      </c>
      <c r="F347" s="8">
        <v>0.85</v>
      </c>
      <c r="G347" s="16">
        <f>+Tabla114[[#This Row],[COSTO]]*1.19</f>
        <v>6539.9425000000001</v>
      </c>
      <c r="H347" s="26">
        <f>+Tabla114[[#This Row],[PRECIO INSTALADOR (IVA INCLUIDO)]]*5%</f>
        <v>384.70250000000004</v>
      </c>
      <c r="I347" s="25"/>
      <c r="J347" s="7">
        <v>5495.75</v>
      </c>
    </row>
    <row r="348" spans="1:10" ht="15" x14ac:dyDescent="0.25">
      <c r="A348" s="23" t="s">
        <v>684</v>
      </c>
      <c r="B348" s="24" t="s">
        <v>685</v>
      </c>
      <c r="C348" s="27">
        <f>+Tabla114[[#This Row],[COSTO CON IVA]]/Tabla114[[#This Row],[UTILIDAD]]</f>
        <v>6779.5</v>
      </c>
      <c r="D348" s="9">
        <f>+Tabla114[[#This Row],[PRECIO INSTALADOR (IVA INCLUIDO)]]-Tabla114[[#This Row],[DCTO TIENDA]]</f>
        <v>6440.5249999999996</v>
      </c>
      <c r="E348" s="9">
        <f>+Tabla114[[#This Row],[PRECIO INSTALADOR (IVA INCLUIDO)]]/0.7</f>
        <v>9685</v>
      </c>
      <c r="F348" s="8">
        <v>0.85</v>
      </c>
      <c r="G348" s="16">
        <f>+Tabla114[[#This Row],[COSTO]]*1.19</f>
        <v>5762.5749999999998</v>
      </c>
      <c r="H348" s="26">
        <f>+Tabla114[[#This Row],[PRECIO INSTALADOR (IVA INCLUIDO)]]*5%</f>
        <v>338.97500000000002</v>
      </c>
      <c r="I348" s="25"/>
      <c r="J348" s="7">
        <v>4842.5</v>
      </c>
    </row>
    <row r="349" spans="1:10" ht="15" x14ac:dyDescent="0.25">
      <c r="A349" s="23" t="s">
        <v>686</v>
      </c>
      <c r="B349" s="24" t="s">
        <v>687</v>
      </c>
      <c r="C349" s="27">
        <f>+Tabla114[[#This Row],[COSTO CON IVA]]/Tabla114[[#This Row],[UTILIDAD]]</f>
        <v>30193.8</v>
      </c>
      <c r="D349" s="9">
        <f>+Tabla114[[#This Row],[PRECIO INSTALADOR (IVA INCLUIDO)]]-Tabla114[[#This Row],[DCTO TIENDA]]</f>
        <v>28684.11</v>
      </c>
      <c r="E349" s="9">
        <f>+Tabla114[[#This Row],[PRECIO INSTALADOR (IVA INCLUIDO)]]/0.7</f>
        <v>43134</v>
      </c>
      <c r="F349" s="8">
        <v>0.85</v>
      </c>
      <c r="G349" s="16">
        <f>+Tabla114[[#This Row],[COSTO]]*1.19</f>
        <v>25664.73</v>
      </c>
      <c r="H349" s="26">
        <f>+Tabla114[[#This Row],[PRECIO INSTALADOR (IVA INCLUIDO)]]*5%</f>
        <v>1509.69</v>
      </c>
      <c r="I349" s="25"/>
      <c r="J349" s="7">
        <v>21567</v>
      </c>
    </row>
    <row r="350" spans="1:10" ht="15" x14ac:dyDescent="0.25">
      <c r="A350" s="23" t="s">
        <v>688</v>
      </c>
      <c r="B350" s="24" t="s">
        <v>689</v>
      </c>
      <c r="C350" s="27">
        <f>+Tabla114[[#This Row],[COSTO CON IVA]]/Tabla114[[#This Row],[UTILIDAD]]</f>
        <v>26044.2</v>
      </c>
      <c r="D350" s="9">
        <f>+Tabla114[[#This Row],[PRECIO INSTALADOR (IVA INCLUIDO)]]-Tabla114[[#This Row],[DCTO TIENDA]]</f>
        <v>24741.99</v>
      </c>
      <c r="E350" s="9">
        <f>+Tabla114[[#This Row],[PRECIO INSTALADOR (IVA INCLUIDO)]]/0.7</f>
        <v>37206</v>
      </c>
      <c r="F350" s="8">
        <v>0.85</v>
      </c>
      <c r="G350" s="16">
        <f>+Tabla114[[#This Row],[COSTO]]*1.19</f>
        <v>22137.57</v>
      </c>
      <c r="H350" s="26">
        <f>+Tabla114[[#This Row],[PRECIO INSTALADOR (IVA INCLUIDO)]]*5%</f>
        <v>1302.21</v>
      </c>
      <c r="I350" s="25"/>
      <c r="J350" s="7">
        <v>18603</v>
      </c>
    </row>
    <row r="351" spans="1:10" ht="15" x14ac:dyDescent="0.25">
      <c r="A351" s="23" t="s">
        <v>690</v>
      </c>
      <c r="B351" s="24" t="s">
        <v>691</v>
      </c>
      <c r="C351" s="27">
        <f>+Tabla114[[#This Row],[COSTO CON IVA]]/Tabla114[[#This Row],[UTILIDAD]]</f>
        <v>79743.299999999988</v>
      </c>
      <c r="D351" s="9">
        <f>+Tabla114[[#This Row],[PRECIO INSTALADOR (IVA INCLUIDO)]]-Tabla114[[#This Row],[DCTO TIENDA]]</f>
        <v>75756.134999999995</v>
      </c>
      <c r="E351" s="9">
        <f>+Tabla114[[#This Row],[PRECIO INSTALADOR (IVA INCLUIDO)]]/0.7</f>
        <v>113918.99999999999</v>
      </c>
      <c r="F351" s="8">
        <v>0.85</v>
      </c>
      <c r="G351" s="16">
        <f>+Tabla114[[#This Row],[COSTO]]*1.19</f>
        <v>67781.804999999993</v>
      </c>
      <c r="H351" s="26">
        <f>+Tabla114[[#This Row],[PRECIO INSTALADOR (IVA INCLUIDO)]]*5%</f>
        <v>3987.1649999999995</v>
      </c>
      <c r="I351" s="25"/>
      <c r="J351" s="7">
        <v>56959.5</v>
      </c>
    </row>
    <row r="352" spans="1:10" ht="15" x14ac:dyDescent="0.25">
      <c r="A352" s="23" t="s">
        <v>692</v>
      </c>
      <c r="B352" s="24" t="s">
        <v>693</v>
      </c>
      <c r="C352" s="27">
        <f>+Tabla114[[#This Row],[COSTO CON IVA]]/Tabla114[[#This Row],[UTILIDAD]]</f>
        <v>9595.9500000000007</v>
      </c>
      <c r="D352" s="9">
        <f>+Tabla114[[#This Row],[PRECIO INSTALADOR (IVA INCLUIDO)]]-Tabla114[[#This Row],[DCTO TIENDA]]</f>
        <v>9116.1525000000001</v>
      </c>
      <c r="E352" s="9">
        <f>+Tabla114[[#This Row],[PRECIO INSTALADOR (IVA INCLUIDO)]]/0.7</f>
        <v>13708.500000000002</v>
      </c>
      <c r="F352" s="8">
        <v>0.85</v>
      </c>
      <c r="G352" s="16">
        <f>+Tabla114[[#This Row],[COSTO]]*1.19</f>
        <v>8156.5574999999999</v>
      </c>
      <c r="H352" s="26">
        <f>+Tabla114[[#This Row],[PRECIO INSTALADOR (IVA INCLUIDO)]]*5%</f>
        <v>479.79750000000007</v>
      </c>
      <c r="I352" s="25"/>
      <c r="J352" s="7">
        <v>6854.25</v>
      </c>
    </row>
    <row r="353" spans="1:10" ht="15" x14ac:dyDescent="0.25">
      <c r="A353" s="23" t="s">
        <v>694</v>
      </c>
      <c r="B353" s="24" t="s">
        <v>695</v>
      </c>
      <c r="C353" s="27">
        <f>+Tabla114[[#This Row],[COSTO CON IVA]]/Tabla114[[#This Row],[UTILIDAD]]</f>
        <v>2884.7</v>
      </c>
      <c r="D353" s="9">
        <f>+Tabla114[[#This Row],[PRECIO INSTALADOR (IVA INCLUIDO)]]-Tabla114[[#This Row],[DCTO TIENDA]]</f>
        <v>2740.4649999999997</v>
      </c>
      <c r="E353" s="9">
        <f>+Tabla114[[#This Row],[PRECIO INSTALADOR (IVA INCLUIDO)]]/0.7</f>
        <v>4121</v>
      </c>
      <c r="F353" s="8">
        <v>0.85</v>
      </c>
      <c r="G353" s="16">
        <f>+Tabla114[[#This Row],[COSTO]]*1.19</f>
        <v>2451.9949999999999</v>
      </c>
      <c r="H353" s="26">
        <f>+Tabla114[[#This Row],[PRECIO INSTALADOR (IVA INCLUIDO)]]*5%</f>
        <v>144.23499999999999</v>
      </c>
      <c r="I353" s="25"/>
      <c r="J353" s="7">
        <v>2060.5</v>
      </c>
    </row>
    <row r="354" spans="1:10" ht="15" x14ac:dyDescent="0.25">
      <c r="A354" s="23" t="s">
        <v>696</v>
      </c>
      <c r="B354" s="24" t="s">
        <v>697</v>
      </c>
      <c r="C354" s="27">
        <f>+Tabla114[[#This Row],[COSTO CON IVA]]/Tabla114[[#This Row],[UTILIDAD]]</f>
        <v>3503.5</v>
      </c>
      <c r="D354" s="9">
        <f>+Tabla114[[#This Row],[PRECIO INSTALADOR (IVA INCLUIDO)]]-Tabla114[[#This Row],[DCTO TIENDA]]</f>
        <v>3328.3249999999998</v>
      </c>
      <c r="E354" s="9">
        <f>+Tabla114[[#This Row],[PRECIO INSTALADOR (IVA INCLUIDO)]]/0.7</f>
        <v>5005</v>
      </c>
      <c r="F354" s="8">
        <v>0.85</v>
      </c>
      <c r="G354" s="16">
        <f>+Tabla114[[#This Row],[COSTO]]*1.19</f>
        <v>2977.9749999999999</v>
      </c>
      <c r="H354" s="26">
        <f>+Tabla114[[#This Row],[PRECIO INSTALADOR (IVA INCLUIDO)]]*5%</f>
        <v>175.17500000000001</v>
      </c>
      <c r="I354" s="25"/>
      <c r="J354" s="7">
        <v>2502.5</v>
      </c>
    </row>
    <row r="355" spans="1:10" ht="15" x14ac:dyDescent="0.25">
      <c r="A355" s="23" t="s">
        <v>698</v>
      </c>
      <c r="B355" s="24" t="s">
        <v>699</v>
      </c>
      <c r="C355" s="27">
        <f>+Tabla114[[#This Row],[COSTO CON IVA]]/Tabla114[[#This Row],[UTILIDAD]]</f>
        <v>3094</v>
      </c>
      <c r="D355" s="9">
        <f>+Tabla114[[#This Row],[PRECIO INSTALADOR (IVA INCLUIDO)]]-Tabla114[[#This Row],[DCTO TIENDA]]</f>
        <v>2939.3</v>
      </c>
      <c r="E355" s="9">
        <f>+Tabla114[[#This Row],[PRECIO INSTALADOR (IVA INCLUIDO)]]/0.7</f>
        <v>4420</v>
      </c>
      <c r="F355" s="8">
        <v>0.85</v>
      </c>
      <c r="G355" s="16">
        <f>+Tabla114[[#This Row],[COSTO]]*1.19</f>
        <v>2629.9</v>
      </c>
      <c r="H355" s="26">
        <f>+Tabla114[[#This Row],[PRECIO INSTALADOR (IVA INCLUIDO)]]*5%</f>
        <v>154.70000000000002</v>
      </c>
      <c r="I355" s="25"/>
      <c r="J355" s="7">
        <v>2210</v>
      </c>
    </row>
    <row r="356" spans="1:10" ht="15" x14ac:dyDescent="0.25">
      <c r="A356" s="23" t="s">
        <v>700</v>
      </c>
      <c r="B356" s="24" t="s">
        <v>701</v>
      </c>
      <c r="C356" s="27">
        <f>+Tabla114[[#This Row],[COSTO CON IVA]]/Tabla114[[#This Row],[UTILIDAD]]</f>
        <v>2684.5</v>
      </c>
      <c r="D356" s="9">
        <f>+Tabla114[[#This Row],[PRECIO INSTALADOR (IVA INCLUIDO)]]-Tabla114[[#This Row],[DCTO TIENDA]]</f>
        <v>2550.2750000000001</v>
      </c>
      <c r="E356" s="9">
        <f>+Tabla114[[#This Row],[PRECIO INSTALADOR (IVA INCLUIDO)]]/0.7</f>
        <v>3835.0000000000005</v>
      </c>
      <c r="F356" s="8">
        <v>0.85</v>
      </c>
      <c r="G356" s="16">
        <f>+Tabla114[[#This Row],[COSTO]]*1.19</f>
        <v>2281.8249999999998</v>
      </c>
      <c r="H356" s="26">
        <f>+Tabla114[[#This Row],[PRECIO INSTALADOR (IVA INCLUIDO)]]*5%</f>
        <v>134.22499999999999</v>
      </c>
      <c r="I356" s="25"/>
      <c r="J356" s="7">
        <v>1917.5</v>
      </c>
    </row>
    <row r="357" spans="1:10" ht="15" x14ac:dyDescent="0.25">
      <c r="A357" s="23" t="s">
        <v>702</v>
      </c>
      <c r="B357" s="24" t="s">
        <v>703</v>
      </c>
      <c r="C357" s="27">
        <f>+Tabla114[[#This Row],[COSTO CON IVA]]/Tabla114[[#This Row],[UTILIDAD]]</f>
        <v>3367</v>
      </c>
      <c r="D357" s="9">
        <f>+Tabla114[[#This Row],[PRECIO INSTALADOR (IVA INCLUIDO)]]-Tabla114[[#This Row],[DCTO TIENDA]]</f>
        <v>3198.65</v>
      </c>
      <c r="E357" s="9">
        <f>+Tabla114[[#This Row],[PRECIO INSTALADOR (IVA INCLUIDO)]]/0.7</f>
        <v>4810</v>
      </c>
      <c r="F357" s="8">
        <v>0.85</v>
      </c>
      <c r="G357" s="16">
        <f>+Tabla114[[#This Row],[COSTO]]*1.19</f>
        <v>2861.95</v>
      </c>
      <c r="H357" s="26">
        <f>+Tabla114[[#This Row],[PRECIO INSTALADOR (IVA INCLUIDO)]]*5%</f>
        <v>168.35000000000002</v>
      </c>
      <c r="I357" s="25"/>
      <c r="J357" s="7">
        <v>2405</v>
      </c>
    </row>
    <row r="358" spans="1:10" ht="15" x14ac:dyDescent="0.25">
      <c r="A358" s="23" t="s">
        <v>704</v>
      </c>
      <c r="B358" s="24" t="s">
        <v>705</v>
      </c>
      <c r="C358" s="27">
        <f>+Tabla114[[#This Row],[COSTO CON IVA]]/Tabla114[[#This Row],[UTILIDAD]]</f>
        <v>2939.2999999999997</v>
      </c>
      <c r="D358" s="9">
        <f>+Tabla114[[#This Row],[PRECIO INSTALADOR (IVA INCLUIDO)]]-Tabla114[[#This Row],[DCTO TIENDA]]</f>
        <v>2792.3349999999996</v>
      </c>
      <c r="E358" s="9">
        <f>+Tabla114[[#This Row],[PRECIO INSTALADOR (IVA INCLUIDO)]]/0.7</f>
        <v>4199</v>
      </c>
      <c r="F358" s="8">
        <v>0.85</v>
      </c>
      <c r="G358" s="16">
        <f>+Tabla114[[#This Row],[COSTO]]*1.19</f>
        <v>2498.4049999999997</v>
      </c>
      <c r="H358" s="26">
        <f>+Tabla114[[#This Row],[PRECIO INSTALADOR (IVA INCLUIDO)]]*5%</f>
        <v>146.965</v>
      </c>
      <c r="I358" s="25"/>
      <c r="J358" s="7">
        <v>2099.5</v>
      </c>
    </row>
    <row r="359" spans="1:10" ht="15" x14ac:dyDescent="0.25">
      <c r="A359" s="23" t="s">
        <v>706</v>
      </c>
      <c r="B359" s="24" t="s">
        <v>707</v>
      </c>
      <c r="C359" s="27">
        <f>+Tabla114[[#This Row],[COSTO CON IVA]]/Tabla114[[#This Row],[UTILIDAD]]</f>
        <v>3913</v>
      </c>
      <c r="D359" s="9">
        <f>+Tabla114[[#This Row],[PRECIO INSTALADOR (IVA INCLUIDO)]]-Tabla114[[#This Row],[DCTO TIENDA]]</f>
        <v>3717.35</v>
      </c>
      <c r="E359" s="9">
        <f>+Tabla114[[#This Row],[PRECIO INSTALADOR (IVA INCLUIDO)]]/0.7</f>
        <v>5590</v>
      </c>
      <c r="F359" s="8">
        <v>0.85</v>
      </c>
      <c r="G359" s="16">
        <f>+Tabla114[[#This Row],[COSTO]]*1.19</f>
        <v>3326.0499999999997</v>
      </c>
      <c r="H359" s="26">
        <f>+Tabla114[[#This Row],[PRECIO INSTALADOR (IVA INCLUIDO)]]*5%</f>
        <v>195.65</v>
      </c>
      <c r="I359" s="25"/>
      <c r="J359" s="7">
        <v>2795</v>
      </c>
    </row>
    <row r="360" spans="1:10" ht="15" x14ac:dyDescent="0.25">
      <c r="A360" s="23" t="s">
        <v>708</v>
      </c>
      <c r="B360" s="24" t="s">
        <v>709</v>
      </c>
      <c r="C360" s="27">
        <f>+Tabla114[[#This Row],[COSTO CON IVA]]/Tabla114[[#This Row],[UTILIDAD]]</f>
        <v>4654.6499999999996</v>
      </c>
      <c r="D360" s="9">
        <f>+Tabla114[[#This Row],[PRECIO INSTALADOR (IVA INCLUIDO)]]-Tabla114[[#This Row],[DCTO TIENDA]]</f>
        <v>4421.9174999999996</v>
      </c>
      <c r="E360" s="9">
        <f>+Tabla114[[#This Row],[PRECIO INSTALADOR (IVA INCLUIDO)]]/0.7</f>
        <v>6649.5</v>
      </c>
      <c r="F360" s="8">
        <v>0.85</v>
      </c>
      <c r="G360" s="16">
        <f>+Tabla114[[#This Row],[COSTO]]*1.19</f>
        <v>3956.4524999999999</v>
      </c>
      <c r="H360" s="26">
        <f>+Tabla114[[#This Row],[PRECIO INSTALADOR (IVA INCLUIDO)]]*5%</f>
        <v>232.73249999999999</v>
      </c>
      <c r="I360" s="25"/>
      <c r="J360" s="7">
        <v>3324.75</v>
      </c>
    </row>
    <row r="361" spans="1:10" ht="15" x14ac:dyDescent="0.25">
      <c r="A361" s="23" t="s">
        <v>710</v>
      </c>
      <c r="B361" s="24" t="s">
        <v>711</v>
      </c>
      <c r="C361" s="27">
        <f>+Tabla114[[#This Row],[COSTO CON IVA]]/Tabla114[[#This Row],[UTILIDAD]]</f>
        <v>4277</v>
      </c>
      <c r="D361" s="9">
        <f>+Tabla114[[#This Row],[PRECIO INSTALADOR (IVA INCLUIDO)]]-Tabla114[[#This Row],[DCTO TIENDA]]</f>
        <v>4063.15</v>
      </c>
      <c r="E361" s="9">
        <f>+Tabla114[[#This Row],[PRECIO INSTALADOR (IVA INCLUIDO)]]/0.7</f>
        <v>6110</v>
      </c>
      <c r="F361" s="8">
        <v>0.85</v>
      </c>
      <c r="G361" s="16">
        <f>+Tabla114[[#This Row],[COSTO]]*1.19</f>
        <v>3635.45</v>
      </c>
      <c r="H361" s="26">
        <f>+Tabla114[[#This Row],[PRECIO INSTALADOR (IVA INCLUIDO)]]*5%</f>
        <v>213.85000000000002</v>
      </c>
      <c r="I361" s="25"/>
      <c r="J361" s="7">
        <v>3055</v>
      </c>
    </row>
    <row r="362" spans="1:10" ht="15" x14ac:dyDescent="0.25">
      <c r="A362" s="23" t="s">
        <v>712</v>
      </c>
      <c r="B362" s="24" t="s">
        <v>713</v>
      </c>
      <c r="C362" s="27">
        <f>+Tabla114[[#This Row],[COSTO CON IVA]]/Tabla114[[#This Row],[UTILIDAD]]</f>
        <v>3776.4999999999995</v>
      </c>
      <c r="D362" s="9">
        <f>+Tabla114[[#This Row],[PRECIO INSTALADOR (IVA INCLUIDO)]]-Tabla114[[#This Row],[DCTO TIENDA]]</f>
        <v>3587.6749999999997</v>
      </c>
      <c r="E362" s="9">
        <f>+Tabla114[[#This Row],[PRECIO INSTALADOR (IVA INCLUIDO)]]/0.7</f>
        <v>5395</v>
      </c>
      <c r="F362" s="8">
        <v>0.85</v>
      </c>
      <c r="G362" s="16">
        <f>+Tabla114[[#This Row],[COSTO]]*1.19</f>
        <v>3210.0249999999996</v>
      </c>
      <c r="H362" s="26">
        <f>+Tabla114[[#This Row],[PRECIO INSTALADOR (IVA INCLUIDO)]]*5%</f>
        <v>188.82499999999999</v>
      </c>
      <c r="I362" s="25"/>
      <c r="J362" s="7">
        <v>2697.5</v>
      </c>
    </row>
    <row r="363" spans="1:10" ht="15" x14ac:dyDescent="0.25">
      <c r="A363" s="23" t="s">
        <v>714</v>
      </c>
      <c r="B363" s="24" t="s">
        <v>715</v>
      </c>
      <c r="C363" s="27">
        <f>+Tabla114[[#This Row],[COSTO CON IVA]]/Tabla114[[#This Row],[UTILIDAD]]</f>
        <v>2639</v>
      </c>
      <c r="D363" s="9">
        <f>+Tabla114[[#This Row],[PRECIO INSTALADOR (IVA INCLUIDO)]]-Tabla114[[#This Row],[DCTO TIENDA]]</f>
        <v>2507.0500000000002</v>
      </c>
      <c r="E363" s="9">
        <f>+Tabla114[[#This Row],[PRECIO INSTALADOR (IVA INCLUIDO)]]/0.7</f>
        <v>3770.0000000000005</v>
      </c>
      <c r="F363" s="8">
        <v>0.85</v>
      </c>
      <c r="G363" s="16">
        <f>+Tabla114[[#This Row],[COSTO]]*1.19</f>
        <v>2243.15</v>
      </c>
      <c r="H363" s="26">
        <f>+Tabla114[[#This Row],[PRECIO INSTALADOR (IVA INCLUIDO)]]*5%</f>
        <v>131.95000000000002</v>
      </c>
      <c r="I363" s="25"/>
      <c r="J363" s="7">
        <v>1885</v>
      </c>
    </row>
    <row r="364" spans="1:10" ht="15" x14ac:dyDescent="0.25">
      <c r="A364" s="23" t="s">
        <v>716</v>
      </c>
      <c r="B364" s="24" t="s">
        <v>717</v>
      </c>
      <c r="C364" s="27">
        <f>+Tabla114[[#This Row],[COSTO CON IVA]]/Tabla114[[#This Row],[UTILIDAD]]</f>
        <v>2074.8000000000002</v>
      </c>
      <c r="D364" s="9">
        <f>+Tabla114[[#This Row],[PRECIO INSTALADOR (IVA INCLUIDO)]]-Tabla114[[#This Row],[DCTO TIENDA]]</f>
        <v>1971.0600000000002</v>
      </c>
      <c r="E364" s="9">
        <f>+Tabla114[[#This Row],[PRECIO INSTALADOR (IVA INCLUIDO)]]/0.7</f>
        <v>2964.0000000000005</v>
      </c>
      <c r="F364" s="8">
        <v>0.85</v>
      </c>
      <c r="G364" s="16">
        <f>+Tabla114[[#This Row],[COSTO]]*1.19</f>
        <v>1763.58</v>
      </c>
      <c r="H364" s="26">
        <f>+Tabla114[[#This Row],[PRECIO INSTALADOR (IVA INCLUIDO)]]*5%</f>
        <v>103.74000000000001</v>
      </c>
      <c r="I364" s="25"/>
      <c r="J364" s="7">
        <v>1482</v>
      </c>
    </row>
    <row r="365" spans="1:10" ht="15" x14ac:dyDescent="0.25">
      <c r="A365" s="23" t="s">
        <v>718</v>
      </c>
      <c r="B365" s="24" t="s">
        <v>719</v>
      </c>
      <c r="C365" s="27">
        <f>+Tabla114[[#This Row],[COSTO CON IVA]]/Tabla114[[#This Row],[UTILIDAD]]</f>
        <v>3749.2</v>
      </c>
      <c r="D365" s="9">
        <f>+Tabla114[[#This Row],[PRECIO INSTALADOR (IVA INCLUIDO)]]-Tabla114[[#This Row],[DCTO TIENDA]]</f>
        <v>3561.74</v>
      </c>
      <c r="E365" s="9">
        <f>+Tabla114[[#This Row],[PRECIO INSTALADOR (IVA INCLUIDO)]]/0.7</f>
        <v>5356</v>
      </c>
      <c r="F365" s="8">
        <v>0.85</v>
      </c>
      <c r="G365" s="16">
        <f>+Tabla114[[#This Row],[COSTO]]*1.19</f>
        <v>3186.8199999999997</v>
      </c>
      <c r="H365" s="26">
        <f>+Tabla114[[#This Row],[PRECIO INSTALADOR (IVA INCLUIDO)]]*5%</f>
        <v>187.46</v>
      </c>
      <c r="I365" s="25"/>
      <c r="J365" s="7">
        <v>2678</v>
      </c>
    </row>
    <row r="366" spans="1:10" ht="15" x14ac:dyDescent="0.25">
      <c r="A366" s="23" t="s">
        <v>720</v>
      </c>
      <c r="B366" s="24" t="s">
        <v>721</v>
      </c>
      <c r="C366" s="27">
        <f>+Tabla114[[#This Row],[COSTO CON IVA]]/Tabla114[[#This Row],[UTILIDAD]]</f>
        <v>3749.2</v>
      </c>
      <c r="D366" s="9">
        <f>+Tabla114[[#This Row],[PRECIO INSTALADOR (IVA INCLUIDO)]]-Tabla114[[#This Row],[DCTO TIENDA]]</f>
        <v>3561.74</v>
      </c>
      <c r="E366" s="9">
        <f>+Tabla114[[#This Row],[PRECIO INSTALADOR (IVA INCLUIDO)]]/0.7</f>
        <v>5356</v>
      </c>
      <c r="F366" s="8">
        <v>0.85</v>
      </c>
      <c r="G366" s="16">
        <f>+Tabla114[[#This Row],[COSTO]]*1.19</f>
        <v>3186.8199999999997</v>
      </c>
      <c r="H366" s="26">
        <f>+Tabla114[[#This Row],[PRECIO INSTALADOR (IVA INCLUIDO)]]*5%</f>
        <v>187.46</v>
      </c>
      <c r="I366" s="25"/>
      <c r="J366" s="7">
        <v>2678</v>
      </c>
    </row>
    <row r="367" spans="1:10" ht="15" x14ac:dyDescent="0.25">
      <c r="A367" s="23" t="s">
        <v>722</v>
      </c>
      <c r="B367" s="24" t="s">
        <v>723</v>
      </c>
      <c r="C367" s="27">
        <f>+Tabla114[[#This Row],[COSTO CON IVA]]/Tabla114[[#This Row],[UTILIDAD]]</f>
        <v>3749.2</v>
      </c>
      <c r="D367" s="9">
        <f>+Tabla114[[#This Row],[PRECIO INSTALADOR (IVA INCLUIDO)]]-Tabla114[[#This Row],[DCTO TIENDA]]</f>
        <v>3561.74</v>
      </c>
      <c r="E367" s="9">
        <f>+Tabla114[[#This Row],[PRECIO INSTALADOR (IVA INCLUIDO)]]/0.7</f>
        <v>5356</v>
      </c>
      <c r="F367" s="8">
        <v>0.85</v>
      </c>
      <c r="G367" s="16">
        <f>+Tabla114[[#This Row],[COSTO]]*1.19</f>
        <v>3186.8199999999997</v>
      </c>
      <c r="H367" s="26">
        <f>+Tabla114[[#This Row],[PRECIO INSTALADOR (IVA INCLUIDO)]]*5%</f>
        <v>187.46</v>
      </c>
      <c r="I367" s="25"/>
      <c r="J367" s="7">
        <v>2678</v>
      </c>
    </row>
    <row r="368" spans="1:10" ht="15" x14ac:dyDescent="0.25">
      <c r="A368" s="23" t="s">
        <v>724</v>
      </c>
      <c r="B368" s="24" t="s">
        <v>725</v>
      </c>
      <c r="C368" s="27">
        <f>+Tabla114[[#This Row],[COSTO CON IVA]]/Tabla114[[#This Row],[UTILIDAD]]</f>
        <v>3749.2</v>
      </c>
      <c r="D368" s="9">
        <f>+Tabla114[[#This Row],[PRECIO INSTALADOR (IVA INCLUIDO)]]-Tabla114[[#This Row],[DCTO TIENDA]]</f>
        <v>3561.74</v>
      </c>
      <c r="E368" s="9">
        <f>+Tabla114[[#This Row],[PRECIO INSTALADOR (IVA INCLUIDO)]]/0.7</f>
        <v>5356</v>
      </c>
      <c r="F368" s="8">
        <v>0.85</v>
      </c>
      <c r="G368" s="16">
        <f>+Tabla114[[#This Row],[COSTO]]*1.19</f>
        <v>3186.8199999999997</v>
      </c>
      <c r="H368" s="26">
        <f>+Tabla114[[#This Row],[PRECIO INSTALADOR (IVA INCLUIDO)]]*5%</f>
        <v>187.46</v>
      </c>
      <c r="I368" s="25"/>
      <c r="J368" s="7">
        <v>2678</v>
      </c>
    </row>
    <row r="369" spans="1:10" ht="15" x14ac:dyDescent="0.25">
      <c r="A369" s="23" t="s">
        <v>726</v>
      </c>
      <c r="B369" s="24" t="s">
        <v>727</v>
      </c>
      <c r="C369" s="27">
        <f>+Tabla114[[#This Row],[COSTO CON IVA]]/Tabla114[[#This Row],[UTILIDAD]]</f>
        <v>3749.2</v>
      </c>
      <c r="D369" s="9">
        <f>+Tabla114[[#This Row],[PRECIO INSTALADOR (IVA INCLUIDO)]]-Tabla114[[#This Row],[DCTO TIENDA]]</f>
        <v>3561.74</v>
      </c>
      <c r="E369" s="9">
        <f>+Tabla114[[#This Row],[PRECIO INSTALADOR (IVA INCLUIDO)]]/0.7</f>
        <v>5356</v>
      </c>
      <c r="F369" s="8">
        <v>0.85</v>
      </c>
      <c r="G369" s="16">
        <f>+Tabla114[[#This Row],[COSTO]]*1.19</f>
        <v>3186.8199999999997</v>
      </c>
      <c r="H369" s="26">
        <f>+Tabla114[[#This Row],[PRECIO INSTALADOR (IVA INCLUIDO)]]*5%</f>
        <v>187.46</v>
      </c>
      <c r="I369" s="25"/>
      <c r="J369" s="7">
        <v>2678</v>
      </c>
    </row>
    <row r="370" spans="1:10" ht="15" x14ac:dyDescent="0.25">
      <c r="A370" s="23" t="s">
        <v>728</v>
      </c>
      <c r="B370" s="24" t="s">
        <v>729</v>
      </c>
      <c r="C370" s="27">
        <f>+Tabla114[[#This Row],[COSTO CON IVA]]/Tabla114[[#This Row],[UTILIDAD]]</f>
        <v>783.51</v>
      </c>
      <c r="D370" s="9">
        <f>+Tabla114[[#This Row],[PRECIO INSTALADOR (IVA INCLUIDO)]]-Tabla114[[#This Row],[DCTO TIENDA]]</f>
        <v>744.33449999999993</v>
      </c>
      <c r="E370" s="9">
        <f>+Tabla114[[#This Row],[PRECIO INSTALADOR (IVA INCLUIDO)]]/0.7</f>
        <v>1119.3</v>
      </c>
      <c r="F370" s="8">
        <v>0.85</v>
      </c>
      <c r="G370" s="16">
        <f>+Tabla114[[#This Row],[COSTO]]*1.19</f>
        <v>665.98349999999994</v>
      </c>
      <c r="H370" s="26">
        <f>+Tabla114[[#This Row],[PRECIO INSTALADOR (IVA INCLUIDO)]]*5%</f>
        <v>39.1755</v>
      </c>
      <c r="I370" s="25"/>
      <c r="J370" s="7">
        <v>559.65</v>
      </c>
    </row>
    <row r="371" spans="1:10" ht="15" x14ac:dyDescent="0.25">
      <c r="A371" s="23" t="s">
        <v>730</v>
      </c>
      <c r="B371" s="24" t="s">
        <v>731</v>
      </c>
      <c r="C371" s="27">
        <f>+Tabla114[[#This Row],[COSTO CON IVA]]/Tabla114[[#This Row],[UTILIDAD]]</f>
        <v>783.51</v>
      </c>
      <c r="D371" s="9">
        <f>+Tabla114[[#This Row],[PRECIO INSTALADOR (IVA INCLUIDO)]]-Tabla114[[#This Row],[DCTO TIENDA]]</f>
        <v>744.33449999999993</v>
      </c>
      <c r="E371" s="9">
        <f>+Tabla114[[#This Row],[PRECIO INSTALADOR (IVA INCLUIDO)]]/0.7</f>
        <v>1119.3</v>
      </c>
      <c r="F371" s="8">
        <v>0.85</v>
      </c>
      <c r="G371" s="16">
        <f>+Tabla114[[#This Row],[COSTO]]*1.19</f>
        <v>665.98349999999994</v>
      </c>
      <c r="H371" s="26">
        <f>+Tabla114[[#This Row],[PRECIO INSTALADOR (IVA INCLUIDO)]]*5%</f>
        <v>39.1755</v>
      </c>
      <c r="I371" s="25"/>
      <c r="J371" s="7">
        <v>559.65</v>
      </c>
    </row>
    <row r="372" spans="1:10" ht="15" x14ac:dyDescent="0.25">
      <c r="A372" s="23" t="s">
        <v>732</v>
      </c>
      <c r="B372" s="24" t="s">
        <v>733</v>
      </c>
      <c r="C372" s="27">
        <f>+Tabla114[[#This Row],[COSTO CON IVA]]/Tabla114[[#This Row],[UTILIDAD]]</f>
        <v>1446.9</v>
      </c>
      <c r="D372" s="9">
        <f>+Tabla114[[#This Row],[PRECIO INSTALADOR (IVA INCLUIDO)]]-Tabla114[[#This Row],[DCTO TIENDA]]</f>
        <v>1374.5550000000001</v>
      </c>
      <c r="E372" s="9">
        <f>+Tabla114[[#This Row],[PRECIO INSTALADOR (IVA INCLUIDO)]]/0.7</f>
        <v>2067.0000000000005</v>
      </c>
      <c r="F372" s="8">
        <v>0.85</v>
      </c>
      <c r="G372" s="16">
        <f>+Tabla114[[#This Row],[COSTO]]*1.19</f>
        <v>1229.865</v>
      </c>
      <c r="H372" s="26">
        <f>+Tabla114[[#This Row],[PRECIO INSTALADOR (IVA INCLUIDO)]]*5%</f>
        <v>72.345000000000013</v>
      </c>
      <c r="I372" s="25"/>
      <c r="J372" s="7">
        <v>1033.5</v>
      </c>
    </row>
    <row r="373" spans="1:10" ht="15" x14ac:dyDescent="0.25">
      <c r="A373" s="23" t="s">
        <v>734</v>
      </c>
      <c r="B373" s="24" t="s">
        <v>735</v>
      </c>
      <c r="C373" s="27">
        <f>+Tabla114[[#This Row],[COSTO CON IVA]]/Tabla114[[#This Row],[UTILIDAD]]</f>
        <v>3749.2</v>
      </c>
      <c r="D373" s="9">
        <f>+Tabla114[[#This Row],[PRECIO INSTALADOR (IVA INCLUIDO)]]-Tabla114[[#This Row],[DCTO TIENDA]]</f>
        <v>3561.74</v>
      </c>
      <c r="E373" s="9">
        <f>+Tabla114[[#This Row],[PRECIO INSTALADOR (IVA INCLUIDO)]]/0.7</f>
        <v>5356</v>
      </c>
      <c r="F373" s="8">
        <v>0.85</v>
      </c>
      <c r="G373" s="16">
        <f>+Tabla114[[#This Row],[COSTO]]*1.19</f>
        <v>3186.8199999999997</v>
      </c>
      <c r="H373" s="26">
        <f>+Tabla114[[#This Row],[PRECIO INSTALADOR (IVA INCLUIDO)]]*5%</f>
        <v>187.46</v>
      </c>
      <c r="I373" s="25"/>
      <c r="J373" s="7">
        <v>2678</v>
      </c>
    </row>
    <row r="374" spans="1:10" ht="15" x14ac:dyDescent="0.25">
      <c r="A374" s="29" t="s">
        <v>736</v>
      </c>
      <c r="B374" s="30" t="s">
        <v>737</v>
      </c>
      <c r="C374" s="27">
        <f>+Tabla114[[#This Row],[COSTO CON IVA]]/Tabla114[[#This Row],[UTILIDAD]]</f>
        <v>69342</v>
      </c>
      <c r="D374" s="9">
        <f>+Tabla114[[#This Row],[PRECIO INSTALADOR (IVA INCLUIDO)]]-Tabla114[[#This Row],[DCTO TIENDA]]</f>
        <v>65874.899999999994</v>
      </c>
      <c r="E374" s="9">
        <f>+Tabla114[[#This Row],[PRECIO INSTALADOR (IVA INCLUIDO)]]/0.7</f>
        <v>99060</v>
      </c>
      <c r="F374" s="8">
        <v>0.85</v>
      </c>
      <c r="G374" s="16">
        <f>+Tabla114[[#This Row],[COSTO]]*1.19</f>
        <v>58940.7</v>
      </c>
      <c r="H374" s="26">
        <f>+Tabla114[[#This Row],[PRECIO INSTALADOR (IVA INCLUIDO)]]*5%</f>
        <v>3467.1000000000004</v>
      </c>
      <c r="I374" s="25"/>
      <c r="J374" s="7">
        <v>49530</v>
      </c>
    </row>
    <row r="375" spans="1:10" ht="15" x14ac:dyDescent="0.25">
      <c r="A375" s="23" t="s">
        <v>738</v>
      </c>
      <c r="B375" s="24" t="s">
        <v>739</v>
      </c>
      <c r="C375" s="27">
        <f>+Tabla114[[#This Row],[COSTO CON IVA]]/Tabla114[[#This Row],[UTILIDAD]]</f>
        <v>104832</v>
      </c>
      <c r="D375" s="9">
        <f>+Tabla114[[#This Row],[PRECIO INSTALADOR (IVA INCLUIDO)]]-Tabla114[[#This Row],[DCTO TIENDA]]</f>
        <v>99590.399999999994</v>
      </c>
      <c r="E375" s="9">
        <f>+Tabla114[[#This Row],[PRECIO INSTALADOR (IVA INCLUIDO)]]/0.7</f>
        <v>149760</v>
      </c>
      <c r="F375" s="8">
        <v>0.85</v>
      </c>
      <c r="G375" s="16">
        <f>+Tabla114[[#This Row],[COSTO]]*1.19</f>
        <v>89107.199999999997</v>
      </c>
      <c r="H375" s="26">
        <f>+Tabla114[[#This Row],[PRECIO INSTALADOR (IVA INCLUIDO)]]*5%</f>
        <v>5241.6000000000004</v>
      </c>
      <c r="I375" s="25"/>
      <c r="J375" s="7">
        <v>74880</v>
      </c>
    </row>
    <row r="376" spans="1:10" ht="15" x14ac:dyDescent="0.25">
      <c r="A376" s="23" t="s">
        <v>740</v>
      </c>
      <c r="B376" s="24" t="s">
        <v>741</v>
      </c>
      <c r="C376" s="27">
        <f>+Tabla114[[#This Row],[COSTO CON IVA]]/Tabla114[[#This Row],[UTILIDAD]]</f>
        <v>119301</v>
      </c>
      <c r="D376" s="9">
        <f>+Tabla114[[#This Row],[PRECIO INSTALADOR (IVA INCLUIDO)]]-Tabla114[[#This Row],[DCTO TIENDA]]</f>
        <v>113335.95</v>
      </c>
      <c r="E376" s="9">
        <f>+Tabla114[[#This Row],[PRECIO INSTALADOR (IVA INCLUIDO)]]/0.7</f>
        <v>170430</v>
      </c>
      <c r="F376" s="8">
        <v>0.85</v>
      </c>
      <c r="G376" s="16">
        <f>+Tabla114[[#This Row],[COSTO]]*1.19</f>
        <v>101405.84999999999</v>
      </c>
      <c r="H376" s="26">
        <f>+Tabla114[[#This Row],[PRECIO INSTALADOR (IVA INCLUIDO)]]*5%</f>
        <v>5965.05</v>
      </c>
      <c r="I376" s="25"/>
      <c r="J376" s="7">
        <v>85215</v>
      </c>
    </row>
    <row r="377" spans="1:10" ht="15" x14ac:dyDescent="0.25">
      <c r="A377" s="23" t="s">
        <v>742</v>
      </c>
      <c r="B377" s="24" t="s">
        <v>743</v>
      </c>
      <c r="C377" s="27">
        <f>+Tabla114[[#This Row],[COSTO CON IVA]]/Tabla114[[#This Row],[UTILIDAD]]</f>
        <v>84084</v>
      </c>
      <c r="D377" s="9">
        <f>+Tabla114[[#This Row],[PRECIO INSTALADOR (IVA INCLUIDO)]]-Tabla114[[#This Row],[DCTO TIENDA]]</f>
        <v>79879.8</v>
      </c>
      <c r="E377" s="9">
        <f>+Tabla114[[#This Row],[PRECIO INSTALADOR (IVA INCLUIDO)]]/0.7</f>
        <v>120120.00000000001</v>
      </c>
      <c r="F377" s="8">
        <v>0.85</v>
      </c>
      <c r="G377" s="16">
        <f>+Tabla114[[#This Row],[COSTO]]*1.19</f>
        <v>71471.399999999994</v>
      </c>
      <c r="H377" s="26">
        <f>+Tabla114[[#This Row],[PRECIO INSTALADOR (IVA INCLUIDO)]]*5%</f>
        <v>4204.2</v>
      </c>
      <c r="I377" s="25"/>
      <c r="J377" s="7">
        <v>60060</v>
      </c>
    </row>
    <row r="378" spans="1:10" ht="15" x14ac:dyDescent="0.25">
      <c r="A378" s="23" t="s">
        <v>744</v>
      </c>
      <c r="B378" s="24" t="s">
        <v>745</v>
      </c>
      <c r="C378" s="27">
        <f>+Tabla114[[#This Row],[COSTO CON IVA]]/Tabla114[[#This Row],[UTILIDAD]]</f>
        <v>66830.399999999994</v>
      </c>
      <c r="D378" s="9">
        <f>+Tabla114[[#This Row],[PRECIO INSTALADOR (IVA INCLUIDO)]]-Tabla114[[#This Row],[DCTO TIENDA]]</f>
        <v>63488.88</v>
      </c>
      <c r="E378" s="9">
        <f>+Tabla114[[#This Row],[PRECIO INSTALADOR (IVA INCLUIDO)]]/0.7</f>
        <v>95472</v>
      </c>
      <c r="F378" s="8">
        <v>0.85</v>
      </c>
      <c r="G378" s="16">
        <f>+Tabla114[[#This Row],[COSTO]]*1.19</f>
        <v>56805.84</v>
      </c>
      <c r="H378" s="26">
        <f>+Tabla114[[#This Row],[PRECIO INSTALADOR (IVA INCLUIDO)]]*5%</f>
        <v>3341.52</v>
      </c>
      <c r="I378" s="25"/>
      <c r="J378" s="7">
        <v>47736</v>
      </c>
    </row>
    <row r="379" spans="1:10" ht="15" x14ac:dyDescent="0.25">
      <c r="A379" s="23" t="s">
        <v>746</v>
      </c>
      <c r="B379" s="24" t="s">
        <v>747</v>
      </c>
      <c r="C379" s="27">
        <f>+Tabla114[[#This Row],[COSTO CON IVA]]/Tabla114[[#This Row],[UTILIDAD]]</f>
        <v>101337.59999999999</v>
      </c>
      <c r="D379" s="9">
        <f>+Tabla114[[#This Row],[PRECIO INSTALADOR (IVA INCLUIDO)]]-Tabla114[[#This Row],[DCTO TIENDA]]</f>
        <v>96270.719999999987</v>
      </c>
      <c r="E379" s="9">
        <f>+Tabla114[[#This Row],[PRECIO INSTALADOR (IVA INCLUIDO)]]/0.7</f>
        <v>144768</v>
      </c>
      <c r="F379" s="8">
        <v>0.85</v>
      </c>
      <c r="G379" s="16">
        <f>+Tabla114[[#This Row],[COSTO]]*1.19</f>
        <v>86136.959999999992</v>
      </c>
      <c r="H379" s="26">
        <f>+Tabla114[[#This Row],[PRECIO INSTALADOR (IVA INCLUIDO)]]*5%</f>
        <v>5066.88</v>
      </c>
      <c r="I379" s="25"/>
      <c r="J379" s="7">
        <v>72384</v>
      </c>
    </row>
    <row r="380" spans="1:10" ht="15" x14ac:dyDescent="0.25">
      <c r="A380" s="23" t="s">
        <v>748</v>
      </c>
      <c r="B380" s="24" t="s">
        <v>749</v>
      </c>
      <c r="C380" s="27">
        <f>+Tabla114[[#This Row],[COSTO CON IVA]]/Tabla114[[#This Row],[UTILIDAD]]</f>
        <v>115315.2</v>
      </c>
      <c r="D380" s="9">
        <f>+Tabla114[[#This Row],[PRECIO INSTALADOR (IVA INCLUIDO)]]-Tabla114[[#This Row],[DCTO TIENDA]]</f>
        <v>109549.44</v>
      </c>
      <c r="E380" s="9">
        <f>+Tabla114[[#This Row],[PRECIO INSTALADOR (IVA INCLUIDO)]]/0.7</f>
        <v>164736</v>
      </c>
      <c r="F380" s="8">
        <v>0.85</v>
      </c>
      <c r="G380" s="16">
        <f>+Tabla114[[#This Row],[COSTO]]*1.19</f>
        <v>98017.919999999998</v>
      </c>
      <c r="H380" s="26">
        <f>+Tabla114[[#This Row],[PRECIO INSTALADOR (IVA INCLUIDO)]]*5%</f>
        <v>5765.76</v>
      </c>
      <c r="I380" s="25"/>
      <c r="J380" s="7">
        <v>82368</v>
      </c>
    </row>
    <row r="381" spans="1:10" ht="15" x14ac:dyDescent="0.25">
      <c r="A381" s="23" t="s">
        <v>750</v>
      </c>
      <c r="B381" s="24" t="s">
        <v>751</v>
      </c>
      <c r="C381" s="27">
        <f>+Tabla114[[#This Row],[COSTO CON IVA]]/Tabla114[[#This Row],[UTILIDAD]]</f>
        <v>81354</v>
      </c>
      <c r="D381" s="9">
        <f>+Tabla114[[#This Row],[PRECIO INSTALADOR (IVA INCLUIDO)]]-Tabla114[[#This Row],[DCTO TIENDA]]</f>
        <v>77286.3</v>
      </c>
      <c r="E381" s="9">
        <f>+Tabla114[[#This Row],[PRECIO INSTALADOR (IVA INCLUIDO)]]/0.7</f>
        <v>116220.00000000001</v>
      </c>
      <c r="F381" s="8">
        <v>0.85</v>
      </c>
      <c r="G381" s="16">
        <f>+Tabla114[[#This Row],[COSTO]]*1.19</f>
        <v>69150.899999999994</v>
      </c>
      <c r="H381" s="26">
        <f>+Tabla114[[#This Row],[PRECIO INSTALADOR (IVA INCLUIDO)]]*5%</f>
        <v>4067.7000000000003</v>
      </c>
      <c r="I381" s="25"/>
      <c r="J381" s="7">
        <v>58110</v>
      </c>
    </row>
    <row r="382" spans="1:10" ht="15" x14ac:dyDescent="0.25">
      <c r="A382" s="23" t="s">
        <v>752</v>
      </c>
      <c r="B382" s="24" t="s">
        <v>753</v>
      </c>
      <c r="C382" s="27">
        <f>+Tabla114[[#This Row],[COSTO CON IVA]]/Tabla114[[#This Row],[UTILIDAD]]</f>
        <v>66830.399999999994</v>
      </c>
      <c r="D382" s="9">
        <f>+Tabla114[[#This Row],[PRECIO INSTALADOR (IVA INCLUIDO)]]-Tabla114[[#This Row],[DCTO TIENDA]]</f>
        <v>63488.88</v>
      </c>
      <c r="E382" s="9">
        <f>+Tabla114[[#This Row],[PRECIO INSTALADOR (IVA INCLUIDO)]]/0.7</f>
        <v>95472</v>
      </c>
      <c r="F382" s="8">
        <v>0.85</v>
      </c>
      <c r="G382" s="16">
        <f>+Tabla114[[#This Row],[COSTO]]*1.19</f>
        <v>56805.84</v>
      </c>
      <c r="H382" s="26">
        <f>+Tabla114[[#This Row],[PRECIO INSTALADOR (IVA INCLUIDO)]]*5%</f>
        <v>3341.52</v>
      </c>
      <c r="I382" s="25"/>
      <c r="J382" s="7">
        <v>47736</v>
      </c>
    </row>
    <row r="383" spans="1:10" ht="15" x14ac:dyDescent="0.25">
      <c r="A383" s="23" t="s">
        <v>754</v>
      </c>
      <c r="B383" s="24" t="s">
        <v>755</v>
      </c>
      <c r="C383" s="27">
        <f>+Tabla114[[#This Row],[COSTO CON IVA]]/Tabla114[[#This Row],[UTILIDAD]]</f>
        <v>101337.59999999999</v>
      </c>
      <c r="D383" s="9">
        <f>+Tabla114[[#This Row],[PRECIO INSTALADOR (IVA INCLUIDO)]]-Tabla114[[#This Row],[DCTO TIENDA]]</f>
        <v>96270.719999999987</v>
      </c>
      <c r="E383" s="9">
        <f>+Tabla114[[#This Row],[PRECIO INSTALADOR (IVA INCLUIDO)]]/0.7</f>
        <v>144768</v>
      </c>
      <c r="F383" s="8">
        <v>0.85</v>
      </c>
      <c r="G383" s="16">
        <f>+Tabla114[[#This Row],[COSTO]]*1.19</f>
        <v>86136.959999999992</v>
      </c>
      <c r="H383" s="26">
        <f>+Tabla114[[#This Row],[PRECIO INSTALADOR (IVA INCLUIDO)]]*5%</f>
        <v>5066.88</v>
      </c>
      <c r="I383" s="25"/>
      <c r="J383" s="7">
        <v>72384</v>
      </c>
    </row>
    <row r="384" spans="1:10" ht="15" x14ac:dyDescent="0.25">
      <c r="A384" s="23" t="s">
        <v>756</v>
      </c>
      <c r="B384" s="24" t="s">
        <v>757</v>
      </c>
      <c r="C384" s="27">
        <f>+Tabla114[[#This Row],[COSTO CON IVA]]/Tabla114[[#This Row],[UTILIDAD]]</f>
        <v>115315.2</v>
      </c>
      <c r="D384" s="9">
        <f>+Tabla114[[#This Row],[PRECIO INSTALADOR (IVA INCLUIDO)]]-Tabla114[[#This Row],[DCTO TIENDA]]</f>
        <v>109549.44</v>
      </c>
      <c r="E384" s="9">
        <f>+Tabla114[[#This Row],[PRECIO INSTALADOR (IVA INCLUIDO)]]/0.7</f>
        <v>164736</v>
      </c>
      <c r="F384" s="8">
        <v>0.85</v>
      </c>
      <c r="G384" s="16">
        <f>+Tabla114[[#This Row],[COSTO]]*1.19</f>
        <v>98017.919999999998</v>
      </c>
      <c r="H384" s="26">
        <f>+Tabla114[[#This Row],[PRECIO INSTALADOR (IVA INCLUIDO)]]*5%</f>
        <v>5765.76</v>
      </c>
      <c r="I384" s="25"/>
      <c r="J384" s="7">
        <v>82368</v>
      </c>
    </row>
    <row r="385" spans="1:10" ht="15" x14ac:dyDescent="0.25">
      <c r="A385" s="23" t="s">
        <v>758</v>
      </c>
      <c r="B385" s="24" t="s">
        <v>759</v>
      </c>
      <c r="C385" s="27">
        <f>+Tabla114[[#This Row],[COSTO CON IVA]]/Tabla114[[#This Row],[UTILIDAD]]</f>
        <v>81354</v>
      </c>
      <c r="D385" s="9">
        <f>+Tabla114[[#This Row],[PRECIO INSTALADOR (IVA INCLUIDO)]]-Tabla114[[#This Row],[DCTO TIENDA]]</f>
        <v>77286.3</v>
      </c>
      <c r="E385" s="9">
        <f>+Tabla114[[#This Row],[PRECIO INSTALADOR (IVA INCLUIDO)]]/0.7</f>
        <v>116220.00000000001</v>
      </c>
      <c r="F385" s="8">
        <v>0.85</v>
      </c>
      <c r="G385" s="16">
        <f>+Tabla114[[#This Row],[COSTO]]*1.19</f>
        <v>69150.899999999994</v>
      </c>
      <c r="H385" s="26">
        <f>+Tabla114[[#This Row],[PRECIO INSTALADOR (IVA INCLUIDO)]]*5%</f>
        <v>4067.7000000000003</v>
      </c>
      <c r="I385" s="25"/>
      <c r="J385" s="7">
        <v>58110</v>
      </c>
    </row>
    <row r="386" spans="1:10" ht="15" x14ac:dyDescent="0.25">
      <c r="A386" s="23" t="s">
        <v>760</v>
      </c>
      <c r="B386" s="24" t="s">
        <v>761</v>
      </c>
      <c r="C386" s="27">
        <f>+Tabla114[[#This Row],[COSTO CON IVA]]/Tabla114[[#This Row],[UTILIDAD]]</f>
        <v>81681.600000000006</v>
      </c>
      <c r="D386" s="9">
        <f>+Tabla114[[#This Row],[PRECIO INSTALADOR (IVA INCLUIDO)]]-Tabla114[[#This Row],[DCTO TIENDA]]</f>
        <v>77597.52</v>
      </c>
      <c r="E386" s="9">
        <f>+Tabla114[[#This Row],[PRECIO INSTALADOR (IVA INCLUIDO)]]/0.7</f>
        <v>116688.00000000001</v>
      </c>
      <c r="F386" s="8">
        <v>0.85</v>
      </c>
      <c r="G386" s="16">
        <f>+Tabla114[[#This Row],[COSTO]]*1.19</f>
        <v>69429.36</v>
      </c>
      <c r="H386" s="26">
        <f>+Tabla114[[#This Row],[PRECIO INSTALADOR (IVA INCLUIDO)]]*5%</f>
        <v>4084.0800000000004</v>
      </c>
      <c r="I386" s="25"/>
      <c r="J386" s="7">
        <v>58344</v>
      </c>
    </row>
    <row r="387" spans="1:10" ht="15" x14ac:dyDescent="0.25">
      <c r="A387" s="23" t="s">
        <v>762</v>
      </c>
      <c r="B387" s="24" t="s">
        <v>763</v>
      </c>
      <c r="C387" s="27">
        <f>+Tabla114[[#This Row],[COSTO CON IVA]]/Tabla114[[#This Row],[UTILIDAD]]</f>
        <v>119683.20000000001</v>
      </c>
      <c r="D387" s="9">
        <f>+Tabla114[[#This Row],[PRECIO INSTALADOR (IVA INCLUIDO)]]-Tabla114[[#This Row],[DCTO TIENDA]]</f>
        <v>113699.04000000001</v>
      </c>
      <c r="E387" s="9">
        <f>+Tabla114[[#This Row],[PRECIO INSTALADOR (IVA INCLUIDO)]]/0.7</f>
        <v>170976.00000000003</v>
      </c>
      <c r="F387" s="8">
        <v>0.85</v>
      </c>
      <c r="G387" s="16">
        <f>+Tabla114[[#This Row],[COSTO]]*1.19</f>
        <v>101730.72</v>
      </c>
      <c r="H387" s="26">
        <f>+Tabla114[[#This Row],[PRECIO INSTALADOR (IVA INCLUIDO)]]*5%</f>
        <v>5984.1600000000008</v>
      </c>
      <c r="I387" s="25"/>
      <c r="J387" s="7">
        <v>85488</v>
      </c>
    </row>
    <row r="388" spans="1:10" ht="15" x14ac:dyDescent="0.25">
      <c r="A388" s="23" t="s">
        <v>764</v>
      </c>
      <c r="B388" s="24" t="s">
        <v>765</v>
      </c>
      <c r="C388" s="27">
        <f>+Tabla114[[#This Row],[COSTO CON IVA]]/Tabla114[[#This Row],[UTILIDAD]]</f>
        <v>130166.39999999999</v>
      </c>
      <c r="D388" s="9">
        <f>+Tabla114[[#This Row],[PRECIO INSTALADOR (IVA INCLUIDO)]]-Tabla114[[#This Row],[DCTO TIENDA]]</f>
        <v>123658.07999999999</v>
      </c>
      <c r="E388" s="9">
        <f>+Tabla114[[#This Row],[PRECIO INSTALADOR (IVA INCLUIDO)]]/0.7</f>
        <v>185952</v>
      </c>
      <c r="F388" s="8">
        <v>0.85</v>
      </c>
      <c r="G388" s="16">
        <f>+Tabla114[[#This Row],[COSTO]]*1.19</f>
        <v>110641.43999999999</v>
      </c>
      <c r="H388" s="26">
        <f>+Tabla114[[#This Row],[PRECIO INSTALADOR (IVA INCLUIDO)]]*5%</f>
        <v>6508.32</v>
      </c>
      <c r="I388" s="25"/>
      <c r="J388" s="7">
        <v>92976</v>
      </c>
    </row>
    <row r="389" spans="1:10" ht="15" x14ac:dyDescent="0.25">
      <c r="A389" s="23" t="s">
        <v>766</v>
      </c>
      <c r="B389" s="24" t="s">
        <v>767</v>
      </c>
      <c r="C389" s="27">
        <f>+Tabla114[[#This Row],[COSTO CON IVA]]/Tabla114[[#This Row],[UTILIDAD]]</f>
        <v>99044.4</v>
      </c>
      <c r="D389" s="9">
        <f>+Tabla114[[#This Row],[PRECIO INSTALADOR (IVA INCLUIDO)]]-Tabla114[[#This Row],[DCTO TIENDA]]</f>
        <v>94092.18</v>
      </c>
      <c r="E389" s="9">
        <f>+Tabla114[[#This Row],[PRECIO INSTALADOR (IVA INCLUIDO)]]/0.7</f>
        <v>141492</v>
      </c>
      <c r="F389" s="8">
        <v>0.85</v>
      </c>
      <c r="G389" s="16">
        <f>+Tabla114[[#This Row],[COSTO]]*1.19</f>
        <v>84187.739999999991</v>
      </c>
      <c r="H389" s="26">
        <f>+Tabla114[[#This Row],[PRECIO INSTALADOR (IVA INCLUIDO)]]*5%</f>
        <v>4952.22</v>
      </c>
      <c r="I389" s="25"/>
      <c r="J389" s="7">
        <v>70746</v>
      </c>
    </row>
    <row r="390" spans="1:10" ht="15" x14ac:dyDescent="0.25">
      <c r="A390" s="23" t="s">
        <v>768</v>
      </c>
      <c r="B390" s="24" t="s">
        <v>769</v>
      </c>
      <c r="C390" s="27">
        <f>+Tabla114[[#This Row],[COSTO CON IVA]]/Tabla114[[#This Row],[UTILIDAD]]</f>
        <v>94421.6</v>
      </c>
      <c r="D390" s="9">
        <f>+Tabla114[[#This Row],[PRECIO INSTALADOR (IVA INCLUIDO)]]-Tabla114[[#This Row],[DCTO TIENDA]]</f>
        <v>89700.52</v>
      </c>
      <c r="E390" s="9">
        <f>+Tabla114[[#This Row],[PRECIO INSTALADOR (IVA INCLUIDO)]]/0.7</f>
        <v>134888.00000000003</v>
      </c>
      <c r="F390" s="8">
        <v>0.85</v>
      </c>
      <c r="G390" s="16">
        <f>+Tabla114[[#This Row],[COSTO]]*1.19</f>
        <v>80258.36</v>
      </c>
      <c r="H390" s="26">
        <f>+Tabla114[[#This Row],[PRECIO INSTALADOR (IVA INCLUIDO)]]*5%</f>
        <v>4721.0800000000008</v>
      </c>
      <c r="I390" s="25"/>
      <c r="J390" s="7">
        <v>67444</v>
      </c>
    </row>
    <row r="391" spans="1:10" ht="15" x14ac:dyDescent="0.25">
      <c r="A391" s="23" t="s">
        <v>770</v>
      </c>
      <c r="B391" s="24" t="s">
        <v>771</v>
      </c>
      <c r="C391" s="27">
        <f>+Tabla114[[#This Row],[COSTO CON IVA]]/Tabla114[[#This Row],[UTILIDAD]]</f>
        <v>138320</v>
      </c>
      <c r="D391" s="9">
        <f>+Tabla114[[#This Row],[PRECIO INSTALADOR (IVA INCLUIDO)]]-Tabla114[[#This Row],[DCTO TIENDA]]</f>
        <v>131404</v>
      </c>
      <c r="E391" s="9">
        <f>+Tabla114[[#This Row],[PRECIO INSTALADOR (IVA INCLUIDO)]]/0.7</f>
        <v>197600</v>
      </c>
      <c r="F391" s="8">
        <v>0.85</v>
      </c>
      <c r="G391" s="16">
        <f>+Tabla114[[#This Row],[COSTO]]*1.19</f>
        <v>117572</v>
      </c>
      <c r="H391" s="26">
        <f>+Tabla114[[#This Row],[PRECIO INSTALADOR (IVA INCLUIDO)]]*5%</f>
        <v>6916</v>
      </c>
      <c r="I391" s="25"/>
      <c r="J391" s="7">
        <v>98800</v>
      </c>
    </row>
    <row r="392" spans="1:10" ht="15" x14ac:dyDescent="0.25">
      <c r="A392" s="23" t="s">
        <v>772</v>
      </c>
      <c r="B392" s="24" t="s">
        <v>773</v>
      </c>
      <c r="C392" s="27">
        <f>+Tabla114[[#This Row],[COSTO CON IVA]]/Tabla114[[#This Row],[UTILIDAD]]</f>
        <v>149968</v>
      </c>
      <c r="D392" s="9">
        <f>+Tabla114[[#This Row],[PRECIO INSTALADOR (IVA INCLUIDO)]]-Tabla114[[#This Row],[DCTO TIENDA]]</f>
        <v>142469.6</v>
      </c>
      <c r="E392" s="9">
        <f>+Tabla114[[#This Row],[PRECIO INSTALADOR (IVA INCLUIDO)]]/0.7</f>
        <v>214240</v>
      </c>
      <c r="F392" s="8">
        <v>0.85</v>
      </c>
      <c r="G392" s="16">
        <f>+Tabla114[[#This Row],[COSTO]]*1.19</f>
        <v>127472.79999999999</v>
      </c>
      <c r="H392" s="26">
        <f>+Tabla114[[#This Row],[PRECIO INSTALADOR (IVA INCLUIDO)]]*5%</f>
        <v>7498.4000000000005</v>
      </c>
      <c r="I392" s="25"/>
      <c r="J392" s="7">
        <v>107120</v>
      </c>
    </row>
    <row r="393" spans="1:10" ht="15" x14ac:dyDescent="0.25">
      <c r="A393" s="23" t="s">
        <v>774</v>
      </c>
      <c r="B393" s="24" t="s">
        <v>775</v>
      </c>
      <c r="C393" s="27">
        <f>+Tabla114[[#This Row],[COSTO CON IVA]]/Tabla114[[#This Row],[UTILIDAD]]</f>
        <v>173409.6</v>
      </c>
      <c r="D393" s="9">
        <f>+Tabla114[[#This Row],[PRECIO INSTALADOR (IVA INCLUIDO)]]-Tabla114[[#This Row],[DCTO TIENDA]]</f>
        <v>164739.12</v>
      </c>
      <c r="E393" s="9">
        <f>+Tabla114[[#This Row],[PRECIO INSTALADOR (IVA INCLUIDO)]]/0.7</f>
        <v>247728.00000000003</v>
      </c>
      <c r="F393" s="8">
        <v>0.85</v>
      </c>
      <c r="G393" s="16">
        <f>+Tabla114[[#This Row],[COSTO]]*1.19</f>
        <v>147398.16</v>
      </c>
      <c r="H393" s="26">
        <f>+Tabla114[[#This Row],[PRECIO INSTALADOR (IVA INCLUIDO)]]*5%</f>
        <v>8670.4800000000014</v>
      </c>
      <c r="I393" s="25"/>
      <c r="J393" s="7">
        <v>123864</v>
      </c>
    </row>
    <row r="394" spans="1:10" ht="15" x14ac:dyDescent="0.25">
      <c r="A394" s="23" t="s">
        <v>776</v>
      </c>
      <c r="B394" s="24" t="s">
        <v>777</v>
      </c>
      <c r="C394" s="27">
        <f>+Tabla114[[#This Row],[COSTO CON IVA]]/Tabla114[[#This Row],[UTILIDAD]]</f>
        <v>122667.99999999999</v>
      </c>
      <c r="D394" s="9">
        <f>+Tabla114[[#This Row],[PRECIO INSTALADOR (IVA INCLUIDO)]]-Tabla114[[#This Row],[DCTO TIENDA]]</f>
        <v>116534.59999999999</v>
      </c>
      <c r="E394" s="9">
        <f>+Tabla114[[#This Row],[PRECIO INSTALADOR (IVA INCLUIDO)]]/0.7</f>
        <v>175240</v>
      </c>
      <c r="F394" s="8">
        <v>0.85</v>
      </c>
      <c r="G394" s="16">
        <f>+Tabla114[[#This Row],[COSTO]]*1.19</f>
        <v>104267.79999999999</v>
      </c>
      <c r="H394" s="26">
        <f>+Tabla114[[#This Row],[PRECIO INSTALADOR (IVA INCLUIDO)]]*5%</f>
        <v>6133.4</v>
      </c>
      <c r="I394" s="25"/>
      <c r="J394" s="7">
        <v>87620</v>
      </c>
    </row>
    <row r="395" spans="1:10" ht="15" x14ac:dyDescent="0.25">
      <c r="A395" s="23" t="s">
        <v>778</v>
      </c>
      <c r="B395" s="24" t="s">
        <v>779</v>
      </c>
      <c r="C395" s="27">
        <f>+Tabla114[[#This Row],[COSTO CON IVA]]/Tabla114[[#This Row],[UTILIDAD]]</f>
        <v>179852.4</v>
      </c>
      <c r="D395" s="9">
        <f>+Tabla114[[#This Row],[PRECIO INSTALADOR (IVA INCLUIDO)]]-Tabla114[[#This Row],[DCTO TIENDA]]</f>
        <v>170859.78</v>
      </c>
      <c r="E395" s="9">
        <f>+Tabla114[[#This Row],[PRECIO INSTALADOR (IVA INCLUIDO)]]/0.7</f>
        <v>256932</v>
      </c>
      <c r="F395" s="8">
        <v>0.85</v>
      </c>
      <c r="G395" s="16">
        <f>+Tabla114[[#This Row],[COSTO]]*1.19</f>
        <v>152874.53999999998</v>
      </c>
      <c r="H395" s="26">
        <f>+Tabla114[[#This Row],[PRECIO INSTALADOR (IVA INCLUIDO)]]*5%</f>
        <v>8992.6200000000008</v>
      </c>
      <c r="I395" s="25"/>
      <c r="J395" s="7">
        <v>128466</v>
      </c>
    </row>
    <row r="396" spans="1:10" ht="15" x14ac:dyDescent="0.25">
      <c r="A396" s="23" t="s">
        <v>780</v>
      </c>
      <c r="B396" s="24" t="s">
        <v>781</v>
      </c>
      <c r="C396" s="27">
        <f>+Tabla114[[#This Row],[COSTO CON IVA]]/Tabla114[[#This Row],[UTILIDAD]]</f>
        <v>194994.8</v>
      </c>
      <c r="D396" s="9">
        <f>+Tabla114[[#This Row],[PRECIO INSTALADOR (IVA INCLUIDO)]]-Tabla114[[#This Row],[DCTO TIENDA]]</f>
        <v>185245.06</v>
      </c>
      <c r="E396" s="9">
        <f>+Tabla114[[#This Row],[PRECIO INSTALADOR (IVA INCLUIDO)]]/0.7</f>
        <v>278564</v>
      </c>
      <c r="F396" s="8">
        <v>0.85</v>
      </c>
      <c r="G396" s="16">
        <f>+Tabla114[[#This Row],[COSTO]]*1.19</f>
        <v>165745.57999999999</v>
      </c>
      <c r="H396" s="26">
        <f>+Tabla114[[#This Row],[PRECIO INSTALADOR (IVA INCLUIDO)]]*5%</f>
        <v>9749.74</v>
      </c>
      <c r="I396" s="25"/>
      <c r="J396" s="7">
        <v>139282</v>
      </c>
    </row>
    <row r="397" spans="1:10" ht="15" x14ac:dyDescent="0.25">
      <c r="A397" s="23" t="s">
        <v>782</v>
      </c>
      <c r="B397" s="24" t="s">
        <v>783</v>
      </c>
      <c r="C397" s="9">
        <f>+Tabla114[[#This Row],[COSTO CON IVA]]/Tabla114[[#This Row],[UTILIDAD]]</f>
        <v>225388.79999999999</v>
      </c>
      <c r="D397" s="9">
        <f>+Tabla114[[#This Row],[PRECIO INSTALADOR (IVA INCLUIDO)]]-Tabla114[[#This Row],[DCTO TIENDA]]</f>
        <v>214119.36</v>
      </c>
      <c r="E397" s="9">
        <f>+Tabla114[[#This Row],[PRECIO INSTALADOR (IVA INCLUIDO)]]/0.7</f>
        <v>321984</v>
      </c>
      <c r="F397" s="8">
        <v>0.85</v>
      </c>
      <c r="G397" s="16">
        <f>+Tabla114[[#This Row],[COSTO]]*1.19</f>
        <v>191580.47999999998</v>
      </c>
      <c r="H397" s="26">
        <f>+Tabla114[[#This Row],[PRECIO INSTALADOR (IVA INCLUIDO)]]*5%</f>
        <v>11269.44</v>
      </c>
      <c r="I397" s="25"/>
      <c r="J397" s="31">
        <v>160992</v>
      </c>
    </row>
    <row r="398" spans="1:10" ht="15" x14ac:dyDescent="0.25">
      <c r="A398" s="23" t="s">
        <v>784</v>
      </c>
      <c r="B398" s="24" t="s">
        <v>785</v>
      </c>
      <c r="C398" s="27">
        <f>+Tabla114[[#This Row],[COSTO CON IVA]]/Tabla114[[#This Row],[UTILIDAD]]</f>
        <v>33233.199999999997</v>
      </c>
      <c r="D398" s="9">
        <f>+Tabla114[[#This Row],[PRECIO INSTALADOR (IVA INCLUIDO)]]-Tabla114[[#This Row],[DCTO TIENDA]]</f>
        <v>31571.539999999997</v>
      </c>
      <c r="E398" s="9">
        <f>+Tabla114[[#This Row],[PRECIO INSTALADOR (IVA INCLUIDO)]]/0.7</f>
        <v>47476</v>
      </c>
      <c r="F398" s="8">
        <v>0.85</v>
      </c>
      <c r="G398" s="16">
        <f>+Tabla114[[#This Row],[COSTO]]*1.19</f>
        <v>28248.219999999998</v>
      </c>
      <c r="H398" s="26">
        <f>+Tabla114[[#This Row],[PRECIO INSTALADOR (IVA INCLUIDO)]]*5%</f>
        <v>1661.6599999999999</v>
      </c>
      <c r="I398" s="25"/>
      <c r="J398" s="7">
        <v>23738</v>
      </c>
    </row>
    <row r="399" spans="1:10" ht="15" x14ac:dyDescent="0.25">
      <c r="A399" s="23" t="s">
        <v>786</v>
      </c>
      <c r="B399" s="24" t="s">
        <v>787</v>
      </c>
      <c r="C399" s="27">
        <f>+Tabla114[[#This Row],[COSTO CON IVA]]/Tabla114[[#This Row],[UTILIDAD]]</f>
        <v>37519.300000000003</v>
      </c>
      <c r="D399" s="9">
        <f>+Tabla114[[#This Row],[PRECIO INSTALADOR (IVA INCLUIDO)]]-Tabla114[[#This Row],[DCTO TIENDA]]</f>
        <v>35643.335000000006</v>
      </c>
      <c r="E399" s="9">
        <f>+Tabla114[[#This Row],[PRECIO INSTALADOR (IVA INCLUIDO)]]/0.7</f>
        <v>53599.000000000007</v>
      </c>
      <c r="F399" s="8">
        <v>0.85</v>
      </c>
      <c r="G399" s="16">
        <f>+Tabla114[[#This Row],[COSTO]]*1.19</f>
        <v>31891.404999999999</v>
      </c>
      <c r="H399" s="26">
        <f>+Tabla114[[#This Row],[PRECIO INSTALADOR (IVA INCLUIDO)]]*5%</f>
        <v>1875.9650000000001</v>
      </c>
      <c r="I399" s="25"/>
      <c r="J399" s="7">
        <v>26799.5</v>
      </c>
    </row>
    <row r="400" spans="1:10" ht="15" x14ac:dyDescent="0.25">
      <c r="A400" s="23" t="s">
        <v>788</v>
      </c>
      <c r="B400" s="24" t="s">
        <v>789</v>
      </c>
      <c r="C400" s="27">
        <f>+Tabla114[[#This Row],[COSTO CON IVA]]/Tabla114[[#This Row],[UTILIDAD]]</f>
        <v>42942.899999999994</v>
      </c>
      <c r="D400" s="9">
        <f>+Tabla114[[#This Row],[PRECIO INSTALADOR (IVA INCLUIDO)]]-Tabla114[[#This Row],[DCTO TIENDA]]</f>
        <v>40795.754999999997</v>
      </c>
      <c r="E400" s="9">
        <f>+Tabla114[[#This Row],[PRECIO INSTALADOR (IVA INCLUIDO)]]/0.7</f>
        <v>61346.999999999993</v>
      </c>
      <c r="F400" s="8">
        <v>0.85</v>
      </c>
      <c r="G400" s="16">
        <f>+Tabla114[[#This Row],[COSTO]]*1.19</f>
        <v>36501.464999999997</v>
      </c>
      <c r="H400" s="26">
        <f>+Tabla114[[#This Row],[PRECIO INSTALADOR (IVA INCLUIDO)]]*5%</f>
        <v>2147.145</v>
      </c>
      <c r="I400" s="25"/>
      <c r="J400" s="7">
        <v>30673.5</v>
      </c>
    </row>
    <row r="401" spans="1:10" ht="15" x14ac:dyDescent="0.25">
      <c r="A401" s="23" t="s">
        <v>790</v>
      </c>
      <c r="B401" s="24" t="s">
        <v>791</v>
      </c>
      <c r="C401" s="9">
        <f>+Tabla114[[#This Row],[COSTO CON IVA]]/Tabla114[[#This Row],[UTILIDAD]]</f>
        <v>44985.85</v>
      </c>
      <c r="D401" s="9">
        <f>+Tabla114[[#This Row],[PRECIO INSTALADOR (IVA INCLUIDO)]]-Tabla114[[#This Row],[DCTO TIENDA]]</f>
        <v>42736.557499999995</v>
      </c>
      <c r="E401" s="9">
        <f>+Tabla114[[#This Row],[PRECIO INSTALADOR (IVA INCLUIDO)]]/0.7</f>
        <v>64265.5</v>
      </c>
      <c r="F401" s="8">
        <v>0.85</v>
      </c>
      <c r="G401" s="16">
        <f>+Tabla114[[#This Row],[COSTO]]*1.19</f>
        <v>38237.972499999996</v>
      </c>
      <c r="H401" s="26">
        <f>+Tabla114[[#This Row],[PRECIO INSTALADOR (IVA INCLUIDO)]]*5%</f>
        <v>2249.2925</v>
      </c>
      <c r="I401" s="25"/>
      <c r="J401" s="7">
        <v>32132.75</v>
      </c>
    </row>
    <row r="402" spans="1:10" ht="15" x14ac:dyDescent="0.25">
      <c r="A402" s="23" t="s">
        <v>792</v>
      </c>
      <c r="B402" s="24" t="s">
        <v>793</v>
      </c>
      <c r="C402" s="9">
        <f>+Tabla114[[#This Row],[COSTO CON IVA]]/Tabla114[[#This Row],[UTILIDAD]]</f>
        <v>57330</v>
      </c>
      <c r="D402" s="9">
        <f>+Tabla114[[#This Row],[PRECIO INSTALADOR (IVA INCLUIDO)]]-Tabla114[[#This Row],[DCTO TIENDA]]</f>
        <v>54463.5</v>
      </c>
      <c r="E402" s="9">
        <f>+Tabla114[[#This Row],[PRECIO INSTALADOR (IVA INCLUIDO)]]/0.7</f>
        <v>81900</v>
      </c>
      <c r="F402" s="8">
        <v>0.85</v>
      </c>
      <c r="G402" s="16">
        <f>+Tabla114[[#This Row],[COSTO]]*1.19</f>
        <v>48730.5</v>
      </c>
      <c r="H402" s="26">
        <f>+Tabla114[[#This Row],[PRECIO INSTALADOR (IVA INCLUIDO)]]*5%</f>
        <v>2866.5</v>
      </c>
      <c r="I402" s="25"/>
      <c r="J402" s="7">
        <v>40950</v>
      </c>
    </row>
    <row r="403" spans="1:10" ht="15" x14ac:dyDescent="0.25">
      <c r="A403" s="23" t="s">
        <v>794</v>
      </c>
      <c r="B403" s="24" t="s">
        <v>795</v>
      </c>
      <c r="C403" s="9">
        <f>+Tabla114[[#This Row],[COSTO CON IVA]]/Tabla114[[#This Row],[UTILIDAD]]</f>
        <v>58376.499999999993</v>
      </c>
      <c r="D403" s="9">
        <f>+Tabla114[[#This Row],[PRECIO INSTALADOR (IVA INCLUIDO)]]-Tabla114[[#This Row],[DCTO TIENDA]]</f>
        <v>55457.674999999996</v>
      </c>
      <c r="E403" s="9">
        <f>+Tabla114[[#This Row],[PRECIO INSTALADOR (IVA INCLUIDO)]]/0.7</f>
        <v>83395</v>
      </c>
      <c r="F403" s="8">
        <v>0.85</v>
      </c>
      <c r="G403" s="16">
        <f>+Tabla114[[#This Row],[COSTO]]*1.19</f>
        <v>49620.024999999994</v>
      </c>
      <c r="H403" s="26">
        <f>+Tabla114[[#This Row],[PRECIO INSTALADOR (IVA INCLUIDO)]]*5%</f>
        <v>2918.8249999999998</v>
      </c>
      <c r="I403" s="25"/>
      <c r="J403" s="7">
        <v>41697.5</v>
      </c>
    </row>
    <row r="404" spans="1:10" ht="15" x14ac:dyDescent="0.25">
      <c r="A404" s="23" t="s">
        <v>796</v>
      </c>
      <c r="B404" s="24" t="s">
        <v>797</v>
      </c>
      <c r="C404" s="9">
        <f>+Tabla114[[#This Row],[COSTO CON IVA]]/Tabla114[[#This Row],[UTILIDAD]]</f>
        <v>61725.299999999996</v>
      </c>
      <c r="D404" s="9">
        <f>+Tabla114[[#This Row],[PRECIO INSTALADOR (IVA INCLUIDO)]]-Tabla114[[#This Row],[DCTO TIENDA]]</f>
        <v>58639.034999999996</v>
      </c>
      <c r="E404" s="9">
        <f>+Tabla114[[#This Row],[PRECIO INSTALADOR (IVA INCLUIDO)]]/0.7</f>
        <v>88179</v>
      </c>
      <c r="F404" s="8">
        <v>0.85</v>
      </c>
      <c r="G404" s="16">
        <f>+Tabla114[[#This Row],[COSTO]]*1.19</f>
        <v>52466.504999999997</v>
      </c>
      <c r="H404" s="26">
        <f>+Tabla114[[#This Row],[PRECIO INSTALADOR (IVA INCLUIDO)]]*5%</f>
        <v>3086.2649999999999</v>
      </c>
      <c r="I404" s="25"/>
      <c r="J404" s="7">
        <v>44089.5</v>
      </c>
    </row>
    <row r="405" spans="1:10" ht="15" x14ac:dyDescent="0.25">
      <c r="A405" s="23" t="s">
        <v>798</v>
      </c>
      <c r="B405" s="24" t="s">
        <v>799</v>
      </c>
      <c r="C405" s="9">
        <f>+Tabla114[[#This Row],[COSTO CON IVA]]/Tabla114[[#This Row],[UTILIDAD]]</f>
        <v>64610</v>
      </c>
      <c r="D405" s="9">
        <f>+Tabla114[[#This Row],[PRECIO INSTALADOR (IVA INCLUIDO)]]-Tabla114[[#This Row],[DCTO TIENDA]]</f>
        <v>61379.5</v>
      </c>
      <c r="E405" s="9">
        <f>+Tabla114[[#This Row],[PRECIO INSTALADOR (IVA INCLUIDO)]]/0.7</f>
        <v>92300</v>
      </c>
      <c r="F405" s="8">
        <v>0.85</v>
      </c>
      <c r="G405" s="16">
        <f>+Tabla114[[#This Row],[COSTO]]*1.19</f>
        <v>54918.5</v>
      </c>
      <c r="H405" s="26">
        <f>+Tabla114[[#This Row],[PRECIO INSTALADOR (IVA INCLUIDO)]]*5%</f>
        <v>3230.5</v>
      </c>
      <c r="I405" s="25"/>
      <c r="J405" s="7">
        <v>46150</v>
      </c>
    </row>
    <row r="406" spans="1:10" ht="15" x14ac:dyDescent="0.25">
      <c r="A406" s="23" t="s">
        <v>800</v>
      </c>
      <c r="B406" s="24" t="s">
        <v>801</v>
      </c>
      <c r="C406" s="9">
        <f>+Tabla114[[#This Row],[COSTO CON IVA]]/Tabla114[[#This Row],[UTILIDAD]]</f>
        <v>81772.599999999991</v>
      </c>
      <c r="D406" s="9">
        <f>+Tabla114[[#This Row],[PRECIO INSTALADOR (IVA INCLUIDO)]]-Tabla114[[#This Row],[DCTO TIENDA]]</f>
        <v>77683.969999999987</v>
      </c>
      <c r="E406" s="9">
        <f>+Tabla114[[#This Row],[PRECIO INSTALADOR (IVA INCLUIDO)]]/0.7</f>
        <v>116818</v>
      </c>
      <c r="F406" s="8">
        <v>0.85</v>
      </c>
      <c r="G406" s="16">
        <f>+Tabla114[[#This Row],[COSTO]]*1.19</f>
        <v>69506.709999999992</v>
      </c>
      <c r="H406" s="26">
        <f>+Tabla114[[#This Row],[PRECIO INSTALADOR (IVA INCLUIDO)]]*5%</f>
        <v>4088.6299999999997</v>
      </c>
      <c r="I406" s="25"/>
      <c r="J406" s="7">
        <v>58409</v>
      </c>
    </row>
    <row r="407" spans="1:10" ht="15" x14ac:dyDescent="0.25">
      <c r="A407" s="23" t="s">
        <v>802</v>
      </c>
      <c r="B407" s="24" t="s">
        <v>803</v>
      </c>
      <c r="C407" s="9">
        <f>+Tabla114[[#This Row],[COSTO CON IVA]]/Tabla114[[#This Row],[UTILIDAD]]</f>
        <v>84175</v>
      </c>
      <c r="D407" s="9">
        <f>+Tabla114[[#This Row],[PRECIO INSTALADOR (IVA INCLUIDO)]]-Tabla114[[#This Row],[DCTO TIENDA]]</f>
        <v>79966.25</v>
      </c>
      <c r="E407" s="9">
        <f>+Tabla114[[#This Row],[PRECIO INSTALADOR (IVA INCLUIDO)]]/0.7</f>
        <v>120250.00000000001</v>
      </c>
      <c r="F407" s="8">
        <v>0.85</v>
      </c>
      <c r="G407" s="16">
        <f>+Tabla114[[#This Row],[COSTO]]*1.19</f>
        <v>71548.75</v>
      </c>
      <c r="H407" s="26">
        <f>+Tabla114[[#This Row],[PRECIO INSTALADOR (IVA INCLUIDO)]]*5%</f>
        <v>4208.75</v>
      </c>
      <c r="I407" s="25"/>
      <c r="J407" s="7">
        <v>60125</v>
      </c>
    </row>
    <row r="408" spans="1:10" ht="15" x14ac:dyDescent="0.25">
      <c r="A408" s="23" t="s">
        <v>804</v>
      </c>
      <c r="B408" s="24" t="s">
        <v>805</v>
      </c>
      <c r="C408" s="9">
        <f>+Tabla114[[#This Row],[COSTO CON IVA]]/Tabla114[[#This Row],[UTILIDAD]]</f>
        <v>87623.900000000009</v>
      </c>
      <c r="D408" s="9">
        <f>+Tabla114[[#This Row],[PRECIO INSTALADOR (IVA INCLUIDO)]]-Tabla114[[#This Row],[DCTO TIENDA]]</f>
        <v>83242.705000000002</v>
      </c>
      <c r="E408" s="9">
        <f>+Tabla114[[#This Row],[PRECIO INSTALADOR (IVA INCLUIDO)]]/0.7</f>
        <v>125177.00000000001</v>
      </c>
      <c r="F408" s="8">
        <v>0.85</v>
      </c>
      <c r="G408" s="16">
        <f>+Tabla114[[#This Row],[COSTO]]*1.19</f>
        <v>74480.315000000002</v>
      </c>
      <c r="H408" s="26">
        <f>+Tabla114[[#This Row],[PRECIO INSTALADOR (IVA INCLUIDO)]]*5%</f>
        <v>4381.1950000000006</v>
      </c>
      <c r="I408" s="25"/>
      <c r="J408" s="7">
        <v>62588.5</v>
      </c>
    </row>
    <row r="409" spans="1:10" ht="15" x14ac:dyDescent="0.25">
      <c r="A409" s="23" t="s">
        <v>806</v>
      </c>
      <c r="B409" s="24" t="s">
        <v>807</v>
      </c>
      <c r="C409" s="9">
        <f>+Tabla114[[#This Row],[COSTO CON IVA]]/Tabla114[[#This Row],[UTILIDAD]]</f>
        <v>91482.3</v>
      </c>
      <c r="D409" s="9">
        <f>+Tabla114[[#This Row],[PRECIO INSTALADOR (IVA INCLUIDO)]]-Tabla114[[#This Row],[DCTO TIENDA]]</f>
        <v>86908.184999999998</v>
      </c>
      <c r="E409" s="9">
        <f>+Tabla114[[#This Row],[PRECIO INSTALADOR (IVA INCLUIDO)]]/0.7</f>
        <v>130689.00000000001</v>
      </c>
      <c r="F409" s="8">
        <v>0.85</v>
      </c>
      <c r="G409" s="16">
        <f>+Tabla114[[#This Row],[COSTO]]*1.19</f>
        <v>77759.955000000002</v>
      </c>
      <c r="H409" s="26">
        <f>+Tabla114[[#This Row],[PRECIO INSTALADOR (IVA INCLUIDO)]]*5%</f>
        <v>4574.1150000000007</v>
      </c>
      <c r="I409" s="25"/>
      <c r="J409" s="7">
        <v>65344.5</v>
      </c>
    </row>
    <row r="410" spans="1:10" ht="15" x14ac:dyDescent="0.25">
      <c r="A410" s="23" t="s">
        <v>808</v>
      </c>
      <c r="B410" s="24" t="s">
        <v>809</v>
      </c>
      <c r="C410" s="9">
        <f>+Tabla114[[#This Row],[COSTO CON IVA]]/Tabla114[[#This Row],[UTILIDAD]]</f>
        <v>18837</v>
      </c>
      <c r="D410" s="9">
        <f>+Tabla114[[#This Row],[PRECIO INSTALADOR (IVA INCLUIDO)]]-Tabla114[[#This Row],[DCTO TIENDA]]</f>
        <v>17895.150000000001</v>
      </c>
      <c r="E410" s="9">
        <f>+Tabla114[[#This Row],[PRECIO INSTALADOR (IVA INCLUIDO)]]/0.7</f>
        <v>26910</v>
      </c>
      <c r="F410" s="8">
        <v>0.85</v>
      </c>
      <c r="G410" s="16">
        <f>+Tabla114[[#This Row],[COSTO]]*1.19</f>
        <v>16011.449999999999</v>
      </c>
      <c r="H410" s="26">
        <f>+Tabla114[[#This Row],[PRECIO INSTALADOR (IVA INCLUIDO)]]*5%</f>
        <v>941.85</v>
      </c>
      <c r="I410" s="25"/>
      <c r="J410" s="7">
        <v>13455</v>
      </c>
    </row>
    <row r="411" spans="1:10" ht="15" x14ac:dyDescent="0.25">
      <c r="A411" s="23" t="s">
        <v>810</v>
      </c>
      <c r="B411" s="24" t="s">
        <v>811</v>
      </c>
      <c r="C411" s="9">
        <f>+Tabla114[[#This Row],[COSTO CON IVA]]/Tabla114[[#This Row],[UTILIDAD]]</f>
        <v>19019</v>
      </c>
      <c r="D411" s="9">
        <f>+Tabla114[[#This Row],[PRECIO INSTALADOR (IVA INCLUIDO)]]-Tabla114[[#This Row],[DCTO TIENDA]]</f>
        <v>18068.05</v>
      </c>
      <c r="E411" s="9">
        <f>+Tabla114[[#This Row],[PRECIO INSTALADOR (IVA INCLUIDO)]]/0.7</f>
        <v>27170</v>
      </c>
      <c r="F411" s="8">
        <v>0.85</v>
      </c>
      <c r="G411" s="16">
        <f>+Tabla114[[#This Row],[COSTO]]*1.19</f>
        <v>16166.15</v>
      </c>
      <c r="H411" s="26">
        <f>+Tabla114[[#This Row],[PRECIO INSTALADOR (IVA INCLUIDO)]]*5%</f>
        <v>950.95</v>
      </c>
      <c r="I411" s="25"/>
      <c r="J411" s="7">
        <v>13585</v>
      </c>
    </row>
    <row r="412" spans="1:10" ht="15" x14ac:dyDescent="0.25">
      <c r="A412" s="23" t="s">
        <v>812</v>
      </c>
      <c r="B412" s="24" t="s">
        <v>813</v>
      </c>
      <c r="C412" s="9">
        <f>+Tabla114[[#This Row],[COSTO CON IVA]]/Tabla114[[#This Row],[UTILIDAD]]</f>
        <v>33670</v>
      </c>
      <c r="D412" s="9">
        <f>+Tabla114[[#This Row],[PRECIO INSTALADOR (IVA INCLUIDO)]]-Tabla114[[#This Row],[DCTO TIENDA]]</f>
        <v>31986.5</v>
      </c>
      <c r="E412" s="9">
        <f>+Tabla114[[#This Row],[PRECIO INSTALADOR (IVA INCLUIDO)]]/0.7</f>
        <v>48100</v>
      </c>
      <c r="F412" s="8">
        <v>0.85</v>
      </c>
      <c r="G412" s="16">
        <f>+Tabla114[[#This Row],[COSTO]]*1.19</f>
        <v>28619.5</v>
      </c>
      <c r="H412" s="26">
        <f>+Tabla114[[#This Row],[PRECIO INSTALADOR (IVA INCLUIDO)]]*5%</f>
        <v>1683.5</v>
      </c>
      <c r="I412" s="25"/>
      <c r="J412" s="7">
        <v>24050</v>
      </c>
    </row>
    <row r="413" spans="1:10" ht="15" x14ac:dyDescent="0.25">
      <c r="A413" s="23" t="s">
        <v>814</v>
      </c>
      <c r="B413" s="24" t="s">
        <v>815</v>
      </c>
      <c r="C413" s="9">
        <f>+Tabla114[[#This Row],[COSTO CON IVA]]/Tabla114[[#This Row],[UTILIDAD]]</f>
        <v>32669</v>
      </c>
      <c r="D413" s="9">
        <f>+Tabla114[[#This Row],[PRECIO INSTALADOR (IVA INCLUIDO)]]-Tabla114[[#This Row],[DCTO TIENDA]]</f>
        <v>31035.55</v>
      </c>
      <c r="E413" s="9">
        <f>+Tabla114[[#This Row],[PRECIO INSTALADOR (IVA INCLUIDO)]]/0.7</f>
        <v>46670</v>
      </c>
      <c r="F413" s="8">
        <v>0.85</v>
      </c>
      <c r="G413" s="16">
        <f>+Tabla114[[#This Row],[COSTO]]*1.19</f>
        <v>27768.649999999998</v>
      </c>
      <c r="H413" s="26">
        <f>+Tabla114[[#This Row],[PRECIO INSTALADOR (IVA INCLUIDO)]]*5%</f>
        <v>1633.45</v>
      </c>
      <c r="I413" s="25"/>
      <c r="J413" s="7">
        <v>23335</v>
      </c>
    </row>
    <row r="414" spans="1:10" ht="15" x14ac:dyDescent="0.25">
      <c r="A414" s="23" t="s">
        <v>816</v>
      </c>
      <c r="B414" s="24" t="s">
        <v>785</v>
      </c>
      <c r="C414" s="9">
        <f>+Tabla114[[#This Row],[COSTO CON IVA]]/Tabla114[[#This Row],[UTILIDAD]]</f>
        <v>33233.199999999997</v>
      </c>
      <c r="D414" s="9">
        <f>+Tabla114[[#This Row],[PRECIO INSTALADOR (IVA INCLUIDO)]]-Tabla114[[#This Row],[DCTO TIENDA]]</f>
        <v>31571.539999999997</v>
      </c>
      <c r="E414" s="9">
        <f>+Tabla114[[#This Row],[PRECIO INSTALADOR (IVA INCLUIDO)]]/0.7</f>
        <v>47476</v>
      </c>
      <c r="F414" s="8">
        <v>0.85</v>
      </c>
      <c r="G414" s="16">
        <f>+Tabla114[[#This Row],[COSTO]]*1.19</f>
        <v>28248.219999999998</v>
      </c>
      <c r="H414" s="26">
        <f>+Tabla114[[#This Row],[PRECIO INSTALADOR (IVA INCLUIDO)]]*5%</f>
        <v>1661.6599999999999</v>
      </c>
      <c r="I414" s="25"/>
      <c r="J414" s="7">
        <v>23738</v>
      </c>
    </row>
    <row r="415" spans="1:10" ht="15" x14ac:dyDescent="0.25">
      <c r="A415" s="23" t="s">
        <v>817</v>
      </c>
      <c r="B415" s="24" t="s">
        <v>787</v>
      </c>
      <c r="C415" s="9">
        <f>+Tabla114[[#This Row],[COSTO CON IVA]]/Tabla114[[#This Row],[UTILIDAD]]</f>
        <v>37519.300000000003</v>
      </c>
      <c r="D415" s="9">
        <f>+Tabla114[[#This Row],[PRECIO INSTALADOR (IVA INCLUIDO)]]-Tabla114[[#This Row],[DCTO TIENDA]]</f>
        <v>35643.335000000006</v>
      </c>
      <c r="E415" s="9">
        <f>+Tabla114[[#This Row],[PRECIO INSTALADOR (IVA INCLUIDO)]]/0.7</f>
        <v>53599.000000000007</v>
      </c>
      <c r="F415" s="8">
        <v>0.85</v>
      </c>
      <c r="G415" s="16">
        <f>+Tabla114[[#This Row],[COSTO]]*1.19</f>
        <v>31891.404999999999</v>
      </c>
      <c r="H415" s="26">
        <f>+Tabla114[[#This Row],[PRECIO INSTALADOR (IVA INCLUIDO)]]*5%</f>
        <v>1875.9650000000001</v>
      </c>
      <c r="I415" s="25"/>
      <c r="J415" s="7">
        <v>26799.5</v>
      </c>
    </row>
    <row r="416" spans="1:10" ht="15" x14ac:dyDescent="0.25">
      <c r="A416" s="23" t="s">
        <v>818</v>
      </c>
      <c r="B416" s="24" t="s">
        <v>789</v>
      </c>
      <c r="C416" s="9">
        <f>+Tabla114[[#This Row],[COSTO CON IVA]]/Tabla114[[#This Row],[UTILIDAD]]</f>
        <v>42942.899999999994</v>
      </c>
      <c r="D416" s="9">
        <f>+Tabla114[[#This Row],[PRECIO INSTALADOR (IVA INCLUIDO)]]-Tabla114[[#This Row],[DCTO TIENDA]]</f>
        <v>40795.754999999997</v>
      </c>
      <c r="E416" s="9">
        <f>+Tabla114[[#This Row],[PRECIO INSTALADOR (IVA INCLUIDO)]]/0.7</f>
        <v>61346.999999999993</v>
      </c>
      <c r="F416" s="8">
        <v>0.85</v>
      </c>
      <c r="G416" s="16">
        <f>+Tabla114[[#This Row],[COSTO]]*1.19</f>
        <v>36501.464999999997</v>
      </c>
      <c r="H416" s="26">
        <f>+Tabla114[[#This Row],[PRECIO INSTALADOR (IVA INCLUIDO)]]*5%</f>
        <v>2147.145</v>
      </c>
      <c r="I416" s="25"/>
      <c r="J416" s="7">
        <v>30673.5</v>
      </c>
    </row>
    <row r="417" spans="1:10" ht="15" x14ac:dyDescent="0.25">
      <c r="A417" s="23" t="s">
        <v>819</v>
      </c>
      <c r="B417" s="24" t="s">
        <v>789</v>
      </c>
      <c r="C417" s="9">
        <f>+Tabla114[[#This Row],[COSTO CON IVA]]/Tabla114[[#This Row],[UTILIDAD]]</f>
        <v>44985.85</v>
      </c>
      <c r="D417" s="9">
        <f>+Tabla114[[#This Row],[PRECIO INSTALADOR (IVA INCLUIDO)]]-Tabla114[[#This Row],[DCTO TIENDA]]</f>
        <v>42736.557499999995</v>
      </c>
      <c r="E417" s="9">
        <f>+Tabla114[[#This Row],[PRECIO INSTALADOR (IVA INCLUIDO)]]/0.7</f>
        <v>64265.5</v>
      </c>
      <c r="F417" s="8">
        <v>0.85</v>
      </c>
      <c r="G417" s="16">
        <f>+Tabla114[[#This Row],[COSTO]]*1.19</f>
        <v>38237.972499999996</v>
      </c>
      <c r="H417" s="26">
        <f>+Tabla114[[#This Row],[PRECIO INSTALADOR (IVA INCLUIDO)]]*5%</f>
        <v>2249.2925</v>
      </c>
      <c r="I417" s="25"/>
      <c r="J417" s="7">
        <v>32132.75</v>
      </c>
    </row>
    <row r="418" spans="1:10" ht="15" x14ac:dyDescent="0.25">
      <c r="A418" s="23" t="s">
        <v>820</v>
      </c>
      <c r="B418" s="24" t="s">
        <v>793</v>
      </c>
      <c r="C418" s="9">
        <f>+Tabla114[[#This Row],[COSTO CON IVA]]/Tabla114[[#This Row],[UTILIDAD]]</f>
        <v>57330</v>
      </c>
      <c r="D418" s="9">
        <f>+Tabla114[[#This Row],[PRECIO INSTALADOR (IVA INCLUIDO)]]-Tabla114[[#This Row],[DCTO TIENDA]]</f>
        <v>54463.5</v>
      </c>
      <c r="E418" s="9">
        <f>+Tabla114[[#This Row],[PRECIO INSTALADOR (IVA INCLUIDO)]]/0.7</f>
        <v>81900</v>
      </c>
      <c r="F418" s="8">
        <v>0.85</v>
      </c>
      <c r="G418" s="16">
        <f>+Tabla114[[#This Row],[COSTO]]*1.19</f>
        <v>48730.5</v>
      </c>
      <c r="H418" s="26">
        <f>+Tabla114[[#This Row],[PRECIO INSTALADOR (IVA INCLUIDO)]]*5%</f>
        <v>2866.5</v>
      </c>
      <c r="I418" s="25"/>
      <c r="J418" s="7">
        <v>40950</v>
      </c>
    </row>
    <row r="419" spans="1:10" ht="15" x14ac:dyDescent="0.25">
      <c r="A419" s="23" t="s">
        <v>821</v>
      </c>
      <c r="B419" s="24" t="s">
        <v>822</v>
      </c>
      <c r="C419" s="9">
        <f>+Tabla114[[#This Row],[COSTO CON IVA]]/Tabla114[[#This Row],[UTILIDAD]]</f>
        <v>58376.499999999993</v>
      </c>
      <c r="D419" s="9">
        <f>+Tabla114[[#This Row],[PRECIO INSTALADOR (IVA INCLUIDO)]]-Tabla114[[#This Row],[DCTO TIENDA]]</f>
        <v>55457.674999999996</v>
      </c>
      <c r="E419" s="9">
        <f>+Tabla114[[#This Row],[PRECIO INSTALADOR (IVA INCLUIDO)]]/0.7</f>
        <v>83395</v>
      </c>
      <c r="F419" s="8">
        <v>0.85</v>
      </c>
      <c r="G419" s="16">
        <f>+Tabla114[[#This Row],[COSTO]]*1.19</f>
        <v>49620.024999999994</v>
      </c>
      <c r="H419" s="26">
        <f>+Tabla114[[#This Row],[PRECIO INSTALADOR (IVA INCLUIDO)]]*5%</f>
        <v>2918.8249999999998</v>
      </c>
      <c r="I419" s="25"/>
      <c r="J419" s="7">
        <v>41697.5</v>
      </c>
    </row>
    <row r="420" spans="1:10" ht="15" x14ac:dyDescent="0.25">
      <c r="A420" s="23" t="s">
        <v>823</v>
      </c>
      <c r="B420" s="24" t="s">
        <v>797</v>
      </c>
      <c r="C420" s="9">
        <f>+Tabla114[[#This Row],[COSTO CON IVA]]/Tabla114[[#This Row],[UTILIDAD]]</f>
        <v>61725.299999999996</v>
      </c>
      <c r="D420" s="9">
        <f>+Tabla114[[#This Row],[PRECIO INSTALADOR (IVA INCLUIDO)]]-Tabla114[[#This Row],[DCTO TIENDA]]</f>
        <v>58639.034999999996</v>
      </c>
      <c r="E420" s="9">
        <f>+Tabla114[[#This Row],[PRECIO INSTALADOR (IVA INCLUIDO)]]/0.7</f>
        <v>88179</v>
      </c>
      <c r="F420" s="8">
        <v>0.85</v>
      </c>
      <c r="G420" s="16">
        <f>+Tabla114[[#This Row],[COSTO]]*1.19</f>
        <v>52466.504999999997</v>
      </c>
      <c r="H420" s="26">
        <f>+Tabla114[[#This Row],[PRECIO INSTALADOR (IVA INCLUIDO)]]*5%</f>
        <v>3086.2649999999999</v>
      </c>
      <c r="I420" s="25"/>
      <c r="J420" s="7">
        <v>44089.5</v>
      </c>
    </row>
    <row r="421" spans="1:10" ht="15" x14ac:dyDescent="0.25">
      <c r="A421" s="23" t="s">
        <v>824</v>
      </c>
      <c r="B421" s="24" t="s">
        <v>799</v>
      </c>
      <c r="C421" s="9">
        <f>+Tabla114[[#This Row],[COSTO CON IVA]]/Tabla114[[#This Row],[UTILIDAD]]</f>
        <v>64610</v>
      </c>
      <c r="D421" s="9">
        <f>+Tabla114[[#This Row],[PRECIO INSTALADOR (IVA INCLUIDO)]]-Tabla114[[#This Row],[DCTO TIENDA]]</f>
        <v>61379.5</v>
      </c>
      <c r="E421" s="9">
        <f>+Tabla114[[#This Row],[PRECIO INSTALADOR (IVA INCLUIDO)]]/0.7</f>
        <v>92300</v>
      </c>
      <c r="F421" s="8">
        <v>0.85</v>
      </c>
      <c r="G421" s="16">
        <f>+Tabla114[[#This Row],[COSTO]]*1.19</f>
        <v>54918.5</v>
      </c>
      <c r="H421" s="26">
        <f>+Tabla114[[#This Row],[PRECIO INSTALADOR (IVA INCLUIDO)]]*5%</f>
        <v>3230.5</v>
      </c>
      <c r="I421" s="25"/>
      <c r="J421" s="7">
        <v>46150</v>
      </c>
    </row>
    <row r="422" spans="1:10" ht="15" x14ac:dyDescent="0.25">
      <c r="A422" s="23" t="s">
        <v>825</v>
      </c>
      <c r="B422" s="24" t="s">
        <v>801</v>
      </c>
      <c r="C422" s="9">
        <f>+Tabla114[[#This Row],[COSTO CON IVA]]/Tabla114[[#This Row],[UTILIDAD]]</f>
        <v>81772.599999999991</v>
      </c>
      <c r="D422" s="9">
        <f>+Tabla114[[#This Row],[PRECIO INSTALADOR (IVA INCLUIDO)]]-Tabla114[[#This Row],[DCTO TIENDA]]</f>
        <v>77683.969999999987</v>
      </c>
      <c r="E422" s="9">
        <f>+Tabla114[[#This Row],[PRECIO INSTALADOR (IVA INCLUIDO)]]/0.7</f>
        <v>116818</v>
      </c>
      <c r="F422" s="8">
        <v>0.85</v>
      </c>
      <c r="G422" s="16">
        <f>+Tabla114[[#This Row],[COSTO]]*1.19</f>
        <v>69506.709999999992</v>
      </c>
      <c r="H422" s="26">
        <f>+Tabla114[[#This Row],[PRECIO INSTALADOR (IVA INCLUIDO)]]*5%</f>
        <v>4088.6299999999997</v>
      </c>
      <c r="I422" s="25"/>
      <c r="J422" s="7">
        <v>58409</v>
      </c>
    </row>
    <row r="423" spans="1:10" ht="15" x14ac:dyDescent="0.25">
      <c r="A423" s="23" t="s">
        <v>826</v>
      </c>
      <c r="B423" s="24" t="s">
        <v>803</v>
      </c>
      <c r="C423" s="9">
        <f>+Tabla114[[#This Row],[COSTO CON IVA]]/Tabla114[[#This Row],[UTILIDAD]]</f>
        <v>84175</v>
      </c>
      <c r="D423" s="9">
        <f>+Tabla114[[#This Row],[PRECIO INSTALADOR (IVA INCLUIDO)]]-Tabla114[[#This Row],[DCTO TIENDA]]</f>
        <v>79966.25</v>
      </c>
      <c r="E423" s="9">
        <f>+Tabla114[[#This Row],[PRECIO INSTALADOR (IVA INCLUIDO)]]/0.7</f>
        <v>120250.00000000001</v>
      </c>
      <c r="F423" s="8">
        <v>0.85</v>
      </c>
      <c r="G423" s="16">
        <f>+Tabla114[[#This Row],[COSTO]]*1.19</f>
        <v>71548.75</v>
      </c>
      <c r="H423" s="26">
        <f>+Tabla114[[#This Row],[PRECIO INSTALADOR (IVA INCLUIDO)]]*5%</f>
        <v>4208.75</v>
      </c>
      <c r="I423" s="25"/>
      <c r="J423" s="7">
        <v>60125</v>
      </c>
    </row>
    <row r="424" spans="1:10" ht="15" x14ac:dyDescent="0.25">
      <c r="A424" s="23" t="s">
        <v>827</v>
      </c>
      <c r="B424" s="24" t="s">
        <v>805</v>
      </c>
      <c r="C424" s="9">
        <f>+Tabla114[[#This Row],[COSTO CON IVA]]/Tabla114[[#This Row],[UTILIDAD]]</f>
        <v>87623.900000000009</v>
      </c>
      <c r="D424" s="9">
        <f>+Tabla114[[#This Row],[PRECIO INSTALADOR (IVA INCLUIDO)]]-Tabla114[[#This Row],[DCTO TIENDA]]</f>
        <v>83242.705000000002</v>
      </c>
      <c r="E424" s="9">
        <f>+Tabla114[[#This Row],[PRECIO INSTALADOR (IVA INCLUIDO)]]/0.7</f>
        <v>125177.00000000001</v>
      </c>
      <c r="F424" s="8">
        <v>0.85</v>
      </c>
      <c r="G424" s="16">
        <f>+Tabla114[[#This Row],[COSTO]]*1.19</f>
        <v>74480.315000000002</v>
      </c>
      <c r="H424" s="26">
        <f>+Tabla114[[#This Row],[PRECIO INSTALADOR (IVA INCLUIDO)]]*5%</f>
        <v>4381.1950000000006</v>
      </c>
      <c r="I424" s="25"/>
      <c r="J424" s="7">
        <v>62588.5</v>
      </c>
    </row>
    <row r="425" spans="1:10" ht="15" x14ac:dyDescent="0.25">
      <c r="A425" s="23" t="s">
        <v>828</v>
      </c>
      <c r="B425" s="24" t="s">
        <v>807</v>
      </c>
      <c r="C425" s="9">
        <f>+Tabla114[[#This Row],[COSTO CON IVA]]/Tabla114[[#This Row],[UTILIDAD]]</f>
        <v>91482.3</v>
      </c>
      <c r="D425" s="9">
        <f>+Tabla114[[#This Row],[PRECIO INSTALADOR (IVA INCLUIDO)]]-Tabla114[[#This Row],[DCTO TIENDA]]</f>
        <v>86908.184999999998</v>
      </c>
      <c r="E425" s="9">
        <f>+Tabla114[[#This Row],[PRECIO INSTALADOR (IVA INCLUIDO)]]/0.7</f>
        <v>130689.00000000001</v>
      </c>
      <c r="F425" s="8">
        <v>0.85</v>
      </c>
      <c r="G425" s="16">
        <f>+Tabla114[[#This Row],[COSTO]]*1.19</f>
        <v>77759.955000000002</v>
      </c>
      <c r="H425" s="26">
        <f>+Tabla114[[#This Row],[PRECIO INSTALADOR (IVA INCLUIDO)]]*5%</f>
        <v>4574.1150000000007</v>
      </c>
      <c r="I425" s="25"/>
      <c r="J425" s="7">
        <v>65344.5</v>
      </c>
    </row>
    <row r="426" spans="1:10" ht="15" x14ac:dyDescent="0.25">
      <c r="A426" s="23" t="s">
        <v>829</v>
      </c>
      <c r="B426" s="24" t="s">
        <v>830</v>
      </c>
      <c r="C426" s="9">
        <f>+Tabla114[[#This Row],[COSTO CON IVA]]/Tabla114[[#This Row],[UTILIDAD]]</f>
        <v>208854.09999999998</v>
      </c>
      <c r="D426" s="9">
        <f>+Tabla114[[#This Row],[PRECIO INSTALADOR (IVA INCLUIDO)]]-Tabla114[[#This Row],[DCTO TIENDA]]</f>
        <v>198411.39499999999</v>
      </c>
      <c r="E426" s="9">
        <f>+Tabla114[[#This Row],[PRECIO INSTALADOR (IVA INCLUIDO)]]/0.7</f>
        <v>298363</v>
      </c>
      <c r="F426" s="8">
        <v>0.85</v>
      </c>
      <c r="G426" s="16">
        <f>+Tabla114[[#This Row],[COSTO]]*1.19</f>
        <v>177525.98499999999</v>
      </c>
      <c r="H426" s="26">
        <f>+Tabla114[[#This Row],[PRECIO INSTALADOR (IVA INCLUIDO)]]*5%</f>
        <v>10442.705</v>
      </c>
      <c r="I426" s="25"/>
      <c r="J426" s="7">
        <v>149181.5</v>
      </c>
    </row>
    <row r="427" spans="1:10" ht="15" x14ac:dyDescent="0.25">
      <c r="A427" s="23" t="s">
        <v>831</v>
      </c>
      <c r="B427" s="24" t="s">
        <v>832</v>
      </c>
      <c r="C427" s="9">
        <f>+Tabla114[[#This Row],[COSTO CON IVA]]/Tabla114[[#This Row],[UTILIDAD]]</f>
        <v>237928.6</v>
      </c>
      <c r="D427" s="9">
        <f>+Tabla114[[#This Row],[PRECIO INSTALADOR (IVA INCLUIDO)]]-Tabla114[[#This Row],[DCTO TIENDA]]</f>
        <v>226032.17</v>
      </c>
      <c r="E427" s="9">
        <f>+Tabla114[[#This Row],[PRECIO INSTALADOR (IVA INCLUIDO)]]/0.7</f>
        <v>339898.00000000006</v>
      </c>
      <c r="F427" s="8">
        <v>0.85</v>
      </c>
      <c r="G427" s="16">
        <f>+Tabla114[[#This Row],[COSTO]]*1.19</f>
        <v>202239.31</v>
      </c>
      <c r="H427" s="26">
        <f>+Tabla114[[#This Row],[PRECIO INSTALADOR (IVA INCLUIDO)]]*5%</f>
        <v>11896.43</v>
      </c>
      <c r="I427" s="25"/>
      <c r="J427" s="7">
        <v>169949</v>
      </c>
    </row>
    <row r="428" spans="1:10" ht="15" x14ac:dyDescent="0.25">
      <c r="A428" s="23" t="s">
        <v>833</v>
      </c>
      <c r="B428" s="24" t="s">
        <v>834</v>
      </c>
      <c r="C428" s="9">
        <f>+Tabla114[[#This Row],[COSTO CON IVA]]/Tabla114[[#This Row],[UTILIDAD]]</f>
        <v>207880.4</v>
      </c>
      <c r="D428" s="9">
        <f>+Tabla114[[#This Row],[PRECIO INSTALADOR (IVA INCLUIDO)]]-Tabla114[[#This Row],[DCTO TIENDA]]</f>
        <v>197486.38</v>
      </c>
      <c r="E428" s="9">
        <f>+Tabla114[[#This Row],[PRECIO INSTALADOR (IVA INCLUIDO)]]/0.7</f>
        <v>296972</v>
      </c>
      <c r="F428" s="8">
        <v>0.85</v>
      </c>
      <c r="G428" s="16">
        <f>+Tabla114[[#This Row],[COSTO]]*1.19</f>
        <v>176698.34</v>
      </c>
      <c r="H428" s="26">
        <f>+Tabla114[[#This Row],[PRECIO INSTALADOR (IVA INCLUIDO)]]*5%</f>
        <v>10394.02</v>
      </c>
      <c r="I428" s="25"/>
      <c r="J428" s="7">
        <v>148486</v>
      </c>
    </row>
    <row r="429" spans="1:10" ht="15" x14ac:dyDescent="0.25">
      <c r="A429" s="23" t="s">
        <v>835</v>
      </c>
      <c r="B429" s="24" t="s">
        <v>836</v>
      </c>
      <c r="C429" s="9">
        <f>+Tabla114[[#This Row],[COSTO CON IVA]]/Tabla114[[#This Row],[UTILIDAD]]</f>
        <v>240349.19999999998</v>
      </c>
      <c r="D429" s="9">
        <f>+Tabla114[[#This Row],[PRECIO INSTALADOR (IVA INCLUIDO)]]-Tabla114[[#This Row],[DCTO TIENDA]]</f>
        <v>228331.74</v>
      </c>
      <c r="E429" s="9">
        <f>+Tabla114[[#This Row],[PRECIO INSTALADOR (IVA INCLUIDO)]]/0.7</f>
        <v>343356</v>
      </c>
      <c r="F429" s="8">
        <v>0.85</v>
      </c>
      <c r="G429" s="16">
        <f>+Tabla114[[#This Row],[COSTO]]*1.19</f>
        <v>204296.81999999998</v>
      </c>
      <c r="H429" s="26">
        <f>+Tabla114[[#This Row],[PRECIO INSTALADOR (IVA INCLUIDO)]]*5%</f>
        <v>12017.46</v>
      </c>
      <c r="I429" s="25"/>
      <c r="J429" s="7">
        <v>171678</v>
      </c>
    </row>
    <row r="430" spans="1:10" ht="15" x14ac:dyDescent="0.25">
      <c r="A430" s="23" t="s">
        <v>837</v>
      </c>
      <c r="B430" s="24" t="s">
        <v>838</v>
      </c>
      <c r="C430" s="9">
        <f>+Tabla114[[#This Row],[COSTO CON IVA]]/Tabla114[[#This Row],[UTILIDAD]]</f>
        <v>268941.40000000002</v>
      </c>
      <c r="D430" s="9">
        <f>+Tabla114[[#This Row],[PRECIO INSTALADOR (IVA INCLUIDO)]]-Tabla114[[#This Row],[DCTO TIENDA]]</f>
        <v>255494.33000000002</v>
      </c>
      <c r="E430" s="9">
        <f>+Tabla114[[#This Row],[PRECIO INSTALADOR (IVA INCLUIDO)]]/0.7</f>
        <v>384202.00000000006</v>
      </c>
      <c r="F430" s="8">
        <v>0.85</v>
      </c>
      <c r="G430" s="16">
        <f>+Tabla114[[#This Row],[COSTO]]*1.19</f>
        <v>228600.19</v>
      </c>
      <c r="H430" s="26">
        <f>+Tabla114[[#This Row],[PRECIO INSTALADOR (IVA INCLUIDO)]]*5%</f>
        <v>13447.070000000002</v>
      </c>
      <c r="I430" s="25"/>
      <c r="J430" s="7">
        <v>192101</v>
      </c>
    </row>
    <row r="431" spans="1:10" ht="15" x14ac:dyDescent="0.25">
      <c r="A431" s="23" t="s">
        <v>839</v>
      </c>
      <c r="B431" s="24" t="s">
        <v>840</v>
      </c>
      <c r="C431" s="9">
        <f>+Tabla114[[#This Row],[COSTO CON IVA]]/Tabla114[[#This Row],[UTILIDAD]]</f>
        <v>175165.9</v>
      </c>
      <c r="D431" s="9">
        <f>+Tabla114[[#This Row],[PRECIO INSTALADOR (IVA INCLUIDO)]]-Tabla114[[#This Row],[DCTO TIENDA]]</f>
        <v>166407.60499999998</v>
      </c>
      <c r="E431" s="9">
        <f>+Tabla114[[#This Row],[PRECIO INSTALADOR (IVA INCLUIDO)]]/0.7</f>
        <v>250237</v>
      </c>
      <c r="F431" s="8">
        <v>0.85</v>
      </c>
      <c r="G431" s="16">
        <f>+Tabla114[[#This Row],[COSTO]]*1.19</f>
        <v>148891.01499999998</v>
      </c>
      <c r="H431" s="26">
        <f>+Tabla114[[#This Row],[PRECIO INSTALADOR (IVA INCLUIDO)]]*5%</f>
        <v>8758.2950000000001</v>
      </c>
      <c r="I431" s="25"/>
      <c r="J431" s="7">
        <v>125118.5</v>
      </c>
    </row>
    <row r="432" spans="1:10" ht="15" x14ac:dyDescent="0.25">
      <c r="A432" s="23" t="s">
        <v>841</v>
      </c>
      <c r="B432" s="24" t="s">
        <v>842</v>
      </c>
      <c r="C432" s="9">
        <f>+Tabla114[[#This Row],[COSTO CON IVA]]/Tabla114[[#This Row],[UTILIDAD]]</f>
        <v>186459</v>
      </c>
      <c r="D432" s="9">
        <f>+Tabla114[[#This Row],[PRECIO INSTALADOR (IVA INCLUIDO)]]-Tabla114[[#This Row],[DCTO TIENDA]]</f>
        <v>177136.05</v>
      </c>
      <c r="E432" s="9">
        <f>+Tabla114[[#This Row],[PRECIO INSTALADOR (IVA INCLUIDO)]]/0.7</f>
        <v>266370</v>
      </c>
      <c r="F432" s="8">
        <v>0.85</v>
      </c>
      <c r="G432" s="16">
        <f>+Tabla114[[#This Row],[COSTO]]*1.19</f>
        <v>158490.15</v>
      </c>
      <c r="H432" s="26">
        <f>+Tabla114[[#This Row],[PRECIO INSTALADOR (IVA INCLUIDO)]]*5%</f>
        <v>9322.9500000000007</v>
      </c>
      <c r="I432" s="25"/>
      <c r="J432" s="7">
        <v>133185</v>
      </c>
    </row>
    <row r="433" spans="1:10" ht="15" x14ac:dyDescent="0.25">
      <c r="A433" s="23" t="s">
        <v>843</v>
      </c>
      <c r="B433" s="24" t="s">
        <v>844</v>
      </c>
      <c r="C433" s="9">
        <f>+Tabla114[[#This Row],[COSTO CON IVA]]/Tabla114[[#This Row],[UTILIDAD]]</f>
        <v>211575</v>
      </c>
      <c r="D433" s="9">
        <f>+Tabla114[[#This Row],[PRECIO INSTALADOR (IVA INCLUIDO)]]-Tabla114[[#This Row],[DCTO TIENDA]]</f>
        <v>200996.25</v>
      </c>
      <c r="E433" s="9">
        <f>+Tabla114[[#This Row],[PRECIO INSTALADOR (IVA INCLUIDO)]]/0.7</f>
        <v>302250</v>
      </c>
      <c r="F433" s="8">
        <v>0.85</v>
      </c>
      <c r="G433" s="16">
        <f>+Tabla114[[#This Row],[COSTO]]*1.19</f>
        <v>179838.75</v>
      </c>
      <c r="H433" s="26">
        <f>+Tabla114[[#This Row],[PRECIO INSTALADOR (IVA INCLUIDO)]]*5%</f>
        <v>10578.75</v>
      </c>
      <c r="I433" s="25"/>
      <c r="J433" s="7">
        <v>151125</v>
      </c>
    </row>
    <row r="434" spans="1:10" ht="15" x14ac:dyDescent="0.25">
      <c r="A434" s="23" t="s">
        <v>845</v>
      </c>
      <c r="B434" s="24" t="s">
        <v>846</v>
      </c>
      <c r="C434" s="9">
        <f>+Tabla114[[#This Row],[COSTO CON IVA]]/Tabla114[[#This Row],[UTILIDAD]]</f>
        <v>226480.8</v>
      </c>
      <c r="D434" s="9">
        <f>+Tabla114[[#This Row],[PRECIO INSTALADOR (IVA INCLUIDO)]]-Tabla114[[#This Row],[DCTO TIENDA]]</f>
        <v>215156.75999999998</v>
      </c>
      <c r="E434" s="9">
        <f>+Tabla114[[#This Row],[PRECIO INSTALADOR (IVA INCLUIDO)]]/0.7</f>
        <v>323544</v>
      </c>
      <c r="F434" s="8">
        <v>0.85</v>
      </c>
      <c r="G434" s="16">
        <f>+Tabla114[[#This Row],[COSTO]]*1.19</f>
        <v>192508.68</v>
      </c>
      <c r="H434" s="26">
        <f>+Tabla114[[#This Row],[PRECIO INSTALADOR (IVA INCLUIDO)]]*5%</f>
        <v>11324.04</v>
      </c>
      <c r="I434" s="25"/>
      <c r="J434" s="7">
        <v>161772</v>
      </c>
    </row>
    <row r="435" spans="1:10" ht="15" x14ac:dyDescent="0.25">
      <c r="A435" s="23" t="s">
        <v>847</v>
      </c>
      <c r="B435" s="24" t="s">
        <v>848</v>
      </c>
      <c r="C435" s="9">
        <f>+Tabla114[[#This Row],[COSTO CON IVA]]/Tabla114[[#This Row],[UTILIDAD]]</f>
        <v>248975.99999999997</v>
      </c>
      <c r="D435" s="9">
        <f>+Tabla114[[#This Row],[PRECIO INSTALADOR (IVA INCLUIDO)]]-Tabla114[[#This Row],[DCTO TIENDA]]</f>
        <v>236527.19999999998</v>
      </c>
      <c r="E435" s="9">
        <f>+Tabla114[[#This Row],[PRECIO INSTALADOR (IVA INCLUIDO)]]/0.7</f>
        <v>355680</v>
      </c>
      <c r="F435" s="8">
        <v>0.85</v>
      </c>
      <c r="G435" s="16">
        <f>+Tabla114[[#This Row],[COSTO]]*1.19</f>
        <v>211629.59999999998</v>
      </c>
      <c r="H435" s="26">
        <f>+Tabla114[[#This Row],[PRECIO INSTALADOR (IVA INCLUIDO)]]*5%</f>
        <v>12448.8</v>
      </c>
      <c r="I435" s="25"/>
      <c r="J435" s="7">
        <v>177840</v>
      </c>
    </row>
    <row r="436" spans="1:10" ht="15" x14ac:dyDescent="0.25">
      <c r="A436" s="23" t="s">
        <v>849</v>
      </c>
      <c r="B436" s="24" t="s">
        <v>850</v>
      </c>
      <c r="C436" s="9">
        <f>+Tabla114[[#This Row],[COSTO CON IVA]]/Tabla114[[#This Row],[UTILIDAD]]</f>
        <v>10920</v>
      </c>
      <c r="D436" s="9">
        <f>+Tabla114[[#This Row],[PRECIO INSTALADOR (IVA INCLUIDO)]]-Tabla114[[#This Row],[DCTO TIENDA]]</f>
        <v>10374</v>
      </c>
      <c r="E436" s="9">
        <f>+Tabla114[[#This Row],[PRECIO INSTALADOR (IVA INCLUIDO)]]/0.7</f>
        <v>15600.000000000002</v>
      </c>
      <c r="F436" s="8">
        <v>0.85</v>
      </c>
      <c r="G436" s="16">
        <f>+Tabla114[[#This Row],[COSTO]]*1.19</f>
        <v>9282</v>
      </c>
      <c r="H436" s="26">
        <f>+Tabla114[[#This Row],[PRECIO INSTALADOR (IVA INCLUIDO)]]*5%</f>
        <v>546</v>
      </c>
      <c r="I436" s="25"/>
      <c r="J436" s="7">
        <v>7800</v>
      </c>
    </row>
    <row r="437" spans="1:10" ht="15" x14ac:dyDescent="0.25">
      <c r="A437" s="23" t="s">
        <v>851</v>
      </c>
      <c r="B437" s="24" t="s">
        <v>852</v>
      </c>
      <c r="C437" s="9">
        <f>+Tabla114[[#This Row],[COSTO CON IVA]]/Tabla114[[#This Row],[UTILIDAD]]</f>
        <v>14924</v>
      </c>
      <c r="D437" s="9">
        <f>+Tabla114[[#This Row],[PRECIO INSTALADOR (IVA INCLUIDO)]]-Tabla114[[#This Row],[DCTO TIENDA]]</f>
        <v>14177.8</v>
      </c>
      <c r="E437" s="9">
        <f>+Tabla114[[#This Row],[PRECIO INSTALADOR (IVA INCLUIDO)]]/0.7</f>
        <v>21320</v>
      </c>
      <c r="F437" s="8">
        <v>0.85</v>
      </c>
      <c r="G437" s="16">
        <f>+Tabla114[[#This Row],[COSTO]]*1.19</f>
        <v>12685.4</v>
      </c>
      <c r="H437" s="26">
        <f>+Tabla114[[#This Row],[PRECIO INSTALADOR (IVA INCLUIDO)]]*5%</f>
        <v>746.2</v>
      </c>
      <c r="I437" s="25"/>
      <c r="J437" s="7">
        <v>10660</v>
      </c>
    </row>
    <row r="438" spans="1:10" ht="15" x14ac:dyDescent="0.25">
      <c r="A438" s="23" t="s">
        <v>853</v>
      </c>
      <c r="B438" s="24" t="s">
        <v>854</v>
      </c>
      <c r="C438" s="9">
        <f>+Tabla114[[#This Row],[COSTO CON IVA]]/Tabla114[[#This Row],[UTILIDAD]]</f>
        <v>37219</v>
      </c>
      <c r="D438" s="9">
        <f>+Tabla114[[#This Row],[PRECIO INSTALADOR (IVA INCLUIDO)]]-Tabla114[[#This Row],[DCTO TIENDA]]</f>
        <v>35358.050000000003</v>
      </c>
      <c r="E438" s="9">
        <f>+Tabla114[[#This Row],[PRECIO INSTALADOR (IVA INCLUIDO)]]/0.7</f>
        <v>53170</v>
      </c>
      <c r="F438" s="8">
        <v>0.85</v>
      </c>
      <c r="G438" s="16">
        <f>+Tabla114[[#This Row],[COSTO]]*1.19</f>
        <v>31636.149999999998</v>
      </c>
      <c r="H438" s="26">
        <f>+Tabla114[[#This Row],[PRECIO INSTALADOR (IVA INCLUIDO)]]*5%</f>
        <v>1860.95</v>
      </c>
      <c r="I438" s="25"/>
      <c r="J438" s="7">
        <v>26585</v>
      </c>
    </row>
    <row r="439" spans="1:10" ht="15" x14ac:dyDescent="0.25">
      <c r="A439" s="23" t="s">
        <v>855</v>
      </c>
      <c r="B439" s="24" t="s">
        <v>856</v>
      </c>
      <c r="C439" s="9">
        <f>+Tabla114[[#This Row],[COSTO CON IVA]]/Tabla114[[#This Row],[UTILIDAD]]</f>
        <v>48166.299999999996</v>
      </c>
      <c r="D439" s="9">
        <f>+Tabla114[[#This Row],[PRECIO INSTALADOR (IVA INCLUIDO)]]-Tabla114[[#This Row],[DCTO TIENDA]]</f>
        <v>45757.984999999993</v>
      </c>
      <c r="E439" s="9">
        <f>+Tabla114[[#This Row],[PRECIO INSTALADOR (IVA INCLUIDO)]]/0.7</f>
        <v>68809</v>
      </c>
      <c r="F439" s="8">
        <v>0.85</v>
      </c>
      <c r="G439" s="16">
        <f>+Tabla114[[#This Row],[COSTO]]*1.19</f>
        <v>40941.354999999996</v>
      </c>
      <c r="H439" s="26">
        <f>+Tabla114[[#This Row],[PRECIO INSTALADOR (IVA INCLUIDO)]]*5%</f>
        <v>2408.3150000000001</v>
      </c>
      <c r="I439" s="25"/>
      <c r="J439" s="7">
        <v>34404.5</v>
      </c>
    </row>
    <row r="440" spans="1:10" ht="15" x14ac:dyDescent="0.25">
      <c r="A440" s="23" t="s">
        <v>857</v>
      </c>
      <c r="B440" s="24" t="s">
        <v>858</v>
      </c>
      <c r="C440" s="9">
        <f>+Tabla114[[#This Row],[COSTO CON IVA]]/Tabla114[[#This Row],[UTILIDAD]]</f>
        <v>54691</v>
      </c>
      <c r="D440" s="9">
        <f>+Tabla114[[#This Row],[PRECIO INSTALADOR (IVA INCLUIDO)]]-Tabla114[[#This Row],[DCTO TIENDA]]</f>
        <v>51956.45</v>
      </c>
      <c r="E440" s="9">
        <f>+Tabla114[[#This Row],[PRECIO INSTALADOR (IVA INCLUIDO)]]/0.7</f>
        <v>78130</v>
      </c>
      <c r="F440" s="8">
        <v>0.85</v>
      </c>
      <c r="G440" s="16">
        <f>+Tabla114[[#This Row],[COSTO]]*1.19</f>
        <v>46487.35</v>
      </c>
      <c r="H440" s="26">
        <f>+Tabla114[[#This Row],[PRECIO INSTALADOR (IVA INCLUIDO)]]*5%</f>
        <v>2734.55</v>
      </c>
      <c r="I440" s="25"/>
      <c r="J440" s="7">
        <v>39065</v>
      </c>
    </row>
    <row r="441" spans="1:10" ht="15" x14ac:dyDescent="0.25">
      <c r="A441" s="23" t="s">
        <v>859</v>
      </c>
      <c r="B441" s="24" t="s">
        <v>860</v>
      </c>
      <c r="C441" s="9">
        <f>+Tabla114[[#This Row],[COSTO CON IVA]]/Tabla114[[#This Row],[UTILIDAD]]</f>
        <v>60333</v>
      </c>
      <c r="D441" s="9">
        <f>+Tabla114[[#This Row],[PRECIO INSTALADOR (IVA INCLUIDO)]]-Tabla114[[#This Row],[DCTO TIENDA]]</f>
        <v>57316.35</v>
      </c>
      <c r="E441" s="9">
        <f>+Tabla114[[#This Row],[PRECIO INSTALADOR (IVA INCLUIDO)]]/0.7</f>
        <v>86190</v>
      </c>
      <c r="F441" s="8">
        <v>0.85</v>
      </c>
      <c r="G441" s="16">
        <f>+Tabla114[[#This Row],[COSTO]]*1.19</f>
        <v>51283.049999999996</v>
      </c>
      <c r="H441" s="26">
        <f>+Tabla114[[#This Row],[PRECIO INSTALADOR (IVA INCLUIDO)]]*5%</f>
        <v>3016.65</v>
      </c>
      <c r="I441" s="25"/>
      <c r="J441" s="7">
        <v>43095</v>
      </c>
    </row>
    <row r="442" spans="1:10" ht="15" x14ac:dyDescent="0.25">
      <c r="A442" s="23" t="s">
        <v>861</v>
      </c>
      <c r="B442" s="24" t="s">
        <v>862</v>
      </c>
      <c r="C442" s="9">
        <f>+Tabla114[[#This Row],[COSTO CON IVA]]/Tabla114[[#This Row],[UTILIDAD]]</f>
        <v>55646.5</v>
      </c>
      <c r="D442" s="9">
        <f>+Tabla114[[#This Row],[PRECIO INSTALADOR (IVA INCLUIDO)]]-Tabla114[[#This Row],[DCTO TIENDA]]</f>
        <v>52864.175000000003</v>
      </c>
      <c r="E442" s="9">
        <f>+Tabla114[[#This Row],[PRECIO INSTALADOR (IVA INCLUIDO)]]/0.7</f>
        <v>79495</v>
      </c>
      <c r="F442" s="8">
        <v>0.85</v>
      </c>
      <c r="G442" s="16">
        <f>+Tabla114[[#This Row],[COSTO]]*1.19</f>
        <v>47299.525000000001</v>
      </c>
      <c r="H442" s="26">
        <f>+Tabla114[[#This Row],[PRECIO INSTALADOR (IVA INCLUIDO)]]*5%</f>
        <v>2782.3250000000003</v>
      </c>
      <c r="I442" s="25"/>
      <c r="J442" s="7">
        <v>39747.5</v>
      </c>
    </row>
    <row r="443" spans="1:10" ht="15" x14ac:dyDescent="0.25">
      <c r="A443" s="23" t="s">
        <v>863</v>
      </c>
      <c r="B443" s="24" t="s">
        <v>864</v>
      </c>
      <c r="C443" s="9">
        <f>+Tabla114[[#This Row],[COSTO CON IVA]]/Tabla114[[#This Row],[UTILIDAD]]</f>
        <v>58667.7</v>
      </c>
      <c r="D443" s="9">
        <f>+Tabla114[[#This Row],[PRECIO INSTALADOR (IVA INCLUIDO)]]-Tabla114[[#This Row],[DCTO TIENDA]]</f>
        <v>55734.314999999995</v>
      </c>
      <c r="E443" s="9">
        <f>+Tabla114[[#This Row],[PRECIO INSTALADOR (IVA INCLUIDO)]]/0.7</f>
        <v>83811</v>
      </c>
      <c r="F443" s="8">
        <v>0.85</v>
      </c>
      <c r="G443" s="16">
        <f>+Tabla114[[#This Row],[COSTO]]*1.19</f>
        <v>49867.544999999998</v>
      </c>
      <c r="H443" s="26">
        <f>+Tabla114[[#This Row],[PRECIO INSTALADOR (IVA INCLUIDO)]]*5%</f>
        <v>2933.3850000000002</v>
      </c>
      <c r="I443" s="25"/>
      <c r="J443" s="7">
        <v>41905.5</v>
      </c>
    </row>
    <row r="444" spans="1:10" ht="15" x14ac:dyDescent="0.25">
      <c r="A444" s="23" t="s">
        <v>865</v>
      </c>
      <c r="B444" s="24" t="s">
        <v>866</v>
      </c>
      <c r="C444" s="9">
        <f>+Tabla114[[#This Row],[COSTO CON IVA]]/Tabla114[[#This Row],[UTILIDAD]]</f>
        <v>36800.400000000001</v>
      </c>
      <c r="D444" s="9">
        <f>+Tabla114[[#This Row],[PRECIO INSTALADOR (IVA INCLUIDO)]]-Tabla114[[#This Row],[DCTO TIENDA]]</f>
        <v>34960.380000000005</v>
      </c>
      <c r="E444" s="9">
        <f>+Tabla114[[#This Row],[PRECIO INSTALADOR (IVA INCLUIDO)]]/0.7</f>
        <v>52572.000000000007</v>
      </c>
      <c r="F444" s="8">
        <v>0.85</v>
      </c>
      <c r="G444" s="16">
        <f>+Tabla114[[#This Row],[COSTO]]*1.19</f>
        <v>31280.34</v>
      </c>
      <c r="H444" s="26">
        <f>+Tabla114[[#This Row],[PRECIO INSTALADOR (IVA INCLUIDO)]]*5%</f>
        <v>1840.0200000000002</v>
      </c>
      <c r="I444" s="25"/>
      <c r="J444" s="7">
        <v>26286</v>
      </c>
    </row>
    <row r="445" spans="1:10" ht="15" x14ac:dyDescent="0.25">
      <c r="A445" s="23" t="s">
        <v>867</v>
      </c>
      <c r="B445" s="24" t="s">
        <v>868</v>
      </c>
      <c r="C445" s="9">
        <f>+Tabla114[[#This Row],[COSTO CON IVA]]/Tabla114[[#This Row],[UTILIDAD]]</f>
        <v>42001.05</v>
      </c>
      <c r="D445" s="9">
        <f>+Tabla114[[#This Row],[PRECIO INSTALADOR (IVA INCLUIDO)]]-Tabla114[[#This Row],[DCTO TIENDA]]</f>
        <v>39900.997500000005</v>
      </c>
      <c r="E445" s="9">
        <f>+Tabla114[[#This Row],[PRECIO INSTALADOR (IVA INCLUIDO)]]/0.7</f>
        <v>60001.500000000007</v>
      </c>
      <c r="F445" s="8">
        <v>0.85</v>
      </c>
      <c r="G445" s="16">
        <f>+Tabla114[[#This Row],[COSTO]]*1.19</f>
        <v>35700.892500000002</v>
      </c>
      <c r="H445" s="26">
        <f>+Tabla114[[#This Row],[PRECIO INSTALADOR (IVA INCLUIDO)]]*5%</f>
        <v>2100.0525000000002</v>
      </c>
      <c r="I445" s="25"/>
      <c r="J445" s="7">
        <v>30000.75</v>
      </c>
    </row>
    <row r="446" spans="1:10" ht="15" x14ac:dyDescent="0.25">
      <c r="A446" s="23" t="s">
        <v>869</v>
      </c>
      <c r="B446" s="24" t="s">
        <v>870</v>
      </c>
      <c r="C446" s="9">
        <f>+Tabla114[[#This Row],[COSTO CON IVA]]/Tabla114[[#This Row],[UTILIDAD]]</f>
        <v>139330.1</v>
      </c>
      <c r="D446" s="9">
        <f>+Tabla114[[#This Row],[PRECIO INSTALADOR (IVA INCLUIDO)]]-Tabla114[[#This Row],[DCTO TIENDA]]</f>
        <v>132363.595</v>
      </c>
      <c r="E446" s="9">
        <f>+Tabla114[[#This Row],[PRECIO INSTALADOR (IVA INCLUIDO)]]/0.7</f>
        <v>199043.00000000003</v>
      </c>
      <c r="F446" s="8">
        <v>0.85</v>
      </c>
      <c r="G446" s="16">
        <f>+Tabla114[[#This Row],[COSTO]]*1.19</f>
        <v>118430.58499999999</v>
      </c>
      <c r="H446" s="26">
        <f>+Tabla114[[#This Row],[PRECIO INSTALADOR (IVA INCLUIDO)]]*5%</f>
        <v>6966.505000000001</v>
      </c>
      <c r="I446" s="25"/>
      <c r="J446" s="7">
        <v>99521.5</v>
      </c>
    </row>
    <row r="447" spans="1:10" ht="15" x14ac:dyDescent="0.25">
      <c r="A447" s="23" t="s">
        <v>871</v>
      </c>
      <c r="B447" s="24" t="s">
        <v>872</v>
      </c>
      <c r="C447" s="9">
        <f>+Tabla114[[#This Row],[COSTO CON IVA]]/Tabla114[[#This Row],[UTILIDAD]]</f>
        <v>164710</v>
      </c>
      <c r="D447" s="9">
        <f>+Tabla114[[#This Row],[PRECIO INSTALADOR (IVA INCLUIDO)]]-Tabla114[[#This Row],[DCTO TIENDA]]</f>
        <v>156474.5</v>
      </c>
      <c r="E447" s="9">
        <f>+Tabla114[[#This Row],[PRECIO INSTALADOR (IVA INCLUIDO)]]/0.7</f>
        <v>235300.00000000003</v>
      </c>
      <c r="F447" s="8">
        <v>0.85</v>
      </c>
      <c r="G447" s="16">
        <f>+Tabla114[[#This Row],[COSTO]]*1.19</f>
        <v>140003.5</v>
      </c>
      <c r="H447" s="26">
        <f>+Tabla114[[#This Row],[PRECIO INSTALADOR (IVA INCLUIDO)]]*5%</f>
        <v>8235.5</v>
      </c>
      <c r="I447" s="25"/>
      <c r="J447" s="7">
        <v>117650</v>
      </c>
    </row>
    <row r="448" spans="1:10" ht="15" x14ac:dyDescent="0.25">
      <c r="A448" s="23" t="s">
        <v>873</v>
      </c>
      <c r="B448" s="24" t="s">
        <v>874</v>
      </c>
      <c r="C448" s="9">
        <f>+Tabla114[[#This Row],[COSTO CON IVA]]/Tabla114[[#This Row],[UTILIDAD]]</f>
        <v>154381.5</v>
      </c>
      <c r="D448" s="9">
        <f>+Tabla114[[#This Row],[PRECIO INSTALADOR (IVA INCLUIDO)]]-Tabla114[[#This Row],[DCTO TIENDA]]</f>
        <v>146662.42499999999</v>
      </c>
      <c r="E448" s="9">
        <f>+Tabla114[[#This Row],[PRECIO INSTALADOR (IVA INCLUIDO)]]/0.7</f>
        <v>220545</v>
      </c>
      <c r="F448" s="8">
        <v>0.85</v>
      </c>
      <c r="G448" s="16">
        <f>+Tabla114[[#This Row],[COSTO]]*1.19</f>
        <v>131224.27499999999</v>
      </c>
      <c r="H448" s="26">
        <f>+Tabla114[[#This Row],[PRECIO INSTALADOR (IVA INCLUIDO)]]*5%</f>
        <v>7719.0750000000007</v>
      </c>
      <c r="I448" s="25"/>
      <c r="J448" s="7">
        <v>110272.5</v>
      </c>
    </row>
    <row r="449" spans="1:10" ht="15" x14ac:dyDescent="0.25">
      <c r="A449" s="23" t="s">
        <v>875</v>
      </c>
      <c r="B449" s="24" t="s">
        <v>876</v>
      </c>
      <c r="C449" s="9">
        <f>+Tabla114[[#This Row],[COSTO CON IVA]]/Tabla114[[#This Row],[UTILIDAD]]</f>
        <v>183820</v>
      </c>
      <c r="D449" s="9">
        <f>+Tabla114[[#This Row],[PRECIO INSTALADOR (IVA INCLUIDO)]]-Tabla114[[#This Row],[DCTO TIENDA]]</f>
        <v>174629</v>
      </c>
      <c r="E449" s="9">
        <f>+Tabla114[[#This Row],[PRECIO INSTALADOR (IVA INCLUIDO)]]/0.7</f>
        <v>262600</v>
      </c>
      <c r="F449" s="8">
        <v>0.85</v>
      </c>
      <c r="G449" s="16">
        <f>+Tabla114[[#This Row],[COSTO]]*1.19</f>
        <v>156247</v>
      </c>
      <c r="H449" s="26">
        <f>+Tabla114[[#This Row],[PRECIO INSTALADOR (IVA INCLUIDO)]]*5%</f>
        <v>9191</v>
      </c>
      <c r="I449" s="25"/>
      <c r="J449" s="7">
        <v>131300</v>
      </c>
    </row>
    <row r="450" spans="1:10" ht="15" x14ac:dyDescent="0.25">
      <c r="A450" s="23" t="s">
        <v>877</v>
      </c>
      <c r="B450" s="24" t="s">
        <v>878</v>
      </c>
      <c r="C450" s="9">
        <f>+Tabla114[[#This Row],[COSTO CON IVA]]/Tabla114[[#This Row],[UTILIDAD]]</f>
        <v>194903.8</v>
      </c>
      <c r="D450" s="9">
        <f>+Tabla114[[#This Row],[PRECIO INSTALADOR (IVA INCLUIDO)]]-Tabla114[[#This Row],[DCTO TIENDA]]</f>
        <v>185158.61</v>
      </c>
      <c r="E450" s="9">
        <f>+Tabla114[[#This Row],[PRECIO INSTALADOR (IVA INCLUIDO)]]/0.7</f>
        <v>278434</v>
      </c>
      <c r="F450" s="8">
        <v>0.85</v>
      </c>
      <c r="G450" s="16">
        <f>+Tabla114[[#This Row],[COSTO]]*1.19</f>
        <v>165668.22999999998</v>
      </c>
      <c r="H450" s="26">
        <f>+Tabla114[[#This Row],[PRECIO INSTALADOR (IVA INCLUIDO)]]*5%</f>
        <v>9745.19</v>
      </c>
      <c r="I450" s="25"/>
      <c r="J450" s="7">
        <v>139217</v>
      </c>
    </row>
    <row r="451" spans="1:10" ht="15" x14ac:dyDescent="0.25">
      <c r="A451" s="23" t="s">
        <v>879</v>
      </c>
      <c r="B451" s="24" t="s">
        <v>880</v>
      </c>
      <c r="C451" s="9">
        <f>+Tabla114[[#This Row],[COSTO CON IVA]]/Tabla114[[#This Row],[UTILIDAD]]</f>
        <v>137137</v>
      </c>
      <c r="D451" s="9">
        <f>+Tabla114[[#This Row],[PRECIO INSTALADOR (IVA INCLUIDO)]]-Tabla114[[#This Row],[DCTO TIENDA]]</f>
        <v>130280.15</v>
      </c>
      <c r="E451" s="9">
        <f>+Tabla114[[#This Row],[PRECIO INSTALADOR (IVA INCLUIDO)]]/0.7</f>
        <v>195910</v>
      </c>
      <c r="F451" s="8">
        <v>0.85</v>
      </c>
      <c r="G451" s="16">
        <f>+Tabla114[[#This Row],[COSTO]]*1.19</f>
        <v>116566.45</v>
      </c>
      <c r="H451" s="26">
        <f>+Tabla114[[#This Row],[PRECIO INSTALADOR (IVA INCLUIDO)]]*5%</f>
        <v>6856.85</v>
      </c>
      <c r="I451" s="25"/>
      <c r="J451" s="7">
        <v>97955</v>
      </c>
    </row>
    <row r="452" spans="1:10" ht="15" x14ac:dyDescent="0.25">
      <c r="A452" s="23" t="s">
        <v>881</v>
      </c>
      <c r="B452" s="24" t="s">
        <v>882</v>
      </c>
      <c r="C452" s="9">
        <f>+Tabla114[[#This Row],[COSTO CON IVA]]/Tabla114[[#This Row],[UTILIDAD]]</f>
        <v>39175.499999999993</v>
      </c>
      <c r="D452" s="9">
        <f>+Tabla114[[#This Row],[PRECIO INSTALADOR (IVA INCLUIDO)]]-Tabla114[[#This Row],[DCTO TIENDA]]</f>
        <v>37216.724999999991</v>
      </c>
      <c r="E452" s="9">
        <f>+Tabla114[[#This Row],[PRECIO INSTALADOR (IVA INCLUIDO)]]/0.7</f>
        <v>55964.999999999993</v>
      </c>
      <c r="F452" s="8">
        <v>0.85</v>
      </c>
      <c r="G452" s="16">
        <f>+Tabla114[[#This Row],[COSTO]]*1.19</f>
        <v>33299.174999999996</v>
      </c>
      <c r="H452" s="26">
        <f>+Tabla114[[#This Row],[PRECIO INSTALADOR (IVA INCLUIDO)]]*5%</f>
        <v>1958.7749999999996</v>
      </c>
      <c r="I452" s="25"/>
      <c r="J452" s="7">
        <v>27982.5</v>
      </c>
    </row>
    <row r="453" spans="1:10" ht="15" x14ac:dyDescent="0.25">
      <c r="A453" s="23" t="s">
        <v>883</v>
      </c>
      <c r="B453" s="24" t="s">
        <v>884</v>
      </c>
      <c r="C453" s="9">
        <f>+Tabla114[[#This Row],[COSTO CON IVA]]/Tabla114[[#This Row],[UTILIDAD]]</f>
        <v>44098.6</v>
      </c>
      <c r="D453" s="9">
        <f>+Tabla114[[#This Row],[PRECIO INSTALADOR (IVA INCLUIDO)]]-Tabla114[[#This Row],[DCTO TIENDA]]</f>
        <v>41893.67</v>
      </c>
      <c r="E453" s="9">
        <f>+Tabla114[[#This Row],[PRECIO INSTALADOR (IVA INCLUIDO)]]/0.7</f>
        <v>62998</v>
      </c>
      <c r="F453" s="8">
        <v>0.85</v>
      </c>
      <c r="G453" s="16">
        <f>+Tabla114[[#This Row],[COSTO]]*1.19</f>
        <v>37483.81</v>
      </c>
      <c r="H453" s="26">
        <f>+Tabla114[[#This Row],[PRECIO INSTALADOR (IVA INCLUIDO)]]*5%</f>
        <v>2204.9299999999998</v>
      </c>
      <c r="I453" s="25"/>
      <c r="J453" s="7">
        <v>31499</v>
      </c>
    </row>
    <row r="454" spans="1:10" ht="15" x14ac:dyDescent="0.25">
      <c r="A454" s="23" t="s">
        <v>885</v>
      </c>
      <c r="B454" s="24" t="s">
        <v>886</v>
      </c>
      <c r="C454" s="9">
        <f>+Tabla114[[#This Row],[COSTO CON IVA]]/Tabla114[[#This Row],[UTILIDAD]]</f>
        <v>47947.899999999994</v>
      </c>
      <c r="D454" s="9">
        <f>+Tabla114[[#This Row],[PRECIO INSTALADOR (IVA INCLUIDO)]]-Tabla114[[#This Row],[DCTO TIENDA]]</f>
        <v>45550.504999999997</v>
      </c>
      <c r="E454" s="9">
        <f>+Tabla114[[#This Row],[PRECIO INSTALADOR (IVA INCLUIDO)]]/0.7</f>
        <v>68497</v>
      </c>
      <c r="F454" s="8">
        <v>0.85</v>
      </c>
      <c r="G454" s="16">
        <f>+Tabla114[[#This Row],[COSTO]]*1.19</f>
        <v>40755.714999999997</v>
      </c>
      <c r="H454" s="26">
        <f>+Tabla114[[#This Row],[PRECIO INSTALADOR (IVA INCLUIDO)]]*5%</f>
        <v>2397.395</v>
      </c>
      <c r="I454" s="25"/>
      <c r="J454" s="7">
        <v>34248.5</v>
      </c>
    </row>
    <row r="455" spans="1:10" ht="15" x14ac:dyDescent="0.25">
      <c r="A455" s="23" t="s">
        <v>887</v>
      </c>
      <c r="B455" s="24" t="s">
        <v>888</v>
      </c>
      <c r="C455" s="9">
        <f>+Tabla114[[#This Row],[COSTO CON IVA]]/Tabla114[[#This Row],[UTILIDAD]]</f>
        <v>54463.5</v>
      </c>
      <c r="D455" s="9">
        <f>+Tabla114[[#This Row],[PRECIO INSTALADOR (IVA INCLUIDO)]]-Tabla114[[#This Row],[DCTO TIENDA]]</f>
        <v>51740.324999999997</v>
      </c>
      <c r="E455" s="9">
        <f>+Tabla114[[#This Row],[PRECIO INSTALADOR (IVA INCLUIDO)]]/0.7</f>
        <v>77805</v>
      </c>
      <c r="F455" s="8">
        <v>0.85</v>
      </c>
      <c r="G455" s="16">
        <f>+Tabla114[[#This Row],[COSTO]]*1.19</f>
        <v>46293.974999999999</v>
      </c>
      <c r="H455" s="26">
        <f>+Tabla114[[#This Row],[PRECIO INSTALADOR (IVA INCLUIDO)]]*5%</f>
        <v>2723.1750000000002</v>
      </c>
      <c r="I455" s="25"/>
      <c r="J455" s="7">
        <v>38902.5</v>
      </c>
    </row>
    <row r="456" spans="1:10" ht="15" x14ac:dyDescent="0.25">
      <c r="A456" s="23" t="s">
        <v>889</v>
      </c>
      <c r="B456" s="24" t="s">
        <v>890</v>
      </c>
      <c r="C456" s="9">
        <f>+Tabla114[[#This Row],[COSTO CON IVA]]/Tabla114[[#This Row],[UTILIDAD]]</f>
        <v>62107.5</v>
      </c>
      <c r="D456" s="9">
        <f>+Tabla114[[#This Row],[PRECIO INSTALADOR (IVA INCLUIDO)]]-Tabla114[[#This Row],[DCTO TIENDA]]</f>
        <v>59002.125</v>
      </c>
      <c r="E456" s="9">
        <f>+Tabla114[[#This Row],[PRECIO INSTALADOR (IVA INCLUIDO)]]/0.7</f>
        <v>88725</v>
      </c>
      <c r="F456" s="8">
        <v>0.85</v>
      </c>
      <c r="G456" s="16">
        <f>+Tabla114[[#This Row],[COSTO]]*1.19</f>
        <v>52791.375</v>
      </c>
      <c r="H456" s="26">
        <f>+Tabla114[[#This Row],[PRECIO INSTALADOR (IVA INCLUIDO)]]*5%</f>
        <v>3105.375</v>
      </c>
      <c r="I456" s="25"/>
      <c r="J456" s="7">
        <v>44362.5</v>
      </c>
    </row>
    <row r="457" spans="1:10" ht="15" x14ac:dyDescent="0.25">
      <c r="A457" s="23" t="s">
        <v>891</v>
      </c>
      <c r="B457" s="24" t="s">
        <v>892</v>
      </c>
      <c r="C457" s="9">
        <f>+Tabla114[[#This Row],[COSTO CON IVA]]/Tabla114[[#This Row],[UTILIDAD]]</f>
        <v>52152.1</v>
      </c>
      <c r="D457" s="9">
        <f>+Tabla114[[#This Row],[PRECIO INSTALADOR (IVA INCLUIDO)]]-Tabla114[[#This Row],[DCTO TIENDA]]</f>
        <v>49544.494999999995</v>
      </c>
      <c r="E457" s="9">
        <f>+Tabla114[[#This Row],[PRECIO INSTALADOR (IVA INCLUIDO)]]/0.7</f>
        <v>74503</v>
      </c>
      <c r="F457" s="8">
        <v>0.85</v>
      </c>
      <c r="G457" s="16">
        <f>+Tabla114[[#This Row],[COSTO]]*1.19</f>
        <v>44329.284999999996</v>
      </c>
      <c r="H457" s="26">
        <f>+Tabla114[[#This Row],[PRECIO INSTALADOR (IVA INCLUIDO)]]*5%</f>
        <v>2607.605</v>
      </c>
      <c r="I457" s="25"/>
      <c r="J457" s="7">
        <v>37251.5</v>
      </c>
    </row>
    <row r="458" spans="1:10" ht="15" x14ac:dyDescent="0.25">
      <c r="A458" s="23" t="s">
        <v>893</v>
      </c>
      <c r="B458" s="24" t="s">
        <v>894</v>
      </c>
      <c r="C458" s="9">
        <f>+Tabla114[[#This Row],[COSTO CON IVA]]/Tabla114[[#This Row],[UTILIDAD]]</f>
        <v>58039.799999999996</v>
      </c>
      <c r="D458" s="9">
        <f>+Tabla114[[#This Row],[PRECIO INSTALADOR (IVA INCLUIDO)]]-Tabla114[[#This Row],[DCTO TIENDA]]</f>
        <v>55137.81</v>
      </c>
      <c r="E458" s="9">
        <f>+Tabla114[[#This Row],[PRECIO INSTALADOR (IVA INCLUIDO)]]/0.7</f>
        <v>82914</v>
      </c>
      <c r="F458" s="8">
        <v>0.85</v>
      </c>
      <c r="G458" s="16">
        <f>+Tabla114[[#This Row],[COSTO]]*1.19</f>
        <v>49333.829999999994</v>
      </c>
      <c r="H458" s="26">
        <f>+Tabla114[[#This Row],[PRECIO INSTALADOR (IVA INCLUIDO)]]*5%</f>
        <v>2901.99</v>
      </c>
      <c r="I458" s="25"/>
      <c r="J458" s="7">
        <v>41457</v>
      </c>
    </row>
    <row r="459" spans="1:10" ht="15" x14ac:dyDescent="0.25">
      <c r="A459" s="23" t="s">
        <v>895</v>
      </c>
      <c r="B459" s="24" t="s">
        <v>896</v>
      </c>
      <c r="C459" s="9">
        <f>+Tabla114[[#This Row],[COSTO CON IVA]]/Tabla114[[#This Row],[UTILIDAD]]</f>
        <v>87428.25</v>
      </c>
      <c r="D459" s="9">
        <f>+Tabla114[[#This Row],[PRECIO INSTALADOR (IVA INCLUIDO)]]-Tabla114[[#This Row],[DCTO TIENDA]]</f>
        <v>83056.837499999994</v>
      </c>
      <c r="E459" s="9">
        <f>+Tabla114[[#This Row],[PRECIO INSTALADOR (IVA INCLUIDO)]]/0.7</f>
        <v>124897.50000000001</v>
      </c>
      <c r="F459" s="8">
        <v>0.85</v>
      </c>
      <c r="G459" s="16">
        <f>+Tabla114[[#This Row],[COSTO]]*1.19</f>
        <v>74314.012499999997</v>
      </c>
      <c r="H459" s="26">
        <f>+Tabla114[[#This Row],[PRECIO INSTALADOR (IVA INCLUIDO)]]*5%</f>
        <v>4371.4125000000004</v>
      </c>
      <c r="I459" s="25"/>
      <c r="J459" s="7">
        <v>62448.75</v>
      </c>
    </row>
    <row r="460" spans="1:10" ht="15" x14ac:dyDescent="0.25">
      <c r="A460" s="23" t="s">
        <v>897</v>
      </c>
      <c r="B460" s="24" t="s">
        <v>898</v>
      </c>
      <c r="C460" s="9">
        <f>+Tabla114[[#This Row],[COSTO CON IVA]]/Tabla114[[#This Row],[UTILIDAD]]</f>
        <v>76194.3</v>
      </c>
      <c r="D460" s="9">
        <f>+Tabla114[[#This Row],[PRECIO INSTALADOR (IVA INCLUIDO)]]-Tabla114[[#This Row],[DCTO TIENDA]]</f>
        <v>72384.585000000006</v>
      </c>
      <c r="E460" s="9">
        <f>+Tabla114[[#This Row],[PRECIO INSTALADOR (IVA INCLUIDO)]]/0.7</f>
        <v>108849.00000000001</v>
      </c>
      <c r="F460" s="8">
        <v>0.85</v>
      </c>
      <c r="G460" s="16">
        <f>+Tabla114[[#This Row],[COSTO]]*1.19</f>
        <v>64765.154999999999</v>
      </c>
      <c r="H460" s="26">
        <f>+Tabla114[[#This Row],[PRECIO INSTALADOR (IVA INCLUIDO)]]*5%</f>
        <v>3809.7150000000001</v>
      </c>
      <c r="I460" s="25"/>
      <c r="J460" s="7">
        <v>54424.5</v>
      </c>
    </row>
    <row r="461" spans="1:10" ht="15" x14ac:dyDescent="0.25">
      <c r="A461" s="23" t="s">
        <v>899</v>
      </c>
      <c r="B461" s="24" t="s">
        <v>900</v>
      </c>
      <c r="C461" s="9">
        <f>+Tabla114[[#This Row],[COSTO CON IVA]]/Tabla114[[#This Row],[UTILIDAD]]</f>
        <v>83656.3</v>
      </c>
      <c r="D461" s="9">
        <f>+Tabla114[[#This Row],[PRECIO INSTALADOR (IVA INCLUIDO)]]-Tabla114[[#This Row],[DCTO TIENDA]]</f>
        <v>79473.485000000001</v>
      </c>
      <c r="E461" s="9">
        <f>+Tabla114[[#This Row],[PRECIO INSTALADOR (IVA INCLUIDO)]]/0.7</f>
        <v>119509.00000000001</v>
      </c>
      <c r="F461" s="8">
        <v>0.85</v>
      </c>
      <c r="G461" s="16">
        <f>+Tabla114[[#This Row],[COSTO]]*1.19</f>
        <v>71107.854999999996</v>
      </c>
      <c r="H461" s="26">
        <f>+Tabla114[[#This Row],[PRECIO INSTALADOR (IVA INCLUIDO)]]*5%</f>
        <v>4182.8150000000005</v>
      </c>
      <c r="I461" s="25"/>
      <c r="J461" s="7">
        <v>59754.5</v>
      </c>
    </row>
    <row r="462" spans="1:10" ht="15" x14ac:dyDescent="0.25">
      <c r="A462" s="23" t="s">
        <v>901</v>
      </c>
      <c r="B462" s="24" t="s">
        <v>902</v>
      </c>
      <c r="C462" s="9">
        <f>+Tabla114[[#This Row],[COSTO CON IVA]]/Tabla114[[#This Row],[UTILIDAD]]</f>
        <v>95427.150000000009</v>
      </c>
      <c r="D462" s="9">
        <f>+Tabla114[[#This Row],[PRECIO INSTALADOR (IVA INCLUIDO)]]-Tabla114[[#This Row],[DCTO TIENDA]]</f>
        <v>90655.79250000001</v>
      </c>
      <c r="E462" s="9">
        <f>+Tabla114[[#This Row],[PRECIO INSTALADOR (IVA INCLUIDO)]]/0.7</f>
        <v>136324.50000000003</v>
      </c>
      <c r="F462" s="8">
        <v>0.85</v>
      </c>
      <c r="G462" s="16">
        <f>+Tabla114[[#This Row],[COSTO]]*1.19</f>
        <v>81113.077499999999</v>
      </c>
      <c r="H462" s="26">
        <f>+Tabla114[[#This Row],[PRECIO INSTALADOR (IVA INCLUIDO)]]*5%</f>
        <v>4771.357500000001</v>
      </c>
      <c r="I462" s="25"/>
      <c r="J462" s="7">
        <v>68162.25</v>
      </c>
    </row>
    <row r="463" spans="1:10" ht="15" x14ac:dyDescent="0.25">
      <c r="A463" s="23" t="s">
        <v>903</v>
      </c>
      <c r="B463" s="24" t="s">
        <v>904</v>
      </c>
      <c r="C463" s="9">
        <f>+Tabla114[[#This Row],[COSTO CON IVA]]/Tabla114[[#This Row],[UTILIDAD]]</f>
        <v>205432.5</v>
      </c>
      <c r="D463" s="9">
        <f>+Tabla114[[#This Row],[PRECIO INSTALADOR (IVA INCLUIDO)]]-Tabla114[[#This Row],[DCTO TIENDA]]</f>
        <v>195160.875</v>
      </c>
      <c r="E463" s="9">
        <f>+Tabla114[[#This Row],[PRECIO INSTALADOR (IVA INCLUIDO)]]/0.7</f>
        <v>293475</v>
      </c>
      <c r="F463" s="8">
        <v>0.85</v>
      </c>
      <c r="G463" s="16">
        <f>+Tabla114[[#This Row],[COSTO]]*1.19</f>
        <v>174617.625</v>
      </c>
      <c r="H463" s="26">
        <f>+Tabla114[[#This Row],[PRECIO INSTALADOR (IVA INCLUIDO)]]*5%</f>
        <v>10271.625</v>
      </c>
      <c r="I463" s="25"/>
      <c r="J463" s="7">
        <v>146737.5</v>
      </c>
    </row>
    <row r="464" spans="1:10" ht="15" x14ac:dyDescent="0.25">
      <c r="A464" s="23" t="s">
        <v>905</v>
      </c>
      <c r="B464" s="24" t="s">
        <v>906</v>
      </c>
      <c r="C464" s="9">
        <f>+Tabla114[[#This Row],[COSTO CON IVA]]/Tabla114[[#This Row],[UTILIDAD]]</f>
        <v>223586.99999999997</v>
      </c>
      <c r="D464" s="9">
        <f>+Tabla114[[#This Row],[PRECIO INSTALADOR (IVA INCLUIDO)]]-Tabla114[[#This Row],[DCTO TIENDA]]</f>
        <v>212407.64999999997</v>
      </c>
      <c r="E464" s="9">
        <f>+Tabla114[[#This Row],[PRECIO INSTALADOR (IVA INCLUIDO)]]/0.7</f>
        <v>319410</v>
      </c>
      <c r="F464" s="8">
        <v>0.85</v>
      </c>
      <c r="G464" s="16">
        <f>+Tabla114[[#This Row],[COSTO]]*1.19</f>
        <v>190048.94999999998</v>
      </c>
      <c r="H464" s="26">
        <f>+Tabla114[[#This Row],[PRECIO INSTALADOR (IVA INCLUIDO)]]*5%</f>
        <v>11179.349999999999</v>
      </c>
      <c r="I464" s="25"/>
      <c r="J464" s="7">
        <v>159705</v>
      </c>
    </row>
    <row r="465" spans="1:10" ht="15" x14ac:dyDescent="0.25">
      <c r="A465" s="23" t="s">
        <v>907</v>
      </c>
      <c r="B465" s="24" t="s">
        <v>908</v>
      </c>
      <c r="C465" s="9">
        <f>+Tabla114[[#This Row],[COSTO CON IVA]]/Tabla114[[#This Row],[UTILIDAD]]</f>
        <v>126890.4</v>
      </c>
      <c r="D465" s="9">
        <f>+Tabla114[[#This Row],[PRECIO INSTALADOR (IVA INCLUIDO)]]-Tabla114[[#This Row],[DCTO TIENDA]]</f>
        <v>120545.87999999999</v>
      </c>
      <c r="E465" s="9">
        <f>+Tabla114[[#This Row],[PRECIO INSTALADOR (IVA INCLUIDO)]]/0.7</f>
        <v>181272</v>
      </c>
      <c r="F465" s="8">
        <v>0.85</v>
      </c>
      <c r="G465" s="16">
        <f>+Tabla114[[#This Row],[COSTO]]*1.19</f>
        <v>107856.84</v>
      </c>
      <c r="H465" s="26">
        <f>+Tabla114[[#This Row],[PRECIO INSTALADOR (IVA INCLUIDO)]]*5%</f>
        <v>6344.52</v>
      </c>
      <c r="I465" s="25"/>
      <c r="J465" s="7">
        <v>90636</v>
      </c>
    </row>
    <row r="466" spans="1:10" ht="15" x14ac:dyDescent="0.25">
      <c r="A466" s="23" t="s">
        <v>909</v>
      </c>
      <c r="B466" s="24" t="s">
        <v>910</v>
      </c>
      <c r="C466" s="9">
        <f>+Tabla114[[#This Row],[COSTO CON IVA]]/Tabla114[[#This Row],[UTILIDAD]]</f>
        <v>136158.75</v>
      </c>
      <c r="D466" s="9">
        <f>+Tabla114[[#This Row],[PRECIO INSTALADOR (IVA INCLUIDO)]]-Tabla114[[#This Row],[DCTO TIENDA]]</f>
        <v>129350.8125</v>
      </c>
      <c r="E466" s="9">
        <f>+Tabla114[[#This Row],[PRECIO INSTALADOR (IVA INCLUIDO)]]/0.7</f>
        <v>194512.5</v>
      </c>
      <c r="F466" s="8">
        <v>0.85</v>
      </c>
      <c r="G466" s="16">
        <f>+Tabla114[[#This Row],[COSTO]]*1.19</f>
        <v>115734.9375</v>
      </c>
      <c r="H466" s="26">
        <f>+Tabla114[[#This Row],[PRECIO INSTALADOR (IVA INCLUIDO)]]*5%</f>
        <v>6807.9375</v>
      </c>
      <c r="I466" s="25"/>
      <c r="J466" s="7">
        <v>97256.25</v>
      </c>
    </row>
    <row r="467" spans="1:10" ht="15" x14ac:dyDescent="0.25">
      <c r="A467" s="23" t="s">
        <v>911</v>
      </c>
      <c r="B467" s="24" t="s">
        <v>912</v>
      </c>
      <c r="C467" s="9">
        <f>+Tabla114[[#This Row],[COSTO CON IVA]]/Tabla114[[#This Row],[UTILIDAD]]</f>
        <v>225402.44999999998</v>
      </c>
      <c r="D467" s="9">
        <f>+Tabla114[[#This Row],[PRECIO INSTALADOR (IVA INCLUIDO)]]-Tabla114[[#This Row],[DCTO TIENDA]]</f>
        <v>214132.32749999998</v>
      </c>
      <c r="E467" s="9">
        <f>+Tabla114[[#This Row],[PRECIO INSTALADOR (IVA INCLUIDO)]]/0.7</f>
        <v>322003.5</v>
      </c>
      <c r="F467" s="8">
        <v>0.85</v>
      </c>
      <c r="G467" s="16">
        <f>+Tabla114[[#This Row],[COSTO]]*1.19</f>
        <v>191592.08249999999</v>
      </c>
      <c r="H467" s="26">
        <f>+Tabla114[[#This Row],[PRECIO INSTALADOR (IVA INCLUIDO)]]*5%</f>
        <v>11270.122499999999</v>
      </c>
      <c r="I467" s="25"/>
      <c r="J467" s="7">
        <v>161001.75</v>
      </c>
    </row>
    <row r="468" spans="1:10" ht="15" x14ac:dyDescent="0.25">
      <c r="A468" s="23" t="s">
        <v>913</v>
      </c>
      <c r="B468" s="24" t="s">
        <v>914</v>
      </c>
      <c r="C468" s="9">
        <f>+Tabla114[[#This Row],[COSTO CON IVA]]/Tabla114[[#This Row],[UTILIDAD]]</f>
        <v>246327.9</v>
      </c>
      <c r="D468" s="9">
        <f>+Tabla114[[#This Row],[PRECIO INSTALADOR (IVA INCLUIDO)]]-Tabla114[[#This Row],[DCTO TIENDA]]</f>
        <v>234011.505</v>
      </c>
      <c r="E468" s="9">
        <f>+Tabla114[[#This Row],[PRECIO INSTALADOR (IVA INCLUIDO)]]/0.7</f>
        <v>351897</v>
      </c>
      <c r="F468" s="8">
        <v>0.85</v>
      </c>
      <c r="G468" s="16">
        <f>+Tabla114[[#This Row],[COSTO]]*1.19</f>
        <v>209378.715</v>
      </c>
      <c r="H468" s="26">
        <f>+Tabla114[[#This Row],[PRECIO INSTALADOR (IVA INCLUIDO)]]*5%</f>
        <v>12316.395</v>
      </c>
      <c r="I468" s="25"/>
      <c r="J468" s="7">
        <v>175948.5</v>
      </c>
    </row>
    <row r="469" spans="1:10" ht="15" x14ac:dyDescent="0.25">
      <c r="A469" s="23" t="s">
        <v>915</v>
      </c>
      <c r="B469" s="24" t="s">
        <v>916</v>
      </c>
      <c r="C469" s="9">
        <f>+Tabla114[[#This Row],[COSTO CON IVA]]/Tabla114[[#This Row],[UTILIDAD]]</f>
        <v>37310</v>
      </c>
      <c r="D469" s="9">
        <f>+Tabla114[[#This Row],[PRECIO INSTALADOR (IVA INCLUIDO)]]-Tabla114[[#This Row],[DCTO TIENDA]]</f>
        <v>35444.5</v>
      </c>
      <c r="E469" s="9">
        <f>+Tabla114[[#This Row],[PRECIO INSTALADOR (IVA INCLUIDO)]]/0.7</f>
        <v>53300</v>
      </c>
      <c r="F469" s="8">
        <v>0.85</v>
      </c>
      <c r="G469" s="16">
        <f>+Tabla114[[#This Row],[COSTO]]*1.19</f>
        <v>31713.5</v>
      </c>
      <c r="H469" s="26">
        <f>+Tabla114[[#This Row],[PRECIO INSTALADOR (IVA INCLUIDO)]]*5%</f>
        <v>1865.5</v>
      </c>
      <c r="I469" s="25"/>
      <c r="J469" s="7">
        <v>26650</v>
      </c>
    </row>
    <row r="470" spans="1:10" ht="15" x14ac:dyDescent="0.25">
      <c r="A470" s="23" t="s">
        <v>917</v>
      </c>
      <c r="B470" s="24" t="s">
        <v>884</v>
      </c>
      <c r="C470" s="9">
        <f>+Tabla114[[#This Row],[COSTO CON IVA]]/Tabla114[[#This Row],[UTILIDAD]]</f>
        <v>41996.5</v>
      </c>
      <c r="D470" s="9">
        <f>+Tabla114[[#This Row],[PRECIO INSTALADOR (IVA INCLUIDO)]]-Tabla114[[#This Row],[DCTO TIENDA]]</f>
        <v>39896.675000000003</v>
      </c>
      <c r="E470" s="9">
        <f>+Tabla114[[#This Row],[PRECIO INSTALADOR (IVA INCLUIDO)]]/0.7</f>
        <v>59995.000000000007</v>
      </c>
      <c r="F470" s="8">
        <v>0.85</v>
      </c>
      <c r="G470" s="16">
        <f>+Tabla114[[#This Row],[COSTO]]*1.19</f>
        <v>35697.025000000001</v>
      </c>
      <c r="H470" s="26">
        <f>+Tabla114[[#This Row],[PRECIO INSTALADOR (IVA INCLUIDO)]]*5%</f>
        <v>2099.8250000000003</v>
      </c>
      <c r="I470" s="25"/>
      <c r="J470" s="7">
        <v>29997.5</v>
      </c>
    </row>
    <row r="471" spans="1:10" ht="15" x14ac:dyDescent="0.25">
      <c r="A471" s="23" t="s">
        <v>918</v>
      </c>
      <c r="B471" s="24" t="s">
        <v>886</v>
      </c>
      <c r="C471" s="9">
        <f>+Tabla114[[#This Row],[COSTO CON IVA]]/Tabla114[[#This Row],[UTILIDAD]]</f>
        <v>45663.799999999996</v>
      </c>
      <c r="D471" s="9">
        <f>+Tabla114[[#This Row],[PRECIO INSTALADOR (IVA INCLUIDO)]]-Tabla114[[#This Row],[DCTO TIENDA]]</f>
        <v>43380.609999999993</v>
      </c>
      <c r="E471" s="9">
        <f>+Tabla114[[#This Row],[PRECIO INSTALADOR (IVA INCLUIDO)]]/0.7</f>
        <v>65234</v>
      </c>
      <c r="F471" s="8">
        <v>0.85</v>
      </c>
      <c r="G471" s="16">
        <f>+Tabla114[[#This Row],[COSTO]]*1.19</f>
        <v>38814.229999999996</v>
      </c>
      <c r="H471" s="26">
        <f>+Tabla114[[#This Row],[PRECIO INSTALADOR (IVA INCLUIDO)]]*5%</f>
        <v>2283.19</v>
      </c>
      <c r="I471" s="25"/>
      <c r="J471" s="7">
        <v>32617</v>
      </c>
    </row>
    <row r="472" spans="1:10" ht="15" x14ac:dyDescent="0.25">
      <c r="A472" s="23" t="s">
        <v>919</v>
      </c>
      <c r="B472" s="24" t="s">
        <v>888</v>
      </c>
      <c r="C472" s="9">
        <f>+Tabla114[[#This Row],[COSTO CON IVA]]/Tabla114[[#This Row],[UTILIDAD]]</f>
        <v>51870</v>
      </c>
      <c r="D472" s="9">
        <f>+Tabla114[[#This Row],[PRECIO INSTALADOR (IVA INCLUIDO)]]-Tabla114[[#This Row],[DCTO TIENDA]]</f>
        <v>49276.5</v>
      </c>
      <c r="E472" s="9">
        <f>+Tabla114[[#This Row],[PRECIO INSTALADOR (IVA INCLUIDO)]]/0.7</f>
        <v>74100</v>
      </c>
      <c r="F472" s="8">
        <v>0.85</v>
      </c>
      <c r="G472" s="16">
        <f>+Tabla114[[#This Row],[COSTO]]*1.19</f>
        <v>44089.5</v>
      </c>
      <c r="H472" s="26">
        <f>+Tabla114[[#This Row],[PRECIO INSTALADOR (IVA INCLUIDO)]]*5%</f>
        <v>2593.5</v>
      </c>
      <c r="I472" s="25"/>
      <c r="J472" s="7">
        <v>37050</v>
      </c>
    </row>
    <row r="473" spans="1:10" ht="15" x14ac:dyDescent="0.25">
      <c r="A473" s="23" t="s">
        <v>920</v>
      </c>
      <c r="B473" s="24" t="s">
        <v>890</v>
      </c>
      <c r="C473" s="9">
        <f>+Tabla114[[#This Row],[COSTO CON IVA]]/Tabla114[[#This Row],[UTILIDAD]]</f>
        <v>59150</v>
      </c>
      <c r="D473" s="9">
        <f>+Tabla114[[#This Row],[PRECIO INSTALADOR (IVA INCLUIDO)]]-Tabla114[[#This Row],[DCTO TIENDA]]</f>
        <v>56192.5</v>
      </c>
      <c r="E473" s="9">
        <f>+Tabla114[[#This Row],[PRECIO INSTALADOR (IVA INCLUIDO)]]/0.7</f>
        <v>84500</v>
      </c>
      <c r="F473" s="8">
        <v>0.85</v>
      </c>
      <c r="G473" s="16">
        <f>+Tabla114[[#This Row],[COSTO]]*1.19</f>
        <v>50277.5</v>
      </c>
      <c r="H473" s="26">
        <f>+Tabla114[[#This Row],[PRECIO INSTALADOR (IVA INCLUIDO)]]*5%</f>
        <v>2957.5</v>
      </c>
      <c r="I473" s="25"/>
      <c r="J473" s="7">
        <v>42250</v>
      </c>
    </row>
    <row r="474" spans="1:10" ht="15" x14ac:dyDescent="0.25">
      <c r="A474" s="23" t="s">
        <v>921</v>
      </c>
      <c r="B474" s="24" t="s">
        <v>922</v>
      </c>
      <c r="C474" s="9">
        <f>+Tabla114[[#This Row],[COSTO CON IVA]]/Tabla114[[#This Row],[UTILIDAD]]</f>
        <v>49667.799999999996</v>
      </c>
      <c r="D474" s="9">
        <f>+Tabla114[[#This Row],[PRECIO INSTALADOR (IVA INCLUIDO)]]-Tabla114[[#This Row],[DCTO TIENDA]]</f>
        <v>47184.409999999996</v>
      </c>
      <c r="E474" s="9">
        <f>+Tabla114[[#This Row],[PRECIO INSTALADOR (IVA INCLUIDO)]]/0.7</f>
        <v>70954</v>
      </c>
      <c r="F474" s="8">
        <v>0.85</v>
      </c>
      <c r="G474" s="16">
        <f>+Tabla114[[#This Row],[COSTO]]*1.19</f>
        <v>42217.63</v>
      </c>
      <c r="H474" s="26">
        <f>+Tabla114[[#This Row],[PRECIO INSTALADOR (IVA INCLUIDO)]]*5%</f>
        <v>2483.39</v>
      </c>
      <c r="I474" s="25"/>
      <c r="J474" s="7">
        <v>35477</v>
      </c>
    </row>
    <row r="475" spans="1:10" ht="15" x14ac:dyDescent="0.25">
      <c r="A475" s="23" t="s">
        <v>923</v>
      </c>
      <c r="B475" s="24" t="s">
        <v>894</v>
      </c>
      <c r="C475" s="9">
        <f>+Tabla114[[#This Row],[COSTO CON IVA]]/Tabla114[[#This Row],[UTILIDAD]]</f>
        <v>55273.4</v>
      </c>
      <c r="D475" s="9">
        <f>+Tabla114[[#This Row],[PRECIO INSTALADOR (IVA INCLUIDO)]]-Tabla114[[#This Row],[DCTO TIENDA]]</f>
        <v>52509.73</v>
      </c>
      <c r="E475" s="9">
        <f>+Tabla114[[#This Row],[PRECIO INSTALADOR (IVA INCLUIDO)]]/0.7</f>
        <v>78962</v>
      </c>
      <c r="F475" s="8">
        <v>0.85</v>
      </c>
      <c r="G475" s="16">
        <f>+Tabla114[[#This Row],[COSTO]]*1.19</f>
        <v>46982.39</v>
      </c>
      <c r="H475" s="26">
        <f>+Tabla114[[#This Row],[PRECIO INSTALADOR (IVA INCLUIDO)]]*5%</f>
        <v>2763.67</v>
      </c>
      <c r="I475" s="25"/>
      <c r="J475" s="7">
        <v>39481</v>
      </c>
    </row>
    <row r="476" spans="1:10" ht="15" x14ac:dyDescent="0.25">
      <c r="A476" s="23" t="s">
        <v>924</v>
      </c>
      <c r="B476" s="24" t="s">
        <v>925</v>
      </c>
      <c r="C476" s="9">
        <f>+Tabla114[[#This Row],[COSTO CON IVA]]/Tabla114[[#This Row],[UTILIDAD]]</f>
        <v>72563.399999999994</v>
      </c>
      <c r="D476" s="9">
        <f>+Tabla114[[#This Row],[PRECIO INSTALADOR (IVA INCLUIDO)]]-Tabla114[[#This Row],[DCTO TIENDA]]</f>
        <v>68935.23</v>
      </c>
      <c r="E476" s="9">
        <f>+Tabla114[[#This Row],[PRECIO INSTALADOR (IVA INCLUIDO)]]/0.7</f>
        <v>103662</v>
      </c>
      <c r="F476" s="8">
        <v>0.85</v>
      </c>
      <c r="G476" s="16">
        <f>+Tabla114[[#This Row],[COSTO]]*1.19</f>
        <v>61678.89</v>
      </c>
      <c r="H476" s="26">
        <f>+Tabla114[[#This Row],[PRECIO INSTALADOR (IVA INCLUIDO)]]*5%</f>
        <v>3628.17</v>
      </c>
      <c r="I476" s="25"/>
      <c r="J476" s="7">
        <v>51831</v>
      </c>
    </row>
    <row r="477" spans="1:10" ht="15" x14ac:dyDescent="0.25">
      <c r="A477" s="23" t="s">
        <v>926</v>
      </c>
      <c r="B477" s="24" t="s">
        <v>900</v>
      </c>
      <c r="C477" s="9">
        <f>+Tabla114[[#This Row],[COSTO CON IVA]]/Tabla114[[#This Row],[UTILIDAD]]</f>
        <v>79670.5</v>
      </c>
      <c r="D477" s="9">
        <f>+Tabla114[[#This Row],[PRECIO INSTALADOR (IVA INCLUIDO)]]-Tabla114[[#This Row],[DCTO TIENDA]]</f>
        <v>75686.975000000006</v>
      </c>
      <c r="E477" s="9">
        <f>+Tabla114[[#This Row],[PRECIO INSTALADOR (IVA INCLUIDO)]]/0.7</f>
        <v>113815</v>
      </c>
      <c r="F477" s="8">
        <v>0.85</v>
      </c>
      <c r="G477" s="16">
        <f>+Tabla114[[#This Row],[COSTO]]*1.19</f>
        <v>67719.925000000003</v>
      </c>
      <c r="H477" s="26">
        <f>+Tabla114[[#This Row],[PRECIO INSTALADOR (IVA INCLUIDO)]]*5%</f>
        <v>3983.5250000000001</v>
      </c>
      <c r="I477" s="25"/>
      <c r="J477" s="7">
        <v>56907.5</v>
      </c>
    </row>
    <row r="478" spans="1:10" ht="15" x14ac:dyDescent="0.25">
      <c r="A478" s="23" t="s">
        <v>927</v>
      </c>
      <c r="B478" s="24" t="s">
        <v>902</v>
      </c>
      <c r="C478" s="9">
        <f>+Tabla114[[#This Row],[COSTO CON IVA]]/Tabla114[[#This Row],[UTILIDAD]]</f>
        <v>90881.7</v>
      </c>
      <c r="D478" s="9">
        <f>+Tabla114[[#This Row],[PRECIO INSTALADOR (IVA INCLUIDO)]]-Tabla114[[#This Row],[DCTO TIENDA]]</f>
        <v>86337.614999999991</v>
      </c>
      <c r="E478" s="9">
        <f>+Tabla114[[#This Row],[PRECIO INSTALADOR (IVA INCLUIDO)]]/0.7</f>
        <v>129831</v>
      </c>
      <c r="F478" s="8">
        <v>0.85</v>
      </c>
      <c r="G478" s="16">
        <f>+Tabla114[[#This Row],[COSTO]]*1.19</f>
        <v>77249.444999999992</v>
      </c>
      <c r="H478" s="26">
        <f>+Tabla114[[#This Row],[PRECIO INSTALADOR (IVA INCLUIDO)]]*5%</f>
        <v>4544.085</v>
      </c>
      <c r="I478" s="25"/>
      <c r="J478" s="7">
        <v>64915.5</v>
      </c>
    </row>
    <row r="479" spans="1:10" ht="15" x14ac:dyDescent="0.25">
      <c r="A479" s="23" t="s">
        <v>928</v>
      </c>
      <c r="B479" s="24" t="s">
        <v>908</v>
      </c>
      <c r="C479" s="9">
        <f>+Tabla114[[#This Row],[COSTO CON IVA]]/Tabla114[[#This Row],[UTILIDAD]]</f>
        <v>120847.99999999999</v>
      </c>
      <c r="D479" s="9">
        <f>+Tabla114[[#This Row],[PRECIO INSTALADOR (IVA INCLUIDO)]]-Tabla114[[#This Row],[DCTO TIENDA]]</f>
        <v>114805.59999999999</v>
      </c>
      <c r="E479" s="9">
        <f>+Tabla114[[#This Row],[PRECIO INSTALADOR (IVA INCLUIDO)]]/0.7</f>
        <v>172640</v>
      </c>
      <c r="F479" s="8">
        <v>0.85</v>
      </c>
      <c r="G479" s="16">
        <f>+Tabla114[[#This Row],[COSTO]]*1.19</f>
        <v>102720.79999999999</v>
      </c>
      <c r="H479" s="26">
        <f>+Tabla114[[#This Row],[PRECIO INSTALADOR (IVA INCLUIDO)]]*5%</f>
        <v>6042.4</v>
      </c>
      <c r="I479" s="25"/>
      <c r="J479" s="7">
        <v>86320</v>
      </c>
    </row>
    <row r="480" spans="1:10" ht="15" x14ac:dyDescent="0.25">
      <c r="A480" s="23" t="s">
        <v>929</v>
      </c>
      <c r="B480" s="24" t="s">
        <v>910</v>
      </c>
      <c r="C480" s="9">
        <f>+Tabla114[[#This Row],[COSTO CON IVA]]/Tabla114[[#This Row],[UTILIDAD]]</f>
        <v>129675</v>
      </c>
      <c r="D480" s="9">
        <f>+Tabla114[[#This Row],[PRECIO INSTALADOR (IVA INCLUIDO)]]-Tabla114[[#This Row],[DCTO TIENDA]]</f>
        <v>123191.25</v>
      </c>
      <c r="E480" s="9">
        <f>+Tabla114[[#This Row],[PRECIO INSTALADOR (IVA INCLUIDO)]]/0.7</f>
        <v>185250</v>
      </c>
      <c r="F480" s="8">
        <v>0.85</v>
      </c>
      <c r="G480" s="16">
        <f>+Tabla114[[#This Row],[COSTO]]*1.19</f>
        <v>110223.75</v>
      </c>
      <c r="H480" s="26">
        <f>+Tabla114[[#This Row],[PRECIO INSTALADOR (IVA INCLUIDO)]]*5%</f>
        <v>6483.75</v>
      </c>
      <c r="I480" s="25"/>
      <c r="J480" s="7">
        <v>92625</v>
      </c>
    </row>
    <row r="481" spans="1:10" ht="15" x14ac:dyDescent="0.25">
      <c r="A481" s="23" t="s">
        <v>930</v>
      </c>
      <c r="B481" s="24" t="s">
        <v>931</v>
      </c>
      <c r="C481" s="9">
        <f>+Tabla114[[#This Row],[COSTO CON IVA]]/Tabla114[[#This Row],[UTILIDAD]]</f>
        <v>154700</v>
      </c>
      <c r="D481" s="9">
        <f>+Tabla114[[#This Row],[PRECIO INSTALADOR (IVA INCLUIDO)]]-Tabla114[[#This Row],[DCTO TIENDA]]</f>
        <v>146965</v>
      </c>
      <c r="E481" s="9">
        <f>+Tabla114[[#This Row],[PRECIO INSTALADOR (IVA INCLUIDO)]]/0.7</f>
        <v>221000</v>
      </c>
      <c r="F481" s="8">
        <v>0.85</v>
      </c>
      <c r="G481" s="16">
        <f>+Tabla114[[#This Row],[COSTO]]*1.19</f>
        <v>131495</v>
      </c>
      <c r="H481" s="26">
        <f>+Tabla114[[#This Row],[PRECIO INSTALADOR (IVA INCLUIDO)]]*5%</f>
        <v>7735</v>
      </c>
      <c r="I481" s="25"/>
      <c r="J481" s="7">
        <v>110500</v>
      </c>
    </row>
    <row r="482" spans="1:10" ht="15" x14ac:dyDescent="0.25">
      <c r="A482" s="23" t="s">
        <v>932</v>
      </c>
      <c r="B482" s="24" t="s">
        <v>933</v>
      </c>
      <c r="C482" s="9">
        <f>+Tabla114[[#This Row],[COSTO CON IVA]]/Tabla114[[#This Row],[UTILIDAD]]</f>
        <v>245700</v>
      </c>
      <c r="D482" s="9">
        <f>+Tabla114[[#This Row],[PRECIO INSTALADOR (IVA INCLUIDO)]]-Tabla114[[#This Row],[DCTO TIENDA]]</f>
        <v>233415</v>
      </c>
      <c r="E482" s="9">
        <f>+Tabla114[[#This Row],[PRECIO INSTALADOR (IVA INCLUIDO)]]/0.7</f>
        <v>351000</v>
      </c>
      <c r="F482" s="8">
        <v>0.85</v>
      </c>
      <c r="G482" s="16">
        <f>+Tabla114[[#This Row],[COSTO]]*1.19</f>
        <v>208845</v>
      </c>
      <c r="H482" s="26">
        <f>+Tabla114[[#This Row],[PRECIO INSTALADOR (IVA INCLUIDO)]]*5%</f>
        <v>12285</v>
      </c>
      <c r="I482" s="25"/>
      <c r="J482" s="7">
        <v>175500</v>
      </c>
    </row>
    <row r="483" spans="1:10" ht="15" x14ac:dyDescent="0.25">
      <c r="A483" s="23" t="s">
        <v>934</v>
      </c>
      <c r="B483" s="24" t="s">
        <v>935</v>
      </c>
      <c r="C483" s="9">
        <f>+Tabla114[[#This Row],[COSTO CON IVA]]/Tabla114[[#This Row],[UTILIDAD]]</f>
        <v>273000</v>
      </c>
      <c r="D483" s="9">
        <f>+Tabla114[[#This Row],[PRECIO INSTALADOR (IVA INCLUIDO)]]-Tabla114[[#This Row],[DCTO TIENDA]]</f>
        <v>259350</v>
      </c>
      <c r="E483" s="9">
        <f>+Tabla114[[#This Row],[PRECIO INSTALADOR (IVA INCLUIDO)]]/0.7</f>
        <v>390000</v>
      </c>
      <c r="F483" s="8">
        <v>0.85</v>
      </c>
      <c r="G483" s="16">
        <f>+Tabla114[[#This Row],[COSTO]]*1.19</f>
        <v>232050</v>
      </c>
      <c r="H483" s="26">
        <f>+Tabla114[[#This Row],[PRECIO INSTALADOR (IVA INCLUIDO)]]*5%</f>
        <v>13650</v>
      </c>
      <c r="I483" s="25"/>
      <c r="J483" s="7">
        <v>195000</v>
      </c>
    </row>
    <row r="484" spans="1:10" ht="15" x14ac:dyDescent="0.25">
      <c r="A484" s="23" t="s">
        <v>936</v>
      </c>
      <c r="B484" s="24" t="s">
        <v>937</v>
      </c>
      <c r="C484" s="9">
        <f>+Tabla114[[#This Row],[COSTO CON IVA]]/Tabla114[[#This Row],[UTILIDAD]]</f>
        <v>364</v>
      </c>
      <c r="D484" s="9">
        <f>+Tabla114[[#This Row],[PRECIO INSTALADOR (IVA INCLUIDO)]]-Tabla114[[#This Row],[DCTO TIENDA]]</f>
        <v>345.8</v>
      </c>
      <c r="E484" s="9">
        <f>+Tabla114[[#This Row],[PRECIO INSTALADOR (IVA INCLUIDO)]]/0.7</f>
        <v>520</v>
      </c>
      <c r="F484" s="8">
        <v>0.85</v>
      </c>
      <c r="G484" s="16">
        <f>+Tabla114[[#This Row],[COSTO]]*1.19</f>
        <v>309.39999999999998</v>
      </c>
      <c r="H484" s="26">
        <f>+Tabla114[[#This Row],[PRECIO INSTALADOR (IVA INCLUIDO)]]*5%</f>
        <v>18.2</v>
      </c>
      <c r="I484" s="25"/>
      <c r="J484" s="7">
        <v>260</v>
      </c>
    </row>
    <row r="485" spans="1:10" ht="15" x14ac:dyDescent="0.25">
      <c r="A485" s="23" t="s">
        <v>938</v>
      </c>
      <c r="B485" s="24" t="s">
        <v>939</v>
      </c>
      <c r="C485" s="9">
        <f>+Tabla114[[#This Row],[COSTO CON IVA]]/Tabla114[[#This Row],[UTILIDAD]]</f>
        <v>364</v>
      </c>
      <c r="D485" s="9">
        <f>+Tabla114[[#This Row],[PRECIO INSTALADOR (IVA INCLUIDO)]]-Tabla114[[#This Row],[DCTO TIENDA]]</f>
        <v>345.8</v>
      </c>
      <c r="E485" s="9">
        <f>+Tabla114[[#This Row],[PRECIO INSTALADOR (IVA INCLUIDO)]]/0.7</f>
        <v>520</v>
      </c>
      <c r="F485" s="8">
        <v>0.85</v>
      </c>
      <c r="G485" s="16">
        <f>+Tabla114[[#This Row],[COSTO]]*1.19</f>
        <v>309.39999999999998</v>
      </c>
      <c r="H485" s="26">
        <f>+Tabla114[[#This Row],[PRECIO INSTALADOR (IVA INCLUIDO)]]*5%</f>
        <v>18.2</v>
      </c>
      <c r="I485" s="25"/>
      <c r="J485" s="7">
        <v>260</v>
      </c>
    </row>
    <row r="486" spans="1:10" ht="15" x14ac:dyDescent="0.25">
      <c r="A486" s="23" t="s">
        <v>940</v>
      </c>
      <c r="B486" s="24" t="s">
        <v>941</v>
      </c>
      <c r="C486" s="9">
        <f>+Tabla114[[#This Row],[COSTO CON IVA]]/Tabla114[[#This Row],[UTILIDAD]]</f>
        <v>3230.4999999999995</v>
      </c>
      <c r="D486" s="9">
        <f>+Tabla114[[#This Row],[PRECIO INSTALADOR (IVA INCLUIDO)]]-Tabla114[[#This Row],[DCTO TIENDA]]</f>
        <v>3068.9749999999995</v>
      </c>
      <c r="E486" s="9">
        <f>+Tabla114[[#This Row],[PRECIO INSTALADOR (IVA INCLUIDO)]]/0.7</f>
        <v>4615</v>
      </c>
      <c r="F486" s="8">
        <v>0.85</v>
      </c>
      <c r="G486" s="16">
        <f>+Tabla114[[#This Row],[COSTO]]*1.19</f>
        <v>2745.9249999999997</v>
      </c>
      <c r="H486" s="26">
        <f>+Tabla114[[#This Row],[PRECIO INSTALADOR (IVA INCLUIDO)]]*5%</f>
        <v>161.52499999999998</v>
      </c>
      <c r="I486" s="25"/>
      <c r="J486" s="7">
        <v>2307.5</v>
      </c>
    </row>
    <row r="487" spans="1:10" ht="15" x14ac:dyDescent="0.25">
      <c r="A487" s="23" t="s">
        <v>942</v>
      </c>
      <c r="B487" s="24" t="s">
        <v>943</v>
      </c>
      <c r="C487" s="9">
        <f>+Tabla114[[#This Row],[COSTO CON IVA]]/Tabla114[[#This Row],[UTILIDAD]]</f>
        <v>4322.5</v>
      </c>
      <c r="D487" s="9">
        <f>+Tabla114[[#This Row],[PRECIO INSTALADOR (IVA INCLUIDO)]]-Tabla114[[#This Row],[DCTO TIENDA]]</f>
        <v>4106.375</v>
      </c>
      <c r="E487" s="9">
        <f>+Tabla114[[#This Row],[PRECIO INSTALADOR (IVA INCLUIDO)]]/0.7</f>
        <v>6175</v>
      </c>
      <c r="F487" s="8">
        <v>0.85</v>
      </c>
      <c r="G487" s="16">
        <f>+Tabla114[[#This Row],[COSTO]]*1.19</f>
        <v>3674.125</v>
      </c>
      <c r="H487" s="26">
        <f>+Tabla114[[#This Row],[PRECIO INSTALADOR (IVA INCLUIDO)]]*5%</f>
        <v>216.125</v>
      </c>
      <c r="I487" s="25"/>
      <c r="J487" s="7">
        <v>3087.5</v>
      </c>
    </row>
    <row r="488" spans="1:10" ht="15" x14ac:dyDescent="0.25">
      <c r="A488" s="23" t="s">
        <v>944</v>
      </c>
      <c r="B488" s="24" t="s">
        <v>945</v>
      </c>
      <c r="C488" s="9">
        <f>+Tabla114[[#This Row],[COSTO CON IVA]]/Tabla114[[#This Row],[UTILIDAD]]</f>
        <v>2193.1</v>
      </c>
      <c r="D488" s="9">
        <f>+Tabla114[[#This Row],[PRECIO INSTALADOR (IVA INCLUIDO)]]-Tabla114[[#This Row],[DCTO TIENDA]]</f>
        <v>2083.4449999999997</v>
      </c>
      <c r="E488" s="9">
        <f>+Tabla114[[#This Row],[PRECIO INSTALADOR (IVA INCLUIDO)]]/0.7</f>
        <v>3133</v>
      </c>
      <c r="F488" s="8">
        <v>0.85</v>
      </c>
      <c r="G488" s="16">
        <f>+Tabla114[[#This Row],[COSTO]]*1.19</f>
        <v>1864.135</v>
      </c>
      <c r="H488" s="26">
        <f>+Tabla114[[#This Row],[PRECIO INSTALADOR (IVA INCLUIDO)]]*5%</f>
        <v>109.655</v>
      </c>
      <c r="I488" s="25"/>
      <c r="J488" s="7">
        <v>1566.5</v>
      </c>
    </row>
    <row r="489" spans="1:10" ht="15" x14ac:dyDescent="0.25">
      <c r="A489" s="23" t="s">
        <v>946</v>
      </c>
      <c r="B489" s="24" t="s">
        <v>947</v>
      </c>
      <c r="C489" s="9">
        <f>+Tabla114[[#This Row],[COSTO CON IVA]]/Tabla114[[#This Row],[UTILIDAD]]</f>
        <v>13668.199999999999</v>
      </c>
      <c r="D489" s="9">
        <f>+Tabla114[[#This Row],[PRECIO INSTALADOR (IVA INCLUIDO)]]-Tabla114[[#This Row],[DCTO TIENDA]]</f>
        <v>12984.789999999999</v>
      </c>
      <c r="E489" s="9">
        <f>+Tabla114[[#This Row],[PRECIO INSTALADOR (IVA INCLUIDO)]]/0.7</f>
        <v>19526</v>
      </c>
      <c r="F489" s="8">
        <v>0.85</v>
      </c>
      <c r="G489" s="16">
        <f>+Tabla114[[#This Row],[COSTO]]*1.19</f>
        <v>11617.97</v>
      </c>
      <c r="H489" s="26">
        <f>+Tabla114[[#This Row],[PRECIO INSTALADOR (IVA INCLUIDO)]]*5%</f>
        <v>683.41</v>
      </c>
      <c r="I489" s="25"/>
      <c r="J489" s="7">
        <v>9763</v>
      </c>
    </row>
    <row r="490" spans="1:10" ht="15" x14ac:dyDescent="0.25">
      <c r="A490" s="23" t="s">
        <v>948</v>
      </c>
      <c r="B490" s="24" t="s">
        <v>949</v>
      </c>
      <c r="C490" s="9">
        <f>+Tabla114[[#This Row],[COSTO CON IVA]]/Tabla114[[#This Row],[UTILIDAD]]</f>
        <v>1601.6</v>
      </c>
      <c r="D490" s="9">
        <f>+Tabla114[[#This Row],[PRECIO INSTALADOR (IVA INCLUIDO)]]-Tabla114[[#This Row],[DCTO TIENDA]]</f>
        <v>1521.52</v>
      </c>
      <c r="E490" s="9">
        <f>+Tabla114[[#This Row],[PRECIO INSTALADOR (IVA INCLUIDO)]]/0.7</f>
        <v>2288</v>
      </c>
      <c r="F490" s="8">
        <v>0.85</v>
      </c>
      <c r="G490" s="16">
        <f>+Tabla114[[#This Row],[COSTO]]*1.19</f>
        <v>1361.36</v>
      </c>
      <c r="H490" s="26">
        <f>+Tabla114[[#This Row],[PRECIO INSTALADOR (IVA INCLUIDO)]]*5%</f>
        <v>80.08</v>
      </c>
      <c r="I490" s="25"/>
      <c r="J490" s="7">
        <v>1144</v>
      </c>
    </row>
    <row r="491" spans="1:10" ht="15" x14ac:dyDescent="0.25">
      <c r="A491" s="23" t="s">
        <v>950</v>
      </c>
      <c r="B491" s="24" t="s">
        <v>951</v>
      </c>
      <c r="C491" s="9">
        <f>+Tabla114[[#This Row],[COSTO CON IVA]]/Tabla114[[#This Row],[UTILIDAD]]</f>
        <v>6233.4999999999991</v>
      </c>
      <c r="D491" s="9">
        <f>+Tabla114[[#This Row],[PRECIO INSTALADOR (IVA INCLUIDO)]]-Tabla114[[#This Row],[DCTO TIENDA]]</f>
        <v>5921.8249999999989</v>
      </c>
      <c r="E491" s="9">
        <f>+Tabla114[[#This Row],[PRECIO INSTALADOR (IVA INCLUIDO)]]/0.7</f>
        <v>8905</v>
      </c>
      <c r="F491" s="8">
        <v>0.85</v>
      </c>
      <c r="G491" s="16">
        <f>+Tabla114[[#This Row],[COSTO]]*1.19</f>
        <v>5298.4749999999995</v>
      </c>
      <c r="H491" s="26">
        <f>+Tabla114[[#This Row],[PRECIO INSTALADOR (IVA INCLUIDO)]]*5%</f>
        <v>311.67499999999995</v>
      </c>
      <c r="I491" s="25"/>
      <c r="J491" s="7">
        <v>4452.5</v>
      </c>
    </row>
    <row r="492" spans="1:10" ht="15" x14ac:dyDescent="0.25">
      <c r="A492" s="23" t="s">
        <v>952</v>
      </c>
      <c r="B492" s="24" t="s">
        <v>953</v>
      </c>
      <c r="C492" s="9">
        <f>+Tabla114[[#This Row],[COSTO CON IVA]]/Tabla114[[#This Row],[UTILIDAD]]</f>
        <v>4804.8</v>
      </c>
      <c r="D492" s="9">
        <f>+Tabla114[[#This Row],[PRECIO INSTALADOR (IVA INCLUIDO)]]-Tabla114[[#This Row],[DCTO TIENDA]]</f>
        <v>4564.5600000000004</v>
      </c>
      <c r="E492" s="9">
        <f>+Tabla114[[#This Row],[PRECIO INSTALADOR (IVA INCLUIDO)]]/0.7</f>
        <v>6864.0000000000009</v>
      </c>
      <c r="F492" s="8">
        <v>0.85</v>
      </c>
      <c r="G492" s="16">
        <f>+Tabla114[[#This Row],[COSTO]]*1.19</f>
        <v>4084.08</v>
      </c>
      <c r="H492" s="26">
        <f>+Tabla114[[#This Row],[PRECIO INSTALADOR (IVA INCLUIDO)]]*5%</f>
        <v>240.24</v>
      </c>
      <c r="I492" s="25"/>
      <c r="J492" s="7">
        <v>3432</v>
      </c>
    </row>
    <row r="493" spans="1:10" ht="15" x14ac:dyDescent="0.25">
      <c r="A493" s="23" t="s">
        <v>954</v>
      </c>
      <c r="B493" s="24" t="s">
        <v>955</v>
      </c>
      <c r="C493" s="9">
        <f>+Tabla114[[#This Row],[COSTO CON IVA]]/Tabla114[[#This Row],[UTILIDAD]]</f>
        <v>4722.8999999999996</v>
      </c>
      <c r="D493" s="9">
        <f>+Tabla114[[#This Row],[PRECIO INSTALADOR (IVA INCLUIDO)]]-Tabla114[[#This Row],[DCTO TIENDA]]</f>
        <v>4486.7549999999992</v>
      </c>
      <c r="E493" s="9">
        <f>+Tabla114[[#This Row],[PRECIO INSTALADOR (IVA INCLUIDO)]]/0.7</f>
        <v>6747</v>
      </c>
      <c r="F493" s="8">
        <v>0.85</v>
      </c>
      <c r="G493" s="16">
        <f>+Tabla114[[#This Row],[COSTO]]*1.19</f>
        <v>4014.4649999999997</v>
      </c>
      <c r="H493" s="26">
        <f>+Tabla114[[#This Row],[PRECIO INSTALADOR (IVA INCLUIDO)]]*5%</f>
        <v>236.14499999999998</v>
      </c>
      <c r="I493" s="25"/>
      <c r="J493" s="7">
        <v>3373.5</v>
      </c>
    </row>
    <row r="494" spans="1:10" ht="15" x14ac:dyDescent="0.25">
      <c r="A494" s="23" t="s">
        <v>956</v>
      </c>
      <c r="B494" s="24" t="s">
        <v>957</v>
      </c>
      <c r="C494" s="9">
        <f>+Tabla114[[#This Row],[COSTO CON IVA]]/Tabla114[[#This Row],[UTILIDAD]]</f>
        <v>10283</v>
      </c>
      <c r="D494" s="9">
        <f>+Tabla114[[#This Row],[PRECIO INSTALADOR (IVA INCLUIDO)]]-Tabla114[[#This Row],[DCTO TIENDA]]</f>
        <v>9768.85</v>
      </c>
      <c r="E494" s="9">
        <f>+Tabla114[[#This Row],[PRECIO INSTALADOR (IVA INCLUIDO)]]/0.7</f>
        <v>14690.000000000002</v>
      </c>
      <c r="F494" s="8">
        <v>0.85</v>
      </c>
      <c r="G494" s="16">
        <f>+Tabla114[[#This Row],[COSTO]]*1.19</f>
        <v>8740.5499999999993</v>
      </c>
      <c r="H494" s="26">
        <f>+Tabla114[[#This Row],[PRECIO INSTALADOR (IVA INCLUIDO)]]*5%</f>
        <v>514.15</v>
      </c>
      <c r="I494" s="25"/>
      <c r="J494" s="7">
        <v>7345</v>
      </c>
    </row>
    <row r="495" spans="1:10" ht="15" x14ac:dyDescent="0.25">
      <c r="A495" s="23" t="s">
        <v>958</v>
      </c>
      <c r="B495" s="24" t="s">
        <v>959</v>
      </c>
      <c r="C495" s="9">
        <f>+Tabla114[[#This Row],[COSTO CON IVA]]/Tabla114[[#This Row],[UTILIDAD]]</f>
        <v>10283</v>
      </c>
      <c r="D495" s="9">
        <f>+Tabla114[[#This Row],[PRECIO INSTALADOR (IVA INCLUIDO)]]-Tabla114[[#This Row],[DCTO TIENDA]]</f>
        <v>9768.85</v>
      </c>
      <c r="E495" s="9">
        <f>+Tabla114[[#This Row],[PRECIO INSTALADOR (IVA INCLUIDO)]]/0.7</f>
        <v>14690.000000000002</v>
      </c>
      <c r="F495" s="8">
        <v>0.85</v>
      </c>
      <c r="G495" s="16">
        <f>+Tabla114[[#This Row],[COSTO]]*1.19</f>
        <v>8740.5499999999993</v>
      </c>
      <c r="H495" s="26">
        <f>+Tabla114[[#This Row],[PRECIO INSTALADOR (IVA INCLUIDO)]]*5%</f>
        <v>514.15</v>
      </c>
      <c r="I495" s="25"/>
      <c r="J495" s="7">
        <v>7345</v>
      </c>
    </row>
    <row r="496" spans="1:10" ht="15" x14ac:dyDescent="0.25">
      <c r="A496" s="23" t="s">
        <v>960</v>
      </c>
      <c r="B496" s="24" t="s">
        <v>961</v>
      </c>
      <c r="C496" s="9">
        <f>+Tabla114[[#This Row],[COSTO CON IVA]]/Tabla114[[#This Row],[UTILIDAD]]</f>
        <v>13376.999999999998</v>
      </c>
      <c r="D496" s="9">
        <f>+Tabla114[[#This Row],[PRECIO INSTALADOR (IVA INCLUIDO)]]-Tabla114[[#This Row],[DCTO TIENDA]]</f>
        <v>12708.149999999998</v>
      </c>
      <c r="E496" s="9">
        <f>+Tabla114[[#This Row],[PRECIO INSTALADOR (IVA INCLUIDO)]]/0.7</f>
        <v>19110</v>
      </c>
      <c r="F496" s="8">
        <v>0.85</v>
      </c>
      <c r="G496" s="16">
        <f>+Tabla114[[#This Row],[COSTO]]*1.19</f>
        <v>11370.449999999999</v>
      </c>
      <c r="H496" s="26">
        <f>+Tabla114[[#This Row],[PRECIO INSTALADOR (IVA INCLUIDO)]]*5%</f>
        <v>668.84999999999991</v>
      </c>
      <c r="I496" s="25"/>
      <c r="J496" s="7">
        <v>9555</v>
      </c>
    </row>
    <row r="497" spans="1:10" ht="15" x14ac:dyDescent="0.25">
      <c r="A497" s="23" t="s">
        <v>962</v>
      </c>
      <c r="B497" s="24" t="s">
        <v>963</v>
      </c>
      <c r="C497" s="9">
        <f>+Tabla114[[#This Row],[COSTO CON IVA]]/Tabla114[[#This Row],[UTILIDAD]]</f>
        <v>13376.999999999998</v>
      </c>
      <c r="D497" s="9">
        <f>+Tabla114[[#This Row],[PRECIO INSTALADOR (IVA INCLUIDO)]]-Tabla114[[#This Row],[DCTO TIENDA]]</f>
        <v>12708.149999999998</v>
      </c>
      <c r="E497" s="9">
        <f>+Tabla114[[#This Row],[PRECIO INSTALADOR (IVA INCLUIDO)]]/0.7</f>
        <v>19110</v>
      </c>
      <c r="F497" s="8">
        <v>0.85</v>
      </c>
      <c r="G497" s="16">
        <f>+Tabla114[[#This Row],[COSTO]]*1.19</f>
        <v>11370.449999999999</v>
      </c>
      <c r="H497" s="26">
        <f>+Tabla114[[#This Row],[PRECIO INSTALADOR (IVA INCLUIDO)]]*5%</f>
        <v>668.84999999999991</v>
      </c>
      <c r="I497" s="25"/>
      <c r="J497" s="7">
        <v>9555</v>
      </c>
    </row>
    <row r="498" spans="1:10" ht="15" x14ac:dyDescent="0.25">
      <c r="A498" s="23" t="s">
        <v>964</v>
      </c>
      <c r="B498" s="24" t="s">
        <v>965</v>
      </c>
      <c r="C498" s="9">
        <f>+Tabla114[[#This Row],[COSTO CON IVA]]/Tabla114[[#This Row],[UTILIDAD]]</f>
        <v>19019</v>
      </c>
      <c r="D498" s="9">
        <f>+Tabla114[[#This Row],[PRECIO INSTALADOR (IVA INCLUIDO)]]-Tabla114[[#This Row],[DCTO TIENDA]]</f>
        <v>18068.05</v>
      </c>
      <c r="E498" s="9">
        <f>+Tabla114[[#This Row],[PRECIO INSTALADOR (IVA INCLUIDO)]]/0.7</f>
        <v>27170</v>
      </c>
      <c r="F498" s="8">
        <v>0.85</v>
      </c>
      <c r="G498" s="16">
        <f>+Tabla114[[#This Row],[COSTO]]*1.19</f>
        <v>16166.15</v>
      </c>
      <c r="H498" s="26">
        <f>+Tabla114[[#This Row],[PRECIO INSTALADOR (IVA INCLUIDO)]]*5%</f>
        <v>950.95</v>
      </c>
      <c r="I498" s="25"/>
      <c r="J498" s="7">
        <v>13585</v>
      </c>
    </row>
    <row r="499" spans="1:10" ht="15" x14ac:dyDescent="0.25">
      <c r="A499" s="23" t="s">
        <v>966</v>
      </c>
      <c r="B499" s="24" t="s">
        <v>967</v>
      </c>
      <c r="C499" s="9">
        <f>+Tabla114[[#This Row],[COSTO CON IVA]]/Tabla114[[#This Row],[UTILIDAD]]</f>
        <v>19019</v>
      </c>
      <c r="D499" s="9">
        <f>+Tabla114[[#This Row],[PRECIO INSTALADOR (IVA INCLUIDO)]]-Tabla114[[#This Row],[DCTO TIENDA]]</f>
        <v>18068.05</v>
      </c>
      <c r="E499" s="9">
        <f>+Tabla114[[#This Row],[PRECIO INSTALADOR (IVA INCLUIDO)]]/0.7</f>
        <v>27170</v>
      </c>
      <c r="F499" s="8">
        <v>0.85</v>
      </c>
      <c r="G499" s="16">
        <f>+Tabla114[[#This Row],[COSTO]]*1.19</f>
        <v>16166.15</v>
      </c>
      <c r="H499" s="26">
        <f>+Tabla114[[#This Row],[PRECIO INSTALADOR (IVA INCLUIDO)]]*5%</f>
        <v>950.95</v>
      </c>
      <c r="I499" s="25"/>
      <c r="J499" s="7">
        <v>13585</v>
      </c>
    </row>
    <row r="500" spans="1:10" ht="15" x14ac:dyDescent="0.25">
      <c r="A500" s="23" t="s">
        <v>968</v>
      </c>
      <c r="B500" s="24" t="s">
        <v>969</v>
      </c>
      <c r="C500" s="9">
        <f>+Tabla114[[#This Row],[COSTO CON IVA]]/Tabla114[[#This Row],[UTILIDAD]]</f>
        <v>25334.399999999998</v>
      </c>
      <c r="D500" s="9">
        <f>+Tabla114[[#This Row],[PRECIO INSTALADOR (IVA INCLUIDO)]]-Tabla114[[#This Row],[DCTO TIENDA]]</f>
        <v>24067.679999999997</v>
      </c>
      <c r="E500" s="9">
        <f>+Tabla114[[#This Row],[PRECIO INSTALADOR (IVA INCLUIDO)]]/0.7</f>
        <v>36192</v>
      </c>
      <c r="F500" s="8">
        <v>0.85</v>
      </c>
      <c r="G500" s="16">
        <f>+Tabla114[[#This Row],[COSTO]]*1.19</f>
        <v>21534.239999999998</v>
      </c>
      <c r="H500" s="26">
        <f>+Tabla114[[#This Row],[PRECIO INSTALADOR (IVA INCLUIDO)]]*5%</f>
        <v>1266.72</v>
      </c>
      <c r="I500" s="25"/>
      <c r="J500" s="7">
        <v>18096</v>
      </c>
    </row>
    <row r="501" spans="1:10" ht="15" x14ac:dyDescent="0.25">
      <c r="A501" s="23" t="s">
        <v>970</v>
      </c>
      <c r="B501" s="24" t="s">
        <v>971</v>
      </c>
      <c r="C501" s="9">
        <f>+Tabla114[[#This Row],[COSTO CON IVA]]/Tabla114[[#This Row],[UTILIDAD]]</f>
        <v>25334.399999999998</v>
      </c>
      <c r="D501" s="9">
        <f>+Tabla114[[#This Row],[PRECIO INSTALADOR (IVA INCLUIDO)]]-Tabla114[[#This Row],[DCTO TIENDA]]</f>
        <v>24067.679999999997</v>
      </c>
      <c r="E501" s="9">
        <f>+Tabla114[[#This Row],[PRECIO INSTALADOR (IVA INCLUIDO)]]/0.7</f>
        <v>36192</v>
      </c>
      <c r="F501" s="8">
        <v>0.85</v>
      </c>
      <c r="G501" s="16">
        <f>+Tabla114[[#This Row],[COSTO]]*1.19</f>
        <v>21534.239999999998</v>
      </c>
      <c r="H501" s="26">
        <f>+Tabla114[[#This Row],[PRECIO INSTALADOR (IVA INCLUIDO)]]*5%</f>
        <v>1266.72</v>
      </c>
      <c r="I501" s="25"/>
      <c r="J501" s="7">
        <v>18096</v>
      </c>
    </row>
    <row r="502" spans="1:10" ht="15" x14ac:dyDescent="0.25">
      <c r="A502" s="23" t="s">
        <v>972</v>
      </c>
      <c r="B502" s="24" t="s">
        <v>973</v>
      </c>
      <c r="C502" s="9">
        <f>+Tabla114[[#This Row],[COSTO CON IVA]]/Tabla114[[#This Row],[UTILIDAD]]</f>
        <v>4804.8</v>
      </c>
      <c r="D502" s="9">
        <f>+Tabla114[[#This Row],[PRECIO INSTALADOR (IVA INCLUIDO)]]-Tabla114[[#This Row],[DCTO TIENDA]]</f>
        <v>4564.5600000000004</v>
      </c>
      <c r="E502" s="9">
        <f>+Tabla114[[#This Row],[PRECIO INSTALADOR (IVA INCLUIDO)]]/0.7</f>
        <v>6864.0000000000009</v>
      </c>
      <c r="F502" s="8">
        <v>0.85</v>
      </c>
      <c r="G502" s="16">
        <f>+Tabla114[[#This Row],[COSTO]]*1.19</f>
        <v>4084.08</v>
      </c>
      <c r="H502" s="26">
        <f>+Tabla114[[#This Row],[PRECIO INSTALADOR (IVA INCLUIDO)]]*5%</f>
        <v>240.24</v>
      </c>
      <c r="I502" s="25"/>
      <c r="J502" s="7">
        <v>3432</v>
      </c>
    </row>
    <row r="503" spans="1:10" ht="15" x14ac:dyDescent="0.25">
      <c r="A503" s="23" t="s">
        <v>974</v>
      </c>
      <c r="B503" s="24" t="s">
        <v>975</v>
      </c>
      <c r="C503" s="9">
        <f>+Tabla114[[#This Row],[COSTO CON IVA]]/Tabla114[[#This Row],[UTILIDAD]]</f>
        <v>10283</v>
      </c>
      <c r="D503" s="9">
        <f>+Tabla114[[#This Row],[PRECIO INSTALADOR (IVA INCLUIDO)]]-Tabla114[[#This Row],[DCTO TIENDA]]</f>
        <v>9768.85</v>
      </c>
      <c r="E503" s="9">
        <f>+Tabla114[[#This Row],[PRECIO INSTALADOR (IVA INCLUIDO)]]/0.7</f>
        <v>14690.000000000002</v>
      </c>
      <c r="F503" s="8">
        <v>0.85</v>
      </c>
      <c r="G503" s="16">
        <f>+Tabla114[[#This Row],[COSTO]]*1.19</f>
        <v>8740.5499999999993</v>
      </c>
      <c r="H503" s="26">
        <f>+Tabla114[[#This Row],[PRECIO INSTALADOR (IVA INCLUIDO)]]*5%</f>
        <v>514.15</v>
      </c>
      <c r="I503" s="25"/>
      <c r="J503" s="7">
        <v>7345</v>
      </c>
    </row>
    <row r="504" spans="1:10" ht="15" x14ac:dyDescent="0.25">
      <c r="A504" s="23" t="s">
        <v>976</v>
      </c>
      <c r="B504" s="24" t="s">
        <v>977</v>
      </c>
      <c r="C504" s="9">
        <f>+Tabla114[[#This Row],[COSTO CON IVA]]/Tabla114[[#This Row],[UTILIDAD]]</f>
        <v>10283</v>
      </c>
      <c r="D504" s="9">
        <f>+Tabla114[[#This Row],[PRECIO INSTALADOR (IVA INCLUIDO)]]-Tabla114[[#This Row],[DCTO TIENDA]]</f>
        <v>9768.85</v>
      </c>
      <c r="E504" s="9">
        <f>+Tabla114[[#This Row],[PRECIO INSTALADOR (IVA INCLUIDO)]]/0.7</f>
        <v>14690.000000000002</v>
      </c>
      <c r="F504" s="8">
        <v>0.85</v>
      </c>
      <c r="G504" s="16">
        <f>+Tabla114[[#This Row],[COSTO]]*1.19</f>
        <v>8740.5499999999993</v>
      </c>
      <c r="H504" s="26">
        <f>+Tabla114[[#This Row],[PRECIO INSTALADOR (IVA INCLUIDO)]]*5%</f>
        <v>514.15</v>
      </c>
      <c r="I504" s="25"/>
      <c r="J504" s="7">
        <v>7345</v>
      </c>
    </row>
    <row r="505" spans="1:10" ht="15" x14ac:dyDescent="0.25">
      <c r="A505" s="23" t="s">
        <v>978</v>
      </c>
      <c r="B505" s="24" t="s">
        <v>979</v>
      </c>
      <c r="C505" s="9">
        <f>+Tabla114[[#This Row],[COSTO CON IVA]]/Tabla114[[#This Row],[UTILIDAD]]</f>
        <v>13376.999999999998</v>
      </c>
      <c r="D505" s="9">
        <f>+Tabla114[[#This Row],[PRECIO INSTALADOR (IVA INCLUIDO)]]-Tabla114[[#This Row],[DCTO TIENDA]]</f>
        <v>12708.149999999998</v>
      </c>
      <c r="E505" s="9">
        <f>+Tabla114[[#This Row],[PRECIO INSTALADOR (IVA INCLUIDO)]]/0.7</f>
        <v>19110</v>
      </c>
      <c r="F505" s="8">
        <v>0.85</v>
      </c>
      <c r="G505" s="16">
        <f>+Tabla114[[#This Row],[COSTO]]*1.19</f>
        <v>11370.449999999999</v>
      </c>
      <c r="H505" s="26">
        <f>+Tabla114[[#This Row],[PRECIO INSTALADOR (IVA INCLUIDO)]]*5%</f>
        <v>668.84999999999991</v>
      </c>
      <c r="I505" s="25"/>
      <c r="J505" s="7">
        <v>9555</v>
      </c>
    </row>
    <row r="506" spans="1:10" ht="15" x14ac:dyDescent="0.25">
      <c r="A506" s="23" t="s">
        <v>980</v>
      </c>
      <c r="B506" s="24" t="s">
        <v>981</v>
      </c>
      <c r="C506" s="9">
        <f>+Tabla114[[#This Row],[COSTO CON IVA]]/Tabla114[[#This Row],[UTILIDAD]]</f>
        <v>13376.999999999998</v>
      </c>
      <c r="D506" s="9">
        <f>+Tabla114[[#This Row],[PRECIO INSTALADOR (IVA INCLUIDO)]]-Tabla114[[#This Row],[DCTO TIENDA]]</f>
        <v>12708.149999999998</v>
      </c>
      <c r="E506" s="9">
        <f>+Tabla114[[#This Row],[PRECIO INSTALADOR (IVA INCLUIDO)]]/0.7</f>
        <v>19110</v>
      </c>
      <c r="F506" s="8">
        <v>0.85</v>
      </c>
      <c r="G506" s="16">
        <f>+Tabla114[[#This Row],[COSTO]]*1.19</f>
        <v>11370.449999999999</v>
      </c>
      <c r="H506" s="26">
        <f>+Tabla114[[#This Row],[PRECIO INSTALADOR (IVA INCLUIDO)]]*5%</f>
        <v>668.84999999999991</v>
      </c>
      <c r="I506" s="25"/>
      <c r="J506" s="7">
        <v>9555</v>
      </c>
    </row>
    <row r="507" spans="1:10" ht="15" x14ac:dyDescent="0.25">
      <c r="A507" s="23" t="s">
        <v>982</v>
      </c>
      <c r="B507" s="24" t="s">
        <v>983</v>
      </c>
      <c r="C507" s="9">
        <f>+Tabla114[[#This Row],[COSTO CON IVA]]/Tabla114[[#This Row],[UTILIDAD]]</f>
        <v>19019</v>
      </c>
      <c r="D507" s="9">
        <f>+Tabla114[[#This Row],[PRECIO INSTALADOR (IVA INCLUIDO)]]-Tabla114[[#This Row],[DCTO TIENDA]]</f>
        <v>18068.05</v>
      </c>
      <c r="E507" s="9">
        <f>+Tabla114[[#This Row],[PRECIO INSTALADOR (IVA INCLUIDO)]]/0.7</f>
        <v>27170</v>
      </c>
      <c r="F507" s="8">
        <v>0.85</v>
      </c>
      <c r="G507" s="16">
        <f>+Tabla114[[#This Row],[COSTO]]*1.19</f>
        <v>16166.15</v>
      </c>
      <c r="H507" s="26">
        <f>+Tabla114[[#This Row],[PRECIO INSTALADOR (IVA INCLUIDO)]]*5%</f>
        <v>950.95</v>
      </c>
      <c r="I507" s="25"/>
      <c r="J507" s="7">
        <v>13585</v>
      </c>
    </row>
    <row r="508" spans="1:10" ht="15" x14ac:dyDescent="0.25">
      <c r="A508" s="23" t="s">
        <v>984</v>
      </c>
      <c r="B508" s="24" t="s">
        <v>985</v>
      </c>
      <c r="C508" s="9">
        <f>+Tabla114[[#This Row],[COSTO CON IVA]]/Tabla114[[#This Row],[UTILIDAD]]</f>
        <v>19019</v>
      </c>
      <c r="D508" s="9">
        <f>+Tabla114[[#This Row],[PRECIO INSTALADOR (IVA INCLUIDO)]]-Tabla114[[#This Row],[DCTO TIENDA]]</f>
        <v>18068.05</v>
      </c>
      <c r="E508" s="9">
        <f>+Tabla114[[#This Row],[PRECIO INSTALADOR (IVA INCLUIDO)]]/0.7</f>
        <v>27170</v>
      </c>
      <c r="F508" s="8">
        <v>0.85</v>
      </c>
      <c r="G508" s="16">
        <f>+Tabla114[[#This Row],[COSTO]]*1.19</f>
        <v>16166.15</v>
      </c>
      <c r="H508" s="26">
        <f>+Tabla114[[#This Row],[PRECIO INSTALADOR (IVA INCLUIDO)]]*5%</f>
        <v>950.95</v>
      </c>
      <c r="I508" s="25"/>
      <c r="J508" s="7">
        <v>13585</v>
      </c>
    </row>
    <row r="509" spans="1:10" ht="15" x14ac:dyDescent="0.25">
      <c r="A509" s="23" t="s">
        <v>986</v>
      </c>
      <c r="B509" s="24" t="s">
        <v>987</v>
      </c>
      <c r="C509" s="9">
        <f>+Tabla114[[#This Row],[COSTO CON IVA]]/Tabla114[[#This Row],[UTILIDAD]]</f>
        <v>10510.5</v>
      </c>
      <c r="D509" s="9">
        <f>+Tabla114[[#This Row],[PRECIO INSTALADOR (IVA INCLUIDO)]]-Tabla114[[#This Row],[DCTO TIENDA]]</f>
        <v>9984.9750000000004</v>
      </c>
      <c r="E509" s="9">
        <f>+Tabla114[[#This Row],[PRECIO INSTALADOR (IVA INCLUIDO)]]/0.7</f>
        <v>15015.000000000002</v>
      </c>
      <c r="F509" s="8">
        <v>0.85</v>
      </c>
      <c r="G509" s="16">
        <f>+Tabla114[[#This Row],[COSTO]]*1.19</f>
        <v>8933.9249999999993</v>
      </c>
      <c r="H509" s="26">
        <f>+Tabla114[[#This Row],[PRECIO INSTALADOR (IVA INCLUIDO)]]*5%</f>
        <v>525.52499999999998</v>
      </c>
      <c r="I509" s="25"/>
      <c r="J509" s="7">
        <v>7507.5</v>
      </c>
    </row>
    <row r="510" spans="1:10" ht="15" x14ac:dyDescent="0.25">
      <c r="A510" s="23" t="s">
        <v>988</v>
      </c>
      <c r="B510" s="24" t="s">
        <v>989</v>
      </c>
      <c r="C510" s="9">
        <f>+Tabla114[[#This Row],[COSTO CON IVA]]/Tabla114[[#This Row],[UTILIDAD]]</f>
        <v>13786.5</v>
      </c>
      <c r="D510" s="9">
        <f>+Tabla114[[#This Row],[PRECIO INSTALADOR (IVA INCLUIDO)]]-Tabla114[[#This Row],[DCTO TIENDA]]</f>
        <v>13097.174999999999</v>
      </c>
      <c r="E510" s="9">
        <f>+Tabla114[[#This Row],[PRECIO INSTALADOR (IVA INCLUIDO)]]/0.7</f>
        <v>19695</v>
      </c>
      <c r="F510" s="8">
        <v>0.85</v>
      </c>
      <c r="G510" s="16">
        <f>+Tabla114[[#This Row],[COSTO]]*1.19</f>
        <v>11718.525</v>
      </c>
      <c r="H510" s="26">
        <f>+Tabla114[[#This Row],[PRECIO INSTALADOR (IVA INCLUIDO)]]*5%</f>
        <v>689.32500000000005</v>
      </c>
      <c r="I510" s="25"/>
      <c r="J510" s="7">
        <v>9847.5</v>
      </c>
    </row>
    <row r="511" spans="1:10" ht="15" x14ac:dyDescent="0.25">
      <c r="A511" s="23" t="s">
        <v>990</v>
      </c>
      <c r="B511" s="24" t="s">
        <v>991</v>
      </c>
      <c r="C511" s="9">
        <f>+Tabla114[[#This Row],[COSTO CON IVA]]/Tabla114[[#This Row],[UTILIDAD]]</f>
        <v>14951.3</v>
      </c>
      <c r="D511" s="9">
        <f>+Tabla114[[#This Row],[PRECIO INSTALADOR (IVA INCLUIDO)]]-Tabla114[[#This Row],[DCTO TIENDA]]</f>
        <v>14203.734999999999</v>
      </c>
      <c r="E511" s="9">
        <f>+Tabla114[[#This Row],[PRECIO INSTALADOR (IVA INCLUIDO)]]/0.7</f>
        <v>21359</v>
      </c>
      <c r="F511" s="8">
        <v>0.85</v>
      </c>
      <c r="G511" s="16">
        <f>+Tabla114[[#This Row],[COSTO]]*1.19</f>
        <v>12708.605</v>
      </c>
      <c r="H511" s="26">
        <f>+Tabla114[[#This Row],[PRECIO INSTALADOR (IVA INCLUIDO)]]*5%</f>
        <v>747.56500000000005</v>
      </c>
      <c r="I511" s="25"/>
      <c r="J511" s="7">
        <v>10679.5</v>
      </c>
    </row>
    <row r="512" spans="1:10" ht="15" x14ac:dyDescent="0.25">
      <c r="A512" s="23" t="s">
        <v>992</v>
      </c>
      <c r="B512" s="24" t="s">
        <v>993</v>
      </c>
      <c r="C512" s="9">
        <f>+Tabla114[[#This Row],[COSTO CON IVA]]/Tabla114[[#This Row],[UTILIDAD]]</f>
        <v>13741</v>
      </c>
      <c r="D512" s="9">
        <f>+Tabla114[[#This Row],[PRECIO INSTALADOR (IVA INCLUIDO)]]-Tabla114[[#This Row],[DCTO TIENDA]]</f>
        <v>13053.95</v>
      </c>
      <c r="E512" s="9">
        <f>+Tabla114[[#This Row],[PRECIO INSTALADOR (IVA INCLUIDO)]]/0.7</f>
        <v>19630</v>
      </c>
      <c r="F512" s="8">
        <v>0.85</v>
      </c>
      <c r="G512" s="16">
        <f>+Tabla114[[#This Row],[COSTO]]*1.19</f>
        <v>11679.85</v>
      </c>
      <c r="H512" s="26">
        <f>+Tabla114[[#This Row],[PRECIO INSTALADOR (IVA INCLUIDO)]]*5%</f>
        <v>687.05000000000007</v>
      </c>
      <c r="I512" s="25"/>
      <c r="J512" s="7">
        <v>9815</v>
      </c>
    </row>
    <row r="513" spans="1:10" ht="15" x14ac:dyDescent="0.25">
      <c r="A513" s="23" t="s">
        <v>994</v>
      </c>
      <c r="B513" s="24" t="s">
        <v>995</v>
      </c>
      <c r="C513" s="9">
        <f>+Tabla114[[#This Row],[COSTO CON IVA]]/Tabla114[[#This Row],[UTILIDAD]]</f>
        <v>16489.2</v>
      </c>
      <c r="D513" s="9">
        <f>+Tabla114[[#This Row],[PRECIO INSTALADOR (IVA INCLUIDO)]]-Tabla114[[#This Row],[DCTO TIENDA]]</f>
        <v>15664.740000000002</v>
      </c>
      <c r="E513" s="9">
        <f>+Tabla114[[#This Row],[PRECIO INSTALADOR (IVA INCLUIDO)]]/0.7</f>
        <v>23556.000000000004</v>
      </c>
      <c r="F513" s="8">
        <v>0.85</v>
      </c>
      <c r="G513" s="16">
        <f>+Tabla114[[#This Row],[COSTO]]*1.19</f>
        <v>14015.82</v>
      </c>
      <c r="H513" s="26">
        <f>+Tabla114[[#This Row],[PRECIO INSTALADOR (IVA INCLUIDO)]]*5%</f>
        <v>824.46</v>
      </c>
      <c r="I513" s="25"/>
      <c r="J513" s="7">
        <v>11778</v>
      </c>
    </row>
    <row r="514" spans="1:10" ht="15" x14ac:dyDescent="0.25">
      <c r="A514" s="23" t="s">
        <v>996</v>
      </c>
      <c r="B514" s="24" t="s">
        <v>997</v>
      </c>
      <c r="C514" s="9">
        <f>+Tabla114[[#This Row],[COSTO CON IVA]]/Tabla114[[#This Row],[UTILIDAD]]</f>
        <v>19865.300000000003</v>
      </c>
      <c r="D514" s="9">
        <f>+Tabla114[[#This Row],[PRECIO INSTALADOR (IVA INCLUIDO)]]-Tabla114[[#This Row],[DCTO TIENDA]]</f>
        <v>18872.035000000003</v>
      </c>
      <c r="E514" s="9">
        <f>+Tabla114[[#This Row],[PRECIO INSTALADOR (IVA INCLUIDO)]]/0.7</f>
        <v>28379.000000000007</v>
      </c>
      <c r="F514" s="8">
        <v>0.85</v>
      </c>
      <c r="G514" s="16">
        <f>+Tabla114[[#This Row],[COSTO]]*1.19</f>
        <v>16885.505000000001</v>
      </c>
      <c r="H514" s="26">
        <f>+Tabla114[[#This Row],[PRECIO INSTALADOR (IVA INCLUIDO)]]*5%</f>
        <v>993.26500000000021</v>
      </c>
      <c r="I514" s="25"/>
      <c r="J514" s="7">
        <v>14189.5</v>
      </c>
    </row>
    <row r="515" spans="1:10" ht="15" x14ac:dyDescent="0.25">
      <c r="A515" s="23" t="s">
        <v>998</v>
      </c>
      <c r="B515" s="24" t="s">
        <v>999</v>
      </c>
      <c r="C515" s="9">
        <f>+Tabla114[[#This Row],[COSTO CON IVA]]/Tabla114[[#This Row],[UTILIDAD]]</f>
        <v>22158.5</v>
      </c>
      <c r="D515" s="9">
        <f>+Tabla114[[#This Row],[PRECIO INSTALADOR (IVA INCLUIDO)]]-Tabla114[[#This Row],[DCTO TIENDA]]</f>
        <v>21050.575000000001</v>
      </c>
      <c r="E515" s="9">
        <f>+Tabla114[[#This Row],[PRECIO INSTALADOR (IVA INCLUIDO)]]/0.7</f>
        <v>31655.000000000004</v>
      </c>
      <c r="F515" s="8">
        <v>0.85</v>
      </c>
      <c r="G515" s="16">
        <f>+Tabla114[[#This Row],[COSTO]]*1.19</f>
        <v>18834.724999999999</v>
      </c>
      <c r="H515" s="26">
        <f>+Tabla114[[#This Row],[PRECIO INSTALADOR (IVA INCLUIDO)]]*5%</f>
        <v>1107.925</v>
      </c>
      <c r="I515" s="25"/>
      <c r="J515" s="7">
        <v>15827.5</v>
      </c>
    </row>
    <row r="516" spans="1:10" ht="15" x14ac:dyDescent="0.25">
      <c r="A516" s="23" t="s">
        <v>1000</v>
      </c>
      <c r="B516" s="24" t="s">
        <v>1001</v>
      </c>
      <c r="C516" s="9">
        <f>+Tabla114[[#This Row],[COSTO CON IVA]]/Tabla114[[#This Row],[UTILIDAD]]</f>
        <v>19928.999999999996</v>
      </c>
      <c r="D516" s="9">
        <f>+Tabla114[[#This Row],[PRECIO INSTALADOR (IVA INCLUIDO)]]-Tabla114[[#This Row],[DCTO TIENDA]]</f>
        <v>18932.549999999996</v>
      </c>
      <c r="E516" s="9">
        <f>+Tabla114[[#This Row],[PRECIO INSTALADOR (IVA INCLUIDO)]]/0.7</f>
        <v>28469.999999999996</v>
      </c>
      <c r="F516" s="8">
        <v>0.85</v>
      </c>
      <c r="G516" s="16">
        <f>+Tabla114[[#This Row],[COSTO]]*1.19</f>
        <v>16939.649999999998</v>
      </c>
      <c r="H516" s="26">
        <f>+Tabla114[[#This Row],[PRECIO INSTALADOR (IVA INCLUIDO)]]*5%</f>
        <v>996.44999999999982</v>
      </c>
      <c r="I516" s="25"/>
      <c r="J516" s="7">
        <v>14235</v>
      </c>
    </row>
    <row r="517" spans="1:10" ht="15" x14ac:dyDescent="0.25">
      <c r="A517" s="23" t="s">
        <v>1002</v>
      </c>
      <c r="B517" s="24" t="s">
        <v>1003</v>
      </c>
      <c r="C517" s="9">
        <f>+Tabla114[[#This Row],[COSTO CON IVA]]/Tabla114[[#This Row],[UTILIDAD]]</f>
        <v>22595.3</v>
      </c>
      <c r="D517" s="9">
        <f>+Tabla114[[#This Row],[PRECIO INSTALADOR (IVA INCLUIDO)]]-Tabla114[[#This Row],[DCTO TIENDA]]</f>
        <v>21465.535</v>
      </c>
      <c r="E517" s="9">
        <f>+Tabla114[[#This Row],[PRECIO INSTALADOR (IVA INCLUIDO)]]/0.7</f>
        <v>32279</v>
      </c>
      <c r="F517" s="8">
        <v>0.85</v>
      </c>
      <c r="G517" s="16">
        <f>+Tabla114[[#This Row],[COSTO]]*1.19</f>
        <v>19206.004999999997</v>
      </c>
      <c r="H517" s="26">
        <f>+Tabla114[[#This Row],[PRECIO INSTALADOR (IVA INCLUIDO)]]*5%</f>
        <v>1129.7650000000001</v>
      </c>
      <c r="I517" s="25"/>
      <c r="J517" s="7">
        <v>16139.5</v>
      </c>
    </row>
    <row r="518" spans="1:10" ht="15" x14ac:dyDescent="0.25">
      <c r="A518" s="23" t="s">
        <v>1004</v>
      </c>
      <c r="B518" s="24" t="s">
        <v>1005</v>
      </c>
      <c r="C518" s="9">
        <f>+Tabla114[[#This Row],[COSTO CON IVA]]/Tabla114[[#This Row],[UTILIDAD]]</f>
        <v>28783.300000000003</v>
      </c>
      <c r="D518" s="9">
        <f>+Tabla114[[#This Row],[PRECIO INSTALADOR (IVA INCLUIDO)]]-Tabla114[[#This Row],[DCTO TIENDA]]</f>
        <v>27344.135000000002</v>
      </c>
      <c r="E518" s="9">
        <f>+Tabla114[[#This Row],[PRECIO INSTALADOR (IVA INCLUIDO)]]/0.7</f>
        <v>41119.000000000007</v>
      </c>
      <c r="F518" s="8">
        <v>0.85</v>
      </c>
      <c r="G518" s="16">
        <f>+Tabla114[[#This Row],[COSTO]]*1.19</f>
        <v>24465.805</v>
      </c>
      <c r="H518" s="26">
        <f>+Tabla114[[#This Row],[PRECIO INSTALADOR (IVA INCLUIDO)]]*5%</f>
        <v>1439.1650000000002</v>
      </c>
      <c r="I518" s="25"/>
      <c r="J518" s="7">
        <v>20559.5</v>
      </c>
    </row>
    <row r="519" spans="1:10" ht="15" x14ac:dyDescent="0.25">
      <c r="A519" s="23" t="s">
        <v>1006</v>
      </c>
      <c r="B519" s="24" t="s">
        <v>1007</v>
      </c>
      <c r="C519" s="9">
        <f>+Tabla114[[#This Row],[COSTO CON IVA]]/Tabla114[[#This Row],[UTILIDAD]]</f>
        <v>31922.799999999999</v>
      </c>
      <c r="D519" s="9">
        <f>+Tabla114[[#This Row],[PRECIO INSTALADOR (IVA INCLUIDO)]]-Tabla114[[#This Row],[DCTO TIENDA]]</f>
        <v>30326.66</v>
      </c>
      <c r="E519" s="9">
        <f>+Tabla114[[#This Row],[PRECIO INSTALADOR (IVA INCLUIDO)]]/0.7</f>
        <v>45604</v>
      </c>
      <c r="F519" s="8">
        <v>0.85</v>
      </c>
      <c r="G519" s="16">
        <f>+Tabla114[[#This Row],[COSTO]]*1.19</f>
        <v>27134.379999999997</v>
      </c>
      <c r="H519" s="26">
        <f>+Tabla114[[#This Row],[PRECIO INSTALADOR (IVA INCLUIDO)]]*5%</f>
        <v>1596.14</v>
      </c>
      <c r="I519" s="25"/>
      <c r="J519" s="7">
        <v>22802</v>
      </c>
    </row>
    <row r="520" spans="1:10" ht="15" x14ac:dyDescent="0.25">
      <c r="A520" s="23" t="s">
        <v>1008</v>
      </c>
      <c r="B520" s="32" t="s">
        <v>1009</v>
      </c>
      <c r="C520" s="9">
        <f>+Tabla114[[#This Row],[COSTO CON IVA]]/Tabla114[[#This Row],[UTILIDAD]]</f>
        <v>24115</v>
      </c>
      <c r="D520" s="9">
        <f>+Tabla114[[#This Row],[PRECIO INSTALADOR (IVA INCLUIDO)]]-Tabla114[[#This Row],[DCTO TIENDA]]</f>
        <v>22909.25</v>
      </c>
      <c r="E520" s="9">
        <f>+Tabla114[[#This Row],[PRECIO INSTALADOR (IVA INCLUIDO)]]/0.7</f>
        <v>34450</v>
      </c>
      <c r="F520" s="8">
        <v>0.85</v>
      </c>
      <c r="G520" s="16">
        <f>+Tabla114[[#This Row],[COSTO]]*1.19</f>
        <v>20497.75</v>
      </c>
      <c r="H520" s="26">
        <f>+Tabla114[[#This Row],[PRECIO INSTALADOR (IVA INCLUIDO)]]*5%</f>
        <v>1205.75</v>
      </c>
      <c r="I520" s="25"/>
      <c r="J520" s="7">
        <v>17225</v>
      </c>
    </row>
    <row r="521" spans="1:10" ht="15" x14ac:dyDescent="0.25">
      <c r="A521" s="23" t="s">
        <v>1010</v>
      </c>
      <c r="B521" s="24" t="s">
        <v>1011</v>
      </c>
      <c r="C521" s="9">
        <f>+Tabla114[[#This Row],[COSTO CON IVA]]/Tabla114[[#This Row],[UTILIDAD]]</f>
        <v>18200</v>
      </c>
      <c r="D521" s="9">
        <f>+Tabla114[[#This Row],[PRECIO INSTALADOR (IVA INCLUIDO)]]-Tabla114[[#This Row],[DCTO TIENDA]]</f>
        <v>17290</v>
      </c>
      <c r="E521" s="9">
        <f>+Tabla114[[#This Row],[PRECIO INSTALADOR (IVA INCLUIDO)]]/0.7</f>
        <v>26000</v>
      </c>
      <c r="F521" s="8">
        <v>0.85</v>
      </c>
      <c r="G521" s="16">
        <f>+Tabla114[[#This Row],[COSTO]]*1.19</f>
        <v>15470</v>
      </c>
      <c r="H521" s="26">
        <f>+Tabla114[[#This Row],[PRECIO INSTALADOR (IVA INCLUIDO)]]*5%</f>
        <v>910</v>
      </c>
      <c r="I521" s="25"/>
      <c r="J521" s="7">
        <v>13000</v>
      </c>
    </row>
    <row r="522" spans="1:10" ht="15" x14ac:dyDescent="0.25">
      <c r="A522" s="23" t="s">
        <v>1012</v>
      </c>
      <c r="B522" s="24" t="s">
        <v>1013</v>
      </c>
      <c r="C522" s="9">
        <f>+Tabla114[[#This Row],[COSTO CON IVA]]/Tabla114[[#This Row],[UTILIDAD]]</f>
        <v>32305</v>
      </c>
      <c r="D522" s="9">
        <f>+Tabla114[[#This Row],[PRECIO INSTALADOR (IVA INCLUIDO)]]-Tabla114[[#This Row],[DCTO TIENDA]]</f>
        <v>30689.75</v>
      </c>
      <c r="E522" s="9">
        <f>+Tabla114[[#This Row],[PRECIO INSTALADOR (IVA INCLUIDO)]]/0.7</f>
        <v>46150</v>
      </c>
      <c r="F522" s="8">
        <v>0.85</v>
      </c>
      <c r="G522" s="16">
        <f>+Tabla114[[#This Row],[COSTO]]*1.19</f>
        <v>27459.25</v>
      </c>
      <c r="H522" s="26">
        <f>+Tabla114[[#This Row],[PRECIO INSTALADOR (IVA INCLUIDO)]]*5%</f>
        <v>1615.25</v>
      </c>
      <c r="I522" s="25"/>
      <c r="J522" s="7">
        <v>23075</v>
      </c>
    </row>
    <row r="523" spans="1:10" ht="15" x14ac:dyDescent="0.25">
      <c r="A523" s="23" t="s">
        <v>1014</v>
      </c>
      <c r="B523" s="24" t="s">
        <v>1015</v>
      </c>
      <c r="C523" s="9">
        <f>+Tabla114[[#This Row],[COSTO CON IVA]]/Tabla114[[#This Row],[UTILIDAD]]</f>
        <v>25025</v>
      </c>
      <c r="D523" s="9">
        <f>+Tabla114[[#This Row],[PRECIO INSTALADOR (IVA INCLUIDO)]]-Tabla114[[#This Row],[DCTO TIENDA]]</f>
        <v>23773.75</v>
      </c>
      <c r="E523" s="9">
        <f>+Tabla114[[#This Row],[PRECIO INSTALADOR (IVA INCLUIDO)]]/0.7</f>
        <v>35750</v>
      </c>
      <c r="F523" s="8">
        <v>0.85</v>
      </c>
      <c r="G523" s="16">
        <f>+Tabla114[[#This Row],[COSTO]]*1.19</f>
        <v>21271.25</v>
      </c>
      <c r="H523" s="26">
        <f>+Tabla114[[#This Row],[PRECIO INSTALADOR (IVA INCLUIDO)]]*5%</f>
        <v>1251.25</v>
      </c>
      <c r="I523" s="25"/>
      <c r="J523" s="7">
        <v>17875</v>
      </c>
    </row>
    <row r="524" spans="1:10" ht="15" x14ac:dyDescent="0.25">
      <c r="A524" s="23" t="s">
        <v>1016</v>
      </c>
      <c r="B524" s="24" t="s">
        <v>1017</v>
      </c>
      <c r="C524" s="9">
        <f>+Tabla114[[#This Row],[COSTO CON IVA]]/Tabla114[[#This Row],[UTILIDAD]]</f>
        <v>41405</v>
      </c>
      <c r="D524" s="9">
        <f>+Tabla114[[#This Row],[PRECIO INSTALADOR (IVA INCLUIDO)]]-Tabla114[[#This Row],[DCTO TIENDA]]</f>
        <v>39334.75</v>
      </c>
      <c r="E524" s="9">
        <f>+Tabla114[[#This Row],[PRECIO INSTALADOR (IVA INCLUIDO)]]/0.7</f>
        <v>59150.000000000007</v>
      </c>
      <c r="F524" s="8">
        <v>0.85</v>
      </c>
      <c r="G524" s="16">
        <f>+Tabla114[[#This Row],[COSTO]]*1.19</f>
        <v>35194.25</v>
      </c>
      <c r="H524" s="26">
        <f>+Tabla114[[#This Row],[PRECIO INSTALADOR (IVA INCLUIDO)]]*5%</f>
        <v>2070.25</v>
      </c>
      <c r="I524" s="25"/>
      <c r="J524" s="7">
        <v>29575</v>
      </c>
    </row>
    <row r="525" spans="1:10" ht="15" x14ac:dyDescent="0.25">
      <c r="A525" s="23" t="s">
        <v>1018</v>
      </c>
      <c r="B525" s="24" t="s">
        <v>1019</v>
      </c>
      <c r="C525" s="9">
        <f>+Tabla114[[#This Row],[COSTO CON IVA]]/Tabla114[[#This Row],[UTILIDAD]]</f>
        <v>40859</v>
      </c>
      <c r="D525" s="9">
        <f>+Tabla114[[#This Row],[PRECIO INSTALADOR (IVA INCLUIDO)]]-Tabla114[[#This Row],[DCTO TIENDA]]</f>
        <v>38816.050000000003</v>
      </c>
      <c r="E525" s="9">
        <f>+Tabla114[[#This Row],[PRECIO INSTALADOR (IVA INCLUIDO)]]/0.7</f>
        <v>58370.000000000007</v>
      </c>
      <c r="F525" s="8">
        <v>0.85</v>
      </c>
      <c r="G525" s="16">
        <f>+Tabla114[[#This Row],[COSTO]]*1.19</f>
        <v>34730.15</v>
      </c>
      <c r="H525" s="26">
        <f>+Tabla114[[#This Row],[PRECIO INSTALADOR (IVA INCLUIDO)]]*5%</f>
        <v>2042.95</v>
      </c>
      <c r="I525" s="25"/>
      <c r="J525" s="7">
        <v>29185</v>
      </c>
    </row>
    <row r="526" spans="1:10" ht="15" x14ac:dyDescent="0.25">
      <c r="A526" s="23" t="s">
        <v>1020</v>
      </c>
      <c r="B526" s="24" t="s">
        <v>1021</v>
      </c>
      <c r="C526" s="9">
        <f>+Tabla114[[#This Row],[COSTO CON IVA]]/Tabla114[[#This Row],[UTILIDAD]]</f>
        <v>32486.999999999996</v>
      </c>
      <c r="D526" s="9">
        <f>+Tabla114[[#This Row],[PRECIO INSTALADOR (IVA INCLUIDO)]]-Tabla114[[#This Row],[DCTO TIENDA]]</f>
        <v>30862.649999999998</v>
      </c>
      <c r="E526" s="9">
        <f>+Tabla114[[#This Row],[PRECIO INSTALADOR (IVA INCLUIDO)]]/0.7</f>
        <v>46410</v>
      </c>
      <c r="F526" s="8">
        <v>0.85</v>
      </c>
      <c r="G526" s="16">
        <f>+Tabla114[[#This Row],[COSTO]]*1.19</f>
        <v>27613.949999999997</v>
      </c>
      <c r="H526" s="26">
        <f>+Tabla114[[#This Row],[PRECIO INSTALADOR (IVA INCLUIDO)]]*5%</f>
        <v>1624.35</v>
      </c>
      <c r="I526" s="25"/>
      <c r="J526" s="7">
        <v>23205</v>
      </c>
    </row>
    <row r="527" spans="1:10" ht="15" x14ac:dyDescent="0.25">
      <c r="A527" s="23" t="s">
        <v>1022</v>
      </c>
      <c r="B527" s="24" t="s">
        <v>1023</v>
      </c>
      <c r="C527" s="9">
        <f>+Tabla114[[#This Row],[COSTO CON IVA]]/Tabla114[[#This Row],[UTILIDAD]]</f>
        <v>56219.799999999996</v>
      </c>
      <c r="D527" s="9">
        <f>+Tabla114[[#This Row],[PRECIO INSTALADOR (IVA INCLUIDO)]]-Tabla114[[#This Row],[DCTO TIENDA]]</f>
        <v>53408.81</v>
      </c>
      <c r="E527" s="9">
        <f>+Tabla114[[#This Row],[PRECIO INSTALADOR (IVA INCLUIDO)]]/0.7</f>
        <v>80314</v>
      </c>
      <c r="F527" s="8">
        <v>0.85</v>
      </c>
      <c r="G527" s="16">
        <f>+Tabla114[[#This Row],[COSTO]]*1.19</f>
        <v>47786.829999999994</v>
      </c>
      <c r="H527" s="26">
        <f>+Tabla114[[#This Row],[PRECIO INSTALADOR (IVA INCLUIDO)]]*5%</f>
        <v>2810.99</v>
      </c>
      <c r="I527" s="25"/>
      <c r="J527" s="7">
        <v>40157</v>
      </c>
    </row>
    <row r="528" spans="1:10" ht="15" x14ac:dyDescent="0.25">
      <c r="A528" s="23" t="s">
        <v>1024</v>
      </c>
      <c r="B528" s="24" t="s">
        <v>1025</v>
      </c>
      <c r="C528" s="9">
        <f>+Tabla114[[#This Row],[COSTO CON IVA]]/Tabla114[[#This Row],[UTILIDAD]]</f>
        <v>47229</v>
      </c>
      <c r="D528" s="9">
        <f>+Tabla114[[#This Row],[PRECIO INSTALADOR (IVA INCLUIDO)]]-Tabla114[[#This Row],[DCTO TIENDA]]</f>
        <v>44867.55</v>
      </c>
      <c r="E528" s="9">
        <f>+Tabla114[[#This Row],[PRECIO INSTALADOR (IVA INCLUIDO)]]/0.7</f>
        <v>67470</v>
      </c>
      <c r="F528" s="8">
        <v>0.85</v>
      </c>
      <c r="G528" s="16">
        <f>+Tabla114[[#This Row],[COSTO]]*1.19</f>
        <v>40144.65</v>
      </c>
      <c r="H528" s="26">
        <f>+Tabla114[[#This Row],[PRECIO INSTALADOR (IVA INCLUIDO)]]*5%</f>
        <v>2361.4500000000003</v>
      </c>
      <c r="I528" s="25"/>
      <c r="J528" s="7">
        <v>33735</v>
      </c>
    </row>
    <row r="529" spans="1:10" ht="15" x14ac:dyDescent="0.25">
      <c r="A529" s="23" t="s">
        <v>1026</v>
      </c>
      <c r="B529" s="24" t="s">
        <v>1027</v>
      </c>
      <c r="C529" s="9">
        <f>+Tabla114[[#This Row],[COSTO CON IVA]]/Tabla114[[#This Row],[UTILIDAD]]</f>
        <v>68068</v>
      </c>
      <c r="D529" s="9">
        <f>+Tabla114[[#This Row],[PRECIO INSTALADOR (IVA INCLUIDO)]]-Tabla114[[#This Row],[DCTO TIENDA]]</f>
        <v>64664.6</v>
      </c>
      <c r="E529" s="9">
        <f>+Tabla114[[#This Row],[PRECIO INSTALADOR (IVA INCLUIDO)]]/0.7</f>
        <v>97240</v>
      </c>
      <c r="F529" s="8">
        <v>0.85</v>
      </c>
      <c r="G529" s="16">
        <f>+Tabla114[[#This Row],[COSTO]]*1.19</f>
        <v>57857.799999999996</v>
      </c>
      <c r="H529" s="26">
        <f>+Tabla114[[#This Row],[PRECIO INSTALADOR (IVA INCLUIDO)]]*5%</f>
        <v>3403.4</v>
      </c>
      <c r="I529" s="25"/>
      <c r="J529" s="7">
        <v>48620</v>
      </c>
    </row>
    <row r="530" spans="1:10" ht="15" x14ac:dyDescent="0.25">
      <c r="A530" s="23" t="s">
        <v>1028</v>
      </c>
      <c r="B530" s="24" t="s">
        <v>1029</v>
      </c>
      <c r="C530" s="9">
        <f>+Tabla114[[#This Row],[COSTO CON IVA]]/Tabla114[[#This Row],[UTILIDAD]]</f>
        <v>80899</v>
      </c>
      <c r="D530" s="9">
        <f>+Tabla114[[#This Row],[PRECIO INSTALADOR (IVA INCLUIDO)]]-Tabla114[[#This Row],[DCTO TIENDA]]</f>
        <v>76854.05</v>
      </c>
      <c r="E530" s="9">
        <f>+Tabla114[[#This Row],[PRECIO INSTALADOR (IVA INCLUIDO)]]/0.7</f>
        <v>115570.00000000001</v>
      </c>
      <c r="F530" s="8">
        <v>0.85</v>
      </c>
      <c r="G530" s="16">
        <f>+Tabla114[[#This Row],[COSTO]]*1.19</f>
        <v>68764.149999999994</v>
      </c>
      <c r="H530" s="26">
        <f>+Tabla114[[#This Row],[PRECIO INSTALADOR (IVA INCLUIDO)]]*5%</f>
        <v>4044.9500000000003</v>
      </c>
      <c r="I530" s="25"/>
      <c r="J530" s="7">
        <v>57785</v>
      </c>
    </row>
    <row r="531" spans="1:10" ht="15" x14ac:dyDescent="0.25">
      <c r="A531" s="23" t="s">
        <v>1030</v>
      </c>
      <c r="B531" s="24" t="s">
        <v>1031</v>
      </c>
      <c r="C531" s="9">
        <f>+Tabla114[[#This Row],[COSTO CON IVA]]/Tabla114[[#This Row],[UTILIDAD]]</f>
        <v>90909</v>
      </c>
      <c r="D531" s="9">
        <f>+Tabla114[[#This Row],[PRECIO INSTALADOR (IVA INCLUIDO)]]-Tabla114[[#This Row],[DCTO TIENDA]]</f>
        <v>86363.55</v>
      </c>
      <c r="E531" s="9">
        <f>+Tabla114[[#This Row],[PRECIO INSTALADOR (IVA INCLUIDO)]]/0.7</f>
        <v>129870.00000000001</v>
      </c>
      <c r="F531" s="8">
        <v>0.85</v>
      </c>
      <c r="G531" s="16">
        <f>+Tabla114[[#This Row],[COSTO]]*1.19</f>
        <v>77272.649999999994</v>
      </c>
      <c r="H531" s="26">
        <f>+Tabla114[[#This Row],[PRECIO INSTALADOR (IVA INCLUIDO)]]*5%</f>
        <v>4545.45</v>
      </c>
      <c r="I531" s="25"/>
      <c r="J531" s="7">
        <v>64935</v>
      </c>
    </row>
    <row r="532" spans="1:10" ht="15" x14ac:dyDescent="0.25">
      <c r="A532" s="23" t="s">
        <v>1032</v>
      </c>
      <c r="B532" s="24" t="s">
        <v>1033</v>
      </c>
      <c r="C532" s="9">
        <f>+Tabla114[[#This Row],[COSTO CON IVA]]/Tabla114[[#This Row],[UTILIDAD]]</f>
        <v>71435</v>
      </c>
      <c r="D532" s="9">
        <f>+Tabla114[[#This Row],[PRECIO INSTALADOR (IVA INCLUIDO)]]-Tabla114[[#This Row],[DCTO TIENDA]]</f>
        <v>67863.25</v>
      </c>
      <c r="E532" s="9">
        <f>+Tabla114[[#This Row],[PRECIO INSTALADOR (IVA INCLUIDO)]]/0.7</f>
        <v>102050</v>
      </c>
      <c r="F532" s="8">
        <v>0.85</v>
      </c>
      <c r="G532" s="16">
        <f>+Tabla114[[#This Row],[COSTO]]*1.19</f>
        <v>60719.75</v>
      </c>
      <c r="H532" s="26">
        <f>+Tabla114[[#This Row],[PRECIO INSTALADOR (IVA INCLUIDO)]]*5%</f>
        <v>3571.75</v>
      </c>
      <c r="I532" s="25"/>
      <c r="J532" s="7">
        <v>51025</v>
      </c>
    </row>
    <row r="533" spans="1:10" ht="15" x14ac:dyDescent="0.25">
      <c r="A533" s="23" t="s">
        <v>1034</v>
      </c>
      <c r="B533" s="24" t="s">
        <v>1035</v>
      </c>
      <c r="C533" s="9">
        <f>+Tabla114[[#This Row],[COSTO CON IVA]]/Tabla114[[#This Row],[UTILIDAD]]</f>
        <v>88815.999999999985</v>
      </c>
      <c r="D533" s="9">
        <f>+Tabla114[[#This Row],[PRECIO INSTALADOR (IVA INCLUIDO)]]-Tabla114[[#This Row],[DCTO TIENDA]]</f>
        <v>84375.199999999983</v>
      </c>
      <c r="E533" s="9">
        <f>+Tabla114[[#This Row],[PRECIO INSTALADOR (IVA INCLUIDO)]]/0.7</f>
        <v>126879.99999999999</v>
      </c>
      <c r="F533" s="8">
        <v>0.85</v>
      </c>
      <c r="G533" s="16">
        <f>+Tabla114[[#This Row],[COSTO]]*1.19</f>
        <v>75493.599999999991</v>
      </c>
      <c r="H533" s="26">
        <f>+Tabla114[[#This Row],[PRECIO INSTALADOR (IVA INCLUIDO)]]*5%</f>
        <v>4440.7999999999993</v>
      </c>
      <c r="I533" s="25"/>
      <c r="J533" s="7">
        <v>63440</v>
      </c>
    </row>
    <row r="534" spans="1:10" ht="15" x14ac:dyDescent="0.25">
      <c r="A534" s="23" t="s">
        <v>1036</v>
      </c>
      <c r="B534" s="24" t="s">
        <v>1037</v>
      </c>
      <c r="C534" s="9">
        <f>+Tabla114[[#This Row],[COSTO CON IVA]]/Tabla114[[#This Row],[UTILIDAD]]</f>
        <v>9213.75</v>
      </c>
      <c r="D534" s="9">
        <f>+Tabla114[[#This Row],[PRECIO INSTALADOR (IVA INCLUIDO)]]-Tabla114[[#This Row],[DCTO TIENDA]]</f>
        <v>8753.0625</v>
      </c>
      <c r="E534" s="9">
        <f>+Tabla114[[#This Row],[PRECIO INSTALADOR (IVA INCLUIDO)]]/0.7</f>
        <v>13162.5</v>
      </c>
      <c r="F534" s="8">
        <v>0.85</v>
      </c>
      <c r="G534" s="16">
        <f>+Tabla114[[#This Row],[COSTO]]*1.19</f>
        <v>7831.6875</v>
      </c>
      <c r="H534" s="26">
        <f>+Tabla114[[#This Row],[PRECIO INSTALADOR (IVA INCLUIDO)]]*5%</f>
        <v>460.6875</v>
      </c>
      <c r="I534" s="25"/>
      <c r="J534" s="7">
        <v>6581.25</v>
      </c>
    </row>
    <row r="535" spans="1:10" ht="15" x14ac:dyDescent="0.25">
      <c r="A535" s="23" t="s">
        <v>1038</v>
      </c>
      <c r="B535" s="24" t="s">
        <v>1039</v>
      </c>
      <c r="C535" s="9">
        <f>+Tabla114[[#This Row],[COSTO CON IVA]]/Tabla114[[#This Row],[UTILIDAD]]</f>
        <v>9213.75</v>
      </c>
      <c r="D535" s="9">
        <f>+Tabla114[[#This Row],[PRECIO INSTALADOR (IVA INCLUIDO)]]-Tabla114[[#This Row],[DCTO TIENDA]]</f>
        <v>8753.0625</v>
      </c>
      <c r="E535" s="9">
        <f>+Tabla114[[#This Row],[PRECIO INSTALADOR (IVA INCLUIDO)]]/0.7</f>
        <v>13162.5</v>
      </c>
      <c r="F535" s="8">
        <v>0.85</v>
      </c>
      <c r="G535" s="16">
        <f>+Tabla114[[#This Row],[COSTO]]*1.19</f>
        <v>7831.6875</v>
      </c>
      <c r="H535" s="26">
        <f>+Tabla114[[#This Row],[PRECIO INSTALADOR (IVA INCLUIDO)]]*5%</f>
        <v>460.6875</v>
      </c>
      <c r="I535" s="25"/>
      <c r="J535" s="7">
        <v>6581.25</v>
      </c>
    </row>
    <row r="536" spans="1:10" ht="15" x14ac:dyDescent="0.25">
      <c r="A536" s="23" t="s">
        <v>1040</v>
      </c>
      <c r="B536" s="24" t="s">
        <v>1041</v>
      </c>
      <c r="C536" s="9">
        <f>+Tabla114[[#This Row],[COSTO CON IVA]]/Tabla114[[#This Row],[UTILIDAD]]</f>
        <v>9309.2999999999993</v>
      </c>
      <c r="D536" s="9">
        <f>+Tabla114[[#This Row],[PRECIO INSTALADOR (IVA INCLUIDO)]]-Tabla114[[#This Row],[DCTO TIENDA]]</f>
        <v>8843.8349999999991</v>
      </c>
      <c r="E536" s="9">
        <f>+Tabla114[[#This Row],[PRECIO INSTALADOR (IVA INCLUIDO)]]/0.7</f>
        <v>13299</v>
      </c>
      <c r="F536" s="8">
        <v>0.85</v>
      </c>
      <c r="G536" s="16">
        <f>+Tabla114[[#This Row],[COSTO]]*1.19</f>
        <v>7912.9049999999997</v>
      </c>
      <c r="H536" s="26">
        <f>+Tabla114[[#This Row],[PRECIO INSTALADOR (IVA INCLUIDO)]]*5%</f>
        <v>465.46499999999997</v>
      </c>
      <c r="I536" s="25"/>
      <c r="J536" s="7">
        <v>6649.5</v>
      </c>
    </row>
    <row r="537" spans="1:10" ht="15" x14ac:dyDescent="0.25">
      <c r="A537" s="23" t="s">
        <v>1042</v>
      </c>
      <c r="B537" s="24" t="s">
        <v>1043</v>
      </c>
      <c r="C537" s="9">
        <f>+Tabla114[[#This Row],[COSTO CON IVA]]/Tabla114[[#This Row],[UTILIDAD]]</f>
        <v>9309.2999999999993</v>
      </c>
      <c r="D537" s="9">
        <f>+Tabla114[[#This Row],[PRECIO INSTALADOR (IVA INCLUIDO)]]-Tabla114[[#This Row],[DCTO TIENDA]]</f>
        <v>8843.8349999999991</v>
      </c>
      <c r="E537" s="9">
        <f>+Tabla114[[#This Row],[PRECIO INSTALADOR (IVA INCLUIDO)]]/0.7</f>
        <v>13299</v>
      </c>
      <c r="F537" s="8">
        <v>0.85</v>
      </c>
      <c r="G537" s="16">
        <f>+Tabla114[[#This Row],[COSTO]]*1.19</f>
        <v>7912.9049999999997</v>
      </c>
      <c r="H537" s="26">
        <f>+Tabla114[[#This Row],[PRECIO INSTALADOR (IVA INCLUIDO)]]*5%</f>
        <v>465.46499999999997</v>
      </c>
      <c r="I537" s="25"/>
      <c r="J537" s="7">
        <v>6649.5</v>
      </c>
    </row>
    <row r="538" spans="1:10" ht="15" x14ac:dyDescent="0.25">
      <c r="A538" s="23" t="s">
        <v>1044</v>
      </c>
      <c r="B538" s="24" t="s">
        <v>1045</v>
      </c>
      <c r="C538" s="9">
        <f>+Tabla114[[#This Row],[COSTO CON IVA]]/Tabla114[[#This Row],[UTILIDAD]]</f>
        <v>11393.199999999999</v>
      </c>
      <c r="D538" s="9">
        <f>+Tabla114[[#This Row],[PRECIO INSTALADOR (IVA INCLUIDO)]]-Tabla114[[#This Row],[DCTO TIENDA]]</f>
        <v>10823.539999999999</v>
      </c>
      <c r="E538" s="9">
        <f>+Tabla114[[#This Row],[PRECIO INSTALADOR (IVA INCLUIDO)]]/0.7</f>
        <v>16276</v>
      </c>
      <c r="F538" s="8">
        <v>0.85</v>
      </c>
      <c r="G538" s="16">
        <f>+Tabla114[[#This Row],[COSTO]]*1.19</f>
        <v>9684.2199999999993</v>
      </c>
      <c r="H538" s="26">
        <f>+Tabla114[[#This Row],[PRECIO INSTALADOR (IVA INCLUIDO)]]*5%</f>
        <v>569.66</v>
      </c>
      <c r="I538" s="25"/>
      <c r="J538" s="7">
        <v>8138</v>
      </c>
    </row>
    <row r="539" spans="1:10" ht="15" x14ac:dyDescent="0.25">
      <c r="A539" s="23" t="s">
        <v>1046</v>
      </c>
      <c r="B539" s="24" t="s">
        <v>1047</v>
      </c>
      <c r="C539" s="9">
        <f>+Tabla114[[#This Row],[COSTO CON IVA]]/Tabla114[[#This Row],[UTILIDAD]]</f>
        <v>11393.199999999999</v>
      </c>
      <c r="D539" s="9">
        <f>+Tabla114[[#This Row],[PRECIO INSTALADOR (IVA INCLUIDO)]]-Tabla114[[#This Row],[DCTO TIENDA]]</f>
        <v>10823.539999999999</v>
      </c>
      <c r="E539" s="9">
        <f>+Tabla114[[#This Row],[PRECIO INSTALADOR (IVA INCLUIDO)]]/0.7</f>
        <v>16276</v>
      </c>
      <c r="F539" s="8">
        <v>0.85</v>
      </c>
      <c r="G539" s="16">
        <f>+Tabla114[[#This Row],[COSTO]]*1.19</f>
        <v>9684.2199999999993</v>
      </c>
      <c r="H539" s="26">
        <f>+Tabla114[[#This Row],[PRECIO INSTALADOR (IVA INCLUIDO)]]*5%</f>
        <v>569.66</v>
      </c>
      <c r="I539" s="25"/>
      <c r="J539" s="7">
        <v>8138</v>
      </c>
    </row>
    <row r="540" spans="1:10" ht="15" x14ac:dyDescent="0.25">
      <c r="A540" s="23" t="s">
        <v>1048</v>
      </c>
      <c r="B540" s="24" t="s">
        <v>1049</v>
      </c>
      <c r="C540" s="9">
        <f>+Tabla114[[#This Row],[COSTO CON IVA]]/Tabla114[[#This Row],[UTILIDAD]]</f>
        <v>18427.5</v>
      </c>
      <c r="D540" s="9">
        <f>+Tabla114[[#This Row],[PRECIO INSTALADOR (IVA INCLUIDO)]]-Tabla114[[#This Row],[DCTO TIENDA]]</f>
        <v>17506.125</v>
      </c>
      <c r="E540" s="9">
        <f>+Tabla114[[#This Row],[PRECIO INSTALADOR (IVA INCLUIDO)]]/0.7</f>
        <v>26325</v>
      </c>
      <c r="F540" s="8">
        <v>0.85</v>
      </c>
      <c r="G540" s="16">
        <f>+Tabla114[[#This Row],[COSTO]]*1.19</f>
        <v>15663.375</v>
      </c>
      <c r="H540" s="26">
        <f>+Tabla114[[#This Row],[PRECIO INSTALADOR (IVA INCLUIDO)]]*5%</f>
        <v>921.375</v>
      </c>
      <c r="I540" s="25"/>
      <c r="J540" s="7">
        <v>13162.5</v>
      </c>
    </row>
    <row r="541" spans="1:10" ht="15" x14ac:dyDescent="0.25">
      <c r="A541" s="23" t="s">
        <v>1050</v>
      </c>
      <c r="B541" s="24" t="s">
        <v>1051</v>
      </c>
      <c r="C541" s="9">
        <f>+Tabla114[[#This Row],[COSTO CON IVA]]/Tabla114[[#This Row],[UTILIDAD]]</f>
        <v>18427.5</v>
      </c>
      <c r="D541" s="9">
        <f>+Tabla114[[#This Row],[PRECIO INSTALADOR (IVA INCLUIDO)]]-Tabla114[[#This Row],[DCTO TIENDA]]</f>
        <v>17506.125</v>
      </c>
      <c r="E541" s="9">
        <f>+Tabla114[[#This Row],[PRECIO INSTALADOR (IVA INCLUIDO)]]/0.7</f>
        <v>26325</v>
      </c>
      <c r="F541" s="8">
        <v>0.85</v>
      </c>
      <c r="G541" s="16">
        <f>+Tabla114[[#This Row],[COSTO]]*1.19</f>
        <v>15663.375</v>
      </c>
      <c r="H541" s="26">
        <f>+Tabla114[[#This Row],[PRECIO INSTALADOR (IVA INCLUIDO)]]*5%</f>
        <v>921.375</v>
      </c>
      <c r="I541" s="25"/>
      <c r="J541" s="7">
        <v>13162.5</v>
      </c>
    </row>
    <row r="542" spans="1:10" ht="15" x14ac:dyDescent="0.25">
      <c r="A542" s="23" t="s">
        <v>1052</v>
      </c>
      <c r="B542" s="24" t="s">
        <v>1053</v>
      </c>
      <c r="C542" s="9">
        <f>+Tabla114[[#This Row],[COSTO CON IVA]]/Tabla114[[#This Row],[UTILIDAD]]</f>
        <v>18618.599999999999</v>
      </c>
      <c r="D542" s="9">
        <f>+Tabla114[[#This Row],[PRECIO INSTALADOR (IVA INCLUIDO)]]-Tabla114[[#This Row],[DCTO TIENDA]]</f>
        <v>17687.669999999998</v>
      </c>
      <c r="E542" s="9">
        <f>+Tabla114[[#This Row],[PRECIO INSTALADOR (IVA INCLUIDO)]]/0.7</f>
        <v>26598</v>
      </c>
      <c r="F542" s="8">
        <v>0.85</v>
      </c>
      <c r="G542" s="16">
        <f>+Tabla114[[#This Row],[COSTO]]*1.19</f>
        <v>15825.81</v>
      </c>
      <c r="H542" s="26">
        <f>+Tabla114[[#This Row],[PRECIO INSTALADOR (IVA INCLUIDO)]]*5%</f>
        <v>930.93</v>
      </c>
      <c r="I542" s="25"/>
      <c r="J542" s="7">
        <v>13299</v>
      </c>
    </row>
    <row r="543" spans="1:10" ht="15" x14ac:dyDescent="0.25">
      <c r="A543" s="23" t="s">
        <v>1054</v>
      </c>
      <c r="B543" s="24" t="s">
        <v>1055</v>
      </c>
      <c r="C543" s="9">
        <f>+Tabla114[[#This Row],[COSTO CON IVA]]/Tabla114[[#This Row],[UTILIDAD]]</f>
        <v>18618.599999999999</v>
      </c>
      <c r="D543" s="9">
        <f>+Tabla114[[#This Row],[PRECIO INSTALADOR (IVA INCLUIDO)]]-Tabla114[[#This Row],[DCTO TIENDA]]</f>
        <v>17687.669999999998</v>
      </c>
      <c r="E543" s="9">
        <f>+Tabla114[[#This Row],[PRECIO INSTALADOR (IVA INCLUIDO)]]/0.7</f>
        <v>26598</v>
      </c>
      <c r="F543" s="8">
        <v>0.85</v>
      </c>
      <c r="G543" s="16">
        <f>+Tabla114[[#This Row],[COSTO]]*1.19</f>
        <v>15825.81</v>
      </c>
      <c r="H543" s="26">
        <f>+Tabla114[[#This Row],[PRECIO INSTALADOR (IVA INCLUIDO)]]*5%</f>
        <v>930.93</v>
      </c>
      <c r="I543" s="25"/>
      <c r="J543" s="7">
        <v>13299</v>
      </c>
    </row>
    <row r="544" spans="1:10" ht="15" x14ac:dyDescent="0.25">
      <c r="A544" s="23" t="s">
        <v>1056</v>
      </c>
      <c r="B544" s="24" t="s">
        <v>1057</v>
      </c>
      <c r="C544" s="9">
        <f>+Tabla114[[#This Row],[COSTO CON IVA]]/Tabla114[[#This Row],[UTILIDAD]]</f>
        <v>22786.399999999998</v>
      </c>
      <c r="D544" s="9">
        <f>+Tabla114[[#This Row],[PRECIO INSTALADOR (IVA INCLUIDO)]]-Tabla114[[#This Row],[DCTO TIENDA]]</f>
        <v>21647.079999999998</v>
      </c>
      <c r="E544" s="9">
        <f>+Tabla114[[#This Row],[PRECIO INSTALADOR (IVA INCLUIDO)]]/0.7</f>
        <v>32552</v>
      </c>
      <c r="F544" s="8">
        <v>0.85</v>
      </c>
      <c r="G544" s="16">
        <f>+Tabla114[[#This Row],[COSTO]]*1.19</f>
        <v>19368.439999999999</v>
      </c>
      <c r="H544" s="26">
        <f>+Tabla114[[#This Row],[PRECIO INSTALADOR (IVA INCLUIDO)]]*5%</f>
        <v>1139.32</v>
      </c>
      <c r="I544" s="25"/>
      <c r="J544" s="7">
        <v>16276</v>
      </c>
    </row>
    <row r="545" spans="1:10" ht="15" x14ac:dyDescent="0.25">
      <c r="A545" s="23" t="s">
        <v>1058</v>
      </c>
      <c r="B545" s="24" t="s">
        <v>1059</v>
      </c>
      <c r="C545" s="9">
        <f>+Tabla114[[#This Row],[COSTO CON IVA]]/Tabla114[[#This Row],[UTILIDAD]]</f>
        <v>22786.399999999998</v>
      </c>
      <c r="D545" s="9">
        <f>+Tabla114[[#This Row],[PRECIO INSTALADOR (IVA INCLUIDO)]]-Tabla114[[#This Row],[DCTO TIENDA]]</f>
        <v>21647.079999999998</v>
      </c>
      <c r="E545" s="9">
        <f>+Tabla114[[#This Row],[PRECIO INSTALADOR (IVA INCLUIDO)]]/0.7</f>
        <v>32552</v>
      </c>
      <c r="F545" s="8">
        <v>0.85</v>
      </c>
      <c r="G545" s="16">
        <f>+Tabla114[[#This Row],[COSTO]]*1.19</f>
        <v>19368.439999999999</v>
      </c>
      <c r="H545" s="26">
        <f>+Tabla114[[#This Row],[PRECIO INSTALADOR (IVA INCLUIDO)]]*5%</f>
        <v>1139.32</v>
      </c>
      <c r="I545" s="25"/>
      <c r="J545" s="7">
        <v>16276</v>
      </c>
    </row>
    <row r="546" spans="1:10" ht="15" x14ac:dyDescent="0.25">
      <c r="A546" s="23" t="s">
        <v>1060</v>
      </c>
      <c r="B546" s="24" t="s">
        <v>1061</v>
      </c>
      <c r="C546" s="9">
        <f>+Tabla114[[#This Row],[COSTO CON IVA]]/Tabla114[[#This Row],[UTILIDAD]]</f>
        <v>28483</v>
      </c>
      <c r="D546" s="9">
        <f>+Tabla114[[#This Row],[PRECIO INSTALADOR (IVA INCLUIDO)]]-Tabla114[[#This Row],[DCTO TIENDA]]</f>
        <v>27058.85</v>
      </c>
      <c r="E546" s="9">
        <f>+Tabla114[[#This Row],[PRECIO INSTALADOR (IVA INCLUIDO)]]/0.7</f>
        <v>40690</v>
      </c>
      <c r="F546" s="8">
        <v>0.85</v>
      </c>
      <c r="G546" s="16">
        <f>+Tabla114[[#This Row],[COSTO]]*1.19</f>
        <v>24210.55</v>
      </c>
      <c r="H546" s="26">
        <f>+Tabla114[[#This Row],[PRECIO INSTALADOR (IVA INCLUIDO)]]*5%</f>
        <v>1424.15</v>
      </c>
      <c r="I546" s="25"/>
      <c r="J546" s="7">
        <v>20345</v>
      </c>
    </row>
    <row r="547" spans="1:10" ht="15" x14ac:dyDescent="0.25">
      <c r="A547" s="23" t="s">
        <v>1062</v>
      </c>
      <c r="B547" s="24" t="s">
        <v>1063</v>
      </c>
      <c r="C547" s="9">
        <f>+Tabla114[[#This Row],[COSTO CON IVA]]/Tabla114[[#This Row],[UTILIDAD]]</f>
        <v>28191.8</v>
      </c>
      <c r="D547" s="9">
        <f>+Tabla114[[#This Row],[PRECIO INSTALADOR (IVA INCLUIDO)]]-Tabla114[[#This Row],[DCTO TIENDA]]</f>
        <v>26782.21</v>
      </c>
      <c r="E547" s="9">
        <f>+Tabla114[[#This Row],[PRECIO INSTALADOR (IVA INCLUIDO)]]/0.7</f>
        <v>40274</v>
      </c>
      <c r="F547" s="8">
        <v>0.85</v>
      </c>
      <c r="G547" s="16">
        <f>+Tabla114[[#This Row],[COSTO]]*1.19</f>
        <v>23963.03</v>
      </c>
      <c r="H547" s="26">
        <f>+Tabla114[[#This Row],[PRECIO INSTALADOR (IVA INCLUIDO)]]*5%</f>
        <v>1409.5900000000001</v>
      </c>
      <c r="I547" s="25"/>
      <c r="J547" s="7">
        <v>20137</v>
      </c>
    </row>
    <row r="548" spans="1:10" ht="15" x14ac:dyDescent="0.25">
      <c r="A548" s="23" t="s">
        <v>1064</v>
      </c>
      <c r="B548" s="24" t="s">
        <v>1065</v>
      </c>
      <c r="C548" s="9">
        <f>+Tabla114[[#This Row],[COSTO CON IVA]]/Tabla114[[#This Row],[UTILIDAD]]</f>
        <v>28191.8</v>
      </c>
      <c r="D548" s="9">
        <f>+Tabla114[[#This Row],[PRECIO INSTALADOR (IVA INCLUIDO)]]-Tabla114[[#This Row],[DCTO TIENDA]]</f>
        <v>26782.21</v>
      </c>
      <c r="E548" s="9">
        <f>+Tabla114[[#This Row],[PRECIO INSTALADOR (IVA INCLUIDO)]]/0.7</f>
        <v>40274</v>
      </c>
      <c r="F548" s="8">
        <v>0.85</v>
      </c>
      <c r="G548" s="16">
        <f>+Tabla114[[#This Row],[COSTO]]*1.19</f>
        <v>23963.03</v>
      </c>
      <c r="H548" s="26">
        <f>+Tabla114[[#This Row],[PRECIO INSTALADOR (IVA INCLUIDO)]]*5%</f>
        <v>1409.5900000000001</v>
      </c>
      <c r="I548" s="25"/>
      <c r="J548" s="7">
        <v>20137</v>
      </c>
    </row>
    <row r="549" spans="1:10" ht="15" x14ac:dyDescent="0.25">
      <c r="A549" s="23" t="s">
        <v>1066</v>
      </c>
      <c r="B549" s="24" t="s">
        <v>1067</v>
      </c>
      <c r="C549" s="9">
        <f>+Tabla114[[#This Row],[COSTO CON IVA]]/Tabla114[[#This Row],[UTILIDAD]]</f>
        <v>28483</v>
      </c>
      <c r="D549" s="9">
        <f>+Tabla114[[#This Row],[PRECIO INSTALADOR (IVA INCLUIDO)]]-Tabla114[[#This Row],[DCTO TIENDA]]</f>
        <v>27058.85</v>
      </c>
      <c r="E549" s="9">
        <f>+Tabla114[[#This Row],[PRECIO INSTALADOR (IVA INCLUIDO)]]/0.7</f>
        <v>40690</v>
      </c>
      <c r="F549" s="8">
        <v>0.85</v>
      </c>
      <c r="G549" s="16">
        <f>+Tabla114[[#This Row],[COSTO]]*1.19</f>
        <v>24210.55</v>
      </c>
      <c r="H549" s="26">
        <f>+Tabla114[[#This Row],[PRECIO INSTALADOR (IVA INCLUIDO)]]*5%</f>
        <v>1424.15</v>
      </c>
      <c r="I549" s="25"/>
      <c r="J549" s="7">
        <v>20345</v>
      </c>
    </row>
    <row r="550" spans="1:10" ht="15" x14ac:dyDescent="0.25">
      <c r="A550" s="23" t="s">
        <v>1068</v>
      </c>
      <c r="B550" s="24" t="s">
        <v>1069</v>
      </c>
      <c r="C550" s="9">
        <f>+Tabla114[[#This Row],[COSTO CON IVA]]/Tabla114[[#This Row],[UTILIDAD]]</f>
        <v>34862.1</v>
      </c>
      <c r="D550" s="9">
        <f>+Tabla114[[#This Row],[PRECIO INSTALADOR (IVA INCLUIDO)]]-Tabla114[[#This Row],[DCTO TIENDA]]</f>
        <v>33118.994999999995</v>
      </c>
      <c r="E550" s="9">
        <f>+Tabla114[[#This Row],[PRECIO INSTALADOR (IVA INCLUIDO)]]/0.7</f>
        <v>49803</v>
      </c>
      <c r="F550" s="8">
        <v>0.85</v>
      </c>
      <c r="G550" s="16">
        <f>+Tabla114[[#This Row],[COSTO]]*1.19</f>
        <v>29632.785</v>
      </c>
      <c r="H550" s="26">
        <f>+Tabla114[[#This Row],[PRECIO INSTALADOR (IVA INCLUIDO)]]*5%</f>
        <v>1743.105</v>
      </c>
      <c r="I550" s="25"/>
      <c r="J550" s="7">
        <v>24901.5</v>
      </c>
    </row>
    <row r="551" spans="1:10" ht="15" x14ac:dyDescent="0.25">
      <c r="A551" s="23" t="s">
        <v>1070</v>
      </c>
      <c r="B551" s="24" t="s">
        <v>1071</v>
      </c>
      <c r="C551" s="9">
        <f>+Tabla114[[#This Row],[COSTO CON IVA]]/Tabla114[[#This Row],[UTILIDAD]]</f>
        <v>34862.1</v>
      </c>
      <c r="D551" s="9">
        <f>+Tabla114[[#This Row],[PRECIO INSTALADOR (IVA INCLUIDO)]]-Tabla114[[#This Row],[DCTO TIENDA]]</f>
        <v>33118.994999999995</v>
      </c>
      <c r="E551" s="9">
        <f>+Tabla114[[#This Row],[PRECIO INSTALADOR (IVA INCLUIDO)]]/0.7</f>
        <v>49803</v>
      </c>
      <c r="F551" s="8">
        <v>0.85</v>
      </c>
      <c r="G551" s="16">
        <f>+Tabla114[[#This Row],[COSTO]]*1.19</f>
        <v>29632.785</v>
      </c>
      <c r="H551" s="26">
        <f>+Tabla114[[#This Row],[PRECIO INSTALADOR (IVA INCLUIDO)]]*5%</f>
        <v>1743.105</v>
      </c>
      <c r="I551" s="25"/>
      <c r="J551" s="7">
        <v>24901.5</v>
      </c>
    </row>
    <row r="552" spans="1:10" ht="15" x14ac:dyDescent="0.25">
      <c r="A552" s="23" t="s">
        <v>1072</v>
      </c>
      <c r="B552" s="24" t="s">
        <v>1073</v>
      </c>
      <c r="C552" s="9">
        <f>+Tabla114[[#This Row],[COSTO CON IVA]]/Tabla114[[#This Row],[UTILIDAD]]</f>
        <v>12530.699999999999</v>
      </c>
      <c r="D552" s="9">
        <f>+Tabla114[[#This Row],[PRECIO INSTALADOR (IVA INCLUIDO)]]-Tabla114[[#This Row],[DCTO TIENDA]]</f>
        <v>11904.164999999999</v>
      </c>
      <c r="E552" s="9">
        <f>+Tabla114[[#This Row],[PRECIO INSTALADOR (IVA INCLUIDO)]]/0.7</f>
        <v>17901</v>
      </c>
      <c r="F552" s="8">
        <v>0.85</v>
      </c>
      <c r="G552" s="16">
        <f>+Tabla114[[#This Row],[COSTO]]*1.19</f>
        <v>10651.094999999999</v>
      </c>
      <c r="H552" s="26">
        <f>+Tabla114[[#This Row],[PRECIO INSTALADOR (IVA INCLUIDO)]]*5%</f>
        <v>626.53499999999997</v>
      </c>
      <c r="I552" s="25"/>
      <c r="J552" s="7">
        <v>8950.5</v>
      </c>
    </row>
    <row r="553" spans="1:10" ht="15" x14ac:dyDescent="0.25">
      <c r="A553" s="23" t="s">
        <v>1074</v>
      </c>
      <c r="B553" s="24" t="s">
        <v>1075</v>
      </c>
      <c r="C553" s="9">
        <f>+Tabla114[[#This Row],[COSTO CON IVA]]/Tabla114[[#This Row],[UTILIDAD]]</f>
        <v>12530.699999999999</v>
      </c>
      <c r="D553" s="9">
        <f>+Tabla114[[#This Row],[PRECIO INSTALADOR (IVA INCLUIDO)]]-Tabla114[[#This Row],[DCTO TIENDA]]</f>
        <v>11904.164999999999</v>
      </c>
      <c r="E553" s="9">
        <f>+Tabla114[[#This Row],[PRECIO INSTALADOR (IVA INCLUIDO)]]/0.7</f>
        <v>17901</v>
      </c>
      <c r="F553" s="8">
        <v>0.85</v>
      </c>
      <c r="G553" s="16">
        <f>+Tabla114[[#This Row],[COSTO]]*1.19</f>
        <v>10651.094999999999</v>
      </c>
      <c r="H553" s="26">
        <f>+Tabla114[[#This Row],[PRECIO INSTALADOR (IVA INCLUIDO)]]*5%</f>
        <v>626.53499999999997</v>
      </c>
      <c r="I553" s="25"/>
      <c r="J553" s="7">
        <v>8950.5</v>
      </c>
    </row>
    <row r="554" spans="1:10" ht="15" x14ac:dyDescent="0.25">
      <c r="A554" s="23" t="s">
        <v>1076</v>
      </c>
      <c r="B554" s="24" t="s">
        <v>1077</v>
      </c>
      <c r="C554" s="9">
        <f>+Tabla114[[#This Row],[COSTO CON IVA]]/Tabla114[[#This Row],[UTILIDAD]]</f>
        <v>13504.4</v>
      </c>
      <c r="D554" s="9">
        <f>+Tabla114[[#This Row],[PRECIO INSTALADOR (IVA INCLUIDO)]]-Tabla114[[#This Row],[DCTO TIENDA]]</f>
        <v>12829.18</v>
      </c>
      <c r="E554" s="9">
        <f>+Tabla114[[#This Row],[PRECIO INSTALADOR (IVA INCLUIDO)]]/0.7</f>
        <v>19292</v>
      </c>
      <c r="F554" s="8">
        <v>0.85</v>
      </c>
      <c r="G554" s="16">
        <f>+Tabla114[[#This Row],[COSTO]]*1.19</f>
        <v>11478.74</v>
      </c>
      <c r="H554" s="26">
        <f>+Tabla114[[#This Row],[PRECIO INSTALADOR (IVA INCLUIDO)]]*5%</f>
        <v>675.22</v>
      </c>
      <c r="I554" s="25"/>
      <c r="J554" s="7">
        <v>9646</v>
      </c>
    </row>
    <row r="555" spans="1:10" ht="15" x14ac:dyDescent="0.25">
      <c r="A555" s="23" t="s">
        <v>1078</v>
      </c>
      <c r="B555" s="24" t="s">
        <v>1079</v>
      </c>
      <c r="C555" s="9">
        <f>+Tabla114[[#This Row],[COSTO CON IVA]]/Tabla114[[#This Row],[UTILIDAD]]</f>
        <v>13504.4</v>
      </c>
      <c r="D555" s="9">
        <f>+Tabla114[[#This Row],[PRECIO INSTALADOR (IVA INCLUIDO)]]-Tabla114[[#This Row],[DCTO TIENDA]]</f>
        <v>12829.18</v>
      </c>
      <c r="E555" s="9">
        <f>+Tabla114[[#This Row],[PRECIO INSTALADOR (IVA INCLUIDO)]]/0.7</f>
        <v>19292</v>
      </c>
      <c r="F555" s="8">
        <v>0.85</v>
      </c>
      <c r="G555" s="16">
        <f>+Tabla114[[#This Row],[COSTO]]*1.19</f>
        <v>11478.74</v>
      </c>
      <c r="H555" s="26">
        <f>+Tabla114[[#This Row],[PRECIO INSTALADOR (IVA INCLUIDO)]]*5%</f>
        <v>675.22</v>
      </c>
      <c r="I555" s="25"/>
      <c r="J555" s="7">
        <v>9646</v>
      </c>
    </row>
    <row r="556" spans="1:10" ht="15" x14ac:dyDescent="0.25">
      <c r="A556" s="23" t="s">
        <v>1080</v>
      </c>
      <c r="B556" s="24" t="s">
        <v>1081</v>
      </c>
      <c r="C556" s="9">
        <f>+Tabla114[[#This Row],[COSTO CON IVA]]/Tabla114[[#This Row],[UTILIDAD]]</f>
        <v>14541.8</v>
      </c>
      <c r="D556" s="9">
        <f>+Tabla114[[#This Row],[PRECIO INSTALADOR (IVA INCLUIDO)]]-Tabla114[[#This Row],[DCTO TIENDA]]</f>
        <v>13814.71</v>
      </c>
      <c r="E556" s="9">
        <f>+Tabla114[[#This Row],[PRECIO INSTALADOR (IVA INCLUIDO)]]/0.7</f>
        <v>20774</v>
      </c>
      <c r="F556" s="8">
        <v>0.85</v>
      </c>
      <c r="G556" s="16">
        <f>+Tabla114[[#This Row],[COSTO]]*1.19</f>
        <v>12360.529999999999</v>
      </c>
      <c r="H556" s="26">
        <f>+Tabla114[[#This Row],[PRECIO INSTALADOR (IVA INCLUIDO)]]*5%</f>
        <v>727.09</v>
      </c>
      <c r="I556" s="25"/>
      <c r="J556" s="7">
        <v>10387</v>
      </c>
    </row>
    <row r="557" spans="1:10" ht="15" x14ac:dyDescent="0.25">
      <c r="A557" s="23" t="s">
        <v>1082</v>
      </c>
      <c r="B557" s="24" t="s">
        <v>1083</v>
      </c>
      <c r="C557" s="9">
        <f>+Tabla114[[#This Row],[COSTO CON IVA]]/Tabla114[[#This Row],[UTILIDAD]]</f>
        <v>14541.8</v>
      </c>
      <c r="D557" s="9">
        <f>+Tabla114[[#This Row],[PRECIO INSTALADOR (IVA INCLUIDO)]]-Tabla114[[#This Row],[DCTO TIENDA]]</f>
        <v>13814.71</v>
      </c>
      <c r="E557" s="9">
        <f>+Tabla114[[#This Row],[PRECIO INSTALADOR (IVA INCLUIDO)]]/0.7</f>
        <v>20774</v>
      </c>
      <c r="F557" s="8">
        <v>0.85</v>
      </c>
      <c r="G557" s="16">
        <f>+Tabla114[[#This Row],[COSTO]]*1.19</f>
        <v>12360.529999999999</v>
      </c>
      <c r="H557" s="26">
        <f>+Tabla114[[#This Row],[PRECIO INSTALADOR (IVA INCLUIDO)]]*5%</f>
        <v>727.09</v>
      </c>
      <c r="I557" s="25"/>
      <c r="J557" s="7">
        <v>10387</v>
      </c>
    </row>
    <row r="558" spans="1:10" ht="15" x14ac:dyDescent="0.25">
      <c r="A558" s="23" t="s">
        <v>1084</v>
      </c>
      <c r="B558" s="24" t="s">
        <v>1085</v>
      </c>
      <c r="C558" s="9">
        <f>+Tabla114[[#This Row],[COSTO CON IVA]]/Tabla114[[#This Row],[UTILIDAD]]</f>
        <v>25061.399999999998</v>
      </c>
      <c r="D558" s="9">
        <f>+Tabla114[[#This Row],[PRECIO INSTALADOR (IVA INCLUIDO)]]-Tabla114[[#This Row],[DCTO TIENDA]]</f>
        <v>23808.329999999998</v>
      </c>
      <c r="E558" s="9">
        <f>+Tabla114[[#This Row],[PRECIO INSTALADOR (IVA INCLUIDO)]]/0.7</f>
        <v>35802</v>
      </c>
      <c r="F558" s="8">
        <v>0.85</v>
      </c>
      <c r="G558" s="16">
        <f>+Tabla114[[#This Row],[COSTO]]*1.19</f>
        <v>21302.19</v>
      </c>
      <c r="H558" s="26">
        <f>+Tabla114[[#This Row],[PRECIO INSTALADOR (IVA INCLUIDO)]]*5%</f>
        <v>1253.07</v>
      </c>
      <c r="I558" s="25"/>
      <c r="J558" s="7">
        <v>17901</v>
      </c>
    </row>
    <row r="559" spans="1:10" ht="15" x14ac:dyDescent="0.25">
      <c r="A559" s="23" t="s">
        <v>1086</v>
      </c>
      <c r="B559" s="24" t="s">
        <v>1087</v>
      </c>
      <c r="C559" s="9">
        <f>+Tabla114[[#This Row],[COSTO CON IVA]]/Tabla114[[#This Row],[UTILIDAD]]</f>
        <v>25061.399999999998</v>
      </c>
      <c r="D559" s="9">
        <f>+Tabla114[[#This Row],[PRECIO INSTALADOR (IVA INCLUIDO)]]-Tabla114[[#This Row],[DCTO TIENDA]]</f>
        <v>23808.329999999998</v>
      </c>
      <c r="E559" s="9">
        <f>+Tabla114[[#This Row],[PRECIO INSTALADOR (IVA INCLUIDO)]]/0.7</f>
        <v>35802</v>
      </c>
      <c r="F559" s="8">
        <v>0.85</v>
      </c>
      <c r="G559" s="16">
        <f>+Tabla114[[#This Row],[COSTO]]*1.19</f>
        <v>21302.19</v>
      </c>
      <c r="H559" s="26">
        <f>+Tabla114[[#This Row],[PRECIO INSTALADOR (IVA INCLUIDO)]]*5%</f>
        <v>1253.07</v>
      </c>
      <c r="I559" s="25"/>
      <c r="J559" s="7">
        <v>17901</v>
      </c>
    </row>
    <row r="560" spans="1:10" ht="15" x14ac:dyDescent="0.25">
      <c r="A560" s="23" t="s">
        <v>1088</v>
      </c>
      <c r="B560" s="24" t="s">
        <v>1089</v>
      </c>
      <c r="C560" s="9">
        <f>+Tabla114[[#This Row],[COSTO CON IVA]]/Tabla114[[#This Row],[UTILIDAD]]</f>
        <v>27008.799999999999</v>
      </c>
      <c r="D560" s="9">
        <f>+Tabla114[[#This Row],[PRECIO INSTALADOR (IVA INCLUIDO)]]-Tabla114[[#This Row],[DCTO TIENDA]]</f>
        <v>25658.36</v>
      </c>
      <c r="E560" s="9">
        <f>+Tabla114[[#This Row],[PRECIO INSTALADOR (IVA INCLUIDO)]]/0.7</f>
        <v>38584</v>
      </c>
      <c r="F560" s="8">
        <v>0.85</v>
      </c>
      <c r="G560" s="16">
        <f>+Tabla114[[#This Row],[COSTO]]*1.19</f>
        <v>22957.48</v>
      </c>
      <c r="H560" s="26">
        <f>+Tabla114[[#This Row],[PRECIO INSTALADOR (IVA INCLUIDO)]]*5%</f>
        <v>1350.44</v>
      </c>
      <c r="I560" s="25"/>
      <c r="J560" s="7">
        <v>19292</v>
      </c>
    </row>
    <row r="561" spans="1:10" ht="15" x14ac:dyDescent="0.25">
      <c r="A561" s="23" t="s">
        <v>1090</v>
      </c>
      <c r="B561" s="24" t="s">
        <v>1091</v>
      </c>
      <c r="C561" s="9">
        <f>+Tabla114[[#This Row],[COSTO CON IVA]]/Tabla114[[#This Row],[UTILIDAD]]</f>
        <v>27008.799999999999</v>
      </c>
      <c r="D561" s="9">
        <f>+Tabla114[[#This Row],[PRECIO INSTALADOR (IVA INCLUIDO)]]-Tabla114[[#This Row],[DCTO TIENDA]]</f>
        <v>25658.36</v>
      </c>
      <c r="E561" s="9">
        <f>+Tabla114[[#This Row],[PRECIO INSTALADOR (IVA INCLUIDO)]]/0.7</f>
        <v>38584</v>
      </c>
      <c r="F561" s="8">
        <v>0.85</v>
      </c>
      <c r="G561" s="16">
        <f>+Tabla114[[#This Row],[COSTO]]*1.19</f>
        <v>22957.48</v>
      </c>
      <c r="H561" s="26">
        <f>+Tabla114[[#This Row],[PRECIO INSTALADOR (IVA INCLUIDO)]]*5%</f>
        <v>1350.44</v>
      </c>
      <c r="I561" s="25"/>
      <c r="J561" s="7">
        <v>19292</v>
      </c>
    </row>
    <row r="562" spans="1:10" ht="15" x14ac:dyDescent="0.25">
      <c r="A562" s="23" t="s">
        <v>1092</v>
      </c>
      <c r="B562" s="24" t="s">
        <v>1093</v>
      </c>
      <c r="C562" s="9">
        <f>+Tabla114[[#This Row],[COSTO CON IVA]]/Tabla114[[#This Row],[UTILIDAD]]</f>
        <v>29083.599999999999</v>
      </c>
      <c r="D562" s="9">
        <f>+Tabla114[[#This Row],[PRECIO INSTALADOR (IVA INCLUIDO)]]-Tabla114[[#This Row],[DCTO TIENDA]]</f>
        <v>27629.42</v>
      </c>
      <c r="E562" s="9">
        <f>+Tabla114[[#This Row],[PRECIO INSTALADOR (IVA INCLUIDO)]]/0.7</f>
        <v>41548</v>
      </c>
      <c r="F562" s="8">
        <v>0.85</v>
      </c>
      <c r="G562" s="16">
        <f>+Tabla114[[#This Row],[COSTO]]*1.19</f>
        <v>24721.059999999998</v>
      </c>
      <c r="H562" s="26">
        <f>+Tabla114[[#This Row],[PRECIO INSTALADOR (IVA INCLUIDO)]]*5%</f>
        <v>1454.18</v>
      </c>
      <c r="I562" s="25"/>
      <c r="J562" s="7">
        <v>20774</v>
      </c>
    </row>
    <row r="563" spans="1:10" ht="15" x14ac:dyDescent="0.25">
      <c r="A563" s="23" t="s">
        <v>1094</v>
      </c>
      <c r="B563" s="24" t="s">
        <v>1095</v>
      </c>
      <c r="C563" s="9">
        <f>+Tabla114[[#This Row],[COSTO CON IVA]]/Tabla114[[#This Row],[UTILIDAD]]</f>
        <v>29083.599999999999</v>
      </c>
      <c r="D563" s="9">
        <f>+Tabla114[[#This Row],[PRECIO INSTALADOR (IVA INCLUIDO)]]-Tabla114[[#This Row],[DCTO TIENDA]]</f>
        <v>27629.42</v>
      </c>
      <c r="E563" s="9">
        <f>+Tabla114[[#This Row],[PRECIO INSTALADOR (IVA INCLUIDO)]]/0.7</f>
        <v>41548</v>
      </c>
      <c r="F563" s="8">
        <v>0.85</v>
      </c>
      <c r="G563" s="16">
        <f>+Tabla114[[#This Row],[COSTO]]*1.19</f>
        <v>24721.059999999998</v>
      </c>
      <c r="H563" s="26">
        <f>+Tabla114[[#This Row],[PRECIO INSTALADOR (IVA INCLUIDO)]]*5%</f>
        <v>1454.18</v>
      </c>
      <c r="I563" s="25"/>
      <c r="J563" s="7">
        <v>20774</v>
      </c>
    </row>
    <row r="564" spans="1:10" ht="15" x14ac:dyDescent="0.25">
      <c r="A564" s="23" t="s">
        <v>1096</v>
      </c>
      <c r="B564" s="24" t="s">
        <v>1097</v>
      </c>
      <c r="C564" s="9">
        <f>+Tabla114[[#This Row],[COSTO CON IVA]]/Tabla114[[#This Row],[UTILIDAD]]</f>
        <v>37592.1</v>
      </c>
      <c r="D564" s="9">
        <f>+Tabla114[[#This Row],[PRECIO INSTALADOR (IVA INCLUIDO)]]-Tabla114[[#This Row],[DCTO TIENDA]]</f>
        <v>35712.494999999995</v>
      </c>
      <c r="E564" s="9">
        <f>+Tabla114[[#This Row],[PRECIO INSTALADOR (IVA INCLUIDO)]]/0.7</f>
        <v>53703</v>
      </c>
      <c r="F564" s="8">
        <v>0.85</v>
      </c>
      <c r="G564" s="16">
        <f>+Tabla114[[#This Row],[COSTO]]*1.19</f>
        <v>31953.285</v>
      </c>
      <c r="H564" s="26">
        <f>+Tabla114[[#This Row],[PRECIO INSTALADOR (IVA INCLUIDO)]]*5%</f>
        <v>1879.605</v>
      </c>
      <c r="I564" s="25"/>
      <c r="J564" s="7">
        <v>26851.5</v>
      </c>
    </row>
    <row r="565" spans="1:10" ht="15" x14ac:dyDescent="0.25">
      <c r="A565" s="23" t="s">
        <v>1098</v>
      </c>
      <c r="B565" s="24" t="s">
        <v>1099</v>
      </c>
      <c r="C565" s="9">
        <f>+Tabla114[[#This Row],[COSTO CON IVA]]/Tabla114[[#This Row],[UTILIDAD]]</f>
        <v>37592.1</v>
      </c>
      <c r="D565" s="9">
        <f>+Tabla114[[#This Row],[PRECIO INSTALADOR (IVA INCLUIDO)]]-Tabla114[[#This Row],[DCTO TIENDA]]</f>
        <v>35712.494999999995</v>
      </c>
      <c r="E565" s="9">
        <f>+Tabla114[[#This Row],[PRECIO INSTALADOR (IVA INCLUIDO)]]/0.7</f>
        <v>53703</v>
      </c>
      <c r="F565" s="8">
        <v>0.85</v>
      </c>
      <c r="G565" s="16">
        <f>+Tabla114[[#This Row],[COSTO]]*1.19</f>
        <v>31953.285</v>
      </c>
      <c r="H565" s="26">
        <f>+Tabla114[[#This Row],[PRECIO INSTALADOR (IVA INCLUIDO)]]*5%</f>
        <v>1879.605</v>
      </c>
      <c r="I565" s="25"/>
      <c r="J565" s="7">
        <v>26851.5</v>
      </c>
    </row>
    <row r="566" spans="1:10" ht="15" x14ac:dyDescent="0.25">
      <c r="A566" s="23" t="s">
        <v>1100</v>
      </c>
      <c r="B566" s="24" t="s">
        <v>1101</v>
      </c>
      <c r="C566" s="9">
        <f>+Tabla114[[#This Row],[COSTO CON IVA]]/Tabla114[[#This Row],[UTILIDAD]]</f>
        <v>39530.399999999994</v>
      </c>
      <c r="D566" s="9">
        <f>+Tabla114[[#This Row],[PRECIO INSTALADOR (IVA INCLUIDO)]]-Tabla114[[#This Row],[DCTO TIENDA]]</f>
        <v>37553.879999999997</v>
      </c>
      <c r="E566" s="9">
        <f>+Tabla114[[#This Row],[PRECIO INSTALADOR (IVA INCLUIDO)]]/0.7</f>
        <v>56471.999999999993</v>
      </c>
      <c r="F566" s="8">
        <v>0.85</v>
      </c>
      <c r="G566" s="16">
        <f>+Tabla114[[#This Row],[COSTO]]*1.19</f>
        <v>33600.839999999997</v>
      </c>
      <c r="H566" s="26">
        <f>+Tabla114[[#This Row],[PRECIO INSTALADOR (IVA INCLUIDO)]]*5%</f>
        <v>1976.5199999999998</v>
      </c>
      <c r="I566" s="25"/>
      <c r="J566" s="7">
        <v>28236</v>
      </c>
    </row>
    <row r="567" spans="1:10" ht="15" x14ac:dyDescent="0.25">
      <c r="A567" s="23" t="s">
        <v>1102</v>
      </c>
      <c r="B567" s="24" t="s">
        <v>1103</v>
      </c>
      <c r="C567" s="9">
        <f>+Tabla114[[#This Row],[COSTO CON IVA]]/Tabla114[[#This Row],[UTILIDAD]]</f>
        <v>39530.399999999994</v>
      </c>
      <c r="D567" s="9">
        <f>+Tabla114[[#This Row],[PRECIO INSTALADOR (IVA INCLUIDO)]]-Tabla114[[#This Row],[DCTO TIENDA]]</f>
        <v>37553.879999999997</v>
      </c>
      <c r="E567" s="9">
        <f>+Tabla114[[#This Row],[PRECIO INSTALADOR (IVA INCLUIDO)]]/0.7</f>
        <v>56471.999999999993</v>
      </c>
      <c r="F567" s="8">
        <v>0.85</v>
      </c>
      <c r="G567" s="16">
        <f>+Tabla114[[#This Row],[COSTO]]*1.19</f>
        <v>33600.839999999997</v>
      </c>
      <c r="H567" s="26">
        <f>+Tabla114[[#This Row],[PRECIO INSTALADOR (IVA INCLUIDO)]]*5%</f>
        <v>1976.5199999999998</v>
      </c>
      <c r="I567" s="25"/>
      <c r="J567" s="7">
        <v>28236</v>
      </c>
    </row>
    <row r="568" spans="1:10" ht="15" x14ac:dyDescent="0.25">
      <c r="A568" s="23" t="s">
        <v>1104</v>
      </c>
      <c r="B568" s="24" t="s">
        <v>1105</v>
      </c>
      <c r="C568" s="9">
        <f>+Tabla114[[#This Row],[COSTO CON IVA]]/Tabla114[[#This Row],[UTILIDAD]]</f>
        <v>43625.399999999994</v>
      </c>
      <c r="D568" s="9">
        <f>+Tabla114[[#This Row],[PRECIO INSTALADOR (IVA INCLUIDO)]]-Tabla114[[#This Row],[DCTO TIENDA]]</f>
        <v>41444.129999999997</v>
      </c>
      <c r="E568" s="9">
        <f>+Tabla114[[#This Row],[PRECIO INSTALADOR (IVA INCLUIDO)]]/0.7</f>
        <v>62321.999999999993</v>
      </c>
      <c r="F568" s="8">
        <v>0.85</v>
      </c>
      <c r="G568" s="16">
        <f>+Tabla114[[#This Row],[COSTO]]*1.19</f>
        <v>37081.589999999997</v>
      </c>
      <c r="H568" s="26">
        <f>+Tabla114[[#This Row],[PRECIO INSTALADOR (IVA INCLUIDO)]]*5%</f>
        <v>2181.27</v>
      </c>
      <c r="I568" s="25"/>
      <c r="J568" s="7">
        <v>31161</v>
      </c>
    </row>
    <row r="569" spans="1:10" ht="15" x14ac:dyDescent="0.25">
      <c r="A569" s="23" t="s">
        <v>1106</v>
      </c>
      <c r="B569" s="24" t="s">
        <v>1107</v>
      </c>
      <c r="C569" s="9">
        <f>+Tabla114[[#This Row],[COSTO CON IVA]]/Tabla114[[#This Row],[UTILIDAD]]</f>
        <v>43625.399999999994</v>
      </c>
      <c r="D569" s="9">
        <f>+Tabla114[[#This Row],[PRECIO INSTALADOR (IVA INCLUIDO)]]-Tabla114[[#This Row],[DCTO TIENDA]]</f>
        <v>41444.129999999997</v>
      </c>
      <c r="E569" s="9">
        <f>+Tabla114[[#This Row],[PRECIO INSTALADOR (IVA INCLUIDO)]]/0.7</f>
        <v>62321.999999999993</v>
      </c>
      <c r="F569" s="8">
        <v>0.85</v>
      </c>
      <c r="G569" s="16">
        <f>+Tabla114[[#This Row],[COSTO]]*1.19</f>
        <v>37081.589999999997</v>
      </c>
      <c r="H569" s="26">
        <f>+Tabla114[[#This Row],[PRECIO INSTALADOR (IVA INCLUIDO)]]*5%</f>
        <v>2181.27</v>
      </c>
      <c r="I569" s="25"/>
      <c r="J569" s="7">
        <v>31161</v>
      </c>
    </row>
    <row r="570" spans="1:10" ht="15" x14ac:dyDescent="0.25">
      <c r="A570" s="23" t="s">
        <v>1108</v>
      </c>
      <c r="B570" s="24" t="s">
        <v>1109</v>
      </c>
      <c r="C570" s="9">
        <f>+Tabla114[[#This Row],[COSTO CON IVA]]/Tabla114[[#This Row],[UTILIDAD]]</f>
        <v>11233.95</v>
      </c>
      <c r="D570" s="9">
        <f>+Tabla114[[#This Row],[PRECIO INSTALADOR (IVA INCLUIDO)]]-Tabla114[[#This Row],[DCTO TIENDA]]</f>
        <v>10672.252500000001</v>
      </c>
      <c r="E570" s="9">
        <f>+Tabla114[[#This Row],[PRECIO INSTALADOR (IVA INCLUIDO)]]/0.7</f>
        <v>16048.500000000002</v>
      </c>
      <c r="F570" s="8">
        <v>0.85</v>
      </c>
      <c r="G570" s="16">
        <f>+Tabla114[[#This Row],[COSTO]]*1.19</f>
        <v>9548.8575000000001</v>
      </c>
      <c r="H570" s="26">
        <f>+Tabla114[[#This Row],[PRECIO INSTALADOR (IVA INCLUIDO)]]*5%</f>
        <v>561.6975000000001</v>
      </c>
      <c r="I570" s="25"/>
      <c r="J570" s="7">
        <v>8024.25</v>
      </c>
    </row>
    <row r="571" spans="1:10" ht="15" x14ac:dyDescent="0.25">
      <c r="A571" s="23" t="s">
        <v>1110</v>
      </c>
      <c r="B571" s="24" t="s">
        <v>1111</v>
      </c>
      <c r="C571" s="9">
        <f>+Tabla114[[#This Row],[COSTO CON IVA]]/Tabla114[[#This Row],[UTILIDAD]]</f>
        <v>11233.95</v>
      </c>
      <c r="D571" s="9">
        <f>+Tabla114[[#This Row],[PRECIO INSTALADOR (IVA INCLUIDO)]]-Tabla114[[#This Row],[DCTO TIENDA]]</f>
        <v>10672.252500000001</v>
      </c>
      <c r="E571" s="9">
        <f>+Tabla114[[#This Row],[PRECIO INSTALADOR (IVA INCLUIDO)]]/0.7</f>
        <v>16048.500000000002</v>
      </c>
      <c r="F571" s="8">
        <v>0.85</v>
      </c>
      <c r="G571" s="16">
        <f>+Tabla114[[#This Row],[COSTO]]*1.19</f>
        <v>9548.8575000000001</v>
      </c>
      <c r="H571" s="26">
        <f>+Tabla114[[#This Row],[PRECIO INSTALADOR (IVA INCLUIDO)]]*5%</f>
        <v>561.6975000000001</v>
      </c>
      <c r="I571" s="25"/>
      <c r="J571" s="7">
        <v>8024.25</v>
      </c>
    </row>
    <row r="572" spans="1:10" ht="15" x14ac:dyDescent="0.25">
      <c r="A572" s="23" t="s">
        <v>1112</v>
      </c>
      <c r="B572" s="24" t="s">
        <v>1113</v>
      </c>
      <c r="C572" s="9">
        <f>+Tabla114[[#This Row],[COSTO CON IVA]]/Tabla114[[#This Row],[UTILIDAD]]</f>
        <v>12089.35</v>
      </c>
      <c r="D572" s="9">
        <f>+Tabla114[[#This Row],[PRECIO INSTALADOR (IVA INCLUIDO)]]-Tabla114[[#This Row],[DCTO TIENDA]]</f>
        <v>11484.8825</v>
      </c>
      <c r="E572" s="9">
        <f>+Tabla114[[#This Row],[PRECIO INSTALADOR (IVA INCLUIDO)]]/0.7</f>
        <v>17270.5</v>
      </c>
      <c r="F572" s="8">
        <v>0.85</v>
      </c>
      <c r="G572" s="16">
        <f>+Tabla114[[#This Row],[COSTO]]*1.19</f>
        <v>10275.9475</v>
      </c>
      <c r="H572" s="26">
        <f>+Tabla114[[#This Row],[PRECIO INSTALADOR (IVA INCLUIDO)]]*5%</f>
        <v>604.46750000000009</v>
      </c>
      <c r="I572" s="25"/>
      <c r="J572" s="7">
        <v>8635.25</v>
      </c>
    </row>
    <row r="573" spans="1:10" ht="15" x14ac:dyDescent="0.25">
      <c r="A573" s="23" t="s">
        <v>1114</v>
      </c>
      <c r="B573" s="24" t="s">
        <v>1115</v>
      </c>
      <c r="C573" s="9">
        <f>+Tabla114[[#This Row],[COSTO CON IVA]]/Tabla114[[#This Row],[UTILIDAD]]</f>
        <v>12089.35</v>
      </c>
      <c r="D573" s="9">
        <f>+Tabla114[[#This Row],[PRECIO INSTALADOR (IVA INCLUIDO)]]-Tabla114[[#This Row],[DCTO TIENDA]]</f>
        <v>11484.8825</v>
      </c>
      <c r="E573" s="9">
        <f>+Tabla114[[#This Row],[PRECIO INSTALADOR (IVA INCLUIDO)]]/0.7</f>
        <v>17270.5</v>
      </c>
      <c r="F573" s="8">
        <v>0.85</v>
      </c>
      <c r="G573" s="16">
        <f>+Tabla114[[#This Row],[COSTO]]*1.19</f>
        <v>10275.9475</v>
      </c>
      <c r="H573" s="26">
        <f>+Tabla114[[#This Row],[PRECIO INSTALADOR (IVA INCLUIDO)]]*5%</f>
        <v>604.46750000000009</v>
      </c>
      <c r="I573" s="25"/>
      <c r="J573" s="7">
        <v>8635.25</v>
      </c>
    </row>
    <row r="574" spans="1:10" ht="15" x14ac:dyDescent="0.25">
      <c r="A574" s="23" t="s">
        <v>1116</v>
      </c>
      <c r="B574" s="24" t="s">
        <v>1117</v>
      </c>
      <c r="C574" s="9">
        <f>+Tabla114[[#This Row],[COSTO CON IVA]]/Tabla114[[#This Row],[UTILIDAD]]</f>
        <v>13650</v>
      </c>
      <c r="D574" s="9">
        <f>+Tabla114[[#This Row],[PRECIO INSTALADOR (IVA INCLUIDO)]]-Tabla114[[#This Row],[DCTO TIENDA]]</f>
        <v>12967.5</v>
      </c>
      <c r="E574" s="9">
        <f>+Tabla114[[#This Row],[PRECIO INSTALADOR (IVA INCLUIDO)]]/0.7</f>
        <v>19500</v>
      </c>
      <c r="F574" s="8">
        <v>0.85</v>
      </c>
      <c r="G574" s="16">
        <f>+Tabla114[[#This Row],[COSTO]]*1.19</f>
        <v>11602.5</v>
      </c>
      <c r="H574" s="26">
        <f>+Tabla114[[#This Row],[PRECIO INSTALADOR (IVA INCLUIDO)]]*5%</f>
        <v>682.5</v>
      </c>
      <c r="I574" s="25"/>
      <c r="J574" s="7">
        <v>9750</v>
      </c>
    </row>
    <row r="575" spans="1:10" ht="15" x14ac:dyDescent="0.25">
      <c r="A575" s="23" t="s">
        <v>1118</v>
      </c>
      <c r="B575" s="24" t="s">
        <v>1119</v>
      </c>
      <c r="C575" s="9">
        <f>+Tabla114[[#This Row],[COSTO CON IVA]]/Tabla114[[#This Row],[UTILIDAD]]</f>
        <v>13650</v>
      </c>
      <c r="D575" s="9">
        <f>+Tabla114[[#This Row],[PRECIO INSTALADOR (IVA INCLUIDO)]]-Tabla114[[#This Row],[DCTO TIENDA]]</f>
        <v>12967.5</v>
      </c>
      <c r="E575" s="9">
        <f>+Tabla114[[#This Row],[PRECIO INSTALADOR (IVA INCLUIDO)]]/0.7</f>
        <v>19500</v>
      </c>
      <c r="F575" s="8">
        <v>0.85</v>
      </c>
      <c r="G575" s="16">
        <f>+Tabla114[[#This Row],[COSTO]]*1.19</f>
        <v>11602.5</v>
      </c>
      <c r="H575" s="26">
        <f>+Tabla114[[#This Row],[PRECIO INSTALADOR (IVA INCLUIDO)]]*5%</f>
        <v>682.5</v>
      </c>
      <c r="I575" s="25"/>
      <c r="J575" s="7">
        <v>9750</v>
      </c>
    </row>
    <row r="576" spans="1:10" ht="15" x14ac:dyDescent="0.25">
      <c r="A576" s="23" t="s">
        <v>1120</v>
      </c>
      <c r="B576" s="24" t="s">
        <v>1121</v>
      </c>
      <c r="C576" s="9">
        <f>+Tabla114[[#This Row],[COSTO CON IVA]]/Tabla114[[#This Row],[UTILIDAD]]</f>
        <v>22467.9</v>
      </c>
      <c r="D576" s="9">
        <f>+Tabla114[[#This Row],[PRECIO INSTALADOR (IVA INCLUIDO)]]-Tabla114[[#This Row],[DCTO TIENDA]]</f>
        <v>21344.505000000001</v>
      </c>
      <c r="E576" s="9">
        <f>+Tabla114[[#This Row],[PRECIO INSTALADOR (IVA INCLUIDO)]]/0.7</f>
        <v>32097.000000000004</v>
      </c>
      <c r="F576" s="8">
        <v>0.85</v>
      </c>
      <c r="G576" s="16">
        <f>+Tabla114[[#This Row],[COSTO]]*1.19</f>
        <v>19097.715</v>
      </c>
      <c r="H576" s="26">
        <f>+Tabla114[[#This Row],[PRECIO INSTALADOR (IVA INCLUIDO)]]*5%</f>
        <v>1123.3950000000002</v>
      </c>
      <c r="I576" s="25"/>
      <c r="J576" s="7">
        <v>16048.5</v>
      </c>
    </row>
    <row r="577" spans="1:10" ht="15" x14ac:dyDescent="0.25">
      <c r="A577" s="23" t="s">
        <v>1122</v>
      </c>
      <c r="B577" s="24" t="s">
        <v>1123</v>
      </c>
      <c r="C577" s="9">
        <f>+Tabla114[[#This Row],[COSTO CON IVA]]/Tabla114[[#This Row],[UTILIDAD]]</f>
        <v>22467.9</v>
      </c>
      <c r="D577" s="9">
        <f>+Tabla114[[#This Row],[PRECIO INSTALADOR (IVA INCLUIDO)]]-Tabla114[[#This Row],[DCTO TIENDA]]</f>
        <v>21344.505000000001</v>
      </c>
      <c r="E577" s="9">
        <f>+Tabla114[[#This Row],[PRECIO INSTALADOR (IVA INCLUIDO)]]/0.7</f>
        <v>32097.000000000004</v>
      </c>
      <c r="F577" s="8">
        <v>0.85</v>
      </c>
      <c r="G577" s="16">
        <f>+Tabla114[[#This Row],[COSTO]]*1.19</f>
        <v>19097.715</v>
      </c>
      <c r="H577" s="26">
        <f>+Tabla114[[#This Row],[PRECIO INSTALADOR (IVA INCLUIDO)]]*5%</f>
        <v>1123.3950000000002</v>
      </c>
      <c r="I577" s="25"/>
      <c r="J577" s="7">
        <v>16048.5</v>
      </c>
    </row>
    <row r="578" spans="1:10" ht="15" x14ac:dyDescent="0.25">
      <c r="A578" s="23" t="s">
        <v>1124</v>
      </c>
      <c r="B578" s="24" t="s">
        <v>1125</v>
      </c>
      <c r="C578" s="9">
        <f>+Tabla114[[#This Row],[COSTO CON IVA]]/Tabla114[[#This Row],[UTILIDAD]]</f>
        <v>24178.7</v>
      </c>
      <c r="D578" s="9">
        <f>+Tabla114[[#This Row],[PRECIO INSTALADOR (IVA INCLUIDO)]]-Tabla114[[#This Row],[DCTO TIENDA]]</f>
        <v>22969.764999999999</v>
      </c>
      <c r="E578" s="9">
        <f>+Tabla114[[#This Row],[PRECIO INSTALADOR (IVA INCLUIDO)]]/0.7</f>
        <v>34541</v>
      </c>
      <c r="F578" s="8">
        <v>0.85</v>
      </c>
      <c r="G578" s="16">
        <f>+Tabla114[[#This Row],[COSTO]]*1.19</f>
        <v>20551.895</v>
      </c>
      <c r="H578" s="26">
        <f>+Tabla114[[#This Row],[PRECIO INSTALADOR (IVA INCLUIDO)]]*5%</f>
        <v>1208.9350000000002</v>
      </c>
      <c r="I578" s="25"/>
      <c r="J578" s="7">
        <v>17270.5</v>
      </c>
    </row>
    <row r="579" spans="1:10" ht="15" x14ac:dyDescent="0.25">
      <c r="A579" s="23" t="s">
        <v>1126</v>
      </c>
      <c r="B579" s="24" t="s">
        <v>1127</v>
      </c>
      <c r="C579" s="9">
        <f>+Tabla114[[#This Row],[COSTO CON IVA]]/Tabla114[[#This Row],[UTILIDAD]]</f>
        <v>24178.7</v>
      </c>
      <c r="D579" s="9">
        <f>+Tabla114[[#This Row],[PRECIO INSTALADOR (IVA INCLUIDO)]]-Tabla114[[#This Row],[DCTO TIENDA]]</f>
        <v>22969.764999999999</v>
      </c>
      <c r="E579" s="9">
        <f>+Tabla114[[#This Row],[PRECIO INSTALADOR (IVA INCLUIDO)]]/0.7</f>
        <v>34541</v>
      </c>
      <c r="F579" s="8">
        <v>0.85</v>
      </c>
      <c r="G579" s="16">
        <f>+Tabla114[[#This Row],[COSTO]]*1.19</f>
        <v>20551.895</v>
      </c>
      <c r="H579" s="26">
        <f>+Tabla114[[#This Row],[PRECIO INSTALADOR (IVA INCLUIDO)]]*5%</f>
        <v>1208.9350000000002</v>
      </c>
      <c r="I579" s="25"/>
      <c r="J579" s="7">
        <v>17270.5</v>
      </c>
    </row>
    <row r="580" spans="1:10" ht="15" x14ac:dyDescent="0.25">
      <c r="A580" s="23" t="s">
        <v>1128</v>
      </c>
      <c r="B580" s="24" t="s">
        <v>1129</v>
      </c>
      <c r="C580" s="9">
        <f>+Tabla114[[#This Row],[COSTO CON IVA]]/Tabla114[[#This Row],[UTILIDAD]]</f>
        <v>27300</v>
      </c>
      <c r="D580" s="9">
        <f>+Tabla114[[#This Row],[PRECIO INSTALADOR (IVA INCLUIDO)]]-Tabla114[[#This Row],[DCTO TIENDA]]</f>
        <v>25935</v>
      </c>
      <c r="E580" s="9">
        <f>+Tabla114[[#This Row],[PRECIO INSTALADOR (IVA INCLUIDO)]]/0.7</f>
        <v>39000</v>
      </c>
      <c r="F580" s="8">
        <v>0.85</v>
      </c>
      <c r="G580" s="16">
        <f>+Tabla114[[#This Row],[COSTO]]*1.19</f>
        <v>23205</v>
      </c>
      <c r="H580" s="26">
        <f>+Tabla114[[#This Row],[PRECIO INSTALADOR (IVA INCLUIDO)]]*5%</f>
        <v>1365</v>
      </c>
      <c r="I580" s="25"/>
      <c r="J580" s="7">
        <v>19500</v>
      </c>
    </row>
    <row r="581" spans="1:10" ht="15" x14ac:dyDescent="0.25">
      <c r="A581" s="23" t="s">
        <v>1130</v>
      </c>
      <c r="B581" s="24" t="s">
        <v>1131</v>
      </c>
      <c r="C581" s="9">
        <f>+Tabla114[[#This Row],[COSTO CON IVA]]/Tabla114[[#This Row],[UTILIDAD]]</f>
        <v>27300</v>
      </c>
      <c r="D581" s="9">
        <f>+Tabla114[[#This Row],[PRECIO INSTALADOR (IVA INCLUIDO)]]-Tabla114[[#This Row],[DCTO TIENDA]]</f>
        <v>25935</v>
      </c>
      <c r="E581" s="9">
        <f>+Tabla114[[#This Row],[PRECIO INSTALADOR (IVA INCLUIDO)]]/0.7</f>
        <v>39000</v>
      </c>
      <c r="F581" s="8">
        <v>0.85</v>
      </c>
      <c r="G581" s="16">
        <f>+Tabla114[[#This Row],[COSTO]]*1.19</f>
        <v>23205</v>
      </c>
      <c r="H581" s="26">
        <f>+Tabla114[[#This Row],[PRECIO INSTALADOR (IVA INCLUIDO)]]*5%</f>
        <v>1365</v>
      </c>
      <c r="I581" s="25"/>
      <c r="J581" s="7">
        <v>19500</v>
      </c>
    </row>
    <row r="582" spans="1:10" ht="15" x14ac:dyDescent="0.25">
      <c r="A582" s="23" t="s">
        <v>1132</v>
      </c>
      <c r="B582" s="24" t="s">
        <v>1133</v>
      </c>
      <c r="C582" s="9">
        <f>+Tabla114[[#This Row],[COSTO CON IVA]]/Tabla114[[#This Row],[UTILIDAD]]</f>
        <v>34398</v>
      </c>
      <c r="D582" s="9">
        <f>+Tabla114[[#This Row],[PRECIO INSTALADOR (IVA INCLUIDO)]]-Tabla114[[#This Row],[DCTO TIENDA]]</f>
        <v>32678.1</v>
      </c>
      <c r="E582" s="9">
        <f>+Tabla114[[#This Row],[PRECIO INSTALADOR (IVA INCLUIDO)]]/0.7</f>
        <v>49140</v>
      </c>
      <c r="F582" s="8">
        <v>0.85</v>
      </c>
      <c r="G582" s="16">
        <f>+Tabla114[[#This Row],[COSTO]]*1.19</f>
        <v>29238.3</v>
      </c>
      <c r="H582" s="26">
        <f>+Tabla114[[#This Row],[PRECIO INSTALADOR (IVA INCLUIDO)]]*5%</f>
        <v>1719.9</v>
      </c>
      <c r="I582" s="25"/>
      <c r="J582" s="7">
        <v>24570</v>
      </c>
    </row>
    <row r="583" spans="1:10" ht="15" x14ac:dyDescent="0.25">
      <c r="A583" s="23" t="s">
        <v>1134</v>
      </c>
      <c r="B583" s="24" t="s">
        <v>1135</v>
      </c>
      <c r="C583" s="9">
        <f>+Tabla114[[#This Row],[COSTO CON IVA]]/Tabla114[[#This Row],[UTILIDAD]]</f>
        <v>34398</v>
      </c>
      <c r="D583" s="9">
        <f>+Tabla114[[#This Row],[PRECIO INSTALADOR (IVA INCLUIDO)]]-Tabla114[[#This Row],[DCTO TIENDA]]</f>
        <v>32678.1</v>
      </c>
      <c r="E583" s="9">
        <f>+Tabla114[[#This Row],[PRECIO INSTALADOR (IVA INCLUIDO)]]/0.7</f>
        <v>49140</v>
      </c>
      <c r="F583" s="8">
        <v>0.85</v>
      </c>
      <c r="G583" s="16">
        <f>+Tabla114[[#This Row],[COSTO]]*1.19</f>
        <v>29238.3</v>
      </c>
      <c r="H583" s="26">
        <f>+Tabla114[[#This Row],[PRECIO INSTALADOR (IVA INCLUIDO)]]*5%</f>
        <v>1719.9</v>
      </c>
      <c r="I583" s="25"/>
      <c r="J583" s="7">
        <v>24570</v>
      </c>
    </row>
    <row r="584" spans="1:10" ht="15" x14ac:dyDescent="0.25">
      <c r="A584" s="23" t="s">
        <v>1136</v>
      </c>
      <c r="B584" s="24" t="s">
        <v>1137</v>
      </c>
      <c r="C584" s="9">
        <f>+Tabla114[[#This Row],[COSTO CON IVA]]/Tabla114[[#This Row],[UTILIDAD]]</f>
        <v>37082.5</v>
      </c>
      <c r="D584" s="9">
        <f>+Tabla114[[#This Row],[PRECIO INSTALADOR (IVA INCLUIDO)]]-Tabla114[[#This Row],[DCTO TIENDA]]</f>
        <v>35228.375</v>
      </c>
      <c r="E584" s="9">
        <f>+Tabla114[[#This Row],[PRECIO INSTALADOR (IVA INCLUIDO)]]/0.7</f>
        <v>52975</v>
      </c>
      <c r="F584" s="8">
        <v>0.85</v>
      </c>
      <c r="G584" s="16">
        <f>+Tabla114[[#This Row],[COSTO]]*1.19</f>
        <v>31520.125</v>
      </c>
      <c r="H584" s="26">
        <f>+Tabla114[[#This Row],[PRECIO INSTALADOR (IVA INCLUIDO)]]*5%</f>
        <v>1854.125</v>
      </c>
      <c r="I584" s="25"/>
      <c r="J584" s="7">
        <v>26487.5</v>
      </c>
    </row>
    <row r="585" spans="1:10" ht="15" x14ac:dyDescent="0.25">
      <c r="A585" s="23" t="s">
        <v>1138</v>
      </c>
      <c r="B585" s="24" t="s">
        <v>1139</v>
      </c>
      <c r="C585" s="9">
        <f>+Tabla114[[#This Row],[COSTO CON IVA]]/Tabla114[[#This Row],[UTILIDAD]]</f>
        <v>37082.5</v>
      </c>
      <c r="D585" s="9">
        <f>+Tabla114[[#This Row],[PRECIO INSTALADOR (IVA INCLUIDO)]]-Tabla114[[#This Row],[DCTO TIENDA]]</f>
        <v>35228.375</v>
      </c>
      <c r="E585" s="9">
        <f>+Tabla114[[#This Row],[PRECIO INSTALADOR (IVA INCLUIDO)]]/0.7</f>
        <v>52975</v>
      </c>
      <c r="F585" s="8">
        <v>0.85</v>
      </c>
      <c r="G585" s="16">
        <f>+Tabla114[[#This Row],[COSTO]]*1.19</f>
        <v>31520.125</v>
      </c>
      <c r="H585" s="26">
        <f>+Tabla114[[#This Row],[PRECIO INSTALADOR (IVA INCLUIDO)]]*5%</f>
        <v>1854.125</v>
      </c>
      <c r="I585" s="25"/>
      <c r="J585" s="7">
        <v>26487.5</v>
      </c>
    </row>
    <row r="586" spans="1:10" ht="15" x14ac:dyDescent="0.25">
      <c r="A586" s="23" t="s">
        <v>1140</v>
      </c>
      <c r="B586" s="24" t="s">
        <v>1141</v>
      </c>
      <c r="C586" s="9">
        <f>+Tabla114[[#This Row],[COSTO CON IVA]]/Tabla114[[#This Row],[UTILIDAD]]</f>
        <v>41086.5</v>
      </c>
      <c r="D586" s="9">
        <f>+Tabla114[[#This Row],[PRECIO INSTALADOR (IVA INCLUIDO)]]-Tabla114[[#This Row],[DCTO TIENDA]]</f>
        <v>39032.175000000003</v>
      </c>
      <c r="E586" s="9">
        <f>+Tabla114[[#This Row],[PRECIO INSTALADOR (IVA INCLUIDO)]]/0.7</f>
        <v>58695.000000000007</v>
      </c>
      <c r="F586" s="8">
        <v>0.85</v>
      </c>
      <c r="G586" s="16">
        <f>+Tabla114[[#This Row],[COSTO]]*1.19</f>
        <v>34923.525000000001</v>
      </c>
      <c r="H586" s="26">
        <f>+Tabla114[[#This Row],[PRECIO INSTALADOR (IVA INCLUIDO)]]*5%</f>
        <v>2054.3250000000003</v>
      </c>
      <c r="I586" s="25"/>
      <c r="J586" s="7">
        <v>29347.5</v>
      </c>
    </row>
    <row r="587" spans="1:10" ht="15" x14ac:dyDescent="0.25">
      <c r="A587" s="23" t="s">
        <v>1142</v>
      </c>
      <c r="B587" s="24" t="s">
        <v>1143</v>
      </c>
      <c r="C587" s="9">
        <f>+Tabla114[[#This Row],[COSTO CON IVA]]/Tabla114[[#This Row],[UTILIDAD]]</f>
        <v>41086.5</v>
      </c>
      <c r="D587" s="9">
        <f>+Tabla114[[#This Row],[PRECIO INSTALADOR (IVA INCLUIDO)]]-Tabla114[[#This Row],[DCTO TIENDA]]</f>
        <v>39032.175000000003</v>
      </c>
      <c r="E587" s="9">
        <f>+Tabla114[[#This Row],[PRECIO INSTALADOR (IVA INCLUIDO)]]/0.7</f>
        <v>58695.000000000007</v>
      </c>
      <c r="F587" s="8">
        <v>0.85</v>
      </c>
      <c r="G587" s="16">
        <f>+Tabla114[[#This Row],[COSTO]]*1.19</f>
        <v>34923.525000000001</v>
      </c>
      <c r="H587" s="26">
        <f>+Tabla114[[#This Row],[PRECIO INSTALADOR (IVA INCLUIDO)]]*5%</f>
        <v>2054.3250000000003</v>
      </c>
      <c r="I587" s="25"/>
      <c r="J587" s="7">
        <v>29347.5</v>
      </c>
    </row>
    <row r="588" spans="1:10" ht="15" x14ac:dyDescent="0.25">
      <c r="A588" s="23" t="s">
        <v>1144</v>
      </c>
      <c r="B588" s="24" t="s">
        <v>1145</v>
      </c>
      <c r="C588" s="9">
        <f>+Tabla114[[#This Row],[COSTO CON IVA]]/Tabla114[[#This Row],[UTILIDAD]]</f>
        <v>67039.7</v>
      </c>
      <c r="D588" s="9">
        <f>+Tabla114[[#This Row],[PRECIO INSTALADOR (IVA INCLUIDO)]]-Tabla114[[#This Row],[DCTO TIENDA]]</f>
        <v>63687.714999999997</v>
      </c>
      <c r="E588" s="9">
        <f>+Tabla114[[#This Row],[PRECIO INSTALADOR (IVA INCLUIDO)]]/0.7</f>
        <v>95771</v>
      </c>
      <c r="F588" s="8">
        <v>0.85</v>
      </c>
      <c r="G588" s="16">
        <f>+Tabla114[[#This Row],[COSTO]]*1.19</f>
        <v>56983.744999999995</v>
      </c>
      <c r="H588" s="26">
        <f>+Tabla114[[#This Row],[PRECIO INSTALADOR (IVA INCLUIDO)]]*5%</f>
        <v>3351.9850000000001</v>
      </c>
      <c r="I588" s="25"/>
      <c r="J588" s="7">
        <v>47885.5</v>
      </c>
    </row>
    <row r="589" spans="1:10" ht="15" x14ac:dyDescent="0.25">
      <c r="A589" s="23" t="s">
        <v>1146</v>
      </c>
      <c r="B589" s="24" t="s">
        <v>1147</v>
      </c>
      <c r="C589" s="9">
        <f>+Tabla114[[#This Row],[COSTO CON IVA]]/Tabla114[[#This Row],[UTILIDAD]]</f>
        <v>67039.7</v>
      </c>
      <c r="D589" s="9">
        <f>+Tabla114[[#This Row],[PRECIO INSTALADOR (IVA INCLUIDO)]]-Tabla114[[#This Row],[DCTO TIENDA]]</f>
        <v>63687.714999999997</v>
      </c>
      <c r="E589" s="9">
        <f>+Tabla114[[#This Row],[PRECIO INSTALADOR (IVA INCLUIDO)]]/0.7</f>
        <v>95771</v>
      </c>
      <c r="F589" s="8">
        <v>0.85</v>
      </c>
      <c r="G589" s="16">
        <f>+Tabla114[[#This Row],[COSTO]]*1.19</f>
        <v>56983.744999999995</v>
      </c>
      <c r="H589" s="26">
        <f>+Tabla114[[#This Row],[PRECIO INSTALADOR (IVA INCLUIDO)]]*5%</f>
        <v>3351.9850000000001</v>
      </c>
      <c r="I589" s="25"/>
      <c r="J589" s="7">
        <v>47885.5</v>
      </c>
    </row>
    <row r="590" spans="1:10" ht="15" x14ac:dyDescent="0.25">
      <c r="A590" s="23" t="s">
        <v>1148</v>
      </c>
      <c r="B590" s="24" t="s">
        <v>1149</v>
      </c>
      <c r="C590" s="9">
        <f>+Tabla114[[#This Row],[COSTO CON IVA]]/Tabla114[[#This Row],[UTILIDAD]]</f>
        <v>67039.7</v>
      </c>
      <c r="D590" s="9">
        <f>+Tabla114[[#This Row],[PRECIO INSTALADOR (IVA INCLUIDO)]]-Tabla114[[#This Row],[DCTO TIENDA]]</f>
        <v>63687.714999999997</v>
      </c>
      <c r="E590" s="9">
        <f>+Tabla114[[#This Row],[PRECIO INSTALADOR (IVA INCLUIDO)]]/0.7</f>
        <v>95771</v>
      </c>
      <c r="F590" s="8">
        <v>0.85</v>
      </c>
      <c r="G590" s="16">
        <f>+Tabla114[[#This Row],[COSTO]]*1.19</f>
        <v>56983.744999999995</v>
      </c>
      <c r="H590" s="26">
        <f>+Tabla114[[#This Row],[PRECIO INSTALADOR (IVA INCLUIDO)]]*5%</f>
        <v>3351.9850000000001</v>
      </c>
      <c r="I590" s="25"/>
      <c r="J590" s="7">
        <v>47885.5</v>
      </c>
    </row>
    <row r="591" spans="1:10" ht="15" x14ac:dyDescent="0.25">
      <c r="A591" s="23" t="s">
        <v>1150</v>
      </c>
      <c r="B591" s="24" t="s">
        <v>1151</v>
      </c>
      <c r="C591" s="9">
        <f>+Tabla114[[#This Row],[COSTO CON IVA]]/Tabla114[[#This Row],[UTILIDAD]]</f>
        <v>200200</v>
      </c>
      <c r="D591" s="9">
        <f>+Tabla114[[#This Row],[PRECIO INSTALADOR (IVA INCLUIDO)]]-Tabla114[[#This Row],[DCTO TIENDA]]</f>
        <v>190190</v>
      </c>
      <c r="E591" s="9">
        <f>+Tabla114[[#This Row],[PRECIO INSTALADOR (IVA INCLUIDO)]]/0.7</f>
        <v>286000</v>
      </c>
      <c r="F591" s="8">
        <v>0.85</v>
      </c>
      <c r="G591" s="16">
        <f>+Tabla114[[#This Row],[COSTO]]*1.19</f>
        <v>170170</v>
      </c>
      <c r="H591" s="26">
        <f>+Tabla114[[#This Row],[PRECIO INSTALADOR (IVA INCLUIDO)]]*5%</f>
        <v>10010</v>
      </c>
      <c r="I591" s="25"/>
      <c r="J591" s="7">
        <v>143000</v>
      </c>
    </row>
    <row r="592" spans="1:10" ht="15" x14ac:dyDescent="0.25">
      <c r="A592" s="23" t="s">
        <v>1152</v>
      </c>
      <c r="B592" s="24" t="s">
        <v>1153</v>
      </c>
      <c r="C592" s="9">
        <f>+Tabla114[[#This Row],[COSTO CON IVA]]/Tabla114[[#This Row],[UTILIDAD]]</f>
        <v>155300.59999999998</v>
      </c>
      <c r="D592" s="9">
        <f>+Tabla114[[#This Row],[PRECIO INSTALADOR (IVA INCLUIDO)]]-Tabla114[[#This Row],[DCTO TIENDA]]</f>
        <v>147535.56999999998</v>
      </c>
      <c r="E592" s="9">
        <f>+Tabla114[[#This Row],[PRECIO INSTALADOR (IVA INCLUIDO)]]/0.7</f>
        <v>221857.99999999997</v>
      </c>
      <c r="F592" s="8">
        <v>0.85</v>
      </c>
      <c r="G592" s="16">
        <f>+Tabla114[[#This Row],[COSTO]]*1.19</f>
        <v>132005.50999999998</v>
      </c>
      <c r="H592" s="26">
        <f>+Tabla114[[#This Row],[PRECIO INSTALADOR (IVA INCLUIDO)]]*5%</f>
        <v>7765.0299999999988</v>
      </c>
      <c r="I592" s="25"/>
      <c r="J592" s="7">
        <v>110929</v>
      </c>
    </row>
    <row r="593" spans="1:10" ht="15" x14ac:dyDescent="0.25">
      <c r="A593" s="23" t="s">
        <v>1154</v>
      </c>
      <c r="B593" s="24" t="s">
        <v>1155</v>
      </c>
      <c r="C593" s="9">
        <f>+Tabla114[[#This Row],[COSTO CON IVA]]/Tabla114[[#This Row],[UTILIDAD]]</f>
        <v>155300.59999999998</v>
      </c>
      <c r="D593" s="9">
        <f>+Tabla114[[#This Row],[PRECIO INSTALADOR (IVA INCLUIDO)]]-Tabla114[[#This Row],[DCTO TIENDA]]</f>
        <v>147535.56999999998</v>
      </c>
      <c r="E593" s="9">
        <f>+Tabla114[[#This Row],[PRECIO INSTALADOR (IVA INCLUIDO)]]/0.7</f>
        <v>221857.99999999997</v>
      </c>
      <c r="F593" s="8">
        <v>0.85</v>
      </c>
      <c r="G593" s="16">
        <f>+Tabla114[[#This Row],[COSTO]]*1.19</f>
        <v>132005.50999999998</v>
      </c>
      <c r="H593" s="26">
        <f>+Tabla114[[#This Row],[PRECIO INSTALADOR (IVA INCLUIDO)]]*5%</f>
        <v>7765.0299999999988</v>
      </c>
      <c r="I593" s="25"/>
      <c r="J593" s="7">
        <v>110929</v>
      </c>
    </row>
    <row r="594" spans="1:10" ht="15" x14ac:dyDescent="0.25">
      <c r="A594" s="23" t="s">
        <v>1156</v>
      </c>
      <c r="B594" s="24" t="s">
        <v>1157</v>
      </c>
      <c r="C594" s="9">
        <f>+Tabla114[[#This Row],[COSTO CON IVA]]/Tabla114[[#This Row],[UTILIDAD]]</f>
        <v>155300.59999999998</v>
      </c>
      <c r="D594" s="9">
        <f>+Tabla114[[#This Row],[PRECIO INSTALADOR (IVA INCLUIDO)]]-Tabla114[[#This Row],[DCTO TIENDA]]</f>
        <v>147535.56999999998</v>
      </c>
      <c r="E594" s="9">
        <f>+Tabla114[[#This Row],[PRECIO INSTALADOR (IVA INCLUIDO)]]/0.7</f>
        <v>221857.99999999997</v>
      </c>
      <c r="F594" s="8">
        <v>0.85</v>
      </c>
      <c r="G594" s="16">
        <f>+Tabla114[[#This Row],[COSTO]]*1.19</f>
        <v>132005.50999999998</v>
      </c>
      <c r="H594" s="26">
        <f>+Tabla114[[#This Row],[PRECIO INSTALADOR (IVA INCLUIDO)]]*5%</f>
        <v>7765.0299999999988</v>
      </c>
      <c r="I594" s="25"/>
      <c r="J594" s="7">
        <v>110929</v>
      </c>
    </row>
    <row r="595" spans="1:10" ht="15" x14ac:dyDescent="0.25">
      <c r="A595" s="23" t="s">
        <v>1158</v>
      </c>
      <c r="B595" s="24" t="s">
        <v>1159</v>
      </c>
      <c r="C595" s="9">
        <f>+Tabla114[[#This Row],[COSTO CON IVA]]/Tabla114[[#This Row],[UTILIDAD]]</f>
        <v>155300.59999999998</v>
      </c>
      <c r="D595" s="9">
        <f>+Tabla114[[#This Row],[PRECIO INSTALADOR (IVA INCLUIDO)]]-Tabla114[[#This Row],[DCTO TIENDA]]</f>
        <v>147535.56999999998</v>
      </c>
      <c r="E595" s="9">
        <f>+Tabla114[[#This Row],[PRECIO INSTALADOR (IVA INCLUIDO)]]/0.7</f>
        <v>221857.99999999997</v>
      </c>
      <c r="F595" s="8">
        <v>0.85</v>
      </c>
      <c r="G595" s="16">
        <f>+Tabla114[[#This Row],[COSTO]]*1.19</f>
        <v>132005.50999999998</v>
      </c>
      <c r="H595" s="26">
        <f>+Tabla114[[#This Row],[PRECIO INSTALADOR (IVA INCLUIDO)]]*5%</f>
        <v>7765.0299999999988</v>
      </c>
      <c r="I595" s="25"/>
      <c r="J595" s="7">
        <v>110929</v>
      </c>
    </row>
    <row r="596" spans="1:10" ht="15" x14ac:dyDescent="0.25">
      <c r="A596" s="23" t="s">
        <v>1160</v>
      </c>
      <c r="B596" s="24" t="s">
        <v>1161</v>
      </c>
      <c r="C596" s="9">
        <f>+Tabla114[[#This Row],[COSTO CON IVA]]/Tabla114[[#This Row],[UTILIDAD]]</f>
        <v>155300.59999999998</v>
      </c>
      <c r="D596" s="9">
        <f>+Tabla114[[#This Row],[PRECIO INSTALADOR (IVA INCLUIDO)]]-Tabla114[[#This Row],[DCTO TIENDA]]</f>
        <v>147535.56999999998</v>
      </c>
      <c r="E596" s="9">
        <f>+Tabla114[[#This Row],[PRECIO INSTALADOR (IVA INCLUIDO)]]/0.7</f>
        <v>221857.99999999997</v>
      </c>
      <c r="F596" s="8">
        <v>0.85</v>
      </c>
      <c r="G596" s="16">
        <f>+Tabla114[[#This Row],[COSTO]]*1.19</f>
        <v>132005.50999999998</v>
      </c>
      <c r="H596" s="26">
        <f>+Tabla114[[#This Row],[PRECIO INSTALADOR (IVA INCLUIDO)]]*5%</f>
        <v>7765.0299999999988</v>
      </c>
      <c r="I596" s="25"/>
      <c r="J596" s="7">
        <v>110929</v>
      </c>
    </row>
    <row r="597" spans="1:10" ht="15" x14ac:dyDescent="0.25">
      <c r="A597" s="23" t="s">
        <v>1162</v>
      </c>
      <c r="B597" s="24" t="s">
        <v>1163</v>
      </c>
      <c r="C597" s="9">
        <f>+Tabla114[[#This Row],[COSTO CON IVA]]/Tabla114[[#This Row],[UTILIDAD]]</f>
        <v>155300.59999999998</v>
      </c>
      <c r="D597" s="9">
        <f>+Tabla114[[#This Row],[PRECIO INSTALADOR (IVA INCLUIDO)]]-Tabla114[[#This Row],[DCTO TIENDA]]</f>
        <v>147535.56999999998</v>
      </c>
      <c r="E597" s="9">
        <f>+Tabla114[[#This Row],[PRECIO INSTALADOR (IVA INCLUIDO)]]/0.7</f>
        <v>221857.99999999997</v>
      </c>
      <c r="F597" s="8">
        <v>0.85</v>
      </c>
      <c r="G597" s="16">
        <f>+Tabla114[[#This Row],[COSTO]]*1.19</f>
        <v>132005.50999999998</v>
      </c>
      <c r="H597" s="26">
        <f>+Tabla114[[#This Row],[PRECIO INSTALADOR (IVA INCLUIDO)]]*5%</f>
        <v>7765.0299999999988</v>
      </c>
      <c r="I597" s="25"/>
      <c r="J597" s="7">
        <v>110929</v>
      </c>
    </row>
    <row r="598" spans="1:10" ht="15" x14ac:dyDescent="0.25">
      <c r="A598" s="23" t="s">
        <v>1164</v>
      </c>
      <c r="B598" s="24" t="s">
        <v>1165</v>
      </c>
      <c r="C598" s="9">
        <f>+Tabla114[[#This Row],[COSTO CON IVA]]/Tabla114[[#This Row],[UTILIDAD]]</f>
        <v>155300.59999999998</v>
      </c>
      <c r="D598" s="9">
        <f>+Tabla114[[#This Row],[PRECIO INSTALADOR (IVA INCLUIDO)]]-Tabla114[[#This Row],[DCTO TIENDA]]</f>
        <v>147535.56999999998</v>
      </c>
      <c r="E598" s="9">
        <f>+Tabla114[[#This Row],[PRECIO INSTALADOR (IVA INCLUIDO)]]/0.7</f>
        <v>221857.99999999997</v>
      </c>
      <c r="F598" s="8">
        <v>0.85</v>
      </c>
      <c r="G598" s="16">
        <f>+Tabla114[[#This Row],[COSTO]]*1.19</f>
        <v>132005.50999999998</v>
      </c>
      <c r="H598" s="26">
        <f>+Tabla114[[#This Row],[PRECIO INSTALADOR (IVA INCLUIDO)]]*5%</f>
        <v>7765.0299999999988</v>
      </c>
      <c r="I598" s="25"/>
      <c r="J598" s="7">
        <v>110929</v>
      </c>
    </row>
    <row r="599" spans="1:10" ht="15" x14ac:dyDescent="0.25">
      <c r="A599" s="23" t="s">
        <v>1166</v>
      </c>
      <c r="B599" s="24" t="s">
        <v>1167</v>
      </c>
      <c r="C599" s="9">
        <f>+Tabla114[[#This Row],[COSTO CON IVA]]/Tabla114[[#This Row],[UTILIDAD]]</f>
        <v>275129.40000000002</v>
      </c>
      <c r="D599" s="9">
        <f>+Tabla114[[#This Row],[PRECIO INSTALADOR (IVA INCLUIDO)]]-Tabla114[[#This Row],[DCTO TIENDA]]</f>
        <v>261372.93000000002</v>
      </c>
      <c r="E599" s="9">
        <f>+Tabla114[[#This Row],[PRECIO INSTALADOR (IVA INCLUIDO)]]/0.7</f>
        <v>393042.00000000006</v>
      </c>
      <c r="F599" s="8">
        <v>0.85</v>
      </c>
      <c r="G599" s="16">
        <f>+Tabla114[[#This Row],[COSTO]]*1.19</f>
        <v>233859.99</v>
      </c>
      <c r="H599" s="26">
        <f>+Tabla114[[#This Row],[PRECIO INSTALADOR (IVA INCLUIDO)]]*5%</f>
        <v>13756.470000000001</v>
      </c>
      <c r="I599" s="25"/>
      <c r="J599" s="7">
        <v>196521</v>
      </c>
    </row>
    <row r="600" spans="1:10" ht="15" x14ac:dyDescent="0.25">
      <c r="A600" s="23" t="s">
        <v>1168</v>
      </c>
      <c r="B600" s="24" t="s">
        <v>1169</v>
      </c>
      <c r="C600" s="9">
        <f>+Tabla114[[#This Row],[COSTO CON IVA]]/Tabla114[[#This Row],[UTILIDAD]]</f>
        <v>275129.40000000002</v>
      </c>
      <c r="D600" s="9">
        <f>+Tabla114[[#This Row],[PRECIO INSTALADOR (IVA INCLUIDO)]]-Tabla114[[#This Row],[DCTO TIENDA]]</f>
        <v>261372.93000000002</v>
      </c>
      <c r="E600" s="9">
        <f>+Tabla114[[#This Row],[PRECIO INSTALADOR (IVA INCLUIDO)]]/0.7</f>
        <v>393042.00000000006</v>
      </c>
      <c r="F600" s="8">
        <v>0.85</v>
      </c>
      <c r="G600" s="16">
        <f>+Tabla114[[#This Row],[COSTO]]*1.19</f>
        <v>233859.99</v>
      </c>
      <c r="H600" s="26">
        <f>+Tabla114[[#This Row],[PRECIO INSTALADOR (IVA INCLUIDO)]]*5%</f>
        <v>13756.470000000001</v>
      </c>
      <c r="I600" s="25"/>
      <c r="J600" s="7">
        <v>196521</v>
      </c>
    </row>
    <row r="601" spans="1:10" ht="15" x14ac:dyDescent="0.25">
      <c r="A601" s="23" t="s">
        <v>1170</v>
      </c>
      <c r="B601" s="24" t="s">
        <v>1171</v>
      </c>
      <c r="C601" s="9">
        <f>+Tabla114[[#This Row],[COSTO CON IVA]]/Tabla114[[#This Row],[UTILIDAD]]</f>
        <v>301210</v>
      </c>
      <c r="D601" s="9">
        <f>+Tabla114[[#This Row],[PRECIO INSTALADOR (IVA INCLUIDO)]]-Tabla114[[#This Row],[DCTO TIENDA]]</f>
        <v>286149.5</v>
      </c>
      <c r="E601" s="9">
        <f>+Tabla114[[#This Row],[PRECIO INSTALADOR (IVA INCLUIDO)]]/0.7</f>
        <v>430300</v>
      </c>
      <c r="F601" s="8">
        <v>0.85</v>
      </c>
      <c r="G601" s="16">
        <f>+Tabla114[[#This Row],[COSTO]]*1.19</f>
        <v>256028.5</v>
      </c>
      <c r="H601" s="26">
        <f>+Tabla114[[#This Row],[PRECIO INSTALADOR (IVA INCLUIDO)]]*5%</f>
        <v>15060.5</v>
      </c>
      <c r="I601" s="25"/>
      <c r="J601" s="7">
        <v>215150</v>
      </c>
    </row>
    <row r="602" spans="1:10" ht="15" x14ac:dyDescent="0.25">
      <c r="A602" s="23" t="s">
        <v>1172</v>
      </c>
      <c r="B602" s="24" t="s">
        <v>1173</v>
      </c>
      <c r="C602" s="9">
        <f>+Tabla114[[#This Row],[COSTO CON IVA]]/Tabla114[[#This Row],[UTILIDAD]]</f>
        <v>301210</v>
      </c>
      <c r="D602" s="9">
        <f>+Tabla114[[#This Row],[PRECIO INSTALADOR (IVA INCLUIDO)]]-Tabla114[[#This Row],[DCTO TIENDA]]</f>
        <v>286149.5</v>
      </c>
      <c r="E602" s="9">
        <f>+Tabla114[[#This Row],[PRECIO INSTALADOR (IVA INCLUIDO)]]/0.7</f>
        <v>430300</v>
      </c>
      <c r="F602" s="8">
        <v>0.85</v>
      </c>
      <c r="G602" s="16">
        <f>+Tabla114[[#This Row],[COSTO]]*1.19</f>
        <v>256028.5</v>
      </c>
      <c r="H602" s="26">
        <f>+Tabla114[[#This Row],[PRECIO INSTALADOR (IVA INCLUIDO)]]*5%</f>
        <v>15060.5</v>
      </c>
      <c r="I602" s="25"/>
      <c r="J602" s="7">
        <v>215150</v>
      </c>
    </row>
    <row r="603" spans="1:10" ht="15" x14ac:dyDescent="0.25">
      <c r="A603" s="23" t="s">
        <v>1174</v>
      </c>
      <c r="B603" s="24" t="s">
        <v>1175</v>
      </c>
      <c r="C603" s="9">
        <f>+Tabla114[[#This Row],[COSTO CON IVA]]/Tabla114[[#This Row],[UTILIDAD]]</f>
        <v>301210</v>
      </c>
      <c r="D603" s="9">
        <f>+Tabla114[[#This Row],[PRECIO INSTALADOR (IVA INCLUIDO)]]-Tabla114[[#This Row],[DCTO TIENDA]]</f>
        <v>286149.5</v>
      </c>
      <c r="E603" s="9">
        <f>+Tabla114[[#This Row],[PRECIO INSTALADOR (IVA INCLUIDO)]]/0.7</f>
        <v>430300</v>
      </c>
      <c r="F603" s="8">
        <v>0.85</v>
      </c>
      <c r="G603" s="16">
        <f>+Tabla114[[#This Row],[COSTO]]*1.19</f>
        <v>256028.5</v>
      </c>
      <c r="H603" s="26">
        <f>+Tabla114[[#This Row],[PRECIO INSTALADOR (IVA INCLUIDO)]]*5%</f>
        <v>15060.5</v>
      </c>
      <c r="I603" s="25"/>
      <c r="J603" s="7">
        <v>215150</v>
      </c>
    </row>
    <row r="604" spans="1:10" ht="15" x14ac:dyDescent="0.25">
      <c r="A604" s="23" t="s">
        <v>1176</v>
      </c>
      <c r="B604" s="24" t="s">
        <v>1177</v>
      </c>
      <c r="C604" s="9">
        <f>+Tabla114[[#This Row],[COSTO CON IVA]]/Tabla114[[#This Row],[UTILIDAD]]</f>
        <v>291200</v>
      </c>
      <c r="D604" s="9">
        <f>+Tabla114[[#This Row],[PRECIO INSTALADOR (IVA INCLUIDO)]]-Tabla114[[#This Row],[DCTO TIENDA]]</f>
        <v>276640</v>
      </c>
      <c r="E604" s="9">
        <f>+Tabla114[[#This Row],[PRECIO INSTALADOR (IVA INCLUIDO)]]/0.7</f>
        <v>416000</v>
      </c>
      <c r="F604" s="8">
        <v>0.85</v>
      </c>
      <c r="G604" s="16">
        <f>+Tabla114[[#This Row],[COSTO]]*1.19</f>
        <v>247520</v>
      </c>
      <c r="H604" s="26">
        <f>+Tabla114[[#This Row],[PRECIO INSTALADOR (IVA INCLUIDO)]]*5%</f>
        <v>14560</v>
      </c>
      <c r="I604" s="25"/>
      <c r="J604" s="7">
        <v>208000</v>
      </c>
    </row>
    <row r="605" spans="1:10" ht="15" x14ac:dyDescent="0.25">
      <c r="A605" s="23" t="s">
        <v>1178</v>
      </c>
      <c r="B605" s="24" t="s">
        <v>1179</v>
      </c>
      <c r="C605" s="9">
        <f>+Tabla114[[#This Row],[COSTO CON IVA]]/Tabla114[[#This Row],[UTILIDAD]]</f>
        <v>1205.75</v>
      </c>
      <c r="D605" s="9">
        <f>+Tabla114[[#This Row],[PRECIO INSTALADOR (IVA INCLUIDO)]]-Tabla114[[#This Row],[DCTO TIENDA]]</f>
        <v>1145.4625000000001</v>
      </c>
      <c r="E605" s="9">
        <f>+Tabla114[[#This Row],[PRECIO INSTALADOR (IVA INCLUIDO)]]/0.7</f>
        <v>1722.5</v>
      </c>
      <c r="F605" s="8">
        <v>0.85</v>
      </c>
      <c r="G605" s="16">
        <f>+Tabla114[[#This Row],[COSTO]]*1.19</f>
        <v>1024.8875</v>
      </c>
      <c r="H605" s="26">
        <f>+Tabla114[[#This Row],[PRECIO INSTALADOR (IVA INCLUIDO)]]*5%</f>
        <v>60.287500000000001</v>
      </c>
      <c r="I605" s="25"/>
      <c r="J605" s="7">
        <v>861.25</v>
      </c>
    </row>
    <row r="606" spans="1:10" ht="15" x14ac:dyDescent="0.25">
      <c r="A606" s="23" t="s">
        <v>1180</v>
      </c>
      <c r="B606" s="24" t="s">
        <v>1181</v>
      </c>
      <c r="C606" s="9">
        <f>+Tabla114[[#This Row],[COSTO CON IVA]]/Tabla114[[#This Row],[UTILIDAD]]</f>
        <v>1255.8000000000002</v>
      </c>
      <c r="D606" s="9">
        <f>+Tabla114[[#This Row],[PRECIO INSTALADOR (IVA INCLUIDO)]]-Tabla114[[#This Row],[DCTO TIENDA]]</f>
        <v>1193.0100000000002</v>
      </c>
      <c r="E606" s="9">
        <f>+Tabla114[[#This Row],[PRECIO INSTALADOR (IVA INCLUIDO)]]/0.7</f>
        <v>1794.0000000000005</v>
      </c>
      <c r="F606" s="8">
        <v>0.85</v>
      </c>
      <c r="G606" s="16">
        <f>+Tabla114[[#This Row],[COSTO]]*1.19</f>
        <v>1067.43</v>
      </c>
      <c r="H606" s="26">
        <f>+Tabla114[[#This Row],[PRECIO INSTALADOR (IVA INCLUIDO)]]*5%</f>
        <v>62.790000000000013</v>
      </c>
      <c r="I606" s="25"/>
      <c r="J606" s="7">
        <v>897</v>
      </c>
    </row>
    <row r="607" spans="1:10" ht="15" x14ac:dyDescent="0.25">
      <c r="A607" s="23" t="s">
        <v>1182</v>
      </c>
      <c r="B607" s="24" t="s">
        <v>1183</v>
      </c>
      <c r="C607" s="9">
        <f>+Tabla114[[#This Row],[COSTO CON IVA]]/Tabla114[[#This Row],[UTILIDAD]]</f>
        <v>1255.8000000000002</v>
      </c>
      <c r="D607" s="9">
        <f>+Tabla114[[#This Row],[PRECIO INSTALADOR (IVA INCLUIDO)]]-Tabla114[[#This Row],[DCTO TIENDA]]</f>
        <v>1193.0100000000002</v>
      </c>
      <c r="E607" s="9">
        <f>+Tabla114[[#This Row],[PRECIO INSTALADOR (IVA INCLUIDO)]]/0.7</f>
        <v>1794.0000000000005</v>
      </c>
      <c r="F607" s="8">
        <v>0.85</v>
      </c>
      <c r="G607" s="16">
        <f>+Tabla114[[#This Row],[COSTO]]*1.19</f>
        <v>1067.43</v>
      </c>
      <c r="H607" s="26">
        <f>+Tabla114[[#This Row],[PRECIO INSTALADOR (IVA INCLUIDO)]]*5%</f>
        <v>62.790000000000013</v>
      </c>
      <c r="I607" s="25"/>
      <c r="J607" s="7">
        <v>897</v>
      </c>
    </row>
    <row r="608" spans="1:10" ht="15" x14ac:dyDescent="0.25">
      <c r="A608" s="23" t="s">
        <v>1184</v>
      </c>
      <c r="B608" s="24" t="s">
        <v>1185</v>
      </c>
      <c r="C608" s="9">
        <f>+Tabla114[[#This Row],[COSTO CON IVA]]/Tabla114[[#This Row],[UTILIDAD]]</f>
        <v>1255.8000000000002</v>
      </c>
      <c r="D608" s="9">
        <f>+Tabla114[[#This Row],[PRECIO INSTALADOR (IVA INCLUIDO)]]-Tabla114[[#This Row],[DCTO TIENDA]]</f>
        <v>1193.0100000000002</v>
      </c>
      <c r="E608" s="9">
        <f>+Tabla114[[#This Row],[PRECIO INSTALADOR (IVA INCLUIDO)]]/0.7</f>
        <v>1794.0000000000005</v>
      </c>
      <c r="F608" s="8">
        <v>0.85</v>
      </c>
      <c r="G608" s="16">
        <f>+Tabla114[[#This Row],[COSTO]]*1.19</f>
        <v>1067.43</v>
      </c>
      <c r="H608" s="26">
        <f>+Tabla114[[#This Row],[PRECIO INSTALADOR (IVA INCLUIDO)]]*5%</f>
        <v>62.790000000000013</v>
      </c>
      <c r="I608" s="25"/>
      <c r="J608" s="7">
        <v>897</v>
      </c>
    </row>
    <row r="609" spans="1:10" ht="15" x14ac:dyDescent="0.25">
      <c r="A609" s="23" t="s">
        <v>1186</v>
      </c>
      <c r="B609" s="24" t="s">
        <v>1187</v>
      </c>
      <c r="C609" s="9">
        <f>+Tabla114[[#This Row],[COSTO CON IVA]]/Tabla114[[#This Row],[UTILIDAD]]</f>
        <v>1255.8000000000002</v>
      </c>
      <c r="D609" s="9">
        <f>+Tabla114[[#This Row],[PRECIO INSTALADOR (IVA INCLUIDO)]]-Tabla114[[#This Row],[DCTO TIENDA]]</f>
        <v>1193.0100000000002</v>
      </c>
      <c r="E609" s="9">
        <f>+Tabla114[[#This Row],[PRECIO INSTALADOR (IVA INCLUIDO)]]/0.7</f>
        <v>1794.0000000000005</v>
      </c>
      <c r="F609" s="8">
        <v>0.85</v>
      </c>
      <c r="G609" s="16">
        <f>+Tabla114[[#This Row],[COSTO]]*1.19</f>
        <v>1067.43</v>
      </c>
      <c r="H609" s="26">
        <f>+Tabla114[[#This Row],[PRECIO INSTALADOR (IVA INCLUIDO)]]*5%</f>
        <v>62.790000000000013</v>
      </c>
      <c r="I609" s="25"/>
      <c r="J609" s="7">
        <v>897</v>
      </c>
    </row>
    <row r="610" spans="1:10" ht="15" x14ac:dyDescent="0.25">
      <c r="A610" s="23" t="s">
        <v>1188</v>
      </c>
      <c r="B610" s="24" t="s">
        <v>1189</v>
      </c>
      <c r="C610" s="9">
        <f>+Tabla114[[#This Row],[COSTO CON IVA]]/Tabla114[[#This Row],[UTILIDAD]]</f>
        <v>1255.8000000000002</v>
      </c>
      <c r="D610" s="9">
        <f>+Tabla114[[#This Row],[PRECIO INSTALADOR (IVA INCLUIDO)]]-Tabla114[[#This Row],[DCTO TIENDA]]</f>
        <v>1193.0100000000002</v>
      </c>
      <c r="E610" s="9">
        <f>+Tabla114[[#This Row],[PRECIO INSTALADOR (IVA INCLUIDO)]]/0.7</f>
        <v>1794.0000000000005</v>
      </c>
      <c r="F610" s="8">
        <v>0.85</v>
      </c>
      <c r="G610" s="16">
        <f>+Tabla114[[#This Row],[COSTO]]*1.19</f>
        <v>1067.43</v>
      </c>
      <c r="H610" s="26">
        <f>+Tabla114[[#This Row],[PRECIO INSTALADOR (IVA INCLUIDO)]]*5%</f>
        <v>62.790000000000013</v>
      </c>
      <c r="I610" s="25"/>
      <c r="J610" s="7">
        <v>897</v>
      </c>
    </row>
    <row r="611" spans="1:10" ht="15" x14ac:dyDescent="0.25">
      <c r="A611" s="23" t="s">
        <v>1190</v>
      </c>
      <c r="B611" s="24" t="s">
        <v>1191</v>
      </c>
      <c r="C611" s="9">
        <f>+Tabla114[[#This Row],[COSTO CON IVA]]/Tabla114[[#This Row],[UTILIDAD]]</f>
        <v>7234.5</v>
      </c>
      <c r="D611" s="9">
        <f>+Tabla114[[#This Row],[PRECIO INSTALADOR (IVA INCLUIDO)]]-Tabla114[[#This Row],[DCTO TIENDA]]</f>
        <v>6872.7749999999996</v>
      </c>
      <c r="E611" s="9">
        <f>+Tabla114[[#This Row],[PRECIO INSTALADOR (IVA INCLUIDO)]]/0.7</f>
        <v>10335</v>
      </c>
      <c r="F611" s="8">
        <v>0.85</v>
      </c>
      <c r="G611" s="16">
        <f>+Tabla114[[#This Row],[COSTO]]*1.19</f>
        <v>6149.3249999999998</v>
      </c>
      <c r="H611" s="26">
        <f>+Tabla114[[#This Row],[PRECIO INSTALADOR (IVA INCLUIDO)]]*5%</f>
        <v>361.72500000000002</v>
      </c>
      <c r="I611" s="25"/>
      <c r="J611" s="7">
        <v>5167.5</v>
      </c>
    </row>
    <row r="612" spans="1:10" ht="15" x14ac:dyDescent="0.25">
      <c r="A612" s="23" t="s">
        <v>1192</v>
      </c>
      <c r="B612" s="24" t="s">
        <v>1193</v>
      </c>
      <c r="C612" s="9">
        <f>+Tabla114[[#This Row],[COSTO CON IVA]]/Tabla114[[#This Row],[UTILIDAD]]</f>
        <v>3640</v>
      </c>
      <c r="D612" s="9">
        <f>+Tabla114[[#This Row],[PRECIO INSTALADOR (IVA INCLUIDO)]]-Tabla114[[#This Row],[DCTO TIENDA]]</f>
        <v>3458</v>
      </c>
      <c r="E612" s="9">
        <f>+Tabla114[[#This Row],[PRECIO INSTALADOR (IVA INCLUIDO)]]/0.7</f>
        <v>5200</v>
      </c>
      <c r="F612" s="8">
        <v>0.85</v>
      </c>
      <c r="G612" s="16">
        <f>+Tabla114[[#This Row],[COSTO]]*1.19</f>
        <v>3094</v>
      </c>
      <c r="H612" s="26">
        <f>+Tabla114[[#This Row],[PRECIO INSTALADOR (IVA INCLUIDO)]]*5%</f>
        <v>182</v>
      </c>
      <c r="I612" s="25"/>
      <c r="J612" s="7">
        <v>2600</v>
      </c>
    </row>
    <row r="613" spans="1:10" ht="15" x14ac:dyDescent="0.25">
      <c r="A613" s="23" t="s">
        <v>1194</v>
      </c>
      <c r="B613" s="24" t="s">
        <v>1195</v>
      </c>
      <c r="C613" s="9">
        <f>+Tabla114[[#This Row],[COSTO CON IVA]]/Tabla114[[#This Row],[UTILIDAD]]</f>
        <v>3731</v>
      </c>
      <c r="D613" s="9">
        <f>+Tabla114[[#This Row],[PRECIO INSTALADOR (IVA INCLUIDO)]]-Tabla114[[#This Row],[DCTO TIENDA]]</f>
        <v>3544.45</v>
      </c>
      <c r="E613" s="9">
        <f>+Tabla114[[#This Row],[PRECIO INSTALADOR (IVA INCLUIDO)]]/0.7</f>
        <v>5330</v>
      </c>
      <c r="F613" s="8">
        <v>0.85</v>
      </c>
      <c r="G613" s="16">
        <f>+Tabla114[[#This Row],[COSTO]]*1.19</f>
        <v>3171.35</v>
      </c>
      <c r="H613" s="26">
        <f>+Tabla114[[#This Row],[PRECIO INSTALADOR (IVA INCLUIDO)]]*5%</f>
        <v>186.55</v>
      </c>
      <c r="I613" s="25"/>
      <c r="J613" s="7">
        <v>2665</v>
      </c>
    </row>
    <row r="614" spans="1:10" ht="15" x14ac:dyDescent="0.25">
      <c r="A614" s="23" t="s">
        <v>1196</v>
      </c>
      <c r="B614" s="24" t="s">
        <v>1197</v>
      </c>
      <c r="C614" s="9">
        <f>+Tabla114[[#This Row],[COSTO CON IVA]]/Tabla114[[#This Row],[UTILIDAD]]</f>
        <v>3731</v>
      </c>
      <c r="D614" s="9">
        <f>+Tabla114[[#This Row],[PRECIO INSTALADOR (IVA INCLUIDO)]]-Tabla114[[#This Row],[DCTO TIENDA]]</f>
        <v>3544.45</v>
      </c>
      <c r="E614" s="9">
        <f>+Tabla114[[#This Row],[PRECIO INSTALADOR (IVA INCLUIDO)]]/0.7</f>
        <v>5330</v>
      </c>
      <c r="F614" s="8">
        <v>0.85</v>
      </c>
      <c r="G614" s="16">
        <f>+Tabla114[[#This Row],[COSTO]]*1.19</f>
        <v>3171.35</v>
      </c>
      <c r="H614" s="26">
        <f>+Tabla114[[#This Row],[PRECIO INSTALADOR (IVA INCLUIDO)]]*5%</f>
        <v>186.55</v>
      </c>
      <c r="I614" s="25"/>
      <c r="J614" s="7">
        <v>2665</v>
      </c>
    </row>
    <row r="615" spans="1:10" ht="15" x14ac:dyDescent="0.25">
      <c r="A615" s="23" t="s">
        <v>1198</v>
      </c>
      <c r="B615" s="24" t="s">
        <v>1199</v>
      </c>
      <c r="C615" s="9">
        <f>+Tabla114[[#This Row],[COSTO CON IVA]]/Tabla114[[#This Row],[UTILIDAD]]</f>
        <v>3731</v>
      </c>
      <c r="D615" s="9">
        <f>+Tabla114[[#This Row],[PRECIO INSTALADOR (IVA INCLUIDO)]]-Tabla114[[#This Row],[DCTO TIENDA]]</f>
        <v>3544.45</v>
      </c>
      <c r="E615" s="9">
        <f>+Tabla114[[#This Row],[PRECIO INSTALADOR (IVA INCLUIDO)]]/0.7</f>
        <v>5330</v>
      </c>
      <c r="F615" s="8">
        <v>0.85</v>
      </c>
      <c r="G615" s="16">
        <f>+Tabla114[[#This Row],[COSTO]]*1.19</f>
        <v>3171.35</v>
      </c>
      <c r="H615" s="26">
        <f>+Tabla114[[#This Row],[PRECIO INSTALADOR (IVA INCLUIDO)]]*5%</f>
        <v>186.55</v>
      </c>
      <c r="I615" s="25"/>
      <c r="J615" s="7">
        <v>2665</v>
      </c>
    </row>
    <row r="616" spans="1:10" ht="15" x14ac:dyDescent="0.25">
      <c r="A616" s="23" t="s">
        <v>1200</v>
      </c>
      <c r="B616" s="24" t="s">
        <v>1201</v>
      </c>
      <c r="C616" s="9">
        <f>+Tabla114[[#This Row],[COSTO CON IVA]]/Tabla114[[#This Row],[UTILIDAD]]</f>
        <v>3731</v>
      </c>
      <c r="D616" s="9">
        <f>+Tabla114[[#This Row],[PRECIO INSTALADOR (IVA INCLUIDO)]]-Tabla114[[#This Row],[DCTO TIENDA]]</f>
        <v>3544.45</v>
      </c>
      <c r="E616" s="9">
        <f>+Tabla114[[#This Row],[PRECIO INSTALADOR (IVA INCLUIDO)]]/0.7</f>
        <v>5330</v>
      </c>
      <c r="F616" s="8">
        <v>0.85</v>
      </c>
      <c r="G616" s="16">
        <f>+Tabla114[[#This Row],[COSTO]]*1.19</f>
        <v>3171.35</v>
      </c>
      <c r="H616" s="26">
        <f>+Tabla114[[#This Row],[PRECIO INSTALADOR (IVA INCLUIDO)]]*5%</f>
        <v>186.55</v>
      </c>
      <c r="I616" s="25"/>
      <c r="J616" s="7">
        <v>2665</v>
      </c>
    </row>
    <row r="617" spans="1:10" ht="15" x14ac:dyDescent="0.25">
      <c r="A617" s="23" t="s">
        <v>1202</v>
      </c>
      <c r="B617" s="24" t="s">
        <v>1203</v>
      </c>
      <c r="C617" s="9">
        <f>+Tabla114[[#This Row],[COSTO CON IVA]]/Tabla114[[#This Row],[UTILIDAD]]</f>
        <v>3731</v>
      </c>
      <c r="D617" s="9">
        <f>+Tabla114[[#This Row],[PRECIO INSTALADOR (IVA INCLUIDO)]]-Tabla114[[#This Row],[DCTO TIENDA]]</f>
        <v>3544.45</v>
      </c>
      <c r="E617" s="9">
        <f>+Tabla114[[#This Row],[PRECIO INSTALADOR (IVA INCLUIDO)]]/0.7</f>
        <v>5330</v>
      </c>
      <c r="F617" s="8">
        <v>0.85</v>
      </c>
      <c r="G617" s="16">
        <f>+Tabla114[[#This Row],[COSTO]]*1.19</f>
        <v>3171.35</v>
      </c>
      <c r="H617" s="26">
        <f>+Tabla114[[#This Row],[PRECIO INSTALADOR (IVA INCLUIDO)]]*5%</f>
        <v>186.55</v>
      </c>
      <c r="I617" s="25"/>
      <c r="J617" s="7">
        <v>2665</v>
      </c>
    </row>
    <row r="618" spans="1:10" ht="15" x14ac:dyDescent="0.25">
      <c r="A618" s="23" t="s">
        <v>1204</v>
      </c>
      <c r="B618" s="24" t="s">
        <v>1205</v>
      </c>
      <c r="C618" s="9">
        <f>+Tabla114[[#This Row],[COSTO CON IVA]]/Tabla114[[#This Row],[UTILIDAD]]</f>
        <v>48457.5</v>
      </c>
      <c r="D618" s="9">
        <f>+Tabla114[[#This Row],[PRECIO INSTALADOR (IVA INCLUIDO)]]-Tabla114[[#This Row],[DCTO TIENDA]]</f>
        <v>46034.625</v>
      </c>
      <c r="E618" s="9">
        <f>+Tabla114[[#This Row],[PRECIO INSTALADOR (IVA INCLUIDO)]]/0.7</f>
        <v>69225</v>
      </c>
      <c r="F618" s="8">
        <v>0.85</v>
      </c>
      <c r="G618" s="16">
        <f>+Tabla114[[#This Row],[COSTO]]*1.19</f>
        <v>41188.875</v>
      </c>
      <c r="H618" s="26">
        <f>+Tabla114[[#This Row],[PRECIO INSTALADOR (IVA INCLUIDO)]]*5%</f>
        <v>2422.875</v>
      </c>
      <c r="I618" s="25"/>
      <c r="J618" s="7">
        <v>34612.5</v>
      </c>
    </row>
    <row r="619" spans="1:10" ht="15" x14ac:dyDescent="0.25">
      <c r="A619" s="23" t="s">
        <v>1206</v>
      </c>
      <c r="B619" s="24" t="s">
        <v>1207</v>
      </c>
      <c r="C619" s="9">
        <f>+Tabla114[[#This Row],[COSTO CON IVA]]/Tabla114[[#This Row],[UTILIDAD]]</f>
        <v>2106.65</v>
      </c>
      <c r="D619" s="9">
        <f>+Tabla114[[#This Row],[PRECIO INSTALADOR (IVA INCLUIDO)]]-Tabla114[[#This Row],[DCTO TIENDA]]</f>
        <v>2001.3175000000001</v>
      </c>
      <c r="E619" s="9">
        <f>+Tabla114[[#This Row],[PRECIO INSTALADOR (IVA INCLUIDO)]]/0.7</f>
        <v>3009.5000000000005</v>
      </c>
      <c r="F619" s="8">
        <v>0.85</v>
      </c>
      <c r="G619" s="16">
        <f>+Tabla114[[#This Row],[COSTO]]*1.19</f>
        <v>1790.6524999999999</v>
      </c>
      <c r="H619" s="26">
        <f>+Tabla114[[#This Row],[PRECIO INSTALADOR (IVA INCLUIDO)]]*5%</f>
        <v>105.33250000000001</v>
      </c>
      <c r="I619" s="25"/>
      <c r="J619" s="7">
        <v>1504.75</v>
      </c>
    </row>
    <row r="620" spans="1:10" ht="15" x14ac:dyDescent="0.25">
      <c r="A620" s="23" t="s">
        <v>1208</v>
      </c>
      <c r="B620" s="24" t="s">
        <v>1209</v>
      </c>
      <c r="C620" s="9">
        <f>+Tabla114[[#This Row],[COSTO CON IVA]]/Tabla114[[#This Row],[UTILIDAD]]</f>
        <v>2106.65</v>
      </c>
      <c r="D620" s="9">
        <f>+Tabla114[[#This Row],[PRECIO INSTALADOR (IVA INCLUIDO)]]-Tabla114[[#This Row],[DCTO TIENDA]]</f>
        <v>2001.3175000000001</v>
      </c>
      <c r="E620" s="9">
        <f>+Tabla114[[#This Row],[PRECIO INSTALADOR (IVA INCLUIDO)]]/0.7</f>
        <v>3009.5000000000005</v>
      </c>
      <c r="F620" s="8">
        <v>0.85</v>
      </c>
      <c r="G620" s="16">
        <f>+Tabla114[[#This Row],[COSTO]]*1.19</f>
        <v>1790.6524999999999</v>
      </c>
      <c r="H620" s="26">
        <f>+Tabla114[[#This Row],[PRECIO INSTALADOR (IVA INCLUIDO)]]*5%</f>
        <v>105.33250000000001</v>
      </c>
      <c r="I620" s="25"/>
      <c r="J620" s="7">
        <v>1504.75</v>
      </c>
    </row>
    <row r="621" spans="1:10" ht="15" x14ac:dyDescent="0.25">
      <c r="A621" s="23" t="s">
        <v>1210</v>
      </c>
      <c r="B621" s="24" t="s">
        <v>1211</v>
      </c>
      <c r="C621" s="9">
        <f>+Tabla114[[#This Row],[COSTO CON IVA]]/Tabla114[[#This Row],[UTILIDAD]]</f>
        <v>4095</v>
      </c>
      <c r="D621" s="9">
        <f>+Tabla114[[#This Row],[PRECIO INSTALADOR (IVA INCLUIDO)]]-Tabla114[[#This Row],[DCTO TIENDA]]</f>
        <v>3890.25</v>
      </c>
      <c r="E621" s="9">
        <f>+Tabla114[[#This Row],[PRECIO INSTALADOR (IVA INCLUIDO)]]/0.7</f>
        <v>5850</v>
      </c>
      <c r="F621" s="8">
        <v>0.85</v>
      </c>
      <c r="G621" s="16">
        <f>+Tabla114[[#This Row],[COSTO]]*1.19</f>
        <v>3480.75</v>
      </c>
      <c r="H621" s="26">
        <f>+Tabla114[[#This Row],[PRECIO INSTALADOR (IVA INCLUIDO)]]*5%</f>
        <v>204.75</v>
      </c>
      <c r="I621" s="25"/>
      <c r="J621" s="7">
        <v>2925</v>
      </c>
    </row>
    <row r="622" spans="1:10" ht="15" x14ac:dyDescent="0.25">
      <c r="A622" s="23" t="s">
        <v>1212</v>
      </c>
      <c r="B622" s="24" t="s">
        <v>1213</v>
      </c>
      <c r="C622" s="9">
        <f>+Tabla114[[#This Row],[COSTO CON IVA]]/Tabla114[[#This Row],[UTILIDAD]]</f>
        <v>4786.5999999999995</v>
      </c>
      <c r="D622" s="9">
        <f>+Tabla114[[#This Row],[PRECIO INSTALADOR (IVA INCLUIDO)]]-Tabla114[[#This Row],[DCTO TIENDA]]</f>
        <v>4547.2699999999995</v>
      </c>
      <c r="E622" s="9">
        <f>+Tabla114[[#This Row],[PRECIO INSTALADOR (IVA INCLUIDO)]]/0.7</f>
        <v>6838</v>
      </c>
      <c r="F622" s="8">
        <v>0.85</v>
      </c>
      <c r="G622" s="16">
        <f>+Tabla114[[#This Row],[COSTO]]*1.19</f>
        <v>4068.6099999999997</v>
      </c>
      <c r="H622" s="26">
        <f>+Tabla114[[#This Row],[PRECIO INSTALADOR (IVA INCLUIDO)]]*5%</f>
        <v>239.32999999999998</v>
      </c>
      <c r="I622" s="25"/>
      <c r="J622" s="7">
        <v>3419</v>
      </c>
    </row>
    <row r="623" spans="1:10" ht="15" x14ac:dyDescent="0.25">
      <c r="A623" s="23" t="s">
        <v>1214</v>
      </c>
      <c r="B623" s="24" t="s">
        <v>1215</v>
      </c>
      <c r="C623" s="9">
        <f>+Tabla114[[#This Row],[COSTO CON IVA]]/Tabla114[[#This Row],[UTILIDAD]]</f>
        <v>4968.5999999999995</v>
      </c>
      <c r="D623" s="9">
        <f>+Tabla114[[#This Row],[PRECIO INSTALADOR (IVA INCLUIDO)]]-Tabla114[[#This Row],[DCTO TIENDA]]</f>
        <v>4720.1699999999992</v>
      </c>
      <c r="E623" s="9">
        <f>+Tabla114[[#This Row],[PRECIO INSTALADOR (IVA INCLUIDO)]]/0.7</f>
        <v>7098</v>
      </c>
      <c r="F623" s="8">
        <v>0.85</v>
      </c>
      <c r="G623" s="16">
        <f>+Tabla114[[#This Row],[COSTO]]*1.19</f>
        <v>4223.3099999999995</v>
      </c>
      <c r="H623" s="26">
        <f>+Tabla114[[#This Row],[PRECIO INSTALADOR (IVA INCLUIDO)]]*5%</f>
        <v>248.42999999999998</v>
      </c>
      <c r="I623" s="25"/>
      <c r="J623" s="7">
        <v>3549</v>
      </c>
    </row>
    <row r="624" spans="1:10" ht="15" x14ac:dyDescent="0.25">
      <c r="A624" s="23" t="s">
        <v>1216</v>
      </c>
      <c r="B624" s="24" t="s">
        <v>1217</v>
      </c>
      <c r="C624" s="9">
        <f>+Tabla114[[#This Row],[COSTO CON IVA]]/Tabla114[[#This Row],[UTILIDAD]]</f>
        <v>5760.3</v>
      </c>
      <c r="D624" s="9">
        <f>+Tabla114[[#This Row],[PRECIO INSTALADOR (IVA INCLUIDO)]]-Tabla114[[#This Row],[DCTO TIENDA]]</f>
        <v>5472.2849999999999</v>
      </c>
      <c r="E624" s="9">
        <f>+Tabla114[[#This Row],[PRECIO INSTALADOR (IVA INCLUIDO)]]/0.7</f>
        <v>8229</v>
      </c>
      <c r="F624" s="8">
        <v>0.85</v>
      </c>
      <c r="G624" s="16">
        <f>+Tabla114[[#This Row],[COSTO]]*1.19</f>
        <v>4896.2550000000001</v>
      </c>
      <c r="H624" s="26">
        <f>+Tabla114[[#This Row],[PRECIO INSTALADOR (IVA INCLUIDO)]]*5%</f>
        <v>288.01500000000004</v>
      </c>
      <c r="I624" s="25"/>
      <c r="J624" s="7">
        <v>4114.5</v>
      </c>
    </row>
    <row r="625" spans="1:10" ht="15" x14ac:dyDescent="0.25">
      <c r="A625" s="23" t="s">
        <v>1218</v>
      </c>
      <c r="B625" s="24" t="s">
        <v>1219</v>
      </c>
      <c r="C625" s="9">
        <f>+Tabla114[[#This Row],[COSTO CON IVA]]/Tabla114[[#This Row],[UTILIDAD]]</f>
        <v>7907.9000000000005</v>
      </c>
      <c r="D625" s="9">
        <f>+Tabla114[[#This Row],[PRECIO INSTALADOR (IVA INCLUIDO)]]-Tabla114[[#This Row],[DCTO TIENDA]]</f>
        <v>7512.5050000000001</v>
      </c>
      <c r="E625" s="9">
        <f>+Tabla114[[#This Row],[PRECIO INSTALADOR (IVA INCLUIDO)]]/0.7</f>
        <v>11297.000000000002</v>
      </c>
      <c r="F625" s="8">
        <v>0.85</v>
      </c>
      <c r="G625" s="16">
        <f>+Tabla114[[#This Row],[COSTO]]*1.19</f>
        <v>6721.7150000000001</v>
      </c>
      <c r="H625" s="26">
        <f>+Tabla114[[#This Row],[PRECIO INSTALADOR (IVA INCLUIDO)]]*5%</f>
        <v>395.39500000000004</v>
      </c>
      <c r="I625" s="25"/>
      <c r="J625" s="7">
        <v>5648.5</v>
      </c>
    </row>
    <row r="626" spans="1:10" ht="15" x14ac:dyDescent="0.25">
      <c r="A626" s="23" t="s">
        <v>1220</v>
      </c>
      <c r="B626" s="24" t="s">
        <v>1221</v>
      </c>
      <c r="C626" s="9">
        <f>+Tabla114[[#This Row],[COSTO CON IVA]]/Tabla114[[#This Row],[UTILIDAD]]</f>
        <v>2629.9</v>
      </c>
      <c r="D626" s="9">
        <f>+Tabla114[[#This Row],[PRECIO INSTALADOR (IVA INCLUIDO)]]-Tabla114[[#This Row],[DCTO TIENDA]]</f>
        <v>2498.4050000000002</v>
      </c>
      <c r="E626" s="9">
        <f>+Tabla114[[#This Row],[PRECIO INSTALADOR (IVA INCLUIDO)]]/0.7</f>
        <v>3757.0000000000005</v>
      </c>
      <c r="F626" s="8">
        <v>0.85</v>
      </c>
      <c r="G626" s="16">
        <f>+Tabla114[[#This Row],[COSTO]]*1.19</f>
        <v>2235.415</v>
      </c>
      <c r="H626" s="26">
        <f>+Tabla114[[#This Row],[PRECIO INSTALADOR (IVA INCLUIDO)]]*5%</f>
        <v>131.495</v>
      </c>
      <c r="I626" s="25"/>
      <c r="J626" s="7">
        <v>1878.5</v>
      </c>
    </row>
    <row r="627" spans="1:10" ht="15" x14ac:dyDescent="0.25">
      <c r="A627" s="23" t="s">
        <v>1222</v>
      </c>
      <c r="B627" s="24" t="s">
        <v>1223</v>
      </c>
      <c r="C627" s="9">
        <f>+Tabla114[[#This Row],[COSTO CON IVA]]/Tabla114[[#This Row],[UTILIDAD]]</f>
        <v>2684.5</v>
      </c>
      <c r="D627" s="9">
        <f>+Tabla114[[#This Row],[PRECIO INSTALADOR (IVA INCLUIDO)]]-Tabla114[[#This Row],[DCTO TIENDA]]</f>
        <v>2550.2750000000001</v>
      </c>
      <c r="E627" s="9">
        <f>+Tabla114[[#This Row],[PRECIO INSTALADOR (IVA INCLUIDO)]]/0.7</f>
        <v>3835.0000000000005</v>
      </c>
      <c r="F627" s="8">
        <v>0.85</v>
      </c>
      <c r="G627" s="16">
        <f>+Tabla114[[#This Row],[COSTO]]*1.19</f>
        <v>2281.8249999999998</v>
      </c>
      <c r="H627" s="26">
        <f>+Tabla114[[#This Row],[PRECIO INSTALADOR (IVA INCLUIDO)]]*5%</f>
        <v>134.22499999999999</v>
      </c>
      <c r="I627" s="25"/>
      <c r="J627" s="7">
        <v>1917.5</v>
      </c>
    </row>
    <row r="628" spans="1:10" ht="15" x14ac:dyDescent="0.25">
      <c r="A628" s="23" t="s">
        <v>1224</v>
      </c>
      <c r="B628" s="24" t="s">
        <v>1225</v>
      </c>
      <c r="C628" s="9">
        <f>+Tabla114[[#This Row],[COSTO CON IVA]]/Tabla114[[#This Row],[UTILIDAD]]</f>
        <v>4540.8999999999996</v>
      </c>
      <c r="D628" s="9">
        <f>+Tabla114[[#This Row],[PRECIO INSTALADOR (IVA INCLUIDO)]]-Tabla114[[#This Row],[DCTO TIENDA]]</f>
        <v>4313.8549999999996</v>
      </c>
      <c r="E628" s="9">
        <f>+Tabla114[[#This Row],[PRECIO INSTALADOR (IVA INCLUIDO)]]/0.7</f>
        <v>6487</v>
      </c>
      <c r="F628" s="8">
        <v>0.85</v>
      </c>
      <c r="G628" s="16">
        <f>+Tabla114[[#This Row],[COSTO]]*1.19</f>
        <v>3859.7649999999999</v>
      </c>
      <c r="H628" s="26">
        <f>+Tabla114[[#This Row],[PRECIO INSTALADOR (IVA INCLUIDO)]]*5%</f>
        <v>227.04499999999999</v>
      </c>
      <c r="I628" s="25"/>
      <c r="J628" s="7">
        <v>3243.5</v>
      </c>
    </row>
    <row r="629" spans="1:10" ht="15" x14ac:dyDescent="0.25">
      <c r="A629" s="23" t="s">
        <v>1226</v>
      </c>
      <c r="B629" s="24" t="s">
        <v>1227</v>
      </c>
      <c r="C629" s="9">
        <f>+Tabla114[[#This Row],[COSTO CON IVA]]/Tabla114[[#This Row],[UTILIDAD]]</f>
        <v>7653.0999999999995</v>
      </c>
      <c r="D629" s="9">
        <f>+Tabla114[[#This Row],[PRECIO INSTALADOR (IVA INCLUIDO)]]-Tabla114[[#This Row],[DCTO TIENDA]]</f>
        <v>7270.4449999999997</v>
      </c>
      <c r="E629" s="9">
        <f>+Tabla114[[#This Row],[PRECIO INSTALADOR (IVA INCLUIDO)]]/0.7</f>
        <v>10933</v>
      </c>
      <c r="F629" s="8">
        <v>0.85</v>
      </c>
      <c r="G629" s="16">
        <f>+Tabla114[[#This Row],[COSTO]]*1.19</f>
        <v>6505.1349999999993</v>
      </c>
      <c r="H629" s="26">
        <f>+Tabla114[[#This Row],[PRECIO INSTALADOR (IVA INCLUIDO)]]*5%</f>
        <v>382.65499999999997</v>
      </c>
      <c r="I629" s="25"/>
      <c r="J629" s="7">
        <v>5466.5</v>
      </c>
    </row>
    <row r="630" spans="1:10" ht="15" x14ac:dyDescent="0.25">
      <c r="A630" s="23" t="s">
        <v>1228</v>
      </c>
      <c r="B630" s="24" t="s">
        <v>1229</v>
      </c>
      <c r="C630" s="9">
        <f>+Tabla114[[#This Row],[COSTO CON IVA]]/Tabla114[[#This Row],[UTILIDAD]]</f>
        <v>7653.0999999999995</v>
      </c>
      <c r="D630" s="9">
        <f>+Tabla114[[#This Row],[PRECIO INSTALADOR (IVA INCLUIDO)]]-Tabla114[[#This Row],[DCTO TIENDA]]</f>
        <v>7270.4449999999997</v>
      </c>
      <c r="E630" s="9">
        <f>+Tabla114[[#This Row],[PRECIO INSTALADOR (IVA INCLUIDO)]]/0.7</f>
        <v>10933</v>
      </c>
      <c r="F630" s="8">
        <v>0.85</v>
      </c>
      <c r="G630" s="16">
        <f>+Tabla114[[#This Row],[COSTO]]*1.19</f>
        <v>6505.1349999999993</v>
      </c>
      <c r="H630" s="26">
        <f>+Tabla114[[#This Row],[PRECIO INSTALADOR (IVA INCLUIDO)]]*5%</f>
        <v>382.65499999999997</v>
      </c>
      <c r="I630" s="25"/>
      <c r="J630" s="7">
        <v>5466.5</v>
      </c>
    </row>
    <row r="631" spans="1:10" ht="15" x14ac:dyDescent="0.25">
      <c r="A631" s="23" t="s">
        <v>1230</v>
      </c>
      <c r="B631" s="24" t="s">
        <v>1231</v>
      </c>
      <c r="C631" s="9">
        <f>+Tabla114[[#This Row],[COSTO CON IVA]]/Tabla114[[#This Row],[UTILIDAD]]</f>
        <v>10101</v>
      </c>
      <c r="D631" s="9">
        <f>+Tabla114[[#This Row],[PRECIO INSTALADOR (IVA INCLUIDO)]]-Tabla114[[#This Row],[DCTO TIENDA]]</f>
        <v>9595.9500000000007</v>
      </c>
      <c r="E631" s="9">
        <f>+Tabla114[[#This Row],[PRECIO INSTALADOR (IVA INCLUIDO)]]/0.7</f>
        <v>14430.000000000002</v>
      </c>
      <c r="F631" s="8">
        <v>0.85</v>
      </c>
      <c r="G631" s="16">
        <f>+Tabla114[[#This Row],[COSTO]]*1.19</f>
        <v>8585.85</v>
      </c>
      <c r="H631" s="26">
        <f>+Tabla114[[#This Row],[PRECIO INSTALADOR (IVA INCLUIDO)]]*5%</f>
        <v>505.05</v>
      </c>
      <c r="I631" s="25"/>
      <c r="J631" s="7">
        <v>7215</v>
      </c>
    </row>
    <row r="632" spans="1:10" ht="15" x14ac:dyDescent="0.25">
      <c r="A632" s="23" t="s">
        <v>1232</v>
      </c>
      <c r="B632" s="24" t="s">
        <v>1233</v>
      </c>
      <c r="C632" s="9">
        <f>+Tabla114[[#This Row],[COSTO CON IVA]]/Tabla114[[#This Row],[UTILIDAD]]</f>
        <v>12794.6</v>
      </c>
      <c r="D632" s="9">
        <f>+Tabla114[[#This Row],[PRECIO INSTALADOR (IVA INCLUIDO)]]-Tabla114[[#This Row],[DCTO TIENDA]]</f>
        <v>12154.87</v>
      </c>
      <c r="E632" s="9">
        <f>+Tabla114[[#This Row],[PRECIO INSTALADOR (IVA INCLUIDO)]]/0.7</f>
        <v>18278</v>
      </c>
      <c r="F632" s="8">
        <v>0.85</v>
      </c>
      <c r="G632" s="16">
        <f>+Tabla114[[#This Row],[COSTO]]*1.19</f>
        <v>10875.41</v>
      </c>
      <c r="H632" s="26">
        <f>+Tabla114[[#This Row],[PRECIO INSTALADOR (IVA INCLUIDO)]]*5%</f>
        <v>639.73</v>
      </c>
      <c r="I632" s="25"/>
      <c r="J632" s="7">
        <v>9139</v>
      </c>
    </row>
    <row r="633" spans="1:10" ht="15" x14ac:dyDescent="0.25">
      <c r="A633" s="23" t="s">
        <v>1234</v>
      </c>
      <c r="B633" s="24" t="s">
        <v>1235</v>
      </c>
      <c r="C633" s="9">
        <f>+Tabla114[[#This Row],[COSTO CON IVA]]/Tabla114[[#This Row],[UTILIDAD]]</f>
        <v>16835</v>
      </c>
      <c r="D633" s="9">
        <f>+Tabla114[[#This Row],[PRECIO INSTALADOR (IVA INCLUIDO)]]-Tabla114[[#This Row],[DCTO TIENDA]]</f>
        <v>15993.25</v>
      </c>
      <c r="E633" s="9">
        <f>+Tabla114[[#This Row],[PRECIO INSTALADOR (IVA INCLUIDO)]]/0.7</f>
        <v>24050</v>
      </c>
      <c r="F633" s="8">
        <v>0.85</v>
      </c>
      <c r="G633" s="16">
        <f>+Tabla114[[#This Row],[COSTO]]*1.19</f>
        <v>14309.75</v>
      </c>
      <c r="H633" s="26">
        <f>+Tabla114[[#This Row],[PRECIO INSTALADOR (IVA INCLUIDO)]]*5%</f>
        <v>841.75</v>
      </c>
      <c r="I633" s="25"/>
      <c r="J633" s="7">
        <v>12025</v>
      </c>
    </row>
    <row r="634" spans="1:10" ht="15" x14ac:dyDescent="0.25">
      <c r="A634" s="23" t="s">
        <v>1236</v>
      </c>
      <c r="B634" s="24" t="s">
        <v>1237</v>
      </c>
      <c r="C634" s="9">
        <f>+Tabla114[[#This Row],[COSTO CON IVA]]/Tabla114[[#This Row],[UTILIDAD]]</f>
        <v>16835</v>
      </c>
      <c r="D634" s="9">
        <f>+Tabla114[[#This Row],[PRECIO INSTALADOR (IVA INCLUIDO)]]-Tabla114[[#This Row],[DCTO TIENDA]]</f>
        <v>15993.25</v>
      </c>
      <c r="E634" s="9">
        <f>+Tabla114[[#This Row],[PRECIO INSTALADOR (IVA INCLUIDO)]]/0.7</f>
        <v>24050</v>
      </c>
      <c r="F634" s="8">
        <v>0.85</v>
      </c>
      <c r="G634" s="16">
        <f>+Tabla114[[#This Row],[COSTO]]*1.19</f>
        <v>14309.75</v>
      </c>
      <c r="H634" s="26">
        <f>+Tabla114[[#This Row],[PRECIO INSTALADOR (IVA INCLUIDO)]]*5%</f>
        <v>841.75</v>
      </c>
      <c r="I634" s="25"/>
      <c r="J634" s="7">
        <v>12025</v>
      </c>
    </row>
    <row r="635" spans="1:10" ht="15" x14ac:dyDescent="0.25">
      <c r="A635" s="23" t="s">
        <v>1238</v>
      </c>
      <c r="B635" s="24" t="s">
        <v>1239</v>
      </c>
      <c r="C635" s="9">
        <f>+Tabla114[[#This Row],[COSTO CON IVA]]/Tabla114[[#This Row],[UTILIDAD]]</f>
        <v>21339.5</v>
      </c>
      <c r="D635" s="9">
        <f>+Tabla114[[#This Row],[PRECIO INSTALADOR (IVA INCLUIDO)]]-Tabla114[[#This Row],[DCTO TIENDA]]</f>
        <v>20272.525000000001</v>
      </c>
      <c r="E635" s="9">
        <f>+Tabla114[[#This Row],[PRECIO INSTALADOR (IVA INCLUIDO)]]/0.7</f>
        <v>30485.000000000004</v>
      </c>
      <c r="F635" s="8">
        <v>0.85</v>
      </c>
      <c r="G635" s="16">
        <f>+Tabla114[[#This Row],[COSTO]]*1.19</f>
        <v>18138.575000000001</v>
      </c>
      <c r="H635" s="26">
        <f>+Tabla114[[#This Row],[PRECIO INSTALADOR (IVA INCLUIDO)]]*5%</f>
        <v>1066.9750000000001</v>
      </c>
      <c r="I635" s="25"/>
      <c r="J635" s="7">
        <v>15242.5</v>
      </c>
    </row>
    <row r="636" spans="1:10" ht="15" x14ac:dyDescent="0.25">
      <c r="A636" s="23" t="s">
        <v>1240</v>
      </c>
      <c r="B636" s="24" t="s">
        <v>1241</v>
      </c>
      <c r="C636" s="9">
        <f>+Tabla114[[#This Row],[COSTO CON IVA]]/Tabla114[[#This Row],[UTILIDAD]]</f>
        <v>46364.5</v>
      </c>
      <c r="D636" s="9">
        <f>+Tabla114[[#This Row],[PRECIO INSTALADOR (IVA INCLUIDO)]]-Tabla114[[#This Row],[DCTO TIENDA]]</f>
        <v>44046.275000000001</v>
      </c>
      <c r="E636" s="9">
        <f>+Tabla114[[#This Row],[PRECIO INSTALADOR (IVA INCLUIDO)]]/0.7</f>
        <v>66235</v>
      </c>
      <c r="F636" s="8">
        <v>0.85</v>
      </c>
      <c r="G636" s="16">
        <f>+Tabla114[[#This Row],[COSTO]]*1.19</f>
        <v>39409.824999999997</v>
      </c>
      <c r="H636" s="26">
        <f>+Tabla114[[#This Row],[PRECIO INSTALADOR (IVA INCLUIDO)]]*5%</f>
        <v>2318.2249999999999</v>
      </c>
      <c r="I636" s="25"/>
      <c r="J636" s="7">
        <v>33117.5</v>
      </c>
    </row>
    <row r="637" spans="1:10" ht="15" x14ac:dyDescent="0.25">
      <c r="A637" s="23" t="s">
        <v>1242</v>
      </c>
      <c r="B637" s="24" t="s">
        <v>1243</v>
      </c>
      <c r="C637" s="9">
        <f>+Tabla114[[#This Row],[COSTO CON IVA]]/Tabla114[[#This Row],[UTILIDAD]]</f>
        <v>9664.2000000000007</v>
      </c>
      <c r="D637" s="9">
        <f>+Tabla114[[#This Row],[PRECIO INSTALADOR (IVA INCLUIDO)]]-Tabla114[[#This Row],[DCTO TIENDA]]</f>
        <v>9180.9900000000016</v>
      </c>
      <c r="E637" s="9">
        <f>+Tabla114[[#This Row],[PRECIO INSTALADOR (IVA INCLUIDO)]]/0.7</f>
        <v>13806.000000000002</v>
      </c>
      <c r="F637" s="8">
        <v>0.85</v>
      </c>
      <c r="G637" s="16">
        <f>+Tabla114[[#This Row],[COSTO]]*1.19</f>
        <v>8214.57</v>
      </c>
      <c r="H637" s="26">
        <f>+Tabla114[[#This Row],[PRECIO INSTALADOR (IVA INCLUIDO)]]*5%</f>
        <v>483.21000000000004</v>
      </c>
      <c r="I637" s="25"/>
      <c r="J637" s="7">
        <v>6903</v>
      </c>
    </row>
    <row r="638" spans="1:10" ht="15" x14ac:dyDescent="0.25">
      <c r="A638" s="23" t="s">
        <v>1244</v>
      </c>
      <c r="B638" s="24" t="s">
        <v>1245</v>
      </c>
      <c r="C638" s="9">
        <f>+Tabla114[[#This Row],[COSTO CON IVA]]/Tabla114[[#This Row],[UTILIDAD]]</f>
        <v>10164.699999999999</v>
      </c>
      <c r="D638" s="9">
        <f>+Tabla114[[#This Row],[PRECIO INSTALADOR (IVA INCLUIDO)]]-Tabla114[[#This Row],[DCTO TIENDA]]</f>
        <v>9656.4649999999983</v>
      </c>
      <c r="E638" s="9">
        <f>+Tabla114[[#This Row],[PRECIO INSTALADOR (IVA INCLUIDO)]]/0.7</f>
        <v>14521</v>
      </c>
      <c r="F638" s="8">
        <v>0.85</v>
      </c>
      <c r="G638" s="16">
        <f>+Tabla114[[#This Row],[COSTO]]*1.19</f>
        <v>8639.994999999999</v>
      </c>
      <c r="H638" s="26">
        <f>+Tabla114[[#This Row],[PRECIO INSTALADOR (IVA INCLUIDO)]]*5%</f>
        <v>508.23499999999996</v>
      </c>
      <c r="I638" s="25"/>
      <c r="J638" s="7">
        <v>7260.5</v>
      </c>
    </row>
    <row r="639" spans="1:10" ht="15" x14ac:dyDescent="0.25">
      <c r="A639" s="23" t="s">
        <v>1246</v>
      </c>
      <c r="B639" s="24" t="s">
        <v>1247</v>
      </c>
      <c r="C639" s="9">
        <f>+Tabla114[[#This Row],[COSTO CON IVA]]/Tabla114[[#This Row],[UTILIDAD]]</f>
        <v>10728.9</v>
      </c>
      <c r="D639" s="9">
        <f>+Tabla114[[#This Row],[PRECIO INSTALADOR (IVA INCLUIDO)]]-Tabla114[[#This Row],[DCTO TIENDA]]</f>
        <v>10192.455</v>
      </c>
      <c r="E639" s="9">
        <f>+Tabla114[[#This Row],[PRECIO INSTALADOR (IVA INCLUIDO)]]/0.7</f>
        <v>15327</v>
      </c>
      <c r="F639" s="8">
        <v>0.85</v>
      </c>
      <c r="G639" s="16">
        <f>+Tabla114[[#This Row],[COSTO]]*1.19</f>
        <v>9119.5649999999987</v>
      </c>
      <c r="H639" s="26">
        <f>+Tabla114[[#This Row],[PRECIO INSTALADOR (IVA INCLUIDO)]]*5%</f>
        <v>536.44500000000005</v>
      </c>
      <c r="I639" s="25"/>
      <c r="J639" s="7">
        <v>7663.5</v>
      </c>
    </row>
    <row r="640" spans="1:10" ht="15" x14ac:dyDescent="0.25">
      <c r="A640" s="23" t="s">
        <v>1248</v>
      </c>
      <c r="B640" s="24" t="s">
        <v>1249</v>
      </c>
      <c r="C640" s="9">
        <f>+Tabla114[[#This Row],[COSTO CON IVA]]/Tabla114[[#This Row],[UTILIDAD]]</f>
        <v>12203.1</v>
      </c>
      <c r="D640" s="9">
        <f>+Tabla114[[#This Row],[PRECIO INSTALADOR (IVA INCLUIDO)]]-Tabla114[[#This Row],[DCTO TIENDA]]</f>
        <v>11592.945</v>
      </c>
      <c r="E640" s="9">
        <f>+Tabla114[[#This Row],[PRECIO INSTALADOR (IVA INCLUIDO)]]/0.7</f>
        <v>17433</v>
      </c>
      <c r="F640" s="8">
        <v>0.85</v>
      </c>
      <c r="G640" s="16">
        <f>+Tabla114[[#This Row],[COSTO]]*1.19</f>
        <v>10372.635</v>
      </c>
      <c r="H640" s="26">
        <f>+Tabla114[[#This Row],[PRECIO INSTALADOR (IVA INCLUIDO)]]*5%</f>
        <v>610.15500000000009</v>
      </c>
      <c r="I640" s="25"/>
      <c r="J640" s="7">
        <v>8716.5</v>
      </c>
    </row>
    <row r="641" spans="1:10" ht="15" x14ac:dyDescent="0.25">
      <c r="A641" s="23" t="s">
        <v>1250</v>
      </c>
      <c r="B641" s="24" t="s">
        <v>1251</v>
      </c>
      <c r="C641" s="9">
        <f>+Tabla114[[#This Row],[COSTO CON IVA]]/Tabla114[[#This Row],[UTILIDAD]]</f>
        <v>11884.6</v>
      </c>
      <c r="D641" s="9">
        <f>+Tabla114[[#This Row],[PRECIO INSTALADOR (IVA INCLUIDO)]]-Tabla114[[#This Row],[DCTO TIENDA]]</f>
        <v>11290.37</v>
      </c>
      <c r="E641" s="9">
        <f>+Tabla114[[#This Row],[PRECIO INSTALADOR (IVA INCLUIDO)]]/0.7</f>
        <v>16978</v>
      </c>
      <c r="F641" s="8">
        <v>0.85</v>
      </c>
      <c r="G641" s="16">
        <f>+Tabla114[[#This Row],[COSTO]]*1.19</f>
        <v>10101.91</v>
      </c>
      <c r="H641" s="26">
        <f>+Tabla114[[#This Row],[PRECIO INSTALADOR (IVA INCLUIDO)]]*5%</f>
        <v>594.23</v>
      </c>
      <c r="I641" s="25"/>
      <c r="J641" s="7">
        <v>8489</v>
      </c>
    </row>
    <row r="642" spans="1:10" ht="15" x14ac:dyDescent="0.25">
      <c r="A642" s="23" t="s">
        <v>1252</v>
      </c>
      <c r="B642" s="24" t="s">
        <v>1253</v>
      </c>
      <c r="C642" s="9">
        <f>+Tabla114[[#This Row],[COSTO CON IVA]]/Tabla114[[#This Row],[UTILIDAD]]</f>
        <v>12730.9</v>
      </c>
      <c r="D642" s="9">
        <f>+Tabla114[[#This Row],[PRECIO INSTALADOR (IVA INCLUIDO)]]-Tabla114[[#This Row],[DCTO TIENDA]]</f>
        <v>12094.355</v>
      </c>
      <c r="E642" s="9">
        <f>+Tabla114[[#This Row],[PRECIO INSTALADOR (IVA INCLUIDO)]]/0.7</f>
        <v>18187</v>
      </c>
      <c r="F642" s="8">
        <v>0.85</v>
      </c>
      <c r="G642" s="16">
        <f>+Tabla114[[#This Row],[COSTO]]*1.19</f>
        <v>10821.264999999999</v>
      </c>
      <c r="H642" s="26">
        <f>+Tabla114[[#This Row],[PRECIO INSTALADOR (IVA INCLUIDO)]]*5%</f>
        <v>636.54500000000007</v>
      </c>
      <c r="I642" s="25"/>
      <c r="J642" s="7">
        <v>9093.5</v>
      </c>
    </row>
    <row r="643" spans="1:10" ht="15" x14ac:dyDescent="0.25">
      <c r="A643" s="23" t="s">
        <v>1254</v>
      </c>
      <c r="B643" s="24" t="s">
        <v>1255</v>
      </c>
      <c r="C643" s="9">
        <f>+Tabla114[[#This Row],[COSTO CON IVA]]/Tabla114[[#This Row],[UTILIDAD]]</f>
        <v>21785.4</v>
      </c>
      <c r="D643" s="9">
        <f>+Tabla114[[#This Row],[PRECIO INSTALADOR (IVA INCLUIDO)]]-Tabla114[[#This Row],[DCTO TIENDA]]</f>
        <v>20696.13</v>
      </c>
      <c r="E643" s="9">
        <f>+Tabla114[[#This Row],[PRECIO INSTALADOR (IVA INCLUIDO)]]/0.7</f>
        <v>31122.000000000004</v>
      </c>
      <c r="F643" s="8">
        <v>0.85</v>
      </c>
      <c r="G643" s="16">
        <f>+Tabla114[[#This Row],[COSTO]]*1.19</f>
        <v>18517.59</v>
      </c>
      <c r="H643" s="26">
        <f>+Tabla114[[#This Row],[PRECIO INSTALADOR (IVA INCLUIDO)]]*5%</f>
        <v>1089.2700000000002</v>
      </c>
      <c r="I643" s="25"/>
      <c r="J643" s="7">
        <v>15561</v>
      </c>
    </row>
    <row r="644" spans="1:10" ht="15" x14ac:dyDescent="0.25">
      <c r="A644" s="23" t="s">
        <v>1256</v>
      </c>
      <c r="B644" s="24" t="s">
        <v>1257</v>
      </c>
      <c r="C644" s="9">
        <f>+Tabla114[[#This Row],[COSTO CON IVA]]/Tabla114[[#This Row],[UTILIDAD]]</f>
        <v>37064.300000000003</v>
      </c>
      <c r="D644" s="9">
        <f>+Tabla114[[#This Row],[PRECIO INSTALADOR (IVA INCLUIDO)]]-Tabla114[[#This Row],[DCTO TIENDA]]</f>
        <v>35211.085000000006</v>
      </c>
      <c r="E644" s="9">
        <f>+Tabla114[[#This Row],[PRECIO INSTALADOR (IVA INCLUIDO)]]/0.7</f>
        <v>52949.000000000007</v>
      </c>
      <c r="F644" s="8">
        <v>0.85</v>
      </c>
      <c r="G644" s="16">
        <f>+Tabla114[[#This Row],[COSTO]]*1.19</f>
        <v>31504.654999999999</v>
      </c>
      <c r="H644" s="26">
        <f>+Tabla114[[#This Row],[PRECIO INSTALADOR (IVA INCLUIDO)]]*5%</f>
        <v>1853.2150000000001</v>
      </c>
      <c r="I644" s="25"/>
      <c r="J644" s="7">
        <v>26474.5</v>
      </c>
    </row>
    <row r="645" spans="1:10" ht="15" x14ac:dyDescent="0.25">
      <c r="A645" s="23" t="s">
        <v>1258</v>
      </c>
      <c r="B645" s="24" t="s">
        <v>1259</v>
      </c>
      <c r="C645" s="9">
        <f>+Tabla114[[#This Row],[COSTO CON IVA]]/Tabla114[[#This Row],[UTILIDAD]]</f>
        <v>42042</v>
      </c>
      <c r="D645" s="9">
        <f>+Tabla114[[#This Row],[PRECIO INSTALADOR (IVA INCLUIDO)]]-Tabla114[[#This Row],[DCTO TIENDA]]</f>
        <v>39939.9</v>
      </c>
      <c r="E645" s="9">
        <f>+Tabla114[[#This Row],[PRECIO INSTALADOR (IVA INCLUIDO)]]/0.7</f>
        <v>60060.000000000007</v>
      </c>
      <c r="F645" s="8">
        <v>0.85</v>
      </c>
      <c r="G645" s="16">
        <f>+Tabla114[[#This Row],[COSTO]]*1.19</f>
        <v>35735.699999999997</v>
      </c>
      <c r="H645" s="26">
        <f>+Tabla114[[#This Row],[PRECIO INSTALADOR (IVA INCLUIDO)]]*5%</f>
        <v>2102.1</v>
      </c>
      <c r="I645" s="25"/>
      <c r="J645" s="7">
        <v>30030</v>
      </c>
    </row>
    <row r="646" spans="1:10" ht="15" x14ac:dyDescent="0.25">
      <c r="A646" s="23" t="s">
        <v>1260</v>
      </c>
      <c r="B646" s="24" t="s">
        <v>1261</v>
      </c>
      <c r="C646" s="9">
        <f>+Tabla114[[#This Row],[COSTO CON IVA]]/Tabla114[[#This Row],[UTILIDAD]]</f>
        <v>9664.2000000000007</v>
      </c>
      <c r="D646" s="9">
        <f>+Tabla114[[#This Row],[PRECIO INSTALADOR (IVA INCLUIDO)]]-Tabla114[[#This Row],[DCTO TIENDA]]</f>
        <v>9180.9900000000016</v>
      </c>
      <c r="E646" s="9">
        <f>+Tabla114[[#This Row],[PRECIO INSTALADOR (IVA INCLUIDO)]]/0.7</f>
        <v>13806.000000000002</v>
      </c>
      <c r="F646" s="8">
        <v>0.85</v>
      </c>
      <c r="G646" s="16">
        <f>+Tabla114[[#This Row],[COSTO]]*1.19</f>
        <v>8214.57</v>
      </c>
      <c r="H646" s="26">
        <f>+Tabla114[[#This Row],[PRECIO INSTALADOR (IVA INCLUIDO)]]*5%</f>
        <v>483.21000000000004</v>
      </c>
      <c r="I646" s="25"/>
      <c r="J646" s="7">
        <v>6903</v>
      </c>
    </row>
    <row r="647" spans="1:10" ht="15" x14ac:dyDescent="0.25">
      <c r="A647" s="23" t="s">
        <v>1262</v>
      </c>
      <c r="B647" s="24" t="s">
        <v>1263</v>
      </c>
      <c r="C647" s="9">
        <f>+Tabla114[[#This Row],[COSTO CON IVA]]/Tabla114[[#This Row],[UTILIDAD]]</f>
        <v>10164.699999999999</v>
      </c>
      <c r="D647" s="9">
        <f>+Tabla114[[#This Row],[PRECIO INSTALADOR (IVA INCLUIDO)]]-Tabla114[[#This Row],[DCTO TIENDA]]</f>
        <v>9656.4649999999983</v>
      </c>
      <c r="E647" s="9">
        <f>+Tabla114[[#This Row],[PRECIO INSTALADOR (IVA INCLUIDO)]]/0.7</f>
        <v>14521</v>
      </c>
      <c r="F647" s="8">
        <v>0.85</v>
      </c>
      <c r="G647" s="16">
        <f>+Tabla114[[#This Row],[COSTO]]*1.19</f>
        <v>8639.994999999999</v>
      </c>
      <c r="H647" s="26">
        <f>+Tabla114[[#This Row],[PRECIO INSTALADOR (IVA INCLUIDO)]]*5%</f>
        <v>508.23499999999996</v>
      </c>
      <c r="I647" s="25"/>
      <c r="J647" s="7">
        <v>7260.5</v>
      </c>
    </row>
    <row r="648" spans="1:10" ht="15" x14ac:dyDescent="0.25">
      <c r="A648" s="23" t="s">
        <v>1264</v>
      </c>
      <c r="B648" s="24" t="s">
        <v>1265</v>
      </c>
      <c r="C648" s="9">
        <f>+Tabla114[[#This Row],[COSTO CON IVA]]/Tabla114[[#This Row],[UTILIDAD]]</f>
        <v>10728.9</v>
      </c>
      <c r="D648" s="9">
        <f>+Tabla114[[#This Row],[PRECIO INSTALADOR (IVA INCLUIDO)]]-Tabla114[[#This Row],[DCTO TIENDA]]</f>
        <v>10192.455</v>
      </c>
      <c r="E648" s="9">
        <f>+Tabla114[[#This Row],[PRECIO INSTALADOR (IVA INCLUIDO)]]/0.7</f>
        <v>15327</v>
      </c>
      <c r="F648" s="8">
        <v>0.85</v>
      </c>
      <c r="G648" s="16">
        <f>+Tabla114[[#This Row],[COSTO]]*1.19</f>
        <v>9119.5649999999987</v>
      </c>
      <c r="H648" s="26">
        <f>+Tabla114[[#This Row],[PRECIO INSTALADOR (IVA INCLUIDO)]]*5%</f>
        <v>536.44500000000005</v>
      </c>
      <c r="I648" s="25"/>
      <c r="J648" s="7">
        <v>7663.5</v>
      </c>
    </row>
    <row r="649" spans="1:10" ht="15" x14ac:dyDescent="0.25">
      <c r="A649" s="23" t="s">
        <v>1266</v>
      </c>
      <c r="B649" s="24" t="s">
        <v>1267</v>
      </c>
      <c r="C649" s="9">
        <f>+Tabla114[[#This Row],[COSTO CON IVA]]/Tabla114[[#This Row],[UTILIDAD]]</f>
        <v>12203.1</v>
      </c>
      <c r="D649" s="9">
        <f>+Tabla114[[#This Row],[PRECIO INSTALADOR (IVA INCLUIDO)]]-Tabla114[[#This Row],[DCTO TIENDA]]</f>
        <v>11592.945</v>
      </c>
      <c r="E649" s="9">
        <f>+Tabla114[[#This Row],[PRECIO INSTALADOR (IVA INCLUIDO)]]/0.7</f>
        <v>17433</v>
      </c>
      <c r="F649" s="8">
        <v>0.85</v>
      </c>
      <c r="G649" s="16">
        <f>+Tabla114[[#This Row],[COSTO]]*1.19</f>
        <v>10372.635</v>
      </c>
      <c r="H649" s="26">
        <f>+Tabla114[[#This Row],[PRECIO INSTALADOR (IVA INCLUIDO)]]*5%</f>
        <v>610.15500000000009</v>
      </c>
      <c r="I649" s="25"/>
      <c r="J649" s="7">
        <v>8716.5</v>
      </c>
    </row>
    <row r="650" spans="1:10" ht="15" x14ac:dyDescent="0.25">
      <c r="A650" s="23" t="s">
        <v>1268</v>
      </c>
      <c r="B650" s="24" t="s">
        <v>1269</v>
      </c>
      <c r="C650" s="9">
        <f>+Tabla114[[#This Row],[COSTO CON IVA]]/Tabla114[[#This Row],[UTILIDAD]]</f>
        <v>12430.6</v>
      </c>
      <c r="D650" s="9">
        <f>+Tabla114[[#This Row],[PRECIO INSTALADOR (IVA INCLUIDO)]]-Tabla114[[#This Row],[DCTO TIENDA]]</f>
        <v>11809.07</v>
      </c>
      <c r="E650" s="9">
        <f>+Tabla114[[#This Row],[PRECIO INSTALADOR (IVA INCLUIDO)]]/0.7</f>
        <v>17758</v>
      </c>
      <c r="F650" s="8">
        <v>0.85</v>
      </c>
      <c r="G650" s="16">
        <f>+Tabla114[[#This Row],[COSTO]]*1.19</f>
        <v>10566.01</v>
      </c>
      <c r="H650" s="26">
        <f>+Tabla114[[#This Row],[PRECIO INSTALADOR (IVA INCLUIDO)]]*5%</f>
        <v>621.53000000000009</v>
      </c>
      <c r="I650" s="25"/>
      <c r="J650" s="7">
        <v>8879</v>
      </c>
    </row>
    <row r="651" spans="1:10" ht="15" x14ac:dyDescent="0.25">
      <c r="A651" s="23" t="s">
        <v>1270</v>
      </c>
      <c r="B651" s="24" t="s">
        <v>1271</v>
      </c>
      <c r="C651" s="9">
        <f>+Tabla114[[#This Row],[COSTO CON IVA]]/Tabla114[[#This Row],[UTILIDAD]]</f>
        <v>12730.9</v>
      </c>
      <c r="D651" s="9">
        <f>+Tabla114[[#This Row],[PRECIO INSTALADOR (IVA INCLUIDO)]]-Tabla114[[#This Row],[DCTO TIENDA]]</f>
        <v>12094.355</v>
      </c>
      <c r="E651" s="9">
        <f>+Tabla114[[#This Row],[PRECIO INSTALADOR (IVA INCLUIDO)]]/0.7</f>
        <v>18187</v>
      </c>
      <c r="F651" s="8">
        <v>0.85</v>
      </c>
      <c r="G651" s="16">
        <f>+Tabla114[[#This Row],[COSTO]]*1.19</f>
        <v>10821.264999999999</v>
      </c>
      <c r="H651" s="26">
        <f>+Tabla114[[#This Row],[PRECIO INSTALADOR (IVA INCLUIDO)]]*5%</f>
        <v>636.54500000000007</v>
      </c>
      <c r="I651" s="25"/>
      <c r="J651" s="7">
        <v>9093.5</v>
      </c>
    </row>
    <row r="652" spans="1:10" ht="15" x14ac:dyDescent="0.25">
      <c r="A652" s="23" t="s">
        <v>1272</v>
      </c>
      <c r="B652" s="24" t="s">
        <v>1273</v>
      </c>
      <c r="C652" s="9">
        <f>+Tabla114[[#This Row],[COSTO CON IVA]]/Tabla114[[#This Row],[UTILIDAD]]</f>
        <v>21785.4</v>
      </c>
      <c r="D652" s="9">
        <f>+Tabla114[[#This Row],[PRECIO INSTALADOR (IVA INCLUIDO)]]-Tabla114[[#This Row],[DCTO TIENDA]]</f>
        <v>20696.13</v>
      </c>
      <c r="E652" s="9">
        <f>+Tabla114[[#This Row],[PRECIO INSTALADOR (IVA INCLUIDO)]]/0.7</f>
        <v>31122.000000000004</v>
      </c>
      <c r="F652" s="8">
        <v>0.85</v>
      </c>
      <c r="G652" s="16">
        <f>+Tabla114[[#This Row],[COSTO]]*1.19</f>
        <v>18517.59</v>
      </c>
      <c r="H652" s="26">
        <f>+Tabla114[[#This Row],[PRECIO INSTALADOR (IVA INCLUIDO)]]*5%</f>
        <v>1089.2700000000002</v>
      </c>
      <c r="I652" s="25"/>
      <c r="J652" s="7">
        <v>15561</v>
      </c>
    </row>
    <row r="653" spans="1:10" ht="15" x14ac:dyDescent="0.25">
      <c r="A653" s="23" t="s">
        <v>1274</v>
      </c>
      <c r="B653" s="24" t="s">
        <v>1275</v>
      </c>
      <c r="C653" s="9">
        <f>+Tabla114[[#This Row],[COSTO CON IVA]]/Tabla114[[#This Row],[UTILIDAD]]</f>
        <v>37064.300000000003</v>
      </c>
      <c r="D653" s="9">
        <f>+Tabla114[[#This Row],[PRECIO INSTALADOR (IVA INCLUIDO)]]-Tabla114[[#This Row],[DCTO TIENDA]]</f>
        <v>35211.085000000006</v>
      </c>
      <c r="E653" s="9">
        <f>+Tabla114[[#This Row],[PRECIO INSTALADOR (IVA INCLUIDO)]]/0.7</f>
        <v>52949.000000000007</v>
      </c>
      <c r="F653" s="8">
        <v>0.85</v>
      </c>
      <c r="G653" s="16">
        <f>+Tabla114[[#This Row],[COSTO]]*1.19</f>
        <v>31504.654999999999</v>
      </c>
      <c r="H653" s="26">
        <f>+Tabla114[[#This Row],[PRECIO INSTALADOR (IVA INCLUIDO)]]*5%</f>
        <v>1853.2150000000001</v>
      </c>
      <c r="I653" s="25"/>
      <c r="J653" s="7">
        <v>26474.5</v>
      </c>
    </row>
    <row r="654" spans="1:10" ht="15" x14ac:dyDescent="0.25">
      <c r="A654" s="23" t="s">
        <v>1276</v>
      </c>
      <c r="B654" s="24" t="s">
        <v>1277</v>
      </c>
      <c r="C654" s="9">
        <f>+Tabla114[[#This Row],[COSTO CON IVA]]/Tabla114[[#This Row],[UTILIDAD]]</f>
        <v>42042</v>
      </c>
      <c r="D654" s="9">
        <f>+Tabla114[[#This Row],[PRECIO INSTALADOR (IVA INCLUIDO)]]-Tabla114[[#This Row],[DCTO TIENDA]]</f>
        <v>39939.9</v>
      </c>
      <c r="E654" s="9">
        <f>+Tabla114[[#This Row],[PRECIO INSTALADOR (IVA INCLUIDO)]]/0.7</f>
        <v>60060.000000000007</v>
      </c>
      <c r="F654" s="8">
        <v>0.85</v>
      </c>
      <c r="G654" s="16">
        <f>+Tabla114[[#This Row],[COSTO]]*1.19</f>
        <v>35735.699999999997</v>
      </c>
      <c r="H654" s="26">
        <f>+Tabla114[[#This Row],[PRECIO INSTALADOR (IVA INCLUIDO)]]*5%</f>
        <v>2102.1</v>
      </c>
      <c r="I654" s="25"/>
      <c r="J654" s="7">
        <v>30030</v>
      </c>
    </row>
    <row r="655" spans="1:10" ht="15" x14ac:dyDescent="0.25">
      <c r="A655" s="23" t="s">
        <v>1278</v>
      </c>
      <c r="B655" s="24" t="s">
        <v>1279</v>
      </c>
      <c r="C655" s="9">
        <f>+Tabla114[[#This Row],[COSTO CON IVA]]/Tabla114[[#This Row],[UTILIDAD]]</f>
        <v>1110.2</v>
      </c>
      <c r="D655" s="9">
        <f>+Tabla114[[#This Row],[PRECIO INSTALADOR (IVA INCLUIDO)]]-Tabla114[[#This Row],[DCTO TIENDA]]</f>
        <v>1054.69</v>
      </c>
      <c r="E655" s="9">
        <f>+Tabla114[[#This Row],[PRECIO INSTALADOR (IVA INCLUIDO)]]/0.7</f>
        <v>1586.0000000000002</v>
      </c>
      <c r="F655" s="8">
        <v>0.85</v>
      </c>
      <c r="G655" s="16">
        <f>+Tabla114[[#This Row],[COSTO]]*1.19</f>
        <v>943.67</v>
      </c>
      <c r="H655" s="26">
        <f>+Tabla114[[#This Row],[PRECIO INSTALADOR (IVA INCLUIDO)]]*5%</f>
        <v>55.510000000000005</v>
      </c>
      <c r="I655" s="25"/>
      <c r="J655" s="7">
        <v>793</v>
      </c>
    </row>
    <row r="656" spans="1:10" ht="15" x14ac:dyDescent="0.25">
      <c r="A656" s="23" t="s">
        <v>1280</v>
      </c>
      <c r="B656" s="24" t="s">
        <v>1281</v>
      </c>
      <c r="C656" s="9">
        <f>+Tabla114[[#This Row],[COSTO CON IVA]]/Tabla114[[#This Row],[UTILIDAD]]</f>
        <v>1547</v>
      </c>
      <c r="D656" s="9">
        <f>+Tabla114[[#This Row],[PRECIO INSTALADOR (IVA INCLUIDO)]]-Tabla114[[#This Row],[DCTO TIENDA]]</f>
        <v>1469.65</v>
      </c>
      <c r="E656" s="9">
        <f>+Tabla114[[#This Row],[PRECIO INSTALADOR (IVA INCLUIDO)]]/0.7</f>
        <v>2210</v>
      </c>
      <c r="F656" s="8">
        <v>0.85</v>
      </c>
      <c r="G656" s="16">
        <f>+Tabla114[[#This Row],[COSTO]]*1.19</f>
        <v>1314.95</v>
      </c>
      <c r="H656" s="26">
        <f>+Tabla114[[#This Row],[PRECIO INSTALADOR (IVA INCLUIDO)]]*5%</f>
        <v>77.350000000000009</v>
      </c>
      <c r="I656" s="25"/>
      <c r="J656" s="7">
        <v>1105</v>
      </c>
    </row>
    <row r="657" spans="1:10" ht="15" x14ac:dyDescent="0.25">
      <c r="A657" s="23" t="s">
        <v>1282</v>
      </c>
      <c r="B657" s="24" t="s">
        <v>1283</v>
      </c>
      <c r="C657" s="9">
        <f>+Tabla114[[#This Row],[COSTO CON IVA]]/Tabla114[[#This Row],[UTILIDAD]]</f>
        <v>1992.8999999999999</v>
      </c>
      <c r="D657" s="9">
        <f>+Tabla114[[#This Row],[PRECIO INSTALADOR (IVA INCLUIDO)]]-Tabla114[[#This Row],[DCTO TIENDA]]</f>
        <v>1893.2549999999999</v>
      </c>
      <c r="E657" s="9">
        <f>+Tabla114[[#This Row],[PRECIO INSTALADOR (IVA INCLUIDO)]]/0.7</f>
        <v>2847</v>
      </c>
      <c r="F657" s="8">
        <v>0.85</v>
      </c>
      <c r="G657" s="16">
        <f>+Tabla114[[#This Row],[COSTO]]*1.19</f>
        <v>1693.9649999999999</v>
      </c>
      <c r="H657" s="26">
        <f>+Tabla114[[#This Row],[PRECIO INSTALADOR (IVA INCLUIDO)]]*5%</f>
        <v>99.644999999999996</v>
      </c>
      <c r="I657" s="25"/>
      <c r="J657" s="7">
        <v>1423.5</v>
      </c>
    </row>
    <row r="658" spans="1:10" ht="15" x14ac:dyDescent="0.25">
      <c r="A658" s="23" t="s">
        <v>1284</v>
      </c>
      <c r="B658" s="24" t="s">
        <v>1285</v>
      </c>
      <c r="C658" s="9">
        <f>+Tabla114[[#This Row],[COSTO CON IVA]]/Tabla114[[#This Row],[UTILIDAD]]</f>
        <v>4104.0999999999995</v>
      </c>
      <c r="D658" s="9">
        <f>+Tabla114[[#This Row],[PRECIO INSTALADOR (IVA INCLUIDO)]]-Tabla114[[#This Row],[DCTO TIENDA]]</f>
        <v>3898.8949999999995</v>
      </c>
      <c r="E658" s="9">
        <f>+Tabla114[[#This Row],[PRECIO INSTALADOR (IVA INCLUIDO)]]/0.7</f>
        <v>5863</v>
      </c>
      <c r="F658" s="8">
        <v>0.85</v>
      </c>
      <c r="G658" s="16">
        <f>+Tabla114[[#This Row],[COSTO]]*1.19</f>
        <v>3488.4849999999997</v>
      </c>
      <c r="H658" s="26">
        <f>+Tabla114[[#This Row],[PRECIO INSTALADOR (IVA INCLUIDO)]]*5%</f>
        <v>205.20499999999998</v>
      </c>
      <c r="I658" s="25"/>
      <c r="J658" s="7">
        <v>2931.5</v>
      </c>
    </row>
    <row r="659" spans="1:10" ht="15" x14ac:dyDescent="0.25">
      <c r="A659" s="23" t="s">
        <v>1286</v>
      </c>
      <c r="B659" s="24" t="s">
        <v>1287</v>
      </c>
      <c r="C659" s="9">
        <f>+Tabla114[[#This Row],[COSTO CON IVA]]/Tabla114[[#This Row],[UTILIDAD]]</f>
        <v>4768.3999999999996</v>
      </c>
      <c r="D659" s="9">
        <f>+Tabla114[[#This Row],[PRECIO INSTALADOR (IVA INCLUIDO)]]-Tabla114[[#This Row],[DCTO TIENDA]]</f>
        <v>4529.9799999999996</v>
      </c>
      <c r="E659" s="9">
        <f>+Tabla114[[#This Row],[PRECIO INSTALADOR (IVA INCLUIDO)]]/0.7</f>
        <v>6812</v>
      </c>
      <c r="F659" s="8">
        <v>0.85</v>
      </c>
      <c r="G659" s="16">
        <f>+Tabla114[[#This Row],[COSTO]]*1.19</f>
        <v>4053.14</v>
      </c>
      <c r="H659" s="26">
        <f>+Tabla114[[#This Row],[PRECIO INSTALADOR (IVA INCLUIDO)]]*5%</f>
        <v>238.42</v>
      </c>
      <c r="I659" s="25"/>
      <c r="J659" s="7">
        <v>3406</v>
      </c>
    </row>
    <row r="660" spans="1:10" ht="15" x14ac:dyDescent="0.25">
      <c r="A660" s="23" t="s">
        <v>1288</v>
      </c>
      <c r="B660" s="24" t="s">
        <v>1289</v>
      </c>
      <c r="C660" s="9">
        <f>+Tabla114[[#This Row],[COSTO CON IVA]]/Tabla114[[#This Row],[UTILIDAD]]</f>
        <v>5655.65</v>
      </c>
      <c r="D660" s="9">
        <f>+Tabla114[[#This Row],[PRECIO INSTALADOR (IVA INCLUIDO)]]-Tabla114[[#This Row],[DCTO TIENDA]]</f>
        <v>5372.8674999999994</v>
      </c>
      <c r="E660" s="9">
        <f>+Tabla114[[#This Row],[PRECIO INSTALADOR (IVA INCLUIDO)]]/0.7</f>
        <v>8079.5</v>
      </c>
      <c r="F660" s="8">
        <v>0.85</v>
      </c>
      <c r="G660" s="16">
        <f>+Tabla114[[#This Row],[COSTO]]*1.19</f>
        <v>4807.3024999999998</v>
      </c>
      <c r="H660" s="26">
        <f>+Tabla114[[#This Row],[PRECIO INSTALADOR (IVA INCLUIDO)]]*5%</f>
        <v>282.78249999999997</v>
      </c>
      <c r="I660" s="25"/>
      <c r="J660" s="7">
        <v>4039.75</v>
      </c>
    </row>
    <row r="661" spans="1:10" ht="15" x14ac:dyDescent="0.25">
      <c r="A661" s="23" t="s">
        <v>1290</v>
      </c>
      <c r="B661" s="24" t="s">
        <v>1291</v>
      </c>
      <c r="C661" s="9">
        <f>+Tabla114[[#This Row],[COSTO CON IVA]]/Tabla114[[#This Row],[UTILIDAD]]</f>
        <v>11083.8</v>
      </c>
      <c r="D661" s="9">
        <f>+Tabla114[[#This Row],[PRECIO INSTALADOR (IVA INCLUIDO)]]-Tabla114[[#This Row],[DCTO TIENDA]]</f>
        <v>10529.609999999999</v>
      </c>
      <c r="E661" s="9">
        <f>+Tabla114[[#This Row],[PRECIO INSTALADOR (IVA INCLUIDO)]]/0.7</f>
        <v>15834</v>
      </c>
      <c r="F661" s="8">
        <v>0.85</v>
      </c>
      <c r="G661" s="16">
        <f>+Tabla114[[#This Row],[COSTO]]*1.19</f>
        <v>9421.23</v>
      </c>
      <c r="H661" s="26">
        <f>+Tabla114[[#This Row],[PRECIO INSTALADOR (IVA INCLUIDO)]]*5%</f>
        <v>554.18999999999994</v>
      </c>
      <c r="I661" s="25"/>
      <c r="J661" s="7">
        <v>7917</v>
      </c>
    </row>
    <row r="662" spans="1:10" ht="15" x14ac:dyDescent="0.25">
      <c r="A662" s="23" t="s">
        <v>1292</v>
      </c>
      <c r="B662" s="24" t="s">
        <v>1293</v>
      </c>
      <c r="C662" s="9">
        <f>+Tabla114[[#This Row],[COSTO CON IVA]]/Tabla114[[#This Row],[UTILIDAD]]</f>
        <v>1082.8999999999999</v>
      </c>
      <c r="D662" s="9">
        <f>+Tabla114[[#This Row],[PRECIO INSTALADOR (IVA INCLUIDO)]]-Tabla114[[#This Row],[DCTO TIENDA]]</f>
        <v>1028.7549999999999</v>
      </c>
      <c r="E662" s="9">
        <f>+Tabla114[[#This Row],[PRECIO INSTALADOR (IVA INCLUIDO)]]/0.7</f>
        <v>1547</v>
      </c>
      <c r="F662" s="8">
        <v>0.85</v>
      </c>
      <c r="G662" s="16">
        <f>+Tabla114[[#This Row],[COSTO]]*1.19</f>
        <v>920.46499999999992</v>
      </c>
      <c r="H662" s="26">
        <f>+Tabla114[[#This Row],[PRECIO INSTALADOR (IVA INCLUIDO)]]*5%</f>
        <v>54.144999999999996</v>
      </c>
      <c r="I662" s="25"/>
      <c r="J662" s="7">
        <v>773.5</v>
      </c>
    </row>
    <row r="663" spans="1:10" ht="15" x14ac:dyDescent="0.25">
      <c r="A663" s="23" t="s">
        <v>1294</v>
      </c>
      <c r="B663" s="24" t="s">
        <v>1295</v>
      </c>
      <c r="C663" s="9">
        <f>+Tabla114[[#This Row],[COSTO CON IVA]]/Tabla114[[#This Row],[UTILIDAD]]</f>
        <v>1082.8999999999999</v>
      </c>
      <c r="D663" s="9">
        <f>+Tabla114[[#This Row],[PRECIO INSTALADOR (IVA INCLUIDO)]]-Tabla114[[#This Row],[DCTO TIENDA]]</f>
        <v>1028.7549999999999</v>
      </c>
      <c r="E663" s="9">
        <f>+Tabla114[[#This Row],[PRECIO INSTALADOR (IVA INCLUIDO)]]/0.7</f>
        <v>1547</v>
      </c>
      <c r="F663" s="8">
        <v>0.85</v>
      </c>
      <c r="G663" s="16">
        <f>+Tabla114[[#This Row],[COSTO]]*1.19</f>
        <v>920.46499999999992</v>
      </c>
      <c r="H663" s="26">
        <f>+Tabla114[[#This Row],[PRECIO INSTALADOR (IVA INCLUIDO)]]*5%</f>
        <v>54.144999999999996</v>
      </c>
      <c r="I663" s="25"/>
      <c r="J663" s="7">
        <v>773.5</v>
      </c>
    </row>
    <row r="664" spans="1:10" ht="15" x14ac:dyDescent="0.25">
      <c r="A664" s="23" t="s">
        <v>1296</v>
      </c>
      <c r="B664" s="24" t="s">
        <v>1297</v>
      </c>
      <c r="C664" s="9">
        <f>+Tabla114[[#This Row],[COSTO CON IVA]]/Tabla114[[#This Row],[UTILIDAD]]</f>
        <v>1592.5</v>
      </c>
      <c r="D664" s="9">
        <f>+Tabla114[[#This Row],[PRECIO INSTALADOR (IVA INCLUIDO)]]-Tabla114[[#This Row],[DCTO TIENDA]]</f>
        <v>1512.875</v>
      </c>
      <c r="E664" s="9">
        <f>+Tabla114[[#This Row],[PRECIO INSTALADOR (IVA INCLUIDO)]]/0.7</f>
        <v>2275</v>
      </c>
      <c r="F664" s="8">
        <v>0.85</v>
      </c>
      <c r="G664" s="16">
        <f>+Tabla114[[#This Row],[COSTO]]*1.19</f>
        <v>1353.625</v>
      </c>
      <c r="H664" s="26">
        <f>+Tabla114[[#This Row],[PRECIO INSTALADOR (IVA INCLUIDO)]]*5%</f>
        <v>79.625</v>
      </c>
      <c r="I664" s="25"/>
      <c r="J664" s="7">
        <v>1137.5</v>
      </c>
    </row>
    <row r="665" spans="1:10" ht="15" x14ac:dyDescent="0.25">
      <c r="A665" s="23" t="s">
        <v>1298</v>
      </c>
      <c r="B665" s="24" t="s">
        <v>1299</v>
      </c>
      <c r="C665" s="9">
        <f>+Tabla114[[#This Row],[COSTO CON IVA]]/Tabla114[[#This Row],[UTILIDAD]]</f>
        <v>1264.9000000000001</v>
      </c>
      <c r="D665" s="9">
        <f>+Tabla114[[#This Row],[PRECIO INSTALADOR (IVA INCLUIDO)]]-Tabla114[[#This Row],[DCTO TIENDA]]</f>
        <v>1201.6550000000002</v>
      </c>
      <c r="E665" s="9">
        <f>+Tabla114[[#This Row],[PRECIO INSTALADOR (IVA INCLUIDO)]]/0.7</f>
        <v>1807.0000000000002</v>
      </c>
      <c r="F665" s="8">
        <v>0.85</v>
      </c>
      <c r="G665" s="16">
        <f>+Tabla114[[#This Row],[COSTO]]*1.19</f>
        <v>1075.165</v>
      </c>
      <c r="H665" s="26">
        <f>+Tabla114[[#This Row],[PRECIO INSTALADOR (IVA INCLUIDO)]]*5%</f>
        <v>63.245000000000005</v>
      </c>
      <c r="I665" s="25"/>
      <c r="J665" s="7">
        <v>903.5</v>
      </c>
    </row>
    <row r="666" spans="1:10" ht="15" x14ac:dyDescent="0.25">
      <c r="A666" s="23" t="s">
        <v>1300</v>
      </c>
      <c r="B666" s="24" t="s">
        <v>1301</v>
      </c>
      <c r="C666" s="9">
        <f>+Tabla114[[#This Row],[COSTO CON IVA]]/Tabla114[[#This Row],[UTILIDAD]]</f>
        <v>2174.9</v>
      </c>
      <c r="D666" s="9">
        <f>+Tabla114[[#This Row],[PRECIO INSTALADOR (IVA INCLUIDO)]]-Tabla114[[#This Row],[DCTO TIENDA]]</f>
        <v>2066.1550000000002</v>
      </c>
      <c r="E666" s="9">
        <f>+Tabla114[[#This Row],[PRECIO INSTALADOR (IVA INCLUIDO)]]/0.7</f>
        <v>3107.0000000000005</v>
      </c>
      <c r="F666" s="8">
        <v>0.85</v>
      </c>
      <c r="G666" s="16">
        <f>+Tabla114[[#This Row],[COSTO]]*1.19</f>
        <v>1848.665</v>
      </c>
      <c r="H666" s="26">
        <f>+Tabla114[[#This Row],[PRECIO INSTALADOR (IVA INCLUIDO)]]*5%</f>
        <v>108.745</v>
      </c>
      <c r="I666" s="25"/>
      <c r="J666" s="7">
        <v>1553.5</v>
      </c>
    </row>
    <row r="667" spans="1:10" ht="15" x14ac:dyDescent="0.25">
      <c r="A667" s="23" t="s">
        <v>1302</v>
      </c>
      <c r="B667" s="24" t="s">
        <v>1303</v>
      </c>
      <c r="C667" s="9">
        <f>+Tabla114[[#This Row],[COSTO CON IVA]]/Tabla114[[#This Row],[UTILIDAD]]</f>
        <v>3321.5</v>
      </c>
      <c r="D667" s="9">
        <f>+Tabla114[[#This Row],[PRECIO INSTALADOR (IVA INCLUIDO)]]-Tabla114[[#This Row],[DCTO TIENDA]]</f>
        <v>3155.4250000000002</v>
      </c>
      <c r="E667" s="9">
        <f>+Tabla114[[#This Row],[PRECIO INSTALADOR (IVA INCLUIDO)]]/0.7</f>
        <v>4745</v>
      </c>
      <c r="F667" s="8">
        <v>0.85</v>
      </c>
      <c r="G667" s="16">
        <f>+Tabla114[[#This Row],[COSTO]]*1.19</f>
        <v>2823.2750000000001</v>
      </c>
      <c r="H667" s="26">
        <f>+Tabla114[[#This Row],[PRECIO INSTALADOR (IVA INCLUIDO)]]*5%</f>
        <v>166.07500000000002</v>
      </c>
      <c r="I667" s="25"/>
      <c r="J667" s="7">
        <v>2372.5</v>
      </c>
    </row>
    <row r="668" spans="1:10" ht="15" x14ac:dyDescent="0.25">
      <c r="A668" s="23" t="s">
        <v>1304</v>
      </c>
      <c r="B668" s="24" t="s">
        <v>1305</v>
      </c>
      <c r="C668" s="9">
        <f>+Tabla114[[#This Row],[COSTO CON IVA]]/Tabla114[[#This Row],[UTILIDAD]]</f>
        <v>2502.5</v>
      </c>
      <c r="D668" s="9">
        <f>+Tabla114[[#This Row],[PRECIO INSTALADOR (IVA INCLUIDO)]]-Tabla114[[#This Row],[DCTO TIENDA]]</f>
        <v>2377.375</v>
      </c>
      <c r="E668" s="9">
        <f>+Tabla114[[#This Row],[PRECIO INSTALADOR (IVA INCLUIDO)]]/0.7</f>
        <v>3575</v>
      </c>
      <c r="F668" s="8">
        <v>0.85</v>
      </c>
      <c r="G668" s="16">
        <f>+Tabla114[[#This Row],[COSTO]]*1.19</f>
        <v>2127.125</v>
      </c>
      <c r="H668" s="26">
        <f>+Tabla114[[#This Row],[PRECIO INSTALADOR (IVA INCLUIDO)]]*5%</f>
        <v>125.125</v>
      </c>
      <c r="I668" s="25"/>
      <c r="J668" s="7">
        <v>1787.5</v>
      </c>
    </row>
    <row r="669" spans="1:10" ht="15" x14ac:dyDescent="0.25">
      <c r="A669" s="23" t="s">
        <v>1306</v>
      </c>
      <c r="B669" s="24" t="s">
        <v>1307</v>
      </c>
      <c r="C669" s="9">
        <f>+Tabla114[[#This Row],[COSTO CON IVA]]/Tabla114[[#This Row],[UTILIDAD]]</f>
        <v>1346.8</v>
      </c>
      <c r="D669" s="9">
        <f>+Tabla114[[#This Row],[PRECIO INSTALADOR (IVA INCLUIDO)]]-Tabla114[[#This Row],[DCTO TIENDA]]</f>
        <v>1279.46</v>
      </c>
      <c r="E669" s="9">
        <f>+Tabla114[[#This Row],[PRECIO INSTALADOR (IVA INCLUIDO)]]/0.7</f>
        <v>1924</v>
      </c>
      <c r="F669" s="8">
        <v>0.85</v>
      </c>
      <c r="G669" s="16">
        <f>+Tabla114[[#This Row],[COSTO]]*1.19</f>
        <v>1144.78</v>
      </c>
      <c r="H669" s="26">
        <f>+Tabla114[[#This Row],[PRECIO INSTALADOR (IVA INCLUIDO)]]*5%</f>
        <v>67.34</v>
      </c>
      <c r="I669" s="25"/>
      <c r="J669" s="7">
        <v>962</v>
      </c>
    </row>
    <row r="670" spans="1:10" ht="15" x14ac:dyDescent="0.25">
      <c r="A670" s="23" t="s">
        <v>1308</v>
      </c>
      <c r="B670" s="24" t="s">
        <v>1309</v>
      </c>
      <c r="C670" s="9">
        <f>+Tabla114[[#This Row],[COSTO CON IVA]]/Tabla114[[#This Row],[UTILIDAD]]</f>
        <v>2229.5</v>
      </c>
      <c r="D670" s="9">
        <f>+Tabla114[[#This Row],[PRECIO INSTALADOR (IVA INCLUIDO)]]-Tabla114[[#This Row],[DCTO TIENDA]]</f>
        <v>2118.0250000000001</v>
      </c>
      <c r="E670" s="9">
        <f>+Tabla114[[#This Row],[PRECIO INSTALADOR (IVA INCLUIDO)]]/0.7</f>
        <v>3185</v>
      </c>
      <c r="F670" s="8">
        <v>0.85</v>
      </c>
      <c r="G670" s="16">
        <f>+Tabla114[[#This Row],[COSTO]]*1.19</f>
        <v>1895.0749999999998</v>
      </c>
      <c r="H670" s="26">
        <f>+Tabla114[[#This Row],[PRECIO INSTALADOR (IVA INCLUIDO)]]*5%</f>
        <v>111.47500000000001</v>
      </c>
      <c r="I670" s="25"/>
      <c r="J670" s="7">
        <v>1592.5</v>
      </c>
    </row>
    <row r="671" spans="1:10" ht="15" x14ac:dyDescent="0.25">
      <c r="A671" s="23" t="s">
        <v>1310</v>
      </c>
      <c r="B671" s="24" t="s">
        <v>1311</v>
      </c>
      <c r="C671" s="9">
        <f>+Tabla114[[#This Row],[COSTO CON IVA]]/Tabla114[[#This Row],[UTILIDAD]]</f>
        <v>1719.9</v>
      </c>
      <c r="D671" s="9">
        <f>+Tabla114[[#This Row],[PRECIO INSTALADOR (IVA INCLUIDO)]]-Tabla114[[#This Row],[DCTO TIENDA]]</f>
        <v>1633.9050000000002</v>
      </c>
      <c r="E671" s="9">
        <f>+Tabla114[[#This Row],[PRECIO INSTALADOR (IVA INCLUIDO)]]/0.7</f>
        <v>2457.0000000000005</v>
      </c>
      <c r="F671" s="8">
        <v>0.85</v>
      </c>
      <c r="G671" s="16">
        <f>+Tabla114[[#This Row],[COSTO]]*1.19</f>
        <v>1461.915</v>
      </c>
      <c r="H671" s="26">
        <f>+Tabla114[[#This Row],[PRECIO INSTALADOR (IVA INCLUIDO)]]*5%</f>
        <v>85.995000000000005</v>
      </c>
      <c r="I671" s="25"/>
      <c r="J671" s="7">
        <v>1228.5</v>
      </c>
    </row>
    <row r="672" spans="1:10" ht="15" x14ac:dyDescent="0.25">
      <c r="A672" s="23" t="s">
        <v>1312</v>
      </c>
      <c r="B672" s="24" t="s">
        <v>1313</v>
      </c>
      <c r="C672" s="9">
        <f>+Tabla114[[#This Row],[COSTO CON IVA]]/Tabla114[[#This Row],[UTILIDAD]]</f>
        <v>9009</v>
      </c>
      <c r="D672" s="9">
        <f>+Tabla114[[#This Row],[PRECIO INSTALADOR (IVA INCLUIDO)]]-Tabla114[[#This Row],[DCTO TIENDA]]</f>
        <v>8558.5499999999993</v>
      </c>
      <c r="E672" s="9">
        <f>+Tabla114[[#This Row],[PRECIO INSTALADOR (IVA INCLUIDO)]]/0.7</f>
        <v>12870</v>
      </c>
      <c r="F672" s="8">
        <v>0.85</v>
      </c>
      <c r="G672" s="16">
        <f>+Tabla114[[#This Row],[COSTO]]*1.19</f>
        <v>7657.65</v>
      </c>
      <c r="H672" s="26">
        <f>+Tabla114[[#This Row],[PRECIO INSTALADOR (IVA INCLUIDO)]]*5%</f>
        <v>450.45000000000005</v>
      </c>
      <c r="I672" s="25"/>
      <c r="J672" s="7">
        <v>6435</v>
      </c>
    </row>
    <row r="673" spans="1:10" ht="15" x14ac:dyDescent="0.25">
      <c r="A673" s="23" t="s">
        <v>1314</v>
      </c>
      <c r="B673" s="24" t="s">
        <v>1315</v>
      </c>
      <c r="C673" s="9">
        <f>+Tabla114[[#This Row],[COSTO CON IVA]]/Tabla114[[#This Row],[UTILIDAD]]</f>
        <v>4358.9000000000005</v>
      </c>
      <c r="D673" s="9">
        <f>+Tabla114[[#This Row],[PRECIO INSTALADOR (IVA INCLUIDO)]]-Tabla114[[#This Row],[DCTO TIENDA]]</f>
        <v>4140.9550000000008</v>
      </c>
      <c r="E673" s="9">
        <f>+Tabla114[[#This Row],[PRECIO INSTALADOR (IVA INCLUIDO)]]/0.7</f>
        <v>6227.0000000000009</v>
      </c>
      <c r="F673" s="8">
        <v>0.85</v>
      </c>
      <c r="G673" s="16">
        <f>+Tabla114[[#This Row],[COSTO]]*1.19</f>
        <v>3705.0650000000001</v>
      </c>
      <c r="H673" s="26">
        <f>+Tabla114[[#This Row],[PRECIO INSTALADOR (IVA INCLUIDO)]]*5%</f>
        <v>217.94500000000005</v>
      </c>
      <c r="I673" s="25"/>
      <c r="J673" s="7">
        <v>3113.5</v>
      </c>
    </row>
    <row r="674" spans="1:10" ht="15" x14ac:dyDescent="0.25">
      <c r="A674" s="23" t="s">
        <v>1316</v>
      </c>
      <c r="B674" s="24" t="s">
        <v>1317</v>
      </c>
      <c r="C674" s="9">
        <f>+Tabla114[[#This Row],[COSTO CON IVA]]/Tabla114[[#This Row],[UTILIDAD]]</f>
        <v>20247.5</v>
      </c>
      <c r="D674" s="9">
        <f>+Tabla114[[#This Row],[PRECIO INSTALADOR (IVA INCLUIDO)]]-Tabla114[[#This Row],[DCTO TIENDA]]</f>
        <v>19235.125</v>
      </c>
      <c r="E674" s="9">
        <f>+Tabla114[[#This Row],[PRECIO INSTALADOR (IVA INCLUIDO)]]/0.7</f>
        <v>28925.000000000004</v>
      </c>
      <c r="F674" s="8">
        <v>0.85</v>
      </c>
      <c r="G674" s="16">
        <f>+Tabla114[[#This Row],[COSTO]]*1.19</f>
        <v>17210.375</v>
      </c>
      <c r="H674" s="26">
        <f>+Tabla114[[#This Row],[PRECIO INSTALADOR (IVA INCLUIDO)]]*5%</f>
        <v>1012.375</v>
      </c>
      <c r="I674" s="25"/>
      <c r="J674" s="7">
        <v>14462.5</v>
      </c>
    </row>
    <row r="675" spans="1:10" ht="15" x14ac:dyDescent="0.25">
      <c r="A675" s="23" t="s">
        <v>1318</v>
      </c>
      <c r="B675" s="24" t="s">
        <v>1319</v>
      </c>
      <c r="C675" s="9">
        <f>+Tabla114[[#This Row],[COSTO CON IVA]]/Tabla114[[#This Row],[UTILIDAD]]</f>
        <v>26617.5</v>
      </c>
      <c r="D675" s="9">
        <f>+Tabla114[[#This Row],[PRECIO INSTALADOR (IVA INCLUIDO)]]-Tabla114[[#This Row],[DCTO TIENDA]]</f>
        <v>25286.625</v>
      </c>
      <c r="E675" s="9">
        <f>+Tabla114[[#This Row],[PRECIO INSTALADOR (IVA INCLUIDO)]]/0.7</f>
        <v>38025</v>
      </c>
      <c r="F675" s="8">
        <v>0.85</v>
      </c>
      <c r="G675" s="16">
        <f>+Tabla114[[#This Row],[COSTO]]*1.19</f>
        <v>22624.875</v>
      </c>
      <c r="H675" s="26">
        <f>+Tabla114[[#This Row],[PRECIO INSTALADOR (IVA INCLUIDO)]]*5%</f>
        <v>1330.875</v>
      </c>
      <c r="I675" s="25"/>
      <c r="J675" s="7">
        <v>19012.5</v>
      </c>
    </row>
    <row r="676" spans="1:10" ht="15" x14ac:dyDescent="0.25">
      <c r="A676" s="23" t="s">
        <v>1320</v>
      </c>
      <c r="B676" s="24" t="s">
        <v>1321</v>
      </c>
      <c r="C676" s="9">
        <f>+Tabla114[[#This Row],[COSTO CON IVA]]/Tabla114[[#This Row],[UTILIDAD]]</f>
        <v>23205</v>
      </c>
      <c r="D676" s="9">
        <f>+Tabla114[[#This Row],[PRECIO INSTALADOR (IVA INCLUIDO)]]-Tabla114[[#This Row],[DCTO TIENDA]]</f>
        <v>22044.75</v>
      </c>
      <c r="E676" s="9">
        <f>+Tabla114[[#This Row],[PRECIO INSTALADOR (IVA INCLUIDO)]]/0.7</f>
        <v>33150</v>
      </c>
      <c r="F676" s="8">
        <v>0.85</v>
      </c>
      <c r="G676" s="16">
        <f>+Tabla114[[#This Row],[COSTO]]*1.19</f>
        <v>19724.25</v>
      </c>
      <c r="H676" s="26">
        <f>+Tabla114[[#This Row],[PRECIO INSTALADOR (IVA INCLUIDO)]]*5%</f>
        <v>1160.25</v>
      </c>
      <c r="I676" s="25"/>
      <c r="J676" s="7">
        <v>16575</v>
      </c>
    </row>
    <row r="677" spans="1:10" ht="15" x14ac:dyDescent="0.25">
      <c r="A677" s="23" t="s">
        <v>1322</v>
      </c>
      <c r="B677" s="24" t="s">
        <v>1323</v>
      </c>
      <c r="C677" s="9">
        <f>+Tabla114[[#This Row],[COSTO CON IVA]]/Tabla114[[#This Row],[UTILIDAD]]</f>
        <v>25935</v>
      </c>
      <c r="D677" s="9">
        <f>+Tabla114[[#This Row],[PRECIO INSTALADOR (IVA INCLUIDO)]]-Tabla114[[#This Row],[DCTO TIENDA]]</f>
        <v>24638.25</v>
      </c>
      <c r="E677" s="9">
        <f>+Tabla114[[#This Row],[PRECIO INSTALADOR (IVA INCLUIDO)]]/0.7</f>
        <v>37050</v>
      </c>
      <c r="F677" s="8">
        <v>0.85</v>
      </c>
      <c r="G677" s="16">
        <f>+Tabla114[[#This Row],[COSTO]]*1.19</f>
        <v>22044.75</v>
      </c>
      <c r="H677" s="26">
        <f>+Tabla114[[#This Row],[PRECIO INSTALADOR (IVA INCLUIDO)]]*5%</f>
        <v>1296.75</v>
      </c>
      <c r="I677" s="25"/>
      <c r="J677" s="7">
        <v>18525</v>
      </c>
    </row>
    <row r="678" spans="1:10" ht="15" x14ac:dyDescent="0.25">
      <c r="A678" s="23" t="s">
        <v>1324</v>
      </c>
      <c r="B678" s="24" t="s">
        <v>1325</v>
      </c>
      <c r="C678" s="9">
        <f>+Tabla114[[#This Row],[COSTO CON IVA]]/Tabla114[[#This Row],[UTILIDAD]]</f>
        <v>31167.5</v>
      </c>
      <c r="D678" s="9">
        <f>+Tabla114[[#This Row],[PRECIO INSTALADOR (IVA INCLUIDO)]]-Tabla114[[#This Row],[DCTO TIENDA]]</f>
        <v>29609.125</v>
      </c>
      <c r="E678" s="9">
        <f>+Tabla114[[#This Row],[PRECIO INSTALADOR (IVA INCLUIDO)]]/0.7</f>
        <v>44525</v>
      </c>
      <c r="F678" s="8">
        <v>0.85</v>
      </c>
      <c r="G678" s="16">
        <f>+Tabla114[[#This Row],[COSTO]]*1.19</f>
        <v>26492.375</v>
      </c>
      <c r="H678" s="26">
        <f>+Tabla114[[#This Row],[PRECIO INSTALADOR (IVA INCLUIDO)]]*5%</f>
        <v>1558.375</v>
      </c>
      <c r="I678" s="25"/>
      <c r="J678" s="7">
        <v>22262.5</v>
      </c>
    </row>
    <row r="679" spans="1:10" ht="15" x14ac:dyDescent="0.25">
      <c r="A679" s="23" t="s">
        <v>1326</v>
      </c>
      <c r="B679" s="24" t="s">
        <v>1327</v>
      </c>
      <c r="C679" s="9">
        <f>+Tabla114[[#This Row],[COSTO CON IVA]]/Tabla114[[#This Row],[UTILIDAD]]</f>
        <v>35035</v>
      </c>
      <c r="D679" s="9">
        <f>+Tabla114[[#This Row],[PRECIO INSTALADOR (IVA INCLUIDO)]]-Tabla114[[#This Row],[DCTO TIENDA]]</f>
        <v>33283.25</v>
      </c>
      <c r="E679" s="9">
        <f>+Tabla114[[#This Row],[PRECIO INSTALADOR (IVA INCLUIDO)]]/0.7</f>
        <v>50050</v>
      </c>
      <c r="F679" s="8">
        <v>0.85</v>
      </c>
      <c r="G679" s="16">
        <f>+Tabla114[[#This Row],[COSTO]]*1.19</f>
        <v>29779.75</v>
      </c>
      <c r="H679" s="26">
        <f>+Tabla114[[#This Row],[PRECIO INSTALADOR (IVA INCLUIDO)]]*5%</f>
        <v>1751.75</v>
      </c>
      <c r="I679" s="25"/>
      <c r="J679" s="7">
        <v>25025</v>
      </c>
    </row>
    <row r="680" spans="1:10" ht="15" x14ac:dyDescent="0.25">
      <c r="A680" s="23" t="s">
        <v>1328</v>
      </c>
      <c r="B680" s="24" t="s">
        <v>1329</v>
      </c>
      <c r="C680" s="9">
        <f>+Tabla114[[#This Row],[COSTO CON IVA]]/Tabla114[[#This Row],[UTILIDAD]]</f>
        <v>518.70000000000005</v>
      </c>
      <c r="D680" s="9">
        <f>+Tabla114[[#This Row],[PRECIO INSTALADOR (IVA INCLUIDO)]]-Tabla114[[#This Row],[DCTO TIENDA]]</f>
        <v>492.76500000000004</v>
      </c>
      <c r="E680" s="9">
        <f>+Tabla114[[#This Row],[PRECIO INSTALADOR (IVA INCLUIDO)]]/0.7</f>
        <v>741.00000000000011</v>
      </c>
      <c r="F680" s="8">
        <v>0.85</v>
      </c>
      <c r="G680" s="16">
        <f>+Tabla114[[#This Row],[COSTO]]*1.19</f>
        <v>440.89499999999998</v>
      </c>
      <c r="H680" s="26">
        <f>+Tabla114[[#This Row],[PRECIO INSTALADOR (IVA INCLUIDO)]]*5%</f>
        <v>25.935000000000002</v>
      </c>
      <c r="I680" s="25"/>
      <c r="J680" s="7">
        <v>370.5</v>
      </c>
    </row>
    <row r="681" spans="1:10" ht="15" x14ac:dyDescent="0.25">
      <c r="A681" s="23" t="s">
        <v>1330</v>
      </c>
      <c r="B681" s="24" t="s">
        <v>1331</v>
      </c>
      <c r="C681" s="9">
        <f>+Tabla114[[#This Row],[COSTO CON IVA]]/Tabla114[[#This Row],[UTILIDAD]]</f>
        <v>564.20000000000005</v>
      </c>
      <c r="D681" s="9">
        <f>+Tabla114[[#This Row],[PRECIO INSTALADOR (IVA INCLUIDO)]]-Tabla114[[#This Row],[DCTO TIENDA]]</f>
        <v>535.99</v>
      </c>
      <c r="E681" s="9">
        <f>+Tabla114[[#This Row],[PRECIO INSTALADOR (IVA INCLUIDO)]]/0.7</f>
        <v>806.00000000000011</v>
      </c>
      <c r="F681" s="8">
        <v>0.85</v>
      </c>
      <c r="G681" s="16">
        <f>+Tabla114[[#This Row],[COSTO]]*1.19</f>
        <v>479.57</v>
      </c>
      <c r="H681" s="26">
        <f>+Tabla114[[#This Row],[PRECIO INSTALADOR (IVA INCLUIDO)]]*5%</f>
        <v>28.210000000000004</v>
      </c>
      <c r="I681" s="25"/>
      <c r="J681" s="7">
        <v>403</v>
      </c>
    </row>
    <row r="682" spans="1:10" ht="15" x14ac:dyDescent="0.25">
      <c r="A682" s="23" t="s">
        <v>1332</v>
      </c>
      <c r="B682" s="24" t="s">
        <v>1333</v>
      </c>
      <c r="C682" s="9">
        <f>+Tabla114[[#This Row],[COSTO CON IVA]]/Tabla114[[#This Row],[UTILIDAD]]</f>
        <v>627.90000000000009</v>
      </c>
      <c r="D682" s="9">
        <f>+Tabla114[[#This Row],[PRECIO INSTALADOR (IVA INCLUIDO)]]-Tabla114[[#This Row],[DCTO TIENDA]]</f>
        <v>596.50500000000011</v>
      </c>
      <c r="E682" s="9">
        <f>+Tabla114[[#This Row],[PRECIO INSTALADOR (IVA INCLUIDO)]]/0.7</f>
        <v>897.00000000000023</v>
      </c>
      <c r="F682" s="8">
        <v>0.85</v>
      </c>
      <c r="G682" s="16">
        <f>+Tabla114[[#This Row],[COSTO]]*1.19</f>
        <v>533.71500000000003</v>
      </c>
      <c r="H682" s="26">
        <f>+Tabla114[[#This Row],[PRECIO INSTALADOR (IVA INCLUIDO)]]*5%</f>
        <v>31.395000000000007</v>
      </c>
      <c r="I682" s="25"/>
      <c r="J682" s="7">
        <v>448.5</v>
      </c>
    </row>
    <row r="683" spans="1:10" ht="15" x14ac:dyDescent="0.25">
      <c r="A683" s="23" t="s">
        <v>1334</v>
      </c>
      <c r="B683" s="24" t="s">
        <v>1335</v>
      </c>
      <c r="C683" s="9">
        <f>+Tabla114[[#This Row],[COSTO CON IVA]]/Tabla114[[#This Row],[UTILIDAD]]</f>
        <v>546</v>
      </c>
      <c r="D683" s="9">
        <f>+Tabla114[[#This Row],[PRECIO INSTALADOR (IVA INCLUIDO)]]-Tabla114[[#This Row],[DCTO TIENDA]]</f>
        <v>518.70000000000005</v>
      </c>
      <c r="E683" s="9">
        <f>+Tabla114[[#This Row],[PRECIO INSTALADOR (IVA INCLUIDO)]]/0.7</f>
        <v>780</v>
      </c>
      <c r="F683" s="8">
        <v>0.85</v>
      </c>
      <c r="G683" s="16">
        <f>+Tabla114[[#This Row],[COSTO]]*1.19</f>
        <v>464.09999999999997</v>
      </c>
      <c r="H683" s="26">
        <f>+Tabla114[[#This Row],[PRECIO INSTALADOR (IVA INCLUIDO)]]*5%</f>
        <v>27.3</v>
      </c>
      <c r="I683" s="25"/>
      <c r="J683" s="7">
        <v>390</v>
      </c>
    </row>
    <row r="684" spans="1:10" ht="15" x14ac:dyDescent="0.25">
      <c r="A684" s="23" t="s">
        <v>1336</v>
      </c>
      <c r="B684" s="24" t="s">
        <v>1337</v>
      </c>
      <c r="C684" s="9">
        <f>+Tabla114[[#This Row],[COSTO CON IVA]]/Tabla114[[#This Row],[UTILIDAD]]</f>
        <v>518.70000000000005</v>
      </c>
      <c r="D684" s="9">
        <f>+Tabla114[[#This Row],[PRECIO INSTALADOR (IVA INCLUIDO)]]-Tabla114[[#This Row],[DCTO TIENDA]]</f>
        <v>492.76500000000004</v>
      </c>
      <c r="E684" s="9">
        <f>+Tabla114[[#This Row],[PRECIO INSTALADOR (IVA INCLUIDO)]]/0.7</f>
        <v>741.00000000000011</v>
      </c>
      <c r="F684" s="8">
        <v>0.85</v>
      </c>
      <c r="G684" s="16">
        <f>+Tabla114[[#This Row],[COSTO]]*1.19</f>
        <v>440.89499999999998</v>
      </c>
      <c r="H684" s="26">
        <f>+Tabla114[[#This Row],[PRECIO INSTALADOR (IVA INCLUIDO)]]*5%</f>
        <v>25.935000000000002</v>
      </c>
      <c r="I684" s="25"/>
      <c r="J684" s="7">
        <v>370.5</v>
      </c>
    </row>
    <row r="685" spans="1:10" ht="15" x14ac:dyDescent="0.25">
      <c r="A685" s="23" t="s">
        <v>1338</v>
      </c>
      <c r="B685" s="24" t="s">
        <v>1339</v>
      </c>
      <c r="C685" s="9">
        <f>+Tabla114[[#This Row],[COSTO CON IVA]]/Tabla114[[#This Row],[UTILIDAD]]</f>
        <v>564.20000000000005</v>
      </c>
      <c r="D685" s="9">
        <f>+Tabla114[[#This Row],[PRECIO INSTALADOR (IVA INCLUIDO)]]-Tabla114[[#This Row],[DCTO TIENDA]]</f>
        <v>535.99</v>
      </c>
      <c r="E685" s="9">
        <f>+Tabla114[[#This Row],[PRECIO INSTALADOR (IVA INCLUIDO)]]/0.7</f>
        <v>806.00000000000011</v>
      </c>
      <c r="F685" s="8">
        <v>0.85</v>
      </c>
      <c r="G685" s="16">
        <f>+Tabla114[[#This Row],[COSTO]]*1.19</f>
        <v>479.57</v>
      </c>
      <c r="H685" s="26">
        <f>+Tabla114[[#This Row],[PRECIO INSTALADOR (IVA INCLUIDO)]]*5%</f>
        <v>28.210000000000004</v>
      </c>
      <c r="I685" s="25"/>
      <c r="J685" s="7">
        <v>403</v>
      </c>
    </row>
    <row r="686" spans="1:10" ht="15" x14ac:dyDescent="0.25">
      <c r="A686" s="23" t="s">
        <v>1340</v>
      </c>
      <c r="B686" s="24" t="s">
        <v>1341</v>
      </c>
      <c r="C686" s="9">
        <f>+Tabla114[[#This Row],[COSTO CON IVA]]/Tabla114[[#This Row],[UTILIDAD]]</f>
        <v>627.90000000000009</v>
      </c>
      <c r="D686" s="9">
        <f>+Tabla114[[#This Row],[PRECIO INSTALADOR (IVA INCLUIDO)]]-Tabla114[[#This Row],[DCTO TIENDA]]</f>
        <v>596.50500000000011</v>
      </c>
      <c r="E686" s="9">
        <f>+Tabla114[[#This Row],[PRECIO INSTALADOR (IVA INCLUIDO)]]/0.7</f>
        <v>897.00000000000023</v>
      </c>
      <c r="F686" s="8">
        <v>0.85</v>
      </c>
      <c r="G686" s="16">
        <f>+Tabla114[[#This Row],[COSTO]]*1.19</f>
        <v>533.71500000000003</v>
      </c>
      <c r="H686" s="26">
        <f>+Tabla114[[#This Row],[PRECIO INSTALADOR (IVA INCLUIDO)]]*5%</f>
        <v>31.395000000000007</v>
      </c>
      <c r="I686" s="25"/>
      <c r="J686" s="7">
        <v>448.5</v>
      </c>
    </row>
    <row r="687" spans="1:10" ht="15" x14ac:dyDescent="0.25">
      <c r="A687" s="23" t="s">
        <v>1342</v>
      </c>
      <c r="B687" s="24" t="s">
        <v>1343</v>
      </c>
      <c r="C687" s="9">
        <f>+Tabla114[[#This Row],[COSTO CON IVA]]/Tabla114[[#This Row],[UTILIDAD]]</f>
        <v>546</v>
      </c>
      <c r="D687" s="9">
        <f>+Tabla114[[#This Row],[PRECIO INSTALADOR (IVA INCLUIDO)]]-Tabla114[[#This Row],[DCTO TIENDA]]</f>
        <v>518.70000000000005</v>
      </c>
      <c r="E687" s="9">
        <f>+Tabla114[[#This Row],[PRECIO INSTALADOR (IVA INCLUIDO)]]/0.7</f>
        <v>780</v>
      </c>
      <c r="F687" s="8">
        <v>0.85</v>
      </c>
      <c r="G687" s="16">
        <f>+Tabla114[[#This Row],[COSTO]]*1.19</f>
        <v>464.09999999999997</v>
      </c>
      <c r="H687" s="26">
        <f>+Tabla114[[#This Row],[PRECIO INSTALADOR (IVA INCLUIDO)]]*5%</f>
        <v>27.3</v>
      </c>
      <c r="I687" s="25"/>
      <c r="J687" s="7">
        <v>390</v>
      </c>
    </row>
    <row r="688" spans="1:10" ht="15" x14ac:dyDescent="0.25">
      <c r="A688" s="23" t="s">
        <v>1344</v>
      </c>
      <c r="B688" s="24" t="s">
        <v>1345</v>
      </c>
      <c r="C688" s="9">
        <f>+Tabla114[[#This Row],[COSTO CON IVA]]/Tabla114[[#This Row],[UTILIDAD]]</f>
        <v>864.49999999999989</v>
      </c>
      <c r="D688" s="9">
        <f>+Tabla114[[#This Row],[PRECIO INSTALADOR (IVA INCLUIDO)]]-Tabla114[[#This Row],[DCTO TIENDA]]</f>
        <v>821.27499999999986</v>
      </c>
      <c r="E688" s="9">
        <f>+Tabla114[[#This Row],[PRECIO INSTALADOR (IVA INCLUIDO)]]/0.7</f>
        <v>1235</v>
      </c>
      <c r="F688" s="8">
        <v>0.85</v>
      </c>
      <c r="G688" s="16">
        <f>+Tabla114[[#This Row],[COSTO]]*1.19</f>
        <v>734.82499999999993</v>
      </c>
      <c r="H688" s="26">
        <f>+Tabla114[[#This Row],[PRECIO INSTALADOR (IVA INCLUIDO)]]*5%</f>
        <v>43.224999999999994</v>
      </c>
      <c r="I688" s="25"/>
      <c r="J688" s="7">
        <v>617.5</v>
      </c>
    </row>
    <row r="689" spans="1:10" ht="15" x14ac:dyDescent="0.25">
      <c r="A689" s="23" t="s">
        <v>1346</v>
      </c>
      <c r="B689" s="24" t="s">
        <v>1347</v>
      </c>
      <c r="C689" s="9">
        <f>+Tabla114[[#This Row],[COSTO CON IVA]]/Tabla114[[#This Row],[UTILIDAD]]</f>
        <v>1137.5</v>
      </c>
      <c r="D689" s="9">
        <f>+Tabla114[[#This Row],[PRECIO INSTALADOR (IVA INCLUIDO)]]-Tabla114[[#This Row],[DCTO TIENDA]]</f>
        <v>1080.625</v>
      </c>
      <c r="E689" s="9">
        <f>+Tabla114[[#This Row],[PRECIO INSTALADOR (IVA INCLUIDO)]]/0.7</f>
        <v>1625</v>
      </c>
      <c r="F689" s="8">
        <v>0.85</v>
      </c>
      <c r="G689" s="16">
        <f>+Tabla114[[#This Row],[COSTO]]*1.19</f>
        <v>966.875</v>
      </c>
      <c r="H689" s="26">
        <f>+Tabla114[[#This Row],[PRECIO INSTALADOR (IVA INCLUIDO)]]*5%</f>
        <v>56.875</v>
      </c>
      <c r="I689" s="25"/>
      <c r="J689" s="7">
        <v>812.5</v>
      </c>
    </row>
    <row r="690" spans="1:10" ht="15" x14ac:dyDescent="0.25">
      <c r="A690" s="23" t="s">
        <v>1348</v>
      </c>
      <c r="B690" s="24" t="s">
        <v>1349</v>
      </c>
      <c r="C690" s="9">
        <f>+Tabla114[[#This Row],[COSTO CON IVA]]/Tabla114[[#This Row],[UTILIDAD]]</f>
        <v>900.9</v>
      </c>
      <c r="D690" s="9">
        <f>+Tabla114[[#This Row],[PRECIO INSTALADOR (IVA INCLUIDO)]]-Tabla114[[#This Row],[DCTO TIENDA]]</f>
        <v>855.85500000000002</v>
      </c>
      <c r="E690" s="9">
        <f>+Tabla114[[#This Row],[PRECIO INSTALADOR (IVA INCLUIDO)]]/0.7</f>
        <v>1287</v>
      </c>
      <c r="F690" s="8">
        <v>0.85</v>
      </c>
      <c r="G690" s="16">
        <f>+Tabla114[[#This Row],[COSTO]]*1.19</f>
        <v>765.76499999999999</v>
      </c>
      <c r="H690" s="26">
        <f>+Tabla114[[#This Row],[PRECIO INSTALADOR (IVA INCLUIDO)]]*5%</f>
        <v>45.045000000000002</v>
      </c>
      <c r="I690" s="25"/>
      <c r="J690" s="7">
        <v>643.5</v>
      </c>
    </row>
    <row r="691" spans="1:10" ht="15" x14ac:dyDescent="0.25">
      <c r="A691" s="23" t="s">
        <v>1350</v>
      </c>
      <c r="B691" s="24" t="s">
        <v>1351</v>
      </c>
      <c r="C691" s="9">
        <f>+Tabla114[[#This Row],[COSTO CON IVA]]/Tabla114[[#This Row],[UTILIDAD]]</f>
        <v>200.2</v>
      </c>
      <c r="D691" s="9">
        <f>+Tabla114[[#This Row],[PRECIO INSTALADOR (IVA INCLUIDO)]]-Tabla114[[#This Row],[DCTO TIENDA]]</f>
        <v>190.19</v>
      </c>
      <c r="E691" s="9">
        <f>+Tabla114[[#This Row],[PRECIO INSTALADOR (IVA INCLUIDO)]]/0.7</f>
        <v>286</v>
      </c>
      <c r="F691" s="8">
        <v>0.85</v>
      </c>
      <c r="G691" s="16">
        <f>+Tabla114[[#This Row],[COSTO]]*1.19</f>
        <v>170.17</v>
      </c>
      <c r="H691" s="26">
        <f>+Tabla114[[#This Row],[PRECIO INSTALADOR (IVA INCLUIDO)]]*5%</f>
        <v>10.01</v>
      </c>
      <c r="I691" s="25"/>
      <c r="J691" s="7">
        <v>143</v>
      </c>
    </row>
    <row r="692" spans="1:10" ht="15" x14ac:dyDescent="0.25">
      <c r="A692" s="23" t="s">
        <v>1352</v>
      </c>
      <c r="B692" s="24" t="s">
        <v>1353</v>
      </c>
      <c r="C692" s="9">
        <f>+Tabla114[[#This Row],[COSTO CON IVA]]/Tabla114[[#This Row],[UTILIDAD]]</f>
        <v>254.79999999999998</v>
      </c>
      <c r="D692" s="9">
        <f>+Tabla114[[#This Row],[PRECIO INSTALADOR (IVA INCLUIDO)]]-Tabla114[[#This Row],[DCTO TIENDA]]</f>
        <v>242.05999999999997</v>
      </c>
      <c r="E692" s="9">
        <f>+Tabla114[[#This Row],[PRECIO INSTALADOR (IVA INCLUIDO)]]/0.7</f>
        <v>364</v>
      </c>
      <c r="F692" s="8">
        <v>0.85</v>
      </c>
      <c r="G692" s="16">
        <f>+Tabla114[[#This Row],[COSTO]]*1.19</f>
        <v>216.57999999999998</v>
      </c>
      <c r="H692" s="26">
        <f>+Tabla114[[#This Row],[PRECIO INSTALADOR (IVA INCLUIDO)]]*5%</f>
        <v>12.74</v>
      </c>
      <c r="I692" s="25"/>
      <c r="J692" s="7">
        <v>182</v>
      </c>
    </row>
    <row r="693" spans="1:10" ht="15" x14ac:dyDescent="0.25">
      <c r="A693" s="23" t="s">
        <v>1354</v>
      </c>
      <c r="B693" s="24" t="s">
        <v>1355</v>
      </c>
      <c r="C693" s="9">
        <f>+Tabla114[[#This Row],[COSTO CON IVA]]/Tabla114[[#This Row],[UTILIDAD]]</f>
        <v>377.65000000000003</v>
      </c>
      <c r="D693" s="9">
        <f>+Tabla114[[#This Row],[PRECIO INSTALADOR (IVA INCLUIDO)]]-Tabla114[[#This Row],[DCTO TIENDA]]</f>
        <v>358.76750000000004</v>
      </c>
      <c r="E693" s="9">
        <f>+Tabla114[[#This Row],[PRECIO INSTALADOR (IVA INCLUIDO)]]/0.7</f>
        <v>539.50000000000011</v>
      </c>
      <c r="F693" s="8">
        <v>0.85</v>
      </c>
      <c r="G693" s="16">
        <f>+Tabla114[[#This Row],[COSTO]]*1.19</f>
        <v>321.0025</v>
      </c>
      <c r="H693" s="26">
        <f>+Tabla114[[#This Row],[PRECIO INSTALADOR (IVA INCLUIDO)]]*5%</f>
        <v>18.882500000000004</v>
      </c>
      <c r="I693" s="25"/>
      <c r="J693" s="7">
        <v>269.75</v>
      </c>
    </row>
    <row r="694" spans="1:10" ht="15" x14ac:dyDescent="0.25">
      <c r="A694" s="23" t="s">
        <v>1356</v>
      </c>
      <c r="B694" s="24" t="s">
        <v>1357</v>
      </c>
      <c r="C694" s="9">
        <f>+Tabla114[[#This Row],[COSTO CON IVA]]/Tabla114[[#This Row],[UTILIDAD]]</f>
        <v>591.5</v>
      </c>
      <c r="D694" s="9">
        <f>+Tabla114[[#This Row],[PRECIO INSTALADOR (IVA INCLUIDO)]]-Tabla114[[#This Row],[DCTO TIENDA]]</f>
        <v>561.92499999999995</v>
      </c>
      <c r="E694" s="9">
        <f>+Tabla114[[#This Row],[PRECIO INSTALADOR (IVA INCLUIDO)]]/0.7</f>
        <v>845</v>
      </c>
      <c r="F694" s="8">
        <v>0.85</v>
      </c>
      <c r="G694" s="16">
        <f>+Tabla114[[#This Row],[COSTO]]*1.19</f>
        <v>502.77499999999998</v>
      </c>
      <c r="H694" s="26">
        <f>+Tabla114[[#This Row],[PRECIO INSTALADOR (IVA INCLUIDO)]]*5%</f>
        <v>29.575000000000003</v>
      </c>
      <c r="I694" s="25"/>
      <c r="J694" s="7">
        <v>422.5</v>
      </c>
    </row>
    <row r="695" spans="1:10" ht="15" x14ac:dyDescent="0.25">
      <c r="A695" s="23" t="s">
        <v>1358</v>
      </c>
      <c r="B695" s="24" t="s">
        <v>1359</v>
      </c>
      <c r="C695" s="9">
        <f>+Tabla114[[#This Row],[COSTO CON IVA]]/Tabla114[[#This Row],[UTILIDAD]]</f>
        <v>213.85</v>
      </c>
      <c r="D695" s="9">
        <f>+Tabla114[[#This Row],[PRECIO INSTALADOR (IVA INCLUIDO)]]-Tabla114[[#This Row],[DCTO TIENDA]]</f>
        <v>203.1575</v>
      </c>
      <c r="E695" s="9">
        <f>+Tabla114[[#This Row],[PRECIO INSTALADOR (IVA INCLUIDO)]]/0.7</f>
        <v>305.5</v>
      </c>
      <c r="F695" s="8">
        <v>0.85</v>
      </c>
      <c r="G695" s="16">
        <f>+Tabla114[[#This Row],[COSTO]]*1.19</f>
        <v>181.77249999999998</v>
      </c>
      <c r="H695" s="26">
        <f>+Tabla114[[#This Row],[PRECIO INSTALADOR (IVA INCLUIDO)]]*5%</f>
        <v>10.692500000000001</v>
      </c>
      <c r="I695" s="25"/>
      <c r="J695" s="7">
        <v>152.75</v>
      </c>
    </row>
    <row r="696" spans="1:10" ht="15" x14ac:dyDescent="0.25">
      <c r="A696" s="23" t="s">
        <v>1360</v>
      </c>
      <c r="B696" s="24" t="s">
        <v>1361</v>
      </c>
      <c r="C696" s="9">
        <f>+Tabla114[[#This Row],[COSTO CON IVA]]/Tabla114[[#This Row],[UTILIDAD]]</f>
        <v>268.45</v>
      </c>
      <c r="D696" s="9">
        <f>+Tabla114[[#This Row],[PRECIO INSTALADOR (IVA INCLUIDO)]]-Tabla114[[#This Row],[DCTO TIENDA]]</f>
        <v>255.02749999999997</v>
      </c>
      <c r="E696" s="9">
        <f>+Tabla114[[#This Row],[PRECIO INSTALADOR (IVA INCLUIDO)]]/0.7</f>
        <v>383.5</v>
      </c>
      <c r="F696" s="8">
        <v>0.85</v>
      </c>
      <c r="G696" s="16">
        <f>+Tabla114[[#This Row],[COSTO]]*1.19</f>
        <v>228.18249999999998</v>
      </c>
      <c r="H696" s="26">
        <f>+Tabla114[[#This Row],[PRECIO INSTALADOR (IVA INCLUIDO)]]*5%</f>
        <v>13.422499999999999</v>
      </c>
      <c r="I696" s="25"/>
      <c r="J696" s="7">
        <v>191.75</v>
      </c>
    </row>
    <row r="697" spans="1:10" ht="15" x14ac:dyDescent="0.25">
      <c r="A697" s="23" t="s">
        <v>1362</v>
      </c>
      <c r="B697" s="24" t="s">
        <v>1363</v>
      </c>
      <c r="C697" s="9">
        <f>+Tabla114[[#This Row],[COSTO CON IVA]]/Tabla114[[#This Row],[UTILIDAD]]</f>
        <v>400.4</v>
      </c>
      <c r="D697" s="9">
        <f>+Tabla114[[#This Row],[PRECIO INSTALADOR (IVA INCLUIDO)]]-Tabla114[[#This Row],[DCTO TIENDA]]</f>
        <v>380.38</v>
      </c>
      <c r="E697" s="9">
        <f>+Tabla114[[#This Row],[PRECIO INSTALADOR (IVA INCLUIDO)]]/0.7</f>
        <v>572</v>
      </c>
      <c r="F697" s="8">
        <v>0.85</v>
      </c>
      <c r="G697" s="16">
        <f>+Tabla114[[#This Row],[COSTO]]*1.19</f>
        <v>340.34</v>
      </c>
      <c r="H697" s="26">
        <f>+Tabla114[[#This Row],[PRECIO INSTALADOR (IVA INCLUIDO)]]*5%</f>
        <v>20.02</v>
      </c>
      <c r="I697" s="25"/>
      <c r="J697" s="7">
        <v>286</v>
      </c>
    </row>
    <row r="698" spans="1:10" ht="15" x14ac:dyDescent="0.25">
      <c r="A698" s="23" t="s">
        <v>1364</v>
      </c>
      <c r="B698" s="24" t="s">
        <v>1365</v>
      </c>
      <c r="C698" s="9">
        <f>+Tabla114[[#This Row],[COSTO CON IVA]]/Tabla114[[#This Row],[UTILIDAD]]</f>
        <v>614.25</v>
      </c>
      <c r="D698" s="9">
        <f>+Tabla114[[#This Row],[PRECIO INSTALADOR (IVA INCLUIDO)]]-Tabla114[[#This Row],[DCTO TIENDA]]</f>
        <v>583.53750000000002</v>
      </c>
      <c r="E698" s="9">
        <f>+Tabla114[[#This Row],[PRECIO INSTALADOR (IVA INCLUIDO)]]/0.7</f>
        <v>877.5</v>
      </c>
      <c r="F698" s="8">
        <v>0.85</v>
      </c>
      <c r="G698" s="16">
        <f>+Tabla114[[#This Row],[COSTO]]*1.19</f>
        <v>522.11249999999995</v>
      </c>
      <c r="H698" s="26">
        <f>+Tabla114[[#This Row],[PRECIO INSTALADOR (IVA INCLUIDO)]]*5%</f>
        <v>30.712500000000002</v>
      </c>
      <c r="I698" s="25"/>
      <c r="J698" s="7">
        <v>438.75</v>
      </c>
    </row>
    <row r="699" spans="1:10" ht="15" x14ac:dyDescent="0.25">
      <c r="A699" s="23" t="s">
        <v>1366</v>
      </c>
      <c r="B699" s="24" t="s">
        <v>1367</v>
      </c>
      <c r="C699" s="9">
        <f>+Tabla114[[#This Row],[COSTO CON IVA]]/Tabla114[[#This Row],[UTILIDAD]]</f>
        <v>323.04999999999995</v>
      </c>
      <c r="D699" s="9">
        <f>+Tabla114[[#This Row],[PRECIO INSTALADOR (IVA INCLUIDO)]]-Tabla114[[#This Row],[DCTO TIENDA]]</f>
        <v>306.89749999999998</v>
      </c>
      <c r="E699" s="9">
        <f>+Tabla114[[#This Row],[PRECIO INSTALADOR (IVA INCLUIDO)]]/0.7</f>
        <v>461.49999999999994</v>
      </c>
      <c r="F699" s="8">
        <v>0.85</v>
      </c>
      <c r="G699" s="16">
        <f>+Tabla114[[#This Row],[COSTO]]*1.19</f>
        <v>274.59249999999997</v>
      </c>
      <c r="H699" s="26">
        <f>+Tabla114[[#This Row],[PRECIO INSTALADOR (IVA INCLUIDO)]]*5%</f>
        <v>16.1525</v>
      </c>
      <c r="I699" s="25"/>
      <c r="J699" s="7">
        <v>230.75</v>
      </c>
    </row>
    <row r="700" spans="1:10" ht="15" x14ac:dyDescent="0.25">
      <c r="A700" s="23" t="s">
        <v>1368</v>
      </c>
      <c r="B700" s="24" t="s">
        <v>1369</v>
      </c>
      <c r="C700" s="9">
        <f>+Tabla114[[#This Row],[COSTO CON IVA]]/Tabla114[[#This Row],[UTILIDAD]]</f>
        <v>468.65</v>
      </c>
      <c r="D700" s="9">
        <f>+Tabla114[[#This Row],[PRECIO INSTALADOR (IVA INCLUIDO)]]-Tabla114[[#This Row],[DCTO TIENDA]]</f>
        <v>445.21749999999997</v>
      </c>
      <c r="E700" s="9">
        <f>+Tabla114[[#This Row],[PRECIO INSTALADOR (IVA INCLUIDO)]]/0.7</f>
        <v>669.5</v>
      </c>
      <c r="F700" s="8">
        <v>0.85</v>
      </c>
      <c r="G700" s="16">
        <f>+Tabla114[[#This Row],[COSTO]]*1.19</f>
        <v>398.35249999999996</v>
      </c>
      <c r="H700" s="26">
        <f>+Tabla114[[#This Row],[PRECIO INSTALADOR (IVA INCLUIDO)]]*5%</f>
        <v>23.432500000000001</v>
      </c>
      <c r="I700" s="25"/>
      <c r="J700" s="7">
        <v>334.75</v>
      </c>
    </row>
    <row r="701" spans="1:10" ht="15" x14ac:dyDescent="0.25">
      <c r="A701" s="23" t="s">
        <v>1370</v>
      </c>
      <c r="B701" s="24" t="s">
        <v>1371</v>
      </c>
      <c r="C701" s="9">
        <f>+Tabla114[[#This Row],[COSTO CON IVA]]/Tabla114[[#This Row],[UTILIDAD]]</f>
        <v>773.5</v>
      </c>
      <c r="D701" s="9">
        <f>+Tabla114[[#This Row],[PRECIO INSTALADOR (IVA INCLUIDO)]]-Tabla114[[#This Row],[DCTO TIENDA]]</f>
        <v>734.82500000000005</v>
      </c>
      <c r="E701" s="9">
        <f>+Tabla114[[#This Row],[PRECIO INSTALADOR (IVA INCLUIDO)]]/0.7</f>
        <v>1105</v>
      </c>
      <c r="F701" s="8">
        <v>0.85</v>
      </c>
      <c r="G701" s="16">
        <f>+Tabla114[[#This Row],[COSTO]]*1.19</f>
        <v>657.47500000000002</v>
      </c>
      <c r="H701" s="26">
        <f>+Tabla114[[#This Row],[PRECIO INSTALADOR (IVA INCLUIDO)]]*5%</f>
        <v>38.675000000000004</v>
      </c>
      <c r="I701" s="25"/>
      <c r="J701" s="7">
        <v>552.5</v>
      </c>
    </row>
    <row r="702" spans="1:10" ht="15" x14ac:dyDescent="0.25">
      <c r="A702" s="23" t="s">
        <v>1372</v>
      </c>
      <c r="B702" s="24" t="s">
        <v>1373</v>
      </c>
      <c r="C702" s="9">
        <f>+Tabla114[[#This Row],[COSTO CON IVA]]/Tabla114[[#This Row],[UTILIDAD]]</f>
        <v>404.95</v>
      </c>
      <c r="D702" s="9">
        <f>+Tabla114[[#This Row],[PRECIO INSTALADOR (IVA INCLUIDO)]]-Tabla114[[#This Row],[DCTO TIENDA]]</f>
        <v>384.70249999999999</v>
      </c>
      <c r="E702" s="9">
        <f>+Tabla114[[#This Row],[PRECIO INSTALADOR (IVA INCLUIDO)]]/0.7</f>
        <v>578.5</v>
      </c>
      <c r="F702" s="8">
        <v>0.85</v>
      </c>
      <c r="G702" s="16">
        <f>+Tabla114[[#This Row],[COSTO]]*1.19</f>
        <v>344.20749999999998</v>
      </c>
      <c r="H702" s="26">
        <f>+Tabla114[[#This Row],[PRECIO INSTALADOR (IVA INCLUIDO)]]*5%</f>
        <v>20.247500000000002</v>
      </c>
      <c r="I702" s="25"/>
      <c r="J702" s="7">
        <v>289.25</v>
      </c>
    </row>
    <row r="703" spans="1:10" ht="15" x14ac:dyDescent="0.25">
      <c r="A703" s="23" t="s">
        <v>1374</v>
      </c>
      <c r="B703" s="24" t="s">
        <v>1375</v>
      </c>
      <c r="C703" s="9">
        <f>+Tabla114[[#This Row],[COSTO CON IVA]]/Tabla114[[#This Row],[UTILIDAD]]</f>
        <v>586.94999999999993</v>
      </c>
      <c r="D703" s="9">
        <f>+Tabla114[[#This Row],[PRECIO INSTALADOR (IVA INCLUIDO)]]-Tabla114[[#This Row],[DCTO TIENDA]]</f>
        <v>557.60249999999996</v>
      </c>
      <c r="E703" s="9">
        <f>+Tabla114[[#This Row],[PRECIO INSTALADOR (IVA INCLUIDO)]]/0.7</f>
        <v>838.5</v>
      </c>
      <c r="F703" s="8">
        <v>0.85</v>
      </c>
      <c r="G703" s="16">
        <f>+Tabla114[[#This Row],[COSTO]]*1.19</f>
        <v>498.90749999999997</v>
      </c>
      <c r="H703" s="26">
        <f>+Tabla114[[#This Row],[PRECIO INSTALADOR (IVA INCLUIDO)]]*5%</f>
        <v>29.347499999999997</v>
      </c>
      <c r="I703" s="25"/>
      <c r="J703" s="7">
        <v>419.25</v>
      </c>
    </row>
    <row r="704" spans="1:10" ht="15" x14ac:dyDescent="0.25">
      <c r="A704" s="23" t="s">
        <v>1376</v>
      </c>
      <c r="B704" s="24" t="s">
        <v>1377</v>
      </c>
      <c r="C704" s="9">
        <f>+Tabla114[[#This Row],[COSTO CON IVA]]/Tabla114[[#This Row],[UTILIDAD]]</f>
        <v>900.9</v>
      </c>
      <c r="D704" s="9">
        <f>+Tabla114[[#This Row],[PRECIO INSTALADOR (IVA INCLUIDO)]]-Tabla114[[#This Row],[DCTO TIENDA]]</f>
        <v>855.85500000000002</v>
      </c>
      <c r="E704" s="9">
        <f>+Tabla114[[#This Row],[PRECIO INSTALADOR (IVA INCLUIDO)]]/0.7</f>
        <v>1287</v>
      </c>
      <c r="F704" s="8">
        <v>0.85</v>
      </c>
      <c r="G704" s="16">
        <f>+Tabla114[[#This Row],[COSTO]]*1.19</f>
        <v>765.76499999999999</v>
      </c>
      <c r="H704" s="26">
        <f>+Tabla114[[#This Row],[PRECIO INSTALADOR (IVA INCLUIDO)]]*5%</f>
        <v>45.045000000000002</v>
      </c>
      <c r="I704" s="25"/>
      <c r="J704" s="7">
        <v>643.5</v>
      </c>
    </row>
    <row r="705" spans="1:10" ht="15" x14ac:dyDescent="0.25">
      <c r="A705" s="23" t="s">
        <v>1380</v>
      </c>
      <c r="B705" s="24" t="s">
        <v>1381</v>
      </c>
      <c r="C705" s="9">
        <f>+Tabla114[[#This Row],[COSTO CON IVA]]/Tabla114[[#This Row],[UTILIDAD]]</f>
        <v>1000.9999999999999</v>
      </c>
      <c r="D705" s="9">
        <f>+Tabla114[[#This Row],[PRECIO INSTALADOR (IVA INCLUIDO)]]-Tabla114[[#This Row],[DCTO TIENDA]]</f>
        <v>950.94999999999993</v>
      </c>
      <c r="E705" s="9">
        <f>+Tabla114[[#This Row],[PRECIO INSTALADOR (IVA INCLUIDO)]]/0.7</f>
        <v>1430</v>
      </c>
      <c r="F705" s="8">
        <v>0.85</v>
      </c>
      <c r="G705" s="16">
        <f>+Tabla114[[#This Row],[COSTO]]*1.19</f>
        <v>850.84999999999991</v>
      </c>
      <c r="H705" s="26">
        <f>+Tabla114[[#This Row],[PRECIO INSTALADOR (IVA INCLUIDO)]]*5%</f>
        <v>50.05</v>
      </c>
      <c r="I705" s="25"/>
      <c r="J705" s="7">
        <v>715</v>
      </c>
    </row>
    <row r="706" spans="1:10" ht="15" x14ac:dyDescent="0.25">
      <c r="A706" s="23" t="s">
        <v>1382</v>
      </c>
      <c r="B706" s="24" t="s">
        <v>1383</v>
      </c>
      <c r="C706" s="9">
        <f>+Tabla114[[#This Row],[COSTO CON IVA]]/Tabla114[[#This Row],[UTILIDAD]]</f>
        <v>1228.5</v>
      </c>
      <c r="D706" s="9">
        <f>+Tabla114[[#This Row],[PRECIO INSTALADOR (IVA INCLUIDO)]]-Tabla114[[#This Row],[DCTO TIENDA]]</f>
        <v>1167.075</v>
      </c>
      <c r="E706" s="9">
        <f>+Tabla114[[#This Row],[PRECIO INSTALADOR (IVA INCLUIDO)]]/0.7</f>
        <v>1755</v>
      </c>
      <c r="F706" s="8">
        <v>0.85</v>
      </c>
      <c r="G706" s="16">
        <f>+Tabla114[[#This Row],[COSTO]]*1.19</f>
        <v>1044.2249999999999</v>
      </c>
      <c r="H706" s="26">
        <f>+Tabla114[[#This Row],[PRECIO INSTALADOR (IVA INCLUIDO)]]*5%</f>
        <v>61.425000000000004</v>
      </c>
      <c r="I706" s="25"/>
      <c r="J706" s="7">
        <v>877.5</v>
      </c>
    </row>
    <row r="707" spans="1:10" ht="15" x14ac:dyDescent="0.25">
      <c r="A707" s="23" t="s">
        <v>1384</v>
      </c>
      <c r="B707" s="24" t="s">
        <v>1385</v>
      </c>
      <c r="C707" s="9">
        <f>+Tabla114[[#This Row],[COSTO CON IVA]]/Tabla114[[#This Row],[UTILIDAD]]</f>
        <v>1273.9999999999998</v>
      </c>
      <c r="D707" s="9">
        <f>+Tabla114[[#This Row],[PRECIO INSTALADOR (IVA INCLUIDO)]]-Tabla114[[#This Row],[DCTO TIENDA]]</f>
        <v>1210.2999999999997</v>
      </c>
      <c r="E707" s="9">
        <f>+Tabla114[[#This Row],[PRECIO INSTALADOR (IVA INCLUIDO)]]/0.7</f>
        <v>1819.9999999999998</v>
      </c>
      <c r="F707" s="8">
        <v>0.85</v>
      </c>
      <c r="G707" s="16">
        <f>+Tabla114[[#This Row],[COSTO]]*1.19</f>
        <v>1082.8999999999999</v>
      </c>
      <c r="H707" s="26">
        <f>+Tabla114[[#This Row],[PRECIO INSTALADOR (IVA INCLUIDO)]]*5%</f>
        <v>63.699999999999989</v>
      </c>
      <c r="I707" s="25"/>
      <c r="J707" s="7">
        <v>910</v>
      </c>
    </row>
    <row r="708" spans="1:10" ht="15" x14ac:dyDescent="0.25">
      <c r="A708" s="23" t="s">
        <v>1386</v>
      </c>
      <c r="B708" s="24" t="s">
        <v>1387</v>
      </c>
      <c r="C708" s="9">
        <f>+Tabla114[[#This Row],[COSTO CON IVA]]/Tabla114[[#This Row],[UTILIDAD]]</f>
        <v>1501.4999999999998</v>
      </c>
      <c r="D708" s="9">
        <f>+Tabla114[[#This Row],[PRECIO INSTALADOR (IVA INCLUIDO)]]-Tabla114[[#This Row],[DCTO TIENDA]]</f>
        <v>1426.4249999999997</v>
      </c>
      <c r="E708" s="9">
        <f>+Tabla114[[#This Row],[PRECIO INSTALADOR (IVA INCLUIDO)]]/0.7</f>
        <v>2145</v>
      </c>
      <c r="F708" s="8">
        <v>0.85</v>
      </c>
      <c r="G708" s="16">
        <f>+Tabla114[[#This Row],[COSTO]]*1.19</f>
        <v>1276.2749999999999</v>
      </c>
      <c r="H708" s="26">
        <f>+Tabla114[[#This Row],[PRECIO INSTALADOR (IVA INCLUIDO)]]*5%</f>
        <v>75.074999999999989</v>
      </c>
      <c r="I708" s="25"/>
      <c r="J708" s="7">
        <v>1072.5</v>
      </c>
    </row>
    <row r="709" spans="1:10" ht="15" x14ac:dyDescent="0.25">
      <c r="A709" s="23" t="s">
        <v>1388</v>
      </c>
      <c r="B709" s="24" t="s">
        <v>1389</v>
      </c>
      <c r="C709" s="9">
        <f>+Tabla114[[#This Row],[COSTO CON IVA]]/Tabla114[[#This Row],[UTILIDAD]]</f>
        <v>1046.5</v>
      </c>
      <c r="D709" s="9">
        <f>+Tabla114[[#This Row],[PRECIO INSTALADOR (IVA INCLUIDO)]]-Tabla114[[#This Row],[DCTO TIENDA]]</f>
        <v>994.17499999999995</v>
      </c>
      <c r="E709" s="9">
        <f>+Tabla114[[#This Row],[PRECIO INSTALADOR (IVA INCLUIDO)]]/0.7</f>
        <v>1495</v>
      </c>
      <c r="F709" s="8">
        <v>0.85</v>
      </c>
      <c r="G709" s="16">
        <f>+Tabla114[[#This Row],[COSTO]]*1.19</f>
        <v>889.52499999999998</v>
      </c>
      <c r="H709" s="26">
        <f>+Tabla114[[#This Row],[PRECIO INSTALADOR (IVA INCLUIDO)]]*5%</f>
        <v>52.325000000000003</v>
      </c>
      <c r="I709" s="25"/>
      <c r="J709" s="7">
        <v>747.5</v>
      </c>
    </row>
    <row r="710" spans="1:10" ht="15" x14ac:dyDescent="0.25">
      <c r="A710" s="23" t="s">
        <v>1390</v>
      </c>
      <c r="B710" s="24" t="s">
        <v>1391</v>
      </c>
      <c r="C710" s="9">
        <f>+Tabla114[[#This Row],[COSTO CON IVA]]/Tabla114[[#This Row],[UTILIDAD]]</f>
        <v>1273.9999999999998</v>
      </c>
      <c r="D710" s="9">
        <f>+Tabla114[[#This Row],[PRECIO INSTALADOR (IVA INCLUIDO)]]-Tabla114[[#This Row],[DCTO TIENDA]]</f>
        <v>1210.2999999999997</v>
      </c>
      <c r="E710" s="9">
        <f>+Tabla114[[#This Row],[PRECIO INSTALADOR (IVA INCLUIDO)]]/0.7</f>
        <v>1819.9999999999998</v>
      </c>
      <c r="F710" s="8">
        <v>0.85</v>
      </c>
      <c r="G710" s="16">
        <f>+Tabla114[[#This Row],[COSTO]]*1.19</f>
        <v>1082.8999999999999</v>
      </c>
      <c r="H710" s="26">
        <f>+Tabla114[[#This Row],[PRECIO INSTALADOR (IVA INCLUIDO)]]*5%</f>
        <v>63.699999999999989</v>
      </c>
      <c r="I710" s="25"/>
      <c r="J710" s="7">
        <v>910</v>
      </c>
    </row>
    <row r="711" spans="1:10" ht="15" x14ac:dyDescent="0.25">
      <c r="A711" s="23" t="s">
        <v>1392</v>
      </c>
      <c r="B711" s="24" t="s">
        <v>1393</v>
      </c>
      <c r="C711" s="9">
        <f>+Tabla114[[#This Row],[COSTO CON IVA]]/Tabla114[[#This Row],[UTILIDAD]]</f>
        <v>1592.5</v>
      </c>
      <c r="D711" s="9">
        <f>+Tabla114[[#This Row],[PRECIO INSTALADOR (IVA INCLUIDO)]]-Tabla114[[#This Row],[DCTO TIENDA]]</f>
        <v>1512.875</v>
      </c>
      <c r="E711" s="9">
        <f>+Tabla114[[#This Row],[PRECIO INSTALADOR (IVA INCLUIDO)]]/0.7</f>
        <v>2275</v>
      </c>
      <c r="F711" s="8">
        <v>0.85</v>
      </c>
      <c r="G711" s="16">
        <f>+Tabla114[[#This Row],[COSTO]]*1.19</f>
        <v>1353.625</v>
      </c>
      <c r="H711" s="26">
        <f>+Tabla114[[#This Row],[PRECIO INSTALADOR (IVA INCLUIDO)]]*5%</f>
        <v>79.625</v>
      </c>
      <c r="I711" s="25"/>
      <c r="J711" s="7">
        <v>1137.5</v>
      </c>
    </row>
    <row r="712" spans="1:10" ht="15" x14ac:dyDescent="0.25">
      <c r="A712" s="23" t="s">
        <v>1394</v>
      </c>
      <c r="B712" s="24" t="s">
        <v>1395</v>
      </c>
      <c r="C712" s="9">
        <f>+Tabla114[[#This Row],[COSTO CON IVA]]/Tabla114[[#This Row],[UTILIDAD]]</f>
        <v>1810.8999999999999</v>
      </c>
      <c r="D712" s="9">
        <f>+Tabla114[[#This Row],[PRECIO INSTALADOR (IVA INCLUIDO)]]-Tabla114[[#This Row],[DCTO TIENDA]]</f>
        <v>1720.3549999999998</v>
      </c>
      <c r="E712" s="9">
        <f>+Tabla114[[#This Row],[PRECIO INSTALADOR (IVA INCLUIDO)]]/0.7</f>
        <v>2587</v>
      </c>
      <c r="F712" s="8">
        <v>0.85</v>
      </c>
      <c r="G712" s="16">
        <f>+Tabla114[[#This Row],[COSTO]]*1.19</f>
        <v>1539.2649999999999</v>
      </c>
      <c r="H712" s="26">
        <f>+Tabla114[[#This Row],[PRECIO INSTALADOR (IVA INCLUIDO)]]*5%</f>
        <v>90.545000000000002</v>
      </c>
      <c r="I712" s="25"/>
      <c r="J712" s="7">
        <v>1293.5</v>
      </c>
    </row>
    <row r="713" spans="1:10" ht="15" x14ac:dyDescent="0.25">
      <c r="A713" s="23" t="s">
        <v>1396</v>
      </c>
      <c r="B713" s="24" t="s">
        <v>1397</v>
      </c>
      <c r="C713" s="9">
        <f>+Tabla114[[#This Row],[COSTO CON IVA]]/Tabla114[[#This Row],[UTILIDAD]]</f>
        <v>77805</v>
      </c>
      <c r="D713" s="9">
        <f>+Tabla114[[#This Row],[PRECIO INSTALADOR (IVA INCLUIDO)]]-Tabla114[[#This Row],[DCTO TIENDA]]</f>
        <v>73914.75</v>
      </c>
      <c r="E713" s="9">
        <f>+Tabla114[[#This Row],[PRECIO INSTALADOR (IVA INCLUIDO)]]/0.7</f>
        <v>111150</v>
      </c>
      <c r="F713" s="8">
        <v>0.85</v>
      </c>
      <c r="G713" s="16">
        <f>+Tabla114[[#This Row],[COSTO]]*1.19</f>
        <v>66134.25</v>
      </c>
      <c r="H713" s="26">
        <f>+Tabla114[[#This Row],[PRECIO INSTALADOR (IVA INCLUIDO)]]*5%</f>
        <v>3890.25</v>
      </c>
      <c r="I713" s="25"/>
      <c r="J713" s="7">
        <v>55575</v>
      </c>
    </row>
    <row r="714" spans="1:10" ht="15" x14ac:dyDescent="0.25">
      <c r="A714" s="23" t="s">
        <v>1398</v>
      </c>
      <c r="B714" s="24" t="s">
        <v>1399</v>
      </c>
      <c r="C714" s="9">
        <f>+Tabla114[[#This Row],[COSTO CON IVA]]/Tabla114[[#This Row],[UTILIDAD]]</f>
        <v>80935.399999999994</v>
      </c>
      <c r="D714" s="9">
        <f>+Tabla114[[#This Row],[PRECIO INSTALADOR (IVA INCLUIDO)]]-Tabla114[[#This Row],[DCTO TIENDA]]</f>
        <v>76888.62999999999</v>
      </c>
      <c r="E714" s="9">
        <f>+Tabla114[[#This Row],[PRECIO INSTALADOR (IVA INCLUIDO)]]/0.7</f>
        <v>115622</v>
      </c>
      <c r="F714" s="8">
        <v>0.85</v>
      </c>
      <c r="G714" s="16">
        <f>+Tabla114[[#This Row],[COSTO]]*1.19</f>
        <v>68795.09</v>
      </c>
      <c r="H714" s="26">
        <f>+Tabla114[[#This Row],[PRECIO INSTALADOR (IVA INCLUIDO)]]*5%</f>
        <v>4046.77</v>
      </c>
      <c r="I714" s="25"/>
      <c r="J714" s="7">
        <v>57811</v>
      </c>
    </row>
    <row r="715" spans="1:10" ht="15" x14ac:dyDescent="0.25">
      <c r="A715" s="23" t="s">
        <v>1400</v>
      </c>
      <c r="B715" s="24" t="s">
        <v>1401</v>
      </c>
      <c r="C715" s="9">
        <f>+Tabla114[[#This Row],[COSTO CON IVA]]/Tabla114[[#This Row],[UTILIDAD]]</f>
        <v>51779</v>
      </c>
      <c r="D715" s="9">
        <f>+Tabla114[[#This Row],[PRECIO INSTALADOR (IVA INCLUIDO)]]-Tabla114[[#This Row],[DCTO TIENDA]]</f>
        <v>49190.05</v>
      </c>
      <c r="E715" s="9">
        <f>+Tabla114[[#This Row],[PRECIO INSTALADOR (IVA INCLUIDO)]]/0.7</f>
        <v>73970</v>
      </c>
      <c r="F715" s="8">
        <v>0.85</v>
      </c>
      <c r="G715" s="16">
        <f>+Tabla114[[#This Row],[COSTO]]*1.19</f>
        <v>44012.15</v>
      </c>
      <c r="H715" s="26">
        <f>+Tabla114[[#This Row],[PRECIO INSTALADOR (IVA INCLUIDO)]]*5%</f>
        <v>2588.9500000000003</v>
      </c>
      <c r="I715" s="25"/>
      <c r="J715" s="7">
        <v>36985</v>
      </c>
    </row>
    <row r="716" spans="1:10" ht="15" x14ac:dyDescent="0.25">
      <c r="A716" s="23" t="s">
        <v>1402</v>
      </c>
      <c r="B716" s="24" t="s">
        <v>1403</v>
      </c>
      <c r="C716" s="9">
        <f>+Tabla114[[#This Row],[COSTO CON IVA]]/Tabla114[[#This Row],[UTILIDAD]]</f>
        <v>5778.4999999999991</v>
      </c>
      <c r="D716" s="9">
        <f>+Tabla114[[#This Row],[PRECIO INSTALADOR (IVA INCLUIDO)]]-Tabla114[[#This Row],[DCTO TIENDA]]</f>
        <v>5489.5749999999989</v>
      </c>
      <c r="E716" s="9">
        <f>+Tabla114[[#This Row],[PRECIO INSTALADOR (IVA INCLUIDO)]]/0.7</f>
        <v>8255</v>
      </c>
      <c r="F716" s="8">
        <v>0.85</v>
      </c>
      <c r="G716" s="16">
        <f>+Tabla114[[#This Row],[COSTO]]*1.19</f>
        <v>4911.7249999999995</v>
      </c>
      <c r="H716" s="26">
        <f>+Tabla114[[#This Row],[PRECIO INSTALADOR (IVA INCLUIDO)]]*5%</f>
        <v>288.92499999999995</v>
      </c>
      <c r="I716" s="25"/>
      <c r="J716" s="7">
        <v>4127.5</v>
      </c>
    </row>
    <row r="717" spans="1:10" ht="15" x14ac:dyDescent="0.25">
      <c r="A717" s="23" t="s">
        <v>1404</v>
      </c>
      <c r="B717" s="24" t="s">
        <v>1405</v>
      </c>
      <c r="C717" s="9">
        <f>+Tabla114[[#This Row],[COSTO CON IVA]]/Tabla114[[#This Row],[UTILIDAD]]</f>
        <v>5796.7</v>
      </c>
      <c r="D717" s="9">
        <f>+Tabla114[[#This Row],[PRECIO INSTALADOR (IVA INCLUIDO)]]-Tabla114[[#This Row],[DCTO TIENDA]]</f>
        <v>5506.8649999999998</v>
      </c>
      <c r="E717" s="9">
        <f>+Tabla114[[#This Row],[PRECIO INSTALADOR (IVA INCLUIDO)]]/0.7</f>
        <v>8281</v>
      </c>
      <c r="F717" s="8">
        <v>0.85</v>
      </c>
      <c r="G717" s="16">
        <f>+Tabla114[[#This Row],[COSTO]]*1.19</f>
        <v>4927.1949999999997</v>
      </c>
      <c r="H717" s="26">
        <f>+Tabla114[[#This Row],[PRECIO INSTALADOR (IVA INCLUIDO)]]*5%</f>
        <v>289.83499999999998</v>
      </c>
      <c r="I717" s="25"/>
      <c r="J717" s="7">
        <v>4140.5</v>
      </c>
    </row>
    <row r="718" spans="1:10" ht="15" x14ac:dyDescent="0.25">
      <c r="A718" s="23" t="s">
        <v>1378</v>
      </c>
      <c r="B718" s="24" t="s">
        <v>1379</v>
      </c>
      <c r="C718" s="9">
        <f>+Tabla114[[#This Row],[COSTO CON IVA]]/Tabla114[[#This Row],[UTILIDAD]]</f>
        <v>2320.5</v>
      </c>
      <c r="D718" s="9">
        <f>+Tabla114[[#This Row],[PRECIO INSTALADOR (IVA INCLUIDO)]]-Tabla114[[#This Row],[DCTO TIENDA]]</f>
        <v>2204.4749999999999</v>
      </c>
      <c r="E718" s="9">
        <f>+Tabla114[[#This Row],[PRECIO INSTALADOR (IVA INCLUIDO)]]/0.7</f>
        <v>3315</v>
      </c>
      <c r="F718" s="8">
        <v>0.85</v>
      </c>
      <c r="G718" s="16">
        <f>+Tabla114[[#This Row],[COSTO]]*1.19</f>
        <v>1972.425</v>
      </c>
      <c r="H718" s="26">
        <f>+Tabla114[[#This Row],[PRECIO INSTALADOR (IVA INCLUIDO)]]*5%</f>
        <v>116.02500000000001</v>
      </c>
      <c r="I718" s="25"/>
      <c r="J718" s="7">
        <v>1657.5</v>
      </c>
    </row>
    <row r="719" spans="1:10" ht="15" x14ac:dyDescent="0.25">
      <c r="A719" s="23" t="s">
        <v>1406</v>
      </c>
      <c r="B719" s="24" t="s">
        <v>1407</v>
      </c>
      <c r="C719" s="9">
        <f>+Tabla114[[#This Row],[COSTO CON IVA]]/Tabla114[[#This Row],[UTILIDAD]]</f>
        <v>4322.5</v>
      </c>
      <c r="D719" s="9">
        <f>+Tabla114[[#This Row],[PRECIO INSTALADOR (IVA INCLUIDO)]]-Tabla114[[#This Row],[DCTO TIENDA]]</f>
        <v>4106.375</v>
      </c>
      <c r="E719" s="9">
        <f>+Tabla114[[#This Row],[PRECIO INSTALADOR (IVA INCLUIDO)]]/0.7</f>
        <v>6175</v>
      </c>
      <c r="F719" s="8">
        <v>0.85</v>
      </c>
      <c r="G719" s="16">
        <f>+Tabla114[[#This Row],[COSTO]]*1.19</f>
        <v>3674.125</v>
      </c>
      <c r="H719" s="26">
        <f>+Tabla114[[#This Row],[PRECIO INSTALADOR (IVA INCLUIDO)]]*5%</f>
        <v>216.125</v>
      </c>
      <c r="I719" s="25"/>
      <c r="J719" s="7">
        <v>3087.5</v>
      </c>
    </row>
    <row r="720" spans="1:10" ht="15" x14ac:dyDescent="0.25">
      <c r="A720" s="23" t="s">
        <v>1408</v>
      </c>
      <c r="B720" s="24" t="s">
        <v>1409</v>
      </c>
      <c r="C720" s="9">
        <f>+Tabla114[[#This Row],[COSTO CON IVA]]/Tabla114[[#This Row],[UTILIDAD]]</f>
        <v>2275</v>
      </c>
      <c r="D720" s="9">
        <f>+Tabla114[[#This Row],[PRECIO INSTALADOR (IVA INCLUIDO)]]-Tabla114[[#This Row],[DCTO TIENDA]]</f>
        <v>2161.25</v>
      </c>
      <c r="E720" s="9">
        <f>+Tabla114[[#This Row],[PRECIO INSTALADOR (IVA INCLUIDO)]]/0.7</f>
        <v>3250</v>
      </c>
      <c r="F720" s="8">
        <v>0.85</v>
      </c>
      <c r="G720" s="16">
        <f>+Tabla114[[#This Row],[COSTO]]*1.19</f>
        <v>1933.75</v>
      </c>
      <c r="H720" s="26">
        <f>+Tabla114[[#This Row],[PRECIO INSTALADOR (IVA INCLUIDO)]]*5%</f>
        <v>113.75</v>
      </c>
      <c r="I720" s="25"/>
      <c r="J720" s="7">
        <v>1625</v>
      </c>
    </row>
    <row r="721" spans="1:10" ht="15" x14ac:dyDescent="0.25">
      <c r="A721" s="23" t="s">
        <v>1410</v>
      </c>
      <c r="B721" s="24" t="s">
        <v>1411</v>
      </c>
      <c r="C721" s="9">
        <f>+Tabla114[[#This Row],[COSTO CON IVA]]/Tabla114[[#This Row],[UTILIDAD]]</f>
        <v>3867.5</v>
      </c>
      <c r="D721" s="9">
        <f>+Tabla114[[#This Row],[PRECIO INSTALADOR (IVA INCLUIDO)]]-Tabla114[[#This Row],[DCTO TIENDA]]</f>
        <v>3674.125</v>
      </c>
      <c r="E721" s="9">
        <f>+Tabla114[[#This Row],[PRECIO INSTALADOR (IVA INCLUIDO)]]/0.7</f>
        <v>5525</v>
      </c>
      <c r="F721" s="8">
        <v>0.85</v>
      </c>
      <c r="G721" s="16">
        <f>+Tabla114[[#This Row],[COSTO]]*1.19</f>
        <v>3287.375</v>
      </c>
      <c r="H721" s="26">
        <f>+Tabla114[[#This Row],[PRECIO INSTALADOR (IVA INCLUIDO)]]*5%</f>
        <v>193.375</v>
      </c>
      <c r="I721" s="25"/>
      <c r="J721" s="7">
        <v>2762.5</v>
      </c>
    </row>
    <row r="722" spans="1:10" ht="15" x14ac:dyDescent="0.25">
      <c r="A722" s="23" t="s">
        <v>1412</v>
      </c>
      <c r="B722" s="24" t="s">
        <v>1413</v>
      </c>
      <c r="C722" s="9">
        <f>+Tabla114[[#This Row],[COSTO CON IVA]]/Tabla114[[#This Row],[UTILIDAD]]</f>
        <v>2184</v>
      </c>
      <c r="D722" s="9">
        <f>+Tabla114[[#This Row],[PRECIO INSTALADOR (IVA INCLUIDO)]]-Tabla114[[#This Row],[DCTO TIENDA]]</f>
        <v>2074.8000000000002</v>
      </c>
      <c r="E722" s="9">
        <f>+Tabla114[[#This Row],[PRECIO INSTALADOR (IVA INCLUIDO)]]/0.7</f>
        <v>3120</v>
      </c>
      <c r="F722" s="8">
        <v>0.85</v>
      </c>
      <c r="G722" s="16">
        <f>+Tabla114[[#This Row],[COSTO]]*1.19</f>
        <v>1856.3999999999999</v>
      </c>
      <c r="H722" s="26">
        <f>+Tabla114[[#This Row],[PRECIO INSTALADOR (IVA INCLUIDO)]]*5%</f>
        <v>109.2</v>
      </c>
      <c r="I722" s="25"/>
      <c r="J722" s="7">
        <v>1560</v>
      </c>
    </row>
    <row r="723" spans="1:10" ht="15" x14ac:dyDescent="0.25">
      <c r="A723" s="23" t="s">
        <v>1414</v>
      </c>
      <c r="B723" s="24" t="s">
        <v>1415</v>
      </c>
      <c r="C723" s="9">
        <f>+Tabla114[[#This Row],[COSTO CON IVA]]/Tabla114[[#This Row],[UTILIDAD]]</f>
        <v>3367</v>
      </c>
      <c r="D723" s="9">
        <f>+Tabla114[[#This Row],[PRECIO INSTALADOR (IVA INCLUIDO)]]-Tabla114[[#This Row],[DCTO TIENDA]]</f>
        <v>3198.65</v>
      </c>
      <c r="E723" s="9">
        <f>+Tabla114[[#This Row],[PRECIO INSTALADOR (IVA INCLUIDO)]]/0.7</f>
        <v>4810</v>
      </c>
      <c r="F723" s="8">
        <v>0.85</v>
      </c>
      <c r="G723" s="16">
        <f>+Tabla114[[#This Row],[COSTO]]*1.19</f>
        <v>2861.95</v>
      </c>
      <c r="H723" s="26">
        <f>+Tabla114[[#This Row],[PRECIO INSTALADOR (IVA INCLUIDO)]]*5%</f>
        <v>168.35000000000002</v>
      </c>
      <c r="I723" s="25"/>
      <c r="J723" s="7">
        <v>2405</v>
      </c>
    </row>
    <row r="724" spans="1:10" ht="15" x14ac:dyDescent="0.25">
      <c r="A724" s="23" t="s">
        <v>1416</v>
      </c>
      <c r="B724" s="24" t="s">
        <v>1417</v>
      </c>
      <c r="C724" s="9">
        <f>+Tabla114[[#This Row],[COSTO CON IVA]]/Tabla114[[#This Row],[UTILIDAD]]</f>
        <v>6370</v>
      </c>
      <c r="D724" s="9">
        <f>+Tabla114[[#This Row],[PRECIO INSTALADOR (IVA INCLUIDO)]]-Tabla114[[#This Row],[DCTO TIENDA]]</f>
        <v>6051.5</v>
      </c>
      <c r="E724" s="9">
        <f>+Tabla114[[#This Row],[PRECIO INSTALADOR (IVA INCLUIDO)]]/0.7</f>
        <v>9100</v>
      </c>
      <c r="F724" s="8">
        <v>0.85</v>
      </c>
      <c r="G724" s="16">
        <f>+Tabla114[[#This Row],[COSTO]]*1.19</f>
        <v>5414.5</v>
      </c>
      <c r="H724" s="26">
        <f>+Tabla114[[#This Row],[PRECIO INSTALADOR (IVA INCLUIDO)]]*5%</f>
        <v>318.5</v>
      </c>
      <c r="I724" s="25"/>
      <c r="J724" s="7">
        <v>4550</v>
      </c>
    </row>
    <row r="725" spans="1:10" ht="15" x14ac:dyDescent="0.25">
      <c r="A725" s="23" t="s">
        <v>1418</v>
      </c>
      <c r="B725" s="24" t="s">
        <v>1419</v>
      </c>
      <c r="C725" s="9">
        <f>+Tabla114[[#This Row],[COSTO CON IVA]]/Tabla114[[#This Row],[UTILIDAD]]</f>
        <v>1638</v>
      </c>
      <c r="D725" s="9">
        <f>+Tabla114[[#This Row],[PRECIO INSTALADOR (IVA INCLUIDO)]]-Tabla114[[#This Row],[DCTO TIENDA]]</f>
        <v>1556.1</v>
      </c>
      <c r="E725" s="9">
        <f>+Tabla114[[#This Row],[PRECIO INSTALADOR (IVA INCLUIDO)]]/0.7</f>
        <v>2340</v>
      </c>
      <c r="F725" s="8">
        <v>0.85</v>
      </c>
      <c r="G725" s="16">
        <f>+Tabla114[[#This Row],[COSTO]]*1.19</f>
        <v>1392.3</v>
      </c>
      <c r="H725" s="26">
        <f>+Tabla114[[#This Row],[PRECIO INSTALADOR (IVA INCLUIDO)]]*5%</f>
        <v>81.900000000000006</v>
      </c>
      <c r="I725" s="25"/>
      <c r="J725" s="7">
        <v>1170</v>
      </c>
    </row>
    <row r="726" spans="1:10" ht="15" x14ac:dyDescent="0.25">
      <c r="A726" s="23" t="s">
        <v>1420</v>
      </c>
      <c r="B726" s="24" t="s">
        <v>1421</v>
      </c>
      <c r="C726" s="9">
        <f>+Tabla114[[#This Row],[COSTO CON IVA]]/Tabla114[[#This Row],[UTILIDAD]]</f>
        <v>2347.7999999999997</v>
      </c>
      <c r="D726" s="9">
        <f>+Tabla114[[#This Row],[PRECIO INSTALADOR (IVA INCLUIDO)]]-Tabla114[[#This Row],[DCTO TIENDA]]</f>
        <v>2230.41</v>
      </c>
      <c r="E726" s="9">
        <f>+Tabla114[[#This Row],[PRECIO INSTALADOR (IVA INCLUIDO)]]/0.7</f>
        <v>3354</v>
      </c>
      <c r="F726" s="8">
        <v>0.85</v>
      </c>
      <c r="G726" s="16">
        <f>+Tabla114[[#This Row],[COSTO]]*1.19</f>
        <v>1995.6299999999999</v>
      </c>
      <c r="H726" s="26">
        <f>+Tabla114[[#This Row],[PRECIO INSTALADOR (IVA INCLUIDO)]]*5%</f>
        <v>117.38999999999999</v>
      </c>
      <c r="I726" s="25"/>
      <c r="J726" s="7">
        <v>1677</v>
      </c>
    </row>
    <row r="727" spans="1:10" ht="15" x14ac:dyDescent="0.25">
      <c r="A727" s="23" t="s">
        <v>1422</v>
      </c>
      <c r="B727" s="24" t="s">
        <v>1423</v>
      </c>
      <c r="C727" s="9">
        <f>+Tabla114[[#This Row],[COSTO CON IVA]]/Tabla114[[#This Row],[UTILIDAD]]</f>
        <v>100100</v>
      </c>
      <c r="D727" s="9">
        <f>+Tabla114[[#This Row],[PRECIO INSTALADOR (IVA INCLUIDO)]]-Tabla114[[#This Row],[DCTO TIENDA]]</f>
        <v>95095</v>
      </c>
      <c r="E727" s="9">
        <f>+Tabla114[[#This Row],[PRECIO INSTALADOR (IVA INCLUIDO)]]/0.7</f>
        <v>143000</v>
      </c>
      <c r="F727" s="8">
        <v>0.85</v>
      </c>
      <c r="G727" s="16">
        <f>+Tabla114[[#This Row],[COSTO]]*1.19</f>
        <v>85085</v>
      </c>
      <c r="H727" s="26">
        <f>+Tabla114[[#This Row],[PRECIO INSTALADOR (IVA INCLUIDO)]]*5%</f>
        <v>5005</v>
      </c>
      <c r="I727" s="25"/>
      <c r="J727" s="7">
        <v>71500</v>
      </c>
    </row>
    <row r="728" spans="1:10" ht="15" x14ac:dyDescent="0.25">
      <c r="A728" s="23" t="s">
        <v>1424</v>
      </c>
      <c r="B728" s="24" t="s">
        <v>1425</v>
      </c>
      <c r="C728" s="9">
        <f>+Tabla114[[#This Row],[COSTO CON IVA]]/Tabla114[[#This Row],[UTILIDAD]]</f>
        <v>6552</v>
      </c>
      <c r="D728" s="9">
        <f>+Tabla114[[#This Row],[PRECIO INSTALADOR (IVA INCLUIDO)]]-Tabla114[[#This Row],[DCTO TIENDA]]</f>
        <v>6224.4</v>
      </c>
      <c r="E728" s="9">
        <f>+Tabla114[[#This Row],[PRECIO INSTALADOR (IVA INCLUIDO)]]/0.7</f>
        <v>9360</v>
      </c>
      <c r="F728" s="8">
        <v>0.85</v>
      </c>
      <c r="G728" s="16">
        <f>+Tabla114[[#This Row],[COSTO]]*1.19</f>
        <v>5569.2</v>
      </c>
      <c r="H728" s="26">
        <f>+Tabla114[[#This Row],[PRECIO INSTALADOR (IVA INCLUIDO)]]*5%</f>
        <v>327.60000000000002</v>
      </c>
      <c r="I728" s="25"/>
      <c r="J728" s="7">
        <v>4680</v>
      </c>
    </row>
    <row r="729" spans="1:10" ht="15" x14ac:dyDescent="0.25">
      <c r="A729" s="23" t="s">
        <v>1426</v>
      </c>
      <c r="B729" s="24" t="s">
        <v>1427</v>
      </c>
      <c r="C729" s="9">
        <f>+Tabla114[[#This Row],[COSTO CON IVA]]/Tabla114[[#This Row],[UTILIDAD]]</f>
        <v>5969.6</v>
      </c>
      <c r="D729" s="9">
        <f>+Tabla114[[#This Row],[PRECIO INSTALADOR (IVA INCLUIDO)]]-Tabla114[[#This Row],[DCTO TIENDA]]</f>
        <v>5671.1200000000008</v>
      </c>
      <c r="E729" s="9">
        <f>+Tabla114[[#This Row],[PRECIO INSTALADOR (IVA INCLUIDO)]]/0.7</f>
        <v>8528.0000000000018</v>
      </c>
      <c r="F729" s="8">
        <v>0.85</v>
      </c>
      <c r="G729" s="16">
        <f>+Tabla114[[#This Row],[COSTO]]*1.19</f>
        <v>5074.16</v>
      </c>
      <c r="H729" s="26">
        <f>+Tabla114[[#This Row],[PRECIO INSTALADOR (IVA INCLUIDO)]]*5%</f>
        <v>298.48</v>
      </c>
      <c r="I729" s="25"/>
      <c r="J729" s="7">
        <v>4264</v>
      </c>
    </row>
    <row r="730" spans="1:10" ht="15" x14ac:dyDescent="0.25">
      <c r="A730" s="23" t="s">
        <v>1428</v>
      </c>
      <c r="B730" s="24" t="s">
        <v>1429</v>
      </c>
      <c r="C730" s="9">
        <f>+Tabla114[[#This Row],[COSTO CON IVA]]/Tabla114[[#This Row],[UTILIDAD]]</f>
        <v>5969.6</v>
      </c>
      <c r="D730" s="9">
        <f>+Tabla114[[#This Row],[PRECIO INSTALADOR (IVA INCLUIDO)]]-Tabla114[[#This Row],[DCTO TIENDA]]</f>
        <v>5671.1200000000008</v>
      </c>
      <c r="E730" s="9">
        <f>+Tabla114[[#This Row],[PRECIO INSTALADOR (IVA INCLUIDO)]]/0.7</f>
        <v>8528.0000000000018</v>
      </c>
      <c r="F730" s="8">
        <v>0.85</v>
      </c>
      <c r="G730" s="16">
        <f>+Tabla114[[#This Row],[COSTO]]*1.19</f>
        <v>5074.16</v>
      </c>
      <c r="H730" s="26">
        <f>+Tabla114[[#This Row],[PRECIO INSTALADOR (IVA INCLUIDO)]]*5%</f>
        <v>298.48</v>
      </c>
      <c r="I730" s="25"/>
      <c r="J730" s="7">
        <v>4264</v>
      </c>
    </row>
    <row r="731" spans="1:10" ht="15" x14ac:dyDescent="0.25">
      <c r="A731" s="23" t="s">
        <v>1430</v>
      </c>
      <c r="B731" s="24" t="s">
        <v>1431</v>
      </c>
      <c r="C731" s="9">
        <f>+Tabla114[[#This Row],[COSTO CON IVA]]/Tabla114[[#This Row],[UTILIDAD]]</f>
        <v>10328.5</v>
      </c>
      <c r="D731" s="9">
        <f>+Tabla114[[#This Row],[PRECIO INSTALADOR (IVA INCLUIDO)]]-Tabla114[[#This Row],[DCTO TIENDA]]</f>
        <v>9812.0750000000007</v>
      </c>
      <c r="E731" s="9">
        <f>+Tabla114[[#This Row],[PRECIO INSTALADOR (IVA INCLUIDO)]]/0.7</f>
        <v>14755.000000000002</v>
      </c>
      <c r="F731" s="8">
        <v>0.85</v>
      </c>
      <c r="G731" s="16">
        <f>+Tabla114[[#This Row],[COSTO]]*1.19</f>
        <v>8779.2250000000004</v>
      </c>
      <c r="H731" s="26">
        <f>+Tabla114[[#This Row],[PRECIO INSTALADOR (IVA INCLUIDO)]]*5%</f>
        <v>516.42500000000007</v>
      </c>
      <c r="I731" s="25"/>
      <c r="J731" s="7">
        <v>7377.5</v>
      </c>
    </row>
    <row r="732" spans="1:10" ht="15" x14ac:dyDescent="0.25">
      <c r="A732" s="23" t="s">
        <v>1432</v>
      </c>
      <c r="B732" s="24" t="s">
        <v>1433</v>
      </c>
      <c r="C732" s="9">
        <f>+Tabla114[[#This Row],[COSTO CON IVA]]/Tabla114[[#This Row],[UTILIDAD]]</f>
        <v>7334.6</v>
      </c>
      <c r="D732" s="9">
        <f>+Tabla114[[#This Row],[PRECIO INSTALADOR (IVA INCLUIDO)]]-Tabla114[[#This Row],[DCTO TIENDA]]</f>
        <v>6967.8700000000008</v>
      </c>
      <c r="E732" s="9">
        <f>+Tabla114[[#This Row],[PRECIO INSTALADOR (IVA INCLUIDO)]]/0.7</f>
        <v>10478.000000000002</v>
      </c>
      <c r="F732" s="8">
        <v>0.85</v>
      </c>
      <c r="G732" s="16">
        <f>+Tabla114[[#This Row],[COSTO]]*1.19</f>
        <v>6234.41</v>
      </c>
      <c r="H732" s="26">
        <f>+Tabla114[[#This Row],[PRECIO INSTALADOR (IVA INCLUIDO)]]*5%</f>
        <v>366.73</v>
      </c>
      <c r="I732" s="25"/>
      <c r="J732" s="7">
        <v>5239</v>
      </c>
    </row>
    <row r="733" spans="1:10" ht="15" x14ac:dyDescent="0.25">
      <c r="A733" s="23" t="s">
        <v>1434</v>
      </c>
      <c r="B733" s="24" t="s">
        <v>1435</v>
      </c>
      <c r="C733" s="9">
        <f>+Tabla114[[#This Row],[COSTO CON IVA]]/Tabla114[[#This Row],[UTILIDAD]]</f>
        <v>3549</v>
      </c>
      <c r="D733" s="9">
        <f>+Tabla114[[#This Row],[PRECIO INSTALADOR (IVA INCLUIDO)]]-Tabla114[[#This Row],[DCTO TIENDA]]</f>
        <v>3371.55</v>
      </c>
      <c r="E733" s="9">
        <f>+Tabla114[[#This Row],[PRECIO INSTALADOR (IVA INCLUIDO)]]/0.7</f>
        <v>5070</v>
      </c>
      <c r="F733" s="8">
        <v>0.85</v>
      </c>
      <c r="G733" s="16">
        <f>+Tabla114[[#This Row],[COSTO]]*1.19</f>
        <v>3016.65</v>
      </c>
      <c r="H733" s="26">
        <f>+Tabla114[[#This Row],[PRECIO INSTALADOR (IVA INCLUIDO)]]*5%</f>
        <v>177.45000000000002</v>
      </c>
      <c r="I733" s="25"/>
      <c r="J733" s="7">
        <v>2535</v>
      </c>
    </row>
    <row r="734" spans="1:10" ht="15" x14ac:dyDescent="0.25">
      <c r="A734" s="23" t="s">
        <v>1436</v>
      </c>
      <c r="B734" s="24" t="s">
        <v>1437</v>
      </c>
      <c r="C734" s="9">
        <f>+Tabla114[[#This Row],[COSTO CON IVA]]/Tabla114[[#This Row],[UTILIDAD]]</f>
        <v>3822</v>
      </c>
      <c r="D734" s="9">
        <f>+Tabla114[[#This Row],[PRECIO INSTALADOR (IVA INCLUIDO)]]-Tabla114[[#This Row],[DCTO TIENDA]]</f>
        <v>3630.9</v>
      </c>
      <c r="E734" s="9">
        <f>+Tabla114[[#This Row],[PRECIO INSTALADOR (IVA INCLUIDO)]]/0.7</f>
        <v>5460</v>
      </c>
      <c r="F734" s="8">
        <v>0.85</v>
      </c>
      <c r="G734" s="16">
        <f>+Tabla114[[#This Row],[COSTO]]*1.19</f>
        <v>3248.7</v>
      </c>
      <c r="H734" s="26">
        <f>+Tabla114[[#This Row],[PRECIO INSTALADOR (IVA INCLUIDO)]]*5%</f>
        <v>191.10000000000002</v>
      </c>
      <c r="I734" s="25"/>
      <c r="J734" s="7">
        <v>2730</v>
      </c>
    </row>
    <row r="735" spans="1:10" ht="15" x14ac:dyDescent="0.25">
      <c r="A735" s="23" t="s">
        <v>1438</v>
      </c>
      <c r="B735" s="24" t="s">
        <v>1439</v>
      </c>
      <c r="C735" s="9">
        <f>+Tabla114[[#This Row],[COSTO CON IVA]]/Tabla114[[#This Row],[UTILIDAD]]</f>
        <v>2866.5</v>
      </c>
      <c r="D735" s="9">
        <f>+Tabla114[[#This Row],[PRECIO INSTALADOR (IVA INCLUIDO)]]-Tabla114[[#This Row],[DCTO TIENDA]]</f>
        <v>2723.1750000000002</v>
      </c>
      <c r="E735" s="9">
        <f>+Tabla114[[#This Row],[PRECIO INSTALADOR (IVA INCLUIDO)]]/0.7</f>
        <v>4095.0000000000005</v>
      </c>
      <c r="F735" s="8">
        <v>0.85</v>
      </c>
      <c r="G735" s="16">
        <f>+Tabla114[[#This Row],[COSTO]]*1.19</f>
        <v>2436.5250000000001</v>
      </c>
      <c r="H735" s="26">
        <f>+Tabla114[[#This Row],[PRECIO INSTALADOR (IVA INCLUIDO)]]*5%</f>
        <v>143.32500000000002</v>
      </c>
      <c r="I735" s="25"/>
      <c r="J735" s="7">
        <v>2047.5</v>
      </c>
    </row>
    <row r="736" spans="1:10" ht="15" x14ac:dyDescent="0.25">
      <c r="A736" s="23" t="s">
        <v>1440</v>
      </c>
      <c r="B736" s="24" t="s">
        <v>1441</v>
      </c>
      <c r="C736" s="9">
        <f>+Tabla114[[#This Row],[COSTO CON IVA]]/Tabla114[[#This Row],[UTILIDAD]]</f>
        <v>2457</v>
      </c>
      <c r="D736" s="9">
        <f>+Tabla114[[#This Row],[PRECIO INSTALADOR (IVA INCLUIDO)]]-Tabla114[[#This Row],[DCTO TIENDA]]</f>
        <v>2334.15</v>
      </c>
      <c r="E736" s="9">
        <f>+Tabla114[[#This Row],[PRECIO INSTALADOR (IVA INCLUIDO)]]/0.7</f>
        <v>3510</v>
      </c>
      <c r="F736" s="8">
        <v>0.85</v>
      </c>
      <c r="G736" s="16">
        <f>+Tabla114[[#This Row],[COSTO]]*1.19</f>
        <v>2088.4499999999998</v>
      </c>
      <c r="H736" s="26">
        <f>+Tabla114[[#This Row],[PRECIO INSTALADOR (IVA INCLUIDO)]]*5%</f>
        <v>122.85000000000001</v>
      </c>
      <c r="I736" s="25"/>
      <c r="J736" s="7">
        <v>1755</v>
      </c>
    </row>
    <row r="737" spans="1:10" ht="15" x14ac:dyDescent="0.25">
      <c r="A737" s="23" t="s">
        <v>1442</v>
      </c>
      <c r="B737" s="24" t="s">
        <v>1443</v>
      </c>
      <c r="C737" s="9">
        <f>+Tabla114[[#This Row],[COSTO CON IVA]]/Tabla114[[#This Row],[UTILIDAD]]</f>
        <v>3457.9999999999995</v>
      </c>
      <c r="D737" s="9">
        <f>+Tabla114[[#This Row],[PRECIO INSTALADOR (IVA INCLUIDO)]]-Tabla114[[#This Row],[DCTO TIENDA]]</f>
        <v>3285.0999999999995</v>
      </c>
      <c r="E737" s="9">
        <f>+Tabla114[[#This Row],[PRECIO INSTALADOR (IVA INCLUIDO)]]/0.7</f>
        <v>4940</v>
      </c>
      <c r="F737" s="8">
        <v>0.85</v>
      </c>
      <c r="G737" s="16">
        <f>+Tabla114[[#This Row],[COSTO]]*1.19</f>
        <v>2939.2999999999997</v>
      </c>
      <c r="H737" s="26">
        <f>+Tabla114[[#This Row],[PRECIO INSTALADOR (IVA INCLUIDO)]]*5%</f>
        <v>172.89999999999998</v>
      </c>
      <c r="I737" s="25"/>
      <c r="J737" s="7">
        <v>2470</v>
      </c>
    </row>
    <row r="738" spans="1:10" ht="15" x14ac:dyDescent="0.25">
      <c r="A738" s="23" t="s">
        <v>1444</v>
      </c>
      <c r="B738" s="24" t="s">
        <v>1445</v>
      </c>
      <c r="C738" s="9">
        <f>+Tabla114[[#This Row],[COSTO CON IVA]]/Tabla114[[#This Row],[UTILIDAD]]</f>
        <v>2457</v>
      </c>
      <c r="D738" s="9">
        <f>+Tabla114[[#This Row],[PRECIO INSTALADOR (IVA INCLUIDO)]]-Tabla114[[#This Row],[DCTO TIENDA]]</f>
        <v>2334.15</v>
      </c>
      <c r="E738" s="9">
        <f>+Tabla114[[#This Row],[PRECIO INSTALADOR (IVA INCLUIDO)]]/0.7</f>
        <v>3510</v>
      </c>
      <c r="F738" s="8">
        <v>0.85</v>
      </c>
      <c r="G738" s="16">
        <f>+Tabla114[[#This Row],[COSTO]]*1.19</f>
        <v>2088.4499999999998</v>
      </c>
      <c r="H738" s="26">
        <f>+Tabla114[[#This Row],[PRECIO INSTALADOR (IVA INCLUIDO)]]*5%</f>
        <v>122.85000000000001</v>
      </c>
      <c r="I738" s="25"/>
      <c r="J738" s="7">
        <v>1755</v>
      </c>
    </row>
    <row r="739" spans="1:10" ht="15" x14ac:dyDescent="0.25">
      <c r="A739" s="23" t="s">
        <v>1446</v>
      </c>
      <c r="B739" s="24" t="s">
        <v>1447</v>
      </c>
      <c r="C739" s="9">
        <f>+Tabla114[[#This Row],[COSTO CON IVA]]/Tabla114[[#This Row],[UTILIDAD]]</f>
        <v>3494.3999999999996</v>
      </c>
      <c r="D739" s="9">
        <f>+Tabla114[[#This Row],[PRECIO INSTALADOR (IVA INCLUIDO)]]-Tabla114[[#This Row],[DCTO TIENDA]]</f>
        <v>3319.68</v>
      </c>
      <c r="E739" s="9">
        <f>+Tabla114[[#This Row],[PRECIO INSTALADOR (IVA INCLUIDO)]]/0.7</f>
        <v>4992</v>
      </c>
      <c r="F739" s="8">
        <v>0.85</v>
      </c>
      <c r="G739" s="16">
        <f>+Tabla114[[#This Row],[COSTO]]*1.19</f>
        <v>2970.24</v>
      </c>
      <c r="H739" s="26">
        <f>+Tabla114[[#This Row],[PRECIO INSTALADOR (IVA INCLUIDO)]]*5%</f>
        <v>174.72</v>
      </c>
      <c r="I739" s="25"/>
      <c r="J739" s="7">
        <v>2496</v>
      </c>
    </row>
    <row r="740" spans="1:10" ht="15" x14ac:dyDescent="0.25">
      <c r="A740" s="23" t="s">
        <v>1448</v>
      </c>
      <c r="B740" s="24" t="s">
        <v>1449</v>
      </c>
      <c r="C740" s="9">
        <f>+Tabla114[[#This Row],[COSTO CON IVA]]/Tabla114[[#This Row],[UTILIDAD]]</f>
        <v>39221</v>
      </c>
      <c r="D740" s="9">
        <f>+Tabla114[[#This Row],[PRECIO INSTALADOR (IVA INCLUIDO)]]-Tabla114[[#This Row],[DCTO TIENDA]]</f>
        <v>37259.949999999997</v>
      </c>
      <c r="E740" s="9">
        <f>+Tabla114[[#This Row],[PRECIO INSTALADOR (IVA INCLUIDO)]]/0.7</f>
        <v>56030</v>
      </c>
      <c r="F740" s="8">
        <v>0.85</v>
      </c>
      <c r="G740" s="16">
        <f>+Tabla114[[#This Row],[COSTO]]*1.19</f>
        <v>33337.85</v>
      </c>
      <c r="H740" s="26">
        <f>+Tabla114[[#This Row],[PRECIO INSTALADOR (IVA INCLUIDO)]]*5%</f>
        <v>1961.0500000000002</v>
      </c>
      <c r="I740" s="25"/>
      <c r="J740" s="7">
        <v>28015</v>
      </c>
    </row>
    <row r="741" spans="1:10" ht="15" x14ac:dyDescent="0.25">
      <c r="A741" s="23" t="s">
        <v>1450</v>
      </c>
      <c r="B741" s="24" t="s">
        <v>1451</v>
      </c>
      <c r="C741" s="9">
        <f>+Tabla114[[#This Row],[COSTO CON IVA]]/Tabla114[[#This Row],[UTILIDAD]]</f>
        <v>34580</v>
      </c>
      <c r="D741" s="9">
        <f>+Tabla114[[#This Row],[PRECIO INSTALADOR (IVA INCLUIDO)]]-Tabla114[[#This Row],[DCTO TIENDA]]</f>
        <v>32851</v>
      </c>
      <c r="E741" s="9">
        <f>+Tabla114[[#This Row],[PRECIO INSTALADOR (IVA INCLUIDO)]]/0.7</f>
        <v>49400</v>
      </c>
      <c r="F741" s="8">
        <v>0.85</v>
      </c>
      <c r="G741" s="16">
        <f>+Tabla114[[#This Row],[COSTO]]*1.19</f>
        <v>29393</v>
      </c>
      <c r="H741" s="26">
        <f>+Tabla114[[#This Row],[PRECIO INSTALADOR (IVA INCLUIDO)]]*5%</f>
        <v>1729</v>
      </c>
      <c r="I741" s="25"/>
      <c r="J741" s="7">
        <v>24700</v>
      </c>
    </row>
    <row r="742" spans="1:10" ht="15" x14ac:dyDescent="0.25">
      <c r="A742" s="23" t="s">
        <v>1452</v>
      </c>
      <c r="B742" s="24" t="s">
        <v>1453</v>
      </c>
      <c r="C742" s="9">
        <f>+Tabla114[[#This Row],[COSTO CON IVA]]/Tabla114[[#This Row],[UTILIDAD]]</f>
        <v>30894.499999999996</v>
      </c>
      <c r="D742" s="9">
        <f>+Tabla114[[#This Row],[PRECIO INSTALADOR (IVA INCLUIDO)]]-Tabla114[[#This Row],[DCTO TIENDA]]</f>
        <v>29349.774999999998</v>
      </c>
      <c r="E742" s="9">
        <f>+Tabla114[[#This Row],[PRECIO INSTALADOR (IVA INCLUIDO)]]/0.7</f>
        <v>44135</v>
      </c>
      <c r="F742" s="8">
        <v>0.85</v>
      </c>
      <c r="G742" s="16">
        <f>+Tabla114[[#This Row],[COSTO]]*1.19</f>
        <v>26260.324999999997</v>
      </c>
      <c r="H742" s="26">
        <f>+Tabla114[[#This Row],[PRECIO INSTALADOR (IVA INCLUIDO)]]*5%</f>
        <v>1544.7249999999999</v>
      </c>
      <c r="I742" s="25"/>
      <c r="J742" s="7">
        <v>22067.5</v>
      </c>
    </row>
    <row r="743" spans="1:10" ht="15" x14ac:dyDescent="0.25">
      <c r="A743" s="23" t="s">
        <v>1454</v>
      </c>
      <c r="B743" s="24" t="s">
        <v>1455</v>
      </c>
      <c r="C743" s="9">
        <f>+Tabla114[[#This Row],[COSTO CON IVA]]/Tabla114[[#This Row],[UTILIDAD]]</f>
        <v>33670</v>
      </c>
      <c r="D743" s="9">
        <f>+Tabla114[[#This Row],[PRECIO INSTALADOR (IVA INCLUIDO)]]-Tabla114[[#This Row],[DCTO TIENDA]]</f>
        <v>31986.5</v>
      </c>
      <c r="E743" s="9">
        <f>+Tabla114[[#This Row],[PRECIO INSTALADOR (IVA INCLUIDO)]]/0.7</f>
        <v>48100</v>
      </c>
      <c r="F743" s="8">
        <v>0.85</v>
      </c>
      <c r="G743" s="16">
        <f>+Tabla114[[#This Row],[COSTO]]*1.19</f>
        <v>28619.5</v>
      </c>
      <c r="H743" s="26">
        <f>+Tabla114[[#This Row],[PRECIO INSTALADOR (IVA INCLUIDO)]]*5%</f>
        <v>1683.5</v>
      </c>
      <c r="I743" s="25"/>
      <c r="J743" s="7">
        <v>24050</v>
      </c>
    </row>
    <row r="744" spans="1:10" ht="15" x14ac:dyDescent="0.25">
      <c r="A744" s="23" t="s">
        <v>1456</v>
      </c>
      <c r="B744" s="24" t="s">
        <v>1457</v>
      </c>
      <c r="C744" s="9">
        <f>+Tabla114[[#This Row],[COSTO CON IVA]]/Tabla114[[#This Row],[UTILIDAD]]</f>
        <v>33670</v>
      </c>
      <c r="D744" s="9">
        <f>+Tabla114[[#This Row],[PRECIO INSTALADOR (IVA INCLUIDO)]]-Tabla114[[#This Row],[DCTO TIENDA]]</f>
        <v>31986.5</v>
      </c>
      <c r="E744" s="9">
        <f>+Tabla114[[#This Row],[PRECIO INSTALADOR (IVA INCLUIDO)]]/0.7</f>
        <v>48100</v>
      </c>
      <c r="F744" s="8">
        <v>0.85</v>
      </c>
      <c r="G744" s="16">
        <f>+Tabla114[[#This Row],[COSTO]]*1.19</f>
        <v>28619.5</v>
      </c>
      <c r="H744" s="26">
        <f>+Tabla114[[#This Row],[PRECIO INSTALADOR (IVA INCLUIDO)]]*5%</f>
        <v>1683.5</v>
      </c>
      <c r="I744" s="25"/>
      <c r="J744" s="7">
        <v>24050</v>
      </c>
    </row>
    <row r="745" spans="1:10" ht="15" x14ac:dyDescent="0.25">
      <c r="A745" s="23" t="s">
        <v>1458</v>
      </c>
      <c r="B745" s="24" t="s">
        <v>1459</v>
      </c>
      <c r="C745" s="9">
        <f>+Tabla114[[#This Row],[COSTO CON IVA]]/Tabla114[[#This Row],[UTILIDAD]]</f>
        <v>64155</v>
      </c>
      <c r="D745" s="9">
        <f>+Tabla114[[#This Row],[PRECIO INSTALADOR (IVA INCLUIDO)]]-Tabla114[[#This Row],[DCTO TIENDA]]</f>
        <v>60947.25</v>
      </c>
      <c r="E745" s="9">
        <f>+Tabla114[[#This Row],[PRECIO INSTALADOR (IVA INCLUIDO)]]/0.7</f>
        <v>91650</v>
      </c>
      <c r="F745" s="8">
        <v>0.85</v>
      </c>
      <c r="G745" s="16">
        <f>+Tabla114[[#This Row],[COSTO]]*1.19</f>
        <v>54531.75</v>
      </c>
      <c r="H745" s="26">
        <f>+Tabla114[[#This Row],[PRECIO INSTALADOR (IVA INCLUIDO)]]*5%</f>
        <v>3207.75</v>
      </c>
      <c r="I745" s="25"/>
      <c r="J745" s="7">
        <v>45825</v>
      </c>
    </row>
    <row r="746" spans="1:10" ht="15" x14ac:dyDescent="0.25">
      <c r="A746" s="23" t="s">
        <v>1460</v>
      </c>
      <c r="B746" s="24" t="s">
        <v>1461</v>
      </c>
      <c r="C746" s="9">
        <f>+Tabla114[[#This Row],[COSTO CON IVA]]/Tabla114[[#This Row],[UTILIDAD]]</f>
        <v>8836.1</v>
      </c>
      <c r="D746" s="9">
        <f>+Tabla114[[#This Row],[PRECIO INSTALADOR (IVA INCLUIDO)]]-Tabla114[[#This Row],[DCTO TIENDA]]</f>
        <v>8394.2950000000001</v>
      </c>
      <c r="E746" s="9">
        <f>+Tabla114[[#This Row],[PRECIO INSTALADOR (IVA INCLUIDO)]]/0.7</f>
        <v>12623.000000000002</v>
      </c>
      <c r="F746" s="8">
        <v>0.85</v>
      </c>
      <c r="G746" s="16">
        <f>+Tabla114[[#This Row],[COSTO]]*1.19</f>
        <v>7510.6849999999995</v>
      </c>
      <c r="H746" s="26">
        <f>+Tabla114[[#This Row],[PRECIO INSTALADOR (IVA INCLUIDO)]]*5%</f>
        <v>441.80500000000006</v>
      </c>
      <c r="I746" s="25"/>
      <c r="J746" s="7">
        <v>6311.5</v>
      </c>
    </row>
    <row r="747" spans="1:10" ht="15" x14ac:dyDescent="0.25">
      <c r="A747" s="23" t="s">
        <v>1462</v>
      </c>
      <c r="B747" s="24" t="s">
        <v>1463</v>
      </c>
      <c r="C747" s="9">
        <f>+Tabla114[[#This Row],[COSTO CON IVA]]/Tabla114[[#This Row],[UTILIDAD]]</f>
        <v>3926.6499999999996</v>
      </c>
      <c r="D747" s="9">
        <f>+Tabla114[[#This Row],[PRECIO INSTALADOR (IVA INCLUIDO)]]-Tabla114[[#This Row],[DCTO TIENDA]]</f>
        <v>3730.3174999999997</v>
      </c>
      <c r="E747" s="9">
        <f>+Tabla114[[#This Row],[PRECIO INSTALADOR (IVA INCLUIDO)]]/0.7</f>
        <v>5609.5</v>
      </c>
      <c r="F747" s="8">
        <v>0.85</v>
      </c>
      <c r="G747" s="16">
        <f>+Tabla114[[#This Row],[COSTO]]*1.19</f>
        <v>3337.6524999999997</v>
      </c>
      <c r="H747" s="26">
        <f>+Tabla114[[#This Row],[PRECIO INSTALADOR (IVA INCLUIDO)]]*5%</f>
        <v>196.33249999999998</v>
      </c>
      <c r="I747" s="25"/>
      <c r="J747" s="7">
        <v>2804.75</v>
      </c>
    </row>
    <row r="748" spans="1:10" ht="15" x14ac:dyDescent="0.25">
      <c r="A748" s="23" t="s">
        <v>1464</v>
      </c>
      <c r="B748" s="33" t="s">
        <v>1465</v>
      </c>
      <c r="C748" s="9">
        <f>+Tabla114[[#This Row],[COSTO CON IVA]]/Tabla114[[#This Row],[UTILIDAD]]</f>
        <v>6324.5</v>
      </c>
      <c r="D748" s="9">
        <f>+Tabla114[[#This Row],[PRECIO INSTALADOR (IVA INCLUIDO)]]-Tabla114[[#This Row],[DCTO TIENDA]]</f>
        <v>6008.2749999999996</v>
      </c>
      <c r="E748" s="9">
        <f>+Tabla114[[#This Row],[PRECIO INSTALADOR (IVA INCLUIDO)]]/0.7</f>
        <v>9035</v>
      </c>
      <c r="F748" s="8">
        <v>0.85</v>
      </c>
      <c r="G748" s="16">
        <f>+Tabla114[[#This Row],[COSTO]]*1.19</f>
        <v>5375.8249999999998</v>
      </c>
      <c r="H748" s="26">
        <f>+Tabla114[[#This Row],[PRECIO INSTALADOR (IVA INCLUIDO)]]*5%</f>
        <v>316.22500000000002</v>
      </c>
      <c r="I748" s="25"/>
      <c r="J748" s="7">
        <v>4517.5</v>
      </c>
    </row>
    <row r="749" spans="1:10" ht="15" x14ac:dyDescent="0.25">
      <c r="A749" s="23" t="s">
        <v>1466</v>
      </c>
      <c r="B749" s="33" t="s">
        <v>1467</v>
      </c>
      <c r="C749" s="9">
        <f>+Tabla114[[#This Row],[COSTO CON IVA]]/Tabla114[[#This Row],[UTILIDAD]]</f>
        <v>65065</v>
      </c>
      <c r="D749" s="9">
        <f>+Tabla114[[#This Row],[PRECIO INSTALADOR (IVA INCLUIDO)]]-Tabla114[[#This Row],[DCTO TIENDA]]</f>
        <v>61811.75</v>
      </c>
      <c r="E749" s="9">
        <f>+Tabla114[[#This Row],[PRECIO INSTALADOR (IVA INCLUIDO)]]/0.7</f>
        <v>92950</v>
      </c>
      <c r="F749" s="8">
        <v>0.85</v>
      </c>
      <c r="G749" s="16">
        <f>+Tabla114[[#This Row],[COSTO]]*1.19</f>
        <v>55305.25</v>
      </c>
      <c r="H749" s="26">
        <f>+Tabla114[[#This Row],[PRECIO INSTALADOR (IVA INCLUIDO)]]*5%</f>
        <v>3253.25</v>
      </c>
      <c r="I749" s="25"/>
      <c r="J749" s="7">
        <v>46475</v>
      </c>
    </row>
    <row r="750" spans="1:10" ht="15" x14ac:dyDescent="0.25">
      <c r="A750" s="23" t="s">
        <v>1468</v>
      </c>
      <c r="B750" s="24" t="s">
        <v>1469</v>
      </c>
      <c r="C750" s="9">
        <f>+Tabla114[[#This Row],[COSTO CON IVA]]/Tabla114[[#This Row],[UTILIDAD]]</f>
        <v>4368</v>
      </c>
      <c r="D750" s="9">
        <f>+Tabla114[[#This Row],[PRECIO INSTALADOR (IVA INCLUIDO)]]-Tabla114[[#This Row],[DCTO TIENDA]]</f>
        <v>4149.6000000000004</v>
      </c>
      <c r="E750" s="9">
        <f>+Tabla114[[#This Row],[PRECIO INSTALADOR (IVA INCLUIDO)]]/0.7</f>
        <v>6240</v>
      </c>
      <c r="F750" s="8">
        <v>0.85</v>
      </c>
      <c r="G750" s="16">
        <f>+Tabla114[[#This Row],[COSTO]]*1.19</f>
        <v>3712.7999999999997</v>
      </c>
      <c r="H750" s="26">
        <f>+Tabla114[[#This Row],[PRECIO INSTALADOR (IVA INCLUIDO)]]*5%</f>
        <v>218.4</v>
      </c>
      <c r="I750" s="25"/>
      <c r="J750" s="7">
        <v>3120</v>
      </c>
    </row>
    <row r="751" spans="1:10" ht="15" x14ac:dyDescent="0.25">
      <c r="A751" s="23" t="s">
        <v>1470</v>
      </c>
      <c r="B751" s="24" t="s">
        <v>1471</v>
      </c>
      <c r="C751" s="9">
        <f>+Tabla114[[#This Row],[COSTO CON IVA]]/Tabla114[[#This Row],[UTILIDAD]]</f>
        <v>2629.9</v>
      </c>
      <c r="D751" s="9">
        <f>+Tabla114[[#This Row],[PRECIO INSTALADOR (IVA INCLUIDO)]]-Tabla114[[#This Row],[DCTO TIENDA]]</f>
        <v>2498.4050000000002</v>
      </c>
      <c r="E751" s="9">
        <f>+Tabla114[[#This Row],[PRECIO INSTALADOR (IVA INCLUIDO)]]/0.7</f>
        <v>3757.0000000000005</v>
      </c>
      <c r="F751" s="8">
        <v>0.85</v>
      </c>
      <c r="G751" s="16">
        <f>+Tabla114[[#This Row],[COSTO]]*1.19</f>
        <v>2235.415</v>
      </c>
      <c r="H751" s="26">
        <f>+Tabla114[[#This Row],[PRECIO INSTALADOR (IVA INCLUIDO)]]*5%</f>
        <v>131.495</v>
      </c>
      <c r="I751" s="25"/>
      <c r="J751" s="7">
        <v>1878.5</v>
      </c>
    </row>
    <row r="752" spans="1:10" ht="15" x14ac:dyDescent="0.25">
      <c r="A752" s="23" t="s">
        <v>1472</v>
      </c>
      <c r="B752" s="24" t="s">
        <v>1473</v>
      </c>
      <c r="C752" s="9">
        <f>+Tabla114[[#This Row],[COSTO CON IVA]]/Tabla114[[#This Row],[UTILIDAD]]</f>
        <v>3594.5</v>
      </c>
      <c r="D752" s="9">
        <f>+Tabla114[[#This Row],[PRECIO INSTALADOR (IVA INCLUIDO)]]-Tabla114[[#This Row],[DCTO TIENDA]]</f>
        <v>3414.7750000000001</v>
      </c>
      <c r="E752" s="9">
        <f>+Tabla114[[#This Row],[PRECIO INSTALADOR (IVA INCLUIDO)]]/0.7</f>
        <v>5135</v>
      </c>
      <c r="F752" s="8">
        <v>0.85</v>
      </c>
      <c r="G752" s="16">
        <f>+Tabla114[[#This Row],[COSTO]]*1.19</f>
        <v>3055.3249999999998</v>
      </c>
      <c r="H752" s="26">
        <f>+Tabla114[[#This Row],[PRECIO INSTALADOR (IVA INCLUIDO)]]*5%</f>
        <v>179.72500000000002</v>
      </c>
      <c r="I752" s="25"/>
      <c r="J752" s="7">
        <v>2567.5</v>
      </c>
    </row>
    <row r="753" spans="1:10" ht="15" x14ac:dyDescent="0.25">
      <c r="A753" s="23" t="s">
        <v>1474</v>
      </c>
      <c r="B753" s="24" t="s">
        <v>1475</v>
      </c>
      <c r="C753" s="9">
        <f>+Tabla114[[#This Row],[COSTO CON IVA]]/Tabla114[[#This Row],[UTILIDAD]]</f>
        <v>5505.5</v>
      </c>
      <c r="D753" s="9">
        <f>+Tabla114[[#This Row],[PRECIO INSTALADOR (IVA INCLUIDO)]]-Tabla114[[#This Row],[DCTO TIENDA]]</f>
        <v>5230.2250000000004</v>
      </c>
      <c r="E753" s="9">
        <f>+Tabla114[[#This Row],[PRECIO INSTALADOR (IVA INCLUIDO)]]/0.7</f>
        <v>7865.0000000000009</v>
      </c>
      <c r="F753" s="8">
        <v>0.85</v>
      </c>
      <c r="G753" s="16">
        <f>+Tabla114[[#This Row],[COSTO]]*1.19</f>
        <v>4679.6750000000002</v>
      </c>
      <c r="H753" s="26">
        <f>+Tabla114[[#This Row],[PRECIO INSTALADOR (IVA INCLUIDO)]]*5%</f>
        <v>275.27500000000003</v>
      </c>
      <c r="I753" s="25"/>
      <c r="J753" s="7">
        <v>3932.5</v>
      </c>
    </row>
    <row r="754" spans="1:10" ht="15" x14ac:dyDescent="0.25">
      <c r="A754" s="23" t="s">
        <v>1476</v>
      </c>
      <c r="B754" s="24" t="s">
        <v>1477</v>
      </c>
      <c r="C754" s="9">
        <f>+Tabla114[[#This Row],[COSTO CON IVA]]/Tabla114[[#This Row],[UTILIDAD]]</f>
        <v>3867.5</v>
      </c>
      <c r="D754" s="9">
        <f>+Tabla114[[#This Row],[PRECIO INSTALADOR (IVA INCLUIDO)]]-Tabla114[[#This Row],[DCTO TIENDA]]</f>
        <v>3674.125</v>
      </c>
      <c r="E754" s="9">
        <f>+Tabla114[[#This Row],[PRECIO INSTALADOR (IVA INCLUIDO)]]/0.7</f>
        <v>5525</v>
      </c>
      <c r="F754" s="8">
        <v>0.85</v>
      </c>
      <c r="G754" s="16">
        <f>+Tabla114[[#This Row],[COSTO]]*1.19</f>
        <v>3287.375</v>
      </c>
      <c r="H754" s="26">
        <f>+Tabla114[[#This Row],[PRECIO INSTALADOR (IVA INCLUIDO)]]*5%</f>
        <v>193.375</v>
      </c>
      <c r="I754" s="25"/>
      <c r="J754" s="7">
        <v>2762.5</v>
      </c>
    </row>
    <row r="755" spans="1:10" ht="15" x14ac:dyDescent="0.25">
      <c r="A755" s="23" t="s">
        <v>1478</v>
      </c>
      <c r="B755" s="24" t="s">
        <v>1479</v>
      </c>
      <c r="C755" s="9">
        <f>+Tabla114[[#This Row],[COSTO CON IVA]]/Tabla114[[#This Row],[UTILIDAD]]</f>
        <v>6906.9</v>
      </c>
      <c r="D755" s="9">
        <f>+Tabla114[[#This Row],[PRECIO INSTALADOR (IVA INCLUIDO)]]-Tabla114[[#This Row],[DCTO TIENDA]]</f>
        <v>6561.5549999999994</v>
      </c>
      <c r="E755" s="9">
        <f>+Tabla114[[#This Row],[PRECIO INSTALADOR (IVA INCLUIDO)]]/0.7</f>
        <v>9867</v>
      </c>
      <c r="F755" s="8">
        <v>0.85</v>
      </c>
      <c r="G755" s="16">
        <f>+Tabla114[[#This Row],[COSTO]]*1.19</f>
        <v>5870.8649999999998</v>
      </c>
      <c r="H755" s="26">
        <f>+Tabla114[[#This Row],[PRECIO INSTALADOR (IVA INCLUIDO)]]*5%</f>
        <v>345.34500000000003</v>
      </c>
      <c r="I755" s="25"/>
      <c r="J755" s="7">
        <v>4933.5</v>
      </c>
    </row>
    <row r="756" spans="1:10" ht="15" x14ac:dyDescent="0.25">
      <c r="A756" s="23" t="s">
        <v>1480</v>
      </c>
      <c r="B756" s="24" t="s">
        <v>1481</v>
      </c>
      <c r="C756" s="9">
        <f>+Tabla114[[#This Row],[COSTO CON IVA]]/Tabla114[[#This Row],[UTILIDAD]]</f>
        <v>6952.4000000000005</v>
      </c>
      <c r="D756" s="9">
        <f>+Tabla114[[#This Row],[PRECIO INSTALADOR (IVA INCLUIDO)]]-Tabla114[[#This Row],[DCTO TIENDA]]</f>
        <v>6604.7800000000007</v>
      </c>
      <c r="E756" s="9">
        <f>+Tabla114[[#This Row],[PRECIO INSTALADOR (IVA INCLUIDO)]]/0.7</f>
        <v>9932.0000000000018</v>
      </c>
      <c r="F756" s="8">
        <v>0.85</v>
      </c>
      <c r="G756" s="16">
        <f>+Tabla114[[#This Row],[COSTO]]*1.19</f>
        <v>5909.54</v>
      </c>
      <c r="H756" s="26">
        <f>+Tabla114[[#This Row],[PRECIO INSTALADOR (IVA INCLUIDO)]]*5%</f>
        <v>347.62000000000006</v>
      </c>
      <c r="I756" s="25"/>
      <c r="J756" s="7">
        <v>4966</v>
      </c>
    </row>
    <row r="757" spans="1:10" ht="15" x14ac:dyDescent="0.25">
      <c r="A757" s="23" t="s">
        <v>1482</v>
      </c>
      <c r="B757" s="24" t="s">
        <v>1483</v>
      </c>
      <c r="C757" s="9">
        <f>+Tabla114[[#This Row],[COSTO CON IVA]]/Tabla114[[#This Row],[UTILIDAD]]</f>
        <v>10465</v>
      </c>
      <c r="D757" s="9">
        <f>+Tabla114[[#This Row],[PRECIO INSTALADOR (IVA INCLUIDO)]]-Tabla114[[#This Row],[DCTO TIENDA]]</f>
        <v>9941.75</v>
      </c>
      <c r="E757" s="9">
        <f>+Tabla114[[#This Row],[PRECIO INSTALADOR (IVA INCLUIDO)]]/0.7</f>
        <v>14950.000000000002</v>
      </c>
      <c r="F757" s="8">
        <v>0.85</v>
      </c>
      <c r="G757" s="16">
        <f>+Tabla114[[#This Row],[COSTO]]*1.19</f>
        <v>8895.25</v>
      </c>
      <c r="H757" s="26">
        <f>+Tabla114[[#This Row],[PRECIO INSTALADOR (IVA INCLUIDO)]]*5%</f>
        <v>523.25</v>
      </c>
      <c r="I757" s="25"/>
      <c r="J757" s="7">
        <v>7475</v>
      </c>
    </row>
    <row r="758" spans="1:10" ht="15" x14ac:dyDescent="0.25">
      <c r="A758" s="23" t="s">
        <v>1484</v>
      </c>
      <c r="B758" s="24" t="s">
        <v>1485</v>
      </c>
      <c r="C758" s="9">
        <f>+Tabla114[[#This Row],[COSTO CON IVA]]/Tabla114[[#This Row],[UTILIDAD]]</f>
        <v>21157.5</v>
      </c>
      <c r="D758" s="9">
        <f>+Tabla114[[#This Row],[PRECIO INSTALADOR (IVA INCLUIDO)]]-Tabla114[[#This Row],[DCTO TIENDA]]</f>
        <v>20099.625</v>
      </c>
      <c r="E758" s="9">
        <f>+Tabla114[[#This Row],[PRECIO INSTALADOR (IVA INCLUIDO)]]/0.7</f>
        <v>30225.000000000004</v>
      </c>
      <c r="F758" s="8">
        <v>0.85</v>
      </c>
      <c r="G758" s="16">
        <f>+Tabla114[[#This Row],[COSTO]]*1.19</f>
        <v>17983.875</v>
      </c>
      <c r="H758" s="26">
        <f>+Tabla114[[#This Row],[PRECIO INSTALADOR (IVA INCLUIDO)]]*5%</f>
        <v>1057.875</v>
      </c>
      <c r="I758" s="25"/>
      <c r="J758" s="7">
        <v>15112.5</v>
      </c>
    </row>
    <row r="759" spans="1:10" ht="15" x14ac:dyDescent="0.25">
      <c r="A759" s="23" t="s">
        <v>1486</v>
      </c>
      <c r="B759" s="24" t="s">
        <v>1487</v>
      </c>
      <c r="C759" s="9">
        <f>+Tabla114[[#This Row],[COSTO CON IVA]]/Tabla114[[#This Row],[UTILIDAD]]</f>
        <v>13722.8</v>
      </c>
      <c r="D759" s="9">
        <f>+Tabla114[[#This Row],[PRECIO INSTALADOR (IVA INCLUIDO)]]-Tabla114[[#This Row],[DCTO TIENDA]]</f>
        <v>13036.66</v>
      </c>
      <c r="E759" s="9">
        <f>+Tabla114[[#This Row],[PRECIO INSTALADOR (IVA INCLUIDO)]]/0.7</f>
        <v>19604</v>
      </c>
      <c r="F759" s="8">
        <v>0.85</v>
      </c>
      <c r="G759" s="16">
        <f>+Tabla114[[#This Row],[COSTO]]*1.19</f>
        <v>11664.38</v>
      </c>
      <c r="H759" s="26">
        <f>+Tabla114[[#This Row],[PRECIO INSTALADOR (IVA INCLUIDO)]]*5%</f>
        <v>686.14</v>
      </c>
      <c r="I759" s="25"/>
      <c r="J759" s="7">
        <v>9802</v>
      </c>
    </row>
    <row r="760" spans="1:10" ht="15" x14ac:dyDescent="0.25">
      <c r="A760" s="23" t="s">
        <v>1488</v>
      </c>
      <c r="B760" s="24" t="s">
        <v>1489</v>
      </c>
      <c r="C760" s="9">
        <f>+Tabla114[[#This Row],[COSTO CON IVA]]/Tabla114[[#This Row],[UTILIDAD]]</f>
        <v>15861.3</v>
      </c>
      <c r="D760" s="9">
        <f>+Tabla114[[#This Row],[PRECIO INSTALADOR (IVA INCLUIDO)]]-Tabla114[[#This Row],[DCTO TIENDA]]</f>
        <v>15068.234999999999</v>
      </c>
      <c r="E760" s="9">
        <f>+Tabla114[[#This Row],[PRECIO INSTALADOR (IVA INCLUIDO)]]/0.7</f>
        <v>22659</v>
      </c>
      <c r="F760" s="8">
        <v>0.85</v>
      </c>
      <c r="G760" s="16">
        <f>+Tabla114[[#This Row],[COSTO]]*1.19</f>
        <v>13482.105</v>
      </c>
      <c r="H760" s="26">
        <f>+Tabla114[[#This Row],[PRECIO INSTALADOR (IVA INCLUIDO)]]*5%</f>
        <v>793.06500000000005</v>
      </c>
      <c r="I760" s="25"/>
      <c r="J760" s="7">
        <v>11329.5</v>
      </c>
    </row>
    <row r="761" spans="1:10" ht="15" x14ac:dyDescent="0.25">
      <c r="A761" s="23" t="s">
        <v>1490</v>
      </c>
      <c r="B761" s="24" t="s">
        <v>1491</v>
      </c>
      <c r="C761" s="9">
        <f>+Tabla114[[#This Row],[COSTO CON IVA]]/Tabla114[[#This Row],[UTILIDAD]]</f>
        <v>24206</v>
      </c>
      <c r="D761" s="9">
        <f>+Tabla114[[#This Row],[PRECIO INSTALADOR (IVA INCLUIDO)]]-Tabla114[[#This Row],[DCTO TIENDA]]</f>
        <v>22995.7</v>
      </c>
      <c r="E761" s="9">
        <f>+Tabla114[[#This Row],[PRECIO INSTALADOR (IVA INCLUIDO)]]/0.7</f>
        <v>34580</v>
      </c>
      <c r="F761" s="8">
        <v>0.85</v>
      </c>
      <c r="G761" s="16">
        <f>+Tabla114[[#This Row],[COSTO]]*1.19</f>
        <v>20575.099999999999</v>
      </c>
      <c r="H761" s="26">
        <f>+Tabla114[[#This Row],[PRECIO INSTALADOR (IVA INCLUIDO)]]*5%</f>
        <v>1210.3</v>
      </c>
      <c r="I761" s="25"/>
      <c r="J761" s="7">
        <v>17290</v>
      </c>
    </row>
    <row r="762" spans="1:10" ht="15" x14ac:dyDescent="0.25">
      <c r="A762" s="23" t="s">
        <v>1492</v>
      </c>
      <c r="B762" s="24" t="s">
        <v>1493</v>
      </c>
      <c r="C762" s="9">
        <f>+Tabla114[[#This Row],[COSTO CON IVA]]/Tabla114[[#This Row],[UTILIDAD]]</f>
        <v>27099.8</v>
      </c>
      <c r="D762" s="9">
        <f>+Tabla114[[#This Row],[PRECIO INSTALADOR (IVA INCLUIDO)]]-Tabla114[[#This Row],[DCTO TIENDA]]</f>
        <v>25744.809999999998</v>
      </c>
      <c r="E762" s="9">
        <f>+Tabla114[[#This Row],[PRECIO INSTALADOR (IVA INCLUIDO)]]/0.7</f>
        <v>38714</v>
      </c>
      <c r="F762" s="8">
        <v>0.85</v>
      </c>
      <c r="G762" s="16">
        <f>+Tabla114[[#This Row],[COSTO]]*1.19</f>
        <v>23034.829999999998</v>
      </c>
      <c r="H762" s="26">
        <f>+Tabla114[[#This Row],[PRECIO INSTALADOR (IVA INCLUIDO)]]*5%</f>
        <v>1354.99</v>
      </c>
      <c r="I762" s="25"/>
      <c r="J762" s="7">
        <v>19357</v>
      </c>
    </row>
    <row r="763" spans="1:10" ht="15" x14ac:dyDescent="0.25">
      <c r="A763" s="23" t="s">
        <v>1494</v>
      </c>
      <c r="B763" s="24" t="s">
        <v>1495</v>
      </c>
      <c r="C763" s="9">
        <f>+Tabla114[[#This Row],[COSTO CON IVA]]/Tabla114[[#This Row],[UTILIDAD]]</f>
        <v>21293.999999999996</v>
      </c>
      <c r="D763" s="9">
        <f>+Tabla114[[#This Row],[PRECIO INSTALADOR (IVA INCLUIDO)]]-Tabla114[[#This Row],[DCTO TIENDA]]</f>
        <v>20229.299999999996</v>
      </c>
      <c r="E763" s="9">
        <f>+Tabla114[[#This Row],[PRECIO INSTALADOR (IVA INCLUIDO)]]/0.7</f>
        <v>30419.999999999996</v>
      </c>
      <c r="F763" s="8">
        <v>0.85</v>
      </c>
      <c r="G763" s="16">
        <f>+Tabla114[[#This Row],[COSTO]]*1.19</f>
        <v>18099.899999999998</v>
      </c>
      <c r="H763" s="26">
        <f>+Tabla114[[#This Row],[PRECIO INSTALADOR (IVA INCLUIDO)]]*5%</f>
        <v>1064.6999999999998</v>
      </c>
      <c r="I763" s="25"/>
      <c r="J763" s="7">
        <v>15210</v>
      </c>
    </row>
    <row r="764" spans="1:10" ht="15" x14ac:dyDescent="0.25">
      <c r="A764" s="23" t="s">
        <v>1496</v>
      </c>
      <c r="B764" s="24" t="s">
        <v>1497</v>
      </c>
      <c r="C764" s="9">
        <f>+Tabla114[[#This Row],[COSTO CON IVA]]/Tabla114[[#This Row],[UTILIDAD]]</f>
        <v>25025</v>
      </c>
      <c r="D764" s="9">
        <f>+Tabla114[[#This Row],[PRECIO INSTALADOR (IVA INCLUIDO)]]-Tabla114[[#This Row],[DCTO TIENDA]]</f>
        <v>23773.75</v>
      </c>
      <c r="E764" s="9">
        <f>+Tabla114[[#This Row],[PRECIO INSTALADOR (IVA INCLUIDO)]]/0.7</f>
        <v>35750</v>
      </c>
      <c r="F764" s="8">
        <v>0.85</v>
      </c>
      <c r="G764" s="16">
        <f>+Tabla114[[#This Row],[COSTO]]*1.19</f>
        <v>21271.25</v>
      </c>
      <c r="H764" s="26">
        <f>+Tabla114[[#This Row],[PRECIO INSTALADOR (IVA INCLUIDO)]]*5%</f>
        <v>1251.25</v>
      </c>
      <c r="I764" s="25"/>
      <c r="J764" s="7">
        <v>17875</v>
      </c>
    </row>
    <row r="765" spans="1:10" ht="15" x14ac:dyDescent="0.25">
      <c r="A765" s="23" t="s">
        <v>1498</v>
      </c>
      <c r="B765" s="24" t="s">
        <v>1499</v>
      </c>
      <c r="C765" s="9">
        <f>+Tabla114[[#This Row],[COSTO CON IVA]]/Tabla114[[#This Row],[UTILIDAD]]</f>
        <v>6552</v>
      </c>
      <c r="D765" s="9">
        <f>+Tabla114[[#This Row],[PRECIO INSTALADOR (IVA INCLUIDO)]]-Tabla114[[#This Row],[DCTO TIENDA]]</f>
        <v>6224.4</v>
      </c>
      <c r="E765" s="9">
        <f>+Tabla114[[#This Row],[PRECIO INSTALADOR (IVA INCLUIDO)]]/0.7</f>
        <v>9360</v>
      </c>
      <c r="F765" s="8">
        <v>0.85</v>
      </c>
      <c r="G765" s="16">
        <f>+Tabla114[[#This Row],[COSTO]]*1.19</f>
        <v>5569.2</v>
      </c>
      <c r="H765" s="26">
        <f>+Tabla114[[#This Row],[PRECIO INSTALADOR (IVA INCLUIDO)]]*5%</f>
        <v>327.60000000000002</v>
      </c>
      <c r="I765" s="25"/>
      <c r="J765" s="7">
        <v>4680</v>
      </c>
    </row>
    <row r="766" spans="1:10" ht="15" x14ac:dyDescent="0.25">
      <c r="A766" s="23" t="s">
        <v>1500</v>
      </c>
      <c r="B766" s="24" t="s">
        <v>1501</v>
      </c>
      <c r="C766" s="9">
        <f>+Tabla114[[#This Row],[COSTO CON IVA]]/Tabla114[[#This Row],[UTILIDAD]]</f>
        <v>10010</v>
      </c>
      <c r="D766" s="9">
        <f>+Tabla114[[#This Row],[PRECIO INSTALADOR (IVA INCLUIDO)]]-Tabla114[[#This Row],[DCTO TIENDA]]</f>
        <v>9509.5</v>
      </c>
      <c r="E766" s="9">
        <f>+Tabla114[[#This Row],[PRECIO INSTALADOR (IVA INCLUIDO)]]/0.7</f>
        <v>14300</v>
      </c>
      <c r="F766" s="8">
        <v>0.85</v>
      </c>
      <c r="G766" s="16">
        <f>+Tabla114[[#This Row],[COSTO]]*1.19</f>
        <v>8508.5</v>
      </c>
      <c r="H766" s="26">
        <f>+Tabla114[[#This Row],[PRECIO INSTALADOR (IVA INCLUIDO)]]*5%</f>
        <v>500.5</v>
      </c>
      <c r="I766" s="25"/>
      <c r="J766" s="7">
        <v>7150</v>
      </c>
    </row>
    <row r="767" spans="1:10" ht="15" x14ac:dyDescent="0.25">
      <c r="A767" s="23" t="s">
        <v>1502</v>
      </c>
      <c r="B767" s="24" t="s">
        <v>1503</v>
      </c>
      <c r="C767" s="9">
        <f>+Tabla114[[#This Row],[COSTO CON IVA]]/Tabla114[[#This Row],[UTILIDAD]]</f>
        <v>18200</v>
      </c>
      <c r="D767" s="9">
        <f>+Tabla114[[#This Row],[PRECIO INSTALADOR (IVA INCLUIDO)]]-Tabla114[[#This Row],[DCTO TIENDA]]</f>
        <v>17290</v>
      </c>
      <c r="E767" s="9">
        <f>+Tabla114[[#This Row],[PRECIO INSTALADOR (IVA INCLUIDO)]]/0.7</f>
        <v>26000</v>
      </c>
      <c r="F767" s="8">
        <v>0.85</v>
      </c>
      <c r="G767" s="16">
        <f>+Tabla114[[#This Row],[COSTO]]*1.19</f>
        <v>15470</v>
      </c>
      <c r="H767" s="26">
        <f>+Tabla114[[#This Row],[PRECIO INSTALADOR (IVA INCLUIDO)]]*5%</f>
        <v>910</v>
      </c>
      <c r="I767" s="25"/>
      <c r="J767" s="7">
        <v>13000</v>
      </c>
    </row>
    <row r="768" spans="1:10" ht="15" x14ac:dyDescent="0.25">
      <c r="A768" s="23" t="s">
        <v>1504</v>
      </c>
      <c r="B768" s="24" t="s">
        <v>1505</v>
      </c>
      <c r="C768" s="9">
        <f>+Tabla114[[#This Row],[COSTO CON IVA]]/Tabla114[[#This Row],[UTILIDAD]]</f>
        <v>27527.5</v>
      </c>
      <c r="D768" s="9">
        <f>+Tabla114[[#This Row],[PRECIO INSTALADOR (IVA INCLUIDO)]]-Tabla114[[#This Row],[DCTO TIENDA]]</f>
        <v>26151.125</v>
      </c>
      <c r="E768" s="9">
        <f>+Tabla114[[#This Row],[PRECIO INSTALADOR (IVA INCLUIDO)]]/0.7</f>
        <v>39325</v>
      </c>
      <c r="F768" s="8">
        <v>0.85</v>
      </c>
      <c r="G768" s="16">
        <f>+Tabla114[[#This Row],[COSTO]]*1.19</f>
        <v>23398.375</v>
      </c>
      <c r="H768" s="26">
        <f>+Tabla114[[#This Row],[PRECIO INSTALADOR (IVA INCLUIDO)]]*5%</f>
        <v>1376.375</v>
      </c>
      <c r="I768" s="25"/>
      <c r="J768" s="7">
        <v>19662.5</v>
      </c>
    </row>
    <row r="769" spans="1:10" ht="15" x14ac:dyDescent="0.25">
      <c r="A769" s="23" t="s">
        <v>1506</v>
      </c>
      <c r="B769" s="24" t="s">
        <v>1507</v>
      </c>
      <c r="C769" s="9">
        <f>+Tabla114[[#This Row],[COSTO CON IVA]]/Tabla114[[#This Row],[UTILIDAD]]</f>
        <v>27518.400000000001</v>
      </c>
      <c r="D769" s="9">
        <f>+Tabla114[[#This Row],[PRECIO INSTALADOR (IVA INCLUIDO)]]-Tabla114[[#This Row],[DCTO TIENDA]]</f>
        <v>26142.480000000003</v>
      </c>
      <c r="E769" s="9">
        <f>+Tabla114[[#This Row],[PRECIO INSTALADOR (IVA INCLUIDO)]]/0.7</f>
        <v>39312.000000000007</v>
      </c>
      <c r="F769" s="8">
        <v>0.85</v>
      </c>
      <c r="G769" s="16">
        <f>+Tabla114[[#This Row],[COSTO]]*1.19</f>
        <v>23390.639999999999</v>
      </c>
      <c r="H769" s="26">
        <f>+Tabla114[[#This Row],[PRECIO INSTALADOR (IVA INCLUIDO)]]*5%</f>
        <v>1375.92</v>
      </c>
      <c r="I769" s="25"/>
      <c r="J769" s="7">
        <v>19656</v>
      </c>
    </row>
    <row r="770" spans="1:10" ht="15" x14ac:dyDescent="0.25">
      <c r="A770" s="23" t="s">
        <v>1508</v>
      </c>
      <c r="B770" s="24" t="s">
        <v>1509</v>
      </c>
      <c r="C770" s="9">
        <f>+Tabla114[[#This Row],[COSTO CON IVA]]/Tabla114[[#This Row],[UTILIDAD]]</f>
        <v>22217.649999999998</v>
      </c>
      <c r="D770" s="9">
        <f>+Tabla114[[#This Row],[PRECIO INSTALADOR (IVA INCLUIDO)]]-Tabla114[[#This Row],[DCTO TIENDA]]</f>
        <v>21106.767499999998</v>
      </c>
      <c r="E770" s="9">
        <f>+Tabla114[[#This Row],[PRECIO INSTALADOR (IVA INCLUIDO)]]/0.7</f>
        <v>31739.5</v>
      </c>
      <c r="F770" s="8">
        <v>0.85</v>
      </c>
      <c r="G770" s="16">
        <f>+Tabla114[[#This Row],[COSTO]]*1.19</f>
        <v>18885.002499999999</v>
      </c>
      <c r="H770" s="26">
        <f>+Tabla114[[#This Row],[PRECIO INSTALADOR (IVA INCLUIDO)]]*5%</f>
        <v>1110.8824999999999</v>
      </c>
      <c r="I770" s="25"/>
      <c r="J770" s="7">
        <v>15869.75</v>
      </c>
    </row>
    <row r="771" spans="1:10" ht="15" x14ac:dyDescent="0.25">
      <c r="A771" s="23" t="s">
        <v>1510</v>
      </c>
      <c r="B771" s="24" t="s">
        <v>1511</v>
      </c>
      <c r="C771" s="9">
        <f>+Tabla114[[#This Row],[COSTO CON IVA]]/Tabla114[[#This Row],[UTILIDAD]]</f>
        <v>23523.5</v>
      </c>
      <c r="D771" s="9">
        <f>+Tabla114[[#This Row],[PRECIO INSTALADOR (IVA INCLUIDO)]]-Tabla114[[#This Row],[DCTO TIENDA]]</f>
        <v>22347.325000000001</v>
      </c>
      <c r="E771" s="9">
        <f>+Tabla114[[#This Row],[PRECIO INSTALADOR (IVA INCLUIDO)]]/0.7</f>
        <v>33605</v>
      </c>
      <c r="F771" s="8">
        <v>0.85</v>
      </c>
      <c r="G771" s="16">
        <f>+Tabla114[[#This Row],[COSTO]]*1.19</f>
        <v>19994.974999999999</v>
      </c>
      <c r="H771" s="26">
        <f>+Tabla114[[#This Row],[PRECIO INSTALADOR (IVA INCLUIDO)]]*5%</f>
        <v>1176.175</v>
      </c>
      <c r="I771" s="25"/>
      <c r="J771" s="7">
        <v>16802.5</v>
      </c>
    </row>
    <row r="772" spans="1:10" ht="15" x14ac:dyDescent="0.25">
      <c r="A772" s="23" t="s">
        <v>1512</v>
      </c>
      <c r="B772" s="24" t="s">
        <v>1513</v>
      </c>
      <c r="C772" s="9">
        <f>+Tabla114[[#This Row],[COSTO CON IVA]]/Tabla114[[#This Row],[UTILIDAD]]</f>
        <v>29029</v>
      </c>
      <c r="D772" s="9">
        <f>+Tabla114[[#This Row],[PRECIO INSTALADOR (IVA INCLUIDO)]]-Tabla114[[#This Row],[DCTO TIENDA]]</f>
        <v>27577.55</v>
      </c>
      <c r="E772" s="9">
        <f>+Tabla114[[#This Row],[PRECIO INSTALADOR (IVA INCLUIDO)]]/0.7</f>
        <v>41470</v>
      </c>
      <c r="F772" s="8">
        <v>0.85</v>
      </c>
      <c r="G772" s="16">
        <f>+Tabla114[[#This Row],[COSTO]]*1.19</f>
        <v>24674.649999999998</v>
      </c>
      <c r="H772" s="26">
        <f>+Tabla114[[#This Row],[PRECIO INSTALADOR (IVA INCLUIDO)]]*5%</f>
        <v>1451.45</v>
      </c>
      <c r="I772" s="25"/>
      <c r="J772" s="7">
        <v>20735</v>
      </c>
    </row>
    <row r="773" spans="1:10" ht="15" x14ac:dyDescent="0.25">
      <c r="A773" s="23" t="s">
        <v>1514</v>
      </c>
      <c r="B773" s="24" t="s">
        <v>1515</v>
      </c>
      <c r="C773" s="9">
        <f>+Tabla114[[#This Row],[COSTO CON IVA]]/Tabla114[[#This Row],[UTILIDAD]]</f>
        <v>1110.2</v>
      </c>
      <c r="D773" s="9">
        <f>+Tabla114[[#This Row],[PRECIO INSTALADOR (IVA INCLUIDO)]]-Tabla114[[#This Row],[DCTO TIENDA]]</f>
        <v>1054.69</v>
      </c>
      <c r="E773" s="9">
        <f>+Tabla114[[#This Row],[PRECIO INSTALADOR (IVA INCLUIDO)]]/0.7</f>
        <v>1586.0000000000002</v>
      </c>
      <c r="F773" s="8">
        <v>0.85</v>
      </c>
      <c r="G773" s="16">
        <f>+Tabla114[[#This Row],[COSTO]]*1.19</f>
        <v>943.67</v>
      </c>
      <c r="H773" s="26">
        <f>+Tabla114[[#This Row],[PRECIO INSTALADOR (IVA INCLUIDO)]]*5%</f>
        <v>55.510000000000005</v>
      </c>
      <c r="I773" s="25"/>
      <c r="J773" s="7">
        <v>793</v>
      </c>
    </row>
    <row r="774" spans="1:10" ht="15" x14ac:dyDescent="0.25">
      <c r="A774" s="23" t="s">
        <v>1516</v>
      </c>
      <c r="B774" s="24" t="s">
        <v>1517</v>
      </c>
      <c r="C774" s="9">
        <f>+Tabla114[[#This Row],[COSTO CON IVA]]/Tabla114[[#This Row],[UTILIDAD]]</f>
        <v>1164.8</v>
      </c>
      <c r="D774" s="9">
        <f>+Tabla114[[#This Row],[PRECIO INSTALADOR (IVA INCLUIDO)]]-Tabla114[[#This Row],[DCTO TIENDA]]</f>
        <v>1106.56</v>
      </c>
      <c r="E774" s="9">
        <f>+Tabla114[[#This Row],[PRECIO INSTALADOR (IVA INCLUIDO)]]/0.7</f>
        <v>1664</v>
      </c>
      <c r="F774" s="8">
        <v>0.85</v>
      </c>
      <c r="G774" s="16">
        <f>+Tabla114[[#This Row],[COSTO]]*1.19</f>
        <v>990.07999999999993</v>
      </c>
      <c r="H774" s="26">
        <f>+Tabla114[[#This Row],[PRECIO INSTALADOR (IVA INCLUIDO)]]*5%</f>
        <v>58.24</v>
      </c>
      <c r="I774" s="25"/>
      <c r="J774" s="7">
        <v>832</v>
      </c>
    </row>
    <row r="775" spans="1:10" ht="15" x14ac:dyDescent="0.25">
      <c r="A775" s="23" t="s">
        <v>1518</v>
      </c>
      <c r="B775" s="24" t="s">
        <v>1519</v>
      </c>
      <c r="C775" s="9">
        <f>+Tabla114[[#This Row],[COSTO CON IVA]]/Tabla114[[#This Row],[UTILIDAD]]</f>
        <v>1164.8</v>
      </c>
      <c r="D775" s="9">
        <f>+Tabla114[[#This Row],[PRECIO INSTALADOR (IVA INCLUIDO)]]-Tabla114[[#This Row],[DCTO TIENDA]]</f>
        <v>1106.56</v>
      </c>
      <c r="E775" s="9">
        <f>+Tabla114[[#This Row],[PRECIO INSTALADOR (IVA INCLUIDO)]]/0.7</f>
        <v>1664</v>
      </c>
      <c r="F775" s="8">
        <v>0.85</v>
      </c>
      <c r="G775" s="16">
        <f>+Tabla114[[#This Row],[COSTO]]*1.19</f>
        <v>990.07999999999993</v>
      </c>
      <c r="H775" s="26">
        <f>+Tabla114[[#This Row],[PRECIO INSTALADOR (IVA INCLUIDO)]]*5%</f>
        <v>58.24</v>
      </c>
      <c r="I775" s="25"/>
      <c r="J775" s="7">
        <v>832</v>
      </c>
    </row>
  </sheetData>
  <conditionalFormatting sqref="A1">
    <cfRule type="duplicateValues" dxfId="3" priority="2"/>
  </conditionalFormatting>
  <conditionalFormatting sqref="A29">
    <cfRule type="duplicateValues" dxfId="2" priority="3"/>
  </conditionalFormatting>
  <conditionalFormatting sqref="A104:A105">
    <cfRule type="duplicateValues" dxfId="1" priority="4"/>
  </conditionalFormatting>
  <conditionalFormatting sqref="A1:A1048576">
    <cfRule type="duplicateValues" dxfId="0" priority="1"/>
  </conditionalFormatting>
  <pageMargins left="0.75" right="0.75" top="1" bottom="1" header="0.5" footer="0.5"/>
  <pageSetup scale="66" orientation="portrait" r:id="rId1"/>
  <colBreaks count="1" manualBreakCount="1">
    <brk id="5" max="1048575" man="1"/>
  </col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CILES</vt:lpstr>
      <vt:lpstr>CILES!Área_de_impresión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cp:lastPrinted>2026-08-26T21:05:57Z</cp:lastPrinted>
  <dcterms:created xsi:type="dcterms:W3CDTF">2026-07-08T14:12:02Z</dcterms:created>
  <dcterms:modified xsi:type="dcterms:W3CDTF">2026-10-08T17:53:47Z</dcterms:modified>
</cp:coreProperties>
</file>