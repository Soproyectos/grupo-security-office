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e Compras\OneDrive\Documents\Desktop\LISTAS DE PRECIOS\listados grupo nuevo con formulas\LISTA PROVISIONAL DAÑO PLATAFORMA\LISTAS EMPRESA GRUPO\EXCEL\"/>
    </mc:Choice>
  </mc:AlternateContent>
  <xr:revisionPtr revIDLastSave="0" documentId="13_ncr:1_{8AB82E93-E35F-4C6C-9742-9C898710BC93}" xr6:coauthVersionLast="47" xr6:coauthVersionMax="47" xr10:uidLastSave="{00000000-0000-0000-0000-000000000000}"/>
  <bookViews>
    <workbookView xWindow="-120" yWindow="-120" windowWidth="24240" windowHeight="13140" xr2:uid="{97A254AF-4869-4E37-84DB-42473FCDC439}"/>
  </bookViews>
  <sheets>
    <sheet name="ACCESORIOS INTRUSION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\v" hidden="1">{"'ADV&amp;DP'!$A$4:$C$25"}</definedName>
    <definedName name="_??" hidden="1">{"'?????10.27??????'!$Q$16"}</definedName>
    <definedName name="_????" hidden="1">{"'?????10.27??????'!$Q$16"}</definedName>
    <definedName name="_?????" hidden="1">{"DCF-???",#N/A,TRUE,"???";"DCF-??",#N/A,TRUE,"??";"DCF-??",#N/A,TRUE,"??";"DCF-??",#N/A,TRUE,"??";"DCF-??",#N/A,TRUE,"??";"DCF-??",#N/A,TRUE,"??";"DCF-??",#N/A,TRUE,"??";"DCF-??",#N/A,TRUE,"??";"DCF-??",#N/A,TRUE,"??"}</definedName>
    <definedName name="_??????" hidden="1">{"'?????10.27??????'!$Q$16"}</definedName>
    <definedName name="_??06" hidden="1">{"'?????10.27??????'!$Q$16"}</definedName>
    <definedName name="_?16??" hidden="1">{"'????'!$A$1:$C$37"}</definedName>
    <definedName name="___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__DF4" hidden="1">#REF!</definedName>
    <definedName name="______DF4" hidden="1">#REF!</definedName>
    <definedName name="_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DF4" hidden="1">#REF!</definedName>
    <definedName name="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DF4" hidden="1">#REF!</definedName>
    <definedName name="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DF4" hidden="1">#REF!</definedName>
    <definedName name="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123Graph_A" hidden="1">[1]Pub!$H$13:$H$83</definedName>
    <definedName name="__123Graph_B" hidden="1">[1]Pub!$I$13:$I$83</definedName>
    <definedName name="__123Graph_C" hidden="1">[1]Pub!$J$13:$J$83</definedName>
    <definedName name="__123Graph_D" hidden="1">[1]Pub!$K$13:$K$83</definedName>
    <definedName name="__123Graph_E" hidden="1">[1]Pub!#REF!</definedName>
    <definedName name="__123Graph_F" hidden="1">[1]Pub!$L$13:$L$83</definedName>
    <definedName name="__123Graph_X" hidden="1">[1]Pub!$G$13:$G$83</definedName>
    <definedName name="__DF4" hidden="1">#REF!</definedName>
    <definedName name="__FDS_HYPERLINK_TOGGLE_STATE__" hidden="1">"ON"</definedName>
    <definedName name="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1____123Graph_AMOF_NB" hidden="1">[2]計算過程シート!#REF!</definedName>
    <definedName name="_1__123Graph_ACHART_1" hidden="1">'[3]Historical IS'!#REF!</definedName>
    <definedName name="_1__123Graph_AIRR_IRR" hidden="1">#REF!</definedName>
    <definedName name="_10___123Graph_XIRR_IRR" hidden="1">#REF!</definedName>
    <definedName name="_10__123Graph_ACHART_16" hidden="1">[4]engineering!$Q$49:$S$49</definedName>
    <definedName name="_10__123Graph_CCHART_3" hidden="1">'[3]Historical IS'!#REF!</definedName>
    <definedName name="_103__123Graph_Cｸﾞﾗﾌ_1" hidden="1">#REF!</definedName>
    <definedName name="_104__123Graph_Dｸﾞﾗﾌ_1" hidden="1">#REF!</definedName>
    <definedName name="_105__123Graph_XIRR_IRR" hidden="1">#REF!</definedName>
    <definedName name="_106__123Graph_XMOF_NB" hidden="1">#REF!</definedName>
    <definedName name="_11___123Graph_XMOF_NB" hidden="1">#REF!</definedName>
    <definedName name="_11__123Graph_ACHART_17" hidden="1">[4]revenue!$P$77:$R$77</definedName>
    <definedName name="_11__123Graph_CCHART_8" hidden="1">'[3]Historical IS'!#REF!</definedName>
    <definedName name="_12__123Graph_ACHART_18" hidden="1">[4]revenue!$P$82:$R$82</definedName>
    <definedName name="_12__123Graph_AIRR_IRR" hidden="1">#REF!</definedName>
    <definedName name="_12__123Graph_DCHART_1" hidden="1">'[3]Historical IS'!#REF!</definedName>
    <definedName name="_13__123Graph_ACHART_19" hidden="1">[4]sga!$P$7:$R$7</definedName>
    <definedName name="_13__123Graph_AMOF_NB" hidden="1">[2]計算過程シート!#REF!</definedName>
    <definedName name="_13__123Graph_DCHART_8" hidden="1">'[3]Historical IS'!#REF!</definedName>
    <definedName name="_131__123Graph_Xｸﾞﾗﾌ_1" hidden="1">#REF!</definedName>
    <definedName name="_14__123Graph_A????_1" hidden="1">#REF!</definedName>
    <definedName name="_14__123Graph_ACHART_2" hidden="1">#REF!</definedName>
    <definedName name="_14__123Graph_Aｸﾞﾗﾌ_1" hidden="1">#REF!</definedName>
    <definedName name="_14__123Graph_LBL_ACHART_3" hidden="1">'[3]Historical IS'!#REF!</definedName>
    <definedName name="_15__123Graph_ACHART_20" hidden="1">[4]sga!$P$10:$R$10</definedName>
    <definedName name="_15__123Graph_BIRR_IRR" hidden="1">#REF!</definedName>
    <definedName name="_15__123Graph_LBL_ACHART_4" hidden="1">'[3]Historical IS'!#REF!</definedName>
    <definedName name="_16__123Graph_ACHART_3" hidden="1">#REF!</definedName>
    <definedName name="_16__123Graph_BMOF_NB" hidden="1">#REF!</definedName>
    <definedName name="_16__123Graph_LBL_BCHART_3" hidden="1">'[3]Historical IS'!#REF!</definedName>
    <definedName name="_17__123Graph_ACHART_4" hidden="1">#REF!</definedName>
    <definedName name="_17__123Graph_B????_1" hidden="1">#REF!</definedName>
    <definedName name="_17__123Graph_Bｸﾞﾗﾌ_1" hidden="1">#REF!</definedName>
    <definedName name="_17__123Graph_LBL_BCHART_4" hidden="1">'[3]Historical IS'!#REF!</definedName>
    <definedName name="_18__123Graph_ACHART_5" hidden="1">#REF!</definedName>
    <definedName name="_18__123Graph_C????_1" hidden="1">#REF!</definedName>
    <definedName name="_18__123Graph_Cｸﾞﾗﾌ_1" hidden="1">#REF!</definedName>
    <definedName name="_18__123Graph_LBL_CCHART_3" hidden="1">'[3]Historical IS'!#REF!</definedName>
    <definedName name="_19__123Graph_ACHART_6" hidden="1">#REF!</definedName>
    <definedName name="_19__123Graph_D????_1" hidden="1">#REF!</definedName>
    <definedName name="_19__123Graph_Dｸﾞﾗﾌ_1" hidden="1">#REF!</definedName>
    <definedName name="_19__123Graph_XCHART_1" hidden="1">'[3]Historical IS'!#REF!</definedName>
    <definedName name="_2_??" hidden="1">{"'?????10.27??????'!$Q$16"}</definedName>
    <definedName name="_2____123Graph_A????_1" hidden="1">#REF!</definedName>
    <definedName name="_2____123Graph_Aｸﾞﾗﾌ_1" hidden="1">#REF!</definedName>
    <definedName name="_2__123Graph_ACHART_3" hidden="1">'[3]Historical IS'!#REF!</definedName>
    <definedName name="_20__123Graph_ACHART_7" hidden="1">#REF!</definedName>
    <definedName name="_20__123Graph_XCHART_3" hidden="1">'[3]Historical IS'!#REF!</definedName>
    <definedName name="_20__123Graph_XIRR_IRR" hidden="1">#REF!</definedName>
    <definedName name="_21__123Graph_ACHART_8" hidden="1">#REF!</definedName>
    <definedName name="_21__123Graph_XCHART_4" hidden="1">'[3]Historical IS'!#REF!</definedName>
    <definedName name="_21__123Graph_XMOF_NB" hidden="1">#REF!</definedName>
    <definedName name="_22__123Graph_ACHART_9" hidden="1">#REF!</definedName>
    <definedName name="_22__123Graph_X????_1" hidden="1">#REF!</definedName>
    <definedName name="_22__123Graph_XCHART_8" hidden="1">'[3]Historical IS'!#REF!</definedName>
    <definedName name="_22__123Graph_Xｸﾞﾗﾌ_1" hidden="1">#REF!</definedName>
    <definedName name="_23__123Graph_BCHART_1" hidden="1">#REF!</definedName>
    <definedName name="_24__123Graph_BCHART_11" hidden="1">#REF!</definedName>
    <definedName name="_25__123Graph_BCHART_12" hidden="1">#REF!</definedName>
    <definedName name="_26__123Graph_AMOF_NB" hidden="1">[2]計算過程シート!#REF!</definedName>
    <definedName name="_26__123Graph_BCHART_13" hidden="1">[4]engineering!$Q$42:$W$42</definedName>
    <definedName name="_27__123Graph_BCHART_14" hidden="1">[4]engineering!$Q$46:$W$46</definedName>
    <definedName name="_28__123Graph_BCHART_15" hidden="1">#REF!</definedName>
    <definedName name="_29__123Graph_BCHART_16" hidden="1">[4]engineering!$Q$50:$S$50</definedName>
    <definedName name="_3____123Graph_B????_1" hidden="1">#REF!</definedName>
    <definedName name="_3____123Graph_Bｸﾞﾗﾌ_1" hidden="1">#REF!</definedName>
    <definedName name="_3__123Graph_ACHART_1" hidden="1">#REF!</definedName>
    <definedName name="_3__123Graph_ACHART_4" hidden="1">'[3]Historical IS'!#REF!</definedName>
    <definedName name="_30__123Graph_BCHART_17" hidden="1">[4]revenue!$P$78:$R$78</definedName>
    <definedName name="_31__123Graph_BCHART_2" hidden="1">#REF!</definedName>
    <definedName name="_32__123Graph_BCHART_20" hidden="1">[4]sga!$P$11:$R$11</definedName>
    <definedName name="_33__123Graph_BCHART_3" hidden="1">[4]revenue!$P$10:$R$10</definedName>
    <definedName name="_34__123Graph_BCHART_6" hidden="1">#REF!</definedName>
    <definedName name="_35__123Graph_BCHART_7" hidden="1">[4]revenue!$P$45:$R$45</definedName>
    <definedName name="_36_??06" hidden="1">{"'?????10.27??????'!$Q$16"}</definedName>
    <definedName name="_36__123Graph_BCHART_8" hidden="1">#REF!</definedName>
    <definedName name="_37__123Graph_BCHART_9" hidden="1">[4]engineering!$P$7:$T$7</definedName>
    <definedName name="_38__123Graph_CCHART_1" hidden="1">#REF!</definedName>
    <definedName name="_39__123Graph_CCHART_11" hidden="1">[4]engineering!$P$16:$T$16</definedName>
    <definedName name="_4____123Graph_C????_1" hidden="1">#REF!</definedName>
    <definedName name="_4____123Graph_Cｸﾞﾗﾌ_1" hidden="1">#REF!</definedName>
    <definedName name="_4__123Graph_ACHART_10" hidden="1">#REF!</definedName>
    <definedName name="_4__123Graph_ACHART_8" hidden="1">'[3]Historical IS'!#REF!</definedName>
    <definedName name="_40__123Graph_CCHART_12" hidden="1">#REF!</definedName>
    <definedName name="_41__123Graph_CCHART_2" hidden="1">#REF!</definedName>
    <definedName name="_42__123Graph_CCHART_20" hidden="1">[4]sga!$P$12:$R$12</definedName>
    <definedName name="_43__123Graph_CCHART_7" hidden="1">[4]revenue!$P$46:$R$46</definedName>
    <definedName name="_44__123Graph_CCHART_8" hidden="1">#REF!</definedName>
    <definedName name="_45__123Graph_DCHART_1" hidden="1">#REF!</definedName>
    <definedName name="_46__123Graph_DCHART_12" hidden="1">#REF!</definedName>
    <definedName name="_47__123Graph_DCHART_2" hidden="1">#REF!</definedName>
    <definedName name="_48__123Graph_DCHART_8" hidden="1">#REF!</definedName>
    <definedName name="_49__123Graph_ECHART_12" hidden="1">#REF!</definedName>
    <definedName name="_5____123Graph_X????_1" hidden="1">#REF!</definedName>
    <definedName name="_5____123Graph_Xｸﾞﾗﾌ_1" hidden="1">#REF!</definedName>
    <definedName name="_5__123Graph_ACHART_11" hidden="1">#REF!</definedName>
    <definedName name="_5__123Graph_BCHART_1" hidden="1">'[3]Historical IS'!#REF!</definedName>
    <definedName name="_50__123Graph_ECHART_2" hidden="1">#REF!</definedName>
    <definedName name="_51__123Graph_Aｸﾞﾗﾌ_1" hidden="1">#REF!</definedName>
    <definedName name="_51__123Graph_ECHART_8" hidden="1">#REF!</definedName>
    <definedName name="_52__123Graph_BIRR_IRR" hidden="1">#REF!</definedName>
    <definedName name="_52__123Graph_FCHART_1" hidden="1">#REF!</definedName>
    <definedName name="_53__123Graph_BMOF_NB" hidden="1">#REF!</definedName>
    <definedName name="_53__123Graph_XCHART_10" hidden="1">#REF!</definedName>
    <definedName name="_54__123Graph_XCHART_11" hidden="1">#REF!</definedName>
    <definedName name="_55__123Graph_XCHART_12" hidden="1">#REF!</definedName>
    <definedName name="_56__123Graph_XCHART_13" hidden="1">#REF!</definedName>
    <definedName name="_57__123Graph_XCHART_14" hidden="1">#REF!</definedName>
    <definedName name="_58__123Graph_XCHART_15" hidden="1">#REF!</definedName>
    <definedName name="_59__123Graph_XCHART_16" hidden="1">[4]engineering!$Q$48:$S$48</definedName>
    <definedName name="_6___123Graph_AIRR_IRR" hidden="1">#REF!</definedName>
    <definedName name="_6__123Graph_ACHART_12" hidden="1">#REF!</definedName>
    <definedName name="_6__123Graph_BCHART_3" hidden="1">'[3]Historical IS'!#REF!</definedName>
    <definedName name="_60__123Graph_XCHART_18" hidden="1">[4]revenue!$P$81:$R$81</definedName>
    <definedName name="_61__123Graph_XCHART_2" hidden="1">#REF!</definedName>
    <definedName name="_62__123Graph_XCHART_20" hidden="1">[4]sga!$P$9:$R$9</definedName>
    <definedName name="_63__123Graph_XCHART_3" hidden="1">#REF!</definedName>
    <definedName name="_64__123Graph_XCHART_4" hidden="1">#REF!</definedName>
    <definedName name="_65__123Graph_XCHART_5" hidden="1">#REF!</definedName>
    <definedName name="_66__123Graph_XCHART_6" hidden="1">#REF!</definedName>
    <definedName name="_67__123Graph_XCHART_7" hidden="1">#REF!</definedName>
    <definedName name="_68_?16??" hidden="1">{"'????'!$A$1:$C$37"}</definedName>
    <definedName name="_68__123Graph_XCHART_8" hidden="1">#REF!</definedName>
    <definedName name="_69__123Graph_XCHART_9" hidden="1">#REF!</definedName>
    <definedName name="_7_????" hidden="1">{"'?????10.27??????'!$Q$16"}</definedName>
    <definedName name="_7___123Graph_BIRR_IRR" hidden="1">#REF!</definedName>
    <definedName name="_7__123Graph_ACHART_13" hidden="1">#REF!</definedName>
    <definedName name="_7__123Graph_BCHART_4" hidden="1">'[3]Historical IS'!#REF!</definedName>
    <definedName name="_78__123Graph_Bｸﾞﾗﾌ_1" hidden="1">#REF!</definedName>
    <definedName name="_8_?????" hidden="1">{"DCF-???",#N/A,TRUE,"???";"DCF-??",#N/A,TRUE,"??";"DCF-??",#N/A,TRUE,"??";"DCF-??",#N/A,TRUE,"??";"DCF-??",#N/A,TRUE,"??";"DCF-??",#N/A,TRUE,"??";"DCF-??",#N/A,TRUE,"??";"DCF-??",#N/A,TRUE,"??";"DCF-??",#N/A,TRUE,"??"}</definedName>
    <definedName name="_8___123Graph_BMOF_NB" hidden="1">#REF!</definedName>
    <definedName name="_8__123Graph_ACHART_14" hidden="1">#REF!</definedName>
    <definedName name="_8__123Graph_BCHART_8" hidden="1">'[3]Historical IS'!#REF!</definedName>
    <definedName name="_9_??????" hidden="1">{"'?????10.27??????'!$Q$16"}</definedName>
    <definedName name="_9___123Graph_D????_1" hidden="1">#REF!</definedName>
    <definedName name="_9___123Graph_Dｸﾞﾗﾌ_1" hidden="1">#REF!</definedName>
    <definedName name="_9__123Graph_ACHART_15" hidden="1">#REF!</definedName>
    <definedName name="_9__123Graph_CCHART_1" hidden="1">'[3]Historical IS'!#REF!</definedName>
    <definedName name="_DF4" hidden="1">#REF!</definedName>
    <definedName name="_Fill" hidden="1">#REF!</definedName>
    <definedName name="_xlnm._FilterDatabase" hidden="1">'[5]46W9'!#REF!</definedName>
    <definedName name="_Key2" hidden="1">#REF!</definedName>
    <definedName name="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rder1" hidden="1">255</definedName>
    <definedName name="_Order2" hidden="1">255</definedName>
    <definedName name="a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ando" hidden="1">{"'下期集計（10.27迄・速報値）'!$Q$16"}</definedName>
    <definedName name="anscount" hidden="1">3</definedName>
    <definedName name="_xlnm.Print_Area" localSheetId="0">Tabla121[[#All],[REFERENCIA]:[PRECIO CLIENTE FINAL (CON IVA)]]</definedName>
    <definedName name="AS2DocOpenMode" hidden="1">"AS2DocumentEdit"</definedName>
    <definedName name="AS2HasNoAutoHeaderFooter" hidden="1">" "</definedName>
    <definedName name="asdf" hidden="1">{"'年間台数'!$A$1:$K$20","'中古車登録台数'!$A$1:$I$39"}</definedName>
    <definedName name="BLPH1" hidden="1">'[6]Data sheet'!$A$4</definedName>
    <definedName name="BLPH10" hidden="1">'[6]Data sheet'!$AB$4</definedName>
    <definedName name="BLPH11" hidden="1">'[6]Data sheet'!$AE$4</definedName>
    <definedName name="BLPH12" hidden="1">'[6]Data sheet'!$AH$4</definedName>
    <definedName name="BLPH2" hidden="1">'[6]Data sheet'!$D$4</definedName>
    <definedName name="BLPH3" hidden="1">'[6]Data sheet'!$G$4</definedName>
    <definedName name="BLPH4" hidden="1">'[6]Data sheet'!$J$4</definedName>
    <definedName name="BLPH5" hidden="1">'[6]Data sheet'!$M$4</definedName>
    <definedName name="BLPH6" hidden="1">'[6]Data sheet'!$P$4</definedName>
    <definedName name="BLPH7" hidden="1">'[6]Data sheet'!$S$4</definedName>
    <definedName name="BLPH8" hidden="1">'[6]Data sheet'!$V$4</definedName>
    <definedName name="BLPH9" hidden="1">'[6]Data sheet'!$Y$4</definedName>
    <definedName name="Bridge" hidden="1">{"'Highlights'!$A$1:$M$123"}</definedName>
    <definedName name="CARLOS" hidden="1">{#N/A,#N/A,TRUE,"A"}</definedName>
    <definedName name="cb_sChartE2218BA_opts" hidden="1">"1, 4, 1, False, 2, False, False, , 0, False, True, 1, 1"</definedName>
    <definedName name="cb_sChartE221ADA_opts" hidden="1">"1, 5, 1, False, 2, False, False, , 0, False, False, 1, 1"</definedName>
    <definedName name="CBWorkbookPriority" hidden="1">-61538533</definedName>
    <definedName name="chiho" hidden="1">{"'下期集計（10.27迄・速報値）'!$Q$16"}</definedName>
    <definedName name="cover" hidden="1">#REF!</definedName>
    <definedName name="efg" hidden="1">{#N/A,#N/A,TRUE,"A"}</definedName>
    <definedName name="fds" hidden="1">{"'下期集計（10.27迄・速報値）'!$Q$16"}</definedName>
    <definedName name="ｇ" hidden="1">{"'下期集計（10.27迄・速報値）'!$Q$16"}</definedName>
    <definedName name="gd" hidden="1">{"'下期集計（10.27迄・速報値）'!$Q$16"}</definedName>
    <definedName name="gda" hidden="1">{"'下期集計（10.27迄・速報値）'!$Q$16"}</definedName>
    <definedName name="gdsa" hidden="1">{"'下期集計（10.27迄・速報値）'!$Q$16"}</definedName>
    <definedName name="gh" hidden="1">{"'Highlights'!$A$1:$M$123"}</definedName>
    <definedName name="ｈ" hidden="1">{"'下期集計（10.27迄・速報値）'!$Q$16"}</definedName>
    <definedName name="H16?1??" hidden="1">{"'????'!$A$1:$C$37"}</definedName>
    <definedName name="Ｈ16・１" hidden="1">{"'コメント'!$A$1:$C$37"}</definedName>
    <definedName name="H16･1速報" hidden="1">{"'コメント'!$A$1:$C$37"}</definedName>
    <definedName name="HTM_Control" hidden="1">{"'下期集計（10.27迄・速報値）'!$Q$16"}</definedName>
    <definedName name="ＨＴＭＬ" hidden="1">{"'コメント'!$A$1:$C$37"}</definedName>
    <definedName name="HTML_CodePage" hidden="1">1252</definedName>
    <definedName name="HTML_Control" hidden="1">{"'Highlights'!$A$1:$M$123"}</definedName>
    <definedName name="HTML_Description" hidden="1">""</definedName>
    <definedName name="HTML_Email" hidden="1">"scottt@phx.mcd.mot.com"</definedName>
    <definedName name="HTML_Header" hidden="1">"Highlights"</definedName>
    <definedName name="HTML_LastUpdate" hidden="1">"6/24/97"</definedName>
    <definedName name="HTML_LineAfter" hidden="1">FALSE</definedName>
    <definedName name="HTML_LineBefore" hidden="1">TRUE</definedName>
    <definedName name="HTML_Name" hidden="1">"Scott Traasdahl"</definedName>
    <definedName name="HTML_OBDlg2" hidden="1">TRUE</definedName>
    <definedName name="HTML_OBDlg4" hidden="1">TRUE</definedName>
    <definedName name="HTML_OS" hidden="1">0</definedName>
    <definedName name="HTML_PathFile" hidden="1">"H:\scottt\Analysis\Ops Review\MyHTML.htm"</definedName>
    <definedName name="HTML_Title" hidden="1">"97JunOpsRvw"</definedName>
    <definedName name="hyousi" hidden="1">#REF!</definedName>
    <definedName name="INDICADOR_COLUMNAS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DUSTRY_REC" hidden="1">"c4455"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GW_ACT_OR_EST" hidden="1">"c4306"</definedName>
    <definedName name="IQ_EBIT_INT" hidden="1">"c360"</definedName>
    <definedName name="IQ_EBIT_MARGIN" hidden="1">"c359"</definedName>
    <definedName name="IQ_EBIT_OVER_IE" hidden="1">"c1369"</definedName>
    <definedName name="IQ_EBIT_SBC_ACT_OR_EST" hidden="1">"c4316"</definedName>
    <definedName name="IQ_EBIT_SBC_GW_ACT_OR_EST" hidden="1">"c4320"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EST_REUT" hidden="1">"c5453"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UM_EST" hidden="1">"c402"</definedName>
    <definedName name="IQ_EPS_NUM_EST_REUT" hidden="1">"c5451"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EPS_DIFF" hidden="1">"c1864"</definedName>
    <definedName name="IQ_EST_EPS_GROWTH_1YR" hidden="1">"c1636"</definedName>
    <definedName name="IQ_EST_EPS_GROWTH_1YR_REUT" hidden="1">"c3646"</definedName>
    <definedName name="IQ_EST_EPS_GROWTH_5YR" hidden="1">"c1655"</definedName>
    <definedName name="IQ_EST_EPS_GROWTH_5YR_REUT" hidden="1">"c3633"</definedName>
    <definedName name="IQ_EST_EPS_GROWTH_Q_1YR" hidden="1">"c1641"</definedName>
    <definedName name="IQ_EST_EPS_GROWTH_Q_1YR_REUT" hidden="1">"c5410"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DJ_ACT_OR_EST" hidden="1">"c4435"</definedName>
    <definedName name="IQ_FFO_PAYOUT_RATIO" hidden="1">"c3492"</definedName>
    <definedName name="IQ_FFO_SHARE_ACT_OR_EST" hidden="1">"c4446"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_TARGET_PRICE_REUT" hidden="1">"c5317"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MES_REVISION_DATE_" hidden="1">40809.7705439815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BC_ACT_OR_EST" hidden="1">"c4474"</definedName>
    <definedName name="IQ_NI_SBC_GW_ACT_OR_EST" hidden="1">"c4478"</definedName>
    <definedName name="IQ_NI_SFAS" hidden="1">"c795"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 hidden="1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SHARE_ACT_OR_EST" hidden="1">"c4508"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EST_REUT" hidden="1">"c3634"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39482.4188773148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i" hidden="1">{"'Highlights'!$A$1:$M$123"}</definedName>
    <definedName name="k" hidden="1">{"'下期集計（10.27迄・速報値）'!$Q$16"}</definedName>
    <definedName name="kjh" hidden="1">{#N/A,#N/A,TRUE,"A"}</definedName>
    <definedName name="kjl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kk" hidden="1">{"'下期集計（10.27迄・速報値）'!$Q$16"}</definedName>
    <definedName name="kkk" hidden="1">{"'下期集計（10.27迄・速報値）'!$Q$16"}</definedName>
    <definedName name="lio" hidden="1">{#N/A,#N/A,TRUE,"A"}</definedName>
    <definedName name="LISTA">#REF!</definedName>
    <definedName name="ListOffset" hidden="1">1</definedName>
    <definedName name="MBAS" hidden="1">{"'ADV&amp;DP'!$A$4:$C$25"}</definedName>
    <definedName name="mbs" hidden="1">{"'ADV&amp;DP'!$A$4:$C$25"}</definedName>
    <definedName name="MKK" hidden="1">{"'下期集計（10.27迄・速報値）'!$Q$16"}</definedName>
    <definedName name="mmm" hidden="1">{"'ADV&amp;DP'!$A$4:$C$25"}</definedName>
    <definedName name="MOBILE" hidden="1">{"'ADV&amp;DP'!$A$4:$C$25"}</definedName>
    <definedName name="n" hidden="1">{"'下期集計（10.27迄・速報値）'!$Q$16"}</definedName>
    <definedName name="new" hidden="1">{"'Highlights'!$A$1:$M$123"}</definedName>
    <definedName name="nm" hidden="1">{#N/A,#N/A,TRUE,"A"}</definedName>
    <definedName name="ñlo" hidden="1">{#N/A,#N/A,TRUE,"A"}</definedName>
    <definedName name="ñp" hidden="1">{#N/A,#N/A,TRUE,"A"}</definedName>
    <definedName name="oi" hidden="1">{#N/A,#N/A,TRUE,"A"}</definedName>
    <definedName name="ok" hidden="1">{"'Highlights'!$A$1:$M$123"}</definedName>
    <definedName name="PANELES">#REF!</definedName>
    <definedName name="piu" hidden="1">{#N/A,#N/A,TRUE,"A"}</definedName>
    <definedName name="plo" hidden="1">{#N/A,#N/A,TRUE,"A"}</definedName>
    <definedName name="po" hidden="1">{#N/A,#N/A,TRUE,"A"}</definedName>
    <definedName name="PTSB" hidden="1">{"'Highlights'!$A$1:$M$123"}</definedName>
    <definedName name="Q2Fcst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qw" hidden="1">{"'下期集計（10.27迄・速報値）'!$Q$16"}</definedName>
    <definedName name="ＲＡＲＯＡ" hidden="1">{"'下期集計（10.27迄・速報値）'!$Q$16"}</definedName>
    <definedName name="RETENCION">'[7]Cálculo LPVta Cambium'!$AA$4</definedName>
    <definedName name="rfg" hidden="1">{#N/A,#N/A,TRUE,"A"}</definedName>
    <definedName name="SAPBEXdnldView" hidden="1">"4X7PHJJ3EF70UJ33CI6YVQIOV"</definedName>
    <definedName name="SAPBEXsysID" hidden="1">"PBK"</definedName>
    <definedName name="SCOG" hidden="1">{"'ADV&amp;DP'!$A$4:$C$25"}</definedName>
    <definedName name="sencount" hidden="1">1</definedName>
    <definedName name="sfgasd" hidden="1">{0,0,0,0;0,0,0,0;0,0,0,0;0,0,0,0;0,0,0,0;0,0,0,0;0,0,2,0;2,3,3,0;FALSE,FALSE,FALSE,FALSE;TRUE,FALSE,TRUE,TRUE;FALSE,FALSE,TRUE,TRUE;FALSE,0,2.78134444564786E-308,4.45015196281921E-308;7.78776275135711E-308,1.33504516457612E-307,2.22507555776164E-307,3.56012157274209E-307}</definedName>
    <definedName name="solver_adj" hidden="1">#REF!</definedName>
    <definedName name="solver_lin" hidden="1">0</definedName>
    <definedName name="solver_num" hidden="1">0</definedName>
    <definedName name="solver_opt" hidden="1">#REF!</definedName>
    <definedName name="solver_typ" hidden="1">3</definedName>
    <definedName name="solver_val" hidden="1">0.6</definedName>
    <definedName name="stp">[8]Resumen_Inv!$I$66</definedName>
    <definedName name="t" hidden="1">{"'下期集計（10.27迄・速報値）'!$Q$16"}</definedName>
    <definedName name="tyh" hidden="1">{#N/A,#N/A,TRUE,"A"}</definedName>
    <definedName name="v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vbn" hidden="1">{#N/A,#N/A,TRUE,"A"}</definedName>
    <definedName name="w" hidden="1">{"'下期集計（10.27迄・速報値）'!$Q$16"}</definedName>
    <definedName name="wrn.???." hidden="1">{"DCF-???",#N/A,TRUE,"???";"FS-???",#N/A,TRUE,"?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}</definedName>
    <definedName name="wrn.Aging._.and._.Trend._.Analysis." hidden="1">{#N/A,#N/A,FALSE,"Aging Summary";#N/A,#N/A,FALSE,"Ratio Analysis";#N/A,#N/A,FALSE,"Test 120 Day Accts";#N/A,#N/A,FALSE,"Tickmarks"}</definedName>
    <definedName name="wrn.All._.Sheets." hidden="1">{#N/A,#N/A,FALSE,"1997 WW (Short)";#N/A,#N/A,FALSE,"1997 RF Mfg";#N/A,#N/A,FALSE,"Ancillary-CSM";#N/A,#N/A,FALSE,"1997 Service"}</definedName>
    <definedName name="wrn.AR._.Meeting._.Schedules.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CIPG._.All._.Sheets." hidden="1">{#N/A,#N/A,FALSE,"Cover";#N/A,#N/A,FALSE,"Commentary";#N/A,#N/A,FALSE,"key ind";#N/A,#N/A,FALSE,"CIG RSB";#N/A,#N/A,FALSE,"4-up charts p.1";#N/A,#N/A,FALSE,"4-up charts p.2";#N/A,#N/A,FALSE,"Q1 Markets";#N/A,#N/A,FALSE,"Annual Mkts";#N/A,#N/A,FALSE," rate of ? qtr";#N/A,#N/A,FALSE,"Detail Rel rate of ? ";#N/A,#N/A,FALSE,"Q1 Products";#N/A,#N/A,FALSE,"Annual Products";#N/A,#N/A,FALSE,"SMUG";#N/A,#N/A,FALSE,"IDL Budgets";#N/A,#N/A,FALSE,"HC Trend";#N/A,#N/A,FALSE,"Functional HC ";#N/A,#N/A,FALSE,"Capital Expd";#N/A,#N/A,FALSE,"Capital CO";#N/A,#N/A,FALSE,"Inventory"}</definedName>
    <definedName name="wrn.CIPG._.Black._.and._.White." hidden="1">{#N/A,#N/A,FALSE,"Cover";#N/A,#N/A,FALSE,"Commentary";#N/A,#N/A,FALSE,"key ind";#N/A,#N/A,FALSE,"CIG RSB";#N/A,#N/A,FALSE,"Q1 Markets";#N/A,#N/A,FALSE,"Annual Mkts";#N/A,#N/A,FALSE,"Q1 Products";#N/A,#N/A,FALSE,"Annual Products";#N/A,#N/A,FALSE,"SMUG";#N/A,#N/A,FALSE,"IDL Budgets";#N/A,#N/A,FALSE,"HC Trend";#N/A,#N/A,FALSE,"Functional HC ";#N/A,#N/A,FALSE,"Capital Expd";#N/A,#N/A,FALSE,"Capital CO"}</definedName>
    <definedName name="wrn.CIPG._.Color._.Charts." hidden="1">{#N/A,#N/A,FALSE,"4-up charts p.1";#N/A,#N/A,FALSE,"4-up charts p.2";#N/A,#N/A,FALSE," rate of ? qtr";#N/A,#N/A,FALSE,"Detail Rel rate of ? ";#N/A,#N/A,FALSE,"Inventory"}</definedName>
    <definedName name="wrn.DCF????." hidden="1">{"DCF-???",#N/A,TRUE,"???";"DCF-??",#N/A,TRUE,"??";"DCF-??",#N/A,TRUE,"??";"DCF-??",#N/A,TRUE,"??";"DCF-??",#N/A,TRUE,"??";"DCF-??",#N/A,TRUE,"??";"DCF-??",#N/A,TRUE,"??";"DCF-??",#N/A,TRUE,"??";"DCF-??",#N/A,TRUE,"??"}</definedName>
    <definedName name="wrn.DCF一括印刷.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wrn.EAN2." hidden="1">{#N/A,#N/A,TRUE,"A"}</definedName>
    <definedName name="wrn.EAN3" hidden="1">{#N/A,#N/A,TRUE,"A"}</definedName>
    <definedName name="wrn.FS????." hidden="1">{"FS-???",#N/A,TRUE,"???";"FS-??",#N/A,TRUE,"??";"FS-??",#N/A,TRUE,"??";"FS-??",#N/A,TRUE,"??";"FS-??",#N/A,TRUE,"??";"FS-??",#N/A,TRUE,"??";"FS-??",#N/A,TRUE,"??";"FS-??",#N/A,TRUE,"??";"FS-??",#N/A,TRUE,"??"}</definedName>
    <definedName name="wrn.FS一括印刷." hidden="1">{"FS-北海道",#N/A,TRUE,"北海道";"FS-東北",#N/A,TRUE,"東北";"FS-東海",#N/A,TRUE,"東海";"FS-北陸",#N/A,TRUE,"北陸";"FS-関西",#N/A,TRUE,"関西";"FS-中国",#N/A,TRUE,"中国";"FS-四国",#N/A,TRUE,"四国";"FS-九州",#N/A,TRUE,"九州";"FS-連結",#N/A,TRUE,"連結"}</definedName>
    <definedName name="wrn.Outlook._.Report." hidden="1">{#N/A,#N/A,FALSE,"Outlook for Month ";#N/A,#N/A,FALSE,"Risk for Month ";#N/A,#N/A,FALSE,"Upside for Month"}</definedName>
    <definedName name="wrn.RPT.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全印刷." hidden="1">{"DCF-北海道",#N/A,TRUE,"北海道";"FS-北海道",#N/A,TRUE,"北海道";"DCF-東北",#N/A,TRUE,"東北";"FS-東北",#N/A,TRUE,"東北";"DCF-東海",#N/A,TRUE,"東海";"FS-東海",#N/A,TRUE,"東海";"DCF-北陸",#N/A,TRUE,"北陸";"FS-北陸",#N/A,TRUE,"北陸";"DCF-関西",#N/A,TRUE,"関西";"FS-関西",#N/A,TRUE,"関西";"DCF-中国",#N/A,TRUE,"中国";"FS-中国",#N/A,TRUE,"中国";"DCF-四国",#N/A,TRUE,"四国";"FS-四国",#N/A,TRUE,"四国";"DCF-九州",#N/A,TRUE,"九州";"FS-九州",#N/A,TRUE,"九州";"DCF-連結",#N/A,TRUE,"連結";"FS-連結",#N/A,TRUE,"連結"}</definedName>
    <definedName name="ws" hidden="1">{#N/A,#N/A,TRUE,"A"}</definedName>
    <definedName name="yhu" hidden="1">{#N/A,#N/A,TRUE,"A"}</definedName>
    <definedName name="ｚ" hidden="1">{"'下期集計（10.27迄・速報値）'!$Q$16"}</definedName>
    <definedName name="Z_086A872D_15DF_436A_8459_CE22F6819FF4_.wvu.Rows" hidden="1">[5]Presentacion!#REF!</definedName>
    <definedName name="Z_D55C8B2E_861A_459E_9D09_3AF38A1DE99E_.wvu.Rows" hidden="1">[5]Presentacion!#REF!</definedName>
    <definedName name="Z_F540D718_D9AA_403F_AE49_60D937FD77E5_.wvu.Rows" hidden="1">[5]Presentacion!#REF!</definedName>
    <definedName name="zz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ぁ" hidden="1">{"'下期集計（10.27迄・速報値）'!$Q$16"}</definedName>
    <definedName name="あ" hidden="1">{"'下期集計（10.27迄・速報値）'!$Q$16"}</definedName>
    <definedName name="あああ" hidden="1">{"'下期集計（10.27迄・速報値）'!$Q$16"}</definedName>
    <definedName name="ｼｰﾄ" hidden="1">[9]計算過程シート!#REF!</definedName>
    <definedName name="なんで" hidden="1">{"'下期集計（10.27迄・速報値）'!$Q$16"}</definedName>
    <definedName name="なんなの" hidden="1">{"'下期集計（10.27迄・速報値）'!$Q$16"}</definedName>
    <definedName name="一括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印刷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年間収支買掛" hidden="1">{"'下期集計（10.27迄・速報値）'!$Q$16"}</definedName>
    <definedName name="年間資金収支あ" hidden="1">{"'下期集計（10.27迄・速報値）'!$Q$16"}</definedName>
    <definedName name="日繰06" hidden="1">{"'下期集計（10.27迄・速報値）'!$Q$16"}</definedName>
    <definedName name="系統出資金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系統外出資金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要処理資産②" hidden="1">{"'下期集計（10.27迄・速報値）'!$Q$16"}</definedName>
    <definedName name="評価対象" hidden="1">[9]計算過程シート!#REF!</definedName>
    <definedName name="資金" hidden="1">{"'下期集計（10.27迄・速報値）'!$Q$16"}</definedName>
    <definedName name="金利体系" hidden="1">{"'下期集計（10.27迄・速報値）'!$Q$16"}</definedName>
    <definedName name="関連" hidden="1">{"'下期集計（10.27迄・速報値）'!$Q$16"}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" i="1" l="1"/>
  <c r="C2" i="1"/>
  <c r="H3" i="1"/>
  <c r="C3" i="1" s="1"/>
  <c r="H4" i="1"/>
  <c r="C4" i="1" s="1"/>
  <c r="H5" i="1"/>
  <c r="C5" i="1" s="1"/>
  <c r="H6" i="1"/>
  <c r="C6" i="1" s="1"/>
  <c r="H7" i="1"/>
  <c r="C7" i="1" s="1"/>
  <c r="H8" i="1"/>
  <c r="C8" i="1" s="1"/>
  <c r="H9" i="1"/>
  <c r="C9" i="1" s="1"/>
  <c r="H10" i="1"/>
  <c r="C10" i="1" s="1"/>
  <c r="H11" i="1"/>
  <c r="C11" i="1" s="1"/>
  <c r="H12" i="1"/>
  <c r="C12" i="1" s="1"/>
  <c r="H13" i="1"/>
  <c r="C13" i="1" s="1"/>
  <c r="H14" i="1"/>
  <c r="C14" i="1" s="1"/>
  <c r="H15" i="1"/>
  <c r="C15" i="1" s="1"/>
  <c r="H16" i="1"/>
  <c r="C16" i="1" s="1"/>
  <c r="H17" i="1"/>
  <c r="C17" i="1" s="1"/>
  <c r="H18" i="1"/>
  <c r="C18" i="1" s="1"/>
  <c r="H19" i="1"/>
  <c r="C19" i="1" s="1"/>
  <c r="H20" i="1"/>
  <c r="C20" i="1" s="1"/>
  <c r="H21" i="1"/>
  <c r="C21" i="1" s="1"/>
  <c r="H22" i="1"/>
  <c r="C22" i="1" s="1"/>
  <c r="H23" i="1"/>
  <c r="C23" i="1" s="1"/>
  <c r="H24" i="1"/>
  <c r="C24" i="1" s="1"/>
  <c r="H25" i="1"/>
  <c r="C25" i="1" s="1"/>
  <c r="H26" i="1"/>
  <c r="C26" i="1" s="1"/>
  <c r="H27" i="1"/>
  <c r="C27" i="1" s="1"/>
  <c r="H28" i="1"/>
  <c r="C28" i="1" s="1"/>
  <c r="H29" i="1"/>
  <c r="C29" i="1" s="1"/>
  <c r="H30" i="1"/>
  <c r="C30" i="1" s="1"/>
  <c r="H31" i="1"/>
  <c r="C31" i="1" s="1"/>
  <c r="H32" i="1"/>
  <c r="C32" i="1" s="1"/>
  <c r="H33" i="1"/>
  <c r="C33" i="1" s="1"/>
  <c r="H34" i="1"/>
  <c r="C34" i="1" s="1"/>
  <c r="H35" i="1"/>
  <c r="C35" i="1" s="1"/>
  <c r="H36" i="1"/>
  <c r="C36" i="1" s="1"/>
  <c r="H37" i="1"/>
  <c r="C37" i="1" s="1"/>
  <c r="H38" i="1"/>
  <c r="C38" i="1" s="1"/>
  <c r="H39" i="1"/>
  <c r="C39" i="1" s="1"/>
  <c r="H40" i="1"/>
  <c r="C40" i="1" s="1"/>
  <c r="H41" i="1"/>
  <c r="C41" i="1" s="1"/>
  <c r="H42" i="1"/>
  <c r="C42" i="1" s="1"/>
  <c r="H43" i="1"/>
  <c r="C43" i="1" s="1"/>
  <c r="F2" i="1" l="1"/>
  <c r="D2" i="1" s="1"/>
  <c r="E2" i="1"/>
  <c r="E3" i="1"/>
  <c r="F3" i="1"/>
  <c r="D3" i="1" s="1"/>
  <c r="F4" i="1"/>
  <c r="E4" i="1"/>
  <c r="D4" i="1"/>
  <c r="F5" i="1"/>
  <c r="E5" i="1"/>
  <c r="D5" i="1"/>
  <c r="F6" i="1"/>
  <c r="D6" i="1"/>
  <c r="E6" i="1"/>
  <c r="F7" i="1"/>
  <c r="E7" i="1"/>
  <c r="D7" i="1"/>
  <c r="F8" i="1"/>
  <c r="D8" i="1"/>
  <c r="E8" i="1"/>
  <c r="E9" i="1"/>
  <c r="F9" i="1"/>
  <c r="D9" i="1"/>
  <c r="F10" i="1"/>
  <c r="D10" i="1" s="1"/>
  <c r="E10" i="1"/>
  <c r="F11" i="1"/>
  <c r="D11" i="1"/>
  <c r="E11" i="1"/>
  <c r="F12" i="1"/>
  <c r="D12" i="1" s="1"/>
  <c r="E12" i="1"/>
  <c r="F13" i="1"/>
  <c r="D13" i="1"/>
  <c r="E13" i="1"/>
  <c r="F14" i="1"/>
  <c r="D14" i="1"/>
  <c r="E14" i="1"/>
  <c r="F15" i="1"/>
  <c r="D15" i="1"/>
  <c r="E15" i="1"/>
  <c r="F16" i="1"/>
  <c r="D16" i="1"/>
  <c r="E16" i="1"/>
  <c r="F17" i="1"/>
  <c r="D17" i="1"/>
  <c r="E17" i="1"/>
  <c r="F18" i="1"/>
  <c r="D18" i="1"/>
  <c r="E18" i="1"/>
  <c r="F19" i="1"/>
  <c r="D19" i="1"/>
  <c r="E19" i="1"/>
  <c r="F20" i="1"/>
  <c r="D20" i="1"/>
  <c r="E20" i="1"/>
  <c r="F21" i="1"/>
  <c r="D21" i="1"/>
  <c r="E21" i="1"/>
  <c r="F22" i="1"/>
  <c r="D22" i="1"/>
  <c r="E22" i="1"/>
  <c r="E23" i="1"/>
  <c r="F23" i="1"/>
  <c r="D23" i="1" s="1"/>
  <c r="F24" i="1"/>
  <c r="D24" i="1"/>
  <c r="E24" i="1"/>
  <c r="F25" i="1"/>
  <c r="D25" i="1"/>
  <c r="E25" i="1"/>
  <c r="F26" i="1"/>
  <c r="D26" i="1"/>
  <c r="E26" i="1"/>
  <c r="F27" i="1"/>
  <c r="E27" i="1"/>
  <c r="D27" i="1"/>
  <c r="F28" i="1"/>
  <c r="E28" i="1"/>
  <c r="D28" i="1"/>
  <c r="F29" i="1"/>
  <c r="E29" i="1"/>
  <c r="D29" i="1"/>
  <c r="F30" i="1"/>
  <c r="E30" i="1"/>
  <c r="D30" i="1"/>
  <c r="F31" i="1"/>
  <c r="E31" i="1"/>
  <c r="D31" i="1"/>
  <c r="F32" i="1"/>
  <c r="E32" i="1"/>
  <c r="D32" i="1"/>
  <c r="F33" i="1"/>
  <c r="D33" i="1" s="1"/>
  <c r="E33" i="1"/>
  <c r="F34" i="1"/>
  <c r="E34" i="1"/>
  <c r="D34" i="1"/>
  <c r="F35" i="1"/>
  <c r="E35" i="1"/>
  <c r="D35" i="1"/>
  <c r="F36" i="1"/>
  <c r="E36" i="1"/>
  <c r="D36" i="1"/>
  <c r="F37" i="1"/>
  <c r="E37" i="1"/>
  <c r="D37" i="1"/>
  <c r="F38" i="1"/>
  <c r="E38" i="1"/>
  <c r="D38" i="1"/>
  <c r="F39" i="1"/>
  <c r="E39" i="1"/>
  <c r="D39" i="1"/>
  <c r="F40" i="1"/>
  <c r="E40" i="1"/>
  <c r="D40" i="1"/>
  <c r="F41" i="1"/>
  <c r="E41" i="1"/>
  <c r="D41" i="1"/>
  <c r="E42" i="1"/>
  <c r="F42" i="1"/>
  <c r="D42" i="1" s="1"/>
  <c r="F43" i="1"/>
  <c r="D43" i="1"/>
  <c r="E43" i="1"/>
</calcChain>
</file>

<file path=xl/sharedStrings.xml><?xml version="1.0" encoding="utf-8"?>
<sst xmlns="http://schemas.openxmlformats.org/spreadsheetml/2006/main" count="94" uniqueCount="94">
  <si>
    <t>Detector de rayo fotoeléctrico / 2 rayos / 4 frecuencias / 60mts exterior / Alimentacion 12-24 VDC/VAC</t>
  </si>
  <si>
    <t>SF60P</t>
  </si>
  <si>
    <t>RECEPTOR DE MONITOREO GPRS/IP</t>
  </si>
  <si>
    <t>IPR512</t>
  </si>
  <si>
    <t>KIT DE CONVERSION RS-485/RS-232</t>
  </si>
  <si>
    <t>CV4USBP2C</t>
  </si>
  <si>
    <t>INTERFAZ DE CONEXION DIRECTA PARA CENTRALES PARADOX</t>
  </si>
  <si>
    <t>307USB</t>
  </si>
  <si>
    <t>DISPOSITIVO DE RESPALDO PARA CENTRALES PARADOX USB</t>
  </si>
  <si>
    <t>PMC5</t>
  </si>
  <si>
    <t>EXTENSION DE CABLE PARA ANTENA ANTKIT 14,5M CABLE COAXIAL RG174</t>
  </si>
  <si>
    <t>EXTN4Y</t>
  </si>
  <si>
    <t>EXTENSION DE CABLE PARA ANTENA ANTKIT 7MT CABLE COAXIAL RG174</t>
  </si>
  <si>
    <t>EXTH4S</t>
  </si>
  <si>
    <t>EXTENSION DE CABLE PARA ANTENA ANTKIT 4MT CABLE COAXIAL RG174</t>
  </si>
  <si>
    <t>EXTE5T</t>
  </si>
  <si>
    <t>CONVERTIDOR EXTERNO RS485</t>
  </si>
  <si>
    <t>CVT485</t>
  </si>
  <si>
    <t>COMCBL CABLE DE COMUNICACION PARA IP150 Y PCS250G</t>
  </si>
  <si>
    <t>CCM1</t>
  </si>
  <si>
    <t>COMUNICADOR DX SAM2 2G/3G/WIFI COMPATIBLE CON PANELES DE ALARMA PARADOX PERMITE PROGRAMACION REMOTA</t>
  </si>
  <si>
    <t>DXSAM22G3GWIFIPDX</t>
  </si>
  <si>
    <t>PCS250 MODULO COMUNICADOR GPRS, GSM,SMS, 16 TEL. COMPATIBLE CON VDMP3 CHIP GSM SIM900</t>
  </si>
  <si>
    <t>PCS250NSP</t>
  </si>
  <si>
    <t>MODULO INTERNET IP</t>
  </si>
  <si>
    <t>IP150</t>
  </si>
  <si>
    <t>CONVERSOR UNIVERSAL DE LINEA TELEFÓNICA A IP Y GPRS PARADOX. FORMATO CONTACT ID.</t>
  </si>
  <si>
    <t>UC300</t>
  </si>
  <si>
    <t>MODULO FUENTE DE ALIMENTACION 13.8-15VDC 4A/75W CON GABINETE INDEPENDIENTE O SUPERVISADA POR BUS</t>
  </si>
  <si>
    <t>PS45</t>
  </si>
  <si>
    <t>MODULO FUENTE DE ALIMENTACION 2.5 AMP PARA SISTEMAS EVO</t>
  </si>
  <si>
    <t>PS25</t>
  </si>
  <si>
    <t>TRANSFORMADOR 16V 40VAC PARA PANEL DE ALARMA</t>
  </si>
  <si>
    <t>GV-D40</t>
  </si>
  <si>
    <t>AM1652400A,PN1361 TRANSFORMADOR 16V 40VAC PARA PANEL DE ALARMA</t>
  </si>
  <si>
    <t>TRANS16V40</t>
  </si>
  <si>
    <t>CARGADOR Y FUENTE DE PODER  12 VDC 1 75 AMP</t>
  </si>
  <si>
    <t>PS817</t>
  </si>
  <si>
    <t>CONTACTO MAGNÉTICO PESADO ALTA SEGURIDAD CABLEADO N.A INTERLOGIX MONTAJE SUPERF. APERTURA 4,7-15,8MM</t>
  </si>
  <si>
    <t>2707AL</t>
  </si>
  <si>
    <t>CONTACTO DE PUERTA INALAMBRICA DE 2 ZONAS COLOR CAFE</t>
  </si>
  <si>
    <t>DCTXP2V2H</t>
  </si>
  <si>
    <t>CONTACTO MAGNETICO MARCA SECOLARM N/C  MAX. APERTURA 19MM COLOR MARRON CERTIFICACION UL</t>
  </si>
  <si>
    <t>SM200QBR</t>
  </si>
  <si>
    <t>CAJA PLASTICA PARA USO ZX8SP, ZX8,  RPT1 Y PGM4</t>
  </si>
  <si>
    <t>PBOX</t>
  </si>
  <si>
    <t>CAJA METALICA 11X11X3</t>
  </si>
  <si>
    <t>CAJA METALICA 8X10X3</t>
  </si>
  <si>
    <t>2780000020</t>
  </si>
  <si>
    <t>KIT TAMPER PARA CAJA METALICA PARA ALARMA DETECTA APERTURA DE PUERTA O REMOCION DE LA PARED</t>
  </si>
  <si>
    <t>TK278</t>
  </si>
  <si>
    <t>BOTON DE EMERGENCIA NO/NC INCLUYE 3 ADHESIVOS</t>
  </si>
  <si>
    <t>SS075CPEQ</t>
  </si>
  <si>
    <t>BOTON DE PANICO CON LLAVE 5X5X3 CM</t>
  </si>
  <si>
    <t>GV-45</t>
  </si>
  <si>
    <t>BOTON DE PANICO COLOR BLANCO MEDIDAS 7.6*1.7*1.7CM 12VDC/24VDC 0.3A CONTACTOS NC/NO</t>
  </si>
  <si>
    <t>GV-67A</t>
  </si>
  <si>
    <t>BOTON DE PANICO</t>
  </si>
  <si>
    <t>PB67A</t>
  </si>
  <si>
    <t>SIRENA 30W CONICA DE DOS TONOS GV-S508</t>
  </si>
  <si>
    <t>SS030</t>
  </si>
  <si>
    <t>SIRENA CONICA 6-12V 15-20 W</t>
  </si>
  <si>
    <t>HCS55</t>
  </si>
  <si>
    <t>HUB AISLADOR Y AMPLIFICADOR DE SEÑAL PARA BUS. COMPATIBLE CON SPECTRA PLUS Y EVO</t>
  </si>
  <si>
    <t>HUB2</t>
  </si>
  <si>
    <t>EXTENSION DE ANTENA PARA GPRS14</t>
  </si>
  <si>
    <t>ANTKIT</t>
  </si>
  <si>
    <t>EXTENSION DE CABLE PARA ANTENA ANTKIT 2m/6ft CABLE COAXIAL RG174</t>
  </si>
  <si>
    <t>EXT</t>
  </si>
  <si>
    <t>CONTACTO MAGNETICO PARA PUERTAS DE MADERA NORMALMENTE CERRADO COLOR BLANCO 64*19*12,8MM GV-31</t>
  </si>
  <si>
    <t>MS31</t>
  </si>
  <si>
    <t>MS60L CONTACTO MAGNETICO METLICO GV-60L</t>
  </si>
  <si>
    <t>MCOH</t>
  </si>
  <si>
    <t>CONTACTO MAGNETICO PARA VENTANAS NORMALMENTE CERRADO COLOR BLANCO GB-38</t>
  </si>
  <si>
    <t>MS38</t>
  </si>
  <si>
    <t>CAJA METALICA DIMENSIONES  28 x 28 x 7.6 cm</t>
  </si>
  <si>
    <t>GABINETEGRAN</t>
  </si>
  <si>
    <t>GABINETE METALICO PARA ALARMA DIMENSIONES: 8X10X3</t>
  </si>
  <si>
    <t>GABINETEPEQ</t>
  </si>
  <si>
    <t>BOTON DE PANICO CON LLAVE 5x5x3 CM</t>
  </si>
  <si>
    <t>PB45</t>
  </si>
  <si>
    <t>COSTO</t>
  </si>
  <si>
    <t>Columna8</t>
  </si>
  <si>
    <t>Columna7</t>
  </si>
  <si>
    <t>COSTO + IVA</t>
  </si>
  <si>
    <t>Columna5</t>
  </si>
  <si>
    <t>Columna43</t>
  </si>
  <si>
    <t>PRECIO CLIENTE FINAL (CON IVA)</t>
  </si>
  <si>
    <t>PRECIO TIENDA (CON IVA)</t>
  </si>
  <si>
    <t>PRECIO INSTALLER (CON IVA)</t>
  </si>
  <si>
    <t>DESCRIPCIÓN</t>
  </si>
  <si>
    <t>REFERENCIA</t>
  </si>
  <si>
    <t>SIR-110</t>
  </si>
  <si>
    <t>SIRENA DE PASTA 110V 90W 7000 RPM 125DB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</si>
</sst>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/>
  </cellStyleXfs>
  <cellXfs count="40">
    <xf numFmtId="0" fontId="0" fillId="0" borderId="0" xfId="0"/>
    <xf numFmtId="0" fontId="2" fillId="0" borderId="0" xfId="2"/>
    <xf numFmtId="164" fontId="2" fillId="0" borderId="0" xfId="1" applyNumberFormat="1" applyFont="1" applyBorder="1" applyAlignment="1">
      <alignment horizontal="center" vertical="center"/>
    </xf>
    <xf numFmtId="1" fontId="2" fillId="0" borderId="0" xfId="2" applyNumberFormat="1" applyAlignment="1">
      <alignment horizontal="center" vertical="center"/>
    </xf>
    <xf numFmtId="2" fontId="2" fillId="0" borderId="0" xfId="1" applyNumberFormat="1" applyFont="1" applyAlignment="1">
      <alignment horizontal="left" vertical="center" wrapText="1"/>
    </xf>
    <xf numFmtId="44" fontId="2" fillId="0" borderId="0" xfId="1" applyFont="1" applyAlignment="1">
      <alignment horizontal="left" vertical="center" wrapText="1"/>
    </xf>
    <xf numFmtId="0" fontId="2" fillId="0" borderId="0" xfId="2" applyAlignment="1">
      <alignment horizontal="left" vertical="center" wrapText="1"/>
    </xf>
    <xf numFmtId="0" fontId="2" fillId="0" borderId="0" xfId="2" applyAlignment="1">
      <alignment horizontal="center" vertical="center"/>
    </xf>
    <xf numFmtId="164" fontId="2" fillId="0" borderId="1" xfId="1" applyNumberFormat="1" applyFont="1" applyFill="1" applyBorder="1" applyAlignment="1">
      <alignment horizontal="center" vertical="center"/>
    </xf>
    <xf numFmtId="2" fontId="2" fillId="0" borderId="2" xfId="2" applyNumberFormat="1" applyBorder="1" applyAlignment="1">
      <alignment horizontal="center" vertical="center"/>
    </xf>
    <xf numFmtId="164" fontId="2" fillId="0" borderId="2" xfId="1" applyNumberFormat="1" applyFont="1" applyFill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0" xfId="1" applyNumberFormat="1" applyFont="1" applyAlignment="1">
      <alignment horizontal="left" vertical="top" wrapText="1"/>
    </xf>
    <xf numFmtId="44" fontId="0" fillId="0" borderId="3" xfId="1" applyFont="1" applyBorder="1" applyAlignment="1">
      <alignment horizontal="center" vertical="center" wrapText="1"/>
    </xf>
    <xf numFmtId="0" fontId="0" fillId="0" borderId="3" xfId="0" applyBorder="1" applyAlignment="1">
      <alignment horizontal="left" vertical="top" wrapText="1"/>
    </xf>
    <xf numFmtId="0" fontId="0" fillId="0" borderId="3" xfId="0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164" fontId="0" fillId="0" borderId="2" xfId="1" applyNumberFormat="1" applyFont="1" applyBorder="1" applyAlignment="1">
      <alignment horizontal="center" vertical="center"/>
    </xf>
    <xf numFmtId="2" fontId="0" fillId="0" borderId="2" xfId="1" applyNumberFormat="1" applyFont="1" applyBorder="1" applyAlignment="1">
      <alignment horizontal="left" vertical="center" wrapText="1"/>
    </xf>
    <xf numFmtId="44" fontId="0" fillId="0" borderId="2" xfId="1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164" fontId="0" fillId="0" borderId="4" xfId="1" applyNumberFormat="1" applyFont="1" applyBorder="1" applyAlignment="1">
      <alignment horizontal="center" vertical="center"/>
    </xf>
    <xf numFmtId="164" fontId="0" fillId="0" borderId="3" xfId="1" applyNumberFormat="1" applyFont="1" applyBorder="1" applyAlignment="1">
      <alignment horizontal="center" vertical="center"/>
    </xf>
    <xf numFmtId="2" fontId="0" fillId="0" borderId="3" xfId="1" applyNumberFormat="1" applyFont="1" applyBorder="1" applyAlignment="1">
      <alignment horizontal="left" vertical="center" wrapText="1"/>
    </xf>
    <xf numFmtId="44" fontId="0" fillId="0" borderId="3" xfId="1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164" fontId="1" fillId="0" borderId="4" xfId="1" applyNumberFormat="1" applyFont="1" applyFill="1" applyBorder="1" applyAlignment="1">
      <alignment horizontal="center" vertical="center"/>
    </xf>
    <xf numFmtId="164" fontId="3" fillId="0" borderId="4" xfId="1" applyNumberFormat="1" applyFont="1" applyFill="1" applyBorder="1" applyAlignment="1">
      <alignment horizontal="center" vertical="center"/>
    </xf>
    <xf numFmtId="2" fontId="3" fillId="0" borderId="3" xfId="1" applyNumberFormat="1" applyFont="1" applyBorder="1" applyAlignment="1">
      <alignment horizontal="left" vertical="center" wrapText="1"/>
    </xf>
    <xf numFmtId="44" fontId="3" fillId="0" borderId="3" xfId="1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164" fontId="2" fillId="0" borderId="5" xfId="1" applyNumberFormat="1" applyFont="1" applyBorder="1" applyAlignment="1">
      <alignment horizontal="center" vertical="center"/>
    </xf>
    <xf numFmtId="1" fontId="2" fillId="0" borderId="6" xfId="2" applyNumberFormat="1" applyBorder="1" applyAlignment="1">
      <alignment horizontal="center" vertical="center"/>
    </xf>
    <xf numFmtId="164" fontId="2" fillId="0" borderId="6" xfId="1" applyNumberFormat="1" applyFont="1" applyBorder="1" applyAlignment="1">
      <alignment horizontal="center" vertical="center"/>
    </xf>
    <xf numFmtId="2" fontId="2" fillId="0" borderId="6" xfId="1" applyNumberFormat="1" applyFont="1" applyBorder="1" applyAlignment="1">
      <alignment horizontal="left" vertical="center" wrapText="1"/>
    </xf>
    <xf numFmtId="44" fontId="4" fillId="0" borderId="6" xfId="1" applyFont="1" applyBorder="1" applyAlignment="1">
      <alignment horizontal="center" vertical="center" wrapText="1"/>
    </xf>
    <xf numFmtId="0" fontId="4" fillId="0" borderId="6" xfId="2" applyFont="1" applyBorder="1" applyAlignment="1">
      <alignment horizontal="center" vertical="center" wrapText="1"/>
    </xf>
    <xf numFmtId="0" fontId="4" fillId="0" borderId="6" xfId="2" applyFont="1" applyBorder="1" applyAlignment="1">
      <alignment horizontal="center" vertical="center"/>
    </xf>
  </cellXfs>
  <cellStyles count="3">
    <cellStyle name="Moneda" xfId="1" builtinId="4"/>
    <cellStyle name="Normal" xfId="0" builtinId="0"/>
    <cellStyle name="Normal 2" xfId="2" xr:uid="{099A934E-4F4F-4A99-878F-383C5E5C9948}"/>
  </cellStyles>
  <dxfs count="17">
    <dxf>
      <font>
        <b val="0"/>
      </font>
      <numFmt numFmtId="164" formatCode="_-&quot;$&quot;\ * #,##0_-;\-&quot;$&quot;\ * #,##0_-;_-&quot;$&quot;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&quot;$&quot;\ * #,##0_-;\-&quot;$&quot;\ * #,##0_-;_-&quot;$&quot;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$&quot;\ * #,##0.00_-;\-&quot;$&quot;\ * #,##0.00_-;_-&quot;$&quot;\ * &quot;-&quot;??_-;_-@_-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$&quot;\ * #,##0.00_-;\-&quot;$&quot;\ * #,##0.00_-;_-&quot;$&quot;\ * &quot;-&quot;??_-;_-@_-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rgb="FFFF0000"/>
      </font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jpe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5" Type="http://schemas.openxmlformats.org/officeDocument/2006/relationships/image" Target="../media/image5.jpe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0</xdr:rowOff>
    </xdr:from>
    <xdr:to>
      <xdr:col>0</xdr:col>
      <xdr:colOff>19050</xdr:colOff>
      <xdr:row>13</xdr:row>
      <xdr:rowOff>19050</xdr:rowOff>
    </xdr:to>
    <xdr:pic>
      <xdr:nvPicPr>
        <xdr:cNvPr id="4" name="Picture 158">
          <a:extLst>
            <a:ext uri="{FF2B5EF4-FFF2-40B4-BE49-F238E27FC236}">
              <a16:creationId xmlns:a16="http://schemas.microsoft.com/office/drawing/2014/main" id="{7E557664-059E-4F9E-A753-24979105F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2860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19050</xdr:colOff>
      <xdr:row>7</xdr:row>
      <xdr:rowOff>0</xdr:rowOff>
    </xdr:to>
    <xdr:pic>
      <xdr:nvPicPr>
        <xdr:cNvPr id="6" name="Picture 160">
          <a:extLst>
            <a:ext uri="{FF2B5EF4-FFF2-40B4-BE49-F238E27FC236}">
              <a16:creationId xmlns:a16="http://schemas.microsoft.com/office/drawing/2014/main" id="{4A071C34-6F4E-4D37-8189-486AD086A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52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19050</xdr:colOff>
      <xdr:row>15</xdr:row>
      <xdr:rowOff>19050</xdr:rowOff>
    </xdr:to>
    <xdr:pic>
      <xdr:nvPicPr>
        <xdr:cNvPr id="7" name="Picture 161">
          <a:extLst>
            <a:ext uri="{FF2B5EF4-FFF2-40B4-BE49-F238E27FC236}">
              <a16:creationId xmlns:a16="http://schemas.microsoft.com/office/drawing/2014/main" id="{0A2CFA9E-B891-4D1D-BC0A-FF0219CA7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6670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19050</xdr:colOff>
      <xdr:row>3</xdr:row>
      <xdr:rowOff>19050</xdr:rowOff>
    </xdr:to>
    <xdr:pic>
      <xdr:nvPicPr>
        <xdr:cNvPr id="11" name="Picture 165">
          <a:extLst>
            <a:ext uri="{FF2B5EF4-FFF2-40B4-BE49-F238E27FC236}">
              <a16:creationId xmlns:a16="http://schemas.microsoft.com/office/drawing/2014/main" id="{6D4B5C49-37BF-4657-AC61-71109A057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810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19050</xdr:colOff>
      <xdr:row>20</xdr:row>
      <xdr:rowOff>19050</xdr:rowOff>
    </xdr:to>
    <xdr:pic>
      <xdr:nvPicPr>
        <xdr:cNvPr id="16" name="Picture 171">
          <a:extLst>
            <a:ext uri="{FF2B5EF4-FFF2-40B4-BE49-F238E27FC236}">
              <a16:creationId xmlns:a16="http://schemas.microsoft.com/office/drawing/2014/main" id="{B86264D2-B347-4580-9019-6521B9D75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6195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19050</xdr:colOff>
      <xdr:row>5</xdr:row>
      <xdr:rowOff>19050</xdr:rowOff>
    </xdr:to>
    <xdr:pic>
      <xdr:nvPicPr>
        <xdr:cNvPr id="17" name="Picture 173">
          <a:extLst>
            <a:ext uri="{FF2B5EF4-FFF2-40B4-BE49-F238E27FC236}">
              <a16:creationId xmlns:a16="http://schemas.microsoft.com/office/drawing/2014/main" id="{9BFAA770-DDE3-4A02-A421-6B45EB740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620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19050</xdr:colOff>
      <xdr:row>13</xdr:row>
      <xdr:rowOff>19050</xdr:rowOff>
    </xdr:to>
    <xdr:pic>
      <xdr:nvPicPr>
        <xdr:cNvPr id="18" name="Picture 174">
          <a:extLst>
            <a:ext uri="{FF2B5EF4-FFF2-40B4-BE49-F238E27FC236}">
              <a16:creationId xmlns:a16="http://schemas.microsoft.com/office/drawing/2014/main" id="{106364E1-7027-4961-A263-93B647161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2860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19050</xdr:colOff>
      <xdr:row>22</xdr:row>
      <xdr:rowOff>19050</xdr:rowOff>
    </xdr:to>
    <xdr:pic>
      <xdr:nvPicPr>
        <xdr:cNvPr id="20" name="Picture 184">
          <a:extLst>
            <a:ext uri="{FF2B5EF4-FFF2-40B4-BE49-F238E27FC236}">
              <a16:creationId xmlns:a16="http://schemas.microsoft.com/office/drawing/2014/main" id="{581AA69D-983B-45D8-99E7-F89D8A93E7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0005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19050</xdr:colOff>
      <xdr:row>19</xdr:row>
      <xdr:rowOff>0</xdr:rowOff>
    </xdr:to>
    <xdr:pic>
      <xdr:nvPicPr>
        <xdr:cNvPr id="23" name="Picture 188">
          <a:extLst>
            <a:ext uri="{FF2B5EF4-FFF2-40B4-BE49-F238E27FC236}">
              <a16:creationId xmlns:a16="http://schemas.microsoft.com/office/drawing/2014/main" id="{19B44016-69BB-4FC3-9A52-EF0CD41F4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238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19050</xdr:colOff>
      <xdr:row>26</xdr:row>
      <xdr:rowOff>19050</xdr:rowOff>
    </xdr:to>
    <xdr:pic>
      <xdr:nvPicPr>
        <xdr:cNvPr id="25" name="Picture 190">
          <a:extLst>
            <a:ext uri="{FF2B5EF4-FFF2-40B4-BE49-F238E27FC236}">
              <a16:creationId xmlns:a16="http://schemas.microsoft.com/office/drawing/2014/main" id="{FF34B32B-9CE4-4A2A-8A4A-5123BF3A7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7625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19050</xdr:colOff>
      <xdr:row>29</xdr:row>
      <xdr:rowOff>19050</xdr:rowOff>
    </xdr:to>
    <xdr:pic>
      <xdr:nvPicPr>
        <xdr:cNvPr id="28" name="Picture 195">
          <a:extLst>
            <a:ext uri="{FF2B5EF4-FFF2-40B4-BE49-F238E27FC236}">
              <a16:creationId xmlns:a16="http://schemas.microsoft.com/office/drawing/2014/main" id="{EBAF0A5D-6CCC-433F-A422-E3888468A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3340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19050</xdr:colOff>
      <xdr:row>13</xdr:row>
      <xdr:rowOff>19050</xdr:rowOff>
    </xdr:to>
    <xdr:pic>
      <xdr:nvPicPr>
        <xdr:cNvPr id="30" name="Picture 162">
          <a:extLst>
            <a:ext uri="{FF2B5EF4-FFF2-40B4-BE49-F238E27FC236}">
              <a16:creationId xmlns:a16="http://schemas.microsoft.com/office/drawing/2014/main" id="{054D135D-40DF-42AB-85D0-ADE481159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2860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19050</xdr:colOff>
      <xdr:row>7</xdr:row>
      <xdr:rowOff>0</xdr:rowOff>
    </xdr:to>
    <xdr:pic>
      <xdr:nvPicPr>
        <xdr:cNvPr id="32" name="Picture 164">
          <a:extLst>
            <a:ext uri="{FF2B5EF4-FFF2-40B4-BE49-F238E27FC236}">
              <a16:creationId xmlns:a16="http://schemas.microsoft.com/office/drawing/2014/main" id="{AD192B80-9819-4CC0-92CE-76F298E68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52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19050</xdr:colOff>
      <xdr:row>15</xdr:row>
      <xdr:rowOff>19050</xdr:rowOff>
    </xdr:to>
    <xdr:pic>
      <xdr:nvPicPr>
        <xdr:cNvPr id="33" name="Picture 165">
          <a:extLst>
            <a:ext uri="{FF2B5EF4-FFF2-40B4-BE49-F238E27FC236}">
              <a16:creationId xmlns:a16="http://schemas.microsoft.com/office/drawing/2014/main" id="{067C0925-6045-4EA9-8D22-0646D096E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6670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19050</xdr:colOff>
      <xdr:row>3</xdr:row>
      <xdr:rowOff>19050</xdr:rowOff>
    </xdr:to>
    <xdr:pic>
      <xdr:nvPicPr>
        <xdr:cNvPr id="36" name="Picture 169">
          <a:extLst>
            <a:ext uri="{FF2B5EF4-FFF2-40B4-BE49-F238E27FC236}">
              <a16:creationId xmlns:a16="http://schemas.microsoft.com/office/drawing/2014/main" id="{F1D2152E-9939-41ED-A55D-F10B792774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810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19050</xdr:colOff>
      <xdr:row>18</xdr:row>
      <xdr:rowOff>19050</xdr:rowOff>
    </xdr:to>
    <xdr:pic>
      <xdr:nvPicPr>
        <xdr:cNvPr id="39" name="Picture 172">
          <a:extLst>
            <a:ext uri="{FF2B5EF4-FFF2-40B4-BE49-F238E27FC236}">
              <a16:creationId xmlns:a16="http://schemas.microsoft.com/office/drawing/2014/main" id="{3C04C85A-6A62-410E-ABFC-A2DD0AC303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2385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19050</xdr:colOff>
      <xdr:row>20</xdr:row>
      <xdr:rowOff>19050</xdr:rowOff>
    </xdr:to>
    <xdr:pic>
      <xdr:nvPicPr>
        <xdr:cNvPr id="41" name="Picture 175">
          <a:extLst>
            <a:ext uri="{FF2B5EF4-FFF2-40B4-BE49-F238E27FC236}">
              <a16:creationId xmlns:a16="http://schemas.microsoft.com/office/drawing/2014/main" id="{C8F2F59C-81E2-4255-9077-D788BC32B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6195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19050</xdr:colOff>
      <xdr:row>5</xdr:row>
      <xdr:rowOff>19050</xdr:rowOff>
    </xdr:to>
    <xdr:pic>
      <xdr:nvPicPr>
        <xdr:cNvPr id="42" name="Picture 177">
          <a:extLst>
            <a:ext uri="{FF2B5EF4-FFF2-40B4-BE49-F238E27FC236}">
              <a16:creationId xmlns:a16="http://schemas.microsoft.com/office/drawing/2014/main" id="{5FB12966-C997-4BAD-8B0D-B8553C1DD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620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19050</xdr:colOff>
      <xdr:row>13</xdr:row>
      <xdr:rowOff>19050</xdr:rowOff>
    </xdr:to>
    <xdr:pic>
      <xdr:nvPicPr>
        <xdr:cNvPr id="43" name="Picture 178">
          <a:extLst>
            <a:ext uri="{FF2B5EF4-FFF2-40B4-BE49-F238E27FC236}">
              <a16:creationId xmlns:a16="http://schemas.microsoft.com/office/drawing/2014/main" id="{0359163E-9FE1-4533-A352-2E8062487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2860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19050</xdr:colOff>
      <xdr:row>21</xdr:row>
      <xdr:rowOff>19050</xdr:rowOff>
    </xdr:to>
    <xdr:pic>
      <xdr:nvPicPr>
        <xdr:cNvPr id="45" name="Picture 181">
          <a:extLst>
            <a:ext uri="{FF2B5EF4-FFF2-40B4-BE49-F238E27FC236}">
              <a16:creationId xmlns:a16="http://schemas.microsoft.com/office/drawing/2014/main" id="{575D8A5A-8EEE-486B-B237-70CF58AED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8100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19050</xdr:colOff>
      <xdr:row>22</xdr:row>
      <xdr:rowOff>19050</xdr:rowOff>
    </xdr:to>
    <xdr:pic>
      <xdr:nvPicPr>
        <xdr:cNvPr id="46" name="Picture 188">
          <a:extLst>
            <a:ext uri="{FF2B5EF4-FFF2-40B4-BE49-F238E27FC236}">
              <a16:creationId xmlns:a16="http://schemas.microsoft.com/office/drawing/2014/main" id="{3F786A80-C403-48C9-BC27-1FDC63BE6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0005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19050</xdr:colOff>
      <xdr:row>24</xdr:row>
      <xdr:rowOff>9525</xdr:rowOff>
    </xdr:to>
    <xdr:pic>
      <xdr:nvPicPr>
        <xdr:cNvPr id="48" name="Picture 191">
          <a:extLst>
            <a:ext uri="{FF2B5EF4-FFF2-40B4-BE49-F238E27FC236}">
              <a16:creationId xmlns:a16="http://schemas.microsoft.com/office/drawing/2014/main" id="{9AEECF12-9E22-4D85-8EF0-1FADA029C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381500"/>
          <a:ext cx="19050" cy="95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19050</xdr:colOff>
      <xdr:row>26</xdr:row>
      <xdr:rowOff>19050</xdr:rowOff>
    </xdr:to>
    <xdr:pic>
      <xdr:nvPicPr>
        <xdr:cNvPr id="50" name="Picture 193">
          <a:extLst>
            <a:ext uri="{FF2B5EF4-FFF2-40B4-BE49-F238E27FC236}">
              <a16:creationId xmlns:a16="http://schemas.microsoft.com/office/drawing/2014/main" id="{33A14540-7D8C-4752-8786-FEB6FE288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7625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19050</xdr:colOff>
      <xdr:row>13</xdr:row>
      <xdr:rowOff>19050</xdr:rowOff>
    </xdr:to>
    <xdr:pic>
      <xdr:nvPicPr>
        <xdr:cNvPr id="54" name="Picture 174">
          <a:extLst>
            <a:ext uri="{FF2B5EF4-FFF2-40B4-BE49-F238E27FC236}">
              <a16:creationId xmlns:a16="http://schemas.microsoft.com/office/drawing/2014/main" id="{9C74DC35-C07E-4893-BB57-0998337F48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2860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19050</xdr:colOff>
      <xdr:row>7</xdr:row>
      <xdr:rowOff>0</xdr:rowOff>
    </xdr:to>
    <xdr:pic>
      <xdr:nvPicPr>
        <xdr:cNvPr id="56" name="Picture 176">
          <a:extLst>
            <a:ext uri="{FF2B5EF4-FFF2-40B4-BE49-F238E27FC236}">
              <a16:creationId xmlns:a16="http://schemas.microsoft.com/office/drawing/2014/main" id="{E5391729-1D71-45FC-91D3-11363EC2B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52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19050</xdr:colOff>
      <xdr:row>15</xdr:row>
      <xdr:rowOff>19050</xdr:rowOff>
    </xdr:to>
    <xdr:pic>
      <xdr:nvPicPr>
        <xdr:cNvPr id="57" name="Picture 177">
          <a:extLst>
            <a:ext uri="{FF2B5EF4-FFF2-40B4-BE49-F238E27FC236}">
              <a16:creationId xmlns:a16="http://schemas.microsoft.com/office/drawing/2014/main" id="{F2100A6C-6FB5-4075-9826-D24035F84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6670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19050</xdr:colOff>
      <xdr:row>3</xdr:row>
      <xdr:rowOff>19050</xdr:rowOff>
    </xdr:to>
    <xdr:pic>
      <xdr:nvPicPr>
        <xdr:cNvPr id="60" name="Picture 181">
          <a:extLst>
            <a:ext uri="{FF2B5EF4-FFF2-40B4-BE49-F238E27FC236}">
              <a16:creationId xmlns:a16="http://schemas.microsoft.com/office/drawing/2014/main" id="{3AF4D47D-F933-4C15-BFAC-41C424886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810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19050</xdr:colOff>
      <xdr:row>18</xdr:row>
      <xdr:rowOff>19050</xdr:rowOff>
    </xdr:to>
    <xdr:pic>
      <xdr:nvPicPr>
        <xdr:cNvPr id="63" name="Picture 184">
          <a:extLst>
            <a:ext uri="{FF2B5EF4-FFF2-40B4-BE49-F238E27FC236}">
              <a16:creationId xmlns:a16="http://schemas.microsoft.com/office/drawing/2014/main" id="{09050021-C283-435E-B3D3-C14F284833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2385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19050</xdr:colOff>
      <xdr:row>20</xdr:row>
      <xdr:rowOff>19050</xdr:rowOff>
    </xdr:to>
    <xdr:pic>
      <xdr:nvPicPr>
        <xdr:cNvPr id="65" name="Picture 187">
          <a:extLst>
            <a:ext uri="{FF2B5EF4-FFF2-40B4-BE49-F238E27FC236}">
              <a16:creationId xmlns:a16="http://schemas.microsoft.com/office/drawing/2014/main" id="{78B7B960-95EB-417D-ABF5-C8E172BDE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6195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19050</xdr:colOff>
      <xdr:row>5</xdr:row>
      <xdr:rowOff>19050</xdr:rowOff>
    </xdr:to>
    <xdr:pic>
      <xdr:nvPicPr>
        <xdr:cNvPr id="66" name="Picture 189">
          <a:extLst>
            <a:ext uri="{FF2B5EF4-FFF2-40B4-BE49-F238E27FC236}">
              <a16:creationId xmlns:a16="http://schemas.microsoft.com/office/drawing/2014/main" id="{5F481076-7A75-42E8-A323-5F54D6E12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620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19050</xdr:colOff>
      <xdr:row>13</xdr:row>
      <xdr:rowOff>19050</xdr:rowOff>
    </xdr:to>
    <xdr:pic>
      <xdr:nvPicPr>
        <xdr:cNvPr id="67" name="Picture 190">
          <a:extLst>
            <a:ext uri="{FF2B5EF4-FFF2-40B4-BE49-F238E27FC236}">
              <a16:creationId xmlns:a16="http://schemas.microsoft.com/office/drawing/2014/main" id="{B9382400-118C-4206-80F6-27EA649AD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2860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19050</xdr:colOff>
      <xdr:row>21</xdr:row>
      <xdr:rowOff>19050</xdr:rowOff>
    </xdr:to>
    <xdr:pic>
      <xdr:nvPicPr>
        <xdr:cNvPr id="68" name="Picture 193">
          <a:extLst>
            <a:ext uri="{FF2B5EF4-FFF2-40B4-BE49-F238E27FC236}">
              <a16:creationId xmlns:a16="http://schemas.microsoft.com/office/drawing/2014/main" id="{43951C6A-F114-4764-8F45-E915D39E5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8100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19050</xdr:colOff>
      <xdr:row>22</xdr:row>
      <xdr:rowOff>19050</xdr:rowOff>
    </xdr:to>
    <xdr:pic>
      <xdr:nvPicPr>
        <xdr:cNvPr id="69" name="Picture 201">
          <a:extLst>
            <a:ext uri="{FF2B5EF4-FFF2-40B4-BE49-F238E27FC236}">
              <a16:creationId xmlns:a16="http://schemas.microsoft.com/office/drawing/2014/main" id="{A3738DD7-1107-4974-BC48-23AAC7F7E5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0005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19050</xdr:colOff>
      <xdr:row>24</xdr:row>
      <xdr:rowOff>9525</xdr:rowOff>
    </xdr:to>
    <xdr:pic>
      <xdr:nvPicPr>
        <xdr:cNvPr id="71" name="Picture 204">
          <a:extLst>
            <a:ext uri="{FF2B5EF4-FFF2-40B4-BE49-F238E27FC236}">
              <a16:creationId xmlns:a16="http://schemas.microsoft.com/office/drawing/2014/main" id="{D278D1D6-7176-4B0B-8B6D-1E6949D6A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381500"/>
          <a:ext cx="19050" cy="95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19050</xdr:colOff>
      <xdr:row>26</xdr:row>
      <xdr:rowOff>19050</xdr:rowOff>
    </xdr:to>
    <xdr:pic>
      <xdr:nvPicPr>
        <xdr:cNvPr id="73" name="Picture 206">
          <a:extLst>
            <a:ext uri="{FF2B5EF4-FFF2-40B4-BE49-F238E27FC236}">
              <a16:creationId xmlns:a16="http://schemas.microsoft.com/office/drawing/2014/main" id="{51A29767-30B1-4D6E-A22C-11732FFA9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7625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19050</xdr:colOff>
      <xdr:row>8</xdr:row>
      <xdr:rowOff>9525</xdr:rowOff>
    </xdr:to>
    <xdr:pic>
      <xdr:nvPicPr>
        <xdr:cNvPr id="76" name="Picture 160">
          <a:extLst>
            <a:ext uri="{FF2B5EF4-FFF2-40B4-BE49-F238E27FC236}">
              <a16:creationId xmlns:a16="http://schemas.microsoft.com/office/drawing/2014/main" id="{142974C8-C6D0-4D95-A7F6-009950607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33500"/>
          <a:ext cx="19050" cy="95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19050</xdr:colOff>
      <xdr:row>13</xdr:row>
      <xdr:rowOff>19050</xdr:rowOff>
    </xdr:to>
    <xdr:pic>
      <xdr:nvPicPr>
        <xdr:cNvPr id="77" name="Picture 173">
          <a:extLst>
            <a:ext uri="{FF2B5EF4-FFF2-40B4-BE49-F238E27FC236}">
              <a16:creationId xmlns:a16="http://schemas.microsoft.com/office/drawing/2014/main" id="{E4F83354-EBA9-49EF-AA80-E14E5F654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2860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19050</xdr:colOff>
      <xdr:row>5</xdr:row>
      <xdr:rowOff>19050</xdr:rowOff>
    </xdr:to>
    <xdr:pic>
      <xdr:nvPicPr>
        <xdr:cNvPr id="88" name="Picture 190">
          <a:extLst>
            <a:ext uri="{FF2B5EF4-FFF2-40B4-BE49-F238E27FC236}">
              <a16:creationId xmlns:a16="http://schemas.microsoft.com/office/drawing/2014/main" id="{26C1F302-92C7-43E0-A7B2-85E5EDC85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620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19050</xdr:colOff>
      <xdr:row>13</xdr:row>
      <xdr:rowOff>19050</xdr:rowOff>
    </xdr:to>
    <xdr:pic>
      <xdr:nvPicPr>
        <xdr:cNvPr id="89" name="Picture 191">
          <a:extLst>
            <a:ext uri="{FF2B5EF4-FFF2-40B4-BE49-F238E27FC236}">
              <a16:creationId xmlns:a16="http://schemas.microsoft.com/office/drawing/2014/main" id="{07B2CF1E-2E0E-4E05-912F-37518A74B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2860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19050</xdr:colOff>
      <xdr:row>21</xdr:row>
      <xdr:rowOff>9525</xdr:rowOff>
    </xdr:to>
    <xdr:pic>
      <xdr:nvPicPr>
        <xdr:cNvPr id="90" name="Picture 194">
          <a:extLst>
            <a:ext uri="{FF2B5EF4-FFF2-40B4-BE49-F238E27FC236}">
              <a16:creationId xmlns:a16="http://schemas.microsoft.com/office/drawing/2014/main" id="{5F6BFE9E-7BC8-428D-9936-29C76195CA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810000"/>
          <a:ext cx="19050" cy="95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19050</xdr:colOff>
      <xdr:row>22</xdr:row>
      <xdr:rowOff>19050</xdr:rowOff>
    </xdr:to>
    <xdr:pic>
      <xdr:nvPicPr>
        <xdr:cNvPr id="91" name="Picture 200">
          <a:extLst>
            <a:ext uri="{FF2B5EF4-FFF2-40B4-BE49-F238E27FC236}">
              <a16:creationId xmlns:a16="http://schemas.microsoft.com/office/drawing/2014/main" id="{09A069DD-C29C-4CAC-90F6-7A4A38044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0005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19050</xdr:colOff>
      <xdr:row>24</xdr:row>
      <xdr:rowOff>19050</xdr:rowOff>
    </xdr:to>
    <xdr:pic>
      <xdr:nvPicPr>
        <xdr:cNvPr id="94" name="Picture 204">
          <a:extLst>
            <a:ext uri="{FF2B5EF4-FFF2-40B4-BE49-F238E27FC236}">
              <a16:creationId xmlns:a16="http://schemas.microsoft.com/office/drawing/2014/main" id="{360F6661-B7FF-449F-83A4-61405F7F0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3815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19050</xdr:colOff>
      <xdr:row>26</xdr:row>
      <xdr:rowOff>19050</xdr:rowOff>
    </xdr:to>
    <xdr:pic>
      <xdr:nvPicPr>
        <xdr:cNvPr id="96" name="Picture 207">
          <a:extLst>
            <a:ext uri="{FF2B5EF4-FFF2-40B4-BE49-F238E27FC236}">
              <a16:creationId xmlns:a16="http://schemas.microsoft.com/office/drawing/2014/main" id="{54D7F446-2CBC-4848-BDAF-66C7DBCB3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7625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12700</xdr:colOff>
      <xdr:row>13</xdr:row>
      <xdr:rowOff>12700</xdr:rowOff>
    </xdr:to>
    <xdr:pic>
      <xdr:nvPicPr>
        <xdr:cNvPr id="100" name="Picture 180">
          <a:extLst>
            <a:ext uri="{FF2B5EF4-FFF2-40B4-BE49-F238E27FC236}">
              <a16:creationId xmlns:a16="http://schemas.microsoft.com/office/drawing/2014/main" id="{6CEDF67B-2014-4637-84CD-0F6C8772B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286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12700</xdr:colOff>
      <xdr:row>17</xdr:row>
      <xdr:rowOff>12700</xdr:rowOff>
    </xdr:to>
    <xdr:pic>
      <xdr:nvPicPr>
        <xdr:cNvPr id="105" name="Picture 185">
          <a:extLst>
            <a:ext uri="{FF2B5EF4-FFF2-40B4-BE49-F238E27FC236}">
              <a16:creationId xmlns:a16="http://schemas.microsoft.com/office/drawing/2014/main" id="{ECFE7EB2-55DE-4D85-93AB-29055D84A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048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12700</xdr:colOff>
      <xdr:row>5</xdr:row>
      <xdr:rowOff>12700</xdr:rowOff>
    </xdr:to>
    <xdr:pic>
      <xdr:nvPicPr>
        <xdr:cNvPr id="111" name="Picture 193">
          <a:extLst>
            <a:ext uri="{FF2B5EF4-FFF2-40B4-BE49-F238E27FC236}">
              <a16:creationId xmlns:a16="http://schemas.microsoft.com/office/drawing/2014/main" id="{A13D3ED1-D169-4B00-983A-FADE005DF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62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12700</xdr:colOff>
      <xdr:row>13</xdr:row>
      <xdr:rowOff>12700</xdr:rowOff>
    </xdr:to>
    <xdr:pic>
      <xdr:nvPicPr>
        <xdr:cNvPr id="112" name="Picture 194">
          <a:extLst>
            <a:ext uri="{FF2B5EF4-FFF2-40B4-BE49-F238E27FC236}">
              <a16:creationId xmlns:a16="http://schemas.microsoft.com/office/drawing/2014/main" id="{F4105E46-8CFC-4311-8232-F86AA8904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286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12700</xdr:colOff>
      <xdr:row>21</xdr:row>
      <xdr:rowOff>12700</xdr:rowOff>
    </xdr:to>
    <xdr:pic>
      <xdr:nvPicPr>
        <xdr:cNvPr id="115" name="Picture 197">
          <a:extLst>
            <a:ext uri="{FF2B5EF4-FFF2-40B4-BE49-F238E27FC236}">
              <a16:creationId xmlns:a16="http://schemas.microsoft.com/office/drawing/2014/main" id="{F71E3764-D0FE-4002-9EB2-59FD14778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810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12700</xdr:colOff>
      <xdr:row>16</xdr:row>
      <xdr:rowOff>0</xdr:rowOff>
    </xdr:to>
    <xdr:pic>
      <xdr:nvPicPr>
        <xdr:cNvPr id="116" name="Picture 198">
          <a:extLst>
            <a:ext uri="{FF2B5EF4-FFF2-40B4-BE49-F238E27FC236}">
              <a16:creationId xmlns:a16="http://schemas.microsoft.com/office/drawing/2014/main" id="{8015390A-18C5-44BA-995C-0FE575C41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667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12700</xdr:colOff>
      <xdr:row>22</xdr:row>
      <xdr:rowOff>12700</xdr:rowOff>
    </xdr:to>
    <xdr:pic>
      <xdr:nvPicPr>
        <xdr:cNvPr id="117" name="Picture 202">
          <a:extLst>
            <a:ext uri="{FF2B5EF4-FFF2-40B4-BE49-F238E27FC236}">
              <a16:creationId xmlns:a16="http://schemas.microsoft.com/office/drawing/2014/main" id="{0076C950-86D9-4A05-8506-9DC02EDDA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000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12700</xdr:colOff>
      <xdr:row>24</xdr:row>
      <xdr:rowOff>12700</xdr:rowOff>
    </xdr:to>
    <xdr:pic>
      <xdr:nvPicPr>
        <xdr:cNvPr id="119" name="Picture 204">
          <a:extLst>
            <a:ext uri="{FF2B5EF4-FFF2-40B4-BE49-F238E27FC236}">
              <a16:creationId xmlns:a16="http://schemas.microsoft.com/office/drawing/2014/main" id="{15D97199-6372-4D24-A939-1E4A47CB9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381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12700</xdr:colOff>
      <xdr:row>25</xdr:row>
      <xdr:rowOff>12700</xdr:rowOff>
    </xdr:to>
    <xdr:pic>
      <xdr:nvPicPr>
        <xdr:cNvPr id="121" name="Picture 206">
          <a:extLst>
            <a:ext uri="{FF2B5EF4-FFF2-40B4-BE49-F238E27FC236}">
              <a16:creationId xmlns:a16="http://schemas.microsoft.com/office/drawing/2014/main" id="{C8110DEF-F70E-4166-8330-FF7300F46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572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12700</xdr:colOff>
      <xdr:row>30</xdr:row>
      <xdr:rowOff>12700</xdr:rowOff>
    </xdr:to>
    <xdr:pic>
      <xdr:nvPicPr>
        <xdr:cNvPr id="127" name="Picture 213">
          <a:extLst>
            <a:ext uri="{FF2B5EF4-FFF2-40B4-BE49-F238E27FC236}">
              <a16:creationId xmlns:a16="http://schemas.microsoft.com/office/drawing/2014/main" id="{F3BAE767-C6A5-4035-8D52-86639E40C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524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12700</xdr:colOff>
      <xdr:row>33</xdr:row>
      <xdr:rowOff>12700</xdr:rowOff>
    </xdr:to>
    <xdr:pic>
      <xdr:nvPicPr>
        <xdr:cNvPr id="131" name="Picture 221">
          <a:extLst>
            <a:ext uri="{FF2B5EF4-FFF2-40B4-BE49-F238E27FC236}">
              <a16:creationId xmlns:a16="http://schemas.microsoft.com/office/drawing/2014/main" id="{D67AC126-1372-4196-AD39-DC8F03930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096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12700</xdr:colOff>
      <xdr:row>13</xdr:row>
      <xdr:rowOff>12700</xdr:rowOff>
    </xdr:to>
    <xdr:pic>
      <xdr:nvPicPr>
        <xdr:cNvPr id="148" name="Picture 188">
          <a:extLst>
            <a:ext uri="{FF2B5EF4-FFF2-40B4-BE49-F238E27FC236}">
              <a16:creationId xmlns:a16="http://schemas.microsoft.com/office/drawing/2014/main" id="{E4F6B21C-CF8B-4D1B-A715-5DB9197FC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286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12700</xdr:colOff>
      <xdr:row>21</xdr:row>
      <xdr:rowOff>12700</xdr:rowOff>
    </xdr:to>
    <xdr:pic>
      <xdr:nvPicPr>
        <xdr:cNvPr id="150" name="Picture 190">
          <a:extLst>
            <a:ext uri="{FF2B5EF4-FFF2-40B4-BE49-F238E27FC236}">
              <a16:creationId xmlns:a16="http://schemas.microsoft.com/office/drawing/2014/main" id="{732D4F84-BCFF-45F4-A516-A880E9B04A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810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12700</xdr:colOff>
      <xdr:row>16</xdr:row>
      <xdr:rowOff>0</xdr:rowOff>
    </xdr:to>
    <xdr:pic>
      <xdr:nvPicPr>
        <xdr:cNvPr id="151" name="Picture 191">
          <a:extLst>
            <a:ext uri="{FF2B5EF4-FFF2-40B4-BE49-F238E27FC236}">
              <a16:creationId xmlns:a16="http://schemas.microsoft.com/office/drawing/2014/main" id="{22391C2A-5084-4CDB-B103-DE69F7BD6C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667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12700</xdr:colOff>
      <xdr:row>22</xdr:row>
      <xdr:rowOff>12700</xdr:rowOff>
    </xdr:to>
    <xdr:pic>
      <xdr:nvPicPr>
        <xdr:cNvPr id="152" name="Picture 196">
          <a:extLst>
            <a:ext uri="{FF2B5EF4-FFF2-40B4-BE49-F238E27FC236}">
              <a16:creationId xmlns:a16="http://schemas.microsoft.com/office/drawing/2014/main" id="{DA2B298C-4F31-4FC9-A0CD-3A3F3947E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000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12700</xdr:colOff>
      <xdr:row>29</xdr:row>
      <xdr:rowOff>12700</xdr:rowOff>
    </xdr:to>
    <xdr:pic>
      <xdr:nvPicPr>
        <xdr:cNvPr id="159" name="Picture 203">
          <a:extLst>
            <a:ext uri="{FF2B5EF4-FFF2-40B4-BE49-F238E27FC236}">
              <a16:creationId xmlns:a16="http://schemas.microsoft.com/office/drawing/2014/main" id="{02DD897D-1687-4B15-B46C-99CAC6024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334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12700</xdr:colOff>
      <xdr:row>30</xdr:row>
      <xdr:rowOff>12700</xdr:rowOff>
    </xdr:to>
    <xdr:pic>
      <xdr:nvPicPr>
        <xdr:cNvPr id="161" name="Picture 205">
          <a:extLst>
            <a:ext uri="{FF2B5EF4-FFF2-40B4-BE49-F238E27FC236}">
              <a16:creationId xmlns:a16="http://schemas.microsoft.com/office/drawing/2014/main" id="{B46A8B68-0623-4BF1-882B-B2760BAD4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524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12700</xdr:colOff>
      <xdr:row>33</xdr:row>
      <xdr:rowOff>12700</xdr:rowOff>
    </xdr:to>
    <xdr:pic>
      <xdr:nvPicPr>
        <xdr:cNvPr id="165" name="Picture 211">
          <a:extLst>
            <a:ext uri="{FF2B5EF4-FFF2-40B4-BE49-F238E27FC236}">
              <a16:creationId xmlns:a16="http://schemas.microsoft.com/office/drawing/2014/main" id="{9168EF68-DFA4-4DEA-A6D2-58492FD3EB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096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12700</xdr:colOff>
      <xdr:row>30</xdr:row>
      <xdr:rowOff>12700</xdr:rowOff>
    </xdr:to>
    <xdr:pic>
      <xdr:nvPicPr>
        <xdr:cNvPr id="168" name="Picture 214">
          <a:extLst>
            <a:ext uri="{FF2B5EF4-FFF2-40B4-BE49-F238E27FC236}">
              <a16:creationId xmlns:a16="http://schemas.microsoft.com/office/drawing/2014/main" id="{A5AD7310-1146-461E-B8DF-0684154E3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3340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12700</xdr:colOff>
      <xdr:row>41</xdr:row>
      <xdr:rowOff>12700</xdr:rowOff>
    </xdr:to>
    <xdr:pic>
      <xdr:nvPicPr>
        <xdr:cNvPr id="177" name="Picture 171">
          <a:extLst>
            <a:ext uri="{FF2B5EF4-FFF2-40B4-BE49-F238E27FC236}">
              <a16:creationId xmlns:a16="http://schemas.microsoft.com/office/drawing/2014/main" id="{0D3F0352-02C1-44EE-860F-B9537B411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620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12700</xdr:colOff>
      <xdr:row>16</xdr:row>
      <xdr:rowOff>0</xdr:rowOff>
    </xdr:to>
    <xdr:pic>
      <xdr:nvPicPr>
        <xdr:cNvPr id="194" name="Picture 193">
          <a:extLst>
            <a:ext uri="{FF2B5EF4-FFF2-40B4-BE49-F238E27FC236}">
              <a16:creationId xmlns:a16="http://schemas.microsoft.com/office/drawing/2014/main" id="{738BE566-B187-48AB-97FF-A3B65AE576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667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12700</xdr:colOff>
      <xdr:row>22</xdr:row>
      <xdr:rowOff>12700</xdr:rowOff>
    </xdr:to>
    <xdr:pic>
      <xdr:nvPicPr>
        <xdr:cNvPr id="195" name="Picture 198">
          <a:extLst>
            <a:ext uri="{FF2B5EF4-FFF2-40B4-BE49-F238E27FC236}">
              <a16:creationId xmlns:a16="http://schemas.microsoft.com/office/drawing/2014/main" id="{D9980A83-827C-41B7-8E3C-626FDE74D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4000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12700</xdr:colOff>
      <xdr:row>30</xdr:row>
      <xdr:rowOff>12700</xdr:rowOff>
    </xdr:to>
    <xdr:pic>
      <xdr:nvPicPr>
        <xdr:cNvPr id="204" name="Picture 207">
          <a:extLst>
            <a:ext uri="{FF2B5EF4-FFF2-40B4-BE49-F238E27FC236}">
              <a16:creationId xmlns:a16="http://schemas.microsoft.com/office/drawing/2014/main" id="{567697D9-EC09-4CB8-B5CF-C488452676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5524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12700</xdr:colOff>
      <xdr:row>41</xdr:row>
      <xdr:rowOff>0</xdr:rowOff>
    </xdr:to>
    <xdr:pic>
      <xdr:nvPicPr>
        <xdr:cNvPr id="221" name="Picture 227">
          <a:extLst>
            <a:ext uri="{FF2B5EF4-FFF2-40B4-BE49-F238E27FC236}">
              <a16:creationId xmlns:a16="http://schemas.microsoft.com/office/drawing/2014/main" id="{77E5B8F7-0AC5-4E76-A3F4-8E6D3265F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7429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est.uic.asso.fr/d_stats/online/synth2000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https://cambiumnetworks.sharepoint.com/Users/mgl010/Documents/-%20Docs/Services/%20Services%20P&amp;L/%20-%202017%20Planning/I:/&#20491;&#21029;&#12499;&#12523;&#35413;&#20385;/&#26087;&#35413;&#20385;&#65404;&#65405;&#65411;&#65425;/0911&#25913;&#33391;&#26087;12&#24180;&#35413;&#20385;&#12471;&#12473;&#12486;&#12512;/H14&#24180;&#24230;/&#35336;&#31639;/user2/&#26087;&#35413;&#20385;&#65404;&#65405;&#65411;&#65425;/0911&#25913;&#33391;&#26087;12&#24180;&#35413;&#20385;&#12471;&#12473;&#12486;&#12512;/My%20Documents/12&#24180;&#25913;&#33391;&#20491;&#21029;&#35413;&#20385;&#12471;&#12473;&#12486;&#12512;/'0422/&#32207;&#21512;&#65288;&#22235;&#26376;&#21313;&#20108;&#26085;&#65289;.xls?274218D3" TargetMode="External"/><Relationship Id="rId1" Type="http://schemas.openxmlformats.org/officeDocument/2006/relationships/externalLinkPath" Target="file:///\\274218D3\&#32207;&#21512;&#65288;&#22235;&#26376;&#21313;&#20108;&#26085;&#6528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a0531f13\SYS1\Documents%20and%20Settings\bjagoe\My%20Documents\Data\First%20Reserve\Tri%20Tool\Tri%20Tool%20Templat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ORPPLAN\1999\99PLAN\JAN7SUM.WK4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Documents%20and%20Settings/crendon.HMV/Local%20Settings/Temporary%20Internet%20Files/OLK3/8599.xls" TargetMode="External"/><Relationship Id="rId1" Type="http://schemas.openxmlformats.org/officeDocument/2006/relationships/externalLinkPath" Target="/Documents%20and%20Settings/crendon.HMV/Local%20Settings/Temporary%20Internet%20Files/OLK3/859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tyofsr50\KPMG\FAS\Users\TS\Non_Management\tshima\43%20Milky%20way\%3f%3f%3f%3f\grumpus\grumpus_1\Grampus%20Templat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Lista%20de%20Precios%20-%20Cto\Internacionales\Cambium%20Networks\Vigente\C&#225;lculo%20LP%20Vta%20Cambium%20Networks%20(Noviembre%2010-2020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nalisis%20Semanal%20Cuadros\Informe%20de%20Inventarios\2019\Octubre\INFORME%20INVENTARIOS%20Octubre%2018-2019%20%20-%20Proyecto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mg_server\c%20drive\aroyc\korea\templates-excel\jinroindustri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Pays"/>
      <sheetName val="Data_CF"/>
      <sheetName val="Pub"/>
      <sheetName val="rapport annuel"/>
      <sheetName val="miles conversions"/>
      <sheetName val="DataGraph"/>
      <sheetName val="Graph vertical"/>
      <sheetName val="Graph  Edition  Sti"/>
      <sheetName val="添付用"/>
      <sheetName val="添付用_所有"/>
      <sheetName val="synth2000"/>
      <sheetName val="List"/>
    </sheetNames>
    <sheetDataSet>
      <sheetData sheetId="0" refreshError="1"/>
      <sheetData sheetId="1" refreshError="1"/>
      <sheetData sheetId="2" refreshError="1">
        <row r="13">
          <cell r="H13" t="str">
            <v>AAE</v>
          </cell>
          <cell r="I13" t="str">
            <v xml:space="preserve">            "   </v>
          </cell>
          <cell r="J13" t="str">
            <v xml:space="preserve">        "   </v>
          </cell>
          <cell r="K13" t="str">
            <v xml:space="preserve">            "   </v>
          </cell>
          <cell r="L13">
            <v>10</v>
          </cell>
        </row>
        <row r="14">
          <cell r="H14" t="str">
            <v>GVG</v>
          </cell>
          <cell r="I14" t="str">
            <v xml:space="preserve">            "   </v>
          </cell>
          <cell r="J14" t="str">
            <v xml:space="preserve">        "   </v>
          </cell>
          <cell r="K14" t="str">
            <v xml:space="preserve">            "   </v>
          </cell>
          <cell r="L14">
            <v>0</v>
          </cell>
        </row>
        <row r="15">
          <cell r="H15" t="str">
            <v>KEG</v>
          </cell>
          <cell r="I15" t="str">
            <v xml:space="preserve">            "   </v>
          </cell>
          <cell r="J15" t="str">
            <v xml:space="preserve">        "   </v>
          </cell>
          <cell r="K15" t="str">
            <v xml:space="preserve">            "   </v>
          </cell>
          <cell r="L15">
            <v>54</v>
          </cell>
        </row>
        <row r="16">
          <cell r="H16" t="str">
            <v>ÖBB</v>
          </cell>
          <cell r="I16">
            <v>83.858999999999995</v>
          </cell>
          <cell r="J16">
            <v>8.2110000000000003</v>
          </cell>
          <cell r="K16">
            <v>97.914356240832831</v>
          </cell>
          <cell r="L16">
            <v>5683</v>
          </cell>
        </row>
        <row r="17">
          <cell r="H17" t="str">
            <v>GKE</v>
          </cell>
          <cell r="I17" t="str">
            <v xml:space="preserve">            "   </v>
          </cell>
          <cell r="J17" t="str">
            <v xml:space="preserve">        "   </v>
          </cell>
          <cell r="K17" t="str">
            <v xml:space="preserve">            "   </v>
          </cell>
          <cell r="L17">
            <v>97.486999999999995</v>
          </cell>
        </row>
        <row r="18">
          <cell r="H18" t="str">
            <v>SNCB/NMBS</v>
          </cell>
          <cell r="I18">
            <v>30.513999999999999</v>
          </cell>
          <cell r="J18">
            <v>10.161</v>
          </cell>
          <cell r="K18">
            <v>332.99469096152586</v>
          </cell>
          <cell r="L18">
            <v>3471</v>
          </cell>
        </row>
        <row r="19">
          <cell r="H19" t="str">
            <v>DSB</v>
          </cell>
          <cell r="I19">
            <v>43.093000000000004</v>
          </cell>
          <cell r="J19">
            <v>5.2930000000000001</v>
          </cell>
          <cell r="K19">
            <v>122.82737335530132</v>
          </cell>
          <cell r="L19">
            <v>0</v>
          </cell>
        </row>
        <row r="20">
          <cell r="H20" t="str">
            <v>BS</v>
          </cell>
          <cell r="I20" t="str">
            <v xml:space="preserve">            "   </v>
          </cell>
          <cell r="J20" t="str">
            <v xml:space="preserve">        "   </v>
          </cell>
          <cell r="K20" t="str">
            <v xml:space="preserve">            "   </v>
          </cell>
          <cell r="L20">
            <v>2047</v>
          </cell>
        </row>
        <row r="21">
          <cell r="H21" t="str">
            <v>RENFE</v>
          </cell>
          <cell r="I21">
            <v>504.78199999999998</v>
          </cell>
          <cell r="J21">
            <v>39.630000000000003</v>
          </cell>
          <cell r="K21">
            <v>78.50913859844448</v>
          </cell>
          <cell r="L21">
            <v>12310</v>
          </cell>
        </row>
        <row r="22">
          <cell r="H22" t="str">
            <v>Euskotren</v>
          </cell>
          <cell r="I22" t="str">
            <v xml:space="preserve">            "   </v>
          </cell>
          <cell r="J22" t="str">
            <v xml:space="preserve">        "   </v>
          </cell>
          <cell r="K22" t="str">
            <v xml:space="preserve">            "   </v>
          </cell>
          <cell r="L22">
            <v>178</v>
          </cell>
        </row>
        <row r="23">
          <cell r="H23" t="str">
            <v>FEVE</v>
          </cell>
          <cell r="I23" t="str">
            <v xml:space="preserve">            "   </v>
          </cell>
          <cell r="J23" t="str">
            <v xml:space="preserve">        "   </v>
          </cell>
          <cell r="K23" t="str">
            <v xml:space="preserve">            "   </v>
          </cell>
          <cell r="L23">
            <v>1194.0999999999999</v>
          </cell>
        </row>
        <row r="24">
          <cell r="H24" t="str">
            <v>FGC</v>
          </cell>
          <cell r="I24" t="str">
            <v xml:space="preserve">            "   </v>
          </cell>
          <cell r="J24" t="str">
            <v xml:space="preserve">        "   </v>
          </cell>
          <cell r="K24" t="str">
            <v xml:space="preserve">            "   </v>
          </cell>
          <cell r="L24">
            <v>184</v>
          </cell>
        </row>
        <row r="25">
          <cell r="H25" t="str">
            <v>VR</v>
          </cell>
          <cell r="I25">
            <v>338.14499999999998</v>
          </cell>
          <cell r="J25">
            <v>5.1760000000000002</v>
          </cell>
          <cell r="K25">
            <v>15.307042836652917</v>
          </cell>
          <cell r="L25">
            <v>0</v>
          </cell>
        </row>
        <row r="26">
          <cell r="H26" t="str">
            <v>RHK</v>
          </cell>
          <cell r="I26" t="str">
            <v xml:space="preserve">            "   </v>
          </cell>
          <cell r="J26" t="str">
            <v xml:space="preserve">        "   </v>
          </cell>
          <cell r="K26" t="str">
            <v xml:space="preserve">            "   </v>
          </cell>
          <cell r="L26">
            <v>5854</v>
          </cell>
        </row>
        <row r="27">
          <cell r="H27" t="str">
            <v>SNCF</v>
          </cell>
          <cell r="I27">
            <v>547.02599999999995</v>
          </cell>
          <cell r="J27">
            <v>59.08</v>
          </cell>
          <cell r="K27">
            <v>108.00217905547451</v>
          </cell>
          <cell r="L27">
            <v>0</v>
          </cell>
        </row>
        <row r="28">
          <cell r="H28" t="str">
            <v>RFF</v>
          </cell>
          <cell r="I28" t="str">
            <v xml:space="preserve">            "   </v>
          </cell>
          <cell r="J28" t="str">
            <v xml:space="preserve">        "   </v>
          </cell>
          <cell r="K28" t="str">
            <v xml:space="preserve">            "   </v>
          </cell>
          <cell r="L28">
            <v>32515</v>
          </cell>
        </row>
        <row r="29">
          <cell r="H29" t="str">
            <v>CH</v>
          </cell>
          <cell r="I29">
            <v>131.95699999999999</v>
          </cell>
          <cell r="J29">
            <v>10.645</v>
          </cell>
          <cell r="K29">
            <v>80.670218328697985</v>
          </cell>
          <cell r="L29">
            <v>2299</v>
          </cell>
        </row>
        <row r="30">
          <cell r="H30" t="str">
            <v>CIE</v>
          </cell>
          <cell r="I30">
            <v>70.283000000000001</v>
          </cell>
          <cell r="J30">
            <v>3.73</v>
          </cell>
          <cell r="K30">
            <v>53.071155186887296</v>
          </cell>
          <cell r="L30">
            <v>1915</v>
          </cell>
        </row>
        <row r="31">
          <cell r="H31" t="str">
            <v>FNME</v>
          </cell>
          <cell r="I31">
            <v>301.22500000000002</v>
          </cell>
          <cell r="J31">
            <v>57.298000000000002</v>
          </cell>
          <cell r="K31">
            <v>190.21661548676238</v>
          </cell>
          <cell r="L31">
            <v>321</v>
          </cell>
        </row>
        <row r="32">
          <cell r="H32" t="str">
            <v>FS SpA</v>
          </cell>
          <cell r="I32" t="str">
            <v xml:space="preserve">            "   </v>
          </cell>
          <cell r="J32" t="str">
            <v xml:space="preserve">        "   </v>
          </cell>
          <cell r="K32" t="str">
            <v xml:space="preserve">            "   </v>
          </cell>
          <cell r="L32">
            <v>16178</v>
          </cell>
        </row>
        <row r="33">
          <cell r="H33" t="str">
            <v>CFL</v>
          </cell>
          <cell r="I33">
            <v>2.5859999999999999</v>
          </cell>
          <cell r="J33">
            <v>0.43099999999999999</v>
          </cell>
          <cell r="K33">
            <v>166.66666666666669</v>
          </cell>
          <cell r="L33">
            <v>274</v>
          </cell>
        </row>
        <row r="34">
          <cell r="H34" t="str">
            <v>NS N.V.</v>
          </cell>
          <cell r="I34">
            <v>41.527999999999999</v>
          </cell>
          <cell r="J34">
            <v>15.786</v>
          </cell>
          <cell r="K34">
            <v>380.12906954344055</v>
          </cell>
          <cell r="L34">
            <v>0</v>
          </cell>
        </row>
        <row r="35">
          <cell r="H35" t="str">
            <v>Railion</v>
          </cell>
          <cell r="I35" t="str">
            <v xml:space="preserve">            "   </v>
          </cell>
          <cell r="J35" t="str">
            <v xml:space="preserve">        "   </v>
          </cell>
          <cell r="K35" t="str">
            <v xml:space="preserve">            "   </v>
          </cell>
          <cell r="L35">
            <v>0</v>
          </cell>
        </row>
        <row r="36">
          <cell r="H36" t="str">
            <v>RIM</v>
          </cell>
          <cell r="I36" t="str">
            <v xml:space="preserve">            "   </v>
          </cell>
          <cell r="J36" t="str">
            <v xml:space="preserve">        "   </v>
          </cell>
          <cell r="K36" t="str">
            <v xml:space="preserve">            "   </v>
          </cell>
          <cell r="L36">
            <v>2802</v>
          </cell>
        </row>
        <row r="37">
          <cell r="H37" t="str">
            <v>CP</v>
          </cell>
          <cell r="I37">
            <v>92.081999999999994</v>
          </cell>
          <cell r="J37">
            <v>9.875</v>
          </cell>
          <cell r="K37">
            <v>107.24137182076845</v>
          </cell>
          <cell r="L37">
            <v>0</v>
          </cell>
        </row>
        <row r="38">
          <cell r="H38" t="str">
            <v>REFER</v>
          </cell>
          <cell r="I38" t="str">
            <v xml:space="preserve">            "   </v>
          </cell>
          <cell r="J38" t="str">
            <v xml:space="preserve">        "   </v>
          </cell>
          <cell r="K38" t="str">
            <v xml:space="preserve">            "   </v>
          </cell>
          <cell r="L38">
            <v>2814</v>
          </cell>
        </row>
        <row r="39">
          <cell r="H39" t="str">
            <v>ATOC</v>
          </cell>
          <cell r="I39">
            <v>244.04599999999999</v>
          </cell>
          <cell r="J39">
            <v>58.83</v>
          </cell>
          <cell r="K39">
            <v>241.0611114298124</v>
          </cell>
          <cell r="L39">
            <v>0</v>
          </cell>
        </row>
        <row r="40">
          <cell r="H40" t="str">
            <v>Total freight operators</v>
          </cell>
          <cell r="I40" t="str">
            <v xml:space="preserve">            "   </v>
          </cell>
          <cell r="J40" t="str">
            <v xml:space="preserve">        "   </v>
          </cell>
          <cell r="K40" t="str">
            <v xml:space="preserve">            "   </v>
          </cell>
          <cell r="L40">
            <v>0</v>
          </cell>
        </row>
        <row r="41">
          <cell r="H41" t="str">
            <v>Eurotunnel</v>
          </cell>
          <cell r="I41" t="str">
            <v xml:space="preserve">            "   </v>
          </cell>
          <cell r="J41" t="str">
            <v xml:space="preserve">        "   </v>
          </cell>
          <cell r="K41" t="str">
            <v xml:space="preserve">            "   </v>
          </cell>
          <cell r="L41">
            <v>58</v>
          </cell>
        </row>
        <row r="42">
          <cell r="H42" t="str">
            <v>NIR</v>
          </cell>
          <cell r="I42" t="str">
            <v xml:space="preserve">            "   </v>
          </cell>
          <cell r="J42" t="str">
            <v xml:space="preserve">        "   </v>
          </cell>
          <cell r="K42" t="str">
            <v xml:space="preserve">            "   </v>
          </cell>
          <cell r="L42">
            <v>357</v>
          </cell>
        </row>
        <row r="43">
          <cell r="H43" t="str">
            <v>Railtrack</v>
          </cell>
          <cell r="I43" t="str">
            <v xml:space="preserve">            "   </v>
          </cell>
          <cell r="J43" t="str">
            <v xml:space="preserve">        "   </v>
          </cell>
          <cell r="K43" t="str">
            <v xml:space="preserve">            "   </v>
          </cell>
          <cell r="L43">
            <v>16652</v>
          </cell>
        </row>
        <row r="44">
          <cell r="G44" t="str">
            <v>2)</v>
          </cell>
          <cell r="H44" t="str">
            <v>SJ</v>
          </cell>
          <cell r="I44">
            <v>449.964</v>
          </cell>
          <cell r="J44">
            <v>8.91</v>
          </cell>
          <cell r="K44">
            <v>19.801584126730138</v>
          </cell>
          <cell r="L44">
            <v>0</v>
          </cell>
        </row>
        <row r="45">
          <cell r="H45" t="str">
            <v>MTAB</v>
          </cell>
          <cell r="I45" t="str">
            <v xml:space="preserve">            "   </v>
          </cell>
          <cell r="J45" t="str">
            <v xml:space="preserve">        "   </v>
          </cell>
          <cell r="K45" t="str">
            <v xml:space="preserve">            "   </v>
          </cell>
          <cell r="L45">
            <v>0</v>
          </cell>
        </row>
        <row r="46">
          <cell r="H46" t="str">
            <v>BV</v>
          </cell>
          <cell r="I46" t="str">
            <v xml:space="preserve">            "   </v>
          </cell>
          <cell r="J46" t="str">
            <v xml:space="preserve">        "   </v>
          </cell>
          <cell r="K46" t="str">
            <v xml:space="preserve">            "   </v>
          </cell>
          <cell r="L46">
            <v>9946</v>
          </cell>
        </row>
        <row r="47">
          <cell r="H47" t="str">
            <v>BK</v>
          </cell>
          <cell r="I47" t="str">
            <v xml:space="preserve">            "   </v>
          </cell>
          <cell r="J47" t="str">
            <v xml:space="preserve">        "   </v>
          </cell>
          <cell r="K47" t="str">
            <v xml:space="preserve">            "   </v>
          </cell>
          <cell r="L47">
            <v>0</v>
          </cell>
        </row>
        <row r="48">
          <cell r="I48">
            <v>3238.0489999999986</v>
          </cell>
          <cell r="J48">
            <v>375.27600000000001</v>
          </cell>
          <cell r="K48">
            <v>115.89571374614781</v>
          </cell>
          <cell r="L48">
            <v>153801.587</v>
          </cell>
        </row>
        <row r="49">
          <cell r="H49" t="str">
            <v>NSB BA</v>
          </cell>
          <cell r="I49">
            <v>386.95800000000003</v>
          </cell>
          <cell r="J49">
            <v>4.4649999999999999</v>
          </cell>
          <cell r="K49">
            <v>11.538719964440585</v>
          </cell>
          <cell r="L49">
            <v>0</v>
          </cell>
        </row>
        <row r="50">
          <cell r="H50" t="str">
            <v>MTAS</v>
          </cell>
          <cell r="I50" t="str">
            <v xml:space="preserve">            "   </v>
          </cell>
          <cell r="J50" t="str">
            <v xml:space="preserve">        "   </v>
          </cell>
          <cell r="K50" t="str">
            <v xml:space="preserve">            "   </v>
          </cell>
          <cell r="L50">
            <v>0</v>
          </cell>
        </row>
        <row r="51">
          <cell r="H51" t="str">
            <v>JBV</v>
          </cell>
          <cell r="I51" t="str">
            <v xml:space="preserve">            "   </v>
          </cell>
          <cell r="J51" t="str">
            <v xml:space="preserve">        "   </v>
          </cell>
          <cell r="K51" t="str">
            <v xml:space="preserve">            "   </v>
          </cell>
          <cell r="L51">
            <v>4179</v>
          </cell>
        </row>
        <row r="52">
          <cell r="H52" t="str">
            <v>BLS</v>
          </cell>
          <cell r="I52">
            <v>41.283999999999999</v>
          </cell>
          <cell r="J52">
            <v>7.3860000000000001</v>
          </cell>
          <cell r="K52">
            <v>178.90708264703034</v>
          </cell>
          <cell r="L52">
            <v>241</v>
          </cell>
        </row>
        <row r="53">
          <cell r="H53" t="str">
            <v>CFF/SBB/FFS</v>
          </cell>
          <cell r="I53" t="str">
            <v xml:space="preserve">            "   </v>
          </cell>
          <cell r="J53" t="str">
            <v xml:space="preserve">        "   </v>
          </cell>
          <cell r="K53" t="str">
            <v xml:space="preserve">            "   </v>
          </cell>
          <cell r="L53">
            <v>2902</v>
          </cell>
        </row>
        <row r="54">
          <cell r="I54">
            <v>3666.2909999999988</v>
          </cell>
          <cell r="J54">
            <v>387.12700000000001</v>
          </cell>
          <cell r="K54">
            <v>105.59090917769488</v>
          </cell>
          <cell r="L54">
            <v>161123.587</v>
          </cell>
        </row>
        <row r="55">
          <cell r="H55" t="str">
            <v>HSh</v>
          </cell>
          <cell r="I55">
            <v>28.748000000000001</v>
          </cell>
          <cell r="J55">
            <v>3.113</v>
          </cell>
          <cell r="K55">
            <v>108.28579379435091</v>
          </cell>
          <cell r="L55">
            <v>440</v>
          </cell>
        </row>
        <row r="56">
          <cell r="H56" t="str">
            <v>ZBH</v>
          </cell>
          <cell r="I56">
            <v>51.128999999999998</v>
          </cell>
          <cell r="J56">
            <v>3.972</v>
          </cell>
          <cell r="K56">
            <v>77.685853429560524</v>
          </cell>
          <cell r="L56">
            <v>608.495</v>
          </cell>
        </row>
        <row r="57">
          <cell r="H57" t="str">
            <v>ZRS</v>
          </cell>
          <cell r="I57" t="str">
            <v xml:space="preserve">            "   </v>
          </cell>
          <cell r="J57" t="str">
            <v xml:space="preserve">        "   </v>
          </cell>
          <cell r="K57" t="str">
            <v xml:space="preserve">            "   </v>
          </cell>
          <cell r="L57">
            <v>424</v>
          </cell>
        </row>
        <row r="58">
          <cell r="H58" t="str">
            <v>BDZ</v>
          </cell>
          <cell r="I58">
            <v>110.91200000000001</v>
          </cell>
          <cell r="J58">
            <v>8.2249999999999996</v>
          </cell>
          <cell r="K58">
            <v>74.157890940565494</v>
          </cell>
          <cell r="L58">
            <v>4320</v>
          </cell>
        </row>
        <row r="59">
          <cell r="H59" t="str">
            <v>HZ</v>
          </cell>
          <cell r="I59">
            <v>56.537999999999997</v>
          </cell>
          <cell r="J59">
            <v>4.4729999999999999</v>
          </cell>
          <cell r="K59">
            <v>79.114931550461634</v>
          </cell>
          <cell r="L59">
            <v>2726.8</v>
          </cell>
        </row>
        <row r="60">
          <cell r="H60" t="str">
            <v>GYSEV/RÖEE</v>
          </cell>
          <cell r="I60">
            <v>93.03</v>
          </cell>
          <cell r="J60">
            <v>10.036</v>
          </cell>
          <cell r="K60">
            <v>107.87917875953993</v>
          </cell>
          <cell r="L60">
            <v>220</v>
          </cell>
        </row>
        <row r="61">
          <cell r="H61" t="str">
            <v>MÁV Rt.</v>
          </cell>
          <cell r="I61" t="str">
            <v xml:space="preserve">            "   </v>
          </cell>
          <cell r="J61" t="str">
            <v xml:space="preserve">        "   </v>
          </cell>
          <cell r="K61" t="str">
            <v xml:space="preserve">            "   </v>
          </cell>
          <cell r="L61">
            <v>7784</v>
          </cell>
        </row>
        <row r="62">
          <cell r="H62" t="str">
            <v>CFARYM</v>
          </cell>
          <cell r="I62">
            <v>25.713000000000001</v>
          </cell>
          <cell r="J62">
            <v>2.024</v>
          </cell>
          <cell r="K62">
            <v>78.715046863454276</v>
          </cell>
          <cell r="L62">
            <v>699</v>
          </cell>
        </row>
        <row r="63">
          <cell r="H63" t="str">
            <v>PKP</v>
          </cell>
          <cell r="I63">
            <v>312.685</v>
          </cell>
          <cell r="J63">
            <v>38.765000000000001</v>
          </cell>
          <cell r="K63">
            <v>123.97460703263668</v>
          </cell>
          <cell r="L63">
            <v>22560</v>
          </cell>
        </row>
        <row r="64">
          <cell r="H64" t="str">
            <v>CFR</v>
          </cell>
          <cell r="I64">
            <v>238.39099999999999</v>
          </cell>
          <cell r="J64">
            <v>22.327000000000002</v>
          </cell>
          <cell r="K64">
            <v>93.657059201060449</v>
          </cell>
          <cell r="L64">
            <v>11364</v>
          </cell>
        </row>
        <row r="65">
          <cell r="H65" t="str">
            <v>ZSR</v>
          </cell>
          <cell r="I65">
            <v>49</v>
          </cell>
          <cell r="J65">
            <v>5.3869999999999996</v>
          </cell>
          <cell r="K65">
            <v>109.93877551020408</v>
          </cell>
          <cell r="L65">
            <v>3662</v>
          </cell>
        </row>
        <row r="66">
          <cell r="H66" t="str">
            <v>SZ</v>
          </cell>
          <cell r="I66">
            <v>20.256</v>
          </cell>
          <cell r="J66">
            <v>1.986</v>
          </cell>
          <cell r="K66">
            <v>98.045023696682463</v>
          </cell>
          <cell r="L66">
            <v>1201.5</v>
          </cell>
        </row>
        <row r="67">
          <cell r="H67" t="str">
            <v>CD</v>
          </cell>
          <cell r="I67">
            <v>78.864000000000004</v>
          </cell>
          <cell r="J67">
            <v>10.244</v>
          </cell>
          <cell r="K67">
            <v>129.89450192736862</v>
          </cell>
          <cell r="L67">
            <v>9365</v>
          </cell>
        </row>
        <row r="68">
          <cell r="H68" t="str">
            <v>JZ</v>
          </cell>
          <cell r="I68">
            <v>102.173</v>
          </cell>
          <cell r="J68">
            <v>10.64</v>
          </cell>
          <cell r="K68">
            <v>104.13710079962416</v>
          </cell>
          <cell r="L68">
            <v>4057.7</v>
          </cell>
        </row>
        <row r="69">
          <cell r="I69">
            <v>1167.4389999999999</v>
          </cell>
          <cell r="J69">
            <v>121.19200000000001</v>
          </cell>
          <cell r="K69">
            <v>103.81013483359732</v>
          </cell>
          <cell r="L69">
            <v>69432.494999999995</v>
          </cell>
        </row>
        <row r="71">
          <cell r="H71" t="str">
            <v>BC</v>
          </cell>
          <cell r="I71">
            <v>207.6</v>
          </cell>
          <cell r="J71">
            <v>10.236000000000001</v>
          </cell>
          <cell r="K71">
            <v>49.306358381502896</v>
          </cell>
          <cell r="L71">
            <v>5512</v>
          </cell>
        </row>
        <row r="72">
          <cell r="H72" t="str">
            <v>EVR</v>
          </cell>
          <cell r="I72">
            <v>45.225999999999999</v>
          </cell>
          <cell r="J72">
            <v>1.3959999999999999</v>
          </cell>
          <cell r="K72">
            <v>30.867200283023038</v>
          </cell>
          <cell r="L72">
            <v>968</v>
          </cell>
        </row>
        <row r="73">
          <cell r="H73" t="str">
            <v>LDZ</v>
          </cell>
          <cell r="I73">
            <v>64.616</v>
          </cell>
          <cell r="J73">
            <v>2.3570000000000002</v>
          </cell>
          <cell r="K73">
            <v>36.477033552061407</v>
          </cell>
          <cell r="L73">
            <v>2331</v>
          </cell>
        </row>
        <row r="74">
          <cell r="H74" t="str">
            <v>LG</v>
          </cell>
          <cell r="I74">
            <v>65.3</v>
          </cell>
          <cell r="J74">
            <v>3.67</v>
          </cell>
          <cell r="K74">
            <v>56.202143950995413</v>
          </cell>
          <cell r="L74">
            <v>1905</v>
          </cell>
        </row>
        <row r="75">
          <cell r="H75" t="str">
            <v>CFM (E)</v>
          </cell>
          <cell r="I75">
            <v>33.76</v>
          </cell>
          <cell r="J75">
            <v>4.38</v>
          </cell>
          <cell r="K75">
            <v>129.739336492891</v>
          </cell>
          <cell r="L75">
            <v>1139</v>
          </cell>
        </row>
        <row r="76">
          <cell r="H76" t="str">
            <v>RZD</v>
          </cell>
          <cell r="I76">
            <v>17075.400000000001</v>
          </cell>
          <cell r="J76">
            <v>146.934</v>
          </cell>
          <cell r="K76">
            <v>8.6050107171720711</v>
          </cell>
          <cell r="L76">
            <v>86075</v>
          </cell>
        </row>
        <row r="77">
          <cell r="H77" t="str">
            <v>UZ</v>
          </cell>
          <cell r="I77">
            <v>603.70000000000005</v>
          </cell>
          <cell r="J77">
            <v>50.456000000000003</v>
          </cell>
          <cell r="K77">
            <v>83.577936060957427</v>
          </cell>
          <cell r="L77">
            <v>22302</v>
          </cell>
        </row>
        <row r="78">
          <cell r="I78">
            <v>18095.602000000003</v>
          </cell>
          <cell r="J78">
            <v>219.42899999999997</v>
          </cell>
          <cell r="K78">
            <v>12.126095611519304</v>
          </cell>
          <cell r="L78">
            <v>120232</v>
          </cell>
        </row>
        <row r="79">
          <cell r="H79" t="str">
            <v>TCDD</v>
          </cell>
          <cell r="I79">
            <v>779.452</v>
          </cell>
          <cell r="J79">
            <v>66.590999999999994</v>
          </cell>
          <cell r="K79">
            <v>85.433099151711716</v>
          </cell>
          <cell r="L79">
            <v>8671</v>
          </cell>
        </row>
        <row r="80">
          <cell r="I80">
            <v>23708.784000000003</v>
          </cell>
          <cell r="J80">
            <v>794.33900000000006</v>
          </cell>
          <cell r="K80">
            <v>33.503995818596181</v>
          </cell>
          <cell r="L80">
            <v>359459.08199999999</v>
          </cell>
        </row>
        <row r="81">
          <cell r="I81" t="str">
            <v>Tausend</v>
          </cell>
          <cell r="J81" t="str">
            <v>Millionen</v>
          </cell>
          <cell r="K81" t="str">
            <v>Einwohner</v>
          </cell>
          <cell r="L81" t="str">
            <v>in Kilometer</v>
          </cell>
        </row>
        <row r="82">
          <cell r="I82" t="str">
            <v>km²</v>
          </cell>
          <cell r="K82" t="str">
            <v>/km²</v>
          </cell>
          <cell r="L82" t="str">
            <v>Gesamt-</v>
          </cell>
        </row>
        <row r="83">
          <cell r="I83" t="str">
            <v>Fläche des</v>
          </cell>
          <cell r="J83" t="str">
            <v>Bevölke-</v>
          </cell>
          <cell r="K83" t="str">
            <v>Bevölke-</v>
          </cell>
          <cell r="L83" t="str">
            <v>summe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計算過程シート"/>
      <sheetName val="メイン"/>
      <sheetName val="BS"/>
      <sheetName val="土地賃貸借契約の概要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lines"/>
      <sheetName val="To do"/>
      <sheetName val="Issues"/>
      <sheetName val="Requests"/>
      <sheetName val="Questions2"/>
      <sheetName val="Questions1"/>
      <sheetName val="Non op ex"/>
      <sheetName val="Summary IS"/>
      <sheetName val="A"/>
      <sheetName val="Historical IS"/>
      <sheetName val="Hist sales GM"/>
      <sheetName val="EBITDA"/>
      <sheetName val="R&amp;D Rpt"/>
      <sheetName val="R&amp;D"/>
      <sheetName val="Selling Rpt"/>
      <sheetName val="Selling"/>
      <sheetName val="G&amp;A rpt"/>
      <sheetName val="G&amp;A"/>
      <sheetName val="Hdct"/>
      <sheetName val="Other op ex"/>
      <sheetName val="Notes"/>
      <sheetName val="Sheet1"/>
      <sheetName val="DSO"/>
      <sheetName val="NWC graph"/>
      <sheetName val="Income Statement"/>
      <sheetName val="Controls"/>
      <sheetName val="D&amp;A"/>
      <sheetName val="graphs"/>
      <sheetName val="PIA Identifiers"/>
      <sheetName val="Fund Managers"/>
      <sheetName val="Long-Term Care Comps"/>
      <sheetName val="Football"/>
      <sheetName val="LBO Valuation Analysis"/>
      <sheetName val="Sheet1 (2)"/>
      <sheetName val="Sheet3"/>
      <sheetName val="Buy"/>
      <sheetName val="Summary"/>
      <sheetName val="Spin 1"/>
      <sheetName val="Sec Equity"/>
      <sheetName val="GRAPH &amp; SOURCE DATA"/>
      <sheetName val="Projections"/>
      <sheetName val="LBO Assumptions"/>
      <sheetName val="Sale"/>
      <sheetName val="Split"/>
      <sheetName val="TargetDCF"/>
      <sheetName val="Contents"/>
      <sheetName val="model"/>
      <sheetName val="Over"/>
      <sheetName val="P&amp;L"/>
      <sheetName val="Shipping"/>
      <sheetName val="NWCG"/>
      <sheetName val="Valuation Characteristics"/>
      <sheetName val="2010 Liquidity"/>
      <sheetName val="Sheet2"/>
      <sheetName val="Tri Tool Template"/>
      <sheetName val="Input"/>
      <sheetName val="Herramientas para análisis-VBA"/>
      <sheetName val="Valuation Comments"/>
      <sheetName val="Exemption Codes"/>
      <sheetName val="Income Codes"/>
      <sheetName val="Recipient and WHA Status Codes"/>
      <sheetName val="Other drop down options"/>
      <sheetName val="Pivot Unbilled Rev"/>
      <sheetName val="Variance Details"/>
      <sheetName val="Invoices thru Sep"/>
      <sheetName val="Invoices through October"/>
      <sheetName val="103.02 H2O Unbilled Rev GL Dtl"/>
      <sheetName val="Cynthia Rev Sch_Oct as of 11-30"/>
      <sheetName val="Pivot Unbilled PTEs"/>
      <sheetName val="103.03 H2O Unbilled PTEs GL Dtl"/>
      <sheetName val="lookups"/>
      <sheetName val="Ranpak"/>
      <sheetName val="To_do"/>
      <sheetName val="Non_op_ex"/>
      <sheetName val="Summary_IS"/>
      <sheetName val="Historical_IS"/>
      <sheetName val="Hist_sales_GM"/>
      <sheetName val="R&amp;D_Rpt"/>
      <sheetName val="Selling_Rpt"/>
      <sheetName val="G&amp;A_rpt"/>
      <sheetName val="Other_op_ex"/>
      <sheetName val="NWC_grap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dec3 sum"/>
      <sheetName val="asp"/>
      <sheetName val="sap"/>
      <sheetName val="assumptions"/>
      <sheetName val="F"/>
      <sheetName val="cost bonus"/>
      <sheetName val="cost bonus2"/>
      <sheetName val="bod opex"/>
      <sheetName val="chrono"/>
      <sheetName val="revenue"/>
      <sheetName val="units"/>
      <sheetName val="highlights"/>
      <sheetName val="engineering"/>
      <sheetName val="cost file"/>
      <sheetName val="sga"/>
      <sheetName val="sga2"/>
      <sheetName val="Historical IS"/>
      <sheetName val="添付用"/>
      <sheetName val="添付用_所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0">
          <cell r="P10">
            <v>91.7</v>
          </cell>
          <cell r="Q10">
            <v>109.1</v>
          </cell>
          <cell r="R10">
            <v>120.8</v>
          </cell>
        </row>
        <row r="45">
          <cell r="P45">
            <v>148.1</v>
          </cell>
          <cell r="Q45">
            <v>177</v>
          </cell>
          <cell r="R45">
            <v>217.70000000000002</v>
          </cell>
        </row>
        <row r="46">
          <cell r="P46">
            <v>152.30000000000001</v>
          </cell>
          <cell r="Q46">
            <v>188.4</v>
          </cell>
          <cell r="R46">
            <v>213.9</v>
          </cell>
        </row>
        <row r="77">
          <cell r="P77">
            <v>371.2</v>
          </cell>
          <cell r="Q77">
            <v>432</v>
          </cell>
          <cell r="R77">
            <v>468.30000000000007</v>
          </cell>
        </row>
        <row r="78">
          <cell r="P78">
            <v>0</v>
          </cell>
          <cell r="Q78">
            <v>0</v>
          </cell>
          <cell r="R78">
            <v>97.9</v>
          </cell>
        </row>
        <row r="81">
          <cell r="P81" t="str">
            <v xml:space="preserve">1996 </v>
          </cell>
          <cell r="Q81" t="str">
            <v xml:space="preserve">1997 </v>
          </cell>
          <cell r="R81" t="str">
            <v xml:space="preserve">1998 </v>
          </cell>
        </row>
        <row r="82">
          <cell r="P82">
            <v>267.2</v>
          </cell>
          <cell r="Q82">
            <v>326</v>
          </cell>
          <cell r="R82">
            <v>368.1</v>
          </cell>
        </row>
      </sheetData>
      <sheetData sheetId="11" refreshError="1"/>
      <sheetData sheetId="12" refreshError="1"/>
      <sheetData sheetId="13" refreshError="1">
        <row r="7">
          <cell r="P7">
            <v>14.247999999999999</v>
          </cell>
          <cell r="Q7">
            <v>15.250999999999999</v>
          </cell>
          <cell r="R7">
            <v>15.183999999999999</v>
          </cell>
          <cell r="S7">
            <v>14.958</v>
          </cell>
          <cell r="T7">
            <v>26.911000000000001</v>
          </cell>
        </row>
        <row r="16">
          <cell r="P16">
            <v>4.2850000000000001</v>
          </cell>
          <cell r="Q16">
            <v>5.1609999999999996</v>
          </cell>
          <cell r="R16">
            <v>3.298</v>
          </cell>
          <cell r="S16">
            <v>1.7840000000000007</v>
          </cell>
          <cell r="T16">
            <v>10.664000000000001</v>
          </cell>
        </row>
        <row r="42">
          <cell r="Q42">
            <v>14.349999999999998</v>
          </cell>
          <cell r="R42">
            <v>16.510999999999999</v>
          </cell>
          <cell r="S42">
            <v>21.537000000000003</v>
          </cell>
          <cell r="U42">
            <v>17.942999999999998</v>
          </cell>
          <cell r="V42">
            <v>20.970999999999997</v>
          </cell>
          <cell r="W42">
            <v>26.556000000000004</v>
          </cell>
        </row>
        <row r="46">
          <cell r="Q46">
            <v>4.51</v>
          </cell>
          <cell r="R46">
            <v>10.840999999999999</v>
          </cell>
          <cell r="S46">
            <v>14.196999999999999</v>
          </cell>
          <cell r="U46">
            <v>2.0550000000000002</v>
          </cell>
          <cell r="V46">
            <v>2.6640000000000001</v>
          </cell>
          <cell r="W46">
            <v>1.796</v>
          </cell>
        </row>
        <row r="48">
          <cell r="Q48" t="str">
            <v xml:space="preserve">1996 </v>
          </cell>
          <cell r="R48" t="str">
            <v xml:space="preserve">1997 </v>
          </cell>
          <cell r="S48" t="str">
            <v xml:space="preserve">1998 </v>
          </cell>
        </row>
        <row r="49">
          <cell r="Q49">
            <v>2.2290000000000001</v>
          </cell>
          <cell r="R49">
            <v>1</v>
          </cell>
          <cell r="S49">
            <v>1.8</v>
          </cell>
        </row>
        <row r="50">
          <cell r="Q50">
            <v>0</v>
          </cell>
          <cell r="R50">
            <v>0</v>
          </cell>
          <cell r="S50">
            <v>0</v>
          </cell>
        </row>
      </sheetData>
      <sheetData sheetId="14" refreshError="1"/>
      <sheetData sheetId="15" refreshError="1">
        <row r="7">
          <cell r="P7">
            <v>149.6</v>
          </cell>
          <cell r="Q7">
            <v>165.2</v>
          </cell>
          <cell r="R7">
            <v>192</v>
          </cell>
        </row>
        <row r="9">
          <cell r="P9" t="str">
            <v xml:space="preserve">1996 </v>
          </cell>
          <cell r="Q9" t="str">
            <v xml:space="preserve">1997 </v>
          </cell>
          <cell r="R9" t="str">
            <v xml:space="preserve">1998 </v>
          </cell>
        </row>
        <row r="10">
          <cell r="P10">
            <v>22.780569514237854</v>
          </cell>
          <cell r="Q10">
            <v>21.338155515370701</v>
          </cell>
          <cell r="R10">
            <v>20.210695447398745</v>
          </cell>
        </row>
        <row r="11">
          <cell r="P11">
            <v>22.780569514237854</v>
          </cell>
          <cell r="Q11">
            <v>21.338155515370701</v>
          </cell>
          <cell r="R11">
            <v>19.7207855179179</v>
          </cell>
        </row>
        <row r="12">
          <cell r="P12">
            <v>22.780569514237854</v>
          </cell>
          <cell r="Q12">
            <v>21.338155515370701</v>
          </cell>
          <cell r="R12">
            <v>21.925515939079265</v>
          </cell>
        </row>
      </sheetData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esentacion"/>
      <sheetName val="Ejecutivo"/>
      <sheetName val="Resumen_Real"/>
      <sheetName val="TablasDinamicas"/>
      <sheetName val="HorasDetalladas"/>
      <sheetName val="46W9"/>
      <sheetName val="46W9_Hoja1"/>
      <sheetName val="46W9_Cuadro de costos"/>
      <sheetName val="46W9_Bases"/>
      <sheetName val="46W9_ASPECTOS ELECTRICOS"/>
      <sheetName val="46W9_OBRAS CIVILES"/>
      <sheetName val="46W9_Costo directos"/>
      <sheetName val="46W9_Resumen Costos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総括"/>
      <sheetName val="重要総括事項"/>
      <sheetName val="実態分析"/>
      <sheetName val="関係会社投融資評価"/>
      <sheetName val="BS・PL・CF"/>
      <sheetName val="10年"/>
      <sheetName val="デュポン"/>
      <sheetName val="部門別"/>
      <sheetName val="円"/>
      <sheetName val="棒"/>
      <sheetName val="バブル"/>
      <sheetName val="損益"/>
      <sheetName val="人員推移"/>
      <sheetName val="運転資金"/>
      <sheetName val="余剰資産"/>
      <sheetName val="売上債権"/>
      <sheetName val="売上債権 (2)"/>
      <sheetName val="売上債権 (3)"/>
      <sheetName val="貸倒実績"/>
      <sheetName val="棚卸資産"/>
      <sheetName val="棚卸資産 (2)"/>
      <sheetName val="その他流動資産"/>
      <sheetName val="有形・無形固定資産"/>
      <sheetName val="有形・無形固定資産 (減価償却費)"/>
      <sheetName val="有形・無形固定資産 (償却率)"/>
      <sheetName val="有形・無形固定資産 (設備投資)"/>
      <sheetName val="リース債務"/>
      <sheetName val="投資有価証券・貸付金"/>
      <sheetName val="その他投資等"/>
      <sheetName val="仕入債務"/>
      <sheetName val="仕入債務 (2)"/>
      <sheetName val="社債・借入金・現金預金"/>
      <sheetName val="借入金返済スケジュール"/>
      <sheetName val="その他負債"/>
      <sheetName val="退職給付引当金"/>
      <sheetName val="退職給付引当金 (3)"/>
      <sheetName val="資本の部"/>
      <sheetName val="売上高(得意先別）"/>
      <sheetName val="売上高(部門別)"/>
      <sheetName val="売上原価"/>
      <sheetName val="販管費 (本社その他)"/>
      <sheetName val="販管費"/>
      <sheetName val="物流費"/>
      <sheetName val="販売費"/>
      <sheetName val="人件費"/>
      <sheetName val="管理費"/>
      <sheetName val="営業外損益"/>
      <sheetName val="特別損益"/>
      <sheetName val="税金関係"/>
      <sheetName val="税効果"/>
      <sheetName val="不使用（担保提供資産）"/>
      <sheetName val="税金関係 (2)"/>
      <sheetName val="保証債務 "/>
      <sheetName val="関係会社取引"/>
      <sheetName val="03bs"/>
      <sheetName val="02bs"/>
      <sheetName val="01bs"/>
      <sheetName val="03pl"/>
      <sheetName val="02pl"/>
      <sheetName val="01pl"/>
      <sheetName val="Compdata"/>
      <sheetName val="Billto"/>
      <sheetName val="Com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P VTA LAIRD"/>
      <sheetName val="LP VTA CAMBIUM"/>
      <sheetName val="Cálculo LPVta Laird"/>
      <sheetName val="Cálculo LPVta Cambium"/>
      <sheetName val="STOCK"/>
      <sheetName val="EPMP "/>
      <sheetName val="CnPilot"/>
      <sheetName val="CORE"/>
    </sheetNames>
    <sheetDataSet>
      <sheetData sheetId="0"/>
      <sheetData sheetId="1"/>
      <sheetData sheetId="2"/>
      <sheetData sheetId="3">
        <row r="4">
          <cell r="AA4">
            <v>0.2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ck Total Proyectos"/>
      <sheetName val="AXIS Octubre 21-19"/>
      <sheetName val="KANTECH Octubre 21-19"/>
      <sheetName val="FURUKAWA Octubre 21-19"/>
      <sheetName val="TRENDnet Octubre 21-19"/>
      <sheetName val="Bod (01-06-Sat) Proyectos"/>
      <sheetName val="Outlet Proyectos"/>
      <sheetName val="Bazar Proyectos"/>
      <sheetName val="Resumen_In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66">
          <cell r="I66">
            <v>3630216739.0694995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Borrower&amp;Loan Basics"/>
      <sheetName val="Credit Review&amp;Bus Desc"/>
      <sheetName val="Repayment Terms"/>
      <sheetName val="BS &amp; Cap"/>
      <sheetName val="Financials"/>
      <sheetName val="JIN Fin"/>
      <sheetName val="bus-valuation"/>
      <sheetName val="JIN B-S &amp; Cap"/>
      <sheetName val="JIN- Valuation"/>
      <sheetName val="Valuation"/>
      <sheetName val="JIN- PX"/>
      <sheetName val="Comps"/>
      <sheetName val="JIN Sales"/>
      <sheetName val="DEBTS"/>
      <sheetName val="Assets"/>
      <sheetName val="JIN Affilates"/>
      <sheetName val="#REF"/>
      <sheetName val="jinroindustries"/>
      <sheetName val="Keibai"/>
      <sheetName val="計算過程シート"/>
      <sheetName val="部門別(売上-EBITDA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F66077-617D-46F2-9F28-D4860DFBE835}" name="Tabla121" displayName="Tabla121" ref="A1:K43" totalsRowShown="0" headerRowDxfId="16" dataDxfId="14" headerRowBorderDxfId="15" tableBorderDxfId="13" totalsRowBorderDxfId="12" headerRowCellStyle="Normal 2">
  <autoFilter ref="A1:K43" xr:uid="{00000000-0009-0000-0100-000001000000}"/>
  <sortState xmlns:xlrd2="http://schemas.microsoft.com/office/spreadsheetml/2017/richdata2" ref="A2:K43">
    <sortCondition sortBy="fontColor" ref="A1:A43" dxfId="11"/>
  </sortState>
  <tableColumns count="11">
    <tableColumn id="3" xr3:uid="{F6D17DC5-D65B-4AC9-B009-E5F05B2CFA1E}" name="REFERENCIA" dataDxfId="10"/>
    <tableColumn id="4" xr3:uid="{354D812D-DE07-4FD9-9A77-B2CA9BAEA572}" name="DESCRIPCIÓN" dataDxfId="9"/>
    <tableColumn id="2" xr3:uid="{93E201B2-C0E2-47DF-A037-FA15C639D453}" name="PRECIO INSTALLER (CON IVA)" dataDxfId="8" dataCellStyle="Moneda">
      <calculatedColumnFormula>+Tabla121[[#This Row],[COSTO + IVA]]/Tabla121[[#This Row],[Columna5]]</calculatedColumnFormula>
    </tableColumn>
    <tableColumn id="11" xr3:uid="{285A633E-19B3-49B6-A486-C4FCA94E3759}" name="PRECIO TIENDA (CON IVA)" dataDxfId="7" dataCellStyle="Moneda">
      <calculatedColumnFormula>+Tabla121[[#This Row],[PRECIO INSTALLER (CON IVA)]]-Tabla121[[#This Row],[Columna43]]</calculatedColumnFormula>
    </tableColumn>
    <tableColumn id="12" xr3:uid="{3800F7D5-86CE-4607-BC6E-D371FAFE255A}" name="PRECIO CLIENTE FINAL (CON IVA)" dataDxfId="6" dataCellStyle="Moneda">
      <calculatedColumnFormula>+Tabla121[[#This Row],[PRECIO INSTALLER (CON IVA)]]/0.7</calculatedColumnFormula>
    </tableColumn>
    <tableColumn id="10" xr3:uid="{4C93C5B7-B308-4315-91A2-AAC5C06E1574}" name="Columna43" dataDxfId="5" dataCellStyle="Moneda">
      <calculatedColumnFormula>+Tabla121[[#This Row],[PRECIO INSTALLER (CON IVA)]]*5%</calculatedColumnFormula>
    </tableColumn>
    <tableColumn id="5" xr3:uid="{F4163E9B-2EE0-4DFC-9F8E-75D176412F7F}" name="Columna5" dataDxfId="4"/>
    <tableColumn id="6" xr3:uid="{70F24805-DEA4-4534-B2B1-B321DFE2A456}" name="COSTO + IVA" dataDxfId="3" dataCellStyle="Moneda">
      <calculatedColumnFormula>Tabla121[[#This Row],[COSTO]]*1.19</calculatedColumnFormula>
    </tableColumn>
    <tableColumn id="7" xr3:uid="{8622E5E1-4122-440C-873A-634859196B3E}" name="Columna7" dataDxfId="2"/>
    <tableColumn id="8" xr3:uid="{69F0B5FA-5119-42BD-903F-D281E1127D63}" name="Columna8" dataDxfId="1"/>
    <tableColumn id="9" xr3:uid="{C8F3B128-0348-4826-953B-68DF1A3C292C}" name="COSTO" dataDxfId="0" dataCellStyle="Moneda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9F34D-0D7F-4330-A6CA-D6BA42958189}">
  <sheetPr>
    <pageSetUpPr fitToPage="1"/>
  </sheetPr>
  <dimension ref="A1:K43"/>
  <sheetViews>
    <sheetView tabSelected="1" zoomScaleNormal="100" workbookViewId="0">
      <pane ySplit="1" topLeftCell="A2" activePane="bottomLeft" state="frozen"/>
      <selection activeCell="B1" sqref="B1"/>
      <selection pane="bottomLeft" activeCell="C2" sqref="C2"/>
    </sheetView>
  </sheetViews>
  <sheetFormatPr baseColWidth="10" defaultRowHeight="12.75" x14ac:dyDescent="0.2"/>
  <cols>
    <col min="1" max="1" width="20.85546875" style="7" bestFit="1" customWidth="1"/>
    <col min="2" max="2" width="33.28515625" style="6" customWidth="1"/>
    <col min="3" max="5" width="22.5703125" style="5" customWidth="1"/>
    <col min="6" max="6" width="22.5703125" style="4" customWidth="1"/>
    <col min="7" max="7" width="6.42578125" style="3" customWidth="1"/>
    <col min="8" max="8" width="14.7109375" style="2" customWidth="1"/>
    <col min="9" max="9" width="2.7109375" style="3" customWidth="1"/>
    <col min="10" max="10" width="2.5703125" style="3" customWidth="1"/>
    <col min="11" max="11" width="14.42578125" style="2" customWidth="1"/>
    <col min="12" max="249" width="9.140625" style="1" customWidth="1"/>
    <col min="250" max="16384" width="11.42578125" style="1"/>
  </cols>
  <sheetData>
    <row r="1" spans="1:11" ht="57" customHeight="1" x14ac:dyDescent="0.2">
      <c r="A1" s="39" t="s">
        <v>91</v>
      </c>
      <c r="B1" s="38" t="s">
        <v>90</v>
      </c>
      <c r="C1" s="37" t="s">
        <v>89</v>
      </c>
      <c r="D1" s="37" t="s">
        <v>88</v>
      </c>
      <c r="E1" s="37" t="s">
        <v>87</v>
      </c>
      <c r="F1" s="36" t="s">
        <v>86</v>
      </c>
      <c r="G1" s="34" t="s">
        <v>85</v>
      </c>
      <c r="H1" s="35" t="s">
        <v>84</v>
      </c>
      <c r="I1" s="34" t="s">
        <v>83</v>
      </c>
      <c r="J1" s="34" t="s">
        <v>82</v>
      </c>
      <c r="K1" s="33" t="s">
        <v>81</v>
      </c>
    </row>
    <row r="2" spans="1:11" ht="57" customHeight="1" x14ac:dyDescent="0.2">
      <c r="A2" s="15" t="s">
        <v>92</v>
      </c>
      <c r="B2" s="27" t="s">
        <v>93</v>
      </c>
      <c r="C2" s="26">
        <f>+Tabla121[[#This Row],[COSTO + IVA]]/Tabla121[[#This Row],[Columna5]]</f>
        <v>100254.52499999999</v>
      </c>
      <c r="D2" s="26">
        <f>+Tabla121[[#This Row],[PRECIO INSTALLER (CON IVA)]]-Tabla121[[#This Row],[Columna43]]</f>
        <v>95241.798749999987</v>
      </c>
      <c r="E2" s="26">
        <f>+Tabla121[[#This Row],[PRECIO INSTALLER (CON IVA)]]/0.7</f>
        <v>143220.75</v>
      </c>
      <c r="F2" s="36">
        <f>+Tabla121[[#This Row],[PRECIO INSTALLER (CON IVA)]]*5%</f>
        <v>5012.7262499999997</v>
      </c>
      <c r="G2" s="11">
        <v>0.8</v>
      </c>
      <c r="H2" s="24">
        <f>Tabla121[[#This Row],[COSTO]]*1.19</f>
        <v>80203.62</v>
      </c>
      <c r="I2" s="34"/>
      <c r="J2" s="34"/>
      <c r="K2" s="33">
        <v>67398</v>
      </c>
    </row>
    <row r="3" spans="1:11" ht="30" x14ac:dyDescent="0.2">
      <c r="A3" s="15" t="s">
        <v>80</v>
      </c>
      <c r="B3" s="27" t="s">
        <v>79</v>
      </c>
      <c r="C3" s="26">
        <f>+Tabla121[[#This Row],[COSTO + IVA]]/Tabla121[[#This Row],[Columna5]]</f>
        <v>4261.011363636364</v>
      </c>
      <c r="D3" s="26">
        <f>+Tabla121[[#This Row],[PRECIO INSTALLER (CON IVA)]]-Tabla121[[#This Row],[Columna43]]</f>
        <v>4047.9607954545459</v>
      </c>
      <c r="E3" s="26">
        <f>+Tabla121[[#This Row],[PRECIO INSTALLER (CON IVA)]]/0.7</f>
        <v>6087.1590909090919</v>
      </c>
      <c r="F3" s="25">
        <f>+Tabla121[[#This Row],[PRECIO INSTALLER (CON IVA)]]*5%</f>
        <v>213.05056818181822</v>
      </c>
      <c r="G3" s="11">
        <v>0.88</v>
      </c>
      <c r="H3" s="24">
        <f>Tabla121[[#This Row],[COSTO]]*1.19</f>
        <v>3749.69</v>
      </c>
      <c r="I3" s="11"/>
      <c r="J3" s="11"/>
      <c r="K3" s="23">
        <v>3151</v>
      </c>
    </row>
    <row r="4" spans="1:11" ht="30" x14ac:dyDescent="0.2">
      <c r="A4" s="15" t="s">
        <v>78</v>
      </c>
      <c r="B4" s="27" t="s">
        <v>77</v>
      </c>
      <c r="C4" s="26">
        <f>+Tabla121[[#This Row],[COSTO + IVA]]/Tabla121[[#This Row],[Columna5]]</f>
        <v>29209.090909090908</v>
      </c>
      <c r="D4" s="26">
        <f>+Tabla121[[#This Row],[PRECIO INSTALLER (CON IVA)]]-Tabla121[[#This Row],[Columna43]]</f>
        <v>27748.636363636364</v>
      </c>
      <c r="E4" s="26">
        <f>+Tabla121[[#This Row],[PRECIO INSTALLER (CON IVA)]]/0.7</f>
        <v>41727.272727272728</v>
      </c>
      <c r="F4" s="25">
        <f>+Tabla121[[#This Row],[PRECIO INSTALLER (CON IVA)]]*5%</f>
        <v>1460.4545454545455</v>
      </c>
      <c r="G4" s="11">
        <v>0.88</v>
      </c>
      <c r="H4" s="24">
        <f>Tabla121[[#This Row],[COSTO]]*1.19</f>
        <v>25704</v>
      </c>
      <c r="I4" s="11"/>
      <c r="J4" s="11"/>
      <c r="K4" s="23">
        <v>21600</v>
      </c>
    </row>
    <row r="5" spans="1:11" ht="30" x14ac:dyDescent="0.2">
      <c r="A5" s="15" t="s">
        <v>76</v>
      </c>
      <c r="B5" s="27" t="s">
        <v>75</v>
      </c>
      <c r="C5" s="26">
        <f>+Tabla121[[#This Row],[COSTO + IVA]]/Tabla121[[#This Row],[Columna5]]</f>
        <v>41785.227272727272</v>
      </c>
      <c r="D5" s="26">
        <f>+Tabla121[[#This Row],[PRECIO INSTALLER (CON IVA)]]-Tabla121[[#This Row],[Columna43]]</f>
        <v>39695.965909090912</v>
      </c>
      <c r="E5" s="26">
        <f>+Tabla121[[#This Row],[PRECIO INSTALLER (CON IVA)]]/0.7</f>
        <v>59693.181818181823</v>
      </c>
      <c r="F5" s="25">
        <f>+Tabla121[[#This Row],[PRECIO INSTALLER (CON IVA)]]*5%</f>
        <v>2089.2613636363635</v>
      </c>
      <c r="G5" s="11">
        <v>0.88</v>
      </c>
      <c r="H5" s="24">
        <f>Tabla121[[#This Row],[COSTO]]*1.19</f>
        <v>36771</v>
      </c>
      <c r="I5" s="11"/>
      <c r="J5" s="11"/>
      <c r="K5" s="23">
        <v>30900</v>
      </c>
    </row>
    <row r="6" spans="1:11" ht="45" x14ac:dyDescent="0.2">
      <c r="A6" s="15" t="s">
        <v>74</v>
      </c>
      <c r="B6" s="27" t="s">
        <v>73</v>
      </c>
      <c r="C6" s="26">
        <f>+Tabla121[[#This Row],[COSTO + IVA]]/Tabla121[[#This Row],[Columna5]]</f>
        <v>3979.738636363636</v>
      </c>
      <c r="D6" s="26">
        <f>+Tabla121[[#This Row],[PRECIO INSTALLER (CON IVA)]]-Tabla121[[#This Row],[Columna43]]</f>
        <v>3780.7517045454542</v>
      </c>
      <c r="E6" s="26">
        <f>+Tabla121[[#This Row],[PRECIO INSTALLER (CON IVA)]]/0.7</f>
        <v>5685.340909090909</v>
      </c>
      <c r="F6" s="25">
        <f>+Tabla121[[#This Row],[PRECIO INSTALLER (CON IVA)]]*5%</f>
        <v>198.9869318181818</v>
      </c>
      <c r="G6" s="11">
        <v>0.88</v>
      </c>
      <c r="H6" s="24">
        <f>Tabla121[[#This Row],[COSTO]]*1.19</f>
        <v>3502.1699999999996</v>
      </c>
      <c r="I6" s="11"/>
      <c r="J6" s="11"/>
      <c r="K6" s="23">
        <v>2943</v>
      </c>
    </row>
    <row r="7" spans="1:11" ht="30" x14ac:dyDescent="0.2">
      <c r="A7" s="15" t="s">
        <v>72</v>
      </c>
      <c r="B7" s="27" t="s">
        <v>71</v>
      </c>
      <c r="C7" s="26">
        <f>+Tabla121[[#This Row],[COSTO + IVA]]/Tabla121[[#This Row],[Columna5]]</f>
        <v>26255.463414634149</v>
      </c>
      <c r="D7" s="26">
        <f>+Tabla121[[#This Row],[PRECIO INSTALLER (CON IVA)]]-Tabla121[[#This Row],[Columna43]]</f>
        <v>24942.690243902442</v>
      </c>
      <c r="E7" s="26">
        <f>+Tabla121[[#This Row],[PRECIO INSTALLER (CON IVA)]]/0.7</f>
        <v>37507.804878048788</v>
      </c>
      <c r="F7" s="25">
        <f>+Tabla121[[#This Row],[PRECIO INSTALLER (CON IVA)]]*5%</f>
        <v>1312.7731707317075</v>
      </c>
      <c r="G7" s="11">
        <v>0.82</v>
      </c>
      <c r="H7" s="24">
        <f>Tabla121[[#This Row],[COSTO]]*1.19</f>
        <v>21529.48</v>
      </c>
      <c r="I7" s="11"/>
      <c r="J7" s="11"/>
      <c r="K7" s="23">
        <v>18092</v>
      </c>
    </row>
    <row r="8" spans="1:11" ht="60" x14ac:dyDescent="0.2">
      <c r="A8" s="15" t="s">
        <v>70</v>
      </c>
      <c r="B8" s="27" t="s">
        <v>69</v>
      </c>
      <c r="C8" s="26">
        <f>+Tabla121[[#This Row],[COSTO + IVA]]/Tabla121[[#This Row],[Columna5]]</f>
        <v>3921.590909090909</v>
      </c>
      <c r="D8" s="26">
        <f>+Tabla121[[#This Row],[PRECIO INSTALLER (CON IVA)]]-Tabla121[[#This Row],[Columna43]]</f>
        <v>3725.5113636363635</v>
      </c>
      <c r="E8" s="26">
        <f>+Tabla121[[#This Row],[PRECIO INSTALLER (CON IVA)]]/0.7</f>
        <v>5602.2727272727279</v>
      </c>
      <c r="F8" s="25">
        <f>+Tabla121[[#This Row],[PRECIO INSTALLER (CON IVA)]]*5%</f>
        <v>196.07954545454547</v>
      </c>
      <c r="G8" s="11">
        <v>0.88</v>
      </c>
      <c r="H8" s="24">
        <f>Tabla121[[#This Row],[COSTO]]*1.19</f>
        <v>3451</v>
      </c>
      <c r="I8" s="11"/>
      <c r="J8" s="11"/>
      <c r="K8" s="23">
        <v>2900</v>
      </c>
    </row>
    <row r="9" spans="1:11" ht="30" x14ac:dyDescent="0.2">
      <c r="A9" s="15" t="s">
        <v>68</v>
      </c>
      <c r="B9" s="27" t="s">
        <v>67</v>
      </c>
      <c r="C9" s="26">
        <f>+Tabla121[[#This Row],[COSTO + IVA]]/Tabla121[[#This Row],[Columna5]]</f>
        <v>20284.090909090908</v>
      </c>
      <c r="D9" s="26">
        <f>+Tabla121[[#This Row],[PRECIO INSTALLER (CON IVA)]]-Tabla121[[#This Row],[Columna43]]</f>
        <v>19269.886363636364</v>
      </c>
      <c r="E9" s="26">
        <f>+Tabla121[[#This Row],[PRECIO INSTALLER (CON IVA)]]/0.7</f>
        <v>28977.272727272728</v>
      </c>
      <c r="F9" s="25">
        <f>+Tabla121[[#This Row],[PRECIO INSTALLER (CON IVA)]]*5%</f>
        <v>1014.2045454545455</v>
      </c>
      <c r="G9" s="11">
        <v>0.88</v>
      </c>
      <c r="H9" s="24">
        <f>Tabla121[[#This Row],[COSTO]]*1.19</f>
        <v>17850</v>
      </c>
      <c r="I9" s="11"/>
      <c r="J9" s="11"/>
      <c r="K9" s="23">
        <v>15000</v>
      </c>
    </row>
    <row r="10" spans="1:11" ht="30" x14ac:dyDescent="0.2">
      <c r="A10" s="15" t="s">
        <v>66</v>
      </c>
      <c r="B10" s="27" t="s">
        <v>65</v>
      </c>
      <c r="C10" s="26">
        <f>+Tabla121[[#This Row],[COSTO + IVA]]/Tabla121[[#This Row],[Columna5]]</f>
        <v>47329.545454545456</v>
      </c>
      <c r="D10" s="26">
        <f>+Tabla121[[#This Row],[PRECIO INSTALLER (CON IVA)]]-Tabla121[[#This Row],[Columna43]]</f>
        <v>44963.068181818184</v>
      </c>
      <c r="E10" s="26">
        <f>+Tabla121[[#This Row],[PRECIO INSTALLER (CON IVA)]]/0.7</f>
        <v>67613.636363636368</v>
      </c>
      <c r="F10" s="25">
        <f>+Tabla121[[#This Row],[PRECIO INSTALLER (CON IVA)]]*5%</f>
        <v>2366.477272727273</v>
      </c>
      <c r="G10" s="11">
        <v>0.88</v>
      </c>
      <c r="H10" s="24">
        <f>Tabla121[[#This Row],[COSTO]]*1.19</f>
        <v>41650</v>
      </c>
      <c r="I10" s="11"/>
      <c r="J10" s="11"/>
      <c r="K10" s="23">
        <v>35000</v>
      </c>
    </row>
    <row r="11" spans="1:11" ht="45" x14ac:dyDescent="0.2">
      <c r="A11" s="15" t="s">
        <v>64</v>
      </c>
      <c r="B11" s="27" t="s">
        <v>63</v>
      </c>
      <c r="C11" s="26">
        <f>+Tabla121[[#This Row],[COSTO + IVA]]/Tabla121[[#This Row],[Columna5]]</f>
        <v>194974.73863636362</v>
      </c>
      <c r="D11" s="26">
        <f>+Tabla121[[#This Row],[PRECIO INSTALLER (CON IVA)]]-Tabla121[[#This Row],[Columna43]]</f>
        <v>185226.00170454543</v>
      </c>
      <c r="E11" s="26">
        <f>+Tabla121[[#This Row],[PRECIO INSTALLER (CON IVA)]]/0.7</f>
        <v>278535.34090909088</v>
      </c>
      <c r="F11" s="25">
        <f>+Tabla121[[#This Row],[PRECIO INSTALLER (CON IVA)]]*5%</f>
        <v>9748.7369318181809</v>
      </c>
      <c r="G11" s="11">
        <v>0.88</v>
      </c>
      <c r="H11" s="24">
        <f>Tabla121[[#This Row],[COSTO]]*1.19</f>
        <v>171577.77</v>
      </c>
      <c r="I11" s="11"/>
      <c r="J11" s="11"/>
      <c r="K11" s="23">
        <v>144183</v>
      </c>
    </row>
    <row r="12" spans="1:11" ht="15" x14ac:dyDescent="0.2">
      <c r="A12" s="15" t="s">
        <v>62</v>
      </c>
      <c r="B12" s="32" t="s">
        <v>61</v>
      </c>
      <c r="C12" s="31">
        <f>+Tabla121[[#This Row],[COSTO + IVA]]/Tabla121[[#This Row],[Columna5]]</f>
        <v>18327.054772727271</v>
      </c>
      <c r="D12" s="31">
        <f>+Tabla121[[#This Row],[PRECIO INSTALLER (CON IVA)]]-Tabla121[[#This Row],[Columna43]]</f>
        <v>17410.702034090908</v>
      </c>
      <c r="E12" s="31">
        <f>+Tabla121[[#This Row],[PRECIO INSTALLER (CON IVA)]]/0.7</f>
        <v>26181.506818181817</v>
      </c>
      <c r="F12" s="30">
        <f>+Tabla121[[#This Row],[PRECIO INSTALLER (CON IVA)]]*5%</f>
        <v>916.3527386363636</v>
      </c>
      <c r="G12" s="11">
        <v>0.88</v>
      </c>
      <c r="H12" s="24">
        <f>Tabla121[[#This Row],[COSTO]]*1.19</f>
        <v>16127.808199999999</v>
      </c>
      <c r="I12" s="15"/>
      <c r="J12" s="15"/>
      <c r="K12" s="29">
        <v>13552.78</v>
      </c>
    </row>
    <row r="13" spans="1:11" ht="30" x14ac:dyDescent="0.2">
      <c r="A13" s="15" t="s">
        <v>60</v>
      </c>
      <c r="B13" s="27" t="s">
        <v>59</v>
      </c>
      <c r="C13" s="26">
        <f>+Tabla121[[#This Row],[COSTO + IVA]]/Tabla121[[#This Row],[Columna5]]</f>
        <v>28397.727272727272</v>
      </c>
      <c r="D13" s="26">
        <f>+Tabla121[[#This Row],[PRECIO INSTALLER (CON IVA)]]-Tabla121[[#This Row],[Columna43]]</f>
        <v>26977.840909090908</v>
      </c>
      <c r="E13" s="26">
        <f>+Tabla121[[#This Row],[PRECIO INSTALLER (CON IVA)]]/0.7</f>
        <v>40568.181818181816</v>
      </c>
      <c r="F13" s="25">
        <f>+Tabla121[[#This Row],[PRECIO INSTALLER (CON IVA)]]*5%</f>
        <v>1419.8863636363637</v>
      </c>
      <c r="G13" s="11">
        <v>0.88</v>
      </c>
      <c r="H13" s="24">
        <f>Tabla121[[#This Row],[COSTO]]*1.19</f>
        <v>24990</v>
      </c>
      <c r="I13" s="15"/>
      <c r="J13" s="15"/>
      <c r="K13" s="28">
        <v>21000</v>
      </c>
    </row>
    <row r="14" spans="1:11" ht="15" x14ac:dyDescent="0.2">
      <c r="A14" s="15" t="s">
        <v>58</v>
      </c>
      <c r="B14" s="27" t="s">
        <v>57</v>
      </c>
      <c r="C14" s="26">
        <f>+Tabla121[[#This Row],[COSTO + IVA]]/Tabla121[[#This Row],[Columna5]]</f>
        <v>2569.318181818182</v>
      </c>
      <c r="D14" s="26">
        <f>+Tabla121[[#This Row],[PRECIO INSTALLER (CON IVA)]]-Tabla121[[#This Row],[Columna43]]</f>
        <v>2440.852272727273</v>
      </c>
      <c r="E14" s="26">
        <f>+Tabla121[[#This Row],[PRECIO INSTALLER (CON IVA)]]/0.7</f>
        <v>3670.454545454546</v>
      </c>
      <c r="F14" s="25">
        <f>+Tabla121[[#This Row],[PRECIO INSTALLER (CON IVA)]]*5%</f>
        <v>128.46590909090909</v>
      </c>
      <c r="G14" s="11">
        <v>0.88</v>
      </c>
      <c r="H14" s="24">
        <f>Tabla121[[#This Row],[COSTO]]*1.19</f>
        <v>2261</v>
      </c>
      <c r="I14" s="11"/>
      <c r="J14" s="11"/>
      <c r="K14" s="23">
        <v>1900</v>
      </c>
    </row>
    <row r="15" spans="1:11" ht="60" x14ac:dyDescent="0.2">
      <c r="A15" s="15" t="s">
        <v>56</v>
      </c>
      <c r="B15" s="27" t="s">
        <v>55</v>
      </c>
      <c r="C15" s="26">
        <f>+Tabla121[[#This Row],[COSTO + IVA]]/Tabla121[[#This Row],[Columna5]]</f>
        <v>4988.534090909091</v>
      </c>
      <c r="D15" s="26">
        <f>+Tabla121[[#This Row],[PRECIO INSTALLER (CON IVA)]]-Tabla121[[#This Row],[Columna43]]</f>
        <v>4739.1073863636366</v>
      </c>
      <c r="E15" s="26">
        <f>+Tabla121[[#This Row],[PRECIO INSTALLER (CON IVA)]]/0.7</f>
        <v>7126.477272727273</v>
      </c>
      <c r="F15" s="25">
        <f>+Tabla121[[#This Row],[PRECIO INSTALLER (CON IVA)]]*5%</f>
        <v>249.42670454545456</v>
      </c>
      <c r="G15" s="11">
        <v>0.88</v>
      </c>
      <c r="H15" s="24">
        <f>Tabla121[[#This Row],[COSTO]]*1.19</f>
        <v>4389.91</v>
      </c>
      <c r="I15" s="11"/>
      <c r="J15" s="11"/>
      <c r="K15" s="23">
        <v>3689</v>
      </c>
    </row>
    <row r="16" spans="1:11" ht="30" x14ac:dyDescent="0.2">
      <c r="A16" s="15" t="s">
        <v>54</v>
      </c>
      <c r="B16" s="27" t="s">
        <v>53</v>
      </c>
      <c r="C16" s="26">
        <f>+Tabla121[[#This Row],[COSTO + IVA]]/Tabla121[[#This Row],[Columna5]]</f>
        <v>6677.5227272727261</v>
      </c>
      <c r="D16" s="26">
        <f>+Tabla121[[#This Row],[PRECIO INSTALLER (CON IVA)]]-Tabla121[[#This Row],[Columna43]]</f>
        <v>6343.6465909090894</v>
      </c>
      <c r="E16" s="26">
        <f>+Tabla121[[#This Row],[PRECIO INSTALLER (CON IVA)]]/0.7</f>
        <v>9539.3181818181802</v>
      </c>
      <c r="F16" s="25">
        <f>+Tabla121[[#This Row],[PRECIO INSTALLER (CON IVA)]]*5%</f>
        <v>333.87613636363631</v>
      </c>
      <c r="G16" s="11">
        <v>0.88</v>
      </c>
      <c r="H16" s="24">
        <f>Tabla121[[#This Row],[COSTO]]*1.19</f>
        <v>5876.2199999999993</v>
      </c>
      <c r="I16" s="11"/>
      <c r="J16" s="11"/>
      <c r="K16" s="23">
        <v>4938</v>
      </c>
    </row>
    <row r="17" spans="1:11" ht="30" x14ac:dyDescent="0.2">
      <c r="A17" s="15" t="s">
        <v>52</v>
      </c>
      <c r="B17" s="27" t="s">
        <v>51</v>
      </c>
      <c r="C17" s="26">
        <f>+Tabla121[[#This Row],[COSTO + IVA]]/Tabla121[[#This Row],[Columna5]]</f>
        <v>10766.795454545454</v>
      </c>
      <c r="D17" s="26">
        <f>+Tabla121[[#This Row],[PRECIO INSTALLER (CON IVA)]]-Tabla121[[#This Row],[Columna43]]</f>
        <v>10228.455681818181</v>
      </c>
      <c r="E17" s="26">
        <f>+Tabla121[[#This Row],[PRECIO INSTALLER (CON IVA)]]/0.7</f>
        <v>15381.136363636364</v>
      </c>
      <c r="F17" s="25">
        <f>+Tabla121[[#This Row],[PRECIO INSTALLER (CON IVA)]]*5%</f>
        <v>538.3397727272727</v>
      </c>
      <c r="G17" s="11">
        <v>0.88</v>
      </c>
      <c r="H17" s="24">
        <f>Tabla121[[#This Row],[COSTO]]*1.19</f>
        <v>9474.7799999999988</v>
      </c>
      <c r="I17" s="11"/>
      <c r="J17" s="11"/>
      <c r="K17" s="23">
        <v>7962</v>
      </c>
    </row>
    <row r="18" spans="1:11" ht="60" x14ac:dyDescent="0.2">
      <c r="A18" s="15" t="s">
        <v>50</v>
      </c>
      <c r="B18" s="27" t="s">
        <v>49</v>
      </c>
      <c r="C18" s="26">
        <f>+Tabla121[[#This Row],[COSTO + IVA]]/Tabla121[[#This Row],[Columna5]]</f>
        <v>10638.329545454544</v>
      </c>
      <c r="D18" s="26">
        <f>+Tabla121[[#This Row],[PRECIO INSTALLER (CON IVA)]]-Tabla121[[#This Row],[Columna43]]</f>
        <v>10106.413068181817</v>
      </c>
      <c r="E18" s="26">
        <f>+Tabla121[[#This Row],[PRECIO INSTALLER (CON IVA)]]/0.7</f>
        <v>15197.613636363636</v>
      </c>
      <c r="F18" s="25">
        <f>+Tabla121[[#This Row],[PRECIO INSTALLER (CON IVA)]]*5%</f>
        <v>531.91647727272721</v>
      </c>
      <c r="G18" s="11">
        <v>0.88</v>
      </c>
      <c r="H18" s="24">
        <f>Tabla121[[#This Row],[COSTO]]*1.19</f>
        <v>9361.73</v>
      </c>
      <c r="I18" s="11"/>
      <c r="J18" s="11"/>
      <c r="K18" s="23">
        <v>7867</v>
      </c>
    </row>
    <row r="19" spans="1:11" ht="15" x14ac:dyDescent="0.2">
      <c r="A19" s="15" t="s">
        <v>48</v>
      </c>
      <c r="B19" s="27" t="s">
        <v>47</v>
      </c>
      <c r="C19" s="26">
        <f>+Tabla121[[#This Row],[COSTO + IVA]]/Tabla121[[#This Row],[Columna5]]</f>
        <v>49164.579545454537</v>
      </c>
      <c r="D19" s="26">
        <f>+Tabla121[[#This Row],[PRECIO INSTALLER (CON IVA)]]-Tabla121[[#This Row],[Columna43]]</f>
        <v>46706.350568181806</v>
      </c>
      <c r="E19" s="26">
        <f>+Tabla121[[#This Row],[PRECIO INSTALLER (CON IVA)]]/0.7</f>
        <v>70235.113636363632</v>
      </c>
      <c r="F19" s="25">
        <f>+Tabla121[[#This Row],[PRECIO INSTALLER (CON IVA)]]*5%</f>
        <v>2458.2289772727272</v>
      </c>
      <c r="G19" s="11">
        <v>0.88</v>
      </c>
      <c r="H19" s="24">
        <f>Tabla121[[#This Row],[COSTO]]*1.19</f>
        <v>43264.829999999994</v>
      </c>
      <c r="I19" s="11"/>
      <c r="J19" s="11"/>
      <c r="K19" s="23">
        <v>36357</v>
      </c>
    </row>
    <row r="20" spans="1:11" ht="15" x14ac:dyDescent="0.2">
      <c r="A20" s="15">
        <v>2780000030</v>
      </c>
      <c r="B20" s="27" t="s">
        <v>46</v>
      </c>
      <c r="C20" s="26">
        <f>+Tabla121[[#This Row],[COSTO + IVA]]/Tabla121[[#This Row],[Columna5]]</f>
        <v>70840.159090909088</v>
      </c>
      <c r="D20" s="26">
        <f>+Tabla121[[#This Row],[PRECIO INSTALLER (CON IVA)]]-Tabla121[[#This Row],[Columna43]]</f>
        <v>67298.151136363638</v>
      </c>
      <c r="E20" s="26">
        <f>+Tabla121[[#This Row],[PRECIO INSTALLER (CON IVA)]]/0.7</f>
        <v>101200.22727272728</v>
      </c>
      <c r="F20" s="25">
        <f>+Tabla121[[#This Row],[PRECIO INSTALLER (CON IVA)]]*5%</f>
        <v>3542.0079545454546</v>
      </c>
      <c r="G20" s="11">
        <v>0.88</v>
      </c>
      <c r="H20" s="24">
        <f>Tabla121[[#This Row],[COSTO]]*1.19</f>
        <v>62339.34</v>
      </c>
      <c r="I20" s="11"/>
      <c r="J20" s="11"/>
      <c r="K20" s="23">
        <v>52386</v>
      </c>
    </row>
    <row r="21" spans="1:11" ht="30" x14ac:dyDescent="0.2">
      <c r="A21" s="15" t="s">
        <v>45</v>
      </c>
      <c r="B21" s="27" t="s">
        <v>44</v>
      </c>
      <c r="C21" s="26">
        <f>+Tabla121[[#This Row],[COSTO + IVA]]/Tabla121[[#This Row],[Columna5]]</f>
        <v>32207.079545454544</v>
      </c>
      <c r="D21" s="26">
        <f>+Tabla121[[#This Row],[PRECIO INSTALLER (CON IVA)]]-Tabla121[[#This Row],[Columna43]]</f>
        <v>30596.725568181817</v>
      </c>
      <c r="E21" s="26">
        <f>+Tabla121[[#This Row],[PRECIO INSTALLER (CON IVA)]]/0.7</f>
        <v>46010.11363636364</v>
      </c>
      <c r="F21" s="25">
        <f>+Tabla121[[#This Row],[PRECIO INSTALLER (CON IVA)]]*5%</f>
        <v>1610.3539772727272</v>
      </c>
      <c r="G21" s="11">
        <v>0.88</v>
      </c>
      <c r="H21" s="24">
        <f>Tabla121[[#This Row],[COSTO]]*1.19</f>
        <v>28342.23</v>
      </c>
      <c r="I21" s="11"/>
      <c r="J21" s="11"/>
      <c r="K21" s="23">
        <v>23817</v>
      </c>
    </row>
    <row r="22" spans="1:11" ht="60" x14ac:dyDescent="0.2">
      <c r="A22" s="15" t="s">
        <v>43</v>
      </c>
      <c r="B22" s="27" t="s">
        <v>42</v>
      </c>
      <c r="C22" s="26">
        <f>+Tabla121[[#This Row],[COSTO + IVA]]/Tabla121[[#This Row],[Columna5]]</f>
        <v>7307.6818181818171</v>
      </c>
      <c r="D22" s="26">
        <f>+Tabla121[[#This Row],[PRECIO INSTALLER (CON IVA)]]-Tabla121[[#This Row],[Columna43]]</f>
        <v>6942.2977272727258</v>
      </c>
      <c r="E22" s="26">
        <f>+Tabla121[[#This Row],[PRECIO INSTALLER (CON IVA)]]/0.7</f>
        <v>10439.545454545454</v>
      </c>
      <c r="F22" s="25">
        <f>+Tabla121[[#This Row],[PRECIO INSTALLER (CON IVA)]]*5%</f>
        <v>365.3840909090909</v>
      </c>
      <c r="G22" s="11">
        <v>0.88</v>
      </c>
      <c r="H22" s="24">
        <f>Tabla121[[#This Row],[COSTO]]*1.19</f>
        <v>6430.7599999999993</v>
      </c>
      <c r="I22" s="11"/>
      <c r="J22" s="11"/>
      <c r="K22" s="23">
        <v>5404</v>
      </c>
    </row>
    <row r="23" spans="1:11" ht="45" x14ac:dyDescent="0.2">
      <c r="A23" s="15" t="s">
        <v>41</v>
      </c>
      <c r="B23" s="27" t="s">
        <v>40</v>
      </c>
      <c r="C23" s="26">
        <f>+Tabla121[[#This Row],[COSTO + IVA]]/Tabla121[[#This Row],[Columna5]]</f>
        <v>145873.71590909091</v>
      </c>
      <c r="D23" s="26">
        <f>+Tabla121[[#This Row],[PRECIO INSTALLER (CON IVA)]]-Tabla121[[#This Row],[Columna43]]</f>
        <v>138580.03011363637</v>
      </c>
      <c r="E23" s="26">
        <f>+Tabla121[[#This Row],[PRECIO INSTALLER (CON IVA)]]/0.7</f>
        <v>208391.02272727274</v>
      </c>
      <c r="F23" s="25">
        <f>+Tabla121[[#This Row],[PRECIO INSTALLER (CON IVA)]]*5%</f>
        <v>7293.6857954545458</v>
      </c>
      <c r="G23" s="11">
        <v>0.88</v>
      </c>
      <c r="H23" s="24">
        <f>Tabla121[[#This Row],[COSTO]]*1.19</f>
        <v>128368.87</v>
      </c>
      <c r="I23" s="11"/>
      <c r="J23" s="11"/>
      <c r="K23" s="23">
        <v>107873</v>
      </c>
    </row>
    <row r="24" spans="1:11" ht="60" x14ac:dyDescent="0.2">
      <c r="A24" s="15" t="s">
        <v>39</v>
      </c>
      <c r="B24" s="27" t="s">
        <v>38</v>
      </c>
      <c r="C24" s="26">
        <f>+Tabla121[[#This Row],[COSTO + IVA]]/Tabla121[[#This Row],[Columna5]]</f>
        <v>235283.28409090906</v>
      </c>
      <c r="D24" s="26">
        <f>+Tabla121[[#This Row],[PRECIO INSTALLER (CON IVA)]]-Tabla121[[#This Row],[Columna43]]</f>
        <v>223519.11988636359</v>
      </c>
      <c r="E24" s="26">
        <f>+Tabla121[[#This Row],[PRECIO INSTALLER (CON IVA)]]/0.7</f>
        <v>336118.97727272724</v>
      </c>
      <c r="F24" s="25">
        <f>+Tabla121[[#This Row],[PRECIO INSTALLER (CON IVA)]]*5%</f>
        <v>11764.164204545454</v>
      </c>
      <c r="G24" s="11">
        <v>0.88</v>
      </c>
      <c r="H24" s="24">
        <f>Tabla121[[#This Row],[COSTO]]*1.19</f>
        <v>207049.28999999998</v>
      </c>
      <c r="I24" s="11"/>
      <c r="J24" s="11"/>
      <c r="K24" s="23">
        <v>173991</v>
      </c>
    </row>
    <row r="25" spans="1:11" ht="30" x14ac:dyDescent="0.2">
      <c r="A25" s="15" t="s">
        <v>37</v>
      </c>
      <c r="B25" s="27" t="s">
        <v>36</v>
      </c>
      <c r="C25" s="26">
        <f>+Tabla121[[#This Row],[COSTO + IVA]]/Tabla121[[#This Row],[Columna5]]</f>
        <v>100609.09090909091</v>
      </c>
      <c r="D25" s="26">
        <f>+Tabla121[[#This Row],[PRECIO INSTALLER (CON IVA)]]-Tabla121[[#This Row],[Columna43]]</f>
        <v>95578.636363636368</v>
      </c>
      <c r="E25" s="26">
        <f>+Tabla121[[#This Row],[PRECIO INSTALLER (CON IVA)]]/0.7</f>
        <v>143727.27272727274</v>
      </c>
      <c r="F25" s="25">
        <f>+Tabla121[[#This Row],[PRECIO INSTALLER (CON IVA)]]*5%</f>
        <v>5030.454545454546</v>
      </c>
      <c r="G25" s="11">
        <v>0.88</v>
      </c>
      <c r="H25" s="24">
        <f>Tabla121[[#This Row],[COSTO]]*1.19</f>
        <v>88536</v>
      </c>
      <c r="I25" s="11"/>
      <c r="J25" s="11"/>
      <c r="K25" s="23">
        <v>74400</v>
      </c>
    </row>
    <row r="26" spans="1:11" ht="45" x14ac:dyDescent="0.2">
      <c r="A26" s="15" t="s">
        <v>35</v>
      </c>
      <c r="B26" s="27" t="s">
        <v>34</v>
      </c>
      <c r="C26" s="26">
        <f>+Tabla121[[#This Row],[COSTO + IVA]]/Tabla121[[#This Row],[Columna5]]</f>
        <v>27045.454545454544</v>
      </c>
      <c r="D26" s="26">
        <f>+Tabla121[[#This Row],[PRECIO INSTALLER (CON IVA)]]-Tabla121[[#This Row],[Columna43]]</f>
        <v>25693.181818181816</v>
      </c>
      <c r="E26" s="26">
        <f>+Tabla121[[#This Row],[PRECIO INSTALLER (CON IVA)]]/0.7</f>
        <v>38636.36363636364</v>
      </c>
      <c r="F26" s="25">
        <f>+Tabla121[[#This Row],[PRECIO INSTALLER (CON IVA)]]*5%</f>
        <v>1352.2727272727273</v>
      </c>
      <c r="G26" s="11">
        <v>0.88</v>
      </c>
      <c r="H26" s="24">
        <f>Tabla121[[#This Row],[COSTO]]*1.19</f>
        <v>23800</v>
      </c>
      <c r="I26" s="11"/>
      <c r="J26" s="11"/>
      <c r="K26" s="23">
        <v>20000</v>
      </c>
    </row>
    <row r="27" spans="1:11" ht="30" x14ac:dyDescent="0.2">
      <c r="A27" s="15" t="s">
        <v>33</v>
      </c>
      <c r="B27" s="27" t="s">
        <v>32</v>
      </c>
      <c r="C27" s="26">
        <f>+Tabla121[[#This Row],[COSTO + IVA]]/Tabla121[[#This Row],[Columna5]]</f>
        <v>52942.829545454537</v>
      </c>
      <c r="D27" s="26">
        <f>+Tabla121[[#This Row],[PRECIO INSTALLER (CON IVA)]]-Tabla121[[#This Row],[Columna43]]</f>
        <v>50295.688068181807</v>
      </c>
      <c r="E27" s="26">
        <f>+Tabla121[[#This Row],[PRECIO INSTALLER (CON IVA)]]/0.7</f>
        <v>75632.613636363632</v>
      </c>
      <c r="F27" s="25">
        <f>+Tabla121[[#This Row],[PRECIO INSTALLER (CON IVA)]]*5%</f>
        <v>2647.1414772727271</v>
      </c>
      <c r="G27" s="11">
        <v>0.88</v>
      </c>
      <c r="H27" s="24">
        <f>Tabla121[[#This Row],[COSTO]]*1.19</f>
        <v>46589.689999999995</v>
      </c>
      <c r="I27" s="11"/>
      <c r="J27" s="11"/>
      <c r="K27" s="23">
        <v>39151</v>
      </c>
    </row>
    <row r="28" spans="1:11" ht="30" x14ac:dyDescent="0.2">
      <c r="A28" s="15" t="s">
        <v>31</v>
      </c>
      <c r="B28" s="27" t="s">
        <v>30</v>
      </c>
      <c r="C28" s="26">
        <f>+Tabla121[[#This Row],[COSTO + IVA]]/Tabla121[[#This Row],[Columna5]]</f>
        <v>269541.76136363635</v>
      </c>
      <c r="D28" s="26">
        <f>+Tabla121[[#This Row],[PRECIO INSTALLER (CON IVA)]]-Tabla121[[#This Row],[Columna43]]</f>
        <v>256064.67329545453</v>
      </c>
      <c r="E28" s="26">
        <f>+Tabla121[[#This Row],[PRECIO INSTALLER (CON IVA)]]/0.7</f>
        <v>385059.65909090912</v>
      </c>
      <c r="F28" s="25">
        <f>+Tabla121[[#This Row],[PRECIO INSTALLER (CON IVA)]]*5%</f>
        <v>13477.088068181818</v>
      </c>
      <c r="G28" s="11">
        <v>0.88</v>
      </c>
      <c r="H28" s="24">
        <f>Tabla121[[#This Row],[COSTO]]*1.19</f>
        <v>237196.75</v>
      </c>
      <c r="I28" s="11"/>
      <c r="J28" s="11"/>
      <c r="K28" s="23">
        <v>199325</v>
      </c>
    </row>
    <row r="29" spans="1:11" ht="60" x14ac:dyDescent="0.2">
      <c r="A29" s="15" t="s">
        <v>29</v>
      </c>
      <c r="B29" s="27" t="s">
        <v>28</v>
      </c>
      <c r="C29" s="26">
        <f>+Tabla121[[#This Row],[COSTO + IVA]]/Tabla121[[#This Row],[Columna5]]</f>
        <v>415511.48863636365</v>
      </c>
      <c r="D29" s="26">
        <f>+Tabla121[[#This Row],[PRECIO INSTALLER (CON IVA)]]-Tabla121[[#This Row],[Columna43]]</f>
        <v>394735.91420454544</v>
      </c>
      <c r="E29" s="26">
        <f>+Tabla121[[#This Row],[PRECIO INSTALLER (CON IVA)]]/0.7</f>
        <v>593587.84090909094</v>
      </c>
      <c r="F29" s="25">
        <f>+Tabla121[[#This Row],[PRECIO INSTALLER (CON IVA)]]*5%</f>
        <v>20775.574431818182</v>
      </c>
      <c r="G29" s="11">
        <v>0.88</v>
      </c>
      <c r="H29" s="24">
        <f>Tabla121[[#This Row],[COSTO]]*1.19</f>
        <v>365650.11</v>
      </c>
      <c r="I29" s="11"/>
      <c r="J29" s="11"/>
      <c r="K29" s="23">
        <v>307269</v>
      </c>
    </row>
    <row r="30" spans="1:11" ht="45" x14ac:dyDescent="0.2">
      <c r="A30" s="15" t="s">
        <v>27</v>
      </c>
      <c r="B30" s="27" t="s">
        <v>26</v>
      </c>
      <c r="C30" s="26">
        <f>+Tabla121[[#This Row],[COSTO + IVA]]/Tabla121[[#This Row],[Columna5]]</f>
        <v>150778.40909090909</v>
      </c>
      <c r="D30" s="26">
        <f>+Tabla121[[#This Row],[PRECIO INSTALLER (CON IVA)]]-Tabla121[[#This Row],[Columna43]]</f>
        <v>143239.48863636365</v>
      </c>
      <c r="E30" s="26">
        <f>+Tabla121[[#This Row],[PRECIO INSTALLER (CON IVA)]]/0.7</f>
        <v>215397.72727272729</v>
      </c>
      <c r="F30" s="25">
        <f>+Tabla121[[#This Row],[PRECIO INSTALLER (CON IVA)]]*5%</f>
        <v>7538.920454545455</v>
      </c>
      <c r="G30" s="11">
        <v>0.88</v>
      </c>
      <c r="H30" s="24">
        <f>Tabla121[[#This Row],[COSTO]]*1.19</f>
        <v>132685</v>
      </c>
      <c r="I30" s="11"/>
      <c r="J30" s="11"/>
      <c r="K30" s="23">
        <v>111500</v>
      </c>
    </row>
    <row r="31" spans="1:11" ht="15" x14ac:dyDescent="0.2">
      <c r="A31" s="15" t="s">
        <v>25</v>
      </c>
      <c r="B31" s="27" t="s">
        <v>24</v>
      </c>
      <c r="C31" s="26">
        <f>+Tabla121[[#This Row],[COSTO + IVA]]/Tabla121[[#This Row],[Columna5]]</f>
        <v>263265.86363636365</v>
      </c>
      <c r="D31" s="26">
        <f>+Tabla121[[#This Row],[PRECIO INSTALLER (CON IVA)]]-Tabla121[[#This Row],[Columna43]]</f>
        <v>250102.57045454546</v>
      </c>
      <c r="E31" s="26">
        <f>+Tabla121[[#This Row],[PRECIO INSTALLER (CON IVA)]]/0.7</f>
        <v>376094.09090909094</v>
      </c>
      <c r="F31" s="25">
        <f>+Tabla121[[#This Row],[PRECIO INSTALLER (CON IVA)]]*5%</f>
        <v>13163.293181818182</v>
      </c>
      <c r="G31" s="11">
        <v>0.88</v>
      </c>
      <c r="H31" s="24">
        <f>Tabla121[[#This Row],[COSTO]]*1.19</f>
        <v>231673.96</v>
      </c>
      <c r="I31" s="11"/>
      <c r="J31" s="11"/>
      <c r="K31" s="23">
        <v>194684</v>
      </c>
    </row>
    <row r="32" spans="1:11" ht="60" x14ac:dyDescent="0.2">
      <c r="A32" s="15" t="s">
        <v>23</v>
      </c>
      <c r="B32" s="27" t="s">
        <v>22</v>
      </c>
      <c r="C32" s="26">
        <f>+Tabla121[[#This Row],[COSTO + IVA]]/Tabla121[[#This Row],[Columna5]]</f>
        <v>452025.55681818182</v>
      </c>
      <c r="D32" s="26">
        <f>+Tabla121[[#This Row],[PRECIO INSTALLER (CON IVA)]]-Tabla121[[#This Row],[Columna43]]</f>
        <v>429424.27897727274</v>
      </c>
      <c r="E32" s="26">
        <f>+Tabla121[[#This Row],[PRECIO INSTALLER (CON IVA)]]/0.7</f>
        <v>645750.79545454553</v>
      </c>
      <c r="F32" s="25">
        <f>+Tabla121[[#This Row],[PRECIO INSTALLER (CON IVA)]]*5%</f>
        <v>22601.277840909093</v>
      </c>
      <c r="G32" s="11">
        <v>0.88</v>
      </c>
      <c r="H32" s="24">
        <f>Tabla121[[#This Row],[COSTO]]*1.19</f>
        <v>397782.49</v>
      </c>
      <c r="I32" s="11"/>
      <c r="J32" s="11"/>
      <c r="K32" s="23">
        <v>334271</v>
      </c>
    </row>
    <row r="33" spans="1:11" ht="60" x14ac:dyDescent="0.2">
      <c r="A33" s="15" t="s">
        <v>21</v>
      </c>
      <c r="B33" s="27" t="s">
        <v>20</v>
      </c>
      <c r="C33" s="26">
        <f>+Tabla121[[#This Row],[COSTO + IVA]]/Tabla121[[#This Row],[Columna5]]</f>
        <v>524358.625</v>
      </c>
      <c r="D33" s="26">
        <f>+Tabla121[[#This Row],[PRECIO INSTALLER (CON IVA)]]-Tabla121[[#This Row],[Columna43]]</f>
        <v>498140.69374999998</v>
      </c>
      <c r="E33" s="26">
        <f>+Tabla121[[#This Row],[PRECIO INSTALLER (CON IVA)]]/0.7</f>
        <v>749083.75</v>
      </c>
      <c r="F33" s="25">
        <f>+Tabla121[[#This Row],[PRECIO INSTALLER (CON IVA)]]*5%</f>
        <v>26217.931250000001</v>
      </c>
      <c r="G33" s="11">
        <v>0.88</v>
      </c>
      <c r="H33" s="24">
        <f>Tabla121[[#This Row],[COSTO]]*1.19</f>
        <v>461435.58999999997</v>
      </c>
      <c r="I33" s="11"/>
      <c r="J33" s="11"/>
      <c r="K33" s="23">
        <v>387761</v>
      </c>
    </row>
    <row r="34" spans="1:11" ht="30" x14ac:dyDescent="0.2">
      <c r="A34" s="15" t="s">
        <v>19</v>
      </c>
      <c r="B34" s="27" t="s">
        <v>18</v>
      </c>
      <c r="C34" s="26">
        <f>+Tabla121[[#This Row],[COSTO + IVA]]/Tabla121[[#This Row],[Columna5]]</f>
        <v>11851.318181818182</v>
      </c>
      <c r="D34" s="26">
        <f>+Tabla121[[#This Row],[PRECIO INSTALLER (CON IVA)]]-Tabla121[[#This Row],[Columna43]]</f>
        <v>11258.752272727274</v>
      </c>
      <c r="E34" s="26">
        <f>+Tabla121[[#This Row],[PRECIO INSTALLER (CON IVA)]]/0.7</f>
        <v>16930.454545454548</v>
      </c>
      <c r="F34" s="25">
        <f>+Tabla121[[#This Row],[PRECIO INSTALLER (CON IVA)]]*5%</f>
        <v>592.56590909090914</v>
      </c>
      <c r="G34" s="11">
        <v>0.88</v>
      </c>
      <c r="H34" s="24">
        <f>Tabla121[[#This Row],[COSTO]]*1.19</f>
        <v>10429.16</v>
      </c>
      <c r="I34" s="11"/>
      <c r="J34" s="11"/>
      <c r="K34" s="23">
        <v>8764</v>
      </c>
    </row>
    <row r="35" spans="1:11" ht="15" x14ac:dyDescent="0.2">
      <c r="A35" s="15" t="s">
        <v>17</v>
      </c>
      <c r="B35" s="27" t="s">
        <v>16</v>
      </c>
      <c r="C35" s="26">
        <f>+Tabla121[[#This Row],[COSTO + IVA]]/Tabla121[[#This Row],[Columna5]]</f>
        <v>56227.5</v>
      </c>
      <c r="D35" s="26">
        <f>+Tabla121[[#This Row],[PRECIO INSTALLER (CON IVA)]]-Tabla121[[#This Row],[Columna43]]</f>
        <v>53416.125</v>
      </c>
      <c r="E35" s="26">
        <f>+Tabla121[[#This Row],[PRECIO INSTALLER (CON IVA)]]/0.7</f>
        <v>80325</v>
      </c>
      <c r="F35" s="25">
        <f>+Tabla121[[#This Row],[PRECIO INSTALLER (CON IVA)]]*5%</f>
        <v>2811.375</v>
      </c>
      <c r="G35" s="11">
        <v>0.88</v>
      </c>
      <c r="H35" s="24">
        <f>Tabla121[[#This Row],[COSTO]]*1.19</f>
        <v>49480.2</v>
      </c>
      <c r="I35" s="11"/>
      <c r="J35" s="11"/>
      <c r="K35" s="23">
        <v>41580</v>
      </c>
    </row>
    <row r="36" spans="1:11" ht="30" x14ac:dyDescent="0.2">
      <c r="A36" s="15" t="s">
        <v>15</v>
      </c>
      <c r="B36" s="27" t="s">
        <v>14</v>
      </c>
      <c r="C36" s="26">
        <f>+Tabla121[[#This Row],[COSTO + IVA]]/Tabla121[[#This Row],[Columna5]]</f>
        <v>54227.488636363632</v>
      </c>
      <c r="D36" s="26">
        <f>+Tabla121[[#This Row],[PRECIO INSTALLER (CON IVA)]]-Tabla121[[#This Row],[Columna43]]</f>
        <v>51516.114204545447</v>
      </c>
      <c r="E36" s="26">
        <f>+Tabla121[[#This Row],[PRECIO INSTALLER (CON IVA)]]/0.7</f>
        <v>77467.840909090912</v>
      </c>
      <c r="F36" s="25">
        <f>+Tabla121[[#This Row],[PRECIO INSTALLER (CON IVA)]]*5%</f>
        <v>2711.3744318181816</v>
      </c>
      <c r="G36" s="11">
        <v>0.88</v>
      </c>
      <c r="H36" s="24">
        <f>Tabla121[[#This Row],[COSTO]]*1.19</f>
        <v>47720.189999999995</v>
      </c>
      <c r="I36" s="11"/>
      <c r="J36" s="11"/>
      <c r="K36" s="23">
        <v>40101</v>
      </c>
    </row>
    <row r="37" spans="1:11" ht="30" x14ac:dyDescent="0.2">
      <c r="A37" s="15" t="s">
        <v>13</v>
      </c>
      <c r="B37" s="27" t="s">
        <v>12</v>
      </c>
      <c r="C37" s="26">
        <f>+Tabla121[[#This Row],[COSTO + IVA]]/Tabla121[[#This Row],[Columna5]]</f>
        <v>78161.363636363632</v>
      </c>
      <c r="D37" s="26">
        <f>+Tabla121[[#This Row],[PRECIO INSTALLER (CON IVA)]]-Tabla121[[#This Row],[Columna43]]</f>
        <v>74253.295454545456</v>
      </c>
      <c r="E37" s="26">
        <f>+Tabla121[[#This Row],[PRECIO INSTALLER (CON IVA)]]/0.7</f>
        <v>111659.09090909091</v>
      </c>
      <c r="F37" s="25">
        <f>+Tabla121[[#This Row],[PRECIO INSTALLER (CON IVA)]]*5%</f>
        <v>3908.068181818182</v>
      </c>
      <c r="G37" s="11">
        <v>0.88</v>
      </c>
      <c r="H37" s="24">
        <f>Tabla121[[#This Row],[COSTO]]*1.19</f>
        <v>68782</v>
      </c>
      <c r="I37" s="11"/>
      <c r="J37" s="11"/>
      <c r="K37" s="23">
        <v>57800</v>
      </c>
    </row>
    <row r="38" spans="1:11" ht="30" x14ac:dyDescent="0.2">
      <c r="A38" s="15" t="s">
        <v>11</v>
      </c>
      <c r="B38" s="27" t="s">
        <v>10</v>
      </c>
      <c r="C38" s="26">
        <f>+Tabla121[[#This Row],[COSTO + IVA]]/Tabla121[[#This Row],[Columna5]]</f>
        <v>128655.22727272726</v>
      </c>
      <c r="D38" s="26">
        <f>+Tabla121[[#This Row],[PRECIO INSTALLER (CON IVA)]]-Tabla121[[#This Row],[Columna43]]</f>
        <v>122222.4659090909</v>
      </c>
      <c r="E38" s="26">
        <f>+Tabla121[[#This Row],[PRECIO INSTALLER (CON IVA)]]/0.7</f>
        <v>183793.18181818182</v>
      </c>
      <c r="F38" s="25">
        <f>+Tabla121[[#This Row],[PRECIO INSTALLER (CON IVA)]]*5%</f>
        <v>6432.761363636364</v>
      </c>
      <c r="G38" s="11">
        <v>0.88</v>
      </c>
      <c r="H38" s="24">
        <f>Tabla121[[#This Row],[COSTO]]*1.19</f>
        <v>113216.59999999999</v>
      </c>
      <c r="I38" s="11"/>
      <c r="J38" s="11"/>
      <c r="K38" s="23">
        <v>95140</v>
      </c>
    </row>
    <row r="39" spans="1:11" ht="30" x14ac:dyDescent="0.2">
      <c r="A39" s="15" t="s">
        <v>9</v>
      </c>
      <c r="B39" s="27" t="s">
        <v>8</v>
      </c>
      <c r="C39" s="26">
        <f>+Tabla121[[#This Row],[COSTO + IVA]]/Tabla121[[#This Row],[Columna5]]</f>
        <v>105612.5</v>
      </c>
      <c r="D39" s="26">
        <f>+Tabla121[[#This Row],[PRECIO INSTALLER (CON IVA)]]-Tabla121[[#This Row],[Columna43]]</f>
        <v>100331.875</v>
      </c>
      <c r="E39" s="26">
        <f>+Tabla121[[#This Row],[PRECIO INSTALLER (CON IVA)]]/0.7</f>
        <v>150875</v>
      </c>
      <c r="F39" s="25">
        <f>+Tabla121[[#This Row],[PRECIO INSTALLER (CON IVA)]]*5%</f>
        <v>5280.625</v>
      </c>
      <c r="G39" s="11">
        <v>0.88</v>
      </c>
      <c r="H39" s="24">
        <f>Tabla121[[#This Row],[COSTO]]*1.19</f>
        <v>92939</v>
      </c>
      <c r="I39" s="11"/>
      <c r="J39" s="11"/>
      <c r="K39" s="23">
        <v>78100</v>
      </c>
    </row>
    <row r="40" spans="1:11" ht="30" x14ac:dyDescent="0.2">
      <c r="A40" s="15" t="s">
        <v>7</v>
      </c>
      <c r="B40" s="27" t="s">
        <v>6</v>
      </c>
      <c r="C40" s="26">
        <f>+Tabla121[[#This Row],[COSTO + IVA]]/Tabla121[[#This Row],[Columna5]]</f>
        <v>108295.40909090909</v>
      </c>
      <c r="D40" s="26">
        <f>+Tabla121[[#This Row],[PRECIO INSTALLER (CON IVA)]]-Tabla121[[#This Row],[Columna43]]</f>
        <v>102880.63863636364</v>
      </c>
      <c r="E40" s="26">
        <f>+Tabla121[[#This Row],[PRECIO INSTALLER (CON IVA)]]/0.7</f>
        <v>154707.72727272726</v>
      </c>
      <c r="F40" s="25">
        <f>+Tabla121[[#This Row],[PRECIO INSTALLER (CON IVA)]]*5%</f>
        <v>5414.7704545454544</v>
      </c>
      <c r="G40" s="11">
        <v>0.88</v>
      </c>
      <c r="H40" s="24">
        <f>Tabla121[[#This Row],[COSTO]]*1.19</f>
        <v>95299.959999999992</v>
      </c>
      <c r="I40" s="11"/>
      <c r="J40" s="11"/>
      <c r="K40" s="23">
        <v>80084</v>
      </c>
    </row>
    <row r="41" spans="1:11" ht="15" x14ac:dyDescent="0.2">
      <c r="A41" s="22" t="s">
        <v>5</v>
      </c>
      <c r="B41" s="21" t="s">
        <v>4</v>
      </c>
      <c r="C41" s="20">
        <f>+Tabla121[[#This Row],[COSTO + IVA]]/Tabla121[[#This Row],[Columna5]]</f>
        <v>294119.31818181818</v>
      </c>
      <c r="D41" s="20">
        <f>+Tabla121[[#This Row],[PRECIO INSTALLER (CON IVA)]]-Tabla121[[#This Row],[Columna43]]</f>
        <v>279413.35227272729</v>
      </c>
      <c r="E41" s="20">
        <f>+Tabla121[[#This Row],[PRECIO INSTALLER (CON IVA)]]/0.7</f>
        <v>420170.45454545459</v>
      </c>
      <c r="F41" s="19">
        <f>+Tabla121[[#This Row],[PRECIO INSTALLER (CON IVA)]]*5%</f>
        <v>14705.96590909091</v>
      </c>
      <c r="G41" s="11">
        <v>0.88</v>
      </c>
      <c r="H41" s="18">
        <f>Tabla121[[#This Row],[COSTO]]*1.19</f>
        <v>258825</v>
      </c>
      <c r="I41" s="17"/>
      <c r="J41" s="17"/>
      <c r="K41" s="16">
        <v>217500</v>
      </c>
    </row>
    <row r="42" spans="1:11" ht="15" x14ac:dyDescent="0.2">
      <c r="A42" s="22" t="s">
        <v>3</v>
      </c>
      <c r="B42" s="21" t="s">
        <v>2</v>
      </c>
      <c r="C42" s="20">
        <f>+Tabla121[[#This Row],[COSTO + IVA]]/Tabla121[[#This Row],[Columna5]]</f>
        <v>2021321.8295454546</v>
      </c>
      <c r="D42" s="20">
        <f>+Tabla121[[#This Row],[PRECIO INSTALLER (CON IVA)]]-Tabla121[[#This Row],[Columna43]]</f>
        <v>1920255.7380681818</v>
      </c>
      <c r="E42" s="20">
        <f>+Tabla121[[#This Row],[PRECIO INSTALLER (CON IVA)]]/0.7</f>
        <v>2887602.6136363638</v>
      </c>
      <c r="F42" s="19">
        <f>+Tabla121[[#This Row],[PRECIO INSTALLER (CON IVA)]]*5%</f>
        <v>101066.09147727274</v>
      </c>
      <c r="G42" s="11">
        <v>0.88</v>
      </c>
      <c r="H42" s="18">
        <f>Tabla121[[#This Row],[COSTO]]*1.19</f>
        <v>1778763.21</v>
      </c>
      <c r="I42" s="17"/>
      <c r="J42" s="17"/>
      <c r="K42" s="16">
        <v>1494759</v>
      </c>
    </row>
    <row r="43" spans="1:11" ht="60" x14ac:dyDescent="0.2">
      <c r="A43" s="15" t="s">
        <v>1</v>
      </c>
      <c r="B43" s="14" t="s">
        <v>0</v>
      </c>
      <c r="C43" s="13">
        <f>+Tabla121[[#This Row],[COSTO + IVA]]/Tabla121[[#This Row],[Columna5]]</f>
        <v>150237.5</v>
      </c>
      <c r="D43" s="13">
        <f>+Tabla121[[#This Row],[PRECIO INSTALLER (CON IVA)]]-Tabla121[[#This Row],[Columna43]]</f>
        <v>142725.625</v>
      </c>
      <c r="E43" s="13">
        <f>+Tabla121[[#This Row],[PRECIO INSTALLER (CON IVA)]]/0.7</f>
        <v>214625</v>
      </c>
      <c r="F43" s="12">
        <f>+Tabla121[[#This Row],[PRECIO INSTALLER (CON IVA)]]*5%</f>
        <v>7511.875</v>
      </c>
      <c r="G43" s="11">
        <v>0.88</v>
      </c>
      <c r="H43" s="10">
        <f>Tabla121[[#This Row],[COSTO]]*1.19</f>
        <v>132209</v>
      </c>
      <c r="I43" s="9"/>
      <c r="J43" s="9"/>
      <c r="K43" s="8">
        <v>111100</v>
      </c>
    </row>
  </sheetData>
  <pageMargins left="0.74791666666666667" right="0.74791666666666667" top="0.98402777777777772" bottom="0.98402777777777772" header="0.51180555555555551" footer="0.51180555555555551"/>
  <pageSetup scale="40" firstPageNumber="0" orientation="portrait" horizontalDpi="300" verticalDpi="300" r:id="rId1"/>
  <headerFooter alignWithMargins="0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ACCESORIOS INTRUSION</vt:lpstr>
      <vt:lpstr>'ACCESORIOS INTRUSION'!Área_de_impresión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Jenifer Loaiza</dc:creator>
  <cp:lastModifiedBy>Jenifer Loaiza</cp:lastModifiedBy>
  <cp:lastPrinted>2026-09-29T14:44:02Z</cp:lastPrinted>
  <dcterms:created xsi:type="dcterms:W3CDTF">2026-09-21T19:29:30Z</dcterms:created>
  <dcterms:modified xsi:type="dcterms:W3CDTF">2026-09-30T13:41:14Z</dcterms:modified>
</cp:coreProperties>
</file>