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3A57CB1F-8119-451B-94B3-AB32DD62416F}" xr6:coauthVersionLast="47" xr6:coauthVersionMax="47" xr10:uidLastSave="{00000000-0000-0000-0000-000000000000}"/>
  <bookViews>
    <workbookView xWindow="23880" yWindow="-120" windowWidth="21840" windowHeight="13140" xr2:uid="{E5B4353C-EAC2-4D8B-B57F-CA59D3BA66DF}"/>
  </bookViews>
  <sheets>
    <sheet name="ACCESORIOS CCTV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Tabla114[[#All],[REFERENCIA]:[PRECIO CLIENTE FINAL (IVA INCLUIDO)]]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1" i="1" l="1"/>
  <c r="C101" i="1"/>
  <c r="G48" i="1"/>
  <c r="C48" i="1" s="1"/>
  <c r="G2" i="1"/>
  <c r="C2" i="1" s="1"/>
  <c r="G3" i="1"/>
  <c r="C3" i="1" s="1"/>
  <c r="G4" i="1"/>
  <c r="C4" i="1" s="1"/>
  <c r="G5" i="1"/>
  <c r="C5" i="1" s="1"/>
  <c r="G6" i="1"/>
  <c r="C6" i="1" s="1"/>
  <c r="G8" i="1"/>
  <c r="C8" i="1" s="1"/>
  <c r="G9" i="1"/>
  <c r="C9" i="1" s="1"/>
  <c r="G10" i="1"/>
  <c r="C10" i="1" s="1"/>
  <c r="G11" i="1"/>
  <c r="C11" i="1" s="1"/>
  <c r="G13" i="1"/>
  <c r="C13" i="1" s="1"/>
  <c r="G14" i="1"/>
  <c r="C14" i="1" s="1"/>
  <c r="G15" i="1"/>
  <c r="C15" i="1" s="1"/>
  <c r="G16" i="1"/>
  <c r="C16" i="1" s="1"/>
  <c r="G17" i="1"/>
  <c r="C17" i="1" s="1"/>
  <c r="G18" i="1"/>
  <c r="C18" i="1" s="1"/>
  <c r="G19" i="1"/>
  <c r="C19" i="1" s="1"/>
  <c r="G20" i="1"/>
  <c r="C20" i="1" s="1"/>
  <c r="G21" i="1"/>
  <c r="C21" i="1" s="1"/>
  <c r="G22" i="1"/>
  <c r="C22" i="1" s="1"/>
  <c r="G23" i="1"/>
  <c r="C23" i="1" s="1"/>
  <c r="G24" i="1"/>
  <c r="C24" i="1" s="1"/>
  <c r="G25" i="1"/>
  <c r="C25" i="1" s="1"/>
  <c r="G26" i="1"/>
  <c r="C26" i="1" s="1"/>
  <c r="G27" i="1"/>
  <c r="C27" i="1" s="1"/>
  <c r="G28" i="1"/>
  <c r="C28" i="1" s="1"/>
  <c r="C29" i="1"/>
  <c r="G30" i="1"/>
  <c r="C30" i="1" s="1"/>
  <c r="G31" i="1"/>
  <c r="C31" i="1" s="1"/>
  <c r="G32" i="1"/>
  <c r="C32" i="1" s="1"/>
  <c r="G33" i="1"/>
  <c r="C33" i="1" s="1"/>
  <c r="G34" i="1"/>
  <c r="C34" i="1" s="1"/>
  <c r="G35" i="1"/>
  <c r="C35" i="1" s="1"/>
  <c r="G36" i="1"/>
  <c r="C36" i="1" s="1"/>
  <c r="G37" i="1"/>
  <c r="C37" i="1" s="1"/>
  <c r="G38" i="1"/>
  <c r="C38" i="1" s="1"/>
  <c r="G39" i="1"/>
  <c r="C39" i="1" s="1"/>
  <c r="G40" i="1"/>
  <c r="C40" i="1" s="1"/>
  <c r="G41" i="1"/>
  <c r="C41" i="1" s="1"/>
  <c r="G42" i="1"/>
  <c r="C42" i="1" s="1"/>
  <c r="G43" i="1"/>
  <c r="C43" i="1" s="1"/>
  <c r="G44" i="1"/>
  <c r="C44" i="1" s="1"/>
  <c r="G45" i="1"/>
  <c r="C45" i="1" s="1"/>
  <c r="G46" i="1"/>
  <c r="C46" i="1" s="1"/>
  <c r="G47" i="1"/>
  <c r="C47" i="1" s="1"/>
  <c r="G49" i="1"/>
  <c r="C49" i="1" s="1"/>
  <c r="H49" i="1" s="1"/>
  <c r="G50" i="1"/>
  <c r="C50" i="1" s="1"/>
  <c r="G51" i="1"/>
  <c r="C51" i="1" s="1"/>
  <c r="G52" i="1"/>
  <c r="C52" i="1" s="1"/>
  <c r="G53" i="1"/>
  <c r="C53" i="1" s="1"/>
  <c r="G54" i="1"/>
  <c r="C54" i="1" s="1"/>
  <c r="G55" i="1"/>
  <c r="C55" i="1" s="1"/>
  <c r="G56" i="1"/>
  <c r="C56" i="1" s="1"/>
  <c r="G57" i="1"/>
  <c r="C57" i="1" s="1"/>
  <c r="G58" i="1"/>
  <c r="C58" i="1" s="1"/>
  <c r="G59" i="1"/>
  <c r="C59" i="1" s="1"/>
  <c r="G60" i="1"/>
  <c r="C60" i="1" s="1"/>
  <c r="G61" i="1"/>
  <c r="C61" i="1" s="1"/>
  <c r="G12" i="1"/>
  <c r="C12" i="1" s="1"/>
  <c r="G62" i="1"/>
  <c r="C62" i="1" s="1"/>
  <c r="G63" i="1"/>
  <c r="C63" i="1" s="1"/>
  <c r="G64" i="1"/>
  <c r="C64" i="1" s="1"/>
  <c r="G65" i="1"/>
  <c r="C65" i="1" s="1"/>
  <c r="G66" i="1"/>
  <c r="C66" i="1" s="1"/>
  <c r="G67" i="1"/>
  <c r="C67" i="1" s="1"/>
  <c r="G68" i="1"/>
  <c r="C68" i="1" s="1"/>
  <c r="G69" i="1"/>
  <c r="C69" i="1" s="1"/>
  <c r="G70" i="1"/>
  <c r="C70" i="1" s="1"/>
  <c r="G71" i="1"/>
  <c r="C71" i="1" s="1"/>
  <c r="G72" i="1"/>
  <c r="C72" i="1" s="1"/>
  <c r="G73" i="1"/>
  <c r="C73" i="1" s="1"/>
  <c r="G74" i="1"/>
  <c r="C74" i="1" s="1"/>
  <c r="G75" i="1"/>
  <c r="C75" i="1" s="1"/>
  <c r="G76" i="1"/>
  <c r="C76" i="1" s="1"/>
  <c r="G77" i="1"/>
  <c r="C77" i="1" s="1"/>
  <c r="G78" i="1"/>
  <c r="C78" i="1" s="1"/>
  <c r="G79" i="1"/>
  <c r="C79" i="1" s="1"/>
  <c r="G80" i="1"/>
  <c r="C80" i="1" s="1"/>
  <c r="G81" i="1"/>
  <c r="C81" i="1" s="1"/>
  <c r="G82" i="1"/>
  <c r="C82" i="1" s="1"/>
  <c r="G83" i="1"/>
  <c r="C83" i="1" s="1"/>
  <c r="G84" i="1"/>
  <c r="C84" i="1" s="1"/>
  <c r="G85" i="1"/>
  <c r="C85" i="1" s="1"/>
  <c r="G7" i="1"/>
  <c r="C7" i="1" s="1"/>
  <c r="G86" i="1"/>
  <c r="C86" i="1" s="1"/>
  <c r="G87" i="1"/>
  <c r="C87" i="1" s="1"/>
  <c r="G88" i="1"/>
  <c r="C88" i="1" s="1"/>
  <c r="G89" i="1"/>
  <c r="C89" i="1" s="1"/>
  <c r="G90" i="1"/>
  <c r="C90" i="1" s="1"/>
  <c r="G91" i="1"/>
  <c r="C91" i="1" s="1"/>
  <c r="G92" i="1"/>
  <c r="C92" i="1" s="1"/>
  <c r="G93" i="1"/>
  <c r="C93" i="1" s="1"/>
  <c r="G94" i="1"/>
  <c r="C94" i="1" s="1"/>
  <c r="G95" i="1"/>
  <c r="C95" i="1" s="1"/>
  <c r="G96" i="1"/>
  <c r="C96" i="1" s="1"/>
  <c r="G97" i="1"/>
  <c r="C97" i="1" s="1"/>
  <c r="G98" i="1"/>
  <c r="C98" i="1" s="1"/>
  <c r="G99" i="1"/>
  <c r="C99" i="1" s="1"/>
  <c r="G100" i="1"/>
  <c r="C100" i="1" s="1"/>
  <c r="G102" i="1"/>
  <c r="C102" i="1" s="1"/>
  <c r="G103" i="1"/>
  <c r="C103" i="1" s="1"/>
  <c r="C104" i="1"/>
  <c r="C105" i="1"/>
  <c r="E105" i="1"/>
  <c r="H105" i="1"/>
  <c r="D105" i="1" s="1"/>
  <c r="G106" i="1"/>
  <c r="C106" i="1" s="1"/>
  <c r="H29" i="1" l="1"/>
  <c r="D29" i="1" s="1"/>
  <c r="E29" i="1"/>
  <c r="E104" i="1"/>
  <c r="H104" i="1"/>
  <c r="D104" i="1" s="1"/>
  <c r="H2" i="1"/>
  <c r="D2" i="1" s="1"/>
  <c r="E2" i="1"/>
  <c r="H3" i="1"/>
  <c r="D3" i="1" s="1"/>
  <c r="E3" i="1"/>
  <c r="H4" i="1"/>
  <c r="D4" i="1" s="1"/>
  <c r="E4" i="1"/>
  <c r="H5" i="1"/>
  <c r="D5" i="1" s="1"/>
  <c r="E5" i="1"/>
  <c r="H6" i="1"/>
  <c r="D6" i="1" s="1"/>
  <c r="E6" i="1"/>
  <c r="H8" i="1"/>
  <c r="E8" i="1"/>
  <c r="D8" i="1"/>
  <c r="H9" i="1"/>
  <c r="E9" i="1"/>
  <c r="D9" i="1"/>
  <c r="H10" i="1"/>
  <c r="D10" i="1" s="1"/>
  <c r="E10" i="1"/>
  <c r="H11" i="1"/>
  <c r="E11" i="1"/>
  <c r="D11" i="1"/>
  <c r="H13" i="1"/>
  <c r="E13" i="1"/>
  <c r="D13" i="1"/>
  <c r="H14" i="1"/>
  <c r="D14" i="1" s="1"/>
  <c r="E14" i="1"/>
  <c r="H15" i="1"/>
  <c r="E15" i="1"/>
  <c r="D15" i="1"/>
  <c r="H16" i="1"/>
  <c r="E16" i="1"/>
  <c r="D16" i="1"/>
  <c r="H17" i="1"/>
  <c r="E17" i="1"/>
  <c r="D17" i="1"/>
  <c r="H18" i="1"/>
  <c r="E18" i="1"/>
  <c r="D18" i="1"/>
  <c r="H19" i="1"/>
  <c r="E19" i="1"/>
  <c r="D19" i="1"/>
  <c r="H20" i="1"/>
  <c r="E20" i="1"/>
  <c r="D20" i="1"/>
  <c r="H21" i="1"/>
  <c r="E21" i="1"/>
  <c r="D21" i="1"/>
  <c r="H22" i="1"/>
  <c r="E22" i="1"/>
  <c r="D22" i="1"/>
  <c r="H23" i="1"/>
  <c r="E23" i="1"/>
  <c r="D23" i="1"/>
  <c r="H24" i="1"/>
  <c r="E24" i="1"/>
  <c r="D24" i="1"/>
  <c r="H25" i="1"/>
  <c r="E25" i="1"/>
  <c r="D25" i="1"/>
  <c r="H26" i="1"/>
  <c r="E26" i="1"/>
  <c r="D26" i="1"/>
  <c r="H27" i="1"/>
  <c r="D27" i="1" s="1"/>
  <c r="E27" i="1"/>
  <c r="H28" i="1"/>
  <c r="D28" i="1" s="1"/>
  <c r="E28" i="1"/>
  <c r="H30" i="1"/>
  <c r="E30" i="1"/>
  <c r="D30" i="1"/>
  <c r="H31" i="1"/>
  <c r="D31" i="1" s="1"/>
  <c r="E31" i="1"/>
  <c r="H32" i="1"/>
  <c r="E32" i="1"/>
  <c r="D32" i="1"/>
  <c r="H33" i="1"/>
  <c r="E33" i="1"/>
  <c r="D33" i="1"/>
  <c r="H34" i="1"/>
  <c r="E34" i="1"/>
  <c r="D34" i="1"/>
  <c r="H35" i="1"/>
  <c r="E35" i="1"/>
  <c r="D35" i="1"/>
  <c r="H36" i="1"/>
  <c r="E36" i="1"/>
  <c r="D36" i="1"/>
  <c r="H37" i="1"/>
  <c r="E37" i="1"/>
  <c r="D37" i="1"/>
  <c r="H38" i="1"/>
  <c r="E38" i="1"/>
  <c r="D38" i="1"/>
  <c r="H39" i="1"/>
  <c r="E39" i="1"/>
  <c r="D39" i="1"/>
  <c r="H40" i="1"/>
  <c r="E40" i="1"/>
  <c r="D40" i="1"/>
  <c r="H41" i="1"/>
  <c r="E41" i="1"/>
  <c r="D41" i="1"/>
  <c r="H42" i="1"/>
  <c r="D42" i="1" s="1"/>
  <c r="E42" i="1"/>
  <c r="H43" i="1"/>
  <c r="E43" i="1"/>
  <c r="D43" i="1"/>
  <c r="H44" i="1"/>
  <c r="E44" i="1"/>
  <c r="D44" i="1"/>
  <c r="H45" i="1"/>
  <c r="E45" i="1"/>
  <c r="D45" i="1"/>
  <c r="H46" i="1"/>
  <c r="D46" i="1" s="1"/>
  <c r="E46" i="1"/>
  <c r="H47" i="1"/>
  <c r="D47" i="1" s="1"/>
  <c r="E47" i="1"/>
  <c r="H48" i="1"/>
  <c r="D48" i="1" s="1"/>
  <c r="E48" i="1"/>
  <c r="D49" i="1"/>
  <c r="E49" i="1"/>
  <c r="H50" i="1"/>
  <c r="D50" i="1" s="1"/>
  <c r="E50" i="1"/>
  <c r="H51" i="1"/>
  <c r="E51" i="1"/>
  <c r="D51" i="1"/>
  <c r="H52" i="1"/>
  <c r="D52" i="1" s="1"/>
  <c r="E52" i="1"/>
  <c r="H53" i="1"/>
  <c r="D53" i="1" s="1"/>
  <c r="E53" i="1"/>
  <c r="H54" i="1"/>
  <c r="D54" i="1" s="1"/>
  <c r="E54" i="1"/>
  <c r="H55" i="1"/>
  <c r="D55" i="1" s="1"/>
  <c r="E55" i="1"/>
  <c r="H56" i="1"/>
  <c r="D56" i="1" s="1"/>
  <c r="E56" i="1"/>
  <c r="H57" i="1"/>
  <c r="D57" i="1" s="1"/>
  <c r="E57" i="1"/>
  <c r="H58" i="1"/>
  <c r="D58" i="1" s="1"/>
  <c r="E58" i="1"/>
  <c r="H59" i="1"/>
  <c r="D59" i="1"/>
  <c r="E59" i="1"/>
  <c r="H60" i="1"/>
  <c r="D60" i="1" s="1"/>
  <c r="E60" i="1"/>
  <c r="H61" i="1"/>
  <c r="D61" i="1" s="1"/>
  <c r="E61" i="1"/>
  <c r="H12" i="1"/>
  <c r="D12" i="1" s="1"/>
  <c r="E12" i="1"/>
  <c r="E62" i="1"/>
  <c r="H62" i="1"/>
  <c r="D62" i="1"/>
  <c r="H63" i="1"/>
  <c r="D63" i="1" s="1"/>
  <c r="E63" i="1"/>
  <c r="H64" i="1"/>
  <c r="E64" i="1"/>
  <c r="D64" i="1"/>
  <c r="H65" i="1"/>
  <c r="D65" i="1"/>
  <c r="E65" i="1"/>
  <c r="H66" i="1"/>
  <c r="D66" i="1" s="1"/>
  <c r="E66" i="1"/>
  <c r="H67" i="1"/>
  <c r="E67" i="1"/>
  <c r="D67" i="1"/>
  <c r="H68" i="1"/>
  <c r="D68" i="1" s="1"/>
  <c r="E68" i="1"/>
  <c r="E69" i="1"/>
  <c r="H69" i="1"/>
  <c r="D69" i="1"/>
  <c r="H70" i="1"/>
  <c r="E70" i="1"/>
  <c r="D70" i="1"/>
  <c r="H71" i="1"/>
  <c r="E71" i="1"/>
  <c r="D71" i="1"/>
  <c r="H72" i="1"/>
  <c r="E72" i="1"/>
  <c r="D72" i="1"/>
  <c r="H73" i="1"/>
  <c r="E73" i="1"/>
  <c r="D73" i="1"/>
  <c r="H74" i="1"/>
  <c r="E74" i="1"/>
  <c r="D74" i="1"/>
  <c r="H75" i="1"/>
  <c r="E75" i="1"/>
  <c r="D75" i="1"/>
  <c r="H76" i="1"/>
  <c r="E76" i="1"/>
  <c r="D76" i="1"/>
  <c r="H77" i="1"/>
  <c r="E77" i="1"/>
  <c r="D77" i="1"/>
  <c r="H78" i="1"/>
  <c r="D78" i="1" s="1"/>
  <c r="E78" i="1"/>
  <c r="H79" i="1"/>
  <c r="E79" i="1"/>
  <c r="D79" i="1"/>
  <c r="H80" i="1"/>
  <c r="E80" i="1"/>
  <c r="D80" i="1"/>
  <c r="H81" i="1"/>
  <c r="E81" i="1"/>
  <c r="D81" i="1"/>
  <c r="H82" i="1"/>
  <c r="E82" i="1"/>
  <c r="D82" i="1"/>
  <c r="H83" i="1"/>
  <c r="E83" i="1"/>
  <c r="D83" i="1"/>
  <c r="H84" i="1"/>
  <c r="E84" i="1"/>
  <c r="D84" i="1"/>
  <c r="H85" i="1"/>
  <c r="D85" i="1" s="1"/>
  <c r="E85" i="1"/>
  <c r="H7" i="1"/>
  <c r="E7" i="1"/>
  <c r="D7" i="1"/>
  <c r="H86" i="1"/>
  <c r="E86" i="1"/>
  <c r="D86" i="1"/>
  <c r="H87" i="1"/>
  <c r="E87" i="1"/>
  <c r="D87" i="1"/>
  <c r="H88" i="1"/>
  <c r="E88" i="1"/>
  <c r="D88" i="1"/>
  <c r="H89" i="1"/>
  <c r="E89" i="1"/>
  <c r="D89" i="1"/>
  <c r="H90" i="1"/>
  <c r="E90" i="1"/>
  <c r="D90" i="1"/>
  <c r="H91" i="1"/>
  <c r="D91" i="1" s="1"/>
  <c r="E91" i="1"/>
  <c r="H92" i="1"/>
  <c r="D92" i="1" s="1"/>
  <c r="E92" i="1"/>
  <c r="H93" i="1"/>
  <c r="D93" i="1" s="1"/>
  <c r="E93" i="1"/>
  <c r="H94" i="1"/>
  <c r="D94" i="1" s="1"/>
  <c r="E94" i="1"/>
  <c r="H95" i="1"/>
  <c r="D95" i="1" s="1"/>
  <c r="E95" i="1"/>
  <c r="H96" i="1"/>
  <c r="E96" i="1"/>
  <c r="D96" i="1"/>
  <c r="H97" i="1"/>
  <c r="D97" i="1" s="1"/>
  <c r="E97" i="1"/>
  <c r="H98" i="1"/>
  <c r="D98" i="1" s="1"/>
  <c r="E98" i="1"/>
  <c r="H99" i="1"/>
  <c r="E99" i="1"/>
  <c r="D99" i="1"/>
  <c r="H100" i="1"/>
  <c r="E100" i="1"/>
  <c r="D100" i="1"/>
  <c r="H101" i="1"/>
  <c r="E101" i="1"/>
  <c r="D101" i="1"/>
  <c r="H102" i="1"/>
  <c r="E102" i="1"/>
  <c r="D102" i="1"/>
  <c r="H103" i="1"/>
  <c r="E103" i="1"/>
  <c r="D103" i="1"/>
  <c r="H106" i="1"/>
  <c r="E106" i="1"/>
  <c r="D106" i="1"/>
</calcChain>
</file>

<file path=xl/sharedStrings.xml><?xml version="1.0" encoding="utf-8"?>
<sst xmlns="http://schemas.openxmlformats.org/spreadsheetml/2006/main" count="210" uniqueCount="209">
  <si>
    <t>CONECTOR RJ45 CAT 5 BLINDADO</t>
  </si>
  <si>
    <t>RJ45C5</t>
  </si>
  <si>
    <t>CABLE CONECTOR BNC LONGITUD 1 METRO</t>
  </si>
  <si>
    <t>BNC-1M</t>
  </si>
  <si>
    <t>CAMARA TIPO SENSOR ALARM AHD 2M 36MM</t>
  </si>
  <si>
    <t>CPIR</t>
  </si>
  <si>
    <t>CABLE DC DIVISOR 1 HEMBRA A 4 MACHO</t>
  </si>
  <si>
    <t>CABH1M4</t>
  </si>
  <si>
    <t>CONECTOR PLUG RJ45 CAT 6 PLASTICO</t>
  </si>
  <si>
    <t>RJ45C6P</t>
  </si>
  <si>
    <t>MULTITOMA NARANJA 8 PTOS LINEA ECO RETIE</t>
  </si>
  <si>
    <t>MRNC-345</t>
  </si>
  <si>
    <t>EXTENDER HDMI DE 200 METROS</t>
  </si>
  <si>
    <t>EXTEN200</t>
  </si>
  <si>
    <t>EXTENDER HDMI 120 METROS</t>
  </si>
  <si>
    <t>EXTEN120</t>
  </si>
  <si>
    <t>CAJA DE PASO 10X10 TORNILLO PLASTICO</t>
  </si>
  <si>
    <t>CAJAP10XTP</t>
  </si>
  <si>
    <t>CABLE UTP CAT 6 20MT RJ45 BLANCO</t>
  </si>
  <si>
    <t>CABLE UTP CAT 6 15MT RJ45 BLANCO</t>
  </si>
  <si>
    <t>CABLE UTP CAT 6 BLINDADO 10MT FTP RJ45 METALICO</t>
  </si>
  <si>
    <t>CABLE UTP CAT 6 5MT BLANCO</t>
  </si>
  <si>
    <t>EXTENDER HDMI 30 MTR 1 LINEA RJ-45</t>
  </si>
  <si>
    <t>EXTEN30</t>
  </si>
  <si>
    <t>Caja empalme termoplástica 18 x 14 x 8 Dexson.</t>
  </si>
  <si>
    <t>DEX18X14X8</t>
  </si>
  <si>
    <t>MULTITOMA DE 12 PARA RACK GENERICO</t>
  </si>
  <si>
    <t>MUL12GEN</t>
  </si>
  <si>
    <t>VENTILADOR PARA RACK SENCILLO</t>
  </si>
  <si>
    <t>VENTI-RACK</t>
  </si>
  <si>
    <t>REGULADOR EV POWER 1000 ISOLADO TORRE</t>
  </si>
  <si>
    <t>POWER1000</t>
  </si>
  <si>
    <t>SOPORTE EXTENSOR GRADUABLE 360 GRADOS PARA CAMARA. 50CM EXTIENDE HASTA 1 METRO COLOR NEGRO</t>
  </si>
  <si>
    <t>SP01N</t>
  </si>
  <si>
    <t>CAJA HERMETICA 10X10 CILES</t>
  </si>
  <si>
    <t>CAJAH10X10</t>
  </si>
  <si>
    <t>CAJA HERMETICA 14X18 CILES</t>
  </si>
  <si>
    <t>CAJAH14X18</t>
  </si>
  <si>
    <t>FUENTE CENTRALIZADA 30A 18CH</t>
  </si>
  <si>
    <t>TRANS12V30A18S</t>
  </si>
  <si>
    <t>CINTA TEMFLEX 18MM X5M 3M 1700</t>
  </si>
  <si>
    <t>CINTA5M</t>
  </si>
  <si>
    <t>EXTENDER HDMI DE 150 MTROS</t>
  </si>
  <si>
    <t>EXTEN150</t>
  </si>
  <si>
    <t>MODULO ZBEE YMF YDF YALE</t>
  </si>
  <si>
    <t>RELAY DE 12V 5 PINES</t>
  </si>
  <si>
    <t>RELAY 12V-5P-10AMP - RELEVO</t>
  </si>
  <si>
    <t>LUM. EMERG R1 LED 120-277V 2X1 6W</t>
  </si>
  <si>
    <t>DETECTOR DE HUMO OPTICO CONVENCIONA</t>
  </si>
  <si>
    <t>A35BS</t>
  </si>
  <si>
    <t>BASE ALTA PARA DETECTORES DE DETENC</t>
  </si>
  <si>
    <t>A30XZR</t>
  </si>
  <si>
    <t>BASE BAJA PARA DETECTORES DE DETENC</t>
  </si>
  <si>
    <t>A30XZO</t>
  </si>
  <si>
    <t>CABLE AV/P 8 METROS</t>
  </si>
  <si>
    <t>AUTOAVPCABLE8M</t>
  </si>
  <si>
    <t>GUANTE 3M TALLA L</t>
  </si>
  <si>
    <t>GUANTE3L</t>
  </si>
  <si>
    <t>ENVPAHD8CH VIDEO BALUM PASIVO 8CH</t>
  </si>
  <si>
    <t>HDVBP8CH</t>
  </si>
  <si>
    <t>CAMARA OCULTA TIPO SENSOR DE HUMO 3.6 1080P</t>
  </si>
  <si>
    <t>H8TURBOS</t>
  </si>
  <si>
    <t>JACK RJ45 CAT 6A BLINDADO METALCO NEGRO</t>
  </si>
  <si>
    <t>JACK6A</t>
  </si>
  <si>
    <t>TOMA AEREO P/TIERRA 15A CODELCA</t>
  </si>
  <si>
    <t>TOMAP</t>
  </si>
  <si>
    <t>EXTENDER USB POR RJ45 EXTENSION</t>
  </si>
  <si>
    <t>EXTEN</t>
  </si>
  <si>
    <t>SPLITTER HDMI 4 PORTS 350 MHZ 3D</t>
  </si>
  <si>
    <t>SPLI4HDMI</t>
  </si>
  <si>
    <t>CABLE USB 3.0 A HDMI EXA</t>
  </si>
  <si>
    <t>CABLE USB 3.0 A SATA</t>
  </si>
  <si>
    <t>EXTENDER HDMI 60 METROS</t>
  </si>
  <si>
    <t>EXTEN60</t>
  </si>
  <si>
    <t>MULTITOMA DE 8 PARA RACK GENERICO</t>
  </si>
  <si>
    <t>MUL8GEN</t>
  </si>
  <si>
    <t>PATCH CORD RJ45 5FTS AZUL CAT 6A LSHZ</t>
  </si>
  <si>
    <t>PCRJ45</t>
  </si>
  <si>
    <t>REGLETA PLATINO 6 TOMAS GENERICOS</t>
  </si>
  <si>
    <t>REGLETGEN</t>
  </si>
  <si>
    <t>CAJA DE MECANISNMO PARA TOMA 12X8X4 BLANCA</t>
  </si>
  <si>
    <t>CAJAM</t>
  </si>
  <si>
    <t>VIDEO BALUM PASIVO 1CH HASTA 8MP</t>
  </si>
  <si>
    <t>HDVBP8MP</t>
  </si>
  <si>
    <t>CAJA METALICA TIPO BALA VARIFOCAL</t>
  </si>
  <si>
    <t>CAJA6</t>
  </si>
  <si>
    <t>CAJA METALICA TIPO DOMO VARIFOCAL</t>
  </si>
  <si>
    <t>CAJA5</t>
  </si>
  <si>
    <t>CAJA METALICA TIPO BALA 14*10*9</t>
  </si>
  <si>
    <t>CAJA4</t>
  </si>
  <si>
    <t>PLUG BORNERA HEMBRA DE PRESION</t>
  </si>
  <si>
    <t>CPM2P</t>
  </si>
  <si>
    <t>PLUG BORNERA MACHO DE PRESION</t>
  </si>
  <si>
    <t>CPM3P</t>
  </si>
  <si>
    <t>AMARRA NEGRA 55 CM</t>
  </si>
  <si>
    <t>AMARRA55</t>
  </si>
  <si>
    <t>AMARRA BLANCA 55 CM</t>
  </si>
  <si>
    <t>AMARRA55B</t>
  </si>
  <si>
    <t>GABINETE MINI 16X34X34 BALNCO Y NEGRO/</t>
  </si>
  <si>
    <t>GABMINI</t>
  </si>
  <si>
    <t>CANALETA DEXSON 40X25</t>
  </si>
  <si>
    <t>DEX40X25</t>
  </si>
  <si>
    <t>CABLE DC DIVISOR 1 HEMBRA A 8 MACHOS LONGITUD 0.5 M</t>
  </si>
  <si>
    <t>CABH1M8</t>
  </si>
  <si>
    <t>SOPORTE EXTENSOR GRADUABLE 360 GRADOS PARA CAMARA. 50CM EXTIENDE HASTA 1 METRO</t>
  </si>
  <si>
    <t>SP01</t>
  </si>
  <si>
    <t>GUANTE 3M TALLA M</t>
  </si>
  <si>
    <t>GUANTE3M</t>
  </si>
  <si>
    <t>CLAVIJA NEGRA PLANA</t>
  </si>
  <si>
    <t>CLAVIJA1</t>
  </si>
  <si>
    <t>ENCHUFE DOMESTICO 15A CODELCA PEQUEÑO</t>
  </si>
  <si>
    <t>ENCHUFE1</t>
  </si>
  <si>
    <t>TOMA AEREA 15A DOMESTICA CODELCA PEQUEÑO</t>
  </si>
  <si>
    <t>TOMA3</t>
  </si>
  <si>
    <t>TOMA AEREA 15A PLASTICA NEGRA</t>
  </si>
  <si>
    <t>TOMA1</t>
  </si>
  <si>
    <t>CINTA TEMFLEX 19MM X 18M 3M 1700</t>
  </si>
  <si>
    <t>CINTA18</t>
  </si>
  <si>
    <t>MICROFONO HQ LARGO ALCANCE</t>
  </si>
  <si>
    <t>MIC02</t>
  </si>
  <si>
    <t>MICROFONO SENCILLO</t>
  </si>
  <si>
    <t>MIC01</t>
  </si>
  <si>
    <t>AMARRA NEGRA 35 CM</t>
  </si>
  <si>
    <t>AMARRA35</t>
  </si>
  <si>
    <t>AMARRA NEGRA 30 CM</t>
  </si>
  <si>
    <t>AMARRA30</t>
  </si>
  <si>
    <t>AMARRA NEGRA 25 CM</t>
  </si>
  <si>
    <t>AMARRA25</t>
  </si>
  <si>
    <t>AMARRA NEGRA 20 CM</t>
  </si>
  <si>
    <t>AMARRA20</t>
  </si>
  <si>
    <t>AMARRA NEGRA 15 CM</t>
  </si>
  <si>
    <t>AMARRA15</t>
  </si>
  <si>
    <t>AMARRA NEGRA 10 CM</t>
  </si>
  <si>
    <t>AMARRA10N</t>
  </si>
  <si>
    <t>AMARRA BLANCA 35 CM</t>
  </si>
  <si>
    <t>AMARRA35B</t>
  </si>
  <si>
    <t>AMARRA BLANCA 30 CM</t>
  </si>
  <si>
    <t>AMARRA30B</t>
  </si>
  <si>
    <t>AMARRA BLANCA 25 CM</t>
  </si>
  <si>
    <t>AMARRA25B</t>
  </si>
  <si>
    <t>AMARRA BLANCA 20 CM</t>
  </si>
  <si>
    <t>AMARRA20B</t>
  </si>
  <si>
    <t>AMARRA BLANCA 15 CM</t>
  </si>
  <si>
    <t>AMARRA15B</t>
  </si>
  <si>
    <t>AMARRA BLANCA 10 CM</t>
  </si>
  <si>
    <t>AMARRA10B</t>
  </si>
  <si>
    <t>CANALETA PISO 60X12X2M</t>
  </si>
  <si>
    <t>CANPISO</t>
  </si>
  <si>
    <t>CANALETA LISA 40 X 25 DEXSON</t>
  </si>
  <si>
    <t>DEX40X24</t>
  </si>
  <si>
    <t>CANALETA DEXSON 13X7</t>
  </si>
  <si>
    <t>DEX13X7</t>
  </si>
  <si>
    <t>CANALETA DEXSON 20X10</t>
  </si>
  <si>
    <t>DEX20X10</t>
  </si>
  <si>
    <t>CANALETA DEXSON 20X12</t>
  </si>
  <si>
    <t>DEX20X12</t>
  </si>
  <si>
    <t>CANALETA DEXSON 32X12</t>
  </si>
  <si>
    <t>DEX32X12</t>
  </si>
  <si>
    <t>ACCESORIO CANALETA DEXSON 20X10</t>
  </si>
  <si>
    <t>ACCE20X12</t>
  </si>
  <si>
    <t>CONECTOR UY2 RELLENO</t>
  </si>
  <si>
    <t>UY2</t>
  </si>
  <si>
    <t>CONECTOR RJ45 CAT 6 BLINDADO</t>
  </si>
  <si>
    <t>RJ45C6</t>
  </si>
  <si>
    <t>CONECTOR RJ45 CAT5E</t>
  </si>
  <si>
    <t>CT88</t>
  </si>
  <si>
    <t>PLUG BORNERA A RCA</t>
  </si>
  <si>
    <t>CPM6</t>
  </si>
  <si>
    <t>PLUG BORNERA A BNC</t>
  </si>
  <si>
    <t>CPM5</t>
  </si>
  <si>
    <t>PLUG BORNERA MACHO DE TORNILLO</t>
  </si>
  <si>
    <t>CPM3</t>
  </si>
  <si>
    <t>PLUG BORNERA HEMBRA DE TORNILLO</t>
  </si>
  <si>
    <t>CPM2</t>
  </si>
  <si>
    <t>CAJA3</t>
  </si>
  <si>
    <t>CAJA PARA PTZ 16X16X11</t>
  </si>
  <si>
    <t>CAJA2</t>
  </si>
  <si>
    <t>CAJA PLASTICA CUADRADA INTERIOR 10*10*8 INREMOL</t>
  </si>
  <si>
    <t>CAJAINT01</t>
  </si>
  <si>
    <t>CAJA PLASTICA DEXSON CUADRADA 10*10*5</t>
  </si>
  <si>
    <t>DEX10X10</t>
  </si>
  <si>
    <t>VIDEO BALUN PASIVO RJ45 1CH HDCVI/HDTVI/AHD/CVBS SOPORTA CAMARAS HASTA 8MP TRANSMISION DE CORRIENTE</t>
  </si>
  <si>
    <t>HDVBPDC</t>
  </si>
  <si>
    <t>VIDEO BALUN GENÉRICO PASIVO 1CH HASTA 2MP</t>
  </si>
  <si>
    <t>HDVBPGEN</t>
  </si>
  <si>
    <t>VIDEO BALUM PASIVO 1CH HASTA 5MP</t>
  </si>
  <si>
    <t>HDVBP</t>
  </si>
  <si>
    <t>FUENTE DE PODER 12V 10 AMPERIOS</t>
  </si>
  <si>
    <t>TRANS12V10A9S</t>
  </si>
  <si>
    <t>TRANSFORMADOR 12V 5 AMPERIOS</t>
  </si>
  <si>
    <t>TRANS12V5</t>
  </si>
  <si>
    <t>TRANSFORMADOR 12V 3 AMPERIOS</t>
  </si>
  <si>
    <t>TRANS12V3</t>
  </si>
  <si>
    <t>TRANSFORMADOR 12V 2 AMPERIOS</t>
  </si>
  <si>
    <t>TRANS12V2</t>
  </si>
  <si>
    <t>TRANSFORMADOR 12V 1.5 AMPERIOS</t>
  </si>
  <si>
    <t>TRANS12V15</t>
  </si>
  <si>
    <t>TRANSFORMADOR 12V 1 AMPERIO</t>
  </si>
  <si>
    <t>TRANS12V1</t>
  </si>
  <si>
    <t>COSTO</t>
  </si>
  <si>
    <t>Columna2</t>
  </si>
  <si>
    <t>DCTO TIENDA</t>
  </si>
  <si>
    <t>COSTO CON IVA</t>
  </si>
  <si>
    <t>UTILIDAD</t>
  </si>
  <si>
    <t>PRECIO CLIENTE FINAL (IVA INCLUIDO)</t>
  </si>
  <si>
    <t>PRECIO TIENDA (IVA INCLUIDO)</t>
  </si>
  <si>
    <t>PRECIO INSTALADOR (IVA INCLUIDO)</t>
  </si>
  <si>
    <t>DESCRIPCION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</si>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</sst>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282828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5D6975"/>
      </bottom>
      <diagonal/>
    </border>
    <border>
      <left style="thin">
        <color rgb="FF000000"/>
      </left>
      <right style="thin">
        <color rgb="FF000000"/>
      </right>
      <top/>
      <bottom style="medium">
        <color rgb="FF5D6975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/>
  </cellStyleXfs>
  <cellXfs count="28">
    <xf numFmtId="0" fontId="0" fillId="0" borderId="0" xfId="0"/>
    <xf numFmtId="0" fontId="2" fillId="0" borderId="0" xfId="0" applyFont="1"/>
    <xf numFmtId="44" fontId="2" fillId="0" borderId="0" xfId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164" fontId="0" fillId="0" borderId="0" xfId="1" applyNumberFormat="1" applyFon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164" fontId="2" fillId="0" borderId="0" xfId="1" applyNumberFormat="1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64" fontId="3" fillId="0" borderId="2" xfId="1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164" fontId="0" fillId="0" borderId="4" xfId="1" applyNumberFormat="1" applyFont="1" applyFill="1" applyBorder="1" applyAlignment="1"/>
    <xf numFmtId="1" fontId="4" fillId="0" borderId="5" xfId="0" applyNumberFormat="1" applyFont="1" applyBorder="1"/>
    <xf numFmtId="1" fontId="4" fillId="0" borderId="3" xfId="0" applyNumberFormat="1" applyFont="1" applyBorder="1"/>
    <xf numFmtId="164" fontId="3" fillId="0" borderId="6" xfId="1" applyNumberFormat="1" applyFont="1" applyBorder="1" applyAlignment="1">
      <alignment horizontal="center" vertical="center"/>
    </xf>
    <xf numFmtId="0" fontId="5" fillId="0" borderId="0" xfId="0" applyFont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Normal 2" xfId="2" xr:uid="{1C6CBC37-C542-4240-87C3-1AC773CE1096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rgb="FF5D697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6DB71-7582-4B06-BBD9-F7E256FBDC4F}" name="Tabla114" displayName="Tabla114" ref="A1:J106" totalsRowShown="0" headerRowDxfId="17" dataDxfId="15" headerRowBorderDxfId="16" tableBorderDxfId="14" totalsRowBorderDxfId="13">
  <autoFilter ref="A1:J106" xr:uid="{00000000-0009-0000-0100-000001000000}"/>
  <tableColumns count="10">
    <tableColumn id="3" xr3:uid="{352CF5E8-642B-4C10-9B07-FBE3769D484A}" name="REFERENCIA" dataDxfId="12"/>
    <tableColumn id="4" xr3:uid="{506E30FB-63C8-49B5-ACAF-7FF9E7F6D537}" name="DESCRIPCION" dataDxfId="11"/>
    <tableColumn id="1" xr3:uid="{07236312-8FD2-41F3-9C2F-2FA318E022BB}" name="PRECIO INSTALADOR (IVA INCLUIDO)" dataDxfId="10" dataCellStyle="Moneda">
      <calculatedColumnFormula>+Tabla114[[#This Row],[COSTO CON IVA]]/Tabla114[[#This Row],[UTILIDAD]]</calculatedColumnFormula>
    </tableColumn>
    <tableColumn id="2" xr3:uid="{36D47992-9298-42C2-A21C-264574011F92}" name="PRECIO TIENDA (IVA INCLUIDO)" dataDxfId="9" dataCellStyle="Moneda">
      <calculatedColumnFormula>+Tabla114[[#This Row],[PRECIO INSTALADOR (IVA INCLUIDO)]]-Tabla114[[#This Row],[DCTO TIENDA]]</calculatedColumnFormula>
    </tableColumn>
    <tableColumn id="10" xr3:uid="{9AC7E7DF-EE30-49D3-81B3-95FD0917C7C0}" name="PRECIO CLIENTE FINAL (IVA INCLUIDO)" dataDxfId="8" dataCellStyle="Moneda">
      <calculatedColumnFormula>+Tabla114[[#This Row],[PRECIO INSTALADOR (IVA INCLUIDO)]]/0.7</calculatedColumnFormula>
    </tableColumn>
    <tableColumn id="5" xr3:uid="{BA32E92B-263D-460B-B04C-C2FED82410CF}" name="UTILIDAD" dataDxfId="7"/>
    <tableColumn id="6" xr3:uid="{1A08A4EA-01EC-4345-B897-A415F3A3748F}" name="COSTO CON IVA" dataDxfId="6" dataCellStyle="Moneda"/>
    <tableColumn id="7" xr3:uid="{1BF05181-BB24-42E7-814A-313A5D768E06}" name="DCTO TIENDA" dataDxfId="5">
      <calculatedColumnFormula>+Tabla114[[#This Row],[PRECIO INSTALADOR (IVA INCLUIDO)]]*5%</calculatedColumnFormula>
    </tableColumn>
    <tableColumn id="8" xr3:uid="{B155309F-D8F7-4CA3-8620-74E9159C41D7}" name="Columna2" dataDxfId="4"/>
    <tableColumn id="9" xr3:uid="{C5430F9C-CF11-4394-8CC5-FCF63879940F}" name="COSTO" dataDxfId="3" dataCellStyle="Moneda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5103-C4B2-4B76-9396-5DB68A7D3EFA}">
  <dimension ref="A1:J106"/>
  <sheetViews>
    <sheetView showGridLines="0" tabSelected="1" view="pageBreakPreview" zoomScale="60" zoomScaleNormal="100" workbookViewId="0">
      <pane ySplit="1" topLeftCell="A72" activePane="bottomLeft" state="frozen"/>
      <selection activeCell="D1" sqref="D1"/>
      <selection pane="bottomLeft" activeCell="B71" sqref="B71"/>
    </sheetView>
  </sheetViews>
  <sheetFormatPr baseColWidth="10" defaultRowHeight="14.25" x14ac:dyDescent="0.2"/>
  <cols>
    <col min="1" max="1" width="21.42578125" style="4" customWidth="1"/>
    <col min="2" max="2" width="45.28515625" style="3" customWidth="1"/>
    <col min="3" max="5" width="22.7109375" style="2" customWidth="1"/>
    <col min="6" max="6" width="12" style="1" customWidth="1"/>
    <col min="7" max="7" width="15.42578125" style="1" customWidth="1"/>
    <col min="8" max="8" width="9.5703125" style="1" customWidth="1"/>
    <col min="9" max="9" width="2.5703125" style="1" customWidth="1"/>
    <col min="10" max="10" width="15.5703125" style="1" customWidth="1"/>
    <col min="11" max="16384" width="11.42578125" style="1"/>
  </cols>
  <sheetData>
    <row r="1" spans="1:10" s="22" customFormat="1" ht="30.75" thickBot="1" x14ac:dyDescent="0.25">
      <c r="A1" s="27" t="s">
        <v>208</v>
      </c>
      <c r="B1" s="26" t="s">
        <v>207</v>
      </c>
      <c r="C1" s="26" t="s">
        <v>206</v>
      </c>
      <c r="D1" s="26" t="s">
        <v>205</v>
      </c>
      <c r="E1" s="26" t="s">
        <v>204</v>
      </c>
      <c r="F1" s="25" t="s">
        <v>203</v>
      </c>
      <c r="G1" s="25" t="s">
        <v>202</v>
      </c>
      <c r="H1" s="24" t="s">
        <v>201</v>
      </c>
      <c r="I1" s="24" t="s">
        <v>200</v>
      </c>
      <c r="J1" s="23" t="s">
        <v>199</v>
      </c>
    </row>
    <row r="2" spans="1:10" x14ac:dyDescent="0.2">
      <c r="A2" s="11" t="s">
        <v>198</v>
      </c>
      <c r="B2" s="10" t="s">
        <v>197</v>
      </c>
      <c r="C2" s="9">
        <f>+Tabla114[[#This Row],[COSTO CON IVA]]/Tabla114[[#This Row],[UTILIDAD]]</f>
        <v>4200</v>
      </c>
      <c r="D2" s="9">
        <f>+Tabla114[[#This Row],[PRECIO INSTALADOR (IVA INCLUIDO)]]-Tabla114[[#This Row],[DCTO TIENDA]]</f>
        <v>3990</v>
      </c>
      <c r="E2" s="9">
        <f>+Tabla114[[#This Row],[PRECIO INSTALADOR (IVA INCLUIDO)]]/0.7</f>
        <v>6000</v>
      </c>
      <c r="F2" s="8">
        <v>1</v>
      </c>
      <c r="G2" s="21">
        <f>Tabla114[[#This Row],[COSTO]]</f>
        <v>4200</v>
      </c>
      <c r="H2" s="8">
        <f>+Tabla114[[#This Row],[PRECIO INSTALADOR (IVA INCLUIDO)]]*5%</f>
        <v>210</v>
      </c>
      <c r="I2" s="8"/>
      <c r="J2" s="7">
        <v>4200</v>
      </c>
    </row>
    <row r="3" spans="1:10" x14ac:dyDescent="0.2">
      <c r="A3" s="11" t="s">
        <v>196</v>
      </c>
      <c r="B3" s="10" t="s">
        <v>195</v>
      </c>
      <c r="C3" s="9">
        <f>+Tabla114[[#This Row],[COSTO CON IVA]]/Tabla114[[#This Row],[UTILIDAD]]</f>
        <v>5100</v>
      </c>
      <c r="D3" s="9">
        <f>+Tabla114[[#This Row],[PRECIO INSTALADOR (IVA INCLUIDO)]]-Tabla114[[#This Row],[DCTO TIENDA]]</f>
        <v>4845</v>
      </c>
      <c r="E3" s="9">
        <f>+Tabla114[[#This Row],[PRECIO INSTALADOR (IVA INCLUIDO)]]/0.7</f>
        <v>7285.7142857142862</v>
      </c>
      <c r="F3" s="8">
        <v>1</v>
      </c>
      <c r="G3" s="21">
        <f>Tabla114[[#This Row],[COSTO]]</f>
        <v>5100</v>
      </c>
      <c r="H3" s="8">
        <f>+Tabla114[[#This Row],[PRECIO INSTALADOR (IVA INCLUIDO)]]*5%</f>
        <v>255</v>
      </c>
      <c r="I3" s="8"/>
      <c r="J3" s="7">
        <v>5100</v>
      </c>
    </row>
    <row r="4" spans="1:10" x14ac:dyDescent="0.2">
      <c r="A4" s="11" t="s">
        <v>194</v>
      </c>
      <c r="B4" s="10" t="s">
        <v>193</v>
      </c>
      <c r="C4" s="9">
        <f>+Tabla114[[#This Row],[COSTO CON IVA]]/Tabla114[[#This Row],[UTILIDAD]]</f>
        <v>6200</v>
      </c>
      <c r="D4" s="9">
        <f>+Tabla114[[#This Row],[PRECIO INSTALADOR (IVA INCLUIDO)]]-Tabla114[[#This Row],[DCTO TIENDA]]</f>
        <v>5890</v>
      </c>
      <c r="E4" s="9">
        <f>+Tabla114[[#This Row],[PRECIO INSTALADOR (IVA INCLUIDO)]]/0.7</f>
        <v>8857.1428571428569</v>
      </c>
      <c r="F4" s="8">
        <v>1</v>
      </c>
      <c r="G4" s="21">
        <f>Tabla114[[#This Row],[COSTO]]</f>
        <v>6200</v>
      </c>
      <c r="H4" s="8">
        <f>+Tabla114[[#This Row],[PRECIO INSTALADOR (IVA INCLUIDO)]]*5%</f>
        <v>310</v>
      </c>
      <c r="I4" s="8"/>
      <c r="J4" s="7">
        <v>6200</v>
      </c>
    </row>
    <row r="5" spans="1:10" x14ac:dyDescent="0.2">
      <c r="A5" s="11" t="s">
        <v>192</v>
      </c>
      <c r="B5" s="10" t="s">
        <v>191</v>
      </c>
      <c r="C5" s="9">
        <f>+Tabla114[[#This Row],[COSTO CON IVA]]/Tabla114[[#This Row],[UTILIDAD]]</f>
        <v>12100</v>
      </c>
      <c r="D5" s="9">
        <f>+Tabla114[[#This Row],[PRECIO INSTALADOR (IVA INCLUIDO)]]-Tabla114[[#This Row],[DCTO TIENDA]]</f>
        <v>11495</v>
      </c>
      <c r="E5" s="9">
        <f>+Tabla114[[#This Row],[PRECIO INSTALADOR (IVA INCLUIDO)]]/0.7</f>
        <v>17285.714285714286</v>
      </c>
      <c r="F5" s="8">
        <v>1</v>
      </c>
      <c r="G5" s="21">
        <f>Tabla114[[#This Row],[COSTO]]</f>
        <v>12100</v>
      </c>
      <c r="H5" s="8">
        <f>+Tabla114[[#This Row],[PRECIO INSTALADOR (IVA INCLUIDO)]]*5%</f>
        <v>605</v>
      </c>
      <c r="I5" s="8"/>
      <c r="J5" s="7">
        <v>12100</v>
      </c>
    </row>
    <row r="6" spans="1:10" ht="18" customHeight="1" x14ac:dyDescent="0.2">
      <c r="A6" s="11" t="s">
        <v>190</v>
      </c>
      <c r="B6" s="10" t="s">
        <v>189</v>
      </c>
      <c r="C6" s="9">
        <f>+Tabla114[[#This Row],[COSTO CON IVA]]/Tabla114[[#This Row],[UTILIDAD]]</f>
        <v>18000</v>
      </c>
      <c r="D6" s="9">
        <f>+Tabla114[[#This Row],[PRECIO INSTALADOR (IVA INCLUIDO)]]-Tabla114[[#This Row],[DCTO TIENDA]]</f>
        <v>17100</v>
      </c>
      <c r="E6" s="9">
        <f>+Tabla114[[#This Row],[PRECIO INSTALADOR (IVA INCLUIDO)]]/0.7</f>
        <v>25714.285714285717</v>
      </c>
      <c r="F6" s="8">
        <v>1</v>
      </c>
      <c r="G6" s="21">
        <f>Tabla114[[#This Row],[COSTO]]</f>
        <v>18000</v>
      </c>
      <c r="H6" s="8">
        <f>+Tabla114[[#This Row],[PRECIO INSTALADOR (IVA INCLUIDO)]]*5%</f>
        <v>900</v>
      </c>
      <c r="I6" s="8"/>
      <c r="J6" s="7">
        <v>18000</v>
      </c>
    </row>
    <row r="7" spans="1:10" x14ac:dyDescent="0.2">
      <c r="A7" s="11" t="s">
        <v>39</v>
      </c>
      <c r="B7" s="10" t="s">
        <v>38</v>
      </c>
      <c r="C7" s="9">
        <f>+Tabla114[[#This Row],[COSTO CON IVA]]/Tabla114[[#This Row],[UTILIDAD]]</f>
        <v>120000</v>
      </c>
      <c r="D7" s="9">
        <f>+Tabla114[[#This Row],[PRECIO INSTALADOR (IVA INCLUIDO)]]-Tabla114[[#This Row],[DCTO TIENDA]]</f>
        <v>114000</v>
      </c>
      <c r="E7" s="9">
        <f>+Tabla114[[#This Row],[PRECIO INSTALADOR (IVA INCLUIDO)]]/0.7</f>
        <v>171428.57142857145</v>
      </c>
      <c r="F7" s="8">
        <v>1</v>
      </c>
      <c r="G7" s="7">
        <f>Tabla114[[#This Row],[COSTO]]</f>
        <v>120000</v>
      </c>
      <c r="H7" s="8">
        <f>+Tabla114[[#This Row],[PRECIO INSTALADOR (IVA INCLUIDO)]]*5%</f>
        <v>6000</v>
      </c>
      <c r="I7" s="8"/>
      <c r="J7" s="7">
        <v>120000</v>
      </c>
    </row>
    <row r="8" spans="1:10" x14ac:dyDescent="0.2">
      <c r="A8" s="11" t="s">
        <v>188</v>
      </c>
      <c r="B8" s="10" t="s">
        <v>187</v>
      </c>
      <c r="C8" s="9">
        <f>+Tabla114[[#This Row],[COSTO CON IVA]]/Tabla114[[#This Row],[UTILIDAD]]</f>
        <v>85000</v>
      </c>
      <c r="D8" s="9">
        <f>+Tabla114[[#This Row],[PRECIO INSTALADOR (IVA INCLUIDO)]]-Tabla114[[#This Row],[DCTO TIENDA]]</f>
        <v>80750</v>
      </c>
      <c r="E8" s="9">
        <f>+Tabla114[[#This Row],[PRECIO INSTALADOR (IVA INCLUIDO)]]/0.7</f>
        <v>121428.57142857143</v>
      </c>
      <c r="F8" s="8">
        <v>1</v>
      </c>
      <c r="G8" s="21">
        <f>Tabla114[[#This Row],[COSTO]]</f>
        <v>85000</v>
      </c>
      <c r="H8" s="8">
        <f>+Tabla114[[#This Row],[PRECIO INSTALADOR (IVA INCLUIDO)]]*5%</f>
        <v>4250</v>
      </c>
      <c r="I8" s="8"/>
      <c r="J8" s="7">
        <v>85000</v>
      </c>
    </row>
    <row r="9" spans="1:10" x14ac:dyDescent="0.2">
      <c r="A9" s="11" t="s">
        <v>186</v>
      </c>
      <c r="B9" s="10" t="s">
        <v>185</v>
      </c>
      <c r="C9" s="9">
        <f>+Tabla114[[#This Row],[COSTO CON IVA]]/Tabla114[[#This Row],[UTILIDAD]]</f>
        <v>5000</v>
      </c>
      <c r="D9" s="9">
        <f>+Tabla114[[#This Row],[PRECIO INSTALADOR (IVA INCLUIDO)]]-Tabla114[[#This Row],[DCTO TIENDA]]</f>
        <v>4750</v>
      </c>
      <c r="E9" s="9">
        <f>+Tabla114[[#This Row],[PRECIO INSTALADOR (IVA INCLUIDO)]]/0.7</f>
        <v>7142.8571428571431</v>
      </c>
      <c r="F9" s="8">
        <v>1</v>
      </c>
      <c r="G9" s="21">
        <f>Tabla114[[#This Row],[COSTO]]</f>
        <v>5000</v>
      </c>
      <c r="H9" s="8">
        <f>+Tabla114[[#This Row],[PRECIO INSTALADOR (IVA INCLUIDO)]]*5%</f>
        <v>250</v>
      </c>
      <c r="I9" s="8"/>
      <c r="J9" s="7">
        <v>5000</v>
      </c>
    </row>
    <row r="10" spans="1:10" ht="28.5" x14ac:dyDescent="0.2">
      <c r="A10" s="11" t="s">
        <v>184</v>
      </c>
      <c r="B10" s="10" t="s">
        <v>183</v>
      </c>
      <c r="C10" s="9">
        <f>+Tabla114[[#This Row],[COSTO CON IVA]]/Tabla114[[#This Row],[UTILIDAD]]</f>
        <v>4200</v>
      </c>
      <c r="D10" s="9">
        <f>+Tabla114[[#This Row],[PRECIO INSTALADOR (IVA INCLUIDO)]]-Tabla114[[#This Row],[DCTO TIENDA]]</f>
        <v>3990</v>
      </c>
      <c r="E10" s="9">
        <f>+Tabla114[[#This Row],[PRECIO INSTALADOR (IVA INCLUIDO)]]/0.7</f>
        <v>6000</v>
      </c>
      <c r="F10" s="8">
        <v>1</v>
      </c>
      <c r="G10" s="21">
        <f>Tabla114[[#This Row],[COSTO]]</f>
        <v>4200</v>
      </c>
      <c r="H10" s="8">
        <f>+Tabla114[[#This Row],[PRECIO INSTALADOR (IVA INCLUIDO)]]*5%</f>
        <v>210</v>
      </c>
      <c r="I10" s="8"/>
      <c r="J10" s="7">
        <v>4200</v>
      </c>
    </row>
    <row r="11" spans="1:10" ht="57" x14ac:dyDescent="0.2">
      <c r="A11" s="11" t="s">
        <v>182</v>
      </c>
      <c r="B11" s="10" t="s">
        <v>181</v>
      </c>
      <c r="C11" s="9">
        <f>+Tabla114[[#This Row],[COSTO CON IVA]]/Tabla114[[#This Row],[UTILIDAD]]</f>
        <v>10000</v>
      </c>
      <c r="D11" s="9">
        <f>+Tabla114[[#This Row],[PRECIO INSTALADOR (IVA INCLUIDO)]]-Tabla114[[#This Row],[DCTO TIENDA]]</f>
        <v>9500</v>
      </c>
      <c r="E11" s="9">
        <f>+Tabla114[[#This Row],[PRECIO INSTALADOR (IVA INCLUIDO)]]/0.7</f>
        <v>14285.714285714286</v>
      </c>
      <c r="F11" s="8">
        <v>1</v>
      </c>
      <c r="G11" s="21">
        <f>Tabla114[[#This Row],[COSTO]]</f>
        <v>10000</v>
      </c>
      <c r="H11" s="8">
        <f>+Tabla114[[#This Row],[PRECIO INSTALADOR (IVA INCLUIDO)]]*5%</f>
        <v>500</v>
      </c>
      <c r="I11" s="8"/>
      <c r="J11" s="7">
        <v>10000</v>
      </c>
    </row>
    <row r="12" spans="1:10" ht="25.5" customHeight="1" x14ac:dyDescent="0.2">
      <c r="A12" s="11" t="s">
        <v>83</v>
      </c>
      <c r="B12" s="10" t="s">
        <v>82</v>
      </c>
      <c r="C12" s="9">
        <f>+Tabla114[[#This Row],[COSTO CON IVA]]/Tabla114[[#This Row],[UTILIDAD]]</f>
        <v>6800</v>
      </c>
      <c r="D12" s="9">
        <f>+Tabla114[[#This Row],[PRECIO INSTALADOR (IVA INCLUIDO)]]-Tabla114[[#This Row],[DCTO TIENDA]]</f>
        <v>6460</v>
      </c>
      <c r="E12" s="9">
        <f>+Tabla114[[#This Row],[PRECIO INSTALADOR (IVA INCLUIDO)]]/0.7</f>
        <v>9714.2857142857156</v>
      </c>
      <c r="F12" s="8">
        <v>1</v>
      </c>
      <c r="G12" s="7">
        <f>Tabla114[[#This Row],[COSTO]]</f>
        <v>6800</v>
      </c>
      <c r="H12" s="8">
        <f>+Tabla114[[#This Row],[PRECIO INSTALADOR (IVA INCLUIDO)]]*5%</f>
        <v>340</v>
      </c>
      <c r="I12" s="8"/>
      <c r="J12" s="7">
        <v>6800</v>
      </c>
    </row>
    <row r="13" spans="1:10" ht="28.5" x14ac:dyDescent="0.2">
      <c r="A13" s="11" t="s">
        <v>180</v>
      </c>
      <c r="B13" s="10" t="s">
        <v>179</v>
      </c>
      <c r="C13" s="9">
        <f>+Tabla114[[#This Row],[COSTO CON IVA]]/Tabla114[[#This Row],[UTILIDAD]]</f>
        <v>10800</v>
      </c>
      <c r="D13" s="9">
        <f>+Tabla114[[#This Row],[PRECIO INSTALADOR (IVA INCLUIDO)]]-Tabla114[[#This Row],[DCTO TIENDA]]</f>
        <v>10260</v>
      </c>
      <c r="E13" s="9">
        <f>+Tabla114[[#This Row],[PRECIO INSTALADOR (IVA INCLUIDO)]]/0.7</f>
        <v>15428.571428571429</v>
      </c>
      <c r="F13" s="8">
        <v>1</v>
      </c>
      <c r="G13" s="21">
        <f>Tabla114[[#This Row],[COSTO]]</f>
        <v>10800</v>
      </c>
      <c r="H13" s="8">
        <f>+Tabla114[[#This Row],[PRECIO INSTALADOR (IVA INCLUIDO)]]*5%</f>
        <v>540</v>
      </c>
      <c r="I13" s="8"/>
      <c r="J13" s="7">
        <v>10800</v>
      </c>
    </row>
    <row r="14" spans="1:10" ht="28.5" x14ac:dyDescent="0.2">
      <c r="A14" s="11" t="s">
        <v>178</v>
      </c>
      <c r="B14" s="10" t="s">
        <v>177</v>
      </c>
      <c r="C14" s="9">
        <f>+Tabla114[[#This Row],[COSTO CON IVA]]/Tabla114[[#This Row],[UTILIDAD]]</f>
        <v>4908.75</v>
      </c>
      <c r="D14" s="9">
        <f>+Tabla114[[#This Row],[PRECIO INSTALADOR (IVA INCLUIDO)]]-Tabla114[[#This Row],[DCTO TIENDA]]</f>
        <v>4663.3125</v>
      </c>
      <c r="E14" s="9">
        <f>+Tabla114[[#This Row],[PRECIO INSTALADOR (IVA INCLUIDO)]]/0.7</f>
        <v>7012.5</v>
      </c>
      <c r="F14" s="8">
        <v>0.8</v>
      </c>
      <c r="G14" s="7">
        <f>Tabla114[[#This Row],[COSTO]]*1.19</f>
        <v>3927</v>
      </c>
      <c r="H14" s="8">
        <f>+Tabla114[[#This Row],[PRECIO INSTALADOR (IVA INCLUIDO)]]*5%</f>
        <v>245.4375</v>
      </c>
      <c r="I14" s="8"/>
      <c r="J14" s="7">
        <v>3300</v>
      </c>
    </row>
    <row r="15" spans="1:10" x14ac:dyDescent="0.2">
      <c r="A15" s="11" t="s">
        <v>176</v>
      </c>
      <c r="B15" s="10" t="s">
        <v>175</v>
      </c>
      <c r="C15" s="9">
        <f>+Tabla114[[#This Row],[COSTO CON IVA]]/Tabla114[[#This Row],[UTILIDAD]]</f>
        <v>22680</v>
      </c>
      <c r="D15" s="9">
        <f>+Tabla114[[#This Row],[PRECIO INSTALADOR (IVA INCLUIDO)]]-Tabla114[[#This Row],[DCTO TIENDA]]</f>
        <v>21546</v>
      </c>
      <c r="E15" s="9">
        <f>+Tabla114[[#This Row],[PRECIO INSTALADOR (IVA INCLUIDO)]]/0.7</f>
        <v>32400.000000000004</v>
      </c>
      <c r="F15" s="8">
        <v>0.85</v>
      </c>
      <c r="G15" s="7">
        <f>Tabla114[[#This Row],[COSTO]]*1.19</f>
        <v>19278</v>
      </c>
      <c r="H15" s="8">
        <f>+Tabla114[[#This Row],[PRECIO INSTALADOR (IVA INCLUIDO)]]*5%</f>
        <v>1134</v>
      </c>
      <c r="I15" s="8"/>
      <c r="J15" s="7">
        <v>16200</v>
      </c>
    </row>
    <row r="16" spans="1:10" x14ac:dyDescent="0.2">
      <c r="A16" s="11" t="s">
        <v>174</v>
      </c>
      <c r="B16" s="11" t="s">
        <v>83</v>
      </c>
      <c r="C16" s="9">
        <f>+Tabla114[[#This Row],[COSTO CON IVA]]/Tabla114[[#This Row],[UTILIDAD]]</f>
        <v>16600</v>
      </c>
      <c r="D16" s="9">
        <f>+Tabla114[[#This Row],[PRECIO INSTALADOR (IVA INCLUIDO)]]-Tabla114[[#This Row],[DCTO TIENDA]]</f>
        <v>15770</v>
      </c>
      <c r="E16" s="9">
        <f>+Tabla114[[#This Row],[PRECIO INSTALADOR (IVA INCLUIDO)]]/0.7</f>
        <v>23714.285714285717</v>
      </c>
      <c r="F16" s="8">
        <v>1</v>
      </c>
      <c r="G16" s="7">
        <f>Tabla114[[#This Row],[COSTO]]</f>
        <v>16600</v>
      </c>
      <c r="H16" s="8">
        <f>+Tabla114[[#This Row],[PRECIO INSTALADOR (IVA INCLUIDO)]]*5%</f>
        <v>830</v>
      </c>
      <c r="I16" s="8"/>
      <c r="J16" s="7">
        <v>16600</v>
      </c>
    </row>
    <row r="17" spans="1:10" x14ac:dyDescent="0.2">
      <c r="A17" s="11" t="s">
        <v>173</v>
      </c>
      <c r="B17" s="10" t="s">
        <v>172</v>
      </c>
      <c r="C17" s="9">
        <f>+Tabla114[[#This Row],[COSTO CON IVA]]/Tabla114[[#This Row],[UTILIDAD]]</f>
        <v>500</v>
      </c>
      <c r="D17" s="9">
        <f>+Tabla114[[#This Row],[PRECIO INSTALADOR (IVA INCLUIDO)]]-Tabla114[[#This Row],[DCTO TIENDA]]</f>
        <v>475</v>
      </c>
      <c r="E17" s="9">
        <f>+Tabla114[[#This Row],[PRECIO INSTALADOR (IVA INCLUIDO)]]/0.7</f>
        <v>714.28571428571433</v>
      </c>
      <c r="F17" s="8">
        <v>1</v>
      </c>
      <c r="G17" s="7">
        <f>Tabla114[[#This Row],[COSTO]]</f>
        <v>500</v>
      </c>
      <c r="H17" s="8">
        <f>+Tabla114[[#This Row],[PRECIO INSTALADOR (IVA INCLUIDO)]]*5%</f>
        <v>25</v>
      </c>
      <c r="I17" s="8"/>
      <c r="J17" s="7">
        <v>500</v>
      </c>
    </row>
    <row r="18" spans="1:10" x14ac:dyDescent="0.2">
      <c r="A18" s="11" t="s">
        <v>171</v>
      </c>
      <c r="B18" s="10" t="s">
        <v>170</v>
      </c>
      <c r="C18" s="9">
        <f>+Tabla114[[#This Row],[COSTO CON IVA]]/Tabla114[[#This Row],[UTILIDAD]]</f>
        <v>500</v>
      </c>
      <c r="D18" s="9">
        <f>+Tabla114[[#This Row],[PRECIO INSTALADOR (IVA INCLUIDO)]]-Tabla114[[#This Row],[DCTO TIENDA]]</f>
        <v>475</v>
      </c>
      <c r="E18" s="9">
        <f>+Tabla114[[#This Row],[PRECIO INSTALADOR (IVA INCLUIDO)]]/0.7</f>
        <v>714.28571428571433</v>
      </c>
      <c r="F18" s="8">
        <v>1</v>
      </c>
      <c r="G18" s="7">
        <f>Tabla114[[#This Row],[COSTO]]</f>
        <v>500</v>
      </c>
      <c r="H18" s="8">
        <f>+Tabla114[[#This Row],[PRECIO INSTALADOR (IVA INCLUIDO)]]*5%</f>
        <v>25</v>
      </c>
      <c r="I18" s="8"/>
      <c r="J18" s="7">
        <v>500</v>
      </c>
    </row>
    <row r="19" spans="1:10" x14ac:dyDescent="0.2">
      <c r="A19" s="11" t="s">
        <v>169</v>
      </c>
      <c r="B19" s="10" t="s">
        <v>168</v>
      </c>
      <c r="C19" s="9">
        <f>+Tabla114[[#This Row],[COSTO CON IVA]]/Tabla114[[#This Row],[UTILIDAD]]</f>
        <v>1600</v>
      </c>
      <c r="D19" s="9">
        <f>+Tabla114[[#This Row],[PRECIO INSTALADOR (IVA INCLUIDO)]]-Tabla114[[#This Row],[DCTO TIENDA]]</f>
        <v>1520</v>
      </c>
      <c r="E19" s="9">
        <f>+Tabla114[[#This Row],[PRECIO INSTALADOR (IVA INCLUIDO)]]/0.7</f>
        <v>2285.7142857142858</v>
      </c>
      <c r="F19" s="8">
        <v>1</v>
      </c>
      <c r="G19" s="7">
        <f>Tabla114[[#This Row],[COSTO]]</f>
        <v>1600</v>
      </c>
      <c r="H19" s="8">
        <f>+Tabla114[[#This Row],[PRECIO INSTALADOR (IVA INCLUIDO)]]*5%</f>
        <v>80</v>
      </c>
      <c r="I19" s="8"/>
      <c r="J19" s="7">
        <v>1600</v>
      </c>
    </row>
    <row r="20" spans="1:10" x14ac:dyDescent="0.2">
      <c r="A20" s="11" t="s">
        <v>167</v>
      </c>
      <c r="B20" s="10" t="s">
        <v>166</v>
      </c>
      <c r="C20" s="9">
        <f>+Tabla114[[#This Row],[COSTO CON IVA]]/Tabla114[[#This Row],[UTILIDAD]]</f>
        <v>1200</v>
      </c>
      <c r="D20" s="9">
        <f>+Tabla114[[#This Row],[PRECIO INSTALADOR (IVA INCLUIDO)]]-Tabla114[[#This Row],[DCTO TIENDA]]</f>
        <v>1140</v>
      </c>
      <c r="E20" s="9">
        <f>+Tabla114[[#This Row],[PRECIO INSTALADOR (IVA INCLUIDO)]]/0.7</f>
        <v>1714.2857142857144</v>
      </c>
      <c r="F20" s="8">
        <v>1</v>
      </c>
      <c r="G20" s="7">
        <f>Tabla114[[#This Row],[COSTO]]</f>
        <v>1200</v>
      </c>
      <c r="H20" s="8">
        <f>+Tabla114[[#This Row],[PRECIO INSTALADOR (IVA INCLUIDO)]]*5%</f>
        <v>60</v>
      </c>
      <c r="I20" s="8"/>
      <c r="J20" s="7">
        <v>1200</v>
      </c>
    </row>
    <row r="21" spans="1:10" x14ac:dyDescent="0.2">
      <c r="A21" s="11" t="s">
        <v>165</v>
      </c>
      <c r="B21" s="10" t="s">
        <v>164</v>
      </c>
      <c r="C21" s="9">
        <f>+Tabla114[[#This Row],[COSTO CON IVA]]/Tabla114[[#This Row],[UTILIDAD]]</f>
        <v>200</v>
      </c>
      <c r="D21" s="9">
        <f>+Tabla114[[#This Row],[PRECIO INSTALADOR (IVA INCLUIDO)]]-Tabla114[[#This Row],[DCTO TIENDA]]</f>
        <v>190</v>
      </c>
      <c r="E21" s="9">
        <f>+Tabla114[[#This Row],[PRECIO INSTALADOR (IVA INCLUIDO)]]/0.7</f>
        <v>285.71428571428572</v>
      </c>
      <c r="F21" s="8">
        <v>1</v>
      </c>
      <c r="G21" s="7">
        <f>Tabla114[[#This Row],[COSTO]]</f>
        <v>200</v>
      </c>
      <c r="H21" s="8">
        <f>+Tabla114[[#This Row],[PRECIO INSTALADOR (IVA INCLUIDO)]]*5%</f>
        <v>10</v>
      </c>
      <c r="I21" s="8"/>
      <c r="J21" s="7">
        <v>200</v>
      </c>
    </row>
    <row r="22" spans="1:10" x14ac:dyDescent="0.2">
      <c r="A22" s="11" t="s">
        <v>163</v>
      </c>
      <c r="B22" s="10" t="s">
        <v>162</v>
      </c>
      <c r="C22" s="9">
        <f>+Tabla114[[#This Row],[COSTO CON IVA]]/Tabla114[[#This Row],[UTILIDAD]]</f>
        <v>600</v>
      </c>
      <c r="D22" s="9">
        <f>+Tabla114[[#This Row],[PRECIO INSTALADOR (IVA INCLUIDO)]]-Tabla114[[#This Row],[DCTO TIENDA]]</f>
        <v>570</v>
      </c>
      <c r="E22" s="9">
        <f>+Tabla114[[#This Row],[PRECIO INSTALADOR (IVA INCLUIDO)]]/0.7</f>
        <v>857.14285714285722</v>
      </c>
      <c r="F22" s="8">
        <v>1</v>
      </c>
      <c r="G22" s="7">
        <f>Tabla114[[#This Row],[COSTO]]</f>
        <v>600</v>
      </c>
      <c r="H22" s="8">
        <f>+Tabla114[[#This Row],[PRECIO INSTALADOR (IVA INCLUIDO)]]*5%</f>
        <v>30</v>
      </c>
      <c r="I22" s="8"/>
      <c r="J22" s="7">
        <v>600</v>
      </c>
    </row>
    <row r="23" spans="1:10" x14ac:dyDescent="0.2">
      <c r="A23" s="11" t="s">
        <v>161</v>
      </c>
      <c r="B23" s="10" t="s">
        <v>160</v>
      </c>
      <c r="C23" s="9">
        <f>+Tabla114[[#This Row],[COSTO CON IVA]]/Tabla114[[#This Row],[UTILIDAD]]</f>
        <v>300</v>
      </c>
      <c r="D23" s="9">
        <f>+Tabla114[[#This Row],[PRECIO INSTALADOR (IVA INCLUIDO)]]-Tabla114[[#This Row],[DCTO TIENDA]]</f>
        <v>285</v>
      </c>
      <c r="E23" s="9">
        <f>+Tabla114[[#This Row],[PRECIO INSTALADOR (IVA INCLUIDO)]]/0.7</f>
        <v>428.57142857142861</v>
      </c>
      <c r="F23" s="8">
        <v>1</v>
      </c>
      <c r="G23" s="7">
        <f>Tabla114[[#This Row],[COSTO]]</f>
        <v>300</v>
      </c>
      <c r="H23" s="8">
        <f>+Tabla114[[#This Row],[PRECIO INSTALADOR (IVA INCLUIDO)]]*5%</f>
        <v>15</v>
      </c>
      <c r="I23" s="8"/>
      <c r="J23" s="7">
        <v>300</v>
      </c>
    </row>
    <row r="24" spans="1:10" x14ac:dyDescent="0.2">
      <c r="A24" s="11" t="s">
        <v>159</v>
      </c>
      <c r="B24" s="10" t="s">
        <v>158</v>
      </c>
      <c r="C24" s="9">
        <f>+Tabla114[[#This Row],[COSTO CON IVA]]/Tabla114[[#This Row],[UTILIDAD]]</f>
        <v>3450</v>
      </c>
      <c r="D24" s="9">
        <f>+Tabla114[[#This Row],[PRECIO INSTALADOR (IVA INCLUIDO)]]-Tabla114[[#This Row],[DCTO TIENDA]]</f>
        <v>3277.5</v>
      </c>
      <c r="E24" s="9">
        <f>+Tabla114[[#This Row],[PRECIO INSTALADOR (IVA INCLUIDO)]]/0.7</f>
        <v>4928.5714285714284</v>
      </c>
      <c r="F24" s="8">
        <v>1</v>
      </c>
      <c r="G24" s="7">
        <f>Tabla114[[#This Row],[COSTO]]</f>
        <v>3450</v>
      </c>
      <c r="H24" s="8">
        <f>+Tabla114[[#This Row],[PRECIO INSTALADOR (IVA INCLUIDO)]]*5%</f>
        <v>172.5</v>
      </c>
      <c r="I24" s="8"/>
      <c r="J24" s="7">
        <v>3450</v>
      </c>
    </row>
    <row r="25" spans="1:10" x14ac:dyDescent="0.2">
      <c r="A25" s="11" t="s">
        <v>157</v>
      </c>
      <c r="B25" s="10" t="s">
        <v>156</v>
      </c>
      <c r="C25" s="9">
        <f>+Tabla114[[#This Row],[COSTO CON IVA]]/Tabla114[[#This Row],[UTILIDAD]]</f>
        <v>14374</v>
      </c>
      <c r="D25" s="9">
        <f>+Tabla114[[#This Row],[PRECIO INSTALADOR (IVA INCLUIDO)]]-Tabla114[[#This Row],[DCTO TIENDA]]</f>
        <v>13655.3</v>
      </c>
      <c r="E25" s="9">
        <f>+Tabla114[[#This Row],[PRECIO INSTALADOR (IVA INCLUIDO)]]/0.7</f>
        <v>20534.285714285717</v>
      </c>
      <c r="F25" s="8">
        <v>1</v>
      </c>
      <c r="G25" s="7">
        <f>Tabla114[[#This Row],[COSTO]]</f>
        <v>14374</v>
      </c>
      <c r="H25" s="8">
        <f>+Tabla114[[#This Row],[PRECIO INSTALADOR (IVA INCLUIDO)]]*5%</f>
        <v>718.7</v>
      </c>
      <c r="I25" s="8"/>
      <c r="J25" s="7">
        <v>14374</v>
      </c>
    </row>
    <row r="26" spans="1:10" x14ac:dyDescent="0.2">
      <c r="A26" s="11" t="s">
        <v>155</v>
      </c>
      <c r="B26" s="10" t="s">
        <v>154</v>
      </c>
      <c r="C26" s="9">
        <f>+Tabla114[[#This Row],[COSTO CON IVA]]/Tabla114[[#This Row],[UTILIDAD]]</f>
        <v>9000</v>
      </c>
      <c r="D26" s="9">
        <f>+Tabla114[[#This Row],[PRECIO INSTALADOR (IVA INCLUIDO)]]-Tabla114[[#This Row],[DCTO TIENDA]]</f>
        <v>8550</v>
      </c>
      <c r="E26" s="9">
        <f>+Tabla114[[#This Row],[PRECIO INSTALADOR (IVA INCLUIDO)]]/0.7</f>
        <v>12857.142857142859</v>
      </c>
      <c r="F26" s="8">
        <v>1</v>
      </c>
      <c r="G26" s="7">
        <f>Tabla114[[#This Row],[COSTO]]</f>
        <v>9000</v>
      </c>
      <c r="H26" s="8">
        <f>+Tabla114[[#This Row],[PRECIO INSTALADOR (IVA INCLUIDO)]]*5%</f>
        <v>450</v>
      </c>
      <c r="I26" s="8"/>
      <c r="J26" s="7">
        <v>9000</v>
      </c>
    </row>
    <row r="27" spans="1:10" x14ac:dyDescent="0.2">
      <c r="A27" s="11" t="s">
        <v>153</v>
      </c>
      <c r="B27" s="10" t="s">
        <v>152</v>
      </c>
      <c r="C27" s="9">
        <f>+Tabla114[[#This Row],[COSTO CON IVA]]/Tabla114[[#This Row],[UTILIDAD]]</f>
        <v>9100</v>
      </c>
      <c r="D27" s="9">
        <f>+Tabla114[[#This Row],[PRECIO INSTALADOR (IVA INCLUIDO)]]-Tabla114[[#This Row],[DCTO TIENDA]]</f>
        <v>8645</v>
      </c>
      <c r="E27" s="9">
        <f>+Tabla114[[#This Row],[PRECIO INSTALADOR (IVA INCLUIDO)]]/0.7</f>
        <v>13000</v>
      </c>
      <c r="F27" s="8">
        <v>1</v>
      </c>
      <c r="G27" s="7">
        <f>Tabla114[[#This Row],[COSTO]]</f>
        <v>9100</v>
      </c>
      <c r="H27" s="8">
        <f>+Tabla114[[#This Row],[PRECIO INSTALADOR (IVA INCLUIDO)]]*5%</f>
        <v>455</v>
      </c>
      <c r="I27" s="8"/>
      <c r="J27" s="7">
        <v>9100</v>
      </c>
    </row>
    <row r="28" spans="1:10" x14ac:dyDescent="0.2">
      <c r="A28" s="11" t="s">
        <v>151</v>
      </c>
      <c r="B28" s="10" t="s">
        <v>150</v>
      </c>
      <c r="C28" s="9">
        <f>+Tabla114[[#This Row],[COSTO CON IVA]]/Tabla114[[#This Row],[UTILIDAD]]</f>
        <v>6000</v>
      </c>
      <c r="D28" s="9">
        <f>+Tabla114[[#This Row],[PRECIO INSTALADOR (IVA INCLUIDO)]]-Tabla114[[#This Row],[DCTO TIENDA]]</f>
        <v>5700</v>
      </c>
      <c r="E28" s="9">
        <f>+Tabla114[[#This Row],[PRECIO INSTALADOR (IVA INCLUIDO)]]/0.7</f>
        <v>8571.4285714285725</v>
      </c>
      <c r="F28" s="8">
        <v>1</v>
      </c>
      <c r="G28" s="7">
        <f>Tabla114[[#This Row],[COSTO]]</f>
        <v>6000</v>
      </c>
      <c r="H28" s="8">
        <f>+Tabla114[[#This Row],[PRECIO INSTALADOR (IVA INCLUIDO)]]*5%</f>
        <v>300</v>
      </c>
      <c r="I28" s="8"/>
      <c r="J28" s="7">
        <v>6000</v>
      </c>
    </row>
    <row r="29" spans="1:10" ht="15" x14ac:dyDescent="0.25">
      <c r="A29" s="11" t="s">
        <v>149</v>
      </c>
      <c r="B29" s="13" t="s">
        <v>148</v>
      </c>
      <c r="C29" s="12">
        <f>+Tabla114[[#This Row],[COSTO CON IVA]]/Tabla114[[#This Row],[UTILIDAD]]</f>
        <v>22120</v>
      </c>
      <c r="D29" s="12">
        <f>+Tabla114[[#This Row],[PRECIO INSTALADOR (IVA INCLUIDO)]]-Tabla114[[#This Row],[DCTO TIENDA]]</f>
        <v>21014</v>
      </c>
      <c r="E29" s="12">
        <f>+Tabla114[[#This Row],[PRECIO INSTALADOR (IVA INCLUIDO)]]/0.7</f>
        <v>31600.000000000004</v>
      </c>
      <c r="F29" s="8">
        <v>0.85</v>
      </c>
      <c r="G29" s="7">
        <v>18802</v>
      </c>
      <c r="H29" s="20">
        <f>+Tabla114[[#This Row],[PRECIO INSTALADOR (IVA INCLUIDO)]]*5%</f>
        <v>1106</v>
      </c>
      <c r="I29" s="19"/>
      <c r="J29" s="18">
        <v>15800</v>
      </c>
    </row>
    <row r="30" spans="1:10" x14ac:dyDescent="0.2">
      <c r="A30" s="11" t="s">
        <v>147</v>
      </c>
      <c r="B30" s="10" t="s">
        <v>146</v>
      </c>
      <c r="C30" s="9">
        <f>+Tabla114[[#This Row],[COSTO CON IVA]]/Tabla114[[#This Row],[UTILIDAD]]</f>
        <v>37316</v>
      </c>
      <c r="D30" s="9">
        <f>+Tabla114[[#This Row],[PRECIO INSTALADOR (IVA INCLUIDO)]]-Tabla114[[#This Row],[DCTO TIENDA]]</f>
        <v>35450.199999999997</v>
      </c>
      <c r="E30" s="9">
        <f>+Tabla114[[#This Row],[PRECIO INSTALADOR (IVA INCLUIDO)]]/0.7</f>
        <v>53308.571428571435</v>
      </c>
      <c r="F30" s="8">
        <v>1</v>
      </c>
      <c r="G30" s="7">
        <f>Tabla114[[#This Row],[COSTO]]</f>
        <v>37316</v>
      </c>
      <c r="H30" s="8">
        <f>+Tabla114[[#This Row],[PRECIO INSTALADOR (IVA INCLUIDO)]]*5%</f>
        <v>1865.8000000000002</v>
      </c>
      <c r="I30" s="8"/>
      <c r="J30" s="7">
        <v>37316</v>
      </c>
    </row>
    <row r="31" spans="1:10" x14ac:dyDescent="0.2">
      <c r="A31" s="11" t="s">
        <v>145</v>
      </c>
      <c r="B31" s="10" t="s">
        <v>144</v>
      </c>
      <c r="C31" s="9">
        <f>+Tabla114[[#This Row],[COSTO CON IVA]]/Tabla114[[#This Row],[UTILIDAD]]</f>
        <v>2500</v>
      </c>
      <c r="D31" s="9">
        <f>+Tabla114[[#This Row],[PRECIO INSTALADOR (IVA INCLUIDO)]]-Tabla114[[#This Row],[DCTO TIENDA]]</f>
        <v>2375</v>
      </c>
      <c r="E31" s="9">
        <f>+Tabla114[[#This Row],[PRECIO INSTALADOR (IVA INCLUIDO)]]/0.7</f>
        <v>3571.4285714285716</v>
      </c>
      <c r="F31" s="8">
        <v>1</v>
      </c>
      <c r="G31" s="7">
        <f>Tabla114[[#This Row],[COSTO]]</f>
        <v>2500</v>
      </c>
      <c r="H31" s="8">
        <f>+Tabla114[[#This Row],[PRECIO INSTALADOR (IVA INCLUIDO)]]*5%</f>
        <v>125</v>
      </c>
      <c r="I31" s="8"/>
      <c r="J31" s="7">
        <v>2500</v>
      </c>
    </row>
    <row r="32" spans="1:10" x14ac:dyDescent="0.2">
      <c r="A32" s="11" t="s">
        <v>143</v>
      </c>
      <c r="B32" s="10" t="s">
        <v>142</v>
      </c>
      <c r="C32" s="9">
        <f>+Tabla114[[#This Row],[COSTO CON IVA]]/Tabla114[[#This Row],[UTILIDAD]]</f>
        <v>6600</v>
      </c>
      <c r="D32" s="9">
        <f>+Tabla114[[#This Row],[PRECIO INSTALADOR (IVA INCLUIDO)]]-Tabla114[[#This Row],[DCTO TIENDA]]</f>
        <v>6270</v>
      </c>
      <c r="E32" s="9">
        <f>+Tabla114[[#This Row],[PRECIO INSTALADOR (IVA INCLUIDO)]]/0.7</f>
        <v>9428.5714285714294</v>
      </c>
      <c r="F32" s="8">
        <v>1</v>
      </c>
      <c r="G32" s="7">
        <f>Tabla114[[#This Row],[COSTO]]</f>
        <v>6600</v>
      </c>
      <c r="H32" s="8">
        <f>+Tabla114[[#This Row],[PRECIO INSTALADOR (IVA INCLUIDO)]]*5%</f>
        <v>330</v>
      </c>
      <c r="I32" s="8"/>
      <c r="J32" s="7">
        <v>6600</v>
      </c>
    </row>
    <row r="33" spans="1:10" x14ac:dyDescent="0.2">
      <c r="A33" s="11" t="s">
        <v>141</v>
      </c>
      <c r="B33" s="10" t="s">
        <v>140</v>
      </c>
      <c r="C33" s="9">
        <f>+Tabla114[[#This Row],[COSTO CON IVA]]/Tabla114[[#This Row],[UTILIDAD]]</f>
        <v>10200</v>
      </c>
      <c r="D33" s="9">
        <f>+Tabla114[[#This Row],[PRECIO INSTALADOR (IVA INCLUIDO)]]-Tabla114[[#This Row],[DCTO TIENDA]]</f>
        <v>9690</v>
      </c>
      <c r="E33" s="9">
        <f>+Tabla114[[#This Row],[PRECIO INSTALADOR (IVA INCLUIDO)]]/0.7</f>
        <v>14571.428571428572</v>
      </c>
      <c r="F33" s="8">
        <v>1</v>
      </c>
      <c r="G33" s="7">
        <f>Tabla114[[#This Row],[COSTO]]</f>
        <v>10200</v>
      </c>
      <c r="H33" s="8">
        <f>+Tabla114[[#This Row],[PRECIO INSTALADOR (IVA INCLUIDO)]]*5%</f>
        <v>510</v>
      </c>
      <c r="I33" s="8"/>
      <c r="J33" s="7">
        <v>10200</v>
      </c>
    </row>
    <row r="34" spans="1:10" x14ac:dyDescent="0.2">
      <c r="A34" s="11" t="s">
        <v>139</v>
      </c>
      <c r="B34" s="10" t="s">
        <v>138</v>
      </c>
      <c r="C34" s="9">
        <f>+Tabla114[[#This Row],[COSTO CON IVA]]/Tabla114[[#This Row],[UTILIDAD]]</f>
        <v>15900</v>
      </c>
      <c r="D34" s="9">
        <f>+Tabla114[[#This Row],[PRECIO INSTALADOR (IVA INCLUIDO)]]-Tabla114[[#This Row],[DCTO TIENDA]]</f>
        <v>15105</v>
      </c>
      <c r="E34" s="9">
        <f>+Tabla114[[#This Row],[PRECIO INSTALADOR (IVA INCLUIDO)]]/0.7</f>
        <v>22714.285714285717</v>
      </c>
      <c r="F34" s="8">
        <v>1</v>
      </c>
      <c r="G34" s="7">
        <f>Tabla114[[#This Row],[COSTO]]</f>
        <v>15900</v>
      </c>
      <c r="H34" s="8">
        <f>+Tabla114[[#This Row],[PRECIO INSTALADOR (IVA INCLUIDO)]]*5%</f>
        <v>795</v>
      </c>
      <c r="I34" s="8"/>
      <c r="J34" s="7">
        <v>15900</v>
      </c>
    </row>
    <row r="35" spans="1:10" x14ac:dyDescent="0.2">
      <c r="A35" s="11" t="s">
        <v>137</v>
      </c>
      <c r="B35" s="10" t="s">
        <v>136</v>
      </c>
      <c r="C35" s="9">
        <f>+Tabla114[[#This Row],[COSTO CON IVA]]/Tabla114[[#This Row],[UTILIDAD]]</f>
        <v>18465</v>
      </c>
      <c r="D35" s="9">
        <f>+Tabla114[[#This Row],[PRECIO INSTALADOR (IVA INCLUIDO)]]-Tabla114[[#This Row],[DCTO TIENDA]]</f>
        <v>17541.75</v>
      </c>
      <c r="E35" s="9">
        <f>+Tabla114[[#This Row],[PRECIO INSTALADOR (IVA INCLUIDO)]]/0.7</f>
        <v>26378.571428571431</v>
      </c>
      <c r="F35" s="8">
        <v>1</v>
      </c>
      <c r="G35" s="7">
        <f>Tabla114[[#This Row],[COSTO]]</f>
        <v>18465</v>
      </c>
      <c r="H35" s="8">
        <f>+Tabla114[[#This Row],[PRECIO INSTALADOR (IVA INCLUIDO)]]*5%</f>
        <v>923.25</v>
      </c>
      <c r="I35" s="8"/>
      <c r="J35" s="7">
        <v>18465</v>
      </c>
    </row>
    <row r="36" spans="1:10" x14ac:dyDescent="0.2">
      <c r="A36" s="11" t="s">
        <v>135</v>
      </c>
      <c r="B36" s="10" t="s">
        <v>134</v>
      </c>
      <c r="C36" s="9">
        <f>+Tabla114[[#This Row],[COSTO CON IVA]]/Tabla114[[#This Row],[UTILIDAD]]</f>
        <v>35217</v>
      </c>
      <c r="D36" s="9">
        <f>+Tabla114[[#This Row],[PRECIO INSTALADOR (IVA INCLUIDO)]]-Tabla114[[#This Row],[DCTO TIENDA]]</f>
        <v>33456.15</v>
      </c>
      <c r="E36" s="9">
        <f>+Tabla114[[#This Row],[PRECIO INSTALADOR (IVA INCLUIDO)]]/0.7</f>
        <v>50310</v>
      </c>
      <c r="F36" s="8">
        <v>1</v>
      </c>
      <c r="G36" s="7">
        <f>Tabla114[[#This Row],[COSTO]]</f>
        <v>35217</v>
      </c>
      <c r="H36" s="8">
        <f>+Tabla114[[#This Row],[PRECIO INSTALADOR (IVA INCLUIDO)]]*5%</f>
        <v>1760.8500000000001</v>
      </c>
      <c r="I36" s="8"/>
      <c r="J36" s="7">
        <v>35217</v>
      </c>
    </row>
    <row r="37" spans="1:10" x14ac:dyDescent="0.2">
      <c r="A37" s="11" t="s">
        <v>133</v>
      </c>
      <c r="B37" s="10" t="s">
        <v>132</v>
      </c>
      <c r="C37" s="9">
        <f>+Tabla114[[#This Row],[COSTO CON IVA]]/Tabla114[[#This Row],[UTILIDAD]]</f>
        <v>2500</v>
      </c>
      <c r="D37" s="9">
        <f>+Tabla114[[#This Row],[PRECIO INSTALADOR (IVA INCLUIDO)]]-Tabla114[[#This Row],[DCTO TIENDA]]</f>
        <v>2375</v>
      </c>
      <c r="E37" s="9">
        <f>+Tabla114[[#This Row],[PRECIO INSTALADOR (IVA INCLUIDO)]]/0.7</f>
        <v>3571.4285714285716</v>
      </c>
      <c r="F37" s="8">
        <v>1</v>
      </c>
      <c r="G37" s="7">
        <f>Tabla114[[#This Row],[COSTO]]</f>
        <v>2500</v>
      </c>
      <c r="H37" s="8">
        <f>+Tabla114[[#This Row],[PRECIO INSTALADOR (IVA INCLUIDO)]]*5%</f>
        <v>125</v>
      </c>
      <c r="I37" s="8"/>
      <c r="J37" s="7">
        <v>2500</v>
      </c>
    </row>
    <row r="38" spans="1:10" x14ac:dyDescent="0.2">
      <c r="A38" s="11" t="s">
        <v>131</v>
      </c>
      <c r="B38" s="10" t="s">
        <v>130</v>
      </c>
      <c r="C38" s="9">
        <f>+Tabla114[[#This Row],[COSTO CON IVA]]/Tabla114[[#This Row],[UTILIDAD]]</f>
        <v>6600</v>
      </c>
      <c r="D38" s="9">
        <f>+Tabla114[[#This Row],[PRECIO INSTALADOR (IVA INCLUIDO)]]-Tabla114[[#This Row],[DCTO TIENDA]]</f>
        <v>6270</v>
      </c>
      <c r="E38" s="9">
        <f>+Tabla114[[#This Row],[PRECIO INSTALADOR (IVA INCLUIDO)]]/0.7</f>
        <v>9428.5714285714294</v>
      </c>
      <c r="F38" s="8">
        <v>1</v>
      </c>
      <c r="G38" s="7">
        <f>Tabla114[[#This Row],[COSTO]]</f>
        <v>6600</v>
      </c>
      <c r="H38" s="8">
        <f>+Tabla114[[#This Row],[PRECIO INSTALADOR (IVA INCLUIDO)]]*5%</f>
        <v>330</v>
      </c>
      <c r="I38" s="8"/>
      <c r="J38" s="7">
        <v>6600</v>
      </c>
    </row>
    <row r="39" spans="1:10" x14ac:dyDescent="0.2">
      <c r="A39" s="11" t="s">
        <v>129</v>
      </c>
      <c r="B39" s="10" t="s">
        <v>128</v>
      </c>
      <c r="C39" s="9">
        <f>+Tabla114[[#This Row],[COSTO CON IVA]]/Tabla114[[#This Row],[UTILIDAD]]</f>
        <v>10200</v>
      </c>
      <c r="D39" s="9">
        <f>+Tabla114[[#This Row],[PRECIO INSTALADOR (IVA INCLUIDO)]]-Tabla114[[#This Row],[DCTO TIENDA]]</f>
        <v>9690</v>
      </c>
      <c r="E39" s="9">
        <f>+Tabla114[[#This Row],[PRECIO INSTALADOR (IVA INCLUIDO)]]/0.7</f>
        <v>14571.428571428572</v>
      </c>
      <c r="F39" s="8">
        <v>1</v>
      </c>
      <c r="G39" s="7">
        <f>Tabla114[[#This Row],[COSTO]]</f>
        <v>10200</v>
      </c>
      <c r="H39" s="8">
        <f>+Tabla114[[#This Row],[PRECIO INSTALADOR (IVA INCLUIDO)]]*5%</f>
        <v>510</v>
      </c>
      <c r="I39" s="8"/>
      <c r="J39" s="7">
        <v>10200</v>
      </c>
    </row>
    <row r="40" spans="1:10" x14ac:dyDescent="0.2">
      <c r="A40" s="11" t="s">
        <v>127</v>
      </c>
      <c r="B40" s="10" t="s">
        <v>126</v>
      </c>
      <c r="C40" s="9">
        <f>+Tabla114[[#This Row],[COSTO CON IVA]]/Tabla114[[#This Row],[UTILIDAD]]</f>
        <v>15900</v>
      </c>
      <c r="D40" s="9">
        <f>+Tabla114[[#This Row],[PRECIO INSTALADOR (IVA INCLUIDO)]]-Tabla114[[#This Row],[DCTO TIENDA]]</f>
        <v>15105</v>
      </c>
      <c r="E40" s="9">
        <f>+Tabla114[[#This Row],[PRECIO INSTALADOR (IVA INCLUIDO)]]/0.7</f>
        <v>22714.285714285717</v>
      </c>
      <c r="F40" s="8">
        <v>1</v>
      </c>
      <c r="G40" s="7">
        <f>Tabla114[[#This Row],[COSTO]]</f>
        <v>15900</v>
      </c>
      <c r="H40" s="8">
        <f>+Tabla114[[#This Row],[PRECIO INSTALADOR (IVA INCLUIDO)]]*5%</f>
        <v>795</v>
      </c>
      <c r="I40" s="8"/>
      <c r="J40" s="7">
        <v>15900</v>
      </c>
    </row>
    <row r="41" spans="1:10" x14ac:dyDescent="0.2">
      <c r="A41" s="11" t="s">
        <v>125</v>
      </c>
      <c r="B41" s="10" t="s">
        <v>124</v>
      </c>
      <c r="C41" s="9">
        <f>+Tabla114[[#This Row],[COSTO CON IVA]]/Tabla114[[#This Row],[UTILIDAD]]</f>
        <v>18001</v>
      </c>
      <c r="D41" s="9">
        <f>+Tabla114[[#This Row],[PRECIO INSTALADOR (IVA INCLUIDO)]]-Tabla114[[#This Row],[DCTO TIENDA]]</f>
        <v>17100.95</v>
      </c>
      <c r="E41" s="9">
        <f>+Tabla114[[#This Row],[PRECIO INSTALADOR (IVA INCLUIDO)]]/0.7</f>
        <v>25715.714285714286</v>
      </c>
      <c r="F41" s="8">
        <v>1</v>
      </c>
      <c r="G41" s="7">
        <f>Tabla114[[#This Row],[COSTO]]</f>
        <v>18001</v>
      </c>
      <c r="H41" s="8">
        <f>+Tabla114[[#This Row],[PRECIO INSTALADOR (IVA INCLUIDO)]]*5%</f>
        <v>900.05000000000007</v>
      </c>
      <c r="I41" s="8"/>
      <c r="J41" s="7">
        <v>18001</v>
      </c>
    </row>
    <row r="42" spans="1:10" x14ac:dyDescent="0.2">
      <c r="A42" s="11" t="s">
        <v>123</v>
      </c>
      <c r="B42" s="10" t="s">
        <v>122</v>
      </c>
      <c r="C42" s="9">
        <f>+Tabla114[[#This Row],[COSTO CON IVA]]/Tabla114[[#This Row],[UTILIDAD]]</f>
        <v>35217</v>
      </c>
      <c r="D42" s="9">
        <f>+Tabla114[[#This Row],[PRECIO INSTALADOR (IVA INCLUIDO)]]-Tabla114[[#This Row],[DCTO TIENDA]]</f>
        <v>33456.15</v>
      </c>
      <c r="E42" s="9">
        <f>+Tabla114[[#This Row],[PRECIO INSTALADOR (IVA INCLUIDO)]]/0.7</f>
        <v>50310</v>
      </c>
      <c r="F42" s="8">
        <v>1</v>
      </c>
      <c r="G42" s="7">
        <f>Tabla114[[#This Row],[COSTO]]</f>
        <v>35217</v>
      </c>
      <c r="H42" s="8">
        <f>+Tabla114[[#This Row],[PRECIO INSTALADOR (IVA INCLUIDO)]]*5%</f>
        <v>1760.8500000000001</v>
      </c>
      <c r="I42" s="8"/>
      <c r="J42" s="7">
        <v>35217</v>
      </c>
    </row>
    <row r="43" spans="1:10" x14ac:dyDescent="0.2">
      <c r="A43" s="11" t="s">
        <v>121</v>
      </c>
      <c r="B43" s="10" t="s">
        <v>120</v>
      </c>
      <c r="C43" s="9">
        <f>+Tabla114[[#This Row],[COSTO CON IVA]]/Tabla114[[#This Row],[UTILIDAD]]</f>
        <v>12000</v>
      </c>
      <c r="D43" s="9">
        <f>+Tabla114[[#This Row],[PRECIO INSTALADOR (IVA INCLUIDO)]]-Tabla114[[#This Row],[DCTO TIENDA]]</f>
        <v>11400</v>
      </c>
      <c r="E43" s="9">
        <f>+Tabla114[[#This Row],[PRECIO INSTALADOR (IVA INCLUIDO)]]/0.7</f>
        <v>17142.857142857145</v>
      </c>
      <c r="F43" s="8">
        <v>1</v>
      </c>
      <c r="G43" s="7">
        <f>Tabla114[[#This Row],[COSTO]]</f>
        <v>12000</v>
      </c>
      <c r="H43" s="8">
        <f>+Tabla114[[#This Row],[PRECIO INSTALADOR (IVA INCLUIDO)]]*5%</f>
        <v>600</v>
      </c>
      <c r="I43" s="8"/>
      <c r="J43" s="7">
        <v>12000</v>
      </c>
    </row>
    <row r="44" spans="1:10" x14ac:dyDescent="0.2">
      <c r="A44" s="11" t="s">
        <v>119</v>
      </c>
      <c r="B44" s="10" t="s">
        <v>118</v>
      </c>
      <c r="C44" s="9">
        <f>+Tabla114[[#This Row],[COSTO CON IVA]]/Tabla114[[#This Row],[UTILIDAD]]</f>
        <v>16000</v>
      </c>
      <c r="D44" s="9">
        <f>+Tabla114[[#This Row],[PRECIO INSTALADOR (IVA INCLUIDO)]]-Tabla114[[#This Row],[DCTO TIENDA]]</f>
        <v>15200</v>
      </c>
      <c r="E44" s="9">
        <f>+Tabla114[[#This Row],[PRECIO INSTALADOR (IVA INCLUIDO)]]/0.7</f>
        <v>22857.142857142859</v>
      </c>
      <c r="F44" s="8">
        <v>1</v>
      </c>
      <c r="G44" s="7">
        <f>Tabla114[[#This Row],[COSTO]]</f>
        <v>16000</v>
      </c>
      <c r="H44" s="8">
        <f>+Tabla114[[#This Row],[PRECIO INSTALADOR (IVA INCLUIDO)]]*5%</f>
        <v>800</v>
      </c>
      <c r="I44" s="8"/>
      <c r="J44" s="7">
        <v>16000</v>
      </c>
    </row>
    <row r="45" spans="1:10" x14ac:dyDescent="0.2">
      <c r="A45" s="11" t="s">
        <v>117</v>
      </c>
      <c r="B45" s="10" t="s">
        <v>116</v>
      </c>
      <c r="C45" s="9">
        <f>+Tabla114[[#This Row],[COSTO CON IVA]]/Tabla114[[#This Row],[UTILIDAD]]</f>
        <v>8700</v>
      </c>
      <c r="D45" s="9">
        <f>+Tabla114[[#This Row],[PRECIO INSTALADOR (IVA INCLUIDO)]]-Tabla114[[#This Row],[DCTO TIENDA]]</f>
        <v>8265</v>
      </c>
      <c r="E45" s="9">
        <f>+Tabla114[[#This Row],[PRECIO INSTALADOR (IVA INCLUIDO)]]/0.7</f>
        <v>12428.571428571429</v>
      </c>
      <c r="F45" s="8">
        <v>1</v>
      </c>
      <c r="G45" s="7">
        <f>Tabla114[[#This Row],[COSTO]]</f>
        <v>8700</v>
      </c>
      <c r="H45" s="8">
        <f>+Tabla114[[#This Row],[PRECIO INSTALADOR (IVA INCLUIDO)]]*5%</f>
        <v>435</v>
      </c>
      <c r="I45" s="8"/>
      <c r="J45" s="7">
        <v>8700</v>
      </c>
    </row>
    <row r="46" spans="1:10" x14ac:dyDescent="0.2">
      <c r="A46" s="11" t="s">
        <v>115</v>
      </c>
      <c r="B46" s="10" t="s">
        <v>114</v>
      </c>
      <c r="C46" s="9">
        <f>+Tabla114[[#This Row],[COSTO CON IVA]]/Tabla114[[#This Row],[UTILIDAD]]</f>
        <v>2698.8235294117649</v>
      </c>
      <c r="D46" s="9">
        <f>+Tabla114[[#This Row],[PRECIO INSTALADOR (IVA INCLUIDO)]]-Tabla114[[#This Row],[DCTO TIENDA]]</f>
        <v>2563.8823529411766</v>
      </c>
      <c r="E46" s="9">
        <f>+Tabla114[[#This Row],[PRECIO INSTALADOR (IVA INCLUIDO)]]/0.7</f>
        <v>3855.4621848739503</v>
      </c>
      <c r="F46" s="8">
        <v>0.85</v>
      </c>
      <c r="G46" s="7">
        <f>Tabla114[[#This Row],[COSTO]]</f>
        <v>2294</v>
      </c>
      <c r="H46" s="8">
        <f>+Tabla114[[#This Row],[PRECIO INSTALADOR (IVA INCLUIDO)]]*5%</f>
        <v>134.94117647058826</v>
      </c>
      <c r="I46" s="8"/>
      <c r="J46" s="7">
        <v>2294</v>
      </c>
    </row>
    <row r="47" spans="1:10" ht="28.5" x14ac:dyDescent="0.2">
      <c r="A47" s="11" t="s">
        <v>113</v>
      </c>
      <c r="B47" s="10" t="s">
        <v>112</v>
      </c>
      <c r="C47" s="9">
        <f>+Tabla114[[#This Row],[COSTO CON IVA]]/Tabla114[[#This Row],[UTILIDAD]]</f>
        <v>5000</v>
      </c>
      <c r="D47" s="9">
        <f>+Tabla114[[#This Row],[PRECIO INSTALADOR (IVA INCLUIDO)]]-Tabla114[[#This Row],[DCTO TIENDA]]</f>
        <v>4750</v>
      </c>
      <c r="E47" s="9">
        <f>+Tabla114[[#This Row],[PRECIO INSTALADOR (IVA INCLUIDO)]]/0.7</f>
        <v>7142.8571428571431</v>
      </c>
      <c r="F47" s="8">
        <v>1</v>
      </c>
      <c r="G47" s="7">
        <f>Tabla114[[#This Row],[COSTO]]</f>
        <v>5000</v>
      </c>
      <c r="H47" s="8">
        <f>+Tabla114[[#This Row],[PRECIO INSTALADOR (IVA INCLUIDO)]]*5%</f>
        <v>250</v>
      </c>
      <c r="I47" s="8"/>
      <c r="J47" s="7">
        <v>5000</v>
      </c>
    </row>
    <row r="48" spans="1:10" ht="28.5" x14ac:dyDescent="0.2">
      <c r="A48" s="11" t="s">
        <v>111</v>
      </c>
      <c r="B48" s="10" t="s">
        <v>110</v>
      </c>
      <c r="C48" s="9">
        <f>+Tabla114[[#This Row],[COSTO CON IVA]]/Tabla114[[#This Row],[UTILIDAD]]</f>
        <v>3500</v>
      </c>
      <c r="D48" s="9">
        <f>+Tabla114[[#This Row],[PRECIO INSTALADOR (IVA INCLUIDO)]]-Tabla114[[#This Row],[DCTO TIENDA]]</f>
        <v>3325</v>
      </c>
      <c r="E48" s="9">
        <f>+Tabla114[[#This Row],[PRECIO INSTALADOR (IVA INCLUIDO)]]/0.7</f>
        <v>5000</v>
      </c>
      <c r="F48" s="8">
        <v>1</v>
      </c>
      <c r="G48" s="7">
        <f>Tabla114[[#This Row],[COSTO]]</f>
        <v>3500</v>
      </c>
      <c r="H48" s="8">
        <f>+Tabla114[[#This Row],[PRECIO INSTALADOR (IVA INCLUIDO)]]*5%</f>
        <v>175</v>
      </c>
      <c r="I48" s="8"/>
      <c r="J48" s="7">
        <v>3500</v>
      </c>
    </row>
    <row r="49" spans="1:10" x14ac:dyDescent="0.2">
      <c r="A49" s="11" t="s">
        <v>109</v>
      </c>
      <c r="B49" s="10" t="s">
        <v>108</v>
      </c>
      <c r="C49" s="9">
        <f>+Tabla114[[#This Row],[COSTO CON IVA]]/Tabla114[[#This Row],[UTILIDAD]]</f>
        <v>1780</v>
      </c>
      <c r="D49" s="9">
        <f>+Tabla114[[#This Row],[PRECIO INSTALADOR (IVA INCLUIDO)]]-Tabla114[[#This Row],[DCTO TIENDA]]</f>
        <v>1691</v>
      </c>
      <c r="E49" s="9">
        <f>+Tabla114[[#This Row],[PRECIO INSTALADOR (IVA INCLUIDO)]]/0.7</f>
        <v>2542.8571428571431</v>
      </c>
      <c r="F49" s="8">
        <v>0.85</v>
      </c>
      <c r="G49" s="7">
        <f>Tabla114[[#This Row],[COSTO]]</f>
        <v>1513</v>
      </c>
      <c r="H49" s="8">
        <f>+Tabla114[[#This Row],[PRECIO INSTALADOR (IVA INCLUIDO)]]*5%</f>
        <v>89</v>
      </c>
      <c r="I49" s="8"/>
      <c r="J49" s="7">
        <v>1513</v>
      </c>
    </row>
    <row r="50" spans="1:10" x14ac:dyDescent="0.2">
      <c r="A50" s="11" t="s">
        <v>107</v>
      </c>
      <c r="B50" s="10" t="s">
        <v>106</v>
      </c>
      <c r="C50" s="9">
        <f>+Tabla114[[#This Row],[COSTO CON IVA]]/Tabla114[[#This Row],[UTILIDAD]]</f>
        <v>22194</v>
      </c>
      <c r="D50" s="9">
        <f>+Tabla114[[#This Row],[PRECIO INSTALADOR (IVA INCLUIDO)]]-Tabla114[[#This Row],[DCTO TIENDA]]</f>
        <v>21084.3</v>
      </c>
      <c r="E50" s="9">
        <f>+Tabla114[[#This Row],[PRECIO INSTALADOR (IVA INCLUIDO)]]/0.7</f>
        <v>31705.714285714286</v>
      </c>
      <c r="F50" s="8">
        <v>1</v>
      </c>
      <c r="G50" s="7">
        <f>Tabla114[[#This Row],[COSTO]]</f>
        <v>22194</v>
      </c>
      <c r="H50" s="8">
        <f>+Tabla114[[#This Row],[PRECIO INSTALADOR (IVA INCLUIDO)]]*5%</f>
        <v>1109.7</v>
      </c>
      <c r="I50" s="8"/>
      <c r="J50" s="7">
        <v>22194</v>
      </c>
    </row>
    <row r="51" spans="1:10" ht="42.75" x14ac:dyDescent="0.2">
      <c r="A51" s="11" t="s">
        <v>105</v>
      </c>
      <c r="B51" s="10" t="s">
        <v>104</v>
      </c>
      <c r="C51" s="9">
        <f>+Tabla114[[#This Row],[COSTO CON IVA]]/Tabla114[[#This Row],[UTILIDAD]]</f>
        <v>34020</v>
      </c>
      <c r="D51" s="9">
        <f>+Tabla114[[#This Row],[PRECIO INSTALADOR (IVA INCLUIDO)]]-Tabla114[[#This Row],[DCTO TIENDA]]</f>
        <v>32319</v>
      </c>
      <c r="E51" s="9">
        <f>+Tabla114[[#This Row],[PRECIO INSTALADOR (IVA INCLUIDO)]]/0.7</f>
        <v>48600</v>
      </c>
      <c r="F51" s="8">
        <v>1</v>
      </c>
      <c r="G51" s="7">
        <f>Tabla114[[#This Row],[COSTO]]</f>
        <v>34020</v>
      </c>
      <c r="H51" s="8">
        <f>+Tabla114[[#This Row],[PRECIO INSTALADOR (IVA INCLUIDO)]]*5%</f>
        <v>1701</v>
      </c>
      <c r="I51" s="8"/>
      <c r="J51" s="7">
        <v>34020</v>
      </c>
    </row>
    <row r="52" spans="1:10" ht="28.5" x14ac:dyDescent="0.2">
      <c r="A52" s="11" t="s">
        <v>103</v>
      </c>
      <c r="B52" s="10" t="s">
        <v>102</v>
      </c>
      <c r="C52" s="9">
        <f>+Tabla114[[#This Row],[COSTO CON IVA]]/Tabla114[[#This Row],[UTILIDAD]]</f>
        <v>8000</v>
      </c>
      <c r="D52" s="9">
        <f>+Tabla114[[#This Row],[PRECIO INSTALADOR (IVA INCLUIDO)]]-Tabla114[[#This Row],[DCTO TIENDA]]</f>
        <v>7600</v>
      </c>
      <c r="E52" s="9">
        <f>+Tabla114[[#This Row],[PRECIO INSTALADOR (IVA INCLUIDO)]]/0.7</f>
        <v>11428.571428571429</v>
      </c>
      <c r="F52" s="8">
        <v>1</v>
      </c>
      <c r="G52" s="7">
        <f>Tabla114[[#This Row],[COSTO]]</f>
        <v>8000</v>
      </c>
      <c r="H52" s="8">
        <f>+Tabla114[[#This Row],[PRECIO INSTALADOR (IVA INCLUIDO)]]*5%</f>
        <v>400</v>
      </c>
      <c r="I52" s="8"/>
      <c r="J52" s="7">
        <v>8000</v>
      </c>
    </row>
    <row r="53" spans="1:10" x14ac:dyDescent="0.2">
      <c r="A53" s="11" t="s">
        <v>101</v>
      </c>
      <c r="B53" s="10" t="s">
        <v>100</v>
      </c>
      <c r="C53" s="9">
        <f>+Tabla114[[#This Row],[COSTO CON IVA]]/Tabla114[[#This Row],[UTILIDAD]]</f>
        <v>21870</v>
      </c>
      <c r="D53" s="9">
        <f>+Tabla114[[#This Row],[PRECIO INSTALADOR (IVA INCLUIDO)]]-Tabla114[[#This Row],[DCTO TIENDA]]</f>
        <v>20776.5</v>
      </c>
      <c r="E53" s="9">
        <f>+Tabla114[[#This Row],[PRECIO INSTALADOR (IVA INCLUIDO)]]/0.7</f>
        <v>31242.857142857145</v>
      </c>
      <c r="F53" s="8">
        <v>1</v>
      </c>
      <c r="G53" s="7">
        <f>Tabla114[[#This Row],[COSTO]]</f>
        <v>21870</v>
      </c>
      <c r="H53" s="8">
        <f>+Tabla114[[#This Row],[PRECIO INSTALADOR (IVA INCLUIDO)]]*5%</f>
        <v>1093.5</v>
      </c>
      <c r="I53" s="8"/>
      <c r="J53" s="7">
        <v>21870</v>
      </c>
    </row>
    <row r="54" spans="1:10" ht="28.5" x14ac:dyDescent="0.2">
      <c r="A54" s="11" t="s">
        <v>99</v>
      </c>
      <c r="B54" s="10" t="s">
        <v>98</v>
      </c>
      <c r="C54" s="9">
        <f>+Tabla114[[#This Row],[COSTO CON IVA]]/Tabla114[[#This Row],[UTILIDAD]]</f>
        <v>60249</v>
      </c>
      <c r="D54" s="9">
        <f>+Tabla114[[#This Row],[PRECIO INSTALADOR (IVA INCLUIDO)]]-Tabla114[[#This Row],[DCTO TIENDA]]</f>
        <v>57236.55</v>
      </c>
      <c r="E54" s="9">
        <f>+Tabla114[[#This Row],[PRECIO INSTALADOR (IVA INCLUIDO)]]/0.7</f>
        <v>86070</v>
      </c>
      <c r="F54" s="8">
        <v>1</v>
      </c>
      <c r="G54" s="7">
        <f>Tabla114[[#This Row],[COSTO]]</f>
        <v>60249</v>
      </c>
      <c r="H54" s="8">
        <f>+Tabla114[[#This Row],[PRECIO INSTALADOR (IVA INCLUIDO)]]*5%</f>
        <v>3012.4500000000003</v>
      </c>
      <c r="I54" s="8"/>
      <c r="J54" s="7">
        <v>60249</v>
      </c>
    </row>
    <row r="55" spans="1:10" x14ac:dyDescent="0.2">
      <c r="A55" s="11" t="s">
        <v>97</v>
      </c>
      <c r="B55" s="10" t="s">
        <v>96</v>
      </c>
      <c r="C55" s="9">
        <f>+Tabla114[[#This Row],[COSTO CON IVA]]/Tabla114[[#This Row],[UTILIDAD]]</f>
        <v>89379</v>
      </c>
      <c r="D55" s="9">
        <f>+Tabla114[[#This Row],[PRECIO INSTALADOR (IVA INCLUIDO)]]-Tabla114[[#This Row],[DCTO TIENDA]]</f>
        <v>84910.05</v>
      </c>
      <c r="E55" s="9">
        <f>+Tabla114[[#This Row],[PRECIO INSTALADOR (IVA INCLUIDO)]]/0.7</f>
        <v>127684.28571428572</v>
      </c>
      <c r="F55" s="8">
        <v>1</v>
      </c>
      <c r="G55" s="7">
        <f>Tabla114[[#This Row],[COSTO]]</f>
        <v>89379</v>
      </c>
      <c r="H55" s="8">
        <f>+Tabla114[[#This Row],[PRECIO INSTALADOR (IVA INCLUIDO)]]*5%</f>
        <v>4468.95</v>
      </c>
      <c r="I55" s="8"/>
      <c r="J55" s="7">
        <v>89379</v>
      </c>
    </row>
    <row r="56" spans="1:10" x14ac:dyDescent="0.2">
      <c r="A56" s="11" t="s">
        <v>95</v>
      </c>
      <c r="B56" s="10" t="s">
        <v>94</v>
      </c>
      <c r="C56" s="9">
        <f>+Tabla114[[#This Row],[COSTO CON IVA]]/Tabla114[[#This Row],[UTILIDAD]]</f>
        <v>89379</v>
      </c>
      <c r="D56" s="9">
        <f>+Tabla114[[#This Row],[PRECIO INSTALADOR (IVA INCLUIDO)]]-Tabla114[[#This Row],[DCTO TIENDA]]</f>
        <v>84910.05</v>
      </c>
      <c r="E56" s="9">
        <f>+Tabla114[[#This Row],[PRECIO INSTALADOR (IVA INCLUIDO)]]/0.7</f>
        <v>127684.28571428572</v>
      </c>
      <c r="F56" s="8">
        <v>1</v>
      </c>
      <c r="G56" s="7">
        <f>Tabla114[[#This Row],[COSTO]]</f>
        <v>89379</v>
      </c>
      <c r="H56" s="8">
        <f>+Tabla114[[#This Row],[PRECIO INSTALADOR (IVA INCLUIDO)]]*5%</f>
        <v>4468.95</v>
      </c>
      <c r="I56" s="8"/>
      <c r="J56" s="7">
        <v>89379</v>
      </c>
    </row>
    <row r="57" spans="1:10" x14ac:dyDescent="0.2">
      <c r="A57" s="11" t="s">
        <v>93</v>
      </c>
      <c r="B57" s="10" t="s">
        <v>92</v>
      </c>
      <c r="C57" s="9">
        <f>+Tabla114[[#This Row],[COSTO CON IVA]]/Tabla114[[#This Row],[UTILIDAD]]</f>
        <v>1500</v>
      </c>
      <c r="D57" s="9">
        <f>+Tabla114[[#This Row],[PRECIO INSTALADOR (IVA INCLUIDO)]]-Tabla114[[#This Row],[DCTO TIENDA]]</f>
        <v>1425</v>
      </c>
      <c r="E57" s="9">
        <f>+Tabla114[[#This Row],[PRECIO INSTALADOR (IVA INCLUIDO)]]/0.7</f>
        <v>2142.8571428571431</v>
      </c>
      <c r="F57" s="8">
        <v>1</v>
      </c>
      <c r="G57" s="7">
        <f>Tabla114[[#This Row],[COSTO]]</f>
        <v>1500</v>
      </c>
      <c r="H57" s="8">
        <f>+Tabla114[[#This Row],[PRECIO INSTALADOR (IVA INCLUIDO)]]*5%</f>
        <v>75</v>
      </c>
      <c r="I57" s="8"/>
      <c r="J57" s="7">
        <v>1500</v>
      </c>
    </row>
    <row r="58" spans="1:10" x14ac:dyDescent="0.2">
      <c r="A58" s="11" t="s">
        <v>91</v>
      </c>
      <c r="B58" s="10" t="s">
        <v>90</v>
      </c>
      <c r="C58" s="9">
        <f>+Tabla114[[#This Row],[COSTO CON IVA]]/Tabla114[[#This Row],[UTILIDAD]]</f>
        <v>1500</v>
      </c>
      <c r="D58" s="9">
        <f>+Tabla114[[#This Row],[PRECIO INSTALADOR (IVA INCLUIDO)]]-Tabla114[[#This Row],[DCTO TIENDA]]</f>
        <v>1425</v>
      </c>
      <c r="E58" s="9">
        <f>+Tabla114[[#This Row],[PRECIO INSTALADOR (IVA INCLUIDO)]]/0.7</f>
        <v>2142.8571428571431</v>
      </c>
      <c r="F58" s="8">
        <v>1</v>
      </c>
      <c r="G58" s="7">
        <f>Tabla114[[#This Row],[COSTO]]</f>
        <v>1500</v>
      </c>
      <c r="H58" s="8">
        <f>+Tabla114[[#This Row],[PRECIO INSTALADOR (IVA INCLUIDO)]]*5%</f>
        <v>75</v>
      </c>
      <c r="I58" s="8"/>
      <c r="J58" s="7">
        <v>1500</v>
      </c>
    </row>
    <row r="59" spans="1:10" x14ac:dyDescent="0.2">
      <c r="A59" s="11" t="s">
        <v>89</v>
      </c>
      <c r="B59" s="10" t="s">
        <v>88</v>
      </c>
      <c r="C59" s="9">
        <f>+Tabla114[[#This Row],[COSTO CON IVA]]/Tabla114[[#This Row],[UTILIDAD]]</f>
        <v>17765</v>
      </c>
      <c r="D59" s="9">
        <f>+Tabla114[[#This Row],[PRECIO INSTALADOR (IVA INCLUIDO)]]-Tabla114[[#This Row],[DCTO TIENDA]]</f>
        <v>16876.75</v>
      </c>
      <c r="E59" s="9">
        <f>+Tabla114[[#This Row],[PRECIO INSTALADOR (IVA INCLUIDO)]]/0.7</f>
        <v>25378.571428571431</v>
      </c>
      <c r="F59" s="8">
        <v>1</v>
      </c>
      <c r="G59" s="7">
        <f>Tabla114[[#This Row],[COSTO]]</f>
        <v>17765</v>
      </c>
      <c r="H59" s="8">
        <f>+Tabla114[[#This Row],[PRECIO INSTALADOR (IVA INCLUIDO)]]*5%</f>
        <v>888.25</v>
      </c>
      <c r="I59" s="8"/>
      <c r="J59" s="7">
        <v>17765</v>
      </c>
    </row>
    <row r="60" spans="1:10" x14ac:dyDescent="0.2">
      <c r="A60" s="11" t="s">
        <v>87</v>
      </c>
      <c r="B60" s="10" t="s">
        <v>86</v>
      </c>
      <c r="C60" s="9">
        <f>+Tabla114[[#This Row],[COSTO CON IVA]]/Tabla114[[#This Row],[UTILIDAD]]</f>
        <v>20600</v>
      </c>
      <c r="D60" s="9">
        <f>+Tabla114[[#This Row],[PRECIO INSTALADOR (IVA INCLUIDO)]]-Tabla114[[#This Row],[DCTO TIENDA]]</f>
        <v>19570</v>
      </c>
      <c r="E60" s="9">
        <f>+Tabla114[[#This Row],[PRECIO INSTALADOR (IVA INCLUIDO)]]/0.7</f>
        <v>29428.571428571431</v>
      </c>
      <c r="F60" s="8">
        <v>1</v>
      </c>
      <c r="G60" s="7">
        <f>Tabla114[[#This Row],[COSTO]]</f>
        <v>20600</v>
      </c>
      <c r="H60" s="8">
        <f>+Tabla114[[#This Row],[PRECIO INSTALADOR (IVA INCLUIDO)]]*5%</f>
        <v>1030</v>
      </c>
      <c r="I60" s="8"/>
      <c r="J60" s="7">
        <v>20600</v>
      </c>
    </row>
    <row r="61" spans="1:10" x14ac:dyDescent="0.2">
      <c r="A61" s="11" t="s">
        <v>85</v>
      </c>
      <c r="B61" s="10" t="s">
        <v>84</v>
      </c>
      <c r="C61" s="9">
        <f>+Tabla114[[#This Row],[COSTO CON IVA]]/Tabla114[[#This Row],[UTILIDAD]]</f>
        <v>22400</v>
      </c>
      <c r="D61" s="9">
        <f>+Tabla114[[#This Row],[PRECIO INSTALADOR (IVA INCLUIDO)]]-Tabla114[[#This Row],[DCTO TIENDA]]</f>
        <v>21280</v>
      </c>
      <c r="E61" s="9">
        <f>+Tabla114[[#This Row],[PRECIO INSTALADOR (IVA INCLUIDO)]]/0.7</f>
        <v>32000.000000000004</v>
      </c>
      <c r="F61" s="8">
        <v>1</v>
      </c>
      <c r="G61" s="7">
        <f>Tabla114[[#This Row],[COSTO]]</f>
        <v>22400</v>
      </c>
      <c r="H61" s="8">
        <f>+Tabla114[[#This Row],[PRECIO INSTALADOR (IVA INCLUIDO)]]*5%</f>
        <v>1120</v>
      </c>
      <c r="I61" s="8"/>
      <c r="J61" s="7">
        <v>22400</v>
      </c>
    </row>
    <row r="62" spans="1:10" ht="28.5" x14ac:dyDescent="0.2">
      <c r="A62" s="11" t="s">
        <v>81</v>
      </c>
      <c r="B62" s="10" t="s">
        <v>80</v>
      </c>
      <c r="C62" s="9">
        <f>+Tabla114[[#This Row],[COSTO CON IVA]]/Tabla114[[#This Row],[UTILIDAD]]</f>
        <v>2910.0909090909086</v>
      </c>
      <c r="D62" s="9">
        <f>+Tabla114[[#This Row],[PRECIO INSTALADOR (IVA INCLUIDO)]]-Tabla114[[#This Row],[DCTO TIENDA]]</f>
        <v>2764.5863636363633</v>
      </c>
      <c r="E62" s="9">
        <f>+Tabla114[[#This Row],[PRECIO INSTALADOR (IVA INCLUIDO)]]/0.7</f>
        <v>4157.272727272727</v>
      </c>
      <c r="F62" s="8">
        <v>0.55000000000000004</v>
      </c>
      <c r="G62" s="7">
        <f>Tabla114[[#This Row],[COSTO]]*1.19</f>
        <v>1600.55</v>
      </c>
      <c r="H62" s="8">
        <f>+Tabla114[[#This Row],[PRECIO INSTALADOR (IVA INCLUIDO)]]*5%</f>
        <v>145.50454545454542</v>
      </c>
      <c r="I62" s="8"/>
      <c r="J62" s="7">
        <v>1345</v>
      </c>
    </row>
    <row r="63" spans="1:10" x14ac:dyDescent="0.2">
      <c r="A63" s="11" t="s">
        <v>79</v>
      </c>
      <c r="B63" s="10" t="s">
        <v>78</v>
      </c>
      <c r="C63" s="9">
        <f>+Tabla114[[#This Row],[COSTO CON IVA]]/Tabla114[[#This Row],[UTILIDAD]]</f>
        <v>11039</v>
      </c>
      <c r="D63" s="9">
        <f>+Tabla114[[#This Row],[PRECIO INSTALADOR (IVA INCLUIDO)]]-Tabla114[[#This Row],[DCTO TIENDA]]</f>
        <v>10487.05</v>
      </c>
      <c r="E63" s="9">
        <f>+Tabla114[[#This Row],[PRECIO INSTALADOR (IVA INCLUIDO)]]/0.7</f>
        <v>15770.000000000002</v>
      </c>
      <c r="F63" s="8">
        <v>1</v>
      </c>
      <c r="G63" s="7">
        <f>Tabla114[[#This Row],[COSTO]]</f>
        <v>11039</v>
      </c>
      <c r="H63" s="8">
        <f>+Tabla114[[#This Row],[PRECIO INSTALADOR (IVA INCLUIDO)]]*5%</f>
        <v>551.95000000000005</v>
      </c>
      <c r="I63" s="8"/>
      <c r="J63" s="7">
        <v>11039</v>
      </c>
    </row>
    <row r="64" spans="1:10" ht="28.5" x14ac:dyDescent="0.2">
      <c r="A64" s="11" t="s">
        <v>77</v>
      </c>
      <c r="B64" s="10" t="s">
        <v>76</v>
      </c>
      <c r="C64" s="9">
        <f>+Tabla114[[#This Row],[COSTO CON IVA]]/Tabla114[[#This Row],[UTILIDAD]]</f>
        <v>46200</v>
      </c>
      <c r="D64" s="9">
        <f>+Tabla114[[#This Row],[PRECIO INSTALADOR (IVA INCLUIDO)]]-Tabla114[[#This Row],[DCTO TIENDA]]</f>
        <v>43890</v>
      </c>
      <c r="E64" s="9">
        <f>+Tabla114[[#This Row],[PRECIO INSTALADOR (IVA INCLUIDO)]]/0.7</f>
        <v>66000</v>
      </c>
      <c r="F64" s="8">
        <v>1</v>
      </c>
      <c r="G64" s="7">
        <f>Tabla114[[#This Row],[COSTO]]</f>
        <v>46200</v>
      </c>
      <c r="H64" s="8">
        <f>+Tabla114[[#This Row],[PRECIO INSTALADOR (IVA INCLUIDO)]]*5%</f>
        <v>2310</v>
      </c>
      <c r="I64" s="8"/>
      <c r="J64" s="7">
        <v>46200</v>
      </c>
    </row>
    <row r="65" spans="1:10" x14ac:dyDescent="0.2">
      <c r="A65" s="11" t="s">
        <v>75</v>
      </c>
      <c r="B65" s="10" t="s">
        <v>74</v>
      </c>
      <c r="C65" s="9">
        <f>+Tabla114[[#This Row],[COSTO CON IVA]]/Tabla114[[#This Row],[UTILIDAD]]</f>
        <v>77550</v>
      </c>
      <c r="D65" s="9">
        <f>+Tabla114[[#This Row],[PRECIO INSTALADOR (IVA INCLUIDO)]]-Tabla114[[#This Row],[DCTO TIENDA]]</f>
        <v>73672.5</v>
      </c>
      <c r="E65" s="9">
        <f>+Tabla114[[#This Row],[PRECIO INSTALADOR (IVA INCLUIDO)]]/0.7</f>
        <v>110785.71428571429</v>
      </c>
      <c r="F65" s="8">
        <v>1</v>
      </c>
      <c r="G65" s="7">
        <f>Tabla114[[#This Row],[COSTO]]</f>
        <v>77550</v>
      </c>
      <c r="H65" s="8">
        <f>+Tabla114[[#This Row],[PRECIO INSTALADOR (IVA INCLUIDO)]]*5%</f>
        <v>3877.5</v>
      </c>
      <c r="I65" s="8"/>
      <c r="J65" s="7">
        <v>77550</v>
      </c>
    </row>
    <row r="66" spans="1:10" x14ac:dyDescent="0.2">
      <c r="A66" s="11" t="s">
        <v>73</v>
      </c>
      <c r="B66" s="10" t="s">
        <v>72</v>
      </c>
      <c r="C66" s="9">
        <f>+Tabla114[[#This Row],[COSTO CON IVA]]/Tabla114[[#This Row],[UTILIDAD]]</f>
        <v>65350</v>
      </c>
      <c r="D66" s="9">
        <f>+Tabla114[[#This Row],[PRECIO INSTALADOR (IVA INCLUIDO)]]-Tabla114[[#This Row],[DCTO TIENDA]]</f>
        <v>62082.5</v>
      </c>
      <c r="E66" s="9">
        <f>+Tabla114[[#This Row],[PRECIO INSTALADOR (IVA INCLUIDO)]]/0.7</f>
        <v>93357.14285714287</v>
      </c>
      <c r="F66" s="8">
        <v>1</v>
      </c>
      <c r="G66" s="7">
        <f>Tabla114[[#This Row],[COSTO]]</f>
        <v>65350</v>
      </c>
      <c r="H66" s="8">
        <f>+Tabla114[[#This Row],[PRECIO INSTALADOR (IVA INCLUIDO)]]*5%</f>
        <v>3267.5</v>
      </c>
      <c r="I66" s="8"/>
      <c r="J66" s="7">
        <v>65350</v>
      </c>
    </row>
    <row r="67" spans="1:10" x14ac:dyDescent="0.2">
      <c r="A67" s="11">
        <v>16027</v>
      </c>
      <c r="B67" s="10" t="s">
        <v>71</v>
      </c>
      <c r="C67" s="9">
        <f>+Tabla114[[#This Row],[COSTO CON IVA]]/Tabla114[[#This Row],[UTILIDAD]]</f>
        <v>26235</v>
      </c>
      <c r="D67" s="9">
        <f>+Tabla114[[#This Row],[PRECIO INSTALADOR (IVA INCLUIDO)]]-Tabla114[[#This Row],[DCTO TIENDA]]</f>
        <v>24923.25</v>
      </c>
      <c r="E67" s="9">
        <f>+Tabla114[[#This Row],[PRECIO INSTALADOR (IVA INCLUIDO)]]/0.7</f>
        <v>37478.571428571428</v>
      </c>
      <c r="F67" s="8">
        <v>1</v>
      </c>
      <c r="G67" s="7">
        <f>Tabla114[[#This Row],[COSTO]]</f>
        <v>26235</v>
      </c>
      <c r="H67" s="8">
        <f>+Tabla114[[#This Row],[PRECIO INSTALADOR (IVA INCLUIDO)]]*5%</f>
        <v>1311.75</v>
      </c>
      <c r="I67" s="8"/>
      <c r="J67" s="7">
        <v>26235</v>
      </c>
    </row>
    <row r="68" spans="1:10" x14ac:dyDescent="0.2">
      <c r="A68" s="11">
        <v>16045</v>
      </c>
      <c r="B68" s="10" t="s">
        <v>70</v>
      </c>
      <c r="C68" s="9">
        <f>+Tabla114[[#This Row],[COSTO CON IVA]]/Tabla114[[#This Row],[UTILIDAD]]</f>
        <v>45059</v>
      </c>
      <c r="D68" s="9">
        <f>+Tabla114[[#This Row],[PRECIO INSTALADOR (IVA INCLUIDO)]]-Tabla114[[#This Row],[DCTO TIENDA]]</f>
        <v>42806.05</v>
      </c>
      <c r="E68" s="9">
        <f>+Tabla114[[#This Row],[PRECIO INSTALADOR (IVA INCLUIDO)]]/0.7</f>
        <v>64370.000000000007</v>
      </c>
      <c r="F68" s="8">
        <v>1</v>
      </c>
      <c r="G68" s="7">
        <f>Tabla114[[#This Row],[COSTO]]</f>
        <v>45059</v>
      </c>
      <c r="H68" s="8">
        <f>+Tabla114[[#This Row],[PRECIO INSTALADOR (IVA INCLUIDO)]]*5%</f>
        <v>2252.9500000000003</v>
      </c>
      <c r="I68" s="8"/>
      <c r="J68" s="7">
        <v>45059</v>
      </c>
    </row>
    <row r="69" spans="1:10" x14ac:dyDescent="0.2">
      <c r="A69" s="11" t="s">
        <v>69</v>
      </c>
      <c r="B69" s="10" t="s">
        <v>68</v>
      </c>
      <c r="C69" s="9">
        <f>+Tabla114[[#This Row],[COSTO CON IVA]]/Tabla114[[#This Row],[UTILIDAD]]</f>
        <v>34706</v>
      </c>
      <c r="D69" s="9">
        <f>+Tabla114[[#This Row],[PRECIO INSTALADOR (IVA INCLUIDO)]]-Tabla114[[#This Row],[DCTO TIENDA]]</f>
        <v>32970.699999999997</v>
      </c>
      <c r="E69" s="9">
        <f>+Tabla114[[#This Row],[PRECIO INSTALADOR (IVA INCLUIDO)]]/0.7</f>
        <v>49580</v>
      </c>
      <c r="F69" s="8">
        <v>1</v>
      </c>
      <c r="G69" s="7">
        <f>Tabla114[[#This Row],[COSTO]]</f>
        <v>34706</v>
      </c>
      <c r="H69" s="8">
        <f>+Tabla114[[#This Row],[PRECIO INSTALADOR (IVA INCLUIDO)]]*5%</f>
        <v>1735.3000000000002</v>
      </c>
      <c r="I69" s="8"/>
      <c r="J69" s="7">
        <v>34706</v>
      </c>
    </row>
    <row r="70" spans="1:10" x14ac:dyDescent="0.2">
      <c r="A70" s="11" t="s">
        <v>67</v>
      </c>
      <c r="B70" s="10" t="s">
        <v>66</v>
      </c>
      <c r="C70" s="9">
        <f>+Tabla114[[#This Row],[COSTO CON IVA]]/Tabla114[[#This Row],[UTILIDAD]]</f>
        <v>14706</v>
      </c>
      <c r="D70" s="9">
        <f>+Tabla114[[#This Row],[PRECIO INSTALADOR (IVA INCLUIDO)]]-Tabla114[[#This Row],[DCTO TIENDA]]</f>
        <v>13970.7</v>
      </c>
      <c r="E70" s="9">
        <f>+Tabla114[[#This Row],[PRECIO INSTALADOR (IVA INCLUIDO)]]/0.7</f>
        <v>21008.571428571431</v>
      </c>
      <c r="F70" s="8">
        <v>1</v>
      </c>
      <c r="G70" s="7">
        <f>Tabla114[[#This Row],[COSTO]]</f>
        <v>14706</v>
      </c>
      <c r="H70" s="8">
        <f>+Tabla114[[#This Row],[PRECIO INSTALADOR (IVA INCLUIDO)]]*5%</f>
        <v>735.30000000000007</v>
      </c>
      <c r="I70" s="8"/>
      <c r="J70" s="7">
        <v>14706</v>
      </c>
    </row>
    <row r="71" spans="1:10" x14ac:dyDescent="0.2">
      <c r="A71" s="11" t="s">
        <v>65</v>
      </c>
      <c r="B71" s="10" t="s">
        <v>64</v>
      </c>
      <c r="C71" s="9">
        <f>+Tabla114[[#This Row],[COSTO CON IVA]]/Tabla114[[#This Row],[UTILIDAD]]</f>
        <v>7950</v>
      </c>
      <c r="D71" s="9">
        <f>+Tabla114[[#This Row],[PRECIO INSTALADOR (IVA INCLUIDO)]]-Tabla114[[#This Row],[DCTO TIENDA]]</f>
        <v>7552.5</v>
      </c>
      <c r="E71" s="9">
        <f>+Tabla114[[#This Row],[PRECIO INSTALADOR (IVA INCLUIDO)]]/0.7</f>
        <v>11357.142857142859</v>
      </c>
      <c r="F71" s="8">
        <v>1</v>
      </c>
      <c r="G71" s="7">
        <f>Tabla114[[#This Row],[COSTO]]</f>
        <v>7950</v>
      </c>
      <c r="H71" s="8">
        <f>+Tabla114[[#This Row],[PRECIO INSTALADOR (IVA INCLUIDO)]]*5%</f>
        <v>397.5</v>
      </c>
      <c r="I71" s="8"/>
      <c r="J71" s="7">
        <v>7950</v>
      </c>
    </row>
    <row r="72" spans="1:10" ht="28.5" x14ac:dyDescent="0.2">
      <c r="A72" s="11" t="s">
        <v>63</v>
      </c>
      <c r="B72" s="10" t="s">
        <v>62</v>
      </c>
      <c r="C72" s="9">
        <f>+Tabla114[[#This Row],[COSTO CON IVA]]/Tabla114[[#This Row],[UTILIDAD]]</f>
        <v>38400</v>
      </c>
      <c r="D72" s="9">
        <f>+Tabla114[[#This Row],[PRECIO INSTALADOR (IVA INCLUIDO)]]-Tabla114[[#This Row],[DCTO TIENDA]]</f>
        <v>36480</v>
      </c>
      <c r="E72" s="9">
        <f>+Tabla114[[#This Row],[PRECIO INSTALADOR (IVA INCLUIDO)]]/0.7</f>
        <v>54857.142857142862</v>
      </c>
      <c r="F72" s="8">
        <v>1</v>
      </c>
      <c r="G72" s="7">
        <f>Tabla114[[#This Row],[COSTO]]</f>
        <v>38400</v>
      </c>
      <c r="H72" s="8">
        <f>+Tabla114[[#This Row],[PRECIO INSTALADOR (IVA INCLUIDO)]]*5%</f>
        <v>1920</v>
      </c>
      <c r="I72" s="8"/>
      <c r="J72" s="7">
        <v>38400</v>
      </c>
    </row>
    <row r="73" spans="1:10" ht="28.5" x14ac:dyDescent="0.2">
      <c r="A73" s="11" t="s">
        <v>61</v>
      </c>
      <c r="B73" s="10" t="s">
        <v>60</v>
      </c>
      <c r="C73" s="9">
        <f>+Tabla114[[#This Row],[COSTO CON IVA]]/Tabla114[[#This Row],[UTILIDAD]]</f>
        <v>114800</v>
      </c>
      <c r="D73" s="9">
        <f>+Tabla114[[#This Row],[PRECIO INSTALADOR (IVA INCLUIDO)]]-Tabla114[[#This Row],[DCTO TIENDA]]</f>
        <v>109060</v>
      </c>
      <c r="E73" s="9">
        <f>+Tabla114[[#This Row],[PRECIO INSTALADOR (IVA INCLUIDO)]]/0.7</f>
        <v>164000</v>
      </c>
      <c r="F73" s="8">
        <v>1</v>
      </c>
      <c r="G73" s="7">
        <f>Tabla114[[#This Row],[COSTO]]</f>
        <v>114800</v>
      </c>
      <c r="H73" s="8">
        <f>+Tabla114[[#This Row],[PRECIO INSTALADOR (IVA INCLUIDO)]]*5%</f>
        <v>5740</v>
      </c>
      <c r="I73" s="8"/>
      <c r="J73" s="7">
        <v>114800</v>
      </c>
    </row>
    <row r="74" spans="1:10" x14ac:dyDescent="0.2">
      <c r="A74" s="11" t="s">
        <v>59</v>
      </c>
      <c r="B74" s="10" t="s">
        <v>58</v>
      </c>
      <c r="C74" s="9">
        <f>+Tabla114[[#This Row],[COSTO CON IVA]]/Tabla114[[#This Row],[UTILIDAD]]</f>
        <v>47600</v>
      </c>
      <c r="D74" s="9">
        <f>+Tabla114[[#This Row],[PRECIO INSTALADOR (IVA INCLUIDO)]]-Tabla114[[#This Row],[DCTO TIENDA]]</f>
        <v>45220</v>
      </c>
      <c r="E74" s="9">
        <f>+Tabla114[[#This Row],[PRECIO INSTALADOR (IVA INCLUIDO)]]/0.7</f>
        <v>68000</v>
      </c>
      <c r="F74" s="8">
        <v>1</v>
      </c>
      <c r="G74" s="7">
        <f>Tabla114[[#This Row],[COSTO]]</f>
        <v>47600</v>
      </c>
      <c r="H74" s="8">
        <f>+Tabla114[[#This Row],[PRECIO INSTALADOR (IVA INCLUIDO)]]*5%</f>
        <v>2380</v>
      </c>
      <c r="I74" s="8"/>
      <c r="J74" s="7">
        <v>47600</v>
      </c>
    </row>
    <row r="75" spans="1:10" x14ac:dyDescent="0.2">
      <c r="A75" s="11" t="s">
        <v>57</v>
      </c>
      <c r="B75" s="10" t="s">
        <v>56</v>
      </c>
      <c r="C75" s="9">
        <f>+Tabla114[[#This Row],[COSTO CON IVA]]/Tabla114[[#This Row],[UTILIDAD]]</f>
        <v>23200</v>
      </c>
      <c r="D75" s="9">
        <f>+Tabla114[[#This Row],[PRECIO INSTALADOR (IVA INCLUIDO)]]-Tabla114[[#This Row],[DCTO TIENDA]]</f>
        <v>22040</v>
      </c>
      <c r="E75" s="9">
        <f>+Tabla114[[#This Row],[PRECIO INSTALADOR (IVA INCLUIDO)]]/0.7</f>
        <v>33142.857142857145</v>
      </c>
      <c r="F75" s="8">
        <v>1</v>
      </c>
      <c r="G75" s="7">
        <f>Tabla114[[#This Row],[COSTO]]</f>
        <v>23200</v>
      </c>
      <c r="H75" s="8">
        <f>+Tabla114[[#This Row],[PRECIO INSTALADOR (IVA INCLUIDO)]]*5%</f>
        <v>1160</v>
      </c>
      <c r="I75" s="8"/>
      <c r="J75" s="7">
        <v>23200</v>
      </c>
    </row>
    <row r="76" spans="1:10" x14ac:dyDescent="0.2">
      <c r="A76" s="11" t="s">
        <v>55</v>
      </c>
      <c r="B76" s="10" t="s">
        <v>54</v>
      </c>
      <c r="C76" s="9">
        <f>+Tabla114[[#This Row],[COSTO CON IVA]]/Tabla114[[#This Row],[UTILIDAD]]</f>
        <v>72800</v>
      </c>
      <c r="D76" s="9">
        <f>+Tabla114[[#This Row],[PRECIO INSTALADOR (IVA INCLUIDO)]]-Tabla114[[#This Row],[DCTO TIENDA]]</f>
        <v>69160</v>
      </c>
      <c r="E76" s="9">
        <f>+Tabla114[[#This Row],[PRECIO INSTALADOR (IVA INCLUIDO)]]/0.7</f>
        <v>104000</v>
      </c>
      <c r="F76" s="8">
        <v>1</v>
      </c>
      <c r="G76" s="7">
        <f>Tabla114[[#This Row],[COSTO]]</f>
        <v>72800</v>
      </c>
      <c r="H76" s="8">
        <f>+Tabla114[[#This Row],[PRECIO INSTALADOR (IVA INCLUIDO)]]*5%</f>
        <v>3640</v>
      </c>
      <c r="I76" s="8"/>
      <c r="J76" s="7">
        <v>72800</v>
      </c>
    </row>
    <row r="77" spans="1:10" ht="28.5" x14ac:dyDescent="0.2">
      <c r="A77" s="11" t="s">
        <v>53</v>
      </c>
      <c r="B77" s="10" t="s">
        <v>52</v>
      </c>
      <c r="C77" s="9">
        <f>+Tabla114[[#This Row],[COSTO CON IVA]]/Tabla114[[#This Row],[UTILIDAD]]</f>
        <v>9100</v>
      </c>
      <c r="D77" s="9">
        <f>+Tabla114[[#This Row],[PRECIO INSTALADOR (IVA INCLUIDO)]]-Tabla114[[#This Row],[DCTO TIENDA]]</f>
        <v>8645</v>
      </c>
      <c r="E77" s="9">
        <f>+Tabla114[[#This Row],[PRECIO INSTALADOR (IVA INCLUIDO)]]/0.7</f>
        <v>13000</v>
      </c>
      <c r="F77" s="8">
        <v>1</v>
      </c>
      <c r="G77" s="7">
        <f>Tabla114[[#This Row],[COSTO]]</f>
        <v>9100</v>
      </c>
      <c r="H77" s="8">
        <f>+Tabla114[[#This Row],[PRECIO INSTALADOR (IVA INCLUIDO)]]*5%</f>
        <v>455</v>
      </c>
      <c r="I77" s="8"/>
      <c r="J77" s="7">
        <v>9100</v>
      </c>
    </row>
    <row r="78" spans="1:10" ht="28.5" x14ac:dyDescent="0.2">
      <c r="A78" s="11" t="s">
        <v>51</v>
      </c>
      <c r="B78" s="10" t="s">
        <v>50</v>
      </c>
      <c r="C78" s="9">
        <f>+Tabla114[[#This Row],[COSTO CON IVA]]/Tabla114[[#This Row],[UTILIDAD]]</f>
        <v>37800</v>
      </c>
      <c r="D78" s="9">
        <f>+Tabla114[[#This Row],[PRECIO INSTALADOR (IVA INCLUIDO)]]-Tabla114[[#This Row],[DCTO TIENDA]]</f>
        <v>35910</v>
      </c>
      <c r="E78" s="9">
        <f>+Tabla114[[#This Row],[PRECIO INSTALADOR (IVA INCLUIDO)]]/0.7</f>
        <v>54000</v>
      </c>
      <c r="F78" s="8">
        <v>1</v>
      </c>
      <c r="G78" s="7">
        <f>Tabla114[[#This Row],[COSTO]]</f>
        <v>37800</v>
      </c>
      <c r="H78" s="8">
        <f>+Tabla114[[#This Row],[PRECIO INSTALADOR (IVA INCLUIDO)]]*5%</f>
        <v>1890</v>
      </c>
      <c r="I78" s="8"/>
      <c r="J78" s="7">
        <v>37800</v>
      </c>
    </row>
    <row r="79" spans="1:10" ht="28.5" x14ac:dyDescent="0.2">
      <c r="A79" s="11" t="s">
        <v>49</v>
      </c>
      <c r="B79" s="10" t="s">
        <v>48</v>
      </c>
      <c r="C79" s="9">
        <f>+Tabla114[[#This Row],[COSTO CON IVA]]/Tabla114[[#This Row],[UTILIDAD]]</f>
        <v>46600</v>
      </c>
      <c r="D79" s="9">
        <f>+Tabla114[[#This Row],[PRECIO INSTALADOR (IVA INCLUIDO)]]-Tabla114[[#This Row],[DCTO TIENDA]]</f>
        <v>44270</v>
      </c>
      <c r="E79" s="9">
        <f>+Tabla114[[#This Row],[PRECIO INSTALADOR (IVA INCLUIDO)]]/0.7</f>
        <v>66571.42857142858</v>
      </c>
      <c r="F79" s="8">
        <v>1</v>
      </c>
      <c r="G79" s="7">
        <f>Tabla114[[#This Row],[COSTO]]</f>
        <v>46600</v>
      </c>
      <c r="H79" s="8">
        <f>+Tabla114[[#This Row],[PRECIO INSTALADOR (IVA INCLUIDO)]]*5%</f>
        <v>2330</v>
      </c>
      <c r="I79" s="8"/>
      <c r="J79" s="7">
        <v>46600</v>
      </c>
    </row>
    <row r="80" spans="1:10" x14ac:dyDescent="0.2">
      <c r="A80" s="11">
        <v>743178</v>
      </c>
      <c r="B80" s="10" t="s">
        <v>47</v>
      </c>
      <c r="C80" s="9">
        <f>+Tabla114[[#This Row],[COSTO CON IVA]]/Tabla114[[#This Row],[UTILIDAD]]</f>
        <v>68600</v>
      </c>
      <c r="D80" s="9">
        <f>+Tabla114[[#This Row],[PRECIO INSTALADOR (IVA INCLUIDO)]]-Tabla114[[#This Row],[DCTO TIENDA]]</f>
        <v>65170</v>
      </c>
      <c r="E80" s="9">
        <f>+Tabla114[[#This Row],[PRECIO INSTALADOR (IVA INCLUIDO)]]/0.7</f>
        <v>98000</v>
      </c>
      <c r="F80" s="8">
        <v>1</v>
      </c>
      <c r="G80" s="7">
        <f>Tabla114[[#This Row],[COSTO]]</f>
        <v>68600</v>
      </c>
      <c r="H80" s="8">
        <f>+Tabla114[[#This Row],[PRECIO INSTALADOR (IVA INCLUIDO)]]*5%</f>
        <v>3430</v>
      </c>
      <c r="I80" s="8"/>
      <c r="J80" s="7">
        <v>68600</v>
      </c>
    </row>
    <row r="81" spans="1:10" x14ac:dyDescent="0.2">
      <c r="A81" s="11">
        <v>110087</v>
      </c>
      <c r="B81" s="10" t="s">
        <v>46</v>
      </c>
      <c r="C81" s="9">
        <f>+Tabla114[[#This Row],[COSTO CON IVA]]/Tabla114[[#This Row],[UTILIDAD]]</f>
        <v>3529</v>
      </c>
      <c r="D81" s="9">
        <f>+Tabla114[[#This Row],[PRECIO INSTALADOR (IVA INCLUIDO)]]-Tabla114[[#This Row],[DCTO TIENDA]]</f>
        <v>3352.55</v>
      </c>
      <c r="E81" s="9">
        <f>+Tabla114[[#This Row],[PRECIO INSTALADOR (IVA INCLUIDO)]]/0.7</f>
        <v>5041.4285714285716</v>
      </c>
      <c r="F81" s="8">
        <v>1</v>
      </c>
      <c r="G81" s="7">
        <f>Tabla114[[#This Row],[COSTO]]</f>
        <v>3529</v>
      </c>
      <c r="H81" s="8">
        <f>+Tabla114[[#This Row],[PRECIO INSTALADOR (IVA INCLUIDO)]]*5%</f>
        <v>176.45000000000002</v>
      </c>
      <c r="I81" s="8"/>
      <c r="J81" s="7">
        <v>3529</v>
      </c>
    </row>
    <row r="82" spans="1:10" x14ac:dyDescent="0.2">
      <c r="A82" s="11">
        <v>151057</v>
      </c>
      <c r="B82" s="10" t="s">
        <v>45</v>
      </c>
      <c r="C82" s="9">
        <f>+Tabla114[[#This Row],[COSTO CON IVA]]/Tabla114[[#This Row],[UTILIDAD]]</f>
        <v>2380</v>
      </c>
      <c r="D82" s="9">
        <f>+Tabla114[[#This Row],[PRECIO INSTALADOR (IVA INCLUIDO)]]-Tabla114[[#This Row],[DCTO TIENDA]]</f>
        <v>2261</v>
      </c>
      <c r="E82" s="9">
        <f>+Tabla114[[#This Row],[PRECIO INSTALADOR (IVA INCLUIDO)]]/0.7</f>
        <v>3400</v>
      </c>
      <c r="F82" s="8">
        <v>1</v>
      </c>
      <c r="G82" s="7">
        <f>Tabla114[[#This Row],[COSTO]]</f>
        <v>2380</v>
      </c>
      <c r="H82" s="8">
        <f>+Tabla114[[#This Row],[PRECIO INSTALADOR (IVA INCLUIDO)]]*5%</f>
        <v>119</v>
      </c>
      <c r="I82" s="8"/>
      <c r="J82" s="7">
        <v>2380</v>
      </c>
    </row>
    <row r="83" spans="1:10" x14ac:dyDescent="0.2">
      <c r="A83" s="11">
        <v>10743</v>
      </c>
      <c r="B83" s="10" t="s">
        <v>44</v>
      </c>
      <c r="C83" s="9">
        <f>+Tabla114[[#This Row],[COSTO CON IVA]]/Tabla114[[#This Row],[UTILIDAD]]</f>
        <v>219800</v>
      </c>
      <c r="D83" s="9">
        <f>+Tabla114[[#This Row],[PRECIO INSTALADOR (IVA INCLUIDO)]]-Tabla114[[#This Row],[DCTO TIENDA]]</f>
        <v>208810</v>
      </c>
      <c r="E83" s="9">
        <f>+Tabla114[[#This Row],[PRECIO INSTALADOR (IVA INCLUIDO)]]/0.7</f>
        <v>314000</v>
      </c>
      <c r="F83" s="8">
        <v>1</v>
      </c>
      <c r="G83" s="7">
        <f>Tabla114[[#This Row],[COSTO]]</f>
        <v>219800</v>
      </c>
      <c r="H83" s="8">
        <f>+Tabla114[[#This Row],[PRECIO INSTALADOR (IVA INCLUIDO)]]*5%</f>
        <v>10990</v>
      </c>
      <c r="I83" s="8"/>
      <c r="J83" s="7">
        <v>219800</v>
      </c>
    </row>
    <row r="84" spans="1:10" x14ac:dyDescent="0.2">
      <c r="A84" s="11" t="s">
        <v>43</v>
      </c>
      <c r="B84" s="10" t="s">
        <v>42</v>
      </c>
      <c r="C84" s="9">
        <f>+Tabla114[[#This Row],[COSTO CON IVA]]/Tabla114[[#This Row],[UTILIDAD]]</f>
        <v>260300</v>
      </c>
      <c r="D84" s="9">
        <f>+Tabla114[[#This Row],[PRECIO INSTALADOR (IVA INCLUIDO)]]-Tabla114[[#This Row],[DCTO TIENDA]]</f>
        <v>247285</v>
      </c>
      <c r="E84" s="9">
        <f>+Tabla114[[#This Row],[PRECIO INSTALADOR (IVA INCLUIDO)]]/0.7</f>
        <v>371857.1428571429</v>
      </c>
      <c r="F84" s="8">
        <v>1</v>
      </c>
      <c r="G84" s="7">
        <f>Tabla114[[#This Row],[COSTO]]</f>
        <v>260300</v>
      </c>
      <c r="H84" s="8">
        <f>+Tabla114[[#This Row],[PRECIO INSTALADOR (IVA INCLUIDO)]]*5%</f>
        <v>13015</v>
      </c>
      <c r="I84" s="8"/>
      <c r="J84" s="7">
        <v>260300</v>
      </c>
    </row>
    <row r="85" spans="1:10" x14ac:dyDescent="0.2">
      <c r="A85" s="11" t="s">
        <v>41</v>
      </c>
      <c r="B85" s="10" t="s">
        <v>40</v>
      </c>
      <c r="C85" s="9">
        <f>+Tabla114[[#This Row],[COSTO CON IVA]]/Tabla114[[#This Row],[UTILIDAD]]</f>
        <v>2650</v>
      </c>
      <c r="D85" s="9">
        <f>+Tabla114[[#This Row],[PRECIO INSTALADOR (IVA INCLUIDO)]]-Tabla114[[#This Row],[DCTO TIENDA]]</f>
        <v>2517.5</v>
      </c>
      <c r="E85" s="9">
        <f>+Tabla114[[#This Row],[PRECIO INSTALADOR (IVA INCLUIDO)]]/0.7</f>
        <v>3785.7142857142858</v>
      </c>
      <c r="F85" s="8">
        <v>1</v>
      </c>
      <c r="G85" s="7">
        <f>Tabla114[[#This Row],[COSTO]]</f>
        <v>2650</v>
      </c>
      <c r="H85" s="8">
        <f>+Tabla114[[#This Row],[PRECIO INSTALADOR (IVA INCLUIDO)]]*5%</f>
        <v>132.5</v>
      </c>
      <c r="I85" s="8"/>
      <c r="J85" s="7">
        <v>2650</v>
      </c>
    </row>
    <row r="86" spans="1:10" x14ac:dyDescent="0.2">
      <c r="A86" s="11" t="s">
        <v>37</v>
      </c>
      <c r="B86" s="10" t="s">
        <v>36</v>
      </c>
      <c r="C86" s="9">
        <f>+Tabla114[[#This Row],[COSTO CON IVA]]/Tabla114[[#This Row],[UTILIDAD]]</f>
        <v>19761</v>
      </c>
      <c r="D86" s="9">
        <f>+Tabla114[[#This Row],[PRECIO INSTALADOR (IVA INCLUIDO)]]-Tabla114[[#This Row],[DCTO TIENDA]]</f>
        <v>18772.95</v>
      </c>
      <c r="E86" s="9">
        <f>+Tabla114[[#This Row],[PRECIO INSTALADOR (IVA INCLUIDO)]]/0.7</f>
        <v>28230</v>
      </c>
      <c r="F86" s="8">
        <v>0.85</v>
      </c>
      <c r="G86" s="7">
        <f>Tabla114[[#This Row],[COSTO]]*1.19</f>
        <v>16796.849999999999</v>
      </c>
      <c r="H86" s="8">
        <f>+Tabla114[[#This Row],[PRECIO INSTALADOR (IVA INCLUIDO)]]*5%</f>
        <v>988.05000000000007</v>
      </c>
      <c r="I86" s="8"/>
      <c r="J86" s="7">
        <v>14115</v>
      </c>
    </row>
    <row r="87" spans="1:10" x14ac:dyDescent="0.2">
      <c r="A87" s="11" t="s">
        <v>35</v>
      </c>
      <c r="B87" s="10" t="s">
        <v>34</v>
      </c>
      <c r="C87" s="9">
        <f>+Tabla114[[#This Row],[COSTO CON IVA]]/Tabla114[[#This Row],[UTILIDAD]]</f>
        <v>9000</v>
      </c>
      <c r="D87" s="9">
        <f>+Tabla114[[#This Row],[PRECIO INSTALADOR (IVA INCLUIDO)]]-Tabla114[[#This Row],[DCTO TIENDA]]</f>
        <v>8550</v>
      </c>
      <c r="E87" s="9">
        <f>+Tabla114[[#This Row],[PRECIO INSTALADOR (IVA INCLUIDO)]]/0.7</f>
        <v>12857.142857142859</v>
      </c>
      <c r="F87" s="8">
        <v>1</v>
      </c>
      <c r="G87" s="7">
        <f>Tabla114[[#This Row],[COSTO]]</f>
        <v>9000</v>
      </c>
      <c r="H87" s="8">
        <f>+Tabla114[[#This Row],[PRECIO INSTALADOR (IVA INCLUIDO)]]*5%</f>
        <v>450</v>
      </c>
      <c r="I87" s="8"/>
      <c r="J87" s="7">
        <v>9000</v>
      </c>
    </row>
    <row r="88" spans="1:10" ht="42.75" x14ac:dyDescent="0.2">
      <c r="A88" s="11" t="s">
        <v>33</v>
      </c>
      <c r="B88" s="10" t="s">
        <v>32</v>
      </c>
      <c r="C88" s="9">
        <f>+Tabla114[[#This Row],[COSTO CON IVA]]/Tabla114[[#This Row],[UTILIDAD]]</f>
        <v>34020</v>
      </c>
      <c r="D88" s="9">
        <f>+Tabla114[[#This Row],[PRECIO INSTALADOR (IVA INCLUIDO)]]-Tabla114[[#This Row],[DCTO TIENDA]]</f>
        <v>32319</v>
      </c>
      <c r="E88" s="9">
        <f>+Tabla114[[#This Row],[PRECIO INSTALADOR (IVA INCLUIDO)]]/0.7</f>
        <v>48600</v>
      </c>
      <c r="F88" s="8">
        <v>1</v>
      </c>
      <c r="G88" s="7">
        <f>Tabla114[[#This Row],[COSTO]]</f>
        <v>34020</v>
      </c>
      <c r="H88" s="8">
        <f>+Tabla114[[#This Row],[PRECIO INSTALADOR (IVA INCLUIDO)]]*5%</f>
        <v>1701</v>
      </c>
      <c r="I88" s="8"/>
      <c r="J88" s="7">
        <v>34020</v>
      </c>
    </row>
    <row r="89" spans="1:10" ht="28.5" x14ac:dyDescent="0.2">
      <c r="A89" s="11" t="s">
        <v>31</v>
      </c>
      <c r="B89" s="10" t="s">
        <v>30</v>
      </c>
      <c r="C89" s="9">
        <f>+Tabla114[[#This Row],[COSTO CON IVA]]/Tabla114[[#This Row],[UTILIDAD]]</f>
        <v>288400</v>
      </c>
      <c r="D89" s="9">
        <f>+Tabla114[[#This Row],[PRECIO INSTALADOR (IVA INCLUIDO)]]-Tabla114[[#This Row],[DCTO TIENDA]]</f>
        <v>273980</v>
      </c>
      <c r="E89" s="9">
        <f>+Tabla114[[#This Row],[PRECIO INSTALADOR (IVA INCLUIDO)]]/0.7</f>
        <v>412000</v>
      </c>
      <c r="F89" s="8">
        <v>1</v>
      </c>
      <c r="G89" s="7">
        <f>Tabla114[[#This Row],[COSTO]]</f>
        <v>288400</v>
      </c>
      <c r="H89" s="8">
        <f>+Tabla114[[#This Row],[PRECIO INSTALADOR (IVA INCLUIDO)]]*5%</f>
        <v>14420</v>
      </c>
      <c r="I89" s="8"/>
      <c r="J89" s="7">
        <v>288400</v>
      </c>
    </row>
    <row r="90" spans="1:10" x14ac:dyDescent="0.2">
      <c r="A90" s="11" t="s">
        <v>29</v>
      </c>
      <c r="B90" s="10" t="s">
        <v>28</v>
      </c>
      <c r="C90" s="9">
        <f>+Tabla114[[#This Row],[COSTO CON IVA]]/Tabla114[[#This Row],[UTILIDAD]]</f>
        <v>42000</v>
      </c>
      <c r="D90" s="9">
        <f>+Tabla114[[#This Row],[PRECIO INSTALADOR (IVA INCLUIDO)]]-Tabla114[[#This Row],[DCTO TIENDA]]</f>
        <v>39900</v>
      </c>
      <c r="E90" s="9">
        <f>+Tabla114[[#This Row],[PRECIO INSTALADOR (IVA INCLUIDO)]]/0.7</f>
        <v>60000.000000000007</v>
      </c>
      <c r="F90" s="8">
        <v>1</v>
      </c>
      <c r="G90" s="7">
        <f>Tabla114[[#This Row],[COSTO]]</f>
        <v>42000</v>
      </c>
      <c r="H90" s="8">
        <f>+Tabla114[[#This Row],[PRECIO INSTALADOR (IVA INCLUIDO)]]*5%</f>
        <v>2100</v>
      </c>
      <c r="I90" s="8"/>
      <c r="J90" s="7">
        <v>42000</v>
      </c>
    </row>
    <row r="91" spans="1:10" x14ac:dyDescent="0.2">
      <c r="A91" s="11" t="s">
        <v>27</v>
      </c>
      <c r="B91" s="10" t="s">
        <v>26</v>
      </c>
      <c r="C91" s="9">
        <f>+Tabla114[[#This Row],[COSTO CON IVA]]/Tabla114[[#This Row],[UTILIDAD]]</f>
        <v>88250</v>
      </c>
      <c r="D91" s="9">
        <f>+Tabla114[[#This Row],[PRECIO INSTALADOR (IVA INCLUIDO)]]-Tabla114[[#This Row],[DCTO TIENDA]]</f>
        <v>83837.5</v>
      </c>
      <c r="E91" s="9">
        <f>+Tabla114[[#This Row],[PRECIO INSTALADOR (IVA INCLUIDO)]]/0.7</f>
        <v>126071.42857142858</v>
      </c>
      <c r="F91" s="8">
        <v>1</v>
      </c>
      <c r="G91" s="7">
        <f>Tabla114[[#This Row],[COSTO]]</f>
        <v>88250</v>
      </c>
      <c r="H91" s="8">
        <f>+Tabla114[[#This Row],[PRECIO INSTALADOR (IVA INCLUIDO)]]*5%</f>
        <v>4412.5</v>
      </c>
      <c r="I91" s="8"/>
      <c r="J91" s="7">
        <v>88250</v>
      </c>
    </row>
    <row r="92" spans="1:10" ht="28.5" x14ac:dyDescent="0.2">
      <c r="A92" s="11" t="s">
        <v>25</v>
      </c>
      <c r="B92" s="10" t="s">
        <v>24</v>
      </c>
      <c r="C92" s="9">
        <f>+Tabla114[[#This Row],[COSTO CON IVA]]/Tabla114[[#This Row],[UTILIDAD]]</f>
        <v>26500</v>
      </c>
      <c r="D92" s="9">
        <f>+Tabla114[[#This Row],[PRECIO INSTALADOR (IVA INCLUIDO)]]-Tabla114[[#This Row],[DCTO TIENDA]]</f>
        <v>25175</v>
      </c>
      <c r="E92" s="9">
        <f>+Tabla114[[#This Row],[PRECIO INSTALADOR (IVA INCLUIDO)]]/0.7</f>
        <v>37857.142857142862</v>
      </c>
      <c r="F92" s="8">
        <v>1</v>
      </c>
      <c r="G92" s="7">
        <f>Tabla114[[#This Row],[COSTO]]</f>
        <v>26500</v>
      </c>
      <c r="H92" s="8">
        <f>+Tabla114[[#This Row],[PRECIO INSTALADOR (IVA INCLUIDO)]]*5%</f>
        <v>1325</v>
      </c>
      <c r="I92" s="8"/>
      <c r="J92" s="7">
        <v>26500</v>
      </c>
    </row>
    <row r="93" spans="1:10" x14ac:dyDescent="0.2">
      <c r="A93" s="11" t="s">
        <v>23</v>
      </c>
      <c r="B93" s="10" t="s">
        <v>22</v>
      </c>
      <c r="C93" s="9">
        <f>+Tabla114[[#This Row],[COSTO CON IVA]]/Tabla114[[#This Row],[UTILIDAD]]</f>
        <v>18000</v>
      </c>
      <c r="D93" s="9">
        <f>+Tabla114[[#This Row],[PRECIO INSTALADOR (IVA INCLUIDO)]]-Tabla114[[#This Row],[DCTO TIENDA]]</f>
        <v>17100</v>
      </c>
      <c r="E93" s="9">
        <f>+Tabla114[[#This Row],[PRECIO INSTALADOR (IVA INCLUIDO)]]/0.7</f>
        <v>25714.285714285717</v>
      </c>
      <c r="F93" s="8">
        <v>1</v>
      </c>
      <c r="G93" s="7">
        <f>Tabla114[[#This Row],[COSTO]]</f>
        <v>18000</v>
      </c>
      <c r="H93" s="8">
        <f>+Tabla114[[#This Row],[PRECIO INSTALADOR (IVA INCLUIDO)]]*5%</f>
        <v>900</v>
      </c>
      <c r="I93" s="8"/>
      <c r="J93" s="7">
        <v>18000</v>
      </c>
    </row>
    <row r="94" spans="1:10" x14ac:dyDescent="0.2">
      <c r="A94" s="11">
        <v>13003</v>
      </c>
      <c r="B94" s="10" t="s">
        <v>21</v>
      </c>
      <c r="C94" s="9">
        <f>+Tabla114[[#This Row],[COSTO CON IVA]]/Tabla114[[#This Row],[UTILIDAD]]</f>
        <v>10850</v>
      </c>
      <c r="D94" s="9">
        <f>+Tabla114[[#This Row],[PRECIO INSTALADOR (IVA INCLUIDO)]]-Tabla114[[#This Row],[DCTO TIENDA]]</f>
        <v>10307.5</v>
      </c>
      <c r="E94" s="9">
        <f>+Tabla114[[#This Row],[PRECIO INSTALADOR (IVA INCLUIDO)]]/0.7</f>
        <v>15500.000000000002</v>
      </c>
      <c r="F94" s="8">
        <v>1</v>
      </c>
      <c r="G94" s="7">
        <f>Tabla114[[#This Row],[COSTO]]</f>
        <v>10850</v>
      </c>
      <c r="H94" s="8">
        <f>+Tabla114[[#This Row],[PRECIO INSTALADOR (IVA INCLUIDO)]]*5%</f>
        <v>542.5</v>
      </c>
      <c r="I94" s="8"/>
      <c r="J94" s="7">
        <v>10850</v>
      </c>
    </row>
    <row r="95" spans="1:10" ht="28.5" x14ac:dyDescent="0.2">
      <c r="A95" s="11">
        <v>13004</v>
      </c>
      <c r="B95" s="10" t="s">
        <v>20</v>
      </c>
      <c r="C95" s="9">
        <f>+Tabla114[[#This Row],[COSTO CON IVA]]/Tabla114[[#This Row],[UTILIDAD]]</f>
        <v>15000</v>
      </c>
      <c r="D95" s="9">
        <f>+Tabla114[[#This Row],[PRECIO INSTALADOR (IVA INCLUIDO)]]-Tabla114[[#This Row],[DCTO TIENDA]]</f>
        <v>14250</v>
      </c>
      <c r="E95" s="9">
        <f>+Tabla114[[#This Row],[PRECIO INSTALADOR (IVA INCLUIDO)]]/0.7</f>
        <v>21428.571428571431</v>
      </c>
      <c r="F95" s="8">
        <v>1</v>
      </c>
      <c r="G95" s="7">
        <f>Tabla114[[#This Row],[COSTO]]</f>
        <v>15000</v>
      </c>
      <c r="H95" s="8">
        <f>+Tabla114[[#This Row],[PRECIO INSTALADOR (IVA INCLUIDO)]]*5%</f>
        <v>750</v>
      </c>
      <c r="I95" s="8"/>
      <c r="J95" s="7">
        <v>15000</v>
      </c>
    </row>
    <row r="96" spans="1:10" x14ac:dyDescent="0.2">
      <c r="A96" s="11">
        <v>13005</v>
      </c>
      <c r="B96" s="10" t="s">
        <v>19</v>
      </c>
      <c r="C96" s="9">
        <f>+Tabla114[[#This Row],[COSTO CON IVA]]/Tabla114[[#This Row],[UTILIDAD]]</f>
        <v>20000</v>
      </c>
      <c r="D96" s="9">
        <f>+Tabla114[[#This Row],[PRECIO INSTALADOR (IVA INCLUIDO)]]-Tabla114[[#This Row],[DCTO TIENDA]]</f>
        <v>19000</v>
      </c>
      <c r="E96" s="9">
        <f>+Tabla114[[#This Row],[PRECIO INSTALADOR (IVA INCLUIDO)]]/0.7</f>
        <v>28571.428571428572</v>
      </c>
      <c r="F96" s="8">
        <v>1</v>
      </c>
      <c r="G96" s="7">
        <f>Tabla114[[#This Row],[COSTO]]</f>
        <v>20000</v>
      </c>
      <c r="H96" s="8">
        <f>+Tabla114[[#This Row],[PRECIO INSTALADOR (IVA INCLUIDO)]]*5%</f>
        <v>1000</v>
      </c>
      <c r="I96" s="8"/>
      <c r="J96" s="7">
        <v>20000</v>
      </c>
    </row>
    <row r="97" spans="1:10" x14ac:dyDescent="0.2">
      <c r="A97" s="11">
        <v>13006</v>
      </c>
      <c r="B97" s="10" t="s">
        <v>18</v>
      </c>
      <c r="C97" s="9">
        <f>+Tabla114[[#This Row],[COSTO CON IVA]]/Tabla114[[#This Row],[UTILIDAD]]</f>
        <v>26000</v>
      </c>
      <c r="D97" s="9">
        <f>+Tabla114[[#This Row],[PRECIO INSTALADOR (IVA INCLUIDO)]]-Tabla114[[#This Row],[DCTO TIENDA]]</f>
        <v>24700</v>
      </c>
      <c r="E97" s="9">
        <f>+Tabla114[[#This Row],[PRECIO INSTALADOR (IVA INCLUIDO)]]/0.7</f>
        <v>37142.857142857145</v>
      </c>
      <c r="F97" s="8">
        <v>1</v>
      </c>
      <c r="G97" s="7">
        <f>Tabla114[[#This Row],[COSTO]]</f>
        <v>26000</v>
      </c>
      <c r="H97" s="8">
        <f>+Tabla114[[#This Row],[PRECIO INSTALADOR (IVA INCLUIDO)]]*5%</f>
        <v>1300</v>
      </c>
      <c r="I97" s="8"/>
      <c r="J97" s="7">
        <v>26000</v>
      </c>
    </row>
    <row r="98" spans="1:10" x14ac:dyDescent="0.2">
      <c r="A98" s="11" t="s">
        <v>17</v>
      </c>
      <c r="B98" s="10" t="s">
        <v>16</v>
      </c>
      <c r="C98" s="9">
        <f>+Tabla114[[#This Row],[COSTO CON IVA]]/Tabla114[[#This Row],[UTILIDAD]]</f>
        <v>4849</v>
      </c>
      <c r="D98" s="9">
        <f>+Tabla114[[#This Row],[PRECIO INSTALADOR (IVA INCLUIDO)]]-Tabla114[[#This Row],[DCTO TIENDA]]</f>
        <v>4606.55</v>
      </c>
      <c r="E98" s="9">
        <f>+Tabla114[[#This Row],[PRECIO INSTALADOR (IVA INCLUIDO)]]/0.7</f>
        <v>6927.1428571428578</v>
      </c>
      <c r="F98" s="8">
        <v>1</v>
      </c>
      <c r="G98" s="7">
        <f>Tabla114[[#This Row],[COSTO]]</f>
        <v>4849</v>
      </c>
      <c r="H98" s="8">
        <f>+Tabla114[[#This Row],[PRECIO INSTALADOR (IVA INCLUIDO)]]*5%</f>
        <v>242.45000000000002</v>
      </c>
      <c r="I98" s="8"/>
      <c r="J98" s="7">
        <v>4849</v>
      </c>
    </row>
    <row r="99" spans="1:10" x14ac:dyDescent="0.2">
      <c r="A99" s="11" t="s">
        <v>15</v>
      </c>
      <c r="B99" s="10" t="s">
        <v>14</v>
      </c>
      <c r="C99" s="9">
        <f>+Tabla114[[#This Row],[COSTO CON IVA]]/Tabla114[[#This Row],[UTILIDAD]]</f>
        <v>221200</v>
      </c>
      <c r="D99" s="9">
        <f>+Tabla114[[#This Row],[PRECIO INSTALADOR (IVA INCLUIDO)]]-Tabla114[[#This Row],[DCTO TIENDA]]</f>
        <v>210140</v>
      </c>
      <c r="E99" s="9">
        <f>+Tabla114[[#This Row],[PRECIO INSTALADOR (IVA INCLUIDO)]]/0.7</f>
        <v>316000</v>
      </c>
      <c r="F99" s="8">
        <v>1</v>
      </c>
      <c r="G99" s="7">
        <f>Tabla114[[#This Row],[COSTO]]</f>
        <v>221200</v>
      </c>
      <c r="H99" s="8">
        <f>+Tabla114[[#This Row],[PRECIO INSTALADOR (IVA INCLUIDO)]]*5%</f>
        <v>11060</v>
      </c>
      <c r="I99" s="8"/>
      <c r="J99" s="7">
        <v>221200</v>
      </c>
    </row>
    <row r="100" spans="1:10" x14ac:dyDescent="0.2">
      <c r="A100" s="11" t="s">
        <v>13</v>
      </c>
      <c r="B100" s="10" t="s">
        <v>12</v>
      </c>
      <c r="C100" s="9">
        <f>+Tabla114[[#This Row],[COSTO CON IVA]]/Tabla114[[#This Row],[UTILIDAD]]</f>
        <v>291750</v>
      </c>
      <c r="D100" s="9">
        <f>+Tabla114[[#This Row],[PRECIO INSTALADOR (IVA INCLUIDO)]]-Tabla114[[#This Row],[DCTO TIENDA]]</f>
        <v>277162.5</v>
      </c>
      <c r="E100" s="9">
        <f>+Tabla114[[#This Row],[PRECIO INSTALADOR (IVA INCLUIDO)]]/0.7</f>
        <v>416785.71428571432</v>
      </c>
      <c r="F100" s="8">
        <v>1</v>
      </c>
      <c r="G100" s="7">
        <f>Tabla114[[#This Row],[COSTO]]</f>
        <v>291750</v>
      </c>
      <c r="H100" s="8">
        <f>+Tabla114[[#This Row],[PRECIO INSTALADOR (IVA INCLUIDO)]]*5%</f>
        <v>14587.5</v>
      </c>
      <c r="I100" s="8"/>
      <c r="J100" s="7">
        <v>291750</v>
      </c>
    </row>
    <row r="101" spans="1:10" ht="28.5" x14ac:dyDescent="0.2">
      <c r="A101" s="11" t="s">
        <v>11</v>
      </c>
      <c r="B101" s="17" t="s">
        <v>10</v>
      </c>
      <c r="C101" s="16">
        <f>+Tabla114[[#This Row],[COSTO CON IVA]]/Tabla114[[#This Row],[UTILIDAD]]</f>
        <v>90515.599999999991</v>
      </c>
      <c r="D101" s="16">
        <f>+Tabla114[[#This Row],[PRECIO INSTALADOR (IVA INCLUIDO)]]-Tabla114[[#This Row],[DCTO TIENDA]]</f>
        <v>85989.819999999992</v>
      </c>
      <c r="E101" s="16">
        <f>+Tabla114[[#This Row],[PRECIO INSTALADOR (IVA INCLUIDO)]]/0.7</f>
        <v>129308</v>
      </c>
      <c r="F101" s="8">
        <v>0.85</v>
      </c>
      <c r="G101" s="7">
        <f>+Tabla114[[#This Row],[COSTO]]*1.19</f>
        <v>76938.259999999995</v>
      </c>
      <c r="H101" s="8">
        <f>+Tabla114[[#This Row],[PRECIO INSTALADOR (IVA INCLUIDO)]]*5%</f>
        <v>4525.78</v>
      </c>
      <c r="I101" s="8"/>
      <c r="J101" s="7">
        <v>64654</v>
      </c>
    </row>
    <row r="102" spans="1:10" x14ac:dyDescent="0.2">
      <c r="A102" s="11" t="s">
        <v>9</v>
      </c>
      <c r="B102" s="15" t="s">
        <v>8</v>
      </c>
      <c r="C102" s="14">
        <f>+Tabla114[[#This Row],[COSTO CON IVA]]/Tabla114[[#This Row],[UTILIDAD]]</f>
        <v>400</v>
      </c>
      <c r="D102" s="14">
        <f>+Tabla114[[#This Row],[PRECIO INSTALADOR (IVA INCLUIDO)]]-Tabla114[[#This Row],[DCTO TIENDA]]</f>
        <v>380</v>
      </c>
      <c r="E102" s="14">
        <f>+Tabla114[[#This Row],[PRECIO INSTALADOR (IVA INCLUIDO)]]/0.7</f>
        <v>571.42857142857144</v>
      </c>
      <c r="F102" s="8">
        <v>1</v>
      </c>
      <c r="G102" s="7">
        <f>Tabla114[[#This Row],[COSTO]]</f>
        <v>400</v>
      </c>
      <c r="H102" s="6">
        <f>+Tabla114[[#This Row],[PRECIO INSTALADOR (IVA INCLUIDO)]]*5%</f>
        <v>20</v>
      </c>
      <c r="I102" s="6"/>
      <c r="J102" s="5">
        <v>400</v>
      </c>
    </row>
    <row r="103" spans="1:10" x14ac:dyDescent="0.2">
      <c r="A103" s="11" t="s">
        <v>7</v>
      </c>
      <c r="B103" s="10" t="s">
        <v>6</v>
      </c>
      <c r="C103" s="9">
        <f>+Tabla114[[#This Row],[COSTO CON IVA]]/Tabla114[[#This Row],[UTILIDAD]]</f>
        <v>4748.8</v>
      </c>
      <c r="D103" s="9">
        <f>+Tabla114[[#This Row],[PRECIO INSTALADOR (IVA INCLUIDO)]]-Tabla114[[#This Row],[DCTO TIENDA]]</f>
        <v>4511.3600000000006</v>
      </c>
      <c r="E103" s="9">
        <f>+Tabla114[[#This Row],[PRECIO INSTALADOR (IVA INCLUIDO)]]/0.7</f>
        <v>6784.0000000000009</v>
      </c>
      <c r="F103" s="8">
        <v>0.85</v>
      </c>
      <c r="G103" s="7">
        <f>Tabla114[[#This Row],[COSTO]]*1.19</f>
        <v>4036.48</v>
      </c>
      <c r="H103" s="8">
        <f>+Tabla114[[#This Row],[PRECIO INSTALADOR (IVA INCLUIDO)]]*5%</f>
        <v>237.44000000000003</v>
      </c>
      <c r="I103" s="8"/>
      <c r="J103" s="7">
        <v>3392</v>
      </c>
    </row>
    <row r="104" spans="1:10" ht="15" x14ac:dyDescent="0.2">
      <c r="A104" s="11" t="s">
        <v>5</v>
      </c>
      <c r="B104" s="13" t="s">
        <v>4</v>
      </c>
      <c r="C104" s="12">
        <f>+Tabla114[[#This Row],[COSTO CON IVA]]/Tabla114[[#This Row],[UTILIDAD]]</f>
        <v>100800</v>
      </c>
      <c r="D104" s="12">
        <f>+Tabla114[[#This Row],[PRECIO INSTALADOR (IVA INCLUIDO)]]-Tabla114[[#This Row],[DCTO TIENDA]]</f>
        <v>95760</v>
      </c>
      <c r="E104" s="12">
        <f>+Tabla114[[#This Row],[PRECIO INSTALADOR (IVA INCLUIDO)]]/0.7</f>
        <v>144000</v>
      </c>
      <c r="F104" s="8">
        <v>0.85</v>
      </c>
      <c r="G104" s="7">
        <v>85680</v>
      </c>
      <c r="H104" s="8">
        <f>+Tabla114[[#This Row],[PRECIO INSTALADOR (IVA INCLUIDO)]]*5%</f>
        <v>5040</v>
      </c>
      <c r="I104" s="8"/>
      <c r="J104" s="7"/>
    </row>
    <row r="105" spans="1:10" ht="15" x14ac:dyDescent="0.2">
      <c r="A105" s="11" t="s">
        <v>3</v>
      </c>
      <c r="B105" s="13" t="s">
        <v>2</v>
      </c>
      <c r="C105" s="12">
        <f>+Tabla114[[#This Row],[COSTO CON IVA]]/Tabla114[[#This Row],[UTILIDAD]]</f>
        <v>2940</v>
      </c>
      <c r="D105" s="12">
        <f>+Tabla114[[#This Row],[PRECIO INSTALADOR (IVA INCLUIDO)]]-Tabla114[[#This Row],[DCTO TIENDA]]</f>
        <v>2793</v>
      </c>
      <c r="E105" s="12">
        <f>+Tabla114[[#This Row],[PRECIO INSTALADOR (IVA INCLUIDO)]]/0.7</f>
        <v>4200</v>
      </c>
      <c r="F105" s="8">
        <v>0.85</v>
      </c>
      <c r="G105" s="7">
        <v>2499</v>
      </c>
      <c r="H105" s="8">
        <f>+Tabla114[[#This Row],[PRECIO INSTALADOR (IVA INCLUIDO)]]*5%</f>
        <v>147</v>
      </c>
      <c r="I105" s="8"/>
      <c r="J105" s="7"/>
    </row>
    <row r="106" spans="1:10" x14ac:dyDescent="0.2">
      <c r="A106" s="11" t="s">
        <v>1</v>
      </c>
      <c r="B106" s="10" t="s">
        <v>0</v>
      </c>
      <c r="C106" s="9">
        <f>+Tabla114[[#This Row],[COSTO CON IVA]]/Tabla114[[#This Row],[UTILIDAD]]</f>
        <v>503.99999999999994</v>
      </c>
      <c r="D106" s="9">
        <f>+Tabla114[[#This Row],[PRECIO INSTALADOR (IVA INCLUIDO)]]-Tabla114[[#This Row],[DCTO TIENDA]]</f>
        <v>478.79999999999995</v>
      </c>
      <c r="E106" s="9">
        <f>+Tabla114[[#This Row],[PRECIO INSTALADOR (IVA INCLUIDO)]]/0.7</f>
        <v>720</v>
      </c>
      <c r="F106" s="8">
        <v>0.34</v>
      </c>
      <c r="G106" s="7">
        <f>Tabla114[[#This Row],[COSTO]]*1.19</f>
        <v>171.35999999999999</v>
      </c>
      <c r="H106" s="8">
        <f>+Tabla114[[#This Row],[PRECIO INSTALADOR (IVA INCLUIDO)]]*5%</f>
        <v>25.2</v>
      </c>
      <c r="I106" s="8"/>
      <c r="J106" s="7">
        <v>144</v>
      </c>
    </row>
  </sheetData>
  <conditionalFormatting sqref="A1">
    <cfRule type="duplicateValues" dxfId="2" priority="1"/>
  </conditionalFormatting>
  <conditionalFormatting sqref="A29">
    <cfRule type="duplicateValues" dxfId="1" priority="2"/>
  </conditionalFormatting>
  <conditionalFormatting sqref="A104:A105">
    <cfRule type="duplicateValues" dxfId="0" priority="3"/>
  </conditionalFormatting>
  <pageMargins left="0.75" right="0.75" top="1" bottom="1" header="0.5" footer="0.5"/>
  <pageSetup scale="66" orientation="portrait" r:id="rId1"/>
  <colBreaks count="1" manualBreakCount="1">
    <brk id="5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ACCESORIOS CCTV</vt:lpstr>
      <vt:lpstr>'ACCESORIOS CCTV'!Área_de_impresión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2026-08-26T21:05:57Z</cp:lastPrinted>
  <dcterms:created xsi:type="dcterms:W3CDTF">2026-07-08T14:12:02Z</dcterms:created>
  <dcterms:modified xsi:type="dcterms:W3CDTF">2026-10-08T16:47:59Z</dcterms:modified>
</cp:coreProperties>
</file>