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e Compras\OneDrive\Documents\Desktop\LISTAS DE PRECIOS\listados grupo nuevo con formulas\LISTA PROVISIONAL DAÑO PLATAFORMA\LISTAS EMPRESA GRUPO\EXCEL\"/>
    </mc:Choice>
  </mc:AlternateContent>
  <xr:revisionPtr revIDLastSave="0" documentId="13_ncr:1_{5ADC184D-82CD-46D8-88BF-A713F840692D}" xr6:coauthVersionLast="47" xr6:coauthVersionMax="47" xr10:uidLastSave="{00000000-0000-0000-0000-000000000000}"/>
  <bookViews>
    <workbookView xWindow="-120" yWindow="-120" windowWidth="24240" windowHeight="13140" xr2:uid="{121E8BEA-318A-43DB-B7CA-C627F0CED86A}"/>
  </bookViews>
  <sheets>
    <sheet name="ALARMAS COMUNITARIA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\v" localSheetId="0" hidden="1">{"'ADV&amp;DP'!$A$4:$C$25"}</definedName>
    <definedName name="\v" hidden="1">{"'ADV&amp;DP'!$A$4:$C$25"}</definedName>
    <definedName name="_??" localSheetId="0" hidden="1">{"'?????10.27??????'!$Q$16"}</definedName>
    <definedName name="_??" hidden="1">{"'?????10.27??????'!$Q$16"}</definedName>
    <definedName name="_????" localSheetId="0" hidden="1">{"'?????10.27??????'!$Q$16"}</definedName>
    <definedName name="_????" hidden="1">{"'?????10.27??????'!$Q$16"}</definedName>
    <definedName name="_?????" localSheetId="0" hidden="1">{"DCF-???",#N/A,TRUE,"???";"DCF-??",#N/A,TRUE,"??";"DCF-??",#N/A,TRUE,"??";"DCF-??",#N/A,TRUE,"??";"DCF-??",#N/A,TRUE,"??";"DCF-??",#N/A,TRUE,"??";"DCF-??",#N/A,TRUE,"??";"DCF-??",#N/A,TRUE,"??";"DCF-??",#N/A,TRUE,"??"}</definedName>
    <definedName name="_?????" hidden="1">{"DCF-???",#N/A,TRUE,"???";"DCF-??",#N/A,TRUE,"??";"DCF-??",#N/A,TRUE,"??";"DCF-??",#N/A,TRUE,"??";"DCF-??",#N/A,TRUE,"??";"DCF-??",#N/A,TRUE,"??";"DCF-??",#N/A,TRUE,"??";"DCF-??",#N/A,TRUE,"??";"DCF-??",#N/A,TRUE,"??"}</definedName>
    <definedName name="_??????" localSheetId="0" hidden="1">{"'?????10.27??????'!$Q$16"}</definedName>
    <definedName name="_??????" hidden="1">{"'?????10.27??????'!$Q$16"}</definedName>
    <definedName name="_??06" localSheetId="0" hidden="1">{"'?????10.27??????'!$Q$16"}</definedName>
    <definedName name="_??06" hidden="1">{"'?????10.27??????'!$Q$16"}</definedName>
    <definedName name="_?16??" localSheetId="0" hidden="1">{"'????'!$A$1:$C$37"}</definedName>
    <definedName name="_?16??" hidden="1">{"'????'!$A$1:$C$37"}</definedName>
    <definedName name="________o1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__DF4" hidden="1">#REF!</definedName>
    <definedName name="______DF4" hidden="1">#REF!</definedName>
    <definedName name="______o1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DF4" hidden="1">#REF!</definedName>
    <definedName name="_____o1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DF4" hidden="1">#REF!</definedName>
    <definedName name="____o1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DF4" hidden="1">#REF!</definedName>
    <definedName name="___o1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123Graph_A" hidden="1">[1]Pub!$H$13:$H$83</definedName>
    <definedName name="__123Graph_B" hidden="1">[1]Pub!$I$13:$I$83</definedName>
    <definedName name="__123Graph_C" hidden="1">[1]Pub!$J$13:$J$83</definedName>
    <definedName name="__123Graph_D" hidden="1">[1]Pub!$K$13:$K$83</definedName>
    <definedName name="__123Graph_E" hidden="1">[1]Pub!#REF!</definedName>
    <definedName name="__123Graph_F" hidden="1">[1]Pub!$L$13:$L$83</definedName>
    <definedName name="__123Graph_X" hidden="1">[1]Pub!$G$13:$G$83</definedName>
    <definedName name="__DF4" hidden="1">#REF!</definedName>
    <definedName name="__FDS_HYPERLINK_TOGGLE_STATE__" hidden="1">"ON"</definedName>
    <definedName name="__o1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1____123Graph_AMOF_NB" hidden="1">[2]計算過程シート!#REF!</definedName>
    <definedName name="_1__123Graph_ACHART_1" hidden="1">'[3]Historical IS'!#REF!</definedName>
    <definedName name="_1__123Graph_AIRR_IRR" hidden="1">#REF!</definedName>
    <definedName name="_10___123Graph_XIRR_IRR" hidden="1">#REF!</definedName>
    <definedName name="_10__123Graph_ACHART_16" hidden="1">[4]engineering!$Q$49:$S$49</definedName>
    <definedName name="_10__123Graph_CCHART_3" hidden="1">'[3]Historical IS'!#REF!</definedName>
    <definedName name="_103__123Graph_Cｸﾞﾗﾌ_1" hidden="1">#REF!</definedName>
    <definedName name="_104__123Graph_Dｸﾞﾗﾌ_1" hidden="1">#REF!</definedName>
    <definedName name="_105__123Graph_XIRR_IRR" hidden="1">#REF!</definedName>
    <definedName name="_106__123Graph_XMOF_NB" hidden="1">#REF!</definedName>
    <definedName name="_11___123Graph_XMOF_NB" hidden="1">#REF!</definedName>
    <definedName name="_11__123Graph_ACHART_17" hidden="1">[4]revenue!$P$77:$R$77</definedName>
    <definedName name="_11__123Graph_CCHART_8" hidden="1">'[3]Historical IS'!#REF!</definedName>
    <definedName name="_12__123Graph_ACHART_18" hidden="1">[4]revenue!$P$82:$R$82</definedName>
    <definedName name="_12__123Graph_AIRR_IRR" hidden="1">#REF!</definedName>
    <definedName name="_12__123Graph_DCHART_1" hidden="1">'[3]Historical IS'!#REF!</definedName>
    <definedName name="_13__123Graph_ACHART_19" hidden="1">[4]sga!$P$7:$R$7</definedName>
    <definedName name="_13__123Graph_AMOF_NB" hidden="1">[2]計算過程シート!#REF!</definedName>
    <definedName name="_13__123Graph_DCHART_8" hidden="1">'[3]Historical IS'!#REF!</definedName>
    <definedName name="_131__123Graph_Xｸﾞﾗﾌ_1" hidden="1">#REF!</definedName>
    <definedName name="_14__123Graph_A????_1" hidden="1">#REF!</definedName>
    <definedName name="_14__123Graph_ACHART_2" hidden="1">#REF!</definedName>
    <definedName name="_14__123Graph_Aｸﾞﾗﾌ_1" hidden="1">#REF!</definedName>
    <definedName name="_14__123Graph_LBL_ACHART_3" hidden="1">'[3]Historical IS'!#REF!</definedName>
    <definedName name="_15__123Graph_ACHART_20" hidden="1">[4]sga!$P$10:$R$10</definedName>
    <definedName name="_15__123Graph_BIRR_IRR" hidden="1">#REF!</definedName>
    <definedName name="_15__123Graph_LBL_ACHART_4" hidden="1">'[3]Historical IS'!#REF!</definedName>
    <definedName name="_16__123Graph_ACHART_3" hidden="1">#REF!</definedName>
    <definedName name="_16__123Graph_BMOF_NB" hidden="1">#REF!</definedName>
    <definedName name="_16__123Graph_LBL_BCHART_3" hidden="1">'[3]Historical IS'!#REF!</definedName>
    <definedName name="_17__123Graph_ACHART_4" hidden="1">#REF!</definedName>
    <definedName name="_17__123Graph_B????_1" hidden="1">#REF!</definedName>
    <definedName name="_17__123Graph_Bｸﾞﾗﾌ_1" hidden="1">#REF!</definedName>
    <definedName name="_17__123Graph_LBL_BCHART_4" hidden="1">'[3]Historical IS'!#REF!</definedName>
    <definedName name="_18__123Graph_ACHART_5" hidden="1">#REF!</definedName>
    <definedName name="_18__123Graph_C????_1" hidden="1">#REF!</definedName>
    <definedName name="_18__123Graph_Cｸﾞﾗﾌ_1" hidden="1">#REF!</definedName>
    <definedName name="_18__123Graph_LBL_CCHART_3" hidden="1">'[3]Historical IS'!#REF!</definedName>
    <definedName name="_19__123Graph_ACHART_6" hidden="1">#REF!</definedName>
    <definedName name="_19__123Graph_D????_1" hidden="1">#REF!</definedName>
    <definedName name="_19__123Graph_Dｸﾞﾗﾌ_1" hidden="1">#REF!</definedName>
    <definedName name="_19__123Graph_XCHART_1" hidden="1">'[3]Historical IS'!#REF!</definedName>
    <definedName name="_2_??" localSheetId="0" hidden="1">{"'?????10.27??????'!$Q$16"}</definedName>
    <definedName name="_2_??" hidden="1">{"'?????10.27??????'!$Q$16"}</definedName>
    <definedName name="_2____123Graph_A????_1" hidden="1">#REF!</definedName>
    <definedName name="_2____123Graph_Aｸﾞﾗﾌ_1" hidden="1">#REF!</definedName>
    <definedName name="_2__123Graph_ACHART_3" hidden="1">'[3]Historical IS'!#REF!</definedName>
    <definedName name="_20__123Graph_ACHART_7" hidden="1">#REF!</definedName>
    <definedName name="_20__123Graph_XCHART_3" hidden="1">'[3]Historical IS'!#REF!</definedName>
    <definedName name="_20__123Graph_XIRR_IRR" hidden="1">#REF!</definedName>
    <definedName name="_21__123Graph_ACHART_8" hidden="1">#REF!</definedName>
    <definedName name="_21__123Graph_XCHART_4" hidden="1">'[3]Historical IS'!#REF!</definedName>
    <definedName name="_21__123Graph_XMOF_NB" hidden="1">#REF!</definedName>
    <definedName name="_22__123Graph_ACHART_9" hidden="1">#REF!</definedName>
    <definedName name="_22__123Graph_X????_1" hidden="1">#REF!</definedName>
    <definedName name="_22__123Graph_XCHART_8" hidden="1">'[3]Historical IS'!#REF!</definedName>
    <definedName name="_22__123Graph_Xｸﾞﾗﾌ_1" hidden="1">#REF!</definedName>
    <definedName name="_23__123Graph_BCHART_1" hidden="1">#REF!</definedName>
    <definedName name="_24__123Graph_BCHART_11" hidden="1">#REF!</definedName>
    <definedName name="_25__123Graph_BCHART_12" hidden="1">#REF!</definedName>
    <definedName name="_26__123Graph_AMOF_NB" hidden="1">[2]計算過程シート!#REF!</definedName>
    <definedName name="_26__123Graph_BCHART_13" hidden="1">[4]engineering!$Q$42:$W$42</definedName>
    <definedName name="_27__123Graph_BCHART_14" hidden="1">[4]engineering!$Q$46:$W$46</definedName>
    <definedName name="_28__123Graph_BCHART_15" hidden="1">#REF!</definedName>
    <definedName name="_29__123Graph_BCHART_16" hidden="1">[4]engineering!$Q$50:$S$50</definedName>
    <definedName name="_3____123Graph_B????_1" hidden="1">#REF!</definedName>
    <definedName name="_3____123Graph_Bｸﾞﾗﾌ_1" hidden="1">#REF!</definedName>
    <definedName name="_3__123Graph_ACHART_1" hidden="1">#REF!</definedName>
    <definedName name="_3__123Graph_ACHART_4" hidden="1">'[3]Historical IS'!#REF!</definedName>
    <definedName name="_30__123Graph_BCHART_17" hidden="1">[4]revenue!$P$78:$R$78</definedName>
    <definedName name="_31__123Graph_BCHART_2" hidden="1">#REF!</definedName>
    <definedName name="_32__123Graph_BCHART_20" hidden="1">[4]sga!$P$11:$R$11</definedName>
    <definedName name="_33__123Graph_BCHART_3" hidden="1">[4]revenue!$P$10:$R$10</definedName>
    <definedName name="_34__123Graph_BCHART_6" hidden="1">#REF!</definedName>
    <definedName name="_35__123Graph_BCHART_7" hidden="1">[4]revenue!$P$45:$R$45</definedName>
    <definedName name="_36_??06" localSheetId="0" hidden="1">{"'?????10.27??????'!$Q$16"}</definedName>
    <definedName name="_36_??06" hidden="1">{"'?????10.27??????'!$Q$16"}</definedName>
    <definedName name="_36__123Graph_BCHART_8" hidden="1">#REF!</definedName>
    <definedName name="_37__123Graph_BCHART_9" hidden="1">[4]engineering!$P$7:$T$7</definedName>
    <definedName name="_38__123Graph_CCHART_1" hidden="1">#REF!</definedName>
    <definedName name="_39__123Graph_CCHART_11" hidden="1">[4]engineering!$P$16:$T$16</definedName>
    <definedName name="_4____123Graph_C????_1" hidden="1">#REF!</definedName>
    <definedName name="_4____123Graph_Cｸﾞﾗﾌ_1" hidden="1">#REF!</definedName>
    <definedName name="_4__123Graph_ACHART_10" hidden="1">#REF!</definedName>
    <definedName name="_4__123Graph_ACHART_8" hidden="1">'[3]Historical IS'!#REF!</definedName>
    <definedName name="_40__123Graph_CCHART_12" hidden="1">#REF!</definedName>
    <definedName name="_41__123Graph_CCHART_2" hidden="1">#REF!</definedName>
    <definedName name="_42__123Graph_CCHART_20" hidden="1">[4]sga!$P$12:$R$12</definedName>
    <definedName name="_43__123Graph_CCHART_7" hidden="1">[4]revenue!$P$46:$R$46</definedName>
    <definedName name="_44__123Graph_CCHART_8" hidden="1">#REF!</definedName>
    <definedName name="_45__123Graph_DCHART_1" hidden="1">#REF!</definedName>
    <definedName name="_46__123Graph_DCHART_12" hidden="1">#REF!</definedName>
    <definedName name="_47__123Graph_DCHART_2" hidden="1">#REF!</definedName>
    <definedName name="_48__123Graph_DCHART_8" hidden="1">#REF!</definedName>
    <definedName name="_49__123Graph_ECHART_12" hidden="1">#REF!</definedName>
    <definedName name="_5____123Graph_X????_1" hidden="1">#REF!</definedName>
    <definedName name="_5____123Graph_Xｸﾞﾗﾌ_1" hidden="1">#REF!</definedName>
    <definedName name="_5__123Graph_ACHART_11" hidden="1">#REF!</definedName>
    <definedName name="_5__123Graph_BCHART_1" hidden="1">'[3]Historical IS'!#REF!</definedName>
    <definedName name="_50__123Graph_ECHART_2" hidden="1">#REF!</definedName>
    <definedName name="_51__123Graph_Aｸﾞﾗﾌ_1" hidden="1">#REF!</definedName>
    <definedName name="_51__123Graph_ECHART_8" hidden="1">#REF!</definedName>
    <definedName name="_52__123Graph_BIRR_IRR" hidden="1">#REF!</definedName>
    <definedName name="_52__123Graph_FCHART_1" hidden="1">#REF!</definedName>
    <definedName name="_53__123Graph_BMOF_NB" hidden="1">#REF!</definedName>
    <definedName name="_53__123Graph_XCHART_10" hidden="1">#REF!</definedName>
    <definedName name="_54__123Graph_XCHART_11" hidden="1">#REF!</definedName>
    <definedName name="_55__123Graph_XCHART_12" hidden="1">#REF!</definedName>
    <definedName name="_56__123Graph_XCHART_13" hidden="1">#REF!</definedName>
    <definedName name="_57__123Graph_XCHART_14" hidden="1">#REF!</definedName>
    <definedName name="_58__123Graph_XCHART_15" hidden="1">#REF!</definedName>
    <definedName name="_59__123Graph_XCHART_16" hidden="1">[4]engineering!$Q$48:$S$48</definedName>
    <definedName name="_6___123Graph_AIRR_IRR" hidden="1">#REF!</definedName>
    <definedName name="_6__123Graph_ACHART_12" hidden="1">#REF!</definedName>
    <definedName name="_6__123Graph_BCHART_3" hidden="1">'[3]Historical IS'!#REF!</definedName>
    <definedName name="_60__123Graph_XCHART_18" hidden="1">[4]revenue!$P$81:$R$81</definedName>
    <definedName name="_61__123Graph_XCHART_2" hidden="1">#REF!</definedName>
    <definedName name="_62__123Graph_XCHART_20" hidden="1">[4]sga!$P$9:$R$9</definedName>
    <definedName name="_63__123Graph_XCHART_3" hidden="1">#REF!</definedName>
    <definedName name="_64__123Graph_XCHART_4" hidden="1">#REF!</definedName>
    <definedName name="_65__123Graph_XCHART_5" hidden="1">#REF!</definedName>
    <definedName name="_66__123Graph_XCHART_6" hidden="1">#REF!</definedName>
    <definedName name="_67__123Graph_XCHART_7" hidden="1">#REF!</definedName>
    <definedName name="_68_?16??" localSheetId="0" hidden="1">{"'????'!$A$1:$C$37"}</definedName>
    <definedName name="_68_?16??" hidden="1">{"'????'!$A$1:$C$37"}</definedName>
    <definedName name="_68__123Graph_XCHART_8" hidden="1">#REF!</definedName>
    <definedName name="_69__123Graph_XCHART_9" hidden="1">#REF!</definedName>
    <definedName name="_7_????" localSheetId="0" hidden="1">{"'?????10.27??????'!$Q$16"}</definedName>
    <definedName name="_7_????" hidden="1">{"'?????10.27??????'!$Q$16"}</definedName>
    <definedName name="_7___123Graph_BIRR_IRR" hidden="1">#REF!</definedName>
    <definedName name="_7__123Graph_ACHART_13" hidden="1">#REF!</definedName>
    <definedName name="_7__123Graph_BCHART_4" hidden="1">'[3]Historical IS'!#REF!</definedName>
    <definedName name="_78__123Graph_Bｸﾞﾗﾌ_1" hidden="1">#REF!</definedName>
    <definedName name="_8_?????" localSheetId="0" hidden="1">{"DCF-???",#N/A,TRUE,"???";"DCF-??",#N/A,TRUE,"??";"DCF-??",#N/A,TRUE,"??";"DCF-??",#N/A,TRUE,"??";"DCF-??",#N/A,TRUE,"??";"DCF-??",#N/A,TRUE,"??";"DCF-??",#N/A,TRUE,"??";"DCF-??",#N/A,TRUE,"??";"DCF-??",#N/A,TRUE,"??"}</definedName>
    <definedName name="_8_?????" hidden="1">{"DCF-???",#N/A,TRUE,"???";"DCF-??",#N/A,TRUE,"??";"DCF-??",#N/A,TRUE,"??";"DCF-??",#N/A,TRUE,"??";"DCF-??",#N/A,TRUE,"??";"DCF-??",#N/A,TRUE,"??";"DCF-??",#N/A,TRUE,"??";"DCF-??",#N/A,TRUE,"??";"DCF-??",#N/A,TRUE,"??"}</definedName>
    <definedName name="_8___123Graph_BMOF_NB" hidden="1">#REF!</definedName>
    <definedName name="_8__123Graph_ACHART_14" hidden="1">#REF!</definedName>
    <definedName name="_8__123Graph_BCHART_8" hidden="1">'[3]Historical IS'!#REF!</definedName>
    <definedName name="_9_??????" localSheetId="0" hidden="1">{"'?????10.27??????'!$Q$16"}</definedName>
    <definedName name="_9_??????" hidden="1">{"'?????10.27??????'!$Q$16"}</definedName>
    <definedName name="_9___123Graph_D????_1" hidden="1">#REF!</definedName>
    <definedName name="_9___123Graph_Dｸﾞﾗﾌ_1" hidden="1">#REF!</definedName>
    <definedName name="_9__123Graph_ACHART_15" hidden="1">#REF!</definedName>
    <definedName name="_9__123Graph_CCHART_1" hidden="1">'[3]Historical IS'!#REF!</definedName>
    <definedName name="_DF4" hidden="1">#REF!</definedName>
    <definedName name="_Fill" hidden="1">#REF!</definedName>
    <definedName name="_xlnm._FilterDatabase" hidden="1">'[5]46W9'!#REF!</definedName>
    <definedName name="_Key2" hidden="1">#REF!</definedName>
    <definedName name="_o1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rder1" hidden="1">255</definedName>
    <definedName name="_Order2" hidden="1">255</definedName>
    <definedName name="a" localSheetId="0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a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ando" localSheetId="0" hidden="1">{"'下期集計（10.27迄・速報値）'!$Q$16"}</definedName>
    <definedName name="ando" hidden="1">{"'下期集計（10.27迄・速報値）'!$Q$16"}</definedName>
    <definedName name="anscount" hidden="1">3</definedName>
    <definedName name="_xlnm.Print_Area" localSheetId="0">Tabla116[[#All],[REFERENCIA]:[PRECIO CLIENTE FINAL (CON IVA)]]</definedName>
    <definedName name="AS2DocOpenMode" hidden="1">"AS2DocumentEdit"</definedName>
    <definedName name="AS2HasNoAutoHeaderFooter" hidden="1">" "</definedName>
    <definedName name="asdf" localSheetId="0" hidden="1">{"'年間台数'!$A$1:$K$20","'中古車登録台数'!$A$1:$I$39"}</definedName>
    <definedName name="asdf" hidden="1">{"'年間台数'!$A$1:$K$20","'中古車登録台数'!$A$1:$I$39"}</definedName>
    <definedName name="BLPH1" hidden="1">'[6]Data sheet'!$A$4</definedName>
    <definedName name="BLPH10" hidden="1">'[6]Data sheet'!$AB$4</definedName>
    <definedName name="BLPH11" hidden="1">'[6]Data sheet'!$AE$4</definedName>
    <definedName name="BLPH12" hidden="1">'[6]Data sheet'!$AH$4</definedName>
    <definedName name="BLPH2" hidden="1">'[6]Data sheet'!$D$4</definedName>
    <definedName name="BLPH3" hidden="1">'[6]Data sheet'!$G$4</definedName>
    <definedName name="BLPH4" hidden="1">'[6]Data sheet'!$J$4</definedName>
    <definedName name="BLPH5" hidden="1">'[6]Data sheet'!$M$4</definedName>
    <definedName name="BLPH6" hidden="1">'[6]Data sheet'!$P$4</definedName>
    <definedName name="BLPH7" hidden="1">'[6]Data sheet'!$S$4</definedName>
    <definedName name="BLPH8" hidden="1">'[6]Data sheet'!$V$4</definedName>
    <definedName name="BLPH9" hidden="1">'[6]Data sheet'!$Y$4</definedName>
    <definedName name="Bridge" localSheetId="0" hidden="1">{"'Highlights'!$A$1:$M$123"}</definedName>
    <definedName name="Bridge" hidden="1">{"'Highlights'!$A$1:$M$123"}</definedName>
    <definedName name="CARLOS" localSheetId="0" hidden="1">{#N/A,#N/A,TRUE,"A"}</definedName>
    <definedName name="CARLOS" hidden="1">{#N/A,#N/A,TRUE,"A"}</definedName>
    <definedName name="cb_sChartE2218BA_opts" hidden="1">"1, 4, 1, False, 2, False, False, , 0, False, True, 1, 1"</definedName>
    <definedName name="cb_sChartE221ADA_opts" hidden="1">"1, 5, 1, False, 2, False, False, , 0, False, False, 1, 1"</definedName>
    <definedName name="CBWorkbookPriority" hidden="1">-61538533</definedName>
    <definedName name="chiho" localSheetId="0" hidden="1">{"'下期集計（10.27迄・速報値）'!$Q$16"}</definedName>
    <definedName name="chiho" hidden="1">{"'下期集計（10.27迄・速報値）'!$Q$16"}</definedName>
    <definedName name="cover" hidden="1">#REF!</definedName>
    <definedName name="efg" localSheetId="0" hidden="1">{#N/A,#N/A,TRUE,"A"}</definedName>
    <definedName name="efg" hidden="1">{#N/A,#N/A,TRUE,"A"}</definedName>
    <definedName name="fds" localSheetId="0" hidden="1">{"'下期集計（10.27迄・速報値）'!$Q$16"}</definedName>
    <definedName name="fds" hidden="1">{"'下期集計（10.27迄・速報値）'!$Q$16"}</definedName>
    <definedName name="ｇ" localSheetId="0" hidden="1">{"'下期集計（10.27迄・速報値）'!$Q$16"}</definedName>
    <definedName name="ｇ" hidden="1">{"'下期集計（10.27迄・速報値）'!$Q$16"}</definedName>
    <definedName name="gd" localSheetId="0" hidden="1">{"'下期集計（10.27迄・速報値）'!$Q$16"}</definedName>
    <definedName name="gd" hidden="1">{"'下期集計（10.27迄・速報値）'!$Q$16"}</definedName>
    <definedName name="gda" localSheetId="0" hidden="1">{"'下期集計（10.27迄・速報値）'!$Q$16"}</definedName>
    <definedName name="gda" hidden="1">{"'下期集計（10.27迄・速報値）'!$Q$16"}</definedName>
    <definedName name="gdsa" localSheetId="0" hidden="1">{"'下期集計（10.27迄・速報値）'!$Q$16"}</definedName>
    <definedName name="gdsa" hidden="1">{"'下期集計（10.27迄・速報値）'!$Q$16"}</definedName>
    <definedName name="gh" localSheetId="0" hidden="1">{"'Highlights'!$A$1:$M$123"}</definedName>
    <definedName name="gh" hidden="1">{"'Highlights'!$A$1:$M$123"}</definedName>
    <definedName name="ｈ" localSheetId="0" hidden="1">{"'下期集計（10.27迄・速報値）'!$Q$16"}</definedName>
    <definedName name="ｈ" hidden="1">{"'下期集計（10.27迄・速報値）'!$Q$16"}</definedName>
    <definedName name="H16?1??" localSheetId="0" hidden="1">{"'????'!$A$1:$C$37"}</definedName>
    <definedName name="H16?1??" hidden="1">{"'????'!$A$1:$C$37"}</definedName>
    <definedName name="Ｈ16・１" localSheetId="0" hidden="1">{"'コメント'!$A$1:$C$37"}</definedName>
    <definedName name="Ｈ16・１" hidden="1">{"'コメント'!$A$1:$C$37"}</definedName>
    <definedName name="H16･1速報" localSheetId="0" hidden="1">{"'コメント'!$A$1:$C$37"}</definedName>
    <definedName name="H16･1速報" hidden="1">{"'コメント'!$A$1:$C$37"}</definedName>
    <definedName name="HTM_Control" localSheetId="0" hidden="1">{"'下期集計（10.27迄・速報値）'!$Q$16"}</definedName>
    <definedName name="HTM_Control" hidden="1">{"'下期集計（10.27迄・速報値）'!$Q$16"}</definedName>
    <definedName name="ＨＴＭＬ" localSheetId="0" hidden="1">{"'コメント'!$A$1:$C$37"}</definedName>
    <definedName name="ＨＴＭＬ" hidden="1">{"'コメント'!$A$1:$C$37"}</definedName>
    <definedName name="HTML_CodePage" hidden="1">1252</definedName>
    <definedName name="HTML_Control" localSheetId="0" hidden="1">{"'Highlights'!$A$1:$M$123"}</definedName>
    <definedName name="HTML_Control" hidden="1">{"'Highlights'!$A$1:$M$123"}</definedName>
    <definedName name="HTML_Description" hidden="1">""</definedName>
    <definedName name="HTML_Email" hidden="1">"scottt@phx.mcd.mot.com"</definedName>
    <definedName name="HTML_Header" hidden="1">"Highlights"</definedName>
    <definedName name="HTML_LastUpdate" hidden="1">"6/24/97"</definedName>
    <definedName name="HTML_LineAfter" hidden="1">FALSE</definedName>
    <definedName name="HTML_LineBefore" hidden="1">TRUE</definedName>
    <definedName name="HTML_Name" hidden="1">"Scott Traasdahl"</definedName>
    <definedName name="HTML_OBDlg2" hidden="1">TRUE</definedName>
    <definedName name="HTML_OBDlg4" hidden="1">TRUE</definedName>
    <definedName name="HTML_OS" hidden="1">0</definedName>
    <definedName name="HTML_PathFile" hidden="1">"H:\scottt\Analysis\Ops Review\MyHTML.htm"</definedName>
    <definedName name="HTML_Title" hidden="1">"97JunOpsRvw"</definedName>
    <definedName name="hyousi" hidden="1">#REF!</definedName>
    <definedName name="INDICADOR_COLUMNAS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INDUSTRY_REC" hidden="1">"c4455"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FLOW_ACT_OR_EST" hidden="1">"c4154"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GW_ACT_OR_EST" hidden="1">"c4306"</definedName>
    <definedName name="IQ_EBIT_INT" hidden="1">"c360"</definedName>
    <definedName name="IQ_EBIT_MARGIN" hidden="1">"c359"</definedName>
    <definedName name="IQ_EBIT_OVER_IE" hidden="1">"c1369"</definedName>
    <definedName name="IQ_EBIT_SBC_ACT_OR_EST" hidden="1">"c4316"</definedName>
    <definedName name="IQ_EBIT_SBC_GW_ACT_OR_EST" hidden="1">"c4320"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HIGH_EST" hidden="1">"c370"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SBC_ACT_OR_EST" hidden="1">"c4350"</definedName>
    <definedName name="IQ_EBT_SBC_GW_ACT_OR_EST" hidden="1">"c4354"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EST_REUT" hidden="1">"c5453"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UM_EST" hidden="1">"c402"</definedName>
    <definedName name="IQ_EPS_NUM_EST_REUT" hidden="1">"c5451"</definedName>
    <definedName name="IQ_EPS_SBC_ACT_OR_EST" hidden="1">"c4376"</definedName>
    <definedName name="IQ_EPS_SBC_GW_ACT_OR_EST" hidden="1">"c4380"</definedName>
    <definedName name="IQ_EPS_STDDEV_EST" hidden="1">"c403"</definedName>
    <definedName name="IQ_EPS_STDDEV_EST_REUT" hidden="1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EPS_DIFF" hidden="1">"c1864"</definedName>
    <definedName name="IQ_EST_EPS_GROWTH_1YR" hidden="1">"c1636"</definedName>
    <definedName name="IQ_EST_EPS_GROWTH_1YR_REUT" hidden="1">"c3646"</definedName>
    <definedName name="IQ_EST_EPS_GROWTH_5YR" hidden="1">"c1655"</definedName>
    <definedName name="IQ_EST_EPS_GROWTH_5YR_REUT" hidden="1">"c3633"</definedName>
    <definedName name="IQ_EST_EPS_GROWTH_Q_1YR" hidden="1">"c1641"</definedName>
    <definedName name="IQ_EST_EPS_GROWTH_Q_1YR_REUT" hidden="1">"c5410"</definedName>
    <definedName name="IQ_EST_VENDOR" hidden="1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DJ_ACT_OR_EST" hidden="1">"c4435"</definedName>
    <definedName name="IQ_FFO_PAYOUT_RATIO" hidden="1">"c3492"</definedName>
    <definedName name="IQ_FFO_SHARE_ACT_OR_EST" hidden="1">"c4446"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_TARGET_PRICE_REUT" hidden="1">"c5317"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CAPEX_ACT_OR_EST" hidden="1">"c4458"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MES_REVISION_DATE_" hidden="1">40809.7705439815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BC_ACT_OR_EST" hidden="1">"c4474"</definedName>
    <definedName name="IQ_NI_SBC_GW_ACT_OR_EST" hidden="1">"c4478"</definedName>
    <definedName name="IQ_NI_SFAS" hidden="1">"c795"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REUT" hidden="1">"c3631"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 hidden="1">"c4507"</definedName>
    <definedName name="IQ_RECURRING_PROFIT_SHARE_ACT_OR_EST" hidden="1">"c4508"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EST_REUT" hidden="1">"c3634"</definedName>
    <definedName name="IQ_REVENUE_HIGH_EST" hidden="1">"c1127"</definedName>
    <definedName name="IQ_REVENUE_HIGH_EST_REUT" hidden="1">"c3636"</definedName>
    <definedName name="IQ_REVENUE_LOW_EST" hidden="1">"c1128"</definedName>
    <definedName name="IQ_REVENUE_LOW_EST_REUT" hidden="1">"c3637"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ISION_DATE_" hidden="1">39482.4188773148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ji" localSheetId="0" hidden="1">{"'Highlights'!$A$1:$M$123"}</definedName>
    <definedName name="ji" hidden="1">{"'Highlights'!$A$1:$M$123"}</definedName>
    <definedName name="k" localSheetId="0" hidden="1">{"'下期集計（10.27迄・速報値）'!$Q$16"}</definedName>
    <definedName name="k" hidden="1">{"'下期集計（10.27迄・速報値）'!$Q$16"}</definedName>
    <definedName name="kjh" localSheetId="0" hidden="1">{#N/A,#N/A,TRUE,"A"}</definedName>
    <definedName name="kjh" hidden="1">{#N/A,#N/A,TRUE,"A"}</definedName>
    <definedName name="kjl" localSheetId="0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kjl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kk" localSheetId="0" hidden="1">{"'下期集計（10.27迄・速報値）'!$Q$16"}</definedName>
    <definedName name="kk" hidden="1">{"'下期集計（10.27迄・速報値）'!$Q$16"}</definedName>
    <definedName name="kkk" localSheetId="0" hidden="1">{"'下期集計（10.27迄・速報値）'!$Q$16"}</definedName>
    <definedName name="kkk" hidden="1">{"'下期集計（10.27迄・速報値）'!$Q$16"}</definedName>
    <definedName name="lio" localSheetId="0" hidden="1">{#N/A,#N/A,TRUE,"A"}</definedName>
    <definedName name="lio" hidden="1">{#N/A,#N/A,TRUE,"A"}</definedName>
    <definedName name="LISTA">#REF!</definedName>
    <definedName name="ListOffset" hidden="1">1</definedName>
    <definedName name="MBAS" localSheetId="0" hidden="1">{"'ADV&amp;DP'!$A$4:$C$25"}</definedName>
    <definedName name="MBAS" hidden="1">{"'ADV&amp;DP'!$A$4:$C$25"}</definedName>
    <definedName name="mbs" localSheetId="0" hidden="1">{"'ADV&amp;DP'!$A$4:$C$25"}</definedName>
    <definedName name="mbs" hidden="1">{"'ADV&amp;DP'!$A$4:$C$25"}</definedName>
    <definedName name="MKK" localSheetId="0" hidden="1">{"'下期集計（10.27迄・速報値）'!$Q$16"}</definedName>
    <definedName name="MKK" hidden="1">{"'下期集計（10.27迄・速報値）'!$Q$16"}</definedName>
    <definedName name="mmm" localSheetId="0" hidden="1">{"'ADV&amp;DP'!$A$4:$C$25"}</definedName>
    <definedName name="mmm" hidden="1">{"'ADV&amp;DP'!$A$4:$C$25"}</definedName>
    <definedName name="MOBILE" localSheetId="0" hidden="1">{"'ADV&amp;DP'!$A$4:$C$25"}</definedName>
    <definedName name="MOBILE" hidden="1">{"'ADV&amp;DP'!$A$4:$C$25"}</definedName>
    <definedName name="n" localSheetId="0" hidden="1">{"'下期集計（10.27迄・速報値）'!$Q$16"}</definedName>
    <definedName name="n" hidden="1">{"'下期集計（10.27迄・速報値）'!$Q$16"}</definedName>
    <definedName name="new" localSheetId="0" hidden="1">{"'Highlights'!$A$1:$M$123"}</definedName>
    <definedName name="new" hidden="1">{"'Highlights'!$A$1:$M$123"}</definedName>
    <definedName name="nm" localSheetId="0" hidden="1">{#N/A,#N/A,TRUE,"A"}</definedName>
    <definedName name="nm" hidden="1">{#N/A,#N/A,TRUE,"A"}</definedName>
    <definedName name="ñlo" localSheetId="0" hidden="1">{#N/A,#N/A,TRUE,"A"}</definedName>
    <definedName name="ñlo" hidden="1">{#N/A,#N/A,TRUE,"A"}</definedName>
    <definedName name="ñp" localSheetId="0" hidden="1">{#N/A,#N/A,TRUE,"A"}</definedName>
    <definedName name="ñp" hidden="1">{#N/A,#N/A,TRUE,"A"}</definedName>
    <definedName name="oi" localSheetId="0" hidden="1">{#N/A,#N/A,TRUE,"A"}</definedName>
    <definedName name="oi" hidden="1">{#N/A,#N/A,TRUE,"A"}</definedName>
    <definedName name="ok" localSheetId="0" hidden="1">{"'Highlights'!$A$1:$M$123"}</definedName>
    <definedName name="ok" hidden="1">{"'Highlights'!$A$1:$M$123"}</definedName>
    <definedName name="PANELES">#REF!</definedName>
    <definedName name="piu" localSheetId="0" hidden="1">{#N/A,#N/A,TRUE,"A"}</definedName>
    <definedName name="piu" hidden="1">{#N/A,#N/A,TRUE,"A"}</definedName>
    <definedName name="plo" localSheetId="0" hidden="1">{#N/A,#N/A,TRUE,"A"}</definedName>
    <definedName name="plo" hidden="1">{#N/A,#N/A,TRUE,"A"}</definedName>
    <definedName name="po" localSheetId="0" hidden="1">{#N/A,#N/A,TRUE,"A"}</definedName>
    <definedName name="po" hidden="1">{#N/A,#N/A,TRUE,"A"}</definedName>
    <definedName name="PTSB" localSheetId="0" hidden="1">{"'Highlights'!$A$1:$M$123"}</definedName>
    <definedName name="PTSB" hidden="1">{"'Highlights'!$A$1:$M$123"}</definedName>
    <definedName name="Q2Fcst" localSheetId="0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Q2Fcst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qw" localSheetId="0" hidden="1">{"'下期集計（10.27迄・速報値）'!$Q$16"}</definedName>
    <definedName name="qw" hidden="1">{"'下期集計（10.27迄・速報値）'!$Q$16"}</definedName>
    <definedName name="ＲＡＲＯＡ" localSheetId="0" hidden="1">{"'下期集計（10.27迄・速報値）'!$Q$16"}</definedName>
    <definedName name="ＲＡＲＯＡ" hidden="1">{"'下期集計（10.27迄・速報値）'!$Q$16"}</definedName>
    <definedName name="RETENCION">'[7]Cálculo LPVta Cambium'!$AA$4</definedName>
    <definedName name="rfg" localSheetId="0" hidden="1">{#N/A,#N/A,TRUE,"A"}</definedName>
    <definedName name="rfg" hidden="1">{#N/A,#N/A,TRUE,"A"}</definedName>
    <definedName name="SAPBEXdnldView" hidden="1">"4X7PHJJ3EF70UJ33CI6YVQIOV"</definedName>
    <definedName name="SAPBEXsysID" hidden="1">"PBK"</definedName>
    <definedName name="SCOG" localSheetId="0" hidden="1">{"'ADV&amp;DP'!$A$4:$C$25"}</definedName>
    <definedName name="SCOG" hidden="1">{"'ADV&amp;DP'!$A$4:$C$25"}</definedName>
    <definedName name="sencount" hidden="1">1</definedName>
    <definedName name="sfgasd" localSheetId="0" hidden="1">{0,0,0,0;0,0,0,0;0,0,0,0;0,0,0,0;0,0,0,0;0,0,0,0;0,0,2,0;2,3,3,0;FALSE,FALSE,FALSE,FALSE;TRUE,FALSE,TRUE,TRUE;FALSE,FALSE,TRUE,TRUE;FALSE,0,2.78134444564786E-308,4.45015196281921E-308;7.78776275135711E-308,1.33504516457612E-307,2.22507555776164E-307,3.56012157274209E-307}</definedName>
    <definedName name="sfgasd" hidden="1">{0,0,0,0;0,0,0,0;0,0,0,0;0,0,0,0;0,0,0,0;0,0,0,0;0,0,2,0;2,3,3,0;FALSE,FALSE,FALSE,FALSE;TRUE,FALSE,TRUE,TRUE;FALSE,FALSE,TRUE,TRUE;FALSE,0,2.78134444564786E-308,4.45015196281921E-308;7.78776275135711E-308,1.33504516457612E-307,2.22507555776164E-307,3.56012157274209E-307}</definedName>
    <definedName name="solver_adj" hidden="1">#REF!</definedName>
    <definedName name="solver_lin" hidden="1">0</definedName>
    <definedName name="solver_num" hidden="1">0</definedName>
    <definedName name="solver_opt" hidden="1">#REF!</definedName>
    <definedName name="solver_typ" hidden="1">3</definedName>
    <definedName name="solver_val" hidden="1">0.6</definedName>
    <definedName name="stp">[8]Resumen_Inv!$I$66</definedName>
    <definedName name="t" localSheetId="0" hidden="1">{"'下期集計（10.27迄・速報値）'!$Q$16"}</definedName>
    <definedName name="t" hidden="1">{"'下期集計（10.27迄・速報値）'!$Q$16"}</definedName>
    <definedName name="tyh" localSheetId="0" hidden="1">{#N/A,#N/A,TRUE,"A"}</definedName>
    <definedName name="tyh" hidden="1">{#N/A,#N/A,TRUE,"A"}</definedName>
    <definedName name="v" localSheetId="0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v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vbn" localSheetId="0" hidden="1">{#N/A,#N/A,TRUE,"A"}</definedName>
    <definedName name="vbn" hidden="1">{#N/A,#N/A,TRUE,"A"}</definedName>
    <definedName name="w" localSheetId="0" hidden="1">{"'下期集計（10.27迄・速報値）'!$Q$16"}</definedName>
    <definedName name="w" hidden="1">{"'下期集計（10.27迄・速報値）'!$Q$16"}</definedName>
    <definedName name="wrn.???." localSheetId="0" hidden="1">{"DCF-???",#N/A,TRUE,"???";"FS-???",#N/A,TRUE,"?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}</definedName>
    <definedName name="wrn.???." hidden="1">{"DCF-???",#N/A,TRUE,"???";"FS-???",#N/A,TRUE,"?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_.Sheets." localSheetId="0" hidden="1">{#N/A,#N/A,FALSE,"1997 WW (Short)";#N/A,#N/A,FALSE,"1997 RF Mfg";#N/A,#N/A,FALSE,"Ancillary-CSM";#N/A,#N/A,FALSE,"1997 Service"}</definedName>
    <definedName name="wrn.All._.Sheets." hidden="1">{#N/A,#N/A,FALSE,"1997 WW (Short)";#N/A,#N/A,FALSE,"1997 RF Mfg";#N/A,#N/A,FALSE,"Ancillary-CSM";#N/A,#N/A,FALSE,"1997 Service"}</definedName>
    <definedName name="wrn.AR._.Meeting._.Schedules." localSheetId="0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wrn.AR._.Meeting._.Schedules.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wrn.CIPG._.All._.Sheets." localSheetId="0" hidden="1">{#N/A,#N/A,FALSE,"Cover";#N/A,#N/A,FALSE,"Commentary";#N/A,#N/A,FALSE,"key ind";#N/A,#N/A,FALSE,"CIG RSB";#N/A,#N/A,FALSE,"4-up charts p.1";#N/A,#N/A,FALSE,"4-up charts p.2";#N/A,#N/A,FALSE,"Q1 Markets";#N/A,#N/A,FALSE,"Annual Mkts";#N/A,#N/A,FALSE," rate of ? qtr";#N/A,#N/A,FALSE,"Detail Rel rate of ? ";#N/A,#N/A,FALSE,"Q1 Products";#N/A,#N/A,FALSE,"Annual Products";#N/A,#N/A,FALSE,"SMUG";#N/A,#N/A,FALSE,"IDL Budgets";#N/A,#N/A,FALSE,"HC Trend";#N/A,#N/A,FALSE,"Functional HC ";#N/A,#N/A,FALSE,"Capital Expd";#N/A,#N/A,FALSE,"Capital CO";#N/A,#N/A,FALSE,"Inventory"}</definedName>
    <definedName name="wrn.CIPG._.All._.Sheets." hidden="1">{#N/A,#N/A,FALSE,"Cover";#N/A,#N/A,FALSE,"Commentary";#N/A,#N/A,FALSE,"key ind";#N/A,#N/A,FALSE,"CIG RSB";#N/A,#N/A,FALSE,"4-up charts p.1";#N/A,#N/A,FALSE,"4-up charts p.2";#N/A,#N/A,FALSE,"Q1 Markets";#N/A,#N/A,FALSE,"Annual Mkts";#N/A,#N/A,FALSE," rate of ? qtr";#N/A,#N/A,FALSE,"Detail Rel rate of ? ";#N/A,#N/A,FALSE,"Q1 Products";#N/A,#N/A,FALSE,"Annual Products";#N/A,#N/A,FALSE,"SMUG";#N/A,#N/A,FALSE,"IDL Budgets";#N/A,#N/A,FALSE,"HC Trend";#N/A,#N/A,FALSE,"Functional HC ";#N/A,#N/A,FALSE,"Capital Expd";#N/A,#N/A,FALSE,"Capital CO";#N/A,#N/A,FALSE,"Inventory"}</definedName>
    <definedName name="wrn.CIPG._.Black._.and._.White." localSheetId="0" hidden="1">{#N/A,#N/A,FALSE,"Cover";#N/A,#N/A,FALSE,"Commentary";#N/A,#N/A,FALSE,"key ind";#N/A,#N/A,FALSE,"CIG RSB";#N/A,#N/A,FALSE,"Q1 Markets";#N/A,#N/A,FALSE,"Annual Mkts";#N/A,#N/A,FALSE,"Q1 Products";#N/A,#N/A,FALSE,"Annual Products";#N/A,#N/A,FALSE,"SMUG";#N/A,#N/A,FALSE,"IDL Budgets";#N/A,#N/A,FALSE,"HC Trend";#N/A,#N/A,FALSE,"Functional HC ";#N/A,#N/A,FALSE,"Capital Expd";#N/A,#N/A,FALSE,"Capital CO"}</definedName>
    <definedName name="wrn.CIPG._.Black._.and._.White." hidden="1">{#N/A,#N/A,FALSE,"Cover";#N/A,#N/A,FALSE,"Commentary";#N/A,#N/A,FALSE,"key ind";#N/A,#N/A,FALSE,"CIG RSB";#N/A,#N/A,FALSE,"Q1 Markets";#N/A,#N/A,FALSE,"Annual Mkts";#N/A,#N/A,FALSE,"Q1 Products";#N/A,#N/A,FALSE,"Annual Products";#N/A,#N/A,FALSE,"SMUG";#N/A,#N/A,FALSE,"IDL Budgets";#N/A,#N/A,FALSE,"HC Trend";#N/A,#N/A,FALSE,"Functional HC ";#N/A,#N/A,FALSE,"Capital Expd";#N/A,#N/A,FALSE,"Capital CO"}</definedName>
    <definedName name="wrn.CIPG._.Color._.Charts." localSheetId="0" hidden="1">{#N/A,#N/A,FALSE,"4-up charts p.1";#N/A,#N/A,FALSE,"4-up charts p.2";#N/A,#N/A,FALSE," rate of ? qtr";#N/A,#N/A,FALSE,"Detail Rel rate of ? ";#N/A,#N/A,FALSE,"Inventory"}</definedName>
    <definedName name="wrn.CIPG._.Color._.Charts." hidden="1">{#N/A,#N/A,FALSE,"4-up charts p.1";#N/A,#N/A,FALSE,"4-up charts p.2";#N/A,#N/A,FALSE," rate of ? qtr";#N/A,#N/A,FALSE,"Detail Rel rate of ? ";#N/A,#N/A,FALSE,"Inventory"}</definedName>
    <definedName name="wrn.DCF????." localSheetId="0" hidden="1">{"DCF-???",#N/A,TRUE,"???";"DCF-??",#N/A,TRUE,"??";"DCF-??",#N/A,TRUE,"??";"DCF-??",#N/A,TRUE,"??";"DCF-??",#N/A,TRUE,"??";"DCF-??",#N/A,TRUE,"??";"DCF-??",#N/A,TRUE,"??";"DCF-??",#N/A,TRUE,"??";"DCF-??",#N/A,TRUE,"??"}</definedName>
    <definedName name="wrn.DCF????." hidden="1">{"DCF-???",#N/A,TRUE,"???";"DCF-??",#N/A,TRUE,"??";"DCF-??",#N/A,TRUE,"??";"DCF-??",#N/A,TRUE,"??";"DCF-??",#N/A,TRUE,"??";"DCF-??",#N/A,TRUE,"??";"DCF-??",#N/A,TRUE,"??";"DCF-??",#N/A,TRUE,"??";"DCF-??",#N/A,TRUE,"??"}</definedName>
    <definedName name="wrn.DCF一括印刷." localSheetId="0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wrn.DCF一括印刷.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wrn.EAN2." localSheetId="0" hidden="1">{#N/A,#N/A,TRUE,"A"}</definedName>
    <definedName name="wrn.EAN2." hidden="1">{#N/A,#N/A,TRUE,"A"}</definedName>
    <definedName name="wrn.EAN3" localSheetId="0" hidden="1">{#N/A,#N/A,TRUE,"A"}</definedName>
    <definedName name="wrn.EAN3" hidden="1">{#N/A,#N/A,TRUE,"A"}</definedName>
    <definedName name="wrn.FS????." localSheetId="0" hidden="1">{"FS-???",#N/A,TRUE,"???";"FS-??",#N/A,TRUE,"??";"FS-??",#N/A,TRUE,"??";"FS-??",#N/A,TRUE,"??";"FS-??",#N/A,TRUE,"??";"FS-??",#N/A,TRUE,"??";"FS-??",#N/A,TRUE,"??";"FS-??",#N/A,TRUE,"??";"FS-??",#N/A,TRUE,"??"}</definedName>
    <definedName name="wrn.FS????." hidden="1">{"FS-???",#N/A,TRUE,"???";"FS-??",#N/A,TRUE,"??";"FS-??",#N/A,TRUE,"??";"FS-??",#N/A,TRUE,"??";"FS-??",#N/A,TRUE,"??";"FS-??",#N/A,TRUE,"??";"FS-??",#N/A,TRUE,"??";"FS-??",#N/A,TRUE,"??";"FS-??",#N/A,TRUE,"??"}</definedName>
    <definedName name="wrn.FS一括印刷." localSheetId="0" hidden="1">{"FS-北海道",#N/A,TRUE,"北海道";"FS-東北",#N/A,TRUE,"東北";"FS-東海",#N/A,TRUE,"東海";"FS-北陸",#N/A,TRUE,"北陸";"FS-関西",#N/A,TRUE,"関西";"FS-中国",#N/A,TRUE,"中国";"FS-四国",#N/A,TRUE,"四国";"FS-九州",#N/A,TRUE,"九州";"FS-連結",#N/A,TRUE,"連結"}</definedName>
    <definedName name="wrn.FS一括印刷." hidden="1">{"FS-北海道",#N/A,TRUE,"北海道";"FS-東北",#N/A,TRUE,"東北";"FS-東海",#N/A,TRUE,"東海";"FS-北陸",#N/A,TRUE,"北陸";"FS-関西",#N/A,TRUE,"関西";"FS-中国",#N/A,TRUE,"中国";"FS-四国",#N/A,TRUE,"四国";"FS-九州",#N/A,TRUE,"九州";"FS-連結",#N/A,TRUE,"連結"}</definedName>
    <definedName name="wrn.Outlook._.Report." localSheetId="0" hidden="1">{#N/A,#N/A,FALSE,"Outlook for Month ";#N/A,#N/A,FALSE,"Risk for Month ";#N/A,#N/A,FALSE,"Upside for Month"}</definedName>
    <definedName name="wrn.Outlook._.Report." hidden="1">{#N/A,#N/A,FALSE,"Outlook for Month ";#N/A,#N/A,FALSE,"Risk for Month ";#N/A,#N/A,FALSE,"Upside for Month"}</definedName>
    <definedName name="wrn.RPT." localSheetId="0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wrn.RPT.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wrn.全印刷." localSheetId="0" hidden="1">{"DCF-北海道",#N/A,TRUE,"北海道";"FS-北海道",#N/A,TRUE,"北海道";"DCF-東北",#N/A,TRUE,"東北";"FS-東北",#N/A,TRUE,"東北";"DCF-東海",#N/A,TRUE,"東海";"FS-東海",#N/A,TRUE,"東海";"DCF-北陸",#N/A,TRUE,"北陸";"FS-北陸",#N/A,TRUE,"北陸";"DCF-関西",#N/A,TRUE,"関西";"FS-関西",#N/A,TRUE,"関西";"DCF-中国",#N/A,TRUE,"中国";"FS-中国",#N/A,TRUE,"中国";"DCF-四国",#N/A,TRUE,"四国";"FS-四国",#N/A,TRUE,"四国";"DCF-九州",#N/A,TRUE,"九州";"FS-九州",#N/A,TRUE,"九州";"DCF-連結",#N/A,TRUE,"連結";"FS-連結",#N/A,TRUE,"連結"}</definedName>
    <definedName name="wrn.全印刷." hidden="1">{"DCF-北海道",#N/A,TRUE,"北海道";"FS-北海道",#N/A,TRUE,"北海道";"DCF-東北",#N/A,TRUE,"東北";"FS-東北",#N/A,TRUE,"東北";"DCF-東海",#N/A,TRUE,"東海";"FS-東海",#N/A,TRUE,"東海";"DCF-北陸",#N/A,TRUE,"北陸";"FS-北陸",#N/A,TRUE,"北陸";"DCF-関西",#N/A,TRUE,"関西";"FS-関西",#N/A,TRUE,"関西";"DCF-中国",#N/A,TRUE,"中国";"FS-中国",#N/A,TRUE,"中国";"DCF-四国",#N/A,TRUE,"四国";"FS-四国",#N/A,TRUE,"四国";"DCF-九州",#N/A,TRUE,"九州";"FS-九州",#N/A,TRUE,"九州";"DCF-連結",#N/A,TRUE,"連結";"FS-連結",#N/A,TRUE,"連結"}</definedName>
    <definedName name="ws" localSheetId="0" hidden="1">{#N/A,#N/A,TRUE,"A"}</definedName>
    <definedName name="ws" hidden="1">{#N/A,#N/A,TRUE,"A"}</definedName>
    <definedName name="yhu" localSheetId="0" hidden="1">{#N/A,#N/A,TRUE,"A"}</definedName>
    <definedName name="yhu" hidden="1">{#N/A,#N/A,TRUE,"A"}</definedName>
    <definedName name="ｚ" localSheetId="0" hidden="1">{"'下期集計（10.27迄・速報値）'!$Q$16"}</definedName>
    <definedName name="ｚ" hidden="1">{"'下期集計（10.27迄・速報値）'!$Q$16"}</definedName>
    <definedName name="Z_086A872D_15DF_436A_8459_CE22F6819FF4_.wvu.Rows" hidden="1">[5]Presentacion!#REF!</definedName>
    <definedName name="Z_D55C8B2E_861A_459E_9D09_3AF38A1DE99E_.wvu.Rows" hidden="1">[5]Presentacion!#REF!</definedName>
    <definedName name="Z_F540D718_D9AA_403F_AE49_60D937FD77E5_.wvu.Rows" hidden="1">[5]Presentacion!#REF!</definedName>
    <definedName name="zz" localSheetId="0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zz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ぁ" localSheetId="0" hidden="1">{"'下期集計（10.27迄・速報値）'!$Q$16"}</definedName>
    <definedName name="ぁ" hidden="1">{"'下期集計（10.27迄・速報値）'!$Q$16"}</definedName>
    <definedName name="あ" localSheetId="0" hidden="1">{"'下期集計（10.27迄・速報値）'!$Q$16"}</definedName>
    <definedName name="あ" hidden="1">{"'下期集計（10.27迄・速報値）'!$Q$16"}</definedName>
    <definedName name="あああ" localSheetId="0" hidden="1">{"'下期集計（10.27迄・速報値）'!$Q$16"}</definedName>
    <definedName name="あああ" hidden="1">{"'下期集計（10.27迄・速報値）'!$Q$16"}</definedName>
    <definedName name="ｼｰﾄ" hidden="1">[9]計算過程シート!#REF!</definedName>
    <definedName name="なんで" localSheetId="0" hidden="1">{"'下期集計（10.27迄・速報値）'!$Q$16"}</definedName>
    <definedName name="なんで" hidden="1">{"'下期集計（10.27迄・速報値）'!$Q$16"}</definedName>
    <definedName name="なんなの" localSheetId="0" hidden="1">{"'下期集計（10.27迄・速報値）'!$Q$16"}</definedName>
    <definedName name="なんなの" hidden="1">{"'下期集計（10.27迄・速報値）'!$Q$16"}</definedName>
    <definedName name="一括" localSheetId="0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一括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印刷" localSheetId="0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印刷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年間収支買掛" localSheetId="0" hidden="1">{"'下期集計（10.27迄・速報値）'!$Q$16"}</definedName>
    <definedName name="年間収支買掛" hidden="1">{"'下期集計（10.27迄・速報値）'!$Q$16"}</definedName>
    <definedName name="年間資金収支あ" localSheetId="0" hidden="1">{"'下期集計（10.27迄・速報値）'!$Q$16"}</definedName>
    <definedName name="年間資金収支あ" hidden="1">{"'下期集計（10.27迄・速報値）'!$Q$16"}</definedName>
    <definedName name="日繰06" localSheetId="0" hidden="1">{"'下期集計（10.27迄・速報値）'!$Q$16"}</definedName>
    <definedName name="日繰06" hidden="1">{"'下期集計（10.27迄・速報値）'!$Q$16"}</definedName>
    <definedName name="系統出資金" localSheetId="0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系統出資金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系統外出資金" localSheetId="0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系統外出資金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要処理資産②" localSheetId="0" hidden="1">{"'下期集計（10.27迄・速報値）'!$Q$16"}</definedName>
    <definedName name="要処理資産②" hidden="1">{"'下期集計（10.27迄・速報値）'!$Q$16"}</definedName>
    <definedName name="評価対象" hidden="1">[9]計算過程シート!#REF!</definedName>
    <definedName name="資金" localSheetId="0" hidden="1">{"'下期集計（10.27迄・速報値）'!$Q$16"}</definedName>
    <definedName name="資金" hidden="1">{"'下期集計（10.27迄・速報値）'!$Q$16"}</definedName>
    <definedName name="金利体系" localSheetId="0" hidden="1">{"'下期集計（10.27迄・速報値）'!$Q$16"}</definedName>
    <definedName name="金利体系" hidden="1">{"'下期集計（10.27迄・速報値）'!$Q$16"}</definedName>
    <definedName name="関連" localSheetId="0" hidden="1">{"'下期集計（10.27迄・速報値）'!$Q$16"}</definedName>
    <definedName name="関連" hidden="1">{"'下期集計（10.27迄・速報値）'!$Q$16"}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" i="1" l="1"/>
  <c r="C2" i="1" s="1"/>
  <c r="H3" i="1"/>
  <c r="C3" i="1" s="1"/>
  <c r="H4" i="1"/>
  <c r="C4" i="1" s="1"/>
  <c r="H5" i="1"/>
  <c r="C5" i="1" s="1"/>
  <c r="H6" i="1"/>
  <c r="C6" i="1" s="1"/>
  <c r="H7" i="1"/>
  <c r="C7" i="1" s="1"/>
  <c r="H8" i="1"/>
  <c r="C8" i="1" s="1"/>
  <c r="H9" i="1"/>
  <c r="C9" i="1" s="1"/>
  <c r="H10" i="1"/>
  <c r="C10" i="1" s="1"/>
  <c r="H11" i="1"/>
  <c r="C11" i="1" s="1"/>
  <c r="H12" i="1"/>
  <c r="C12" i="1" s="1"/>
  <c r="H13" i="1"/>
  <c r="C13" i="1" s="1"/>
  <c r="H14" i="1"/>
  <c r="C14" i="1" s="1"/>
  <c r="H15" i="1"/>
  <c r="C15" i="1" s="1"/>
  <c r="H16" i="1"/>
  <c r="C16" i="1" s="1"/>
  <c r="H17" i="1"/>
  <c r="C17" i="1" s="1"/>
  <c r="H18" i="1"/>
  <c r="C18" i="1" s="1"/>
  <c r="H19" i="1"/>
  <c r="C19" i="1" s="1"/>
  <c r="H20" i="1"/>
  <c r="C20" i="1" s="1"/>
  <c r="H21" i="1"/>
  <c r="C21" i="1" s="1"/>
  <c r="H22" i="1"/>
  <c r="C22" i="1" s="1"/>
  <c r="H23" i="1"/>
  <c r="C23" i="1" s="1"/>
  <c r="H24" i="1"/>
  <c r="C24" i="1" s="1"/>
  <c r="H25" i="1"/>
  <c r="C25" i="1" s="1"/>
  <c r="H26" i="1"/>
  <c r="C26" i="1" s="1"/>
  <c r="H27" i="1"/>
  <c r="C27" i="1" s="1"/>
  <c r="H28" i="1"/>
  <c r="C28" i="1" s="1"/>
  <c r="H29" i="1"/>
  <c r="C29" i="1" s="1"/>
  <c r="H30" i="1"/>
  <c r="C30" i="1" s="1"/>
  <c r="H31" i="1"/>
  <c r="C31" i="1" s="1"/>
  <c r="H32" i="1"/>
  <c r="C32" i="1" s="1"/>
  <c r="H33" i="1"/>
  <c r="C33" i="1" s="1"/>
  <c r="H34" i="1"/>
  <c r="C34" i="1" s="1"/>
  <c r="H35" i="1"/>
  <c r="C35" i="1" s="1"/>
  <c r="H36" i="1"/>
  <c r="C36" i="1" s="1"/>
  <c r="E36" i="1" l="1"/>
  <c r="F36" i="1"/>
  <c r="D36" i="1" s="1"/>
  <c r="E32" i="1"/>
  <c r="F32" i="1"/>
  <c r="D32" i="1"/>
  <c r="E28" i="1"/>
  <c r="F28" i="1"/>
  <c r="D28" i="1"/>
  <c r="E24" i="1"/>
  <c r="F24" i="1"/>
  <c r="D24" i="1" s="1"/>
  <c r="E20" i="1"/>
  <c r="F20" i="1"/>
  <c r="D20" i="1"/>
  <c r="E12" i="1"/>
  <c r="F12" i="1"/>
  <c r="D12" i="1"/>
  <c r="E8" i="1"/>
  <c r="F8" i="1"/>
  <c r="D8" i="1"/>
  <c r="E4" i="1"/>
  <c r="F4" i="1"/>
  <c r="D4" i="1" s="1"/>
  <c r="F35" i="1"/>
  <c r="D35" i="1" s="1"/>
  <c r="E35" i="1"/>
  <c r="F31" i="1"/>
  <c r="D31" i="1" s="1"/>
  <c r="E31" i="1"/>
  <c r="F27" i="1"/>
  <c r="D27" i="1"/>
  <c r="E27" i="1"/>
  <c r="F23" i="1"/>
  <c r="D23" i="1"/>
  <c r="E23" i="1"/>
  <c r="F19" i="1"/>
  <c r="D19" i="1" s="1"/>
  <c r="E19" i="1"/>
  <c r="F15" i="1"/>
  <c r="D15" i="1"/>
  <c r="E15" i="1"/>
  <c r="F11" i="1"/>
  <c r="D11" i="1"/>
  <c r="E11" i="1"/>
  <c r="F7" i="1"/>
  <c r="D7" i="1"/>
  <c r="E7" i="1"/>
  <c r="F3" i="1"/>
  <c r="D3" i="1" s="1"/>
  <c r="E3" i="1"/>
  <c r="F34" i="1"/>
  <c r="D34" i="1" s="1"/>
  <c r="E34" i="1"/>
  <c r="E30" i="1"/>
  <c r="F30" i="1"/>
  <c r="D30" i="1" s="1"/>
  <c r="E26" i="1"/>
  <c r="F26" i="1"/>
  <c r="D26" i="1" s="1"/>
  <c r="E22" i="1"/>
  <c r="F22" i="1"/>
  <c r="D22" i="1" s="1"/>
  <c r="E18" i="1"/>
  <c r="F18" i="1"/>
  <c r="D18" i="1" s="1"/>
  <c r="E14" i="1"/>
  <c r="F14" i="1"/>
  <c r="D14" i="1" s="1"/>
  <c r="E10" i="1"/>
  <c r="F10" i="1"/>
  <c r="D10" i="1" s="1"/>
  <c r="E6" i="1"/>
  <c r="F6" i="1"/>
  <c r="D6" i="1" s="1"/>
  <c r="E2" i="1"/>
  <c r="F2" i="1"/>
  <c r="D2" i="1" s="1"/>
  <c r="E33" i="1"/>
  <c r="F33" i="1"/>
  <c r="D33" i="1" s="1"/>
  <c r="E29" i="1"/>
  <c r="F29" i="1"/>
  <c r="D29" i="1" s="1"/>
  <c r="E25" i="1"/>
  <c r="F25" i="1"/>
  <c r="D25" i="1" s="1"/>
  <c r="E21" i="1"/>
  <c r="F21" i="1"/>
  <c r="D21" i="1" s="1"/>
  <c r="E17" i="1"/>
  <c r="F17" i="1"/>
  <c r="D17" i="1" s="1"/>
  <c r="E13" i="1"/>
  <c r="F13" i="1"/>
  <c r="D13" i="1" s="1"/>
  <c r="E9" i="1"/>
  <c r="F9" i="1"/>
  <c r="D9" i="1" s="1"/>
  <c r="E5" i="1"/>
  <c r="F5" i="1"/>
  <c r="D5" i="1" s="1"/>
  <c r="E16" i="1"/>
  <c r="F16" i="1"/>
  <c r="D16" i="1" s="1"/>
</calcChain>
</file>

<file path=xl/sharedStrings.xml><?xml version="1.0" encoding="utf-8"?>
<sst xmlns="http://schemas.openxmlformats.org/spreadsheetml/2006/main" count="81" uniqueCount="81">
  <si>
    <t>ADAPTADOR 12V 1A</t>
  </si>
  <si>
    <t>TACE00003</t>
  </si>
  <si>
    <t>TCAE00032</t>
  </si>
  <si>
    <t>TACE00102</t>
  </si>
  <si>
    <t>TACE00153</t>
  </si>
  <si>
    <t>SENSOR PRESENCIA</t>
  </si>
  <si>
    <t>TACE00089</t>
  </si>
  <si>
    <t>TDIS0001</t>
  </si>
  <si>
    <t>TACE00148</t>
  </si>
  <si>
    <t>TACE00150</t>
  </si>
  <si>
    <t>TACE00093</t>
  </si>
  <si>
    <t>BOTONERA VERDE SENCILLA</t>
  </si>
  <si>
    <t>TACE00091</t>
  </si>
  <si>
    <t>LUZ ESTROBOSCOPICA PEQ</t>
  </si>
  <si>
    <t>TACE00145</t>
  </si>
  <si>
    <t>CORNETA 100W</t>
  </si>
  <si>
    <t>TACE00149</t>
  </si>
  <si>
    <t>TSIRENA001</t>
  </si>
  <si>
    <t>TSIRENA002</t>
  </si>
  <si>
    <t>TALI00023</t>
  </si>
  <si>
    <t>TACE00110</t>
  </si>
  <si>
    <t>BOTON INALAMBRICO 2 BOTONES</t>
  </si>
  <si>
    <t>TACE00011</t>
  </si>
  <si>
    <t>MODULO RECEPTOR CON SALIDA A 1 RELEVO INCLUYE 1 CONTROL</t>
  </si>
  <si>
    <t>TACE00132</t>
  </si>
  <si>
    <t>TCAE00026</t>
  </si>
  <si>
    <t>TACE00004</t>
  </si>
  <si>
    <t>TACE00155</t>
  </si>
  <si>
    <t>TCAE00034</t>
  </si>
  <si>
    <t>TACE00007</t>
  </si>
  <si>
    <t>TALI00044</t>
  </si>
  <si>
    <t>TACI00004</t>
  </si>
  <si>
    <t>TACI00003</t>
  </si>
  <si>
    <t>TALI00041</t>
  </si>
  <si>
    <t>TALI00040</t>
  </si>
  <si>
    <t>TALI00039</t>
  </si>
  <si>
    <t>TALI00036</t>
  </si>
  <si>
    <t>COSTO</t>
  </si>
  <si>
    <t>Columna4</t>
  </si>
  <si>
    <t>Columna3</t>
  </si>
  <si>
    <t>COSTO CON IVA</t>
  </si>
  <si>
    <t>UTILIDAD</t>
  </si>
  <si>
    <t>Columna2</t>
  </si>
  <si>
    <t>PRECIO CLIENTE FINAL (CON IVA)</t>
  </si>
  <si>
    <t>PRECIO TIENDA (CON IVA)</t>
  </si>
  <si>
    <t>PRECIO INSTALLER (CON IVA)</t>
  </si>
  <si>
    <t>DESCRIPCION</t>
  </si>
  <si>
    <t>REFERENCIA</t>
  </si>
  <si>
    <t>TACI00005</t>
  </si>
  <si>
    <t>RECEPTOR Y TRANSMISOR LARGO ALCANCE, DISTANCIA  1 KILOMETRO</t>
  </si>
  <si>
    <t>TALI00046</t>
  </si>
  <si>
    <t>SIRENA DE EVACUACIÓN SPEAK VOZ ( 1 control 433MHZ)</t>
  </si>
  <si>
    <t>DISCADOR ALERCOM LITE 4G</t>
  </si>
  <si>
    <t>RECEPTOR DE PÁNICO</t>
  </si>
  <si>
    <t>MODULO AMPLIFICADOR DE AUDIO</t>
  </si>
  <si>
    <t>PULSADOR DE PÁNICO LARGO ALCANCE</t>
  </si>
  <si>
    <t>SIRENA 12V 30W</t>
  </si>
  <si>
    <t>SIRENA 110 90W</t>
  </si>
  <si>
    <t>SIRENA CÓNICA 12V 20W</t>
  </si>
  <si>
    <t>CORNETA DE PERIFONEO 60W GRIS</t>
  </si>
  <si>
    <t>CORNETA 40W 5"x8"</t>
  </si>
  <si>
    <t>TACE00152</t>
  </si>
  <si>
    <t>BATERIA 12V 5A</t>
  </si>
  <si>
    <t>BATERIA 12V 7A</t>
  </si>
  <si>
    <t>BOTONERA ROJA SENCILLA</t>
  </si>
  <si>
    <t>BOTONERA INALAMBRICA 433MHZ ROJA</t>
  </si>
  <si>
    <t>BOTONERA INALAMBRICA 433MHZ VERDE</t>
  </si>
  <si>
    <t>PULSADOR EMERGENCIA</t>
  </si>
  <si>
    <t>CONTROLES 433MHZ</t>
  </si>
  <si>
    <t>TACI00006</t>
  </si>
  <si>
    <t>CONTROL REMOTO MEDIANO ALCANCE</t>
  </si>
  <si>
    <t>TACI00002</t>
  </si>
  <si>
    <t>REPETIDOR RF 433</t>
  </si>
  <si>
    <t>CONTACTO MAGNETICO APROX 64*19*12,8MM</t>
  </si>
  <si>
    <r>
      <rPr>
        <b/>
        <sz val="10"/>
        <rFont val="Arial"/>
        <family val="2"/>
      </rPr>
      <t xml:space="preserve">PANEL </t>
    </r>
    <r>
      <rPr>
        <sz val="10"/>
        <rFont val="Arial"/>
        <family val="2"/>
      </rPr>
      <t>VIGICOM PLUS - NET (Tarjeta electrónica 4G, transformador, antena gsm, manual)</t>
    </r>
  </si>
  <si>
    <r>
      <rPr>
        <b/>
        <sz val="10"/>
        <rFont val="Arial"/>
        <family val="2"/>
      </rPr>
      <t xml:space="preserve">PANEL </t>
    </r>
    <r>
      <rPr>
        <sz val="10"/>
        <rFont val="Arial"/>
        <family val="2"/>
      </rPr>
      <t xml:space="preserve">VIGICOM VOZ </t>
    </r>
    <r>
      <rPr>
        <b/>
        <sz val="10"/>
        <rFont val="Arial"/>
        <family val="2"/>
      </rPr>
      <t xml:space="preserve">(PERIFONEO EN VIVO Y
SONIDOS PREGRABADOS) </t>
    </r>
    <r>
      <rPr>
        <sz val="10"/>
        <rFont val="Arial"/>
        <family val="2"/>
      </rPr>
      <t>(Tarjeta electrónica 4G, transformador, antena gsm, manual)</t>
    </r>
  </si>
  <si>
    <r>
      <rPr>
        <b/>
        <sz val="10"/>
        <rFont val="Arial"/>
        <family val="2"/>
      </rPr>
      <t xml:space="preserve">PANEL </t>
    </r>
    <r>
      <rPr>
        <sz val="10"/>
        <rFont val="Arial"/>
        <family val="2"/>
      </rPr>
      <t>VIGICOM NET (Tarjeta electrónica Wifi, transformador, manual, 1 control remoto)</t>
    </r>
  </si>
  <si>
    <r>
      <rPr>
        <b/>
        <sz val="10"/>
        <rFont val="Arial"/>
        <family val="2"/>
      </rPr>
      <t xml:space="preserve">PANEL </t>
    </r>
    <r>
      <rPr>
        <sz val="10"/>
        <rFont val="Arial"/>
        <family val="2"/>
      </rPr>
      <t>VIGICOM NET SERIE2 (AUDIOS
PREGRABADOS) (Tarjeta electrónica Wifi, transformador, manual, 1 control remoto)</t>
    </r>
  </si>
  <si>
    <r>
      <rPr>
        <b/>
        <sz val="10"/>
        <rFont val="Arial"/>
        <family val="2"/>
      </rPr>
      <t xml:space="preserve">PANEL </t>
    </r>
    <r>
      <rPr>
        <sz val="10"/>
        <rFont val="Arial"/>
        <family val="2"/>
      </rPr>
      <t>VIGICOM NET SERIE 3 (AUDIOS
PREGRABADOS) (Tarjeta electrónica Wifi, transformador, manual, 1 control remoto)</t>
    </r>
  </si>
  <si>
    <r>
      <rPr>
        <b/>
        <sz val="10"/>
        <rFont val="Arial"/>
        <family val="2"/>
      </rPr>
      <t xml:space="preserve">PANEL </t>
    </r>
    <r>
      <rPr>
        <sz val="10"/>
        <rFont val="Arial"/>
        <family val="2"/>
      </rPr>
      <t>EVACOM (Tarjeta electrónica, transformador, 1 control remoto 433MHZ, manual)</t>
    </r>
  </si>
  <si>
    <r>
      <rPr>
        <sz val="10"/>
        <rFont val="Arial"/>
        <family val="2"/>
      </rPr>
      <t xml:space="preserve">PANEL EVACOM POWER (Tarjeta electrónica, transformador, 1 control remoto 433MHZ, 1 bateria 12V
7A, 1 </t>
    </r>
    <r>
      <rPr>
        <b/>
        <sz val="10"/>
        <rFont val="Arial"/>
        <family val="2"/>
      </rPr>
      <t>corneta 100W</t>
    </r>
    <r>
      <rPr>
        <sz val="10"/>
        <rFont val="Arial"/>
        <family val="2"/>
      </rPr>
      <t>, manual)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</si>
</sst>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000000"/>
      <name val="Times New Roman"/>
      <family val="1"/>
    </font>
    <font>
      <sz val="10"/>
      <color rgb="FF000000"/>
      <name val="Arial"/>
      <family val="2"/>
    </font>
    <font>
      <sz val="10"/>
      <name val="Times New Roman"/>
      <family val="1"/>
    </font>
    <font>
      <b/>
      <sz val="7.5"/>
      <color rgb="FF393838"/>
      <name val="Calibri"/>
      <family val="1"/>
    </font>
    <font>
      <b/>
      <sz val="7.5"/>
      <name val="Calibri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2" applyAlignment="1">
      <alignment horizontal="left" vertical="top"/>
    </xf>
    <xf numFmtId="164" fontId="0" fillId="0" borderId="0" xfId="3" applyNumberFormat="1" applyFont="1" applyAlignment="1">
      <alignment horizontal="left" vertical="top"/>
    </xf>
    <xf numFmtId="164" fontId="2" fillId="0" borderId="0" xfId="1" applyNumberFormat="1" applyFont="1" applyAlignment="1">
      <alignment horizontal="left" vertical="top"/>
    </xf>
    <xf numFmtId="164" fontId="2" fillId="0" borderId="0" xfId="2" applyNumberFormat="1" applyAlignment="1">
      <alignment horizontal="left" vertical="top"/>
    </xf>
    <xf numFmtId="164" fontId="2" fillId="0" borderId="0" xfId="1" applyNumberFormat="1" applyFont="1" applyAlignment="1">
      <alignment horizontal="left" vertical="top" wrapText="1"/>
    </xf>
    <xf numFmtId="164" fontId="3" fillId="0" borderId="1" xfId="1" applyNumberFormat="1" applyFont="1" applyBorder="1" applyAlignment="1">
      <alignment horizontal="left" vertical="top" wrapText="1"/>
    </xf>
    <xf numFmtId="164" fontId="4" fillId="0" borderId="0" xfId="1" applyNumberFormat="1" applyFont="1" applyAlignment="1">
      <alignment horizontal="left" vertical="top" wrapText="1"/>
    </xf>
    <xf numFmtId="0" fontId="2" fillId="0" borderId="0" xfId="2" applyAlignment="1">
      <alignment horizontal="center" vertical="center"/>
    </xf>
    <xf numFmtId="164" fontId="5" fillId="0" borderId="2" xfId="3" applyNumberFormat="1" applyFont="1" applyFill="1" applyBorder="1" applyAlignment="1">
      <alignment horizontal="center" vertical="center" wrapText="1"/>
    </xf>
    <xf numFmtId="0" fontId="6" fillId="0" borderId="2" xfId="2" applyFont="1" applyBorder="1" applyAlignment="1">
      <alignment horizontal="center" vertical="center" wrapText="1"/>
    </xf>
    <xf numFmtId="164" fontId="6" fillId="0" borderId="3" xfId="1" applyNumberFormat="1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1" fontId="0" fillId="0" borderId="4" xfId="0" applyNumberFormat="1" applyBorder="1" applyAlignment="1">
      <alignment horizontal="left" vertical="top" wrapText="1"/>
    </xf>
    <xf numFmtId="164" fontId="8" fillId="0" borderId="1" xfId="1" applyNumberFormat="1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center" vertical="top" wrapText="1"/>
    </xf>
    <xf numFmtId="0" fontId="9" fillId="0" borderId="4" xfId="0" applyFont="1" applyBorder="1" applyAlignment="1">
      <alignment horizontal="left" vertical="top" wrapText="1" indent="1"/>
    </xf>
    <xf numFmtId="0" fontId="9" fillId="0" borderId="4" xfId="0" applyFont="1" applyBorder="1" applyAlignment="1">
      <alignment horizontal="left" vertical="top" wrapText="1" indent="2"/>
    </xf>
    <xf numFmtId="0" fontId="8" fillId="0" borderId="4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top" wrapText="1" indent="1"/>
    </xf>
    <xf numFmtId="0" fontId="8" fillId="0" borderId="4" xfId="0" applyFont="1" applyBorder="1" applyAlignment="1">
      <alignment horizontal="center" vertical="top" wrapText="1"/>
    </xf>
    <xf numFmtId="0" fontId="8" fillId="0" borderId="4" xfId="0" applyFont="1" applyBorder="1" applyAlignment="1">
      <alignment horizontal="center" vertical="center" wrapText="1"/>
    </xf>
  </cellXfs>
  <cellStyles count="4">
    <cellStyle name="Moneda" xfId="1" builtinId="4"/>
    <cellStyle name="Moneda 3" xfId="3" xr:uid="{29F43223-79BF-412D-A3C6-7D8C3FDE3066}"/>
    <cellStyle name="Normal" xfId="0" builtinId="0"/>
    <cellStyle name="Normal 5" xfId="2" xr:uid="{B1894993-6BAC-4FB2-9462-4E8F81D66FBD}"/>
  </cellStyles>
  <dxfs count="17"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alignment horizontal="left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rgb="FF000000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164" formatCode="_-&quot;$&quot;\ * #,##0_-;\-&quot;$&quot;\ * #,##0_-;_-&quot;$&quot;\ * &quot;-&quot;??_-;_-@_-"/>
      <alignment horizontal="left" vertical="top" textRotation="0" wrapText="1" indent="0" justifyLastLine="0" shrinkToFit="0" readingOrder="0"/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numFmt numFmtId="164" formatCode="_-&quot;$&quot;\ * #,##0_-;\-&quot;$&quot;\ * #,##0_-;_-&quot;$&quot;\ * &quot;-&quot;??_-;_-@_-"/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.5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test.uic.asso.fr/d_stats/online/synth2000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https://cambiumnetworks.sharepoint.com/Users/mgl010/Documents/-%20Docs/Services/%20Services%20P&amp;L/%20-%202017%20Planning/I:/&#20491;&#21029;&#12499;&#12523;&#35413;&#20385;/&#26087;&#35413;&#20385;&#65404;&#65405;&#65411;&#65425;/0911&#25913;&#33391;&#26087;12&#24180;&#35413;&#20385;&#12471;&#12473;&#12486;&#12512;/H14&#24180;&#24230;/&#35336;&#31639;/user2/&#26087;&#35413;&#20385;&#65404;&#65405;&#65411;&#65425;/0911&#25913;&#33391;&#26087;12&#24180;&#35413;&#20385;&#12471;&#12473;&#12486;&#12512;/My%20Documents/12&#24180;&#25913;&#33391;&#20491;&#21029;&#35413;&#20385;&#12471;&#12473;&#12486;&#12512;/'0422/&#32207;&#21512;&#65288;&#22235;&#26376;&#21313;&#20108;&#26085;&#65289;.xls?274218D3" TargetMode="External"/><Relationship Id="rId1" Type="http://schemas.openxmlformats.org/officeDocument/2006/relationships/externalLinkPath" Target="file:///\\274218D3\&#32207;&#21512;&#65288;&#22235;&#26376;&#21313;&#20108;&#26085;&#6528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a0531f13\SYS1\Documents%20and%20Settings\bjagoe\My%20Documents\Data\First%20Reserve\Tri%20Tool\Tri%20Tool%20Templat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ORPPLAN\1999\99PLAN\JAN7SUM.WK4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Documents%20and%20Settings/crendon.HMV/Local%20Settings/Temporary%20Internet%20Files/OLK3/8599.xls" TargetMode="External"/><Relationship Id="rId1" Type="http://schemas.openxmlformats.org/officeDocument/2006/relationships/externalLinkPath" Target="/Documents%20and%20Settings/crendon.HMV/Local%20Settings/Temporary%20Internet%20Files/OLK3/8599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tyofsr50\KPMG\FAS\Users\TS\Non_Management\tshima\43%20Milky%20way\%3f%3f%3f%3f\grumpus\grumpus_1\Grampus%20Templat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Lista%20de%20Precios%20-%20Cto\Internacionales\Cambium%20Networks\Vigente\C&#225;lculo%20LP%20Vta%20Cambium%20Networks%20(Noviembre%2010-2020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nalisis%20Semanal%20Cuadros\Informe%20de%20Inventarios\2019\Octubre\INFORME%20INVENTARIOS%20Octubre%2018-2019%20%20-%20Proyecto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pmg_server\c%20drive\aroyc\korea\templates-excel\jinroindustri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Pays"/>
      <sheetName val="Data_CF"/>
      <sheetName val="Pub"/>
      <sheetName val="rapport annuel"/>
      <sheetName val="miles conversions"/>
      <sheetName val="DataGraph"/>
      <sheetName val="Graph vertical"/>
      <sheetName val="Graph  Edition  Sti"/>
      <sheetName val="添付用"/>
      <sheetName val="添付用_所有"/>
      <sheetName val="synth2000"/>
      <sheetName val="List"/>
    </sheetNames>
    <sheetDataSet>
      <sheetData sheetId="0" refreshError="1"/>
      <sheetData sheetId="1" refreshError="1"/>
      <sheetData sheetId="2" refreshError="1">
        <row r="13">
          <cell r="H13" t="str">
            <v>AAE</v>
          </cell>
          <cell r="I13" t="str">
            <v xml:space="preserve">            "   </v>
          </cell>
          <cell r="J13" t="str">
            <v xml:space="preserve">        "   </v>
          </cell>
          <cell r="K13" t="str">
            <v xml:space="preserve">            "   </v>
          </cell>
          <cell r="L13">
            <v>10</v>
          </cell>
        </row>
        <row r="14">
          <cell r="H14" t="str">
            <v>GVG</v>
          </cell>
          <cell r="I14" t="str">
            <v xml:space="preserve">            "   </v>
          </cell>
          <cell r="J14" t="str">
            <v xml:space="preserve">        "   </v>
          </cell>
          <cell r="K14" t="str">
            <v xml:space="preserve">            "   </v>
          </cell>
          <cell r="L14">
            <v>0</v>
          </cell>
        </row>
        <row r="15">
          <cell r="H15" t="str">
            <v>KEG</v>
          </cell>
          <cell r="I15" t="str">
            <v xml:space="preserve">            "   </v>
          </cell>
          <cell r="J15" t="str">
            <v xml:space="preserve">        "   </v>
          </cell>
          <cell r="K15" t="str">
            <v xml:space="preserve">            "   </v>
          </cell>
          <cell r="L15">
            <v>54</v>
          </cell>
        </row>
        <row r="16">
          <cell r="H16" t="str">
            <v>ÖBB</v>
          </cell>
          <cell r="I16">
            <v>83.858999999999995</v>
          </cell>
          <cell r="J16">
            <v>8.2110000000000003</v>
          </cell>
          <cell r="K16">
            <v>97.914356240832831</v>
          </cell>
          <cell r="L16">
            <v>5683</v>
          </cell>
        </row>
        <row r="17">
          <cell r="H17" t="str">
            <v>GKE</v>
          </cell>
          <cell r="I17" t="str">
            <v xml:space="preserve">            "   </v>
          </cell>
          <cell r="J17" t="str">
            <v xml:space="preserve">        "   </v>
          </cell>
          <cell r="K17" t="str">
            <v xml:space="preserve">            "   </v>
          </cell>
          <cell r="L17">
            <v>97.486999999999995</v>
          </cell>
        </row>
        <row r="18">
          <cell r="H18" t="str">
            <v>SNCB/NMBS</v>
          </cell>
          <cell r="I18">
            <v>30.513999999999999</v>
          </cell>
          <cell r="J18">
            <v>10.161</v>
          </cell>
          <cell r="K18">
            <v>332.99469096152586</v>
          </cell>
          <cell r="L18">
            <v>3471</v>
          </cell>
        </row>
        <row r="19">
          <cell r="H19" t="str">
            <v>DSB</v>
          </cell>
          <cell r="I19">
            <v>43.093000000000004</v>
          </cell>
          <cell r="J19">
            <v>5.2930000000000001</v>
          </cell>
          <cell r="K19">
            <v>122.82737335530132</v>
          </cell>
          <cell r="L19">
            <v>0</v>
          </cell>
        </row>
        <row r="20">
          <cell r="H20" t="str">
            <v>BS</v>
          </cell>
          <cell r="I20" t="str">
            <v xml:space="preserve">            "   </v>
          </cell>
          <cell r="J20" t="str">
            <v xml:space="preserve">        "   </v>
          </cell>
          <cell r="K20" t="str">
            <v xml:space="preserve">            "   </v>
          </cell>
          <cell r="L20">
            <v>2047</v>
          </cell>
        </row>
        <row r="21">
          <cell r="H21" t="str">
            <v>RENFE</v>
          </cell>
          <cell r="I21">
            <v>504.78199999999998</v>
          </cell>
          <cell r="J21">
            <v>39.630000000000003</v>
          </cell>
          <cell r="K21">
            <v>78.50913859844448</v>
          </cell>
          <cell r="L21">
            <v>12310</v>
          </cell>
        </row>
        <row r="22">
          <cell r="H22" t="str">
            <v>Euskotren</v>
          </cell>
          <cell r="I22" t="str">
            <v xml:space="preserve">            "   </v>
          </cell>
          <cell r="J22" t="str">
            <v xml:space="preserve">        "   </v>
          </cell>
          <cell r="K22" t="str">
            <v xml:space="preserve">            "   </v>
          </cell>
          <cell r="L22">
            <v>178</v>
          </cell>
        </row>
        <row r="23">
          <cell r="H23" t="str">
            <v>FEVE</v>
          </cell>
          <cell r="I23" t="str">
            <v xml:space="preserve">            "   </v>
          </cell>
          <cell r="J23" t="str">
            <v xml:space="preserve">        "   </v>
          </cell>
          <cell r="K23" t="str">
            <v xml:space="preserve">            "   </v>
          </cell>
          <cell r="L23">
            <v>1194.0999999999999</v>
          </cell>
        </row>
        <row r="24">
          <cell r="H24" t="str">
            <v>FGC</v>
          </cell>
          <cell r="I24" t="str">
            <v xml:space="preserve">            "   </v>
          </cell>
          <cell r="J24" t="str">
            <v xml:space="preserve">        "   </v>
          </cell>
          <cell r="K24" t="str">
            <v xml:space="preserve">            "   </v>
          </cell>
          <cell r="L24">
            <v>184</v>
          </cell>
        </row>
        <row r="25">
          <cell r="H25" t="str">
            <v>VR</v>
          </cell>
          <cell r="I25">
            <v>338.14499999999998</v>
          </cell>
          <cell r="J25">
            <v>5.1760000000000002</v>
          </cell>
          <cell r="K25">
            <v>15.307042836652917</v>
          </cell>
          <cell r="L25">
            <v>0</v>
          </cell>
        </row>
        <row r="26">
          <cell r="H26" t="str">
            <v>RHK</v>
          </cell>
          <cell r="I26" t="str">
            <v xml:space="preserve">            "   </v>
          </cell>
          <cell r="J26" t="str">
            <v xml:space="preserve">        "   </v>
          </cell>
          <cell r="K26" t="str">
            <v xml:space="preserve">            "   </v>
          </cell>
          <cell r="L26">
            <v>5854</v>
          </cell>
        </row>
        <row r="27">
          <cell r="H27" t="str">
            <v>SNCF</v>
          </cell>
          <cell r="I27">
            <v>547.02599999999995</v>
          </cell>
          <cell r="J27">
            <v>59.08</v>
          </cell>
          <cell r="K27">
            <v>108.00217905547451</v>
          </cell>
          <cell r="L27">
            <v>0</v>
          </cell>
        </row>
        <row r="28">
          <cell r="H28" t="str">
            <v>RFF</v>
          </cell>
          <cell r="I28" t="str">
            <v xml:space="preserve">            "   </v>
          </cell>
          <cell r="J28" t="str">
            <v xml:space="preserve">        "   </v>
          </cell>
          <cell r="K28" t="str">
            <v xml:space="preserve">            "   </v>
          </cell>
          <cell r="L28">
            <v>32515</v>
          </cell>
        </row>
        <row r="29">
          <cell r="H29" t="str">
            <v>CH</v>
          </cell>
          <cell r="I29">
            <v>131.95699999999999</v>
          </cell>
          <cell r="J29">
            <v>10.645</v>
          </cell>
          <cell r="K29">
            <v>80.670218328697985</v>
          </cell>
          <cell r="L29">
            <v>2299</v>
          </cell>
        </row>
        <row r="30">
          <cell r="H30" t="str">
            <v>CIE</v>
          </cell>
          <cell r="I30">
            <v>70.283000000000001</v>
          </cell>
          <cell r="J30">
            <v>3.73</v>
          </cell>
          <cell r="K30">
            <v>53.071155186887296</v>
          </cell>
          <cell r="L30">
            <v>1915</v>
          </cell>
        </row>
        <row r="31">
          <cell r="H31" t="str">
            <v>FNME</v>
          </cell>
          <cell r="I31">
            <v>301.22500000000002</v>
          </cell>
          <cell r="J31">
            <v>57.298000000000002</v>
          </cell>
          <cell r="K31">
            <v>190.21661548676238</v>
          </cell>
          <cell r="L31">
            <v>321</v>
          </cell>
        </row>
        <row r="32">
          <cell r="H32" t="str">
            <v>FS SpA</v>
          </cell>
          <cell r="I32" t="str">
            <v xml:space="preserve">            "   </v>
          </cell>
          <cell r="J32" t="str">
            <v xml:space="preserve">        "   </v>
          </cell>
          <cell r="K32" t="str">
            <v xml:space="preserve">            "   </v>
          </cell>
          <cell r="L32">
            <v>16178</v>
          </cell>
        </row>
        <row r="33">
          <cell r="H33" t="str">
            <v>CFL</v>
          </cell>
          <cell r="I33">
            <v>2.5859999999999999</v>
          </cell>
          <cell r="J33">
            <v>0.43099999999999999</v>
          </cell>
          <cell r="K33">
            <v>166.66666666666669</v>
          </cell>
          <cell r="L33">
            <v>274</v>
          </cell>
        </row>
        <row r="34">
          <cell r="H34" t="str">
            <v>NS N.V.</v>
          </cell>
          <cell r="I34">
            <v>41.527999999999999</v>
          </cell>
          <cell r="J34">
            <v>15.786</v>
          </cell>
          <cell r="K34">
            <v>380.12906954344055</v>
          </cell>
          <cell r="L34">
            <v>0</v>
          </cell>
        </row>
        <row r="35">
          <cell r="H35" t="str">
            <v>Railion</v>
          </cell>
          <cell r="I35" t="str">
            <v xml:space="preserve">            "   </v>
          </cell>
          <cell r="J35" t="str">
            <v xml:space="preserve">        "   </v>
          </cell>
          <cell r="K35" t="str">
            <v xml:space="preserve">            "   </v>
          </cell>
          <cell r="L35">
            <v>0</v>
          </cell>
        </row>
        <row r="36">
          <cell r="H36" t="str">
            <v>RIM</v>
          </cell>
          <cell r="I36" t="str">
            <v xml:space="preserve">            "   </v>
          </cell>
          <cell r="J36" t="str">
            <v xml:space="preserve">        "   </v>
          </cell>
          <cell r="K36" t="str">
            <v xml:space="preserve">            "   </v>
          </cell>
          <cell r="L36">
            <v>2802</v>
          </cell>
        </row>
        <row r="37">
          <cell r="H37" t="str">
            <v>CP</v>
          </cell>
          <cell r="I37">
            <v>92.081999999999994</v>
          </cell>
          <cell r="J37">
            <v>9.875</v>
          </cell>
          <cell r="K37">
            <v>107.24137182076845</v>
          </cell>
          <cell r="L37">
            <v>0</v>
          </cell>
        </row>
        <row r="38">
          <cell r="H38" t="str">
            <v>REFER</v>
          </cell>
          <cell r="I38" t="str">
            <v xml:space="preserve">            "   </v>
          </cell>
          <cell r="J38" t="str">
            <v xml:space="preserve">        "   </v>
          </cell>
          <cell r="K38" t="str">
            <v xml:space="preserve">            "   </v>
          </cell>
          <cell r="L38">
            <v>2814</v>
          </cell>
        </row>
        <row r="39">
          <cell r="H39" t="str">
            <v>ATOC</v>
          </cell>
          <cell r="I39">
            <v>244.04599999999999</v>
          </cell>
          <cell r="J39">
            <v>58.83</v>
          </cell>
          <cell r="K39">
            <v>241.0611114298124</v>
          </cell>
          <cell r="L39">
            <v>0</v>
          </cell>
        </row>
        <row r="40">
          <cell r="H40" t="str">
            <v>Total freight operators</v>
          </cell>
          <cell r="I40" t="str">
            <v xml:space="preserve">            "   </v>
          </cell>
          <cell r="J40" t="str">
            <v xml:space="preserve">        "   </v>
          </cell>
          <cell r="K40" t="str">
            <v xml:space="preserve">            "   </v>
          </cell>
          <cell r="L40">
            <v>0</v>
          </cell>
        </row>
        <row r="41">
          <cell r="H41" t="str">
            <v>Eurotunnel</v>
          </cell>
          <cell r="I41" t="str">
            <v xml:space="preserve">            "   </v>
          </cell>
          <cell r="J41" t="str">
            <v xml:space="preserve">        "   </v>
          </cell>
          <cell r="K41" t="str">
            <v xml:space="preserve">            "   </v>
          </cell>
          <cell r="L41">
            <v>58</v>
          </cell>
        </row>
        <row r="42">
          <cell r="H42" t="str">
            <v>NIR</v>
          </cell>
          <cell r="I42" t="str">
            <v xml:space="preserve">            "   </v>
          </cell>
          <cell r="J42" t="str">
            <v xml:space="preserve">        "   </v>
          </cell>
          <cell r="K42" t="str">
            <v xml:space="preserve">            "   </v>
          </cell>
          <cell r="L42">
            <v>357</v>
          </cell>
        </row>
        <row r="43">
          <cell r="H43" t="str">
            <v>Railtrack</v>
          </cell>
          <cell r="I43" t="str">
            <v xml:space="preserve">            "   </v>
          </cell>
          <cell r="J43" t="str">
            <v xml:space="preserve">        "   </v>
          </cell>
          <cell r="K43" t="str">
            <v xml:space="preserve">            "   </v>
          </cell>
          <cell r="L43">
            <v>16652</v>
          </cell>
        </row>
        <row r="44">
          <cell r="G44" t="str">
            <v>2)</v>
          </cell>
          <cell r="H44" t="str">
            <v>SJ</v>
          </cell>
          <cell r="I44">
            <v>449.964</v>
          </cell>
          <cell r="J44">
            <v>8.91</v>
          </cell>
          <cell r="K44">
            <v>19.801584126730138</v>
          </cell>
          <cell r="L44">
            <v>0</v>
          </cell>
        </row>
        <row r="45">
          <cell r="H45" t="str">
            <v>MTAB</v>
          </cell>
          <cell r="I45" t="str">
            <v xml:space="preserve">            "   </v>
          </cell>
          <cell r="J45" t="str">
            <v xml:space="preserve">        "   </v>
          </cell>
          <cell r="K45" t="str">
            <v xml:space="preserve">            "   </v>
          </cell>
          <cell r="L45">
            <v>0</v>
          </cell>
        </row>
        <row r="46">
          <cell r="H46" t="str">
            <v>BV</v>
          </cell>
          <cell r="I46" t="str">
            <v xml:space="preserve">            "   </v>
          </cell>
          <cell r="J46" t="str">
            <v xml:space="preserve">        "   </v>
          </cell>
          <cell r="K46" t="str">
            <v xml:space="preserve">            "   </v>
          </cell>
          <cell r="L46">
            <v>9946</v>
          </cell>
        </row>
        <row r="47">
          <cell r="H47" t="str">
            <v>BK</v>
          </cell>
          <cell r="I47" t="str">
            <v xml:space="preserve">            "   </v>
          </cell>
          <cell r="J47" t="str">
            <v xml:space="preserve">        "   </v>
          </cell>
          <cell r="K47" t="str">
            <v xml:space="preserve">            "   </v>
          </cell>
          <cell r="L47">
            <v>0</v>
          </cell>
        </row>
        <row r="48">
          <cell r="I48">
            <v>3238.0489999999986</v>
          </cell>
          <cell r="J48">
            <v>375.27600000000001</v>
          </cell>
          <cell r="K48">
            <v>115.89571374614781</v>
          </cell>
          <cell r="L48">
            <v>153801.587</v>
          </cell>
        </row>
        <row r="49">
          <cell r="H49" t="str">
            <v>NSB BA</v>
          </cell>
          <cell r="I49">
            <v>386.95800000000003</v>
          </cell>
          <cell r="J49">
            <v>4.4649999999999999</v>
          </cell>
          <cell r="K49">
            <v>11.538719964440585</v>
          </cell>
          <cell r="L49">
            <v>0</v>
          </cell>
        </row>
        <row r="50">
          <cell r="H50" t="str">
            <v>MTAS</v>
          </cell>
          <cell r="I50" t="str">
            <v xml:space="preserve">            "   </v>
          </cell>
          <cell r="J50" t="str">
            <v xml:space="preserve">        "   </v>
          </cell>
          <cell r="K50" t="str">
            <v xml:space="preserve">            "   </v>
          </cell>
          <cell r="L50">
            <v>0</v>
          </cell>
        </row>
        <row r="51">
          <cell r="H51" t="str">
            <v>JBV</v>
          </cell>
          <cell r="I51" t="str">
            <v xml:space="preserve">            "   </v>
          </cell>
          <cell r="J51" t="str">
            <v xml:space="preserve">        "   </v>
          </cell>
          <cell r="K51" t="str">
            <v xml:space="preserve">            "   </v>
          </cell>
          <cell r="L51">
            <v>4179</v>
          </cell>
        </row>
        <row r="52">
          <cell r="H52" t="str">
            <v>BLS</v>
          </cell>
          <cell r="I52">
            <v>41.283999999999999</v>
          </cell>
          <cell r="J52">
            <v>7.3860000000000001</v>
          </cell>
          <cell r="K52">
            <v>178.90708264703034</v>
          </cell>
          <cell r="L52">
            <v>241</v>
          </cell>
        </row>
        <row r="53">
          <cell r="H53" t="str">
            <v>CFF/SBB/FFS</v>
          </cell>
          <cell r="I53" t="str">
            <v xml:space="preserve">            "   </v>
          </cell>
          <cell r="J53" t="str">
            <v xml:space="preserve">        "   </v>
          </cell>
          <cell r="K53" t="str">
            <v xml:space="preserve">            "   </v>
          </cell>
          <cell r="L53">
            <v>2902</v>
          </cell>
        </row>
        <row r="54">
          <cell r="I54">
            <v>3666.2909999999988</v>
          </cell>
          <cell r="J54">
            <v>387.12700000000001</v>
          </cell>
          <cell r="K54">
            <v>105.59090917769488</v>
          </cell>
          <cell r="L54">
            <v>161123.587</v>
          </cell>
        </row>
        <row r="55">
          <cell r="H55" t="str">
            <v>HSh</v>
          </cell>
          <cell r="I55">
            <v>28.748000000000001</v>
          </cell>
          <cell r="J55">
            <v>3.113</v>
          </cell>
          <cell r="K55">
            <v>108.28579379435091</v>
          </cell>
          <cell r="L55">
            <v>440</v>
          </cell>
        </row>
        <row r="56">
          <cell r="H56" t="str">
            <v>ZBH</v>
          </cell>
          <cell r="I56">
            <v>51.128999999999998</v>
          </cell>
          <cell r="J56">
            <v>3.972</v>
          </cell>
          <cell r="K56">
            <v>77.685853429560524</v>
          </cell>
          <cell r="L56">
            <v>608.495</v>
          </cell>
        </row>
        <row r="57">
          <cell r="H57" t="str">
            <v>ZRS</v>
          </cell>
          <cell r="I57" t="str">
            <v xml:space="preserve">            "   </v>
          </cell>
          <cell r="J57" t="str">
            <v xml:space="preserve">        "   </v>
          </cell>
          <cell r="K57" t="str">
            <v xml:space="preserve">            "   </v>
          </cell>
          <cell r="L57">
            <v>424</v>
          </cell>
        </row>
        <row r="58">
          <cell r="H58" t="str">
            <v>BDZ</v>
          </cell>
          <cell r="I58">
            <v>110.91200000000001</v>
          </cell>
          <cell r="J58">
            <v>8.2249999999999996</v>
          </cell>
          <cell r="K58">
            <v>74.157890940565494</v>
          </cell>
          <cell r="L58">
            <v>4320</v>
          </cell>
        </row>
        <row r="59">
          <cell r="H59" t="str">
            <v>HZ</v>
          </cell>
          <cell r="I59">
            <v>56.537999999999997</v>
          </cell>
          <cell r="J59">
            <v>4.4729999999999999</v>
          </cell>
          <cell r="K59">
            <v>79.114931550461634</v>
          </cell>
          <cell r="L59">
            <v>2726.8</v>
          </cell>
        </row>
        <row r="60">
          <cell r="H60" t="str">
            <v>GYSEV/RÖEE</v>
          </cell>
          <cell r="I60">
            <v>93.03</v>
          </cell>
          <cell r="J60">
            <v>10.036</v>
          </cell>
          <cell r="K60">
            <v>107.87917875953993</v>
          </cell>
          <cell r="L60">
            <v>220</v>
          </cell>
        </row>
        <row r="61">
          <cell r="H61" t="str">
            <v>MÁV Rt.</v>
          </cell>
          <cell r="I61" t="str">
            <v xml:space="preserve">            "   </v>
          </cell>
          <cell r="J61" t="str">
            <v xml:space="preserve">        "   </v>
          </cell>
          <cell r="K61" t="str">
            <v xml:space="preserve">            "   </v>
          </cell>
          <cell r="L61">
            <v>7784</v>
          </cell>
        </row>
        <row r="62">
          <cell r="H62" t="str">
            <v>CFARYM</v>
          </cell>
          <cell r="I62">
            <v>25.713000000000001</v>
          </cell>
          <cell r="J62">
            <v>2.024</v>
          </cell>
          <cell r="K62">
            <v>78.715046863454276</v>
          </cell>
          <cell r="L62">
            <v>699</v>
          </cell>
        </row>
        <row r="63">
          <cell r="H63" t="str">
            <v>PKP</v>
          </cell>
          <cell r="I63">
            <v>312.685</v>
          </cell>
          <cell r="J63">
            <v>38.765000000000001</v>
          </cell>
          <cell r="K63">
            <v>123.97460703263668</v>
          </cell>
          <cell r="L63">
            <v>22560</v>
          </cell>
        </row>
        <row r="64">
          <cell r="H64" t="str">
            <v>CFR</v>
          </cell>
          <cell r="I64">
            <v>238.39099999999999</v>
          </cell>
          <cell r="J64">
            <v>22.327000000000002</v>
          </cell>
          <cell r="K64">
            <v>93.657059201060449</v>
          </cell>
          <cell r="L64">
            <v>11364</v>
          </cell>
        </row>
        <row r="65">
          <cell r="H65" t="str">
            <v>ZSR</v>
          </cell>
          <cell r="I65">
            <v>49</v>
          </cell>
          <cell r="J65">
            <v>5.3869999999999996</v>
          </cell>
          <cell r="K65">
            <v>109.93877551020408</v>
          </cell>
          <cell r="L65">
            <v>3662</v>
          </cell>
        </row>
        <row r="66">
          <cell r="H66" t="str">
            <v>SZ</v>
          </cell>
          <cell r="I66">
            <v>20.256</v>
          </cell>
          <cell r="J66">
            <v>1.986</v>
          </cell>
          <cell r="K66">
            <v>98.045023696682463</v>
          </cell>
          <cell r="L66">
            <v>1201.5</v>
          </cell>
        </row>
        <row r="67">
          <cell r="H67" t="str">
            <v>CD</v>
          </cell>
          <cell r="I67">
            <v>78.864000000000004</v>
          </cell>
          <cell r="J67">
            <v>10.244</v>
          </cell>
          <cell r="K67">
            <v>129.89450192736862</v>
          </cell>
          <cell r="L67">
            <v>9365</v>
          </cell>
        </row>
        <row r="68">
          <cell r="H68" t="str">
            <v>JZ</v>
          </cell>
          <cell r="I68">
            <v>102.173</v>
          </cell>
          <cell r="J68">
            <v>10.64</v>
          </cell>
          <cell r="K68">
            <v>104.13710079962416</v>
          </cell>
          <cell r="L68">
            <v>4057.7</v>
          </cell>
        </row>
        <row r="69">
          <cell r="I69">
            <v>1167.4389999999999</v>
          </cell>
          <cell r="J69">
            <v>121.19200000000001</v>
          </cell>
          <cell r="K69">
            <v>103.81013483359732</v>
          </cell>
          <cell r="L69">
            <v>69432.494999999995</v>
          </cell>
        </row>
        <row r="71">
          <cell r="H71" t="str">
            <v>BC</v>
          </cell>
          <cell r="I71">
            <v>207.6</v>
          </cell>
          <cell r="J71">
            <v>10.236000000000001</v>
          </cell>
          <cell r="K71">
            <v>49.306358381502896</v>
          </cell>
          <cell r="L71">
            <v>5512</v>
          </cell>
        </row>
        <row r="72">
          <cell r="H72" t="str">
            <v>EVR</v>
          </cell>
          <cell r="I72">
            <v>45.225999999999999</v>
          </cell>
          <cell r="J72">
            <v>1.3959999999999999</v>
          </cell>
          <cell r="K72">
            <v>30.867200283023038</v>
          </cell>
          <cell r="L72">
            <v>968</v>
          </cell>
        </row>
        <row r="73">
          <cell r="H73" t="str">
            <v>LDZ</v>
          </cell>
          <cell r="I73">
            <v>64.616</v>
          </cell>
          <cell r="J73">
            <v>2.3570000000000002</v>
          </cell>
          <cell r="K73">
            <v>36.477033552061407</v>
          </cell>
          <cell r="L73">
            <v>2331</v>
          </cell>
        </row>
        <row r="74">
          <cell r="H74" t="str">
            <v>LG</v>
          </cell>
          <cell r="I74">
            <v>65.3</v>
          </cell>
          <cell r="J74">
            <v>3.67</v>
          </cell>
          <cell r="K74">
            <v>56.202143950995413</v>
          </cell>
          <cell r="L74">
            <v>1905</v>
          </cell>
        </row>
        <row r="75">
          <cell r="H75" t="str">
            <v>CFM (E)</v>
          </cell>
          <cell r="I75">
            <v>33.76</v>
          </cell>
          <cell r="J75">
            <v>4.38</v>
          </cell>
          <cell r="K75">
            <v>129.739336492891</v>
          </cell>
          <cell r="L75">
            <v>1139</v>
          </cell>
        </row>
        <row r="76">
          <cell r="H76" t="str">
            <v>RZD</v>
          </cell>
          <cell r="I76">
            <v>17075.400000000001</v>
          </cell>
          <cell r="J76">
            <v>146.934</v>
          </cell>
          <cell r="K76">
            <v>8.6050107171720711</v>
          </cell>
          <cell r="L76">
            <v>86075</v>
          </cell>
        </row>
        <row r="77">
          <cell r="H77" t="str">
            <v>UZ</v>
          </cell>
          <cell r="I77">
            <v>603.70000000000005</v>
          </cell>
          <cell r="J77">
            <v>50.456000000000003</v>
          </cell>
          <cell r="K77">
            <v>83.577936060957427</v>
          </cell>
          <cell r="L77">
            <v>22302</v>
          </cell>
        </row>
        <row r="78">
          <cell r="I78">
            <v>18095.602000000003</v>
          </cell>
          <cell r="J78">
            <v>219.42899999999997</v>
          </cell>
          <cell r="K78">
            <v>12.126095611519304</v>
          </cell>
          <cell r="L78">
            <v>120232</v>
          </cell>
        </row>
        <row r="79">
          <cell r="H79" t="str">
            <v>TCDD</v>
          </cell>
          <cell r="I79">
            <v>779.452</v>
          </cell>
          <cell r="J79">
            <v>66.590999999999994</v>
          </cell>
          <cell r="K79">
            <v>85.433099151711716</v>
          </cell>
          <cell r="L79">
            <v>8671</v>
          </cell>
        </row>
        <row r="80">
          <cell r="I80">
            <v>23708.784000000003</v>
          </cell>
          <cell r="J80">
            <v>794.33900000000006</v>
          </cell>
          <cell r="K80">
            <v>33.503995818596181</v>
          </cell>
          <cell r="L80">
            <v>359459.08199999999</v>
          </cell>
        </row>
        <row r="81">
          <cell r="I81" t="str">
            <v>Tausend</v>
          </cell>
          <cell r="J81" t="str">
            <v>Millionen</v>
          </cell>
          <cell r="K81" t="str">
            <v>Einwohner</v>
          </cell>
          <cell r="L81" t="str">
            <v>in Kilometer</v>
          </cell>
        </row>
        <row r="82">
          <cell r="I82" t="str">
            <v>km²</v>
          </cell>
          <cell r="K82" t="str">
            <v>/km²</v>
          </cell>
          <cell r="L82" t="str">
            <v>Gesamt-</v>
          </cell>
        </row>
        <row r="83">
          <cell r="I83" t="str">
            <v>Fläche des</v>
          </cell>
          <cell r="J83" t="str">
            <v>Bevölke-</v>
          </cell>
          <cell r="K83" t="str">
            <v>Bevölke-</v>
          </cell>
          <cell r="L83" t="str">
            <v>summe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計算過程シート"/>
      <sheetName val="メイン"/>
      <sheetName val="BS"/>
      <sheetName val="土地賃貸借契約の概要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lines"/>
      <sheetName val="To do"/>
      <sheetName val="Issues"/>
      <sheetName val="Requests"/>
      <sheetName val="Questions2"/>
      <sheetName val="Questions1"/>
      <sheetName val="Non op ex"/>
      <sheetName val="Summary IS"/>
      <sheetName val="A"/>
      <sheetName val="Historical IS"/>
      <sheetName val="Hist sales GM"/>
      <sheetName val="EBITDA"/>
      <sheetName val="R&amp;D Rpt"/>
      <sheetName val="R&amp;D"/>
      <sheetName val="Selling Rpt"/>
      <sheetName val="Selling"/>
      <sheetName val="G&amp;A rpt"/>
      <sheetName val="G&amp;A"/>
      <sheetName val="Hdct"/>
      <sheetName val="Other op ex"/>
      <sheetName val="Notes"/>
      <sheetName val="Sheet1"/>
      <sheetName val="DSO"/>
      <sheetName val="NWC graph"/>
      <sheetName val="Income Statement"/>
      <sheetName val="Controls"/>
      <sheetName val="D&amp;A"/>
      <sheetName val="graphs"/>
      <sheetName val="PIA Identifiers"/>
      <sheetName val="Fund Managers"/>
      <sheetName val="Long-Term Care Comps"/>
      <sheetName val="Football"/>
      <sheetName val="LBO Valuation Analysis"/>
      <sheetName val="Sheet1 (2)"/>
      <sheetName val="Sheet3"/>
      <sheetName val="Buy"/>
      <sheetName val="Summary"/>
      <sheetName val="Spin 1"/>
      <sheetName val="Sec Equity"/>
      <sheetName val="GRAPH &amp; SOURCE DATA"/>
      <sheetName val="Projections"/>
      <sheetName val="LBO Assumptions"/>
      <sheetName val="Sale"/>
      <sheetName val="Split"/>
      <sheetName val="TargetDCF"/>
      <sheetName val="Contents"/>
      <sheetName val="model"/>
      <sheetName val="Over"/>
      <sheetName val="P&amp;L"/>
      <sheetName val="Shipping"/>
      <sheetName val="NWCG"/>
      <sheetName val="Valuation Characteristics"/>
      <sheetName val="2010 Liquidity"/>
      <sheetName val="Sheet2"/>
      <sheetName val="Tri Tool Template"/>
      <sheetName val="Input"/>
      <sheetName val="Herramientas para análisis-VBA"/>
      <sheetName val="Valuation Comments"/>
      <sheetName val="Exemption Codes"/>
      <sheetName val="Income Codes"/>
      <sheetName val="Recipient and WHA Status Codes"/>
      <sheetName val="Other drop down options"/>
      <sheetName val="Pivot Unbilled Rev"/>
      <sheetName val="Variance Details"/>
      <sheetName val="Invoices thru Sep"/>
      <sheetName val="Invoices through October"/>
      <sheetName val="103.02 H2O Unbilled Rev GL Dtl"/>
      <sheetName val="Cynthia Rev Sch_Oct as of 11-30"/>
      <sheetName val="Pivot Unbilled PTEs"/>
      <sheetName val="103.03 H2O Unbilled PTEs GL Dtl"/>
      <sheetName val="lookups"/>
      <sheetName val="Ranpak"/>
      <sheetName val="To_do"/>
      <sheetName val="Non_op_ex"/>
      <sheetName val="Summary_IS"/>
      <sheetName val="Historical_IS"/>
      <sheetName val="Hist_sales_GM"/>
      <sheetName val="R&amp;D_Rpt"/>
      <sheetName val="Selling_Rpt"/>
      <sheetName val="G&amp;A_rpt"/>
      <sheetName val="Other_op_ex"/>
      <sheetName val="NWC_grap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dec3 sum"/>
      <sheetName val="asp"/>
      <sheetName val="sap"/>
      <sheetName val="assumptions"/>
      <sheetName val="F"/>
      <sheetName val="cost bonus"/>
      <sheetName val="cost bonus2"/>
      <sheetName val="bod opex"/>
      <sheetName val="chrono"/>
      <sheetName val="revenue"/>
      <sheetName val="units"/>
      <sheetName val="highlights"/>
      <sheetName val="engineering"/>
      <sheetName val="cost file"/>
      <sheetName val="sga"/>
      <sheetName val="sga2"/>
      <sheetName val="Historical IS"/>
      <sheetName val="添付用"/>
      <sheetName val="添付用_所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0">
          <cell r="P10">
            <v>91.7</v>
          </cell>
          <cell r="Q10">
            <v>109.1</v>
          </cell>
          <cell r="R10">
            <v>120.8</v>
          </cell>
        </row>
        <row r="45">
          <cell r="P45">
            <v>148.1</v>
          </cell>
          <cell r="Q45">
            <v>177</v>
          </cell>
          <cell r="R45">
            <v>217.70000000000002</v>
          </cell>
        </row>
        <row r="46">
          <cell r="P46">
            <v>152.30000000000001</v>
          </cell>
          <cell r="Q46">
            <v>188.4</v>
          </cell>
          <cell r="R46">
            <v>213.9</v>
          </cell>
        </row>
        <row r="77">
          <cell r="P77">
            <v>371.2</v>
          </cell>
          <cell r="Q77">
            <v>432</v>
          </cell>
          <cell r="R77">
            <v>468.30000000000007</v>
          </cell>
        </row>
        <row r="78">
          <cell r="P78">
            <v>0</v>
          </cell>
          <cell r="Q78">
            <v>0</v>
          </cell>
          <cell r="R78">
            <v>97.9</v>
          </cell>
        </row>
        <row r="81">
          <cell r="P81" t="str">
            <v xml:space="preserve">1996 </v>
          </cell>
          <cell r="Q81" t="str">
            <v xml:space="preserve">1997 </v>
          </cell>
          <cell r="R81" t="str">
            <v xml:space="preserve">1998 </v>
          </cell>
        </row>
        <row r="82">
          <cell r="P82">
            <v>267.2</v>
          </cell>
          <cell r="Q82">
            <v>326</v>
          </cell>
          <cell r="R82">
            <v>368.1</v>
          </cell>
        </row>
      </sheetData>
      <sheetData sheetId="11" refreshError="1"/>
      <sheetData sheetId="12" refreshError="1"/>
      <sheetData sheetId="13" refreshError="1">
        <row r="7">
          <cell r="P7">
            <v>14.247999999999999</v>
          </cell>
          <cell r="Q7">
            <v>15.250999999999999</v>
          </cell>
          <cell r="R7">
            <v>15.183999999999999</v>
          </cell>
          <cell r="S7">
            <v>14.958</v>
          </cell>
          <cell r="T7">
            <v>26.911000000000001</v>
          </cell>
        </row>
        <row r="16">
          <cell r="P16">
            <v>4.2850000000000001</v>
          </cell>
          <cell r="Q16">
            <v>5.1609999999999996</v>
          </cell>
          <cell r="R16">
            <v>3.298</v>
          </cell>
          <cell r="S16">
            <v>1.7840000000000007</v>
          </cell>
          <cell r="T16">
            <v>10.664000000000001</v>
          </cell>
        </row>
        <row r="42">
          <cell r="Q42">
            <v>14.349999999999998</v>
          </cell>
          <cell r="R42">
            <v>16.510999999999999</v>
          </cell>
          <cell r="S42">
            <v>21.537000000000003</v>
          </cell>
          <cell r="U42">
            <v>17.942999999999998</v>
          </cell>
          <cell r="V42">
            <v>20.970999999999997</v>
          </cell>
          <cell r="W42">
            <v>26.556000000000004</v>
          </cell>
        </row>
        <row r="46">
          <cell r="Q46">
            <v>4.51</v>
          </cell>
          <cell r="R46">
            <v>10.840999999999999</v>
          </cell>
          <cell r="S46">
            <v>14.196999999999999</v>
          </cell>
          <cell r="U46">
            <v>2.0550000000000002</v>
          </cell>
          <cell r="V46">
            <v>2.6640000000000001</v>
          </cell>
          <cell r="W46">
            <v>1.796</v>
          </cell>
        </row>
        <row r="48">
          <cell r="Q48" t="str">
            <v xml:space="preserve">1996 </v>
          </cell>
          <cell r="R48" t="str">
            <v xml:space="preserve">1997 </v>
          </cell>
          <cell r="S48" t="str">
            <v xml:space="preserve">1998 </v>
          </cell>
        </row>
        <row r="49">
          <cell r="Q49">
            <v>2.2290000000000001</v>
          </cell>
          <cell r="R49">
            <v>1</v>
          </cell>
          <cell r="S49">
            <v>1.8</v>
          </cell>
        </row>
        <row r="50">
          <cell r="Q50">
            <v>0</v>
          </cell>
          <cell r="R50">
            <v>0</v>
          </cell>
          <cell r="S50">
            <v>0</v>
          </cell>
        </row>
      </sheetData>
      <sheetData sheetId="14" refreshError="1"/>
      <sheetData sheetId="15" refreshError="1">
        <row r="7">
          <cell r="P7">
            <v>149.6</v>
          </cell>
          <cell r="Q7">
            <v>165.2</v>
          </cell>
          <cell r="R7">
            <v>192</v>
          </cell>
        </row>
        <row r="9">
          <cell r="P9" t="str">
            <v xml:space="preserve">1996 </v>
          </cell>
          <cell r="Q9" t="str">
            <v xml:space="preserve">1997 </v>
          </cell>
          <cell r="R9" t="str">
            <v xml:space="preserve">1998 </v>
          </cell>
        </row>
        <row r="10">
          <cell r="P10">
            <v>22.780569514237854</v>
          </cell>
          <cell r="Q10">
            <v>21.338155515370701</v>
          </cell>
          <cell r="R10">
            <v>20.210695447398745</v>
          </cell>
        </row>
        <row r="11">
          <cell r="P11">
            <v>22.780569514237854</v>
          </cell>
          <cell r="Q11">
            <v>21.338155515370701</v>
          </cell>
          <cell r="R11">
            <v>19.7207855179179</v>
          </cell>
        </row>
        <row r="12">
          <cell r="P12">
            <v>22.780569514237854</v>
          </cell>
          <cell r="Q12">
            <v>21.338155515370701</v>
          </cell>
          <cell r="R12">
            <v>21.925515939079265</v>
          </cell>
        </row>
      </sheetData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resentacion"/>
      <sheetName val="Ejecutivo"/>
      <sheetName val="Resumen_Real"/>
      <sheetName val="TablasDinamicas"/>
      <sheetName val="HorasDetalladas"/>
      <sheetName val="46W9"/>
      <sheetName val="46W9_Hoja1"/>
      <sheetName val="46W9_Cuadro de costos"/>
      <sheetName val="46W9_Bases"/>
      <sheetName val="46W9_ASPECTOS ELECTRICOS"/>
      <sheetName val="46W9_OBRAS CIVILES"/>
      <sheetName val="46W9_Costo directos"/>
      <sheetName val="46W9_Resumen Costos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総括"/>
      <sheetName val="重要総括事項"/>
      <sheetName val="実態分析"/>
      <sheetName val="関係会社投融資評価"/>
      <sheetName val="BS・PL・CF"/>
      <sheetName val="10年"/>
      <sheetName val="デュポン"/>
      <sheetName val="部門別"/>
      <sheetName val="円"/>
      <sheetName val="棒"/>
      <sheetName val="バブル"/>
      <sheetName val="損益"/>
      <sheetName val="人員推移"/>
      <sheetName val="運転資金"/>
      <sheetName val="余剰資産"/>
      <sheetName val="売上債権"/>
      <sheetName val="売上債権 (2)"/>
      <sheetName val="売上債権 (3)"/>
      <sheetName val="貸倒実績"/>
      <sheetName val="棚卸資産"/>
      <sheetName val="棚卸資産 (2)"/>
      <sheetName val="その他流動資産"/>
      <sheetName val="有形・無形固定資産"/>
      <sheetName val="有形・無形固定資産 (減価償却費)"/>
      <sheetName val="有形・無形固定資産 (償却率)"/>
      <sheetName val="有形・無形固定資産 (設備投資)"/>
      <sheetName val="リース債務"/>
      <sheetName val="投資有価証券・貸付金"/>
      <sheetName val="その他投資等"/>
      <sheetName val="仕入債務"/>
      <sheetName val="仕入債務 (2)"/>
      <sheetName val="社債・借入金・現金預金"/>
      <sheetName val="借入金返済スケジュール"/>
      <sheetName val="その他負債"/>
      <sheetName val="退職給付引当金"/>
      <sheetName val="退職給付引当金 (3)"/>
      <sheetName val="資本の部"/>
      <sheetName val="売上高(得意先別）"/>
      <sheetName val="売上高(部門別)"/>
      <sheetName val="売上原価"/>
      <sheetName val="販管費 (本社その他)"/>
      <sheetName val="販管費"/>
      <sheetName val="物流費"/>
      <sheetName val="販売費"/>
      <sheetName val="人件費"/>
      <sheetName val="管理費"/>
      <sheetName val="営業外損益"/>
      <sheetName val="特別損益"/>
      <sheetName val="税金関係"/>
      <sheetName val="税効果"/>
      <sheetName val="不使用（担保提供資産）"/>
      <sheetName val="税金関係 (2)"/>
      <sheetName val="保証債務 "/>
      <sheetName val="関係会社取引"/>
      <sheetName val="03bs"/>
      <sheetName val="02bs"/>
      <sheetName val="01bs"/>
      <sheetName val="03pl"/>
      <sheetName val="02pl"/>
      <sheetName val="01pl"/>
      <sheetName val="Compdata"/>
      <sheetName val="Billto"/>
      <sheetName val="Com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P VTA LAIRD"/>
      <sheetName val="LP VTA CAMBIUM"/>
      <sheetName val="Cálculo LPVta Laird"/>
      <sheetName val="Cálculo LPVta Cambium"/>
      <sheetName val="STOCK"/>
      <sheetName val="EPMP "/>
      <sheetName val="CnPilot"/>
      <sheetName val="CORE"/>
    </sheetNames>
    <sheetDataSet>
      <sheetData sheetId="0"/>
      <sheetData sheetId="1"/>
      <sheetData sheetId="2"/>
      <sheetData sheetId="3">
        <row r="4">
          <cell r="AA4">
            <v>0.2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ock Total Proyectos"/>
      <sheetName val="AXIS Octubre 21-19"/>
      <sheetName val="KANTECH Octubre 21-19"/>
      <sheetName val="FURUKAWA Octubre 21-19"/>
      <sheetName val="TRENDnet Octubre 21-19"/>
      <sheetName val="Bod (01-06-Sat) Proyectos"/>
      <sheetName val="Outlet Proyectos"/>
      <sheetName val="Bazar Proyectos"/>
      <sheetName val="Resumen_In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66">
          <cell r="I66">
            <v>3630216739.0694995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Borrower&amp;Loan Basics"/>
      <sheetName val="Credit Review&amp;Bus Desc"/>
      <sheetName val="Repayment Terms"/>
      <sheetName val="BS &amp; Cap"/>
      <sheetName val="Financials"/>
      <sheetName val="JIN Fin"/>
      <sheetName val="bus-valuation"/>
      <sheetName val="JIN B-S &amp; Cap"/>
      <sheetName val="JIN- Valuation"/>
      <sheetName val="Valuation"/>
      <sheetName val="JIN- PX"/>
      <sheetName val="Comps"/>
      <sheetName val="JIN Sales"/>
      <sheetName val="DEBTS"/>
      <sheetName val="Assets"/>
      <sheetName val="JIN Affilates"/>
      <sheetName val="#REF"/>
      <sheetName val="jinroindustries"/>
      <sheetName val="Keibai"/>
      <sheetName val="計算過程シート"/>
      <sheetName val="部門別(売上-EBITDA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D577A1-582E-4DB6-BA2E-5284EB692C46}" name="Tabla116" displayName="Tabla116" ref="A1:K36" totalsRowShown="0" headerRowDxfId="16" dataDxfId="15">
  <autoFilter ref="A1:K36" xr:uid="{21114031-4C9A-49FB-841E-158E356BC317}"/>
  <tableColumns count="11">
    <tableColumn id="3" xr3:uid="{73125498-A59C-4DA8-B0C7-150F84659F83}" name="REFERENCIA" dataDxfId="2"/>
    <tableColumn id="4" xr3:uid="{581535AE-B849-47EB-95BC-076BCE71D032}" name="DESCRIPCION" dataDxfId="0"/>
    <tableColumn id="1" xr3:uid="{F8CDBEF4-9F4D-468E-9C7C-58BF217799CD}" name="PRECIO INSTALLER (CON IVA)" dataDxfId="1" dataCellStyle="Moneda">
      <calculatedColumnFormula>+Tabla116[[#This Row],[COSTO CON IVA]]/Tabla116[[#This Row],[UTILIDAD]]</calculatedColumnFormula>
    </tableColumn>
    <tableColumn id="6" xr3:uid="{CCC30C25-640E-48E7-ADE6-D2516B6BA709}" name="PRECIO TIENDA (CON IVA)" dataDxfId="5" dataCellStyle="Moneda">
      <calculatedColumnFormula>+Tabla116[[#This Row],[PRECIO INSTALLER (CON IVA)]]-Tabla116[[#This Row],[Columna2]]</calculatedColumnFormula>
    </tableColumn>
    <tableColumn id="11" xr3:uid="{3E351CDC-AD16-439D-888E-3F390EA969B7}" name="PRECIO CLIENTE FINAL (CON IVA)" dataDxfId="3" dataCellStyle="Moneda">
      <calculatedColumnFormula>+Tabla116[[#This Row],[PRECIO INSTALLER (CON IVA)]]/0.7</calculatedColumnFormula>
    </tableColumn>
    <tableColumn id="2" xr3:uid="{29F6723C-3A2F-47E7-95DF-9EF74D86E5EF}" name="Columna2" dataDxfId="4" dataCellStyle="Moneda">
      <calculatedColumnFormula>+Tabla116[[#This Row],[PRECIO INSTALLER (CON IVA)]]*5%</calculatedColumnFormula>
    </tableColumn>
    <tableColumn id="8" xr3:uid="{859E993C-13B9-43AC-90A5-053263718532}" name="UTILIDAD" dataDxfId="14"/>
    <tableColumn id="7" xr3:uid="{49038E29-F121-4FCC-AF3E-6B596FF0A3F2}" name="COSTO CON IVA" dataDxfId="13">
      <calculatedColumnFormula>Tabla116[[#This Row],[COSTO]]*1.19</calculatedColumnFormula>
    </tableColumn>
    <tableColumn id="9" xr3:uid="{A236DCAF-E51C-4323-A12F-166E527CCAA5}" name="Columna3" dataDxfId="12"/>
    <tableColumn id="10" xr3:uid="{B846266E-E65B-4796-AA25-B975A067F6C7}" name="Columna4" dataDxfId="11"/>
    <tableColumn id="5" xr3:uid="{7FC2F76D-FA44-46DB-B7A1-F91911725B1A}" name="COSTO" dataDxfId="6" dataCellStyle="Moneda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711AF-9FFE-4FD5-BE0E-7F011BE22AA1}">
  <dimension ref="A1:K36"/>
  <sheetViews>
    <sheetView tabSelected="1" view="pageBreakPreview" zoomScale="60" zoomScaleNormal="100" workbookViewId="0">
      <pane ySplit="1" topLeftCell="A2" activePane="bottomLeft" state="frozen"/>
      <selection pane="bottomLeft" activeCell="W7" sqref="W7"/>
    </sheetView>
  </sheetViews>
  <sheetFormatPr baseColWidth="10" defaultColWidth="8" defaultRowHeight="15" x14ac:dyDescent="0.25"/>
  <cols>
    <col min="1" max="1" width="36.28515625" style="1" customWidth="1"/>
    <col min="2" max="2" width="57.85546875" style="1" customWidth="1"/>
    <col min="3" max="3" width="16.42578125" style="3" customWidth="1"/>
    <col min="4" max="4" width="14" style="3" customWidth="1"/>
    <col min="5" max="5" width="14.28515625" style="3" customWidth="1"/>
    <col min="6" max="6" width="13.28515625" style="3" customWidth="1"/>
    <col min="7" max="7" width="13" style="1" customWidth="1"/>
    <col min="8" max="8" width="13.28515625" style="1" customWidth="1"/>
    <col min="9" max="9" width="3.140625" style="1" customWidth="1"/>
    <col min="10" max="10" width="2.42578125" style="1" customWidth="1"/>
    <col min="11" max="11" width="17.140625" style="2" customWidth="1"/>
    <col min="12" max="12" width="2.28515625" style="1" customWidth="1"/>
    <col min="13" max="16384" width="8" style="1"/>
  </cols>
  <sheetData>
    <row r="1" spans="1:11" s="8" customFormat="1" ht="78.75" customHeight="1" x14ac:dyDescent="0.25">
      <c r="A1" s="12" t="s">
        <v>47</v>
      </c>
      <c r="B1" s="12" t="s">
        <v>46</v>
      </c>
      <c r="C1" s="12" t="s">
        <v>45</v>
      </c>
      <c r="D1" s="12" t="s">
        <v>44</v>
      </c>
      <c r="E1" s="12" t="s">
        <v>43</v>
      </c>
      <c r="F1" s="11" t="s">
        <v>42</v>
      </c>
      <c r="G1" s="10" t="s">
        <v>41</v>
      </c>
      <c r="H1" s="10" t="s">
        <v>40</v>
      </c>
      <c r="I1" s="10" t="s">
        <v>39</v>
      </c>
      <c r="J1" s="10" t="s">
        <v>38</v>
      </c>
      <c r="K1" s="9" t="s">
        <v>37</v>
      </c>
    </row>
    <row r="2" spans="1:11" ht="25.5" x14ac:dyDescent="0.25">
      <c r="A2" s="15" t="s">
        <v>50</v>
      </c>
      <c r="B2" s="16" t="s">
        <v>74</v>
      </c>
      <c r="C2" s="14">
        <f>+Tabla116[[#This Row],[COSTO CON IVA]]/Tabla116[[#This Row],[UTILIDAD]]</f>
        <v>1203761.1764705882</v>
      </c>
      <c r="D2" s="14">
        <f>+Tabla116[[#This Row],[PRECIO INSTALLER (CON IVA)]]-Tabla116[[#This Row],[Columna2]]</f>
        <v>1143573.1176470588</v>
      </c>
      <c r="E2" s="14">
        <f>+Tabla116[[#This Row],[PRECIO INSTALLER (CON IVA)]]/0.7</f>
        <v>1719658.8235294118</v>
      </c>
      <c r="F2" s="7">
        <f>+Tabla116[[#This Row],[PRECIO INSTALLER (CON IVA)]]*5%</f>
        <v>60188.058823529413</v>
      </c>
      <c r="G2" s="1">
        <v>0.85</v>
      </c>
      <c r="H2" s="4">
        <f>Tabla116[[#This Row],[COSTO]]*1.19</f>
        <v>1023197</v>
      </c>
      <c r="K2" s="13">
        <v>859829.4117647059</v>
      </c>
    </row>
    <row r="3" spans="1:11" ht="38.25" x14ac:dyDescent="0.25">
      <c r="A3" s="15" t="s">
        <v>36</v>
      </c>
      <c r="B3" s="17" t="s">
        <v>75</v>
      </c>
      <c r="C3" s="6">
        <f>+Tabla116[[#This Row],[COSTO CON IVA]]/Tabla116[[#This Row],[UTILIDAD]]</f>
        <v>1529016.4705882354</v>
      </c>
      <c r="D3" s="6">
        <f>+Tabla116[[#This Row],[PRECIO INSTALLER (CON IVA)]]-Tabla116[[#This Row],[Columna2]]</f>
        <v>1452565.6470588236</v>
      </c>
      <c r="E3" s="6">
        <f>+Tabla116[[#This Row],[PRECIO INSTALLER (CON IVA)]]/0.7</f>
        <v>2184309.2436974794</v>
      </c>
      <c r="F3" s="5">
        <f>+Tabla116[[#This Row],[PRECIO INSTALLER (CON IVA)]]*5%</f>
        <v>76450.823529411777</v>
      </c>
      <c r="G3" s="1">
        <v>0.85</v>
      </c>
      <c r="H3" s="4">
        <f>Tabla116[[#This Row],[COSTO]]*1.19</f>
        <v>1299664</v>
      </c>
      <c r="K3" s="13">
        <v>1092154.6218487395</v>
      </c>
    </row>
    <row r="4" spans="1:11" ht="25.5" x14ac:dyDescent="0.25">
      <c r="A4" s="15" t="s">
        <v>34</v>
      </c>
      <c r="B4" s="18" t="s">
        <v>76</v>
      </c>
      <c r="C4" s="6">
        <f>+Tabla116[[#This Row],[COSTO CON IVA]]/Tabla116[[#This Row],[UTILIDAD]]</f>
        <v>918957.64705882361</v>
      </c>
      <c r="D4" s="6">
        <f>+Tabla116[[#This Row],[PRECIO INSTALLER (CON IVA)]]-Tabla116[[#This Row],[Columna2]]</f>
        <v>873009.76470588241</v>
      </c>
      <c r="E4" s="6">
        <f>+Tabla116[[#This Row],[PRECIO INSTALLER (CON IVA)]]/0.7</f>
        <v>1312796.6386554623</v>
      </c>
      <c r="F4" s="5">
        <f>+Tabla116[[#This Row],[PRECIO INSTALLER (CON IVA)]]*5%</f>
        <v>45947.882352941182</v>
      </c>
      <c r="G4" s="1">
        <v>0.85</v>
      </c>
      <c r="H4" s="4">
        <f>Tabla116[[#This Row],[COSTO]]*1.19</f>
        <v>781114</v>
      </c>
      <c r="K4" s="13">
        <v>656398.31932773115</v>
      </c>
    </row>
    <row r="5" spans="1:11" ht="38.25" x14ac:dyDescent="0.25">
      <c r="A5" s="15" t="s">
        <v>33</v>
      </c>
      <c r="B5" s="19" t="s">
        <v>77</v>
      </c>
      <c r="C5" s="6">
        <f>+Tabla116[[#This Row],[COSTO CON IVA]]/Tabla116[[#This Row],[UTILIDAD]]</f>
        <v>1165667.0588235294</v>
      </c>
      <c r="D5" s="6">
        <f>+Tabla116[[#This Row],[PRECIO INSTALLER (CON IVA)]]-Tabla116[[#This Row],[Columna2]]</f>
        <v>1107383.705882353</v>
      </c>
      <c r="E5" s="6">
        <f>+Tabla116[[#This Row],[PRECIO INSTALLER (CON IVA)]]/0.7</f>
        <v>1665238.6554621849</v>
      </c>
      <c r="F5" s="5">
        <f>+Tabla116[[#This Row],[PRECIO INSTALLER (CON IVA)]]*5%</f>
        <v>58283.352941176476</v>
      </c>
      <c r="G5" s="1">
        <v>0.85</v>
      </c>
      <c r="H5" s="4">
        <f>Tabla116[[#This Row],[COSTO]]*1.19</f>
        <v>990817</v>
      </c>
      <c r="K5" s="13">
        <v>832619.32773109246</v>
      </c>
    </row>
    <row r="6" spans="1:11" ht="38.25" x14ac:dyDescent="0.25">
      <c r="A6" s="20" t="s">
        <v>30</v>
      </c>
      <c r="B6" s="19" t="s">
        <v>78</v>
      </c>
      <c r="C6" s="6">
        <f>+Tabla116[[#This Row],[COSTO CON IVA]]/Tabla116[[#This Row],[UTILIDAD]]</f>
        <v>1510588.2352941176</v>
      </c>
      <c r="D6" s="6">
        <f>+Tabla116[[#This Row],[PRECIO INSTALLER (CON IVA)]]-Tabla116[[#This Row],[Columna2]]</f>
        <v>1435058.8235294118</v>
      </c>
      <c r="E6" s="6">
        <f>+Tabla116[[#This Row],[PRECIO INSTALLER (CON IVA)]]/0.7</f>
        <v>2157983.193277311</v>
      </c>
      <c r="F6" s="5">
        <f>+Tabla116[[#This Row],[PRECIO INSTALLER (CON IVA)]]*5%</f>
        <v>75529.411764705888</v>
      </c>
      <c r="G6" s="1">
        <v>0.85</v>
      </c>
      <c r="H6" s="4">
        <f>Tabla116[[#This Row],[COSTO]]*1.19</f>
        <v>1284000</v>
      </c>
      <c r="K6" s="13">
        <v>1078991.5966386555</v>
      </c>
    </row>
    <row r="7" spans="1:11" ht="25.5" x14ac:dyDescent="0.25">
      <c r="A7" s="15" t="s">
        <v>19</v>
      </c>
      <c r="B7" s="16" t="s">
        <v>79</v>
      </c>
      <c r="C7" s="6">
        <f>+Tabla116[[#This Row],[COSTO CON IVA]]/Tabla116[[#This Row],[UTILIDAD]]</f>
        <v>1028588.2352941177</v>
      </c>
      <c r="D7" s="6">
        <f>+Tabla116[[#This Row],[PRECIO INSTALLER (CON IVA)]]-Tabla116[[#This Row],[Columna2]]</f>
        <v>977158.82352941181</v>
      </c>
      <c r="E7" s="6">
        <f>+Tabla116[[#This Row],[PRECIO INSTALLER (CON IVA)]]/0.7</f>
        <v>1469411.7647058826</v>
      </c>
      <c r="F7" s="5">
        <f>+Tabla116[[#This Row],[PRECIO INSTALLER (CON IVA)]]*5%</f>
        <v>51429.411764705888</v>
      </c>
      <c r="G7" s="1">
        <v>0.85</v>
      </c>
      <c r="H7" s="4">
        <f>Tabla116[[#This Row],[COSTO]]*1.19</f>
        <v>874300</v>
      </c>
      <c r="K7" s="13">
        <v>734705.8823529412</v>
      </c>
    </row>
    <row r="8" spans="1:11" ht="38.25" x14ac:dyDescent="0.25">
      <c r="A8" s="20" t="s">
        <v>18</v>
      </c>
      <c r="B8" s="17" t="s">
        <v>80</v>
      </c>
      <c r="C8" s="6">
        <f>+Tabla116[[#This Row],[COSTO CON IVA]]/Tabla116[[#This Row],[UTILIDAD]]</f>
        <v>1870588.2352941174</v>
      </c>
      <c r="D8" s="6">
        <f>+Tabla116[[#This Row],[PRECIO INSTALLER (CON IVA)]]-Tabla116[[#This Row],[Columna2]]</f>
        <v>1777058.8235294116</v>
      </c>
      <c r="E8" s="6">
        <f>+Tabla116[[#This Row],[PRECIO INSTALLER (CON IVA)]]/0.7</f>
        <v>2672268.9075630251</v>
      </c>
      <c r="F8" s="5">
        <f>+Tabla116[[#This Row],[PRECIO INSTALLER (CON IVA)]]*5%</f>
        <v>93529.411764705874</v>
      </c>
      <c r="G8" s="1">
        <v>0.85</v>
      </c>
      <c r="H8" s="4">
        <f>Tabla116[[#This Row],[COSTO]]*1.19</f>
        <v>1589999.9999999998</v>
      </c>
      <c r="K8" s="13">
        <v>1336134.4537815126</v>
      </c>
    </row>
    <row r="9" spans="1:11" x14ac:dyDescent="0.25">
      <c r="A9" s="20" t="s">
        <v>17</v>
      </c>
      <c r="B9" s="21" t="s">
        <v>51</v>
      </c>
      <c r="C9" s="6">
        <f>+Tabla116[[#This Row],[COSTO CON IVA]]/Tabla116[[#This Row],[UTILIDAD]]</f>
        <v>458823.5294117647</v>
      </c>
      <c r="D9" s="6">
        <f>+Tabla116[[#This Row],[PRECIO INSTALLER (CON IVA)]]-Tabla116[[#This Row],[Columna2]]</f>
        <v>435882.35294117645</v>
      </c>
      <c r="E9" s="6">
        <f>+Tabla116[[#This Row],[PRECIO INSTALLER (CON IVA)]]/0.7</f>
        <v>655462.18487394962</v>
      </c>
      <c r="F9" s="5">
        <f>+Tabla116[[#This Row],[PRECIO INSTALLER (CON IVA)]]*5%</f>
        <v>22941.176470588238</v>
      </c>
      <c r="G9" s="1">
        <v>0.85</v>
      </c>
      <c r="H9" s="4">
        <f>Tabla116[[#This Row],[COSTO]]*1.19</f>
        <v>390000</v>
      </c>
      <c r="K9" s="13">
        <v>327731.09243697481</v>
      </c>
    </row>
    <row r="10" spans="1:11" x14ac:dyDescent="0.25">
      <c r="A10" s="15" t="s">
        <v>7</v>
      </c>
      <c r="B10" s="22" t="s">
        <v>52</v>
      </c>
      <c r="C10" s="6">
        <f>+Tabla116[[#This Row],[COSTO CON IVA]]/Tabla116[[#This Row],[UTILIDAD]]</f>
        <v>608000</v>
      </c>
      <c r="D10" s="6">
        <f>+Tabla116[[#This Row],[PRECIO INSTALLER (CON IVA)]]-Tabla116[[#This Row],[Columna2]]</f>
        <v>577600</v>
      </c>
      <c r="E10" s="6">
        <f>+Tabla116[[#This Row],[PRECIO INSTALLER (CON IVA)]]/0.7</f>
        <v>868571.42857142864</v>
      </c>
      <c r="F10" s="5">
        <f>+Tabla116[[#This Row],[PRECIO INSTALLER (CON IVA)]]*5%</f>
        <v>30400</v>
      </c>
      <c r="G10" s="1">
        <v>0.85</v>
      </c>
      <c r="H10" s="4">
        <f>Tabla116[[#This Row],[COSTO]]*1.19</f>
        <v>516800</v>
      </c>
      <c r="K10" s="13">
        <v>434285.71428571432</v>
      </c>
    </row>
    <row r="11" spans="1:11" x14ac:dyDescent="0.25">
      <c r="A11" s="15" t="s">
        <v>6</v>
      </c>
      <c r="B11" s="22" t="s">
        <v>5</v>
      </c>
      <c r="C11" s="6">
        <f>+Tabla116[[#This Row],[COSTO CON IVA]]/Tabla116[[#This Row],[UTILIDAD]]</f>
        <v>52705.882352941175</v>
      </c>
      <c r="D11" s="6">
        <f>+Tabla116[[#This Row],[PRECIO INSTALLER (CON IVA)]]-Tabla116[[#This Row],[Columna2]]</f>
        <v>50070.588235294119</v>
      </c>
      <c r="E11" s="6">
        <f>+Tabla116[[#This Row],[PRECIO INSTALLER (CON IVA)]]/0.7</f>
        <v>75294.117647058825</v>
      </c>
      <c r="F11" s="5">
        <f>+Tabla116[[#This Row],[PRECIO INSTALLER (CON IVA)]]*5%</f>
        <v>2635.294117647059</v>
      </c>
      <c r="G11" s="1">
        <v>0.85</v>
      </c>
      <c r="H11" s="4">
        <f>Tabla116[[#This Row],[COSTO]]*1.19</f>
        <v>44800</v>
      </c>
      <c r="K11" s="13">
        <v>37647.058823529413</v>
      </c>
    </row>
    <row r="12" spans="1:11" x14ac:dyDescent="0.25">
      <c r="A12" s="20" t="s">
        <v>31</v>
      </c>
      <c r="B12" s="23" t="s">
        <v>53</v>
      </c>
      <c r="C12" s="6">
        <f>+Tabla116[[#This Row],[COSTO CON IVA]]/Tabla116[[#This Row],[UTILIDAD]]</f>
        <v>468823.5294117647</v>
      </c>
      <c r="D12" s="6">
        <f>+Tabla116[[#This Row],[PRECIO INSTALLER (CON IVA)]]-Tabla116[[#This Row],[Columna2]]</f>
        <v>445382.35294117645</v>
      </c>
      <c r="E12" s="6">
        <f>+Tabla116[[#This Row],[PRECIO INSTALLER (CON IVA)]]/0.7</f>
        <v>669747.89915966394</v>
      </c>
      <c r="F12" s="5">
        <f>+Tabla116[[#This Row],[PRECIO INSTALLER (CON IVA)]]*5%</f>
        <v>23441.176470588238</v>
      </c>
      <c r="G12" s="1">
        <v>0.85</v>
      </c>
      <c r="H12" s="4">
        <f>Tabla116[[#This Row],[COSTO]]*1.19</f>
        <v>398500</v>
      </c>
      <c r="K12" s="13">
        <v>334873.94957983197</v>
      </c>
    </row>
    <row r="13" spans="1:11" ht="25.5" x14ac:dyDescent="0.25">
      <c r="A13" s="20" t="s">
        <v>48</v>
      </c>
      <c r="B13" s="21" t="s">
        <v>49</v>
      </c>
      <c r="C13" s="6">
        <f>+Tabla116[[#This Row],[COSTO CON IVA]]/Tabla116[[#This Row],[UTILIDAD]]</f>
        <v>937647.0588235294</v>
      </c>
      <c r="D13" s="6">
        <f>+Tabla116[[#This Row],[PRECIO INSTALLER (CON IVA)]]-Tabla116[[#This Row],[Columna2]]</f>
        <v>890764.70588235289</v>
      </c>
      <c r="E13" s="6">
        <f>+Tabla116[[#This Row],[PRECIO INSTALLER (CON IVA)]]/0.7</f>
        <v>1339495.7983193279</v>
      </c>
      <c r="F13" s="5">
        <f>+Tabla116[[#This Row],[PRECIO INSTALLER (CON IVA)]]*5%</f>
        <v>46882.352941176476</v>
      </c>
      <c r="G13" s="1">
        <v>0.85</v>
      </c>
      <c r="H13" s="4">
        <f>Tabla116[[#This Row],[COSTO]]*1.19</f>
        <v>797000</v>
      </c>
      <c r="K13" s="13">
        <v>669747.89915966394</v>
      </c>
    </row>
    <row r="14" spans="1:11" x14ac:dyDescent="0.25">
      <c r="A14" s="20" t="s">
        <v>35</v>
      </c>
      <c r="B14" s="23" t="s">
        <v>54</v>
      </c>
      <c r="C14" s="6">
        <f>+Tabla116[[#This Row],[COSTO CON IVA]]/Tabla116[[#This Row],[UTILIDAD]]</f>
        <v>605882.3529411765</v>
      </c>
      <c r="D14" s="6">
        <f>+Tabla116[[#This Row],[PRECIO INSTALLER (CON IVA)]]-Tabla116[[#This Row],[Columna2]]</f>
        <v>575588.23529411771</v>
      </c>
      <c r="E14" s="6">
        <f>+Tabla116[[#This Row],[PRECIO INSTALLER (CON IVA)]]/0.7</f>
        <v>865546.21848739509</v>
      </c>
      <c r="F14" s="5">
        <f>+Tabla116[[#This Row],[PRECIO INSTALLER (CON IVA)]]*5%</f>
        <v>30294.117647058825</v>
      </c>
      <c r="G14" s="1">
        <v>0.85</v>
      </c>
      <c r="H14" s="4">
        <f>Tabla116[[#This Row],[COSTO]]*1.19</f>
        <v>515000</v>
      </c>
      <c r="K14" s="13">
        <v>432773.10924369749</v>
      </c>
    </row>
    <row r="15" spans="1:11" x14ac:dyDescent="0.25">
      <c r="A15" s="15" t="s">
        <v>32</v>
      </c>
      <c r="B15" s="22" t="s">
        <v>55</v>
      </c>
      <c r="C15" s="6">
        <f>+Tabla116[[#This Row],[COSTO CON IVA]]/Tabla116[[#This Row],[UTILIDAD]]</f>
        <v>188941.17647058825</v>
      </c>
      <c r="D15" s="6">
        <f>+Tabla116[[#This Row],[PRECIO INSTALLER (CON IVA)]]-Tabla116[[#This Row],[Columna2]]</f>
        <v>179494.11764705885</v>
      </c>
      <c r="E15" s="6">
        <f>+Tabla116[[#This Row],[PRECIO INSTALLER (CON IVA)]]/0.7</f>
        <v>269915.96638655465</v>
      </c>
      <c r="F15" s="5">
        <f>+Tabla116[[#This Row],[PRECIO INSTALLER (CON IVA)]]*5%</f>
        <v>9447.0588235294126</v>
      </c>
      <c r="G15" s="1">
        <v>0.85</v>
      </c>
      <c r="H15" s="4">
        <f>Tabla116[[#This Row],[COSTO]]*1.19</f>
        <v>160600</v>
      </c>
      <c r="K15" s="13">
        <v>134957.98319327732</v>
      </c>
    </row>
    <row r="16" spans="1:11" ht="25.5" x14ac:dyDescent="0.25">
      <c r="A16" s="15" t="s">
        <v>24</v>
      </c>
      <c r="B16" s="21" t="s">
        <v>23</v>
      </c>
      <c r="C16" s="6">
        <f>+Tabla116[[#This Row],[COSTO CON IVA]]/Tabla116[[#This Row],[UTILIDAD]]</f>
        <v>141058.82352941175</v>
      </c>
      <c r="D16" s="6">
        <f>+Tabla116[[#This Row],[PRECIO INSTALLER (CON IVA)]]-Tabla116[[#This Row],[Columna2]]</f>
        <v>134005.88235294115</v>
      </c>
      <c r="E16" s="6">
        <f>+Tabla116[[#This Row],[PRECIO INSTALLER (CON IVA)]]/0.7</f>
        <v>201512.6050420168</v>
      </c>
      <c r="F16" s="5">
        <f>+Tabla116[[#This Row],[PRECIO INSTALLER (CON IVA)]]*5%</f>
        <v>7052.9411764705874</v>
      </c>
      <c r="G16" s="1">
        <v>0.85</v>
      </c>
      <c r="H16" s="4">
        <f>Tabla116[[#This Row],[COSTO]]*1.19</f>
        <v>119899.99999999999</v>
      </c>
      <c r="K16" s="13">
        <v>100756.3025210084</v>
      </c>
    </row>
    <row r="17" spans="1:11" x14ac:dyDescent="0.25">
      <c r="A17" s="15" t="s">
        <v>22</v>
      </c>
      <c r="B17" s="22" t="s">
        <v>21</v>
      </c>
      <c r="C17" s="6">
        <f>+Tabla116[[#This Row],[COSTO CON IVA]]/Tabla116[[#This Row],[UTILIDAD]]</f>
        <v>49882.352941176461</v>
      </c>
      <c r="D17" s="6">
        <f>+Tabla116[[#This Row],[PRECIO INSTALLER (CON IVA)]]-Tabla116[[#This Row],[Columna2]]</f>
        <v>47388.235294117636</v>
      </c>
      <c r="E17" s="6">
        <f>+Tabla116[[#This Row],[PRECIO INSTALLER (CON IVA)]]/0.7</f>
        <v>71260.504201680669</v>
      </c>
      <c r="F17" s="5">
        <f>+Tabla116[[#This Row],[PRECIO INSTALLER (CON IVA)]]*5%</f>
        <v>2494.1176470588234</v>
      </c>
      <c r="G17" s="1">
        <v>0.85</v>
      </c>
      <c r="H17" s="4">
        <f>Tabla116[[#This Row],[COSTO]]*1.19</f>
        <v>42399.999999999993</v>
      </c>
      <c r="K17" s="13">
        <v>35630.252100840335</v>
      </c>
    </row>
    <row r="18" spans="1:11" x14ac:dyDescent="0.25">
      <c r="A18" s="15" t="s">
        <v>29</v>
      </c>
      <c r="B18" s="22" t="s">
        <v>56</v>
      </c>
      <c r="C18" s="6">
        <f>+Tabla116[[#This Row],[COSTO CON IVA]]/Tabla116[[#This Row],[UTILIDAD]]</f>
        <v>80705.882352941175</v>
      </c>
      <c r="D18" s="6">
        <f>+Tabla116[[#This Row],[PRECIO INSTALLER (CON IVA)]]-Tabla116[[#This Row],[Columna2]]</f>
        <v>76670.588235294112</v>
      </c>
      <c r="E18" s="6">
        <f>+Tabla116[[#This Row],[PRECIO INSTALLER (CON IVA)]]/0.7</f>
        <v>115294.11764705883</v>
      </c>
      <c r="F18" s="5">
        <f>+Tabla116[[#This Row],[PRECIO INSTALLER (CON IVA)]]*5%</f>
        <v>4035.294117647059</v>
      </c>
      <c r="G18" s="1">
        <v>0.85</v>
      </c>
      <c r="H18" s="4">
        <f>Tabla116[[#This Row],[COSTO]]*1.19</f>
        <v>68600</v>
      </c>
      <c r="K18" s="13">
        <v>57647.058823529413</v>
      </c>
    </row>
    <row r="19" spans="1:11" x14ac:dyDescent="0.25">
      <c r="A19" s="15" t="s">
        <v>26</v>
      </c>
      <c r="B19" s="22" t="s">
        <v>57</v>
      </c>
      <c r="C19" s="6">
        <f>+Tabla116[[#This Row],[COSTO CON IVA]]/Tabla116[[#This Row],[UTILIDAD]]</f>
        <v>103764.70588235294</v>
      </c>
      <c r="D19" s="6">
        <f>+Tabla116[[#This Row],[PRECIO INSTALLER (CON IVA)]]-Tabla116[[#This Row],[Columna2]]</f>
        <v>98576.470588235286</v>
      </c>
      <c r="E19" s="6">
        <f>+Tabla116[[#This Row],[PRECIO INSTALLER (CON IVA)]]/0.7</f>
        <v>148235.29411764705</v>
      </c>
      <c r="F19" s="5">
        <f>+Tabla116[[#This Row],[PRECIO INSTALLER (CON IVA)]]*5%</f>
        <v>5188.2352941176468</v>
      </c>
      <c r="G19" s="1">
        <v>0.85</v>
      </c>
      <c r="H19" s="4">
        <f>Tabla116[[#This Row],[COSTO]]*1.19</f>
        <v>88200</v>
      </c>
      <c r="K19" s="13">
        <v>74117.647058823539</v>
      </c>
    </row>
    <row r="20" spans="1:11" x14ac:dyDescent="0.25">
      <c r="A20" s="15" t="s">
        <v>4</v>
      </c>
      <c r="B20" s="22" t="s">
        <v>58</v>
      </c>
      <c r="C20" s="6">
        <f>+Tabla116[[#This Row],[COSTO CON IVA]]/Tabla116[[#This Row],[UTILIDAD]]</f>
        <v>30823.529411764706</v>
      </c>
      <c r="D20" s="6">
        <f>+Tabla116[[#This Row],[PRECIO INSTALLER (CON IVA)]]-Tabla116[[#This Row],[Columna2]]</f>
        <v>29282.352941176472</v>
      </c>
      <c r="E20" s="6">
        <f>+Tabla116[[#This Row],[PRECIO INSTALLER (CON IVA)]]/0.7</f>
        <v>44033.613445378156</v>
      </c>
      <c r="F20" s="5">
        <f>+Tabla116[[#This Row],[PRECIO INSTALLER (CON IVA)]]*5%</f>
        <v>1541.1764705882354</v>
      </c>
      <c r="G20" s="1">
        <v>0.85</v>
      </c>
      <c r="H20" s="4">
        <f>Tabla116[[#This Row],[COSTO]]*1.19</f>
        <v>26200</v>
      </c>
      <c r="K20" s="13">
        <v>22016.806722689078</v>
      </c>
    </row>
    <row r="21" spans="1:11" x14ac:dyDescent="0.25">
      <c r="A21" s="15" t="s">
        <v>27</v>
      </c>
      <c r="B21" s="22" t="s">
        <v>59</v>
      </c>
      <c r="C21" s="6">
        <f>+Tabla116[[#This Row],[COSTO CON IVA]]/Tabla116[[#This Row],[UTILIDAD]]</f>
        <v>162117.64705882352</v>
      </c>
      <c r="D21" s="6">
        <f>+Tabla116[[#This Row],[PRECIO INSTALLER (CON IVA)]]-Tabla116[[#This Row],[Columna2]]</f>
        <v>154011.76470588235</v>
      </c>
      <c r="E21" s="6">
        <f>+Tabla116[[#This Row],[PRECIO INSTALLER (CON IVA)]]/0.7</f>
        <v>231596.63865546219</v>
      </c>
      <c r="F21" s="5">
        <f>+Tabla116[[#This Row],[PRECIO INSTALLER (CON IVA)]]*5%</f>
        <v>8105.8823529411766</v>
      </c>
      <c r="G21" s="1">
        <v>0.85</v>
      </c>
      <c r="H21" s="4">
        <f>Tabla116[[#This Row],[COSTO]]*1.19</f>
        <v>137800</v>
      </c>
      <c r="K21" s="13">
        <v>115798.31932773109</v>
      </c>
    </row>
    <row r="22" spans="1:11" x14ac:dyDescent="0.25">
      <c r="A22" s="15" t="s">
        <v>28</v>
      </c>
      <c r="B22" s="22" t="s">
        <v>60</v>
      </c>
      <c r="C22" s="6">
        <f>+Tabla116[[#This Row],[COSTO CON IVA]]/Tabla116[[#This Row],[UTILIDAD]]</f>
        <v>94296.470588235301</v>
      </c>
      <c r="D22" s="6">
        <f>+Tabla116[[#This Row],[PRECIO INSTALLER (CON IVA)]]-Tabla116[[#This Row],[Columna2]]</f>
        <v>89581.647058823539</v>
      </c>
      <c r="E22" s="6">
        <f>+Tabla116[[#This Row],[PRECIO INSTALLER (CON IVA)]]/0.7</f>
        <v>134709.24369747902</v>
      </c>
      <c r="F22" s="5">
        <f>+Tabla116[[#This Row],[PRECIO INSTALLER (CON IVA)]]*5%</f>
        <v>4714.8235294117649</v>
      </c>
      <c r="G22" s="1">
        <v>0.85</v>
      </c>
      <c r="H22" s="4">
        <f>Tabla116[[#This Row],[COSTO]]*1.19</f>
        <v>80152</v>
      </c>
      <c r="K22" s="13">
        <v>67354.621848739494</v>
      </c>
    </row>
    <row r="23" spans="1:11" x14ac:dyDescent="0.25">
      <c r="A23" s="15" t="s">
        <v>16</v>
      </c>
      <c r="B23" s="22" t="s">
        <v>15</v>
      </c>
      <c r="C23" s="6">
        <f>+Tabla116[[#This Row],[COSTO CON IVA]]/Tabla116[[#This Row],[UTILIDAD]]</f>
        <v>359764.70588235295</v>
      </c>
      <c r="D23" s="6">
        <f>+Tabla116[[#This Row],[PRECIO INSTALLER (CON IVA)]]-Tabla116[[#This Row],[Columna2]]</f>
        <v>341776.4705882353</v>
      </c>
      <c r="E23" s="6">
        <f>+Tabla116[[#This Row],[PRECIO INSTALLER (CON IVA)]]/0.7</f>
        <v>513949.57983193285</v>
      </c>
      <c r="F23" s="5">
        <f>+Tabla116[[#This Row],[PRECIO INSTALLER (CON IVA)]]*5%</f>
        <v>17988.235294117647</v>
      </c>
      <c r="G23" s="1">
        <v>0.85</v>
      </c>
      <c r="H23" s="4">
        <f>Tabla116[[#This Row],[COSTO]]*1.19</f>
        <v>305800</v>
      </c>
      <c r="K23" s="13">
        <v>256974.78991596639</v>
      </c>
    </row>
    <row r="24" spans="1:11" x14ac:dyDescent="0.25">
      <c r="A24" s="15" t="s">
        <v>61</v>
      </c>
      <c r="B24" s="22" t="s">
        <v>62</v>
      </c>
      <c r="C24" s="6">
        <f>+Tabla116[[#This Row],[COSTO CON IVA]]/Tabla116[[#This Row],[UTILIDAD]]</f>
        <v>62235.294117647049</v>
      </c>
      <c r="D24" s="6">
        <f>+Tabla116[[#This Row],[PRECIO INSTALLER (CON IVA)]]-Tabla116[[#This Row],[Columna2]]</f>
        <v>59123.529411764699</v>
      </c>
      <c r="E24" s="6">
        <f>+Tabla116[[#This Row],[PRECIO INSTALLER (CON IVA)]]/0.7</f>
        <v>88907.563025210082</v>
      </c>
      <c r="F24" s="5">
        <f>+Tabla116[[#This Row],[PRECIO INSTALLER (CON IVA)]]*5%</f>
        <v>3111.7647058823527</v>
      </c>
      <c r="G24" s="1">
        <v>0.85</v>
      </c>
      <c r="H24" s="4">
        <f>Tabla116[[#This Row],[COSTO]]*1.19</f>
        <v>52899.999999999993</v>
      </c>
      <c r="K24" s="13">
        <v>44453.781512605041</v>
      </c>
    </row>
    <row r="25" spans="1:11" x14ac:dyDescent="0.25">
      <c r="A25" s="15" t="s">
        <v>25</v>
      </c>
      <c r="B25" s="22" t="s">
        <v>63</v>
      </c>
      <c r="C25" s="6">
        <f>+Tabla116[[#This Row],[COSTO CON IVA]]/Tabla116[[#This Row],[UTILIDAD]]</f>
        <v>66705.882352941175</v>
      </c>
      <c r="D25" s="6">
        <f>+Tabla116[[#This Row],[PRECIO INSTALLER (CON IVA)]]-Tabla116[[#This Row],[Columna2]]</f>
        <v>63370.588235294119</v>
      </c>
      <c r="E25" s="6">
        <f>+Tabla116[[#This Row],[PRECIO INSTALLER (CON IVA)]]/0.7</f>
        <v>95294.117647058825</v>
      </c>
      <c r="F25" s="5">
        <f>+Tabla116[[#This Row],[PRECIO INSTALLER (CON IVA)]]*5%</f>
        <v>3335.294117647059</v>
      </c>
      <c r="G25" s="1">
        <v>0.85</v>
      </c>
      <c r="H25" s="4">
        <f>Tabla116[[#This Row],[COSTO]]*1.19</f>
        <v>56700</v>
      </c>
      <c r="K25" s="13">
        <v>47647.058823529413</v>
      </c>
    </row>
    <row r="26" spans="1:11" x14ac:dyDescent="0.25">
      <c r="A26" s="15" t="s">
        <v>14</v>
      </c>
      <c r="B26" s="22" t="s">
        <v>13</v>
      </c>
      <c r="C26" s="6">
        <f>+Tabla116[[#This Row],[COSTO CON IVA]]/Tabla116[[#This Row],[UTILIDAD]]</f>
        <v>18705.882352941178</v>
      </c>
      <c r="D26" s="6">
        <f>+Tabla116[[#This Row],[PRECIO INSTALLER (CON IVA)]]-Tabla116[[#This Row],[Columna2]]</f>
        <v>17770.588235294119</v>
      </c>
      <c r="E26" s="6">
        <f>+Tabla116[[#This Row],[PRECIO INSTALLER (CON IVA)]]/0.7</f>
        <v>26722.689075630256</v>
      </c>
      <c r="F26" s="5">
        <f>+Tabla116[[#This Row],[PRECIO INSTALLER (CON IVA)]]*5%</f>
        <v>935.29411764705901</v>
      </c>
      <c r="G26" s="1">
        <v>0.85</v>
      </c>
      <c r="H26" s="4">
        <f>Tabla116[[#This Row],[COSTO]]*1.19</f>
        <v>15900</v>
      </c>
      <c r="K26" s="13">
        <v>13361.344537815126</v>
      </c>
    </row>
    <row r="27" spans="1:11" x14ac:dyDescent="0.25">
      <c r="A27" s="15" t="s">
        <v>12</v>
      </c>
      <c r="B27" s="22" t="s">
        <v>11</v>
      </c>
      <c r="C27" s="6">
        <f>+Tabla116[[#This Row],[COSTO CON IVA]]/Tabla116[[#This Row],[UTILIDAD]]</f>
        <v>32117.647058823535</v>
      </c>
      <c r="D27" s="6">
        <f>+Tabla116[[#This Row],[PRECIO INSTALLER (CON IVA)]]-Tabla116[[#This Row],[Columna2]]</f>
        <v>30511.764705882357</v>
      </c>
      <c r="E27" s="6">
        <f>+Tabla116[[#This Row],[PRECIO INSTALLER (CON IVA)]]/0.7</f>
        <v>45882.352941176483</v>
      </c>
      <c r="F27" s="5">
        <f>+Tabla116[[#This Row],[PRECIO INSTALLER (CON IVA)]]*5%</f>
        <v>1605.8823529411768</v>
      </c>
      <c r="G27" s="1">
        <v>0.85</v>
      </c>
      <c r="H27" s="4">
        <f>Tabla116[[#This Row],[COSTO]]*1.19</f>
        <v>27300.000000000004</v>
      </c>
      <c r="K27" s="13">
        <v>22941.176470588238</v>
      </c>
    </row>
    <row r="28" spans="1:11" x14ac:dyDescent="0.25">
      <c r="A28" s="15" t="s">
        <v>10</v>
      </c>
      <c r="B28" s="22" t="s">
        <v>64</v>
      </c>
      <c r="C28" s="6">
        <f>+Tabla116[[#This Row],[COSTO CON IVA]]/Tabla116[[#This Row],[UTILIDAD]]</f>
        <v>32117.647058823535</v>
      </c>
      <c r="D28" s="6">
        <f>+Tabla116[[#This Row],[PRECIO INSTALLER (CON IVA)]]-Tabla116[[#This Row],[Columna2]]</f>
        <v>30511.764705882357</v>
      </c>
      <c r="E28" s="6">
        <f>+Tabla116[[#This Row],[PRECIO INSTALLER (CON IVA)]]/0.7</f>
        <v>45882.352941176483</v>
      </c>
      <c r="F28" s="5">
        <f>+Tabla116[[#This Row],[PRECIO INSTALLER (CON IVA)]]*5%</f>
        <v>1605.8823529411768</v>
      </c>
      <c r="G28" s="1">
        <v>0.85</v>
      </c>
      <c r="H28" s="4">
        <f>Tabla116[[#This Row],[COSTO]]*1.19</f>
        <v>27300.000000000004</v>
      </c>
      <c r="K28" s="13">
        <v>22941.176470588238</v>
      </c>
    </row>
    <row r="29" spans="1:11" x14ac:dyDescent="0.25">
      <c r="A29" s="15" t="s">
        <v>9</v>
      </c>
      <c r="B29" s="22" t="s">
        <v>65</v>
      </c>
      <c r="C29" s="6">
        <f>+Tabla116[[#This Row],[COSTO CON IVA]]/Tabla116[[#This Row],[UTILIDAD]]</f>
        <v>34823.529411764706</v>
      </c>
      <c r="D29" s="6">
        <f>+Tabla116[[#This Row],[PRECIO INSTALLER (CON IVA)]]-Tabla116[[#This Row],[Columna2]]</f>
        <v>33082.352941176468</v>
      </c>
      <c r="E29" s="6">
        <f>+Tabla116[[#This Row],[PRECIO INSTALLER (CON IVA)]]/0.7</f>
        <v>49747.899159663866</v>
      </c>
      <c r="F29" s="5">
        <f>+Tabla116[[#This Row],[PRECIO INSTALLER (CON IVA)]]*5%</f>
        <v>1741.1764705882354</v>
      </c>
      <c r="G29" s="1">
        <v>0.85</v>
      </c>
      <c r="H29" s="4">
        <f>Tabla116[[#This Row],[COSTO]]*1.19</f>
        <v>29600</v>
      </c>
      <c r="K29" s="13">
        <v>24873.949579831933</v>
      </c>
    </row>
    <row r="30" spans="1:11" x14ac:dyDescent="0.25">
      <c r="A30" s="15" t="s">
        <v>8</v>
      </c>
      <c r="B30" s="22" t="s">
        <v>66</v>
      </c>
      <c r="C30" s="6">
        <f>+Tabla116[[#This Row],[COSTO CON IVA]]/Tabla116[[#This Row],[UTILIDAD]]</f>
        <v>34823.529411764706</v>
      </c>
      <c r="D30" s="6">
        <f>+Tabla116[[#This Row],[PRECIO INSTALLER (CON IVA)]]-Tabla116[[#This Row],[Columna2]]</f>
        <v>33082.352941176468</v>
      </c>
      <c r="E30" s="6">
        <f>+Tabla116[[#This Row],[PRECIO INSTALLER (CON IVA)]]/0.7</f>
        <v>49747.899159663866</v>
      </c>
      <c r="F30" s="5">
        <f>+Tabla116[[#This Row],[PRECIO INSTALLER (CON IVA)]]*5%</f>
        <v>1741.1764705882354</v>
      </c>
      <c r="G30" s="1">
        <v>0.85</v>
      </c>
      <c r="H30" s="4">
        <f>Tabla116[[#This Row],[COSTO]]*1.19</f>
        <v>29600</v>
      </c>
      <c r="K30" s="13">
        <v>24873.949579831933</v>
      </c>
    </row>
    <row r="31" spans="1:11" x14ac:dyDescent="0.25">
      <c r="A31" s="15" t="s">
        <v>20</v>
      </c>
      <c r="B31" s="22" t="s">
        <v>67</v>
      </c>
      <c r="C31" s="6">
        <f>+Tabla116[[#This Row],[COSTO CON IVA]]/Tabla116[[#This Row],[UTILIDAD]]</f>
        <v>12823.529411764706</v>
      </c>
      <c r="D31" s="6">
        <f>+Tabla116[[#This Row],[PRECIO INSTALLER (CON IVA)]]-Tabla116[[#This Row],[Columna2]]</f>
        <v>12182.35294117647</v>
      </c>
      <c r="E31" s="6">
        <f>+Tabla116[[#This Row],[PRECIO INSTALLER (CON IVA)]]/0.7</f>
        <v>18319.327731092439</v>
      </c>
      <c r="F31" s="5">
        <f>+Tabla116[[#This Row],[PRECIO INSTALLER (CON IVA)]]*5%</f>
        <v>641.17647058823536</v>
      </c>
      <c r="G31" s="1">
        <v>0.85</v>
      </c>
      <c r="H31" s="4">
        <f>Tabla116[[#This Row],[COSTO]]*1.19</f>
        <v>10900</v>
      </c>
      <c r="K31" s="13">
        <v>9159.6638655462193</v>
      </c>
    </row>
    <row r="32" spans="1:11" x14ac:dyDescent="0.25">
      <c r="A32" s="15" t="s">
        <v>2</v>
      </c>
      <c r="B32" s="22" t="s">
        <v>68</v>
      </c>
      <c r="C32" s="6">
        <f>+Tabla116[[#This Row],[COSTO CON IVA]]/Tabla116[[#This Row],[UTILIDAD]]</f>
        <v>21411.764705882353</v>
      </c>
      <c r="D32" s="6">
        <f>+Tabla116[[#This Row],[PRECIO INSTALLER (CON IVA)]]-Tabla116[[#This Row],[Columna2]]</f>
        <v>20341.176470588234</v>
      </c>
      <c r="E32" s="6">
        <f>+Tabla116[[#This Row],[PRECIO INSTALLER (CON IVA)]]/0.7</f>
        <v>30588.23529411765</v>
      </c>
      <c r="F32" s="5">
        <f>+Tabla116[[#This Row],[PRECIO INSTALLER (CON IVA)]]*5%</f>
        <v>1070.5882352941178</v>
      </c>
      <c r="G32" s="1">
        <v>0.85</v>
      </c>
      <c r="H32" s="4">
        <f>Tabla116[[#This Row],[COSTO]]*1.19</f>
        <v>18200</v>
      </c>
      <c r="K32" s="13">
        <v>15294.117647058823</v>
      </c>
    </row>
    <row r="33" spans="1:11" x14ac:dyDescent="0.25">
      <c r="A33" s="15" t="s">
        <v>69</v>
      </c>
      <c r="B33" s="22" t="s">
        <v>70</v>
      </c>
      <c r="C33" s="6">
        <f>+Tabla116[[#This Row],[COSTO CON IVA]]/Tabla116[[#This Row],[UTILIDAD]]</f>
        <v>64705.882352941175</v>
      </c>
      <c r="D33" s="6">
        <f>+Tabla116[[#This Row],[PRECIO INSTALLER (CON IVA)]]-Tabla116[[#This Row],[Columna2]]</f>
        <v>61470.588235294119</v>
      </c>
      <c r="E33" s="6">
        <f>+Tabla116[[#This Row],[PRECIO INSTALLER (CON IVA)]]/0.7</f>
        <v>92436.97478991597</v>
      </c>
      <c r="F33" s="5">
        <f>+Tabla116[[#This Row],[PRECIO INSTALLER (CON IVA)]]*5%</f>
        <v>3235.294117647059</v>
      </c>
      <c r="G33" s="1">
        <v>0.85</v>
      </c>
      <c r="H33" s="4">
        <f>Tabla116[[#This Row],[COSTO]]*1.19</f>
        <v>55000</v>
      </c>
      <c r="K33" s="13">
        <v>46218.487394957985</v>
      </c>
    </row>
    <row r="34" spans="1:11" x14ac:dyDescent="0.25">
      <c r="A34" s="15" t="s">
        <v>71</v>
      </c>
      <c r="B34" s="22" t="s">
        <v>72</v>
      </c>
      <c r="C34" s="6">
        <f>+Tabla116[[#This Row],[COSTO CON IVA]]/Tabla116[[#This Row],[UTILIDAD]]</f>
        <v>197647.05882352943</v>
      </c>
      <c r="D34" s="6">
        <f>+Tabla116[[#This Row],[PRECIO INSTALLER (CON IVA)]]-Tabla116[[#This Row],[Columna2]]</f>
        <v>187764.70588235295</v>
      </c>
      <c r="E34" s="6">
        <f>+Tabla116[[#This Row],[PRECIO INSTALLER (CON IVA)]]/0.7</f>
        <v>282352.9411764706</v>
      </c>
      <c r="F34" s="5">
        <f>+Tabla116[[#This Row],[PRECIO INSTALLER (CON IVA)]]*5%</f>
        <v>9882.3529411764721</v>
      </c>
      <c r="G34" s="1">
        <v>0.85</v>
      </c>
      <c r="H34" s="4">
        <f>Tabla116[[#This Row],[COSTO]]*1.19</f>
        <v>168000</v>
      </c>
      <c r="K34" s="13">
        <v>141176.4705882353</v>
      </c>
    </row>
    <row r="35" spans="1:11" x14ac:dyDescent="0.25">
      <c r="A35" s="15" t="s">
        <v>1</v>
      </c>
      <c r="B35" s="22" t="s">
        <v>0</v>
      </c>
      <c r="C35" s="6">
        <f>+Tabla116[[#This Row],[COSTO CON IVA]]/Tabla116[[#This Row],[UTILIDAD]]</f>
        <v>16941.176470588234</v>
      </c>
      <c r="D35" s="6">
        <f>+Tabla116[[#This Row],[PRECIO INSTALLER (CON IVA)]]-Tabla116[[#This Row],[Columna2]]</f>
        <v>16094.117647058822</v>
      </c>
      <c r="E35" s="6">
        <f>+Tabla116[[#This Row],[PRECIO INSTALLER (CON IVA)]]/0.7</f>
        <v>24201.680672268907</v>
      </c>
      <c r="F35" s="5">
        <f>+Tabla116[[#This Row],[PRECIO INSTALLER (CON IVA)]]*5%</f>
        <v>847.05882352941171</v>
      </c>
      <c r="G35" s="1">
        <v>0.85</v>
      </c>
      <c r="H35" s="4">
        <f>Tabla116[[#This Row],[COSTO]]*1.19</f>
        <v>14399.999999999998</v>
      </c>
      <c r="K35" s="13">
        <v>12100.840336134454</v>
      </c>
    </row>
    <row r="36" spans="1:11" x14ac:dyDescent="0.25">
      <c r="A36" s="15" t="s">
        <v>3</v>
      </c>
      <c r="B36" s="22" t="s">
        <v>73</v>
      </c>
      <c r="C36" s="6">
        <f>+Tabla116[[#This Row],[COSTO CON IVA]]/Tabla116[[#This Row],[UTILIDAD]]</f>
        <v>15058.823529411766</v>
      </c>
      <c r="D36" s="6">
        <f>+Tabla116[[#This Row],[PRECIO INSTALLER (CON IVA)]]-Tabla116[[#This Row],[Columna2]]</f>
        <v>14305.882352941178</v>
      </c>
      <c r="E36" s="6">
        <f>+Tabla116[[#This Row],[PRECIO INSTALLER (CON IVA)]]/0.7</f>
        <v>21512.60504201681</v>
      </c>
      <c r="F36" s="5">
        <f>+Tabla116[[#This Row],[PRECIO INSTALLER (CON IVA)]]*5%</f>
        <v>752.94117647058829</v>
      </c>
      <c r="G36" s="1">
        <v>0.85</v>
      </c>
      <c r="H36" s="4">
        <f>Tabla116[[#This Row],[COSTO]]*1.19</f>
        <v>12800</v>
      </c>
      <c r="K36" s="13">
        <v>10756.302521008403</v>
      </c>
    </row>
  </sheetData>
  <conditionalFormatting sqref="A37:A1048576">
    <cfRule type="duplicateValues" dxfId="10" priority="4"/>
  </conditionalFormatting>
  <conditionalFormatting sqref="A1:E1">
    <cfRule type="duplicateValues" dxfId="9" priority="3"/>
  </conditionalFormatting>
  <conditionalFormatting sqref="A2:A36">
    <cfRule type="duplicateValues" dxfId="8" priority="1"/>
    <cfRule type="duplicateValues" dxfId="7" priority="2"/>
  </conditionalFormatting>
  <pageMargins left="0.7" right="0.7" top="0.75" bottom="0.75" header="0.3" footer="0.3"/>
  <pageSetup paperSize="9" scale="63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ALARMAS COMUNITARIAS</vt:lpstr>
      <vt:lpstr>'ALARMAS COMUNITARIAS'!Área_de_impresión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Jenifer Loaiza</dc:creator>
  <cp:lastModifiedBy>Jenifer Loaiza</cp:lastModifiedBy>
  <dcterms:created xsi:type="dcterms:W3CDTF">2026-05-13T16:40:27Z</dcterms:created>
  <dcterms:modified xsi:type="dcterms:W3CDTF">2026-09-25T16:23:00Z</dcterms:modified>
</cp:coreProperties>
</file>