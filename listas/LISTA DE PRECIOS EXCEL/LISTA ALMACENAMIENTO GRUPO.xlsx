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05AC0417-D289-4C85-B32A-6100972A1B92}" xr6:coauthVersionLast="47" xr6:coauthVersionMax="47" xr10:uidLastSave="{00000000-0000-0000-0000-000000000000}"/>
  <bookViews>
    <workbookView xWindow="23880" yWindow="-120" windowWidth="21840" windowHeight="13140" xr2:uid="{AD87EAEB-5694-4A7C-BDFF-6D6DD8548487}"/>
  </bookViews>
  <sheets>
    <sheet name="ALMACENAMIENT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Tabla115[[#All],[REFERENCIA]:[PRECIO CLIENTE FINAL (CON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C17" i="1" s="1"/>
  <c r="H15" i="1"/>
  <c r="C15" i="1" s="1"/>
  <c r="H16" i="1"/>
  <c r="C16" i="1" s="1"/>
  <c r="H11" i="1"/>
  <c r="C11" i="1" s="1"/>
  <c r="F17" i="1" l="1"/>
  <c r="E17" i="1"/>
  <c r="D17" i="1"/>
  <c r="F15" i="1"/>
  <c r="E15" i="1"/>
  <c r="D15" i="1"/>
  <c r="F16" i="1"/>
  <c r="D16" i="1" s="1"/>
  <c r="E16" i="1"/>
  <c r="E11" i="1"/>
  <c r="F11" i="1"/>
  <c r="D11" i="1" s="1"/>
  <c r="H2" i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2" i="1"/>
  <c r="C12" i="1" s="1"/>
  <c r="H13" i="1"/>
  <c r="C13" i="1" s="1"/>
  <c r="H14" i="1"/>
  <c r="C14" i="1" s="1"/>
  <c r="H18" i="1"/>
  <c r="C18" i="1" s="1"/>
  <c r="H19" i="1"/>
  <c r="C19" i="1" s="1"/>
  <c r="H20" i="1"/>
  <c r="C20" i="1" s="1"/>
  <c r="E20" i="1" l="1"/>
  <c r="F20" i="1"/>
  <c r="D20" i="1" s="1"/>
  <c r="E13" i="1"/>
  <c r="F13" i="1"/>
  <c r="D13" i="1" s="1"/>
  <c r="E8" i="1"/>
  <c r="F8" i="1"/>
  <c r="D8" i="1" s="1"/>
  <c r="E4" i="1"/>
  <c r="F4" i="1"/>
  <c r="D4" i="1" s="1"/>
  <c r="E19" i="1"/>
  <c r="F19" i="1"/>
  <c r="D19" i="1" s="1"/>
  <c r="E12" i="1"/>
  <c r="F12" i="1"/>
  <c r="D12" i="1" s="1"/>
  <c r="E10" i="1"/>
  <c r="F10" i="1"/>
  <c r="D10" i="1" s="1"/>
  <c r="E7" i="1"/>
  <c r="F7" i="1"/>
  <c r="D7" i="1" s="1"/>
  <c r="E3" i="1"/>
  <c r="F3" i="1"/>
  <c r="D3" i="1" s="1"/>
  <c r="F18" i="1"/>
  <c r="D18" i="1" s="1"/>
  <c r="E18" i="1"/>
  <c r="F6" i="1"/>
  <c r="D6" i="1" s="1"/>
  <c r="E6" i="1"/>
  <c r="F2" i="1"/>
  <c r="D2" i="1" s="1"/>
  <c r="E2" i="1"/>
  <c r="E14" i="1"/>
  <c r="F14" i="1"/>
  <c r="D14" i="1" s="1"/>
  <c r="E9" i="1"/>
  <c r="F9" i="1"/>
  <c r="D9" i="1" s="1"/>
  <c r="E5" i="1"/>
  <c r="F5" i="1"/>
  <c r="D5" i="1" s="1"/>
</calcChain>
</file>

<file path=xl/sharedStrings.xml><?xml version="1.0" encoding="utf-8"?>
<sst xmlns="http://schemas.openxmlformats.org/spreadsheetml/2006/main" count="49" uniqueCount="49">
  <si>
    <t>Unidad Estado Solido ADATA SU650 512GB</t>
  </si>
  <si>
    <t>ASU650SS-512GT-R</t>
  </si>
  <si>
    <t>Unidad de estado sólido ADATA SU650 SATA 256GB</t>
  </si>
  <si>
    <t>ASU650SS-256GT-R</t>
  </si>
  <si>
    <t>ADATA SSD SATA MODELO SU650 1TB</t>
  </si>
  <si>
    <t>ASU650SS-1TT-R</t>
  </si>
  <si>
    <t>Memoria Micro SD Canvas Select Plus 256 Gb Clase 10</t>
  </si>
  <si>
    <t>SDCS3/256GB</t>
  </si>
  <si>
    <t>Memoria Micro SD Canvas Select Plus 128 Gb Clase 10</t>
  </si>
  <si>
    <t>SDCS3/128GB</t>
  </si>
  <si>
    <t>Memoria Micro SD Canvas Select Plus 64 Gb Clase 10</t>
  </si>
  <si>
    <t>SDCS3/64GB</t>
  </si>
  <si>
    <t>MICROSD WD PURPLE CLASE 10 256GB PARA VIDEOVIGILANCIA</t>
  </si>
  <si>
    <t>WDD256G1P0C</t>
  </si>
  <si>
    <t>MEMORIA MICRO SD UHS-I PURPLE WD de 128 GB</t>
  </si>
  <si>
    <t>WDD128G1P0C</t>
  </si>
  <si>
    <t>MEMORIA MICRO SD UHS-I PURPLE WD de 64 GB</t>
  </si>
  <si>
    <t>WDD064G1P0C</t>
  </si>
  <si>
    <t>DISCO DURO 12TB 3.5 7200RPM SATA WD 6GB/S 256MB CACHE</t>
  </si>
  <si>
    <t>DISCO DURO 10TB 3.5 7200RPM SATA WD 6GB/S 256MB CACHE</t>
  </si>
  <si>
    <t>DISCO DURO 8TB 3.5 7200RPM SATA WD 6GB/S 256MB CACHE</t>
  </si>
  <si>
    <t>WD85PURZ</t>
  </si>
  <si>
    <t>DISCO DURO 6TB INTELLIPOWER 3.5 SATA WD CACHE 128 5640 RPM</t>
  </si>
  <si>
    <t>WD64PURZ</t>
  </si>
  <si>
    <t>DISCO DURO 4TB Intellipower 3.5 SATA WD</t>
  </si>
  <si>
    <t>WD43PURZ</t>
  </si>
  <si>
    <t>DISCO DURO 2TB/ Intellipower 3.5" SATA WD</t>
  </si>
  <si>
    <t>WD23PURZ</t>
  </si>
  <si>
    <t>Columna9</t>
  </si>
  <si>
    <t>Columna8</t>
  </si>
  <si>
    <t>Columna7</t>
  </si>
  <si>
    <t>Columna6</t>
  </si>
  <si>
    <t>Columna5</t>
  </si>
  <si>
    <t>Columna43</t>
  </si>
  <si>
    <t>PRECIO CLIENTE FINAL (CON IVA)</t>
  </si>
  <si>
    <t>PRECIO TIENDA (CON IVA)</t>
  </si>
  <si>
    <t>PRECIO INSTALLER (CON IVA)</t>
  </si>
  <si>
    <t>DESCRIPCION</t>
  </si>
  <si>
    <t>REFERENCIA</t>
  </si>
  <si>
    <t>MICROSD WD PURPLE CLASE 10 512GB PARA VIDEOVIGILANCIA</t>
  </si>
  <si>
    <t>WDD512G1P0C</t>
  </si>
  <si>
    <t xml:space="preserve">	ST2-128-S1</t>
  </si>
  <si>
    <t>ST2-64-S1</t>
  </si>
  <si>
    <t>MICROSD IMOU CLASE 10 64GB PARA VIDEOVIGILANCIA</t>
  </si>
  <si>
    <t>MICROSD IMOU CLASE 10 128GB PARA VIDEOVIGILANCIA</t>
  </si>
  <si>
    <t>ST2-256-S1</t>
  </si>
  <si>
    <t>MICROSD IMOU CLASE 10 256GB PARA VIDEOVIGILANCIA</t>
  </si>
  <si>
    <t>WD102PURP</t>
  </si>
  <si>
    <t>WD122PURP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</si>
</sst>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33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2"/>
    <xf numFmtId="164" fontId="2" fillId="0" borderId="0" xfId="2" applyNumberFormat="1"/>
    <xf numFmtId="9" fontId="2" fillId="0" borderId="0" xfId="2" applyNumberFormat="1"/>
    <xf numFmtId="164" fontId="2" fillId="0" borderId="0" xfId="2" applyNumberFormat="1" applyAlignment="1">
      <alignment vertical="center"/>
    </xf>
    <xf numFmtId="0" fontId="2" fillId="0" borderId="0" xfId="2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0" fontId="2" fillId="0" borderId="1" xfId="2" applyBorder="1" applyAlignment="1">
      <alignment vertical="center" wrapText="1"/>
    </xf>
    <xf numFmtId="0" fontId="0" fillId="0" borderId="1" xfId="0" applyBorder="1"/>
    <xf numFmtId="6" fontId="2" fillId="0" borderId="0" xfId="2" applyNumberFormat="1"/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2" fillId="0" borderId="0" xfId="2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7B396D50-EC40-45D8-929E-7FA6D6C8742E}"/>
  </cellStyles>
  <dxfs count="14">
    <dxf>
      <font>
        <color rgb="FF9C0006"/>
      </font>
      <fill>
        <patternFill>
          <bgColor rgb="FFFFC7CE"/>
        </patternFill>
      </fill>
    </dxf>
    <dxf>
      <numFmt numFmtId="164" formatCode="&quot;$&quot;\ 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74850"/>
        <name val="Segoe U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74850"/>
        <name val="Segoe U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480AE-73DC-4D20-B6F9-F767F2D0411A}" name="Tabla115" displayName="Tabla115" ref="A1:K20" totalsRowShown="0" headerRowDxfId="13" dataDxfId="12" headerRowCellStyle="Normal 2" dataCellStyle="Normal 2">
  <autoFilter ref="A1:K20" xr:uid="{00000000-0009-0000-0100-000001000000}"/>
  <tableColumns count="11">
    <tableColumn id="3" xr3:uid="{CEE577AB-EDEA-42D1-A2AA-458EFE034ABD}" name="REFERENCIA" dataDxfId="11"/>
    <tableColumn id="4" xr3:uid="{BD513616-6C2D-49D1-BF9E-7069FFD9CC3D}" name="DESCRIPCION" dataDxfId="10"/>
    <tableColumn id="2" xr3:uid="{EFBEEC1B-117F-4DAF-A772-AA06D04A6542}" name="PRECIO INSTALLER (CON IVA)" dataDxfId="9" dataCellStyle="Moneda">
      <calculatedColumnFormula>+Tabla115[[#This Row],[Columna6]]/Tabla115[[#This Row],[Columna5]]</calculatedColumnFormula>
    </tableColumn>
    <tableColumn id="11" xr3:uid="{40A05AB9-9DAE-46C3-8BF3-2E96B272152A}" name="PRECIO TIENDA (CON IVA)" dataDxfId="8" dataCellStyle="Moneda">
      <calculatedColumnFormula>+Tabla115[[#This Row],[PRECIO INSTALLER (CON IVA)]]-Tabla115[[#This Row],[Columna43]]</calculatedColumnFormula>
    </tableColumn>
    <tableColumn id="12" xr3:uid="{FCF4397B-1C3A-4697-ACA0-D10A146B819A}" name="PRECIO CLIENTE FINAL (CON IVA)" dataDxfId="7" dataCellStyle="Moneda">
      <calculatedColumnFormula>+Tabla115[[#This Row],[PRECIO INSTALLER (CON IVA)]]/0.7</calculatedColumnFormula>
    </tableColumn>
    <tableColumn id="10" xr3:uid="{61E4A66C-B19B-4B35-9114-A00BFF624A4E}" name="Columna43" dataDxfId="6" dataCellStyle="Moneda">
      <calculatedColumnFormula>+Tabla115[[#This Row],[PRECIO INSTALLER (CON IVA)]]*5%</calculatedColumnFormula>
    </tableColumn>
    <tableColumn id="5" xr3:uid="{633AE264-85A2-4C78-9276-C51980182482}" name="Columna5" dataDxfId="5" dataCellStyle="Normal 2"/>
    <tableColumn id="6" xr3:uid="{FE4FC6BF-4971-4741-AC30-996FB3EE8E79}" name="Columna6" dataDxfId="4" dataCellStyle="Normal 2">
      <calculatedColumnFormula>Tabla115[[#This Row],[Columna9]]*1.19</calculatedColumnFormula>
    </tableColumn>
    <tableColumn id="7" xr3:uid="{65D15535-1AAB-473E-9A37-DCD30626FC4D}" name="Columna7" dataDxfId="3" dataCellStyle="Normal 2"/>
    <tableColumn id="8" xr3:uid="{D3E8AE9B-19D4-42FE-B59A-A536065FAE95}" name="Columna8" dataDxfId="2" dataCellStyle="Normal 2"/>
    <tableColumn id="9" xr3:uid="{B1E1D81F-6626-4369-937B-C160811DE170}" name="Columna9" dataDxfId="1" dataCellStyle="Normal 2">
      <calculatedColumnFormula>+Q1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3166-9E17-4DB4-B752-6B9A52C36D74}">
  <sheetPr>
    <pageSetUpPr fitToPage="1"/>
  </sheetPr>
  <dimension ref="A1:P21"/>
  <sheetViews>
    <sheetView tabSelected="1" view="pageBreakPreview" zoomScale="60" zoomScaleNormal="100" workbookViewId="0">
      <pane ySplit="1" topLeftCell="A2" activePane="bottomLeft" state="frozen"/>
      <selection pane="bottomLeft" activeCell="K5" sqref="K5"/>
    </sheetView>
  </sheetViews>
  <sheetFormatPr baseColWidth="10" defaultRowHeight="12.75" x14ac:dyDescent="0.2"/>
  <cols>
    <col min="1" max="1" width="21.7109375" style="1" customWidth="1"/>
    <col min="2" max="2" width="56.28515625" style="1" customWidth="1"/>
    <col min="3" max="3" width="22.140625" style="1" customWidth="1"/>
    <col min="4" max="4" width="19.85546875" style="1" hidden="1" customWidth="1"/>
    <col min="5" max="5" width="19.85546875" style="1" customWidth="1"/>
    <col min="6" max="6" width="6.85546875" style="1" customWidth="1"/>
    <col min="7" max="7" width="5.85546875" style="1" customWidth="1"/>
    <col min="8" max="8" width="11.140625" style="1" customWidth="1"/>
    <col min="9" max="10" width="1.7109375" style="1" customWidth="1"/>
    <col min="11" max="11" width="12.140625" style="2" customWidth="1"/>
    <col min="12" max="13" width="9.140625" style="1" customWidth="1"/>
    <col min="14" max="14" width="11.42578125" style="1" customWidth="1"/>
    <col min="15" max="259" width="9.140625" style="1" customWidth="1"/>
    <col min="260" max="16384" width="11.42578125" style="1"/>
  </cols>
  <sheetData>
    <row r="1" spans="1:16" s="11" customFormat="1" ht="54" customHeight="1" x14ac:dyDescent="0.25">
      <c r="A1" s="14" t="s">
        <v>38</v>
      </c>
      <c r="B1" s="14" t="s">
        <v>37</v>
      </c>
      <c r="C1" s="14" t="s">
        <v>36</v>
      </c>
      <c r="D1" s="14" t="s">
        <v>35</v>
      </c>
      <c r="E1" s="14" t="s">
        <v>34</v>
      </c>
      <c r="F1" s="13" t="s">
        <v>33</v>
      </c>
      <c r="G1" s="13" t="s">
        <v>32</v>
      </c>
      <c r="H1" s="13" t="s">
        <v>31</v>
      </c>
      <c r="I1" s="13" t="s">
        <v>30</v>
      </c>
      <c r="J1" s="13" t="s">
        <v>29</v>
      </c>
      <c r="K1" s="12" t="s">
        <v>28</v>
      </c>
    </row>
    <row r="2" spans="1:16" ht="35.1" customHeight="1" x14ac:dyDescent="0.25">
      <c r="A2" s="9" t="s">
        <v>27</v>
      </c>
      <c r="B2" s="8" t="s">
        <v>26</v>
      </c>
      <c r="C2" s="7">
        <f>+Tabla115[[#This Row],[Columna6]]/Tabla115[[#This Row],[Columna5]]</f>
        <v>689515.75</v>
      </c>
      <c r="D2" s="7">
        <f>+Tabla115[[#This Row],[PRECIO INSTALLER (CON IVA)]]-Tabla115[[#This Row],[Columna43]]</f>
        <v>655039.96250000002</v>
      </c>
      <c r="E2" s="7">
        <f>+Tabla115[[#This Row],[PRECIO INSTALLER (CON IVA)]]/0.7</f>
        <v>985022.50000000012</v>
      </c>
      <c r="F2" s="6">
        <f>+Tabla115[[#This Row],[PRECIO INSTALLER (CON IVA)]]*5%</f>
        <v>34475.787499999999</v>
      </c>
      <c r="G2" s="5">
        <v>0.92</v>
      </c>
      <c r="H2" s="6">
        <f>Tabla115[[#This Row],[Columna9]]*1.19</f>
        <v>634354.49</v>
      </c>
      <c r="I2" s="5"/>
      <c r="J2" s="5"/>
      <c r="K2" s="4">
        <v>533071</v>
      </c>
    </row>
    <row r="3" spans="1:16" ht="35.1" customHeight="1" x14ac:dyDescent="0.25">
      <c r="A3" s="9" t="s">
        <v>25</v>
      </c>
      <c r="B3" s="8" t="s">
        <v>24</v>
      </c>
      <c r="C3" s="7">
        <f>+Tabla115[[#This Row],[Columna6]]/Tabla115[[#This Row],[Columna5]]</f>
        <v>828176.61956521729</v>
      </c>
      <c r="D3" s="7">
        <f>+Tabla115[[#This Row],[PRECIO INSTALLER (CON IVA)]]-Tabla115[[#This Row],[Columna43]]</f>
        <v>786767.78858695645</v>
      </c>
      <c r="E3" s="7">
        <f>+Tabla115[[#This Row],[PRECIO INSTALLER (CON IVA)]]/0.7</f>
        <v>1183109.456521739</v>
      </c>
      <c r="F3" s="6">
        <f>+Tabla115[[#This Row],[PRECIO INSTALLER (CON IVA)]]*5%</f>
        <v>41408.83097826087</v>
      </c>
      <c r="G3" s="5">
        <v>0.92</v>
      </c>
      <c r="H3" s="6">
        <f>Tabla115[[#This Row],[Columna9]]*1.19</f>
        <v>761922.49</v>
      </c>
      <c r="I3" s="5"/>
      <c r="J3" s="5"/>
      <c r="K3" s="4">
        <v>640271</v>
      </c>
    </row>
    <row r="4" spans="1:16" ht="35.1" customHeight="1" x14ac:dyDescent="0.25">
      <c r="A4" s="9" t="s">
        <v>23</v>
      </c>
      <c r="B4" s="8" t="s">
        <v>22</v>
      </c>
      <c r="C4" s="7">
        <f>+Tabla115[[#This Row],[Columna6]]/Tabla115[[#This Row],[Columna5]]</f>
        <v>1222906.0869565215</v>
      </c>
      <c r="D4" s="7">
        <f>+Tabla115[[#This Row],[PRECIO INSTALLER (CON IVA)]]-Tabla115[[#This Row],[Columna43]]</f>
        <v>1161760.7826086953</v>
      </c>
      <c r="E4" s="7">
        <f>+Tabla115[[#This Row],[PRECIO INSTALLER (CON IVA)]]/0.7</f>
        <v>1747008.6956521736</v>
      </c>
      <c r="F4" s="6">
        <f>+Tabla115[[#This Row],[PRECIO INSTALLER (CON IVA)]]*5%</f>
        <v>61145.304347826081</v>
      </c>
      <c r="G4" s="5">
        <v>0.92</v>
      </c>
      <c r="H4" s="6">
        <f>Tabla115[[#This Row],[Columna9]]*1.19</f>
        <v>1125073.5999999999</v>
      </c>
      <c r="I4" s="5"/>
      <c r="J4" s="5"/>
      <c r="K4" s="4">
        <v>945440</v>
      </c>
    </row>
    <row r="5" spans="1:16" ht="35.1" customHeight="1" x14ac:dyDescent="0.25">
      <c r="A5" s="9" t="s">
        <v>21</v>
      </c>
      <c r="B5" s="8" t="s">
        <v>20</v>
      </c>
      <c r="C5" s="7">
        <f>+Tabla115[[#This Row],[Columna6]]/Tabla115[[#This Row],[Columna5]]</f>
        <v>1638388.1195652171</v>
      </c>
      <c r="D5" s="7">
        <f>+Tabla115[[#This Row],[PRECIO INSTALLER (CON IVA)]]-Tabla115[[#This Row],[Columna43]]</f>
        <v>1556468.7135869563</v>
      </c>
      <c r="E5" s="7">
        <f>+Tabla115[[#This Row],[PRECIO INSTALLER (CON IVA)]]/0.7</f>
        <v>2340554.4565217388</v>
      </c>
      <c r="F5" s="6">
        <f>+Tabla115[[#This Row],[PRECIO INSTALLER (CON IVA)]]*5%</f>
        <v>81919.405978260853</v>
      </c>
      <c r="G5" s="5">
        <v>0.92</v>
      </c>
      <c r="H5" s="6">
        <f>Tabla115[[#This Row],[Columna9]]*1.19</f>
        <v>1507317.0699999998</v>
      </c>
      <c r="I5" s="5"/>
      <c r="J5" s="5"/>
      <c r="K5" s="4">
        <v>1266653</v>
      </c>
    </row>
    <row r="6" spans="1:16" ht="35.1" customHeight="1" x14ac:dyDescent="0.25">
      <c r="A6" s="9" t="s">
        <v>47</v>
      </c>
      <c r="B6" s="8" t="s">
        <v>19</v>
      </c>
      <c r="C6" s="7">
        <f>+Tabla115[[#This Row],[Columna6]]/Tabla115[[#This Row],[Columna5]]</f>
        <v>2149952.3043478257</v>
      </c>
      <c r="D6" s="7">
        <f>+Tabla115[[#This Row],[PRECIO INSTALLER (CON IVA)]]-Tabla115[[#This Row],[Columna43]]</f>
        <v>2042454.6891304343</v>
      </c>
      <c r="E6" s="7">
        <f>+Tabla115[[#This Row],[PRECIO INSTALLER (CON IVA)]]/0.7</f>
        <v>3071360.4347826084</v>
      </c>
      <c r="F6" s="6">
        <f>+Tabla115[[#This Row],[PRECIO INSTALLER (CON IVA)]]*5%</f>
        <v>107497.61521739129</v>
      </c>
      <c r="G6" s="5">
        <v>0.92</v>
      </c>
      <c r="H6" s="6">
        <f>Tabla115[[#This Row],[Columna9]]*1.19</f>
        <v>1977956.1199999999</v>
      </c>
      <c r="I6" s="5"/>
      <c r="J6" s="5"/>
      <c r="K6" s="4">
        <v>1662148</v>
      </c>
      <c r="N6" s="4"/>
    </row>
    <row r="7" spans="1:16" ht="35.1" customHeight="1" x14ac:dyDescent="0.25">
      <c r="A7" s="9" t="s">
        <v>48</v>
      </c>
      <c r="B7" s="8" t="s">
        <v>18</v>
      </c>
      <c r="C7" s="7">
        <f>+Tabla115[[#This Row],[Columna6]]/Tabla115[[#This Row],[Columna5]]</f>
        <v>2469760.923913043</v>
      </c>
      <c r="D7" s="7">
        <f>+Tabla115[[#This Row],[PRECIO INSTALLER (CON IVA)]]-Tabla115[[#This Row],[Columna43]]</f>
        <v>2346272.8777173907</v>
      </c>
      <c r="E7" s="7">
        <f>+Tabla115[[#This Row],[PRECIO INSTALLER (CON IVA)]]/0.7</f>
        <v>3528229.8913043472</v>
      </c>
      <c r="F7" s="6">
        <f>+Tabla115[[#This Row],[PRECIO INSTALLER (CON IVA)]]*5%</f>
        <v>123488.04619565216</v>
      </c>
      <c r="G7" s="5">
        <v>0.92</v>
      </c>
      <c r="H7" s="6">
        <f>Tabla115[[#This Row],[Columna9]]*1.19</f>
        <v>2272180.0499999998</v>
      </c>
      <c r="I7" s="5"/>
      <c r="J7" s="5"/>
      <c r="K7" s="4">
        <v>1909395</v>
      </c>
      <c r="N7" s="4"/>
    </row>
    <row r="8" spans="1:16" ht="15" x14ac:dyDescent="0.25">
      <c r="A8" s="9" t="s">
        <v>17</v>
      </c>
      <c r="B8" s="8" t="s">
        <v>16</v>
      </c>
      <c r="C8" s="7">
        <f>+Tabla115[[#This Row],[Columna6]]/Tabla115[[#This Row],[Columna5]]</f>
        <v>147077.6021505376</v>
      </c>
      <c r="D8" s="7">
        <f>+Tabla115[[#This Row],[PRECIO INSTALLER (CON IVA)]]-Tabla115[[#This Row],[Columna43]]</f>
        <v>139723.72204301073</v>
      </c>
      <c r="E8" s="7">
        <f>+Tabla115[[#This Row],[PRECIO INSTALLER (CON IVA)]]/0.7</f>
        <v>210110.86021505372</v>
      </c>
      <c r="F8" s="6">
        <f>+Tabla115[[#This Row],[PRECIO INSTALLER (CON IVA)]]*5%</f>
        <v>7353.8801075268802</v>
      </c>
      <c r="G8" s="5">
        <v>0.93</v>
      </c>
      <c r="H8" s="6">
        <f>Tabla115[[#This Row],[Columna9]]*1.19</f>
        <v>136782.16999999998</v>
      </c>
      <c r="I8" s="5"/>
      <c r="J8" s="5"/>
      <c r="K8" s="4">
        <v>114943</v>
      </c>
    </row>
    <row r="9" spans="1:16" ht="15" x14ac:dyDescent="0.25">
      <c r="A9" s="9" t="s">
        <v>15</v>
      </c>
      <c r="B9" s="8" t="s">
        <v>14</v>
      </c>
      <c r="C9" s="7">
        <f>+Tabla115[[#This Row],[Columna6]]/Tabla115[[#This Row],[Columna5]]</f>
        <v>192846.63999999998</v>
      </c>
      <c r="D9" s="7">
        <f>+Tabla115[[#This Row],[PRECIO INSTALLER (CON IVA)]]-Tabla115[[#This Row],[Columna43]]</f>
        <v>183204.30799999999</v>
      </c>
      <c r="E9" s="7">
        <f>+Tabla115[[#This Row],[PRECIO INSTALLER (CON IVA)]]/0.7</f>
        <v>275495.2</v>
      </c>
      <c r="F9" s="6">
        <f>+Tabla115[[#This Row],[PRECIO INSTALLER (CON IVA)]]*5%</f>
        <v>9642.3320000000003</v>
      </c>
      <c r="G9" s="5">
        <v>1</v>
      </c>
      <c r="H9" s="6">
        <f>Tabla115[[#This Row],[Columna9]]*1.19</f>
        <v>192846.63999999998</v>
      </c>
      <c r="I9" s="5"/>
      <c r="J9" s="5"/>
      <c r="K9" s="4">
        <v>162056</v>
      </c>
    </row>
    <row r="10" spans="1:16" ht="25.5" x14ac:dyDescent="0.25">
      <c r="A10" s="9" t="s">
        <v>13</v>
      </c>
      <c r="B10" s="8" t="s">
        <v>12</v>
      </c>
      <c r="C10" s="7">
        <f>+Tabla115[[#This Row],[Columna6]]/Tabla115[[#This Row],[Columna5]]</f>
        <v>262699.64</v>
      </c>
      <c r="D10" s="7">
        <f>+Tabla115[[#This Row],[PRECIO INSTALLER (CON IVA)]]-Tabla115[[#This Row],[Columna43]]</f>
        <v>249564.65800000002</v>
      </c>
      <c r="E10" s="7">
        <f>+Tabla115[[#This Row],[PRECIO INSTALLER (CON IVA)]]/0.7</f>
        <v>375285.20000000007</v>
      </c>
      <c r="F10" s="6">
        <f>+Tabla115[[#This Row],[PRECIO INSTALLER (CON IVA)]]*5%</f>
        <v>13134.982000000002</v>
      </c>
      <c r="G10" s="5">
        <v>1</v>
      </c>
      <c r="H10" s="6">
        <f>Tabla115[[#This Row],[Columna9]]*1.19</f>
        <v>262699.64</v>
      </c>
      <c r="I10" s="5"/>
      <c r="J10" s="5"/>
      <c r="K10" s="4">
        <v>220756</v>
      </c>
    </row>
    <row r="11" spans="1:16" ht="25.5" x14ac:dyDescent="0.25">
      <c r="A11" s="9" t="s">
        <v>40</v>
      </c>
      <c r="B11" s="8" t="s">
        <v>39</v>
      </c>
      <c r="C11" s="7">
        <f>+Tabla115[[#This Row],[Columna6]]/Tabla115[[#This Row],[Columna5]]</f>
        <v>361415.79569892469</v>
      </c>
      <c r="D11" s="7">
        <f>+Tabla115[[#This Row],[PRECIO INSTALLER (CON IVA)]]-Tabla115[[#This Row],[Columna43]]</f>
        <v>343345.00591397844</v>
      </c>
      <c r="E11" s="7">
        <f>+Tabla115[[#This Row],[PRECIO INSTALLER (CON IVA)]]/0.7</f>
        <v>516308.27956989245</v>
      </c>
      <c r="F11" s="6">
        <f>+Tabla115[[#This Row],[PRECIO INSTALLER (CON IVA)]]*5%</f>
        <v>18070.789784946235</v>
      </c>
      <c r="G11" s="5">
        <v>0.93</v>
      </c>
      <c r="H11" s="6">
        <f>Tabla115[[#This Row],[Columna9]]*1.19</f>
        <v>336116.69</v>
      </c>
      <c r="I11" s="5"/>
      <c r="J11" s="5"/>
      <c r="K11" s="4">
        <v>282451</v>
      </c>
    </row>
    <row r="12" spans="1:16" ht="15" x14ac:dyDescent="0.25">
      <c r="A12" s="9" t="s">
        <v>11</v>
      </c>
      <c r="B12" s="8" t="s">
        <v>10</v>
      </c>
      <c r="C12" s="7">
        <f>+Tabla115[[#This Row],[Columna6]]/Tabla115[[#This Row],[Columna5]]</f>
        <v>82006.521739130432</v>
      </c>
      <c r="D12" s="7">
        <f>+Tabla115[[#This Row],[PRECIO INSTALLER (CON IVA)]]-Tabla115[[#This Row],[Columna43]]</f>
        <v>77906.195652173905</v>
      </c>
      <c r="E12" s="7">
        <f>+Tabla115[[#This Row],[PRECIO INSTALLER (CON IVA)]]/0.7</f>
        <v>117152.17391304349</v>
      </c>
      <c r="F12" s="6">
        <f>+Tabla115[[#This Row],[PRECIO INSTALLER (CON IVA)]]*5%</f>
        <v>4100.326086956522</v>
      </c>
      <c r="G12" s="5">
        <v>0.92</v>
      </c>
      <c r="H12" s="6">
        <f>Tabla115[[#This Row],[Columna9]]*1.19</f>
        <v>75446</v>
      </c>
      <c r="I12" s="5"/>
      <c r="J12" s="5"/>
      <c r="K12" s="4">
        <v>63400</v>
      </c>
      <c r="N12" s="10"/>
      <c r="P12" s="10"/>
    </row>
    <row r="13" spans="1:16" ht="15" x14ac:dyDescent="0.25">
      <c r="A13" s="9" t="s">
        <v>9</v>
      </c>
      <c r="B13" s="8" t="s">
        <v>8</v>
      </c>
      <c r="C13" s="7">
        <f>+Tabla115[[#This Row],[Columna6]]/Tabla115[[#This Row],[Columna5]]</f>
        <v>107590</v>
      </c>
      <c r="D13" s="7">
        <f>+Tabla115[[#This Row],[PRECIO INSTALLER (CON IVA)]]-Tabla115[[#This Row],[Columna43]]</f>
        <v>102210.5</v>
      </c>
      <c r="E13" s="7">
        <f>+Tabla115[[#This Row],[PRECIO INSTALLER (CON IVA)]]/0.7</f>
        <v>153700</v>
      </c>
      <c r="F13" s="6">
        <f>+Tabla115[[#This Row],[PRECIO INSTALLER (CON IVA)]]*5%</f>
        <v>5379.5</v>
      </c>
      <c r="G13" s="5">
        <v>0.85</v>
      </c>
      <c r="H13" s="6">
        <f>Tabla115[[#This Row],[Columna9]]*1.19</f>
        <v>91451.5</v>
      </c>
      <c r="I13" s="5"/>
      <c r="J13" s="5"/>
      <c r="K13" s="4">
        <v>76850</v>
      </c>
      <c r="N13" s="10"/>
      <c r="P13" s="10"/>
    </row>
    <row r="14" spans="1:16" ht="15" x14ac:dyDescent="0.25">
      <c r="A14" s="9" t="s">
        <v>7</v>
      </c>
      <c r="B14" s="8" t="s">
        <v>6</v>
      </c>
      <c r="C14" s="7">
        <f>+Tabla115[[#This Row],[Columna6]]/Tabla115[[#This Row],[Columna5]]</f>
        <v>266705.59999999998</v>
      </c>
      <c r="D14" s="7">
        <f>+Tabla115[[#This Row],[PRECIO INSTALLER (CON IVA)]]-Tabla115[[#This Row],[Columna43]]</f>
        <v>253370.31999999998</v>
      </c>
      <c r="E14" s="7">
        <f>+Tabla115[[#This Row],[PRECIO INSTALLER (CON IVA)]]/0.7</f>
        <v>381008</v>
      </c>
      <c r="F14" s="6">
        <f>+Tabla115[[#This Row],[PRECIO INSTALLER (CON IVA)]]*5%</f>
        <v>13335.279999999999</v>
      </c>
      <c r="G14" s="5">
        <v>0.85</v>
      </c>
      <c r="H14" s="6">
        <f>Tabla115[[#This Row],[Columna9]]*1.19</f>
        <v>226699.75999999998</v>
      </c>
      <c r="I14" s="5"/>
      <c r="J14" s="5"/>
      <c r="K14" s="4">
        <v>190504</v>
      </c>
    </row>
    <row r="15" spans="1:16" ht="15" x14ac:dyDescent="0.25">
      <c r="A15" s="9" t="s">
        <v>42</v>
      </c>
      <c r="B15" s="8" t="s">
        <v>43</v>
      </c>
      <c r="C15" s="7">
        <f>+Tabla115[[#This Row],[Columna6]]/Tabla115[[#This Row],[Columna5]]</f>
        <v>82006.521739130432</v>
      </c>
      <c r="D15" s="7">
        <f>+Tabla115[[#This Row],[PRECIO INSTALLER (CON IVA)]]-Tabla115[[#This Row],[Columna43]]</f>
        <v>77906.195652173905</v>
      </c>
      <c r="E15" s="7">
        <f>+Tabla115[[#This Row],[PRECIO INSTALLER (CON IVA)]]/0.7</f>
        <v>117152.17391304349</v>
      </c>
      <c r="F15" s="6">
        <f>+Tabla115[[#This Row],[PRECIO INSTALLER (CON IVA)]]*5%</f>
        <v>4100.326086956522</v>
      </c>
      <c r="G15" s="5">
        <v>0.92</v>
      </c>
      <c r="H15" s="6">
        <f>Tabla115[[#This Row],[Columna9]]*1.19</f>
        <v>75446</v>
      </c>
      <c r="I15" s="5"/>
      <c r="J15" s="5"/>
      <c r="K15" s="4">
        <v>63400</v>
      </c>
    </row>
    <row r="16" spans="1:16" ht="15" x14ac:dyDescent="0.25">
      <c r="A16" s="9" t="s">
        <v>41</v>
      </c>
      <c r="B16" s="8" t="s">
        <v>44</v>
      </c>
      <c r="C16" s="7">
        <f>+Tabla115[[#This Row],[Columna6]]/Tabla115[[#This Row],[Columna5]]</f>
        <v>103347.61956521738</v>
      </c>
      <c r="D16" s="7">
        <f>+Tabla115[[#This Row],[PRECIO INSTALLER (CON IVA)]]-Tabla115[[#This Row],[Columna43]]</f>
        <v>98180.238586956504</v>
      </c>
      <c r="E16" s="7">
        <f>+Tabla115[[#This Row],[PRECIO INSTALLER (CON IVA)]]/0.7</f>
        <v>147639.45652173911</v>
      </c>
      <c r="F16" s="6">
        <f>+Tabla115[[#This Row],[PRECIO INSTALLER (CON IVA)]]*5%</f>
        <v>5167.3809782608696</v>
      </c>
      <c r="G16" s="5">
        <v>0.92</v>
      </c>
      <c r="H16" s="6">
        <f>Tabla115[[#This Row],[Columna9]]*1.19</f>
        <v>95079.81</v>
      </c>
      <c r="I16" s="5"/>
      <c r="J16" s="5"/>
      <c r="K16" s="4">
        <v>79899</v>
      </c>
    </row>
    <row r="17" spans="1:15" ht="15" x14ac:dyDescent="0.25">
      <c r="A17" s="9" t="s">
        <v>45</v>
      </c>
      <c r="B17" s="8" t="s">
        <v>46</v>
      </c>
      <c r="C17" s="7">
        <f>+Tabla115[[#This Row],[Columna6]]/Tabla115[[#This Row],[Columna5]]</f>
        <v>404595.8</v>
      </c>
      <c r="D17" s="7">
        <f>+Tabla115[[#This Row],[PRECIO INSTALLER (CON IVA)]]-Tabla115[[#This Row],[Columna43]]</f>
        <v>384366.01</v>
      </c>
      <c r="E17" s="7">
        <f>+Tabla115[[#This Row],[PRECIO INSTALLER (CON IVA)]]/0.7</f>
        <v>577994</v>
      </c>
      <c r="F17" s="6">
        <f>+Tabla115[[#This Row],[PRECIO INSTALLER (CON IVA)]]*5%</f>
        <v>20229.79</v>
      </c>
      <c r="G17" s="5">
        <v>0.85</v>
      </c>
      <c r="H17" s="6">
        <f>Tabla115[[#This Row],[Columna9]]*1.19</f>
        <v>343906.43</v>
      </c>
      <c r="I17" s="5"/>
      <c r="J17" s="5"/>
      <c r="K17" s="4">
        <v>288997</v>
      </c>
    </row>
    <row r="18" spans="1:15" ht="15" x14ac:dyDescent="0.25">
      <c r="A18" s="9" t="s">
        <v>5</v>
      </c>
      <c r="B18" s="8" t="s">
        <v>4</v>
      </c>
      <c r="C18" s="7">
        <f>+Tabla115[[#This Row],[Columna6]]/Tabla115[[#This Row],[Columna5]]</f>
        <v>769788.6</v>
      </c>
      <c r="D18" s="7">
        <f>+Tabla115[[#This Row],[PRECIO INSTALLER (CON IVA)]]-Tabla115[[#This Row],[Columna43]]</f>
        <v>731299.16999999993</v>
      </c>
      <c r="E18" s="7">
        <f>+Tabla115[[#This Row],[PRECIO INSTALLER (CON IVA)]]/0.7</f>
        <v>1099698</v>
      </c>
      <c r="F18" s="6">
        <f>+Tabla115[[#This Row],[PRECIO INSTALLER (CON IVA)]]*5%</f>
        <v>38489.43</v>
      </c>
      <c r="G18" s="5">
        <v>0.85</v>
      </c>
      <c r="H18" s="6">
        <f>Tabla115[[#This Row],[Columna9]]*1.19</f>
        <v>654320.30999999994</v>
      </c>
      <c r="I18" s="5"/>
      <c r="J18" s="5"/>
      <c r="K18" s="4">
        <v>549849</v>
      </c>
      <c r="O18" s="3"/>
    </row>
    <row r="19" spans="1:15" ht="15" x14ac:dyDescent="0.25">
      <c r="A19" s="9" t="s">
        <v>3</v>
      </c>
      <c r="B19" s="8" t="s">
        <v>2</v>
      </c>
      <c r="C19" s="7">
        <f>+Tabla115[[#This Row],[Columna6]]/Tabla115[[#This Row],[Columna5]]</f>
        <v>336000</v>
      </c>
      <c r="D19" s="7">
        <f>+Tabla115[[#This Row],[PRECIO INSTALLER (CON IVA)]]-Tabla115[[#This Row],[Columna43]]</f>
        <v>319200</v>
      </c>
      <c r="E19" s="7">
        <f>+Tabla115[[#This Row],[PRECIO INSTALLER (CON IVA)]]/0.7</f>
        <v>480000.00000000006</v>
      </c>
      <c r="F19" s="6">
        <f>+Tabla115[[#This Row],[PRECIO INSTALLER (CON IVA)]]*5%</f>
        <v>16800</v>
      </c>
      <c r="G19" s="5">
        <v>0.85</v>
      </c>
      <c r="H19" s="6">
        <f>Tabla115[[#This Row],[Columna9]]*1.19</f>
        <v>285600</v>
      </c>
      <c r="I19" s="5"/>
      <c r="J19" s="5"/>
      <c r="K19" s="4">
        <v>240000</v>
      </c>
      <c r="O19" s="3"/>
    </row>
    <row r="20" spans="1:15" ht="15" x14ac:dyDescent="0.25">
      <c r="A20" s="9" t="s">
        <v>1</v>
      </c>
      <c r="B20" s="8" t="s">
        <v>0</v>
      </c>
      <c r="C20" s="7">
        <f>+Tabla115[[#This Row],[Columna6]]/Tabla115[[#This Row],[Columna5]]</f>
        <v>372185.8</v>
      </c>
      <c r="D20" s="7">
        <f>+Tabla115[[#This Row],[PRECIO INSTALLER (CON IVA)]]-Tabla115[[#This Row],[Columna43]]</f>
        <v>353576.51</v>
      </c>
      <c r="E20" s="7">
        <f>+Tabla115[[#This Row],[PRECIO INSTALLER (CON IVA)]]/0.7</f>
        <v>531694</v>
      </c>
      <c r="F20" s="6">
        <f>+Tabla115[[#This Row],[PRECIO INSTALLER (CON IVA)]]*5%</f>
        <v>18609.29</v>
      </c>
      <c r="G20" s="5">
        <v>0.85</v>
      </c>
      <c r="H20" s="6">
        <f>Tabla115[[#This Row],[Columna9]]*1.19</f>
        <v>316357.93</v>
      </c>
      <c r="I20" s="5"/>
      <c r="J20" s="5"/>
      <c r="K20" s="4">
        <v>265847</v>
      </c>
      <c r="O20" s="3"/>
    </row>
    <row r="21" spans="1:15" x14ac:dyDescent="0.2">
      <c r="O21" s="3"/>
    </row>
  </sheetData>
  <conditionalFormatting sqref="A1:E1">
    <cfRule type="duplicateValues" dxfId="0" priority="1"/>
  </conditionalFormatting>
  <pageMargins left="0.74791666666666667" right="0.74791666666666667" top="0.98402777777777772" bottom="0.98402777777777772" header="0.51180555555555551" footer="0.51180555555555551"/>
  <pageSetup scale="74" firstPageNumber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ALMACENAMIENTO</vt:lpstr>
      <vt:lpstr>ALMACENAMIENTO!Área_de_impresión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2026-10-05T19:40:48Z</cp:lastPrinted>
  <dcterms:created xsi:type="dcterms:W3CDTF">2026-05-12T22:28:25Z</dcterms:created>
  <dcterms:modified xsi:type="dcterms:W3CDTF">2026-10-06T21:26:31Z</dcterms:modified>
</cp:coreProperties>
</file>