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e Compras\OneDrive\Documents\Desktop\LISTAS DE PRECIOS\listados grupo nuevo con formulas\LISTA PROVISIONAL DAÑO PLATAFORMA\LISTAS EMPRESA GRUPO\EXCEL\"/>
    </mc:Choice>
  </mc:AlternateContent>
  <xr:revisionPtr revIDLastSave="0" documentId="13_ncr:1_{A97B635E-C514-4761-A300-001739306D1B}" xr6:coauthVersionLast="47" xr6:coauthVersionMax="47" xr10:uidLastSave="{00000000-0000-0000-0000-000000000000}"/>
  <bookViews>
    <workbookView xWindow="-120" yWindow="-120" windowWidth="24240" windowHeight="13140" xr2:uid="{9FE2A91E-8D98-45BA-A937-A78A94FE47A0}"/>
  </bookViews>
  <sheets>
    <sheet name="HILOOK IP" sheetId="7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\v" localSheetId="0" hidden="1">{"'ADV&amp;DP'!$A$4:$C$25"}</definedName>
    <definedName name="\v" hidden="1">{"'ADV&amp;DP'!$A$4:$C$25"}</definedName>
    <definedName name="_??" localSheetId="0" hidden="1">{"'?????10.27??????'!$Q$16"}</definedName>
    <definedName name="_??" hidden="1">{"'?????10.27??????'!$Q$16"}</definedName>
    <definedName name="_????" localSheetId="0" hidden="1">{"'?????10.27??????'!$Q$16"}</definedName>
    <definedName name="_????" hidden="1">{"'?????10.27??????'!$Q$16"}</definedName>
    <definedName name="_?????" localSheetId="0" hidden="1">{"DCF-???",#N/A,TRUE,"???";"DCF-??",#N/A,TRUE,"??";"DCF-??",#N/A,TRUE,"??";"DCF-??",#N/A,TRUE,"??";"DCF-??",#N/A,TRUE,"??";"DCF-??",#N/A,TRUE,"??";"DCF-??",#N/A,TRUE,"??";"DCF-??",#N/A,TRUE,"??";"DCF-??",#N/A,TRUE,"??"}</definedName>
    <definedName name="_?????" hidden="1">{"DCF-???",#N/A,TRUE,"???";"DCF-??",#N/A,TRUE,"??";"DCF-??",#N/A,TRUE,"??";"DCF-??",#N/A,TRUE,"??";"DCF-??",#N/A,TRUE,"??";"DCF-??",#N/A,TRUE,"??";"DCF-??",#N/A,TRUE,"??";"DCF-??",#N/A,TRUE,"??";"DCF-??",#N/A,TRUE,"??"}</definedName>
    <definedName name="_??????" localSheetId="0" hidden="1">{"'?????10.27??????'!$Q$16"}</definedName>
    <definedName name="_??????" hidden="1">{"'?????10.27??????'!$Q$16"}</definedName>
    <definedName name="_??06" localSheetId="0" hidden="1">{"'?????10.27??????'!$Q$16"}</definedName>
    <definedName name="_??06" hidden="1">{"'?????10.27??????'!$Q$16"}</definedName>
    <definedName name="_?16??" localSheetId="0" hidden="1">{"'????'!$A$1:$C$37"}</definedName>
    <definedName name="_?16??" hidden="1">{"'????'!$A$1:$C$37"}</definedName>
    <definedName name="________o1" localSheetId="0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___DF4" hidden="1">#REF!</definedName>
    <definedName name="______DF4" hidden="1">#REF!</definedName>
    <definedName name="______o1" localSheetId="0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_DF4" hidden="1">#REF!</definedName>
    <definedName name="_____o1" localSheetId="0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DF4" hidden="1">#REF!</definedName>
    <definedName name="____o1" localSheetId="0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DF4" hidden="1">#REF!</definedName>
    <definedName name="___o1" localSheetId="0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123Graph_A" hidden="1">[1]Pub!$H$13:$H$83</definedName>
    <definedName name="__123Graph_B" hidden="1">[1]Pub!$I$13:$I$83</definedName>
    <definedName name="__123Graph_C" hidden="1">[1]Pub!$J$13:$J$83</definedName>
    <definedName name="__123Graph_D" hidden="1">[1]Pub!$K$13:$K$83</definedName>
    <definedName name="__123Graph_E" hidden="1">[1]Pub!#REF!</definedName>
    <definedName name="__123Graph_F" hidden="1">[1]Pub!$L$13:$L$83</definedName>
    <definedName name="__123Graph_X" hidden="1">[1]Pub!$G$13:$G$83</definedName>
    <definedName name="__DF4" hidden="1">#REF!</definedName>
    <definedName name="__FDS_HYPERLINK_TOGGLE_STATE__" hidden="1">"ON"</definedName>
    <definedName name="__o1" localSheetId="0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1____123Graph_AMOF_NB" hidden="1">[2]計算過程シート!#REF!</definedName>
    <definedName name="_1__123Graph_ACHART_1" hidden="1">'[3]Historical IS'!#REF!</definedName>
    <definedName name="_1__123Graph_AIRR_IRR" hidden="1">#REF!</definedName>
    <definedName name="_10___123Graph_XIRR_IRR" hidden="1">#REF!</definedName>
    <definedName name="_10__123Graph_ACHART_16" hidden="1">[4]engineering!$Q$49:$S$49</definedName>
    <definedName name="_10__123Graph_CCHART_3" hidden="1">'[3]Historical IS'!#REF!</definedName>
    <definedName name="_103__123Graph_Cｸﾞﾗﾌ_1" hidden="1">#REF!</definedName>
    <definedName name="_104__123Graph_Dｸﾞﾗﾌ_1" hidden="1">#REF!</definedName>
    <definedName name="_105__123Graph_XIRR_IRR" hidden="1">#REF!</definedName>
    <definedName name="_106__123Graph_XMOF_NB" hidden="1">#REF!</definedName>
    <definedName name="_11___123Graph_XMOF_NB" hidden="1">#REF!</definedName>
    <definedName name="_11__123Graph_ACHART_17" hidden="1">[4]revenue!$P$77:$R$77</definedName>
    <definedName name="_11__123Graph_CCHART_8" hidden="1">'[3]Historical IS'!#REF!</definedName>
    <definedName name="_12__123Graph_ACHART_18" hidden="1">[4]revenue!$P$82:$R$82</definedName>
    <definedName name="_12__123Graph_AIRR_IRR" hidden="1">#REF!</definedName>
    <definedName name="_12__123Graph_DCHART_1" hidden="1">'[3]Historical IS'!#REF!</definedName>
    <definedName name="_13__123Graph_ACHART_19" hidden="1">[4]sga!$P$7:$R$7</definedName>
    <definedName name="_13__123Graph_AMOF_NB" hidden="1">[2]計算過程シート!#REF!</definedName>
    <definedName name="_13__123Graph_DCHART_8" hidden="1">'[3]Historical IS'!#REF!</definedName>
    <definedName name="_131__123Graph_Xｸﾞﾗﾌ_1" hidden="1">#REF!</definedName>
    <definedName name="_14__123Graph_A????_1" hidden="1">#REF!</definedName>
    <definedName name="_14__123Graph_ACHART_2" hidden="1">#REF!</definedName>
    <definedName name="_14__123Graph_Aｸﾞﾗﾌ_1" hidden="1">#REF!</definedName>
    <definedName name="_14__123Graph_LBL_ACHART_3" hidden="1">'[3]Historical IS'!#REF!</definedName>
    <definedName name="_15__123Graph_ACHART_20" hidden="1">[4]sga!$P$10:$R$10</definedName>
    <definedName name="_15__123Graph_BIRR_IRR" hidden="1">#REF!</definedName>
    <definedName name="_15__123Graph_LBL_ACHART_4" hidden="1">'[3]Historical IS'!#REF!</definedName>
    <definedName name="_16__123Graph_ACHART_3" hidden="1">#REF!</definedName>
    <definedName name="_16__123Graph_BMOF_NB" hidden="1">#REF!</definedName>
    <definedName name="_16__123Graph_LBL_BCHART_3" hidden="1">'[3]Historical IS'!#REF!</definedName>
    <definedName name="_17__123Graph_ACHART_4" hidden="1">#REF!</definedName>
    <definedName name="_17__123Graph_B????_1" hidden="1">#REF!</definedName>
    <definedName name="_17__123Graph_Bｸﾞﾗﾌ_1" hidden="1">#REF!</definedName>
    <definedName name="_17__123Graph_LBL_BCHART_4" hidden="1">'[3]Historical IS'!#REF!</definedName>
    <definedName name="_18__123Graph_ACHART_5" hidden="1">#REF!</definedName>
    <definedName name="_18__123Graph_C????_1" hidden="1">#REF!</definedName>
    <definedName name="_18__123Graph_Cｸﾞﾗﾌ_1" hidden="1">#REF!</definedName>
    <definedName name="_18__123Graph_LBL_CCHART_3" hidden="1">'[3]Historical IS'!#REF!</definedName>
    <definedName name="_19__123Graph_ACHART_6" hidden="1">#REF!</definedName>
    <definedName name="_19__123Graph_D????_1" hidden="1">#REF!</definedName>
    <definedName name="_19__123Graph_Dｸﾞﾗﾌ_1" hidden="1">#REF!</definedName>
    <definedName name="_19__123Graph_XCHART_1" hidden="1">'[3]Historical IS'!#REF!</definedName>
    <definedName name="_2_??" localSheetId="0" hidden="1">{"'?????10.27??????'!$Q$16"}</definedName>
    <definedName name="_2_??" hidden="1">{"'?????10.27??????'!$Q$16"}</definedName>
    <definedName name="_2____123Graph_A????_1" hidden="1">#REF!</definedName>
    <definedName name="_2____123Graph_Aｸﾞﾗﾌ_1" hidden="1">#REF!</definedName>
    <definedName name="_2__123Graph_ACHART_3" hidden="1">'[3]Historical IS'!#REF!</definedName>
    <definedName name="_20__123Graph_ACHART_7" hidden="1">#REF!</definedName>
    <definedName name="_20__123Graph_XCHART_3" hidden="1">'[3]Historical IS'!#REF!</definedName>
    <definedName name="_20__123Graph_XIRR_IRR" hidden="1">#REF!</definedName>
    <definedName name="_21__123Graph_ACHART_8" hidden="1">#REF!</definedName>
    <definedName name="_21__123Graph_XCHART_4" hidden="1">'[3]Historical IS'!#REF!</definedName>
    <definedName name="_21__123Graph_XMOF_NB" hidden="1">#REF!</definedName>
    <definedName name="_22__123Graph_ACHART_9" hidden="1">#REF!</definedName>
    <definedName name="_22__123Graph_X????_1" hidden="1">#REF!</definedName>
    <definedName name="_22__123Graph_XCHART_8" hidden="1">'[3]Historical IS'!#REF!</definedName>
    <definedName name="_22__123Graph_Xｸﾞﾗﾌ_1" hidden="1">#REF!</definedName>
    <definedName name="_23__123Graph_BCHART_1" hidden="1">#REF!</definedName>
    <definedName name="_24__123Graph_BCHART_11" hidden="1">#REF!</definedName>
    <definedName name="_25__123Graph_BCHART_12" hidden="1">#REF!</definedName>
    <definedName name="_26__123Graph_AMOF_NB" hidden="1">[2]計算過程シート!#REF!</definedName>
    <definedName name="_26__123Graph_BCHART_13" hidden="1">[4]engineering!$Q$42:$W$42</definedName>
    <definedName name="_27__123Graph_BCHART_14" hidden="1">[4]engineering!$Q$46:$W$46</definedName>
    <definedName name="_28__123Graph_BCHART_15" hidden="1">#REF!</definedName>
    <definedName name="_29__123Graph_BCHART_16" hidden="1">[4]engineering!$Q$50:$S$50</definedName>
    <definedName name="_3____123Graph_B????_1" hidden="1">#REF!</definedName>
    <definedName name="_3____123Graph_Bｸﾞﾗﾌ_1" hidden="1">#REF!</definedName>
    <definedName name="_3__123Graph_ACHART_1" hidden="1">#REF!</definedName>
    <definedName name="_3__123Graph_ACHART_4" hidden="1">'[3]Historical IS'!#REF!</definedName>
    <definedName name="_30__123Graph_BCHART_17" hidden="1">[4]revenue!$P$78:$R$78</definedName>
    <definedName name="_31__123Graph_BCHART_2" hidden="1">#REF!</definedName>
    <definedName name="_32__123Graph_BCHART_20" hidden="1">[4]sga!$P$11:$R$11</definedName>
    <definedName name="_33__123Graph_BCHART_3" hidden="1">[4]revenue!$P$10:$R$10</definedName>
    <definedName name="_34__123Graph_BCHART_6" hidden="1">#REF!</definedName>
    <definedName name="_35__123Graph_BCHART_7" hidden="1">[4]revenue!$P$45:$R$45</definedName>
    <definedName name="_36_??06" localSheetId="0" hidden="1">{"'?????10.27??????'!$Q$16"}</definedName>
    <definedName name="_36_??06" hidden="1">{"'?????10.27??????'!$Q$16"}</definedName>
    <definedName name="_36__123Graph_BCHART_8" hidden="1">#REF!</definedName>
    <definedName name="_37__123Graph_BCHART_9" hidden="1">[4]engineering!$P$7:$T$7</definedName>
    <definedName name="_38__123Graph_CCHART_1" hidden="1">#REF!</definedName>
    <definedName name="_39__123Graph_CCHART_11" hidden="1">[4]engineering!$P$16:$T$16</definedName>
    <definedName name="_4____123Graph_C????_1" hidden="1">#REF!</definedName>
    <definedName name="_4____123Graph_Cｸﾞﾗﾌ_1" hidden="1">#REF!</definedName>
    <definedName name="_4__123Graph_ACHART_10" hidden="1">#REF!</definedName>
    <definedName name="_4__123Graph_ACHART_8" hidden="1">'[3]Historical IS'!#REF!</definedName>
    <definedName name="_40__123Graph_CCHART_12" hidden="1">#REF!</definedName>
    <definedName name="_41__123Graph_CCHART_2" hidden="1">#REF!</definedName>
    <definedName name="_42__123Graph_CCHART_20" hidden="1">[4]sga!$P$12:$R$12</definedName>
    <definedName name="_43__123Graph_CCHART_7" hidden="1">[4]revenue!$P$46:$R$46</definedName>
    <definedName name="_44__123Graph_CCHART_8" hidden="1">#REF!</definedName>
    <definedName name="_45__123Graph_DCHART_1" hidden="1">#REF!</definedName>
    <definedName name="_46__123Graph_DCHART_12" hidden="1">#REF!</definedName>
    <definedName name="_47__123Graph_DCHART_2" hidden="1">#REF!</definedName>
    <definedName name="_48__123Graph_DCHART_8" hidden="1">#REF!</definedName>
    <definedName name="_49__123Graph_ECHART_12" hidden="1">#REF!</definedName>
    <definedName name="_5____123Graph_X????_1" hidden="1">#REF!</definedName>
    <definedName name="_5____123Graph_Xｸﾞﾗﾌ_1" hidden="1">#REF!</definedName>
    <definedName name="_5__123Graph_ACHART_11" hidden="1">#REF!</definedName>
    <definedName name="_5__123Graph_BCHART_1" hidden="1">'[3]Historical IS'!#REF!</definedName>
    <definedName name="_50__123Graph_ECHART_2" hidden="1">#REF!</definedName>
    <definedName name="_51__123Graph_Aｸﾞﾗﾌ_1" hidden="1">#REF!</definedName>
    <definedName name="_51__123Graph_ECHART_8" hidden="1">#REF!</definedName>
    <definedName name="_52__123Graph_BIRR_IRR" hidden="1">#REF!</definedName>
    <definedName name="_52__123Graph_FCHART_1" hidden="1">#REF!</definedName>
    <definedName name="_53__123Graph_BMOF_NB" hidden="1">#REF!</definedName>
    <definedName name="_53__123Graph_XCHART_10" hidden="1">#REF!</definedName>
    <definedName name="_54__123Graph_XCHART_11" hidden="1">#REF!</definedName>
    <definedName name="_55__123Graph_XCHART_12" hidden="1">#REF!</definedName>
    <definedName name="_56__123Graph_XCHART_13" hidden="1">#REF!</definedName>
    <definedName name="_57__123Graph_XCHART_14" hidden="1">#REF!</definedName>
    <definedName name="_58__123Graph_XCHART_15" hidden="1">#REF!</definedName>
    <definedName name="_59__123Graph_XCHART_16" hidden="1">[4]engineering!$Q$48:$S$48</definedName>
    <definedName name="_6___123Graph_AIRR_IRR" hidden="1">#REF!</definedName>
    <definedName name="_6__123Graph_ACHART_12" hidden="1">#REF!</definedName>
    <definedName name="_6__123Graph_BCHART_3" hidden="1">'[3]Historical IS'!#REF!</definedName>
    <definedName name="_60__123Graph_XCHART_18" hidden="1">[4]revenue!$P$81:$R$81</definedName>
    <definedName name="_61__123Graph_XCHART_2" hidden="1">#REF!</definedName>
    <definedName name="_62__123Graph_XCHART_20" hidden="1">[4]sga!$P$9:$R$9</definedName>
    <definedName name="_63__123Graph_XCHART_3" hidden="1">#REF!</definedName>
    <definedName name="_64__123Graph_XCHART_4" hidden="1">#REF!</definedName>
    <definedName name="_65__123Graph_XCHART_5" hidden="1">#REF!</definedName>
    <definedName name="_66__123Graph_XCHART_6" hidden="1">#REF!</definedName>
    <definedName name="_67__123Graph_XCHART_7" hidden="1">#REF!</definedName>
    <definedName name="_68_?16??" localSheetId="0" hidden="1">{"'????'!$A$1:$C$37"}</definedName>
    <definedName name="_68_?16??" hidden="1">{"'????'!$A$1:$C$37"}</definedName>
    <definedName name="_68__123Graph_XCHART_8" hidden="1">#REF!</definedName>
    <definedName name="_69__123Graph_XCHART_9" hidden="1">#REF!</definedName>
    <definedName name="_7_????" localSheetId="0" hidden="1">{"'?????10.27??????'!$Q$16"}</definedName>
    <definedName name="_7_????" hidden="1">{"'?????10.27??????'!$Q$16"}</definedName>
    <definedName name="_7___123Graph_BIRR_IRR" hidden="1">#REF!</definedName>
    <definedName name="_7__123Graph_ACHART_13" hidden="1">#REF!</definedName>
    <definedName name="_7__123Graph_BCHART_4" hidden="1">'[3]Historical IS'!#REF!</definedName>
    <definedName name="_78__123Graph_Bｸﾞﾗﾌ_1" hidden="1">#REF!</definedName>
    <definedName name="_8_?????" localSheetId="0" hidden="1">{"DCF-???",#N/A,TRUE,"???";"DCF-??",#N/A,TRUE,"??";"DCF-??",#N/A,TRUE,"??";"DCF-??",#N/A,TRUE,"??";"DCF-??",#N/A,TRUE,"??";"DCF-??",#N/A,TRUE,"??";"DCF-??",#N/A,TRUE,"??";"DCF-??",#N/A,TRUE,"??";"DCF-??",#N/A,TRUE,"??"}</definedName>
    <definedName name="_8_?????" hidden="1">{"DCF-???",#N/A,TRUE,"???";"DCF-??",#N/A,TRUE,"??";"DCF-??",#N/A,TRUE,"??";"DCF-??",#N/A,TRUE,"??";"DCF-??",#N/A,TRUE,"??";"DCF-??",#N/A,TRUE,"??";"DCF-??",#N/A,TRUE,"??";"DCF-??",#N/A,TRUE,"??";"DCF-??",#N/A,TRUE,"??"}</definedName>
    <definedName name="_8___123Graph_BMOF_NB" hidden="1">#REF!</definedName>
    <definedName name="_8__123Graph_ACHART_14" hidden="1">#REF!</definedName>
    <definedName name="_8__123Graph_BCHART_8" hidden="1">'[3]Historical IS'!#REF!</definedName>
    <definedName name="_9_??????" localSheetId="0" hidden="1">{"'?????10.27??????'!$Q$16"}</definedName>
    <definedName name="_9_??????" hidden="1">{"'?????10.27??????'!$Q$16"}</definedName>
    <definedName name="_9___123Graph_D????_1" hidden="1">#REF!</definedName>
    <definedName name="_9___123Graph_Dｸﾞﾗﾌ_1" hidden="1">#REF!</definedName>
    <definedName name="_9__123Graph_ACHART_15" hidden="1">#REF!</definedName>
    <definedName name="_9__123Graph_CCHART_1" hidden="1">'[3]Historical IS'!#REF!</definedName>
    <definedName name="_DF4" hidden="1">#REF!</definedName>
    <definedName name="_Fill" hidden="1">#REF!</definedName>
    <definedName name="_xlnm._FilterDatabase" localSheetId="0" hidden="1">'HILOOK IP'!$A$1:$I$21</definedName>
    <definedName name="_xlnm._FilterDatabase" hidden="1">'[5]46W9'!#REF!</definedName>
    <definedName name="_Key2" hidden="1">#REF!</definedName>
    <definedName name="_o1" localSheetId="0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Order1" hidden="1">255</definedName>
    <definedName name="_Order2" hidden="1">255</definedName>
    <definedName name="a" localSheetId="0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a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ando" localSheetId="0" hidden="1">{"'下期集計（10.27迄・速報値）'!$Q$16"}</definedName>
    <definedName name="ando" hidden="1">{"'下期集計（10.27迄・速報値）'!$Q$16"}</definedName>
    <definedName name="anscount" hidden="1">3</definedName>
    <definedName name="_xlnm.Print_Area" localSheetId="0">Tabla111[[#All],[REFERENCIA]:[PRECIO CLIENTE FINAL ( CON  IVA)]]</definedName>
    <definedName name="AS2DocOpenMode" hidden="1">"AS2DocumentEdit"</definedName>
    <definedName name="AS2HasNoAutoHeaderFooter" hidden="1">" "</definedName>
    <definedName name="asdf" localSheetId="0" hidden="1">{"'年間台数'!$A$1:$K$20","'中古車登録台数'!$A$1:$I$39"}</definedName>
    <definedName name="asdf" hidden="1">{"'年間台数'!$A$1:$K$20","'中古車登録台数'!$A$1:$I$39"}</definedName>
    <definedName name="BLPH1" hidden="1">'[6]Data sheet'!$A$4</definedName>
    <definedName name="BLPH10" hidden="1">'[6]Data sheet'!$AB$4</definedName>
    <definedName name="BLPH11" hidden="1">'[6]Data sheet'!$AE$4</definedName>
    <definedName name="BLPH12" hidden="1">'[6]Data sheet'!$AH$4</definedName>
    <definedName name="BLPH2" hidden="1">'[6]Data sheet'!$D$4</definedName>
    <definedName name="BLPH3" hidden="1">'[6]Data sheet'!$G$4</definedName>
    <definedName name="BLPH4" hidden="1">'[6]Data sheet'!$J$4</definedName>
    <definedName name="BLPH5" hidden="1">'[6]Data sheet'!$M$4</definedName>
    <definedName name="BLPH6" hidden="1">'[6]Data sheet'!$P$4</definedName>
    <definedName name="BLPH7" hidden="1">'[6]Data sheet'!$S$4</definedName>
    <definedName name="BLPH8" hidden="1">'[6]Data sheet'!$V$4</definedName>
    <definedName name="BLPH9" hidden="1">'[6]Data sheet'!$Y$4</definedName>
    <definedName name="Bridge" localSheetId="0" hidden="1">{"'Highlights'!$A$1:$M$123"}</definedName>
    <definedName name="Bridge" hidden="1">{"'Highlights'!$A$1:$M$123"}</definedName>
    <definedName name="CARLOS" localSheetId="0" hidden="1">{#N/A,#N/A,TRUE,"A"}</definedName>
    <definedName name="CARLOS" hidden="1">{#N/A,#N/A,TRUE,"A"}</definedName>
    <definedName name="cb_sChartE2218BA_opts" hidden="1">"1, 4, 1, False, 2, False, False, , 0, False, True, 1, 1"</definedName>
    <definedName name="cb_sChartE221ADA_opts" hidden="1">"1, 5, 1, False, 2, False, False, , 0, False, False, 1, 1"</definedName>
    <definedName name="CBWorkbookPriority" hidden="1">-61538533</definedName>
    <definedName name="chiho" localSheetId="0" hidden="1">{"'下期集計（10.27迄・速報値）'!$Q$16"}</definedName>
    <definedName name="chiho" hidden="1">{"'下期集計（10.27迄・速報値）'!$Q$16"}</definedName>
    <definedName name="cover" hidden="1">#REF!</definedName>
    <definedName name="efg" localSheetId="0" hidden="1">{#N/A,#N/A,TRUE,"A"}</definedName>
    <definedName name="efg" hidden="1">{#N/A,#N/A,TRUE,"A"}</definedName>
    <definedName name="fds" localSheetId="0" hidden="1">{"'下期集計（10.27迄・速報値）'!$Q$16"}</definedName>
    <definedName name="fds" hidden="1">{"'下期集計（10.27迄・速報値）'!$Q$16"}</definedName>
    <definedName name="ｇ" localSheetId="0" hidden="1">{"'下期集計（10.27迄・速報値）'!$Q$16"}</definedName>
    <definedName name="ｇ" hidden="1">{"'下期集計（10.27迄・速報値）'!$Q$16"}</definedName>
    <definedName name="gd" localSheetId="0" hidden="1">{"'下期集計（10.27迄・速報値）'!$Q$16"}</definedName>
    <definedName name="gd" hidden="1">{"'下期集計（10.27迄・速報値）'!$Q$16"}</definedName>
    <definedName name="gda" localSheetId="0" hidden="1">{"'下期集計（10.27迄・速報値）'!$Q$16"}</definedName>
    <definedName name="gda" hidden="1">{"'下期集計（10.27迄・速報値）'!$Q$16"}</definedName>
    <definedName name="gdsa" localSheetId="0" hidden="1">{"'下期集計（10.27迄・速報値）'!$Q$16"}</definedName>
    <definedName name="gdsa" hidden="1">{"'下期集計（10.27迄・速報値）'!$Q$16"}</definedName>
    <definedName name="gh" localSheetId="0" hidden="1">{"'Highlights'!$A$1:$M$123"}</definedName>
    <definedName name="gh" hidden="1">{"'Highlights'!$A$1:$M$123"}</definedName>
    <definedName name="ｈ" localSheetId="0" hidden="1">{"'下期集計（10.27迄・速報値）'!$Q$16"}</definedName>
    <definedName name="ｈ" hidden="1">{"'下期集計（10.27迄・速報値）'!$Q$16"}</definedName>
    <definedName name="H16?1??" localSheetId="0" hidden="1">{"'????'!$A$1:$C$37"}</definedName>
    <definedName name="H16?1??" hidden="1">{"'????'!$A$1:$C$37"}</definedName>
    <definedName name="Ｈ16・１" localSheetId="0" hidden="1">{"'コメント'!$A$1:$C$37"}</definedName>
    <definedName name="Ｈ16・１" hidden="1">{"'コメント'!$A$1:$C$37"}</definedName>
    <definedName name="H16･1速報" localSheetId="0" hidden="1">{"'コメント'!$A$1:$C$37"}</definedName>
    <definedName name="H16･1速報" hidden="1">{"'コメント'!$A$1:$C$37"}</definedName>
    <definedName name="HTM_Control" localSheetId="0" hidden="1">{"'下期集計（10.27迄・速報値）'!$Q$16"}</definedName>
    <definedName name="HTM_Control" hidden="1">{"'下期集計（10.27迄・速報値）'!$Q$16"}</definedName>
    <definedName name="ＨＴＭＬ" localSheetId="0" hidden="1">{"'コメント'!$A$1:$C$37"}</definedName>
    <definedName name="ＨＴＭＬ" hidden="1">{"'コメント'!$A$1:$C$37"}</definedName>
    <definedName name="HTML_CodePage" hidden="1">1252</definedName>
    <definedName name="HTML_Control" localSheetId="0" hidden="1">{"'Highlights'!$A$1:$M$123"}</definedName>
    <definedName name="HTML_Control" hidden="1">{"'Highlights'!$A$1:$M$123"}</definedName>
    <definedName name="HTML_Description" hidden="1">""</definedName>
    <definedName name="HTML_Email" hidden="1">"scottt@phx.mcd.mot.com"</definedName>
    <definedName name="HTML_Header" hidden="1">"Highlights"</definedName>
    <definedName name="HTML_LastUpdate" hidden="1">"6/24/97"</definedName>
    <definedName name="HTML_LineAfter" hidden="1">FALSE</definedName>
    <definedName name="HTML_LineBefore" hidden="1">TRUE</definedName>
    <definedName name="HTML_Name" hidden="1">"Scott Traasdahl"</definedName>
    <definedName name="HTML_OBDlg2" hidden="1">TRUE</definedName>
    <definedName name="HTML_OBDlg4" hidden="1">TRUE</definedName>
    <definedName name="HTML_OS" hidden="1">0</definedName>
    <definedName name="HTML_PathFile" hidden="1">"H:\scottt\Analysis\Ops Review\MyHTML.htm"</definedName>
    <definedName name="HTML_Title" hidden="1">"97JunOpsRvw"</definedName>
    <definedName name="hyousi" hidden="1">#REF!</definedName>
    <definedName name="INDICADOR_COLUMNAS">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INDUSTRY_REC" hidden="1">"c4455"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"c3460"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FLOW_ACT_OR_EST" hidden="1">"c4154"</definedName>
    <definedName name="IQ_CASH_INTEREST" hidden="1">"c120"</definedName>
    <definedName name="IQ_CASH_INVEST" hidden="1">"c121"</definedName>
    <definedName name="IQ_CASH_OPER" hidden="1">"c122"</definedName>
    <definedName name="IQ_CASH_OPER_ACT_OR_EST" hidden="1">"c4164"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OSITS_INTEREST_SECURITIES" hidden="1">"c5509"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REUT" hidden="1">"c5314"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EQ_INC" hidden="1">"c3498"</definedName>
    <definedName name="IQ_EBIT_EQ_INC_EXCL_SBC" hidden="1">"c3502"</definedName>
    <definedName name="IQ_EBIT_EXCL_SBC" hidden="1">"c3082"</definedName>
    <definedName name="IQ_EBIT_GW_ACT_OR_EST" hidden="1">"c4306"</definedName>
    <definedName name="IQ_EBIT_INT" hidden="1">"c360"</definedName>
    <definedName name="IQ_EBIT_MARGIN" hidden="1">"c359"</definedName>
    <definedName name="IQ_EBIT_OVER_IE" hidden="1">"c1369"</definedName>
    <definedName name="IQ_EBIT_SBC_ACT_OR_EST" hidden="1">"c4316"</definedName>
    <definedName name="IQ_EBIT_SBC_GW_ACT_OR_EST" hidden="1">"c4320"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 hidden="1">"c3640"</definedName>
    <definedName name="IQ_EBITDA_EXCL_SBC" hidden="1">"c3081"</definedName>
    <definedName name="IQ_EBITDA_HIGH_EST" hidden="1">"c370"</definedName>
    <definedName name="IQ_EBITDA_HIGH_EST_REUT" hidden="1">"c3642"</definedName>
    <definedName name="IQ_EBITDA_INT" hidden="1">"c373"</definedName>
    <definedName name="IQ_EBITDA_LOW_EST" hidden="1">"c371"</definedName>
    <definedName name="IQ_EBITDA_LOW_EST_REUT" hidden="1">"c3643"</definedName>
    <definedName name="IQ_EBITDA_MARGIN" hidden="1">"c372"</definedName>
    <definedName name="IQ_EBITDA_MEDIAN_EST" hidden="1">"c1663"</definedName>
    <definedName name="IQ_EBITDA_MEDIAN_EST_REUT" hidden="1">"c3641"</definedName>
    <definedName name="IQ_EBITDA_NUM_EST" hidden="1">"c374"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TDDEV_EST" hidden="1">"c375"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SBC_ACT_OR_EST" hidden="1">"c4350"</definedName>
    <definedName name="IQ_EBT_SBC_GW_ACT_OR_EST" hidden="1">"c4354"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EST_REUT" hidden="1">"c5453"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" hidden="1">"c1661"</definedName>
    <definedName name="IQ_EPS_MEDIAN_EST_REUT" hidden="1">"c5456"</definedName>
    <definedName name="IQ_EPS_NORM" hidden="1">"c1902"</definedName>
    <definedName name="IQ_EPS_NUM_EST" hidden="1">"c402"</definedName>
    <definedName name="IQ_EPS_NUM_EST_REUT" hidden="1">"c5451"</definedName>
    <definedName name="IQ_EPS_SBC_ACT_OR_EST" hidden="1">"c4376"</definedName>
    <definedName name="IQ_EPS_SBC_GW_ACT_OR_EST" hidden="1">"c4380"</definedName>
    <definedName name="IQ_EPS_STDDEV_EST" hidden="1">"c403"</definedName>
    <definedName name="IQ_EPS_STDDEV_EST_REUT" hidden="1">"c5452"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CURRENCY_REUT" hidden="1">"c5437"</definedName>
    <definedName name="IQ_EST_DATE" hidden="1">"c1634"</definedName>
    <definedName name="IQ_EST_DATE_REUT" hidden="1">"c5438"</definedName>
    <definedName name="IQ_EST_EPS_DIFF" hidden="1">"c1864"</definedName>
    <definedName name="IQ_EST_EPS_GROWTH_1YR" hidden="1">"c1636"</definedName>
    <definedName name="IQ_EST_EPS_GROWTH_1YR_REUT" hidden="1">"c3646"</definedName>
    <definedName name="IQ_EST_EPS_GROWTH_5YR" hidden="1">"c1655"</definedName>
    <definedName name="IQ_EST_EPS_GROWTH_5YR_REUT" hidden="1">"c3633"</definedName>
    <definedName name="IQ_EST_EPS_GROWTH_Q_1YR" hidden="1">"c1641"</definedName>
    <definedName name="IQ_EST_EPS_GROWTH_Q_1YR_REUT" hidden="1">"c5410"</definedName>
    <definedName name="IQ_EST_VENDOR" hidden="1">"c5564"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DJ_ACT_OR_EST" hidden="1">"c4435"</definedName>
    <definedName name="IQ_FFO_PAYOUT_RATIO" hidden="1">"c3492"</definedName>
    <definedName name="IQ_FFO_SHARE_ACT_OR_EST" hidden="1">"c4446"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_TARGET_PRICE_REUT" hidden="1">"c5317"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CAPEX" hidden="1">"c2947"</definedName>
    <definedName name="IQ_MAINT_CAPEX_ACT_OR_EST" hidden="1">"c4458"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MES_REVISION_DATE_" hidden="1">40809.7705439815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BC_ACT_OR_EST" hidden="1">"c4474"</definedName>
    <definedName name="IQ_NI_SBC_GW_ACT_OR_EST" hidden="1">"c4478"</definedName>
    <definedName name="IQ_NI_SFAS" hidden="1">"c795"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MORT" hidden="1">"c5563"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_TARGET_REUT" hidden="1">"c3631"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CURRING_PROFIT_ACT_OR_EST" hidden="1">"c4507"</definedName>
    <definedName name="IQ_RECURRING_PROFIT_SHARE_ACT_OR_EST" hidden="1">"c4508"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STDDEV_EST_REUT" hidden="1">"c3639"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EST_REUT" hidden="1">"c3634"</definedName>
    <definedName name="IQ_REVENUE_HIGH_EST" hidden="1">"c1127"</definedName>
    <definedName name="IQ_REVENUE_HIGH_EST_REUT" hidden="1">"c3636"</definedName>
    <definedName name="IQ_REVENUE_LOW_EST" hidden="1">"c1128"</definedName>
    <definedName name="IQ_REVENUE_LOW_EST_REUT" hidden="1">"c3637"</definedName>
    <definedName name="IQ_REVENUE_MEDIAN_EST" hidden="1">"c1662"</definedName>
    <definedName name="IQ_REVENUE_MEDIAN_EST_REUT" hidden="1">"c3635"</definedName>
    <definedName name="IQ_REVENUE_NUM_EST" hidden="1">"c1129"</definedName>
    <definedName name="IQ_REVENUE_NUM_EST_REUT" hidden="1">"c3638"</definedName>
    <definedName name="IQ_REVISION_DATE_" hidden="1">39482.4188773148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_PURCHASED_RESELL" hidden="1">"c5513"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NUM_REUT" hidden="1">"c5319"</definedName>
    <definedName name="IQ_TARGET_PRICE_STDDEV" hidden="1">"c1654"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ji" localSheetId="0" hidden="1">{"'Highlights'!$A$1:$M$123"}</definedName>
    <definedName name="ji" hidden="1">{"'Highlights'!$A$1:$M$123"}</definedName>
    <definedName name="k" localSheetId="0" hidden="1">{"'下期集計（10.27迄・速報値）'!$Q$16"}</definedName>
    <definedName name="k" hidden="1">{"'下期集計（10.27迄・速報値）'!$Q$16"}</definedName>
    <definedName name="kjh" localSheetId="0" hidden="1">{#N/A,#N/A,TRUE,"A"}</definedName>
    <definedName name="kjh" hidden="1">{#N/A,#N/A,TRUE,"A"}</definedName>
    <definedName name="kjl" localSheetId="0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kjl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kk" localSheetId="0" hidden="1">{"'下期集計（10.27迄・速報値）'!$Q$16"}</definedName>
    <definedName name="kk" hidden="1">{"'下期集計（10.27迄・速報値）'!$Q$16"}</definedName>
    <definedName name="kkk" localSheetId="0" hidden="1">{"'下期集計（10.27迄・速報値）'!$Q$16"}</definedName>
    <definedName name="kkk" hidden="1">{"'下期集計（10.27迄・速報値）'!$Q$16"}</definedName>
    <definedName name="lio" localSheetId="0" hidden="1">{#N/A,#N/A,TRUE,"A"}</definedName>
    <definedName name="lio" hidden="1">{#N/A,#N/A,TRUE,"A"}</definedName>
    <definedName name="LISTA">#REF!</definedName>
    <definedName name="ListOffset" hidden="1">1</definedName>
    <definedName name="MBAS" localSheetId="0" hidden="1">{"'ADV&amp;DP'!$A$4:$C$25"}</definedName>
    <definedName name="MBAS" hidden="1">{"'ADV&amp;DP'!$A$4:$C$25"}</definedName>
    <definedName name="mbs" localSheetId="0" hidden="1">{"'ADV&amp;DP'!$A$4:$C$25"}</definedName>
    <definedName name="mbs" hidden="1">{"'ADV&amp;DP'!$A$4:$C$25"}</definedName>
    <definedName name="MKK" localSheetId="0" hidden="1">{"'下期集計（10.27迄・速報値）'!$Q$16"}</definedName>
    <definedName name="MKK" hidden="1">{"'下期集計（10.27迄・速報値）'!$Q$16"}</definedName>
    <definedName name="mmm" localSheetId="0" hidden="1">{"'ADV&amp;DP'!$A$4:$C$25"}</definedName>
    <definedName name="mmm" hidden="1">{"'ADV&amp;DP'!$A$4:$C$25"}</definedName>
    <definedName name="MOBILE" localSheetId="0" hidden="1">{"'ADV&amp;DP'!$A$4:$C$25"}</definedName>
    <definedName name="MOBILE" hidden="1">{"'ADV&amp;DP'!$A$4:$C$25"}</definedName>
    <definedName name="n" localSheetId="0" hidden="1">{"'下期集計（10.27迄・速報値）'!$Q$16"}</definedName>
    <definedName name="n" hidden="1">{"'下期集計（10.27迄・速報値）'!$Q$16"}</definedName>
    <definedName name="new" localSheetId="0" hidden="1">{"'Highlights'!$A$1:$M$123"}</definedName>
    <definedName name="new" hidden="1">{"'Highlights'!$A$1:$M$123"}</definedName>
    <definedName name="nm" localSheetId="0" hidden="1">{#N/A,#N/A,TRUE,"A"}</definedName>
    <definedName name="nm" hidden="1">{#N/A,#N/A,TRUE,"A"}</definedName>
    <definedName name="ñlo" localSheetId="0" hidden="1">{#N/A,#N/A,TRUE,"A"}</definedName>
    <definedName name="ñlo" hidden="1">{#N/A,#N/A,TRUE,"A"}</definedName>
    <definedName name="ñp" localSheetId="0" hidden="1">{#N/A,#N/A,TRUE,"A"}</definedName>
    <definedName name="ñp" hidden="1">{#N/A,#N/A,TRUE,"A"}</definedName>
    <definedName name="oi" localSheetId="0" hidden="1">{#N/A,#N/A,TRUE,"A"}</definedName>
    <definedName name="oi" hidden="1">{#N/A,#N/A,TRUE,"A"}</definedName>
    <definedName name="ok" localSheetId="0" hidden="1">{"'Highlights'!$A$1:$M$123"}</definedName>
    <definedName name="ok" hidden="1">{"'Highlights'!$A$1:$M$123"}</definedName>
    <definedName name="PANELES">#REF!</definedName>
    <definedName name="piu" localSheetId="0" hidden="1">{#N/A,#N/A,TRUE,"A"}</definedName>
    <definedName name="piu" hidden="1">{#N/A,#N/A,TRUE,"A"}</definedName>
    <definedName name="plo" localSheetId="0" hidden="1">{#N/A,#N/A,TRUE,"A"}</definedName>
    <definedName name="plo" hidden="1">{#N/A,#N/A,TRUE,"A"}</definedName>
    <definedName name="po" localSheetId="0" hidden="1">{#N/A,#N/A,TRUE,"A"}</definedName>
    <definedName name="po" hidden="1">{#N/A,#N/A,TRUE,"A"}</definedName>
    <definedName name="PTSB" localSheetId="0" hidden="1">{"'Highlights'!$A$1:$M$123"}</definedName>
    <definedName name="PTSB" hidden="1">{"'Highlights'!$A$1:$M$123"}</definedName>
    <definedName name="Q2Fcst" localSheetId="0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Q2Fcst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qw" localSheetId="0" hidden="1">{"'下期集計（10.27迄・速報値）'!$Q$16"}</definedName>
    <definedName name="qw" hidden="1">{"'下期集計（10.27迄・速報値）'!$Q$16"}</definedName>
    <definedName name="ＲＡＲＯＡ" localSheetId="0" hidden="1">{"'下期集計（10.27迄・速報値）'!$Q$16"}</definedName>
    <definedName name="ＲＡＲＯＡ" hidden="1">{"'下期集計（10.27迄・速報値）'!$Q$16"}</definedName>
    <definedName name="RETENCION">'[7]Cálculo LPVta Cambium'!$AA$4</definedName>
    <definedName name="rfg" localSheetId="0" hidden="1">{#N/A,#N/A,TRUE,"A"}</definedName>
    <definedName name="rfg" hidden="1">{#N/A,#N/A,TRUE,"A"}</definedName>
    <definedName name="SAPBEXdnldView" hidden="1">"4X7PHJJ3EF70UJ33CI6YVQIOV"</definedName>
    <definedName name="SAPBEXsysID" hidden="1">"PBK"</definedName>
    <definedName name="SCOG" localSheetId="0" hidden="1">{"'ADV&amp;DP'!$A$4:$C$25"}</definedName>
    <definedName name="SCOG" hidden="1">{"'ADV&amp;DP'!$A$4:$C$25"}</definedName>
    <definedName name="sencount" hidden="1">1</definedName>
    <definedName name="sfgasd" localSheetId="0" hidden="1">{0,0,0,0;0,0,0,0;0,0,0,0;0,0,0,0;0,0,0,0;0,0,0,0;0,0,2,0;2,3,3,0;FALSE,FALSE,FALSE,FALSE;TRUE,FALSE,TRUE,TRUE;FALSE,FALSE,TRUE,TRUE;FALSE,0,2.78134444564786E-308,4.45015196281921E-308;7.78776275135711E-308,1.33504516457612E-307,2.22507555776164E-307,3.56012157274209E-307}</definedName>
    <definedName name="sfgasd" hidden="1">{0,0,0,0;0,0,0,0;0,0,0,0;0,0,0,0;0,0,0,0;0,0,0,0;0,0,2,0;2,3,3,0;FALSE,FALSE,FALSE,FALSE;TRUE,FALSE,TRUE,TRUE;FALSE,FALSE,TRUE,TRUE;FALSE,0,2.78134444564786E-308,4.45015196281921E-308;7.78776275135711E-308,1.33504516457612E-307,2.22507555776164E-307,3.56012157274209E-307}</definedName>
    <definedName name="solver_adj" hidden="1">#REF!</definedName>
    <definedName name="solver_lin" hidden="1">0</definedName>
    <definedName name="solver_num" hidden="1">0</definedName>
    <definedName name="solver_opt" hidden="1">#REF!</definedName>
    <definedName name="solver_typ" hidden="1">3</definedName>
    <definedName name="solver_val" hidden="1">0.6</definedName>
    <definedName name="stp">[8]Resumen_Inv!$I$66</definedName>
    <definedName name="t" localSheetId="0" hidden="1">{"'下期集計（10.27迄・速報値）'!$Q$16"}</definedName>
    <definedName name="t" hidden="1">{"'下期集計（10.27迄・速報値）'!$Q$16"}</definedName>
    <definedName name="tyh" localSheetId="0" hidden="1">{#N/A,#N/A,TRUE,"A"}</definedName>
    <definedName name="tyh" hidden="1">{#N/A,#N/A,TRUE,"A"}</definedName>
    <definedName name="v" localSheetId="0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v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vbn" localSheetId="0" hidden="1">{#N/A,#N/A,TRUE,"A"}</definedName>
    <definedName name="vbn" hidden="1">{#N/A,#N/A,TRUE,"A"}</definedName>
    <definedName name="w" localSheetId="0" hidden="1">{"'下期集計（10.27迄・速報値）'!$Q$16"}</definedName>
    <definedName name="w" hidden="1">{"'下期集計（10.27迄・速報値）'!$Q$16"}</definedName>
    <definedName name="wrn.???." localSheetId="0" hidden="1">{"DCF-???",#N/A,TRUE,"???";"FS-???",#N/A,TRUE,"???";"DCF-??",#N/A,TRUE,"??";"FS-??",#N/A,TRUE,"??";"DCF-??",#N/A,TRUE,"??";"FS-??",#N/A,TRUE,"??";"DCF-??",#N/A,TRUE,"??";"FS-??",#N/A,TRUE,"??";"DCF-??",#N/A,TRUE,"??";"FS-??",#N/A,TRUE,"??";"DCF-??",#N/A,TRUE,"??";"FS-??",#N/A,TRUE,"??";"DCF-??",#N/A,TRUE,"??";"FS-??",#N/A,TRUE,"??";"DCF-??",#N/A,TRUE,"??";"FS-??",#N/A,TRUE,"??";"DCF-??",#N/A,TRUE,"??";"FS-??",#N/A,TRUE,"??"}</definedName>
    <definedName name="wrn.???." hidden="1">{"DCF-???",#N/A,TRUE,"???";"FS-???",#N/A,TRUE,"???";"DCF-??",#N/A,TRUE,"??";"FS-??",#N/A,TRUE,"??";"DCF-??",#N/A,TRUE,"??";"FS-??",#N/A,TRUE,"??";"DCF-??",#N/A,TRUE,"??";"FS-??",#N/A,TRUE,"??";"DCF-??",#N/A,TRUE,"??";"FS-??",#N/A,TRUE,"??";"DCF-??",#N/A,TRUE,"??";"FS-??",#N/A,TRUE,"??";"DCF-??",#N/A,TRUE,"??";"FS-??",#N/A,TRUE,"??";"DCF-??",#N/A,TRUE,"??";"FS-??",#N/A,TRUE,"??";"DCF-??",#N/A,TRUE,"??";"FS-??",#N/A,TRUE,"??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ll._.Sheets." localSheetId="0" hidden="1">{#N/A,#N/A,FALSE,"1997 WW (Short)";#N/A,#N/A,FALSE,"1997 RF Mfg";#N/A,#N/A,FALSE,"Ancillary-CSM";#N/A,#N/A,FALSE,"1997 Service"}</definedName>
    <definedName name="wrn.All._.Sheets." hidden="1">{#N/A,#N/A,FALSE,"1997 WW (Short)";#N/A,#N/A,FALSE,"1997 RF Mfg";#N/A,#N/A,FALSE,"Ancillary-CSM";#N/A,#N/A,FALSE,"1997 Service"}</definedName>
    <definedName name="wrn.AR._.Meeting._.Schedules." localSheetId="0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wrn.AR._.Meeting._.Schedules.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wrn.CIPG._.All._.Sheets." localSheetId="0" hidden="1">{#N/A,#N/A,FALSE,"Cover";#N/A,#N/A,FALSE,"Commentary";#N/A,#N/A,FALSE,"key ind";#N/A,#N/A,FALSE,"CIG RSB";#N/A,#N/A,FALSE,"4-up charts p.1";#N/A,#N/A,FALSE,"4-up charts p.2";#N/A,#N/A,FALSE,"Q1 Markets";#N/A,#N/A,FALSE,"Annual Mkts";#N/A,#N/A,FALSE," rate of ? qtr";#N/A,#N/A,FALSE,"Detail Rel rate of ? ";#N/A,#N/A,FALSE,"Q1 Products";#N/A,#N/A,FALSE,"Annual Products";#N/A,#N/A,FALSE,"SMUG";#N/A,#N/A,FALSE,"IDL Budgets";#N/A,#N/A,FALSE,"HC Trend";#N/A,#N/A,FALSE,"Functional HC ";#N/A,#N/A,FALSE,"Capital Expd";#N/A,#N/A,FALSE,"Capital CO";#N/A,#N/A,FALSE,"Inventory"}</definedName>
    <definedName name="wrn.CIPG._.All._.Sheets." hidden="1">{#N/A,#N/A,FALSE,"Cover";#N/A,#N/A,FALSE,"Commentary";#N/A,#N/A,FALSE,"key ind";#N/A,#N/A,FALSE,"CIG RSB";#N/A,#N/A,FALSE,"4-up charts p.1";#N/A,#N/A,FALSE,"4-up charts p.2";#N/A,#N/A,FALSE,"Q1 Markets";#N/A,#N/A,FALSE,"Annual Mkts";#N/A,#N/A,FALSE," rate of ? qtr";#N/A,#N/A,FALSE,"Detail Rel rate of ? ";#N/A,#N/A,FALSE,"Q1 Products";#N/A,#N/A,FALSE,"Annual Products";#N/A,#N/A,FALSE,"SMUG";#N/A,#N/A,FALSE,"IDL Budgets";#N/A,#N/A,FALSE,"HC Trend";#N/A,#N/A,FALSE,"Functional HC ";#N/A,#N/A,FALSE,"Capital Expd";#N/A,#N/A,FALSE,"Capital CO";#N/A,#N/A,FALSE,"Inventory"}</definedName>
    <definedName name="wrn.CIPG._.Black._.and._.White." localSheetId="0" hidden="1">{#N/A,#N/A,FALSE,"Cover";#N/A,#N/A,FALSE,"Commentary";#N/A,#N/A,FALSE,"key ind";#N/A,#N/A,FALSE,"CIG RSB";#N/A,#N/A,FALSE,"Q1 Markets";#N/A,#N/A,FALSE,"Annual Mkts";#N/A,#N/A,FALSE,"Q1 Products";#N/A,#N/A,FALSE,"Annual Products";#N/A,#N/A,FALSE,"SMUG";#N/A,#N/A,FALSE,"IDL Budgets";#N/A,#N/A,FALSE,"HC Trend";#N/A,#N/A,FALSE,"Functional HC ";#N/A,#N/A,FALSE,"Capital Expd";#N/A,#N/A,FALSE,"Capital CO"}</definedName>
    <definedName name="wrn.CIPG._.Black._.and._.White." hidden="1">{#N/A,#N/A,FALSE,"Cover";#N/A,#N/A,FALSE,"Commentary";#N/A,#N/A,FALSE,"key ind";#N/A,#N/A,FALSE,"CIG RSB";#N/A,#N/A,FALSE,"Q1 Markets";#N/A,#N/A,FALSE,"Annual Mkts";#N/A,#N/A,FALSE,"Q1 Products";#N/A,#N/A,FALSE,"Annual Products";#N/A,#N/A,FALSE,"SMUG";#N/A,#N/A,FALSE,"IDL Budgets";#N/A,#N/A,FALSE,"HC Trend";#N/A,#N/A,FALSE,"Functional HC ";#N/A,#N/A,FALSE,"Capital Expd";#N/A,#N/A,FALSE,"Capital CO"}</definedName>
    <definedName name="wrn.CIPG._.Color._.Charts." localSheetId="0" hidden="1">{#N/A,#N/A,FALSE,"4-up charts p.1";#N/A,#N/A,FALSE,"4-up charts p.2";#N/A,#N/A,FALSE," rate of ? qtr";#N/A,#N/A,FALSE,"Detail Rel rate of ? ";#N/A,#N/A,FALSE,"Inventory"}</definedName>
    <definedName name="wrn.CIPG._.Color._.Charts." hidden="1">{#N/A,#N/A,FALSE,"4-up charts p.1";#N/A,#N/A,FALSE,"4-up charts p.2";#N/A,#N/A,FALSE," rate of ? qtr";#N/A,#N/A,FALSE,"Detail Rel rate of ? ";#N/A,#N/A,FALSE,"Inventory"}</definedName>
    <definedName name="wrn.DCF????." localSheetId="0" hidden="1">{"DCF-???",#N/A,TRUE,"???";"DCF-??",#N/A,TRUE,"??";"DCF-??",#N/A,TRUE,"??";"DCF-??",#N/A,TRUE,"??";"DCF-??",#N/A,TRUE,"??";"DCF-??",#N/A,TRUE,"??";"DCF-??",#N/A,TRUE,"??";"DCF-??",#N/A,TRUE,"??";"DCF-??",#N/A,TRUE,"??"}</definedName>
    <definedName name="wrn.DCF????." hidden="1">{"DCF-???",#N/A,TRUE,"???";"DCF-??",#N/A,TRUE,"??";"DCF-??",#N/A,TRUE,"??";"DCF-??",#N/A,TRUE,"??";"DCF-??",#N/A,TRUE,"??";"DCF-??",#N/A,TRUE,"??";"DCF-??",#N/A,TRUE,"??";"DCF-??",#N/A,TRUE,"??";"DCF-??",#N/A,TRUE,"??"}</definedName>
    <definedName name="wrn.DCF一括印刷." localSheetId="0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wrn.DCF一括印刷.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wrn.EAN2." localSheetId="0" hidden="1">{#N/A,#N/A,TRUE,"A"}</definedName>
    <definedName name="wrn.EAN2." hidden="1">{#N/A,#N/A,TRUE,"A"}</definedName>
    <definedName name="wrn.EAN3" localSheetId="0" hidden="1">{#N/A,#N/A,TRUE,"A"}</definedName>
    <definedName name="wrn.EAN3" hidden="1">{#N/A,#N/A,TRUE,"A"}</definedName>
    <definedName name="wrn.FS????." localSheetId="0" hidden="1">{"FS-???",#N/A,TRUE,"???";"FS-??",#N/A,TRUE,"??";"FS-??",#N/A,TRUE,"??";"FS-??",#N/A,TRUE,"??";"FS-??",#N/A,TRUE,"??";"FS-??",#N/A,TRUE,"??";"FS-??",#N/A,TRUE,"??";"FS-??",#N/A,TRUE,"??";"FS-??",#N/A,TRUE,"??"}</definedName>
    <definedName name="wrn.FS????." hidden="1">{"FS-???",#N/A,TRUE,"???";"FS-??",#N/A,TRUE,"??";"FS-??",#N/A,TRUE,"??";"FS-??",#N/A,TRUE,"??";"FS-??",#N/A,TRUE,"??";"FS-??",#N/A,TRUE,"??";"FS-??",#N/A,TRUE,"??";"FS-??",#N/A,TRUE,"??";"FS-??",#N/A,TRUE,"??"}</definedName>
    <definedName name="wrn.FS一括印刷." localSheetId="0" hidden="1">{"FS-北海道",#N/A,TRUE,"北海道";"FS-東北",#N/A,TRUE,"東北";"FS-東海",#N/A,TRUE,"東海";"FS-北陸",#N/A,TRUE,"北陸";"FS-関西",#N/A,TRUE,"関西";"FS-中国",#N/A,TRUE,"中国";"FS-四国",#N/A,TRUE,"四国";"FS-九州",#N/A,TRUE,"九州";"FS-連結",#N/A,TRUE,"連結"}</definedName>
    <definedName name="wrn.FS一括印刷." hidden="1">{"FS-北海道",#N/A,TRUE,"北海道";"FS-東北",#N/A,TRUE,"東北";"FS-東海",#N/A,TRUE,"東海";"FS-北陸",#N/A,TRUE,"北陸";"FS-関西",#N/A,TRUE,"関西";"FS-中国",#N/A,TRUE,"中国";"FS-四国",#N/A,TRUE,"四国";"FS-九州",#N/A,TRUE,"九州";"FS-連結",#N/A,TRUE,"連結"}</definedName>
    <definedName name="wrn.Outlook._.Report." localSheetId="0" hidden="1">{#N/A,#N/A,FALSE,"Outlook for Month ";#N/A,#N/A,FALSE,"Risk for Month ";#N/A,#N/A,FALSE,"Upside for Month"}</definedName>
    <definedName name="wrn.Outlook._.Report." hidden="1">{#N/A,#N/A,FALSE,"Outlook for Month ";#N/A,#N/A,FALSE,"Risk for Month ";#N/A,#N/A,FALSE,"Upside for Month"}</definedName>
    <definedName name="wrn.RPT." localSheetId="0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wrn.RPT.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wrn.全印刷." localSheetId="0" hidden="1">{"DCF-北海道",#N/A,TRUE,"北海道";"FS-北海道",#N/A,TRUE,"北海道";"DCF-東北",#N/A,TRUE,"東北";"FS-東北",#N/A,TRUE,"東北";"DCF-東海",#N/A,TRUE,"東海";"FS-東海",#N/A,TRUE,"東海";"DCF-北陸",#N/A,TRUE,"北陸";"FS-北陸",#N/A,TRUE,"北陸";"DCF-関西",#N/A,TRUE,"関西";"FS-関西",#N/A,TRUE,"関西";"DCF-中国",#N/A,TRUE,"中国";"FS-中国",#N/A,TRUE,"中国";"DCF-四国",#N/A,TRUE,"四国";"FS-四国",#N/A,TRUE,"四国";"DCF-九州",#N/A,TRUE,"九州";"FS-九州",#N/A,TRUE,"九州";"DCF-連結",#N/A,TRUE,"連結";"FS-連結",#N/A,TRUE,"連結"}</definedName>
    <definedName name="wrn.全印刷." hidden="1">{"DCF-北海道",#N/A,TRUE,"北海道";"FS-北海道",#N/A,TRUE,"北海道";"DCF-東北",#N/A,TRUE,"東北";"FS-東北",#N/A,TRUE,"東北";"DCF-東海",#N/A,TRUE,"東海";"FS-東海",#N/A,TRUE,"東海";"DCF-北陸",#N/A,TRUE,"北陸";"FS-北陸",#N/A,TRUE,"北陸";"DCF-関西",#N/A,TRUE,"関西";"FS-関西",#N/A,TRUE,"関西";"DCF-中国",#N/A,TRUE,"中国";"FS-中国",#N/A,TRUE,"中国";"DCF-四国",#N/A,TRUE,"四国";"FS-四国",#N/A,TRUE,"四国";"DCF-九州",#N/A,TRUE,"九州";"FS-九州",#N/A,TRUE,"九州";"DCF-連結",#N/A,TRUE,"連結";"FS-連結",#N/A,TRUE,"連結"}</definedName>
    <definedName name="ws" localSheetId="0" hidden="1">{#N/A,#N/A,TRUE,"A"}</definedName>
    <definedName name="ws" hidden="1">{#N/A,#N/A,TRUE,"A"}</definedName>
    <definedName name="yhu" localSheetId="0" hidden="1">{#N/A,#N/A,TRUE,"A"}</definedName>
    <definedName name="yhu" hidden="1">{#N/A,#N/A,TRUE,"A"}</definedName>
    <definedName name="ｚ" localSheetId="0" hidden="1">{"'下期集計（10.27迄・速報値）'!$Q$16"}</definedName>
    <definedName name="ｚ" hidden="1">{"'下期集計（10.27迄・速報値）'!$Q$16"}</definedName>
    <definedName name="Z_086A872D_15DF_436A_8459_CE22F6819FF4_.wvu.Rows" hidden="1">[5]Presentacion!#REF!</definedName>
    <definedName name="Z_D55C8B2E_861A_459E_9D09_3AF38A1DE99E_.wvu.Rows" hidden="1">[5]Presentacion!#REF!</definedName>
    <definedName name="Z_F540D718_D9AA_403F_AE49_60D937FD77E5_.wvu.Rows" hidden="1">[5]Presentacion!#REF!</definedName>
    <definedName name="zz" localSheetId="0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zz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ぁ" localSheetId="0" hidden="1">{"'下期集計（10.27迄・速報値）'!$Q$16"}</definedName>
    <definedName name="ぁ" hidden="1">{"'下期集計（10.27迄・速報値）'!$Q$16"}</definedName>
    <definedName name="あ" localSheetId="0" hidden="1">{"'下期集計（10.27迄・速報値）'!$Q$16"}</definedName>
    <definedName name="あ" hidden="1">{"'下期集計（10.27迄・速報値）'!$Q$16"}</definedName>
    <definedName name="あああ" localSheetId="0" hidden="1">{"'下期集計（10.27迄・速報値）'!$Q$16"}</definedName>
    <definedName name="あああ" hidden="1">{"'下期集計（10.27迄・速報値）'!$Q$16"}</definedName>
    <definedName name="ｼｰﾄ" hidden="1">[9]計算過程シート!#REF!</definedName>
    <definedName name="なんで" localSheetId="0" hidden="1">{"'下期集計（10.27迄・速報値）'!$Q$16"}</definedName>
    <definedName name="なんで" hidden="1">{"'下期集計（10.27迄・速報値）'!$Q$16"}</definedName>
    <definedName name="なんなの" localSheetId="0" hidden="1">{"'下期集計（10.27迄・速報値）'!$Q$16"}</definedName>
    <definedName name="なんなの" hidden="1">{"'下期集計（10.27迄・速報値）'!$Q$16"}</definedName>
    <definedName name="一括" localSheetId="0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一括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印刷" localSheetId="0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印刷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年間収支買掛" localSheetId="0" hidden="1">{"'下期集計（10.27迄・速報値）'!$Q$16"}</definedName>
    <definedName name="年間収支買掛" hidden="1">{"'下期集計（10.27迄・速報値）'!$Q$16"}</definedName>
    <definedName name="年間資金収支あ" localSheetId="0" hidden="1">{"'下期集計（10.27迄・速報値）'!$Q$16"}</definedName>
    <definedName name="年間資金収支あ" hidden="1">{"'下期集計（10.27迄・速報値）'!$Q$16"}</definedName>
    <definedName name="日繰06" localSheetId="0" hidden="1">{"'下期集計（10.27迄・速報値）'!$Q$16"}</definedName>
    <definedName name="日繰06" hidden="1">{"'下期集計（10.27迄・速報値）'!$Q$16"}</definedName>
    <definedName name="系統出資金" localSheetId="0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系統出資金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系統外出資金" localSheetId="0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系統外出資金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要処理資産②" localSheetId="0" hidden="1">{"'下期集計（10.27迄・速報値）'!$Q$16"}</definedName>
    <definedName name="要処理資産②" hidden="1">{"'下期集計（10.27迄・速報値）'!$Q$16"}</definedName>
    <definedName name="評価対象" hidden="1">[9]計算過程シート!#REF!</definedName>
    <definedName name="資金" localSheetId="0" hidden="1">{"'下期集計（10.27迄・速報値）'!$Q$16"}</definedName>
    <definedName name="資金" hidden="1">{"'下期集計（10.27迄・速報値）'!$Q$16"}</definedName>
    <definedName name="金利体系" localSheetId="0" hidden="1">{"'下期集計（10.27迄・速報値）'!$Q$16"}</definedName>
    <definedName name="金利体系" hidden="1">{"'下期集計（10.27迄・速報値）'!$Q$16"}</definedName>
    <definedName name="関連" localSheetId="0" hidden="1">{"'下期集計（10.27迄・速報値）'!$Q$16"}</definedName>
    <definedName name="関連" hidden="1">{"'下期集計（10.27迄・速報値）'!$Q$16"}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0" i="7" l="1"/>
  <c r="D10" i="7" s="1"/>
  <c r="E10" i="7"/>
  <c r="F10" i="7"/>
  <c r="G10" i="7"/>
  <c r="C11" i="7"/>
  <c r="D11" i="7"/>
  <c r="E11" i="7"/>
  <c r="F11" i="7"/>
  <c r="G11" i="7"/>
  <c r="C12" i="7"/>
  <c r="D12" i="7"/>
  <c r="E12" i="7"/>
  <c r="F12" i="7"/>
  <c r="G12" i="7"/>
  <c r="C13" i="7"/>
  <c r="D13" i="7"/>
  <c r="E13" i="7"/>
  <c r="F13" i="7"/>
  <c r="G13" i="7"/>
  <c r="C14" i="7"/>
  <c r="D14" i="7"/>
  <c r="E14" i="7"/>
  <c r="F14" i="7"/>
  <c r="G14" i="7"/>
  <c r="C15" i="7"/>
  <c r="D15" i="7"/>
  <c r="E15" i="7"/>
  <c r="F15" i="7"/>
  <c r="G15" i="7"/>
  <c r="C16" i="7"/>
  <c r="D16" i="7"/>
  <c r="E16" i="7"/>
  <c r="F16" i="7"/>
  <c r="G16" i="7"/>
  <c r="C17" i="7"/>
  <c r="D17" i="7"/>
  <c r="E17" i="7"/>
  <c r="F17" i="7"/>
  <c r="G17" i="7"/>
  <c r="C18" i="7"/>
  <c r="D18" i="7"/>
  <c r="E18" i="7"/>
  <c r="F18" i="7"/>
  <c r="G18" i="7"/>
  <c r="C19" i="7"/>
  <c r="D19" i="7"/>
  <c r="E19" i="7"/>
  <c r="F19" i="7"/>
  <c r="G19" i="7"/>
  <c r="C20" i="7"/>
  <c r="D20" i="7"/>
  <c r="E20" i="7"/>
  <c r="F20" i="7"/>
  <c r="G20" i="7"/>
  <c r="C21" i="7"/>
  <c r="D21" i="7"/>
  <c r="E21" i="7"/>
  <c r="F21" i="7"/>
  <c r="G21" i="7"/>
  <c r="O11" i="7"/>
  <c r="O12" i="7"/>
  <c r="O13" i="7"/>
  <c r="O14" i="7"/>
  <c r="O15" i="7"/>
  <c r="O16" i="7"/>
  <c r="O17" i="7"/>
  <c r="O18" i="7"/>
  <c r="O19" i="7"/>
  <c r="O20" i="7"/>
  <c r="O21" i="7"/>
  <c r="R11" i="7"/>
  <c r="R12" i="7"/>
  <c r="R13" i="7"/>
  <c r="R14" i="7"/>
  <c r="R15" i="7"/>
  <c r="R16" i="7"/>
  <c r="R17" i="7"/>
  <c r="R18" i="7"/>
  <c r="R19" i="7"/>
  <c r="R20" i="7"/>
  <c r="R21" i="7"/>
  <c r="O2" i="7"/>
  <c r="N2" i="7" s="1"/>
  <c r="I2" i="7" s="1"/>
  <c r="R2" i="7"/>
  <c r="C2" i="7" s="1"/>
  <c r="O3" i="7"/>
  <c r="N3" i="7" s="1"/>
  <c r="I3" i="7" s="1"/>
  <c r="R3" i="7"/>
  <c r="C3" i="7" s="1"/>
  <c r="O4" i="7"/>
  <c r="N4" i="7" s="1"/>
  <c r="I4" i="7" s="1"/>
  <c r="R4" i="7"/>
  <c r="C4" i="7" s="1"/>
  <c r="O5" i="7"/>
  <c r="N5" i="7" s="1"/>
  <c r="I5" i="7" s="1"/>
  <c r="R5" i="7"/>
  <c r="C5" i="7" s="1"/>
  <c r="O6" i="7"/>
  <c r="N6" i="7" s="1"/>
  <c r="I6" i="7" s="1"/>
  <c r="R6" i="7"/>
  <c r="C6" i="7" s="1"/>
  <c r="O7" i="7"/>
  <c r="N7" i="7" s="1"/>
  <c r="I7" i="7" s="1"/>
  <c r="R7" i="7"/>
  <c r="C7" i="7" s="1"/>
  <c r="O8" i="7"/>
  <c r="N8" i="7" s="1"/>
  <c r="I8" i="7" s="1"/>
  <c r="R8" i="7"/>
  <c r="C8" i="7" s="1"/>
  <c r="O9" i="7"/>
  <c r="N9" i="7" s="1"/>
  <c r="I9" i="7" s="1"/>
  <c r="R9" i="7"/>
  <c r="C9" i="7" s="1"/>
  <c r="O10" i="7"/>
  <c r="N10" i="7" s="1"/>
  <c r="I10" i="7" s="1"/>
  <c r="R10" i="7"/>
  <c r="N11" i="7" l="1"/>
  <c r="I11" i="7" s="1"/>
  <c r="M11" i="7"/>
  <c r="L11" i="7"/>
  <c r="M12" i="7"/>
  <c r="L12" i="7"/>
  <c r="N12" i="7"/>
  <c r="I12" i="7" s="1"/>
  <c r="M13" i="7"/>
  <c r="L13" i="7" s="1"/>
  <c r="N13" i="7"/>
  <c r="I13" i="7" s="1"/>
  <c r="M14" i="7"/>
  <c r="L14" i="7" s="1"/>
  <c r="N14" i="7"/>
  <c r="I14" i="7" s="1"/>
  <c r="M15" i="7"/>
  <c r="L15" i="7" s="1"/>
  <c r="N15" i="7"/>
  <c r="I15" i="7" s="1"/>
  <c r="M16" i="7"/>
  <c r="L16" i="7" s="1"/>
  <c r="N16" i="7"/>
  <c r="I16" i="7" s="1"/>
  <c r="M17" i="7"/>
  <c r="L17" i="7" s="1"/>
  <c r="N17" i="7"/>
  <c r="I17" i="7" s="1"/>
  <c r="N18" i="7"/>
  <c r="I18" i="7" s="1"/>
  <c r="M18" i="7"/>
  <c r="L18" i="7" s="1"/>
  <c r="M19" i="7"/>
  <c r="L19" i="7" s="1"/>
  <c r="N19" i="7"/>
  <c r="I19" i="7" s="1"/>
  <c r="N20" i="7"/>
  <c r="I20" i="7" s="1"/>
  <c r="M20" i="7"/>
  <c r="L20" i="7" s="1"/>
  <c r="M21" i="7"/>
  <c r="L21" i="7" s="1"/>
  <c r="N21" i="7"/>
  <c r="I21" i="7" s="1"/>
  <c r="P11" i="7"/>
  <c r="H11" i="7" s="1"/>
  <c r="Q11" i="7"/>
  <c r="P12" i="7"/>
  <c r="H12" i="7" s="1"/>
  <c r="Q12" i="7"/>
  <c r="P13" i="7"/>
  <c r="H13" i="7" s="1"/>
  <c r="Q13" i="7"/>
  <c r="P14" i="7"/>
  <c r="H14" i="7" s="1"/>
  <c r="Q14" i="7"/>
  <c r="Q15" i="7"/>
  <c r="P15" i="7"/>
  <c r="H15" i="7" s="1"/>
  <c r="P16" i="7"/>
  <c r="H16" i="7" s="1"/>
  <c r="Q16" i="7"/>
  <c r="Q17" i="7"/>
  <c r="P17" i="7"/>
  <c r="H17" i="7" s="1"/>
  <c r="P18" i="7"/>
  <c r="H18" i="7" s="1"/>
  <c r="Q18" i="7"/>
  <c r="Q19" i="7"/>
  <c r="P19" i="7"/>
  <c r="H19" i="7" s="1"/>
  <c r="P20" i="7"/>
  <c r="H20" i="7" s="1"/>
  <c r="Q20" i="7"/>
  <c r="Q21" i="7"/>
  <c r="P21" i="7"/>
  <c r="H21" i="7" s="1"/>
  <c r="G6" i="7"/>
  <c r="G2" i="7"/>
  <c r="G9" i="7"/>
  <c r="G7" i="7"/>
  <c r="G3" i="7"/>
  <c r="G5" i="7"/>
  <c r="G8" i="7"/>
  <c r="G4" i="7"/>
  <c r="Q10" i="7"/>
  <c r="M10" i="7"/>
  <c r="L10" i="7" s="1"/>
  <c r="Q9" i="7"/>
  <c r="D9" i="7" s="1"/>
  <c r="M9" i="7"/>
  <c r="L9" i="7" s="1"/>
  <c r="E9" i="7"/>
  <c r="Q8" i="7"/>
  <c r="D8" i="7" s="1"/>
  <c r="M8" i="7"/>
  <c r="L8" i="7" s="1"/>
  <c r="E8" i="7"/>
  <c r="Q7" i="7"/>
  <c r="D7" i="7" s="1"/>
  <c r="M7" i="7"/>
  <c r="L7" i="7" s="1"/>
  <c r="E7" i="7"/>
  <c r="Q6" i="7"/>
  <c r="D6" i="7" s="1"/>
  <c r="M6" i="7"/>
  <c r="L6" i="7" s="1"/>
  <c r="E6" i="7"/>
  <c r="Q5" i="7"/>
  <c r="D5" i="7" s="1"/>
  <c r="M5" i="7"/>
  <c r="L5" i="7" s="1"/>
  <c r="E5" i="7"/>
  <c r="Q4" i="7"/>
  <c r="D4" i="7" s="1"/>
  <c r="M4" i="7"/>
  <c r="L4" i="7" s="1"/>
  <c r="E4" i="7"/>
  <c r="Q3" i="7"/>
  <c r="D3" i="7" s="1"/>
  <c r="M3" i="7"/>
  <c r="L3" i="7" s="1"/>
  <c r="E3" i="7"/>
  <c r="Q2" i="7"/>
  <c r="D2" i="7" s="1"/>
  <c r="M2" i="7"/>
  <c r="L2" i="7" s="1"/>
  <c r="E2" i="7"/>
  <c r="P10" i="7"/>
  <c r="H10" i="7" s="1"/>
  <c r="P9" i="7"/>
  <c r="H9" i="7" s="1"/>
  <c r="P8" i="7"/>
  <c r="H8" i="7" s="1"/>
  <c r="P7" i="7"/>
  <c r="H7" i="7" s="1"/>
  <c r="P6" i="7"/>
  <c r="H6" i="7" s="1"/>
  <c r="P5" i="7"/>
  <c r="H5" i="7" s="1"/>
  <c r="P4" i="7"/>
  <c r="H4" i="7" s="1"/>
  <c r="P3" i="7"/>
  <c r="H3" i="7" s="1"/>
  <c r="P2" i="7"/>
  <c r="H2" i="7" s="1"/>
  <c r="K11" i="7" l="1"/>
  <c r="J11" i="7" s="1"/>
  <c r="K12" i="7"/>
  <c r="J12" i="7" s="1"/>
  <c r="K13" i="7"/>
  <c r="J13" i="7" s="1"/>
  <c r="K14" i="7"/>
  <c r="J14" i="7" s="1"/>
  <c r="K15" i="7"/>
  <c r="J15" i="7" s="1"/>
  <c r="K16" i="7"/>
  <c r="J16" i="7" s="1"/>
  <c r="K17" i="7"/>
  <c r="J17" i="7" s="1"/>
  <c r="K18" i="7"/>
  <c r="J18" i="7" s="1"/>
  <c r="K19" i="7"/>
  <c r="J19" i="7" s="1"/>
  <c r="K20" i="7"/>
  <c r="J20" i="7" s="1"/>
  <c r="K21" i="7"/>
  <c r="J21" i="7" s="1"/>
  <c r="K4" i="7"/>
  <c r="J4" i="7" s="1"/>
  <c r="F4" i="7"/>
  <c r="K8" i="7"/>
  <c r="J8" i="7" s="1"/>
  <c r="F8" i="7"/>
  <c r="K3" i="7"/>
  <c r="J3" i="7" s="1"/>
  <c r="F3" i="7"/>
  <c r="K7" i="7"/>
  <c r="J7" i="7" s="1"/>
  <c r="F7" i="7"/>
  <c r="K5" i="7"/>
  <c r="J5" i="7" s="1"/>
  <c r="F5" i="7"/>
  <c r="K9" i="7"/>
  <c r="J9" i="7" s="1"/>
  <c r="F9" i="7"/>
  <c r="K2" i="7"/>
  <c r="J2" i="7" s="1"/>
  <c r="F2" i="7"/>
  <c r="K10" i="7"/>
  <c r="J10" i="7" s="1"/>
  <c r="K6" i="7"/>
  <c r="J6" i="7" s="1"/>
  <c r="F6" i="7"/>
</calcChain>
</file>

<file path=xl/sharedStrings.xml><?xml version="1.0" encoding="utf-8"?>
<sst xmlns="http://schemas.openxmlformats.org/spreadsheetml/2006/main" count="60" uniqueCount="56">
  <si>
    <t>REFERENCIA</t>
  </si>
  <si>
    <t xml:space="preserve">DESCRIPCIÓN </t>
  </si>
  <si>
    <t>PRECIO  INSTALADOR
( CON  IVA)</t>
  </si>
  <si>
    <t>PRECIO TIENDA ( CON  IVA)</t>
  </si>
  <si>
    <t>PRECIO DPP ORO ( CON  IVA)</t>
  </si>
  <si>
    <t>PRECIO DPP PLATINO ( CON  IVA)</t>
  </si>
  <si>
    <t>PRECIO CLIENTE FINAL ( CON  IVA)</t>
  </si>
  <si>
    <t>Columna3</t>
  </si>
  <si>
    <t>Columna6</t>
  </si>
  <si>
    <t>Columna8</t>
  </si>
  <si>
    <t>PRECIO SUGERIDO INSTALADOR</t>
  </si>
  <si>
    <t>PRECIO SUGERIDO INSTALADOR
( CON  IVA)</t>
  </si>
  <si>
    <t xml:space="preserve"> ORO</t>
  </si>
  <si>
    <t>PLATINO</t>
  </si>
  <si>
    <t>ORO SIN IVA</t>
  </si>
  <si>
    <t>INSTALLER SIN IVA</t>
  </si>
  <si>
    <t>DPP ORO</t>
  </si>
  <si>
    <t>DPP PLATINO</t>
  </si>
  <si>
    <t>Columna9</t>
  </si>
  <si>
    <t>PLARTINO</t>
  </si>
  <si>
    <t>DS-QAE0206G1-V</t>
  </si>
  <si>
    <t>ALTAVOZ ANALÓGICO 6W 8 OHMS  MAX 98 DB</t>
  </si>
  <si>
    <t>DS-QAE0A60G1-VB</t>
  </si>
  <si>
    <t>AMPLIFICADOR ANALOGO 2 CANALES  60W /BLUETOOTH IN-OUT RCA  USB 1 IN MICROFONO  24VCD</t>
  </si>
  <si>
    <t>DS-QAE0120G1R</t>
  </si>
  <si>
    <t>Altavoz Tipo Columna / 20 Watts / 100 V / Rejilla de Metal / Color Blanco / Montaje en L</t>
  </si>
  <si>
    <t>DS-QAE0120G1R(O-STD)/BLACK</t>
  </si>
  <si>
    <t>Altavoz Tipo Columna / 20 Watts / 100 V / Rejilla de Metal / Color Negro / Montaje en L</t>
  </si>
  <si>
    <t>DS-QAE0A120G1-VB6/110</t>
  </si>
  <si>
    <t>Amplificador / 6 Canales / 120W / Bluetooth / Entrada y Salida RCA / USB / 2 Entrada Micrófono</t>
  </si>
  <si>
    <t>DS-QAE0A240G1-VB6/110</t>
  </si>
  <si>
    <t>Amplificador / 6 Canales / 240W / Bluetooth / Entrada y Salida RCA / USB / 1 Entrada Micrófono</t>
  </si>
  <si>
    <t>DS-QAE1A80G1-VB (B)</t>
  </si>
  <si>
    <t>AMPLIFICADOR 80 W / 2 ZONAS / TTS VOZ MASC/FEM / USB / BLUETOOTH / MIC / RCA / 2 SALIDAS 100 V / ENTRADA/SALIDA ALARMA / RJ45 / PROGRAMABLE</t>
  </si>
  <si>
    <t>DS-QAE1DG1(O-STD)/EU</t>
  </si>
  <si>
    <t>AMPLIFICADOR DE RED / DECODIFICADOR DE AUDIO / ENTRADAS MIC + RCA / SALIDAS RCA + VOLTAJE CONSTANTE / 1 ENTRADA DE ALARMA + 1 SALIDA DE ALARMA / PESO 730 G / SERIE NETWORK AMPLIFIER</t>
  </si>
  <si>
    <t xml:space="preserve">DS-QAZ1325G1T(O-STD)(C)/EU
</t>
  </si>
  <si>
    <t>BOCINA IP / POE / 12 VCC / PARA INTEGRACIÓN CON HIK-CENTRAL / REPRODUCCIÓN DE AUDIO VÍA RED</t>
  </si>
  <si>
    <t>DS-QAZ0206G1-S</t>
  </si>
  <si>
    <t>SPEAKER / TECHO SECUNDARIO / 6 W / 8 Ω / 93 dB / 100 dB SPL / 300–15 kHz / AUDIO IN RESISTIVO / POLIMERO Y METAL / Ø179 × 77 mm / 10 °C‑50 °C</t>
  </si>
  <si>
    <t>DS-QAZ0510G1(O-STD)</t>
  </si>
  <si>
    <t>ALTAVOZ COLGANTE ANALÓGICO 10W / 100V: 10W, 5W, 2.5W / 70V: 10W, 5W, 2.5W, 1.25W / 8Ω / SENSIBILIDAD 89 dB / SPL 98 dB / RESPUESTA 120 Hz – 20 kHz / PESO 2.15 KG / SERIE ANALOG SPEAKER</t>
  </si>
  <si>
    <t>DS-QAZ0510G1(O-STD)/BLACK</t>
  </si>
  <si>
    <t>ALTAVOZ COLGANTE ANALÓGICO 10W / 100V: 10W, 5W, 2.5W / 70V: 10W, 5W, 2.5W, 1.25W / 8Ω / SENSIBILIDAD 89 dB / SPL 98 dB / RESPUESTA 120 Hz – 20 kHz / PESO 2.105 KG / SERIE ANALOG SPEAKER</t>
  </si>
  <si>
    <t>DS-QAZ0530G1(O-STD)</t>
  </si>
  <si>
    <t>ALTAVOZ COLGANTE ANALÓGICO 30W / 100V: 30W, 15W, 7.5W / 70V: 30W, 15W, 7.5W, 3.25W / 8Ω / SENSIBILIDAD 92 dB / SPL 104 dB / RESPUESTA 80 Hz – 20 kHz / PESO 3.13 KG / SERIE ANALOG SPEAKER</t>
  </si>
  <si>
    <t>DS-QAZ0530G1(O-STD)/BLACK</t>
  </si>
  <si>
    <t>ALTAVOZ COLGANTE ANALÓGICO 30W / 100V: 30W, 15W, 7.5W / 70V: 30W, 15W, 7.5W, 3.25W / 8Ω / SENSIBILIDAD 92 dB / SPL 104 dB / RESPUESTA 80 Hz – 20 kHz / PESO 3.125 KG / SERIE ANALOG SPEAKER</t>
  </si>
  <si>
    <t>DS-QAZ1307G1-E</t>
  </si>
  <si>
    <t>Altavoz de bocina de red de 7 W insertable  PoE 12 VCD 120 dB IP67 Compatible con Hik-Central Reproducción de Audio vía Red Compatible con equipos HIKVISION en General</t>
  </si>
  <si>
    <t>DS-QAZ1206G1-BE</t>
  </si>
  <si>
    <t>RED / TECHO PRINCIPAL / 6 W / 8 Ω / 93 dB / 100 dB SPL / 300–15 kHz / POE‑PLUS / BLUETOOTH 5.0 / DUAL NOR FLASH + EMMC 4 GB / TTS VOZ M/F / ALARMA I/O</t>
  </si>
  <si>
    <t>DS-QAZ1A500G1-VB2</t>
  </si>
  <si>
    <t>AMPLIFICADOR 500 W / 2 ZONAS / USB / BLUETOOTH / MIC / RCA / TTS VOZ M/F / ALARMA I/O / PROGRAMABLE / ISUP/ISAPI / SSL/TLS / 4 GB EMMC / PLÁSTICO / FRECUENCIA 50–20 kHz / CONTROL INDEPENDIENTE</t>
  </si>
  <si>
    <t>DS-PA0103-A</t>
  </si>
  <si>
    <t>ALTAVOZ IP / TRANSMISIÓN DE AUDIO EN TIEMPO REAL / EMISIÓN DE TARJETA 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</si>
</sst>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0"/>
      <name val="Aptos Narrow"/>
      <family val="2"/>
      <scheme val="minor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C00000"/>
        <bgColor rgb="FF000000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5" fillId="0" borderId="0"/>
  </cellStyleXfs>
  <cellXfs count="27">
    <xf numFmtId="0" fontId="0" fillId="0" borderId="0" xfId="0"/>
    <xf numFmtId="164" fontId="2" fillId="0" borderId="1" xfId="1" applyNumberFormat="1" applyFont="1" applyBorder="1" applyAlignment="1" applyProtection="1">
      <alignment vertical="center" wrapText="1"/>
      <protection hidden="1"/>
    </xf>
    <xf numFmtId="0" fontId="2" fillId="0" borderId="0" xfId="0" applyFont="1" applyAlignment="1" applyProtection="1">
      <alignment vertical="center" wrapText="1"/>
      <protection hidden="1"/>
    </xf>
    <xf numFmtId="0" fontId="2" fillId="0" borderId="0" xfId="0" applyFont="1" applyAlignment="1" applyProtection="1">
      <alignment horizontal="left" vertical="center" wrapText="1"/>
      <protection hidden="1"/>
    </xf>
    <xf numFmtId="164" fontId="2" fillId="0" borderId="0" xfId="1" applyNumberFormat="1" applyFont="1" applyBorder="1" applyAlignment="1" applyProtection="1">
      <alignment vertical="center" wrapText="1"/>
      <protection hidden="1"/>
    </xf>
    <xf numFmtId="164" fontId="2" fillId="0" borderId="0" xfId="1" applyNumberFormat="1" applyFont="1" applyBorder="1" applyAlignment="1" applyProtection="1">
      <alignment horizontal="center" vertical="center" wrapText="1"/>
      <protection locked="0" hidden="1"/>
    </xf>
    <xf numFmtId="164" fontId="0" fillId="0" borderId="1" xfId="0" applyNumberFormat="1" applyBorder="1"/>
    <xf numFmtId="164" fontId="4" fillId="0" borderId="1" xfId="1" applyNumberFormat="1" applyFont="1" applyBorder="1" applyAlignment="1" applyProtection="1">
      <alignment horizontal="center" vertical="center" wrapText="1"/>
      <protection hidden="1"/>
    </xf>
    <xf numFmtId="0" fontId="2" fillId="5" borderId="0" xfId="0" applyFont="1" applyFill="1" applyAlignment="1" applyProtection="1">
      <alignment horizontal="left" vertical="center" wrapText="1"/>
      <protection hidden="1"/>
    </xf>
    <xf numFmtId="0" fontId="2" fillId="5" borderId="0" xfId="0" applyFont="1" applyFill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horizontal="center" vertical="center" wrapText="1"/>
      <protection hidden="1"/>
    </xf>
    <xf numFmtId="164" fontId="4" fillId="0" borderId="1" xfId="1" applyNumberFormat="1" applyFont="1" applyFill="1" applyBorder="1" applyAlignment="1">
      <alignment horizontal="center" vertical="center" wrapText="1"/>
    </xf>
    <xf numFmtId="164" fontId="0" fillId="0" borderId="2" xfId="1" applyNumberFormat="1" applyFont="1" applyFill="1" applyBorder="1"/>
    <xf numFmtId="164" fontId="0" fillId="0" borderId="1" xfId="1" applyNumberFormat="1" applyFont="1" applyFill="1" applyBorder="1"/>
    <xf numFmtId="164" fontId="2" fillId="0" borderId="1" xfId="1" applyNumberFormat="1" applyFont="1" applyFill="1" applyBorder="1" applyAlignment="1" applyProtection="1">
      <alignment vertical="center" wrapText="1"/>
      <protection hidden="1"/>
    </xf>
    <xf numFmtId="164" fontId="4" fillId="0" borderId="1" xfId="1" applyNumberFormat="1" applyFont="1" applyBorder="1" applyAlignment="1" applyProtection="1">
      <alignment horizontal="right" vertical="center" wrapText="1"/>
      <protection hidden="1"/>
    </xf>
    <xf numFmtId="164" fontId="2" fillId="0" borderId="2" xfId="1" applyNumberFormat="1" applyFont="1" applyBorder="1" applyAlignment="1" applyProtection="1">
      <alignment vertical="center" wrapText="1"/>
      <protection hidden="1"/>
    </xf>
    <xf numFmtId="164" fontId="2" fillId="6" borderId="3" xfId="1" applyNumberFormat="1" applyFont="1" applyFill="1" applyBorder="1" applyAlignment="1" applyProtection="1">
      <alignment vertical="center" wrapText="1"/>
      <protection hidden="1"/>
    </xf>
    <xf numFmtId="164" fontId="2" fillId="7" borderId="4" xfId="1" applyNumberFormat="1" applyFont="1" applyFill="1" applyBorder="1" applyAlignment="1" applyProtection="1">
      <alignment vertical="center" wrapText="1"/>
      <protection hidden="1"/>
    </xf>
    <xf numFmtId="164" fontId="3" fillId="2" borderId="4" xfId="1" applyNumberFormat="1" applyFont="1" applyFill="1" applyBorder="1" applyAlignment="1">
      <alignment horizontal="center" vertical="center" wrapText="1"/>
    </xf>
    <xf numFmtId="164" fontId="3" fillId="4" borderId="4" xfId="1" applyNumberFormat="1" applyFont="1" applyFill="1" applyBorder="1" applyAlignment="1" applyProtection="1">
      <alignment horizontal="center" vertical="center" wrapText="1"/>
      <protection hidden="1"/>
    </xf>
    <xf numFmtId="164" fontId="2" fillId="0" borderId="4" xfId="1" applyNumberFormat="1" applyFont="1" applyBorder="1" applyAlignment="1" applyProtection="1">
      <alignment vertical="center" wrapText="1"/>
      <protection hidden="1"/>
    </xf>
    <xf numFmtId="164" fontId="3" fillId="3" borderId="4" xfId="1" applyNumberFormat="1" applyFont="1" applyFill="1" applyBorder="1" applyAlignment="1">
      <alignment horizontal="center" vertical="center" wrapText="1"/>
    </xf>
    <xf numFmtId="164" fontId="3" fillId="0" borderId="4" xfId="1" applyNumberFormat="1" applyFont="1" applyBorder="1" applyAlignment="1" applyProtection="1">
      <alignment horizontal="center" vertical="center" wrapText="1"/>
      <protection locked="0" hidden="1"/>
    </xf>
    <xf numFmtId="49" fontId="3" fillId="8" borderId="1" xfId="0" applyNumberFormat="1" applyFont="1" applyFill="1" applyBorder="1" applyAlignment="1" applyProtection="1">
      <alignment horizontal="center" vertical="center" wrapText="1"/>
      <protection hidden="1"/>
    </xf>
    <xf numFmtId="49" fontId="4" fillId="0" borderId="1" xfId="0" applyNumberFormat="1" applyFont="1" applyBorder="1" applyAlignment="1" applyProtection="1">
      <alignment horizontal="center" vertical="center" wrapText="1"/>
      <protection locked="0"/>
    </xf>
    <xf numFmtId="49" fontId="4" fillId="0" borderId="1" xfId="0" applyNumberFormat="1" applyFont="1" applyBorder="1" applyAlignment="1" applyProtection="1">
      <alignment horizontal="center" vertical="center" wrapText="1"/>
      <protection hidden="1"/>
    </xf>
  </cellXfs>
  <cellStyles count="3">
    <cellStyle name="Moneda" xfId="1" builtinId="4"/>
    <cellStyle name="Normal" xfId="0" builtinId="0"/>
    <cellStyle name="Normal 2" xfId="2" xr:uid="{FBA33C15-37D6-4D10-8FF4-9F7B29ABB83A}"/>
  </cellStyles>
  <dxfs count="2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&quot;$&quot;\ * #,##0_-;\-&quot;$&quot;\ * #,##0_-;_-&quot;$&quot;\ * &quot;-&quot;??_-;_-@_-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&quot;$&quot;\ * #,##0_-;\-&quot;$&quot;\ * #,##0_-;_-&quot;$&quot;\ * &quot;-&quot;??_-;_-@_-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numFmt numFmtId="164" formatCode="_-&quot;$&quot;\ * #,##0_-;\-&quot;$&quot;\ * #,##0_-;_-&quot;$&quot;\ 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&quot;$&quot;\ * #,##0_-;\-&quot;$&quot;\ * #,##0_-;_-&quot;$&quot;\ * &quot;-&quot;??_-;_-@_-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&quot;$&quot;\ * #,##0_-;\-&quot;$&quot;\ * #,##0_-;_-&quot;$&quot;\ * &quot;-&quot;??_-;_-@_-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numFmt numFmtId="164" formatCode="_-&quot;$&quot;\ * #,##0_-;\-&quot;$&quot;\ * #,##0_-;_-&quot;$&quot;\ 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&quot;$&quot;\ * #,##0_-;\-&quot;$&quot;\ * #,##0_-;_-&quot;$&quot;\ * &quot;-&quot;??_-;_-@_-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_-&quot;$&quot;\ * #,##0_-;\-&quot;$&quot;\ * #,##0_-;_-&quot;$&quot;\ * &quot;-&quot;??_-;_-@_-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_-&quot;$&quot;\ * #,##0_-;\-&quot;$&quot;\ * #,##0_-;_-&quot;$&quot;\ * &quot;-&quot;??_-;_-@_-"/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_-&quot;$&quot;\ * #,##0_-;\-&quot;$&quot;\ * #,##0_-;_-&quot;$&quot;\ * &quot;-&quot;??_-;_-@_-"/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_-&quot;$&quot;\ * #,##0_-;\-&quot;$&quot;\ * #,##0_-;_-&quot;$&quot;\ * &quot;-&quot;??_-;_-@_-"/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&quot;$&quot;\ * #,##0_-;\-&quot;$&quot;\ * #,##0_-;_-&quot;$&quot;\ * &quot;-&quot;??_-;_-@_-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&quot;$&quot;\ * #,##0_-;\-&quot;$&quot;\ * #,##0_-;_-&quot;$&quot;\ * &quot;-&quot;??_-;_-@_-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_-&quot;$&quot;\ * #,##0_-;\-&quot;$&quot;\ * #,##0_-;_-&quot;$&quot;\ 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_-&quot;$&quot;\ * #,##0_-;\-&quot;$&quot;\ * #,##0_-;_-&quot;$&quot;\ 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_-&quot;$&quot;\ * #,##0_-;\-&quot;$&quot;\ * #,##0_-;_-&quot;$&quot;\ 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_-&quot;$&quot;\ * #,##0_-;\-&quot;$&quot;\ * #,##0_-;_-&quot;$&quot;\ 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_-&quot;$&quot;\ * #,##0_-;\-&quot;$&quot;\ * #,##0_-;_-&quot;$&quot;\ 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0</xdr:rowOff>
    </xdr:from>
    <xdr:ext cx="1123705" cy="0"/>
    <xdr:pic>
      <xdr:nvPicPr>
        <xdr:cNvPr id="2" name="Imagen 1">
          <a:extLst>
            <a:ext uri="{FF2B5EF4-FFF2-40B4-BE49-F238E27FC236}">
              <a16:creationId xmlns:a16="http://schemas.microsoft.com/office/drawing/2014/main" id="{E2213D2B-5F0A-4F48-808E-32F651238E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0"/>
          <a:ext cx="1123705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</xdr:row>
      <xdr:rowOff>0</xdr:rowOff>
    </xdr:from>
    <xdr:ext cx="1080118" cy="0"/>
    <xdr:pic>
      <xdr:nvPicPr>
        <xdr:cNvPr id="3" name="Imagen 2">
          <a:extLst>
            <a:ext uri="{FF2B5EF4-FFF2-40B4-BE49-F238E27FC236}">
              <a16:creationId xmlns:a16="http://schemas.microsoft.com/office/drawing/2014/main" id="{2461B9DD-F238-4ED1-9786-9251B97A4C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05000"/>
          <a:ext cx="1080118" cy="0"/>
        </a:xfrm>
        <a:prstGeom prst="rect">
          <a:avLst/>
        </a:prstGeom>
      </xdr:spPr>
    </xdr:pic>
    <xdr:clientData/>
  </xdr:oneCellAnchor>
  <xdr:twoCellAnchor>
    <xdr:from>
      <xdr:col>0</xdr:col>
      <xdr:colOff>0</xdr:colOff>
      <xdr:row>8</xdr:row>
      <xdr:rowOff>75267</xdr:rowOff>
    </xdr:from>
    <xdr:to>
      <xdr:col>0</xdr:col>
      <xdr:colOff>0</xdr:colOff>
      <xdr:row>8</xdr:row>
      <xdr:rowOff>1123764</xdr:rowOff>
    </xdr:to>
    <xdr:pic>
      <xdr:nvPicPr>
        <xdr:cNvPr id="4" name="Imagen 57">
          <a:extLst>
            <a:ext uri="{FF2B5EF4-FFF2-40B4-BE49-F238E27FC236}">
              <a16:creationId xmlns:a16="http://schemas.microsoft.com/office/drawing/2014/main" id="{E314F9F7-D100-4808-93DD-6C11B22456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789767"/>
          <a:ext cx="0" cy="115047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</xdr:row>
      <xdr:rowOff>75267</xdr:rowOff>
    </xdr:from>
    <xdr:to>
      <xdr:col>0</xdr:col>
      <xdr:colOff>0</xdr:colOff>
      <xdr:row>8</xdr:row>
      <xdr:rowOff>1123764</xdr:rowOff>
    </xdr:to>
    <xdr:pic>
      <xdr:nvPicPr>
        <xdr:cNvPr id="5" name="Imagen 67">
          <a:extLst>
            <a:ext uri="{FF2B5EF4-FFF2-40B4-BE49-F238E27FC236}">
              <a16:creationId xmlns:a16="http://schemas.microsoft.com/office/drawing/2014/main" id="{8D81A8BA-539B-421A-A664-BBF39CBF74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789767"/>
          <a:ext cx="0" cy="115047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</xdr:row>
      <xdr:rowOff>112940</xdr:rowOff>
    </xdr:from>
    <xdr:to>
      <xdr:col>0</xdr:col>
      <xdr:colOff>0</xdr:colOff>
      <xdr:row>4</xdr:row>
      <xdr:rowOff>743816</xdr:rowOff>
    </xdr:to>
    <xdr:pic>
      <xdr:nvPicPr>
        <xdr:cNvPr id="6" name="图片 29">
          <a:extLst>
            <a:ext uri="{FF2B5EF4-FFF2-40B4-BE49-F238E27FC236}">
              <a16:creationId xmlns:a16="http://schemas.microsoft.com/office/drawing/2014/main" id="{CE888F96-DE70-4F9B-BEB0-CA4875249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065440"/>
          <a:ext cx="0" cy="78426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</xdr:row>
      <xdr:rowOff>112940</xdr:rowOff>
    </xdr:from>
    <xdr:to>
      <xdr:col>0</xdr:col>
      <xdr:colOff>0</xdr:colOff>
      <xdr:row>4</xdr:row>
      <xdr:rowOff>743816</xdr:rowOff>
    </xdr:to>
    <xdr:pic>
      <xdr:nvPicPr>
        <xdr:cNvPr id="7" name="图片 29">
          <a:extLst>
            <a:ext uri="{FF2B5EF4-FFF2-40B4-BE49-F238E27FC236}">
              <a16:creationId xmlns:a16="http://schemas.microsoft.com/office/drawing/2014/main" id="{613BB07F-AD57-4AE9-99FC-66C08C9447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065440"/>
          <a:ext cx="0" cy="78426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9</xdr:row>
      <xdr:rowOff>0</xdr:rowOff>
    </xdr:from>
    <xdr:ext cx="1123705" cy="0"/>
    <xdr:pic>
      <xdr:nvPicPr>
        <xdr:cNvPr id="8" name="Imagen 7">
          <a:extLst>
            <a:ext uri="{FF2B5EF4-FFF2-40B4-BE49-F238E27FC236}">
              <a16:creationId xmlns:a16="http://schemas.microsoft.com/office/drawing/2014/main" id="{911F1CD3-1239-4DEB-BB8E-9EDBE09460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09975" y="7334250"/>
          <a:ext cx="1123705" cy="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</xdr:row>
      <xdr:rowOff>0</xdr:rowOff>
    </xdr:from>
    <xdr:ext cx="1080118" cy="0"/>
    <xdr:pic>
      <xdr:nvPicPr>
        <xdr:cNvPr id="9" name="Imagen 8">
          <a:extLst>
            <a:ext uri="{FF2B5EF4-FFF2-40B4-BE49-F238E27FC236}">
              <a16:creationId xmlns:a16="http://schemas.microsoft.com/office/drawing/2014/main" id="{9ABF4F8C-2B18-4C40-AEA3-DFBB657E5B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09975" y="7334250"/>
          <a:ext cx="1080118" cy="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test.uic.asso.fr/d_stats/online/synth2000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microsoft.com/office/2019/04/relationships/externalLinkLongPath" Target="https://cambiumnetworks.sharepoint.com/Users/mgl010/Documents/-%20Docs/Services/%20Services%20P&amp;L/%20-%202017%20Planning/I:/&#20491;&#21029;&#12499;&#12523;&#35413;&#20385;/&#26087;&#35413;&#20385;&#65404;&#65405;&#65411;&#65425;/0911&#25913;&#33391;&#26087;12&#24180;&#35413;&#20385;&#12471;&#12473;&#12486;&#12512;/H14&#24180;&#24230;/&#35336;&#31639;/user2/&#26087;&#35413;&#20385;&#65404;&#65405;&#65411;&#65425;/0911&#25913;&#33391;&#26087;12&#24180;&#35413;&#20385;&#12471;&#12473;&#12486;&#12512;/My%20Documents/12&#24180;&#25913;&#33391;&#20491;&#21029;&#35413;&#20385;&#12471;&#12473;&#12486;&#12512;/'0422/&#32207;&#21512;&#65288;&#22235;&#26376;&#21313;&#20108;&#26085;&#65289;.xls?274218D3" TargetMode="External"/><Relationship Id="rId1" Type="http://schemas.openxmlformats.org/officeDocument/2006/relationships/externalLinkPath" Target="file:///\\274218D3\&#32207;&#21512;&#65288;&#22235;&#26376;&#21313;&#20108;&#26085;&#65289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a0531f13\SYS1\Documents%20and%20Settings\bjagoe\My%20Documents\Data\First%20Reserve\Tri%20Tool\Tri%20Tool%20Template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ORPPLAN\1999\99PLAN\JAN7SUM.WK4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Documents%20and%20Settings/crendon.HMV/Local%20Settings/Temporary%20Internet%20Files/OLK3/8599.xls" TargetMode="External"/><Relationship Id="rId1" Type="http://schemas.openxmlformats.org/officeDocument/2006/relationships/externalLinkPath" Target="/Documents%20and%20Settings/crendon.HMV/Local%20Settings/Temporary%20Internet%20Files/OLK3/8599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tyofsr50\KPMG\FAS\Users\TS\Non_Management\tshima\43%20Milky%20way\%3f%3f%3f%3f\grumpus\grumpus_1\Grampus%20Template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Lista%20de%20Precios%20-%20Cto\Internacionales\Cambium%20Networks\Vigente\C&#225;lculo%20LP%20Vta%20Cambium%20Networks%20(Noviembre%2010-2020)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nalisis%20Semanal%20Cuadros\Informe%20de%20Inventarios\2019\Octubre\INFORME%20INVENTARIOS%20Octubre%2018-2019%20%20-%20Proyecto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pmg_server\c%20drive\aroyc\korea\templates-excel\jinroindustri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_Pays"/>
      <sheetName val="Data_CF"/>
      <sheetName val="Pub"/>
      <sheetName val="rapport annuel"/>
      <sheetName val="miles conversions"/>
      <sheetName val="DataGraph"/>
      <sheetName val="Graph vertical"/>
      <sheetName val="Graph  Edition  Sti"/>
      <sheetName val="添付用"/>
      <sheetName val="添付用_所有"/>
      <sheetName val="synth2000"/>
      <sheetName val="List"/>
    </sheetNames>
    <sheetDataSet>
      <sheetData sheetId="0" refreshError="1"/>
      <sheetData sheetId="1" refreshError="1"/>
      <sheetData sheetId="2" refreshError="1">
        <row r="13">
          <cell r="H13" t="str">
            <v>AAE</v>
          </cell>
          <cell r="I13" t="str">
            <v xml:space="preserve">            "   </v>
          </cell>
          <cell r="J13" t="str">
            <v xml:space="preserve">        "   </v>
          </cell>
          <cell r="K13" t="str">
            <v xml:space="preserve">            "   </v>
          </cell>
          <cell r="L13">
            <v>10</v>
          </cell>
        </row>
        <row r="14">
          <cell r="H14" t="str">
            <v>GVG</v>
          </cell>
          <cell r="I14" t="str">
            <v xml:space="preserve">            "   </v>
          </cell>
          <cell r="J14" t="str">
            <v xml:space="preserve">        "   </v>
          </cell>
          <cell r="K14" t="str">
            <v xml:space="preserve">            "   </v>
          </cell>
          <cell r="L14">
            <v>0</v>
          </cell>
        </row>
        <row r="15">
          <cell r="H15" t="str">
            <v>KEG</v>
          </cell>
          <cell r="I15" t="str">
            <v xml:space="preserve">            "   </v>
          </cell>
          <cell r="J15" t="str">
            <v xml:space="preserve">        "   </v>
          </cell>
          <cell r="K15" t="str">
            <v xml:space="preserve">            "   </v>
          </cell>
          <cell r="L15">
            <v>54</v>
          </cell>
        </row>
        <row r="16">
          <cell r="H16" t="str">
            <v>ÖBB</v>
          </cell>
          <cell r="I16">
            <v>83.858999999999995</v>
          </cell>
          <cell r="J16">
            <v>8.2110000000000003</v>
          </cell>
          <cell r="K16">
            <v>97.914356240832831</v>
          </cell>
          <cell r="L16">
            <v>5683</v>
          </cell>
        </row>
        <row r="17">
          <cell r="H17" t="str">
            <v>GKE</v>
          </cell>
          <cell r="I17" t="str">
            <v xml:space="preserve">            "   </v>
          </cell>
          <cell r="J17" t="str">
            <v xml:space="preserve">        "   </v>
          </cell>
          <cell r="K17" t="str">
            <v xml:space="preserve">            "   </v>
          </cell>
          <cell r="L17">
            <v>97.486999999999995</v>
          </cell>
        </row>
        <row r="18">
          <cell r="H18" t="str">
            <v>SNCB/NMBS</v>
          </cell>
          <cell r="I18">
            <v>30.513999999999999</v>
          </cell>
          <cell r="J18">
            <v>10.161</v>
          </cell>
          <cell r="K18">
            <v>332.99469096152586</v>
          </cell>
          <cell r="L18">
            <v>3471</v>
          </cell>
        </row>
        <row r="19">
          <cell r="H19" t="str">
            <v>DSB</v>
          </cell>
          <cell r="I19">
            <v>43.093000000000004</v>
          </cell>
          <cell r="J19">
            <v>5.2930000000000001</v>
          </cell>
          <cell r="K19">
            <v>122.82737335530132</v>
          </cell>
          <cell r="L19">
            <v>0</v>
          </cell>
        </row>
        <row r="20">
          <cell r="H20" t="str">
            <v>BS</v>
          </cell>
          <cell r="I20" t="str">
            <v xml:space="preserve">            "   </v>
          </cell>
          <cell r="J20" t="str">
            <v xml:space="preserve">        "   </v>
          </cell>
          <cell r="K20" t="str">
            <v xml:space="preserve">            "   </v>
          </cell>
          <cell r="L20">
            <v>2047</v>
          </cell>
        </row>
        <row r="21">
          <cell r="H21" t="str">
            <v>RENFE</v>
          </cell>
          <cell r="I21">
            <v>504.78199999999998</v>
          </cell>
          <cell r="J21">
            <v>39.630000000000003</v>
          </cell>
          <cell r="K21">
            <v>78.50913859844448</v>
          </cell>
          <cell r="L21">
            <v>12310</v>
          </cell>
        </row>
        <row r="22">
          <cell r="H22" t="str">
            <v>Euskotren</v>
          </cell>
          <cell r="I22" t="str">
            <v xml:space="preserve">            "   </v>
          </cell>
          <cell r="J22" t="str">
            <v xml:space="preserve">        "   </v>
          </cell>
          <cell r="K22" t="str">
            <v xml:space="preserve">            "   </v>
          </cell>
          <cell r="L22">
            <v>178</v>
          </cell>
        </row>
        <row r="23">
          <cell r="H23" t="str">
            <v>FEVE</v>
          </cell>
          <cell r="I23" t="str">
            <v xml:space="preserve">            "   </v>
          </cell>
          <cell r="J23" t="str">
            <v xml:space="preserve">        "   </v>
          </cell>
          <cell r="K23" t="str">
            <v xml:space="preserve">            "   </v>
          </cell>
          <cell r="L23">
            <v>1194.0999999999999</v>
          </cell>
        </row>
        <row r="24">
          <cell r="H24" t="str">
            <v>FGC</v>
          </cell>
          <cell r="I24" t="str">
            <v xml:space="preserve">            "   </v>
          </cell>
          <cell r="J24" t="str">
            <v xml:space="preserve">        "   </v>
          </cell>
          <cell r="K24" t="str">
            <v xml:space="preserve">            "   </v>
          </cell>
          <cell r="L24">
            <v>184</v>
          </cell>
        </row>
        <row r="25">
          <cell r="H25" t="str">
            <v>VR</v>
          </cell>
          <cell r="I25">
            <v>338.14499999999998</v>
          </cell>
          <cell r="J25">
            <v>5.1760000000000002</v>
          </cell>
          <cell r="K25">
            <v>15.307042836652917</v>
          </cell>
          <cell r="L25">
            <v>0</v>
          </cell>
        </row>
        <row r="26">
          <cell r="H26" t="str">
            <v>RHK</v>
          </cell>
          <cell r="I26" t="str">
            <v xml:space="preserve">            "   </v>
          </cell>
          <cell r="J26" t="str">
            <v xml:space="preserve">        "   </v>
          </cell>
          <cell r="K26" t="str">
            <v xml:space="preserve">            "   </v>
          </cell>
          <cell r="L26">
            <v>5854</v>
          </cell>
        </row>
        <row r="27">
          <cell r="H27" t="str">
            <v>SNCF</v>
          </cell>
          <cell r="I27">
            <v>547.02599999999995</v>
          </cell>
          <cell r="J27">
            <v>59.08</v>
          </cell>
          <cell r="K27">
            <v>108.00217905547451</v>
          </cell>
          <cell r="L27">
            <v>0</v>
          </cell>
        </row>
        <row r="28">
          <cell r="H28" t="str">
            <v>RFF</v>
          </cell>
          <cell r="I28" t="str">
            <v xml:space="preserve">            "   </v>
          </cell>
          <cell r="J28" t="str">
            <v xml:space="preserve">        "   </v>
          </cell>
          <cell r="K28" t="str">
            <v xml:space="preserve">            "   </v>
          </cell>
          <cell r="L28">
            <v>32515</v>
          </cell>
        </row>
        <row r="29">
          <cell r="H29" t="str">
            <v>CH</v>
          </cell>
          <cell r="I29">
            <v>131.95699999999999</v>
          </cell>
          <cell r="J29">
            <v>10.645</v>
          </cell>
          <cell r="K29">
            <v>80.670218328697985</v>
          </cell>
          <cell r="L29">
            <v>2299</v>
          </cell>
        </row>
        <row r="30">
          <cell r="H30" t="str">
            <v>CIE</v>
          </cell>
          <cell r="I30">
            <v>70.283000000000001</v>
          </cell>
          <cell r="J30">
            <v>3.73</v>
          </cell>
          <cell r="K30">
            <v>53.071155186887296</v>
          </cell>
          <cell r="L30">
            <v>1915</v>
          </cell>
        </row>
        <row r="31">
          <cell r="H31" t="str">
            <v>FNME</v>
          </cell>
          <cell r="I31">
            <v>301.22500000000002</v>
          </cell>
          <cell r="J31">
            <v>57.298000000000002</v>
          </cell>
          <cell r="K31">
            <v>190.21661548676238</v>
          </cell>
          <cell r="L31">
            <v>321</v>
          </cell>
        </row>
        <row r="32">
          <cell r="H32" t="str">
            <v>FS SpA</v>
          </cell>
          <cell r="I32" t="str">
            <v xml:space="preserve">            "   </v>
          </cell>
          <cell r="J32" t="str">
            <v xml:space="preserve">        "   </v>
          </cell>
          <cell r="K32" t="str">
            <v xml:space="preserve">            "   </v>
          </cell>
          <cell r="L32">
            <v>16178</v>
          </cell>
        </row>
        <row r="33">
          <cell r="H33" t="str">
            <v>CFL</v>
          </cell>
          <cell r="I33">
            <v>2.5859999999999999</v>
          </cell>
          <cell r="J33">
            <v>0.43099999999999999</v>
          </cell>
          <cell r="K33">
            <v>166.66666666666669</v>
          </cell>
          <cell r="L33">
            <v>274</v>
          </cell>
        </row>
        <row r="34">
          <cell r="H34" t="str">
            <v>NS N.V.</v>
          </cell>
          <cell r="I34">
            <v>41.527999999999999</v>
          </cell>
          <cell r="J34">
            <v>15.786</v>
          </cell>
          <cell r="K34">
            <v>380.12906954344055</v>
          </cell>
          <cell r="L34">
            <v>0</v>
          </cell>
        </row>
        <row r="35">
          <cell r="H35" t="str">
            <v>Railion</v>
          </cell>
          <cell r="I35" t="str">
            <v xml:space="preserve">            "   </v>
          </cell>
          <cell r="J35" t="str">
            <v xml:space="preserve">        "   </v>
          </cell>
          <cell r="K35" t="str">
            <v xml:space="preserve">            "   </v>
          </cell>
          <cell r="L35">
            <v>0</v>
          </cell>
        </row>
        <row r="36">
          <cell r="H36" t="str">
            <v>RIM</v>
          </cell>
          <cell r="I36" t="str">
            <v xml:space="preserve">            "   </v>
          </cell>
          <cell r="J36" t="str">
            <v xml:space="preserve">        "   </v>
          </cell>
          <cell r="K36" t="str">
            <v xml:space="preserve">            "   </v>
          </cell>
          <cell r="L36">
            <v>2802</v>
          </cell>
        </row>
        <row r="37">
          <cell r="H37" t="str">
            <v>CP</v>
          </cell>
          <cell r="I37">
            <v>92.081999999999994</v>
          </cell>
          <cell r="J37">
            <v>9.875</v>
          </cell>
          <cell r="K37">
            <v>107.24137182076845</v>
          </cell>
          <cell r="L37">
            <v>0</v>
          </cell>
        </row>
        <row r="38">
          <cell r="H38" t="str">
            <v>REFER</v>
          </cell>
          <cell r="I38" t="str">
            <v xml:space="preserve">            "   </v>
          </cell>
          <cell r="J38" t="str">
            <v xml:space="preserve">        "   </v>
          </cell>
          <cell r="K38" t="str">
            <v xml:space="preserve">            "   </v>
          </cell>
          <cell r="L38">
            <v>2814</v>
          </cell>
        </row>
        <row r="39">
          <cell r="H39" t="str">
            <v>ATOC</v>
          </cell>
          <cell r="I39">
            <v>244.04599999999999</v>
          </cell>
          <cell r="J39">
            <v>58.83</v>
          </cell>
          <cell r="K39">
            <v>241.0611114298124</v>
          </cell>
          <cell r="L39">
            <v>0</v>
          </cell>
        </row>
        <row r="40">
          <cell r="H40" t="str">
            <v>Total freight operators</v>
          </cell>
          <cell r="I40" t="str">
            <v xml:space="preserve">            "   </v>
          </cell>
          <cell r="J40" t="str">
            <v xml:space="preserve">        "   </v>
          </cell>
          <cell r="K40" t="str">
            <v xml:space="preserve">            "   </v>
          </cell>
          <cell r="L40">
            <v>0</v>
          </cell>
        </row>
        <row r="41">
          <cell r="H41" t="str">
            <v>Eurotunnel</v>
          </cell>
          <cell r="I41" t="str">
            <v xml:space="preserve">            "   </v>
          </cell>
          <cell r="J41" t="str">
            <v xml:space="preserve">        "   </v>
          </cell>
          <cell r="K41" t="str">
            <v xml:space="preserve">            "   </v>
          </cell>
          <cell r="L41">
            <v>58</v>
          </cell>
        </row>
        <row r="42">
          <cell r="H42" t="str">
            <v>NIR</v>
          </cell>
          <cell r="I42" t="str">
            <v xml:space="preserve">            "   </v>
          </cell>
          <cell r="J42" t="str">
            <v xml:space="preserve">        "   </v>
          </cell>
          <cell r="K42" t="str">
            <v xml:space="preserve">            "   </v>
          </cell>
          <cell r="L42">
            <v>357</v>
          </cell>
        </row>
        <row r="43">
          <cell r="H43" t="str">
            <v>Railtrack</v>
          </cell>
          <cell r="I43" t="str">
            <v xml:space="preserve">            "   </v>
          </cell>
          <cell r="J43" t="str">
            <v xml:space="preserve">        "   </v>
          </cell>
          <cell r="K43" t="str">
            <v xml:space="preserve">            "   </v>
          </cell>
          <cell r="L43">
            <v>16652</v>
          </cell>
        </row>
        <row r="44">
          <cell r="G44" t="str">
            <v>2)</v>
          </cell>
          <cell r="H44" t="str">
            <v>SJ</v>
          </cell>
          <cell r="I44">
            <v>449.964</v>
          </cell>
          <cell r="J44">
            <v>8.91</v>
          </cell>
          <cell r="K44">
            <v>19.801584126730138</v>
          </cell>
          <cell r="L44">
            <v>0</v>
          </cell>
        </row>
        <row r="45">
          <cell r="H45" t="str">
            <v>MTAB</v>
          </cell>
          <cell r="I45" t="str">
            <v xml:space="preserve">            "   </v>
          </cell>
          <cell r="J45" t="str">
            <v xml:space="preserve">        "   </v>
          </cell>
          <cell r="K45" t="str">
            <v xml:space="preserve">            "   </v>
          </cell>
          <cell r="L45">
            <v>0</v>
          </cell>
        </row>
        <row r="46">
          <cell r="H46" t="str">
            <v>BV</v>
          </cell>
          <cell r="I46" t="str">
            <v xml:space="preserve">            "   </v>
          </cell>
          <cell r="J46" t="str">
            <v xml:space="preserve">        "   </v>
          </cell>
          <cell r="K46" t="str">
            <v xml:space="preserve">            "   </v>
          </cell>
          <cell r="L46">
            <v>9946</v>
          </cell>
        </row>
        <row r="47">
          <cell r="H47" t="str">
            <v>BK</v>
          </cell>
          <cell r="I47" t="str">
            <v xml:space="preserve">            "   </v>
          </cell>
          <cell r="J47" t="str">
            <v xml:space="preserve">        "   </v>
          </cell>
          <cell r="K47" t="str">
            <v xml:space="preserve">            "   </v>
          </cell>
          <cell r="L47">
            <v>0</v>
          </cell>
        </row>
        <row r="48">
          <cell r="I48">
            <v>3238.0489999999986</v>
          </cell>
          <cell r="J48">
            <v>375.27600000000001</v>
          </cell>
          <cell r="K48">
            <v>115.89571374614781</v>
          </cell>
          <cell r="L48">
            <v>153801.587</v>
          </cell>
        </row>
        <row r="49">
          <cell r="H49" t="str">
            <v>NSB BA</v>
          </cell>
          <cell r="I49">
            <v>386.95800000000003</v>
          </cell>
          <cell r="J49">
            <v>4.4649999999999999</v>
          </cell>
          <cell r="K49">
            <v>11.538719964440585</v>
          </cell>
          <cell r="L49">
            <v>0</v>
          </cell>
        </row>
        <row r="50">
          <cell r="H50" t="str">
            <v>MTAS</v>
          </cell>
          <cell r="I50" t="str">
            <v xml:space="preserve">            "   </v>
          </cell>
          <cell r="J50" t="str">
            <v xml:space="preserve">        "   </v>
          </cell>
          <cell r="K50" t="str">
            <v xml:space="preserve">            "   </v>
          </cell>
          <cell r="L50">
            <v>0</v>
          </cell>
        </row>
        <row r="51">
          <cell r="H51" t="str">
            <v>JBV</v>
          </cell>
          <cell r="I51" t="str">
            <v xml:space="preserve">            "   </v>
          </cell>
          <cell r="J51" t="str">
            <v xml:space="preserve">        "   </v>
          </cell>
          <cell r="K51" t="str">
            <v xml:space="preserve">            "   </v>
          </cell>
          <cell r="L51">
            <v>4179</v>
          </cell>
        </row>
        <row r="52">
          <cell r="H52" t="str">
            <v>BLS</v>
          </cell>
          <cell r="I52">
            <v>41.283999999999999</v>
          </cell>
          <cell r="J52">
            <v>7.3860000000000001</v>
          </cell>
          <cell r="K52">
            <v>178.90708264703034</v>
          </cell>
          <cell r="L52">
            <v>241</v>
          </cell>
        </row>
        <row r="53">
          <cell r="H53" t="str">
            <v>CFF/SBB/FFS</v>
          </cell>
          <cell r="I53" t="str">
            <v xml:space="preserve">            "   </v>
          </cell>
          <cell r="J53" t="str">
            <v xml:space="preserve">        "   </v>
          </cell>
          <cell r="K53" t="str">
            <v xml:space="preserve">            "   </v>
          </cell>
          <cell r="L53">
            <v>2902</v>
          </cell>
        </row>
        <row r="54">
          <cell r="I54">
            <v>3666.2909999999988</v>
          </cell>
          <cell r="J54">
            <v>387.12700000000001</v>
          </cell>
          <cell r="K54">
            <v>105.59090917769488</v>
          </cell>
          <cell r="L54">
            <v>161123.587</v>
          </cell>
        </row>
        <row r="55">
          <cell r="H55" t="str">
            <v>HSh</v>
          </cell>
          <cell r="I55">
            <v>28.748000000000001</v>
          </cell>
          <cell r="J55">
            <v>3.113</v>
          </cell>
          <cell r="K55">
            <v>108.28579379435091</v>
          </cell>
          <cell r="L55">
            <v>440</v>
          </cell>
        </row>
        <row r="56">
          <cell r="H56" t="str">
            <v>ZBH</v>
          </cell>
          <cell r="I56">
            <v>51.128999999999998</v>
          </cell>
          <cell r="J56">
            <v>3.972</v>
          </cell>
          <cell r="K56">
            <v>77.685853429560524</v>
          </cell>
          <cell r="L56">
            <v>608.495</v>
          </cell>
        </row>
        <row r="57">
          <cell r="H57" t="str">
            <v>ZRS</v>
          </cell>
          <cell r="I57" t="str">
            <v xml:space="preserve">            "   </v>
          </cell>
          <cell r="J57" t="str">
            <v xml:space="preserve">        "   </v>
          </cell>
          <cell r="K57" t="str">
            <v xml:space="preserve">            "   </v>
          </cell>
          <cell r="L57">
            <v>424</v>
          </cell>
        </row>
        <row r="58">
          <cell r="H58" t="str">
            <v>BDZ</v>
          </cell>
          <cell r="I58">
            <v>110.91200000000001</v>
          </cell>
          <cell r="J58">
            <v>8.2249999999999996</v>
          </cell>
          <cell r="K58">
            <v>74.157890940565494</v>
          </cell>
          <cell r="L58">
            <v>4320</v>
          </cell>
        </row>
        <row r="59">
          <cell r="H59" t="str">
            <v>HZ</v>
          </cell>
          <cell r="I59">
            <v>56.537999999999997</v>
          </cell>
          <cell r="J59">
            <v>4.4729999999999999</v>
          </cell>
          <cell r="K59">
            <v>79.114931550461634</v>
          </cell>
          <cell r="L59">
            <v>2726.8</v>
          </cell>
        </row>
        <row r="60">
          <cell r="H60" t="str">
            <v>GYSEV/RÖEE</v>
          </cell>
          <cell r="I60">
            <v>93.03</v>
          </cell>
          <cell r="J60">
            <v>10.036</v>
          </cell>
          <cell r="K60">
            <v>107.87917875953993</v>
          </cell>
          <cell r="L60">
            <v>220</v>
          </cell>
        </row>
        <row r="61">
          <cell r="H61" t="str">
            <v>MÁV Rt.</v>
          </cell>
          <cell r="I61" t="str">
            <v xml:space="preserve">            "   </v>
          </cell>
          <cell r="J61" t="str">
            <v xml:space="preserve">        "   </v>
          </cell>
          <cell r="K61" t="str">
            <v xml:space="preserve">            "   </v>
          </cell>
          <cell r="L61">
            <v>7784</v>
          </cell>
        </row>
        <row r="62">
          <cell r="H62" t="str">
            <v>CFARYM</v>
          </cell>
          <cell r="I62">
            <v>25.713000000000001</v>
          </cell>
          <cell r="J62">
            <v>2.024</v>
          </cell>
          <cell r="K62">
            <v>78.715046863454276</v>
          </cell>
          <cell r="L62">
            <v>699</v>
          </cell>
        </row>
        <row r="63">
          <cell r="H63" t="str">
            <v>PKP</v>
          </cell>
          <cell r="I63">
            <v>312.685</v>
          </cell>
          <cell r="J63">
            <v>38.765000000000001</v>
          </cell>
          <cell r="K63">
            <v>123.97460703263668</v>
          </cell>
          <cell r="L63">
            <v>22560</v>
          </cell>
        </row>
        <row r="64">
          <cell r="H64" t="str">
            <v>CFR</v>
          </cell>
          <cell r="I64">
            <v>238.39099999999999</v>
          </cell>
          <cell r="J64">
            <v>22.327000000000002</v>
          </cell>
          <cell r="K64">
            <v>93.657059201060449</v>
          </cell>
          <cell r="L64">
            <v>11364</v>
          </cell>
        </row>
        <row r="65">
          <cell r="H65" t="str">
            <v>ZSR</v>
          </cell>
          <cell r="I65">
            <v>49</v>
          </cell>
          <cell r="J65">
            <v>5.3869999999999996</v>
          </cell>
          <cell r="K65">
            <v>109.93877551020408</v>
          </cell>
          <cell r="L65">
            <v>3662</v>
          </cell>
        </row>
        <row r="66">
          <cell r="H66" t="str">
            <v>SZ</v>
          </cell>
          <cell r="I66">
            <v>20.256</v>
          </cell>
          <cell r="J66">
            <v>1.986</v>
          </cell>
          <cell r="K66">
            <v>98.045023696682463</v>
          </cell>
          <cell r="L66">
            <v>1201.5</v>
          </cell>
        </row>
        <row r="67">
          <cell r="H67" t="str">
            <v>CD</v>
          </cell>
          <cell r="I67">
            <v>78.864000000000004</v>
          </cell>
          <cell r="J67">
            <v>10.244</v>
          </cell>
          <cell r="K67">
            <v>129.89450192736862</v>
          </cell>
          <cell r="L67">
            <v>9365</v>
          </cell>
        </row>
        <row r="68">
          <cell r="H68" t="str">
            <v>JZ</v>
          </cell>
          <cell r="I68">
            <v>102.173</v>
          </cell>
          <cell r="J68">
            <v>10.64</v>
          </cell>
          <cell r="K68">
            <v>104.13710079962416</v>
          </cell>
          <cell r="L68">
            <v>4057.7</v>
          </cell>
        </row>
        <row r="69">
          <cell r="I69">
            <v>1167.4389999999999</v>
          </cell>
          <cell r="J69">
            <v>121.19200000000001</v>
          </cell>
          <cell r="K69">
            <v>103.81013483359732</v>
          </cell>
          <cell r="L69">
            <v>69432.494999999995</v>
          </cell>
        </row>
        <row r="71">
          <cell r="H71" t="str">
            <v>BC</v>
          </cell>
          <cell r="I71">
            <v>207.6</v>
          </cell>
          <cell r="J71">
            <v>10.236000000000001</v>
          </cell>
          <cell r="K71">
            <v>49.306358381502896</v>
          </cell>
          <cell r="L71">
            <v>5512</v>
          </cell>
        </row>
        <row r="72">
          <cell r="H72" t="str">
            <v>EVR</v>
          </cell>
          <cell r="I72">
            <v>45.225999999999999</v>
          </cell>
          <cell r="J72">
            <v>1.3959999999999999</v>
          </cell>
          <cell r="K72">
            <v>30.867200283023038</v>
          </cell>
          <cell r="L72">
            <v>968</v>
          </cell>
        </row>
        <row r="73">
          <cell r="H73" t="str">
            <v>LDZ</v>
          </cell>
          <cell r="I73">
            <v>64.616</v>
          </cell>
          <cell r="J73">
            <v>2.3570000000000002</v>
          </cell>
          <cell r="K73">
            <v>36.477033552061407</v>
          </cell>
          <cell r="L73">
            <v>2331</v>
          </cell>
        </row>
        <row r="74">
          <cell r="H74" t="str">
            <v>LG</v>
          </cell>
          <cell r="I74">
            <v>65.3</v>
          </cell>
          <cell r="J74">
            <v>3.67</v>
          </cell>
          <cell r="K74">
            <v>56.202143950995413</v>
          </cell>
          <cell r="L74">
            <v>1905</v>
          </cell>
        </row>
        <row r="75">
          <cell r="H75" t="str">
            <v>CFM (E)</v>
          </cell>
          <cell r="I75">
            <v>33.76</v>
          </cell>
          <cell r="J75">
            <v>4.38</v>
          </cell>
          <cell r="K75">
            <v>129.739336492891</v>
          </cell>
          <cell r="L75">
            <v>1139</v>
          </cell>
        </row>
        <row r="76">
          <cell r="H76" t="str">
            <v>RZD</v>
          </cell>
          <cell r="I76">
            <v>17075.400000000001</v>
          </cell>
          <cell r="J76">
            <v>146.934</v>
          </cell>
          <cell r="K76">
            <v>8.6050107171720711</v>
          </cell>
          <cell r="L76">
            <v>86075</v>
          </cell>
        </row>
        <row r="77">
          <cell r="H77" t="str">
            <v>UZ</v>
          </cell>
          <cell r="I77">
            <v>603.70000000000005</v>
          </cell>
          <cell r="J77">
            <v>50.456000000000003</v>
          </cell>
          <cell r="K77">
            <v>83.577936060957427</v>
          </cell>
          <cell r="L77">
            <v>22302</v>
          </cell>
        </row>
        <row r="78">
          <cell r="I78">
            <v>18095.602000000003</v>
          </cell>
          <cell r="J78">
            <v>219.42899999999997</v>
          </cell>
          <cell r="K78">
            <v>12.126095611519304</v>
          </cell>
          <cell r="L78">
            <v>120232</v>
          </cell>
        </row>
        <row r="79">
          <cell r="H79" t="str">
            <v>TCDD</v>
          </cell>
          <cell r="I79">
            <v>779.452</v>
          </cell>
          <cell r="J79">
            <v>66.590999999999994</v>
          </cell>
          <cell r="K79">
            <v>85.433099151711716</v>
          </cell>
          <cell r="L79">
            <v>8671</v>
          </cell>
        </row>
        <row r="80">
          <cell r="I80">
            <v>23708.784000000003</v>
          </cell>
          <cell r="J80">
            <v>794.33900000000006</v>
          </cell>
          <cell r="K80">
            <v>33.503995818596181</v>
          </cell>
          <cell r="L80">
            <v>359459.08199999999</v>
          </cell>
        </row>
        <row r="81">
          <cell r="I81" t="str">
            <v>Tausend</v>
          </cell>
          <cell r="J81" t="str">
            <v>Millionen</v>
          </cell>
          <cell r="K81" t="str">
            <v>Einwohner</v>
          </cell>
          <cell r="L81" t="str">
            <v>in Kilometer</v>
          </cell>
        </row>
        <row r="82">
          <cell r="I82" t="str">
            <v>km²</v>
          </cell>
          <cell r="K82" t="str">
            <v>/km²</v>
          </cell>
          <cell r="L82" t="str">
            <v>Gesamt-</v>
          </cell>
        </row>
        <row r="83">
          <cell r="I83" t="str">
            <v>Fläche des</v>
          </cell>
          <cell r="J83" t="str">
            <v>Bevölke-</v>
          </cell>
          <cell r="K83" t="str">
            <v>Bevölke-</v>
          </cell>
          <cell r="L83" t="str">
            <v>summe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計算過程シート"/>
      <sheetName val="メイン"/>
      <sheetName val="BS"/>
      <sheetName val="土地賃貸借契約の概要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lines"/>
      <sheetName val="To do"/>
      <sheetName val="Issues"/>
      <sheetName val="Requests"/>
      <sheetName val="Questions2"/>
      <sheetName val="Questions1"/>
      <sheetName val="Non op ex"/>
      <sheetName val="Summary IS"/>
      <sheetName val="A"/>
      <sheetName val="Historical IS"/>
      <sheetName val="Hist sales GM"/>
      <sheetName val="EBITDA"/>
      <sheetName val="R&amp;D Rpt"/>
      <sheetName val="R&amp;D"/>
      <sheetName val="Selling Rpt"/>
      <sheetName val="Selling"/>
      <sheetName val="G&amp;A rpt"/>
      <sheetName val="G&amp;A"/>
      <sheetName val="Hdct"/>
      <sheetName val="Other op ex"/>
      <sheetName val="Notes"/>
      <sheetName val="Sheet1"/>
      <sheetName val="DSO"/>
      <sheetName val="NWC graph"/>
      <sheetName val="Income Statement"/>
      <sheetName val="Controls"/>
      <sheetName val="D&amp;A"/>
      <sheetName val="graphs"/>
      <sheetName val="PIA Identifiers"/>
      <sheetName val="Fund Managers"/>
      <sheetName val="Long-Term Care Comps"/>
      <sheetName val="Football"/>
      <sheetName val="LBO Valuation Analysis"/>
      <sheetName val="Sheet1 (2)"/>
      <sheetName val="Sheet3"/>
      <sheetName val="Buy"/>
      <sheetName val="Summary"/>
      <sheetName val="Spin 1"/>
      <sheetName val="Sec Equity"/>
      <sheetName val="GRAPH &amp; SOURCE DATA"/>
      <sheetName val="Projections"/>
      <sheetName val="LBO Assumptions"/>
      <sheetName val="Sale"/>
      <sheetName val="Split"/>
      <sheetName val="TargetDCF"/>
      <sheetName val="Contents"/>
      <sheetName val="model"/>
      <sheetName val="Over"/>
      <sheetName val="P&amp;L"/>
      <sheetName val="Shipping"/>
      <sheetName val="NWCG"/>
      <sheetName val="Valuation Characteristics"/>
      <sheetName val="2010 Liquidity"/>
      <sheetName val="Sheet2"/>
      <sheetName val="Tri Tool Template"/>
      <sheetName val="Input"/>
      <sheetName val="Herramientas para análisis-VBA"/>
      <sheetName val="Valuation Comments"/>
      <sheetName val="Exemption Codes"/>
      <sheetName val="Income Codes"/>
      <sheetName val="Recipient and WHA Status Codes"/>
      <sheetName val="Other drop down options"/>
      <sheetName val="Pivot Unbilled Rev"/>
      <sheetName val="Variance Details"/>
      <sheetName val="Invoices thru Sep"/>
      <sheetName val="Invoices through October"/>
      <sheetName val="103.02 H2O Unbilled Rev GL Dtl"/>
      <sheetName val="Cynthia Rev Sch_Oct as of 11-30"/>
      <sheetName val="Pivot Unbilled PTEs"/>
      <sheetName val="103.03 H2O Unbilled PTEs GL Dtl"/>
      <sheetName val="lookups"/>
      <sheetName val="Ranpak"/>
      <sheetName val="To_do"/>
      <sheetName val="Non_op_ex"/>
      <sheetName val="Summary_IS"/>
      <sheetName val="Historical_IS"/>
      <sheetName val="Hist_sales_GM"/>
      <sheetName val="R&amp;D_Rpt"/>
      <sheetName val="Selling_Rpt"/>
      <sheetName val="G&amp;A_rpt"/>
      <sheetName val="Other_op_ex"/>
      <sheetName val="NWC_grap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dec3 sum"/>
      <sheetName val="asp"/>
      <sheetName val="sap"/>
      <sheetName val="assumptions"/>
      <sheetName val="F"/>
      <sheetName val="cost bonus"/>
      <sheetName val="cost bonus2"/>
      <sheetName val="bod opex"/>
      <sheetName val="chrono"/>
      <sheetName val="revenue"/>
      <sheetName val="units"/>
      <sheetName val="highlights"/>
      <sheetName val="engineering"/>
      <sheetName val="cost file"/>
      <sheetName val="sga"/>
      <sheetName val="sga2"/>
      <sheetName val="Historical IS"/>
      <sheetName val="添付用"/>
      <sheetName val="添付用_所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0">
          <cell r="P10">
            <v>91.7</v>
          </cell>
          <cell r="Q10">
            <v>109.1</v>
          </cell>
          <cell r="R10">
            <v>120.8</v>
          </cell>
        </row>
        <row r="45">
          <cell r="P45">
            <v>148.1</v>
          </cell>
          <cell r="Q45">
            <v>177</v>
          </cell>
          <cell r="R45">
            <v>217.70000000000002</v>
          </cell>
        </row>
        <row r="46">
          <cell r="P46">
            <v>152.30000000000001</v>
          </cell>
          <cell r="Q46">
            <v>188.4</v>
          </cell>
          <cell r="R46">
            <v>213.9</v>
          </cell>
        </row>
        <row r="77">
          <cell r="P77">
            <v>371.2</v>
          </cell>
          <cell r="Q77">
            <v>432</v>
          </cell>
          <cell r="R77">
            <v>468.30000000000007</v>
          </cell>
        </row>
        <row r="78">
          <cell r="P78">
            <v>0</v>
          </cell>
          <cell r="Q78">
            <v>0</v>
          </cell>
          <cell r="R78">
            <v>97.9</v>
          </cell>
        </row>
        <row r="81">
          <cell r="P81" t="str">
            <v xml:space="preserve">1996 </v>
          </cell>
          <cell r="Q81" t="str">
            <v xml:space="preserve">1997 </v>
          </cell>
          <cell r="R81" t="str">
            <v xml:space="preserve">1998 </v>
          </cell>
        </row>
        <row r="82">
          <cell r="P82">
            <v>267.2</v>
          </cell>
          <cell r="Q82">
            <v>326</v>
          </cell>
          <cell r="R82">
            <v>368.1</v>
          </cell>
        </row>
      </sheetData>
      <sheetData sheetId="11" refreshError="1"/>
      <sheetData sheetId="12" refreshError="1"/>
      <sheetData sheetId="13" refreshError="1">
        <row r="7">
          <cell r="P7">
            <v>14.247999999999999</v>
          </cell>
          <cell r="Q7">
            <v>15.250999999999999</v>
          </cell>
          <cell r="R7">
            <v>15.183999999999999</v>
          </cell>
          <cell r="S7">
            <v>14.958</v>
          </cell>
          <cell r="T7">
            <v>26.911000000000001</v>
          </cell>
        </row>
        <row r="16">
          <cell r="P16">
            <v>4.2850000000000001</v>
          </cell>
          <cell r="Q16">
            <v>5.1609999999999996</v>
          </cell>
          <cell r="R16">
            <v>3.298</v>
          </cell>
          <cell r="S16">
            <v>1.7840000000000007</v>
          </cell>
          <cell r="T16">
            <v>10.664000000000001</v>
          </cell>
        </row>
        <row r="42">
          <cell r="Q42">
            <v>14.349999999999998</v>
          </cell>
          <cell r="R42">
            <v>16.510999999999999</v>
          </cell>
          <cell r="S42">
            <v>21.537000000000003</v>
          </cell>
          <cell r="U42">
            <v>17.942999999999998</v>
          </cell>
          <cell r="V42">
            <v>20.970999999999997</v>
          </cell>
          <cell r="W42">
            <v>26.556000000000004</v>
          </cell>
        </row>
        <row r="46">
          <cell r="Q46">
            <v>4.51</v>
          </cell>
          <cell r="R46">
            <v>10.840999999999999</v>
          </cell>
          <cell r="S46">
            <v>14.196999999999999</v>
          </cell>
          <cell r="U46">
            <v>2.0550000000000002</v>
          </cell>
          <cell r="V46">
            <v>2.6640000000000001</v>
          </cell>
          <cell r="W46">
            <v>1.796</v>
          </cell>
        </row>
        <row r="48">
          <cell r="Q48" t="str">
            <v xml:space="preserve">1996 </v>
          </cell>
          <cell r="R48" t="str">
            <v xml:space="preserve">1997 </v>
          </cell>
          <cell r="S48" t="str">
            <v xml:space="preserve">1998 </v>
          </cell>
        </row>
        <row r="49">
          <cell r="Q49">
            <v>2.2290000000000001</v>
          </cell>
          <cell r="R49">
            <v>1</v>
          </cell>
          <cell r="S49">
            <v>1.8</v>
          </cell>
        </row>
        <row r="50">
          <cell r="Q50">
            <v>0</v>
          </cell>
          <cell r="R50">
            <v>0</v>
          </cell>
          <cell r="S50">
            <v>0</v>
          </cell>
        </row>
      </sheetData>
      <sheetData sheetId="14" refreshError="1"/>
      <sheetData sheetId="15" refreshError="1">
        <row r="7">
          <cell r="P7">
            <v>149.6</v>
          </cell>
          <cell r="Q7">
            <v>165.2</v>
          </cell>
          <cell r="R7">
            <v>192</v>
          </cell>
        </row>
        <row r="9">
          <cell r="P9" t="str">
            <v xml:space="preserve">1996 </v>
          </cell>
          <cell r="Q9" t="str">
            <v xml:space="preserve">1997 </v>
          </cell>
          <cell r="R9" t="str">
            <v xml:space="preserve">1998 </v>
          </cell>
        </row>
        <row r="10">
          <cell r="P10">
            <v>22.780569514237854</v>
          </cell>
          <cell r="Q10">
            <v>21.338155515370701</v>
          </cell>
          <cell r="R10">
            <v>20.210695447398745</v>
          </cell>
        </row>
        <row r="11">
          <cell r="P11">
            <v>22.780569514237854</v>
          </cell>
          <cell r="Q11">
            <v>21.338155515370701</v>
          </cell>
          <cell r="R11">
            <v>19.7207855179179</v>
          </cell>
        </row>
        <row r="12">
          <cell r="P12">
            <v>22.780569514237854</v>
          </cell>
          <cell r="Q12">
            <v>21.338155515370701</v>
          </cell>
          <cell r="R12">
            <v>21.925515939079265</v>
          </cell>
        </row>
      </sheetData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resentacion"/>
      <sheetName val="Ejecutivo"/>
      <sheetName val="Resumen_Real"/>
      <sheetName val="TablasDinamicas"/>
      <sheetName val="HorasDetalladas"/>
      <sheetName val="46W9"/>
      <sheetName val="46W9_Hoja1"/>
      <sheetName val="46W9_Cuadro de costos"/>
      <sheetName val="46W9_Bases"/>
      <sheetName val="46W9_ASPECTOS ELECTRICOS"/>
      <sheetName val="46W9_OBRAS CIVILES"/>
      <sheetName val="46W9_Costo directos"/>
      <sheetName val="46W9_Resumen Costos"/>
    </sheetNames>
    <sheetDataSet>
      <sheetData sheetId="0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総括"/>
      <sheetName val="重要総括事項"/>
      <sheetName val="実態分析"/>
      <sheetName val="関係会社投融資評価"/>
      <sheetName val="BS・PL・CF"/>
      <sheetName val="10年"/>
      <sheetName val="デュポン"/>
      <sheetName val="部門別"/>
      <sheetName val="円"/>
      <sheetName val="棒"/>
      <sheetName val="バブル"/>
      <sheetName val="損益"/>
      <sheetName val="人員推移"/>
      <sheetName val="運転資金"/>
      <sheetName val="余剰資産"/>
      <sheetName val="売上債権"/>
      <sheetName val="売上債権 (2)"/>
      <sheetName val="売上債権 (3)"/>
      <sheetName val="貸倒実績"/>
      <sheetName val="棚卸資産"/>
      <sheetName val="棚卸資産 (2)"/>
      <sheetName val="その他流動資産"/>
      <sheetName val="有形・無形固定資産"/>
      <sheetName val="有形・無形固定資産 (減価償却費)"/>
      <sheetName val="有形・無形固定資産 (償却率)"/>
      <sheetName val="有形・無形固定資産 (設備投資)"/>
      <sheetName val="リース債務"/>
      <sheetName val="投資有価証券・貸付金"/>
      <sheetName val="その他投資等"/>
      <sheetName val="仕入債務"/>
      <sheetName val="仕入債務 (2)"/>
      <sheetName val="社債・借入金・現金預金"/>
      <sheetName val="借入金返済スケジュール"/>
      <sheetName val="その他負債"/>
      <sheetName val="退職給付引当金"/>
      <sheetName val="退職給付引当金 (3)"/>
      <sheetName val="資本の部"/>
      <sheetName val="売上高(得意先別）"/>
      <sheetName val="売上高(部門別)"/>
      <sheetName val="売上原価"/>
      <sheetName val="販管費 (本社その他)"/>
      <sheetName val="販管費"/>
      <sheetName val="物流費"/>
      <sheetName val="販売費"/>
      <sheetName val="人件費"/>
      <sheetName val="管理費"/>
      <sheetName val="営業外損益"/>
      <sheetName val="特別損益"/>
      <sheetName val="税金関係"/>
      <sheetName val="税効果"/>
      <sheetName val="不使用（担保提供資産）"/>
      <sheetName val="税金関係 (2)"/>
      <sheetName val="保証債務 "/>
      <sheetName val="関係会社取引"/>
      <sheetName val="03bs"/>
      <sheetName val="02bs"/>
      <sheetName val="01bs"/>
      <sheetName val="03pl"/>
      <sheetName val="02pl"/>
      <sheetName val="01pl"/>
      <sheetName val="Compdata"/>
      <sheetName val="Billto"/>
      <sheetName val="Comp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P VTA LAIRD"/>
      <sheetName val="LP VTA CAMBIUM"/>
      <sheetName val="Cálculo LPVta Laird"/>
      <sheetName val="Cálculo LPVta Cambium"/>
      <sheetName val="STOCK"/>
      <sheetName val="EPMP "/>
      <sheetName val="CnPilot"/>
      <sheetName val="CORE"/>
    </sheetNames>
    <sheetDataSet>
      <sheetData sheetId="0"/>
      <sheetData sheetId="1"/>
      <sheetData sheetId="2"/>
      <sheetData sheetId="3">
        <row r="4">
          <cell r="AA4">
            <v>0.2</v>
          </cell>
        </row>
      </sheetData>
      <sheetData sheetId="4"/>
      <sheetData sheetId="5"/>
      <sheetData sheetId="6"/>
      <sheetData sheetId="7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ock Total Proyectos"/>
      <sheetName val="AXIS Octubre 21-19"/>
      <sheetName val="KANTECH Octubre 21-19"/>
      <sheetName val="FURUKAWA Octubre 21-19"/>
      <sheetName val="TRENDnet Octubre 21-19"/>
      <sheetName val="Bod (01-06-Sat) Proyectos"/>
      <sheetName val="Outlet Proyectos"/>
      <sheetName val="Bazar Proyectos"/>
      <sheetName val="Resumen_In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66">
          <cell r="I66">
            <v>3630216739.0694995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Borrower&amp;Loan Basics"/>
      <sheetName val="Credit Review&amp;Bus Desc"/>
      <sheetName val="Repayment Terms"/>
      <sheetName val="BS &amp; Cap"/>
      <sheetName val="Financials"/>
      <sheetName val="JIN Fin"/>
      <sheetName val="bus-valuation"/>
      <sheetName val="JIN B-S &amp; Cap"/>
      <sheetName val="JIN- Valuation"/>
      <sheetName val="Valuation"/>
      <sheetName val="JIN- PX"/>
      <sheetName val="Comps"/>
      <sheetName val="JIN Sales"/>
      <sheetName val="DEBTS"/>
      <sheetName val="Assets"/>
      <sheetName val="JIN Affilates"/>
      <sheetName val="#REF"/>
      <sheetName val="jinroindustries"/>
      <sheetName val="Keibai"/>
      <sheetName val="計算過程シート"/>
      <sheetName val="部門別(売上-EBITDA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27502D1-91B2-400A-A3DB-26B6794AD059}" name="Tabla111" displayName="Tabla111" ref="A1:T21" totalsRowShown="0" headerRowDxfId="24" headerRowBorderDxfId="23" tableBorderDxfId="22" totalsRowBorderDxfId="21">
  <autoFilter ref="A1:T21" xr:uid="{C34C2694-7347-46C0-8473-0F220A5F904B}"/>
  <tableColumns count="20">
    <tableColumn id="3" xr3:uid="{E673501F-8CE0-4DA6-946C-FC8BE9C31C8B}" name="REFERENCIA" dataDxfId="1"/>
    <tableColumn id="4" xr3:uid="{72841246-E2B3-40BE-BA8E-785D5276198C}" name="DESCRIPCIÓN " dataDxfId="0"/>
    <tableColumn id="5" xr3:uid="{A149C6DC-FC33-498F-8D4F-2033B839FAEF}" name="PRECIO  INSTALADOR_x000a_( CON  IVA)" dataDxfId="20" dataCellStyle="Moneda">
      <calculatedColumnFormula>+Tabla111[[#This Row],[PRECIO SUGERIDO INSTALADOR]]</calculatedColumnFormula>
    </tableColumn>
    <tableColumn id="1" xr3:uid="{885FB296-B6E0-4EE3-8A66-5980A304C139}" name="PRECIO TIENDA ( CON  IVA)" dataDxfId="19" dataCellStyle="Moneda">
      <calculatedColumnFormula>+Tabla111[[#This Row],[PRECIO  INSTALADOR
( CON  IVA)]]-Tabla111[[#This Row],[Columna9]]</calculatedColumnFormula>
    </tableColumn>
    <tableColumn id="18" xr3:uid="{63611152-3AEF-4770-A4D2-67B8A6951292}" name="PRECIO DPP ORO ( CON  IVA)" dataDxfId="18" dataCellStyle="Moneda">
      <calculatedColumnFormula>+Tabla111[[#This Row],[DPP ORO]]</calculatedColumnFormula>
    </tableColumn>
    <tableColumn id="19" xr3:uid="{C76A1A81-ABA7-4FE8-A6D5-12914A8C5073}" name="PRECIO DPP PLATINO ( CON  IVA)" dataDxfId="17" dataCellStyle="Moneda">
      <calculatedColumnFormula>+Tabla111[[#This Row],[PLARTINO]]</calculatedColumnFormula>
    </tableColumn>
    <tableColumn id="20" xr3:uid="{EAA88730-DB51-4528-8809-0293AE33AD82}" name="PRECIO CLIENTE FINAL ( CON  IVA)" dataDxfId="16" dataCellStyle="Moneda">
      <calculatedColumnFormula>+Tabla111[[#This Row],[PRECIO  INSTALADOR
( CON  IVA)]]/0.7</calculatedColumnFormula>
    </tableColumn>
    <tableColumn id="6" xr3:uid="{66E37BBF-EABA-4EE9-B4C9-2D8E963877A2}" name="PRECIO SUGERIDO INSTALADOR_x000a_( CON  IVA)" dataDxfId="15" dataCellStyle="Moneda">
      <calculatedColumnFormula>+P2</calculatedColumnFormula>
    </tableColumn>
    <tableColumn id="7" xr3:uid="{DD6157FF-ED44-47E4-A2CB-E1BD8FC4DE64}" name=" ORO" dataDxfId="14" dataCellStyle="Moneda">
      <calculatedColumnFormula>+N2</calculatedColumnFormula>
    </tableColumn>
    <tableColumn id="8" xr3:uid="{E927791D-5222-4742-AA7D-080D17609BD1}" name="PLATINO" dataDxfId="13" dataCellStyle="Moneda">
      <calculatedColumnFormula>+K2</calculatedColumnFormula>
    </tableColumn>
    <tableColumn id="9" xr3:uid="{A6C2E985-9F49-4C35-9D2B-8017444F1F55}" name="Columna3" dataDxfId="12" dataCellStyle="Moneda">
      <calculatedColumnFormula>+L2/#REF!</calculatedColumnFormula>
    </tableColumn>
    <tableColumn id="10" xr3:uid="{AA446FA5-6D65-48F3-B58A-296662AD0A35}" name="PLARTINO" dataDxfId="11" dataCellStyle="Moneda">
      <calculatedColumnFormula>+O2-M2</calculatedColumnFormula>
    </tableColumn>
    <tableColumn id="11" xr3:uid="{FF08503C-D85F-45A4-92FA-85C2BD9F57B0}" name="DPP PLATINO" dataDxfId="10" dataCellStyle="Moneda">
      <calculatedColumnFormula>+O2*1%</calculatedColumnFormula>
    </tableColumn>
    <tableColumn id="12" xr3:uid="{02499F2D-4054-46CD-839F-AC4BD111D6D4}" name="Columna6" dataDxfId="9" dataCellStyle="Moneda">
      <calculatedColumnFormula>+O2/#REF!</calculatedColumnFormula>
    </tableColumn>
    <tableColumn id="13" xr3:uid="{22C48436-36B8-4358-B01E-1968FF199B59}" name="DPP ORO" dataDxfId="8">
      <calculatedColumnFormula>Tabla111[[#This Row],[ORO SIN IVA]]*1.19</calculatedColumnFormula>
    </tableColumn>
    <tableColumn id="14" xr3:uid="{48B2275C-3399-4D04-A7CF-D30DE60C2587}" name="Columna8" dataDxfId="7" dataCellStyle="Moneda">
      <calculatedColumnFormula>+R2/#REF!</calculatedColumnFormula>
    </tableColumn>
    <tableColumn id="2" xr3:uid="{9F614109-3F19-4652-BBFA-3E55B58FE684}" name="Columna9" dataDxfId="6" dataCellStyle="Moneda">
      <calculatedColumnFormula>+Tabla111[[#This Row],[PRECIO SUGERIDO INSTALADOR]]*5%</calculatedColumnFormula>
    </tableColumn>
    <tableColumn id="15" xr3:uid="{8235EC15-49D8-4536-8770-11230C6969A0}" name="PRECIO SUGERIDO INSTALADOR" dataDxfId="5">
      <calculatedColumnFormula>Tabla111[[#This Row],[INSTALLER SIN IVA]]*1.19</calculatedColumnFormula>
    </tableColumn>
    <tableColumn id="16" xr3:uid="{F8F0A912-B32C-4DED-B65B-E2108583A59B}" name="ORO SIN IVA" dataDxfId="4" dataCellStyle="Moneda"/>
    <tableColumn id="17" xr3:uid="{3F20138F-DD71-4D01-9D20-31BC9F14E7D4}" name="INSTALLER SIN IVA" dataDxfId="3" dataCellStyle="Moneda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2A331-6713-408A-8D51-D8E3769B0A6A}">
  <sheetPr>
    <pageSetUpPr fitToPage="1"/>
  </sheetPr>
  <dimension ref="A1:T22"/>
  <sheetViews>
    <sheetView showGridLines="0" tabSelected="1" view="pageBreakPreview" zoomScale="60" zoomScaleNormal="91" workbookViewId="0">
      <pane xSplit="1" ySplit="1" topLeftCell="B2" activePane="bottomRight" state="frozen"/>
      <selection pane="topRight"/>
      <selection pane="bottomLeft"/>
      <selection pane="bottomRight" activeCell="F17" sqref="F17"/>
    </sheetView>
  </sheetViews>
  <sheetFormatPr baseColWidth="10" defaultColWidth="10.5703125" defaultRowHeight="13.5" x14ac:dyDescent="0.25"/>
  <cols>
    <col min="1" max="2" width="39.5703125" style="8" customWidth="1"/>
    <col min="3" max="3" width="15.140625" style="9" bestFit="1" customWidth="1"/>
    <col min="4" max="4" width="13.85546875" style="9" bestFit="1" customWidth="1"/>
    <col min="5" max="5" width="14" style="9" customWidth="1"/>
    <col min="6" max="6" width="15" style="9" bestFit="1" customWidth="1"/>
    <col min="7" max="7" width="14.28515625" style="9" customWidth="1"/>
    <col min="8" max="8" width="3.5703125" style="4" customWidth="1"/>
    <col min="9" max="9" width="2.42578125" style="5" customWidth="1"/>
    <col min="10" max="10" width="3.28515625" style="5" customWidth="1"/>
    <col min="11" max="11" width="1.5703125" style="5" customWidth="1"/>
    <col min="12" max="12" width="8.85546875" style="5" customWidth="1"/>
    <col min="13" max="13" width="3.5703125" style="5" customWidth="1"/>
    <col min="14" max="14" width="2.140625" style="4" customWidth="1"/>
    <col min="15" max="15" width="12.140625" style="4" customWidth="1"/>
    <col min="16" max="16" width="2.28515625" style="4" customWidth="1"/>
    <col min="17" max="17" width="11.5703125" style="4" customWidth="1"/>
    <col min="18" max="18" width="11.42578125" style="4" customWidth="1"/>
    <col min="19" max="19" width="16.42578125" style="4" customWidth="1"/>
    <col min="20" max="20" width="16" style="4" customWidth="1"/>
    <col min="21" max="16384" width="10.5703125" style="2"/>
  </cols>
  <sheetData>
    <row r="1" spans="1:20" ht="81" customHeight="1" x14ac:dyDescent="0.25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19" t="s">
        <v>11</v>
      </c>
      <c r="I1" s="20" t="s">
        <v>12</v>
      </c>
      <c r="J1" s="22" t="s">
        <v>13</v>
      </c>
      <c r="K1" s="23" t="s">
        <v>7</v>
      </c>
      <c r="L1" s="23" t="s">
        <v>19</v>
      </c>
      <c r="M1" s="22" t="s">
        <v>17</v>
      </c>
      <c r="N1" s="21" t="s">
        <v>8</v>
      </c>
      <c r="O1" s="20" t="s">
        <v>16</v>
      </c>
      <c r="P1" s="19" t="s">
        <v>9</v>
      </c>
      <c r="Q1" s="19" t="s">
        <v>18</v>
      </c>
      <c r="R1" s="19" t="s">
        <v>10</v>
      </c>
      <c r="S1" s="18" t="s">
        <v>14</v>
      </c>
      <c r="T1" s="17" t="s">
        <v>15</v>
      </c>
    </row>
    <row r="2" spans="1:20" ht="42.75" customHeight="1" x14ac:dyDescent="0.25">
      <c r="A2" s="25" t="s">
        <v>20</v>
      </c>
      <c r="B2" s="26" t="s">
        <v>21</v>
      </c>
      <c r="C2" s="11">
        <f>+Tabla111[[#This Row],[PRECIO SUGERIDO INSTALADOR]]</f>
        <v>43592.079999999994</v>
      </c>
      <c r="D2" s="11">
        <f>+Tabla111[[#This Row],[PRECIO  INSTALADOR
( CON  IVA)]]-Tabla111[[#This Row],[Columna9]]</f>
        <v>41412.475999999995</v>
      </c>
      <c r="E2" s="11">
        <f>+Tabla111[[#This Row],[DPP ORO]]</f>
        <v>34231.54</v>
      </c>
      <c r="F2" s="11">
        <f>+Tabla111[[#This Row],[PLARTINO]]</f>
        <v>33889.224600000001</v>
      </c>
      <c r="G2" s="11">
        <f>+Tabla111[[#This Row],[PRECIO  INSTALADOR
( CON  IVA)]]/0.7</f>
        <v>62274.399999999994</v>
      </c>
      <c r="H2" s="14" t="e">
        <f t="shared" ref="H2:H10" si="0">+P2</f>
        <v>#REF!</v>
      </c>
      <c r="I2" s="14" t="e">
        <f t="shared" ref="I2:I10" si="1">+N2</f>
        <v>#REF!</v>
      </c>
      <c r="J2" s="15" t="e">
        <f t="shared" ref="J2:J10" si="2">+K2</f>
        <v>#REF!</v>
      </c>
      <c r="K2" s="15" t="e">
        <f>+L2/#REF!</f>
        <v>#REF!</v>
      </c>
      <c r="L2" s="15">
        <f t="shared" ref="L2:L10" si="3">+O2-M2</f>
        <v>33889.224600000001</v>
      </c>
      <c r="M2" s="7">
        <f t="shared" ref="M2:M10" si="4">+O2*1%</f>
        <v>342.31540000000001</v>
      </c>
      <c r="N2" s="1" t="e">
        <f>+O2/#REF!</f>
        <v>#REF!</v>
      </c>
      <c r="O2" s="6">
        <f>Tabla111[[#This Row],[ORO SIN IVA]]*1.19</f>
        <v>34231.54</v>
      </c>
      <c r="P2" s="14" t="e">
        <f>+R2/#REF!</f>
        <v>#REF!</v>
      </c>
      <c r="Q2" s="14">
        <f>+Tabla111[[#This Row],[PRECIO SUGERIDO INSTALADOR]]*5%</f>
        <v>2179.6039999999998</v>
      </c>
      <c r="R2" s="6">
        <f>Tabla111[[#This Row],[INSTALLER SIN IVA]]*1.19</f>
        <v>43592.079999999994</v>
      </c>
      <c r="S2" s="1">
        <v>28766.000000000004</v>
      </c>
      <c r="T2" s="16">
        <v>36632</v>
      </c>
    </row>
    <row r="3" spans="1:20" ht="40.5" x14ac:dyDescent="0.25">
      <c r="A3" s="25" t="s">
        <v>22</v>
      </c>
      <c r="B3" s="26" t="s">
        <v>23</v>
      </c>
      <c r="C3" s="11">
        <f>+Tabla111[[#This Row],[PRECIO SUGERIDO INSTALADOR]]</f>
        <v>551186.57999999996</v>
      </c>
      <c r="D3" s="11">
        <f>+Tabla111[[#This Row],[PRECIO  INSTALADOR
( CON  IVA)]]-Tabla111[[#This Row],[Columna9]]</f>
        <v>523627.25099999993</v>
      </c>
      <c r="E3" s="11">
        <f>+Tabla111[[#This Row],[DPP ORO]]</f>
        <v>426650.69999999995</v>
      </c>
      <c r="F3" s="11">
        <f>+Tabla111[[#This Row],[PLARTINO]]</f>
        <v>422384.19299999997</v>
      </c>
      <c r="G3" s="11">
        <f>+Tabla111[[#This Row],[PRECIO  INSTALADOR
( CON  IVA)]]/0.7</f>
        <v>787409.4</v>
      </c>
      <c r="H3" s="14" t="e">
        <f t="shared" si="0"/>
        <v>#REF!</v>
      </c>
      <c r="I3" s="14" t="e">
        <f t="shared" si="1"/>
        <v>#REF!</v>
      </c>
      <c r="J3" s="15" t="e">
        <f t="shared" si="2"/>
        <v>#REF!</v>
      </c>
      <c r="K3" s="15" t="e">
        <f>+L3/#REF!</f>
        <v>#REF!</v>
      </c>
      <c r="L3" s="15">
        <f t="shared" si="3"/>
        <v>422384.19299999997</v>
      </c>
      <c r="M3" s="7">
        <f t="shared" si="4"/>
        <v>4266.5069999999996</v>
      </c>
      <c r="N3" s="1" t="e">
        <f>+O3/#REF!</f>
        <v>#REF!</v>
      </c>
      <c r="O3" s="6">
        <f>Tabla111[[#This Row],[ORO SIN IVA]]*1.19</f>
        <v>426650.69999999995</v>
      </c>
      <c r="P3" s="14" t="e">
        <f>+R3/#REF!</f>
        <v>#REF!</v>
      </c>
      <c r="Q3" s="14">
        <f>+Tabla111[[#This Row],[PRECIO SUGERIDO INSTALADOR]]*5%</f>
        <v>27559.328999999998</v>
      </c>
      <c r="R3" s="6">
        <f>Tabla111[[#This Row],[INSTALLER SIN IVA]]*1.19</f>
        <v>551186.57999999996</v>
      </c>
      <c r="S3" s="1">
        <v>358530</v>
      </c>
      <c r="T3" s="16">
        <v>463182</v>
      </c>
    </row>
    <row r="4" spans="1:20" ht="27" x14ac:dyDescent="0.25">
      <c r="A4" s="25" t="s">
        <v>24</v>
      </c>
      <c r="B4" s="26" t="s">
        <v>25</v>
      </c>
      <c r="C4" s="11">
        <f>+Tabla111[[#This Row],[PRECIO SUGERIDO INSTALADOR]]</f>
        <v>271455.65999999997</v>
      </c>
      <c r="D4" s="11">
        <f>+Tabla111[[#This Row],[PRECIO  INSTALADOR
( CON  IVA)]]-Tabla111[[#This Row],[Columna9]]</f>
        <v>257882.87699999998</v>
      </c>
      <c r="E4" s="11">
        <f>+Tabla111[[#This Row],[DPP ORO]]</f>
        <v>213483.62</v>
      </c>
      <c r="F4" s="11">
        <f>+Tabla111[[#This Row],[PLARTINO]]</f>
        <v>211348.7838</v>
      </c>
      <c r="G4" s="11">
        <f>+Tabla111[[#This Row],[PRECIO  INSTALADOR
( CON  IVA)]]/0.7</f>
        <v>387793.8</v>
      </c>
      <c r="H4" s="14" t="e">
        <f t="shared" si="0"/>
        <v>#REF!</v>
      </c>
      <c r="I4" s="14" t="e">
        <f t="shared" si="1"/>
        <v>#REF!</v>
      </c>
      <c r="J4" s="15" t="e">
        <f t="shared" si="2"/>
        <v>#REF!</v>
      </c>
      <c r="K4" s="15" t="e">
        <f>+L4/#REF!</f>
        <v>#REF!</v>
      </c>
      <c r="L4" s="15">
        <f t="shared" si="3"/>
        <v>211348.7838</v>
      </c>
      <c r="M4" s="7">
        <f t="shared" si="4"/>
        <v>2134.8362000000002</v>
      </c>
      <c r="N4" s="1" t="e">
        <f>+O4/#REF!</f>
        <v>#REF!</v>
      </c>
      <c r="O4" s="6">
        <f>Tabla111[[#This Row],[ORO SIN IVA]]*1.19</f>
        <v>213483.62</v>
      </c>
      <c r="P4" s="14" t="e">
        <f>+R4/#REF!</f>
        <v>#REF!</v>
      </c>
      <c r="Q4" s="14">
        <f>+Tabla111[[#This Row],[PRECIO SUGERIDO INSTALADOR]]*5%</f>
        <v>13572.782999999999</v>
      </c>
      <c r="R4" s="6">
        <f>Tabla111[[#This Row],[INSTALLER SIN IVA]]*1.19</f>
        <v>271455.65999999997</v>
      </c>
      <c r="S4" s="1">
        <v>179398</v>
      </c>
      <c r="T4" s="16">
        <v>228114</v>
      </c>
    </row>
    <row r="5" spans="1:20" ht="27" x14ac:dyDescent="0.25">
      <c r="A5" s="25" t="s">
        <v>26</v>
      </c>
      <c r="B5" s="26" t="s">
        <v>27</v>
      </c>
      <c r="C5" s="11">
        <f>+Tabla111[[#This Row],[PRECIO SUGERIDO INSTALADOR]]</f>
        <v>275977.65999999997</v>
      </c>
      <c r="D5" s="11">
        <f>+Tabla111[[#This Row],[PRECIO  INSTALADOR
( CON  IVA)]]-Tabla111[[#This Row],[Columna9]]</f>
        <v>262178.777</v>
      </c>
      <c r="E5" s="11">
        <f>+Tabla111[[#This Row],[DPP ORO]]</f>
        <v>217056</v>
      </c>
      <c r="F5" s="11">
        <f>+Tabla111[[#This Row],[PLARTINO]]</f>
        <v>214885.44</v>
      </c>
      <c r="G5" s="11">
        <f>+Tabla111[[#This Row],[PRECIO  INSTALADOR
( CON  IVA)]]/0.7</f>
        <v>394253.8</v>
      </c>
      <c r="H5" s="14" t="e">
        <f t="shared" si="0"/>
        <v>#REF!</v>
      </c>
      <c r="I5" s="14" t="e">
        <f t="shared" si="1"/>
        <v>#REF!</v>
      </c>
      <c r="J5" s="15" t="e">
        <f t="shared" si="2"/>
        <v>#REF!</v>
      </c>
      <c r="K5" s="15" t="e">
        <f>+L5/#REF!</f>
        <v>#REF!</v>
      </c>
      <c r="L5" s="15">
        <f t="shared" si="3"/>
        <v>214885.44</v>
      </c>
      <c r="M5" s="7">
        <f t="shared" si="4"/>
        <v>2170.56</v>
      </c>
      <c r="N5" s="1" t="e">
        <f>+O5/#REF!</f>
        <v>#REF!</v>
      </c>
      <c r="O5" s="6">
        <f>Tabla111[[#This Row],[ORO SIN IVA]]*1.19</f>
        <v>217056</v>
      </c>
      <c r="P5" s="14" t="e">
        <f>+R5/#REF!</f>
        <v>#REF!</v>
      </c>
      <c r="Q5" s="14">
        <f>+Tabla111[[#This Row],[PRECIO SUGERIDO INSTALADOR]]*5%</f>
        <v>13798.883</v>
      </c>
      <c r="R5" s="6">
        <f>Tabla111[[#This Row],[INSTALLER SIN IVA]]*1.19</f>
        <v>275977.65999999997</v>
      </c>
      <c r="S5" s="1">
        <v>182400</v>
      </c>
      <c r="T5" s="16">
        <v>231914</v>
      </c>
    </row>
    <row r="6" spans="1:20" ht="27" x14ac:dyDescent="0.25">
      <c r="A6" s="25" t="s">
        <v>28</v>
      </c>
      <c r="B6" s="26" t="s">
        <v>29</v>
      </c>
      <c r="C6" s="11">
        <f>+Tabla111[[#This Row],[PRECIO SUGERIDO INSTALADOR]]</f>
        <v>1461329.52</v>
      </c>
      <c r="D6" s="11">
        <f>+Tabla111[[#This Row],[PRECIO  INSTALADOR
( CON  IVA)]]-Tabla111[[#This Row],[Columna9]]</f>
        <v>1388263.044</v>
      </c>
      <c r="E6" s="11">
        <f>+Tabla111[[#This Row],[DPP ORO]]</f>
        <v>1070493.06</v>
      </c>
      <c r="F6" s="11">
        <f>+Tabla111[[#This Row],[PLARTINO]]</f>
        <v>1059788.1294</v>
      </c>
      <c r="G6" s="11">
        <f>+Tabla111[[#This Row],[PRECIO  INSTALADOR
( CON  IVA)]]/0.7</f>
        <v>2087613.6</v>
      </c>
      <c r="H6" s="14" t="e">
        <f t="shared" si="0"/>
        <v>#REF!</v>
      </c>
      <c r="I6" s="14" t="e">
        <f t="shared" si="1"/>
        <v>#REF!</v>
      </c>
      <c r="J6" s="15" t="e">
        <f t="shared" si="2"/>
        <v>#REF!</v>
      </c>
      <c r="K6" s="15" t="e">
        <f>+L6/#REF!</f>
        <v>#REF!</v>
      </c>
      <c r="L6" s="15">
        <f t="shared" si="3"/>
        <v>1059788.1294</v>
      </c>
      <c r="M6" s="7">
        <f t="shared" si="4"/>
        <v>10704.930600000002</v>
      </c>
      <c r="N6" s="1" t="e">
        <f>+O6/#REF!</f>
        <v>#REF!</v>
      </c>
      <c r="O6" s="6">
        <f>Tabla111[[#This Row],[ORO SIN IVA]]*1.19</f>
        <v>1070493.06</v>
      </c>
      <c r="P6" s="14" t="e">
        <f>+R6/#REF!</f>
        <v>#REF!</v>
      </c>
      <c r="Q6" s="14">
        <f>+Tabla111[[#This Row],[PRECIO SUGERIDO INSTALADOR]]*5%</f>
        <v>73066.47600000001</v>
      </c>
      <c r="R6" s="6">
        <f>Tabla111[[#This Row],[INSTALLER SIN IVA]]*1.19</f>
        <v>1461329.52</v>
      </c>
      <c r="S6" s="1">
        <v>899574.00000000012</v>
      </c>
      <c r="T6" s="16">
        <v>1228008</v>
      </c>
    </row>
    <row r="7" spans="1:20" ht="27" x14ac:dyDescent="0.25">
      <c r="A7" s="25" t="s">
        <v>30</v>
      </c>
      <c r="B7" s="26" t="s">
        <v>31</v>
      </c>
      <c r="C7" s="11">
        <f>+Tabla111[[#This Row],[PRECIO SUGERIDO INSTALADOR]]</f>
        <v>1804413.66</v>
      </c>
      <c r="D7" s="11">
        <f>+Tabla111[[#This Row],[PRECIO  INSTALADOR
( CON  IVA)]]-Tabla111[[#This Row],[Columna9]]</f>
        <v>1714192.977</v>
      </c>
      <c r="E7" s="11">
        <f>+Tabla111[[#This Row],[DPP ORO]]</f>
        <v>1321780.5999999999</v>
      </c>
      <c r="F7" s="11">
        <f>+Tabla111[[#This Row],[PLARTINO]]</f>
        <v>1308562.7939999998</v>
      </c>
      <c r="G7" s="11">
        <f>+Tabla111[[#This Row],[PRECIO  INSTALADOR
( CON  IVA)]]/0.7</f>
        <v>2577733.7999999998</v>
      </c>
      <c r="H7" s="14" t="e">
        <f t="shared" si="0"/>
        <v>#REF!</v>
      </c>
      <c r="I7" s="14" t="e">
        <f t="shared" si="1"/>
        <v>#REF!</v>
      </c>
      <c r="J7" s="15" t="e">
        <f t="shared" si="2"/>
        <v>#REF!</v>
      </c>
      <c r="K7" s="15" t="e">
        <f>+L7/#REF!</f>
        <v>#REF!</v>
      </c>
      <c r="L7" s="15">
        <f t="shared" si="3"/>
        <v>1308562.7939999998</v>
      </c>
      <c r="M7" s="7">
        <f t="shared" si="4"/>
        <v>13217.805999999999</v>
      </c>
      <c r="N7" s="1" t="e">
        <f>+O7/#REF!</f>
        <v>#REF!</v>
      </c>
      <c r="O7" s="6">
        <f>Tabla111[[#This Row],[ORO SIN IVA]]*1.19</f>
        <v>1321780.5999999999</v>
      </c>
      <c r="P7" s="14" t="e">
        <f>+R7/#REF!</f>
        <v>#REF!</v>
      </c>
      <c r="Q7" s="14">
        <f>+Tabla111[[#This Row],[PRECIO SUGERIDO INSTALADOR]]*5%</f>
        <v>90220.683000000005</v>
      </c>
      <c r="R7" s="6">
        <f>Tabla111[[#This Row],[INSTALLER SIN IVA]]*1.19</f>
        <v>1804413.66</v>
      </c>
      <c r="S7" s="13">
        <v>1110740</v>
      </c>
      <c r="T7" s="12">
        <v>1516314</v>
      </c>
    </row>
    <row r="8" spans="1:20" ht="54" x14ac:dyDescent="0.25">
      <c r="A8" s="25" t="s">
        <v>32</v>
      </c>
      <c r="B8" s="26" t="s">
        <v>33</v>
      </c>
      <c r="C8" s="11">
        <f>+Tabla111[[#This Row],[PRECIO SUGERIDO INSTALADOR]]</f>
        <v>1162108.78</v>
      </c>
      <c r="D8" s="11">
        <f>+Tabla111[[#This Row],[PRECIO  INSTALADOR
( CON  IVA)]]-Tabla111[[#This Row],[Columna9]]</f>
        <v>1104003.341</v>
      </c>
      <c r="E8" s="11">
        <f>+Tabla111[[#This Row],[DPP ORO]]</f>
        <v>948489.5</v>
      </c>
      <c r="F8" s="11">
        <f>+Tabla111[[#This Row],[PLARTINO]]</f>
        <v>939004.60499999998</v>
      </c>
      <c r="G8" s="11">
        <f>+Tabla111[[#This Row],[PRECIO  INSTALADOR
( CON  IVA)]]/0.7</f>
        <v>1660155.4000000001</v>
      </c>
      <c r="H8" s="14" t="e">
        <f t="shared" si="0"/>
        <v>#REF!</v>
      </c>
      <c r="I8" s="14" t="e">
        <f t="shared" si="1"/>
        <v>#REF!</v>
      </c>
      <c r="J8" s="15" t="e">
        <f t="shared" si="2"/>
        <v>#REF!</v>
      </c>
      <c r="K8" s="15" t="e">
        <f>+L8/#REF!</f>
        <v>#REF!</v>
      </c>
      <c r="L8" s="15">
        <f t="shared" si="3"/>
        <v>939004.60499999998</v>
      </c>
      <c r="M8" s="7">
        <f t="shared" si="4"/>
        <v>9484.8950000000004</v>
      </c>
      <c r="N8" s="1" t="e">
        <f>+O8/#REF!</f>
        <v>#REF!</v>
      </c>
      <c r="O8" s="6">
        <f>Tabla111[[#This Row],[ORO SIN IVA]]*1.19</f>
        <v>948489.5</v>
      </c>
      <c r="P8" s="14" t="e">
        <f>+R8/#REF!</f>
        <v>#REF!</v>
      </c>
      <c r="Q8" s="14">
        <f>+Tabla111[[#This Row],[PRECIO SUGERIDO INSTALADOR]]*5%</f>
        <v>58105.439000000006</v>
      </c>
      <c r="R8" s="6">
        <f>Tabla111[[#This Row],[INSTALLER SIN IVA]]*1.19</f>
        <v>1162108.78</v>
      </c>
      <c r="S8" s="13">
        <v>797050</v>
      </c>
      <c r="T8" s="12">
        <v>976562.00000000012</v>
      </c>
    </row>
    <row r="9" spans="1:20" ht="67.5" x14ac:dyDescent="0.25">
      <c r="A9" s="25" t="s">
        <v>34</v>
      </c>
      <c r="B9" s="26" t="s">
        <v>35</v>
      </c>
      <c r="C9" s="11">
        <f>+Tabla111[[#This Row],[PRECIO SUGERIDO INSTALADOR]]</f>
        <v>548292.5</v>
      </c>
      <c r="D9" s="11">
        <f>+Tabla111[[#This Row],[PRECIO  INSTALADOR
( CON  IVA)]]-Tabla111[[#This Row],[Columna9]]</f>
        <v>520877.875</v>
      </c>
      <c r="E9" s="11">
        <f>+Tabla111[[#This Row],[DPP ORO]]</f>
        <v>265622.27999999997</v>
      </c>
      <c r="F9" s="11">
        <f>+Tabla111[[#This Row],[PLARTINO]]</f>
        <v>262966.05719999998</v>
      </c>
      <c r="G9" s="11">
        <f>+Tabla111[[#This Row],[PRECIO  INSTALADOR
( CON  IVA)]]/0.7</f>
        <v>783275</v>
      </c>
      <c r="H9" s="14" t="e">
        <f t="shared" si="0"/>
        <v>#REF!</v>
      </c>
      <c r="I9" s="14" t="e">
        <f t="shared" si="1"/>
        <v>#REF!</v>
      </c>
      <c r="J9" s="15" t="e">
        <f t="shared" si="2"/>
        <v>#REF!</v>
      </c>
      <c r="K9" s="15" t="e">
        <f>+L9/#REF!</f>
        <v>#REF!</v>
      </c>
      <c r="L9" s="15">
        <f t="shared" si="3"/>
        <v>262966.05719999998</v>
      </c>
      <c r="M9" s="7">
        <f t="shared" si="4"/>
        <v>2656.2227999999996</v>
      </c>
      <c r="N9" s="1" t="e">
        <f>+O9/#REF!</f>
        <v>#REF!</v>
      </c>
      <c r="O9" s="6">
        <f>Tabla111[[#This Row],[ORO SIN IVA]]*1.19</f>
        <v>265622.27999999997</v>
      </c>
      <c r="P9" s="14" t="e">
        <f>+R9/#REF!</f>
        <v>#REF!</v>
      </c>
      <c r="Q9" s="14">
        <f>+Tabla111[[#This Row],[PRECIO SUGERIDO INSTALADOR]]*5%</f>
        <v>27414.625</v>
      </c>
      <c r="R9" s="6">
        <f>Tabla111[[#This Row],[INSTALLER SIN IVA]]*1.19</f>
        <v>548292.5</v>
      </c>
      <c r="S9" s="13">
        <v>223211.99999999997</v>
      </c>
      <c r="T9" s="12">
        <v>460750</v>
      </c>
    </row>
    <row r="10" spans="1:20" ht="40.5" x14ac:dyDescent="0.25">
      <c r="A10" s="25" t="s">
        <v>36</v>
      </c>
      <c r="B10" s="26" t="s">
        <v>37</v>
      </c>
      <c r="C10" s="11">
        <f>+Tabla111[[#This Row],[PRECIO SUGERIDO INSTALADOR]]</f>
        <v>1311741.76</v>
      </c>
      <c r="D10" s="11">
        <f>+Tabla111[[#This Row],[PRECIO  INSTALADOR
( CON  IVA)]]-Tabla111[[#This Row],[Columna9]]</f>
        <v>1246154.672</v>
      </c>
      <c r="E10" s="11">
        <f>+Tabla111[[#This Row],[DPP ORO]]</f>
        <v>1059007.18</v>
      </c>
      <c r="F10" s="11">
        <f>+Tabla111[[#This Row],[PLARTINO]]</f>
        <v>1048417.1081999999</v>
      </c>
      <c r="G10" s="11">
        <f>+Tabla111[[#This Row],[PRECIO  INSTALADOR
( CON  IVA)]]/0.7</f>
        <v>1873916.8</v>
      </c>
      <c r="H10" s="14" t="e">
        <f t="shared" si="0"/>
        <v>#REF!</v>
      </c>
      <c r="I10" s="14" t="e">
        <f t="shared" si="1"/>
        <v>#REF!</v>
      </c>
      <c r="J10" s="15" t="e">
        <f t="shared" si="2"/>
        <v>#REF!</v>
      </c>
      <c r="K10" s="15" t="e">
        <f>+L10/#REF!</f>
        <v>#REF!</v>
      </c>
      <c r="L10" s="15">
        <f t="shared" si="3"/>
        <v>1048417.1081999999</v>
      </c>
      <c r="M10" s="7">
        <f t="shared" si="4"/>
        <v>10590.0718</v>
      </c>
      <c r="N10" s="1" t="e">
        <f>+O10/#REF!</f>
        <v>#REF!</v>
      </c>
      <c r="O10" s="1">
        <f>Tabla111[[#This Row],[ORO SIN IVA]]*1.19</f>
        <v>1059007.18</v>
      </c>
      <c r="P10" s="14" t="e">
        <f>+R10/#REF!</f>
        <v>#REF!</v>
      </c>
      <c r="Q10" s="14">
        <f>+Tabla111[[#This Row],[PRECIO SUGERIDO INSTALADOR]]*5%</f>
        <v>65587.088000000003</v>
      </c>
      <c r="R10" s="1">
        <f>Tabla111[[#This Row],[INSTALLER SIN IVA]]*1.19</f>
        <v>1311741.76</v>
      </c>
      <c r="S10" s="13">
        <v>889922</v>
      </c>
      <c r="T10" s="12">
        <v>1102304</v>
      </c>
    </row>
    <row r="11" spans="1:20" ht="54" x14ac:dyDescent="0.25">
      <c r="A11" s="25" t="s">
        <v>38</v>
      </c>
      <c r="B11" s="26" t="s">
        <v>39</v>
      </c>
      <c r="C11" s="11">
        <f>+Tabla111[[#This Row],[PRECIO SUGERIDO INSTALADOR]]</f>
        <v>171157.69999999998</v>
      </c>
      <c r="D11" s="11">
        <f>+Tabla111[[#This Row],[PRECIO  INSTALADOR
( CON  IVA)]]-Tabla111[[#This Row],[Columna9]]</f>
        <v>162599.81499999997</v>
      </c>
      <c r="E11" s="11">
        <f>+Tabla111[[#This Row],[DPP ORO]]</f>
        <v>134665.16</v>
      </c>
      <c r="F11" s="11">
        <f>+Tabla111[[#This Row],[PLARTINO]]</f>
        <v>133318.50839999999</v>
      </c>
      <c r="G11" s="11">
        <f>+Tabla111[[#This Row],[PRECIO  INSTALADOR
( CON  IVA)]]/0.7</f>
        <v>244511</v>
      </c>
      <c r="H11" s="14" t="e">
        <f t="shared" ref="H11:H21" si="5">+P11</f>
        <v>#REF!</v>
      </c>
      <c r="I11" s="14" t="e">
        <f t="shared" ref="I11:I21" si="6">+N11</f>
        <v>#REF!</v>
      </c>
      <c r="J11" s="15" t="e">
        <f t="shared" ref="J11:J21" si="7">+K11</f>
        <v>#REF!</v>
      </c>
      <c r="K11" s="15" t="e">
        <f>+L11/#REF!</f>
        <v>#REF!</v>
      </c>
      <c r="L11" s="15">
        <f t="shared" ref="L11:L21" si="8">+O11-M11</f>
        <v>133318.50839999999</v>
      </c>
      <c r="M11" s="7">
        <f t="shared" ref="M11:M21" si="9">+O11*1%</f>
        <v>1346.6516000000001</v>
      </c>
      <c r="N11" s="1" t="e">
        <f>+O11/#REF!</f>
        <v>#REF!</v>
      </c>
      <c r="O11" s="1">
        <f>Tabla111[[#This Row],[ORO SIN IVA]]*1.19</f>
        <v>134665.16</v>
      </c>
      <c r="P11" s="14" t="e">
        <f>+R11/#REF!</f>
        <v>#REF!</v>
      </c>
      <c r="Q11" s="14">
        <f>+Tabla111[[#This Row],[PRECIO SUGERIDO INSTALADOR]]*5%</f>
        <v>8557.8850000000002</v>
      </c>
      <c r="R11" s="1">
        <f>Tabla111[[#This Row],[INSTALLER SIN IVA]]*1.19</f>
        <v>171157.69999999998</v>
      </c>
      <c r="S11" s="1">
        <v>113164.00000000001</v>
      </c>
      <c r="T11" s="16">
        <v>143830</v>
      </c>
    </row>
    <row r="12" spans="1:20" ht="67.5" x14ac:dyDescent="0.25">
      <c r="A12" s="25" t="s">
        <v>34</v>
      </c>
      <c r="B12" s="26" t="s">
        <v>35</v>
      </c>
      <c r="C12" s="11">
        <f>+Tabla111[[#This Row],[PRECIO SUGERIDO INSTALADOR]]</f>
        <v>548292.5</v>
      </c>
      <c r="D12" s="11">
        <f>+Tabla111[[#This Row],[PRECIO  INSTALADOR
( CON  IVA)]]-Tabla111[[#This Row],[Columna9]]</f>
        <v>520877.875</v>
      </c>
      <c r="E12" s="11">
        <f>+Tabla111[[#This Row],[DPP ORO]]</f>
        <v>265622.27999999997</v>
      </c>
      <c r="F12" s="11">
        <f>+Tabla111[[#This Row],[PLARTINO]]</f>
        <v>262966.05719999998</v>
      </c>
      <c r="G12" s="11">
        <f>+Tabla111[[#This Row],[PRECIO  INSTALADOR
( CON  IVA)]]/0.7</f>
        <v>783275</v>
      </c>
      <c r="H12" s="14" t="e">
        <f t="shared" si="5"/>
        <v>#REF!</v>
      </c>
      <c r="I12" s="14" t="e">
        <f t="shared" si="6"/>
        <v>#REF!</v>
      </c>
      <c r="J12" s="15" t="e">
        <f t="shared" si="7"/>
        <v>#REF!</v>
      </c>
      <c r="K12" s="15" t="e">
        <f>+L12/#REF!</f>
        <v>#REF!</v>
      </c>
      <c r="L12" s="15">
        <f t="shared" si="8"/>
        <v>262966.05719999998</v>
      </c>
      <c r="M12" s="7">
        <f t="shared" si="9"/>
        <v>2656.2227999999996</v>
      </c>
      <c r="N12" s="1" t="e">
        <f>+O12/#REF!</f>
        <v>#REF!</v>
      </c>
      <c r="O12" s="1">
        <f>Tabla111[[#This Row],[ORO SIN IVA]]*1.19</f>
        <v>265622.27999999997</v>
      </c>
      <c r="P12" s="14" t="e">
        <f>+R12/#REF!</f>
        <v>#REF!</v>
      </c>
      <c r="Q12" s="14">
        <f>+Tabla111[[#This Row],[PRECIO SUGERIDO INSTALADOR]]*5%</f>
        <v>27414.625</v>
      </c>
      <c r="R12" s="1">
        <f>Tabla111[[#This Row],[INSTALLER SIN IVA]]*1.19</f>
        <v>548292.5</v>
      </c>
      <c r="S12" s="1">
        <v>223211.99999999997</v>
      </c>
      <c r="T12" s="16">
        <v>460750</v>
      </c>
    </row>
    <row r="13" spans="1:20" ht="67.5" x14ac:dyDescent="0.25">
      <c r="A13" s="25" t="s">
        <v>40</v>
      </c>
      <c r="B13" s="26" t="s">
        <v>41</v>
      </c>
      <c r="C13" s="11">
        <f>+Tabla111[[#This Row],[PRECIO SUGERIDO INSTALADOR]]</f>
        <v>268968.56</v>
      </c>
      <c r="D13" s="11">
        <f>+Tabla111[[#This Row],[PRECIO  INSTALADOR
( CON  IVA)]]-Tabla111[[#This Row],[Columna9]]</f>
        <v>255520.13199999998</v>
      </c>
      <c r="E13" s="11">
        <f>+Tabla111[[#This Row],[DPP ORO]]</f>
        <v>211539.16</v>
      </c>
      <c r="F13" s="11">
        <f>+Tabla111[[#This Row],[PLARTINO]]</f>
        <v>209423.7684</v>
      </c>
      <c r="G13" s="11">
        <f>+Tabla111[[#This Row],[PRECIO  INSTALADOR
( CON  IVA)]]/0.7</f>
        <v>384240.80000000005</v>
      </c>
      <c r="H13" s="14" t="e">
        <f t="shared" si="5"/>
        <v>#REF!</v>
      </c>
      <c r="I13" s="14" t="e">
        <f t="shared" si="6"/>
        <v>#REF!</v>
      </c>
      <c r="J13" s="15" t="e">
        <f t="shared" si="7"/>
        <v>#REF!</v>
      </c>
      <c r="K13" s="15" t="e">
        <f>+L13/#REF!</f>
        <v>#REF!</v>
      </c>
      <c r="L13" s="15">
        <f t="shared" si="8"/>
        <v>209423.7684</v>
      </c>
      <c r="M13" s="7">
        <f t="shared" si="9"/>
        <v>2115.3915999999999</v>
      </c>
      <c r="N13" s="1" t="e">
        <f>+O13/#REF!</f>
        <v>#REF!</v>
      </c>
      <c r="O13" s="1">
        <f>Tabla111[[#This Row],[ORO SIN IVA]]*1.19</f>
        <v>211539.16</v>
      </c>
      <c r="P13" s="14" t="e">
        <f>+R13/#REF!</f>
        <v>#REF!</v>
      </c>
      <c r="Q13" s="14">
        <f>+Tabla111[[#This Row],[PRECIO SUGERIDO INSTALADOR]]*5%</f>
        <v>13448.428</v>
      </c>
      <c r="R13" s="1">
        <f>Tabla111[[#This Row],[INSTALLER SIN IVA]]*1.19</f>
        <v>268968.56</v>
      </c>
      <c r="S13" s="1">
        <v>177764</v>
      </c>
      <c r="T13" s="16">
        <v>226024</v>
      </c>
    </row>
    <row r="14" spans="1:20" ht="67.5" x14ac:dyDescent="0.25">
      <c r="A14" s="25" t="s">
        <v>42</v>
      </c>
      <c r="B14" s="26" t="s">
        <v>43</v>
      </c>
      <c r="C14" s="11">
        <f>+Tabla111[[#This Row],[PRECIO SUGERIDO INSTALADOR]]</f>
        <v>268968.56</v>
      </c>
      <c r="D14" s="11">
        <f>+Tabla111[[#This Row],[PRECIO  INSTALADOR
( CON  IVA)]]-Tabla111[[#This Row],[Columna9]]</f>
        <v>255520.13199999998</v>
      </c>
      <c r="E14" s="11">
        <f>+Tabla111[[#This Row],[DPP ORO]]</f>
        <v>211539.16</v>
      </c>
      <c r="F14" s="11">
        <f>+Tabla111[[#This Row],[PLARTINO]]</f>
        <v>209423.7684</v>
      </c>
      <c r="G14" s="11">
        <f>+Tabla111[[#This Row],[PRECIO  INSTALADOR
( CON  IVA)]]/0.7</f>
        <v>384240.80000000005</v>
      </c>
      <c r="H14" s="14" t="e">
        <f t="shared" si="5"/>
        <v>#REF!</v>
      </c>
      <c r="I14" s="14" t="e">
        <f t="shared" si="6"/>
        <v>#REF!</v>
      </c>
      <c r="J14" s="15" t="e">
        <f t="shared" si="7"/>
        <v>#REF!</v>
      </c>
      <c r="K14" s="15" t="e">
        <f>+L14/#REF!</f>
        <v>#REF!</v>
      </c>
      <c r="L14" s="15">
        <f t="shared" si="8"/>
        <v>209423.7684</v>
      </c>
      <c r="M14" s="7">
        <f t="shared" si="9"/>
        <v>2115.3915999999999</v>
      </c>
      <c r="N14" s="1" t="e">
        <f>+O14/#REF!</f>
        <v>#REF!</v>
      </c>
      <c r="O14" s="1">
        <f>Tabla111[[#This Row],[ORO SIN IVA]]*1.19</f>
        <v>211539.16</v>
      </c>
      <c r="P14" s="14" t="e">
        <f>+R14/#REF!</f>
        <v>#REF!</v>
      </c>
      <c r="Q14" s="14">
        <f>+Tabla111[[#This Row],[PRECIO SUGERIDO INSTALADOR]]*5%</f>
        <v>13448.428</v>
      </c>
      <c r="R14" s="1">
        <f>Tabla111[[#This Row],[INSTALLER SIN IVA]]*1.19</f>
        <v>268968.56</v>
      </c>
      <c r="S14" s="1">
        <v>177764</v>
      </c>
      <c r="T14" s="16">
        <v>226024</v>
      </c>
    </row>
    <row r="15" spans="1:20" ht="67.5" x14ac:dyDescent="0.25">
      <c r="A15" s="25" t="s">
        <v>44</v>
      </c>
      <c r="B15" s="26" t="s">
        <v>45</v>
      </c>
      <c r="C15" s="11">
        <f>+Tabla111[[#This Row],[PRECIO SUGERIDO INSTALADOR]]</f>
        <v>406392.13999999996</v>
      </c>
      <c r="D15" s="11">
        <f>+Tabla111[[#This Row],[PRECIO  INSTALADOR
( CON  IVA)]]-Tabla111[[#This Row],[Columna9]]</f>
        <v>386072.53299999994</v>
      </c>
      <c r="E15" s="11">
        <f>+Tabla111[[#This Row],[DPP ORO]]</f>
        <v>319660.18</v>
      </c>
      <c r="F15" s="11">
        <f>+Tabla111[[#This Row],[PLARTINO]]</f>
        <v>316463.57819999999</v>
      </c>
      <c r="G15" s="11">
        <f>+Tabla111[[#This Row],[PRECIO  INSTALADOR
( CON  IVA)]]/0.7</f>
        <v>580560.19999999995</v>
      </c>
      <c r="H15" s="14" t="e">
        <f t="shared" si="5"/>
        <v>#REF!</v>
      </c>
      <c r="I15" s="14" t="e">
        <f t="shared" si="6"/>
        <v>#REF!</v>
      </c>
      <c r="J15" s="15" t="e">
        <f t="shared" si="7"/>
        <v>#REF!</v>
      </c>
      <c r="K15" s="15" t="e">
        <f>+L15/#REF!</f>
        <v>#REF!</v>
      </c>
      <c r="L15" s="15">
        <f t="shared" si="8"/>
        <v>316463.57819999999</v>
      </c>
      <c r="M15" s="7">
        <f t="shared" si="9"/>
        <v>3196.6017999999999</v>
      </c>
      <c r="N15" s="1" t="e">
        <f>+O15/#REF!</f>
        <v>#REF!</v>
      </c>
      <c r="O15" s="1">
        <f>Tabla111[[#This Row],[ORO SIN IVA]]*1.19</f>
        <v>319660.18</v>
      </c>
      <c r="P15" s="14" t="e">
        <f>+R15/#REF!</f>
        <v>#REF!</v>
      </c>
      <c r="Q15" s="14">
        <f>+Tabla111[[#This Row],[PRECIO SUGERIDO INSTALADOR]]*5%</f>
        <v>20319.607</v>
      </c>
      <c r="R15" s="1">
        <f>Tabla111[[#This Row],[INSTALLER SIN IVA]]*1.19</f>
        <v>406392.13999999996</v>
      </c>
      <c r="S15" s="1">
        <v>268622</v>
      </c>
      <c r="T15" s="16">
        <v>341506</v>
      </c>
    </row>
    <row r="16" spans="1:20" ht="67.5" x14ac:dyDescent="0.25">
      <c r="A16" s="25" t="s">
        <v>46</v>
      </c>
      <c r="B16" s="26" t="s">
        <v>47</v>
      </c>
      <c r="C16" s="11">
        <f>+Tabla111[[#This Row],[PRECIO SUGERIDO INSTALADOR]]</f>
        <v>406392.13999999996</v>
      </c>
      <c r="D16" s="11">
        <f>+Tabla111[[#This Row],[PRECIO  INSTALADOR
( CON  IVA)]]-Tabla111[[#This Row],[Columna9]]</f>
        <v>386072.53299999994</v>
      </c>
      <c r="E16" s="11">
        <f>+Tabla111[[#This Row],[DPP ORO]]</f>
        <v>319660.18</v>
      </c>
      <c r="F16" s="11">
        <f>+Tabla111[[#This Row],[PLARTINO]]</f>
        <v>316463.57819999999</v>
      </c>
      <c r="G16" s="11">
        <f>+Tabla111[[#This Row],[PRECIO  INSTALADOR
( CON  IVA)]]/0.7</f>
        <v>580560.19999999995</v>
      </c>
      <c r="H16" s="14" t="e">
        <f t="shared" si="5"/>
        <v>#REF!</v>
      </c>
      <c r="I16" s="14" t="e">
        <f t="shared" si="6"/>
        <v>#REF!</v>
      </c>
      <c r="J16" s="15" t="e">
        <f t="shared" si="7"/>
        <v>#REF!</v>
      </c>
      <c r="K16" s="15" t="e">
        <f>+L16/#REF!</f>
        <v>#REF!</v>
      </c>
      <c r="L16" s="15">
        <f t="shared" si="8"/>
        <v>316463.57819999999</v>
      </c>
      <c r="M16" s="7">
        <f t="shared" si="9"/>
        <v>3196.6017999999999</v>
      </c>
      <c r="N16" s="1" t="e">
        <f>+O16/#REF!</f>
        <v>#REF!</v>
      </c>
      <c r="O16" s="1">
        <f>Tabla111[[#This Row],[ORO SIN IVA]]*1.19</f>
        <v>319660.18</v>
      </c>
      <c r="P16" s="14" t="e">
        <f>+R16/#REF!</f>
        <v>#REF!</v>
      </c>
      <c r="Q16" s="14">
        <f>+Tabla111[[#This Row],[PRECIO SUGERIDO INSTALADOR]]*5%</f>
        <v>20319.607</v>
      </c>
      <c r="R16" s="1">
        <f>Tabla111[[#This Row],[INSTALLER SIN IVA]]*1.19</f>
        <v>406392.13999999996</v>
      </c>
      <c r="S16" s="1">
        <v>268622</v>
      </c>
      <c r="T16" s="16">
        <v>341506</v>
      </c>
    </row>
    <row r="17" spans="1:20" ht="54" x14ac:dyDescent="0.25">
      <c r="A17" s="25" t="s">
        <v>48</v>
      </c>
      <c r="B17" s="26" t="s">
        <v>49</v>
      </c>
      <c r="C17" s="11">
        <f>+Tabla111[[#This Row],[PRECIO SUGERIDO INSTALADOR]]</f>
        <v>1184899.6599999999</v>
      </c>
      <c r="D17" s="11">
        <f>+Tabla111[[#This Row],[PRECIO  INSTALADOR
( CON  IVA)]]-Tabla111[[#This Row],[Columna9]]</f>
        <v>1125654.6769999999</v>
      </c>
      <c r="E17" s="11">
        <f>+Tabla111[[#This Row],[DPP ORO]]</f>
        <v>956583.88</v>
      </c>
      <c r="F17" s="11">
        <f>+Tabla111[[#This Row],[PLARTINO]]</f>
        <v>947018.04119999998</v>
      </c>
      <c r="G17" s="11">
        <f>+Tabla111[[#This Row],[PRECIO  INSTALADOR
( CON  IVA)]]/0.7</f>
        <v>1692713.8</v>
      </c>
      <c r="H17" s="14" t="e">
        <f t="shared" si="5"/>
        <v>#REF!</v>
      </c>
      <c r="I17" s="14" t="e">
        <f t="shared" si="6"/>
        <v>#REF!</v>
      </c>
      <c r="J17" s="15" t="e">
        <f t="shared" si="7"/>
        <v>#REF!</v>
      </c>
      <c r="K17" s="15" t="e">
        <f>+L17/#REF!</f>
        <v>#REF!</v>
      </c>
      <c r="L17" s="15">
        <f t="shared" si="8"/>
        <v>947018.04119999998</v>
      </c>
      <c r="M17" s="7">
        <f t="shared" si="9"/>
        <v>9565.8387999999995</v>
      </c>
      <c r="N17" s="1" t="e">
        <f>+O17/#REF!</f>
        <v>#REF!</v>
      </c>
      <c r="O17" s="1">
        <f>Tabla111[[#This Row],[ORO SIN IVA]]*1.19</f>
        <v>956583.88</v>
      </c>
      <c r="P17" s="14" t="e">
        <f>+R17/#REF!</f>
        <v>#REF!</v>
      </c>
      <c r="Q17" s="14">
        <f>+Tabla111[[#This Row],[PRECIO SUGERIDO INSTALADOR]]*5%</f>
        <v>59244.983</v>
      </c>
      <c r="R17" s="1">
        <f>Tabla111[[#This Row],[INSTALLER SIN IVA]]*1.19</f>
        <v>1184899.6599999999</v>
      </c>
      <c r="S17" s="1">
        <v>803852</v>
      </c>
      <c r="T17" s="16">
        <v>995714</v>
      </c>
    </row>
    <row r="18" spans="1:20" ht="54" x14ac:dyDescent="0.25">
      <c r="A18" s="25" t="s">
        <v>50</v>
      </c>
      <c r="B18" s="26" t="s">
        <v>51</v>
      </c>
      <c r="C18" s="11">
        <f>+Tabla111[[#This Row],[PRECIO SUGERIDO INSTALADOR]]</f>
        <v>560818.43999999994</v>
      </c>
      <c r="D18" s="11">
        <f>+Tabla111[[#This Row],[PRECIO  INSTALADOR
( CON  IVA)]]-Tabla111[[#This Row],[Columna9]]</f>
        <v>532777.51799999992</v>
      </c>
      <c r="E18" s="11">
        <f>+Tabla111[[#This Row],[DPP ORO]]</f>
        <v>441075.88</v>
      </c>
      <c r="F18" s="11">
        <f>+Tabla111[[#This Row],[PLARTINO]]</f>
        <v>436665.12119999999</v>
      </c>
      <c r="G18" s="11">
        <f>+Tabla111[[#This Row],[PRECIO  INSTALADOR
( CON  IVA)]]/0.7</f>
        <v>801169.2</v>
      </c>
      <c r="H18" s="14" t="e">
        <f t="shared" si="5"/>
        <v>#REF!</v>
      </c>
      <c r="I18" s="14" t="e">
        <f t="shared" si="6"/>
        <v>#REF!</v>
      </c>
      <c r="J18" s="15" t="e">
        <f t="shared" si="7"/>
        <v>#REF!</v>
      </c>
      <c r="K18" s="15" t="e">
        <f>+L18/#REF!</f>
        <v>#REF!</v>
      </c>
      <c r="L18" s="15">
        <f t="shared" si="8"/>
        <v>436665.12119999999</v>
      </c>
      <c r="M18" s="7">
        <f t="shared" si="9"/>
        <v>4410.7588000000005</v>
      </c>
      <c r="N18" s="1" t="e">
        <f>+O18/#REF!</f>
        <v>#REF!</v>
      </c>
      <c r="O18" s="1">
        <f>Tabla111[[#This Row],[ORO SIN IVA]]*1.19</f>
        <v>441075.88</v>
      </c>
      <c r="P18" s="14" t="e">
        <f>+R18/#REF!</f>
        <v>#REF!</v>
      </c>
      <c r="Q18" s="14">
        <f>+Tabla111[[#This Row],[PRECIO SUGERIDO INSTALADOR]]*5%</f>
        <v>28040.921999999999</v>
      </c>
      <c r="R18" s="1">
        <f>Tabla111[[#This Row],[INSTALLER SIN IVA]]*1.19</f>
        <v>560818.43999999994</v>
      </c>
      <c r="S18" s="1">
        <v>370652</v>
      </c>
      <c r="T18" s="16">
        <v>471276</v>
      </c>
    </row>
    <row r="19" spans="1:20" ht="67.5" x14ac:dyDescent="0.25">
      <c r="A19" s="25" t="s">
        <v>46</v>
      </c>
      <c r="B19" s="26" t="s">
        <v>47</v>
      </c>
      <c r="C19" s="11">
        <f>+Tabla111[[#This Row],[PRECIO SUGERIDO INSTALADOR]]</f>
        <v>406392.13999999996</v>
      </c>
      <c r="D19" s="11">
        <f>+Tabla111[[#This Row],[PRECIO  INSTALADOR
( CON  IVA)]]-Tabla111[[#This Row],[Columna9]]</f>
        <v>386072.53299999994</v>
      </c>
      <c r="E19" s="11">
        <f>+Tabla111[[#This Row],[DPP ORO]]</f>
        <v>319660.18</v>
      </c>
      <c r="F19" s="11">
        <f>+Tabla111[[#This Row],[PLARTINO]]</f>
        <v>316463.57819999999</v>
      </c>
      <c r="G19" s="11">
        <f>+Tabla111[[#This Row],[PRECIO  INSTALADOR
( CON  IVA)]]/0.7</f>
        <v>580560.19999999995</v>
      </c>
      <c r="H19" s="14" t="e">
        <f t="shared" si="5"/>
        <v>#REF!</v>
      </c>
      <c r="I19" s="14" t="e">
        <f t="shared" si="6"/>
        <v>#REF!</v>
      </c>
      <c r="J19" s="15" t="e">
        <f t="shared" si="7"/>
        <v>#REF!</v>
      </c>
      <c r="K19" s="15" t="e">
        <f>+L19/#REF!</f>
        <v>#REF!</v>
      </c>
      <c r="L19" s="15">
        <f t="shared" si="8"/>
        <v>316463.57819999999</v>
      </c>
      <c r="M19" s="7">
        <f t="shared" si="9"/>
        <v>3196.6017999999999</v>
      </c>
      <c r="N19" s="1" t="e">
        <f>+O19/#REF!</f>
        <v>#REF!</v>
      </c>
      <c r="O19" s="1">
        <f>Tabla111[[#This Row],[ORO SIN IVA]]*1.19</f>
        <v>319660.18</v>
      </c>
      <c r="P19" s="14" t="e">
        <f>+R19/#REF!</f>
        <v>#REF!</v>
      </c>
      <c r="Q19" s="14">
        <f>+Tabla111[[#This Row],[PRECIO SUGERIDO INSTALADOR]]*5%</f>
        <v>20319.607</v>
      </c>
      <c r="R19" s="1">
        <f>Tabla111[[#This Row],[INSTALLER SIN IVA]]*1.19</f>
        <v>406392.13999999996</v>
      </c>
      <c r="S19" s="1">
        <v>268622</v>
      </c>
      <c r="T19" s="16">
        <v>341506</v>
      </c>
    </row>
    <row r="20" spans="1:20" ht="67.5" x14ac:dyDescent="0.25">
      <c r="A20" s="25" t="s">
        <v>52</v>
      </c>
      <c r="B20" s="26" t="s">
        <v>53</v>
      </c>
      <c r="C20" s="11">
        <f>+Tabla111[[#This Row],[PRECIO SUGERIDO INSTALADOR]]</f>
        <v>3292603.86</v>
      </c>
      <c r="D20" s="11">
        <f>+Tabla111[[#This Row],[PRECIO  INSTALADOR
( CON  IVA)]]-Tabla111[[#This Row],[Columna9]]</f>
        <v>3127973.6669999999</v>
      </c>
      <c r="E20" s="11">
        <f>+Tabla111[[#This Row],[DPP ORO]]</f>
        <v>3043396.44</v>
      </c>
      <c r="F20" s="11">
        <f>+Tabla111[[#This Row],[PLARTINO]]</f>
        <v>3012962.4756</v>
      </c>
      <c r="G20" s="11">
        <f>+Tabla111[[#This Row],[PRECIO  INSTALADOR
( CON  IVA)]]/0.7</f>
        <v>4703719.8</v>
      </c>
      <c r="H20" s="14" t="e">
        <f t="shared" si="5"/>
        <v>#REF!</v>
      </c>
      <c r="I20" s="14" t="e">
        <f t="shared" si="6"/>
        <v>#REF!</v>
      </c>
      <c r="J20" s="15" t="e">
        <f t="shared" si="7"/>
        <v>#REF!</v>
      </c>
      <c r="K20" s="15" t="e">
        <f>+L20/#REF!</f>
        <v>#REF!</v>
      </c>
      <c r="L20" s="15">
        <f t="shared" si="8"/>
        <v>3012962.4756</v>
      </c>
      <c r="M20" s="7">
        <f t="shared" si="9"/>
        <v>30433.964400000001</v>
      </c>
      <c r="N20" s="1" t="e">
        <f>+O20/#REF!</f>
        <v>#REF!</v>
      </c>
      <c r="O20" s="1">
        <f>Tabla111[[#This Row],[ORO SIN IVA]]*1.19</f>
        <v>3043396.44</v>
      </c>
      <c r="P20" s="14" t="e">
        <f>+R20/#REF!</f>
        <v>#REF!</v>
      </c>
      <c r="Q20" s="14">
        <f>+Tabla111[[#This Row],[PRECIO SUGERIDO INSTALADOR]]*5%</f>
        <v>164630.193</v>
      </c>
      <c r="R20" s="1">
        <f>Tabla111[[#This Row],[INSTALLER SIN IVA]]*1.19</f>
        <v>3292603.86</v>
      </c>
      <c r="S20" s="1">
        <v>2557476</v>
      </c>
      <c r="T20" s="16">
        <v>2766894</v>
      </c>
    </row>
    <row r="21" spans="1:20" ht="27" x14ac:dyDescent="0.25">
      <c r="A21" s="25" t="s">
        <v>54</v>
      </c>
      <c r="B21" s="26" t="s">
        <v>55</v>
      </c>
      <c r="C21" s="11">
        <f>+Tabla111[[#This Row],[PRECIO SUGERIDO INSTALADOR]]</f>
        <v>1631085.4</v>
      </c>
      <c r="D21" s="11">
        <f>+Tabla111[[#This Row],[PRECIO  INSTALADOR
( CON  IVA)]]-Tabla111[[#This Row],[Columna9]]</f>
        <v>1549531.13</v>
      </c>
      <c r="E21" s="11">
        <f>+Tabla111[[#This Row],[DPP ORO]]</f>
        <v>1347962.98</v>
      </c>
      <c r="F21" s="11">
        <f>+Tabla111[[#This Row],[PLARTINO]]</f>
        <v>1334483.3502</v>
      </c>
      <c r="G21" s="11">
        <f>+Tabla111[[#This Row],[PRECIO  INSTALADOR
( CON  IVA)]]/0.7</f>
        <v>2330122</v>
      </c>
      <c r="H21" s="14" t="e">
        <f t="shared" si="5"/>
        <v>#REF!</v>
      </c>
      <c r="I21" s="14" t="e">
        <f t="shared" si="6"/>
        <v>#REF!</v>
      </c>
      <c r="J21" s="15" t="e">
        <f t="shared" si="7"/>
        <v>#REF!</v>
      </c>
      <c r="K21" s="15" t="e">
        <f>+L21/#REF!</f>
        <v>#REF!</v>
      </c>
      <c r="L21" s="15">
        <f t="shared" si="8"/>
        <v>1334483.3502</v>
      </c>
      <c r="M21" s="7">
        <f t="shared" si="9"/>
        <v>13479.629800000001</v>
      </c>
      <c r="N21" s="1" t="e">
        <f>+O21/#REF!</f>
        <v>#REF!</v>
      </c>
      <c r="O21" s="1">
        <f>Tabla111[[#This Row],[ORO SIN IVA]]*1.19</f>
        <v>1347962.98</v>
      </c>
      <c r="P21" s="14" t="e">
        <f>+R21/#REF!</f>
        <v>#REF!</v>
      </c>
      <c r="Q21" s="14">
        <f>+Tabla111[[#This Row],[PRECIO SUGERIDO INSTALADOR]]*5%</f>
        <v>81554.27</v>
      </c>
      <c r="R21" s="1">
        <f>Tabla111[[#This Row],[INSTALLER SIN IVA]]*1.19</f>
        <v>1631085.4</v>
      </c>
      <c r="S21" s="1">
        <v>1132742</v>
      </c>
      <c r="T21" s="16">
        <v>1370660</v>
      </c>
    </row>
    <row r="22" spans="1:20" x14ac:dyDescent="0.25">
      <c r="A22" s="3"/>
      <c r="B22" s="3"/>
      <c r="C22" s="10"/>
      <c r="D22" s="10"/>
      <c r="E22" s="10"/>
      <c r="F22" s="10"/>
      <c r="G22" s="10"/>
    </row>
  </sheetData>
  <sheetProtection selectLockedCells="1"/>
  <pageMargins left="0.7" right="0.7" top="0.75" bottom="0.75" header="0.3" footer="0.3"/>
  <pageSetup paperSize="9" scale="57" fitToHeight="2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HILOOK IP</vt:lpstr>
      <vt:lpstr>'HILOOK IP'!Área_de_impresión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Jenifer Loaiza</dc:creator>
  <cp:lastModifiedBy>Jenifer Loaiza</cp:lastModifiedBy>
  <cp:lastPrinted>2026-09-24T21:51:32Z</cp:lastPrinted>
  <dcterms:created xsi:type="dcterms:W3CDTF">2026-05-12T21:21:34Z</dcterms:created>
  <dcterms:modified xsi:type="dcterms:W3CDTF">2026-09-29T15:01:27Z</dcterms:modified>
</cp:coreProperties>
</file>