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"/>
    </mc:Choice>
  </mc:AlternateContent>
  <xr:revisionPtr revIDLastSave="0" documentId="13_ncr:1_{B6870F12-48F4-4900-B51A-6D3373B2B1FA}" xr6:coauthVersionLast="47" xr6:coauthVersionMax="47" xr10:uidLastSave="{00000000-0000-0000-0000-000000000000}"/>
  <bookViews>
    <workbookView xWindow="23880" yWindow="-120" windowWidth="21840" windowHeight="13140" xr2:uid="{DC06F9B7-02CC-4C7C-87C4-B2C5F6C7BD38}"/>
  </bookViews>
  <sheets>
    <sheet name="ENERLIN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\v" hidden="1">{"'ADV&amp;DP'!$A$4:$C$25"}</definedName>
    <definedName name="_??" hidden="1">{"'?????10.27??????'!$Q$16"}</definedName>
    <definedName name="_????" hidden="1">{"'?????10.27??????'!$Q$16"}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hidden="1">{"'?????10.27??????'!$Q$16"}</definedName>
    <definedName name="_??06" hidden="1">{"'?????10.27??????'!$Q$16"}</definedName>
    <definedName name="_?16??" hidden="1">{"'????'!$A$1:$C$37"}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[2]Pub!$H$13:$H$83</definedName>
    <definedName name="__123Graph_B" hidden="1">[2]Pub!$I$13:$I$83</definedName>
    <definedName name="__123Graph_C" hidden="1">[2]Pub!$J$13:$J$83</definedName>
    <definedName name="__123Graph_D" hidden="1">[2]Pub!$K$13:$K$83</definedName>
    <definedName name="__123Graph_E" hidden="1">[2]Pub!#REF!</definedName>
    <definedName name="__123Graph_F" hidden="1">[2]Pub!$L$13:$L$83</definedName>
    <definedName name="__123Graph_X" hidden="1">[2]Pub!$G$13:$G$83</definedName>
    <definedName name="__DF4" hidden="1">#REF!</definedName>
    <definedName name="__FDS_HYPERLINK_TOGGLE_STATE__" hidden="1">"ON"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[3]計算過程シート!#REF!</definedName>
    <definedName name="_1__123Graph_ACHART_1" hidden="1">'[4]Historical IS'!#REF!</definedName>
    <definedName name="_1__123Graph_AIRR_IRR" hidden="1">#REF!</definedName>
    <definedName name="_10___123Graph_XIRR_IRR" hidden="1">#REF!</definedName>
    <definedName name="_10__123Graph_ACHART_16" hidden="1">[5]engineering!$Q$49:$S$49</definedName>
    <definedName name="_10__123Graph_CCHART_3" hidden="1">'[4]Historical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[5]revenue!$P$77:$R$77</definedName>
    <definedName name="_11__123Graph_CCHART_8" hidden="1">'[4]Historical IS'!#REF!</definedName>
    <definedName name="_12__123Graph_ACHART_18" hidden="1">[5]revenue!$P$82:$R$82</definedName>
    <definedName name="_12__123Graph_AIRR_IRR" hidden="1">#REF!</definedName>
    <definedName name="_12__123Graph_DCHART_1" hidden="1">'[4]Historical IS'!#REF!</definedName>
    <definedName name="_13__123Graph_ACHART_19" hidden="1">[5]sga!$P$7:$R$7</definedName>
    <definedName name="_13__123Graph_AMOF_NB" hidden="1">[3]計算過程シート!#REF!</definedName>
    <definedName name="_13__123Graph_DCHART_8" hidden="1">'[4]Historical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'[4]Historical IS'!#REF!</definedName>
    <definedName name="_15__123Graph_ACHART_20" hidden="1">[5]sga!$P$10:$R$10</definedName>
    <definedName name="_15__123Graph_BIRR_IRR" hidden="1">#REF!</definedName>
    <definedName name="_15__123Graph_LBL_ACHART_4" hidden="1">'[4]Historical IS'!#REF!</definedName>
    <definedName name="_16__123Graph_ACHART_3" hidden="1">#REF!</definedName>
    <definedName name="_16__123Graph_BMOF_NB" hidden="1">#REF!</definedName>
    <definedName name="_16__123Graph_LBL_BCHART_3" hidden="1">'[4]Historical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'[4]Historical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'[4]Historical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'[4]Historical IS'!#REF!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'[4]Historical IS'!#REF!</definedName>
    <definedName name="_20__123Graph_ACHART_7" hidden="1">#REF!</definedName>
    <definedName name="_20__123Graph_XCHART_3" hidden="1">'[4]Historical IS'!#REF!</definedName>
    <definedName name="_20__123Graph_XIRR_IRR" hidden="1">#REF!</definedName>
    <definedName name="_21__123Graph_ACHART_8" hidden="1">#REF!</definedName>
    <definedName name="_21__123Graph_XCHART_4" hidden="1">'[4]Historical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'[4]Historical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[3]計算過程シート!#REF!</definedName>
    <definedName name="_26__123Graph_BCHART_13" hidden="1">[5]engineering!$Q$42:$W$42</definedName>
    <definedName name="_27__123Graph_BCHART_14" hidden="1">[5]engineering!$Q$46:$W$46</definedName>
    <definedName name="_28__123Graph_BCHART_15" hidden="1">#REF!</definedName>
    <definedName name="_29__123Graph_BCHART_16" hidden="1">[5]engineering!$Q$50:$S$50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'[4]Historical IS'!#REF!</definedName>
    <definedName name="_30__123Graph_BCHART_17" hidden="1">[5]revenue!$P$78:$R$78</definedName>
    <definedName name="_31__123Graph_BCHART_2" hidden="1">#REF!</definedName>
    <definedName name="_32__123Graph_BCHART_20" hidden="1">[5]sga!$P$11:$R$11</definedName>
    <definedName name="_33__123Graph_BCHART_3" hidden="1">[5]revenue!$P$10:$R$10</definedName>
    <definedName name="_34__123Graph_BCHART_6" hidden="1">#REF!</definedName>
    <definedName name="_35__123Graph_BCHART_7" hidden="1">[5]revenue!$P$45:$R$45</definedName>
    <definedName name="_36_??06" hidden="1">{"'?????10.27??????'!$Q$16"}</definedName>
    <definedName name="_36__123Graph_BCHART_8" hidden="1">#REF!</definedName>
    <definedName name="_37__123Graph_BCHART_9" hidden="1">[5]engineering!$P$7:$T$7</definedName>
    <definedName name="_38__123Graph_CCHART_1" hidden="1">#REF!</definedName>
    <definedName name="_39__123Graph_CCHART_11" hidden="1">[5]engineering!$P$16:$T$16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'[4]Historical IS'!#REF!</definedName>
    <definedName name="_40__123Graph_CCHART_12" hidden="1">#REF!</definedName>
    <definedName name="_41__123Graph_CCHART_2" hidden="1">#REF!</definedName>
    <definedName name="_42__123Graph_CCHART_20" hidden="1">[5]sga!$P$12:$R$12</definedName>
    <definedName name="_43__123Graph_CCHART_7" hidden="1">[5]revenue!$P$46:$R$46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'[4]Historical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[5]engineering!$Q$48:$S$48</definedName>
    <definedName name="_6___123Graph_AIRR_IRR" hidden="1">#REF!</definedName>
    <definedName name="_6__123Graph_ACHART_12" hidden="1">#REF!</definedName>
    <definedName name="_6__123Graph_BCHART_3" hidden="1">'[4]Historical IS'!#REF!</definedName>
    <definedName name="_60__123Graph_XCHART_18" hidden="1">[5]revenue!$P$81:$R$81</definedName>
    <definedName name="_61__123Graph_XCHART_2" hidden="1">#REF!</definedName>
    <definedName name="_62__123Graph_XCHART_20" hidden="1">[5]sga!$P$9:$R$9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'[4]Historical IS'!#REF!</definedName>
    <definedName name="_78__123Graph_Bｸﾞﾗﾌ_1" hidden="1">#REF!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'[4]Historical IS'!#REF!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'[4]Historical IS'!#REF!</definedName>
    <definedName name="_DF4" hidden="1">#REF!</definedName>
    <definedName name="_Fill" hidden="1">#REF!</definedName>
    <definedName name="_xlnm._FilterDatabase" hidden="1">'[6]46W9'!#REF!</definedName>
    <definedName name="_Key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hidden="1">{"'下期集計（10.27迄・速報値）'!$Q$16"}</definedName>
    <definedName name="anscount" hidden="1">3</definedName>
    <definedName name="AS2DocOpenMode" hidden="1">"AS2DocumentEdit"</definedName>
    <definedName name="AS2HasNoAutoHeaderFooter" hidden="1">" "</definedName>
    <definedName name="asdf" hidden="1">{"'年間台数'!$A$1:$K$20","'中古車登録台数'!$A$1:$I$39"}</definedName>
    <definedName name="BLPH1" hidden="1">'[7]Data sheet'!$A$4</definedName>
    <definedName name="BLPH10" hidden="1">'[7]Data sheet'!$AB$4</definedName>
    <definedName name="BLPH11" hidden="1">'[7]Data sheet'!$AE$4</definedName>
    <definedName name="BLPH12" hidden="1">'[7]Data sheet'!$AH$4</definedName>
    <definedName name="BLPH2" hidden="1">'[7]Data sheet'!$D$4</definedName>
    <definedName name="BLPH3" hidden="1">'[7]Data sheet'!$G$4</definedName>
    <definedName name="BLPH4" hidden="1">'[7]Data sheet'!$J$4</definedName>
    <definedName name="BLPH5" hidden="1">'[7]Data sheet'!$M$4</definedName>
    <definedName name="BLPH6" hidden="1">'[7]Data sheet'!$P$4</definedName>
    <definedName name="BLPH7" hidden="1">'[7]Data sheet'!$S$4</definedName>
    <definedName name="BLPH8" hidden="1">'[7]Data sheet'!$V$4</definedName>
    <definedName name="BLPH9" hidden="1">'[7]Data sheet'!$Y$4</definedName>
    <definedName name="Bridge" hidden="1">{"'Highlights'!$A$1:$M$123"}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hidden="1">{"'下期集計（10.27迄・速報値）'!$Q$16"}</definedName>
    <definedName name="cover" hidden="1">#REF!</definedName>
    <definedName name="efg" hidden="1">{#N/A,#N/A,TRUE,"A"}</definedName>
    <definedName name="fds" hidden="1">{"'下期集計（10.27迄・速報値）'!$Q$16"}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h" hidden="1">{"'Highlights'!$A$1:$M$123"}</definedName>
    <definedName name="ｈ" hidden="1">{"'下期集計（10.27迄・速報値）'!$Q$16"}</definedName>
    <definedName name="H16?1??" hidden="1">{"'????'!$A$1:$C$37"}</definedName>
    <definedName name="Ｈ16・１" hidden="1">{"'コメント'!$A$1:$C$37"}</definedName>
    <definedName name="H16･1速報" hidden="1">{"'コメント'!$A$1:$C$37"}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hidden="1">{"'Highlights'!$A$1:$M$123"}</definedName>
    <definedName name="k" hidden="1">{"'下期集計（10.27迄・速報値）'!$Q$16"}</definedName>
    <definedName name="kjh" hidden="1">{#N/A,#N/A,TRUE,"A"}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hidden="1">{"'下期集計（10.27迄・速報値）'!$Q$16"}</definedName>
    <definedName name="kkk" hidden="1">{"'下期集計（10.27迄・速報値）'!$Q$16"}</definedName>
    <definedName name="lio" hidden="1">{#N/A,#N/A,TRUE,"A"}</definedName>
    <definedName name="LISTA">#REF!</definedName>
    <definedName name="ListOffset" hidden="1">1</definedName>
    <definedName name="MBAS" hidden="1">{"'ADV&amp;DP'!$A$4:$C$25"}</definedName>
    <definedName name="mbs" hidden="1">{"'ADV&amp;DP'!$A$4:$C$25"}</definedName>
    <definedName name="MKK" hidden="1">{"'下期集計（10.27迄・速報値）'!$Q$16"}</definedName>
    <definedName name="mmm" hidden="1">{"'ADV&amp;DP'!$A$4:$C$25"}</definedName>
    <definedName name="MOBILE" hidden="1">{"'ADV&amp;DP'!$A$4:$C$25"}</definedName>
    <definedName name="n" hidden="1">{"'下期集計（10.27迄・速報値）'!$Q$16"}</definedName>
    <definedName name="new" hidden="1">{"'Highlights'!$A$1:$M$123"}</definedName>
    <definedName name="nm" hidden="1">{#N/A,#N/A,TRUE,"A"}</definedName>
    <definedName name="ñlo" hidden="1">{#N/A,#N/A,TRUE,"A"}</definedName>
    <definedName name="ñp" hidden="1">{#N/A,#N/A,TRUE,"A"}</definedName>
    <definedName name="oi" hidden="1">{#N/A,#N/A,TRUE,"A"}</definedName>
    <definedName name="ok" hidden="1">{"'Highlights'!$A$1:$M$123"}</definedName>
    <definedName name="PANELES">#REF!</definedName>
    <definedName name="piu" hidden="1">{#N/A,#N/A,TRUE,"A"}</definedName>
    <definedName name="plo" hidden="1">{#N/A,#N/A,TRUE,"A"}</definedName>
    <definedName name="po" hidden="1">{#N/A,#N/A,TRUE,"A"}</definedName>
    <definedName name="PTSB" hidden="1">{"'Highlights'!$A$1:$M$123"}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hidden="1">{"'下期集計（10.27迄・速報値）'!$Q$16"}</definedName>
    <definedName name="ＲＡＲＯＡ" hidden="1">{"'下期集計（10.27迄・速報値）'!$Q$16"}</definedName>
    <definedName name="RETENCION">'[8]Cálculo LPVta Cambium'!$AA$4</definedName>
    <definedName name="rfg" hidden="1">{#N/A,#N/A,TRUE,"A"}</definedName>
    <definedName name="SAPBEXdnldView" hidden="1">"4X7PHJJ3EF70UJ33CI6YVQIOV"</definedName>
    <definedName name="SAPBEXsysID" hidden="1">"PBK"</definedName>
    <definedName name="SCOG" hidden="1">{"'ADV&amp;DP'!$A$4:$C$25"}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[9]Resumen_Inv!$I$66</definedName>
    <definedName name="t" hidden="1">{"'下期集計（10.27迄・速報値）'!$Q$16"}</definedName>
    <definedName name="tyh" hidden="1">{#N/A,#N/A,TRUE,"A"}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hidden="1">{#N/A,#N/A,TRUE,"A"}</definedName>
    <definedName name="w" hidden="1">{"'下期集計（10.27迄・速報値）'!$Q$16"}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{#N/A,#N/A,FALSE,"1997 WW (Short)";#N/A,#N/A,FALSE,"1997 RF Mfg";#N/A,#N/A,FALSE,"Ancillary-CSM";#N/A,#N/A,FALSE,"1997 Service"}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hidden="1">{#N/A,#N/A,TRUE,"A"}</definedName>
    <definedName name="wrn.EAN3" hidden="1">{#N/A,#N/A,TRUE,"A"}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hidden="1">{#N/A,#N/A,FALSE,"Outlook for Month ";#N/A,#N/A,FALSE,"Risk for Month ";#N/A,#N/A,FALSE,"Upside for Month"}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hidden="1">{#N/A,#N/A,TRUE,"A"}</definedName>
    <definedName name="yhu" hidden="1">{#N/A,#N/A,TRUE,"A"}</definedName>
    <definedName name="ｚ" hidden="1">{"'下期集計（10.27迄・速報値）'!$Q$16"}</definedName>
    <definedName name="Z_086A872D_15DF_436A_8459_CE22F6819FF4_.wvu.Rows" hidden="1">[6]Presentacion!#REF!</definedName>
    <definedName name="Z_D55C8B2E_861A_459E_9D09_3AF38A1DE99E_.wvu.Rows" hidden="1">[6]Presentacion!#REF!</definedName>
    <definedName name="Z_F540D718_D9AA_403F_AE49_60D937FD77E5_.wvu.Rows" hidden="1">[6]Presentacion!#REF!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ｼｰﾄ" hidden="1">[10]計算過程シート!#REF!</definedName>
    <definedName name="なんで" hidden="1">{"'下期集計（10.27迄・速報値）'!$Q$16"}</definedName>
    <definedName name="なんなの" hidden="1">{"'下期集計（10.27迄・速報値）'!$Q$16"}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hidden="1">{"'下期集計（10.27迄・速報値）'!$Q$16"}</definedName>
    <definedName name="評価対象" hidden="1">[10]計算過程シート!#REF!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C8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C19" i="1" l="1"/>
  <c r="C21" i="1"/>
  <c r="C24" i="1"/>
  <c r="C27" i="1"/>
  <c r="C28" i="1"/>
  <c r="C31" i="1"/>
  <c r="C32" i="1"/>
  <c r="C34" i="1"/>
  <c r="C37" i="1"/>
  <c r="C45" i="1"/>
  <c r="C48" i="1"/>
  <c r="C60" i="1"/>
  <c r="C63" i="1"/>
  <c r="C65" i="1"/>
  <c r="C68" i="1"/>
  <c r="C71" i="1"/>
  <c r="C74" i="1"/>
  <c r="C77" i="1"/>
  <c r="C79" i="1"/>
  <c r="C80" i="1"/>
  <c r="C81" i="1"/>
  <c r="C51" i="1"/>
  <c r="C52" i="1"/>
  <c r="C53" i="1"/>
  <c r="C54" i="1"/>
  <c r="C55" i="1"/>
  <c r="C56" i="1"/>
  <c r="C57" i="1"/>
  <c r="C58" i="1"/>
  <c r="C59" i="1"/>
  <c r="C61" i="1"/>
  <c r="C66" i="1"/>
  <c r="C67" i="1"/>
  <c r="C69" i="1"/>
  <c r="C72" i="1"/>
  <c r="C75" i="1"/>
  <c r="C84" i="1"/>
  <c r="C88" i="1"/>
  <c r="C91" i="1"/>
  <c r="C95" i="1"/>
  <c r="C98" i="1"/>
  <c r="C100" i="1"/>
  <c r="C101" i="1"/>
  <c r="C102" i="1"/>
  <c r="C103" i="1"/>
  <c r="C104" i="1"/>
  <c r="C9" i="1"/>
  <c r="C11" i="1"/>
  <c r="C12" i="1"/>
  <c r="C14" i="1"/>
  <c r="C17" i="1"/>
  <c r="C18" i="1"/>
  <c r="C22" i="1"/>
  <c r="C25" i="1"/>
  <c r="C30" i="1"/>
  <c r="C35" i="1"/>
  <c r="C39" i="1"/>
  <c r="C40" i="1"/>
  <c r="C43" i="1"/>
  <c r="C46" i="1"/>
  <c r="C49" i="1"/>
  <c r="C62" i="1"/>
  <c r="C64" i="1"/>
  <c r="C82" i="1"/>
  <c r="C83" i="1"/>
  <c r="C86" i="1"/>
  <c r="C87" i="1"/>
  <c r="C90" i="1"/>
  <c r="C93" i="1"/>
  <c r="C97" i="1"/>
  <c r="C2" i="1"/>
  <c r="C3" i="1"/>
  <c r="C4" i="1"/>
  <c r="C5" i="1"/>
  <c r="C6" i="1"/>
  <c r="C7" i="1"/>
  <c r="E8" i="1"/>
  <c r="H8" i="1"/>
  <c r="C10" i="1"/>
  <c r="C13" i="1"/>
  <c r="C15" i="1"/>
  <c r="C16" i="1"/>
  <c r="C20" i="1"/>
  <c r="C23" i="1"/>
  <c r="C26" i="1"/>
  <c r="C29" i="1"/>
  <c r="C33" i="1"/>
  <c r="C36" i="1"/>
  <c r="C38" i="1"/>
  <c r="C41" i="1"/>
  <c r="C42" i="1"/>
  <c r="C44" i="1"/>
  <c r="C47" i="1"/>
  <c r="C50" i="1"/>
  <c r="C70" i="1"/>
  <c r="C73" i="1"/>
  <c r="C76" i="1"/>
  <c r="C78" i="1"/>
  <c r="C85" i="1"/>
  <c r="C89" i="1"/>
  <c r="C92" i="1"/>
  <c r="C94" i="1"/>
  <c r="C96" i="1"/>
  <c r="C99" i="1"/>
  <c r="E19" i="1" l="1"/>
  <c r="H19" i="1"/>
  <c r="D19" i="1"/>
  <c r="H21" i="1"/>
  <c r="D21" i="1"/>
  <c r="E21" i="1"/>
  <c r="H24" i="1"/>
  <c r="D24" i="1"/>
  <c r="E24" i="1"/>
  <c r="H27" i="1"/>
  <c r="D27" i="1"/>
  <c r="E27" i="1"/>
  <c r="E28" i="1"/>
  <c r="H28" i="1"/>
  <c r="D28" i="1"/>
  <c r="E31" i="1"/>
  <c r="H31" i="1"/>
  <c r="D31" i="1"/>
  <c r="E32" i="1"/>
  <c r="H32" i="1"/>
  <c r="H34" i="1"/>
  <c r="D34" i="1"/>
  <c r="E34" i="1"/>
  <c r="E37" i="1"/>
  <c r="H37" i="1"/>
  <c r="D37" i="1"/>
  <c r="H45" i="1"/>
  <c r="D45" i="1"/>
  <c r="E45" i="1"/>
  <c r="H48" i="1"/>
  <c r="D48" i="1"/>
  <c r="E48" i="1"/>
  <c r="E60" i="1"/>
  <c r="H60" i="1"/>
  <c r="E63" i="1"/>
  <c r="H63" i="1"/>
  <c r="H65" i="1"/>
  <c r="E65" i="1"/>
  <c r="E68" i="1"/>
  <c r="H68" i="1"/>
  <c r="E71" i="1"/>
  <c r="H71" i="1"/>
  <c r="E74" i="1"/>
  <c r="H74" i="1"/>
  <c r="E77" i="1"/>
  <c r="H77" i="1"/>
  <c r="H79" i="1"/>
  <c r="D79" i="1"/>
  <c r="E79" i="1"/>
  <c r="H80" i="1"/>
  <c r="E80" i="1"/>
  <c r="D80" i="1"/>
  <c r="E81" i="1"/>
  <c r="H81" i="1"/>
  <c r="H51" i="1"/>
  <c r="E51" i="1"/>
  <c r="D51" i="1"/>
  <c r="H52" i="1"/>
  <c r="E52" i="1"/>
  <c r="D52" i="1"/>
  <c r="H53" i="1"/>
  <c r="E53" i="1"/>
  <c r="D53" i="1"/>
  <c r="H54" i="1"/>
  <c r="E54" i="1"/>
  <c r="D54" i="1"/>
  <c r="H55" i="1"/>
  <c r="E55" i="1"/>
  <c r="D55" i="1"/>
  <c r="H56" i="1"/>
  <c r="E56" i="1"/>
  <c r="D56" i="1"/>
  <c r="H57" i="1"/>
  <c r="E57" i="1"/>
  <c r="D57" i="1"/>
  <c r="H58" i="1"/>
  <c r="E58" i="1"/>
  <c r="D58" i="1"/>
  <c r="H59" i="1"/>
  <c r="E59" i="1"/>
  <c r="E61" i="1"/>
  <c r="H61" i="1"/>
  <c r="D61" i="1"/>
  <c r="H66" i="1"/>
  <c r="D66" i="1"/>
  <c r="E66" i="1"/>
  <c r="E67" i="1"/>
  <c r="H67" i="1"/>
  <c r="D67" i="1"/>
  <c r="E69" i="1"/>
  <c r="H69" i="1"/>
  <c r="E72" i="1"/>
  <c r="H72" i="1"/>
  <c r="E75" i="1"/>
  <c r="H75" i="1"/>
  <c r="D75" i="1"/>
  <c r="E84" i="1"/>
  <c r="H84" i="1"/>
  <c r="D84" i="1"/>
  <c r="E88" i="1"/>
  <c r="H88" i="1"/>
  <c r="D88" i="1"/>
  <c r="E91" i="1"/>
  <c r="H91" i="1"/>
  <c r="D91" i="1"/>
  <c r="E95" i="1"/>
  <c r="H95" i="1"/>
  <c r="D95" i="1"/>
  <c r="E98" i="1"/>
  <c r="H98" i="1"/>
  <c r="D98" i="1"/>
  <c r="H100" i="1"/>
  <c r="E100" i="1"/>
  <c r="D100" i="1"/>
  <c r="H101" i="1"/>
  <c r="E101" i="1"/>
  <c r="D101" i="1"/>
  <c r="H102" i="1"/>
  <c r="E102" i="1"/>
  <c r="D102" i="1"/>
  <c r="H103" i="1"/>
  <c r="E103" i="1"/>
  <c r="D103" i="1"/>
  <c r="H104" i="1"/>
  <c r="E104" i="1"/>
  <c r="D104" i="1"/>
  <c r="H9" i="1"/>
  <c r="E9" i="1"/>
  <c r="H11" i="1"/>
  <c r="E11" i="1"/>
  <c r="H12" i="1"/>
  <c r="E12" i="1"/>
  <c r="H14" i="1"/>
  <c r="E14" i="1"/>
  <c r="D14" i="1"/>
  <c r="E17" i="1"/>
  <c r="H17" i="1"/>
  <c r="D17" i="1"/>
  <c r="H18" i="1"/>
  <c r="E18" i="1"/>
  <c r="H22" i="1"/>
  <c r="D22" i="1"/>
  <c r="E22" i="1"/>
  <c r="H25" i="1"/>
  <c r="D25" i="1"/>
  <c r="E25" i="1"/>
  <c r="E30" i="1"/>
  <c r="H30" i="1"/>
  <c r="D30" i="1"/>
  <c r="H35" i="1"/>
  <c r="D35" i="1"/>
  <c r="E35" i="1"/>
  <c r="E39" i="1"/>
  <c r="H39" i="1"/>
  <c r="D39" i="1"/>
  <c r="E40" i="1"/>
  <c r="H40" i="1"/>
  <c r="H43" i="1"/>
  <c r="E43" i="1"/>
  <c r="D43" i="1"/>
  <c r="H46" i="1"/>
  <c r="D46" i="1"/>
  <c r="E46" i="1"/>
  <c r="H49" i="1"/>
  <c r="D49" i="1"/>
  <c r="E49" i="1"/>
  <c r="E62" i="1"/>
  <c r="H62" i="1"/>
  <c r="H64" i="1"/>
  <c r="D64" i="1"/>
  <c r="E64" i="1"/>
  <c r="H82" i="1"/>
  <c r="D82" i="1"/>
  <c r="E82" i="1"/>
  <c r="E83" i="1"/>
  <c r="H83" i="1"/>
  <c r="D83" i="1"/>
  <c r="E86" i="1"/>
  <c r="H86" i="1"/>
  <c r="D86" i="1"/>
  <c r="E87" i="1"/>
  <c r="H87" i="1"/>
  <c r="D87" i="1"/>
  <c r="E90" i="1"/>
  <c r="H90" i="1"/>
  <c r="D90" i="1"/>
  <c r="H93" i="1"/>
  <c r="E93" i="1"/>
  <c r="D93" i="1"/>
  <c r="E97" i="1"/>
  <c r="H97" i="1"/>
  <c r="D97" i="1"/>
  <c r="H2" i="1"/>
  <c r="E2" i="1"/>
  <c r="H3" i="1"/>
  <c r="E3" i="1"/>
  <c r="D3" i="1"/>
  <c r="H4" i="1"/>
  <c r="E4" i="1"/>
  <c r="D4" i="1"/>
  <c r="H5" i="1"/>
  <c r="E5" i="1"/>
  <c r="D5" i="1"/>
  <c r="H6" i="1"/>
  <c r="E6" i="1"/>
  <c r="D6" i="1"/>
  <c r="H7" i="1"/>
  <c r="E7" i="1"/>
  <c r="D7" i="1"/>
  <c r="H10" i="1"/>
  <c r="E10" i="1"/>
  <c r="H13" i="1"/>
  <c r="D13" i="1"/>
  <c r="E13" i="1"/>
  <c r="H15" i="1"/>
  <c r="E15" i="1"/>
  <c r="E16" i="1"/>
  <c r="H16" i="1"/>
  <c r="D16" i="1"/>
  <c r="H20" i="1"/>
  <c r="D20" i="1"/>
  <c r="E20" i="1"/>
  <c r="H23" i="1"/>
  <c r="D23" i="1"/>
  <c r="E23" i="1"/>
  <c r="E26" i="1"/>
  <c r="H26" i="1"/>
  <c r="E29" i="1"/>
  <c r="H29" i="1"/>
  <c r="D29" i="1"/>
  <c r="H33" i="1"/>
  <c r="D33" i="1"/>
  <c r="E33" i="1"/>
  <c r="H36" i="1"/>
  <c r="D36" i="1"/>
  <c r="E36" i="1"/>
  <c r="E38" i="1"/>
  <c r="H38" i="1"/>
  <c r="D38" i="1"/>
  <c r="H41" i="1"/>
  <c r="E41" i="1"/>
  <c r="D41" i="1"/>
  <c r="E42" i="1"/>
  <c r="H42" i="1"/>
  <c r="D42" i="1"/>
  <c r="H44" i="1"/>
  <c r="D44" i="1"/>
  <c r="E44" i="1"/>
  <c r="H47" i="1"/>
  <c r="D47" i="1"/>
  <c r="E47" i="1"/>
  <c r="H50" i="1"/>
  <c r="D50" i="1"/>
  <c r="E50" i="1"/>
  <c r="E70" i="1"/>
  <c r="H70" i="1"/>
  <c r="E73" i="1"/>
  <c r="D73" i="1"/>
  <c r="H73" i="1"/>
  <c r="H76" i="1"/>
  <c r="D76" i="1"/>
  <c r="E76" i="1"/>
  <c r="H78" i="1"/>
  <c r="D78" i="1"/>
  <c r="E78" i="1"/>
  <c r="E85" i="1"/>
  <c r="H85" i="1"/>
  <c r="D85" i="1"/>
  <c r="E89" i="1"/>
  <c r="H89" i="1"/>
  <c r="D89" i="1"/>
  <c r="E92" i="1"/>
  <c r="H92" i="1"/>
  <c r="D92" i="1"/>
  <c r="E94" i="1"/>
  <c r="H94" i="1"/>
  <c r="E96" i="1"/>
  <c r="H96" i="1"/>
  <c r="D96" i="1"/>
  <c r="E99" i="1"/>
  <c r="H99" i="1"/>
  <c r="D99" i="1"/>
  <c r="D8" i="1"/>
  <c r="D2" i="1" l="1"/>
  <c r="D32" i="1"/>
  <c r="D60" i="1"/>
  <c r="D63" i="1"/>
  <c r="D65" i="1"/>
  <c r="D68" i="1"/>
  <c r="D71" i="1"/>
  <c r="D74" i="1"/>
  <c r="D77" i="1"/>
  <c r="D81" i="1"/>
  <c r="D59" i="1"/>
  <c r="D69" i="1"/>
  <c r="D72" i="1"/>
  <c r="D9" i="1"/>
  <c r="D11" i="1"/>
  <c r="D12" i="1"/>
  <c r="D18" i="1"/>
  <c r="D40" i="1"/>
  <c r="D10" i="1"/>
  <c r="D15" i="1"/>
  <c r="D94" i="1"/>
  <c r="D26" i="1"/>
  <c r="D62" i="1"/>
  <c r="D70" i="1"/>
</calcChain>
</file>

<file path=xl/sharedStrings.xml><?xml version="1.0" encoding="utf-8"?>
<sst xmlns="http://schemas.openxmlformats.org/spreadsheetml/2006/main" count="216" uniqueCount="207">
  <si>
    <t>CABLE TENZADO 100% COBRE 2X20 NEGRO AZUL (NEOPREN) 0.64</t>
  </si>
  <si>
    <t>CABLETRE2X20CC</t>
  </si>
  <si>
    <t>CABLE TENZADO 100% COBRE 2X22 NEGRO AZUL (NEOPREN) 0.64</t>
  </si>
  <si>
    <t>CABLETRE2X22CC</t>
  </si>
  <si>
    <t xml:space="preserve">CABLE UTP CAT 6  EXTERIOR EN ALEACION  X  100  MTRS </t>
  </si>
  <si>
    <t>UTPCAT6100EXT</t>
  </si>
  <si>
    <t>CABLE UTP CAT 6 INTERIOR 100% COBRE X 305 MTRS MULTIFILAR</t>
  </si>
  <si>
    <t>UTPCAT6BCMULTIFILAR</t>
  </si>
  <si>
    <t xml:space="preserve">CABLE UTP CAT 6 INTERIOR 100% COBRE X 305 MTRS </t>
  </si>
  <si>
    <t xml:space="preserve">UTPCAT6BC </t>
  </si>
  <si>
    <t xml:space="preserve">CABLE UTP CAT 5 INTERIOR EN ALEACION SIAMESE X 305 MTRS </t>
  </si>
  <si>
    <t>UTPCAT5ESIAMESE</t>
  </si>
  <si>
    <t>CABLE UTP CAT 5 INTERIOR 100% COBRE X 305 MTRS MULTIFILAR</t>
  </si>
  <si>
    <t xml:space="preserve">UTPCAT5EBCMULTIFILAR </t>
  </si>
  <si>
    <t xml:space="preserve">CABLE UTP CAT 5  EXTERIOR EN ALEACION  X  100  MTRS </t>
  </si>
  <si>
    <t>UTPCAT5E100EXT</t>
  </si>
  <si>
    <t xml:space="preserve">CABLE UTP CAT 5 INTERIOR 100% COBRE  X 305 MTRS  </t>
  </si>
  <si>
    <t>UTPCAT5BC</t>
  </si>
  <si>
    <t xml:space="preserve">CABLE UTP CAT 5 INTERIOR 100% COBRE X 100 MTRS  </t>
  </si>
  <si>
    <t>UTPCAT5100INTCC</t>
  </si>
  <si>
    <t>CAJA DE FIBRA 16 FULL CON SPLITTER DE 8</t>
  </si>
  <si>
    <t>LPS-CAJAFIBRA-16-FULL-SPLITTER8</t>
  </si>
  <si>
    <t xml:space="preserve">UNION TELEFONICA RJ45   PAQUETE X 25 UND </t>
  </si>
  <si>
    <t>N-LPS-UNIONRJ45</t>
  </si>
  <si>
    <t>TOMAS HEMBRAS AEREAS *100unds</t>
  </si>
  <si>
    <t>N-LPS-TOMA-AEREA-HEMBRA-100</t>
  </si>
  <si>
    <t>JACK RJ45 CAT 6 FLUKE PASS AZUL</t>
  </si>
  <si>
    <t>N-LPS-KEYSTONEJACKCAT6-AZUL</t>
  </si>
  <si>
    <t xml:space="preserve">PONCHADORA EZ PARA RJ45 PASO RAPIDO </t>
  </si>
  <si>
    <t>LPS-PONCHADORA-EZ</t>
  </si>
  <si>
    <t xml:space="preserve">PONCHADORA NORMAL SOLO RJ45 NORMAL </t>
  </si>
  <si>
    <t>LPS-PONCHADORA-568</t>
  </si>
  <si>
    <t>PATCHPANEL DE CAT6 48 PUERTOS</t>
  </si>
  <si>
    <t>LPS-PATCHPANELCAT6-48</t>
  </si>
  <si>
    <t>PATCHPANEL DE CAT6 24 PUERTOS MODULAR</t>
  </si>
  <si>
    <t>LPS-PATCHPANELCAT6-24-M</t>
  </si>
  <si>
    <t>PATCHPANEL DE CAT6 24 PUERTOS</t>
  </si>
  <si>
    <t>LPS-PATCHPANELCAT6-24</t>
  </si>
  <si>
    <t>LPS-PATCHCORD-CABLE-3M-SC-APC</t>
  </si>
  <si>
    <t>LPS-PATCHCORD-CABLE-3M-SC-UPC</t>
  </si>
  <si>
    <t>LPS-PATCHCORD-CABLE-2M-SC-UPC</t>
  </si>
  <si>
    <t>LPS-PATCHCORD-CABLE2M-SC-APC-UPC</t>
  </si>
  <si>
    <t>LPS-PATCHCORD-CABLE2M-SC-APC</t>
  </si>
  <si>
    <t>LPS-PATCHCORD-CABLE1M-SC-UPC</t>
  </si>
  <si>
    <t>LPS-PATCHCORD-CABLE-1M-SC-APC</t>
  </si>
  <si>
    <t>LPS-PATCHCORD-CABLE1M-LC-UPC</t>
  </si>
  <si>
    <t>KIT PARA RED  (MALETIN CON HERRAMIENTAS)</t>
  </si>
  <si>
    <t>LPS-KITS-T03K</t>
  </si>
  <si>
    <t>JACK RJ45 CAT 6 FLUKE PASS ROJO</t>
  </si>
  <si>
    <t>LPS-KEYSTONEJACKCAT6-ROJO</t>
  </si>
  <si>
    <t>JACK RJ45 CAT 6 FLUKE PASS BLANCO</t>
  </si>
  <si>
    <t>LPS-KEYSTONEJACKCAT6-BLANCO</t>
  </si>
  <si>
    <t>JACK RJ45 CAT 5 FLUKE PASS ROJO</t>
  </si>
  <si>
    <t>LPS-KEYSTONEJACKCAT5E-ROJO</t>
  </si>
  <si>
    <t>JACK RJ45 CAT 5 FLUKE PASS BLANCO</t>
  </si>
  <si>
    <t>LPS-KEYSTONEJACKCAT5E-BLANCO</t>
  </si>
  <si>
    <t>CONECTOR DE FIBRA FURUKAWA UPC AZUL POR UNIDAD</t>
  </si>
  <si>
    <t>LPS-Furukawa-connector-UPC</t>
  </si>
  <si>
    <t>CONECTOR DE FIBRA FURUKAWA APC VERDE POR UNIDAD</t>
  </si>
  <si>
    <t>LPS-Furukawa-connector-APC</t>
  </si>
  <si>
    <t>PINZA PELA CABLES FIBRA DROP</t>
  </si>
  <si>
    <t>LPS-FTTH-STRIPPER</t>
  </si>
  <si>
    <t>FIBRA DROP 6 HILOS MENSAJERO DE ACERO CON REFUERZO EN KEVLAR DE 1 KM</t>
  </si>
  <si>
    <t>LPS-FTTH-GJYXFCH6C</t>
  </si>
  <si>
    <t>FIBRA DROP 2 HILOS MENSAJERO DE ACERO CON REFUERZO EN KEVLAR DE 1 KM</t>
  </si>
  <si>
    <t>LPS-FTTH-GJYXFCH2C</t>
  </si>
  <si>
    <t>FIBRA DROP 1 HILO MENSAJERO DE ACERO CON REFUERZO EN KEVLAR DE 1 KM</t>
  </si>
  <si>
    <t>LPS-FTTH-GJYXFCH1C-2K</t>
  </si>
  <si>
    <t>LPS-FTTH-GJYXFCH1C</t>
  </si>
  <si>
    <t>FIBRA DROP 4 HILOS METALICA DE 1 KILOMETRO</t>
  </si>
  <si>
    <t>LPS-FTTH-GJYXCH4C</t>
  </si>
  <si>
    <t>FIBRA DROP 2 HILOS METALICA DE 1 KILOMETRO</t>
  </si>
  <si>
    <t>LPS-FTTH-GJYXCH2C</t>
  </si>
  <si>
    <t xml:space="preserve">FIBRA DROP 1 HILO METALICA 2 KILOMETROS </t>
  </si>
  <si>
    <t>LPS-FTTH-GJYXCH1C-2K</t>
  </si>
  <si>
    <t>FIBRA DROP 1 HILO METALICA DE 1 KILOMETRO</t>
  </si>
  <si>
    <t>LPS-FTTH-GJYXCH1C</t>
  </si>
  <si>
    <t>SPLITTER 1-8</t>
  </si>
  <si>
    <t>LPS-FIBRAPLC1-8</t>
  </si>
  <si>
    <t>SPLITTER 1-4</t>
  </si>
  <si>
    <t>LPS-FIBRAPLC1-4</t>
  </si>
  <si>
    <t>SPLITTER 1-2</t>
  </si>
  <si>
    <t>LPS-FIBRAPLC1-2</t>
  </si>
  <si>
    <t>SPLITTER 1-16</t>
  </si>
  <si>
    <t>LPS-FIBRAPLC1-16</t>
  </si>
  <si>
    <t>CABLES PIGTAIL SC/ APC 0.9MM 1 METROS FIBRA</t>
  </si>
  <si>
    <t>LPS-FIBRACABLEPIGTAIL-1M</t>
  </si>
  <si>
    <t>CORTADORA PARA FIBRA</t>
  </si>
  <si>
    <t>LPS-CORTADORAFIBRA-SKL6C</t>
  </si>
  <si>
    <t>CONVERTIDOR DE MEDIOS 2 HILOS</t>
  </si>
  <si>
    <t>LPS-CONVERTIDORDEMEDIOS-2C</t>
  </si>
  <si>
    <t>CONVERTIDOR DE MEDIOS DE 20 KILOMETROS</t>
  </si>
  <si>
    <t>LPS-CONVERTIDORDEMEDIOS-20KM</t>
  </si>
  <si>
    <t>CONVERTIDOR DE MEDIOS 4 KILOMETROS</t>
  </si>
  <si>
    <t>LPS-CONVERTIDORDEMEDIOS</t>
  </si>
  <si>
    <t xml:space="preserve">CONECTORES PARA CABLE RG6  BOLSA X 100 </t>
  </si>
  <si>
    <t>LPS-CONECTORRG6-BOLSA</t>
  </si>
  <si>
    <t>CONECTOR DE FIBRA TIPO CAIMAN UPC AZUL POR UNIDAD</t>
  </si>
  <si>
    <t>LPS-CONECTORFIBRAUPC</t>
  </si>
  <si>
    <t>CONECTOR DE FIBRA TIPO CAIMAN APC VERDE POR UNIDAD</t>
  </si>
  <si>
    <t>LPS-CONECTORFIBRAAPC</t>
  </si>
  <si>
    <t>CAJA DE FIBRA 8 FULL</t>
  </si>
  <si>
    <t>LPS-CAJAFIBRA-8-FULL</t>
  </si>
  <si>
    <t>CAJA DE FIBRA 16 FULL BLANCA</t>
  </si>
  <si>
    <t>LPS-CAJAFIBRA-16-FULL-BLANCO</t>
  </si>
  <si>
    <t>CAJA DE FIBRA 16 FULL</t>
  </si>
  <si>
    <t>LPS-CAJAFIBRA-16-FULL</t>
  </si>
  <si>
    <t>ROLLO NEOPRENO USO MINERO 2X24 600 MTRS</t>
  </si>
  <si>
    <t>LPS-CABLETRENZADOM</t>
  </si>
  <si>
    <t xml:space="preserve">CABLE BNC  0.6 MM  X 50 CMTRS </t>
  </si>
  <si>
    <t>LPS-CABLEBNC-0.6M</t>
  </si>
  <si>
    <t>FIBRA TIPO ASU DE 8 HILOS 4 KILOMENTROS</t>
  </si>
  <si>
    <t>LPS-ASUG652D-8C</t>
  </si>
  <si>
    <t>FIBRA TIPO ASU DE 6 HILOS 3 KILOMETROS</t>
  </si>
  <si>
    <t>LPS-ASUG652D-6C-3K</t>
  </si>
  <si>
    <t>FIBRA TIPO ASU DE 6 HILOS 4 KILOMENTROS</t>
  </si>
  <si>
    <t>LPS-ASUG652D-6C</t>
  </si>
  <si>
    <t>FIBRA TIPO ASU DE 12 HILOS 3 KILOMETROS</t>
  </si>
  <si>
    <t>LPS-ASUG652D-12C-3K</t>
  </si>
  <si>
    <t>FIBRA TIPO ASU DE 12 HILOS 4 KILOMENTROS</t>
  </si>
  <si>
    <t>LPS-ASUG652D-12C</t>
  </si>
  <si>
    <t>FIBRA ADSS 96 HILOS SPAN 100 4 KM</t>
  </si>
  <si>
    <t>LPS-ADSSG652D-96C</t>
  </si>
  <si>
    <t xml:space="preserve">FIBRA ADSS 6 HILOS SPAN 100 4 KM </t>
  </si>
  <si>
    <t>LPS-ADSSG652D-6C</t>
  </si>
  <si>
    <t>FIBRA ADSS 48 HILOS SPAN 100 4 KM</t>
  </si>
  <si>
    <t>LPS-ADSSG652D-48C</t>
  </si>
  <si>
    <t>FIBRA ADSS 24 HILOS SPAN 500 4 KM HDPE</t>
  </si>
  <si>
    <t>LPS-ADSSG652D-24C-SP500</t>
  </si>
  <si>
    <t>FIBRA ADSS 24 HILOS SPAN 400 4 KM HDPE</t>
  </si>
  <si>
    <t>LPS-ADSSG652D-24C-SP400</t>
  </si>
  <si>
    <t>FIBRA ADSS 24 HILOS SPAN 300 4 KM HDPE</t>
  </si>
  <si>
    <t>LPS-ADSSG652D-24C-SP300</t>
  </si>
  <si>
    <t>FIBRA ADSS 24 HILOS SPAN 100 4 KM</t>
  </si>
  <si>
    <t>LPS-ADSSG652D-24C</t>
  </si>
  <si>
    <t>FIBRA ADSS 12 HILOS SPAN 100 4 KM</t>
  </si>
  <si>
    <t>LPS-ADSSG652D-12C</t>
  </si>
  <si>
    <t>ADAPTADOR DE FIBRA UPC AZUL</t>
  </si>
  <si>
    <t>LPS-ADAPTADORFIBRAUPC</t>
  </si>
  <si>
    <t>ADAPTADOR DE FIBRA APC VERDE</t>
  </si>
  <si>
    <t>LPS-ADAPTADORFIBRAAPC</t>
  </si>
  <si>
    <t>CABLE HDMI 1.5 MTS</t>
  </si>
  <si>
    <t>HDMI01.5</t>
  </si>
  <si>
    <t>SPLITTER 1-32</t>
  </si>
  <si>
    <t>FIBRAPLC1-32</t>
  </si>
  <si>
    <t xml:space="preserve">CABLE UTP CAT 6 EXTERIOR EN ALEACION X 305 MTRS </t>
  </si>
  <si>
    <t>CPUTPCAT6EXT</t>
  </si>
  <si>
    <t>CABLE UTP CAT 6 INTERIOR EN ALEACION X 305 MTRS</t>
  </si>
  <si>
    <t>CPUTPCAT6</t>
  </si>
  <si>
    <t>CABLE UTP CAT 5 EXTERIOR EN ALEACION X 305 MTRS</t>
  </si>
  <si>
    <t>CPUTPCAT5EXT</t>
  </si>
  <si>
    <t xml:space="preserve">CABLE UTP CAT 5 INTERIOR EN ALEACION X 305 MTRS </t>
  </si>
  <si>
    <t xml:space="preserve">CPUTPCAT5E </t>
  </si>
  <si>
    <t>CABLE HDMI 7MTS</t>
  </si>
  <si>
    <t>HDMI07</t>
  </si>
  <si>
    <t>KIT DE FIBRA FULL</t>
  </si>
  <si>
    <t>LPS-KITDEFIBRA-FULL</t>
  </si>
  <si>
    <t xml:space="preserve">CABLE UTP CAT 6 EXTERIOR 100% COBRE X 305 MTRS  </t>
  </si>
  <si>
    <t>UTPCAT6EXTCC</t>
  </si>
  <si>
    <t xml:space="preserve">CABLE UTP CAT 6 EXTERIOR ALEACION X 305 MTRS </t>
  </si>
  <si>
    <t>UTPCAT6EXT</t>
  </si>
  <si>
    <t>CABLE UTP COBRE 100% 6 INT 100M</t>
  </si>
  <si>
    <t>UTPCAT6100INTCC</t>
  </si>
  <si>
    <t xml:space="preserve">CABLE UTP CAT 6 EXTERIOR 100% COBRE X 100 MTRS  </t>
  </si>
  <si>
    <t>UTPCAT6100EXTCC</t>
  </si>
  <si>
    <t xml:space="preserve">CABLE UTP CAT 6  INTERIOR  EN ALEACION  X  100  MTRS </t>
  </si>
  <si>
    <t>UTPCAT6100</t>
  </si>
  <si>
    <t xml:space="preserve">CABLE UTP CAT 6  INTERIOR  EN ALEACION  X  305  MTRS </t>
  </si>
  <si>
    <t>UTPCAT6</t>
  </si>
  <si>
    <t>CABLE UTP CAT 5 EXTERIOR 100% COBRE X 305 MTRS</t>
  </si>
  <si>
    <t>UTPCAT5EXTCC</t>
  </si>
  <si>
    <t xml:space="preserve">CABLE UTP CAT 5  EXTERIOR EN ALEACION  X  305  MTRS </t>
  </si>
  <si>
    <t>UTPCAT5EXT</t>
  </si>
  <si>
    <t>CABLE UTP CAT 5  INTERIOR  EN ALEACION  X  305 MTRS</t>
  </si>
  <si>
    <t>UTPCAT5EINT</t>
  </si>
  <si>
    <t xml:space="preserve">CABLE UTP CAT 5  INTERIOR EN ALEACION  X  100  MTRS </t>
  </si>
  <si>
    <t>UTPCAT5E100</t>
  </si>
  <si>
    <t>CABLE SIAMES UTP Y CORRIENTE X100M</t>
  </si>
  <si>
    <t>UTPCAT5100SIAMESE</t>
  </si>
  <si>
    <t xml:space="preserve">CABLE UTP CAT 5 EXTERIOR 100% COBRE X 100 MTRS  </t>
  </si>
  <si>
    <t>UTPCAT5100EXTCC</t>
  </si>
  <si>
    <t>CABLE UTP CAT 5E FLEXIBLE AZUL *305 MTROS INT</t>
  </si>
  <si>
    <t>QP-65604A-BL</t>
  </si>
  <si>
    <t>KIT DE FIBRA ESTANDAR</t>
  </si>
  <si>
    <t>LPS-KITDEFIBRA-ESTANDAR</t>
  </si>
  <si>
    <t>CABLE HDMI 5MTS</t>
  </si>
  <si>
    <t>HDMI05</t>
  </si>
  <si>
    <t>CABLE HDMI 3MTS</t>
  </si>
  <si>
    <t>HDMI03</t>
  </si>
  <si>
    <t>CABLE HDMI 25 MTS</t>
  </si>
  <si>
    <t>HDMI025</t>
  </si>
  <si>
    <t>CABLE HDMI 20 MTS</t>
  </si>
  <si>
    <t>HDMI020</t>
  </si>
  <si>
    <t>CABLE HDMI 15 MTS</t>
  </si>
  <si>
    <t>HDMI015</t>
  </si>
  <si>
    <t>CABLE HDMI 10 MTS</t>
  </si>
  <si>
    <t>HDMI010</t>
  </si>
  <si>
    <t>COSTO</t>
  </si>
  <si>
    <t>Columna8</t>
  </si>
  <si>
    <t>Columna7</t>
  </si>
  <si>
    <t>Columna6</t>
  </si>
  <si>
    <t>Columna5</t>
  </si>
  <si>
    <t>PRECIO CLIENTE FINAL (CON IVA)</t>
  </si>
  <si>
    <t>PRECIO TIENDA (CON IVA)</t>
  </si>
  <si>
    <t>PRECIO INSTALLER (CON IVA)</t>
  </si>
  <si>
    <t>DESCRIPCION</t>
  </si>
  <si>
    <t>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</si>
</sst>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21293B"/>
      <name val="Aptos Narrow"/>
      <family val="2"/>
      <scheme val="minor"/>
    </font>
    <font>
      <sz val="11"/>
      <color rgb="FF282828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339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1" applyNumberFormat="1" applyFont="1"/>
    <xf numFmtId="0" fontId="0" fillId="0" borderId="0" xfId="0" applyAlignment="1">
      <alignment wrapText="1"/>
    </xf>
    <xf numFmtId="164" fontId="0" fillId="0" borderId="1" xfId="1" applyNumberFormat="1" applyFont="1" applyBorder="1"/>
    <xf numFmtId="0" fontId="0" fillId="0" borderId="2" xfId="0" applyBorder="1"/>
    <xf numFmtId="0" fontId="0" fillId="0" borderId="3" xfId="0" applyBorder="1"/>
    <xf numFmtId="164" fontId="3" fillId="0" borderId="4" xfId="1" applyNumberFormat="1" applyFont="1" applyBorder="1"/>
    <xf numFmtId="164" fontId="3" fillId="0" borderId="1" xfId="1" applyNumberFormat="1" applyFont="1" applyBorder="1"/>
    <xf numFmtId="0" fontId="0" fillId="0" borderId="0" xfId="0" applyAlignment="1">
      <alignment horizontal="left" vertical="top" wrapText="1"/>
    </xf>
    <xf numFmtId="0" fontId="0" fillId="0" borderId="1" xfId="0" applyBorder="1"/>
    <xf numFmtId="164" fontId="2" fillId="0" borderId="1" xfId="1" applyNumberFormat="1" applyFont="1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164" fontId="0" fillId="0" borderId="5" xfId="1" applyNumberFormat="1" applyFont="1" applyBorder="1"/>
    <xf numFmtId="0" fontId="0" fillId="0" borderId="6" xfId="0" applyBorder="1"/>
    <xf numFmtId="164" fontId="0" fillId="0" borderId="6" xfId="1" applyNumberFormat="1" applyFont="1" applyBorder="1"/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numFmt numFmtId="164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93B"/>
        <name val="Aptos Narrow"/>
        <family val="2"/>
        <scheme val="minor"/>
      </font>
      <numFmt numFmtId="164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93B"/>
        <name val="Aptos Narrow"/>
        <family val="2"/>
        <scheme val="minor"/>
      </font>
      <numFmt numFmtId="164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21293B"/>
      </font>
      <numFmt numFmtId="164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fe%20Compras\OneDrive\Documents\Desktop\LISTAS%20DE%20PRECIOS\listados%20grupo%20nuevo%20con%20formulas\LISTA%20PROVISIONAL%20DA&#209;O%20PLATAFORMA\LISTAS%20EMPRESA%20GRUPO\LISTADO%20GRUPO%20PROVISIONAL.xlsx" TargetMode="External"/><Relationship Id="rId1" Type="http://schemas.openxmlformats.org/officeDocument/2006/relationships/externalLinkPath" Target="LISTADO%20GRUPO%20PROVISIO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ZVIZ"/>
      <sheetName val="CONTROL DE ACCESO VARIOS"/>
      <sheetName val="HIKVISION TURBO"/>
      <sheetName val="ACCESORIOS CCTV"/>
      <sheetName val="IP HIKVISION"/>
      <sheetName val="HIKVISION ACCESORIOS"/>
      <sheetName val="UTP HIKVISION"/>
      <sheetName val="INTERCOM"/>
      <sheetName val="CONTROL ACCESO HIKVISION"/>
      <sheetName val="INTRUSION"/>
      <sheetName val="HILOOK IP"/>
      <sheetName val="ALMACENAMIENTO"/>
      <sheetName val="ALARMAS COMUNITARIAS"/>
      <sheetName val="CERCOS ELECTRICOS"/>
      <sheetName val="COMMAX"/>
      <sheetName val="CONTROL DE ACCESO ZK"/>
      <sheetName val="DUPLEX"/>
      <sheetName val="INTELBRAS"/>
      <sheetName val="PARADOX"/>
      <sheetName val="ACCESORIOS INTRUSION"/>
      <sheetName val="DSC NEO"/>
      <sheetName val="DSC POWEST"/>
      <sheetName val="LANPRO CE"/>
      <sheetName val="LYNX"/>
      <sheetName val="PUERTAS AUTOMATICAS"/>
      <sheetName val="RA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665408-3C41-4F55-9C1D-DE0DA37835F8}" name="Tabla113" displayName="Tabla113" ref="A1:J104" totalsRowShown="0" headerRowDxfId="15" headerRowBorderDxfId="13" tableBorderDxfId="14" totalsRowBorderDxfId="12">
  <autoFilter ref="A1:J104" xr:uid="{00000000-0009-0000-0100-000001000000}"/>
  <sortState xmlns:xlrd2="http://schemas.microsoft.com/office/spreadsheetml/2017/richdata2" ref="A2:J102">
    <sortCondition sortBy="fontColor" ref="A1:A102" dxfId="11"/>
  </sortState>
  <tableColumns count="10">
    <tableColumn id="3" xr3:uid="{001B2A0A-573C-4594-95A7-9BACBCBBB933}" name="REFERENCIA" dataDxfId="10"/>
    <tableColumn id="4" xr3:uid="{F323694A-A918-43C1-A81C-D6356E25EA0E}" name="DESCRIPCION" dataDxfId="9"/>
    <tableColumn id="1" xr3:uid="{53282F9D-6413-4CA2-9D1A-07EDD665E416}" name="PRECIO INSTALLER (CON IVA)" dataDxfId="8" dataCellStyle="Moneda">
      <calculatedColumnFormula>+Tabla113[[#This Row],[Columna6]]/Tabla113[[#This Row],[Columna5]]</calculatedColumnFormula>
    </tableColumn>
    <tableColumn id="2" xr3:uid="{D06E0E91-A15A-428F-B668-DE8B5960B3EA}" name="PRECIO TIENDA (CON IVA)" dataDxfId="7" dataCellStyle="Moneda">
      <calculatedColumnFormula>+Tabla113[[#This Row],[PRECIO INSTALLER (CON IVA)]]-Tabla113[[#This Row],[Columna7]]</calculatedColumnFormula>
    </tableColumn>
    <tableColumn id="10" xr3:uid="{E6D9DF2A-04D3-4248-A307-679F904D1053}" name="PRECIO CLIENTE FINAL (CON IVA)" dataDxfId="6" dataCellStyle="Moneda">
      <calculatedColumnFormula>+Tabla113[[#This Row],[PRECIO INSTALLER (CON IVA)]]/0.7</calculatedColumnFormula>
    </tableColumn>
    <tableColumn id="5" xr3:uid="{35D162A5-2E9C-4029-8AF7-02D3CAE9FAD3}" name="Columna5" dataDxfId="5"/>
    <tableColumn id="6" xr3:uid="{541DA33F-EB4B-4423-9F27-77254BAC5F53}" name="Columna6" dataDxfId="4" dataCellStyle="Moneda">
      <calculatedColumnFormula>Tabla113[[#This Row],[COSTO]]*1.19</calculatedColumnFormula>
    </tableColumn>
    <tableColumn id="7" xr3:uid="{7307D180-D799-4022-B55E-8C8EDF82420D}" name="Columna7" dataDxfId="3">
      <calculatedColumnFormula>+Tabla113[[#This Row],[PRECIO INSTALLER (CON IVA)]]*5%</calculatedColumnFormula>
    </tableColumn>
    <tableColumn id="8" xr3:uid="{9E16BFD5-C3B9-4531-B219-CB772F435C48}" name="Columna8" dataDxfId="2"/>
    <tableColumn id="9" xr3:uid="{91E46752-197C-43C0-8FC9-AAA95D0DD60A}" name="COSTO" dataDxfId="1" dataCellStyle="Moneda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3CA2E-4B0D-434A-83A5-5D2B24797861}">
  <dimension ref="A1:J104"/>
  <sheetViews>
    <sheetView tabSelected="1" view="pageBreakPreview" zoomScale="60" zoomScaleNormal="100" workbookViewId="0">
      <pane ySplit="1" topLeftCell="A82" activePane="bottomLeft" state="frozen"/>
      <selection pane="bottomLeft" sqref="A1:E104"/>
    </sheetView>
  </sheetViews>
  <sheetFormatPr baseColWidth="10" defaultRowHeight="15" x14ac:dyDescent="0.25"/>
  <cols>
    <col min="1" max="1" width="35.7109375" bestFit="1" customWidth="1"/>
    <col min="2" max="2" width="24.7109375" style="2" customWidth="1"/>
    <col min="3" max="5" width="20.85546875" customWidth="1"/>
    <col min="6" max="6" width="12" hidden="1" customWidth="1"/>
    <col min="7" max="7" width="13.5703125" style="1" hidden="1" customWidth="1"/>
    <col min="8" max="8" width="9.5703125" hidden="1" customWidth="1"/>
    <col min="9" max="9" width="3.85546875" hidden="1" customWidth="1"/>
    <col min="10" max="10" width="15.5703125" style="1" hidden="1" customWidth="1"/>
  </cols>
  <sheetData>
    <row r="1" spans="1:10" ht="45" x14ac:dyDescent="0.25">
      <c r="A1" s="20" t="s">
        <v>206</v>
      </c>
      <c r="B1" s="20" t="s">
        <v>205</v>
      </c>
      <c r="C1" s="19" t="s">
        <v>204</v>
      </c>
      <c r="D1" s="19" t="s">
        <v>203</v>
      </c>
      <c r="E1" s="19" t="s">
        <v>202</v>
      </c>
      <c r="F1" s="17" t="s">
        <v>201</v>
      </c>
      <c r="G1" s="18" t="s">
        <v>200</v>
      </c>
      <c r="H1" s="17" t="s">
        <v>199</v>
      </c>
      <c r="I1" s="17" t="s">
        <v>198</v>
      </c>
      <c r="J1" s="16" t="s">
        <v>197</v>
      </c>
    </row>
    <row r="2" spans="1:10" x14ac:dyDescent="0.25">
      <c r="A2" s="9" t="s">
        <v>196</v>
      </c>
      <c r="B2" s="13" t="s">
        <v>195</v>
      </c>
      <c r="C2" s="7">
        <f>+Tabla113[[#This Row],[Columna6]]/Tabla113[[#This Row],[Columna5]]</f>
        <v>24249.224999999995</v>
      </c>
      <c r="D2" s="7">
        <f>+Tabla113[[#This Row],[PRECIO INSTALLER (CON IVA)]]-Tabla113[[#This Row],[Columna7]]</f>
        <v>23036.763749999995</v>
      </c>
      <c r="E2" s="7">
        <f>+Tabla113[[#This Row],[PRECIO INSTALLER (CON IVA)]]/0.7</f>
        <v>34641.749999999993</v>
      </c>
      <c r="F2" s="9">
        <v>0.8</v>
      </c>
      <c r="G2" s="3">
        <f>Tabla113[[#This Row],[COSTO]]*1.19</f>
        <v>19399.379999999997</v>
      </c>
      <c r="H2" s="9">
        <f>+Tabla113[[#This Row],[PRECIO INSTALLER (CON IVA)]]*5%</f>
        <v>1212.4612499999998</v>
      </c>
      <c r="I2" s="9"/>
      <c r="J2" s="3">
        <v>16302</v>
      </c>
    </row>
    <row r="3" spans="1:10" x14ac:dyDescent="0.25">
      <c r="A3" s="9" t="s">
        <v>194</v>
      </c>
      <c r="B3" s="13" t="s">
        <v>193</v>
      </c>
      <c r="C3" s="7">
        <f>+Tabla113[[#This Row],[Columna6]]/Tabla113[[#This Row],[Columna5]]</f>
        <v>34658.75</v>
      </c>
      <c r="D3" s="7">
        <f>+Tabla113[[#This Row],[PRECIO INSTALLER (CON IVA)]]-Tabla113[[#This Row],[Columna7]]</f>
        <v>32925.8125</v>
      </c>
      <c r="E3" s="7">
        <f>+Tabla113[[#This Row],[PRECIO INSTALLER (CON IVA)]]/0.7</f>
        <v>49512.5</v>
      </c>
      <c r="F3" s="9">
        <v>0.8</v>
      </c>
      <c r="G3" s="3">
        <f>Tabla113[[#This Row],[COSTO]]*1.19</f>
        <v>27727</v>
      </c>
      <c r="H3" s="9">
        <f>+Tabla113[[#This Row],[PRECIO INSTALLER (CON IVA)]]*5%</f>
        <v>1732.9375</v>
      </c>
      <c r="I3" s="9"/>
      <c r="J3" s="3">
        <v>23300</v>
      </c>
    </row>
    <row r="4" spans="1:10" x14ac:dyDescent="0.25">
      <c r="A4" s="9" t="s">
        <v>192</v>
      </c>
      <c r="B4" s="13" t="s">
        <v>191</v>
      </c>
      <c r="C4" s="7">
        <f>+Tabla113[[#This Row],[Columna6]]/Tabla113[[#This Row],[Columna5]]</f>
        <v>49831.25</v>
      </c>
      <c r="D4" s="7">
        <f>+Tabla113[[#This Row],[PRECIO INSTALLER (CON IVA)]]-Tabla113[[#This Row],[Columna7]]</f>
        <v>47339.6875</v>
      </c>
      <c r="E4" s="7">
        <f>+Tabla113[[#This Row],[PRECIO INSTALLER (CON IVA)]]/0.7</f>
        <v>71187.5</v>
      </c>
      <c r="F4" s="9">
        <v>0.8</v>
      </c>
      <c r="G4" s="3">
        <f>Tabla113[[#This Row],[COSTO]]*1.19</f>
        <v>39865</v>
      </c>
      <c r="H4" s="9">
        <f>+Tabla113[[#This Row],[PRECIO INSTALLER (CON IVA)]]*5%</f>
        <v>2491.5625</v>
      </c>
      <c r="I4" s="9"/>
      <c r="J4" s="3">
        <v>33500</v>
      </c>
    </row>
    <row r="5" spans="1:10" x14ac:dyDescent="0.25">
      <c r="A5" s="9" t="s">
        <v>190</v>
      </c>
      <c r="B5" s="13" t="s">
        <v>189</v>
      </c>
      <c r="C5" s="7">
        <f>+Tabla113[[#This Row],[Columna6]]/Tabla113[[#This Row],[Columna5]]</f>
        <v>78093.75</v>
      </c>
      <c r="D5" s="7">
        <f>+Tabla113[[#This Row],[PRECIO INSTALLER (CON IVA)]]-Tabla113[[#This Row],[Columna7]]</f>
        <v>74189.0625</v>
      </c>
      <c r="E5" s="7">
        <f>+Tabla113[[#This Row],[PRECIO INSTALLER (CON IVA)]]/0.7</f>
        <v>111562.5</v>
      </c>
      <c r="F5" s="9">
        <v>0.8</v>
      </c>
      <c r="G5" s="3">
        <f>Tabla113[[#This Row],[COSTO]]*1.19</f>
        <v>62475</v>
      </c>
      <c r="H5" s="9">
        <f>+Tabla113[[#This Row],[PRECIO INSTALLER (CON IVA)]]*5%</f>
        <v>3904.6875</v>
      </c>
      <c r="I5" s="9"/>
      <c r="J5" s="3">
        <v>52500</v>
      </c>
    </row>
    <row r="6" spans="1:10" x14ac:dyDescent="0.25">
      <c r="A6" s="9" t="s">
        <v>188</v>
      </c>
      <c r="B6" s="13" t="s">
        <v>187</v>
      </c>
      <c r="C6" s="7">
        <f>+Tabla113[[#This Row],[Columna6]]/Tabla113[[#This Row],[Columna5]]</f>
        <v>10710</v>
      </c>
      <c r="D6" s="7">
        <f>+Tabla113[[#This Row],[PRECIO INSTALLER (CON IVA)]]-Tabla113[[#This Row],[Columna7]]</f>
        <v>10174.5</v>
      </c>
      <c r="E6" s="7">
        <f>+Tabla113[[#This Row],[PRECIO INSTALLER (CON IVA)]]/0.7</f>
        <v>15300.000000000002</v>
      </c>
      <c r="F6" s="9">
        <v>0.8</v>
      </c>
      <c r="G6" s="3">
        <f>Tabla113[[#This Row],[COSTO]]*1.19</f>
        <v>8568</v>
      </c>
      <c r="H6" s="9">
        <f>+Tabla113[[#This Row],[PRECIO INSTALLER (CON IVA)]]*5%</f>
        <v>535.5</v>
      </c>
      <c r="I6" s="9"/>
      <c r="J6" s="3">
        <v>7200</v>
      </c>
    </row>
    <row r="7" spans="1:10" x14ac:dyDescent="0.25">
      <c r="A7" s="9" t="s">
        <v>186</v>
      </c>
      <c r="B7" s="12" t="s">
        <v>185</v>
      </c>
      <c r="C7" s="7">
        <f>+Tabla113[[#This Row],[Columna6]]/Tabla113[[#This Row],[Columna5]]</f>
        <v>15023.75</v>
      </c>
      <c r="D7" s="7">
        <f>+Tabla113[[#This Row],[PRECIO INSTALLER (CON IVA)]]-Tabla113[[#This Row],[Columna7]]</f>
        <v>14272.5625</v>
      </c>
      <c r="E7" s="7">
        <f>+Tabla113[[#This Row],[PRECIO INSTALLER (CON IVA)]]/0.7</f>
        <v>21462.5</v>
      </c>
      <c r="F7" s="9">
        <v>0.8</v>
      </c>
      <c r="G7" s="3">
        <f>Tabla113[[#This Row],[COSTO]]*1.19</f>
        <v>12019</v>
      </c>
      <c r="H7" s="9">
        <f>+Tabla113[[#This Row],[PRECIO INSTALLER (CON IVA)]]*5%</f>
        <v>751.1875</v>
      </c>
      <c r="I7" s="9"/>
      <c r="J7" s="3">
        <v>10100</v>
      </c>
    </row>
    <row r="8" spans="1:10" x14ac:dyDescent="0.25">
      <c r="A8" s="9" t="s">
        <v>184</v>
      </c>
      <c r="B8" s="12" t="s">
        <v>183</v>
      </c>
      <c r="C8" s="7">
        <f>+Tabla113[[#This Row],[Columna6]]/Tabla113[[#This Row],[Columna5]]</f>
        <v>255701.25</v>
      </c>
      <c r="D8" s="7">
        <f>+Tabla113[[#This Row],[PRECIO INSTALLER (CON IVA)]]-Tabla113[[#This Row],[Columna7]]</f>
        <v>242916.1875</v>
      </c>
      <c r="E8" s="7">
        <f>+Tabla113[[#This Row],[PRECIO INSTALLER (CON IVA)]]/0.7</f>
        <v>365287.5</v>
      </c>
      <c r="F8" s="9">
        <v>0.8</v>
      </c>
      <c r="G8" s="3">
        <f>Tabla113[[#This Row],[COSTO]]*1.19</f>
        <v>204561</v>
      </c>
      <c r="H8" s="9">
        <f>+Tabla113[[#This Row],[PRECIO INSTALLER (CON IVA)]]*5%</f>
        <v>12785.0625</v>
      </c>
      <c r="I8" s="9"/>
      <c r="J8" s="3">
        <v>171900</v>
      </c>
    </row>
    <row r="9" spans="1:10" ht="30" x14ac:dyDescent="0.25">
      <c r="A9" s="9" t="s">
        <v>182</v>
      </c>
      <c r="B9" s="12" t="s">
        <v>181</v>
      </c>
      <c r="C9" s="7">
        <f>+Tabla113[[#This Row],[Columna6]]/Tabla113[[#This Row],[Columna5]]</f>
        <v>919014.6875</v>
      </c>
      <c r="D9" s="7">
        <f>+Tabla113[[#This Row],[PRECIO INSTALLER (CON IVA)]]-Tabla113[[#This Row],[Columna7]]</f>
        <v>873063.953125</v>
      </c>
      <c r="E9" s="7">
        <f>+Tabla113[[#This Row],[PRECIO INSTALLER (CON IVA)]]/0.7</f>
        <v>1312878.125</v>
      </c>
      <c r="F9" s="9">
        <v>0.8</v>
      </c>
      <c r="G9" s="3">
        <f>Tabla113[[#This Row],[COSTO]]*1.19</f>
        <v>735211.75</v>
      </c>
      <c r="H9" s="9">
        <f>+Tabla113[[#This Row],[PRECIO INSTALLER (CON IVA)]]*5%</f>
        <v>45950.734375</v>
      </c>
      <c r="I9" s="9"/>
      <c r="J9" s="3">
        <v>617825</v>
      </c>
    </row>
    <row r="10" spans="1:10" ht="30" x14ac:dyDescent="0.25">
      <c r="A10" s="9" t="s">
        <v>180</v>
      </c>
      <c r="B10" s="12" t="s">
        <v>179</v>
      </c>
      <c r="C10" s="7">
        <f>+Tabla113[[#This Row],[Columna6]]/Tabla113[[#This Row],[Columna5]]</f>
        <v>200068.75</v>
      </c>
      <c r="D10" s="7">
        <f>+Tabla113[[#This Row],[PRECIO INSTALLER (CON IVA)]]-Tabla113[[#This Row],[Columna7]]</f>
        <v>190065.3125</v>
      </c>
      <c r="E10" s="7">
        <f>+Tabla113[[#This Row],[PRECIO INSTALLER (CON IVA)]]/0.7</f>
        <v>285812.5</v>
      </c>
      <c r="F10" s="9">
        <v>0.8</v>
      </c>
      <c r="G10" s="3">
        <f>Tabla113[[#This Row],[COSTO]]*1.19</f>
        <v>160055</v>
      </c>
      <c r="H10" s="9">
        <f>+Tabla113[[#This Row],[PRECIO INSTALLER (CON IVA)]]*5%</f>
        <v>10003.4375</v>
      </c>
      <c r="I10" s="9"/>
      <c r="J10" s="3">
        <v>134500</v>
      </c>
    </row>
    <row r="11" spans="1:10" ht="30" x14ac:dyDescent="0.25">
      <c r="A11" s="9" t="s">
        <v>178</v>
      </c>
      <c r="B11" s="15" t="s">
        <v>177</v>
      </c>
      <c r="C11" s="7">
        <f>+Tabla113[[#This Row],[Columna6]]/Tabla113[[#This Row],[Columna5]]</f>
        <v>95051.25</v>
      </c>
      <c r="D11" s="7">
        <f>+Tabla113[[#This Row],[PRECIO INSTALLER (CON IVA)]]-Tabla113[[#This Row],[Columna7]]</f>
        <v>90298.6875</v>
      </c>
      <c r="E11" s="7">
        <f>+Tabla113[[#This Row],[PRECIO INSTALLER (CON IVA)]]/0.7</f>
        <v>135787.5</v>
      </c>
      <c r="F11" s="9">
        <v>0.8</v>
      </c>
      <c r="G11" s="3">
        <f>Tabla113[[#This Row],[COSTO]]*1.19</f>
        <v>76041</v>
      </c>
      <c r="H11" s="9">
        <f>+Tabla113[[#This Row],[PRECIO INSTALLER (CON IVA)]]*5%</f>
        <v>4752.5625</v>
      </c>
      <c r="I11" s="9"/>
      <c r="J11" s="3">
        <v>63900</v>
      </c>
    </row>
    <row r="12" spans="1:10" ht="30" x14ac:dyDescent="0.25">
      <c r="A12" s="9" t="s">
        <v>176</v>
      </c>
      <c r="B12" s="12" t="s">
        <v>175</v>
      </c>
      <c r="C12" s="7">
        <f>+Tabla113[[#This Row],[Columna6]]/Tabla113[[#This Row],[Columna5]]</f>
        <v>47748.75</v>
      </c>
      <c r="D12" s="7">
        <f>+Tabla113[[#This Row],[PRECIO INSTALLER (CON IVA)]]-Tabla113[[#This Row],[Columna7]]</f>
        <v>45361.3125</v>
      </c>
      <c r="E12" s="7">
        <f>+Tabla113[[#This Row],[PRECIO INSTALLER (CON IVA)]]/0.7</f>
        <v>68212.5</v>
      </c>
      <c r="F12" s="9">
        <v>0.8</v>
      </c>
      <c r="G12" s="3">
        <f>Tabla113[[#This Row],[COSTO]]*1.19</f>
        <v>38199</v>
      </c>
      <c r="H12" s="9">
        <f>+Tabla113[[#This Row],[PRECIO INSTALLER (CON IVA)]]*5%</f>
        <v>2387.4375</v>
      </c>
      <c r="I12" s="9"/>
      <c r="J12" s="10">
        <v>32100</v>
      </c>
    </row>
    <row r="13" spans="1:10" ht="30" x14ac:dyDescent="0.25">
      <c r="A13" s="9" t="s">
        <v>174</v>
      </c>
      <c r="B13" s="12" t="s">
        <v>173</v>
      </c>
      <c r="C13" s="7">
        <f>+Tabla113[[#This Row],[Columna6]]/Tabla113[[#This Row],[Columna5]]</f>
        <v>125991.25</v>
      </c>
      <c r="D13" s="7">
        <f>+Tabla113[[#This Row],[PRECIO INSTALLER (CON IVA)]]-Tabla113[[#This Row],[Columna7]]</f>
        <v>119691.6875</v>
      </c>
      <c r="E13" s="7">
        <f>+Tabla113[[#This Row],[PRECIO INSTALLER (CON IVA)]]/0.7</f>
        <v>179987.5</v>
      </c>
      <c r="F13" s="9">
        <v>0.8</v>
      </c>
      <c r="G13" s="3">
        <f>Tabla113[[#This Row],[COSTO]]*1.19</f>
        <v>100793</v>
      </c>
      <c r="H13" s="9">
        <f>+Tabla113[[#This Row],[PRECIO INSTALLER (CON IVA)]]*5%</f>
        <v>6299.5625</v>
      </c>
      <c r="I13" s="9"/>
      <c r="J13" s="10">
        <v>84700</v>
      </c>
    </row>
    <row r="14" spans="1:10" ht="45" x14ac:dyDescent="0.25">
      <c r="A14" s="9" t="s">
        <v>172</v>
      </c>
      <c r="B14" s="12" t="s">
        <v>171</v>
      </c>
      <c r="C14" s="7">
        <f>+Tabla113[[#This Row],[Columna6]]/Tabla113[[#This Row],[Columna5]]</f>
        <v>174781.25</v>
      </c>
      <c r="D14" s="7">
        <f>+Tabla113[[#This Row],[PRECIO INSTALLER (CON IVA)]]-Tabla113[[#This Row],[Columna7]]</f>
        <v>166042.1875</v>
      </c>
      <c r="E14" s="7">
        <f>+Tabla113[[#This Row],[PRECIO INSTALLER (CON IVA)]]/0.7</f>
        <v>249687.50000000003</v>
      </c>
      <c r="F14" s="9">
        <v>0.8</v>
      </c>
      <c r="G14" s="3">
        <f>Tabla113[[#This Row],[COSTO]]*1.19</f>
        <v>139825</v>
      </c>
      <c r="H14" s="9">
        <f>+Tabla113[[#This Row],[PRECIO INSTALLER (CON IVA)]]*5%</f>
        <v>8739.0625</v>
      </c>
      <c r="I14" s="9"/>
      <c r="J14" s="10">
        <v>117500</v>
      </c>
    </row>
    <row r="15" spans="1:10" ht="30" x14ac:dyDescent="0.25">
      <c r="A15" s="9" t="s">
        <v>170</v>
      </c>
      <c r="B15" s="12" t="s">
        <v>169</v>
      </c>
      <c r="C15" s="7">
        <f>+Tabla113[[#This Row],[Columna6]]/Tabla113[[#This Row],[Columna5]]</f>
        <v>555135</v>
      </c>
      <c r="D15" s="7">
        <f>+Tabla113[[#This Row],[PRECIO INSTALLER (CON IVA)]]-Tabla113[[#This Row],[Columna7]]</f>
        <v>527378.25</v>
      </c>
      <c r="E15" s="7">
        <f>+Tabla113[[#This Row],[PRECIO INSTALLER (CON IVA)]]/0.7</f>
        <v>793050</v>
      </c>
      <c r="F15" s="9">
        <v>0.8</v>
      </c>
      <c r="G15" s="3">
        <f>Tabla113[[#This Row],[COSTO]]*1.19</f>
        <v>444108</v>
      </c>
      <c r="H15" s="9">
        <f>+Tabla113[[#This Row],[PRECIO INSTALLER (CON IVA)]]*5%</f>
        <v>27756.75</v>
      </c>
      <c r="I15" s="9"/>
      <c r="J15" s="3">
        <v>373200</v>
      </c>
    </row>
    <row r="16" spans="1:10" ht="30" x14ac:dyDescent="0.25">
      <c r="A16" s="9" t="s">
        <v>168</v>
      </c>
      <c r="B16" s="12" t="s">
        <v>167</v>
      </c>
      <c r="C16" s="7">
        <f>+Tabla113[[#This Row],[Columna6]]/Tabla113[[#This Row],[Columna5]]</f>
        <v>179913.125</v>
      </c>
      <c r="D16" s="7">
        <f>+Tabla113[[#This Row],[PRECIO INSTALLER (CON IVA)]]-Tabla113[[#This Row],[Columna7]]</f>
        <v>170917.46875</v>
      </c>
      <c r="E16" s="7">
        <f>+Tabla113[[#This Row],[PRECIO INSTALLER (CON IVA)]]/0.7</f>
        <v>257018.75000000003</v>
      </c>
      <c r="F16" s="9">
        <v>0.8</v>
      </c>
      <c r="G16" s="3">
        <f>Tabla113[[#This Row],[COSTO]]*1.19</f>
        <v>143930.5</v>
      </c>
      <c r="H16" s="9">
        <f>+Tabla113[[#This Row],[PRECIO INSTALLER (CON IVA)]]*5%</f>
        <v>8995.65625</v>
      </c>
      <c r="I16" s="9"/>
      <c r="J16" s="10">
        <v>120950</v>
      </c>
    </row>
    <row r="17" spans="1:10" ht="30" x14ac:dyDescent="0.25">
      <c r="A17" s="9" t="s">
        <v>166</v>
      </c>
      <c r="B17" s="12" t="s">
        <v>165</v>
      </c>
      <c r="C17" s="7">
        <f>+Tabla113[[#This Row],[Columna6]]/Tabla113[[#This Row],[Columna5]]</f>
        <v>57120</v>
      </c>
      <c r="D17" s="7">
        <f>+Tabla113[[#This Row],[PRECIO INSTALLER (CON IVA)]]-Tabla113[[#This Row],[Columna7]]</f>
        <v>54264</v>
      </c>
      <c r="E17" s="7">
        <f>+Tabla113[[#This Row],[PRECIO INSTALLER (CON IVA)]]/0.7</f>
        <v>81600</v>
      </c>
      <c r="F17" s="9">
        <v>0.8</v>
      </c>
      <c r="G17" s="3">
        <f>Tabla113[[#This Row],[COSTO]]*1.19</f>
        <v>45696</v>
      </c>
      <c r="H17" s="9">
        <f>+Tabla113[[#This Row],[PRECIO INSTALLER (CON IVA)]]*5%</f>
        <v>2856</v>
      </c>
      <c r="I17" s="9"/>
      <c r="J17" s="10">
        <v>38400</v>
      </c>
    </row>
    <row r="18" spans="1:10" ht="30" x14ac:dyDescent="0.25">
      <c r="A18" s="9" t="s">
        <v>164</v>
      </c>
      <c r="B18" s="12" t="s">
        <v>163</v>
      </c>
      <c r="C18" s="7">
        <f>+Tabla113[[#This Row],[Columna6]]/Tabla113[[#This Row],[Columna5]]</f>
        <v>233537.5</v>
      </c>
      <c r="D18" s="7">
        <f>+Tabla113[[#This Row],[PRECIO INSTALLER (CON IVA)]]-Tabla113[[#This Row],[Columna7]]</f>
        <v>221860.625</v>
      </c>
      <c r="E18" s="7">
        <f>+Tabla113[[#This Row],[PRECIO INSTALLER (CON IVA)]]/0.7</f>
        <v>333625</v>
      </c>
      <c r="F18" s="9">
        <v>0.8</v>
      </c>
      <c r="G18" s="3">
        <f>Tabla113[[#This Row],[COSTO]]*1.19</f>
        <v>186830</v>
      </c>
      <c r="H18" s="9">
        <f>+Tabla113[[#This Row],[PRECIO INSTALLER (CON IVA)]]*5%</f>
        <v>11676.875</v>
      </c>
      <c r="I18" s="9"/>
      <c r="J18" s="3">
        <v>157000</v>
      </c>
    </row>
    <row r="19" spans="1:10" ht="28.5" x14ac:dyDescent="0.25">
      <c r="A19" s="9" t="s">
        <v>162</v>
      </c>
      <c r="B19" s="14" t="s">
        <v>161</v>
      </c>
      <c r="C19" s="7">
        <f>+Tabla113[[#This Row],[Columna6]]/Tabla113[[#This Row],[Columna5]]</f>
        <v>230265</v>
      </c>
      <c r="D19" s="7">
        <f>+Tabla113[[#This Row],[PRECIO INSTALLER (CON IVA)]]-Tabla113[[#This Row],[Columna7]]</f>
        <v>218751.75</v>
      </c>
      <c r="E19" s="7">
        <f>+Tabla113[[#This Row],[PRECIO INSTALLER (CON IVA)]]/0.7</f>
        <v>328950</v>
      </c>
      <c r="F19" s="9">
        <v>0.8</v>
      </c>
      <c r="G19" s="3">
        <f>Tabla113[[#This Row],[COSTO]]*1.19</f>
        <v>184212</v>
      </c>
      <c r="H19" s="9">
        <f>+Tabla113[[#This Row],[PRECIO INSTALLER (CON IVA)]]*5%</f>
        <v>11513.25</v>
      </c>
      <c r="I19" s="9"/>
      <c r="J19" s="3">
        <v>154800</v>
      </c>
    </row>
    <row r="20" spans="1:10" ht="30" x14ac:dyDescent="0.25">
      <c r="A20" s="9" t="s">
        <v>160</v>
      </c>
      <c r="B20" s="12" t="s">
        <v>159</v>
      </c>
      <c r="C20" s="7">
        <f>+Tabla113[[#This Row],[Columna6]]/Tabla113[[#This Row],[Columna5]]</f>
        <v>208547.5</v>
      </c>
      <c r="D20" s="7">
        <f>+Tabla113[[#This Row],[PRECIO INSTALLER (CON IVA)]]-Tabla113[[#This Row],[Columna7]]</f>
        <v>198120.125</v>
      </c>
      <c r="E20" s="7">
        <f>+Tabla113[[#This Row],[PRECIO INSTALLER (CON IVA)]]/0.7</f>
        <v>297925</v>
      </c>
      <c r="F20" s="9">
        <v>0.8</v>
      </c>
      <c r="G20" s="3">
        <f>Tabla113[[#This Row],[COSTO]]*1.19</f>
        <v>166838</v>
      </c>
      <c r="H20" s="9">
        <f>+Tabla113[[#This Row],[PRECIO INSTALLER (CON IVA)]]*5%</f>
        <v>10427.375</v>
      </c>
      <c r="I20" s="9"/>
      <c r="J20" s="3">
        <v>140200</v>
      </c>
    </row>
    <row r="21" spans="1:10" ht="30" x14ac:dyDescent="0.25">
      <c r="A21" s="9" t="s">
        <v>158</v>
      </c>
      <c r="B21" s="12" t="s">
        <v>157</v>
      </c>
      <c r="C21" s="7">
        <f>+Tabla113[[#This Row],[Columna6]]/Tabla113[[#This Row],[Columna5]]</f>
        <v>683803.75</v>
      </c>
      <c r="D21" s="7">
        <f>+Tabla113[[#This Row],[PRECIO INSTALLER (CON IVA)]]-Tabla113[[#This Row],[Columna7]]</f>
        <v>649613.5625</v>
      </c>
      <c r="E21" s="7">
        <f>+Tabla113[[#This Row],[PRECIO INSTALLER (CON IVA)]]/0.7</f>
        <v>976862.50000000012</v>
      </c>
      <c r="F21" s="9">
        <v>0.8</v>
      </c>
      <c r="G21" s="3">
        <f>Tabla113[[#This Row],[COSTO]]*1.19</f>
        <v>547043</v>
      </c>
      <c r="H21" s="9">
        <f>+Tabla113[[#This Row],[PRECIO INSTALLER (CON IVA)]]*5%</f>
        <v>34190.1875</v>
      </c>
      <c r="I21" s="9"/>
      <c r="J21" s="3">
        <v>459700</v>
      </c>
    </row>
    <row r="22" spans="1:10" x14ac:dyDescent="0.25">
      <c r="A22" s="9" t="s">
        <v>156</v>
      </c>
      <c r="B22" s="12" t="s">
        <v>155</v>
      </c>
      <c r="C22" s="7">
        <f>+Tabla113[[#This Row],[Columna6]]/Tabla113[[#This Row],[Columna5]]</f>
        <v>312970</v>
      </c>
      <c r="D22" s="7">
        <f>+Tabla113[[#This Row],[PRECIO INSTALLER (CON IVA)]]-Tabla113[[#This Row],[Columna7]]</f>
        <v>297321.5</v>
      </c>
      <c r="E22" s="7">
        <f>+Tabla113[[#This Row],[PRECIO INSTALLER (CON IVA)]]/0.7</f>
        <v>447100</v>
      </c>
      <c r="F22" s="9">
        <v>0.8</v>
      </c>
      <c r="G22" s="3">
        <f>Tabla113[[#This Row],[COSTO]]*1.19</f>
        <v>250376</v>
      </c>
      <c r="H22" s="9">
        <f>+Tabla113[[#This Row],[PRECIO INSTALLER (CON IVA)]]*5%</f>
        <v>15648.5</v>
      </c>
      <c r="I22" s="9"/>
      <c r="J22" s="10">
        <v>210400</v>
      </c>
    </row>
    <row r="23" spans="1:10" x14ac:dyDescent="0.25">
      <c r="A23" s="9" t="s">
        <v>154</v>
      </c>
      <c r="B23" s="13" t="s">
        <v>153</v>
      </c>
      <c r="C23" s="7">
        <f>+Tabla113[[#This Row],[Columna6]]/Tabla113[[#This Row],[Columna5]]</f>
        <v>18742.5</v>
      </c>
      <c r="D23" s="7">
        <f>+Tabla113[[#This Row],[PRECIO INSTALLER (CON IVA)]]-Tabla113[[#This Row],[Columna7]]</f>
        <v>17805.375</v>
      </c>
      <c r="E23" s="7">
        <f>+Tabla113[[#This Row],[PRECIO INSTALLER (CON IVA)]]/0.7</f>
        <v>26775</v>
      </c>
      <c r="F23" s="9">
        <v>0.8</v>
      </c>
      <c r="G23" s="3">
        <f>Tabla113[[#This Row],[COSTO]]*1.19</f>
        <v>14994</v>
      </c>
      <c r="H23" s="9">
        <f>+Tabla113[[#This Row],[PRECIO INSTALLER (CON IVA)]]*5%</f>
        <v>937.125</v>
      </c>
      <c r="I23" s="9"/>
      <c r="J23" s="3">
        <v>12600</v>
      </c>
    </row>
    <row r="24" spans="1:10" ht="30" x14ac:dyDescent="0.25">
      <c r="A24" s="9" t="s">
        <v>152</v>
      </c>
      <c r="B24" s="12" t="s">
        <v>151</v>
      </c>
      <c r="C24" s="7">
        <f>+Tabla113[[#This Row],[Columna6]]/Tabla113[[#This Row],[Columna5]]</f>
        <v>127007.21249999998</v>
      </c>
      <c r="D24" s="7">
        <f>+Tabla113[[#This Row],[PRECIO INSTALLER (CON IVA)]]-Tabla113[[#This Row],[Columna7]]</f>
        <v>120656.85187499998</v>
      </c>
      <c r="E24" s="7">
        <f>+Tabla113[[#This Row],[PRECIO INSTALLER (CON IVA)]]/0.7</f>
        <v>181438.87499999997</v>
      </c>
      <c r="F24" s="9">
        <v>0.8</v>
      </c>
      <c r="G24" s="3">
        <f>Tabla113[[#This Row],[COSTO]]*1.19</f>
        <v>101605.76999999999</v>
      </c>
      <c r="H24" s="9">
        <f>+Tabla113[[#This Row],[PRECIO INSTALLER (CON IVA)]]*5%</f>
        <v>6350.3606249999993</v>
      </c>
      <c r="I24" s="9"/>
      <c r="J24" s="3">
        <v>85383</v>
      </c>
    </row>
    <row r="25" spans="1:10" ht="30" x14ac:dyDescent="0.25">
      <c r="A25" s="9" t="s">
        <v>150</v>
      </c>
      <c r="B25" s="12" t="s">
        <v>149</v>
      </c>
      <c r="C25" s="7">
        <f>+Tabla113[[#This Row],[Columna6]]/Tabla113[[#This Row],[Columna5]]</f>
        <v>180433.75</v>
      </c>
      <c r="D25" s="7">
        <f>+Tabla113[[#This Row],[PRECIO INSTALLER (CON IVA)]]-Tabla113[[#This Row],[Columna7]]</f>
        <v>171412.0625</v>
      </c>
      <c r="E25" s="7">
        <f>+Tabla113[[#This Row],[PRECIO INSTALLER (CON IVA)]]/0.7</f>
        <v>257762.50000000003</v>
      </c>
      <c r="F25" s="9">
        <v>0.8</v>
      </c>
      <c r="G25" s="3">
        <f>Tabla113[[#This Row],[COSTO]]*1.19</f>
        <v>144347</v>
      </c>
      <c r="H25" s="9">
        <f>+Tabla113[[#This Row],[PRECIO INSTALLER (CON IVA)]]*5%</f>
        <v>9021.6875</v>
      </c>
      <c r="I25" s="9"/>
      <c r="J25" s="10">
        <v>121300</v>
      </c>
    </row>
    <row r="26" spans="1:10" ht="30" x14ac:dyDescent="0.25">
      <c r="A26" s="9" t="s">
        <v>148</v>
      </c>
      <c r="B26" s="12" t="s">
        <v>147</v>
      </c>
      <c r="C26" s="7">
        <f>+Tabla113[[#This Row],[Columna6]]/Tabla113[[#This Row],[Columna5]]</f>
        <v>175673.75</v>
      </c>
      <c r="D26" s="7">
        <f>+Tabla113[[#This Row],[PRECIO INSTALLER (CON IVA)]]-Tabla113[[#This Row],[Columna7]]</f>
        <v>166890.0625</v>
      </c>
      <c r="E26" s="7">
        <f>+Tabla113[[#This Row],[PRECIO INSTALLER (CON IVA)]]/0.7</f>
        <v>250962.50000000003</v>
      </c>
      <c r="F26" s="9">
        <v>0.8</v>
      </c>
      <c r="G26" s="3">
        <f>Tabla113[[#This Row],[COSTO]]*1.19</f>
        <v>140539</v>
      </c>
      <c r="H26" s="9">
        <f>+Tabla113[[#This Row],[PRECIO INSTALLER (CON IVA)]]*5%</f>
        <v>8783.6875</v>
      </c>
      <c r="I26" s="9"/>
      <c r="J26" s="10">
        <v>118100</v>
      </c>
    </row>
    <row r="27" spans="1:10" ht="30" x14ac:dyDescent="0.25">
      <c r="A27" s="9" t="s">
        <v>146</v>
      </c>
      <c r="B27" s="12" t="s">
        <v>145</v>
      </c>
      <c r="C27" s="7">
        <f>+Tabla113[[#This Row],[Columna6]]/Tabla113[[#This Row],[Columna5]]</f>
        <v>212861.25</v>
      </c>
      <c r="D27" s="7">
        <f>+Tabla113[[#This Row],[PRECIO INSTALLER (CON IVA)]]-Tabla113[[#This Row],[Columna7]]</f>
        <v>202218.1875</v>
      </c>
      <c r="E27" s="7">
        <f>+Tabla113[[#This Row],[PRECIO INSTALLER (CON IVA)]]/0.7</f>
        <v>304087.5</v>
      </c>
      <c r="F27" s="9">
        <v>0.8</v>
      </c>
      <c r="G27" s="3">
        <f>Tabla113[[#This Row],[COSTO]]*1.19</f>
        <v>170289</v>
      </c>
      <c r="H27" s="9">
        <f>+Tabla113[[#This Row],[PRECIO INSTALLER (CON IVA)]]*5%</f>
        <v>10643.0625</v>
      </c>
      <c r="I27" s="9"/>
      <c r="J27" s="10">
        <v>143100</v>
      </c>
    </row>
    <row r="28" spans="1:10" x14ac:dyDescent="0.25">
      <c r="A28" s="9" t="s">
        <v>144</v>
      </c>
      <c r="B28" s="12" t="s">
        <v>143</v>
      </c>
      <c r="C28" s="7">
        <f>+Tabla113[[#This Row],[Columna6]]/Tabla113[[#This Row],[Columna5]]</f>
        <v>132021.57499999998</v>
      </c>
      <c r="D28" s="7">
        <f>+Tabla113[[#This Row],[PRECIO INSTALLER (CON IVA)]]-Tabla113[[#This Row],[Columna7]]</f>
        <v>125420.49624999998</v>
      </c>
      <c r="E28" s="7">
        <f>+Tabla113[[#This Row],[PRECIO INSTALLER (CON IVA)]]/0.7</f>
        <v>188602.25</v>
      </c>
      <c r="F28" s="9">
        <v>0.8</v>
      </c>
      <c r="G28" s="3">
        <f>Tabla113[[#This Row],[COSTO]]*1.19</f>
        <v>105617.26</v>
      </c>
      <c r="H28" s="9">
        <f>+Tabla113[[#This Row],[PRECIO INSTALLER (CON IVA)]]*5%</f>
        <v>6601.0787499999997</v>
      </c>
      <c r="I28" s="9"/>
      <c r="J28" s="10">
        <v>88754</v>
      </c>
    </row>
    <row r="29" spans="1:10" x14ac:dyDescent="0.25">
      <c r="A29" s="9" t="s">
        <v>142</v>
      </c>
      <c r="B29" s="12" t="s">
        <v>141</v>
      </c>
      <c r="C29" s="7">
        <f>+Tabla113[[#This Row],[Columna6]]/Tabla113[[#This Row],[Columna5]]</f>
        <v>6545</v>
      </c>
      <c r="D29" s="7">
        <f>+Tabla113[[#This Row],[PRECIO INSTALLER (CON IVA)]]-Tabla113[[#This Row],[Columna7]]</f>
        <v>6217.75</v>
      </c>
      <c r="E29" s="7">
        <f>+Tabla113[[#This Row],[PRECIO INSTALLER (CON IVA)]]/0.7</f>
        <v>9350</v>
      </c>
      <c r="F29" s="9">
        <v>0.8</v>
      </c>
      <c r="G29" s="3">
        <f>Tabla113[[#This Row],[COSTO]]*1.19</f>
        <v>5236</v>
      </c>
      <c r="H29" s="9">
        <f>+Tabla113[[#This Row],[PRECIO INSTALLER (CON IVA)]]*5%</f>
        <v>327.25</v>
      </c>
      <c r="I29" s="9"/>
      <c r="J29" s="3">
        <v>4400</v>
      </c>
    </row>
    <row r="30" spans="1:10" ht="30" x14ac:dyDescent="0.25">
      <c r="A30" s="9" t="s">
        <v>140</v>
      </c>
      <c r="B30" s="12" t="s">
        <v>139</v>
      </c>
      <c r="C30" s="7">
        <f>+Tabla113[[#This Row],[Columna6]]/Tabla113[[#This Row],[Columna5]]</f>
        <v>481.95</v>
      </c>
      <c r="D30" s="7">
        <f>+Tabla113[[#This Row],[PRECIO INSTALLER (CON IVA)]]-Tabla113[[#This Row],[Columna7]]</f>
        <v>457.85249999999996</v>
      </c>
      <c r="E30" s="7">
        <f>+Tabla113[[#This Row],[PRECIO INSTALLER (CON IVA)]]/0.7</f>
        <v>688.5</v>
      </c>
      <c r="F30" s="9">
        <v>0.8</v>
      </c>
      <c r="G30" s="3">
        <f>Tabla113[[#This Row],[COSTO]]*1.19</f>
        <v>385.56</v>
      </c>
      <c r="H30" s="9">
        <f>+Tabla113[[#This Row],[PRECIO INSTALLER (CON IVA)]]*5%</f>
        <v>24.0975</v>
      </c>
      <c r="I30" s="9"/>
      <c r="J30" s="3">
        <v>324</v>
      </c>
    </row>
    <row r="31" spans="1:10" ht="30" x14ac:dyDescent="0.25">
      <c r="A31" s="9" t="s">
        <v>138</v>
      </c>
      <c r="B31" s="12" t="s">
        <v>137</v>
      </c>
      <c r="C31" s="7">
        <f>+Tabla113[[#This Row],[Columna6]]/Tabla113[[#This Row],[Columna5]]</f>
        <v>481.95</v>
      </c>
      <c r="D31" s="7">
        <f>+Tabla113[[#This Row],[PRECIO INSTALLER (CON IVA)]]-Tabla113[[#This Row],[Columna7]]</f>
        <v>457.85249999999996</v>
      </c>
      <c r="E31" s="7">
        <f>+Tabla113[[#This Row],[PRECIO INSTALLER (CON IVA)]]/0.7</f>
        <v>688.5</v>
      </c>
      <c r="F31" s="9">
        <v>0.8</v>
      </c>
      <c r="G31" s="3">
        <f>Tabla113[[#This Row],[COSTO]]*1.19</f>
        <v>385.56</v>
      </c>
      <c r="H31" s="9">
        <f>+Tabla113[[#This Row],[PRECIO INSTALLER (CON IVA)]]*5%</f>
        <v>24.0975</v>
      </c>
      <c r="I31" s="9"/>
      <c r="J31" s="3">
        <v>324</v>
      </c>
    </row>
    <row r="32" spans="1:10" ht="30" x14ac:dyDescent="0.25">
      <c r="A32" s="9" t="s">
        <v>136</v>
      </c>
      <c r="B32" s="12" t="s">
        <v>135</v>
      </c>
      <c r="C32" s="7">
        <f>+Tabla113[[#This Row],[Columna6]]/Tabla113[[#This Row],[Columna5]]</f>
        <v>6101097.75</v>
      </c>
      <c r="D32" s="7">
        <f>+Tabla113[[#This Row],[PRECIO INSTALLER (CON IVA)]]-Tabla113[[#This Row],[Columna7]]</f>
        <v>5796042.8624999998</v>
      </c>
      <c r="E32" s="7">
        <f>+Tabla113[[#This Row],[PRECIO INSTALLER (CON IVA)]]/0.7</f>
        <v>8715853.9285714291</v>
      </c>
      <c r="F32" s="9">
        <v>0.8</v>
      </c>
      <c r="G32" s="3">
        <f>Tabla113[[#This Row],[COSTO]]*1.19</f>
        <v>4880878.2</v>
      </c>
      <c r="H32" s="9">
        <f>+Tabla113[[#This Row],[PRECIO INSTALLER (CON IVA)]]*5%</f>
        <v>305054.88750000001</v>
      </c>
      <c r="I32" s="9"/>
      <c r="J32" s="3">
        <v>4101578.3193277316</v>
      </c>
    </row>
    <row r="33" spans="1:10" ht="30" x14ac:dyDescent="0.25">
      <c r="A33" s="9" t="s">
        <v>134</v>
      </c>
      <c r="B33" s="12" t="s">
        <v>133</v>
      </c>
      <c r="C33" s="7">
        <f>+Tabla113[[#This Row],[Columna6]]/Tabla113[[#This Row],[Columna5]]</f>
        <v>8736385</v>
      </c>
      <c r="D33" s="7">
        <f>+Tabla113[[#This Row],[PRECIO INSTALLER (CON IVA)]]-Tabla113[[#This Row],[Columna7]]</f>
        <v>8299565.75</v>
      </c>
      <c r="E33" s="7">
        <f>+Tabla113[[#This Row],[PRECIO INSTALLER (CON IVA)]]/0.7</f>
        <v>12480550</v>
      </c>
      <c r="F33" s="9">
        <v>0.8</v>
      </c>
      <c r="G33" s="3">
        <f>Tabla113[[#This Row],[COSTO]]*1.19</f>
        <v>6989108</v>
      </c>
      <c r="H33" s="9">
        <f>+Tabla113[[#This Row],[PRECIO INSTALLER (CON IVA)]]*5%</f>
        <v>436819.25</v>
      </c>
      <c r="I33" s="9"/>
      <c r="J33" s="3">
        <v>5873200</v>
      </c>
    </row>
    <row r="34" spans="1:10" ht="30" x14ac:dyDescent="0.25">
      <c r="A34" s="9" t="s">
        <v>132</v>
      </c>
      <c r="B34" s="12" t="s">
        <v>131</v>
      </c>
      <c r="C34" s="7">
        <f>+Tabla113[[#This Row],[Columna6]]/Tabla113[[#This Row],[Columna5]]</f>
        <v>11352005</v>
      </c>
      <c r="D34" s="7">
        <f>+Tabla113[[#This Row],[PRECIO INSTALLER (CON IVA)]]-Tabla113[[#This Row],[Columna7]]</f>
        <v>10784404.75</v>
      </c>
      <c r="E34" s="7">
        <f>+Tabla113[[#This Row],[PRECIO INSTALLER (CON IVA)]]/0.7</f>
        <v>16217150.000000002</v>
      </c>
      <c r="F34" s="9">
        <v>0.8</v>
      </c>
      <c r="G34" s="3">
        <f>Tabla113[[#This Row],[COSTO]]*1.19</f>
        <v>9081604</v>
      </c>
      <c r="H34" s="9">
        <f>+Tabla113[[#This Row],[PRECIO INSTALLER (CON IVA)]]*5%</f>
        <v>567600.25</v>
      </c>
      <c r="I34" s="9"/>
      <c r="J34" s="3">
        <v>7631600</v>
      </c>
    </row>
    <row r="35" spans="1:10" ht="30" x14ac:dyDescent="0.25">
      <c r="A35" s="9" t="s">
        <v>130</v>
      </c>
      <c r="B35" s="12" t="s">
        <v>129</v>
      </c>
      <c r="C35" s="7">
        <f>+Tabla113[[#This Row],[Columna6]]/Tabla113[[#This Row],[Columna5]]</f>
        <v>14740113.500000002</v>
      </c>
      <c r="D35" s="7">
        <f>+Tabla113[[#This Row],[PRECIO INSTALLER (CON IVA)]]-Tabla113[[#This Row],[Columna7]]</f>
        <v>14003107.825000001</v>
      </c>
      <c r="E35" s="7">
        <f>+Tabla113[[#This Row],[PRECIO INSTALLER (CON IVA)]]/0.7</f>
        <v>21057305.000000004</v>
      </c>
      <c r="F35" s="9">
        <v>0.8</v>
      </c>
      <c r="G35" s="3">
        <f>Tabla113[[#This Row],[COSTO]]*1.19</f>
        <v>11792090.800000003</v>
      </c>
      <c r="H35" s="9">
        <f>+Tabla113[[#This Row],[PRECIO INSTALLER (CON IVA)]]*5%</f>
        <v>737005.67500000016</v>
      </c>
      <c r="I35" s="9"/>
      <c r="J35" s="3">
        <v>9909320.0000000019</v>
      </c>
    </row>
    <row r="36" spans="1:10" ht="30" x14ac:dyDescent="0.25">
      <c r="A36" s="9" t="s">
        <v>128</v>
      </c>
      <c r="B36" s="12" t="s">
        <v>127</v>
      </c>
      <c r="C36" s="7">
        <f>+Tabla113[[#This Row],[Columna6]]/Tabla113[[#This Row],[Columna5]]</f>
        <v>15493800</v>
      </c>
      <c r="D36" s="7">
        <f>+Tabla113[[#This Row],[PRECIO INSTALLER (CON IVA)]]-Tabla113[[#This Row],[Columna7]]</f>
        <v>14719110</v>
      </c>
      <c r="E36" s="7">
        <f>+Tabla113[[#This Row],[PRECIO INSTALLER (CON IVA)]]/0.7</f>
        <v>22134000</v>
      </c>
      <c r="F36" s="9">
        <v>0.8</v>
      </c>
      <c r="G36" s="3">
        <f>Tabla113[[#This Row],[COSTO]]*1.19</f>
        <v>12395040</v>
      </c>
      <c r="H36" s="9">
        <f>+Tabla113[[#This Row],[PRECIO INSTALLER (CON IVA)]]*5%</f>
        <v>774690</v>
      </c>
      <c r="I36" s="9"/>
      <c r="J36" s="3">
        <v>10416000</v>
      </c>
    </row>
    <row r="37" spans="1:10" ht="30" x14ac:dyDescent="0.25">
      <c r="A37" s="9" t="s">
        <v>126</v>
      </c>
      <c r="B37" s="12" t="s">
        <v>125</v>
      </c>
      <c r="C37" s="7">
        <f>+Tabla113[[#This Row],[Columna6]]/Tabla113[[#This Row],[Columna5]]</f>
        <v>11228151.499999998</v>
      </c>
      <c r="D37" s="7">
        <f>+Tabla113[[#This Row],[PRECIO INSTALLER (CON IVA)]]-Tabla113[[#This Row],[Columna7]]</f>
        <v>10666743.924999999</v>
      </c>
      <c r="E37" s="7">
        <f>+Tabla113[[#This Row],[PRECIO INSTALLER (CON IVA)]]/0.7</f>
        <v>16040216.428571427</v>
      </c>
      <c r="F37" s="9">
        <v>0.8</v>
      </c>
      <c r="G37" s="3">
        <f>Tabla113[[#This Row],[COSTO]]*1.19</f>
        <v>8982521.1999999993</v>
      </c>
      <c r="H37" s="9">
        <f>+Tabla113[[#This Row],[PRECIO INSTALLER (CON IVA)]]*5%</f>
        <v>561407.57499999995</v>
      </c>
      <c r="I37" s="9"/>
      <c r="J37" s="3">
        <v>7548337.1428571427</v>
      </c>
    </row>
    <row r="38" spans="1:10" ht="30" x14ac:dyDescent="0.25">
      <c r="A38" s="9" t="s">
        <v>124</v>
      </c>
      <c r="B38" s="12" t="s">
        <v>123</v>
      </c>
      <c r="C38" s="7">
        <f>+Tabla113[[#This Row],[Columna6]]/Tabla113[[#This Row],[Columna5]]</f>
        <v>4941478.4999999991</v>
      </c>
      <c r="D38" s="7">
        <f>+Tabla113[[#This Row],[PRECIO INSTALLER (CON IVA)]]-Tabla113[[#This Row],[Columna7]]</f>
        <v>4694404.5749999993</v>
      </c>
      <c r="E38" s="7">
        <f>+Tabla113[[#This Row],[PRECIO INSTALLER (CON IVA)]]/0.7</f>
        <v>7059254.9999999991</v>
      </c>
      <c r="F38" s="9">
        <v>0.8</v>
      </c>
      <c r="G38" s="3">
        <f>Tabla113[[#This Row],[COSTO]]*1.19</f>
        <v>3953182.8</v>
      </c>
      <c r="H38" s="9">
        <f>+Tabla113[[#This Row],[PRECIO INSTALLER (CON IVA)]]*5%</f>
        <v>247073.92499999996</v>
      </c>
      <c r="I38" s="9"/>
      <c r="J38" s="3">
        <v>3322002.3529411764</v>
      </c>
    </row>
    <row r="39" spans="1:10" ht="30" x14ac:dyDescent="0.25">
      <c r="A39" s="9" t="s">
        <v>122</v>
      </c>
      <c r="B39" s="12" t="s">
        <v>121</v>
      </c>
      <c r="C39" s="7">
        <f>+Tabla113[[#This Row],[Columna6]]/Tabla113[[#This Row],[Columna5]]</f>
        <v>18348902.124999996</v>
      </c>
      <c r="D39" s="7">
        <f>+Tabla113[[#This Row],[PRECIO INSTALLER (CON IVA)]]-Tabla113[[#This Row],[Columna7]]</f>
        <v>17431457.018749997</v>
      </c>
      <c r="E39" s="7">
        <f>+Tabla113[[#This Row],[PRECIO INSTALLER (CON IVA)]]/0.7</f>
        <v>26212717.321428567</v>
      </c>
      <c r="F39" s="9">
        <v>0.8</v>
      </c>
      <c r="G39" s="3">
        <f>Tabla113[[#This Row],[COSTO]]*1.19</f>
        <v>14679121.699999999</v>
      </c>
      <c r="H39" s="9">
        <f>+Tabla113[[#This Row],[PRECIO INSTALLER (CON IVA)]]*5%</f>
        <v>917445.10624999984</v>
      </c>
      <c r="I39" s="9"/>
      <c r="J39" s="3">
        <v>12335396.386554621</v>
      </c>
    </row>
    <row r="40" spans="1:10" ht="30" x14ac:dyDescent="0.25">
      <c r="A40" s="9" t="s">
        <v>120</v>
      </c>
      <c r="B40" s="12" t="s">
        <v>119</v>
      </c>
      <c r="C40" s="7">
        <f>+Tabla113[[#This Row],[Columna6]]/Tabla113[[#This Row],[Columna5]]</f>
        <v>4212600</v>
      </c>
      <c r="D40" s="7">
        <f>+Tabla113[[#This Row],[PRECIO INSTALLER (CON IVA)]]-Tabla113[[#This Row],[Columna7]]</f>
        <v>4001970</v>
      </c>
      <c r="E40" s="7">
        <f>+Tabla113[[#This Row],[PRECIO INSTALLER (CON IVA)]]/0.7</f>
        <v>6018000</v>
      </c>
      <c r="F40" s="9">
        <v>0.8</v>
      </c>
      <c r="G40" s="3">
        <f>Tabla113[[#This Row],[COSTO]]*1.19</f>
        <v>3370080</v>
      </c>
      <c r="H40" s="9">
        <f>+Tabla113[[#This Row],[PRECIO INSTALLER (CON IVA)]]*5%</f>
        <v>210630</v>
      </c>
      <c r="I40" s="9"/>
      <c r="J40" s="3">
        <v>2832000</v>
      </c>
    </row>
    <row r="41" spans="1:10" ht="30" x14ac:dyDescent="0.25">
      <c r="A41" s="9" t="s">
        <v>118</v>
      </c>
      <c r="B41" s="12" t="s">
        <v>117</v>
      </c>
      <c r="C41" s="7">
        <f>+Tabla113[[#This Row],[Columna6]]/Tabla113[[#This Row],[Columna5]]</f>
        <v>3127320</v>
      </c>
      <c r="D41" s="7">
        <f>+Tabla113[[#This Row],[PRECIO INSTALLER (CON IVA)]]-Tabla113[[#This Row],[Columna7]]</f>
        <v>2970954</v>
      </c>
      <c r="E41" s="7">
        <f>+Tabla113[[#This Row],[PRECIO INSTALLER (CON IVA)]]/0.7</f>
        <v>4467600</v>
      </c>
      <c r="F41" s="9">
        <v>0.8</v>
      </c>
      <c r="G41" s="3">
        <f>Tabla113[[#This Row],[COSTO]]*1.19</f>
        <v>2501856</v>
      </c>
      <c r="H41" s="9">
        <f>+Tabla113[[#This Row],[PRECIO INSTALLER (CON IVA)]]*5%</f>
        <v>156366</v>
      </c>
      <c r="I41" s="9"/>
      <c r="J41" s="3">
        <v>2102400</v>
      </c>
    </row>
    <row r="42" spans="1:10" ht="30" x14ac:dyDescent="0.25">
      <c r="A42" s="9" t="s">
        <v>116</v>
      </c>
      <c r="B42" s="12" t="s">
        <v>115</v>
      </c>
      <c r="C42" s="7">
        <f>+Tabla113[[#This Row],[Columna6]]/Tabla113[[#This Row],[Columna5]]</f>
        <v>3280354.0000000005</v>
      </c>
      <c r="D42" s="7">
        <f>+Tabla113[[#This Row],[PRECIO INSTALLER (CON IVA)]]-Tabla113[[#This Row],[Columna7]]</f>
        <v>3116336.3000000003</v>
      </c>
      <c r="E42" s="7">
        <f>+Tabla113[[#This Row],[PRECIO INSTALLER (CON IVA)]]/0.7</f>
        <v>4686220.0000000009</v>
      </c>
      <c r="F42" s="9">
        <v>0.8</v>
      </c>
      <c r="G42" s="3">
        <f>Tabla113[[#This Row],[COSTO]]*1.19</f>
        <v>2624283.2000000007</v>
      </c>
      <c r="H42" s="9">
        <f>+Tabla113[[#This Row],[PRECIO INSTALLER (CON IVA)]]*5%</f>
        <v>164017.70000000004</v>
      </c>
      <c r="I42" s="9"/>
      <c r="J42" s="3">
        <v>2205280.0000000005</v>
      </c>
    </row>
    <row r="43" spans="1:10" ht="30" x14ac:dyDescent="0.25">
      <c r="A43" s="9" t="s">
        <v>114</v>
      </c>
      <c r="B43" s="12" t="s">
        <v>113</v>
      </c>
      <c r="C43" s="7">
        <f>+Tabla113[[#This Row],[Columna6]]/Tabla113[[#This Row],[Columna5]]</f>
        <v>5063973.5999999996</v>
      </c>
      <c r="D43" s="7">
        <f>+Tabla113[[#This Row],[PRECIO INSTALLER (CON IVA)]]-Tabla113[[#This Row],[Columna7]]</f>
        <v>4810774.92</v>
      </c>
      <c r="E43" s="7">
        <f>+Tabla113[[#This Row],[PRECIO INSTALLER (CON IVA)]]/0.7</f>
        <v>7234248</v>
      </c>
      <c r="F43" s="9">
        <v>0.8</v>
      </c>
      <c r="G43" s="3">
        <f>Tabla113[[#This Row],[COSTO]]*1.19</f>
        <v>4051178.88</v>
      </c>
      <c r="H43" s="9">
        <f>+Tabla113[[#This Row],[PRECIO INSTALLER (CON IVA)]]*5%</f>
        <v>253198.68</v>
      </c>
      <c r="I43" s="9"/>
      <c r="J43" s="3">
        <v>3404352</v>
      </c>
    </row>
    <row r="44" spans="1:10" ht="30" x14ac:dyDescent="0.25">
      <c r="A44" s="9" t="s">
        <v>112</v>
      </c>
      <c r="B44" s="12" t="s">
        <v>111</v>
      </c>
      <c r="C44" s="7">
        <f>+Tabla113[[#This Row],[Columna6]]/Tabla113[[#This Row],[Columna5]]</f>
        <v>3928042.3749999995</v>
      </c>
      <c r="D44" s="7">
        <f>+Tabla113[[#This Row],[PRECIO INSTALLER (CON IVA)]]-Tabla113[[#This Row],[Columna7]]</f>
        <v>3731640.2562499996</v>
      </c>
      <c r="E44" s="7">
        <f>+Tabla113[[#This Row],[PRECIO INSTALLER (CON IVA)]]/0.7</f>
        <v>5611489.1071428573</v>
      </c>
      <c r="F44" s="9">
        <v>0.8</v>
      </c>
      <c r="G44" s="3">
        <f>Tabla113[[#This Row],[COSTO]]*1.19</f>
        <v>3142433.9</v>
      </c>
      <c r="H44" s="9">
        <f>+Tabla113[[#This Row],[PRECIO INSTALLER (CON IVA)]]*5%</f>
        <v>196402.11874999999</v>
      </c>
      <c r="I44" s="9"/>
      <c r="J44" s="3">
        <v>2640700.7563025211</v>
      </c>
    </row>
    <row r="45" spans="1:10" ht="30" x14ac:dyDescent="0.25">
      <c r="A45" s="9" t="s">
        <v>110</v>
      </c>
      <c r="B45" s="12" t="s">
        <v>109</v>
      </c>
      <c r="C45" s="7">
        <f>+Tabla113[[#This Row],[Columna6]]/Tabla113[[#This Row],[Columna5]]</f>
        <v>4395</v>
      </c>
      <c r="D45" s="7">
        <f>+Tabla113[[#This Row],[PRECIO INSTALLER (CON IVA)]]-Tabla113[[#This Row],[Columna7]]</f>
        <v>4175.25</v>
      </c>
      <c r="E45" s="7">
        <f>+Tabla113[[#This Row],[PRECIO INSTALLER (CON IVA)]]/0.7</f>
        <v>6278.5714285714294</v>
      </c>
      <c r="F45" s="9">
        <v>0.8</v>
      </c>
      <c r="G45" s="3">
        <f>Tabla113[[#This Row],[COSTO]]*1.19</f>
        <v>3516</v>
      </c>
      <c r="H45" s="9">
        <f>+Tabla113[[#This Row],[PRECIO INSTALLER (CON IVA)]]*5%</f>
        <v>219.75</v>
      </c>
      <c r="I45" s="9"/>
      <c r="J45" s="10">
        <v>2954.6218487394958</v>
      </c>
    </row>
    <row r="46" spans="1:10" ht="30" x14ac:dyDescent="0.25">
      <c r="A46" s="9" t="s">
        <v>108</v>
      </c>
      <c r="B46" s="12" t="s">
        <v>107</v>
      </c>
      <c r="C46" s="7">
        <f>+Tabla113[[#This Row],[Columna6]]/Tabla113[[#This Row],[Columna5]]</f>
        <v>76606.25</v>
      </c>
      <c r="D46" s="7">
        <f>+Tabla113[[#This Row],[PRECIO INSTALLER (CON IVA)]]-Tabla113[[#This Row],[Columna7]]</f>
        <v>72775.9375</v>
      </c>
      <c r="E46" s="7">
        <f>+Tabla113[[#This Row],[PRECIO INSTALLER (CON IVA)]]/0.7</f>
        <v>109437.5</v>
      </c>
      <c r="F46" s="9">
        <v>0.8</v>
      </c>
      <c r="G46" s="3">
        <f>Tabla113[[#This Row],[COSTO]]*1.19</f>
        <v>61285</v>
      </c>
      <c r="H46" s="9">
        <f>+Tabla113[[#This Row],[PRECIO INSTALLER (CON IVA)]]*5%</f>
        <v>3830.3125</v>
      </c>
      <c r="I46" s="9"/>
      <c r="J46" s="10">
        <v>51500</v>
      </c>
    </row>
    <row r="47" spans="1:10" x14ac:dyDescent="0.25">
      <c r="A47" s="9" t="s">
        <v>106</v>
      </c>
      <c r="B47" s="12" t="s">
        <v>105</v>
      </c>
      <c r="C47" s="7">
        <f>+Tabla113[[#This Row],[Columna6]]/Tabla113[[#This Row],[Columna5]]</f>
        <v>93028.249999999985</v>
      </c>
      <c r="D47" s="7">
        <f>+Tabla113[[#This Row],[PRECIO INSTALLER (CON IVA)]]-Tabla113[[#This Row],[Columna7]]</f>
        <v>88376.83749999998</v>
      </c>
      <c r="E47" s="7">
        <f>+Tabla113[[#This Row],[PRECIO INSTALLER (CON IVA)]]/0.7</f>
        <v>132897.5</v>
      </c>
      <c r="F47" s="9">
        <v>0.8</v>
      </c>
      <c r="G47" s="3">
        <f>Tabla113[[#This Row],[COSTO]]*1.19</f>
        <v>74422.599999999991</v>
      </c>
      <c r="H47" s="9">
        <f>+Tabla113[[#This Row],[PRECIO INSTALLER (CON IVA)]]*5%</f>
        <v>4651.4124999999995</v>
      </c>
      <c r="I47" s="9"/>
      <c r="J47" s="10">
        <v>62540</v>
      </c>
    </row>
    <row r="48" spans="1:10" ht="30" x14ac:dyDescent="0.25">
      <c r="A48" s="9" t="s">
        <v>104</v>
      </c>
      <c r="B48" s="12" t="s">
        <v>103</v>
      </c>
      <c r="C48" s="7">
        <f>+Tabla113[[#This Row],[Columna6]]/Tabla113[[#This Row],[Columna5]]</f>
        <v>96836.25</v>
      </c>
      <c r="D48" s="7">
        <f>+Tabla113[[#This Row],[PRECIO INSTALLER (CON IVA)]]-Tabla113[[#This Row],[Columna7]]</f>
        <v>91994.4375</v>
      </c>
      <c r="E48" s="7">
        <f>+Tabla113[[#This Row],[PRECIO INSTALLER (CON IVA)]]/0.7</f>
        <v>138337.5</v>
      </c>
      <c r="F48" s="9">
        <v>0.8</v>
      </c>
      <c r="G48" s="3">
        <f>Tabla113[[#This Row],[COSTO]]*1.19</f>
        <v>77469</v>
      </c>
      <c r="H48" s="9">
        <f>+Tabla113[[#This Row],[PRECIO INSTALLER (CON IVA)]]*5%</f>
        <v>4841.8125</v>
      </c>
      <c r="I48" s="9"/>
      <c r="J48" s="3">
        <v>65100</v>
      </c>
    </row>
    <row r="49" spans="1:10" x14ac:dyDescent="0.25">
      <c r="A49" s="9" t="s">
        <v>102</v>
      </c>
      <c r="B49" s="12" t="s">
        <v>101</v>
      </c>
      <c r="C49" s="7">
        <f>+Tabla113[[#This Row],[Columna6]]/Tabla113[[#This Row],[Columna5]]</f>
        <v>69912.5</v>
      </c>
      <c r="D49" s="7">
        <f>+Tabla113[[#This Row],[PRECIO INSTALLER (CON IVA)]]-Tabla113[[#This Row],[Columna7]]</f>
        <v>66416.875</v>
      </c>
      <c r="E49" s="7">
        <f>+Tabla113[[#This Row],[PRECIO INSTALLER (CON IVA)]]/0.7</f>
        <v>99875</v>
      </c>
      <c r="F49" s="9">
        <v>0.8</v>
      </c>
      <c r="G49" s="3">
        <f>Tabla113[[#This Row],[COSTO]]*1.19</f>
        <v>55930</v>
      </c>
      <c r="H49" s="9">
        <f>+Tabla113[[#This Row],[PRECIO INSTALLER (CON IVA)]]*5%</f>
        <v>3495.625</v>
      </c>
      <c r="I49" s="9"/>
      <c r="J49" s="10">
        <v>47000</v>
      </c>
    </row>
    <row r="50" spans="1:10" ht="45" x14ac:dyDescent="0.25">
      <c r="A50" s="9" t="s">
        <v>100</v>
      </c>
      <c r="B50" s="12" t="s">
        <v>99</v>
      </c>
      <c r="C50" s="7">
        <f>+Tabla113[[#This Row],[Columna6]]/Tabla113[[#This Row],[Columna5]]</f>
        <v>2231.25</v>
      </c>
      <c r="D50" s="7">
        <f>+Tabla113[[#This Row],[PRECIO INSTALLER (CON IVA)]]-Tabla113[[#This Row],[Columna7]]</f>
        <v>2119.6875</v>
      </c>
      <c r="E50" s="7">
        <f>+Tabla113[[#This Row],[PRECIO INSTALLER (CON IVA)]]/0.7</f>
        <v>3187.5</v>
      </c>
      <c r="F50" s="9">
        <v>0.8</v>
      </c>
      <c r="G50" s="3">
        <f>Tabla113[[#This Row],[COSTO]]*1.19</f>
        <v>1785</v>
      </c>
      <c r="H50" s="9">
        <f>+Tabla113[[#This Row],[PRECIO INSTALLER (CON IVA)]]*5%</f>
        <v>111.5625</v>
      </c>
      <c r="I50" s="9"/>
      <c r="J50" s="10">
        <v>1500</v>
      </c>
    </row>
    <row r="51" spans="1:10" ht="45" x14ac:dyDescent="0.25">
      <c r="A51" s="9" t="s">
        <v>98</v>
      </c>
      <c r="B51" s="12" t="s">
        <v>97</v>
      </c>
      <c r="C51" s="7">
        <f>+Tabla113[[#This Row],[Columna6]]/Tabla113[[#This Row],[Columna5]]</f>
        <v>2231.25</v>
      </c>
      <c r="D51" s="7">
        <f>+Tabla113[[#This Row],[PRECIO INSTALLER (CON IVA)]]-Tabla113[[#This Row],[Columna7]]</f>
        <v>2119.6875</v>
      </c>
      <c r="E51" s="7">
        <f>+Tabla113[[#This Row],[PRECIO INSTALLER (CON IVA)]]/0.7</f>
        <v>3187.5</v>
      </c>
      <c r="F51" s="9">
        <v>0.8</v>
      </c>
      <c r="G51" s="3">
        <f>Tabla113[[#This Row],[COSTO]]*1.19</f>
        <v>1785</v>
      </c>
      <c r="H51" s="9">
        <f>+Tabla113[[#This Row],[PRECIO INSTALLER (CON IVA)]]*5%</f>
        <v>111.5625</v>
      </c>
      <c r="I51" s="9"/>
      <c r="J51" s="10">
        <v>1500</v>
      </c>
    </row>
    <row r="52" spans="1:10" ht="30" x14ac:dyDescent="0.25">
      <c r="A52" s="9" t="s">
        <v>96</v>
      </c>
      <c r="B52" s="12" t="s">
        <v>95</v>
      </c>
      <c r="C52" s="7">
        <f>+Tabla113[[#This Row],[Columna6]]/Tabla113[[#This Row],[Columna5]]</f>
        <v>55856.25</v>
      </c>
      <c r="D52" s="7">
        <f>+Tabla113[[#This Row],[PRECIO INSTALLER (CON IVA)]]-Tabla113[[#This Row],[Columna7]]</f>
        <v>53063.4375</v>
      </c>
      <c r="E52" s="7">
        <f>+Tabla113[[#This Row],[PRECIO INSTALLER (CON IVA)]]/0.7</f>
        <v>79794.642857142855</v>
      </c>
      <c r="F52" s="9">
        <v>0.8</v>
      </c>
      <c r="G52" s="3">
        <f>Tabla113[[#This Row],[COSTO]]*1.19</f>
        <v>44685</v>
      </c>
      <c r="H52" s="9">
        <f>+Tabla113[[#This Row],[PRECIO INSTALLER (CON IVA)]]*5%</f>
        <v>2792.8125</v>
      </c>
      <c r="I52" s="9"/>
      <c r="J52" s="3">
        <v>37550.420168067227</v>
      </c>
    </row>
    <row r="53" spans="1:10" ht="30" x14ac:dyDescent="0.25">
      <c r="A53" s="9" t="s">
        <v>94</v>
      </c>
      <c r="B53" s="12" t="s">
        <v>93</v>
      </c>
      <c r="C53" s="7">
        <f>+Tabla113[[#This Row],[Columna6]]/Tabla113[[#This Row],[Columna5]]</f>
        <v>68960.499999999985</v>
      </c>
      <c r="D53" s="7">
        <f>+Tabla113[[#This Row],[PRECIO INSTALLER (CON IVA)]]-Tabla113[[#This Row],[Columna7]]</f>
        <v>65512.474999999984</v>
      </c>
      <c r="E53" s="7">
        <f>+Tabla113[[#This Row],[PRECIO INSTALLER (CON IVA)]]/0.7</f>
        <v>98514.999999999985</v>
      </c>
      <c r="F53" s="9">
        <v>0.8</v>
      </c>
      <c r="G53" s="3">
        <f>Tabla113[[#This Row],[COSTO]]*1.19</f>
        <v>55168.399999999994</v>
      </c>
      <c r="H53" s="9">
        <f>+Tabla113[[#This Row],[PRECIO INSTALLER (CON IVA)]]*5%</f>
        <v>3448.0249999999996</v>
      </c>
      <c r="I53" s="9"/>
      <c r="J53" s="3">
        <v>46360</v>
      </c>
    </row>
    <row r="54" spans="1:10" ht="30" x14ac:dyDescent="0.25">
      <c r="A54" s="9" t="s">
        <v>92</v>
      </c>
      <c r="B54" s="12" t="s">
        <v>91</v>
      </c>
      <c r="C54" s="7">
        <f>+Tabla113[[#This Row],[Columna6]]/Tabla113[[#This Row],[Columna5]]</f>
        <v>77528.5</v>
      </c>
      <c r="D54" s="7">
        <f>+Tabla113[[#This Row],[PRECIO INSTALLER (CON IVA)]]-Tabla113[[#This Row],[Columna7]]</f>
        <v>73652.074999999997</v>
      </c>
      <c r="E54" s="7">
        <f>+Tabla113[[#This Row],[PRECIO INSTALLER (CON IVA)]]/0.7</f>
        <v>110755</v>
      </c>
      <c r="F54" s="9">
        <v>0.8</v>
      </c>
      <c r="G54" s="3">
        <f>Tabla113[[#This Row],[COSTO]]*1.19</f>
        <v>62022.8</v>
      </c>
      <c r="H54" s="9">
        <f>+Tabla113[[#This Row],[PRECIO INSTALLER (CON IVA)]]*5%</f>
        <v>3876.4250000000002</v>
      </c>
      <c r="I54" s="9"/>
      <c r="J54" s="3">
        <v>52120.000000000007</v>
      </c>
    </row>
    <row r="55" spans="1:10" ht="30" x14ac:dyDescent="0.25">
      <c r="A55" s="9" t="s">
        <v>90</v>
      </c>
      <c r="B55" s="12" t="s">
        <v>89</v>
      </c>
      <c r="C55" s="7">
        <f>+Tabla113[[#This Row],[Columna6]]/Tabla113[[#This Row],[Columna5]]</f>
        <v>71697.5</v>
      </c>
      <c r="D55" s="7">
        <f>+Tabla113[[#This Row],[PRECIO INSTALLER (CON IVA)]]-Tabla113[[#This Row],[Columna7]]</f>
        <v>68112.625</v>
      </c>
      <c r="E55" s="7">
        <f>+Tabla113[[#This Row],[PRECIO INSTALLER (CON IVA)]]/0.7</f>
        <v>102425</v>
      </c>
      <c r="F55" s="9">
        <v>0.8</v>
      </c>
      <c r="G55" s="3">
        <f>Tabla113[[#This Row],[COSTO]]*1.19</f>
        <v>57358</v>
      </c>
      <c r="H55" s="9">
        <f>+Tabla113[[#This Row],[PRECIO INSTALLER (CON IVA)]]*5%</f>
        <v>3584.875</v>
      </c>
      <c r="I55" s="9"/>
      <c r="J55" s="3">
        <v>48200</v>
      </c>
    </row>
    <row r="56" spans="1:10" x14ac:dyDescent="0.25">
      <c r="A56" s="9" t="s">
        <v>88</v>
      </c>
      <c r="B56" s="12" t="s">
        <v>87</v>
      </c>
      <c r="C56" s="7">
        <f>+Tabla113[[#This Row],[Columna6]]/Tabla113[[#This Row],[Columna5]]</f>
        <v>124355</v>
      </c>
      <c r="D56" s="7">
        <f>+Tabla113[[#This Row],[PRECIO INSTALLER (CON IVA)]]-Tabla113[[#This Row],[Columna7]]</f>
        <v>118137.25</v>
      </c>
      <c r="E56" s="7">
        <f>+Tabla113[[#This Row],[PRECIO INSTALLER (CON IVA)]]/0.7</f>
        <v>177650</v>
      </c>
      <c r="F56" s="9">
        <v>0.8</v>
      </c>
      <c r="G56" s="3">
        <f>Tabla113[[#This Row],[COSTO]]*1.19</f>
        <v>99484</v>
      </c>
      <c r="H56" s="9">
        <f>+Tabla113[[#This Row],[PRECIO INSTALLER (CON IVA)]]*5%</f>
        <v>6217.75</v>
      </c>
      <c r="I56" s="9"/>
      <c r="J56" s="3">
        <v>83600</v>
      </c>
    </row>
    <row r="57" spans="1:10" ht="30" x14ac:dyDescent="0.25">
      <c r="A57" s="9" t="s">
        <v>86</v>
      </c>
      <c r="B57" s="12" t="s">
        <v>85</v>
      </c>
      <c r="C57" s="7">
        <f>+Tabla113[[#This Row],[Columna6]]/Tabla113[[#This Row],[Columna5]]</f>
        <v>2138.375</v>
      </c>
      <c r="D57" s="7">
        <f>+Tabla113[[#This Row],[PRECIO INSTALLER (CON IVA)]]-Tabla113[[#This Row],[Columna7]]</f>
        <v>2031.45625</v>
      </c>
      <c r="E57" s="7">
        <f>+Tabla113[[#This Row],[PRECIO INSTALLER (CON IVA)]]/0.7</f>
        <v>3054.8214285714289</v>
      </c>
      <c r="F57" s="9">
        <v>0.8</v>
      </c>
      <c r="G57" s="3">
        <f>Tabla113[[#This Row],[COSTO]]*1.19</f>
        <v>1710.7</v>
      </c>
      <c r="H57" s="9">
        <f>+Tabla113[[#This Row],[PRECIO INSTALLER (CON IVA)]]*5%</f>
        <v>106.91875</v>
      </c>
      <c r="I57" s="9"/>
      <c r="J57" s="3">
        <v>1437.5630252100841</v>
      </c>
    </row>
    <row r="58" spans="1:10" x14ac:dyDescent="0.25">
      <c r="A58" s="9" t="s">
        <v>84</v>
      </c>
      <c r="B58" s="12" t="s">
        <v>83</v>
      </c>
      <c r="C58" s="7">
        <f>+Tabla113[[#This Row],[Columna6]]/Tabla113[[#This Row],[Columna5]]</f>
        <v>42096.25</v>
      </c>
      <c r="D58" s="7">
        <f>+Tabla113[[#This Row],[PRECIO INSTALLER (CON IVA)]]-Tabla113[[#This Row],[Columna7]]</f>
        <v>39991.4375</v>
      </c>
      <c r="E58" s="7">
        <f>+Tabla113[[#This Row],[PRECIO INSTALLER (CON IVA)]]/0.7</f>
        <v>60137.500000000007</v>
      </c>
      <c r="F58" s="9">
        <v>0.8</v>
      </c>
      <c r="G58" s="3">
        <f>Tabla113[[#This Row],[COSTO]]*1.19</f>
        <v>33677</v>
      </c>
      <c r="H58" s="9">
        <f>+Tabla113[[#This Row],[PRECIO INSTALLER (CON IVA)]]*5%</f>
        <v>2104.8125</v>
      </c>
      <c r="I58" s="9"/>
      <c r="J58" s="10">
        <v>28300</v>
      </c>
    </row>
    <row r="59" spans="1:10" x14ac:dyDescent="0.25">
      <c r="A59" s="9" t="s">
        <v>82</v>
      </c>
      <c r="B59" s="12" t="s">
        <v>81</v>
      </c>
      <c r="C59" s="7">
        <f>+Tabla113[[#This Row],[Columna6]]/Tabla113[[#This Row],[Columna5]]</f>
        <v>16660</v>
      </c>
      <c r="D59" s="7">
        <f>+Tabla113[[#This Row],[PRECIO INSTALLER (CON IVA)]]-Tabla113[[#This Row],[Columna7]]</f>
        <v>15827</v>
      </c>
      <c r="E59" s="7">
        <f>+Tabla113[[#This Row],[PRECIO INSTALLER (CON IVA)]]/0.7</f>
        <v>23800</v>
      </c>
      <c r="F59" s="9">
        <v>0.8</v>
      </c>
      <c r="G59" s="3">
        <f>Tabla113[[#This Row],[COSTO]]*1.19</f>
        <v>13328</v>
      </c>
      <c r="H59" s="9">
        <f>+Tabla113[[#This Row],[PRECIO INSTALLER (CON IVA)]]*5%</f>
        <v>833</v>
      </c>
      <c r="I59" s="9"/>
      <c r="J59" s="10">
        <v>11200</v>
      </c>
    </row>
    <row r="60" spans="1:10" x14ac:dyDescent="0.25">
      <c r="A60" s="9" t="s">
        <v>80</v>
      </c>
      <c r="B60" s="12" t="s">
        <v>79</v>
      </c>
      <c r="C60" s="7">
        <f>+Tabla113[[#This Row],[Columna6]]/Tabla113[[#This Row],[Columna5]]</f>
        <v>18891.25</v>
      </c>
      <c r="D60" s="7">
        <f>+Tabla113[[#This Row],[PRECIO INSTALLER (CON IVA)]]-Tabla113[[#This Row],[Columna7]]</f>
        <v>17946.6875</v>
      </c>
      <c r="E60" s="7">
        <f>+Tabla113[[#This Row],[PRECIO INSTALLER (CON IVA)]]/0.7</f>
        <v>26987.5</v>
      </c>
      <c r="F60" s="9">
        <v>0.8</v>
      </c>
      <c r="G60" s="3">
        <f>Tabla113[[#This Row],[COSTO]]*1.19</f>
        <v>15113</v>
      </c>
      <c r="H60" s="9">
        <f>+Tabla113[[#This Row],[PRECIO INSTALLER (CON IVA)]]*5%</f>
        <v>944.5625</v>
      </c>
      <c r="I60" s="9"/>
      <c r="J60" s="10">
        <v>12700</v>
      </c>
    </row>
    <row r="61" spans="1:10" x14ac:dyDescent="0.25">
      <c r="A61" s="9" t="s">
        <v>78</v>
      </c>
      <c r="B61" s="12" t="s">
        <v>77</v>
      </c>
      <c r="C61" s="7">
        <f>+Tabla113[[#This Row],[Columna6]]/Tabla113[[#This Row],[Columna5]]</f>
        <v>25138.75</v>
      </c>
      <c r="D61" s="7">
        <f>+Tabla113[[#This Row],[PRECIO INSTALLER (CON IVA)]]-Tabla113[[#This Row],[Columna7]]</f>
        <v>23881.8125</v>
      </c>
      <c r="E61" s="7">
        <f>+Tabla113[[#This Row],[PRECIO INSTALLER (CON IVA)]]/0.7</f>
        <v>35912.5</v>
      </c>
      <c r="F61" s="9">
        <v>0.8</v>
      </c>
      <c r="G61" s="3">
        <f>Tabla113[[#This Row],[COSTO]]*1.19</f>
        <v>20111</v>
      </c>
      <c r="H61" s="9">
        <f>+Tabla113[[#This Row],[PRECIO INSTALLER (CON IVA)]]*5%</f>
        <v>1256.9375</v>
      </c>
      <c r="I61" s="9"/>
      <c r="J61" s="3">
        <v>16900</v>
      </c>
    </row>
    <row r="62" spans="1:10" ht="30" x14ac:dyDescent="0.25">
      <c r="A62" s="9" t="s">
        <v>76</v>
      </c>
      <c r="B62" s="12" t="s">
        <v>75</v>
      </c>
      <c r="C62" s="7">
        <f>+Tabla113[[#This Row],[Columna6]]/Tabla113[[#This Row],[Columna5]]</f>
        <v>297500</v>
      </c>
      <c r="D62" s="7">
        <f>+Tabla113[[#This Row],[PRECIO INSTALLER (CON IVA)]]-Tabla113[[#This Row],[Columna7]]</f>
        <v>282625</v>
      </c>
      <c r="E62" s="7">
        <f>+Tabla113[[#This Row],[PRECIO INSTALLER (CON IVA)]]/0.7</f>
        <v>425000</v>
      </c>
      <c r="F62" s="9">
        <v>0.8</v>
      </c>
      <c r="G62" s="3">
        <f>Tabla113[[#This Row],[COSTO]]*1.19</f>
        <v>238000</v>
      </c>
      <c r="H62" s="9">
        <f>+Tabla113[[#This Row],[PRECIO INSTALLER (CON IVA)]]*5%</f>
        <v>14875</v>
      </c>
      <c r="I62" s="9"/>
      <c r="J62" s="3">
        <v>200000</v>
      </c>
    </row>
    <row r="63" spans="1:10" ht="30" x14ac:dyDescent="0.25">
      <c r="A63" s="9" t="s">
        <v>74</v>
      </c>
      <c r="B63" s="12" t="s">
        <v>73</v>
      </c>
      <c r="C63" s="7">
        <f>+Tabla113[[#This Row],[Columna6]]/Tabla113[[#This Row],[Columna5]]</f>
        <v>373065</v>
      </c>
      <c r="D63" s="7">
        <f>+Tabla113[[#This Row],[PRECIO INSTALLER (CON IVA)]]-Tabla113[[#This Row],[Columna7]]</f>
        <v>354411.75</v>
      </c>
      <c r="E63" s="7">
        <f>+Tabla113[[#This Row],[PRECIO INSTALLER (CON IVA)]]/0.7</f>
        <v>532950</v>
      </c>
      <c r="F63" s="9">
        <v>0.8</v>
      </c>
      <c r="G63" s="3">
        <f>Tabla113[[#This Row],[COSTO]]*1.19</f>
        <v>298452</v>
      </c>
      <c r="H63" s="9">
        <f>+Tabla113[[#This Row],[PRECIO INSTALLER (CON IVA)]]*5%</f>
        <v>18653.25</v>
      </c>
      <c r="I63" s="9"/>
      <c r="J63" s="3">
        <v>250800</v>
      </c>
    </row>
    <row r="64" spans="1:10" ht="30" x14ac:dyDescent="0.25">
      <c r="A64" s="9" t="s">
        <v>72</v>
      </c>
      <c r="B64" s="12" t="s">
        <v>71</v>
      </c>
      <c r="C64" s="7">
        <f>+Tabla113[[#This Row],[Columna6]]/Tabla113[[#This Row],[Columna5]]</f>
        <v>337960</v>
      </c>
      <c r="D64" s="7">
        <f>+Tabla113[[#This Row],[PRECIO INSTALLER (CON IVA)]]-Tabla113[[#This Row],[Columna7]]</f>
        <v>321062</v>
      </c>
      <c r="E64" s="7">
        <f>+Tabla113[[#This Row],[PRECIO INSTALLER (CON IVA)]]/0.7</f>
        <v>482800.00000000006</v>
      </c>
      <c r="F64" s="9">
        <v>0.8</v>
      </c>
      <c r="G64" s="3">
        <f>Tabla113[[#This Row],[COSTO]]*1.19</f>
        <v>270368</v>
      </c>
      <c r="H64" s="9">
        <f>+Tabla113[[#This Row],[PRECIO INSTALLER (CON IVA)]]*5%</f>
        <v>16898</v>
      </c>
      <c r="I64" s="9"/>
      <c r="J64" s="10">
        <v>227200</v>
      </c>
    </row>
    <row r="65" spans="1:10" ht="30" x14ac:dyDescent="0.25">
      <c r="A65" s="9" t="s">
        <v>70</v>
      </c>
      <c r="B65" s="12" t="s">
        <v>69</v>
      </c>
      <c r="C65" s="7">
        <f>+Tabla113[[#This Row],[Columna6]]/Tabla113[[#This Row],[Columna5]]</f>
        <v>707901.25</v>
      </c>
      <c r="D65" s="7">
        <f>+Tabla113[[#This Row],[PRECIO INSTALLER (CON IVA)]]-Tabla113[[#This Row],[Columna7]]</f>
        <v>672506.1875</v>
      </c>
      <c r="E65" s="7">
        <f>+Tabla113[[#This Row],[PRECIO INSTALLER (CON IVA)]]/0.7</f>
        <v>1011287.5000000001</v>
      </c>
      <c r="F65" s="9">
        <v>0.8</v>
      </c>
      <c r="G65" s="3">
        <f>Tabla113[[#This Row],[COSTO]]*1.19</f>
        <v>566321</v>
      </c>
      <c r="H65" s="9">
        <f>+Tabla113[[#This Row],[PRECIO INSTALLER (CON IVA)]]*5%</f>
        <v>35395.0625</v>
      </c>
      <c r="I65" s="9"/>
      <c r="J65" s="3">
        <v>475900</v>
      </c>
    </row>
    <row r="66" spans="1:10" ht="60" x14ac:dyDescent="0.25">
      <c r="A66" s="9" t="s">
        <v>68</v>
      </c>
      <c r="B66" s="12" t="s">
        <v>66</v>
      </c>
      <c r="C66" s="7">
        <f>+Tabla113[[#This Row],[Columna6]]/Tabla113[[#This Row],[Columna5]]</f>
        <v>230116.25</v>
      </c>
      <c r="D66" s="7">
        <f>+Tabla113[[#This Row],[PRECIO INSTALLER (CON IVA)]]-Tabla113[[#This Row],[Columna7]]</f>
        <v>218610.4375</v>
      </c>
      <c r="E66" s="7">
        <f>+Tabla113[[#This Row],[PRECIO INSTALLER (CON IVA)]]/0.7</f>
        <v>328737.5</v>
      </c>
      <c r="F66" s="9">
        <v>0.8</v>
      </c>
      <c r="G66" s="3">
        <f>Tabla113[[#This Row],[COSTO]]*1.19</f>
        <v>184093</v>
      </c>
      <c r="H66" s="9">
        <f>+Tabla113[[#This Row],[PRECIO INSTALLER (CON IVA)]]*5%</f>
        <v>11505.8125</v>
      </c>
      <c r="I66" s="9"/>
      <c r="J66" s="10">
        <v>154700</v>
      </c>
    </row>
    <row r="67" spans="1:10" ht="60" x14ac:dyDescent="0.25">
      <c r="A67" s="9" t="s">
        <v>67</v>
      </c>
      <c r="B67" s="12" t="s">
        <v>66</v>
      </c>
      <c r="C67" s="7">
        <f>+Tabla113[[#This Row],[Columna6]]/Tabla113[[#This Row],[Columna5]]</f>
        <v>364140</v>
      </c>
      <c r="D67" s="7">
        <f>+Tabla113[[#This Row],[PRECIO INSTALLER (CON IVA)]]-Tabla113[[#This Row],[Columna7]]</f>
        <v>345933</v>
      </c>
      <c r="E67" s="7">
        <f>+Tabla113[[#This Row],[PRECIO INSTALLER (CON IVA)]]/0.7</f>
        <v>520200.00000000006</v>
      </c>
      <c r="F67" s="9">
        <v>0.8</v>
      </c>
      <c r="G67" s="3">
        <f>Tabla113[[#This Row],[COSTO]]*1.19</f>
        <v>291312</v>
      </c>
      <c r="H67" s="9">
        <f>+Tabla113[[#This Row],[PRECIO INSTALLER (CON IVA)]]*5%</f>
        <v>18207</v>
      </c>
      <c r="I67" s="9"/>
      <c r="J67" s="3">
        <v>244800</v>
      </c>
    </row>
    <row r="68" spans="1:10" ht="60" x14ac:dyDescent="0.25">
      <c r="A68" s="9" t="s">
        <v>65</v>
      </c>
      <c r="B68" s="12" t="s">
        <v>64</v>
      </c>
      <c r="C68" s="7">
        <f>+Tabla113[[#This Row],[Columna6]]/Tabla113[[#This Row],[Columna5]]</f>
        <v>377825</v>
      </c>
      <c r="D68" s="7">
        <f>+Tabla113[[#This Row],[PRECIO INSTALLER (CON IVA)]]-Tabla113[[#This Row],[Columna7]]</f>
        <v>358933.75</v>
      </c>
      <c r="E68" s="7">
        <f>+Tabla113[[#This Row],[PRECIO INSTALLER (CON IVA)]]/0.7</f>
        <v>539750</v>
      </c>
      <c r="F68" s="9">
        <v>0.8</v>
      </c>
      <c r="G68" s="3">
        <f>Tabla113[[#This Row],[COSTO]]*1.19</f>
        <v>302260</v>
      </c>
      <c r="H68" s="9">
        <f>+Tabla113[[#This Row],[PRECIO INSTALLER (CON IVA)]]*5%</f>
        <v>18891.25</v>
      </c>
      <c r="I68" s="9"/>
      <c r="J68" s="10">
        <v>254000</v>
      </c>
    </row>
    <row r="69" spans="1:10" ht="60" x14ac:dyDescent="0.25">
      <c r="A69" s="9" t="s">
        <v>63</v>
      </c>
      <c r="B69" s="12" t="s">
        <v>62</v>
      </c>
      <c r="C69" s="7">
        <f>+Tabla113[[#This Row],[Columna6]]/Tabla113[[#This Row],[Columna5]]</f>
        <v>481250</v>
      </c>
      <c r="D69" s="7">
        <f>+Tabla113[[#This Row],[PRECIO INSTALLER (CON IVA)]]-Tabla113[[#This Row],[Columna7]]</f>
        <v>457187.5</v>
      </c>
      <c r="E69" s="7">
        <f>+Tabla113[[#This Row],[PRECIO INSTALLER (CON IVA)]]/0.7</f>
        <v>687500</v>
      </c>
      <c r="F69" s="9">
        <v>0.8</v>
      </c>
      <c r="G69" s="3">
        <f>Tabla113[[#This Row],[COSTO]]*1.19</f>
        <v>385000</v>
      </c>
      <c r="H69" s="9">
        <f>+Tabla113[[#This Row],[PRECIO INSTALLER (CON IVA)]]*5%</f>
        <v>24062.5</v>
      </c>
      <c r="I69" s="9"/>
      <c r="J69" s="3">
        <v>323529.4117647059</v>
      </c>
    </row>
    <row r="70" spans="1:10" ht="30" x14ac:dyDescent="0.25">
      <c r="A70" s="9" t="s">
        <v>61</v>
      </c>
      <c r="B70" s="12" t="s">
        <v>60</v>
      </c>
      <c r="C70" s="7">
        <f>+Tabla113[[#This Row],[Columna6]]/Tabla113[[#This Row],[Columna5]]</f>
        <v>22312.5</v>
      </c>
      <c r="D70" s="7">
        <f>+Tabla113[[#This Row],[PRECIO INSTALLER (CON IVA)]]-Tabla113[[#This Row],[Columna7]]</f>
        <v>21196.875</v>
      </c>
      <c r="E70" s="7">
        <f>+Tabla113[[#This Row],[PRECIO INSTALLER (CON IVA)]]/0.7</f>
        <v>31875.000000000004</v>
      </c>
      <c r="F70" s="9">
        <v>0.8</v>
      </c>
      <c r="G70" s="3">
        <f>Tabla113[[#This Row],[COSTO]]*1.19</f>
        <v>17850</v>
      </c>
      <c r="H70" s="9">
        <f>+Tabla113[[#This Row],[PRECIO INSTALLER (CON IVA)]]*5%</f>
        <v>1115.625</v>
      </c>
      <c r="I70" s="9"/>
      <c r="J70" s="10">
        <v>15000</v>
      </c>
    </row>
    <row r="71" spans="1:10" ht="45" x14ac:dyDescent="0.25">
      <c r="A71" s="9" t="s">
        <v>59</v>
      </c>
      <c r="B71" s="12" t="s">
        <v>58</v>
      </c>
      <c r="C71" s="7">
        <f>+Tabla113[[#This Row],[Columna6]]/Tabla113[[#This Row],[Columna5]]</f>
        <v>3019.6249999999995</v>
      </c>
      <c r="D71" s="7">
        <f>+Tabla113[[#This Row],[PRECIO INSTALLER (CON IVA)]]-Tabla113[[#This Row],[Columna7]]</f>
        <v>2868.6437499999997</v>
      </c>
      <c r="E71" s="7">
        <f>+Tabla113[[#This Row],[PRECIO INSTALLER (CON IVA)]]/0.7</f>
        <v>4313.75</v>
      </c>
      <c r="F71" s="9">
        <v>0.8</v>
      </c>
      <c r="G71" s="3">
        <f>Tabla113[[#This Row],[COSTO]]*1.19</f>
        <v>2415.6999999999998</v>
      </c>
      <c r="H71" s="9">
        <f>+Tabla113[[#This Row],[PRECIO INSTALLER (CON IVA)]]*5%</f>
        <v>150.98124999999999</v>
      </c>
      <c r="I71" s="9"/>
      <c r="J71" s="3">
        <v>2030</v>
      </c>
    </row>
    <row r="72" spans="1:10" ht="45" x14ac:dyDescent="0.25">
      <c r="A72" s="9" t="s">
        <v>57</v>
      </c>
      <c r="B72" s="12" t="s">
        <v>56</v>
      </c>
      <c r="C72" s="7">
        <f>+Tabla113[[#This Row],[Columna6]]/Tabla113[[#This Row],[Columna5]]</f>
        <v>3019.6249999999995</v>
      </c>
      <c r="D72" s="7">
        <f>+Tabla113[[#This Row],[PRECIO INSTALLER (CON IVA)]]-Tabla113[[#This Row],[Columna7]]</f>
        <v>2868.6437499999997</v>
      </c>
      <c r="E72" s="7">
        <f>+Tabla113[[#This Row],[PRECIO INSTALLER (CON IVA)]]/0.7</f>
        <v>4313.75</v>
      </c>
      <c r="F72" s="9">
        <v>0.8</v>
      </c>
      <c r="G72" s="3">
        <f>Tabla113[[#This Row],[COSTO]]*1.19</f>
        <v>2415.6999999999998</v>
      </c>
      <c r="H72" s="9">
        <f>+Tabla113[[#This Row],[PRECIO INSTALLER (CON IVA)]]*5%</f>
        <v>150.98124999999999</v>
      </c>
      <c r="I72" s="9"/>
      <c r="J72" s="3">
        <v>2030</v>
      </c>
    </row>
    <row r="73" spans="1:10" ht="30" x14ac:dyDescent="0.25">
      <c r="A73" s="9" t="s">
        <v>55</v>
      </c>
      <c r="B73" s="12" t="s">
        <v>54</v>
      </c>
      <c r="C73" s="7">
        <f>+Tabla113[[#This Row],[Columna6]]/Tabla113[[#This Row],[Columna5]]</f>
        <v>3709.8249999999994</v>
      </c>
      <c r="D73" s="7">
        <f>+Tabla113[[#This Row],[PRECIO INSTALLER (CON IVA)]]-Tabla113[[#This Row],[Columna7]]</f>
        <v>3524.3337499999993</v>
      </c>
      <c r="E73" s="7">
        <f>+Tabla113[[#This Row],[PRECIO INSTALLER (CON IVA)]]/0.7</f>
        <v>5299.7499999999991</v>
      </c>
      <c r="F73" s="9">
        <v>0.8</v>
      </c>
      <c r="G73" s="3">
        <f>Tabla113[[#This Row],[COSTO]]*1.19</f>
        <v>2967.8599999999997</v>
      </c>
      <c r="H73" s="9">
        <f>+Tabla113[[#This Row],[PRECIO INSTALLER (CON IVA)]]*5%</f>
        <v>185.49124999999998</v>
      </c>
      <c r="I73" s="9"/>
      <c r="J73" s="3">
        <v>2494</v>
      </c>
    </row>
    <row r="74" spans="1:10" ht="30" x14ac:dyDescent="0.25">
      <c r="A74" s="9" t="s">
        <v>53</v>
      </c>
      <c r="B74" s="12" t="s">
        <v>52</v>
      </c>
      <c r="C74" s="7">
        <f>+Tabla113[[#This Row],[Columna6]]/Tabla113[[#This Row],[Columna5]]</f>
        <v>3709.8249999999994</v>
      </c>
      <c r="D74" s="7">
        <f>+Tabla113[[#This Row],[PRECIO INSTALLER (CON IVA)]]-Tabla113[[#This Row],[Columna7]]</f>
        <v>3524.3337499999993</v>
      </c>
      <c r="E74" s="7">
        <f>+Tabla113[[#This Row],[PRECIO INSTALLER (CON IVA)]]/0.7</f>
        <v>5299.7499999999991</v>
      </c>
      <c r="F74" s="9">
        <v>0.8</v>
      </c>
      <c r="G74" s="3">
        <f>Tabla113[[#This Row],[COSTO]]*1.19</f>
        <v>2967.8599999999997</v>
      </c>
      <c r="H74" s="9">
        <f>+Tabla113[[#This Row],[PRECIO INSTALLER (CON IVA)]]*5%</f>
        <v>185.49124999999998</v>
      </c>
      <c r="I74" s="9"/>
      <c r="J74" s="3">
        <v>2494</v>
      </c>
    </row>
    <row r="75" spans="1:10" ht="30" x14ac:dyDescent="0.25">
      <c r="A75" s="9" t="s">
        <v>51</v>
      </c>
      <c r="B75" s="12" t="s">
        <v>50</v>
      </c>
      <c r="C75" s="7">
        <f>+Tabla113[[#This Row],[Columna6]]/Tabla113[[#This Row],[Columna5]]</f>
        <v>5182.45</v>
      </c>
      <c r="D75" s="7">
        <f>+Tabla113[[#This Row],[PRECIO INSTALLER (CON IVA)]]-Tabla113[[#This Row],[Columna7]]</f>
        <v>4923.3274999999994</v>
      </c>
      <c r="E75" s="7">
        <f>+Tabla113[[#This Row],[PRECIO INSTALLER (CON IVA)]]/0.7</f>
        <v>7403.5</v>
      </c>
      <c r="F75" s="9">
        <v>0.8</v>
      </c>
      <c r="G75" s="3">
        <f>Tabla113[[#This Row],[COSTO]]*1.19</f>
        <v>4145.96</v>
      </c>
      <c r="H75" s="9">
        <f>+Tabla113[[#This Row],[PRECIO INSTALLER (CON IVA)]]*5%</f>
        <v>259.1225</v>
      </c>
      <c r="I75" s="9"/>
      <c r="J75" s="3">
        <v>3484</v>
      </c>
    </row>
    <row r="76" spans="1:10" ht="30" x14ac:dyDescent="0.25">
      <c r="A76" s="9" t="s">
        <v>49</v>
      </c>
      <c r="B76" s="12" t="s">
        <v>48</v>
      </c>
      <c r="C76" s="7">
        <f>+Tabla113[[#This Row],[Columna6]]/Tabla113[[#This Row],[Columna5]]</f>
        <v>5182.45</v>
      </c>
      <c r="D76" s="7">
        <f>+Tabla113[[#This Row],[PRECIO INSTALLER (CON IVA)]]-Tabla113[[#This Row],[Columna7]]</f>
        <v>4923.3274999999994</v>
      </c>
      <c r="E76" s="7">
        <f>+Tabla113[[#This Row],[PRECIO INSTALLER (CON IVA)]]/0.7</f>
        <v>7403.5</v>
      </c>
      <c r="F76" s="9">
        <v>0.8</v>
      </c>
      <c r="G76" s="3">
        <f>Tabla113[[#This Row],[COSTO]]*1.19</f>
        <v>4145.96</v>
      </c>
      <c r="H76" s="9">
        <f>+Tabla113[[#This Row],[PRECIO INSTALLER (CON IVA)]]*5%</f>
        <v>259.1225</v>
      </c>
      <c r="I76" s="9"/>
      <c r="J76" s="3">
        <v>3484</v>
      </c>
    </row>
    <row r="77" spans="1:10" ht="30" x14ac:dyDescent="0.25">
      <c r="A77" s="9" t="s">
        <v>47</v>
      </c>
      <c r="B77" s="12" t="s">
        <v>46</v>
      </c>
      <c r="C77" s="7">
        <f>+Tabla113[[#This Row],[Columna6]]/Tabla113[[#This Row],[Columna5]]</f>
        <v>78837.5</v>
      </c>
      <c r="D77" s="7">
        <f>+Tabla113[[#This Row],[PRECIO INSTALLER (CON IVA)]]-Tabla113[[#This Row],[Columna7]]</f>
        <v>74895.625</v>
      </c>
      <c r="E77" s="7">
        <f>+Tabla113[[#This Row],[PRECIO INSTALLER (CON IVA)]]/0.7</f>
        <v>112625</v>
      </c>
      <c r="F77" s="9">
        <v>0.8</v>
      </c>
      <c r="G77" s="3">
        <f>Tabla113[[#This Row],[COSTO]]*1.19</f>
        <v>63070</v>
      </c>
      <c r="H77" s="9">
        <f>+Tabla113[[#This Row],[PRECIO INSTALLER (CON IVA)]]*5%</f>
        <v>3941.875</v>
      </c>
      <c r="I77" s="9"/>
      <c r="J77" s="10">
        <v>53000</v>
      </c>
    </row>
    <row r="78" spans="1:10" ht="30" x14ac:dyDescent="0.25">
      <c r="A78" s="9" t="s">
        <v>45</v>
      </c>
      <c r="B78" s="12" t="s">
        <v>45</v>
      </c>
      <c r="C78" s="7">
        <f>+Tabla113[[#This Row],[Columna6]]/Tabla113[[#This Row],[Columna5]]</f>
        <v>5021.7499999999964</v>
      </c>
      <c r="D78" s="7">
        <f>+Tabla113[[#This Row],[PRECIO INSTALLER (CON IVA)]]-Tabla113[[#This Row],[Columna7]]</f>
        <v>4770.6624999999967</v>
      </c>
      <c r="E78" s="7">
        <f>+Tabla113[[#This Row],[PRECIO INSTALLER (CON IVA)]]/0.7</f>
        <v>7173.928571428567</v>
      </c>
      <c r="F78" s="9">
        <v>0.8</v>
      </c>
      <c r="G78" s="3">
        <f>Tabla113[[#This Row],[COSTO]]*1.19</f>
        <v>4017.3999999999974</v>
      </c>
      <c r="H78" s="9">
        <f>+Tabla113[[#This Row],[PRECIO INSTALLER (CON IVA)]]*5%</f>
        <v>251.08749999999984</v>
      </c>
      <c r="I78" s="9"/>
      <c r="J78" s="3">
        <v>3375.9663865546199</v>
      </c>
    </row>
    <row r="79" spans="1:10" ht="30" x14ac:dyDescent="0.25">
      <c r="A79" s="9" t="s">
        <v>44</v>
      </c>
      <c r="B79" s="12" t="s">
        <v>44</v>
      </c>
      <c r="C79" s="7">
        <f>+Tabla113[[#This Row],[Columna6]]/Tabla113[[#This Row],[Columna5]]</f>
        <v>5002.5</v>
      </c>
      <c r="D79" s="7">
        <f>+Tabla113[[#This Row],[PRECIO INSTALLER (CON IVA)]]-Tabla113[[#This Row],[Columna7]]</f>
        <v>4752.375</v>
      </c>
      <c r="E79" s="7">
        <f>+Tabla113[[#This Row],[PRECIO INSTALLER (CON IVA)]]/0.7</f>
        <v>7146.4285714285716</v>
      </c>
      <c r="F79" s="9">
        <v>0.8</v>
      </c>
      <c r="G79" s="3">
        <f>Tabla113[[#This Row],[COSTO]]*1.19</f>
        <v>4002</v>
      </c>
      <c r="H79" s="9">
        <f>+Tabla113[[#This Row],[PRECIO INSTALLER (CON IVA)]]*5%</f>
        <v>250.125</v>
      </c>
      <c r="I79" s="9"/>
      <c r="J79" s="3">
        <v>3363.0252100840339</v>
      </c>
    </row>
    <row r="80" spans="1:10" ht="30" x14ac:dyDescent="0.25">
      <c r="A80" s="9" t="s">
        <v>43</v>
      </c>
      <c r="B80" s="12" t="s">
        <v>43</v>
      </c>
      <c r="C80" s="7">
        <f>+Tabla113[[#This Row],[Columna6]]/Tabla113[[#This Row],[Columna5]]</f>
        <v>5952.9749999999995</v>
      </c>
      <c r="D80" s="7">
        <f>+Tabla113[[#This Row],[PRECIO INSTALLER (CON IVA)]]-Tabla113[[#This Row],[Columna7]]</f>
        <v>5655.3262499999992</v>
      </c>
      <c r="E80" s="7">
        <f>+Tabla113[[#This Row],[PRECIO INSTALLER (CON IVA)]]/0.7</f>
        <v>8504.25</v>
      </c>
      <c r="F80" s="9">
        <v>0.8</v>
      </c>
      <c r="G80" s="3">
        <f>Tabla113[[#This Row],[COSTO]]*1.19</f>
        <v>4762.38</v>
      </c>
      <c r="H80" s="9">
        <f>+Tabla113[[#This Row],[PRECIO INSTALLER (CON IVA)]]*5%</f>
        <v>297.64875000000001</v>
      </c>
      <c r="I80" s="9"/>
      <c r="J80" s="3">
        <v>4002</v>
      </c>
    </row>
    <row r="81" spans="1:10" ht="30" x14ac:dyDescent="0.25">
      <c r="A81" s="9" t="s">
        <v>42</v>
      </c>
      <c r="B81" s="12" t="s">
        <v>42</v>
      </c>
      <c r="C81" s="7">
        <f>+Tabla113[[#This Row],[Columna6]]/Tabla113[[#This Row],[Columna5]]</f>
        <v>6781.5124999999998</v>
      </c>
      <c r="D81" s="7">
        <f>+Tabla113[[#This Row],[PRECIO INSTALLER (CON IVA)]]-Tabla113[[#This Row],[Columna7]]</f>
        <v>6442.4368749999994</v>
      </c>
      <c r="E81" s="7">
        <f>+Tabla113[[#This Row],[PRECIO INSTALLER (CON IVA)]]/0.7</f>
        <v>9687.875</v>
      </c>
      <c r="F81" s="9">
        <v>0.8</v>
      </c>
      <c r="G81" s="3">
        <f>Tabla113[[#This Row],[COSTO]]*1.19</f>
        <v>5425.21</v>
      </c>
      <c r="H81" s="9">
        <f>+Tabla113[[#This Row],[PRECIO INSTALLER (CON IVA)]]*5%</f>
        <v>339.075625</v>
      </c>
      <c r="I81" s="9"/>
      <c r="J81" s="3">
        <v>4559</v>
      </c>
    </row>
    <row r="82" spans="1:10" ht="30" x14ac:dyDescent="0.25">
      <c r="A82" s="9" t="s">
        <v>41</v>
      </c>
      <c r="B82" s="12" t="s">
        <v>41</v>
      </c>
      <c r="C82" s="7">
        <f>+Tabla113[[#This Row],[Columna6]]/Tabla113[[#This Row],[Columna5]]</f>
        <v>5631.25</v>
      </c>
      <c r="D82" s="7">
        <f>+Tabla113[[#This Row],[PRECIO INSTALLER (CON IVA)]]-Tabla113[[#This Row],[Columna7]]</f>
        <v>5349.6875</v>
      </c>
      <c r="E82" s="7">
        <f>+Tabla113[[#This Row],[PRECIO INSTALLER (CON IVA)]]/0.7</f>
        <v>8044.6428571428578</v>
      </c>
      <c r="F82" s="9">
        <v>0.8</v>
      </c>
      <c r="G82" s="3">
        <f>Tabla113[[#This Row],[COSTO]]*1.19</f>
        <v>4505</v>
      </c>
      <c r="H82" s="9">
        <f>+Tabla113[[#This Row],[PRECIO INSTALLER (CON IVA)]]*5%</f>
        <v>281.5625</v>
      </c>
      <c r="I82" s="9"/>
      <c r="J82" s="3">
        <v>3785.7142857142858</v>
      </c>
    </row>
    <row r="83" spans="1:10" ht="30" x14ac:dyDescent="0.25">
      <c r="A83" s="9" t="s">
        <v>40</v>
      </c>
      <c r="B83" s="12" t="s">
        <v>40</v>
      </c>
      <c r="C83" s="7">
        <f>+Tabla113[[#This Row],[Columna6]]/Tabla113[[#This Row],[Columna5]]</f>
        <v>5628.75</v>
      </c>
      <c r="D83" s="7">
        <f>+Tabla113[[#This Row],[PRECIO INSTALLER (CON IVA)]]-Tabla113[[#This Row],[Columna7]]</f>
        <v>5347.3125</v>
      </c>
      <c r="E83" s="7">
        <f>+Tabla113[[#This Row],[PRECIO INSTALLER (CON IVA)]]/0.7</f>
        <v>8041.0714285714294</v>
      </c>
      <c r="F83" s="9">
        <v>0.8</v>
      </c>
      <c r="G83" s="3">
        <f>Tabla113[[#This Row],[COSTO]]*1.19</f>
        <v>4503</v>
      </c>
      <c r="H83" s="9">
        <f>+Tabla113[[#This Row],[PRECIO INSTALLER (CON IVA)]]*5%</f>
        <v>281.4375</v>
      </c>
      <c r="I83" s="9"/>
      <c r="J83" s="3">
        <v>3784.0336134453783</v>
      </c>
    </row>
    <row r="84" spans="1:10" ht="30" x14ac:dyDescent="0.25">
      <c r="A84" s="9" t="s">
        <v>38</v>
      </c>
      <c r="B84" s="12" t="s">
        <v>38</v>
      </c>
      <c r="C84" s="7">
        <f>+Tabla113[[#This Row],[Columna6]]/Tabla113[[#This Row],[Columna5]]</f>
        <v>6260</v>
      </c>
      <c r="D84" s="7">
        <f>+Tabla113[[#This Row],[PRECIO INSTALLER (CON IVA)]]-Tabla113[[#This Row],[Columna7]]</f>
        <v>5947</v>
      </c>
      <c r="E84" s="7">
        <f>+Tabla113[[#This Row],[PRECIO INSTALLER (CON IVA)]]/0.7</f>
        <v>8942.8571428571431</v>
      </c>
      <c r="F84" s="9">
        <v>0.8</v>
      </c>
      <c r="G84" s="3">
        <f>Tabla113[[#This Row],[COSTO]]*1.19</f>
        <v>5008</v>
      </c>
      <c r="H84" s="9">
        <f>+Tabla113[[#This Row],[PRECIO INSTALLER (CON IVA)]]*5%</f>
        <v>313</v>
      </c>
      <c r="I84" s="9"/>
      <c r="J84" s="3">
        <v>4208.4033613445381</v>
      </c>
    </row>
    <row r="85" spans="1:10" ht="30" x14ac:dyDescent="0.25">
      <c r="A85" s="9" t="s">
        <v>39</v>
      </c>
      <c r="B85" s="12" t="s">
        <v>38</v>
      </c>
      <c r="C85" s="7">
        <f>+Tabla113[[#This Row],[Columna6]]/Tabla113[[#This Row],[Columna5]]</f>
        <v>6259.375</v>
      </c>
      <c r="D85" s="7">
        <f>+Tabla113[[#This Row],[PRECIO INSTALLER (CON IVA)]]-Tabla113[[#This Row],[Columna7]]</f>
        <v>5946.40625</v>
      </c>
      <c r="E85" s="7">
        <f>+Tabla113[[#This Row],[PRECIO INSTALLER (CON IVA)]]/0.7</f>
        <v>8941.9642857142862</v>
      </c>
      <c r="F85" s="9">
        <v>0.8</v>
      </c>
      <c r="G85" s="3">
        <f>Tabla113[[#This Row],[COSTO]]*1.19</f>
        <v>5007.5</v>
      </c>
      <c r="H85" s="9">
        <f>+Tabla113[[#This Row],[PRECIO INSTALLER (CON IVA)]]*5%</f>
        <v>312.96875</v>
      </c>
      <c r="I85" s="9"/>
      <c r="J85" s="3">
        <v>4207.9831932773113</v>
      </c>
    </row>
    <row r="86" spans="1:10" ht="30" x14ac:dyDescent="0.25">
      <c r="A86" s="9" t="s">
        <v>37</v>
      </c>
      <c r="B86" s="12" t="s">
        <v>36</v>
      </c>
      <c r="C86" s="7">
        <f>+Tabla113[[#This Row],[Columna6]]/Tabla113[[#This Row],[Columna5]]</f>
        <v>96241.25</v>
      </c>
      <c r="D86" s="7">
        <f>+Tabla113[[#This Row],[PRECIO INSTALLER (CON IVA)]]-Tabla113[[#This Row],[Columna7]]</f>
        <v>91429.1875</v>
      </c>
      <c r="E86" s="7">
        <f>+Tabla113[[#This Row],[PRECIO INSTALLER (CON IVA)]]/0.7</f>
        <v>137487.5</v>
      </c>
      <c r="F86" s="9">
        <v>0.8</v>
      </c>
      <c r="G86" s="3">
        <f>Tabla113[[#This Row],[COSTO]]*1.19</f>
        <v>76993</v>
      </c>
      <c r="H86" s="9">
        <f>+Tabla113[[#This Row],[PRECIO INSTALLER (CON IVA)]]*5%</f>
        <v>4812.0625</v>
      </c>
      <c r="I86" s="9"/>
      <c r="J86" s="3">
        <v>64700</v>
      </c>
    </row>
    <row r="87" spans="1:10" ht="30" x14ac:dyDescent="0.25">
      <c r="A87" s="9" t="s">
        <v>35</v>
      </c>
      <c r="B87" s="12" t="s">
        <v>34</v>
      </c>
      <c r="C87" s="7">
        <f>+Tabla113[[#This Row],[Columna6]]/Tabla113[[#This Row],[Columna5]]</f>
        <v>152656.17499999999</v>
      </c>
      <c r="D87" s="7">
        <f>+Tabla113[[#This Row],[PRECIO INSTALLER (CON IVA)]]-Tabla113[[#This Row],[Columna7]]</f>
        <v>145023.36624999999</v>
      </c>
      <c r="E87" s="7">
        <f>+Tabla113[[#This Row],[PRECIO INSTALLER (CON IVA)]]/0.7</f>
        <v>218080.25</v>
      </c>
      <c r="F87" s="9">
        <v>0.8</v>
      </c>
      <c r="G87" s="3">
        <f>Tabla113[[#This Row],[COSTO]]*1.19</f>
        <v>122124.93999999999</v>
      </c>
      <c r="H87" s="9">
        <f>+Tabla113[[#This Row],[PRECIO INSTALLER (CON IVA)]]*5%</f>
        <v>7632.8087500000001</v>
      </c>
      <c r="I87" s="9"/>
      <c r="J87" s="3">
        <v>102626</v>
      </c>
    </row>
    <row r="88" spans="1:10" ht="30" x14ac:dyDescent="0.25">
      <c r="A88" s="9" t="s">
        <v>33</v>
      </c>
      <c r="B88" s="12" t="s">
        <v>32</v>
      </c>
      <c r="C88" s="7">
        <f>+Tabla113[[#This Row],[Columna6]]/Tabla113[[#This Row],[Columna5]]</f>
        <v>227638.07499999998</v>
      </c>
      <c r="D88" s="7">
        <f>+Tabla113[[#This Row],[PRECIO INSTALLER (CON IVA)]]-Tabla113[[#This Row],[Columna7]]</f>
        <v>216256.17124999998</v>
      </c>
      <c r="E88" s="7">
        <f>+Tabla113[[#This Row],[PRECIO INSTALLER (CON IVA)]]/0.7</f>
        <v>325197.25</v>
      </c>
      <c r="F88" s="9">
        <v>0.8</v>
      </c>
      <c r="G88" s="3">
        <f>Tabla113[[#This Row],[COSTO]]*1.19</f>
        <v>182110.46</v>
      </c>
      <c r="H88" s="9">
        <f>+Tabla113[[#This Row],[PRECIO INSTALLER (CON IVA)]]*5%</f>
        <v>11381.903749999999</v>
      </c>
      <c r="I88" s="9"/>
      <c r="J88" s="10">
        <v>153034</v>
      </c>
    </row>
    <row r="89" spans="1:10" ht="30" x14ac:dyDescent="0.25">
      <c r="A89" s="9" t="s">
        <v>31</v>
      </c>
      <c r="B89" s="12" t="s">
        <v>30</v>
      </c>
      <c r="C89" s="7">
        <f>+Tabla113[[#This Row],[Columna6]]/Tabla113[[#This Row],[Columna5]]</f>
        <v>24246.25</v>
      </c>
      <c r="D89" s="7">
        <f>+Tabla113[[#This Row],[PRECIO INSTALLER (CON IVA)]]-Tabla113[[#This Row],[Columna7]]</f>
        <v>23033.9375</v>
      </c>
      <c r="E89" s="7">
        <f>+Tabla113[[#This Row],[PRECIO INSTALLER (CON IVA)]]/0.7</f>
        <v>34637.5</v>
      </c>
      <c r="F89" s="9">
        <v>0.8</v>
      </c>
      <c r="G89" s="3">
        <f>Tabla113[[#This Row],[COSTO]]*1.19</f>
        <v>19397</v>
      </c>
      <c r="H89" s="9">
        <f>+Tabla113[[#This Row],[PRECIO INSTALLER (CON IVA)]]*5%</f>
        <v>1212.3125</v>
      </c>
      <c r="I89" s="9"/>
      <c r="J89" s="10">
        <v>16300</v>
      </c>
    </row>
    <row r="90" spans="1:10" ht="30" x14ac:dyDescent="0.25">
      <c r="A90" s="9" t="s">
        <v>29</v>
      </c>
      <c r="B90" s="12" t="s">
        <v>28</v>
      </c>
      <c r="C90" s="7">
        <f>+Tabla113[[#This Row],[Columna6]]/Tabla113[[#This Row],[Columna5]]</f>
        <v>42988.75</v>
      </c>
      <c r="D90" s="7">
        <f>+Tabla113[[#This Row],[PRECIO INSTALLER (CON IVA)]]-Tabla113[[#This Row],[Columna7]]</f>
        <v>40839.3125</v>
      </c>
      <c r="E90" s="7">
        <f>+Tabla113[[#This Row],[PRECIO INSTALLER (CON IVA)]]/0.7</f>
        <v>61412.500000000007</v>
      </c>
      <c r="F90" s="9">
        <v>0.8</v>
      </c>
      <c r="G90" s="3">
        <f>Tabla113[[#This Row],[COSTO]]*1.19</f>
        <v>34391</v>
      </c>
      <c r="H90" s="9">
        <f>+Tabla113[[#This Row],[PRECIO INSTALLER (CON IVA)]]*5%</f>
        <v>2149.4375</v>
      </c>
      <c r="I90" s="9"/>
      <c r="J90" s="10">
        <v>28900</v>
      </c>
    </row>
    <row r="91" spans="1:10" ht="30" x14ac:dyDescent="0.25">
      <c r="A91" s="9" t="s">
        <v>27</v>
      </c>
      <c r="B91" s="12" t="s">
        <v>26</v>
      </c>
      <c r="C91" s="7">
        <f>+Tabla113[[#This Row],[Columna6]]/Tabla113[[#This Row],[Columna5]]</f>
        <v>4611.25</v>
      </c>
      <c r="D91" s="7">
        <f>+Tabla113[[#This Row],[PRECIO INSTALLER (CON IVA)]]-Tabla113[[#This Row],[Columna7]]</f>
        <v>4380.6875</v>
      </c>
      <c r="E91" s="7">
        <f>+Tabla113[[#This Row],[PRECIO INSTALLER (CON IVA)]]/0.7</f>
        <v>6587.5</v>
      </c>
      <c r="F91" s="9">
        <v>0.8</v>
      </c>
      <c r="G91" s="3">
        <f>Tabla113[[#This Row],[COSTO]]*1.19</f>
        <v>3689</v>
      </c>
      <c r="H91" s="9">
        <f>+Tabla113[[#This Row],[PRECIO INSTALLER (CON IVA)]]*5%</f>
        <v>230.5625</v>
      </c>
      <c r="I91" s="9"/>
      <c r="J91" s="3">
        <v>3100</v>
      </c>
    </row>
    <row r="92" spans="1:10" ht="30" x14ac:dyDescent="0.25">
      <c r="A92" s="9" t="s">
        <v>25</v>
      </c>
      <c r="B92" s="12" t="s">
        <v>24</v>
      </c>
      <c r="C92" s="7">
        <f>+Tabla113[[#This Row],[Columna6]]/Tabla113[[#This Row],[Columna5]]</f>
        <v>133875</v>
      </c>
      <c r="D92" s="7">
        <f>+Tabla113[[#This Row],[PRECIO INSTALLER (CON IVA)]]-Tabla113[[#This Row],[Columna7]]</f>
        <v>127181.25</v>
      </c>
      <c r="E92" s="7">
        <f>+Tabla113[[#This Row],[PRECIO INSTALLER (CON IVA)]]/0.7</f>
        <v>191250</v>
      </c>
      <c r="F92" s="9">
        <v>0.8</v>
      </c>
      <c r="G92" s="3">
        <f>Tabla113[[#This Row],[COSTO]]*1.19</f>
        <v>107100</v>
      </c>
      <c r="H92" s="9">
        <f>+Tabla113[[#This Row],[PRECIO INSTALLER (CON IVA)]]*5%</f>
        <v>6693.75</v>
      </c>
      <c r="I92" s="9"/>
      <c r="J92" s="3">
        <v>90000</v>
      </c>
    </row>
    <row r="93" spans="1:10" ht="30" x14ac:dyDescent="0.25">
      <c r="A93" s="9" t="s">
        <v>23</v>
      </c>
      <c r="B93" s="12" t="s">
        <v>22</v>
      </c>
      <c r="C93" s="7">
        <f>+Tabla113[[#This Row],[Columna6]]/Tabla113[[#This Row],[Columna5]]</f>
        <v>19040</v>
      </c>
      <c r="D93" s="7">
        <f>+Tabla113[[#This Row],[PRECIO INSTALLER (CON IVA)]]-Tabla113[[#This Row],[Columna7]]</f>
        <v>18088</v>
      </c>
      <c r="E93" s="7">
        <f>+Tabla113[[#This Row],[PRECIO INSTALLER (CON IVA)]]/0.7</f>
        <v>27200</v>
      </c>
      <c r="F93" s="9">
        <v>0.8</v>
      </c>
      <c r="G93" s="3">
        <f>Tabla113[[#This Row],[COSTO]]*1.19</f>
        <v>15232</v>
      </c>
      <c r="H93" s="9">
        <f>+Tabla113[[#This Row],[PRECIO INSTALLER (CON IVA)]]*5%</f>
        <v>952</v>
      </c>
      <c r="I93" s="9"/>
      <c r="J93" s="10">
        <v>12800</v>
      </c>
    </row>
    <row r="94" spans="1:10" ht="30" x14ac:dyDescent="0.25">
      <c r="A94" s="9" t="s">
        <v>21</v>
      </c>
      <c r="B94" s="12" t="s">
        <v>20</v>
      </c>
      <c r="C94" s="7">
        <f>+Tabla113[[#This Row],[Columna6]]/Tabla113[[#This Row],[Columna5]]</f>
        <v>79283.75</v>
      </c>
      <c r="D94" s="7">
        <f>+Tabla113[[#This Row],[PRECIO INSTALLER (CON IVA)]]-Tabla113[[#This Row],[Columna7]]</f>
        <v>75319.5625</v>
      </c>
      <c r="E94" s="7">
        <f>+Tabla113[[#This Row],[PRECIO INSTALLER (CON IVA)]]/0.7</f>
        <v>113262.5</v>
      </c>
      <c r="F94" s="9">
        <v>0.8</v>
      </c>
      <c r="G94" s="3">
        <f>Tabla113[[#This Row],[COSTO]]*1.19</f>
        <v>63427</v>
      </c>
      <c r="H94" s="9">
        <f>+Tabla113[[#This Row],[PRECIO INSTALLER (CON IVA)]]*5%</f>
        <v>3964.1875</v>
      </c>
      <c r="I94" s="9"/>
      <c r="J94" s="3">
        <v>53300</v>
      </c>
    </row>
    <row r="95" spans="1:10" ht="30" x14ac:dyDescent="0.25">
      <c r="A95" s="9" t="s">
        <v>19</v>
      </c>
      <c r="B95" s="12" t="s">
        <v>18</v>
      </c>
      <c r="C95" s="7">
        <f>+Tabla113[[#This Row],[Columna6]]/Tabla113[[#This Row],[Columna5]]</f>
        <v>185006.32499999998</v>
      </c>
      <c r="D95" s="7">
        <f>+Tabla113[[#This Row],[PRECIO INSTALLER (CON IVA)]]-Tabla113[[#This Row],[Columna7]]</f>
        <v>175756.00874999998</v>
      </c>
      <c r="E95" s="7">
        <f>+Tabla113[[#This Row],[PRECIO INSTALLER (CON IVA)]]/0.7</f>
        <v>264294.75</v>
      </c>
      <c r="F95" s="9">
        <v>0.8</v>
      </c>
      <c r="G95" s="3">
        <f>Tabla113[[#This Row],[COSTO]]*1.19</f>
        <v>148005.06</v>
      </c>
      <c r="H95" s="9">
        <f>+Tabla113[[#This Row],[PRECIO INSTALLER (CON IVA)]]*5%</f>
        <v>9250.3162499999999</v>
      </c>
      <c r="I95" s="9"/>
      <c r="J95" s="3">
        <v>124374</v>
      </c>
    </row>
    <row r="96" spans="1:10" ht="30" x14ac:dyDescent="0.25">
      <c r="A96" s="9" t="s">
        <v>17</v>
      </c>
      <c r="B96" s="12" t="s">
        <v>16</v>
      </c>
      <c r="C96" s="7">
        <f>+Tabla113[[#This Row],[Columna6]]/Tabla113[[#This Row],[Columna5]]</f>
        <v>498284.23749999993</v>
      </c>
      <c r="D96" s="7">
        <f>+Tabla113[[#This Row],[PRECIO INSTALLER (CON IVA)]]-Tabla113[[#This Row],[Columna7]]</f>
        <v>473370.02562499995</v>
      </c>
      <c r="E96" s="7">
        <f>+Tabla113[[#This Row],[PRECIO INSTALLER (CON IVA)]]/0.7</f>
        <v>711834.625</v>
      </c>
      <c r="F96" s="9">
        <v>0.8</v>
      </c>
      <c r="G96" s="3">
        <f>Tabla113[[#This Row],[COSTO]]*1.19</f>
        <v>398627.38999999996</v>
      </c>
      <c r="H96" s="9">
        <f>+Tabla113[[#This Row],[PRECIO INSTALLER (CON IVA)]]*5%</f>
        <v>24914.211874999997</v>
      </c>
      <c r="I96" s="9"/>
      <c r="J96" s="3">
        <v>334981</v>
      </c>
    </row>
    <row r="97" spans="1:10" ht="45" x14ac:dyDescent="0.25">
      <c r="A97" s="9" t="s">
        <v>15</v>
      </c>
      <c r="B97" s="12" t="s">
        <v>14</v>
      </c>
      <c r="C97" s="7">
        <f>+Tabla113[[#This Row],[Columna6]]/Tabla113[[#This Row],[Columna5]]</f>
        <v>53468.187499999993</v>
      </c>
      <c r="D97" s="7">
        <f>+Tabla113[[#This Row],[PRECIO INSTALLER (CON IVA)]]-Tabla113[[#This Row],[Columna7]]</f>
        <v>50794.77812499999</v>
      </c>
      <c r="E97" s="7">
        <f>+Tabla113[[#This Row],[PRECIO INSTALLER (CON IVA)]]/0.7</f>
        <v>76383.125</v>
      </c>
      <c r="F97" s="9">
        <v>0.8</v>
      </c>
      <c r="G97" s="3">
        <f>Tabla113[[#This Row],[COSTO]]*1.19</f>
        <v>42774.549999999996</v>
      </c>
      <c r="H97" s="9">
        <f>+Tabla113[[#This Row],[PRECIO INSTALLER (CON IVA)]]*5%</f>
        <v>2673.4093749999997</v>
      </c>
      <c r="I97" s="9"/>
      <c r="J97" s="10">
        <v>35945</v>
      </c>
    </row>
    <row r="98" spans="1:10" ht="45" x14ac:dyDescent="0.25">
      <c r="A98" s="9" t="s">
        <v>13</v>
      </c>
      <c r="B98" s="12" t="s">
        <v>12</v>
      </c>
      <c r="C98" s="7">
        <f>+Tabla113[[#This Row],[Columna6]]/Tabla113[[#This Row],[Columna5]]</f>
        <v>618835.69999999995</v>
      </c>
      <c r="D98" s="7">
        <f>+Tabla113[[#This Row],[PRECIO INSTALLER (CON IVA)]]-Tabla113[[#This Row],[Columna7]]</f>
        <v>587893.91499999992</v>
      </c>
      <c r="E98" s="7">
        <f>+Tabla113[[#This Row],[PRECIO INSTALLER (CON IVA)]]/0.7</f>
        <v>884051</v>
      </c>
      <c r="F98" s="9">
        <v>0.8</v>
      </c>
      <c r="G98" s="3">
        <f>Tabla113[[#This Row],[COSTO]]*1.19</f>
        <v>495068.56</v>
      </c>
      <c r="H98" s="9">
        <f>+Tabla113[[#This Row],[PRECIO INSTALLER (CON IVA)]]*5%</f>
        <v>30941.785</v>
      </c>
      <c r="I98" s="9"/>
      <c r="J98" s="3">
        <v>416024</v>
      </c>
    </row>
    <row r="99" spans="1:10" ht="45" x14ac:dyDescent="0.25">
      <c r="A99" s="9" t="s">
        <v>11</v>
      </c>
      <c r="B99" s="12" t="s">
        <v>10</v>
      </c>
      <c r="C99" s="7">
        <f>+Tabla113[[#This Row],[Columna6]]/Tabla113[[#This Row],[Columna5]]</f>
        <v>389803.83749999997</v>
      </c>
      <c r="D99" s="7">
        <f>+Tabla113[[#This Row],[PRECIO INSTALLER (CON IVA)]]-Tabla113[[#This Row],[Columna7]]</f>
        <v>370313.64562499995</v>
      </c>
      <c r="E99" s="7">
        <f>+Tabla113[[#This Row],[PRECIO INSTALLER (CON IVA)]]/0.7</f>
        <v>556862.625</v>
      </c>
      <c r="F99" s="9">
        <v>0.8</v>
      </c>
      <c r="G99" s="3">
        <f>Tabla113[[#This Row],[COSTO]]*1.19</f>
        <v>311843.07</v>
      </c>
      <c r="H99" s="9">
        <f>+Tabla113[[#This Row],[PRECIO INSTALLER (CON IVA)]]*5%</f>
        <v>19490.191875</v>
      </c>
      <c r="I99" s="9"/>
      <c r="J99" s="3">
        <v>262053</v>
      </c>
    </row>
    <row r="100" spans="1:10" ht="30" x14ac:dyDescent="0.25">
      <c r="A100" s="9" t="s">
        <v>9</v>
      </c>
      <c r="B100" s="12" t="s">
        <v>8</v>
      </c>
      <c r="C100" s="7">
        <f>+Tabla113[[#This Row],[Columna6]]/Tabla113[[#This Row],[Columna5]]</f>
        <v>651553.26249999995</v>
      </c>
      <c r="D100" s="7">
        <f>+Tabla113[[#This Row],[PRECIO INSTALLER (CON IVA)]]-Tabla113[[#This Row],[Columna7]]</f>
        <v>618975.59937499999</v>
      </c>
      <c r="E100" s="7">
        <f>+Tabla113[[#This Row],[PRECIO INSTALLER (CON IVA)]]/0.7</f>
        <v>930790.375</v>
      </c>
      <c r="F100" s="9">
        <v>0.8</v>
      </c>
      <c r="G100" s="3">
        <f>Tabla113[[#This Row],[COSTO]]*1.19</f>
        <v>521242.61</v>
      </c>
      <c r="H100" s="9">
        <f>+Tabla113[[#This Row],[PRECIO INSTALLER (CON IVA)]]*5%</f>
        <v>32577.663124999999</v>
      </c>
      <c r="I100" s="9"/>
      <c r="J100" s="3">
        <v>438019</v>
      </c>
    </row>
    <row r="101" spans="1:10" ht="45" x14ac:dyDescent="0.25">
      <c r="A101" s="9" t="s">
        <v>7</v>
      </c>
      <c r="B101" s="12" t="s">
        <v>6</v>
      </c>
      <c r="C101" s="7">
        <f>+Tabla113[[#This Row],[Columna6]]/Tabla113[[#This Row],[Columna5]]</f>
        <v>768103.34999999986</v>
      </c>
      <c r="D101" s="7">
        <f>+Tabla113[[#This Row],[PRECIO INSTALLER (CON IVA)]]-Tabla113[[#This Row],[Columna7]]</f>
        <v>729698.18249999988</v>
      </c>
      <c r="E101" s="7">
        <f>+Tabla113[[#This Row],[PRECIO INSTALLER (CON IVA)]]/0.7</f>
        <v>1097290.4999999998</v>
      </c>
      <c r="F101" s="9">
        <v>0.8</v>
      </c>
      <c r="G101" s="3">
        <f>Tabla113[[#This Row],[COSTO]]*1.19</f>
        <v>614482.67999999993</v>
      </c>
      <c r="H101" s="9">
        <f>+Tabla113[[#This Row],[PRECIO INSTALLER (CON IVA)]]*5%</f>
        <v>38405.167499999996</v>
      </c>
      <c r="I101" s="9"/>
      <c r="J101" s="3">
        <v>516372</v>
      </c>
    </row>
    <row r="102" spans="1:10" ht="45.75" thickBot="1" x14ac:dyDescent="0.3">
      <c r="A102" s="9" t="s">
        <v>5</v>
      </c>
      <c r="B102" s="11" t="s">
        <v>4</v>
      </c>
      <c r="C102" s="7">
        <f>+Tabla113[[#This Row],[Columna6]]/Tabla113[[#This Row],[Columna5]]</f>
        <v>69103.299999999988</v>
      </c>
      <c r="D102" s="7">
        <f>+Tabla113[[#This Row],[PRECIO INSTALLER (CON IVA)]]-Tabla113[[#This Row],[Columna7]]</f>
        <v>65648.134999999995</v>
      </c>
      <c r="E102" s="7">
        <f>+Tabla113[[#This Row],[PRECIO INSTALLER (CON IVA)]]/0.7</f>
        <v>98718.999999999985</v>
      </c>
      <c r="F102" s="9">
        <v>0.8</v>
      </c>
      <c r="G102" s="3">
        <f>Tabla113[[#This Row],[COSTO]]*1.19</f>
        <v>55282.64</v>
      </c>
      <c r="H102" s="4">
        <f>+Tabla113[[#This Row],[PRECIO INSTALLER (CON IVA)]]*5%</f>
        <v>3455.1649999999995</v>
      </c>
      <c r="I102" s="4"/>
      <c r="J102" s="10">
        <v>46456</v>
      </c>
    </row>
    <row r="103" spans="1:10" ht="45.75" thickBot="1" x14ac:dyDescent="0.3">
      <c r="A103" s="9" t="s">
        <v>3</v>
      </c>
      <c r="B103" s="8" t="s">
        <v>2</v>
      </c>
      <c r="C103" s="7">
        <f>+Tabla113[[#This Row],[Columna6]]/Tabla113[[#This Row],[Columna5]]</f>
        <v>183855</v>
      </c>
      <c r="D103" s="6">
        <f>+Tabla113[[#This Row],[PRECIO INSTALLER (CON IVA)]]-Tabla113[[#This Row],[Columna7]]</f>
        <v>174662.25</v>
      </c>
      <c r="E103" s="6">
        <f>+Tabla113[[#This Row],[PRECIO INSTALLER (CON IVA)]]/0.7</f>
        <v>262650</v>
      </c>
      <c r="F103" s="5">
        <v>0.8</v>
      </c>
      <c r="G103" s="3">
        <f>Tabla113[[#This Row],[COSTO]]*1.19</f>
        <v>147084</v>
      </c>
      <c r="H103" s="9">
        <f>+Tabla113[[#This Row],[PRECIO INSTALLER (CON IVA)]]*5%</f>
        <v>9192.75</v>
      </c>
      <c r="I103" s="9"/>
      <c r="J103" s="3">
        <v>123600</v>
      </c>
    </row>
    <row r="104" spans="1:10" ht="45.75" thickBot="1" x14ac:dyDescent="0.3">
      <c r="A104" s="9" t="s">
        <v>1</v>
      </c>
      <c r="B104" s="8" t="s">
        <v>0</v>
      </c>
      <c r="C104" s="7">
        <f>+Tabla113[[#This Row],[Columna6]]/Tabla113[[#This Row],[Columna5]]</f>
        <v>211820</v>
      </c>
      <c r="D104" s="6">
        <f>+Tabla113[[#This Row],[PRECIO INSTALLER (CON IVA)]]-Tabla113[[#This Row],[Columna7]]</f>
        <v>201229</v>
      </c>
      <c r="E104" s="6">
        <f>+Tabla113[[#This Row],[PRECIO INSTALLER (CON IVA)]]/0.7</f>
        <v>302600</v>
      </c>
      <c r="F104" s="5">
        <v>0.8</v>
      </c>
      <c r="G104" s="3">
        <f>Tabla113[[#This Row],[COSTO]]*1.19</f>
        <v>169456</v>
      </c>
      <c r="H104" s="4">
        <f>+Tabla113[[#This Row],[PRECIO INSTALLER (CON IVA)]]*5%</f>
        <v>10591</v>
      </c>
      <c r="I104" s="4"/>
      <c r="J104" s="3">
        <v>142400</v>
      </c>
    </row>
  </sheetData>
  <conditionalFormatting sqref="A1:E1">
    <cfRule type="duplicateValues" dxfId="0" priority="1"/>
  </conditionalFormatting>
  <pageMargins left="0.7" right="0.7" top="0.75" bottom="0.75" header="0.3" footer="0.3"/>
  <pageSetup scale="73" orientation="portrait" r:id="rId1"/>
  <colBreaks count="1" manualBreakCount="1">
    <brk id="5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2026-06-22T17:31:29Z</cp:lastPrinted>
  <dcterms:created xsi:type="dcterms:W3CDTF">2026-06-22T17:25:32Z</dcterms:created>
  <dcterms:modified xsi:type="dcterms:W3CDTF">2026-06-22T17:31:36Z</dcterms:modified>
</cp:coreProperties>
</file>