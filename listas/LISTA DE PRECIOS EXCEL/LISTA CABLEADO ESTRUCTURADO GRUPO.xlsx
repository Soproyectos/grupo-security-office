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"/>
    </mc:Choice>
  </mc:AlternateContent>
  <xr:revisionPtr revIDLastSave="0" documentId="13_ncr:1_{7A474DB5-D7E2-4AD3-8897-AC786DFA96ED}" xr6:coauthVersionLast="47" xr6:coauthVersionMax="47" xr10:uidLastSave="{00000000-0000-0000-0000-000000000000}"/>
  <bookViews>
    <workbookView xWindow="23880" yWindow="-120" windowWidth="21840" windowHeight="13140" xr2:uid="{E77D7F58-0C36-4012-8CBB-D2E4351F1FE0}"/>
  </bookViews>
  <sheets>
    <sheet name="LANPRO C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H2" i="1"/>
  <c r="C2" i="1" s="1"/>
  <c r="H3" i="1"/>
  <c r="C3" i="1" s="1"/>
  <c r="H4" i="1"/>
  <c r="C4" i="1" s="1"/>
  <c r="H5" i="1"/>
  <c r="C5" i="1" s="1"/>
  <c r="F6" i="1"/>
  <c r="H6" i="1"/>
  <c r="C6" i="1" s="1"/>
  <c r="H7" i="1"/>
  <c r="C7" i="1" s="1"/>
  <c r="H8" i="1"/>
  <c r="C8" i="1" s="1"/>
  <c r="H9" i="1"/>
  <c r="C9" i="1" s="1"/>
  <c r="F10" i="1"/>
  <c r="H10" i="1"/>
  <c r="C10" i="1" s="1"/>
  <c r="H11" i="1"/>
  <c r="C11" i="1" s="1"/>
  <c r="H12" i="1"/>
  <c r="C12" i="1" s="1"/>
  <c r="H13" i="1"/>
  <c r="C13" i="1" s="1"/>
  <c r="F14" i="1"/>
  <c r="H14" i="1"/>
  <c r="C14" i="1" s="1"/>
  <c r="H15" i="1"/>
  <c r="C15" i="1" s="1"/>
  <c r="H16" i="1"/>
  <c r="C16" i="1" s="1"/>
  <c r="H17" i="1"/>
  <c r="C17" i="1" s="1"/>
  <c r="F18" i="1"/>
  <c r="H18" i="1"/>
  <c r="C18" i="1" s="1"/>
  <c r="H19" i="1"/>
  <c r="C19" i="1" s="1"/>
  <c r="H20" i="1"/>
  <c r="C20" i="1" s="1"/>
  <c r="H21" i="1"/>
  <c r="C21" i="1" s="1"/>
  <c r="F22" i="1"/>
  <c r="H22" i="1"/>
  <c r="C22" i="1" s="1"/>
  <c r="H23" i="1"/>
  <c r="C23" i="1" s="1"/>
  <c r="H24" i="1"/>
  <c r="C24" i="1" s="1"/>
  <c r="H25" i="1"/>
  <c r="C25" i="1" s="1"/>
  <c r="F26" i="1"/>
  <c r="H26" i="1"/>
  <c r="C26" i="1" s="1"/>
  <c r="H27" i="1"/>
  <c r="C27" i="1" s="1"/>
  <c r="H28" i="1"/>
  <c r="C28" i="1" s="1"/>
  <c r="H29" i="1"/>
  <c r="C29" i="1" s="1"/>
  <c r="F30" i="1"/>
  <c r="H30" i="1"/>
  <c r="C30" i="1" s="1"/>
  <c r="H31" i="1"/>
  <c r="C31" i="1" s="1"/>
  <c r="H32" i="1"/>
  <c r="C32" i="1" s="1"/>
  <c r="H33" i="1"/>
  <c r="C33" i="1" s="1"/>
  <c r="F34" i="1"/>
  <c r="H34" i="1"/>
  <c r="C34" i="1" s="1"/>
  <c r="H35" i="1"/>
  <c r="C35" i="1" s="1"/>
  <c r="H36" i="1"/>
  <c r="C36" i="1" s="1"/>
  <c r="H37" i="1"/>
  <c r="C37" i="1" s="1"/>
  <c r="F38" i="1"/>
  <c r="H38" i="1"/>
  <c r="C38" i="1" s="1"/>
  <c r="H39" i="1"/>
  <c r="C39" i="1" s="1"/>
  <c r="H40" i="1"/>
  <c r="C40" i="1" s="1"/>
  <c r="H41" i="1"/>
  <c r="C41" i="1" s="1"/>
  <c r="F42" i="1"/>
  <c r="H42" i="1"/>
  <c r="C42" i="1" s="1"/>
  <c r="H43" i="1"/>
  <c r="C43" i="1" s="1"/>
  <c r="H44" i="1"/>
  <c r="C44" i="1" s="1"/>
  <c r="H45" i="1"/>
  <c r="C45" i="1" s="1"/>
  <c r="F46" i="1"/>
  <c r="H46" i="1"/>
  <c r="C46" i="1" s="1"/>
  <c r="H47" i="1"/>
  <c r="C47" i="1" s="1"/>
  <c r="H48" i="1"/>
  <c r="C48" i="1" s="1"/>
  <c r="H49" i="1"/>
  <c r="C49" i="1" s="1"/>
  <c r="F50" i="1"/>
  <c r="H50" i="1"/>
  <c r="C50" i="1" s="1"/>
  <c r="H51" i="1"/>
  <c r="C51" i="1" s="1"/>
  <c r="H52" i="1"/>
  <c r="C52" i="1" s="1"/>
  <c r="H53" i="1"/>
  <c r="C53" i="1" s="1"/>
  <c r="F54" i="1"/>
  <c r="H54" i="1"/>
  <c r="C54" i="1" s="1"/>
  <c r="H55" i="1"/>
  <c r="C55" i="1" s="1"/>
  <c r="H56" i="1"/>
  <c r="C56" i="1" s="1"/>
  <c r="H57" i="1"/>
  <c r="C57" i="1" s="1"/>
  <c r="F58" i="1"/>
  <c r="H58" i="1"/>
  <c r="C58" i="1" s="1"/>
  <c r="H59" i="1"/>
  <c r="C59" i="1" s="1"/>
  <c r="H60" i="1"/>
  <c r="C60" i="1" s="1"/>
  <c r="H61" i="1"/>
  <c r="C61" i="1" s="1"/>
  <c r="F62" i="1"/>
  <c r="H62" i="1"/>
  <c r="C62" i="1" s="1"/>
  <c r="H63" i="1"/>
  <c r="C63" i="1" s="1"/>
  <c r="H64" i="1"/>
  <c r="C64" i="1" s="1"/>
  <c r="H65" i="1"/>
  <c r="C65" i="1" s="1"/>
  <c r="F66" i="1"/>
  <c r="H66" i="1"/>
  <c r="C66" i="1" s="1"/>
  <c r="H67" i="1"/>
  <c r="C67" i="1" s="1"/>
  <c r="H68" i="1"/>
  <c r="C68" i="1" s="1"/>
  <c r="H69" i="1"/>
  <c r="C69" i="1" s="1"/>
  <c r="F70" i="1"/>
  <c r="H70" i="1"/>
  <c r="C70" i="1" s="1"/>
  <c r="H71" i="1"/>
  <c r="C71" i="1" s="1"/>
  <c r="H72" i="1"/>
  <c r="C72" i="1" s="1"/>
  <c r="H73" i="1"/>
  <c r="C73" i="1" s="1"/>
  <c r="F74" i="1"/>
  <c r="H74" i="1"/>
  <c r="C74" i="1" s="1"/>
  <c r="H75" i="1"/>
  <c r="C75" i="1" s="1"/>
  <c r="H76" i="1"/>
  <c r="C76" i="1" s="1"/>
  <c r="H77" i="1"/>
  <c r="C77" i="1" s="1"/>
  <c r="F78" i="1"/>
  <c r="H78" i="1"/>
  <c r="C78" i="1" s="1"/>
  <c r="H79" i="1"/>
  <c r="C79" i="1" s="1"/>
  <c r="H80" i="1"/>
  <c r="C80" i="1" s="1"/>
  <c r="H81" i="1"/>
  <c r="C81" i="1" s="1"/>
  <c r="F82" i="1"/>
  <c r="H82" i="1"/>
  <c r="C82" i="1" s="1"/>
  <c r="H83" i="1"/>
  <c r="C83" i="1" s="1"/>
  <c r="H84" i="1"/>
  <c r="C84" i="1" s="1"/>
  <c r="H85" i="1"/>
  <c r="C85" i="1" s="1"/>
  <c r="F86" i="1"/>
  <c r="H86" i="1"/>
  <c r="C86" i="1" s="1"/>
  <c r="H87" i="1"/>
  <c r="C87" i="1" s="1"/>
  <c r="H88" i="1"/>
  <c r="C88" i="1" s="1"/>
  <c r="H89" i="1"/>
  <c r="C89" i="1" s="1"/>
  <c r="H90" i="1"/>
  <c r="C90" i="1" s="1"/>
  <c r="H91" i="1"/>
  <c r="C91" i="1" s="1"/>
  <c r="H92" i="1"/>
  <c r="C92" i="1" s="1"/>
  <c r="H93" i="1"/>
  <c r="C93" i="1" s="1"/>
  <c r="H94" i="1"/>
  <c r="C94" i="1" s="1"/>
  <c r="H95" i="1"/>
  <c r="C95" i="1" s="1"/>
  <c r="H96" i="1"/>
  <c r="C96" i="1" s="1"/>
  <c r="H97" i="1"/>
  <c r="C97" i="1" s="1"/>
  <c r="H98" i="1"/>
  <c r="C98" i="1" s="1"/>
  <c r="H99" i="1"/>
  <c r="C99" i="1" s="1"/>
  <c r="H100" i="1"/>
  <c r="C100" i="1" s="1"/>
  <c r="H101" i="1"/>
  <c r="C101" i="1" s="1"/>
  <c r="H102" i="1"/>
  <c r="C102" i="1" s="1"/>
  <c r="H103" i="1"/>
  <c r="C103" i="1" s="1"/>
  <c r="H104" i="1"/>
  <c r="C104" i="1" s="1"/>
  <c r="H105" i="1"/>
  <c r="C105" i="1" s="1"/>
  <c r="H106" i="1"/>
  <c r="C106" i="1" s="1"/>
  <c r="H107" i="1"/>
  <c r="C107" i="1" s="1"/>
  <c r="H108" i="1"/>
  <c r="C108" i="1" s="1"/>
  <c r="H109" i="1"/>
  <c r="C109" i="1" s="1"/>
  <c r="H110" i="1"/>
  <c r="C110" i="1" s="1"/>
  <c r="H111" i="1"/>
  <c r="C111" i="1" s="1"/>
  <c r="H112" i="1"/>
  <c r="C112" i="1" s="1"/>
  <c r="H113" i="1"/>
  <c r="C113" i="1" s="1"/>
  <c r="H114" i="1"/>
  <c r="C114" i="1" s="1"/>
  <c r="H115" i="1"/>
  <c r="C115" i="1" s="1"/>
  <c r="H116" i="1"/>
  <c r="C116" i="1" s="1"/>
  <c r="H117" i="1"/>
  <c r="C117" i="1" s="1"/>
  <c r="H118" i="1"/>
  <c r="C118" i="1" s="1"/>
  <c r="H119" i="1"/>
  <c r="C119" i="1" s="1"/>
  <c r="H120" i="1"/>
  <c r="C120" i="1" s="1"/>
  <c r="H121" i="1"/>
  <c r="C121" i="1" s="1"/>
  <c r="H122" i="1"/>
  <c r="C122" i="1" s="1"/>
  <c r="H123" i="1"/>
  <c r="C123" i="1" s="1"/>
  <c r="H124" i="1"/>
  <c r="C124" i="1" s="1"/>
  <c r="H125" i="1"/>
  <c r="C125" i="1" s="1"/>
  <c r="H126" i="1"/>
  <c r="C126" i="1" s="1"/>
  <c r="H127" i="1"/>
  <c r="C127" i="1" s="1"/>
  <c r="H128" i="1"/>
  <c r="C128" i="1" s="1"/>
  <c r="H129" i="1"/>
  <c r="C129" i="1" s="1"/>
  <c r="H130" i="1"/>
  <c r="C130" i="1" s="1"/>
  <c r="H131" i="1"/>
  <c r="C131" i="1" s="1"/>
  <c r="H132" i="1"/>
  <c r="C132" i="1" s="1"/>
  <c r="H133" i="1"/>
  <c r="C133" i="1" s="1"/>
  <c r="H134" i="1"/>
  <c r="C134" i="1" s="1"/>
  <c r="H135" i="1"/>
  <c r="C135" i="1" s="1"/>
  <c r="H136" i="1"/>
  <c r="C136" i="1" s="1"/>
  <c r="H137" i="1"/>
  <c r="C137" i="1" s="1"/>
  <c r="H138" i="1"/>
  <c r="C138" i="1" s="1"/>
  <c r="H139" i="1"/>
  <c r="C139" i="1" s="1"/>
  <c r="H140" i="1"/>
  <c r="C140" i="1" s="1"/>
  <c r="H141" i="1"/>
  <c r="C141" i="1" s="1"/>
  <c r="H142" i="1"/>
  <c r="C142" i="1" s="1"/>
  <c r="H143" i="1"/>
  <c r="C143" i="1" s="1"/>
  <c r="H144" i="1"/>
  <c r="C144" i="1" s="1"/>
  <c r="D140" i="1" l="1"/>
  <c r="E140" i="1"/>
  <c r="F140" i="1"/>
  <c r="E128" i="1"/>
  <c r="F128" i="1"/>
  <c r="D128" i="1" s="1"/>
  <c r="E116" i="1"/>
  <c r="F116" i="1"/>
  <c r="D116" i="1" s="1"/>
  <c r="E104" i="1"/>
  <c r="D104" i="1"/>
  <c r="F104" i="1"/>
  <c r="D92" i="1"/>
  <c r="E92" i="1"/>
  <c r="F92" i="1"/>
  <c r="D69" i="1"/>
  <c r="E69" i="1"/>
  <c r="F69" i="1"/>
  <c r="E53" i="1"/>
  <c r="F53" i="1"/>
  <c r="D53" i="1" s="1"/>
  <c r="E21" i="1"/>
  <c r="F21" i="1"/>
  <c r="D21" i="1" s="1"/>
  <c r="E135" i="1"/>
  <c r="F135" i="1"/>
  <c r="D135" i="1"/>
  <c r="F127" i="1"/>
  <c r="D127" i="1" s="1"/>
  <c r="E127" i="1"/>
  <c r="E123" i="1"/>
  <c r="F123" i="1"/>
  <c r="D123" i="1"/>
  <c r="F119" i="1"/>
  <c r="D119" i="1"/>
  <c r="E119" i="1"/>
  <c r="F115" i="1"/>
  <c r="D115" i="1" s="1"/>
  <c r="E115" i="1"/>
  <c r="F111" i="1"/>
  <c r="D111" i="1" s="1"/>
  <c r="E111" i="1"/>
  <c r="F107" i="1"/>
  <c r="E107" i="1"/>
  <c r="D107" i="1"/>
  <c r="F103" i="1"/>
  <c r="D103" i="1"/>
  <c r="E103" i="1"/>
  <c r="E99" i="1"/>
  <c r="F99" i="1"/>
  <c r="D99" i="1"/>
  <c r="F95" i="1"/>
  <c r="D95" i="1" s="1"/>
  <c r="E95" i="1"/>
  <c r="F91" i="1"/>
  <c r="E91" i="1"/>
  <c r="D91" i="1"/>
  <c r="F87" i="1"/>
  <c r="D87" i="1"/>
  <c r="E87" i="1"/>
  <c r="D81" i="1"/>
  <c r="E81" i="1"/>
  <c r="F81" i="1"/>
  <c r="D65" i="1"/>
  <c r="E65" i="1"/>
  <c r="F65" i="1"/>
  <c r="E49" i="1"/>
  <c r="F49" i="1"/>
  <c r="D49" i="1" s="1"/>
  <c r="E33" i="1"/>
  <c r="F33" i="1"/>
  <c r="D33" i="1" s="1"/>
  <c r="D17" i="1"/>
  <c r="E17" i="1"/>
  <c r="F17" i="1"/>
  <c r="D144" i="1"/>
  <c r="E144" i="1"/>
  <c r="F144" i="1"/>
  <c r="E132" i="1"/>
  <c r="F132" i="1"/>
  <c r="D132" i="1" s="1"/>
  <c r="E120" i="1"/>
  <c r="F120" i="1"/>
  <c r="D120" i="1" s="1"/>
  <c r="E108" i="1"/>
  <c r="F108" i="1"/>
  <c r="D108" i="1"/>
  <c r="E96" i="1"/>
  <c r="D96" i="1"/>
  <c r="F96" i="1"/>
  <c r="E85" i="1"/>
  <c r="F85" i="1"/>
  <c r="D85" i="1" s="1"/>
  <c r="E37" i="1"/>
  <c r="F37" i="1"/>
  <c r="D37" i="1" s="1"/>
  <c r="F143" i="1"/>
  <c r="D143" i="1" s="1"/>
  <c r="E143" i="1"/>
  <c r="D142" i="1"/>
  <c r="E142" i="1"/>
  <c r="F142" i="1"/>
  <c r="D134" i="1"/>
  <c r="F134" i="1"/>
  <c r="E134" i="1"/>
  <c r="F126" i="1"/>
  <c r="D126" i="1"/>
  <c r="E126" i="1"/>
  <c r="D114" i="1"/>
  <c r="F114" i="1"/>
  <c r="E114" i="1"/>
  <c r="F106" i="1"/>
  <c r="D106" i="1"/>
  <c r="E106" i="1"/>
  <c r="F98" i="1"/>
  <c r="D98" i="1" s="1"/>
  <c r="E98" i="1"/>
  <c r="F94" i="1"/>
  <c r="D94" i="1"/>
  <c r="E94" i="1"/>
  <c r="F90" i="1"/>
  <c r="D90" i="1" s="1"/>
  <c r="E90" i="1"/>
  <c r="D77" i="1"/>
  <c r="E77" i="1"/>
  <c r="F77" i="1"/>
  <c r="E61" i="1"/>
  <c r="F61" i="1"/>
  <c r="D61" i="1" s="1"/>
  <c r="E45" i="1"/>
  <c r="F45" i="1"/>
  <c r="D45" i="1" s="1"/>
  <c r="D29" i="1"/>
  <c r="E29" i="1"/>
  <c r="F29" i="1"/>
  <c r="D13" i="1"/>
  <c r="E13" i="1"/>
  <c r="F13" i="1"/>
  <c r="E136" i="1"/>
  <c r="F136" i="1"/>
  <c r="D136" i="1"/>
  <c r="E124" i="1"/>
  <c r="D124" i="1"/>
  <c r="F124" i="1"/>
  <c r="E112" i="1"/>
  <c r="F112" i="1"/>
  <c r="D112" i="1"/>
  <c r="E100" i="1"/>
  <c r="F100" i="1"/>
  <c r="D100" i="1" s="1"/>
  <c r="E88" i="1"/>
  <c r="F88" i="1"/>
  <c r="D88" i="1"/>
  <c r="E5" i="1"/>
  <c r="F5" i="1"/>
  <c r="D5" i="1" s="1"/>
  <c r="F139" i="1"/>
  <c r="D139" i="1" s="1"/>
  <c r="E139" i="1"/>
  <c r="F131" i="1"/>
  <c r="D131" i="1"/>
  <c r="E131" i="1"/>
  <c r="D138" i="1"/>
  <c r="F138" i="1"/>
  <c r="E138" i="1"/>
  <c r="F130" i="1"/>
  <c r="D130" i="1" s="1"/>
  <c r="E130" i="1"/>
  <c r="D122" i="1"/>
  <c r="E122" i="1"/>
  <c r="F122" i="1"/>
  <c r="F118" i="1"/>
  <c r="D118" i="1"/>
  <c r="E118" i="1"/>
  <c r="E110" i="1"/>
  <c r="F110" i="1"/>
  <c r="D110" i="1" s="1"/>
  <c r="F102" i="1"/>
  <c r="D102" i="1"/>
  <c r="E102" i="1"/>
  <c r="D141" i="1"/>
  <c r="E141" i="1"/>
  <c r="F141" i="1"/>
  <c r="D137" i="1"/>
  <c r="E137" i="1"/>
  <c r="F137" i="1"/>
  <c r="E133" i="1"/>
  <c r="F133" i="1"/>
  <c r="D133" i="1" s="1"/>
  <c r="E129" i="1"/>
  <c r="F129" i="1"/>
  <c r="D129" i="1" s="1"/>
  <c r="D125" i="1"/>
  <c r="E125" i="1"/>
  <c r="F125" i="1"/>
  <c r="D121" i="1"/>
  <c r="E121" i="1"/>
  <c r="F121" i="1"/>
  <c r="E117" i="1"/>
  <c r="F117" i="1"/>
  <c r="D117" i="1" s="1"/>
  <c r="E113" i="1"/>
  <c r="F113" i="1"/>
  <c r="D113" i="1" s="1"/>
  <c r="D109" i="1"/>
  <c r="E109" i="1"/>
  <c r="F109" i="1"/>
  <c r="D105" i="1"/>
  <c r="E105" i="1"/>
  <c r="F105" i="1"/>
  <c r="E101" i="1"/>
  <c r="F101" i="1"/>
  <c r="D101" i="1" s="1"/>
  <c r="E97" i="1"/>
  <c r="F97" i="1"/>
  <c r="D97" i="1" s="1"/>
  <c r="D93" i="1"/>
  <c r="E93" i="1"/>
  <c r="F93" i="1"/>
  <c r="D89" i="1"/>
  <c r="E89" i="1"/>
  <c r="F89" i="1"/>
  <c r="E73" i="1"/>
  <c r="F73" i="1"/>
  <c r="D73" i="1" s="1"/>
  <c r="E57" i="1"/>
  <c r="F57" i="1"/>
  <c r="D57" i="1" s="1"/>
  <c r="D41" i="1"/>
  <c r="E41" i="1"/>
  <c r="F41" i="1"/>
  <c r="D25" i="1"/>
  <c r="E25" i="1"/>
  <c r="F25" i="1"/>
  <c r="E9" i="1"/>
  <c r="F9" i="1"/>
  <c r="D9" i="1" s="1"/>
  <c r="F83" i="1"/>
  <c r="D83" i="1"/>
  <c r="F79" i="1"/>
  <c r="D79" i="1"/>
  <c r="F75" i="1"/>
  <c r="D75" i="1"/>
  <c r="F71" i="1"/>
  <c r="D71" i="1"/>
  <c r="F67" i="1"/>
  <c r="D67" i="1"/>
  <c r="F63" i="1"/>
  <c r="D63" i="1"/>
  <c r="F59" i="1"/>
  <c r="D59" i="1"/>
  <c r="F55" i="1"/>
  <c r="D55" i="1"/>
  <c r="F51" i="1"/>
  <c r="D51" i="1"/>
  <c r="F47" i="1"/>
  <c r="D47" i="1"/>
  <c r="F43" i="1"/>
  <c r="D43" i="1"/>
  <c r="F39" i="1"/>
  <c r="D39" i="1"/>
  <c r="F35" i="1"/>
  <c r="D35" i="1"/>
  <c r="F31" i="1"/>
  <c r="D31" i="1"/>
  <c r="F27" i="1"/>
  <c r="D27" i="1"/>
  <c r="F23" i="1"/>
  <c r="D23" i="1"/>
  <c r="F19" i="1"/>
  <c r="D19" i="1"/>
  <c r="F15" i="1"/>
  <c r="D15" i="1"/>
  <c r="F11" i="1"/>
  <c r="D11" i="1"/>
  <c r="F7" i="1"/>
  <c r="D7" i="1"/>
  <c r="F3" i="1"/>
  <c r="D3" i="1"/>
  <c r="E83" i="1"/>
  <c r="E79" i="1"/>
  <c r="E75" i="1"/>
  <c r="E71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11" i="1"/>
  <c r="E7" i="1"/>
  <c r="E3" i="1"/>
  <c r="D86" i="1"/>
  <c r="E86" i="1"/>
  <c r="E84" i="1"/>
  <c r="F84" i="1"/>
  <c r="D84" i="1" s="1"/>
  <c r="D82" i="1"/>
  <c r="E82" i="1"/>
  <c r="E80" i="1"/>
  <c r="F80" i="1"/>
  <c r="D80" i="1" s="1"/>
  <c r="D78" i="1"/>
  <c r="E78" i="1"/>
  <c r="E76" i="1"/>
  <c r="F76" i="1"/>
  <c r="D76" i="1" s="1"/>
  <c r="D74" i="1"/>
  <c r="E74" i="1"/>
  <c r="E72" i="1"/>
  <c r="F72" i="1"/>
  <c r="D72" i="1" s="1"/>
  <c r="D70" i="1"/>
  <c r="E70" i="1"/>
  <c r="E68" i="1"/>
  <c r="F68" i="1"/>
  <c r="D68" i="1" s="1"/>
  <c r="D66" i="1"/>
  <c r="E66" i="1"/>
  <c r="E64" i="1"/>
  <c r="F64" i="1"/>
  <c r="D64" i="1" s="1"/>
  <c r="D62" i="1"/>
  <c r="E62" i="1"/>
  <c r="E60" i="1"/>
  <c r="F60" i="1"/>
  <c r="D60" i="1" s="1"/>
  <c r="D58" i="1"/>
  <c r="E58" i="1"/>
  <c r="E56" i="1"/>
  <c r="F56" i="1"/>
  <c r="D56" i="1" s="1"/>
  <c r="D54" i="1"/>
  <c r="E54" i="1"/>
  <c r="E52" i="1"/>
  <c r="F52" i="1"/>
  <c r="D52" i="1" s="1"/>
  <c r="D50" i="1"/>
  <c r="E50" i="1"/>
  <c r="E48" i="1"/>
  <c r="F48" i="1"/>
  <c r="D48" i="1" s="1"/>
  <c r="D46" i="1"/>
  <c r="E46" i="1"/>
  <c r="E44" i="1"/>
  <c r="F44" i="1"/>
  <c r="D44" i="1" s="1"/>
  <c r="D42" i="1"/>
  <c r="E42" i="1"/>
  <c r="E40" i="1"/>
  <c r="F40" i="1"/>
  <c r="D40" i="1" s="1"/>
  <c r="D38" i="1"/>
  <c r="E38" i="1"/>
  <c r="E36" i="1"/>
  <c r="F36" i="1"/>
  <c r="D36" i="1" s="1"/>
  <c r="D34" i="1"/>
  <c r="E34" i="1"/>
  <c r="E32" i="1"/>
  <c r="F32" i="1"/>
  <c r="D32" i="1" s="1"/>
  <c r="D30" i="1"/>
  <c r="E30" i="1"/>
  <c r="E28" i="1"/>
  <c r="F28" i="1"/>
  <c r="D28" i="1" s="1"/>
  <c r="D26" i="1"/>
  <c r="E26" i="1"/>
  <c r="E24" i="1"/>
  <c r="F24" i="1"/>
  <c r="D24" i="1" s="1"/>
  <c r="D22" i="1"/>
  <c r="E22" i="1"/>
  <c r="E20" i="1"/>
  <c r="F20" i="1"/>
  <c r="D20" i="1" s="1"/>
  <c r="D18" i="1"/>
  <c r="E18" i="1"/>
  <c r="E16" i="1"/>
  <c r="F16" i="1"/>
  <c r="D16" i="1" s="1"/>
  <c r="D14" i="1"/>
  <c r="E14" i="1"/>
  <c r="E12" i="1"/>
  <c r="F12" i="1"/>
  <c r="D12" i="1" s="1"/>
  <c r="D10" i="1"/>
  <c r="E10" i="1"/>
  <c r="E8" i="1"/>
  <c r="F8" i="1"/>
  <c r="D8" i="1" s="1"/>
  <c r="D6" i="1"/>
  <c r="E6" i="1"/>
  <c r="E4" i="1"/>
  <c r="F4" i="1"/>
  <c r="D4" i="1" s="1"/>
  <c r="D2" i="1"/>
  <c r="E2" i="1"/>
</calcChain>
</file>

<file path=xl/sharedStrings.xml><?xml version="1.0" encoding="utf-8"?>
<sst xmlns="http://schemas.openxmlformats.org/spreadsheetml/2006/main" count="297" uniqueCount="295">
  <si>
    <t>Estación suscriptora ARBA PRO 4900-5875MHz. Antena 23dBi (Requiere fuente alimentación)</t>
  </si>
  <si>
    <t>PROSU115023</t>
  </si>
  <si>
    <t>ESTACIÓN BASE 35MBPS ARBA PRO 4900-5875 MHZ. MAX 30 USR. CONECTOR N. (REQ. FUENTE ALIM.)</t>
  </si>
  <si>
    <t>PROBS1150N</t>
  </si>
  <si>
    <t>ANTENA YAGI 5,8GHZ 2MT RG-58 CABLE CONECTOR N-HEMBRA</t>
  </si>
  <si>
    <t>LPYAGI5815</t>
  </si>
  <si>
    <t>JACK CAT 6A RJ45 X-CLASS CON IDC DE 90° COLOR ROJO NO BLINDADOS CERTIFICADO UL</t>
  </si>
  <si>
    <t>LPXCAPUSRD</t>
  </si>
  <si>
    <t>JACK CAT 6 RJ45 PERFORMAX COLOR NEGRO NO BLINDADOS CERTIFICADOS UL/ETL/CSA</t>
  </si>
  <si>
    <t>LPXC6PUSBK</t>
  </si>
  <si>
    <t>MÓDULO DE ADAPTADORES CON 8 PIEZAS (8 NÚCLEOS) SIMPLEX SC UPC MONOMODO COLOR AZUL</t>
  </si>
  <si>
    <t>LPUASCS08UPC</t>
  </si>
  <si>
    <t>MÓDULO DE ADAPTADORES CON 8 PIEZAS (8 NÚCLEOS) SIMPLEX SC PC MULTIMODO OM3/OM4 COLOR AQUA</t>
  </si>
  <si>
    <t>LPUASCS08MM2</t>
  </si>
  <si>
    <t>MÓDULO DE ADAPTADORES CON 8 PIEZAS (8 NÚCLEOS) SIMPLEX SC APC MONOMODO COLOR VERDE</t>
  </si>
  <si>
    <t>LPUASCS08APC</t>
  </si>
  <si>
    <t>PANEL ADAPTADOR UNIFIBERT PARA ODF METALICO CON 8 PIEZAS DE ADAPTADORES LC MULTIMODO OM3/OM4 DUPLEX</t>
  </si>
  <si>
    <t>LPUALCD16MM2</t>
  </si>
  <si>
    <t>PANEL DE ADAPTADORES CON 6 PIEZAS (12 NÚCLEOS) DUPLEX LC PC OM3-OM4 COLOR AQUA</t>
  </si>
  <si>
    <t>LPUALCD12MM2</t>
  </si>
  <si>
    <t>PANEL ADAPTADOR UNIFIBERT PARA ODF METALICO CON 6 PIEZAS DE ADAPTADORES LC MONOMODO DUPLEX APC</t>
  </si>
  <si>
    <t>LPUALCD12APC</t>
  </si>
  <si>
    <t>PANEL ADAPTADOR TIPO TAPA CIEGA UNIFIBERT PARA ODF METALICOS SIN MÓDULOS SIN ORIFICIOS</t>
  </si>
  <si>
    <t>LPUA00000</t>
  </si>
  <si>
    <t>CONECTOR DE CAMPO MTPL BLINDADO RJ45 CAT6A PARA CABLES SOLIDOS Y MULTIFILAR 23-26 AWG</t>
  </si>
  <si>
    <t>LPTCRJ458P8CCAFS</t>
  </si>
  <si>
    <t>HERRAMIENTA PARA CORTE DE ALTA PRECISIÓN EN CABLES DE COBRE O METAL SUAVE</t>
  </si>
  <si>
    <t>LPT222C</t>
  </si>
  <si>
    <t>CABLE UTP INTERIOR CM CAT5E CCA CHAQUETA AZUL CERTIFICADO UL</t>
  </si>
  <si>
    <t>LPSICOLCE012BLB</t>
  </si>
  <si>
    <t>SWITCH GERENCIABLE 52 PUERTOS GIGABIT CON 48X10/100/1000MBPSPUERTOS POE INDEPEN+4 PUERT DE FIBRA+SFP</t>
  </si>
  <si>
    <t>LPSGW52484FP</t>
  </si>
  <si>
    <t>SWITCH POE DE 6 PUERTOS GIGABIT CON 4 PUERTOS POE + 2 PUERTOS SFP DE FIBRA FUENTE DE 65W</t>
  </si>
  <si>
    <t>LPSG642FP</t>
  </si>
  <si>
    <t>SWITCH POE GIGABIT DE 26 PUERTOS CON 24 GIGABIT PUERTOS POE + 2 PUERTOS SFP DE FIBRA FUENTE DE 400W</t>
  </si>
  <si>
    <t>LPSG26242FP</t>
  </si>
  <si>
    <t>SWITCH 24 PUERTOS 10/100/100MBPS GIGASPEED</t>
  </si>
  <si>
    <t>LPSG2400</t>
  </si>
  <si>
    <t>ANTENA SECTORIAL 5,8GHZ 15DB 120° CONECTOR N-HEMBRA</t>
  </si>
  <si>
    <t>LPSEC5815120</t>
  </si>
  <si>
    <t>CHASIS DE MONTAJE SOBRE RACK PARA 14 CONVERTIDORES DE MEDIO LANPRO. FUENTE DE PODER REDUNDANTE INCL.</t>
  </si>
  <si>
    <t>LPRKICF00</t>
  </si>
  <si>
    <t>PANEL VACIO EN ACERO 2U PARA GABINETES SERIE 8000</t>
  </si>
  <si>
    <t>LPR807BLK2U</t>
  </si>
  <si>
    <t>PANEL VACIO EN ACERO 1U PARA GABINETES SERIE 8000</t>
  </si>
  <si>
    <t>LPR807BLK1U</t>
  </si>
  <si>
    <t>BOLSA 50 UNIDADES TORNILLO CAPTIVO M6</t>
  </si>
  <si>
    <t>LPR707HWB50</t>
  </si>
  <si>
    <t>TRANSCEIVER SFP GIGABIT DUPLEX LC A ETHERNET MULTIMODO 850NM TRANSMISION HASTA 550M CON DDM</t>
  </si>
  <si>
    <t>LPOSFPSX01D</t>
  </si>
  <si>
    <t>TRANSCEIVER SFP GIGABIT SIMPLEX (1 HILO) LC A ETHERNET MONOMODO 1310NM / 20KM CON DDM (VTA 2 PCS)</t>
  </si>
  <si>
    <t>LPOSFPLX03DWA</t>
  </si>
  <si>
    <t>CABLE FO FFTH DE CAIDA 2 FIBRAS MONOMODO G657 AUTO SOPORTADO POR HILO DE ACERO CHAQUETA PE X 1KM</t>
  </si>
  <si>
    <t>LPOC33130027ZF10</t>
  </si>
  <si>
    <t>CABLE FO FFTH DE CAIDA 2 FIBRAS MONOMODO G657 AUTO SOPORTADO POR HILO DE ACERO CHAQUETA PE X 500M</t>
  </si>
  <si>
    <t>LPOC33130027ZF05</t>
  </si>
  <si>
    <t>CABLE FO FTTH TIPO DROP 1 FIBRA MONODOMO G657A1 AUTO SOPORTADO POR HILO DE ACERO 1KM</t>
  </si>
  <si>
    <t>LPOC33130017ZF10</t>
  </si>
  <si>
    <t>HERRAJE ANGULADO PARA 24 PUERTOS COMPLETAMENTE BLINDADO NO INCLUYE MODULOS</t>
  </si>
  <si>
    <t>LPIP24FS1</t>
  </si>
  <si>
    <t>CONVERTIDOR DE MEDIOS FIBRA INDIVIDUAL MONOMODO 10/100/1000M HASTA 20KM BIDI WDM 5VDC PUERTO SC (VENTA 2PCS)</t>
  </si>
  <si>
    <t>LPICF3100D201</t>
  </si>
  <si>
    <t>CONVERTIDOR DE MEDIOS DUAL GIGABIT MULTIMODO 10/100/1000M SOPORTA 500M DE TRANSMISIÓN 5VDC PUERTO SC</t>
  </si>
  <si>
    <t>LPICF3100051</t>
  </si>
  <si>
    <t>TAPA CIEGA DE COLOR BLANCO PARA CUBRIR ESPACIOS SIN USAR EN LOS FACEPLATES</t>
  </si>
  <si>
    <t>LPIBLNKWH</t>
  </si>
  <si>
    <t>TAPA CIEGA DE COLOR NEGRO PARA CUBRIR ESPACIOS SIN USAR EN LOS FACEPLATES</t>
  </si>
  <si>
    <t>LPIBLNKBK</t>
  </si>
  <si>
    <t>CONECTOR SC FUSIONLESS PARA FIBRA MONOMODO G.652.D PARA CABLES 2X3MM 1.6X2MM COLOR VERDE</t>
  </si>
  <si>
    <t>LPFLSCS17212</t>
  </si>
  <si>
    <t>CONECTOR SC FUSIONLESS PARA FIBRA MONOMODO G.652.D PARA CABLES 0.9MM Y 0.25MM COLOR AZUL</t>
  </si>
  <si>
    <t>LPFLSCS13112</t>
  </si>
  <si>
    <t>CONECTOR LC FUSIONLESS PARA FIBRA MULTIMODO OM3/OM4 PARA CABLES DE 0.9 Y 0.25MM COLOR AQUA</t>
  </si>
  <si>
    <t>LPFLLCM33512</t>
  </si>
  <si>
    <t>CONECTOR LC FUSIONLESS PARA FIBRA MULTIMODO OM3 IEC 60793-2-10 TIPO A</t>
  </si>
  <si>
    <t>LPFLLCM3151</t>
  </si>
  <si>
    <t>CONECTOR LC FUSIONLESS PARA FIBRA MULTIMODO OM1 IEC 60793-2-10 TIPO A 62,5/125µM BOTA BLANCA</t>
  </si>
  <si>
    <t>LPFLLCM1141</t>
  </si>
  <si>
    <t>BANDEJA DE PLÁSTICO BLANCO ABS PARA CIERRES DE EMPALME CILINDRICOS HASTA 24 NUCLEOS</t>
  </si>
  <si>
    <t>LPF73314FBK</t>
  </si>
  <si>
    <t>CIERRE DE EMPALME CILINDRICO MUFLAS PARA FO 1 PUERTO OVAL Y 3 PUERTOS CIRCULARES DIAM. 130 X 420 mm (ALTO)</t>
  </si>
  <si>
    <t>LPF3313DBK</t>
  </si>
  <si>
    <t>DIVISOR DE FIBRA OPTICA 1 A 16 CONECTORES SC APC FIBRAS SUELTAS MONOMODO G657</t>
  </si>
  <si>
    <t>LPF31A11161L</t>
  </si>
  <si>
    <t>DIVISOR DE FIBRA OPTICA 1 A 8 CONECTORES SC APC FIBRAS SUELTAS MONOMODO G657</t>
  </si>
  <si>
    <t>LPF31A11081L</t>
  </si>
  <si>
    <t>CIERRE DE EMPALMES TERMINALES DE FO 4 BANDEJAS HASTA 12 FIBRAS CADA UNA MONTAJE EN PARED Y POSTE</t>
  </si>
  <si>
    <t>LPF2324048BK16</t>
  </si>
  <si>
    <t>CAJA LIU EN PLASTICO ABS PARA FIBRA ÓPTICA CAPACIDAD DE 2 ADAPT. SIMPLEX SC SM/MM (NO INCLUIDOS)</t>
  </si>
  <si>
    <t>LPF2152IV00</t>
  </si>
  <si>
    <t>CAJA LIU EN PLASTICO ABS PARA FIBRA ÓPTICA CAPACIDAD DE 16 ADAPT. DUPLEX SC/LC SM/MM (NO INCLUIDOS)</t>
  </si>
  <si>
    <t>LPF205HOY00</t>
  </si>
  <si>
    <t>ODF METALICO PARA F.O.DE 2U MONTABLE EN RACK DE 19"HASTA 96 PUERTOS NO INCL. PANEL ADAPTADORES</t>
  </si>
  <si>
    <t>LPF1862IV</t>
  </si>
  <si>
    <t>ODF METALICO PARA F.O. MONTAJE EN PARED DIN HASTA 24 HILOS, NO INCL. PANEL ADAPTADORES</t>
  </si>
  <si>
    <t>LPF181AIV00</t>
  </si>
  <si>
    <t>ADAPTADOR FIBRA ÓPTICA PARA CAJA LIU PUERTOS DUPLEX LC-LC MONOMODO, PRECIO POR UNIDAD</t>
  </si>
  <si>
    <t>LPF1515S11</t>
  </si>
  <si>
    <t>ADAPTADORES DE FIBRA OPTICA PARA CAJA LIU DUPLEX LC MULTIMODO OM3 COLOR AQUA PAQ X 25UNID</t>
  </si>
  <si>
    <t>LPF1515M26</t>
  </si>
  <si>
    <t>ADAPTADOR FIBRA ÓPTICA PARA CAJA LIU PUERTOS DUPLEX SC-SC MONOMODO, AZUL, PRECIO POR UNIDAD</t>
  </si>
  <si>
    <t>LPF1507S11</t>
  </si>
  <si>
    <t>PATCH CORD FIBRA OPTICA SM G652 APC SC SIMPLEX CHAQUETA 2.0MM COLOR AMARILLO LSZH 3M</t>
  </si>
  <si>
    <t>LPF13S20S2027L3M</t>
  </si>
  <si>
    <t>PATCH CORD FIBRA ÓPTICA SM G652 LC DUPLEX A LC DUPLEX APC CHAQUETA 2.0MM COLOR AMARILLO LSZH 3M</t>
  </si>
  <si>
    <t>LPF13L20L2008L3M</t>
  </si>
  <si>
    <t>PATCH CORD FIBRA ÓPTICA MM OM3 LC DUPLEX PULITURA UPC CHAQUETA 2.0MM COLOR AQUA 10 GBIT LSZH 3M</t>
  </si>
  <si>
    <t>LPF13L10L1070L3M</t>
  </si>
  <si>
    <t>PATCH CORD FIBRA OPTICA MM OM3 PULITURA UPC SC DUPLEX CHAQUETA 3.0mm COLOR AQUA LSZH 10 GBIT 3M</t>
  </si>
  <si>
    <t>LPF13C10C1067L3M</t>
  </si>
  <si>
    <t>PIGTAIL FIBRA ÓPTICA MONOMODO G652 APC SIMPLEX CONECTOR SC CHAQUETA BLANCA PVC 0.9MM 1.5M</t>
  </si>
  <si>
    <t>LPF12S2000006P5F</t>
  </si>
  <si>
    <t>PIGTAIL FIBRA ÓPTICA MULTIMODO OM4 SIMPLEX CONECTOR SC CHAQUETA AQUA PVC 0.9MM 1M</t>
  </si>
  <si>
    <t>LPF12S1000077P1M</t>
  </si>
  <si>
    <t>PIGTAIL FIBRA ÓPTICA MONOMODO G652 SIMPLEX CONECTOR LC CHAQUETA BLANCA PVC 0.9MM 1,5M</t>
  </si>
  <si>
    <t>LPF12P1000006P5F</t>
  </si>
  <si>
    <t>CABLE UTP CAT6A SIN BLINDAR EXTERIOR 305 MTS 23AWG CHAQ PE NEGRA TESTEADO</t>
  </si>
  <si>
    <t>LPCA0N0BKCT</t>
  </si>
  <si>
    <t>CABLE UTP CAT6 INTERIOR SIN BLINDAR 305M 24AWG BC CHAQUETA CM COLOR AZUL UL CSA FT1 TESTEADO</t>
  </si>
  <si>
    <t>LPC6M10BLBT</t>
  </si>
  <si>
    <t>BOTAS DE PROTECCION PARA RJ45 COLOR AZUL</t>
  </si>
  <si>
    <t>LPB101BL</t>
  </si>
  <si>
    <t>RADIO ETHERNET SERIE ATREX BANDA DE 4.9-6.06GHZ CON POTENCIA DE SALIDA DE 27DBM MODULACIÓN MIMO 2X2</t>
  </si>
  <si>
    <t>LPATRX496027A31</t>
  </si>
  <si>
    <t>PIGTAIL CABLE RF CONECTORIZADO N-N MACHO 2M PARA ANTENA EXTERNA</t>
  </si>
  <si>
    <t>LP81147</t>
  </si>
  <si>
    <t>PIGTAIL CABLE RF CONECTORIZADO N-N MACHO 1M PARA ANTENA EXTERNA</t>
  </si>
  <si>
    <t>LP81146</t>
  </si>
  <si>
    <t>RADIO ENLACE - PUNTO DE ACCESO 5,8GHZ PARA EXTERIOR REQUIERE ANTENA EXTERNA</t>
  </si>
  <si>
    <t>LP5AMAX</t>
  </si>
  <si>
    <t>PUNTO DE ACCESO 5,8GHZ PARA USO EXTERIOR ANTENA INCORPORADA DE 16DBI</t>
  </si>
  <si>
    <t>LP583AI</t>
  </si>
  <si>
    <t>PATCH CORD ULTRADELGADO CAT6A BLINDADO S/FTP PARA CENTRO DE DATOS COLOR ROJO CHAQUETA LSZH 2M</t>
  </si>
  <si>
    <t>LP4CADFCRD2L</t>
  </si>
  <si>
    <t>PATCH CORD ULTRADELGADO CAT6A BLINDADO S/FTP PARA CENTRO DE DATOS COLOR ROJO CHAQUETA LSZH 1M</t>
  </si>
  <si>
    <t>LP4CADFCRD1L</t>
  </si>
  <si>
    <t>PATCH CORD ULTRADELGADO CAT6A BLINDADO S/FTP PARA CENTRO DE DATOS COLOR ROJO CHAQUETA LSZH 0,5M</t>
  </si>
  <si>
    <t>LP4CADFCRD05L</t>
  </si>
  <si>
    <t>PATCH CORD ULTRADELGADO CAT6A BLINDADO S/FTP PARA CENTRO DE DATOS COLOR AZUL CHAQUETA LSZH 6M</t>
  </si>
  <si>
    <t>LP4CADFCBL6L</t>
  </si>
  <si>
    <t>PATCH CORD ULTRADELGADO CAT6A BLINDADO S/FTP PARA CENTRO DE DATOS COLOR AZUL CHAQUETA CM 1.5M</t>
  </si>
  <si>
    <t>LP4CADFCBL5FLCL</t>
  </si>
  <si>
    <t>PATCH CORD ULTRADELGADO CAT6A BLINDADO S/FTP PARA CENTRO DE DATOS COLOR AZUL CHAQUETA LSZH 3M</t>
  </si>
  <si>
    <t>LP4CADFCBL3L</t>
  </si>
  <si>
    <t>PATCH CORD ULTRADELGADO CAT6A BLINDADO S/FTP PARA CENTRO DE DATOS COLOR AZUL CHAQUETA LSZH 2M</t>
  </si>
  <si>
    <t>LP4CADFCBL2L</t>
  </si>
  <si>
    <t>PATCH CORD CAT6 ULTRADELGADO MULTIFILAR SIN BLINDAR 26AWG PARA CENTRO DE DATOS CHAQUETA CM ROJA 3M</t>
  </si>
  <si>
    <t>LP4C6DUCRD3C</t>
  </si>
  <si>
    <t>PATCH CORD CAT6 ULTRADELGADO MULTIFILAR SIN BLINDAR 26AWG PARA CENTRO DE DATOS CHAQUETA CM ROJA 2M</t>
  </si>
  <si>
    <t>LP4C6DUCRD2C</t>
  </si>
  <si>
    <t>PATCH CORD CAT6 ULTRADELGADO MULTIFILAR SIN BLINDAR PARA CENTRO DE DATOS 26AWG CHAQUETA CM ROJA 1M</t>
  </si>
  <si>
    <t>LP4C6DUCRD1C</t>
  </si>
  <si>
    <t>PATCH CORD CAT6 ULTRADELGADO SIN BLINDAR 26AWG MULTIFILAR PARA CENTRO DE DATOS CHAQUETA CM ROJA 0,5M</t>
  </si>
  <si>
    <t>LP4C6DUCRD05C</t>
  </si>
  <si>
    <t>PATCH CORD CAT6 ULTRADELGADO SIN BLINDAR 26AWG MULTIFILAR PARA CENTRO DE DATOS CHAQUETA CM AZUL 2M</t>
  </si>
  <si>
    <t>LP4C6DUCBL2C</t>
  </si>
  <si>
    <t>FACEPLATE SUPERFICIAL BLANCA ORIENTACIÓN VERTICAL DE 6 PUERTOS NO INCLUYE MÓDULOS</t>
  </si>
  <si>
    <t>LP3317V6WH</t>
  </si>
  <si>
    <t>UNIDAD PTP ARBA LINK SERIE CERO 10MBPS 4900-5875MHZ. ANT 15DBI. (REQ FUENTE ALIM)</t>
  </si>
  <si>
    <t>LNKLU0501520</t>
  </si>
  <si>
    <t>SWITCH POE CAPA 3 24P GIGABIT + 4P GIGABIT SFP UPLINK IEEE 802.3 AF/AT SALIDA TOTAL MAX 370W</t>
  </si>
  <si>
    <t>G5328P-24-410W</t>
  </si>
  <si>
    <t>CODO ARRIBA ABAJO PLASTICO EN ABS 32*12 MARCA QUEST</t>
  </si>
  <si>
    <t>CP6090</t>
  </si>
  <si>
    <t>CODO EXTERNO PLASTICO EN ABS 13X7 BLANCO</t>
  </si>
  <si>
    <t>CP6039</t>
  </si>
  <si>
    <t>CODO ARRIBA ABAJO PLASTICO EN ABS 13X7</t>
  </si>
  <si>
    <t>CP6038</t>
  </si>
  <si>
    <t>UNION PLASTICA EN ABS 13X7 BLANCA</t>
  </si>
  <si>
    <t>CP6036</t>
  </si>
  <si>
    <t>CODO INTERNO PLASTICO EN ABS 13X7 BLANCO</t>
  </si>
  <si>
    <t>CP6034</t>
  </si>
  <si>
    <t>UNIÓN PLÁSTICO 20X12 BLANCO</t>
  </si>
  <si>
    <t>CP6014</t>
  </si>
  <si>
    <t>CODO PLANO PLÁSTICO 20X12 BLANCO</t>
  </si>
  <si>
    <t>CP6010</t>
  </si>
  <si>
    <t>CODO INTERNO DE 40X22 MM - MARCA QUEST</t>
  </si>
  <si>
    <t>CP6004</t>
  </si>
  <si>
    <t>RADIO ENLACE PTO A PTO Y MULTIPTO 5.8GHz 802.11A/N/AC 867MBPS IP67 TRANSMISION HASTA 20KM</t>
  </si>
  <si>
    <t>CP5-1200</t>
  </si>
  <si>
    <t>BANDEJA SENCILLA LISA FORMATO 19" PROFUNDIDAD 10.5" DE 1 RU - MARCA QUEST</t>
  </si>
  <si>
    <t>BL1001</t>
  </si>
  <si>
    <t>ESTACIÓN BASE 802.16 EN BANDA 5GHz</t>
  </si>
  <si>
    <t>AXSBS150N</t>
  </si>
  <si>
    <t>ANTENA SECTORIAL 120° 5GHZ DE 19DBI MIMO 2X2 HASTA 3KM DOBLE POLARIZACION PARA USO CON ESTACION BS6</t>
  </si>
  <si>
    <t>ANT19-5G120</t>
  </si>
  <si>
    <t>ANTENA SECTORIAL 120° 5GHZ DE 16DBI MIMO 2X2 HASTA 3KM DOBLE POLARIZACION PARA USO CON ESTACION BS6</t>
  </si>
  <si>
    <t>ANT16-5G120</t>
  </si>
  <si>
    <t>ANTENA OMNIDIRECCIONAL 5GHZ DE 12DBI MIMO 2X2 HASTA 1KM DOBLE POLARIZACION PARA USO CON ESTACION BS6</t>
  </si>
  <si>
    <t>ANT12-5G360</t>
  </si>
  <si>
    <t>SUPRESOR DE DESCARGAS RF</t>
  </si>
  <si>
    <t>ACCSSRF</t>
  </si>
  <si>
    <t>ALIMENTADOR POE ACTIVO ENTRADA 100-240 VAC, 15.4W, CABLE AMERICANO</t>
  </si>
  <si>
    <t>ACCPOE57AC15US</t>
  </si>
  <si>
    <t>CABLE RF CONECTORIZADO N</t>
  </si>
  <si>
    <t>ACCCRF01</t>
  </si>
  <si>
    <t>ANTENA PARA RADIOCOMUNICACION 5GHZ</t>
  </si>
  <si>
    <t>ACCA60S</t>
  </si>
  <si>
    <t>PATCH CORD FIBRA ÓPTICA MM OM4 LC DUPLEX PULITURA UPC CHAQUETA 2.0MM COLOR AQUA 10 GBIT LSZH 3M</t>
  </si>
  <si>
    <t>LPF13L10L1081L3M</t>
  </si>
  <si>
    <t>PIGTAIL FIBRA ÓPTICA MULTIMODO OM3 SIMPLEX CONECTOR SC CHAQUETA AQUA 10GBIT PVC 0.9MM 1M</t>
  </si>
  <si>
    <t>LPF12S1000066P1M</t>
  </si>
  <si>
    <t>SWITCH POE 8 PUERTOS 10/100MBPS + 1 PUERTO 10/100MBPS UPLINK IEEE 802.3 AF/AT SALIDA TOTAL MAX 92W</t>
  </si>
  <si>
    <t>F1109P-8-102W</t>
  </si>
  <si>
    <t>CONECTOR RJ45 CAT 6 SIN BLINDAJE DE UNA SOLA PIEZA PARA CONDUCTORES SÓLIDOS AWG 23-26 PAQX100</t>
  </si>
  <si>
    <t>PAQ100-LPRJ458P8CC6US11</t>
  </si>
  <si>
    <t>JACK CAT 6A RJ45 PERFORMAX® COMPLETAMENTE BLINDADO CERTIFICADOS UL/ETL/CSA</t>
  </si>
  <si>
    <t>LPXCAQFSDC</t>
  </si>
  <si>
    <t>PANEL ADAPTADOR UNIFIBERT PARA ODF METALICO CON 8 PIEZAS DE ADAPTADORES LC MONOMODO DUPLEX</t>
  </si>
  <si>
    <t>LPUALCD16UPC</t>
  </si>
  <si>
    <t>HERRAMIENTA UNIVERSAL PARA PELAR CABLES CON CHAQUETA CIRCULAR DE 3,2 - 9MM</t>
  </si>
  <si>
    <t>LPTS501A</t>
  </si>
  <si>
    <t>HERRAMIENTA, PELACABLES DE FIBRA OPTICA</t>
  </si>
  <si>
    <t>LPTFSTRP01</t>
  </si>
  <si>
    <t>CONECTOR INDUSTRAL RJ45 CAT6 PARA CONDUCTORES DE CABLE SOLIDO AWG23 O ENTORCHADO AWG26-22</t>
  </si>
  <si>
    <t>LPTCRJ458P8CC6</t>
  </si>
  <si>
    <t>SWITCH POE ADMINISTRABLE 28 PUERTOS + 4 PTOS COMBO RJ45 Y 4 SLOTS SFP TODOS A GBIT FUENTE DE 350W</t>
  </si>
  <si>
    <t>LPSGW28244FP</t>
  </si>
  <si>
    <t>ORGANIZADOR DE CABLES PLASTICO HORIZONTAL ANCHO 19" Y 2U DE ALTURA</t>
  </si>
  <si>
    <t>LPRU07HPO02</t>
  </si>
  <si>
    <t>BANDEJA DE 19" DE ANCHO PROFUNDIDAD 315MM ALTURA 1U PARA RACK ABIERTO SERIE 7000</t>
  </si>
  <si>
    <t>LPR707LS3151U</t>
  </si>
  <si>
    <t>TRANSCEPTOR SFP GIGABIT DUPLEX LC A ETHERNET MULTIMODO 1310nm TRANSMISION HASTA 550m CON DDM</t>
  </si>
  <si>
    <t>LPOSFPLX01D</t>
  </si>
  <si>
    <t>TRANSCEPTOR SFP GIGABIT DUPLEX LC A ETHERNET MULTIMODO 1310NM TRANSMISION HASTA 2KM CON DDM</t>
  </si>
  <si>
    <t>LPOSFPFX01D</t>
  </si>
  <si>
    <t>CIERRE DE EMPALME CILINDRICO MUFLAS PARA FO 1 PUERTO OVAL Y 4 PUERTOS CIRCULARES DIAM. 150 X 509,1mm (ALTO)</t>
  </si>
  <si>
    <t>LPF3314FBK</t>
  </si>
  <si>
    <t>PATCH CORD FIBRA ÓPTICA MM OM4 LC DUPLEX A SC DUPLEX UPC CHAQUETA 2.0MM COLOR AQUA 10 GBIT LSZH 3M</t>
  </si>
  <si>
    <t>LPF13L10C1081L3M</t>
  </si>
  <si>
    <t>CABLE F/UTP CAT6A BLINDADO USO INTERIOR 23AWG CHAQ. LSZH COLOR VIOLETA CERTIFICADO DELTA TESTEADO</t>
  </si>
  <si>
    <t>LPCA3J0VLCT</t>
  </si>
  <si>
    <t>CABLE UTP CAT6A SIN BLINDAR USO INTERIOR 23AWG CHAQUETA LSZH COLOR VIOLETA CERTIFICAD DELTA TESTEADO</t>
  </si>
  <si>
    <t>LPCA0J0VLBT</t>
  </si>
  <si>
    <t>CABLE F/UTP CAT6 BLINDADO PARA EXTERIORES ROLLO 305M 24AWG BC DOBLE CHAQUETA CMX+PE NEGRO TESTEADO</t>
  </si>
  <si>
    <t>LPC6Q70BKCT</t>
  </si>
  <si>
    <t>CABLE U/UTP CAT6 SIN BLINDAR PARA EXTERIOR ROLLO 305M 24AWG BC CHAQUETA SIMPLE PE NEGRO TESTEADO</t>
  </si>
  <si>
    <t>LPC6MN0BKCT</t>
  </si>
  <si>
    <t>PATCH CORD ULTRADELGADO CAT6A BLINDADO S/FTP PARA CENTRO DE DATOS COLOR GRIS CHAQUETA LSZH 1M</t>
  </si>
  <si>
    <t>LP4CADFCGR1L</t>
  </si>
  <si>
    <t>FACEPLATE SUPERFICIAL BLANCA ORIENTACIÓN HORIZONTAL DE 1 PUERTO NO INCLUYE MÓDULOS</t>
  </si>
  <si>
    <t>LP3317H1WH</t>
  </si>
  <si>
    <t>CONVERTIDORES DE MEDIO 10/100/1000MBPS FIBRA DUAL CONECTOR SC MONOMODO SOPORTA HASTA 20KM</t>
  </si>
  <si>
    <t>LPICF3100201</t>
  </si>
  <si>
    <t>CAJA LIU EN PLASTICO ABS PARA FIBRA ÓPTICA CAPACIDAD DE 4 ADAPT. DUPLEX SC/LC SM/MM (NO INCLUIDOS)</t>
  </si>
  <si>
    <t>LPF205GOY00</t>
  </si>
  <si>
    <t>PIGTAIL FIBRA OPTICA MULTIMODO OM3 SIMPLEX CONECTOR LC CHAQUETA AQUA PVC 0.9MM 1,5M</t>
  </si>
  <si>
    <t>LPF12P1000066P5F</t>
  </si>
  <si>
    <t>JACK CAT 6A RJ45 X-CLASS CON IDC DE 90° COLOR AZUL NO BLINDADOS CERTIFICADO UL</t>
  </si>
  <si>
    <t>LPXCAPUSBL</t>
  </si>
  <si>
    <t>JACK CAT 6A RJ45 X-CLASS CON IDC DE 90° COLOR NEGRO NO BLINDADOS CERTIFICADO UL</t>
  </si>
  <si>
    <t>LPXCAPUSBK</t>
  </si>
  <si>
    <t>JACK CAT 6 RJ45 PERFORMAX® COLOR ROJO NO BLINDADOS CERTIFICADOS UL/ETL/CSA</t>
  </si>
  <si>
    <t>LPXC6PUSRD</t>
  </si>
  <si>
    <t>JACK CAT 6 RJ45 PERFORMAX® COLOR AZUL NO BLINDADOS CERTIFICADOS UL/ETL/CSA</t>
  </si>
  <si>
    <t>LPXC6PUSBL</t>
  </si>
  <si>
    <t>CAJA LIU EN PLASTICO ABS PARA FIBRA ÓPTICA CAPACIDAD DE 8 ADAPT. DUPLEX SC/LC/FC (NO INCLUIDOS)</t>
  </si>
  <si>
    <t>LPF2058OY00</t>
  </si>
  <si>
    <t>ADAPTADORES FIBRA ÓPTICA PARA CAJA LIU PUERTOS DUPLEX SC-SC MULTIMODO, BEIGE, PAQX20UND</t>
  </si>
  <si>
    <t>LPF1508M13</t>
  </si>
  <si>
    <t>PATCH CORD FIBRA OPTICA SM G652 UPC SC SIMPLEX CHAQUETA 2.0MM COLOR AMARILLO LSZH 3M</t>
  </si>
  <si>
    <t>LPF13S10S1027L3M</t>
  </si>
  <si>
    <t>PATCH CORD FIBRA ÓPTICA SM G652 DUPLEX LC DUPLEX A SC SIMPLEX CHAQUETA AMARILLA 2.0 MM LSZH 3M</t>
  </si>
  <si>
    <t>LPF13L10S1027L3M</t>
  </si>
  <si>
    <t>PATCH CORD FIBRA ÓPTICA SM G652 LC DUPLEX PULITURA UPC CHAQUETA 2.0MM COLOR AMARILLO LSZH 3M</t>
  </si>
  <si>
    <t>LPF13L10L1027L3M</t>
  </si>
  <si>
    <t>PIGTAIL FIBRA ÓPTICA MONOMODO G652 SIMPLEX CONECTOR SC CHAQUETA BLANCA PVC 0.9MM 1M</t>
  </si>
  <si>
    <t>LPF12S1000006P1M</t>
  </si>
  <si>
    <t>PIGTAIL FIBRA ÓPTICA MONOMODO G652 SIMPLEX CONECTOR LC CHAQUETA BLANCA PVC 0.9MM 1M</t>
  </si>
  <si>
    <t>LPF12P1000006P1M</t>
  </si>
  <si>
    <t>PATCH CORD ULTRADELGADO CAT6A BLINDADO S/FTP PARA CENTRO DE DATOS COLOR AZUL CHAQUETA LSZH 1M</t>
  </si>
  <si>
    <t>LP4CADFCBL1L</t>
  </si>
  <si>
    <t>PATCH CORD ULTRADELGADO CAT6A BLINDADO S/FTP PARA CENTRO DE DATOS COLOR AZUL CHAQUETA LSZH 0,5M</t>
  </si>
  <si>
    <t>LP4CADFCBL05L</t>
  </si>
  <si>
    <t>PATCH CORD CAT6 ULTRADELGADO SIN BLINDAR 26AWG MULTIFILAR PARA CENTRO DE DATOS CHAQUETA CM AZUL 6M</t>
  </si>
  <si>
    <t>LP4C6DUCBL6C</t>
  </si>
  <si>
    <t>PATCH CORD CAT6 ULTRADELGADO SIN BLINDAR 26AWG MULTIFILAR PARA CENTRO DE DATOS CHAQUETA CM AZUL 3M</t>
  </si>
  <si>
    <t>LP4C6DUCBL3C</t>
  </si>
  <si>
    <t>PATCH CORD CAT6 SIN BLINDAR 26AWG MULTIFILAR PARA CENTRO DE DATOS CHAQUETA CM AZUL 1M</t>
  </si>
  <si>
    <t>LP4C6DUCBL1C</t>
  </si>
  <si>
    <t>PATCH CORD CAT6 SIN BLINDAR 26AWG MULTIFILAR PARA CENTRO DE DATOS CHAQUETA CM AZUL 0,5M</t>
  </si>
  <si>
    <t>LP4C6DUCBL05C</t>
  </si>
  <si>
    <t>PATCH CORD CAT6 ULTRADELGADO SIN BLINDAR 26AWG MULTIFILAR PARA CENTRO DE DATOS CHAQUETA CM AZUL 0,3M</t>
  </si>
  <si>
    <t>LP4C6DUCBL03C</t>
  </si>
  <si>
    <t>COSTO</t>
  </si>
  <si>
    <t>Columna8</t>
  </si>
  <si>
    <t>Columna7</t>
  </si>
  <si>
    <t>COSTO +IVA</t>
  </si>
  <si>
    <t>Columna5</t>
  </si>
  <si>
    <t>Columna2</t>
  </si>
  <si>
    <t>PRECIO CLIENTE FINAL (CON IVA)</t>
  </si>
  <si>
    <t>PRECIO TIENDA (CON IVA)</t>
  </si>
  <si>
    <t>PRECIO SUGERIDO INSTALADOR
( CON  IVA)</t>
  </si>
  <si>
    <t>DESCRIPCIÓN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</si>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</sst>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AED]\ #,##0.00;\([$AED]\ #,##0.00\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165" fontId="1" fillId="0" borderId="0"/>
    <xf numFmtId="0" fontId="6" fillId="0" borderId="0"/>
    <xf numFmtId="0" fontId="7" fillId="0" borderId="0">
      <alignment vertical="top"/>
    </xf>
  </cellStyleXfs>
  <cellXfs count="16">
    <xf numFmtId="0" fontId="0" fillId="0" borderId="0" xfId="0"/>
    <xf numFmtId="0" fontId="5" fillId="0" borderId="0" xfId="0" applyFont="1"/>
    <xf numFmtId="164" fontId="5" fillId="0" borderId="0" xfId="1" applyNumberFormat="1" applyFont="1"/>
    <xf numFmtId="164" fontId="5" fillId="0" borderId="0" xfId="1" applyNumberFormat="1" applyFont="1" applyFill="1"/>
    <xf numFmtId="164" fontId="5" fillId="0" borderId="0" xfId="1" applyNumberFormat="1" applyFont="1" applyAlignment="1">
      <alignment wrapText="1"/>
    </xf>
    <xf numFmtId="164" fontId="5" fillId="0" borderId="1" xfId="1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164" fontId="2" fillId="0" borderId="0" xfId="1" applyNumberFormat="1" applyFont="1" applyFill="1"/>
    <xf numFmtId="164" fontId="0" fillId="0" borderId="0" xfId="1" applyNumberFormat="1" applyFont="1" applyAlignment="1">
      <alignment wrapText="1"/>
    </xf>
    <xf numFmtId="164" fontId="0" fillId="0" borderId="1" xfId="1" applyNumberFormat="1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/>
    <xf numFmtId="164" fontId="4" fillId="0" borderId="0" xfId="1" applyNumberFormat="1" applyFont="1"/>
    <xf numFmtId="164" fontId="3" fillId="2" borderId="2" xfId="1" applyNumberFormat="1" applyFont="1" applyFill="1" applyBorder="1" applyAlignment="1">
      <alignment horizontal="center" vertical="center" wrapText="1"/>
    </xf>
    <xf numFmtId="165" fontId="3" fillId="2" borderId="2" xfId="2" applyFont="1" applyFill="1" applyBorder="1" applyAlignment="1">
      <alignment horizontal="center" vertical="center" wrapText="1"/>
    </xf>
  </cellXfs>
  <cellStyles count="5">
    <cellStyle name="Moneda" xfId="1" builtinId="4"/>
    <cellStyle name="Normal" xfId="0" builtinId="0"/>
    <cellStyle name="Normal 2 2 2" xfId="3" xr:uid="{FCDACA1D-3E31-4565-9DB5-0879049F8D54}"/>
    <cellStyle name="Normal 2 58" xfId="2" xr:uid="{98ACB23E-D852-45F5-9929-4856EB74FC8D}"/>
    <cellStyle name="Normal 4 2" xfId="4" xr:uid="{DA9ECA8C-AD7A-4CCD-A231-11BF9471DF2D}"/>
  </cellStyles>
  <dxfs count="15"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A77E6-5305-4FB8-851A-E7F23BC19F56}" name="Tabla125" displayName="Tabla125" ref="A1:K144" totalsRowShown="0" headerRowDxfId="14" dataDxfId="13">
  <autoFilter ref="A1:K144" xr:uid="{00000000-0009-0000-0100-000001000000}"/>
  <sortState xmlns:xlrd2="http://schemas.microsoft.com/office/spreadsheetml/2017/richdata2" ref="A2:K144">
    <sortCondition sortBy="fontColor" ref="A1:A144" dxfId="12"/>
  </sortState>
  <tableColumns count="11">
    <tableColumn id="3" xr3:uid="{00000000-0010-0000-0000-000003000000}" name="REFERENCIA" dataDxfId="11"/>
    <tableColumn id="4" xr3:uid="{00000000-0010-0000-0000-000004000000}" name="DESCRIPCIÓN" dataDxfId="10"/>
    <tableColumn id="1" xr3:uid="{F2CAF0D9-3C45-4033-99B6-E9B292DCC044}" name="PRECIO SUGERIDO INSTALADOR_x000a_( CON  IVA)" dataDxfId="9" dataCellStyle="Moneda">
      <calculatedColumnFormula>+Tabla125[[#This Row],[COSTO +IVA]]/Tabla125[[#This Row],[Columna5]]</calculatedColumnFormula>
    </tableColumn>
    <tableColumn id="10" xr3:uid="{B5856D0F-0D06-4848-AFD9-403800CB0E4C}" name="PRECIO TIENDA (CON IVA)" dataDxfId="8" dataCellStyle="Moneda">
      <calculatedColumnFormula>+Tabla125[[#This Row],[PRECIO SUGERIDO INSTALADOR
( CON  IVA)]]-Tabla125[[#This Row],[Columna2]]</calculatedColumnFormula>
    </tableColumn>
    <tableColumn id="11" xr3:uid="{5E75A9AC-937F-44C2-82B3-A45AE297ABB6}" name="PRECIO CLIENTE FINAL (CON IVA)" dataDxfId="7" dataCellStyle="Moneda">
      <calculatedColumnFormula>+Tabla125[[#This Row],[PRECIO SUGERIDO INSTALADOR
( CON  IVA)]]/0.7</calculatedColumnFormula>
    </tableColumn>
    <tableColumn id="2" xr3:uid="{92AD76F7-0DBE-4CE2-B11C-7591EFAFCD01}" name="Columna2" dataDxfId="6" dataCellStyle="Moneda">
      <calculatedColumnFormula>+Tabla125[[#This Row],[PRECIO SUGERIDO INSTALADOR
( CON  IVA)]]*5%</calculatedColumnFormula>
    </tableColumn>
    <tableColumn id="5" xr3:uid="{00000000-0010-0000-0000-000005000000}" name="Columna5" dataDxfId="5"/>
    <tableColumn id="6" xr3:uid="{00000000-0010-0000-0000-000006000000}" name="COSTO +IVA" dataDxfId="4" dataCellStyle="Moneda">
      <calculatedColumnFormula>Tabla125[[#This Row],[COSTO]]*1.19</calculatedColumnFormula>
    </tableColumn>
    <tableColumn id="7" xr3:uid="{00000000-0010-0000-0000-000007000000}" name="Columna7" dataDxfId="3"/>
    <tableColumn id="8" xr3:uid="{00000000-0010-0000-0000-000008000000}" name="Columna8" dataDxfId="2"/>
    <tableColumn id="9" xr3:uid="{00000000-0010-0000-0000-000009000000}" name="COSTO" dataDxfId="1" dataCellStyle="Moned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5A16-3DB3-476E-841B-B2D14BC1CF66}">
  <dimension ref="A1:K144"/>
  <sheetViews>
    <sheetView tabSelected="1" zoomScale="115" zoomScaleNormal="115" workbookViewId="0">
      <selection activeCell="E1" sqref="E1"/>
    </sheetView>
  </sheetViews>
  <sheetFormatPr baseColWidth="10" defaultRowHeight="15" x14ac:dyDescent="0.25"/>
  <cols>
    <col min="1" max="1" width="27" style="1" bestFit="1" customWidth="1"/>
    <col min="2" max="2" width="42.28515625" style="1" customWidth="1"/>
    <col min="3" max="3" width="17.140625" style="2" customWidth="1"/>
    <col min="4" max="5" width="16" style="2" customWidth="1"/>
    <col min="6" max="6" width="16" style="2" hidden="1" customWidth="1"/>
    <col min="7" max="7" width="6" style="1" hidden="1" customWidth="1"/>
    <col min="8" max="8" width="12.7109375" style="1" hidden="1" customWidth="1"/>
    <col min="9" max="9" width="4.28515625" style="1" hidden="1" customWidth="1"/>
    <col min="10" max="10" width="3.7109375" style="1" hidden="1" customWidth="1"/>
    <col min="11" max="11" width="12.5703125" style="1" hidden="1" customWidth="1"/>
    <col min="12" max="12" width="0" style="1" hidden="1" customWidth="1"/>
    <col min="13" max="16384" width="11.42578125" style="1"/>
  </cols>
  <sheetData>
    <row r="1" spans="1:11" ht="63" customHeight="1" x14ac:dyDescent="0.25">
      <c r="A1" s="15" t="s">
        <v>294</v>
      </c>
      <c r="B1" s="15" t="s">
        <v>293</v>
      </c>
      <c r="C1" s="14" t="s">
        <v>292</v>
      </c>
      <c r="D1" s="14" t="s">
        <v>291</v>
      </c>
      <c r="E1" s="14" t="s">
        <v>290</v>
      </c>
      <c r="F1" s="13" t="s">
        <v>289</v>
      </c>
      <c r="G1" s="12" t="s">
        <v>288</v>
      </c>
      <c r="H1" s="12" t="s">
        <v>287</v>
      </c>
      <c r="I1" s="12" t="s">
        <v>286</v>
      </c>
      <c r="J1" s="12" t="s">
        <v>285</v>
      </c>
      <c r="K1" s="12" t="s">
        <v>284</v>
      </c>
    </row>
    <row r="2" spans="1:11" ht="45" x14ac:dyDescent="0.25">
      <c r="A2" s="7" t="s">
        <v>283</v>
      </c>
      <c r="B2" s="6" t="s">
        <v>282</v>
      </c>
      <c r="C2" s="5">
        <f>+Tabla125[[#This Row],[COSTO +IVA]]/Tabla125[[#This Row],[Columna5]]</f>
        <v>7836.5853658536589</v>
      </c>
      <c r="D2" s="5">
        <f>+Tabla125[[#This Row],[PRECIO SUGERIDO INSTALADOR
( CON  IVA)]]-Tabla125[[#This Row],[Columna2]]</f>
        <v>7444.7560975609758</v>
      </c>
      <c r="E2" s="5">
        <f>+Tabla125[[#This Row],[PRECIO SUGERIDO INSTALADOR
( CON  IVA)]]/0.7</f>
        <v>11195.121951219513</v>
      </c>
      <c r="F2" s="4">
        <f>+Tabla125[[#This Row],[PRECIO SUGERIDO INSTALADOR
( CON  IVA)]]*5%</f>
        <v>391.82926829268297</v>
      </c>
      <c r="G2" s="1">
        <v>0.82</v>
      </c>
      <c r="H2" s="3">
        <f>Tabla125[[#This Row],[COSTO]]*1.19</f>
        <v>6426</v>
      </c>
      <c r="K2" s="8">
        <v>5400</v>
      </c>
    </row>
    <row r="3" spans="1:11" ht="45" x14ac:dyDescent="0.25">
      <c r="A3" s="7" t="s">
        <v>281</v>
      </c>
      <c r="B3" s="6" t="s">
        <v>280</v>
      </c>
      <c r="C3" s="5">
        <f>+Tabla125[[#This Row],[COSTO +IVA]]/Tabla125[[#This Row],[Columna5]]</f>
        <v>8417.0731707317082</v>
      </c>
      <c r="D3" s="5">
        <f>+Tabla125[[#This Row],[PRECIO SUGERIDO INSTALADOR
( CON  IVA)]]-Tabla125[[#This Row],[Columna2]]</f>
        <v>7996.2195121951227</v>
      </c>
      <c r="E3" s="5">
        <f>+Tabla125[[#This Row],[PRECIO SUGERIDO INSTALADOR
( CON  IVA)]]/0.7</f>
        <v>12024.39024390244</v>
      </c>
      <c r="F3" s="4">
        <f>+Tabla125[[#This Row],[PRECIO SUGERIDO INSTALADOR
( CON  IVA)]]*5%</f>
        <v>420.85365853658544</v>
      </c>
      <c r="G3" s="1">
        <v>0.82</v>
      </c>
      <c r="H3" s="3">
        <f>Tabla125[[#This Row],[COSTO]]*1.19</f>
        <v>6902</v>
      </c>
      <c r="K3" s="8">
        <v>5800</v>
      </c>
    </row>
    <row r="4" spans="1:11" ht="45" x14ac:dyDescent="0.25">
      <c r="A4" s="7" t="s">
        <v>279</v>
      </c>
      <c r="B4" s="6" t="s">
        <v>278</v>
      </c>
      <c r="C4" s="5">
        <f>+Tabla125[[#This Row],[COSTO +IVA]]/Tabla125[[#This Row],[Columna5]]</f>
        <v>9723.1707317073178</v>
      </c>
      <c r="D4" s="5">
        <f>+Tabla125[[#This Row],[PRECIO SUGERIDO INSTALADOR
( CON  IVA)]]-Tabla125[[#This Row],[Columna2]]</f>
        <v>9237.0121951219517</v>
      </c>
      <c r="E4" s="5">
        <f>+Tabla125[[#This Row],[PRECIO SUGERIDO INSTALADOR
( CON  IVA)]]/0.7</f>
        <v>13890.243902439026</v>
      </c>
      <c r="F4" s="4">
        <f>+Tabla125[[#This Row],[PRECIO SUGERIDO INSTALADOR
( CON  IVA)]]*5%</f>
        <v>486.15853658536594</v>
      </c>
      <c r="G4" s="1">
        <v>0.82</v>
      </c>
      <c r="H4" s="3">
        <f>Tabla125[[#This Row],[COSTO]]*1.19</f>
        <v>7973</v>
      </c>
      <c r="K4" s="8">
        <v>6700</v>
      </c>
    </row>
    <row r="5" spans="1:11" ht="45" x14ac:dyDescent="0.25">
      <c r="A5" s="7" t="s">
        <v>277</v>
      </c>
      <c r="B5" s="6" t="s">
        <v>276</v>
      </c>
      <c r="C5" s="5">
        <f>+Tabla125[[#This Row],[COSTO +IVA]]/Tabla125[[#This Row],[Columna5]]</f>
        <v>14221.951219512195</v>
      </c>
      <c r="D5" s="5">
        <f>+Tabla125[[#This Row],[PRECIO SUGERIDO INSTALADOR
( CON  IVA)]]-Tabla125[[#This Row],[Columna2]]</f>
        <v>13510.853658536585</v>
      </c>
      <c r="E5" s="5">
        <f>+Tabla125[[#This Row],[PRECIO SUGERIDO INSTALADOR
( CON  IVA)]]/0.7</f>
        <v>20317.07317073171</v>
      </c>
      <c r="F5" s="4">
        <f>+Tabla125[[#This Row],[PRECIO SUGERIDO INSTALADOR
( CON  IVA)]]*5%</f>
        <v>711.09756097560978</v>
      </c>
      <c r="G5" s="1">
        <v>0.82</v>
      </c>
      <c r="H5" s="3">
        <f>Tabla125[[#This Row],[COSTO]]*1.19</f>
        <v>11662</v>
      </c>
      <c r="K5" s="8">
        <v>9800</v>
      </c>
    </row>
    <row r="6" spans="1:11" ht="45" x14ac:dyDescent="0.25">
      <c r="A6" s="7" t="s">
        <v>275</v>
      </c>
      <c r="B6" s="6" t="s">
        <v>274</v>
      </c>
      <c r="C6" s="5">
        <f>+Tabla125[[#This Row],[COSTO +IVA]]/Tabla125[[#This Row],[Columna5]]</f>
        <v>23074.390243902439</v>
      </c>
      <c r="D6" s="5">
        <f>+Tabla125[[#This Row],[PRECIO SUGERIDO INSTALADOR
( CON  IVA)]]-Tabla125[[#This Row],[Columna2]]</f>
        <v>21920.670731707316</v>
      </c>
      <c r="E6" s="5">
        <f>+Tabla125[[#This Row],[PRECIO SUGERIDO INSTALADOR
( CON  IVA)]]/0.7</f>
        <v>32963.414634146342</v>
      </c>
      <c r="F6" s="4">
        <f>+Tabla125[[#This Row],[PRECIO SUGERIDO INSTALADOR
( CON  IVA)]]*5%</f>
        <v>1153.719512195122</v>
      </c>
      <c r="G6" s="1">
        <v>0.82</v>
      </c>
      <c r="H6" s="3">
        <f>Tabla125[[#This Row],[COSTO]]*1.19</f>
        <v>18921</v>
      </c>
      <c r="K6" s="8">
        <v>15900</v>
      </c>
    </row>
    <row r="7" spans="1:11" ht="45" x14ac:dyDescent="0.25">
      <c r="A7" s="7" t="s">
        <v>273</v>
      </c>
      <c r="B7" s="6" t="s">
        <v>272</v>
      </c>
      <c r="C7" s="5">
        <f>+Tabla125[[#This Row],[COSTO +IVA]]/Tabla125[[#This Row],[Columna5]]</f>
        <v>10884.146341463415</v>
      </c>
      <c r="D7" s="5">
        <f>+Tabla125[[#This Row],[PRECIO SUGERIDO INSTALADOR
( CON  IVA)]]-Tabla125[[#This Row],[Columna2]]</f>
        <v>10339.939024390244</v>
      </c>
      <c r="E7" s="5">
        <f>+Tabla125[[#This Row],[PRECIO SUGERIDO INSTALADOR
( CON  IVA)]]/0.7</f>
        <v>15548.780487804879</v>
      </c>
      <c r="F7" s="4">
        <f>+Tabla125[[#This Row],[PRECIO SUGERIDO INSTALADOR
( CON  IVA)]]*5%</f>
        <v>544.20731707317077</v>
      </c>
      <c r="G7" s="1">
        <v>0.82</v>
      </c>
      <c r="H7" s="3">
        <f>Tabla125[[#This Row],[COSTO]]*1.19</f>
        <v>8925</v>
      </c>
      <c r="K7" s="8">
        <v>7500</v>
      </c>
    </row>
    <row r="8" spans="1:11" ht="45" x14ac:dyDescent="0.25">
      <c r="A8" s="7" t="s">
        <v>271</v>
      </c>
      <c r="B8" s="6" t="s">
        <v>270</v>
      </c>
      <c r="C8" s="5">
        <f>+Tabla125[[#This Row],[COSTO +IVA]]/Tabla125[[#This Row],[Columna5]]</f>
        <v>15237.804878048781</v>
      </c>
      <c r="D8" s="5">
        <f>+Tabla125[[#This Row],[PRECIO SUGERIDO INSTALADOR
( CON  IVA)]]-Tabla125[[#This Row],[Columna2]]</f>
        <v>14475.914634146342</v>
      </c>
      <c r="E8" s="5">
        <f>+Tabla125[[#This Row],[PRECIO SUGERIDO INSTALADOR
( CON  IVA)]]/0.7</f>
        <v>21768.292682926833</v>
      </c>
      <c r="F8" s="4">
        <f>+Tabla125[[#This Row],[PRECIO SUGERIDO INSTALADOR
( CON  IVA)]]*5%</f>
        <v>761.89024390243912</v>
      </c>
      <c r="G8" s="1">
        <v>0.82</v>
      </c>
      <c r="H8" s="3">
        <f>Tabla125[[#This Row],[COSTO]]*1.19</f>
        <v>12495</v>
      </c>
      <c r="K8" s="8">
        <v>10500</v>
      </c>
    </row>
    <row r="9" spans="1:11" ht="45" x14ac:dyDescent="0.25">
      <c r="A9" s="7" t="s">
        <v>269</v>
      </c>
      <c r="B9" s="11" t="s">
        <v>268</v>
      </c>
      <c r="C9" s="10">
        <f>+Tabla125[[#This Row],[COSTO +IVA]]/Tabla125[[#This Row],[Columna5]]</f>
        <v>5514.6341463414637</v>
      </c>
      <c r="D9" s="10">
        <f>+Tabla125[[#This Row],[PRECIO SUGERIDO INSTALADOR
( CON  IVA)]]-Tabla125[[#This Row],[Columna2]]</f>
        <v>5238.9024390243903</v>
      </c>
      <c r="E9" s="10">
        <f>+Tabla125[[#This Row],[PRECIO SUGERIDO INSTALADOR
( CON  IVA)]]/0.7</f>
        <v>7878.0487804878057</v>
      </c>
      <c r="F9" s="9">
        <f>+Tabla125[[#This Row],[PRECIO SUGERIDO INSTALADOR
( CON  IVA)]]*5%</f>
        <v>275.73170731707319</v>
      </c>
      <c r="G9" s="1">
        <v>0.82</v>
      </c>
      <c r="H9" s="3">
        <f>Tabla125[[#This Row],[COSTO]]*1.19</f>
        <v>4522</v>
      </c>
      <c r="K9" s="8">
        <v>3800</v>
      </c>
    </row>
    <row r="10" spans="1:11" ht="45" x14ac:dyDescent="0.25">
      <c r="A10" s="7" t="s">
        <v>267</v>
      </c>
      <c r="B10" s="6" t="s">
        <v>266</v>
      </c>
      <c r="C10" s="5">
        <f>+Tabla125[[#This Row],[COSTO +IVA]]/Tabla125[[#This Row],[Columna5]]</f>
        <v>4934.1463414634145</v>
      </c>
      <c r="D10" s="5">
        <f>+Tabla125[[#This Row],[PRECIO SUGERIDO INSTALADOR
( CON  IVA)]]-Tabla125[[#This Row],[Columna2]]</f>
        <v>4687.4390243902435</v>
      </c>
      <c r="E10" s="5">
        <f>+Tabla125[[#This Row],[PRECIO SUGERIDO INSTALADOR
( CON  IVA)]]/0.7</f>
        <v>7048.7804878048782</v>
      </c>
      <c r="F10" s="4">
        <f>+Tabla125[[#This Row],[PRECIO SUGERIDO INSTALADOR
( CON  IVA)]]*5%</f>
        <v>246.70731707317074</v>
      </c>
      <c r="G10" s="1">
        <v>0.82</v>
      </c>
      <c r="H10" s="3">
        <f>Tabla125[[#This Row],[COSTO]]*1.19</f>
        <v>4046</v>
      </c>
      <c r="K10" s="8">
        <v>3400</v>
      </c>
    </row>
    <row r="11" spans="1:11" ht="45" x14ac:dyDescent="0.25">
      <c r="A11" s="7" t="s">
        <v>265</v>
      </c>
      <c r="B11" s="6" t="s">
        <v>264</v>
      </c>
      <c r="C11" s="5">
        <f>+Tabla125[[#This Row],[COSTO +IVA]]/Tabla125[[#This Row],[Columna5]]</f>
        <v>20171.951219512197</v>
      </c>
      <c r="D11" s="5">
        <f>+Tabla125[[#This Row],[PRECIO SUGERIDO INSTALADOR
( CON  IVA)]]-Tabla125[[#This Row],[Columna2]]</f>
        <v>19163.353658536587</v>
      </c>
      <c r="E11" s="5">
        <f>+Tabla125[[#This Row],[PRECIO SUGERIDO INSTALADOR
( CON  IVA)]]/0.7</f>
        <v>28817.073170731714</v>
      </c>
      <c r="F11" s="4">
        <f>+Tabla125[[#This Row],[PRECIO SUGERIDO INSTALADOR
( CON  IVA)]]*5%</f>
        <v>1008.5975609756099</v>
      </c>
      <c r="G11" s="1">
        <v>0.82</v>
      </c>
      <c r="H11" s="3">
        <f>Tabla125[[#This Row],[COSTO]]*1.19</f>
        <v>16541</v>
      </c>
      <c r="K11" s="8">
        <v>13900</v>
      </c>
    </row>
    <row r="12" spans="1:11" ht="45" x14ac:dyDescent="0.25">
      <c r="A12" s="7" t="s">
        <v>263</v>
      </c>
      <c r="B12" s="6" t="s">
        <v>262</v>
      </c>
      <c r="C12" s="5">
        <f>+Tabla125[[#This Row],[COSTO +IVA]]/Tabla125[[#This Row],[Columna5]]</f>
        <v>20171.951219512197</v>
      </c>
      <c r="D12" s="5">
        <f>+Tabla125[[#This Row],[PRECIO SUGERIDO INSTALADOR
( CON  IVA)]]-Tabla125[[#This Row],[Columna2]]</f>
        <v>19163.353658536587</v>
      </c>
      <c r="E12" s="5">
        <f>+Tabla125[[#This Row],[PRECIO SUGERIDO INSTALADOR
( CON  IVA)]]/0.7</f>
        <v>28817.073170731714</v>
      </c>
      <c r="F12" s="4">
        <f>+Tabla125[[#This Row],[PRECIO SUGERIDO INSTALADOR
( CON  IVA)]]*5%</f>
        <v>1008.5975609756099</v>
      </c>
      <c r="G12" s="1">
        <v>0.82</v>
      </c>
      <c r="H12" s="3">
        <f>Tabla125[[#This Row],[COSTO]]*1.19</f>
        <v>16541</v>
      </c>
      <c r="K12" s="8">
        <v>13900</v>
      </c>
    </row>
    <row r="13" spans="1:11" ht="45" x14ac:dyDescent="0.25">
      <c r="A13" s="7" t="s">
        <v>261</v>
      </c>
      <c r="B13" s="6" t="s">
        <v>260</v>
      </c>
      <c r="C13" s="5">
        <f>+Tabla125[[#This Row],[COSTO +IVA]]/Tabla125[[#This Row],[Columna5]]</f>
        <v>20317.07317073171</v>
      </c>
      <c r="D13" s="5">
        <f>+Tabla125[[#This Row],[PRECIO SUGERIDO INSTALADOR
( CON  IVA)]]-Tabla125[[#This Row],[Columna2]]</f>
        <v>19301.219512195123</v>
      </c>
      <c r="E13" s="5">
        <f>+Tabla125[[#This Row],[PRECIO SUGERIDO INSTALADOR
( CON  IVA)]]/0.7</f>
        <v>29024.390243902446</v>
      </c>
      <c r="F13" s="4">
        <f>+Tabla125[[#This Row],[PRECIO SUGERIDO INSTALADOR
( CON  IVA)]]*5%</f>
        <v>1015.8536585365855</v>
      </c>
      <c r="G13" s="1">
        <v>0.82</v>
      </c>
      <c r="H13" s="3">
        <f>Tabla125[[#This Row],[COSTO]]*1.19</f>
        <v>16660</v>
      </c>
      <c r="K13" s="8">
        <v>14000</v>
      </c>
    </row>
    <row r="14" spans="1:11" ht="45" x14ac:dyDescent="0.25">
      <c r="A14" s="7" t="s">
        <v>259</v>
      </c>
      <c r="B14" s="11" t="s">
        <v>258</v>
      </c>
      <c r="C14" s="10">
        <f>+Tabla125[[#This Row],[COSTO +IVA]]/Tabla125[[#This Row],[Columna5]]</f>
        <v>5224.3902439024396</v>
      </c>
      <c r="D14" s="10">
        <f>+Tabla125[[#This Row],[PRECIO SUGERIDO INSTALADOR
( CON  IVA)]]-Tabla125[[#This Row],[Columna2]]</f>
        <v>4963.1707317073178</v>
      </c>
      <c r="E14" s="10">
        <f>+Tabla125[[#This Row],[PRECIO SUGERIDO INSTALADOR
( CON  IVA)]]/0.7</f>
        <v>7463.4146341463429</v>
      </c>
      <c r="F14" s="9">
        <f>+Tabla125[[#This Row],[PRECIO SUGERIDO INSTALADOR
( CON  IVA)]]*5%</f>
        <v>261.21951219512198</v>
      </c>
      <c r="G14" s="1">
        <v>0.82</v>
      </c>
      <c r="H14" s="3">
        <f>Tabla125[[#This Row],[COSTO]]*1.19</f>
        <v>4284</v>
      </c>
      <c r="K14" s="8">
        <v>3600</v>
      </c>
    </row>
    <row r="15" spans="1:11" ht="45" x14ac:dyDescent="0.25">
      <c r="A15" s="7" t="s">
        <v>257</v>
      </c>
      <c r="B15" s="6" t="s">
        <v>256</v>
      </c>
      <c r="C15" s="5">
        <f>+Tabla125[[#This Row],[COSTO +IVA]]/Tabla125[[#This Row],[Columna5]]</f>
        <v>46584.14634146342</v>
      </c>
      <c r="D15" s="5">
        <f>+Tabla125[[#This Row],[PRECIO SUGERIDO INSTALADOR
( CON  IVA)]]-Tabla125[[#This Row],[Columna2]]</f>
        <v>44254.939024390245</v>
      </c>
      <c r="E15" s="5">
        <f>+Tabla125[[#This Row],[PRECIO SUGERIDO INSTALADOR
( CON  IVA)]]/0.7</f>
        <v>66548.780487804892</v>
      </c>
      <c r="F15" s="4">
        <f>+Tabla125[[#This Row],[PRECIO SUGERIDO INSTALADOR
( CON  IVA)]]*5%</f>
        <v>2329.207317073171</v>
      </c>
      <c r="G15" s="1">
        <v>0.82</v>
      </c>
      <c r="H15" s="3">
        <f>Tabla125[[#This Row],[COSTO]]*1.19</f>
        <v>38199</v>
      </c>
      <c r="K15" s="3">
        <v>32100</v>
      </c>
    </row>
    <row r="16" spans="1:11" ht="30" x14ac:dyDescent="0.25">
      <c r="A16" s="7" t="s">
        <v>255</v>
      </c>
      <c r="B16" s="6" t="s">
        <v>254</v>
      </c>
      <c r="C16" s="5">
        <f>+Tabla125[[#This Row],[COSTO +IVA]]/Tabla125[[#This Row],[Columna5]]</f>
        <v>6820.7317073170734</v>
      </c>
      <c r="D16" s="5">
        <f>+Tabla125[[#This Row],[PRECIO SUGERIDO INSTALADOR
( CON  IVA)]]-Tabla125[[#This Row],[Columna2]]</f>
        <v>6479.6951219512193</v>
      </c>
      <c r="E16" s="5">
        <f>+Tabla125[[#This Row],[PRECIO SUGERIDO INSTALADOR
( CON  IVA)]]/0.7</f>
        <v>9743.9024390243903</v>
      </c>
      <c r="F16" s="4">
        <f>+Tabla125[[#This Row],[PRECIO SUGERIDO INSTALADOR
( CON  IVA)]]*5%</f>
        <v>341.03658536585368</v>
      </c>
      <c r="G16" s="1">
        <v>0.82</v>
      </c>
      <c r="H16" s="3">
        <f>Tabla125[[#This Row],[COSTO]]*1.19</f>
        <v>5593</v>
      </c>
      <c r="K16" s="8">
        <v>4700</v>
      </c>
    </row>
    <row r="17" spans="1:11" ht="30" x14ac:dyDescent="0.25">
      <c r="A17" s="7" t="s">
        <v>253</v>
      </c>
      <c r="B17" s="6" t="s">
        <v>252</v>
      </c>
      <c r="C17" s="5">
        <f>+Tabla125[[#This Row],[COSTO +IVA]]/Tabla125[[#This Row],[Columna5]]</f>
        <v>6675.6097560975613</v>
      </c>
      <c r="D17" s="5">
        <f>+Tabla125[[#This Row],[PRECIO SUGERIDO INSTALADOR
( CON  IVA)]]-Tabla125[[#This Row],[Columna2]]</f>
        <v>6341.8292682926831</v>
      </c>
      <c r="E17" s="5">
        <f>+Tabla125[[#This Row],[PRECIO SUGERIDO INSTALADOR
( CON  IVA)]]/0.7</f>
        <v>9536.5853658536598</v>
      </c>
      <c r="F17" s="4">
        <f>+Tabla125[[#This Row],[PRECIO SUGERIDO INSTALADOR
( CON  IVA)]]*5%</f>
        <v>333.78048780487808</v>
      </c>
      <c r="G17" s="1">
        <v>0.82</v>
      </c>
      <c r="H17" s="3">
        <f>Tabla125[[#This Row],[COSTO]]*1.19</f>
        <v>5474</v>
      </c>
      <c r="K17" s="8">
        <v>4600</v>
      </c>
    </row>
    <row r="18" spans="1:11" ht="45" x14ac:dyDescent="0.25">
      <c r="A18" s="7" t="s">
        <v>251</v>
      </c>
      <c r="B18" s="6" t="s">
        <v>250</v>
      </c>
      <c r="C18" s="5">
        <f>+Tabla125[[#This Row],[COSTO +IVA]]/Tabla125[[#This Row],[Columna5]]</f>
        <v>10158.536585365855</v>
      </c>
      <c r="D18" s="5">
        <f>+Tabla125[[#This Row],[PRECIO SUGERIDO INSTALADOR
( CON  IVA)]]-Tabla125[[#This Row],[Columna2]]</f>
        <v>9650.6097560975613</v>
      </c>
      <c r="E18" s="5">
        <f>+Tabla125[[#This Row],[PRECIO SUGERIDO INSTALADOR
( CON  IVA)]]/0.7</f>
        <v>14512.195121951223</v>
      </c>
      <c r="F18" s="4">
        <f>+Tabla125[[#This Row],[PRECIO SUGERIDO INSTALADOR
( CON  IVA)]]*5%</f>
        <v>507.92682926829275</v>
      </c>
      <c r="G18" s="1">
        <v>0.82</v>
      </c>
      <c r="H18" s="3">
        <f>Tabla125[[#This Row],[COSTO]]*1.19</f>
        <v>8330</v>
      </c>
      <c r="K18" s="8">
        <v>7000</v>
      </c>
    </row>
    <row r="19" spans="1:11" ht="30" x14ac:dyDescent="0.25">
      <c r="A19" s="7" t="s">
        <v>249</v>
      </c>
      <c r="B19" s="6" t="s">
        <v>248</v>
      </c>
      <c r="C19" s="5">
        <f>+Tabla125[[#This Row],[COSTO +IVA]]/Tabla125[[#This Row],[Columna5]]</f>
        <v>11174.39024390244</v>
      </c>
      <c r="D19" s="5">
        <f>+Tabla125[[#This Row],[PRECIO SUGERIDO INSTALADOR
( CON  IVA)]]-Tabla125[[#This Row],[Columna2]]</f>
        <v>10615.670731707318</v>
      </c>
      <c r="E19" s="5">
        <f>+Tabla125[[#This Row],[PRECIO SUGERIDO INSTALADOR
( CON  IVA)]]/0.7</f>
        <v>15963.414634146344</v>
      </c>
      <c r="F19" s="4">
        <f>+Tabla125[[#This Row],[PRECIO SUGERIDO INSTALADOR
( CON  IVA)]]*5%</f>
        <v>558.71951219512209</v>
      </c>
      <c r="G19" s="1">
        <v>0.82</v>
      </c>
      <c r="H19" s="3">
        <f>Tabla125[[#This Row],[COSTO]]*1.19</f>
        <v>9163</v>
      </c>
      <c r="K19" s="8">
        <v>7700</v>
      </c>
    </row>
    <row r="20" spans="1:11" ht="45" x14ac:dyDescent="0.25">
      <c r="A20" s="7" t="s">
        <v>247</v>
      </c>
      <c r="B20" s="6" t="s">
        <v>246</v>
      </c>
      <c r="C20" s="5">
        <f>+Tabla125[[#This Row],[COSTO +IVA]]/Tabla125[[#This Row],[Columna5]]</f>
        <v>5514.6341463414637</v>
      </c>
      <c r="D20" s="5">
        <f>+Tabla125[[#This Row],[PRECIO SUGERIDO INSTALADOR
( CON  IVA)]]-Tabla125[[#This Row],[Columna2]]</f>
        <v>5238.9024390243903</v>
      </c>
      <c r="E20" s="5">
        <f>+Tabla125[[#This Row],[PRECIO SUGERIDO INSTALADOR
( CON  IVA)]]/0.7</f>
        <v>7878.0487804878057</v>
      </c>
      <c r="F20" s="4">
        <f>+Tabla125[[#This Row],[PRECIO SUGERIDO INSTALADOR
( CON  IVA)]]*5%</f>
        <v>275.73170731707319</v>
      </c>
      <c r="G20" s="1">
        <v>0.82</v>
      </c>
      <c r="H20" s="3">
        <f>Tabla125[[#This Row],[COSTO]]*1.19</f>
        <v>4522</v>
      </c>
      <c r="K20" s="8">
        <v>3800</v>
      </c>
    </row>
    <row r="21" spans="1:11" ht="45" x14ac:dyDescent="0.25">
      <c r="A21" s="7" t="s">
        <v>245</v>
      </c>
      <c r="B21" s="6" t="s">
        <v>244</v>
      </c>
      <c r="C21" s="5">
        <f>+Tabla125[[#This Row],[COSTO +IVA]]/Tabla125[[#This Row],[Columna5]]</f>
        <v>29459.756097560978</v>
      </c>
      <c r="D21" s="5">
        <f>+Tabla125[[#This Row],[PRECIO SUGERIDO INSTALADOR
( CON  IVA)]]-Tabla125[[#This Row],[Columna2]]</f>
        <v>27986.768292682929</v>
      </c>
      <c r="E21" s="5">
        <f>+Tabla125[[#This Row],[PRECIO SUGERIDO INSTALADOR
( CON  IVA)]]/0.7</f>
        <v>42085.365853658543</v>
      </c>
      <c r="F21" s="4">
        <f>+Tabla125[[#This Row],[PRECIO SUGERIDO INSTALADOR
( CON  IVA)]]*5%</f>
        <v>1472.987804878049</v>
      </c>
      <c r="G21" s="1">
        <v>0.82</v>
      </c>
      <c r="H21" s="3">
        <f>Tabla125[[#This Row],[COSTO]]*1.19</f>
        <v>24157</v>
      </c>
      <c r="K21" s="8">
        <v>20300</v>
      </c>
    </row>
    <row r="22" spans="1:11" ht="45" x14ac:dyDescent="0.25">
      <c r="A22" s="7" t="s">
        <v>243</v>
      </c>
      <c r="B22" s="6" t="s">
        <v>242</v>
      </c>
      <c r="C22" s="5">
        <f>+Tabla125[[#This Row],[COSTO +IVA]]/Tabla125[[#This Row],[Columna5]]</f>
        <v>168196.34146341463</v>
      </c>
      <c r="D22" s="5">
        <f>+Tabla125[[#This Row],[PRECIO SUGERIDO INSTALADOR
( CON  IVA)]]-Tabla125[[#This Row],[Columna2]]</f>
        <v>159786.5243902439</v>
      </c>
      <c r="E22" s="5">
        <f>+Tabla125[[#This Row],[PRECIO SUGERIDO INSTALADOR
( CON  IVA)]]/0.7</f>
        <v>240280.48780487807</v>
      </c>
      <c r="F22" s="4">
        <f>+Tabla125[[#This Row],[PRECIO SUGERIDO INSTALADOR
( CON  IVA)]]*5%</f>
        <v>8409.8170731707323</v>
      </c>
      <c r="G22" s="1">
        <v>0.82</v>
      </c>
      <c r="H22" s="3">
        <f>Tabla125[[#This Row],[COSTO]]*1.19</f>
        <v>137921</v>
      </c>
      <c r="K22" s="8">
        <v>115900</v>
      </c>
    </row>
    <row r="23" spans="1:11" ht="45" x14ac:dyDescent="0.25">
      <c r="A23" s="7" t="s">
        <v>241</v>
      </c>
      <c r="B23" s="6" t="s">
        <v>240</v>
      </c>
      <c r="C23" s="5">
        <f>+Tabla125[[#This Row],[COSTO +IVA]]/Tabla125[[#This Row],[Columna5]]</f>
        <v>3337.8048780487807</v>
      </c>
      <c r="D23" s="5">
        <f>+Tabla125[[#This Row],[PRECIO SUGERIDO INSTALADOR
( CON  IVA)]]-Tabla125[[#This Row],[Columna2]]</f>
        <v>3170.9146341463415</v>
      </c>
      <c r="E23" s="5">
        <f>+Tabla125[[#This Row],[PRECIO SUGERIDO INSTALADOR
( CON  IVA)]]/0.7</f>
        <v>4768.2926829268299</v>
      </c>
      <c r="F23" s="4">
        <f>+Tabla125[[#This Row],[PRECIO SUGERIDO INSTALADOR
( CON  IVA)]]*5%</f>
        <v>166.89024390243904</v>
      </c>
      <c r="G23" s="1">
        <v>0.82</v>
      </c>
      <c r="H23" s="3">
        <f>Tabla125[[#This Row],[COSTO]]*1.19</f>
        <v>2737</v>
      </c>
      <c r="K23" s="3">
        <v>2300</v>
      </c>
    </row>
    <row r="24" spans="1:11" ht="45" x14ac:dyDescent="0.25">
      <c r="A24" s="7" t="s">
        <v>239</v>
      </c>
      <c r="B24" s="6" t="s">
        <v>238</v>
      </c>
      <c r="C24" s="5">
        <f>+Tabla125[[#This Row],[COSTO +IVA]]/Tabla125[[#This Row],[Columna5]]</f>
        <v>15528.048780487807</v>
      </c>
      <c r="D24" s="5">
        <f>+Tabla125[[#This Row],[PRECIO SUGERIDO INSTALADOR
( CON  IVA)]]-Tabla125[[#This Row],[Columna2]]</f>
        <v>14751.646341463416</v>
      </c>
      <c r="E24" s="5">
        <f>+Tabla125[[#This Row],[PRECIO SUGERIDO INSTALADOR
( CON  IVA)]]/0.7</f>
        <v>22182.926829268297</v>
      </c>
      <c r="F24" s="4">
        <f>+Tabla125[[#This Row],[PRECIO SUGERIDO INSTALADOR
( CON  IVA)]]*5%</f>
        <v>776.40243902439033</v>
      </c>
      <c r="G24" s="1">
        <v>0.82</v>
      </c>
      <c r="H24" s="3">
        <f>Tabla125[[#This Row],[COSTO]]*1.19</f>
        <v>12733</v>
      </c>
      <c r="K24" s="3">
        <v>10700</v>
      </c>
    </row>
    <row r="25" spans="1:11" ht="45" x14ac:dyDescent="0.25">
      <c r="A25" s="7" t="s">
        <v>237</v>
      </c>
      <c r="B25" s="6" t="s">
        <v>236</v>
      </c>
      <c r="C25" s="5">
        <f>+Tabla125[[#This Row],[COSTO +IVA]]/Tabla125[[#This Row],[Columna5]]</f>
        <v>669157.31707317079</v>
      </c>
      <c r="D25" s="5">
        <f>+Tabla125[[#This Row],[PRECIO SUGERIDO INSTALADOR
( CON  IVA)]]-Tabla125[[#This Row],[Columna2]]</f>
        <v>635699.45121951227</v>
      </c>
      <c r="E25" s="5">
        <f>+Tabla125[[#This Row],[PRECIO SUGERIDO INSTALADOR
( CON  IVA)]]/0.7</f>
        <v>955939.02439024404</v>
      </c>
      <c r="F25" s="4">
        <f>+Tabla125[[#This Row],[PRECIO SUGERIDO INSTALADOR
( CON  IVA)]]*5%</f>
        <v>33457.865853658543</v>
      </c>
      <c r="G25" s="1">
        <v>0.82</v>
      </c>
      <c r="H25" s="3">
        <f>Tabla125[[#This Row],[COSTO]]*1.19</f>
        <v>548709</v>
      </c>
      <c r="K25" s="3">
        <v>461100</v>
      </c>
    </row>
    <row r="26" spans="1:11" ht="45" x14ac:dyDescent="0.25">
      <c r="A26" s="7" t="s">
        <v>235</v>
      </c>
      <c r="B26" s="6" t="s">
        <v>234</v>
      </c>
      <c r="C26" s="5">
        <f>+Tabla125[[#This Row],[COSTO +IVA]]/Tabla125[[#This Row],[Columna5]]</f>
        <v>962158.53658536589</v>
      </c>
      <c r="D26" s="5">
        <f>+Tabla125[[#This Row],[PRECIO SUGERIDO INSTALADOR
( CON  IVA)]]-Tabla125[[#This Row],[Columna2]]</f>
        <v>914050.60975609755</v>
      </c>
      <c r="E26" s="5">
        <f>+Tabla125[[#This Row],[PRECIO SUGERIDO INSTALADOR
( CON  IVA)]]/0.7</f>
        <v>1374512.1951219514</v>
      </c>
      <c r="F26" s="4">
        <f>+Tabla125[[#This Row],[PRECIO SUGERIDO INSTALADOR
( CON  IVA)]]*5%</f>
        <v>48107.926829268297</v>
      </c>
      <c r="G26" s="1">
        <v>0.82</v>
      </c>
      <c r="H26" s="3">
        <f>Tabla125[[#This Row],[COSTO]]*1.19</f>
        <v>788970</v>
      </c>
      <c r="K26" s="3">
        <v>663000</v>
      </c>
    </row>
    <row r="27" spans="1:11" ht="45" x14ac:dyDescent="0.25">
      <c r="A27" s="7" t="s">
        <v>233</v>
      </c>
      <c r="B27" s="6" t="s">
        <v>232</v>
      </c>
      <c r="C27" s="5">
        <f>+Tabla125[[#This Row],[COSTO +IVA]]/Tabla125[[#This Row],[Columna5]]</f>
        <v>921524.39024390245</v>
      </c>
      <c r="D27" s="5">
        <f>+Tabla125[[#This Row],[PRECIO SUGERIDO INSTALADOR
( CON  IVA)]]-Tabla125[[#This Row],[Columna2]]</f>
        <v>875448.17073170736</v>
      </c>
      <c r="E27" s="5">
        <f>+Tabla125[[#This Row],[PRECIO SUGERIDO INSTALADOR
( CON  IVA)]]/0.7</f>
        <v>1316463.4146341465</v>
      </c>
      <c r="F27" s="4">
        <f>+Tabla125[[#This Row],[PRECIO SUGERIDO INSTALADOR
( CON  IVA)]]*5%</f>
        <v>46076.219512195123</v>
      </c>
      <c r="G27" s="1">
        <v>0.82</v>
      </c>
      <c r="H27" s="3">
        <f>Tabla125[[#This Row],[COSTO]]*1.19</f>
        <v>755650</v>
      </c>
      <c r="K27" s="3">
        <v>635000</v>
      </c>
    </row>
    <row r="28" spans="1:11" ht="45" x14ac:dyDescent="0.25">
      <c r="A28" s="7" t="s">
        <v>231</v>
      </c>
      <c r="B28" s="6" t="s">
        <v>230</v>
      </c>
      <c r="C28" s="5">
        <f>+Tabla125[[#This Row],[COSTO +IVA]]/Tabla125[[#This Row],[Columna5]]</f>
        <v>1058809.756097561</v>
      </c>
      <c r="D28" s="5">
        <f>+Tabla125[[#This Row],[PRECIO SUGERIDO INSTALADOR
( CON  IVA)]]-Tabla125[[#This Row],[Columna2]]</f>
        <v>1005869.2682926829</v>
      </c>
      <c r="E28" s="5">
        <f>+Tabla125[[#This Row],[PRECIO SUGERIDO INSTALADOR
( CON  IVA)]]/0.7</f>
        <v>1512585.3658536586</v>
      </c>
      <c r="F28" s="4">
        <f>+Tabla125[[#This Row],[PRECIO SUGERIDO INSTALADOR
( CON  IVA)]]*5%</f>
        <v>52940.487804878052</v>
      </c>
      <c r="G28" s="1">
        <v>0.82</v>
      </c>
      <c r="H28" s="3">
        <f>Tabla125[[#This Row],[COSTO]]*1.19</f>
        <v>868224</v>
      </c>
      <c r="K28" s="3">
        <v>729600</v>
      </c>
    </row>
    <row r="29" spans="1:11" ht="45" x14ac:dyDescent="0.25">
      <c r="A29" s="7" t="s">
        <v>229</v>
      </c>
      <c r="B29" s="6" t="s">
        <v>228</v>
      </c>
      <c r="C29" s="5">
        <f>+Tabla125[[#This Row],[COSTO +IVA]]/Tabla125[[#This Row],[Columna5]]</f>
        <v>37586.585365853658</v>
      </c>
      <c r="D29" s="5">
        <f>+Tabla125[[#This Row],[PRECIO SUGERIDO INSTALADOR
( CON  IVA)]]-Tabla125[[#This Row],[Columna2]]</f>
        <v>35707.256097560974</v>
      </c>
      <c r="E29" s="5">
        <f>+Tabla125[[#This Row],[PRECIO SUGERIDO INSTALADOR
( CON  IVA)]]/0.7</f>
        <v>53695.121951219517</v>
      </c>
      <c r="F29" s="4">
        <f>+Tabla125[[#This Row],[PRECIO SUGERIDO INSTALADOR
( CON  IVA)]]*5%</f>
        <v>1879.3292682926831</v>
      </c>
      <c r="G29" s="1">
        <v>0.82</v>
      </c>
      <c r="H29" s="3">
        <f>Tabla125[[#This Row],[COSTO]]*1.19</f>
        <v>30821</v>
      </c>
      <c r="K29" s="3">
        <v>25900</v>
      </c>
    </row>
    <row r="30" spans="1:11" ht="45" x14ac:dyDescent="0.25">
      <c r="A30" s="7" t="s">
        <v>227</v>
      </c>
      <c r="B30" s="6" t="s">
        <v>226</v>
      </c>
      <c r="C30" s="5">
        <f>+Tabla125[[#This Row],[COSTO +IVA]]/Tabla125[[#This Row],[Columna5]]</f>
        <v>230743.90243902442</v>
      </c>
      <c r="D30" s="5">
        <f>+Tabla125[[#This Row],[PRECIO SUGERIDO INSTALADOR
( CON  IVA)]]-Tabla125[[#This Row],[Columna2]]</f>
        <v>219206.70731707319</v>
      </c>
      <c r="E30" s="5">
        <f>+Tabla125[[#This Row],[PRECIO SUGERIDO INSTALADOR
( CON  IVA)]]/0.7</f>
        <v>329634.14634146349</v>
      </c>
      <c r="F30" s="4">
        <f>+Tabla125[[#This Row],[PRECIO SUGERIDO INSTALADOR
( CON  IVA)]]*5%</f>
        <v>11537.195121951221</v>
      </c>
      <c r="G30" s="1">
        <v>0.82</v>
      </c>
      <c r="H30" s="3">
        <f>Tabla125[[#This Row],[COSTO]]*1.19</f>
        <v>189210</v>
      </c>
      <c r="K30" s="3">
        <v>159000</v>
      </c>
    </row>
    <row r="31" spans="1:11" ht="45" x14ac:dyDescent="0.25">
      <c r="A31" s="7" t="s">
        <v>225</v>
      </c>
      <c r="B31" s="6" t="s">
        <v>224</v>
      </c>
      <c r="C31" s="5">
        <f>+Tabla125[[#This Row],[COSTO +IVA]]/Tabla125[[#This Row],[Columna5]]</f>
        <v>174436.58536585368</v>
      </c>
      <c r="D31" s="5">
        <f>+Tabla125[[#This Row],[PRECIO SUGERIDO INSTALADOR
( CON  IVA)]]-Tabla125[[#This Row],[Columna2]]</f>
        <v>165714.75609756098</v>
      </c>
      <c r="E31" s="5">
        <f>+Tabla125[[#This Row],[PRECIO SUGERIDO INSTALADOR
( CON  IVA)]]/0.7</f>
        <v>249195.12195121957</v>
      </c>
      <c r="F31" s="4">
        <f>+Tabla125[[#This Row],[PRECIO SUGERIDO INSTALADOR
( CON  IVA)]]*5%</f>
        <v>8721.829268292684</v>
      </c>
      <c r="G31" s="1">
        <v>0.82</v>
      </c>
      <c r="H31" s="3">
        <f>Tabla125[[#This Row],[COSTO]]*1.19</f>
        <v>143038</v>
      </c>
      <c r="K31" s="3">
        <v>120200</v>
      </c>
    </row>
    <row r="32" spans="1:11" ht="45" x14ac:dyDescent="0.25">
      <c r="A32" s="7" t="s">
        <v>223</v>
      </c>
      <c r="B32" s="6" t="s">
        <v>222</v>
      </c>
      <c r="C32" s="5">
        <f>+Tabla125[[#This Row],[COSTO +IVA]]/Tabla125[[#This Row],[Columna5]]</f>
        <v>69368.29268292684</v>
      </c>
      <c r="D32" s="5">
        <f>+Tabla125[[#This Row],[PRECIO SUGERIDO INSTALADOR
( CON  IVA)]]-Tabla125[[#This Row],[Columna2]]</f>
        <v>65899.878048780491</v>
      </c>
      <c r="E32" s="5">
        <f>+Tabla125[[#This Row],[PRECIO SUGERIDO INSTALADOR
( CON  IVA)]]/0.7</f>
        <v>99097.560975609784</v>
      </c>
      <c r="F32" s="4">
        <f>+Tabla125[[#This Row],[PRECIO SUGERIDO INSTALADOR
( CON  IVA)]]*5%</f>
        <v>3468.414634146342</v>
      </c>
      <c r="G32" s="1">
        <v>0.82</v>
      </c>
      <c r="H32" s="3">
        <f>Tabla125[[#This Row],[COSTO]]*1.19</f>
        <v>56882</v>
      </c>
      <c r="K32" s="3">
        <v>47800</v>
      </c>
    </row>
    <row r="33" spans="1:11" ht="45" x14ac:dyDescent="0.25">
      <c r="A33" s="7" t="s">
        <v>221</v>
      </c>
      <c r="B33" s="6" t="s">
        <v>220</v>
      </c>
      <c r="C33" s="5">
        <f>+Tabla125[[#This Row],[COSTO +IVA]]/Tabla125[[#This Row],[Columna5]]</f>
        <v>59354.878048780491</v>
      </c>
      <c r="D33" s="5">
        <f>+Tabla125[[#This Row],[PRECIO SUGERIDO INSTALADOR
( CON  IVA)]]-Tabla125[[#This Row],[Columna2]]</f>
        <v>56387.134146341465</v>
      </c>
      <c r="E33" s="5">
        <f>+Tabla125[[#This Row],[PRECIO SUGERIDO INSTALADOR
( CON  IVA)]]/0.7</f>
        <v>84792.682926829279</v>
      </c>
      <c r="F33" s="4">
        <f>+Tabla125[[#This Row],[PRECIO SUGERIDO INSTALADOR
( CON  IVA)]]*5%</f>
        <v>2967.7439024390246</v>
      </c>
      <c r="G33" s="1">
        <v>0.82</v>
      </c>
      <c r="H33" s="3">
        <f>Tabla125[[#This Row],[COSTO]]*1.19</f>
        <v>48671</v>
      </c>
      <c r="K33" s="3">
        <v>40900</v>
      </c>
    </row>
    <row r="34" spans="1:11" ht="30" x14ac:dyDescent="0.25">
      <c r="A34" s="7" t="s">
        <v>219</v>
      </c>
      <c r="B34" s="6" t="s">
        <v>218</v>
      </c>
      <c r="C34" s="5">
        <f>+Tabla125[[#This Row],[COSTO +IVA]]/Tabla125[[#This Row],[Columna5]]</f>
        <v>46729.268292682929</v>
      </c>
      <c r="D34" s="5">
        <f>+Tabla125[[#This Row],[PRECIO SUGERIDO INSTALADOR
( CON  IVA)]]-Tabla125[[#This Row],[Columna2]]</f>
        <v>44392.804878048781</v>
      </c>
      <c r="E34" s="5">
        <f>+Tabla125[[#This Row],[PRECIO SUGERIDO INSTALADOR
( CON  IVA)]]/0.7</f>
        <v>66756.097560975613</v>
      </c>
      <c r="F34" s="4">
        <f>+Tabla125[[#This Row],[PRECIO SUGERIDO INSTALADOR
( CON  IVA)]]*5%</f>
        <v>2336.4634146341464</v>
      </c>
      <c r="G34" s="1">
        <v>0.82</v>
      </c>
      <c r="H34" s="3">
        <f>Tabla125[[#This Row],[COSTO]]*1.19</f>
        <v>38318</v>
      </c>
      <c r="K34" s="3">
        <v>32200</v>
      </c>
    </row>
    <row r="35" spans="1:11" ht="45" x14ac:dyDescent="0.25">
      <c r="A35" s="7" t="s">
        <v>217</v>
      </c>
      <c r="B35" s="6" t="s">
        <v>216</v>
      </c>
      <c r="C35" s="5">
        <f>+Tabla125[[#This Row],[COSTO +IVA]]/Tabla125[[#This Row],[Columna5]]</f>
        <v>1962048.7804878049</v>
      </c>
      <c r="D35" s="5">
        <f>+Tabla125[[#This Row],[PRECIO SUGERIDO INSTALADOR
( CON  IVA)]]-Tabla125[[#This Row],[Columna2]]</f>
        <v>1863946.3414634147</v>
      </c>
      <c r="E35" s="5">
        <f>+Tabla125[[#This Row],[PRECIO SUGERIDO INSTALADOR
( CON  IVA)]]/0.7</f>
        <v>2802926.829268293</v>
      </c>
      <c r="F35" s="4">
        <f>+Tabla125[[#This Row],[PRECIO SUGERIDO INSTALADOR
( CON  IVA)]]*5%</f>
        <v>98102.439024390245</v>
      </c>
      <c r="G35" s="1">
        <v>0.82</v>
      </c>
      <c r="H35" s="3">
        <f>Tabla125[[#This Row],[COSTO]]*1.19</f>
        <v>1608880</v>
      </c>
      <c r="K35" s="3">
        <v>1352000</v>
      </c>
    </row>
    <row r="36" spans="1:11" ht="45" x14ac:dyDescent="0.25">
      <c r="A36" s="7" t="s">
        <v>215</v>
      </c>
      <c r="B36" s="6" t="s">
        <v>214</v>
      </c>
      <c r="C36" s="5">
        <f>+Tabla125[[#This Row],[COSTO +IVA]]/Tabla125[[#This Row],[Columna5]]</f>
        <v>16689.024390243903</v>
      </c>
      <c r="D36" s="5">
        <f>+Tabla125[[#This Row],[PRECIO SUGERIDO INSTALADOR
( CON  IVA)]]-Tabla125[[#This Row],[Columna2]]</f>
        <v>15854.573170731708</v>
      </c>
      <c r="E36" s="5">
        <f>+Tabla125[[#This Row],[PRECIO SUGERIDO INSTALADOR
( CON  IVA)]]/0.7</f>
        <v>23841.463414634149</v>
      </c>
      <c r="F36" s="4">
        <f>+Tabla125[[#This Row],[PRECIO SUGERIDO INSTALADOR
( CON  IVA)]]*5%</f>
        <v>834.45121951219517</v>
      </c>
      <c r="G36" s="1">
        <v>0.82</v>
      </c>
      <c r="H36" s="3">
        <f>Tabla125[[#This Row],[COSTO]]*1.19</f>
        <v>13685</v>
      </c>
      <c r="K36" s="3">
        <v>11500</v>
      </c>
    </row>
    <row r="37" spans="1:11" x14ac:dyDescent="0.25">
      <c r="A37" s="7" t="s">
        <v>213</v>
      </c>
      <c r="B37" s="6" t="s">
        <v>212</v>
      </c>
      <c r="C37" s="5">
        <f>+Tabla125[[#This Row],[COSTO +IVA]]/Tabla125[[#This Row],[Columna5]]</f>
        <v>83735.365853658543</v>
      </c>
      <c r="D37" s="5">
        <f>+Tabla125[[#This Row],[PRECIO SUGERIDO INSTALADOR
( CON  IVA)]]-Tabla125[[#This Row],[Columna2]]</f>
        <v>79548.597560975613</v>
      </c>
      <c r="E37" s="5">
        <f>+Tabla125[[#This Row],[PRECIO SUGERIDO INSTALADOR
( CON  IVA)]]/0.7</f>
        <v>119621.95121951221</v>
      </c>
      <c r="F37" s="4">
        <f>+Tabla125[[#This Row],[PRECIO SUGERIDO INSTALADOR
( CON  IVA)]]*5%</f>
        <v>4186.7682926829275</v>
      </c>
      <c r="G37" s="1">
        <v>0.82</v>
      </c>
      <c r="H37" s="3">
        <f>Tabla125[[#This Row],[COSTO]]*1.19</f>
        <v>68663</v>
      </c>
      <c r="K37" s="3">
        <v>57700</v>
      </c>
    </row>
    <row r="38" spans="1:11" ht="30" x14ac:dyDescent="0.25">
      <c r="A38" s="7" t="s">
        <v>211</v>
      </c>
      <c r="B38" s="6" t="s">
        <v>210</v>
      </c>
      <c r="C38" s="5">
        <f>+Tabla125[[#This Row],[COSTO +IVA]]/Tabla125[[#This Row],[Columna5]]</f>
        <v>26267.07317073171</v>
      </c>
      <c r="D38" s="5">
        <f>+Tabla125[[#This Row],[PRECIO SUGERIDO INSTALADOR
( CON  IVA)]]-Tabla125[[#This Row],[Columna2]]</f>
        <v>24953.719512195123</v>
      </c>
      <c r="E38" s="5">
        <f>+Tabla125[[#This Row],[PRECIO SUGERIDO INSTALADOR
( CON  IVA)]]/0.7</f>
        <v>37524.390243902446</v>
      </c>
      <c r="F38" s="4">
        <f>+Tabla125[[#This Row],[PRECIO SUGERIDO INSTALADOR
( CON  IVA)]]*5%</f>
        <v>1313.3536585365855</v>
      </c>
      <c r="G38" s="1">
        <v>0.82</v>
      </c>
      <c r="H38" s="3">
        <f>Tabla125[[#This Row],[COSTO]]*1.19</f>
        <v>21539</v>
      </c>
      <c r="K38" s="3">
        <v>18100</v>
      </c>
    </row>
    <row r="39" spans="1:11" ht="45" x14ac:dyDescent="0.25">
      <c r="A39" s="7" t="s">
        <v>209</v>
      </c>
      <c r="B39" s="6" t="s">
        <v>208</v>
      </c>
      <c r="C39" s="5">
        <f>+Tabla125[[#This Row],[COSTO +IVA]]/Tabla125[[#This Row],[Columna5]]</f>
        <v>67191.463414634156</v>
      </c>
      <c r="D39" s="5">
        <f>+Tabla125[[#This Row],[PRECIO SUGERIDO INSTALADOR
( CON  IVA)]]-Tabla125[[#This Row],[Columna2]]</f>
        <v>63831.890243902446</v>
      </c>
      <c r="E39" s="5">
        <f>+Tabla125[[#This Row],[PRECIO SUGERIDO INSTALADOR
( CON  IVA)]]/0.7</f>
        <v>95987.804878048802</v>
      </c>
      <c r="F39" s="4">
        <f>+Tabla125[[#This Row],[PRECIO SUGERIDO INSTALADOR
( CON  IVA)]]*5%</f>
        <v>3359.5731707317082</v>
      </c>
      <c r="G39" s="1">
        <v>0.82</v>
      </c>
      <c r="H39" s="3">
        <f>Tabla125[[#This Row],[COSTO]]*1.19</f>
        <v>55097</v>
      </c>
      <c r="K39" s="3">
        <v>46300</v>
      </c>
    </row>
    <row r="40" spans="1:11" ht="45" x14ac:dyDescent="0.25">
      <c r="A40" s="7" t="s">
        <v>207</v>
      </c>
      <c r="B40" s="6" t="s">
        <v>206</v>
      </c>
      <c r="C40" s="5">
        <f>+Tabla125[[#This Row],[COSTO +IVA]]/Tabla125[[#This Row],[Columna5]]</f>
        <v>18575.609756097561</v>
      </c>
      <c r="D40" s="5">
        <f>+Tabla125[[#This Row],[PRECIO SUGERIDO INSTALADOR
( CON  IVA)]]-Tabla125[[#This Row],[Columna2]]</f>
        <v>17646.829268292684</v>
      </c>
      <c r="E40" s="5">
        <f>+Tabla125[[#This Row],[PRECIO SUGERIDO INSTALADOR
( CON  IVA)]]/0.7</f>
        <v>26536.585365853662</v>
      </c>
      <c r="F40" s="4">
        <f>+Tabla125[[#This Row],[PRECIO SUGERIDO INSTALADOR
( CON  IVA)]]*5%</f>
        <v>928.78048780487813</v>
      </c>
      <c r="G40" s="1">
        <v>0.82</v>
      </c>
      <c r="H40" s="3">
        <f>Tabla125[[#This Row],[COSTO]]*1.19</f>
        <v>15232</v>
      </c>
      <c r="K40" s="3">
        <v>12800</v>
      </c>
    </row>
    <row r="41" spans="1:11" ht="45" x14ac:dyDescent="0.25">
      <c r="A41" s="7" t="s">
        <v>205</v>
      </c>
      <c r="B41" s="6" t="s">
        <v>204</v>
      </c>
      <c r="C41" s="5">
        <f>+Tabla125[[#This Row],[COSTO +IVA]]/Tabla125[[#This Row],[Columna5]]</f>
        <v>63708.536585365859</v>
      </c>
      <c r="D41" s="5">
        <f>+Tabla125[[#This Row],[PRECIO SUGERIDO INSTALADOR
( CON  IVA)]]-Tabla125[[#This Row],[Columna2]]</f>
        <v>60523.109756097569</v>
      </c>
      <c r="E41" s="5">
        <f>+Tabla125[[#This Row],[PRECIO SUGERIDO INSTALADOR
( CON  IVA)]]/0.7</f>
        <v>91012.195121951227</v>
      </c>
      <c r="F41" s="4">
        <f>+Tabla125[[#This Row],[PRECIO SUGERIDO INSTALADOR
( CON  IVA)]]*5%</f>
        <v>3185.4268292682932</v>
      </c>
      <c r="G41" s="1">
        <v>0.82</v>
      </c>
      <c r="H41" s="3">
        <f>Tabla125[[#This Row],[COSTO]]*1.19</f>
        <v>52241</v>
      </c>
      <c r="K41" s="3">
        <v>43900</v>
      </c>
    </row>
    <row r="42" spans="1:11" ht="45" x14ac:dyDescent="0.25">
      <c r="A42" s="7" t="s">
        <v>203</v>
      </c>
      <c r="B42" s="6" t="s">
        <v>202</v>
      </c>
      <c r="C42" s="5">
        <f>+Tabla125[[#This Row],[COSTO +IVA]]/Tabla125[[#This Row],[Columna5]]</f>
        <v>279940.24390243902</v>
      </c>
      <c r="D42" s="5">
        <f>+Tabla125[[#This Row],[PRECIO SUGERIDO INSTALADOR
( CON  IVA)]]-Tabla125[[#This Row],[Columna2]]</f>
        <v>265943.23170731706</v>
      </c>
      <c r="E42" s="5">
        <f>+Tabla125[[#This Row],[PRECIO SUGERIDO INSTALADOR
( CON  IVA)]]/0.7</f>
        <v>399914.63414634147</v>
      </c>
      <c r="F42" s="4">
        <f>+Tabla125[[#This Row],[PRECIO SUGERIDO INSTALADOR
( CON  IVA)]]*5%</f>
        <v>13997.012195121952</v>
      </c>
      <c r="G42" s="1">
        <v>0.82</v>
      </c>
      <c r="H42" s="3">
        <f>Tabla125[[#This Row],[COSTO]]*1.19</f>
        <v>229551</v>
      </c>
      <c r="K42" s="3">
        <v>192900</v>
      </c>
    </row>
    <row r="43" spans="1:11" ht="45" x14ac:dyDescent="0.25">
      <c r="A43" s="7" t="s">
        <v>201</v>
      </c>
      <c r="B43" s="6" t="s">
        <v>200</v>
      </c>
      <c r="C43" s="5">
        <f>+Tabla125[[#This Row],[COSTO +IVA]]/Tabla125[[#This Row],[Columna5]]</f>
        <v>5804.8780487804879</v>
      </c>
      <c r="D43" s="5">
        <f>+Tabla125[[#This Row],[PRECIO SUGERIDO INSTALADOR
( CON  IVA)]]-Tabla125[[#This Row],[Columna2]]</f>
        <v>5514.6341463414637</v>
      </c>
      <c r="E43" s="5">
        <f>+Tabla125[[#This Row],[PRECIO SUGERIDO INSTALADOR
( CON  IVA)]]/0.7</f>
        <v>8292.6829268292695</v>
      </c>
      <c r="F43" s="4">
        <f>+Tabla125[[#This Row],[PRECIO SUGERIDO INSTALADOR
( CON  IVA)]]*5%</f>
        <v>290.2439024390244</v>
      </c>
      <c r="G43" s="1">
        <v>0.82</v>
      </c>
      <c r="H43" s="3">
        <f>Tabla125[[#This Row],[COSTO]]*1.19</f>
        <v>4760</v>
      </c>
      <c r="K43" s="3">
        <v>4000</v>
      </c>
    </row>
    <row r="44" spans="1:11" ht="45" x14ac:dyDescent="0.25">
      <c r="A44" s="7" t="s">
        <v>199</v>
      </c>
      <c r="B44" s="6" t="s">
        <v>198</v>
      </c>
      <c r="C44" s="5">
        <f>+Tabla125[[#This Row],[COSTO +IVA]]/Tabla125[[#This Row],[Columna5]]</f>
        <v>33232.926829268297</v>
      </c>
      <c r="D44" s="5">
        <f>+Tabla125[[#This Row],[PRECIO SUGERIDO INSTALADOR
( CON  IVA)]]-Tabla125[[#This Row],[Columna2]]</f>
        <v>31571.280487804881</v>
      </c>
      <c r="E44" s="5">
        <f>+Tabla125[[#This Row],[PRECIO SUGERIDO INSTALADOR
( CON  IVA)]]/0.7</f>
        <v>47475.609756097569</v>
      </c>
      <c r="F44" s="4">
        <f>+Tabla125[[#This Row],[PRECIO SUGERIDO INSTALADOR
( CON  IVA)]]*5%</f>
        <v>1661.646341463415</v>
      </c>
      <c r="G44" s="1">
        <v>0.82</v>
      </c>
      <c r="H44" s="3">
        <f>Tabla125[[#This Row],[COSTO]]*1.19</f>
        <v>27251</v>
      </c>
      <c r="K44" s="3">
        <v>22900</v>
      </c>
    </row>
    <row r="45" spans="1:11" x14ac:dyDescent="0.25">
      <c r="A45" s="7" t="s">
        <v>197</v>
      </c>
      <c r="B45" s="6" t="s">
        <v>196</v>
      </c>
      <c r="C45" s="5">
        <f>+Tabla125[[#This Row],[COSTO +IVA]]/Tabla125[[#This Row],[Columna5]]</f>
        <v>1841597.5609756098</v>
      </c>
      <c r="D45" s="5">
        <f>+Tabla125[[#This Row],[PRECIO SUGERIDO INSTALADOR
( CON  IVA)]]-Tabla125[[#This Row],[Columna2]]</f>
        <v>1749517.6829268294</v>
      </c>
      <c r="E45" s="5">
        <f>+Tabla125[[#This Row],[PRECIO SUGERIDO INSTALADOR
( CON  IVA)]]/0.7</f>
        <v>2630853.6585365855</v>
      </c>
      <c r="F45" s="4">
        <f>+Tabla125[[#This Row],[PRECIO SUGERIDO INSTALADOR
( CON  IVA)]]*5%</f>
        <v>92079.878048780491</v>
      </c>
      <c r="G45" s="1">
        <v>0.82</v>
      </c>
      <c r="H45" s="3">
        <f>Tabla125[[#This Row],[COSTO]]*1.19</f>
        <v>1510110</v>
      </c>
      <c r="K45" s="3">
        <v>1269000</v>
      </c>
    </row>
    <row r="46" spans="1:11" x14ac:dyDescent="0.25">
      <c r="A46" s="7" t="s">
        <v>195</v>
      </c>
      <c r="B46" s="6" t="s">
        <v>194</v>
      </c>
      <c r="C46" s="5">
        <f>+Tabla125[[#This Row],[COSTO +IVA]]/Tabla125[[#This Row],[Columna5]]</f>
        <v>166890.24390243905</v>
      </c>
      <c r="D46" s="5">
        <f>+Tabla125[[#This Row],[PRECIO SUGERIDO INSTALADOR
( CON  IVA)]]-Tabla125[[#This Row],[Columna2]]</f>
        <v>158545.73170731709</v>
      </c>
      <c r="E46" s="5">
        <f>+Tabla125[[#This Row],[PRECIO SUGERIDO INSTALADOR
( CON  IVA)]]/0.7</f>
        <v>238414.6341463415</v>
      </c>
      <c r="F46" s="4">
        <f>+Tabla125[[#This Row],[PRECIO SUGERIDO INSTALADOR
( CON  IVA)]]*5%</f>
        <v>8344.5121951219535</v>
      </c>
      <c r="G46" s="1">
        <v>0.82</v>
      </c>
      <c r="H46" s="3">
        <f>Tabla125[[#This Row],[COSTO]]*1.19</f>
        <v>136850</v>
      </c>
      <c r="K46" s="3">
        <v>115000</v>
      </c>
    </row>
    <row r="47" spans="1:11" ht="30" x14ac:dyDescent="0.25">
      <c r="A47" s="7" t="s">
        <v>193</v>
      </c>
      <c r="B47" s="6" t="s">
        <v>192</v>
      </c>
      <c r="C47" s="5">
        <f>+Tabla125[[#This Row],[COSTO +IVA]]/Tabla125[[#This Row],[Columna5]]</f>
        <v>197220.73170731709</v>
      </c>
      <c r="D47" s="5">
        <f>+Tabla125[[#This Row],[PRECIO SUGERIDO INSTALADOR
( CON  IVA)]]-Tabla125[[#This Row],[Columna2]]</f>
        <v>187359.69512195123</v>
      </c>
      <c r="E47" s="5">
        <f>+Tabla125[[#This Row],[PRECIO SUGERIDO INSTALADOR
( CON  IVA)]]/0.7</f>
        <v>281743.90243902442</v>
      </c>
      <c r="F47" s="4">
        <f>+Tabla125[[#This Row],[PRECIO SUGERIDO INSTALADOR
( CON  IVA)]]*5%</f>
        <v>9861.036585365855</v>
      </c>
      <c r="G47" s="1">
        <v>0.82</v>
      </c>
      <c r="H47" s="3">
        <f>Tabla125[[#This Row],[COSTO]]*1.19</f>
        <v>161721</v>
      </c>
      <c r="K47" s="3">
        <v>135900</v>
      </c>
    </row>
    <row r="48" spans="1:11" x14ac:dyDescent="0.25">
      <c r="A48" s="7" t="s">
        <v>191</v>
      </c>
      <c r="B48" s="6" t="s">
        <v>190</v>
      </c>
      <c r="C48" s="5">
        <f>+Tabla125[[#This Row],[COSTO +IVA]]/Tabla125[[#This Row],[Columna5]]</f>
        <v>368609.75609756098</v>
      </c>
      <c r="D48" s="5">
        <f>+Tabla125[[#This Row],[PRECIO SUGERIDO INSTALADOR
( CON  IVA)]]-Tabla125[[#This Row],[Columna2]]</f>
        <v>350179.26829268294</v>
      </c>
      <c r="E48" s="5">
        <f>+Tabla125[[#This Row],[PRECIO SUGERIDO INSTALADOR
( CON  IVA)]]/0.7</f>
        <v>526585.36585365853</v>
      </c>
      <c r="F48" s="4">
        <f>+Tabla125[[#This Row],[PRECIO SUGERIDO INSTALADOR
( CON  IVA)]]*5%</f>
        <v>18430.487804878048</v>
      </c>
      <c r="G48" s="1">
        <v>0.82</v>
      </c>
      <c r="H48" s="3">
        <f>Tabla125[[#This Row],[COSTO]]*1.19</f>
        <v>302260</v>
      </c>
      <c r="K48" s="3">
        <v>254000</v>
      </c>
    </row>
    <row r="49" spans="1:11" ht="45" x14ac:dyDescent="0.25">
      <c r="A49" s="7" t="s">
        <v>189</v>
      </c>
      <c r="B49" s="6" t="s">
        <v>188</v>
      </c>
      <c r="C49" s="5">
        <f>+Tabla125[[#This Row],[COSTO +IVA]]/Tabla125[[#This Row],[Columna5]]</f>
        <v>336973.17073170736</v>
      </c>
      <c r="D49" s="5">
        <f>+Tabla125[[#This Row],[PRECIO SUGERIDO INSTALADOR
( CON  IVA)]]-Tabla125[[#This Row],[Columna2]]</f>
        <v>320124.51219512196</v>
      </c>
      <c r="E49" s="5">
        <f>+Tabla125[[#This Row],[PRECIO SUGERIDO INSTALADOR
( CON  IVA)]]/0.7</f>
        <v>481390.24390243914</v>
      </c>
      <c r="F49" s="4">
        <f>+Tabla125[[#This Row],[PRECIO SUGERIDO INSTALADOR
( CON  IVA)]]*5%</f>
        <v>16848.658536585368</v>
      </c>
      <c r="G49" s="1">
        <v>0.82</v>
      </c>
      <c r="H49" s="3">
        <f>Tabla125[[#This Row],[COSTO]]*1.19</f>
        <v>276318</v>
      </c>
      <c r="K49" s="3">
        <v>232200</v>
      </c>
    </row>
    <row r="50" spans="1:11" ht="45" x14ac:dyDescent="0.25">
      <c r="A50" s="7" t="s">
        <v>187</v>
      </c>
      <c r="B50" s="6" t="s">
        <v>186</v>
      </c>
      <c r="C50" s="5">
        <f>+Tabla125[[#This Row],[COSTO +IVA]]/Tabla125[[#This Row],[Columna5]]</f>
        <v>238000</v>
      </c>
      <c r="D50" s="5">
        <f>+Tabla125[[#This Row],[PRECIO SUGERIDO INSTALADOR
( CON  IVA)]]-Tabla125[[#This Row],[Columna2]]</f>
        <v>226100</v>
      </c>
      <c r="E50" s="5">
        <f>+Tabla125[[#This Row],[PRECIO SUGERIDO INSTALADOR
( CON  IVA)]]/0.7</f>
        <v>340000</v>
      </c>
      <c r="F50" s="4">
        <f>+Tabla125[[#This Row],[PRECIO SUGERIDO INSTALADOR
( CON  IVA)]]*5%</f>
        <v>11900</v>
      </c>
      <c r="G50" s="1">
        <v>0.82</v>
      </c>
      <c r="H50" s="3">
        <f>Tabla125[[#This Row],[COSTO]]*1.19</f>
        <v>195160</v>
      </c>
      <c r="K50" s="3">
        <v>164000</v>
      </c>
    </row>
    <row r="51" spans="1:11" ht="45" x14ac:dyDescent="0.25">
      <c r="A51" s="7" t="s">
        <v>185</v>
      </c>
      <c r="B51" s="6" t="s">
        <v>184</v>
      </c>
      <c r="C51" s="5">
        <f>+Tabla125[[#This Row],[COSTO +IVA]]/Tabla125[[#This Row],[Columna5]]</f>
        <v>272829.26829268294</v>
      </c>
      <c r="D51" s="5">
        <f>+Tabla125[[#This Row],[PRECIO SUGERIDO INSTALADOR
( CON  IVA)]]-Tabla125[[#This Row],[Columna2]]</f>
        <v>259187.8048780488</v>
      </c>
      <c r="E51" s="5">
        <f>+Tabla125[[#This Row],[PRECIO SUGERIDO INSTALADOR
( CON  IVA)]]/0.7</f>
        <v>389756.09756097564</v>
      </c>
      <c r="F51" s="4">
        <f>+Tabla125[[#This Row],[PRECIO SUGERIDO INSTALADOR
( CON  IVA)]]*5%</f>
        <v>13641.463414634149</v>
      </c>
      <c r="G51" s="1">
        <v>0.82</v>
      </c>
      <c r="H51" s="3">
        <f>Tabla125[[#This Row],[COSTO]]*1.19</f>
        <v>223720</v>
      </c>
      <c r="K51" s="3">
        <v>188000</v>
      </c>
    </row>
    <row r="52" spans="1:11" x14ac:dyDescent="0.25">
      <c r="A52" s="7" t="s">
        <v>183</v>
      </c>
      <c r="B52" s="6" t="s">
        <v>182</v>
      </c>
      <c r="C52" s="5">
        <f>+Tabla125[[#This Row],[COSTO +IVA]]/Tabla125[[#This Row],[Columna5]]</f>
        <v>8115219.5121951224</v>
      </c>
      <c r="D52" s="5">
        <f>+Tabla125[[#This Row],[PRECIO SUGERIDO INSTALADOR
( CON  IVA)]]-Tabla125[[#This Row],[Columna2]]</f>
        <v>7709458.5365853664</v>
      </c>
      <c r="E52" s="5">
        <f>+Tabla125[[#This Row],[PRECIO SUGERIDO INSTALADOR
( CON  IVA)]]/0.7</f>
        <v>11593170.731707318</v>
      </c>
      <c r="F52" s="4">
        <f>+Tabla125[[#This Row],[PRECIO SUGERIDO INSTALADOR
( CON  IVA)]]*5%</f>
        <v>405760.97560975613</v>
      </c>
      <c r="G52" s="1">
        <v>0.82</v>
      </c>
      <c r="H52" s="3">
        <f>Tabla125[[#This Row],[COSTO]]*1.19</f>
        <v>6654480</v>
      </c>
      <c r="K52" s="3">
        <v>5592000</v>
      </c>
    </row>
    <row r="53" spans="1:11" ht="30" x14ac:dyDescent="0.25">
      <c r="A53" s="7" t="s">
        <v>181</v>
      </c>
      <c r="B53" s="6" t="s">
        <v>180</v>
      </c>
      <c r="C53" s="5">
        <f>+Tabla125[[#This Row],[COSTO +IVA]]/Tabla125[[#This Row],[Columna5]]</f>
        <v>79962.195121951227</v>
      </c>
      <c r="D53" s="5">
        <f>+Tabla125[[#This Row],[PRECIO SUGERIDO INSTALADOR
( CON  IVA)]]-Tabla125[[#This Row],[Columna2]]</f>
        <v>75964.085365853665</v>
      </c>
      <c r="E53" s="5">
        <f>+Tabla125[[#This Row],[PRECIO SUGERIDO INSTALADOR
( CON  IVA)]]/0.7</f>
        <v>114231.70731707319</v>
      </c>
      <c r="F53" s="4">
        <f>+Tabla125[[#This Row],[PRECIO SUGERIDO INSTALADOR
( CON  IVA)]]*5%</f>
        <v>3998.1097560975613</v>
      </c>
      <c r="G53" s="1">
        <v>0.82</v>
      </c>
      <c r="H53" s="3">
        <f>Tabla125[[#This Row],[COSTO]]*1.19</f>
        <v>65569</v>
      </c>
      <c r="K53" s="3">
        <v>55100</v>
      </c>
    </row>
    <row r="54" spans="1:11" ht="45" x14ac:dyDescent="0.25">
      <c r="A54" s="7" t="s">
        <v>179</v>
      </c>
      <c r="B54" s="6" t="s">
        <v>178</v>
      </c>
      <c r="C54" s="5">
        <f>+Tabla125[[#This Row],[COSTO +IVA]]/Tabla125[[#This Row],[Columna5]]</f>
        <v>1049231.7073170731</v>
      </c>
      <c r="D54" s="5">
        <f>+Tabla125[[#This Row],[PRECIO SUGERIDO INSTALADOR
( CON  IVA)]]-Tabla125[[#This Row],[Columna2]]</f>
        <v>996770.12195121951</v>
      </c>
      <c r="E54" s="5">
        <f>+Tabla125[[#This Row],[PRECIO SUGERIDO INSTALADOR
( CON  IVA)]]/0.7</f>
        <v>1498902.4390243902</v>
      </c>
      <c r="F54" s="4">
        <f>+Tabla125[[#This Row],[PRECIO SUGERIDO INSTALADOR
( CON  IVA)]]*5%</f>
        <v>52461.585365853658</v>
      </c>
      <c r="G54" s="1">
        <v>0.82</v>
      </c>
      <c r="H54" s="3">
        <f>Tabla125[[#This Row],[COSTO]]*1.19</f>
        <v>860370</v>
      </c>
      <c r="K54" s="3">
        <v>723000</v>
      </c>
    </row>
    <row r="55" spans="1:11" x14ac:dyDescent="0.25">
      <c r="A55" s="7" t="s">
        <v>177</v>
      </c>
      <c r="B55" s="6" t="s">
        <v>176</v>
      </c>
      <c r="C55" s="5">
        <f>+Tabla125[[#This Row],[COSTO +IVA]]/Tabla125[[#This Row],[Columna5]]</f>
        <v>1378.6585365853659</v>
      </c>
      <c r="D55" s="5">
        <f>+Tabla125[[#This Row],[PRECIO SUGERIDO INSTALADOR
( CON  IVA)]]-Tabla125[[#This Row],[Columna2]]</f>
        <v>1309.7256097560976</v>
      </c>
      <c r="E55" s="5">
        <f>+Tabla125[[#This Row],[PRECIO SUGERIDO INSTALADOR
( CON  IVA)]]/0.7</f>
        <v>1969.5121951219514</v>
      </c>
      <c r="F55" s="4">
        <f>+Tabla125[[#This Row],[PRECIO SUGERIDO INSTALADOR
( CON  IVA)]]*5%</f>
        <v>68.932926829268297</v>
      </c>
      <c r="G55" s="1">
        <v>0.82</v>
      </c>
      <c r="H55" s="3">
        <f>Tabla125[[#This Row],[COSTO]]*1.19</f>
        <v>1130.5</v>
      </c>
      <c r="K55" s="3">
        <v>950</v>
      </c>
    </row>
    <row r="56" spans="1:11" x14ac:dyDescent="0.25">
      <c r="A56" s="7" t="s">
        <v>175</v>
      </c>
      <c r="B56" s="6" t="s">
        <v>174</v>
      </c>
      <c r="C56" s="5">
        <f>+Tabla125[[#This Row],[COSTO +IVA]]/Tabla125[[#This Row],[Columna5]]</f>
        <v>580.48780487804879</v>
      </c>
      <c r="D56" s="5">
        <f>+Tabla125[[#This Row],[PRECIO SUGERIDO INSTALADOR
( CON  IVA)]]-Tabla125[[#This Row],[Columna2]]</f>
        <v>551.46341463414637</v>
      </c>
      <c r="E56" s="5">
        <f>+Tabla125[[#This Row],[PRECIO SUGERIDO INSTALADOR
( CON  IVA)]]/0.7</f>
        <v>829.26829268292693</v>
      </c>
      <c r="F56" s="4">
        <f>+Tabla125[[#This Row],[PRECIO SUGERIDO INSTALADOR
( CON  IVA)]]*5%</f>
        <v>29.024390243902442</v>
      </c>
      <c r="G56" s="1">
        <v>0.82</v>
      </c>
      <c r="H56" s="3">
        <f>Tabla125[[#This Row],[COSTO]]*1.19</f>
        <v>476</v>
      </c>
      <c r="K56" s="3">
        <v>400</v>
      </c>
    </row>
    <row r="57" spans="1:11" x14ac:dyDescent="0.25">
      <c r="A57" s="7" t="s">
        <v>173</v>
      </c>
      <c r="B57" s="6" t="s">
        <v>172</v>
      </c>
      <c r="C57" s="5">
        <f>+Tabla125[[#This Row],[COSTO +IVA]]/Tabla125[[#This Row],[Columna5]]</f>
        <v>580.48780487804879</v>
      </c>
      <c r="D57" s="5">
        <f>+Tabla125[[#This Row],[PRECIO SUGERIDO INSTALADOR
( CON  IVA)]]-Tabla125[[#This Row],[Columna2]]</f>
        <v>551.46341463414637</v>
      </c>
      <c r="E57" s="5">
        <f>+Tabla125[[#This Row],[PRECIO SUGERIDO INSTALADOR
( CON  IVA)]]/0.7</f>
        <v>829.26829268292693</v>
      </c>
      <c r="F57" s="4">
        <f>+Tabla125[[#This Row],[PRECIO SUGERIDO INSTALADOR
( CON  IVA)]]*5%</f>
        <v>29.024390243902442</v>
      </c>
      <c r="G57" s="1">
        <v>0.82</v>
      </c>
      <c r="H57" s="3">
        <f>Tabla125[[#This Row],[COSTO]]*1.19</f>
        <v>476</v>
      </c>
      <c r="K57" s="3">
        <v>400</v>
      </c>
    </row>
    <row r="58" spans="1:11" ht="30" x14ac:dyDescent="0.25">
      <c r="A58" s="7" t="s">
        <v>171</v>
      </c>
      <c r="B58" s="6" t="s">
        <v>170</v>
      </c>
      <c r="C58" s="5">
        <f>+Tabla125[[#This Row],[COSTO +IVA]]/Tabla125[[#This Row],[Columna5]]</f>
        <v>435.36585365853659</v>
      </c>
      <c r="D58" s="5">
        <f>+Tabla125[[#This Row],[PRECIO SUGERIDO INSTALADOR
( CON  IVA)]]-Tabla125[[#This Row],[Columna2]]</f>
        <v>413.59756097560978</v>
      </c>
      <c r="E58" s="5">
        <f>+Tabla125[[#This Row],[PRECIO SUGERIDO INSTALADOR
( CON  IVA)]]/0.7</f>
        <v>621.95121951219517</v>
      </c>
      <c r="F58" s="4">
        <f>+Tabla125[[#This Row],[PRECIO SUGERIDO INSTALADOR
( CON  IVA)]]*5%</f>
        <v>21.76829268292683</v>
      </c>
      <c r="G58" s="1">
        <v>0.82</v>
      </c>
      <c r="H58" s="3">
        <f>Tabla125[[#This Row],[COSTO]]*1.19</f>
        <v>357</v>
      </c>
      <c r="K58" s="3">
        <v>300</v>
      </c>
    </row>
    <row r="59" spans="1:11" x14ac:dyDescent="0.25">
      <c r="A59" s="7" t="s">
        <v>169</v>
      </c>
      <c r="B59" s="6" t="s">
        <v>168</v>
      </c>
      <c r="C59" s="5">
        <f>+Tabla125[[#This Row],[COSTO +IVA]]/Tabla125[[#This Row],[Columna5]]</f>
        <v>435.36585365853659</v>
      </c>
      <c r="D59" s="5">
        <f>+Tabla125[[#This Row],[PRECIO SUGERIDO INSTALADOR
( CON  IVA)]]-Tabla125[[#This Row],[Columna2]]</f>
        <v>413.59756097560978</v>
      </c>
      <c r="E59" s="5">
        <f>+Tabla125[[#This Row],[PRECIO SUGERIDO INSTALADOR
( CON  IVA)]]/0.7</f>
        <v>621.95121951219517</v>
      </c>
      <c r="F59" s="4">
        <f>+Tabla125[[#This Row],[PRECIO SUGERIDO INSTALADOR
( CON  IVA)]]*5%</f>
        <v>21.76829268292683</v>
      </c>
      <c r="G59" s="1">
        <v>0.82</v>
      </c>
      <c r="H59" s="3">
        <f>Tabla125[[#This Row],[COSTO]]*1.19</f>
        <v>357</v>
      </c>
      <c r="K59" s="3">
        <v>300</v>
      </c>
    </row>
    <row r="60" spans="1:11" x14ac:dyDescent="0.25">
      <c r="A60" s="7" t="s">
        <v>167</v>
      </c>
      <c r="B60" s="6" t="s">
        <v>166</v>
      </c>
      <c r="C60" s="5">
        <f>+Tabla125[[#This Row],[COSTO +IVA]]/Tabla125[[#This Row],[Columna5]]</f>
        <v>507.92682926829269</v>
      </c>
      <c r="D60" s="5">
        <f>+Tabla125[[#This Row],[PRECIO SUGERIDO INSTALADOR
( CON  IVA)]]-Tabla125[[#This Row],[Columna2]]</f>
        <v>482.53048780487808</v>
      </c>
      <c r="E60" s="5">
        <f>+Tabla125[[#This Row],[PRECIO SUGERIDO INSTALADOR
( CON  IVA)]]/0.7</f>
        <v>725.60975609756099</v>
      </c>
      <c r="F60" s="4">
        <f>+Tabla125[[#This Row],[PRECIO SUGERIDO INSTALADOR
( CON  IVA)]]*5%</f>
        <v>25.396341463414636</v>
      </c>
      <c r="G60" s="1">
        <v>0.82</v>
      </c>
      <c r="H60" s="3">
        <f>Tabla125[[#This Row],[COSTO]]*1.19</f>
        <v>416.5</v>
      </c>
      <c r="K60" s="3">
        <v>350</v>
      </c>
    </row>
    <row r="61" spans="1:11" ht="30" x14ac:dyDescent="0.25">
      <c r="A61" s="7" t="s">
        <v>165</v>
      </c>
      <c r="B61" s="6" t="s">
        <v>164</v>
      </c>
      <c r="C61" s="5">
        <f>+Tabla125[[#This Row],[COSTO +IVA]]/Tabla125[[#This Row],[Columna5]]</f>
        <v>435.36585365853659</v>
      </c>
      <c r="D61" s="5">
        <f>+Tabla125[[#This Row],[PRECIO SUGERIDO INSTALADOR
( CON  IVA)]]-Tabla125[[#This Row],[Columna2]]</f>
        <v>413.59756097560978</v>
      </c>
      <c r="E61" s="5">
        <f>+Tabla125[[#This Row],[PRECIO SUGERIDO INSTALADOR
( CON  IVA)]]/0.7</f>
        <v>621.95121951219517</v>
      </c>
      <c r="F61" s="4">
        <f>+Tabla125[[#This Row],[PRECIO SUGERIDO INSTALADOR
( CON  IVA)]]*5%</f>
        <v>21.76829268292683</v>
      </c>
      <c r="G61" s="1">
        <v>0.82</v>
      </c>
      <c r="H61" s="3">
        <f>Tabla125[[#This Row],[COSTO]]*1.19</f>
        <v>357</v>
      </c>
      <c r="K61" s="3">
        <v>300</v>
      </c>
    </row>
    <row r="62" spans="1:11" ht="30" x14ac:dyDescent="0.25">
      <c r="A62" s="7" t="s">
        <v>163</v>
      </c>
      <c r="B62" s="6" t="s">
        <v>162</v>
      </c>
      <c r="C62" s="5">
        <f>+Tabla125[[#This Row],[COSTO +IVA]]/Tabla125[[#This Row],[Columna5]]</f>
        <v>798.17073170731715</v>
      </c>
      <c r="D62" s="5">
        <f>+Tabla125[[#This Row],[PRECIO SUGERIDO INSTALADOR
( CON  IVA)]]-Tabla125[[#This Row],[Columna2]]</f>
        <v>758.26219512195132</v>
      </c>
      <c r="E62" s="5">
        <f>+Tabla125[[#This Row],[PRECIO SUGERIDO INSTALADOR
( CON  IVA)]]/0.7</f>
        <v>1140.2439024390246</v>
      </c>
      <c r="F62" s="4">
        <f>+Tabla125[[#This Row],[PRECIO SUGERIDO INSTALADOR
( CON  IVA)]]*5%</f>
        <v>39.908536585365859</v>
      </c>
      <c r="G62" s="1">
        <v>0.82</v>
      </c>
      <c r="H62" s="3">
        <f>Tabla125[[#This Row],[COSTO]]*1.19</f>
        <v>654.5</v>
      </c>
      <c r="K62" s="3">
        <v>550</v>
      </c>
    </row>
    <row r="63" spans="1:11" ht="45" x14ac:dyDescent="0.25">
      <c r="A63" s="7" t="s">
        <v>161</v>
      </c>
      <c r="B63" s="6" t="s">
        <v>160</v>
      </c>
      <c r="C63" s="5">
        <f>+Tabla125[[#This Row],[COSTO +IVA]]/Tabla125[[#This Row],[Columna5]]</f>
        <v>1745817.0731707318</v>
      </c>
      <c r="D63" s="5">
        <f>+Tabla125[[#This Row],[PRECIO SUGERIDO INSTALADOR
( CON  IVA)]]-Tabla125[[#This Row],[Columna2]]</f>
        <v>1658526.2195121951</v>
      </c>
      <c r="E63" s="5">
        <f>+Tabla125[[#This Row],[PRECIO SUGERIDO INSTALADOR
( CON  IVA)]]/0.7</f>
        <v>2494024.3902439028</v>
      </c>
      <c r="F63" s="4">
        <f>+Tabla125[[#This Row],[PRECIO SUGERIDO INSTALADOR
( CON  IVA)]]*5%</f>
        <v>87290.853658536595</v>
      </c>
      <c r="G63" s="1">
        <v>0.82</v>
      </c>
      <c r="H63" s="3">
        <f>Tabla125[[#This Row],[COSTO]]*1.19</f>
        <v>1431570</v>
      </c>
      <c r="K63" s="3">
        <v>1203000</v>
      </c>
    </row>
    <row r="64" spans="1:11" ht="30" x14ac:dyDescent="0.25">
      <c r="A64" s="7" t="s">
        <v>159</v>
      </c>
      <c r="B64" s="6" t="s">
        <v>158</v>
      </c>
      <c r="C64" s="5">
        <f>+Tabla125[[#This Row],[COSTO +IVA]]/Tabla125[[#This Row],[Columna5]]</f>
        <v>1639878.0487804879</v>
      </c>
      <c r="D64" s="5">
        <f>+Tabla125[[#This Row],[PRECIO SUGERIDO INSTALADOR
( CON  IVA)]]-Tabla125[[#This Row],[Columna2]]</f>
        <v>1557884.1463414636</v>
      </c>
      <c r="E64" s="5">
        <f>+Tabla125[[#This Row],[PRECIO SUGERIDO INSTALADOR
( CON  IVA)]]/0.7</f>
        <v>2342682.9268292687</v>
      </c>
      <c r="F64" s="4">
        <f>+Tabla125[[#This Row],[PRECIO SUGERIDO INSTALADOR
( CON  IVA)]]*5%</f>
        <v>81993.902439024401</v>
      </c>
      <c r="G64" s="1">
        <v>0.82</v>
      </c>
      <c r="H64" s="3">
        <f>Tabla125[[#This Row],[COSTO]]*1.19</f>
        <v>1344700</v>
      </c>
      <c r="K64" s="3">
        <v>1130000</v>
      </c>
    </row>
    <row r="65" spans="1:11" ht="45" x14ac:dyDescent="0.25">
      <c r="A65" s="7" t="s">
        <v>157</v>
      </c>
      <c r="B65" s="6" t="s">
        <v>156</v>
      </c>
      <c r="C65" s="5">
        <f>+Tabla125[[#This Row],[COSTO +IVA]]/Tabla125[[#This Row],[Columna5]]</f>
        <v>3628.0487804878053</v>
      </c>
      <c r="D65" s="5">
        <f>+Tabla125[[#This Row],[PRECIO SUGERIDO INSTALADOR
( CON  IVA)]]-Tabla125[[#This Row],[Columna2]]</f>
        <v>3446.646341463415</v>
      </c>
      <c r="E65" s="5">
        <f>+Tabla125[[#This Row],[PRECIO SUGERIDO INSTALADOR
( CON  IVA)]]/0.7</f>
        <v>5182.9268292682937</v>
      </c>
      <c r="F65" s="4">
        <f>+Tabla125[[#This Row],[PRECIO SUGERIDO INSTALADOR
( CON  IVA)]]*5%</f>
        <v>181.40243902439028</v>
      </c>
      <c r="G65" s="1">
        <v>0.82</v>
      </c>
      <c r="H65" s="3">
        <f>Tabla125[[#This Row],[COSTO]]*1.19</f>
        <v>2975</v>
      </c>
      <c r="K65" s="3">
        <v>2500</v>
      </c>
    </row>
    <row r="66" spans="1:11" ht="45" x14ac:dyDescent="0.25">
      <c r="A66" s="7" t="s">
        <v>155</v>
      </c>
      <c r="B66" s="6" t="s">
        <v>154</v>
      </c>
      <c r="C66" s="5">
        <f>+Tabla125[[#This Row],[COSTO +IVA]]/Tabla125[[#This Row],[Columna5]]</f>
        <v>11464.634146341465</v>
      </c>
      <c r="D66" s="5">
        <f>+Tabla125[[#This Row],[PRECIO SUGERIDO INSTALADOR
( CON  IVA)]]-Tabla125[[#This Row],[Columna2]]</f>
        <v>10891.402439024392</v>
      </c>
      <c r="E66" s="5">
        <f>+Tabla125[[#This Row],[PRECIO SUGERIDO INSTALADOR
( CON  IVA)]]/0.7</f>
        <v>16378.048780487808</v>
      </c>
      <c r="F66" s="4">
        <f>+Tabla125[[#This Row],[PRECIO SUGERIDO INSTALADOR
( CON  IVA)]]*5%</f>
        <v>573.2317073170733</v>
      </c>
      <c r="G66" s="1">
        <v>0.82</v>
      </c>
      <c r="H66" s="3">
        <f>Tabla125[[#This Row],[COSTO]]*1.19</f>
        <v>9401</v>
      </c>
      <c r="K66" s="3">
        <v>7900</v>
      </c>
    </row>
    <row r="67" spans="1:11" ht="45" x14ac:dyDescent="0.25">
      <c r="A67" s="7" t="s">
        <v>153</v>
      </c>
      <c r="B67" s="6" t="s">
        <v>152</v>
      </c>
      <c r="C67" s="5">
        <f>+Tabla125[[#This Row],[COSTO +IVA]]/Tabla125[[#This Row],[Columna5]]</f>
        <v>7981.707317073171</v>
      </c>
      <c r="D67" s="5">
        <f>+Tabla125[[#This Row],[PRECIO SUGERIDO INSTALADOR
( CON  IVA)]]-Tabla125[[#This Row],[Columna2]]</f>
        <v>7582.6219512195121</v>
      </c>
      <c r="E67" s="5">
        <f>+Tabla125[[#This Row],[PRECIO SUGERIDO INSTALADOR
( CON  IVA)]]/0.7</f>
        <v>11402.439024390245</v>
      </c>
      <c r="F67" s="4">
        <f>+Tabla125[[#This Row],[PRECIO SUGERIDO INSTALADOR
( CON  IVA)]]*5%</f>
        <v>399.08536585365857</v>
      </c>
      <c r="G67" s="1">
        <v>0.82</v>
      </c>
      <c r="H67" s="3">
        <f>Tabla125[[#This Row],[COSTO]]*1.19</f>
        <v>6545</v>
      </c>
      <c r="K67" s="3">
        <v>5500</v>
      </c>
    </row>
    <row r="68" spans="1:11" ht="45" x14ac:dyDescent="0.25">
      <c r="A68" s="7" t="s">
        <v>151</v>
      </c>
      <c r="B68" s="6" t="s">
        <v>150</v>
      </c>
      <c r="C68" s="5">
        <f>+Tabla125[[#This Row],[COSTO +IVA]]/Tabla125[[#This Row],[Columna5]]</f>
        <v>8997.5609756097565</v>
      </c>
      <c r="D68" s="5">
        <f>+Tabla125[[#This Row],[PRECIO SUGERIDO INSTALADOR
( CON  IVA)]]-Tabla125[[#This Row],[Columna2]]</f>
        <v>8547.6829268292695</v>
      </c>
      <c r="E68" s="5">
        <f>+Tabla125[[#This Row],[PRECIO SUGERIDO INSTALADOR
( CON  IVA)]]/0.7</f>
        <v>12853.658536585368</v>
      </c>
      <c r="F68" s="4">
        <f>+Tabla125[[#This Row],[PRECIO SUGERIDO INSTALADOR
( CON  IVA)]]*5%</f>
        <v>449.87804878048786</v>
      </c>
      <c r="G68" s="1">
        <v>0.82</v>
      </c>
      <c r="H68" s="3">
        <f>Tabla125[[#This Row],[COSTO]]*1.19</f>
        <v>7378</v>
      </c>
      <c r="K68" s="3">
        <v>6200</v>
      </c>
    </row>
    <row r="69" spans="1:11" ht="45" x14ac:dyDescent="0.25">
      <c r="A69" s="7" t="s">
        <v>149</v>
      </c>
      <c r="B69" s="6" t="s">
        <v>148</v>
      </c>
      <c r="C69" s="5">
        <f>+Tabla125[[#This Row],[COSTO +IVA]]/Tabla125[[#This Row],[Columna5]]</f>
        <v>11319.512195121952</v>
      </c>
      <c r="D69" s="5">
        <f>+Tabla125[[#This Row],[PRECIO SUGERIDO INSTALADOR
( CON  IVA)]]-Tabla125[[#This Row],[Columna2]]</f>
        <v>10753.536585365855</v>
      </c>
      <c r="E69" s="5">
        <f>+Tabla125[[#This Row],[PRECIO SUGERIDO INSTALADOR
( CON  IVA)]]/0.7</f>
        <v>16170.731707317074</v>
      </c>
      <c r="F69" s="4">
        <f>+Tabla125[[#This Row],[PRECIO SUGERIDO INSTALADOR
( CON  IVA)]]*5%</f>
        <v>565.97560975609758</v>
      </c>
      <c r="G69" s="1">
        <v>0.82</v>
      </c>
      <c r="H69" s="3">
        <f>Tabla125[[#This Row],[COSTO]]*1.19</f>
        <v>9282</v>
      </c>
      <c r="K69" s="3">
        <v>7800</v>
      </c>
    </row>
    <row r="70" spans="1:11" ht="45" x14ac:dyDescent="0.25">
      <c r="A70" s="7" t="s">
        <v>147</v>
      </c>
      <c r="B70" s="6" t="s">
        <v>146</v>
      </c>
      <c r="C70" s="5">
        <f>+Tabla125[[#This Row],[COSTO +IVA]]/Tabla125[[#This Row],[Columna5]]</f>
        <v>14076.829268292684</v>
      </c>
      <c r="D70" s="5">
        <f>+Tabla125[[#This Row],[PRECIO SUGERIDO INSTALADOR
( CON  IVA)]]-Tabla125[[#This Row],[Columna2]]</f>
        <v>13372.98780487805</v>
      </c>
      <c r="E70" s="5">
        <f>+Tabla125[[#This Row],[PRECIO SUGERIDO INSTALADOR
( CON  IVA)]]/0.7</f>
        <v>20109.756097560978</v>
      </c>
      <c r="F70" s="4">
        <f>+Tabla125[[#This Row],[PRECIO SUGERIDO INSTALADOR
( CON  IVA)]]*5%</f>
        <v>703.84146341463429</v>
      </c>
      <c r="G70" s="1">
        <v>0.82</v>
      </c>
      <c r="H70" s="3">
        <f>Tabla125[[#This Row],[COSTO]]*1.19</f>
        <v>11543</v>
      </c>
      <c r="K70" s="3">
        <v>9700</v>
      </c>
    </row>
    <row r="71" spans="1:11" ht="45" x14ac:dyDescent="0.25">
      <c r="A71" s="7" t="s">
        <v>145</v>
      </c>
      <c r="B71" s="6" t="s">
        <v>144</v>
      </c>
      <c r="C71" s="5">
        <f>+Tabla125[[#This Row],[COSTO +IVA]]/Tabla125[[#This Row],[Columna5]]</f>
        <v>14076.829268292684</v>
      </c>
      <c r="D71" s="5">
        <f>+Tabla125[[#This Row],[PRECIO SUGERIDO INSTALADOR
( CON  IVA)]]-Tabla125[[#This Row],[Columna2]]</f>
        <v>13372.98780487805</v>
      </c>
      <c r="E71" s="5">
        <f>+Tabla125[[#This Row],[PRECIO SUGERIDO INSTALADOR
( CON  IVA)]]/0.7</f>
        <v>20109.756097560978</v>
      </c>
      <c r="F71" s="4">
        <f>+Tabla125[[#This Row],[PRECIO SUGERIDO INSTALADOR
( CON  IVA)]]*5%</f>
        <v>703.84146341463429</v>
      </c>
      <c r="G71" s="1">
        <v>0.82</v>
      </c>
      <c r="H71" s="3">
        <f>Tabla125[[#This Row],[COSTO]]*1.19</f>
        <v>11543</v>
      </c>
      <c r="K71" s="3">
        <v>9700</v>
      </c>
    </row>
    <row r="72" spans="1:11" ht="45" x14ac:dyDescent="0.25">
      <c r="A72" s="7" t="s">
        <v>143</v>
      </c>
      <c r="B72" s="6" t="s">
        <v>142</v>
      </c>
      <c r="C72" s="5">
        <f>+Tabla125[[#This Row],[COSTO +IVA]]/Tabla125[[#This Row],[Columna5]]</f>
        <v>22493.90243902439</v>
      </c>
      <c r="D72" s="5">
        <f>+Tabla125[[#This Row],[PRECIO SUGERIDO INSTALADOR
( CON  IVA)]]-Tabla125[[#This Row],[Columna2]]</f>
        <v>21369.207317073171</v>
      </c>
      <c r="E72" s="5">
        <f>+Tabla125[[#This Row],[PRECIO SUGERIDO INSTALADOR
( CON  IVA)]]/0.7</f>
        <v>32134.146341463416</v>
      </c>
      <c r="F72" s="4">
        <f>+Tabla125[[#This Row],[PRECIO SUGERIDO INSTALADOR
( CON  IVA)]]*5%</f>
        <v>1124.6951219512196</v>
      </c>
      <c r="G72" s="1">
        <v>0.82</v>
      </c>
      <c r="H72" s="3">
        <f>Tabla125[[#This Row],[COSTO]]*1.19</f>
        <v>18445</v>
      </c>
      <c r="K72" s="3">
        <v>15500</v>
      </c>
    </row>
    <row r="73" spans="1:11" ht="45" x14ac:dyDescent="0.25">
      <c r="A73" s="7" t="s">
        <v>141</v>
      </c>
      <c r="B73" s="6" t="s">
        <v>140</v>
      </c>
      <c r="C73" s="5">
        <f>+Tabla125[[#This Row],[COSTO +IVA]]/Tabla125[[#This Row],[Columna5]]</f>
        <v>12335.365853658537</v>
      </c>
      <c r="D73" s="5">
        <f>+Tabla125[[#This Row],[PRECIO SUGERIDO INSTALADOR
( CON  IVA)]]-Tabla125[[#This Row],[Columna2]]</f>
        <v>11718.59756097561</v>
      </c>
      <c r="E73" s="5">
        <f>+Tabla125[[#This Row],[PRECIO SUGERIDO INSTALADOR
( CON  IVA)]]/0.7</f>
        <v>17621.951219512197</v>
      </c>
      <c r="F73" s="4">
        <f>+Tabla125[[#This Row],[PRECIO SUGERIDO INSTALADOR
( CON  IVA)]]*5%</f>
        <v>616.76829268292693</v>
      </c>
      <c r="G73" s="1">
        <v>0.82</v>
      </c>
      <c r="H73" s="3">
        <f>Tabla125[[#This Row],[COSTO]]*1.19</f>
        <v>10115</v>
      </c>
      <c r="K73" s="3">
        <v>8500</v>
      </c>
    </row>
    <row r="74" spans="1:11" ht="45" x14ac:dyDescent="0.25">
      <c r="A74" s="7" t="s">
        <v>139</v>
      </c>
      <c r="B74" s="6" t="s">
        <v>138</v>
      </c>
      <c r="C74" s="5">
        <f>+Tabla125[[#This Row],[COSTO +IVA]]/Tabla125[[#This Row],[Columna5]]</f>
        <v>30475.609756097561</v>
      </c>
      <c r="D74" s="5">
        <f>+Tabla125[[#This Row],[PRECIO SUGERIDO INSTALADOR
( CON  IVA)]]-Tabla125[[#This Row],[Columna2]]</f>
        <v>28951.829268292684</v>
      </c>
      <c r="E74" s="5">
        <f>+Tabla125[[#This Row],[PRECIO SUGERIDO INSTALADOR
( CON  IVA)]]/0.7</f>
        <v>43536.585365853665</v>
      </c>
      <c r="F74" s="4">
        <f>+Tabla125[[#This Row],[PRECIO SUGERIDO INSTALADOR
( CON  IVA)]]*5%</f>
        <v>1523.7804878048782</v>
      </c>
      <c r="G74" s="1">
        <v>0.82</v>
      </c>
      <c r="H74" s="3">
        <f>Tabla125[[#This Row],[COSTO]]*1.19</f>
        <v>24990</v>
      </c>
      <c r="K74" s="3">
        <v>21000</v>
      </c>
    </row>
    <row r="75" spans="1:11" ht="45" x14ac:dyDescent="0.25">
      <c r="A75" s="7" t="s">
        <v>137</v>
      </c>
      <c r="B75" s="6" t="s">
        <v>136</v>
      </c>
      <c r="C75" s="5">
        <f>+Tabla125[[#This Row],[COSTO +IVA]]/Tabla125[[#This Row],[Columna5]]</f>
        <v>10303.658536585366</v>
      </c>
      <c r="D75" s="5">
        <f>+Tabla125[[#This Row],[PRECIO SUGERIDO INSTALADOR
( CON  IVA)]]-Tabla125[[#This Row],[Columna2]]</f>
        <v>9788.4756097560985</v>
      </c>
      <c r="E75" s="5">
        <f>+Tabla125[[#This Row],[PRECIO SUGERIDO INSTALADOR
( CON  IVA)]]/0.7</f>
        <v>14719.512195121953</v>
      </c>
      <c r="F75" s="4">
        <f>+Tabla125[[#This Row],[PRECIO SUGERIDO INSTALADOR
( CON  IVA)]]*5%</f>
        <v>515.18292682926835</v>
      </c>
      <c r="G75" s="1">
        <v>0.82</v>
      </c>
      <c r="H75" s="3">
        <f>Tabla125[[#This Row],[COSTO]]*1.19</f>
        <v>8449</v>
      </c>
      <c r="K75" s="3">
        <v>7100</v>
      </c>
    </row>
    <row r="76" spans="1:11" ht="45" x14ac:dyDescent="0.25">
      <c r="A76" s="7" t="s">
        <v>135</v>
      </c>
      <c r="B76" s="6" t="s">
        <v>134</v>
      </c>
      <c r="C76" s="5">
        <f>+Tabla125[[#This Row],[COSTO +IVA]]/Tabla125[[#This Row],[Columna5]]</f>
        <v>12770.731707317074</v>
      </c>
      <c r="D76" s="5">
        <f>+Tabla125[[#This Row],[PRECIO SUGERIDO INSTALADOR
( CON  IVA)]]-Tabla125[[#This Row],[Columna2]]</f>
        <v>12132.195121951221</v>
      </c>
      <c r="E76" s="5">
        <f>+Tabla125[[#This Row],[PRECIO SUGERIDO INSTALADOR
( CON  IVA)]]/0.7</f>
        <v>18243.902439024394</v>
      </c>
      <c r="F76" s="4">
        <f>+Tabla125[[#This Row],[PRECIO SUGERIDO INSTALADOR
( CON  IVA)]]*5%</f>
        <v>638.53658536585374</v>
      </c>
      <c r="G76" s="1">
        <v>0.82</v>
      </c>
      <c r="H76" s="3">
        <f>Tabla125[[#This Row],[COSTO]]*1.19</f>
        <v>10472</v>
      </c>
      <c r="K76" s="3">
        <v>8800</v>
      </c>
    </row>
    <row r="77" spans="1:11" ht="45" x14ac:dyDescent="0.25">
      <c r="A77" s="7" t="s">
        <v>133</v>
      </c>
      <c r="B77" s="6" t="s">
        <v>132</v>
      </c>
      <c r="C77" s="5">
        <f>+Tabla125[[#This Row],[COSTO +IVA]]/Tabla125[[#This Row],[Columna5]]</f>
        <v>16689.024390243903</v>
      </c>
      <c r="D77" s="5">
        <f>+Tabla125[[#This Row],[PRECIO SUGERIDO INSTALADOR
( CON  IVA)]]-Tabla125[[#This Row],[Columna2]]</f>
        <v>15854.573170731708</v>
      </c>
      <c r="E77" s="5">
        <f>+Tabla125[[#This Row],[PRECIO SUGERIDO INSTALADOR
( CON  IVA)]]/0.7</f>
        <v>23841.463414634149</v>
      </c>
      <c r="F77" s="4">
        <f>+Tabla125[[#This Row],[PRECIO SUGERIDO INSTALADOR
( CON  IVA)]]*5%</f>
        <v>834.45121951219517</v>
      </c>
      <c r="G77" s="1">
        <v>0.82</v>
      </c>
      <c r="H77" s="3">
        <f>Tabla125[[#This Row],[COSTO]]*1.19</f>
        <v>13685</v>
      </c>
      <c r="K77" s="3">
        <v>11500</v>
      </c>
    </row>
    <row r="78" spans="1:11" ht="30" x14ac:dyDescent="0.25">
      <c r="A78" s="7" t="s">
        <v>131</v>
      </c>
      <c r="B78" s="6" t="s">
        <v>130</v>
      </c>
      <c r="C78" s="5">
        <f>+Tabla125[[#This Row],[COSTO +IVA]]/Tabla125[[#This Row],[Columna5]]</f>
        <v>473097.56097560981</v>
      </c>
      <c r="D78" s="5">
        <f>+Tabla125[[#This Row],[PRECIO SUGERIDO INSTALADOR
( CON  IVA)]]-Tabla125[[#This Row],[Columna2]]</f>
        <v>449442.68292682932</v>
      </c>
      <c r="E78" s="5">
        <f>+Tabla125[[#This Row],[PRECIO SUGERIDO INSTALADOR
( CON  IVA)]]/0.7</f>
        <v>675853.65853658551</v>
      </c>
      <c r="F78" s="4">
        <f>+Tabla125[[#This Row],[PRECIO SUGERIDO INSTALADOR
( CON  IVA)]]*5%</f>
        <v>23654.878048780491</v>
      </c>
      <c r="G78" s="1">
        <v>0.82</v>
      </c>
      <c r="H78" s="3">
        <f>Tabla125[[#This Row],[COSTO]]*1.19</f>
        <v>387940</v>
      </c>
      <c r="K78" s="3">
        <v>326000</v>
      </c>
    </row>
    <row r="79" spans="1:11" ht="30" x14ac:dyDescent="0.25">
      <c r="A79" s="7" t="s">
        <v>129</v>
      </c>
      <c r="B79" s="6" t="s">
        <v>128</v>
      </c>
      <c r="C79" s="5">
        <f>+Tabla125[[#This Row],[COSTO +IVA]]/Tabla125[[#This Row],[Columna5]]</f>
        <v>1277798.7804878049</v>
      </c>
      <c r="D79" s="5">
        <f>+Tabla125[[#This Row],[PRECIO SUGERIDO INSTALADOR
( CON  IVA)]]-Tabla125[[#This Row],[Columna2]]</f>
        <v>1213908.8414634147</v>
      </c>
      <c r="E79" s="5">
        <f>+Tabla125[[#This Row],[PRECIO SUGERIDO INSTALADOR
( CON  IVA)]]/0.7</f>
        <v>1825426.8292682928</v>
      </c>
      <c r="F79" s="4">
        <f>+Tabla125[[#This Row],[PRECIO SUGERIDO INSTALADOR
( CON  IVA)]]*5%</f>
        <v>63889.939024390245</v>
      </c>
      <c r="G79" s="1">
        <v>0.82</v>
      </c>
      <c r="H79" s="3">
        <f>Tabla125[[#This Row],[COSTO]]*1.19</f>
        <v>1047795</v>
      </c>
      <c r="K79" s="3">
        <v>880500</v>
      </c>
    </row>
    <row r="80" spans="1:11" ht="30" x14ac:dyDescent="0.25">
      <c r="A80" s="7" t="s">
        <v>127</v>
      </c>
      <c r="B80" s="6" t="s">
        <v>126</v>
      </c>
      <c r="C80" s="5">
        <f>+Tabla125[[#This Row],[COSTO +IVA]]/Tabla125[[#This Row],[Columna5]]</f>
        <v>56597.560975609762</v>
      </c>
      <c r="D80" s="5">
        <f>+Tabla125[[#This Row],[PRECIO SUGERIDO INSTALADOR
( CON  IVA)]]-Tabla125[[#This Row],[Columna2]]</f>
        <v>53767.682926829271</v>
      </c>
      <c r="E80" s="5">
        <f>+Tabla125[[#This Row],[PRECIO SUGERIDO INSTALADOR
( CON  IVA)]]/0.7</f>
        <v>80853.658536585383</v>
      </c>
      <c r="F80" s="4">
        <f>+Tabla125[[#This Row],[PRECIO SUGERIDO INSTALADOR
( CON  IVA)]]*5%</f>
        <v>2829.8780487804884</v>
      </c>
      <c r="G80" s="1">
        <v>0.82</v>
      </c>
      <c r="H80" s="3">
        <f>Tabla125[[#This Row],[COSTO]]*1.19</f>
        <v>46410</v>
      </c>
      <c r="K80" s="3">
        <v>39000</v>
      </c>
    </row>
    <row r="81" spans="1:11" ht="30" x14ac:dyDescent="0.25">
      <c r="A81" s="7" t="s">
        <v>125</v>
      </c>
      <c r="B81" s="6" t="s">
        <v>124</v>
      </c>
      <c r="C81" s="5">
        <f>+Tabla125[[#This Row],[COSTO +IVA]]/Tabla125[[#This Row],[Columna5]]</f>
        <v>60370.731707317078</v>
      </c>
      <c r="D81" s="5">
        <f>+Tabla125[[#This Row],[PRECIO SUGERIDO INSTALADOR
( CON  IVA)]]-Tabla125[[#This Row],[Columna2]]</f>
        <v>57352.195121951227</v>
      </c>
      <c r="E81" s="5">
        <f>+Tabla125[[#This Row],[PRECIO SUGERIDO INSTALADOR
( CON  IVA)]]/0.7</f>
        <v>86243.902439024401</v>
      </c>
      <c r="F81" s="4">
        <f>+Tabla125[[#This Row],[PRECIO SUGERIDO INSTALADOR
( CON  IVA)]]*5%</f>
        <v>3018.5365853658541</v>
      </c>
      <c r="G81" s="1">
        <v>0.82</v>
      </c>
      <c r="H81" s="3">
        <f>Tabla125[[#This Row],[COSTO]]*1.19</f>
        <v>49504</v>
      </c>
      <c r="K81" s="3">
        <v>41600</v>
      </c>
    </row>
    <row r="82" spans="1:11" ht="45" x14ac:dyDescent="0.25">
      <c r="A82" s="7" t="s">
        <v>123</v>
      </c>
      <c r="B82" s="6" t="s">
        <v>122</v>
      </c>
      <c r="C82" s="5">
        <f>+Tabla125[[#This Row],[COSTO +IVA]]/Tabla125[[#This Row],[Columna5]]</f>
        <v>3532268.2926829271</v>
      </c>
      <c r="D82" s="5">
        <f>+Tabla125[[#This Row],[PRECIO SUGERIDO INSTALADOR
( CON  IVA)]]-Tabla125[[#This Row],[Columna2]]</f>
        <v>3355654.8780487808</v>
      </c>
      <c r="E82" s="5">
        <f>+Tabla125[[#This Row],[PRECIO SUGERIDO INSTALADOR
( CON  IVA)]]/0.7</f>
        <v>5046097.5609756103</v>
      </c>
      <c r="F82" s="4">
        <f>+Tabla125[[#This Row],[PRECIO SUGERIDO INSTALADOR
( CON  IVA)]]*5%</f>
        <v>176613.41463414638</v>
      </c>
      <c r="G82" s="1">
        <v>0.82</v>
      </c>
      <c r="H82" s="3">
        <f>Tabla125[[#This Row],[COSTO]]*1.19</f>
        <v>2896460</v>
      </c>
      <c r="K82" s="3">
        <v>2434000</v>
      </c>
    </row>
    <row r="83" spans="1:11" ht="30" x14ac:dyDescent="0.25">
      <c r="A83" s="7" t="s">
        <v>121</v>
      </c>
      <c r="B83" s="6" t="s">
        <v>120</v>
      </c>
      <c r="C83" s="5">
        <f>+Tabla125[[#This Row],[COSTO +IVA]]/Tabla125[[#This Row],[Columna5]]</f>
        <v>653.04878048780495</v>
      </c>
      <c r="D83" s="5">
        <f>+Tabla125[[#This Row],[PRECIO SUGERIDO INSTALADOR
( CON  IVA)]]-Tabla125[[#This Row],[Columna2]]</f>
        <v>620.39634146341473</v>
      </c>
      <c r="E83" s="5">
        <f>+Tabla125[[#This Row],[PRECIO SUGERIDO INSTALADOR
( CON  IVA)]]/0.7</f>
        <v>932.92682926829286</v>
      </c>
      <c r="F83" s="4">
        <f>+Tabla125[[#This Row],[PRECIO SUGERIDO INSTALADOR
( CON  IVA)]]*5%</f>
        <v>32.652439024390247</v>
      </c>
      <c r="G83" s="1">
        <v>0.82</v>
      </c>
      <c r="H83" s="3">
        <f>Tabla125[[#This Row],[COSTO]]*1.19</f>
        <v>535.5</v>
      </c>
      <c r="K83" s="3">
        <v>450</v>
      </c>
    </row>
    <row r="84" spans="1:11" ht="45" x14ac:dyDescent="0.25">
      <c r="A84" s="7" t="s">
        <v>119</v>
      </c>
      <c r="B84" s="6" t="s">
        <v>118</v>
      </c>
      <c r="C84" s="5">
        <f>+Tabla125[[#This Row],[COSTO +IVA]]/Tabla125[[#This Row],[Columna5]]</f>
        <v>618945.12195121951</v>
      </c>
      <c r="D84" s="5">
        <f>+Tabla125[[#This Row],[PRECIO SUGERIDO INSTALADOR
( CON  IVA)]]-Tabla125[[#This Row],[Columna2]]</f>
        <v>587997.86585365853</v>
      </c>
      <c r="E84" s="5">
        <f>+Tabla125[[#This Row],[PRECIO SUGERIDO INSTALADOR
( CON  IVA)]]/0.7</f>
        <v>884207.31707317079</v>
      </c>
      <c r="F84" s="4">
        <f>+Tabla125[[#This Row],[PRECIO SUGERIDO INSTALADOR
( CON  IVA)]]*5%</f>
        <v>30947.256097560978</v>
      </c>
      <c r="G84" s="1">
        <v>0.82</v>
      </c>
      <c r="H84" s="3">
        <f>Tabla125[[#This Row],[COSTO]]*1.19</f>
        <v>507535</v>
      </c>
      <c r="K84" s="3">
        <v>426500</v>
      </c>
    </row>
    <row r="85" spans="1:11" ht="30" x14ac:dyDescent="0.25">
      <c r="A85" s="7" t="s">
        <v>117</v>
      </c>
      <c r="B85" s="6" t="s">
        <v>116</v>
      </c>
      <c r="C85" s="5">
        <f>+Tabla125[[#This Row],[COSTO +IVA]]/Tabla125[[#This Row],[Columna5]]</f>
        <v>842868.29268292687</v>
      </c>
      <c r="D85" s="5">
        <f>+Tabla125[[#This Row],[PRECIO SUGERIDO INSTALADOR
( CON  IVA)]]-Tabla125[[#This Row],[Columna2]]</f>
        <v>800724.87804878049</v>
      </c>
      <c r="E85" s="5">
        <f>+Tabla125[[#This Row],[PRECIO SUGERIDO INSTALADOR
( CON  IVA)]]/0.7</f>
        <v>1204097.5609756098</v>
      </c>
      <c r="F85" s="4">
        <f>+Tabla125[[#This Row],[PRECIO SUGERIDO INSTALADOR
( CON  IVA)]]*5%</f>
        <v>42143.414634146349</v>
      </c>
      <c r="G85" s="1">
        <v>0.82</v>
      </c>
      <c r="H85" s="3">
        <f>Tabla125[[#This Row],[COSTO]]*1.19</f>
        <v>691152</v>
      </c>
      <c r="K85" s="3">
        <v>580800</v>
      </c>
    </row>
    <row r="86" spans="1:11" ht="45" x14ac:dyDescent="0.25">
      <c r="A86" s="7" t="s">
        <v>115</v>
      </c>
      <c r="B86" s="6" t="s">
        <v>114</v>
      </c>
      <c r="C86" s="5">
        <f>+Tabla125[[#This Row],[COSTO +IVA]]/Tabla125[[#This Row],[Columna5]]</f>
        <v>5079.2682926829275</v>
      </c>
      <c r="D86" s="5">
        <f>+Tabla125[[#This Row],[PRECIO SUGERIDO INSTALADOR
( CON  IVA)]]-Tabla125[[#This Row],[Columna2]]</f>
        <v>4825.3048780487807</v>
      </c>
      <c r="E86" s="5">
        <f>+Tabla125[[#This Row],[PRECIO SUGERIDO INSTALADOR
( CON  IVA)]]/0.7</f>
        <v>7256.0975609756115</v>
      </c>
      <c r="F86" s="4">
        <f>+Tabla125[[#This Row],[PRECIO SUGERIDO INSTALADOR
( CON  IVA)]]*5%</f>
        <v>253.96341463414637</v>
      </c>
      <c r="G86" s="1">
        <v>0.82</v>
      </c>
      <c r="H86" s="3">
        <f>Tabla125[[#This Row],[COSTO]]*1.19</f>
        <v>4165</v>
      </c>
      <c r="K86" s="3">
        <v>3500</v>
      </c>
    </row>
    <row r="87" spans="1:11" ht="45" x14ac:dyDescent="0.25">
      <c r="A87" s="7" t="s">
        <v>113</v>
      </c>
      <c r="B87" s="6" t="s">
        <v>112</v>
      </c>
      <c r="C87" s="5">
        <f>+Tabla125[[#This Row],[COSTO +IVA]]/Tabla125[[#This Row],[Columna5]]</f>
        <v>6820.7317073170734</v>
      </c>
      <c r="D87" s="5">
        <f>+Tabla125[[#This Row],[PRECIO SUGERIDO INSTALADOR
( CON  IVA)]]-Tabla125[[#This Row],[Columna2]]</f>
        <v>6479.6951219512193</v>
      </c>
      <c r="E87" s="5">
        <f>+Tabla125[[#This Row],[PRECIO SUGERIDO INSTALADOR
( CON  IVA)]]/0.7</f>
        <v>9743.9024390243903</v>
      </c>
      <c r="F87" s="4">
        <f>+Tabla125[[#This Row],[PRECIO SUGERIDO INSTALADOR
( CON  IVA)]]*5%</f>
        <v>341.03658536585368</v>
      </c>
      <c r="G87" s="1">
        <v>0.82</v>
      </c>
      <c r="H87" s="3">
        <f>Tabla125[[#This Row],[COSTO]]*1.19</f>
        <v>5593</v>
      </c>
      <c r="K87" s="3">
        <v>4700</v>
      </c>
    </row>
    <row r="88" spans="1:11" ht="45" x14ac:dyDescent="0.25">
      <c r="A88" s="7" t="s">
        <v>111</v>
      </c>
      <c r="B88" s="6" t="s">
        <v>110</v>
      </c>
      <c r="C88" s="5">
        <f>+Tabla125[[#This Row],[COSTO +IVA]]/Tabla125[[#This Row],[Columna5]]</f>
        <v>4063.4146341463415</v>
      </c>
      <c r="D88" s="5">
        <f>+Tabla125[[#This Row],[PRECIO SUGERIDO INSTALADOR
( CON  IVA)]]-Tabla125[[#This Row],[Columna2]]</f>
        <v>3860.2439024390246</v>
      </c>
      <c r="E88" s="5">
        <f>+Tabla125[[#This Row],[PRECIO SUGERIDO INSTALADOR
( CON  IVA)]]/0.7</f>
        <v>5804.8780487804879</v>
      </c>
      <c r="F88" s="4">
        <f>+Tabla125[[#This Row],[PRECIO SUGERIDO INSTALADOR
( CON  IVA)]]*5%</f>
        <v>203.17073170731709</v>
      </c>
      <c r="G88" s="1">
        <v>0.82</v>
      </c>
      <c r="H88" s="3">
        <f>Tabla125[[#This Row],[COSTO]]*1.19</f>
        <v>3332</v>
      </c>
      <c r="K88" s="3">
        <v>2800</v>
      </c>
    </row>
    <row r="89" spans="1:11" ht="45" x14ac:dyDescent="0.25">
      <c r="A89" s="7" t="s">
        <v>109</v>
      </c>
      <c r="B89" s="6" t="s">
        <v>108</v>
      </c>
      <c r="C89" s="5">
        <f>+Tabla125[[#This Row],[COSTO +IVA]]/Tabla125[[#This Row],[Columna5]]</f>
        <v>20752.439024390245</v>
      </c>
      <c r="D89" s="5">
        <f>+Tabla125[[#This Row],[PRECIO SUGERIDO INSTALADOR
( CON  IVA)]]-Tabla125[[#This Row],[Columna2]]</f>
        <v>19714.817073170732</v>
      </c>
      <c r="E89" s="5">
        <f>+Tabla125[[#This Row],[PRECIO SUGERIDO INSTALADOR
( CON  IVA)]]/0.7</f>
        <v>29646.341463414639</v>
      </c>
      <c r="F89" s="4">
        <f>+Tabla125[[#This Row],[PRECIO SUGERIDO INSTALADOR
( CON  IVA)]]*5%</f>
        <v>1037.6219512195123</v>
      </c>
      <c r="G89" s="1">
        <v>0.82</v>
      </c>
      <c r="H89" s="3">
        <f>Tabla125[[#This Row],[COSTO]]*1.19</f>
        <v>17017</v>
      </c>
      <c r="K89" s="3">
        <v>14300</v>
      </c>
    </row>
    <row r="90" spans="1:11" ht="45" x14ac:dyDescent="0.25">
      <c r="A90" s="7" t="s">
        <v>107</v>
      </c>
      <c r="B90" s="6" t="s">
        <v>106</v>
      </c>
      <c r="C90" s="5">
        <f>+Tabla125[[#This Row],[COSTO +IVA]]/Tabla125[[#This Row],[Columna5]]</f>
        <v>21187.804878048781</v>
      </c>
      <c r="D90" s="5">
        <f>+Tabla125[[#This Row],[PRECIO SUGERIDO INSTALADOR
( CON  IVA)]]-Tabla125[[#This Row],[Columna2]]</f>
        <v>20128.414634146342</v>
      </c>
      <c r="E90" s="5">
        <f>+Tabla125[[#This Row],[PRECIO SUGERIDO INSTALADOR
( CON  IVA)]]/0.7</f>
        <v>30268.292682926833</v>
      </c>
      <c r="F90" s="4">
        <f>+Tabla125[[#This Row],[PRECIO SUGERIDO INSTALADOR
( CON  IVA)]]*5%</f>
        <v>1059.3902439024391</v>
      </c>
      <c r="G90" s="1">
        <v>0.82</v>
      </c>
      <c r="H90" s="3">
        <f>Tabla125[[#This Row],[COSTO]]*1.19</f>
        <v>17374</v>
      </c>
      <c r="K90" s="3">
        <v>14600</v>
      </c>
    </row>
    <row r="91" spans="1:11" ht="45" x14ac:dyDescent="0.25">
      <c r="A91" s="7" t="s">
        <v>105</v>
      </c>
      <c r="B91" s="6" t="s">
        <v>104</v>
      </c>
      <c r="C91" s="5">
        <f>+Tabla125[[#This Row],[COSTO +IVA]]/Tabla125[[#This Row],[Columna5]]</f>
        <v>19591.463414634149</v>
      </c>
      <c r="D91" s="5">
        <f>+Tabla125[[#This Row],[PRECIO SUGERIDO INSTALADOR
( CON  IVA)]]-Tabla125[[#This Row],[Columna2]]</f>
        <v>18611.890243902442</v>
      </c>
      <c r="E91" s="5">
        <f>+Tabla125[[#This Row],[PRECIO SUGERIDO INSTALADOR
( CON  IVA)]]/0.7</f>
        <v>27987.804878048784</v>
      </c>
      <c r="F91" s="4">
        <f>+Tabla125[[#This Row],[PRECIO SUGERIDO INSTALADOR
( CON  IVA)]]*5%</f>
        <v>979.57317073170748</v>
      </c>
      <c r="G91" s="1">
        <v>0.82</v>
      </c>
      <c r="H91" s="3">
        <f>Tabla125[[#This Row],[COSTO]]*1.19</f>
        <v>16065</v>
      </c>
      <c r="K91" s="3">
        <v>13500</v>
      </c>
    </row>
    <row r="92" spans="1:11" ht="45" x14ac:dyDescent="0.25">
      <c r="A92" s="7" t="s">
        <v>103</v>
      </c>
      <c r="B92" s="6" t="s">
        <v>102</v>
      </c>
      <c r="C92" s="5">
        <f>+Tabla125[[#This Row],[COSTO +IVA]]/Tabla125[[#This Row],[Columna5]]</f>
        <v>20026.829268292684</v>
      </c>
      <c r="D92" s="5">
        <f>+Tabla125[[#This Row],[PRECIO SUGERIDO INSTALADOR
( CON  IVA)]]-Tabla125[[#This Row],[Columna2]]</f>
        <v>19025.487804878048</v>
      </c>
      <c r="E92" s="5">
        <f>+Tabla125[[#This Row],[PRECIO SUGERIDO INSTALADOR
( CON  IVA)]]/0.7</f>
        <v>28609.756097560978</v>
      </c>
      <c r="F92" s="4">
        <f>+Tabla125[[#This Row],[PRECIO SUGERIDO INSTALADOR
( CON  IVA)]]*5%</f>
        <v>1001.3414634146343</v>
      </c>
      <c r="G92" s="1">
        <v>0.82</v>
      </c>
      <c r="H92" s="3">
        <f>Tabla125[[#This Row],[COSTO]]*1.19</f>
        <v>16422</v>
      </c>
      <c r="K92" s="3">
        <v>13800</v>
      </c>
    </row>
    <row r="93" spans="1:11" ht="45" x14ac:dyDescent="0.25">
      <c r="A93" s="7" t="s">
        <v>101</v>
      </c>
      <c r="B93" s="6" t="s">
        <v>100</v>
      </c>
      <c r="C93" s="5">
        <f>+Tabla125[[#This Row],[COSTO +IVA]]/Tabla125[[#This Row],[Columna5]]</f>
        <v>2176.8292682926831</v>
      </c>
      <c r="D93" s="5">
        <f>+Tabla125[[#This Row],[PRECIO SUGERIDO INSTALADOR
( CON  IVA)]]-Tabla125[[#This Row],[Columna2]]</f>
        <v>2067.9878048780488</v>
      </c>
      <c r="E93" s="5">
        <f>+Tabla125[[#This Row],[PRECIO SUGERIDO INSTALADOR
( CON  IVA)]]/0.7</f>
        <v>3109.7560975609758</v>
      </c>
      <c r="F93" s="4">
        <f>+Tabla125[[#This Row],[PRECIO SUGERIDO INSTALADOR
( CON  IVA)]]*5%</f>
        <v>108.84146341463416</v>
      </c>
      <c r="G93" s="1">
        <v>0.82</v>
      </c>
      <c r="H93" s="3">
        <f>Tabla125[[#This Row],[COSTO]]*1.19</f>
        <v>1785</v>
      </c>
      <c r="K93" s="3">
        <v>1500</v>
      </c>
    </row>
    <row r="94" spans="1:11" ht="45" x14ac:dyDescent="0.25">
      <c r="A94" s="7" t="s">
        <v>99</v>
      </c>
      <c r="B94" s="6" t="s">
        <v>98</v>
      </c>
      <c r="C94" s="5">
        <f>+Tabla125[[#This Row],[COSTO +IVA]]/Tabla125[[#This Row],[Columna5]]</f>
        <v>4934.1463414634145</v>
      </c>
      <c r="D94" s="5">
        <f>+Tabla125[[#This Row],[PRECIO SUGERIDO INSTALADOR
( CON  IVA)]]-Tabla125[[#This Row],[Columna2]]</f>
        <v>4687.4390243902435</v>
      </c>
      <c r="E94" s="5">
        <f>+Tabla125[[#This Row],[PRECIO SUGERIDO INSTALADOR
( CON  IVA)]]/0.7</f>
        <v>7048.7804878048782</v>
      </c>
      <c r="F94" s="4">
        <f>+Tabla125[[#This Row],[PRECIO SUGERIDO INSTALADOR
( CON  IVA)]]*5%</f>
        <v>246.70731707317074</v>
      </c>
      <c r="G94" s="1">
        <v>0.82</v>
      </c>
      <c r="H94" s="3">
        <f>Tabla125[[#This Row],[COSTO]]*1.19</f>
        <v>4046</v>
      </c>
      <c r="K94" s="3">
        <v>3400</v>
      </c>
    </row>
    <row r="95" spans="1:11" ht="45" x14ac:dyDescent="0.25">
      <c r="A95" s="7" t="s">
        <v>97</v>
      </c>
      <c r="B95" s="6" t="s">
        <v>96</v>
      </c>
      <c r="C95" s="5">
        <f>+Tabla125[[#This Row],[COSTO +IVA]]/Tabla125[[#This Row],[Columna5]]</f>
        <v>6095.121951219513</v>
      </c>
      <c r="D95" s="5">
        <f>+Tabla125[[#This Row],[PRECIO SUGERIDO INSTALADOR
( CON  IVA)]]-Tabla125[[#This Row],[Columna2]]</f>
        <v>5790.3658536585372</v>
      </c>
      <c r="E95" s="5">
        <f>+Tabla125[[#This Row],[PRECIO SUGERIDO INSTALADOR
( CON  IVA)]]/0.7</f>
        <v>8707.3170731707341</v>
      </c>
      <c r="F95" s="4">
        <f>+Tabla125[[#This Row],[PRECIO SUGERIDO INSTALADOR
( CON  IVA)]]*5%</f>
        <v>304.75609756097566</v>
      </c>
      <c r="G95" s="1">
        <v>0.82</v>
      </c>
      <c r="H95" s="3">
        <f>Tabla125[[#This Row],[COSTO]]*1.19</f>
        <v>4998</v>
      </c>
      <c r="K95" s="3">
        <v>4200</v>
      </c>
    </row>
    <row r="96" spans="1:11" ht="45" x14ac:dyDescent="0.25">
      <c r="A96" s="7" t="s">
        <v>95</v>
      </c>
      <c r="B96" s="6" t="s">
        <v>94</v>
      </c>
      <c r="C96" s="5">
        <f>+Tabla125[[#This Row],[COSTO +IVA]]/Tabla125[[#This Row],[Columna5]]</f>
        <v>87073.170731707316</v>
      </c>
      <c r="D96" s="5">
        <f>+Tabla125[[#This Row],[PRECIO SUGERIDO INSTALADOR
( CON  IVA)]]-Tabla125[[#This Row],[Columna2]]</f>
        <v>82719.512195121948</v>
      </c>
      <c r="E96" s="5">
        <f>+Tabla125[[#This Row],[PRECIO SUGERIDO INSTALADOR
( CON  IVA)]]/0.7</f>
        <v>124390.24390243903</v>
      </c>
      <c r="F96" s="4">
        <f>+Tabla125[[#This Row],[PRECIO SUGERIDO INSTALADOR
( CON  IVA)]]*5%</f>
        <v>4353.6585365853662</v>
      </c>
      <c r="G96" s="1">
        <v>0.82</v>
      </c>
      <c r="H96" s="3">
        <f>Tabla125[[#This Row],[COSTO]]*1.19</f>
        <v>71400</v>
      </c>
      <c r="K96" s="3">
        <v>60000</v>
      </c>
    </row>
    <row r="97" spans="1:11" ht="45" x14ac:dyDescent="0.25">
      <c r="A97" s="7" t="s">
        <v>93</v>
      </c>
      <c r="B97" s="6" t="s">
        <v>92</v>
      </c>
      <c r="C97" s="5">
        <f>+Tabla125[[#This Row],[COSTO +IVA]]/Tabla125[[#This Row],[Columna5]]</f>
        <v>226390.24390243905</v>
      </c>
      <c r="D97" s="5">
        <f>+Tabla125[[#This Row],[PRECIO SUGERIDO INSTALADOR
( CON  IVA)]]-Tabla125[[#This Row],[Columna2]]</f>
        <v>215070.73170731709</v>
      </c>
      <c r="E97" s="5">
        <f>+Tabla125[[#This Row],[PRECIO SUGERIDO INSTALADOR
( CON  IVA)]]/0.7</f>
        <v>323414.63414634153</v>
      </c>
      <c r="F97" s="4">
        <f>+Tabla125[[#This Row],[PRECIO SUGERIDO INSTALADOR
( CON  IVA)]]*5%</f>
        <v>11319.512195121953</v>
      </c>
      <c r="G97" s="1">
        <v>0.82</v>
      </c>
      <c r="H97" s="3">
        <f>Tabla125[[#This Row],[COSTO]]*1.19</f>
        <v>185640</v>
      </c>
      <c r="K97" s="3">
        <v>156000</v>
      </c>
    </row>
    <row r="98" spans="1:11" ht="45" x14ac:dyDescent="0.25">
      <c r="A98" s="7" t="s">
        <v>91</v>
      </c>
      <c r="B98" s="6" t="s">
        <v>90</v>
      </c>
      <c r="C98" s="5">
        <f>+Tabla125[[#This Row],[COSTO +IVA]]/Tabla125[[#This Row],[Columna5]]</f>
        <v>84170.731707317085</v>
      </c>
      <c r="D98" s="5">
        <f>+Tabla125[[#This Row],[PRECIO SUGERIDO INSTALADOR
( CON  IVA)]]-Tabla125[[#This Row],[Columna2]]</f>
        <v>79962.195121951227</v>
      </c>
      <c r="E98" s="5">
        <f>+Tabla125[[#This Row],[PRECIO SUGERIDO INSTALADOR
( CON  IVA)]]/0.7</f>
        <v>120243.90243902442</v>
      </c>
      <c r="F98" s="4">
        <f>+Tabla125[[#This Row],[PRECIO SUGERIDO INSTALADOR
( CON  IVA)]]*5%</f>
        <v>4208.5365853658541</v>
      </c>
      <c r="G98" s="1">
        <v>0.82</v>
      </c>
      <c r="H98" s="3">
        <f>Tabla125[[#This Row],[COSTO]]*1.19</f>
        <v>69020</v>
      </c>
      <c r="K98" s="3">
        <v>58000</v>
      </c>
    </row>
    <row r="99" spans="1:11" ht="45" x14ac:dyDescent="0.25">
      <c r="A99" s="7" t="s">
        <v>89</v>
      </c>
      <c r="B99" s="6" t="s">
        <v>88</v>
      </c>
      <c r="C99" s="5">
        <f>+Tabla125[[#This Row],[COSTO +IVA]]/Tabla125[[#This Row],[Columna5]]</f>
        <v>4789.0243902439024</v>
      </c>
      <c r="D99" s="5">
        <f>+Tabla125[[#This Row],[PRECIO SUGERIDO INSTALADOR
( CON  IVA)]]-Tabla125[[#This Row],[Columna2]]</f>
        <v>4549.5731707317073</v>
      </c>
      <c r="E99" s="5">
        <f>+Tabla125[[#This Row],[PRECIO SUGERIDO INSTALADOR
( CON  IVA)]]/0.7</f>
        <v>6841.4634146341468</v>
      </c>
      <c r="F99" s="4">
        <f>+Tabla125[[#This Row],[PRECIO SUGERIDO INSTALADOR
( CON  IVA)]]*5%</f>
        <v>239.45121951219514</v>
      </c>
      <c r="G99" s="1">
        <v>0.82</v>
      </c>
      <c r="H99" s="3">
        <f>Tabla125[[#This Row],[COSTO]]*1.19</f>
        <v>3927</v>
      </c>
      <c r="K99" s="3">
        <v>3300</v>
      </c>
    </row>
    <row r="100" spans="1:11" ht="45" x14ac:dyDescent="0.25">
      <c r="A100" s="7" t="s">
        <v>87</v>
      </c>
      <c r="B100" s="6" t="s">
        <v>86</v>
      </c>
      <c r="C100" s="5">
        <f>+Tabla125[[#This Row],[COSTO +IVA]]/Tabla125[[#This Row],[Columna5]]</f>
        <v>303304.87804878049</v>
      </c>
      <c r="D100" s="5">
        <f>+Tabla125[[#This Row],[PRECIO SUGERIDO INSTALADOR
( CON  IVA)]]-Tabla125[[#This Row],[Columna2]]</f>
        <v>288139.63414634147</v>
      </c>
      <c r="E100" s="5">
        <f>+Tabla125[[#This Row],[PRECIO SUGERIDO INSTALADOR
( CON  IVA)]]/0.7</f>
        <v>433292.68292682932</v>
      </c>
      <c r="F100" s="4">
        <f>+Tabla125[[#This Row],[PRECIO SUGERIDO INSTALADOR
( CON  IVA)]]*5%</f>
        <v>15165.243902439026</v>
      </c>
      <c r="G100" s="1">
        <v>0.82</v>
      </c>
      <c r="H100" s="3">
        <f>Tabla125[[#This Row],[COSTO]]*1.19</f>
        <v>248710</v>
      </c>
      <c r="K100" s="3">
        <v>209000</v>
      </c>
    </row>
    <row r="101" spans="1:11" ht="30" x14ac:dyDescent="0.25">
      <c r="A101" s="7" t="s">
        <v>85</v>
      </c>
      <c r="B101" s="6" t="s">
        <v>84</v>
      </c>
      <c r="C101" s="5">
        <f>+Tabla125[[#This Row],[COSTO +IVA]]/Tabla125[[#This Row],[Columna5]]</f>
        <v>53695.121951219517</v>
      </c>
      <c r="D101" s="5">
        <f>+Tabla125[[#This Row],[PRECIO SUGERIDO INSTALADOR
( CON  IVA)]]-Tabla125[[#This Row],[Columna2]]</f>
        <v>51010.365853658543</v>
      </c>
      <c r="E101" s="5">
        <f>+Tabla125[[#This Row],[PRECIO SUGERIDO INSTALADOR
( CON  IVA)]]/0.7</f>
        <v>76707.317073170736</v>
      </c>
      <c r="F101" s="4">
        <f>+Tabla125[[#This Row],[PRECIO SUGERIDO INSTALADOR
( CON  IVA)]]*5%</f>
        <v>2684.7560975609758</v>
      </c>
      <c r="G101" s="1">
        <v>0.82</v>
      </c>
      <c r="H101" s="3">
        <f>Tabla125[[#This Row],[COSTO]]*1.19</f>
        <v>44030</v>
      </c>
      <c r="K101" s="3">
        <v>37000</v>
      </c>
    </row>
    <row r="102" spans="1:11" ht="30" x14ac:dyDescent="0.25">
      <c r="A102" s="7" t="s">
        <v>83</v>
      </c>
      <c r="B102" s="6" t="s">
        <v>82</v>
      </c>
      <c r="C102" s="5">
        <f>+Tabla125[[#This Row],[COSTO +IVA]]/Tabla125[[#This Row],[Columna5]]</f>
        <v>95054.878048780491</v>
      </c>
      <c r="D102" s="5">
        <f>+Tabla125[[#This Row],[PRECIO SUGERIDO INSTALADOR
( CON  IVA)]]-Tabla125[[#This Row],[Columna2]]</f>
        <v>90302.134146341472</v>
      </c>
      <c r="E102" s="5">
        <f>+Tabla125[[#This Row],[PRECIO SUGERIDO INSTALADOR
( CON  IVA)]]/0.7</f>
        <v>135792.68292682929</v>
      </c>
      <c r="F102" s="4">
        <f>+Tabla125[[#This Row],[PRECIO SUGERIDO INSTALADOR
( CON  IVA)]]*5%</f>
        <v>4752.7439024390251</v>
      </c>
      <c r="G102" s="1">
        <v>0.82</v>
      </c>
      <c r="H102" s="3">
        <f>Tabla125[[#This Row],[COSTO]]*1.19</f>
        <v>77945</v>
      </c>
      <c r="K102" s="3">
        <v>65500</v>
      </c>
    </row>
    <row r="103" spans="1:11" ht="45" x14ac:dyDescent="0.25">
      <c r="A103" s="7" t="s">
        <v>81</v>
      </c>
      <c r="B103" s="6" t="s">
        <v>80</v>
      </c>
      <c r="C103" s="5">
        <f>+Tabla125[[#This Row],[COSTO +IVA]]/Tabla125[[#This Row],[Columna5]]</f>
        <v>139317.07317073172</v>
      </c>
      <c r="D103" s="5">
        <f>+Tabla125[[#This Row],[PRECIO SUGERIDO INSTALADOR
( CON  IVA)]]-Tabla125[[#This Row],[Columna2]]</f>
        <v>132351.21951219512</v>
      </c>
      <c r="E103" s="5">
        <f>+Tabla125[[#This Row],[PRECIO SUGERIDO INSTALADOR
( CON  IVA)]]/0.7</f>
        <v>199024.39024390245</v>
      </c>
      <c r="F103" s="4">
        <f>+Tabla125[[#This Row],[PRECIO SUGERIDO INSTALADOR
( CON  IVA)]]*5%</f>
        <v>6965.8536585365864</v>
      </c>
      <c r="G103" s="1">
        <v>0.82</v>
      </c>
      <c r="H103" s="3">
        <f>Tabla125[[#This Row],[COSTO]]*1.19</f>
        <v>114240</v>
      </c>
      <c r="K103" s="3">
        <v>96000</v>
      </c>
    </row>
    <row r="104" spans="1:11" ht="45" x14ac:dyDescent="0.25">
      <c r="A104" s="7" t="s">
        <v>79</v>
      </c>
      <c r="B104" s="6" t="s">
        <v>78</v>
      </c>
      <c r="C104" s="5">
        <f>+Tabla125[[#This Row],[COSTO +IVA]]/Tabla125[[#This Row],[Columna5]]</f>
        <v>39037.804878048781</v>
      </c>
      <c r="D104" s="5">
        <f>+Tabla125[[#This Row],[PRECIO SUGERIDO INSTALADOR
( CON  IVA)]]-Tabla125[[#This Row],[Columna2]]</f>
        <v>37085.914634146342</v>
      </c>
      <c r="E104" s="5">
        <f>+Tabla125[[#This Row],[PRECIO SUGERIDO INSTALADOR
( CON  IVA)]]/0.7</f>
        <v>55768.292682926833</v>
      </c>
      <c r="F104" s="4">
        <f>+Tabla125[[#This Row],[PRECIO SUGERIDO INSTALADOR
( CON  IVA)]]*5%</f>
        <v>1951.8902439024391</v>
      </c>
      <c r="G104" s="1">
        <v>0.82</v>
      </c>
      <c r="H104" s="3">
        <f>Tabla125[[#This Row],[COSTO]]*1.19</f>
        <v>32011</v>
      </c>
      <c r="K104" s="3">
        <v>26900</v>
      </c>
    </row>
    <row r="105" spans="1:11" ht="45" x14ac:dyDescent="0.25">
      <c r="A105" s="7" t="s">
        <v>77</v>
      </c>
      <c r="B105" s="6" t="s">
        <v>76</v>
      </c>
      <c r="C105" s="5">
        <f>+Tabla125[[#This Row],[COSTO +IVA]]/Tabla125[[#This Row],[Columna5]]</f>
        <v>65595.121951219509</v>
      </c>
      <c r="D105" s="5">
        <f>+Tabla125[[#This Row],[PRECIO SUGERIDO INSTALADOR
( CON  IVA)]]-Tabla125[[#This Row],[Columna2]]</f>
        <v>62315.365853658535</v>
      </c>
      <c r="E105" s="5">
        <f>+Tabla125[[#This Row],[PRECIO SUGERIDO INSTALADOR
( CON  IVA)]]/0.7</f>
        <v>93707.317073170736</v>
      </c>
      <c r="F105" s="4">
        <f>+Tabla125[[#This Row],[PRECIO SUGERIDO INSTALADOR
( CON  IVA)]]*5%</f>
        <v>3279.7560975609758</v>
      </c>
      <c r="G105" s="1">
        <v>0.82</v>
      </c>
      <c r="H105" s="3">
        <f>Tabla125[[#This Row],[COSTO]]*1.19</f>
        <v>53788</v>
      </c>
      <c r="K105" s="3">
        <v>45200</v>
      </c>
    </row>
    <row r="106" spans="1:11" ht="30" x14ac:dyDescent="0.25">
      <c r="A106" s="7" t="s">
        <v>75</v>
      </c>
      <c r="B106" s="6" t="s">
        <v>74</v>
      </c>
      <c r="C106" s="5">
        <f>+Tabla125[[#This Row],[COSTO +IVA]]/Tabla125[[#This Row],[Columna5]]</f>
        <v>51082.926829268297</v>
      </c>
      <c r="D106" s="5">
        <f>+Tabla125[[#This Row],[PRECIO SUGERIDO INSTALADOR
( CON  IVA)]]-Tabla125[[#This Row],[Columna2]]</f>
        <v>48528.780487804885</v>
      </c>
      <c r="E106" s="5">
        <f>+Tabla125[[#This Row],[PRECIO SUGERIDO INSTALADOR
( CON  IVA)]]/0.7</f>
        <v>72975.609756097576</v>
      </c>
      <c r="F106" s="4">
        <f>+Tabla125[[#This Row],[PRECIO SUGERIDO INSTALADOR
( CON  IVA)]]*5%</f>
        <v>2554.146341463415</v>
      </c>
      <c r="G106" s="1">
        <v>0.82</v>
      </c>
      <c r="H106" s="3">
        <f>Tabla125[[#This Row],[COSTO]]*1.19</f>
        <v>41888</v>
      </c>
      <c r="K106" s="3">
        <v>35200</v>
      </c>
    </row>
    <row r="107" spans="1:11" ht="45" x14ac:dyDescent="0.25">
      <c r="A107" s="7" t="s">
        <v>73</v>
      </c>
      <c r="B107" s="6" t="s">
        <v>72</v>
      </c>
      <c r="C107" s="5">
        <f>+Tabla125[[#This Row],[COSTO +IVA]]/Tabla125[[#This Row],[Columna5]]</f>
        <v>28589.024390243903</v>
      </c>
      <c r="D107" s="5">
        <f>+Tabla125[[#This Row],[PRECIO SUGERIDO INSTALADOR
( CON  IVA)]]-Tabla125[[#This Row],[Columna2]]</f>
        <v>27159.57317073171</v>
      </c>
      <c r="E107" s="5">
        <f>+Tabla125[[#This Row],[PRECIO SUGERIDO INSTALADOR
( CON  IVA)]]/0.7</f>
        <v>40841.463414634149</v>
      </c>
      <c r="F107" s="4">
        <f>+Tabla125[[#This Row],[PRECIO SUGERIDO INSTALADOR
( CON  IVA)]]*5%</f>
        <v>1429.4512195121952</v>
      </c>
      <c r="G107" s="1">
        <v>0.82</v>
      </c>
      <c r="H107" s="3">
        <f>Tabla125[[#This Row],[COSTO]]*1.19</f>
        <v>23443</v>
      </c>
      <c r="K107" s="3">
        <v>19700</v>
      </c>
    </row>
    <row r="108" spans="1:11" ht="45" x14ac:dyDescent="0.25">
      <c r="A108" s="7" t="s">
        <v>71</v>
      </c>
      <c r="B108" s="6" t="s">
        <v>70</v>
      </c>
      <c r="C108" s="5">
        <f>+Tabla125[[#This Row],[COSTO +IVA]]/Tabla125[[#This Row],[Columna5]]</f>
        <v>12480.48780487805</v>
      </c>
      <c r="D108" s="5">
        <f>+Tabla125[[#This Row],[PRECIO SUGERIDO INSTALADOR
( CON  IVA)]]-Tabla125[[#This Row],[Columna2]]</f>
        <v>11856.463414634147</v>
      </c>
      <c r="E108" s="5">
        <f>+Tabla125[[#This Row],[PRECIO SUGERIDO INSTALADOR
( CON  IVA)]]/0.7</f>
        <v>17829.268292682929</v>
      </c>
      <c r="F108" s="4">
        <f>+Tabla125[[#This Row],[PRECIO SUGERIDO INSTALADOR
( CON  IVA)]]*5%</f>
        <v>624.02439024390253</v>
      </c>
      <c r="G108" s="1">
        <v>0.82</v>
      </c>
      <c r="H108" s="3">
        <f>Tabla125[[#This Row],[COSTO]]*1.19</f>
        <v>10234</v>
      </c>
      <c r="K108" s="3">
        <v>8600</v>
      </c>
    </row>
    <row r="109" spans="1:11" ht="45" x14ac:dyDescent="0.25">
      <c r="A109" s="7" t="s">
        <v>69</v>
      </c>
      <c r="B109" s="6" t="s">
        <v>68</v>
      </c>
      <c r="C109" s="5">
        <f>+Tabla125[[#This Row],[COSTO +IVA]]/Tabla125[[#This Row],[Columna5]]</f>
        <v>7981.707317073171</v>
      </c>
      <c r="D109" s="5">
        <f>+Tabla125[[#This Row],[PRECIO SUGERIDO INSTALADOR
( CON  IVA)]]-Tabla125[[#This Row],[Columna2]]</f>
        <v>7582.6219512195121</v>
      </c>
      <c r="E109" s="5">
        <f>+Tabla125[[#This Row],[PRECIO SUGERIDO INSTALADOR
( CON  IVA)]]/0.7</f>
        <v>11402.439024390245</v>
      </c>
      <c r="F109" s="4">
        <f>+Tabla125[[#This Row],[PRECIO SUGERIDO INSTALADOR
( CON  IVA)]]*5%</f>
        <v>399.08536585365857</v>
      </c>
      <c r="G109" s="1">
        <v>0.82</v>
      </c>
      <c r="H109" s="3">
        <f>Tabla125[[#This Row],[COSTO]]*1.19</f>
        <v>6545</v>
      </c>
      <c r="K109" s="3">
        <v>5500</v>
      </c>
    </row>
    <row r="110" spans="1:11" ht="30" x14ac:dyDescent="0.25">
      <c r="A110" s="7" t="s">
        <v>67</v>
      </c>
      <c r="B110" s="6" t="s">
        <v>66</v>
      </c>
      <c r="C110" s="5">
        <f>+Tabla125[[#This Row],[COSTO +IVA]]/Tabla125[[#This Row],[Columna5]]</f>
        <v>1160.9756097560976</v>
      </c>
      <c r="D110" s="5">
        <f>+Tabla125[[#This Row],[PRECIO SUGERIDO INSTALADOR
( CON  IVA)]]-Tabla125[[#This Row],[Columna2]]</f>
        <v>1102.9268292682927</v>
      </c>
      <c r="E110" s="5">
        <f>+Tabla125[[#This Row],[PRECIO SUGERIDO INSTALADOR
( CON  IVA)]]/0.7</f>
        <v>1658.5365853658539</v>
      </c>
      <c r="F110" s="4">
        <f>+Tabla125[[#This Row],[PRECIO SUGERIDO INSTALADOR
( CON  IVA)]]*5%</f>
        <v>58.048780487804883</v>
      </c>
      <c r="G110" s="1">
        <v>0.82</v>
      </c>
      <c r="H110" s="3">
        <f>Tabla125[[#This Row],[COSTO]]*1.19</f>
        <v>952</v>
      </c>
      <c r="K110" s="3">
        <v>800</v>
      </c>
    </row>
    <row r="111" spans="1:11" ht="30" x14ac:dyDescent="0.25">
      <c r="A111" s="7" t="s">
        <v>67</v>
      </c>
      <c r="B111" s="6" t="s">
        <v>66</v>
      </c>
      <c r="C111" s="5">
        <f>+Tabla125[[#This Row],[COSTO +IVA]]/Tabla125[[#This Row],[Columna5]]</f>
        <v>1160.9756097560976</v>
      </c>
      <c r="D111" s="5">
        <f>+Tabla125[[#This Row],[PRECIO SUGERIDO INSTALADOR
( CON  IVA)]]-Tabla125[[#This Row],[Columna2]]</f>
        <v>1102.9268292682927</v>
      </c>
      <c r="E111" s="5">
        <f>+Tabla125[[#This Row],[PRECIO SUGERIDO INSTALADOR
( CON  IVA)]]/0.7</f>
        <v>1658.5365853658539</v>
      </c>
      <c r="F111" s="4">
        <f>+Tabla125[[#This Row],[PRECIO SUGERIDO INSTALADOR
( CON  IVA)]]*5%</f>
        <v>58.048780487804883</v>
      </c>
      <c r="G111" s="1">
        <v>0.82</v>
      </c>
      <c r="H111" s="3">
        <f>Tabla125[[#This Row],[COSTO]]*1.19</f>
        <v>952</v>
      </c>
      <c r="K111" s="3">
        <v>800</v>
      </c>
    </row>
    <row r="112" spans="1:11" ht="30" x14ac:dyDescent="0.25">
      <c r="A112" s="7" t="s">
        <v>65</v>
      </c>
      <c r="B112" s="6" t="s">
        <v>64</v>
      </c>
      <c r="C112" s="5">
        <f>+Tabla125[[#This Row],[COSTO +IVA]]/Tabla125[[#This Row],[Columna5]]</f>
        <v>870.73170731707319</v>
      </c>
      <c r="D112" s="5">
        <f>+Tabla125[[#This Row],[PRECIO SUGERIDO INSTALADOR
( CON  IVA)]]-Tabla125[[#This Row],[Columna2]]</f>
        <v>827.19512195121956</v>
      </c>
      <c r="E112" s="5">
        <f>+Tabla125[[#This Row],[PRECIO SUGERIDO INSTALADOR
( CON  IVA)]]/0.7</f>
        <v>1243.9024390243903</v>
      </c>
      <c r="F112" s="4">
        <f>+Tabla125[[#This Row],[PRECIO SUGERIDO INSTALADOR
( CON  IVA)]]*5%</f>
        <v>43.536585365853661</v>
      </c>
      <c r="G112" s="1">
        <v>0.82</v>
      </c>
      <c r="H112" s="3">
        <f>Tabla125[[#This Row],[COSTO]]*1.19</f>
        <v>714</v>
      </c>
      <c r="K112" s="3">
        <v>600</v>
      </c>
    </row>
    <row r="113" spans="1:11" ht="45" x14ac:dyDescent="0.25">
      <c r="A113" s="7" t="s">
        <v>63</v>
      </c>
      <c r="B113" s="6" t="s">
        <v>62</v>
      </c>
      <c r="C113" s="5">
        <f>+Tabla125[[#This Row],[COSTO +IVA]]/Tabla125[[#This Row],[Columna5]]</f>
        <v>156731.70731707319</v>
      </c>
      <c r="D113" s="5">
        <f>+Tabla125[[#This Row],[PRECIO SUGERIDO INSTALADOR
( CON  IVA)]]-Tabla125[[#This Row],[Columna2]]</f>
        <v>148895.12195121954</v>
      </c>
      <c r="E113" s="5">
        <f>+Tabla125[[#This Row],[PRECIO SUGERIDO INSTALADOR
( CON  IVA)]]/0.7</f>
        <v>223902.43902439027</v>
      </c>
      <c r="F113" s="4">
        <f>+Tabla125[[#This Row],[PRECIO SUGERIDO INSTALADOR
( CON  IVA)]]*5%</f>
        <v>7836.5853658536598</v>
      </c>
      <c r="G113" s="1">
        <v>0.82</v>
      </c>
      <c r="H113" s="3">
        <f>Tabla125[[#This Row],[COSTO]]*1.19</f>
        <v>128520</v>
      </c>
      <c r="K113" s="3">
        <v>108000</v>
      </c>
    </row>
    <row r="114" spans="1:11" ht="45" x14ac:dyDescent="0.25">
      <c r="A114" s="7" t="s">
        <v>61</v>
      </c>
      <c r="B114" s="6" t="s">
        <v>60</v>
      </c>
      <c r="C114" s="5">
        <f>+Tabla125[[#This Row],[COSTO +IVA]]/Tabla125[[#This Row],[Columna5]]</f>
        <v>316946.34146341466</v>
      </c>
      <c r="D114" s="5">
        <f>+Tabla125[[#This Row],[PRECIO SUGERIDO INSTALADOR
( CON  IVA)]]-Tabla125[[#This Row],[Columna2]]</f>
        <v>301099.02439024393</v>
      </c>
      <c r="E114" s="5">
        <f>+Tabla125[[#This Row],[PRECIO SUGERIDO INSTALADOR
( CON  IVA)]]/0.7</f>
        <v>452780.4878048781</v>
      </c>
      <c r="F114" s="4">
        <f>+Tabla125[[#This Row],[PRECIO SUGERIDO INSTALADOR
( CON  IVA)]]*5%</f>
        <v>15847.317073170734</v>
      </c>
      <c r="G114" s="1">
        <v>0.82</v>
      </c>
      <c r="H114" s="3">
        <f>Tabla125[[#This Row],[COSTO]]*1.19</f>
        <v>259896</v>
      </c>
      <c r="K114" s="3">
        <v>218400</v>
      </c>
    </row>
    <row r="115" spans="1:11" ht="45" x14ac:dyDescent="0.25">
      <c r="A115" s="7" t="s">
        <v>59</v>
      </c>
      <c r="B115" s="6" t="s">
        <v>58</v>
      </c>
      <c r="C115" s="5">
        <f>+Tabla125[[#This Row],[COSTO +IVA]]/Tabla125[[#This Row],[Columna5]]</f>
        <v>123353.65853658537</v>
      </c>
      <c r="D115" s="5">
        <f>+Tabla125[[#This Row],[PRECIO SUGERIDO INSTALADOR
( CON  IVA)]]-Tabla125[[#This Row],[Columna2]]</f>
        <v>117185.9756097561</v>
      </c>
      <c r="E115" s="5">
        <f>+Tabla125[[#This Row],[PRECIO SUGERIDO INSTALADOR
( CON  IVA)]]/0.7</f>
        <v>176219.51219512196</v>
      </c>
      <c r="F115" s="4">
        <f>+Tabla125[[#This Row],[PRECIO SUGERIDO INSTALADOR
( CON  IVA)]]*5%</f>
        <v>6167.6829268292686</v>
      </c>
      <c r="G115" s="1">
        <v>0.82</v>
      </c>
      <c r="H115" s="3">
        <f>Tabla125[[#This Row],[COSTO]]*1.19</f>
        <v>101150</v>
      </c>
      <c r="K115" s="3">
        <v>85000</v>
      </c>
    </row>
    <row r="116" spans="1:11" ht="45" x14ac:dyDescent="0.25">
      <c r="A116" s="7" t="s">
        <v>57</v>
      </c>
      <c r="B116" s="6" t="s">
        <v>56</v>
      </c>
      <c r="C116" s="5">
        <f>+Tabla125[[#This Row],[COSTO +IVA]]/Tabla125[[#This Row],[Columna5]]</f>
        <v>336102.43902439025</v>
      </c>
      <c r="D116" s="5">
        <f>+Tabla125[[#This Row],[PRECIO SUGERIDO INSTALADOR
( CON  IVA)]]-Tabla125[[#This Row],[Columna2]]</f>
        <v>319297.31707317074</v>
      </c>
      <c r="E116" s="5">
        <f>+Tabla125[[#This Row],[PRECIO SUGERIDO INSTALADOR
( CON  IVA)]]/0.7</f>
        <v>480146.34146341466</v>
      </c>
      <c r="F116" s="4">
        <f>+Tabla125[[#This Row],[PRECIO SUGERIDO INSTALADOR
( CON  IVA)]]*5%</f>
        <v>16805.121951219513</v>
      </c>
      <c r="G116" s="1">
        <v>0.82</v>
      </c>
      <c r="H116" s="3">
        <f>Tabla125[[#This Row],[COSTO]]*1.19</f>
        <v>275604</v>
      </c>
      <c r="K116" s="3">
        <v>231600</v>
      </c>
    </row>
    <row r="117" spans="1:11" ht="45" x14ac:dyDescent="0.25">
      <c r="A117" s="7" t="s">
        <v>55</v>
      </c>
      <c r="B117" s="6" t="s">
        <v>54</v>
      </c>
      <c r="C117" s="5">
        <f>+Tabla125[[#This Row],[COSTO +IVA]]/Tabla125[[#This Row],[Columna5]]</f>
        <v>215506.09756097561</v>
      </c>
      <c r="D117" s="5">
        <f>+Tabla125[[#This Row],[PRECIO SUGERIDO INSTALADOR
( CON  IVA)]]-Tabla125[[#This Row],[Columna2]]</f>
        <v>204730.79268292684</v>
      </c>
      <c r="E117" s="5">
        <f>+Tabla125[[#This Row],[PRECIO SUGERIDO INSTALADOR
( CON  IVA)]]/0.7</f>
        <v>307865.85365853662</v>
      </c>
      <c r="F117" s="4">
        <f>+Tabla125[[#This Row],[PRECIO SUGERIDO INSTALADOR
( CON  IVA)]]*5%</f>
        <v>10775.304878048781</v>
      </c>
      <c r="G117" s="1">
        <v>0.82</v>
      </c>
      <c r="H117" s="3">
        <f>Tabla125[[#This Row],[COSTO]]*1.19</f>
        <v>176715</v>
      </c>
      <c r="K117" s="3">
        <v>148500</v>
      </c>
    </row>
    <row r="118" spans="1:11" ht="45" x14ac:dyDescent="0.25">
      <c r="A118" s="7" t="s">
        <v>53</v>
      </c>
      <c r="B118" s="6" t="s">
        <v>52</v>
      </c>
      <c r="C118" s="5">
        <f>+Tabla125[[#This Row],[COSTO +IVA]]/Tabla125[[#This Row],[Columna5]]</f>
        <v>448426.8292682927</v>
      </c>
      <c r="D118" s="5">
        <f>+Tabla125[[#This Row],[PRECIO SUGERIDO INSTALADOR
( CON  IVA)]]-Tabla125[[#This Row],[Columna2]]</f>
        <v>426005.48780487804</v>
      </c>
      <c r="E118" s="5">
        <f>+Tabla125[[#This Row],[PRECIO SUGERIDO INSTALADOR
( CON  IVA)]]/0.7</f>
        <v>640609.75609756098</v>
      </c>
      <c r="F118" s="4">
        <f>+Tabla125[[#This Row],[PRECIO SUGERIDO INSTALADOR
( CON  IVA)]]*5%</f>
        <v>22421.341463414636</v>
      </c>
      <c r="G118" s="1">
        <v>0.82</v>
      </c>
      <c r="H118" s="3">
        <f>Tabla125[[#This Row],[COSTO]]*1.19</f>
        <v>367710</v>
      </c>
      <c r="K118" s="3">
        <v>309000</v>
      </c>
    </row>
    <row r="119" spans="1:11" ht="45" x14ac:dyDescent="0.25">
      <c r="A119" s="7" t="s">
        <v>51</v>
      </c>
      <c r="B119" s="6" t="s">
        <v>50</v>
      </c>
      <c r="C119" s="5">
        <f>+Tabla125[[#This Row],[COSTO +IVA]]/Tabla125[[#This Row],[Columna5]]</f>
        <v>125095.12195121952</v>
      </c>
      <c r="D119" s="5">
        <f>+Tabla125[[#This Row],[PRECIO SUGERIDO INSTALADOR
( CON  IVA)]]-Tabla125[[#This Row],[Columna2]]</f>
        <v>118840.36585365854</v>
      </c>
      <c r="E119" s="5">
        <f>+Tabla125[[#This Row],[PRECIO SUGERIDO INSTALADOR
( CON  IVA)]]/0.7</f>
        <v>178707.31707317077</v>
      </c>
      <c r="F119" s="4">
        <f>+Tabla125[[#This Row],[PRECIO SUGERIDO INSTALADOR
( CON  IVA)]]*5%</f>
        <v>6254.7560975609767</v>
      </c>
      <c r="G119" s="1">
        <v>0.82</v>
      </c>
      <c r="H119" s="3">
        <f>Tabla125[[#This Row],[COSTO]]*1.19</f>
        <v>102578</v>
      </c>
      <c r="K119" s="3">
        <v>86200</v>
      </c>
    </row>
    <row r="120" spans="1:11" ht="45" x14ac:dyDescent="0.25">
      <c r="A120" s="7" t="s">
        <v>49</v>
      </c>
      <c r="B120" s="6" t="s">
        <v>48</v>
      </c>
      <c r="C120" s="5">
        <f>+Tabla125[[#This Row],[COSTO +IVA]]/Tabla125[[#This Row],[Columna5]]</f>
        <v>42810.975609756097</v>
      </c>
      <c r="D120" s="5">
        <f>+Tabla125[[#This Row],[PRECIO SUGERIDO INSTALADOR
( CON  IVA)]]-Tabla125[[#This Row],[Columna2]]</f>
        <v>40670.42682926829</v>
      </c>
      <c r="E120" s="5">
        <f>+Tabla125[[#This Row],[PRECIO SUGERIDO INSTALADOR
( CON  IVA)]]/0.7</f>
        <v>61158.536585365859</v>
      </c>
      <c r="F120" s="4">
        <f>+Tabla125[[#This Row],[PRECIO SUGERIDO INSTALADOR
( CON  IVA)]]*5%</f>
        <v>2140.5487804878048</v>
      </c>
      <c r="G120" s="1">
        <v>0.82</v>
      </c>
      <c r="H120" s="3">
        <f>Tabla125[[#This Row],[COSTO]]*1.19</f>
        <v>35105</v>
      </c>
      <c r="K120" s="3">
        <v>29500</v>
      </c>
    </row>
    <row r="121" spans="1:11" x14ac:dyDescent="0.25">
      <c r="A121" s="7" t="s">
        <v>47</v>
      </c>
      <c r="B121" s="6" t="s">
        <v>46</v>
      </c>
      <c r="C121" s="5">
        <f>+Tabla125[[#This Row],[COSTO +IVA]]/Tabla125[[#This Row],[Columna5]]</f>
        <v>32652.439024390245</v>
      </c>
      <c r="D121" s="5">
        <f>+Tabla125[[#This Row],[PRECIO SUGERIDO INSTALADOR
( CON  IVA)]]-Tabla125[[#This Row],[Columna2]]</f>
        <v>31019.817073170732</v>
      </c>
      <c r="E121" s="5">
        <f>+Tabla125[[#This Row],[PRECIO SUGERIDO INSTALADOR
( CON  IVA)]]/0.7</f>
        <v>46646.341463414639</v>
      </c>
      <c r="F121" s="4">
        <f>+Tabla125[[#This Row],[PRECIO SUGERIDO INSTALADOR
( CON  IVA)]]*5%</f>
        <v>1632.6219512195123</v>
      </c>
      <c r="G121" s="1">
        <v>0.82</v>
      </c>
      <c r="H121" s="3">
        <f>Tabla125[[#This Row],[COSTO]]*1.19</f>
        <v>26775</v>
      </c>
      <c r="K121" s="3">
        <v>22500</v>
      </c>
    </row>
    <row r="122" spans="1:11" ht="30" x14ac:dyDescent="0.25">
      <c r="A122" s="7" t="s">
        <v>45</v>
      </c>
      <c r="B122" s="6" t="s">
        <v>44</v>
      </c>
      <c r="C122" s="5">
        <f>+Tabla125[[#This Row],[COSTO +IVA]]/Tabla125[[#This Row],[Columna5]]</f>
        <v>16979.268292682929</v>
      </c>
      <c r="D122" s="5">
        <f>+Tabla125[[#This Row],[PRECIO SUGERIDO INSTALADOR
( CON  IVA)]]-Tabla125[[#This Row],[Columna2]]</f>
        <v>16130.304878048782</v>
      </c>
      <c r="E122" s="5">
        <f>+Tabla125[[#This Row],[PRECIO SUGERIDO INSTALADOR
( CON  IVA)]]/0.7</f>
        <v>24256.097560975613</v>
      </c>
      <c r="F122" s="4">
        <f>+Tabla125[[#This Row],[PRECIO SUGERIDO INSTALADOR
( CON  IVA)]]*5%</f>
        <v>848.96341463414649</v>
      </c>
      <c r="G122" s="1">
        <v>0.82</v>
      </c>
      <c r="H122" s="3">
        <f>Tabla125[[#This Row],[COSTO]]*1.19</f>
        <v>13923</v>
      </c>
      <c r="K122" s="3">
        <v>11700</v>
      </c>
    </row>
    <row r="123" spans="1:11" ht="30" x14ac:dyDescent="0.25">
      <c r="A123" s="7" t="s">
        <v>43</v>
      </c>
      <c r="B123" s="6" t="s">
        <v>42</v>
      </c>
      <c r="C123" s="5">
        <f>+Tabla125[[#This Row],[COSTO +IVA]]/Tabla125[[#This Row],[Columna5]]</f>
        <v>25541.463414634149</v>
      </c>
      <c r="D123" s="5">
        <f>+Tabla125[[#This Row],[PRECIO SUGERIDO INSTALADOR
( CON  IVA)]]-Tabla125[[#This Row],[Columna2]]</f>
        <v>24264.390243902442</v>
      </c>
      <c r="E123" s="5">
        <f>+Tabla125[[#This Row],[PRECIO SUGERIDO INSTALADOR
( CON  IVA)]]/0.7</f>
        <v>36487.804878048788</v>
      </c>
      <c r="F123" s="4">
        <f>+Tabla125[[#This Row],[PRECIO SUGERIDO INSTALADOR
( CON  IVA)]]*5%</f>
        <v>1277.0731707317075</v>
      </c>
      <c r="G123" s="1">
        <v>0.82</v>
      </c>
      <c r="H123" s="3">
        <f>Tabla125[[#This Row],[COSTO]]*1.19</f>
        <v>20944</v>
      </c>
      <c r="K123" s="3">
        <v>17600</v>
      </c>
    </row>
    <row r="124" spans="1:11" ht="45" x14ac:dyDescent="0.25">
      <c r="A124" s="7" t="s">
        <v>41</v>
      </c>
      <c r="B124" s="6" t="s">
        <v>40</v>
      </c>
      <c r="C124" s="5">
        <f>+Tabla125[[#This Row],[COSTO +IVA]]/Tabla125[[#This Row],[Columna5]]</f>
        <v>827195.12195121951</v>
      </c>
      <c r="D124" s="5">
        <f>+Tabla125[[#This Row],[PRECIO SUGERIDO INSTALADOR
( CON  IVA)]]-Tabla125[[#This Row],[Columna2]]</f>
        <v>785835.36585365853</v>
      </c>
      <c r="E124" s="5">
        <f>+Tabla125[[#This Row],[PRECIO SUGERIDO INSTALADOR
( CON  IVA)]]/0.7</f>
        <v>1181707.3170731708</v>
      </c>
      <c r="F124" s="4">
        <f>+Tabla125[[#This Row],[PRECIO SUGERIDO INSTALADOR
( CON  IVA)]]*5%</f>
        <v>41359.756097560981</v>
      </c>
      <c r="G124" s="1">
        <v>0.82</v>
      </c>
      <c r="H124" s="3">
        <f>Tabla125[[#This Row],[COSTO]]*1.19</f>
        <v>678300</v>
      </c>
      <c r="K124" s="3">
        <v>570000</v>
      </c>
    </row>
    <row r="125" spans="1:11" ht="30" x14ac:dyDescent="0.25">
      <c r="A125" s="7" t="s">
        <v>39</v>
      </c>
      <c r="B125" s="6" t="s">
        <v>38</v>
      </c>
      <c r="C125" s="5">
        <f>+Tabla125[[#This Row],[COSTO +IVA]]/Tabla125[[#This Row],[Columna5]]</f>
        <v>548560.97560975607</v>
      </c>
      <c r="D125" s="5">
        <f>+Tabla125[[#This Row],[PRECIO SUGERIDO INSTALADOR
( CON  IVA)]]-Tabla125[[#This Row],[Columna2]]</f>
        <v>521132.92682926828</v>
      </c>
      <c r="E125" s="5">
        <f>+Tabla125[[#This Row],[PRECIO SUGERIDO INSTALADOR
( CON  IVA)]]/0.7</f>
        <v>783658.53658536589</v>
      </c>
      <c r="F125" s="4">
        <f>+Tabla125[[#This Row],[PRECIO SUGERIDO INSTALADOR
( CON  IVA)]]*5%</f>
        <v>27428.048780487807</v>
      </c>
      <c r="G125" s="1">
        <v>0.82</v>
      </c>
      <c r="H125" s="3">
        <f>Tabla125[[#This Row],[COSTO]]*1.19</f>
        <v>449820</v>
      </c>
      <c r="K125" s="3">
        <v>378000</v>
      </c>
    </row>
    <row r="126" spans="1:11" ht="30" x14ac:dyDescent="0.25">
      <c r="A126" s="7" t="s">
        <v>37</v>
      </c>
      <c r="B126" s="6" t="s">
        <v>36</v>
      </c>
      <c r="C126" s="5">
        <f>+Tabla125[[#This Row],[COSTO +IVA]]/Tabla125[[#This Row],[Columna5]]</f>
        <v>462068.29268292687</v>
      </c>
      <c r="D126" s="5">
        <f>+Tabla125[[#This Row],[PRECIO SUGERIDO INSTALADOR
( CON  IVA)]]-Tabla125[[#This Row],[Columna2]]</f>
        <v>438964.87804878055</v>
      </c>
      <c r="E126" s="5">
        <f>+Tabla125[[#This Row],[PRECIO SUGERIDO INSTALADOR
( CON  IVA)]]/0.7</f>
        <v>660097.56097560981</v>
      </c>
      <c r="F126" s="4">
        <f>+Tabla125[[#This Row],[PRECIO SUGERIDO INSTALADOR
( CON  IVA)]]*5%</f>
        <v>23103.414634146346</v>
      </c>
      <c r="G126" s="1">
        <v>0.82</v>
      </c>
      <c r="H126" s="3">
        <f>Tabla125[[#This Row],[COSTO]]*1.19</f>
        <v>378896</v>
      </c>
      <c r="K126" s="3">
        <v>318400</v>
      </c>
    </row>
    <row r="127" spans="1:11" ht="45" x14ac:dyDescent="0.25">
      <c r="A127" s="7" t="s">
        <v>35</v>
      </c>
      <c r="B127" s="6" t="s">
        <v>34</v>
      </c>
      <c r="C127" s="5">
        <f>+Tabla125[[#This Row],[COSTO +IVA]]/Tabla125[[#This Row],[Columna5]]</f>
        <v>1053585.3658536586</v>
      </c>
      <c r="D127" s="5">
        <f>+Tabla125[[#This Row],[PRECIO SUGERIDO INSTALADOR
( CON  IVA)]]-Tabla125[[#This Row],[Columna2]]</f>
        <v>1000906.0975609757</v>
      </c>
      <c r="E127" s="5">
        <f>+Tabla125[[#This Row],[PRECIO SUGERIDO INSTALADOR
( CON  IVA)]]/0.7</f>
        <v>1505121.9512195124</v>
      </c>
      <c r="F127" s="4">
        <f>+Tabla125[[#This Row],[PRECIO SUGERIDO INSTALADOR
( CON  IVA)]]*5%</f>
        <v>52679.268292682937</v>
      </c>
      <c r="G127" s="1">
        <v>0.82</v>
      </c>
      <c r="H127" s="3">
        <f>Tabla125[[#This Row],[COSTO]]*1.19</f>
        <v>863940</v>
      </c>
      <c r="K127" s="3">
        <v>726000</v>
      </c>
    </row>
    <row r="128" spans="1:11" ht="45" x14ac:dyDescent="0.25">
      <c r="A128" s="7" t="s">
        <v>33</v>
      </c>
      <c r="B128" s="6" t="s">
        <v>32</v>
      </c>
      <c r="C128" s="5">
        <f>+Tabla125[[#This Row],[COSTO +IVA]]/Tabla125[[#This Row],[Columna5]]</f>
        <v>259768.29268292684</v>
      </c>
      <c r="D128" s="5">
        <f>+Tabla125[[#This Row],[PRECIO SUGERIDO INSTALADOR
( CON  IVA)]]-Tabla125[[#This Row],[Columna2]]</f>
        <v>246779.87804878049</v>
      </c>
      <c r="E128" s="5">
        <f>+Tabla125[[#This Row],[PRECIO SUGERIDO INSTALADOR
( CON  IVA)]]/0.7</f>
        <v>371097.56097560981</v>
      </c>
      <c r="F128" s="4">
        <f>+Tabla125[[#This Row],[PRECIO SUGERIDO INSTALADOR
( CON  IVA)]]*5%</f>
        <v>12988.414634146342</v>
      </c>
      <c r="G128" s="1">
        <v>0.82</v>
      </c>
      <c r="H128" s="3">
        <f>Tabla125[[#This Row],[COSTO]]*1.19</f>
        <v>213010</v>
      </c>
      <c r="K128" s="3">
        <v>179000</v>
      </c>
    </row>
    <row r="129" spans="1:11" ht="45" x14ac:dyDescent="0.25">
      <c r="A129" s="7" t="s">
        <v>31</v>
      </c>
      <c r="B129" s="6" t="s">
        <v>30</v>
      </c>
      <c r="C129" s="5">
        <f>+Tabla125[[#This Row],[COSTO +IVA]]/Tabla125[[#This Row],[Columna5]]</f>
        <v>4881902.4390243907</v>
      </c>
      <c r="D129" s="5">
        <f>+Tabla125[[#This Row],[PRECIO SUGERIDO INSTALADOR
( CON  IVA)]]-Tabla125[[#This Row],[Columna2]]</f>
        <v>4637807.317073171</v>
      </c>
      <c r="E129" s="5">
        <f>+Tabla125[[#This Row],[PRECIO SUGERIDO INSTALADOR
( CON  IVA)]]/0.7</f>
        <v>6974146.3414634159</v>
      </c>
      <c r="F129" s="4">
        <f>+Tabla125[[#This Row],[PRECIO SUGERIDO INSTALADOR
( CON  IVA)]]*5%</f>
        <v>244095.12195121954</v>
      </c>
      <c r="G129" s="1">
        <v>0.82</v>
      </c>
      <c r="H129" s="3">
        <f>Tabla125[[#This Row],[COSTO]]*1.19</f>
        <v>4003160</v>
      </c>
      <c r="K129" s="3">
        <v>3364000</v>
      </c>
    </row>
    <row r="130" spans="1:11" ht="30" x14ac:dyDescent="0.25">
      <c r="A130" s="7" t="s">
        <v>29</v>
      </c>
      <c r="B130" s="6" t="s">
        <v>28</v>
      </c>
      <c r="C130" s="5">
        <f>+Tabla125[[#This Row],[COSTO +IVA]]/Tabla125[[#This Row],[Columna5]]</f>
        <v>185756.09756097561</v>
      </c>
      <c r="D130" s="5">
        <f>+Tabla125[[#This Row],[PRECIO SUGERIDO INSTALADOR
( CON  IVA)]]-Tabla125[[#This Row],[Columna2]]</f>
        <v>176468.29268292684</v>
      </c>
      <c r="E130" s="5">
        <f>+Tabla125[[#This Row],[PRECIO SUGERIDO INSTALADOR
( CON  IVA)]]/0.7</f>
        <v>265365.85365853662</v>
      </c>
      <c r="F130" s="4">
        <f>+Tabla125[[#This Row],[PRECIO SUGERIDO INSTALADOR
( CON  IVA)]]*5%</f>
        <v>9287.8048780487807</v>
      </c>
      <c r="G130" s="1">
        <v>0.82</v>
      </c>
      <c r="H130" s="3">
        <f>Tabla125[[#This Row],[COSTO]]*1.19</f>
        <v>152320</v>
      </c>
      <c r="K130" s="3">
        <v>128000</v>
      </c>
    </row>
    <row r="131" spans="1:11" ht="45" x14ac:dyDescent="0.25">
      <c r="A131" s="7" t="s">
        <v>27</v>
      </c>
      <c r="B131" s="6" t="s">
        <v>26</v>
      </c>
      <c r="C131" s="5">
        <f>+Tabla125[[#This Row],[COSTO +IVA]]/Tabla125[[#This Row],[Columna5]]</f>
        <v>26847.560975609758</v>
      </c>
      <c r="D131" s="5">
        <f>+Tabla125[[#This Row],[PRECIO SUGERIDO INSTALADOR
( CON  IVA)]]-Tabla125[[#This Row],[Columna2]]</f>
        <v>25505.182926829271</v>
      </c>
      <c r="E131" s="5">
        <f>+Tabla125[[#This Row],[PRECIO SUGERIDO INSTALADOR
( CON  IVA)]]/0.7</f>
        <v>38353.658536585368</v>
      </c>
      <c r="F131" s="4">
        <f>+Tabla125[[#This Row],[PRECIO SUGERIDO INSTALADOR
( CON  IVA)]]*5%</f>
        <v>1342.3780487804879</v>
      </c>
      <c r="G131" s="1">
        <v>0.82</v>
      </c>
      <c r="H131" s="3">
        <f>Tabla125[[#This Row],[COSTO]]*1.19</f>
        <v>22015</v>
      </c>
      <c r="K131" s="3">
        <v>18500</v>
      </c>
    </row>
    <row r="132" spans="1:11" ht="45" x14ac:dyDescent="0.25">
      <c r="A132" s="7" t="s">
        <v>25</v>
      </c>
      <c r="B132" s="6" t="s">
        <v>24</v>
      </c>
      <c r="C132" s="5">
        <f>+Tabla125[[#This Row],[COSTO +IVA]]/Tabla125[[#This Row],[Columna5]]</f>
        <v>51953.658536585368</v>
      </c>
      <c r="D132" s="5">
        <f>+Tabla125[[#This Row],[PRECIO SUGERIDO INSTALADOR
( CON  IVA)]]-Tabla125[[#This Row],[Columna2]]</f>
        <v>49355.975609756097</v>
      </c>
      <c r="E132" s="5">
        <f>+Tabla125[[#This Row],[PRECIO SUGERIDO INSTALADOR
( CON  IVA)]]/0.7</f>
        <v>74219.512195121963</v>
      </c>
      <c r="F132" s="4">
        <f>+Tabla125[[#This Row],[PRECIO SUGERIDO INSTALADOR
( CON  IVA)]]*5%</f>
        <v>2597.6829268292686</v>
      </c>
      <c r="G132" s="1">
        <v>0.82</v>
      </c>
      <c r="H132" s="3">
        <f>Tabla125[[#This Row],[COSTO]]*1.19</f>
        <v>42602</v>
      </c>
      <c r="K132" s="3">
        <v>35800</v>
      </c>
    </row>
    <row r="133" spans="1:11" ht="45" x14ac:dyDescent="0.25">
      <c r="A133" s="7" t="s">
        <v>23</v>
      </c>
      <c r="B133" s="6" t="s">
        <v>22</v>
      </c>
      <c r="C133" s="5">
        <f>+Tabla125[[#This Row],[COSTO +IVA]]/Tabla125[[#This Row],[Columna5]]</f>
        <v>12770.731707317074</v>
      </c>
      <c r="D133" s="5">
        <f>+Tabla125[[#This Row],[PRECIO SUGERIDO INSTALADOR
( CON  IVA)]]-Tabla125[[#This Row],[Columna2]]</f>
        <v>12132.195121951221</v>
      </c>
      <c r="E133" s="5">
        <f>+Tabla125[[#This Row],[PRECIO SUGERIDO INSTALADOR
( CON  IVA)]]/0.7</f>
        <v>18243.902439024394</v>
      </c>
      <c r="F133" s="4">
        <f>+Tabla125[[#This Row],[PRECIO SUGERIDO INSTALADOR
( CON  IVA)]]*5%</f>
        <v>638.53658536585374</v>
      </c>
      <c r="G133" s="1">
        <v>0.82</v>
      </c>
      <c r="H133" s="3">
        <f>Tabla125[[#This Row],[COSTO]]*1.19</f>
        <v>10472</v>
      </c>
      <c r="K133" s="3">
        <v>8800</v>
      </c>
    </row>
    <row r="134" spans="1:11" ht="45" x14ac:dyDescent="0.25">
      <c r="A134" s="7" t="s">
        <v>21</v>
      </c>
      <c r="B134" s="6" t="s">
        <v>20</v>
      </c>
      <c r="C134" s="5">
        <f>+Tabla125[[#This Row],[COSTO +IVA]]/Tabla125[[#This Row],[Columna5]]</f>
        <v>74737.804878048788</v>
      </c>
      <c r="D134" s="5">
        <f>+Tabla125[[#This Row],[PRECIO SUGERIDO INSTALADOR
( CON  IVA)]]-Tabla125[[#This Row],[Columna2]]</f>
        <v>71000.914634146349</v>
      </c>
      <c r="E134" s="5">
        <f>+Tabla125[[#This Row],[PRECIO SUGERIDO INSTALADOR
( CON  IVA)]]/0.7</f>
        <v>106768.29268292684</v>
      </c>
      <c r="F134" s="4">
        <f>+Tabla125[[#This Row],[PRECIO SUGERIDO INSTALADOR
( CON  IVA)]]*5%</f>
        <v>3736.8902439024396</v>
      </c>
      <c r="G134" s="1">
        <v>0.82</v>
      </c>
      <c r="H134" s="3">
        <f>Tabla125[[#This Row],[COSTO]]*1.19</f>
        <v>61285</v>
      </c>
      <c r="K134" s="3">
        <v>51500</v>
      </c>
    </row>
    <row r="135" spans="1:11" ht="45" x14ac:dyDescent="0.25">
      <c r="A135" s="7" t="s">
        <v>19</v>
      </c>
      <c r="B135" s="6" t="s">
        <v>18</v>
      </c>
      <c r="C135" s="5">
        <f>+Tabla125[[#This Row],[COSTO +IVA]]/Tabla125[[#This Row],[Columna5]]</f>
        <v>50792.682926829271</v>
      </c>
      <c r="D135" s="5">
        <f>+Tabla125[[#This Row],[PRECIO SUGERIDO INSTALADOR
( CON  IVA)]]-Tabla125[[#This Row],[Columna2]]</f>
        <v>48253.048780487807</v>
      </c>
      <c r="E135" s="5">
        <f>+Tabla125[[#This Row],[PRECIO SUGERIDO INSTALADOR
( CON  IVA)]]/0.7</f>
        <v>72560.975609756104</v>
      </c>
      <c r="F135" s="4">
        <f>+Tabla125[[#This Row],[PRECIO SUGERIDO INSTALADOR
( CON  IVA)]]*5%</f>
        <v>2539.6341463414637</v>
      </c>
      <c r="G135" s="1">
        <v>0.82</v>
      </c>
      <c r="H135" s="3">
        <f>Tabla125[[#This Row],[COSTO]]*1.19</f>
        <v>41650</v>
      </c>
      <c r="K135" s="3">
        <v>35000</v>
      </c>
    </row>
    <row r="136" spans="1:11" ht="45" x14ac:dyDescent="0.25">
      <c r="A136" s="7" t="s">
        <v>17</v>
      </c>
      <c r="B136" s="6" t="s">
        <v>16</v>
      </c>
      <c r="C136" s="5">
        <f>+Tabla125[[#This Row],[COSTO +IVA]]/Tabla125[[#This Row],[Columna5]]</f>
        <v>65304.878048780491</v>
      </c>
      <c r="D136" s="5">
        <f>+Tabla125[[#This Row],[PRECIO SUGERIDO INSTALADOR
( CON  IVA)]]-Tabla125[[#This Row],[Columna2]]</f>
        <v>62039.634146341465</v>
      </c>
      <c r="E136" s="5">
        <f>+Tabla125[[#This Row],[PRECIO SUGERIDO INSTALADOR
( CON  IVA)]]/0.7</f>
        <v>93292.682926829279</v>
      </c>
      <c r="F136" s="4">
        <f>+Tabla125[[#This Row],[PRECIO SUGERIDO INSTALADOR
( CON  IVA)]]*5%</f>
        <v>3265.2439024390246</v>
      </c>
      <c r="G136" s="1">
        <v>0.82</v>
      </c>
      <c r="H136" s="3">
        <f>Tabla125[[#This Row],[COSTO]]*1.19</f>
        <v>53550</v>
      </c>
      <c r="K136" s="3">
        <v>45000</v>
      </c>
    </row>
    <row r="137" spans="1:11" ht="45" x14ac:dyDescent="0.25">
      <c r="A137" s="7" t="s">
        <v>15</v>
      </c>
      <c r="B137" s="6" t="s">
        <v>14</v>
      </c>
      <c r="C137" s="5">
        <f>+Tabla125[[#This Row],[COSTO +IVA]]/Tabla125[[#This Row],[Columna5]]</f>
        <v>31926.829268292684</v>
      </c>
      <c r="D137" s="5">
        <f>+Tabla125[[#This Row],[PRECIO SUGERIDO INSTALADOR
( CON  IVA)]]-Tabla125[[#This Row],[Columna2]]</f>
        <v>30330.487804878048</v>
      </c>
      <c r="E137" s="5">
        <f>+Tabla125[[#This Row],[PRECIO SUGERIDO INSTALADOR
( CON  IVA)]]/0.7</f>
        <v>45609.756097560981</v>
      </c>
      <c r="F137" s="4">
        <f>+Tabla125[[#This Row],[PRECIO SUGERIDO INSTALADOR
( CON  IVA)]]*5%</f>
        <v>1596.3414634146343</v>
      </c>
      <c r="G137" s="1">
        <v>0.82</v>
      </c>
      <c r="H137" s="3">
        <f>Tabla125[[#This Row],[COSTO]]*1.19</f>
        <v>26180</v>
      </c>
      <c r="K137" s="3">
        <v>22000</v>
      </c>
    </row>
    <row r="138" spans="1:11" ht="45" x14ac:dyDescent="0.25">
      <c r="A138" s="7" t="s">
        <v>13</v>
      </c>
      <c r="B138" s="6" t="s">
        <v>12</v>
      </c>
      <c r="C138" s="5">
        <f>+Tabla125[[#This Row],[COSTO +IVA]]/Tabla125[[#This Row],[Columna5]]</f>
        <v>30040.243902439026</v>
      </c>
      <c r="D138" s="5">
        <f>+Tabla125[[#This Row],[PRECIO SUGERIDO INSTALADOR
( CON  IVA)]]-Tabla125[[#This Row],[Columna2]]</f>
        <v>28538.231707317074</v>
      </c>
      <c r="E138" s="5">
        <f>+Tabla125[[#This Row],[PRECIO SUGERIDO INSTALADOR
( CON  IVA)]]/0.7</f>
        <v>42914.634146341472</v>
      </c>
      <c r="F138" s="4">
        <f>+Tabla125[[#This Row],[PRECIO SUGERIDO INSTALADOR
( CON  IVA)]]*5%</f>
        <v>1502.0121951219514</v>
      </c>
      <c r="G138" s="1">
        <v>0.82</v>
      </c>
      <c r="H138" s="3">
        <f>Tabla125[[#This Row],[COSTO]]*1.19</f>
        <v>24633</v>
      </c>
      <c r="K138" s="3">
        <v>20700</v>
      </c>
    </row>
    <row r="139" spans="1:11" ht="45" x14ac:dyDescent="0.25">
      <c r="A139" s="7" t="s">
        <v>11</v>
      </c>
      <c r="B139" s="6" t="s">
        <v>10</v>
      </c>
      <c r="C139" s="5">
        <f>+Tabla125[[#This Row],[COSTO +IVA]]/Tabla125[[#This Row],[Columna5]]</f>
        <v>30330.487804878052</v>
      </c>
      <c r="D139" s="5">
        <f>+Tabla125[[#This Row],[PRECIO SUGERIDO INSTALADOR
( CON  IVA)]]-Tabla125[[#This Row],[Columna2]]</f>
        <v>28813.963414634149</v>
      </c>
      <c r="E139" s="5">
        <f>+Tabla125[[#This Row],[PRECIO SUGERIDO INSTALADOR
( CON  IVA)]]/0.7</f>
        <v>43329.268292682937</v>
      </c>
      <c r="F139" s="4">
        <f>+Tabla125[[#This Row],[PRECIO SUGERIDO INSTALADOR
( CON  IVA)]]*5%</f>
        <v>1516.5243902439026</v>
      </c>
      <c r="G139" s="1">
        <v>0.82</v>
      </c>
      <c r="H139" s="3">
        <f>Tabla125[[#This Row],[COSTO]]*1.19</f>
        <v>24871</v>
      </c>
      <c r="K139" s="3">
        <v>20900</v>
      </c>
    </row>
    <row r="140" spans="1:11" ht="30" x14ac:dyDescent="0.25">
      <c r="A140" s="7" t="s">
        <v>9</v>
      </c>
      <c r="B140" s="6" t="s">
        <v>8</v>
      </c>
      <c r="C140" s="5">
        <f>+Tabla125[[#This Row],[COSTO +IVA]]/Tabla125[[#This Row],[Columna5]]</f>
        <v>6530.4878048780492</v>
      </c>
      <c r="D140" s="5">
        <f>+Tabla125[[#This Row],[PRECIO SUGERIDO INSTALADOR
( CON  IVA)]]-Tabla125[[#This Row],[Columna2]]</f>
        <v>6203.9634146341468</v>
      </c>
      <c r="E140" s="5">
        <f>+Tabla125[[#This Row],[PRECIO SUGERIDO INSTALADOR
( CON  IVA)]]/0.7</f>
        <v>9329.2682926829275</v>
      </c>
      <c r="F140" s="4">
        <f>+Tabla125[[#This Row],[PRECIO SUGERIDO INSTALADOR
( CON  IVA)]]*5%</f>
        <v>326.52439024390247</v>
      </c>
      <c r="G140" s="1">
        <v>0.82</v>
      </c>
      <c r="H140" s="3">
        <f>Tabla125[[#This Row],[COSTO]]*1.19</f>
        <v>5355</v>
      </c>
      <c r="K140" s="3">
        <v>4500</v>
      </c>
    </row>
    <row r="141" spans="1:11" ht="30" x14ac:dyDescent="0.25">
      <c r="A141" s="7" t="s">
        <v>7</v>
      </c>
      <c r="B141" s="6" t="s">
        <v>6</v>
      </c>
      <c r="C141" s="5">
        <f>+Tabla125[[#This Row],[COSTO +IVA]]/Tabla125[[#This Row],[Columna5]]</f>
        <v>9287.8048780487807</v>
      </c>
      <c r="D141" s="5">
        <f>+Tabla125[[#This Row],[PRECIO SUGERIDO INSTALADOR
( CON  IVA)]]-Tabla125[[#This Row],[Columna2]]</f>
        <v>8823.414634146342</v>
      </c>
      <c r="E141" s="5">
        <f>+Tabla125[[#This Row],[PRECIO SUGERIDO INSTALADOR
( CON  IVA)]]/0.7</f>
        <v>13268.292682926831</v>
      </c>
      <c r="F141" s="4">
        <f>+Tabla125[[#This Row],[PRECIO SUGERIDO INSTALADOR
( CON  IVA)]]*5%</f>
        <v>464.39024390243907</v>
      </c>
      <c r="G141" s="1">
        <v>0.82</v>
      </c>
      <c r="H141" s="3">
        <f>Tabla125[[#This Row],[COSTO]]*1.19</f>
        <v>7616</v>
      </c>
      <c r="K141" s="3">
        <v>6400</v>
      </c>
    </row>
    <row r="142" spans="1:11" ht="30" x14ac:dyDescent="0.25">
      <c r="A142" s="7" t="s">
        <v>5</v>
      </c>
      <c r="B142" s="6" t="s">
        <v>4</v>
      </c>
      <c r="C142" s="5">
        <f>+Tabla125[[#This Row],[COSTO +IVA]]/Tabla125[[#This Row],[Columna5]]</f>
        <v>272829.26829268294</v>
      </c>
      <c r="D142" s="5">
        <f>+Tabla125[[#This Row],[PRECIO SUGERIDO INSTALADOR
( CON  IVA)]]-Tabla125[[#This Row],[Columna2]]</f>
        <v>259187.8048780488</v>
      </c>
      <c r="E142" s="5">
        <f>+Tabla125[[#This Row],[PRECIO SUGERIDO INSTALADOR
( CON  IVA)]]/0.7</f>
        <v>389756.09756097564</v>
      </c>
      <c r="F142" s="4">
        <f>+Tabla125[[#This Row],[PRECIO SUGERIDO INSTALADOR
( CON  IVA)]]*5%</f>
        <v>13641.463414634149</v>
      </c>
      <c r="G142" s="1">
        <v>0.82</v>
      </c>
      <c r="H142" s="3">
        <f>Tabla125[[#This Row],[COSTO]]*1.19</f>
        <v>223720</v>
      </c>
      <c r="K142" s="3">
        <v>188000</v>
      </c>
    </row>
    <row r="143" spans="1:11" ht="45" x14ac:dyDescent="0.25">
      <c r="A143" s="7" t="s">
        <v>3</v>
      </c>
      <c r="B143" s="6" t="s">
        <v>2</v>
      </c>
      <c r="C143" s="5">
        <f>+Tabla125[[#This Row],[COSTO +IVA]]/Tabla125[[#This Row],[Columna5]]</f>
        <v>6801865.8536585374</v>
      </c>
      <c r="D143" s="5">
        <f>+Tabla125[[#This Row],[PRECIO SUGERIDO INSTALADOR
( CON  IVA)]]-Tabla125[[#This Row],[Columna2]]</f>
        <v>6461772.5609756103</v>
      </c>
      <c r="E143" s="5">
        <f>+Tabla125[[#This Row],[PRECIO SUGERIDO INSTALADOR
( CON  IVA)]]/0.7</f>
        <v>9716951.2195121963</v>
      </c>
      <c r="F143" s="4">
        <f>+Tabla125[[#This Row],[PRECIO SUGERIDO INSTALADOR
( CON  IVA)]]*5%</f>
        <v>340093.29268292687</v>
      </c>
      <c r="G143" s="1">
        <v>0.82</v>
      </c>
      <c r="H143" s="3">
        <f>Tabla125[[#This Row],[COSTO]]*1.19</f>
        <v>5577530</v>
      </c>
      <c r="K143" s="3">
        <v>4687000</v>
      </c>
    </row>
    <row r="144" spans="1:11" ht="45" x14ac:dyDescent="0.25">
      <c r="A144" s="7" t="s">
        <v>1</v>
      </c>
      <c r="B144" s="6" t="s">
        <v>0</v>
      </c>
      <c r="C144" s="5">
        <f>+Tabla125[[#This Row],[COSTO +IVA]]/Tabla125[[#This Row],[Columna5]]</f>
        <v>2152158.5365853659</v>
      </c>
      <c r="D144" s="5">
        <f>+Tabla125[[#This Row],[PRECIO SUGERIDO INSTALADOR
( CON  IVA)]]-Tabla125[[#This Row],[Columna2]]</f>
        <v>2044550.6097560977</v>
      </c>
      <c r="E144" s="5">
        <f>+Tabla125[[#This Row],[PRECIO SUGERIDO INSTALADOR
( CON  IVA)]]/0.7</f>
        <v>3074512.1951219514</v>
      </c>
      <c r="F144" s="4">
        <f>+Tabla125[[#This Row],[PRECIO SUGERIDO INSTALADOR
( CON  IVA)]]*5%</f>
        <v>107607.9268292683</v>
      </c>
      <c r="G144" s="1">
        <v>0.82</v>
      </c>
      <c r="H144" s="3">
        <f>Tabla125[[#This Row],[COSTO]]*1.19</f>
        <v>1764770</v>
      </c>
      <c r="K144" s="3">
        <v>1483000</v>
      </c>
    </row>
  </sheetData>
  <conditionalFormatting sqref="A1:E1">
    <cfRule type="containsErrors" dxfId="0" priority="1">
      <formula>ISERROR(A1)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LANPRO 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dcterms:created xsi:type="dcterms:W3CDTF">2026-05-13T16:01:51Z</dcterms:created>
  <dcterms:modified xsi:type="dcterms:W3CDTF">2026-09-24T21:56:07Z</dcterms:modified>
</cp:coreProperties>
</file>