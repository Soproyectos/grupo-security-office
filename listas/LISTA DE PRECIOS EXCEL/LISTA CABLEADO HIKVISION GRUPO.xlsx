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1D471F06-85B4-4E47-A935-094C98D48909}" xr6:coauthVersionLast="47" xr6:coauthVersionMax="47" xr10:uidLastSave="{00000000-0000-0000-0000-000000000000}"/>
  <bookViews>
    <workbookView xWindow="-120" yWindow="-120" windowWidth="24240" windowHeight="13140" xr2:uid="{90623EE8-7880-46AF-A3B2-FA50BD44A944}"/>
  </bookViews>
  <sheets>
    <sheet name="UTP HIKVI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'UTP HIKVISION'!$A$1:$H$48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Tabla17[[#All],[REFERENCIA]:[PRECIO CLIENTE FINAL ( CON 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8" i="1" l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N2" i="1"/>
  <c r="Q2" i="1"/>
  <c r="N3" i="1"/>
  <c r="Q3" i="1"/>
  <c r="N4" i="1"/>
  <c r="Q4" i="1"/>
  <c r="N5" i="1"/>
  <c r="Q5" i="1"/>
  <c r="P5" i="1" s="1"/>
  <c r="N6" i="1"/>
  <c r="Q6" i="1"/>
  <c r="Q7" i="1"/>
  <c r="N7" i="1"/>
  <c r="Q8" i="1"/>
  <c r="N8" i="1"/>
  <c r="Q9" i="1"/>
  <c r="N9" i="1"/>
  <c r="Q10" i="1"/>
  <c r="N10" i="1"/>
  <c r="N11" i="1"/>
  <c r="Q11" i="1"/>
  <c r="N12" i="1"/>
  <c r="Q12" i="1"/>
  <c r="N13" i="1"/>
  <c r="Q13" i="1"/>
  <c r="N14" i="1"/>
  <c r="Q14" i="1"/>
  <c r="N15" i="1"/>
  <c r="Q15" i="1"/>
  <c r="N16" i="1"/>
  <c r="Q16" i="1"/>
  <c r="C16" i="1" s="1"/>
  <c r="G16" i="1" s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Q24" i="1"/>
  <c r="N24" i="1"/>
  <c r="N25" i="1"/>
  <c r="Q25" i="1"/>
  <c r="N26" i="1"/>
  <c r="Q26" i="1"/>
  <c r="N27" i="1"/>
  <c r="Q27" i="1"/>
  <c r="E28" i="1" l="1"/>
  <c r="M28" i="1"/>
  <c r="H28" i="1" s="1"/>
  <c r="L28" i="1"/>
  <c r="K28" i="1" s="1"/>
  <c r="E29" i="1"/>
  <c r="L29" i="1"/>
  <c r="K29" i="1" s="1"/>
  <c r="M29" i="1"/>
  <c r="H29" i="1" s="1"/>
  <c r="E30" i="1"/>
  <c r="L30" i="1"/>
  <c r="K30" i="1" s="1"/>
  <c r="M30" i="1"/>
  <c r="H30" i="1" s="1"/>
  <c r="E31" i="1"/>
  <c r="L31" i="1"/>
  <c r="K31" i="1" s="1"/>
  <c r="M31" i="1"/>
  <c r="H31" i="1" s="1"/>
  <c r="E32" i="1"/>
  <c r="M32" i="1"/>
  <c r="H32" i="1" s="1"/>
  <c r="L32" i="1"/>
  <c r="K32" i="1" s="1"/>
  <c r="E33" i="1"/>
  <c r="L33" i="1"/>
  <c r="K33" i="1" s="1"/>
  <c r="M33" i="1"/>
  <c r="H33" i="1" s="1"/>
  <c r="L34" i="1"/>
  <c r="K34" i="1" s="1"/>
  <c r="M34" i="1"/>
  <c r="H34" i="1" s="1"/>
  <c r="E34" i="1"/>
  <c r="L35" i="1"/>
  <c r="K35" i="1" s="1"/>
  <c r="E35" i="1"/>
  <c r="M35" i="1"/>
  <c r="H35" i="1" s="1"/>
  <c r="L36" i="1"/>
  <c r="K36" i="1" s="1"/>
  <c r="E36" i="1"/>
  <c r="M36" i="1"/>
  <c r="H36" i="1" s="1"/>
  <c r="L37" i="1"/>
  <c r="K37" i="1" s="1"/>
  <c r="E37" i="1"/>
  <c r="M37" i="1"/>
  <c r="H37" i="1" s="1"/>
  <c r="L38" i="1"/>
  <c r="K38" i="1" s="1"/>
  <c r="M38" i="1"/>
  <c r="H38" i="1" s="1"/>
  <c r="E38" i="1"/>
  <c r="L39" i="1"/>
  <c r="K39" i="1" s="1"/>
  <c r="M39" i="1"/>
  <c r="H39" i="1" s="1"/>
  <c r="E39" i="1"/>
  <c r="E40" i="1"/>
  <c r="L40" i="1"/>
  <c r="K40" i="1" s="1"/>
  <c r="M40" i="1"/>
  <c r="H40" i="1" s="1"/>
  <c r="M41" i="1"/>
  <c r="H41" i="1" s="1"/>
  <c r="E41" i="1"/>
  <c r="L41" i="1"/>
  <c r="K41" i="1" s="1"/>
  <c r="M42" i="1"/>
  <c r="H42" i="1" s="1"/>
  <c r="E42" i="1"/>
  <c r="L42" i="1"/>
  <c r="K42" i="1" s="1"/>
  <c r="M43" i="1"/>
  <c r="H43" i="1" s="1"/>
  <c r="L43" i="1"/>
  <c r="K43" i="1" s="1"/>
  <c r="E43" i="1"/>
  <c r="M44" i="1"/>
  <c r="H44" i="1" s="1"/>
  <c r="E44" i="1"/>
  <c r="L44" i="1"/>
  <c r="K44" i="1" s="1"/>
  <c r="M45" i="1"/>
  <c r="H45" i="1" s="1"/>
  <c r="L45" i="1"/>
  <c r="K45" i="1" s="1"/>
  <c r="E45" i="1"/>
  <c r="M46" i="1"/>
  <c r="H46" i="1" s="1"/>
  <c r="E46" i="1"/>
  <c r="L46" i="1"/>
  <c r="K46" i="1" s="1"/>
  <c r="M47" i="1"/>
  <c r="H47" i="1" s="1"/>
  <c r="L47" i="1"/>
  <c r="K47" i="1" s="1"/>
  <c r="E47" i="1"/>
  <c r="M48" i="1"/>
  <c r="H48" i="1" s="1"/>
  <c r="E48" i="1"/>
  <c r="L48" i="1"/>
  <c r="K48" i="1" s="1"/>
  <c r="F28" i="1"/>
  <c r="J28" i="1"/>
  <c r="I28" i="1" s="1"/>
  <c r="J29" i="1"/>
  <c r="I29" i="1" s="1"/>
  <c r="F29" i="1"/>
  <c r="J30" i="1"/>
  <c r="I30" i="1" s="1"/>
  <c r="F30" i="1"/>
  <c r="F31" i="1"/>
  <c r="J31" i="1"/>
  <c r="I31" i="1" s="1"/>
  <c r="J32" i="1"/>
  <c r="I32" i="1" s="1"/>
  <c r="F32" i="1"/>
  <c r="F33" i="1"/>
  <c r="J33" i="1"/>
  <c r="I33" i="1" s="1"/>
  <c r="J34" i="1"/>
  <c r="I34" i="1" s="1"/>
  <c r="F34" i="1"/>
  <c r="J35" i="1"/>
  <c r="I35" i="1" s="1"/>
  <c r="F35" i="1"/>
  <c r="F36" i="1"/>
  <c r="J36" i="1"/>
  <c r="I36" i="1" s="1"/>
  <c r="J37" i="1"/>
  <c r="I37" i="1" s="1"/>
  <c r="F37" i="1"/>
  <c r="F38" i="1"/>
  <c r="J38" i="1"/>
  <c r="I38" i="1" s="1"/>
  <c r="J39" i="1"/>
  <c r="I39" i="1" s="1"/>
  <c r="F39" i="1"/>
  <c r="F40" i="1"/>
  <c r="J40" i="1"/>
  <c r="I40" i="1" s="1"/>
  <c r="J41" i="1"/>
  <c r="I41" i="1" s="1"/>
  <c r="F41" i="1"/>
  <c r="F42" i="1"/>
  <c r="J42" i="1"/>
  <c r="I42" i="1" s="1"/>
  <c r="J43" i="1"/>
  <c r="I43" i="1" s="1"/>
  <c r="F43" i="1"/>
  <c r="F44" i="1"/>
  <c r="J44" i="1"/>
  <c r="I44" i="1" s="1"/>
  <c r="J45" i="1"/>
  <c r="I45" i="1" s="1"/>
  <c r="F45" i="1"/>
  <c r="F46" i="1"/>
  <c r="J46" i="1"/>
  <c r="I46" i="1" s="1"/>
  <c r="J47" i="1"/>
  <c r="I47" i="1" s="1"/>
  <c r="F47" i="1"/>
  <c r="F48" i="1"/>
  <c r="J48" i="1"/>
  <c r="I48" i="1" s="1"/>
  <c r="P28" i="1"/>
  <c r="C28" i="1"/>
  <c r="O28" i="1"/>
  <c r="C29" i="1"/>
  <c r="O29" i="1"/>
  <c r="P29" i="1"/>
  <c r="C30" i="1"/>
  <c r="O30" i="1"/>
  <c r="P30" i="1"/>
  <c r="C31" i="1"/>
  <c r="O31" i="1"/>
  <c r="P31" i="1"/>
  <c r="C32" i="1"/>
  <c r="P32" i="1"/>
  <c r="O32" i="1"/>
  <c r="C33" i="1"/>
  <c r="O33" i="1"/>
  <c r="P33" i="1"/>
  <c r="C34" i="1"/>
  <c r="O34" i="1"/>
  <c r="P34" i="1"/>
  <c r="C35" i="1"/>
  <c r="O35" i="1"/>
  <c r="P35" i="1"/>
  <c r="O36" i="1"/>
  <c r="P36" i="1"/>
  <c r="C36" i="1"/>
  <c r="C37" i="1"/>
  <c r="O37" i="1"/>
  <c r="P37" i="1"/>
  <c r="C38" i="1"/>
  <c r="O38" i="1"/>
  <c r="P38" i="1"/>
  <c r="O39" i="1"/>
  <c r="C39" i="1"/>
  <c r="P39" i="1"/>
  <c r="O40" i="1"/>
  <c r="C40" i="1"/>
  <c r="P40" i="1"/>
  <c r="O41" i="1"/>
  <c r="C41" i="1"/>
  <c r="P41" i="1"/>
  <c r="P42" i="1"/>
  <c r="O42" i="1"/>
  <c r="C42" i="1"/>
  <c r="P43" i="1"/>
  <c r="C43" i="1"/>
  <c r="O43" i="1"/>
  <c r="P44" i="1"/>
  <c r="C44" i="1"/>
  <c r="O44" i="1"/>
  <c r="O45" i="1"/>
  <c r="P45" i="1"/>
  <c r="C45" i="1"/>
  <c r="O46" i="1"/>
  <c r="P46" i="1"/>
  <c r="C46" i="1"/>
  <c r="O47" i="1"/>
  <c r="P47" i="1"/>
  <c r="C47" i="1"/>
  <c r="O48" i="1"/>
  <c r="P48" i="1"/>
  <c r="C48" i="1"/>
  <c r="E2" i="1"/>
  <c r="M2" i="1"/>
  <c r="H2" i="1" s="1"/>
  <c r="L2" i="1"/>
  <c r="K2" i="1" s="1"/>
  <c r="O2" i="1"/>
  <c r="P2" i="1"/>
  <c r="C2" i="1"/>
  <c r="M3" i="1"/>
  <c r="H3" i="1" s="1"/>
  <c r="E3" i="1"/>
  <c r="L3" i="1"/>
  <c r="K3" i="1" s="1"/>
  <c r="O3" i="1"/>
  <c r="P3" i="1"/>
  <c r="C3" i="1"/>
  <c r="E4" i="1"/>
  <c r="L4" i="1"/>
  <c r="K4" i="1" s="1"/>
  <c r="M4" i="1"/>
  <c r="H4" i="1" s="1"/>
  <c r="O4" i="1"/>
  <c r="C4" i="1"/>
  <c r="P4" i="1"/>
  <c r="E5" i="1"/>
  <c r="M5" i="1"/>
  <c r="H5" i="1" s="1"/>
  <c r="L5" i="1"/>
  <c r="K5" i="1" s="1"/>
  <c r="C5" i="1"/>
  <c r="O5" i="1"/>
  <c r="E6" i="1"/>
  <c r="L6" i="1"/>
  <c r="M6" i="1"/>
  <c r="H6" i="1" s="1"/>
  <c r="K6" i="1"/>
  <c r="P6" i="1"/>
  <c r="O6" i="1"/>
  <c r="C6" i="1"/>
  <c r="O7" i="1"/>
  <c r="C7" i="1"/>
  <c r="P7" i="1"/>
  <c r="M7" i="1"/>
  <c r="H7" i="1" s="1"/>
  <c r="L7" i="1"/>
  <c r="K7" i="1" s="1"/>
  <c r="E7" i="1"/>
  <c r="O8" i="1"/>
  <c r="C8" i="1"/>
  <c r="P8" i="1"/>
  <c r="L8" i="1"/>
  <c r="E8" i="1"/>
  <c r="M8" i="1"/>
  <c r="H8" i="1" s="1"/>
  <c r="K8" i="1"/>
  <c r="C9" i="1"/>
  <c r="O9" i="1"/>
  <c r="P9" i="1"/>
  <c r="L9" i="1"/>
  <c r="E9" i="1"/>
  <c r="M9" i="1"/>
  <c r="H9" i="1" s="1"/>
  <c r="K9" i="1"/>
  <c r="C10" i="1"/>
  <c r="O10" i="1"/>
  <c r="P10" i="1"/>
  <c r="M10" i="1"/>
  <c r="H10" i="1" s="1"/>
  <c r="E10" i="1"/>
  <c r="L10" i="1"/>
  <c r="K10" i="1" s="1"/>
  <c r="E11" i="1"/>
  <c r="M11" i="1"/>
  <c r="H11" i="1" s="1"/>
  <c r="L11" i="1"/>
  <c r="K11" i="1" s="1"/>
  <c r="C11" i="1"/>
  <c r="O11" i="1"/>
  <c r="P11" i="1"/>
  <c r="M12" i="1"/>
  <c r="H12" i="1" s="1"/>
  <c r="E12" i="1"/>
  <c r="L12" i="1"/>
  <c r="K12" i="1" s="1"/>
  <c r="O12" i="1"/>
  <c r="C12" i="1"/>
  <c r="P12" i="1"/>
  <c r="L13" i="1"/>
  <c r="E13" i="1"/>
  <c r="K13" i="1"/>
  <c r="M13" i="1"/>
  <c r="H13" i="1" s="1"/>
  <c r="P13" i="1"/>
  <c r="C13" i="1"/>
  <c r="O13" i="1"/>
  <c r="E14" i="1"/>
  <c r="M14" i="1"/>
  <c r="H14" i="1" s="1"/>
  <c r="L14" i="1"/>
  <c r="K14" i="1" s="1"/>
  <c r="P14" i="1"/>
  <c r="O14" i="1"/>
  <c r="C14" i="1"/>
  <c r="E15" i="1"/>
  <c r="L15" i="1"/>
  <c r="K15" i="1" s="1"/>
  <c r="M15" i="1"/>
  <c r="H15" i="1" s="1"/>
  <c r="C15" i="1"/>
  <c r="P15" i="1"/>
  <c r="O15" i="1"/>
  <c r="E16" i="1"/>
  <c r="L16" i="1"/>
  <c r="K16" i="1" s="1"/>
  <c r="M16" i="1"/>
  <c r="H16" i="1" s="1"/>
  <c r="P16" i="1"/>
  <c r="D16" i="1" s="1"/>
  <c r="O16" i="1"/>
  <c r="M17" i="1"/>
  <c r="H17" i="1" s="1"/>
  <c r="L17" i="1"/>
  <c r="K17" i="1" s="1"/>
  <c r="E17" i="1"/>
  <c r="P17" i="1"/>
  <c r="O17" i="1"/>
  <c r="C17" i="1"/>
  <c r="M18" i="1"/>
  <c r="H18" i="1" s="1"/>
  <c r="L18" i="1"/>
  <c r="K18" i="1"/>
  <c r="E18" i="1"/>
  <c r="O18" i="1"/>
  <c r="C18" i="1"/>
  <c r="P18" i="1"/>
  <c r="L19" i="1"/>
  <c r="K19" i="1"/>
  <c r="E19" i="1"/>
  <c r="M19" i="1"/>
  <c r="H19" i="1" s="1"/>
  <c r="C19" i="1"/>
  <c r="O19" i="1"/>
  <c r="P19" i="1"/>
  <c r="L20" i="1"/>
  <c r="M20" i="1"/>
  <c r="H20" i="1" s="1"/>
  <c r="K20" i="1"/>
  <c r="E20" i="1"/>
  <c r="C20" i="1"/>
  <c r="P20" i="1"/>
  <c r="O20" i="1"/>
  <c r="M21" i="1"/>
  <c r="H21" i="1" s="1"/>
  <c r="L21" i="1"/>
  <c r="K21" i="1"/>
  <c r="E21" i="1"/>
  <c r="P21" i="1"/>
  <c r="O21" i="1"/>
  <c r="C21" i="1"/>
  <c r="M22" i="1"/>
  <c r="H22" i="1" s="1"/>
  <c r="L22" i="1"/>
  <c r="K22" i="1" s="1"/>
  <c r="E22" i="1"/>
  <c r="P22" i="1"/>
  <c r="O22" i="1"/>
  <c r="C22" i="1"/>
  <c r="L23" i="1"/>
  <c r="K23" i="1" s="1"/>
  <c r="E23" i="1"/>
  <c r="M23" i="1"/>
  <c r="H23" i="1" s="1"/>
  <c r="C23" i="1"/>
  <c r="O23" i="1"/>
  <c r="P23" i="1"/>
  <c r="O24" i="1"/>
  <c r="P24" i="1"/>
  <c r="C24" i="1"/>
  <c r="M24" i="1"/>
  <c r="H24" i="1" s="1"/>
  <c r="L24" i="1"/>
  <c r="K24" i="1"/>
  <c r="E24" i="1"/>
  <c r="L25" i="1"/>
  <c r="E25" i="1"/>
  <c r="K25" i="1"/>
  <c r="M25" i="1"/>
  <c r="H25" i="1" s="1"/>
  <c r="C25" i="1"/>
  <c r="O25" i="1"/>
  <c r="P25" i="1"/>
  <c r="E26" i="1"/>
  <c r="L26" i="1"/>
  <c r="K26" i="1" s="1"/>
  <c r="M26" i="1"/>
  <c r="H26" i="1" s="1"/>
  <c r="C26" i="1"/>
  <c r="P26" i="1"/>
  <c r="O26" i="1"/>
  <c r="E27" i="1"/>
  <c r="L27" i="1"/>
  <c r="K27" i="1"/>
  <c r="M27" i="1"/>
  <c r="H27" i="1" s="1"/>
  <c r="C27" i="1"/>
  <c r="O27" i="1"/>
  <c r="P27" i="1"/>
  <c r="G28" i="1" l="1"/>
  <c r="D28" i="1"/>
  <c r="G29" i="1"/>
  <c r="D29" i="1"/>
  <c r="G30" i="1"/>
  <c r="D30" i="1"/>
  <c r="G31" i="1"/>
  <c r="D31" i="1"/>
  <c r="G32" i="1"/>
  <c r="D32" i="1"/>
  <c r="G33" i="1"/>
  <c r="D33" i="1"/>
  <c r="G34" i="1"/>
  <c r="D34" i="1"/>
  <c r="G35" i="1"/>
  <c r="D35" i="1"/>
  <c r="G36" i="1"/>
  <c r="D36" i="1"/>
  <c r="G37" i="1"/>
  <c r="D37" i="1"/>
  <c r="G38" i="1"/>
  <c r="D38" i="1"/>
  <c r="G39" i="1"/>
  <c r="D39" i="1"/>
  <c r="G40" i="1"/>
  <c r="D40" i="1"/>
  <c r="G41" i="1"/>
  <c r="D41" i="1"/>
  <c r="G42" i="1"/>
  <c r="D42" i="1"/>
  <c r="G43" i="1"/>
  <c r="D43" i="1"/>
  <c r="G44" i="1"/>
  <c r="D44" i="1"/>
  <c r="G45" i="1"/>
  <c r="D45" i="1"/>
  <c r="G46" i="1"/>
  <c r="D46" i="1"/>
  <c r="G47" i="1"/>
  <c r="D47" i="1"/>
  <c r="G48" i="1"/>
  <c r="D48" i="1"/>
  <c r="J2" i="1"/>
  <c r="I2" i="1" s="1"/>
  <c r="F2" i="1"/>
  <c r="D2" i="1"/>
  <c r="G2" i="1"/>
  <c r="J3" i="1"/>
  <c r="I3" i="1" s="1"/>
  <c r="F3" i="1"/>
  <c r="D3" i="1"/>
  <c r="G3" i="1"/>
  <c r="F4" i="1"/>
  <c r="J4" i="1"/>
  <c r="I4" i="1" s="1"/>
  <c r="D4" i="1"/>
  <c r="G4" i="1"/>
  <c r="F5" i="1"/>
  <c r="J5" i="1"/>
  <c r="I5" i="1" s="1"/>
  <c r="D5" i="1"/>
  <c r="G5" i="1"/>
  <c r="F6" i="1"/>
  <c r="J6" i="1"/>
  <c r="I6" i="1" s="1"/>
  <c r="G6" i="1"/>
  <c r="D6" i="1"/>
  <c r="D7" i="1"/>
  <c r="G7" i="1"/>
  <c r="J7" i="1"/>
  <c r="I7" i="1" s="1"/>
  <c r="F7" i="1"/>
  <c r="D8" i="1"/>
  <c r="G8" i="1"/>
  <c r="F8" i="1"/>
  <c r="J8" i="1"/>
  <c r="I8" i="1" s="1"/>
  <c r="D9" i="1"/>
  <c r="G9" i="1"/>
  <c r="F9" i="1"/>
  <c r="J9" i="1"/>
  <c r="I9" i="1" s="1"/>
  <c r="D10" i="1"/>
  <c r="G10" i="1"/>
  <c r="J10" i="1"/>
  <c r="I10" i="1" s="1"/>
  <c r="F10" i="1"/>
  <c r="J11" i="1"/>
  <c r="I11" i="1" s="1"/>
  <c r="F11" i="1"/>
  <c r="D11" i="1"/>
  <c r="G11" i="1"/>
  <c r="J12" i="1"/>
  <c r="I12" i="1" s="1"/>
  <c r="F12" i="1"/>
  <c r="D12" i="1"/>
  <c r="G12" i="1"/>
  <c r="J13" i="1"/>
  <c r="I13" i="1" s="1"/>
  <c r="F13" i="1"/>
  <c r="D13" i="1"/>
  <c r="G13" i="1"/>
  <c r="J14" i="1"/>
  <c r="I14" i="1" s="1"/>
  <c r="F14" i="1"/>
  <c r="G14" i="1"/>
  <c r="D14" i="1"/>
  <c r="J15" i="1"/>
  <c r="I15" i="1" s="1"/>
  <c r="F15" i="1"/>
  <c r="G15" i="1"/>
  <c r="D15" i="1"/>
  <c r="J16" i="1"/>
  <c r="I16" i="1" s="1"/>
  <c r="F16" i="1"/>
  <c r="J17" i="1"/>
  <c r="I17" i="1" s="1"/>
  <c r="F17" i="1"/>
  <c r="G17" i="1"/>
  <c r="D17" i="1"/>
  <c r="J18" i="1"/>
  <c r="I18" i="1" s="1"/>
  <c r="F18" i="1"/>
  <c r="G18" i="1"/>
  <c r="D18" i="1"/>
  <c r="J19" i="1"/>
  <c r="I19" i="1" s="1"/>
  <c r="F19" i="1"/>
  <c r="G19" i="1"/>
  <c r="D19" i="1"/>
  <c r="J20" i="1"/>
  <c r="I20" i="1" s="1"/>
  <c r="F20" i="1"/>
  <c r="G20" i="1"/>
  <c r="D20" i="1"/>
  <c r="J21" i="1"/>
  <c r="I21" i="1" s="1"/>
  <c r="F21" i="1"/>
  <c r="G21" i="1"/>
  <c r="D21" i="1"/>
  <c r="J22" i="1"/>
  <c r="I22" i="1" s="1"/>
  <c r="F22" i="1"/>
  <c r="G22" i="1"/>
  <c r="D22" i="1"/>
  <c r="J23" i="1"/>
  <c r="I23" i="1" s="1"/>
  <c r="F23" i="1"/>
  <c r="G23" i="1"/>
  <c r="D23" i="1"/>
  <c r="G24" i="1"/>
  <c r="D24" i="1"/>
  <c r="J24" i="1"/>
  <c r="I24" i="1" s="1"/>
  <c r="F24" i="1"/>
  <c r="J25" i="1"/>
  <c r="I25" i="1" s="1"/>
  <c r="F25" i="1"/>
  <c r="G25" i="1"/>
  <c r="D25" i="1"/>
  <c r="J26" i="1"/>
  <c r="I26" i="1" s="1"/>
  <c r="F26" i="1"/>
  <c r="G26" i="1"/>
  <c r="D26" i="1"/>
  <c r="F27" i="1"/>
  <c r="J27" i="1"/>
  <c r="I27" i="1" s="1"/>
  <c r="D27" i="1"/>
  <c r="G27" i="1"/>
</calcChain>
</file>

<file path=xl/sharedStrings.xml><?xml version="1.0" encoding="utf-8"?>
<sst xmlns="http://schemas.openxmlformats.org/spreadsheetml/2006/main" count="113" uniqueCount="112">
  <si>
    <t>DS-1NP6UEC0 orange 5m</t>
  </si>
  <si>
    <t>DS-1NP6UEC0 orange 3m</t>
  </si>
  <si>
    <t>DS-1NP6UEC0 orange 1m</t>
  </si>
  <si>
    <t>DS-1NP6UEC0 grey 3m</t>
  </si>
  <si>
    <t>DS-1NP6UEC0 grey 2m</t>
  </si>
  <si>
    <t>DS-1NP6UEC0 grey 10m</t>
  </si>
  <si>
    <t>DS-1NP6UEC0 blue 2m</t>
  </si>
  <si>
    <t>DS-1LN6UEL5/White 305m</t>
  </si>
  <si>
    <t>DS-1LN6APSL3 blue 305m</t>
  </si>
  <si>
    <t>DS-1LN5EUSL5/White 305m</t>
  </si>
  <si>
    <t>DS-1NP6UEC0 blue 0.5m</t>
  </si>
  <si>
    <t>CABLE UTP CAT 6 EXTERIOR NEGRO USO REDES Y CCTVCM 23AWG  0.55mm UL HIKVISION X 305 MTS  100% COBRE</t>
  </si>
  <si>
    <t>DS-1LN6OUSPE black 305m</t>
  </si>
  <si>
    <t>DS-FOGX-B6A1-L0 2C 2km</t>
  </si>
  <si>
    <t>DS-FOGX-B6A1-L0 2C 1km</t>
  </si>
  <si>
    <t>Cable de fibra FTTH, GJYXFCH, LSZH, 1 núcleos. Cable óptico autoportante de tipo arco GJYXFCH consta de un cable GJXFH y un cable mensajero (cable de acero)</t>
  </si>
  <si>
    <t>DS-FOGX-B6A1-L0 1C 2km</t>
  </si>
  <si>
    <t>DS-FOGX-B6A1-L0 1C 1km</t>
  </si>
  <si>
    <t>CABLE UTP CAT 6  GRIS USO REDES Y CCTVCM 23AWG UL HIKVISION X 305 MTS  100% COBRE</t>
  </si>
  <si>
    <t>DS-1LN6U-G</t>
  </si>
  <si>
    <t>INSTALLER SIN IVA</t>
  </si>
  <si>
    <t>ORO SIN IVA</t>
  </si>
  <si>
    <t>PRECIO SUGERIDO INSTALADOR</t>
  </si>
  <si>
    <t xml:space="preserve">resta tienda </t>
  </si>
  <si>
    <t>Columna8</t>
  </si>
  <si>
    <t>DPP ORO</t>
  </si>
  <si>
    <t>Columna6</t>
  </si>
  <si>
    <t>DPP PLATINO</t>
  </si>
  <si>
    <t>Columna4</t>
  </si>
  <si>
    <t>Columna3</t>
  </si>
  <si>
    <t xml:space="preserve"> PLATINO</t>
  </si>
  <si>
    <t>ORO</t>
  </si>
  <si>
    <t>PRECIO CLIENTE FINAL ( CON  IVA)</t>
  </si>
  <si>
    <t>PRECIO DPP PLATINO ( CON  IVA)</t>
  </si>
  <si>
    <t>PRECIO DPP ORO ( CON  IVA)</t>
  </si>
  <si>
    <t>PRECIO TIENDA ( CON  IVA)</t>
  </si>
  <si>
    <t>PRECIO  INSTALADOR
( CON  IVA)</t>
  </si>
  <si>
    <t xml:space="preserve">DESCRIPCIÓN </t>
  </si>
  <si>
    <t>REFERENCIA</t>
  </si>
  <si>
    <t>DS-1LN5E-E/E-Plug</t>
  </si>
  <si>
    <t>DS-1LN6OUTPE-Plugblack305m</t>
  </si>
  <si>
    <t>DS-1LN6-UE-W-Plug</t>
  </si>
  <si>
    <t>DS-1LN5EO-UU/E-Plug</t>
  </si>
  <si>
    <t>DS-1NP6UEC0 blue 1m</t>
  </si>
  <si>
    <t>CABLE UTP CAT 5E / 305 METROS / COBRE SÓLIDO 24 AWG / DIÁMETRO 4.7 MM / FUNDA PVC CMX GRIS / IMPEDANCIA 100 Ω / INCLUYE PLUG EN EXTREMO</t>
  </si>
  <si>
    <t>CABLE UTP CAT 5E PARA EXTERIOR / 305 METROS / COBRE SÓLIDO 24 AWG / DIÁMETRO 4.7 MM / FUNDA PVC CMX GRIS / IMPEDANCIA 100 Ω / INCLUYE PLUF EN EXTERIOR</t>
  </si>
  <si>
    <t>CABLE UTP CAT 5E / 305 METROS / COBRE SÓLIDO 0.5 MM (24 AWG) / IMPEDANCIA 100 Ω / DIÁMETRO EXTERNO 5 ± 0.4 MM / FUNDA PVC CM GRIS / TEMPERATURA –20 °C A 70 °C</t>
  </si>
  <si>
    <t>DS-1M5EUA</t>
  </si>
  <si>
    <t>CONECTOR RJ45 CAT 5E / CONTACTOS ORO 15 µ” / 8 PINES / SOPORTA 1000 BASE‑T / 150 VAC / 1.5 A / POLICARBONATO UL94V‑2 / –25 °C A 55 °C</t>
  </si>
  <si>
    <t>DS-1CK6U180N</t>
  </si>
  <si>
    <t>JACK KEYSTONE CAT 6 SIN PANTALLA / TOOL‑LESS 180 ° / CUMPLE ISO/IEC 11801 CLASE E Y ANSI/TIA‑568.2‑D</t>
  </si>
  <si>
    <t>DS-1CK6U180T</t>
  </si>
  <si>
    <t>JACK KEYSTONE CAT 6 / CONEXIÓN MANUAL RECTALÍNEA 180° / CONTACTOS ORO 50 µ” / SOPORTA HASTA 250 MHZ / CUMPLE ANSI/TIA‑568.2‑D E ISO/IEC 11801</t>
  </si>
  <si>
    <t>DS-1CK6U90T White 50PCS</t>
  </si>
  <si>
    <t>KEYSTONE JACK CAT 6 / ÁNGULO 90° / CONEXIÓN MANUAL IDC / CONTACTOS ORO 50 µ″ / SOPORTA 250 MHZ / CUMPLE ANSI/TIA‑568.2‑D / COLOR BLANCO / PACK 50 UNIDADES</t>
  </si>
  <si>
    <t>DS-1CK6U90T Orange 50PCS</t>
  </si>
  <si>
    <t>KEYSTONE JACK CAT 6 / ÁNGULO 90° / CONEXIÓN MANUAL IDC / CONTACTOS ORO 50 µ″ / SOPORTA 250 MHZ / CUMPLE ANSI/TIA‑568.2‑D / COLOR NARANJA / PACK 50 UNIDADES</t>
  </si>
  <si>
    <t>DS-1CK6U90T Blue 50PCS</t>
  </si>
  <si>
    <t>KEYSTONE JACK CAT 6 / ÁNGULO 90° / CONEXIÓN MANUAL IDC / CONTACTOS ORO 50 µ″ / SOPORTA 250 MHZ / CUMPLE ANSI/TIA‑568.2‑D / COLOR AZUL / PACK 50 UNIDADES</t>
  </si>
  <si>
    <t>DS-1CP6U24-1U</t>
  </si>
  <si>
    <t>PATCH PANEL 24 PUERTOS CAT 6 / 1U / IDC / CUMPLE ANSI/TIA‑568.2‑D / CUERPO METÁLICO UL94V‑0 / SOPORTA CABLES 22–24 AWG</t>
  </si>
  <si>
    <t>CABLE UTP CAT 6 EXTERIOR / BOBINA 305 ± 1.5 M / COBRE SÓLIDO 23 AWG (0.552 MM) / IMPEDANCIA 100 Ω / FUNDA PE NEGRA / RIP‑CORD Y SEPARADOR / INCLUYE PLUG</t>
  </si>
  <si>
    <t>DS-1LN6UEL5</t>
  </si>
  <si>
    <t>CABLE UTP CAT 6 INTERIOR / BOBINA 305 ± 1.5 M / COBRE SÓLIDO 24 AWG (0.530 MM) / IMPEDANCIA 100 Ω / FUNDA LSZH BLANCA / RIP‑CORD Y SEPARADOR / RANGO –20 °C A 75 °C</t>
  </si>
  <si>
    <t>CABLE UTP CAT 6 INTERIOR / BOBINA 305 ± 1.5 M / COBRE SÓLIDO 24 AWG (0.530 MM) / IMPEDANCIA 100 Ω / FUNDA PVC CM BLANCA / RIP‑CORD / POE MANTENIDO / INCLUYE PLUG</t>
  </si>
  <si>
    <t>DS-1M6UA</t>
  </si>
  <si>
    <t>CONECTOR RJ45 CAT 6 / CONTACTOS ORO CHAPADOS 15 µ"/30 µ″ / SOPORTA 1000 BASE‑T / CORRIENTE MÁX 1.5 A / VOLTAJE ≤ 150 VAC / CARCASA POLICARBONATO UL94V‑2</t>
  </si>
  <si>
    <t>DS-1NP6ADL0(O-STD) blue 1m</t>
  </si>
  <si>
    <t>PATCH CORD CAT6A / RENDIMIENTO ELÉCTRICO ESTABLE / BAJA RESISTENCIA Y PÉRDIDA DE INSERCIÓN / CERTIFICADO FLUKE CHANNEL TEST</t>
  </si>
  <si>
    <t>DS-1NP6ADL0(O-STD) blue 3m</t>
  </si>
  <si>
    <t>PATCH CORD CAT6A / LONGITUD 3M / COLOR AZUL / CATEGORÍA 307417 PATCH CORD / SERIE PREMISES DISTRIBUTION SYSTEM</t>
  </si>
  <si>
    <t>DS-1NP6ADL0(O-STD) grey 1m</t>
  </si>
  <si>
    <t xml:space="preserve">PATCH CORD CAT6A / LONGITUD 1M / COLOR GRIS / CATEGORÍA 307417 PATCH CORD / SERIE PREMISES DISTRIBUTION SYSTEM </t>
  </si>
  <si>
    <t>DS-1NP6ADL0(O-STD) grey 3m</t>
  </si>
  <si>
    <t>PATCH CORD CAT6A / LONGITUD 3M / COLOR GRIS / CATEGORÍA 307417 PATCH CORD / SERIE PREMISES DISTRIBUTION SYSTEM</t>
  </si>
  <si>
    <t>DS-1NP6AEL0(O-STD)  blue 1m</t>
  </si>
  <si>
    <t>PATCH CORD CAT6A / LONGITUD 1M / COLOR AZUL / U/UTP 24AWG / CATEGORÍA 307417 PATCH CORD / SERIE PREMISES DISTRIBUTION SYSTEM</t>
  </si>
  <si>
    <t>DS-1NP6AEL0(O-STD)  blue 3m</t>
  </si>
  <si>
    <t>PATCH CORD CAT6A / U/UTP 24AWG / CUMPLE ANSI/TIA-568.2-D CAT6A E ISO 11801 CLASS EA / CUBIERTA LSZH / PLUG CHAPADO EN ORO 50U / COMPATIBLE 1000BASE-T Y 10GBASE-T</t>
  </si>
  <si>
    <t>DS-1NP6AEL0(O-STD)  grey 1m</t>
  </si>
  <si>
    <t>DS-1NP6AEL0(O-STD)  grey 3m</t>
  </si>
  <si>
    <t xml:space="preserve">PATCH CORD CAT6A / U/UTP 24AWG / CUMPLE ANSI/TIA-568.2-D CAT6A E ISO 11801 CLASS EA / CUBIERTA LSZH / PLUG CHAPADO EN ORO 50U / COMPATIBLE 1000BASE-T Y 10GBASE-T </t>
  </si>
  <si>
    <t>PATCH CORD CAT6 / U/UTP 24AWG COBRE / CUMPLE TIA-568.2-D E ISO/IEC 11801 / CUBIERTA DE ALTA RESISTENCIA MECÁNICA / PLUG CHAPADO EN ORO / COMPATIBLE 10BASE-T, 100BASE-TX Y GIGABIT ETHERNET / MODELO DS-1NP6UEC0</t>
  </si>
  <si>
    <t>PATCH CORD CAT 6 U/UTP / COBRE SÓLIDO 24 AWG / 0.5 METROS / CONTACTOS ORO 30 µ″ / VOLTAJE DE OPERACIÓN 57 V / FUNDA PVC DIÁMETRO 5.8 ±0.2 mm / COLOR AZUL</t>
  </si>
  <si>
    <t>PATCH CORD CAT 6 U/UTP / COBRE SÓLIDO 24 AWG / 2 METROS / CONTACTOS ORO 30 µ″ / VOLTAJE DE OPERACIÓN 57 V / FUNDA PVC DIÁMETRO 5.8 ±0.2 mm / COLOR AZUL</t>
  </si>
  <si>
    <t>PATCH CORD CAT 6 U/UTP / COBRE SÓLIDO 24 AWG / 10 METROS / CONTACTOS ORO 30 µ″ / VOLTAJE DE OPERACIÓN 57 V / FUNDA PVC DIÁMETRO 5.8 ±0.2 mm / COLOR GRIS</t>
  </si>
  <si>
    <t>PATCH CORD CAT 6 U/UTP / COBRE SÓLIDO 24 AWG / 2 METROS / CONTACTOS ORO 30 µ″ / VOLTAJE DE OPERACIÓN 57 V / FUNDA PVC DIÁMETRO 5.8 ±0.2 mm / COLOR GRIS</t>
  </si>
  <si>
    <t>PATCH CORD CAT 6 U/UTP / COBRE SÓLIDO 24 AWG / 3 METROS / CONTACTOS ORO 30 µ″ / VOLTAJE DE OPERACIÓN 57 V / FUNDA PVC DIÁMETRO 5.8 ±0.2 mm / COLOR GRIS</t>
  </si>
  <si>
    <t>DS-1NP6UEC0 orange 0.5m</t>
  </si>
  <si>
    <t>PATCH CORD CAT 6 U/UTP / COBRE SÓLIDO 24 AWG / 0.5 METROS / CONTACTOS ORO 30 µ″ / VOLTAJE DE OPERACIÓN 57 V / FUNDA PVC DIÁMETRO 5.8 ±0.2 mm / COLOR NARANJA</t>
  </si>
  <si>
    <t>PATCH CORD CAT 6 U/UTP / COBRE SÓLIDO 24 AWG / 1 METRO / CONTACTOS ORO 30 µ″ / VOLTAJE DE OPERACIÓN 57 V / FUNDA PVC DIÁMETRO 5.8 ±0.2 mm / COLOR NARANJA</t>
  </si>
  <si>
    <t>PATCH CORD CAT 6 U/UTP / COBRE SÓLIDO 24 AWG / 3 METROS / CONTACTOS ORO 30 µ″ / VOLTAJE DE OPERACIÓN 57 V / FUNDA PVC DIÁMETRO 5.8 ±0.2 mm / COLOR NARANJA</t>
  </si>
  <si>
    <t>PATCH CORD CAT 6 U/UTP / COBRE SÓLIDO 24 AWG / 5 METROS / CONTACTOS ORO 30 µ″ / VOLTAJE DE OPERACIÓN 57 V / FUNDA PVC DIÁMETRO 5.8 ±0.2 mm / COLOR NARANJA</t>
  </si>
  <si>
    <t>CABLE U/FTP CAT 6A / BOBINA 305 ± 1.5 M / COBRE SÓLIDO 23 AWG / FUNDA LSZH AZUL / IMPEDANCIA 100 Ω / CONTRA INCENDIOS CPR Cca s1 d1 a1 / RIP‑CORD / USO INTERIOR</t>
  </si>
  <si>
    <t>CONECTOR RJ45 CAT 6A / 8 PINES ORO 15 µ″ / SOPORTA 10G BASE‑T / VOLTAJE ≤ 150 VAC / CORRIENTE 1.5 A / RESISTENCIA CONTACTO ≤ 20 mΩ / CICLOS ≥ 750 / PLÁSTICO UL94V‑2</t>
  </si>
  <si>
    <t>CABLE DE FIBRA ÓPTICA MONOMODO / 1 km / G.657A1 / BAJA CURVATURA / 1×NUCLEO / 2×FRP / MENSAJERO DE ACERO / CUBIERTA LSZH / ROHS 2.0 / INTERIOR-EXTERIOR / LATENCIA ULTRABAJA / COMPATIBLE CON SWITCHES, CÁMARAS IP Y INTERCOMS</t>
  </si>
  <si>
    <t>CABLE DE FIBRA ÓPTICA MONOMODO / 2×NUCLEOS / 1 km / G.657A1 / BAJA CURVATURA / 2×FRP / MENSAJERO DE ACERO / CUBIERTA LSZH / ROHS 2.0 / INTERIOR-EXTERIOR / LATENCIA ULTRABAJA / COMPATIBLE CON SWITCHES, CÁMARAS IP Y CONVERTIDORES FTTH</t>
  </si>
  <si>
    <t>CABLE DE FIBRA ÓPTICA MONOMODO / 2×NUCLEOS / 2 km / G.657A1 / BAJA CURVATURA / 2×FRP / MENSAJERO DE ACERO / CUBIERTA LSZH / ROHS 2.0 / INTERIOR-EXTERIOR / LATENCIA ULTRABAJA / COMPATIBLE CON SWITCHES, CÁMARAS IP Y CONVERTIDORES FTTH</t>
  </si>
  <si>
    <t>DS-1CM1U12</t>
  </si>
  <si>
    <t>ORGANIZADOR DE CABLES HORIZONTAL 1U / 12 RANURAS / ACERO LAMINADO EN FRÍO NEGRO / DIMENSIONES 483×74×44 mm / CUMPLE RoHS</t>
  </si>
  <si>
    <t>DS-1CM1U24</t>
  </si>
  <si>
    <t>GESTOR DE CABLEADO 1U / 24 RANURAS / ACERO LAMINADO EN FRÍO / ALTA RESISTENCIA / COMPATIBLE CON ESTRUCTURAS INDUSTRIALES, COMERCIALES Y DOMÉSTICAS / AMBIENTE ORDENADO / FÁCIL INSTALACIÓN / CUMPLE ROHS 2.0</t>
  </si>
  <si>
    <t>DS-1CP0P24-1U</t>
  </si>
  <si>
    <t>PATCH PANEL BLINDADO 1U / 24 PUERTOS / ACERO LAMINADO EN FRÍO / ELECTROPLATEADO / TIERRA ESTÁNDAR / COMPATIBLE CON JACKS KEYSTONE / DISEÑO DE EXTRACCIÓN FRONTAL / MARCADO SERIGRÁFICO / INSTALACIÓN RÁPIDA / CUMPLE ROHS 2.0</t>
  </si>
  <si>
    <t>DS-1CP0U24-1U</t>
  </si>
  <si>
    <t>PATCH PANEL 1U / 24 PUERTOS / SIN BLINDAJE / ACERO LAMINADO EN FRÍO / DISEÑO DE EXTRACCIÓN FRONTAL / MARCADO SERIGRÁFICO / COMPATIBLE CON JACKS KEYSTONE / INSTALACIÓN RÁPIDA / ALTA DENSIDAD / CUMPLE ROHS 2.0</t>
  </si>
  <si>
    <t>DS-1FPA1</t>
  </si>
  <si>
    <t>PLACA FRONTAL 1 PUERTO / MODULAR / EXTRACCIÓN FRONTAL / ICONOS TELÉFONO Y COMPUTADOR / ESTRUCTURA CON PERSIANA / PREVIENE POLVO / COMPATIBLE CON JACKS KEYSTONE / OCULTA TORNILLOS / CUMPLE ROHS 2.0 Y UL94V-0</t>
  </si>
  <si>
    <t>DS-1FPA1-A</t>
  </si>
  <si>
    <t>DS-1FPA2-A</t>
  </si>
  <si>
    <t>PLACA FRONTAL 1 PUERTO / COLOR BLANCO / MODULAR / EXTRACCIÓN FRONTAL / ICONOS TELÉFONO Y COMPUTADOR / ESTRUCTURA CON PERSIANA / PREVIENE POLVO / COMPATIBLE CON JACKS KEYSTONE / OCULTA TORNILLOS / CUMPLE ROHS 2.0 / POR UNIDAD</t>
  </si>
  <si>
    <t>PLACA FRONTAL 2 PUERTOS / ESTILO AMERICANO / MODULAR / EXTRACCIÓN FRONTAL / ICONOS TELÉFONO Y COMPUTADOR / ESTRUCTURA CON PERSIANA / PREVIENE POLVO / COMPATIBLE CON JACKS RJ45 / CUMPLE ROHS 2.0 Y UL94V-0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</si>
</sst>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39997558519241921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164" fontId="2" fillId="0" borderId="1" xfId="1" applyNumberFormat="1" applyFont="1" applyFill="1" applyBorder="1" applyAlignment="1" applyProtection="1">
      <alignment horizontal="center" vertical="center"/>
      <protection hidden="1"/>
    </xf>
    <xf numFmtId="164" fontId="2" fillId="0" borderId="1" xfId="1" applyNumberFormat="1" applyFont="1" applyFill="1" applyBorder="1" applyAlignment="1" applyProtection="1">
      <alignment vertical="center"/>
      <protection hidden="1"/>
    </xf>
    <xf numFmtId="164" fontId="2" fillId="0" borderId="2" xfId="1" applyNumberFormat="1" applyFont="1" applyFill="1" applyBorder="1" applyAlignment="1" applyProtection="1">
      <alignment horizontal="center" vertical="center"/>
      <protection hidden="1"/>
    </xf>
    <xf numFmtId="164" fontId="2" fillId="0" borderId="3" xfId="1" applyNumberFormat="1" applyFont="1" applyFill="1" applyBorder="1" applyAlignment="1" applyProtection="1">
      <alignment horizontal="center" vertical="center"/>
      <protection hidden="1"/>
    </xf>
    <xf numFmtId="164" fontId="2" fillId="0" borderId="3" xfId="1" applyNumberFormat="1" applyFont="1" applyFill="1" applyBorder="1" applyAlignment="1" applyProtection="1">
      <alignment vertical="center"/>
      <protection hidden="1"/>
    </xf>
    <xf numFmtId="164" fontId="2" fillId="0" borderId="4" xfId="1" applyNumberFormat="1" applyFont="1" applyFill="1" applyBorder="1" applyAlignment="1" applyProtection="1">
      <alignment horizontal="center" vertical="center"/>
      <protection hidden="1"/>
    </xf>
    <xf numFmtId="164" fontId="2" fillId="0" borderId="4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 applyProtection="1">
      <alignment vertical="center" wrapText="1"/>
      <protection hidden="1"/>
    </xf>
    <xf numFmtId="164" fontId="2" fillId="0" borderId="4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Fill="1" applyBorder="1" applyAlignment="1" applyProtection="1">
      <alignment vertical="center" wrapText="1"/>
      <protection hidden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0" borderId="3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Alignment="1" applyProtection="1">
      <alignment horizontal="right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" fontId="2" fillId="0" borderId="0" xfId="0" applyNumberFormat="1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4" fontId="2" fillId="3" borderId="5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5" xfId="1" applyNumberFormat="1" applyFont="1" applyFill="1" applyBorder="1" applyAlignment="1" applyProtection="1">
      <alignment horizontal="center" vertical="center" wrapText="1"/>
      <protection hidden="1"/>
    </xf>
    <xf numFmtId="164" fontId="4" fillId="5" borderId="3" xfId="1" applyNumberFormat="1" applyFont="1" applyFill="1" applyBorder="1" applyAlignment="1">
      <alignment horizontal="center" vertical="center" wrapText="1"/>
    </xf>
    <xf numFmtId="164" fontId="4" fillId="6" borderId="3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Border="1" applyAlignment="1" applyProtection="1">
      <alignment horizontal="center" vertical="center" wrapText="1"/>
      <protection hidden="1"/>
    </xf>
    <xf numFmtId="164" fontId="4" fillId="7" borderId="3" xfId="1" applyNumberFormat="1" applyFont="1" applyFill="1" applyBorder="1" applyAlignment="1">
      <alignment horizontal="center" vertical="center" wrapText="1"/>
    </xf>
    <xf numFmtId="164" fontId="4" fillId="0" borderId="3" xfId="1" applyNumberFormat="1" applyFont="1" applyBorder="1" applyAlignment="1" applyProtection="1">
      <alignment horizontal="center" vertical="center" wrapText="1"/>
      <protection locked="0" hidden="1"/>
    </xf>
    <xf numFmtId="49" fontId="5" fillId="8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0" borderId="3" xfId="0" applyNumberFormat="1" applyFont="1" applyBorder="1" applyAlignment="1" applyProtection="1">
      <alignment horizontal="center" vertical="center" wrapText="1"/>
      <protection locked="0"/>
    </xf>
    <xf numFmtId="49" fontId="2" fillId="0" borderId="3" xfId="0" applyNumberFormat="1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8"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color rgb="FFFF0000"/>
      </font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75267</xdr:rowOff>
    </xdr:from>
    <xdr:to>
      <xdr:col>0</xdr:col>
      <xdr:colOff>0</xdr:colOff>
      <xdr:row>4</xdr:row>
      <xdr:rowOff>1123764</xdr:rowOff>
    </xdr:to>
    <xdr:pic>
      <xdr:nvPicPr>
        <xdr:cNvPr id="2" name="Imagen 57">
          <a:extLst>
            <a:ext uri="{FF2B5EF4-FFF2-40B4-BE49-F238E27FC236}">
              <a16:creationId xmlns:a16="http://schemas.microsoft.com/office/drawing/2014/main" id="{09502272-AE50-4F88-87F8-7A0880180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7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287A853-0C9B-4DAC-BED0-C3347066CF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524000"/>
          <a:ext cx="0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75267</xdr:rowOff>
    </xdr:from>
    <xdr:to>
      <xdr:col>0</xdr:col>
      <xdr:colOff>0</xdr:colOff>
      <xdr:row>4</xdr:row>
      <xdr:rowOff>1123764</xdr:rowOff>
    </xdr:to>
    <xdr:pic>
      <xdr:nvPicPr>
        <xdr:cNvPr id="4" name="Imagen 67">
          <a:extLst>
            <a:ext uri="{FF2B5EF4-FFF2-40B4-BE49-F238E27FC236}">
              <a16:creationId xmlns:a16="http://schemas.microsoft.com/office/drawing/2014/main" id="{D0173934-23AE-4430-B207-41BE7F6D3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7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1133928</xdr:rowOff>
    </xdr:from>
    <xdr:to>
      <xdr:col>0</xdr:col>
      <xdr:colOff>0</xdr:colOff>
      <xdr:row>9</xdr:row>
      <xdr:rowOff>1133929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88CC1861-53B2-4C6F-B0C9-4D24A7CEA0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714953"/>
          <a:ext cx="0" cy="190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112940</xdr:rowOff>
    </xdr:from>
    <xdr:to>
      <xdr:col>0</xdr:col>
      <xdr:colOff>0</xdr:colOff>
      <xdr:row>2</xdr:row>
      <xdr:rowOff>743816</xdr:rowOff>
    </xdr:to>
    <xdr:pic>
      <xdr:nvPicPr>
        <xdr:cNvPr id="6" name="图片 29">
          <a:extLst>
            <a:ext uri="{FF2B5EF4-FFF2-40B4-BE49-F238E27FC236}">
              <a16:creationId xmlns:a16="http://schemas.microsoft.com/office/drawing/2014/main" id="{2B71DCFE-5724-4109-AE92-343C523BA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39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112940</xdr:rowOff>
    </xdr:from>
    <xdr:to>
      <xdr:col>0</xdr:col>
      <xdr:colOff>0</xdr:colOff>
      <xdr:row>2</xdr:row>
      <xdr:rowOff>743816</xdr:rowOff>
    </xdr:to>
    <xdr:pic>
      <xdr:nvPicPr>
        <xdr:cNvPr id="7" name="图片 29">
          <a:extLst>
            <a:ext uri="{FF2B5EF4-FFF2-40B4-BE49-F238E27FC236}">
              <a16:creationId xmlns:a16="http://schemas.microsoft.com/office/drawing/2014/main" id="{27777F81-F628-40E5-A602-41E7A42E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3940"/>
          <a:ext cx="0" cy="784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E3F9-182C-4BBC-A3C2-5018FE8AC397}" name="Tabla17" displayName="Tabla17" ref="A1:S48" totalsRowShown="0" headerRowDxfId="27" dataDxfId="25" headerRowBorderDxfId="26" tableBorderDxfId="24" totalsRowBorderDxfId="23">
  <autoFilter ref="A1:S48" xr:uid="{7AA0F742-07EB-41BA-9212-88FA80DE192B}"/>
  <sortState xmlns:xlrd2="http://schemas.microsoft.com/office/spreadsheetml/2017/richdata2" ref="A2:S27">
    <sortCondition sortBy="fontColor" ref="A1:A27" dxfId="22"/>
  </sortState>
  <tableColumns count="19">
    <tableColumn id="3" xr3:uid="{951AD6CF-E012-4DC1-A62D-9AB66D71E1E1}" name="REFERENCIA" dataDxfId="1"/>
    <tableColumn id="4" xr3:uid="{C44A5072-6B98-497B-98E9-B65420F667E4}" name="DESCRIPCIÓN " dataDxfId="0"/>
    <tableColumn id="6" xr3:uid="{927C5FD9-FA56-4CAD-93D2-C21DDB49AFA5}" name="PRECIO  INSTALADOR_x000a_( CON  IVA)" dataDxfId="21" dataCellStyle="Moneda">
      <calculatedColumnFormula>+Tabla17[[#This Row],[PRECIO SUGERIDO INSTALADOR]]</calculatedColumnFormula>
    </tableColumn>
    <tableColumn id="5" xr3:uid="{92B9447A-E5BD-491B-883C-F4A58213183B}" name="PRECIO TIENDA ( CON  IVA)" dataDxfId="20" dataCellStyle="Moneda">
      <calculatedColumnFormula>+Tabla17[[#This Row],[PRECIO  INSTALADOR
( CON  IVA)]]-Tabla17[[#This Row],[resta tienda ]]</calculatedColumnFormula>
    </tableColumn>
    <tableColumn id="18" xr3:uid="{124F5842-AC75-41D7-BEB8-E04BCA833BF3}" name="PRECIO DPP ORO ( CON  IVA)" dataDxfId="19" dataCellStyle="Moneda">
      <calculatedColumnFormula>+Tabla17[[#This Row],[DPP ORO]]</calculatedColumnFormula>
    </tableColumn>
    <tableColumn id="19" xr3:uid="{8CBE83F3-9FA0-4CF0-A644-933EEE90449A}" name="PRECIO DPP PLATINO ( CON  IVA)" dataDxfId="18" dataCellStyle="Moneda">
      <calculatedColumnFormula>+Tabla17[[#This Row],[Columna4]]</calculatedColumnFormula>
    </tableColumn>
    <tableColumn id="20" xr3:uid="{46489A59-3B1B-425E-853E-A9EAFFA1A0FD}" name="PRECIO CLIENTE FINAL ( CON  IVA)" dataDxfId="17" dataCellStyle="Moneda">
      <calculatedColumnFormula>+Tabla17[[#This Row],[PRECIO  INSTALADOR
( CON  IVA)]]/0.7</calculatedColumnFormula>
    </tableColumn>
    <tableColumn id="7" xr3:uid="{444D5106-8BF6-4464-979C-3A8C9C10F8F6}" name="ORO" dataDxfId="16" dataCellStyle="Moneda">
      <calculatedColumnFormula>+M2</calculatedColumnFormula>
    </tableColumn>
    <tableColumn id="8" xr3:uid="{11AD9C4C-7724-4F08-B163-C62171A785B8}" name=" PLATINO" dataDxfId="15" dataCellStyle="Moneda">
      <calculatedColumnFormula>+J2</calculatedColumnFormula>
    </tableColumn>
    <tableColumn id="9" xr3:uid="{109EF6EC-B9E3-4105-B2BF-A762CD31CDB7}" name="Columna3" dataDxfId="14" dataCellStyle="Moneda">
      <calculatedColumnFormula>+K2/#REF!</calculatedColumnFormula>
    </tableColumn>
    <tableColumn id="10" xr3:uid="{7BD9D6F7-F7D9-4E00-A8FE-9ABC090E00B4}" name="Columna4" dataDxfId="13" dataCellStyle="Moneda">
      <calculatedColumnFormula>+N2-L2</calculatedColumnFormula>
    </tableColumn>
    <tableColumn id="11" xr3:uid="{4E2350F5-61C8-4CD8-9544-46CA31A43361}" name="DPP PLATINO" dataDxfId="12" dataCellStyle="Moneda">
      <calculatedColumnFormula>+N2*1%</calculatedColumnFormula>
    </tableColumn>
    <tableColumn id="12" xr3:uid="{D74EE415-5578-43DD-9A6E-EEE681ECECFF}" name="Columna6" dataDxfId="11" dataCellStyle="Moneda">
      <calculatedColumnFormula>+N2/#REF!</calculatedColumnFormula>
    </tableColumn>
    <tableColumn id="13" xr3:uid="{9A62C48E-57D6-46E2-A92B-B042DA12F5F6}" name="DPP ORO" dataDxfId="10" dataCellStyle="Moneda">
      <calculatedColumnFormula>Tabla17[[#This Row],[ORO SIN IVA]]*1.19</calculatedColumnFormula>
    </tableColumn>
    <tableColumn id="14" xr3:uid="{4185366F-6C82-462D-8220-A6B3BECED645}" name="Columna8" dataDxfId="9" dataCellStyle="Moneda">
      <calculatedColumnFormula>+Q2/#REF!</calculatedColumnFormula>
    </tableColumn>
    <tableColumn id="2" xr3:uid="{7BB75D9F-9AF2-464D-AD67-86EDCAF9B05E}" name="resta tienda " dataDxfId="8" dataCellStyle="Moneda">
      <calculatedColumnFormula>+Tabla17[[#This Row],[PRECIO SUGERIDO INSTALADOR]]*5%</calculatedColumnFormula>
    </tableColumn>
    <tableColumn id="15" xr3:uid="{8BFAF449-FFFD-4639-BE3A-81FCA13E0E2A}" name="PRECIO SUGERIDO INSTALADOR" dataDxfId="7" dataCellStyle="Moneda">
      <calculatedColumnFormula>Tabla17[[#This Row],[INSTALLER SIN IVA]]*1.19</calculatedColumnFormula>
    </tableColumn>
    <tableColumn id="16" xr3:uid="{502D8AFA-2518-4DB8-8BBD-45323C8D21A7}" name="ORO SIN IVA" dataDxfId="6" dataCellStyle="Moneda"/>
    <tableColumn id="17" xr3:uid="{0A73ED02-F1F7-4E49-90E7-E1879A108522}" name="INSTALLER SIN IVA" dataDxfId="5" dataCellStyle="Moned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905B-100D-47CD-A087-740D8406809C}">
  <sheetPr>
    <pageSetUpPr fitToPage="1"/>
  </sheetPr>
  <dimension ref="A1:U48"/>
  <sheetViews>
    <sheetView showGridLines="0" tabSelected="1" view="pageBreakPreview" zoomScale="60" zoomScaleNormal="115" workbookViewId="0">
      <pane xSplit="1" ySplit="1" topLeftCell="B2" activePane="bottomRight" state="frozen"/>
      <selection pane="topRight"/>
      <selection pane="bottomLeft"/>
      <selection pane="bottomRight" activeCell="Z9" sqref="Z9"/>
    </sheetView>
  </sheetViews>
  <sheetFormatPr baseColWidth="10" defaultColWidth="10.5703125" defaultRowHeight="13.5" x14ac:dyDescent="0.25"/>
  <cols>
    <col min="1" max="1" width="30.7109375" style="4" customWidth="1"/>
    <col min="2" max="2" width="41.28515625" style="4" customWidth="1"/>
    <col min="3" max="3" width="17.7109375" style="2" customWidth="1"/>
    <col min="4" max="4" width="17.28515625" style="2" customWidth="1"/>
    <col min="5" max="5" width="15.5703125" style="2" customWidth="1"/>
    <col min="6" max="6" width="19.42578125" style="2" customWidth="1"/>
    <col min="7" max="7" width="15.5703125" style="2" customWidth="1"/>
    <col min="8" max="8" width="3" style="3" hidden="1" customWidth="1"/>
    <col min="9" max="9" width="3.28515625" style="3" hidden="1" customWidth="1"/>
    <col min="10" max="10" width="3.5703125" style="3" hidden="1" customWidth="1"/>
    <col min="11" max="11" width="9.85546875" style="3" hidden="1" customWidth="1"/>
    <col min="12" max="12" width="4" style="3" hidden="1" customWidth="1"/>
    <col min="13" max="13" width="1.85546875" style="2" hidden="1" customWidth="1"/>
    <col min="14" max="14" width="9.85546875" style="2" hidden="1" customWidth="1"/>
    <col min="15" max="15" width="0.85546875" style="2" hidden="1" customWidth="1"/>
    <col min="16" max="16" width="10.42578125" style="2" hidden="1" customWidth="1"/>
    <col min="17" max="17" width="8.85546875" style="2" hidden="1" customWidth="1"/>
    <col min="18" max="18" width="12" style="2" hidden="1" customWidth="1"/>
    <col min="19" max="19" width="13.28515625" style="2" hidden="1" customWidth="1"/>
    <col min="20" max="20" width="11.42578125" style="1" customWidth="1"/>
    <col min="21" max="21" width="1" style="1" customWidth="1"/>
    <col min="22" max="16384" width="10.5703125" style="1"/>
  </cols>
  <sheetData>
    <row r="1" spans="1:20" s="22" customFormat="1" ht="81" customHeight="1" x14ac:dyDescent="0.25">
      <c r="A1" s="30" t="s">
        <v>38</v>
      </c>
      <c r="B1" s="30" t="s">
        <v>37</v>
      </c>
      <c r="C1" s="30" t="s">
        <v>36</v>
      </c>
      <c r="D1" s="30" t="s">
        <v>35</v>
      </c>
      <c r="E1" s="30" t="s">
        <v>34</v>
      </c>
      <c r="F1" s="30" t="s">
        <v>33</v>
      </c>
      <c r="G1" s="30" t="s">
        <v>32</v>
      </c>
      <c r="H1" s="26" t="s">
        <v>31</v>
      </c>
      <c r="I1" s="28" t="s">
        <v>30</v>
      </c>
      <c r="J1" s="29" t="s">
        <v>29</v>
      </c>
      <c r="K1" s="29" t="s">
        <v>28</v>
      </c>
      <c r="L1" s="28" t="s">
        <v>27</v>
      </c>
      <c r="M1" s="27" t="s">
        <v>26</v>
      </c>
      <c r="N1" s="26" t="s">
        <v>25</v>
      </c>
      <c r="O1" s="25" t="s">
        <v>24</v>
      </c>
      <c r="P1" s="25" t="s">
        <v>23</v>
      </c>
      <c r="Q1" s="25" t="s">
        <v>22</v>
      </c>
      <c r="R1" s="24" t="s">
        <v>21</v>
      </c>
      <c r="S1" s="23" t="s">
        <v>20</v>
      </c>
    </row>
    <row r="2" spans="1:20" ht="40.5" x14ac:dyDescent="0.25">
      <c r="A2" s="31" t="s">
        <v>39</v>
      </c>
      <c r="B2" s="32" t="s">
        <v>44</v>
      </c>
      <c r="C2" s="13">
        <f>+Tabla17[[#This Row],[PRECIO SUGERIDO INSTALADOR]]</f>
        <v>461560.54</v>
      </c>
      <c r="D2" s="13">
        <f>+Tabla17[[#This Row],[PRECIO  INSTALADOR
( CON  IVA)]]-Tabla17[[#This Row],[resta tienda ]]</f>
        <v>438482.51299999998</v>
      </c>
      <c r="E2" s="13">
        <f>+Tabla17[[#This Row],[DPP ORO]]</f>
        <v>377180.01999999996</v>
      </c>
      <c r="F2" s="13">
        <f>+Tabla17[[#This Row],[Columna4]]</f>
        <v>373408.21979999996</v>
      </c>
      <c r="G2" s="13">
        <f>+Tabla17[[#This Row],[PRECIO  INSTALADOR
( CON  IVA)]]/0.7</f>
        <v>659372.20000000007</v>
      </c>
      <c r="H2" s="13" t="e">
        <f t="shared" ref="H2:H27" si="0">+M2</f>
        <v>#REF!</v>
      </c>
      <c r="I2" s="18" t="e">
        <f t="shared" ref="I2:I27" si="1">+J2</f>
        <v>#REF!</v>
      </c>
      <c r="J2" s="18" t="e">
        <f>+K2/#REF!</f>
        <v>#REF!</v>
      </c>
      <c r="K2" s="18">
        <f t="shared" ref="K2:K27" si="2">+N2-L2</f>
        <v>373408.21979999996</v>
      </c>
      <c r="L2" s="17">
        <f t="shared" ref="L2:L27" si="3">+N2*1%</f>
        <v>3771.8001999999997</v>
      </c>
      <c r="M2" s="13" t="e">
        <f>+N2/#REF!</f>
        <v>#REF!</v>
      </c>
      <c r="N2" s="16">
        <f>Tabla17[[#This Row],[ORO SIN IVA]]*1.19</f>
        <v>377180.01999999996</v>
      </c>
      <c r="O2" s="13" t="e">
        <f>+Q2/#REF!</f>
        <v>#REF!</v>
      </c>
      <c r="P2" s="13">
        <f>+Tabla17[[#This Row],[PRECIO SUGERIDO INSTALADOR]]*5%</f>
        <v>23078.027000000002</v>
      </c>
      <c r="Q2" s="16">
        <f>Tabla17[[#This Row],[INSTALLER SIN IVA]]*1.19</f>
        <v>461560.54</v>
      </c>
      <c r="R2" s="13">
        <v>316958</v>
      </c>
      <c r="S2" s="13">
        <v>387866</v>
      </c>
    </row>
    <row r="3" spans="1:20" ht="54" x14ac:dyDescent="0.25">
      <c r="A3" s="31" t="s">
        <v>42</v>
      </c>
      <c r="B3" s="32" t="s">
        <v>45</v>
      </c>
      <c r="C3" s="13">
        <f>+Tabla17[[#This Row],[PRECIO SUGERIDO INSTALADOR]]</f>
        <v>539338.93999999994</v>
      </c>
      <c r="D3" s="13">
        <f>+Tabla17[[#This Row],[PRECIO  INSTALADOR
( CON  IVA)]]-Tabla17[[#This Row],[resta tienda ]]</f>
        <v>512371.99299999996</v>
      </c>
      <c r="E3" s="13">
        <f>+Tabla17[[#This Row],[DPP ORO]]</f>
        <v>440623.68</v>
      </c>
      <c r="F3" s="13">
        <f>+Tabla17[[#This Row],[Columna4]]</f>
        <v>436217.44319999998</v>
      </c>
      <c r="G3" s="13">
        <f>+Tabla17[[#This Row],[PRECIO  INSTALADOR
( CON  IVA)]]/0.7</f>
        <v>770484.2</v>
      </c>
      <c r="H3" s="13" t="e">
        <f t="shared" si="0"/>
        <v>#REF!</v>
      </c>
      <c r="I3" s="18" t="e">
        <f t="shared" si="1"/>
        <v>#REF!</v>
      </c>
      <c r="J3" s="18" t="e">
        <f>+K3/#REF!</f>
        <v>#REF!</v>
      </c>
      <c r="K3" s="18">
        <f t="shared" si="2"/>
        <v>436217.44319999998</v>
      </c>
      <c r="L3" s="17">
        <f t="shared" si="3"/>
        <v>4406.2367999999997</v>
      </c>
      <c r="M3" s="13" t="e">
        <f>+N3/#REF!</f>
        <v>#REF!</v>
      </c>
      <c r="N3" s="16">
        <f>Tabla17[[#This Row],[ORO SIN IVA]]*1.19</f>
        <v>440623.68</v>
      </c>
      <c r="O3" s="13" t="e">
        <f>+Q3/#REF!</f>
        <v>#REF!</v>
      </c>
      <c r="P3" s="13">
        <f>+Tabla17[[#This Row],[PRECIO SUGERIDO INSTALADOR]]*5%</f>
        <v>26966.947</v>
      </c>
      <c r="Q3" s="16">
        <f>Tabla17[[#This Row],[INSTALLER SIN IVA]]*1.19</f>
        <v>539338.93999999994</v>
      </c>
      <c r="R3" s="13">
        <v>370272</v>
      </c>
      <c r="S3" s="13">
        <v>453226</v>
      </c>
    </row>
    <row r="4" spans="1:20" ht="54" x14ac:dyDescent="0.25">
      <c r="A4" s="31" t="s">
        <v>9</v>
      </c>
      <c r="B4" s="32" t="s">
        <v>46</v>
      </c>
      <c r="C4" s="13">
        <f>+Tabla17[[#This Row],[PRECIO SUGERIDO INSTALADOR]]</f>
        <v>582162.28</v>
      </c>
      <c r="D4" s="13">
        <f>+Tabla17[[#This Row],[PRECIO  INSTALADOR
( CON  IVA)]]-Tabla17[[#This Row],[resta tienda ]]</f>
        <v>553054.16599999997</v>
      </c>
      <c r="E4" s="13">
        <f>+Tabla17[[#This Row],[DPP ORO]]</f>
        <v>520482.19999999995</v>
      </c>
      <c r="F4" s="13">
        <f>+Tabla17[[#This Row],[Columna4]]</f>
        <v>515277.37799999997</v>
      </c>
      <c r="G4" s="13">
        <f>+Tabla17[[#This Row],[PRECIO  INSTALADOR
( CON  IVA)]]/0.7</f>
        <v>831660.40000000014</v>
      </c>
      <c r="H4" s="13" t="e">
        <f t="shared" si="0"/>
        <v>#REF!</v>
      </c>
      <c r="I4" s="18" t="e">
        <f t="shared" si="1"/>
        <v>#REF!</v>
      </c>
      <c r="J4" s="18" t="e">
        <f>+K4/#REF!</f>
        <v>#REF!</v>
      </c>
      <c r="K4" s="18">
        <f t="shared" si="2"/>
        <v>515277.37799999997</v>
      </c>
      <c r="L4" s="17">
        <f t="shared" si="3"/>
        <v>5204.8219999999992</v>
      </c>
      <c r="M4" s="13" t="e">
        <f>+N4/#REF!</f>
        <v>#REF!</v>
      </c>
      <c r="N4" s="16">
        <f>Tabla17[[#This Row],[ORO SIN IVA]]*1.19</f>
        <v>520482.19999999995</v>
      </c>
      <c r="O4" s="13" t="e">
        <f>+Q4/#REF!</f>
        <v>#REF!</v>
      </c>
      <c r="P4" s="13">
        <f>+Tabla17[[#This Row],[PRECIO SUGERIDO INSTALADOR]]*5%</f>
        <v>29108.114000000001</v>
      </c>
      <c r="Q4" s="16">
        <f>Tabla17[[#This Row],[INSTALLER SIN IVA]]*1.19</f>
        <v>582162.28</v>
      </c>
      <c r="R4" s="13">
        <v>437380</v>
      </c>
      <c r="S4" s="13">
        <v>489212.00000000006</v>
      </c>
    </row>
    <row r="5" spans="1:20" ht="40.5" x14ac:dyDescent="0.25">
      <c r="A5" s="31" t="s">
        <v>47</v>
      </c>
      <c r="B5" s="32" t="s">
        <v>48</v>
      </c>
      <c r="C5" s="8">
        <f>+Tabla17[[#This Row],[PRECIO SUGERIDO INSTALADOR]]</f>
        <v>22157.8</v>
      </c>
      <c r="D5" s="8">
        <f>+Tabla17[[#This Row],[PRECIO  INSTALADOR
( CON  IVA)]]-Tabla17[[#This Row],[resta tienda ]]</f>
        <v>21049.91</v>
      </c>
      <c r="E5" s="8">
        <f>+Tabla17[[#This Row],[DPP ORO]]</f>
        <v>19715.919999999998</v>
      </c>
      <c r="F5" s="8">
        <f>+Tabla17[[#This Row],[Columna4]]</f>
        <v>19518.7608</v>
      </c>
      <c r="G5" s="8">
        <f>+Tabla17[[#This Row],[PRECIO  INSTALADOR
( CON  IVA)]]/0.7</f>
        <v>31654</v>
      </c>
      <c r="H5" s="8" t="e">
        <f t="shared" si="0"/>
        <v>#REF!</v>
      </c>
      <c r="I5" s="8" t="e">
        <f t="shared" si="1"/>
        <v>#REF!</v>
      </c>
      <c r="J5" s="8" t="e">
        <f>+K5/#REF!</f>
        <v>#REF!</v>
      </c>
      <c r="K5" s="8">
        <f t="shared" si="2"/>
        <v>19518.7608</v>
      </c>
      <c r="L5" s="8">
        <f t="shared" si="3"/>
        <v>197.1592</v>
      </c>
      <c r="M5" s="8" t="e">
        <f>+N5/#REF!</f>
        <v>#REF!</v>
      </c>
      <c r="N5" s="12">
        <f>Tabla17[[#This Row],[ORO SIN IVA]]*1.19</f>
        <v>19715.919999999998</v>
      </c>
      <c r="O5" s="8" t="e">
        <f>+Q5/#REF!</f>
        <v>#REF!</v>
      </c>
      <c r="P5" s="8">
        <f>+Tabla17[[#This Row],[PRECIO SUGERIDO INSTALADOR]]*5%</f>
        <v>1107.8900000000001</v>
      </c>
      <c r="Q5" s="12">
        <f>Tabla17[[#This Row],[INSTALLER SIN IVA]]*1.19</f>
        <v>22157.8</v>
      </c>
      <c r="R5" s="9">
        <v>16568</v>
      </c>
      <c r="S5" s="8">
        <v>18620</v>
      </c>
    </row>
    <row r="6" spans="1:20" ht="27" x14ac:dyDescent="0.25">
      <c r="A6" s="31" t="s">
        <v>19</v>
      </c>
      <c r="B6" s="32" t="s">
        <v>18</v>
      </c>
      <c r="C6" s="13">
        <f>+Tabla17[[#This Row],[PRECIO SUGERIDO INSTALADOR]]</f>
        <v>670522.15999999992</v>
      </c>
      <c r="D6" s="13">
        <f>+Tabla17[[#This Row],[PRECIO  INSTALADOR
( CON  IVA)]]-Tabla17[[#This Row],[resta tienda ]]</f>
        <v>636996.05199999991</v>
      </c>
      <c r="E6" s="13">
        <f>+Tabla17[[#This Row],[DPP ORO]]</f>
        <v>599571.98</v>
      </c>
      <c r="F6" s="13">
        <f>+Tabla17[[#This Row],[Columna4]]</f>
        <v>593576.26020000002</v>
      </c>
      <c r="G6" s="13">
        <f>+Tabla17[[#This Row],[PRECIO  INSTALADOR
( CON  IVA)]]/0.7</f>
        <v>957888.79999999993</v>
      </c>
      <c r="H6" s="13" t="e">
        <f t="shared" si="0"/>
        <v>#REF!</v>
      </c>
      <c r="I6" s="18" t="e">
        <f t="shared" si="1"/>
        <v>#REF!</v>
      </c>
      <c r="J6" s="18" t="e">
        <f>+K6/#REF!</f>
        <v>#REF!</v>
      </c>
      <c r="K6" s="18">
        <f t="shared" si="2"/>
        <v>593576.26020000002</v>
      </c>
      <c r="L6" s="17">
        <f t="shared" si="3"/>
        <v>5995.7197999999999</v>
      </c>
      <c r="M6" s="13" t="e">
        <f>+N6/#REF!</f>
        <v>#REF!</v>
      </c>
      <c r="N6" s="16">
        <f>Tabla17[[#This Row],[ORO SIN IVA]]*1.19</f>
        <v>599571.98</v>
      </c>
      <c r="O6" s="13" t="e">
        <f>+Q6/#REF!</f>
        <v>#REF!</v>
      </c>
      <c r="P6" s="13">
        <f>+Tabla17[[#This Row],[PRECIO SUGERIDO INSTALADOR]]*5%</f>
        <v>33526.108</v>
      </c>
      <c r="Q6" s="16">
        <f>Tabla17[[#This Row],[INSTALLER SIN IVA]]*1.19</f>
        <v>670522.15999999992</v>
      </c>
      <c r="R6" s="13">
        <v>503842</v>
      </c>
      <c r="S6" s="13">
        <v>563464</v>
      </c>
    </row>
    <row r="7" spans="1:20" ht="40.5" x14ac:dyDescent="0.25">
      <c r="A7" s="31" t="s">
        <v>12</v>
      </c>
      <c r="B7" s="32" t="s">
        <v>11</v>
      </c>
      <c r="C7" s="8">
        <f>+Tabla17[[#This Row],[PRECIO SUGERIDO INSTALADOR]]</f>
        <v>725916.65999999992</v>
      </c>
      <c r="D7" s="8">
        <f>+Tabla17[[#This Row],[PRECIO  INSTALADOR
( CON  IVA)]]-Tabla17[[#This Row],[resta tienda ]]</f>
        <v>689620.82699999993</v>
      </c>
      <c r="E7" s="8">
        <f>+Tabla17[[#This Row],[DPP ORO]]</f>
        <v>649087.88</v>
      </c>
      <c r="F7" s="8">
        <f>+Tabla17[[#This Row],[Columna4]]</f>
        <v>642597.00120000006</v>
      </c>
      <c r="G7" s="8">
        <f>+Tabla17[[#This Row],[PRECIO  INSTALADOR
( CON  IVA)]]/0.7</f>
        <v>1037023.7999999999</v>
      </c>
      <c r="H7" s="8" t="e">
        <f t="shared" si="0"/>
        <v>#REF!</v>
      </c>
      <c r="I7" s="8" t="e">
        <f t="shared" si="1"/>
        <v>#REF!</v>
      </c>
      <c r="J7" s="8" t="e">
        <f>+K7/#REF!</f>
        <v>#REF!</v>
      </c>
      <c r="K7" s="8">
        <f t="shared" si="2"/>
        <v>642597.00120000006</v>
      </c>
      <c r="L7" s="8">
        <f t="shared" si="3"/>
        <v>6490.8788000000004</v>
      </c>
      <c r="M7" s="8" t="e">
        <f>+N7/#REF!</f>
        <v>#REF!</v>
      </c>
      <c r="N7" s="8">
        <f>Tabla17[[#This Row],[ORO SIN IVA]]*1.19</f>
        <v>649087.88</v>
      </c>
      <c r="O7" s="8" t="e">
        <f>+Q7/#REF!</f>
        <v>#REF!</v>
      </c>
      <c r="P7" s="8">
        <f>+Tabla17[[#This Row],[PRECIO SUGERIDO INSTALADOR]]*5%</f>
        <v>36295.832999999999</v>
      </c>
      <c r="Q7" s="8">
        <f>Tabla17[[#This Row],[INSTALLER SIN IVA]]*1.19</f>
        <v>725916.65999999992</v>
      </c>
      <c r="R7" s="9">
        <v>545452</v>
      </c>
      <c r="S7" s="8">
        <v>610014</v>
      </c>
      <c r="T7" s="20"/>
    </row>
    <row r="8" spans="1:20" s="21" customFormat="1" ht="40.5" x14ac:dyDescent="0.25">
      <c r="A8" s="31" t="s">
        <v>49</v>
      </c>
      <c r="B8" s="32" t="s">
        <v>50</v>
      </c>
      <c r="C8" s="8">
        <f>+Tabla17[[#This Row],[PRECIO SUGERIDO INSTALADOR]]</f>
        <v>348510.54</v>
      </c>
      <c r="D8" s="8">
        <f>+Tabla17[[#This Row],[PRECIO  INSTALADOR
( CON  IVA)]]-Tabla17[[#This Row],[resta tienda ]]</f>
        <v>331085.01299999998</v>
      </c>
      <c r="E8" s="8">
        <f>+Tabla17[[#This Row],[DPP ORO]]</f>
        <v>310254.42</v>
      </c>
      <c r="F8" s="8">
        <f>+Tabla17[[#This Row],[Columna4]]</f>
        <v>307151.87579999998</v>
      </c>
      <c r="G8" s="8">
        <f>+Tabla17[[#This Row],[PRECIO  INSTALADOR
( CON  IVA)]]/0.7</f>
        <v>497872.2</v>
      </c>
      <c r="H8" s="8" t="e">
        <f t="shared" si="0"/>
        <v>#REF!</v>
      </c>
      <c r="I8" s="8" t="e">
        <f t="shared" si="1"/>
        <v>#REF!</v>
      </c>
      <c r="J8" s="8" t="e">
        <f>+K8/#REF!</f>
        <v>#REF!</v>
      </c>
      <c r="K8" s="8">
        <f t="shared" si="2"/>
        <v>307151.87579999998</v>
      </c>
      <c r="L8" s="8">
        <f t="shared" si="3"/>
        <v>3102.5441999999998</v>
      </c>
      <c r="M8" s="8" t="e">
        <f>+N8/#REF!</f>
        <v>#REF!</v>
      </c>
      <c r="N8" s="8">
        <f>Tabla17[[#This Row],[ORO SIN IVA]]*1.19</f>
        <v>310254.42</v>
      </c>
      <c r="O8" s="8" t="e">
        <f>+Q8/#REF!</f>
        <v>#REF!</v>
      </c>
      <c r="P8" s="8">
        <f>+Tabla17[[#This Row],[PRECIO SUGERIDO INSTALADOR]]*5%</f>
        <v>17425.526999999998</v>
      </c>
      <c r="Q8" s="8">
        <f>Tabla17[[#This Row],[INSTALLER SIN IVA]]*1.19</f>
        <v>348510.54</v>
      </c>
      <c r="R8" s="9">
        <v>260718</v>
      </c>
      <c r="S8" s="8">
        <v>292866</v>
      </c>
      <c r="T8" s="20"/>
    </row>
    <row r="9" spans="1:20" s="19" customFormat="1" ht="54" x14ac:dyDescent="0.25">
      <c r="A9" s="31" t="s">
        <v>51</v>
      </c>
      <c r="B9" s="32" t="s">
        <v>52</v>
      </c>
      <c r="C9" s="8">
        <f>+Tabla17[[#This Row],[PRECIO SUGERIDO INSTALADOR]]</f>
        <v>204620.5</v>
      </c>
      <c r="D9" s="8">
        <f>+Tabla17[[#This Row],[PRECIO  INSTALADOR
( CON  IVA)]]-Tabla17[[#This Row],[resta tienda ]]</f>
        <v>194389.47500000001</v>
      </c>
      <c r="E9" s="8">
        <f>+Tabla17[[#This Row],[DPP ORO]]</f>
        <v>182146.16</v>
      </c>
      <c r="F9" s="8">
        <f>+Tabla17[[#This Row],[Columna4]]</f>
        <v>180324.69839999999</v>
      </c>
      <c r="G9" s="8">
        <f>+Tabla17[[#This Row],[PRECIO  INSTALADOR
( CON  IVA)]]/0.7</f>
        <v>292315</v>
      </c>
      <c r="H9" s="8" t="e">
        <f t="shared" si="0"/>
        <v>#REF!</v>
      </c>
      <c r="I9" s="8" t="e">
        <f t="shared" si="1"/>
        <v>#REF!</v>
      </c>
      <c r="J9" s="8" t="e">
        <f>+K9/#REF!</f>
        <v>#REF!</v>
      </c>
      <c r="K9" s="8">
        <f t="shared" si="2"/>
        <v>180324.69839999999</v>
      </c>
      <c r="L9" s="8">
        <f t="shared" si="3"/>
        <v>1821.4616000000001</v>
      </c>
      <c r="M9" s="8" t="e">
        <f>+N9/#REF!</f>
        <v>#REF!</v>
      </c>
      <c r="N9" s="8">
        <f>Tabla17[[#This Row],[ORO SIN IVA]]*1.19</f>
        <v>182146.16</v>
      </c>
      <c r="O9" s="8" t="e">
        <f>+Q9/#REF!</f>
        <v>#REF!</v>
      </c>
      <c r="P9" s="8">
        <f>+Tabla17[[#This Row],[PRECIO SUGERIDO INSTALADOR]]*5%</f>
        <v>10231.025000000001</v>
      </c>
      <c r="Q9" s="8">
        <f>Tabla17[[#This Row],[INSTALLER SIN IVA]]*1.19</f>
        <v>204620.5</v>
      </c>
      <c r="R9" s="9">
        <v>153064</v>
      </c>
      <c r="S9" s="8">
        <v>171950</v>
      </c>
      <c r="T9" s="20"/>
    </row>
    <row r="10" spans="1:20" s="19" customFormat="1" ht="54" x14ac:dyDescent="0.25">
      <c r="A10" s="31" t="s">
        <v>53</v>
      </c>
      <c r="B10" s="32" t="s">
        <v>54</v>
      </c>
      <c r="C10" s="8">
        <f>+Tabla17[[#This Row],[PRECIO SUGERIDO INSTALADOR]]</f>
        <v>248936.09999999998</v>
      </c>
      <c r="D10" s="8">
        <f>+Tabla17[[#This Row],[PRECIO  INSTALADOR
( CON  IVA)]]-Tabla17[[#This Row],[resta tienda ]]</f>
        <v>236489.29499999998</v>
      </c>
      <c r="E10" s="8">
        <f>+Tabla17[[#This Row],[DPP ORO]]</f>
        <v>221623.22</v>
      </c>
      <c r="F10" s="8">
        <f>+Tabla17[[#This Row],[Columna4]]</f>
        <v>219406.9878</v>
      </c>
      <c r="G10" s="8">
        <f>+Tabla17[[#This Row],[PRECIO  INSTALADOR
( CON  IVA)]]/0.7</f>
        <v>355623</v>
      </c>
      <c r="H10" s="8" t="e">
        <f t="shared" si="0"/>
        <v>#REF!</v>
      </c>
      <c r="I10" s="8" t="e">
        <f t="shared" si="1"/>
        <v>#REF!</v>
      </c>
      <c r="J10" s="8" t="e">
        <f>+K10/#REF!</f>
        <v>#REF!</v>
      </c>
      <c r="K10" s="8">
        <f t="shared" si="2"/>
        <v>219406.9878</v>
      </c>
      <c r="L10" s="8">
        <f t="shared" si="3"/>
        <v>2216.2321999999999</v>
      </c>
      <c r="M10" s="8" t="e">
        <f>+N10/#REF!</f>
        <v>#REF!</v>
      </c>
      <c r="N10" s="8">
        <f>Tabla17[[#This Row],[ORO SIN IVA]]*1.19</f>
        <v>221623.22</v>
      </c>
      <c r="O10" s="8" t="e">
        <f>+Q10/#REF!</f>
        <v>#REF!</v>
      </c>
      <c r="P10" s="8">
        <f>+Tabla17[[#This Row],[PRECIO SUGERIDO INSTALADOR]]*5%</f>
        <v>12446.805</v>
      </c>
      <c r="Q10" s="8">
        <f>Tabla17[[#This Row],[INSTALLER SIN IVA]]*1.19</f>
        <v>248936.09999999998</v>
      </c>
      <c r="R10" s="9">
        <v>186238</v>
      </c>
      <c r="S10" s="8">
        <v>209190</v>
      </c>
      <c r="T10" s="20"/>
    </row>
    <row r="11" spans="1:20" ht="54" x14ac:dyDescent="0.25">
      <c r="A11" s="31" t="s">
        <v>55</v>
      </c>
      <c r="B11" s="32" t="s">
        <v>56</v>
      </c>
      <c r="C11" s="13">
        <f>+Tabla17[[#This Row],[PRECIO SUGERIDO INSTALADOR]]</f>
        <v>248936.09999999998</v>
      </c>
      <c r="D11" s="13">
        <f>+Tabla17[[#This Row],[PRECIO  INSTALADOR
( CON  IVA)]]-Tabla17[[#This Row],[resta tienda ]]</f>
        <v>236489.29499999998</v>
      </c>
      <c r="E11" s="13">
        <f>+Tabla17[[#This Row],[DPP ORO]]</f>
        <v>221623.22</v>
      </c>
      <c r="F11" s="13">
        <f>+Tabla17[[#This Row],[Columna4]]</f>
        <v>219406.9878</v>
      </c>
      <c r="G11" s="13">
        <f>+Tabla17[[#This Row],[PRECIO  INSTALADOR
( CON  IVA)]]/0.7</f>
        <v>355623</v>
      </c>
      <c r="H11" s="13" t="e">
        <f t="shared" si="0"/>
        <v>#REF!</v>
      </c>
      <c r="I11" s="18" t="e">
        <f t="shared" si="1"/>
        <v>#REF!</v>
      </c>
      <c r="J11" s="18" t="e">
        <f>+K11/#REF!</f>
        <v>#REF!</v>
      </c>
      <c r="K11" s="18">
        <f t="shared" si="2"/>
        <v>219406.9878</v>
      </c>
      <c r="L11" s="17">
        <f t="shared" si="3"/>
        <v>2216.2321999999999</v>
      </c>
      <c r="M11" s="13" t="e">
        <f>+N11/#REF!</f>
        <v>#REF!</v>
      </c>
      <c r="N11" s="16">
        <f>Tabla17[[#This Row],[ORO SIN IVA]]*1.19</f>
        <v>221623.22</v>
      </c>
      <c r="O11" s="13" t="e">
        <f>+Q11/#REF!</f>
        <v>#REF!</v>
      </c>
      <c r="P11" s="15">
        <f>+Tabla17[[#This Row],[PRECIO SUGERIDO INSTALADOR]]*5%</f>
        <v>12446.805</v>
      </c>
      <c r="Q11" s="14">
        <f>Tabla17[[#This Row],[INSTALLER SIN IVA]]*1.19</f>
        <v>248936.09999999998</v>
      </c>
      <c r="R11" s="13">
        <v>186238</v>
      </c>
      <c r="S11" s="13">
        <v>209190</v>
      </c>
    </row>
    <row r="12" spans="1:20" ht="54" x14ac:dyDescent="0.25">
      <c r="A12" s="31" t="s">
        <v>57</v>
      </c>
      <c r="B12" s="32" t="s">
        <v>58</v>
      </c>
      <c r="C12" s="13">
        <f>+Tabla17[[#This Row],[PRECIO SUGERIDO INSTALADOR]]</f>
        <v>248936.09999999998</v>
      </c>
      <c r="D12" s="13">
        <f>+Tabla17[[#This Row],[PRECIO  INSTALADOR
( CON  IVA)]]-Tabla17[[#This Row],[resta tienda ]]</f>
        <v>236489.29499999998</v>
      </c>
      <c r="E12" s="13">
        <f>+Tabla17[[#This Row],[DPP ORO]]</f>
        <v>221623.22</v>
      </c>
      <c r="F12" s="13">
        <f>+Tabla17[[#This Row],[Columna4]]</f>
        <v>219406.9878</v>
      </c>
      <c r="G12" s="13">
        <f>+Tabla17[[#This Row],[PRECIO  INSTALADOR
( CON  IVA)]]/0.7</f>
        <v>355623</v>
      </c>
      <c r="H12" s="13" t="e">
        <f t="shared" si="0"/>
        <v>#REF!</v>
      </c>
      <c r="I12" s="18" t="e">
        <f t="shared" si="1"/>
        <v>#REF!</v>
      </c>
      <c r="J12" s="18" t="e">
        <f>+K12/#REF!</f>
        <v>#REF!</v>
      </c>
      <c r="K12" s="18">
        <f t="shared" si="2"/>
        <v>219406.9878</v>
      </c>
      <c r="L12" s="17">
        <f t="shared" si="3"/>
        <v>2216.2321999999999</v>
      </c>
      <c r="M12" s="13" t="e">
        <f>+N12/#REF!</f>
        <v>#REF!</v>
      </c>
      <c r="N12" s="16">
        <f>Tabla17[[#This Row],[ORO SIN IVA]]*1.19</f>
        <v>221623.22</v>
      </c>
      <c r="O12" s="13" t="e">
        <f>+Q12/#REF!</f>
        <v>#REF!</v>
      </c>
      <c r="P12" s="15">
        <f>+Tabla17[[#This Row],[PRECIO SUGERIDO INSTALADOR]]*5%</f>
        <v>12446.805</v>
      </c>
      <c r="Q12" s="14">
        <f>Tabla17[[#This Row],[INSTALLER SIN IVA]]*1.19</f>
        <v>248936.09999999998</v>
      </c>
      <c r="R12" s="13">
        <v>186238</v>
      </c>
      <c r="S12" s="13">
        <v>209190</v>
      </c>
    </row>
    <row r="13" spans="1:20" ht="40.5" x14ac:dyDescent="0.25">
      <c r="A13" s="31" t="s">
        <v>59</v>
      </c>
      <c r="B13" s="32" t="s">
        <v>60</v>
      </c>
      <c r="C13" s="8">
        <f>+Tabla17[[#This Row],[PRECIO SUGERIDO INSTALADOR]]</f>
        <v>143799.6</v>
      </c>
      <c r="D13" s="8">
        <f>+Tabla17[[#This Row],[PRECIO  INSTALADOR
( CON  IVA)]]-Tabla17[[#This Row],[resta tienda ]]</f>
        <v>136609.62</v>
      </c>
      <c r="E13" s="8">
        <f>+Tabla17[[#This Row],[DPP ORO]]</f>
        <v>128017.81999999999</v>
      </c>
      <c r="F13" s="8">
        <f>+Tabla17[[#This Row],[Columna4]]</f>
        <v>126737.6418</v>
      </c>
      <c r="G13" s="8">
        <f>+Tabla17[[#This Row],[PRECIO  INSTALADOR
( CON  IVA)]]/0.7</f>
        <v>205428.00000000003</v>
      </c>
      <c r="H13" s="8" t="e">
        <f t="shared" si="0"/>
        <v>#REF!</v>
      </c>
      <c r="I13" s="8" t="e">
        <f t="shared" si="1"/>
        <v>#REF!</v>
      </c>
      <c r="J13" s="8" t="e">
        <f>+K13/#REF!</f>
        <v>#REF!</v>
      </c>
      <c r="K13" s="8">
        <f t="shared" si="2"/>
        <v>126737.6418</v>
      </c>
      <c r="L13" s="8">
        <f t="shared" si="3"/>
        <v>1280.1782000000001</v>
      </c>
      <c r="M13" s="8" t="e">
        <f>+N13/#REF!</f>
        <v>#REF!</v>
      </c>
      <c r="N13" s="12">
        <f>Tabla17[[#This Row],[ORO SIN IVA]]*1.19</f>
        <v>128017.81999999999</v>
      </c>
      <c r="O13" s="8" t="e">
        <f>+Q13/#REF!</f>
        <v>#REF!</v>
      </c>
      <c r="P13" s="10">
        <f>+Tabla17[[#This Row],[PRECIO SUGERIDO INSTALADOR]]*5%</f>
        <v>7189.9800000000005</v>
      </c>
      <c r="Q13" s="11">
        <f>Tabla17[[#This Row],[INSTALLER SIN IVA]]*1.19</f>
        <v>143799.6</v>
      </c>
      <c r="R13" s="9">
        <v>107578</v>
      </c>
      <c r="S13" s="8">
        <v>120840.00000000001</v>
      </c>
    </row>
    <row r="14" spans="1:20" ht="54" x14ac:dyDescent="0.25">
      <c r="A14" s="31" t="s">
        <v>40</v>
      </c>
      <c r="B14" s="32" t="s">
        <v>61</v>
      </c>
      <c r="C14" s="8">
        <f>+Tabla17[[#This Row],[PRECIO SUGERIDO INSTALADOR]]</f>
        <v>636516.72</v>
      </c>
      <c r="D14" s="8">
        <f>+Tabla17[[#This Row],[PRECIO  INSTALADOR
( CON  IVA)]]-Tabla17[[#This Row],[resta tienda ]]</f>
        <v>604690.88399999996</v>
      </c>
      <c r="E14" s="8">
        <f>+Tabla17[[#This Row],[DPP ORO]]</f>
        <v>520075.22</v>
      </c>
      <c r="F14" s="8">
        <f>+Tabla17[[#This Row],[Columna4]]</f>
        <v>514874.46779999998</v>
      </c>
      <c r="G14" s="8">
        <f>+Tabla17[[#This Row],[PRECIO  INSTALADOR
( CON  IVA)]]/0.7</f>
        <v>909309.6</v>
      </c>
      <c r="H14" s="8" t="e">
        <f t="shared" si="0"/>
        <v>#REF!</v>
      </c>
      <c r="I14" s="8" t="e">
        <f t="shared" si="1"/>
        <v>#REF!</v>
      </c>
      <c r="J14" s="8" t="e">
        <f>+K14/#REF!</f>
        <v>#REF!</v>
      </c>
      <c r="K14" s="8">
        <f t="shared" si="2"/>
        <v>514874.46779999998</v>
      </c>
      <c r="L14" s="8">
        <f t="shared" si="3"/>
        <v>5200.7521999999999</v>
      </c>
      <c r="M14" s="8" t="e">
        <f>+N14/#REF!</f>
        <v>#REF!</v>
      </c>
      <c r="N14" s="8">
        <f>Tabla17[[#This Row],[ORO SIN IVA]]*1.19</f>
        <v>520075.22</v>
      </c>
      <c r="O14" s="8" t="e">
        <f>+Q14/#REF!</f>
        <v>#REF!</v>
      </c>
      <c r="P14" s="10">
        <f>+Tabla17[[#This Row],[PRECIO SUGERIDO INSTALADOR]]*5%</f>
        <v>31825.835999999999</v>
      </c>
      <c r="Q14" s="10">
        <f>Tabla17[[#This Row],[INSTALLER SIN IVA]]*1.19</f>
        <v>636516.72</v>
      </c>
      <c r="R14" s="9">
        <v>437038</v>
      </c>
      <c r="S14" s="8">
        <v>534888</v>
      </c>
    </row>
    <row r="15" spans="1:20" ht="54" x14ac:dyDescent="0.25">
      <c r="A15" s="31" t="s">
        <v>62</v>
      </c>
      <c r="B15" s="32" t="s">
        <v>63</v>
      </c>
      <c r="C15" s="8">
        <f>+Tabla17[[#This Row],[PRECIO SUGERIDO INSTALADOR]]</f>
        <v>689921.53999999992</v>
      </c>
      <c r="D15" s="8">
        <f>+Tabla17[[#This Row],[PRECIO  INSTALADOR
( CON  IVA)]]-Tabla17[[#This Row],[resta tienda ]]</f>
        <v>655425.46299999987</v>
      </c>
      <c r="E15" s="8">
        <f>+Tabla17[[#This Row],[DPP ORO]]</f>
        <v>616846.02</v>
      </c>
      <c r="F15" s="8">
        <f>+Tabla17[[#This Row],[Columna4]]</f>
        <v>610677.55980000005</v>
      </c>
      <c r="G15" s="8">
        <f>+Tabla17[[#This Row],[PRECIO  INSTALADOR
( CON  IVA)]]/0.7</f>
        <v>985602.2</v>
      </c>
      <c r="H15" s="8" t="e">
        <f t="shared" si="0"/>
        <v>#REF!</v>
      </c>
      <c r="I15" s="8" t="e">
        <f t="shared" si="1"/>
        <v>#REF!</v>
      </c>
      <c r="J15" s="8" t="e">
        <f>+K15/#REF!</f>
        <v>#REF!</v>
      </c>
      <c r="K15" s="8">
        <f t="shared" si="2"/>
        <v>610677.55980000005</v>
      </c>
      <c r="L15" s="8">
        <f t="shared" si="3"/>
        <v>6168.4602000000004</v>
      </c>
      <c r="M15" s="8" t="e">
        <f>+N15/#REF!</f>
        <v>#REF!</v>
      </c>
      <c r="N15" s="8">
        <f>Tabla17[[#This Row],[ORO SIN IVA]]*1.19</f>
        <v>616846.02</v>
      </c>
      <c r="O15" s="8" t="e">
        <f>+Q15/#REF!</f>
        <v>#REF!</v>
      </c>
      <c r="P15" s="10">
        <f>+Tabla17[[#This Row],[PRECIO SUGERIDO INSTALADOR]]*5%</f>
        <v>34496.076999999997</v>
      </c>
      <c r="Q15" s="10">
        <f>Tabla17[[#This Row],[INSTALLER SIN IVA]]*1.19</f>
        <v>689921.53999999992</v>
      </c>
      <c r="R15" s="9">
        <v>518358.00000000006</v>
      </c>
      <c r="S15" s="8">
        <v>579766</v>
      </c>
    </row>
    <row r="16" spans="1:20" ht="54" x14ac:dyDescent="0.25">
      <c r="A16" s="31" t="s">
        <v>41</v>
      </c>
      <c r="B16" s="32" t="s">
        <v>64</v>
      </c>
      <c r="C16" s="8">
        <f>+Tabla17[[#This Row],[PRECIO SUGERIDO INSTALADOR]]</f>
        <v>669527.31999999995</v>
      </c>
      <c r="D16" s="8">
        <f>+Tabla17[[#This Row],[PRECIO  INSTALADOR
( CON  IVA)]]-Tabla17[[#This Row],[resta tienda ]]</f>
        <v>636050.95399999991</v>
      </c>
      <c r="E16" s="8">
        <f>+Tabla17[[#This Row],[DPP ORO]]</f>
        <v>547071.55999999994</v>
      </c>
      <c r="F16" s="8">
        <f>+Tabla17[[#This Row],[Columna4]]</f>
        <v>541600.84439999994</v>
      </c>
      <c r="G16" s="8">
        <f>+Tabla17[[#This Row],[PRECIO  INSTALADOR
( CON  IVA)]]/0.7</f>
        <v>956467.6</v>
      </c>
      <c r="H16" s="8" t="e">
        <f t="shared" si="0"/>
        <v>#REF!</v>
      </c>
      <c r="I16" s="8" t="e">
        <f t="shared" si="1"/>
        <v>#REF!</v>
      </c>
      <c r="J16" s="8" t="e">
        <f>+K16/#REF!</f>
        <v>#REF!</v>
      </c>
      <c r="K16" s="8">
        <f t="shared" si="2"/>
        <v>541600.84439999994</v>
      </c>
      <c r="L16" s="8">
        <f t="shared" si="3"/>
        <v>5470.7155999999995</v>
      </c>
      <c r="M16" s="8" t="e">
        <f>+N16/#REF!</f>
        <v>#REF!</v>
      </c>
      <c r="N16" s="8">
        <f>Tabla17[[#This Row],[ORO SIN IVA]]*1.19</f>
        <v>547071.55999999994</v>
      </c>
      <c r="O16" s="8" t="e">
        <f>+Q16/#REF!</f>
        <v>#REF!</v>
      </c>
      <c r="P16" s="10">
        <f>+Tabla17[[#This Row],[PRECIO SUGERIDO INSTALADOR]]*5%</f>
        <v>33476.366000000002</v>
      </c>
      <c r="Q16" s="10">
        <f>Tabla17[[#This Row],[INSTALLER SIN IVA]]*1.19</f>
        <v>669527.31999999995</v>
      </c>
      <c r="R16" s="9">
        <v>459723.99999999994</v>
      </c>
      <c r="S16" s="8">
        <v>562628</v>
      </c>
    </row>
    <row r="17" spans="1:19" ht="54" x14ac:dyDescent="0.25">
      <c r="A17" s="31" t="s">
        <v>65</v>
      </c>
      <c r="B17" s="32" t="s">
        <v>66</v>
      </c>
      <c r="C17" s="8">
        <f>+Tabla17[[#This Row],[PRECIO SUGERIDO INSTALADOR]]</f>
        <v>42009.38</v>
      </c>
      <c r="D17" s="8">
        <f>+Tabla17[[#This Row],[PRECIO  INSTALADOR
( CON  IVA)]]-Tabla17[[#This Row],[resta tienda ]]</f>
        <v>39908.911</v>
      </c>
      <c r="E17" s="8">
        <f>+Tabla17[[#This Row],[DPP ORO]]</f>
        <v>37396.939999999995</v>
      </c>
      <c r="F17" s="8">
        <f>+Tabla17[[#This Row],[Columna4]]</f>
        <v>37022.970599999993</v>
      </c>
      <c r="G17" s="8">
        <f>+Tabla17[[#This Row],[PRECIO  INSTALADOR
( CON  IVA)]]/0.7</f>
        <v>60013.4</v>
      </c>
      <c r="H17" s="8" t="e">
        <f t="shared" si="0"/>
        <v>#REF!</v>
      </c>
      <c r="I17" s="8" t="e">
        <f t="shared" si="1"/>
        <v>#REF!</v>
      </c>
      <c r="J17" s="8" t="e">
        <f>+K17/#REF!</f>
        <v>#REF!</v>
      </c>
      <c r="K17" s="8">
        <f t="shared" si="2"/>
        <v>37022.970599999993</v>
      </c>
      <c r="L17" s="8">
        <f t="shared" si="3"/>
        <v>373.96939999999995</v>
      </c>
      <c r="M17" s="8" t="e">
        <f>+N17/#REF!</f>
        <v>#REF!</v>
      </c>
      <c r="N17" s="8">
        <f>Tabla17[[#This Row],[ORO SIN IVA]]*1.19</f>
        <v>37396.939999999995</v>
      </c>
      <c r="O17" s="8" t="e">
        <f>+Q17/#REF!</f>
        <v>#REF!</v>
      </c>
      <c r="P17" s="10">
        <f>+Tabla17[[#This Row],[PRECIO SUGERIDO INSTALADOR]]*5%</f>
        <v>2100.4690000000001</v>
      </c>
      <c r="Q17" s="10">
        <f>Tabla17[[#This Row],[INSTALLER SIN IVA]]*1.19</f>
        <v>42009.38</v>
      </c>
      <c r="R17" s="9">
        <v>31425.999999999996</v>
      </c>
      <c r="S17" s="8">
        <v>35302</v>
      </c>
    </row>
    <row r="18" spans="1:19" ht="40.5" x14ac:dyDescent="0.25">
      <c r="A18" s="31" t="s">
        <v>67</v>
      </c>
      <c r="B18" s="32" t="s">
        <v>68</v>
      </c>
      <c r="C18" s="8">
        <f>+Tabla17[[#This Row],[PRECIO SUGERIDO INSTALADOR]]</f>
        <v>8908.34</v>
      </c>
      <c r="D18" s="8">
        <f>+Tabla17[[#This Row],[PRECIO  INSTALADOR
( CON  IVA)]]-Tabla17[[#This Row],[resta tienda ]]</f>
        <v>8462.9230000000007</v>
      </c>
      <c r="E18" s="8">
        <f>+Tabla17[[#This Row],[DPP ORO]]</f>
        <v>7913.5</v>
      </c>
      <c r="F18" s="8">
        <f>+Tabla17[[#This Row],[Columna4]]</f>
        <v>7834.3649999999998</v>
      </c>
      <c r="G18" s="8">
        <f>+Tabla17[[#This Row],[PRECIO  INSTALADOR
( CON  IVA)]]/0.7</f>
        <v>12726.2</v>
      </c>
      <c r="H18" s="8" t="e">
        <f t="shared" si="0"/>
        <v>#REF!</v>
      </c>
      <c r="I18" s="8" t="e">
        <f t="shared" si="1"/>
        <v>#REF!</v>
      </c>
      <c r="J18" s="8" t="e">
        <f>+K18/#REF!</f>
        <v>#REF!</v>
      </c>
      <c r="K18" s="8">
        <f t="shared" si="2"/>
        <v>7834.3649999999998</v>
      </c>
      <c r="L18" s="8">
        <f t="shared" si="3"/>
        <v>79.135000000000005</v>
      </c>
      <c r="M18" s="8" t="e">
        <f>+N18/#REF!</f>
        <v>#REF!</v>
      </c>
      <c r="N18" s="12">
        <f>Tabla17[[#This Row],[ORO SIN IVA]]*1.19</f>
        <v>7913.5</v>
      </c>
      <c r="O18" s="8" t="e">
        <f>+Q18/#REF!</f>
        <v>#REF!</v>
      </c>
      <c r="P18" s="10">
        <f>+Tabla17[[#This Row],[PRECIO SUGERIDO INSTALADOR]]*5%</f>
        <v>445.41700000000003</v>
      </c>
      <c r="Q18" s="11">
        <f>Tabla17[[#This Row],[INSTALLER SIN IVA]]*1.19</f>
        <v>8908.34</v>
      </c>
      <c r="R18" s="9">
        <v>6650</v>
      </c>
      <c r="S18" s="8">
        <v>7486.0000000000009</v>
      </c>
    </row>
    <row r="19" spans="1:19" ht="40.5" x14ac:dyDescent="0.25">
      <c r="A19" s="31" t="s">
        <v>69</v>
      </c>
      <c r="B19" s="32" t="s">
        <v>70</v>
      </c>
      <c r="C19" s="8">
        <f>+Tabla17[[#This Row],[PRECIO SUGERIDO INSTALADOR]]</f>
        <v>15555.679999999998</v>
      </c>
      <c r="D19" s="8">
        <f>+Tabla17[[#This Row],[PRECIO  INSTALADOR
( CON  IVA)]]-Tabla17[[#This Row],[resta tienda ]]</f>
        <v>14777.895999999999</v>
      </c>
      <c r="E19" s="8">
        <f>+Tabla17[[#This Row],[DPP ORO]]</f>
        <v>13837.32</v>
      </c>
      <c r="F19" s="8">
        <f>+Tabla17[[#This Row],[Columna4]]</f>
        <v>13698.9468</v>
      </c>
      <c r="G19" s="8">
        <f>+Tabla17[[#This Row],[PRECIO  INSTALADOR
( CON  IVA)]]/0.7</f>
        <v>22222.399999999998</v>
      </c>
      <c r="H19" s="8" t="e">
        <f t="shared" si="0"/>
        <v>#REF!</v>
      </c>
      <c r="I19" s="8" t="e">
        <f t="shared" si="1"/>
        <v>#REF!</v>
      </c>
      <c r="J19" s="8" t="e">
        <f>+K19/#REF!</f>
        <v>#REF!</v>
      </c>
      <c r="K19" s="8">
        <f t="shared" si="2"/>
        <v>13698.9468</v>
      </c>
      <c r="L19" s="8">
        <f t="shared" si="3"/>
        <v>138.3732</v>
      </c>
      <c r="M19" s="8" t="e">
        <f>+N19/#REF!</f>
        <v>#REF!</v>
      </c>
      <c r="N19" s="8">
        <f>Tabla17[[#This Row],[ORO SIN IVA]]*1.19</f>
        <v>13837.32</v>
      </c>
      <c r="O19" s="8" t="e">
        <f>+Q19/#REF!</f>
        <v>#REF!</v>
      </c>
      <c r="P19" s="10">
        <f>+Tabla17[[#This Row],[PRECIO SUGERIDO INSTALADOR]]*5%</f>
        <v>777.78399999999999</v>
      </c>
      <c r="Q19" s="10">
        <f>Tabla17[[#This Row],[INSTALLER SIN IVA]]*1.19</f>
        <v>15555.679999999998</v>
      </c>
      <c r="R19" s="9">
        <v>11628</v>
      </c>
      <c r="S19" s="8">
        <v>13072</v>
      </c>
    </row>
    <row r="20" spans="1:19" ht="40.5" x14ac:dyDescent="0.25">
      <c r="A20" s="31" t="s">
        <v>71</v>
      </c>
      <c r="B20" s="32" t="s">
        <v>72</v>
      </c>
      <c r="C20" s="8">
        <f>+Tabla17[[#This Row],[PRECIO SUGERIDO INSTALADOR]]</f>
        <v>8908.34</v>
      </c>
      <c r="D20" s="8">
        <f>+Tabla17[[#This Row],[PRECIO  INSTALADOR
( CON  IVA)]]-Tabla17[[#This Row],[resta tienda ]]</f>
        <v>8462.9230000000007</v>
      </c>
      <c r="E20" s="8">
        <f>+Tabla17[[#This Row],[DPP ORO]]</f>
        <v>7913.5</v>
      </c>
      <c r="F20" s="8">
        <f>+Tabla17[[#This Row],[Columna4]]</f>
        <v>7834.3649999999998</v>
      </c>
      <c r="G20" s="8">
        <f>+Tabla17[[#This Row],[PRECIO  INSTALADOR
( CON  IVA)]]/0.7</f>
        <v>12726.2</v>
      </c>
      <c r="H20" s="8" t="e">
        <f t="shared" si="0"/>
        <v>#REF!</v>
      </c>
      <c r="I20" s="8" t="e">
        <f t="shared" si="1"/>
        <v>#REF!</v>
      </c>
      <c r="J20" s="8" t="e">
        <f>+K20/#REF!</f>
        <v>#REF!</v>
      </c>
      <c r="K20" s="8">
        <f t="shared" si="2"/>
        <v>7834.3649999999998</v>
      </c>
      <c r="L20" s="8">
        <f t="shared" si="3"/>
        <v>79.135000000000005</v>
      </c>
      <c r="M20" s="8" t="e">
        <f>+N20/#REF!</f>
        <v>#REF!</v>
      </c>
      <c r="N20" s="8">
        <f>Tabla17[[#This Row],[ORO SIN IVA]]*1.19</f>
        <v>7913.5</v>
      </c>
      <c r="O20" s="8" t="e">
        <f>+Q20/#REF!</f>
        <v>#REF!</v>
      </c>
      <c r="P20" s="10">
        <f>+Tabla17[[#This Row],[PRECIO SUGERIDO INSTALADOR]]*5%</f>
        <v>445.41700000000003</v>
      </c>
      <c r="Q20" s="10">
        <f>Tabla17[[#This Row],[INSTALLER SIN IVA]]*1.19</f>
        <v>8908.34</v>
      </c>
      <c r="R20" s="9">
        <v>6650</v>
      </c>
      <c r="S20" s="8">
        <v>7486.0000000000009</v>
      </c>
    </row>
    <row r="21" spans="1:19" ht="40.5" x14ac:dyDescent="0.25">
      <c r="A21" s="31" t="s">
        <v>73</v>
      </c>
      <c r="B21" s="32" t="s">
        <v>74</v>
      </c>
      <c r="C21" s="8">
        <f>+Tabla17[[#This Row],[PRECIO SUGERIDO INSTALADOR]]</f>
        <v>15555.679999999998</v>
      </c>
      <c r="D21" s="8">
        <f>+Tabla17[[#This Row],[PRECIO  INSTALADOR
( CON  IVA)]]-Tabla17[[#This Row],[resta tienda ]]</f>
        <v>14777.895999999999</v>
      </c>
      <c r="E21" s="8">
        <f>+Tabla17[[#This Row],[DPP ORO]]</f>
        <v>13837.32</v>
      </c>
      <c r="F21" s="8">
        <f>+Tabla17[[#This Row],[Columna4]]</f>
        <v>13698.9468</v>
      </c>
      <c r="G21" s="8">
        <f>+Tabla17[[#This Row],[PRECIO  INSTALADOR
( CON  IVA)]]/0.7</f>
        <v>22222.399999999998</v>
      </c>
      <c r="H21" s="8" t="e">
        <f t="shared" si="0"/>
        <v>#REF!</v>
      </c>
      <c r="I21" s="8" t="e">
        <f t="shared" si="1"/>
        <v>#REF!</v>
      </c>
      <c r="J21" s="8" t="e">
        <f>+K21/#REF!</f>
        <v>#REF!</v>
      </c>
      <c r="K21" s="8">
        <f t="shared" si="2"/>
        <v>13698.9468</v>
      </c>
      <c r="L21" s="8">
        <f t="shared" si="3"/>
        <v>138.3732</v>
      </c>
      <c r="M21" s="8" t="e">
        <f>+N21/#REF!</f>
        <v>#REF!</v>
      </c>
      <c r="N21" s="8">
        <f>Tabla17[[#This Row],[ORO SIN IVA]]*1.19</f>
        <v>13837.32</v>
      </c>
      <c r="O21" s="8" t="e">
        <f>+Q21/#REF!</f>
        <v>#REF!</v>
      </c>
      <c r="P21" s="10">
        <f>+Tabla17[[#This Row],[PRECIO SUGERIDO INSTALADOR]]*5%</f>
        <v>777.78399999999999</v>
      </c>
      <c r="Q21" s="10">
        <f>Tabla17[[#This Row],[INSTALLER SIN IVA]]*1.19</f>
        <v>15555.679999999998</v>
      </c>
      <c r="R21" s="9">
        <v>11628</v>
      </c>
      <c r="S21" s="8">
        <v>13072</v>
      </c>
    </row>
    <row r="22" spans="1:19" ht="40.5" x14ac:dyDescent="0.25">
      <c r="A22" s="31" t="s">
        <v>75</v>
      </c>
      <c r="B22" s="32" t="s">
        <v>76</v>
      </c>
      <c r="C22" s="8">
        <f>+Tabla17[[#This Row],[PRECIO SUGERIDO INSTALADOR]]</f>
        <v>9812.74</v>
      </c>
      <c r="D22" s="8">
        <f>+Tabla17[[#This Row],[PRECIO  INSTALADOR
( CON  IVA)]]-Tabla17[[#This Row],[resta tienda ]]</f>
        <v>9322.1029999999992</v>
      </c>
      <c r="E22" s="8">
        <f>+Tabla17[[#This Row],[DPP ORO]]</f>
        <v>8772.68</v>
      </c>
      <c r="F22" s="8">
        <f>+Tabla17[[#This Row],[Columna4]]</f>
        <v>8684.9531999999999</v>
      </c>
      <c r="G22" s="8">
        <f>+Tabla17[[#This Row],[PRECIO  INSTALADOR
( CON  IVA)]]/0.7</f>
        <v>14018.2</v>
      </c>
      <c r="H22" s="8" t="e">
        <f t="shared" si="0"/>
        <v>#REF!</v>
      </c>
      <c r="I22" s="8" t="e">
        <f t="shared" si="1"/>
        <v>#REF!</v>
      </c>
      <c r="J22" s="8" t="e">
        <f>+K22/#REF!</f>
        <v>#REF!</v>
      </c>
      <c r="K22" s="8">
        <f t="shared" si="2"/>
        <v>8684.9531999999999</v>
      </c>
      <c r="L22" s="8">
        <f t="shared" si="3"/>
        <v>87.726800000000011</v>
      </c>
      <c r="M22" s="8" t="e">
        <f>+N22/#REF!</f>
        <v>#REF!</v>
      </c>
      <c r="N22" s="8">
        <f>Tabla17[[#This Row],[ORO SIN IVA]]*1.19</f>
        <v>8772.68</v>
      </c>
      <c r="O22" s="8" t="e">
        <f>+Q22/#REF!</f>
        <v>#REF!</v>
      </c>
      <c r="P22" s="10">
        <f>+Tabla17[[#This Row],[PRECIO SUGERIDO INSTALADOR]]*5%</f>
        <v>490.637</v>
      </c>
      <c r="Q22" s="10">
        <f>Tabla17[[#This Row],[INSTALLER SIN IVA]]*1.19</f>
        <v>9812.74</v>
      </c>
      <c r="R22" s="9">
        <v>7372.0000000000009</v>
      </c>
      <c r="S22" s="8">
        <v>8246</v>
      </c>
    </row>
    <row r="23" spans="1:19" ht="54" x14ac:dyDescent="0.25">
      <c r="A23" s="31" t="s">
        <v>77</v>
      </c>
      <c r="B23" s="32" t="s">
        <v>78</v>
      </c>
      <c r="C23" s="8">
        <f>+Tabla17[[#This Row],[PRECIO SUGERIDO INSTALADOR]]</f>
        <v>18359.32</v>
      </c>
      <c r="D23" s="8">
        <f>+Tabla17[[#This Row],[PRECIO  INSTALADOR
( CON  IVA)]]-Tabla17[[#This Row],[resta tienda ]]</f>
        <v>17441.353999999999</v>
      </c>
      <c r="E23" s="8">
        <f>+Tabla17[[#This Row],[DPP ORO]]</f>
        <v>16324.42</v>
      </c>
      <c r="F23" s="8">
        <f>+Tabla17[[#This Row],[Columna4]]</f>
        <v>16161.175800000001</v>
      </c>
      <c r="G23" s="8">
        <f>+Tabla17[[#This Row],[PRECIO  INSTALADOR
( CON  IVA)]]/0.7</f>
        <v>26227.600000000002</v>
      </c>
      <c r="H23" s="8" t="e">
        <f t="shared" si="0"/>
        <v>#REF!</v>
      </c>
      <c r="I23" s="8" t="e">
        <f t="shared" si="1"/>
        <v>#REF!</v>
      </c>
      <c r="J23" s="8" t="e">
        <f>+K23/#REF!</f>
        <v>#REF!</v>
      </c>
      <c r="K23" s="8">
        <f t="shared" si="2"/>
        <v>16161.175800000001</v>
      </c>
      <c r="L23" s="8">
        <f t="shared" si="3"/>
        <v>163.24420000000001</v>
      </c>
      <c r="M23" s="8" t="e">
        <f>+N23/#REF!</f>
        <v>#REF!</v>
      </c>
      <c r="N23" s="8">
        <f>Tabla17[[#This Row],[ORO SIN IVA]]*1.19</f>
        <v>16324.42</v>
      </c>
      <c r="O23" s="8" t="e">
        <f>+Q23/#REF!</f>
        <v>#REF!</v>
      </c>
      <c r="P23" s="10">
        <f>+Tabla17[[#This Row],[PRECIO SUGERIDO INSTALADOR]]*5%</f>
        <v>917.96600000000001</v>
      </c>
      <c r="Q23" s="10">
        <f>Tabla17[[#This Row],[INSTALLER SIN IVA]]*1.19</f>
        <v>18359.32</v>
      </c>
      <c r="R23" s="9">
        <v>13718</v>
      </c>
      <c r="S23" s="8">
        <v>15428</v>
      </c>
    </row>
    <row r="24" spans="1:19" ht="54" x14ac:dyDescent="0.25">
      <c r="A24" s="31" t="s">
        <v>79</v>
      </c>
      <c r="B24" s="32" t="s">
        <v>78</v>
      </c>
      <c r="C24" s="8">
        <f>+Tabla17[[#This Row],[PRECIO SUGERIDO INSTALADOR]]</f>
        <v>9812.74</v>
      </c>
      <c r="D24" s="8">
        <f>+Tabla17[[#This Row],[PRECIO  INSTALADOR
( CON  IVA)]]-Tabla17[[#This Row],[resta tienda ]]</f>
        <v>9322.1029999999992</v>
      </c>
      <c r="E24" s="8">
        <f>+Tabla17[[#This Row],[DPP ORO]]</f>
        <v>8772.68</v>
      </c>
      <c r="F24" s="8">
        <f>+Tabla17[[#This Row],[Columna4]]</f>
        <v>8684.9531999999999</v>
      </c>
      <c r="G24" s="8">
        <f>+Tabla17[[#This Row],[PRECIO  INSTALADOR
( CON  IVA)]]/0.7</f>
        <v>14018.2</v>
      </c>
      <c r="H24" s="8" t="e">
        <f t="shared" si="0"/>
        <v>#REF!</v>
      </c>
      <c r="I24" s="8" t="e">
        <f t="shared" si="1"/>
        <v>#REF!</v>
      </c>
      <c r="J24" s="8" t="e">
        <f>+K24/#REF!</f>
        <v>#REF!</v>
      </c>
      <c r="K24" s="8">
        <f t="shared" si="2"/>
        <v>8684.9531999999999</v>
      </c>
      <c r="L24" s="8">
        <f t="shared" si="3"/>
        <v>87.726800000000011</v>
      </c>
      <c r="M24" s="8" t="e">
        <f>+N24/#REF!</f>
        <v>#REF!</v>
      </c>
      <c r="N24" s="8">
        <f>Tabla17[[#This Row],[ORO SIN IVA]]*1.19</f>
        <v>8772.68</v>
      </c>
      <c r="O24" s="8" t="e">
        <f>+Q24/#REF!</f>
        <v>#REF!</v>
      </c>
      <c r="P24" s="10">
        <f>+Tabla17[[#This Row],[PRECIO SUGERIDO INSTALADOR]]*5%</f>
        <v>490.637</v>
      </c>
      <c r="Q24" s="10">
        <f>Tabla17[[#This Row],[INSTALLER SIN IVA]]*1.19</f>
        <v>9812.74</v>
      </c>
      <c r="R24" s="9">
        <v>7372.0000000000009</v>
      </c>
      <c r="S24" s="8">
        <v>8246</v>
      </c>
    </row>
    <row r="25" spans="1:19" ht="54" x14ac:dyDescent="0.25">
      <c r="A25" s="31" t="s">
        <v>80</v>
      </c>
      <c r="B25" s="32" t="s">
        <v>81</v>
      </c>
      <c r="C25" s="8">
        <f>+Tabla17[[#This Row],[PRECIO SUGERIDO INSTALADOR]]</f>
        <v>18359.32</v>
      </c>
      <c r="D25" s="8">
        <f>+Tabla17[[#This Row],[PRECIO  INSTALADOR
( CON  IVA)]]-Tabla17[[#This Row],[resta tienda ]]</f>
        <v>17441.353999999999</v>
      </c>
      <c r="E25" s="8">
        <f>+Tabla17[[#This Row],[DPP ORO]]</f>
        <v>16324.42</v>
      </c>
      <c r="F25" s="8">
        <f>+Tabla17[[#This Row],[Columna4]]</f>
        <v>16161.175800000001</v>
      </c>
      <c r="G25" s="8">
        <f>+Tabla17[[#This Row],[PRECIO  INSTALADOR
( CON  IVA)]]/0.7</f>
        <v>26227.600000000002</v>
      </c>
      <c r="H25" s="8" t="e">
        <f t="shared" si="0"/>
        <v>#REF!</v>
      </c>
      <c r="I25" s="8" t="e">
        <f t="shared" si="1"/>
        <v>#REF!</v>
      </c>
      <c r="J25" s="8" t="e">
        <f>+K25/#REF!</f>
        <v>#REF!</v>
      </c>
      <c r="K25" s="8">
        <f t="shared" si="2"/>
        <v>16161.175800000001</v>
      </c>
      <c r="L25" s="8">
        <f t="shared" si="3"/>
        <v>163.24420000000001</v>
      </c>
      <c r="M25" s="8" t="e">
        <f>+N25/#REF!</f>
        <v>#REF!</v>
      </c>
      <c r="N25" s="8">
        <f>Tabla17[[#This Row],[ORO SIN IVA]]*1.19</f>
        <v>16324.42</v>
      </c>
      <c r="O25" s="8" t="e">
        <f>+Q25/#REF!</f>
        <v>#REF!</v>
      </c>
      <c r="P25" s="10">
        <f>+Tabla17[[#This Row],[PRECIO SUGERIDO INSTALADOR]]*5%</f>
        <v>917.96600000000001</v>
      </c>
      <c r="Q25" s="10">
        <f>Tabla17[[#This Row],[INSTALLER SIN IVA]]*1.19</f>
        <v>18359.32</v>
      </c>
      <c r="R25" s="9">
        <v>13718</v>
      </c>
      <c r="S25" s="8">
        <v>15428</v>
      </c>
    </row>
    <row r="26" spans="1:19" ht="67.5" x14ac:dyDescent="0.25">
      <c r="A26" s="31" t="s">
        <v>43</v>
      </c>
      <c r="B26" s="32" t="s">
        <v>82</v>
      </c>
      <c r="C26" s="8">
        <f>+Tabla17[[#This Row],[PRECIO SUGERIDO INSTALADOR]]</f>
        <v>6195.1399999999994</v>
      </c>
      <c r="D26" s="8">
        <f>+Tabla17[[#This Row],[PRECIO  INSTALADOR
( CON  IVA)]]-Tabla17[[#This Row],[resta tienda ]]</f>
        <v>5885.3829999999998</v>
      </c>
      <c r="E26" s="8">
        <f>+Tabla17[[#This Row],[DPP ORO]]</f>
        <v>5516.84</v>
      </c>
      <c r="F26" s="8">
        <f>+Tabla17[[#This Row],[Columna4]]</f>
        <v>5461.6716000000006</v>
      </c>
      <c r="G26" s="8">
        <f>+Tabla17[[#This Row],[PRECIO  INSTALADOR
( CON  IVA)]]/0.7</f>
        <v>8850.1999999999989</v>
      </c>
      <c r="H26" s="8" t="e">
        <f t="shared" si="0"/>
        <v>#REF!</v>
      </c>
      <c r="I26" s="8" t="e">
        <f t="shared" si="1"/>
        <v>#REF!</v>
      </c>
      <c r="J26" s="8" t="e">
        <f>+K26/#REF!</f>
        <v>#REF!</v>
      </c>
      <c r="K26" s="8">
        <f t="shared" si="2"/>
        <v>5461.6716000000006</v>
      </c>
      <c r="L26" s="8">
        <f t="shared" si="3"/>
        <v>55.168400000000005</v>
      </c>
      <c r="M26" s="8" t="e">
        <f>+N26/#REF!</f>
        <v>#REF!</v>
      </c>
      <c r="N26" s="8">
        <f>Tabla17[[#This Row],[ORO SIN IVA]]*1.19</f>
        <v>5516.84</v>
      </c>
      <c r="O26" s="8" t="e">
        <f>+Q26/#REF!</f>
        <v>#REF!</v>
      </c>
      <c r="P26" s="10">
        <f>+Tabla17[[#This Row],[PRECIO SUGERIDO INSTALADOR]]*5%</f>
        <v>309.75700000000001</v>
      </c>
      <c r="Q26" s="10">
        <f>Tabla17[[#This Row],[INSTALLER SIN IVA]]*1.19</f>
        <v>6195.1399999999994</v>
      </c>
      <c r="R26" s="9">
        <v>4636</v>
      </c>
      <c r="S26" s="8">
        <v>5206</v>
      </c>
    </row>
    <row r="27" spans="1:19" ht="54" x14ac:dyDescent="0.25">
      <c r="A27" s="31" t="s">
        <v>10</v>
      </c>
      <c r="B27" s="32" t="s">
        <v>83</v>
      </c>
      <c r="C27" s="5">
        <f>+Tabla17[[#This Row],[PRECIO SUGERIDO INSTALADOR]]</f>
        <v>4702.88</v>
      </c>
      <c r="D27" s="5">
        <f>+Tabla17[[#This Row],[PRECIO  INSTALADOR
( CON  IVA)]]-Tabla17[[#This Row],[resta tienda ]]</f>
        <v>4467.7359999999999</v>
      </c>
      <c r="E27" s="5">
        <f>+Tabla17[[#This Row],[DPP ORO]]</f>
        <v>4160.24</v>
      </c>
      <c r="F27" s="5">
        <f>+Tabla17[[#This Row],[Columna4]]</f>
        <v>4118.6376</v>
      </c>
      <c r="G27" s="5">
        <f>+Tabla17[[#This Row],[PRECIO  INSTALADOR
( CON  IVA)]]/0.7</f>
        <v>6718.4000000000005</v>
      </c>
      <c r="H27" s="5" t="e">
        <f t="shared" si="0"/>
        <v>#REF!</v>
      </c>
      <c r="I27" s="5" t="e">
        <f t="shared" si="1"/>
        <v>#REF!</v>
      </c>
      <c r="J27" s="5" t="e">
        <f>+K27/#REF!</f>
        <v>#REF!</v>
      </c>
      <c r="K27" s="5">
        <f t="shared" si="2"/>
        <v>4118.6376</v>
      </c>
      <c r="L27" s="5">
        <f t="shared" si="3"/>
        <v>41.602399999999996</v>
      </c>
      <c r="M27" s="5" t="e">
        <f>+N27/#REF!</f>
        <v>#REF!</v>
      </c>
      <c r="N27" s="5">
        <f>Tabla17[[#This Row],[ORO SIN IVA]]*1.19</f>
        <v>4160.24</v>
      </c>
      <c r="O27" s="5" t="e">
        <f>+Q27/#REF!</f>
        <v>#REF!</v>
      </c>
      <c r="P27" s="7">
        <f>+Tabla17[[#This Row],[PRECIO SUGERIDO INSTALADOR]]*5%</f>
        <v>235.14400000000001</v>
      </c>
      <c r="Q27" s="7">
        <f>Tabla17[[#This Row],[INSTALLER SIN IVA]]*1.19</f>
        <v>4702.88</v>
      </c>
      <c r="R27" s="6">
        <v>3496</v>
      </c>
      <c r="S27" s="5">
        <v>3952.0000000000005</v>
      </c>
    </row>
    <row r="28" spans="1:19" ht="54" x14ac:dyDescent="0.25">
      <c r="A28" s="31" t="s">
        <v>6</v>
      </c>
      <c r="B28" s="32" t="s">
        <v>84</v>
      </c>
      <c r="C28" s="8">
        <f>+Tabla17[[#This Row],[PRECIO SUGERIDO INSTALADOR]]</f>
        <v>9631.8599999999988</v>
      </c>
      <c r="D28" s="8">
        <f>+Tabla17[[#This Row],[PRECIO  INSTALADOR
( CON  IVA)]]-Tabla17[[#This Row],[resta tienda ]]</f>
        <v>9150.266999999998</v>
      </c>
      <c r="E28" s="8">
        <f>+Tabla17[[#This Row],[DPP ORO]]</f>
        <v>8591.7999999999993</v>
      </c>
      <c r="F28" s="8">
        <f>+Tabla17[[#This Row],[Columna4]]</f>
        <v>8505.8819999999996</v>
      </c>
      <c r="G28" s="8">
        <f>+Tabla17[[#This Row],[PRECIO  INSTALADOR
( CON  IVA)]]/0.7</f>
        <v>13759.8</v>
      </c>
      <c r="H28" s="8" t="e">
        <f t="shared" ref="H28:H48" si="4">+M28</f>
        <v>#REF!</v>
      </c>
      <c r="I28" s="8" t="e">
        <f t="shared" ref="I28:I48" si="5">+J28</f>
        <v>#REF!</v>
      </c>
      <c r="J28" s="8" t="e">
        <f>+K28/#REF!</f>
        <v>#REF!</v>
      </c>
      <c r="K28" s="8">
        <f t="shared" ref="K28:K48" si="6">+N28-L28</f>
        <v>8505.8819999999996</v>
      </c>
      <c r="L28" s="8">
        <f t="shared" ref="L28:L48" si="7">+N28*1%</f>
        <v>85.917999999999992</v>
      </c>
      <c r="M28" s="8" t="e">
        <f>+N28/#REF!</f>
        <v>#REF!</v>
      </c>
      <c r="N28" s="8">
        <f>Tabla17[[#This Row],[ORO SIN IVA]]*1.19</f>
        <v>8591.7999999999993</v>
      </c>
      <c r="O28" s="8" t="e">
        <f>+Q28/#REF!</f>
        <v>#REF!</v>
      </c>
      <c r="P28" s="10">
        <f>+Tabla17[[#This Row],[PRECIO SUGERIDO INSTALADOR]]*5%</f>
        <v>481.59299999999996</v>
      </c>
      <c r="Q28" s="8">
        <f>Tabla17[[#This Row],[INSTALLER SIN IVA]]*1.19</f>
        <v>9631.8599999999988</v>
      </c>
      <c r="R28" s="9">
        <v>7220</v>
      </c>
      <c r="S28" s="8">
        <v>8093.9999999999991</v>
      </c>
    </row>
    <row r="29" spans="1:19" ht="54" x14ac:dyDescent="0.25">
      <c r="A29" s="31" t="s">
        <v>5</v>
      </c>
      <c r="B29" s="32" t="s">
        <v>85</v>
      </c>
      <c r="C29" s="8">
        <f>+Tabla17[[#This Row],[PRECIO SUGERIDO INSTALADOR]]</f>
        <v>32377.519999999997</v>
      </c>
      <c r="D29" s="8">
        <f>+Tabla17[[#This Row],[PRECIO  INSTALADOR
( CON  IVA)]]-Tabla17[[#This Row],[resta tienda ]]</f>
        <v>30758.643999999997</v>
      </c>
      <c r="E29" s="8">
        <f>+Tabla17[[#This Row],[DPP ORO]]</f>
        <v>29438.219999999998</v>
      </c>
      <c r="F29" s="8">
        <f>+Tabla17[[#This Row],[Columna4]]</f>
        <v>29143.837799999998</v>
      </c>
      <c r="G29" s="8">
        <f>+Tabla17[[#This Row],[PRECIO  INSTALADOR
( CON  IVA)]]/0.7</f>
        <v>46253.599999999999</v>
      </c>
      <c r="H29" s="8" t="e">
        <f t="shared" si="4"/>
        <v>#REF!</v>
      </c>
      <c r="I29" s="8" t="e">
        <f t="shared" si="5"/>
        <v>#REF!</v>
      </c>
      <c r="J29" s="8" t="e">
        <f>+K29/#REF!</f>
        <v>#REF!</v>
      </c>
      <c r="K29" s="8">
        <f t="shared" si="6"/>
        <v>29143.837799999998</v>
      </c>
      <c r="L29" s="8">
        <f t="shared" si="7"/>
        <v>294.38219999999995</v>
      </c>
      <c r="M29" s="8" t="e">
        <f>+N29/#REF!</f>
        <v>#REF!</v>
      </c>
      <c r="N29" s="8">
        <f>Tabla17[[#This Row],[ORO SIN IVA]]*1.19</f>
        <v>29438.219999999998</v>
      </c>
      <c r="O29" s="8" t="e">
        <f>+Q29/#REF!</f>
        <v>#REF!</v>
      </c>
      <c r="P29" s="10">
        <f>+Tabla17[[#This Row],[PRECIO SUGERIDO INSTALADOR]]*5%</f>
        <v>1618.876</v>
      </c>
      <c r="Q29" s="8">
        <f>Tabla17[[#This Row],[INSTALLER SIN IVA]]*1.19</f>
        <v>32377.519999999997</v>
      </c>
      <c r="R29" s="9">
        <v>24738</v>
      </c>
      <c r="S29" s="8">
        <v>27208</v>
      </c>
    </row>
    <row r="30" spans="1:19" ht="54" x14ac:dyDescent="0.25">
      <c r="A30" s="31" t="s">
        <v>4</v>
      </c>
      <c r="B30" s="32" t="s">
        <v>86</v>
      </c>
      <c r="C30" s="8">
        <f>+Tabla17[[#This Row],[PRECIO SUGERIDO INSTALADOR]]</f>
        <v>8501.3599999999988</v>
      </c>
      <c r="D30" s="8">
        <f>+Tabla17[[#This Row],[PRECIO  INSTALADOR
( CON  IVA)]]-Tabla17[[#This Row],[resta tienda ]]</f>
        <v>8076.2919999999986</v>
      </c>
      <c r="E30" s="8">
        <f>+Tabla17[[#This Row],[DPP ORO]]</f>
        <v>7732.62</v>
      </c>
      <c r="F30" s="8">
        <f>+Tabla17[[#This Row],[Columna4]]</f>
        <v>7655.2937999999995</v>
      </c>
      <c r="G30" s="8">
        <f>+Tabla17[[#This Row],[PRECIO  INSTALADOR
( CON  IVA)]]/0.7</f>
        <v>12144.8</v>
      </c>
      <c r="H30" s="8" t="e">
        <f t="shared" si="4"/>
        <v>#REF!</v>
      </c>
      <c r="I30" s="8" t="e">
        <f t="shared" si="5"/>
        <v>#REF!</v>
      </c>
      <c r="J30" s="8" t="e">
        <f>+K30/#REF!</f>
        <v>#REF!</v>
      </c>
      <c r="K30" s="8">
        <f t="shared" si="6"/>
        <v>7655.2937999999995</v>
      </c>
      <c r="L30" s="8">
        <f t="shared" si="7"/>
        <v>77.3262</v>
      </c>
      <c r="M30" s="8" t="e">
        <f>+N30/#REF!</f>
        <v>#REF!</v>
      </c>
      <c r="N30" s="8">
        <f>Tabla17[[#This Row],[ORO SIN IVA]]*1.19</f>
        <v>7732.62</v>
      </c>
      <c r="O30" s="8" t="e">
        <f>+Q30/#REF!</f>
        <v>#REF!</v>
      </c>
      <c r="P30" s="10">
        <f>+Tabla17[[#This Row],[PRECIO SUGERIDO INSTALADOR]]*5%</f>
        <v>425.06799999999998</v>
      </c>
      <c r="Q30" s="8">
        <f>Tabla17[[#This Row],[INSTALLER SIN IVA]]*1.19</f>
        <v>8501.3599999999988</v>
      </c>
      <c r="R30" s="9">
        <v>6498</v>
      </c>
      <c r="S30" s="8">
        <v>7143.9999999999991</v>
      </c>
    </row>
    <row r="31" spans="1:19" ht="54" x14ac:dyDescent="0.25">
      <c r="A31" s="31" t="s">
        <v>3</v>
      </c>
      <c r="B31" s="32" t="s">
        <v>87</v>
      </c>
      <c r="C31" s="8">
        <f>+Tabla17[[#This Row],[PRECIO SUGERIDO INSTALADOR]]</f>
        <v>12435.5</v>
      </c>
      <c r="D31" s="8">
        <f>+Tabla17[[#This Row],[PRECIO  INSTALADOR
( CON  IVA)]]-Tabla17[[#This Row],[resta tienda ]]</f>
        <v>11813.725</v>
      </c>
      <c r="E31" s="8">
        <f>+Tabla17[[#This Row],[DPP ORO]]</f>
        <v>10988.46</v>
      </c>
      <c r="F31" s="8">
        <f>+Tabla17[[#This Row],[Columna4]]</f>
        <v>10878.5754</v>
      </c>
      <c r="G31" s="8">
        <f>+Tabla17[[#This Row],[PRECIO  INSTALADOR
( CON  IVA)]]/0.7</f>
        <v>17765</v>
      </c>
      <c r="H31" s="8" t="e">
        <f t="shared" si="4"/>
        <v>#REF!</v>
      </c>
      <c r="I31" s="8" t="e">
        <f t="shared" si="5"/>
        <v>#REF!</v>
      </c>
      <c r="J31" s="8" t="e">
        <f>+K31/#REF!</f>
        <v>#REF!</v>
      </c>
      <c r="K31" s="8">
        <f t="shared" si="6"/>
        <v>10878.5754</v>
      </c>
      <c r="L31" s="8">
        <f t="shared" si="7"/>
        <v>109.88459999999999</v>
      </c>
      <c r="M31" s="8" t="e">
        <f>+N31/#REF!</f>
        <v>#REF!</v>
      </c>
      <c r="N31" s="8">
        <f>Tabla17[[#This Row],[ORO SIN IVA]]*1.19</f>
        <v>10988.46</v>
      </c>
      <c r="O31" s="8" t="e">
        <f>+Q31/#REF!</f>
        <v>#REF!</v>
      </c>
      <c r="P31" s="10">
        <f>+Tabla17[[#This Row],[PRECIO SUGERIDO INSTALADOR]]*5%</f>
        <v>621.77500000000009</v>
      </c>
      <c r="Q31" s="8">
        <f>Tabla17[[#This Row],[INSTALLER SIN IVA]]*1.19</f>
        <v>12435.5</v>
      </c>
      <c r="R31" s="9">
        <v>9234</v>
      </c>
      <c r="S31" s="8">
        <v>10450</v>
      </c>
    </row>
    <row r="32" spans="1:19" ht="54" x14ac:dyDescent="0.25">
      <c r="A32" s="31" t="s">
        <v>88</v>
      </c>
      <c r="B32" s="32" t="s">
        <v>89</v>
      </c>
      <c r="C32" s="8">
        <f>+Tabla17[[#This Row],[PRECIO SUGERIDO INSTALADOR]]</f>
        <v>4702.88</v>
      </c>
      <c r="D32" s="8">
        <f>+Tabla17[[#This Row],[PRECIO  INSTALADOR
( CON  IVA)]]-Tabla17[[#This Row],[resta tienda ]]</f>
        <v>4467.7359999999999</v>
      </c>
      <c r="E32" s="8">
        <f>+Tabla17[[#This Row],[DPP ORO]]</f>
        <v>4160.24</v>
      </c>
      <c r="F32" s="8">
        <f>+Tabla17[[#This Row],[Columna4]]</f>
        <v>4118.6376</v>
      </c>
      <c r="G32" s="8">
        <f>+Tabla17[[#This Row],[PRECIO  INSTALADOR
( CON  IVA)]]/0.7</f>
        <v>6718.4000000000005</v>
      </c>
      <c r="H32" s="8" t="e">
        <f t="shared" si="4"/>
        <v>#REF!</v>
      </c>
      <c r="I32" s="8" t="e">
        <f t="shared" si="5"/>
        <v>#REF!</v>
      </c>
      <c r="J32" s="8" t="e">
        <f>+K32/#REF!</f>
        <v>#REF!</v>
      </c>
      <c r="K32" s="8">
        <f t="shared" si="6"/>
        <v>4118.6376</v>
      </c>
      <c r="L32" s="8">
        <f t="shared" si="7"/>
        <v>41.602399999999996</v>
      </c>
      <c r="M32" s="8" t="e">
        <f>+N32/#REF!</f>
        <v>#REF!</v>
      </c>
      <c r="N32" s="8">
        <f>Tabla17[[#This Row],[ORO SIN IVA]]*1.19</f>
        <v>4160.24</v>
      </c>
      <c r="O32" s="8" t="e">
        <f>+Q32/#REF!</f>
        <v>#REF!</v>
      </c>
      <c r="P32" s="10">
        <f>+Tabla17[[#This Row],[PRECIO SUGERIDO INSTALADOR]]*5%</f>
        <v>235.14400000000001</v>
      </c>
      <c r="Q32" s="8">
        <f>Tabla17[[#This Row],[INSTALLER SIN IVA]]*1.19</f>
        <v>4702.88</v>
      </c>
      <c r="R32" s="9">
        <v>3496</v>
      </c>
      <c r="S32" s="8">
        <v>3952.0000000000005</v>
      </c>
    </row>
    <row r="33" spans="1:19" ht="54" x14ac:dyDescent="0.25">
      <c r="A33" s="31" t="s">
        <v>2</v>
      </c>
      <c r="B33" s="32" t="s">
        <v>90</v>
      </c>
      <c r="C33" s="8">
        <f>+Tabla17[[#This Row],[PRECIO SUGERIDO INSTALADOR]]</f>
        <v>6195.1399999999994</v>
      </c>
      <c r="D33" s="8">
        <f>+Tabla17[[#This Row],[PRECIO  INSTALADOR
( CON  IVA)]]-Tabla17[[#This Row],[resta tienda ]]</f>
        <v>5885.3829999999998</v>
      </c>
      <c r="E33" s="8">
        <f>+Tabla17[[#This Row],[DPP ORO]]</f>
        <v>5516.84</v>
      </c>
      <c r="F33" s="8">
        <f>+Tabla17[[#This Row],[Columna4]]</f>
        <v>5461.6716000000006</v>
      </c>
      <c r="G33" s="8">
        <f>+Tabla17[[#This Row],[PRECIO  INSTALADOR
( CON  IVA)]]/0.7</f>
        <v>8850.1999999999989</v>
      </c>
      <c r="H33" s="8" t="e">
        <f t="shared" si="4"/>
        <v>#REF!</v>
      </c>
      <c r="I33" s="8" t="e">
        <f t="shared" si="5"/>
        <v>#REF!</v>
      </c>
      <c r="J33" s="8" t="e">
        <f>+K33/#REF!</f>
        <v>#REF!</v>
      </c>
      <c r="K33" s="8">
        <f t="shared" si="6"/>
        <v>5461.6716000000006</v>
      </c>
      <c r="L33" s="8">
        <f t="shared" si="7"/>
        <v>55.168400000000005</v>
      </c>
      <c r="M33" s="8" t="e">
        <f>+N33/#REF!</f>
        <v>#REF!</v>
      </c>
      <c r="N33" s="8">
        <f>Tabla17[[#This Row],[ORO SIN IVA]]*1.19</f>
        <v>5516.84</v>
      </c>
      <c r="O33" s="8" t="e">
        <f>+Q33/#REF!</f>
        <v>#REF!</v>
      </c>
      <c r="P33" s="10">
        <f>+Tabla17[[#This Row],[PRECIO SUGERIDO INSTALADOR]]*5%</f>
        <v>309.75700000000001</v>
      </c>
      <c r="Q33" s="8">
        <f>Tabla17[[#This Row],[INSTALLER SIN IVA]]*1.19</f>
        <v>6195.1399999999994</v>
      </c>
      <c r="R33" s="9">
        <v>4636</v>
      </c>
      <c r="S33" s="8">
        <v>5206</v>
      </c>
    </row>
    <row r="34" spans="1:19" ht="54" x14ac:dyDescent="0.25">
      <c r="A34" s="31" t="s">
        <v>1</v>
      </c>
      <c r="B34" s="32" t="s">
        <v>91</v>
      </c>
      <c r="C34" s="8">
        <f>+Tabla17[[#This Row],[PRECIO SUGERIDO INSTALADOR]]</f>
        <v>12435.5</v>
      </c>
      <c r="D34" s="8">
        <f>+Tabla17[[#This Row],[PRECIO  INSTALADOR
( CON  IVA)]]-Tabla17[[#This Row],[resta tienda ]]</f>
        <v>11813.725</v>
      </c>
      <c r="E34" s="8">
        <f>+Tabla17[[#This Row],[DPP ORO]]</f>
        <v>10988.46</v>
      </c>
      <c r="F34" s="8">
        <f>+Tabla17[[#This Row],[Columna4]]</f>
        <v>10878.5754</v>
      </c>
      <c r="G34" s="8">
        <f>+Tabla17[[#This Row],[PRECIO  INSTALADOR
( CON  IVA)]]/0.7</f>
        <v>17765</v>
      </c>
      <c r="H34" s="8" t="e">
        <f t="shared" si="4"/>
        <v>#REF!</v>
      </c>
      <c r="I34" s="8" t="e">
        <f t="shared" si="5"/>
        <v>#REF!</v>
      </c>
      <c r="J34" s="8" t="e">
        <f>+K34/#REF!</f>
        <v>#REF!</v>
      </c>
      <c r="K34" s="8">
        <f t="shared" si="6"/>
        <v>10878.5754</v>
      </c>
      <c r="L34" s="8">
        <f t="shared" si="7"/>
        <v>109.88459999999999</v>
      </c>
      <c r="M34" s="8" t="e">
        <f>+N34/#REF!</f>
        <v>#REF!</v>
      </c>
      <c r="N34" s="8">
        <f>Tabla17[[#This Row],[ORO SIN IVA]]*1.19</f>
        <v>10988.46</v>
      </c>
      <c r="O34" s="8" t="e">
        <f>+Q34/#REF!</f>
        <v>#REF!</v>
      </c>
      <c r="P34" s="10">
        <f>+Tabla17[[#This Row],[PRECIO SUGERIDO INSTALADOR]]*5%</f>
        <v>621.77500000000009</v>
      </c>
      <c r="Q34" s="8">
        <f>Tabla17[[#This Row],[INSTALLER SIN IVA]]*1.19</f>
        <v>12435.5</v>
      </c>
      <c r="R34" s="9">
        <v>9234</v>
      </c>
      <c r="S34" s="8">
        <v>10450</v>
      </c>
    </row>
    <row r="35" spans="1:19" ht="54" x14ac:dyDescent="0.25">
      <c r="A35" s="31" t="s">
        <v>0</v>
      </c>
      <c r="B35" s="32" t="s">
        <v>92</v>
      </c>
      <c r="C35" s="8">
        <f>+Tabla17[[#This Row],[PRECIO SUGERIDO INSTALADOR]]</f>
        <v>20303.78</v>
      </c>
      <c r="D35" s="8">
        <f>+Tabla17[[#This Row],[PRECIO  INSTALADOR
( CON  IVA)]]-Tabla17[[#This Row],[resta tienda ]]</f>
        <v>19288.591</v>
      </c>
      <c r="E35" s="8">
        <f>+Tabla17[[#This Row],[DPP ORO]]</f>
        <v>18133.219999999998</v>
      </c>
      <c r="F35" s="8">
        <f>+Tabla17[[#This Row],[Columna4]]</f>
        <v>17951.887799999997</v>
      </c>
      <c r="G35" s="8">
        <f>+Tabla17[[#This Row],[PRECIO  INSTALADOR
( CON  IVA)]]/0.7</f>
        <v>29005.4</v>
      </c>
      <c r="H35" s="8" t="e">
        <f t="shared" si="4"/>
        <v>#REF!</v>
      </c>
      <c r="I35" s="8" t="e">
        <f t="shared" si="5"/>
        <v>#REF!</v>
      </c>
      <c r="J35" s="8" t="e">
        <f>+K35/#REF!</f>
        <v>#REF!</v>
      </c>
      <c r="K35" s="8">
        <f t="shared" si="6"/>
        <v>17951.887799999997</v>
      </c>
      <c r="L35" s="8">
        <f t="shared" si="7"/>
        <v>181.33219999999997</v>
      </c>
      <c r="M35" s="8" t="e">
        <f>+N35/#REF!</f>
        <v>#REF!</v>
      </c>
      <c r="N35" s="8">
        <f>Tabla17[[#This Row],[ORO SIN IVA]]*1.19</f>
        <v>18133.219999999998</v>
      </c>
      <c r="O35" s="8" t="e">
        <f>+Q35/#REF!</f>
        <v>#REF!</v>
      </c>
      <c r="P35" s="10">
        <f>+Tabla17[[#This Row],[PRECIO SUGERIDO INSTALADOR]]*5%</f>
        <v>1015.189</v>
      </c>
      <c r="Q35" s="8">
        <f>Tabla17[[#This Row],[INSTALLER SIN IVA]]*1.19</f>
        <v>20303.78</v>
      </c>
      <c r="R35" s="9">
        <v>15237.999999999998</v>
      </c>
      <c r="S35" s="8">
        <v>17062</v>
      </c>
    </row>
    <row r="36" spans="1:19" ht="54" x14ac:dyDescent="0.25">
      <c r="A36" s="31" t="s">
        <v>8</v>
      </c>
      <c r="B36" s="32" t="s">
        <v>93</v>
      </c>
      <c r="C36" s="8">
        <f>+Tabla17[[#This Row],[PRECIO SUGERIDO INSTALADOR]]</f>
        <v>856873.77999999991</v>
      </c>
      <c r="D36" s="8">
        <f>+Tabla17[[#This Row],[PRECIO  INSTALADOR
( CON  IVA)]]-Tabla17[[#This Row],[resta tienda ]]</f>
        <v>814030.0909999999</v>
      </c>
      <c r="E36" s="8">
        <f>+Tabla17[[#This Row],[DPP ORO]]</f>
        <v>781944.24</v>
      </c>
      <c r="F36" s="8">
        <f>+Tabla17[[#This Row],[Columna4]]</f>
        <v>774124.79759999993</v>
      </c>
      <c r="G36" s="8">
        <f>+Tabla17[[#This Row],[PRECIO  INSTALADOR
( CON  IVA)]]/0.7</f>
        <v>1224105.3999999999</v>
      </c>
      <c r="H36" s="8" t="e">
        <f t="shared" si="4"/>
        <v>#REF!</v>
      </c>
      <c r="I36" s="8" t="e">
        <f t="shared" si="5"/>
        <v>#REF!</v>
      </c>
      <c r="J36" s="8" t="e">
        <f>+K36/#REF!</f>
        <v>#REF!</v>
      </c>
      <c r="K36" s="8">
        <f t="shared" si="6"/>
        <v>774124.79759999993</v>
      </c>
      <c r="L36" s="8">
        <f t="shared" si="7"/>
        <v>7819.4423999999999</v>
      </c>
      <c r="M36" s="8" t="e">
        <f>+N36/#REF!</f>
        <v>#REF!</v>
      </c>
      <c r="N36" s="8">
        <f>Tabla17[[#This Row],[ORO SIN IVA]]*1.19</f>
        <v>781944.24</v>
      </c>
      <c r="O36" s="8" t="e">
        <f>+Q36/#REF!</f>
        <v>#REF!</v>
      </c>
      <c r="P36" s="10">
        <f>+Tabla17[[#This Row],[PRECIO SUGERIDO INSTALADOR]]*5%</f>
        <v>42843.688999999998</v>
      </c>
      <c r="Q36" s="8">
        <f>Tabla17[[#This Row],[INSTALLER SIN IVA]]*1.19</f>
        <v>856873.77999999991</v>
      </c>
      <c r="R36" s="9">
        <v>657096</v>
      </c>
      <c r="S36" s="8">
        <v>720062</v>
      </c>
    </row>
    <row r="37" spans="1:19" ht="54" x14ac:dyDescent="0.25">
      <c r="A37" s="31" t="s">
        <v>7</v>
      </c>
      <c r="B37" s="32" t="s">
        <v>94</v>
      </c>
      <c r="C37" s="8">
        <f>+Tabla17[[#This Row],[PRECIO SUGERIDO INSTALADOR]]</f>
        <v>42009.38</v>
      </c>
      <c r="D37" s="8">
        <f>+Tabla17[[#This Row],[PRECIO  INSTALADOR
( CON  IVA)]]-Tabla17[[#This Row],[resta tienda ]]</f>
        <v>39908.911</v>
      </c>
      <c r="E37" s="8">
        <f>+Tabla17[[#This Row],[DPP ORO]]</f>
        <v>37396.939999999995</v>
      </c>
      <c r="F37" s="8">
        <f>+Tabla17[[#This Row],[Columna4]]</f>
        <v>37022.970599999993</v>
      </c>
      <c r="G37" s="8">
        <f>+Tabla17[[#This Row],[PRECIO  INSTALADOR
( CON  IVA)]]/0.7</f>
        <v>60013.4</v>
      </c>
      <c r="H37" s="8" t="e">
        <f t="shared" si="4"/>
        <v>#REF!</v>
      </c>
      <c r="I37" s="8" t="e">
        <f t="shared" si="5"/>
        <v>#REF!</v>
      </c>
      <c r="J37" s="8" t="e">
        <f>+K37/#REF!</f>
        <v>#REF!</v>
      </c>
      <c r="K37" s="8">
        <f t="shared" si="6"/>
        <v>37022.970599999993</v>
      </c>
      <c r="L37" s="8">
        <f t="shared" si="7"/>
        <v>373.96939999999995</v>
      </c>
      <c r="M37" s="8" t="e">
        <f>+N37/#REF!</f>
        <v>#REF!</v>
      </c>
      <c r="N37" s="8">
        <f>Tabla17[[#This Row],[ORO SIN IVA]]*1.19</f>
        <v>37396.939999999995</v>
      </c>
      <c r="O37" s="8" t="e">
        <f>+Q37/#REF!</f>
        <v>#REF!</v>
      </c>
      <c r="P37" s="10">
        <f>+Tabla17[[#This Row],[PRECIO SUGERIDO INSTALADOR]]*5%</f>
        <v>2100.4690000000001</v>
      </c>
      <c r="Q37" s="8">
        <f>Tabla17[[#This Row],[INSTALLER SIN IVA]]*1.19</f>
        <v>42009.38</v>
      </c>
      <c r="R37" s="9">
        <v>31425.999999999996</v>
      </c>
      <c r="S37" s="8">
        <v>35302</v>
      </c>
    </row>
    <row r="38" spans="1:19" ht="81" x14ac:dyDescent="0.25">
      <c r="A38" s="31" t="s">
        <v>17</v>
      </c>
      <c r="B38" s="32" t="s">
        <v>95</v>
      </c>
      <c r="C38" s="8">
        <f>+Tabla17[[#This Row],[PRECIO SUGERIDO INSTALADOR]]</f>
        <v>310028.32</v>
      </c>
      <c r="D38" s="8">
        <f>+Tabla17[[#This Row],[PRECIO  INSTALADOR
( CON  IVA)]]-Tabla17[[#This Row],[resta tienda ]]</f>
        <v>294526.90399999998</v>
      </c>
      <c r="E38" s="8">
        <f>+Tabla17[[#This Row],[DPP ORO]]</f>
        <v>275977.65999999997</v>
      </c>
      <c r="F38" s="8">
        <f>+Tabla17[[#This Row],[Columna4]]</f>
        <v>273217.88339999999</v>
      </c>
      <c r="G38" s="8">
        <f>+Tabla17[[#This Row],[PRECIO  INSTALADOR
( CON  IVA)]]/0.7</f>
        <v>442897.60000000003</v>
      </c>
      <c r="H38" s="8" t="e">
        <f t="shared" si="4"/>
        <v>#REF!</v>
      </c>
      <c r="I38" s="8" t="e">
        <f t="shared" si="5"/>
        <v>#REF!</v>
      </c>
      <c r="J38" s="8" t="e">
        <f>+K38/#REF!</f>
        <v>#REF!</v>
      </c>
      <c r="K38" s="8">
        <f t="shared" si="6"/>
        <v>273217.88339999999</v>
      </c>
      <c r="L38" s="8">
        <f t="shared" si="7"/>
        <v>2759.7765999999997</v>
      </c>
      <c r="M38" s="8" t="e">
        <f>+N38/#REF!</f>
        <v>#REF!</v>
      </c>
      <c r="N38" s="8">
        <f>Tabla17[[#This Row],[ORO SIN IVA]]*1.19</f>
        <v>275977.65999999997</v>
      </c>
      <c r="O38" s="8" t="e">
        <f>+Q38/#REF!</f>
        <v>#REF!</v>
      </c>
      <c r="P38" s="10">
        <f>+Tabla17[[#This Row],[PRECIO SUGERIDO INSTALADOR]]*5%</f>
        <v>15501.416000000001</v>
      </c>
      <c r="Q38" s="8">
        <f>Tabla17[[#This Row],[INSTALLER SIN IVA]]*1.19</f>
        <v>310028.32</v>
      </c>
      <c r="R38" s="9">
        <v>231914</v>
      </c>
      <c r="S38" s="8">
        <v>260528.00000000003</v>
      </c>
    </row>
    <row r="39" spans="1:19" ht="40.5" x14ac:dyDescent="0.25">
      <c r="A39" s="31" t="s">
        <v>16</v>
      </c>
      <c r="B39" s="32" t="s">
        <v>15</v>
      </c>
      <c r="C39" s="8">
        <f>+Tabla17[[#This Row],[PRECIO SUGERIDO INSTALADOR]]</f>
        <v>443037</v>
      </c>
      <c r="D39" s="8">
        <f>+Tabla17[[#This Row],[PRECIO  INSTALADOR
( CON  IVA)]]-Tabla17[[#This Row],[resta tienda ]]</f>
        <v>420885.15</v>
      </c>
      <c r="E39" s="8">
        <f>+Tabla17[[#This Row],[DPP ORO]]</f>
        <v>400792</v>
      </c>
      <c r="F39" s="8">
        <f>+Tabla17[[#This Row],[Columna4]]</f>
        <v>396784.08</v>
      </c>
      <c r="G39" s="8">
        <f>+Tabla17[[#This Row],[PRECIO  INSTALADOR
( CON  IVA)]]/0.7</f>
        <v>632910</v>
      </c>
      <c r="H39" s="8" t="e">
        <f t="shared" si="4"/>
        <v>#REF!</v>
      </c>
      <c r="I39" s="8" t="e">
        <f t="shared" si="5"/>
        <v>#REF!</v>
      </c>
      <c r="J39" s="8" t="e">
        <f>+K39/#REF!</f>
        <v>#REF!</v>
      </c>
      <c r="K39" s="8">
        <f t="shared" si="6"/>
        <v>396784.08</v>
      </c>
      <c r="L39" s="8">
        <f t="shared" si="7"/>
        <v>4007.92</v>
      </c>
      <c r="M39" s="8" t="e">
        <f>+N39/#REF!</f>
        <v>#REF!</v>
      </c>
      <c r="N39" s="8">
        <f>Tabla17[[#This Row],[ORO SIN IVA]]*1.19</f>
        <v>400792</v>
      </c>
      <c r="O39" s="8" t="e">
        <f>+Q39/#REF!</f>
        <v>#REF!</v>
      </c>
      <c r="P39" s="10">
        <f>+Tabla17[[#This Row],[PRECIO SUGERIDO INSTALADOR]]*5%</f>
        <v>22151.850000000002</v>
      </c>
      <c r="Q39" s="8">
        <f>Tabla17[[#This Row],[INSTALLER SIN IVA]]*1.19</f>
        <v>443037</v>
      </c>
      <c r="R39" s="9">
        <v>336800</v>
      </c>
      <c r="S39" s="8">
        <v>372300</v>
      </c>
    </row>
    <row r="40" spans="1:19" ht="81" x14ac:dyDescent="0.25">
      <c r="A40" s="31" t="s">
        <v>14</v>
      </c>
      <c r="B40" s="32" t="s">
        <v>96</v>
      </c>
      <c r="C40" s="8">
        <f>+Tabla17[[#This Row],[PRECIO SUGERIDO INSTALADOR]]</f>
        <v>422716.56</v>
      </c>
      <c r="D40" s="8">
        <f>+Tabla17[[#This Row],[PRECIO  INSTALADOR
( CON  IVA)]]-Tabla17[[#This Row],[resta tienda ]]</f>
        <v>401580.73200000002</v>
      </c>
      <c r="E40" s="8">
        <f>+Tabla17[[#This Row],[DPP ORO]]</f>
        <v>376320.83999999997</v>
      </c>
      <c r="F40" s="8">
        <f>+Tabla17[[#This Row],[Columna4]]</f>
        <v>372557.63159999996</v>
      </c>
      <c r="G40" s="8">
        <f>+Tabla17[[#This Row],[PRECIO  INSTALADOR
( CON  IVA)]]/0.7</f>
        <v>603880.80000000005</v>
      </c>
      <c r="H40" s="8" t="e">
        <f t="shared" si="4"/>
        <v>#REF!</v>
      </c>
      <c r="I40" s="8" t="e">
        <f t="shared" si="5"/>
        <v>#REF!</v>
      </c>
      <c r="J40" s="8" t="e">
        <f>+K40/#REF!</f>
        <v>#REF!</v>
      </c>
      <c r="K40" s="8">
        <f t="shared" si="6"/>
        <v>372557.63159999996</v>
      </c>
      <c r="L40" s="8">
        <f t="shared" si="7"/>
        <v>3763.2083999999995</v>
      </c>
      <c r="M40" s="8" t="e">
        <f>+N40/#REF!</f>
        <v>#REF!</v>
      </c>
      <c r="N40" s="8">
        <f>Tabla17[[#This Row],[ORO SIN IVA]]*1.19</f>
        <v>376320.83999999997</v>
      </c>
      <c r="O40" s="8" t="e">
        <f>+Q40/#REF!</f>
        <v>#REF!</v>
      </c>
      <c r="P40" s="10">
        <f>+Tabla17[[#This Row],[PRECIO SUGERIDO INSTALADOR]]*5%</f>
        <v>21135.828000000001</v>
      </c>
      <c r="Q40" s="8">
        <f>Tabla17[[#This Row],[INSTALLER SIN IVA]]*1.19</f>
        <v>422716.56</v>
      </c>
      <c r="R40" s="9">
        <v>316236</v>
      </c>
      <c r="S40" s="8">
        <v>355224</v>
      </c>
    </row>
    <row r="41" spans="1:19" ht="81" x14ac:dyDescent="0.25">
      <c r="A41" s="31" t="s">
        <v>13</v>
      </c>
      <c r="B41" s="32" t="s">
        <v>97</v>
      </c>
      <c r="C41" s="8">
        <f>+Tabla17[[#This Row],[PRECIO SUGERIDO INSTALADOR]]</f>
        <v>831324.48</v>
      </c>
      <c r="D41" s="8">
        <f>+Tabla17[[#This Row],[PRECIO  INSTALADOR
( CON  IVA)]]-Tabla17[[#This Row],[resta tienda ]]</f>
        <v>789758.25599999994</v>
      </c>
      <c r="E41" s="8">
        <f>+Tabla17[[#This Row],[DPP ORO]]</f>
        <v>740115.74</v>
      </c>
      <c r="F41" s="8">
        <f>+Tabla17[[#This Row],[Columna4]]</f>
        <v>732714.58259999997</v>
      </c>
      <c r="G41" s="8">
        <f>+Tabla17[[#This Row],[PRECIO  INSTALADOR
( CON  IVA)]]/0.7</f>
        <v>1187606.4000000001</v>
      </c>
      <c r="H41" s="8" t="e">
        <f t="shared" si="4"/>
        <v>#REF!</v>
      </c>
      <c r="I41" s="8" t="e">
        <f t="shared" si="5"/>
        <v>#REF!</v>
      </c>
      <c r="J41" s="8" t="e">
        <f>+K41/#REF!</f>
        <v>#REF!</v>
      </c>
      <c r="K41" s="8">
        <f t="shared" si="6"/>
        <v>732714.58259999997</v>
      </c>
      <c r="L41" s="8">
        <f t="shared" si="7"/>
        <v>7401.1574000000001</v>
      </c>
      <c r="M41" s="8" t="e">
        <f>+N41/#REF!</f>
        <v>#REF!</v>
      </c>
      <c r="N41" s="8">
        <f>Tabla17[[#This Row],[ORO SIN IVA]]*1.19</f>
        <v>740115.74</v>
      </c>
      <c r="O41" s="8" t="e">
        <f>+Q41/#REF!</f>
        <v>#REF!</v>
      </c>
      <c r="P41" s="10">
        <f>+Tabla17[[#This Row],[PRECIO SUGERIDO INSTALADOR]]*5%</f>
        <v>41566.224000000002</v>
      </c>
      <c r="Q41" s="8">
        <f>Tabla17[[#This Row],[INSTALLER SIN IVA]]*1.19</f>
        <v>831324.48</v>
      </c>
      <c r="R41" s="9">
        <v>621946</v>
      </c>
      <c r="S41" s="8">
        <v>698592</v>
      </c>
    </row>
    <row r="42" spans="1:19" ht="40.5" x14ac:dyDescent="0.25">
      <c r="A42" s="31" t="s">
        <v>98</v>
      </c>
      <c r="B42" s="33" t="s">
        <v>99</v>
      </c>
      <c r="C42" s="8">
        <f>+Tabla17[[#This Row],[PRECIO SUGERIDO INSTALADOR]]</f>
        <v>25413.64</v>
      </c>
      <c r="D42" s="8">
        <f>+Tabla17[[#This Row],[PRECIO  INSTALADOR
( CON  IVA)]]-Tabla17[[#This Row],[resta tienda ]]</f>
        <v>24142.957999999999</v>
      </c>
      <c r="E42" s="8">
        <f>+Tabla17[[#This Row],[DPP ORO]]</f>
        <v>22610</v>
      </c>
      <c r="F42" s="8">
        <f>+Tabla17[[#This Row],[Columna4]]</f>
        <v>22383.9</v>
      </c>
      <c r="G42" s="8">
        <f>+Tabla17[[#This Row],[PRECIO  INSTALADOR
( CON  IVA)]]/0.7</f>
        <v>36305.200000000004</v>
      </c>
      <c r="H42" s="8" t="e">
        <f t="shared" si="4"/>
        <v>#REF!</v>
      </c>
      <c r="I42" s="8" t="e">
        <f t="shared" si="5"/>
        <v>#REF!</v>
      </c>
      <c r="J42" s="8" t="e">
        <f>+K42/#REF!</f>
        <v>#REF!</v>
      </c>
      <c r="K42" s="8">
        <f t="shared" si="6"/>
        <v>22383.9</v>
      </c>
      <c r="L42" s="8">
        <f t="shared" si="7"/>
        <v>226.1</v>
      </c>
      <c r="M42" s="8" t="e">
        <f>+N42/#REF!</f>
        <v>#REF!</v>
      </c>
      <c r="N42" s="8">
        <f>Tabla17[[#This Row],[ORO SIN IVA]]*1.19</f>
        <v>22610</v>
      </c>
      <c r="O42" s="8" t="e">
        <f>+Q42/#REF!</f>
        <v>#REF!</v>
      </c>
      <c r="P42" s="10">
        <f>+Tabla17[[#This Row],[PRECIO SUGERIDO INSTALADOR]]*5%</f>
        <v>1270.682</v>
      </c>
      <c r="Q42" s="8">
        <f>Tabla17[[#This Row],[INSTALLER SIN IVA]]*1.19</f>
        <v>25413.64</v>
      </c>
      <c r="R42" s="9">
        <v>19000</v>
      </c>
      <c r="S42" s="8">
        <v>21356</v>
      </c>
    </row>
    <row r="43" spans="1:19" ht="81" x14ac:dyDescent="0.25">
      <c r="A43" s="34" t="s">
        <v>100</v>
      </c>
      <c r="B43" s="33" t="s">
        <v>101</v>
      </c>
      <c r="C43" s="8">
        <f>+Tabla17[[#This Row],[PRECIO SUGERIDO INSTALADOR]]</f>
        <v>29890.42</v>
      </c>
      <c r="D43" s="8">
        <f>+Tabla17[[#This Row],[PRECIO  INSTALADOR
( CON  IVA)]]-Tabla17[[#This Row],[resta tienda ]]</f>
        <v>28395.898999999998</v>
      </c>
      <c r="E43" s="8">
        <f>+Tabla17[[#This Row],[DPP ORO]]</f>
        <v>26544.14</v>
      </c>
      <c r="F43" s="8">
        <f>+Tabla17[[#This Row],[Columna4]]</f>
        <v>26278.6986</v>
      </c>
      <c r="G43" s="8">
        <f>+Tabla17[[#This Row],[PRECIO  INSTALADOR
( CON  IVA)]]/0.7</f>
        <v>42700.6</v>
      </c>
      <c r="H43" s="8" t="e">
        <f t="shared" si="4"/>
        <v>#REF!</v>
      </c>
      <c r="I43" s="8" t="e">
        <f t="shared" si="5"/>
        <v>#REF!</v>
      </c>
      <c r="J43" s="8" t="e">
        <f>+K43/#REF!</f>
        <v>#REF!</v>
      </c>
      <c r="K43" s="8">
        <f t="shared" si="6"/>
        <v>26278.6986</v>
      </c>
      <c r="L43" s="8">
        <f t="shared" si="7"/>
        <v>265.44139999999999</v>
      </c>
      <c r="M43" s="8" t="e">
        <f>+N43/#REF!</f>
        <v>#REF!</v>
      </c>
      <c r="N43" s="8">
        <f>Tabla17[[#This Row],[ORO SIN IVA]]*1.19</f>
        <v>26544.14</v>
      </c>
      <c r="O43" s="8" t="e">
        <f>+Q43/#REF!</f>
        <v>#REF!</v>
      </c>
      <c r="P43" s="10">
        <f>+Tabla17[[#This Row],[PRECIO SUGERIDO INSTALADOR]]*5%</f>
        <v>1494.521</v>
      </c>
      <c r="Q43" s="8">
        <f>Tabla17[[#This Row],[INSTALLER SIN IVA]]*1.19</f>
        <v>29890.42</v>
      </c>
      <c r="R43" s="9">
        <v>22306</v>
      </c>
      <c r="S43" s="8">
        <v>25118</v>
      </c>
    </row>
    <row r="44" spans="1:19" ht="81" x14ac:dyDescent="0.25">
      <c r="A44" s="34" t="s">
        <v>102</v>
      </c>
      <c r="B44" s="33" t="s">
        <v>103</v>
      </c>
      <c r="C44" s="8">
        <f>+Tabla17[[#This Row],[PRECIO SUGERIDO INSTALADOR]]</f>
        <v>50872.5</v>
      </c>
      <c r="D44" s="8">
        <f>+Tabla17[[#This Row],[PRECIO  INSTALADOR
( CON  IVA)]]-Tabla17[[#This Row],[resta tienda ]]</f>
        <v>48328.875</v>
      </c>
      <c r="E44" s="8">
        <f>+Tabla17[[#This Row],[DPP ORO]]</f>
        <v>45355.659999999996</v>
      </c>
      <c r="F44" s="8">
        <f>+Tabla17[[#This Row],[Columna4]]</f>
        <v>44902.103399999993</v>
      </c>
      <c r="G44" s="8">
        <f>+Tabla17[[#This Row],[PRECIO  INSTALADOR
( CON  IVA)]]/0.7</f>
        <v>72675</v>
      </c>
      <c r="H44" s="8" t="e">
        <f t="shared" si="4"/>
        <v>#REF!</v>
      </c>
      <c r="I44" s="8" t="e">
        <f t="shared" si="5"/>
        <v>#REF!</v>
      </c>
      <c r="J44" s="8" t="e">
        <f>+K44/#REF!</f>
        <v>#REF!</v>
      </c>
      <c r="K44" s="8">
        <f t="shared" si="6"/>
        <v>44902.103399999993</v>
      </c>
      <c r="L44" s="8">
        <f t="shared" si="7"/>
        <v>453.55659999999995</v>
      </c>
      <c r="M44" s="8" t="e">
        <f>+N44/#REF!</f>
        <v>#REF!</v>
      </c>
      <c r="N44" s="8">
        <f>Tabla17[[#This Row],[ORO SIN IVA]]*1.19</f>
        <v>45355.659999999996</v>
      </c>
      <c r="O44" s="8" t="e">
        <f>+Q44/#REF!</f>
        <v>#REF!</v>
      </c>
      <c r="P44" s="10">
        <f>+Tabla17[[#This Row],[PRECIO SUGERIDO INSTALADOR]]*5%</f>
        <v>2543.625</v>
      </c>
      <c r="Q44" s="8">
        <f>Tabla17[[#This Row],[INSTALLER SIN IVA]]*1.19</f>
        <v>50872.5</v>
      </c>
      <c r="R44" s="9">
        <v>38114</v>
      </c>
      <c r="S44" s="8">
        <v>42750</v>
      </c>
    </row>
    <row r="45" spans="1:19" ht="67.5" x14ac:dyDescent="0.25">
      <c r="A45" s="34" t="s">
        <v>104</v>
      </c>
      <c r="B45" s="33" t="s">
        <v>105</v>
      </c>
      <c r="C45" s="8">
        <f>+Tabla17[[#This Row],[PRECIO SUGERIDO INSTALADOR]]</f>
        <v>47571.439999999995</v>
      </c>
      <c r="D45" s="8">
        <f>+Tabla17[[#This Row],[PRECIO  INSTALADOR
( CON  IVA)]]-Tabla17[[#This Row],[resta tienda ]]</f>
        <v>45192.867999999995</v>
      </c>
      <c r="E45" s="8">
        <f>+Tabla17[[#This Row],[DPP ORO]]</f>
        <v>42325.919999999998</v>
      </c>
      <c r="F45" s="8">
        <f>+Tabla17[[#This Row],[Columna4]]</f>
        <v>41902.660799999998</v>
      </c>
      <c r="G45" s="8">
        <f>+Tabla17[[#This Row],[PRECIO  INSTALADOR
( CON  IVA)]]/0.7</f>
        <v>67959.199999999997</v>
      </c>
      <c r="H45" s="8" t="e">
        <f t="shared" si="4"/>
        <v>#REF!</v>
      </c>
      <c r="I45" s="8" t="e">
        <f t="shared" si="5"/>
        <v>#REF!</v>
      </c>
      <c r="J45" s="8" t="e">
        <f>+K45/#REF!</f>
        <v>#REF!</v>
      </c>
      <c r="K45" s="8">
        <f t="shared" si="6"/>
        <v>41902.660799999998</v>
      </c>
      <c r="L45" s="8">
        <f t="shared" si="7"/>
        <v>423.25919999999996</v>
      </c>
      <c r="M45" s="8" t="e">
        <f>+N45/#REF!</f>
        <v>#REF!</v>
      </c>
      <c r="N45" s="8">
        <f>Tabla17[[#This Row],[ORO SIN IVA]]*1.19</f>
        <v>42325.919999999998</v>
      </c>
      <c r="O45" s="8" t="e">
        <f>+Q45/#REF!</f>
        <v>#REF!</v>
      </c>
      <c r="P45" s="10">
        <f>+Tabla17[[#This Row],[PRECIO SUGERIDO INSTALADOR]]*5%</f>
        <v>2378.5719999999997</v>
      </c>
      <c r="Q45" s="8">
        <f>Tabla17[[#This Row],[INSTALLER SIN IVA]]*1.19</f>
        <v>47571.439999999995</v>
      </c>
      <c r="R45" s="9">
        <v>35568</v>
      </c>
      <c r="S45" s="8">
        <v>39976</v>
      </c>
    </row>
    <row r="46" spans="1:19" ht="81" x14ac:dyDescent="0.25">
      <c r="A46" s="34" t="s">
        <v>106</v>
      </c>
      <c r="B46" s="33" t="s">
        <v>107</v>
      </c>
      <c r="C46" s="8">
        <f>+Tabla17[[#This Row],[PRECIO SUGERIDO INSTALADOR]]</f>
        <v>73075.51999999999</v>
      </c>
      <c r="D46" s="8">
        <f>+Tabla17[[#This Row],[PRECIO  INSTALADOR
( CON  IVA)]]-Tabla17[[#This Row],[resta tienda ]]</f>
        <v>69421.743999999992</v>
      </c>
      <c r="E46" s="8">
        <f>+Tabla17[[#This Row],[DPP ORO]]</f>
        <v>65026.36</v>
      </c>
      <c r="F46" s="8">
        <f>+Tabla17[[#This Row],[Columna4]]</f>
        <v>64376.096400000002</v>
      </c>
      <c r="G46" s="8">
        <f>+Tabla17[[#This Row],[PRECIO  INSTALADOR
( CON  IVA)]]/0.7</f>
        <v>104393.59999999999</v>
      </c>
      <c r="H46" s="8" t="e">
        <f t="shared" si="4"/>
        <v>#REF!</v>
      </c>
      <c r="I46" s="8" t="e">
        <f t="shared" si="5"/>
        <v>#REF!</v>
      </c>
      <c r="J46" s="8" t="e">
        <f>+K46/#REF!</f>
        <v>#REF!</v>
      </c>
      <c r="K46" s="8">
        <f t="shared" si="6"/>
        <v>64376.096400000002</v>
      </c>
      <c r="L46" s="8">
        <f t="shared" si="7"/>
        <v>650.2636</v>
      </c>
      <c r="M46" s="8" t="e">
        <f>+N46/#REF!</f>
        <v>#REF!</v>
      </c>
      <c r="N46" s="8">
        <f>Tabla17[[#This Row],[ORO SIN IVA]]*1.19</f>
        <v>65026.36</v>
      </c>
      <c r="O46" s="8" t="e">
        <f>+Q46/#REF!</f>
        <v>#REF!</v>
      </c>
      <c r="P46" s="10">
        <f>+Tabla17[[#This Row],[PRECIO SUGERIDO INSTALADOR]]*5%</f>
        <v>3653.7759999999998</v>
      </c>
      <c r="Q46" s="8">
        <f>Tabla17[[#This Row],[INSTALLER SIN IVA]]*1.19</f>
        <v>73075.51999999999</v>
      </c>
      <c r="R46" s="9">
        <v>54644</v>
      </c>
      <c r="S46" s="8">
        <v>61407.999999999993</v>
      </c>
    </row>
    <row r="47" spans="1:19" ht="81" x14ac:dyDescent="0.25">
      <c r="A47" s="34" t="s">
        <v>108</v>
      </c>
      <c r="B47" s="33" t="s">
        <v>110</v>
      </c>
      <c r="C47" s="8">
        <f>+Tabla17[[#This Row],[PRECIO SUGERIDO INSTALADOR]]</f>
        <v>3653.2999999999997</v>
      </c>
      <c r="D47" s="8">
        <f>+Tabla17[[#This Row],[PRECIO  INSTALADOR
( CON  IVA)]]-Tabla17[[#This Row],[resta tienda ]]</f>
        <v>3470.6349999999998</v>
      </c>
      <c r="E47" s="8">
        <f>+Tabla17[[#This Row],[DPP ORO]]</f>
        <v>3252.27</v>
      </c>
      <c r="F47" s="8">
        <f>+Tabla17[[#This Row],[Columna4]]</f>
        <v>3219.7473</v>
      </c>
      <c r="G47" s="8">
        <f>+Tabla17[[#This Row],[PRECIO  INSTALADOR
( CON  IVA)]]/0.7</f>
        <v>5219</v>
      </c>
      <c r="H47" s="8" t="e">
        <f t="shared" si="4"/>
        <v>#REF!</v>
      </c>
      <c r="I47" s="8" t="e">
        <f t="shared" si="5"/>
        <v>#REF!</v>
      </c>
      <c r="J47" s="8" t="e">
        <f>+K47/#REF!</f>
        <v>#REF!</v>
      </c>
      <c r="K47" s="8">
        <f t="shared" si="6"/>
        <v>3219.7473</v>
      </c>
      <c r="L47" s="8">
        <f t="shared" si="7"/>
        <v>32.5227</v>
      </c>
      <c r="M47" s="8" t="e">
        <f>+N47/#REF!</f>
        <v>#REF!</v>
      </c>
      <c r="N47" s="8">
        <f>Tabla17[[#This Row],[ORO SIN IVA]]*1.19</f>
        <v>3252.27</v>
      </c>
      <c r="O47" s="8" t="e">
        <f>+Q47/#REF!</f>
        <v>#REF!</v>
      </c>
      <c r="P47" s="10">
        <f>+Tabla17[[#This Row],[PRECIO SUGERIDO INSTALADOR]]*5%</f>
        <v>182.66499999999999</v>
      </c>
      <c r="Q47" s="8">
        <f>Tabla17[[#This Row],[INSTALLER SIN IVA]]*1.19</f>
        <v>3653.2999999999997</v>
      </c>
      <c r="R47" s="9">
        <v>2733</v>
      </c>
      <c r="S47" s="8">
        <v>3070</v>
      </c>
    </row>
    <row r="48" spans="1:19" ht="81" x14ac:dyDescent="0.25">
      <c r="A48" s="34" t="s">
        <v>109</v>
      </c>
      <c r="B48" s="33" t="s">
        <v>111</v>
      </c>
      <c r="C48" s="8">
        <f>+Tabla17[[#This Row],[PRECIO SUGERIDO INSTALADOR]]</f>
        <v>4313.75</v>
      </c>
      <c r="D48" s="8">
        <f>+Tabla17[[#This Row],[PRECIO  INSTALADOR
( CON  IVA)]]-Tabla17[[#This Row],[resta tienda ]]</f>
        <v>4098.0625</v>
      </c>
      <c r="E48" s="8">
        <f>+Tabla17[[#This Row],[DPP ORO]]</f>
        <v>3843.7</v>
      </c>
      <c r="F48" s="8">
        <f>+Tabla17[[#This Row],[Columna4]]</f>
        <v>3805.2629999999999</v>
      </c>
      <c r="G48" s="8">
        <f>+Tabla17[[#This Row],[PRECIO  INSTALADOR
( CON  IVA)]]/0.7</f>
        <v>6162.5</v>
      </c>
      <c r="H48" s="8" t="e">
        <f t="shared" si="4"/>
        <v>#REF!</v>
      </c>
      <c r="I48" s="8" t="e">
        <f t="shared" si="5"/>
        <v>#REF!</v>
      </c>
      <c r="J48" s="8" t="e">
        <f>+K48/#REF!</f>
        <v>#REF!</v>
      </c>
      <c r="K48" s="8">
        <f t="shared" si="6"/>
        <v>3805.2629999999999</v>
      </c>
      <c r="L48" s="8">
        <f t="shared" si="7"/>
        <v>38.436999999999998</v>
      </c>
      <c r="M48" s="8" t="e">
        <f>+N48/#REF!</f>
        <v>#REF!</v>
      </c>
      <c r="N48" s="8">
        <f>Tabla17[[#This Row],[ORO SIN IVA]]*1.19</f>
        <v>3843.7</v>
      </c>
      <c r="O48" s="8" t="e">
        <f>+Q48/#REF!</f>
        <v>#REF!</v>
      </c>
      <c r="P48" s="10">
        <f>+Tabla17[[#This Row],[PRECIO SUGERIDO INSTALADOR]]*5%</f>
        <v>215.6875</v>
      </c>
      <c r="Q48" s="8">
        <f>Tabla17[[#This Row],[INSTALLER SIN IVA]]*1.19</f>
        <v>4313.75</v>
      </c>
      <c r="R48" s="9">
        <v>3230</v>
      </c>
      <c r="S48" s="8">
        <v>3625</v>
      </c>
    </row>
  </sheetData>
  <sheetProtection selectLockedCells="1"/>
  <conditionalFormatting sqref="A2:A48">
    <cfRule type="duplicateValues" dxfId="2" priority="1"/>
  </conditionalFormatting>
  <pageMargins left="0.7" right="0.7" top="0.75" bottom="0.75" header="0.3" footer="0.3"/>
  <pageSetup paperSize="9" scale="53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UTP HIKVISION</vt:lpstr>
      <vt:lpstr>'UTP HIKVISION'!Área_de_impresión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2026-09-25T17:33:40Z</cp:lastPrinted>
  <dcterms:created xsi:type="dcterms:W3CDTF">2026-09-25T16:46:44Z</dcterms:created>
  <dcterms:modified xsi:type="dcterms:W3CDTF">2026-09-25T17:34:42Z</dcterms:modified>
</cp:coreProperties>
</file>