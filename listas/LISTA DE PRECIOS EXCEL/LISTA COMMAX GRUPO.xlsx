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"/>
    </mc:Choice>
  </mc:AlternateContent>
  <xr:revisionPtr revIDLastSave="0" documentId="13_ncr:1_{5DF59EFF-3320-4B63-936A-4D8A726D8B9B}" xr6:coauthVersionLast="47" xr6:coauthVersionMax="47" xr10:uidLastSave="{00000000-0000-0000-0000-000000000000}"/>
  <bookViews>
    <workbookView xWindow="23880" yWindow="-120" windowWidth="21840" windowHeight="13140" xr2:uid="{73E57639-EF43-44B2-882D-5F3CE3CCE550}"/>
  </bookViews>
  <sheets>
    <sheet name="COMMA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localSheetId="0" hidden="1">{"'ADV&amp;DP'!$A$4:$C$25"}</definedName>
    <definedName name="\v" hidden="1">{"'ADV&amp;DP'!$A$4:$C$25"}</definedName>
    <definedName name="_??" localSheetId="0" hidden="1">{"'?????10.27??????'!$Q$16"}</definedName>
    <definedName name="_??" hidden="1">{"'?????10.27??????'!$Q$16"}</definedName>
    <definedName name="_????" localSheetId="0" hidden="1">{"'?????10.27??????'!$Q$16"}</definedName>
    <definedName name="_????" hidden="1">{"'?????10.27??????'!$Q$16"}</definedName>
    <definedName name="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localSheetId="0" hidden="1">{"'?????10.27??????'!$Q$16"}</definedName>
    <definedName name="_??????" hidden="1">{"'?????10.27??????'!$Q$16"}</definedName>
    <definedName name="_??06" localSheetId="0" hidden="1">{"'?????10.27??????'!$Q$16"}</definedName>
    <definedName name="_??06" hidden="1">{"'?????10.27??????'!$Q$16"}</definedName>
    <definedName name="_?16??" localSheetId="0" hidden="1">{"'????'!$A$1:$C$37"}</definedName>
    <definedName name="_?16??" hidden="1">{"'????'!$A$1:$C$37"}</definedName>
    <definedName name="__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localSheetId="0" hidden="1">{"'?????10.27??????'!$Q$16"}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localSheetId="0" hidden="1">{"'?????10.27??????'!$Q$16"}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localSheetId="0" hidden="1">{"'????'!$A$1:$C$37"}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localSheetId="0" hidden="1">{"'?????10.27??????'!$Q$16"}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localSheetId="0" hidden="1">{"'?????10.27??????'!$Q$16"}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localSheetId="0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localSheetId="0" hidden="1">{"'下期集計（10.27迄・速報値）'!$Q$16"}</definedName>
    <definedName name="ando" hidden="1">{"'下期集計（10.27迄・速報値）'!$Q$16"}</definedName>
    <definedName name="anscount" hidden="1">3</definedName>
    <definedName name="_xlnm.Print_Area" localSheetId="0">Tabla118[[#All],[REFERENCIA]:[Columna3]]</definedName>
    <definedName name="AS2DocOpenMode" hidden="1">"AS2DocumentEdit"</definedName>
    <definedName name="AS2HasNoAutoHeaderFooter" hidden="1">" "</definedName>
    <definedName name="asdf" localSheetId="0" hidden="1">{"'年間台数'!$A$1:$K$20","'中古車登録台数'!$A$1:$I$39"}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localSheetId="0" hidden="1">{"'Highlights'!$A$1:$M$123"}</definedName>
    <definedName name="Bridge" hidden="1">{"'Highlights'!$A$1:$M$123"}</definedName>
    <definedName name="CARLOS" localSheetId="0" hidden="1">{#N/A,#N/A,TRUE,"A"}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localSheetId="0" hidden="1">{"'下期集計（10.27迄・速報値）'!$Q$16"}</definedName>
    <definedName name="chiho" hidden="1">{"'下期集計（10.27迄・速報値）'!$Q$16"}</definedName>
    <definedName name="cover" hidden="1">#REF!</definedName>
    <definedName name="efg" localSheetId="0" hidden="1">{#N/A,#N/A,TRUE,"A"}</definedName>
    <definedName name="efg" hidden="1">{#N/A,#N/A,TRUE,"A"}</definedName>
    <definedName name="fds" localSheetId="0" hidden="1">{"'下期集計（10.27迄・速報値）'!$Q$16"}</definedName>
    <definedName name="fds" hidden="1">{"'下期集計（10.27迄・速報値）'!$Q$16"}</definedName>
    <definedName name="ｇ" localSheetId="0" hidden="1">{"'下期集計（10.27迄・速報値）'!$Q$16"}</definedName>
    <definedName name="ｇ" hidden="1">{"'下期集計（10.27迄・速報値）'!$Q$16"}</definedName>
    <definedName name="gd" localSheetId="0" hidden="1">{"'下期集計（10.27迄・速報値）'!$Q$16"}</definedName>
    <definedName name="gd" hidden="1">{"'下期集計（10.27迄・速報値）'!$Q$16"}</definedName>
    <definedName name="gda" localSheetId="0" hidden="1">{"'下期集計（10.27迄・速報値）'!$Q$16"}</definedName>
    <definedName name="gda" hidden="1">{"'下期集計（10.27迄・速報値）'!$Q$16"}</definedName>
    <definedName name="gdsa" localSheetId="0" hidden="1">{"'下期集計（10.27迄・速報値）'!$Q$16"}</definedName>
    <definedName name="gdsa" hidden="1">{"'下期集計（10.27迄・速報値）'!$Q$16"}</definedName>
    <definedName name="gh" localSheetId="0" hidden="1">{"'Highlights'!$A$1:$M$123"}</definedName>
    <definedName name="gh" hidden="1">{"'Highlights'!$A$1:$M$123"}</definedName>
    <definedName name="ｈ" localSheetId="0" hidden="1">{"'下期集計（10.27迄・速報値）'!$Q$16"}</definedName>
    <definedName name="ｈ" hidden="1">{"'下期集計（10.27迄・速報値）'!$Q$16"}</definedName>
    <definedName name="H16?1??" localSheetId="0" hidden="1">{"'????'!$A$1:$C$37"}</definedName>
    <definedName name="H16?1??" hidden="1">{"'????'!$A$1:$C$37"}</definedName>
    <definedName name="Ｈ16・１" localSheetId="0" hidden="1">{"'コメント'!$A$1:$C$37"}</definedName>
    <definedName name="Ｈ16・１" hidden="1">{"'コメント'!$A$1:$C$37"}</definedName>
    <definedName name="H16･1速報" localSheetId="0" hidden="1">{"'コメント'!$A$1:$C$37"}</definedName>
    <definedName name="H16･1速報" hidden="1">{"'コメント'!$A$1:$C$37"}</definedName>
    <definedName name="HTM_Control" localSheetId="0" hidden="1">{"'下期集計（10.27迄・速報値）'!$Q$16"}</definedName>
    <definedName name="HTM_Control" hidden="1">{"'下期集計（10.27迄・速報値）'!$Q$16"}</definedName>
    <definedName name="ＨＴＭＬ" localSheetId="0" hidden="1">{"'コメント'!$A$1:$C$37"}</definedName>
    <definedName name="ＨＴＭＬ" hidden="1">{"'コメント'!$A$1:$C$37"}</definedName>
    <definedName name="HTML_CodePage" hidden="1">1252</definedName>
    <definedName name="HTML_Control" localSheetId="0" hidden="1">{"'Highlights'!$A$1:$M$123"}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localSheetId="0" hidden="1">{"'Highlights'!$A$1:$M$123"}</definedName>
    <definedName name="ji" hidden="1">{"'Highlights'!$A$1:$M$123"}</definedName>
    <definedName name="k" localSheetId="0" hidden="1">{"'下期集計（10.27迄・速報値）'!$Q$16"}</definedName>
    <definedName name="k" hidden="1">{"'下期集計（10.27迄・速報値）'!$Q$16"}</definedName>
    <definedName name="kjh" localSheetId="0" hidden="1">{#N/A,#N/A,TRUE,"A"}</definedName>
    <definedName name="kjh" hidden="1">{#N/A,#N/A,TRUE,"A"}</definedName>
    <definedName name="kjl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localSheetId="0" hidden="1">{"'下期集計（10.27迄・速報値）'!$Q$16"}</definedName>
    <definedName name="kk" hidden="1">{"'下期集計（10.27迄・速報値）'!$Q$16"}</definedName>
    <definedName name="kkk" localSheetId="0" hidden="1">{"'下期集計（10.27迄・速報値）'!$Q$16"}</definedName>
    <definedName name="kkk" hidden="1">{"'下期集計（10.27迄・速報値）'!$Q$16"}</definedName>
    <definedName name="lio" localSheetId="0" hidden="1">{#N/A,#N/A,TRUE,"A"}</definedName>
    <definedName name="lio" hidden="1">{#N/A,#N/A,TRUE,"A"}</definedName>
    <definedName name="LISTA">#REF!</definedName>
    <definedName name="ListOffset" hidden="1">1</definedName>
    <definedName name="MBAS" localSheetId="0" hidden="1">{"'ADV&amp;DP'!$A$4:$C$25"}</definedName>
    <definedName name="MBAS" hidden="1">{"'ADV&amp;DP'!$A$4:$C$25"}</definedName>
    <definedName name="mbs" localSheetId="0" hidden="1">{"'ADV&amp;DP'!$A$4:$C$25"}</definedName>
    <definedName name="mbs" hidden="1">{"'ADV&amp;DP'!$A$4:$C$25"}</definedName>
    <definedName name="MKK" localSheetId="0" hidden="1">{"'下期集計（10.27迄・速報値）'!$Q$16"}</definedName>
    <definedName name="MKK" hidden="1">{"'下期集計（10.27迄・速報値）'!$Q$16"}</definedName>
    <definedName name="mmm" localSheetId="0" hidden="1">{"'ADV&amp;DP'!$A$4:$C$25"}</definedName>
    <definedName name="mmm" hidden="1">{"'ADV&amp;DP'!$A$4:$C$25"}</definedName>
    <definedName name="MOBILE" localSheetId="0" hidden="1">{"'ADV&amp;DP'!$A$4:$C$25"}</definedName>
    <definedName name="MOBILE" hidden="1">{"'ADV&amp;DP'!$A$4:$C$25"}</definedName>
    <definedName name="n" localSheetId="0" hidden="1">{"'下期集計（10.27迄・速報値）'!$Q$16"}</definedName>
    <definedName name="n" hidden="1">{"'下期集計（10.27迄・速報値）'!$Q$16"}</definedName>
    <definedName name="new" localSheetId="0" hidden="1">{"'Highlights'!$A$1:$M$123"}</definedName>
    <definedName name="new" hidden="1">{"'Highlights'!$A$1:$M$123"}</definedName>
    <definedName name="nm" localSheetId="0" hidden="1">{#N/A,#N/A,TRUE,"A"}</definedName>
    <definedName name="nm" hidden="1">{#N/A,#N/A,TRUE,"A"}</definedName>
    <definedName name="ñlo" localSheetId="0" hidden="1">{#N/A,#N/A,TRUE,"A"}</definedName>
    <definedName name="ñlo" hidden="1">{#N/A,#N/A,TRUE,"A"}</definedName>
    <definedName name="ñp" localSheetId="0" hidden="1">{#N/A,#N/A,TRUE,"A"}</definedName>
    <definedName name="ñp" hidden="1">{#N/A,#N/A,TRUE,"A"}</definedName>
    <definedName name="oi" localSheetId="0" hidden="1">{#N/A,#N/A,TRUE,"A"}</definedName>
    <definedName name="oi" hidden="1">{#N/A,#N/A,TRUE,"A"}</definedName>
    <definedName name="ok" localSheetId="0" hidden="1">{"'Highlights'!$A$1:$M$123"}</definedName>
    <definedName name="ok" hidden="1">{"'Highlights'!$A$1:$M$123"}</definedName>
    <definedName name="PANELES">#REF!</definedName>
    <definedName name="piu" localSheetId="0" hidden="1">{#N/A,#N/A,TRUE,"A"}</definedName>
    <definedName name="piu" hidden="1">{#N/A,#N/A,TRUE,"A"}</definedName>
    <definedName name="plo" localSheetId="0" hidden="1">{#N/A,#N/A,TRUE,"A"}</definedName>
    <definedName name="plo" hidden="1">{#N/A,#N/A,TRUE,"A"}</definedName>
    <definedName name="po" localSheetId="0" hidden="1">{#N/A,#N/A,TRUE,"A"}</definedName>
    <definedName name="po" hidden="1">{#N/A,#N/A,TRUE,"A"}</definedName>
    <definedName name="PTSB" localSheetId="0" hidden="1">{"'Highlights'!$A$1:$M$123"}</definedName>
    <definedName name="PTSB" hidden="1">{"'Highlights'!$A$1:$M$123"}</definedName>
    <definedName name="Q2Fcst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localSheetId="0" hidden="1">{"'下期集計（10.27迄・速報値）'!$Q$16"}</definedName>
    <definedName name="qw" hidden="1">{"'下期集計（10.27迄・速報値）'!$Q$16"}</definedName>
    <definedName name="ＲＡＲＯＡ" localSheetId="0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localSheetId="0" hidden="1">{#N/A,#N/A,TRUE,"A"}</definedName>
    <definedName name="rfg" hidden="1">{#N/A,#N/A,TRUE,"A"}</definedName>
    <definedName name="SAPBEXdnldView" hidden="1">"4X7PHJJ3EF70UJ33CI6YVQIOV"</definedName>
    <definedName name="SAPBEXsysID" hidden="1">"PBK"</definedName>
    <definedName name="SCOG" localSheetId="0" hidden="1">{"'ADV&amp;DP'!$A$4:$C$25"}</definedName>
    <definedName name="SCOG" hidden="1">{"'ADV&amp;DP'!$A$4:$C$25"}</definedName>
    <definedName name="sencount" hidden="1">1</definedName>
    <definedName name="sfgasd" localSheetId="0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localSheetId="0" hidden="1">{"'下期集計（10.27迄・速報値）'!$Q$16"}</definedName>
    <definedName name="t" hidden="1">{"'下期集計（10.27迄・速報値）'!$Q$16"}</definedName>
    <definedName name="tyh" localSheetId="0" hidden="1">{#N/A,#N/A,TRUE,"A"}</definedName>
    <definedName name="tyh" hidden="1">{#N/A,#N/A,TRUE,"A"}</definedName>
    <definedName name="v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localSheetId="0" hidden="1">{#N/A,#N/A,TRUE,"A"}</definedName>
    <definedName name="vbn" hidden="1">{#N/A,#N/A,TRUE,"A"}</definedName>
    <definedName name="w" localSheetId="0" hidden="1">{"'下期集計（10.27迄・速報値）'!$Q$16"}</definedName>
    <definedName name="w" hidden="1">{"'下期集計（10.27迄・速報値）'!$Q$16"}</definedName>
    <definedName name="wrn.???." localSheetId="0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heets." localSheetId="0" hidden="1">{#N/A,#N/A,FALSE,"1997 WW (Short)";#N/A,#N/A,FALSE,"1997 RF Mfg";#N/A,#N/A,FALSE,"Ancillary-CSM";#N/A,#N/A,FALSE,"1997 Service"}</definedName>
    <definedName name="wrn.All._.Sheets." hidden="1">{#N/A,#N/A,FALSE,"1997 WW (Short)";#N/A,#N/A,FALSE,"1997 RF Mfg";#N/A,#N/A,FALSE,"Ancillary-CSM";#N/A,#N/A,FALSE,"1997 Service"}</definedName>
    <definedName name="wrn.AR._.Meeting._.Schedules." localSheetId="0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localSheetId="0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localSheetId="0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localSheetId="0" hidden="1">{#N/A,#N/A,FALSE,"4-up charts p.1";#N/A,#N/A,FALSE,"4-up charts p.2";#N/A,#N/A,FALSE," rate of ? qtr";#N/A,#N/A,FALSE,"Detail Rel rate of ? ";#N/A,#N/A,FALSE,"Inventory"}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localSheetId="0" hidden="1">{"DCF-???",#N/A,TRUE,"???";"DCF-??",#N/A,TRUE,"??";"DCF-??",#N/A,TRUE,"??";"DCF-??",#N/A,TRUE,"??";"DCF-??",#N/A,TRUE,"??";"DCF-??",#N/A,TRUE,"??";"DCF-??",#N/A,TRUE,"??";"DCF-??",#N/A,TRUE,"??";"DCF-??",#N/A,TRUE,"??"}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localSheetId="0" hidden="1">{#N/A,#N/A,TRUE,"A"}</definedName>
    <definedName name="wrn.EAN2." hidden="1">{#N/A,#N/A,TRUE,"A"}</definedName>
    <definedName name="wrn.EAN3" localSheetId="0" hidden="1">{#N/A,#N/A,TRUE,"A"}</definedName>
    <definedName name="wrn.EAN3" hidden="1">{#N/A,#N/A,TRUE,"A"}</definedName>
    <definedName name="wrn.FS????." localSheetId="0" hidden="1">{"FS-???",#N/A,TRUE,"???";"FS-??",#N/A,TRUE,"??";"FS-??",#N/A,TRUE,"??";"FS-??",#N/A,TRUE,"??";"FS-??",#N/A,TRUE,"??";"FS-??",#N/A,TRUE,"??";"FS-??",#N/A,TRUE,"??";"FS-??",#N/A,TRUE,"??";"FS-??",#N/A,TRUE,"??"}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localSheetId="0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localSheetId="0" hidden="1">{#N/A,#N/A,FALSE,"Outlook for Month ";#N/A,#N/A,FALSE,"Risk for Month ";#N/A,#N/A,FALSE,"Upside for Month"}</definedName>
    <definedName name="wrn.Outlook._.Report." hidden="1">{#N/A,#N/A,FALSE,"Outlook for Month ";#N/A,#N/A,FALSE,"Risk for Month ";#N/A,#N/A,FALSE,"Upside for Month"}</definedName>
    <definedName name="wrn.RPT.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localSheetId="0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localSheetId="0" hidden="1">{#N/A,#N/A,TRUE,"A"}</definedName>
    <definedName name="ws" hidden="1">{#N/A,#N/A,TRUE,"A"}</definedName>
    <definedName name="yhu" localSheetId="0" hidden="1">{#N/A,#N/A,TRUE,"A"}</definedName>
    <definedName name="yhu" hidden="1">{#N/A,#N/A,TRUE,"A"}</definedName>
    <definedName name="ｚ" localSheetId="0" hidden="1">{"'下期集計（10.27迄・速報値）'!$Q$16"}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localSheetId="0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localSheetId="0" hidden="1">{"'下期集計（10.27迄・速報値）'!$Q$16"}</definedName>
    <definedName name="ぁ" hidden="1">{"'下期集計（10.27迄・速報値）'!$Q$16"}</definedName>
    <definedName name="あ" localSheetId="0" hidden="1">{"'下期集計（10.27迄・速報値）'!$Q$16"}</definedName>
    <definedName name="あ" hidden="1">{"'下期集計（10.27迄・速報値）'!$Q$16"}</definedName>
    <definedName name="あああ" localSheetId="0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localSheetId="0" hidden="1">{"'下期集計（10.27迄・速報値）'!$Q$16"}</definedName>
    <definedName name="なんで" hidden="1">{"'下期集計（10.27迄・速報値）'!$Q$16"}</definedName>
    <definedName name="なんなの" localSheetId="0" hidden="1">{"'下期集計（10.27迄・速報値）'!$Q$16"}</definedName>
    <definedName name="なんなの" hidden="1">{"'下期集計（10.27迄・速報値）'!$Q$16"}</definedName>
    <definedName name="一括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localSheetId="0" hidden="1">{"'下期集計（10.27迄・速報値）'!$Q$16"}</definedName>
    <definedName name="年間収支買掛" hidden="1">{"'下期集計（10.27迄・速報値）'!$Q$16"}</definedName>
    <definedName name="年間資金収支あ" localSheetId="0" hidden="1">{"'下期集計（10.27迄・速報値）'!$Q$16"}</definedName>
    <definedName name="年間資金収支あ" hidden="1">{"'下期集計（10.27迄・速報値）'!$Q$16"}</definedName>
    <definedName name="日繰06" localSheetId="0" hidden="1">{"'下期集計（10.27迄・速報値）'!$Q$16"}</definedName>
    <definedName name="日繰06" hidden="1">{"'下期集計（10.27迄・速報値）'!$Q$16"}</definedName>
    <definedName name="系統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localSheetId="0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localSheetId="0" hidden="1">{"'下期集計（10.27迄・速報値）'!$Q$16"}</definedName>
    <definedName name="要処理資産②" hidden="1">{"'下期集計（10.27迄・速報値）'!$Q$16"}</definedName>
    <definedName name="評価対象" hidden="1">[9]計算過程シート!#REF!</definedName>
    <definedName name="資金" localSheetId="0" hidden="1">{"'下期集計（10.27迄・速報値）'!$Q$16"}</definedName>
    <definedName name="資金" hidden="1">{"'下期集計（10.27迄・速報値）'!$Q$16"}</definedName>
    <definedName name="金利体系" localSheetId="0" hidden="1">{"'下期集計（10.27迄・速報値）'!$Q$16"}</definedName>
    <definedName name="金利体系" hidden="1">{"'下期集計（10.27迄・速報値）'!$Q$16"}</definedName>
    <definedName name="関連" localSheetId="0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C2" i="1" s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F2" i="1" l="1"/>
  <c r="E2" i="1"/>
  <c r="D2" i="1"/>
  <c r="F3" i="1"/>
  <c r="E3" i="1"/>
  <c r="D3" i="1"/>
  <c r="F4" i="1"/>
  <c r="E4" i="1"/>
  <c r="D4" i="1"/>
  <c r="F5" i="1"/>
  <c r="D5" i="1" s="1"/>
  <c r="E5" i="1"/>
  <c r="F6" i="1"/>
  <c r="E6" i="1"/>
  <c r="D6" i="1"/>
  <c r="F7" i="1"/>
  <c r="E7" i="1"/>
  <c r="D7" i="1"/>
  <c r="F8" i="1"/>
  <c r="E8" i="1"/>
  <c r="D8" i="1"/>
  <c r="F9" i="1"/>
  <c r="E9" i="1"/>
  <c r="D9" i="1"/>
</calcChain>
</file>

<file path=xl/sharedStrings.xml><?xml version="1.0" encoding="utf-8"?>
<sst xmlns="http://schemas.openxmlformats.org/spreadsheetml/2006/main" count="27" uniqueCount="27">
  <si>
    <t>DRC-4AC2</t>
  </si>
  <si>
    <t>DRC-2AC2</t>
  </si>
  <si>
    <t>DP-ML</t>
  </si>
  <si>
    <t>DR-12AM</t>
  </si>
  <si>
    <t>DR-2UM</t>
  </si>
  <si>
    <t>COSTO</t>
  </si>
  <si>
    <t>Columna3</t>
  </si>
  <si>
    <t>Columna2</t>
  </si>
  <si>
    <t>COSTO CON IVA</t>
  </si>
  <si>
    <t>UTILIDAD</t>
  </si>
  <si>
    <t>Columna12</t>
  </si>
  <si>
    <t>PRECIO CLIENTE FINAL (CON IVA)</t>
  </si>
  <si>
    <t>PRECIO TIENDA (CON IVA)</t>
  </si>
  <si>
    <t>PRECIO INSTALLER (CON IVA)</t>
  </si>
  <si>
    <t>DESCRIPCION</t>
  </si>
  <si>
    <t>REFERENCIA</t>
  </si>
  <si>
    <t>PLACA PORTERO MULTIFAMILIAR 12 PULS</t>
  </si>
  <si>
    <t>DRC-4CPN3</t>
  </si>
  <si>
    <t>Placa.video.portero.unifliar.color.cam.oculta.</t>
  </si>
  <si>
    <t>DP-2HPR</t>
  </si>
  <si>
    <t>Citofono unifamiliar 2hilos a 110v</t>
  </si>
  <si>
    <t>PLACA VIDEO PORTERO MULTIFLIAR 4 PULSADAS</t>
  </si>
  <si>
    <t>DRC-4CGN2</t>
  </si>
  <si>
    <t>PLACA VIDEO PORTERO UNIFLIAR- CAMARA OCULTA</t>
  </si>
  <si>
    <t>Placaporteromultifliaraudio2pulsad(DR-2UM)</t>
  </si>
  <si>
    <t>PLACA VIDEO PORTERO MULTIFI 2PULSADAS</t>
  </si>
  <si>
    <t>Citofono multifliar 2 botones x placas am/um/(DP-ML)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</si>
</sst>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6" formatCode="\$#,##0_);\(\$#,##0\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7.5"/>
      <name val="Verdana"/>
      <family val="2"/>
    </font>
    <font>
      <b/>
      <sz val="13.5"/>
      <name val="Verdana"/>
      <family val="2"/>
    </font>
    <font>
      <b/>
      <sz val="11"/>
      <name val="Verdana"/>
      <family val="2"/>
    </font>
    <font>
      <sz val="10"/>
      <color theme="0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7" fillId="0" borderId="0"/>
  </cellStyleXfs>
  <cellXfs count="16">
    <xf numFmtId="0" fontId="0" fillId="0" borderId="0" xfId="0"/>
    <xf numFmtId="0" fontId="2" fillId="0" borderId="0" xfId="2" applyAlignment="1">
      <alignment horizontal="center" vertical="center"/>
    </xf>
    <xf numFmtId="164" fontId="0" fillId="0" borderId="0" xfId="3" applyNumberFormat="1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64" fontId="3" fillId="0" borderId="1" xfId="3" applyNumberFormat="1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164" fontId="5" fillId="0" borderId="0" xfId="3" applyNumberFormat="1" applyFont="1" applyAlignment="1">
      <alignment horizontal="center" vertical="center" wrapText="1"/>
    </xf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4" applyFont="1" applyBorder="1" applyAlignment="1">
      <alignment horizontal="center" vertical="center" wrapText="1"/>
    </xf>
    <xf numFmtId="0" fontId="6" fillId="0" borderId="2" xfId="4" applyFont="1" applyBorder="1" applyAlignment="1">
      <alignment horizontal="center" vertical="center"/>
    </xf>
    <xf numFmtId="166" fontId="0" fillId="0" borderId="0" xfId="0" applyNumberFormat="1" applyAlignment="1">
      <alignment horizontal="center" vertical="top"/>
    </xf>
    <xf numFmtId="0" fontId="7" fillId="0" borderId="1" xfId="2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" fillId="0" borderId="0" xfId="2" applyAlignment="1">
      <alignment horizontal="center" vertical="center" wrapText="1"/>
    </xf>
  </cellXfs>
  <cellStyles count="5">
    <cellStyle name="Moneda" xfId="1" builtinId="4"/>
    <cellStyle name="Moneda 3" xfId="3" xr:uid="{A5C168F1-EBFD-4624-A9C2-3BD7A40F07A4}"/>
    <cellStyle name="Normal" xfId="0" builtinId="0"/>
    <cellStyle name="Normal 2" xfId="4" xr:uid="{DF2048D8-35F0-46E3-A109-562C89766F1F}"/>
    <cellStyle name="Normal 5" xfId="2" xr:uid="{551C27EC-3C04-4CF4-B681-CF22603CC82A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rgb="FF000000"/>
        <name val="Verdana"/>
        <family val="2"/>
        <scheme val="none"/>
      </font>
      <numFmt numFmtId="166" formatCode="\$#,##0_);\(\$#,##0\)"/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scheme val="none"/>
      </font>
      <numFmt numFmtId="164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auto="1"/>
        <name val="Verdan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vertical="center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D4D49-5CF8-4307-AE82-966CD7F6BA96}" name="Tabla118" displayName="Tabla118" ref="A1:K9" totalsRowShown="0" headerRowDxfId="14" dataDxfId="13" tableBorderDxfId="12">
  <autoFilter ref="A1:K9" xr:uid="{5290FB27-67A6-43DE-9960-168A5E9D1EC3}"/>
  <tableColumns count="11">
    <tableColumn id="3" xr3:uid="{6646A6EE-6C51-414A-85E9-3150FFCD6EF4}" name="REFERENCIA" dataDxfId="5"/>
    <tableColumn id="5" xr3:uid="{B5F683C4-B513-454A-8DD0-4FB32C1FA07D}" name="DESCRIPCION" dataDxfId="0"/>
    <tableColumn id="1" xr3:uid="{2E3F31CC-BB16-4C8C-B064-E2FEEF32174C}" name="PRECIO INSTALLER (CON IVA)" dataDxfId="4" dataCellStyle="Moneda">
      <calculatedColumnFormula>+Tabla118[[#This Row],[COSTO CON IVA]]/Tabla118[[#This Row],[UTILIDAD]]</calculatedColumnFormula>
    </tableColumn>
    <tableColumn id="4" xr3:uid="{5398F993-7421-4DB5-B083-550AAF752C2E}" name="PRECIO TIENDA (CON IVA)" dataDxfId="3" dataCellStyle="Moneda">
      <calculatedColumnFormula>+Tabla118[[#This Row],[PRECIO INSTALLER (CON IVA)]]-Tabla118[[#This Row],[Columna12]]</calculatedColumnFormula>
    </tableColumn>
    <tableColumn id="11" xr3:uid="{BE72D40A-DDD8-4059-B1DE-3721C5E4F4D8}" name="PRECIO CLIENTE FINAL (CON IVA)" dataDxfId="1" dataCellStyle="Moneda">
      <calculatedColumnFormula>+Tabla118[[#This Row],[PRECIO INSTALLER (CON IVA)]]/0.7</calculatedColumnFormula>
    </tableColumn>
    <tableColumn id="2" xr3:uid="{EC150551-415B-42C3-A10A-05AE39863E56}" name="Columna12" dataDxfId="2" dataCellStyle="Normal 5">
      <calculatedColumnFormula>+Tabla118[[#This Row],[PRECIO INSTALLER (CON IVA)]]*5%</calculatedColumnFormula>
    </tableColumn>
    <tableColumn id="7" xr3:uid="{26981836-E13F-4F30-8B0A-EDCCBEF0027B}" name="UTILIDAD" dataDxfId="11"/>
    <tableColumn id="8" xr3:uid="{19318559-1286-41E2-8DED-2F6C3781BB21}" name="COSTO CON IVA" dataDxfId="10" dataCellStyle="Moneda">
      <calculatedColumnFormula>Tabla118[[#This Row],[COSTO]]*1.19</calculatedColumnFormula>
    </tableColumn>
    <tableColumn id="9" xr3:uid="{60536498-F1F8-4CF4-91EA-403061DBCB8F}" name="Columna2" dataDxfId="9"/>
    <tableColumn id="10" xr3:uid="{0CED0490-0AC8-4484-A1A9-CA26F36DC98C}" name="Columna3" dataDxfId="8"/>
    <tableColumn id="6" xr3:uid="{F6498F26-E1BB-46C5-B6A9-434A6B2AE76C}" name="COST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B325-DF16-469E-9AD9-54A2EF4B7A53}">
  <dimension ref="A1:L9"/>
  <sheetViews>
    <sheetView tabSelected="1" view="pageBreakPreview" zoomScale="60" zoomScaleNormal="100" workbookViewId="0">
      <pane ySplit="1" topLeftCell="A2" activePane="bottomLeft" state="frozen"/>
      <selection pane="bottomLeft" activeCell="C18" sqref="C18"/>
    </sheetView>
  </sheetViews>
  <sheetFormatPr baseColWidth="10" defaultColWidth="8" defaultRowHeight="15" x14ac:dyDescent="0.25"/>
  <cols>
    <col min="1" max="1" width="17.5703125" style="1" customWidth="1"/>
    <col min="2" max="2" width="43.5703125" style="15" customWidth="1"/>
    <col min="3" max="3" width="27.85546875" style="1" customWidth="1"/>
    <col min="4" max="4" width="22.42578125" style="1" customWidth="1"/>
    <col min="5" max="5" width="24.5703125" style="1" customWidth="1"/>
    <col min="6" max="6" width="17.28515625" style="1" hidden="1" customWidth="1"/>
    <col min="7" max="7" width="17.5703125" style="1" hidden="1" customWidth="1"/>
    <col min="8" max="8" width="54.28515625" style="1" hidden="1" customWidth="1"/>
    <col min="9" max="9" width="6" style="1" hidden="1" customWidth="1"/>
    <col min="10" max="10" width="4.42578125" style="2" hidden="1" customWidth="1"/>
    <col min="11" max="11" width="5.28515625" style="1" hidden="1" customWidth="1"/>
    <col min="12" max="12" width="4.140625" style="1" customWidth="1"/>
    <col min="13" max="13" width="17.5703125" style="1" customWidth="1"/>
    <col min="14" max="14" width="2.28515625" style="1" customWidth="1"/>
    <col min="15" max="16384" width="8" style="1"/>
  </cols>
  <sheetData>
    <row r="1" spans="1:12" ht="39.75" customHeight="1" x14ac:dyDescent="0.25">
      <c r="A1" s="10" t="s">
        <v>15</v>
      </c>
      <c r="B1" s="9" t="s">
        <v>14</v>
      </c>
      <c r="C1" s="8" t="s">
        <v>13</v>
      </c>
      <c r="D1" s="8" t="s">
        <v>12</v>
      </c>
      <c r="E1" s="8" t="s">
        <v>11</v>
      </c>
      <c r="F1" s="6" t="s">
        <v>10</v>
      </c>
      <c r="G1" s="6" t="s">
        <v>9</v>
      </c>
      <c r="H1" s="7" t="s">
        <v>8</v>
      </c>
      <c r="I1" s="6" t="s">
        <v>7</v>
      </c>
      <c r="J1" s="6" t="s">
        <v>6</v>
      </c>
      <c r="K1" s="6" t="s">
        <v>5</v>
      </c>
      <c r="L1" s="5"/>
    </row>
    <row r="2" spans="1:12" ht="39.6" customHeight="1" x14ac:dyDescent="0.25">
      <c r="A2" s="12" t="s">
        <v>3</v>
      </c>
      <c r="B2" s="14" t="s">
        <v>16</v>
      </c>
      <c r="C2" s="13">
        <f>+Tabla118[[#This Row],[COSTO CON IVA]]/Tabla118[[#This Row],[UTILIDAD]]</f>
        <v>349732.6</v>
      </c>
      <c r="D2" s="13">
        <f>+Tabla118[[#This Row],[PRECIO INSTALLER (CON IVA)]]-Tabla118[[#This Row],[Columna12]]</f>
        <v>332245.96999999997</v>
      </c>
      <c r="E2" s="13">
        <f>+Tabla118[[#This Row],[PRECIO INSTALLER (CON IVA)]]/0.7</f>
        <v>499618</v>
      </c>
      <c r="F2" s="3">
        <f>+Tabla118[[#This Row],[PRECIO INSTALLER (CON IVA)]]*5%</f>
        <v>17486.63</v>
      </c>
      <c r="G2" s="3">
        <v>0.85</v>
      </c>
      <c r="H2" s="4">
        <f>Tabla118[[#This Row],[COSTO]]*1.19</f>
        <v>297272.70999999996</v>
      </c>
      <c r="I2" s="3"/>
      <c r="J2" s="3"/>
      <c r="K2" s="11">
        <v>249809</v>
      </c>
    </row>
    <row r="3" spans="1:12" ht="38.25" customHeight="1" x14ac:dyDescent="0.25">
      <c r="A3" s="12" t="s">
        <v>17</v>
      </c>
      <c r="B3" s="14" t="s">
        <v>18</v>
      </c>
      <c r="C3" s="13">
        <f>+Tabla118[[#This Row],[COSTO CON IVA]]/Tabla118[[#This Row],[UTILIDAD]]</f>
        <v>237511.40000000002</v>
      </c>
      <c r="D3" s="13">
        <f>+Tabla118[[#This Row],[PRECIO INSTALLER (CON IVA)]]-Tabla118[[#This Row],[Columna12]]</f>
        <v>225635.83000000002</v>
      </c>
      <c r="E3" s="13">
        <f>+Tabla118[[#This Row],[PRECIO INSTALLER (CON IVA)]]/0.7</f>
        <v>339302.00000000006</v>
      </c>
      <c r="F3" s="3">
        <f>+Tabla118[[#This Row],[PRECIO INSTALLER (CON IVA)]]*5%</f>
        <v>11875.570000000002</v>
      </c>
      <c r="G3" s="3">
        <v>0.85</v>
      </c>
      <c r="H3" s="4">
        <f>Tabla118[[#This Row],[COSTO]]*1.19</f>
        <v>201884.69</v>
      </c>
      <c r="I3" s="3"/>
      <c r="J3" s="3"/>
      <c r="K3" s="11">
        <v>169651</v>
      </c>
    </row>
    <row r="4" spans="1:12" ht="38.25" customHeight="1" x14ac:dyDescent="0.25">
      <c r="A4" s="12" t="s">
        <v>19</v>
      </c>
      <c r="B4" s="14" t="s">
        <v>20</v>
      </c>
      <c r="C4" s="13">
        <f>+Tabla118[[#This Row],[COSTO CON IVA]]/Tabla118[[#This Row],[UTILIDAD]]</f>
        <v>104876.996</v>
      </c>
      <c r="D4" s="13">
        <f>+Tabla118[[#This Row],[PRECIO INSTALLER (CON IVA)]]-Tabla118[[#This Row],[Columna12]]</f>
        <v>99633.146200000003</v>
      </c>
      <c r="E4" s="13">
        <f>+Tabla118[[#This Row],[PRECIO INSTALLER (CON IVA)]]/0.7</f>
        <v>149824.28</v>
      </c>
      <c r="F4" s="3">
        <f>+Tabla118[[#This Row],[PRECIO INSTALLER (CON IVA)]]*5%</f>
        <v>5243.8498</v>
      </c>
      <c r="G4" s="3">
        <v>0.85</v>
      </c>
      <c r="H4" s="4">
        <f>Tabla118[[#This Row],[COSTO]]*1.19</f>
        <v>89145.446599999996</v>
      </c>
      <c r="I4" s="3"/>
      <c r="J4" s="3"/>
      <c r="K4" s="11">
        <v>74912.14</v>
      </c>
    </row>
    <row r="5" spans="1:12" ht="38.25" customHeight="1" x14ac:dyDescent="0.25">
      <c r="A5" s="12" t="s">
        <v>0</v>
      </c>
      <c r="B5" s="14" t="s">
        <v>21</v>
      </c>
      <c r="C5" s="13">
        <f>+Tabla118[[#This Row],[COSTO CON IVA]]/Tabla118[[#This Row],[UTILIDAD]]</f>
        <v>525127.4</v>
      </c>
      <c r="D5" s="13">
        <f>+Tabla118[[#This Row],[PRECIO INSTALLER (CON IVA)]]-Tabla118[[#This Row],[Columna12]]</f>
        <v>498871.03</v>
      </c>
      <c r="E5" s="13">
        <f>+Tabla118[[#This Row],[PRECIO INSTALLER (CON IVA)]]/0.7</f>
        <v>750182.00000000012</v>
      </c>
      <c r="F5" s="3">
        <f>+Tabla118[[#This Row],[PRECIO INSTALLER (CON IVA)]]*5%</f>
        <v>26256.370000000003</v>
      </c>
      <c r="G5" s="3">
        <v>0.85</v>
      </c>
      <c r="H5" s="4">
        <f>Tabla118[[#This Row],[COSTO]]*1.19</f>
        <v>446358.29</v>
      </c>
      <c r="I5" s="3"/>
      <c r="J5" s="3"/>
      <c r="K5" s="11">
        <v>375091</v>
      </c>
    </row>
    <row r="6" spans="1:12" ht="41.1" customHeight="1" x14ac:dyDescent="0.25">
      <c r="A6" s="12" t="s">
        <v>22</v>
      </c>
      <c r="B6" s="14" t="s">
        <v>23</v>
      </c>
      <c r="C6" s="13">
        <f>+Tabla118[[#This Row],[COSTO CON IVA]]/Tabla118[[#This Row],[UTILIDAD]]</f>
        <v>216816.59999999998</v>
      </c>
      <c r="D6" s="13">
        <f>+Tabla118[[#This Row],[PRECIO INSTALLER (CON IVA)]]-Tabla118[[#This Row],[Columna12]]</f>
        <v>205975.77</v>
      </c>
      <c r="E6" s="13">
        <f>+Tabla118[[#This Row],[PRECIO INSTALLER (CON IVA)]]/0.7</f>
        <v>309738</v>
      </c>
      <c r="F6" s="3">
        <f>+Tabla118[[#This Row],[PRECIO INSTALLER (CON IVA)]]*5%</f>
        <v>10840.83</v>
      </c>
      <c r="G6" s="3">
        <v>0.85</v>
      </c>
      <c r="H6" s="4">
        <f>Tabla118[[#This Row],[COSTO]]*1.19</f>
        <v>184294.11</v>
      </c>
      <c r="I6" s="3"/>
      <c r="J6" s="3"/>
      <c r="K6" s="11">
        <v>154869</v>
      </c>
    </row>
    <row r="7" spans="1:12" ht="39" customHeight="1" x14ac:dyDescent="0.25">
      <c r="A7" s="12" t="s">
        <v>4</v>
      </c>
      <c r="B7" s="14" t="s">
        <v>24</v>
      </c>
      <c r="C7" s="13">
        <f>+Tabla118[[#This Row],[COSTO CON IVA]]/Tabla118[[#This Row],[UTILIDAD]]</f>
        <v>223591.19999999998</v>
      </c>
      <c r="D7" s="13">
        <f>+Tabla118[[#This Row],[PRECIO INSTALLER (CON IVA)]]-Tabla118[[#This Row],[Columna12]]</f>
        <v>212411.63999999998</v>
      </c>
      <c r="E7" s="13">
        <f>+Tabla118[[#This Row],[PRECIO INSTALLER (CON IVA)]]/0.7</f>
        <v>319416</v>
      </c>
      <c r="F7" s="3">
        <f>+Tabla118[[#This Row],[PRECIO INSTALLER (CON IVA)]]*5%</f>
        <v>11179.56</v>
      </c>
      <c r="G7" s="3">
        <v>0.85</v>
      </c>
      <c r="H7" s="4">
        <f>Tabla118[[#This Row],[COSTO]]*1.19</f>
        <v>190052.52</v>
      </c>
      <c r="I7" s="3"/>
      <c r="J7" s="3"/>
      <c r="K7" s="11">
        <v>159708</v>
      </c>
    </row>
    <row r="8" spans="1:12" ht="48.75" customHeight="1" x14ac:dyDescent="0.25">
      <c r="A8" s="12" t="s">
        <v>1</v>
      </c>
      <c r="B8" s="14" t="s">
        <v>25</v>
      </c>
      <c r="C8" s="13">
        <f>+Tabla118[[#This Row],[COSTO CON IVA]]/Tabla118[[#This Row],[UTILIDAD]]</f>
        <v>488660.2</v>
      </c>
      <c r="D8" s="13">
        <f>+Tabla118[[#This Row],[PRECIO INSTALLER (CON IVA)]]-Tabla118[[#This Row],[Columna12]]</f>
        <v>464227.19</v>
      </c>
      <c r="E8" s="13">
        <f>+Tabla118[[#This Row],[PRECIO INSTALLER (CON IVA)]]/0.7</f>
        <v>698086.00000000012</v>
      </c>
      <c r="F8" s="3">
        <f>+Tabla118[[#This Row],[PRECIO INSTALLER (CON IVA)]]*5%</f>
        <v>24433.010000000002</v>
      </c>
      <c r="G8" s="3">
        <v>0.85</v>
      </c>
      <c r="H8" s="4">
        <f>Tabla118[[#This Row],[COSTO]]*1.19</f>
        <v>415361.17</v>
      </c>
      <c r="I8" s="3"/>
      <c r="J8" s="3"/>
      <c r="K8" s="11">
        <v>349043</v>
      </c>
    </row>
    <row r="9" spans="1:12" ht="43.5" customHeight="1" x14ac:dyDescent="0.25">
      <c r="A9" s="12" t="s">
        <v>2</v>
      </c>
      <c r="B9" s="14" t="s">
        <v>26</v>
      </c>
      <c r="C9" s="13">
        <f>+Tabla118[[#This Row],[COSTO CON IVA]]/Tabla118[[#This Row],[UTILIDAD]]</f>
        <v>79483.600000000006</v>
      </c>
      <c r="D9" s="13">
        <f>+Tabla118[[#This Row],[PRECIO INSTALLER (CON IVA)]]-Tabla118[[#This Row],[Columna12]]</f>
        <v>75509.420000000013</v>
      </c>
      <c r="E9" s="13">
        <f>+Tabla118[[#This Row],[PRECIO INSTALLER (CON IVA)]]/0.7</f>
        <v>113548.00000000001</v>
      </c>
      <c r="F9" s="3">
        <f>+Tabla118[[#This Row],[PRECIO INSTALLER (CON IVA)]]*5%</f>
        <v>3974.1800000000003</v>
      </c>
      <c r="G9" s="3">
        <v>0.85</v>
      </c>
      <c r="H9" s="4">
        <f>Tabla118[[#This Row],[COSTO]]*1.19</f>
        <v>67561.06</v>
      </c>
      <c r="I9" s="3"/>
      <c r="J9" s="3"/>
      <c r="K9" s="11">
        <v>56774</v>
      </c>
    </row>
  </sheetData>
  <conditionalFormatting sqref="A2:A9">
    <cfRule type="duplicateValues" dxfId="7" priority="2"/>
  </conditionalFormatting>
  <pageMargins left="0.7" right="0.7" top="0.75" bottom="0.75" header="0.3" footer="0.3"/>
  <pageSetup paperSize="9" scale="64" orientation="portrait" r:id="rId1"/>
  <colBreaks count="1" manualBreakCount="1">
    <brk id="5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COMMAX</vt:lpstr>
      <vt:lpstr>COMMAX!Área_de_impresión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dcterms:created xsi:type="dcterms:W3CDTF">2026-09-24T22:13:50Z</dcterms:created>
  <dcterms:modified xsi:type="dcterms:W3CDTF">2026-09-24T22:20:42Z</dcterms:modified>
</cp:coreProperties>
</file>