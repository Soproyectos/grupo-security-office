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DDA40190-450B-4B5B-A3C3-FBE922668E68}" xr6:coauthVersionLast="47" xr6:coauthVersionMax="47" xr10:uidLastSave="{00000000-0000-0000-0000-000000000000}"/>
  <bookViews>
    <workbookView xWindow="23880" yWindow="-120" windowWidth="21840" windowHeight="13140" xr2:uid="{A0F6E61E-ABD2-49F5-B49D-7D5CD8CBC100}"/>
  </bookViews>
  <sheets>
    <sheet name="EZVIZ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Tabla1[[#All],[REFERENCIA]:[Columna6]]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1" l="1"/>
  <c r="Q5" i="1"/>
  <c r="M5" i="1" s="1"/>
  <c r="L3" i="1"/>
  <c r="E3" i="1" s="1"/>
  <c r="Q3" i="1"/>
  <c r="L11" i="1"/>
  <c r="Q11" i="1"/>
  <c r="M11" i="1" s="1"/>
  <c r="L2" i="1"/>
  <c r="Q2" i="1"/>
  <c r="M2" i="1" s="1"/>
  <c r="L4" i="1"/>
  <c r="Q4" i="1"/>
  <c r="M4" i="1" s="1"/>
  <c r="L6" i="1"/>
  <c r="Q6" i="1"/>
  <c r="M6" i="1" s="1"/>
  <c r="L7" i="1"/>
  <c r="Q7" i="1"/>
  <c r="M7" i="1" s="1"/>
  <c r="L8" i="1"/>
  <c r="Q8" i="1"/>
  <c r="M8" i="1" s="1"/>
  <c r="L9" i="1"/>
  <c r="Q9" i="1"/>
  <c r="M9" i="1" s="1"/>
  <c r="L10" i="1"/>
  <c r="Q10" i="1"/>
  <c r="M10" i="1" s="1"/>
  <c r="L12" i="1"/>
  <c r="Q12" i="1"/>
  <c r="M12" i="1" s="1"/>
  <c r="L13" i="1"/>
  <c r="Q13" i="1"/>
  <c r="M13" i="1" s="1"/>
  <c r="L14" i="1"/>
  <c r="Q14" i="1"/>
  <c r="M14" i="1" s="1"/>
  <c r="L15" i="1"/>
  <c r="Q15" i="1"/>
  <c r="M15" i="1" s="1"/>
  <c r="L16" i="1"/>
  <c r="Q16" i="1"/>
  <c r="M16" i="1" s="1"/>
  <c r="L17" i="1"/>
  <c r="Q17" i="1"/>
  <c r="M17" i="1" s="1"/>
  <c r="L18" i="1"/>
  <c r="Q18" i="1"/>
  <c r="M18" i="1" s="1"/>
  <c r="L19" i="1"/>
  <c r="Q19" i="1"/>
  <c r="M19" i="1" s="1"/>
  <c r="L20" i="1"/>
  <c r="Q20" i="1"/>
  <c r="M20" i="1" s="1"/>
  <c r="L21" i="1"/>
  <c r="Q21" i="1"/>
  <c r="M21" i="1" s="1"/>
  <c r="L22" i="1"/>
  <c r="Q22" i="1"/>
  <c r="M22" i="1" s="1"/>
  <c r="L23" i="1"/>
  <c r="Q23" i="1"/>
  <c r="M23" i="1" s="1"/>
  <c r="L24" i="1"/>
  <c r="Q24" i="1"/>
  <c r="M24" i="1" s="1"/>
  <c r="L25" i="1"/>
  <c r="Q25" i="1"/>
  <c r="M25" i="1" s="1"/>
  <c r="L26" i="1"/>
  <c r="Q26" i="1"/>
  <c r="M26" i="1" s="1"/>
  <c r="L27" i="1"/>
  <c r="Q27" i="1"/>
  <c r="M27" i="1" s="1"/>
  <c r="L28" i="1"/>
  <c r="Q28" i="1"/>
  <c r="M28" i="1" s="1"/>
  <c r="L29" i="1"/>
  <c r="J29" i="1" s="1"/>
  <c r="Q29" i="1"/>
  <c r="M29" i="1" s="1"/>
  <c r="L30" i="1"/>
  <c r="Q30" i="1"/>
  <c r="M30" i="1" s="1"/>
  <c r="L31" i="1"/>
  <c r="Q31" i="1"/>
  <c r="M31" i="1" s="1"/>
  <c r="L32" i="1"/>
  <c r="Q32" i="1"/>
  <c r="M32" i="1" s="1"/>
  <c r="L33" i="1"/>
  <c r="Q33" i="1"/>
  <c r="M33" i="1" s="1"/>
  <c r="L34" i="1"/>
  <c r="Q34" i="1"/>
  <c r="M34" i="1" s="1"/>
  <c r="L35" i="1"/>
  <c r="Q35" i="1"/>
  <c r="M35" i="1" s="1"/>
  <c r="L36" i="1"/>
  <c r="Q36" i="1"/>
  <c r="M36" i="1" s="1"/>
  <c r="L37" i="1"/>
  <c r="Q37" i="1"/>
  <c r="M37" i="1" s="1"/>
  <c r="L38" i="1"/>
  <c r="Q38" i="1"/>
  <c r="M38" i="1" s="1"/>
  <c r="L39" i="1"/>
  <c r="Q39" i="1"/>
  <c r="M39" i="1" s="1"/>
  <c r="L40" i="1"/>
  <c r="Q40" i="1"/>
  <c r="M40" i="1" s="1"/>
  <c r="L41" i="1"/>
  <c r="Q41" i="1"/>
  <c r="M41" i="1" s="1"/>
  <c r="L42" i="1"/>
  <c r="Q42" i="1"/>
  <c r="M42" i="1" s="1"/>
  <c r="L43" i="1"/>
  <c r="Q43" i="1"/>
  <c r="M43" i="1" s="1"/>
  <c r="L44" i="1"/>
  <c r="Q44" i="1"/>
  <c r="M44" i="1" s="1"/>
  <c r="L45" i="1"/>
  <c r="Q45" i="1"/>
  <c r="M45" i="1" s="1"/>
  <c r="L46" i="1"/>
  <c r="Q46" i="1"/>
  <c r="M46" i="1" s="1"/>
  <c r="L47" i="1"/>
  <c r="Q47" i="1"/>
  <c r="M47" i="1" s="1"/>
  <c r="L48" i="1"/>
  <c r="Q48" i="1"/>
  <c r="M48" i="1" s="1"/>
  <c r="L49" i="1"/>
  <c r="Q49" i="1"/>
  <c r="M49" i="1" s="1"/>
  <c r="L50" i="1"/>
  <c r="Q50" i="1"/>
  <c r="M50" i="1" s="1"/>
  <c r="L51" i="1"/>
  <c r="Q51" i="1"/>
  <c r="M51" i="1" s="1"/>
  <c r="L52" i="1"/>
  <c r="Q52" i="1"/>
  <c r="M52" i="1" s="1"/>
  <c r="L53" i="1"/>
  <c r="Q53" i="1"/>
  <c r="M53" i="1" s="1"/>
  <c r="L54" i="1"/>
  <c r="Q54" i="1"/>
  <c r="M54" i="1" s="1"/>
  <c r="L55" i="1"/>
  <c r="Q55" i="1"/>
  <c r="M55" i="1" s="1"/>
  <c r="L56" i="1"/>
  <c r="Q56" i="1"/>
  <c r="M56" i="1" s="1"/>
  <c r="L57" i="1"/>
  <c r="Q57" i="1"/>
  <c r="M57" i="1" s="1"/>
  <c r="L58" i="1"/>
  <c r="Q58" i="1"/>
  <c r="M58" i="1" s="1"/>
  <c r="L59" i="1"/>
  <c r="Q59" i="1"/>
  <c r="M59" i="1" s="1"/>
  <c r="L60" i="1"/>
  <c r="Q60" i="1"/>
  <c r="M60" i="1" s="1"/>
  <c r="L61" i="1"/>
  <c r="Q61" i="1"/>
  <c r="M61" i="1" s="1"/>
  <c r="L62" i="1"/>
  <c r="Q62" i="1"/>
  <c r="M62" i="1" s="1"/>
  <c r="L63" i="1"/>
  <c r="Q63" i="1"/>
  <c r="M63" i="1" s="1"/>
  <c r="L64" i="1"/>
  <c r="Q64" i="1"/>
  <c r="M64" i="1" s="1"/>
  <c r="L65" i="1"/>
  <c r="Q65" i="1"/>
  <c r="M65" i="1" s="1"/>
  <c r="L66" i="1"/>
  <c r="Q66" i="1"/>
  <c r="M66" i="1" s="1"/>
  <c r="L67" i="1"/>
  <c r="Q67" i="1"/>
  <c r="M67" i="1" s="1"/>
  <c r="L68" i="1"/>
  <c r="Q68" i="1"/>
  <c r="M68" i="1" s="1"/>
  <c r="L69" i="1"/>
  <c r="Q69" i="1"/>
  <c r="M69" i="1" s="1"/>
  <c r="L70" i="1"/>
  <c r="Q70" i="1"/>
  <c r="M70" i="1" s="1"/>
  <c r="L71" i="1"/>
  <c r="Q71" i="1"/>
  <c r="M71" i="1" s="1"/>
  <c r="L72" i="1"/>
  <c r="Q72" i="1"/>
  <c r="M72" i="1" s="1"/>
  <c r="L73" i="1"/>
  <c r="Q73" i="1"/>
  <c r="M73" i="1" s="1"/>
  <c r="L74" i="1"/>
  <c r="Q74" i="1"/>
  <c r="M74" i="1" s="1"/>
  <c r="L75" i="1"/>
  <c r="Q75" i="1"/>
  <c r="M75" i="1" s="1"/>
  <c r="L76" i="1"/>
  <c r="Q76" i="1"/>
  <c r="M76" i="1" s="1"/>
  <c r="L77" i="1"/>
  <c r="Q77" i="1"/>
  <c r="M77" i="1" s="1"/>
  <c r="C3" i="1" l="1"/>
  <c r="M3" i="1"/>
  <c r="J5" i="1"/>
  <c r="K5" i="1"/>
  <c r="E5" i="1"/>
  <c r="I5" i="1"/>
  <c r="C5" i="1"/>
  <c r="O5" i="1"/>
  <c r="P5" i="1" s="1"/>
  <c r="D5" i="1" s="1"/>
  <c r="N5" i="1"/>
  <c r="G5" i="1" s="1"/>
  <c r="K3" i="1"/>
  <c r="J3" i="1"/>
  <c r="I3" i="1" s="1"/>
  <c r="N3" i="1"/>
  <c r="G3" i="1" s="1"/>
  <c r="O3" i="1"/>
  <c r="P3" i="1" s="1"/>
  <c r="D3" i="1" s="1"/>
  <c r="E11" i="1"/>
  <c r="J11" i="1"/>
  <c r="I11" i="1" s="1"/>
  <c r="K11" i="1"/>
  <c r="N11" i="1"/>
  <c r="G11" i="1" s="1"/>
  <c r="O11" i="1"/>
  <c r="P11" i="1" s="1"/>
  <c r="D11" i="1" s="1"/>
  <c r="C33" i="1"/>
  <c r="O33" i="1"/>
  <c r="P33" i="1" s="1"/>
  <c r="D33" i="1" s="1"/>
  <c r="N33" i="1"/>
  <c r="G33" i="1" s="1"/>
  <c r="E2" i="1"/>
  <c r="J2" i="1"/>
  <c r="K2" i="1"/>
  <c r="I2" i="1"/>
  <c r="C2" i="1"/>
  <c r="N2" i="1"/>
  <c r="G2" i="1" s="1"/>
  <c r="O2" i="1"/>
  <c r="P2" i="1" s="1"/>
  <c r="D2" i="1" s="1"/>
  <c r="E4" i="1"/>
  <c r="J4" i="1"/>
  <c r="I4" i="1" s="1"/>
  <c r="K4" i="1"/>
  <c r="C4" i="1"/>
  <c r="O4" i="1"/>
  <c r="N4" i="1"/>
  <c r="G4" i="1" s="1"/>
  <c r="P4" i="1"/>
  <c r="D4" i="1" s="1"/>
  <c r="J6" i="1"/>
  <c r="I6" i="1" s="1"/>
  <c r="K6" i="1"/>
  <c r="E6" i="1"/>
  <c r="O6" i="1"/>
  <c r="P6" i="1"/>
  <c r="D6" i="1" s="1"/>
  <c r="N6" i="1"/>
  <c r="G6" i="1" s="1"/>
  <c r="C6" i="1"/>
  <c r="J7" i="1"/>
  <c r="K7" i="1"/>
  <c r="I7" i="1"/>
  <c r="E7" i="1"/>
  <c r="O7" i="1"/>
  <c r="P7" i="1"/>
  <c r="D7" i="1" s="1"/>
  <c r="N7" i="1"/>
  <c r="G7" i="1" s="1"/>
  <c r="C7" i="1"/>
  <c r="J8" i="1"/>
  <c r="K8" i="1"/>
  <c r="I8" i="1"/>
  <c r="E8" i="1"/>
  <c r="O8" i="1"/>
  <c r="N8" i="1"/>
  <c r="G8" i="1" s="1"/>
  <c r="C8" i="1"/>
  <c r="P8" i="1"/>
  <c r="D8" i="1" s="1"/>
  <c r="K9" i="1"/>
  <c r="J9" i="1"/>
  <c r="E9" i="1"/>
  <c r="I9" i="1"/>
  <c r="N9" i="1"/>
  <c r="G9" i="1" s="1"/>
  <c r="C9" i="1"/>
  <c r="O9" i="1"/>
  <c r="P9" i="1" s="1"/>
  <c r="D9" i="1" s="1"/>
  <c r="K10" i="1"/>
  <c r="J10" i="1"/>
  <c r="I10" i="1" s="1"/>
  <c r="E10" i="1"/>
  <c r="N10" i="1"/>
  <c r="G10" i="1" s="1"/>
  <c r="O10" i="1"/>
  <c r="P10" i="1" s="1"/>
  <c r="D10" i="1" s="1"/>
  <c r="C10" i="1"/>
  <c r="E12" i="1"/>
  <c r="J12" i="1"/>
  <c r="K12" i="1"/>
  <c r="I12" i="1"/>
  <c r="C12" i="1"/>
  <c r="N12" i="1"/>
  <c r="G12" i="1" s="1"/>
  <c r="O12" i="1"/>
  <c r="P12" i="1" s="1"/>
  <c r="D12" i="1" s="1"/>
  <c r="J13" i="1"/>
  <c r="K13" i="1"/>
  <c r="I13" i="1"/>
  <c r="E13" i="1"/>
  <c r="N13" i="1"/>
  <c r="G13" i="1" s="1"/>
  <c r="O13" i="1"/>
  <c r="P13" i="1" s="1"/>
  <c r="D13" i="1" s="1"/>
  <c r="C13" i="1"/>
  <c r="K14" i="1"/>
  <c r="E14" i="1"/>
  <c r="J14" i="1"/>
  <c r="I14" i="1" s="1"/>
  <c r="C14" i="1"/>
  <c r="O14" i="1"/>
  <c r="P14" i="1" s="1"/>
  <c r="D14" i="1" s="1"/>
  <c r="N14" i="1"/>
  <c r="G14" i="1" s="1"/>
  <c r="J15" i="1"/>
  <c r="E15" i="1"/>
  <c r="I15" i="1"/>
  <c r="K15" i="1"/>
  <c r="C15" i="1"/>
  <c r="O15" i="1"/>
  <c r="P15" i="1" s="1"/>
  <c r="D15" i="1" s="1"/>
  <c r="N15" i="1"/>
  <c r="G15" i="1" s="1"/>
  <c r="K16" i="1"/>
  <c r="J16" i="1"/>
  <c r="I16" i="1" s="1"/>
  <c r="E16" i="1"/>
  <c r="N16" i="1"/>
  <c r="G16" i="1" s="1"/>
  <c r="C16" i="1"/>
  <c r="O16" i="1"/>
  <c r="P16" i="1" s="1"/>
  <c r="D16" i="1" s="1"/>
  <c r="J17" i="1"/>
  <c r="I17" i="1" s="1"/>
  <c r="E17" i="1"/>
  <c r="K17" i="1"/>
  <c r="O17" i="1"/>
  <c r="P17" i="1"/>
  <c r="D17" i="1" s="1"/>
  <c r="N17" i="1"/>
  <c r="G17" i="1" s="1"/>
  <c r="C17" i="1"/>
  <c r="E18" i="1"/>
  <c r="J18" i="1"/>
  <c r="I18" i="1" s="1"/>
  <c r="K18" i="1"/>
  <c r="C18" i="1"/>
  <c r="N18" i="1"/>
  <c r="G18" i="1" s="1"/>
  <c r="O18" i="1"/>
  <c r="P18" i="1"/>
  <c r="D18" i="1" s="1"/>
  <c r="J19" i="1"/>
  <c r="I19" i="1"/>
  <c r="K19" i="1"/>
  <c r="E19" i="1"/>
  <c r="O19" i="1"/>
  <c r="C19" i="1"/>
  <c r="N19" i="1"/>
  <c r="G19" i="1" s="1"/>
  <c r="P19" i="1"/>
  <c r="D19" i="1" s="1"/>
  <c r="J20" i="1"/>
  <c r="I20" i="1"/>
  <c r="K20" i="1"/>
  <c r="E20" i="1"/>
  <c r="O20" i="1"/>
  <c r="N20" i="1"/>
  <c r="G20" i="1" s="1"/>
  <c r="P20" i="1"/>
  <c r="D20" i="1" s="1"/>
  <c r="C20" i="1"/>
  <c r="J21" i="1"/>
  <c r="I21" i="1" s="1"/>
  <c r="E21" i="1"/>
  <c r="K21" i="1"/>
  <c r="O21" i="1"/>
  <c r="P21" i="1"/>
  <c r="D21" i="1" s="1"/>
  <c r="N21" i="1"/>
  <c r="G21" i="1" s="1"/>
  <c r="C21" i="1"/>
  <c r="J22" i="1"/>
  <c r="E22" i="1"/>
  <c r="K22" i="1"/>
  <c r="I22" i="1"/>
  <c r="N22" i="1"/>
  <c r="G22" i="1" s="1"/>
  <c r="C22" i="1"/>
  <c r="O22" i="1"/>
  <c r="P22" i="1" s="1"/>
  <c r="D22" i="1" s="1"/>
  <c r="E23" i="1"/>
  <c r="J23" i="1"/>
  <c r="K23" i="1"/>
  <c r="I23" i="1"/>
  <c r="O23" i="1"/>
  <c r="P23" i="1"/>
  <c r="D23" i="1" s="1"/>
  <c r="N23" i="1"/>
  <c r="G23" i="1" s="1"/>
  <c r="C23" i="1"/>
  <c r="K24" i="1"/>
  <c r="E24" i="1"/>
  <c r="J24" i="1"/>
  <c r="I24" i="1" s="1"/>
  <c r="C24" i="1"/>
  <c r="O24" i="1"/>
  <c r="P24" i="1"/>
  <c r="D24" i="1" s="1"/>
  <c r="N24" i="1"/>
  <c r="G24" i="1" s="1"/>
  <c r="E25" i="1"/>
  <c r="K25" i="1"/>
  <c r="J25" i="1"/>
  <c r="I25" i="1" s="1"/>
  <c r="C25" i="1"/>
  <c r="N25" i="1"/>
  <c r="G25" i="1" s="1"/>
  <c r="O25" i="1"/>
  <c r="P25" i="1" s="1"/>
  <c r="D25" i="1" s="1"/>
  <c r="J26" i="1"/>
  <c r="K26" i="1"/>
  <c r="I26" i="1"/>
  <c r="E26" i="1"/>
  <c r="O26" i="1"/>
  <c r="P26" i="1"/>
  <c r="D26" i="1" s="1"/>
  <c r="N26" i="1"/>
  <c r="G26" i="1" s="1"/>
  <c r="C26" i="1"/>
  <c r="J27" i="1"/>
  <c r="I27" i="1" s="1"/>
  <c r="E27" i="1"/>
  <c r="K27" i="1"/>
  <c r="O27" i="1"/>
  <c r="C27" i="1"/>
  <c r="N27" i="1"/>
  <c r="G27" i="1" s="1"/>
  <c r="P27" i="1"/>
  <c r="D27" i="1" s="1"/>
  <c r="J28" i="1"/>
  <c r="E28" i="1"/>
  <c r="I28" i="1"/>
  <c r="K28" i="1"/>
  <c r="C28" i="1"/>
  <c r="N28" i="1"/>
  <c r="G28" i="1" s="1"/>
  <c r="O28" i="1"/>
  <c r="P28" i="1" s="1"/>
  <c r="D28" i="1" s="1"/>
  <c r="E29" i="1"/>
  <c r="K29" i="1"/>
  <c r="I29" i="1"/>
  <c r="N29" i="1"/>
  <c r="G29" i="1" s="1"/>
  <c r="O29" i="1"/>
  <c r="P29" i="1" s="1"/>
  <c r="D29" i="1" s="1"/>
  <c r="C29" i="1"/>
  <c r="E30" i="1"/>
  <c r="J30" i="1"/>
  <c r="K30" i="1"/>
  <c r="I30" i="1"/>
  <c r="C30" i="1"/>
  <c r="N30" i="1"/>
  <c r="G30" i="1" s="1"/>
  <c r="O30" i="1"/>
  <c r="P30" i="1" s="1"/>
  <c r="D30" i="1" s="1"/>
  <c r="J31" i="1"/>
  <c r="I31" i="1" s="1"/>
  <c r="E31" i="1"/>
  <c r="K31" i="1"/>
  <c r="C31" i="1"/>
  <c r="N31" i="1"/>
  <c r="G31" i="1" s="1"/>
  <c r="O31" i="1"/>
  <c r="P31" i="1" s="1"/>
  <c r="D31" i="1" s="1"/>
  <c r="J32" i="1"/>
  <c r="E32" i="1"/>
  <c r="I32" i="1"/>
  <c r="K32" i="1"/>
  <c r="O32" i="1"/>
  <c r="C32" i="1"/>
  <c r="N32" i="1"/>
  <c r="G32" i="1" s="1"/>
  <c r="P32" i="1"/>
  <c r="D32" i="1" s="1"/>
  <c r="J33" i="1"/>
  <c r="K33" i="1"/>
  <c r="E33" i="1"/>
  <c r="I33" i="1"/>
  <c r="E34" i="1"/>
  <c r="J34" i="1"/>
  <c r="I34" i="1" s="1"/>
  <c r="K34" i="1"/>
  <c r="N34" i="1"/>
  <c r="G34" i="1" s="1"/>
  <c r="C34" i="1"/>
  <c r="O34" i="1"/>
  <c r="P34" i="1" s="1"/>
  <c r="D34" i="1" s="1"/>
  <c r="K35" i="1"/>
  <c r="J35" i="1"/>
  <c r="I35" i="1" s="1"/>
  <c r="E35" i="1"/>
  <c r="N35" i="1"/>
  <c r="G35" i="1" s="1"/>
  <c r="O35" i="1"/>
  <c r="P35" i="1"/>
  <c r="D35" i="1" s="1"/>
  <c r="C35" i="1"/>
  <c r="E36" i="1"/>
  <c r="J36" i="1"/>
  <c r="I36" i="1" s="1"/>
  <c r="K36" i="1"/>
  <c r="C36" i="1"/>
  <c r="N36" i="1"/>
  <c r="G36" i="1" s="1"/>
  <c r="O36" i="1"/>
  <c r="P36" i="1"/>
  <c r="D36" i="1" s="1"/>
  <c r="J37" i="1"/>
  <c r="I37" i="1"/>
  <c r="E37" i="1"/>
  <c r="K37" i="1"/>
  <c r="O37" i="1"/>
  <c r="P37" i="1"/>
  <c r="D37" i="1" s="1"/>
  <c r="C37" i="1"/>
  <c r="N37" i="1"/>
  <c r="G37" i="1" s="1"/>
  <c r="E38" i="1"/>
  <c r="J38" i="1"/>
  <c r="I38" i="1" s="1"/>
  <c r="K38" i="1"/>
  <c r="O38" i="1"/>
  <c r="P38" i="1"/>
  <c r="D38" i="1" s="1"/>
  <c r="N38" i="1"/>
  <c r="G38" i="1" s="1"/>
  <c r="C38" i="1"/>
  <c r="E39" i="1"/>
  <c r="J39" i="1"/>
  <c r="I39" i="1" s="1"/>
  <c r="K39" i="1"/>
  <c r="C39" i="1"/>
  <c r="N39" i="1"/>
  <c r="G39" i="1" s="1"/>
  <c r="O39" i="1"/>
  <c r="P39" i="1"/>
  <c r="D39" i="1" s="1"/>
  <c r="E40" i="1"/>
  <c r="J40" i="1"/>
  <c r="I40" i="1" s="1"/>
  <c r="K40" i="1"/>
  <c r="C40" i="1"/>
  <c r="N40" i="1"/>
  <c r="G40" i="1" s="1"/>
  <c r="O40" i="1"/>
  <c r="P40" i="1"/>
  <c r="D40" i="1" s="1"/>
  <c r="J41" i="1"/>
  <c r="I41" i="1" s="1"/>
  <c r="K41" i="1"/>
  <c r="E41" i="1"/>
  <c r="C41" i="1"/>
  <c r="N41" i="1"/>
  <c r="G41" i="1" s="1"/>
  <c r="O41" i="1"/>
  <c r="P41" i="1"/>
  <c r="D41" i="1" s="1"/>
  <c r="E42" i="1"/>
  <c r="J42" i="1"/>
  <c r="I42" i="1" s="1"/>
  <c r="K42" i="1"/>
  <c r="C42" i="1"/>
  <c r="O42" i="1"/>
  <c r="N42" i="1"/>
  <c r="G42" i="1" s="1"/>
  <c r="P42" i="1"/>
  <c r="D42" i="1" s="1"/>
  <c r="K43" i="1"/>
  <c r="E43" i="1"/>
  <c r="J43" i="1"/>
  <c r="I43" i="1" s="1"/>
  <c r="N43" i="1"/>
  <c r="G43" i="1" s="1"/>
  <c r="O43" i="1"/>
  <c r="P43" i="1"/>
  <c r="D43" i="1" s="1"/>
  <c r="C43" i="1"/>
  <c r="E44" i="1"/>
  <c r="J44" i="1"/>
  <c r="I44" i="1" s="1"/>
  <c r="K44" i="1"/>
  <c r="N44" i="1"/>
  <c r="G44" i="1" s="1"/>
  <c r="O44" i="1"/>
  <c r="P44" i="1"/>
  <c r="D44" i="1" s="1"/>
  <c r="C44" i="1"/>
  <c r="E45" i="1"/>
  <c r="J45" i="1"/>
  <c r="I45" i="1" s="1"/>
  <c r="K45" i="1"/>
  <c r="C45" i="1"/>
  <c r="N45" i="1"/>
  <c r="G45" i="1" s="1"/>
  <c r="O45" i="1"/>
  <c r="P45" i="1"/>
  <c r="D45" i="1" s="1"/>
  <c r="E46" i="1"/>
  <c r="J46" i="1"/>
  <c r="I46" i="1" s="1"/>
  <c r="K46" i="1"/>
  <c r="C46" i="1"/>
  <c r="N46" i="1"/>
  <c r="G46" i="1" s="1"/>
  <c r="O46" i="1"/>
  <c r="P46" i="1"/>
  <c r="D46" i="1" s="1"/>
  <c r="K47" i="1"/>
  <c r="E47" i="1"/>
  <c r="J47" i="1"/>
  <c r="I47" i="1" s="1"/>
  <c r="O47" i="1"/>
  <c r="P47" i="1"/>
  <c r="D47" i="1" s="1"/>
  <c r="N47" i="1"/>
  <c r="G47" i="1" s="1"/>
  <c r="C47" i="1"/>
  <c r="E48" i="1"/>
  <c r="J48" i="1"/>
  <c r="I48" i="1" s="1"/>
  <c r="K48" i="1"/>
  <c r="C48" i="1"/>
  <c r="N48" i="1"/>
  <c r="G48" i="1" s="1"/>
  <c r="O48" i="1"/>
  <c r="P48" i="1" s="1"/>
  <c r="D48" i="1" s="1"/>
  <c r="K49" i="1"/>
  <c r="J49" i="1"/>
  <c r="I49" i="1"/>
  <c r="E49" i="1"/>
  <c r="O49" i="1"/>
  <c r="P49" i="1" s="1"/>
  <c r="D49" i="1" s="1"/>
  <c r="N49" i="1"/>
  <c r="G49" i="1" s="1"/>
  <c r="C49" i="1"/>
  <c r="E50" i="1"/>
  <c r="J50" i="1"/>
  <c r="I50" i="1" s="1"/>
  <c r="K50" i="1"/>
  <c r="C50" i="1"/>
  <c r="N50" i="1"/>
  <c r="G50" i="1" s="1"/>
  <c r="O50" i="1"/>
  <c r="P50" i="1"/>
  <c r="D50" i="1" s="1"/>
  <c r="E51" i="1"/>
  <c r="J51" i="1"/>
  <c r="I51" i="1" s="1"/>
  <c r="K51" i="1"/>
  <c r="C51" i="1"/>
  <c r="N51" i="1"/>
  <c r="G51" i="1" s="1"/>
  <c r="O51" i="1"/>
  <c r="P51" i="1" s="1"/>
  <c r="D51" i="1" s="1"/>
  <c r="E52" i="1"/>
  <c r="K52" i="1"/>
  <c r="J52" i="1"/>
  <c r="I52" i="1" s="1"/>
  <c r="O52" i="1"/>
  <c r="C52" i="1"/>
  <c r="N52" i="1"/>
  <c r="G52" i="1" s="1"/>
  <c r="P52" i="1"/>
  <c r="D52" i="1" s="1"/>
  <c r="K53" i="1"/>
  <c r="E53" i="1"/>
  <c r="J53" i="1"/>
  <c r="I53" i="1" s="1"/>
  <c r="C53" i="1"/>
  <c r="N53" i="1"/>
  <c r="G53" i="1" s="1"/>
  <c r="O53" i="1"/>
  <c r="P53" i="1" s="1"/>
  <c r="D53" i="1" s="1"/>
  <c r="J54" i="1"/>
  <c r="I54" i="1" s="1"/>
  <c r="E54" i="1"/>
  <c r="K54" i="1"/>
  <c r="N54" i="1"/>
  <c r="G54" i="1" s="1"/>
  <c r="O54" i="1"/>
  <c r="C54" i="1"/>
  <c r="P54" i="1"/>
  <c r="D54" i="1" s="1"/>
  <c r="J55" i="1"/>
  <c r="I55" i="1" s="1"/>
  <c r="E55" i="1"/>
  <c r="K55" i="1"/>
  <c r="O55" i="1"/>
  <c r="C55" i="1"/>
  <c r="P55" i="1"/>
  <c r="D55" i="1" s="1"/>
  <c r="N55" i="1"/>
  <c r="G55" i="1" s="1"/>
  <c r="E56" i="1"/>
  <c r="K56" i="1"/>
  <c r="J56" i="1"/>
  <c r="I56" i="1" s="1"/>
  <c r="N56" i="1"/>
  <c r="G56" i="1" s="1"/>
  <c r="O56" i="1"/>
  <c r="C56" i="1"/>
  <c r="P56" i="1"/>
  <c r="D56" i="1" s="1"/>
  <c r="E57" i="1"/>
  <c r="K57" i="1"/>
  <c r="J57" i="1"/>
  <c r="I57" i="1" s="1"/>
  <c r="N57" i="1"/>
  <c r="G57" i="1" s="1"/>
  <c r="C57" i="1"/>
  <c r="O57" i="1"/>
  <c r="P57" i="1" s="1"/>
  <c r="D57" i="1" s="1"/>
  <c r="E58" i="1"/>
  <c r="K58" i="1"/>
  <c r="J58" i="1"/>
  <c r="I58" i="1" s="1"/>
  <c r="C58" i="1"/>
  <c r="O58" i="1"/>
  <c r="P58" i="1" s="1"/>
  <c r="D58" i="1" s="1"/>
  <c r="N58" i="1"/>
  <c r="G58" i="1" s="1"/>
  <c r="J59" i="1"/>
  <c r="I59" i="1" s="1"/>
  <c r="K59" i="1"/>
  <c r="E59" i="1"/>
  <c r="O59" i="1"/>
  <c r="P59" i="1" s="1"/>
  <c r="D59" i="1" s="1"/>
  <c r="C59" i="1"/>
  <c r="N59" i="1"/>
  <c r="G59" i="1" s="1"/>
  <c r="K60" i="1"/>
  <c r="E60" i="1"/>
  <c r="J60" i="1"/>
  <c r="I60" i="1" s="1"/>
  <c r="N60" i="1"/>
  <c r="G60" i="1" s="1"/>
  <c r="C60" i="1"/>
  <c r="O60" i="1"/>
  <c r="P60" i="1" s="1"/>
  <c r="D60" i="1" s="1"/>
  <c r="K61" i="1"/>
  <c r="J61" i="1"/>
  <c r="I61" i="1" s="1"/>
  <c r="E61" i="1"/>
  <c r="O61" i="1"/>
  <c r="N61" i="1"/>
  <c r="G61" i="1" s="1"/>
  <c r="C61" i="1"/>
  <c r="P61" i="1"/>
  <c r="D61" i="1" s="1"/>
  <c r="K62" i="1"/>
  <c r="E62" i="1"/>
  <c r="J62" i="1"/>
  <c r="I62" i="1" s="1"/>
  <c r="C62" i="1"/>
  <c r="O62" i="1"/>
  <c r="P62" i="1" s="1"/>
  <c r="D62" i="1" s="1"/>
  <c r="N62" i="1"/>
  <c r="G62" i="1" s="1"/>
  <c r="E63" i="1"/>
  <c r="K63" i="1"/>
  <c r="J63" i="1"/>
  <c r="I63" i="1" s="1"/>
  <c r="O63" i="1"/>
  <c r="N63" i="1"/>
  <c r="G63" i="1" s="1"/>
  <c r="P63" i="1"/>
  <c r="D63" i="1" s="1"/>
  <c r="C63" i="1"/>
  <c r="J64" i="1"/>
  <c r="E64" i="1"/>
  <c r="I64" i="1"/>
  <c r="K64" i="1"/>
  <c r="C64" i="1"/>
  <c r="O64" i="1"/>
  <c r="P64" i="1"/>
  <c r="D64" i="1" s="1"/>
  <c r="N64" i="1"/>
  <c r="G64" i="1" s="1"/>
  <c r="E65" i="1"/>
  <c r="J65" i="1"/>
  <c r="I65" i="1" s="1"/>
  <c r="K65" i="1"/>
  <c r="C65" i="1"/>
  <c r="N65" i="1"/>
  <c r="G65" i="1" s="1"/>
  <c r="O65" i="1"/>
  <c r="P65" i="1"/>
  <c r="D65" i="1" s="1"/>
  <c r="K66" i="1"/>
  <c r="E66" i="1"/>
  <c r="J66" i="1"/>
  <c r="I66" i="1" s="1"/>
  <c r="N66" i="1"/>
  <c r="G66" i="1" s="1"/>
  <c r="O66" i="1"/>
  <c r="P66" i="1"/>
  <c r="D66" i="1" s="1"/>
  <c r="C66" i="1"/>
  <c r="J67" i="1"/>
  <c r="I67" i="1"/>
  <c r="E67" i="1"/>
  <c r="K67" i="1"/>
  <c r="O67" i="1"/>
  <c r="C67" i="1"/>
  <c r="N67" i="1"/>
  <c r="G67" i="1" s="1"/>
  <c r="P67" i="1"/>
  <c r="D67" i="1" s="1"/>
  <c r="J68" i="1"/>
  <c r="I68" i="1" s="1"/>
  <c r="E68" i="1"/>
  <c r="K68" i="1"/>
  <c r="N68" i="1"/>
  <c r="G68" i="1" s="1"/>
  <c r="O68" i="1"/>
  <c r="C68" i="1"/>
  <c r="P68" i="1"/>
  <c r="D68" i="1" s="1"/>
  <c r="E69" i="1"/>
  <c r="K69" i="1"/>
  <c r="J69" i="1"/>
  <c r="I69" i="1" s="1"/>
  <c r="C69" i="1"/>
  <c r="O69" i="1"/>
  <c r="P69" i="1" s="1"/>
  <c r="D69" i="1" s="1"/>
  <c r="N69" i="1"/>
  <c r="G69" i="1" s="1"/>
  <c r="K70" i="1"/>
  <c r="E70" i="1"/>
  <c r="J70" i="1"/>
  <c r="I70" i="1" s="1"/>
  <c r="C70" i="1"/>
  <c r="O70" i="1"/>
  <c r="P70" i="1" s="1"/>
  <c r="D70" i="1" s="1"/>
  <c r="N70" i="1"/>
  <c r="G70" i="1" s="1"/>
  <c r="J71" i="1"/>
  <c r="K71" i="1"/>
  <c r="E71" i="1"/>
  <c r="I71" i="1"/>
  <c r="N71" i="1"/>
  <c r="G71" i="1" s="1"/>
  <c r="O71" i="1"/>
  <c r="P71" i="1" s="1"/>
  <c r="D71" i="1" s="1"/>
  <c r="C71" i="1"/>
  <c r="J72" i="1"/>
  <c r="K72" i="1"/>
  <c r="E72" i="1"/>
  <c r="I72" i="1"/>
  <c r="N72" i="1"/>
  <c r="G72" i="1" s="1"/>
  <c r="O72" i="1"/>
  <c r="P72" i="1" s="1"/>
  <c r="D72" i="1" s="1"/>
  <c r="C72" i="1"/>
  <c r="K73" i="1"/>
  <c r="E73" i="1"/>
  <c r="J73" i="1"/>
  <c r="I73" i="1" s="1"/>
  <c r="N73" i="1"/>
  <c r="G73" i="1" s="1"/>
  <c r="C73" i="1"/>
  <c r="O73" i="1"/>
  <c r="P73" i="1" s="1"/>
  <c r="D73" i="1" s="1"/>
  <c r="J74" i="1"/>
  <c r="E74" i="1"/>
  <c r="K74" i="1"/>
  <c r="I74" i="1"/>
  <c r="N74" i="1"/>
  <c r="G74" i="1" s="1"/>
  <c r="C74" i="1"/>
  <c r="O74" i="1"/>
  <c r="P74" i="1" s="1"/>
  <c r="D74" i="1" s="1"/>
  <c r="K75" i="1"/>
  <c r="E75" i="1"/>
  <c r="J75" i="1"/>
  <c r="I75" i="1" s="1"/>
  <c r="O75" i="1"/>
  <c r="P75" i="1"/>
  <c r="D75" i="1" s="1"/>
  <c r="C75" i="1"/>
  <c r="N75" i="1"/>
  <c r="G75" i="1" s="1"/>
  <c r="K76" i="1"/>
  <c r="E76" i="1"/>
  <c r="J76" i="1"/>
  <c r="I76" i="1" s="1"/>
  <c r="C76" i="1"/>
  <c r="N76" i="1"/>
  <c r="G76" i="1" s="1"/>
  <c r="O76" i="1"/>
  <c r="P76" i="1" s="1"/>
  <c r="D76" i="1" s="1"/>
  <c r="J77" i="1"/>
  <c r="K77" i="1"/>
  <c r="E77" i="1"/>
  <c r="I77" i="1"/>
  <c r="C77" i="1"/>
  <c r="N77" i="1"/>
  <c r="G77" i="1" s="1"/>
  <c r="O77" i="1"/>
  <c r="P77" i="1" s="1"/>
  <c r="D77" i="1" s="1"/>
  <c r="F5" i="1" l="1"/>
  <c r="H5" i="1"/>
  <c r="H3" i="1"/>
  <c r="F3" i="1"/>
  <c r="H11" i="1"/>
  <c r="F11" i="1"/>
  <c r="F2" i="1"/>
  <c r="H2" i="1"/>
  <c r="H4" i="1"/>
  <c r="F4" i="1"/>
  <c r="H6" i="1"/>
  <c r="F6" i="1"/>
  <c r="H7" i="1"/>
  <c r="F7" i="1"/>
  <c r="H8" i="1"/>
  <c r="F8" i="1"/>
  <c r="H9" i="1"/>
  <c r="F9" i="1"/>
  <c r="H10" i="1"/>
  <c r="F10" i="1"/>
  <c r="H12" i="1"/>
  <c r="F12" i="1"/>
  <c r="H13" i="1"/>
  <c r="F13" i="1"/>
  <c r="H14" i="1"/>
  <c r="F14" i="1"/>
  <c r="H15" i="1"/>
  <c r="F15" i="1"/>
  <c r="H16" i="1"/>
  <c r="F16" i="1"/>
  <c r="H17" i="1"/>
  <c r="F17" i="1"/>
  <c r="H18" i="1"/>
  <c r="F18" i="1"/>
  <c r="F19" i="1"/>
  <c r="H19" i="1"/>
  <c r="H20" i="1"/>
  <c r="F20" i="1"/>
  <c r="H21" i="1"/>
  <c r="F21" i="1"/>
  <c r="H22" i="1"/>
  <c r="F22" i="1"/>
  <c r="H23" i="1"/>
  <c r="F23" i="1"/>
  <c r="H24" i="1"/>
  <c r="F24" i="1"/>
  <c r="H25" i="1"/>
  <c r="F25" i="1"/>
  <c r="H26" i="1"/>
  <c r="F26" i="1"/>
  <c r="H27" i="1"/>
  <c r="F27" i="1"/>
  <c r="H28" i="1"/>
  <c r="F28" i="1"/>
  <c r="H29" i="1"/>
  <c r="F29" i="1"/>
  <c r="H30" i="1"/>
  <c r="F30" i="1"/>
  <c r="H31" i="1"/>
  <c r="F31" i="1"/>
  <c r="H32" i="1"/>
  <c r="F32" i="1"/>
  <c r="H33" i="1"/>
  <c r="F33" i="1"/>
  <c r="H34" i="1"/>
  <c r="F34" i="1"/>
  <c r="H35" i="1"/>
  <c r="F35" i="1"/>
  <c r="H36" i="1"/>
  <c r="F36" i="1"/>
  <c r="H37" i="1"/>
  <c r="F37" i="1"/>
  <c r="H38" i="1"/>
  <c r="F38" i="1"/>
  <c r="H39" i="1"/>
  <c r="F39" i="1"/>
  <c r="H40" i="1"/>
  <c r="F40" i="1"/>
  <c r="H41" i="1"/>
  <c r="F41" i="1"/>
  <c r="H42" i="1"/>
  <c r="F42" i="1"/>
  <c r="H43" i="1"/>
  <c r="F43" i="1"/>
  <c r="H44" i="1"/>
  <c r="F44" i="1"/>
  <c r="H45" i="1"/>
  <c r="F45" i="1"/>
  <c r="H46" i="1"/>
  <c r="F46" i="1"/>
  <c r="H47" i="1"/>
  <c r="F47" i="1"/>
  <c r="H48" i="1"/>
  <c r="F48" i="1"/>
  <c r="H49" i="1"/>
  <c r="F49" i="1"/>
  <c r="H50" i="1"/>
  <c r="F50" i="1"/>
  <c r="H51" i="1"/>
  <c r="F51" i="1"/>
  <c r="F52" i="1"/>
  <c r="H52" i="1"/>
  <c r="F53" i="1"/>
  <c r="H53" i="1"/>
  <c r="F54" i="1"/>
  <c r="H54" i="1"/>
  <c r="H55" i="1"/>
  <c r="F55" i="1"/>
  <c r="H56" i="1"/>
  <c r="F56" i="1"/>
  <c r="F57" i="1"/>
  <c r="H57" i="1"/>
  <c r="H58" i="1"/>
  <c r="F58" i="1"/>
  <c r="F59" i="1"/>
  <c r="H59" i="1"/>
  <c r="F60" i="1"/>
  <c r="H60" i="1"/>
  <c r="H61" i="1"/>
  <c r="F61" i="1"/>
  <c r="H62" i="1"/>
  <c r="F62" i="1"/>
  <c r="F63" i="1"/>
  <c r="H63" i="1"/>
  <c r="H64" i="1"/>
  <c r="F64" i="1"/>
  <c r="H65" i="1"/>
  <c r="F65" i="1"/>
  <c r="F66" i="1"/>
  <c r="H66" i="1"/>
  <c r="H67" i="1"/>
  <c r="F67" i="1"/>
  <c r="F68" i="1"/>
  <c r="H68" i="1"/>
  <c r="F69" i="1"/>
  <c r="H69" i="1"/>
  <c r="F70" i="1"/>
  <c r="H70" i="1"/>
  <c r="F71" i="1"/>
  <c r="H71" i="1"/>
  <c r="F72" i="1"/>
  <c r="H72" i="1"/>
  <c r="F73" i="1"/>
  <c r="H73" i="1"/>
  <c r="F74" i="1"/>
  <c r="H74" i="1"/>
  <c r="H75" i="1"/>
  <c r="F75" i="1"/>
  <c r="F76" i="1"/>
  <c r="H76" i="1"/>
  <c r="F77" i="1"/>
  <c r="H77" i="1"/>
</calcChain>
</file>

<file path=xl/sharedStrings.xml><?xml version="1.0" encoding="utf-8"?>
<sst xmlns="http://schemas.openxmlformats.org/spreadsheetml/2006/main" count="211" uniqueCount="170">
  <si>
    <t/>
  </si>
  <si>
    <t>instalador sin IVA</t>
  </si>
  <si>
    <t>oro sin IVA</t>
  </si>
  <si>
    <t>PRECIO SUGERIDO INSTALADOR</t>
  </si>
  <si>
    <t>TIENDA</t>
  </si>
  <si>
    <t>Columna1</t>
  </si>
  <si>
    <t>CLIENTE FINAL</t>
  </si>
  <si>
    <t>Columna8</t>
  </si>
  <si>
    <t>DPP ORO7</t>
  </si>
  <si>
    <t>Columna6</t>
  </si>
  <si>
    <t>DPP PLATINO2</t>
  </si>
  <si>
    <t>Columna4</t>
  </si>
  <si>
    <t>Columna3</t>
  </si>
  <si>
    <t>PRECIO CLIENTE FINAL ( CON  IVA)</t>
  </si>
  <si>
    <t>PRECIO DPP PLATINO ( CON  IVA)</t>
  </si>
  <si>
    <t>PRECIO DPP ORO ( CON  IVA)</t>
  </si>
  <si>
    <t>PRECIO TIENDA ( CON  IVA)</t>
  </si>
  <si>
    <t>PRECIO  INSTALADOR
( CON  IVA)</t>
  </si>
  <si>
    <t xml:space="preserve">DESCRIPCIÓN </t>
  </si>
  <si>
    <t>REFERENCIA</t>
  </si>
  <si>
    <t>DS-3D501R-A(O-STD)</t>
  </si>
  <si>
    <t>CONVERTIDOR DE MEDIOS / PLUG-AND-PLAY / TRANSMISIÓN SIN PÉRDIDA / PROTECCIÓN CONTRA RAYOS / DISEÑO INDUSTRIAL</t>
  </si>
  <si>
    <t>DS-3D501T-A(O-STD)</t>
  </si>
  <si>
    <t>CONVERTIDOR DE MEDIOS GIGABIT 20KM / RJ45 10/100/1000 Mbps + SC fibra óptica / Carcasa metálica industrial (-20 °C ~ 60 °C) / Plug &amp; Play, transmisión estable y rápida</t>
  </si>
  <si>
    <t>DS-3E0505P-E/R(O-STD)</t>
  </si>
  <si>
    <t>REPETIDOR PoE GIGABIT 5 PUERTOS / 1 × PoE IN (af/at/bt) + 4 × PoE OUT (af/at) / Presupuesto PoE total: 60 W / Protección contra sobretensión 6 kV / Carcasa metálica robusta, diseño sin ventilador / Transmisión estable y confiable</t>
  </si>
  <si>
    <t>DS-3E0103DP-E/R(O-STD)</t>
  </si>
  <si>
    <t>REPETIDOR PoE / EXTENSIÓN DE TRANSMISIÓN Y SUMINISTRO DE ENERGÍA / DISEÑO COMPACTO / PLUG &amp; PLAY</t>
  </si>
  <si>
    <t>DS-3E0105P-E/M(C)(O-STD)</t>
  </si>
  <si>
    <t>SWITCH PoE NO ADMINISTRADO / GESTIÓN INTELIGENTE PoE / TRANSMISIÓN DE LARGO ALCANCE / PROTECCIÓN INDUSTRIAL</t>
  </si>
  <si>
    <t>DS-3E0106HP-E（O-STD）</t>
  </si>
  <si>
    <t>SWITCH PoE NO ADMINISTRADO / GESTIÓN INTELIGENTE PoE / TRANSMISIÓN DE LARGO ALCANCE / PUERTO VIP PARA VIDEO / PROTECCIÓN INDUSTRIAL 6KV</t>
  </si>
  <si>
    <t>DS-3E0502P-E(O-STD)</t>
  </si>
  <si>
    <t>INJECTOR PoE GIGABIT / 1 × PUERTO PoE OUT + 1 × PUERTO RJ45 / POTENCIA 30 W / PESO 340 G / SERIE UNMANAGED PoE</t>
  </si>
  <si>
    <t>DS-3E0503DP-E/R(O-STD)</t>
  </si>
  <si>
    <t>REPETIDOR PoE GIGABIT / 1 × PUERTO PoE IN + 2 × PUERTOS PoE OUT / PRESUPUESTO PoE 30W / PESO 60 G / SERIE UNMANAGED PoE</t>
  </si>
  <si>
    <t>DS-3E0505D-O</t>
  </si>
  <si>
    <t xml:space="preserve">SWITCH GIGABIT PLÁSTICO NO ADMINISTRABLE / 5 PUERTOS RJ45 10/100/1000 Mbps / SOPORTE MDI/MDIX / CONMUTACIÓN STORE-AND-FORWARD / APRENDIZAJE Y ENVEJECIMIENTO AUTOMÁTICO DE MAC / DISEÑO COMPACTO PARA ESCRITORIO O MONTAJE EN PARED / FUNCIONAMIENTO PLUG &amp; PLAY / NIVEL 2 </t>
  </si>
  <si>
    <t>DS-3E0505-O</t>
  </si>
  <si>
    <t xml:space="preserve">SWITCH GIGABIT METÁLICO NO ADMINISTRABLE / 5 PUERTOS RJ45 10/100/1000 Mbps / ACCESO DE RED 1000M / CONMUTACIÓN STORE-AND-FORWARD / DISEÑO DE ALTO RENDIMIENTO CON FORWARDING A VELOCIDAD DE LÍNEA / CARCASA METÁLICA DE ALTA RESISTENCIA / DISEÑO SIN VENTILADOR PARA MAYOR FIABILIDAD / MONTAJE EN ESCRITORIO / NIVEL 2 </t>
  </si>
  <si>
    <t>DS-3E0508D-O(O-STD)</t>
  </si>
  <si>
    <t>SWITCH GIGABIT PLÁSTICO NO ADMINISTRABLE / 8 PUERTOS RJ45 10/100/1000 Mbps / SOPORTE MDI/MDIX / CONMUTACIÓN STORE-AND-FORWARD / APRENDIZAJE Y ENVEJECIMIENTO AUTOMÁTICO DE MAC / DISEÑO COMPACTO PARA ESCRITORIO O MONTAJE EN PARED / FUNCIONAMIENTO PLUG &amp; PLAY / NIVEL 2</t>
  </si>
  <si>
    <t>DS-3E0105D-O</t>
  </si>
  <si>
    <t>SWITCH FAST ETHERNET PLÁSTICO NO ADMINISTRABLE / 5 PUERTOS RJ45 10/100 Mbps / SOPORTE MDI/MDIX / CONMUTACIÓN STORE-AND-FORWARD / APRENDIZAJE Y ENVEJECIMIENTO AUTOMÁTICO DE MAC / DISEÑO COMPACTO PARA ESCRITORIO O MONTAJE EN PARED / FUNCIONAMIENTO PLUG &amp; PLAY / NIVEL 2</t>
  </si>
  <si>
    <t>DS-3E0105P-E/M(B)</t>
  </si>
  <si>
    <t>L2 5 PUERTOS 4/ 100 Mbps POE y 1/100 Mbps Ethernet POE 35W METALICO</t>
  </si>
  <si>
    <t>DS-3E0108D-E</t>
  </si>
  <si>
    <t>SWITCH NO ADMINISTRABLE 8 PUERTOS PARA ESCRITORIO 100MBPS</t>
  </si>
  <si>
    <t>DS-3E0108D-O</t>
  </si>
  <si>
    <t xml:space="preserve">SWITCH FAST ETHERNET PLÁSTICO NO ADMINISTRABLE / 8 PUERTOS RJ45 10/100 Mbps / SOPORTE MDI/MDIX / CONMUTACIÓN STORE-AND-FORWARD / APRENDIZAJE Y ENVEJECIMIENTO AUTOMÁTICO DE MAC / DISEÑO COMPACTO PARA ESCRITORIO O MONTAJE EN PARED / FUNCIONAMIENTO PLUG &amp; PLAY / NIVEL 2 </t>
  </si>
  <si>
    <t>DS-3E1505P-EI/M</t>
  </si>
  <si>
    <t xml:space="preserve"> 4 PUERTOS 4/ 100 Mbps POE y 2/100 Mbps Ethernet POE 45 W METALICO</t>
  </si>
  <si>
    <t>DS-3E1510P-EI/M (B)</t>
  </si>
  <si>
    <t>SWITCH SMART MANAGED / 8 PUERTOS GIGABIT PoE + 2 RJ45 / POE 60 W / LONG REACH 300 M / VLAN/STP/RSTP / POE WATCHDOG / PROTECCIÓN 6 kV / CAPACIDAD 20 Gbps / METAL</t>
  </si>
  <si>
    <t>DS-3E1510P-SI</t>
  </si>
  <si>
    <t>SWITCH SMART MANAGED / 8 PUERTOS GIGABIT PoE + 2 SFP / POE 110 W / LONG REACH 300 M / VLAN/STP/RSTP / POE WATCHDOG / PROTECCIÓN 6 kV / CAPACIDAD 20 Gbps / METAL</t>
  </si>
  <si>
    <t>DS-3E1518P-EIV2</t>
  </si>
  <si>
    <t xml:space="preserve">SWITCH GIGABIT INTELIGENTE POE / 16 PUERTOS RJ45 GIGABIT POE + 1 RJ45 GIGABIT + 1 PUERTO ÓPTICO SFP / PRESUPUESTO POE TOTAL: 230 W / GESTIÓN UNIFICADA EN LA NUBE PARA SISTEMAS DE SEGURIDAD / TOPOLOGÍA VISUALIZADA Y RESOLUCIÓN REMOTA DE FALLAS / TRANSMISIÓN POE DE LARGO ALCANCE HASTA 300 m / PROTECCIÓN CONTRA SOBRETENSIÓN DE 6 kV / FUNCIONES L2: VLAN, STP/RSTP, POE WATCHDOG / MONTAJE EN RACK </t>
  </si>
  <si>
    <t>DS-3E1518P-EI/M</t>
  </si>
  <si>
    <t xml:space="preserve">SWITCH GIGABIT INTELIGENTE POE / 18 PUERTOS RJ45 GIGABIT POE + 2 RJ45 GIGABIT + 2 PUERTOS ÓPTICOS SFP / PRESUPUESTO POE TOTAL: 230 W / GESTIÓN UNIFICADA EN LA NUBE PARA SISTEMAS DE SEGURIDAD / TOPOLOGÍA VISUALIZADA Y RESOLUCIÓN REMOTA DE FALLAS / TRANSMISIÓN POE DE LARGO ALCANCE HASTA 300 m / PROTECCIÓN CONTRA SOBRETENSIÓN DE 6 kV / FUNCIONES L2: VLAN, STP/RSTP, POE WATCHDOG / MONTAJE EN RACK </t>
  </si>
  <si>
    <t>DS-3E1518P-SI</t>
  </si>
  <si>
    <t>SWITCH GIGABIT INTELIGENTE POE / 16 PUERTOS RJ45 GIGABIT POE + 2 PUERTOS ÓPTICOS SFP / PRESUPUESTO POE TOTAL: 225 W / SOPORTE IEEE 802.3af/at / GESTIÓN DE TOPOLOGÍA, MONITOREO DE SALUD DE RED Y ALERTAS EN TIEMPO REAL / TRANSMISIÓN POE EXTENDIDA HASTA 300 m / PROTECCIÓN CONTRA SOBRETENSIÓN DE 6 kV / POE WATCHDOG PARA REINICIO AUTOMÁTICO DE CÁMARAS / PROTOCOLOS L2: STP/RSTP, VLAN, SNMP, QoS, AGREGACIÓN DE ENLACES, MIRRORING Y CONTROL DE TORMENTAS / CONTROL Y PREVISUALIZACIÓN DE VIDEO</t>
  </si>
  <si>
    <t>DS-3E1526P-EI/M</t>
  </si>
  <si>
    <t>SWITCH GIGABIT INTELIGENTE POE / 24 PUERTOS RJ45 GIGABIT POE + 1 RJ45 GIGABIT + 1 PUERTO ÓPTICO SFP / PRESUPUESTO POE TOTAL: 230 W / GESTIÓN UNIFICADA EN LA NUBE PARA SISTEMAS DE SEGURIDAD / TOPOLOGÍA VISUALIZADA Y RESOLUCIÓN REMOTA DE FALLAS / TRANSMISIÓN POE DE LARGO ALCANCE HASTA 300 m / PROTECCIÓN CONTRA SOBRETENSIÓN DE 6 kV / FUNCIONES L2: VLAN, STP/RSTP, POE WATCHDOG / MONTAJE EN RACK</t>
  </si>
  <si>
    <t>DS-3E1526P-SI</t>
  </si>
  <si>
    <t>SWITCH GIGABIT INTELIGENTE POE / 24 PUERTOS RJ45 GIGABIT POE + 2 PUERTOS ÓPTICOS SFP / SOPORTE IEEE 802.3af/at / PRESUPUESTO POE TOTAL: 370 W / GESTIÓN DE TOPOLOGÍA, MONITOREO DE SALUD DE RED Y ALERTAS EN TIEMPO REAL / TRANSMISIÓN POE EXTENDIDA HASTA 300 m / PROTECCIÓN CONTRA SOBRETENSIÓN DE 6 kV / POE WATCHDOG PARA REINICIO AUTOMÁTICO DE CÁMARAS / PROTOCOLOS L2: STP/RSTP, VLAN, SNMP, QoS, AGREGACIÓN DE ENLACES, MIRRORING Y CONTROL DE TORMENTAS / CONTROL Y PREVISUALIZACIÓN DE VIDEO</t>
  </si>
  <si>
    <t>DS-3E1552P-SI</t>
  </si>
  <si>
    <t>SWITCH GIGABIT INTELIGENTE POE / 48 PUERTOS RJ45 GIGABIT POE + 2 RJ45 GIGABIT + 2 PUERTOS ÓPTICOS SFP / PRESUPUESTO POE TOTAL: 470 W / SOPORTE IEEE 802.3af/at / MODO DE AHORRO ENERGÉTICO CONFIGURABLE / GESTIÓN DE TOPOLOGÍA, MONITOREO DE SALUD DE RED Y ALERTAS EN TIEMPO REAL / TRANSMISIÓN POE EXTENDIDA HASTA 300 m / PROTECCIÓN CONTRA SOBRETENSIÓN DE 6 kV / FUNCIONES L2: VLAN 802.1Q, STP/RSTP/ERPS, SNMP, QoS, DHCP SNOOPING, ANTI-SPOOFING ARP, MIRRORING Y CONTROL DE TORMENTAS / POE WATCHDOG</t>
  </si>
  <si>
    <t>DS-3E2528P</t>
  </si>
  <si>
    <t>SWITCH GIGABIT POE ADMINISTRABLE NIVEL 2 / 24 PUERTOS RJ45 GIGABIT POE + 4 PUERTOS COMBO GIGABIT / PRESUPUESTO POE TOTAL: 380 W / SOPORTE IEEE 802.3af/at (HASTA 30 W POR PUERTO) / PROTOCOLOS DE ENRUTAMIENTO ESTÁTICO, POLÍTICO, RIP Y OSPF / VLAN POR PUERTO, IEEE 802.1Q Y GVRP / AUTENTICACIÓN IEEE 802.1X, RADIUS Y TACACS+ / PROTECCIÓN DE ANILLO ETHERNET (EAPS/ERPS) / QoS IEEE 802.1P/1Q Y TOS/DIFFSERV / GESTIÓN POE: DETECCIÓN Y ADMINISTRACIÓN DE POTENCIA / ADMINISTRACIÓN POR WEB, CONSOLE, TELNET Y SSH / SOPORTE SNMPv1/v2c/v3 /</t>
  </si>
  <si>
    <t>DS-3E0106P-E/M(B)</t>
  </si>
  <si>
    <t>4 PUERTOS PoE 10/100 + 2 RJ45 10/100 / PoE 35 W / ALCANCE 300 M EXTENDIDO / CAPACIDAD 1.2 Gbps / PROTECCIÓN 6 KV / METAL FAN‑FREE</t>
  </si>
  <si>
    <t>DS-3E1309P-EI/M</t>
  </si>
  <si>
    <t>8 PUERTOS 8/ 100 Mbps POE y 1/100 Mbps Ethernet   POE 60W METALICO</t>
  </si>
  <si>
    <t>DS-3E1318P-EI/M</t>
  </si>
  <si>
    <t>SWITCH FAST ETHERNET INTELIGENTE POE / 16 PUERTOS RJ45 10/100M POE + 1 PUERTO RJ45 GIGABIT + 1 PUERTO COMBO GIGABIT / PRESUPUESTO POE TOTAL: 130 W / SOPORTE IEEE 802.3af/at / GESTIÓN UNIFICADA EN LA NUBE (Hik-Central, iVMS 4200, Hik-Partner Pro) / SOPORTE VLAN 802.1Q / POE WATCHDOG PARA REINICIO AUTOMÁTICO DE CÁMARAS / PREVENCIÓN DE BUCLES STP/RSTP / DETECCIÓN DE FALLAS EN CABLEADO / TRANSMISIÓN POE EXTENDIDA HASTA 300 m / PROTECCIÓN CONTRA SOBRETENSIÓN DE 6 kV / MONTAJE EN RACK</t>
  </si>
  <si>
    <t>DS-3E1326P-EI/M</t>
  </si>
  <si>
    <t>SWITCH FAST ETHERNET INTELIGENTE POE / 24 PUERTOS RJ45 10/100M POE + 1 PUERTO COMBO GIGABIT + 1 PUERTO RJ45 GIGABIT / PRESUPUESTO POE TOTAL: 230 W / SOPORTE IEEE 802.3af/at / GESTIÓN UNIFICADA EN LA NUBE (Hik-Central, iVMS 4200, Hik-Partner Pro) / SOPORTE VLAN 802.1Q / POE WATCHDOG PARA REINICIO AUTOMÁTICO DE CÁMARAS / PREVENCIÓN DE BUCLES STP/RSTP / DETECCIÓN DE FALLAS EN CABLEADO / TRANSMISIÓN POE EXTENDIDA HASTA 300 m / PROTECCIÓN CONTRA SOBRETENSIÓN DE 6 kV / MONTAJE EN RACK</t>
  </si>
  <si>
    <t>DS-3E0109P-E/M(B)</t>
  </si>
  <si>
    <t>L2 9 PUERTOS 8/ 100 Mbps POE y 1/100 Mbps Ethernet   POE 60W METALICO</t>
  </si>
  <si>
    <t>DS-3E0109P-E</t>
  </si>
  <si>
    <t>L2 9 PUERTOS 8/ 100 Mbps POE y 1/100 Mbps Ethernet   POE 115W METALICO</t>
  </si>
  <si>
    <t>DS-3E0310P-E/M(B)</t>
  </si>
  <si>
    <t>8 PUERTOS 10/100 PoE + 2 GIGABIT UPLINK / PoE 60 W / LARGO ALCANCE 300 M / CAPACIDAD 5.6 Gbps / PROTECCIÓN 6 kV / METAL FAN‑FREE</t>
  </si>
  <si>
    <t>DS-3E0326P-E/M(B)</t>
  </si>
  <si>
    <t>L2 24 PUERTOS 10/100 POE 230W 
METALICO</t>
  </si>
  <si>
    <t>DS-3E0326P-E/M(C)</t>
  </si>
  <si>
    <t>DS-3E0510P-E/M(B)</t>
  </si>
  <si>
    <t>8 PUERTOS GIGABIT PoE + 1 RJ45 + 1 SFP / PoE 58–60 W / CAPACIDAD 20 Gbps / PROTECCIÓN 6 kV / METAL</t>
  </si>
  <si>
    <t>DS-3E0516-E(C)</t>
  </si>
  <si>
    <t>16 PUERTOS GIGABIT RJ45 / CAPACIDAD 32 Gbps / METAL FAN‑FREE</t>
  </si>
  <si>
    <t>DS-3E0524-E(C)</t>
  </si>
  <si>
    <t xml:space="preserve">24 PUERTOS GIGABIT RJ45 / CAPACIDAD 48 Gbps / METAL FAN‑FREE </t>
  </si>
  <si>
    <t>DS-3E0528HP-E</t>
  </si>
  <si>
    <t>20 PUERTOS PoE + 4 Hi‑PoE + 2 RJ45 + 2 FIBRA / PoE BUDGET 370 W / CAPACIDAD 56 Gbps / PROTECCIÓN 6 kV / METAL RACK</t>
  </si>
  <si>
    <t>DS-3E1105P-EI/M V2</t>
  </si>
  <si>
    <t>4 PUERTOS 10/100 PoE + 1 LAN / PoE 45 W / SMART MANAGED / WATCHDOG + VLAN / LARGO ALCANCE 300 M / 6 kV</t>
  </si>
  <si>
    <t>DS-3E1105P-EI/M(O-STD)</t>
  </si>
  <si>
    <t>DS-3T0310HP</t>
  </si>
  <si>
    <t>SWITCH INDUSTRIAL FAST ETHERNET NO ADMINISTRABLE / 8 PUERTOS RJ45 10/100M POE + 1 PUERTO RJ45 GIGABIT + 1 PUERTO ÓPTICO SFP GIGABIT / SOPORTE IEEE 802.3af/at/bt / SALIDA Hi-POE HASTA 90 W EN PUERTOS 1-2 / PRESUPUESTO POE ≤110 W (SIN FUENTE INCLUIDA) / DETECCIÓN INTELIGENTE DE POTENCIA CON PROTECCIÓN CONTRA SOBRECARGA / TRANSMISIÓN DE LARGO ALCANCE HASTA 300 m / PROTECCIÓN CONTRA SOBRETENSIÓN DE 6 kV / DISEÑO PARA RANGO EXTENDIDO DE TEMPERATURA (-40 °C A 75 °C)</t>
  </si>
  <si>
    <t>DS-3T0506HP-E/HS</t>
  </si>
  <si>
    <t>SWITCH INDUSTRIAL GIGABIT NO ADMINISTRABLE / 3 PUERTOS RJ45 GIGABIT POE + 1 PUERTO Hi-POE / 2 PUERTOS SFP GIGABIT / SOPORTE IEEE 802.3af/at/bt / SALIDA Hi-POE HASTA 60 W / TRANSMISIÓN HASTA 300 m / PROTECCIÓN CONTRA SOBRETENSIÓN 6 kV / CARCASA METÁLICA / RANGO -30 °C A 65 °C / MONTAJE EN RIEL DIN</t>
  </si>
  <si>
    <t>DS-3T0510HP-E/HS</t>
  </si>
  <si>
    <t>SWITCH INDUSTRIAL GIGABIT POE 8 PUERTOS + 2 SFP /HS HIKVISION HI-POE, FANLESS, TEMPERATURA EXTENDIDA</t>
  </si>
  <si>
    <t>DS-3T1310P-SI/HS</t>
  </si>
  <si>
    <t>SWITCH INDUSTRIAL FAST ETHERNET POE 8 PUERTOS + 2 GIGABIT /HS HIKVISION TOPOLOGÍA VISUAL, WATCHDOG Y TEMPERATURA EXTENDIDA</t>
  </si>
  <si>
    <t>DS-3T1506HP-EI-UPS(O-STD)/No Power unit</t>
  </si>
  <si>
    <t>SWITCH L2 SMART MANAGED INDUSTRIAL / 4 × PUERTOS RJ45 PoE GIGABIT + 2 × SFP / 1 × RS485 / PRESUPUESTO PoE FLEXIBLE / ENTRADA DC 12-24V / IP30 / PESO 725 G / SERIE INDUSTRIAL SMART MANAGED</t>
  </si>
  <si>
    <t>DS-3T1512HP-SI-8P4F</t>
  </si>
  <si>
    <t>SWITCH INDUSTRIAL GIGABIT POE 8 PUERTOS + 4 SFP  HIKVISION TOPOLOGÍA VISUAL, HI-POE Y TEMPERATURA EXTENDIDA</t>
  </si>
  <si>
    <t>HK-SFP-1.25G-20-1310-DF</t>
  </si>
  <si>
    <t>MÓDULO SFP MONOMODO 1.25G LC BIDIRECCIONAL  HIKVISION HOT-PLUG, ALTA DENSIDAD Y BAJO COSTO</t>
  </si>
  <si>
    <t>HK-SFP-1.25G-850-DF-MM</t>
  </si>
  <si>
    <t>MÓDULO SFP MULTIMODO 1.25G LC DUPLEX  HIKVISION HOT-PLUG, ALTA DENSIDAD Y BAJO COSTO</t>
  </si>
  <si>
    <t>NDR-240-48</t>
  </si>
  <si>
    <t>FUENTE INDUSTRIAL DIN RAIL / 48 V DC / 240 W (5 A) / ADJUSTE 48‑55 V ±1 % / EFICIENCIA 89 % / PROTECCIONES OVP/OTP/SC / 90‑264 VAC / –20 °C‑70 °C / 3 kV AISLAMIENTO / 63×125×113.5 mm</t>
  </si>
  <si>
    <t>NDR-75-48</t>
  </si>
  <si>
    <t>FUENTE INDUSTRIAL DIN RAIL / 48 V DC / 76.8 W (1.6 A) / ADJUSTE 48‑55 V ±1 % / EFICIENCIA 89 % / PROTECCIONES OVP/OTP/SC / 90‑264 VAC / –20 °C‑70 °C / 3 kV AISLAMIENTO / 32×125×102 mm</t>
  </si>
  <si>
    <t>DRL-48V240W1EN</t>
  </si>
  <si>
    <t>FUENTE INDUSTRIAL DIN RAIL / 48 V DC / 240 W (5 A) / ADJUSTE 48‑55 V ±1 % / EFICIENCIA 89 % / PROTECCIONES OVP/OTP/SC / 90‑305 VAC / –20 °C‑70 °C / 3 kV AISLAMIENTO / 32×125×102 mm</t>
  </si>
  <si>
    <t>DS-3WR30X/US</t>
  </si>
  <si>
    <t>ROUTER INALÁMBRICO WI-FI 6 / 3000 Mbps / DUAL BAND 2.4 GHz + 5 GHz / 4×ANTENAS EXTERNAS / 2×PUERTOS GIGABIT RJ45 / APP MANAGEMENT / WPA3 / QoS / IPv6 / 12 VDC / 215×130×35 mm</t>
  </si>
  <si>
    <t>DS-3WR18X/US</t>
  </si>
  <si>
    <t>ROUTER INALÁMBRICO WI-FI 6 / 1800 Mbps / DUAL BAND 2.4 GHz + 5 GHz / 4×ANTENAS EXTERNAS / 2×PUERTOS GIGABIT RJ45 / APP MANAGEMENT / WPA3 / QoS / IPv6 / 12 VDC / 215×130×35 mm</t>
  </si>
  <si>
    <t>DS-3WR15X/US</t>
  </si>
  <si>
    <t>ROUTER INALÁMBRICO WI-FI 6 / 1500 Mbps / DUAL BAND 2.4 GHz + 5 GHz / 4×ANTENAS EXTERNAS / 2×PUERTOS GIGABIT RJ45 / APP MANAGEMENT / WPA3 / QoS / IPv6 / 12 VDC / 215×130×35 mm</t>
  </si>
  <si>
    <t>DS-3WR12GC/US</t>
  </si>
  <si>
    <t xml:space="preserve">
ROUTER WIFI 5 1200 MBPS, 4 PUERTOS 10/100/1000, MU-MIMO 4×4, 4 ANTENAS 5dBi</t>
  </si>
  <si>
    <t>DS-3WR12GC-E(O-STD)/US</t>
  </si>
  <si>
    <t>ROUTER INALÁMBRICO AC1200 WiFi5 GIGABIT / Dual Band (867 Mbps + 300 Mbps) / 3 × LAN Gigabit + 1 × WAN Gigabit / 4 antenas de 5 dBi / Gestión vía App (Hik-Connect / Hik Partner Pro)</t>
  </si>
  <si>
    <t>DS-3WR12GC-H(O-STD)/US</t>
  </si>
  <si>
    <t>ROUTER INALÁMBRICO AC1200 WiFi5 GIGABIT MESH / Dual Band (867 Mbps + 300 Mbps) / 3 × LAN Gigabit + 1 × WAN Gigabit / 4 antenas de 5 dBi / Soporte Mesh y Roaming / Gestión vía App (Hik-Connect / Hik Partner Pro)</t>
  </si>
  <si>
    <t>DS-3WR3N</t>
  </si>
  <si>
    <t>ROUTER Wi‑Fi 2.4 GHz / 300 Mbps / 2 ANTENAS 5 dBi / 4 PUERTOS LAN / MODO ROUTER‑REPEATER / WPA/WPA2 / WEB MANAGEMENT</t>
  </si>
  <si>
    <t>DS-3WRE3N(O-STD)/US</t>
  </si>
  <si>
    <t>EXTENSOR Wi-Fi N300 / 2.4 GHz / VELOCIDAD 300 Mbps / 2 × ANTENAS 3 dBi / SERIE SOHO NETWORKING</t>
  </si>
  <si>
    <t>DS-3WRE12C</t>
  </si>
  <si>
    <t>EXTENSOR WI‑FI AC1200 DUAL BAND / Hasta 300 Mbps @2.4 GHz + 867 Mbps @5 GHz / 4 ANTENAS 5 dBi / BEAMFORMING / CONFIGURACIÓN EN 3 PASOS / INTERIOR / COBERTURA MEJORADA</t>
  </si>
  <si>
    <t>DS-3WR12C-E(O-STD)/US</t>
  </si>
  <si>
    <t>ROUTER INALÁMBRICO AC1200 WiFi5  / Dual Band (867 Mbps + 300 Mbps) / 3 × LAN + 1 × WAN (100 Mbps) / 4 antenas de 5 dBi / Gestión vía App (Hik-Connect / Hik Partner Pro)</t>
  </si>
  <si>
    <t>DS-3WRU3X</t>
  </si>
  <si>
    <t>ADAPTADOR USB WIFI 6 (802.11ax) NANO / Hasta 300 Mbps @2.4 GHz / MIMO 1×1 / PLUG &amp; PLAY / COMPATIBLE WIN‑LINUX / ULTRACOMPACTO (21×15×7.7 mm) / ≤ 1.25 W</t>
  </si>
  <si>
    <t>DS-3WF0FA-5AC/O</t>
  </si>
  <si>
    <t>ENLACE INALÁMBRICO EXTERIOR / 5 GHz / 867 Mbps / 1 km / 2×ANTENAS MIMO 8 dBi / TOPOLOGÍA VISUAL / PUSH DE ALERTAS / POE 802.3af / 360° COBERTURA / –30 °C‑65 °C / 215×130×35 mm</t>
  </si>
  <si>
    <t>DS-3WF02-5AC/D</t>
  </si>
  <si>
    <t>ENLACE INALÁMBRICO EXTERIOR / 5 GHz / 867 Mbps / 5 km / 2×ANTENAS MIMO 12 dBi / TOPOLOGÍA VISUAL / POE ESTÁNDAR / PLUG &amp; PLAY / –30 °C‑65 °C / 215×130×35 mm</t>
  </si>
  <si>
    <t>DS-3WF02C-5AC/OV3</t>
  </si>
  <si>
    <t>ENLACE INALÁMBRICO EXTERIOR / 5 GHz / 867 Mbps / 5 km / 2×ANTENAS MIMO 12 dBi / TOPOLOGÍA VISUAL / DIP SWITCH / POE ESTÁNDAR / TDMA / –30 °C‑65 °C / 215×130×35 mm</t>
  </si>
  <si>
    <t>DS-3WF1000-EI-2N</t>
  </si>
  <si>
    <t>ENLACE INALÁMBRICO EXTERIOR / 2.4 GHz / 300 Mbps / 1 km / 2×ANTENAS MIMO 7 dBi / TOPOLOGÍA VISUAL / PUSH DE ALERTAS / POE ESTÁNDAR / –30 °C‑65 °C / 215×130×35 mm</t>
  </si>
  <si>
    <t>DS-3WF1000S-EI-2N</t>
  </si>
  <si>
    <t>ENLACE INALÁMBRICO EXTERIOR / 2.4 GHz / 300 Mbps / 1 km / 2×ANTENAS MIMO 7 dBi / TOPOLOGÍA VISUAL / POE ESTÁNDAR / PLUG &amp; PLAY / –30 °C‑65 °C / 215×130×35 mm</t>
  </si>
  <si>
    <t>DS-3WF3000-EI-5AC/P</t>
  </si>
  <si>
    <t>ENLACE INALÁMBRICO EXTERIOR / 5 GHz / 867 Mbps / 3 km / 2×ANTENAS MIMO 8 dBi / TOPOLOGÍA VISUAL / POE ESTÁNDAR IN/OUT / PLUG &amp; PLAY / –30 °C‑65 °C / 215×130×35 mm</t>
  </si>
  <si>
    <t>DS-3WF3000S-EI-5AC/P</t>
  </si>
  <si>
    <t>ENLACE INALÁMBRICO EXTERIOR / 5 GHz / 867 Mbps / 3 km / 2×ANTENAS MIMO 8 dBi / TOPOLOGÍA VISUAL / POE ESTÁNDAR / PLUG &amp; PLAY / –30 °C‑65 °C / 215×130×35 mm</t>
  </si>
  <si>
    <t>DS-3WF0EC-2NT</t>
  </si>
  <si>
    <t>ENLACE INALÁMBRICO ELEVADOR / 2.4 GHz / 300 Mbps / 500 m / 2×ANTENAS MIMO 7 dBi / TOPOLOGÍA VISUAL / PUSH DE ALERTAS / POE ESTÁNDAR / –30 °C‑65 °C / 215×130×35 mm</t>
  </si>
  <si>
    <t>DS-3WF0EC-5ACT(B)</t>
  </si>
  <si>
    <t>ENLACE INALÁMBRICO ELEVADOR / 5 GHz / 867 Mbps / 500 m / 2×ANTENAS MIMO 8 dBi / TOPOLOGÍA VISUAL / PUSH DE ALERTAS / POE ESTÁNDAR / –30 °C‑65 °C / 215×130×35 mm</t>
  </si>
  <si>
    <t>DS-3WAP522-SI</t>
  </si>
  <si>
    <t xml:space="preserve">ACCESS POINT 1 GB, WIFI 5, DUAL BAND, PoE,PARA TECHO, 1167MBPS, ADMINISTRABLE EN LA NUBE.  </t>
  </si>
  <si>
    <t>DS-3WAP621E-SI</t>
  </si>
  <si>
    <t xml:space="preserve">ACCESS POINT 1 GB, WIFI 6, DUAL BAND, PoE,PARA PARED, 2975 MBPS, ADMINISTRABLE EN LA NUBE.  </t>
  </si>
  <si>
    <t>DS-3WAP622G-SI</t>
  </si>
  <si>
    <t xml:space="preserve">ACCESS POINT 1 GB, WIFI 6, DUAL BAND, PoE,PARA TECHO, 1775 MBPS, ADMINISTRABLE EN LA NUBE.  </t>
  </si>
  <si>
    <t>DS-3WAP623E-SI</t>
  </si>
  <si>
    <t xml:space="preserve">ACCESS POINT 1 GB, WIFI 6, DUAL BAND, PoE,PARA EXTERIOR, 2975 MBPS, ADMINISTRABLE EN LA NUBE.  </t>
  </si>
  <si>
    <t>DS-3WG210GP-SI</t>
  </si>
  <si>
    <t>ROUTER GIGABIT / 10 PUERTOS (2 WAN/LAN + 8 PoE) / PoE 75 W / VPN / FIREWALL / BALANCEO DE CARGA / GESTIÓN REMOTA / 1000 MBPS / HASTA 200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</si>
</sst>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[$$-240A]\ * #,##0_-;\-[$$-240A]\ * #,##0_-;_-[$$-240A]\ * &quot;-&quot;??_-;_-@_-"/>
    <numFmt numFmtId="166" formatCode="_-\$* #,##0.00_ ;_-\$* \-#,##0.00\ ;_-\$* &quot;-&quot;??_ ;_-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000000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 applyProtection="1">
      <alignment vertical="center" wrapText="1"/>
      <protection hidden="1"/>
    </xf>
    <xf numFmtId="164" fontId="2" fillId="0" borderId="0" xfId="1" applyNumberFormat="1" applyFont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vertical="center" wrapText="1"/>
      <protection hidden="1"/>
    </xf>
    <xf numFmtId="164" fontId="2" fillId="0" borderId="2" xfId="1" applyNumberFormat="1" applyFont="1" applyBorder="1" applyAlignment="1" applyProtection="1">
      <alignment vertical="center" wrapText="1"/>
      <protection hidden="1"/>
    </xf>
    <xf numFmtId="164" fontId="2" fillId="0" borderId="2" xfId="1" applyNumberFormat="1" applyFont="1" applyBorder="1" applyAlignment="1" applyProtection="1">
      <alignment horizontal="center" vertical="center" wrapText="1"/>
      <protection locked="0" hidden="1"/>
    </xf>
    <xf numFmtId="0" fontId="2" fillId="0" borderId="2" xfId="0" applyFont="1" applyBorder="1" applyAlignment="1" applyProtection="1">
      <alignment vertical="center" wrapText="1"/>
      <protection hidden="1"/>
    </xf>
    <xf numFmtId="0" fontId="2" fillId="0" borderId="2" xfId="0" applyFont="1" applyBorder="1" applyAlignment="1" applyProtection="1">
      <alignment horizontal="left" vertical="center" wrapText="1"/>
      <protection hidden="1"/>
    </xf>
    <xf numFmtId="164" fontId="2" fillId="0" borderId="0" xfId="1" applyNumberFormat="1" applyFont="1" applyBorder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horizontal="center" vertical="center" wrapText="1"/>
      <protection locked="0"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3" fillId="0" borderId="0" xfId="0" applyFont="1" applyAlignment="1" applyProtection="1">
      <alignment vertical="center" wrapText="1"/>
      <protection hidden="1"/>
    </xf>
    <xf numFmtId="164" fontId="3" fillId="0" borderId="0" xfId="0" applyNumberFormat="1" applyFont="1" applyAlignment="1" applyProtection="1">
      <alignment vertical="center" wrapText="1"/>
      <protection hidden="1"/>
    </xf>
    <xf numFmtId="164" fontId="3" fillId="0" borderId="0" xfId="1" applyNumberFormat="1" applyFont="1" applyFill="1" applyBorder="1" applyAlignment="1" applyProtection="1">
      <alignment vertical="center" wrapText="1"/>
      <protection hidden="1"/>
    </xf>
    <xf numFmtId="164" fontId="3" fillId="0" borderId="0" xfId="1" applyNumberFormat="1" applyFont="1" applyFill="1" applyAlignment="1" applyProtection="1">
      <alignment vertical="center" wrapText="1"/>
      <protection hidden="1"/>
    </xf>
    <xf numFmtId="164" fontId="3" fillId="0" borderId="3" xfId="1" applyNumberFormat="1" applyFont="1" applyFill="1" applyBorder="1" applyAlignment="1" applyProtection="1">
      <alignment vertical="center" wrapText="1"/>
      <protection hidden="1"/>
    </xf>
    <xf numFmtId="6" fontId="3" fillId="0" borderId="3" xfId="1" applyNumberFormat="1" applyFont="1" applyFill="1" applyBorder="1" applyAlignment="1" applyProtection="1">
      <alignment horizontal="center" vertical="center" wrapText="1"/>
      <protection hidden="1"/>
    </xf>
    <xf numFmtId="6" fontId="3" fillId="0" borderId="3" xfId="1" applyNumberFormat="1" applyFont="1" applyFill="1" applyBorder="1" applyAlignment="1" applyProtection="1">
      <alignment vertical="center" wrapText="1"/>
      <protection hidden="1"/>
    </xf>
    <xf numFmtId="164" fontId="3" fillId="0" borderId="3" xfId="1" applyNumberFormat="1" applyFont="1" applyFill="1" applyBorder="1" applyAlignment="1" applyProtection="1">
      <alignment horizontal="center" vertical="center" wrapText="1"/>
      <protection hidden="1"/>
    </xf>
    <xf numFmtId="164" fontId="3" fillId="0" borderId="3" xfId="1" applyNumberFormat="1" applyFont="1" applyFill="1" applyBorder="1" applyAlignment="1" applyProtection="1">
      <alignment horizontal="right" vertical="center" wrapText="1"/>
      <protection hidden="1"/>
    </xf>
    <xf numFmtId="6" fontId="3" fillId="0" borderId="3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3" xfId="1" applyNumberFormat="1" applyFont="1" applyFill="1" applyBorder="1" applyAlignment="1" applyProtection="1">
      <alignment horizontal="center" vertical="center" wrapText="1"/>
      <protection locked="0" hidden="1"/>
    </xf>
    <xf numFmtId="164" fontId="4" fillId="0" borderId="3" xfId="1" applyNumberFormat="1" applyFont="1" applyFill="1" applyBorder="1" applyAlignment="1" applyProtection="1">
      <alignment vertical="center" wrapText="1"/>
      <protection hidden="1"/>
    </xf>
    <xf numFmtId="6" fontId="4" fillId="0" borderId="3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4" fillId="0" borderId="3" xfId="1" applyNumberFormat="1" applyFont="1" applyFill="1" applyBorder="1" applyAlignment="1" applyProtection="1">
      <alignment horizontal="center" vertical="center" wrapText="1"/>
      <protection hidden="1"/>
    </xf>
    <xf numFmtId="164" fontId="4" fillId="0" borderId="3" xfId="1" applyNumberFormat="1" applyFont="1" applyFill="1" applyBorder="1" applyAlignment="1" applyProtection="1">
      <alignment horizontal="right" vertical="center" wrapText="1"/>
      <protection hidden="1"/>
    </xf>
    <xf numFmtId="6" fontId="4" fillId="0" borderId="3" xfId="1" applyNumberFormat="1" applyFont="1" applyFill="1" applyBorder="1" applyAlignment="1" applyProtection="1">
      <alignment horizontal="center" vertical="center" wrapText="1"/>
      <protection hidden="1"/>
    </xf>
    <xf numFmtId="6" fontId="4" fillId="0" borderId="3" xfId="1" applyNumberFormat="1" applyFont="1" applyFill="1" applyBorder="1" applyAlignment="1" applyProtection="1">
      <alignment vertical="center" wrapText="1"/>
      <protection hidden="1"/>
    </xf>
    <xf numFmtId="164" fontId="3" fillId="2" borderId="0" xfId="1" applyNumberFormat="1" applyFont="1" applyFill="1" applyAlignment="1" applyProtection="1">
      <alignment vertical="center" wrapText="1"/>
      <protection hidden="1"/>
    </xf>
    <xf numFmtId="165" fontId="2" fillId="0" borderId="0" xfId="2" applyNumberFormat="1" applyFont="1" applyFill="1" applyBorder="1" applyAlignment="1" applyProtection="1">
      <alignment horizontal="center" vertical="center" wrapText="1"/>
    </xf>
    <xf numFmtId="164" fontId="6" fillId="0" borderId="4" xfId="1" applyNumberFormat="1" applyFont="1" applyBorder="1" applyAlignment="1" applyProtection="1">
      <alignment horizontal="center" vertical="center" wrapText="1"/>
      <protection locked="0" hidden="1"/>
    </xf>
    <xf numFmtId="164" fontId="6" fillId="5" borderId="4" xfId="1" applyNumberFormat="1" applyFont="1" applyFill="1" applyBorder="1" applyAlignment="1">
      <alignment horizontal="center" vertical="center" wrapText="1"/>
    </xf>
    <xf numFmtId="164" fontId="2" fillId="0" borderId="4" xfId="1" applyNumberFormat="1" applyFont="1" applyBorder="1" applyAlignment="1" applyProtection="1">
      <alignment vertical="center" wrapText="1"/>
      <protection hidden="1"/>
    </xf>
    <xf numFmtId="164" fontId="6" fillId="4" borderId="4" xfId="1" applyNumberFormat="1" applyFont="1" applyFill="1" applyBorder="1" applyAlignment="1" applyProtection="1">
      <alignment horizontal="center" vertical="center" wrapText="1"/>
      <protection hidden="1"/>
    </xf>
    <xf numFmtId="164" fontId="6" fillId="0" borderId="4" xfId="1" applyNumberFormat="1" applyFont="1" applyFill="1" applyBorder="1" applyAlignment="1">
      <alignment horizontal="center" vertical="center" wrapText="1"/>
    </xf>
    <xf numFmtId="164" fontId="6" fillId="4" borderId="4" xfId="1" applyNumberFormat="1" applyFont="1" applyFill="1" applyBorder="1" applyAlignment="1">
      <alignment horizontal="center" vertical="center" wrapText="1"/>
    </xf>
    <xf numFmtId="164" fontId="5" fillId="3" borderId="4" xfId="1" applyNumberFormat="1" applyFont="1" applyFill="1" applyBorder="1" applyAlignment="1">
      <alignment horizontal="center" vertical="center" wrapText="1"/>
    </xf>
    <xf numFmtId="164" fontId="5" fillId="2" borderId="5" xfId="1" applyNumberFormat="1" applyFont="1" applyFill="1" applyBorder="1" applyAlignment="1">
      <alignment horizontal="center" vertical="center" wrapText="1"/>
    </xf>
    <xf numFmtId="166" fontId="2" fillId="0" borderId="6" xfId="1" applyNumberFormat="1" applyFont="1" applyFill="1" applyBorder="1" applyAlignment="1" applyProtection="1">
      <alignment horizontal="center" vertical="center" wrapText="1"/>
      <protection hidden="1"/>
    </xf>
    <xf numFmtId="166" fontId="2" fillId="0" borderId="3" xfId="1" applyNumberFormat="1" applyFont="1" applyFill="1" applyBorder="1" applyAlignment="1" applyProtection="1">
      <alignment horizontal="center" vertical="center" wrapText="1"/>
      <protection hidden="1"/>
    </xf>
    <xf numFmtId="166" fontId="2" fillId="6" borderId="6" xfId="1" applyNumberFormat="1" applyFont="1" applyFill="1" applyBorder="1" applyAlignment="1" applyProtection="1">
      <alignment horizontal="center" vertical="center" wrapText="1"/>
      <protection hidden="1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hidden="1"/>
    </xf>
    <xf numFmtId="49" fontId="6" fillId="7" borderId="3" xfId="0" applyNumberFormat="1" applyFont="1" applyFill="1" applyBorder="1" applyAlignment="1" applyProtection="1">
      <alignment horizontal="center" vertical="center" wrapText="1"/>
      <protection hidden="1"/>
    </xf>
  </cellXfs>
  <cellStyles count="3">
    <cellStyle name="Moneda" xfId="1" builtinId="4"/>
    <cellStyle name="Moneda [0]" xfId="2" builtinId="7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0" formatCode="&quot;$&quot;\ #,##0;[Red]\-&quot;$&quot;\ #,##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0" formatCode="&quot;$&quot;\ #,##0;[Red]\-&quot;$&quot;\ 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0" formatCode="&quot;$&quot;\ #,##0;[Red]\-&quot;$&quot;\ #,##0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protection locked="1" hidden="1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72283-D989-414B-8DA0-E2FD7377BDCB}" name="Tabla1" displayName="Tabla1" ref="A1:S77" totalsRowShown="0" headerRowDxfId="24" dataDxfId="22" headerRowBorderDxfId="23" tableBorderDxfId="21" totalsRowBorderDxfId="20" dataCellStyle="Moneda">
  <autoFilter ref="A1:S77" xr:uid="{00000000-000C-0000-FFFF-FFFF00000000}"/>
  <tableColumns count="19">
    <tableColumn id="3" xr3:uid="{49E31481-EA9F-4F91-99EB-1F80685D8814}" name="REFERENCIA" dataDxfId="6"/>
    <tableColumn id="4" xr3:uid="{808C30F3-AAE0-450F-8334-1E1B3E020700}" name="DESCRIPCIÓN " dataDxfId="5"/>
    <tableColumn id="6" xr3:uid="{F40D744A-6960-4FDD-B4E7-259399E6C1A0}" name="PRECIO  INSTALADOR_x000a_( CON  IVA)" dataDxfId="4" dataCellStyle="Moneda">
      <calculatedColumnFormula>+Tabla1[[#This Row],[PRECIO SUGERIDO INSTALADOR]]</calculatedColumnFormula>
    </tableColumn>
    <tableColumn id="23" xr3:uid="{B3B2E21C-D205-4F60-AF9C-0D93D5C61506}" name="PRECIO TIENDA ( CON  IVA)" dataDxfId="3" dataCellStyle="Moneda">
      <calculatedColumnFormula>+Tabla1[[#This Row],[TIENDA]]</calculatedColumnFormula>
    </tableColumn>
    <tableColumn id="7" xr3:uid="{1D82E5C5-7520-49EF-B109-60070E269A09}" name="PRECIO DPP ORO ( CON  IVA)" dataDxfId="2" dataCellStyle="Moneda">
      <calculatedColumnFormula>+Tabla1[[#This Row],[DPP ORO7]]</calculatedColumnFormula>
    </tableColumn>
    <tableColumn id="8" xr3:uid="{8F1156DC-94E8-49D2-B70D-97679713214E}" name="PRECIO DPP PLATINO ( CON  IVA)" dataDxfId="1" dataCellStyle="Moneda">
      <calculatedColumnFormula>+Tabla1[[#This Row],[Columna4]]</calculatedColumnFormula>
    </tableColumn>
    <tableColumn id="19" xr3:uid="{194C2835-3C7F-47C4-B9F7-BF63A8CA35B0}" name="PRECIO CLIENTE FINAL ( CON  IVA)" dataDxfId="0" dataCellStyle="Moneda">
      <calculatedColumnFormula>+Tabla1[[#This Row],[CLIENTE FINAL]]</calculatedColumnFormula>
    </tableColumn>
    <tableColumn id="9" xr3:uid="{D33AC788-F98C-4D96-BF28-3474DF873E75}" name="Columna3" dataDxfId="19" dataCellStyle="Moneda">
      <calculatedColumnFormula>+I2/#REF!</calculatedColumnFormula>
    </tableColumn>
    <tableColumn id="10" xr3:uid="{2FE46DEE-26AD-439F-89D7-529DCB4736FC}" name="Columna4" dataDxfId="18" dataCellStyle="Moneda">
      <calculatedColumnFormula>+L2-J2</calculatedColumnFormula>
    </tableColumn>
    <tableColumn id="11" xr3:uid="{D365B9AB-5E0B-459D-9AA6-50E47DFD5B7B}" name="DPP PLATINO2" dataDxfId="17" dataCellStyle="Moneda">
      <calculatedColumnFormula>+L2*1%</calculatedColumnFormula>
    </tableColumn>
    <tableColumn id="12" xr3:uid="{C2448E93-D422-48AE-B0D7-F26050B1CCBA}" name="Columna6" dataDxfId="16" dataCellStyle="Moneda">
      <calculatedColumnFormula>+L2/#REF!</calculatedColumnFormula>
    </tableColumn>
    <tableColumn id="13" xr3:uid="{8854D721-FD7B-49C3-BF35-02C400BFE841}" name="DPP ORO7" dataDxfId="15" dataCellStyle="Moneda">
      <calculatedColumnFormula>Tabla1[[#This Row],[oro sin IVA]]*1.19</calculatedColumnFormula>
    </tableColumn>
    <tableColumn id="14" xr3:uid="{B02BFD68-91B4-4D46-AFBC-3D1B67B47105}" name="Columna8" dataDxfId="7" dataCellStyle="Moneda">
      <calculatedColumnFormula>+Q2/#REF!</calculatedColumnFormula>
    </tableColumn>
    <tableColumn id="21" xr3:uid="{ED2A314A-4634-47EE-865E-CAF6844C872E}" name="CLIENTE FINAL" dataDxfId="14" dataCellStyle="Moneda">
      <calculatedColumnFormula>+Tabla1[[#This Row],[PRECIO SUGERIDO INSTALADOR]]/0.7</calculatedColumnFormula>
    </tableColumn>
    <tableColumn id="24" xr3:uid="{0409955B-3E91-4197-B98D-8EFD67ADCA8D}" name="Columna1" dataDxfId="13" dataCellStyle="Moneda">
      <calculatedColumnFormula>+Tabla1[[#This Row],[PRECIO SUGERIDO INSTALADOR]]*5%</calculatedColumnFormula>
    </tableColumn>
    <tableColumn id="22" xr3:uid="{395C0AD1-3950-439F-8CB7-C3E6E2C49570}" name="TIENDA" dataDxfId="12" dataCellStyle="Moneda">
      <calculatedColumnFormula>+Tabla1[[#This Row],[PRECIO SUGERIDO INSTALADOR]]-Tabla1[[#This Row],[Columna1]]</calculatedColumnFormula>
    </tableColumn>
    <tableColumn id="15" xr3:uid="{0BE15FAC-2A2C-4EF7-9691-0CDAF08A0D60}" name="PRECIO SUGERIDO INSTALADOR" dataDxfId="11" dataCellStyle="Moneda">
      <calculatedColumnFormula>Tabla1[[#This Row],[instalador sin IVA]]*1.19</calculatedColumnFormula>
    </tableColumn>
    <tableColumn id="18" xr3:uid="{E9AB7985-D75D-4778-8225-2B3454F029ED}" name="oro sin IVA" dataDxfId="10"/>
    <tableColumn id="17" xr3:uid="{9B1E3BEF-35AC-419E-A1DD-1B0BF4064818}" name="instalador sin IVA" dataDxfId="9" dataCellStyle="Moned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F858-944E-41FC-95F5-1E2D024B038B}">
  <dimension ref="A1:V335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 activeCell="B73" sqref="B73"/>
    </sheetView>
  </sheetViews>
  <sheetFormatPr baseColWidth="10" defaultColWidth="10.5703125" defaultRowHeight="13.5" x14ac:dyDescent="0.25"/>
  <cols>
    <col min="1" max="1" width="35" style="7" bestFit="1" customWidth="1"/>
    <col min="2" max="2" width="53.42578125" style="6" customWidth="1"/>
    <col min="3" max="3" width="13.42578125" style="4" bestFit="1" customWidth="1"/>
    <col min="4" max="4" width="13.42578125" style="4" customWidth="1"/>
    <col min="5" max="5" width="13.5703125" style="5" customWidth="1"/>
    <col min="6" max="6" width="15" style="5" customWidth="1"/>
    <col min="7" max="7" width="16.28515625" style="5" customWidth="1"/>
    <col min="8" max="8" width="7.5703125" style="5" hidden="1" customWidth="1"/>
    <col min="9" max="9" width="11.140625" style="5" hidden="1" customWidth="1"/>
    <col min="10" max="10" width="8.7109375" style="5" hidden="1" customWidth="1"/>
    <col min="11" max="11" width="6.28515625" style="4" hidden="1" customWidth="1"/>
    <col min="12" max="12" width="10.28515625" style="4" hidden="1" customWidth="1"/>
    <col min="13" max="13" width="7.5703125" style="4" hidden="1" customWidth="1"/>
    <col min="14" max="16" width="11.5703125" style="3" hidden="1" customWidth="1"/>
    <col min="17" max="17" width="11.140625" style="3" hidden="1" customWidth="1"/>
    <col min="18" max="18" width="12.28515625" style="3" customWidth="1"/>
    <col min="19" max="19" width="12.7109375" style="3" customWidth="1"/>
    <col min="20" max="20" width="13" style="2" customWidth="1"/>
    <col min="21" max="21" width="12.140625" style="1" customWidth="1"/>
    <col min="22" max="24" width="10.5703125" style="1" customWidth="1"/>
    <col min="25" max="16384" width="10.5703125" style="1"/>
  </cols>
  <sheetData>
    <row r="1" spans="1:22" ht="81" customHeight="1" x14ac:dyDescent="0.25">
      <c r="A1" s="45" t="s">
        <v>19</v>
      </c>
      <c r="B1" s="45" t="s">
        <v>18</v>
      </c>
      <c r="C1" s="45" t="s">
        <v>17</v>
      </c>
      <c r="D1" s="45" t="s">
        <v>16</v>
      </c>
      <c r="E1" s="45" t="s">
        <v>15</v>
      </c>
      <c r="F1" s="45" t="s">
        <v>14</v>
      </c>
      <c r="G1" s="45" t="s">
        <v>13</v>
      </c>
      <c r="H1" s="32" t="s">
        <v>12</v>
      </c>
      <c r="I1" s="32" t="s">
        <v>11</v>
      </c>
      <c r="J1" s="33" t="s">
        <v>10</v>
      </c>
      <c r="K1" s="34" t="s">
        <v>9</v>
      </c>
      <c r="L1" s="35" t="s">
        <v>8</v>
      </c>
      <c r="M1" s="36" t="s">
        <v>7</v>
      </c>
      <c r="N1" s="36" t="s">
        <v>6</v>
      </c>
      <c r="O1" s="36" t="s">
        <v>5</v>
      </c>
      <c r="P1" s="36" t="s">
        <v>4</v>
      </c>
      <c r="Q1" s="37" t="s">
        <v>3</v>
      </c>
      <c r="R1" s="38" t="s">
        <v>2</v>
      </c>
      <c r="S1" s="39" t="s">
        <v>1</v>
      </c>
    </row>
    <row r="2" spans="1:22" s="11" customFormat="1" ht="27" x14ac:dyDescent="0.25">
      <c r="A2" s="43" t="s">
        <v>20</v>
      </c>
      <c r="B2" s="44" t="s">
        <v>21</v>
      </c>
      <c r="C2" s="15">
        <f>+Tabla1[[#This Row],[PRECIO SUGERIDO INSTALADOR]]</f>
        <v>120194.76</v>
      </c>
      <c r="D2" s="15">
        <f>+Tabla1[[#This Row],[TIENDA]]</f>
        <v>114185.022</v>
      </c>
      <c r="E2" s="15">
        <f>+Tabla1[[#This Row],[DPP ORO7]]</f>
        <v>105860.01999999999</v>
      </c>
      <c r="F2" s="19">
        <f>+Tabla1[[#This Row],[Columna4]]</f>
        <v>104801.41979999999</v>
      </c>
      <c r="G2" s="19">
        <f>+Tabla1[[#This Row],[CLIENTE FINAL]]</f>
        <v>171706.80000000002</v>
      </c>
      <c r="H2" s="27" t="e">
        <f>+I2/#REF!</f>
        <v>#REF!</v>
      </c>
      <c r="I2" s="27">
        <f t="shared" ref="I2:I36" si="0">+L2-J2</f>
        <v>104801.41979999999</v>
      </c>
      <c r="J2" s="26">
        <f t="shared" ref="J2:J36" si="1">+L2*1%</f>
        <v>1058.6001999999999</v>
      </c>
      <c r="K2" s="23" t="e">
        <f>+L2/#REF!</f>
        <v>#REF!</v>
      </c>
      <c r="L2" s="24">
        <f>Tabla1[[#This Row],[oro sin IVA]]*1.19</f>
        <v>105860.01999999999</v>
      </c>
      <c r="M2" s="23" t="e">
        <f>+Q2/#REF!</f>
        <v>#REF!</v>
      </c>
      <c r="N2" s="23">
        <f>+Tabla1[[#This Row],[PRECIO SUGERIDO INSTALADOR]]/0.7</f>
        <v>171706.80000000002</v>
      </c>
      <c r="O2" s="23">
        <f>+Tabla1[[#This Row],[PRECIO SUGERIDO INSTALADOR]]*5%</f>
        <v>6009.7380000000003</v>
      </c>
      <c r="P2" s="23">
        <f>+Tabla1[[#This Row],[PRECIO SUGERIDO INSTALADOR]]-Tabla1[[#This Row],[Columna1]]</f>
        <v>114185.022</v>
      </c>
      <c r="Q2" s="25">
        <f>Tabla1[[#This Row],[instalador sin IVA]]*1.19</f>
        <v>120194.76</v>
      </c>
      <c r="R2" s="25">
        <v>88958</v>
      </c>
      <c r="S2" s="40">
        <v>101004</v>
      </c>
      <c r="T2" s="14">
        <v>58439.888500000001</v>
      </c>
      <c r="U2" s="13">
        <v>66114.680851063837</v>
      </c>
      <c r="V2" s="12"/>
    </row>
    <row r="3" spans="1:22" customFormat="1" ht="40.5" x14ac:dyDescent="0.25">
      <c r="A3" s="43" t="s">
        <v>22</v>
      </c>
      <c r="B3" s="44" t="s">
        <v>23</v>
      </c>
      <c r="C3" s="15">
        <f>+Tabla1[[#This Row],[PRECIO SUGERIDO INSTALADOR]]</f>
        <v>114632.7</v>
      </c>
      <c r="D3" s="15">
        <f>+Tabla1[[#This Row],[TIENDA]]</f>
        <v>108901.065</v>
      </c>
      <c r="E3" s="15">
        <f>+Tabla1[[#This Row],[DPP ORO7]]</f>
        <v>83611.78</v>
      </c>
      <c r="F3" s="19">
        <f>+Tabla1[[#This Row],[Columna4]]</f>
        <v>82775.662199999992</v>
      </c>
      <c r="G3" s="19">
        <f>+Tabla1[[#This Row],[CLIENTE FINAL]]</f>
        <v>163761</v>
      </c>
      <c r="H3" s="27" t="e">
        <f>+I3/#REF!</f>
        <v>#REF!</v>
      </c>
      <c r="I3" s="27">
        <f t="shared" ref="I3" si="2">+L3-J3</f>
        <v>82775.662199999992</v>
      </c>
      <c r="J3" s="26">
        <f t="shared" ref="J3" si="3">+L3*1%</f>
        <v>836.11779999999999</v>
      </c>
      <c r="K3" s="23" t="e">
        <f>+L3/#REF!</f>
        <v>#REF!</v>
      </c>
      <c r="L3" s="24">
        <f>Tabla1[[#This Row],[oro sin IVA]]*1.19</f>
        <v>83611.78</v>
      </c>
      <c r="M3" s="23" t="e">
        <f>+Q3/#REF!</f>
        <v>#REF!</v>
      </c>
      <c r="N3" s="23">
        <f>+Tabla1[[#This Row],[PRECIO SUGERIDO INSTALADOR]]/0.7</f>
        <v>163761</v>
      </c>
      <c r="O3" s="23">
        <f>+Tabla1[[#This Row],[PRECIO SUGERIDO INSTALADOR]]*5%</f>
        <v>5731.6350000000002</v>
      </c>
      <c r="P3" s="23">
        <f>+Tabla1[[#This Row],[PRECIO SUGERIDO INSTALADOR]]-Tabla1[[#This Row],[Columna1]]</f>
        <v>108901.065</v>
      </c>
      <c r="Q3" s="25">
        <f>Tabla1[[#This Row],[instalador sin IVA]]*1.19</f>
        <v>114632.7</v>
      </c>
      <c r="R3" s="41">
        <v>70262</v>
      </c>
      <c r="S3" s="40">
        <v>96330</v>
      </c>
    </row>
    <row r="4" spans="1:22" s="11" customFormat="1" ht="54" x14ac:dyDescent="0.25">
      <c r="A4" s="43" t="s">
        <v>24</v>
      </c>
      <c r="B4" s="44" t="s">
        <v>25</v>
      </c>
      <c r="C4" s="15">
        <f>+Tabla1[[#This Row],[PRECIO SUGERIDO INSTALADOR]]</f>
        <v>231662.06</v>
      </c>
      <c r="D4" s="15">
        <f>+Tabla1[[#This Row],[TIENDA]]</f>
        <v>220078.95699999999</v>
      </c>
      <c r="E4" s="15">
        <f>+Tabla1[[#This Row],[DPP ORO7]]</f>
        <v>138101.88</v>
      </c>
      <c r="F4" s="19">
        <f>+Tabla1[[#This Row],[Columna4]]</f>
        <v>136720.86120000001</v>
      </c>
      <c r="G4" s="19">
        <f>+Tabla1[[#This Row],[CLIENTE FINAL]]</f>
        <v>330945.80000000005</v>
      </c>
      <c r="H4" s="27" t="e">
        <f>+I4/#REF!</f>
        <v>#REF!</v>
      </c>
      <c r="I4" s="27">
        <f t="shared" si="0"/>
        <v>136720.86120000001</v>
      </c>
      <c r="J4" s="26">
        <f t="shared" si="1"/>
        <v>1381.0188000000001</v>
      </c>
      <c r="K4" s="23" t="e">
        <f>+L4/#REF!</f>
        <v>#REF!</v>
      </c>
      <c r="L4" s="24">
        <f>Tabla1[[#This Row],[oro sin IVA]]*1.19</f>
        <v>138101.88</v>
      </c>
      <c r="M4" s="23" t="e">
        <f>+Q4/#REF!</f>
        <v>#REF!</v>
      </c>
      <c r="N4" s="23">
        <f>+Tabla1[[#This Row],[PRECIO SUGERIDO INSTALADOR]]/0.7</f>
        <v>330945.80000000005</v>
      </c>
      <c r="O4" s="23">
        <f>+Tabla1[[#This Row],[PRECIO SUGERIDO INSTALADOR]]*5%</f>
        <v>11583.103000000001</v>
      </c>
      <c r="P4" s="23">
        <f>+Tabla1[[#This Row],[PRECIO SUGERIDO INSTALADOR]]-Tabla1[[#This Row],[Columna1]]</f>
        <v>220078.95699999999</v>
      </c>
      <c r="Q4" s="25">
        <f>Tabla1[[#This Row],[instalador sin IVA]]*1.19</f>
        <v>231662.06</v>
      </c>
      <c r="R4" s="41">
        <v>116052.00000000001</v>
      </c>
      <c r="S4" s="40">
        <v>194674</v>
      </c>
      <c r="T4" s="14">
        <v>159706.9031</v>
      </c>
      <c r="U4" s="13">
        <v>155734.74893617022</v>
      </c>
      <c r="V4" s="12"/>
    </row>
    <row r="5" spans="1:22" customFormat="1" ht="27" x14ac:dyDescent="0.25">
      <c r="A5" s="43" t="s">
        <v>26</v>
      </c>
      <c r="B5" s="44" t="s">
        <v>27</v>
      </c>
      <c r="C5" s="15">
        <f>+Tabla1[[#This Row],[PRECIO SUGERIDO INSTALADOR]]</f>
        <v>75924.37999999999</v>
      </c>
      <c r="D5" s="15">
        <f>+Tabla1[[#This Row],[TIENDA]]</f>
        <v>72128.160999999993</v>
      </c>
      <c r="E5" s="15">
        <f>+Tabla1[[#This Row],[DPP ORO7]]</f>
        <v>45265.22</v>
      </c>
      <c r="F5" s="19">
        <f>+Tabla1[[#This Row],[Columna4]]</f>
        <v>44812.567800000004</v>
      </c>
      <c r="G5" s="19">
        <f>+Tabla1[[#This Row],[CLIENTE FINAL]]</f>
        <v>108463.4</v>
      </c>
      <c r="H5" s="27" t="e">
        <f>+I5/#REF!</f>
        <v>#REF!</v>
      </c>
      <c r="I5" s="27">
        <f t="shared" ref="I5" si="4">+L5-J5</f>
        <v>44812.567800000004</v>
      </c>
      <c r="J5" s="26">
        <f t="shared" ref="J5" si="5">+L5*1%</f>
        <v>452.65219999999999</v>
      </c>
      <c r="K5" s="23" t="e">
        <f>+L5/#REF!</f>
        <v>#REF!</v>
      </c>
      <c r="L5" s="24">
        <f>Tabla1[[#This Row],[oro sin IVA]]*1.19</f>
        <v>45265.22</v>
      </c>
      <c r="M5" s="23" t="e">
        <f>+Q5/#REF!</f>
        <v>#REF!</v>
      </c>
      <c r="N5" s="23">
        <f>+Tabla1[[#This Row],[PRECIO SUGERIDO INSTALADOR]]/0.7</f>
        <v>108463.4</v>
      </c>
      <c r="O5" s="23">
        <f>+Tabla1[[#This Row],[PRECIO SUGERIDO INSTALADOR]]*5%</f>
        <v>3796.2189999999996</v>
      </c>
      <c r="P5" s="23">
        <f>+Tabla1[[#This Row],[PRECIO SUGERIDO INSTALADOR]]-Tabla1[[#This Row],[Columna1]]</f>
        <v>72128.160999999993</v>
      </c>
      <c r="Q5" s="25">
        <f>Tabla1[[#This Row],[instalador sin IVA]]*1.19</f>
        <v>75924.37999999999</v>
      </c>
      <c r="R5" s="41">
        <v>38038</v>
      </c>
      <c r="S5" s="40">
        <v>63801.999999999993</v>
      </c>
    </row>
    <row r="6" spans="1:22" s="11" customFormat="1" ht="27" x14ac:dyDescent="0.25">
      <c r="A6" s="43" t="s">
        <v>28</v>
      </c>
      <c r="B6" s="44" t="s">
        <v>29</v>
      </c>
      <c r="C6" s="15">
        <f>+Tabla1[[#This Row],[PRECIO SUGERIDO INSTALADOR]]</f>
        <v>120149.54</v>
      </c>
      <c r="D6" s="15">
        <f>+Tabla1[[#This Row],[TIENDA]]</f>
        <v>114142.06299999999</v>
      </c>
      <c r="E6" s="15">
        <f>+Tabla1[[#This Row],[DPP ORO7]]</f>
        <v>99936.2</v>
      </c>
      <c r="F6" s="19">
        <f>+Tabla1[[#This Row],[Columna4]]</f>
        <v>98936.838000000003</v>
      </c>
      <c r="G6" s="19">
        <f>+Tabla1[[#This Row],[CLIENTE FINAL]]</f>
        <v>171642.2</v>
      </c>
      <c r="H6" s="27" t="e">
        <f>+I6/#REF!</f>
        <v>#REF!</v>
      </c>
      <c r="I6" s="27">
        <f t="shared" si="0"/>
        <v>98936.838000000003</v>
      </c>
      <c r="J6" s="26">
        <f t="shared" si="1"/>
        <v>999.36199999999997</v>
      </c>
      <c r="K6" s="23" t="e">
        <f>+L6/#REF!</f>
        <v>#REF!</v>
      </c>
      <c r="L6" s="24">
        <f>Tabla1[[#This Row],[oro sin IVA]]*1.19</f>
        <v>99936.2</v>
      </c>
      <c r="M6" s="23" t="e">
        <f>+Q6/#REF!</f>
        <v>#REF!</v>
      </c>
      <c r="N6" s="23">
        <f>+Tabla1[[#This Row],[PRECIO SUGERIDO INSTALADOR]]/0.7</f>
        <v>171642.2</v>
      </c>
      <c r="O6" s="23">
        <f>+Tabla1[[#This Row],[PRECIO SUGERIDO INSTALADOR]]*5%</f>
        <v>6007.4769999999999</v>
      </c>
      <c r="P6" s="23">
        <f>+Tabla1[[#This Row],[PRECIO SUGERIDO INSTALADOR]]-Tabla1[[#This Row],[Columna1]]</f>
        <v>114142.06299999999</v>
      </c>
      <c r="Q6" s="25">
        <f>Tabla1[[#This Row],[instalador sin IVA]]*1.19</f>
        <v>120149.54</v>
      </c>
      <c r="R6" s="41">
        <v>83980</v>
      </c>
      <c r="S6" s="40">
        <v>100966</v>
      </c>
      <c r="T6" s="14">
        <v>73236.587599999999</v>
      </c>
      <c r="U6" s="13">
        <v>80100.47872340426</v>
      </c>
      <c r="V6" s="12"/>
    </row>
    <row r="7" spans="1:22" s="11" customFormat="1" ht="40.5" x14ac:dyDescent="0.25">
      <c r="A7" s="43" t="s">
        <v>30</v>
      </c>
      <c r="B7" s="44" t="s">
        <v>31</v>
      </c>
      <c r="C7" s="15">
        <f>+Tabla1[[#This Row],[PRECIO SUGERIDO INSTALADOR]]</f>
        <v>222527.62</v>
      </c>
      <c r="D7" s="15">
        <f>+Tabla1[[#This Row],[TIENDA]]</f>
        <v>211401.239</v>
      </c>
      <c r="E7" s="15">
        <f>+Tabla1[[#This Row],[DPP ORO7]]</f>
        <v>195938.25999999998</v>
      </c>
      <c r="F7" s="19">
        <f>+Tabla1[[#This Row],[Columna4]]</f>
        <v>193978.87739999997</v>
      </c>
      <c r="G7" s="19">
        <f>+Tabla1[[#This Row],[CLIENTE FINAL]]</f>
        <v>317896.60000000003</v>
      </c>
      <c r="H7" s="27" t="e">
        <f>+I7/#REF!</f>
        <v>#REF!</v>
      </c>
      <c r="I7" s="27">
        <f t="shared" si="0"/>
        <v>193978.87739999997</v>
      </c>
      <c r="J7" s="18">
        <f t="shared" si="1"/>
        <v>1959.3825999999999</v>
      </c>
      <c r="K7" s="23" t="e">
        <f>+L7/#REF!</f>
        <v>#REF!</v>
      </c>
      <c r="L7" s="29">
        <f>Tabla1[[#This Row],[oro sin IVA]]*1.19</f>
        <v>195938.25999999998</v>
      </c>
      <c r="M7" s="23" t="e">
        <f>+Q7/#REF!</f>
        <v>#REF!</v>
      </c>
      <c r="N7" s="23">
        <f>+Tabla1[[#This Row],[PRECIO SUGERIDO INSTALADOR]]/0.7</f>
        <v>317896.60000000003</v>
      </c>
      <c r="O7" s="23">
        <f>+Tabla1[[#This Row],[PRECIO SUGERIDO INSTALADOR]]*5%</f>
        <v>11126.381000000001</v>
      </c>
      <c r="P7" s="23">
        <f>+Tabla1[[#This Row],[PRECIO SUGERIDO INSTALADOR]]-Tabla1[[#This Row],[Columna1]]</f>
        <v>211401.239</v>
      </c>
      <c r="Q7" s="28">
        <f>Tabla1[[#This Row],[instalador sin IVA]]*1.19</f>
        <v>222527.62</v>
      </c>
      <c r="R7" s="41">
        <v>164654</v>
      </c>
      <c r="S7" s="40">
        <v>186998</v>
      </c>
      <c r="T7" s="14">
        <v>97858.849700000006</v>
      </c>
      <c r="U7" s="31">
        <v>101714</v>
      </c>
      <c r="V7" s="12"/>
    </row>
    <row r="8" spans="1:22" s="11" customFormat="1" ht="27" x14ac:dyDescent="0.25">
      <c r="A8" s="43" t="s">
        <v>32</v>
      </c>
      <c r="B8" s="44" t="s">
        <v>33</v>
      </c>
      <c r="C8" s="15">
        <f>+Tabla1[[#This Row],[PRECIO SUGERIDO INSTALADOR]]</f>
        <v>86596.3</v>
      </c>
      <c r="D8" s="15">
        <f>+Tabla1[[#This Row],[TIENDA]]</f>
        <v>82266.485000000001</v>
      </c>
      <c r="E8" s="15">
        <f>+Tabla1[[#This Row],[DPP ORO7]]</f>
        <v>71990.239999999991</v>
      </c>
      <c r="F8" s="19">
        <f>+Tabla1[[#This Row],[Columna4]]</f>
        <v>71270.337599999984</v>
      </c>
      <c r="G8" s="19">
        <f>+Tabla1[[#This Row],[CLIENTE FINAL]]</f>
        <v>123709.00000000001</v>
      </c>
      <c r="H8" s="27" t="e">
        <f>+I8/#REF!</f>
        <v>#REF!</v>
      </c>
      <c r="I8" s="27">
        <f t="shared" si="0"/>
        <v>71270.337599999984</v>
      </c>
      <c r="J8" s="18">
        <f t="shared" si="1"/>
        <v>719.90239999999994</v>
      </c>
      <c r="K8" s="23" t="e">
        <f>+L8/#REF!</f>
        <v>#REF!</v>
      </c>
      <c r="L8" s="17">
        <f>Tabla1[[#This Row],[oro sin IVA]]*1.19</f>
        <v>71990.239999999991</v>
      </c>
      <c r="M8" s="23" t="e">
        <f>+Q8/#REF!</f>
        <v>#REF!</v>
      </c>
      <c r="N8" s="23">
        <f>+Tabla1[[#This Row],[PRECIO SUGERIDO INSTALADOR]]/0.7</f>
        <v>123709.00000000001</v>
      </c>
      <c r="O8" s="23">
        <f>+Tabla1[[#This Row],[PRECIO SUGERIDO INSTALADOR]]*5%</f>
        <v>4329.8150000000005</v>
      </c>
      <c r="P8" s="23">
        <f>+Tabla1[[#This Row],[PRECIO SUGERIDO INSTALADOR]]-Tabla1[[#This Row],[Columna1]]</f>
        <v>82266.485000000001</v>
      </c>
      <c r="Q8" s="16">
        <f>Tabla1[[#This Row],[instalador sin IVA]]*1.19</f>
        <v>86596.3</v>
      </c>
      <c r="R8" s="41">
        <v>60495.999999999993</v>
      </c>
      <c r="S8" s="40">
        <v>72770</v>
      </c>
      <c r="T8" s="2">
        <v>72000</v>
      </c>
      <c r="U8" s="31"/>
      <c r="V8" s="12"/>
    </row>
    <row r="9" spans="1:22" s="11" customFormat="1" ht="27" x14ac:dyDescent="0.25">
      <c r="A9" s="43" t="s">
        <v>34</v>
      </c>
      <c r="B9" s="44" t="s">
        <v>35</v>
      </c>
      <c r="C9" s="15">
        <f>+Tabla1[[#This Row],[PRECIO SUGERIDO INSTALADOR]]</f>
        <v>131680.63999999998</v>
      </c>
      <c r="D9" s="15">
        <f>+Tabla1[[#This Row],[TIENDA]]</f>
        <v>125096.60799999998</v>
      </c>
      <c r="E9" s="15">
        <f>+Tabla1[[#This Row],[DPP ORO7]]</f>
        <v>80491.599999999991</v>
      </c>
      <c r="F9" s="19">
        <f>+Tabla1[[#This Row],[Columna4]]</f>
        <v>79686.683999999994</v>
      </c>
      <c r="G9" s="19">
        <f>+Tabla1[[#This Row],[CLIENTE FINAL]]</f>
        <v>188115.19999999998</v>
      </c>
      <c r="H9" s="19" t="e">
        <f>+I9/#REF!</f>
        <v>#REF!</v>
      </c>
      <c r="I9" s="19">
        <f t="shared" si="0"/>
        <v>79686.683999999994</v>
      </c>
      <c r="J9" s="18">
        <f t="shared" si="1"/>
        <v>804.91599999999994</v>
      </c>
      <c r="K9" s="15" t="e">
        <f>+L9/#REF!</f>
        <v>#REF!</v>
      </c>
      <c r="L9" s="20">
        <f>Tabla1[[#This Row],[oro sin IVA]]*1.19</f>
        <v>80491.599999999991</v>
      </c>
      <c r="M9" s="15" t="e">
        <f>+Q9/#REF!</f>
        <v>#REF!</v>
      </c>
      <c r="N9" s="15">
        <f>+Tabla1[[#This Row],[PRECIO SUGERIDO INSTALADOR]]/0.7</f>
        <v>188115.19999999998</v>
      </c>
      <c r="O9" s="15">
        <f>+Tabla1[[#This Row],[PRECIO SUGERIDO INSTALADOR]]*5%</f>
        <v>6584.0319999999992</v>
      </c>
      <c r="P9" s="15">
        <f>+Tabla1[[#This Row],[PRECIO SUGERIDO INSTALADOR]]-Tabla1[[#This Row],[Columna1]]</f>
        <v>125096.60799999998</v>
      </c>
      <c r="Q9" s="21">
        <f>Tabla1[[#This Row],[instalador sin IVA]]*1.19</f>
        <v>131680.63999999998</v>
      </c>
      <c r="R9" s="41">
        <v>67640</v>
      </c>
      <c r="S9" s="40">
        <v>110655.99999999999</v>
      </c>
      <c r="T9" s="14">
        <v>129939.3959</v>
      </c>
      <c r="U9" s="13">
        <v>147486.59574468088</v>
      </c>
      <c r="V9" s="12"/>
    </row>
    <row r="10" spans="1:22" s="11" customFormat="1" ht="67.5" x14ac:dyDescent="0.25">
      <c r="A10" s="43" t="s">
        <v>36</v>
      </c>
      <c r="B10" s="44" t="s">
        <v>37</v>
      </c>
      <c r="C10" s="15">
        <f>+Tabla1[[#This Row],[PRECIO SUGERIDO INSTALADOR]]</f>
        <v>50601.18</v>
      </c>
      <c r="D10" s="15">
        <f>+Tabla1[[#This Row],[TIENDA]]</f>
        <v>48071.120999999999</v>
      </c>
      <c r="E10" s="15">
        <f>+Tabla1[[#This Row],[DPP ORO7]]</f>
        <v>42054.6</v>
      </c>
      <c r="F10" s="19">
        <f>+Tabla1[[#This Row],[Columna4]]</f>
        <v>41634.053999999996</v>
      </c>
      <c r="G10" s="19">
        <f>+Tabla1[[#This Row],[CLIENTE FINAL]]</f>
        <v>72287.400000000009</v>
      </c>
      <c r="H10" s="19" t="e">
        <f>+I10/#REF!</f>
        <v>#REF!</v>
      </c>
      <c r="I10" s="19">
        <f t="shared" si="0"/>
        <v>41634.053999999996</v>
      </c>
      <c r="J10" s="18">
        <f t="shared" si="1"/>
        <v>420.54599999999999</v>
      </c>
      <c r="K10" s="15" t="e">
        <f>+L10/#REF!</f>
        <v>#REF!</v>
      </c>
      <c r="L10" s="20">
        <f>Tabla1[[#This Row],[oro sin IVA]]*1.19</f>
        <v>42054.6</v>
      </c>
      <c r="M10" s="15" t="e">
        <f>+Q10/#REF!</f>
        <v>#REF!</v>
      </c>
      <c r="N10" s="15">
        <f>+Tabla1[[#This Row],[PRECIO SUGERIDO INSTALADOR]]/0.7</f>
        <v>72287.400000000009</v>
      </c>
      <c r="O10" s="15">
        <f>+Tabla1[[#This Row],[PRECIO SUGERIDO INSTALADOR]]*5%</f>
        <v>2530.0590000000002</v>
      </c>
      <c r="P10" s="15">
        <f>+Tabla1[[#This Row],[PRECIO SUGERIDO INSTALADOR]]-Tabla1[[#This Row],[Columna1]]</f>
        <v>48071.120999999999</v>
      </c>
      <c r="Q10" s="21">
        <f>Tabla1[[#This Row],[instalador sin IVA]]*1.19</f>
        <v>50601.18</v>
      </c>
      <c r="R10" s="41">
        <v>35340</v>
      </c>
      <c r="S10" s="40">
        <v>42522</v>
      </c>
      <c r="T10" s="14" t="s">
        <v>0</v>
      </c>
      <c r="U10" s="13">
        <v>14240.08510638298</v>
      </c>
      <c r="V10" s="12"/>
    </row>
    <row r="11" spans="1:22" s="11" customFormat="1" ht="81" x14ac:dyDescent="0.25">
      <c r="A11" s="43" t="s">
        <v>38</v>
      </c>
      <c r="B11" s="44" t="s">
        <v>39</v>
      </c>
      <c r="C11" s="15"/>
      <c r="D11" s="15">
        <f>+Tabla1[[#This Row],[TIENDA]]</f>
        <v>60958.820999999996</v>
      </c>
      <c r="E11" s="15">
        <f>+Tabla1[[#This Row],[DPP ORO7]]</f>
        <v>53314.38</v>
      </c>
      <c r="F11" s="19">
        <f>+Tabla1[[#This Row],[Columna4]]</f>
        <v>52781.236199999999</v>
      </c>
      <c r="G11" s="19">
        <f>+Tabla1[[#This Row],[CLIENTE FINAL]]</f>
        <v>91667.400000000009</v>
      </c>
      <c r="H11" s="19" t="e">
        <f>+I11/#REF!</f>
        <v>#REF!</v>
      </c>
      <c r="I11" s="19">
        <f>+L11-J11</f>
        <v>52781.236199999999</v>
      </c>
      <c r="J11" s="18">
        <f>+L11*1%</f>
        <v>533.14379999999994</v>
      </c>
      <c r="K11" s="15" t="e">
        <f>+L11/#REF!</f>
        <v>#REF!</v>
      </c>
      <c r="L11" s="20">
        <f>Tabla1[[#This Row],[oro sin IVA]]*1.19</f>
        <v>53314.38</v>
      </c>
      <c r="M11" s="15" t="e">
        <f>+Q11/#REF!</f>
        <v>#REF!</v>
      </c>
      <c r="N11" s="15">
        <f>+Tabla1[[#This Row],[PRECIO SUGERIDO INSTALADOR]]/0.7</f>
        <v>91667.400000000009</v>
      </c>
      <c r="O11" s="15">
        <f>+Tabla1[[#This Row],[PRECIO SUGERIDO INSTALADOR]]*5%</f>
        <v>3208.3590000000004</v>
      </c>
      <c r="P11" s="15">
        <f>+Tabla1[[#This Row],[PRECIO SUGERIDO INSTALADOR]]-Tabla1[[#This Row],[Columna1]]</f>
        <v>60958.820999999996</v>
      </c>
      <c r="Q11" s="21">
        <f>Tabla1[[#This Row],[instalador sin IVA]]*1.19</f>
        <v>64167.18</v>
      </c>
      <c r="R11" s="41">
        <v>44802</v>
      </c>
      <c r="S11" s="40">
        <v>53922</v>
      </c>
      <c r="T11" s="14"/>
      <c r="U11" s="13"/>
      <c r="V11" s="12"/>
    </row>
    <row r="12" spans="1:22" s="11" customFormat="1" ht="67.5" x14ac:dyDescent="0.25">
      <c r="A12" s="43" t="s">
        <v>40</v>
      </c>
      <c r="B12" s="44" t="s">
        <v>41</v>
      </c>
      <c r="C12" s="15">
        <f>+Tabla1[[#This Row],[PRECIO SUGERIDO INSTALADOR]]</f>
        <v>87591.14</v>
      </c>
      <c r="D12" s="15">
        <f>+Tabla1[[#This Row],[TIENDA]]</f>
        <v>83211.582999999999</v>
      </c>
      <c r="E12" s="15">
        <f>+Tabla1[[#This Row],[DPP ORO7]]</f>
        <v>72804.2</v>
      </c>
      <c r="F12" s="19">
        <f>+Tabla1[[#This Row],[Columna4]]</f>
        <v>72076.157999999996</v>
      </c>
      <c r="G12" s="19">
        <f>+Tabla1[[#This Row],[CLIENTE FINAL]]</f>
        <v>125130.20000000001</v>
      </c>
      <c r="H12" s="19" t="e">
        <f>+I12/#REF!</f>
        <v>#REF!</v>
      </c>
      <c r="I12" s="19">
        <f t="shared" si="0"/>
        <v>72076.157999999996</v>
      </c>
      <c r="J12" s="18">
        <f t="shared" si="1"/>
        <v>728.04200000000003</v>
      </c>
      <c r="K12" s="15" t="e">
        <f>+L12/#REF!</f>
        <v>#REF!</v>
      </c>
      <c r="L12" s="20">
        <f>Tabla1[[#This Row],[oro sin IVA]]*1.19</f>
        <v>72804.2</v>
      </c>
      <c r="M12" s="15" t="e">
        <f>+Q12/#REF!</f>
        <v>#REF!</v>
      </c>
      <c r="N12" s="15">
        <f>+Tabla1[[#This Row],[PRECIO SUGERIDO INSTALADOR]]/0.7</f>
        <v>125130.20000000001</v>
      </c>
      <c r="O12" s="15">
        <f>+Tabla1[[#This Row],[PRECIO SUGERIDO INSTALADOR]]*5%</f>
        <v>4379.5569999999998</v>
      </c>
      <c r="P12" s="15">
        <f>+Tabla1[[#This Row],[PRECIO SUGERIDO INSTALADOR]]-Tabla1[[#This Row],[Columna1]]</f>
        <v>83211.582999999999</v>
      </c>
      <c r="Q12" s="21">
        <f>Tabla1[[#This Row],[instalador sin IVA]]*1.19</f>
        <v>87591.14</v>
      </c>
      <c r="R12" s="41">
        <v>61180</v>
      </c>
      <c r="S12" s="40">
        <v>73606</v>
      </c>
      <c r="T12" s="14"/>
      <c r="U12" s="13">
        <v>42548</v>
      </c>
      <c r="V12" s="12"/>
    </row>
    <row r="13" spans="1:22" s="11" customFormat="1" ht="67.5" x14ac:dyDescent="0.25">
      <c r="A13" s="43" t="s">
        <v>42</v>
      </c>
      <c r="B13" s="44" t="s">
        <v>43</v>
      </c>
      <c r="C13" s="15">
        <f>+Tabla1[[#This Row],[PRECIO SUGERIDO INSTALADOR]]</f>
        <v>30478.28</v>
      </c>
      <c r="D13" s="15">
        <f>+Tabla1[[#This Row],[TIENDA]]</f>
        <v>28954.365999999998</v>
      </c>
      <c r="E13" s="15">
        <f>+Tabla1[[#This Row],[DPP ORO7]]</f>
        <v>25323.199999999997</v>
      </c>
      <c r="F13" s="19">
        <f>+Tabla1[[#This Row],[Columna4]]</f>
        <v>25069.967999999997</v>
      </c>
      <c r="G13" s="19">
        <f>+Tabla1[[#This Row],[CLIENTE FINAL]]</f>
        <v>43540.4</v>
      </c>
      <c r="H13" s="19" t="e">
        <f>+I13/#REF!</f>
        <v>#REF!</v>
      </c>
      <c r="I13" s="19">
        <f t="shared" si="0"/>
        <v>25069.967999999997</v>
      </c>
      <c r="J13" s="18">
        <f t="shared" si="1"/>
        <v>253.23199999999997</v>
      </c>
      <c r="K13" s="15" t="e">
        <f>+L13/#REF!</f>
        <v>#REF!</v>
      </c>
      <c r="L13" s="20">
        <f>Tabla1[[#This Row],[oro sin IVA]]*1.19</f>
        <v>25323.199999999997</v>
      </c>
      <c r="M13" s="15" t="e">
        <f>+Q13/#REF!</f>
        <v>#REF!</v>
      </c>
      <c r="N13" s="15">
        <f>+Tabla1[[#This Row],[PRECIO SUGERIDO INSTALADOR]]/0.7</f>
        <v>43540.4</v>
      </c>
      <c r="O13" s="15">
        <f>+Tabla1[[#This Row],[PRECIO SUGERIDO INSTALADOR]]*5%</f>
        <v>1523.914</v>
      </c>
      <c r="P13" s="15">
        <f>+Tabla1[[#This Row],[PRECIO SUGERIDO INSTALADOR]]-Tabla1[[#This Row],[Columna1]]</f>
        <v>28954.365999999998</v>
      </c>
      <c r="Q13" s="21">
        <f>Tabla1[[#This Row],[instalador sin IVA]]*1.19</f>
        <v>30478.28</v>
      </c>
      <c r="R13" s="41">
        <v>21280</v>
      </c>
      <c r="S13" s="40">
        <v>25612</v>
      </c>
      <c r="T13" s="14" t="s">
        <v>0</v>
      </c>
      <c r="U13" s="13">
        <v>27564.736170212775</v>
      </c>
      <c r="V13" s="12"/>
    </row>
    <row r="14" spans="1:22" s="11" customFormat="1" ht="27" x14ac:dyDescent="0.25">
      <c r="A14" s="43" t="s">
        <v>44</v>
      </c>
      <c r="B14" s="44" t="s">
        <v>45</v>
      </c>
      <c r="C14" s="15">
        <f>+Tabla1[[#This Row],[PRECIO SUGERIDO INSTALADOR]]</f>
        <v>120149.54</v>
      </c>
      <c r="D14" s="15">
        <f>+Tabla1[[#This Row],[TIENDA]]</f>
        <v>114142.06299999999</v>
      </c>
      <c r="E14" s="15">
        <f>+Tabla1[[#This Row],[DPP ORO7]]</f>
        <v>99936.2</v>
      </c>
      <c r="F14" s="19">
        <f>+Tabla1[[#This Row],[Columna4]]</f>
        <v>98936.838000000003</v>
      </c>
      <c r="G14" s="19">
        <f>+Tabla1[[#This Row],[CLIENTE FINAL]]</f>
        <v>171642.2</v>
      </c>
      <c r="H14" s="19" t="e">
        <f>+I14/#REF!</f>
        <v>#REF!</v>
      </c>
      <c r="I14" s="19">
        <f t="shared" si="0"/>
        <v>98936.838000000003</v>
      </c>
      <c r="J14" s="18">
        <f t="shared" si="1"/>
        <v>999.36199999999997</v>
      </c>
      <c r="K14" s="15" t="e">
        <f>+L14/#REF!</f>
        <v>#REF!</v>
      </c>
      <c r="L14" s="20">
        <f>Tabla1[[#This Row],[oro sin IVA]]*1.19</f>
        <v>99936.2</v>
      </c>
      <c r="M14" s="15" t="e">
        <f>+Q14/#REF!</f>
        <v>#REF!</v>
      </c>
      <c r="N14" s="15">
        <f>+Tabla1[[#This Row],[PRECIO SUGERIDO INSTALADOR]]/0.7</f>
        <v>171642.2</v>
      </c>
      <c r="O14" s="15">
        <f>+Tabla1[[#This Row],[PRECIO SUGERIDO INSTALADOR]]*5%</f>
        <v>6007.4769999999999</v>
      </c>
      <c r="P14" s="15">
        <f>+Tabla1[[#This Row],[PRECIO SUGERIDO INSTALADOR]]-Tabla1[[#This Row],[Columna1]]</f>
        <v>114142.06299999999</v>
      </c>
      <c r="Q14" s="21">
        <f>Tabla1[[#This Row],[instalador sin IVA]]*1.19</f>
        <v>120149.54</v>
      </c>
      <c r="R14" s="41">
        <v>83980</v>
      </c>
      <c r="S14" s="40">
        <v>100966</v>
      </c>
      <c r="T14" s="14" t="s">
        <v>0</v>
      </c>
      <c r="U14" s="13">
        <v>48545.744680851065</v>
      </c>
      <c r="V14" s="12"/>
    </row>
    <row r="15" spans="1:22" s="11" customFormat="1" ht="27" x14ac:dyDescent="0.25">
      <c r="A15" s="43" t="s">
        <v>46</v>
      </c>
      <c r="B15" s="44" t="s">
        <v>47</v>
      </c>
      <c r="C15" s="15">
        <f>+Tabla1[[#This Row],[PRECIO SUGERIDO INSTALADOR]]</f>
        <v>33369.979999999996</v>
      </c>
      <c r="D15" s="15">
        <f>+Tabla1[[#This Row],[TIENDA]]</f>
        <v>31701.480999999996</v>
      </c>
      <c r="E15" s="15">
        <f>+Tabla1[[#This Row],[DPP ORO7]]</f>
        <v>30830.52</v>
      </c>
      <c r="F15" s="19">
        <f>+Tabla1[[#This Row],[Columna4]]</f>
        <v>30522.214800000002</v>
      </c>
      <c r="G15" s="19">
        <f>+Tabla1[[#This Row],[CLIENTE FINAL]]</f>
        <v>47671.399999999994</v>
      </c>
      <c r="H15" s="19" t="e">
        <f>+I15/#REF!</f>
        <v>#REF!</v>
      </c>
      <c r="I15" s="19">
        <f t="shared" si="0"/>
        <v>30522.214800000002</v>
      </c>
      <c r="J15" s="18">
        <f t="shared" si="1"/>
        <v>308.30520000000001</v>
      </c>
      <c r="K15" s="15" t="e">
        <f>+L15/#REF!</f>
        <v>#REF!</v>
      </c>
      <c r="L15" s="20">
        <f>Tabla1[[#This Row],[oro sin IVA]]*1.19</f>
        <v>30830.52</v>
      </c>
      <c r="M15" s="15" t="e">
        <f>+Q15/#REF!</f>
        <v>#REF!</v>
      </c>
      <c r="N15" s="15">
        <f>+Tabla1[[#This Row],[PRECIO SUGERIDO INSTALADOR]]/0.7</f>
        <v>47671.399999999994</v>
      </c>
      <c r="O15" s="15">
        <f>+Tabla1[[#This Row],[PRECIO SUGERIDO INSTALADOR]]*5%</f>
        <v>1668.4989999999998</v>
      </c>
      <c r="P15" s="15">
        <f>+Tabla1[[#This Row],[PRECIO SUGERIDO INSTALADOR]]-Tabla1[[#This Row],[Columna1]]</f>
        <v>31701.480999999996</v>
      </c>
      <c r="Q15" s="21">
        <f>Tabla1[[#This Row],[instalador sin IVA]]*1.19</f>
        <v>33369.979999999996</v>
      </c>
      <c r="R15" s="41">
        <v>25908</v>
      </c>
      <c r="S15" s="40">
        <v>28042</v>
      </c>
      <c r="T15" s="14">
        <v>203429</v>
      </c>
      <c r="U15" s="13">
        <v>208515.53191489363</v>
      </c>
      <c r="V15" s="12"/>
    </row>
    <row r="16" spans="1:22" s="11" customFormat="1" ht="67.5" x14ac:dyDescent="0.25">
      <c r="A16" s="43" t="s">
        <v>48</v>
      </c>
      <c r="B16" s="44" t="s">
        <v>49</v>
      </c>
      <c r="C16" s="15">
        <f>+Tabla1[[#This Row],[PRECIO SUGERIDO INSTALADOR]]</f>
        <v>39567.5</v>
      </c>
      <c r="D16" s="15">
        <f>+Tabla1[[#This Row],[TIENDA]]</f>
        <v>37589.125</v>
      </c>
      <c r="E16" s="15">
        <f>+Tabla1[[#This Row],[DPP ORO7]]</f>
        <v>32829.72</v>
      </c>
      <c r="F16" s="19">
        <f>+Tabla1[[#This Row],[Columna4]]</f>
        <v>32501.4228</v>
      </c>
      <c r="G16" s="19">
        <f>+Tabla1[[#This Row],[CLIENTE FINAL]]</f>
        <v>56525</v>
      </c>
      <c r="H16" s="19" t="e">
        <f>+I16/#REF!</f>
        <v>#REF!</v>
      </c>
      <c r="I16" s="19">
        <f t="shared" si="0"/>
        <v>32501.4228</v>
      </c>
      <c r="J16" s="18">
        <f t="shared" si="1"/>
        <v>328.29720000000003</v>
      </c>
      <c r="K16" s="15" t="e">
        <f>+L16/#REF!</f>
        <v>#REF!</v>
      </c>
      <c r="L16" s="20">
        <f>Tabla1[[#This Row],[oro sin IVA]]*1.19</f>
        <v>32829.72</v>
      </c>
      <c r="M16" s="15" t="e">
        <f>+Q16/#REF!</f>
        <v>#REF!</v>
      </c>
      <c r="N16" s="15">
        <f>+Tabla1[[#This Row],[PRECIO SUGERIDO INSTALADOR]]/0.7</f>
        <v>56525</v>
      </c>
      <c r="O16" s="15">
        <f>+Tabla1[[#This Row],[PRECIO SUGERIDO INSTALADOR]]*5%</f>
        <v>1978.375</v>
      </c>
      <c r="P16" s="15">
        <f>+Tabla1[[#This Row],[PRECIO SUGERIDO INSTALADOR]]-Tabla1[[#This Row],[Columna1]]</f>
        <v>37589.125</v>
      </c>
      <c r="Q16" s="21">
        <f>Tabla1[[#This Row],[instalador sin IVA]]*1.19</f>
        <v>39567.5</v>
      </c>
      <c r="R16" s="41">
        <v>27588.000000000004</v>
      </c>
      <c r="S16" s="40">
        <v>33250</v>
      </c>
      <c r="T16" s="14">
        <v>138129.1127</v>
      </c>
      <c r="U16" s="13">
        <v>135928.08510638302</v>
      </c>
      <c r="V16" s="12"/>
    </row>
    <row r="17" spans="1:22" s="11" customFormat="1" ht="27" x14ac:dyDescent="0.25">
      <c r="A17" s="43" t="s">
        <v>50</v>
      </c>
      <c r="B17" s="44" t="s">
        <v>51</v>
      </c>
      <c r="C17" s="15">
        <f>+Tabla1[[#This Row],[PRECIO SUGERIDO INSTALADOR]]</f>
        <v>186622.94</v>
      </c>
      <c r="D17" s="15">
        <f>+Tabla1[[#This Row],[TIENDA]]</f>
        <v>177291.79300000001</v>
      </c>
      <c r="E17" s="15">
        <f>+Tabla1[[#This Row],[DPP ORO7]]</f>
        <v>164329.47999999998</v>
      </c>
      <c r="F17" s="19">
        <f>+Tabla1[[#This Row],[Columna4]]</f>
        <v>162686.18519999998</v>
      </c>
      <c r="G17" s="19">
        <f>+Tabla1[[#This Row],[CLIENTE FINAL]]</f>
        <v>266604.2</v>
      </c>
      <c r="H17" s="19" t="e">
        <f>+I17/#REF!</f>
        <v>#REF!</v>
      </c>
      <c r="I17" s="19">
        <f t="shared" si="0"/>
        <v>162686.18519999998</v>
      </c>
      <c r="J17" s="18">
        <f t="shared" si="1"/>
        <v>1643.2947999999999</v>
      </c>
      <c r="K17" s="15" t="e">
        <f>+L17/#REF!</f>
        <v>#REF!</v>
      </c>
      <c r="L17" s="20">
        <f>Tabla1[[#This Row],[oro sin IVA]]*1.19</f>
        <v>164329.47999999998</v>
      </c>
      <c r="M17" s="15" t="e">
        <f>+Q17/#REF!</f>
        <v>#REF!</v>
      </c>
      <c r="N17" s="15">
        <f>+Tabla1[[#This Row],[PRECIO SUGERIDO INSTALADOR]]/0.7</f>
        <v>266604.2</v>
      </c>
      <c r="O17" s="15">
        <f>+Tabla1[[#This Row],[PRECIO SUGERIDO INSTALADOR]]*5%</f>
        <v>9331.1470000000008</v>
      </c>
      <c r="P17" s="15">
        <f>+Tabla1[[#This Row],[PRECIO SUGERIDO INSTALADOR]]-Tabla1[[#This Row],[Columna1]]</f>
        <v>177291.79300000001</v>
      </c>
      <c r="Q17" s="21">
        <f>Tabla1[[#This Row],[instalador sin IVA]]*1.19</f>
        <v>186622.94</v>
      </c>
      <c r="R17" s="41">
        <v>138092</v>
      </c>
      <c r="S17" s="40">
        <v>156826</v>
      </c>
      <c r="T17" s="14" t="s">
        <v>0</v>
      </c>
      <c r="U17" s="13">
        <v>115585.10638297873</v>
      </c>
      <c r="V17" s="12"/>
    </row>
    <row r="18" spans="1:22" s="11" customFormat="1" ht="40.5" x14ac:dyDescent="0.25">
      <c r="A18" s="43" t="s">
        <v>52</v>
      </c>
      <c r="B18" s="44" t="s">
        <v>53</v>
      </c>
      <c r="C18" s="15">
        <f>+Tabla1[[#This Row],[PRECIO SUGERIDO INSTALADOR]]</f>
        <v>340054.39999999997</v>
      </c>
      <c r="D18" s="15">
        <f>+Tabla1[[#This Row],[TIENDA]]</f>
        <v>323051.68</v>
      </c>
      <c r="E18" s="15">
        <f>+Tabla1[[#This Row],[DPP ORO7]]</f>
        <v>248076.91999999998</v>
      </c>
      <c r="F18" s="19">
        <f>+Tabla1[[#This Row],[Columna4]]</f>
        <v>245596.15079999997</v>
      </c>
      <c r="G18" s="19">
        <f>+Tabla1[[#This Row],[CLIENTE FINAL]]</f>
        <v>485792</v>
      </c>
      <c r="H18" s="19" t="e">
        <f>+I18/#REF!</f>
        <v>#REF!</v>
      </c>
      <c r="I18" s="19">
        <f t="shared" si="0"/>
        <v>245596.15079999997</v>
      </c>
      <c r="J18" s="18">
        <f t="shared" si="1"/>
        <v>2480.7691999999997</v>
      </c>
      <c r="K18" s="15" t="e">
        <f>+L18/#REF!</f>
        <v>#REF!</v>
      </c>
      <c r="L18" s="20">
        <f>Tabla1[[#This Row],[oro sin IVA]]*1.19</f>
        <v>248076.91999999998</v>
      </c>
      <c r="M18" s="15" t="e">
        <f>+Q18/#REF!</f>
        <v>#REF!</v>
      </c>
      <c r="N18" s="15">
        <f>+Tabla1[[#This Row],[PRECIO SUGERIDO INSTALADOR]]/0.7</f>
        <v>485792</v>
      </c>
      <c r="O18" s="15">
        <f>+Tabla1[[#This Row],[PRECIO SUGERIDO INSTALADOR]]*5%</f>
        <v>17002.719999999998</v>
      </c>
      <c r="P18" s="15">
        <f>+Tabla1[[#This Row],[PRECIO SUGERIDO INSTALADOR]]-Tabla1[[#This Row],[Columna1]]</f>
        <v>323051.68</v>
      </c>
      <c r="Q18" s="21">
        <f>Tabla1[[#This Row],[instalador sin IVA]]*1.19</f>
        <v>340054.39999999997</v>
      </c>
      <c r="R18" s="41">
        <v>208468</v>
      </c>
      <c r="S18" s="40">
        <v>285760</v>
      </c>
      <c r="T18" s="14">
        <v>133327.4523</v>
      </c>
      <c r="U18" s="13">
        <v>138702.12765957447</v>
      </c>
      <c r="V18" s="12"/>
    </row>
    <row r="19" spans="1:22" s="11" customFormat="1" ht="40.5" x14ac:dyDescent="0.25">
      <c r="A19" s="43" t="s">
        <v>54</v>
      </c>
      <c r="B19" s="44" t="s">
        <v>55</v>
      </c>
      <c r="C19" s="15">
        <f>+Tabla1[[#This Row],[PRECIO SUGERIDO INSTALADOR]]</f>
        <v>691775.55999999994</v>
      </c>
      <c r="D19" s="15">
        <f>+Tabla1[[#This Row],[TIENDA]]</f>
        <v>657186.78199999989</v>
      </c>
      <c r="E19" s="15">
        <f>+Tabla1[[#This Row],[DPP ORO7]]</f>
        <v>629778.93999999994</v>
      </c>
      <c r="F19" s="19">
        <f>+Tabla1[[#This Row],[Columna4]]</f>
        <v>623481.15059999994</v>
      </c>
      <c r="G19" s="19">
        <f>+Tabla1[[#This Row],[CLIENTE FINAL]]</f>
        <v>988250.79999999993</v>
      </c>
      <c r="H19" s="19" t="e">
        <f>+I19/#REF!</f>
        <v>#REF!</v>
      </c>
      <c r="I19" s="19">
        <f t="shared" si="0"/>
        <v>623481.15059999994</v>
      </c>
      <c r="J19" s="18">
        <f t="shared" si="1"/>
        <v>6297.7893999999997</v>
      </c>
      <c r="K19" s="15" t="e">
        <f>+L19/#REF!</f>
        <v>#REF!</v>
      </c>
      <c r="L19" s="20">
        <f>Tabla1[[#This Row],[oro sin IVA]]*1.19</f>
        <v>629778.93999999994</v>
      </c>
      <c r="M19" s="15" t="e">
        <f>+Q19/#REF!</f>
        <v>#REF!</v>
      </c>
      <c r="N19" s="15">
        <f>+Tabla1[[#This Row],[PRECIO SUGERIDO INSTALADOR]]/0.7</f>
        <v>988250.79999999993</v>
      </c>
      <c r="O19" s="15">
        <f>+Tabla1[[#This Row],[PRECIO SUGERIDO INSTALADOR]]*5%</f>
        <v>34588.777999999998</v>
      </c>
      <c r="P19" s="15">
        <f>+Tabla1[[#This Row],[PRECIO SUGERIDO INSTALADOR]]-Tabla1[[#This Row],[Columna1]]</f>
        <v>657186.78199999989</v>
      </c>
      <c r="Q19" s="21">
        <f>Tabla1[[#This Row],[instalador sin IVA]]*1.19</f>
        <v>691775.55999999994</v>
      </c>
      <c r="R19" s="41">
        <v>529226</v>
      </c>
      <c r="S19" s="40">
        <v>581324</v>
      </c>
      <c r="T19" s="14">
        <v>93320.967600000004</v>
      </c>
      <c r="U19" s="13">
        <v>101800.42659574469</v>
      </c>
      <c r="V19" s="12"/>
    </row>
    <row r="20" spans="1:22" s="11" customFormat="1" ht="94.5" x14ac:dyDescent="0.25">
      <c r="A20" s="43" t="s">
        <v>56</v>
      </c>
      <c r="B20" s="44" t="s">
        <v>57</v>
      </c>
      <c r="C20" s="15">
        <f>+Tabla1[[#This Row],[PRECIO SUGERIDO INSTALADOR]]</f>
        <v>1094504.8799999999</v>
      </c>
      <c r="D20" s="15">
        <f>+Tabla1[[#This Row],[TIENDA]]</f>
        <v>1039779.6359999999</v>
      </c>
      <c r="E20" s="15">
        <f>+Tabla1[[#This Row],[DPP ORO7]]</f>
        <v>798404.32</v>
      </c>
      <c r="F20" s="19">
        <f>+Tabla1[[#This Row],[Columna4]]</f>
        <v>790420.27679999999</v>
      </c>
      <c r="G20" s="19">
        <f>+Tabla1[[#This Row],[CLIENTE FINAL]]</f>
        <v>1563578.4</v>
      </c>
      <c r="H20" s="19" t="e">
        <f>+I20/#REF!</f>
        <v>#REF!</v>
      </c>
      <c r="I20" s="19">
        <f t="shared" si="0"/>
        <v>790420.27679999999</v>
      </c>
      <c r="J20" s="18">
        <f t="shared" si="1"/>
        <v>7984.0432000000001</v>
      </c>
      <c r="K20" s="15" t="e">
        <f>+L20/#REF!</f>
        <v>#REF!</v>
      </c>
      <c r="L20" s="20">
        <f>Tabla1[[#This Row],[oro sin IVA]]*1.19</f>
        <v>798404.32</v>
      </c>
      <c r="M20" s="15" t="e">
        <f>+Q20/#REF!</f>
        <v>#REF!</v>
      </c>
      <c r="N20" s="15">
        <f>+Tabla1[[#This Row],[PRECIO SUGERIDO INSTALADOR]]/0.7</f>
        <v>1563578.4</v>
      </c>
      <c r="O20" s="15">
        <f>+Tabla1[[#This Row],[PRECIO SUGERIDO INSTALADOR]]*5%</f>
        <v>54725.243999999999</v>
      </c>
      <c r="P20" s="15">
        <f>+Tabla1[[#This Row],[PRECIO SUGERIDO INSTALADOR]]-Tabla1[[#This Row],[Columna1]]</f>
        <v>1039779.6359999999</v>
      </c>
      <c r="Q20" s="21">
        <f>Tabla1[[#This Row],[instalador sin IVA]]*1.19</f>
        <v>1094504.8799999999</v>
      </c>
      <c r="R20" s="41">
        <v>670928</v>
      </c>
      <c r="S20" s="40">
        <v>919752</v>
      </c>
      <c r="T20" s="14" t="s">
        <v>0</v>
      </c>
      <c r="U20" s="13">
        <v>123722.29787234045</v>
      </c>
      <c r="V20" s="12"/>
    </row>
    <row r="21" spans="1:22" s="11" customFormat="1" ht="94.5" x14ac:dyDescent="0.25">
      <c r="A21" s="43" t="s">
        <v>58</v>
      </c>
      <c r="B21" s="44" t="s">
        <v>59</v>
      </c>
      <c r="C21" s="15">
        <f>+Tabla1[[#This Row],[PRECIO SUGERIDO INSTALADOR]]</f>
        <v>877177.55999999994</v>
      </c>
      <c r="D21" s="15">
        <f>+Tabla1[[#This Row],[TIENDA]]</f>
        <v>833318.68199999991</v>
      </c>
      <c r="E21" s="22">
        <f>+Tabla1[[#This Row],[DPP ORO7]]</f>
        <v>772402.82</v>
      </c>
      <c r="F21" s="19">
        <f>+Tabla1[[#This Row],[Columna4]]</f>
        <v>764678.79180000001</v>
      </c>
      <c r="G21" s="22">
        <f>+Tabla1[[#This Row],[CLIENTE FINAL]]</f>
        <v>1253110.8</v>
      </c>
      <c r="H21" s="22" t="e">
        <f>+I21/#REF!</f>
        <v>#REF!</v>
      </c>
      <c r="I21" s="22">
        <f t="shared" si="0"/>
        <v>764678.79180000001</v>
      </c>
      <c r="J21" s="22">
        <f t="shared" si="1"/>
        <v>7724.0281999999997</v>
      </c>
      <c r="K21" s="15" t="e">
        <f>+L21/#REF!</f>
        <v>#REF!</v>
      </c>
      <c r="L21" s="17">
        <f>Tabla1[[#This Row],[oro sin IVA]]*1.19</f>
        <v>772402.82</v>
      </c>
      <c r="M21" s="15" t="e">
        <f>+Q21/#REF!</f>
        <v>#REF!</v>
      </c>
      <c r="N21" s="15">
        <f>+Tabla1[[#This Row],[PRECIO SUGERIDO INSTALADOR]]/0.7</f>
        <v>1253110.8</v>
      </c>
      <c r="O21" s="15">
        <f>+Tabla1[[#This Row],[PRECIO SUGERIDO INSTALADOR]]*5%</f>
        <v>43858.877999999997</v>
      </c>
      <c r="P21" s="15">
        <f>+Tabla1[[#This Row],[PRECIO SUGERIDO INSTALADOR]]-Tabla1[[#This Row],[Columna1]]</f>
        <v>833318.68199999991</v>
      </c>
      <c r="Q21" s="16">
        <f>Tabla1[[#This Row],[instalador sin IVA]]*1.19</f>
        <v>877177.55999999994</v>
      </c>
      <c r="R21" s="41">
        <v>649078</v>
      </c>
      <c r="S21" s="40">
        <v>737124</v>
      </c>
      <c r="T21" s="14"/>
      <c r="U21" s="13">
        <v>305144</v>
      </c>
      <c r="V21" s="12"/>
    </row>
    <row r="22" spans="1:22" s="11" customFormat="1" ht="121.5" x14ac:dyDescent="0.25">
      <c r="A22" s="43" t="s">
        <v>60</v>
      </c>
      <c r="B22" s="44" t="s">
        <v>61</v>
      </c>
      <c r="C22" s="15">
        <f>+Tabla1[[#This Row],[PRECIO SUGERIDO INSTALADOR]]</f>
        <v>1244363.96</v>
      </c>
      <c r="D22" s="15">
        <f>+Tabla1[[#This Row],[TIENDA]]</f>
        <v>1182145.7619999999</v>
      </c>
      <c r="E22" s="15">
        <f>+Tabla1[[#This Row],[DPP ORO7]]</f>
        <v>1132896.6599999999</v>
      </c>
      <c r="F22" s="19">
        <f>+Tabla1[[#This Row],[Columna4]]</f>
        <v>1121567.6934</v>
      </c>
      <c r="G22" s="19">
        <f>+Tabla1[[#This Row],[CLIENTE FINAL]]</f>
        <v>1777662.8</v>
      </c>
      <c r="H22" s="27" t="e">
        <f>+I22/#REF!</f>
        <v>#REF!</v>
      </c>
      <c r="I22" s="27">
        <f t="shared" si="0"/>
        <v>1121567.6934</v>
      </c>
      <c r="J22" s="26">
        <f t="shared" si="1"/>
        <v>11328.9666</v>
      </c>
      <c r="K22" s="23" t="e">
        <f>+L22/#REF!</f>
        <v>#REF!</v>
      </c>
      <c r="L22" s="24">
        <f>Tabla1[[#This Row],[oro sin IVA]]*1.19</f>
        <v>1132896.6599999999</v>
      </c>
      <c r="M22" s="23" t="e">
        <f>+Q22/#REF!</f>
        <v>#REF!</v>
      </c>
      <c r="N22" s="23">
        <f>+Tabla1[[#This Row],[PRECIO SUGERIDO INSTALADOR]]/0.7</f>
        <v>1777662.8</v>
      </c>
      <c r="O22" s="23">
        <f>+Tabla1[[#This Row],[PRECIO SUGERIDO INSTALADOR]]*5%</f>
        <v>62218.198000000004</v>
      </c>
      <c r="P22" s="23">
        <f>+Tabla1[[#This Row],[PRECIO SUGERIDO INSTALADOR]]-Tabla1[[#This Row],[Columna1]]</f>
        <v>1182145.7619999999</v>
      </c>
      <c r="Q22" s="25">
        <f>Tabla1[[#This Row],[instalador sin IVA]]*1.19</f>
        <v>1244363.96</v>
      </c>
      <c r="R22" s="41">
        <v>952014</v>
      </c>
      <c r="S22" s="40">
        <v>1045684</v>
      </c>
      <c r="T22" s="14">
        <v>221923</v>
      </c>
      <c r="U22" s="13">
        <v>254287.23404255326</v>
      </c>
      <c r="V22" s="12"/>
    </row>
    <row r="23" spans="1:22" s="11" customFormat="1" ht="94.5" x14ac:dyDescent="0.25">
      <c r="A23" s="43" t="s">
        <v>62</v>
      </c>
      <c r="B23" s="44" t="s">
        <v>63</v>
      </c>
      <c r="C23" s="15">
        <f>+Tabla1[[#This Row],[PRECIO SUGERIDO INSTALADOR]]</f>
        <v>1184718.78</v>
      </c>
      <c r="D23" s="15">
        <f>+Tabla1[[#This Row],[TIENDA]]</f>
        <v>1125482.841</v>
      </c>
      <c r="E23" s="15">
        <f>+Tabla1[[#This Row],[DPP ORO7]]</f>
        <v>1043315.84</v>
      </c>
      <c r="F23" s="19">
        <f>+Tabla1[[#This Row],[Columna4]]</f>
        <v>1032882.6816</v>
      </c>
      <c r="G23" s="19">
        <f>+Tabla1[[#This Row],[CLIENTE FINAL]]</f>
        <v>1692455.4000000001</v>
      </c>
      <c r="H23" s="27" t="e">
        <f>+I23/#REF!</f>
        <v>#REF!</v>
      </c>
      <c r="I23" s="27">
        <f t="shared" si="0"/>
        <v>1032882.6816</v>
      </c>
      <c r="J23" s="26">
        <f t="shared" si="1"/>
        <v>10433.1584</v>
      </c>
      <c r="K23" s="23" t="e">
        <f>+L23/#REF!</f>
        <v>#REF!</v>
      </c>
      <c r="L23" s="24">
        <f>Tabla1[[#This Row],[oro sin IVA]]*1.19</f>
        <v>1043315.84</v>
      </c>
      <c r="M23" s="23" t="e">
        <f>+Q23/#REF!</f>
        <v>#REF!</v>
      </c>
      <c r="N23" s="23">
        <f>+Tabla1[[#This Row],[PRECIO SUGERIDO INSTALADOR]]/0.7</f>
        <v>1692455.4000000001</v>
      </c>
      <c r="O23" s="23">
        <f>+Tabla1[[#This Row],[PRECIO SUGERIDO INSTALADOR]]*5%</f>
        <v>59235.939000000006</v>
      </c>
      <c r="P23" s="23">
        <f>+Tabla1[[#This Row],[PRECIO SUGERIDO INSTALADOR]]-Tabla1[[#This Row],[Columna1]]</f>
        <v>1125482.841</v>
      </c>
      <c r="Q23" s="25">
        <f>Tabla1[[#This Row],[instalador sin IVA]]*1.19</f>
        <v>1184718.78</v>
      </c>
      <c r="R23" s="41">
        <v>876736</v>
      </c>
      <c r="S23" s="40">
        <v>995562.00000000012</v>
      </c>
      <c r="T23" s="14">
        <v>290173.47129999998</v>
      </c>
      <c r="U23" s="13">
        <v>279715.95744680858</v>
      </c>
      <c r="V23" s="12"/>
    </row>
    <row r="24" spans="1:22" s="11" customFormat="1" ht="121.5" x14ac:dyDescent="0.25">
      <c r="A24" s="43" t="s">
        <v>64</v>
      </c>
      <c r="B24" s="44" t="s">
        <v>65</v>
      </c>
      <c r="C24" s="15">
        <f>+Tabla1[[#This Row],[PRECIO SUGERIDO INSTALADOR]]</f>
        <v>1649128.18</v>
      </c>
      <c r="D24" s="15">
        <f>+Tabla1[[#This Row],[TIENDA]]</f>
        <v>1566671.7709999999</v>
      </c>
      <c r="E24" s="15">
        <f>+Tabla1[[#This Row],[DPP ORO7]]</f>
        <v>1501439.66</v>
      </c>
      <c r="F24" s="19">
        <f>+Tabla1[[#This Row],[Columna4]]</f>
        <v>1486425.2633999998</v>
      </c>
      <c r="G24" s="19">
        <f>+Tabla1[[#This Row],[CLIENTE FINAL]]</f>
        <v>2355897.4</v>
      </c>
      <c r="H24" s="27" t="e">
        <f>+I24/#REF!</f>
        <v>#REF!</v>
      </c>
      <c r="I24" s="27">
        <f t="shared" si="0"/>
        <v>1486425.2633999998</v>
      </c>
      <c r="J24" s="26">
        <f t="shared" si="1"/>
        <v>15014.3966</v>
      </c>
      <c r="K24" s="23" t="e">
        <f>+L24/#REF!</f>
        <v>#REF!</v>
      </c>
      <c r="L24" s="24">
        <f>Tabla1[[#This Row],[oro sin IVA]]*1.19</f>
        <v>1501439.66</v>
      </c>
      <c r="M24" s="23" t="e">
        <f>+Q24/#REF!</f>
        <v>#REF!</v>
      </c>
      <c r="N24" s="23">
        <f>+Tabla1[[#This Row],[PRECIO SUGERIDO INSTALADOR]]/0.7</f>
        <v>2355897.4</v>
      </c>
      <c r="O24" s="23">
        <f>+Tabla1[[#This Row],[PRECIO SUGERIDO INSTALADOR]]*5%</f>
        <v>82456.409</v>
      </c>
      <c r="P24" s="23">
        <f>+Tabla1[[#This Row],[PRECIO SUGERIDO INSTALADOR]]-Tabla1[[#This Row],[Columna1]]</f>
        <v>1566671.7709999999</v>
      </c>
      <c r="Q24" s="25">
        <f>Tabla1[[#This Row],[instalador sin IVA]]*1.19</f>
        <v>1649128.18</v>
      </c>
      <c r="R24" s="41">
        <v>1261714</v>
      </c>
      <c r="S24" s="40">
        <v>1385822</v>
      </c>
      <c r="T24" s="14">
        <v>297702</v>
      </c>
      <c r="U24" s="13">
        <v>254287.23404255326</v>
      </c>
      <c r="V24" s="12"/>
    </row>
    <row r="25" spans="1:22" s="11" customFormat="1" ht="121.5" x14ac:dyDescent="0.25">
      <c r="A25" s="43" t="s">
        <v>66</v>
      </c>
      <c r="B25" s="44" t="s">
        <v>67</v>
      </c>
      <c r="C25" s="15">
        <f>+Tabla1[[#This Row],[PRECIO SUGERIDO INSTALADOR]]</f>
        <v>3542127.82</v>
      </c>
      <c r="D25" s="15">
        <f>+Tabla1[[#This Row],[TIENDA]]</f>
        <v>3365021.429</v>
      </c>
      <c r="E25" s="15">
        <f>+Tabla1[[#This Row],[DPP ORO7]]</f>
        <v>3224954.7399999998</v>
      </c>
      <c r="F25" s="19">
        <f>+Tabla1[[#This Row],[Columna4]]</f>
        <v>3192705.1925999997</v>
      </c>
      <c r="G25" s="19">
        <f>+Tabla1[[#This Row],[CLIENTE FINAL]]</f>
        <v>5060182.5999999996</v>
      </c>
      <c r="H25" s="27" t="e">
        <f>+I25/#REF!</f>
        <v>#REF!</v>
      </c>
      <c r="I25" s="27">
        <f t="shared" si="0"/>
        <v>3192705.1925999997</v>
      </c>
      <c r="J25" s="26">
        <f t="shared" si="1"/>
        <v>32249.547399999999</v>
      </c>
      <c r="K25" s="23" t="e">
        <f>+L25/#REF!</f>
        <v>#REF!</v>
      </c>
      <c r="L25" s="24">
        <f>Tabla1[[#This Row],[oro sin IVA]]*1.19</f>
        <v>3224954.7399999998</v>
      </c>
      <c r="M25" s="23" t="e">
        <f>+Q25/#REF!</f>
        <v>#REF!</v>
      </c>
      <c r="N25" s="23">
        <f>+Tabla1[[#This Row],[PRECIO SUGERIDO INSTALADOR]]/0.7</f>
        <v>5060182.5999999996</v>
      </c>
      <c r="O25" s="23">
        <f>+Tabla1[[#This Row],[PRECIO SUGERIDO INSTALADOR]]*5%</f>
        <v>177106.391</v>
      </c>
      <c r="P25" s="23">
        <f>+Tabla1[[#This Row],[PRECIO SUGERIDO INSTALADOR]]-Tabla1[[#This Row],[Columna1]]</f>
        <v>3365021.429</v>
      </c>
      <c r="Q25" s="25">
        <f>Tabla1[[#This Row],[instalador sin IVA]]*1.19</f>
        <v>3542127.82</v>
      </c>
      <c r="R25" s="41">
        <v>2710046</v>
      </c>
      <c r="S25" s="40">
        <v>2976578</v>
      </c>
      <c r="T25" s="14" t="s">
        <v>0</v>
      </c>
      <c r="U25" s="13">
        <v>241806.35425531919</v>
      </c>
      <c r="V25" s="12"/>
    </row>
    <row r="26" spans="1:22" s="11" customFormat="1" ht="135" x14ac:dyDescent="0.25">
      <c r="A26" s="43" t="s">
        <v>68</v>
      </c>
      <c r="B26" s="44" t="s">
        <v>69</v>
      </c>
      <c r="C26" s="15">
        <f>+Tabla1[[#This Row],[PRECIO SUGERIDO INSTALADOR]]</f>
        <v>3649615.76</v>
      </c>
      <c r="D26" s="15">
        <f>+Tabla1[[#This Row],[TIENDA]]</f>
        <v>3467134.9719999996</v>
      </c>
      <c r="E26" s="15">
        <f>+Tabla1[[#This Row],[DPP ORO7]]</f>
        <v>3325117.04</v>
      </c>
      <c r="F26" s="19">
        <f>+Tabla1[[#This Row],[Columna4]]</f>
        <v>3291865.8695999999</v>
      </c>
      <c r="G26" s="19">
        <f>+Tabla1[[#This Row],[CLIENTE FINAL]]</f>
        <v>5213736.8</v>
      </c>
      <c r="H26" s="19" t="e">
        <f>+I26/#REF!</f>
        <v>#REF!</v>
      </c>
      <c r="I26" s="19">
        <f t="shared" si="0"/>
        <v>3291865.8695999999</v>
      </c>
      <c r="J26" s="18">
        <f t="shared" si="1"/>
        <v>33251.170400000003</v>
      </c>
      <c r="K26" s="15" t="e">
        <f>+L26/#REF!</f>
        <v>#REF!</v>
      </c>
      <c r="L26" s="20">
        <f>Tabla1[[#This Row],[oro sin IVA]]*1.19</f>
        <v>3325117.04</v>
      </c>
      <c r="M26" s="15" t="e">
        <f>+Q26/#REF!</f>
        <v>#REF!</v>
      </c>
      <c r="N26" s="15">
        <f>+Tabla1[[#This Row],[PRECIO SUGERIDO INSTALADOR]]/0.7</f>
        <v>5213736.8</v>
      </c>
      <c r="O26" s="15">
        <f>+Tabla1[[#This Row],[PRECIO SUGERIDO INSTALADOR]]*5%</f>
        <v>182480.788</v>
      </c>
      <c r="P26" s="15">
        <f>+Tabla1[[#This Row],[PRECIO SUGERIDO INSTALADOR]]-Tabla1[[#This Row],[Columna1]]</f>
        <v>3467134.9719999996</v>
      </c>
      <c r="Q26" s="21">
        <f>Tabla1[[#This Row],[instalador sin IVA]]*1.19</f>
        <v>3649615.76</v>
      </c>
      <c r="R26" s="41">
        <v>2794216</v>
      </c>
      <c r="S26" s="40">
        <v>3066904</v>
      </c>
      <c r="T26" s="14">
        <v>186415</v>
      </c>
      <c r="U26" s="13">
        <v>203892.1276595745</v>
      </c>
      <c r="V26" s="12"/>
    </row>
    <row r="27" spans="1:22" s="11" customFormat="1" ht="40.5" x14ac:dyDescent="0.25">
      <c r="A27" s="43" t="s">
        <v>70</v>
      </c>
      <c r="B27" s="44" t="s">
        <v>71</v>
      </c>
      <c r="C27" s="15">
        <f>+Tabla1[[#This Row],[PRECIO SUGERIDO INSTALADOR]]</f>
        <v>141583.82</v>
      </c>
      <c r="D27" s="15">
        <f>+Tabla1[[#This Row],[TIENDA]]</f>
        <v>134504.62900000002</v>
      </c>
      <c r="E27" s="15">
        <f>+Tabla1[[#This Row],[DPP ORO7]]</f>
        <v>117752.87999999999</v>
      </c>
      <c r="F27" s="19">
        <f>+Tabla1[[#This Row],[Columna4]]</f>
        <v>116575.35119999999</v>
      </c>
      <c r="G27" s="19">
        <f>+Tabla1[[#This Row],[CLIENTE FINAL]]</f>
        <v>202262.60000000003</v>
      </c>
      <c r="H27" s="27" t="e">
        <f>+I27/#REF!</f>
        <v>#REF!</v>
      </c>
      <c r="I27" s="27">
        <f t="shared" si="0"/>
        <v>116575.35119999999</v>
      </c>
      <c r="J27" s="26">
        <f t="shared" si="1"/>
        <v>1177.5287999999998</v>
      </c>
      <c r="K27" s="23" t="e">
        <f>+L27/#REF!</f>
        <v>#REF!</v>
      </c>
      <c r="L27" s="24">
        <f>Tabla1[[#This Row],[oro sin IVA]]*1.19</f>
        <v>117752.87999999999</v>
      </c>
      <c r="M27" s="23" t="e">
        <f>+Q27/#REF!</f>
        <v>#REF!</v>
      </c>
      <c r="N27" s="23">
        <f>+Tabla1[[#This Row],[PRECIO SUGERIDO INSTALADOR]]/0.7</f>
        <v>202262.60000000003</v>
      </c>
      <c r="O27" s="23">
        <f>+Tabla1[[#This Row],[PRECIO SUGERIDO INSTALADOR]]*5%</f>
        <v>7079.1910000000007</v>
      </c>
      <c r="P27" s="23">
        <f>+Tabla1[[#This Row],[PRECIO SUGERIDO INSTALADOR]]-Tabla1[[#This Row],[Columna1]]</f>
        <v>134504.62900000002</v>
      </c>
      <c r="Q27" s="25">
        <f>Tabla1[[#This Row],[instalador sin IVA]]*1.19</f>
        <v>141583.82</v>
      </c>
      <c r="R27" s="41">
        <v>98952</v>
      </c>
      <c r="S27" s="40">
        <v>118978.00000000001</v>
      </c>
      <c r="T27" s="14">
        <v>151817.24350000001</v>
      </c>
      <c r="U27" s="13">
        <v>156964.57446808513</v>
      </c>
      <c r="V27" s="12"/>
    </row>
    <row r="28" spans="1:22" s="11" customFormat="1" ht="27" x14ac:dyDescent="0.25">
      <c r="A28" s="43" t="s">
        <v>72</v>
      </c>
      <c r="B28" s="44" t="s">
        <v>73</v>
      </c>
      <c r="C28" s="15">
        <f>+Tabla1[[#This Row],[PRECIO SUGERIDO INSTALADOR]]</f>
        <v>287553.98</v>
      </c>
      <c r="D28" s="15">
        <f>+Tabla1[[#This Row],[TIENDA]]</f>
        <v>273176.28099999996</v>
      </c>
      <c r="E28" s="22">
        <f>+Tabla1[[#This Row],[DPP ORO7]]</f>
        <v>209775.58</v>
      </c>
      <c r="F28" s="19">
        <f>+Tabla1[[#This Row],[Columna4]]</f>
        <v>207677.82419999997</v>
      </c>
      <c r="G28" s="22">
        <f>+Tabla1[[#This Row],[CLIENTE FINAL]]</f>
        <v>410791.4</v>
      </c>
      <c r="H28" s="22" t="e">
        <f>+I28/#REF!</f>
        <v>#REF!</v>
      </c>
      <c r="I28" s="22">
        <f t="shared" si="0"/>
        <v>207677.82419999997</v>
      </c>
      <c r="J28" s="22">
        <f t="shared" si="1"/>
        <v>2097.7557999999999</v>
      </c>
      <c r="K28" s="15" t="e">
        <f>+L28/#REF!</f>
        <v>#REF!</v>
      </c>
      <c r="L28" s="17">
        <f>Tabla1[[#This Row],[oro sin IVA]]*1.19</f>
        <v>209775.58</v>
      </c>
      <c r="M28" s="15" t="e">
        <f>+Q28/#REF!</f>
        <v>#REF!</v>
      </c>
      <c r="N28" s="15">
        <f>+Tabla1[[#This Row],[PRECIO SUGERIDO INSTALADOR]]/0.7</f>
        <v>410791.4</v>
      </c>
      <c r="O28" s="15">
        <f>+Tabla1[[#This Row],[PRECIO SUGERIDO INSTALADOR]]*5%</f>
        <v>14377.699000000001</v>
      </c>
      <c r="P28" s="15">
        <f>+Tabla1[[#This Row],[PRECIO SUGERIDO INSTALADOR]]-Tabla1[[#This Row],[Columna1]]</f>
        <v>273176.28099999996</v>
      </c>
      <c r="Q28" s="16">
        <f>Tabla1[[#This Row],[instalador sin IVA]]*1.19</f>
        <v>287553.98</v>
      </c>
      <c r="R28" s="41">
        <v>176282</v>
      </c>
      <c r="S28" s="40">
        <v>241642</v>
      </c>
      <c r="T28" s="2"/>
      <c r="U28" s="13">
        <v>138702</v>
      </c>
      <c r="V28" s="12"/>
    </row>
    <row r="29" spans="1:22" s="11" customFormat="1" ht="121.5" x14ac:dyDescent="0.25">
      <c r="A29" s="43" t="s">
        <v>74</v>
      </c>
      <c r="B29" s="44" t="s">
        <v>75</v>
      </c>
      <c r="C29" s="15">
        <f>+Tabla1[[#This Row],[PRECIO SUGERIDO INSTALADOR]]</f>
        <v>746265.65999999992</v>
      </c>
      <c r="D29" s="15">
        <f>+Tabla1[[#This Row],[TIENDA]]</f>
        <v>708952.37699999986</v>
      </c>
      <c r="E29" s="15">
        <f>+Tabla1[[#This Row],[DPP ORO7]]</f>
        <v>544403.57999999996</v>
      </c>
      <c r="F29" s="19">
        <f>+Tabla1[[#This Row],[Columna4]]</f>
        <v>538959.5442</v>
      </c>
      <c r="G29" s="19">
        <f>+Tabla1[[#This Row],[CLIENTE FINAL]]</f>
        <v>1066093.8</v>
      </c>
      <c r="H29" s="27" t="e">
        <f>+I29/#REF!</f>
        <v>#REF!</v>
      </c>
      <c r="I29" s="27">
        <f t="shared" si="0"/>
        <v>538959.5442</v>
      </c>
      <c r="J29" s="26">
        <f t="shared" si="1"/>
        <v>5444.0357999999997</v>
      </c>
      <c r="K29" s="23" t="e">
        <f>+L29/#REF!</f>
        <v>#REF!</v>
      </c>
      <c r="L29" s="24">
        <f>Tabla1[[#This Row],[oro sin IVA]]*1.19</f>
        <v>544403.57999999996</v>
      </c>
      <c r="M29" s="23" t="e">
        <f>+Q29/#REF!</f>
        <v>#REF!</v>
      </c>
      <c r="N29" s="23">
        <f>+Tabla1[[#This Row],[PRECIO SUGERIDO INSTALADOR]]/0.7</f>
        <v>1066093.8</v>
      </c>
      <c r="O29" s="23">
        <f>+Tabla1[[#This Row],[PRECIO SUGERIDO INSTALADOR]]*5%</f>
        <v>37313.282999999996</v>
      </c>
      <c r="P29" s="23">
        <f>+Tabla1[[#This Row],[PRECIO SUGERIDO INSTALADOR]]-Tabla1[[#This Row],[Columna1]]</f>
        <v>708952.37699999986</v>
      </c>
      <c r="Q29" s="25">
        <f>Tabla1[[#This Row],[instalador sin IVA]]*1.19</f>
        <v>746265.65999999992</v>
      </c>
      <c r="R29" s="41">
        <v>457482</v>
      </c>
      <c r="S29" s="40">
        <v>627114</v>
      </c>
      <c r="T29" s="14">
        <v>138147.93086666666</v>
      </c>
      <c r="U29" s="13">
        <v>143325.53191489363</v>
      </c>
      <c r="V29" s="12"/>
    </row>
    <row r="30" spans="1:22" s="11" customFormat="1" ht="121.5" x14ac:dyDescent="0.25">
      <c r="A30" s="43" t="s">
        <v>76</v>
      </c>
      <c r="B30" s="44" t="s">
        <v>77</v>
      </c>
      <c r="C30" s="15">
        <f>+Tabla1[[#This Row],[PRECIO SUGERIDO INSTALADOR]]</f>
        <v>1002436.96</v>
      </c>
      <c r="D30" s="15">
        <f>+Tabla1[[#This Row],[TIENDA]]</f>
        <v>952315.11199999996</v>
      </c>
      <c r="E30" s="15">
        <f>+Tabla1[[#This Row],[DPP ORO7]]</f>
        <v>731343.05999999994</v>
      </c>
      <c r="F30" s="19">
        <f>+Tabla1[[#This Row],[Columna4]]</f>
        <v>724029.62939999998</v>
      </c>
      <c r="G30" s="19">
        <f>+Tabla1[[#This Row],[CLIENTE FINAL]]</f>
        <v>1432052.8</v>
      </c>
      <c r="H30" s="27" t="e">
        <f>+I30/#REF!</f>
        <v>#REF!</v>
      </c>
      <c r="I30" s="27">
        <f t="shared" si="0"/>
        <v>724029.62939999998</v>
      </c>
      <c r="J30" s="26">
        <f t="shared" si="1"/>
        <v>7313.4305999999997</v>
      </c>
      <c r="K30" s="23" t="e">
        <f>+L30/#REF!</f>
        <v>#REF!</v>
      </c>
      <c r="L30" s="24">
        <f>Tabla1[[#This Row],[oro sin IVA]]*1.19</f>
        <v>731343.05999999994</v>
      </c>
      <c r="M30" s="23" t="e">
        <f>+Q30/#REF!</f>
        <v>#REF!</v>
      </c>
      <c r="N30" s="23">
        <f>+Tabla1[[#This Row],[PRECIO SUGERIDO INSTALADOR]]/0.7</f>
        <v>1432052.8</v>
      </c>
      <c r="O30" s="23">
        <f>+Tabla1[[#This Row],[PRECIO SUGERIDO INSTALADOR]]*5%</f>
        <v>50121.847999999998</v>
      </c>
      <c r="P30" s="23">
        <f>+Tabla1[[#This Row],[PRECIO SUGERIDO INSTALADOR]]-Tabla1[[#This Row],[Columna1]]</f>
        <v>952315.11199999996</v>
      </c>
      <c r="Q30" s="25">
        <f>Tabla1[[#This Row],[instalador sin IVA]]*1.19</f>
        <v>1002436.96</v>
      </c>
      <c r="R30" s="41">
        <v>614574</v>
      </c>
      <c r="S30" s="40">
        <v>842384</v>
      </c>
      <c r="T30" s="14">
        <v>133279.75779999999</v>
      </c>
      <c r="U30" s="13" t="s">
        <v>0</v>
      </c>
      <c r="V30" s="12"/>
    </row>
    <row r="31" spans="1:22" s="11" customFormat="1" ht="27" x14ac:dyDescent="0.25">
      <c r="A31" s="43" t="s">
        <v>78</v>
      </c>
      <c r="B31" s="44" t="s">
        <v>79</v>
      </c>
      <c r="C31" s="15">
        <f>+Tabla1[[#This Row],[PRECIO SUGERIDO INSTALADOR]]</f>
        <v>185808.97999999998</v>
      </c>
      <c r="D31" s="15">
        <f>+Tabla1[[#This Row],[TIENDA]]</f>
        <v>176518.53099999999</v>
      </c>
      <c r="E31" s="15">
        <f>+Tabla1[[#This Row],[DPP ORO7]]</f>
        <v>154516.74</v>
      </c>
      <c r="F31" s="19">
        <f>+Tabla1[[#This Row],[Columna4]]</f>
        <v>152971.57259999998</v>
      </c>
      <c r="G31" s="19">
        <f>+Tabla1[[#This Row],[CLIENTE FINAL]]</f>
        <v>265441.39999999997</v>
      </c>
      <c r="H31" s="27" t="e">
        <f>+I31/#REF!</f>
        <v>#REF!</v>
      </c>
      <c r="I31" s="27">
        <f t="shared" si="0"/>
        <v>152971.57259999998</v>
      </c>
      <c r="J31" s="26">
        <f t="shared" si="1"/>
        <v>1545.1674</v>
      </c>
      <c r="K31" s="23" t="e">
        <f>+L31/#REF!</f>
        <v>#REF!</v>
      </c>
      <c r="L31" s="24">
        <f>Tabla1[[#This Row],[oro sin IVA]]*1.19</f>
        <v>154516.74</v>
      </c>
      <c r="M31" s="23" t="e">
        <f>+Q31/#REF!</f>
        <v>#REF!</v>
      </c>
      <c r="N31" s="23">
        <f>+Tabla1[[#This Row],[PRECIO SUGERIDO INSTALADOR]]/0.7</f>
        <v>265441.39999999997</v>
      </c>
      <c r="O31" s="23">
        <f>+Tabla1[[#This Row],[PRECIO SUGERIDO INSTALADOR]]*5%</f>
        <v>9290.4489999999987</v>
      </c>
      <c r="P31" s="23">
        <f>+Tabla1[[#This Row],[PRECIO SUGERIDO INSTALADOR]]-Tabla1[[#This Row],[Columna1]]</f>
        <v>176518.53099999999</v>
      </c>
      <c r="Q31" s="25">
        <f>Tabla1[[#This Row],[instalador sin IVA]]*1.19</f>
        <v>185808.97999999998</v>
      </c>
      <c r="R31" s="41">
        <v>129846</v>
      </c>
      <c r="S31" s="40">
        <v>156142</v>
      </c>
      <c r="T31" s="14">
        <v>170121.19949999999</v>
      </c>
      <c r="U31" s="13">
        <v>162743.82978723408</v>
      </c>
      <c r="V31" s="12"/>
    </row>
    <row r="32" spans="1:22" s="11" customFormat="1" ht="27" x14ac:dyDescent="0.25">
      <c r="A32" s="43" t="s">
        <v>80</v>
      </c>
      <c r="B32" s="44" t="s">
        <v>81</v>
      </c>
      <c r="C32" s="15">
        <f>+Tabla1[[#This Row],[PRECIO SUGERIDO INSTALADOR]]</f>
        <v>367729.04</v>
      </c>
      <c r="D32" s="15">
        <f>+Tabla1[[#This Row],[TIENDA]]</f>
        <v>349342.58799999999</v>
      </c>
      <c r="E32" s="15">
        <f>+Tabla1[[#This Row],[DPP ORO7]]</f>
        <v>334718.44</v>
      </c>
      <c r="F32" s="19">
        <f>+Tabla1[[#This Row],[Columna4]]</f>
        <v>331371.25559999997</v>
      </c>
      <c r="G32" s="19">
        <f>+Tabla1[[#This Row],[CLIENTE FINAL]]</f>
        <v>525327.19999999995</v>
      </c>
      <c r="H32" s="27" t="e">
        <f>+I32/#REF!</f>
        <v>#REF!</v>
      </c>
      <c r="I32" s="27">
        <f t="shared" si="0"/>
        <v>331371.25559999997</v>
      </c>
      <c r="J32" s="26">
        <f t="shared" si="1"/>
        <v>3347.1844000000001</v>
      </c>
      <c r="K32" s="23" t="e">
        <f>+L32/#REF!</f>
        <v>#REF!</v>
      </c>
      <c r="L32" s="24">
        <f>Tabla1[[#This Row],[oro sin IVA]]*1.19</f>
        <v>334718.44</v>
      </c>
      <c r="M32" s="23" t="e">
        <f>+Q32/#REF!</f>
        <v>#REF!</v>
      </c>
      <c r="N32" s="23">
        <f>+Tabla1[[#This Row],[PRECIO SUGERIDO INSTALADOR]]/0.7</f>
        <v>525327.19999999995</v>
      </c>
      <c r="O32" s="23">
        <f>+Tabla1[[#This Row],[PRECIO SUGERIDO INSTALADOR]]*5%</f>
        <v>18386.452000000001</v>
      </c>
      <c r="P32" s="23">
        <f>+Tabla1[[#This Row],[PRECIO SUGERIDO INSTALADOR]]-Tabla1[[#This Row],[Columna1]]</f>
        <v>349342.58799999999</v>
      </c>
      <c r="Q32" s="25">
        <f>Tabla1[[#This Row],[instalador sin IVA]]*1.19</f>
        <v>367729.04</v>
      </c>
      <c r="R32" s="41">
        <v>281276</v>
      </c>
      <c r="S32" s="40">
        <v>309016</v>
      </c>
      <c r="T32" s="14">
        <v>160125.2746</v>
      </c>
      <c r="U32" s="13">
        <v>166442.55319148939</v>
      </c>
      <c r="V32" s="12"/>
    </row>
    <row r="33" spans="1:22" s="11" customFormat="1" ht="40.5" x14ac:dyDescent="0.25">
      <c r="A33" s="43" t="s">
        <v>82</v>
      </c>
      <c r="B33" s="44" t="s">
        <v>83</v>
      </c>
      <c r="C33" s="15">
        <f>+Tabla1[[#This Row],[PRECIO SUGERIDO INSTALADOR]]</f>
        <v>234510.91999999998</v>
      </c>
      <c r="D33" s="15">
        <f>+Tabla1[[#This Row],[TIENDA]]</f>
        <v>222785.37399999998</v>
      </c>
      <c r="E33" s="15">
        <f>+Tabla1[[#This Row],[DPP ORO7]]</f>
        <v>195124.3</v>
      </c>
      <c r="F33" s="19">
        <f>+Tabla1[[#This Row],[Columna4]]</f>
        <v>193173.057</v>
      </c>
      <c r="G33" s="19">
        <f>+Tabla1[[#This Row],[CLIENTE FINAL]]</f>
        <v>335015.59999999998</v>
      </c>
      <c r="H33" s="19" t="e">
        <f>+I33/#REF!</f>
        <v>#REF!</v>
      </c>
      <c r="I33" s="19">
        <f t="shared" si="0"/>
        <v>193173.057</v>
      </c>
      <c r="J33" s="18">
        <f t="shared" si="1"/>
        <v>1951.2429999999999</v>
      </c>
      <c r="K33" s="15" t="e">
        <f>+L33/#REF!</f>
        <v>#REF!</v>
      </c>
      <c r="L33" s="20">
        <f>Tabla1[[#This Row],[oro sin IVA]]*1.19</f>
        <v>195124.3</v>
      </c>
      <c r="M33" s="15" t="e">
        <f>+Q33/#REF!</f>
        <v>#REF!</v>
      </c>
      <c r="N33" s="15">
        <f>+Tabla1[[#This Row],[PRECIO SUGERIDO INSTALADOR]]/0.7</f>
        <v>335015.59999999998</v>
      </c>
      <c r="O33" s="15">
        <f>+Tabla1[[#This Row],[PRECIO SUGERIDO INSTALADOR]]*5%</f>
        <v>11725.546</v>
      </c>
      <c r="P33" s="15">
        <f>+Tabla1[[#This Row],[PRECIO SUGERIDO INSTALADOR]]-Tabla1[[#This Row],[Columna1]]</f>
        <v>222785.37399999998</v>
      </c>
      <c r="Q33" s="21">
        <f>Tabla1[[#This Row],[instalador sin IVA]]*1.19</f>
        <v>234510.91999999998</v>
      </c>
      <c r="R33" s="41">
        <v>163970</v>
      </c>
      <c r="S33" s="40">
        <v>197068</v>
      </c>
      <c r="T33" s="14" t="s">
        <v>0</v>
      </c>
      <c r="U33" s="13">
        <v>228858.51063829794</v>
      </c>
      <c r="V33" s="12"/>
    </row>
    <row r="34" spans="1:22" s="11" customFormat="1" ht="27" x14ac:dyDescent="0.25">
      <c r="A34" s="43" t="s">
        <v>84</v>
      </c>
      <c r="B34" s="44" t="s">
        <v>85</v>
      </c>
      <c r="C34" s="15">
        <f>+Tabla1[[#This Row],[PRECIO SUGERIDO INSTALADOR]]</f>
        <v>973812.7</v>
      </c>
      <c r="D34" s="15">
        <f>+Tabla1[[#This Row],[TIENDA]]</f>
        <v>925122.06499999994</v>
      </c>
      <c r="E34" s="15">
        <f>+Tabla1[[#This Row],[DPP ORO7]]</f>
        <v>809935.41999999993</v>
      </c>
      <c r="F34" s="19">
        <f>+Tabla1[[#This Row],[Columna4]]</f>
        <v>801836.06579999998</v>
      </c>
      <c r="G34" s="19">
        <f>+Tabla1[[#This Row],[CLIENTE FINAL]]</f>
        <v>1391161</v>
      </c>
      <c r="H34" s="19" t="e">
        <f>+I34/#REF!</f>
        <v>#REF!</v>
      </c>
      <c r="I34" s="19">
        <f t="shared" si="0"/>
        <v>801836.06579999998</v>
      </c>
      <c r="J34" s="18">
        <f t="shared" si="1"/>
        <v>8099.3541999999998</v>
      </c>
      <c r="K34" s="15" t="e">
        <f>+L34/#REF!</f>
        <v>#REF!</v>
      </c>
      <c r="L34" s="20">
        <f>Tabla1[[#This Row],[oro sin IVA]]*1.19</f>
        <v>809935.41999999993</v>
      </c>
      <c r="M34" s="15" t="e">
        <f>+Q34/#REF!</f>
        <v>#REF!</v>
      </c>
      <c r="N34" s="15">
        <f>+Tabla1[[#This Row],[PRECIO SUGERIDO INSTALADOR]]/0.7</f>
        <v>1391161</v>
      </c>
      <c r="O34" s="15">
        <f>+Tabla1[[#This Row],[PRECIO SUGERIDO INSTALADOR]]*5%</f>
        <v>48690.635000000002</v>
      </c>
      <c r="P34" s="15">
        <f>+Tabla1[[#This Row],[PRECIO SUGERIDO INSTALADOR]]-Tabla1[[#This Row],[Columna1]]</f>
        <v>925122.06499999994</v>
      </c>
      <c r="Q34" s="21">
        <f>Tabla1[[#This Row],[instalador sin IVA]]*1.19</f>
        <v>973812.7</v>
      </c>
      <c r="R34" s="41">
        <v>680618</v>
      </c>
      <c r="S34" s="40">
        <v>818330</v>
      </c>
      <c r="T34" s="14" t="s">
        <v>0</v>
      </c>
      <c r="U34" s="13">
        <v>583843.48936170223</v>
      </c>
      <c r="V34" s="12"/>
    </row>
    <row r="35" spans="1:22" s="11" customFormat="1" ht="27" x14ac:dyDescent="0.25">
      <c r="A35" s="43" t="s">
        <v>86</v>
      </c>
      <c r="B35" s="44" t="s">
        <v>85</v>
      </c>
      <c r="C35" s="15">
        <f>+Tabla1[[#This Row],[PRECIO SUGERIDO INSTALADOR]]</f>
        <v>879257.67999999993</v>
      </c>
      <c r="D35" s="15">
        <f>+Tabla1[[#This Row],[TIENDA]]</f>
        <v>835294.79599999997</v>
      </c>
      <c r="E35" s="15">
        <f>+Tabla1[[#This Row],[DPP ORO7]]</f>
        <v>731343.05999999994</v>
      </c>
      <c r="F35" s="19">
        <f>+Tabla1[[#This Row],[Columna4]]</f>
        <v>724029.62939999998</v>
      </c>
      <c r="G35" s="19">
        <f>+Tabla1[[#This Row],[CLIENTE FINAL]]</f>
        <v>1256082.3999999999</v>
      </c>
      <c r="H35" s="19" t="e">
        <f>+I35/#REF!</f>
        <v>#REF!</v>
      </c>
      <c r="I35" s="19">
        <f t="shared" si="0"/>
        <v>724029.62939999998</v>
      </c>
      <c r="J35" s="18">
        <f t="shared" si="1"/>
        <v>7313.4305999999997</v>
      </c>
      <c r="K35" s="15" t="e">
        <f>+L35/#REF!</f>
        <v>#REF!</v>
      </c>
      <c r="L35" s="20">
        <f>Tabla1[[#This Row],[oro sin IVA]]*1.19</f>
        <v>731343.05999999994</v>
      </c>
      <c r="M35" s="15" t="e">
        <f>+Q35/#REF!</f>
        <v>#REF!</v>
      </c>
      <c r="N35" s="15">
        <f>+Tabla1[[#This Row],[PRECIO SUGERIDO INSTALADOR]]/0.7</f>
        <v>1256082.3999999999</v>
      </c>
      <c r="O35" s="15">
        <f>+Tabla1[[#This Row],[PRECIO SUGERIDO INSTALADOR]]*5%</f>
        <v>43962.883999999998</v>
      </c>
      <c r="P35" s="15">
        <f>+Tabla1[[#This Row],[PRECIO SUGERIDO INSTALADOR]]-Tabla1[[#This Row],[Columna1]]</f>
        <v>835294.79599999997</v>
      </c>
      <c r="Q35" s="21">
        <f>Tabla1[[#This Row],[instalador sin IVA]]*1.19</f>
        <v>879257.67999999993</v>
      </c>
      <c r="R35" s="41">
        <v>614574</v>
      </c>
      <c r="S35" s="40">
        <v>738872</v>
      </c>
      <c r="T35" s="14" t="s">
        <v>0</v>
      </c>
      <c r="U35" s="13">
        <v>583843.48936170223</v>
      </c>
      <c r="V35" s="12"/>
    </row>
    <row r="36" spans="1:22" s="11" customFormat="1" ht="27" x14ac:dyDescent="0.25">
      <c r="A36" s="43" t="s">
        <v>87</v>
      </c>
      <c r="B36" s="44" t="s">
        <v>88</v>
      </c>
      <c r="C36" s="15">
        <f>+Tabla1[[#This Row],[PRECIO SUGERIDO INSTALADOR]]</f>
        <v>295422.26</v>
      </c>
      <c r="D36" s="15">
        <f>+Tabla1[[#This Row],[TIENDA]]</f>
        <v>280651.147</v>
      </c>
      <c r="E36" s="15">
        <f>+Tabla1[[#This Row],[DPP ORO7]]</f>
        <v>245680.25999999998</v>
      </c>
      <c r="F36" s="19">
        <f>+Tabla1[[#This Row],[Columna4]]</f>
        <v>243223.45739999998</v>
      </c>
      <c r="G36" s="19">
        <f>+Tabla1[[#This Row],[CLIENTE FINAL]]</f>
        <v>422031.80000000005</v>
      </c>
      <c r="H36" s="19" t="e">
        <f>+I36/#REF!</f>
        <v>#REF!</v>
      </c>
      <c r="I36" s="19">
        <f t="shared" si="0"/>
        <v>243223.45739999998</v>
      </c>
      <c r="J36" s="18">
        <f t="shared" si="1"/>
        <v>2456.8026</v>
      </c>
      <c r="K36" s="15" t="e">
        <f>+L36/#REF!</f>
        <v>#REF!</v>
      </c>
      <c r="L36" s="20">
        <f>Tabla1[[#This Row],[oro sin IVA]]*1.19</f>
        <v>245680.25999999998</v>
      </c>
      <c r="M36" s="15" t="e">
        <f>+Q36/#REF!</f>
        <v>#REF!</v>
      </c>
      <c r="N36" s="15">
        <f>+Tabla1[[#This Row],[PRECIO SUGERIDO INSTALADOR]]/0.7</f>
        <v>422031.80000000005</v>
      </c>
      <c r="O36" s="15">
        <f>+Tabla1[[#This Row],[PRECIO SUGERIDO INSTALADOR]]*5%</f>
        <v>14771.113000000001</v>
      </c>
      <c r="P36" s="15">
        <f>+Tabla1[[#This Row],[PRECIO SUGERIDO INSTALADOR]]-Tabla1[[#This Row],[Columna1]]</f>
        <v>280651.147</v>
      </c>
      <c r="Q36" s="21">
        <f>Tabla1[[#This Row],[instalador sin IVA]]*1.19</f>
        <v>295422.26</v>
      </c>
      <c r="R36" s="41">
        <v>206454</v>
      </c>
      <c r="S36" s="40">
        <v>248254.00000000003</v>
      </c>
      <c r="T36" s="14" t="s">
        <v>0</v>
      </c>
      <c r="U36" s="13">
        <v>321788.93617021275</v>
      </c>
      <c r="V36" s="12"/>
    </row>
    <row r="37" spans="1:22" s="11" customFormat="1" x14ac:dyDescent="0.25">
      <c r="A37" s="43" t="s">
        <v>89</v>
      </c>
      <c r="B37" s="44" t="s">
        <v>90</v>
      </c>
      <c r="C37" s="15">
        <f>+Tabla1[[#This Row],[PRECIO SUGERIDO INSTALADOR]]</f>
        <v>254407.72</v>
      </c>
      <c r="D37" s="15">
        <f>+Tabla1[[#This Row],[TIENDA]]</f>
        <v>241687.334</v>
      </c>
      <c r="E37" s="22">
        <f>+Tabla1[[#This Row],[DPP ORO7]]</f>
        <v>211584.38</v>
      </c>
      <c r="F37" s="19">
        <f>+Tabla1[[#This Row],[Columna4]]</f>
        <v>209468.5362</v>
      </c>
      <c r="G37" s="22">
        <f>+Tabla1[[#This Row],[CLIENTE FINAL]]</f>
        <v>363439.60000000003</v>
      </c>
      <c r="H37" s="22" t="e">
        <f>+I37/#REF!</f>
        <v>#REF!</v>
      </c>
      <c r="I37" s="22">
        <f t="shared" ref="I37:I68" si="6">+L37-J37</f>
        <v>209468.5362</v>
      </c>
      <c r="J37" s="22">
        <f t="shared" ref="J37:J68" si="7">+L37*1%</f>
        <v>2115.8438000000001</v>
      </c>
      <c r="K37" s="15" t="e">
        <f>+L37/#REF!</f>
        <v>#REF!</v>
      </c>
      <c r="L37" s="17">
        <f>Tabla1[[#This Row],[oro sin IVA]]*1.19</f>
        <v>211584.38</v>
      </c>
      <c r="M37" s="15" t="e">
        <f>+Q37/#REF!</f>
        <v>#REF!</v>
      </c>
      <c r="N37" s="15">
        <f>+Tabla1[[#This Row],[PRECIO SUGERIDO INSTALADOR]]/0.7</f>
        <v>363439.60000000003</v>
      </c>
      <c r="O37" s="15">
        <f>+Tabla1[[#This Row],[PRECIO SUGERIDO INSTALADOR]]*5%</f>
        <v>12720.386</v>
      </c>
      <c r="P37" s="15">
        <f>+Tabla1[[#This Row],[PRECIO SUGERIDO INSTALADOR]]-Tabla1[[#This Row],[Columna1]]</f>
        <v>241687.334</v>
      </c>
      <c r="Q37" s="16">
        <f>Tabla1[[#This Row],[instalador sin IVA]]*1.19</f>
        <v>254407.72</v>
      </c>
      <c r="R37" s="41">
        <v>177802</v>
      </c>
      <c r="S37" s="40">
        <v>213788</v>
      </c>
      <c r="T37" s="14"/>
      <c r="U37" s="13">
        <v>669723</v>
      </c>
      <c r="V37" s="12"/>
    </row>
    <row r="38" spans="1:22" s="11" customFormat="1" x14ac:dyDescent="0.25">
      <c r="A38" s="43" t="s">
        <v>91</v>
      </c>
      <c r="B38" s="44" t="s">
        <v>92</v>
      </c>
      <c r="C38" s="15">
        <f>+Tabla1[[#This Row],[PRECIO SUGERIDO INSTALADOR]]</f>
        <v>304194.94</v>
      </c>
      <c r="D38" s="15">
        <f>+Tabla1[[#This Row],[TIENDA]]</f>
        <v>288985.19300000003</v>
      </c>
      <c r="E38" s="22">
        <f>+Tabla1[[#This Row],[DPP ORO7]]</f>
        <v>253005.9</v>
      </c>
      <c r="F38" s="19">
        <f>+Tabla1[[#This Row],[Columna4]]</f>
        <v>250475.84099999999</v>
      </c>
      <c r="G38" s="22">
        <f>+Tabla1[[#This Row],[CLIENTE FINAL]]</f>
        <v>434564.2</v>
      </c>
      <c r="H38" s="22" t="e">
        <f>+I38/#REF!</f>
        <v>#REF!</v>
      </c>
      <c r="I38" s="22">
        <f t="shared" si="6"/>
        <v>250475.84099999999</v>
      </c>
      <c r="J38" s="22">
        <f t="shared" si="7"/>
        <v>2530.0590000000002</v>
      </c>
      <c r="K38" s="15" t="e">
        <f>+L38/#REF!</f>
        <v>#REF!</v>
      </c>
      <c r="L38" s="17">
        <f>Tabla1[[#This Row],[oro sin IVA]]*1.19</f>
        <v>253005.9</v>
      </c>
      <c r="M38" s="15" t="e">
        <f>+Q38/#REF!</f>
        <v>#REF!</v>
      </c>
      <c r="N38" s="15">
        <f>+Tabla1[[#This Row],[PRECIO SUGERIDO INSTALADOR]]/0.7</f>
        <v>434564.2</v>
      </c>
      <c r="O38" s="15">
        <f>+Tabla1[[#This Row],[PRECIO SUGERIDO INSTALADOR]]*5%</f>
        <v>15209.747000000001</v>
      </c>
      <c r="P38" s="15">
        <f>+Tabla1[[#This Row],[PRECIO SUGERIDO INSTALADOR]]-Tabla1[[#This Row],[Columna1]]</f>
        <v>288985.19300000003</v>
      </c>
      <c r="Q38" s="16">
        <f>Tabla1[[#This Row],[instalador sin IVA]]*1.19</f>
        <v>304194.94</v>
      </c>
      <c r="R38" s="41">
        <v>212610</v>
      </c>
      <c r="S38" s="40">
        <v>255626</v>
      </c>
      <c r="T38" s="14"/>
      <c r="U38" s="13">
        <v>590348</v>
      </c>
      <c r="V38" s="12"/>
    </row>
    <row r="39" spans="1:22" s="11" customFormat="1" ht="27" x14ac:dyDescent="0.25">
      <c r="A39" s="43" t="s">
        <v>93</v>
      </c>
      <c r="B39" s="44" t="s">
        <v>94</v>
      </c>
      <c r="C39" s="15">
        <f>+Tabla1[[#This Row],[PRECIO SUGERIDO INSTALADOR]]</f>
        <v>1880428.48</v>
      </c>
      <c r="D39" s="15">
        <f>+Tabla1[[#This Row],[TIENDA]]</f>
        <v>1786407.0559999999</v>
      </c>
      <c r="E39" s="15">
        <f>+Tabla1[[#This Row],[DPP ORO7]]</f>
        <v>1711938.76</v>
      </c>
      <c r="F39" s="19">
        <f>+Tabla1[[#This Row],[Columna4]]</f>
        <v>1694819.3724</v>
      </c>
      <c r="G39" s="19">
        <f>+Tabla1[[#This Row],[CLIENTE FINAL]]</f>
        <v>2686326.4000000004</v>
      </c>
      <c r="H39" s="19" t="e">
        <f>+I39/#REF!</f>
        <v>#REF!</v>
      </c>
      <c r="I39" s="19">
        <f t="shared" si="6"/>
        <v>1694819.3724</v>
      </c>
      <c r="J39" s="18">
        <f t="shared" si="7"/>
        <v>17119.387600000002</v>
      </c>
      <c r="K39" s="15" t="e">
        <f>+L39/#REF!</f>
        <v>#REF!</v>
      </c>
      <c r="L39" s="20">
        <f>Tabla1[[#This Row],[oro sin IVA]]*1.19</f>
        <v>1711938.76</v>
      </c>
      <c r="M39" s="15" t="e">
        <f>+Q39/#REF!</f>
        <v>#REF!</v>
      </c>
      <c r="N39" s="15">
        <f>+Tabla1[[#This Row],[PRECIO SUGERIDO INSTALADOR]]/0.7</f>
        <v>2686326.4000000004</v>
      </c>
      <c r="O39" s="15">
        <f>+Tabla1[[#This Row],[PRECIO SUGERIDO INSTALADOR]]*5%</f>
        <v>94021.423999999999</v>
      </c>
      <c r="P39" s="15">
        <f>+Tabla1[[#This Row],[PRECIO SUGERIDO INSTALADOR]]-Tabla1[[#This Row],[Columna1]]</f>
        <v>1786407.0559999999</v>
      </c>
      <c r="Q39" s="21">
        <f>Tabla1[[#This Row],[instalador sin IVA]]*1.19</f>
        <v>1880428.48</v>
      </c>
      <c r="R39" s="41">
        <v>1438604</v>
      </c>
      <c r="S39" s="40">
        <v>1580192</v>
      </c>
      <c r="T39" s="14" t="s">
        <v>0</v>
      </c>
      <c r="U39" s="13">
        <v>485457.44680851075</v>
      </c>
      <c r="V39" s="12"/>
    </row>
    <row r="40" spans="1:22" s="11" customFormat="1" ht="27" x14ac:dyDescent="0.25">
      <c r="A40" s="43" t="s">
        <v>95</v>
      </c>
      <c r="B40" s="44" t="s">
        <v>96</v>
      </c>
      <c r="C40" s="15">
        <f>+Tabla1[[#This Row],[PRECIO SUGERIDO INSTALADOR]]</f>
        <v>163651.18</v>
      </c>
      <c r="D40" s="15">
        <f>+Tabla1[[#This Row],[TIENDA]]</f>
        <v>155468.62099999998</v>
      </c>
      <c r="E40" s="15">
        <f>+Tabla1[[#This Row],[DPP ORO7]]</f>
        <v>144161.35999999999</v>
      </c>
      <c r="F40" s="19">
        <f>+Tabla1[[#This Row],[Columna4]]</f>
        <v>142719.74639999997</v>
      </c>
      <c r="G40" s="19">
        <f>+Tabla1[[#This Row],[CLIENTE FINAL]]</f>
        <v>233787.4</v>
      </c>
      <c r="H40" s="19" t="e">
        <f>+I40/#REF!</f>
        <v>#REF!</v>
      </c>
      <c r="I40" s="19">
        <f t="shared" si="6"/>
        <v>142719.74639999997</v>
      </c>
      <c r="J40" s="18">
        <f t="shared" si="7"/>
        <v>1441.6135999999999</v>
      </c>
      <c r="K40" s="15" t="e">
        <f>+L40/#REF!</f>
        <v>#REF!</v>
      </c>
      <c r="L40" s="20">
        <f>Tabla1[[#This Row],[oro sin IVA]]*1.19</f>
        <v>144161.35999999999</v>
      </c>
      <c r="M40" s="15" t="e">
        <f>+Q40/#REF!</f>
        <v>#REF!</v>
      </c>
      <c r="N40" s="15">
        <f>+Tabla1[[#This Row],[PRECIO SUGERIDO INSTALADOR]]/0.7</f>
        <v>233787.4</v>
      </c>
      <c r="O40" s="15">
        <f>+Tabla1[[#This Row],[PRECIO SUGERIDO INSTALADOR]]*5%</f>
        <v>8182.5590000000002</v>
      </c>
      <c r="P40" s="15">
        <f>+Tabla1[[#This Row],[PRECIO SUGERIDO INSTALADOR]]-Tabla1[[#This Row],[Columna1]]</f>
        <v>155468.62099999998</v>
      </c>
      <c r="Q40" s="21">
        <f>Tabla1[[#This Row],[instalador sin IVA]]*1.19</f>
        <v>163651.18</v>
      </c>
      <c r="R40" s="41">
        <v>121144</v>
      </c>
      <c r="S40" s="40">
        <v>137522</v>
      </c>
      <c r="T40" s="14" t="s">
        <v>0</v>
      </c>
      <c r="U40" s="13">
        <v>439223.40425531915</v>
      </c>
      <c r="V40" s="12"/>
    </row>
    <row r="41" spans="1:22" s="11" customFormat="1" ht="27" x14ac:dyDescent="0.25">
      <c r="A41" s="43" t="s">
        <v>97</v>
      </c>
      <c r="B41" s="44" t="s">
        <v>96</v>
      </c>
      <c r="C41" s="15">
        <f>+Tabla1[[#This Row],[PRECIO SUGERIDO INSTALADOR]]</f>
        <v>171474.24</v>
      </c>
      <c r="D41" s="15">
        <f>+Tabla1[[#This Row],[TIENDA]]</f>
        <v>162900.52799999999</v>
      </c>
      <c r="E41" s="15">
        <f>+Tabla1[[#This Row],[DPP ORO7]]</f>
        <v>125078.51999999999</v>
      </c>
      <c r="F41" s="19">
        <f>+Tabla1[[#This Row],[Columna4]]</f>
        <v>123827.73479999999</v>
      </c>
      <c r="G41" s="19">
        <f>+Tabla1[[#This Row],[CLIENTE FINAL]]</f>
        <v>244963.20000000001</v>
      </c>
      <c r="H41" s="27" t="e">
        <f>+I41/#REF!</f>
        <v>#REF!</v>
      </c>
      <c r="I41" s="27">
        <f t="shared" si="6"/>
        <v>123827.73479999999</v>
      </c>
      <c r="J41" s="26">
        <f t="shared" si="7"/>
        <v>1250.7852</v>
      </c>
      <c r="K41" s="23" t="e">
        <f>+L41/#REF!</f>
        <v>#REF!</v>
      </c>
      <c r="L41" s="24">
        <f>Tabla1[[#This Row],[oro sin IVA]]*1.19</f>
        <v>125078.51999999999</v>
      </c>
      <c r="M41" s="23" t="e">
        <f>+Q41/#REF!</f>
        <v>#REF!</v>
      </c>
      <c r="N41" s="23">
        <f>+Tabla1[[#This Row],[PRECIO SUGERIDO INSTALADOR]]/0.7</f>
        <v>244963.20000000001</v>
      </c>
      <c r="O41" s="23">
        <f>+Tabla1[[#This Row],[PRECIO SUGERIDO INSTALADOR]]*5%</f>
        <v>8573.7119999999995</v>
      </c>
      <c r="P41" s="23">
        <f>+Tabla1[[#This Row],[PRECIO SUGERIDO INSTALADOR]]-Tabla1[[#This Row],[Columna1]]</f>
        <v>162900.52799999999</v>
      </c>
      <c r="Q41" s="25">
        <f>Tabla1[[#This Row],[instalador sin IVA]]*1.19</f>
        <v>171474.24</v>
      </c>
      <c r="R41" s="41">
        <v>105108</v>
      </c>
      <c r="S41" s="40">
        <v>144096</v>
      </c>
      <c r="T41" s="14">
        <v>237689</v>
      </c>
      <c r="U41" s="13">
        <v>254842.04255319151</v>
      </c>
      <c r="V41" s="12"/>
    </row>
    <row r="42" spans="1:22" s="11" customFormat="1" ht="121.5" x14ac:dyDescent="0.25">
      <c r="A42" s="43" t="s">
        <v>98</v>
      </c>
      <c r="B42" s="44" t="s">
        <v>99</v>
      </c>
      <c r="C42" s="15">
        <f>+Tabla1[[#This Row],[PRECIO SUGERIDO INSTALADOR]]</f>
        <v>453466.16</v>
      </c>
      <c r="D42" s="15">
        <f>+Tabla1[[#This Row],[TIENDA]]</f>
        <v>430792.85199999996</v>
      </c>
      <c r="E42" s="15">
        <f>+Tabla1[[#This Row],[DPP ORO7]]</f>
        <v>412858.6</v>
      </c>
      <c r="F42" s="19">
        <f>+Tabla1[[#This Row],[Columna4]]</f>
        <v>408730.01399999997</v>
      </c>
      <c r="G42" s="19">
        <f>+Tabla1[[#This Row],[CLIENTE FINAL]]</f>
        <v>647808.80000000005</v>
      </c>
      <c r="H42" s="19" t="e">
        <f>+I42/#REF!</f>
        <v>#REF!</v>
      </c>
      <c r="I42" s="19">
        <f t="shared" si="6"/>
        <v>408730.01399999997</v>
      </c>
      <c r="J42" s="18">
        <f t="shared" si="7"/>
        <v>4128.5860000000002</v>
      </c>
      <c r="K42" s="15" t="e">
        <f>+L42/#REF!</f>
        <v>#REF!</v>
      </c>
      <c r="L42" s="20">
        <f>Tabla1[[#This Row],[oro sin IVA]]*1.19</f>
        <v>412858.6</v>
      </c>
      <c r="M42" s="15" t="e">
        <f>+Q42/#REF!</f>
        <v>#REF!</v>
      </c>
      <c r="N42" s="15">
        <f>+Tabla1[[#This Row],[PRECIO SUGERIDO INSTALADOR]]/0.7</f>
        <v>647808.80000000005</v>
      </c>
      <c r="O42" s="15">
        <f>+Tabla1[[#This Row],[PRECIO SUGERIDO INSTALADOR]]*5%</f>
        <v>22673.308000000001</v>
      </c>
      <c r="P42" s="15">
        <f>+Tabla1[[#This Row],[PRECIO SUGERIDO INSTALADOR]]-Tabla1[[#This Row],[Columna1]]</f>
        <v>430792.85199999996</v>
      </c>
      <c r="Q42" s="21">
        <f>Tabla1[[#This Row],[instalador sin IVA]]*1.19</f>
        <v>453466.16</v>
      </c>
      <c r="R42" s="41">
        <v>346940</v>
      </c>
      <c r="S42" s="40">
        <v>381064</v>
      </c>
      <c r="T42" s="30">
        <v>278051</v>
      </c>
      <c r="U42" s="13">
        <v>298117.10638297885</v>
      </c>
      <c r="V42" s="12"/>
    </row>
    <row r="43" spans="1:22" s="11" customFormat="1" ht="81" x14ac:dyDescent="0.25">
      <c r="A43" s="43" t="s">
        <v>100</v>
      </c>
      <c r="B43" s="44" t="s">
        <v>101</v>
      </c>
      <c r="C43" s="15">
        <f>+Tabla1[[#This Row],[PRECIO SUGERIDO INSTALADOR]]</f>
        <v>408110.5</v>
      </c>
      <c r="D43" s="15">
        <f>+Tabla1[[#This Row],[TIENDA]]</f>
        <v>387704.97499999998</v>
      </c>
      <c r="E43" s="15">
        <f>+Tabla1[[#This Row],[DPP ORO7]]</f>
        <v>371617.95999999996</v>
      </c>
      <c r="F43" s="19">
        <f>+Tabla1[[#This Row],[Columna4]]</f>
        <v>367901.78039999999</v>
      </c>
      <c r="G43" s="19">
        <f>+Tabla1[[#This Row],[CLIENTE FINAL]]</f>
        <v>583015</v>
      </c>
      <c r="H43" s="27" t="e">
        <f>+I43/#REF!</f>
        <v>#REF!</v>
      </c>
      <c r="I43" s="27">
        <f t="shared" si="6"/>
        <v>367901.78039999999</v>
      </c>
      <c r="J43" s="26">
        <f t="shared" si="7"/>
        <v>3716.1795999999995</v>
      </c>
      <c r="K43" s="23" t="e">
        <f>+L43/#REF!</f>
        <v>#REF!</v>
      </c>
      <c r="L43" s="24">
        <f>Tabla1[[#This Row],[oro sin IVA]]*1.19</f>
        <v>371617.95999999996</v>
      </c>
      <c r="M43" s="23" t="e">
        <f>+Q43/#REF!</f>
        <v>#REF!</v>
      </c>
      <c r="N43" s="23">
        <f>+Tabla1[[#This Row],[PRECIO SUGERIDO INSTALADOR]]/0.7</f>
        <v>583015</v>
      </c>
      <c r="O43" s="23">
        <f>+Tabla1[[#This Row],[PRECIO SUGERIDO INSTALADOR]]*5%</f>
        <v>20405.525000000001</v>
      </c>
      <c r="P43" s="23">
        <f>+Tabla1[[#This Row],[PRECIO SUGERIDO INSTALADOR]]-Tabla1[[#This Row],[Columna1]]</f>
        <v>387704.97499999998</v>
      </c>
      <c r="Q43" s="25">
        <f>Tabla1[[#This Row],[instalador sin IVA]]*1.19</f>
        <v>408110.5</v>
      </c>
      <c r="R43" s="41">
        <v>312284</v>
      </c>
      <c r="S43" s="40">
        <v>342950</v>
      </c>
      <c r="T43" s="14">
        <v>350638.24920000002</v>
      </c>
      <c r="U43" s="13">
        <v>401773.82978723408</v>
      </c>
      <c r="V43" s="12"/>
    </row>
    <row r="44" spans="1:22" s="11" customFormat="1" ht="27" x14ac:dyDescent="0.25">
      <c r="A44" s="43" t="s">
        <v>102</v>
      </c>
      <c r="B44" s="44" t="s">
        <v>103</v>
      </c>
      <c r="C44" s="15">
        <f>+Tabla1[[#This Row],[PRECIO SUGERIDO INSTALADOR]]</f>
        <v>680289.67999999993</v>
      </c>
      <c r="D44" s="15">
        <f>+Tabla1[[#This Row],[TIENDA]]</f>
        <v>646275.196</v>
      </c>
      <c r="E44" s="15">
        <f>+Tabla1[[#This Row],[DPP ORO7]]</f>
        <v>619333.12</v>
      </c>
      <c r="F44" s="19">
        <f>+Tabla1[[#This Row],[Columna4]]</f>
        <v>613139.78879999998</v>
      </c>
      <c r="G44" s="19">
        <f>+Tabla1[[#This Row],[CLIENTE FINAL]]</f>
        <v>971842.4</v>
      </c>
      <c r="H44" s="19" t="e">
        <f>+I44/#REF!</f>
        <v>#REF!</v>
      </c>
      <c r="I44" s="19">
        <f t="shared" si="6"/>
        <v>613139.78879999998</v>
      </c>
      <c r="J44" s="18">
        <f t="shared" si="7"/>
        <v>6193.3312000000005</v>
      </c>
      <c r="K44" s="15" t="e">
        <f>+L44/#REF!</f>
        <v>#REF!</v>
      </c>
      <c r="L44" s="20">
        <f>Tabla1[[#This Row],[oro sin IVA]]*1.19</f>
        <v>619333.12</v>
      </c>
      <c r="M44" s="15" t="e">
        <f>+Q44/#REF!</f>
        <v>#REF!</v>
      </c>
      <c r="N44" s="15">
        <f>+Tabla1[[#This Row],[PRECIO SUGERIDO INSTALADOR]]/0.7</f>
        <v>971842.4</v>
      </c>
      <c r="O44" s="15">
        <f>+Tabla1[[#This Row],[PRECIO SUGERIDO INSTALADOR]]*5%</f>
        <v>34014.483999999997</v>
      </c>
      <c r="P44" s="15">
        <f>+Tabla1[[#This Row],[PRECIO SUGERIDO INSTALADOR]]-Tabla1[[#This Row],[Columna1]]</f>
        <v>646275.196</v>
      </c>
      <c r="Q44" s="21">
        <f>Tabla1[[#This Row],[instalador sin IVA]]*1.19</f>
        <v>680289.67999999993</v>
      </c>
      <c r="R44" s="41">
        <v>520448</v>
      </c>
      <c r="S44" s="40">
        <v>571672</v>
      </c>
      <c r="T44" s="14" t="s">
        <v>0</v>
      </c>
      <c r="U44" s="13">
        <v>429976.5957446809</v>
      </c>
      <c r="V44" s="12"/>
    </row>
    <row r="45" spans="1:22" s="11" customFormat="1" ht="40.5" x14ac:dyDescent="0.25">
      <c r="A45" s="43" t="s">
        <v>104</v>
      </c>
      <c r="B45" s="44" t="s">
        <v>105</v>
      </c>
      <c r="C45" s="15">
        <f>+Tabla1[[#This Row],[PRECIO SUGERIDO INSTALADOR]]</f>
        <v>680289.67999999993</v>
      </c>
      <c r="D45" s="15">
        <f>+Tabla1[[#This Row],[TIENDA]]</f>
        <v>646275.196</v>
      </c>
      <c r="E45" s="15">
        <f>+Tabla1[[#This Row],[DPP ORO7]]</f>
        <v>598984.12</v>
      </c>
      <c r="F45" s="19">
        <f>+Tabla1[[#This Row],[Columna4]]</f>
        <v>592994.27879999997</v>
      </c>
      <c r="G45" s="19">
        <f>+Tabla1[[#This Row],[CLIENTE FINAL]]</f>
        <v>971842.4</v>
      </c>
      <c r="H45" s="27" t="e">
        <f>+I45/#REF!</f>
        <v>#REF!</v>
      </c>
      <c r="I45" s="27">
        <f t="shared" si="6"/>
        <v>592994.27879999997</v>
      </c>
      <c r="J45" s="26">
        <f t="shared" si="7"/>
        <v>5989.8411999999998</v>
      </c>
      <c r="K45" s="23" t="e">
        <f>+L45/#REF!</f>
        <v>#REF!</v>
      </c>
      <c r="L45" s="24">
        <f>Tabla1[[#This Row],[oro sin IVA]]*1.19</f>
        <v>598984.12</v>
      </c>
      <c r="M45" s="23" t="e">
        <f>+Q45/#REF!</f>
        <v>#REF!</v>
      </c>
      <c r="N45" s="23">
        <f>+Tabla1[[#This Row],[PRECIO SUGERIDO INSTALADOR]]/0.7</f>
        <v>971842.4</v>
      </c>
      <c r="O45" s="23">
        <f>+Tabla1[[#This Row],[PRECIO SUGERIDO INSTALADOR]]*5%</f>
        <v>34014.483999999997</v>
      </c>
      <c r="P45" s="23">
        <f>+Tabla1[[#This Row],[PRECIO SUGERIDO INSTALADOR]]-Tabla1[[#This Row],[Columna1]]</f>
        <v>646275.196</v>
      </c>
      <c r="Q45" s="25">
        <f>Tabla1[[#This Row],[instalador sin IVA]]*1.19</f>
        <v>680289.67999999993</v>
      </c>
      <c r="R45" s="41">
        <v>503348</v>
      </c>
      <c r="S45" s="40">
        <v>571672</v>
      </c>
      <c r="T45" s="14">
        <v>497707.76130000001</v>
      </c>
      <c r="U45" s="13">
        <v>549260.42553191492</v>
      </c>
      <c r="V45" s="12"/>
    </row>
    <row r="46" spans="1:22" s="11" customFormat="1" ht="54" x14ac:dyDescent="0.25">
      <c r="A46" s="43" t="s">
        <v>106</v>
      </c>
      <c r="B46" s="44" t="s">
        <v>107</v>
      </c>
      <c r="C46" s="15">
        <f>+Tabla1[[#This Row],[PRECIO SUGERIDO INSTALADOR]]</f>
        <v>765619.82</v>
      </c>
      <c r="D46" s="15">
        <f>+Tabla1[[#This Row],[TIENDA]]</f>
        <v>727338.82899999991</v>
      </c>
      <c r="E46" s="15">
        <f>+Tabla1[[#This Row],[DPP ORO7]]</f>
        <v>697021.08</v>
      </c>
      <c r="F46" s="19">
        <f>+Tabla1[[#This Row],[Columna4]]</f>
        <v>690050.86919999996</v>
      </c>
      <c r="G46" s="19">
        <f>+Tabla1[[#This Row],[CLIENTE FINAL]]</f>
        <v>1093742.6000000001</v>
      </c>
      <c r="H46" s="19" t="e">
        <f>+I46/#REF!</f>
        <v>#REF!</v>
      </c>
      <c r="I46" s="19">
        <f t="shared" si="6"/>
        <v>690050.86919999996</v>
      </c>
      <c r="J46" s="18">
        <f t="shared" si="7"/>
        <v>6970.2107999999998</v>
      </c>
      <c r="K46" s="15" t="e">
        <f>+L46/#REF!</f>
        <v>#REF!</v>
      </c>
      <c r="L46" s="20">
        <f>Tabla1[[#This Row],[oro sin IVA]]*1.19</f>
        <v>697021.08</v>
      </c>
      <c r="M46" s="15" t="e">
        <f>+Q46/#REF!</f>
        <v>#REF!</v>
      </c>
      <c r="N46" s="15">
        <f>+Tabla1[[#This Row],[PRECIO SUGERIDO INSTALADOR]]/0.7</f>
        <v>1093742.6000000001</v>
      </c>
      <c r="O46" s="15">
        <f>+Tabla1[[#This Row],[PRECIO SUGERIDO INSTALADOR]]*5%</f>
        <v>38280.991000000002</v>
      </c>
      <c r="P46" s="15">
        <f>+Tabla1[[#This Row],[PRECIO SUGERIDO INSTALADOR]]-Tabla1[[#This Row],[Columna1]]</f>
        <v>727338.82899999991</v>
      </c>
      <c r="Q46" s="21">
        <f>Tabla1[[#This Row],[instalador sin IVA]]*1.19</f>
        <v>765619.82</v>
      </c>
      <c r="R46" s="41">
        <v>585732</v>
      </c>
      <c r="S46" s="40">
        <v>643378</v>
      </c>
      <c r="T46" s="14" t="s">
        <v>0</v>
      </c>
      <c r="U46" s="13">
        <v>439223.40425531915</v>
      </c>
      <c r="V46" s="12"/>
    </row>
    <row r="47" spans="1:22" s="11" customFormat="1" ht="27" x14ac:dyDescent="0.25">
      <c r="A47" s="43" t="s">
        <v>108</v>
      </c>
      <c r="B47" s="44" t="s">
        <v>109</v>
      </c>
      <c r="C47" s="15">
        <f>+Tabla1[[#This Row],[PRECIO SUGERIDO INSTALADOR]]</f>
        <v>794560.62</v>
      </c>
      <c r="D47" s="15">
        <f>+Tabla1[[#This Row],[TIENDA]]</f>
        <v>754832.58900000004</v>
      </c>
      <c r="E47" s="15">
        <f>+Tabla1[[#This Row],[DPP ORO7]]</f>
        <v>927507.41999999993</v>
      </c>
      <c r="F47" s="19">
        <f>+Tabla1[[#This Row],[Columna4]]</f>
        <v>918232.34579999989</v>
      </c>
      <c r="G47" s="19">
        <f>+Tabla1[[#This Row],[CLIENTE FINAL]]</f>
        <v>1135086.6000000001</v>
      </c>
      <c r="H47" s="27" t="e">
        <f>+I47/#REF!</f>
        <v>#REF!</v>
      </c>
      <c r="I47" s="27">
        <f t="shared" si="6"/>
        <v>918232.34579999989</v>
      </c>
      <c r="J47" s="26">
        <f t="shared" si="7"/>
        <v>9275.0741999999991</v>
      </c>
      <c r="K47" s="23" t="e">
        <f>+L47/#REF!</f>
        <v>#REF!</v>
      </c>
      <c r="L47" s="24">
        <f>Tabla1[[#This Row],[oro sin IVA]]*1.19</f>
        <v>927507.41999999993</v>
      </c>
      <c r="M47" s="23" t="e">
        <f>+Q47/#REF!</f>
        <v>#REF!</v>
      </c>
      <c r="N47" s="23">
        <f>+Tabla1[[#This Row],[PRECIO SUGERIDO INSTALADOR]]/0.7</f>
        <v>1135086.6000000001</v>
      </c>
      <c r="O47" s="23">
        <f>+Tabla1[[#This Row],[PRECIO SUGERIDO INSTALADOR]]*5%</f>
        <v>39728.031000000003</v>
      </c>
      <c r="P47" s="23">
        <f>+Tabla1[[#This Row],[PRECIO SUGERIDO INSTALADOR]]-Tabla1[[#This Row],[Columna1]]</f>
        <v>754832.58900000004</v>
      </c>
      <c r="Q47" s="25">
        <f>Tabla1[[#This Row],[instalador sin IVA]]*1.19</f>
        <v>794560.62</v>
      </c>
      <c r="R47" s="41">
        <v>779418</v>
      </c>
      <c r="S47" s="40">
        <v>667698</v>
      </c>
      <c r="T47" s="14">
        <v>363001</v>
      </c>
      <c r="U47" s="13">
        <v>346755.31914893619</v>
      </c>
      <c r="V47" s="12"/>
    </row>
    <row r="48" spans="1:22" s="11" customFormat="1" ht="27" x14ac:dyDescent="0.25">
      <c r="A48" s="43" t="s">
        <v>110</v>
      </c>
      <c r="B48" s="44" t="s">
        <v>111</v>
      </c>
      <c r="C48" s="15">
        <f>+Tabla1[[#This Row],[PRECIO SUGERIDO INSTALADOR]]</f>
        <v>60640.02</v>
      </c>
      <c r="D48" s="15">
        <f>+Tabla1[[#This Row],[TIENDA]]</f>
        <v>57608.019</v>
      </c>
      <c r="E48" s="15">
        <f>+Tabla1[[#This Row],[DPP ORO7]]</f>
        <v>55123.18</v>
      </c>
      <c r="F48" s="19">
        <f>+Tabla1[[#This Row],[Columna4]]</f>
        <v>54571.948199999999</v>
      </c>
      <c r="G48" s="19">
        <f>+Tabla1[[#This Row],[CLIENTE FINAL]]</f>
        <v>86628.6</v>
      </c>
      <c r="H48" s="19" t="e">
        <f>+I48/#REF!</f>
        <v>#REF!</v>
      </c>
      <c r="I48" s="19">
        <f t="shared" si="6"/>
        <v>54571.948199999999</v>
      </c>
      <c r="J48" s="18">
        <f t="shared" si="7"/>
        <v>551.23180000000002</v>
      </c>
      <c r="K48" s="15" t="e">
        <f>+L48/#REF!</f>
        <v>#REF!</v>
      </c>
      <c r="L48" s="20">
        <f>Tabla1[[#This Row],[oro sin IVA]]*1.19</f>
        <v>55123.18</v>
      </c>
      <c r="M48" s="15" t="e">
        <f>+Q48/#REF!</f>
        <v>#REF!</v>
      </c>
      <c r="N48" s="15">
        <f>+Tabla1[[#This Row],[PRECIO SUGERIDO INSTALADOR]]/0.7</f>
        <v>86628.6</v>
      </c>
      <c r="O48" s="15">
        <f>+Tabla1[[#This Row],[PRECIO SUGERIDO INSTALADOR]]*5%</f>
        <v>3032.0010000000002</v>
      </c>
      <c r="P48" s="15">
        <f>+Tabla1[[#This Row],[PRECIO SUGERIDO INSTALADOR]]-Tabla1[[#This Row],[Columna1]]</f>
        <v>57608.019</v>
      </c>
      <c r="Q48" s="21">
        <f>Tabla1[[#This Row],[instalador sin IVA]]*1.19</f>
        <v>60640.02</v>
      </c>
      <c r="R48" s="41">
        <v>46322</v>
      </c>
      <c r="S48" s="40">
        <v>50958</v>
      </c>
      <c r="T48" s="14" t="s">
        <v>0</v>
      </c>
      <c r="U48" s="13">
        <v>346755.31914893619</v>
      </c>
      <c r="V48" s="12"/>
    </row>
    <row r="49" spans="1:22" s="11" customFormat="1" ht="27" x14ac:dyDescent="0.25">
      <c r="A49" s="43" t="s">
        <v>112</v>
      </c>
      <c r="B49" s="44" t="s">
        <v>113</v>
      </c>
      <c r="C49" s="15">
        <f>+Tabla1[[#This Row],[PRECIO SUGERIDO INSTALADOR]]</f>
        <v>61906.18</v>
      </c>
      <c r="D49" s="15">
        <f>+Tabla1[[#This Row],[TIENDA]]</f>
        <v>58810.870999999999</v>
      </c>
      <c r="E49" s="15">
        <f>+Tabla1[[#This Row],[DPP ORO7]]</f>
        <v>55123.18</v>
      </c>
      <c r="F49" s="19">
        <f>+Tabla1[[#This Row],[Columna4]]</f>
        <v>54571.948199999999</v>
      </c>
      <c r="G49" s="19">
        <f>+Tabla1[[#This Row],[CLIENTE FINAL]]</f>
        <v>88437.400000000009</v>
      </c>
      <c r="H49" s="19" t="e">
        <f>+I49/#REF!</f>
        <v>#REF!</v>
      </c>
      <c r="I49" s="19">
        <f t="shared" si="6"/>
        <v>54571.948199999999</v>
      </c>
      <c r="J49" s="18">
        <f t="shared" si="7"/>
        <v>551.23180000000002</v>
      </c>
      <c r="K49" s="15" t="e">
        <f>+L49/#REF!</f>
        <v>#REF!</v>
      </c>
      <c r="L49" s="20">
        <f>Tabla1[[#This Row],[oro sin IVA]]*1.19</f>
        <v>55123.18</v>
      </c>
      <c r="M49" s="15" t="e">
        <f>+Q49/#REF!</f>
        <v>#REF!</v>
      </c>
      <c r="N49" s="15">
        <f>+Tabla1[[#This Row],[PRECIO SUGERIDO INSTALADOR]]/0.7</f>
        <v>88437.400000000009</v>
      </c>
      <c r="O49" s="15">
        <f>+Tabla1[[#This Row],[PRECIO SUGERIDO INSTALADOR]]*5%</f>
        <v>3095.3090000000002</v>
      </c>
      <c r="P49" s="15">
        <f>+Tabla1[[#This Row],[PRECIO SUGERIDO INSTALADOR]]-Tabla1[[#This Row],[Columna1]]</f>
        <v>58810.870999999999</v>
      </c>
      <c r="Q49" s="21">
        <f>Tabla1[[#This Row],[instalador sin IVA]]*1.19</f>
        <v>61906.18</v>
      </c>
      <c r="R49" s="41">
        <v>46322</v>
      </c>
      <c r="S49" s="42">
        <v>52022</v>
      </c>
      <c r="T49" s="14">
        <v>74425</v>
      </c>
      <c r="U49" s="13">
        <v>69351.063829787236</v>
      </c>
      <c r="V49" s="12"/>
    </row>
    <row r="50" spans="1:22" s="11" customFormat="1" ht="40.5" x14ac:dyDescent="0.25">
      <c r="A50" s="43" t="s">
        <v>114</v>
      </c>
      <c r="B50" s="44" t="s">
        <v>115</v>
      </c>
      <c r="C50" s="15">
        <f>+Tabla1[[#This Row],[PRECIO SUGERIDO INSTALADOR]]</f>
        <v>455410.62</v>
      </c>
      <c r="D50" s="15">
        <f>+Tabla1[[#This Row],[TIENDA]]</f>
        <v>432640.08899999998</v>
      </c>
      <c r="E50" s="15">
        <f>+Tabla1[[#This Row],[DPP ORO7]]</f>
        <v>327664.12</v>
      </c>
      <c r="F50" s="19">
        <f>+Tabla1[[#This Row],[Columna4]]</f>
        <v>324387.47879999998</v>
      </c>
      <c r="G50" s="19">
        <f>+Tabla1[[#This Row],[CLIENTE FINAL]]</f>
        <v>650586.6</v>
      </c>
      <c r="H50" s="19" t="e">
        <f>+I50/#REF!</f>
        <v>#REF!</v>
      </c>
      <c r="I50" s="19">
        <f t="shared" si="6"/>
        <v>324387.47879999998</v>
      </c>
      <c r="J50" s="18">
        <f t="shared" si="7"/>
        <v>3276.6412</v>
      </c>
      <c r="K50" s="15" t="e">
        <f>+L50/#REF!</f>
        <v>#REF!</v>
      </c>
      <c r="L50" s="20">
        <f>Tabla1[[#This Row],[oro sin IVA]]*1.19</f>
        <v>327664.12</v>
      </c>
      <c r="M50" s="15" t="e">
        <f>+Q50/#REF!</f>
        <v>#REF!</v>
      </c>
      <c r="N50" s="15">
        <f>+Tabla1[[#This Row],[PRECIO SUGERIDO INSTALADOR]]/0.7</f>
        <v>650586.6</v>
      </c>
      <c r="O50" s="15">
        <f>+Tabla1[[#This Row],[PRECIO SUGERIDO INSTALADOR]]*5%</f>
        <v>22770.531000000003</v>
      </c>
      <c r="P50" s="15">
        <f>+Tabla1[[#This Row],[PRECIO SUGERIDO INSTALADOR]]-Tabla1[[#This Row],[Columna1]]</f>
        <v>432640.08899999998</v>
      </c>
      <c r="Q50" s="21">
        <f>Tabla1[[#This Row],[instalador sin IVA]]*1.19</f>
        <v>455410.62</v>
      </c>
      <c r="R50" s="41">
        <v>275348</v>
      </c>
      <c r="S50" s="40">
        <v>382698</v>
      </c>
      <c r="T50" s="14" t="s">
        <v>0</v>
      </c>
      <c r="U50" s="13">
        <v>69351.063829787236</v>
      </c>
      <c r="V50" s="12"/>
    </row>
    <row r="51" spans="1:22" s="11" customFormat="1" ht="40.5" x14ac:dyDescent="0.25">
      <c r="A51" s="43" t="s">
        <v>116</v>
      </c>
      <c r="B51" s="44" t="s">
        <v>117</v>
      </c>
      <c r="C51" s="15">
        <f>+Tabla1[[#This Row],[PRECIO SUGERIDO INSTALADOR]]</f>
        <v>208418.97999999998</v>
      </c>
      <c r="D51" s="15">
        <f>+Tabla1[[#This Row],[TIENDA]]</f>
        <v>197998.03099999999</v>
      </c>
      <c r="E51" s="15">
        <f>+Tabla1[[#This Row],[DPP ORO7]]</f>
        <v>149994.74</v>
      </c>
      <c r="F51" s="19">
        <f>+Tabla1[[#This Row],[Columna4]]</f>
        <v>148494.79259999999</v>
      </c>
      <c r="G51" s="19">
        <f>+Tabla1[[#This Row],[CLIENTE FINAL]]</f>
        <v>297741.39999999997</v>
      </c>
      <c r="H51" s="19" t="e">
        <f>+I51/#REF!</f>
        <v>#REF!</v>
      </c>
      <c r="I51" s="19">
        <f t="shared" si="6"/>
        <v>148494.79259999999</v>
      </c>
      <c r="J51" s="18">
        <f t="shared" si="7"/>
        <v>1499.9474</v>
      </c>
      <c r="K51" s="15" t="e">
        <f>+L51/#REF!</f>
        <v>#REF!</v>
      </c>
      <c r="L51" s="20">
        <f>Tabla1[[#This Row],[oro sin IVA]]*1.19</f>
        <v>149994.74</v>
      </c>
      <c r="M51" s="15" t="e">
        <f>+Q51/#REF!</f>
        <v>#REF!</v>
      </c>
      <c r="N51" s="15">
        <f>+Tabla1[[#This Row],[PRECIO SUGERIDO INSTALADOR]]/0.7</f>
        <v>297741.39999999997</v>
      </c>
      <c r="O51" s="15">
        <f>+Tabla1[[#This Row],[PRECIO SUGERIDO INSTALADOR]]*5%</f>
        <v>10420.949000000001</v>
      </c>
      <c r="P51" s="15">
        <f>+Tabla1[[#This Row],[PRECIO SUGERIDO INSTALADOR]]-Tabla1[[#This Row],[Columna1]]</f>
        <v>197998.03099999999</v>
      </c>
      <c r="Q51" s="21">
        <f>Tabla1[[#This Row],[instalador sin IVA]]*1.19</f>
        <v>208418.97999999998</v>
      </c>
      <c r="R51" s="41">
        <v>126046</v>
      </c>
      <c r="S51" s="40">
        <v>175142</v>
      </c>
      <c r="T51" s="14" t="s">
        <v>0</v>
      </c>
      <c r="U51" s="13">
        <v>300521.27659574471</v>
      </c>
      <c r="V51" s="12"/>
    </row>
    <row r="52" spans="1:22" s="11" customFormat="1" ht="40.5" x14ac:dyDescent="0.25">
      <c r="A52" s="43" t="s">
        <v>118</v>
      </c>
      <c r="B52" s="44" t="s">
        <v>119</v>
      </c>
      <c r="C52" s="15">
        <f>+Tabla1[[#This Row],[PRECIO SUGERIDO INSTALADOR]]</f>
        <v>453782.69999999995</v>
      </c>
      <c r="D52" s="15">
        <f>+Tabla1[[#This Row],[TIENDA]]</f>
        <v>431093.56499999994</v>
      </c>
      <c r="E52" s="15">
        <f>+Tabla1[[#This Row],[DPP ORO7]]</f>
        <v>277650.8</v>
      </c>
      <c r="F52" s="19">
        <f>+Tabla1[[#This Row],[Columna4]]</f>
        <v>274874.29200000002</v>
      </c>
      <c r="G52" s="19">
        <f>+Tabla1[[#This Row],[CLIENTE FINAL]]</f>
        <v>648261</v>
      </c>
      <c r="H52" s="19" t="e">
        <f>+I52/#REF!</f>
        <v>#REF!</v>
      </c>
      <c r="I52" s="19">
        <f t="shared" si="6"/>
        <v>274874.29200000002</v>
      </c>
      <c r="J52" s="18">
        <f t="shared" si="7"/>
        <v>2776.5079999999998</v>
      </c>
      <c r="K52" s="15" t="e">
        <f>+L52/#REF!</f>
        <v>#REF!</v>
      </c>
      <c r="L52" s="20">
        <f>Tabla1[[#This Row],[oro sin IVA]]*1.19</f>
        <v>277650.8</v>
      </c>
      <c r="M52" s="15" t="e">
        <f>+Q52/#REF!</f>
        <v>#REF!</v>
      </c>
      <c r="N52" s="15">
        <f>+Tabla1[[#This Row],[PRECIO SUGERIDO INSTALADOR]]/0.7</f>
        <v>648261</v>
      </c>
      <c r="O52" s="15">
        <f>+Tabla1[[#This Row],[PRECIO SUGERIDO INSTALADOR]]*5%</f>
        <v>22689.134999999998</v>
      </c>
      <c r="P52" s="15">
        <f>+Tabla1[[#This Row],[PRECIO SUGERIDO INSTALADOR]]-Tabla1[[#This Row],[Columna1]]</f>
        <v>431093.56499999994</v>
      </c>
      <c r="Q52" s="21">
        <f>Tabla1[[#This Row],[instalador sin IVA]]*1.19</f>
        <v>453782.69999999995</v>
      </c>
      <c r="R52" s="41">
        <v>233320</v>
      </c>
      <c r="S52" s="40">
        <v>381330</v>
      </c>
      <c r="T52" s="14">
        <v>197511</v>
      </c>
      <c r="U52" s="13">
        <v>213971.14893617024</v>
      </c>
      <c r="V52" s="12"/>
    </row>
    <row r="53" spans="1:22" s="11" customFormat="1" ht="40.5" x14ac:dyDescent="0.25">
      <c r="A53" s="43" t="s">
        <v>120</v>
      </c>
      <c r="B53" s="44" t="s">
        <v>121</v>
      </c>
      <c r="C53" s="15">
        <f>+Tabla1[[#This Row],[PRECIO SUGERIDO INSTALADOR]]</f>
        <v>218096.06</v>
      </c>
      <c r="D53" s="15">
        <f>+Tabla1[[#This Row],[TIENDA]]</f>
        <v>207191.25699999998</v>
      </c>
      <c r="E53" s="15">
        <f>+Tabla1[[#This Row],[DPP ORO7]]</f>
        <v>181377.41999999998</v>
      </c>
      <c r="F53" s="19">
        <f>+Tabla1[[#This Row],[Columna4]]</f>
        <v>179563.6458</v>
      </c>
      <c r="G53" s="19">
        <f>+Tabla1[[#This Row],[CLIENTE FINAL]]</f>
        <v>311565.8</v>
      </c>
      <c r="H53" s="19" t="e">
        <f>+I53/#REF!</f>
        <v>#REF!</v>
      </c>
      <c r="I53" s="19">
        <f t="shared" si="6"/>
        <v>179563.6458</v>
      </c>
      <c r="J53" s="18">
        <f t="shared" si="7"/>
        <v>1813.7741999999998</v>
      </c>
      <c r="K53" s="15" t="e">
        <f>+L53/#REF!</f>
        <v>#REF!</v>
      </c>
      <c r="L53" s="20">
        <f>Tabla1[[#This Row],[oro sin IVA]]*1.19</f>
        <v>181377.41999999998</v>
      </c>
      <c r="M53" s="15" t="e">
        <f>+Q53/#REF!</f>
        <v>#REF!</v>
      </c>
      <c r="N53" s="15">
        <f>+Tabla1[[#This Row],[PRECIO SUGERIDO INSTALADOR]]/0.7</f>
        <v>311565.8</v>
      </c>
      <c r="O53" s="15">
        <f>+Tabla1[[#This Row],[PRECIO SUGERIDO INSTALADOR]]*5%</f>
        <v>10904.803</v>
      </c>
      <c r="P53" s="15">
        <f>+Tabla1[[#This Row],[PRECIO SUGERIDO INSTALADOR]]-Tabla1[[#This Row],[Columna1]]</f>
        <v>207191.25699999998</v>
      </c>
      <c r="Q53" s="21">
        <f>Tabla1[[#This Row],[instalador sin IVA]]*1.19</f>
        <v>218096.06</v>
      </c>
      <c r="R53" s="41">
        <v>152418</v>
      </c>
      <c r="S53" s="40">
        <v>183274</v>
      </c>
      <c r="T53" s="14" t="s">
        <v>0</v>
      </c>
      <c r="U53" s="13">
        <v>240417.0212765958</v>
      </c>
      <c r="V53" s="12"/>
    </row>
    <row r="54" spans="1:22" s="11" customFormat="1" ht="40.5" x14ac:dyDescent="0.25">
      <c r="A54" s="43" t="s">
        <v>122</v>
      </c>
      <c r="B54" s="44" t="s">
        <v>123</v>
      </c>
      <c r="C54" s="15">
        <f>+Tabla1[[#This Row],[PRECIO SUGERIDO INSTALADOR]]</f>
        <v>195486.06</v>
      </c>
      <c r="D54" s="15">
        <f>+Tabla1[[#This Row],[TIENDA]]</f>
        <v>185711.75699999998</v>
      </c>
      <c r="E54" s="15">
        <f>+Tabla1[[#This Row],[DPP ORO7]]</f>
        <v>162565.9</v>
      </c>
      <c r="F54" s="19">
        <f>+Tabla1[[#This Row],[Columna4]]</f>
        <v>160940.24099999998</v>
      </c>
      <c r="G54" s="19">
        <f>+Tabla1[[#This Row],[CLIENTE FINAL]]</f>
        <v>279265.8</v>
      </c>
      <c r="H54" s="19" t="e">
        <f>+I54/#REF!</f>
        <v>#REF!</v>
      </c>
      <c r="I54" s="19">
        <f t="shared" si="6"/>
        <v>160940.24099999998</v>
      </c>
      <c r="J54" s="18">
        <f t="shared" si="7"/>
        <v>1625.6589999999999</v>
      </c>
      <c r="K54" s="15" t="e">
        <f>+L54/#REF!</f>
        <v>#REF!</v>
      </c>
      <c r="L54" s="20">
        <f>Tabla1[[#This Row],[oro sin IVA]]*1.19</f>
        <v>162565.9</v>
      </c>
      <c r="M54" s="15" t="e">
        <f>+Q54/#REF!</f>
        <v>#REF!</v>
      </c>
      <c r="N54" s="15">
        <f>+Tabla1[[#This Row],[PRECIO SUGERIDO INSTALADOR]]/0.7</f>
        <v>279265.8</v>
      </c>
      <c r="O54" s="15">
        <f>+Tabla1[[#This Row],[PRECIO SUGERIDO INSTALADOR]]*5%</f>
        <v>9774.3029999999999</v>
      </c>
      <c r="P54" s="15">
        <f>+Tabla1[[#This Row],[PRECIO SUGERIDO INSTALADOR]]-Tabla1[[#This Row],[Columna1]]</f>
        <v>185711.75699999998</v>
      </c>
      <c r="Q54" s="21">
        <f>Tabla1[[#This Row],[instalador sin IVA]]*1.19</f>
        <v>195486.06</v>
      </c>
      <c r="R54" s="41">
        <v>136610</v>
      </c>
      <c r="S54" s="40">
        <v>164274</v>
      </c>
      <c r="T54" s="14" t="s">
        <v>0</v>
      </c>
      <c r="U54" s="13">
        <v>144250.21276595746</v>
      </c>
      <c r="V54" s="12"/>
    </row>
    <row r="55" spans="1:22" s="11" customFormat="1" ht="40.5" x14ac:dyDescent="0.25">
      <c r="A55" s="43" t="s">
        <v>124</v>
      </c>
      <c r="B55" s="44" t="s">
        <v>125</v>
      </c>
      <c r="C55" s="15">
        <f>+Tabla1[[#This Row],[PRECIO SUGERIDO INSTALADOR]]</f>
        <v>155647.24</v>
      </c>
      <c r="D55" s="15">
        <f>+Tabla1[[#This Row],[TIENDA]]</f>
        <v>147864.878</v>
      </c>
      <c r="E55" s="15">
        <f>+Tabla1[[#This Row],[DPP ORO7]]</f>
        <v>129419.64</v>
      </c>
      <c r="F55" s="19">
        <f>+Tabla1[[#This Row],[Columna4]]</f>
        <v>128125.4436</v>
      </c>
      <c r="G55" s="19">
        <f>+Tabla1[[#This Row],[CLIENTE FINAL]]</f>
        <v>222353.2</v>
      </c>
      <c r="H55" s="19" t="e">
        <f>+I55/#REF!</f>
        <v>#REF!</v>
      </c>
      <c r="I55" s="19">
        <f t="shared" si="6"/>
        <v>128125.4436</v>
      </c>
      <c r="J55" s="18">
        <f t="shared" si="7"/>
        <v>1294.1964</v>
      </c>
      <c r="K55" s="15" t="e">
        <f>+L55/#REF!</f>
        <v>#REF!</v>
      </c>
      <c r="L55" s="20">
        <f>Tabla1[[#This Row],[oro sin IVA]]*1.19</f>
        <v>129419.64</v>
      </c>
      <c r="M55" s="15" t="e">
        <f>+Q55/#REF!</f>
        <v>#REF!</v>
      </c>
      <c r="N55" s="15">
        <f>+Tabla1[[#This Row],[PRECIO SUGERIDO INSTALADOR]]/0.7</f>
        <v>222353.2</v>
      </c>
      <c r="O55" s="15">
        <f>+Tabla1[[#This Row],[PRECIO SUGERIDO INSTALADOR]]*5%</f>
        <v>7782.3620000000001</v>
      </c>
      <c r="P55" s="15">
        <f>+Tabla1[[#This Row],[PRECIO SUGERIDO INSTALADOR]]-Tabla1[[#This Row],[Columna1]]</f>
        <v>147864.878</v>
      </c>
      <c r="Q55" s="21">
        <f>Tabla1[[#This Row],[instalador sin IVA]]*1.19</f>
        <v>155647.24</v>
      </c>
      <c r="R55" s="41">
        <v>108756</v>
      </c>
      <c r="S55" s="40">
        <v>130796</v>
      </c>
      <c r="T55" s="14" t="s">
        <v>0</v>
      </c>
      <c r="U55" s="13">
        <v>221183.65957446815</v>
      </c>
      <c r="V55" s="12"/>
    </row>
    <row r="56" spans="1:22" s="11" customFormat="1" ht="40.5" x14ac:dyDescent="0.25">
      <c r="A56" s="43" t="s">
        <v>126</v>
      </c>
      <c r="B56" s="44" t="s">
        <v>127</v>
      </c>
      <c r="C56" s="15">
        <f>+Tabla1[[#This Row],[PRECIO SUGERIDO INSTALADOR]]</f>
        <v>126389.9</v>
      </c>
      <c r="D56" s="15">
        <f>+Tabla1[[#This Row],[TIENDA]]</f>
        <v>120070.405</v>
      </c>
      <c r="E56" s="15">
        <f>+Tabla1[[#This Row],[DPP ORO7]]</f>
        <v>105091.28</v>
      </c>
      <c r="F56" s="19">
        <f>+Tabla1[[#This Row],[Columna4]]</f>
        <v>104040.36719999999</v>
      </c>
      <c r="G56" s="19">
        <f>+Tabla1[[#This Row],[CLIENTE FINAL]]</f>
        <v>180557</v>
      </c>
      <c r="H56" s="19" t="e">
        <f>+I56/#REF!</f>
        <v>#REF!</v>
      </c>
      <c r="I56" s="19">
        <f t="shared" si="6"/>
        <v>104040.36719999999</v>
      </c>
      <c r="J56" s="18">
        <f t="shared" si="7"/>
        <v>1050.9128000000001</v>
      </c>
      <c r="K56" s="15" t="e">
        <f>+L56/#REF!</f>
        <v>#REF!</v>
      </c>
      <c r="L56" s="20">
        <f>Tabla1[[#This Row],[oro sin IVA]]*1.19</f>
        <v>105091.28</v>
      </c>
      <c r="M56" s="15" t="e">
        <f>+Q56/#REF!</f>
        <v>#REF!</v>
      </c>
      <c r="N56" s="15">
        <f>+Tabla1[[#This Row],[PRECIO SUGERIDO INSTALADOR]]/0.7</f>
        <v>180557</v>
      </c>
      <c r="O56" s="15">
        <f>+Tabla1[[#This Row],[PRECIO SUGERIDO INSTALADOR]]*5%</f>
        <v>6319.4949999999999</v>
      </c>
      <c r="P56" s="15">
        <f>+Tabla1[[#This Row],[PRECIO SUGERIDO INSTALADOR]]-Tabla1[[#This Row],[Columna1]]</f>
        <v>120070.405</v>
      </c>
      <c r="Q56" s="21">
        <f>Tabla1[[#This Row],[instalador sin IVA]]*1.19</f>
        <v>126389.9</v>
      </c>
      <c r="R56" s="41">
        <v>88312</v>
      </c>
      <c r="S56" s="40">
        <v>106210</v>
      </c>
      <c r="T56" s="14" t="s">
        <v>0</v>
      </c>
      <c r="U56" s="13">
        <v>221183.65957446815</v>
      </c>
      <c r="V56" s="12"/>
    </row>
    <row r="57" spans="1:22" s="11" customFormat="1" ht="40.5" x14ac:dyDescent="0.25">
      <c r="A57" s="43" t="s">
        <v>128</v>
      </c>
      <c r="B57" s="44" t="s">
        <v>129</v>
      </c>
      <c r="C57" s="15">
        <f>+Tabla1[[#This Row],[PRECIO SUGERIDO INSTALADOR]]</f>
        <v>131002.34</v>
      </c>
      <c r="D57" s="15">
        <f>+Tabla1[[#This Row],[TIENDA]]</f>
        <v>124452.223</v>
      </c>
      <c r="E57" s="15">
        <f>+Tabla1[[#This Row],[DPP ORO7]]</f>
        <v>108934.98</v>
      </c>
      <c r="F57" s="19">
        <f>+Tabla1[[#This Row],[Columna4]]</f>
        <v>107845.6302</v>
      </c>
      <c r="G57" s="19">
        <f>+Tabla1[[#This Row],[CLIENTE FINAL]]</f>
        <v>187146.2</v>
      </c>
      <c r="H57" s="19" t="e">
        <f>+I57/#REF!</f>
        <v>#REF!</v>
      </c>
      <c r="I57" s="19">
        <f t="shared" si="6"/>
        <v>107845.6302</v>
      </c>
      <c r="J57" s="18">
        <f t="shared" si="7"/>
        <v>1089.3498</v>
      </c>
      <c r="K57" s="15" t="e">
        <f>+L57/#REF!</f>
        <v>#REF!</v>
      </c>
      <c r="L57" s="20">
        <f>Tabla1[[#This Row],[oro sin IVA]]*1.19</f>
        <v>108934.98</v>
      </c>
      <c r="M57" s="15" t="e">
        <f>+Q57/#REF!</f>
        <v>#REF!</v>
      </c>
      <c r="N57" s="15">
        <f>+Tabla1[[#This Row],[PRECIO SUGERIDO INSTALADOR]]/0.7</f>
        <v>187146.2</v>
      </c>
      <c r="O57" s="15">
        <f>+Tabla1[[#This Row],[PRECIO SUGERIDO INSTALADOR]]*5%</f>
        <v>6550.1170000000002</v>
      </c>
      <c r="P57" s="15">
        <f>+Tabla1[[#This Row],[PRECIO SUGERIDO INSTALADOR]]-Tabla1[[#This Row],[Columna1]]</f>
        <v>124452.223</v>
      </c>
      <c r="Q57" s="21">
        <f>Tabla1[[#This Row],[instalador sin IVA]]*1.19</f>
        <v>131002.34</v>
      </c>
      <c r="R57" s="41">
        <v>91542</v>
      </c>
      <c r="S57" s="40">
        <v>110086</v>
      </c>
      <c r="T57" s="14" t="s">
        <v>0</v>
      </c>
      <c r="U57" s="13">
        <v>206926.23670212767</v>
      </c>
      <c r="V57" s="12"/>
    </row>
    <row r="58" spans="1:22" s="11" customFormat="1" ht="54" x14ac:dyDescent="0.25">
      <c r="A58" s="43" t="s">
        <v>130</v>
      </c>
      <c r="B58" s="44" t="s">
        <v>131</v>
      </c>
      <c r="C58" s="15">
        <f>+Tabla1[[#This Row],[PRECIO SUGERIDO INSTALADOR]]</f>
        <v>153567.12</v>
      </c>
      <c r="D58" s="15">
        <f>+Tabla1[[#This Row],[TIENDA]]</f>
        <v>145888.764</v>
      </c>
      <c r="E58" s="15">
        <f>+Tabla1[[#This Row],[DPP ORO7]]</f>
        <v>127701.28</v>
      </c>
      <c r="F58" s="19">
        <f>+Tabla1[[#This Row],[Columna4]]</f>
        <v>126424.2672</v>
      </c>
      <c r="G58" s="19">
        <f>+Tabla1[[#This Row],[CLIENTE FINAL]]</f>
        <v>219381.6</v>
      </c>
      <c r="H58" s="27" t="e">
        <f>+I58/#REF!</f>
        <v>#REF!</v>
      </c>
      <c r="I58" s="27">
        <f t="shared" si="6"/>
        <v>126424.2672</v>
      </c>
      <c r="J58" s="26">
        <f t="shared" si="7"/>
        <v>1277.0128</v>
      </c>
      <c r="K58" s="23" t="e">
        <f>+L58/#REF!</f>
        <v>#REF!</v>
      </c>
      <c r="L58" s="24">
        <f>Tabla1[[#This Row],[oro sin IVA]]*1.19</f>
        <v>127701.28</v>
      </c>
      <c r="M58" s="23" t="e">
        <f>+Q58/#REF!</f>
        <v>#REF!</v>
      </c>
      <c r="N58" s="23">
        <f>+Tabla1[[#This Row],[PRECIO SUGERIDO INSTALADOR]]/0.7</f>
        <v>219381.6</v>
      </c>
      <c r="O58" s="23">
        <f>+Tabla1[[#This Row],[PRECIO SUGERIDO INSTALADOR]]*5%</f>
        <v>7678.3559999999998</v>
      </c>
      <c r="P58" s="23">
        <f>+Tabla1[[#This Row],[PRECIO SUGERIDO INSTALADOR]]-Tabla1[[#This Row],[Columna1]]</f>
        <v>145888.764</v>
      </c>
      <c r="Q58" s="25">
        <f>Tabla1[[#This Row],[instalador sin IVA]]*1.19</f>
        <v>153567.12</v>
      </c>
      <c r="R58" s="41">
        <v>107312</v>
      </c>
      <c r="S58" s="40">
        <v>129048</v>
      </c>
      <c r="T58" s="14" t="s">
        <v>0</v>
      </c>
      <c r="U58" s="13">
        <v>152572.34042553196</v>
      </c>
      <c r="V58" s="12"/>
    </row>
    <row r="59" spans="1:22" s="11" customFormat="1" ht="27" x14ac:dyDescent="0.25">
      <c r="A59" s="43" t="s">
        <v>132</v>
      </c>
      <c r="B59" s="44" t="s">
        <v>133</v>
      </c>
      <c r="C59" s="15">
        <f>+Tabla1[[#This Row],[PRECIO SUGERIDO INSTALADOR]]</f>
        <v>52636.079999999994</v>
      </c>
      <c r="D59" s="15">
        <f>+Tabla1[[#This Row],[TIENDA]]</f>
        <v>50004.275999999998</v>
      </c>
      <c r="E59" s="15">
        <f>+Tabla1[[#This Row],[DPP ORO7]]</f>
        <v>43772.959999999999</v>
      </c>
      <c r="F59" s="19">
        <f>+Tabla1[[#This Row],[Columna4]]</f>
        <v>43335.2304</v>
      </c>
      <c r="G59" s="19">
        <f>+Tabla1[[#This Row],[CLIENTE FINAL]]</f>
        <v>75194.399999999994</v>
      </c>
      <c r="H59" s="19" t="e">
        <f>+I59/#REF!</f>
        <v>#REF!</v>
      </c>
      <c r="I59" s="19">
        <f t="shared" si="6"/>
        <v>43335.2304</v>
      </c>
      <c r="J59" s="18">
        <f t="shared" si="7"/>
        <v>437.7296</v>
      </c>
      <c r="K59" s="15" t="e">
        <f>+L59/#REF!</f>
        <v>#REF!</v>
      </c>
      <c r="L59" s="20">
        <f>Tabla1[[#This Row],[oro sin IVA]]*1.19</f>
        <v>43772.959999999999</v>
      </c>
      <c r="M59" s="15" t="e">
        <f>+Q59/#REF!</f>
        <v>#REF!</v>
      </c>
      <c r="N59" s="15">
        <f>+Tabla1[[#This Row],[PRECIO SUGERIDO INSTALADOR]]/0.7</f>
        <v>75194.399999999994</v>
      </c>
      <c r="O59" s="15">
        <f>+Tabla1[[#This Row],[PRECIO SUGERIDO INSTALADOR]]*5%</f>
        <v>2631.8040000000001</v>
      </c>
      <c r="P59" s="15">
        <f>+Tabla1[[#This Row],[PRECIO SUGERIDO INSTALADOR]]-Tabla1[[#This Row],[Columna1]]</f>
        <v>50004.275999999998</v>
      </c>
      <c r="Q59" s="21">
        <f>Tabla1[[#This Row],[instalador sin IVA]]*1.19</f>
        <v>52636.079999999994</v>
      </c>
      <c r="R59" s="41">
        <v>36784</v>
      </c>
      <c r="S59" s="40">
        <v>44232</v>
      </c>
      <c r="T59" s="14" t="s">
        <v>0</v>
      </c>
      <c r="U59" s="13">
        <v>172915.31914893619</v>
      </c>
      <c r="V59" s="12"/>
    </row>
    <row r="60" spans="1:22" s="11" customFormat="1" ht="27" x14ac:dyDescent="0.25">
      <c r="A60" s="43" t="s">
        <v>134</v>
      </c>
      <c r="B60" s="44" t="s">
        <v>135</v>
      </c>
      <c r="C60" s="15">
        <f>+Tabla1[[#This Row],[PRECIO SUGERIDO INSTALADOR]]</f>
        <v>63308</v>
      </c>
      <c r="D60" s="15">
        <f>+Tabla1[[#This Row],[TIENDA]]</f>
        <v>60142.6</v>
      </c>
      <c r="E60" s="15">
        <f>+Tabla1[[#This Row],[DPP ORO7]]</f>
        <v>52590.86</v>
      </c>
      <c r="F60" s="19">
        <f>+Tabla1[[#This Row],[Columna4]]</f>
        <v>52064.951399999998</v>
      </c>
      <c r="G60" s="19">
        <f>+Tabla1[[#This Row],[CLIENTE FINAL]]</f>
        <v>90440</v>
      </c>
      <c r="H60" s="19" t="e">
        <f>+I60/#REF!</f>
        <v>#REF!</v>
      </c>
      <c r="I60" s="19">
        <f t="shared" si="6"/>
        <v>52064.951399999998</v>
      </c>
      <c r="J60" s="18">
        <f t="shared" si="7"/>
        <v>525.90859999999998</v>
      </c>
      <c r="K60" s="15" t="e">
        <f>+L60/#REF!</f>
        <v>#REF!</v>
      </c>
      <c r="L60" s="20">
        <f>Tabla1[[#This Row],[oro sin IVA]]*1.19</f>
        <v>52590.86</v>
      </c>
      <c r="M60" s="15" t="e">
        <f>+Q60/#REF!</f>
        <v>#REF!</v>
      </c>
      <c r="N60" s="15">
        <f>+Tabla1[[#This Row],[PRECIO SUGERIDO INSTALADOR]]/0.7</f>
        <v>90440</v>
      </c>
      <c r="O60" s="15">
        <f>+Tabla1[[#This Row],[PRECIO SUGERIDO INSTALADOR]]*5%</f>
        <v>3165.4</v>
      </c>
      <c r="P60" s="15">
        <f>+Tabla1[[#This Row],[PRECIO SUGERIDO INSTALADOR]]-Tabla1[[#This Row],[Columna1]]</f>
        <v>60142.6</v>
      </c>
      <c r="Q60" s="21">
        <f>Tabla1[[#This Row],[instalador sin IVA]]*1.19</f>
        <v>63308</v>
      </c>
      <c r="R60" s="41">
        <v>44194</v>
      </c>
      <c r="S60" s="40">
        <v>53200</v>
      </c>
      <c r="T60" s="14"/>
      <c r="U60" s="13">
        <v>575757</v>
      </c>
      <c r="V60" s="12"/>
    </row>
    <row r="61" spans="1:22" s="11" customFormat="1" ht="40.5" x14ac:dyDescent="0.25">
      <c r="A61" s="43" t="s">
        <v>136</v>
      </c>
      <c r="B61" s="44" t="s">
        <v>137</v>
      </c>
      <c r="C61" s="15">
        <f>+Tabla1[[#This Row],[PRECIO SUGERIDO INSTALADOR]]</f>
        <v>99936.2</v>
      </c>
      <c r="D61" s="15">
        <f>+Tabla1[[#This Row],[TIENDA]]</f>
        <v>94939.39</v>
      </c>
      <c r="E61" s="15">
        <f>+Tabla1[[#This Row],[DPP ORO7]]</f>
        <v>83159.58</v>
      </c>
      <c r="F61" s="19">
        <f>+Tabla1[[#This Row],[Columna4]]</f>
        <v>82327.984200000006</v>
      </c>
      <c r="G61" s="19">
        <f>+Tabla1[[#This Row],[CLIENTE FINAL]]</f>
        <v>142766</v>
      </c>
      <c r="H61" s="19" t="e">
        <f>+I61/#REF!</f>
        <v>#REF!</v>
      </c>
      <c r="I61" s="19">
        <f t="shared" si="6"/>
        <v>82327.984200000006</v>
      </c>
      <c r="J61" s="18">
        <f t="shared" si="7"/>
        <v>831.59580000000005</v>
      </c>
      <c r="K61" s="15" t="e">
        <f>+L61/#REF!</f>
        <v>#REF!</v>
      </c>
      <c r="L61" s="20">
        <f>Tabla1[[#This Row],[oro sin IVA]]*1.19</f>
        <v>83159.58</v>
      </c>
      <c r="M61" s="15" t="e">
        <f>+Q61/#REF!</f>
        <v>#REF!</v>
      </c>
      <c r="N61" s="15">
        <f>+Tabla1[[#This Row],[PRECIO SUGERIDO INSTALADOR]]/0.7</f>
        <v>142766</v>
      </c>
      <c r="O61" s="15">
        <f>+Tabla1[[#This Row],[PRECIO SUGERIDO INSTALADOR]]*5%</f>
        <v>4996.8100000000004</v>
      </c>
      <c r="P61" s="15">
        <f>+Tabla1[[#This Row],[PRECIO SUGERIDO INSTALADOR]]-Tabla1[[#This Row],[Columna1]]</f>
        <v>94939.39</v>
      </c>
      <c r="Q61" s="21">
        <f>Tabla1[[#This Row],[instalador sin IVA]]*1.19</f>
        <v>99936.2</v>
      </c>
      <c r="R61" s="41">
        <v>69882</v>
      </c>
      <c r="S61" s="40">
        <v>83980</v>
      </c>
      <c r="T61" s="14"/>
      <c r="U61" s="13">
        <v>719683</v>
      </c>
      <c r="V61" s="12"/>
    </row>
    <row r="62" spans="1:22" s="11" customFormat="1" ht="40.5" x14ac:dyDescent="0.25">
      <c r="A62" s="43" t="s">
        <v>138</v>
      </c>
      <c r="B62" s="44" t="s">
        <v>139</v>
      </c>
      <c r="C62" s="15">
        <f>+Tabla1[[#This Row],[PRECIO SUGERIDO INSTALADOR]]</f>
        <v>100569.28</v>
      </c>
      <c r="D62" s="15">
        <f>+Tabla1[[#This Row],[TIENDA]]</f>
        <v>95540.815999999992</v>
      </c>
      <c r="E62" s="15">
        <f>+Tabla1[[#This Row],[DPP ORO7]]</f>
        <v>83611.78</v>
      </c>
      <c r="F62" s="19">
        <f>+Tabla1[[#This Row],[Columna4]]</f>
        <v>82775.662199999992</v>
      </c>
      <c r="G62" s="19">
        <f>+Tabla1[[#This Row],[CLIENTE FINAL]]</f>
        <v>143670.39999999999</v>
      </c>
      <c r="H62" s="19" t="e">
        <f>+I62/#REF!</f>
        <v>#REF!</v>
      </c>
      <c r="I62" s="19">
        <f t="shared" si="6"/>
        <v>82775.662199999992</v>
      </c>
      <c r="J62" s="18">
        <f t="shared" si="7"/>
        <v>836.11779999999999</v>
      </c>
      <c r="K62" s="15" t="e">
        <f>+L62/#REF!</f>
        <v>#REF!</v>
      </c>
      <c r="L62" s="20">
        <f>Tabla1[[#This Row],[oro sin IVA]]*1.19</f>
        <v>83611.78</v>
      </c>
      <c r="M62" s="15" t="e">
        <f>+Q62/#REF!</f>
        <v>#REF!</v>
      </c>
      <c r="N62" s="15">
        <f>+Tabla1[[#This Row],[PRECIO SUGERIDO INSTALADOR]]/0.7</f>
        <v>143670.39999999999</v>
      </c>
      <c r="O62" s="15">
        <f>+Tabla1[[#This Row],[PRECIO SUGERIDO INSTALADOR]]*5%</f>
        <v>5028.4639999999999</v>
      </c>
      <c r="P62" s="15">
        <f>+Tabla1[[#This Row],[PRECIO SUGERIDO INSTALADOR]]-Tabla1[[#This Row],[Columna1]]</f>
        <v>95540.815999999992</v>
      </c>
      <c r="Q62" s="21">
        <f>Tabla1[[#This Row],[instalador sin IVA]]*1.19</f>
        <v>100569.28</v>
      </c>
      <c r="R62" s="41">
        <v>70262</v>
      </c>
      <c r="S62" s="40">
        <v>84512</v>
      </c>
      <c r="T62" s="14" t="s">
        <v>0</v>
      </c>
      <c r="U62" s="13">
        <v>422015.09361702134</v>
      </c>
      <c r="V62" s="12"/>
    </row>
    <row r="63" spans="1:22" s="11" customFormat="1" ht="40.5" x14ac:dyDescent="0.25">
      <c r="A63" s="43" t="s">
        <v>140</v>
      </c>
      <c r="B63" s="44" t="s">
        <v>141</v>
      </c>
      <c r="C63" s="15">
        <f>+Tabla1[[#This Row],[PRECIO SUGERIDO INSTALADOR]]</f>
        <v>19896.8</v>
      </c>
      <c r="D63" s="15">
        <f>+Tabla1[[#This Row],[TIENDA]]</f>
        <v>18901.96</v>
      </c>
      <c r="E63" s="15">
        <f>+Tabla1[[#This Row],[DPP ORO7]]</f>
        <v>16595.739999999998</v>
      </c>
      <c r="F63" s="19">
        <f>+Tabla1[[#This Row],[Columna4]]</f>
        <v>16429.782599999999</v>
      </c>
      <c r="G63" s="19">
        <f>+Tabla1[[#This Row],[CLIENTE FINAL]]</f>
        <v>28424</v>
      </c>
      <c r="H63" s="19" t="e">
        <f>+I63/#REF!</f>
        <v>#REF!</v>
      </c>
      <c r="I63" s="19">
        <f t="shared" si="6"/>
        <v>16429.782599999999</v>
      </c>
      <c r="J63" s="18">
        <f t="shared" si="7"/>
        <v>165.95739999999998</v>
      </c>
      <c r="K63" s="15" t="e">
        <f>+L63/#REF!</f>
        <v>#REF!</v>
      </c>
      <c r="L63" s="20">
        <f>Tabla1[[#This Row],[oro sin IVA]]*1.19</f>
        <v>16595.739999999998</v>
      </c>
      <c r="M63" s="15" t="e">
        <f>+Q63/#REF!</f>
        <v>#REF!</v>
      </c>
      <c r="N63" s="15">
        <f>+Tabla1[[#This Row],[PRECIO SUGERIDO INSTALADOR]]/0.7</f>
        <v>28424</v>
      </c>
      <c r="O63" s="15">
        <f>+Tabla1[[#This Row],[PRECIO SUGERIDO INSTALADOR]]*5%</f>
        <v>994.84</v>
      </c>
      <c r="P63" s="15">
        <f>+Tabla1[[#This Row],[PRECIO SUGERIDO INSTALADOR]]-Tabla1[[#This Row],[Columna1]]</f>
        <v>18901.96</v>
      </c>
      <c r="Q63" s="21">
        <f>Tabla1[[#This Row],[instalador sin IVA]]*1.19</f>
        <v>19896.8</v>
      </c>
      <c r="R63" s="41">
        <v>13945.999999999998</v>
      </c>
      <c r="S63" s="40">
        <v>16720</v>
      </c>
      <c r="T63" s="14" t="s">
        <v>0</v>
      </c>
      <c r="U63" s="13">
        <v>890467.65957446827</v>
      </c>
      <c r="V63" s="12"/>
    </row>
    <row r="64" spans="1:22" s="11" customFormat="1" ht="40.5" x14ac:dyDescent="0.25">
      <c r="A64" s="43" t="s">
        <v>142</v>
      </c>
      <c r="B64" s="44" t="s">
        <v>143</v>
      </c>
      <c r="C64" s="15">
        <f>+Tabla1[[#This Row],[PRECIO SUGERIDO INSTALADOR]]</f>
        <v>770503.58</v>
      </c>
      <c r="D64" s="15">
        <f>+Tabla1[[#This Row],[TIENDA]]</f>
        <v>731978.40099999995</v>
      </c>
      <c r="E64" s="15">
        <f>+Tabla1[[#This Row],[DPP ORO7]]</f>
        <v>678526.1</v>
      </c>
      <c r="F64" s="19">
        <f>+Tabla1[[#This Row],[Columna4]]</f>
        <v>671740.83899999992</v>
      </c>
      <c r="G64" s="19">
        <f>+Tabla1[[#This Row],[CLIENTE FINAL]]</f>
        <v>1100719.3999999999</v>
      </c>
      <c r="H64" s="19" t="e">
        <f>+I64/#REF!</f>
        <v>#REF!</v>
      </c>
      <c r="I64" s="19">
        <f t="shared" si="6"/>
        <v>671740.83899999992</v>
      </c>
      <c r="J64" s="18">
        <f t="shared" si="7"/>
        <v>6785.2609999999995</v>
      </c>
      <c r="K64" s="15" t="e">
        <f>+L64/#REF!</f>
        <v>#REF!</v>
      </c>
      <c r="L64" s="20">
        <f>Tabla1[[#This Row],[oro sin IVA]]*1.19</f>
        <v>678526.1</v>
      </c>
      <c r="M64" s="15" t="e">
        <f>+Q64/#REF!</f>
        <v>#REF!</v>
      </c>
      <c r="N64" s="15">
        <f>+Tabla1[[#This Row],[PRECIO SUGERIDO INSTALADOR]]/0.7</f>
        <v>1100719.3999999999</v>
      </c>
      <c r="O64" s="15">
        <f>+Tabla1[[#This Row],[PRECIO SUGERIDO INSTALADOR]]*5%</f>
        <v>38525.178999999996</v>
      </c>
      <c r="P64" s="15">
        <f>+Tabla1[[#This Row],[PRECIO SUGERIDO INSTALADOR]]-Tabla1[[#This Row],[Columna1]]</f>
        <v>731978.40099999995</v>
      </c>
      <c r="Q64" s="21">
        <f>Tabla1[[#This Row],[instalador sin IVA]]*1.19</f>
        <v>770503.58</v>
      </c>
      <c r="R64" s="41">
        <v>570190</v>
      </c>
      <c r="S64" s="40">
        <v>647482</v>
      </c>
      <c r="T64" s="14" t="s">
        <v>0</v>
      </c>
      <c r="U64" s="13">
        <v>728186.17021276616</v>
      </c>
      <c r="V64" s="12"/>
    </row>
    <row r="65" spans="1:22" s="11" customFormat="1" ht="40.5" x14ac:dyDescent="0.25">
      <c r="A65" s="43" t="s">
        <v>144</v>
      </c>
      <c r="B65" s="44" t="s">
        <v>145</v>
      </c>
      <c r="C65" s="15">
        <f>+Tabla1[[#This Row],[PRECIO SUGERIDO INSTALADOR]]</f>
        <v>504519.54</v>
      </c>
      <c r="D65" s="15">
        <f>+Tabla1[[#This Row],[TIENDA]]</f>
        <v>479293.56299999997</v>
      </c>
      <c r="E65" s="15">
        <f>+Tabla1[[#This Row],[DPP ORO7]]</f>
        <v>444331.72</v>
      </c>
      <c r="F65" s="19">
        <f>+Tabla1[[#This Row],[Columna4]]</f>
        <v>439888.40279999998</v>
      </c>
      <c r="G65" s="19">
        <f>+Tabla1[[#This Row],[CLIENTE FINAL]]</f>
        <v>720742.20000000007</v>
      </c>
      <c r="H65" s="27" t="e">
        <f>+I65/#REF!</f>
        <v>#REF!</v>
      </c>
      <c r="I65" s="27">
        <f t="shared" si="6"/>
        <v>439888.40279999998</v>
      </c>
      <c r="J65" s="18">
        <f t="shared" si="7"/>
        <v>4443.3171999999995</v>
      </c>
      <c r="K65" s="23" t="e">
        <f>+L65/#REF!</f>
        <v>#REF!</v>
      </c>
      <c r="L65" s="29">
        <f>Tabla1[[#This Row],[oro sin IVA]]*1.19</f>
        <v>444331.72</v>
      </c>
      <c r="M65" s="23" t="e">
        <f>+Q65/#REF!</f>
        <v>#REF!</v>
      </c>
      <c r="N65" s="23">
        <f>+Tabla1[[#This Row],[PRECIO SUGERIDO INSTALADOR]]/0.7</f>
        <v>720742.20000000007</v>
      </c>
      <c r="O65" s="23">
        <f>+Tabla1[[#This Row],[PRECIO SUGERIDO INSTALADOR]]*5%</f>
        <v>25225.976999999999</v>
      </c>
      <c r="P65" s="23">
        <f>+Tabla1[[#This Row],[PRECIO SUGERIDO INSTALADOR]]-Tabla1[[#This Row],[Columna1]]</f>
        <v>479293.56299999997</v>
      </c>
      <c r="Q65" s="28">
        <f>Tabla1[[#This Row],[instalador sin IVA]]*1.19</f>
        <v>504519.54</v>
      </c>
      <c r="R65" s="41">
        <v>373388</v>
      </c>
      <c r="S65" s="40">
        <v>423966</v>
      </c>
      <c r="T65" s="2">
        <v>336352</v>
      </c>
      <c r="U65" s="13">
        <v>364093.08510638308</v>
      </c>
      <c r="V65" s="12"/>
    </row>
    <row r="66" spans="1:22" s="11" customFormat="1" ht="40.5" x14ac:dyDescent="0.25">
      <c r="A66" s="43" t="s">
        <v>146</v>
      </c>
      <c r="B66" s="44" t="s">
        <v>147</v>
      </c>
      <c r="C66" s="15">
        <f>+Tabla1[[#This Row],[PRECIO SUGERIDO INSTALADOR]]</f>
        <v>268064.15999999997</v>
      </c>
      <c r="D66" s="15">
        <f>+Tabla1[[#This Row],[TIENDA]]</f>
        <v>254660.95199999999</v>
      </c>
      <c r="E66" s="15">
        <f>+Tabla1[[#This Row],[DPP ORO7]]</f>
        <v>236048.4</v>
      </c>
      <c r="F66" s="19">
        <f>+Tabla1[[#This Row],[Columna4]]</f>
        <v>233687.916</v>
      </c>
      <c r="G66" s="19">
        <f>+Tabla1[[#This Row],[CLIENTE FINAL]]</f>
        <v>382948.8</v>
      </c>
      <c r="H66" s="19" t="e">
        <f>+I66/#REF!</f>
        <v>#REF!</v>
      </c>
      <c r="I66" s="19">
        <f t="shared" si="6"/>
        <v>233687.916</v>
      </c>
      <c r="J66" s="18">
        <f t="shared" si="7"/>
        <v>2360.4839999999999</v>
      </c>
      <c r="K66" s="15" t="e">
        <f>+L66/#REF!</f>
        <v>#REF!</v>
      </c>
      <c r="L66" s="20">
        <f>Tabla1[[#This Row],[oro sin IVA]]*1.19</f>
        <v>236048.4</v>
      </c>
      <c r="M66" s="15" t="e">
        <f>+Q66/#REF!</f>
        <v>#REF!</v>
      </c>
      <c r="N66" s="15">
        <f>+Tabla1[[#This Row],[PRECIO SUGERIDO INSTALADOR]]/0.7</f>
        <v>382948.8</v>
      </c>
      <c r="O66" s="15">
        <f>+Tabla1[[#This Row],[PRECIO SUGERIDO INSTALADOR]]*5%</f>
        <v>13403.207999999999</v>
      </c>
      <c r="P66" s="15">
        <f>+Tabla1[[#This Row],[PRECIO SUGERIDO INSTALADOR]]-Tabla1[[#This Row],[Columna1]]</f>
        <v>254660.95199999999</v>
      </c>
      <c r="Q66" s="21">
        <f>Tabla1[[#This Row],[instalador sin IVA]]*1.19</f>
        <v>268064.15999999997</v>
      </c>
      <c r="R66" s="41">
        <v>198360</v>
      </c>
      <c r="S66" s="40">
        <v>225264</v>
      </c>
      <c r="T66" s="14" t="s">
        <v>0</v>
      </c>
      <c r="U66" s="13">
        <v>339820.21276595752</v>
      </c>
      <c r="V66" s="12"/>
    </row>
    <row r="67" spans="1:22" s="11" customFormat="1" ht="40.5" x14ac:dyDescent="0.25">
      <c r="A67" s="43" t="s">
        <v>148</v>
      </c>
      <c r="B67" s="44" t="s">
        <v>149</v>
      </c>
      <c r="C67" s="15">
        <f>+Tabla1[[#This Row],[PRECIO SUGERIDO INSTALADOR]]</f>
        <v>252237.15999999997</v>
      </c>
      <c r="D67" s="15">
        <f>+Tabla1[[#This Row],[TIENDA]]</f>
        <v>239625.30199999997</v>
      </c>
      <c r="E67" s="15">
        <f>+Tabla1[[#This Row],[DPP ORO7]]</f>
        <v>222120.63999999998</v>
      </c>
      <c r="F67" s="19">
        <f>+Tabla1[[#This Row],[Columna4]]</f>
        <v>219899.43359999999</v>
      </c>
      <c r="G67" s="19">
        <f>+Tabla1[[#This Row],[CLIENTE FINAL]]</f>
        <v>360338.8</v>
      </c>
      <c r="H67" s="19" t="e">
        <f>+I67/#REF!</f>
        <v>#REF!</v>
      </c>
      <c r="I67" s="19">
        <f t="shared" si="6"/>
        <v>219899.43359999999</v>
      </c>
      <c r="J67" s="18">
        <f t="shared" si="7"/>
        <v>2221.2064</v>
      </c>
      <c r="K67" s="15" t="e">
        <f>+L67/#REF!</f>
        <v>#REF!</v>
      </c>
      <c r="L67" s="20">
        <f>Tabla1[[#This Row],[oro sin IVA]]*1.19</f>
        <v>222120.63999999998</v>
      </c>
      <c r="M67" s="15" t="e">
        <f>+Q67/#REF!</f>
        <v>#REF!</v>
      </c>
      <c r="N67" s="15">
        <f>+Tabla1[[#This Row],[PRECIO SUGERIDO INSTALADOR]]/0.7</f>
        <v>360338.8</v>
      </c>
      <c r="O67" s="15">
        <f>+Tabla1[[#This Row],[PRECIO SUGERIDO INSTALADOR]]*5%</f>
        <v>12611.858</v>
      </c>
      <c r="P67" s="15">
        <f>+Tabla1[[#This Row],[PRECIO SUGERIDO INSTALADOR]]-Tabla1[[#This Row],[Columna1]]</f>
        <v>239625.30199999997</v>
      </c>
      <c r="Q67" s="21">
        <f>Tabla1[[#This Row],[instalador sin IVA]]*1.19</f>
        <v>252237.15999999997</v>
      </c>
      <c r="R67" s="41">
        <v>186656</v>
      </c>
      <c r="S67" s="40">
        <v>211964</v>
      </c>
      <c r="T67" s="14" t="s">
        <v>0</v>
      </c>
      <c r="U67" s="13">
        <v>267001.59574468085</v>
      </c>
      <c r="V67" s="12"/>
    </row>
    <row r="68" spans="1:22" s="11" customFormat="1" ht="40.5" x14ac:dyDescent="0.25">
      <c r="A68" s="43" t="s">
        <v>150</v>
      </c>
      <c r="B68" s="44" t="s">
        <v>151</v>
      </c>
      <c r="C68" s="15">
        <f>+Tabla1[[#This Row],[PRECIO SUGERIDO INSTALADOR]]</f>
        <v>138825.4</v>
      </c>
      <c r="D68" s="15">
        <f>+Tabla1[[#This Row],[TIENDA]]</f>
        <v>131884.13</v>
      </c>
      <c r="E68" s="15">
        <f>+Tabla1[[#This Row],[DPP ORO7]]</f>
        <v>122229.65999999999</v>
      </c>
      <c r="F68" s="19">
        <f>+Tabla1[[#This Row],[Columna4]]</f>
        <v>121007.36339999999</v>
      </c>
      <c r="G68" s="19">
        <f>+Tabla1[[#This Row],[CLIENTE FINAL]]</f>
        <v>198322</v>
      </c>
      <c r="H68" s="19" t="e">
        <f>+I68/#REF!</f>
        <v>#REF!</v>
      </c>
      <c r="I68" s="19">
        <f t="shared" si="6"/>
        <v>121007.36339999999</v>
      </c>
      <c r="J68" s="18">
        <f t="shared" si="7"/>
        <v>1222.2965999999999</v>
      </c>
      <c r="K68" s="15" t="e">
        <f>+L68/#REF!</f>
        <v>#REF!</v>
      </c>
      <c r="L68" s="20">
        <f>Tabla1[[#This Row],[oro sin IVA]]*1.19</f>
        <v>122229.65999999999</v>
      </c>
      <c r="M68" s="15" t="e">
        <f>+Q68/#REF!</f>
        <v>#REF!</v>
      </c>
      <c r="N68" s="15">
        <f>+Tabla1[[#This Row],[PRECIO SUGERIDO INSTALADOR]]/0.7</f>
        <v>198322</v>
      </c>
      <c r="O68" s="15">
        <f>+Tabla1[[#This Row],[PRECIO SUGERIDO INSTALADOR]]*5%</f>
        <v>6941.27</v>
      </c>
      <c r="P68" s="15">
        <f>+Tabla1[[#This Row],[PRECIO SUGERIDO INSTALADOR]]-Tabla1[[#This Row],[Columna1]]</f>
        <v>131884.13</v>
      </c>
      <c r="Q68" s="21">
        <f>Tabla1[[#This Row],[instalador sin IVA]]*1.19</f>
        <v>138825.4</v>
      </c>
      <c r="R68" s="41">
        <v>102714</v>
      </c>
      <c r="S68" s="40">
        <v>116660</v>
      </c>
      <c r="T68" s="14" t="s">
        <v>0</v>
      </c>
      <c r="U68" s="13">
        <v>315547.3404255319</v>
      </c>
      <c r="V68" s="12"/>
    </row>
    <row r="69" spans="1:22" s="11" customFormat="1" ht="40.5" x14ac:dyDescent="0.25">
      <c r="A69" s="43" t="s">
        <v>152</v>
      </c>
      <c r="B69" s="44" t="s">
        <v>153</v>
      </c>
      <c r="C69" s="15">
        <f>+Tabla1[[#This Row],[PRECIO SUGERIDO INSTALADOR]]</f>
        <v>416204.88</v>
      </c>
      <c r="D69" s="15">
        <f>+Tabla1[[#This Row],[TIENDA]]</f>
        <v>395394.636</v>
      </c>
      <c r="E69" s="15">
        <f>+Tabla1[[#This Row],[DPP ORO7]]</f>
        <v>366553.32</v>
      </c>
      <c r="F69" s="19">
        <f>+Tabla1[[#This Row],[Columna4]]</f>
        <v>362887.7868</v>
      </c>
      <c r="G69" s="19">
        <f>+Tabla1[[#This Row],[CLIENTE FINAL]]</f>
        <v>594578.4</v>
      </c>
      <c r="H69" s="19" t="e">
        <f>+I69/#REF!</f>
        <v>#REF!</v>
      </c>
      <c r="I69" s="19">
        <f t="shared" ref="I69:I77" si="8">+L69-J69</f>
        <v>362887.7868</v>
      </c>
      <c r="J69" s="18">
        <f t="shared" ref="J69:J77" si="9">+L69*1%</f>
        <v>3665.5332000000003</v>
      </c>
      <c r="K69" s="15" t="e">
        <f>+L69/#REF!</f>
        <v>#REF!</v>
      </c>
      <c r="L69" s="20">
        <f>Tabla1[[#This Row],[oro sin IVA]]*1.19</f>
        <v>366553.32</v>
      </c>
      <c r="M69" s="15" t="e">
        <f>+Q69/#REF!</f>
        <v>#REF!</v>
      </c>
      <c r="N69" s="15">
        <f>+Tabla1[[#This Row],[PRECIO SUGERIDO INSTALADOR]]/0.7</f>
        <v>594578.4</v>
      </c>
      <c r="O69" s="15">
        <f>+Tabla1[[#This Row],[PRECIO SUGERIDO INSTALADOR]]*5%</f>
        <v>20810.244000000002</v>
      </c>
      <c r="P69" s="15">
        <f>+Tabla1[[#This Row],[PRECIO SUGERIDO INSTALADOR]]-Tabla1[[#This Row],[Columna1]]</f>
        <v>395394.636</v>
      </c>
      <c r="Q69" s="21">
        <f>Tabla1[[#This Row],[instalador sin IVA]]*1.19</f>
        <v>416204.88</v>
      </c>
      <c r="R69" s="41">
        <v>308028</v>
      </c>
      <c r="S69" s="40">
        <v>349752</v>
      </c>
      <c r="T69" s="14" t="s">
        <v>0</v>
      </c>
      <c r="U69" s="13">
        <v>218455.85106382979</v>
      </c>
      <c r="V69" s="12"/>
    </row>
    <row r="70" spans="1:22" s="11" customFormat="1" ht="40.5" x14ac:dyDescent="0.25">
      <c r="A70" s="43" t="s">
        <v>154</v>
      </c>
      <c r="B70" s="44" t="s">
        <v>155</v>
      </c>
      <c r="C70" s="15">
        <f>+Tabla1[[#This Row],[PRECIO SUGERIDO INSTALADOR]]</f>
        <v>220718.81999999998</v>
      </c>
      <c r="D70" s="15">
        <f>+Tabla1[[#This Row],[TIENDA]]</f>
        <v>209682.87899999999</v>
      </c>
      <c r="E70" s="15">
        <f>+Tabla1[[#This Row],[DPP ORO7]]</f>
        <v>194355.56</v>
      </c>
      <c r="F70" s="19">
        <f>+Tabla1[[#This Row],[Columna4]]</f>
        <v>192412.00440000001</v>
      </c>
      <c r="G70" s="19">
        <f>+Tabla1[[#This Row],[CLIENTE FINAL]]</f>
        <v>315312.59999999998</v>
      </c>
      <c r="H70" s="19" t="e">
        <f>+I70/#REF!</f>
        <v>#REF!</v>
      </c>
      <c r="I70" s="19">
        <f t="shared" si="8"/>
        <v>192412.00440000001</v>
      </c>
      <c r="J70" s="18">
        <f t="shared" si="9"/>
        <v>1943.5555999999999</v>
      </c>
      <c r="K70" s="15" t="e">
        <f>+L70/#REF!</f>
        <v>#REF!</v>
      </c>
      <c r="L70" s="20">
        <f>Tabla1[[#This Row],[oro sin IVA]]*1.19</f>
        <v>194355.56</v>
      </c>
      <c r="M70" s="15" t="e">
        <f>+Q70/#REF!</f>
        <v>#REF!</v>
      </c>
      <c r="N70" s="15">
        <f>+Tabla1[[#This Row],[PRECIO SUGERIDO INSTALADOR]]/0.7</f>
        <v>315312.59999999998</v>
      </c>
      <c r="O70" s="15">
        <f>+Tabla1[[#This Row],[PRECIO SUGERIDO INSTALADOR]]*5%</f>
        <v>11035.940999999999</v>
      </c>
      <c r="P70" s="15">
        <f>+Tabla1[[#This Row],[PRECIO SUGERIDO INSTALADOR]]-Tabla1[[#This Row],[Columna1]]</f>
        <v>209682.87899999999</v>
      </c>
      <c r="Q70" s="21">
        <f>Tabla1[[#This Row],[instalador sin IVA]]*1.19</f>
        <v>220718.81999999998</v>
      </c>
      <c r="R70" s="41">
        <v>163324</v>
      </c>
      <c r="S70" s="40">
        <v>185478</v>
      </c>
      <c r="T70" s="14" t="s">
        <v>0</v>
      </c>
      <c r="U70" s="13">
        <v>27056.161702127669</v>
      </c>
      <c r="V70" s="12"/>
    </row>
    <row r="71" spans="1:22" s="11" customFormat="1" ht="40.5" x14ac:dyDescent="0.25">
      <c r="A71" s="43" t="s">
        <v>156</v>
      </c>
      <c r="B71" s="44" t="s">
        <v>157</v>
      </c>
      <c r="C71" s="15">
        <f>+Tabla1[[#This Row],[PRECIO SUGERIDO INSTALADOR]]</f>
        <v>253232</v>
      </c>
      <c r="D71" s="15">
        <f>+Tabla1[[#This Row],[TIENDA]]</f>
        <v>240570.4</v>
      </c>
      <c r="E71" s="15">
        <f>+Tabla1[[#This Row],[DPP ORO7]]</f>
        <v>230531.56</v>
      </c>
      <c r="F71" s="19">
        <f>+Tabla1[[#This Row],[Columna4]]</f>
        <v>228226.2444</v>
      </c>
      <c r="G71" s="19">
        <f>+Tabla1[[#This Row],[CLIENTE FINAL]]</f>
        <v>361760</v>
      </c>
      <c r="H71" s="19" t="e">
        <f>+I71/#REF!</f>
        <v>#REF!</v>
      </c>
      <c r="I71" s="19">
        <f t="shared" si="8"/>
        <v>228226.2444</v>
      </c>
      <c r="J71" s="18">
        <f t="shared" si="9"/>
        <v>2305.3155999999999</v>
      </c>
      <c r="K71" s="15" t="e">
        <f>+L71/#REF!</f>
        <v>#REF!</v>
      </c>
      <c r="L71" s="20">
        <f>Tabla1[[#This Row],[oro sin IVA]]*1.19</f>
        <v>230531.56</v>
      </c>
      <c r="M71" s="15" t="e">
        <f>+Q71/#REF!</f>
        <v>#REF!</v>
      </c>
      <c r="N71" s="15">
        <f>+Tabla1[[#This Row],[PRECIO SUGERIDO INSTALADOR]]/0.7</f>
        <v>361760</v>
      </c>
      <c r="O71" s="15">
        <f>+Tabla1[[#This Row],[PRECIO SUGERIDO INSTALADOR]]*5%</f>
        <v>12661.6</v>
      </c>
      <c r="P71" s="15">
        <f>+Tabla1[[#This Row],[PRECIO SUGERIDO INSTALADOR]]-Tabla1[[#This Row],[Columna1]]</f>
        <v>240570.4</v>
      </c>
      <c r="Q71" s="21">
        <f>Tabla1[[#This Row],[instalador sin IVA]]*1.19</f>
        <v>253232</v>
      </c>
      <c r="R71" s="41">
        <v>193724</v>
      </c>
      <c r="S71" s="40">
        <v>212800</v>
      </c>
      <c r="T71" s="14" t="s">
        <v>0</v>
      </c>
      <c r="U71" s="13">
        <v>203429.78723404257</v>
      </c>
      <c r="V71" s="12"/>
    </row>
    <row r="72" spans="1:22" s="11" customFormat="1" ht="40.5" x14ac:dyDescent="0.25">
      <c r="A72" s="43" t="s">
        <v>158</v>
      </c>
      <c r="B72" s="44" t="s">
        <v>159</v>
      </c>
      <c r="C72" s="15">
        <f>+Tabla1[[#This Row],[PRECIO SUGERIDO INSTALADOR]]</f>
        <v>479241.56</v>
      </c>
      <c r="D72" s="15">
        <f>+Tabla1[[#This Row],[TIENDA]]</f>
        <v>455279.48200000002</v>
      </c>
      <c r="E72" s="15">
        <f>+Tabla1[[#This Row],[DPP ORO7]]</f>
        <v>422038.26</v>
      </c>
      <c r="F72" s="19">
        <f>+Tabla1[[#This Row],[Columna4]]</f>
        <v>417817.8774</v>
      </c>
      <c r="G72" s="19">
        <f>+Tabla1[[#This Row],[CLIENTE FINAL]]</f>
        <v>684630.8</v>
      </c>
      <c r="H72" s="19" t="e">
        <f>+I72/#REF!</f>
        <v>#REF!</v>
      </c>
      <c r="I72" s="19">
        <f t="shared" si="8"/>
        <v>417817.8774</v>
      </c>
      <c r="J72" s="18">
        <f t="shared" si="9"/>
        <v>4220.3825999999999</v>
      </c>
      <c r="K72" s="15" t="e">
        <f>+L72/#REF!</f>
        <v>#REF!</v>
      </c>
      <c r="L72" s="20">
        <f>Tabla1[[#This Row],[oro sin IVA]]*1.19</f>
        <v>422038.26</v>
      </c>
      <c r="M72" s="15" t="e">
        <f>+Q72/#REF!</f>
        <v>#REF!</v>
      </c>
      <c r="N72" s="15">
        <f>+Tabla1[[#This Row],[PRECIO SUGERIDO INSTALADOR]]/0.7</f>
        <v>684630.8</v>
      </c>
      <c r="O72" s="15">
        <f>+Tabla1[[#This Row],[PRECIO SUGERIDO INSTALADOR]]*5%</f>
        <v>23962.078000000001</v>
      </c>
      <c r="P72" s="15">
        <f>+Tabla1[[#This Row],[PRECIO SUGERIDO INSTALADOR]]-Tabla1[[#This Row],[Columna1]]</f>
        <v>455279.48200000002</v>
      </c>
      <c r="Q72" s="21">
        <f>Tabla1[[#This Row],[instalador sin IVA]]*1.19</f>
        <v>479241.56</v>
      </c>
      <c r="R72" s="41">
        <v>354654</v>
      </c>
      <c r="S72" s="40">
        <v>402724</v>
      </c>
      <c r="T72" s="14" t="s">
        <v>0</v>
      </c>
      <c r="U72" s="13">
        <v>258671.14595744686</v>
      </c>
      <c r="V72" s="12"/>
    </row>
    <row r="73" spans="1:22" s="11" customFormat="1" ht="27" x14ac:dyDescent="0.25">
      <c r="A73" s="43" t="s">
        <v>160</v>
      </c>
      <c r="B73" s="44" t="s">
        <v>161</v>
      </c>
      <c r="C73" s="15">
        <f>+Tabla1[[#This Row],[PRECIO SUGERIDO INSTALADOR]]</f>
        <v>356062.27999999997</v>
      </c>
      <c r="D73" s="15">
        <f>+Tabla1[[#This Row],[TIENDA]]</f>
        <v>338259.16599999997</v>
      </c>
      <c r="E73" s="15">
        <f>+Tabla1[[#This Row],[DPP ORO7]]</f>
        <v>313510.26</v>
      </c>
      <c r="F73" s="19">
        <f>+Tabla1[[#This Row],[Columna4]]</f>
        <v>310375.15740000003</v>
      </c>
      <c r="G73" s="19">
        <f>+Tabla1[[#This Row],[CLIENTE FINAL]]</f>
        <v>508660.39999999997</v>
      </c>
      <c r="H73" s="19" t="e">
        <f>+I73/#REF!</f>
        <v>#REF!</v>
      </c>
      <c r="I73" s="19">
        <f t="shared" si="8"/>
        <v>310375.15740000003</v>
      </c>
      <c r="J73" s="18">
        <f t="shared" si="9"/>
        <v>3135.1026000000002</v>
      </c>
      <c r="K73" s="15" t="e">
        <f>+L73/#REF!</f>
        <v>#REF!</v>
      </c>
      <c r="L73" s="20">
        <f>Tabla1[[#This Row],[oro sin IVA]]*1.19</f>
        <v>313510.26</v>
      </c>
      <c r="M73" s="15" t="e">
        <f>+Q73/#REF!</f>
        <v>#REF!</v>
      </c>
      <c r="N73" s="15">
        <f>+Tabla1[[#This Row],[PRECIO SUGERIDO INSTALADOR]]/0.7</f>
        <v>508660.39999999997</v>
      </c>
      <c r="O73" s="15">
        <f>+Tabla1[[#This Row],[PRECIO SUGERIDO INSTALADOR]]*5%</f>
        <v>17803.113999999998</v>
      </c>
      <c r="P73" s="15">
        <f>+Tabla1[[#This Row],[PRECIO SUGERIDO INSTALADOR]]-Tabla1[[#This Row],[Columna1]]</f>
        <v>338259.16599999997</v>
      </c>
      <c r="Q73" s="21">
        <f>Tabla1[[#This Row],[instalador sin IVA]]*1.19</f>
        <v>356062.27999999997</v>
      </c>
      <c r="R73" s="41">
        <v>263454</v>
      </c>
      <c r="S73" s="40">
        <v>299212</v>
      </c>
      <c r="T73" s="14" t="s">
        <v>0</v>
      </c>
      <c r="U73" s="13">
        <v>287876.26595744683</v>
      </c>
      <c r="V73" s="12"/>
    </row>
    <row r="74" spans="1:22" s="11" customFormat="1" ht="27" x14ac:dyDescent="0.25">
      <c r="A74" s="43" t="s">
        <v>162</v>
      </c>
      <c r="B74" s="44" t="s">
        <v>163</v>
      </c>
      <c r="C74" s="15">
        <f>+Tabla1[[#This Row],[PRECIO SUGERIDO INSTALADOR]]</f>
        <v>510533.8</v>
      </c>
      <c r="D74" s="15">
        <f>+Tabla1[[#This Row],[TIENDA]]</f>
        <v>485007.11</v>
      </c>
      <c r="E74" s="15">
        <f>+Tabla1[[#This Row],[DPP ORO7]]</f>
        <v>449532.01999999996</v>
      </c>
      <c r="F74" s="19">
        <f>+Tabla1[[#This Row],[Columna4]]</f>
        <v>445036.69979999994</v>
      </c>
      <c r="G74" s="19">
        <f>+Tabla1[[#This Row],[CLIENTE FINAL]]</f>
        <v>729334</v>
      </c>
      <c r="H74" s="27" t="e">
        <f>+I74/#REF!</f>
        <v>#REF!</v>
      </c>
      <c r="I74" s="27">
        <f t="shared" si="8"/>
        <v>445036.69979999994</v>
      </c>
      <c r="J74" s="26">
        <f t="shared" si="9"/>
        <v>4495.3202000000001</v>
      </c>
      <c r="K74" s="23" t="e">
        <f>+L74/#REF!</f>
        <v>#REF!</v>
      </c>
      <c r="L74" s="24">
        <f>Tabla1[[#This Row],[oro sin IVA]]*1.19</f>
        <v>449532.01999999996</v>
      </c>
      <c r="M74" s="23" t="e">
        <f>+Q74/#REF!</f>
        <v>#REF!</v>
      </c>
      <c r="N74" s="23">
        <f>+Tabla1[[#This Row],[PRECIO SUGERIDO INSTALADOR]]/0.7</f>
        <v>729334</v>
      </c>
      <c r="O74" s="23">
        <f>+Tabla1[[#This Row],[PRECIO SUGERIDO INSTALADOR]]*5%</f>
        <v>25526.690000000002</v>
      </c>
      <c r="P74" s="23">
        <f>+Tabla1[[#This Row],[PRECIO SUGERIDO INSTALADOR]]-Tabla1[[#This Row],[Columna1]]</f>
        <v>485007.11</v>
      </c>
      <c r="Q74" s="25">
        <f>Tabla1[[#This Row],[instalador sin IVA]]*1.19</f>
        <v>510533.8</v>
      </c>
      <c r="R74" s="41">
        <v>377758</v>
      </c>
      <c r="S74" s="40">
        <v>429020</v>
      </c>
      <c r="T74" s="14" t="s">
        <v>0</v>
      </c>
      <c r="U74" s="13">
        <v>493486.91297872353</v>
      </c>
      <c r="V74" s="12"/>
    </row>
    <row r="75" spans="1:22" s="11" customFormat="1" ht="27" x14ac:dyDescent="0.25">
      <c r="A75" s="43" t="s">
        <v>164</v>
      </c>
      <c r="B75" s="44" t="s">
        <v>165</v>
      </c>
      <c r="C75" s="15">
        <f>+Tabla1[[#This Row],[PRECIO SUGERIDO INSTALADOR]]</f>
        <v>551367.46</v>
      </c>
      <c r="D75" s="15">
        <f>+Tabla1[[#This Row],[TIENDA]]</f>
        <v>523799.08699999994</v>
      </c>
      <c r="E75" s="15">
        <f>+Tabla1[[#This Row],[DPP ORO7]]</f>
        <v>485481.92</v>
      </c>
      <c r="F75" s="19">
        <f>+Tabla1[[#This Row],[Columna4]]</f>
        <v>480627.10079999996</v>
      </c>
      <c r="G75" s="19">
        <f>+Tabla1[[#This Row],[CLIENTE FINAL]]</f>
        <v>787667.8</v>
      </c>
      <c r="H75" s="19" t="e">
        <f>+I75/#REF!</f>
        <v>#REF!</v>
      </c>
      <c r="I75" s="19">
        <f t="shared" si="8"/>
        <v>480627.10079999996</v>
      </c>
      <c r="J75" s="18">
        <f t="shared" si="9"/>
        <v>4854.8191999999999</v>
      </c>
      <c r="K75" s="15" t="e">
        <f>+L75/#REF!</f>
        <v>#REF!</v>
      </c>
      <c r="L75" s="20">
        <f>Tabla1[[#This Row],[oro sin IVA]]*1.19</f>
        <v>485481.92</v>
      </c>
      <c r="M75" s="15" t="e">
        <f>+Q75/#REF!</f>
        <v>#REF!</v>
      </c>
      <c r="N75" s="15">
        <f>+Tabla1[[#This Row],[PRECIO SUGERIDO INSTALADOR]]/0.7</f>
        <v>787667.8</v>
      </c>
      <c r="O75" s="15">
        <f>+Tabla1[[#This Row],[PRECIO SUGERIDO INSTALADOR]]*5%</f>
        <v>27568.373</v>
      </c>
      <c r="P75" s="15">
        <f>+Tabla1[[#This Row],[PRECIO SUGERIDO INSTALADOR]]-Tabla1[[#This Row],[Columna1]]</f>
        <v>523799.08699999994</v>
      </c>
      <c r="Q75" s="21">
        <f>Tabla1[[#This Row],[instalador sin IVA]]*1.19</f>
        <v>551367.46</v>
      </c>
      <c r="R75" s="41">
        <v>407968</v>
      </c>
      <c r="S75" s="40">
        <v>463334</v>
      </c>
      <c r="T75" s="14" t="s">
        <v>0</v>
      </c>
      <c r="U75" s="13">
        <v>966291.48936170246</v>
      </c>
      <c r="V75" s="12"/>
    </row>
    <row r="76" spans="1:22" s="11" customFormat="1" ht="27" x14ac:dyDescent="0.25">
      <c r="A76" s="43" t="s">
        <v>166</v>
      </c>
      <c r="B76" s="44" t="s">
        <v>167</v>
      </c>
      <c r="C76" s="15">
        <f>+Tabla1[[#This Row],[PRECIO SUGERIDO INSTALADOR]]</f>
        <v>753953.05999999994</v>
      </c>
      <c r="D76" s="15">
        <f>+Tabla1[[#This Row],[TIENDA]]</f>
        <v>716255.40699999989</v>
      </c>
      <c r="E76" s="15">
        <f>+Tabla1[[#This Row],[DPP ORO7]]</f>
        <v>663920.03999999992</v>
      </c>
      <c r="F76" s="19">
        <f>+Tabla1[[#This Row],[Columna4]]</f>
        <v>657280.83959999995</v>
      </c>
      <c r="G76" s="19">
        <f>+Tabla1[[#This Row],[CLIENTE FINAL]]</f>
        <v>1077075.8</v>
      </c>
      <c r="H76" s="19" t="e">
        <f>+I76/#REF!</f>
        <v>#REF!</v>
      </c>
      <c r="I76" s="19">
        <f t="shared" si="8"/>
        <v>657280.83959999995</v>
      </c>
      <c r="J76" s="18">
        <f t="shared" si="9"/>
        <v>6639.2003999999997</v>
      </c>
      <c r="K76" s="15" t="e">
        <f>+L76/#REF!</f>
        <v>#REF!</v>
      </c>
      <c r="L76" s="20">
        <f>Tabla1[[#This Row],[oro sin IVA]]*1.19</f>
        <v>663920.03999999992</v>
      </c>
      <c r="M76" s="15" t="e">
        <f>+Q76/#REF!</f>
        <v>#REF!</v>
      </c>
      <c r="N76" s="15">
        <f>+Tabla1[[#This Row],[PRECIO SUGERIDO INSTALADOR]]/0.7</f>
        <v>1077075.8</v>
      </c>
      <c r="O76" s="15">
        <f>+Tabla1[[#This Row],[PRECIO SUGERIDO INSTALADOR]]*5%</f>
        <v>37697.652999999998</v>
      </c>
      <c r="P76" s="15">
        <f>+Tabla1[[#This Row],[PRECIO SUGERIDO INSTALADOR]]-Tabla1[[#This Row],[Columna1]]</f>
        <v>716255.40699999989</v>
      </c>
      <c r="Q76" s="21">
        <f>Tabla1[[#This Row],[instalador sin IVA]]*1.19</f>
        <v>753953.05999999994</v>
      </c>
      <c r="R76" s="41">
        <v>557916</v>
      </c>
      <c r="S76" s="40">
        <v>633574</v>
      </c>
      <c r="T76" s="14" t="s">
        <v>0</v>
      </c>
      <c r="U76" s="13">
        <v>383465.14893617027</v>
      </c>
      <c r="V76" s="12"/>
    </row>
    <row r="77" spans="1:22" s="11" customFormat="1" ht="40.5" x14ac:dyDescent="0.25">
      <c r="A77" s="43" t="s">
        <v>168</v>
      </c>
      <c r="B77" s="44" t="s">
        <v>169</v>
      </c>
      <c r="C77" s="15">
        <f>+Tabla1[[#This Row],[PRECIO SUGERIDO INSTALADOR]]</f>
        <v>727454.14</v>
      </c>
      <c r="D77" s="15">
        <f>+Tabla1[[#This Row],[TIENDA]]</f>
        <v>691081.43299999996</v>
      </c>
      <c r="E77" s="15">
        <f>+Tabla1[[#This Row],[DPP ORO7]]</f>
        <v>640541.29999999993</v>
      </c>
      <c r="F77" s="19">
        <f>+Tabla1[[#This Row],[Columna4]]</f>
        <v>634135.88699999999</v>
      </c>
      <c r="G77" s="19">
        <f>+Tabla1[[#This Row],[CLIENTE FINAL]]</f>
        <v>1039220.2000000001</v>
      </c>
      <c r="H77" s="19" t="e">
        <f>+I77/#REF!</f>
        <v>#REF!</v>
      </c>
      <c r="I77" s="19">
        <f t="shared" si="8"/>
        <v>634135.88699999999</v>
      </c>
      <c r="J77" s="18">
        <f t="shared" si="9"/>
        <v>6405.4129999999996</v>
      </c>
      <c r="K77" s="15" t="e">
        <f>+L77/#REF!</f>
        <v>#REF!</v>
      </c>
      <c r="L77" s="20">
        <f>Tabla1[[#This Row],[oro sin IVA]]*1.19</f>
        <v>640541.29999999993</v>
      </c>
      <c r="M77" s="15" t="e">
        <f>+Q77/#REF!</f>
        <v>#REF!</v>
      </c>
      <c r="N77" s="15">
        <f>+Tabla1[[#This Row],[PRECIO SUGERIDO INSTALADOR]]/0.7</f>
        <v>1039220.2000000001</v>
      </c>
      <c r="O77" s="15">
        <f>+Tabla1[[#This Row],[PRECIO SUGERIDO INSTALADOR]]*5%</f>
        <v>36372.707000000002</v>
      </c>
      <c r="P77" s="15">
        <f>+Tabla1[[#This Row],[PRECIO SUGERIDO INSTALADOR]]-Tabla1[[#This Row],[Columna1]]</f>
        <v>691081.43299999996</v>
      </c>
      <c r="Q77" s="21">
        <f>Tabla1[[#This Row],[instalador sin IVA]]*1.19</f>
        <v>727454.14</v>
      </c>
      <c r="R77" s="41">
        <v>538270</v>
      </c>
      <c r="S77" s="40">
        <v>611306</v>
      </c>
      <c r="T77" s="14" t="s">
        <v>0</v>
      </c>
      <c r="U77" s="13">
        <v>317859.04255319148</v>
      </c>
      <c r="V77" s="12"/>
    </row>
    <row r="78" spans="1:22" x14ac:dyDescent="0.25">
      <c r="A78" s="10"/>
      <c r="B78" s="1"/>
      <c r="C78" s="8"/>
      <c r="D78" s="8"/>
      <c r="E78" s="9"/>
      <c r="F78" s="9"/>
      <c r="G78" s="9"/>
      <c r="H78" s="9"/>
      <c r="I78" s="9"/>
      <c r="J78" s="9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2" x14ac:dyDescent="0.25">
      <c r="A79" s="10"/>
      <c r="B79" s="1"/>
      <c r="C79" s="8"/>
      <c r="D79" s="8"/>
      <c r="E79" s="9"/>
      <c r="F79" s="9"/>
      <c r="G79" s="9"/>
      <c r="H79" s="9"/>
      <c r="I79" s="9"/>
      <c r="J79" s="9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2" x14ac:dyDescent="0.25">
      <c r="A80" s="10"/>
      <c r="B80" s="1"/>
      <c r="C80" s="8"/>
      <c r="D80" s="8"/>
      <c r="E80" s="9"/>
      <c r="F80" s="9"/>
      <c r="G80" s="9"/>
      <c r="H80" s="9"/>
      <c r="I80" s="9"/>
      <c r="J80" s="9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25">
      <c r="A81" s="10"/>
      <c r="B81" s="1"/>
      <c r="C81" s="8"/>
      <c r="D81" s="8"/>
      <c r="E81" s="9"/>
      <c r="F81" s="9"/>
      <c r="G81" s="9"/>
      <c r="H81" s="9"/>
      <c r="I81" s="9"/>
      <c r="J81" s="9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25">
      <c r="A82" s="10"/>
      <c r="B82" s="1"/>
      <c r="C82" s="8"/>
      <c r="D82" s="8"/>
      <c r="E82" s="9"/>
      <c r="F82" s="9"/>
      <c r="G82" s="9"/>
      <c r="H82" s="9"/>
      <c r="I82" s="9"/>
      <c r="J82" s="9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25">
      <c r="A83" s="10"/>
      <c r="B83" s="1"/>
      <c r="C83" s="8"/>
      <c r="D83" s="8"/>
      <c r="E83" s="9"/>
      <c r="F83" s="9"/>
      <c r="G83" s="9"/>
      <c r="H83" s="9"/>
      <c r="I83" s="9"/>
      <c r="J83" s="9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25">
      <c r="A84" s="10"/>
      <c r="B84" s="1"/>
      <c r="C84" s="8"/>
      <c r="D84" s="8"/>
      <c r="E84" s="9"/>
      <c r="F84" s="9"/>
      <c r="G84" s="9"/>
      <c r="H84" s="9"/>
      <c r="I84" s="9"/>
      <c r="J84" s="9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25">
      <c r="A85" s="10"/>
      <c r="B85" s="1"/>
      <c r="C85" s="8"/>
      <c r="D85" s="8"/>
      <c r="E85" s="9"/>
      <c r="F85" s="9"/>
      <c r="G85" s="9"/>
      <c r="H85" s="9"/>
      <c r="I85" s="9"/>
      <c r="J85" s="9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25">
      <c r="A86" s="10"/>
      <c r="B86" s="1"/>
      <c r="C86" s="8"/>
      <c r="D86" s="8"/>
      <c r="E86" s="9"/>
      <c r="F86" s="9"/>
      <c r="G86" s="9"/>
      <c r="H86" s="9"/>
      <c r="I86" s="9"/>
      <c r="J86" s="9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25">
      <c r="A87" s="10"/>
      <c r="B87" s="1"/>
      <c r="C87" s="8"/>
      <c r="D87" s="8"/>
      <c r="E87" s="9"/>
      <c r="F87" s="9"/>
      <c r="G87" s="9"/>
      <c r="H87" s="9"/>
      <c r="I87" s="9"/>
      <c r="J87" s="9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25">
      <c r="A88" s="10"/>
      <c r="B88" s="1"/>
      <c r="C88" s="8"/>
      <c r="D88" s="8"/>
      <c r="E88" s="9"/>
      <c r="F88" s="9"/>
      <c r="G88" s="9"/>
      <c r="H88" s="9"/>
      <c r="I88" s="9"/>
      <c r="J88" s="9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25">
      <c r="A89" s="10"/>
      <c r="B89" s="1"/>
      <c r="C89" s="8"/>
      <c r="D89" s="8"/>
      <c r="E89" s="9"/>
      <c r="F89" s="9"/>
      <c r="G89" s="9"/>
      <c r="H89" s="9"/>
      <c r="I89" s="9"/>
      <c r="J89" s="9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25">
      <c r="A90" s="10"/>
      <c r="B90" s="1"/>
      <c r="C90" s="8"/>
      <c r="D90" s="8"/>
      <c r="E90" s="9"/>
      <c r="F90" s="9"/>
      <c r="G90" s="9"/>
      <c r="H90" s="9"/>
      <c r="I90" s="9"/>
      <c r="J90" s="9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25">
      <c r="A91" s="10"/>
      <c r="B91" s="1"/>
      <c r="C91" s="8"/>
      <c r="D91" s="8"/>
      <c r="E91" s="9"/>
      <c r="F91" s="9"/>
      <c r="G91" s="9"/>
      <c r="H91" s="9"/>
      <c r="I91" s="9"/>
      <c r="J91" s="9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25">
      <c r="A92" s="10"/>
      <c r="B92" s="1"/>
      <c r="C92" s="8"/>
      <c r="D92" s="8"/>
      <c r="E92" s="9"/>
      <c r="F92" s="9"/>
      <c r="G92" s="9"/>
      <c r="H92" s="9"/>
      <c r="I92" s="9"/>
      <c r="J92" s="9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25">
      <c r="A93" s="10"/>
      <c r="B93" s="1"/>
      <c r="C93" s="8"/>
      <c r="D93" s="8"/>
      <c r="E93" s="9"/>
      <c r="F93" s="9"/>
      <c r="G93" s="9"/>
      <c r="H93" s="9"/>
      <c r="I93" s="9"/>
      <c r="J93" s="9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25">
      <c r="A94" s="10"/>
      <c r="B94" s="1"/>
      <c r="C94" s="8"/>
      <c r="D94" s="8"/>
      <c r="E94" s="9"/>
      <c r="F94" s="9"/>
      <c r="G94" s="9"/>
      <c r="H94" s="9"/>
      <c r="I94" s="9"/>
      <c r="J94" s="9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25">
      <c r="A95" s="10"/>
      <c r="B95" s="1"/>
      <c r="C95" s="8"/>
      <c r="D95" s="8"/>
      <c r="E95" s="9"/>
      <c r="F95" s="9"/>
      <c r="G95" s="9"/>
      <c r="H95" s="9"/>
      <c r="I95" s="9"/>
      <c r="J95" s="9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25">
      <c r="A96" s="10"/>
      <c r="B96" s="1"/>
      <c r="C96" s="8"/>
      <c r="D96" s="8"/>
      <c r="E96" s="9"/>
      <c r="F96" s="9"/>
      <c r="G96" s="9"/>
      <c r="H96" s="9"/>
      <c r="I96" s="9"/>
      <c r="J96" s="9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25">
      <c r="A97" s="10"/>
      <c r="B97" s="1"/>
      <c r="C97" s="8"/>
      <c r="D97" s="8"/>
      <c r="E97" s="9"/>
      <c r="F97" s="9"/>
      <c r="G97" s="9"/>
      <c r="H97" s="9"/>
      <c r="I97" s="9"/>
      <c r="J97" s="9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25">
      <c r="A98" s="10"/>
      <c r="B98" s="1"/>
      <c r="C98" s="8"/>
      <c r="D98" s="8"/>
      <c r="E98" s="9"/>
      <c r="F98" s="9"/>
      <c r="G98" s="9"/>
      <c r="H98" s="9"/>
      <c r="I98" s="9"/>
      <c r="J98" s="9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25">
      <c r="A99" s="10"/>
      <c r="B99" s="1"/>
      <c r="C99" s="8"/>
      <c r="D99" s="8"/>
      <c r="E99" s="9"/>
      <c r="F99" s="9"/>
      <c r="G99" s="9"/>
      <c r="H99" s="9"/>
      <c r="I99" s="9"/>
      <c r="J99" s="9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25">
      <c r="A100" s="10"/>
      <c r="B100" s="1"/>
      <c r="C100" s="8"/>
      <c r="D100" s="8"/>
      <c r="E100" s="9"/>
      <c r="F100" s="9"/>
      <c r="G100" s="9"/>
      <c r="H100" s="9"/>
      <c r="I100" s="9"/>
      <c r="J100" s="9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x14ac:dyDescent="0.25">
      <c r="A101" s="10"/>
      <c r="B101" s="1"/>
      <c r="C101" s="8"/>
      <c r="D101" s="8"/>
      <c r="E101" s="9"/>
      <c r="F101" s="9"/>
      <c r="G101" s="9"/>
      <c r="H101" s="9"/>
      <c r="I101" s="9"/>
      <c r="J101" s="9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spans="1:20" x14ac:dyDescent="0.25">
      <c r="A102" s="10"/>
      <c r="B102" s="1"/>
      <c r="C102" s="8"/>
      <c r="D102" s="8"/>
      <c r="E102" s="9"/>
      <c r="F102" s="9"/>
      <c r="G102" s="9"/>
      <c r="H102" s="9"/>
      <c r="I102" s="9"/>
      <c r="J102" s="9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spans="1:20" x14ac:dyDescent="0.25">
      <c r="A103" s="10"/>
      <c r="B103" s="1"/>
      <c r="C103" s="8"/>
      <c r="D103" s="8"/>
      <c r="E103" s="9"/>
      <c r="F103" s="9"/>
      <c r="G103" s="9"/>
      <c r="H103" s="9"/>
      <c r="I103" s="9"/>
      <c r="J103" s="9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spans="1:20" x14ac:dyDescent="0.25">
      <c r="A104" s="10"/>
      <c r="B104" s="1"/>
      <c r="C104" s="8"/>
      <c r="D104" s="8"/>
      <c r="E104" s="9"/>
      <c r="F104" s="9"/>
      <c r="G104" s="9"/>
      <c r="H104" s="9"/>
      <c r="I104" s="9"/>
      <c r="J104" s="9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spans="1:20" x14ac:dyDescent="0.25">
      <c r="A105" s="10"/>
      <c r="B105" s="1"/>
      <c r="C105" s="8"/>
      <c r="D105" s="8"/>
      <c r="E105" s="9"/>
      <c r="F105" s="9"/>
      <c r="G105" s="9"/>
      <c r="H105" s="9"/>
      <c r="I105" s="9"/>
      <c r="J105" s="9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1:20" x14ac:dyDescent="0.25">
      <c r="A106" s="10"/>
      <c r="B106" s="1"/>
      <c r="C106" s="8"/>
      <c r="D106" s="8"/>
      <c r="E106" s="9"/>
      <c r="F106" s="9"/>
      <c r="G106" s="9"/>
      <c r="H106" s="9"/>
      <c r="I106" s="9"/>
      <c r="J106" s="9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spans="1:20" x14ac:dyDescent="0.25">
      <c r="A107" s="10"/>
      <c r="B107" s="1"/>
      <c r="C107" s="8"/>
      <c r="D107" s="8"/>
      <c r="E107" s="9"/>
      <c r="F107" s="9"/>
      <c r="G107" s="9"/>
      <c r="H107" s="9"/>
      <c r="I107" s="9"/>
      <c r="J107" s="9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spans="1:20" x14ac:dyDescent="0.25">
      <c r="A108" s="10"/>
      <c r="B108" s="1"/>
      <c r="C108" s="8"/>
      <c r="D108" s="8"/>
      <c r="E108" s="9"/>
      <c r="F108" s="9"/>
      <c r="G108" s="9"/>
      <c r="H108" s="9"/>
      <c r="I108" s="9"/>
      <c r="J108" s="9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spans="1:20" x14ac:dyDescent="0.25">
      <c r="A109" s="10"/>
      <c r="B109" s="1"/>
      <c r="C109" s="8"/>
      <c r="D109" s="8"/>
      <c r="E109" s="9"/>
      <c r="F109" s="9"/>
      <c r="G109" s="9"/>
      <c r="H109" s="9"/>
      <c r="I109" s="9"/>
      <c r="J109" s="9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spans="1:20" x14ac:dyDescent="0.25">
      <c r="A110" s="10"/>
      <c r="B110" s="1"/>
      <c r="C110" s="8"/>
      <c r="D110" s="8"/>
      <c r="E110" s="9"/>
      <c r="F110" s="9"/>
      <c r="G110" s="9"/>
      <c r="H110" s="9"/>
      <c r="I110" s="9"/>
      <c r="J110" s="9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spans="1:20" x14ac:dyDescent="0.25">
      <c r="A111" s="10"/>
      <c r="B111" s="1"/>
      <c r="C111" s="8"/>
      <c r="D111" s="8"/>
      <c r="E111" s="9"/>
      <c r="F111" s="9"/>
      <c r="G111" s="9"/>
      <c r="H111" s="9"/>
      <c r="I111" s="9"/>
      <c r="J111" s="9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spans="1:20" x14ac:dyDescent="0.25">
      <c r="A112" s="10"/>
      <c r="B112" s="1"/>
      <c r="C112" s="8"/>
      <c r="D112" s="8"/>
      <c r="E112" s="9"/>
      <c r="F112" s="9"/>
      <c r="G112" s="9"/>
      <c r="H112" s="9"/>
      <c r="I112" s="9"/>
      <c r="J112" s="9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spans="1:20" x14ac:dyDescent="0.25">
      <c r="A113" s="10"/>
      <c r="B113" s="1"/>
      <c r="C113" s="8"/>
      <c r="D113" s="8"/>
      <c r="E113" s="9"/>
      <c r="F113" s="9"/>
      <c r="G113" s="9"/>
      <c r="H113" s="9"/>
      <c r="I113" s="9"/>
      <c r="J113" s="9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spans="1:20" x14ac:dyDescent="0.25">
      <c r="A114" s="10"/>
      <c r="B114" s="1"/>
      <c r="C114" s="8"/>
      <c r="D114" s="8"/>
      <c r="E114" s="9"/>
      <c r="F114" s="9"/>
      <c r="G114" s="9"/>
      <c r="H114" s="9"/>
      <c r="I114" s="9"/>
      <c r="J114" s="9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spans="1:20" x14ac:dyDescent="0.25">
      <c r="A115" s="10"/>
      <c r="B115" s="1"/>
      <c r="C115" s="8"/>
      <c r="D115" s="8"/>
      <c r="E115" s="9"/>
      <c r="F115" s="9"/>
      <c r="G115" s="9"/>
      <c r="H115" s="9"/>
      <c r="I115" s="9"/>
      <c r="J115" s="9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spans="1:20" x14ac:dyDescent="0.25">
      <c r="A116" s="10"/>
      <c r="B116" s="1"/>
      <c r="C116" s="8"/>
      <c r="D116" s="8"/>
      <c r="E116" s="9"/>
      <c r="F116" s="9"/>
      <c r="G116" s="9"/>
      <c r="H116" s="9"/>
      <c r="I116" s="9"/>
      <c r="J116" s="9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spans="1:20" x14ac:dyDescent="0.25">
      <c r="A117" s="10"/>
      <c r="B117" s="1"/>
      <c r="C117" s="8"/>
      <c r="D117" s="8"/>
      <c r="E117" s="9"/>
      <c r="F117" s="9"/>
      <c r="G117" s="9"/>
      <c r="H117" s="9"/>
      <c r="I117" s="9"/>
      <c r="J117" s="9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spans="1:20" x14ac:dyDescent="0.25">
      <c r="A118" s="10"/>
      <c r="B118" s="1"/>
      <c r="C118" s="8"/>
      <c r="D118" s="8"/>
      <c r="E118" s="9"/>
      <c r="F118" s="9"/>
      <c r="G118" s="9"/>
      <c r="H118" s="9"/>
      <c r="I118" s="9"/>
      <c r="J118" s="9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spans="1:20" x14ac:dyDescent="0.25">
      <c r="A119" s="10"/>
      <c r="B119" s="1"/>
      <c r="C119" s="8"/>
      <c r="D119" s="8"/>
      <c r="E119" s="9"/>
      <c r="F119" s="9"/>
      <c r="G119" s="9"/>
      <c r="H119" s="9"/>
      <c r="I119" s="9"/>
      <c r="J119" s="9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:20" x14ac:dyDescent="0.25">
      <c r="A120" s="10"/>
      <c r="B120" s="1"/>
      <c r="C120" s="8"/>
      <c r="D120" s="8"/>
      <c r="E120" s="9"/>
      <c r="F120" s="9"/>
      <c r="G120" s="9"/>
      <c r="H120" s="9"/>
      <c r="I120" s="9"/>
      <c r="J120" s="9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spans="1:20" x14ac:dyDescent="0.25">
      <c r="A121" s="10"/>
      <c r="B121" s="1"/>
      <c r="C121" s="8"/>
      <c r="D121" s="8"/>
      <c r="E121" s="9"/>
      <c r="F121" s="9"/>
      <c r="G121" s="9"/>
      <c r="H121" s="9"/>
      <c r="I121" s="9"/>
      <c r="J121" s="9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spans="1:20" x14ac:dyDescent="0.25">
      <c r="A122" s="10"/>
      <c r="B122" s="1"/>
      <c r="C122" s="8"/>
      <c r="D122" s="8"/>
      <c r="E122" s="9"/>
      <c r="F122" s="9"/>
      <c r="G122" s="9"/>
      <c r="H122" s="9"/>
      <c r="I122" s="9"/>
      <c r="J122" s="9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0" x14ac:dyDescent="0.25">
      <c r="A123" s="10"/>
      <c r="B123" s="1"/>
      <c r="C123" s="8"/>
      <c r="D123" s="8"/>
      <c r="E123" s="9"/>
      <c r="F123" s="9"/>
      <c r="G123" s="9"/>
      <c r="H123" s="9"/>
      <c r="I123" s="9"/>
      <c r="J123" s="9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0" x14ac:dyDescent="0.25">
      <c r="A124" s="10"/>
      <c r="B124" s="1"/>
      <c r="C124" s="8"/>
      <c r="D124" s="8"/>
      <c r="E124" s="9"/>
      <c r="F124" s="9"/>
      <c r="G124" s="9"/>
      <c r="H124" s="9"/>
      <c r="I124" s="9"/>
      <c r="J124" s="9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0" x14ac:dyDescent="0.25">
      <c r="A125" s="10"/>
      <c r="B125" s="1"/>
      <c r="C125" s="8"/>
      <c r="D125" s="8"/>
      <c r="E125" s="9"/>
      <c r="F125" s="9"/>
      <c r="G125" s="9"/>
      <c r="H125" s="9"/>
      <c r="I125" s="9"/>
      <c r="J125" s="9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0" x14ac:dyDescent="0.25">
      <c r="A126" s="10"/>
      <c r="B126" s="1"/>
      <c r="C126" s="8"/>
      <c r="D126" s="8"/>
      <c r="E126" s="9"/>
      <c r="F126" s="9"/>
      <c r="G126" s="9"/>
      <c r="H126" s="9"/>
      <c r="I126" s="9"/>
      <c r="J126" s="9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0" x14ac:dyDescent="0.25">
      <c r="A127" s="10"/>
      <c r="B127" s="1"/>
      <c r="C127" s="8"/>
      <c r="D127" s="8"/>
      <c r="E127" s="9"/>
      <c r="F127" s="9"/>
      <c r="G127" s="9"/>
      <c r="H127" s="9"/>
      <c r="I127" s="9"/>
      <c r="J127" s="9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0" x14ac:dyDescent="0.25">
      <c r="A128" s="10"/>
      <c r="B128" s="1"/>
      <c r="C128" s="8"/>
      <c r="D128" s="8"/>
      <c r="E128" s="9"/>
      <c r="F128" s="9"/>
      <c r="G128" s="9"/>
      <c r="H128" s="9"/>
      <c r="I128" s="9"/>
      <c r="J128" s="9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x14ac:dyDescent="0.25">
      <c r="A129" s="10"/>
      <c r="B129" s="1"/>
      <c r="C129" s="8"/>
      <c r="D129" s="8"/>
      <c r="E129" s="9"/>
      <c r="F129" s="9"/>
      <c r="G129" s="9"/>
      <c r="H129" s="9"/>
      <c r="I129" s="9"/>
      <c r="J129" s="9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x14ac:dyDescent="0.25">
      <c r="A130" s="10"/>
      <c r="B130" s="1"/>
      <c r="C130" s="8"/>
      <c r="D130" s="8"/>
      <c r="E130" s="9"/>
      <c r="F130" s="9"/>
      <c r="G130" s="9"/>
      <c r="H130" s="9"/>
      <c r="I130" s="9"/>
      <c r="J130" s="9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x14ac:dyDescent="0.25">
      <c r="A131" s="10"/>
      <c r="B131" s="1"/>
      <c r="C131" s="8"/>
      <c r="D131" s="8"/>
      <c r="E131" s="9"/>
      <c r="F131" s="9"/>
      <c r="G131" s="9"/>
      <c r="H131" s="9"/>
      <c r="I131" s="9"/>
      <c r="J131" s="9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x14ac:dyDescent="0.25">
      <c r="A132" s="10"/>
      <c r="B132" s="1"/>
      <c r="C132" s="8"/>
      <c r="D132" s="8"/>
      <c r="E132" s="9"/>
      <c r="F132" s="9"/>
      <c r="G132" s="9"/>
      <c r="H132" s="9"/>
      <c r="I132" s="9"/>
      <c r="J132" s="9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x14ac:dyDescent="0.25">
      <c r="A133" s="10"/>
      <c r="B133" s="1"/>
      <c r="C133" s="8"/>
      <c r="D133" s="8"/>
      <c r="E133" s="9"/>
      <c r="F133" s="9"/>
      <c r="G133" s="9"/>
      <c r="H133" s="9"/>
      <c r="I133" s="9"/>
      <c r="J133" s="9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x14ac:dyDescent="0.25">
      <c r="A134" s="10"/>
      <c r="B134" s="1"/>
      <c r="C134" s="8"/>
      <c r="D134" s="8"/>
      <c r="E134" s="9"/>
      <c r="F134" s="9"/>
      <c r="G134" s="9"/>
      <c r="H134" s="9"/>
      <c r="I134" s="9"/>
      <c r="J134" s="9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x14ac:dyDescent="0.25">
      <c r="A135" s="10"/>
      <c r="B135" s="1"/>
      <c r="C135" s="8"/>
      <c r="D135" s="8"/>
      <c r="E135" s="9"/>
      <c r="F135" s="9"/>
      <c r="G135" s="9"/>
      <c r="H135" s="9"/>
      <c r="I135" s="9"/>
      <c r="J135" s="9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x14ac:dyDescent="0.25">
      <c r="A136" s="10"/>
      <c r="B136" s="1"/>
      <c r="C136" s="8"/>
      <c r="D136" s="8"/>
      <c r="E136" s="9"/>
      <c r="F136" s="9"/>
      <c r="G136" s="9"/>
      <c r="H136" s="9"/>
      <c r="I136" s="9"/>
      <c r="J136" s="9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x14ac:dyDescent="0.25">
      <c r="A137" s="10"/>
      <c r="B137" s="1"/>
      <c r="C137" s="8"/>
      <c r="D137" s="8"/>
      <c r="E137" s="9"/>
      <c r="F137" s="9"/>
      <c r="G137" s="9"/>
      <c r="H137" s="9"/>
      <c r="I137" s="9"/>
      <c r="J137" s="9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x14ac:dyDescent="0.25">
      <c r="A138" s="10"/>
      <c r="B138" s="1"/>
      <c r="C138" s="8"/>
      <c r="D138" s="8"/>
      <c r="E138" s="9"/>
      <c r="F138" s="9"/>
      <c r="G138" s="9"/>
      <c r="H138" s="9"/>
      <c r="I138" s="9"/>
      <c r="J138" s="9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x14ac:dyDescent="0.25">
      <c r="A139" s="10"/>
      <c r="B139" s="1"/>
      <c r="C139" s="8"/>
      <c r="D139" s="8"/>
      <c r="E139" s="9"/>
      <c r="F139" s="9"/>
      <c r="G139" s="9"/>
      <c r="H139" s="9"/>
      <c r="I139" s="9"/>
      <c r="J139" s="9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x14ac:dyDescent="0.25">
      <c r="A140" s="10"/>
      <c r="B140" s="1"/>
      <c r="C140" s="8"/>
      <c r="D140" s="8"/>
      <c r="E140" s="9"/>
      <c r="F140" s="9"/>
      <c r="G140" s="9"/>
      <c r="H140" s="9"/>
      <c r="I140" s="9"/>
      <c r="J140" s="9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x14ac:dyDescent="0.25">
      <c r="A141" s="10"/>
      <c r="B141" s="1"/>
      <c r="C141" s="8"/>
      <c r="D141" s="8"/>
      <c r="E141" s="9"/>
      <c r="F141" s="9"/>
      <c r="G141" s="9"/>
      <c r="H141" s="9"/>
      <c r="I141" s="9"/>
      <c r="J141" s="9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x14ac:dyDescent="0.25">
      <c r="A142" s="10"/>
      <c r="B142" s="1"/>
      <c r="C142" s="8"/>
      <c r="D142" s="8"/>
      <c r="E142" s="9"/>
      <c r="F142" s="9"/>
      <c r="G142" s="9"/>
      <c r="H142" s="9"/>
      <c r="I142" s="9"/>
      <c r="J142" s="9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x14ac:dyDescent="0.25">
      <c r="A143" s="10"/>
      <c r="B143" s="1"/>
      <c r="C143" s="8"/>
      <c r="D143" s="8"/>
      <c r="E143" s="9"/>
      <c r="F143" s="9"/>
      <c r="G143" s="9"/>
      <c r="H143" s="9"/>
      <c r="I143" s="9"/>
      <c r="J143" s="9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x14ac:dyDescent="0.25">
      <c r="A144" s="10"/>
      <c r="B144" s="1"/>
      <c r="C144" s="8"/>
      <c r="D144" s="8"/>
      <c r="E144" s="9"/>
      <c r="F144" s="9"/>
      <c r="G144" s="9"/>
      <c r="H144" s="9"/>
      <c r="I144" s="9"/>
      <c r="J144" s="9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x14ac:dyDescent="0.25">
      <c r="A145" s="10"/>
      <c r="B145" s="1"/>
      <c r="C145" s="8"/>
      <c r="D145" s="8"/>
      <c r="E145" s="9"/>
      <c r="F145" s="9"/>
      <c r="G145" s="9"/>
      <c r="H145" s="9"/>
      <c r="I145" s="9"/>
      <c r="J145" s="9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x14ac:dyDescent="0.25">
      <c r="A146" s="10"/>
      <c r="B146" s="1"/>
      <c r="C146" s="8"/>
      <c r="D146" s="8"/>
      <c r="E146" s="9"/>
      <c r="F146" s="9"/>
      <c r="G146" s="9"/>
      <c r="H146" s="9"/>
      <c r="I146" s="9"/>
      <c r="J146" s="9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spans="1:20" x14ac:dyDescent="0.25">
      <c r="A147" s="10"/>
      <c r="B147" s="1"/>
      <c r="C147" s="8"/>
      <c r="D147" s="8"/>
      <c r="E147" s="9"/>
      <c r="F147" s="9"/>
      <c r="G147" s="9"/>
      <c r="H147" s="9"/>
      <c r="I147" s="9"/>
      <c r="J147" s="9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spans="1:20" x14ac:dyDescent="0.25">
      <c r="A148" s="10"/>
      <c r="B148" s="1"/>
      <c r="C148" s="8"/>
      <c r="D148" s="8"/>
      <c r="E148" s="9"/>
      <c r="F148" s="9"/>
      <c r="G148" s="9"/>
      <c r="H148" s="9"/>
      <c r="I148" s="9"/>
      <c r="J148" s="9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spans="1:20" x14ac:dyDescent="0.25">
      <c r="A149" s="10"/>
      <c r="B149" s="1"/>
      <c r="C149" s="8"/>
      <c r="D149" s="8"/>
      <c r="E149" s="9"/>
      <c r="F149" s="9"/>
      <c r="G149" s="9"/>
      <c r="H149" s="9"/>
      <c r="I149" s="9"/>
      <c r="J149" s="9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spans="1:20" x14ac:dyDescent="0.25">
      <c r="A150" s="10"/>
      <c r="B150" s="1"/>
      <c r="C150" s="8"/>
      <c r="D150" s="8"/>
      <c r="E150" s="9"/>
      <c r="F150" s="9"/>
      <c r="G150" s="9"/>
      <c r="H150" s="9"/>
      <c r="I150" s="9"/>
      <c r="J150" s="9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spans="1:20" x14ac:dyDescent="0.25">
      <c r="A151" s="10"/>
      <c r="B151" s="1"/>
      <c r="C151" s="8"/>
      <c r="D151" s="8"/>
      <c r="E151" s="9"/>
      <c r="F151" s="9"/>
      <c r="G151" s="9"/>
      <c r="H151" s="9"/>
      <c r="I151" s="9"/>
      <c r="J151" s="9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spans="1:20" x14ac:dyDescent="0.25">
      <c r="A152" s="10"/>
      <c r="B152" s="1"/>
      <c r="C152" s="8"/>
      <c r="D152" s="8"/>
      <c r="E152" s="9"/>
      <c r="F152" s="9"/>
      <c r="G152" s="9"/>
      <c r="H152" s="9"/>
      <c r="I152" s="9"/>
      <c r="J152" s="9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spans="1:20" x14ac:dyDescent="0.25">
      <c r="A153" s="10"/>
      <c r="B153" s="1"/>
      <c r="C153" s="8"/>
      <c r="D153" s="8"/>
      <c r="E153" s="9"/>
      <c r="F153" s="9"/>
      <c r="G153" s="9"/>
      <c r="H153" s="9"/>
      <c r="I153" s="9"/>
      <c r="J153" s="9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spans="1:20" x14ac:dyDescent="0.25">
      <c r="A154" s="10"/>
      <c r="B154" s="1"/>
      <c r="C154" s="8"/>
      <c r="D154" s="8"/>
      <c r="E154" s="9"/>
      <c r="F154" s="9"/>
      <c r="G154" s="9"/>
      <c r="H154" s="9"/>
      <c r="I154" s="9"/>
      <c r="J154" s="9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spans="1:20" x14ac:dyDescent="0.25">
      <c r="A155" s="10"/>
      <c r="B155" s="1"/>
      <c r="C155" s="8"/>
      <c r="D155" s="8"/>
      <c r="E155" s="9"/>
      <c r="F155" s="9"/>
      <c r="G155" s="9"/>
      <c r="H155" s="9"/>
      <c r="I155" s="9"/>
      <c r="J155" s="9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spans="1:20" x14ac:dyDescent="0.25">
      <c r="A156" s="10"/>
      <c r="B156" s="1"/>
      <c r="C156" s="8"/>
      <c r="D156" s="8"/>
      <c r="E156" s="9"/>
      <c r="F156" s="9"/>
      <c r="G156" s="9"/>
      <c r="H156" s="9"/>
      <c r="I156" s="9"/>
      <c r="J156" s="9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spans="1:20" x14ac:dyDescent="0.25">
      <c r="A157" s="10"/>
      <c r="B157" s="1"/>
      <c r="C157" s="8"/>
      <c r="D157" s="8"/>
      <c r="E157" s="9"/>
      <c r="F157" s="9"/>
      <c r="G157" s="9"/>
      <c r="H157" s="9"/>
      <c r="I157" s="9"/>
      <c r="J157" s="9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spans="1:20" x14ac:dyDescent="0.25">
      <c r="A158" s="10"/>
      <c r="B158" s="1"/>
      <c r="C158" s="8"/>
      <c r="D158" s="8"/>
      <c r="E158" s="9"/>
      <c r="F158" s="9"/>
      <c r="G158" s="9"/>
      <c r="H158" s="9"/>
      <c r="I158" s="9"/>
      <c r="J158" s="9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spans="1:20" x14ac:dyDescent="0.25">
      <c r="A159" s="10"/>
      <c r="B159" s="1"/>
      <c r="C159" s="8"/>
      <c r="D159" s="8"/>
      <c r="E159" s="9"/>
      <c r="F159" s="9"/>
      <c r="G159" s="9"/>
      <c r="H159" s="9"/>
      <c r="I159" s="9"/>
      <c r="J159" s="9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spans="1:20" x14ac:dyDescent="0.25">
      <c r="A160" s="10"/>
      <c r="B160" s="1"/>
      <c r="C160" s="8"/>
      <c r="D160" s="8"/>
      <c r="E160" s="9"/>
      <c r="F160" s="9"/>
      <c r="G160" s="9"/>
      <c r="H160" s="9"/>
      <c r="I160" s="9"/>
      <c r="J160" s="9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spans="1:20" x14ac:dyDescent="0.25">
      <c r="A161" s="10"/>
      <c r="B161" s="1"/>
      <c r="C161" s="8"/>
      <c r="D161" s="8"/>
      <c r="E161" s="9"/>
      <c r="F161" s="9"/>
      <c r="G161" s="9"/>
      <c r="H161" s="9"/>
      <c r="I161" s="9"/>
      <c r="J161" s="9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spans="1:20" x14ac:dyDescent="0.25">
      <c r="A162" s="10"/>
      <c r="B162" s="1"/>
      <c r="C162" s="8"/>
      <c r="D162" s="8"/>
      <c r="E162" s="9"/>
      <c r="F162" s="9"/>
      <c r="G162" s="9"/>
      <c r="H162" s="9"/>
      <c r="I162" s="9"/>
      <c r="J162" s="9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spans="1:20" x14ac:dyDescent="0.25">
      <c r="A163" s="10"/>
      <c r="B163" s="1"/>
      <c r="C163" s="8"/>
      <c r="D163" s="8"/>
      <c r="E163" s="9"/>
      <c r="F163" s="9"/>
      <c r="G163" s="9"/>
      <c r="H163" s="9"/>
      <c r="I163" s="9"/>
      <c r="J163" s="9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spans="1:20" x14ac:dyDescent="0.25">
      <c r="A164" s="10"/>
      <c r="B164" s="1"/>
      <c r="C164" s="8"/>
      <c r="D164" s="8"/>
      <c r="E164" s="9"/>
      <c r="F164" s="9"/>
      <c r="G164" s="9"/>
      <c r="H164" s="9"/>
      <c r="I164" s="9"/>
      <c r="J164" s="9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spans="1:20" x14ac:dyDescent="0.25">
      <c r="A165" s="10"/>
      <c r="B165" s="1"/>
      <c r="C165" s="8"/>
      <c r="D165" s="8"/>
      <c r="E165" s="9"/>
      <c r="F165" s="9"/>
      <c r="G165" s="9"/>
      <c r="H165" s="9"/>
      <c r="I165" s="9"/>
      <c r="J165" s="9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spans="1:20" x14ac:dyDescent="0.25">
      <c r="A166" s="10"/>
      <c r="B166" s="1"/>
      <c r="C166" s="8"/>
      <c r="D166" s="8"/>
      <c r="E166" s="9"/>
      <c r="F166" s="9"/>
      <c r="G166" s="9"/>
      <c r="H166" s="9"/>
      <c r="I166" s="9"/>
      <c r="J166" s="9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spans="1:20" x14ac:dyDescent="0.25">
      <c r="A167" s="10"/>
      <c r="B167" s="1"/>
      <c r="C167" s="8"/>
      <c r="D167" s="8"/>
      <c r="E167" s="9"/>
      <c r="F167" s="9"/>
      <c r="G167" s="9"/>
      <c r="H167" s="9"/>
      <c r="I167" s="9"/>
      <c r="J167" s="9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spans="1:20" x14ac:dyDescent="0.25">
      <c r="A168" s="10"/>
      <c r="B168" s="1"/>
      <c r="C168" s="8"/>
      <c r="D168" s="8"/>
      <c r="E168" s="9"/>
      <c r="F168" s="9"/>
      <c r="G168" s="9"/>
      <c r="H168" s="9"/>
      <c r="I168" s="9"/>
      <c r="J168" s="9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spans="1:20" x14ac:dyDescent="0.25">
      <c r="A169" s="10"/>
      <c r="B169" s="1"/>
      <c r="C169" s="8"/>
      <c r="D169" s="8"/>
      <c r="E169" s="9"/>
      <c r="F169" s="9"/>
      <c r="G169" s="9"/>
      <c r="H169" s="9"/>
      <c r="I169" s="9"/>
      <c r="J169" s="9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spans="1:20" x14ac:dyDescent="0.25">
      <c r="A170" s="10"/>
      <c r="B170" s="1"/>
      <c r="C170" s="8"/>
      <c r="D170" s="8"/>
      <c r="E170" s="9"/>
      <c r="F170" s="9"/>
      <c r="G170" s="9"/>
      <c r="H170" s="9"/>
      <c r="I170" s="9"/>
      <c r="J170" s="9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spans="1:20" x14ac:dyDescent="0.25">
      <c r="A171" s="10"/>
      <c r="B171" s="1"/>
      <c r="C171" s="8"/>
      <c r="D171" s="8"/>
      <c r="E171" s="9"/>
      <c r="F171" s="9"/>
      <c r="G171" s="9"/>
      <c r="H171" s="9"/>
      <c r="I171" s="9"/>
      <c r="J171" s="9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spans="1:20" x14ac:dyDescent="0.25">
      <c r="A172" s="10"/>
      <c r="B172" s="1"/>
      <c r="C172" s="8"/>
      <c r="D172" s="8"/>
      <c r="E172" s="9"/>
      <c r="F172" s="9"/>
      <c r="G172" s="9"/>
      <c r="H172" s="9"/>
      <c r="I172" s="9"/>
      <c r="J172" s="9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spans="1:20" x14ac:dyDescent="0.25">
      <c r="A173" s="10"/>
      <c r="B173" s="1"/>
      <c r="C173" s="8"/>
      <c r="D173" s="8"/>
      <c r="E173" s="9"/>
      <c r="F173" s="9"/>
      <c r="G173" s="9"/>
      <c r="H173" s="9"/>
      <c r="I173" s="9"/>
      <c r="J173" s="9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spans="1:20" x14ac:dyDescent="0.25">
      <c r="A174" s="10"/>
      <c r="B174" s="1"/>
      <c r="C174" s="8"/>
      <c r="D174" s="8"/>
      <c r="E174" s="9"/>
      <c r="F174" s="9"/>
      <c r="G174" s="9"/>
      <c r="H174" s="9"/>
      <c r="I174" s="9"/>
      <c r="J174" s="9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spans="1:20" x14ac:dyDescent="0.25">
      <c r="A175" s="10"/>
      <c r="B175" s="1"/>
      <c r="C175" s="8"/>
      <c r="D175" s="8"/>
      <c r="E175" s="9"/>
      <c r="F175" s="9"/>
      <c r="G175" s="9"/>
      <c r="H175" s="9"/>
      <c r="I175" s="9"/>
      <c r="J175" s="9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spans="1:20" x14ac:dyDescent="0.25">
      <c r="A176" s="10"/>
      <c r="B176" s="1"/>
      <c r="C176" s="8"/>
      <c r="D176" s="8"/>
      <c r="E176" s="9"/>
      <c r="F176" s="9"/>
      <c r="G176" s="9"/>
      <c r="H176" s="9"/>
      <c r="I176" s="9"/>
      <c r="J176" s="9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spans="1:20" x14ac:dyDescent="0.25">
      <c r="A177" s="10"/>
      <c r="B177" s="1"/>
      <c r="C177" s="8"/>
      <c r="D177" s="8"/>
      <c r="E177" s="9"/>
      <c r="F177" s="9"/>
      <c r="G177" s="9"/>
      <c r="H177" s="9"/>
      <c r="I177" s="9"/>
      <c r="J177" s="9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spans="1:20" x14ac:dyDescent="0.25">
      <c r="A178" s="10"/>
      <c r="B178" s="1"/>
      <c r="C178" s="8"/>
      <c r="D178" s="8"/>
      <c r="E178" s="9"/>
      <c r="F178" s="9"/>
      <c r="G178" s="9"/>
      <c r="H178" s="9"/>
      <c r="I178" s="9"/>
      <c r="J178" s="9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spans="1:20" x14ac:dyDescent="0.25">
      <c r="A179" s="10"/>
      <c r="B179" s="1"/>
      <c r="C179" s="8"/>
      <c r="D179" s="8"/>
      <c r="E179" s="9"/>
      <c r="F179" s="9"/>
      <c r="G179" s="9"/>
      <c r="H179" s="9"/>
      <c r="I179" s="9"/>
      <c r="J179" s="9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spans="1:20" x14ac:dyDescent="0.25">
      <c r="A180" s="10"/>
      <c r="B180" s="1"/>
      <c r="C180" s="8"/>
      <c r="D180" s="8"/>
      <c r="E180" s="9"/>
      <c r="F180" s="9"/>
      <c r="G180" s="9"/>
      <c r="H180" s="9"/>
      <c r="I180" s="9"/>
      <c r="J180" s="9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spans="1:20" x14ac:dyDescent="0.25">
      <c r="A181" s="10"/>
      <c r="B181" s="1"/>
      <c r="C181" s="8"/>
      <c r="D181" s="8"/>
      <c r="E181" s="9"/>
      <c r="F181" s="9"/>
      <c r="G181" s="9"/>
      <c r="H181" s="9"/>
      <c r="I181" s="9"/>
      <c r="J181" s="9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spans="1:20" x14ac:dyDescent="0.25">
      <c r="A182" s="10"/>
      <c r="B182" s="1"/>
      <c r="C182" s="8"/>
      <c r="D182" s="8"/>
      <c r="E182" s="9"/>
      <c r="F182" s="9"/>
      <c r="G182" s="9"/>
      <c r="H182" s="9"/>
      <c r="I182" s="9"/>
      <c r="J182" s="9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spans="1:20" x14ac:dyDescent="0.25">
      <c r="A183" s="10"/>
      <c r="B183" s="1"/>
      <c r="C183" s="8"/>
      <c r="D183" s="8"/>
      <c r="E183" s="9"/>
      <c r="F183" s="9"/>
      <c r="G183" s="9"/>
      <c r="H183" s="9"/>
      <c r="I183" s="9"/>
      <c r="J183" s="9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spans="1:20" x14ac:dyDescent="0.25">
      <c r="A184" s="10"/>
      <c r="B184" s="1"/>
      <c r="C184" s="8"/>
      <c r="D184" s="8"/>
      <c r="E184" s="9"/>
      <c r="F184" s="9"/>
      <c r="G184" s="9"/>
      <c r="H184" s="9"/>
      <c r="I184" s="9"/>
      <c r="J184" s="9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spans="1:20" x14ac:dyDescent="0.25">
      <c r="A185" s="10"/>
      <c r="B185" s="1"/>
      <c r="C185" s="8"/>
      <c r="D185" s="8"/>
      <c r="E185" s="9"/>
      <c r="F185" s="9"/>
      <c r="G185" s="9"/>
      <c r="H185" s="9"/>
      <c r="I185" s="9"/>
      <c r="J185" s="9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spans="1:20" x14ac:dyDescent="0.25">
      <c r="A186" s="10"/>
      <c r="B186" s="1"/>
      <c r="C186" s="8"/>
      <c r="D186" s="8"/>
      <c r="E186" s="9"/>
      <c r="F186" s="9"/>
      <c r="G186" s="9"/>
      <c r="H186" s="9"/>
      <c r="I186" s="9"/>
      <c r="J186" s="9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spans="1:20" x14ac:dyDescent="0.25">
      <c r="A187" s="10"/>
      <c r="B187" s="1"/>
      <c r="C187" s="8"/>
      <c r="D187" s="8"/>
      <c r="E187" s="9"/>
      <c r="F187" s="9"/>
      <c r="G187" s="9"/>
      <c r="H187" s="9"/>
      <c r="I187" s="9"/>
      <c r="J187" s="9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spans="1:20" x14ac:dyDescent="0.25">
      <c r="A188" s="10"/>
      <c r="B188" s="1"/>
      <c r="C188" s="8"/>
      <c r="D188" s="8"/>
      <c r="E188" s="9"/>
      <c r="F188" s="9"/>
      <c r="G188" s="9"/>
      <c r="H188" s="9"/>
      <c r="I188" s="9"/>
      <c r="J188" s="9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spans="1:20" x14ac:dyDescent="0.25">
      <c r="A189" s="10"/>
      <c r="B189" s="1"/>
      <c r="C189" s="8"/>
      <c r="D189" s="8"/>
      <c r="E189" s="9"/>
      <c r="F189" s="9"/>
      <c r="G189" s="9"/>
      <c r="H189" s="9"/>
      <c r="I189" s="9"/>
      <c r="J189" s="9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spans="1:20" x14ac:dyDescent="0.25">
      <c r="A190" s="10"/>
      <c r="B190" s="1"/>
      <c r="C190" s="8"/>
      <c r="D190" s="8"/>
      <c r="E190" s="9"/>
      <c r="F190" s="9"/>
      <c r="G190" s="9"/>
      <c r="H190" s="9"/>
      <c r="I190" s="9"/>
      <c r="J190" s="9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spans="1:20" x14ac:dyDescent="0.25">
      <c r="A191" s="10"/>
      <c r="B191" s="1"/>
      <c r="C191" s="8"/>
      <c r="D191" s="8"/>
      <c r="E191" s="9"/>
      <c r="F191" s="9"/>
      <c r="G191" s="9"/>
      <c r="H191" s="9"/>
      <c r="I191" s="9"/>
      <c r="J191" s="9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spans="1:20" x14ac:dyDescent="0.25">
      <c r="A192" s="10"/>
      <c r="B192" s="1"/>
      <c r="C192" s="8"/>
      <c r="D192" s="8"/>
      <c r="E192" s="9"/>
      <c r="F192" s="9"/>
      <c r="G192" s="9"/>
      <c r="H192" s="9"/>
      <c r="I192" s="9"/>
      <c r="J192" s="9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spans="1:20" x14ac:dyDescent="0.25">
      <c r="A193" s="10"/>
      <c r="B193" s="1"/>
      <c r="C193" s="8"/>
      <c r="D193" s="8"/>
      <c r="E193" s="9"/>
      <c r="F193" s="9"/>
      <c r="G193" s="9"/>
      <c r="H193" s="9"/>
      <c r="I193" s="9"/>
      <c r="J193" s="9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spans="1:20" x14ac:dyDescent="0.25">
      <c r="A194" s="10"/>
      <c r="B194" s="1"/>
      <c r="C194" s="8"/>
      <c r="D194" s="8"/>
      <c r="E194" s="9"/>
      <c r="F194" s="9"/>
      <c r="G194" s="9"/>
      <c r="H194" s="9"/>
      <c r="I194" s="9"/>
      <c r="J194" s="9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spans="1:20" x14ac:dyDescent="0.25">
      <c r="A195" s="10"/>
      <c r="B195" s="1"/>
      <c r="C195" s="8"/>
      <c r="D195" s="8"/>
      <c r="E195" s="9"/>
      <c r="F195" s="9"/>
      <c r="G195" s="9"/>
      <c r="H195" s="9"/>
      <c r="I195" s="9"/>
      <c r="J195" s="9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spans="1:20" x14ac:dyDescent="0.25">
      <c r="A196" s="10"/>
      <c r="B196" s="1"/>
      <c r="C196" s="8"/>
      <c r="D196" s="8"/>
      <c r="E196" s="9"/>
      <c r="F196" s="9"/>
      <c r="G196" s="9"/>
      <c r="H196" s="9"/>
      <c r="I196" s="9"/>
      <c r="J196" s="9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spans="1:20" x14ac:dyDescent="0.25">
      <c r="A197" s="10"/>
      <c r="B197" s="1"/>
      <c r="C197" s="8"/>
      <c r="D197" s="8"/>
      <c r="E197" s="9"/>
      <c r="F197" s="9"/>
      <c r="G197" s="9"/>
      <c r="H197" s="9"/>
      <c r="I197" s="9"/>
      <c r="J197" s="9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spans="1:20" x14ac:dyDescent="0.25">
      <c r="A198" s="10"/>
      <c r="B198" s="1"/>
      <c r="C198" s="8"/>
      <c r="D198" s="8"/>
      <c r="E198" s="9"/>
      <c r="F198" s="9"/>
      <c r="G198" s="9"/>
      <c r="H198" s="9"/>
      <c r="I198" s="9"/>
      <c r="J198" s="9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spans="1:20" x14ac:dyDescent="0.25">
      <c r="A199" s="10"/>
      <c r="B199" s="1"/>
      <c r="C199" s="8"/>
      <c r="D199" s="8"/>
      <c r="E199" s="9"/>
      <c r="F199" s="9"/>
      <c r="G199" s="9"/>
      <c r="H199" s="9"/>
      <c r="I199" s="9"/>
      <c r="J199" s="9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spans="1:20" x14ac:dyDescent="0.25">
      <c r="A200" s="10"/>
      <c r="B200" s="1"/>
      <c r="C200" s="8"/>
      <c r="D200" s="8"/>
      <c r="E200" s="9"/>
      <c r="F200" s="9"/>
      <c r="G200" s="9"/>
      <c r="H200" s="9"/>
      <c r="I200" s="9"/>
      <c r="J200" s="9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spans="1:20" x14ac:dyDescent="0.25">
      <c r="A201" s="10"/>
      <c r="B201" s="1"/>
      <c r="C201" s="8"/>
      <c r="D201" s="8"/>
      <c r="E201" s="9"/>
      <c r="F201" s="9"/>
      <c r="G201" s="9"/>
      <c r="H201" s="9"/>
      <c r="I201" s="9"/>
      <c r="J201" s="9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spans="1:20" x14ac:dyDescent="0.25">
      <c r="A202" s="10"/>
      <c r="B202" s="1"/>
      <c r="C202" s="8"/>
      <c r="D202" s="8"/>
      <c r="E202" s="9"/>
      <c r="F202" s="9"/>
      <c r="G202" s="9"/>
      <c r="H202" s="9"/>
      <c r="I202" s="9"/>
      <c r="J202" s="9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spans="1:20" x14ac:dyDescent="0.25">
      <c r="A203" s="10"/>
      <c r="B203" s="1"/>
      <c r="C203" s="8"/>
      <c r="D203" s="8"/>
      <c r="E203" s="9"/>
      <c r="F203" s="9"/>
      <c r="G203" s="9"/>
      <c r="H203" s="9"/>
      <c r="I203" s="9"/>
      <c r="J203" s="9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spans="1:20" x14ac:dyDescent="0.25">
      <c r="A204" s="10"/>
      <c r="B204" s="1"/>
      <c r="C204" s="8"/>
      <c r="D204" s="8"/>
      <c r="E204" s="9"/>
      <c r="F204" s="9"/>
      <c r="G204" s="9"/>
      <c r="H204" s="9"/>
      <c r="I204" s="9"/>
      <c r="J204" s="9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spans="1:20" x14ac:dyDescent="0.25">
      <c r="A205" s="10"/>
      <c r="B205" s="1"/>
      <c r="C205" s="8"/>
      <c r="D205" s="8"/>
      <c r="E205" s="9"/>
      <c r="F205" s="9"/>
      <c r="G205" s="9"/>
      <c r="H205" s="9"/>
      <c r="I205" s="9"/>
      <c r="J205" s="9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spans="1:20" x14ac:dyDescent="0.25">
      <c r="A206" s="10"/>
      <c r="B206" s="1"/>
      <c r="C206" s="8"/>
      <c r="D206" s="8"/>
      <c r="E206" s="9"/>
      <c r="F206" s="9"/>
      <c r="G206" s="9"/>
      <c r="H206" s="9"/>
      <c r="I206" s="9"/>
      <c r="J206" s="9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spans="1:20" x14ac:dyDescent="0.25">
      <c r="A207" s="10"/>
      <c r="B207" s="1"/>
      <c r="C207" s="8"/>
      <c r="D207" s="8"/>
      <c r="E207" s="9"/>
      <c r="F207" s="9"/>
      <c r="G207" s="9"/>
      <c r="H207" s="9"/>
      <c r="I207" s="9"/>
      <c r="J207" s="9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spans="1:20" x14ac:dyDescent="0.25">
      <c r="A208" s="10"/>
      <c r="B208" s="1"/>
      <c r="C208" s="8"/>
      <c r="D208" s="8"/>
      <c r="E208" s="9"/>
      <c r="F208" s="9"/>
      <c r="G208" s="9"/>
      <c r="H208" s="9"/>
      <c r="I208" s="9"/>
      <c r="J208" s="9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spans="1:20" x14ac:dyDescent="0.25">
      <c r="A209" s="10"/>
      <c r="B209" s="1"/>
      <c r="C209" s="8"/>
      <c r="D209" s="8"/>
      <c r="E209" s="9"/>
      <c r="F209" s="9"/>
      <c r="G209" s="9"/>
      <c r="H209" s="9"/>
      <c r="I209" s="9"/>
      <c r="J209" s="9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spans="1:20" x14ac:dyDescent="0.25">
      <c r="A210" s="10"/>
      <c r="B210" s="1"/>
      <c r="C210" s="8"/>
      <c r="D210" s="8"/>
      <c r="E210" s="9"/>
      <c r="F210" s="9"/>
      <c r="G210" s="9"/>
      <c r="H210" s="9"/>
      <c r="I210" s="9"/>
      <c r="J210" s="9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spans="1:20" x14ac:dyDescent="0.25">
      <c r="A211" s="10"/>
      <c r="B211" s="1"/>
      <c r="C211" s="8"/>
      <c r="D211" s="8"/>
      <c r="E211" s="9"/>
      <c r="F211" s="9"/>
      <c r="G211" s="9"/>
      <c r="H211" s="9"/>
      <c r="I211" s="9"/>
      <c r="J211" s="9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spans="1:20" x14ac:dyDescent="0.25">
      <c r="A212" s="10"/>
      <c r="B212" s="1"/>
      <c r="C212" s="8"/>
      <c r="D212" s="8"/>
      <c r="E212" s="9"/>
      <c r="F212" s="9"/>
      <c r="G212" s="9"/>
      <c r="H212" s="9"/>
      <c r="I212" s="9"/>
      <c r="J212" s="9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spans="1:20" x14ac:dyDescent="0.25">
      <c r="A213" s="10"/>
      <c r="B213" s="1"/>
      <c r="C213" s="8"/>
      <c r="D213" s="8"/>
      <c r="E213" s="9"/>
      <c r="F213" s="9"/>
      <c r="G213" s="9"/>
      <c r="H213" s="9"/>
      <c r="I213" s="9"/>
      <c r="J213" s="9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spans="1:20" x14ac:dyDescent="0.25">
      <c r="A214" s="10"/>
      <c r="B214" s="1"/>
      <c r="C214" s="8"/>
      <c r="D214" s="8"/>
      <c r="E214" s="9"/>
      <c r="F214" s="9"/>
      <c r="G214" s="9"/>
      <c r="H214" s="9"/>
      <c r="I214" s="9"/>
      <c r="J214" s="9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spans="1:20" x14ac:dyDescent="0.25">
      <c r="A215" s="10"/>
      <c r="B215" s="1"/>
      <c r="C215" s="8"/>
      <c r="D215" s="8"/>
      <c r="E215" s="9"/>
      <c r="F215" s="9"/>
      <c r="G215" s="9"/>
      <c r="H215" s="9"/>
      <c r="I215" s="9"/>
      <c r="J215" s="9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spans="1:20" x14ac:dyDescent="0.25">
      <c r="A216" s="10"/>
      <c r="B216" s="1"/>
      <c r="C216" s="8"/>
      <c r="D216" s="8"/>
      <c r="E216" s="9"/>
      <c r="F216" s="9"/>
      <c r="G216" s="9"/>
      <c r="H216" s="9"/>
      <c r="I216" s="9"/>
      <c r="J216" s="9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spans="1:20" x14ac:dyDescent="0.25">
      <c r="A217" s="10"/>
      <c r="B217" s="1"/>
      <c r="C217" s="8"/>
      <c r="D217" s="8"/>
      <c r="E217" s="9"/>
      <c r="F217" s="9"/>
      <c r="G217" s="9"/>
      <c r="H217" s="9"/>
      <c r="I217" s="9"/>
      <c r="J217" s="9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spans="1:20" x14ac:dyDescent="0.25">
      <c r="A218" s="10"/>
      <c r="B218" s="1"/>
      <c r="C218" s="8"/>
      <c r="D218" s="8"/>
      <c r="E218" s="9"/>
      <c r="F218" s="9"/>
      <c r="G218" s="9"/>
      <c r="H218" s="9"/>
      <c r="I218" s="9"/>
      <c r="J218" s="9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spans="1:20" x14ac:dyDescent="0.25">
      <c r="A219" s="10"/>
      <c r="B219" s="1"/>
      <c r="C219" s="8"/>
      <c r="D219" s="8"/>
      <c r="E219" s="9"/>
      <c r="F219" s="9"/>
      <c r="G219" s="9"/>
      <c r="H219" s="9"/>
      <c r="I219" s="9"/>
      <c r="J219" s="9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spans="1:20" x14ac:dyDescent="0.25">
      <c r="A220" s="10"/>
      <c r="B220" s="1"/>
      <c r="C220" s="8"/>
      <c r="D220" s="8"/>
      <c r="E220" s="9"/>
      <c r="F220" s="9"/>
      <c r="G220" s="9"/>
      <c r="H220" s="9"/>
      <c r="I220" s="9"/>
      <c r="J220" s="9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spans="1:20" x14ac:dyDescent="0.25">
      <c r="A221" s="10"/>
      <c r="B221" s="1"/>
      <c r="C221" s="8"/>
      <c r="D221" s="8"/>
      <c r="E221" s="9"/>
      <c r="F221" s="9"/>
      <c r="G221" s="9"/>
      <c r="H221" s="9"/>
      <c r="I221" s="9"/>
      <c r="J221" s="9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spans="1:20" x14ac:dyDescent="0.25">
      <c r="A222" s="10"/>
      <c r="B222" s="1"/>
      <c r="C222" s="8"/>
      <c r="D222" s="8"/>
      <c r="E222" s="9"/>
      <c r="F222" s="9"/>
      <c r="G222" s="9"/>
      <c r="H222" s="9"/>
      <c r="I222" s="9"/>
      <c r="J222" s="9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spans="1:20" x14ac:dyDescent="0.25">
      <c r="A223" s="10"/>
      <c r="B223" s="1"/>
      <c r="C223" s="8"/>
      <c r="D223" s="8"/>
      <c r="E223" s="9"/>
      <c r="F223" s="9"/>
      <c r="G223" s="9"/>
      <c r="H223" s="9"/>
      <c r="I223" s="9"/>
      <c r="J223" s="9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spans="1:20" x14ac:dyDescent="0.25">
      <c r="A224" s="10"/>
      <c r="B224" s="1"/>
      <c r="C224" s="8"/>
      <c r="D224" s="8"/>
      <c r="E224" s="9"/>
      <c r="F224" s="9"/>
      <c r="G224" s="9"/>
      <c r="H224" s="9"/>
      <c r="I224" s="9"/>
      <c r="J224" s="9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spans="1:20" x14ac:dyDescent="0.25">
      <c r="A225" s="10"/>
      <c r="B225" s="1"/>
      <c r="C225" s="8"/>
      <c r="D225" s="8"/>
      <c r="E225" s="9"/>
      <c r="F225" s="9"/>
      <c r="G225" s="9"/>
      <c r="H225" s="9"/>
      <c r="I225" s="9"/>
      <c r="J225" s="9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spans="1:20" x14ac:dyDescent="0.25">
      <c r="A226" s="10"/>
      <c r="B226" s="1"/>
      <c r="C226" s="8"/>
      <c r="D226" s="8"/>
      <c r="E226" s="9"/>
      <c r="F226" s="9"/>
      <c r="G226" s="9"/>
      <c r="H226" s="9"/>
      <c r="I226" s="9"/>
      <c r="J226" s="9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spans="1:20" x14ac:dyDescent="0.25">
      <c r="A227" s="10"/>
      <c r="B227" s="1"/>
      <c r="C227" s="8"/>
      <c r="D227" s="8"/>
      <c r="E227" s="9"/>
      <c r="F227" s="9"/>
      <c r="G227" s="9"/>
      <c r="H227" s="9"/>
      <c r="I227" s="9"/>
      <c r="J227" s="9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spans="1:20" x14ac:dyDescent="0.25">
      <c r="A228" s="10"/>
      <c r="B228" s="1"/>
      <c r="C228" s="8"/>
      <c r="D228" s="8"/>
      <c r="E228" s="9"/>
      <c r="F228" s="9"/>
      <c r="G228" s="9"/>
      <c r="H228" s="9"/>
      <c r="I228" s="9"/>
      <c r="J228" s="9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spans="1:20" x14ac:dyDescent="0.25">
      <c r="A229" s="10"/>
      <c r="B229" s="1"/>
      <c r="C229" s="8"/>
      <c r="D229" s="8"/>
      <c r="E229" s="9"/>
      <c r="F229" s="9"/>
      <c r="G229" s="9"/>
      <c r="H229" s="9"/>
      <c r="I229" s="9"/>
      <c r="J229" s="9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spans="1:20" x14ac:dyDescent="0.25">
      <c r="A230" s="10"/>
      <c r="B230" s="1"/>
      <c r="C230" s="8"/>
      <c r="D230" s="8"/>
      <c r="E230" s="9"/>
      <c r="F230" s="9"/>
      <c r="G230" s="9"/>
      <c r="H230" s="9"/>
      <c r="I230" s="9"/>
      <c r="J230" s="9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spans="1:20" x14ac:dyDescent="0.25">
      <c r="A231" s="10"/>
      <c r="B231" s="1"/>
      <c r="C231" s="8"/>
      <c r="D231" s="8"/>
      <c r="E231" s="9"/>
      <c r="F231" s="9"/>
      <c r="G231" s="9"/>
      <c r="H231" s="9"/>
      <c r="I231" s="9"/>
      <c r="J231" s="9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spans="1:20" x14ac:dyDescent="0.25">
      <c r="A232" s="10"/>
      <c r="B232" s="1"/>
      <c r="C232" s="8"/>
      <c r="D232" s="8"/>
      <c r="E232" s="9"/>
      <c r="F232" s="9"/>
      <c r="G232" s="9"/>
      <c r="H232" s="9"/>
      <c r="I232" s="9"/>
      <c r="J232" s="9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spans="1:20" x14ac:dyDescent="0.25">
      <c r="A233" s="10"/>
      <c r="B233" s="1"/>
      <c r="C233" s="8"/>
      <c r="D233" s="8"/>
      <c r="E233" s="9"/>
      <c r="F233" s="9"/>
      <c r="G233" s="9"/>
      <c r="H233" s="9"/>
      <c r="I233" s="9"/>
      <c r="J233" s="9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spans="1:20" x14ac:dyDescent="0.25">
      <c r="A234" s="10"/>
      <c r="B234" s="1"/>
      <c r="C234" s="8"/>
      <c r="D234" s="8"/>
      <c r="E234" s="9"/>
      <c r="F234" s="9"/>
      <c r="G234" s="9"/>
      <c r="H234" s="9"/>
      <c r="I234" s="9"/>
      <c r="J234" s="9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spans="1:20" x14ac:dyDescent="0.25">
      <c r="A235" s="10"/>
      <c r="B235" s="1"/>
      <c r="C235" s="8"/>
      <c r="D235" s="8"/>
      <c r="E235" s="9"/>
      <c r="F235" s="9"/>
      <c r="G235" s="9"/>
      <c r="H235" s="9"/>
      <c r="I235" s="9"/>
      <c r="J235" s="9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spans="1:20" x14ac:dyDescent="0.25">
      <c r="A236" s="10"/>
      <c r="B236" s="1"/>
      <c r="C236" s="8"/>
      <c r="D236" s="8"/>
      <c r="E236" s="9"/>
      <c r="F236" s="9"/>
      <c r="G236" s="9"/>
      <c r="H236" s="9"/>
      <c r="I236" s="9"/>
      <c r="J236" s="9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spans="1:20" x14ac:dyDescent="0.25">
      <c r="A237" s="10"/>
      <c r="B237" s="1"/>
      <c r="C237" s="8"/>
      <c r="D237" s="8"/>
      <c r="E237" s="9"/>
      <c r="F237" s="9"/>
      <c r="G237" s="9"/>
      <c r="H237" s="9"/>
      <c r="I237" s="9"/>
      <c r="J237" s="9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spans="1:20" x14ac:dyDescent="0.25">
      <c r="A238" s="10"/>
      <c r="B238" s="1"/>
      <c r="C238" s="8"/>
      <c r="D238" s="8"/>
      <c r="E238" s="9"/>
      <c r="F238" s="9"/>
      <c r="G238" s="9"/>
      <c r="H238" s="9"/>
      <c r="I238" s="9"/>
      <c r="J238" s="9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spans="1:20" x14ac:dyDescent="0.25">
      <c r="A239" s="10"/>
      <c r="B239" s="1"/>
      <c r="C239" s="8"/>
      <c r="D239" s="8"/>
      <c r="E239" s="9"/>
      <c r="F239" s="9"/>
      <c r="G239" s="9"/>
      <c r="H239" s="9"/>
      <c r="I239" s="9"/>
      <c r="J239" s="9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spans="1:20" x14ac:dyDescent="0.25">
      <c r="A240" s="10"/>
      <c r="B240" s="1"/>
      <c r="C240" s="8"/>
      <c r="D240" s="8"/>
      <c r="E240" s="9"/>
      <c r="F240" s="9"/>
      <c r="G240" s="9"/>
      <c r="H240" s="9"/>
      <c r="I240" s="9"/>
      <c r="J240" s="9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spans="1:20" x14ac:dyDescent="0.25">
      <c r="A241" s="10"/>
      <c r="B241" s="1"/>
      <c r="C241" s="8"/>
      <c r="D241" s="8"/>
      <c r="E241" s="9"/>
      <c r="F241" s="9"/>
      <c r="G241" s="9"/>
      <c r="H241" s="9"/>
      <c r="I241" s="9"/>
      <c r="J241" s="9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spans="1:20" x14ac:dyDescent="0.25">
      <c r="A242" s="10"/>
      <c r="B242" s="1"/>
      <c r="C242" s="8"/>
      <c r="D242" s="8"/>
      <c r="E242" s="9"/>
      <c r="F242" s="9"/>
      <c r="G242" s="9"/>
      <c r="H242" s="9"/>
      <c r="I242" s="9"/>
      <c r="J242" s="9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spans="1:20" x14ac:dyDescent="0.25">
      <c r="A243" s="10"/>
      <c r="B243" s="1"/>
      <c r="C243" s="8"/>
      <c r="D243" s="8"/>
      <c r="E243" s="9"/>
      <c r="F243" s="9"/>
      <c r="G243" s="9"/>
      <c r="H243" s="9"/>
      <c r="I243" s="9"/>
      <c r="J243" s="9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spans="1:20" x14ac:dyDescent="0.25">
      <c r="A244" s="10"/>
      <c r="B244" s="1"/>
      <c r="C244" s="8"/>
      <c r="D244" s="8"/>
      <c r="E244" s="9"/>
      <c r="F244" s="9"/>
      <c r="G244" s="9"/>
      <c r="H244" s="9"/>
      <c r="I244" s="9"/>
      <c r="J244" s="9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spans="1:20" x14ac:dyDescent="0.25">
      <c r="A245" s="10"/>
      <c r="B245" s="1"/>
      <c r="C245" s="8"/>
      <c r="D245" s="8"/>
      <c r="E245" s="9"/>
      <c r="F245" s="9"/>
      <c r="G245" s="9"/>
      <c r="H245" s="9"/>
      <c r="I245" s="9"/>
      <c r="J245" s="9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spans="1:20" x14ac:dyDescent="0.25">
      <c r="A246" s="10"/>
      <c r="B246" s="1"/>
      <c r="C246" s="8"/>
      <c r="D246" s="8"/>
      <c r="E246" s="9"/>
      <c r="F246" s="9"/>
      <c r="G246" s="9"/>
      <c r="H246" s="9"/>
      <c r="I246" s="9"/>
      <c r="J246" s="9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spans="1:20" x14ac:dyDescent="0.25">
      <c r="A247" s="10"/>
      <c r="B247" s="1"/>
      <c r="C247" s="8"/>
      <c r="D247" s="8"/>
      <c r="E247" s="9"/>
      <c r="F247" s="9"/>
      <c r="G247" s="9"/>
      <c r="H247" s="9"/>
      <c r="I247" s="9"/>
      <c r="J247" s="9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spans="1:20" x14ac:dyDescent="0.25">
      <c r="A248" s="10"/>
      <c r="B248" s="1"/>
      <c r="C248" s="8"/>
      <c r="D248" s="8"/>
      <c r="E248" s="9"/>
      <c r="F248" s="9"/>
      <c r="G248" s="9"/>
      <c r="H248" s="9"/>
      <c r="I248" s="9"/>
      <c r="J248" s="9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spans="1:20" x14ac:dyDescent="0.25">
      <c r="A249" s="10"/>
      <c r="B249" s="1"/>
      <c r="C249" s="8"/>
      <c r="D249" s="8"/>
      <c r="E249" s="9"/>
      <c r="F249" s="9"/>
      <c r="G249" s="9"/>
      <c r="H249" s="9"/>
      <c r="I249" s="9"/>
      <c r="J249" s="9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spans="1:20" x14ac:dyDescent="0.25">
      <c r="A250" s="10"/>
      <c r="B250" s="1"/>
      <c r="C250" s="8"/>
      <c r="D250" s="8"/>
      <c r="E250" s="9"/>
      <c r="F250" s="9"/>
      <c r="G250" s="9"/>
      <c r="H250" s="9"/>
      <c r="I250" s="9"/>
      <c r="J250" s="9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spans="1:20" x14ac:dyDescent="0.25">
      <c r="A251" s="10"/>
      <c r="B251" s="1"/>
      <c r="C251" s="8"/>
      <c r="D251" s="8"/>
      <c r="E251" s="9"/>
      <c r="F251" s="9"/>
      <c r="G251" s="9"/>
      <c r="H251" s="9"/>
      <c r="I251" s="9"/>
      <c r="J251" s="9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spans="1:20" x14ac:dyDescent="0.25">
      <c r="A252" s="10"/>
      <c r="B252" s="1"/>
      <c r="C252" s="8"/>
      <c r="D252" s="8"/>
      <c r="E252" s="9"/>
      <c r="F252" s="9"/>
      <c r="G252" s="9"/>
      <c r="H252" s="9"/>
      <c r="I252" s="9"/>
      <c r="J252" s="9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spans="1:20" x14ac:dyDescent="0.25">
      <c r="A253" s="10"/>
      <c r="B253" s="1"/>
      <c r="C253" s="8"/>
      <c r="D253" s="8"/>
      <c r="E253" s="9"/>
      <c r="F253" s="9"/>
      <c r="G253" s="9"/>
      <c r="H253" s="9"/>
      <c r="I253" s="9"/>
      <c r="J253" s="9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spans="1:20" x14ac:dyDescent="0.25">
      <c r="A254" s="10"/>
      <c r="B254" s="1"/>
      <c r="C254" s="8"/>
      <c r="D254" s="8"/>
      <c r="E254" s="9"/>
      <c r="F254" s="9"/>
      <c r="G254" s="9"/>
      <c r="H254" s="9"/>
      <c r="I254" s="9"/>
      <c r="J254" s="9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spans="1:20" x14ac:dyDescent="0.25">
      <c r="A255" s="10"/>
      <c r="B255" s="1"/>
      <c r="C255" s="8"/>
      <c r="D255" s="8"/>
      <c r="E255" s="9"/>
      <c r="F255" s="9"/>
      <c r="G255" s="9"/>
      <c r="H255" s="9"/>
      <c r="I255" s="9"/>
      <c r="J255" s="9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spans="1:20" x14ac:dyDescent="0.25">
      <c r="A256" s="10"/>
      <c r="B256" s="1"/>
      <c r="C256" s="8"/>
      <c r="D256" s="8"/>
      <c r="E256" s="9"/>
      <c r="F256" s="9"/>
      <c r="G256" s="9"/>
      <c r="H256" s="9"/>
      <c r="I256" s="9"/>
      <c r="J256" s="9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spans="1:20" x14ac:dyDescent="0.25">
      <c r="A257" s="10"/>
      <c r="B257" s="1"/>
      <c r="C257" s="8"/>
      <c r="D257" s="8"/>
      <c r="E257" s="9"/>
      <c r="F257" s="9"/>
      <c r="G257" s="9"/>
      <c r="H257" s="9"/>
      <c r="I257" s="9"/>
      <c r="J257" s="9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spans="1:20" x14ac:dyDescent="0.25">
      <c r="A258" s="10"/>
      <c r="B258" s="1"/>
      <c r="C258" s="8"/>
      <c r="D258" s="8"/>
      <c r="E258" s="9"/>
      <c r="F258" s="9"/>
      <c r="G258" s="9"/>
      <c r="H258" s="9"/>
      <c r="I258" s="9"/>
      <c r="J258" s="9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spans="1:20" x14ac:dyDescent="0.25">
      <c r="A259" s="10"/>
      <c r="B259" s="1"/>
      <c r="C259" s="8"/>
      <c r="D259" s="8"/>
      <c r="E259" s="9"/>
      <c r="F259" s="9"/>
      <c r="G259" s="9"/>
      <c r="H259" s="9"/>
      <c r="I259" s="9"/>
      <c r="J259" s="9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spans="1:20" x14ac:dyDescent="0.25">
      <c r="A260" s="10"/>
      <c r="B260" s="1"/>
      <c r="C260" s="8"/>
      <c r="D260" s="8"/>
      <c r="E260" s="9"/>
      <c r="F260" s="9"/>
      <c r="G260" s="9"/>
      <c r="H260" s="9"/>
      <c r="I260" s="9"/>
      <c r="J260" s="9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spans="1:20" x14ac:dyDescent="0.25">
      <c r="A261" s="10"/>
      <c r="B261" s="1"/>
      <c r="C261" s="8"/>
      <c r="D261" s="8"/>
      <c r="E261" s="9"/>
      <c r="F261" s="9"/>
      <c r="G261" s="9"/>
      <c r="H261" s="9"/>
      <c r="I261" s="9"/>
      <c r="J261" s="9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spans="1:20" x14ac:dyDescent="0.25">
      <c r="A262" s="10"/>
      <c r="B262" s="1"/>
      <c r="C262" s="8"/>
      <c r="D262" s="8"/>
      <c r="E262" s="9"/>
      <c r="F262" s="9"/>
      <c r="G262" s="9"/>
      <c r="H262" s="9"/>
      <c r="I262" s="9"/>
      <c r="J262" s="9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spans="1:20" x14ac:dyDescent="0.25">
      <c r="A263" s="10"/>
      <c r="B263" s="1"/>
      <c r="C263" s="8"/>
      <c r="D263" s="8"/>
      <c r="E263" s="9"/>
      <c r="F263" s="9"/>
      <c r="G263" s="9"/>
      <c r="H263" s="9"/>
      <c r="I263" s="9"/>
      <c r="J263" s="9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spans="1:20" x14ac:dyDescent="0.25">
      <c r="A264" s="10"/>
      <c r="B264" s="1"/>
      <c r="C264" s="8"/>
      <c r="D264" s="8"/>
      <c r="E264" s="9"/>
      <c r="F264" s="9"/>
      <c r="G264" s="9"/>
      <c r="H264" s="9"/>
      <c r="I264" s="9"/>
      <c r="J264" s="9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spans="1:20" x14ac:dyDescent="0.25">
      <c r="A265" s="10"/>
      <c r="B265" s="1"/>
      <c r="C265" s="8"/>
      <c r="D265" s="8"/>
      <c r="E265" s="9"/>
      <c r="F265" s="9"/>
      <c r="G265" s="9"/>
      <c r="H265" s="9"/>
      <c r="I265" s="9"/>
      <c r="J265" s="9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spans="1:20" x14ac:dyDescent="0.25">
      <c r="A266" s="10"/>
      <c r="B266" s="1"/>
      <c r="C266" s="8"/>
      <c r="D266" s="8"/>
      <c r="E266" s="9"/>
      <c r="F266" s="9"/>
      <c r="G266" s="9"/>
      <c r="H266" s="9"/>
      <c r="I266" s="9"/>
      <c r="J266" s="9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spans="1:20" x14ac:dyDescent="0.25">
      <c r="A267" s="10"/>
      <c r="B267" s="1"/>
      <c r="C267" s="8"/>
      <c r="D267" s="8"/>
      <c r="E267" s="9"/>
      <c r="F267" s="9"/>
      <c r="G267" s="9"/>
      <c r="H267" s="9"/>
      <c r="I267" s="9"/>
      <c r="J267" s="9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spans="1:20" x14ac:dyDescent="0.25">
      <c r="A268" s="10"/>
      <c r="B268" s="1"/>
      <c r="C268" s="8"/>
      <c r="D268" s="8"/>
      <c r="E268" s="9"/>
      <c r="F268" s="9"/>
      <c r="G268" s="9"/>
      <c r="H268" s="9"/>
      <c r="I268" s="9"/>
      <c r="J268" s="9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spans="1:20" x14ac:dyDescent="0.25">
      <c r="A269" s="10"/>
      <c r="B269" s="1"/>
      <c r="C269" s="8"/>
      <c r="D269" s="8"/>
      <c r="E269" s="9"/>
      <c r="F269" s="9"/>
      <c r="G269" s="9"/>
      <c r="H269" s="9"/>
      <c r="I269" s="9"/>
      <c r="J269" s="9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spans="1:20" x14ac:dyDescent="0.25">
      <c r="A270" s="10"/>
      <c r="B270" s="1"/>
      <c r="C270" s="8"/>
      <c r="D270" s="8"/>
      <c r="E270" s="9"/>
      <c r="F270" s="9"/>
      <c r="G270" s="9"/>
      <c r="H270" s="9"/>
      <c r="I270" s="9"/>
      <c r="J270" s="9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spans="1:20" x14ac:dyDescent="0.25">
      <c r="A271" s="10"/>
      <c r="B271" s="1"/>
      <c r="C271" s="8"/>
      <c r="D271" s="8"/>
      <c r="E271" s="9"/>
      <c r="F271" s="9"/>
      <c r="G271" s="9"/>
      <c r="H271" s="9"/>
      <c r="I271" s="9"/>
      <c r="J271" s="9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spans="1:20" x14ac:dyDescent="0.25">
      <c r="A272" s="10"/>
      <c r="B272" s="1"/>
      <c r="C272" s="8"/>
      <c r="D272" s="8"/>
      <c r="E272" s="9"/>
      <c r="F272" s="9"/>
      <c r="G272" s="9"/>
      <c r="H272" s="9"/>
      <c r="I272" s="9"/>
      <c r="J272" s="9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spans="1:20" x14ac:dyDescent="0.25">
      <c r="A273" s="10"/>
      <c r="B273" s="1"/>
      <c r="C273" s="8"/>
      <c r="D273" s="8"/>
      <c r="E273" s="9"/>
      <c r="F273" s="9"/>
      <c r="G273" s="9"/>
      <c r="H273" s="9"/>
      <c r="I273" s="9"/>
      <c r="J273" s="9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spans="1:20" x14ac:dyDescent="0.25">
      <c r="A274" s="10"/>
      <c r="B274" s="1"/>
      <c r="C274" s="8"/>
      <c r="D274" s="8"/>
      <c r="E274" s="9"/>
      <c r="F274" s="9"/>
      <c r="G274" s="9"/>
      <c r="H274" s="9"/>
      <c r="I274" s="9"/>
      <c r="J274" s="9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spans="1:20" x14ac:dyDescent="0.25">
      <c r="A275" s="10"/>
      <c r="B275" s="1"/>
      <c r="C275" s="8"/>
      <c r="D275" s="8"/>
      <c r="E275" s="9"/>
      <c r="F275" s="9"/>
      <c r="G275" s="9"/>
      <c r="H275" s="9"/>
      <c r="I275" s="9"/>
      <c r="J275" s="9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spans="1:20" x14ac:dyDescent="0.25">
      <c r="A276" s="10"/>
      <c r="B276" s="1"/>
      <c r="C276" s="8"/>
      <c r="D276" s="8"/>
      <c r="E276" s="9"/>
      <c r="F276" s="9"/>
      <c r="G276" s="9"/>
      <c r="H276" s="9"/>
      <c r="I276" s="9"/>
      <c r="J276" s="9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spans="1:20" x14ac:dyDescent="0.25">
      <c r="A277" s="10"/>
      <c r="B277" s="1"/>
      <c r="C277" s="8"/>
      <c r="D277" s="8"/>
      <c r="E277" s="9"/>
      <c r="F277" s="9"/>
      <c r="G277" s="9"/>
      <c r="H277" s="9"/>
      <c r="I277" s="9"/>
      <c r="J277" s="9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spans="1:20" x14ac:dyDescent="0.25">
      <c r="A278" s="10"/>
      <c r="B278" s="1"/>
      <c r="C278" s="8"/>
      <c r="D278" s="8"/>
      <c r="E278" s="9"/>
      <c r="F278" s="9"/>
      <c r="G278" s="9"/>
      <c r="H278" s="9"/>
      <c r="I278" s="9"/>
      <c r="J278" s="9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spans="1:20" x14ac:dyDescent="0.25">
      <c r="A279" s="10"/>
      <c r="B279" s="1"/>
      <c r="C279" s="8"/>
      <c r="D279" s="8"/>
      <c r="E279" s="9"/>
      <c r="F279" s="9"/>
      <c r="G279" s="9"/>
      <c r="H279" s="9"/>
      <c r="I279" s="9"/>
      <c r="J279" s="9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spans="1:20" x14ac:dyDescent="0.25">
      <c r="A280" s="10"/>
      <c r="B280" s="1"/>
      <c r="C280" s="8"/>
      <c r="D280" s="8"/>
      <c r="E280" s="9"/>
      <c r="F280" s="9"/>
      <c r="G280" s="9"/>
      <c r="H280" s="9"/>
      <c r="I280" s="9"/>
      <c r="J280" s="9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spans="1:20" x14ac:dyDescent="0.25">
      <c r="A281" s="10"/>
      <c r="B281" s="1"/>
      <c r="C281" s="8"/>
      <c r="D281" s="8"/>
      <c r="E281" s="9"/>
      <c r="F281" s="9"/>
      <c r="G281" s="9"/>
      <c r="H281" s="9"/>
      <c r="I281" s="9"/>
      <c r="J281" s="9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spans="1:20" x14ac:dyDescent="0.25">
      <c r="A282" s="10"/>
      <c r="B282" s="1"/>
      <c r="C282" s="8"/>
      <c r="D282" s="8"/>
      <c r="E282" s="9"/>
      <c r="F282" s="9"/>
      <c r="G282" s="9"/>
      <c r="H282" s="9"/>
      <c r="I282" s="9"/>
      <c r="J282" s="9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spans="1:20" x14ac:dyDescent="0.25">
      <c r="A283" s="10"/>
      <c r="B283" s="1"/>
      <c r="C283" s="8"/>
      <c r="D283" s="8"/>
      <c r="E283" s="9"/>
      <c r="F283" s="9"/>
      <c r="G283" s="9"/>
      <c r="H283" s="9"/>
      <c r="I283" s="9"/>
      <c r="J283" s="9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spans="1:20" x14ac:dyDescent="0.25">
      <c r="A284" s="10"/>
      <c r="B284" s="1"/>
      <c r="C284" s="8"/>
      <c r="D284" s="8"/>
      <c r="E284" s="9"/>
      <c r="F284" s="9"/>
      <c r="G284" s="9"/>
      <c r="H284" s="9"/>
      <c r="I284" s="9"/>
      <c r="J284" s="9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spans="1:20" x14ac:dyDescent="0.25">
      <c r="A285" s="10"/>
      <c r="B285" s="1"/>
      <c r="C285" s="8"/>
      <c r="D285" s="8"/>
      <c r="E285" s="9"/>
      <c r="F285" s="9"/>
      <c r="G285" s="9"/>
      <c r="H285" s="9"/>
      <c r="I285" s="9"/>
      <c r="J285" s="9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spans="1:20" x14ac:dyDescent="0.25">
      <c r="A286" s="10"/>
      <c r="B286" s="1"/>
      <c r="C286" s="8"/>
      <c r="D286" s="8"/>
      <c r="E286" s="9"/>
      <c r="F286" s="9"/>
      <c r="G286" s="9"/>
      <c r="H286" s="9"/>
      <c r="I286" s="9"/>
      <c r="J286" s="9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spans="1:20" x14ac:dyDescent="0.25">
      <c r="A287" s="10"/>
      <c r="B287" s="1"/>
      <c r="C287" s="8"/>
      <c r="D287" s="8"/>
      <c r="E287" s="9"/>
      <c r="F287" s="9"/>
      <c r="G287" s="9"/>
      <c r="H287" s="9"/>
      <c r="I287" s="9"/>
      <c r="J287" s="9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spans="1:20" x14ac:dyDescent="0.25">
      <c r="A288" s="10"/>
      <c r="B288" s="1"/>
      <c r="C288" s="8"/>
      <c r="D288" s="8"/>
      <c r="E288" s="9"/>
      <c r="F288" s="9"/>
      <c r="G288" s="9"/>
      <c r="H288" s="9"/>
      <c r="I288" s="9"/>
      <c r="J288" s="9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spans="1:20" x14ac:dyDescent="0.25">
      <c r="A289" s="10"/>
      <c r="B289" s="1"/>
      <c r="C289" s="8"/>
      <c r="D289" s="8"/>
      <c r="E289" s="9"/>
      <c r="F289" s="9"/>
      <c r="G289" s="9"/>
      <c r="H289" s="9"/>
      <c r="I289" s="9"/>
      <c r="J289" s="9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spans="1:20" x14ac:dyDescent="0.25">
      <c r="A290" s="10"/>
      <c r="B290" s="1"/>
      <c r="C290" s="8"/>
      <c r="D290" s="8"/>
      <c r="E290" s="9"/>
      <c r="F290" s="9"/>
      <c r="G290" s="9"/>
      <c r="H290" s="9"/>
      <c r="I290" s="9"/>
      <c r="J290" s="9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spans="1:20" x14ac:dyDescent="0.25">
      <c r="A291" s="10"/>
      <c r="B291" s="1"/>
      <c r="C291" s="8"/>
      <c r="D291" s="8"/>
      <c r="E291" s="9"/>
      <c r="F291" s="9"/>
      <c r="G291" s="9"/>
      <c r="H291" s="9"/>
      <c r="I291" s="9"/>
      <c r="J291" s="9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spans="1:20" x14ac:dyDescent="0.25">
      <c r="A292" s="10"/>
      <c r="B292" s="1"/>
      <c r="C292" s="8"/>
      <c r="D292" s="8"/>
      <c r="E292" s="9"/>
      <c r="F292" s="9"/>
      <c r="G292" s="9"/>
      <c r="H292" s="9"/>
      <c r="I292" s="9"/>
      <c r="J292" s="9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spans="1:20" x14ac:dyDescent="0.25">
      <c r="A293" s="10"/>
      <c r="B293" s="1"/>
      <c r="C293" s="8"/>
      <c r="D293" s="8"/>
      <c r="E293" s="9"/>
      <c r="F293" s="9"/>
      <c r="G293" s="9"/>
      <c r="H293" s="9"/>
      <c r="I293" s="9"/>
      <c r="J293" s="9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spans="1:20" x14ac:dyDescent="0.25">
      <c r="A294" s="10"/>
      <c r="B294" s="1"/>
      <c r="C294" s="8"/>
      <c r="D294" s="8"/>
      <c r="E294" s="9"/>
      <c r="F294" s="9"/>
      <c r="G294" s="9"/>
      <c r="H294" s="9"/>
      <c r="I294" s="9"/>
      <c r="J294" s="9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spans="1:20" x14ac:dyDescent="0.25">
      <c r="A295" s="10"/>
      <c r="B295" s="1"/>
      <c r="C295" s="8"/>
      <c r="D295" s="8"/>
      <c r="E295" s="9"/>
      <c r="F295" s="9"/>
      <c r="G295" s="9"/>
      <c r="H295" s="9"/>
      <c r="I295" s="9"/>
      <c r="J295" s="9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spans="1:20" x14ac:dyDescent="0.25">
      <c r="A296" s="10"/>
      <c r="B296" s="1"/>
      <c r="C296" s="8"/>
      <c r="D296" s="8"/>
      <c r="E296" s="9"/>
      <c r="F296" s="9"/>
      <c r="G296" s="9"/>
      <c r="H296" s="9"/>
      <c r="I296" s="9"/>
      <c r="J296" s="9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spans="1:20" x14ac:dyDescent="0.25">
      <c r="A297" s="10"/>
      <c r="B297" s="1"/>
      <c r="C297" s="8"/>
      <c r="D297" s="8"/>
      <c r="E297" s="9"/>
      <c r="F297" s="9"/>
      <c r="G297" s="9"/>
      <c r="H297" s="9"/>
      <c r="I297" s="9"/>
      <c r="J297" s="9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spans="1:20" x14ac:dyDescent="0.25">
      <c r="A298" s="10"/>
      <c r="B298" s="1"/>
      <c r="C298" s="8"/>
      <c r="D298" s="8"/>
      <c r="E298" s="9"/>
      <c r="F298" s="9"/>
      <c r="G298" s="9"/>
      <c r="H298" s="9"/>
      <c r="I298" s="9"/>
      <c r="J298" s="9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spans="1:20" x14ac:dyDescent="0.25">
      <c r="A299" s="10"/>
      <c r="B299" s="1"/>
      <c r="C299" s="8"/>
      <c r="D299" s="8"/>
      <c r="E299" s="9"/>
      <c r="F299" s="9"/>
      <c r="G299" s="9"/>
      <c r="H299" s="9"/>
      <c r="I299" s="9"/>
      <c r="J299" s="9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spans="1:20" x14ac:dyDescent="0.25">
      <c r="A300" s="10"/>
      <c r="B300" s="1"/>
      <c r="C300" s="8"/>
      <c r="D300" s="8"/>
      <c r="E300" s="9"/>
      <c r="F300" s="9"/>
      <c r="G300" s="9"/>
      <c r="H300" s="9"/>
      <c r="I300" s="9"/>
      <c r="J300" s="9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spans="1:20" x14ac:dyDescent="0.25">
      <c r="A301" s="10"/>
      <c r="B301" s="1"/>
      <c r="C301" s="8"/>
      <c r="D301" s="8"/>
      <c r="E301" s="9"/>
      <c r="F301" s="9"/>
      <c r="G301" s="9"/>
      <c r="H301" s="9"/>
      <c r="I301" s="9"/>
      <c r="J301" s="9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spans="1:20" x14ac:dyDescent="0.25">
      <c r="A302" s="10"/>
      <c r="B302" s="1"/>
      <c r="C302" s="8"/>
      <c r="D302" s="8"/>
      <c r="E302" s="9"/>
      <c r="F302" s="9"/>
      <c r="G302" s="9"/>
      <c r="H302" s="9"/>
      <c r="I302" s="9"/>
      <c r="J302" s="9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spans="1:20" x14ac:dyDescent="0.25">
      <c r="A303" s="10"/>
      <c r="B303" s="1"/>
      <c r="C303" s="8"/>
      <c r="D303" s="8"/>
      <c r="E303" s="9"/>
      <c r="F303" s="9"/>
      <c r="G303" s="9"/>
      <c r="H303" s="9"/>
      <c r="I303" s="9"/>
      <c r="J303" s="9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spans="1:20" x14ac:dyDescent="0.25">
      <c r="A304" s="10"/>
      <c r="B304" s="1"/>
      <c r="C304" s="8"/>
      <c r="D304" s="8"/>
      <c r="E304" s="9"/>
      <c r="F304" s="9"/>
      <c r="G304" s="9"/>
      <c r="H304" s="9"/>
      <c r="I304" s="9"/>
      <c r="J304" s="9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spans="1:20" x14ac:dyDescent="0.25">
      <c r="A305" s="10"/>
      <c r="B305" s="1"/>
      <c r="C305" s="8"/>
      <c r="D305" s="8"/>
      <c r="E305" s="9"/>
      <c r="F305" s="9"/>
      <c r="G305" s="9"/>
      <c r="H305" s="9"/>
      <c r="I305" s="9"/>
      <c r="J305" s="9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spans="1:20" x14ac:dyDescent="0.25">
      <c r="A306" s="10"/>
      <c r="B306" s="1"/>
      <c r="C306" s="8"/>
      <c r="D306" s="8"/>
      <c r="E306" s="9"/>
      <c r="F306" s="9"/>
      <c r="G306" s="9"/>
      <c r="H306" s="9"/>
      <c r="I306" s="9"/>
      <c r="J306" s="9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spans="1:20" x14ac:dyDescent="0.25">
      <c r="A307" s="10"/>
      <c r="B307" s="1"/>
      <c r="C307" s="8"/>
      <c r="D307" s="8"/>
      <c r="E307" s="9"/>
      <c r="F307" s="9"/>
      <c r="G307" s="9"/>
      <c r="H307" s="9"/>
      <c r="I307" s="9"/>
      <c r="J307" s="9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spans="1:20" x14ac:dyDescent="0.25">
      <c r="A308" s="10"/>
      <c r="B308" s="1"/>
      <c r="C308" s="8"/>
      <c r="D308" s="8"/>
      <c r="E308" s="9"/>
      <c r="F308" s="9"/>
      <c r="G308" s="9"/>
      <c r="H308" s="9"/>
      <c r="I308" s="9"/>
      <c r="J308" s="9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spans="1:20" x14ac:dyDescent="0.25">
      <c r="A309" s="10"/>
      <c r="B309" s="1"/>
      <c r="C309" s="8"/>
      <c r="D309" s="8"/>
      <c r="E309" s="9"/>
      <c r="F309" s="9"/>
      <c r="G309" s="9"/>
      <c r="H309" s="9"/>
      <c r="I309" s="9"/>
      <c r="J309" s="9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spans="1:20" x14ac:dyDescent="0.25">
      <c r="A310" s="10"/>
      <c r="B310" s="1"/>
      <c r="C310" s="8"/>
      <c r="D310" s="8"/>
      <c r="E310" s="9"/>
      <c r="F310" s="9"/>
      <c r="G310" s="9"/>
      <c r="H310" s="9"/>
      <c r="I310" s="9"/>
      <c r="J310" s="9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spans="1:20" x14ac:dyDescent="0.25">
      <c r="A311" s="10"/>
      <c r="B311" s="1"/>
      <c r="C311" s="8"/>
      <c r="D311" s="8"/>
      <c r="E311" s="9"/>
      <c r="F311" s="9"/>
      <c r="G311" s="9"/>
      <c r="H311" s="9"/>
      <c r="I311" s="9"/>
      <c r="J311" s="9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spans="1:20" x14ac:dyDescent="0.25">
      <c r="A312" s="10"/>
      <c r="B312" s="1"/>
      <c r="C312" s="8"/>
      <c r="D312" s="8"/>
      <c r="E312" s="9"/>
      <c r="F312" s="9"/>
      <c r="G312" s="9"/>
      <c r="H312" s="9"/>
      <c r="I312" s="9"/>
      <c r="J312" s="9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spans="1:20" x14ac:dyDescent="0.25">
      <c r="A313" s="10"/>
      <c r="B313" s="1"/>
      <c r="C313" s="8"/>
      <c r="D313" s="8"/>
      <c r="E313" s="9"/>
      <c r="F313" s="9"/>
      <c r="G313" s="9"/>
      <c r="H313" s="9"/>
      <c r="I313" s="9"/>
      <c r="J313" s="9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spans="1:20" x14ac:dyDescent="0.25">
      <c r="A314" s="10"/>
      <c r="B314" s="1"/>
      <c r="C314" s="8"/>
      <c r="D314" s="8"/>
      <c r="E314" s="9"/>
      <c r="F314" s="9"/>
      <c r="G314" s="9"/>
      <c r="H314" s="9"/>
      <c r="I314" s="9"/>
      <c r="J314" s="9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spans="1:20" x14ac:dyDescent="0.25">
      <c r="A315" s="10"/>
      <c r="B315" s="1"/>
      <c r="C315" s="8"/>
      <c r="D315" s="8"/>
      <c r="E315" s="9"/>
      <c r="F315" s="9"/>
      <c r="G315" s="9"/>
      <c r="H315" s="9"/>
      <c r="I315" s="9"/>
      <c r="J315" s="9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spans="1:20" x14ac:dyDescent="0.25">
      <c r="A316" s="10"/>
      <c r="B316" s="1"/>
      <c r="C316" s="8"/>
      <c r="D316" s="8"/>
      <c r="E316" s="9"/>
      <c r="F316" s="9"/>
      <c r="G316" s="9"/>
      <c r="H316" s="9"/>
      <c r="I316" s="9"/>
      <c r="J316" s="9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spans="1:20" x14ac:dyDescent="0.25">
      <c r="A317" s="10"/>
      <c r="B317" s="1"/>
      <c r="C317" s="8"/>
      <c r="D317" s="8"/>
      <c r="E317" s="9"/>
      <c r="F317" s="9"/>
      <c r="G317" s="9"/>
      <c r="H317" s="9"/>
      <c r="I317" s="9"/>
      <c r="J317" s="9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spans="1:20" x14ac:dyDescent="0.25">
      <c r="A318" s="10"/>
      <c r="B318" s="1"/>
      <c r="C318" s="8"/>
      <c r="D318" s="8"/>
      <c r="E318" s="9"/>
      <c r="F318" s="9"/>
      <c r="G318" s="9"/>
      <c r="H318" s="9"/>
      <c r="I318" s="9"/>
      <c r="J318" s="9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spans="1:20" x14ac:dyDescent="0.25">
      <c r="A319" s="10"/>
      <c r="B319" s="1"/>
      <c r="C319" s="8"/>
      <c r="D319" s="8"/>
      <c r="E319" s="9"/>
      <c r="F319" s="9"/>
      <c r="G319" s="9"/>
      <c r="H319" s="9"/>
      <c r="I319" s="9"/>
      <c r="J319" s="9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spans="1:20" x14ac:dyDescent="0.25">
      <c r="A320" s="10"/>
      <c r="B320" s="1"/>
      <c r="C320" s="8"/>
      <c r="D320" s="8"/>
      <c r="E320" s="9"/>
      <c r="F320" s="9"/>
      <c r="G320" s="9"/>
      <c r="H320" s="9"/>
      <c r="I320" s="9"/>
      <c r="J320" s="9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spans="1:20" x14ac:dyDescent="0.25">
      <c r="A321" s="10"/>
      <c r="B321" s="1"/>
      <c r="C321" s="8"/>
      <c r="D321" s="8"/>
      <c r="E321" s="9"/>
      <c r="F321" s="9"/>
      <c r="G321" s="9"/>
      <c r="H321" s="9"/>
      <c r="I321" s="9"/>
      <c r="J321" s="9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spans="1:20" x14ac:dyDescent="0.25">
      <c r="A322" s="10"/>
      <c r="B322" s="1"/>
      <c r="C322" s="8"/>
      <c r="D322" s="8"/>
      <c r="E322" s="9"/>
      <c r="F322" s="9"/>
      <c r="G322" s="9"/>
      <c r="H322" s="9"/>
      <c r="I322" s="9"/>
      <c r="J322" s="9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spans="1:20" x14ac:dyDescent="0.25">
      <c r="A323" s="10"/>
      <c r="B323" s="1"/>
      <c r="C323" s="8"/>
      <c r="D323" s="8"/>
      <c r="E323" s="9"/>
      <c r="F323" s="9"/>
      <c r="G323" s="9"/>
      <c r="H323" s="9"/>
      <c r="I323" s="9"/>
      <c r="J323" s="9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spans="1:20" x14ac:dyDescent="0.25">
      <c r="A324" s="10"/>
      <c r="B324" s="1"/>
      <c r="C324" s="8"/>
      <c r="D324" s="8"/>
      <c r="E324" s="9"/>
      <c r="F324" s="9"/>
      <c r="G324" s="9"/>
      <c r="H324" s="9"/>
      <c r="I324" s="9"/>
      <c r="J324" s="9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spans="1:20" x14ac:dyDescent="0.25">
      <c r="A325" s="10"/>
      <c r="B325" s="1"/>
      <c r="C325" s="8"/>
      <c r="D325" s="8"/>
      <c r="E325" s="9"/>
      <c r="F325" s="9"/>
      <c r="G325" s="9"/>
      <c r="H325" s="9"/>
      <c r="I325" s="9"/>
      <c r="J325" s="9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spans="1:20" x14ac:dyDescent="0.25">
      <c r="A326" s="10"/>
      <c r="B326" s="1"/>
      <c r="C326" s="8"/>
      <c r="D326" s="8"/>
      <c r="E326" s="9"/>
      <c r="F326" s="9"/>
      <c r="G326" s="9"/>
      <c r="H326" s="9"/>
      <c r="I326" s="9"/>
      <c r="J326" s="9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spans="1:20" x14ac:dyDescent="0.25">
      <c r="A327" s="10"/>
      <c r="B327" s="1"/>
      <c r="C327" s="8"/>
      <c r="D327" s="8"/>
      <c r="E327" s="9"/>
      <c r="F327" s="9"/>
      <c r="G327" s="9"/>
      <c r="H327" s="9"/>
      <c r="I327" s="9"/>
      <c r="J327" s="9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spans="1:20" x14ac:dyDescent="0.25">
      <c r="A328" s="10"/>
      <c r="B328" s="1"/>
      <c r="C328" s="8"/>
      <c r="D328" s="8"/>
      <c r="E328" s="9"/>
      <c r="F328" s="9"/>
      <c r="G328" s="9"/>
      <c r="H328" s="9"/>
      <c r="I328" s="9"/>
      <c r="J328" s="9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spans="1:20" x14ac:dyDescent="0.25">
      <c r="A329" s="10"/>
      <c r="B329" s="1"/>
      <c r="C329" s="8"/>
      <c r="D329" s="8"/>
      <c r="E329" s="9"/>
      <c r="F329" s="9"/>
      <c r="G329" s="9"/>
      <c r="H329" s="9"/>
      <c r="I329" s="9"/>
      <c r="J329" s="9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spans="1:20" x14ac:dyDescent="0.25">
      <c r="A330" s="10"/>
      <c r="B330" s="1"/>
      <c r="C330" s="8"/>
      <c r="D330" s="8"/>
      <c r="E330" s="9"/>
      <c r="F330" s="9"/>
      <c r="G330" s="9"/>
      <c r="H330" s="9"/>
      <c r="I330" s="9"/>
      <c r="J330" s="9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spans="1:20" x14ac:dyDescent="0.25">
      <c r="A331" s="10"/>
      <c r="B331" s="1"/>
      <c r="C331" s="8"/>
      <c r="D331" s="8"/>
      <c r="E331" s="9"/>
      <c r="F331" s="9"/>
      <c r="G331" s="9"/>
      <c r="H331" s="9"/>
      <c r="I331" s="9"/>
      <c r="J331" s="9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spans="1:20" x14ac:dyDescent="0.25">
      <c r="A332" s="10"/>
      <c r="B332" s="1"/>
      <c r="C332" s="8"/>
      <c r="D332" s="8"/>
      <c r="E332" s="9"/>
      <c r="F332" s="9"/>
      <c r="G332" s="9"/>
      <c r="H332" s="9"/>
      <c r="I332" s="9"/>
      <c r="J332" s="9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spans="1:20" x14ac:dyDescent="0.25">
      <c r="A333" s="10"/>
      <c r="B333" s="1"/>
      <c r="C333" s="8"/>
      <c r="D333" s="8"/>
      <c r="E333" s="9"/>
      <c r="F333" s="9"/>
      <c r="G333" s="9"/>
      <c r="H333" s="9"/>
      <c r="I333" s="9"/>
      <c r="J333" s="9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spans="1:20" x14ac:dyDescent="0.25">
      <c r="A334" s="10"/>
      <c r="B334" s="1"/>
      <c r="C334" s="8"/>
      <c r="D334" s="8"/>
      <c r="E334" s="9"/>
      <c r="F334" s="9"/>
      <c r="G334" s="9"/>
      <c r="H334" s="9"/>
      <c r="I334" s="9"/>
      <c r="J334" s="9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spans="1:20" x14ac:dyDescent="0.25">
      <c r="A335" s="10"/>
      <c r="B335" s="1"/>
      <c r="C335" s="8"/>
      <c r="D335" s="8"/>
      <c r="E335" s="9"/>
      <c r="F335" s="9"/>
      <c r="G335" s="9"/>
      <c r="H335" s="9"/>
      <c r="I335" s="9"/>
      <c r="J335" s="9"/>
      <c r="K335" s="8"/>
      <c r="L335" s="8"/>
      <c r="M335" s="8"/>
      <c r="N335" s="8"/>
      <c r="O335" s="8"/>
      <c r="P335" s="8"/>
      <c r="Q335" s="8"/>
      <c r="R335" s="8"/>
      <c r="S335" s="8"/>
      <c r="T335" s="8"/>
    </row>
  </sheetData>
  <sheetProtection selectLockedCells="1"/>
  <conditionalFormatting sqref="A2:A77">
    <cfRule type="duplicateValues" dxfId="8" priority="1"/>
  </conditionalFormatting>
  <pageMargins left="0.74803149606299213" right="0.74803149606299213" top="0.98425196850393704" bottom="0.98425196850393704" header="0.51181102362204722" footer="0.51181102362204722"/>
  <pageSetup paperSize="9" scale="74" fitToHeight="2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EZVIZ</vt:lpstr>
      <vt:lpstr>EZVIZ!Área_de_impresión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2026-08-18T17:49:19Z</cp:lastPrinted>
  <dcterms:created xsi:type="dcterms:W3CDTF">2026-08-06T20:02:59Z</dcterms:created>
  <dcterms:modified xsi:type="dcterms:W3CDTF">2026-09-29T17:25:11Z</dcterms:modified>
</cp:coreProperties>
</file>