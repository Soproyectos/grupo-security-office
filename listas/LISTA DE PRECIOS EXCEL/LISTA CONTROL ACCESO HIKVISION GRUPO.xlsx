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efe Compras\OneDrive\Documents\Desktop\LISTAS DE PRECIOS\listados grupo nuevo con formulas\LISTA PROVISIONAL DAÑO PLATAFORMA\LISTAS EMPRESA GRUPO\EXCEL\"/>
    </mc:Choice>
  </mc:AlternateContent>
  <xr:revisionPtr revIDLastSave="0" documentId="13_ncr:1_{717487B5-4D95-47B7-9261-9124C258730F}" xr6:coauthVersionLast="47" xr6:coauthVersionMax="47" xr10:uidLastSave="{00000000-0000-0000-0000-000000000000}"/>
  <bookViews>
    <workbookView xWindow="-120" yWindow="-120" windowWidth="24240" windowHeight="13140" tabRatio="910" xr2:uid="{4E398D24-9049-424C-9880-4F15AC8D5BD6}"/>
  </bookViews>
  <sheets>
    <sheet name="CONTROL ACCESO HIKVISION" sheetId="3"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v" localSheetId="0" hidden="1">{"'ADV&amp;DP'!$A$4:$C$25"}</definedName>
    <definedName name="\v" hidden="1">{"'ADV&amp;DP'!$A$4:$C$25"}</definedName>
    <definedName name="_??" localSheetId="0" hidden="1">{"'?????10.27??????'!$Q$16"}</definedName>
    <definedName name="_??" hidden="1">{"'?????10.27??????'!$Q$16"}</definedName>
    <definedName name="_????" localSheetId="0" hidden="1">{"'?????10.27??????'!$Q$16"}</definedName>
    <definedName name="_????" hidden="1">{"'?????10.27??????'!$Q$16"}</definedName>
    <definedName name="_?????" localSheetId="0" hidden="1">{"DCF-???",#N/A,TRUE,"???";"DCF-??",#N/A,TRUE,"??";"DCF-??",#N/A,TRUE,"??";"DCF-??",#N/A,TRUE,"??";"DCF-??",#N/A,TRUE,"??";"DCF-??",#N/A,TRUE,"??";"DCF-??",#N/A,TRUE,"??";"DCF-??",#N/A,TRUE,"??";"DCF-??",#N/A,TRUE,"??"}</definedName>
    <definedName name="_?????" hidden="1">{"DCF-???",#N/A,TRUE,"???";"DCF-??",#N/A,TRUE,"??";"DCF-??",#N/A,TRUE,"??";"DCF-??",#N/A,TRUE,"??";"DCF-??",#N/A,TRUE,"??";"DCF-??",#N/A,TRUE,"??";"DCF-??",#N/A,TRUE,"??";"DCF-??",#N/A,TRUE,"??";"DCF-??",#N/A,TRUE,"??"}</definedName>
    <definedName name="_??????" localSheetId="0" hidden="1">{"'?????10.27??????'!$Q$16"}</definedName>
    <definedName name="_??????" hidden="1">{"'?????10.27??????'!$Q$16"}</definedName>
    <definedName name="_??06" localSheetId="0" hidden="1">{"'?????10.27??????'!$Q$16"}</definedName>
    <definedName name="_??06" hidden="1">{"'?????10.27??????'!$Q$16"}</definedName>
    <definedName name="_?16??" localSheetId="0" hidden="1">{"'????'!$A$1:$C$37"}</definedName>
    <definedName name="_?16??" hidden="1">{"'????'!$A$1:$C$37"}</definedName>
    <definedName name="________o1" localSheetId="0" hidden="1">{#N/A,#N/A,FALSE,"SUMMARY";#N/A,#N/A,FALSE,"mcsh";#N/A,#N/A,FALSE,"vol&amp;rev";#N/A,#N/A,FALSE,"wkgcap";#N/A,#N/A,FALSE,"DEPR&amp;DT";#N/A,#N/A,FALSE,"ASSETS";#N/A,#N/A,FALSE,"NI&amp;OTH&amp;DIV";#N/A,#N/A,FALSE,"CASHFLOW";#N/A,#N/A,FALSE,"CAPEMPL";#N/A,#N/A,FALSE,"ROCE"}</definedName>
    <definedName name="________o1" hidden="1">{#N/A,#N/A,FALSE,"SUMMARY";#N/A,#N/A,FALSE,"mcsh";#N/A,#N/A,FALSE,"vol&amp;rev";#N/A,#N/A,FALSE,"wkgcap";#N/A,#N/A,FALSE,"DEPR&amp;DT";#N/A,#N/A,FALSE,"ASSETS";#N/A,#N/A,FALSE,"NI&amp;OTH&amp;DIV";#N/A,#N/A,FALSE,"CASHFLOW";#N/A,#N/A,FALSE,"CAPEMPL";#N/A,#N/A,FALSE,"ROCE"}</definedName>
    <definedName name="_______DF4" hidden="1">#REF!</definedName>
    <definedName name="______DF4" hidden="1">#REF!</definedName>
    <definedName name="______o1" localSheetId="0" hidden="1">{#N/A,#N/A,FALSE,"SUMMARY";#N/A,#N/A,FALSE,"mcsh";#N/A,#N/A,FALSE,"vol&amp;rev";#N/A,#N/A,FALSE,"wkgcap";#N/A,#N/A,FALSE,"DEPR&amp;DT";#N/A,#N/A,FALSE,"ASSETS";#N/A,#N/A,FALSE,"NI&amp;OTH&amp;DIV";#N/A,#N/A,FALSE,"CASHFLOW";#N/A,#N/A,FALSE,"CAPEMPL";#N/A,#N/A,FALSE,"ROCE"}</definedName>
    <definedName name="______o1" hidden="1">{#N/A,#N/A,FALSE,"SUMMARY";#N/A,#N/A,FALSE,"mcsh";#N/A,#N/A,FALSE,"vol&amp;rev";#N/A,#N/A,FALSE,"wkgcap";#N/A,#N/A,FALSE,"DEPR&amp;DT";#N/A,#N/A,FALSE,"ASSETS";#N/A,#N/A,FALSE,"NI&amp;OTH&amp;DIV";#N/A,#N/A,FALSE,"CASHFLOW";#N/A,#N/A,FALSE,"CAPEMPL";#N/A,#N/A,FALSE,"ROCE"}</definedName>
    <definedName name="_____DF4" hidden="1">#REF!</definedName>
    <definedName name="_____o1" localSheetId="0" hidden="1">{#N/A,#N/A,FALSE,"SUMMARY";#N/A,#N/A,FALSE,"mcsh";#N/A,#N/A,FALSE,"vol&amp;rev";#N/A,#N/A,FALSE,"wkgcap";#N/A,#N/A,FALSE,"DEPR&amp;DT";#N/A,#N/A,FALSE,"ASSETS";#N/A,#N/A,FALSE,"NI&amp;OTH&amp;DIV";#N/A,#N/A,FALSE,"CASHFLOW";#N/A,#N/A,FALSE,"CAPEMPL";#N/A,#N/A,FALSE,"ROCE"}</definedName>
    <definedName name="_____o1" hidden="1">{#N/A,#N/A,FALSE,"SUMMARY";#N/A,#N/A,FALSE,"mcsh";#N/A,#N/A,FALSE,"vol&amp;rev";#N/A,#N/A,FALSE,"wkgcap";#N/A,#N/A,FALSE,"DEPR&amp;DT";#N/A,#N/A,FALSE,"ASSETS";#N/A,#N/A,FALSE,"NI&amp;OTH&amp;DIV";#N/A,#N/A,FALSE,"CASHFLOW";#N/A,#N/A,FALSE,"CAPEMPL";#N/A,#N/A,FALSE,"ROCE"}</definedName>
    <definedName name="____DF4" hidden="1">#REF!</definedName>
    <definedName name="____o1" localSheetId="0" hidden="1">{#N/A,#N/A,FALSE,"SUMMARY";#N/A,#N/A,FALSE,"mcsh";#N/A,#N/A,FALSE,"vol&amp;rev";#N/A,#N/A,FALSE,"wkgcap";#N/A,#N/A,FALSE,"DEPR&amp;DT";#N/A,#N/A,FALSE,"ASSETS";#N/A,#N/A,FALSE,"NI&amp;OTH&amp;DIV";#N/A,#N/A,FALSE,"CASHFLOW";#N/A,#N/A,FALSE,"CAPEMPL";#N/A,#N/A,FALSE,"ROCE"}</definedName>
    <definedName name="____o1" hidden="1">{#N/A,#N/A,FALSE,"SUMMARY";#N/A,#N/A,FALSE,"mcsh";#N/A,#N/A,FALSE,"vol&amp;rev";#N/A,#N/A,FALSE,"wkgcap";#N/A,#N/A,FALSE,"DEPR&amp;DT";#N/A,#N/A,FALSE,"ASSETS";#N/A,#N/A,FALSE,"NI&amp;OTH&amp;DIV";#N/A,#N/A,FALSE,"CASHFLOW";#N/A,#N/A,FALSE,"CAPEMPL";#N/A,#N/A,FALSE,"ROCE"}</definedName>
    <definedName name="___DF4" hidden="1">#REF!</definedName>
    <definedName name="___o1" localSheetId="0" hidden="1">{#N/A,#N/A,FALSE,"SUMMARY";#N/A,#N/A,FALSE,"mcsh";#N/A,#N/A,FALSE,"vol&amp;rev";#N/A,#N/A,FALSE,"wkgcap";#N/A,#N/A,FALSE,"DEPR&amp;DT";#N/A,#N/A,FALSE,"ASSETS";#N/A,#N/A,FALSE,"NI&amp;OTH&amp;DIV";#N/A,#N/A,FALSE,"CASHFLOW";#N/A,#N/A,FALSE,"CAPEMPL";#N/A,#N/A,FALSE,"ROCE"}</definedName>
    <definedName name="___o1" hidden="1">{#N/A,#N/A,FALSE,"SUMMARY";#N/A,#N/A,FALSE,"mcsh";#N/A,#N/A,FALSE,"vol&amp;rev";#N/A,#N/A,FALSE,"wkgcap";#N/A,#N/A,FALSE,"DEPR&amp;DT";#N/A,#N/A,FALSE,"ASSETS";#N/A,#N/A,FALSE,"NI&amp;OTH&amp;DIV";#N/A,#N/A,FALSE,"CASHFLOW";#N/A,#N/A,FALSE,"CAPEMPL";#N/A,#N/A,FALSE,"ROCE"}</definedName>
    <definedName name="__123Graph_A" hidden="1">[1]Pub!$H$13:$H$83</definedName>
    <definedName name="__123Graph_B" hidden="1">[1]Pub!$I$13:$I$83</definedName>
    <definedName name="__123Graph_C" hidden="1">[1]Pub!$J$13:$J$83</definedName>
    <definedName name="__123Graph_D" hidden="1">[1]Pub!$K$13:$K$83</definedName>
    <definedName name="__123Graph_E" hidden="1">[1]Pub!#REF!</definedName>
    <definedName name="__123Graph_F" hidden="1">[1]Pub!$L$13:$L$83</definedName>
    <definedName name="__123Graph_X" hidden="1">[1]Pub!$G$13:$G$83</definedName>
    <definedName name="__DF4" hidden="1">#REF!</definedName>
    <definedName name="__FDS_HYPERLINK_TOGGLE_STATE__" hidden="1">"ON"</definedName>
    <definedName name="__o1" localSheetId="0" hidden="1">{#N/A,#N/A,FALSE,"SUMMARY";#N/A,#N/A,FALSE,"mcsh";#N/A,#N/A,FALSE,"vol&amp;rev";#N/A,#N/A,FALSE,"wkgcap";#N/A,#N/A,FALSE,"DEPR&amp;DT";#N/A,#N/A,FALSE,"ASSETS";#N/A,#N/A,FALSE,"NI&amp;OTH&amp;DIV";#N/A,#N/A,FALSE,"CASHFLOW";#N/A,#N/A,FALSE,"CAPEMPL";#N/A,#N/A,FALSE,"ROCE"}</definedName>
    <definedName name="__o1" hidden="1">{#N/A,#N/A,FALSE,"SUMMARY";#N/A,#N/A,FALSE,"mcsh";#N/A,#N/A,FALSE,"vol&amp;rev";#N/A,#N/A,FALSE,"wkgcap";#N/A,#N/A,FALSE,"DEPR&amp;DT";#N/A,#N/A,FALSE,"ASSETS";#N/A,#N/A,FALSE,"NI&amp;OTH&amp;DIV";#N/A,#N/A,FALSE,"CASHFLOW";#N/A,#N/A,FALSE,"CAPEMPL";#N/A,#N/A,FALSE,"ROCE"}</definedName>
    <definedName name="_1____123Graph_AMOF_NB" hidden="1">[2]計算過程シート!#REF!</definedName>
    <definedName name="_1__123Graph_ACHART_1" hidden="1">'[3]Historical IS'!#REF!</definedName>
    <definedName name="_1__123Graph_AIRR_IRR" hidden="1">#REF!</definedName>
    <definedName name="_10___123Graph_XIRR_IRR" hidden="1">#REF!</definedName>
    <definedName name="_10__123Graph_ACHART_16" hidden="1">[4]engineering!$Q$49:$S$49</definedName>
    <definedName name="_10__123Graph_CCHART_3" hidden="1">'[3]Historical IS'!#REF!</definedName>
    <definedName name="_103__123Graph_Cｸﾞﾗﾌ_1" hidden="1">#REF!</definedName>
    <definedName name="_104__123Graph_Dｸﾞﾗﾌ_1" hidden="1">#REF!</definedName>
    <definedName name="_105__123Graph_XIRR_IRR" hidden="1">#REF!</definedName>
    <definedName name="_106__123Graph_XMOF_NB" hidden="1">#REF!</definedName>
    <definedName name="_11___123Graph_XMOF_NB" hidden="1">#REF!</definedName>
    <definedName name="_11__123Graph_ACHART_17" hidden="1">[4]revenue!$P$77:$R$77</definedName>
    <definedName name="_11__123Graph_CCHART_8" hidden="1">'[3]Historical IS'!#REF!</definedName>
    <definedName name="_12__123Graph_ACHART_18" hidden="1">[4]revenue!$P$82:$R$82</definedName>
    <definedName name="_12__123Graph_AIRR_IRR" hidden="1">#REF!</definedName>
    <definedName name="_12__123Graph_DCHART_1" hidden="1">'[3]Historical IS'!#REF!</definedName>
    <definedName name="_13__123Graph_ACHART_19" hidden="1">[4]sga!$P$7:$R$7</definedName>
    <definedName name="_13__123Graph_AMOF_NB" hidden="1">[2]計算過程シート!#REF!</definedName>
    <definedName name="_13__123Graph_DCHART_8" hidden="1">'[3]Historical IS'!#REF!</definedName>
    <definedName name="_131__123Graph_Xｸﾞﾗﾌ_1" hidden="1">#REF!</definedName>
    <definedName name="_14__123Graph_A????_1" hidden="1">#REF!</definedName>
    <definedName name="_14__123Graph_ACHART_2" hidden="1">#REF!</definedName>
    <definedName name="_14__123Graph_Aｸﾞﾗﾌ_1" hidden="1">#REF!</definedName>
    <definedName name="_14__123Graph_LBL_ACHART_3" hidden="1">'[3]Historical IS'!#REF!</definedName>
    <definedName name="_15__123Graph_ACHART_20" hidden="1">[4]sga!$P$10:$R$10</definedName>
    <definedName name="_15__123Graph_BIRR_IRR" hidden="1">#REF!</definedName>
    <definedName name="_15__123Graph_LBL_ACHART_4" hidden="1">'[3]Historical IS'!#REF!</definedName>
    <definedName name="_16__123Graph_ACHART_3" hidden="1">#REF!</definedName>
    <definedName name="_16__123Graph_BMOF_NB" hidden="1">#REF!</definedName>
    <definedName name="_16__123Graph_LBL_BCHART_3" hidden="1">'[3]Historical IS'!#REF!</definedName>
    <definedName name="_17__123Graph_ACHART_4" hidden="1">#REF!</definedName>
    <definedName name="_17__123Graph_B????_1" hidden="1">#REF!</definedName>
    <definedName name="_17__123Graph_Bｸﾞﾗﾌ_1" hidden="1">#REF!</definedName>
    <definedName name="_17__123Graph_LBL_BCHART_4" hidden="1">'[3]Historical IS'!#REF!</definedName>
    <definedName name="_18__123Graph_ACHART_5" hidden="1">#REF!</definedName>
    <definedName name="_18__123Graph_C????_1" hidden="1">#REF!</definedName>
    <definedName name="_18__123Graph_Cｸﾞﾗﾌ_1" hidden="1">#REF!</definedName>
    <definedName name="_18__123Graph_LBL_CCHART_3" hidden="1">'[3]Historical IS'!#REF!</definedName>
    <definedName name="_19__123Graph_ACHART_6" hidden="1">#REF!</definedName>
    <definedName name="_19__123Graph_D????_1" hidden="1">#REF!</definedName>
    <definedName name="_19__123Graph_Dｸﾞﾗﾌ_1" hidden="1">#REF!</definedName>
    <definedName name="_19__123Graph_XCHART_1" hidden="1">'[3]Historical IS'!#REF!</definedName>
    <definedName name="_2_??" localSheetId="0" hidden="1">{"'?????10.27??????'!$Q$16"}</definedName>
    <definedName name="_2_??" hidden="1">{"'?????10.27??????'!$Q$16"}</definedName>
    <definedName name="_2____123Graph_A????_1" hidden="1">#REF!</definedName>
    <definedName name="_2____123Graph_Aｸﾞﾗﾌ_1" hidden="1">#REF!</definedName>
    <definedName name="_2__123Graph_ACHART_3" hidden="1">'[3]Historical IS'!#REF!</definedName>
    <definedName name="_20__123Graph_ACHART_7" hidden="1">#REF!</definedName>
    <definedName name="_20__123Graph_XCHART_3" hidden="1">'[3]Historical IS'!#REF!</definedName>
    <definedName name="_20__123Graph_XIRR_IRR" hidden="1">#REF!</definedName>
    <definedName name="_21__123Graph_ACHART_8" hidden="1">#REF!</definedName>
    <definedName name="_21__123Graph_XCHART_4" hidden="1">'[3]Historical IS'!#REF!</definedName>
    <definedName name="_21__123Graph_XMOF_NB" hidden="1">#REF!</definedName>
    <definedName name="_22__123Graph_ACHART_9" hidden="1">#REF!</definedName>
    <definedName name="_22__123Graph_X????_1" hidden="1">#REF!</definedName>
    <definedName name="_22__123Graph_XCHART_8" hidden="1">'[3]Historical IS'!#REF!</definedName>
    <definedName name="_22__123Graph_Xｸﾞﾗﾌ_1" hidden="1">#REF!</definedName>
    <definedName name="_23__123Graph_BCHART_1" hidden="1">#REF!</definedName>
    <definedName name="_24__123Graph_BCHART_11" hidden="1">#REF!</definedName>
    <definedName name="_25__123Graph_BCHART_12" hidden="1">#REF!</definedName>
    <definedName name="_26__123Graph_AMOF_NB" hidden="1">[2]計算過程シート!#REF!</definedName>
    <definedName name="_26__123Graph_BCHART_13" hidden="1">[4]engineering!$Q$42:$W$42</definedName>
    <definedName name="_27__123Graph_BCHART_14" hidden="1">[4]engineering!$Q$46:$W$46</definedName>
    <definedName name="_28__123Graph_BCHART_15" hidden="1">#REF!</definedName>
    <definedName name="_29__123Graph_BCHART_16" hidden="1">[4]engineering!$Q$50:$S$50</definedName>
    <definedName name="_3____123Graph_B????_1" hidden="1">#REF!</definedName>
    <definedName name="_3____123Graph_Bｸﾞﾗﾌ_1" hidden="1">#REF!</definedName>
    <definedName name="_3__123Graph_ACHART_1" hidden="1">#REF!</definedName>
    <definedName name="_3__123Graph_ACHART_4" hidden="1">'[3]Historical IS'!#REF!</definedName>
    <definedName name="_30__123Graph_BCHART_17" hidden="1">[4]revenue!$P$78:$R$78</definedName>
    <definedName name="_31__123Graph_BCHART_2" hidden="1">#REF!</definedName>
    <definedName name="_32__123Graph_BCHART_20" hidden="1">[4]sga!$P$11:$R$11</definedName>
    <definedName name="_33__123Graph_BCHART_3" hidden="1">[4]revenue!$P$10:$R$10</definedName>
    <definedName name="_34__123Graph_BCHART_6" hidden="1">#REF!</definedName>
    <definedName name="_35__123Graph_BCHART_7" hidden="1">[4]revenue!$P$45:$R$45</definedName>
    <definedName name="_36_??06" localSheetId="0" hidden="1">{"'?????10.27??????'!$Q$16"}</definedName>
    <definedName name="_36_??06" hidden="1">{"'?????10.27??????'!$Q$16"}</definedName>
    <definedName name="_36__123Graph_BCHART_8" hidden="1">#REF!</definedName>
    <definedName name="_37__123Graph_BCHART_9" hidden="1">[4]engineering!$P$7:$T$7</definedName>
    <definedName name="_38__123Graph_CCHART_1" hidden="1">#REF!</definedName>
    <definedName name="_39__123Graph_CCHART_11" hidden="1">[4]engineering!$P$16:$T$16</definedName>
    <definedName name="_4____123Graph_C????_1" hidden="1">#REF!</definedName>
    <definedName name="_4____123Graph_Cｸﾞﾗﾌ_1" hidden="1">#REF!</definedName>
    <definedName name="_4__123Graph_ACHART_10" hidden="1">#REF!</definedName>
    <definedName name="_4__123Graph_ACHART_8" hidden="1">'[3]Historical IS'!#REF!</definedName>
    <definedName name="_40__123Graph_CCHART_12" hidden="1">#REF!</definedName>
    <definedName name="_41__123Graph_CCHART_2" hidden="1">#REF!</definedName>
    <definedName name="_42__123Graph_CCHART_20" hidden="1">[4]sga!$P$12:$R$12</definedName>
    <definedName name="_43__123Graph_CCHART_7" hidden="1">[4]revenue!$P$46:$R$46</definedName>
    <definedName name="_44__123Graph_CCHART_8" hidden="1">#REF!</definedName>
    <definedName name="_45__123Graph_DCHART_1" hidden="1">#REF!</definedName>
    <definedName name="_46__123Graph_DCHART_12" hidden="1">#REF!</definedName>
    <definedName name="_47__123Graph_DCHART_2" hidden="1">#REF!</definedName>
    <definedName name="_48__123Graph_DCHART_8" hidden="1">#REF!</definedName>
    <definedName name="_49__123Graph_ECHART_12" hidden="1">#REF!</definedName>
    <definedName name="_5____123Graph_X????_1" hidden="1">#REF!</definedName>
    <definedName name="_5____123Graph_Xｸﾞﾗﾌ_1" hidden="1">#REF!</definedName>
    <definedName name="_5__123Graph_ACHART_11" hidden="1">#REF!</definedName>
    <definedName name="_5__123Graph_BCHART_1" hidden="1">'[3]Historical IS'!#REF!</definedName>
    <definedName name="_50__123Graph_ECHART_2" hidden="1">#REF!</definedName>
    <definedName name="_51__123Graph_Aｸﾞﾗﾌ_1" hidden="1">#REF!</definedName>
    <definedName name="_51__123Graph_ECHART_8" hidden="1">#REF!</definedName>
    <definedName name="_52__123Graph_BIRR_IRR" hidden="1">#REF!</definedName>
    <definedName name="_52__123Graph_FCHART_1" hidden="1">#REF!</definedName>
    <definedName name="_53__123Graph_BMOF_NB" hidden="1">#REF!</definedName>
    <definedName name="_53__123Graph_XCHART_10" hidden="1">#REF!</definedName>
    <definedName name="_54__123Graph_XCHART_11" hidden="1">#REF!</definedName>
    <definedName name="_55__123Graph_XCHART_12" hidden="1">#REF!</definedName>
    <definedName name="_56__123Graph_XCHART_13" hidden="1">#REF!</definedName>
    <definedName name="_57__123Graph_XCHART_14" hidden="1">#REF!</definedName>
    <definedName name="_58__123Graph_XCHART_15" hidden="1">#REF!</definedName>
    <definedName name="_59__123Graph_XCHART_16" hidden="1">[4]engineering!$Q$48:$S$48</definedName>
    <definedName name="_6___123Graph_AIRR_IRR" hidden="1">#REF!</definedName>
    <definedName name="_6__123Graph_ACHART_12" hidden="1">#REF!</definedName>
    <definedName name="_6__123Graph_BCHART_3" hidden="1">'[3]Historical IS'!#REF!</definedName>
    <definedName name="_60__123Graph_XCHART_18" hidden="1">[4]revenue!$P$81:$R$81</definedName>
    <definedName name="_61__123Graph_XCHART_2" hidden="1">#REF!</definedName>
    <definedName name="_62__123Graph_XCHART_20" hidden="1">[4]sga!$P$9:$R$9</definedName>
    <definedName name="_63__123Graph_XCHART_3" hidden="1">#REF!</definedName>
    <definedName name="_64__123Graph_XCHART_4" hidden="1">#REF!</definedName>
    <definedName name="_65__123Graph_XCHART_5" hidden="1">#REF!</definedName>
    <definedName name="_66__123Graph_XCHART_6" hidden="1">#REF!</definedName>
    <definedName name="_67__123Graph_XCHART_7" hidden="1">#REF!</definedName>
    <definedName name="_68_?16??" localSheetId="0" hidden="1">{"'????'!$A$1:$C$37"}</definedName>
    <definedName name="_68_?16??" hidden="1">{"'????'!$A$1:$C$37"}</definedName>
    <definedName name="_68__123Graph_XCHART_8" hidden="1">#REF!</definedName>
    <definedName name="_69__123Graph_XCHART_9" hidden="1">#REF!</definedName>
    <definedName name="_7_????" localSheetId="0" hidden="1">{"'?????10.27??????'!$Q$16"}</definedName>
    <definedName name="_7_????" hidden="1">{"'?????10.27??????'!$Q$16"}</definedName>
    <definedName name="_7___123Graph_BIRR_IRR" hidden="1">#REF!</definedName>
    <definedName name="_7__123Graph_ACHART_13" hidden="1">#REF!</definedName>
    <definedName name="_7__123Graph_BCHART_4" hidden="1">'[3]Historical IS'!#REF!</definedName>
    <definedName name="_78__123Graph_Bｸﾞﾗﾌ_1" hidden="1">#REF!</definedName>
    <definedName name="_8_?????" localSheetId="0" hidden="1">{"DCF-???",#N/A,TRUE,"???";"DCF-??",#N/A,TRUE,"??";"DCF-??",#N/A,TRUE,"??";"DCF-??",#N/A,TRUE,"??";"DCF-??",#N/A,TRUE,"??";"DCF-??",#N/A,TRUE,"??";"DCF-??",#N/A,TRUE,"??";"DCF-??",#N/A,TRUE,"??";"DCF-??",#N/A,TRUE,"??"}</definedName>
    <definedName name="_8_?????" hidden="1">{"DCF-???",#N/A,TRUE,"???";"DCF-??",#N/A,TRUE,"??";"DCF-??",#N/A,TRUE,"??";"DCF-??",#N/A,TRUE,"??";"DCF-??",#N/A,TRUE,"??";"DCF-??",#N/A,TRUE,"??";"DCF-??",#N/A,TRUE,"??";"DCF-??",#N/A,TRUE,"??";"DCF-??",#N/A,TRUE,"??"}</definedName>
    <definedName name="_8___123Graph_BMOF_NB" hidden="1">#REF!</definedName>
    <definedName name="_8__123Graph_ACHART_14" hidden="1">#REF!</definedName>
    <definedName name="_8__123Graph_BCHART_8" hidden="1">'[3]Historical IS'!#REF!</definedName>
    <definedName name="_9_??????" localSheetId="0" hidden="1">{"'?????10.27??????'!$Q$16"}</definedName>
    <definedName name="_9_??????" hidden="1">{"'?????10.27??????'!$Q$16"}</definedName>
    <definedName name="_9___123Graph_D????_1" hidden="1">#REF!</definedName>
    <definedName name="_9___123Graph_Dｸﾞﾗﾌ_1" hidden="1">#REF!</definedName>
    <definedName name="_9__123Graph_ACHART_15" hidden="1">#REF!</definedName>
    <definedName name="_9__123Graph_CCHART_1" hidden="1">'[3]Historical IS'!#REF!</definedName>
    <definedName name="_DF4" hidden="1">#REF!</definedName>
    <definedName name="_Fill" hidden="1">#REF!</definedName>
    <definedName name="_xlnm._FilterDatabase" localSheetId="0" hidden="1">'CONTROL ACCESO HIKVISION'!$A$1:$J$25</definedName>
    <definedName name="_xlnm._FilterDatabase" hidden="1">'[5]46W9'!#REF!</definedName>
    <definedName name="_Key2" hidden="1">#REF!</definedName>
    <definedName name="_o1" localSheetId="0" hidden="1">{#N/A,#N/A,FALSE,"SUMMARY";#N/A,#N/A,FALSE,"mcsh";#N/A,#N/A,FALSE,"vol&amp;rev";#N/A,#N/A,FALSE,"wkgcap";#N/A,#N/A,FALSE,"DEPR&amp;DT";#N/A,#N/A,FALSE,"ASSETS";#N/A,#N/A,FALSE,"NI&amp;OTH&amp;DIV";#N/A,#N/A,FALSE,"CASHFLOW";#N/A,#N/A,FALSE,"CAPEMPL";#N/A,#N/A,FALSE,"ROCE"}</definedName>
    <definedName name="_o1" hidden="1">{#N/A,#N/A,FALSE,"SUMMARY";#N/A,#N/A,FALSE,"mcsh";#N/A,#N/A,FALSE,"vol&amp;rev";#N/A,#N/A,FALSE,"wkgcap";#N/A,#N/A,FALSE,"DEPR&amp;DT";#N/A,#N/A,FALSE,"ASSETS";#N/A,#N/A,FALSE,"NI&amp;OTH&amp;DIV";#N/A,#N/A,FALSE,"CASHFLOW";#N/A,#N/A,FALSE,"CAPEMPL";#N/A,#N/A,FALSE,"ROCE"}</definedName>
    <definedName name="_Order1" hidden="1">255</definedName>
    <definedName name="_Order2" hidden="1">255</definedName>
    <definedName name="a" localSheetId="0" hidden="1">{#N/A,#N/A,FALSE,"TOTFINAL";#N/A,#N/A,FALSE,"FINPLAN";#N/A,#N/A,FALSE,"TOTMOTADJ";#N/A,#N/A,FALSE,"tieEQ";#N/A,#N/A,FALSE,"G";#N/A,#N/A,FALSE,"ELIMS";#N/A,#N/A,FALSE,"NEXTEL ADJ";#N/A,#N/A,FALSE,"MIMS";#N/A,#N/A,FALSE,"LMPS";#N/A,#N/A,FALSE,"CNSS";#N/A,#N/A,FALSE,"CSS";#N/A,#N/A,FALSE,"MCG";#N/A,#N/A,FALSE,"AECS";#N/A,#N/A,FALSE,"SPS";#N/A,#N/A,FALSE,"CORP"}</definedName>
    <definedName name="a" hidden="1">{#N/A,#N/A,FALSE,"TOTFINAL";#N/A,#N/A,FALSE,"FINPLAN";#N/A,#N/A,FALSE,"TOTMOTADJ";#N/A,#N/A,FALSE,"tieEQ";#N/A,#N/A,FALSE,"G";#N/A,#N/A,FALSE,"ELIMS";#N/A,#N/A,FALSE,"NEXTEL ADJ";#N/A,#N/A,FALSE,"MIMS";#N/A,#N/A,FALSE,"LMPS";#N/A,#N/A,FALSE,"CNSS";#N/A,#N/A,FALSE,"CSS";#N/A,#N/A,FALSE,"MCG";#N/A,#N/A,FALSE,"AECS";#N/A,#N/A,FALSE,"SPS";#N/A,#N/A,FALSE,"CORP"}</definedName>
    <definedName name="ando" localSheetId="0" hidden="1">{"'下期集計（10.27迄・速報値）'!$Q$16"}</definedName>
    <definedName name="ando" hidden="1">{"'下期集計（10.27迄・速報値）'!$Q$16"}</definedName>
    <definedName name="anscount" hidden="1">3</definedName>
    <definedName name="_xlnm.Print_Area" localSheetId="0">Tabla18[[#All],[REFERENCIA]:[PRECIO CLIENTE FINAL ( CON  IVA)]]</definedName>
    <definedName name="AS2DocOpenMode" hidden="1">"AS2DocumentEdit"</definedName>
    <definedName name="AS2HasNoAutoHeaderFooter" hidden="1">" "</definedName>
    <definedName name="asdf" localSheetId="0" hidden="1">{"'年間台数'!$A$1:$K$20","'中古車登録台数'!$A$1:$I$39"}</definedName>
    <definedName name="asdf" hidden="1">{"'年間台数'!$A$1:$K$20","'中古車登録台数'!$A$1:$I$39"}</definedName>
    <definedName name="BLPH1" hidden="1">'[6]Data sheet'!$A$4</definedName>
    <definedName name="BLPH10" hidden="1">'[6]Data sheet'!$AB$4</definedName>
    <definedName name="BLPH11" hidden="1">'[6]Data sheet'!$AE$4</definedName>
    <definedName name="BLPH12" hidden="1">'[6]Data sheet'!$AH$4</definedName>
    <definedName name="BLPH2" hidden="1">'[6]Data sheet'!$D$4</definedName>
    <definedName name="BLPH3" hidden="1">'[6]Data sheet'!$G$4</definedName>
    <definedName name="BLPH4" hidden="1">'[6]Data sheet'!$J$4</definedName>
    <definedName name="BLPH5" hidden="1">'[6]Data sheet'!$M$4</definedName>
    <definedName name="BLPH6" hidden="1">'[6]Data sheet'!$P$4</definedName>
    <definedName name="BLPH7" hidden="1">'[6]Data sheet'!$S$4</definedName>
    <definedName name="BLPH8" hidden="1">'[6]Data sheet'!$V$4</definedName>
    <definedName name="BLPH9" hidden="1">'[6]Data sheet'!$Y$4</definedName>
    <definedName name="Bridge" localSheetId="0" hidden="1">{"'Highlights'!$A$1:$M$123"}</definedName>
    <definedName name="Bridge" hidden="1">{"'Highlights'!$A$1:$M$123"}</definedName>
    <definedName name="CARLOS" localSheetId="0" hidden="1">{#N/A,#N/A,TRUE,"A"}</definedName>
    <definedName name="CARLOS" hidden="1">{#N/A,#N/A,TRUE,"A"}</definedName>
    <definedName name="cb_sChartE2218BA_opts" hidden="1">"1, 4, 1, False, 2, False, False, , 0, False, True, 1, 1"</definedName>
    <definedName name="cb_sChartE221ADA_opts" hidden="1">"1, 5, 1, False, 2, False, False, , 0, False, False, 1, 1"</definedName>
    <definedName name="CBWorkbookPriority" hidden="1">-61538533</definedName>
    <definedName name="chiho" localSheetId="0" hidden="1">{"'下期集計（10.27迄・速報値）'!$Q$16"}</definedName>
    <definedName name="chiho" hidden="1">{"'下期集計（10.27迄・速報値）'!$Q$16"}</definedName>
    <definedName name="cover" hidden="1">#REF!</definedName>
    <definedName name="efg" localSheetId="0" hidden="1">{#N/A,#N/A,TRUE,"A"}</definedName>
    <definedName name="efg" hidden="1">{#N/A,#N/A,TRUE,"A"}</definedName>
    <definedName name="fds" localSheetId="0" hidden="1">{"'下期集計（10.27迄・速報値）'!$Q$16"}</definedName>
    <definedName name="fds" hidden="1">{"'下期集計（10.27迄・速報値）'!$Q$16"}</definedName>
    <definedName name="ｇ" localSheetId="0" hidden="1">{"'下期集計（10.27迄・速報値）'!$Q$16"}</definedName>
    <definedName name="ｇ" hidden="1">{"'下期集計（10.27迄・速報値）'!$Q$16"}</definedName>
    <definedName name="gd" localSheetId="0" hidden="1">{"'下期集計（10.27迄・速報値）'!$Q$16"}</definedName>
    <definedName name="gd" hidden="1">{"'下期集計（10.27迄・速報値）'!$Q$16"}</definedName>
    <definedName name="gda" localSheetId="0" hidden="1">{"'下期集計（10.27迄・速報値）'!$Q$16"}</definedName>
    <definedName name="gda" hidden="1">{"'下期集計（10.27迄・速報値）'!$Q$16"}</definedName>
    <definedName name="gdsa" localSheetId="0" hidden="1">{"'下期集計（10.27迄・速報値）'!$Q$16"}</definedName>
    <definedName name="gdsa" hidden="1">{"'下期集計（10.27迄・速報値）'!$Q$16"}</definedName>
    <definedName name="gh" localSheetId="0" hidden="1">{"'Highlights'!$A$1:$M$123"}</definedName>
    <definedName name="gh" hidden="1">{"'Highlights'!$A$1:$M$123"}</definedName>
    <definedName name="ｈ" localSheetId="0" hidden="1">{"'下期集計（10.27迄・速報値）'!$Q$16"}</definedName>
    <definedName name="ｈ" hidden="1">{"'下期集計（10.27迄・速報値）'!$Q$16"}</definedName>
    <definedName name="H16?1??" localSheetId="0" hidden="1">{"'????'!$A$1:$C$37"}</definedName>
    <definedName name="H16?1??" hidden="1">{"'????'!$A$1:$C$37"}</definedName>
    <definedName name="Ｈ16・１" localSheetId="0" hidden="1">{"'コメント'!$A$1:$C$37"}</definedName>
    <definedName name="Ｈ16・１" hidden="1">{"'コメント'!$A$1:$C$37"}</definedName>
    <definedName name="H16･1速報" localSheetId="0" hidden="1">{"'コメント'!$A$1:$C$37"}</definedName>
    <definedName name="H16･1速報" hidden="1">{"'コメント'!$A$1:$C$37"}</definedName>
    <definedName name="HTM_Control" localSheetId="0" hidden="1">{"'下期集計（10.27迄・速報値）'!$Q$16"}</definedName>
    <definedName name="HTM_Control" hidden="1">{"'下期集計（10.27迄・速報値）'!$Q$16"}</definedName>
    <definedName name="ＨＴＭＬ" localSheetId="0" hidden="1">{"'コメント'!$A$1:$C$37"}</definedName>
    <definedName name="ＨＴＭＬ" hidden="1">{"'コメント'!$A$1:$C$37"}</definedName>
    <definedName name="HTML_CodePage" hidden="1">1252</definedName>
    <definedName name="HTML_Control" localSheetId="0" hidden="1">{"'Highlights'!$A$1:$M$123"}</definedName>
    <definedName name="HTML_Control" hidden="1">{"'Highlights'!$A$1:$M$123"}</definedName>
    <definedName name="HTML_Description" hidden="1">""</definedName>
    <definedName name="HTML_Email" hidden="1">"scottt@phx.mcd.mot.com"</definedName>
    <definedName name="HTML_Header" hidden="1">"Highlights"</definedName>
    <definedName name="HTML_LastUpdate" hidden="1">"6/24/97"</definedName>
    <definedName name="HTML_LineAfter" hidden="1">FALSE</definedName>
    <definedName name="HTML_LineBefore" hidden="1">TRUE</definedName>
    <definedName name="HTML_Name" hidden="1">"Scott Traasdahl"</definedName>
    <definedName name="HTML_OBDlg2" hidden="1">TRUE</definedName>
    <definedName name="HTML_OBDlg4" hidden="1">TRUE</definedName>
    <definedName name="HTML_OS" hidden="1">0</definedName>
    <definedName name="HTML_PathFile" hidden="1">"H:\scottt\Analysis\Ops Review\MyHTML.htm"</definedName>
    <definedName name="HTML_Title" hidden="1">"97JunOpsRvw"</definedName>
    <definedName name="hyousi" hidden="1">#REF!</definedName>
    <definedName name="INDICADOR_COLUMNA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40809.7705439815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39482.4188773148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i" localSheetId="0" hidden="1">{"'Highlights'!$A$1:$M$123"}</definedName>
    <definedName name="ji" hidden="1">{"'Highlights'!$A$1:$M$123"}</definedName>
    <definedName name="k" localSheetId="0" hidden="1">{"'下期集計（10.27迄・速報値）'!$Q$16"}</definedName>
    <definedName name="k" hidden="1">{"'下期集計（10.27迄・速報値）'!$Q$16"}</definedName>
    <definedName name="kjh" localSheetId="0" hidden="1">{#N/A,#N/A,TRUE,"A"}</definedName>
    <definedName name="kjh" hidden="1">{#N/A,#N/A,TRUE,"A"}</definedName>
    <definedName name="kjl" localSheetId="0" hidden="1">{#N/A,#N/A,FALSE,"TOTFINAL";#N/A,#N/A,FALSE,"FINPLAN";#N/A,#N/A,FALSE,"TOTMOTADJ";#N/A,#N/A,FALSE,"tieEQ";#N/A,#N/A,FALSE,"G";#N/A,#N/A,FALSE,"ELIMS";#N/A,#N/A,FALSE,"NEXTEL ADJ";#N/A,#N/A,FALSE,"MIMS";#N/A,#N/A,FALSE,"LMPS";#N/A,#N/A,FALSE,"CNSS";#N/A,#N/A,FALSE,"CSS";#N/A,#N/A,FALSE,"MCG";#N/A,#N/A,FALSE,"AECS";#N/A,#N/A,FALSE,"SPS";#N/A,#N/A,FALSE,"CORP"}</definedName>
    <definedName name="kjl" hidden="1">{#N/A,#N/A,FALSE,"TOTFINAL";#N/A,#N/A,FALSE,"FINPLAN";#N/A,#N/A,FALSE,"TOTMOTADJ";#N/A,#N/A,FALSE,"tieEQ";#N/A,#N/A,FALSE,"G";#N/A,#N/A,FALSE,"ELIMS";#N/A,#N/A,FALSE,"NEXTEL ADJ";#N/A,#N/A,FALSE,"MIMS";#N/A,#N/A,FALSE,"LMPS";#N/A,#N/A,FALSE,"CNSS";#N/A,#N/A,FALSE,"CSS";#N/A,#N/A,FALSE,"MCG";#N/A,#N/A,FALSE,"AECS";#N/A,#N/A,FALSE,"SPS";#N/A,#N/A,FALSE,"CORP"}</definedName>
    <definedName name="kk" localSheetId="0" hidden="1">{"'下期集計（10.27迄・速報値）'!$Q$16"}</definedName>
    <definedName name="kk" hidden="1">{"'下期集計（10.27迄・速報値）'!$Q$16"}</definedName>
    <definedName name="kkk" localSheetId="0" hidden="1">{"'下期集計（10.27迄・速報値）'!$Q$16"}</definedName>
    <definedName name="kkk" hidden="1">{"'下期集計（10.27迄・速報値）'!$Q$16"}</definedName>
    <definedName name="lio" localSheetId="0" hidden="1">{#N/A,#N/A,TRUE,"A"}</definedName>
    <definedName name="lio" hidden="1">{#N/A,#N/A,TRUE,"A"}</definedName>
    <definedName name="LISTA">#REF!</definedName>
    <definedName name="ListOffset" hidden="1">1</definedName>
    <definedName name="MBAS" localSheetId="0" hidden="1">{"'ADV&amp;DP'!$A$4:$C$25"}</definedName>
    <definedName name="MBAS" hidden="1">{"'ADV&amp;DP'!$A$4:$C$25"}</definedName>
    <definedName name="mbs" localSheetId="0" hidden="1">{"'ADV&amp;DP'!$A$4:$C$25"}</definedName>
    <definedName name="mbs" hidden="1">{"'ADV&amp;DP'!$A$4:$C$25"}</definedName>
    <definedName name="MKK" localSheetId="0" hidden="1">{"'下期集計（10.27迄・速報値）'!$Q$16"}</definedName>
    <definedName name="MKK" hidden="1">{"'下期集計（10.27迄・速報値）'!$Q$16"}</definedName>
    <definedName name="mmm" localSheetId="0" hidden="1">{"'ADV&amp;DP'!$A$4:$C$25"}</definedName>
    <definedName name="mmm" hidden="1">{"'ADV&amp;DP'!$A$4:$C$25"}</definedName>
    <definedName name="MOBILE" localSheetId="0" hidden="1">{"'ADV&amp;DP'!$A$4:$C$25"}</definedName>
    <definedName name="MOBILE" hidden="1">{"'ADV&amp;DP'!$A$4:$C$25"}</definedName>
    <definedName name="n" localSheetId="0" hidden="1">{"'下期集計（10.27迄・速報値）'!$Q$16"}</definedName>
    <definedName name="n" hidden="1">{"'下期集計（10.27迄・速報値）'!$Q$16"}</definedName>
    <definedName name="new" localSheetId="0" hidden="1">{"'Highlights'!$A$1:$M$123"}</definedName>
    <definedName name="new" hidden="1">{"'Highlights'!$A$1:$M$123"}</definedName>
    <definedName name="nm" localSheetId="0" hidden="1">{#N/A,#N/A,TRUE,"A"}</definedName>
    <definedName name="nm" hidden="1">{#N/A,#N/A,TRUE,"A"}</definedName>
    <definedName name="ñlo" localSheetId="0" hidden="1">{#N/A,#N/A,TRUE,"A"}</definedName>
    <definedName name="ñlo" hidden="1">{#N/A,#N/A,TRUE,"A"}</definedName>
    <definedName name="ñp" localSheetId="0" hidden="1">{#N/A,#N/A,TRUE,"A"}</definedName>
    <definedName name="ñp" hidden="1">{#N/A,#N/A,TRUE,"A"}</definedName>
    <definedName name="oi" localSheetId="0" hidden="1">{#N/A,#N/A,TRUE,"A"}</definedName>
    <definedName name="oi" hidden="1">{#N/A,#N/A,TRUE,"A"}</definedName>
    <definedName name="ok" localSheetId="0" hidden="1">{"'Highlights'!$A$1:$M$123"}</definedName>
    <definedName name="ok" hidden="1">{"'Highlights'!$A$1:$M$123"}</definedName>
    <definedName name="PANELES">#REF!</definedName>
    <definedName name="piu" localSheetId="0" hidden="1">{#N/A,#N/A,TRUE,"A"}</definedName>
    <definedName name="piu" hidden="1">{#N/A,#N/A,TRUE,"A"}</definedName>
    <definedName name="plo" localSheetId="0" hidden="1">{#N/A,#N/A,TRUE,"A"}</definedName>
    <definedName name="plo" hidden="1">{#N/A,#N/A,TRUE,"A"}</definedName>
    <definedName name="po" localSheetId="0" hidden="1">{#N/A,#N/A,TRUE,"A"}</definedName>
    <definedName name="po" hidden="1">{#N/A,#N/A,TRUE,"A"}</definedName>
    <definedName name="PTSB" localSheetId="0" hidden="1">{"'Highlights'!$A$1:$M$123"}</definedName>
    <definedName name="PTSB" hidden="1">{"'Highlights'!$A$1:$M$123"}</definedName>
    <definedName name="Q2Fcst" localSheetId="0" hidden="1">{#N/A,#N/A,FALSE,"TOTFINAL";#N/A,#N/A,FALSE,"FINPLAN";#N/A,#N/A,FALSE,"TOTMOTADJ";#N/A,#N/A,FALSE,"tieEQ";#N/A,#N/A,FALSE,"G";#N/A,#N/A,FALSE,"ELIMS";#N/A,#N/A,FALSE,"NEXTEL ADJ";#N/A,#N/A,FALSE,"MIMS";#N/A,#N/A,FALSE,"LMPS";#N/A,#N/A,FALSE,"CNSS";#N/A,#N/A,FALSE,"CSS";#N/A,#N/A,FALSE,"MCG";#N/A,#N/A,FALSE,"AECS";#N/A,#N/A,FALSE,"SPS";#N/A,#N/A,FALSE,"CORP"}</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w" localSheetId="0" hidden="1">{"'下期集計（10.27迄・速報値）'!$Q$16"}</definedName>
    <definedName name="qw" hidden="1">{"'下期集計（10.27迄・速報値）'!$Q$16"}</definedName>
    <definedName name="ＲＡＲＯＡ" localSheetId="0" hidden="1">{"'下期集計（10.27迄・速報値）'!$Q$16"}</definedName>
    <definedName name="ＲＡＲＯＡ" hidden="1">{"'下期集計（10.27迄・速報値）'!$Q$16"}</definedName>
    <definedName name="RETENCION">'[7]Cálculo LPVta Cambium'!$AA$4</definedName>
    <definedName name="rfg" localSheetId="0" hidden="1">{#N/A,#N/A,TRUE,"A"}</definedName>
    <definedName name="rfg" hidden="1">{#N/A,#N/A,TRUE,"A"}</definedName>
    <definedName name="SAPBEXdnldView" hidden="1">"4X7PHJJ3EF70UJ33CI6YVQIOV"</definedName>
    <definedName name="SAPBEXsysID" hidden="1">"PBK"</definedName>
    <definedName name="SCOG" localSheetId="0" hidden="1">{"'ADV&amp;DP'!$A$4:$C$25"}</definedName>
    <definedName name="SCOG" hidden="1">{"'ADV&amp;DP'!$A$4:$C$25"}</definedName>
    <definedName name="sencount" hidden="1">1</definedName>
    <definedName name="sfgasd" localSheetId="0"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olver_adj" hidden="1">#REF!</definedName>
    <definedName name="solver_lin" hidden="1">0</definedName>
    <definedName name="solver_num" hidden="1">0</definedName>
    <definedName name="solver_opt" hidden="1">#REF!</definedName>
    <definedName name="solver_typ" hidden="1">3</definedName>
    <definedName name="solver_val" hidden="1">0.6</definedName>
    <definedName name="stp">[8]Resumen_Inv!$I$66</definedName>
    <definedName name="t" localSheetId="0" hidden="1">{"'下期集計（10.27迄・速報値）'!$Q$16"}</definedName>
    <definedName name="t" hidden="1">{"'下期集計（10.27迄・速報値）'!$Q$16"}</definedName>
    <definedName name="tyh" localSheetId="0" hidden="1">{#N/A,#N/A,TRUE,"A"}</definedName>
    <definedName name="tyh" hidden="1">{#N/A,#N/A,TRUE,"A"}</definedName>
    <definedName name="v" localSheetId="0" hidden="1">{#N/A,#N/A,FALSE,"TOTFINAL";#N/A,#N/A,FALSE,"FINPLAN";#N/A,#N/A,FALSE,"TOTMOTADJ";#N/A,#N/A,FALSE,"tieEQ";#N/A,#N/A,FALSE,"G";#N/A,#N/A,FALSE,"ELIMS";#N/A,#N/A,FALSE,"NEXTEL ADJ";#N/A,#N/A,FALSE,"MIMS";#N/A,#N/A,FALSE,"LMPS";#N/A,#N/A,FALSE,"CNSS";#N/A,#N/A,FALSE,"CSS";#N/A,#N/A,FALSE,"MCG";#N/A,#N/A,FALSE,"AECS";#N/A,#N/A,FALSE,"SPS";#N/A,#N/A,FALSE,"CORP"}</definedName>
    <definedName name="v" hidden="1">{#N/A,#N/A,FALSE,"TOTFINAL";#N/A,#N/A,FALSE,"FINPLAN";#N/A,#N/A,FALSE,"TOTMOTADJ";#N/A,#N/A,FALSE,"tieEQ";#N/A,#N/A,FALSE,"G";#N/A,#N/A,FALSE,"ELIMS";#N/A,#N/A,FALSE,"NEXTEL ADJ";#N/A,#N/A,FALSE,"MIMS";#N/A,#N/A,FALSE,"LMPS";#N/A,#N/A,FALSE,"CNSS";#N/A,#N/A,FALSE,"CSS";#N/A,#N/A,FALSE,"MCG";#N/A,#N/A,FALSE,"AECS";#N/A,#N/A,FALSE,"SPS";#N/A,#N/A,FALSE,"CORP"}</definedName>
    <definedName name="vbn" localSheetId="0" hidden="1">{#N/A,#N/A,TRUE,"A"}</definedName>
    <definedName name="vbn" hidden="1">{#N/A,#N/A,TRUE,"A"}</definedName>
    <definedName name="w" localSheetId="0" hidden="1">{"'下期集計（10.27迄・速報値）'!$Q$16"}</definedName>
    <definedName name="w" hidden="1">{"'下期集計（10.27迄・速報値）'!$Q$16"}</definedName>
    <definedName name="wrn.???." localSheetId="0" hidden="1">{"DCF-???",#N/A,TRUE,"???";"FS-???",#N/A,TRUE,"???";"DCF-??",#N/A,TRUE,"??";"FS-??",#N/A,TRUE,"??";"DCF-??",#N/A,TRUE,"??";"FS-??",#N/A,TRUE,"??";"DCF-??",#N/A,TRUE,"??";"FS-??",#N/A,TRUE,"??";"DCF-??",#N/A,TRUE,"??";"FS-??",#N/A,TRUE,"??";"DCF-??",#N/A,TRUE,"??";"FS-??",#N/A,TRUE,"??";"DCF-??",#N/A,TRUE,"??";"FS-??",#N/A,TRUE,"??";"DCF-??",#N/A,TRUE,"??";"FS-??",#N/A,TRUE,"??";"DCF-??",#N/A,TRUE,"??";"FS-??",#N/A,TRUE,"??"}</definedName>
    <definedName name="wrn.???." hidden="1">{"DCF-???",#N/A,TRUE,"???";"FS-???",#N/A,TRUE,"???";"DCF-??",#N/A,TRUE,"??";"FS-??",#N/A,TRUE,"??";"DCF-??",#N/A,TRUE,"??";"FS-??",#N/A,TRUE,"??";"DCF-??",#N/A,TRUE,"??";"FS-??",#N/A,TRUE,"??";"DCF-??",#N/A,TRUE,"??";"FS-??",#N/A,TRUE,"??";"DCF-??",#N/A,TRUE,"??";"FS-??",#N/A,TRUE,"??";"DCF-??",#N/A,TRUE,"??";"FS-??",#N/A,TRUE,"??";"DCF-??",#N/A,TRUE,"??";"FS-??",#N/A,TRUE,"??";"DCF-??",#N/A,TRUE,"??";"FS-??",#N/A,TRUE,"??"}</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_.Sheets." localSheetId="0" hidden="1">{#N/A,#N/A,FALSE,"1997 WW (Short)";#N/A,#N/A,FALSE,"1997 RF Mfg";#N/A,#N/A,FALSE,"Ancillary-CSM";#N/A,#N/A,FALSE,"1997 Service"}</definedName>
    <definedName name="wrn.All._.Sheets." hidden="1">{#N/A,#N/A,FALSE,"1997 WW (Short)";#N/A,#N/A,FALSE,"1997 RF Mfg";#N/A,#N/A,FALSE,"Ancillary-CSM";#N/A,#N/A,FALSE,"1997 Service"}</definedName>
    <definedName name="wrn.AR._.Meeting._.Schedules." localSheetId="0"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CIPG._.All._.Sheets." localSheetId="0"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localSheetId="0"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localSheetId="0" hidden="1">{#N/A,#N/A,FALSE,"4-up charts p.1";#N/A,#N/A,FALSE,"4-up charts p.2";#N/A,#N/A,FALSE," rate of ? qtr";#N/A,#N/A,FALSE,"Detail Rel rate of ? ";#N/A,#N/A,FALSE,"Inventory"}</definedName>
    <definedName name="wrn.CIPG._.Color._.Charts." hidden="1">{#N/A,#N/A,FALSE,"4-up charts p.1";#N/A,#N/A,FALSE,"4-up charts p.2";#N/A,#N/A,FALSE," rate of ? qtr";#N/A,#N/A,FALSE,"Detail Rel rate of ? ";#N/A,#N/A,FALSE,"Inventory"}</definedName>
    <definedName name="wrn.DCF????." localSheetId="0" hidden="1">{"DCF-???",#N/A,TRUE,"???";"DCF-??",#N/A,TRUE,"??";"DCF-??",#N/A,TRUE,"??";"DCF-??",#N/A,TRUE,"??";"DCF-??",#N/A,TRUE,"??";"DCF-??",#N/A,TRUE,"??";"DCF-??",#N/A,TRUE,"??";"DCF-??",#N/A,TRUE,"??";"DCF-??",#N/A,TRUE,"??"}</definedName>
    <definedName name="wrn.DCF????." hidden="1">{"DCF-???",#N/A,TRUE,"???";"DCF-??",#N/A,TRUE,"??";"DCF-??",#N/A,TRUE,"??";"DCF-??",#N/A,TRUE,"??";"DCF-??",#N/A,TRUE,"??";"DCF-??",#N/A,TRUE,"??";"DCF-??",#N/A,TRUE,"??";"DCF-??",#N/A,TRUE,"??";"DCF-??",#N/A,TRUE,"??"}</definedName>
    <definedName name="wrn.DCF一括印刷." localSheetId="0" hidden="1">{"DCF-北海道",#N/A,TRUE,"北海道";"DCF-東北",#N/A,TRUE,"東北";"DCF-東海",#N/A,TRUE,"東海";"DCF-北陸",#N/A,TRUE,"北陸";"DCF-関西",#N/A,TRUE,"関西";"DCF-中国",#N/A,TRUE,"中国";"DCF-四国",#N/A,TRUE,"四国";"DCF-九州",#N/A,TRUE,"九州";"DCF-連結",#N/A,TRUE,"連結"}</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EAN2." localSheetId="0" hidden="1">{#N/A,#N/A,TRUE,"A"}</definedName>
    <definedName name="wrn.EAN2." hidden="1">{#N/A,#N/A,TRUE,"A"}</definedName>
    <definedName name="wrn.EAN3" localSheetId="0" hidden="1">{#N/A,#N/A,TRUE,"A"}</definedName>
    <definedName name="wrn.EAN3" hidden="1">{#N/A,#N/A,TRUE,"A"}</definedName>
    <definedName name="wrn.FS????." localSheetId="0" hidden="1">{"FS-???",#N/A,TRUE,"???";"FS-??",#N/A,TRUE,"??";"FS-??",#N/A,TRUE,"??";"FS-??",#N/A,TRUE,"??";"FS-??",#N/A,TRUE,"??";"FS-??",#N/A,TRUE,"??";"FS-??",#N/A,TRUE,"??";"FS-??",#N/A,TRUE,"??";"FS-??",#N/A,TRUE,"??"}</definedName>
    <definedName name="wrn.FS????." hidden="1">{"FS-???",#N/A,TRUE,"???";"FS-??",#N/A,TRUE,"??";"FS-??",#N/A,TRUE,"??";"FS-??",#N/A,TRUE,"??";"FS-??",#N/A,TRUE,"??";"FS-??",#N/A,TRUE,"??";"FS-??",#N/A,TRUE,"??";"FS-??",#N/A,TRUE,"??";"FS-??",#N/A,TRUE,"??"}</definedName>
    <definedName name="wrn.FS一括印刷." localSheetId="0" hidden="1">{"FS-北海道",#N/A,TRUE,"北海道";"FS-東北",#N/A,TRUE,"東北";"FS-東海",#N/A,TRUE,"東海";"FS-北陸",#N/A,TRUE,"北陸";"FS-関西",#N/A,TRUE,"関西";"FS-中国",#N/A,TRUE,"中国";"FS-四国",#N/A,TRUE,"四国";"FS-九州",#N/A,TRUE,"九州";"FS-連結",#N/A,TRUE,"連結"}</definedName>
    <definedName name="wrn.FS一括印刷." hidden="1">{"FS-北海道",#N/A,TRUE,"北海道";"FS-東北",#N/A,TRUE,"東北";"FS-東海",#N/A,TRUE,"東海";"FS-北陸",#N/A,TRUE,"北陸";"FS-関西",#N/A,TRUE,"関西";"FS-中国",#N/A,TRUE,"中国";"FS-四国",#N/A,TRUE,"四国";"FS-九州",#N/A,TRUE,"九州";"FS-連結",#N/A,TRUE,"連結"}</definedName>
    <definedName name="wrn.Outlook._.Report." localSheetId="0" hidden="1">{#N/A,#N/A,FALSE,"Outlook for Month ";#N/A,#N/A,FALSE,"Risk for Month ";#N/A,#N/A,FALSE,"Upside for Month"}</definedName>
    <definedName name="wrn.Outlook._.Report." hidden="1">{#N/A,#N/A,FALSE,"Outlook for Month ";#N/A,#N/A,FALSE,"Risk for Month ";#N/A,#N/A,FALSE,"Upside for Month"}</definedName>
    <definedName name="wrn.RPT." localSheetId="0"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全印刷." localSheetId="0"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rn.全印刷."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s" localSheetId="0" hidden="1">{#N/A,#N/A,TRUE,"A"}</definedName>
    <definedName name="ws" hidden="1">{#N/A,#N/A,TRUE,"A"}</definedName>
    <definedName name="yhu" localSheetId="0" hidden="1">{#N/A,#N/A,TRUE,"A"}</definedName>
    <definedName name="yhu" hidden="1">{#N/A,#N/A,TRUE,"A"}</definedName>
    <definedName name="ｚ" localSheetId="0" hidden="1">{"'下期集計（10.27迄・速報値）'!$Q$16"}</definedName>
    <definedName name="ｚ" hidden="1">{"'下期集計（10.27迄・速報値）'!$Q$16"}</definedName>
    <definedName name="Z_086A872D_15DF_436A_8459_CE22F6819FF4_.wvu.Rows" hidden="1">[5]Presentacion!#REF!</definedName>
    <definedName name="Z_D55C8B2E_861A_459E_9D09_3AF38A1DE99E_.wvu.Rows" hidden="1">[5]Presentacion!#REF!</definedName>
    <definedName name="Z_F540D718_D9AA_403F_AE49_60D937FD77E5_.wvu.Rows" hidden="1">[5]Presentacion!#REF!</definedName>
    <definedName name="zz" localSheetId="0" hidden="1">{#N/A,#N/A,FALSE,"TOTFINAL";#N/A,#N/A,FALSE,"FINPLAN";#N/A,#N/A,FALSE,"TOTMOTADJ";#N/A,#N/A,FALSE,"tieEQ";#N/A,#N/A,FALSE,"G";#N/A,#N/A,FALSE,"ELIMS";#N/A,#N/A,FALSE,"NEXTEL ADJ";#N/A,#N/A,FALSE,"MIMS";#N/A,#N/A,FALSE,"LMPS";#N/A,#N/A,FALSE,"CNSS";#N/A,#N/A,FALSE,"CSS";#N/A,#N/A,FALSE,"MCG";#N/A,#N/A,FALSE,"AECS";#N/A,#N/A,FALSE,"SPS";#N/A,#N/A,FALSE,"CORP"}</definedName>
    <definedName name="zz" hidden="1">{#N/A,#N/A,FALSE,"TOTFINAL";#N/A,#N/A,FALSE,"FINPLAN";#N/A,#N/A,FALSE,"TOTMOTADJ";#N/A,#N/A,FALSE,"tieEQ";#N/A,#N/A,FALSE,"G";#N/A,#N/A,FALSE,"ELIMS";#N/A,#N/A,FALSE,"NEXTEL ADJ";#N/A,#N/A,FALSE,"MIMS";#N/A,#N/A,FALSE,"LMPS";#N/A,#N/A,FALSE,"CNSS";#N/A,#N/A,FALSE,"CSS";#N/A,#N/A,FALSE,"MCG";#N/A,#N/A,FALSE,"AECS";#N/A,#N/A,FALSE,"SPS";#N/A,#N/A,FALSE,"CORP"}</definedName>
    <definedName name="ぁ" localSheetId="0" hidden="1">{"'下期集計（10.27迄・速報値）'!$Q$16"}</definedName>
    <definedName name="ぁ" hidden="1">{"'下期集計（10.27迄・速報値）'!$Q$16"}</definedName>
    <definedName name="あ" localSheetId="0" hidden="1">{"'下期集計（10.27迄・速報値）'!$Q$16"}</definedName>
    <definedName name="あ" hidden="1">{"'下期集計（10.27迄・速報値）'!$Q$16"}</definedName>
    <definedName name="あああ" localSheetId="0" hidden="1">{"'下期集計（10.27迄・速報値）'!$Q$16"}</definedName>
    <definedName name="あああ" hidden="1">{"'下期集計（10.27迄・速報値）'!$Q$16"}</definedName>
    <definedName name="ｼｰﾄ" hidden="1">[9]計算過程シート!#REF!</definedName>
    <definedName name="なんで" localSheetId="0" hidden="1">{"'下期集計（10.27迄・速報値）'!$Q$16"}</definedName>
    <definedName name="なんで" hidden="1">{"'下期集計（10.27迄・速報値）'!$Q$16"}</definedName>
    <definedName name="なんなの" localSheetId="0" hidden="1">{"'下期集計（10.27迄・速報値）'!$Q$16"}</definedName>
    <definedName name="なんなの" hidden="1">{"'下期集計（10.27迄・速報値）'!$Q$16"}</definedName>
    <definedName name="一括" localSheetId="0" hidden="1">{"DCF-北海道",#N/A,TRUE,"北海道";"DCF-東北",#N/A,TRUE,"東北";"DCF-東海",#N/A,TRUE,"東海";"DCF-北陸",#N/A,TRUE,"北陸";"DCF-関西",#N/A,TRUE,"関西";"DCF-中国",#N/A,TRUE,"中国";"DCF-四国",#N/A,TRUE,"四国";"DCF-九州",#N/A,TRUE,"九州";"DCF-連結",#N/A,TRUE,"連結"}</definedName>
    <definedName name="一括" hidden="1">{"DCF-北海道",#N/A,TRUE,"北海道";"DCF-東北",#N/A,TRUE,"東北";"DCF-東海",#N/A,TRUE,"東海";"DCF-北陸",#N/A,TRUE,"北陸";"DCF-関西",#N/A,TRUE,"関西";"DCF-中国",#N/A,TRUE,"中国";"DCF-四国",#N/A,TRUE,"四国";"DCF-九州",#N/A,TRUE,"九州";"DCF-連結",#N/A,TRUE,"連結"}</definedName>
    <definedName name="印刷" localSheetId="0" hidden="1">{"DCF-北海道",#N/A,TRUE,"北海道";"DCF-東北",#N/A,TRUE,"東北";"DCF-東海",#N/A,TRUE,"東海";"DCF-北陸",#N/A,TRUE,"北陸";"DCF-関西",#N/A,TRUE,"関西";"DCF-中国",#N/A,TRUE,"中国";"DCF-四国",#N/A,TRUE,"四国";"DCF-九州",#N/A,TRUE,"九州";"DCF-連結",#N/A,TRUE,"連結"}</definedName>
    <definedName name="印刷" hidden="1">{"DCF-北海道",#N/A,TRUE,"北海道";"DCF-東北",#N/A,TRUE,"東北";"DCF-東海",#N/A,TRUE,"東海";"DCF-北陸",#N/A,TRUE,"北陸";"DCF-関西",#N/A,TRUE,"関西";"DCF-中国",#N/A,TRUE,"中国";"DCF-四国",#N/A,TRUE,"四国";"DCF-九州",#N/A,TRUE,"九州";"DCF-連結",#N/A,TRUE,"連結"}</definedName>
    <definedName name="年間収支買掛" localSheetId="0" hidden="1">{"'下期集計（10.27迄・速報値）'!$Q$16"}</definedName>
    <definedName name="年間収支買掛" hidden="1">{"'下期集計（10.27迄・速報値）'!$Q$16"}</definedName>
    <definedName name="年間資金収支あ" localSheetId="0" hidden="1">{"'下期集計（10.27迄・速報値）'!$Q$16"}</definedName>
    <definedName name="年間資金収支あ" hidden="1">{"'下期集計（10.27迄・速報値）'!$Q$16"}</definedName>
    <definedName name="日繰06" localSheetId="0" hidden="1">{"'下期集計（10.27迄・速報値）'!$Q$16"}</definedName>
    <definedName name="日繰06" hidden="1">{"'下期集計（10.27迄・速報値）'!$Q$16"}</definedName>
    <definedName name="系統出資金" localSheetId="0" hidden="1">{"DCF-北海道",#N/A,TRUE,"北海道";"DCF-東北",#N/A,TRUE,"東北";"DCF-東海",#N/A,TRUE,"東海";"DCF-北陸",#N/A,TRUE,"北陸";"DCF-関西",#N/A,TRUE,"関西";"DCF-中国",#N/A,TRUE,"中国";"DCF-四国",#N/A,TRUE,"四国";"DCF-九州",#N/A,TRUE,"九州";"DCF-連結",#N/A,TRUE,"連結"}</definedName>
    <definedName name="系統出資金" hidden="1">{"DCF-北海道",#N/A,TRUE,"北海道";"DCF-東北",#N/A,TRUE,"東北";"DCF-東海",#N/A,TRUE,"東海";"DCF-北陸",#N/A,TRUE,"北陸";"DCF-関西",#N/A,TRUE,"関西";"DCF-中国",#N/A,TRUE,"中国";"DCF-四国",#N/A,TRUE,"四国";"DCF-九州",#N/A,TRUE,"九州";"DCF-連結",#N/A,TRUE,"連結"}</definedName>
    <definedName name="系統外出資金" localSheetId="0" hidden="1">{"DCF-北海道",#N/A,TRUE,"北海道";"DCF-東北",#N/A,TRUE,"東北";"DCF-東海",#N/A,TRUE,"東海";"DCF-北陸",#N/A,TRUE,"北陸";"DCF-関西",#N/A,TRUE,"関西";"DCF-中国",#N/A,TRUE,"中国";"DCF-四国",#N/A,TRUE,"四国";"DCF-九州",#N/A,TRUE,"九州";"DCF-連結",#N/A,TRUE,"連結"}</definedName>
    <definedName name="系統外出資金" hidden="1">{"DCF-北海道",#N/A,TRUE,"北海道";"DCF-東北",#N/A,TRUE,"東北";"DCF-東海",#N/A,TRUE,"東海";"DCF-北陸",#N/A,TRUE,"北陸";"DCF-関西",#N/A,TRUE,"関西";"DCF-中国",#N/A,TRUE,"中国";"DCF-四国",#N/A,TRUE,"四国";"DCF-九州",#N/A,TRUE,"九州";"DCF-連結",#N/A,TRUE,"連結"}</definedName>
    <definedName name="要処理資産②" localSheetId="0" hidden="1">{"'下期集計（10.27迄・速報値）'!$Q$16"}</definedName>
    <definedName name="要処理資産②" hidden="1">{"'下期集計（10.27迄・速報値）'!$Q$16"}</definedName>
    <definedName name="評価対象" hidden="1">[9]計算過程シート!#REF!</definedName>
    <definedName name="資金" localSheetId="0" hidden="1">{"'下期集計（10.27迄・速報値）'!$Q$16"}</definedName>
    <definedName name="資金" hidden="1">{"'下期集計（10.27迄・速報値）'!$Q$16"}</definedName>
    <definedName name="金利体系" localSheetId="0" hidden="1">{"'下期集計（10.27迄・速報値）'!$Q$16"}</definedName>
    <definedName name="金利体系" hidden="1">{"'下期集計（10.27迄・速報値）'!$Q$16"}</definedName>
    <definedName name="関連" localSheetId="0"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2" i="3" l="1"/>
  <c r="E2" i="3"/>
  <c r="P67" i="3"/>
  <c r="P68" i="3"/>
  <c r="P69" i="3"/>
  <c r="P70" i="3"/>
  <c r="P71" i="3"/>
  <c r="P72" i="3"/>
  <c r="P73" i="3"/>
  <c r="P74" i="3"/>
  <c r="P75" i="3"/>
  <c r="P76" i="3"/>
  <c r="P77" i="3"/>
  <c r="P78" i="3"/>
  <c r="P79" i="3"/>
  <c r="P80" i="3"/>
  <c r="P81" i="3"/>
  <c r="P82" i="3"/>
  <c r="P83" i="3"/>
  <c r="E83" i="3" s="1"/>
  <c r="P84" i="3"/>
  <c r="E84" i="3" s="1"/>
  <c r="P85" i="3"/>
  <c r="E85" i="3" s="1"/>
  <c r="P86" i="3"/>
  <c r="E86" i="3" s="1"/>
  <c r="P87" i="3"/>
  <c r="E87" i="3" s="1"/>
  <c r="P88" i="3"/>
  <c r="E88" i="3" s="1"/>
  <c r="P89" i="3"/>
  <c r="E89" i="3" s="1"/>
  <c r="P90" i="3"/>
  <c r="E90" i="3" s="1"/>
  <c r="P91" i="3"/>
  <c r="E91" i="3" s="1"/>
  <c r="P92" i="3"/>
  <c r="E92" i="3" s="1"/>
  <c r="P93" i="3"/>
  <c r="E93" i="3" s="1"/>
  <c r="P94" i="3"/>
  <c r="E94" i="3" s="1"/>
  <c r="P95" i="3"/>
  <c r="E95" i="3" s="1"/>
  <c r="P96" i="3"/>
  <c r="E96" i="3" s="1"/>
  <c r="P97" i="3"/>
  <c r="E97" i="3" s="1"/>
  <c r="P98" i="3"/>
  <c r="E98" i="3" s="1"/>
  <c r="P99" i="3"/>
  <c r="E99" i="3" s="1"/>
  <c r="P100" i="3"/>
  <c r="E100" i="3" s="1"/>
  <c r="P101" i="3"/>
  <c r="E101" i="3" s="1"/>
  <c r="P102" i="3"/>
  <c r="E102" i="3" s="1"/>
  <c r="P103" i="3"/>
  <c r="E103" i="3" s="1"/>
  <c r="P104" i="3"/>
  <c r="E104" i="3" s="1"/>
  <c r="P105" i="3"/>
  <c r="E105" i="3" s="1"/>
  <c r="P106" i="3"/>
  <c r="E106" i="3" s="1"/>
  <c r="P107" i="3"/>
  <c r="E107" i="3" s="1"/>
  <c r="P108" i="3"/>
  <c r="E108" i="3" s="1"/>
  <c r="P109" i="3"/>
  <c r="E109" i="3" s="1"/>
  <c r="P110" i="3"/>
  <c r="E110" i="3" s="1"/>
  <c r="P111" i="3"/>
  <c r="E111" i="3" s="1"/>
  <c r="P112" i="3"/>
  <c r="E112" i="3" s="1"/>
  <c r="P113" i="3"/>
  <c r="E113" i="3" s="1"/>
  <c r="P114" i="3"/>
  <c r="E114" i="3" s="1"/>
  <c r="P115" i="3"/>
  <c r="E115" i="3" s="1"/>
  <c r="P116" i="3"/>
  <c r="E116" i="3" s="1"/>
  <c r="P117" i="3"/>
  <c r="E117" i="3" s="1"/>
  <c r="P118" i="3"/>
  <c r="E118" i="3" s="1"/>
  <c r="P119" i="3"/>
  <c r="E119" i="3" s="1"/>
  <c r="P120" i="3"/>
  <c r="E120" i="3" s="1"/>
  <c r="P121" i="3"/>
  <c r="E121" i="3" s="1"/>
  <c r="P122" i="3"/>
  <c r="E122" i="3" s="1"/>
  <c r="P123" i="3"/>
  <c r="E123" i="3" s="1"/>
  <c r="P124" i="3"/>
  <c r="E124" i="3" s="1"/>
  <c r="P125" i="3"/>
  <c r="E125" i="3" s="1"/>
  <c r="P126" i="3"/>
  <c r="E126" i="3" s="1"/>
  <c r="P127" i="3"/>
  <c r="E127" i="3" s="1"/>
  <c r="P128" i="3"/>
  <c r="E128" i="3" s="1"/>
  <c r="P129" i="3"/>
  <c r="E129" i="3" s="1"/>
  <c r="P130" i="3"/>
  <c r="E130" i="3" s="1"/>
  <c r="P131" i="3"/>
  <c r="E131" i="3" s="1"/>
  <c r="P132" i="3"/>
  <c r="E132" i="3" s="1"/>
  <c r="P133" i="3"/>
  <c r="E133" i="3" s="1"/>
  <c r="P134" i="3"/>
  <c r="E134" i="3" s="1"/>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P65" i="3"/>
  <c r="S65" i="3"/>
  <c r="O67" i="3" l="1"/>
  <c r="J67" i="3" s="1"/>
  <c r="N67" i="3"/>
  <c r="M67" i="3" s="1"/>
  <c r="E67" i="3"/>
  <c r="O68" i="3"/>
  <c r="J68" i="3" s="1"/>
  <c r="N68" i="3"/>
  <c r="M68" i="3" s="1"/>
  <c r="E68" i="3"/>
  <c r="O69" i="3"/>
  <c r="J69" i="3" s="1"/>
  <c r="E69" i="3"/>
  <c r="N69" i="3"/>
  <c r="M69" i="3" s="1"/>
  <c r="O70" i="3"/>
  <c r="J70" i="3" s="1"/>
  <c r="E70" i="3"/>
  <c r="N70" i="3"/>
  <c r="M70" i="3" s="1"/>
  <c r="O71" i="3"/>
  <c r="J71" i="3" s="1"/>
  <c r="N71" i="3"/>
  <c r="M71" i="3" s="1"/>
  <c r="E71" i="3"/>
  <c r="O72" i="3"/>
  <c r="J72" i="3" s="1"/>
  <c r="N72" i="3"/>
  <c r="M72" i="3" s="1"/>
  <c r="E72" i="3"/>
  <c r="O73" i="3"/>
  <c r="J73" i="3" s="1"/>
  <c r="N73" i="3"/>
  <c r="M73" i="3" s="1"/>
  <c r="E73" i="3"/>
  <c r="O74" i="3"/>
  <c r="J74" i="3" s="1"/>
  <c r="E74" i="3"/>
  <c r="N74" i="3"/>
  <c r="M74" i="3" s="1"/>
  <c r="O75" i="3"/>
  <c r="J75" i="3" s="1"/>
  <c r="E75" i="3"/>
  <c r="N75" i="3"/>
  <c r="M75" i="3" s="1"/>
  <c r="O76" i="3"/>
  <c r="J76" i="3" s="1"/>
  <c r="N76" i="3"/>
  <c r="M76" i="3" s="1"/>
  <c r="E76" i="3"/>
  <c r="O77" i="3"/>
  <c r="J77" i="3" s="1"/>
  <c r="E77" i="3"/>
  <c r="N77" i="3"/>
  <c r="M77" i="3" s="1"/>
  <c r="O78" i="3"/>
  <c r="J78" i="3" s="1"/>
  <c r="N78" i="3"/>
  <c r="M78" i="3" s="1"/>
  <c r="E78" i="3"/>
  <c r="O79" i="3"/>
  <c r="J79" i="3" s="1"/>
  <c r="E79" i="3"/>
  <c r="N79" i="3"/>
  <c r="M79" i="3" s="1"/>
  <c r="O80" i="3"/>
  <c r="J80" i="3" s="1"/>
  <c r="E80" i="3"/>
  <c r="N80" i="3"/>
  <c r="M80" i="3" s="1"/>
  <c r="O81" i="3"/>
  <c r="J81" i="3" s="1"/>
  <c r="N81" i="3"/>
  <c r="M81" i="3" s="1"/>
  <c r="E81" i="3"/>
  <c r="O82" i="3"/>
  <c r="J82" i="3" s="1"/>
  <c r="E82" i="3"/>
  <c r="N82" i="3"/>
  <c r="M82" i="3" s="1"/>
  <c r="L67" i="3"/>
  <c r="K67" i="3" s="1"/>
  <c r="F67" i="3"/>
  <c r="L68" i="3"/>
  <c r="K68" i="3" s="1"/>
  <c r="F68" i="3"/>
  <c r="L69" i="3"/>
  <c r="K69" i="3" s="1"/>
  <c r="F69" i="3"/>
  <c r="L70" i="3"/>
  <c r="K70" i="3" s="1"/>
  <c r="F70" i="3"/>
  <c r="F71" i="3"/>
  <c r="L71" i="3"/>
  <c r="K71" i="3" s="1"/>
  <c r="F72" i="3"/>
  <c r="L72" i="3"/>
  <c r="K72" i="3" s="1"/>
  <c r="L73" i="3"/>
  <c r="K73" i="3" s="1"/>
  <c r="F73" i="3"/>
  <c r="L74" i="3"/>
  <c r="K74" i="3" s="1"/>
  <c r="F74" i="3"/>
  <c r="L75" i="3"/>
  <c r="K75" i="3" s="1"/>
  <c r="F75" i="3"/>
  <c r="L76" i="3"/>
  <c r="K76" i="3" s="1"/>
  <c r="F76" i="3"/>
  <c r="L77" i="3"/>
  <c r="K77" i="3" s="1"/>
  <c r="F77" i="3"/>
  <c r="L78" i="3"/>
  <c r="K78" i="3" s="1"/>
  <c r="F78" i="3"/>
  <c r="L79" i="3"/>
  <c r="K79" i="3" s="1"/>
  <c r="F79" i="3"/>
  <c r="L80" i="3"/>
  <c r="K80" i="3" s="1"/>
  <c r="F80" i="3"/>
  <c r="L81" i="3"/>
  <c r="K81" i="3" s="1"/>
  <c r="F81" i="3"/>
  <c r="L82" i="3"/>
  <c r="K82" i="3" s="1"/>
  <c r="F82" i="3"/>
  <c r="O83" i="3"/>
  <c r="J83" i="3" s="1"/>
  <c r="N83" i="3"/>
  <c r="M83" i="3" s="1"/>
  <c r="O84" i="3"/>
  <c r="J84" i="3" s="1"/>
  <c r="N84" i="3"/>
  <c r="M84" i="3" s="1"/>
  <c r="N85" i="3"/>
  <c r="M85" i="3" s="1"/>
  <c r="O85" i="3"/>
  <c r="J85" i="3" s="1"/>
  <c r="N86" i="3"/>
  <c r="M86" i="3" s="1"/>
  <c r="O86" i="3"/>
  <c r="J86" i="3" s="1"/>
  <c r="N87" i="3"/>
  <c r="M87" i="3" s="1"/>
  <c r="O87" i="3"/>
  <c r="J87" i="3" s="1"/>
  <c r="O88" i="3"/>
  <c r="J88" i="3" s="1"/>
  <c r="N88" i="3"/>
  <c r="M88" i="3" s="1"/>
  <c r="N89" i="3"/>
  <c r="M89" i="3" s="1"/>
  <c r="O89" i="3"/>
  <c r="J89" i="3" s="1"/>
  <c r="N90" i="3"/>
  <c r="M90" i="3" s="1"/>
  <c r="O90" i="3"/>
  <c r="J90" i="3" s="1"/>
  <c r="N91" i="3"/>
  <c r="M91" i="3" s="1"/>
  <c r="O91" i="3"/>
  <c r="J91" i="3" s="1"/>
  <c r="N92" i="3"/>
  <c r="M92" i="3" s="1"/>
  <c r="O92" i="3"/>
  <c r="J92" i="3" s="1"/>
  <c r="N93" i="3"/>
  <c r="M93" i="3" s="1"/>
  <c r="O93" i="3"/>
  <c r="J93" i="3" s="1"/>
  <c r="N94" i="3"/>
  <c r="M94" i="3" s="1"/>
  <c r="O94" i="3"/>
  <c r="J94" i="3" s="1"/>
  <c r="N95" i="3"/>
  <c r="M95" i="3" s="1"/>
  <c r="O95" i="3"/>
  <c r="J95" i="3" s="1"/>
  <c r="N96" i="3"/>
  <c r="M96" i="3" s="1"/>
  <c r="O96" i="3"/>
  <c r="J96" i="3" s="1"/>
  <c r="N97" i="3"/>
  <c r="M97" i="3" s="1"/>
  <c r="O97" i="3"/>
  <c r="J97" i="3" s="1"/>
  <c r="O98" i="3"/>
  <c r="J98" i="3" s="1"/>
  <c r="N98" i="3"/>
  <c r="M98" i="3" s="1"/>
  <c r="N99" i="3"/>
  <c r="M99" i="3" s="1"/>
  <c r="O99" i="3"/>
  <c r="J99" i="3" s="1"/>
  <c r="O100" i="3"/>
  <c r="J100" i="3" s="1"/>
  <c r="N100" i="3"/>
  <c r="M100" i="3" s="1"/>
  <c r="O101" i="3"/>
  <c r="J101" i="3" s="1"/>
  <c r="N101" i="3"/>
  <c r="M101" i="3" s="1"/>
  <c r="O102" i="3"/>
  <c r="J102" i="3" s="1"/>
  <c r="N102" i="3"/>
  <c r="M102" i="3" s="1"/>
  <c r="O103" i="3"/>
  <c r="J103" i="3" s="1"/>
  <c r="N103" i="3"/>
  <c r="M103" i="3" s="1"/>
  <c r="O104" i="3"/>
  <c r="J104" i="3" s="1"/>
  <c r="N104" i="3"/>
  <c r="M104" i="3" s="1"/>
  <c r="O105" i="3"/>
  <c r="J105" i="3" s="1"/>
  <c r="N105" i="3"/>
  <c r="M105" i="3" s="1"/>
  <c r="N106" i="3"/>
  <c r="M106" i="3" s="1"/>
  <c r="O106" i="3"/>
  <c r="J106" i="3" s="1"/>
  <c r="N107" i="3"/>
  <c r="M107" i="3" s="1"/>
  <c r="O107" i="3"/>
  <c r="J107" i="3" s="1"/>
  <c r="N108" i="3"/>
  <c r="M108" i="3" s="1"/>
  <c r="O108" i="3"/>
  <c r="J108" i="3" s="1"/>
  <c r="N109" i="3"/>
  <c r="M109" i="3" s="1"/>
  <c r="O109" i="3"/>
  <c r="J109" i="3" s="1"/>
  <c r="O110" i="3"/>
  <c r="J110" i="3" s="1"/>
  <c r="N110" i="3"/>
  <c r="M110" i="3" s="1"/>
  <c r="N111" i="3"/>
  <c r="M111" i="3" s="1"/>
  <c r="O111" i="3"/>
  <c r="J111" i="3" s="1"/>
  <c r="N112" i="3"/>
  <c r="M112" i="3" s="1"/>
  <c r="O112" i="3"/>
  <c r="J112" i="3" s="1"/>
  <c r="N113" i="3"/>
  <c r="M113" i="3" s="1"/>
  <c r="O113" i="3"/>
  <c r="J113" i="3" s="1"/>
  <c r="N114" i="3"/>
  <c r="M114" i="3" s="1"/>
  <c r="O114" i="3"/>
  <c r="J114" i="3" s="1"/>
  <c r="O115" i="3"/>
  <c r="J115" i="3" s="1"/>
  <c r="N115" i="3"/>
  <c r="M115" i="3" s="1"/>
  <c r="N116" i="3"/>
  <c r="M116" i="3" s="1"/>
  <c r="O116" i="3"/>
  <c r="J116" i="3" s="1"/>
  <c r="N117" i="3"/>
  <c r="M117" i="3" s="1"/>
  <c r="O117" i="3"/>
  <c r="J117" i="3" s="1"/>
  <c r="O118" i="3"/>
  <c r="J118" i="3" s="1"/>
  <c r="N118" i="3"/>
  <c r="M118" i="3" s="1"/>
  <c r="O119" i="3"/>
  <c r="J119" i="3" s="1"/>
  <c r="N119" i="3"/>
  <c r="M119" i="3" s="1"/>
  <c r="O120" i="3"/>
  <c r="J120" i="3" s="1"/>
  <c r="N120" i="3"/>
  <c r="M120" i="3" s="1"/>
  <c r="O121" i="3"/>
  <c r="J121" i="3" s="1"/>
  <c r="N121" i="3"/>
  <c r="M121" i="3" s="1"/>
  <c r="O122" i="3"/>
  <c r="J122" i="3" s="1"/>
  <c r="N122" i="3"/>
  <c r="M122" i="3" s="1"/>
  <c r="N123" i="3"/>
  <c r="M123" i="3" s="1"/>
  <c r="O123" i="3"/>
  <c r="J123" i="3" s="1"/>
  <c r="N124" i="3"/>
  <c r="M124" i="3" s="1"/>
  <c r="O124" i="3"/>
  <c r="J124" i="3" s="1"/>
  <c r="N125" i="3"/>
  <c r="M125" i="3" s="1"/>
  <c r="O125" i="3"/>
  <c r="J125" i="3" s="1"/>
  <c r="N126" i="3"/>
  <c r="M126" i="3" s="1"/>
  <c r="O126" i="3"/>
  <c r="J126" i="3" s="1"/>
  <c r="N127" i="3"/>
  <c r="M127" i="3" s="1"/>
  <c r="O127" i="3"/>
  <c r="J127" i="3" s="1"/>
  <c r="N128" i="3"/>
  <c r="M128" i="3" s="1"/>
  <c r="O128" i="3"/>
  <c r="J128" i="3" s="1"/>
  <c r="N129" i="3"/>
  <c r="M129" i="3" s="1"/>
  <c r="O129" i="3"/>
  <c r="J129" i="3" s="1"/>
  <c r="N130" i="3"/>
  <c r="M130" i="3" s="1"/>
  <c r="O130" i="3"/>
  <c r="J130" i="3" s="1"/>
  <c r="N131" i="3"/>
  <c r="M131" i="3" s="1"/>
  <c r="O131" i="3"/>
  <c r="J131" i="3" s="1"/>
  <c r="N132" i="3"/>
  <c r="M132" i="3" s="1"/>
  <c r="O132" i="3"/>
  <c r="J132" i="3" s="1"/>
  <c r="N133" i="3"/>
  <c r="M133" i="3" s="1"/>
  <c r="O133" i="3"/>
  <c r="J133" i="3" s="1"/>
  <c r="N134" i="3"/>
  <c r="M134" i="3" s="1"/>
  <c r="O134" i="3"/>
  <c r="J134" i="3" s="1"/>
  <c r="R67" i="3"/>
  <c r="C67" i="3"/>
  <c r="Q67" i="3"/>
  <c r="I67" i="3" s="1"/>
  <c r="C68" i="3"/>
  <c r="Q68" i="3"/>
  <c r="I68" i="3" s="1"/>
  <c r="R68" i="3"/>
  <c r="C69" i="3"/>
  <c r="R69" i="3"/>
  <c r="Q69" i="3"/>
  <c r="I69" i="3" s="1"/>
  <c r="C70" i="3"/>
  <c r="Q70" i="3"/>
  <c r="I70" i="3" s="1"/>
  <c r="R70" i="3"/>
  <c r="C71" i="3"/>
  <c r="R71" i="3"/>
  <c r="Q71" i="3"/>
  <c r="I71" i="3" s="1"/>
  <c r="C72" i="3"/>
  <c r="Q72" i="3"/>
  <c r="I72" i="3" s="1"/>
  <c r="R72" i="3"/>
  <c r="C73" i="3"/>
  <c r="R73" i="3"/>
  <c r="Q73" i="3"/>
  <c r="I73" i="3" s="1"/>
  <c r="C74" i="3"/>
  <c r="Q74" i="3"/>
  <c r="I74" i="3" s="1"/>
  <c r="R74" i="3"/>
  <c r="C75" i="3"/>
  <c r="Q75" i="3"/>
  <c r="I75" i="3" s="1"/>
  <c r="R75" i="3"/>
  <c r="C76" i="3"/>
  <c r="Q76" i="3"/>
  <c r="I76" i="3" s="1"/>
  <c r="R76" i="3"/>
  <c r="C77" i="3"/>
  <c r="R77" i="3"/>
  <c r="Q77" i="3"/>
  <c r="I77" i="3" s="1"/>
  <c r="C78" i="3"/>
  <c r="R78" i="3"/>
  <c r="Q78" i="3"/>
  <c r="I78" i="3" s="1"/>
  <c r="R79" i="3"/>
  <c r="C79" i="3"/>
  <c r="Q79" i="3"/>
  <c r="I79" i="3" s="1"/>
  <c r="C80" i="3"/>
  <c r="R80" i="3"/>
  <c r="Q80" i="3"/>
  <c r="I80" i="3" s="1"/>
  <c r="C81" i="3"/>
  <c r="R81" i="3"/>
  <c r="Q81" i="3"/>
  <c r="I81" i="3" s="1"/>
  <c r="C82" i="3"/>
  <c r="R82" i="3"/>
  <c r="Q82" i="3"/>
  <c r="I82" i="3" s="1"/>
  <c r="C83" i="3"/>
  <c r="R83" i="3"/>
  <c r="Q83" i="3"/>
  <c r="I83" i="3" s="1"/>
  <c r="C84" i="3"/>
  <c r="Q84" i="3"/>
  <c r="I84" i="3" s="1"/>
  <c r="R84" i="3"/>
  <c r="C85" i="3"/>
  <c r="Q85" i="3"/>
  <c r="I85" i="3" s="1"/>
  <c r="R85" i="3"/>
  <c r="C86" i="3"/>
  <c r="Q86" i="3"/>
  <c r="I86" i="3" s="1"/>
  <c r="R86" i="3"/>
  <c r="C87" i="3"/>
  <c r="Q87" i="3"/>
  <c r="I87" i="3" s="1"/>
  <c r="R87" i="3"/>
  <c r="C88" i="3"/>
  <c r="R88" i="3"/>
  <c r="Q88" i="3"/>
  <c r="I88" i="3" s="1"/>
  <c r="C89" i="3"/>
  <c r="R89" i="3"/>
  <c r="Q89" i="3"/>
  <c r="I89" i="3" s="1"/>
  <c r="C90" i="3"/>
  <c r="Q90" i="3"/>
  <c r="I90" i="3" s="1"/>
  <c r="R90" i="3"/>
  <c r="C91" i="3"/>
  <c r="Q91" i="3"/>
  <c r="I91" i="3" s="1"/>
  <c r="R91" i="3"/>
  <c r="Q92" i="3"/>
  <c r="I92" i="3" s="1"/>
  <c r="R92" i="3"/>
  <c r="C92" i="3"/>
  <c r="Q93" i="3"/>
  <c r="I93" i="3" s="1"/>
  <c r="R93" i="3"/>
  <c r="C93" i="3"/>
  <c r="R94" i="3"/>
  <c r="C94" i="3"/>
  <c r="Q94" i="3"/>
  <c r="I94" i="3" s="1"/>
  <c r="Q95" i="3"/>
  <c r="I95" i="3" s="1"/>
  <c r="R95" i="3"/>
  <c r="C95" i="3"/>
  <c r="C96" i="3"/>
  <c r="Q96" i="3"/>
  <c r="I96" i="3" s="1"/>
  <c r="R96" i="3"/>
  <c r="Q97" i="3"/>
  <c r="I97" i="3" s="1"/>
  <c r="C97" i="3"/>
  <c r="R97" i="3"/>
  <c r="Q98" i="3"/>
  <c r="I98" i="3" s="1"/>
  <c r="C98" i="3"/>
  <c r="R98" i="3"/>
  <c r="C99" i="3"/>
  <c r="Q99" i="3"/>
  <c r="I99" i="3" s="1"/>
  <c r="R99" i="3"/>
  <c r="C100" i="3"/>
  <c r="Q100" i="3"/>
  <c r="I100" i="3" s="1"/>
  <c r="R100" i="3"/>
  <c r="C101" i="3"/>
  <c r="Q101" i="3"/>
  <c r="I101" i="3" s="1"/>
  <c r="R101" i="3"/>
  <c r="Q102" i="3"/>
  <c r="I102" i="3" s="1"/>
  <c r="R102" i="3"/>
  <c r="C102" i="3"/>
  <c r="Q103" i="3"/>
  <c r="I103" i="3" s="1"/>
  <c r="R103" i="3"/>
  <c r="C103" i="3"/>
  <c r="Q104" i="3"/>
  <c r="I104" i="3" s="1"/>
  <c r="R104" i="3"/>
  <c r="C104" i="3"/>
  <c r="Q105" i="3"/>
  <c r="I105" i="3" s="1"/>
  <c r="R105" i="3"/>
  <c r="C105" i="3"/>
  <c r="R106" i="3"/>
  <c r="Q106" i="3"/>
  <c r="I106" i="3" s="1"/>
  <c r="C106" i="3"/>
  <c r="R107" i="3"/>
  <c r="Q107" i="3"/>
  <c r="I107" i="3" s="1"/>
  <c r="C107" i="3"/>
  <c r="Q108" i="3"/>
  <c r="I108" i="3" s="1"/>
  <c r="R108" i="3"/>
  <c r="C108" i="3"/>
  <c r="C109" i="3"/>
  <c r="R109" i="3"/>
  <c r="Q109" i="3"/>
  <c r="I109" i="3" s="1"/>
  <c r="R110" i="3"/>
  <c r="C110" i="3"/>
  <c r="Q110" i="3"/>
  <c r="I110" i="3" s="1"/>
  <c r="R111" i="3"/>
  <c r="Q111" i="3"/>
  <c r="I111" i="3" s="1"/>
  <c r="C111" i="3"/>
  <c r="C112" i="3"/>
  <c r="R112" i="3"/>
  <c r="Q112" i="3"/>
  <c r="I112" i="3" s="1"/>
  <c r="C113" i="3"/>
  <c r="R113" i="3"/>
  <c r="Q113" i="3"/>
  <c r="I113" i="3" s="1"/>
  <c r="C114" i="3"/>
  <c r="Q114" i="3"/>
  <c r="I114" i="3" s="1"/>
  <c r="R114" i="3"/>
  <c r="R115" i="3"/>
  <c r="Q115" i="3"/>
  <c r="I115" i="3" s="1"/>
  <c r="C115" i="3"/>
  <c r="C116" i="3"/>
  <c r="Q116" i="3"/>
  <c r="I116" i="3" s="1"/>
  <c r="R116" i="3"/>
  <c r="R117" i="3"/>
  <c r="Q117" i="3"/>
  <c r="I117" i="3" s="1"/>
  <c r="C117" i="3"/>
  <c r="C118" i="3"/>
  <c r="Q118" i="3"/>
  <c r="I118" i="3" s="1"/>
  <c r="R118" i="3"/>
  <c r="C119" i="3"/>
  <c r="Q119" i="3"/>
  <c r="I119" i="3" s="1"/>
  <c r="R119" i="3"/>
  <c r="C120" i="3"/>
  <c r="R120" i="3"/>
  <c r="Q120" i="3"/>
  <c r="I120" i="3" s="1"/>
  <c r="C121" i="3"/>
  <c r="R121" i="3"/>
  <c r="Q121" i="3"/>
  <c r="I121" i="3" s="1"/>
  <c r="R122" i="3"/>
  <c r="Q122" i="3"/>
  <c r="I122" i="3" s="1"/>
  <c r="C122" i="3"/>
  <c r="C123" i="3"/>
  <c r="R123" i="3"/>
  <c r="Q123" i="3"/>
  <c r="I123" i="3" s="1"/>
  <c r="C124" i="3"/>
  <c r="Q124" i="3"/>
  <c r="I124" i="3" s="1"/>
  <c r="R124" i="3"/>
  <c r="Q125" i="3"/>
  <c r="I125" i="3" s="1"/>
  <c r="R125" i="3"/>
  <c r="C125" i="3"/>
  <c r="Q126" i="3"/>
  <c r="I126" i="3" s="1"/>
  <c r="R126" i="3"/>
  <c r="C126" i="3"/>
  <c r="C127" i="3"/>
  <c r="Q127" i="3"/>
  <c r="I127" i="3" s="1"/>
  <c r="R127" i="3"/>
  <c r="Q128" i="3"/>
  <c r="I128" i="3" s="1"/>
  <c r="R128" i="3"/>
  <c r="C128" i="3"/>
  <c r="R129" i="3"/>
  <c r="Q129" i="3"/>
  <c r="I129" i="3" s="1"/>
  <c r="C129" i="3"/>
  <c r="Q130" i="3"/>
  <c r="I130" i="3" s="1"/>
  <c r="R130" i="3"/>
  <c r="C130" i="3"/>
  <c r="C131" i="3"/>
  <c r="Q131" i="3"/>
  <c r="I131" i="3" s="1"/>
  <c r="R131" i="3"/>
  <c r="C132" i="3"/>
  <c r="R132" i="3"/>
  <c r="Q132" i="3"/>
  <c r="I132" i="3" s="1"/>
  <c r="C133" i="3"/>
  <c r="R133" i="3"/>
  <c r="Q133" i="3"/>
  <c r="I133" i="3" s="1"/>
  <c r="C134" i="3"/>
  <c r="R134" i="3"/>
  <c r="Q134" i="3"/>
  <c r="I134" i="3" s="1"/>
  <c r="O65" i="3"/>
  <c r="J65" i="3" s="1"/>
  <c r="E65" i="3"/>
  <c r="N65" i="3"/>
  <c r="M65" i="3" s="1"/>
  <c r="C65" i="3"/>
  <c r="Q65" i="3"/>
  <c r="I65" i="3" s="1"/>
  <c r="R65" i="3"/>
  <c r="L83" i="3" l="1"/>
  <c r="K83" i="3" s="1"/>
  <c r="F83" i="3"/>
  <c r="L84" i="3"/>
  <c r="K84" i="3" s="1"/>
  <c r="F84" i="3"/>
  <c r="L85" i="3"/>
  <c r="K85" i="3" s="1"/>
  <c r="F85" i="3"/>
  <c r="L86" i="3"/>
  <c r="K86" i="3" s="1"/>
  <c r="F86" i="3"/>
  <c r="L87" i="3"/>
  <c r="K87" i="3" s="1"/>
  <c r="F87" i="3"/>
  <c r="L88" i="3"/>
  <c r="K88" i="3" s="1"/>
  <c r="F88" i="3"/>
  <c r="L89" i="3"/>
  <c r="K89" i="3" s="1"/>
  <c r="F89" i="3"/>
  <c r="L90" i="3"/>
  <c r="K90" i="3" s="1"/>
  <c r="F90" i="3"/>
  <c r="L91" i="3"/>
  <c r="K91" i="3" s="1"/>
  <c r="F91" i="3"/>
  <c r="L92" i="3"/>
  <c r="K92" i="3" s="1"/>
  <c r="F92" i="3"/>
  <c r="L93" i="3"/>
  <c r="K93" i="3" s="1"/>
  <c r="F93" i="3"/>
  <c r="L94" i="3"/>
  <c r="K94" i="3" s="1"/>
  <c r="F94" i="3"/>
  <c r="L95" i="3"/>
  <c r="K95" i="3" s="1"/>
  <c r="F95" i="3"/>
  <c r="L96" i="3"/>
  <c r="K96" i="3" s="1"/>
  <c r="F96" i="3"/>
  <c r="L97" i="3"/>
  <c r="K97" i="3" s="1"/>
  <c r="F97" i="3"/>
  <c r="L98" i="3"/>
  <c r="K98" i="3" s="1"/>
  <c r="F98" i="3"/>
  <c r="L99" i="3"/>
  <c r="K99" i="3" s="1"/>
  <c r="F99" i="3"/>
  <c r="L100" i="3"/>
  <c r="K100" i="3" s="1"/>
  <c r="F100" i="3"/>
  <c r="L101" i="3"/>
  <c r="K101" i="3" s="1"/>
  <c r="F101" i="3"/>
  <c r="L102" i="3"/>
  <c r="K102" i="3" s="1"/>
  <c r="F102" i="3"/>
  <c r="L103" i="3"/>
  <c r="K103" i="3" s="1"/>
  <c r="F103" i="3"/>
  <c r="L104" i="3"/>
  <c r="K104" i="3" s="1"/>
  <c r="F104" i="3"/>
  <c r="L105" i="3"/>
  <c r="K105" i="3" s="1"/>
  <c r="F105" i="3"/>
  <c r="L106" i="3"/>
  <c r="K106" i="3" s="1"/>
  <c r="F106" i="3"/>
  <c r="L107" i="3"/>
  <c r="K107" i="3" s="1"/>
  <c r="F107" i="3"/>
  <c r="L108" i="3"/>
  <c r="K108" i="3" s="1"/>
  <c r="F108" i="3"/>
  <c r="L109" i="3"/>
  <c r="K109" i="3" s="1"/>
  <c r="F109" i="3"/>
  <c r="L110" i="3"/>
  <c r="K110" i="3" s="1"/>
  <c r="F110" i="3"/>
  <c r="L111" i="3"/>
  <c r="K111" i="3" s="1"/>
  <c r="F111" i="3"/>
  <c r="L112" i="3"/>
  <c r="K112" i="3" s="1"/>
  <c r="F112" i="3"/>
  <c r="L113" i="3"/>
  <c r="K113" i="3" s="1"/>
  <c r="F113" i="3"/>
  <c r="F114" i="3"/>
  <c r="L114" i="3"/>
  <c r="K114" i="3" s="1"/>
  <c r="F115" i="3"/>
  <c r="L115" i="3"/>
  <c r="K115" i="3" s="1"/>
  <c r="F116" i="3"/>
  <c r="L116" i="3"/>
  <c r="K116" i="3" s="1"/>
  <c r="F117" i="3"/>
  <c r="L117" i="3"/>
  <c r="K117" i="3" s="1"/>
  <c r="F118" i="3"/>
  <c r="L118" i="3"/>
  <c r="K118" i="3" s="1"/>
  <c r="F119" i="3"/>
  <c r="L119" i="3"/>
  <c r="K119" i="3" s="1"/>
  <c r="F120" i="3"/>
  <c r="L120" i="3"/>
  <c r="K120" i="3" s="1"/>
  <c r="F121" i="3"/>
  <c r="L121" i="3"/>
  <c r="K121" i="3" s="1"/>
  <c r="F122" i="3"/>
  <c r="L122" i="3"/>
  <c r="K122" i="3" s="1"/>
  <c r="L123" i="3"/>
  <c r="K123" i="3" s="1"/>
  <c r="F123" i="3"/>
  <c r="L124" i="3"/>
  <c r="K124" i="3" s="1"/>
  <c r="F124" i="3"/>
  <c r="L125" i="3"/>
  <c r="K125" i="3" s="1"/>
  <c r="F125" i="3"/>
  <c r="L126" i="3"/>
  <c r="K126" i="3" s="1"/>
  <c r="F126" i="3"/>
  <c r="L127" i="3"/>
  <c r="K127" i="3" s="1"/>
  <c r="F127" i="3"/>
  <c r="L128" i="3"/>
  <c r="K128" i="3" s="1"/>
  <c r="F128" i="3"/>
  <c r="L129" i="3"/>
  <c r="K129" i="3" s="1"/>
  <c r="F129" i="3"/>
  <c r="L130" i="3"/>
  <c r="K130" i="3" s="1"/>
  <c r="F130" i="3"/>
  <c r="L131" i="3"/>
  <c r="K131" i="3" s="1"/>
  <c r="F131" i="3"/>
  <c r="L132" i="3"/>
  <c r="K132" i="3" s="1"/>
  <c r="F132" i="3"/>
  <c r="L133" i="3"/>
  <c r="K133" i="3" s="1"/>
  <c r="F133" i="3"/>
  <c r="L134" i="3"/>
  <c r="K134" i="3" s="1"/>
  <c r="F134" i="3"/>
  <c r="D67" i="3"/>
  <c r="G67" i="3"/>
  <c r="G68" i="3"/>
  <c r="D68" i="3"/>
  <c r="G69" i="3"/>
  <c r="D69" i="3"/>
  <c r="D70" i="3"/>
  <c r="G70" i="3"/>
  <c r="G71" i="3"/>
  <c r="D71" i="3"/>
  <c r="D72" i="3"/>
  <c r="G72" i="3"/>
  <c r="G73" i="3"/>
  <c r="D73" i="3"/>
  <c r="D74" i="3"/>
  <c r="G74" i="3"/>
  <c r="G75" i="3"/>
  <c r="D75" i="3"/>
  <c r="G76" i="3"/>
  <c r="D76" i="3"/>
  <c r="D77" i="3"/>
  <c r="G77" i="3"/>
  <c r="G78" i="3"/>
  <c r="D78" i="3"/>
  <c r="D79" i="3"/>
  <c r="G79" i="3"/>
  <c r="G80" i="3"/>
  <c r="D80" i="3"/>
  <c r="G81" i="3"/>
  <c r="D81" i="3"/>
  <c r="D82" i="3"/>
  <c r="G82" i="3"/>
  <c r="G83" i="3"/>
  <c r="D83" i="3"/>
  <c r="D84" i="3"/>
  <c r="G84" i="3"/>
  <c r="G85" i="3"/>
  <c r="D85" i="3"/>
  <c r="G86" i="3"/>
  <c r="D86" i="3"/>
  <c r="D87" i="3"/>
  <c r="G87" i="3"/>
  <c r="G88" i="3"/>
  <c r="D88" i="3"/>
  <c r="D89" i="3"/>
  <c r="G89" i="3"/>
  <c r="G90" i="3"/>
  <c r="D90" i="3"/>
  <c r="D91" i="3"/>
  <c r="G91" i="3"/>
  <c r="G92" i="3"/>
  <c r="D92" i="3"/>
  <c r="D93" i="3"/>
  <c r="G93" i="3"/>
  <c r="G94" i="3"/>
  <c r="D94" i="3"/>
  <c r="D95" i="3"/>
  <c r="G95" i="3"/>
  <c r="G96" i="3"/>
  <c r="D96" i="3"/>
  <c r="D97" i="3"/>
  <c r="G97" i="3"/>
  <c r="G98" i="3"/>
  <c r="D98" i="3"/>
  <c r="D99" i="3"/>
  <c r="G99" i="3"/>
  <c r="G100" i="3"/>
  <c r="D100" i="3"/>
  <c r="D101" i="3"/>
  <c r="G101" i="3"/>
  <c r="G102" i="3"/>
  <c r="D102" i="3"/>
  <c r="G103" i="3"/>
  <c r="D103" i="3"/>
  <c r="G104" i="3"/>
  <c r="D104" i="3"/>
  <c r="D105" i="3"/>
  <c r="G105" i="3"/>
  <c r="G106" i="3"/>
  <c r="D106" i="3"/>
  <c r="D107" i="3"/>
  <c r="G107" i="3"/>
  <c r="G108" i="3"/>
  <c r="D108" i="3"/>
  <c r="D109" i="3"/>
  <c r="G109" i="3"/>
  <c r="G110" i="3"/>
  <c r="D110" i="3"/>
  <c r="D111" i="3"/>
  <c r="G111" i="3"/>
  <c r="G112" i="3"/>
  <c r="D112" i="3"/>
  <c r="D113" i="3"/>
  <c r="G113" i="3"/>
  <c r="G114" i="3"/>
  <c r="D114" i="3"/>
  <c r="G115" i="3"/>
  <c r="D115" i="3"/>
  <c r="G116" i="3"/>
  <c r="D116" i="3"/>
  <c r="G117" i="3"/>
  <c r="D117" i="3"/>
  <c r="G118" i="3"/>
  <c r="D118" i="3"/>
  <c r="G119" i="3"/>
  <c r="D119" i="3"/>
  <c r="G120" i="3"/>
  <c r="D120" i="3"/>
  <c r="G121" i="3"/>
  <c r="D121" i="3"/>
  <c r="G122" i="3"/>
  <c r="D122" i="3"/>
  <c r="G123" i="3"/>
  <c r="D123" i="3"/>
  <c r="G124" i="3"/>
  <c r="D124" i="3"/>
  <c r="G125" i="3"/>
  <c r="D125" i="3"/>
  <c r="G126" i="3"/>
  <c r="D126" i="3"/>
  <c r="G127" i="3"/>
  <c r="D127" i="3"/>
  <c r="G128" i="3"/>
  <c r="D128" i="3"/>
  <c r="G129" i="3"/>
  <c r="D129" i="3"/>
  <c r="G130" i="3"/>
  <c r="D130" i="3"/>
  <c r="G131" i="3"/>
  <c r="D131" i="3"/>
  <c r="G132" i="3"/>
  <c r="D132" i="3"/>
  <c r="G133" i="3"/>
  <c r="D133" i="3"/>
  <c r="G134" i="3"/>
  <c r="D134" i="3"/>
  <c r="L65" i="3"/>
  <c r="K65" i="3" s="1"/>
  <c r="F65" i="3"/>
  <c r="G65" i="3"/>
  <c r="D65" i="3"/>
  <c r="P2" i="3"/>
  <c r="O2" i="3" s="1"/>
  <c r="J2" i="3" s="1"/>
  <c r="S2" i="3"/>
  <c r="C2" i="3" s="1"/>
  <c r="P3" i="3"/>
  <c r="O3" i="3" s="1"/>
  <c r="J3" i="3" s="1"/>
  <c r="S3" i="3"/>
  <c r="P4" i="3"/>
  <c r="O4" i="3" s="1"/>
  <c r="J4" i="3" s="1"/>
  <c r="S4" i="3"/>
  <c r="P5" i="3"/>
  <c r="O5" i="3" s="1"/>
  <c r="J5" i="3" s="1"/>
  <c r="S5" i="3"/>
  <c r="P6" i="3"/>
  <c r="O6" i="3" s="1"/>
  <c r="J6" i="3" s="1"/>
  <c r="S6" i="3"/>
  <c r="P7" i="3"/>
  <c r="O7" i="3" s="1"/>
  <c r="J7" i="3" s="1"/>
  <c r="S7" i="3"/>
  <c r="P8" i="3"/>
  <c r="O8" i="3" s="1"/>
  <c r="J8" i="3" s="1"/>
  <c r="S8" i="3"/>
  <c r="P9" i="3"/>
  <c r="O9" i="3" s="1"/>
  <c r="J9" i="3" s="1"/>
  <c r="S9" i="3"/>
  <c r="P10" i="3"/>
  <c r="O10" i="3" s="1"/>
  <c r="J10" i="3" s="1"/>
  <c r="S10" i="3"/>
  <c r="P11" i="3"/>
  <c r="O11" i="3" s="1"/>
  <c r="J11" i="3" s="1"/>
  <c r="S11" i="3"/>
  <c r="P12" i="3"/>
  <c r="O12" i="3" s="1"/>
  <c r="J12" i="3" s="1"/>
  <c r="S12" i="3"/>
  <c r="P13" i="3"/>
  <c r="O13" i="3" s="1"/>
  <c r="J13" i="3" s="1"/>
  <c r="S13" i="3"/>
  <c r="P14" i="3"/>
  <c r="O14" i="3" s="1"/>
  <c r="J14" i="3" s="1"/>
  <c r="S14" i="3"/>
  <c r="P15" i="3"/>
  <c r="O15" i="3" s="1"/>
  <c r="J15" i="3" s="1"/>
  <c r="S15" i="3"/>
  <c r="P16" i="3"/>
  <c r="O16" i="3" s="1"/>
  <c r="J16" i="3" s="1"/>
  <c r="S16" i="3"/>
  <c r="P17" i="3"/>
  <c r="O17" i="3" s="1"/>
  <c r="J17" i="3" s="1"/>
  <c r="S17" i="3"/>
  <c r="P18" i="3"/>
  <c r="O18" i="3" s="1"/>
  <c r="J18" i="3" s="1"/>
  <c r="S18" i="3"/>
  <c r="S19" i="3"/>
  <c r="P19" i="3"/>
  <c r="O19" i="3" s="1"/>
  <c r="J19" i="3" s="1"/>
  <c r="P20" i="3"/>
  <c r="S20" i="3"/>
  <c r="P21" i="3"/>
  <c r="S21" i="3"/>
  <c r="R21" i="3" s="1"/>
  <c r="P22" i="3"/>
  <c r="S22" i="3"/>
  <c r="P23" i="3"/>
  <c r="S23" i="3"/>
  <c r="C23" i="3" s="1"/>
  <c r="P24" i="3"/>
  <c r="S24" i="3"/>
  <c r="P25" i="3"/>
  <c r="S25" i="3"/>
  <c r="C25" i="3" s="1"/>
  <c r="P26" i="3"/>
  <c r="E26" i="3" s="1"/>
  <c r="S26" i="3"/>
  <c r="C26" i="3" s="1"/>
  <c r="P27" i="3"/>
  <c r="E27" i="3" s="1"/>
  <c r="S27" i="3"/>
  <c r="C27" i="3" s="1"/>
  <c r="P28" i="3"/>
  <c r="E28" i="3" s="1"/>
  <c r="S28" i="3"/>
  <c r="P29" i="3"/>
  <c r="S29" i="3"/>
  <c r="P30" i="3"/>
  <c r="S30" i="3"/>
  <c r="P31" i="3"/>
  <c r="E31" i="3" s="1"/>
  <c r="S31" i="3"/>
  <c r="P32" i="3"/>
  <c r="E32" i="3" s="1"/>
  <c r="S32" i="3"/>
  <c r="P33" i="3"/>
  <c r="S33" i="3"/>
  <c r="P34" i="3"/>
  <c r="S34" i="3"/>
  <c r="P35" i="3"/>
  <c r="E35" i="3" s="1"/>
  <c r="S35" i="3"/>
  <c r="P36" i="3"/>
  <c r="E36" i="3" s="1"/>
  <c r="S36" i="3"/>
  <c r="P37" i="3"/>
  <c r="S37" i="3"/>
  <c r="Q37" i="3" s="1"/>
  <c r="I37" i="3" s="1"/>
  <c r="P38" i="3"/>
  <c r="S38" i="3"/>
  <c r="P39" i="3"/>
  <c r="S39" i="3"/>
  <c r="Q39" i="3" s="1"/>
  <c r="I39" i="3" s="1"/>
  <c r="P40" i="3"/>
  <c r="S40" i="3"/>
  <c r="P41" i="3"/>
  <c r="O41" i="3" s="1"/>
  <c r="J41" i="3" s="1"/>
  <c r="S41" i="3"/>
  <c r="Q41" i="3" s="1"/>
  <c r="I41" i="3" s="1"/>
  <c r="P42" i="3"/>
  <c r="O42" i="3" s="1"/>
  <c r="J42" i="3" s="1"/>
  <c r="S42" i="3"/>
  <c r="R42" i="3" s="1"/>
  <c r="P43" i="3"/>
  <c r="O43" i="3" s="1"/>
  <c r="J43" i="3" s="1"/>
  <c r="S43" i="3"/>
  <c r="P44" i="3"/>
  <c r="O44" i="3" s="1"/>
  <c r="J44" i="3" s="1"/>
  <c r="S44" i="3"/>
  <c r="R44" i="3" s="1"/>
  <c r="P45" i="3"/>
  <c r="O45" i="3" s="1"/>
  <c r="J45" i="3" s="1"/>
  <c r="S45" i="3"/>
  <c r="P46" i="3"/>
  <c r="O46" i="3" s="1"/>
  <c r="J46" i="3" s="1"/>
  <c r="S46" i="3"/>
  <c r="R46" i="3" s="1"/>
  <c r="P47" i="3"/>
  <c r="O47" i="3" s="1"/>
  <c r="J47" i="3" s="1"/>
  <c r="S47" i="3"/>
  <c r="P48" i="3"/>
  <c r="O48" i="3" s="1"/>
  <c r="J48" i="3" s="1"/>
  <c r="S48" i="3"/>
  <c r="R48" i="3" s="1"/>
  <c r="P49" i="3"/>
  <c r="O49" i="3" s="1"/>
  <c r="J49" i="3" s="1"/>
  <c r="S49" i="3"/>
  <c r="P50" i="3"/>
  <c r="O50" i="3" s="1"/>
  <c r="J50" i="3" s="1"/>
  <c r="S50" i="3"/>
  <c r="R50" i="3" s="1"/>
  <c r="P51" i="3"/>
  <c r="O51" i="3" s="1"/>
  <c r="J51" i="3" s="1"/>
  <c r="S51" i="3"/>
  <c r="P52" i="3"/>
  <c r="O52" i="3" s="1"/>
  <c r="J52" i="3" s="1"/>
  <c r="S52" i="3"/>
  <c r="R52" i="3" s="1"/>
  <c r="P53" i="3"/>
  <c r="O53" i="3" s="1"/>
  <c r="J53" i="3" s="1"/>
  <c r="S53" i="3"/>
  <c r="P54" i="3"/>
  <c r="O54" i="3" s="1"/>
  <c r="J54" i="3" s="1"/>
  <c r="S54" i="3"/>
  <c r="R54" i="3" s="1"/>
  <c r="P55" i="3"/>
  <c r="O55" i="3" s="1"/>
  <c r="J55" i="3" s="1"/>
  <c r="S55" i="3"/>
  <c r="P56" i="3"/>
  <c r="O56" i="3" s="1"/>
  <c r="J56" i="3" s="1"/>
  <c r="S56" i="3"/>
  <c r="R56" i="3" s="1"/>
  <c r="P57" i="3"/>
  <c r="O57" i="3" s="1"/>
  <c r="J57" i="3" s="1"/>
  <c r="S57" i="3"/>
  <c r="P58" i="3"/>
  <c r="O58" i="3" s="1"/>
  <c r="J58" i="3" s="1"/>
  <c r="S58" i="3"/>
  <c r="R58" i="3" s="1"/>
  <c r="P59" i="3"/>
  <c r="O59" i="3" s="1"/>
  <c r="J59" i="3" s="1"/>
  <c r="S59" i="3"/>
  <c r="P60" i="3"/>
  <c r="O60" i="3" s="1"/>
  <c r="J60" i="3" s="1"/>
  <c r="S60" i="3"/>
  <c r="R60" i="3" s="1"/>
  <c r="P61" i="3"/>
  <c r="E61" i="3" s="1"/>
  <c r="S61" i="3"/>
  <c r="P62" i="3"/>
  <c r="S62" i="3"/>
  <c r="Q62" i="3" s="1"/>
  <c r="I62" i="3" s="1"/>
  <c r="P63" i="3"/>
  <c r="S63" i="3"/>
  <c r="P64" i="3"/>
  <c r="O64" i="3" s="1"/>
  <c r="J64" i="3" s="1"/>
  <c r="S64" i="3"/>
  <c r="P66" i="3"/>
  <c r="S66" i="3"/>
  <c r="G2" i="3" l="1"/>
  <c r="E20" i="3"/>
  <c r="O20" i="3"/>
  <c r="J20" i="3" s="1"/>
  <c r="N20" i="3"/>
  <c r="M20" i="3" s="1"/>
  <c r="O21" i="3"/>
  <c r="J21" i="3" s="1"/>
  <c r="E21" i="3"/>
  <c r="N21" i="3"/>
  <c r="M21" i="3" s="1"/>
  <c r="N22" i="3"/>
  <c r="M22" i="3" s="1"/>
  <c r="O22" i="3"/>
  <c r="J22" i="3" s="1"/>
  <c r="G26" i="3"/>
  <c r="E30" i="3"/>
  <c r="O30" i="3"/>
  <c r="J30" i="3" s="1"/>
  <c r="E37" i="3"/>
  <c r="O37" i="3"/>
  <c r="J37" i="3" s="1"/>
  <c r="E38" i="3"/>
  <c r="O38" i="3"/>
  <c r="J38" i="3" s="1"/>
  <c r="E39" i="3"/>
  <c r="O39" i="3"/>
  <c r="J39" i="3" s="1"/>
  <c r="O62" i="3"/>
  <c r="J62" i="3" s="1"/>
  <c r="E62" i="3"/>
  <c r="N62" i="3"/>
  <c r="M62" i="3" s="1"/>
  <c r="O66" i="3"/>
  <c r="J66" i="3" s="1"/>
  <c r="E66" i="3"/>
  <c r="Q66" i="3"/>
  <c r="I66" i="3" s="1"/>
  <c r="R66" i="3"/>
  <c r="Q64" i="3"/>
  <c r="I64" i="3" s="1"/>
  <c r="C64" i="3"/>
  <c r="G64" i="3" s="1"/>
  <c r="R64" i="3"/>
  <c r="Q63" i="3"/>
  <c r="I63" i="3" s="1"/>
  <c r="C63" i="3"/>
  <c r="O63" i="3"/>
  <c r="J63" i="3" s="1"/>
  <c r="N63" i="3"/>
  <c r="M63" i="3" s="1"/>
  <c r="Q61" i="3"/>
  <c r="I61" i="3" s="1"/>
  <c r="R61" i="3"/>
  <c r="R59" i="3"/>
  <c r="C59" i="3"/>
  <c r="Q59" i="3"/>
  <c r="I59" i="3" s="1"/>
  <c r="R57" i="3"/>
  <c r="Q57" i="3"/>
  <c r="I57" i="3" s="1"/>
  <c r="C57" i="3"/>
  <c r="R55" i="3"/>
  <c r="C55" i="3"/>
  <c r="Q55" i="3"/>
  <c r="I55" i="3" s="1"/>
  <c r="R53" i="3"/>
  <c r="Q53" i="3"/>
  <c r="I53" i="3" s="1"/>
  <c r="C53" i="3"/>
  <c r="R51" i="3"/>
  <c r="Q51" i="3"/>
  <c r="I51" i="3" s="1"/>
  <c r="C51" i="3"/>
  <c r="R49" i="3"/>
  <c r="C49" i="3"/>
  <c r="Q49" i="3"/>
  <c r="I49" i="3" s="1"/>
  <c r="R47" i="3"/>
  <c r="Q47" i="3"/>
  <c r="I47" i="3" s="1"/>
  <c r="C47" i="3"/>
  <c r="R45" i="3"/>
  <c r="C45" i="3"/>
  <c r="Q45" i="3"/>
  <c r="I45" i="3" s="1"/>
  <c r="R43" i="3"/>
  <c r="C43" i="3"/>
  <c r="Q43" i="3"/>
  <c r="I43" i="3" s="1"/>
  <c r="E40" i="3"/>
  <c r="O40" i="3"/>
  <c r="J40" i="3" s="1"/>
  <c r="E34" i="3"/>
  <c r="O34" i="3"/>
  <c r="J34" i="3" s="1"/>
  <c r="E33" i="3"/>
  <c r="O33" i="3"/>
  <c r="J33" i="3" s="1"/>
  <c r="E29" i="3"/>
  <c r="O29" i="3"/>
  <c r="J29" i="3" s="1"/>
  <c r="E25" i="3"/>
  <c r="O25" i="3"/>
  <c r="J25" i="3" s="1"/>
  <c r="E24" i="3"/>
  <c r="O24" i="3"/>
  <c r="J24" i="3" s="1"/>
  <c r="N23" i="3"/>
  <c r="M23" i="3" s="1"/>
  <c r="O23" i="3"/>
  <c r="J23" i="3" s="1"/>
  <c r="E23" i="3"/>
  <c r="N26" i="3"/>
  <c r="M26" i="3" s="1"/>
  <c r="O26" i="3"/>
  <c r="J26" i="3" s="1"/>
  <c r="C66" i="3"/>
  <c r="N64" i="3"/>
  <c r="M64" i="3" s="1"/>
  <c r="R62" i="3"/>
  <c r="Q60" i="3"/>
  <c r="I60" i="3" s="1"/>
  <c r="C60" i="3"/>
  <c r="Q58" i="3"/>
  <c r="I58" i="3" s="1"/>
  <c r="C58" i="3"/>
  <c r="D58" i="3" s="1"/>
  <c r="Q56" i="3"/>
  <c r="I56" i="3" s="1"/>
  <c r="C56" i="3"/>
  <c r="D56" i="3" s="1"/>
  <c r="Q54" i="3"/>
  <c r="I54" i="3" s="1"/>
  <c r="C54" i="3"/>
  <c r="D54" i="3" s="1"/>
  <c r="Q52" i="3"/>
  <c r="I52" i="3" s="1"/>
  <c r="C52" i="3"/>
  <c r="D52" i="3" s="1"/>
  <c r="Q50" i="3"/>
  <c r="I50" i="3" s="1"/>
  <c r="C50" i="3"/>
  <c r="D50" i="3" s="1"/>
  <c r="Q48" i="3"/>
  <c r="I48" i="3" s="1"/>
  <c r="C48" i="3"/>
  <c r="D48" i="3" s="1"/>
  <c r="Q46" i="3"/>
  <c r="I46" i="3" s="1"/>
  <c r="C46" i="3"/>
  <c r="D46" i="3" s="1"/>
  <c r="Q44" i="3"/>
  <c r="I44" i="3" s="1"/>
  <c r="C44" i="3"/>
  <c r="D44" i="3" s="1"/>
  <c r="Q42" i="3"/>
  <c r="I42" i="3" s="1"/>
  <c r="C42" i="3"/>
  <c r="D42" i="3" s="1"/>
  <c r="O35" i="3"/>
  <c r="J35" i="3" s="1"/>
  <c r="O31" i="3"/>
  <c r="J31" i="3" s="1"/>
  <c r="O27" i="3"/>
  <c r="J27" i="3" s="1"/>
  <c r="R23" i="3"/>
  <c r="D23" i="3" s="1"/>
  <c r="N66" i="3"/>
  <c r="R63" i="3"/>
  <c r="E63" i="3"/>
  <c r="C62" i="3"/>
  <c r="N61" i="3"/>
  <c r="O36" i="3"/>
  <c r="J36" i="3" s="1"/>
  <c r="O32" i="3"/>
  <c r="J32" i="3" s="1"/>
  <c r="O28" i="3"/>
  <c r="J28" i="3" s="1"/>
  <c r="E64" i="3"/>
  <c r="C61" i="3"/>
  <c r="E22" i="3"/>
  <c r="C38" i="3"/>
  <c r="R38" i="3"/>
  <c r="C33" i="3"/>
  <c r="Q33" i="3"/>
  <c r="I33" i="3" s="1"/>
  <c r="R33" i="3"/>
  <c r="C29" i="3"/>
  <c r="Q29" i="3"/>
  <c r="I29" i="3" s="1"/>
  <c r="R29" i="3"/>
  <c r="Q25" i="3"/>
  <c r="I25" i="3" s="1"/>
  <c r="R25" i="3"/>
  <c r="M66" i="3"/>
  <c r="M61" i="3"/>
  <c r="G58" i="3"/>
  <c r="G56" i="3"/>
  <c r="G54" i="3"/>
  <c r="G52" i="3"/>
  <c r="G50" i="3"/>
  <c r="G48" i="3"/>
  <c r="G46" i="3"/>
  <c r="G44" i="3"/>
  <c r="G42" i="3"/>
  <c r="C41" i="3"/>
  <c r="R41" i="3"/>
  <c r="Q38" i="3"/>
  <c r="I38" i="3" s="1"/>
  <c r="C37" i="3"/>
  <c r="R37" i="3"/>
  <c r="C36" i="3"/>
  <c r="Q36" i="3"/>
  <c r="I36" i="3" s="1"/>
  <c r="R36" i="3"/>
  <c r="C32" i="3"/>
  <c r="Q32" i="3"/>
  <c r="I32" i="3" s="1"/>
  <c r="R32" i="3"/>
  <c r="C28" i="3"/>
  <c r="Q28" i="3"/>
  <c r="I28" i="3" s="1"/>
  <c r="R28" i="3"/>
  <c r="C24" i="3"/>
  <c r="Q24" i="3"/>
  <c r="I24" i="3" s="1"/>
  <c r="R24" i="3"/>
  <c r="C13" i="3"/>
  <c r="Q13" i="3"/>
  <c r="I13" i="3" s="1"/>
  <c r="R13" i="3"/>
  <c r="C5" i="3"/>
  <c r="Q5" i="3"/>
  <c r="I5" i="3" s="1"/>
  <c r="R5" i="3"/>
  <c r="C40" i="3"/>
  <c r="R40" i="3"/>
  <c r="C35" i="3"/>
  <c r="Q35" i="3"/>
  <c r="I35" i="3" s="1"/>
  <c r="R35" i="3"/>
  <c r="C31" i="3"/>
  <c r="Q31" i="3"/>
  <c r="I31" i="3" s="1"/>
  <c r="R31" i="3"/>
  <c r="Q27" i="3"/>
  <c r="I27" i="3" s="1"/>
  <c r="R27" i="3"/>
  <c r="C20" i="3"/>
  <c r="Q20" i="3"/>
  <c r="I20" i="3" s="1"/>
  <c r="R20" i="3"/>
  <c r="O61" i="3"/>
  <c r="J61" i="3" s="1"/>
  <c r="E60" i="3"/>
  <c r="N60" i="3"/>
  <c r="M60" i="3" s="1"/>
  <c r="E59" i="3"/>
  <c r="N59" i="3"/>
  <c r="M59" i="3" s="1"/>
  <c r="E58" i="3"/>
  <c r="N58" i="3"/>
  <c r="M58" i="3" s="1"/>
  <c r="E57" i="3"/>
  <c r="N57" i="3"/>
  <c r="M57" i="3" s="1"/>
  <c r="E56" i="3"/>
  <c r="N56" i="3"/>
  <c r="M56" i="3" s="1"/>
  <c r="E55" i="3"/>
  <c r="N55" i="3"/>
  <c r="M55" i="3" s="1"/>
  <c r="E54" i="3"/>
  <c r="N54" i="3"/>
  <c r="M54" i="3" s="1"/>
  <c r="E53" i="3"/>
  <c r="N53" i="3"/>
  <c r="M53" i="3" s="1"/>
  <c r="E52" i="3"/>
  <c r="N52" i="3"/>
  <c r="M52" i="3" s="1"/>
  <c r="E51" i="3"/>
  <c r="N51" i="3"/>
  <c r="M51" i="3" s="1"/>
  <c r="E50" i="3"/>
  <c r="N50" i="3"/>
  <c r="M50" i="3" s="1"/>
  <c r="E49" i="3"/>
  <c r="N49" i="3"/>
  <c r="M49" i="3" s="1"/>
  <c r="E48" i="3"/>
  <c r="N48" i="3"/>
  <c r="M48" i="3" s="1"/>
  <c r="E47" i="3"/>
  <c r="N47" i="3"/>
  <c r="M47" i="3" s="1"/>
  <c r="E46" i="3"/>
  <c r="N46" i="3"/>
  <c r="M46" i="3" s="1"/>
  <c r="E45" i="3"/>
  <c r="N45" i="3"/>
  <c r="M45" i="3" s="1"/>
  <c r="E44" i="3"/>
  <c r="N44" i="3"/>
  <c r="M44" i="3" s="1"/>
  <c r="E43" i="3"/>
  <c r="N43" i="3"/>
  <c r="M43" i="3" s="1"/>
  <c r="E42" i="3"/>
  <c r="N42" i="3"/>
  <c r="M42" i="3" s="1"/>
  <c r="E41" i="3"/>
  <c r="N41" i="3"/>
  <c r="M41" i="3" s="1"/>
  <c r="Q40" i="3"/>
  <c r="I40" i="3" s="1"/>
  <c r="C39" i="3"/>
  <c r="R39" i="3"/>
  <c r="C34" i="3"/>
  <c r="Q34" i="3"/>
  <c r="I34" i="3" s="1"/>
  <c r="R34" i="3"/>
  <c r="C30" i="3"/>
  <c r="Q30" i="3"/>
  <c r="I30" i="3" s="1"/>
  <c r="R30" i="3"/>
  <c r="Q26" i="3"/>
  <c r="I26" i="3" s="1"/>
  <c r="R26" i="3"/>
  <c r="D26" i="3" s="1"/>
  <c r="C17" i="3"/>
  <c r="Q17" i="3"/>
  <c r="I17" i="3" s="1"/>
  <c r="R17" i="3"/>
  <c r="C9" i="3"/>
  <c r="Q9" i="3"/>
  <c r="I9" i="3" s="1"/>
  <c r="R9" i="3"/>
  <c r="N40" i="3"/>
  <c r="M40" i="3" s="1"/>
  <c r="N39" i="3"/>
  <c r="M39" i="3" s="1"/>
  <c r="N38" i="3"/>
  <c r="M38" i="3" s="1"/>
  <c r="N37" i="3"/>
  <c r="M37" i="3" s="1"/>
  <c r="N36" i="3"/>
  <c r="M36" i="3" s="1"/>
  <c r="N35" i="3"/>
  <c r="M35" i="3" s="1"/>
  <c r="N34" i="3"/>
  <c r="M34" i="3" s="1"/>
  <c r="N33" i="3"/>
  <c r="M33" i="3" s="1"/>
  <c r="N32" i="3"/>
  <c r="M32" i="3" s="1"/>
  <c r="N31" i="3"/>
  <c r="M31" i="3" s="1"/>
  <c r="N30" i="3"/>
  <c r="M30" i="3" s="1"/>
  <c r="N29" i="3"/>
  <c r="M29" i="3" s="1"/>
  <c r="N28" i="3"/>
  <c r="M28" i="3" s="1"/>
  <c r="N27" i="3"/>
  <c r="M27" i="3" s="1"/>
  <c r="N25" i="3"/>
  <c r="M25" i="3" s="1"/>
  <c r="N24" i="3"/>
  <c r="M24" i="3" s="1"/>
  <c r="Q23" i="3"/>
  <c r="I23" i="3" s="1"/>
  <c r="C16" i="3"/>
  <c r="Q16" i="3"/>
  <c r="I16" i="3" s="1"/>
  <c r="R16" i="3"/>
  <c r="C12" i="3"/>
  <c r="Q12" i="3"/>
  <c r="I12" i="3" s="1"/>
  <c r="R12" i="3"/>
  <c r="C8" i="3"/>
  <c r="Q8" i="3"/>
  <c r="I8" i="3" s="1"/>
  <c r="R8" i="3"/>
  <c r="C4" i="3"/>
  <c r="Q4" i="3"/>
  <c r="I4" i="3" s="1"/>
  <c r="R4" i="3"/>
  <c r="C22" i="3"/>
  <c r="Q22" i="3"/>
  <c r="I22" i="3" s="1"/>
  <c r="C19" i="3"/>
  <c r="Q19" i="3"/>
  <c r="I19" i="3" s="1"/>
  <c r="R19" i="3"/>
  <c r="C15" i="3"/>
  <c r="Q15" i="3"/>
  <c r="I15" i="3" s="1"/>
  <c r="R15" i="3"/>
  <c r="C11" i="3"/>
  <c r="Q11" i="3"/>
  <c r="I11" i="3" s="1"/>
  <c r="R11" i="3"/>
  <c r="C7" i="3"/>
  <c r="Q7" i="3"/>
  <c r="I7" i="3" s="1"/>
  <c r="R7" i="3"/>
  <c r="C3" i="3"/>
  <c r="Q3" i="3"/>
  <c r="I3" i="3" s="1"/>
  <c r="R3" i="3"/>
  <c r="G23" i="3"/>
  <c r="R22" i="3"/>
  <c r="C21" i="3"/>
  <c r="Q21" i="3"/>
  <c r="I21" i="3" s="1"/>
  <c r="E19" i="3"/>
  <c r="N19" i="3"/>
  <c r="M19" i="3" s="1"/>
  <c r="C18" i="3"/>
  <c r="Q18" i="3"/>
  <c r="I18" i="3" s="1"/>
  <c r="R18" i="3"/>
  <c r="C14" i="3"/>
  <c r="Q14" i="3"/>
  <c r="I14" i="3" s="1"/>
  <c r="R14" i="3"/>
  <c r="C10" i="3"/>
  <c r="Q10" i="3"/>
  <c r="I10" i="3" s="1"/>
  <c r="R10" i="3"/>
  <c r="C6" i="3"/>
  <c r="Q6" i="3"/>
  <c r="I6" i="3" s="1"/>
  <c r="R6" i="3"/>
  <c r="Q2" i="3"/>
  <c r="I2" i="3" s="1"/>
  <c r="R2" i="3"/>
  <c r="D2" i="3" s="1"/>
  <c r="N18" i="3"/>
  <c r="M18" i="3" s="1"/>
  <c r="E18" i="3"/>
  <c r="N17" i="3"/>
  <c r="M17" i="3" s="1"/>
  <c r="E17" i="3"/>
  <c r="N16" i="3"/>
  <c r="M16" i="3" s="1"/>
  <c r="E16" i="3"/>
  <c r="N15" i="3"/>
  <c r="M15" i="3" s="1"/>
  <c r="E15" i="3"/>
  <c r="N14" i="3"/>
  <c r="M14" i="3" s="1"/>
  <c r="E14" i="3"/>
  <c r="N13" i="3"/>
  <c r="M13" i="3" s="1"/>
  <c r="E13" i="3"/>
  <c r="N12" i="3"/>
  <c r="M12" i="3" s="1"/>
  <c r="E12" i="3"/>
  <c r="N11" i="3"/>
  <c r="M11" i="3" s="1"/>
  <c r="E11" i="3"/>
  <c r="N10" i="3"/>
  <c r="M10" i="3" s="1"/>
  <c r="E10" i="3"/>
  <c r="N9" i="3"/>
  <c r="M9" i="3" s="1"/>
  <c r="E9" i="3"/>
  <c r="N8" i="3"/>
  <c r="M8" i="3" s="1"/>
  <c r="E8" i="3"/>
  <c r="N7" i="3"/>
  <c r="M7" i="3" s="1"/>
  <c r="E7" i="3"/>
  <c r="N6" i="3"/>
  <c r="M6" i="3" s="1"/>
  <c r="E6" i="3"/>
  <c r="N5" i="3"/>
  <c r="M5" i="3" s="1"/>
  <c r="E5" i="3"/>
  <c r="N4" i="3"/>
  <c r="M4" i="3" s="1"/>
  <c r="E4" i="3"/>
  <c r="N3" i="3"/>
  <c r="M3" i="3" s="1"/>
  <c r="E3" i="3"/>
  <c r="N2" i="3"/>
  <c r="M2" i="3" s="1"/>
  <c r="L2" i="3" s="1"/>
  <c r="K2" i="3" s="1"/>
  <c r="D61" i="3" l="1"/>
  <c r="F22" i="3"/>
  <c r="L22" i="3"/>
  <c r="K22" i="3" s="1"/>
  <c r="G63" i="3"/>
  <c r="D63" i="3"/>
  <c r="D59" i="3"/>
  <c r="G59" i="3"/>
  <c r="D57" i="3"/>
  <c r="G57" i="3"/>
  <c r="D55" i="3"/>
  <c r="G55" i="3"/>
  <c r="D53" i="3"/>
  <c r="G53" i="3"/>
  <c r="D51" i="3"/>
  <c r="G51" i="3"/>
  <c r="D49" i="3"/>
  <c r="G49" i="3"/>
  <c r="D47" i="3"/>
  <c r="G47" i="3"/>
  <c r="D45" i="3"/>
  <c r="G45" i="3"/>
  <c r="D43" i="3"/>
  <c r="G43" i="3"/>
  <c r="L23" i="3"/>
  <c r="K23" i="3" s="1"/>
  <c r="F23" i="3"/>
  <c r="D60" i="3"/>
  <c r="G60" i="3"/>
  <c r="L26" i="3"/>
  <c r="K26" i="3" s="1"/>
  <c r="F26" i="3"/>
  <c r="D64" i="3"/>
  <c r="D62" i="3"/>
  <c r="G62" i="3"/>
  <c r="G61" i="3"/>
  <c r="D66" i="3"/>
  <c r="G66" i="3"/>
  <c r="L3" i="3"/>
  <c r="K3" i="3" s="1"/>
  <c r="F3" i="3"/>
  <c r="L5" i="3"/>
  <c r="K5" i="3" s="1"/>
  <c r="F5" i="3"/>
  <c r="L7" i="3"/>
  <c r="K7" i="3" s="1"/>
  <c r="F7" i="3"/>
  <c r="L9" i="3"/>
  <c r="K9" i="3" s="1"/>
  <c r="F9" i="3"/>
  <c r="L11" i="3"/>
  <c r="K11" i="3" s="1"/>
  <c r="F11" i="3"/>
  <c r="L13" i="3"/>
  <c r="K13" i="3" s="1"/>
  <c r="F13" i="3"/>
  <c r="L15" i="3"/>
  <c r="K15" i="3" s="1"/>
  <c r="F15" i="3"/>
  <c r="L17" i="3"/>
  <c r="K17" i="3" s="1"/>
  <c r="F17" i="3"/>
  <c r="F44" i="3"/>
  <c r="L44" i="3"/>
  <c r="K44" i="3" s="1"/>
  <c r="F48" i="3"/>
  <c r="L48" i="3"/>
  <c r="K48" i="3" s="1"/>
  <c r="F52" i="3"/>
  <c r="L52" i="3"/>
  <c r="K52" i="3" s="1"/>
  <c r="F56" i="3"/>
  <c r="L56" i="3"/>
  <c r="K56" i="3" s="1"/>
  <c r="F60" i="3"/>
  <c r="L60" i="3"/>
  <c r="K60" i="3" s="1"/>
  <c r="L6" i="3"/>
  <c r="K6" i="3" s="1"/>
  <c r="F6" i="3"/>
  <c r="L10" i="3"/>
  <c r="K10" i="3" s="1"/>
  <c r="F10" i="3"/>
  <c r="L14" i="3"/>
  <c r="K14" i="3" s="1"/>
  <c r="F14" i="3"/>
  <c r="L18" i="3"/>
  <c r="K18" i="3" s="1"/>
  <c r="F18" i="3"/>
  <c r="F47" i="3"/>
  <c r="L47" i="3"/>
  <c r="K47" i="3" s="1"/>
  <c r="F55" i="3"/>
  <c r="L55" i="3"/>
  <c r="K55" i="3" s="1"/>
  <c r="G10" i="3"/>
  <c r="D10" i="3"/>
  <c r="G18" i="3"/>
  <c r="D18" i="3"/>
  <c r="L12" i="3"/>
  <c r="K12" i="3" s="1"/>
  <c r="F12" i="3"/>
  <c r="L16" i="3"/>
  <c r="K16" i="3" s="1"/>
  <c r="F16" i="3"/>
  <c r="L36" i="3"/>
  <c r="K36" i="3" s="1"/>
  <c r="F36" i="3"/>
  <c r="L40" i="3"/>
  <c r="K40" i="3" s="1"/>
  <c r="F40" i="3"/>
  <c r="G9" i="3"/>
  <c r="D9" i="3"/>
  <c r="G17" i="3"/>
  <c r="D17" i="3"/>
  <c r="G20" i="3"/>
  <c r="D20" i="3"/>
  <c r="G31" i="3"/>
  <c r="D31" i="3"/>
  <c r="G28" i="3"/>
  <c r="D28" i="3"/>
  <c r="G37" i="3"/>
  <c r="D37" i="3"/>
  <c r="F61" i="3"/>
  <c r="L61" i="3"/>
  <c r="K61" i="3" s="1"/>
  <c r="F66" i="3"/>
  <c r="L66" i="3"/>
  <c r="K66" i="3" s="1"/>
  <c r="F42" i="3"/>
  <c r="L42" i="3"/>
  <c r="K42" i="3" s="1"/>
  <c r="F50" i="3"/>
  <c r="L50" i="3"/>
  <c r="K50" i="3" s="1"/>
  <c r="F53" i="3"/>
  <c r="L53" i="3"/>
  <c r="K53" i="3" s="1"/>
  <c r="G21" i="3"/>
  <c r="D21" i="3"/>
  <c r="G4" i="3"/>
  <c r="D4" i="3"/>
  <c r="G8" i="3"/>
  <c r="D8" i="3"/>
  <c r="G12" i="3"/>
  <c r="D12" i="3"/>
  <c r="G16" i="3"/>
  <c r="D16" i="3"/>
  <c r="L24" i="3"/>
  <c r="K24" i="3" s="1"/>
  <c r="F24" i="3"/>
  <c r="L29" i="3"/>
  <c r="K29" i="3" s="1"/>
  <c r="F29" i="3"/>
  <c r="L33" i="3"/>
  <c r="K33" i="3" s="1"/>
  <c r="F33" i="3"/>
  <c r="L37" i="3"/>
  <c r="K37" i="3" s="1"/>
  <c r="F37" i="3"/>
  <c r="G34" i="3"/>
  <c r="D34" i="3"/>
  <c r="G27" i="3"/>
  <c r="D27" i="3"/>
  <c r="G40" i="3"/>
  <c r="D40" i="3"/>
  <c r="G5" i="3"/>
  <c r="D5" i="3"/>
  <c r="G13" i="3"/>
  <c r="D13" i="3"/>
  <c r="G24" i="3"/>
  <c r="D24" i="3"/>
  <c r="F62" i="3"/>
  <c r="L62" i="3"/>
  <c r="K62" i="3" s="1"/>
  <c r="G33" i="3"/>
  <c r="D33" i="3"/>
  <c r="G14" i="3"/>
  <c r="D14" i="3"/>
  <c r="L4" i="3"/>
  <c r="K4" i="3" s="1"/>
  <c r="F4" i="3"/>
  <c r="L32" i="3"/>
  <c r="K32" i="3" s="1"/>
  <c r="F32" i="3"/>
  <c r="F58" i="3"/>
  <c r="L58" i="3"/>
  <c r="K58" i="3" s="1"/>
  <c r="G22" i="3"/>
  <c r="D22" i="3"/>
  <c r="L25" i="3"/>
  <c r="K25" i="3" s="1"/>
  <c r="F25" i="3"/>
  <c r="L30" i="3"/>
  <c r="K30" i="3" s="1"/>
  <c r="F30" i="3"/>
  <c r="L34" i="3"/>
  <c r="K34" i="3" s="1"/>
  <c r="F34" i="3"/>
  <c r="L38" i="3"/>
  <c r="K38" i="3" s="1"/>
  <c r="F38" i="3"/>
  <c r="G30" i="3"/>
  <c r="D30" i="3"/>
  <c r="G36" i="3"/>
  <c r="D36" i="3"/>
  <c r="F63" i="3"/>
  <c r="L63" i="3"/>
  <c r="K63" i="3" s="1"/>
  <c r="G29" i="3"/>
  <c r="D29" i="3"/>
  <c r="F46" i="3"/>
  <c r="L46" i="3"/>
  <c r="K46" i="3" s="1"/>
  <c r="F54" i="3"/>
  <c r="L54" i="3"/>
  <c r="K54" i="3" s="1"/>
  <c r="L41" i="3"/>
  <c r="K41" i="3" s="1"/>
  <c r="F41" i="3"/>
  <c r="F49" i="3"/>
  <c r="L49" i="3"/>
  <c r="K49" i="3" s="1"/>
  <c r="F57" i="3"/>
  <c r="L57" i="3"/>
  <c r="K57" i="3" s="1"/>
  <c r="G6" i="3"/>
  <c r="D6" i="3"/>
  <c r="L8" i="3"/>
  <c r="K8" i="3" s="1"/>
  <c r="F8" i="3"/>
  <c r="L20" i="3"/>
  <c r="K20" i="3" s="1"/>
  <c r="F20" i="3"/>
  <c r="L28" i="3"/>
  <c r="K28" i="3" s="1"/>
  <c r="F28" i="3"/>
  <c r="F45" i="3"/>
  <c r="L45" i="3"/>
  <c r="K45" i="3" s="1"/>
  <c r="L19" i="3"/>
  <c r="K19" i="3" s="1"/>
  <c r="F19" i="3"/>
  <c r="G3" i="3"/>
  <c r="D3" i="3"/>
  <c r="G7" i="3"/>
  <c r="D7" i="3"/>
  <c r="G11" i="3"/>
  <c r="D11" i="3"/>
  <c r="G15" i="3"/>
  <c r="D15" i="3"/>
  <c r="G19" i="3"/>
  <c r="D19" i="3"/>
  <c r="L21" i="3"/>
  <c r="K21" i="3" s="1"/>
  <c r="F21" i="3"/>
  <c r="L27" i="3"/>
  <c r="K27" i="3" s="1"/>
  <c r="F27" i="3"/>
  <c r="L31" i="3"/>
  <c r="K31" i="3" s="1"/>
  <c r="F31" i="3"/>
  <c r="L35" i="3"/>
  <c r="K35" i="3" s="1"/>
  <c r="F35" i="3"/>
  <c r="L39" i="3"/>
  <c r="K39" i="3" s="1"/>
  <c r="F39" i="3"/>
  <c r="G39" i="3"/>
  <c r="D39" i="3"/>
  <c r="G35" i="3"/>
  <c r="D35" i="3"/>
  <c r="G32" i="3"/>
  <c r="D32" i="3"/>
  <c r="G41" i="3"/>
  <c r="D41" i="3"/>
  <c r="F64" i="3"/>
  <c r="L64" i="3"/>
  <c r="K64" i="3" s="1"/>
  <c r="G25" i="3"/>
  <c r="D25" i="3"/>
  <c r="G38" i="3"/>
  <c r="D38" i="3"/>
  <c r="F43" i="3"/>
  <c r="L43" i="3"/>
  <c r="K43" i="3" s="1"/>
  <c r="F51" i="3"/>
  <c r="L51" i="3"/>
  <c r="K51" i="3" s="1"/>
  <c r="F59" i="3"/>
  <c r="L59" i="3"/>
  <c r="K59" i="3" s="1"/>
</calcChain>
</file>

<file path=xl/sharedStrings.xml><?xml version="1.0" encoding="utf-8"?>
<sst xmlns="http://schemas.openxmlformats.org/spreadsheetml/2006/main" count="287" uniqueCount="283">
  <si>
    <t>Columna8</t>
  </si>
  <si>
    <t>Columna6</t>
  </si>
  <si>
    <t>REFERENCIA</t>
  </si>
  <si>
    <t>INSTALLER SIN IVA</t>
  </si>
  <si>
    <t>PRECIO SUGERIDO INSTALADOR</t>
  </si>
  <si>
    <t>dcto tienda</t>
  </si>
  <si>
    <t>DPP ORO</t>
  </si>
  <si>
    <t>DPP PLATINO</t>
  </si>
  <si>
    <t>platino2</t>
  </si>
  <si>
    <t>Columna3</t>
  </si>
  <si>
    <t>PLATINO</t>
  </si>
  <si>
    <t xml:space="preserve"> ORO</t>
  </si>
  <si>
    <t>PRECIO SUGERIDO INSTALADOR
( CON  IVA)</t>
  </si>
  <si>
    <t>PRECIO CLIENTE FINAL ( CON  IVA)</t>
  </si>
  <si>
    <t>PRECIO DPP PLATINO ( CON  IVA)</t>
  </si>
  <si>
    <t>PRECIO DPP ORO ( CON  IVA)</t>
  </si>
  <si>
    <t>PRECIO TIENDA ( CON  IVA)</t>
  </si>
  <si>
    <t xml:space="preserve">DESCRIPCIÓN </t>
  </si>
  <si>
    <t>DS-K1T344MBFWX-E1</t>
  </si>
  <si>
    <t>WIFI, TERMINAL DE RECONOCIMIENTO FACIAL ULTRA RÁPIDO  HASTA 1.5 MTS EN LECTURA SOLO PARA ASISTENCIA WIFI CAPACIDAD 1500 ROSTROS / REPORTES EN EXCEL</t>
  </si>
  <si>
    <t>DS-K1A340WX</t>
  </si>
  <si>
    <t>DS-K1T342MFWX-E1</t>
  </si>
  <si>
    <t xml:space="preserve">TORNIQUETE SWING CENTRAL SERIE 220 PARA AMPLIAR NUMERO DE CARRILES DE 90 CMS PREPARACION PARA INSTALAR TERMINAL FACIAL 4 PARES DE IR </t>
  </si>
  <si>
    <t>DS-K3B220LX-M/Pg-Dp90</t>
  </si>
  <si>
    <t>DS-K1TA70MI-T</t>
  </si>
  <si>
    <t>TERMINAL  DE ASISTENCIA  CON HUELLA CON BATERIA DE RESPALDO  REPORTES POR USB LECTOR DE TARJETAS MIREFIRE  1.000 USUARIOS  PANTALLA LCD 2.4"</t>
  </si>
  <si>
    <t>DS-K1A8503MF</t>
  </si>
  <si>
    <t>SOPORTE TIPO Z PARA ELECTROIMAN 550LB, PARA DS-K4H250S/D.</t>
  </si>
  <si>
    <t>DS-K4H250-LZ</t>
  </si>
  <si>
    <t>SOPORTE DE BLOQUEO MAGNETICO DE LA SERIE VALUE PARA DS-K4H255S</t>
  </si>
  <si>
    <t>DS-K4H255-LZ</t>
  </si>
  <si>
    <t>DS-TMG300-DR(2.5-4.5m telescopic)</t>
  </si>
  <si>
    <t>DS-TMG300-DR/A/B(4m light bar)</t>
  </si>
  <si>
    <t>DS-K1802E</t>
  </si>
  <si>
    <t>LECTORA TARJETA MIFARE, TECLADO, RS485</t>
  </si>
  <si>
    <t>DS-K1107MK</t>
  </si>
  <si>
    <t>LECTORA TARJETA MIFARE SOPORTA WIEGAND IP 65 12VDC</t>
  </si>
  <si>
    <t>DS-K1801MK</t>
  </si>
  <si>
    <t>LECTORA TARJETA MIFARE RS485</t>
  </si>
  <si>
    <t>DS-K1107M</t>
  </si>
  <si>
    <t>LECTORA 1 TARJETA MIFARE RS485 &amp; WIEGAND(W26/W34) ALARMA A PRUEBA DE MANIPULACIONES</t>
  </si>
  <si>
    <t>DS-K1108AM</t>
  </si>
  <si>
    <t xml:space="preserve">LECTORA  TARJETA MIFARE WIEGAND(W26/W34/W27/W35) </t>
  </si>
  <si>
    <t>DS-K1802M</t>
  </si>
  <si>
    <t>LECTORA  EM TARJETAS, TECLADO,  RS485</t>
  </si>
  <si>
    <t>DS-K1107EK</t>
  </si>
  <si>
    <t>LECTORA  EM TARJETAS  RS485</t>
  </si>
  <si>
    <t>DS-K1107E</t>
  </si>
  <si>
    <t>LECTOR DE TARJETAS RS485</t>
  </si>
  <si>
    <t>DS-K1107AM</t>
  </si>
  <si>
    <t>LECTOR DE TARJETAS MIFARE EXTERIOR IP65 COMPATIBLE CON CUALQUIER PANEL PEQUEÑO</t>
  </si>
  <si>
    <t>DS-K1801M</t>
  </si>
  <si>
    <t>LECTOR DE TARJETAS EN METAL</t>
  </si>
  <si>
    <t>DS-K1104M</t>
  </si>
  <si>
    <t>DS-K1201AMF</t>
  </si>
  <si>
    <t>DS-TMG320-LL/B(Barrier Body)</t>
  </si>
  <si>
    <t>KIT DE RECONOCIMIENTO FACIAL INCLUYE: DS-K1T341AMF TERMINAL DE RECONOCIMIENTO, DS-K4H258S CHAPA MAGNÉTICA, DS-K4H258-LZ BRACKET, DS-K7P03 BOTÓN DE SALIDA Y TARJETAS FM11RF08-M1/ 3,000 ROSTROS / COMPATIBLE CON APP HIKCONNECT / VIDEOPORTERO /</t>
  </si>
  <si>
    <t>DS-KAS541</t>
  </si>
  <si>
    <t xml:space="preserve">KIT DE CONTROL DE ACCESO TODO INCLUIDO CON LECTOR DE HUELLAS Y TARJETAS/ 3,000 HUELLAS /COMPATIBLE CON APP HIKCONNECT/ELECTROIMÁN BOTON DE SALIDA Y MONTAJES Z Y L PARA IMÁN </t>
  </si>
  <si>
    <t>DS-KAS261</t>
  </si>
  <si>
    <t>ESTACION DE TARJETA ADMITE TARJETAS EM Y MIFARE USB</t>
  </si>
  <si>
    <t>DS-K1F100-D8E</t>
  </si>
  <si>
    <t>ESTACION DE INSCRIPCION CAPACIDAD PARA 20000 TARJETAS, 20000 HUELLAS DACTILARES</t>
  </si>
  <si>
    <t>DS-K1F600U-D6E-F</t>
  </si>
  <si>
    <t>ELECTROIMAN 1 PUERTA 272 KG PARA PUERTA NORMAL O DE VIDRIO/INDICADOR LED</t>
  </si>
  <si>
    <t>DS-K4H255S</t>
  </si>
  <si>
    <t xml:space="preserve">CONTROLADOR MAESTRO PARA CONTROL DE ELEVADORES / CONTROL DE ACCESO PARA LOS PISOS DE LOS ELEVADORES POR HUELLA O TARJETA </t>
  </si>
  <si>
    <t>DS-K2210</t>
  </si>
  <si>
    <t xml:space="preserve">Controlador de Acceso 4 Puertas Administrable en la Nube con Hik-Connect Teams / Interfaz Web / 8 Lectores de Huella o Tarjeta / 100,000 Tarjetas / 10,000 Huellas </t>
  </si>
  <si>
    <t>DS-K2624X</t>
  </si>
  <si>
    <t>Controlador de Acceso 2 Puertas Ad/ Interfaz Web / 4 Lectores de Huella o Tarjeta / 100,000 Tarjetas / 10,000 Huellas</t>
  </si>
  <si>
    <t>DS-K2622X</t>
  </si>
  <si>
    <t>CAJA DE ALIMENTACION DE 50W / SUMINISTRA ENERGIA PARA UNA TERMINAL DE CONTROL DE ACCESO Y UNA CERRADURA / VOLTAJE ENTRADA 100 A 120VAC / VOLTAJE SALIDA 12VDC</t>
  </si>
  <si>
    <t>DS-K7M-AW50</t>
  </si>
  <si>
    <t>BOTON SIN CONTACTO PARA SALIDA ALUMINIO</t>
  </si>
  <si>
    <t>DS-K7P05(O-NEU)</t>
  </si>
  <si>
    <t>DS-K7P07(O-NEU)</t>
  </si>
  <si>
    <t xml:space="preserve"> TERMINAL DE RECONOCIMIENTO FACIAL ULTRA RÁPIDO HASTA A 1.5 MTS, ANTI-SPOOFING, WIFI, 1500 ROSTROS, 3,000 TARJETAS M1, 150,000 EVENTOS, CONTROL ACCESO Y TIEMPO ASISTENCIA, HIKCONNECT, VIDEO PORTERO</t>
  </si>
  <si>
    <t>DS-K1T343MWX</t>
  </si>
  <si>
    <t xml:space="preserve"> TERMINAL DE RECONOCIMIENTO FACIAL ULTRA RÁPIDO HASTA A 1.5 MTS, ANTI-SPOOFING, WIFI, 1,500 ROSTROS, 3,000 TARJETAS,3,000 QR, 150,000 EVENTOS, CONTROL ACCESO Y TIEMPO ASISTENCIA, VIDEO PORTERO</t>
  </si>
  <si>
    <t>DS-K1T342MWX</t>
  </si>
  <si>
    <t xml:space="preserve"> LECTOR DE TARJETAS MIFARE IP RS485 Y WIEGAND (W26/W34)ALAMA APRUEBA DE MANPULACIONES </t>
  </si>
  <si>
    <t>DS-K1101M</t>
  </si>
  <si>
    <t>DS-K1T323MBWX-QRE1</t>
  </si>
  <si>
    <t xml:space="preserve">TERMINAL DE RECONOCIMIENTO FACIAL CON DETECCION DE TEMPERATURA Y MASCARA PANTALLA TACTIL LCD CAMARA 2MP 500 ROSTROS 3000 TARJETAS                                                                         </t>
  </si>
  <si>
    <t>DS-K1T321MFWX</t>
  </si>
  <si>
    <t>TERMINAL DE CONTROL DE ACCESO Y ASISTENCIA COMPATIBLE CON APP HIK-CONNECT (P2P), 1,000 USUARIOS, 1,000 TARJETAS M1, 1,000 HUELLAS, 100,000 EVENTOS, RELEVADOR PARA CHAPA, PANTALLA LCD TFT 2.4, 12VDC, TCP/IP</t>
  </si>
  <si>
    <t>DS-K1T8003MF</t>
  </si>
  <si>
    <t>TERMINAL DE CONTROL DE ACCESO Y ASISTENCIA COMPATIBLE CON APP HIK-CONNECT (P2P), 1,000 USUARIOS, 1,000 TARJETAS EM, 1,000 HUELLAS, 100,000 EVENTOS, RELEVADOR PARA CHAPA, PANTALLA LCD TFT 2.4, 12VDC, TCP/IP</t>
  </si>
  <si>
    <t>DS-K1T8003EF</t>
  </si>
  <si>
    <t>DS-K1T804AMF</t>
  </si>
  <si>
    <t>SOPORTE TIPO Z PARA ELECTROIMAN K4H258S</t>
  </si>
  <si>
    <t>DS-K4H258-LZ</t>
  </si>
  <si>
    <t xml:space="preserve">PUERTA DE BARRERA DE CONVERSIÓN DE FRECUENCIA DE CC DE BRAZO RECTO SERIE 5 </t>
  </si>
  <si>
    <t>DS-TMG520-H(3m octagonal)</t>
  </si>
  <si>
    <t>PANEL CONTROL DE ACCESO 4 PUERTAS WIEGAND TCP/IP 10,000 TARJETAS 50,000 EVENTOS</t>
  </si>
  <si>
    <t>DS-K2804</t>
  </si>
  <si>
    <t>PANEL CONTROL ACCESO 2 PUERTAS WIEGAND TCP/IP
10,000 TARJETAS 50,000 EVENTOS</t>
  </si>
  <si>
    <t>DS-K2802</t>
  </si>
  <si>
    <t>MONTAJE EN "U" PARA INSTALACIÓN DE CHAPA MAGNÉTICA EN PUERTA DE CRISTAL </t>
  </si>
  <si>
    <t>DS-K4H258-U</t>
  </si>
  <si>
    <t>LECTORA DE PROXIMIDAD CON TECLADO LED RS-485</t>
  </si>
  <si>
    <t>DS-K1108AEK</t>
  </si>
  <si>
    <t>Lector esclavo IP65 Huella Digital Lector de Tarjetas de Proxi RS-485</t>
  </si>
  <si>
    <t>DS-K1201EF</t>
  </si>
  <si>
    <t xml:space="preserve">LECTOR DE HUELLAS Y TARJETAS EM   </t>
  </si>
  <si>
    <t>DS-K1200EF</t>
  </si>
  <si>
    <t>ESTACION SCANNER HUELLA USB</t>
  </si>
  <si>
    <t>DS-K1F820-F</t>
  </si>
  <si>
    <t>ELECTROIMAN 1 PUERTA 280KGELECTROIMAN 1 PUERTA 280KG</t>
  </si>
  <si>
    <t>DS-K4H258S</t>
  </si>
  <si>
    <t>ELECTROIMAN 1 PUERTA 280 KGELECTROIMAN 1 PUERTA 280 KG</t>
  </si>
  <si>
    <t>DS-K4H250S</t>
  </si>
  <si>
    <t>CONTROLADORA DE ACCESO 2 PUERTAS / 4 LECTORES HUELLA TARJETA / INTEGRACION CON VIDEO / 100.000 TARJETAS/ 300,000 EVENTOS TCP/IP / 4 ENTRADAS WIEGAND / 4 RS-485</t>
  </si>
  <si>
    <t>DS-K2602T</t>
  </si>
  <si>
    <t>BOTON DE SALIDA Y EMERGENCIA PANEL DE ACERO UNOXID</t>
  </si>
  <si>
    <t>DS-K7P03(O-NEU)/T</t>
  </si>
  <si>
    <t>BOTON APERTURA PUERTA ACCESO METALICO</t>
  </si>
  <si>
    <t>DS-K7P02(O-NEU)</t>
  </si>
  <si>
    <t xml:space="preserve"> TERMINAL DE RECONOCIMIENTO FACIAL ULTRA RÁPIDO HASTA A 1.5 MTS, ANTI-SPOOFING, WIFI, 10,000 ROSTROS, 10,000 HUELLAS, 50,000 TARJETAS, IP65, CONTROL ACCESO Y TIEMPO ASISTENCIA,VIDEO PORTERO, SOPORTA MÓDULO LECTOR DE HUELLA, QR Y BLUETOOTH, PANTALLA DE 7" </t>
  </si>
  <si>
    <t>DS-K1T673DWX</t>
  </si>
  <si>
    <t>DS-K1T320MFX</t>
  </si>
  <si>
    <t>S50+TK4100</t>
  </si>
  <si>
    <t>DS-K1T501SF/WIFI</t>
  </si>
  <si>
    <t>ORO SIN IVA</t>
  </si>
  <si>
    <t>DESCUENTO</t>
  </si>
  <si>
    <t>PRECIO  INSTALADOR
( CON  IVA)</t>
  </si>
  <si>
    <t>DS-K1T344MBWX-QRE1</t>
  </si>
  <si>
    <t>DS-K1T320MFWX-B</t>
  </si>
  <si>
    <t>TERMINAL DE RECONOCIMIENTO FACIAL / PANTALLA LCD 2.4″ / LENTE 2 MP / AUTENTICACIÓN POR ROSTRO, HUELLA, TARJETA M1 Y PIN / CAPACIDAD: 500 ROSTROS, 1 000 TARJETAS, 1 000 HUELLAS, 100 000 EVENTOS</t>
  </si>
  <si>
    <t>DS-K1T321MFWX-B</t>
  </si>
  <si>
    <t>IGUAL AL MODELO 320, PERO CON CAPACIDAD AMPLIADA: 500 ROSTROS, 3 000 TARJETAS, 3 000 HUELLAS, 150 000 EVENTOS / SOPORTA Wi‑Fi Y RS‑485</t>
  </si>
  <si>
    <t>DS-K1T323MBFWX-E1</t>
  </si>
  <si>
    <t>TERMINAL DE RECONOCIMIENTO FACIAL / PANTALLA LCD 2.4″ / LENTE 2 MP / AUTENTICACIÓN POR ROSTRO, TARJETA M1 Y CÓDIGO QR / CAPACIDAD: 1 000 ROSTROS, 3 000 TARJETAS / TIEMPO DE RECONOCIMIENTO &lt; 0.2 s / AUDIO BIDIRECCIONAL / CONFIGURACIÓN POR WEB MÓVIL Y PC / ALIMENTACIÓN POE + SALIDA PARA CERRADURA</t>
  </si>
  <si>
    <t>DS-K1T343MFWX-B</t>
  </si>
  <si>
    <t>TERMINAL VALUE SERIES / PANTALLA TÁCTIL LCD 4.3″ / LENTE 2 MP / CAPACIDAD: 1 500 ROSTROS, 3 000 HUELLAS, 3 000 TARJETAS / AUDIO BIDIRECCIONAL / Wi‑Fi / PRECISIÓN ≥ 99%</t>
  </si>
  <si>
    <t>DS-K1T673TDWX</t>
  </si>
  <si>
    <t>TERMINAL PRO SERIES / PANTALLA TÁCTIL IPS 7″ / LENTE 2 MP / RECONOCIMIENTO A 0.3–3 M / CAPACIDAD: 100 000 ROSTROS, 10 000 HUELLAS*, 50 000 TARJETAS, 150 000 EVENTOS / DETECCIÓN DE MASCARILLA / MÓDULOS TARJETA M1, FÉLICA, DESFIRE / Wi‑Fi / IP65 IK08</t>
  </si>
  <si>
    <t>DS-K1T805MBFWX</t>
  </si>
  <si>
    <t>TERMINAL VALUE SERIES HUELLA Y TARJETA / PROTECCIÓN IP65 IK08 / CAPACIDAD: 3 000 HUELLAS, 10 000 TARJETAS, 100 000 EVENTOS / LECTOR TARJETA M1 / BLUETOOTH Y AP MODE / CONFIGURACIÓN VÍA HIK‑CONNECT</t>
  </si>
  <si>
    <t xml:space="preserve"> TERMINAL DE RECONOCIMIENTO FACIAL ULTRA RÁPIDO HASTA A 1.5 MTS, ANTI-SPOOFING, PIN, 1,000 HUELLAS 500 ROSTROS 1000 TARJETAS M1, 100,000 EVENTOS, CONTROL ACCESO Y TIEMPO ASISTENCIA, HIKCONNECT</t>
  </si>
  <si>
    <t>TERMINAL DE RECONOCIMIENTO FACIAL / PANTALLA TÁCTIL LCD 4.3″ / LENTE GRAN ANGULAR 2 MP / AUTENTICACIÓN POR ROSTRO, TARJETA M1, HUELLA Y PIN / CAPACIDAD: 1 500 ROSTROS, 3 000 HUELLAS, 3 000 TARJETAS / TIEMPO DE RECONOCIMIENTO &lt; 0.2 s / AUDIO BIDIRECCIONAL / CONFIGURACIÓN POR WEB / ALIMENTACIÓN PoE + SALIDA PARA CERRADURA (12 VDC/1 A) / PROTOCOLOS ISAPI E ISUP5.0 / PROTECCIÓN IP65 / RECONOCIMIENTO CON MASCARILLA / SOPORTE MULTILENGUAJE / ADAPTADO PARA CONTROL DE ASISTENCIA</t>
  </si>
  <si>
    <t>Terminal Facial Min Moe WiFi / Lector de QRs Físico de Alta Velocidad / 3000 Rostros / Pantalla 4.3"</t>
  </si>
  <si>
    <t>Terminal Min Moe WiFi de Reconocimiento Facial (Exterior IP65) / Hasta 1.5 mts en lectura</t>
  </si>
  <si>
    <r>
      <t xml:space="preserve">TERMINAL DE RECONOCIMIENTO FACIAL  CON </t>
    </r>
    <r>
      <rPr>
        <sz val="10"/>
        <color rgb="FFFF0000"/>
        <rFont val="Aptos Narrow"/>
        <family val="2"/>
        <scheme val="minor"/>
      </rPr>
      <t>DETECCION DE TEMPERATURA</t>
    </r>
    <r>
      <rPr>
        <sz val="10"/>
        <rFont val="Aptos Narrow"/>
        <family val="2"/>
        <scheme val="minor"/>
      </rPr>
      <t xml:space="preserve"> Y MASCARA PANTALLA TACTIL LCD 7IN CAMARA 2MP 6000 </t>
    </r>
    <r>
      <rPr>
        <sz val="10"/>
        <color rgb="FFFF0000"/>
        <rFont val="Aptos Narrow"/>
        <family val="2"/>
        <scheme val="minor"/>
      </rPr>
      <t>ROSTROS 6000</t>
    </r>
    <r>
      <rPr>
        <sz val="10"/>
        <rFont val="Aptos Narrow"/>
        <family val="2"/>
        <scheme val="minor"/>
      </rPr>
      <t xml:space="preserve"> TARJETAS                                                                         </t>
    </r>
  </si>
  <si>
    <t>TERMINAL CONROL  DE ACCESO Y AISSTENCIA WIFI 3,000 HUELLAS, 3,000 TARJETAS, 100,000 EVENTOS, PANTALLA LCD,
RS-485 Y WIEGAND, TCP/IP/WIFI</t>
  </si>
  <si>
    <t>DS-K1T804BMF</t>
  </si>
  <si>
    <t>TERMINAL CONROL  DE ACCESO Y AISSTENCIA WIFI 3,000 HUELLAS, 3,000 TARJETAS, 100,000 EVENTOS, PANTALLA LCD,
WIEGAND, TCP/IP/WIFI</t>
  </si>
  <si>
    <t xml:space="preserve"> TERMINAL CONTROL DE ACCESO  WIFI CON LECTOR BIOMETRICO IP65 VIDEO PORTERO Y LECTOR QR INCLUIDO CAMARA 2MP TCP/IP   12 VDC RS-485 Y WIEGAND</t>
  </si>
  <si>
    <t>DS-K2220X(P)</t>
  </si>
  <si>
    <t xml:space="preserve">CONTROLADOR DE ELEVADOR / ALMACENA 50 000 USUARIOS, 30 000 HUELLAS, 100 000 TARJETAS, 300 000 EVENTOS / COMUNICACIÓN TCP/IP + RS‑485 / 2 ENTRADAS PANIC, INCENDIO, MANTENIMIENTO / 2 SALIDAS RELÉ / 3 PUERTOS RS‑485 + 2 WIEGAND / ALIMENTACIÓN 100‑240 VAC / TEMPERATURA –10 °C A 55 °C / MONTAJE DIN‑RAIL </t>
  </si>
  <si>
    <t>DS-K2M0016A(O-STD)/without chassis</t>
  </si>
  <si>
    <t>CONTROLADOR DE ASCENSOR / RS-485 / 16 SALIDAS DE RELÉ / 1 ENTRADA DE ALARMA + 1 TAMPER</t>
  </si>
  <si>
    <t>DS-K7IR01(O-NEU)</t>
  </si>
  <si>
    <t>DETECTOR INFRARROJO PARA PUERTA / SALIDA DE SEÑAL NO/NC / ALINEACIÓN SENCILLA CON INDICADOR LUMINOSO / ALCANCE MÁXIMO 30 m / USO EN PUERTAS DE ENTRADA Y SISTEMAS DE ALARMA ANTINTRUSOS</t>
  </si>
  <si>
    <t>BOTÓN DE SALIDA INALÁMBRICO / PANEL ACERO INOXIDABLE / LED INDICADOR VERDE/AZUL / SALIDAS NO/NC/COM / ALIMENTACIÓN 12–24 VDC</t>
  </si>
  <si>
    <t>DS-K7PEB</t>
  </si>
  <si>
    <t>ACCIONAMIENTO EMERGENCIA P/CONTROL</t>
  </si>
  <si>
    <t>IC S50</t>
  </si>
  <si>
    <t>TARJETA MIFARE / FRECUENCIA 13.56MHZ</t>
  </si>
  <si>
    <t>TARJETA DE PROXIMIDAD EM/MIFARE 13.56MHz Y 125KHz</t>
  </si>
  <si>
    <t>LECTOR DE HUELLAS DACTILARES /TARJETA M1 5000 HUELLAS  RS485</t>
  </si>
  <si>
    <t>DS-TRI900-1/A(O-STD</t>
  </si>
  <si>
    <t>LECTOR UHF / LECTURA DE LARGA DISTANCIA / VELOCIDAD DE DATOS 640 Kbps / COMUNICACIÓN ETHERNET Y WIEGAND</t>
  </si>
  <si>
    <t>DS-TRD902-1/A(O-STD)</t>
  </si>
  <si>
    <t>EMISOR UHF / LECTURA DE MÚLTIPLES TAGS ELECTRÓNICOS / INDICADOR DE ESTADO Y ALIMENTACIÓN</t>
  </si>
  <si>
    <t>DS-TRC902-1/A(NUM)</t>
  </si>
  <si>
    <t>TARJETA RFID / APLICACIONES EN LOGÍSTICA, GESTIÓN DE ACTIVOS Y CONTROL DE ENTRADAS/SALIDAS</t>
  </si>
  <si>
    <t>DS-TRC902-1/A(dual-band)(NUM)</t>
  </si>
  <si>
    <t>TARJETA RFID DUAL-BAND / APLICACIONES EN LOGÍSTICA, GESTIÓN DE ACTIVOS Y CONTROL DE ENTRADAS/SALIDAS</t>
  </si>
  <si>
    <t>DS-TRC900-8/A(O-STD)</t>
  </si>
  <si>
    <t>ETIQUETA RFID / LECTURA DE LARGO ALCANCE / ALTO RENDIMIENTO Y ESTABILIDAD</t>
  </si>
  <si>
    <t>DS-KAB6-ZU1</t>
  </si>
  <si>
    <t xml:space="preserve">MONTAJE PARA INSTALAR TERMINALES DE RECONOCIMIENTO FACIAL HIKVISION EN TORNIQUETES </t>
  </si>
  <si>
    <t>DS-KAB673-FBQR</t>
  </si>
  <si>
    <t>MÓDULO EXTENSIÓN PARA TERMINAL K1T673: LECTOR DE HUELLA Y CÓDIGO QR + BLUETOOTH</t>
  </si>
  <si>
    <t>DS-KAB673-P</t>
  </si>
  <si>
    <t>LECTOR BIOMÉTRICO INFRARROJO DE MANO / BLUETOOTH / USB PNP / CAPACIDAD 10 000 REGISTROS</t>
  </si>
  <si>
    <t>DS-KAB673-S1</t>
  </si>
  <si>
    <t>PROTECTOR DE SOBREMESA PARA TERMINAL K1T673 / DIMENSIONES 135×80×250 MM / PLÁSTICO PC</t>
  </si>
  <si>
    <t>DS-K3B211-Dp65/2(O-NEU)</t>
  </si>
  <si>
    <t>PUERTAS DE REPUESTO / MATERIAL ACRÍLICO / COMPATIBLES CON SPEED GATES Y TURNSTILES / 650MM</t>
  </si>
  <si>
    <t>DS-K3B211-Dp75/2(O-NEU)</t>
  </si>
  <si>
    <t>PUERTAS DE BARRERA / MATERIAL ACRÍLICO / CATEGORÍA 3146D1 / 720MM</t>
  </si>
  <si>
    <t>DS-K3B211-Dp90/2(O-NEU)</t>
  </si>
  <si>
    <t>PUERTAS DE REPUESTO / MATERIAL ACRÍLICO / COMPATIBLES CON SPEED GATES Y TURNSTILES / 900MM</t>
  </si>
  <si>
    <t>DS-K3B211LX-LR/Pg(O-STD)</t>
  </si>
  <si>
    <t>MODULO IZQUIERDO / BARRERA DE VELOCIDAD / 20–60 PASAJES POR MINUTO / ANCHO DE PASO 650–900 MM / MCBF ≥ 3 MILLONES</t>
  </si>
  <si>
    <t>DS-K3B211LX-M/Pg(O-STD)</t>
  </si>
  <si>
    <t>MODULO CENTRAL / BARRERA DE VELOCIDAD / CONTROL DE PASO Y ANTI-COLISIÓN / FUNCIONES ANTI-TAILGATING Y ANTI-PINCH</t>
  </si>
  <si>
    <t>DS-K3B530-Dm65/2(NEU)</t>
  </si>
  <si>
    <t>PUERTAS DE REPUESTO / MATERIAL ACERO INOXIDABLE / COMPATIBLES CON SPEED GATES Y TURNSTILES SERIE 5</t>
  </si>
  <si>
    <t>DS-K3B530-Dp65/2(NEU)</t>
  </si>
  <si>
    <t>PUERTAS DE REPUESTO / MATERIAL ACRÍLICO / COMPATIBLES CON SPEED GATES Y TURNSTILES SERIE 5</t>
  </si>
  <si>
    <t>DS-K3G200BLX-R/Dm55(O-STD)</t>
  </si>
  <si>
    <t>TORNIQUETE TRÍPODE / ANCHO DE PASO 550 MM / MCBF ≥ 2 MILLONES / USO INTERIOR Y EXTERIOR (CON CUBIERTA)</t>
  </si>
  <si>
    <t>DS-K3G200BLX-R/Pa-Dm55(O-STD)</t>
  </si>
  <si>
    <t>TORNIQUETE TRÍPODE / ANCHO DE PASO 550 MM / MCBF ≥ 2 MILLONES / USO INTERIOR Y EXTERIOR (CON CUBIERTA) / MATERIAL SUS304 ACERO INOXIDABLE / FUNCIONAMIENTO BIDIRECCIONAL / INDICADOR LED DE DIRECCIÓN / BRAZO LIBERADO AUTOMÁTICAMENTE EN EMERGENCIA</t>
  </si>
  <si>
    <t>DS-K3GL606WX-WB(O-STD)</t>
  </si>
  <si>
    <t>MOTOR DE PUERTA CORREDIZA / VELOCIDAD MÁXIMA 0.6 m/s / CAPACIDAD 600 Kg / BATERÍA RESPALDO 2×12V 7Ah / WIFI + LAN INTEGRADOS / AP MODE CON NFC / APERTURA POR PIN, TARJETA Y QR / IP PARA USO EXTERIOR / LUZ ESTROBOSCÓPICA + MODO PEATONAL</t>
  </si>
  <si>
    <t>DS-K6BC402TX-LR/M(O-STD)</t>
  </si>
  <si>
    <t>SWING GATE / ANCHO DE PASO 550–900 MM / MCBF ≥ 3 MILLONES / PUERTAS ACRÍLICAS SERIE DS-KSD24-P / USO INTERIOR</t>
  </si>
  <si>
    <t>DS-K6BC402X-RS/M(O-STD)</t>
  </si>
  <si>
    <t xml:space="preserve">SWING GATE / ANCHO DE PASO 600–900 MM / MCBF ≥ 3 MILLONES / PUERTAS ACRÍLICAS SERIE DS-KSD24-P (SE VENDEN POR SEPARADO) / USO INTERIOR </t>
  </si>
  <si>
    <t>DS-KSD01-P900-1pcs/BC402(NEU)</t>
  </si>
  <si>
    <t>PUERTAS DE BARRERA / MATERIAL ACRÍLICO / COMPATIBLES CON MODO SIMPLE BC402 Y LANE EXTRA ANCHO (2PCS)</t>
  </si>
  <si>
    <t>DS-KSD24-P1100-2pcs(NEU)</t>
  </si>
  <si>
    <t>PUERTAS DE REPUESTO / MATERIAL ACRÍLICO / COMPATIBLES CON SERIES 2~4 SWING BARRIERS (NO COMPATIBLE CON B220X)</t>
  </si>
  <si>
    <t>DS-KSR01-GL(NEU)</t>
  </si>
  <si>
    <t>CREMALLERA PARA PUERTA CORREDIZA / LONGITUD TOTAL 4 m (1 m POR PIEZA) / COMPATIBLE CON MOTORES DE PUERTA / DISEÑO ROBUSTO PARA USO INDUSTRIAL / INSTALACIÓN SENCILLA Y DURADERA</t>
  </si>
  <si>
    <t>DS-TMG300-DL/A/B(4m light bar)</t>
  </si>
  <si>
    <t>BARRERA VEHICULAR RECTILÍNEA / MOTOR DC SIN ESCOBILLAS / INSTALACIÓN LATERAL COMPACTA / BARRA DE 4 m CON TIRA LED Y INDICADORES DE ESTADO / MODOS ANTICAÍDA: IR, RADAR Y DETECTOR VEHICULAR / CIERRE RETARDADO DE 1 A 99 SEGUNDOS / CONTROL INTELIGENTE DE PAR Y POSICIÓN</t>
  </si>
  <si>
    <t>BARRERA VEHICULAR RECTILÍNEA TELESCÓPICA (2.5–4.5 m) / MOTOR DC SIN ESCOBILLAS / INSTALACIÓN LATERAL COMPACTA / CONTROL INTELIGENTE DE PAR Y POSICIÓN / MODOS ANTICAÍDA: IR, RADAR Y DETECTOR VEHICULAR / CIERRE RETARDADO DE 1 A 99 SEGUNDOS</t>
  </si>
  <si>
    <t>BARRERA VEHICULAR RECTILÍNEA / BRAZO FIJO DE 4 m CON TIRA LED E INDICADORES DE ESTADO / MOTOR DC SIN ESCOBILLAS / INSTALACIÓN LATERAL COMPACTA / CONTROL INTELIGENTE DE PAR Y POSICIÓN / MODOS ANTICAÍDA: IR, RADAR Y DETECTOR VEHICULAR / CIERRE RETARDADO DE 1 A 99 SEGUNDOS</t>
  </si>
  <si>
    <t>DS-TMG300-DL(2.5~4.5m telescopic)(O-STD)</t>
  </si>
  <si>
    <t>CUERPO DE BARRERA SERIE 32 CON MOTOR DC BRUSHLESS DE BAJO RUIDO, SOPORTE DE INSTALACIÓN LATERAL, MODOS ANTICAÍDA (IR, DETECTOR, RADAR), CIERRE PROGRAMABLE DE 1–600 SEGUNDOS, CONFIGURACIÓN VÍA BLUETOOTH Y LUCES INDICADORAS INTEGRADAS.</t>
  </si>
  <si>
    <t>DS-TMG320-LR/B(Barrier Body)</t>
  </si>
  <si>
    <t>CUERPO DE BARRERA CON MOTOR DC BRUSHLESS DE BAJO RUIDO, SOPORTE DE INSTALACIÓN LATERAL, MODOS ANTICAÍDA (IR, DETECTOR, RADAR), CIERRE PROGRAMABLE DE 1–600 SEGUNDOS, CONFIGURACIÓN VÍA BLUETOOTH Y LUCES INDICADORAS INTEGRADAS.</t>
  </si>
  <si>
    <t>DS-TMG320-MR(Barrier Body)</t>
  </si>
  <si>
    <t>CUERPO DE BARRERA SERIE 32 CON MOTOR DC BRUSHLESS DE BAJO RUIDO, SOPORTE DE INSTALACIÓN LATERAL, MODOS ANTICAÍDA (IR, DETECTOR, RADAR), CIERRE PROGRAMABLE DE 1–600 SEGUNDOS, CONFIGURACIÓN VÍA BLUETOOTH, COMPATIBLE CON BOOM OCTAGONAL DE 3/4/6 M (CON O SIN LUZ), SIN INDICADOR INTEGRADO.</t>
  </si>
  <si>
    <t xml:space="preserve">DS-TMG001-6L(4m)(1.4mm) </t>
  </si>
  <si>
    <t>POLEA OCTAGONAL DE 4 M CON REFUERZO DE 1.4 MM, DISEÑADA PARA BARRERAS SERIE DS-TMG32, ESTRUCTURA LIGERA Y RESISTENTE PARA USO EN ACCESOS VEHICULARES.</t>
  </si>
  <si>
    <t xml:space="preserve">DS-TMG001-3D(2.6-4m) </t>
  </si>
  <si>
    <t>POLEA OCTAGONAL RECTa Y TELESCÓPICA DE 2.6–4 M, PARED DE 0.8 MM, COMPATIBLE CON BARRERAS SERIE DS-TMG32, DISEÑO LIGERO Y ADAPTABLE PARA ACCESOS VEHICULARES.</t>
  </si>
  <si>
    <t>DS-TMG001-3(4m light)(24V)</t>
  </si>
  <si>
    <t>BRAZO RECTO PARA BARRERA VEHICULAR / LONGITUD 4 m / INCLUYE TIRA LED CON INDICADORES ROJO/VERDE (SEGÚN MODELO) / COMPATIBLE CON VOLTAJE DE OPERACIÓN 24 V / OPCIÓN DE LONGITUD AJUSTABLE (3 m / 4 m)</t>
  </si>
  <si>
    <t>DS-TMG001-5(3m octagonal)</t>
  </si>
  <si>
    <t>BRAZO RECTO OCTAGONAL PARA BARRERA VEHICULAR / LONGITUD 3 m / DISEÑO OCTAGONAL PARA MAYOR RIGIDEZ / COMPATIBLE CON CUERPO DE BARRERA SERIE TMG</t>
  </si>
  <si>
    <t>DS-TMG001-5(4m octagonal)</t>
  </si>
  <si>
    <t xml:space="preserve">BRAZO RECTO OCTAGONAL PARA BARRERA VEHICULAR / LONGITUD 4 m / DISEÑO OCTAGONAL PARA MAYOR RIGIDEZ Y ESTABILIDAD / COMPATIBLE CON CUERPOS DE BARRERA SERIE TMG </t>
  </si>
  <si>
    <t>DS-TMG002-5</t>
  </si>
  <si>
    <t>BRAZO ARTICULADO PARA BARRERA VEHICULAR / CONFIGURACIÓN PLEGABLE 2 + 2 m / DISEÑO CURVO PARA INSTALACIONES CON ALTURA RESTRINGIDA / COMPATIBLE CON CUERPOS DE BARRERA SERIE TMG</t>
  </si>
  <si>
    <t>DS-TMG301-D</t>
  </si>
  <si>
    <t xml:space="preserve">BARRERA VEHICULAR ARTICULADA (2 + 2 m) / MOTOR DC SIN ESCOBILLAS / INSTALACIÓN LATERAL COMPACTA / CONTROL INTELIGENTE DE PAR Y POSICIÓN / MODOS ANTICAÍDA: IR, RADAR Y DETECTOR VEHICULAR / CIERRE RETARDADO DE 1 A 99 SEGUNDOS </t>
  </si>
  <si>
    <t>DS-TMG520</t>
  </si>
  <si>
    <t>BARRERA VEHICULAR DIGITAL / BRAZO RECTO OCTAGONAL DE 3 m / CONTROL DE FRECUENCIA DC CON VELOCIDAD DE SUBIDA (0.9–6 s) Y BAJADA (1.5–6 s) AJUSTABLE / MOTOR CONSUMO ULTRABAJO Y ANTICONDENSACIÓN / CHASIS DE ACERO LAMINADO EN FRÍO DE 2 mm CON RECUBRIMIENTO ANTI-UV, ANTIESTÁTICO Y ANTICORROSIÓN / PROTECCIÓN IP54 / MODOS DE CONTROL: RELÉ, CONTROL REMOTO Y SOFTWARE / MODOS ANTICAÍDA: INDUCCIÓN, IR, ONDA DE PRESIÓN / DIRECCIÓN DE BRAZO AJUSTABLE (IZQUIERDA/DERECHA) / BLOQUEO MANUAL EN CASO DE CORTE DE ENERGÍA</t>
  </si>
  <si>
    <t xml:space="preserve">DS-TMG520-M(4m octagonal)(O-STD) </t>
  </si>
  <si>
    <t>BARRERA VEHICULAR DIGITAL SERIE 520 CON BOOM OCTAGONAL DE 4 M, MOTOR DC DE FRECUENCIA VARIABLE, VELOCIDAD DE SUBIDA Y BAJADA AJUSTABLE, CHASIS DE ACERO LAMINADO EN FRÍO CON RECUBRIMIENTO ANTI-UV/IP54, MÚLTIPLES MODOS DE CONTROL Y ANTIGOLPE, DIRECCIÓN DE BRAZO AJUSTABLE Y FUNCIÓN AUTO LOCK.</t>
  </si>
  <si>
    <t>DS-TMG520-H(3m anti-round)(O-STD)</t>
  </si>
  <si>
    <t xml:space="preserve">DS-TMG521-M(2+2m)(O-STD) </t>
  </si>
  <si>
    <t>BARRERA VEHICULAR DIGITAL SERIE 521 CON BRAZO CURVO DE 2+2 M, MOTOR DC DE FRECUENCIA VARIABLE, VELOCIDAD DE SUBIDA Y BAJADA AJUSTABLE, CHASIS DE ACERO LAMINADO EN FRÍO CON RECUBRIMIENTO ANTI-UV/IP54, MÚLTIPLES MODOS DE CONTROL Y ANTIGOLPE, FUNCIÓN AUTO LOCK Y OPERACIÓN SEGURA EN CLIMAS FRÍOS.</t>
  </si>
  <si>
    <t>TMG001-3(2.5-4.5m)</t>
  </si>
  <si>
    <t>BRAZO RECTO PARA BARRERA VEHICULAR / LONGITUD AJUSTABLE 2.5–4.5 m / INCLUYE TIRA LED CON INDICADORES ROJO/VERDE (SEGÚN MODELO) / COMPATIBLE CON CUERPOS DE BARRERA SERIE TMG</t>
  </si>
  <si>
    <t>DS-TMG034</t>
  </si>
  <si>
    <t>RADAR DE ACTIVACIÓN PARA CONTROL VEHICULAR / FRECUENCIA DE TRANSMISIÓN 79 GHz / RESPUESTA ULTRARRÁPIDA DE 50 ms / DETECCIÓN DE DIRECCIÓN DE MOVIMIENTO (ENTRADA/SALIDA MIXTA) / AJUSTE DE DISTANCIA Y ANCHO DE DETECCIÓN / COMUNICACIÓN RS-485 Y BLUETOOTH (APP MÓVIL PARA CONFIGURACIÓN Y ACTUALIZACIÓN) / INSTALACIÓN Y MANTENIMIENTO SIMPLIFICADOS / PROCESAMIENTO AVANZADO PARA DETECCIÓN ESTABLE DE VEHÍCULOS Y PEATONES / PREVENCIÓN DE CAÍDA DE BARRERA / INDICADORES LED DE ESTADO / RESTAURACIÓN AUTOMÁTICA DE PARÁMETROS TRAS CORTE DE ENERGÍA / ALTA RESISTENCIA A INTERFERENCIAS, POLVO, LLUVIA Y NIEVE</t>
  </si>
  <si>
    <t>DS-TMG035</t>
  </si>
  <si>
    <t xml:space="preserve">RADAR ANTICAÍDA PARA CONTROL VEHICULAR / FRECUENCIA DE TRANSMISIÓN 60 GHz MMIC / DETECCIÓN DE DIRECCIÓN DE MOVIMIENTO (ENTRADA/SALIDA MIXTA) / AJUSTE DE DISTANCIA Y ANCHO DE DETECCIÓN / COMUNICACIÓN RS-485 Y BLUETOOTH (APP MÓVIL PARA CONFIGURACIÓN Y ACTUALIZACIÓN) / INSTALACIÓN Y MANTENIMIENTO SIMPLIFICADOS / PROCESAMIENTO AVANZADO PARA DETECCIÓN ESTABLE DE VEHÍCULOS Y PEATONES / PREVENCIÓN DE CAÍDA DE BARRERA / INDICADORES LED DE ESTADO / RESTAURACIÓN AUTOMÁTICA DE PARÁMETROS TRAS CORTE DE ENERGÍA / ALTA RESISTENCIA A INTERFERENCIAS, ILUMINACIÓN, POLVO, LLUVIA Y NIEVE </t>
  </si>
  <si>
    <t>DS-TMG035(Trigger Radar)(O-STD)</t>
  </si>
  <si>
    <t>RADAR DE ACTIVACIÓN PARA CONTROL VEHICULAR / FRECUENCIA DE TRANSMISIÓN 60 GHz MMIC / RESPUESTA ESTABLE Y DE ALTA RESOLUCIÓN / DETECCIÓN DE DIRECCIÓN DE MOVIMIENTO (ENTRADA/SALIDA MIXTA) / AJUSTE DE DISTANCIA Y ANCHO DE DETECCIÓN / COMUNICACIÓN RS-485 Y BLUETOOTH (APP MÓVIL PARA CONFIGURACIÓN Y ACTUALIZACIÓN) / INSTALACIÓN Y MANTENIMIENTO SIMPLIFICADOS / PROCESAMIENTO AVANZADO PARA DETECCIÓN ESTABLE DE VEHÍCULOS Y PEATONES / PREVENCIÓN DE CAÍDA DE BARRERA / INDICADORES LED DE ESTADO / RESTAURACIÓN AUTOMÁTICA DE PARÁMETROS TRAS CORTE DE ENERGÍA / ALTA RESISTENCIA A INTERFERENCIAS, ILUMINACIÓN, POLVO, LLUVIA Y NIEVE</t>
  </si>
  <si>
    <t>DS-TDSB0G-FK/500m</t>
  </si>
  <si>
    <t>RADAR DE SEGURIDAD / FMCW 24.05–24.25 GHz / ANGULO 100°×30° / DETECCIÓN PEATÓN 500 m VEHÍCULO 1.000 m / HASTA 32 OBJETOS / IP67 / IK10</t>
  </si>
  <si>
    <t>DS-K3B220X-L/Pg(O-STD)</t>
  </si>
  <si>
    <t>BARRERA PIVOTANTE / MODULO IZQUIERDO / MOTOR BRUSHLESS / 4 PARES IR / CARRIL 650‑900 MM / EM M1 / AC100‑240 V / 75 W STDBY / IP Indoor/Outdoor</t>
  </si>
  <si>
    <t>DS-K3B220X-M/Pg(O-STD)</t>
  </si>
  <si>
    <t>BARRERA PIVOTANTE CON CONTROL ACCESO INTEGRADO7 / MODULO CENTRAL / MISMAS ESPECIFICACIONES QUE DS‑K3B220X + LECTOR DE TARJETAS INCLUIDO</t>
  </si>
  <si>
    <t>DS-K3B530-Dm110/2(NEU)</t>
  </si>
  <si>
    <t>BARRERA GATE DOBLE MOTOR / ANCHO 1,10 M‑POR‑CARRIL / MOTOR BRUSHLESS / 4 PARES IR / AC 100‑240 V</t>
  </si>
  <si>
    <t>DS-K3B530-Dp110/2(NEU)</t>
  </si>
  <si>
    <t>BARRERA GATE DOBLE MECÁNICA / ANCHO 1,10 M‑POR‑CARRIL / MOTOR BRUSHLESS / 4 PARES IR / AC 100‑240 V</t>
  </si>
  <si>
    <t>DS-K3B530-Dp90/2(NEU)</t>
  </si>
  <si>
    <t>BARRERA GATE DOBLE MECÁNICA / ANCHO 0,90 M‑POR‑CARRIL / MOTOR BRUSHLESS / 4 PARES IR / AC 100‑240 V</t>
  </si>
  <si>
    <t>DS-K3B530X-L/MPg-Dp90</t>
  </si>
  <si>
    <t>BARRERA PIVOTANTE (SPEED GATE) / SERVO MOTOR / 14 PARES IR / 30‑60 PERS/MIN / EM/M1/DESFIRE/FELICA / 100‑240 VAC / IPX4 / SI INCLUYE BARRERA GATE / MODULO IZQUIERDO</t>
  </si>
  <si>
    <t>DS-K3B530X-L/MPg(O-STD)</t>
  </si>
  <si>
    <t>BARRERA PIVOTANTE IZQUIERDA CON LECTOR INTEGRADO / SERVO MOTOR / 14 PARES IR / 30‑60 PERS/MIN / EM/M1/DESFIRE/FELICA / 100‑240 VAC / IPX4 / MODULO IZQUIERDO / NO INCLUYE BARRERA GATE</t>
  </si>
  <si>
    <t>DS-K3B530X-M/MPg(O-STD)</t>
  </si>
  <si>
    <t>BARRERA PIVOTANTE CENTRAL CON LECTOR / LÁSER SERVO MOTOR / 14 PARES IR / 30‑60 PERS/MIN / NO INCLUYE BARRERA GATE / MODULO CENTRAL</t>
  </si>
  <si>
    <t>DS-K3B530X-M/MPg-Dp90(O-STD)</t>
  </si>
  <si>
    <t>BARRERA PIVOTANTE CENTRAL / CARRIL 900 MM / SERVOMOTOR / 14 IR / 100‑240 V / 55 W / EM‑M1‑DESFIRE‑FELICA / IPX4 / SI INCLUYE BARRERA GATE / MODULO CENTRAL</t>
  </si>
  <si>
    <t>DS-K3B530X-R/MPg(O-STD)</t>
  </si>
  <si>
    <t>BARRERA PIVOTANTE DERECHA / SERVOMOTOR / 14 PARES IR / CARRIL 550‑1100 MM / 100‑240 V / 55 W / EM‑M1‑DESFIRE‑FELICA / IPX4 / MODULO DERECHO / NO INCLUYE BARRERA GATE</t>
  </si>
  <si>
    <t>DS-K3B530X-R/MPg-Dp90(O-STD)</t>
  </si>
  <si>
    <t>BARRERA PIVOTANTE DERECHA / LECTOR TARJETAS / CARRIL 900 MM / SERVOMOTOR / 14 IR / 100‑240 V / 55 W / EM‑M1‑DESFIRE‑FELICA / IPX4 / MODULO DERECHO / SI INCLUYE BARRERA GATE</t>
  </si>
  <si>
    <t>DS-K3BC411X-RS/M-Dm90(O-STD)/sensor</t>
  </si>
  <si>
    <t>BARRERA PIVOTANTE DERECHA (SPEED GATE) / CARRIL 600‑1100 MM / MOTOR BRUSHLESS / 6 PARES IR / 100‑240 VAC / 20‑60 P/M / EM‑M1 / SUS304 / IPX4 / −10 °C‑45 °C</t>
  </si>
  <si>
    <t>DS-K3BC411X-RS/Pg-Dm90(O-STD)/sensor</t>
  </si>
  <si>
    <t>CONTIENE LECTOR INTEGRADO / BARRERA PIVOTANTE DERECHA / CARRIL 600‑1100 MM / MOTOR BRUSHLESS / 6 PARES IR / 100‑240 VAC / 20‑60 P/M / EM‑M1 / SUS304 / IPX4 / −10 °C‑45 °C</t>
  </si>
  <si>
    <t>DS-K3G530X</t>
  </si>
  <si>
    <t>TORNIQUETE SPEED GATE / SERVOMOTOR / 14 IR / 35 P/M / EM‐M1‐DESFIRE‐FELICA / 100‑240 V / 55 W / IPX4 / MCBF 5 M</t>
  </si>
  <si>
    <t>ISD-SMG318L</t>
  </si>
  <si>
    <t>DETECTOR METAL PEATONAL / 18 ZONAS / AJUSTE FRECUENCIA/SENSIBILIDAD / LED UBICADOR METAL / RED / LCD 7″</t>
  </si>
  <si>
    <t>NP-SH100</t>
  </si>
  <si>
    <t>DETECTOR MANUAL METAL / SENSIBILIDAD AJUSTABLE / ALARMA VIBRATIVA+SONORA / LED BATERÍA / ANTI‑CAÍDAS 1 M / 9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</si>
</sst>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13" x14ac:knownFonts="1">
    <font>
      <sz val="11"/>
      <color theme="1"/>
      <name val="Aptos Narrow"/>
      <family val="2"/>
      <scheme val="minor"/>
    </font>
    <font>
      <sz val="11"/>
      <color theme="1"/>
      <name val="Aptos Narrow"/>
      <family val="2"/>
      <scheme val="minor"/>
    </font>
    <font>
      <sz val="10"/>
      <name val="Arial"/>
      <family val="2"/>
    </font>
    <font>
      <sz val="10"/>
      <name val="Aptos Narrow"/>
      <family val="2"/>
      <scheme val="minor"/>
    </font>
    <font>
      <b/>
      <sz val="10"/>
      <name val="Aptos Narrow"/>
      <family val="2"/>
      <scheme val="minor"/>
    </font>
    <font>
      <sz val="11"/>
      <color rgb="FF000000"/>
      <name val="Calibri"/>
      <family val="2"/>
    </font>
    <font>
      <b/>
      <sz val="10"/>
      <color theme="0"/>
      <name val="Aptos Narrow"/>
      <family val="2"/>
      <scheme val="minor"/>
    </font>
    <font>
      <sz val="11"/>
      <name val="Aptos Narrow"/>
      <family val="2"/>
      <scheme val="minor"/>
    </font>
    <font>
      <sz val="10"/>
      <name val="Aptos Narrow"/>
      <family val="3"/>
      <charset val="134"/>
      <scheme val="minor"/>
    </font>
    <font>
      <sz val="10"/>
      <color rgb="FF000000"/>
      <name val="Times New Roman"/>
      <family val="1"/>
    </font>
    <font>
      <sz val="11"/>
      <color rgb="FF000000"/>
      <name val="Aptos Narrow"/>
      <family val="2"/>
      <scheme val="minor"/>
    </font>
    <font>
      <sz val="10"/>
      <color rgb="FFFF0000"/>
      <name val="Aptos Narrow"/>
      <family val="2"/>
      <scheme val="minor"/>
    </font>
    <font>
      <sz val="8"/>
      <name val="Aptos Narrow"/>
      <family val="2"/>
      <scheme val="minor"/>
    </font>
  </fonts>
  <fills count="9">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9"/>
        <bgColor indexed="64"/>
      </patternFill>
    </fill>
    <fill>
      <patternFill patternType="solid">
        <fgColor rgb="FFC00000"/>
        <bgColor rgb="FF000000"/>
      </patternFill>
    </fill>
    <fill>
      <patternFill patternType="solid">
        <fgColor theme="9"/>
        <bgColor rgb="FF000000"/>
      </patternFill>
    </fill>
    <fill>
      <patternFill patternType="solid">
        <fgColor theme="0" tint="-0.14999847407452621"/>
        <bgColor rgb="FF000000"/>
      </patternFill>
    </fill>
    <fill>
      <patternFill patternType="solid">
        <fgColor theme="5" tint="0.39997558519241921"/>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thin">
        <color theme="1"/>
      </left>
      <right style="thin">
        <color theme="1"/>
      </right>
      <top/>
      <bottom style="thin">
        <color theme="1"/>
      </bottom>
      <diagonal/>
    </border>
    <border>
      <left/>
      <right style="thin">
        <color theme="1"/>
      </right>
      <top style="thin">
        <color theme="1"/>
      </top>
      <bottom/>
      <diagonal/>
    </border>
    <border>
      <left/>
      <right style="thin">
        <color theme="1"/>
      </right>
      <top/>
      <bottom style="thin">
        <color theme="1"/>
      </bottom>
      <diagonal/>
    </border>
    <border>
      <left style="thin">
        <color indexed="64"/>
      </left>
      <right style="thin">
        <color indexed="64"/>
      </right>
      <top style="thin">
        <color indexed="64"/>
      </top>
      <bottom/>
      <diagonal/>
    </border>
  </borders>
  <cellStyleXfs count="9">
    <xf numFmtId="0" fontId="0" fillId="0" borderId="0"/>
    <xf numFmtId="44" fontId="1" fillId="0" borderId="0" applyFont="0" applyFill="0" applyBorder="0" applyAlignment="0" applyProtection="0"/>
    <xf numFmtId="0" fontId="2" fillId="0" borderId="0"/>
    <xf numFmtId="44" fontId="2" fillId="0" borderId="0" applyFont="0" applyFill="0" applyBorder="0" applyAlignment="0" applyProtection="0"/>
    <xf numFmtId="0" fontId="1" fillId="0" borderId="0"/>
    <xf numFmtId="0" fontId="1" fillId="0" borderId="0"/>
    <xf numFmtId="0" fontId="5" fillId="0" borderId="0"/>
    <xf numFmtId="0" fontId="9" fillId="0" borderId="0"/>
    <xf numFmtId="44" fontId="9" fillId="0" borderId="0" applyFont="0" applyFill="0" applyBorder="0" applyAlignment="0" applyProtection="0"/>
  </cellStyleXfs>
  <cellXfs count="56">
    <xf numFmtId="0" fontId="0" fillId="0" borderId="0" xfId="0"/>
    <xf numFmtId="0" fontId="3" fillId="0" borderId="2" xfId="0" applyFont="1" applyBorder="1" applyAlignment="1" applyProtection="1">
      <alignment vertical="center" wrapText="1"/>
      <protection hidden="1"/>
    </xf>
    <xf numFmtId="164" fontId="3" fillId="0" borderId="2" xfId="1" applyNumberFormat="1" applyFont="1" applyBorder="1" applyAlignment="1" applyProtection="1">
      <alignment vertical="center" wrapText="1"/>
      <protection hidden="1"/>
    </xf>
    <xf numFmtId="164" fontId="3" fillId="0" borderId="2" xfId="1" applyNumberFormat="1" applyFont="1" applyBorder="1" applyAlignment="1" applyProtection="1">
      <alignment horizontal="center" vertical="center" wrapText="1"/>
      <protection locked="0" hidden="1"/>
    </xf>
    <xf numFmtId="0" fontId="3" fillId="2" borderId="2" xfId="0" applyFont="1" applyFill="1" applyBorder="1" applyAlignment="1" applyProtection="1">
      <alignment horizontal="center" vertical="center" wrapText="1"/>
      <protection hidden="1"/>
    </xf>
    <xf numFmtId="0" fontId="3" fillId="0" borderId="3" xfId="0" applyFont="1" applyBorder="1" applyAlignment="1" applyProtection="1">
      <alignment vertical="center" wrapText="1"/>
      <protection hidden="1"/>
    </xf>
    <xf numFmtId="0" fontId="3" fillId="0" borderId="0" xfId="0" applyFont="1" applyAlignment="1" applyProtection="1">
      <alignment vertical="center" wrapText="1"/>
      <protection hidden="1"/>
    </xf>
    <xf numFmtId="0" fontId="3" fillId="2" borderId="0" xfId="0" applyFont="1" applyFill="1" applyAlignment="1" applyProtection="1">
      <alignment horizontal="center" vertical="center" wrapText="1"/>
      <protection hidden="1"/>
    </xf>
    <xf numFmtId="164" fontId="3" fillId="0" borderId="4" xfId="1" applyNumberFormat="1" applyFont="1" applyFill="1" applyBorder="1" applyAlignment="1" applyProtection="1">
      <alignment vertical="center" wrapText="1"/>
      <protection hidden="1"/>
    </xf>
    <xf numFmtId="164" fontId="3" fillId="0" borderId="5" xfId="1" applyNumberFormat="1" applyFont="1" applyFill="1" applyBorder="1" applyAlignment="1" applyProtection="1">
      <alignment vertical="center" wrapText="1"/>
      <protection hidden="1"/>
    </xf>
    <xf numFmtId="164" fontId="3" fillId="0" borderId="5" xfId="1" applyNumberFormat="1" applyFont="1" applyFill="1" applyBorder="1" applyAlignment="1" applyProtection="1">
      <alignment horizontal="center" vertical="center" wrapText="1"/>
      <protection hidden="1"/>
    </xf>
    <xf numFmtId="164" fontId="3" fillId="0" borderId="5" xfId="1" applyNumberFormat="1" applyFont="1" applyFill="1" applyBorder="1" applyAlignment="1" applyProtection="1">
      <alignment horizontal="right" vertical="center" wrapText="1"/>
      <protection hidden="1"/>
    </xf>
    <xf numFmtId="164" fontId="3" fillId="0" borderId="6" xfId="1" applyNumberFormat="1" applyFont="1" applyFill="1" applyBorder="1" applyAlignment="1" applyProtection="1">
      <alignment vertical="center" wrapText="1"/>
      <protection hidden="1"/>
    </xf>
    <xf numFmtId="164" fontId="3" fillId="0" borderId="2" xfId="1" applyNumberFormat="1" applyFont="1" applyFill="1" applyBorder="1" applyAlignment="1" applyProtection="1">
      <alignment vertical="center" wrapText="1"/>
      <protection hidden="1"/>
    </xf>
    <xf numFmtId="164" fontId="3" fillId="0" borderId="2" xfId="1" applyNumberFormat="1" applyFont="1" applyFill="1" applyBorder="1" applyAlignment="1" applyProtection="1">
      <alignment horizontal="center" vertical="center" wrapText="1"/>
      <protection hidden="1"/>
    </xf>
    <xf numFmtId="164" fontId="3" fillId="0" borderId="2" xfId="1" applyNumberFormat="1" applyFont="1" applyFill="1" applyBorder="1" applyAlignment="1" applyProtection="1">
      <alignment horizontal="right" vertical="center" wrapText="1"/>
      <protection hidden="1"/>
    </xf>
    <xf numFmtId="164" fontId="4" fillId="5" borderId="7" xfId="1" applyNumberFormat="1" applyFont="1" applyFill="1" applyBorder="1" applyAlignment="1">
      <alignment horizontal="center" vertical="center" wrapText="1"/>
    </xf>
    <xf numFmtId="164" fontId="4" fillId="6" borderId="7" xfId="1" applyNumberFormat="1" applyFont="1" applyFill="1" applyBorder="1" applyAlignment="1" applyProtection="1">
      <alignment horizontal="center" vertical="center" wrapText="1"/>
      <protection hidden="1"/>
    </xf>
    <xf numFmtId="164" fontId="3" fillId="0" borderId="7" xfId="1" applyNumberFormat="1" applyFont="1" applyBorder="1" applyAlignment="1" applyProtection="1">
      <alignment vertical="center" wrapText="1"/>
      <protection hidden="1"/>
    </xf>
    <xf numFmtId="164" fontId="4" fillId="7" borderId="7" xfId="1" applyNumberFormat="1" applyFont="1" applyFill="1" applyBorder="1" applyAlignment="1">
      <alignment horizontal="center" vertical="center" wrapText="1"/>
    </xf>
    <xf numFmtId="164" fontId="4" fillId="0" borderId="7" xfId="1" applyNumberFormat="1" applyFont="1" applyBorder="1" applyAlignment="1" applyProtection="1">
      <alignment horizontal="center" vertical="center" wrapText="1"/>
      <protection locked="0" hidden="1"/>
    </xf>
    <xf numFmtId="0" fontId="3" fillId="2" borderId="7"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3" fillId="0" borderId="7" xfId="0" applyFont="1" applyBorder="1" applyAlignment="1" applyProtection="1">
      <alignment vertical="center" wrapText="1"/>
      <protection hidden="1"/>
    </xf>
    <xf numFmtId="0" fontId="3" fillId="0" borderId="6" xfId="0" applyFont="1" applyBorder="1" applyAlignment="1" applyProtection="1">
      <alignment vertical="center" wrapText="1"/>
      <protection hidden="1"/>
    </xf>
    <xf numFmtId="164" fontId="3" fillId="0" borderId="6" xfId="1" applyNumberFormat="1" applyFont="1" applyFill="1" applyBorder="1" applyAlignment="1" applyProtection="1">
      <alignment horizontal="center" vertical="center" wrapText="1"/>
      <protection hidden="1"/>
    </xf>
    <xf numFmtId="164" fontId="2" fillId="0" borderId="5" xfId="1" applyNumberFormat="1" applyFont="1" applyBorder="1" applyAlignment="1">
      <alignment horizontal="center" vertical="center"/>
    </xf>
    <xf numFmtId="164" fontId="3" fillId="0" borderId="4" xfId="1" applyNumberFormat="1" applyFont="1" applyFill="1" applyBorder="1" applyAlignment="1" applyProtection="1">
      <alignment horizontal="center" vertical="center" wrapText="1"/>
      <protection hidden="1"/>
    </xf>
    <xf numFmtId="164" fontId="3" fillId="0" borderId="2" xfId="1" applyNumberFormat="1" applyFont="1" applyFill="1" applyBorder="1" applyAlignment="1">
      <alignment horizontal="center" vertical="center" wrapText="1"/>
    </xf>
    <xf numFmtId="164" fontId="7" fillId="0" borderId="0" xfId="1" applyNumberFormat="1" applyFont="1"/>
    <xf numFmtId="164" fontId="2" fillId="0" borderId="0" xfId="1" applyNumberFormat="1" applyFont="1" applyAlignment="1">
      <alignment horizontal="center" vertical="center"/>
    </xf>
    <xf numFmtId="164" fontId="3" fillId="0" borderId="2" xfId="1" applyNumberFormat="1" applyFont="1" applyFill="1" applyBorder="1" applyAlignment="1">
      <alignment horizontal="center" vertical="center"/>
    </xf>
    <xf numFmtId="164" fontId="3" fillId="0" borderId="0" xfId="1" applyNumberFormat="1" applyFont="1" applyFill="1" applyBorder="1" applyAlignment="1">
      <alignment horizontal="center" vertical="center" wrapText="1"/>
    </xf>
    <xf numFmtId="164" fontId="3" fillId="0" borderId="0" xfId="1" applyNumberFormat="1" applyFont="1" applyFill="1" applyBorder="1" applyAlignment="1" applyProtection="1">
      <alignment vertical="center" wrapText="1"/>
      <protection hidden="1"/>
    </xf>
    <xf numFmtId="164" fontId="3" fillId="0" borderId="0" xfId="1" applyNumberFormat="1" applyFont="1" applyFill="1" applyBorder="1" applyAlignment="1">
      <alignment horizontal="center" vertical="center"/>
    </xf>
    <xf numFmtId="164" fontId="7" fillId="0" borderId="2" xfId="1" applyNumberFormat="1" applyFont="1" applyFill="1" applyBorder="1"/>
    <xf numFmtId="164" fontId="3" fillId="3" borderId="3" xfId="1" applyNumberFormat="1" applyFont="1" applyFill="1" applyBorder="1" applyAlignment="1" applyProtection="1">
      <alignment horizontal="center" vertical="center" wrapText="1"/>
      <protection hidden="1"/>
    </xf>
    <xf numFmtId="164" fontId="3" fillId="4" borderId="3" xfId="1" applyNumberFormat="1" applyFont="1" applyFill="1" applyBorder="1" applyAlignment="1" applyProtection="1">
      <alignment horizontal="center" vertical="center" wrapText="1"/>
      <protection hidden="1"/>
    </xf>
    <xf numFmtId="49" fontId="6" fillId="8" borderId="1" xfId="0" applyNumberFormat="1" applyFont="1" applyFill="1" applyBorder="1" applyAlignment="1" applyProtection="1">
      <alignment horizontal="center" vertical="center" wrapText="1"/>
      <protection hidden="1"/>
    </xf>
    <xf numFmtId="49" fontId="4" fillId="0" borderId="9" xfId="0" applyNumberFormat="1" applyFont="1" applyBorder="1" applyAlignment="1" applyProtection="1">
      <alignment horizontal="center" vertical="center" wrapText="1"/>
      <protection hidden="1"/>
    </xf>
    <xf numFmtId="49" fontId="3" fillId="0" borderId="3" xfId="0" applyNumberFormat="1" applyFont="1" applyBorder="1" applyAlignment="1" applyProtection="1">
      <alignment horizontal="center" vertical="center" wrapText="1"/>
      <protection locked="0"/>
    </xf>
    <xf numFmtId="49" fontId="3" fillId="0" borderId="3" xfId="0" applyNumberFormat="1" applyFont="1" applyBorder="1" applyAlignment="1" applyProtection="1">
      <alignment horizontal="center" vertical="center" wrapText="1"/>
      <protection hidden="1"/>
    </xf>
    <xf numFmtId="49" fontId="8" fillId="0" borderId="3" xfId="0" applyNumberFormat="1" applyFont="1" applyBorder="1" applyAlignment="1" applyProtection="1">
      <alignment horizontal="center" vertical="center" wrapText="1"/>
      <protection hidden="1"/>
    </xf>
    <xf numFmtId="49" fontId="3" fillId="0" borderId="3" xfId="0" applyNumberFormat="1" applyFont="1" applyBorder="1" applyAlignment="1" applyProtection="1">
      <alignment horizontal="left" vertical="center" wrapText="1"/>
      <protection locked="0"/>
    </xf>
    <xf numFmtId="49" fontId="3" fillId="0" borderId="8" xfId="0" applyNumberFormat="1" applyFont="1" applyBorder="1" applyAlignment="1" applyProtection="1">
      <alignment horizontal="center" vertical="center" wrapText="1"/>
      <protection hidden="1"/>
    </xf>
    <xf numFmtId="164" fontId="3" fillId="0" borderId="1" xfId="1" applyNumberFormat="1" applyFont="1" applyFill="1" applyBorder="1" applyAlignment="1">
      <alignment horizontal="center" vertical="center" wrapText="1"/>
    </xf>
    <xf numFmtId="0" fontId="3" fillId="0" borderId="1" xfId="1" applyNumberFormat="1" applyFont="1" applyFill="1" applyBorder="1" applyAlignment="1" applyProtection="1">
      <alignment horizontal="left" vertical="center" wrapText="1"/>
      <protection hidden="1"/>
    </xf>
    <xf numFmtId="164" fontId="3" fillId="0" borderId="1" xfId="1" applyNumberFormat="1" applyFont="1" applyFill="1" applyBorder="1" applyAlignment="1" applyProtection="1">
      <alignment horizontal="center" vertical="center" wrapText="1"/>
      <protection hidden="1"/>
    </xf>
    <xf numFmtId="49" fontId="3" fillId="0" borderId="2" xfId="0" applyNumberFormat="1" applyFont="1" applyFill="1" applyBorder="1" applyAlignment="1" applyProtection="1">
      <alignment horizontal="center" vertical="center" wrapText="1"/>
      <protection hidden="1"/>
    </xf>
    <xf numFmtId="164" fontId="3" fillId="0" borderId="10" xfId="1" applyNumberFormat="1" applyFont="1" applyFill="1" applyBorder="1" applyAlignment="1" applyProtection="1">
      <alignment horizontal="center" vertical="center" wrapText="1"/>
      <protection hidden="1"/>
    </xf>
    <xf numFmtId="49" fontId="3" fillId="0" borderId="5" xfId="0" applyNumberFormat="1" applyFont="1" applyFill="1" applyBorder="1" applyAlignment="1" applyProtection="1">
      <alignment horizontal="center" vertical="center" wrapText="1"/>
      <protection hidden="1"/>
    </xf>
    <xf numFmtId="49" fontId="3" fillId="0" borderId="1" xfId="0" applyNumberFormat="1" applyFont="1" applyBorder="1" applyAlignment="1" applyProtection="1">
      <alignment horizontal="center" vertical="center" wrapText="1"/>
      <protection locked="0"/>
    </xf>
    <xf numFmtId="49" fontId="3" fillId="0" borderId="1" xfId="0" applyNumberFormat="1" applyFont="1" applyBorder="1" applyAlignment="1" applyProtection="1">
      <alignment horizontal="center" vertical="center" wrapText="1"/>
      <protection hidden="1"/>
    </xf>
    <xf numFmtId="0" fontId="10" fillId="0" borderId="1" xfId="0" applyFont="1" applyBorder="1" applyAlignment="1">
      <alignment horizontal="center" vertical="center"/>
    </xf>
    <xf numFmtId="49" fontId="3" fillId="0" borderId="1" xfId="0" applyNumberFormat="1" applyFont="1" applyFill="1" applyBorder="1" applyAlignment="1" applyProtection="1">
      <alignment horizontal="center" vertical="center" wrapText="1"/>
      <protection locked="0"/>
    </xf>
    <xf numFmtId="49" fontId="3" fillId="0" borderId="1" xfId="0" applyNumberFormat="1" applyFont="1" applyFill="1" applyBorder="1" applyAlignment="1" applyProtection="1">
      <alignment horizontal="center" vertical="center" wrapText="1"/>
      <protection hidden="1"/>
    </xf>
  </cellXfs>
  <cellStyles count="9">
    <cellStyle name="Moneda" xfId="1" builtinId="4"/>
    <cellStyle name="Moneda 2" xfId="3" xr:uid="{30528CE9-909A-430A-A902-AF4B0C73F690}"/>
    <cellStyle name="Moneda 3" xfId="8" xr:uid="{A409D1F2-E3CB-41F7-8E8B-940796734541}"/>
    <cellStyle name="Normal" xfId="0" builtinId="0"/>
    <cellStyle name="Normal 2" xfId="2" xr:uid="{6B121EBF-626C-4BB8-A71B-C727D246EF6F}"/>
    <cellStyle name="Normal 2 2" xfId="6" xr:uid="{DF8579E6-5F34-4928-A674-6DA961C6AE56}"/>
    <cellStyle name="Normal 3" xfId="5" xr:uid="{C93A8DE9-3A7B-4261-A087-4CCF63B90300}"/>
    <cellStyle name="Normal 4" xfId="4" xr:uid="{DDC89282-B321-49A8-B7B6-A50B1AFA32A5}"/>
    <cellStyle name="Normal 5" xfId="7" xr:uid="{70EE1659-34E5-4D67-8F00-9191997F16D1}"/>
  </cellStyles>
  <dxfs count="67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ptos Narrow"/>
        <family val="2"/>
        <scheme val="minor"/>
      </font>
      <numFmt numFmtId="30" formatCode="@"/>
      <fill>
        <patternFill patternType="none">
          <fgColor rgb="FF000000"/>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0"/>
        <color auto="1"/>
        <name val="Aptos Narrow"/>
        <family val="2"/>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strike val="0"/>
        <outline val="0"/>
        <shadow val="0"/>
        <u val="none"/>
        <vertAlign val="baseline"/>
        <color auto="1"/>
      </font>
      <numFmt numFmtId="164" formatCode="_-&quot;$&quot;\ * #,##0_-;\-&quot;$&quot;\ * #,##0_-;_-&quot;$&quot;\ * &quot;-&quot;??_-;_-@_-"/>
      <fill>
        <patternFill patternType="none">
          <bgColor auto="1"/>
        </patternFill>
      </fill>
    </dxf>
    <dxf>
      <font>
        <strike val="0"/>
        <outline val="0"/>
        <shadow val="0"/>
        <u val="none"/>
        <vertAlign val="baseline"/>
        <color auto="1"/>
      </font>
      <numFmt numFmtId="164" formatCode="_-&quot;$&quot;\ * #,##0_-;\-&quot;$&quot;\ * #,##0_-;_-&quot;$&quot;\ * &quot;-&quot;??_-;_-@_-"/>
      <fill>
        <patternFill patternType="none">
          <bgColor auto="1"/>
        </patternFill>
      </fill>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rgb="FF000000"/>
          <bgColor auto="1"/>
        </patternFill>
      </fill>
      <alignment horizontal="center" vertical="center" textRotation="0" wrapText="1" indent="0" justifyLastLine="0" shrinkToFit="0" readingOrder="0"/>
      <border diagonalUp="0" diagonalDown="0" outline="0">
        <left style="thin">
          <color theme="1"/>
        </left>
        <right/>
        <top style="thin">
          <color theme="1"/>
        </top>
        <bottom style="thin">
          <color theme="1"/>
        </bottom>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general" vertical="center" textRotation="0" wrapText="1" indent="0" justifyLastLine="0" shrinkToFit="0" readingOrder="0"/>
      <border diagonalUp="0" diagonalDown="0">
        <left style="thin">
          <color theme="1"/>
        </left>
        <right style="thin">
          <color theme="1"/>
        </right>
        <top style="thin">
          <color theme="1"/>
        </top>
        <bottom style="thin">
          <color theme="1"/>
        </bottom>
        <vertical/>
        <horizontal/>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rgb="FF000000"/>
          <bgColor auto="1"/>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right"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right"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bgColor auto="1"/>
        </patternFill>
      </fill>
      <alignment horizontal="right"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auto="1"/>
        </patternFill>
      </fill>
      <alignment horizontal="general"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30" formatCode="@"/>
      <fill>
        <patternFill patternType="none">
          <fgColor rgb="FF000000"/>
          <bgColor auto="1"/>
        </patternFill>
      </fill>
      <alignment horizontal="center" vertical="center" textRotation="0" wrapText="1" indent="0" justifyLastLine="0" shrinkToFit="0" readingOrder="0"/>
      <border diagonalUp="0" diagonalDown="0" outline="0">
        <left style="thin">
          <color theme="1"/>
        </left>
        <right style="thin">
          <color theme="1"/>
        </right>
        <top style="thin">
          <color theme="1"/>
        </top>
        <bottom style="thin">
          <color theme="1"/>
        </bottom>
      </border>
      <protection locked="1" hidden="1"/>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Aptos Narrow"/>
        <family val="2"/>
        <scheme val="minor"/>
      </font>
      <numFmt numFmtId="0" formatCode="Genera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color rgb="FFFF0000"/>
      </font>
    </dxf>
    <dxf>
      <border outline="0">
        <left style="thin">
          <color theme="1"/>
        </left>
        <right style="thin">
          <color theme="1"/>
        </right>
        <top style="thin">
          <color theme="1"/>
        </top>
        <bottom style="thin">
          <color theme="1"/>
        </bottom>
      </border>
    </dxf>
    <dxf>
      <font>
        <strike val="0"/>
        <outline val="0"/>
        <shadow val="0"/>
        <u val="none"/>
        <vertAlign val="baseline"/>
        <color auto="1"/>
      </font>
      <fill>
        <patternFill patternType="none">
          <bgColor auto="1"/>
        </patternFill>
      </fill>
    </dxf>
    <dxf>
      <border outline="0">
        <bottom style="thin">
          <color theme="1"/>
        </bottom>
      </border>
    </dxf>
    <dxf>
      <font>
        <strike val="0"/>
        <outline val="0"/>
        <shadow val="0"/>
        <u val="none"/>
        <vertAlign val="baseline"/>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0</xdr:colOff>
      <xdr:row>56</xdr:row>
      <xdr:rowOff>82177</xdr:rowOff>
    </xdr:from>
    <xdr:to>
      <xdr:col>0</xdr:col>
      <xdr:colOff>2063</xdr:colOff>
      <xdr:row>56</xdr:row>
      <xdr:rowOff>736414</xdr:rowOff>
    </xdr:to>
    <xdr:pic>
      <xdr:nvPicPr>
        <xdr:cNvPr id="2" name="Imagen 1">
          <a:extLst>
            <a:ext uri="{FF2B5EF4-FFF2-40B4-BE49-F238E27FC236}">
              <a16:creationId xmlns:a16="http://schemas.microsoft.com/office/drawing/2014/main" id="{C065634D-BD42-49B1-AE15-E4BA9CCC1DA0}"/>
            </a:ext>
          </a:extLst>
        </xdr:cNvPr>
        <xdr:cNvPicPr>
          <a:picLocks noChangeAspect="1"/>
        </xdr:cNvPicPr>
      </xdr:nvPicPr>
      <xdr:blipFill>
        <a:blip xmlns:r="http://schemas.openxmlformats.org/officeDocument/2006/relationships" r:embed="rId1"/>
        <a:stretch>
          <a:fillRect/>
        </a:stretch>
      </xdr:blipFill>
      <xdr:spPr>
        <a:xfrm>
          <a:off x="0" y="10940677"/>
          <a:ext cx="2063" cy="111312"/>
        </a:xfrm>
        <a:prstGeom prst="rect">
          <a:avLst/>
        </a:prstGeom>
      </xdr:spPr>
    </xdr:pic>
    <xdr:clientData/>
  </xdr:twoCellAnchor>
  <xdr:twoCellAnchor>
    <xdr:from>
      <xdr:col>0</xdr:col>
      <xdr:colOff>0</xdr:colOff>
      <xdr:row>55</xdr:row>
      <xdr:rowOff>317500</xdr:rowOff>
    </xdr:from>
    <xdr:to>
      <xdr:col>0</xdr:col>
      <xdr:colOff>9525</xdr:colOff>
      <xdr:row>55</xdr:row>
      <xdr:rowOff>774700</xdr:rowOff>
    </xdr:to>
    <xdr:pic>
      <xdr:nvPicPr>
        <xdr:cNvPr id="3" name="Imagen 2" descr="立体图">
          <a:extLst>
            <a:ext uri="{FF2B5EF4-FFF2-40B4-BE49-F238E27FC236}">
              <a16:creationId xmlns:a16="http://schemas.microsoft.com/office/drawing/2014/main" id="{6EDAD638-4421-4958-AB00-01CCA95249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0861675"/>
          <a:ext cx="95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38</xdr:row>
      <xdr:rowOff>161113</xdr:rowOff>
    </xdr:from>
    <xdr:to>
      <xdr:col>0</xdr:col>
      <xdr:colOff>0</xdr:colOff>
      <xdr:row>38</xdr:row>
      <xdr:rowOff>1037317</xdr:rowOff>
    </xdr:to>
    <xdr:pic>
      <xdr:nvPicPr>
        <xdr:cNvPr id="4" name="图片 45">
          <a:extLst>
            <a:ext uri="{FF2B5EF4-FFF2-40B4-BE49-F238E27FC236}">
              <a16:creationId xmlns:a16="http://schemas.microsoft.com/office/drawing/2014/main" id="{D4859EE0-974F-4713-8A21-B0FB8369146D}"/>
            </a:ext>
          </a:extLst>
        </xdr:cNvPr>
        <xdr:cNvPicPr>
          <a:picLocks noChangeAspect="1"/>
        </xdr:cNvPicPr>
      </xdr:nvPicPr>
      <xdr:blipFill>
        <a:blip xmlns:r="http://schemas.openxmlformats.org/officeDocument/2006/relationships" r:embed="rId3"/>
        <a:stretch>
          <a:fillRect/>
        </a:stretch>
      </xdr:blipFill>
      <xdr:spPr>
        <a:xfrm>
          <a:off x="0" y="7590613"/>
          <a:ext cx="0" cy="28479"/>
        </a:xfrm>
        <a:prstGeom prst="rect">
          <a:avLst/>
        </a:prstGeom>
      </xdr:spPr>
    </xdr:pic>
    <xdr:clientData/>
  </xdr:twoCellAnchor>
  <xdr:twoCellAnchor>
    <xdr:from>
      <xdr:col>0</xdr:col>
      <xdr:colOff>0</xdr:colOff>
      <xdr:row>39</xdr:row>
      <xdr:rowOff>172357</xdr:rowOff>
    </xdr:from>
    <xdr:to>
      <xdr:col>0</xdr:col>
      <xdr:colOff>0</xdr:colOff>
      <xdr:row>39</xdr:row>
      <xdr:rowOff>1036864</xdr:rowOff>
    </xdr:to>
    <xdr:pic>
      <xdr:nvPicPr>
        <xdr:cNvPr id="5" name="图片 40">
          <a:extLst>
            <a:ext uri="{FF2B5EF4-FFF2-40B4-BE49-F238E27FC236}">
              <a16:creationId xmlns:a16="http://schemas.microsoft.com/office/drawing/2014/main" id="{78590D8B-417D-49D3-97DF-065CEFC337F0}"/>
            </a:ext>
          </a:extLst>
        </xdr:cNvPr>
        <xdr:cNvPicPr>
          <a:picLocks noChangeAspect="1"/>
        </xdr:cNvPicPr>
      </xdr:nvPicPr>
      <xdr:blipFill>
        <a:blip xmlns:r="http://schemas.openxmlformats.org/officeDocument/2006/relationships" r:embed="rId4"/>
        <a:stretch>
          <a:fillRect/>
        </a:stretch>
      </xdr:blipFill>
      <xdr:spPr>
        <a:xfrm>
          <a:off x="0" y="7792357"/>
          <a:ext cx="0" cy="16782"/>
        </a:xfrm>
        <a:prstGeom prst="rect">
          <a:avLst/>
        </a:prstGeom>
      </xdr:spPr>
    </xdr:pic>
    <xdr:clientData/>
  </xdr:twoCellAnchor>
  <xdr:twoCellAnchor>
    <xdr:from>
      <xdr:col>0</xdr:col>
      <xdr:colOff>0</xdr:colOff>
      <xdr:row>40</xdr:row>
      <xdr:rowOff>34636</xdr:rowOff>
    </xdr:from>
    <xdr:to>
      <xdr:col>0</xdr:col>
      <xdr:colOff>0</xdr:colOff>
      <xdr:row>40</xdr:row>
      <xdr:rowOff>1141065</xdr:rowOff>
    </xdr:to>
    <xdr:pic>
      <xdr:nvPicPr>
        <xdr:cNvPr id="6" name="Imagen 17">
          <a:extLst>
            <a:ext uri="{FF2B5EF4-FFF2-40B4-BE49-F238E27FC236}">
              <a16:creationId xmlns:a16="http://schemas.microsoft.com/office/drawing/2014/main" id="{4D50CBC6-15BA-4302-AE80-1B28D1E4ADA1}"/>
            </a:ext>
          </a:extLst>
        </xdr:cNvPr>
        <xdr:cNvPicPr>
          <a:picLocks noChangeAspect="1"/>
        </xdr:cNvPicPr>
      </xdr:nvPicPr>
      <xdr:blipFill>
        <a:blip xmlns:r="http://schemas.openxmlformats.org/officeDocument/2006/relationships" r:embed="rId5"/>
        <a:stretch>
          <a:fillRect/>
        </a:stretch>
      </xdr:blipFill>
      <xdr:spPr>
        <a:xfrm>
          <a:off x="0" y="7845136"/>
          <a:ext cx="0" cy="153929"/>
        </a:xfrm>
        <a:prstGeom prst="rect">
          <a:avLst/>
        </a:prstGeom>
      </xdr:spPr>
    </xdr:pic>
    <xdr:clientData/>
  </xdr:twoCellAnchor>
  <xdr:twoCellAnchor>
    <xdr:from>
      <xdr:col>0</xdr:col>
      <xdr:colOff>0</xdr:colOff>
      <xdr:row>46</xdr:row>
      <xdr:rowOff>295108</xdr:rowOff>
    </xdr:from>
    <xdr:to>
      <xdr:col>0</xdr:col>
      <xdr:colOff>5530</xdr:colOff>
      <xdr:row>46</xdr:row>
      <xdr:rowOff>906729</xdr:rowOff>
    </xdr:to>
    <xdr:pic>
      <xdr:nvPicPr>
        <xdr:cNvPr id="7" name="Imagen 18">
          <a:extLst>
            <a:ext uri="{FF2B5EF4-FFF2-40B4-BE49-F238E27FC236}">
              <a16:creationId xmlns:a16="http://schemas.microsoft.com/office/drawing/2014/main" id="{FA06C8F6-9890-4802-B505-A74495371D0D}"/>
            </a:ext>
          </a:extLst>
        </xdr:cNvPr>
        <xdr:cNvPicPr>
          <a:picLocks noChangeAspect="1"/>
        </xdr:cNvPicPr>
      </xdr:nvPicPr>
      <xdr:blipFill>
        <a:blip xmlns:r="http://schemas.openxmlformats.org/officeDocument/2006/relationships" r:embed="rId6"/>
        <a:stretch>
          <a:fillRect/>
        </a:stretch>
      </xdr:blipFill>
      <xdr:spPr>
        <a:xfrm>
          <a:off x="0" y="9143833"/>
          <a:ext cx="5530" cy="2021"/>
        </a:xfrm>
        <a:prstGeom prst="rect">
          <a:avLst/>
        </a:prstGeom>
      </xdr:spPr>
    </xdr:pic>
    <xdr:clientData/>
  </xdr:twoCellAnchor>
  <xdr:twoCellAnchor>
    <xdr:from>
      <xdr:col>0</xdr:col>
      <xdr:colOff>0</xdr:colOff>
      <xdr:row>21</xdr:row>
      <xdr:rowOff>0</xdr:rowOff>
    </xdr:from>
    <xdr:to>
      <xdr:col>0</xdr:col>
      <xdr:colOff>0</xdr:colOff>
      <xdr:row>21</xdr:row>
      <xdr:rowOff>0</xdr:rowOff>
    </xdr:to>
    <xdr:pic>
      <xdr:nvPicPr>
        <xdr:cNvPr id="8" name="Imagen 23">
          <a:extLst>
            <a:ext uri="{FF2B5EF4-FFF2-40B4-BE49-F238E27FC236}">
              <a16:creationId xmlns:a16="http://schemas.microsoft.com/office/drawing/2014/main" id="{C8EBA48A-CDDA-4894-99B1-33AAB85640D8}"/>
            </a:ext>
          </a:extLst>
        </xdr:cNvPr>
        <xdr:cNvPicPr>
          <a:picLocks noChangeAspect="1"/>
        </xdr:cNvPicPr>
      </xdr:nvPicPr>
      <xdr:blipFill>
        <a:blip xmlns:r="http://schemas.openxmlformats.org/officeDocument/2006/relationships" r:embed="rId7"/>
        <a:stretch>
          <a:fillRect/>
        </a:stretch>
      </xdr:blipFill>
      <xdr:spPr>
        <a:xfrm>
          <a:off x="0" y="4191000"/>
          <a:ext cx="0" cy="0"/>
        </a:xfrm>
        <a:prstGeom prst="rect">
          <a:avLst/>
        </a:prstGeom>
      </xdr:spPr>
    </xdr:pic>
    <xdr:clientData/>
  </xdr:twoCellAnchor>
  <xdr:twoCellAnchor>
    <xdr:from>
      <xdr:col>0</xdr:col>
      <xdr:colOff>0</xdr:colOff>
      <xdr:row>21</xdr:row>
      <xdr:rowOff>187870</xdr:rowOff>
    </xdr:from>
    <xdr:to>
      <xdr:col>0</xdr:col>
      <xdr:colOff>0</xdr:colOff>
      <xdr:row>21</xdr:row>
      <xdr:rowOff>736413</xdr:rowOff>
    </xdr:to>
    <xdr:pic>
      <xdr:nvPicPr>
        <xdr:cNvPr id="9" name="Imagen 32">
          <a:extLst>
            <a:ext uri="{FF2B5EF4-FFF2-40B4-BE49-F238E27FC236}">
              <a16:creationId xmlns:a16="http://schemas.microsoft.com/office/drawing/2014/main" id="{91AE9428-E109-40FB-8067-5CA0A4565A60}"/>
            </a:ext>
          </a:extLst>
        </xdr:cNvPr>
        <xdr:cNvPicPr>
          <a:picLocks noChangeAspect="1"/>
        </xdr:cNvPicPr>
      </xdr:nvPicPr>
      <xdr:blipFill>
        <a:blip xmlns:r="http://schemas.openxmlformats.org/officeDocument/2006/relationships" r:embed="rId8"/>
        <a:stretch>
          <a:fillRect/>
        </a:stretch>
      </xdr:blipFill>
      <xdr:spPr>
        <a:xfrm>
          <a:off x="0" y="4378870"/>
          <a:ext cx="0" cy="5618"/>
        </a:xfrm>
        <a:prstGeom prst="rect">
          <a:avLst/>
        </a:prstGeom>
      </xdr:spPr>
    </xdr:pic>
    <xdr:clientData/>
  </xdr:twoCellAnchor>
  <xdr:twoCellAnchor>
    <xdr:from>
      <xdr:col>0</xdr:col>
      <xdr:colOff>0</xdr:colOff>
      <xdr:row>45</xdr:row>
      <xdr:rowOff>149412</xdr:rowOff>
    </xdr:from>
    <xdr:to>
      <xdr:col>0</xdr:col>
      <xdr:colOff>0</xdr:colOff>
      <xdr:row>45</xdr:row>
      <xdr:rowOff>1198469</xdr:rowOff>
    </xdr:to>
    <xdr:pic>
      <xdr:nvPicPr>
        <xdr:cNvPr id="10" name="Imagen 39">
          <a:extLst>
            <a:ext uri="{FF2B5EF4-FFF2-40B4-BE49-F238E27FC236}">
              <a16:creationId xmlns:a16="http://schemas.microsoft.com/office/drawing/2014/main" id="{D695E12D-CFBA-44E1-BCDB-3CAD721CECBA}"/>
            </a:ext>
          </a:extLst>
        </xdr:cNvPr>
        <xdr:cNvPicPr>
          <a:picLocks noChangeAspect="1"/>
        </xdr:cNvPicPr>
      </xdr:nvPicPr>
      <xdr:blipFill>
        <a:blip xmlns:r="http://schemas.openxmlformats.org/officeDocument/2006/relationships" r:embed="rId9"/>
        <a:stretch>
          <a:fillRect/>
        </a:stretch>
      </xdr:blipFill>
      <xdr:spPr>
        <a:xfrm>
          <a:off x="0" y="8912412"/>
          <a:ext cx="0" cy="39407"/>
        </a:xfrm>
        <a:prstGeom prst="rect">
          <a:avLst/>
        </a:prstGeom>
      </xdr:spPr>
    </xdr:pic>
    <xdr:clientData/>
  </xdr:twoCellAnchor>
  <xdr:twoCellAnchor>
    <xdr:from>
      <xdr:col>0</xdr:col>
      <xdr:colOff>0</xdr:colOff>
      <xdr:row>49</xdr:row>
      <xdr:rowOff>208643</xdr:rowOff>
    </xdr:from>
    <xdr:to>
      <xdr:col>0</xdr:col>
      <xdr:colOff>0</xdr:colOff>
      <xdr:row>49</xdr:row>
      <xdr:rowOff>988784</xdr:rowOff>
    </xdr:to>
    <xdr:pic>
      <xdr:nvPicPr>
        <xdr:cNvPr id="11" name="Imagen 42">
          <a:extLst>
            <a:ext uri="{FF2B5EF4-FFF2-40B4-BE49-F238E27FC236}">
              <a16:creationId xmlns:a16="http://schemas.microsoft.com/office/drawing/2014/main" id="{56F5170F-B4A6-441C-A05E-F9EBB301C1CC}"/>
            </a:ext>
          </a:extLst>
        </xdr:cNvPr>
        <xdr:cNvPicPr>
          <a:picLocks noChangeAspect="1"/>
        </xdr:cNvPicPr>
      </xdr:nvPicPr>
      <xdr:blipFill>
        <a:blip xmlns:r="http://schemas.openxmlformats.org/officeDocument/2006/relationships" r:embed="rId10"/>
        <a:stretch>
          <a:fillRect/>
        </a:stretch>
      </xdr:blipFill>
      <xdr:spPr>
        <a:xfrm>
          <a:off x="0" y="9714593"/>
          <a:ext cx="0" cy="0"/>
        </a:xfrm>
        <a:prstGeom prst="rect">
          <a:avLst/>
        </a:prstGeom>
      </xdr:spPr>
    </xdr:pic>
    <xdr:clientData/>
  </xdr:twoCellAnchor>
  <xdr:twoCellAnchor>
    <xdr:from>
      <xdr:col>0</xdr:col>
      <xdr:colOff>0</xdr:colOff>
      <xdr:row>51</xdr:row>
      <xdr:rowOff>45358</xdr:rowOff>
    </xdr:from>
    <xdr:to>
      <xdr:col>0</xdr:col>
      <xdr:colOff>0</xdr:colOff>
      <xdr:row>51</xdr:row>
      <xdr:rowOff>1262912</xdr:rowOff>
    </xdr:to>
    <xdr:pic>
      <xdr:nvPicPr>
        <xdr:cNvPr id="12" name="图片 41">
          <a:extLst>
            <a:ext uri="{FF2B5EF4-FFF2-40B4-BE49-F238E27FC236}">
              <a16:creationId xmlns:a16="http://schemas.microsoft.com/office/drawing/2014/main" id="{EC7020DA-ED46-40B2-A736-43D41508B8E9}"/>
            </a:ext>
          </a:extLst>
        </xdr:cNvPr>
        <xdr:cNvPicPr>
          <a:picLocks noChangeAspect="1" noChangeArrowheads="1"/>
        </xdr:cNvPicPr>
      </xdr:nvPicPr>
      <xdr:blipFill>
        <a:blip xmlns:r="http://schemas.openxmlformats.org/officeDocument/2006/relationships" r:embed="rId11" cstate="print">
          <a:clrChange>
            <a:clrFrom>
              <a:srgbClr val="EEF3FA"/>
            </a:clrFrom>
            <a:clrTo>
              <a:srgbClr val="EEF3FA">
                <a:alpha val="0"/>
              </a:srgbClr>
            </a:clrTo>
          </a:clrChange>
          <a:extLst>
            <a:ext uri="{28A0092B-C50C-407E-A947-70E740481C1C}">
              <a14:useLocalDpi xmlns:a14="http://schemas.microsoft.com/office/drawing/2010/main" val="0"/>
            </a:ext>
          </a:extLst>
        </a:blip>
        <a:srcRect/>
        <a:stretch>
          <a:fillRect/>
        </a:stretch>
      </xdr:blipFill>
      <xdr:spPr bwMode="auto">
        <a:xfrm flipH="1">
          <a:off x="0" y="9951358"/>
          <a:ext cx="0" cy="141229"/>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CCCCCC"/>
                </a:outerShdw>
              </a:effectLst>
            </a14:hiddenEffects>
          </a:ext>
        </a:extLst>
      </xdr:spPr>
    </xdr:pic>
    <xdr:clientData/>
  </xdr:twoCellAnchor>
  <xdr:twoCellAnchor>
    <xdr:from>
      <xdr:col>0</xdr:col>
      <xdr:colOff>0</xdr:colOff>
      <xdr:row>52</xdr:row>
      <xdr:rowOff>51614</xdr:rowOff>
    </xdr:from>
    <xdr:to>
      <xdr:col>0</xdr:col>
      <xdr:colOff>0</xdr:colOff>
      <xdr:row>52</xdr:row>
      <xdr:rowOff>1178465</xdr:rowOff>
    </xdr:to>
    <xdr:pic>
      <xdr:nvPicPr>
        <xdr:cNvPr id="13" name="图片 42">
          <a:extLst>
            <a:ext uri="{FF2B5EF4-FFF2-40B4-BE49-F238E27FC236}">
              <a16:creationId xmlns:a16="http://schemas.microsoft.com/office/drawing/2014/main" id="{6EB2A67C-0E41-42E5-B054-AD6753A9D68C}"/>
            </a:ext>
          </a:extLst>
        </xdr:cNvPr>
        <xdr:cNvPicPr>
          <a:picLocks noChangeAspect="1" noChangeArrowheads="1"/>
        </xdr:cNvPicPr>
      </xdr:nvPicPr>
      <xdr:blipFill>
        <a:blip xmlns:r="http://schemas.openxmlformats.org/officeDocument/2006/relationships" r:embed="rId12" cstate="print">
          <a:clrChange>
            <a:clrFrom>
              <a:srgbClr val="EEF3FA"/>
            </a:clrFrom>
            <a:clrTo>
              <a:srgbClr val="EEF3FA">
                <a:alpha val="0"/>
              </a:srgbClr>
            </a:clrTo>
          </a:clrChange>
          <a:extLst>
            <a:ext uri="{28A0092B-C50C-407E-A947-70E740481C1C}">
              <a14:useLocalDpi xmlns:a14="http://schemas.microsoft.com/office/drawing/2010/main" val="0"/>
            </a:ext>
          </a:extLst>
        </a:blip>
        <a:srcRect/>
        <a:stretch>
          <a:fillRect/>
        </a:stretch>
      </xdr:blipFill>
      <xdr:spPr bwMode="auto">
        <a:xfrm>
          <a:off x="0" y="10148114"/>
          <a:ext cx="0" cy="13625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CCCCCC"/>
                </a:outerShdw>
              </a:effectLst>
            </a14:hiddenEffects>
          </a:ext>
        </a:extLst>
      </xdr:spPr>
    </xdr:pic>
    <xdr:clientData/>
  </xdr:twoCellAnchor>
  <xdr:twoCellAnchor>
    <xdr:from>
      <xdr:col>0</xdr:col>
      <xdr:colOff>0</xdr:colOff>
      <xdr:row>48</xdr:row>
      <xdr:rowOff>114516</xdr:rowOff>
    </xdr:from>
    <xdr:to>
      <xdr:col>0</xdr:col>
      <xdr:colOff>0</xdr:colOff>
      <xdr:row>48</xdr:row>
      <xdr:rowOff>1242786</xdr:rowOff>
    </xdr:to>
    <xdr:pic>
      <xdr:nvPicPr>
        <xdr:cNvPr id="14" name="图片 4">
          <a:extLst>
            <a:ext uri="{FF2B5EF4-FFF2-40B4-BE49-F238E27FC236}">
              <a16:creationId xmlns:a16="http://schemas.microsoft.com/office/drawing/2014/main" id="{05FF5FFA-CFF4-4B79-BA2B-572FD8145FF3}"/>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0625" t="6121" r="44145"/>
        <a:stretch/>
      </xdr:blipFill>
      <xdr:spPr>
        <a:xfrm>
          <a:off x="0" y="9449016"/>
          <a:ext cx="0" cy="80520"/>
        </a:xfrm>
        <a:prstGeom prst="rect">
          <a:avLst/>
        </a:prstGeom>
      </xdr:spPr>
    </xdr:pic>
    <xdr:clientData/>
  </xdr:twoCellAnchor>
  <xdr:twoCellAnchor>
    <xdr:from>
      <xdr:col>0</xdr:col>
      <xdr:colOff>0</xdr:colOff>
      <xdr:row>47</xdr:row>
      <xdr:rowOff>357910</xdr:rowOff>
    </xdr:from>
    <xdr:to>
      <xdr:col>0</xdr:col>
      <xdr:colOff>0</xdr:colOff>
      <xdr:row>47</xdr:row>
      <xdr:rowOff>1004456</xdr:rowOff>
    </xdr:to>
    <xdr:pic>
      <xdr:nvPicPr>
        <xdr:cNvPr id="15" name="Imagen 50">
          <a:extLst>
            <a:ext uri="{FF2B5EF4-FFF2-40B4-BE49-F238E27FC236}">
              <a16:creationId xmlns:a16="http://schemas.microsoft.com/office/drawing/2014/main" id="{9EA1A3E5-F731-49BD-A49E-62D8FA021D47}"/>
            </a:ext>
          </a:extLst>
        </xdr:cNvPr>
        <xdr:cNvPicPr>
          <a:picLocks noChangeAspect="1"/>
        </xdr:cNvPicPr>
      </xdr:nvPicPr>
      <xdr:blipFill>
        <a:blip xmlns:r="http://schemas.openxmlformats.org/officeDocument/2006/relationships" r:embed="rId6"/>
        <a:stretch>
          <a:fillRect/>
        </a:stretch>
      </xdr:blipFill>
      <xdr:spPr>
        <a:xfrm>
          <a:off x="0" y="9330460"/>
          <a:ext cx="0" cy="8371"/>
        </a:xfrm>
        <a:prstGeom prst="rect">
          <a:avLst/>
        </a:prstGeom>
      </xdr:spPr>
    </xdr:pic>
    <xdr:clientData/>
  </xdr:twoCellAnchor>
  <xdr:twoCellAnchor>
    <xdr:from>
      <xdr:col>0</xdr:col>
      <xdr:colOff>0</xdr:colOff>
      <xdr:row>35</xdr:row>
      <xdr:rowOff>166663</xdr:rowOff>
    </xdr:from>
    <xdr:to>
      <xdr:col>0</xdr:col>
      <xdr:colOff>0</xdr:colOff>
      <xdr:row>35</xdr:row>
      <xdr:rowOff>1152072</xdr:rowOff>
    </xdr:to>
    <xdr:pic>
      <xdr:nvPicPr>
        <xdr:cNvPr id="16" name="Imagen 51">
          <a:extLst>
            <a:ext uri="{FF2B5EF4-FFF2-40B4-BE49-F238E27FC236}">
              <a16:creationId xmlns:a16="http://schemas.microsoft.com/office/drawing/2014/main" id="{057BF3D3-5F4D-4875-BCA6-16FD2E964DD9}"/>
            </a:ext>
          </a:extLst>
        </xdr:cNvPr>
        <xdr:cNvPicPr>
          <a:picLocks noChangeAspect="1"/>
        </xdr:cNvPicPr>
      </xdr:nvPicPr>
      <xdr:blipFill>
        <a:blip xmlns:r="http://schemas.openxmlformats.org/officeDocument/2006/relationships" r:embed="rId14"/>
        <a:stretch>
          <a:fillRect/>
        </a:stretch>
      </xdr:blipFill>
      <xdr:spPr>
        <a:xfrm>
          <a:off x="0" y="7024663"/>
          <a:ext cx="0" cy="23384"/>
        </a:xfrm>
        <a:prstGeom prst="rect">
          <a:avLst/>
        </a:prstGeom>
      </xdr:spPr>
    </xdr:pic>
    <xdr:clientData/>
  </xdr:twoCellAnchor>
  <xdr:twoCellAnchor>
    <xdr:from>
      <xdr:col>0</xdr:col>
      <xdr:colOff>0</xdr:colOff>
      <xdr:row>9</xdr:row>
      <xdr:rowOff>17929</xdr:rowOff>
    </xdr:from>
    <xdr:to>
      <xdr:col>0</xdr:col>
      <xdr:colOff>0</xdr:colOff>
      <xdr:row>9</xdr:row>
      <xdr:rowOff>1117400</xdr:rowOff>
    </xdr:to>
    <xdr:pic>
      <xdr:nvPicPr>
        <xdr:cNvPr id="17" name="Imagen 53">
          <a:extLst>
            <a:ext uri="{FF2B5EF4-FFF2-40B4-BE49-F238E27FC236}">
              <a16:creationId xmlns:a16="http://schemas.microsoft.com/office/drawing/2014/main" id="{330BCA87-E822-4C73-B7C1-3A39E3E3D629}"/>
            </a:ext>
          </a:extLst>
        </xdr:cNvPr>
        <xdr:cNvPicPr>
          <a:picLocks noChangeAspect="1"/>
        </xdr:cNvPicPr>
      </xdr:nvPicPr>
      <xdr:blipFill>
        <a:blip xmlns:r="http://schemas.openxmlformats.org/officeDocument/2006/relationships" r:embed="rId14"/>
        <a:stretch>
          <a:fillRect/>
        </a:stretch>
      </xdr:blipFill>
      <xdr:spPr>
        <a:xfrm>
          <a:off x="0" y="1922929"/>
          <a:ext cx="0" cy="175546"/>
        </a:xfrm>
        <a:prstGeom prst="rect">
          <a:avLst/>
        </a:prstGeom>
      </xdr:spPr>
    </xdr:pic>
    <xdr:clientData/>
  </xdr:twoCellAnchor>
  <xdr:twoCellAnchor>
    <xdr:from>
      <xdr:col>0</xdr:col>
      <xdr:colOff>0</xdr:colOff>
      <xdr:row>10</xdr:row>
      <xdr:rowOff>14380</xdr:rowOff>
    </xdr:from>
    <xdr:to>
      <xdr:col>0</xdr:col>
      <xdr:colOff>0</xdr:colOff>
      <xdr:row>10</xdr:row>
      <xdr:rowOff>958849</xdr:rowOff>
    </xdr:to>
    <xdr:pic>
      <xdr:nvPicPr>
        <xdr:cNvPr id="18" name="Imagen 55">
          <a:extLst>
            <a:ext uri="{FF2B5EF4-FFF2-40B4-BE49-F238E27FC236}">
              <a16:creationId xmlns:a16="http://schemas.microsoft.com/office/drawing/2014/main" id="{F9DD52E5-7061-4D6E-AA7A-4E207476ADB5}"/>
            </a:ext>
          </a:extLst>
        </xdr:cNvPr>
        <xdr:cNvPicPr>
          <a:picLocks noChangeAspect="1"/>
        </xdr:cNvPicPr>
      </xdr:nvPicPr>
      <xdr:blipFill>
        <a:blip xmlns:r="http://schemas.openxmlformats.org/officeDocument/2006/relationships" r:embed="rId15"/>
        <a:stretch>
          <a:fillRect/>
        </a:stretch>
      </xdr:blipFill>
      <xdr:spPr>
        <a:xfrm>
          <a:off x="0" y="2109880"/>
          <a:ext cx="0" cy="172944"/>
        </a:xfrm>
        <a:prstGeom prst="rect">
          <a:avLst/>
        </a:prstGeom>
      </xdr:spPr>
    </xdr:pic>
    <xdr:clientData/>
  </xdr:twoCellAnchor>
  <xdr:twoCellAnchor>
    <xdr:from>
      <xdr:col>0</xdr:col>
      <xdr:colOff>0</xdr:colOff>
      <xdr:row>28</xdr:row>
      <xdr:rowOff>75267</xdr:rowOff>
    </xdr:from>
    <xdr:to>
      <xdr:col>0</xdr:col>
      <xdr:colOff>0</xdr:colOff>
      <xdr:row>28</xdr:row>
      <xdr:rowOff>1123764</xdr:rowOff>
    </xdr:to>
    <xdr:pic>
      <xdr:nvPicPr>
        <xdr:cNvPr id="19" name="Imagen 57">
          <a:extLst>
            <a:ext uri="{FF2B5EF4-FFF2-40B4-BE49-F238E27FC236}">
              <a16:creationId xmlns:a16="http://schemas.microsoft.com/office/drawing/2014/main" id="{BE8E8FE0-9AFD-47D6-91A9-46416419D320}"/>
            </a:ext>
          </a:extLst>
        </xdr:cNvPr>
        <xdr:cNvPicPr>
          <a:picLocks noChangeAspect="1"/>
        </xdr:cNvPicPr>
      </xdr:nvPicPr>
      <xdr:blipFill>
        <a:blip xmlns:r="http://schemas.openxmlformats.org/officeDocument/2006/relationships" r:embed="rId16"/>
        <a:stretch>
          <a:fillRect/>
        </a:stretch>
      </xdr:blipFill>
      <xdr:spPr>
        <a:xfrm>
          <a:off x="0" y="5599767"/>
          <a:ext cx="0" cy="115047"/>
        </a:xfrm>
        <a:prstGeom prst="rect">
          <a:avLst/>
        </a:prstGeom>
      </xdr:spPr>
    </xdr:pic>
    <xdr:clientData/>
  </xdr:twoCellAnchor>
  <xdr:twoCellAnchor>
    <xdr:from>
      <xdr:col>0</xdr:col>
      <xdr:colOff>0</xdr:colOff>
      <xdr:row>8</xdr:row>
      <xdr:rowOff>0</xdr:rowOff>
    </xdr:from>
    <xdr:to>
      <xdr:col>0</xdr:col>
      <xdr:colOff>0</xdr:colOff>
      <xdr:row>9</xdr:row>
      <xdr:rowOff>0</xdr:rowOff>
    </xdr:to>
    <xdr:pic>
      <xdr:nvPicPr>
        <xdr:cNvPr id="20" name="图片 2">
          <a:extLst>
            <a:ext uri="{FF2B5EF4-FFF2-40B4-BE49-F238E27FC236}">
              <a16:creationId xmlns:a16="http://schemas.microsoft.com/office/drawing/2014/main" id="{858C6BB9-3876-48E5-A9AD-07EFC33BF9E0}"/>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5835" r="27857"/>
        <a:stretch/>
      </xdr:blipFill>
      <xdr:spPr>
        <a:xfrm>
          <a:off x="0" y="1714500"/>
          <a:ext cx="0" cy="190500"/>
        </a:xfrm>
        <a:prstGeom prst="rect">
          <a:avLst/>
        </a:prstGeom>
      </xdr:spPr>
    </xdr:pic>
    <xdr:clientData/>
  </xdr:twoCellAnchor>
  <xdr:twoCellAnchor>
    <xdr:from>
      <xdr:col>0</xdr:col>
      <xdr:colOff>0</xdr:colOff>
      <xdr:row>28</xdr:row>
      <xdr:rowOff>75267</xdr:rowOff>
    </xdr:from>
    <xdr:to>
      <xdr:col>0</xdr:col>
      <xdr:colOff>0</xdr:colOff>
      <xdr:row>28</xdr:row>
      <xdr:rowOff>1123764</xdr:rowOff>
    </xdr:to>
    <xdr:pic>
      <xdr:nvPicPr>
        <xdr:cNvPr id="21" name="Imagen 67">
          <a:extLst>
            <a:ext uri="{FF2B5EF4-FFF2-40B4-BE49-F238E27FC236}">
              <a16:creationId xmlns:a16="http://schemas.microsoft.com/office/drawing/2014/main" id="{D9570ADC-E7F9-43C1-B7E0-D75C14E08FD3}"/>
            </a:ext>
          </a:extLst>
        </xdr:cNvPr>
        <xdr:cNvPicPr>
          <a:picLocks noChangeAspect="1"/>
        </xdr:cNvPicPr>
      </xdr:nvPicPr>
      <xdr:blipFill>
        <a:blip xmlns:r="http://schemas.openxmlformats.org/officeDocument/2006/relationships" r:embed="rId16"/>
        <a:stretch>
          <a:fillRect/>
        </a:stretch>
      </xdr:blipFill>
      <xdr:spPr>
        <a:xfrm>
          <a:off x="0" y="5599767"/>
          <a:ext cx="0" cy="115047"/>
        </a:xfrm>
        <a:prstGeom prst="rect">
          <a:avLst/>
        </a:prstGeom>
      </xdr:spPr>
    </xdr:pic>
    <xdr:clientData/>
  </xdr:twoCellAnchor>
  <xdr:twoCellAnchor>
    <xdr:from>
      <xdr:col>0</xdr:col>
      <xdr:colOff>0</xdr:colOff>
      <xdr:row>14</xdr:row>
      <xdr:rowOff>159873</xdr:rowOff>
    </xdr:from>
    <xdr:to>
      <xdr:col>0</xdr:col>
      <xdr:colOff>0</xdr:colOff>
      <xdr:row>14</xdr:row>
      <xdr:rowOff>1288143</xdr:rowOff>
    </xdr:to>
    <xdr:pic>
      <xdr:nvPicPr>
        <xdr:cNvPr id="22" name="图片 4">
          <a:extLst>
            <a:ext uri="{FF2B5EF4-FFF2-40B4-BE49-F238E27FC236}">
              <a16:creationId xmlns:a16="http://schemas.microsoft.com/office/drawing/2014/main" id="{664DA7DC-D7F2-4A55-B19E-4F3B7405177C}"/>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0625" t="6121" r="44145"/>
        <a:stretch/>
      </xdr:blipFill>
      <xdr:spPr>
        <a:xfrm>
          <a:off x="0" y="3017373"/>
          <a:ext cx="0" cy="32895"/>
        </a:xfrm>
        <a:prstGeom prst="rect">
          <a:avLst/>
        </a:prstGeom>
      </xdr:spPr>
    </xdr:pic>
    <xdr:clientData/>
  </xdr:twoCellAnchor>
  <xdr:twoCellAnchor>
    <xdr:from>
      <xdr:col>0</xdr:col>
      <xdr:colOff>0</xdr:colOff>
      <xdr:row>50</xdr:row>
      <xdr:rowOff>127001</xdr:rowOff>
    </xdr:from>
    <xdr:to>
      <xdr:col>0</xdr:col>
      <xdr:colOff>0</xdr:colOff>
      <xdr:row>50</xdr:row>
      <xdr:rowOff>1068295</xdr:rowOff>
    </xdr:to>
    <xdr:pic>
      <xdr:nvPicPr>
        <xdr:cNvPr id="23" name="Imagen 45">
          <a:extLst>
            <a:ext uri="{FF2B5EF4-FFF2-40B4-BE49-F238E27FC236}">
              <a16:creationId xmlns:a16="http://schemas.microsoft.com/office/drawing/2014/main" id="{050EB4CE-CCC3-4F08-A905-3204D62934E7}"/>
            </a:ext>
          </a:extLst>
        </xdr:cNvPr>
        <xdr:cNvPicPr>
          <a:picLocks noChangeAspect="1"/>
        </xdr:cNvPicPr>
      </xdr:nvPicPr>
      <xdr:blipFill>
        <a:blip xmlns:r="http://schemas.openxmlformats.org/officeDocument/2006/relationships" r:embed="rId18"/>
        <a:stretch>
          <a:fillRect/>
        </a:stretch>
      </xdr:blipFill>
      <xdr:spPr>
        <a:xfrm>
          <a:off x="0" y="9842501"/>
          <a:ext cx="0" cy="64994"/>
        </a:xfrm>
        <a:prstGeom prst="rect">
          <a:avLst/>
        </a:prstGeom>
      </xdr:spPr>
    </xdr:pic>
    <xdr:clientData/>
  </xdr:twoCellAnchor>
  <xdr:twoCellAnchor>
    <xdr:from>
      <xdr:col>0</xdr:col>
      <xdr:colOff>0</xdr:colOff>
      <xdr:row>8</xdr:row>
      <xdr:rowOff>1133928</xdr:rowOff>
    </xdr:from>
    <xdr:to>
      <xdr:col>0</xdr:col>
      <xdr:colOff>0</xdr:colOff>
      <xdr:row>9</xdr:row>
      <xdr:rowOff>1133929</xdr:rowOff>
    </xdr:to>
    <xdr:pic>
      <xdr:nvPicPr>
        <xdr:cNvPr id="25" name="图片 2">
          <a:extLst>
            <a:ext uri="{FF2B5EF4-FFF2-40B4-BE49-F238E27FC236}">
              <a16:creationId xmlns:a16="http://schemas.microsoft.com/office/drawing/2014/main" id="{D4808D51-B610-4DCF-B4BE-92CD2808A6FA}"/>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25835" r="27857"/>
        <a:stretch/>
      </xdr:blipFill>
      <xdr:spPr>
        <a:xfrm>
          <a:off x="0" y="1905453"/>
          <a:ext cx="0" cy="190501"/>
        </a:xfrm>
        <a:prstGeom prst="rect">
          <a:avLst/>
        </a:prstGeom>
      </xdr:spPr>
    </xdr:pic>
    <xdr:clientData/>
  </xdr:twoCellAnchor>
  <xdr:twoCellAnchor>
    <xdr:from>
      <xdr:col>0</xdr:col>
      <xdr:colOff>0</xdr:colOff>
      <xdr:row>3</xdr:row>
      <xdr:rowOff>112940</xdr:rowOff>
    </xdr:from>
    <xdr:to>
      <xdr:col>0</xdr:col>
      <xdr:colOff>0</xdr:colOff>
      <xdr:row>3</xdr:row>
      <xdr:rowOff>743816</xdr:rowOff>
    </xdr:to>
    <xdr:pic>
      <xdr:nvPicPr>
        <xdr:cNvPr id="26" name="图片 29">
          <a:extLst>
            <a:ext uri="{FF2B5EF4-FFF2-40B4-BE49-F238E27FC236}">
              <a16:creationId xmlns:a16="http://schemas.microsoft.com/office/drawing/2014/main" id="{9C9428C5-9ED0-4CAE-BD4F-6D71AB312D43}"/>
            </a:ext>
          </a:extLst>
        </xdr:cNvPr>
        <xdr:cNvPicPr>
          <a:picLocks noChangeAspect="1"/>
        </xdr:cNvPicPr>
      </xdr:nvPicPr>
      <xdr:blipFill>
        <a:blip xmlns:r="http://schemas.openxmlformats.org/officeDocument/2006/relationships" r:embed="rId20"/>
        <a:stretch>
          <a:fillRect/>
        </a:stretch>
      </xdr:blipFill>
      <xdr:spPr>
        <a:xfrm>
          <a:off x="0" y="874940"/>
          <a:ext cx="0" cy="78426"/>
        </a:xfrm>
        <a:prstGeom prst="rect">
          <a:avLst/>
        </a:prstGeom>
      </xdr:spPr>
    </xdr:pic>
    <xdr:clientData/>
  </xdr:twoCellAnchor>
  <xdr:twoCellAnchor>
    <xdr:from>
      <xdr:col>0</xdr:col>
      <xdr:colOff>0</xdr:colOff>
      <xdr:row>3</xdr:row>
      <xdr:rowOff>112940</xdr:rowOff>
    </xdr:from>
    <xdr:to>
      <xdr:col>0</xdr:col>
      <xdr:colOff>0</xdr:colOff>
      <xdr:row>3</xdr:row>
      <xdr:rowOff>743816</xdr:rowOff>
    </xdr:to>
    <xdr:pic>
      <xdr:nvPicPr>
        <xdr:cNvPr id="27" name="图片 29">
          <a:extLst>
            <a:ext uri="{FF2B5EF4-FFF2-40B4-BE49-F238E27FC236}">
              <a16:creationId xmlns:a16="http://schemas.microsoft.com/office/drawing/2014/main" id="{9BD30CBB-6077-486D-9E71-9645F41C514D}"/>
            </a:ext>
          </a:extLst>
        </xdr:cNvPr>
        <xdr:cNvPicPr>
          <a:picLocks noChangeAspect="1"/>
        </xdr:cNvPicPr>
      </xdr:nvPicPr>
      <xdr:blipFill>
        <a:blip xmlns:r="http://schemas.openxmlformats.org/officeDocument/2006/relationships" r:embed="rId20"/>
        <a:stretch>
          <a:fillRect/>
        </a:stretch>
      </xdr:blipFill>
      <xdr:spPr>
        <a:xfrm>
          <a:off x="0" y="874940"/>
          <a:ext cx="0" cy="78426"/>
        </a:xfrm>
        <a:prstGeom prst="rect">
          <a:avLst/>
        </a:prstGeom>
      </xdr:spPr>
    </xdr:pic>
    <xdr:clientData/>
  </xdr:twoCellAnchor>
  <xdr:twoCellAnchor>
    <xdr:from>
      <xdr:col>0</xdr:col>
      <xdr:colOff>0</xdr:colOff>
      <xdr:row>36</xdr:row>
      <xdr:rowOff>17929</xdr:rowOff>
    </xdr:from>
    <xdr:to>
      <xdr:col>0</xdr:col>
      <xdr:colOff>0</xdr:colOff>
      <xdr:row>36</xdr:row>
      <xdr:rowOff>1117400</xdr:rowOff>
    </xdr:to>
    <xdr:pic>
      <xdr:nvPicPr>
        <xdr:cNvPr id="28" name="Imagen 53">
          <a:extLst>
            <a:ext uri="{FF2B5EF4-FFF2-40B4-BE49-F238E27FC236}">
              <a16:creationId xmlns:a16="http://schemas.microsoft.com/office/drawing/2014/main" id="{BD3C35D2-BF3A-4561-AD92-ED752371D1BA}"/>
            </a:ext>
          </a:extLst>
        </xdr:cNvPr>
        <xdr:cNvPicPr>
          <a:picLocks noChangeAspect="1"/>
        </xdr:cNvPicPr>
      </xdr:nvPicPr>
      <xdr:blipFill>
        <a:blip xmlns:r="http://schemas.openxmlformats.org/officeDocument/2006/relationships" r:embed="rId14"/>
        <a:stretch>
          <a:fillRect/>
        </a:stretch>
      </xdr:blipFill>
      <xdr:spPr>
        <a:xfrm>
          <a:off x="0" y="7066429"/>
          <a:ext cx="0" cy="175546"/>
        </a:xfrm>
        <a:prstGeom prst="rect">
          <a:avLst/>
        </a:prstGeom>
      </xdr:spPr>
    </xdr:pic>
    <xdr:clientData/>
  </xdr:twoCellAnchor>
  <xdr:twoCellAnchor>
    <xdr:from>
      <xdr:col>0</xdr:col>
      <xdr:colOff>0</xdr:colOff>
      <xdr:row>31</xdr:row>
      <xdr:rowOff>0</xdr:rowOff>
    </xdr:from>
    <xdr:to>
      <xdr:col>0</xdr:col>
      <xdr:colOff>0</xdr:colOff>
      <xdr:row>31</xdr:row>
      <xdr:rowOff>0</xdr:rowOff>
    </xdr:to>
    <xdr:pic>
      <xdr:nvPicPr>
        <xdr:cNvPr id="29" name="Imagen 51">
          <a:extLst>
            <a:ext uri="{FF2B5EF4-FFF2-40B4-BE49-F238E27FC236}">
              <a16:creationId xmlns:a16="http://schemas.microsoft.com/office/drawing/2014/main" id="{15E16665-622D-43F0-ACC7-DB5DBF9A1FA8}"/>
            </a:ext>
          </a:extLst>
        </xdr:cNvPr>
        <xdr:cNvPicPr>
          <a:picLocks noChangeAspect="1"/>
        </xdr:cNvPicPr>
      </xdr:nvPicPr>
      <xdr:blipFill>
        <a:blip xmlns:r="http://schemas.openxmlformats.org/officeDocument/2006/relationships" r:embed="rId14"/>
        <a:stretch>
          <a:fillRect/>
        </a:stretch>
      </xdr:blipFill>
      <xdr:spPr>
        <a:xfrm>
          <a:off x="0" y="6096000"/>
          <a:ext cx="0" cy="0"/>
        </a:xfrm>
        <a:prstGeom prst="rect">
          <a:avLst/>
        </a:prstGeom>
      </xdr:spPr>
    </xdr:pic>
    <xdr:clientData/>
  </xdr:twoCellAnchor>
  <xdr:twoCellAnchor>
    <xdr:from>
      <xdr:col>0</xdr:col>
      <xdr:colOff>0</xdr:colOff>
      <xdr:row>11</xdr:row>
      <xdr:rowOff>17146</xdr:rowOff>
    </xdr:from>
    <xdr:to>
      <xdr:col>0</xdr:col>
      <xdr:colOff>0</xdr:colOff>
      <xdr:row>11</xdr:row>
      <xdr:rowOff>1179288</xdr:rowOff>
    </xdr:to>
    <xdr:pic>
      <xdr:nvPicPr>
        <xdr:cNvPr id="30" name="Imagen 27">
          <a:extLst>
            <a:ext uri="{FF2B5EF4-FFF2-40B4-BE49-F238E27FC236}">
              <a16:creationId xmlns:a16="http://schemas.microsoft.com/office/drawing/2014/main" id="{B576B848-7E19-4FCF-9FAF-DF8177648F34}"/>
            </a:ext>
          </a:extLst>
        </xdr:cNvPr>
        <xdr:cNvPicPr>
          <a:picLocks noChangeAspect="1"/>
        </xdr:cNvPicPr>
      </xdr:nvPicPr>
      <xdr:blipFill>
        <a:blip xmlns:r="http://schemas.openxmlformats.org/officeDocument/2006/relationships" r:embed="rId21"/>
        <a:stretch>
          <a:fillRect/>
        </a:stretch>
      </xdr:blipFill>
      <xdr:spPr>
        <a:xfrm>
          <a:off x="0" y="2303146"/>
          <a:ext cx="0" cy="17154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st.uic.asso.fr/d_stats/online/synth200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ambiumnetworks.sharepoint.com/Users/mgl010/Documents/-%20Docs/Services/%20Services%20P&amp;L/%20-%202017%20Planning/I:/&#20491;&#21029;&#12499;&#12523;&#35413;&#20385;/&#26087;&#35413;&#20385;&#65404;&#65405;&#65411;&#65425;/0911&#25913;&#33391;&#26087;12&#24180;&#35413;&#20385;&#12471;&#12473;&#12486;&#12512;/H14&#24180;&#24230;/&#35336;&#31639;/user2/&#26087;&#35413;&#20385;&#65404;&#65405;&#65411;&#65425;/0911&#25913;&#33391;&#26087;12&#24180;&#35413;&#20385;&#12471;&#12473;&#12486;&#12512;/My%20Documents/12&#24180;&#25913;&#33391;&#20491;&#21029;&#35413;&#20385;&#12471;&#12473;&#12486;&#12512;/'0422/&#32207;&#21512;&#65288;&#22235;&#26376;&#21313;&#20108;&#26085;&#65289;.xls?274218D3" TargetMode="External"/><Relationship Id="rId1" Type="http://schemas.openxmlformats.org/officeDocument/2006/relationships/externalLinkPath" Target="file:///\\274218D3\&#32207;&#21512;&#65288;&#22235;&#26376;&#21313;&#20108;&#26085;&#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ma0531f13\SYS1\Documents%20and%20Settings\bjagoe\My%20Documents\Data\First%20Reserve\Tri%20Tool\Tri%20Tool%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CORPPLAN\1999\99PLAN\JAN7SUM.WK4"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crendon.HMV/Local%20Settings/Temporary%20Internet%20Files/OLK3/8599.xls" TargetMode="External"/><Relationship Id="rId1" Type="http://schemas.openxmlformats.org/officeDocument/2006/relationships/externalLinkPath" Target="/Documents%20and%20Settings/crendon.HMV/Local%20Settings/Temporary%20Internet%20Files/OLK3/85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tyofsr50\KPMG\FAS\Users\TS\Non_Management\tshima\43%20Milky%20way\%3f%3f%3f%3f\grumpus\grumpus_1\Grampus%20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Lista%20de%20Precios%20-%20Cto\Internacionales\Cambium%20Networks\Vigente\C&#225;lculo%20LP%20Vta%20Cambium%20Networks%20(Noviembre%2010-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Analisis%20Semanal%20Cuadros\Informe%20de%20Inventarios\2019\Octubre\INFORME%20INVENTARIOS%20Octubre%2018-2019%20%20-%20Proyecto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pmg_server\c%20drive\aroyc\korea\templates-excel\jinroindu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Pays"/>
      <sheetName val="Data_CF"/>
      <sheetName val="Pub"/>
      <sheetName val="rapport annuel"/>
      <sheetName val="miles conversions"/>
      <sheetName val="DataGraph"/>
      <sheetName val="Graph vertical"/>
      <sheetName val="Graph  Edition  Sti"/>
      <sheetName val="添付用"/>
      <sheetName val="添付用_所有"/>
      <sheetName val="synth2000"/>
      <sheetName val="List"/>
    </sheetNames>
    <sheetDataSet>
      <sheetData sheetId="0" refreshError="1"/>
      <sheetData sheetId="1" refreshError="1"/>
      <sheetData sheetId="2" refreshError="1">
        <row r="13">
          <cell r="H13" t="str">
            <v>AAE</v>
          </cell>
          <cell r="I13" t="str">
            <v xml:space="preserve">            "   </v>
          </cell>
          <cell r="J13" t="str">
            <v xml:space="preserve">        "   </v>
          </cell>
          <cell r="K13" t="str">
            <v xml:space="preserve">            "   </v>
          </cell>
          <cell r="L13">
            <v>10</v>
          </cell>
        </row>
        <row r="14">
          <cell r="H14" t="str">
            <v>GVG</v>
          </cell>
          <cell r="I14" t="str">
            <v xml:space="preserve">            "   </v>
          </cell>
          <cell r="J14" t="str">
            <v xml:space="preserve">        "   </v>
          </cell>
          <cell r="K14" t="str">
            <v xml:space="preserve">            "   </v>
          </cell>
          <cell r="L14">
            <v>0</v>
          </cell>
        </row>
        <row r="15">
          <cell r="H15" t="str">
            <v>KEG</v>
          </cell>
          <cell r="I15" t="str">
            <v xml:space="preserve">            "   </v>
          </cell>
          <cell r="J15" t="str">
            <v xml:space="preserve">        "   </v>
          </cell>
          <cell r="K15" t="str">
            <v xml:space="preserve">            "   </v>
          </cell>
          <cell r="L15">
            <v>54</v>
          </cell>
        </row>
        <row r="16">
          <cell r="H16" t="str">
            <v>ÖBB</v>
          </cell>
          <cell r="I16">
            <v>83.858999999999995</v>
          </cell>
          <cell r="J16">
            <v>8.2110000000000003</v>
          </cell>
          <cell r="K16">
            <v>97.914356240832831</v>
          </cell>
          <cell r="L16">
            <v>5683</v>
          </cell>
        </row>
        <row r="17">
          <cell r="H17" t="str">
            <v>GKE</v>
          </cell>
          <cell r="I17" t="str">
            <v xml:space="preserve">            "   </v>
          </cell>
          <cell r="J17" t="str">
            <v xml:space="preserve">        "   </v>
          </cell>
          <cell r="K17" t="str">
            <v xml:space="preserve">            "   </v>
          </cell>
          <cell r="L17">
            <v>97.486999999999995</v>
          </cell>
        </row>
        <row r="18">
          <cell r="H18" t="str">
            <v>SNCB/NMBS</v>
          </cell>
          <cell r="I18">
            <v>30.513999999999999</v>
          </cell>
          <cell r="J18">
            <v>10.161</v>
          </cell>
          <cell r="K18">
            <v>332.99469096152586</v>
          </cell>
          <cell r="L18">
            <v>3471</v>
          </cell>
        </row>
        <row r="19">
          <cell r="H19" t="str">
            <v>DSB</v>
          </cell>
          <cell r="I19">
            <v>43.093000000000004</v>
          </cell>
          <cell r="J19">
            <v>5.2930000000000001</v>
          </cell>
          <cell r="K19">
            <v>122.82737335530132</v>
          </cell>
          <cell r="L19">
            <v>0</v>
          </cell>
        </row>
        <row r="20">
          <cell r="H20" t="str">
            <v>BS</v>
          </cell>
          <cell r="I20" t="str">
            <v xml:space="preserve">            "   </v>
          </cell>
          <cell r="J20" t="str">
            <v xml:space="preserve">        "   </v>
          </cell>
          <cell r="K20" t="str">
            <v xml:space="preserve">            "   </v>
          </cell>
          <cell r="L20">
            <v>2047</v>
          </cell>
        </row>
        <row r="21">
          <cell r="H21" t="str">
            <v>RENFE</v>
          </cell>
          <cell r="I21">
            <v>504.78199999999998</v>
          </cell>
          <cell r="J21">
            <v>39.630000000000003</v>
          </cell>
          <cell r="K21">
            <v>78.50913859844448</v>
          </cell>
          <cell r="L21">
            <v>12310</v>
          </cell>
        </row>
        <row r="22">
          <cell r="H22" t="str">
            <v>Euskotren</v>
          </cell>
          <cell r="I22" t="str">
            <v xml:space="preserve">            "   </v>
          </cell>
          <cell r="J22" t="str">
            <v xml:space="preserve">        "   </v>
          </cell>
          <cell r="K22" t="str">
            <v xml:space="preserve">            "   </v>
          </cell>
          <cell r="L22">
            <v>178</v>
          </cell>
        </row>
        <row r="23">
          <cell r="H23" t="str">
            <v>FEVE</v>
          </cell>
          <cell r="I23" t="str">
            <v xml:space="preserve">            "   </v>
          </cell>
          <cell r="J23" t="str">
            <v xml:space="preserve">        "   </v>
          </cell>
          <cell r="K23" t="str">
            <v xml:space="preserve">            "   </v>
          </cell>
          <cell r="L23">
            <v>1194.0999999999999</v>
          </cell>
        </row>
        <row r="24">
          <cell r="H24" t="str">
            <v>FGC</v>
          </cell>
          <cell r="I24" t="str">
            <v xml:space="preserve">            "   </v>
          </cell>
          <cell r="J24" t="str">
            <v xml:space="preserve">        "   </v>
          </cell>
          <cell r="K24" t="str">
            <v xml:space="preserve">            "   </v>
          </cell>
          <cell r="L24">
            <v>184</v>
          </cell>
        </row>
        <row r="25">
          <cell r="H25" t="str">
            <v>VR</v>
          </cell>
          <cell r="I25">
            <v>338.14499999999998</v>
          </cell>
          <cell r="J25">
            <v>5.1760000000000002</v>
          </cell>
          <cell r="K25">
            <v>15.307042836652917</v>
          </cell>
          <cell r="L25">
            <v>0</v>
          </cell>
        </row>
        <row r="26">
          <cell r="H26" t="str">
            <v>RHK</v>
          </cell>
          <cell r="I26" t="str">
            <v xml:space="preserve">            "   </v>
          </cell>
          <cell r="J26" t="str">
            <v xml:space="preserve">        "   </v>
          </cell>
          <cell r="K26" t="str">
            <v xml:space="preserve">            "   </v>
          </cell>
          <cell r="L26">
            <v>5854</v>
          </cell>
        </row>
        <row r="27">
          <cell r="H27" t="str">
            <v>SNCF</v>
          </cell>
          <cell r="I27">
            <v>547.02599999999995</v>
          </cell>
          <cell r="J27">
            <v>59.08</v>
          </cell>
          <cell r="K27">
            <v>108.00217905547451</v>
          </cell>
          <cell r="L27">
            <v>0</v>
          </cell>
        </row>
        <row r="28">
          <cell r="H28" t="str">
            <v>RFF</v>
          </cell>
          <cell r="I28" t="str">
            <v xml:space="preserve">            "   </v>
          </cell>
          <cell r="J28" t="str">
            <v xml:space="preserve">        "   </v>
          </cell>
          <cell r="K28" t="str">
            <v xml:space="preserve">            "   </v>
          </cell>
          <cell r="L28">
            <v>32515</v>
          </cell>
        </row>
        <row r="29">
          <cell r="H29" t="str">
            <v>CH</v>
          </cell>
          <cell r="I29">
            <v>131.95699999999999</v>
          </cell>
          <cell r="J29">
            <v>10.645</v>
          </cell>
          <cell r="K29">
            <v>80.670218328697985</v>
          </cell>
          <cell r="L29">
            <v>2299</v>
          </cell>
        </row>
        <row r="30">
          <cell r="H30" t="str">
            <v>CIE</v>
          </cell>
          <cell r="I30">
            <v>70.283000000000001</v>
          </cell>
          <cell r="J30">
            <v>3.73</v>
          </cell>
          <cell r="K30">
            <v>53.071155186887296</v>
          </cell>
          <cell r="L30">
            <v>1915</v>
          </cell>
        </row>
        <row r="31">
          <cell r="H31" t="str">
            <v>FNME</v>
          </cell>
          <cell r="I31">
            <v>301.22500000000002</v>
          </cell>
          <cell r="J31">
            <v>57.298000000000002</v>
          </cell>
          <cell r="K31">
            <v>190.21661548676238</v>
          </cell>
          <cell r="L31">
            <v>321</v>
          </cell>
        </row>
        <row r="32">
          <cell r="H32" t="str">
            <v>FS SpA</v>
          </cell>
          <cell r="I32" t="str">
            <v xml:space="preserve">            "   </v>
          </cell>
          <cell r="J32" t="str">
            <v xml:space="preserve">        "   </v>
          </cell>
          <cell r="K32" t="str">
            <v xml:space="preserve">            "   </v>
          </cell>
          <cell r="L32">
            <v>16178</v>
          </cell>
        </row>
        <row r="33">
          <cell r="H33" t="str">
            <v>CFL</v>
          </cell>
          <cell r="I33">
            <v>2.5859999999999999</v>
          </cell>
          <cell r="J33">
            <v>0.43099999999999999</v>
          </cell>
          <cell r="K33">
            <v>166.66666666666669</v>
          </cell>
          <cell r="L33">
            <v>274</v>
          </cell>
        </row>
        <row r="34">
          <cell r="H34" t="str">
            <v>NS N.V.</v>
          </cell>
          <cell r="I34">
            <v>41.527999999999999</v>
          </cell>
          <cell r="J34">
            <v>15.786</v>
          </cell>
          <cell r="K34">
            <v>380.12906954344055</v>
          </cell>
          <cell r="L34">
            <v>0</v>
          </cell>
        </row>
        <row r="35">
          <cell r="H35" t="str">
            <v>Railion</v>
          </cell>
          <cell r="I35" t="str">
            <v xml:space="preserve">            "   </v>
          </cell>
          <cell r="J35" t="str">
            <v xml:space="preserve">        "   </v>
          </cell>
          <cell r="K35" t="str">
            <v xml:space="preserve">            "   </v>
          </cell>
          <cell r="L35">
            <v>0</v>
          </cell>
        </row>
        <row r="36">
          <cell r="H36" t="str">
            <v>RIM</v>
          </cell>
          <cell r="I36" t="str">
            <v xml:space="preserve">            "   </v>
          </cell>
          <cell r="J36" t="str">
            <v xml:space="preserve">        "   </v>
          </cell>
          <cell r="K36" t="str">
            <v xml:space="preserve">            "   </v>
          </cell>
          <cell r="L36">
            <v>2802</v>
          </cell>
        </row>
        <row r="37">
          <cell r="H37" t="str">
            <v>CP</v>
          </cell>
          <cell r="I37">
            <v>92.081999999999994</v>
          </cell>
          <cell r="J37">
            <v>9.875</v>
          </cell>
          <cell r="K37">
            <v>107.24137182076845</v>
          </cell>
          <cell r="L37">
            <v>0</v>
          </cell>
        </row>
        <row r="38">
          <cell r="H38" t="str">
            <v>REFER</v>
          </cell>
          <cell r="I38" t="str">
            <v xml:space="preserve">            "   </v>
          </cell>
          <cell r="J38" t="str">
            <v xml:space="preserve">        "   </v>
          </cell>
          <cell r="K38" t="str">
            <v xml:space="preserve">            "   </v>
          </cell>
          <cell r="L38">
            <v>2814</v>
          </cell>
        </row>
        <row r="39">
          <cell r="H39" t="str">
            <v>ATOC</v>
          </cell>
          <cell r="I39">
            <v>244.04599999999999</v>
          </cell>
          <cell r="J39">
            <v>58.83</v>
          </cell>
          <cell r="K39">
            <v>241.0611114298124</v>
          </cell>
          <cell r="L39">
            <v>0</v>
          </cell>
        </row>
        <row r="40">
          <cell r="H40" t="str">
            <v>Total freight operators</v>
          </cell>
          <cell r="I40" t="str">
            <v xml:space="preserve">            "   </v>
          </cell>
          <cell r="J40" t="str">
            <v xml:space="preserve">        "   </v>
          </cell>
          <cell r="K40" t="str">
            <v xml:space="preserve">            "   </v>
          </cell>
          <cell r="L40">
            <v>0</v>
          </cell>
        </row>
        <row r="41">
          <cell r="H41" t="str">
            <v>Eurotunnel</v>
          </cell>
          <cell r="I41" t="str">
            <v xml:space="preserve">            "   </v>
          </cell>
          <cell r="J41" t="str">
            <v xml:space="preserve">        "   </v>
          </cell>
          <cell r="K41" t="str">
            <v xml:space="preserve">            "   </v>
          </cell>
          <cell r="L41">
            <v>58</v>
          </cell>
        </row>
        <row r="42">
          <cell r="H42" t="str">
            <v>NIR</v>
          </cell>
          <cell r="I42" t="str">
            <v xml:space="preserve">            "   </v>
          </cell>
          <cell r="J42" t="str">
            <v xml:space="preserve">        "   </v>
          </cell>
          <cell r="K42" t="str">
            <v xml:space="preserve">            "   </v>
          </cell>
          <cell r="L42">
            <v>357</v>
          </cell>
        </row>
        <row r="43">
          <cell r="H43" t="str">
            <v>Railtrack</v>
          </cell>
          <cell r="I43" t="str">
            <v xml:space="preserve">            "   </v>
          </cell>
          <cell r="J43" t="str">
            <v xml:space="preserve">        "   </v>
          </cell>
          <cell r="K43" t="str">
            <v xml:space="preserve">            "   </v>
          </cell>
          <cell r="L43">
            <v>16652</v>
          </cell>
        </row>
        <row r="44">
          <cell r="G44" t="str">
            <v>2)</v>
          </cell>
          <cell r="H44" t="str">
            <v>SJ</v>
          </cell>
          <cell r="I44">
            <v>449.964</v>
          </cell>
          <cell r="J44">
            <v>8.91</v>
          </cell>
          <cell r="K44">
            <v>19.801584126730138</v>
          </cell>
          <cell r="L44">
            <v>0</v>
          </cell>
        </row>
        <row r="45">
          <cell r="H45" t="str">
            <v>MTAB</v>
          </cell>
          <cell r="I45" t="str">
            <v xml:space="preserve">            "   </v>
          </cell>
          <cell r="J45" t="str">
            <v xml:space="preserve">        "   </v>
          </cell>
          <cell r="K45" t="str">
            <v xml:space="preserve">            "   </v>
          </cell>
          <cell r="L45">
            <v>0</v>
          </cell>
        </row>
        <row r="46">
          <cell r="H46" t="str">
            <v>BV</v>
          </cell>
          <cell r="I46" t="str">
            <v xml:space="preserve">            "   </v>
          </cell>
          <cell r="J46" t="str">
            <v xml:space="preserve">        "   </v>
          </cell>
          <cell r="K46" t="str">
            <v xml:space="preserve">            "   </v>
          </cell>
          <cell r="L46">
            <v>9946</v>
          </cell>
        </row>
        <row r="47">
          <cell r="H47" t="str">
            <v>BK</v>
          </cell>
          <cell r="I47" t="str">
            <v xml:space="preserve">            "   </v>
          </cell>
          <cell r="J47" t="str">
            <v xml:space="preserve">        "   </v>
          </cell>
          <cell r="K47" t="str">
            <v xml:space="preserve">            "   </v>
          </cell>
          <cell r="L47">
            <v>0</v>
          </cell>
        </row>
        <row r="48">
          <cell r="I48">
            <v>3238.0489999999986</v>
          </cell>
          <cell r="J48">
            <v>375.27600000000001</v>
          </cell>
          <cell r="K48">
            <v>115.89571374614781</v>
          </cell>
          <cell r="L48">
            <v>153801.587</v>
          </cell>
        </row>
        <row r="49">
          <cell r="H49" t="str">
            <v>NSB BA</v>
          </cell>
          <cell r="I49">
            <v>386.95800000000003</v>
          </cell>
          <cell r="J49">
            <v>4.4649999999999999</v>
          </cell>
          <cell r="K49">
            <v>11.538719964440585</v>
          </cell>
          <cell r="L49">
            <v>0</v>
          </cell>
        </row>
        <row r="50">
          <cell r="H50" t="str">
            <v>MTAS</v>
          </cell>
          <cell r="I50" t="str">
            <v xml:space="preserve">            "   </v>
          </cell>
          <cell r="J50" t="str">
            <v xml:space="preserve">        "   </v>
          </cell>
          <cell r="K50" t="str">
            <v xml:space="preserve">            "   </v>
          </cell>
          <cell r="L50">
            <v>0</v>
          </cell>
        </row>
        <row r="51">
          <cell r="H51" t="str">
            <v>JBV</v>
          </cell>
          <cell r="I51" t="str">
            <v xml:space="preserve">            "   </v>
          </cell>
          <cell r="J51" t="str">
            <v xml:space="preserve">        "   </v>
          </cell>
          <cell r="K51" t="str">
            <v xml:space="preserve">            "   </v>
          </cell>
          <cell r="L51">
            <v>4179</v>
          </cell>
        </row>
        <row r="52">
          <cell r="H52" t="str">
            <v>BLS</v>
          </cell>
          <cell r="I52">
            <v>41.283999999999999</v>
          </cell>
          <cell r="J52">
            <v>7.3860000000000001</v>
          </cell>
          <cell r="K52">
            <v>178.90708264703034</v>
          </cell>
          <cell r="L52">
            <v>241</v>
          </cell>
        </row>
        <row r="53">
          <cell r="H53" t="str">
            <v>CFF/SBB/FFS</v>
          </cell>
          <cell r="I53" t="str">
            <v xml:space="preserve">            "   </v>
          </cell>
          <cell r="J53" t="str">
            <v xml:space="preserve">        "   </v>
          </cell>
          <cell r="K53" t="str">
            <v xml:space="preserve">            "   </v>
          </cell>
          <cell r="L53">
            <v>2902</v>
          </cell>
        </row>
        <row r="54">
          <cell r="I54">
            <v>3666.2909999999988</v>
          </cell>
          <cell r="J54">
            <v>387.12700000000001</v>
          </cell>
          <cell r="K54">
            <v>105.59090917769488</v>
          </cell>
          <cell r="L54">
            <v>161123.587</v>
          </cell>
        </row>
        <row r="55">
          <cell r="H55" t="str">
            <v>HSh</v>
          </cell>
          <cell r="I55">
            <v>28.748000000000001</v>
          </cell>
          <cell r="J55">
            <v>3.113</v>
          </cell>
          <cell r="K55">
            <v>108.28579379435091</v>
          </cell>
          <cell r="L55">
            <v>440</v>
          </cell>
        </row>
        <row r="56">
          <cell r="H56" t="str">
            <v>ZBH</v>
          </cell>
          <cell r="I56">
            <v>51.128999999999998</v>
          </cell>
          <cell r="J56">
            <v>3.972</v>
          </cell>
          <cell r="K56">
            <v>77.685853429560524</v>
          </cell>
          <cell r="L56">
            <v>608.495</v>
          </cell>
        </row>
        <row r="57">
          <cell r="H57" t="str">
            <v>ZRS</v>
          </cell>
          <cell r="I57" t="str">
            <v xml:space="preserve">            "   </v>
          </cell>
          <cell r="J57" t="str">
            <v xml:space="preserve">        "   </v>
          </cell>
          <cell r="K57" t="str">
            <v xml:space="preserve">            "   </v>
          </cell>
          <cell r="L57">
            <v>424</v>
          </cell>
        </row>
        <row r="58">
          <cell r="H58" t="str">
            <v>BDZ</v>
          </cell>
          <cell r="I58">
            <v>110.91200000000001</v>
          </cell>
          <cell r="J58">
            <v>8.2249999999999996</v>
          </cell>
          <cell r="K58">
            <v>74.157890940565494</v>
          </cell>
          <cell r="L58">
            <v>4320</v>
          </cell>
        </row>
        <row r="59">
          <cell r="H59" t="str">
            <v>HZ</v>
          </cell>
          <cell r="I59">
            <v>56.537999999999997</v>
          </cell>
          <cell r="J59">
            <v>4.4729999999999999</v>
          </cell>
          <cell r="K59">
            <v>79.114931550461634</v>
          </cell>
          <cell r="L59">
            <v>2726.8</v>
          </cell>
        </row>
        <row r="60">
          <cell r="H60" t="str">
            <v>GYSEV/RÖEE</v>
          </cell>
          <cell r="I60">
            <v>93.03</v>
          </cell>
          <cell r="J60">
            <v>10.036</v>
          </cell>
          <cell r="K60">
            <v>107.87917875953993</v>
          </cell>
          <cell r="L60">
            <v>220</v>
          </cell>
        </row>
        <row r="61">
          <cell r="H61" t="str">
            <v>MÁV Rt.</v>
          </cell>
          <cell r="I61" t="str">
            <v xml:space="preserve">            "   </v>
          </cell>
          <cell r="J61" t="str">
            <v xml:space="preserve">        "   </v>
          </cell>
          <cell r="K61" t="str">
            <v xml:space="preserve">            "   </v>
          </cell>
          <cell r="L61">
            <v>7784</v>
          </cell>
        </row>
        <row r="62">
          <cell r="H62" t="str">
            <v>CFARYM</v>
          </cell>
          <cell r="I62">
            <v>25.713000000000001</v>
          </cell>
          <cell r="J62">
            <v>2.024</v>
          </cell>
          <cell r="K62">
            <v>78.715046863454276</v>
          </cell>
          <cell r="L62">
            <v>699</v>
          </cell>
        </row>
        <row r="63">
          <cell r="H63" t="str">
            <v>PKP</v>
          </cell>
          <cell r="I63">
            <v>312.685</v>
          </cell>
          <cell r="J63">
            <v>38.765000000000001</v>
          </cell>
          <cell r="K63">
            <v>123.97460703263668</v>
          </cell>
          <cell r="L63">
            <v>22560</v>
          </cell>
        </row>
        <row r="64">
          <cell r="H64" t="str">
            <v>CFR</v>
          </cell>
          <cell r="I64">
            <v>238.39099999999999</v>
          </cell>
          <cell r="J64">
            <v>22.327000000000002</v>
          </cell>
          <cell r="K64">
            <v>93.657059201060449</v>
          </cell>
          <cell r="L64">
            <v>11364</v>
          </cell>
        </row>
        <row r="65">
          <cell r="H65" t="str">
            <v>ZSR</v>
          </cell>
          <cell r="I65">
            <v>49</v>
          </cell>
          <cell r="J65">
            <v>5.3869999999999996</v>
          </cell>
          <cell r="K65">
            <v>109.93877551020408</v>
          </cell>
          <cell r="L65">
            <v>3662</v>
          </cell>
        </row>
        <row r="66">
          <cell r="H66" t="str">
            <v>SZ</v>
          </cell>
          <cell r="I66">
            <v>20.256</v>
          </cell>
          <cell r="J66">
            <v>1.986</v>
          </cell>
          <cell r="K66">
            <v>98.045023696682463</v>
          </cell>
          <cell r="L66">
            <v>1201.5</v>
          </cell>
        </row>
        <row r="67">
          <cell r="H67" t="str">
            <v>CD</v>
          </cell>
          <cell r="I67">
            <v>78.864000000000004</v>
          </cell>
          <cell r="J67">
            <v>10.244</v>
          </cell>
          <cell r="K67">
            <v>129.89450192736862</v>
          </cell>
          <cell r="L67">
            <v>9365</v>
          </cell>
        </row>
        <row r="68">
          <cell r="H68" t="str">
            <v>JZ</v>
          </cell>
          <cell r="I68">
            <v>102.173</v>
          </cell>
          <cell r="J68">
            <v>10.64</v>
          </cell>
          <cell r="K68">
            <v>104.13710079962416</v>
          </cell>
          <cell r="L68">
            <v>4057.7</v>
          </cell>
        </row>
        <row r="69">
          <cell r="I69">
            <v>1167.4389999999999</v>
          </cell>
          <cell r="J69">
            <v>121.19200000000001</v>
          </cell>
          <cell r="K69">
            <v>103.81013483359732</v>
          </cell>
          <cell r="L69">
            <v>69432.494999999995</v>
          </cell>
        </row>
        <row r="71">
          <cell r="H71" t="str">
            <v>BC</v>
          </cell>
          <cell r="I71">
            <v>207.6</v>
          </cell>
          <cell r="J71">
            <v>10.236000000000001</v>
          </cell>
          <cell r="K71">
            <v>49.306358381502896</v>
          </cell>
          <cell r="L71">
            <v>5512</v>
          </cell>
        </row>
        <row r="72">
          <cell r="H72" t="str">
            <v>EVR</v>
          </cell>
          <cell r="I72">
            <v>45.225999999999999</v>
          </cell>
          <cell r="J72">
            <v>1.3959999999999999</v>
          </cell>
          <cell r="K72">
            <v>30.867200283023038</v>
          </cell>
          <cell r="L72">
            <v>968</v>
          </cell>
        </row>
        <row r="73">
          <cell r="H73" t="str">
            <v>LDZ</v>
          </cell>
          <cell r="I73">
            <v>64.616</v>
          </cell>
          <cell r="J73">
            <v>2.3570000000000002</v>
          </cell>
          <cell r="K73">
            <v>36.477033552061407</v>
          </cell>
          <cell r="L73">
            <v>2331</v>
          </cell>
        </row>
        <row r="74">
          <cell r="H74" t="str">
            <v>LG</v>
          </cell>
          <cell r="I74">
            <v>65.3</v>
          </cell>
          <cell r="J74">
            <v>3.67</v>
          </cell>
          <cell r="K74">
            <v>56.202143950995413</v>
          </cell>
          <cell r="L74">
            <v>1905</v>
          </cell>
        </row>
        <row r="75">
          <cell r="H75" t="str">
            <v>CFM (E)</v>
          </cell>
          <cell r="I75">
            <v>33.76</v>
          </cell>
          <cell r="J75">
            <v>4.38</v>
          </cell>
          <cell r="K75">
            <v>129.739336492891</v>
          </cell>
          <cell r="L75">
            <v>1139</v>
          </cell>
        </row>
        <row r="76">
          <cell r="H76" t="str">
            <v>RZD</v>
          </cell>
          <cell r="I76">
            <v>17075.400000000001</v>
          </cell>
          <cell r="J76">
            <v>146.934</v>
          </cell>
          <cell r="K76">
            <v>8.6050107171720711</v>
          </cell>
          <cell r="L76">
            <v>86075</v>
          </cell>
        </row>
        <row r="77">
          <cell r="H77" t="str">
            <v>UZ</v>
          </cell>
          <cell r="I77">
            <v>603.70000000000005</v>
          </cell>
          <cell r="J77">
            <v>50.456000000000003</v>
          </cell>
          <cell r="K77">
            <v>83.577936060957427</v>
          </cell>
          <cell r="L77">
            <v>22302</v>
          </cell>
        </row>
        <row r="78">
          <cell r="I78">
            <v>18095.602000000003</v>
          </cell>
          <cell r="J78">
            <v>219.42899999999997</v>
          </cell>
          <cell r="K78">
            <v>12.126095611519304</v>
          </cell>
          <cell r="L78">
            <v>120232</v>
          </cell>
        </row>
        <row r="79">
          <cell r="H79" t="str">
            <v>TCDD</v>
          </cell>
          <cell r="I79">
            <v>779.452</v>
          </cell>
          <cell r="J79">
            <v>66.590999999999994</v>
          </cell>
          <cell r="K79">
            <v>85.433099151711716</v>
          </cell>
          <cell r="L79">
            <v>8671</v>
          </cell>
        </row>
        <row r="80">
          <cell r="I80">
            <v>23708.784000000003</v>
          </cell>
          <cell r="J80">
            <v>794.33900000000006</v>
          </cell>
          <cell r="K80">
            <v>33.503995818596181</v>
          </cell>
          <cell r="L80">
            <v>359459.08199999999</v>
          </cell>
        </row>
        <row r="81">
          <cell r="I81" t="str">
            <v>Tausend</v>
          </cell>
          <cell r="J81" t="str">
            <v>Millionen</v>
          </cell>
          <cell r="K81" t="str">
            <v>Einwohner</v>
          </cell>
          <cell r="L81" t="str">
            <v>in Kilometer</v>
          </cell>
        </row>
        <row r="82">
          <cell r="I82" t="str">
            <v>km²</v>
          </cell>
          <cell r="K82" t="str">
            <v>/km²</v>
          </cell>
          <cell r="L82" t="str">
            <v>Gesamt-</v>
          </cell>
        </row>
        <row r="83">
          <cell r="I83" t="str">
            <v>Fläche des</v>
          </cell>
          <cell r="J83" t="str">
            <v>Bevölke-</v>
          </cell>
          <cell r="K83" t="str">
            <v>Bevölke-</v>
          </cell>
          <cell r="L83" t="str">
            <v>summe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過程シート"/>
      <sheetName val="メイン"/>
      <sheetName val="BS"/>
      <sheetName val="土地賃貸借契約の概要"/>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s"/>
      <sheetName val="To do"/>
      <sheetName val="Issues"/>
      <sheetName val="Requests"/>
      <sheetName val="Questions2"/>
      <sheetName val="Questions1"/>
      <sheetName val="Non op ex"/>
      <sheetName val="Summary IS"/>
      <sheetName val="A"/>
      <sheetName val="Historical IS"/>
      <sheetName val="Hist sales GM"/>
      <sheetName val="EBITDA"/>
      <sheetName val="R&amp;D Rpt"/>
      <sheetName val="R&amp;D"/>
      <sheetName val="Selling Rpt"/>
      <sheetName val="Selling"/>
      <sheetName val="G&amp;A rpt"/>
      <sheetName val="G&amp;A"/>
      <sheetName val="Hdct"/>
      <sheetName val="Other op ex"/>
      <sheetName val="Notes"/>
      <sheetName val="Sheet1"/>
      <sheetName val="DSO"/>
      <sheetName val="NWC graph"/>
      <sheetName val="Income Statement"/>
      <sheetName val="Controls"/>
      <sheetName val="D&amp;A"/>
      <sheetName val="graphs"/>
      <sheetName val="PIA Identifiers"/>
      <sheetName val="Fund Managers"/>
      <sheetName val="Long-Term Care Comps"/>
      <sheetName val="Football"/>
      <sheetName val="LBO Valuation Analysis"/>
      <sheetName val="Sheet1 (2)"/>
      <sheetName val="Sheet3"/>
      <sheetName val="Buy"/>
      <sheetName val="Summary"/>
      <sheetName val="Spin 1"/>
      <sheetName val="Sec Equity"/>
      <sheetName val="GRAPH &amp; SOURCE DATA"/>
      <sheetName val="Projections"/>
      <sheetName val="LBO Assumptions"/>
      <sheetName val="Sale"/>
      <sheetName val="Split"/>
      <sheetName val="TargetDCF"/>
      <sheetName val="Contents"/>
      <sheetName val="model"/>
      <sheetName val="Over"/>
      <sheetName val="P&amp;L"/>
      <sheetName val="Shipping"/>
      <sheetName val="NWCG"/>
      <sheetName val="Valuation Characteristics"/>
      <sheetName val="2010 Liquidity"/>
      <sheetName val="Sheet2"/>
      <sheetName val="Tri Tool Template"/>
      <sheetName val="Input"/>
      <sheetName val="Herramientas para análisis-VBA"/>
      <sheetName val="Valuation Comments"/>
      <sheetName val="Exemption Codes"/>
      <sheetName val="Income Codes"/>
      <sheetName val="Recipient and WHA Status Codes"/>
      <sheetName val="Other drop down options"/>
      <sheetName val="Pivot Unbilled Rev"/>
      <sheetName val="Variance Details"/>
      <sheetName val="Invoices thru Sep"/>
      <sheetName val="Invoices through October"/>
      <sheetName val="103.02 H2O Unbilled Rev GL Dtl"/>
      <sheetName val="Cynthia Rev Sch_Oct as of 11-30"/>
      <sheetName val="Pivot Unbilled PTEs"/>
      <sheetName val="103.03 H2O Unbilled PTEs GL Dtl"/>
      <sheetName val="lookups"/>
      <sheetName val="Ranpak"/>
      <sheetName val="To_do"/>
      <sheetName val="Non_op_ex"/>
      <sheetName val="Summary_IS"/>
      <sheetName val="Historical_IS"/>
      <sheetName val="Hist_sales_GM"/>
      <sheetName val="R&amp;D_Rpt"/>
      <sheetName val="Selling_Rpt"/>
      <sheetName val="G&amp;A_rpt"/>
      <sheetName val="Other_op_ex"/>
      <sheetName val="NWC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ec3 sum"/>
      <sheetName val="asp"/>
      <sheetName val="sap"/>
      <sheetName val="assumptions"/>
      <sheetName val="F"/>
      <sheetName val="cost bonus"/>
      <sheetName val="cost bonus2"/>
      <sheetName val="bod opex"/>
      <sheetName val="chrono"/>
      <sheetName val="revenue"/>
      <sheetName val="units"/>
      <sheetName val="highlights"/>
      <sheetName val="engineering"/>
      <sheetName val="cost file"/>
      <sheetName val="sga"/>
      <sheetName val="sga2"/>
      <sheetName val="Historical IS"/>
      <sheetName val="添付用"/>
      <sheetName val="添付用_所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
          <cell r="P10">
            <v>91.7</v>
          </cell>
          <cell r="Q10">
            <v>109.1</v>
          </cell>
          <cell r="R10">
            <v>120.8</v>
          </cell>
        </row>
        <row r="45">
          <cell r="P45">
            <v>148.1</v>
          </cell>
          <cell r="Q45">
            <v>177</v>
          </cell>
          <cell r="R45">
            <v>217.70000000000002</v>
          </cell>
        </row>
        <row r="46">
          <cell r="P46">
            <v>152.30000000000001</v>
          </cell>
          <cell r="Q46">
            <v>188.4</v>
          </cell>
          <cell r="R46">
            <v>213.9</v>
          </cell>
        </row>
        <row r="77">
          <cell r="P77">
            <v>371.2</v>
          </cell>
          <cell r="Q77">
            <v>432</v>
          </cell>
          <cell r="R77">
            <v>468.30000000000007</v>
          </cell>
        </row>
        <row r="78">
          <cell r="P78">
            <v>0</v>
          </cell>
          <cell r="Q78">
            <v>0</v>
          </cell>
          <cell r="R78">
            <v>97.9</v>
          </cell>
        </row>
        <row r="81">
          <cell r="P81" t="str">
            <v xml:space="preserve">1996 </v>
          </cell>
          <cell r="Q81" t="str">
            <v xml:space="preserve">1997 </v>
          </cell>
          <cell r="R81" t="str">
            <v xml:space="preserve">1998 </v>
          </cell>
        </row>
        <row r="82">
          <cell r="P82">
            <v>267.2</v>
          </cell>
          <cell r="Q82">
            <v>326</v>
          </cell>
          <cell r="R82">
            <v>368.1</v>
          </cell>
        </row>
      </sheetData>
      <sheetData sheetId="11" refreshError="1"/>
      <sheetData sheetId="12" refreshError="1"/>
      <sheetData sheetId="13" refreshError="1">
        <row r="7">
          <cell r="P7">
            <v>14.247999999999999</v>
          </cell>
          <cell r="Q7">
            <v>15.250999999999999</v>
          </cell>
          <cell r="R7">
            <v>15.183999999999999</v>
          </cell>
          <cell r="S7">
            <v>14.958</v>
          </cell>
          <cell r="T7">
            <v>26.911000000000001</v>
          </cell>
        </row>
        <row r="16">
          <cell r="P16">
            <v>4.2850000000000001</v>
          </cell>
          <cell r="Q16">
            <v>5.1609999999999996</v>
          </cell>
          <cell r="R16">
            <v>3.298</v>
          </cell>
          <cell r="S16">
            <v>1.7840000000000007</v>
          </cell>
          <cell r="T16">
            <v>10.664000000000001</v>
          </cell>
        </row>
        <row r="42">
          <cell r="Q42">
            <v>14.349999999999998</v>
          </cell>
          <cell r="R42">
            <v>16.510999999999999</v>
          </cell>
          <cell r="S42">
            <v>21.537000000000003</v>
          </cell>
          <cell r="U42">
            <v>17.942999999999998</v>
          </cell>
          <cell r="V42">
            <v>20.970999999999997</v>
          </cell>
          <cell r="W42">
            <v>26.556000000000004</v>
          </cell>
        </row>
        <row r="46">
          <cell r="Q46">
            <v>4.51</v>
          </cell>
          <cell r="R46">
            <v>10.840999999999999</v>
          </cell>
          <cell r="S46">
            <v>14.196999999999999</v>
          </cell>
          <cell r="U46">
            <v>2.0550000000000002</v>
          </cell>
          <cell r="V46">
            <v>2.6640000000000001</v>
          </cell>
          <cell r="W46">
            <v>1.796</v>
          </cell>
        </row>
        <row r="48">
          <cell r="Q48" t="str">
            <v xml:space="preserve">1996 </v>
          </cell>
          <cell r="R48" t="str">
            <v xml:space="preserve">1997 </v>
          </cell>
          <cell r="S48" t="str">
            <v xml:space="preserve">1998 </v>
          </cell>
        </row>
        <row r="49">
          <cell r="Q49">
            <v>2.2290000000000001</v>
          </cell>
          <cell r="R49">
            <v>1</v>
          </cell>
          <cell r="S49">
            <v>1.8</v>
          </cell>
        </row>
        <row r="50">
          <cell r="Q50">
            <v>0</v>
          </cell>
          <cell r="R50">
            <v>0</v>
          </cell>
          <cell r="S50">
            <v>0</v>
          </cell>
        </row>
      </sheetData>
      <sheetData sheetId="14" refreshError="1"/>
      <sheetData sheetId="15" refreshError="1">
        <row r="7">
          <cell r="P7">
            <v>149.6</v>
          </cell>
          <cell r="Q7">
            <v>165.2</v>
          </cell>
          <cell r="R7">
            <v>192</v>
          </cell>
        </row>
        <row r="9">
          <cell r="P9" t="str">
            <v xml:space="preserve">1996 </v>
          </cell>
          <cell r="Q9" t="str">
            <v xml:space="preserve">1997 </v>
          </cell>
          <cell r="R9" t="str">
            <v xml:space="preserve">1998 </v>
          </cell>
        </row>
        <row r="10">
          <cell r="P10">
            <v>22.780569514237854</v>
          </cell>
          <cell r="Q10">
            <v>21.338155515370701</v>
          </cell>
          <cell r="R10">
            <v>20.210695447398745</v>
          </cell>
        </row>
        <row r="11">
          <cell r="P11">
            <v>22.780569514237854</v>
          </cell>
          <cell r="Q11">
            <v>21.338155515370701</v>
          </cell>
          <cell r="R11">
            <v>19.7207855179179</v>
          </cell>
        </row>
        <row r="12">
          <cell r="P12">
            <v>22.780569514237854</v>
          </cell>
          <cell r="Q12">
            <v>21.338155515370701</v>
          </cell>
          <cell r="R12">
            <v>21.925515939079265</v>
          </cell>
        </row>
      </sheetData>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cion"/>
      <sheetName val="Ejecutivo"/>
      <sheetName val="Resumen_Real"/>
      <sheetName val="TablasDinamicas"/>
      <sheetName val="HorasDetalladas"/>
      <sheetName val="46W9"/>
      <sheetName val="46W9_Hoja1"/>
      <sheetName val="46W9_Cuadro de costos"/>
      <sheetName val="46W9_Bases"/>
      <sheetName val="46W9_ASPECTOS ELECTRICOS"/>
      <sheetName val="46W9_OBRAS CIVILES"/>
      <sheetName val="46W9_Costo directos"/>
      <sheetName val="46W9_Resumen Costo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総括"/>
      <sheetName val="重要総括事項"/>
      <sheetName val="実態分析"/>
      <sheetName val="関係会社投融資評価"/>
      <sheetName val="BS・PL・CF"/>
      <sheetName val="10年"/>
      <sheetName val="デュポン"/>
      <sheetName val="部門別"/>
      <sheetName val="円"/>
      <sheetName val="棒"/>
      <sheetName val="バブル"/>
      <sheetName val="損益"/>
      <sheetName val="人員推移"/>
      <sheetName val="運転資金"/>
      <sheetName val="余剰資産"/>
      <sheetName val="売上債権"/>
      <sheetName val="売上債権 (2)"/>
      <sheetName val="売上債権 (3)"/>
      <sheetName val="貸倒実績"/>
      <sheetName val="棚卸資産"/>
      <sheetName val="棚卸資産 (2)"/>
      <sheetName val="その他流動資産"/>
      <sheetName val="有形・無形固定資産"/>
      <sheetName val="有形・無形固定資産 (減価償却費)"/>
      <sheetName val="有形・無形固定資産 (償却率)"/>
      <sheetName val="有形・無形固定資産 (設備投資)"/>
      <sheetName val="リース債務"/>
      <sheetName val="投資有価証券・貸付金"/>
      <sheetName val="その他投資等"/>
      <sheetName val="仕入債務"/>
      <sheetName val="仕入債務 (2)"/>
      <sheetName val="社債・借入金・現金預金"/>
      <sheetName val="借入金返済スケジュール"/>
      <sheetName val="その他負債"/>
      <sheetName val="退職給付引当金"/>
      <sheetName val="退職給付引当金 (3)"/>
      <sheetName val="資本の部"/>
      <sheetName val="売上高(得意先別）"/>
      <sheetName val="売上高(部門別)"/>
      <sheetName val="売上原価"/>
      <sheetName val="販管費 (本社その他)"/>
      <sheetName val="販管費"/>
      <sheetName val="物流費"/>
      <sheetName val="販売費"/>
      <sheetName val="人件費"/>
      <sheetName val="管理費"/>
      <sheetName val="営業外損益"/>
      <sheetName val="特別損益"/>
      <sheetName val="税金関係"/>
      <sheetName val="税効果"/>
      <sheetName val="不使用（担保提供資産）"/>
      <sheetName val="税金関係 (2)"/>
      <sheetName val="保証債務 "/>
      <sheetName val="関係会社取引"/>
      <sheetName val="03bs"/>
      <sheetName val="02bs"/>
      <sheetName val="01bs"/>
      <sheetName val="03pl"/>
      <sheetName val="02pl"/>
      <sheetName val="01pl"/>
      <sheetName val="Compdata"/>
      <sheetName val="Billto"/>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 VTA LAIRD"/>
      <sheetName val="LP VTA CAMBIUM"/>
      <sheetName val="Cálculo LPVta Laird"/>
      <sheetName val="Cálculo LPVta Cambium"/>
      <sheetName val="STOCK"/>
      <sheetName val="EPMP "/>
      <sheetName val="CnPilot"/>
      <sheetName val="CORE"/>
    </sheetNames>
    <sheetDataSet>
      <sheetData sheetId="0"/>
      <sheetData sheetId="1"/>
      <sheetData sheetId="2"/>
      <sheetData sheetId="3">
        <row r="4">
          <cell r="AA4">
            <v>0.2</v>
          </cell>
        </row>
      </sheetData>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Total Proyectos"/>
      <sheetName val="AXIS Octubre 21-19"/>
      <sheetName val="KANTECH Octubre 21-19"/>
      <sheetName val="FURUKAWA Octubre 21-19"/>
      <sheetName val="TRENDnet Octubre 21-19"/>
      <sheetName val="Bod (01-06-Sat) Proyectos"/>
      <sheetName val="Outlet Proyectos"/>
      <sheetName val="Bazar Proyectos"/>
      <sheetName val="Resumen_Inv"/>
    </sheetNames>
    <sheetDataSet>
      <sheetData sheetId="0"/>
      <sheetData sheetId="1"/>
      <sheetData sheetId="2"/>
      <sheetData sheetId="3"/>
      <sheetData sheetId="4"/>
      <sheetData sheetId="5"/>
      <sheetData sheetId="6"/>
      <sheetData sheetId="7"/>
      <sheetData sheetId="8">
        <row r="66">
          <cell r="I66">
            <v>3630216739.0694995</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orrower&amp;Loan Basics"/>
      <sheetName val="Credit Review&amp;Bus Desc"/>
      <sheetName val="Repayment Terms"/>
      <sheetName val="BS &amp; Cap"/>
      <sheetName val="Financials"/>
      <sheetName val="JIN Fin"/>
      <sheetName val="bus-valuation"/>
      <sheetName val="JIN B-S &amp; Cap"/>
      <sheetName val="JIN- Valuation"/>
      <sheetName val="Valuation"/>
      <sheetName val="JIN- PX"/>
      <sheetName val="Comps"/>
      <sheetName val="JIN Sales"/>
      <sheetName val="DEBTS"/>
      <sheetName val="Assets"/>
      <sheetName val="JIN Affilates"/>
      <sheetName val="#REF"/>
      <sheetName val="jinroindustries"/>
      <sheetName val="Keibai"/>
      <sheetName val="計算過程シート"/>
      <sheetName val="部門別(売上-EBIT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CE1AF8-1C0F-4895-BECA-1A2220F8C02F}" name="Tabla18" displayName="Tabla18" ref="A1:U134" totalsRowShown="0" headerRowDxfId="671" dataDxfId="669" headerRowBorderDxfId="670" tableBorderDxfId="668">
  <autoFilter ref="A1:U134" xr:uid="{6BEB3D47-1E54-4054-8F19-1D4747AC2CC4}"/>
  <sortState xmlns:xlrd2="http://schemas.microsoft.com/office/spreadsheetml/2017/richdata2" ref="A2:U64">
    <sortCondition sortBy="fontColor" ref="A1:A64" dxfId="667"/>
  </sortState>
  <tableColumns count="21">
    <tableColumn id="3" xr3:uid="{B9B146CC-7FA4-4645-8FAD-6A8806AB5A7D}" name="REFERENCIA" dataDxfId="647"/>
    <tableColumn id="4" xr3:uid="{C18F2C5A-A7E9-4E87-8232-22536357C66F}" name="DESCRIPCIÓN " dataDxfId="646"/>
    <tableColumn id="18" xr3:uid="{8CF7DE4B-602A-46B3-BC56-DA39868BDBDA}" name="PRECIO  INSTALADOR_x000a_( CON  IVA)" dataDxfId="666">
      <calculatedColumnFormula>+Tabla18[[#This Row],[PRECIO SUGERIDO INSTALADOR]]</calculatedColumnFormula>
    </tableColumn>
    <tableColumn id="19" xr3:uid="{2047FBD1-6A00-4704-A8FC-58918DE89BAE}" name="PRECIO TIENDA ( CON  IVA)" dataDxfId="665" dataCellStyle="Moneda">
      <calculatedColumnFormula>+Tabla18[[#This Row],[PRECIO  INSTALADOR
( CON  IVA)]]-Tabla18[[#This Row],[dcto tienda]]</calculatedColumnFormula>
    </tableColumn>
    <tableColumn id="21" xr3:uid="{671B9355-DEF5-46A1-9BF9-95D67C6D6893}" name="PRECIO DPP ORO ( CON  IVA)" dataDxfId="664" dataCellStyle="Moneda">
      <calculatedColumnFormula>+Tabla18[[#This Row],[DPP ORO]]</calculatedColumnFormula>
    </tableColumn>
    <tableColumn id="23" xr3:uid="{BDC538CA-DDC8-4827-AF60-07C329E46D6E}" name="PRECIO DPP PLATINO ( CON  IVA)" dataDxfId="663" dataCellStyle="Moneda">
      <calculatedColumnFormula>+Tabla18[[#This Row],[platino2]]</calculatedColumnFormula>
    </tableColumn>
    <tableColumn id="22" xr3:uid="{9547BFF3-B787-43AF-9379-DFB9C73A4884}" name="PRECIO CLIENTE FINAL ( CON  IVA)" dataDxfId="662" dataCellStyle="Moneda">
      <calculatedColumnFormula>+Tabla18[[#This Row],[PRECIO  INSTALADOR
( CON  IVA)]]/0.7</calculatedColumnFormula>
    </tableColumn>
    <tableColumn id="5" xr3:uid="{21D05EC9-2C43-463B-9974-F59B62D5BD3A}" name="DESCUENTO" dataDxfId="661"/>
    <tableColumn id="6" xr3:uid="{56A8B63A-9182-4C19-8804-0E7893F5D2E1}" name="PRECIO SUGERIDO INSTALADOR_x000a_( CON  IVA)" dataDxfId="660" dataCellStyle="Moneda">
      <calculatedColumnFormula>+Q2</calculatedColumnFormula>
    </tableColumn>
    <tableColumn id="7" xr3:uid="{CD4E2CC0-DBFA-4A09-A408-139F50185378}" name=" ORO" dataDxfId="659" dataCellStyle="Moneda">
      <calculatedColumnFormula>+O2</calculatedColumnFormula>
    </tableColumn>
    <tableColumn id="8" xr3:uid="{0D4E7399-C506-442B-B5B6-82E3AA06E16C}" name="PLATINO" dataDxfId="658" dataCellStyle="Moneda">
      <calculatedColumnFormula>+L2</calculatedColumnFormula>
    </tableColumn>
    <tableColumn id="9" xr3:uid="{E22FF1DC-DCA6-4196-B9EB-E06D459118CB}" name="Columna3" dataDxfId="657" dataCellStyle="Moneda">
      <calculatedColumnFormula>+M2/#REF!</calculatedColumnFormula>
    </tableColumn>
    <tableColumn id="10" xr3:uid="{3DE9BB87-0E9B-413C-B426-4FE6F4E85FB4}" name="platino2" dataDxfId="656" dataCellStyle="Moneda">
      <calculatedColumnFormula>+P2-N2</calculatedColumnFormula>
    </tableColumn>
    <tableColumn id="11" xr3:uid="{9E0C26DD-9C1B-4B81-89F2-03CE45901974}" name="DPP PLATINO" dataDxfId="655" dataCellStyle="Moneda">
      <calculatedColumnFormula>+P2*1%</calculatedColumnFormula>
    </tableColumn>
    <tableColumn id="12" xr3:uid="{E464C2F3-FD21-489B-B7EB-09262963C0B4}" name="Columna6" dataDxfId="654" dataCellStyle="Moneda">
      <calculatedColumnFormula>+P2/#REF!</calculatedColumnFormula>
    </tableColumn>
    <tableColumn id="13" xr3:uid="{271F4B7F-DEA5-4994-AE6C-01E45125FC5B}" name="DPP ORO" dataDxfId="653" dataCellStyle="Moneda">
      <calculatedColumnFormula>Tabla18[[#This Row],[ORO SIN IVA]]*1.19</calculatedColumnFormula>
    </tableColumn>
    <tableColumn id="14" xr3:uid="{EE899663-A81A-4E87-990D-D98B6E8EE48E}" name="Columna8" dataDxfId="652" dataCellStyle="Moneda">
      <calculatedColumnFormula>+S2/#REF!</calculatedColumnFormula>
    </tableColumn>
    <tableColumn id="20" xr3:uid="{0BBE1FA2-02D5-47CA-9C0A-B98861E14D14}" name="dcto tienda" dataDxfId="651" dataCellStyle="Moneda">
      <calculatedColumnFormula>+Tabla18[[#This Row],[PRECIO SUGERIDO INSTALADOR]]*5%</calculatedColumnFormula>
    </tableColumn>
    <tableColumn id="15" xr3:uid="{BF1BD10C-2D93-40F5-96AC-C02388666DCE}" name="PRECIO SUGERIDO INSTALADOR" dataDxfId="650" dataCellStyle="Moneda">
      <calculatedColumnFormula>Tabla18[[#This Row],[INSTALLER SIN IVA]]*1.19</calculatedColumnFormula>
    </tableColumn>
    <tableColumn id="16" xr3:uid="{34D2D3FD-E650-407F-8EBD-49BD0A617FC4}" name="ORO SIN IVA" dataDxfId="649" dataCellStyle="Moneda"/>
    <tableColumn id="17" xr3:uid="{D5A82700-D5AA-4058-8191-A194431EEA78}" name="INSTALLER SIN IVA" dataDxfId="648" dataCellStyle="Moneda"/>
  </tableColumns>
  <tableStyleInfo name="TableStyleMedium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8823-CA27-4B9C-A144-0E92CFEB3352}">
  <dimension ref="A1:DV408"/>
  <sheetViews>
    <sheetView showGridLines="0" tabSelected="1" view="pageBreakPreview" zoomScale="60" zoomScaleNormal="91" workbookViewId="0">
      <pane xSplit="1" ySplit="1" topLeftCell="B116" activePane="bottomRight" state="frozen"/>
      <selection pane="topRight"/>
      <selection pane="bottomLeft"/>
      <selection pane="bottomRight" activeCell="A117" sqref="A117"/>
    </sheetView>
  </sheetViews>
  <sheetFormatPr baseColWidth="10" defaultColWidth="10.5703125" defaultRowHeight="13.5" x14ac:dyDescent="0.25"/>
  <cols>
    <col min="1" max="1" width="29" style="4" customWidth="1"/>
    <col min="2" max="2" width="44" style="4" customWidth="1"/>
    <col min="3" max="3" width="21.5703125" style="4" customWidth="1"/>
    <col min="4" max="4" width="19.28515625" style="4" customWidth="1"/>
    <col min="5" max="6" width="23.140625" style="4" customWidth="1"/>
    <col min="7" max="7" width="22.140625" style="4" customWidth="1"/>
    <col min="8" max="8" width="1.28515625" style="4" customWidth="1"/>
    <col min="9" max="9" width="2.7109375" style="2" customWidth="1"/>
    <col min="10" max="10" width="1.140625" style="3" customWidth="1"/>
    <col min="11" max="11" width="2.5703125" style="3" customWidth="1"/>
    <col min="12" max="12" width="2" style="3" customWidth="1"/>
    <col min="13" max="13" width="12.42578125" style="3" customWidth="1"/>
    <col min="14" max="14" width="2.28515625" style="3" customWidth="1"/>
    <col min="15" max="15" width="1.140625" style="2" customWidth="1"/>
    <col min="16" max="16" width="9.85546875" style="2" customWidth="1"/>
    <col min="17" max="17" width="2.7109375" style="2" customWidth="1"/>
    <col min="18" max="18" width="10.28515625" style="2" customWidth="1"/>
    <col min="19" max="19" width="13.5703125" style="2" customWidth="1"/>
    <col min="20" max="20" width="15.140625" style="2" customWidth="1"/>
    <col min="21" max="21" width="17.42578125" style="2" customWidth="1"/>
    <col min="22" max="25" width="10.5703125" style="1" customWidth="1"/>
    <col min="26" max="26" width="11" style="1" customWidth="1"/>
    <col min="27" max="27" width="10.5703125" style="1" customWidth="1"/>
    <col min="28" max="16384" width="10.5703125" style="1"/>
  </cols>
  <sheetData>
    <row r="1" spans="1:126" ht="66.75" customHeight="1" x14ac:dyDescent="0.25">
      <c r="A1" s="38" t="s">
        <v>2</v>
      </c>
      <c r="B1" s="38" t="s">
        <v>17</v>
      </c>
      <c r="C1" s="38" t="s">
        <v>126</v>
      </c>
      <c r="D1" s="38" t="s">
        <v>16</v>
      </c>
      <c r="E1" s="38" t="s">
        <v>15</v>
      </c>
      <c r="F1" s="38" t="s">
        <v>14</v>
      </c>
      <c r="G1" s="38" t="s">
        <v>13</v>
      </c>
      <c r="H1" s="39" t="s">
        <v>125</v>
      </c>
      <c r="I1" s="16" t="s">
        <v>12</v>
      </c>
      <c r="J1" s="17" t="s">
        <v>11</v>
      </c>
      <c r="K1" s="19" t="s">
        <v>10</v>
      </c>
      <c r="L1" s="20" t="s">
        <v>9</v>
      </c>
      <c r="M1" s="20" t="s">
        <v>8</v>
      </c>
      <c r="N1" s="19" t="s">
        <v>7</v>
      </c>
      <c r="O1" s="18" t="s">
        <v>1</v>
      </c>
      <c r="P1" s="17" t="s">
        <v>6</v>
      </c>
      <c r="Q1" s="16" t="s">
        <v>0</v>
      </c>
      <c r="R1" s="16" t="s">
        <v>5</v>
      </c>
      <c r="S1" s="16" t="s">
        <v>4</v>
      </c>
      <c r="T1" s="37" t="s">
        <v>124</v>
      </c>
      <c r="U1" s="36" t="s">
        <v>3</v>
      </c>
      <c r="X1" s="24"/>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5"/>
    </row>
    <row r="2" spans="1:126" ht="54" x14ac:dyDescent="0.25">
      <c r="A2" s="51" t="s">
        <v>128</v>
      </c>
      <c r="B2" s="52" t="s">
        <v>129</v>
      </c>
      <c r="C2" s="45">
        <f>+Tabla18[[#This Row],[PRECIO SUGERIDO INSTALADOR]]</f>
        <v>450798.18</v>
      </c>
      <c r="D2" s="45">
        <f>+Tabla18[[#This Row],[PRECIO  INSTALADOR
( CON  IVA)]]-Tabla18[[#This Row],[dcto tienda]]</f>
        <v>428258.27100000001</v>
      </c>
      <c r="E2" s="45">
        <f>+Tabla18[[#This Row],[DPP ORO]]</f>
        <v>374964.24</v>
      </c>
      <c r="F2" s="45">
        <f>+Tabla18[[#This Row],[platino2]]</f>
        <v>367464.95519999997</v>
      </c>
      <c r="G2" s="45">
        <f>+Tabla18[[#This Row],[PRECIO  INSTALADOR
( CON  IVA)]]/0.7</f>
        <v>643997.4</v>
      </c>
      <c r="H2" s="40"/>
      <c r="I2" s="13" t="e">
        <f t="shared" ref="I2:I33" si="0">+Q2</f>
        <v>#REF!</v>
      </c>
      <c r="J2" s="13" t="e">
        <f t="shared" ref="J2:J33" si="1">+O2</f>
        <v>#REF!</v>
      </c>
      <c r="K2" s="15" t="e">
        <f t="shared" ref="K2:K33" si="2">+L2</f>
        <v>#REF!</v>
      </c>
      <c r="L2" s="15" t="e">
        <f>+M2/#REF!</f>
        <v>#REF!</v>
      </c>
      <c r="M2" s="15">
        <f t="shared" ref="M2:M33" si="3">+P2-N2</f>
        <v>367464.95519999997</v>
      </c>
      <c r="N2" s="14">
        <f>+P2*2%</f>
        <v>7499.2848000000004</v>
      </c>
      <c r="O2" s="13" t="e">
        <f>+P2/#REF!</f>
        <v>#REF!</v>
      </c>
      <c r="P2" s="31">
        <f>Tabla18[[#This Row],[ORO SIN IVA]]*1.19</f>
        <v>374964.24</v>
      </c>
      <c r="Q2" s="13" t="e">
        <f>+S2/#REF!</f>
        <v>#REF!</v>
      </c>
      <c r="R2" s="13">
        <f>+Tabla18[[#This Row],[PRECIO SUGERIDO INSTALADOR]]*5%</f>
        <v>22539.909</v>
      </c>
      <c r="S2" s="28">
        <f>Tabla18[[#This Row],[INSTALLER SIN IVA]]*1.19</f>
        <v>450798.18</v>
      </c>
      <c r="T2" s="30">
        <v>315096</v>
      </c>
      <c r="U2" s="30">
        <v>378822</v>
      </c>
      <c r="X2" s="24"/>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5"/>
    </row>
    <row r="3" spans="1:126" ht="40.5" x14ac:dyDescent="0.25">
      <c r="A3" s="51" t="s">
        <v>130</v>
      </c>
      <c r="B3" s="52" t="s">
        <v>131</v>
      </c>
      <c r="C3" s="45">
        <f>+Tabla18[[#This Row],[PRECIO SUGERIDO INSTALADOR]]</f>
        <v>565611.76</v>
      </c>
      <c r="D3" s="45">
        <f>+Tabla18[[#This Row],[PRECIO  INSTALADOR
( CON  IVA)]]-Tabla18[[#This Row],[dcto tienda]]</f>
        <v>537331.17200000002</v>
      </c>
      <c r="E3" s="45">
        <f>+Tabla18[[#This Row],[DPP ORO]]</f>
        <v>470242.77999999997</v>
      </c>
      <c r="F3" s="45">
        <f>+Tabla18[[#This Row],[platino2]]</f>
        <v>465540.35219999996</v>
      </c>
      <c r="G3" s="45">
        <f>+Tabla18[[#This Row],[PRECIO  INSTALADOR
( CON  IVA)]]/0.7</f>
        <v>808016.8</v>
      </c>
      <c r="H3" s="40"/>
      <c r="I3" s="13" t="e">
        <f t="shared" si="0"/>
        <v>#REF!</v>
      </c>
      <c r="J3" s="13" t="e">
        <f t="shared" si="1"/>
        <v>#REF!</v>
      </c>
      <c r="K3" s="15" t="e">
        <f t="shared" si="2"/>
        <v>#REF!</v>
      </c>
      <c r="L3" s="15" t="e">
        <f>+M3/#REF!</f>
        <v>#REF!</v>
      </c>
      <c r="M3" s="15">
        <f t="shared" si="3"/>
        <v>465540.35219999996</v>
      </c>
      <c r="N3" s="14">
        <f>+P3*1%</f>
        <v>4702.4277999999995</v>
      </c>
      <c r="O3" s="13" t="e">
        <f>+P3/#REF!</f>
        <v>#REF!</v>
      </c>
      <c r="P3" s="31">
        <f>Tabla18[[#This Row],[ORO SIN IVA]]*1.19</f>
        <v>470242.77999999997</v>
      </c>
      <c r="Q3" s="13" t="e">
        <f>+S3/#REF!</f>
        <v>#REF!</v>
      </c>
      <c r="R3" s="13">
        <f>+Tabla18[[#This Row],[PRECIO SUGERIDO INSTALADOR]]*5%</f>
        <v>28280.588000000003</v>
      </c>
      <c r="S3" s="28">
        <f>Tabla18[[#This Row],[INSTALLER SIN IVA]]*1.19</f>
        <v>565611.76</v>
      </c>
      <c r="T3" s="30">
        <v>395162</v>
      </c>
      <c r="U3" s="30">
        <v>475304.00000000006</v>
      </c>
      <c r="X3" s="24"/>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5"/>
    </row>
    <row r="4" spans="1:126" ht="54" x14ac:dyDescent="0.25">
      <c r="A4" s="51" t="s">
        <v>132</v>
      </c>
      <c r="B4" s="52" t="s">
        <v>129</v>
      </c>
      <c r="C4" s="45">
        <f>+Tabla18[[#This Row],[PRECIO SUGERIDO INSTALADOR]]</f>
        <v>488421.22</v>
      </c>
      <c r="D4" s="45">
        <f>+Tabla18[[#This Row],[PRECIO  INSTALADOR
( CON  IVA)]]-Tabla18[[#This Row],[dcto tienda]]</f>
        <v>464000.15899999999</v>
      </c>
      <c r="E4" s="45">
        <f>+Tabla18[[#This Row],[DPP ORO]]</f>
        <v>406256.48</v>
      </c>
      <c r="F4" s="45">
        <f>+Tabla18[[#This Row],[platino2]]</f>
        <v>398131.3504</v>
      </c>
      <c r="G4" s="45">
        <f>+Tabla18[[#This Row],[PRECIO  INSTALADOR
( CON  IVA)]]/0.7</f>
        <v>697744.6</v>
      </c>
      <c r="H4" s="40"/>
      <c r="I4" s="13" t="e">
        <f t="shared" si="0"/>
        <v>#REF!</v>
      </c>
      <c r="J4" s="13" t="e">
        <f t="shared" si="1"/>
        <v>#REF!</v>
      </c>
      <c r="K4" s="15" t="e">
        <f t="shared" si="2"/>
        <v>#REF!</v>
      </c>
      <c r="L4" s="15" t="e">
        <f>+M4/#REF!</f>
        <v>#REF!</v>
      </c>
      <c r="M4" s="15">
        <f t="shared" si="3"/>
        <v>398131.3504</v>
      </c>
      <c r="N4" s="14">
        <f>+P4*2%</f>
        <v>8125.1296000000002</v>
      </c>
      <c r="O4" s="13" t="e">
        <f>+P4/#REF!</f>
        <v>#REF!</v>
      </c>
      <c r="P4" s="31">
        <f>Tabla18[[#This Row],[ORO SIN IVA]]*1.19</f>
        <v>406256.48</v>
      </c>
      <c r="Q4" s="13" t="e">
        <f>+S4/#REF!</f>
        <v>#REF!</v>
      </c>
      <c r="R4" s="13">
        <f>+Tabla18[[#This Row],[PRECIO SUGERIDO INSTALADOR]]*5%</f>
        <v>24421.061000000002</v>
      </c>
      <c r="S4" s="28">
        <f>Tabla18[[#This Row],[INSTALLER SIN IVA]]*1.19</f>
        <v>488421.22</v>
      </c>
      <c r="T4" s="30">
        <v>341392</v>
      </c>
      <c r="U4" s="30">
        <v>410438</v>
      </c>
      <c r="X4" s="24"/>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5"/>
    </row>
    <row r="5" spans="1:126" ht="94.5" x14ac:dyDescent="0.25">
      <c r="A5" s="51" t="s">
        <v>83</v>
      </c>
      <c r="B5" s="52" t="s">
        <v>133</v>
      </c>
      <c r="C5" s="45">
        <f>+Tabla18[[#This Row],[PRECIO SUGERIDO INSTALADOR]]</f>
        <v>542730.43999999994</v>
      </c>
      <c r="D5" s="45">
        <f>+Tabla18[[#This Row],[PRECIO  INSTALADOR
( CON  IVA)]]-Tabla18[[#This Row],[dcto tienda]]</f>
        <v>515593.91799999995</v>
      </c>
      <c r="E5" s="45">
        <f>+Tabla18[[#This Row],[DPP ORO]]</f>
        <v>451386.04</v>
      </c>
      <c r="F5" s="45">
        <f>+Tabla18[[#This Row],[platino2]]</f>
        <v>442358.31919999997</v>
      </c>
      <c r="G5" s="45">
        <f>+Tabla18[[#This Row],[PRECIO  INSTALADOR
( CON  IVA)]]/0.7</f>
        <v>775329.2</v>
      </c>
      <c r="H5" s="40"/>
      <c r="I5" s="13" t="e">
        <f t="shared" si="0"/>
        <v>#REF!</v>
      </c>
      <c r="J5" s="13" t="e">
        <f t="shared" si="1"/>
        <v>#REF!</v>
      </c>
      <c r="K5" s="15" t="e">
        <f t="shared" si="2"/>
        <v>#REF!</v>
      </c>
      <c r="L5" s="15" t="e">
        <f>+M5/#REF!</f>
        <v>#REF!</v>
      </c>
      <c r="M5" s="15">
        <f t="shared" si="3"/>
        <v>442358.31919999997</v>
      </c>
      <c r="N5" s="14">
        <f>+P5*2%</f>
        <v>9027.7207999999991</v>
      </c>
      <c r="O5" s="13" t="e">
        <f>+P5/#REF!</f>
        <v>#REF!</v>
      </c>
      <c r="P5" s="31">
        <f>Tabla18[[#This Row],[ORO SIN IVA]]*1.19</f>
        <v>451386.04</v>
      </c>
      <c r="Q5" s="13" t="e">
        <f>+S5/#REF!</f>
        <v>#REF!</v>
      </c>
      <c r="R5" s="13">
        <f>+Tabla18[[#This Row],[PRECIO SUGERIDO INSTALADOR]]*5%</f>
        <v>27136.521999999997</v>
      </c>
      <c r="S5" s="28">
        <f>Tabla18[[#This Row],[INSTALLER SIN IVA]]*1.19</f>
        <v>542730.43999999994</v>
      </c>
      <c r="T5" s="30">
        <v>379316</v>
      </c>
      <c r="U5" s="30">
        <v>456076</v>
      </c>
      <c r="X5" s="24"/>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5"/>
    </row>
    <row r="6" spans="1:126" ht="54" x14ac:dyDescent="0.25">
      <c r="A6" s="51" t="s">
        <v>134</v>
      </c>
      <c r="B6" s="52" t="s">
        <v>135</v>
      </c>
      <c r="C6" s="45">
        <f>+Tabla18[[#This Row],[PRECIO SUGERIDO INSTALADOR]]</f>
        <v>642350.1</v>
      </c>
      <c r="D6" s="45">
        <f>+Tabla18[[#This Row],[PRECIO  INSTALADOR
( CON  IVA)]]-Tabla18[[#This Row],[dcto tienda]]</f>
        <v>610232.59499999997</v>
      </c>
      <c r="E6" s="45">
        <f>+Tabla18[[#This Row],[DPP ORO]]</f>
        <v>534229.07999999996</v>
      </c>
      <c r="F6" s="45">
        <f>+Tabla18[[#This Row],[platino2]]</f>
        <v>523544.49839999998</v>
      </c>
      <c r="G6" s="45">
        <f>+Tabla18[[#This Row],[PRECIO  INSTALADOR
( CON  IVA)]]/0.7</f>
        <v>917643</v>
      </c>
      <c r="H6" s="41"/>
      <c r="I6" s="13" t="e">
        <f t="shared" si="0"/>
        <v>#REF!</v>
      </c>
      <c r="J6" s="13" t="e">
        <f t="shared" si="1"/>
        <v>#REF!</v>
      </c>
      <c r="K6" s="15" t="e">
        <f t="shared" si="2"/>
        <v>#REF!</v>
      </c>
      <c r="L6" s="15" t="e">
        <f>+M6/#REF!</f>
        <v>#REF!</v>
      </c>
      <c r="M6" s="15">
        <f t="shared" si="3"/>
        <v>523544.49839999998</v>
      </c>
      <c r="N6" s="14">
        <f>+P6*2%</f>
        <v>10684.5816</v>
      </c>
      <c r="O6" s="13" t="e">
        <f>+P6/#REF!</f>
        <v>#REF!</v>
      </c>
      <c r="P6" s="31">
        <f>Tabla18[[#This Row],[ORO SIN IVA]]*1.19</f>
        <v>534229.07999999996</v>
      </c>
      <c r="Q6" s="13" t="e">
        <f>+S6/#REF!</f>
        <v>#REF!</v>
      </c>
      <c r="R6" s="13">
        <f>+Tabla18[[#This Row],[PRECIO SUGERIDO INSTALADOR]]*5%</f>
        <v>32117.505000000001</v>
      </c>
      <c r="S6" s="28">
        <f>Tabla18[[#This Row],[INSTALLER SIN IVA]]*1.19</f>
        <v>642350.1</v>
      </c>
      <c r="T6" s="30">
        <v>448932</v>
      </c>
      <c r="U6" s="30">
        <v>539790</v>
      </c>
      <c r="X6" s="24"/>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5"/>
    </row>
    <row r="7" spans="1:126" ht="81" x14ac:dyDescent="0.25">
      <c r="A7" s="51" t="s">
        <v>136</v>
      </c>
      <c r="B7" s="52" t="s">
        <v>137</v>
      </c>
      <c r="C7" s="45">
        <f>+Tabla18[[#This Row],[PRECIO SUGERIDO INSTALADOR]]</f>
        <v>4266190.46</v>
      </c>
      <c r="D7" s="45">
        <f>+Tabla18[[#This Row],[PRECIO  INSTALADOR
( CON  IVA)]]-Tabla18[[#This Row],[dcto tienda]]</f>
        <v>4052880.9369999999</v>
      </c>
      <c r="E7" s="45">
        <f>+Tabla18[[#This Row],[DPP ORO]]</f>
        <v>3756787.1599999997</v>
      </c>
      <c r="F7" s="45">
        <f>+Tabla18[[#This Row],[platino2]]</f>
        <v>3681651.4167999998</v>
      </c>
      <c r="G7" s="45">
        <f>+Tabla18[[#This Row],[PRECIO  INSTALADOR
( CON  IVA)]]/0.7</f>
        <v>6094557.8000000007</v>
      </c>
      <c r="H7" s="41"/>
      <c r="I7" s="13" t="e">
        <f t="shared" si="0"/>
        <v>#REF!</v>
      </c>
      <c r="J7" s="13" t="e">
        <f t="shared" si="1"/>
        <v>#REF!</v>
      </c>
      <c r="K7" s="15" t="e">
        <f t="shared" si="2"/>
        <v>#REF!</v>
      </c>
      <c r="L7" s="15" t="e">
        <f>+M7/#REF!</f>
        <v>#REF!</v>
      </c>
      <c r="M7" s="15">
        <f t="shared" si="3"/>
        <v>3681651.4167999998</v>
      </c>
      <c r="N7" s="14">
        <f>+P7*2%</f>
        <v>75135.743199999997</v>
      </c>
      <c r="O7" s="13" t="e">
        <f>+P7/#REF!</f>
        <v>#REF!</v>
      </c>
      <c r="P7" s="31">
        <f>Tabla18[[#This Row],[ORO SIN IVA]]*1.19</f>
        <v>3756787.1599999997</v>
      </c>
      <c r="Q7" s="13" t="e">
        <f>+S7/#REF!</f>
        <v>#REF!</v>
      </c>
      <c r="R7" s="13">
        <f>+Tabla18[[#This Row],[PRECIO SUGERIDO INSTALADOR]]*5%</f>
        <v>213309.52300000002</v>
      </c>
      <c r="S7" s="28">
        <f>Tabla18[[#This Row],[INSTALLER SIN IVA]]*1.19</f>
        <v>4266190.46</v>
      </c>
      <c r="T7" s="30">
        <v>3156964</v>
      </c>
      <c r="U7" s="30">
        <v>3585034</v>
      </c>
      <c r="X7" s="24"/>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5"/>
    </row>
    <row r="8" spans="1:126" ht="67.5" x14ac:dyDescent="0.25">
      <c r="A8" s="51" t="s">
        <v>138</v>
      </c>
      <c r="B8" s="52" t="s">
        <v>139</v>
      </c>
      <c r="C8" s="45">
        <f>+Tabla18[[#This Row],[PRECIO SUGERIDO INSTALADOR]]</f>
        <v>580579.57999999996</v>
      </c>
      <c r="D8" s="45">
        <f>+Tabla18[[#This Row],[PRECIO  INSTALADOR
( CON  IVA)]]-Tabla18[[#This Row],[dcto tienda]]</f>
        <v>551550.60099999991</v>
      </c>
      <c r="E8" s="45">
        <f>+Tabla18[[#This Row],[DPP ORO]]</f>
        <v>482678.27999999997</v>
      </c>
      <c r="F8" s="45">
        <f>+Tabla18[[#This Row],[platino2]]</f>
        <v>477851.49719999998</v>
      </c>
      <c r="G8" s="45">
        <f>+Tabla18[[#This Row],[PRECIO  INSTALADOR
( CON  IVA)]]/0.7</f>
        <v>829399.4</v>
      </c>
      <c r="H8" s="40"/>
      <c r="I8" s="13" t="e">
        <f t="shared" si="0"/>
        <v>#REF!</v>
      </c>
      <c r="J8" s="13" t="e">
        <f t="shared" si="1"/>
        <v>#REF!</v>
      </c>
      <c r="K8" s="15" t="e">
        <f t="shared" si="2"/>
        <v>#REF!</v>
      </c>
      <c r="L8" s="15" t="e">
        <f>+M8/#REF!</f>
        <v>#REF!</v>
      </c>
      <c r="M8" s="15">
        <f t="shared" si="3"/>
        <v>477851.49719999998</v>
      </c>
      <c r="N8" s="14">
        <f t="shared" ref="N8:N39" si="4">+P8*1%</f>
        <v>4826.7828</v>
      </c>
      <c r="O8" s="13" t="e">
        <f>+P8/#REF!</f>
        <v>#REF!</v>
      </c>
      <c r="P8" s="31">
        <f>Tabla18[[#This Row],[ORO SIN IVA]]*1.19</f>
        <v>482678.27999999997</v>
      </c>
      <c r="Q8" s="13" t="e">
        <f>+S8/#REF!</f>
        <v>#REF!</v>
      </c>
      <c r="R8" s="13">
        <f>+Tabla18[[#This Row],[PRECIO SUGERIDO INSTALADOR]]*5%</f>
        <v>29028.978999999999</v>
      </c>
      <c r="S8" s="28">
        <f>Tabla18[[#This Row],[INSTALLER SIN IVA]]*1.19</f>
        <v>580579.57999999996</v>
      </c>
      <c r="T8" s="30">
        <v>405612</v>
      </c>
      <c r="U8" s="30">
        <v>487882</v>
      </c>
      <c r="X8" s="24"/>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5"/>
    </row>
    <row r="9" spans="1:126" ht="54" x14ac:dyDescent="0.25">
      <c r="A9" s="51" t="s">
        <v>121</v>
      </c>
      <c r="B9" s="52" t="s">
        <v>140</v>
      </c>
      <c r="C9" s="45">
        <f>+Tabla18[[#This Row],[PRECIO SUGERIDO INSTALADOR]]</f>
        <v>397936</v>
      </c>
      <c r="D9" s="45">
        <f>+Tabla18[[#This Row],[PRECIO  INSTALADOR
( CON  IVA)]]-Tabla18[[#This Row],[dcto tienda]]</f>
        <v>378039.2</v>
      </c>
      <c r="E9" s="45">
        <f>+Tabla18[[#This Row],[DPP ORO]]</f>
        <v>330829.51999999996</v>
      </c>
      <c r="F9" s="45">
        <f>+Tabla18[[#This Row],[platino2]]</f>
        <v>327521.22479999997</v>
      </c>
      <c r="G9" s="45">
        <f>+Tabla18[[#This Row],[PRECIO  INSTALADOR
( CON  IVA)]]/0.7</f>
        <v>568480</v>
      </c>
      <c r="H9" s="40"/>
      <c r="I9" s="13" t="e">
        <f t="shared" si="0"/>
        <v>#REF!</v>
      </c>
      <c r="J9" s="13" t="e">
        <f t="shared" si="1"/>
        <v>#REF!</v>
      </c>
      <c r="K9" s="15" t="e">
        <f t="shared" si="2"/>
        <v>#REF!</v>
      </c>
      <c r="L9" s="15" t="e">
        <f>+M9/#REF!</f>
        <v>#REF!</v>
      </c>
      <c r="M9" s="15">
        <f t="shared" si="3"/>
        <v>327521.22479999997</v>
      </c>
      <c r="N9" s="14">
        <f t="shared" si="4"/>
        <v>3308.2951999999996</v>
      </c>
      <c r="O9" s="13" t="e">
        <f>+P9/#REF!</f>
        <v>#REF!</v>
      </c>
      <c r="P9" s="31">
        <f>Tabla18[[#This Row],[ORO SIN IVA]]*1.19</f>
        <v>330829.51999999996</v>
      </c>
      <c r="Q9" s="13" t="e">
        <f>+S9/#REF!</f>
        <v>#REF!</v>
      </c>
      <c r="R9" s="13">
        <f>+Tabla18[[#This Row],[PRECIO SUGERIDO INSTALADOR]]*5%</f>
        <v>19896.800000000003</v>
      </c>
      <c r="S9" s="28">
        <f>Tabla18[[#This Row],[INSTALLER SIN IVA]]*1.19</f>
        <v>397936</v>
      </c>
      <c r="T9" s="30">
        <v>278008</v>
      </c>
      <c r="U9" s="30">
        <v>334400</v>
      </c>
      <c r="X9" s="24"/>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5"/>
    </row>
    <row r="10" spans="1:126" ht="40.5" x14ac:dyDescent="0.25">
      <c r="A10" s="51" t="s">
        <v>85</v>
      </c>
      <c r="B10" s="52" t="s">
        <v>84</v>
      </c>
      <c r="C10" s="45">
        <f>+Tabla18[[#This Row],[PRECIO SUGERIDO INSTALADOR]]</f>
        <v>442161.16</v>
      </c>
      <c r="D10" s="45">
        <f>+Tabla18[[#This Row],[PRECIO  INSTALADOR
( CON  IVA)]]-Tabla18[[#This Row],[dcto tienda]]</f>
        <v>420053.10199999996</v>
      </c>
      <c r="E10" s="45">
        <f>+Tabla18[[#This Row],[DPP ORO]]</f>
        <v>367593.38</v>
      </c>
      <c r="F10" s="45">
        <f>+Tabla18[[#This Row],[platino2]]</f>
        <v>363917.44620000001</v>
      </c>
      <c r="G10" s="45">
        <f>+Tabla18[[#This Row],[PRECIO  INSTALADOR
( CON  IVA)]]/0.7</f>
        <v>631658.80000000005</v>
      </c>
      <c r="H10" s="41"/>
      <c r="I10" s="13" t="e">
        <f t="shared" si="0"/>
        <v>#REF!</v>
      </c>
      <c r="J10" s="13" t="e">
        <f t="shared" si="1"/>
        <v>#REF!</v>
      </c>
      <c r="K10" s="15" t="e">
        <f t="shared" si="2"/>
        <v>#REF!</v>
      </c>
      <c r="L10" s="15" t="e">
        <f>+M10/#REF!</f>
        <v>#REF!</v>
      </c>
      <c r="M10" s="15">
        <f t="shared" si="3"/>
        <v>363917.44620000001</v>
      </c>
      <c r="N10" s="14">
        <f t="shared" si="4"/>
        <v>3675.9338000000002</v>
      </c>
      <c r="O10" s="13" t="e">
        <f>+P10/#REF!</f>
        <v>#REF!</v>
      </c>
      <c r="P10" s="31">
        <f>Tabla18[[#This Row],[ORO SIN IVA]]*1.19</f>
        <v>367593.38</v>
      </c>
      <c r="Q10" s="13" t="e">
        <f>+S10/#REF!</f>
        <v>#REF!</v>
      </c>
      <c r="R10" s="13">
        <f>+Tabla18[[#This Row],[PRECIO SUGERIDO INSTALADOR]]*5%</f>
        <v>22108.058000000001</v>
      </c>
      <c r="S10" s="28">
        <f>Tabla18[[#This Row],[INSTALLER SIN IVA]]*1.19</f>
        <v>442161.16</v>
      </c>
      <c r="T10" s="30">
        <v>308902</v>
      </c>
      <c r="U10" s="30">
        <v>371564</v>
      </c>
      <c r="X10" s="24"/>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5"/>
    </row>
    <row r="11" spans="1:126" ht="54" x14ac:dyDescent="0.25">
      <c r="A11" s="51" t="s">
        <v>20</v>
      </c>
      <c r="B11" s="52" t="s">
        <v>19</v>
      </c>
      <c r="C11" s="45">
        <f>+Tabla18[[#This Row],[PRECIO SUGERIDO INSTALADOR]]</f>
        <v>495023.33999999997</v>
      </c>
      <c r="D11" s="45">
        <f>+Tabla18[[#This Row],[PRECIO  INSTALADOR
( CON  IVA)]]-Tabla18[[#This Row],[dcto tienda]]</f>
        <v>470272.17299999995</v>
      </c>
      <c r="E11" s="45">
        <f>+Tabla18[[#This Row],[DPP ORO]]</f>
        <v>411547.22</v>
      </c>
      <c r="F11" s="45">
        <f>+Tabla18[[#This Row],[platino2]]</f>
        <v>407431.74779999995</v>
      </c>
      <c r="G11" s="45">
        <f>+Tabla18[[#This Row],[PRECIO  INSTALADOR
( CON  IVA)]]/0.7</f>
        <v>707176.2</v>
      </c>
      <c r="H11" s="41"/>
      <c r="I11" s="13" t="e">
        <f t="shared" si="0"/>
        <v>#REF!</v>
      </c>
      <c r="J11" s="13" t="e">
        <f t="shared" si="1"/>
        <v>#REF!</v>
      </c>
      <c r="K11" s="15" t="e">
        <f t="shared" si="2"/>
        <v>#REF!</v>
      </c>
      <c r="L11" s="15" t="e">
        <f>+M11/#REF!</f>
        <v>#REF!</v>
      </c>
      <c r="M11" s="15">
        <f t="shared" si="3"/>
        <v>407431.74779999995</v>
      </c>
      <c r="N11" s="14">
        <f t="shared" si="4"/>
        <v>4115.4722000000002</v>
      </c>
      <c r="O11" s="13" t="e">
        <f>+P11/#REF!</f>
        <v>#REF!</v>
      </c>
      <c r="P11" s="31">
        <f>Tabla18[[#This Row],[ORO SIN IVA]]*1.19</f>
        <v>411547.22</v>
      </c>
      <c r="Q11" s="13" t="e">
        <f>+S11/#REF!</f>
        <v>#REF!</v>
      </c>
      <c r="R11" s="13">
        <f>+Tabla18[[#This Row],[PRECIO SUGERIDO INSTALADOR]]*5%</f>
        <v>24751.167000000001</v>
      </c>
      <c r="S11" s="28">
        <f>Tabla18[[#This Row],[INSTALLER SIN IVA]]*1.19</f>
        <v>495023.33999999997</v>
      </c>
      <c r="T11" s="29">
        <v>345838</v>
      </c>
      <c r="U11" s="29">
        <v>415986</v>
      </c>
      <c r="X11" s="24"/>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5"/>
    </row>
    <row r="12" spans="1:126" ht="67.5" x14ac:dyDescent="0.25">
      <c r="A12" s="51" t="s">
        <v>78</v>
      </c>
      <c r="B12" s="52" t="s">
        <v>77</v>
      </c>
      <c r="C12" s="45">
        <f>+Tabla18[[#This Row],[PRECIO SUGERIDO INSTALADOR]]</f>
        <v>527853.05999999994</v>
      </c>
      <c r="D12" s="45">
        <f>+Tabla18[[#This Row],[PRECIO  INSTALADOR
( CON  IVA)]]-Tabla18[[#This Row],[dcto tienda]]</f>
        <v>501460.40699999995</v>
      </c>
      <c r="E12" s="45">
        <f>+Tabla18[[#This Row],[DPP ORO]]</f>
        <v>438814.88</v>
      </c>
      <c r="F12" s="45">
        <f>+Tabla18[[#This Row],[platino2]]</f>
        <v>434426.73119999998</v>
      </c>
      <c r="G12" s="45">
        <f>+Tabla18[[#This Row],[PRECIO  INSTALADOR
( CON  IVA)]]/0.7</f>
        <v>754075.79999999993</v>
      </c>
      <c r="H12" s="42"/>
      <c r="I12" s="13" t="e">
        <f t="shared" si="0"/>
        <v>#REF!</v>
      </c>
      <c r="J12" s="13" t="e">
        <f t="shared" si="1"/>
        <v>#REF!</v>
      </c>
      <c r="K12" s="15" t="e">
        <f t="shared" si="2"/>
        <v>#REF!</v>
      </c>
      <c r="L12" s="15" t="e">
        <f>+M12/#REF!</f>
        <v>#REF!</v>
      </c>
      <c r="M12" s="15">
        <f t="shared" si="3"/>
        <v>434426.73119999998</v>
      </c>
      <c r="N12" s="14">
        <f t="shared" si="4"/>
        <v>4388.1487999999999</v>
      </c>
      <c r="O12" s="13" t="e">
        <f>+P12/#REF!</f>
        <v>#REF!</v>
      </c>
      <c r="P12" s="31">
        <f>Tabla18[[#This Row],[ORO SIN IVA]]*1.19</f>
        <v>438814.88</v>
      </c>
      <c r="Q12" s="13" t="e">
        <f>+S12/#REF!</f>
        <v>#REF!</v>
      </c>
      <c r="R12" s="13">
        <f>+Tabla18[[#This Row],[PRECIO SUGERIDO INSTALADOR]]*5%</f>
        <v>26392.652999999998</v>
      </c>
      <c r="S12" s="28">
        <f>Tabla18[[#This Row],[INSTALLER SIN IVA]]*1.19</f>
        <v>527853.05999999994</v>
      </c>
      <c r="T12" s="29">
        <v>368752</v>
      </c>
      <c r="U12" s="29">
        <v>443573.99999999994</v>
      </c>
      <c r="X12" s="24"/>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5"/>
    </row>
    <row r="13" spans="1:126" ht="67.5" x14ac:dyDescent="0.25">
      <c r="A13" s="51" t="s">
        <v>80</v>
      </c>
      <c r="B13" s="52" t="s">
        <v>79</v>
      </c>
      <c r="C13" s="45">
        <f>+Tabla18[[#This Row],[PRECIO SUGERIDO INSTALADOR]]</f>
        <v>633441.76</v>
      </c>
      <c r="D13" s="45">
        <f>+Tabla18[[#This Row],[PRECIO  INSTALADOR
( CON  IVA)]]-Tabla18[[#This Row],[dcto tienda]]</f>
        <v>601769.67200000002</v>
      </c>
      <c r="E13" s="45">
        <f>+Tabla18[[#This Row],[DPP ORO]]</f>
        <v>526677.34</v>
      </c>
      <c r="F13" s="45">
        <f>+Tabla18[[#This Row],[platino2]]</f>
        <v>521410.56659999996</v>
      </c>
      <c r="G13" s="45">
        <f>+Tabla18[[#This Row],[PRECIO  INSTALADOR
( CON  IVA)]]/0.7</f>
        <v>904916.8</v>
      </c>
      <c r="H13" s="41"/>
      <c r="I13" s="13" t="e">
        <f t="shared" si="0"/>
        <v>#REF!</v>
      </c>
      <c r="J13" s="13" t="e">
        <f t="shared" si="1"/>
        <v>#REF!</v>
      </c>
      <c r="K13" s="15" t="e">
        <f t="shared" si="2"/>
        <v>#REF!</v>
      </c>
      <c r="L13" s="15" t="e">
        <f>+M13/#REF!</f>
        <v>#REF!</v>
      </c>
      <c r="M13" s="15">
        <f t="shared" si="3"/>
        <v>521410.56659999996</v>
      </c>
      <c r="N13" s="14">
        <f t="shared" si="4"/>
        <v>5266.7734</v>
      </c>
      <c r="O13" s="13" t="e">
        <f>+P13/#REF!</f>
        <v>#REF!</v>
      </c>
      <c r="P13" s="31">
        <f>Tabla18[[#This Row],[ORO SIN IVA]]*1.19</f>
        <v>526677.34</v>
      </c>
      <c r="Q13" s="13" t="e">
        <f>+S13/#REF!</f>
        <v>#REF!</v>
      </c>
      <c r="R13" s="13">
        <f>+Tabla18[[#This Row],[PRECIO SUGERIDO INSTALADOR]]*5%</f>
        <v>31672.088000000003</v>
      </c>
      <c r="S13" s="28">
        <f>Tabla18[[#This Row],[INSTALLER SIN IVA]]*1.19</f>
        <v>633441.76</v>
      </c>
      <c r="T13" s="30">
        <v>442586</v>
      </c>
      <c r="U13" s="30">
        <v>532304</v>
      </c>
      <c r="X13" s="24"/>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5"/>
    </row>
    <row r="14" spans="1:126" ht="148.5" x14ac:dyDescent="0.25">
      <c r="A14" s="53" t="s">
        <v>21</v>
      </c>
      <c r="B14" s="52" t="s">
        <v>141</v>
      </c>
      <c r="C14" s="45">
        <f>+Tabla18[[#This Row],[PRECIO SUGERIDO INSTALADOR]]</f>
        <v>712802.86</v>
      </c>
      <c r="D14" s="45">
        <f>+Tabla18[[#This Row],[PRECIO  INSTALADOR
( CON  IVA)]]-Tabla18[[#This Row],[dcto tienda]]</f>
        <v>677162.71699999995</v>
      </c>
      <c r="E14" s="45">
        <f>+Tabla18[[#This Row],[DPP ORO]]</f>
        <v>592653.31999999995</v>
      </c>
      <c r="F14" s="45">
        <f>+Tabla18[[#This Row],[platino2]]</f>
        <v>586726.7868</v>
      </c>
      <c r="G14" s="45">
        <f>+Tabla18[[#This Row],[PRECIO  INSTALADOR
( CON  IVA)]]/0.7</f>
        <v>1018289.8</v>
      </c>
      <c r="H14" s="41"/>
      <c r="I14" s="13" t="e">
        <f t="shared" si="0"/>
        <v>#REF!</v>
      </c>
      <c r="J14" s="13" t="e">
        <f t="shared" si="1"/>
        <v>#REF!</v>
      </c>
      <c r="K14" s="15" t="e">
        <f t="shared" si="2"/>
        <v>#REF!</v>
      </c>
      <c r="L14" s="15" t="e">
        <f>+M14/#REF!</f>
        <v>#REF!</v>
      </c>
      <c r="M14" s="15">
        <f t="shared" si="3"/>
        <v>586726.7868</v>
      </c>
      <c r="N14" s="14">
        <f t="shared" si="4"/>
        <v>5926.5331999999999</v>
      </c>
      <c r="O14" s="13" t="e">
        <f>+P14/#REF!</f>
        <v>#REF!</v>
      </c>
      <c r="P14" s="31">
        <f>Tabla18[[#This Row],[ORO SIN IVA]]*1.19</f>
        <v>592653.31999999995</v>
      </c>
      <c r="Q14" s="13" t="e">
        <f>+S14/#REF!</f>
        <v>#REF!</v>
      </c>
      <c r="R14" s="13">
        <f>+Tabla18[[#This Row],[PRECIO SUGERIDO INSTALADOR]]*5%</f>
        <v>35640.143000000004</v>
      </c>
      <c r="S14" s="28">
        <f>Tabla18[[#This Row],[INSTALLER SIN IVA]]*1.19</f>
        <v>712802.86</v>
      </c>
      <c r="T14" s="30">
        <v>498028</v>
      </c>
      <c r="U14" s="30">
        <v>598994</v>
      </c>
      <c r="X14" s="24"/>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5"/>
    </row>
    <row r="15" spans="1:126" ht="27" x14ac:dyDescent="0.25">
      <c r="A15" s="51" t="s">
        <v>127</v>
      </c>
      <c r="B15" s="52" t="s">
        <v>142</v>
      </c>
      <c r="C15" s="45">
        <f>+Tabla18[[#This Row],[PRECIO SUGERIDO INSTALADOR]]</f>
        <v>815135.72</v>
      </c>
      <c r="D15" s="45">
        <f>+Tabla18[[#This Row],[PRECIO  INSTALADOR
( CON  IVA)]]-Tabla18[[#This Row],[dcto tienda]]</f>
        <v>774378.93400000001</v>
      </c>
      <c r="E15" s="45">
        <f>+Tabla18[[#This Row],[DPP ORO]]</f>
        <v>677757.36</v>
      </c>
      <c r="F15" s="45">
        <f>+Tabla18[[#This Row],[platino2]]</f>
        <v>670979.78639999998</v>
      </c>
      <c r="G15" s="45">
        <f>+Tabla18[[#This Row],[PRECIO  INSTALADOR
( CON  IVA)]]/0.7</f>
        <v>1164479.6000000001</v>
      </c>
      <c r="H15" s="41"/>
      <c r="I15" s="13" t="e">
        <f t="shared" si="0"/>
        <v>#REF!</v>
      </c>
      <c r="J15" s="13" t="e">
        <f t="shared" si="1"/>
        <v>#REF!</v>
      </c>
      <c r="K15" s="15" t="e">
        <f t="shared" si="2"/>
        <v>#REF!</v>
      </c>
      <c r="L15" s="15" t="e">
        <f>+M15/#REF!</f>
        <v>#REF!</v>
      </c>
      <c r="M15" s="15">
        <f t="shared" si="3"/>
        <v>670979.78639999998</v>
      </c>
      <c r="N15" s="14">
        <f t="shared" si="4"/>
        <v>6777.5735999999997</v>
      </c>
      <c r="O15" s="13" t="e">
        <f>+P15/#REF!</f>
        <v>#REF!</v>
      </c>
      <c r="P15" s="31">
        <f>Tabla18[[#This Row],[ORO SIN IVA]]*1.19</f>
        <v>677757.36</v>
      </c>
      <c r="Q15" s="13" t="e">
        <f>+S15/#REF!</f>
        <v>#REF!</v>
      </c>
      <c r="R15" s="13">
        <f>+Tabla18[[#This Row],[PRECIO SUGERIDO INSTALADOR]]*5%</f>
        <v>40756.786</v>
      </c>
      <c r="S15" s="28">
        <f>Tabla18[[#This Row],[INSTALLER SIN IVA]]*1.19</f>
        <v>815135.72</v>
      </c>
      <c r="T15" s="30">
        <v>569544</v>
      </c>
      <c r="U15" s="30">
        <v>684988</v>
      </c>
      <c r="X15" s="24"/>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5"/>
    </row>
    <row r="16" spans="1:126" ht="27" x14ac:dyDescent="0.25">
      <c r="A16" s="51" t="s">
        <v>18</v>
      </c>
      <c r="B16" s="52" t="s">
        <v>143</v>
      </c>
      <c r="C16" s="45">
        <f>+Tabla18[[#This Row],[PRECIO SUGERIDO INSTALADOR]]</f>
        <v>830148.76</v>
      </c>
      <c r="D16" s="45">
        <f>+Tabla18[[#This Row],[PRECIO  INSTALADOR
( CON  IVA)]]-Tabla18[[#This Row],[dcto tienda]]</f>
        <v>788641.32200000004</v>
      </c>
      <c r="E16" s="45">
        <f>+Tabla18[[#This Row],[DPP ORO]]</f>
        <v>690192.86</v>
      </c>
      <c r="F16" s="45">
        <f>+Tabla18[[#This Row],[platino2]]</f>
        <v>683290.9314</v>
      </c>
      <c r="G16" s="45">
        <f>+Tabla18[[#This Row],[PRECIO  INSTALADOR
( CON  IVA)]]/0.7</f>
        <v>1185926.8</v>
      </c>
      <c r="H16" s="41"/>
      <c r="I16" s="13" t="e">
        <f t="shared" si="0"/>
        <v>#REF!</v>
      </c>
      <c r="J16" s="13" t="e">
        <f t="shared" si="1"/>
        <v>#REF!</v>
      </c>
      <c r="K16" s="15" t="e">
        <f t="shared" si="2"/>
        <v>#REF!</v>
      </c>
      <c r="L16" s="15" t="e">
        <f>+M16/#REF!</f>
        <v>#REF!</v>
      </c>
      <c r="M16" s="15">
        <f t="shared" si="3"/>
        <v>683290.9314</v>
      </c>
      <c r="N16" s="14">
        <f t="shared" si="4"/>
        <v>6901.9286000000002</v>
      </c>
      <c r="O16" s="13" t="e">
        <f>+P16/#REF!</f>
        <v>#REF!</v>
      </c>
      <c r="P16" s="31">
        <f>Tabla18[[#This Row],[ORO SIN IVA]]*1.19</f>
        <v>690192.86</v>
      </c>
      <c r="Q16" s="13" t="e">
        <f>+S16/#REF!</f>
        <v>#REF!</v>
      </c>
      <c r="R16" s="13">
        <f>+Tabla18[[#This Row],[PRECIO SUGERIDO INSTALADOR]]*5%</f>
        <v>41507.438000000002</v>
      </c>
      <c r="S16" s="28">
        <f>Tabla18[[#This Row],[INSTALLER SIN IVA]]*1.19</f>
        <v>830148.76</v>
      </c>
      <c r="T16" s="29">
        <v>579994</v>
      </c>
      <c r="U16" s="29">
        <v>697604</v>
      </c>
      <c r="X16" s="24"/>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5"/>
    </row>
    <row r="17" spans="1:126" ht="81" x14ac:dyDescent="0.25">
      <c r="A17" s="51" t="s">
        <v>120</v>
      </c>
      <c r="B17" s="52" t="s">
        <v>119</v>
      </c>
      <c r="C17" s="45">
        <f>+Tabla18[[#This Row],[PRECIO SUGERIDO INSTALADOR]]</f>
        <v>2186839.1999999997</v>
      </c>
      <c r="D17" s="45">
        <f>+Tabla18[[#This Row],[PRECIO  INSTALADOR
( CON  IVA)]]-Tabla18[[#This Row],[dcto tienda]]</f>
        <v>2077497.2399999998</v>
      </c>
      <c r="E17" s="45">
        <f>+Tabla18[[#This Row],[DPP ORO]]</f>
        <v>1925738.92</v>
      </c>
      <c r="F17" s="45">
        <f>+Tabla18[[#This Row],[platino2]]</f>
        <v>1906481.5307999998</v>
      </c>
      <c r="G17" s="45">
        <f>+Tabla18[[#This Row],[PRECIO  INSTALADOR
( CON  IVA)]]/0.7</f>
        <v>3124056</v>
      </c>
      <c r="H17" s="41"/>
      <c r="I17" s="13" t="e">
        <f t="shared" si="0"/>
        <v>#REF!</v>
      </c>
      <c r="J17" s="13" t="e">
        <f t="shared" si="1"/>
        <v>#REF!</v>
      </c>
      <c r="K17" s="15" t="e">
        <f t="shared" si="2"/>
        <v>#REF!</v>
      </c>
      <c r="L17" s="15" t="e">
        <f>+M17/#REF!</f>
        <v>#REF!</v>
      </c>
      <c r="M17" s="15">
        <f t="shared" si="3"/>
        <v>1906481.5307999998</v>
      </c>
      <c r="N17" s="14">
        <f t="shared" si="4"/>
        <v>19257.389200000001</v>
      </c>
      <c r="O17" s="13" t="e">
        <f>+P17/#REF!</f>
        <v>#REF!</v>
      </c>
      <c r="P17" s="31">
        <f>Tabla18[[#This Row],[ORO SIN IVA]]*1.19</f>
        <v>1925738.92</v>
      </c>
      <c r="Q17" s="13" t="e">
        <f>+S17/#REF!</f>
        <v>#REF!</v>
      </c>
      <c r="R17" s="13">
        <f>+Tabla18[[#This Row],[PRECIO SUGERIDO INSTALADOR]]*5%</f>
        <v>109341.95999999999</v>
      </c>
      <c r="S17" s="28">
        <f>Tabla18[[#This Row],[INSTALLER SIN IVA]]*1.19</f>
        <v>2186839.1999999997</v>
      </c>
      <c r="T17" s="30">
        <v>1618268</v>
      </c>
      <c r="U17" s="30">
        <v>1837679.9999999998</v>
      </c>
      <c r="X17" s="24"/>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5"/>
    </row>
    <row r="18" spans="1:126" ht="54" x14ac:dyDescent="0.25">
      <c r="A18" s="51" t="s">
        <v>24</v>
      </c>
      <c r="B18" s="52" t="s">
        <v>144</v>
      </c>
      <c r="C18" s="45">
        <f>+Tabla18[[#This Row],[PRECIO SUGERIDO INSTALADOR]]</f>
        <v>5765595.2199999997</v>
      </c>
      <c r="D18" s="45">
        <f>+Tabla18[[#This Row],[PRECIO  INSTALADOR
( CON  IVA)]]-Tabla18[[#This Row],[dcto tienda]]</f>
        <v>5477315.4589999998</v>
      </c>
      <c r="E18" s="45">
        <f>+Tabla18[[#This Row],[DPP ORO]]</f>
        <v>5077120.72</v>
      </c>
      <c r="F18" s="45">
        <f>+Tabla18[[#This Row],[platino2]]</f>
        <v>5026349.5127999997</v>
      </c>
      <c r="G18" s="45">
        <f>+Tabla18[[#This Row],[PRECIO  INSTALADOR
( CON  IVA)]]/0.7</f>
        <v>8236564.6000000006</v>
      </c>
      <c r="H18" s="40"/>
      <c r="I18" s="13" t="e">
        <f t="shared" si="0"/>
        <v>#REF!</v>
      </c>
      <c r="J18" s="13" t="e">
        <f t="shared" si="1"/>
        <v>#REF!</v>
      </c>
      <c r="K18" s="15" t="e">
        <f t="shared" si="2"/>
        <v>#REF!</v>
      </c>
      <c r="L18" s="15" t="e">
        <f>+M18/#REF!</f>
        <v>#REF!</v>
      </c>
      <c r="M18" s="15">
        <f t="shared" si="3"/>
        <v>5026349.5127999997</v>
      </c>
      <c r="N18" s="14">
        <f t="shared" si="4"/>
        <v>50771.207199999997</v>
      </c>
      <c r="O18" s="13" t="e">
        <f>+P18/#REF!</f>
        <v>#REF!</v>
      </c>
      <c r="P18" s="31">
        <f>Tabla18[[#This Row],[ORO SIN IVA]]*1.19</f>
        <v>5077120.72</v>
      </c>
      <c r="Q18" s="13" t="e">
        <f>+S18/#REF!</f>
        <v>#REF!</v>
      </c>
      <c r="R18" s="13">
        <f>+Tabla18[[#This Row],[PRECIO SUGERIDO INSTALADOR]]*5%</f>
        <v>288279.761</v>
      </c>
      <c r="S18" s="28">
        <f>Tabla18[[#This Row],[INSTALLER SIN IVA]]*1.19</f>
        <v>5765595.2199999997</v>
      </c>
      <c r="T18" s="30">
        <v>4266488</v>
      </c>
      <c r="U18" s="30">
        <v>4845038</v>
      </c>
      <c r="X18" s="24"/>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5"/>
    </row>
    <row r="19" spans="1:126" ht="54" x14ac:dyDescent="0.25">
      <c r="A19" s="51" t="s">
        <v>59</v>
      </c>
      <c r="B19" s="52" t="s">
        <v>58</v>
      </c>
      <c r="C19" s="45">
        <f>+Tabla18[[#This Row],[PRECIO SUGERIDO INSTALADOR]]</f>
        <v>533505.55999999994</v>
      </c>
      <c r="D19" s="45">
        <f>+Tabla18[[#This Row],[PRECIO  INSTALADOR
( CON  IVA)]]-Tabla18[[#This Row],[dcto tienda]]</f>
        <v>506830.28199999995</v>
      </c>
      <c r="E19" s="45">
        <f>+Tabla18[[#This Row],[DPP ORO]]</f>
        <v>443562.98</v>
      </c>
      <c r="F19" s="45">
        <f>+Tabla18[[#This Row],[platino2]]</f>
        <v>439127.35019999999</v>
      </c>
      <c r="G19" s="45">
        <f>+Tabla18[[#This Row],[PRECIO  INSTALADOR
( CON  IVA)]]/0.7</f>
        <v>762150.79999999993</v>
      </c>
      <c r="H19" s="40"/>
      <c r="I19" s="13" t="e">
        <f t="shared" si="0"/>
        <v>#REF!</v>
      </c>
      <c r="J19" s="13" t="e">
        <f t="shared" si="1"/>
        <v>#REF!</v>
      </c>
      <c r="K19" s="15" t="e">
        <f t="shared" si="2"/>
        <v>#REF!</v>
      </c>
      <c r="L19" s="15" t="e">
        <f>+M19/#REF!</f>
        <v>#REF!</v>
      </c>
      <c r="M19" s="15">
        <f t="shared" si="3"/>
        <v>439127.35019999999</v>
      </c>
      <c r="N19" s="14">
        <f t="shared" si="4"/>
        <v>4435.6297999999997</v>
      </c>
      <c r="O19" s="13" t="e">
        <f>+P19/#REF!</f>
        <v>#REF!</v>
      </c>
      <c r="P19" s="31">
        <f>Tabla18[[#This Row],[ORO SIN IVA]]*1.19</f>
        <v>443562.98</v>
      </c>
      <c r="Q19" s="13" t="e">
        <f>+S19/#REF!</f>
        <v>#REF!</v>
      </c>
      <c r="R19" s="13">
        <f>+Tabla18[[#This Row],[PRECIO SUGERIDO INSTALADOR]]*5%</f>
        <v>26675.277999999998</v>
      </c>
      <c r="S19" s="28">
        <f>Tabla18[[#This Row],[INSTALLER SIN IVA]]*1.19</f>
        <v>533505.55999999994</v>
      </c>
      <c r="T19" s="30">
        <v>372742</v>
      </c>
      <c r="U19" s="30">
        <v>448323.99999999994</v>
      </c>
      <c r="X19" s="24"/>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5"/>
    </row>
    <row r="20" spans="1:126" ht="81" x14ac:dyDescent="0.25">
      <c r="A20" s="51" t="s">
        <v>57</v>
      </c>
      <c r="B20" s="52" t="s">
        <v>56</v>
      </c>
      <c r="C20" s="45">
        <f>+Tabla18[[#This Row],[PRECIO SUGERIDO INSTALADOR]]</f>
        <v>1151029.8799999999</v>
      </c>
      <c r="D20" s="45">
        <f>+Tabla18[[#This Row],[PRECIO  INSTALADOR
( CON  IVA)]]-Tabla18[[#This Row],[dcto tienda]]</f>
        <v>1093478.3859999999</v>
      </c>
      <c r="E20" s="45">
        <f>+Tabla18[[#This Row],[DPP ORO]]</f>
        <v>980912.24</v>
      </c>
      <c r="F20" s="45">
        <f>+Tabla18[[#This Row],[platino2]]</f>
        <v>971103.1176</v>
      </c>
      <c r="G20" s="45">
        <f>+Tabla18[[#This Row],[PRECIO  INSTALADOR
( CON  IVA)]]/0.7</f>
        <v>1644328.4</v>
      </c>
      <c r="H20" s="40"/>
      <c r="I20" s="13" t="e">
        <f t="shared" si="0"/>
        <v>#REF!</v>
      </c>
      <c r="J20" s="13" t="e">
        <f t="shared" si="1"/>
        <v>#REF!</v>
      </c>
      <c r="K20" s="15" t="e">
        <f t="shared" si="2"/>
        <v>#REF!</v>
      </c>
      <c r="L20" s="15" t="e">
        <f>+M20/#REF!</f>
        <v>#REF!</v>
      </c>
      <c r="M20" s="15">
        <f t="shared" si="3"/>
        <v>971103.1176</v>
      </c>
      <c r="N20" s="14">
        <f t="shared" si="4"/>
        <v>9809.1224000000002</v>
      </c>
      <c r="O20" s="13" t="e">
        <f>+P20/#REF!</f>
        <v>#REF!</v>
      </c>
      <c r="P20" s="31">
        <f>Tabla18[[#This Row],[ORO SIN IVA]]*1.19</f>
        <v>980912.24</v>
      </c>
      <c r="Q20" s="13" t="e">
        <f>+S20/#REF!</f>
        <v>#REF!</v>
      </c>
      <c r="R20" s="13">
        <f>+Tabla18[[#This Row],[PRECIO SUGERIDO INSTALADOR]]*5%</f>
        <v>57551.493999999999</v>
      </c>
      <c r="S20" s="28">
        <f>Tabla18[[#This Row],[INSTALLER SIN IVA]]*1.19</f>
        <v>1151029.8799999999</v>
      </c>
      <c r="T20" s="30">
        <v>824296</v>
      </c>
      <c r="U20" s="30">
        <v>967252</v>
      </c>
      <c r="X20" s="24"/>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5"/>
    </row>
    <row r="21" spans="1:126" ht="54" x14ac:dyDescent="0.25">
      <c r="A21" s="51" t="s">
        <v>26</v>
      </c>
      <c r="B21" s="52" t="s">
        <v>25</v>
      </c>
      <c r="C21" s="45">
        <f>+Tabla18[[#This Row],[PRECIO SUGERIDO INSTALADOR]]</f>
        <v>263723.03999999998</v>
      </c>
      <c r="D21" s="45">
        <f>+Tabla18[[#This Row],[PRECIO  INSTALADOR
( CON  IVA)]]-Tabla18[[#This Row],[dcto tienda]]</f>
        <v>250536.88799999998</v>
      </c>
      <c r="E21" s="45">
        <f>+Tabla18[[#This Row],[DPP ORO]]</f>
        <v>219317</v>
      </c>
      <c r="F21" s="45">
        <f>+Tabla18[[#This Row],[platino2]]</f>
        <v>217123.83</v>
      </c>
      <c r="G21" s="45">
        <f>+Tabla18[[#This Row],[PRECIO  INSTALADOR
( CON  IVA)]]/0.7</f>
        <v>376747.2</v>
      </c>
      <c r="H21" s="41"/>
      <c r="I21" s="13" t="e">
        <f t="shared" si="0"/>
        <v>#REF!</v>
      </c>
      <c r="J21" s="13" t="e">
        <f t="shared" si="1"/>
        <v>#REF!</v>
      </c>
      <c r="K21" s="15" t="e">
        <f t="shared" si="2"/>
        <v>#REF!</v>
      </c>
      <c r="L21" s="15" t="e">
        <f>+M21/#REF!</f>
        <v>#REF!</v>
      </c>
      <c r="M21" s="15">
        <f t="shared" si="3"/>
        <v>217123.83</v>
      </c>
      <c r="N21" s="14">
        <f t="shared" si="4"/>
        <v>2193.17</v>
      </c>
      <c r="O21" s="13" t="e">
        <f>+P21/#REF!</f>
        <v>#REF!</v>
      </c>
      <c r="P21" s="28">
        <f>Tabla18[[#This Row],[ORO SIN IVA]]*1.19</f>
        <v>219317</v>
      </c>
      <c r="Q21" s="13" t="e">
        <f>+S21/#REF!</f>
        <v>#REF!</v>
      </c>
      <c r="R21" s="13">
        <f>+Tabla18[[#This Row],[PRECIO SUGERIDO INSTALADOR]]*5%</f>
        <v>13186.152</v>
      </c>
      <c r="S21" s="28">
        <f>Tabla18[[#This Row],[INSTALLER SIN IVA]]*1.19</f>
        <v>263723.03999999998</v>
      </c>
      <c r="T21" s="30">
        <v>184300</v>
      </c>
      <c r="U21" s="30">
        <v>221616</v>
      </c>
      <c r="X21" s="24"/>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5"/>
    </row>
    <row r="22" spans="1:126" ht="67.5" x14ac:dyDescent="0.25">
      <c r="A22" s="51" t="s">
        <v>89</v>
      </c>
      <c r="B22" s="52" t="s">
        <v>88</v>
      </c>
      <c r="C22" s="45">
        <f>+Tabla18[[#This Row],[PRECIO SUGERIDO INSTALADOR]]</f>
        <v>207198.03999999998</v>
      </c>
      <c r="D22" s="45">
        <f>+Tabla18[[#This Row],[PRECIO  INSTALADOR
( CON  IVA)]]-Tabla18[[#This Row],[dcto tienda]]</f>
        <v>196838.13799999998</v>
      </c>
      <c r="E22" s="45">
        <f>+Tabla18[[#This Row],[DPP ORO]]</f>
        <v>172242.97999999998</v>
      </c>
      <c r="F22" s="45">
        <f>+Tabla18[[#This Row],[platino2]]</f>
        <v>170520.55019999997</v>
      </c>
      <c r="G22" s="45">
        <f>+Tabla18[[#This Row],[PRECIO  INSTALADOR
( CON  IVA)]]/0.7</f>
        <v>295997.2</v>
      </c>
      <c r="H22" s="41"/>
      <c r="I22" s="13" t="e">
        <f t="shared" si="0"/>
        <v>#REF!</v>
      </c>
      <c r="J22" s="13" t="e">
        <f t="shared" si="1"/>
        <v>#REF!</v>
      </c>
      <c r="K22" s="15" t="e">
        <f t="shared" si="2"/>
        <v>#REF!</v>
      </c>
      <c r="L22" s="15" t="e">
        <f>+M22/#REF!</f>
        <v>#REF!</v>
      </c>
      <c r="M22" s="15">
        <f t="shared" si="3"/>
        <v>170520.55019999997</v>
      </c>
      <c r="N22" s="14">
        <f t="shared" si="4"/>
        <v>1722.4297999999999</v>
      </c>
      <c r="O22" s="13" t="e">
        <f>+P22/#REF!</f>
        <v>#REF!</v>
      </c>
      <c r="P22" s="28">
        <f>Tabla18[[#This Row],[ORO SIN IVA]]*1.19</f>
        <v>172242.97999999998</v>
      </c>
      <c r="Q22" s="13" t="e">
        <f>+S22/#REF!</f>
        <v>#REF!</v>
      </c>
      <c r="R22" s="13">
        <f>+Tabla18[[#This Row],[PRECIO SUGERIDO INSTALADOR]]*5%</f>
        <v>10359.902</v>
      </c>
      <c r="S22" s="28">
        <f>Tabla18[[#This Row],[INSTALLER SIN IVA]]*1.19</f>
        <v>207198.03999999998</v>
      </c>
      <c r="T22" s="30">
        <v>144742</v>
      </c>
      <c r="U22" s="30">
        <v>174116</v>
      </c>
      <c r="X22" s="24"/>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5"/>
    </row>
    <row r="23" spans="1:126" ht="67.5" x14ac:dyDescent="0.25">
      <c r="A23" s="51" t="s">
        <v>87</v>
      </c>
      <c r="B23" s="52" t="s">
        <v>86</v>
      </c>
      <c r="C23" s="45">
        <f>+Tabla18[[#This Row],[PRECIO SUGERIDO INSTALADOR]]</f>
        <v>207198.03999999998</v>
      </c>
      <c r="D23" s="45">
        <f>+Tabla18[[#This Row],[PRECIO  INSTALADOR
( CON  IVA)]]-Tabla18[[#This Row],[dcto tienda]]</f>
        <v>196838.13799999998</v>
      </c>
      <c r="E23" s="45">
        <f>+Tabla18[[#This Row],[DPP ORO]]</f>
        <v>172242.97999999998</v>
      </c>
      <c r="F23" s="45">
        <f>+Tabla18[[#This Row],[platino2]]</f>
        <v>170520.55019999997</v>
      </c>
      <c r="G23" s="45">
        <f>+Tabla18[[#This Row],[PRECIO  INSTALADOR
( CON  IVA)]]/0.7</f>
        <v>295997.2</v>
      </c>
      <c r="H23" s="41"/>
      <c r="I23" s="13" t="e">
        <f t="shared" si="0"/>
        <v>#REF!</v>
      </c>
      <c r="J23" s="13" t="e">
        <f t="shared" si="1"/>
        <v>#REF!</v>
      </c>
      <c r="K23" s="15" t="e">
        <f t="shared" si="2"/>
        <v>#REF!</v>
      </c>
      <c r="L23" s="15" t="e">
        <f>+M23/#REF!</f>
        <v>#REF!</v>
      </c>
      <c r="M23" s="15">
        <f t="shared" si="3"/>
        <v>170520.55019999997</v>
      </c>
      <c r="N23" s="14">
        <f t="shared" si="4"/>
        <v>1722.4297999999999</v>
      </c>
      <c r="O23" s="13" t="e">
        <f>+P23/#REF!</f>
        <v>#REF!</v>
      </c>
      <c r="P23" s="35">
        <f>Tabla18[[#This Row],[ORO SIN IVA]]*1.19</f>
        <v>172242.97999999998</v>
      </c>
      <c r="Q23" s="13" t="e">
        <f>+S23/#REF!</f>
        <v>#REF!</v>
      </c>
      <c r="R23" s="13">
        <f>+Tabla18[[#This Row],[PRECIO SUGERIDO INSTALADOR]]*5%</f>
        <v>10359.902</v>
      </c>
      <c r="S23" s="35">
        <f>Tabla18[[#This Row],[INSTALLER SIN IVA]]*1.19</f>
        <v>207198.03999999998</v>
      </c>
      <c r="T23" s="30">
        <v>144742</v>
      </c>
      <c r="U23" s="30">
        <v>174116</v>
      </c>
      <c r="X23" s="24"/>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5"/>
    </row>
    <row r="24" spans="1:126" ht="54" x14ac:dyDescent="0.25">
      <c r="A24" s="51" t="s">
        <v>90</v>
      </c>
      <c r="B24" s="52" t="s">
        <v>145</v>
      </c>
      <c r="C24" s="45">
        <f>+Tabla18[[#This Row],[PRECIO SUGERIDO INSTALADOR]]</f>
        <v>374331.16</v>
      </c>
      <c r="D24" s="45">
        <f>+Tabla18[[#This Row],[PRECIO  INSTALADOR
( CON  IVA)]]-Tabla18[[#This Row],[dcto tienda]]</f>
        <v>355614.60199999996</v>
      </c>
      <c r="E24" s="45">
        <f>+Tabla18[[#This Row],[DPP ORO]]</f>
        <v>311204.03999999998</v>
      </c>
      <c r="F24" s="45">
        <f>+Tabla18[[#This Row],[platino2]]</f>
        <v>308091.99959999998</v>
      </c>
      <c r="G24" s="45">
        <f>+Tabla18[[#This Row],[PRECIO  INSTALADOR
( CON  IVA)]]/0.7</f>
        <v>534758.80000000005</v>
      </c>
      <c r="H24" s="41"/>
      <c r="I24" s="13" t="e">
        <f t="shared" si="0"/>
        <v>#REF!</v>
      </c>
      <c r="J24" s="13" t="e">
        <f t="shared" si="1"/>
        <v>#REF!</v>
      </c>
      <c r="K24" s="15" t="e">
        <f t="shared" si="2"/>
        <v>#REF!</v>
      </c>
      <c r="L24" s="15" t="e">
        <f>+M24/#REF!</f>
        <v>#REF!</v>
      </c>
      <c r="M24" s="15">
        <f t="shared" si="3"/>
        <v>308091.99959999998</v>
      </c>
      <c r="N24" s="14">
        <f t="shared" si="4"/>
        <v>3112.0403999999999</v>
      </c>
      <c r="O24" s="13" t="e">
        <f>+P24/#REF!</f>
        <v>#REF!</v>
      </c>
      <c r="P24" s="14">
        <f>Tabla18[[#This Row],[ORO SIN IVA]]*1.19</f>
        <v>311204.03999999998</v>
      </c>
      <c r="Q24" s="13" t="e">
        <f>+S24/#REF!</f>
        <v>#REF!</v>
      </c>
      <c r="R24" s="13">
        <f>+Tabla18[[#This Row],[PRECIO SUGERIDO INSTALADOR]]*5%</f>
        <v>18716.558000000001</v>
      </c>
      <c r="S24" s="14">
        <f>Tabla18[[#This Row],[INSTALLER SIN IVA]]*1.19</f>
        <v>374331.16</v>
      </c>
      <c r="T24" s="30">
        <v>261516</v>
      </c>
      <c r="U24" s="30">
        <v>314564</v>
      </c>
      <c r="X24" s="24"/>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5"/>
    </row>
    <row r="25" spans="1:126" ht="54" x14ac:dyDescent="0.25">
      <c r="A25" s="51" t="s">
        <v>146</v>
      </c>
      <c r="B25" s="52" t="s">
        <v>147</v>
      </c>
      <c r="C25" s="45">
        <f>+Tabla18[[#This Row],[PRECIO SUGERIDO INSTALADOR]]</f>
        <v>319162.76</v>
      </c>
      <c r="D25" s="45">
        <f>+Tabla18[[#This Row],[PRECIO  INSTALADOR
( CON  IVA)]]-Tabla18[[#This Row],[dcto tienda]]</f>
        <v>303204.62200000003</v>
      </c>
      <c r="E25" s="45">
        <f>+Tabla18[[#This Row],[DPP ORO]]</f>
        <v>265305.74</v>
      </c>
      <c r="F25" s="45">
        <f>+Tabla18[[#This Row],[platino2]]</f>
        <v>262652.6826</v>
      </c>
      <c r="G25" s="45">
        <f>+Tabla18[[#This Row],[PRECIO  INSTALADOR
( CON  IVA)]]/0.7</f>
        <v>455946.80000000005</v>
      </c>
      <c r="H25" s="41"/>
      <c r="I25" s="13" t="e">
        <f t="shared" si="0"/>
        <v>#REF!</v>
      </c>
      <c r="J25" s="13" t="e">
        <f t="shared" si="1"/>
        <v>#REF!</v>
      </c>
      <c r="K25" s="15" t="e">
        <f t="shared" si="2"/>
        <v>#REF!</v>
      </c>
      <c r="L25" s="15" t="e">
        <f>+M25/#REF!</f>
        <v>#REF!</v>
      </c>
      <c r="M25" s="15">
        <f t="shared" si="3"/>
        <v>262652.6826</v>
      </c>
      <c r="N25" s="14">
        <f t="shared" si="4"/>
        <v>2653.0574000000001</v>
      </c>
      <c r="O25" s="13" t="e">
        <f>+P25/#REF!</f>
        <v>#REF!</v>
      </c>
      <c r="P25" s="14">
        <f>Tabla18[[#This Row],[ORO SIN IVA]]*1.19</f>
        <v>265305.74</v>
      </c>
      <c r="Q25" s="13" t="e">
        <f>+S25/#REF!</f>
        <v>#REF!</v>
      </c>
      <c r="R25" s="13">
        <f>+Tabla18[[#This Row],[PRECIO SUGERIDO INSTALADOR]]*5%</f>
        <v>15958.138000000001</v>
      </c>
      <c r="S25" s="14">
        <f>Tabla18[[#This Row],[INSTALLER SIN IVA]]*1.19</f>
        <v>319162.76</v>
      </c>
      <c r="T25" s="30">
        <v>222946</v>
      </c>
      <c r="U25" s="30">
        <v>268204</v>
      </c>
      <c r="X25" s="24"/>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5"/>
    </row>
    <row r="26" spans="1:126" ht="54" x14ac:dyDescent="0.25">
      <c r="A26" s="51" t="s">
        <v>123</v>
      </c>
      <c r="B26" s="52" t="s">
        <v>148</v>
      </c>
      <c r="C26" s="45">
        <f>+Tabla18[[#This Row],[PRECIO SUGERIDO INSTALADOR]]</f>
        <v>792435.27999999991</v>
      </c>
      <c r="D26" s="45">
        <f>+Tabla18[[#This Row],[PRECIO  INSTALADOR
( CON  IVA)]]-Tabla18[[#This Row],[dcto tienda]]</f>
        <v>752813.51599999995</v>
      </c>
      <c r="E26" s="45">
        <f>+Tabla18[[#This Row],[DPP ORO]]</f>
        <v>658764.96</v>
      </c>
      <c r="F26" s="45">
        <f>+Tabla18[[#This Row],[platino2]]</f>
        <v>652177.31039999996</v>
      </c>
      <c r="G26" s="45">
        <f>+Tabla18[[#This Row],[PRECIO  INSTALADOR
( CON  IVA)]]/0.7</f>
        <v>1132050.3999999999</v>
      </c>
      <c r="H26" s="41"/>
      <c r="I26" s="13" t="e">
        <f t="shared" si="0"/>
        <v>#REF!</v>
      </c>
      <c r="J26" s="13" t="e">
        <f t="shared" si="1"/>
        <v>#REF!</v>
      </c>
      <c r="K26" s="15" t="e">
        <f t="shared" si="2"/>
        <v>#REF!</v>
      </c>
      <c r="L26" s="15" t="e">
        <f>+M26/#REF!</f>
        <v>#REF!</v>
      </c>
      <c r="M26" s="15">
        <f t="shared" si="3"/>
        <v>652177.31039999996</v>
      </c>
      <c r="N26" s="14">
        <f t="shared" si="4"/>
        <v>6587.6495999999997</v>
      </c>
      <c r="O26" s="13" t="e">
        <f>+P26/#REF!</f>
        <v>#REF!</v>
      </c>
      <c r="P26" s="14">
        <f>Tabla18[[#This Row],[ORO SIN IVA]]*1.19</f>
        <v>658764.96</v>
      </c>
      <c r="Q26" s="13" t="e">
        <f>+S26/#REF!</f>
        <v>#REF!</v>
      </c>
      <c r="R26" s="13">
        <f>+Tabla18[[#This Row],[PRECIO SUGERIDO INSTALADOR]]*5%</f>
        <v>39621.763999999996</v>
      </c>
      <c r="S26" s="14">
        <f>Tabla18[[#This Row],[INSTALLER SIN IVA]]*1.19</f>
        <v>792435.27999999991</v>
      </c>
      <c r="T26" s="33">
        <v>553584</v>
      </c>
      <c r="U26" s="33">
        <v>665912</v>
      </c>
      <c r="X26" s="24"/>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5"/>
    </row>
    <row r="27" spans="1:126" ht="94.5" x14ac:dyDescent="0.25">
      <c r="A27" s="51" t="s">
        <v>149</v>
      </c>
      <c r="B27" s="52" t="s">
        <v>150</v>
      </c>
      <c r="C27" s="45">
        <f>+Tabla18[[#This Row],[PRECIO SUGERIDO INSTALADOR]]</f>
        <v>1083742.52</v>
      </c>
      <c r="D27" s="45">
        <f>+Tabla18[[#This Row],[PRECIO  INSTALADOR
( CON  IVA)]]-Tabla18[[#This Row],[dcto tienda]]</f>
        <v>1029555.394</v>
      </c>
      <c r="E27" s="45">
        <f>+Tabla18[[#This Row],[DPP ORO]]</f>
        <v>925110.76</v>
      </c>
      <c r="F27" s="45">
        <f>+Tabla18[[#This Row],[platino2]]</f>
        <v>915859.65240000002</v>
      </c>
      <c r="G27" s="45">
        <f>+Tabla18[[#This Row],[PRECIO  INSTALADOR
( CON  IVA)]]/0.7</f>
        <v>1548203.6</v>
      </c>
      <c r="H27" s="41"/>
      <c r="I27" s="13" t="e">
        <f t="shared" si="0"/>
        <v>#REF!</v>
      </c>
      <c r="J27" s="13" t="e">
        <f t="shared" si="1"/>
        <v>#REF!</v>
      </c>
      <c r="K27" s="15" t="e">
        <f t="shared" si="2"/>
        <v>#REF!</v>
      </c>
      <c r="L27" s="15" t="e">
        <f>+M27/#REF!</f>
        <v>#REF!</v>
      </c>
      <c r="M27" s="15">
        <f t="shared" si="3"/>
        <v>915859.65240000002</v>
      </c>
      <c r="N27" s="14">
        <f t="shared" si="4"/>
        <v>9251.1076000000012</v>
      </c>
      <c r="O27" s="13" t="e">
        <f>+P27/#REF!</f>
        <v>#REF!</v>
      </c>
      <c r="P27" s="31">
        <f>Tabla18[[#This Row],[ORO SIN IVA]]*1.19</f>
        <v>925110.76</v>
      </c>
      <c r="Q27" s="13" t="e">
        <f>+S27/#REF!</f>
        <v>#REF!</v>
      </c>
      <c r="R27" s="13">
        <f>+Tabla18[[#This Row],[PRECIO SUGERIDO INSTALADOR]]*5%</f>
        <v>54187.126000000004</v>
      </c>
      <c r="S27" s="28">
        <f>Tabla18[[#This Row],[INSTALLER SIN IVA]]*1.19</f>
        <v>1083742.52</v>
      </c>
      <c r="T27" s="30">
        <v>777404</v>
      </c>
      <c r="U27" s="30">
        <v>910708</v>
      </c>
      <c r="X27" s="24"/>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5"/>
    </row>
    <row r="28" spans="1:126" ht="27" x14ac:dyDescent="0.25">
      <c r="A28" s="51" t="s">
        <v>151</v>
      </c>
      <c r="B28" s="52" t="s">
        <v>152</v>
      </c>
      <c r="C28" s="45">
        <f>+Tabla18[[#This Row],[PRECIO SUGERIDO INSTALADOR]]</f>
        <v>1444643.3399999999</v>
      </c>
      <c r="D28" s="45">
        <f>+Tabla18[[#This Row],[PRECIO  INSTALADOR
( CON  IVA)]]-Tabla18[[#This Row],[dcto tienda]]</f>
        <v>1372411.173</v>
      </c>
      <c r="E28" s="45">
        <f>+Tabla18[[#This Row],[DPP ORO]]</f>
        <v>1201133.6399999999</v>
      </c>
      <c r="F28" s="45">
        <f>+Tabla18[[#This Row],[platino2]]</f>
        <v>1189122.3036</v>
      </c>
      <c r="G28" s="45">
        <f>+Tabla18[[#This Row],[PRECIO  INSTALADOR
( CON  IVA)]]/0.7</f>
        <v>2063776.2</v>
      </c>
      <c r="H28" s="40"/>
      <c r="I28" s="13" t="e">
        <f t="shared" si="0"/>
        <v>#REF!</v>
      </c>
      <c r="J28" s="13" t="e">
        <f t="shared" si="1"/>
        <v>#REF!</v>
      </c>
      <c r="K28" s="15" t="e">
        <f t="shared" si="2"/>
        <v>#REF!</v>
      </c>
      <c r="L28" s="15" t="e">
        <f>+M28/#REF!</f>
        <v>#REF!</v>
      </c>
      <c r="M28" s="15">
        <f t="shared" si="3"/>
        <v>1189122.3036</v>
      </c>
      <c r="N28" s="14">
        <f t="shared" si="4"/>
        <v>12011.336399999998</v>
      </c>
      <c r="O28" s="13" t="e">
        <f>+P28/#REF!</f>
        <v>#REF!</v>
      </c>
      <c r="P28" s="31">
        <f>Tabla18[[#This Row],[ORO SIN IVA]]*1.19</f>
        <v>1201133.6399999999</v>
      </c>
      <c r="Q28" s="13" t="e">
        <f>+S28/#REF!</f>
        <v>#REF!</v>
      </c>
      <c r="R28" s="13">
        <f>+Tabla18[[#This Row],[PRECIO SUGERIDO INSTALADOR]]*5%</f>
        <v>72232.167000000001</v>
      </c>
      <c r="S28" s="28">
        <f>Tabla18[[#This Row],[INSTALLER SIN IVA]]*1.19</f>
        <v>1444643.3399999999</v>
      </c>
      <c r="T28" s="30">
        <v>1009356</v>
      </c>
      <c r="U28" s="30">
        <v>1213986</v>
      </c>
      <c r="X28" s="24"/>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5"/>
    </row>
    <row r="29" spans="1:126" ht="54" x14ac:dyDescent="0.25">
      <c r="A29" s="51" t="s">
        <v>73</v>
      </c>
      <c r="B29" s="52" t="s">
        <v>72</v>
      </c>
      <c r="C29" s="45">
        <f>+Tabla18[[#This Row],[PRECIO SUGERIDO INSTALADOR]]</f>
        <v>231616.84</v>
      </c>
      <c r="D29" s="45">
        <f>+Tabla18[[#This Row],[PRECIO  INSTALADOR
( CON  IVA)]]-Tabla18[[#This Row],[dcto tienda]]</f>
        <v>220035.99799999999</v>
      </c>
      <c r="E29" s="45">
        <f>+Tabla18[[#This Row],[DPP ORO]]</f>
        <v>192546.75999999998</v>
      </c>
      <c r="F29" s="45">
        <f>+Tabla18[[#This Row],[platino2]]</f>
        <v>190621.29239999998</v>
      </c>
      <c r="G29" s="45">
        <f>+Tabla18[[#This Row],[PRECIO  INSTALADOR
( CON  IVA)]]/0.7</f>
        <v>330881.2</v>
      </c>
      <c r="H29" s="41"/>
      <c r="I29" s="13" t="e">
        <f t="shared" si="0"/>
        <v>#REF!</v>
      </c>
      <c r="J29" s="13" t="e">
        <f t="shared" si="1"/>
        <v>#REF!</v>
      </c>
      <c r="K29" s="15" t="e">
        <f t="shared" si="2"/>
        <v>#REF!</v>
      </c>
      <c r="L29" s="15" t="e">
        <f>+M29/#REF!</f>
        <v>#REF!</v>
      </c>
      <c r="M29" s="15">
        <f t="shared" si="3"/>
        <v>190621.29239999998</v>
      </c>
      <c r="N29" s="14">
        <f t="shared" si="4"/>
        <v>1925.4675999999999</v>
      </c>
      <c r="O29" s="13" t="e">
        <f>+P29/#REF!</f>
        <v>#REF!</v>
      </c>
      <c r="P29" s="31">
        <f>Tabla18[[#This Row],[ORO SIN IVA]]*1.19</f>
        <v>192546.75999999998</v>
      </c>
      <c r="Q29" s="13" t="e">
        <f>+S29/#REF!</f>
        <v>#REF!</v>
      </c>
      <c r="R29" s="13">
        <f>+Tabla18[[#This Row],[PRECIO SUGERIDO INSTALADOR]]*5%</f>
        <v>11580.842000000001</v>
      </c>
      <c r="S29" s="28">
        <f>Tabla18[[#This Row],[INSTALLER SIN IVA]]*1.19</f>
        <v>231616.84</v>
      </c>
      <c r="T29" s="30">
        <v>161804</v>
      </c>
      <c r="U29" s="30">
        <v>194636</v>
      </c>
      <c r="X29" s="24"/>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5"/>
    </row>
    <row r="30" spans="1:126" ht="54" x14ac:dyDescent="0.25">
      <c r="A30" s="51" t="s">
        <v>153</v>
      </c>
      <c r="B30" s="52" t="s">
        <v>154</v>
      </c>
      <c r="C30" s="45">
        <f>+Tabla18[[#This Row],[PRECIO SUGERIDO INSTALADOR]]</f>
        <v>139322.82</v>
      </c>
      <c r="D30" s="45">
        <f>+Tabla18[[#This Row],[PRECIO  INSTALADOR
( CON  IVA)]]-Tabla18[[#This Row],[dcto tienda]]</f>
        <v>132356.679</v>
      </c>
      <c r="E30" s="45">
        <f>+Tabla18[[#This Row],[DPP ORO]]</f>
        <v>118838.15999999999</v>
      </c>
      <c r="F30" s="45">
        <f>+Tabla18[[#This Row],[platino2]]</f>
        <v>117649.7784</v>
      </c>
      <c r="G30" s="45">
        <f>+Tabla18[[#This Row],[PRECIO  INSTALADOR
( CON  IVA)]]/0.7</f>
        <v>199032.60000000003</v>
      </c>
      <c r="H30" s="40"/>
      <c r="I30" s="13" t="e">
        <f t="shared" si="0"/>
        <v>#REF!</v>
      </c>
      <c r="J30" s="13" t="e">
        <f t="shared" si="1"/>
        <v>#REF!</v>
      </c>
      <c r="K30" s="15" t="e">
        <f t="shared" si="2"/>
        <v>#REF!</v>
      </c>
      <c r="L30" s="15" t="e">
        <f>+M30/#REF!</f>
        <v>#REF!</v>
      </c>
      <c r="M30" s="15">
        <f t="shared" si="3"/>
        <v>117649.7784</v>
      </c>
      <c r="N30" s="14">
        <f t="shared" si="4"/>
        <v>1188.3815999999999</v>
      </c>
      <c r="O30" s="13" t="e">
        <f>+P30/#REF!</f>
        <v>#REF!</v>
      </c>
      <c r="P30" s="31">
        <f>Tabla18[[#This Row],[ORO SIN IVA]]*1.19</f>
        <v>118838.15999999999</v>
      </c>
      <c r="Q30" s="13" t="e">
        <f>+S30/#REF!</f>
        <v>#REF!</v>
      </c>
      <c r="R30" s="13">
        <f>+Tabla18[[#This Row],[PRECIO SUGERIDO INSTALADOR]]*5%</f>
        <v>6966.1410000000005</v>
      </c>
      <c r="S30" s="28">
        <f>Tabla18[[#This Row],[INSTALLER SIN IVA]]*1.19</f>
        <v>139322.82</v>
      </c>
      <c r="T30" s="29">
        <v>99864</v>
      </c>
      <c r="U30" s="29">
        <v>117078.00000000001</v>
      </c>
      <c r="X30" s="24"/>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5"/>
    </row>
    <row r="31" spans="1:126" ht="40.5" x14ac:dyDescent="0.25">
      <c r="A31" s="51" t="s">
        <v>67</v>
      </c>
      <c r="B31" s="52" t="s">
        <v>66</v>
      </c>
      <c r="C31" s="45">
        <f>+Tabla18[[#This Row],[PRECIO SUGERIDO INSTALADOR]]</f>
        <v>1188743.3599999999</v>
      </c>
      <c r="D31" s="45">
        <f>+Tabla18[[#This Row],[PRECIO  INSTALADOR
( CON  IVA)]]-Tabla18[[#This Row],[dcto tienda]]</f>
        <v>1129306.1919999998</v>
      </c>
      <c r="E31" s="45">
        <f>+Tabla18[[#This Row],[DPP ORO]]</f>
        <v>988328.32</v>
      </c>
      <c r="F31" s="45">
        <f>+Tabla18[[#This Row],[platino2]]</f>
        <v>978445.0368</v>
      </c>
      <c r="G31" s="45">
        <f>+Tabla18[[#This Row],[PRECIO  INSTALADOR
( CON  IVA)]]/0.7</f>
        <v>1698204.7999999998</v>
      </c>
      <c r="H31" s="40"/>
      <c r="I31" s="13" t="e">
        <f t="shared" si="0"/>
        <v>#REF!</v>
      </c>
      <c r="J31" s="13" t="e">
        <f t="shared" si="1"/>
        <v>#REF!</v>
      </c>
      <c r="K31" s="15" t="e">
        <f t="shared" si="2"/>
        <v>#REF!</v>
      </c>
      <c r="L31" s="15" t="e">
        <f>+M31/#REF!</f>
        <v>#REF!</v>
      </c>
      <c r="M31" s="15">
        <f t="shared" si="3"/>
        <v>978445.0368</v>
      </c>
      <c r="N31" s="14">
        <f t="shared" si="4"/>
        <v>9883.2831999999999</v>
      </c>
      <c r="O31" s="13" t="e">
        <f>+P31/#REF!</f>
        <v>#REF!</v>
      </c>
      <c r="P31" s="31">
        <f>Tabla18[[#This Row],[ORO SIN IVA]]*1.19</f>
        <v>988328.32</v>
      </c>
      <c r="Q31" s="13" t="e">
        <f>+S31/#REF!</f>
        <v>#REF!</v>
      </c>
      <c r="R31" s="13">
        <f>+Tabla18[[#This Row],[PRECIO SUGERIDO INSTALADOR]]*5%</f>
        <v>59437.167999999998</v>
      </c>
      <c r="S31" s="28">
        <f>Tabla18[[#This Row],[INSTALLER SIN IVA]]*1.19</f>
        <v>1188743.3599999999</v>
      </c>
      <c r="T31" s="30">
        <v>830528</v>
      </c>
      <c r="U31" s="30">
        <v>998943.99999999988</v>
      </c>
      <c r="X31" s="24"/>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5"/>
    </row>
    <row r="32" spans="1:126" ht="27" x14ac:dyDescent="0.25">
      <c r="A32" s="51" t="s">
        <v>96</v>
      </c>
      <c r="B32" s="52" t="s">
        <v>95</v>
      </c>
      <c r="C32" s="45">
        <f>+Tabla18[[#This Row],[PRECIO SUGERIDO INSTALADOR]]</f>
        <v>559687.93999999994</v>
      </c>
      <c r="D32" s="45">
        <f>+Tabla18[[#This Row],[PRECIO  INSTALADOR
( CON  IVA)]]-Tabla18[[#This Row],[dcto tienda]]</f>
        <v>531703.54299999995</v>
      </c>
      <c r="E32" s="45">
        <f>+Tabla18[[#This Row],[DPP ORO]]</f>
        <v>465268.57999999996</v>
      </c>
      <c r="F32" s="45">
        <f>+Tabla18[[#This Row],[platino2]]</f>
        <v>460615.89419999998</v>
      </c>
      <c r="G32" s="45">
        <f>+Tabla18[[#This Row],[PRECIO  INSTALADOR
( CON  IVA)]]/0.7</f>
        <v>799554.2</v>
      </c>
      <c r="H32" s="43"/>
      <c r="I32" s="13" t="e">
        <f t="shared" si="0"/>
        <v>#REF!</v>
      </c>
      <c r="J32" s="13" t="e">
        <f t="shared" si="1"/>
        <v>#REF!</v>
      </c>
      <c r="K32" s="15" t="e">
        <f t="shared" si="2"/>
        <v>#REF!</v>
      </c>
      <c r="L32" s="15" t="e">
        <f>+M32/#REF!</f>
        <v>#REF!</v>
      </c>
      <c r="M32" s="15">
        <f t="shared" si="3"/>
        <v>460615.89419999998</v>
      </c>
      <c r="N32" s="14">
        <f t="shared" si="4"/>
        <v>4652.6857999999993</v>
      </c>
      <c r="O32" s="13" t="e">
        <f>+P32/#REF!</f>
        <v>#REF!</v>
      </c>
      <c r="P32" s="31">
        <f>Tabla18[[#This Row],[ORO SIN IVA]]*1.19</f>
        <v>465268.57999999996</v>
      </c>
      <c r="Q32" s="13" t="e">
        <f>+S32/#REF!</f>
        <v>#REF!</v>
      </c>
      <c r="R32" s="13">
        <f>+Tabla18[[#This Row],[PRECIO SUGERIDO INSTALADOR]]*5%</f>
        <v>27984.396999999997</v>
      </c>
      <c r="S32" s="28">
        <f>Tabla18[[#This Row],[INSTALLER SIN IVA]]*1.19</f>
        <v>559687.93999999994</v>
      </c>
      <c r="T32" s="29">
        <v>390982</v>
      </c>
      <c r="U32" s="29">
        <v>470326</v>
      </c>
      <c r="X32" s="24"/>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5"/>
    </row>
    <row r="33" spans="1:126" ht="27" x14ac:dyDescent="0.25">
      <c r="A33" s="51" t="s">
        <v>98</v>
      </c>
      <c r="B33" s="52" t="s">
        <v>97</v>
      </c>
      <c r="C33" s="45">
        <f>+Tabla18[[#This Row],[PRECIO SUGERIDO INSTALADOR]]</f>
        <v>516457.62</v>
      </c>
      <c r="D33" s="45">
        <f>+Tabla18[[#This Row],[PRECIO  INSTALADOR
( CON  IVA)]]-Tabla18[[#This Row],[dcto tienda]]</f>
        <v>490634.739</v>
      </c>
      <c r="E33" s="45">
        <f>+Tabla18[[#This Row],[DPP ORO]]</f>
        <v>429454.33999999997</v>
      </c>
      <c r="F33" s="45">
        <f>+Tabla18[[#This Row],[platino2]]</f>
        <v>425159.79659999994</v>
      </c>
      <c r="G33" s="45">
        <f>+Tabla18[[#This Row],[PRECIO  INSTALADOR
( CON  IVA)]]/0.7</f>
        <v>737796.60000000009</v>
      </c>
      <c r="H33" s="43"/>
      <c r="I33" s="13" t="e">
        <f t="shared" si="0"/>
        <v>#REF!</v>
      </c>
      <c r="J33" s="13" t="e">
        <f t="shared" si="1"/>
        <v>#REF!</v>
      </c>
      <c r="K33" s="15" t="e">
        <f t="shared" si="2"/>
        <v>#REF!</v>
      </c>
      <c r="L33" s="15" t="e">
        <f>+M33/#REF!</f>
        <v>#REF!</v>
      </c>
      <c r="M33" s="15">
        <f t="shared" si="3"/>
        <v>425159.79659999994</v>
      </c>
      <c r="N33" s="14">
        <f t="shared" si="4"/>
        <v>4294.5433999999996</v>
      </c>
      <c r="O33" s="13" t="e">
        <f>+P33/#REF!</f>
        <v>#REF!</v>
      </c>
      <c r="P33" s="31">
        <f>Tabla18[[#This Row],[ORO SIN IVA]]*1.19</f>
        <v>429454.33999999997</v>
      </c>
      <c r="Q33" s="13" t="e">
        <f>+S33/#REF!</f>
        <v>#REF!</v>
      </c>
      <c r="R33" s="13">
        <f>+Tabla18[[#This Row],[PRECIO SUGERIDO INSTALADOR]]*5%</f>
        <v>25822.881000000001</v>
      </c>
      <c r="S33" s="28">
        <f>Tabla18[[#This Row],[INSTALLER SIN IVA]]*1.19</f>
        <v>516457.62</v>
      </c>
      <c r="T33" s="30">
        <v>360886</v>
      </c>
      <c r="U33" s="30">
        <v>433998</v>
      </c>
      <c r="X33" s="24"/>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5"/>
    </row>
    <row r="34" spans="1:126" ht="54" x14ac:dyDescent="0.25">
      <c r="A34" s="51" t="s">
        <v>114</v>
      </c>
      <c r="B34" s="52" t="s">
        <v>113</v>
      </c>
      <c r="C34" s="45">
        <f>+Tabla18[[#This Row],[PRECIO SUGERIDO INSTALADOR]]</f>
        <v>922126.24</v>
      </c>
      <c r="D34" s="45">
        <f>+Tabla18[[#This Row],[PRECIO  INSTALADOR
( CON  IVA)]]-Tabla18[[#This Row],[dcto tienda]]</f>
        <v>876019.92799999996</v>
      </c>
      <c r="E34" s="45">
        <f>+Tabla18[[#This Row],[DPP ORO]]</f>
        <v>766667.02</v>
      </c>
      <c r="F34" s="45">
        <f>+Tabla18[[#This Row],[platino2]]</f>
        <v>759000.34979999997</v>
      </c>
      <c r="G34" s="45">
        <f>+Tabla18[[#This Row],[PRECIO  INSTALADOR
( CON  IVA)]]/0.7</f>
        <v>1317323.2000000002</v>
      </c>
      <c r="H34" s="40"/>
      <c r="I34" s="13" t="e">
        <f t="shared" ref="I34:I66" si="5">+Q34</f>
        <v>#REF!</v>
      </c>
      <c r="J34" s="13" t="e">
        <f t="shared" ref="J34:J66" si="6">+O34</f>
        <v>#REF!</v>
      </c>
      <c r="K34" s="15" t="e">
        <f t="shared" ref="K34:K66" si="7">+L34</f>
        <v>#REF!</v>
      </c>
      <c r="L34" s="15" t="e">
        <f>+M34/#REF!</f>
        <v>#REF!</v>
      </c>
      <c r="M34" s="15">
        <f t="shared" ref="M34:M66" si="8">+P34-N34</f>
        <v>759000.34979999997</v>
      </c>
      <c r="N34" s="14">
        <f t="shared" si="4"/>
        <v>7666.6702000000005</v>
      </c>
      <c r="O34" s="13" t="e">
        <f>+P34/#REF!</f>
        <v>#REF!</v>
      </c>
      <c r="P34" s="31">
        <f>Tabla18[[#This Row],[ORO SIN IVA]]*1.19</f>
        <v>766667.02</v>
      </c>
      <c r="Q34" s="13" t="e">
        <f>+S34/#REF!</f>
        <v>#REF!</v>
      </c>
      <c r="R34" s="13">
        <f>+Tabla18[[#This Row],[PRECIO SUGERIDO INSTALADOR]]*5%</f>
        <v>46106.312000000005</v>
      </c>
      <c r="S34" s="28">
        <f>Tabla18[[#This Row],[INSTALLER SIN IVA]]*1.19</f>
        <v>922126.24</v>
      </c>
      <c r="T34" s="30">
        <v>644258</v>
      </c>
      <c r="U34" s="30">
        <v>774896</v>
      </c>
      <c r="X34" s="24"/>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5"/>
    </row>
    <row r="35" spans="1:126" ht="40.5" x14ac:dyDescent="0.25">
      <c r="A35" s="51" t="s">
        <v>71</v>
      </c>
      <c r="B35" s="52" t="s">
        <v>70</v>
      </c>
      <c r="C35" s="45">
        <f>+Tabla18[[#This Row],[PRECIO SUGERIDO INSTALADOR]]</f>
        <v>838333.58</v>
      </c>
      <c r="D35" s="45">
        <f>+Tabla18[[#This Row],[PRECIO  INSTALADOR
( CON  IVA)]]-Tabla18[[#This Row],[dcto tienda]]</f>
        <v>796416.90099999995</v>
      </c>
      <c r="E35" s="45">
        <f>+Tabla18[[#This Row],[DPP ORO]]</f>
        <v>697292.4</v>
      </c>
      <c r="F35" s="45">
        <f>+Tabla18[[#This Row],[platino2]]</f>
        <v>690319.47600000002</v>
      </c>
      <c r="G35" s="45">
        <f>+Tabla18[[#This Row],[PRECIO  INSTALADOR
( CON  IVA)]]/0.7</f>
        <v>1197619.3999999999</v>
      </c>
      <c r="H35" s="40"/>
      <c r="I35" s="13" t="e">
        <f t="shared" si="5"/>
        <v>#REF!</v>
      </c>
      <c r="J35" s="13" t="e">
        <f t="shared" si="6"/>
        <v>#REF!</v>
      </c>
      <c r="K35" s="15" t="e">
        <f t="shared" si="7"/>
        <v>#REF!</v>
      </c>
      <c r="L35" s="15" t="e">
        <f>+M35/#REF!</f>
        <v>#REF!</v>
      </c>
      <c r="M35" s="15">
        <f t="shared" si="8"/>
        <v>690319.47600000002</v>
      </c>
      <c r="N35" s="14">
        <f t="shared" si="4"/>
        <v>6972.924</v>
      </c>
      <c r="O35" s="13" t="e">
        <f>+P35/#REF!</f>
        <v>#REF!</v>
      </c>
      <c r="P35" s="31">
        <f>Tabla18[[#This Row],[ORO SIN IVA]]*1.19</f>
        <v>697292.4</v>
      </c>
      <c r="Q35" s="13" t="e">
        <f>+S35/#REF!</f>
        <v>#REF!</v>
      </c>
      <c r="R35" s="13">
        <f>+Tabla18[[#This Row],[PRECIO SUGERIDO INSTALADOR]]*5%</f>
        <v>41916.679000000004</v>
      </c>
      <c r="S35" s="28">
        <f>Tabla18[[#This Row],[INSTALLER SIN IVA]]*1.19</f>
        <v>838333.58</v>
      </c>
      <c r="T35" s="30">
        <v>585960</v>
      </c>
      <c r="U35" s="30">
        <v>704482</v>
      </c>
      <c r="X35" s="24"/>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5"/>
    </row>
    <row r="36" spans="1:126" ht="40.5" x14ac:dyDescent="0.25">
      <c r="A36" s="51" t="s">
        <v>69</v>
      </c>
      <c r="B36" s="52" t="s">
        <v>68</v>
      </c>
      <c r="C36" s="45">
        <f>+Tabla18[[#This Row],[PRECIO SUGERIDO INSTALADOR]]</f>
        <v>1041100.0599999999</v>
      </c>
      <c r="D36" s="45">
        <f>+Tabla18[[#This Row],[PRECIO  INSTALADOR
( CON  IVA)]]-Tabla18[[#This Row],[dcto tienda]]</f>
        <v>989045.05699999991</v>
      </c>
      <c r="E36" s="45">
        <f>+Tabla18[[#This Row],[DPP ORO]]</f>
        <v>865917.77999999991</v>
      </c>
      <c r="F36" s="45">
        <f>+Tabla18[[#This Row],[platino2]]</f>
        <v>857258.60219999996</v>
      </c>
      <c r="G36" s="45">
        <f>+Tabla18[[#This Row],[PRECIO  INSTALADOR
( CON  IVA)]]/0.7</f>
        <v>1487285.8</v>
      </c>
      <c r="H36" s="41"/>
      <c r="I36" s="13" t="e">
        <f t="shared" si="5"/>
        <v>#REF!</v>
      </c>
      <c r="J36" s="13" t="e">
        <f t="shared" si="6"/>
        <v>#REF!</v>
      </c>
      <c r="K36" s="15" t="e">
        <f t="shared" si="7"/>
        <v>#REF!</v>
      </c>
      <c r="L36" s="15" t="e">
        <f>+M36/#REF!</f>
        <v>#REF!</v>
      </c>
      <c r="M36" s="15">
        <f t="shared" si="8"/>
        <v>857258.60219999996</v>
      </c>
      <c r="N36" s="14">
        <f t="shared" si="4"/>
        <v>8659.1777999999995</v>
      </c>
      <c r="O36" s="13" t="e">
        <f>+P36/#REF!</f>
        <v>#REF!</v>
      </c>
      <c r="P36" s="31">
        <f>Tabla18[[#This Row],[ORO SIN IVA]]*1.19</f>
        <v>865917.77999999991</v>
      </c>
      <c r="Q36" s="13" t="e">
        <f>+S36/#REF!</f>
        <v>#REF!</v>
      </c>
      <c r="R36" s="13">
        <f>+Tabla18[[#This Row],[PRECIO SUGERIDO INSTALADOR]]*5%</f>
        <v>52055.002999999997</v>
      </c>
      <c r="S36" s="28">
        <f>Tabla18[[#This Row],[INSTALLER SIN IVA]]*1.19</f>
        <v>1041100.0599999999</v>
      </c>
      <c r="T36" s="30">
        <v>727662</v>
      </c>
      <c r="U36" s="30">
        <v>874874</v>
      </c>
      <c r="X36" s="24"/>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5"/>
    </row>
    <row r="37" spans="1:126" ht="27" x14ac:dyDescent="0.25">
      <c r="A37" s="51" t="s">
        <v>61</v>
      </c>
      <c r="B37" s="52" t="s">
        <v>60</v>
      </c>
      <c r="C37" s="45">
        <f>+Tabla18[[#This Row],[PRECIO SUGERIDO INSTALADOR]]</f>
        <v>125711.59999999999</v>
      </c>
      <c r="D37" s="45">
        <f>+Tabla18[[#This Row],[PRECIO  INSTALADOR
( CON  IVA)]]-Tabla18[[#This Row],[dcto tienda]]</f>
        <v>119426.01999999999</v>
      </c>
      <c r="E37" s="45">
        <f>+Tabla18[[#This Row],[DPP ORO]]</f>
        <v>104548.64</v>
      </c>
      <c r="F37" s="45">
        <f>+Tabla18[[#This Row],[platino2]]</f>
        <v>103503.15360000001</v>
      </c>
      <c r="G37" s="45">
        <f>+Tabla18[[#This Row],[PRECIO  INSTALADOR
( CON  IVA)]]/0.7</f>
        <v>179588</v>
      </c>
      <c r="H37" s="40"/>
      <c r="I37" s="13" t="e">
        <f t="shared" si="5"/>
        <v>#REF!</v>
      </c>
      <c r="J37" s="13" t="e">
        <f t="shared" si="6"/>
        <v>#REF!</v>
      </c>
      <c r="K37" s="15" t="e">
        <f t="shared" si="7"/>
        <v>#REF!</v>
      </c>
      <c r="L37" s="15" t="e">
        <f>+M37/#REF!</f>
        <v>#REF!</v>
      </c>
      <c r="M37" s="15">
        <f t="shared" si="8"/>
        <v>103503.15360000001</v>
      </c>
      <c r="N37" s="14">
        <f t="shared" si="4"/>
        <v>1045.4864</v>
      </c>
      <c r="O37" s="13" t="e">
        <f>+P37/#REF!</f>
        <v>#REF!</v>
      </c>
      <c r="P37" s="31">
        <f>Tabla18[[#This Row],[ORO SIN IVA]]*1.19</f>
        <v>104548.64</v>
      </c>
      <c r="Q37" s="13" t="e">
        <f>+S37/#REF!</f>
        <v>#REF!</v>
      </c>
      <c r="R37" s="13">
        <f>+Tabla18[[#This Row],[PRECIO SUGERIDO INSTALADOR]]*5%</f>
        <v>6285.58</v>
      </c>
      <c r="S37" s="28">
        <f>Tabla18[[#This Row],[INSTALLER SIN IVA]]*1.19</f>
        <v>125711.59999999999</v>
      </c>
      <c r="T37" s="29">
        <v>87856</v>
      </c>
      <c r="U37" s="29">
        <v>105640</v>
      </c>
      <c r="X37" s="24"/>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5"/>
    </row>
    <row r="38" spans="1:126" ht="27" x14ac:dyDescent="0.25">
      <c r="A38" s="51" t="s">
        <v>63</v>
      </c>
      <c r="B38" s="52" t="s">
        <v>62</v>
      </c>
      <c r="C38" s="45">
        <f>+Tabla18[[#This Row],[PRECIO SUGERIDO INSTALADOR]]</f>
        <v>1169524.8599999999</v>
      </c>
      <c r="D38" s="45">
        <f>+Tabla18[[#This Row],[PRECIO  INSTALADOR
( CON  IVA)]]-Tabla18[[#This Row],[dcto tienda]]</f>
        <v>1111048.6169999999</v>
      </c>
      <c r="E38" s="45">
        <f>+Tabla18[[#This Row],[DPP ORO]]</f>
        <v>972365.65999999992</v>
      </c>
      <c r="F38" s="45">
        <f>+Tabla18[[#This Row],[platino2]]</f>
        <v>962642.00339999993</v>
      </c>
      <c r="G38" s="45">
        <f>+Tabla18[[#This Row],[PRECIO  INSTALADOR
( CON  IVA)]]/0.7</f>
        <v>1670749.7999999998</v>
      </c>
      <c r="H38" s="40"/>
      <c r="I38" s="13" t="e">
        <f t="shared" si="5"/>
        <v>#REF!</v>
      </c>
      <c r="J38" s="13" t="e">
        <f t="shared" si="6"/>
        <v>#REF!</v>
      </c>
      <c r="K38" s="15" t="e">
        <f t="shared" si="7"/>
        <v>#REF!</v>
      </c>
      <c r="L38" s="15" t="e">
        <f>+M38/#REF!</f>
        <v>#REF!</v>
      </c>
      <c r="M38" s="15">
        <f t="shared" si="8"/>
        <v>962642.00339999993</v>
      </c>
      <c r="N38" s="14">
        <f t="shared" si="4"/>
        <v>9723.6566000000003</v>
      </c>
      <c r="O38" s="13" t="e">
        <f>+P38/#REF!</f>
        <v>#REF!</v>
      </c>
      <c r="P38" s="31">
        <f>Tabla18[[#This Row],[ORO SIN IVA]]*1.19</f>
        <v>972365.65999999992</v>
      </c>
      <c r="Q38" s="13" t="e">
        <f>+S38/#REF!</f>
        <v>#REF!</v>
      </c>
      <c r="R38" s="13">
        <f>+Tabla18[[#This Row],[PRECIO SUGERIDO INSTALADOR]]*5%</f>
        <v>58476.242999999995</v>
      </c>
      <c r="S38" s="28">
        <f>Tabla18[[#This Row],[INSTALLER SIN IVA]]*1.19</f>
        <v>1169524.8599999999</v>
      </c>
      <c r="T38" s="29">
        <v>817114</v>
      </c>
      <c r="U38" s="29">
        <v>982793.99999999988</v>
      </c>
      <c r="X38" s="24"/>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5"/>
    </row>
    <row r="39" spans="1:126" x14ac:dyDescent="0.25">
      <c r="A39" s="51" t="s">
        <v>108</v>
      </c>
      <c r="B39" s="52" t="s">
        <v>107</v>
      </c>
      <c r="C39" s="45">
        <f>+Tabla18[[#This Row],[PRECIO SUGERIDO INSTALADOR]]</f>
        <v>237314.56</v>
      </c>
      <c r="D39" s="45">
        <f>+Tabla18[[#This Row],[PRECIO  INSTALADOR
( CON  IVA)]]-Tabla18[[#This Row],[dcto tienda]]</f>
        <v>225448.83199999999</v>
      </c>
      <c r="E39" s="45">
        <f>+Tabla18[[#This Row],[DPP ORO]]</f>
        <v>197294.86</v>
      </c>
      <c r="F39" s="45">
        <f>+Tabla18[[#This Row],[platino2]]</f>
        <v>195321.91139999998</v>
      </c>
      <c r="G39" s="45">
        <f>+Tabla18[[#This Row],[PRECIO  INSTALADOR
( CON  IVA)]]/0.7</f>
        <v>339020.80000000005</v>
      </c>
      <c r="H39" s="41"/>
      <c r="I39" s="13" t="e">
        <f t="shared" si="5"/>
        <v>#REF!</v>
      </c>
      <c r="J39" s="13" t="e">
        <f t="shared" si="6"/>
        <v>#REF!</v>
      </c>
      <c r="K39" s="15" t="e">
        <f t="shared" si="7"/>
        <v>#REF!</v>
      </c>
      <c r="L39" s="15" t="e">
        <f>+M39/#REF!</f>
        <v>#REF!</v>
      </c>
      <c r="M39" s="15">
        <f t="shared" si="8"/>
        <v>195321.91139999998</v>
      </c>
      <c r="N39" s="14">
        <f t="shared" si="4"/>
        <v>1972.9485999999999</v>
      </c>
      <c r="O39" s="13" t="e">
        <f>+P39/#REF!</f>
        <v>#REF!</v>
      </c>
      <c r="P39" s="31">
        <f>Tabla18[[#This Row],[ORO SIN IVA]]*1.19</f>
        <v>197294.86</v>
      </c>
      <c r="Q39" s="13" t="e">
        <f>+S39/#REF!</f>
        <v>#REF!</v>
      </c>
      <c r="R39" s="13">
        <f>+Tabla18[[#This Row],[PRECIO SUGERIDO INSTALADOR]]*5%</f>
        <v>11865.728000000001</v>
      </c>
      <c r="S39" s="28">
        <f>Tabla18[[#This Row],[INSTALLER SIN IVA]]*1.19</f>
        <v>237314.56</v>
      </c>
      <c r="T39" s="30">
        <v>165794</v>
      </c>
      <c r="U39" s="30">
        <v>199424</v>
      </c>
      <c r="X39" s="24"/>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5"/>
    </row>
    <row r="40" spans="1:126" ht="27" x14ac:dyDescent="0.25">
      <c r="A40" s="51" t="s">
        <v>110</v>
      </c>
      <c r="B40" s="52" t="s">
        <v>109</v>
      </c>
      <c r="C40" s="45">
        <f>+Tabla18[[#This Row],[PRECIO SUGERIDO INSTALADOR]]</f>
        <v>105317.37999999999</v>
      </c>
      <c r="D40" s="45">
        <f>+Tabla18[[#This Row],[PRECIO  INSTALADOR
( CON  IVA)]]-Tabla18[[#This Row],[dcto tienda]]</f>
        <v>100051.51099999998</v>
      </c>
      <c r="E40" s="45">
        <f>+Tabla18[[#This Row],[DPP ORO]]</f>
        <v>90711.319999999992</v>
      </c>
      <c r="F40" s="45">
        <f>+Tabla18[[#This Row],[platino2]]</f>
        <v>89804.206799999985</v>
      </c>
      <c r="G40" s="45">
        <f>+Tabla18[[#This Row],[PRECIO  INSTALADOR
( CON  IVA)]]/0.7</f>
        <v>150453.4</v>
      </c>
      <c r="H40" s="41"/>
      <c r="I40" s="13" t="e">
        <f t="shared" si="5"/>
        <v>#REF!</v>
      </c>
      <c r="J40" s="13" t="e">
        <f t="shared" si="6"/>
        <v>#REF!</v>
      </c>
      <c r="K40" s="15" t="e">
        <f t="shared" si="7"/>
        <v>#REF!</v>
      </c>
      <c r="L40" s="15" t="e">
        <f>+M40/#REF!</f>
        <v>#REF!</v>
      </c>
      <c r="M40" s="15">
        <f t="shared" si="8"/>
        <v>89804.206799999985</v>
      </c>
      <c r="N40" s="14">
        <f t="shared" ref="N40:N66" si="9">+P40*1%</f>
        <v>907.11319999999989</v>
      </c>
      <c r="O40" s="13" t="e">
        <f>+P40/#REF!</f>
        <v>#REF!</v>
      </c>
      <c r="P40" s="31">
        <f>Tabla18[[#This Row],[ORO SIN IVA]]*1.19</f>
        <v>90711.319999999992</v>
      </c>
      <c r="Q40" s="13" t="e">
        <f>+S40/#REF!</f>
        <v>#REF!</v>
      </c>
      <c r="R40" s="13">
        <f>+Tabla18[[#This Row],[PRECIO SUGERIDO INSTALADOR]]*5%</f>
        <v>5265.8689999999997</v>
      </c>
      <c r="S40" s="28">
        <f>Tabla18[[#This Row],[INSTALLER SIN IVA]]*1.19</f>
        <v>105317.37999999999</v>
      </c>
      <c r="T40" s="30">
        <v>76228</v>
      </c>
      <c r="U40" s="30">
        <v>88502</v>
      </c>
      <c r="X40" s="24"/>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5"/>
    </row>
    <row r="41" spans="1:126" ht="27" x14ac:dyDescent="0.25">
      <c r="A41" s="51" t="s">
        <v>112</v>
      </c>
      <c r="B41" s="52" t="s">
        <v>111</v>
      </c>
      <c r="C41" s="45">
        <f>+Tabla18[[#This Row],[PRECIO SUGERIDO INSTALADOR]]</f>
        <v>231616.84</v>
      </c>
      <c r="D41" s="45">
        <f>+Tabla18[[#This Row],[PRECIO  INSTALADOR
( CON  IVA)]]-Tabla18[[#This Row],[dcto tienda]]</f>
        <v>220035.99799999999</v>
      </c>
      <c r="E41" s="45">
        <f>+Tabla18[[#This Row],[DPP ORO]]</f>
        <v>211900.91999999998</v>
      </c>
      <c r="F41" s="45">
        <f>+Tabla18[[#This Row],[platino2]]</f>
        <v>209781.91079999998</v>
      </c>
      <c r="G41" s="45">
        <f>+Tabla18[[#This Row],[PRECIO  INSTALADOR
( CON  IVA)]]/0.7</f>
        <v>330881.2</v>
      </c>
      <c r="H41" s="41"/>
      <c r="I41" s="13" t="e">
        <f t="shared" si="5"/>
        <v>#REF!</v>
      </c>
      <c r="J41" s="13" t="e">
        <f t="shared" si="6"/>
        <v>#REF!</v>
      </c>
      <c r="K41" s="15" t="e">
        <f t="shared" si="7"/>
        <v>#REF!</v>
      </c>
      <c r="L41" s="15" t="e">
        <f>+M41/#REF!</f>
        <v>#REF!</v>
      </c>
      <c r="M41" s="15">
        <f t="shared" si="8"/>
        <v>209781.91079999998</v>
      </c>
      <c r="N41" s="14">
        <f t="shared" si="9"/>
        <v>2119.0092</v>
      </c>
      <c r="O41" s="13" t="e">
        <f>+P41/#REF!</f>
        <v>#REF!</v>
      </c>
      <c r="P41" s="31">
        <f>Tabla18[[#This Row],[ORO SIN IVA]]*1.19</f>
        <v>211900.91999999998</v>
      </c>
      <c r="Q41" s="13" t="e">
        <f>+S41/#REF!</f>
        <v>#REF!</v>
      </c>
      <c r="R41" s="13">
        <f>+Tabla18[[#This Row],[PRECIO SUGERIDO INSTALADOR]]*5%</f>
        <v>11580.842000000001</v>
      </c>
      <c r="S41" s="28">
        <f>Tabla18[[#This Row],[INSTALLER SIN IVA]]*1.19</f>
        <v>231616.84</v>
      </c>
      <c r="T41" s="29">
        <v>178068</v>
      </c>
      <c r="U41" s="29">
        <v>194636</v>
      </c>
      <c r="X41" s="24"/>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5"/>
    </row>
    <row r="42" spans="1:126" ht="27" x14ac:dyDescent="0.25">
      <c r="A42" s="51" t="s">
        <v>65</v>
      </c>
      <c r="B42" s="52" t="s">
        <v>64</v>
      </c>
      <c r="C42" s="45">
        <f>+Tabla18[[#This Row],[PRECIO SUGERIDO INSTALADOR]]</f>
        <v>78230.599999999991</v>
      </c>
      <c r="D42" s="45">
        <f>+Tabla18[[#This Row],[PRECIO  INSTALADOR
( CON  IVA)]]-Tabla18[[#This Row],[dcto tienda]]</f>
        <v>74319.069999999992</v>
      </c>
      <c r="E42" s="45">
        <f>+Tabla18[[#This Row],[DPP ORO]]</f>
        <v>67287.360000000001</v>
      </c>
      <c r="F42" s="45">
        <f>+Tabla18[[#This Row],[platino2]]</f>
        <v>66614.486399999994</v>
      </c>
      <c r="G42" s="45">
        <f>+Tabla18[[#This Row],[PRECIO  INSTALADOR
( CON  IVA)]]/0.7</f>
        <v>111758</v>
      </c>
      <c r="H42" s="41"/>
      <c r="I42" s="13" t="e">
        <f t="shared" si="5"/>
        <v>#REF!</v>
      </c>
      <c r="J42" s="13" t="e">
        <f t="shared" si="6"/>
        <v>#REF!</v>
      </c>
      <c r="K42" s="15" t="e">
        <f t="shared" si="7"/>
        <v>#REF!</v>
      </c>
      <c r="L42" s="15" t="e">
        <f>+M42/#REF!</f>
        <v>#REF!</v>
      </c>
      <c r="M42" s="15">
        <f t="shared" si="8"/>
        <v>66614.486399999994</v>
      </c>
      <c r="N42" s="14">
        <f t="shared" si="9"/>
        <v>672.87360000000001</v>
      </c>
      <c r="O42" s="13" t="e">
        <f>+P42/#REF!</f>
        <v>#REF!</v>
      </c>
      <c r="P42" s="31">
        <f>Tabla18[[#This Row],[ORO SIN IVA]]*1.19</f>
        <v>67287.360000000001</v>
      </c>
      <c r="Q42" s="13" t="e">
        <f>+S42/#REF!</f>
        <v>#REF!</v>
      </c>
      <c r="R42" s="13">
        <f>+Tabla18[[#This Row],[PRECIO SUGERIDO INSTALADOR]]*5%</f>
        <v>3911.5299999999997</v>
      </c>
      <c r="S42" s="28">
        <f>Tabla18[[#This Row],[INSTALLER SIN IVA]]*1.19</f>
        <v>78230.599999999991</v>
      </c>
      <c r="T42" s="30">
        <v>56544</v>
      </c>
      <c r="U42" s="30">
        <v>65740</v>
      </c>
      <c r="X42" s="24"/>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5"/>
    </row>
    <row r="43" spans="1:126" ht="27" x14ac:dyDescent="0.25">
      <c r="A43" s="51" t="s">
        <v>30</v>
      </c>
      <c r="B43" s="52" t="s">
        <v>29</v>
      </c>
      <c r="C43" s="45">
        <f>+Tabla18[[#This Row],[PRECIO SUGERIDO INSTALADOR]]</f>
        <v>35226.379999999997</v>
      </c>
      <c r="D43" s="45">
        <f>+Tabla18[[#This Row],[PRECIO  INSTALADOR
( CON  IVA)]]-Tabla18[[#This Row],[dcto tienda]]</f>
        <v>33465.060999999994</v>
      </c>
      <c r="E43" s="45">
        <f>+Tabla18[[#This Row],[DPP ORO]]</f>
        <v>30342.62</v>
      </c>
      <c r="F43" s="45">
        <f>+Tabla18[[#This Row],[platino2]]</f>
        <v>30039.193799999997</v>
      </c>
      <c r="G43" s="45">
        <f>+Tabla18[[#This Row],[PRECIO  INSTALADOR
( CON  IVA)]]/0.7</f>
        <v>50323.4</v>
      </c>
      <c r="H43" s="41"/>
      <c r="I43" s="13" t="e">
        <f t="shared" si="5"/>
        <v>#REF!</v>
      </c>
      <c r="J43" s="13" t="e">
        <f t="shared" si="6"/>
        <v>#REF!</v>
      </c>
      <c r="K43" s="15" t="e">
        <f t="shared" si="7"/>
        <v>#REF!</v>
      </c>
      <c r="L43" s="15" t="e">
        <f>+M43/#REF!</f>
        <v>#REF!</v>
      </c>
      <c r="M43" s="15">
        <f t="shared" si="8"/>
        <v>30039.193799999997</v>
      </c>
      <c r="N43" s="14">
        <f t="shared" si="9"/>
        <v>303.42619999999999</v>
      </c>
      <c r="O43" s="13" t="e">
        <f>+P43/#REF!</f>
        <v>#REF!</v>
      </c>
      <c r="P43" s="31">
        <f>Tabla18[[#This Row],[ORO SIN IVA]]*1.19</f>
        <v>30342.62</v>
      </c>
      <c r="Q43" s="13" t="e">
        <f>+S43/#REF!</f>
        <v>#REF!</v>
      </c>
      <c r="R43" s="13">
        <f>+Tabla18[[#This Row],[PRECIO SUGERIDO INSTALADOR]]*5%</f>
        <v>1761.319</v>
      </c>
      <c r="S43" s="28">
        <f>Tabla18[[#This Row],[INSTALLER SIN IVA]]*1.19</f>
        <v>35226.379999999997</v>
      </c>
      <c r="T43" s="30">
        <v>25498</v>
      </c>
      <c r="U43" s="30">
        <v>29602</v>
      </c>
      <c r="X43" s="24"/>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5"/>
    </row>
    <row r="44" spans="1:126" ht="27" x14ac:dyDescent="0.25">
      <c r="A44" s="51" t="s">
        <v>100</v>
      </c>
      <c r="B44" s="52" t="s">
        <v>99</v>
      </c>
      <c r="C44" s="45">
        <f>+Tabla18[[#This Row],[PRECIO SUGERIDO INSTALADOR]]</f>
        <v>25323.199999999997</v>
      </c>
      <c r="D44" s="45">
        <f>+Tabla18[[#This Row],[PRECIO  INSTALADOR
( CON  IVA)]]-Tabla18[[#This Row],[dcto tienda]]</f>
        <v>24057.039999999997</v>
      </c>
      <c r="E44" s="45">
        <f>+Tabla18[[#This Row],[DPP ORO]]</f>
        <v>21886.48</v>
      </c>
      <c r="F44" s="45">
        <f>+Tabla18[[#This Row],[platino2]]</f>
        <v>21667.6152</v>
      </c>
      <c r="G44" s="45">
        <f>+Tabla18[[#This Row],[PRECIO  INSTALADOR
( CON  IVA)]]/0.7</f>
        <v>36176</v>
      </c>
      <c r="H44" s="41"/>
      <c r="I44" s="13" t="e">
        <f t="shared" si="5"/>
        <v>#REF!</v>
      </c>
      <c r="J44" s="13" t="e">
        <f t="shared" si="6"/>
        <v>#REF!</v>
      </c>
      <c r="K44" s="15" t="e">
        <f t="shared" si="7"/>
        <v>#REF!</v>
      </c>
      <c r="L44" s="15" t="e">
        <f>+M44/#REF!</f>
        <v>#REF!</v>
      </c>
      <c r="M44" s="15">
        <f t="shared" si="8"/>
        <v>21667.6152</v>
      </c>
      <c r="N44" s="14">
        <f t="shared" si="9"/>
        <v>218.8648</v>
      </c>
      <c r="O44" s="13" t="e">
        <f>+P44/#REF!</f>
        <v>#REF!</v>
      </c>
      <c r="P44" s="31">
        <f>Tabla18[[#This Row],[ORO SIN IVA]]*1.19</f>
        <v>21886.48</v>
      </c>
      <c r="Q44" s="13" t="e">
        <f>+S44/#REF!</f>
        <v>#REF!</v>
      </c>
      <c r="R44" s="13">
        <f>+Tabla18[[#This Row],[PRECIO SUGERIDO INSTALADOR]]*5%</f>
        <v>1266.1599999999999</v>
      </c>
      <c r="S44" s="28">
        <f>Tabla18[[#This Row],[INSTALLER SIN IVA]]*1.19</f>
        <v>25323.199999999997</v>
      </c>
      <c r="T44" s="30">
        <v>18392</v>
      </c>
      <c r="U44" s="30">
        <v>21280</v>
      </c>
      <c r="X44" s="24"/>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5"/>
    </row>
    <row r="45" spans="1:126" x14ac:dyDescent="0.25">
      <c r="A45" s="51" t="s">
        <v>92</v>
      </c>
      <c r="B45" s="52" t="s">
        <v>91</v>
      </c>
      <c r="C45" s="45">
        <f>+Tabla18[[#This Row],[PRECIO SUGERIDO INSTALADOR]]</f>
        <v>58288.579999999994</v>
      </c>
      <c r="D45" s="45">
        <f>+Tabla18[[#This Row],[PRECIO  INSTALADOR
( CON  IVA)]]-Tabla18[[#This Row],[dcto tienda]]</f>
        <v>55374.150999999998</v>
      </c>
      <c r="E45" s="45">
        <f>+Tabla18[[#This Row],[DPP ORO]]</f>
        <v>50239.42</v>
      </c>
      <c r="F45" s="45">
        <f>+Tabla18[[#This Row],[platino2]]</f>
        <v>49737.025799999996</v>
      </c>
      <c r="G45" s="45">
        <f>+Tabla18[[#This Row],[PRECIO  INSTALADOR
( CON  IVA)]]/0.7</f>
        <v>83269.399999999994</v>
      </c>
      <c r="H45" s="41"/>
      <c r="I45" s="13" t="e">
        <f t="shared" si="5"/>
        <v>#REF!</v>
      </c>
      <c r="J45" s="13" t="e">
        <f t="shared" si="6"/>
        <v>#REF!</v>
      </c>
      <c r="K45" s="15" t="e">
        <f t="shared" si="7"/>
        <v>#REF!</v>
      </c>
      <c r="L45" s="15" t="e">
        <f>+M45/#REF!</f>
        <v>#REF!</v>
      </c>
      <c r="M45" s="15">
        <f t="shared" si="8"/>
        <v>49737.025799999996</v>
      </c>
      <c r="N45" s="14">
        <f t="shared" si="9"/>
        <v>502.39420000000001</v>
      </c>
      <c r="O45" s="13" t="e">
        <f>+P45/#REF!</f>
        <v>#REF!</v>
      </c>
      <c r="P45" s="31">
        <f>Tabla18[[#This Row],[ORO SIN IVA]]*1.19</f>
        <v>50239.42</v>
      </c>
      <c r="Q45" s="13" t="e">
        <f>+S45/#REF!</f>
        <v>#REF!</v>
      </c>
      <c r="R45" s="13">
        <f>+Tabla18[[#This Row],[PRECIO SUGERIDO INSTALADOR]]*5%</f>
        <v>2914.4290000000001</v>
      </c>
      <c r="S45" s="28">
        <f>Tabla18[[#This Row],[INSTALLER SIN IVA]]*1.19</f>
        <v>58288.579999999994</v>
      </c>
      <c r="T45" s="30">
        <v>42218</v>
      </c>
      <c r="U45" s="30">
        <v>48982</v>
      </c>
      <c r="X45" s="24"/>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5"/>
    </row>
    <row r="46" spans="1:126" ht="27" x14ac:dyDescent="0.25">
      <c r="A46" s="51" t="s">
        <v>28</v>
      </c>
      <c r="B46" s="52" t="s">
        <v>27</v>
      </c>
      <c r="C46" s="45">
        <f>+Tabla18[[#This Row],[PRECIO SUGERIDO INSTALADOR]]</f>
        <v>103599.01999999999</v>
      </c>
      <c r="D46" s="45">
        <f>+Tabla18[[#This Row],[PRECIO  INSTALADOR
( CON  IVA)]]-Tabla18[[#This Row],[dcto tienda]]</f>
        <v>98419.068999999989</v>
      </c>
      <c r="E46" s="45">
        <f>+Tabla18[[#This Row],[DPP ORO]]</f>
        <v>94871.56</v>
      </c>
      <c r="F46" s="45">
        <f>+Tabla18[[#This Row],[platino2]]</f>
        <v>93922.844400000002</v>
      </c>
      <c r="G46" s="45">
        <f>+Tabla18[[#This Row],[PRECIO  INSTALADOR
( CON  IVA)]]/0.7</f>
        <v>147998.6</v>
      </c>
      <c r="H46" s="41"/>
      <c r="I46" s="13" t="e">
        <f t="shared" si="5"/>
        <v>#REF!</v>
      </c>
      <c r="J46" s="13" t="e">
        <f t="shared" si="6"/>
        <v>#REF!</v>
      </c>
      <c r="K46" s="15" t="e">
        <f t="shared" si="7"/>
        <v>#REF!</v>
      </c>
      <c r="L46" s="15" t="e">
        <f>+M46/#REF!</f>
        <v>#REF!</v>
      </c>
      <c r="M46" s="15">
        <f t="shared" si="8"/>
        <v>93922.844400000002</v>
      </c>
      <c r="N46" s="14">
        <f t="shared" si="9"/>
        <v>948.71559999999999</v>
      </c>
      <c r="O46" s="13" t="e">
        <f>+P46/#REF!</f>
        <v>#REF!</v>
      </c>
      <c r="P46" s="31">
        <f>Tabla18[[#This Row],[ORO SIN IVA]]*1.19</f>
        <v>94871.56</v>
      </c>
      <c r="Q46" s="13" t="e">
        <f>+S46/#REF!</f>
        <v>#REF!</v>
      </c>
      <c r="R46" s="13">
        <f>+Tabla18[[#This Row],[PRECIO SUGERIDO INSTALADOR]]*5%</f>
        <v>5179.951</v>
      </c>
      <c r="S46" s="28">
        <f>Tabla18[[#This Row],[INSTALLER SIN IVA]]*1.19</f>
        <v>103599.01999999999</v>
      </c>
      <c r="T46" s="30">
        <v>79724</v>
      </c>
      <c r="U46" s="30">
        <v>87058</v>
      </c>
      <c r="X46" s="24"/>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5"/>
    </row>
    <row r="47" spans="1:126" ht="27" x14ac:dyDescent="0.25">
      <c r="A47" s="51" t="s">
        <v>116</v>
      </c>
      <c r="B47" s="52" t="s">
        <v>115</v>
      </c>
      <c r="C47" s="45">
        <f>+Tabla18[[#This Row],[PRECIO SUGERIDO INSTALADOR]]</f>
        <v>59464.299999999996</v>
      </c>
      <c r="D47" s="45">
        <f>+Tabla18[[#This Row],[PRECIO  INSTALADOR
( CON  IVA)]]-Tabla18[[#This Row],[dcto tienda]]</f>
        <v>56491.084999999992</v>
      </c>
      <c r="E47" s="45">
        <f>+Tabla18[[#This Row],[DPP ORO]]</f>
        <v>49470.68</v>
      </c>
      <c r="F47" s="45">
        <f>+Tabla18[[#This Row],[platino2]]</f>
        <v>48975.9732</v>
      </c>
      <c r="G47" s="45">
        <f>+Tabla18[[#This Row],[PRECIO  INSTALADOR
( CON  IVA)]]/0.7</f>
        <v>84949</v>
      </c>
      <c r="H47" s="41"/>
      <c r="I47" s="13" t="e">
        <f t="shared" si="5"/>
        <v>#REF!</v>
      </c>
      <c r="J47" s="13" t="e">
        <f t="shared" si="6"/>
        <v>#REF!</v>
      </c>
      <c r="K47" s="15" t="e">
        <f t="shared" si="7"/>
        <v>#REF!</v>
      </c>
      <c r="L47" s="15" t="e">
        <f>+M47/#REF!</f>
        <v>#REF!</v>
      </c>
      <c r="M47" s="15">
        <f t="shared" si="8"/>
        <v>48975.9732</v>
      </c>
      <c r="N47" s="14">
        <f t="shared" si="9"/>
        <v>494.70679999999999</v>
      </c>
      <c r="O47" s="13" t="e">
        <f>+P47/#REF!</f>
        <v>#REF!</v>
      </c>
      <c r="P47" s="31">
        <f>Tabla18[[#This Row],[ORO SIN IVA]]*1.19</f>
        <v>49470.68</v>
      </c>
      <c r="Q47" s="13" t="e">
        <f>+S47/#REF!</f>
        <v>#REF!</v>
      </c>
      <c r="R47" s="13">
        <f>+Tabla18[[#This Row],[PRECIO SUGERIDO INSTALADOR]]*5%</f>
        <v>2973.2150000000001</v>
      </c>
      <c r="S47" s="28">
        <f>Tabla18[[#This Row],[INSTALLER SIN IVA]]*1.19</f>
        <v>59464.299999999996</v>
      </c>
      <c r="T47" s="30">
        <v>41572</v>
      </c>
      <c r="U47" s="30">
        <v>49970</v>
      </c>
      <c r="X47" s="24"/>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5"/>
    </row>
    <row r="48" spans="1:126" ht="40.5" x14ac:dyDescent="0.25">
      <c r="A48" s="51" t="s">
        <v>76</v>
      </c>
      <c r="B48" s="52" t="s">
        <v>155</v>
      </c>
      <c r="C48" s="45">
        <f>+Tabla18[[#This Row],[PRECIO SUGERIDO INSTALADOR]]</f>
        <v>50872.5</v>
      </c>
      <c r="D48" s="45">
        <f>+Tabla18[[#This Row],[PRECIO  INSTALADOR
( CON  IVA)]]-Tabla18[[#This Row],[dcto tienda]]</f>
        <v>48328.875</v>
      </c>
      <c r="E48" s="45">
        <f>+Tabla18[[#This Row],[DPP ORO]]</f>
        <v>42280.7</v>
      </c>
      <c r="F48" s="45">
        <f>+Tabla18[[#This Row],[platino2]]</f>
        <v>41857.892999999996</v>
      </c>
      <c r="G48" s="45">
        <f>+Tabla18[[#This Row],[PRECIO  INSTALADOR
( CON  IVA)]]/0.7</f>
        <v>72675</v>
      </c>
      <c r="H48" s="41"/>
      <c r="I48" s="13" t="e">
        <f t="shared" si="5"/>
        <v>#REF!</v>
      </c>
      <c r="J48" s="13" t="e">
        <f t="shared" si="6"/>
        <v>#REF!</v>
      </c>
      <c r="K48" s="15" t="e">
        <f t="shared" si="7"/>
        <v>#REF!</v>
      </c>
      <c r="L48" s="15" t="e">
        <f>+M48/#REF!</f>
        <v>#REF!</v>
      </c>
      <c r="M48" s="15">
        <f t="shared" si="8"/>
        <v>41857.892999999996</v>
      </c>
      <c r="N48" s="14">
        <f t="shared" si="9"/>
        <v>422.80699999999996</v>
      </c>
      <c r="O48" s="13" t="e">
        <f>+P48/#REF!</f>
        <v>#REF!</v>
      </c>
      <c r="P48" s="31">
        <f>Tabla18[[#This Row],[ORO SIN IVA]]*1.19</f>
        <v>42280.7</v>
      </c>
      <c r="Q48" s="13" t="e">
        <f>+S48/#REF!</f>
        <v>#REF!</v>
      </c>
      <c r="R48" s="13">
        <f>+Tabla18[[#This Row],[PRECIO SUGERIDO INSTALADOR]]*5%</f>
        <v>2543.625</v>
      </c>
      <c r="S48" s="28">
        <f>Tabla18[[#This Row],[INSTALLER SIN IVA]]*1.19</f>
        <v>50872.5</v>
      </c>
      <c r="T48" s="30">
        <v>35530</v>
      </c>
      <c r="U48" s="30">
        <v>42750</v>
      </c>
      <c r="X48" s="24"/>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5"/>
    </row>
    <row r="49" spans="1:126" x14ac:dyDescent="0.25">
      <c r="A49" s="51" t="s">
        <v>118</v>
      </c>
      <c r="B49" s="52" t="s">
        <v>117</v>
      </c>
      <c r="C49" s="45">
        <f>+Tabla18[[#This Row],[PRECIO SUGERIDO INSTALADOR]]</f>
        <v>29664.32</v>
      </c>
      <c r="D49" s="45">
        <f>+Tabla18[[#This Row],[PRECIO  INSTALADOR
( CON  IVA)]]-Tabla18[[#This Row],[dcto tienda]]</f>
        <v>28181.103999999999</v>
      </c>
      <c r="E49" s="45">
        <f>+Tabla18[[#This Row],[DPP ORO]]</f>
        <v>24644.899999999998</v>
      </c>
      <c r="F49" s="45">
        <f>+Tabla18[[#This Row],[platino2]]</f>
        <v>24398.450999999997</v>
      </c>
      <c r="G49" s="45">
        <f>+Tabla18[[#This Row],[PRECIO  INSTALADOR
( CON  IVA)]]/0.7</f>
        <v>42377.600000000006</v>
      </c>
      <c r="H49" s="41"/>
      <c r="I49" s="13" t="e">
        <f t="shared" si="5"/>
        <v>#REF!</v>
      </c>
      <c r="J49" s="13" t="e">
        <f t="shared" si="6"/>
        <v>#REF!</v>
      </c>
      <c r="K49" s="15" t="e">
        <f t="shared" si="7"/>
        <v>#REF!</v>
      </c>
      <c r="L49" s="15" t="e">
        <f>+M49/#REF!</f>
        <v>#REF!</v>
      </c>
      <c r="M49" s="15">
        <f t="shared" si="8"/>
        <v>24398.450999999997</v>
      </c>
      <c r="N49" s="14">
        <f t="shared" si="9"/>
        <v>246.44899999999998</v>
      </c>
      <c r="O49" s="13" t="e">
        <f>+P49/#REF!</f>
        <v>#REF!</v>
      </c>
      <c r="P49" s="31">
        <f>Tabla18[[#This Row],[ORO SIN IVA]]*1.19</f>
        <v>24644.899999999998</v>
      </c>
      <c r="Q49" s="13" t="e">
        <f>+S49/#REF!</f>
        <v>#REF!</v>
      </c>
      <c r="R49" s="13">
        <f>+Tabla18[[#This Row],[PRECIO SUGERIDO INSTALADOR]]*5%</f>
        <v>1483.2160000000001</v>
      </c>
      <c r="S49" s="28">
        <f>Tabla18[[#This Row],[INSTALLER SIN IVA]]*1.19</f>
        <v>29664.32</v>
      </c>
      <c r="T49" s="30">
        <v>20710</v>
      </c>
      <c r="U49" s="30">
        <v>24928</v>
      </c>
      <c r="X49" s="24"/>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5"/>
    </row>
    <row r="50" spans="1:126" x14ac:dyDescent="0.25">
      <c r="A50" s="51" t="s">
        <v>156</v>
      </c>
      <c r="B50" s="52" t="s">
        <v>157</v>
      </c>
      <c r="C50" s="45">
        <f>+Tabla18[[#This Row],[PRECIO SUGERIDO INSTALADOR]]</f>
        <v>59464.299999999996</v>
      </c>
      <c r="D50" s="45">
        <f>+Tabla18[[#This Row],[PRECIO  INSTALADOR
( CON  IVA)]]-Tabla18[[#This Row],[dcto tienda]]</f>
        <v>56491.084999999992</v>
      </c>
      <c r="E50" s="45">
        <f>+Tabla18[[#This Row],[DPP ORO]]</f>
        <v>49470.68</v>
      </c>
      <c r="F50" s="45">
        <f>+Tabla18[[#This Row],[platino2]]</f>
        <v>48975.9732</v>
      </c>
      <c r="G50" s="45">
        <f>+Tabla18[[#This Row],[PRECIO  INSTALADOR
( CON  IVA)]]/0.7</f>
        <v>84949</v>
      </c>
      <c r="H50" s="41"/>
      <c r="I50" s="13" t="e">
        <f t="shared" si="5"/>
        <v>#REF!</v>
      </c>
      <c r="J50" s="13" t="e">
        <f t="shared" si="6"/>
        <v>#REF!</v>
      </c>
      <c r="K50" s="15" t="e">
        <f t="shared" si="7"/>
        <v>#REF!</v>
      </c>
      <c r="L50" s="15" t="e">
        <f>+M50/#REF!</f>
        <v>#REF!</v>
      </c>
      <c r="M50" s="15">
        <f t="shared" si="8"/>
        <v>48975.9732</v>
      </c>
      <c r="N50" s="14">
        <f t="shared" si="9"/>
        <v>494.70679999999999</v>
      </c>
      <c r="O50" s="13" t="e">
        <f>+P50/#REF!</f>
        <v>#REF!</v>
      </c>
      <c r="P50" s="31">
        <f>Tabla18[[#This Row],[ORO SIN IVA]]*1.19</f>
        <v>49470.68</v>
      </c>
      <c r="Q50" s="13" t="e">
        <f>+S50/#REF!</f>
        <v>#REF!</v>
      </c>
      <c r="R50" s="13">
        <f>+Tabla18[[#This Row],[PRECIO SUGERIDO INSTALADOR]]*5%</f>
        <v>2973.2150000000001</v>
      </c>
      <c r="S50" s="28">
        <f>Tabla18[[#This Row],[INSTALLER SIN IVA]]*1.19</f>
        <v>59464.299999999996</v>
      </c>
      <c r="T50" s="30">
        <v>41572</v>
      </c>
      <c r="U50" s="30">
        <v>49970</v>
      </c>
      <c r="X50" s="24"/>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5"/>
    </row>
    <row r="51" spans="1:126" x14ac:dyDescent="0.25">
      <c r="A51" s="51" t="s">
        <v>75</v>
      </c>
      <c r="B51" s="52" t="s">
        <v>74</v>
      </c>
      <c r="C51" s="45">
        <f>+Tabla18[[#This Row],[PRECIO SUGERIDO INSTALADOR]]</f>
        <v>62765.36</v>
      </c>
      <c r="D51" s="45">
        <f>+Tabla18[[#This Row],[PRECIO  INSTALADOR
( CON  IVA)]]-Tabla18[[#This Row],[dcto tienda]]</f>
        <v>59627.092000000004</v>
      </c>
      <c r="E51" s="45">
        <f>+Tabla18[[#This Row],[DPP ORO]]</f>
        <v>52229.1</v>
      </c>
      <c r="F51" s="45">
        <f>+Tabla18[[#This Row],[platino2]]</f>
        <v>51706.809000000001</v>
      </c>
      <c r="G51" s="45">
        <f>+Tabla18[[#This Row],[PRECIO  INSTALADOR
( CON  IVA)]]/0.7</f>
        <v>89664.8</v>
      </c>
      <c r="H51" s="41"/>
      <c r="I51" s="13" t="e">
        <f t="shared" si="5"/>
        <v>#REF!</v>
      </c>
      <c r="J51" s="13" t="e">
        <f t="shared" si="6"/>
        <v>#REF!</v>
      </c>
      <c r="K51" s="15" t="e">
        <f t="shared" si="7"/>
        <v>#REF!</v>
      </c>
      <c r="L51" s="15" t="e">
        <f>+M51/#REF!</f>
        <v>#REF!</v>
      </c>
      <c r="M51" s="15">
        <f t="shared" si="8"/>
        <v>51706.809000000001</v>
      </c>
      <c r="N51" s="14">
        <f t="shared" si="9"/>
        <v>522.29099999999994</v>
      </c>
      <c r="O51" s="13" t="e">
        <f>+P51/#REF!</f>
        <v>#REF!</v>
      </c>
      <c r="P51" s="31">
        <f>Tabla18[[#This Row],[ORO SIN IVA]]*1.19</f>
        <v>52229.1</v>
      </c>
      <c r="Q51" s="13" t="e">
        <f>+S51/#REF!</f>
        <v>#REF!</v>
      </c>
      <c r="R51" s="13">
        <f>+Tabla18[[#This Row],[PRECIO SUGERIDO INSTALADOR]]*5%</f>
        <v>3138.268</v>
      </c>
      <c r="S51" s="28">
        <f>Tabla18[[#This Row],[INSTALLER SIN IVA]]*1.19</f>
        <v>62765.36</v>
      </c>
      <c r="T51" s="30">
        <v>43890</v>
      </c>
      <c r="U51" s="30">
        <v>52744</v>
      </c>
      <c r="X51" s="24"/>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5"/>
    </row>
    <row r="52" spans="1:126" x14ac:dyDescent="0.25">
      <c r="A52" s="51" t="s">
        <v>158</v>
      </c>
      <c r="B52" s="52" t="s">
        <v>159</v>
      </c>
      <c r="C52" s="45">
        <f>+Tabla18[[#This Row],[PRECIO SUGERIDO INSTALADOR]]</f>
        <v>3979.3599999999997</v>
      </c>
      <c r="D52" s="45">
        <f>+Tabla18[[#This Row],[PRECIO  INSTALADOR
( CON  IVA)]]-Tabla18[[#This Row],[dcto tienda]]</f>
        <v>3780.3919999999998</v>
      </c>
      <c r="E52" s="45">
        <f>+Tabla18[[#This Row],[DPP ORO]]</f>
        <v>3255.8399999999997</v>
      </c>
      <c r="F52" s="45">
        <f>+Tabla18[[#This Row],[platino2]]</f>
        <v>3223.2815999999998</v>
      </c>
      <c r="G52" s="45">
        <f>+Tabla18[[#This Row],[PRECIO  INSTALADOR
( CON  IVA)]]/0.7</f>
        <v>5684.8</v>
      </c>
      <c r="H52" s="41"/>
      <c r="I52" s="13" t="e">
        <f t="shared" si="5"/>
        <v>#REF!</v>
      </c>
      <c r="J52" s="13" t="e">
        <f t="shared" si="6"/>
        <v>#REF!</v>
      </c>
      <c r="K52" s="15" t="e">
        <f t="shared" si="7"/>
        <v>#REF!</v>
      </c>
      <c r="L52" s="15" t="e">
        <f>+M52/#REF!</f>
        <v>#REF!</v>
      </c>
      <c r="M52" s="15">
        <f t="shared" si="8"/>
        <v>3223.2815999999998</v>
      </c>
      <c r="N52" s="14">
        <f t="shared" si="9"/>
        <v>32.558399999999999</v>
      </c>
      <c r="O52" s="13" t="e">
        <f>+P52/#REF!</f>
        <v>#REF!</v>
      </c>
      <c r="P52" s="31">
        <f>Tabla18[[#This Row],[ORO SIN IVA]]*1.19</f>
        <v>3255.8399999999997</v>
      </c>
      <c r="Q52" s="13" t="e">
        <f>+S52/#REF!</f>
        <v>#REF!</v>
      </c>
      <c r="R52" s="13">
        <f>+Tabla18[[#This Row],[PRECIO SUGERIDO INSTALADOR]]*5%</f>
        <v>198.96799999999999</v>
      </c>
      <c r="S52" s="28">
        <f>Tabla18[[#This Row],[INSTALLER SIN IVA]]*1.19</f>
        <v>3979.3599999999997</v>
      </c>
      <c r="T52" s="30">
        <v>2736</v>
      </c>
      <c r="U52" s="30">
        <v>3344</v>
      </c>
      <c r="X52" s="24"/>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5"/>
    </row>
    <row r="53" spans="1:126" ht="27" x14ac:dyDescent="0.25">
      <c r="A53" s="51" t="s">
        <v>122</v>
      </c>
      <c r="B53" s="52" t="s">
        <v>160</v>
      </c>
      <c r="C53" s="45">
        <f>+Tabla18[[#This Row],[PRECIO SUGERIDO INSTALADOR]]</f>
        <v>4657.66</v>
      </c>
      <c r="D53" s="45">
        <f>+Tabla18[[#This Row],[PRECIO  INSTALADOR
( CON  IVA)]]-Tabla18[[#This Row],[dcto tienda]]</f>
        <v>4424.777</v>
      </c>
      <c r="E53" s="45">
        <f>+Tabla18[[#This Row],[DPP ORO]]</f>
        <v>3843.7</v>
      </c>
      <c r="F53" s="45">
        <f>+Tabla18[[#This Row],[platino2]]</f>
        <v>3805.2629999999999</v>
      </c>
      <c r="G53" s="45">
        <f>+Tabla18[[#This Row],[PRECIO  INSTALADOR
( CON  IVA)]]/0.7</f>
        <v>6653.8</v>
      </c>
      <c r="H53" s="41"/>
      <c r="I53" s="13" t="e">
        <f t="shared" si="5"/>
        <v>#REF!</v>
      </c>
      <c r="J53" s="13" t="e">
        <f t="shared" si="6"/>
        <v>#REF!</v>
      </c>
      <c r="K53" s="15" t="e">
        <f t="shared" si="7"/>
        <v>#REF!</v>
      </c>
      <c r="L53" s="15" t="e">
        <f>+M53/#REF!</f>
        <v>#REF!</v>
      </c>
      <c r="M53" s="15">
        <f t="shared" si="8"/>
        <v>3805.2629999999999</v>
      </c>
      <c r="N53" s="14">
        <f t="shared" si="9"/>
        <v>38.436999999999998</v>
      </c>
      <c r="O53" s="13" t="e">
        <f>+P53/#REF!</f>
        <v>#REF!</v>
      </c>
      <c r="P53" s="31">
        <f>Tabla18[[#This Row],[ORO SIN IVA]]*1.19</f>
        <v>3843.7</v>
      </c>
      <c r="Q53" s="13" t="e">
        <f>+S53/#REF!</f>
        <v>#REF!</v>
      </c>
      <c r="R53" s="13">
        <f>+Tabla18[[#This Row],[PRECIO SUGERIDO INSTALADOR]]*5%</f>
        <v>232.88300000000001</v>
      </c>
      <c r="S53" s="28">
        <f>Tabla18[[#This Row],[INSTALLER SIN IVA]]*1.19</f>
        <v>4657.66</v>
      </c>
      <c r="T53" s="30">
        <v>3230</v>
      </c>
      <c r="U53" s="30">
        <v>3914</v>
      </c>
      <c r="X53" s="24"/>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5"/>
    </row>
    <row r="54" spans="1:126" ht="27" x14ac:dyDescent="0.25">
      <c r="A54" s="51" t="s">
        <v>43</v>
      </c>
      <c r="B54" s="52" t="s">
        <v>42</v>
      </c>
      <c r="C54" s="45">
        <f>+Tabla18[[#This Row],[PRECIO SUGERIDO INSTALADOR]]</f>
        <v>85556.239999999991</v>
      </c>
      <c r="D54" s="45">
        <f>+Tabla18[[#This Row],[PRECIO  INSTALADOR
( CON  IVA)]]-Tabla18[[#This Row],[dcto tienda]]</f>
        <v>81278.427999999985</v>
      </c>
      <c r="E54" s="45">
        <f>+Tabla18[[#This Row],[DPP ORO]]</f>
        <v>71085.84</v>
      </c>
      <c r="F54" s="45">
        <f>+Tabla18[[#This Row],[platino2]]</f>
        <v>70374.981599999999</v>
      </c>
      <c r="G54" s="45">
        <f>+Tabla18[[#This Row],[PRECIO  INSTALADOR
( CON  IVA)]]/0.7</f>
        <v>122223.2</v>
      </c>
      <c r="H54" s="41"/>
      <c r="I54" s="13" t="e">
        <f t="shared" si="5"/>
        <v>#REF!</v>
      </c>
      <c r="J54" s="13" t="e">
        <f t="shared" si="6"/>
        <v>#REF!</v>
      </c>
      <c r="K54" s="15" t="e">
        <f t="shared" si="7"/>
        <v>#REF!</v>
      </c>
      <c r="L54" s="15" t="e">
        <f>+M54/#REF!</f>
        <v>#REF!</v>
      </c>
      <c r="M54" s="15">
        <f t="shared" si="8"/>
        <v>70374.981599999999</v>
      </c>
      <c r="N54" s="14">
        <f t="shared" si="9"/>
        <v>710.85839999999996</v>
      </c>
      <c r="O54" s="13" t="e">
        <f>+P54/#REF!</f>
        <v>#REF!</v>
      </c>
      <c r="P54" s="34">
        <f>Tabla18[[#This Row],[ORO SIN IVA]]*1.19</f>
        <v>71085.84</v>
      </c>
      <c r="Q54" s="13" t="e">
        <f>+S54/#REF!</f>
        <v>#REF!</v>
      </c>
      <c r="R54" s="33">
        <f>+Tabla18[[#This Row],[PRECIO SUGERIDO INSTALADOR]]*5%</f>
        <v>4277.8119999999999</v>
      </c>
      <c r="S54" s="32">
        <f>Tabla18[[#This Row],[INSTALLER SIN IVA]]*1.19</f>
        <v>85556.239999999991</v>
      </c>
      <c r="T54" s="30">
        <v>59736</v>
      </c>
      <c r="U54" s="30">
        <v>71896</v>
      </c>
      <c r="X54" s="24"/>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5"/>
    </row>
    <row r="55" spans="1:126" ht="15" x14ac:dyDescent="0.25">
      <c r="A55" s="51" t="s">
        <v>33</v>
      </c>
      <c r="B55" s="52" t="s">
        <v>52</v>
      </c>
      <c r="C55" s="45">
        <f>+Tabla18[[#This Row],[PRECIO SUGERIDO INSTALADOR]]</f>
        <v>85556.239999999991</v>
      </c>
      <c r="D55" s="45">
        <f>+Tabla18[[#This Row],[PRECIO  INSTALADOR
( CON  IVA)]]-Tabla18[[#This Row],[dcto tienda]]</f>
        <v>81278.427999999985</v>
      </c>
      <c r="E55" s="45">
        <f>+Tabla18[[#This Row],[DPP ORO]]</f>
        <v>71085.84</v>
      </c>
      <c r="F55" s="45">
        <f>+Tabla18[[#This Row],[platino2]]</f>
        <v>70374.981599999999</v>
      </c>
      <c r="G55" s="45">
        <f>+Tabla18[[#This Row],[PRECIO  INSTALADOR
( CON  IVA)]]/0.7</f>
        <v>122223.2</v>
      </c>
      <c r="H55" s="40"/>
      <c r="I55" s="13" t="e">
        <f t="shared" si="5"/>
        <v>#REF!</v>
      </c>
      <c r="J55" s="13" t="e">
        <f t="shared" si="6"/>
        <v>#REF!</v>
      </c>
      <c r="K55" s="15" t="e">
        <f t="shared" si="7"/>
        <v>#REF!</v>
      </c>
      <c r="L55" s="15" t="e">
        <f>+M55/#REF!</f>
        <v>#REF!</v>
      </c>
      <c r="M55" s="15">
        <f t="shared" si="8"/>
        <v>70374.981599999999</v>
      </c>
      <c r="N55" s="14">
        <f t="shared" si="9"/>
        <v>710.85839999999996</v>
      </c>
      <c r="O55" s="13" t="e">
        <f>+P55/#REF!</f>
        <v>#REF!</v>
      </c>
      <c r="P55" s="31">
        <f>Tabla18[[#This Row],[ORO SIN IVA]]*1.19</f>
        <v>71085.84</v>
      </c>
      <c r="Q55" s="13" t="e">
        <f>+S55/#REF!</f>
        <v>#REF!</v>
      </c>
      <c r="R55" s="13">
        <f>+Tabla18[[#This Row],[PRECIO SUGERIDO INSTALADOR]]*5%</f>
        <v>4277.8119999999999</v>
      </c>
      <c r="S55" s="28">
        <f>Tabla18[[#This Row],[INSTALLER SIN IVA]]*1.19</f>
        <v>85556.239999999991</v>
      </c>
      <c r="T55" s="29">
        <v>59736</v>
      </c>
      <c r="U55" s="29">
        <v>71896</v>
      </c>
      <c r="X55" s="24"/>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5"/>
    </row>
    <row r="56" spans="1:126" ht="27" x14ac:dyDescent="0.25">
      <c r="A56" s="51" t="s">
        <v>37</v>
      </c>
      <c r="B56" s="52" t="s">
        <v>36</v>
      </c>
      <c r="C56" s="45">
        <f>+Tabla18[[#This Row],[PRECIO SUGERIDO INSTALADOR]]</f>
        <v>89761.7</v>
      </c>
      <c r="D56" s="45">
        <f>+Tabla18[[#This Row],[PRECIO  INSTALADOR
( CON  IVA)]]-Tabla18[[#This Row],[dcto tienda]]</f>
        <v>85273.614999999991</v>
      </c>
      <c r="E56" s="45">
        <f>+Tabla18[[#This Row],[DPP ORO]]</f>
        <v>74613</v>
      </c>
      <c r="F56" s="45">
        <f>+Tabla18[[#This Row],[platino2]]</f>
        <v>73866.87</v>
      </c>
      <c r="G56" s="45">
        <f>+Tabla18[[#This Row],[PRECIO  INSTALADOR
( CON  IVA)]]/0.7</f>
        <v>128231</v>
      </c>
      <c r="H56" s="40"/>
      <c r="I56" s="13" t="e">
        <f t="shared" si="5"/>
        <v>#REF!</v>
      </c>
      <c r="J56" s="13" t="e">
        <f t="shared" si="6"/>
        <v>#REF!</v>
      </c>
      <c r="K56" s="15" t="e">
        <f t="shared" si="7"/>
        <v>#REF!</v>
      </c>
      <c r="L56" s="15" t="e">
        <f>+M56/#REF!</f>
        <v>#REF!</v>
      </c>
      <c r="M56" s="15">
        <f t="shared" si="8"/>
        <v>73866.87</v>
      </c>
      <c r="N56" s="14">
        <f t="shared" si="9"/>
        <v>746.13</v>
      </c>
      <c r="O56" s="13" t="e">
        <f>+P56/#REF!</f>
        <v>#REF!</v>
      </c>
      <c r="P56" s="31">
        <f>Tabla18[[#This Row],[ORO SIN IVA]]*1.19</f>
        <v>74613</v>
      </c>
      <c r="Q56" s="13" t="e">
        <f>+S56/#REF!</f>
        <v>#REF!</v>
      </c>
      <c r="R56" s="13">
        <f>+Tabla18[[#This Row],[PRECIO SUGERIDO INSTALADOR]]*5%</f>
        <v>4488.085</v>
      </c>
      <c r="S56" s="28">
        <f>Tabla18[[#This Row],[INSTALLER SIN IVA]]*1.19</f>
        <v>89761.7</v>
      </c>
      <c r="T56" s="29">
        <v>62700</v>
      </c>
      <c r="U56" s="29">
        <v>75430</v>
      </c>
      <c r="X56" s="24"/>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5"/>
    </row>
    <row r="57" spans="1:126" ht="27" x14ac:dyDescent="0.25">
      <c r="A57" s="51" t="s">
        <v>51</v>
      </c>
      <c r="B57" s="52" t="s">
        <v>50</v>
      </c>
      <c r="C57" s="45">
        <f>+Tabla18[[#This Row],[PRECIO SUGERIDO INSTALADOR]]</f>
        <v>81305.56</v>
      </c>
      <c r="D57" s="45">
        <f>+Tabla18[[#This Row],[PRECIO  INSTALADOR
( CON  IVA)]]-Tabla18[[#This Row],[dcto tienda]]</f>
        <v>77240.281999999992</v>
      </c>
      <c r="E57" s="45">
        <f>+Tabla18[[#This Row],[DPP ORO]]</f>
        <v>67558.679999999993</v>
      </c>
      <c r="F57" s="45">
        <f>+Tabla18[[#This Row],[platino2]]</f>
        <v>66883.093199999988</v>
      </c>
      <c r="G57" s="45">
        <f>+Tabla18[[#This Row],[PRECIO  INSTALADOR
( CON  IVA)]]/0.7</f>
        <v>116150.8</v>
      </c>
      <c r="H57" s="40"/>
      <c r="I57" s="13" t="e">
        <f t="shared" si="5"/>
        <v>#REF!</v>
      </c>
      <c r="J57" s="13" t="e">
        <f t="shared" si="6"/>
        <v>#REF!</v>
      </c>
      <c r="K57" s="15" t="e">
        <f t="shared" si="7"/>
        <v>#REF!</v>
      </c>
      <c r="L57" s="15" t="e">
        <f>+M57/#REF!</f>
        <v>#REF!</v>
      </c>
      <c r="M57" s="15">
        <f t="shared" si="8"/>
        <v>66883.093199999988</v>
      </c>
      <c r="N57" s="14">
        <f t="shared" si="9"/>
        <v>675.58679999999993</v>
      </c>
      <c r="O57" s="13" t="e">
        <f>+P57/#REF!</f>
        <v>#REF!</v>
      </c>
      <c r="P57" s="31">
        <f>Tabla18[[#This Row],[ORO SIN IVA]]*1.19</f>
        <v>67558.679999999993</v>
      </c>
      <c r="Q57" s="13" t="e">
        <f>+S57/#REF!</f>
        <v>#REF!</v>
      </c>
      <c r="R57" s="13">
        <f>+Tabla18[[#This Row],[PRECIO SUGERIDO INSTALADOR]]*5%</f>
        <v>4065.2780000000002</v>
      </c>
      <c r="S57" s="28">
        <f>Tabla18[[#This Row],[INSTALLER SIN IVA]]*1.19</f>
        <v>81305.56</v>
      </c>
      <c r="T57" s="30">
        <v>56772</v>
      </c>
      <c r="U57" s="30">
        <v>68324</v>
      </c>
      <c r="X57" s="24"/>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5"/>
    </row>
    <row r="58" spans="1:126" x14ac:dyDescent="0.25">
      <c r="A58" s="51" t="s">
        <v>53</v>
      </c>
      <c r="B58" s="52" t="s">
        <v>52</v>
      </c>
      <c r="C58" s="45">
        <f>+Tabla18[[#This Row],[PRECIO SUGERIDO INSTALADOR]]</f>
        <v>83158.39</v>
      </c>
      <c r="D58" s="45">
        <f>+Tabla18[[#This Row],[PRECIO  INSTALADOR
( CON  IVA)]]-Tabla18[[#This Row],[dcto tienda]]</f>
        <v>79000.470499999996</v>
      </c>
      <c r="E58" s="45">
        <f>+Tabla18[[#This Row],[DPP ORO]]</f>
        <v>73508.679999999993</v>
      </c>
      <c r="F58" s="45">
        <f>+Tabla18[[#This Row],[platino2]]</f>
        <v>72773.593199999988</v>
      </c>
      <c r="G58" s="45">
        <f>+Tabla18[[#This Row],[PRECIO  INSTALADOR
( CON  IVA)]]/0.7</f>
        <v>118797.70000000001</v>
      </c>
      <c r="H58" s="40"/>
      <c r="I58" s="13" t="e">
        <f t="shared" si="5"/>
        <v>#REF!</v>
      </c>
      <c r="J58" s="13" t="e">
        <f t="shared" si="6"/>
        <v>#REF!</v>
      </c>
      <c r="K58" s="15" t="e">
        <f t="shared" si="7"/>
        <v>#REF!</v>
      </c>
      <c r="L58" s="15" t="e">
        <f>+M58/#REF!</f>
        <v>#REF!</v>
      </c>
      <c r="M58" s="15">
        <f t="shared" si="8"/>
        <v>72773.593199999988</v>
      </c>
      <c r="N58" s="14">
        <f t="shared" si="9"/>
        <v>735.08679999999993</v>
      </c>
      <c r="O58" s="13" t="e">
        <f>+P58/#REF!</f>
        <v>#REF!</v>
      </c>
      <c r="P58" s="28">
        <f>Tabla18[[#This Row],[ORO SIN IVA]]*1.19</f>
        <v>73508.679999999993</v>
      </c>
      <c r="Q58" s="13" t="e">
        <f>+S58/#REF!</f>
        <v>#REF!</v>
      </c>
      <c r="R58" s="13">
        <f>+Tabla18[[#This Row],[PRECIO SUGERIDO INSTALADOR]]*5%</f>
        <v>4157.9195</v>
      </c>
      <c r="S58" s="28">
        <f>Tabla18[[#This Row],[INSTALLER SIN IVA]]*1.19</f>
        <v>83158.39</v>
      </c>
      <c r="T58" s="30">
        <v>61772</v>
      </c>
      <c r="U58" s="30">
        <v>69881</v>
      </c>
      <c r="X58" s="24"/>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5"/>
    </row>
    <row r="59" spans="1:126" ht="27" x14ac:dyDescent="0.25">
      <c r="A59" s="51" t="s">
        <v>82</v>
      </c>
      <c r="B59" s="52" t="s">
        <v>81</v>
      </c>
      <c r="C59" s="45">
        <f>+Tabla18[[#This Row],[PRECIO SUGERIDO INSTALADOR]]</f>
        <v>98534.37999999999</v>
      </c>
      <c r="D59" s="45">
        <f>+Tabla18[[#This Row],[PRECIO  INSTALADOR
( CON  IVA)]]-Tabla18[[#This Row],[dcto tienda]]</f>
        <v>93607.660999999993</v>
      </c>
      <c r="E59" s="45">
        <f>+Tabla18[[#This Row],[DPP ORO]]</f>
        <v>81983.86</v>
      </c>
      <c r="F59" s="45">
        <f>+Tabla18[[#This Row],[platino2]]</f>
        <v>81164.021399999998</v>
      </c>
      <c r="G59" s="45">
        <f>+Tabla18[[#This Row],[PRECIO  INSTALADOR
( CON  IVA)]]/0.7</f>
        <v>140763.4</v>
      </c>
      <c r="H59" s="41"/>
      <c r="I59" s="13" t="e">
        <f t="shared" si="5"/>
        <v>#REF!</v>
      </c>
      <c r="J59" s="13" t="e">
        <f t="shared" si="6"/>
        <v>#REF!</v>
      </c>
      <c r="K59" s="15" t="e">
        <f t="shared" si="7"/>
        <v>#REF!</v>
      </c>
      <c r="L59" s="15" t="e">
        <f>+M59/#REF!</f>
        <v>#REF!</v>
      </c>
      <c r="M59" s="15">
        <f t="shared" si="8"/>
        <v>81164.021399999998</v>
      </c>
      <c r="N59" s="14">
        <f t="shared" si="9"/>
        <v>819.83860000000004</v>
      </c>
      <c r="O59" s="13" t="e">
        <f>+P59/#REF!</f>
        <v>#REF!</v>
      </c>
      <c r="P59" s="28">
        <f>Tabla18[[#This Row],[ORO SIN IVA]]*1.19</f>
        <v>81983.86</v>
      </c>
      <c r="Q59" s="13" t="e">
        <f>+S59/#REF!</f>
        <v>#REF!</v>
      </c>
      <c r="R59" s="13">
        <f>+Tabla18[[#This Row],[PRECIO SUGERIDO INSTALADOR]]*5%</f>
        <v>4926.7190000000001</v>
      </c>
      <c r="S59" s="28">
        <f>Tabla18[[#This Row],[INSTALLER SIN IVA]]*1.19</f>
        <v>98534.37999999999</v>
      </c>
      <c r="T59" s="29">
        <v>68894</v>
      </c>
      <c r="U59" s="29">
        <v>82802</v>
      </c>
      <c r="X59" s="24"/>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5"/>
    </row>
    <row r="60" spans="1:126" x14ac:dyDescent="0.25">
      <c r="A60" s="51" t="s">
        <v>49</v>
      </c>
      <c r="B60" s="52" t="s">
        <v>48</v>
      </c>
      <c r="C60" s="45">
        <f>+Tabla18[[#This Row],[PRECIO SUGERIDO INSTALADOR]]</f>
        <v>84109.2</v>
      </c>
      <c r="D60" s="45">
        <f>+Tabla18[[#This Row],[PRECIO  INSTALADOR
( CON  IVA)]]-Tabla18[[#This Row],[dcto tienda]]</f>
        <v>79903.739999999991</v>
      </c>
      <c r="E60" s="45">
        <f>+Tabla18[[#This Row],[DPP ORO]]</f>
        <v>69955.34</v>
      </c>
      <c r="F60" s="45">
        <f>+Tabla18[[#This Row],[platino2]]</f>
        <v>69255.786599999992</v>
      </c>
      <c r="G60" s="45">
        <f>+Tabla18[[#This Row],[PRECIO  INSTALADOR
( CON  IVA)]]/0.7</f>
        <v>120156</v>
      </c>
      <c r="H60" s="41"/>
      <c r="I60" s="13" t="e">
        <f t="shared" si="5"/>
        <v>#REF!</v>
      </c>
      <c r="J60" s="13" t="e">
        <f t="shared" si="6"/>
        <v>#REF!</v>
      </c>
      <c r="K60" s="15" t="e">
        <f t="shared" si="7"/>
        <v>#REF!</v>
      </c>
      <c r="L60" s="15" t="e">
        <f>+M60/#REF!</f>
        <v>#REF!</v>
      </c>
      <c r="M60" s="15">
        <f t="shared" si="8"/>
        <v>69255.786599999992</v>
      </c>
      <c r="N60" s="14">
        <f t="shared" si="9"/>
        <v>699.55340000000001</v>
      </c>
      <c r="O60" s="13" t="e">
        <f>+P60/#REF!</f>
        <v>#REF!</v>
      </c>
      <c r="P60" s="28">
        <f>Tabla18[[#This Row],[ORO SIN IVA]]*1.19</f>
        <v>69955.34</v>
      </c>
      <c r="Q60" s="13" t="e">
        <f>+S60/#REF!</f>
        <v>#REF!</v>
      </c>
      <c r="R60" s="13">
        <f>+Tabla18[[#This Row],[PRECIO SUGERIDO INSTALADOR]]*5%</f>
        <v>4205.46</v>
      </c>
      <c r="S60" s="28">
        <f>Tabla18[[#This Row],[INSTALLER SIN IVA]]*1.19</f>
        <v>84109.2</v>
      </c>
      <c r="T60" s="30">
        <v>58786</v>
      </c>
      <c r="U60" s="30">
        <v>70680</v>
      </c>
      <c r="X60" s="24"/>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5"/>
    </row>
    <row r="61" spans="1:126" x14ac:dyDescent="0.25">
      <c r="A61" s="51" t="s">
        <v>47</v>
      </c>
      <c r="B61" s="52" t="s">
        <v>46</v>
      </c>
      <c r="C61" s="45">
        <f>+Tabla18[[#This Row],[PRECIO SUGERIDO INSTALADOR]]</f>
        <v>115039.67999999999</v>
      </c>
      <c r="D61" s="45">
        <f>+Tabla18[[#This Row],[PRECIO  INSTALADOR
( CON  IVA)]]-Tabla18[[#This Row],[dcto tienda]]</f>
        <v>109287.696</v>
      </c>
      <c r="E61" s="45">
        <f>+Tabla18[[#This Row],[DPP ORO]]</f>
        <v>95640.3</v>
      </c>
      <c r="F61" s="45">
        <f>+Tabla18[[#This Row],[platino2]]</f>
        <v>94683.896999999997</v>
      </c>
      <c r="G61" s="45">
        <f>+Tabla18[[#This Row],[PRECIO  INSTALADOR
( CON  IVA)]]/0.7</f>
        <v>164342.39999999999</v>
      </c>
      <c r="H61" s="41"/>
      <c r="I61" s="13" t="e">
        <f t="shared" si="5"/>
        <v>#REF!</v>
      </c>
      <c r="J61" s="13" t="e">
        <f t="shared" si="6"/>
        <v>#REF!</v>
      </c>
      <c r="K61" s="15" t="e">
        <f t="shared" si="7"/>
        <v>#REF!</v>
      </c>
      <c r="L61" s="15" t="e">
        <f>+M61/#REF!</f>
        <v>#REF!</v>
      </c>
      <c r="M61" s="15">
        <f t="shared" si="8"/>
        <v>94683.896999999997</v>
      </c>
      <c r="N61" s="14">
        <f t="shared" si="9"/>
        <v>956.40300000000002</v>
      </c>
      <c r="O61" s="13" t="e">
        <f>+P61/#REF!</f>
        <v>#REF!</v>
      </c>
      <c r="P61" s="14">
        <f>Tabla18[[#This Row],[ORO SIN IVA]]*1.19</f>
        <v>95640.3</v>
      </c>
      <c r="Q61" s="13" t="e">
        <f>+S61/#REF!</f>
        <v>#REF!</v>
      </c>
      <c r="R61" s="13">
        <f>+Tabla18[[#This Row],[PRECIO SUGERIDO INSTALADOR]]*5%</f>
        <v>5751.9840000000004</v>
      </c>
      <c r="S61" s="14">
        <f>Tabla18[[#This Row],[INSTALLER SIN IVA]]*1.19</f>
        <v>115039.67999999999</v>
      </c>
      <c r="T61" s="30">
        <v>80370</v>
      </c>
      <c r="U61" s="30">
        <v>96672</v>
      </c>
      <c r="X61" s="24"/>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5"/>
    </row>
    <row r="62" spans="1:126" ht="15" x14ac:dyDescent="0.25">
      <c r="A62" s="51" t="s">
        <v>39</v>
      </c>
      <c r="B62" s="52" t="s">
        <v>38</v>
      </c>
      <c r="C62" s="45">
        <f>+Tabla18[[#This Row],[PRECIO SUGERIDO INSTALADOR]]</f>
        <v>115039.67999999999</v>
      </c>
      <c r="D62" s="45">
        <f>+Tabla18[[#This Row],[PRECIO  INSTALADOR
( CON  IVA)]]-Tabla18[[#This Row],[dcto tienda]]</f>
        <v>109287.696</v>
      </c>
      <c r="E62" s="45">
        <f>+Tabla18[[#This Row],[DPP ORO]]</f>
        <v>95640.3</v>
      </c>
      <c r="F62" s="45">
        <f>+Tabla18[[#This Row],[platino2]]</f>
        <v>94683.896999999997</v>
      </c>
      <c r="G62" s="45">
        <f>+Tabla18[[#This Row],[PRECIO  INSTALADOR
( CON  IVA)]]/0.7</f>
        <v>164342.39999999999</v>
      </c>
      <c r="H62" s="41"/>
      <c r="I62" s="13" t="e">
        <f t="shared" si="5"/>
        <v>#REF!</v>
      </c>
      <c r="J62" s="13" t="e">
        <f t="shared" si="6"/>
        <v>#REF!</v>
      </c>
      <c r="K62" s="15" t="e">
        <f t="shared" si="7"/>
        <v>#REF!</v>
      </c>
      <c r="L62" s="15" t="e">
        <f>+M62/#REF!</f>
        <v>#REF!</v>
      </c>
      <c r="M62" s="15">
        <f t="shared" si="8"/>
        <v>94683.896999999997</v>
      </c>
      <c r="N62" s="14">
        <f t="shared" si="9"/>
        <v>956.40300000000002</v>
      </c>
      <c r="O62" s="13" t="e">
        <f>+P62/#REF!</f>
        <v>#REF!</v>
      </c>
      <c r="P62" s="14">
        <f>Tabla18[[#This Row],[ORO SIN IVA]]*1.19</f>
        <v>95640.3</v>
      </c>
      <c r="Q62" s="13" t="e">
        <f>+S62/#REF!</f>
        <v>#REF!</v>
      </c>
      <c r="R62" s="13">
        <f>+Tabla18[[#This Row],[PRECIO SUGERIDO INSTALADOR]]*5%</f>
        <v>5751.9840000000004</v>
      </c>
      <c r="S62" s="14">
        <f>Tabla18[[#This Row],[INSTALLER SIN IVA]]*1.19</f>
        <v>115039.67999999999</v>
      </c>
      <c r="T62" s="29">
        <v>80370</v>
      </c>
      <c r="U62" s="29">
        <v>96672</v>
      </c>
      <c r="X62" s="24"/>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5"/>
    </row>
    <row r="63" spans="1:126" ht="40.5" x14ac:dyDescent="0.25">
      <c r="A63" s="51" t="s">
        <v>41</v>
      </c>
      <c r="B63" s="52" t="s">
        <v>40</v>
      </c>
      <c r="C63" s="45">
        <f>+Tabla18[[#This Row],[PRECIO SUGERIDO INSTALADOR]]</f>
        <v>80265.5</v>
      </c>
      <c r="D63" s="45">
        <f>+Tabla18[[#This Row],[PRECIO  INSTALADOR
( CON  IVA)]]-Tabla18[[#This Row],[dcto tienda]]</f>
        <v>76252.225000000006</v>
      </c>
      <c r="E63" s="45">
        <f>+Tabla18[[#This Row],[DPP ORO]]</f>
        <v>66744.72</v>
      </c>
      <c r="F63" s="45">
        <f>+Tabla18[[#This Row],[platino2]]</f>
        <v>66077.272800000006</v>
      </c>
      <c r="G63" s="45">
        <f>+Tabla18[[#This Row],[PRECIO  INSTALADOR
( CON  IVA)]]/0.7</f>
        <v>114665</v>
      </c>
      <c r="H63" s="41"/>
      <c r="I63" s="13" t="e">
        <f t="shared" si="5"/>
        <v>#REF!</v>
      </c>
      <c r="J63" s="13" t="e">
        <f t="shared" si="6"/>
        <v>#REF!</v>
      </c>
      <c r="K63" s="15" t="e">
        <f t="shared" si="7"/>
        <v>#REF!</v>
      </c>
      <c r="L63" s="15" t="e">
        <f>+M63/#REF!</f>
        <v>#REF!</v>
      </c>
      <c r="M63" s="15">
        <f t="shared" si="8"/>
        <v>66077.272800000006</v>
      </c>
      <c r="N63" s="14">
        <f t="shared" si="9"/>
        <v>667.44720000000007</v>
      </c>
      <c r="O63" s="13" t="e">
        <f>+P63/#REF!</f>
        <v>#REF!</v>
      </c>
      <c r="P63" s="14">
        <f>Tabla18[[#This Row],[ORO SIN IVA]]*1.19</f>
        <v>66744.72</v>
      </c>
      <c r="Q63" s="13" t="e">
        <f>+S63/#REF!</f>
        <v>#REF!</v>
      </c>
      <c r="R63" s="13">
        <f>+Tabla18[[#This Row],[PRECIO SUGERIDO INSTALADOR]]*5%</f>
        <v>4013.2750000000001</v>
      </c>
      <c r="S63" s="14">
        <f>Tabla18[[#This Row],[INSTALLER SIN IVA]]*1.19</f>
        <v>80265.5</v>
      </c>
      <c r="T63" s="29">
        <v>56088</v>
      </c>
      <c r="U63" s="29">
        <v>67450</v>
      </c>
      <c r="X63" s="24"/>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5"/>
    </row>
    <row r="64" spans="1:126" x14ac:dyDescent="0.25">
      <c r="A64" s="51" t="s">
        <v>102</v>
      </c>
      <c r="B64" s="52" t="s">
        <v>101</v>
      </c>
      <c r="C64" s="45">
        <f>+Tabla18[[#This Row],[PRECIO SUGERIDO INSTALADOR]]</f>
        <v>53729.689999999995</v>
      </c>
      <c r="D64" s="45">
        <f>+Tabla18[[#This Row],[PRECIO  INSTALADOR
( CON  IVA)]]-Tabla18[[#This Row],[dcto tienda]]</f>
        <v>51043.205499999996</v>
      </c>
      <c r="E64" s="45">
        <f>+Tabla18[[#This Row],[DPP ORO]]</f>
        <v>48894.720000000001</v>
      </c>
      <c r="F64" s="45">
        <f>+Tabla18[[#This Row],[platino2]]</f>
        <v>48405.772799999999</v>
      </c>
      <c r="G64" s="45">
        <f>+Tabla18[[#This Row],[PRECIO  INSTALADOR
( CON  IVA)]]/0.7</f>
        <v>76756.7</v>
      </c>
      <c r="H64" s="44"/>
      <c r="I64" s="9" t="e">
        <f t="shared" si="5"/>
        <v>#REF!</v>
      </c>
      <c r="J64" s="9" t="e">
        <f t="shared" si="6"/>
        <v>#REF!</v>
      </c>
      <c r="K64" s="11" t="e">
        <f t="shared" si="7"/>
        <v>#REF!</v>
      </c>
      <c r="L64" s="11" t="e">
        <f>+M64/#REF!</f>
        <v>#REF!</v>
      </c>
      <c r="M64" s="11">
        <f t="shared" si="8"/>
        <v>48405.772799999999</v>
      </c>
      <c r="N64" s="14">
        <f t="shared" si="9"/>
        <v>488.94720000000001</v>
      </c>
      <c r="O64" s="9" t="e">
        <f>+P64/#REF!</f>
        <v>#REF!</v>
      </c>
      <c r="P64" s="10">
        <f>Tabla18[[#This Row],[ORO SIN IVA]]*1.19</f>
        <v>48894.720000000001</v>
      </c>
      <c r="Q64" s="9" t="e">
        <f>+S64/#REF!</f>
        <v>#REF!</v>
      </c>
      <c r="R64" s="8">
        <f>+Tabla18[[#This Row],[PRECIO SUGERIDO INSTALADOR]]*5%</f>
        <v>2686.4845</v>
      </c>
      <c r="S64" s="27">
        <f>Tabla18[[#This Row],[INSTALLER SIN IVA]]*1.19</f>
        <v>53729.689999999995</v>
      </c>
      <c r="T64" s="26">
        <v>41088</v>
      </c>
      <c r="U64" s="26">
        <v>45151</v>
      </c>
      <c r="X64" s="24"/>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5"/>
    </row>
    <row r="65" spans="1:126" x14ac:dyDescent="0.25">
      <c r="A65" s="51" t="s">
        <v>45</v>
      </c>
      <c r="B65" s="52" t="s">
        <v>44</v>
      </c>
      <c r="C65" s="45">
        <f>+Tabla18[[#This Row],[PRECIO SUGERIDO INSTALADOR]]</f>
        <v>148185.94</v>
      </c>
      <c r="D65" s="45">
        <f>+Tabla18[[#This Row],[PRECIO  INSTALADOR
( CON  IVA)]]-Tabla18[[#This Row],[dcto tienda]]</f>
        <v>140776.64300000001</v>
      </c>
      <c r="E65" s="45">
        <f>+Tabla18[[#This Row],[DPP ORO]]</f>
        <v>123224.5</v>
      </c>
      <c r="F65" s="45">
        <f>+Tabla18[[#This Row],[platino2]]</f>
        <v>121992.255</v>
      </c>
      <c r="G65" s="45">
        <f>+Tabla18[[#This Row],[PRECIO  INSTALADOR
( CON  IVA)]]/0.7</f>
        <v>211694.2</v>
      </c>
      <c r="H65" s="44"/>
      <c r="I65" s="9" t="e">
        <f>+Q65</f>
        <v>#REF!</v>
      </c>
      <c r="J65" s="9" t="e">
        <f>+O65</f>
        <v>#REF!</v>
      </c>
      <c r="K65" s="11" t="e">
        <f>+L65</f>
        <v>#REF!</v>
      </c>
      <c r="L65" s="11" t="e">
        <f>+M65/#REF!</f>
        <v>#REF!</v>
      </c>
      <c r="M65" s="11">
        <f>+P65-N65</f>
        <v>121992.255</v>
      </c>
      <c r="N65" s="14">
        <f>+P65*1%</f>
        <v>1232.2450000000001</v>
      </c>
      <c r="O65" s="9" t="e">
        <f>+P65/#REF!</f>
        <v>#REF!</v>
      </c>
      <c r="P65" s="10">
        <f>Tabla18[[#This Row],[ORO SIN IVA]]*1.19</f>
        <v>123224.5</v>
      </c>
      <c r="Q65" s="9" t="e">
        <f>+S65/#REF!</f>
        <v>#REF!</v>
      </c>
      <c r="R65" s="8">
        <f>+Tabla18[[#This Row],[PRECIO SUGERIDO INSTALADOR]]*5%</f>
        <v>7409.2970000000005</v>
      </c>
      <c r="S65" s="27">
        <f>Tabla18[[#This Row],[INSTALLER SIN IVA]]*1.19</f>
        <v>148185.94</v>
      </c>
      <c r="T65" s="26">
        <v>103550</v>
      </c>
      <c r="U65" s="26">
        <v>124526.00000000001</v>
      </c>
      <c r="X65" s="24"/>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5"/>
    </row>
    <row r="66" spans="1:126" x14ac:dyDescent="0.25">
      <c r="A66" s="51" t="s">
        <v>35</v>
      </c>
      <c r="B66" s="52" t="s">
        <v>34</v>
      </c>
      <c r="C66" s="45">
        <f>+Tabla18[[#This Row],[PRECIO SUGERIDO INSTALADOR]]</f>
        <v>148185.94</v>
      </c>
      <c r="D66" s="45">
        <f>+Tabla18[[#This Row],[PRECIO  INSTALADOR
( CON  IVA)]]-Tabla18[[#This Row],[dcto tienda]]</f>
        <v>140776.64300000001</v>
      </c>
      <c r="E66" s="45">
        <f>+Tabla18[[#This Row],[DPP ORO]]</f>
        <v>123224.5</v>
      </c>
      <c r="F66" s="45">
        <f>+Tabla18[[#This Row],[platino2]]</f>
        <v>121992.255</v>
      </c>
      <c r="G66" s="45">
        <f>+Tabla18[[#This Row],[PRECIO  INSTALADOR
( CON  IVA)]]/0.7</f>
        <v>211694.2</v>
      </c>
      <c r="H66" s="41"/>
      <c r="I66" s="13" t="e">
        <f t="shared" si="5"/>
        <v>#REF!</v>
      </c>
      <c r="J66" s="13" t="e">
        <f t="shared" si="6"/>
        <v>#REF!</v>
      </c>
      <c r="K66" s="15" t="e">
        <f t="shared" si="7"/>
        <v>#REF!</v>
      </c>
      <c r="L66" s="15" t="e">
        <f>+M66/#REF!</f>
        <v>#REF!</v>
      </c>
      <c r="M66" s="15">
        <f t="shared" si="8"/>
        <v>121992.255</v>
      </c>
      <c r="N66" s="14">
        <f t="shared" si="9"/>
        <v>1232.2450000000001</v>
      </c>
      <c r="O66" s="13" t="e">
        <f>+P66/#REF!</f>
        <v>#REF!</v>
      </c>
      <c r="P66" s="14">
        <f>Tabla18[[#This Row],[ORO SIN IVA]]*1.19</f>
        <v>123224.5</v>
      </c>
      <c r="Q66" s="13" t="e">
        <f>+S66/#REF!</f>
        <v>#REF!</v>
      </c>
      <c r="R66" s="12">
        <f>+Tabla18[[#This Row],[PRECIO SUGERIDO INSTALADOR]]*5%</f>
        <v>7409.2970000000005</v>
      </c>
      <c r="S66" s="25">
        <f>Tabla18[[#This Row],[INSTALLER SIN IVA]]*1.19</f>
        <v>148185.94</v>
      </c>
      <c r="T66" s="2">
        <v>103550</v>
      </c>
      <c r="U66" s="2">
        <v>124526.00000000001</v>
      </c>
      <c r="X66" s="24"/>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5"/>
    </row>
    <row r="67" spans="1:126" ht="27" x14ac:dyDescent="0.25">
      <c r="A67" s="54" t="s">
        <v>54</v>
      </c>
      <c r="B67" s="55" t="s">
        <v>161</v>
      </c>
      <c r="C67" s="46">
        <f>+Tabla18[[#This Row],[PRECIO SUGERIDO INSTALADOR]]</f>
        <v>259427.13999999998</v>
      </c>
      <c r="D67" s="45">
        <f>+Tabla18[[#This Row],[PRECIO  INSTALADOR
( CON  IVA)]]-Tabla18[[#This Row],[dcto tienda]]</f>
        <v>246455.783</v>
      </c>
      <c r="E67" s="45">
        <f>+Tabla18[[#This Row],[DPP ORO]]</f>
        <v>215608.95999999999</v>
      </c>
      <c r="F67" s="45">
        <f>+Tabla18[[#This Row],[platino2]]</f>
        <v>213452.87039999999</v>
      </c>
      <c r="G67" s="45">
        <f>+Tabla18[[#This Row],[PRECIO  INSTALADOR
( CON  IVA)]]/0.7</f>
        <v>370610.2</v>
      </c>
      <c r="H67" s="48"/>
      <c r="I67" s="13" t="e">
        <f t="shared" ref="I67:I98" si="10">+Q67</f>
        <v>#REF!</v>
      </c>
      <c r="J67" s="13" t="e">
        <f t="shared" ref="J67:J98" si="11">+O67</f>
        <v>#REF!</v>
      </c>
      <c r="K67" s="15" t="e">
        <f t="shared" ref="K67:K98" si="12">+L67</f>
        <v>#REF!</v>
      </c>
      <c r="L67" s="15" t="e">
        <f>+M67/#REF!</f>
        <v>#REF!</v>
      </c>
      <c r="M67" s="15">
        <f t="shared" ref="M67:M98" si="13">+P67-N67</f>
        <v>213452.87039999999</v>
      </c>
      <c r="N67" s="14">
        <f t="shared" ref="N67:N98" si="14">+P67*1%</f>
        <v>2156.0895999999998</v>
      </c>
      <c r="O67" s="13" t="e">
        <f>+P67/#REF!</f>
        <v>#REF!</v>
      </c>
      <c r="P67" s="14">
        <f>Tabla18[[#This Row],[ORO SIN IVA]]*1.19</f>
        <v>215608.95999999999</v>
      </c>
      <c r="Q67" s="13" t="e">
        <f>+S67/#REF!</f>
        <v>#REF!</v>
      </c>
      <c r="R67" s="13">
        <f>+Tabla18[[#This Row],[PRECIO SUGERIDO INSTALADOR]]*5%</f>
        <v>12971.357</v>
      </c>
      <c r="S67" s="25">
        <f>Tabla18[[#This Row],[INSTALLER SIN IVA]]*1.19</f>
        <v>259427.13999999998</v>
      </c>
      <c r="T67" s="13">
        <v>181184</v>
      </c>
      <c r="U67" s="13">
        <v>218006</v>
      </c>
      <c r="X67" s="24"/>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5"/>
    </row>
    <row r="68" spans="1:126" x14ac:dyDescent="0.25">
      <c r="A68" s="54" t="s">
        <v>106</v>
      </c>
      <c r="B68" s="55" t="s">
        <v>105</v>
      </c>
      <c r="C68" s="46">
        <f>+Tabla18[[#This Row],[PRECIO SUGERIDO INSTALADOR]]</f>
        <v>125426</v>
      </c>
      <c r="D68" s="47">
        <f>+Tabla18[[#This Row],[PRECIO  INSTALADOR
( CON  IVA)]]-Tabla18[[#This Row],[dcto tienda]]</f>
        <v>119154.7</v>
      </c>
      <c r="E68" s="47">
        <f>+Tabla18[[#This Row],[DPP ORO]]</f>
        <v>116620</v>
      </c>
      <c r="F68" s="47">
        <f>+Tabla18[[#This Row],[platino2]]</f>
        <v>115453.8</v>
      </c>
      <c r="G68" s="47">
        <f>+Tabla18[[#This Row],[PRECIO  INSTALADOR
( CON  IVA)]]/0.7</f>
        <v>179180</v>
      </c>
      <c r="H68" s="48"/>
      <c r="I68" s="13" t="e">
        <f t="shared" si="10"/>
        <v>#REF!</v>
      </c>
      <c r="J68" s="13" t="e">
        <f t="shared" si="11"/>
        <v>#REF!</v>
      </c>
      <c r="K68" s="15" t="e">
        <f t="shared" si="12"/>
        <v>#REF!</v>
      </c>
      <c r="L68" s="15" t="e">
        <f>+M68/#REF!</f>
        <v>#REF!</v>
      </c>
      <c r="M68" s="15">
        <f t="shared" si="13"/>
        <v>115453.8</v>
      </c>
      <c r="N68" s="14">
        <f t="shared" si="14"/>
        <v>1166.2</v>
      </c>
      <c r="O68" s="13" t="e">
        <f>+P68/#REF!</f>
        <v>#REF!</v>
      </c>
      <c r="P68" s="14">
        <f>Tabla18[[#This Row],[ORO SIN IVA]]*1.19</f>
        <v>116620</v>
      </c>
      <c r="Q68" s="13" t="e">
        <f>+S68/#REF!</f>
        <v>#REF!</v>
      </c>
      <c r="R68" s="13">
        <f>+Tabla18[[#This Row],[PRECIO SUGERIDO INSTALADOR]]*5%</f>
        <v>6271.3</v>
      </c>
      <c r="S68" s="25">
        <f>Tabla18[[#This Row],[INSTALLER SIN IVA]]*1.19</f>
        <v>125426</v>
      </c>
      <c r="T68" s="13">
        <v>98000</v>
      </c>
      <c r="U68" s="13">
        <v>105400</v>
      </c>
      <c r="X68" s="24"/>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5"/>
    </row>
    <row r="69" spans="1:126" ht="27" x14ac:dyDescent="0.25">
      <c r="A69" s="54" t="s">
        <v>104</v>
      </c>
      <c r="B69" s="55" t="s">
        <v>103</v>
      </c>
      <c r="C69" s="46">
        <f>+Tabla18[[#This Row],[PRECIO SUGERIDO INSTALADOR]]</f>
        <v>125426</v>
      </c>
      <c r="D69" s="47">
        <f>+Tabla18[[#This Row],[PRECIO  INSTALADOR
( CON  IVA)]]-Tabla18[[#This Row],[dcto tienda]]</f>
        <v>119154.7</v>
      </c>
      <c r="E69" s="47">
        <f>+Tabla18[[#This Row],[DPP ORO]]</f>
        <v>116620</v>
      </c>
      <c r="F69" s="47">
        <f>+Tabla18[[#This Row],[platino2]]</f>
        <v>115453.8</v>
      </c>
      <c r="G69" s="47">
        <f>+Tabla18[[#This Row],[PRECIO  INSTALADOR
( CON  IVA)]]/0.7</f>
        <v>179180</v>
      </c>
      <c r="H69" s="48"/>
      <c r="I69" s="13" t="e">
        <f t="shared" si="10"/>
        <v>#REF!</v>
      </c>
      <c r="J69" s="13" t="e">
        <f t="shared" si="11"/>
        <v>#REF!</v>
      </c>
      <c r="K69" s="15" t="e">
        <f t="shared" si="12"/>
        <v>#REF!</v>
      </c>
      <c r="L69" s="15" t="e">
        <f>+M69/#REF!</f>
        <v>#REF!</v>
      </c>
      <c r="M69" s="15">
        <f t="shared" si="13"/>
        <v>115453.8</v>
      </c>
      <c r="N69" s="14">
        <f t="shared" si="14"/>
        <v>1166.2</v>
      </c>
      <c r="O69" s="13" t="e">
        <f>+P69/#REF!</f>
        <v>#REF!</v>
      </c>
      <c r="P69" s="14">
        <f>Tabla18[[#This Row],[ORO SIN IVA]]*1.19</f>
        <v>116620</v>
      </c>
      <c r="Q69" s="13" t="e">
        <f>+S69/#REF!</f>
        <v>#REF!</v>
      </c>
      <c r="R69" s="13">
        <f>+Tabla18[[#This Row],[PRECIO SUGERIDO INSTALADOR]]*5%</f>
        <v>6271.3</v>
      </c>
      <c r="S69" s="25">
        <f>Tabla18[[#This Row],[INSTALLER SIN IVA]]*1.19</f>
        <v>125426</v>
      </c>
      <c r="T69" s="13">
        <v>98000</v>
      </c>
      <c r="U69" s="13">
        <v>105400</v>
      </c>
      <c r="X69" s="24"/>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5"/>
    </row>
    <row r="70" spans="1:126" ht="40.5" x14ac:dyDescent="0.25">
      <c r="A70" s="54" t="s">
        <v>162</v>
      </c>
      <c r="B70" s="55" t="s">
        <v>163</v>
      </c>
      <c r="C70" s="46">
        <f>+Tabla18[[#This Row],[PRECIO SUGERIDO INSTALADOR]]</f>
        <v>1047611.74</v>
      </c>
      <c r="D70" s="47">
        <f>+Tabla18[[#This Row],[PRECIO  INSTALADOR
( CON  IVA)]]-Tabla18[[#This Row],[dcto tienda]]</f>
        <v>995231.15299999993</v>
      </c>
      <c r="E70" s="47">
        <f>+Tabla18[[#This Row],[DPP ORO]]</f>
        <v>890834</v>
      </c>
      <c r="F70" s="47">
        <f>+Tabla18[[#This Row],[platino2]]</f>
        <v>881925.66</v>
      </c>
      <c r="G70" s="47">
        <f>+Tabla18[[#This Row],[PRECIO  INSTALADOR
( CON  IVA)]]/0.7</f>
        <v>1496588.2000000002</v>
      </c>
      <c r="H70" s="48"/>
      <c r="I70" s="13" t="e">
        <f t="shared" si="10"/>
        <v>#REF!</v>
      </c>
      <c r="J70" s="13" t="e">
        <f t="shared" si="11"/>
        <v>#REF!</v>
      </c>
      <c r="K70" s="15" t="e">
        <f t="shared" si="12"/>
        <v>#REF!</v>
      </c>
      <c r="L70" s="15" t="e">
        <f>+M70/#REF!</f>
        <v>#REF!</v>
      </c>
      <c r="M70" s="15">
        <f t="shared" si="13"/>
        <v>881925.66</v>
      </c>
      <c r="N70" s="14">
        <f t="shared" si="14"/>
        <v>8908.34</v>
      </c>
      <c r="O70" s="13" t="e">
        <f>+P70/#REF!</f>
        <v>#REF!</v>
      </c>
      <c r="P70" s="14">
        <f>Tabla18[[#This Row],[ORO SIN IVA]]*1.19</f>
        <v>890834</v>
      </c>
      <c r="Q70" s="13" t="e">
        <f>+S70/#REF!</f>
        <v>#REF!</v>
      </c>
      <c r="R70" s="13">
        <f>+Tabla18[[#This Row],[PRECIO SUGERIDO INSTALADOR]]*5%</f>
        <v>52380.587</v>
      </c>
      <c r="S70" s="25">
        <f>Tabla18[[#This Row],[INSTALLER SIN IVA]]*1.19</f>
        <v>1047611.74</v>
      </c>
      <c r="T70" s="13">
        <v>748600</v>
      </c>
      <c r="U70" s="13">
        <v>880346</v>
      </c>
      <c r="X70" s="24"/>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5"/>
    </row>
    <row r="71" spans="1:126" ht="40.5" x14ac:dyDescent="0.25">
      <c r="A71" s="54" t="s">
        <v>164</v>
      </c>
      <c r="B71" s="55" t="s">
        <v>165</v>
      </c>
      <c r="C71" s="46">
        <f>+Tabla18[[#This Row],[PRECIO SUGERIDO INSTALADOR]]</f>
        <v>761278.7</v>
      </c>
      <c r="D71" s="47">
        <f>+Tabla18[[#This Row],[PRECIO  INSTALADOR
( CON  IVA)]]-Tabla18[[#This Row],[dcto tienda]]</f>
        <v>723214.7649999999</v>
      </c>
      <c r="E71" s="47">
        <f>+Tabla18[[#This Row],[DPP ORO]]</f>
        <v>647279.07999999996</v>
      </c>
      <c r="F71" s="47">
        <f>+Tabla18[[#This Row],[platino2]]</f>
        <v>640806.2892</v>
      </c>
      <c r="G71" s="47">
        <f>+Tabla18[[#This Row],[PRECIO  INSTALADOR
( CON  IVA)]]/0.7</f>
        <v>1087541</v>
      </c>
      <c r="H71" s="48"/>
      <c r="I71" s="13" t="e">
        <f t="shared" si="10"/>
        <v>#REF!</v>
      </c>
      <c r="J71" s="13" t="e">
        <f t="shared" si="11"/>
        <v>#REF!</v>
      </c>
      <c r="K71" s="15" t="e">
        <f t="shared" si="12"/>
        <v>#REF!</v>
      </c>
      <c r="L71" s="15" t="e">
        <f>+M71/#REF!</f>
        <v>#REF!</v>
      </c>
      <c r="M71" s="15">
        <f t="shared" si="13"/>
        <v>640806.2892</v>
      </c>
      <c r="N71" s="14">
        <f t="shared" si="14"/>
        <v>6472.7907999999998</v>
      </c>
      <c r="O71" s="13" t="e">
        <f>+P71/#REF!</f>
        <v>#REF!</v>
      </c>
      <c r="P71" s="14">
        <f>Tabla18[[#This Row],[ORO SIN IVA]]*1.19</f>
        <v>647279.07999999996</v>
      </c>
      <c r="Q71" s="13" t="e">
        <f>+S71/#REF!</f>
        <v>#REF!</v>
      </c>
      <c r="R71" s="13">
        <f>+Tabla18[[#This Row],[PRECIO SUGERIDO INSTALADOR]]*5%</f>
        <v>38063.934999999998</v>
      </c>
      <c r="S71" s="25">
        <f>Tabla18[[#This Row],[INSTALLER SIN IVA]]*1.19</f>
        <v>761278.7</v>
      </c>
      <c r="T71" s="13">
        <v>543932</v>
      </c>
      <c r="U71" s="13">
        <v>639730</v>
      </c>
      <c r="X71" s="24"/>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5"/>
    </row>
    <row r="72" spans="1:126" ht="27" x14ac:dyDescent="0.25">
      <c r="A72" s="54" t="s">
        <v>166</v>
      </c>
      <c r="B72" s="55" t="s">
        <v>167</v>
      </c>
      <c r="C72" s="46">
        <f>+Tabla18[[#This Row],[PRECIO SUGERIDO INSTALADOR]]</f>
        <v>3888.9199999999996</v>
      </c>
      <c r="D72" s="47">
        <f>+Tabla18[[#This Row],[PRECIO  INSTALADOR
( CON  IVA)]]-Tabla18[[#This Row],[dcto tienda]]</f>
        <v>3694.4739999999997</v>
      </c>
      <c r="E72" s="47">
        <f>+Tabla18[[#This Row],[DPP ORO]]</f>
        <v>3255.8399999999997</v>
      </c>
      <c r="F72" s="47">
        <f>+Tabla18[[#This Row],[platino2]]</f>
        <v>3223.2815999999998</v>
      </c>
      <c r="G72" s="47">
        <f>+Tabla18[[#This Row],[PRECIO  INSTALADOR
( CON  IVA)]]/0.7</f>
        <v>5555.5999999999995</v>
      </c>
      <c r="H72" s="48"/>
      <c r="I72" s="13" t="e">
        <f t="shared" si="10"/>
        <v>#REF!</v>
      </c>
      <c r="J72" s="13" t="e">
        <f t="shared" si="11"/>
        <v>#REF!</v>
      </c>
      <c r="K72" s="15" t="e">
        <f t="shared" si="12"/>
        <v>#REF!</v>
      </c>
      <c r="L72" s="15" t="e">
        <f>+M72/#REF!</f>
        <v>#REF!</v>
      </c>
      <c r="M72" s="15">
        <f t="shared" si="13"/>
        <v>3223.2815999999998</v>
      </c>
      <c r="N72" s="14">
        <f t="shared" si="14"/>
        <v>32.558399999999999</v>
      </c>
      <c r="O72" s="13" t="e">
        <f>+P72/#REF!</f>
        <v>#REF!</v>
      </c>
      <c r="P72" s="14">
        <f>Tabla18[[#This Row],[ORO SIN IVA]]*1.19</f>
        <v>3255.8399999999997</v>
      </c>
      <c r="Q72" s="13" t="e">
        <f>+S72/#REF!</f>
        <v>#REF!</v>
      </c>
      <c r="R72" s="13">
        <f>+Tabla18[[#This Row],[PRECIO SUGERIDO INSTALADOR]]*5%</f>
        <v>194.446</v>
      </c>
      <c r="S72" s="25">
        <f>Tabla18[[#This Row],[INSTALLER SIN IVA]]*1.19</f>
        <v>3888.9199999999996</v>
      </c>
      <c r="T72" s="13">
        <v>2736</v>
      </c>
      <c r="U72" s="13">
        <v>3268</v>
      </c>
      <c r="X72" s="24"/>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5"/>
    </row>
    <row r="73" spans="1:126" ht="40.5" x14ac:dyDescent="0.25">
      <c r="A73" s="54" t="s">
        <v>168</v>
      </c>
      <c r="B73" s="55" t="s">
        <v>169</v>
      </c>
      <c r="C73" s="46">
        <f>+Tabla18[[#This Row],[PRECIO SUGERIDO INSTALADOR]]</f>
        <v>7913.5</v>
      </c>
      <c r="D73" s="47">
        <f>+Tabla18[[#This Row],[PRECIO  INSTALADOR
( CON  IVA)]]-Tabla18[[#This Row],[dcto tienda]]</f>
        <v>7517.8249999999998</v>
      </c>
      <c r="E73" s="47">
        <f>+Tabla18[[#This Row],[DPP ORO]]</f>
        <v>6737.78</v>
      </c>
      <c r="F73" s="47">
        <f>+Tabla18[[#This Row],[platino2]]</f>
        <v>6670.4021999999995</v>
      </c>
      <c r="G73" s="47">
        <f>+Tabla18[[#This Row],[PRECIO  INSTALADOR
( CON  IVA)]]/0.7</f>
        <v>11305</v>
      </c>
      <c r="H73" s="48"/>
      <c r="I73" s="13" t="e">
        <f t="shared" si="10"/>
        <v>#REF!</v>
      </c>
      <c r="J73" s="13" t="e">
        <f t="shared" si="11"/>
        <v>#REF!</v>
      </c>
      <c r="K73" s="15" t="e">
        <f t="shared" si="12"/>
        <v>#REF!</v>
      </c>
      <c r="L73" s="15" t="e">
        <f>+M73/#REF!</f>
        <v>#REF!</v>
      </c>
      <c r="M73" s="15">
        <f t="shared" si="13"/>
        <v>6670.4021999999995</v>
      </c>
      <c r="N73" s="14">
        <f t="shared" si="14"/>
        <v>67.377799999999993</v>
      </c>
      <c r="O73" s="13" t="e">
        <f>+P73/#REF!</f>
        <v>#REF!</v>
      </c>
      <c r="P73" s="14">
        <f>Tabla18[[#This Row],[ORO SIN IVA]]*1.19</f>
        <v>6737.78</v>
      </c>
      <c r="Q73" s="13" t="e">
        <f>+S73/#REF!</f>
        <v>#REF!</v>
      </c>
      <c r="R73" s="13">
        <f>+Tabla18[[#This Row],[PRECIO SUGERIDO INSTALADOR]]*5%</f>
        <v>395.67500000000001</v>
      </c>
      <c r="S73" s="25">
        <f>Tabla18[[#This Row],[INSTALLER SIN IVA]]*1.19</f>
        <v>7913.5</v>
      </c>
      <c r="T73" s="13">
        <v>5662</v>
      </c>
      <c r="U73" s="13">
        <v>6650</v>
      </c>
      <c r="X73" s="24"/>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5"/>
    </row>
    <row r="74" spans="1:126" ht="27" x14ac:dyDescent="0.25">
      <c r="A74" s="54" t="s">
        <v>170</v>
      </c>
      <c r="B74" s="55" t="s">
        <v>171</v>
      </c>
      <c r="C74" s="46">
        <f>+Tabla18[[#This Row],[PRECIO SUGERIDO INSTALADOR]]</f>
        <v>3527.16</v>
      </c>
      <c r="D74" s="47">
        <f>+Tabla18[[#This Row],[PRECIO  INSTALADOR
( CON  IVA)]]-Tabla18[[#This Row],[dcto tienda]]</f>
        <v>3350.8019999999997</v>
      </c>
      <c r="E74" s="47">
        <f>+Tabla18[[#This Row],[DPP ORO]]</f>
        <v>2984.52</v>
      </c>
      <c r="F74" s="47">
        <f>+Tabla18[[#This Row],[platino2]]</f>
        <v>2954.6747999999998</v>
      </c>
      <c r="G74" s="47">
        <f>+Tabla18[[#This Row],[PRECIO  INSTALADOR
( CON  IVA)]]/0.7</f>
        <v>5038.8</v>
      </c>
      <c r="H74" s="48"/>
      <c r="I74" s="13" t="e">
        <f t="shared" si="10"/>
        <v>#REF!</v>
      </c>
      <c r="J74" s="13" t="e">
        <f t="shared" si="11"/>
        <v>#REF!</v>
      </c>
      <c r="K74" s="15" t="e">
        <f t="shared" si="12"/>
        <v>#REF!</v>
      </c>
      <c r="L74" s="15" t="e">
        <f>+M74/#REF!</f>
        <v>#REF!</v>
      </c>
      <c r="M74" s="15">
        <f t="shared" si="13"/>
        <v>2954.6747999999998</v>
      </c>
      <c r="N74" s="14">
        <f t="shared" si="14"/>
        <v>29.845200000000002</v>
      </c>
      <c r="O74" s="13" t="e">
        <f>+P74/#REF!</f>
        <v>#REF!</v>
      </c>
      <c r="P74" s="14">
        <f>Tabla18[[#This Row],[ORO SIN IVA]]*1.19</f>
        <v>2984.52</v>
      </c>
      <c r="Q74" s="13" t="e">
        <f>+S74/#REF!</f>
        <v>#REF!</v>
      </c>
      <c r="R74" s="13">
        <f>+Tabla18[[#This Row],[PRECIO SUGERIDO INSTALADOR]]*5%</f>
        <v>176.358</v>
      </c>
      <c r="S74" s="25">
        <f>Tabla18[[#This Row],[INSTALLER SIN IVA]]*1.19</f>
        <v>3527.16</v>
      </c>
      <c r="T74" s="13">
        <v>2508</v>
      </c>
      <c r="U74" s="13">
        <v>2964</v>
      </c>
      <c r="X74" s="24"/>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5"/>
    </row>
    <row r="75" spans="1:126" ht="27" x14ac:dyDescent="0.25">
      <c r="A75" s="54" t="s">
        <v>172</v>
      </c>
      <c r="B75" s="55" t="s">
        <v>173</v>
      </c>
      <c r="C75" s="46">
        <f>+Tabla18[[#This Row],[PRECIO SUGERIDO INSTALADOR]]</f>
        <v>231616.84</v>
      </c>
      <c r="D75" s="47">
        <f>+Tabla18[[#This Row],[PRECIO  INSTALADOR
( CON  IVA)]]-Tabla18[[#This Row],[dcto tienda]]</f>
        <v>220035.99799999999</v>
      </c>
      <c r="E75" s="47">
        <f>+Tabla18[[#This Row],[DPP ORO]]</f>
        <v>192546.75999999998</v>
      </c>
      <c r="F75" s="47">
        <f>+Tabla18[[#This Row],[platino2]]</f>
        <v>190621.29239999998</v>
      </c>
      <c r="G75" s="47">
        <f>+Tabla18[[#This Row],[PRECIO  INSTALADOR
( CON  IVA)]]/0.7</f>
        <v>330881.2</v>
      </c>
      <c r="H75" s="48"/>
      <c r="I75" s="13" t="e">
        <f t="shared" si="10"/>
        <v>#REF!</v>
      </c>
      <c r="J75" s="13" t="e">
        <f t="shared" si="11"/>
        <v>#REF!</v>
      </c>
      <c r="K75" s="15" t="e">
        <f t="shared" si="12"/>
        <v>#REF!</v>
      </c>
      <c r="L75" s="15" t="e">
        <f>+M75/#REF!</f>
        <v>#REF!</v>
      </c>
      <c r="M75" s="15">
        <f t="shared" si="13"/>
        <v>190621.29239999998</v>
      </c>
      <c r="N75" s="14">
        <f t="shared" si="14"/>
        <v>1925.4675999999999</v>
      </c>
      <c r="O75" s="13" t="e">
        <f>+P75/#REF!</f>
        <v>#REF!</v>
      </c>
      <c r="P75" s="14">
        <f>Tabla18[[#This Row],[ORO SIN IVA]]*1.19</f>
        <v>192546.75999999998</v>
      </c>
      <c r="Q75" s="13" t="e">
        <f>+S75/#REF!</f>
        <v>#REF!</v>
      </c>
      <c r="R75" s="13">
        <f>+Tabla18[[#This Row],[PRECIO SUGERIDO INSTALADOR]]*5%</f>
        <v>11580.842000000001</v>
      </c>
      <c r="S75" s="25">
        <f>Tabla18[[#This Row],[INSTALLER SIN IVA]]*1.19</f>
        <v>231616.84</v>
      </c>
      <c r="T75" s="13">
        <v>161804</v>
      </c>
      <c r="U75" s="13">
        <v>194636</v>
      </c>
      <c r="X75" s="24"/>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5"/>
    </row>
    <row r="76" spans="1:126" ht="27" x14ac:dyDescent="0.25">
      <c r="A76" s="54" t="s">
        <v>174</v>
      </c>
      <c r="B76" s="55" t="s">
        <v>175</v>
      </c>
      <c r="C76" s="46">
        <f>+Tabla18[[#This Row],[PRECIO SUGERIDO INSTALADOR]]</f>
        <v>430177.86</v>
      </c>
      <c r="D76" s="47">
        <f>+Tabla18[[#This Row],[PRECIO  INSTALADOR
( CON  IVA)]]-Tabla18[[#This Row],[dcto tienda]]</f>
        <v>408668.967</v>
      </c>
      <c r="E76" s="47">
        <f>+Tabla18[[#This Row],[DPP ORO]]</f>
        <v>357690.2</v>
      </c>
      <c r="F76" s="47">
        <f>+Tabla18[[#This Row],[platino2]]</f>
        <v>354113.29800000001</v>
      </c>
      <c r="G76" s="47">
        <f>+Tabla18[[#This Row],[PRECIO  INSTALADOR
( CON  IVA)]]/0.7</f>
        <v>614539.80000000005</v>
      </c>
      <c r="H76" s="48"/>
      <c r="I76" s="13" t="e">
        <f t="shared" si="10"/>
        <v>#REF!</v>
      </c>
      <c r="J76" s="13" t="e">
        <f t="shared" si="11"/>
        <v>#REF!</v>
      </c>
      <c r="K76" s="15" t="e">
        <f t="shared" si="12"/>
        <v>#REF!</v>
      </c>
      <c r="L76" s="15" t="e">
        <f>+M76/#REF!</f>
        <v>#REF!</v>
      </c>
      <c r="M76" s="15">
        <f t="shared" si="13"/>
        <v>354113.29800000001</v>
      </c>
      <c r="N76" s="14">
        <f t="shared" si="14"/>
        <v>3576.902</v>
      </c>
      <c r="O76" s="13" t="e">
        <f>+P76/#REF!</f>
        <v>#REF!</v>
      </c>
      <c r="P76" s="14">
        <f>Tabla18[[#This Row],[ORO SIN IVA]]*1.19</f>
        <v>357690.2</v>
      </c>
      <c r="Q76" s="13" t="e">
        <f>+S76/#REF!</f>
        <v>#REF!</v>
      </c>
      <c r="R76" s="13">
        <f>+Tabla18[[#This Row],[PRECIO SUGERIDO INSTALADOR]]*5%</f>
        <v>21508.893</v>
      </c>
      <c r="S76" s="25">
        <f>Tabla18[[#This Row],[INSTALLER SIN IVA]]*1.19</f>
        <v>430177.86</v>
      </c>
      <c r="T76" s="13">
        <v>300580</v>
      </c>
      <c r="U76" s="13">
        <v>361494</v>
      </c>
      <c r="X76" s="24"/>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5"/>
    </row>
    <row r="77" spans="1:126" ht="27" x14ac:dyDescent="0.25">
      <c r="A77" s="54" t="s">
        <v>176</v>
      </c>
      <c r="B77" s="55" t="s">
        <v>177</v>
      </c>
      <c r="C77" s="46">
        <f>+Tabla18[[#This Row],[PRECIO SUGERIDO INSTALADOR]]</f>
        <v>577595.05999999994</v>
      </c>
      <c r="D77" s="47">
        <f>+Tabla18[[#This Row],[PRECIO  INSTALADOR
( CON  IVA)]]-Tabla18[[#This Row],[dcto tienda]]</f>
        <v>548715.30699999991</v>
      </c>
      <c r="E77" s="47">
        <f>+Tabla18[[#This Row],[DPP ORO]]</f>
        <v>493078.88</v>
      </c>
      <c r="F77" s="47">
        <f>+Tabla18[[#This Row],[platino2]]</f>
        <v>488148.09120000002</v>
      </c>
      <c r="G77" s="47">
        <f>+Tabla18[[#This Row],[PRECIO  INSTALADOR
( CON  IVA)]]/0.7</f>
        <v>825135.79999999993</v>
      </c>
      <c r="H77" s="48"/>
      <c r="I77" s="13" t="e">
        <f t="shared" si="10"/>
        <v>#REF!</v>
      </c>
      <c r="J77" s="13" t="e">
        <f t="shared" si="11"/>
        <v>#REF!</v>
      </c>
      <c r="K77" s="15" t="e">
        <f t="shared" si="12"/>
        <v>#REF!</v>
      </c>
      <c r="L77" s="15" t="e">
        <f>+M77/#REF!</f>
        <v>#REF!</v>
      </c>
      <c r="M77" s="15">
        <f t="shared" si="13"/>
        <v>488148.09120000002</v>
      </c>
      <c r="N77" s="14">
        <f t="shared" si="14"/>
        <v>4930.7888000000003</v>
      </c>
      <c r="O77" s="13" t="e">
        <f>+P77/#REF!</f>
        <v>#REF!</v>
      </c>
      <c r="P77" s="14">
        <f>Tabla18[[#This Row],[ORO SIN IVA]]*1.19</f>
        <v>493078.88</v>
      </c>
      <c r="Q77" s="13" t="e">
        <f>+S77/#REF!</f>
        <v>#REF!</v>
      </c>
      <c r="R77" s="13">
        <f>+Tabla18[[#This Row],[PRECIO SUGERIDO INSTALADOR]]*5%</f>
        <v>28879.752999999997</v>
      </c>
      <c r="S77" s="25">
        <f>Tabla18[[#This Row],[INSTALLER SIN IVA]]*1.19</f>
        <v>577595.05999999994</v>
      </c>
      <c r="T77" s="13">
        <v>414352</v>
      </c>
      <c r="U77" s="13">
        <v>485373.99999999994</v>
      </c>
      <c r="X77" s="24"/>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5"/>
    </row>
    <row r="78" spans="1:126" ht="27" x14ac:dyDescent="0.25">
      <c r="A78" s="54" t="s">
        <v>178</v>
      </c>
      <c r="B78" s="55" t="s">
        <v>179</v>
      </c>
      <c r="C78" s="46">
        <f>+Tabla18[[#This Row],[PRECIO SUGERIDO INSTALADOR]]</f>
        <v>66202.080000000002</v>
      </c>
      <c r="D78" s="47">
        <f>+Tabla18[[#This Row],[PRECIO  INSTALADOR
( CON  IVA)]]-Tabla18[[#This Row],[dcto tienda]]</f>
        <v>62891.976000000002</v>
      </c>
      <c r="E78" s="47">
        <f>+Tabla18[[#This Row],[DPP ORO]]</f>
        <v>55077.96</v>
      </c>
      <c r="F78" s="47">
        <f>+Tabla18[[#This Row],[platino2]]</f>
        <v>54527.180399999997</v>
      </c>
      <c r="G78" s="47">
        <f>+Tabla18[[#This Row],[PRECIO  INSTALADOR
( CON  IVA)]]/0.7</f>
        <v>94574.400000000009</v>
      </c>
      <c r="H78" s="48"/>
      <c r="I78" s="13" t="e">
        <f t="shared" si="10"/>
        <v>#REF!</v>
      </c>
      <c r="J78" s="13" t="e">
        <f t="shared" si="11"/>
        <v>#REF!</v>
      </c>
      <c r="K78" s="15" t="e">
        <f t="shared" si="12"/>
        <v>#REF!</v>
      </c>
      <c r="L78" s="15" t="e">
        <f>+M78/#REF!</f>
        <v>#REF!</v>
      </c>
      <c r="M78" s="15">
        <f t="shared" si="13"/>
        <v>54527.180399999997</v>
      </c>
      <c r="N78" s="14">
        <f t="shared" si="14"/>
        <v>550.77959999999996</v>
      </c>
      <c r="O78" s="13" t="e">
        <f>+P78/#REF!</f>
        <v>#REF!</v>
      </c>
      <c r="P78" s="14">
        <f>Tabla18[[#This Row],[ORO SIN IVA]]*1.19</f>
        <v>55077.96</v>
      </c>
      <c r="Q78" s="13" t="e">
        <f>+S78/#REF!</f>
        <v>#REF!</v>
      </c>
      <c r="R78" s="13">
        <f>+Tabla18[[#This Row],[PRECIO SUGERIDO INSTALADOR]]*5%</f>
        <v>3310.1040000000003</v>
      </c>
      <c r="S78" s="25">
        <f>Tabla18[[#This Row],[INSTALLER SIN IVA]]*1.19</f>
        <v>66202.080000000002</v>
      </c>
      <c r="T78" s="13">
        <v>46284</v>
      </c>
      <c r="U78" s="13">
        <v>55632.000000000007</v>
      </c>
      <c r="X78" s="24"/>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5"/>
    </row>
    <row r="79" spans="1:126" ht="40.5" x14ac:dyDescent="0.25">
      <c r="A79" s="54" t="s">
        <v>180</v>
      </c>
      <c r="B79" s="55" t="s">
        <v>181</v>
      </c>
      <c r="C79" s="46">
        <f>+Tabla18[[#This Row],[PRECIO SUGERIDO INSTALADOR]]</f>
        <v>300351.24</v>
      </c>
      <c r="D79" s="47">
        <f>+Tabla18[[#This Row],[PRECIO  INSTALADOR
( CON  IVA)]]-Tabla18[[#This Row],[dcto tienda]]</f>
        <v>285333.67800000001</v>
      </c>
      <c r="E79" s="47">
        <f>+Tabla18[[#This Row],[DPP ORO]]</f>
        <v>264672.65999999997</v>
      </c>
      <c r="F79" s="47">
        <f>+Tabla18[[#This Row],[platino2]]</f>
        <v>262025.93339999998</v>
      </c>
      <c r="G79" s="47">
        <f>+Tabla18[[#This Row],[PRECIO  INSTALADOR
( CON  IVA)]]/0.7</f>
        <v>429073.2</v>
      </c>
      <c r="H79" s="48"/>
      <c r="I79" s="13" t="e">
        <f t="shared" si="10"/>
        <v>#REF!</v>
      </c>
      <c r="J79" s="13" t="e">
        <f t="shared" si="11"/>
        <v>#REF!</v>
      </c>
      <c r="K79" s="15" t="e">
        <f t="shared" si="12"/>
        <v>#REF!</v>
      </c>
      <c r="L79" s="15" t="e">
        <f>+M79/#REF!</f>
        <v>#REF!</v>
      </c>
      <c r="M79" s="15">
        <f t="shared" si="13"/>
        <v>262025.93339999998</v>
      </c>
      <c r="N79" s="14">
        <f t="shared" si="14"/>
        <v>2646.7266</v>
      </c>
      <c r="O79" s="13" t="e">
        <f>+P79/#REF!</f>
        <v>#REF!</v>
      </c>
      <c r="P79" s="14">
        <f>Tabla18[[#This Row],[ORO SIN IVA]]*1.19</f>
        <v>264672.65999999997</v>
      </c>
      <c r="Q79" s="13" t="e">
        <f>+S79/#REF!</f>
        <v>#REF!</v>
      </c>
      <c r="R79" s="13">
        <f>+Tabla18[[#This Row],[PRECIO SUGERIDO INSTALADOR]]*5%</f>
        <v>15017.562</v>
      </c>
      <c r="S79" s="25">
        <f>Tabla18[[#This Row],[INSTALLER SIN IVA]]*1.19</f>
        <v>300351.24</v>
      </c>
      <c r="T79" s="13">
        <v>222414</v>
      </c>
      <c r="U79" s="13">
        <v>252396</v>
      </c>
      <c r="X79" s="24"/>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5"/>
    </row>
    <row r="80" spans="1:126" ht="27" x14ac:dyDescent="0.25">
      <c r="A80" s="54" t="s">
        <v>182</v>
      </c>
      <c r="B80" s="55" t="s">
        <v>183</v>
      </c>
      <c r="C80" s="46">
        <f>+Tabla18[[#This Row],[PRECIO SUGERIDO INSTALADOR]]</f>
        <v>300351.24</v>
      </c>
      <c r="D80" s="47">
        <f>+Tabla18[[#This Row],[PRECIO  INSTALADOR
( CON  IVA)]]-Tabla18[[#This Row],[dcto tienda]]</f>
        <v>285333.67800000001</v>
      </c>
      <c r="E80" s="47">
        <f>+Tabla18[[#This Row],[DPP ORO]]</f>
        <v>264672.65999999997</v>
      </c>
      <c r="F80" s="47">
        <f>+Tabla18[[#This Row],[platino2]]</f>
        <v>262025.93339999998</v>
      </c>
      <c r="G80" s="47">
        <f>+Tabla18[[#This Row],[PRECIO  INSTALADOR
( CON  IVA)]]/0.7</f>
        <v>429073.2</v>
      </c>
      <c r="H80" s="48"/>
      <c r="I80" s="13" t="e">
        <f t="shared" si="10"/>
        <v>#REF!</v>
      </c>
      <c r="J80" s="13" t="e">
        <f t="shared" si="11"/>
        <v>#REF!</v>
      </c>
      <c r="K80" s="15" t="e">
        <f t="shared" si="12"/>
        <v>#REF!</v>
      </c>
      <c r="L80" s="15" t="e">
        <f>+M80/#REF!</f>
        <v>#REF!</v>
      </c>
      <c r="M80" s="15">
        <f t="shared" si="13"/>
        <v>262025.93339999998</v>
      </c>
      <c r="N80" s="14">
        <f t="shared" si="14"/>
        <v>2646.7266</v>
      </c>
      <c r="O80" s="13" t="e">
        <f>+P80/#REF!</f>
        <v>#REF!</v>
      </c>
      <c r="P80" s="14">
        <f>Tabla18[[#This Row],[ORO SIN IVA]]*1.19</f>
        <v>264672.65999999997</v>
      </c>
      <c r="Q80" s="13" t="e">
        <f>+S80/#REF!</f>
        <v>#REF!</v>
      </c>
      <c r="R80" s="13">
        <f>+Tabla18[[#This Row],[PRECIO SUGERIDO INSTALADOR]]*5%</f>
        <v>15017.562</v>
      </c>
      <c r="S80" s="25">
        <f>Tabla18[[#This Row],[INSTALLER SIN IVA]]*1.19</f>
        <v>300351.24</v>
      </c>
      <c r="T80" s="13">
        <v>222414</v>
      </c>
      <c r="U80" s="13">
        <v>252396</v>
      </c>
      <c r="X80" s="24"/>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5"/>
    </row>
    <row r="81" spans="1:126" ht="40.5" x14ac:dyDescent="0.25">
      <c r="A81" s="54" t="s">
        <v>184</v>
      </c>
      <c r="B81" s="55" t="s">
        <v>185</v>
      </c>
      <c r="C81" s="46">
        <f>+Tabla18[[#This Row],[PRECIO SUGERIDO INSTALADOR]]</f>
        <v>300351.24</v>
      </c>
      <c r="D81" s="47">
        <f>+Tabla18[[#This Row],[PRECIO  INSTALADOR
( CON  IVA)]]-Tabla18[[#This Row],[dcto tienda]]</f>
        <v>285333.67800000001</v>
      </c>
      <c r="E81" s="47">
        <f>+Tabla18[[#This Row],[DPP ORO]]</f>
        <v>264672.65999999997</v>
      </c>
      <c r="F81" s="47">
        <f>+Tabla18[[#This Row],[platino2]]</f>
        <v>262025.93339999998</v>
      </c>
      <c r="G81" s="47">
        <f>+Tabla18[[#This Row],[PRECIO  INSTALADOR
( CON  IVA)]]/0.7</f>
        <v>429073.2</v>
      </c>
      <c r="H81" s="48"/>
      <c r="I81" s="13" t="e">
        <f t="shared" si="10"/>
        <v>#REF!</v>
      </c>
      <c r="J81" s="13" t="e">
        <f t="shared" si="11"/>
        <v>#REF!</v>
      </c>
      <c r="K81" s="15" t="e">
        <f t="shared" si="12"/>
        <v>#REF!</v>
      </c>
      <c r="L81" s="15" t="e">
        <f>+M81/#REF!</f>
        <v>#REF!</v>
      </c>
      <c r="M81" s="15">
        <f t="shared" si="13"/>
        <v>262025.93339999998</v>
      </c>
      <c r="N81" s="14">
        <f t="shared" si="14"/>
        <v>2646.7266</v>
      </c>
      <c r="O81" s="13" t="e">
        <f>+P81/#REF!</f>
        <v>#REF!</v>
      </c>
      <c r="P81" s="14">
        <f>Tabla18[[#This Row],[ORO SIN IVA]]*1.19</f>
        <v>264672.65999999997</v>
      </c>
      <c r="Q81" s="13" t="e">
        <f>+S81/#REF!</f>
        <v>#REF!</v>
      </c>
      <c r="R81" s="13">
        <f>+Tabla18[[#This Row],[PRECIO SUGERIDO INSTALADOR]]*5%</f>
        <v>15017.562</v>
      </c>
      <c r="S81" s="25">
        <f>Tabla18[[#This Row],[INSTALLER SIN IVA]]*1.19</f>
        <v>300351.24</v>
      </c>
      <c r="T81" s="13">
        <v>222414</v>
      </c>
      <c r="U81" s="13">
        <v>252396</v>
      </c>
      <c r="X81" s="24"/>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5"/>
    </row>
    <row r="82" spans="1:126" ht="40.5" x14ac:dyDescent="0.25">
      <c r="A82" s="54" t="s">
        <v>186</v>
      </c>
      <c r="B82" s="55" t="s">
        <v>187</v>
      </c>
      <c r="C82" s="46">
        <f>+Tabla18[[#This Row],[PRECIO SUGERIDO INSTALADOR]]</f>
        <v>7294483.4199999999</v>
      </c>
      <c r="D82" s="47">
        <f>+Tabla18[[#This Row],[PRECIO  INSTALADOR
( CON  IVA)]]-Tabla18[[#This Row],[dcto tienda]]</f>
        <v>6929759.2489999998</v>
      </c>
      <c r="E82" s="47">
        <f>+Tabla18[[#This Row],[DPP ORO]]</f>
        <v>6641190.0800000001</v>
      </c>
      <c r="F82" s="47">
        <f>+Tabla18[[#This Row],[platino2]]</f>
        <v>6574778.1792000001</v>
      </c>
      <c r="G82" s="47">
        <f>+Tabla18[[#This Row],[PRECIO  INSTALADOR
( CON  IVA)]]/0.7</f>
        <v>10420690.6</v>
      </c>
      <c r="H82" s="48"/>
      <c r="I82" s="13" t="e">
        <f t="shared" si="10"/>
        <v>#REF!</v>
      </c>
      <c r="J82" s="13" t="e">
        <f t="shared" si="11"/>
        <v>#REF!</v>
      </c>
      <c r="K82" s="15" t="e">
        <f t="shared" si="12"/>
        <v>#REF!</v>
      </c>
      <c r="L82" s="15" t="e">
        <f>+M82/#REF!</f>
        <v>#REF!</v>
      </c>
      <c r="M82" s="15">
        <f t="shared" si="13"/>
        <v>6574778.1792000001</v>
      </c>
      <c r="N82" s="14">
        <f t="shared" si="14"/>
        <v>66411.900800000003</v>
      </c>
      <c r="O82" s="13" t="e">
        <f>+P82/#REF!</f>
        <v>#REF!</v>
      </c>
      <c r="P82" s="14">
        <f>Tabla18[[#This Row],[ORO SIN IVA]]*1.19</f>
        <v>6641190.0800000001</v>
      </c>
      <c r="Q82" s="13" t="e">
        <f>+S82/#REF!</f>
        <v>#REF!</v>
      </c>
      <c r="R82" s="13">
        <f>+Tabla18[[#This Row],[PRECIO SUGERIDO INSTALADOR]]*5%</f>
        <v>364724.17100000003</v>
      </c>
      <c r="S82" s="25">
        <f>Tabla18[[#This Row],[INSTALLER SIN IVA]]*1.19</f>
        <v>7294483.4199999999</v>
      </c>
      <c r="T82" s="13">
        <v>5580832</v>
      </c>
      <c r="U82" s="13">
        <v>6129818</v>
      </c>
      <c r="X82" s="24"/>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5"/>
    </row>
    <row r="83" spans="1:126" ht="40.5" x14ac:dyDescent="0.25">
      <c r="A83" s="54" t="s">
        <v>188</v>
      </c>
      <c r="B83" s="55" t="s">
        <v>189</v>
      </c>
      <c r="C83" s="46">
        <f>+Tabla18[[#This Row],[PRECIO SUGERIDO INSTALADOR]]</f>
        <v>5440553.8599999994</v>
      </c>
      <c r="D83" s="47">
        <f>+Tabla18[[#This Row],[PRECIO  INSTALADOR
( CON  IVA)]]-Tabla18[[#This Row],[dcto tienda]]</f>
        <v>5168526.1669999994</v>
      </c>
      <c r="E83" s="47">
        <f>+Tabla18[[#This Row],[DPP ORO]]</f>
        <v>4953353.58</v>
      </c>
      <c r="F83" s="47">
        <f>+Tabla18[[#This Row],[platino2]]</f>
        <v>4903820.0442000004</v>
      </c>
      <c r="G83" s="47">
        <f>+Tabla18[[#This Row],[PRECIO  INSTALADOR
( CON  IVA)]]/0.7</f>
        <v>7772219.7999999998</v>
      </c>
      <c r="H83" s="48"/>
      <c r="I83" s="13" t="e">
        <f t="shared" si="10"/>
        <v>#REF!</v>
      </c>
      <c r="J83" s="13" t="e">
        <f t="shared" si="11"/>
        <v>#REF!</v>
      </c>
      <c r="K83" s="15" t="e">
        <f t="shared" si="12"/>
        <v>#REF!</v>
      </c>
      <c r="L83" s="15" t="e">
        <f>+M83/#REF!</f>
        <v>#REF!</v>
      </c>
      <c r="M83" s="15">
        <f t="shared" si="13"/>
        <v>4903820.0442000004</v>
      </c>
      <c r="N83" s="14">
        <f t="shared" si="14"/>
        <v>49533.535800000005</v>
      </c>
      <c r="O83" s="13" t="e">
        <f>+P83/#REF!</f>
        <v>#REF!</v>
      </c>
      <c r="P83" s="14">
        <f>Tabla18[[#This Row],[ORO SIN IVA]]*1.19</f>
        <v>4953353.58</v>
      </c>
      <c r="Q83" s="13" t="e">
        <f>+S83/#REF!</f>
        <v>#REF!</v>
      </c>
      <c r="R83" s="13">
        <f>+Tabla18[[#This Row],[PRECIO SUGERIDO INSTALADOR]]*5%</f>
        <v>272027.69299999997</v>
      </c>
      <c r="S83" s="25">
        <f>Tabla18[[#This Row],[INSTALLER SIN IVA]]*1.19</f>
        <v>5440553.8599999994</v>
      </c>
      <c r="T83" s="13">
        <v>4162482</v>
      </c>
      <c r="U83" s="13">
        <v>4571894</v>
      </c>
      <c r="X83" s="24"/>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5"/>
    </row>
    <row r="84" spans="1:126" ht="40.5" x14ac:dyDescent="0.25">
      <c r="A84" s="54" t="s">
        <v>190</v>
      </c>
      <c r="B84" s="55" t="s">
        <v>191</v>
      </c>
      <c r="C84" s="46">
        <f>+Tabla18[[#This Row],[PRECIO SUGERIDO INSTALADOR]]</f>
        <v>944871.89999999991</v>
      </c>
      <c r="D84" s="47">
        <f>+Tabla18[[#This Row],[PRECIO  INSTALADOR
( CON  IVA)]]-Tabla18[[#This Row],[dcto tienda]]</f>
        <v>897628.30499999993</v>
      </c>
      <c r="E84" s="47">
        <f>+Tabla18[[#This Row],[DPP ORO]]</f>
        <v>835032.52</v>
      </c>
      <c r="F84" s="47">
        <f>+Tabla18[[#This Row],[platino2]]</f>
        <v>826682.19480000006</v>
      </c>
      <c r="G84" s="47">
        <f>+Tabla18[[#This Row],[PRECIO  INSTALADOR
( CON  IVA)]]/0.7</f>
        <v>1349817</v>
      </c>
      <c r="H84" s="48"/>
      <c r="I84" s="13" t="e">
        <f t="shared" si="10"/>
        <v>#REF!</v>
      </c>
      <c r="J84" s="13" t="e">
        <f t="shared" si="11"/>
        <v>#REF!</v>
      </c>
      <c r="K84" s="15" t="e">
        <f t="shared" si="12"/>
        <v>#REF!</v>
      </c>
      <c r="L84" s="15" t="e">
        <f>+M84/#REF!</f>
        <v>#REF!</v>
      </c>
      <c r="M84" s="15">
        <f t="shared" si="13"/>
        <v>826682.19480000006</v>
      </c>
      <c r="N84" s="14">
        <f t="shared" si="14"/>
        <v>8350.3252000000011</v>
      </c>
      <c r="O84" s="13" t="e">
        <f>+P84/#REF!</f>
        <v>#REF!</v>
      </c>
      <c r="P84" s="14">
        <f>Tabla18[[#This Row],[ORO SIN IVA]]*1.19</f>
        <v>835032.52</v>
      </c>
      <c r="Q84" s="13" t="e">
        <f>+S84/#REF!</f>
        <v>#REF!</v>
      </c>
      <c r="R84" s="13">
        <f>+Tabla18[[#This Row],[PRECIO SUGERIDO INSTALADOR]]*5%</f>
        <v>47243.595000000001</v>
      </c>
      <c r="S84" s="25">
        <f>Tabla18[[#This Row],[INSTALLER SIN IVA]]*1.19</f>
        <v>944871.89999999991</v>
      </c>
      <c r="T84" s="13">
        <v>701708</v>
      </c>
      <c r="U84" s="13">
        <v>794010</v>
      </c>
      <c r="X84" s="24"/>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5"/>
    </row>
    <row r="85" spans="1:126" ht="27" x14ac:dyDescent="0.25">
      <c r="A85" s="54" t="s">
        <v>192</v>
      </c>
      <c r="B85" s="55" t="s">
        <v>193</v>
      </c>
      <c r="C85" s="46">
        <f>+Tabla18[[#This Row],[PRECIO SUGERIDO INSTALADOR]]</f>
        <v>944871.89999999991</v>
      </c>
      <c r="D85" s="47">
        <f>+Tabla18[[#This Row],[PRECIO  INSTALADOR
( CON  IVA)]]-Tabla18[[#This Row],[dcto tienda]]</f>
        <v>897628.30499999993</v>
      </c>
      <c r="E85" s="47">
        <f>+Tabla18[[#This Row],[DPP ORO]]</f>
        <v>835032.52</v>
      </c>
      <c r="F85" s="47">
        <f>+Tabla18[[#This Row],[platino2]]</f>
        <v>826682.19480000006</v>
      </c>
      <c r="G85" s="47">
        <f>+Tabla18[[#This Row],[PRECIO  INSTALADOR
( CON  IVA)]]/0.7</f>
        <v>1349817</v>
      </c>
      <c r="H85" s="48"/>
      <c r="I85" s="13" t="e">
        <f t="shared" si="10"/>
        <v>#REF!</v>
      </c>
      <c r="J85" s="13" t="e">
        <f t="shared" si="11"/>
        <v>#REF!</v>
      </c>
      <c r="K85" s="15" t="e">
        <f t="shared" si="12"/>
        <v>#REF!</v>
      </c>
      <c r="L85" s="15" t="e">
        <f>+M85/#REF!</f>
        <v>#REF!</v>
      </c>
      <c r="M85" s="15">
        <f t="shared" si="13"/>
        <v>826682.19480000006</v>
      </c>
      <c r="N85" s="14">
        <f t="shared" si="14"/>
        <v>8350.3252000000011</v>
      </c>
      <c r="O85" s="13" t="e">
        <f>+P85/#REF!</f>
        <v>#REF!</v>
      </c>
      <c r="P85" s="14">
        <f>Tabla18[[#This Row],[ORO SIN IVA]]*1.19</f>
        <v>835032.52</v>
      </c>
      <c r="Q85" s="13" t="e">
        <f>+S85/#REF!</f>
        <v>#REF!</v>
      </c>
      <c r="R85" s="13">
        <f>+Tabla18[[#This Row],[PRECIO SUGERIDO INSTALADOR]]*5%</f>
        <v>47243.595000000001</v>
      </c>
      <c r="S85" s="25">
        <f>Tabla18[[#This Row],[INSTALLER SIN IVA]]*1.19</f>
        <v>944871.89999999991</v>
      </c>
      <c r="T85" s="13">
        <v>701708</v>
      </c>
      <c r="U85" s="13">
        <v>794010</v>
      </c>
      <c r="X85" s="24"/>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5"/>
    </row>
    <row r="86" spans="1:126" ht="40.5" x14ac:dyDescent="0.25">
      <c r="A86" s="54" t="s">
        <v>194</v>
      </c>
      <c r="B86" s="55" t="s">
        <v>195</v>
      </c>
      <c r="C86" s="46">
        <f>+Tabla18[[#This Row],[PRECIO SUGERIDO INSTALADOR]]</f>
        <v>1714561.52</v>
      </c>
      <c r="D86" s="47">
        <f>+Tabla18[[#This Row],[PRECIO  INSTALADOR
( CON  IVA)]]-Tabla18[[#This Row],[dcto tienda]]</f>
        <v>1628833.4440000001</v>
      </c>
      <c r="E86" s="47">
        <f>+Tabla18[[#This Row],[DPP ORO]]</f>
        <v>1463680.96</v>
      </c>
      <c r="F86" s="47">
        <f>+Tabla18[[#This Row],[platino2]]</f>
        <v>1449044.1503999999</v>
      </c>
      <c r="G86" s="47">
        <f>+Tabla18[[#This Row],[PRECIO  INSTALADOR
( CON  IVA)]]/0.7</f>
        <v>2449373.6</v>
      </c>
      <c r="H86" s="48"/>
      <c r="I86" s="13" t="e">
        <f t="shared" si="10"/>
        <v>#REF!</v>
      </c>
      <c r="J86" s="13" t="e">
        <f t="shared" si="11"/>
        <v>#REF!</v>
      </c>
      <c r="K86" s="15" t="e">
        <f t="shared" si="12"/>
        <v>#REF!</v>
      </c>
      <c r="L86" s="15" t="e">
        <f>+M86/#REF!</f>
        <v>#REF!</v>
      </c>
      <c r="M86" s="15">
        <f t="shared" si="13"/>
        <v>1449044.1503999999</v>
      </c>
      <c r="N86" s="14">
        <f t="shared" si="14"/>
        <v>14636.809600000001</v>
      </c>
      <c r="O86" s="13" t="e">
        <f>+P86/#REF!</f>
        <v>#REF!</v>
      </c>
      <c r="P86" s="14">
        <f>Tabla18[[#This Row],[ORO SIN IVA]]*1.19</f>
        <v>1463680.96</v>
      </c>
      <c r="Q86" s="13" t="e">
        <f>+S86/#REF!</f>
        <v>#REF!</v>
      </c>
      <c r="R86" s="13">
        <f>+Tabla18[[#This Row],[PRECIO SUGERIDO INSTALADOR]]*5%</f>
        <v>85728.076000000001</v>
      </c>
      <c r="S86" s="25">
        <f>Tabla18[[#This Row],[INSTALLER SIN IVA]]*1.19</f>
        <v>1714561.52</v>
      </c>
      <c r="T86" s="13">
        <v>1229984</v>
      </c>
      <c r="U86" s="13">
        <v>1440808</v>
      </c>
      <c r="X86" s="24"/>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5"/>
    </row>
    <row r="87" spans="1:126" ht="81" x14ac:dyDescent="0.25">
      <c r="A87" s="54" t="s">
        <v>196</v>
      </c>
      <c r="B87" s="55" t="s">
        <v>197</v>
      </c>
      <c r="C87" s="46">
        <f>+Tabla18[[#This Row],[PRECIO SUGERIDO INSTALADOR]]</f>
        <v>1762539.94</v>
      </c>
      <c r="D87" s="47">
        <f>+Tabla18[[#This Row],[PRECIO  INSTALADOR
( CON  IVA)]]-Tabla18[[#This Row],[dcto tienda]]</f>
        <v>1674412.943</v>
      </c>
      <c r="E87" s="47">
        <f>+Tabla18[[#This Row],[DPP ORO]]</f>
        <v>1504605.0599999998</v>
      </c>
      <c r="F87" s="47">
        <f>+Tabla18[[#This Row],[platino2]]</f>
        <v>1489559.0093999999</v>
      </c>
      <c r="G87" s="47">
        <f>+Tabla18[[#This Row],[PRECIO  INSTALADOR
( CON  IVA)]]/0.7</f>
        <v>2517914.2000000002</v>
      </c>
      <c r="H87" s="48"/>
      <c r="I87" s="13" t="e">
        <f t="shared" si="10"/>
        <v>#REF!</v>
      </c>
      <c r="J87" s="13" t="e">
        <f t="shared" si="11"/>
        <v>#REF!</v>
      </c>
      <c r="K87" s="15" t="e">
        <f t="shared" si="12"/>
        <v>#REF!</v>
      </c>
      <c r="L87" s="15" t="e">
        <f>+M87/#REF!</f>
        <v>#REF!</v>
      </c>
      <c r="M87" s="15">
        <f t="shared" si="13"/>
        <v>1489559.0093999999</v>
      </c>
      <c r="N87" s="14">
        <f t="shared" si="14"/>
        <v>15046.050599999999</v>
      </c>
      <c r="O87" s="13" t="e">
        <f>+P87/#REF!</f>
        <v>#REF!</v>
      </c>
      <c r="P87" s="14">
        <f>Tabla18[[#This Row],[ORO SIN IVA]]*1.19</f>
        <v>1504605.0599999998</v>
      </c>
      <c r="Q87" s="13" t="e">
        <f>+S87/#REF!</f>
        <v>#REF!</v>
      </c>
      <c r="R87" s="13">
        <f>+Tabla18[[#This Row],[PRECIO SUGERIDO INSTALADOR]]*5%</f>
        <v>88126.997000000003</v>
      </c>
      <c r="S87" s="25">
        <f>Tabla18[[#This Row],[INSTALLER SIN IVA]]*1.19</f>
        <v>1762539.94</v>
      </c>
      <c r="T87" s="13">
        <v>1264374</v>
      </c>
      <c r="U87" s="13">
        <v>1481126</v>
      </c>
      <c r="X87" s="24"/>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5"/>
    </row>
    <row r="88" spans="1:126" ht="67.5" x14ac:dyDescent="0.25">
      <c r="A88" s="54" t="s">
        <v>198</v>
      </c>
      <c r="B88" s="55" t="s">
        <v>199</v>
      </c>
      <c r="C88" s="46">
        <f>+Tabla18[[#This Row],[PRECIO SUGERIDO INSTALADOR]]</f>
        <v>1281399.1399999999</v>
      </c>
      <c r="D88" s="47">
        <f>+Tabla18[[#This Row],[PRECIO  INSTALADOR
( CON  IVA)]]-Tabla18[[#This Row],[dcto tienda]]</f>
        <v>1217329.183</v>
      </c>
      <c r="E88" s="47">
        <f>+Tabla18[[#This Row],[DPP ORO]]</f>
        <v>1092424.76</v>
      </c>
      <c r="F88" s="47">
        <f>+Tabla18[[#This Row],[platino2]]</f>
        <v>1081500.5124000001</v>
      </c>
      <c r="G88" s="47">
        <f>+Tabla18[[#This Row],[PRECIO  INSTALADOR
( CON  IVA)]]/0.7</f>
        <v>1830570.2</v>
      </c>
      <c r="H88" s="48"/>
      <c r="I88" s="13" t="e">
        <f t="shared" si="10"/>
        <v>#REF!</v>
      </c>
      <c r="J88" s="13" t="e">
        <f t="shared" si="11"/>
        <v>#REF!</v>
      </c>
      <c r="K88" s="15" t="e">
        <f t="shared" si="12"/>
        <v>#REF!</v>
      </c>
      <c r="L88" s="15" t="e">
        <f>+M88/#REF!</f>
        <v>#REF!</v>
      </c>
      <c r="M88" s="15">
        <f t="shared" si="13"/>
        <v>1081500.5124000001</v>
      </c>
      <c r="N88" s="14">
        <f t="shared" si="14"/>
        <v>10924.247600000001</v>
      </c>
      <c r="O88" s="13" t="e">
        <f>+P88/#REF!</f>
        <v>#REF!</v>
      </c>
      <c r="P88" s="14">
        <f>Tabla18[[#This Row],[ORO SIN IVA]]*1.19</f>
        <v>1092424.76</v>
      </c>
      <c r="Q88" s="13" t="e">
        <f>+S88/#REF!</f>
        <v>#REF!</v>
      </c>
      <c r="R88" s="13">
        <f>+Tabla18[[#This Row],[PRECIO SUGERIDO INSTALADOR]]*5%</f>
        <v>64069.956999999995</v>
      </c>
      <c r="S88" s="25">
        <f>Tabla18[[#This Row],[INSTALLER SIN IVA]]*1.19</f>
        <v>1281399.1399999999</v>
      </c>
      <c r="T88" s="13">
        <v>918004</v>
      </c>
      <c r="U88" s="13">
        <v>1076806</v>
      </c>
      <c r="X88" s="24"/>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5"/>
    </row>
    <row r="89" spans="1:126" ht="40.5" x14ac:dyDescent="0.25">
      <c r="A89" s="54" t="s">
        <v>23</v>
      </c>
      <c r="B89" s="55" t="s">
        <v>22</v>
      </c>
      <c r="C89" s="46">
        <f>+Tabla18[[#This Row],[PRECIO SUGERIDO INSTALADOR]]</f>
        <v>4671678.2</v>
      </c>
      <c r="D89" s="47">
        <f>+Tabla18[[#This Row],[PRECIO  INSTALADOR
( CON  IVA)]]-Tabla18[[#This Row],[dcto tienda]]</f>
        <v>4438094.29</v>
      </c>
      <c r="E89" s="47">
        <f>+Tabla18[[#This Row],[DPP ORO]]</f>
        <v>3874268.7199999997</v>
      </c>
      <c r="F89" s="47">
        <f>+Tabla18[[#This Row],[platino2]]</f>
        <v>3835526.0327999997</v>
      </c>
      <c r="G89" s="47">
        <f>+Tabla18[[#This Row],[PRECIO  INSTALADOR
( CON  IVA)]]/0.7</f>
        <v>6673826.0000000009</v>
      </c>
      <c r="H89" s="48"/>
      <c r="I89" s="13" t="e">
        <f t="shared" si="10"/>
        <v>#REF!</v>
      </c>
      <c r="J89" s="13" t="e">
        <f t="shared" si="11"/>
        <v>#REF!</v>
      </c>
      <c r="K89" s="15" t="e">
        <f t="shared" si="12"/>
        <v>#REF!</v>
      </c>
      <c r="L89" s="15" t="e">
        <f>+M89/#REF!</f>
        <v>#REF!</v>
      </c>
      <c r="M89" s="15">
        <f t="shared" si="13"/>
        <v>3835526.0327999997</v>
      </c>
      <c r="N89" s="14">
        <f t="shared" si="14"/>
        <v>38742.6872</v>
      </c>
      <c r="O89" s="13" t="e">
        <f>+P89/#REF!</f>
        <v>#REF!</v>
      </c>
      <c r="P89" s="14">
        <f>Tabla18[[#This Row],[ORO SIN IVA]]*1.19</f>
        <v>3874268.7199999997</v>
      </c>
      <c r="Q89" s="13" t="e">
        <f>+S89/#REF!</f>
        <v>#REF!</v>
      </c>
      <c r="R89" s="13">
        <f>+Tabla18[[#This Row],[PRECIO SUGERIDO INSTALADOR]]*5%</f>
        <v>233583.91000000003</v>
      </c>
      <c r="S89" s="25">
        <f>Tabla18[[#This Row],[INSTALLER SIN IVA]]*1.19</f>
        <v>4671678.2</v>
      </c>
      <c r="T89" s="13">
        <v>3255688</v>
      </c>
      <c r="U89" s="13">
        <v>3925780.0000000005</v>
      </c>
      <c r="X89" s="24"/>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5"/>
    </row>
    <row r="90" spans="1:126" ht="40.5" x14ac:dyDescent="0.25">
      <c r="A90" s="54" t="s">
        <v>200</v>
      </c>
      <c r="B90" s="55" t="s">
        <v>201</v>
      </c>
      <c r="C90" s="46">
        <f>+Tabla18[[#This Row],[PRECIO SUGERIDO INSTALADOR]]</f>
        <v>11559498.16</v>
      </c>
      <c r="D90" s="47">
        <f>+Tabla18[[#This Row],[PRECIO  INSTALADOR
( CON  IVA)]]-Tabla18[[#This Row],[dcto tienda]]</f>
        <v>10981523.252</v>
      </c>
      <c r="E90" s="47">
        <f>+Tabla18[[#This Row],[DPP ORO]]</f>
        <v>10524321.92</v>
      </c>
      <c r="F90" s="47">
        <f>+Tabla18[[#This Row],[platino2]]</f>
        <v>10419078.7008</v>
      </c>
      <c r="G90" s="47">
        <f>+Tabla18[[#This Row],[PRECIO  INSTALADOR
( CON  IVA)]]/0.7</f>
        <v>16513568.800000001</v>
      </c>
      <c r="H90" s="48"/>
      <c r="I90" s="13" t="e">
        <f t="shared" si="10"/>
        <v>#REF!</v>
      </c>
      <c r="J90" s="13" t="e">
        <f t="shared" si="11"/>
        <v>#REF!</v>
      </c>
      <c r="K90" s="15" t="e">
        <f t="shared" si="12"/>
        <v>#REF!</v>
      </c>
      <c r="L90" s="15" t="e">
        <f>+M90/#REF!</f>
        <v>#REF!</v>
      </c>
      <c r="M90" s="15">
        <f t="shared" si="13"/>
        <v>10419078.7008</v>
      </c>
      <c r="N90" s="14">
        <f t="shared" si="14"/>
        <v>105243.21920000001</v>
      </c>
      <c r="O90" s="13" t="e">
        <f>+P90/#REF!</f>
        <v>#REF!</v>
      </c>
      <c r="P90" s="14">
        <f>Tabla18[[#This Row],[ORO SIN IVA]]*1.19</f>
        <v>10524321.92</v>
      </c>
      <c r="Q90" s="13" t="e">
        <f>+S90/#REF!</f>
        <v>#REF!</v>
      </c>
      <c r="R90" s="13">
        <f>+Tabla18[[#This Row],[PRECIO SUGERIDO INSTALADOR]]*5%</f>
        <v>577974.90800000005</v>
      </c>
      <c r="S90" s="25">
        <f>Tabla18[[#This Row],[INSTALLER SIN IVA]]*1.19</f>
        <v>11559498.16</v>
      </c>
      <c r="T90" s="13">
        <v>8843968</v>
      </c>
      <c r="U90" s="13">
        <v>9713864</v>
      </c>
      <c r="X90" s="24"/>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5"/>
    </row>
    <row r="91" spans="1:126" ht="40.5" x14ac:dyDescent="0.25">
      <c r="A91" s="54" t="s">
        <v>202</v>
      </c>
      <c r="B91" s="55" t="s">
        <v>203</v>
      </c>
      <c r="C91" s="46">
        <f>+Tabla18[[#This Row],[PRECIO SUGERIDO INSTALADOR]]</f>
        <v>4916137.5199999996</v>
      </c>
      <c r="D91" s="47">
        <f>+Tabla18[[#This Row],[PRECIO  INSTALADOR
( CON  IVA)]]-Tabla18[[#This Row],[dcto tienda]]</f>
        <v>4670330.6439999994</v>
      </c>
      <c r="E91" s="47">
        <f>+Tabla18[[#This Row],[DPP ORO]]</f>
        <v>4475830.38</v>
      </c>
      <c r="F91" s="47">
        <f>+Tabla18[[#This Row],[platino2]]</f>
        <v>4431072.0762</v>
      </c>
      <c r="G91" s="47">
        <f>+Tabla18[[#This Row],[PRECIO  INSTALADOR
( CON  IVA)]]/0.7</f>
        <v>7023053.5999999996</v>
      </c>
      <c r="H91" s="48"/>
      <c r="I91" s="13" t="e">
        <f t="shared" si="10"/>
        <v>#REF!</v>
      </c>
      <c r="J91" s="13" t="e">
        <f t="shared" si="11"/>
        <v>#REF!</v>
      </c>
      <c r="K91" s="15" t="e">
        <f t="shared" si="12"/>
        <v>#REF!</v>
      </c>
      <c r="L91" s="15" t="e">
        <f>+M91/#REF!</f>
        <v>#REF!</v>
      </c>
      <c r="M91" s="15">
        <f t="shared" si="13"/>
        <v>4431072.0762</v>
      </c>
      <c r="N91" s="14">
        <f t="shared" si="14"/>
        <v>44758.303800000002</v>
      </c>
      <c r="O91" s="13" t="e">
        <f>+P91/#REF!</f>
        <v>#REF!</v>
      </c>
      <c r="P91" s="14">
        <f>Tabla18[[#This Row],[ORO SIN IVA]]*1.19</f>
        <v>4475830.38</v>
      </c>
      <c r="Q91" s="13" t="e">
        <f>+S91/#REF!</f>
        <v>#REF!</v>
      </c>
      <c r="R91" s="13">
        <f>+Tabla18[[#This Row],[PRECIO SUGERIDO INSTALADOR]]*5%</f>
        <v>245806.87599999999</v>
      </c>
      <c r="S91" s="25">
        <f>Tabla18[[#This Row],[INSTALLER SIN IVA]]*1.19</f>
        <v>4916137.5199999996</v>
      </c>
      <c r="T91" s="13">
        <v>3761202</v>
      </c>
      <c r="U91" s="13">
        <v>4131208</v>
      </c>
      <c r="X91" s="24"/>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5"/>
    </row>
    <row r="92" spans="1:126" ht="40.5" x14ac:dyDescent="0.25">
      <c r="A92" s="54" t="s">
        <v>204</v>
      </c>
      <c r="B92" s="55" t="s">
        <v>205</v>
      </c>
      <c r="C92" s="46">
        <f>+Tabla18[[#This Row],[PRECIO SUGERIDO INSTALADOR]]</f>
        <v>552995.38</v>
      </c>
      <c r="D92" s="47">
        <f>+Tabla18[[#This Row],[PRECIO  INSTALADOR
( CON  IVA)]]-Tabla18[[#This Row],[dcto tienda]]</f>
        <v>525345.61100000003</v>
      </c>
      <c r="E92" s="47">
        <f>+Tabla18[[#This Row],[DPP ORO]]</f>
        <v>518849.51999999996</v>
      </c>
      <c r="F92" s="47">
        <f>+Tabla18[[#This Row],[platino2]]</f>
        <v>513661.02479999996</v>
      </c>
      <c r="G92" s="47">
        <f>+Tabla18[[#This Row],[PRECIO  INSTALADOR
( CON  IVA)]]/0.7</f>
        <v>789993.4</v>
      </c>
      <c r="H92" s="48"/>
      <c r="I92" s="13" t="e">
        <f t="shared" si="10"/>
        <v>#REF!</v>
      </c>
      <c r="J92" s="13" t="e">
        <f t="shared" si="11"/>
        <v>#REF!</v>
      </c>
      <c r="K92" s="15" t="e">
        <f t="shared" si="12"/>
        <v>#REF!</v>
      </c>
      <c r="L92" s="15" t="e">
        <f>+M92/#REF!</f>
        <v>#REF!</v>
      </c>
      <c r="M92" s="15">
        <f t="shared" si="13"/>
        <v>513661.02479999996</v>
      </c>
      <c r="N92" s="14">
        <f t="shared" si="14"/>
        <v>5188.4951999999994</v>
      </c>
      <c r="O92" s="13" t="e">
        <f>+P92/#REF!</f>
        <v>#REF!</v>
      </c>
      <c r="P92" s="14">
        <f>Tabla18[[#This Row],[ORO SIN IVA]]*1.19</f>
        <v>518849.51999999996</v>
      </c>
      <c r="Q92" s="13" t="e">
        <f>+S92/#REF!</f>
        <v>#REF!</v>
      </c>
      <c r="R92" s="13">
        <f>+Tabla18[[#This Row],[PRECIO SUGERIDO INSTALADOR]]*5%</f>
        <v>27649.769</v>
      </c>
      <c r="S92" s="25">
        <f>Tabla18[[#This Row],[INSTALLER SIN IVA]]*1.19</f>
        <v>552995.38</v>
      </c>
      <c r="T92" s="13">
        <v>436008</v>
      </c>
      <c r="U92" s="13">
        <v>464702</v>
      </c>
      <c r="X92" s="24"/>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5"/>
    </row>
    <row r="93" spans="1:126" ht="40.5" x14ac:dyDescent="0.25">
      <c r="A93" s="54" t="s">
        <v>206</v>
      </c>
      <c r="B93" s="55" t="s">
        <v>207</v>
      </c>
      <c r="C93" s="46">
        <f>+Tabla18[[#This Row],[PRECIO SUGERIDO INSTALADOR]]</f>
        <v>515688.88</v>
      </c>
      <c r="D93" s="47">
        <f>+Tabla18[[#This Row],[PRECIO  INSTALADOR
( CON  IVA)]]-Tabla18[[#This Row],[dcto tienda]]</f>
        <v>489904.43599999999</v>
      </c>
      <c r="E93" s="47">
        <f>+Tabla18[[#This Row],[DPP ORO]]</f>
        <v>483899.22</v>
      </c>
      <c r="F93" s="47">
        <f>+Tabla18[[#This Row],[platino2]]</f>
        <v>479060.22779999999</v>
      </c>
      <c r="G93" s="47">
        <f>+Tabla18[[#This Row],[PRECIO  INSTALADOR
( CON  IVA)]]/0.7</f>
        <v>736698.4</v>
      </c>
      <c r="H93" s="48"/>
      <c r="I93" s="13" t="e">
        <f t="shared" si="10"/>
        <v>#REF!</v>
      </c>
      <c r="J93" s="13" t="e">
        <f t="shared" si="11"/>
        <v>#REF!</v>
      </c>
      <c r="K93" s="15" t="e">
        <f t="shared" si="12"/>
        <v>#REF!</v>
      </c>
      <c r="L93" s="15" t="e">
        <f>+M93/#REF!</f>
        <v>#REF!</v>
      </c>
      <c r="M93" s="15">
        <f t="shared" si="13"/>
        <v>479060.22779999999</v>
      </c>
      <c r="N93" s="14">
        <f t="shared" si="14"/>
        <v>4838.9921999999997</v>
      </c>
      <c r="O93" s="13" t="e">
        <f>+P93/#REF!</f>
        <v>#REF!</v>
      </c>
      <c r="P93" s="14">
        <f>Tabla18[[#This Row],[ORO SIN IVA]]*1.19</f>
        <v>483899.22</v>
      </c>
      <c r="Q93" s="13" t="e">
        <f>+S93/#REF!</f>
        <v>#REF!</v>
      </c>
      <c r="R93" s="13">
        <f>+Tabla18[[#This Row],[PRECIO SUGERIDO INSTALADOR]]*5%</f>
        <v>25784.444000000003</v>
      </c>
      <c r="S93" s="25">
        <f>Tabla18[[#This Row],[INSTALLER SIN IVA]]*1.19</f>
        <v>515688.88</v>
      </c>
      <c r="T93" s="13">
        <v>406638</v>
      </c>
      <c r="U93" s="13">
        <v>433352</v>
      </c>
      <c r="X93" s="24"/>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5"/>
    </row>
    <row r="94" spans="1:126" ht="54" x14ac:dyDescent="0.25">
      <c r="A94" s="54" t="s">
        <v>208</v>
      </c>
      <c r="B94" s="55" t="s">
        <v>209</v>
      </c>
      <c r="C94" s="46">
        <f>+Tabla18[[#This Row],[PRECIO SUGERIDO INSTALADOR]]</f>
        <v>134665.16</v>
      </c>
      <c r="D94" s="47">
        <f>+Tabla18[[#This Row],[PRECIO  INSTALADOR
( CON  IVA)]]-Tabla18[[#This Row],[dcto tienda]]</f>
        <v>127931.902</v>
      </c>
      <c r="E94" s="47">
        <f>+Tabla18[[#This Row],[DPP ORO]]</f>
        <v>114813.58</v>
      </c>
      <c r="F94" s="47">
        <f>+Tabla18[[#This Row],[platino2]]</f>
        <v>113665.4442</v>
      </c>
      <c r="G94" s="47">
        <f>+Tabla18[[#This Row],[PRECIO  INSTALADOR
( CON  IVA)]]/0.7</f>
        <v>192378.80000000002</v>
      </c>
      <c r="H94" s="48"/>
      <c r="I94" s="13" t="e">
        <f t="shared" si="10"/>
        <v>#REF!</v>
      </c>
      <c r="J94" s="13" t="e">
        <f t="shared" si="11"/>
        <v>#REF!</v>
      </c>
      <c r="K94" s="15" t="e">
        <f t="shared" si="12"/>
        <v>#REF!</v>
      </c>
      <c r="L94" s="15" t="e">
        <f>+M94/#REF!</f>
        <v>#REF!</v>
      </c>
      <c r="M94" s="15">
        <f t="shared" si="13"/>
        <v>113665.4442</v>
      </c>
      <c r="N94" s="14">
        <f t="shared" si="14"/>
        <v>1148.1358</v>
      </c>
      <c r="O94" s="13" t="e">
        <f>+P94/#REF!</f>
        <v>#REF!</v>
      </c>
      <c r="P94" s="14">
        <f>Tabla18[[#This Row],[ORO SIN IVA]]*1.19</f>
        <v>114813.58</v>
      </c>
      <c r="Q94" s="13" t="e">
        <f>+S94/#REF!</f>
        <v>#REF!</v>
      </c>
      <c r="R94" s="13">
        <f>+Tabla18[[#This Row],[PRECIO SUGERIDO INSTALADOR]]*5%</f>
        <v>6733.2580000000007</v>
      </c>
      <c r="S94" s="25">
        <f>Tabla18[[#This Row],[INSTALLER SIN IVA]]*1.19</f>
        <v>134665.16</v>
      </c>
      <c r="T94" s="13">
        <v>96482</v>
      </c>
      <c r="U94" s="13">
        <v>113164.00000000001</v>
      </c>
      <c r="X94" s="24"/>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5"/>
    </row>
    <row r="95" spans="1:126" ht="81" x14ac:dyDescent="0.25">
      <c r="A95" s="54" t="s">
        <v>210</v>
      </c>
      <c r="B95" s="55" t="s">
        <v>211</v>
      </c>
      <c r="C95" s="46">
        <f>+Tabla18[[#This Row],[PRECIO SUGERIDO INSTALADOR]]</f>
        <v>2150437.1</v>
      </c>
      <c r="D95" s="47">
        <f>+Tabla18[[#This Row],[PRECIO  INSTALADOR
( CON  IVA)]]-Tabla18[[#This Row],[dcto tienda]]</f>
        <v>2042915.2450000001</v>
      </c>
      <c r="E95" s="47">
        <f>+Tabla18[[#This Row],[DPP ORO]]</f>
        <v>1781577.5599999998</v>
      </c>
      <c r="F95" s="47">
        <f>+Tabla18[[#This Row],[platino2]]</f>
        <v>1763761.7843999998</v>
      </c>
      <c r="G95" s="47">
        <f>+Tabla18[[#This Row],[PRECIO  INSTALADOR
( CON  IVA)]]/0.7</f>
        <v>3072053.0000000005</v>
      </c>
      <c r="H95" s="48"/>
      <c r="I95" s="13" t="e">
        <f t="shared" si="10"/>
        <v>#REF!</v>
      </c>
      <c r="J95" s="13" t="e">
        <f t="shared" si="11"/>
        <v>#REF!</v>
      </c>
      <c r="K95" s="15" t="e">
        <f t="shared" si="12"/>
        <v>#REF!</v>
      </c>
      <c r="L95" s="15" t="e">
        <f>+M95/#REF!</f>
        <v>#REF!</v>
      </c>
      <c r="M95" s="15">
        <f t="shared" si="13"/>
        <v>1763761.7843999998</v>
      </c>
      <c r="N95" s="14">
        <f t="shared" si="14"/>
        <v>17815.775599999997</v>
      </c>
      <c r="O95" s="13" t="e">
        <f>+P95/#REF!</f>
        <v>#REF!</v>
      </c>
      <c r="P95" s="14">
        <f>Tabla18[[#This Row],[ORO SIN IVA]]*1.19</f>
        <v>1781577.5599999998</v>
      </c>
      <c r="Q95" s="13" t="e">
        <f>+S95/#REF!</f>
        <v>#REF!</v>
      </c>
      <c r="R95" s="13">
        <f>+Tabla18[[#This Row],[PRECIO SUGERIDO INSTALADOR]]*5%</f>
        <v>107521.85500000001</v>
      </c>
      <c r="S95" s="25">
        <f>Tabla18[[#This Row],[INSTALLER SIN IVA]]*1.19</f>
        <v>2150437.1</v>
      </c>
      <c r="T95" s="13">
        <v>1497124</v>
      </c>
      <c r="U95" s="13">
        <v>1807090.0000000002</v>
      </c>
      <c r="X95" s="24"/>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5"/>
    </row>
    <row r="96" spans="1:126" ht="67.5" x14ac:dyDescent="0.25">
      <c r="A96" s="54" t="s">
        <v>31</v>
      </c>
      <c r="B96" s="55" t="s">
        <v>212</v>
      </c>
      <c r="C96" s="46">
        <f>+Tabla18[[#This Row],[PRECIO SUGERIDO INSTALADOR]]</f>
        <v>2033091.2</v>
      </c>
      <c r="D96" s="47">
        <f>+Tabla18[[#This Row],[PRECIO  INSTALADOR
( CON  IVA)]]-Tabla18[[#This Row],[dcto tienda]]</f>
        <v>1931436.64</v>
      </c>
      <c r="E96" s="47">
        <f>+Tabla18[[#This Row],[DPP ORO]]</f>
        <v>1684399.78</v>
      </c>
      <c r="F96" s="47">
        <f>+Tabla18[[#This Row],[platino2]]</f>
        <v>1667555.7822</v>
      </c>
      <c r="G96" s="47">
        <f>+Tabla18[[#This Row],[PRECIO  INSTALADOR
( CON  IVA)]]/0.7</f>
        <v>2904416</v>
      </c>
      <c r="H96" s="48"/>
      <c r="I96" s="13" t="e">
        <f t="shared" si="10"/>
        <v>#REF!</v>
      </c>
      <c r="J96" s="13" t="e">
        <f t="shared" si="11"/>
        <v>#REF!</v>
      </c>
      <c r="K96" s="15" t="e">
        <f t="shared" si="12"/>
        <v>#REF!</v>
      </c>
      <c r="L96" s="15" t="e">
        <f>+M96/#REF!</f>
        <v>#REF!</v>
      </c>
      <c r="M96" s="15">
        <f t="shared" si="13"/>
        <v>1667555.7822</v>
      </c>
      <c r="N96" s="14">
        <f t="shared" si="14"/>
        <v>16843.997800000001</v>
      </c>
      <c r="O96" s="13" t="e">
        <f>+P96/#REF!</f>
        <v>#REF!</v>
      </c>
      <c r="P96" s="14">
        <f>Tabla18[[#This Row],[ORO SIN IVA]]*1.19</f>
        <v>1684399.78</v>
      </c>
      <c r="Q96" s="13" t="e">
        <f>+S96/#REF!</f>
        <v>#REF!</v>
      </c>
      <c r="R96" s="13">
        <f>+Tabla18[[#This Row],[PRECIO SUGERIDO INSTALADOR]]*5%</f>
        <v>101654.56</v>
      </c>
      <c r="S96" s="25">
        <f>Tabla18[[#This Row],[INSTALLER SIN IVA]]*1.19</f>
        <v>2033091.2</v>
      </c>
      <c r="T96" s="13">
        <v>1415462</v>
      </c>
      <c r="U96" s="13">
        <v>1708480</v>
      </c>
      <c r="X96" s="24"/>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5"/>
    </row>
    <row r="97" spans="1:126" ht="81" x14ac:dyDescent="0.25">
      <c r="A97" s="54" t="s">
        <v>32</v>
      </c>
      <c r="B97" s="55" t="s">
        <v>213</v>
      </c>
      <c r="C97" s="46">
        <f>+Tabla18[[#This Row],[PRECIO SUGERIDO INSTALADOR]]</f>
        <v>2150437.1</v>
      </c>
      <c r="D97" s="47">
        <f>+Tabla18[[#This Row],[PRECIO  INSTALADOR
( CON  IVA)]]-Tabla18[[#This Row],[dcto tienda]]</f>
        <v>2042915.2450000001</v>
      </c>
      <c r="E97" s="47">
        <f>+Tabla18[[#This Row],[DPP ORO]]</f>
        <v>1781577.5599999998</v>
      </c>
      <c r="F97" s="47">
        <f>+Tabla18[[#This Row],[platino2]]</f>
        <v>1763761.7843999998</v>
      </c>
      <c r="G97" s="47">
        <f>+Tabla18[[#This Row],[PRECIO  INSTALADOR
( CON  IVA)]]/0.7</f>
        <v>3072053.0000000005</v>
      </c>
      <c r="H97" s="48"/>
      <c r="I97" s="13" t="e">
        <f t="shared" si="10"/>
        <v>#REF!</v>
      </c>
      <c r="J97" s="13" t="e">
        <f t="shared" si="11"/>
        <v>#REF!</v>
      </c>
      <c r="K97" s="15" t="e">
        <f t="shared" si="12"/>
        <v>#REF!</v>
      </c>
      <c r="L97" s="15" t="e">
        <f>+M97/#REF!</f>
        <v>#REF!</v>
      </c>
      <c r="M97" s="15">
        <f t="shared" si="13"/>
        <v>1763761.7843999998</v>
      </c>
      <c r="N97" s="14">
        <f t="shared" si="14"/>
        <v>17815.775599999997</v>
      </c>
      <c r="O97" s="13" t="e">
        <f>+P97/#REF!</f>
        <v>#REF!</v>
      </c>
      <c r="P97" s="14">
        <f>Tabla18[[#This Row],[ORO SIN IVA]]*1.19</f>
        <v>1781577.5599999998</v>
      </c>
      <c r="Q97" s="13" t="e">
        <f>+S97/#REF!</f>
        <v>#REF!</v>
      </c>
      <c r="R97" s="13">
        <f>+Tabla18[[#This Row],[PRECIO SUGERIDO INSTALADOR]]*5%</f>
        <v>107521.85500000001</v>
      </c>
      <c r="S97" s="25">
        <f>Tabla18[[#This Row],[INSTALLER SIN IVA]]*1.19</f>
        <v>2150437.1</v>
      </c>
      <c r="T97" s="13">
        <v>1497124</v>
      </c>
      <c r="U97" s="13">
        <v>1807090.0000000002</v>
      </c>
      <c r="X97" s="24"/>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5"/>
    </row>
    <row r="98" spans="1:126" ht="67.5" x14ac:dyDescent="0.25">
      <c r="A98" s="54" t="s">
        <v>214</v>
      </c>
      <c r="B98" s="55" t="s">
        <v>212</v>
      </c>
      <c r="C98" s="46">
        <f>+Tabla18[[#This Row],[PRECIO SUGERIDO INSTALADOR]]</f>
        <v>2033091.2</v>
      </c>
      <c r="D98" s="47">
        <f>+Tabla18[[#This Row],[PRECIO  INSTALADOR
( CON  IVA)]]-Tabla18[[#This Row],[dcto tienda]]</f>
        <v>1931436.64</v>
      </c>
      <c r="E98" s="47">
        <f>+Tabla18[[#This Row],[DPP ORO]]</f>
        <v>1684399.78</v>
      </c>
      <c r="F98" s="47">
        <f>+Tabla18[[#This Row],[platino2]]</f>
        <v>1667555.7822</v>
      </c>
      <c r="G98" s="47">
        <f>+Tabla18[[#This Row],[PRECIO  INSTALADOR
( CON  IVA)]]/0.7</f>
        <v>2904416</v>
      </c>
      <c r="H98" s="48"/>
      <c r="I98" s="13" t="e">
        <f t="shared" si="10"/>
        <v>#REF!</v>
      </c>
      <c r="J98" s="13" t="e">
        <f t="shared" si="11"/>
        <v>#REF!</v>
      </c>
      <c r="K98" s="15" t="e">
        <f t="shared" si="12"/>
        <v>#REF!</v>
      </c>
      <c r="L98" s="15" t="e">
        <f>+M98/#REF!</f>
        <v>#REF!</v>
      </c>
      <c r="M98" s="15">
        <f t="shared" si="13"/>
        <v>1667555.7822</v>
      </c>
      <c r="N98" s="14">
        <f t="shared" si="14"/>
        <v>16843.997800000001</v>
      </c>
      <c r="O98" s="13" t="e">
        <f>+P98/#REF!</f>
        <v>#REF!</v>
      </c>
      <c r="P98" s="14">
        <f>Tabla18[[#This Row],[ORO SIN IVA]]*1.19</f>
        <v>1684399.78</v>
      </c>
      <c r="Q98" s="13" t="e">
        <f>+S98/#REF!</f>
        <v>#REF!</v>
      </c>
      <c r="R98" s="13">
        <f>+Tabla18[[#This Row],[PRECIO SUGERIDO INSTALADOR]]*5%</f>
        <v>101654.56</v>
      </c>
      <c r="S98" s="25">
        <f>Tabla18[[#This Row],[INSTALLER SIN IVA]]*1.19</f>
        <v>2033091.2</v>
      </c>
      <c r="T98" s="13">
        <v>1415462</v>
      </c>
      <c r="U98" s="13">
        <v>1708480</v>
      </c>
      <c r="X98" s="24"/>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5"/>
    </row>
    <row r="99" spans="1:126" ht="81" x14ac:dyDescent="0.25">
      <c r="A99" s="54" t="s">
        <v>55</v>
      </c>
      <c r="B99" s="55" t="s">
        <v>215</v>
      </c>
      <c r="C99" s="46">
        <f>+Tabla18[[#This Row],[PRECIO SUGERIDO INSTALADOR]]</f>
        <v>1751054.0599999998</v>
      </c>
      <c r="D99" s="47">
        <f>+Tabla18[[#This Row],[PRECIO  INSTALADOR
( CON  IVA)]]-Tabla18[[#This Row],[dcto tienda]]</f>
        <v>1663501.3569999998</v>
      </c>
      <c r="E99" s="47">
        <f>+Tabla18[[#This Row],[DPP ORO]]</f>
        <v>1450657.5999999999</v>
      </c>
      <c r="F99" s="47">
        <f>+Tabla18[[#This Row],[platino2]]</f>
        <v>1436151.024</v>
      </c>
      <c r="G99" s="47">
        <f>+Tabla18[[#This Row],[PRECIO  INSTALADOR
( CON  IVA)]]/0.7</f>
        <v>2501505.7999999998</v>
      </c>
      <c r="H99" s="48"/>
      <c r="I99" s="13" t="e">
        <f t="shared" ref="I99:I134" si="15">+Q99</f>
        <v>#REF!</v>
      </c>
      <c r="J99" s="13" t="e">
        <f t="shared" ref="J99:J134" si="16">+O99</f>
        <v>#REF!</v>
      </c>
      <c r="K99" s="15" t="e">
        <f t="shared" ref="K99:K130" si="17">+L99</f>
        <v>#REF!</v>
      </c>
      <c r="L99" s="15" t="e">
        <f>+M99/#REF!</f>
        <v>#REF!</v>
      </c>
      <c r="M99" s="15">
        <f t="shared" ref="M99:M130" si="18">+P99-N99</f>
        <v>1436151.024</v>
      </c>
      <c r="N99" s="14">
        <f t="shared" ref="N99:N134" si="19">+P99*1%</f>
        <v>14506.575999999999</v>
      </c>
      <c r="O99" s="13" t="e">
        <f>+P99/#REF!</f>
        <v>#REF!</v>
      </c>
      <c r="P99" s="14">
        <f>Tabla18[[#This Row],[ORO SIN IVA]]*1.19</f>
        <v>1450657.5999999999</v>
      </c>
      <c r="Q99" s="13" t="e">
        <f>+S99/#REF!</f>
        <v>#REF!</v>
      </c>
      <c r="R99" s="13">
        <f>+Tabla18[[#This Row],[PRECIO SUGERIDO INSTALADOR]]*5%</f>
        <v>87552.702999999994</v>
      </c>
      <c r="S99" s="25">
        <f>Tabla18[[#This Row],[INSTALLER SIN IVA]]*1.19</f>
        <v>1751054.0599999998</v>
      </c>
      <c r="T99" s="13">
        <v>1219040</v>
      </c>
      <c r="U99" s="13">
        <v>1471474</v>
      </c>
      <c r="X99" s="24"/>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5"/>
    </row>
    <row r="100" spans="1:126" ht="67.5" x14ac:dyDescent="0.25">
      <c r="A100" s="54" t="s">
        <v>216</v>
      </c>
      <c r="B100" s="55" t="s">
        <v>217</v>
      </c>
      <c r="C100" s="46">
        <f>+Tabla18[[#This Row],[PRECIO SUGERIDO INSTALADOR]]</f>
        <v>1751054.0599999998</v>
      </c>
      <c r="D100" s="47">
        <f>+Tabla18[[#This Row],[PRECIO  INSTALADOR
( CON  IVA)]]-Tabla18[[#This Row],[dcto tienda]]</f>
        <v>1663501.3569999998</v>
      </c>
      <c r="E100" s="47">
        <f>+Tabla18[[#This Row],[DPP ORO]]</f>
        <v>1450657.5999999999</v>
      </c>
      <c r="F100" s="47">
        <f>+Tabla18[[#This Row],[platino2]]</f>
        <v>1436151.024</v>
      </c>
      <c r="G100" s="47">
        <f>+Tabla18[[#This Row],[PRECIO  INSTALADOR
( CON  IVA)]]/0.7</f>
        <v>2501505.7999999998</v>
      </c>
      <c r="H100" s="48"/>
      <c r="I100" s="13" t="e">
        <f t="shared" si="15"/>
        <v>#REF!</v>
      </c>
      <c r="J100" s="13" t="e">
        <f t="shared" si="16"/>
        <v>#REF!</v>
      </c>
      <c r="K100" s="15" t="e">
        <f t="shared" si="17"/>
        <v>#REF!</v>
      </c>
      <c r="L100" s="15" t="e">
        <f>+M100/#REF!</f>
        <v>#REF!</v>
      </c>
      <c r="M100" s="15">
        <f t="shared" si="18"/>
        <v>1436151.024</v>
      </c>
      <c r="N100" s="14">
        <f t="shared" si="19"/>
        <v>14506.575999999999</v>
      </c>
      <c r="O100" s="13" t="e">
        <f>+P100/#REF!</f>
        <v>#REF!</v>
      </c>
      <c r="P100" s="14">
        <f>Tabla18[[#This Row],[ORO SIN IVA]]*1.19</f>
        <v>1450657.5999999999</v>
      </c>
      <c r="Q100" s="13" t="e">
        <f>+S100/#REF!</f>
        <v>#REF!</v>
      </c>
      <c r="R100" s="13">
        <f>+Tabla18[[#This Row],[PRECIO SUGERIDO INSTALADOR]]*5%</f>
        <v>87552.702999999994</v>
      </c>
      <c r="S100" s="25">
        <f>Tabla18[[#This Row],[INSTALLER SIN IVA]]*1.19</f>
        <v>1751054.0599999998</v>
      </c>
      <c r="T100" s="13">
        <v>1219040</v>
      </c>
      <c r="U100" s="13">
        <v>1471474</v>
      </c>
      <c r="X100" s="24"/>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5"/>
    </row>
    <row r="101" spans="1:126" ht="94.5" x14ac:dyDescent="0.25">
      <c r="A101" s="54" t="s">
        <v>218</v>
      </c>
      <c r="B101" s="55" t="s">
        <v>219</v>
      </c>
      <c r="C101" s="46">
        <f>+Tabla18[[#This Row],[PRECIO SUGERIDO INSTALADOR]]</f>
        <v>1720349.68</v>
      </c>
      <c r="D101" s="47">
        <f>+Tabla18[[#This Row],[PRECIO  INSTALADOR
( CON  IVA)]]-Tabla18[[#This Row],[dcto tienda]]</f>
        <v>1634332.196</v>
      </c>
      <c r="E101" s="47">
        <f>+Tabla18[[#This Row],[DPP ORO]]</f>
        <v>1462867</v>
      </c>
      <c r="F101" s="47">
        <f>+Tabla18[[#This Row],[platino2]]</f>
        <v>1448238.33</v>
      </c>
      <c r="G101" s="47">
        <f>+Tabla18[[#This Row],[PRECIO  INSTALADOR
( CON  IVA)]]/0.7</f>
        <v>2457642.4</v>
      </c>
      <c r="H101" s="48"/>
      <c r="I101" s="13" t="e">
        <f t="shared" si="15"/>
        <v>#REF!</v>
      </c>
      <c r="J101" s="13" t="e">
        <f t="shared" si="16"/>
        <v>#REF!</v>
      </c>
      <c r="K101" s="15" t="e">
        <f t="shared" si="17"/>
        <v>#REF!</v>
      </c>
      <c r="L101" s="15" t="e">
        <f>+M101/#REF!</f>
        <v>#REF!</v>
      </c>
      <c r="M101" s="15">
        <f t="shared" si="18"/>
        <v>1448238.33</v>
      </c>
      <c r="N101" s="14">
        <f t="shared" si="19"/>
        <v>14628.67</v>
      </c>
      <c r="O101" s="13" t="e">
        <f>+P101/#REF!</f>
        <v>#REF!</v>
      </c>
      <c r="P101" s="14">
        <f>Tabla18[[#This Row],[ORO SIN IVA]]*1.19</f>
        <v>1462867</v>
      </c>
      <c r="Q101" s="13" t="e">
        <f>+S101/#REF!</f>
        <v>#REF!</v>
      </c>
      <c r="R101" s="13">
        <f>+Tabla18[[#This Row],[PRECIO SUGERIDO INSTALADOR]]*5%</f>
        <v>86017.483999999997</v>
      </c>
      <c r="S101" s="25">
        <f>Tabla18[[#This Row],[INSTALLER SIN IVA]]*1.19</f>
        <v>1720349.68</v>
      </c>
      <c r="T101" s="13">
        <v>1229300</v>
      </c>
      <c r="U101" s="13">
        <v>1445672</v>
      </c>
      <c r="X101" s="24"/>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5"/>
    </row>
    <row r="102" spans="1:126" ht="54" x14ac:dyDescent="0.25">
      <c r="A102" s="54" t="s">
        <v>220</v>
      </c>
      <c r="B102" s="55" t="s">
        <v>221</v>
      </c>
      <c r="C102" s="46">
        <f>+Tabla18[[#This Row],[PRECIO SUGERIDO INSTALADOR]]</f>
        <v>544222.69999999995</v>
      </c>
      <c r="D102" s="47">
        <f>+Tabla18[[#This Row],[PRECIO  INSTALADOR
( CON  IVA)]]-Tabla18[[#This Row],[dcto tienda]]</f>
        <v>517011.56499999994</v>
      </c>
      <c r="E102" s="47">
        <f>+Tabla18[[#This Row],[DPP ORO]]</f>
        <v>453375.72</v>
      </c>
      <c r="F102" s="47">
        <f>+Tabla18[[#This Row],[platino2]]</f>
        <v>448841.96279999998</v>
      </c>
      <c r="G102" s="47">
        <f>+Tabla18[[#This Row],[PRECIO  INSTALADOR
( CON  IVA)]]/0.7</f>
        <v>777461</v>
      </c>
      <c r="H102" s="48"/>
      <c r="I102" s="13" t="e">
        <f t="shared" si="15"/>
        <v>#REF!</v>
      </c>
      <c r="J102" s="13" t="e">
        <f t="shared" si="16"/>
        <v>#REF!</v>
      </c>
      <c r="K102" s="15" t="e">
        <f t="shared" si="17"/>
        <v>#REF!</v>
      </c>
      <c r="L102" s="15" t="e">
        <f>+M102/#REF!</f>
        <v>#REF!</v>
      </c>
      <c r="M102" s="15">
        <f t="shared" si="18"/>
        <v>448841.96279999998</v>
      </c>
      <c r="N102" s="14">
        <f t="shared" si="19"/>
        <v>4533.7572</v>
      </c>
      <c r="O102" s="13" t="e">
        <f>+P102/#REF!</f>
        <v>#REF!</v>
      </c>
      <c r="P102" s="14">
        <f>Tabla18[[#This Row],[ORO SIN IVA]]*1.19</f>
        <v>453375.72</v>
      </c>
      <c r="Q102" s="13" t="e">
        <f>+S102/#REF!</f>
        <v>#REF!</v>
      </c>
      <c r="R102" s="13">
        <f>+Tabla18[[#This Row],[PRECIO SUGERIDO INSTALADOR]]*5%</f>
        <v>27211.134999999998</v>
      </c>
      <c r="S102" s="25">
        <f>Tabla18[[#This Row],[INSTALLER SIN IVA]]*1.19</f>
        <v>544222.69999999995</v>
      </c>
      <c r="T102" s="13">
        <v>380988</v>
      </c>
      <c r="U102" s="13">
        <v>457330</v>
      </c>
      <c r="X102" s="24"/>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5"/>
    </row>
    <row r="103" spans="1:126" ht="54" x14ac:dyDescent="0.25">
      <c r="A103" s="54" t="s">
        <v>222</v>
      </c>
      <c r="B103" s="55" t="s">
        <v>223</v>
      </c>
      <c r="C103" s="46">
        <f>+Tabla18[[#This Row],[PRECIO SUGERIDO INSTALADOR]]</f>
        <v>311113.59999999998</v>
      </c>
      <c r="D103" s="47">
        <f>+Tabla18[[#This Row],[PRECIO  INSTALADOR
( CON  IVA)]]-Tabla18[[#This Row],[dcto tienda]]</f>
        <v>295557.92</v>
      </c>
      <c r="E103" s="47">
        <f>+Tabla18[[#This Row],[DPP ORO]]</f>
        <v>259110.59999999998</v>
      </c>
      <c r="F103" s="47">
        <f>+Tabla18[[#This Row],[platino2]]</f>
        <v>256519.49399999998</v>
      </c>
      <c r="G103" s="47">
        <f>+Tabla18[[#This Row],[PRECIO  INSTALADOR
( CON  IVA)]]/0.7</f>
        <v>444448</v>
      </c>
      <c r="H103" s="48"/>
      <c r="I103" s="13" t="e">
        <f t="shared" si="15"/>
        <v>#REF!</v>
      </c>
      <c r="J103" s="13" t="e">
        <f t="shared" si="16"/>
        <v>#REF!</v>
      </c>
      <c r="K103" s="15" t="e">
        <f t="shared" si="17"/>
        <v>#REF!</v>
      </c>
      <c r="L103" s="15" t="e">
        <f>+M103/#REF!</f>
        <v>#REF!</v>
      </c>
      <c r="M103" s="15">
        <f t="shared" si="18"/>
        <v>256519.49399999998</v>
      </c>
      <c r="N103" s="14">
        <f t="shared" si="19"/>
        <v>2591.1059999999998</v>
      </c>
      <c r="O103" s="13" t="e">
        <f>+P103/#REF!</f>
        <v>#REF!</v>
      </c>
      <c r="P103" s="14">
        <f>Tabla18[[#This Row],[ORO SIN IVA]]*1.19</f>
        <v>259110.59999999998</v>
      </c>
      <c r="Q103" s="13" t="e">
        <f>+S103/#REF!</f>
        <v>#REF!</v>
      </c>
      <c r="R103" s="13">
        <f>+Tabla18[[#This Row],[PRECIO SUGERIDO INSTALADOR]]*5%</f>
        <v>15555.68</v>
      </c>
      <c r="S103" s="25">
        <f>Tabla18[[#This Row],[INSTALLER SIN IVA]]*1.19</f>
        <v>311113.59999999998</v>
      </c>
      <c r="T103" s="13">
        <v>217740</v>
      </c>
      <c r="U103" s="13">
        <v>261440</v>
      </c>
      <c r="X103" s="24"/>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5"/>
    </row>
    <row r="104" spans="1:126" ht="67.5" x14ac:dyDescent="0.25">
      <c r="A104" s="54" t="s">
        <v>224</v>
      </c>
      <c r="B104" s="55" t="s">
        <v>225</v>
      </c>
      <c r="C104" s="46">
        <f>+Tabla18[[#This Row],[PRECIO SUGERIDO INSTALADOR]]</f>
        <v>628829.31999999995</v>
      </c>
      <c r="D104" s="47">
        <f>+Tabla18[[#This Row],[PRECIO  INSTALADOR
( CON  IVA)]]-Tabla18[[#This Row],[dcto tienda]]</f>
        <v>597387.85399999993</v>
      </c>
      <c r="E104" s="47">
        <f>+Tabla18[[#This Row],[DPP ORO]]</f>
        <v>534726.5</v>
      </c>
      <c r="F104" s="47">
        <f>+Tabla18[[#This Row],[platino2]]</f>
        <v>529379.23499999999</v>
      </c>
      <c r="G104" s="47">
        <f>+Tabla18[[#This Row],[PRECIO  INSTALADOR
( CON  IVA)]]/0.7</f>
        <v>898327.6</v>
      </c>
      <c r="H104" s="48"/>
      <c r="I104" s="13" t="e">
        <f t="shared" si="15"/>
        <v>#REF!</v>
      </c>
      <c r="J104" s="13" t="e">
        <f t="shared" si="16"/>
        <v>#REF!</v>
      </c>
      <c r="K104" s="15" t="e">
        <f t="shared" si="17"/>
        <v>#REF!</v>
      </c>
      <c r="L104" s="15" t="e">
        <f>+M104/#REF!</f>
        <v>#REF!</v>
      </c>
      <c r="M104" s="15">
        <f t="shared" si="18"/>
        <v>529379.23499999999</v>
      </c>
      <c r="N104" s="14">
        <f t="shared" si="19"/>
        <v>5347.2650000000003</v>
      </c>
      <c r="O104" s="13" t="e">
        <f>+P104/#REF!</f>
        <v>#REF!</v>
      </c>
      <c r="P104" s="14">
        <f>Tabla18[[#This Row],[ORO SIN IVA]]*1.19</f>
        <v>534726.5</v>
      </c>
      <c r="Q104" s="13" t="e">
        <f>+S104/#REF!</f>
        <v>#REF!</v>
      </c>
      <c r="R104" s="13">
        <f>+Tabla18[[#This Row],[PRECIO SUGERIDO INSTALADOR]]*5%</f>
        <v>31441.466</v>
      </c>
      <c r="S104" s="25">
        <f>Tabla18[[#This Row],[INSTALLER SIN IVA]]*1.19</f>
        <v>628829.31999999995</v>
      </c>
      <c r="T104" s="13">
        <v>449350</v>
      </c>
      <c r="U104" s="13">
        <v>528428</v>
      </c>
      <c r="X104" s="24"/>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5"/>
    </row>
    <row r="105" spans="1:126" ht="54" x14ac:dyDescent="0.25">
      <c r="A105" s="54" t="s">
        <v>226</v>
      </c>
      <c r="B105" s="55" t="s">
        <v>227</v>
      </c>
      <c r="C105" s="46">
        <f>+Tabla18[[#This Row],[PRECIO SUGERIDO INSTALADOR]]</f>
        <v>633034.78</v>
      </c>
      <c r="D105" s="47">
        <f>+Tabla18[[#This Row],[PRECIO  INSTALADOR
( CON  IVA)]]-Tabla18[[#This Row],[dcto tienda]]</f>
        <v>601383.04099999997</v>
      </c>
      <c r="E105" s="47">
        <f>+Tabla18[[#This Row],[DPP ORO]]</f>
        <v>511076.44</v>
      </c>
      <c r="F105" s="47">
        <f>+Tabla18[[#This Row],[platino2]]</f>
        <v>505965.67560000002</v>
      </c>
      <c r="G105" s="47">
        <f>+Tabla18[[#This Row],[PRECIO  INSTALADOR
( CON  IVA)]]/0.7</f>
        <v>904335.40000000014</v>
      </c>
      <c r="H105" s="48"/>
      <c r="I105" s="13" t="e">
        <f t="shared" si="15"/>
        <v>#REF!</v>
      </c>
      <c r="J105" s="13" t="e">
        <f t="shared" si="16"/>
        <v>#REF!</v>
      </c>
      <c r="K105" s="15" t="e">
        <f t="shared" si="17"/>
        <v>#REF!</v>
      </c>
      <c r="L105" s="15" t="e">
        <f>+M105/#REF!</f>
        <v>#REF!</v>
      </c>
      <c r="M105" s="15">
        <f t="shared" si="18"/>
        <v>505965.67560000002</v>
      </c>
      <c r="N105" s="14">
        <f t="shared" si="19"/>
        <v>5110.7644</v>
      </c>
      <c r="O105" s="13" t="e">
        <f>+P105/#REF!</f>
        <v>#REF!</v>
      </c>
      <c r="P105" s="14">
        <f>Tabla18[[#This Row],[ORO SIN IVA]]*1.19</f>
        <v>511076.44</v>
      </c>
      <c r="Q105" s="13" t="e">
        <f>+S105/#REF!</f>
        <v>#REF!</v>
      </c>
      <c r="R105" s="13">
        <f>+Tabla18[[#This Row],[PRECIO SUGERIDO INSTALADOR]]*5%</f>
        <v>31651.739000000001</v>
      </c>
      <c r="S105" s="25">
        <f>Tabla18[[#This Row],[INSTALLER SIN IVA]]*1.19</f>
        <v>633034.78</v>
      </c>
      <c r="T105" s="13">
        <v>429476</v>
      </c>
      <c r="U105" s="13">
        <v>531962</v>
      </c>
      <c r="X105" s="24"/>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5"/>
    </row>
    <row r="106" spans="1:126" ht="54" x14ac:dyDescent="0.25">
      <c r="A106" s="54" t="s">
        <v>228</v>
      </c>
      <c r="B106" s="55" t="s">
        <v>229</v>
      </c>
      <c r="C106" s="46">
        <f>+Tabla18[[#This Row],[PRECIO SUGERIDO INSTALADOR]]</f>
        <v>709727.9</v>
      </c>
      <c r="D106" s="47">
        <f>+Tabla18[[#This Row],[PRECIO  INSTALADOR
( CON  IVA)]]-Tabla18[[#This Row],[dcto tienda]]</f>
        <v>674241.505</v>
      </c>
      <c r="E106" s="47">
        <f>+Tabla18[[#This Row],[DPP ORO]]</f>
        <v>572982.62</v>
      </c>
      <c r="F106" s="47">
        <f>+Tabla18[[#This Row],[platino2]]</f>
        <v>567252.79379999998</v>
      </c>
      <c r="G106" s="47">
        <f>+Tabla18[[#This Row],[PRECIO  INSTALADOR
( CON  IVA)]]/0.7</f>
        <v>1013897.0000000001</v>
      </c>
      <c r="H106" s="48"/>
      <c r="I106" s="13" t="e">
        <f t="shared" si="15"/>
        <v>#REF!</v>
      </c>
      <c r="J106" s="13" t="e">
        <f t="shared" si="16"/>
        <v>#REF!</v>
      </c>
      <c r="K106" s="15" t="e">
        <f t="shared" si="17"/>
        <v>#REF!</v>
      </c>
      <c r="L106" s="15" t="e">
        <f>+M106/#REF!</f>
        <v>#REF!</v>
      </c>
      <c r="M106" s="15">
        <f t="shared" si="18"/>
        <v>567252.79379999998</v>
      </c>
      <c r="N106" s="14">
        <f t="shared" si="19"/>
        <v>5729.8262000000004</v>
      </c>
      <c r="O106" s="13" t="e">
        <f>+P106/#REF!</f>
        <v>#REF!</v>
      </c>
      <c r="P106" s="14">
        <f>Tabla18[[#This Row],[ORO SIN IVA]]*1.19</f>
        <v>572982.62</v>
      </c>
      <c r="Q106" s="13" t="e">
        <f>+S106/#REF!</f>
        <v>#REF!</v>
      </c>
      <c r="R106" s="13">
        <f>+Tabla18[[#This Row],[PRECIO SUGERIDO INSTALADOR]]*5%</f>
        <v>35486.395000000004</v>
      </c>
      <c r="S106" s="25">
        <f>Tabla18[[#This Row],[INSTALLER SIN IVA]]*1.19</f>
        <v>709727.9</v>
      </c>
      <c r="T106" s="13">
        <v>481498</v>
      </c>
      <c r="U106" s="13">
        <v>596410</v>
      </c>
      <c r="X106" s="24"/>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5"/>
    </row>
    <row r="107" spans="1:126" ht="54" x14ac:dyDescent="0.25">
      <c r="A107" s="54" t="s">
        <v>230</v>
      </c>
      <c r="B107" s="55" t="s">
        <v>231</v>
      </c>
      <c r="C107" s="46">
        <f>+Tabla18[[#This Row],[PRECIO SUGERIDO INSTALADOR]]</f>
        <v>519577.8</v>
      </c>
      <c r="D107" s="47">
        <f>+Tabla18[[#This Row],[PRECIO  INSTALADOR
( CON  IVA)]]-Tabla18[[#This Row],[dcto tienda]]</f>
        <v>493598.91</v>
      </c>
      <c r="E107" s="47">
        <f>+Tabla18[[#This Row],[DPP ORO]]</f>
        <v>449693.86</v>
      </c>
      <c r="F107" s="47">
        <f>+Tabla18[[#This Row],[platino2]]</f>
        <v>445196.92139999999</v>
      </c>
      <c r="G107" s="47">
        <f>+Tabla18[[#This Row],[PRECIO  INSTALADOR
( CON  IVA)]]/0.7</f>
        <v>742254</v>
      </c>
      <c r="H107" s="48"/>
      <c r="I107" s="13" t="e">
        <f t="shared" si="15"/>
        <v>#REF!</v>
      </c>
      <c r="J107" s="13" t="e">
        <f t="shared" si="16"/>
        <v>#REF!</v>
      </c>
      <c r="K107" s="15" t="e">
        <f t="shared" si="17"/>
        <v>#REF!</v>
      </c>
      <c r="L107" s="15" t="e">
        <f>+M107/#REF!</f>
        <v>#REF!</v>
      </c>
      <c r="M107" s="15">
        <f t="shared" si="18"/>
        <v>445196.92139999999</v>
      </c>
      <c r="N107" s="14">
        <f t="shared" si="19"/>
        <v>4496.9386000000004</v>
      </c>
      <c r="O107" s="13" t="e">
        <f>+P107/#REF!</f>
        <v>#REF!</v>
      </c>
      <c r="P107" s="14">
        <f>Tabla18[[#This Row],[ORO SIN IVA]]*1.19</f>
        <v>449693.86</v>
      </c>
      <c r="Q107" s="13" t="e">
        <f>+S107/#REF!</f>
        <v>#REF!</v>
      </c>
      <c r="R107" s="13">
        <f>+Tabla18[[#This Row],[PRECIO SUGERIDO INSTALADOR]]*5%</f>
        <v>25978.89</v>
      </c>
      <c r="S107" s="25">
        <f>Tabla18[[#This Row],[INSTALLER SIN IVA]]*1.19</f>
        <v>519577.8</v>
      </c>
      <c r="T107" s="13">
        <v>377894</v>
      </c>
      <c r="U107" s="13">
        <v>436620</v>
      </c>
      <c r="X107" s="24"/>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5"/>
    </row>
    <row r="108" spans="1:126" ht="67.5" x14ac:dyDescent="0.25">
      <c r="A108" s="54" t="s">
        <v>232</v>
      </c>
      <c r="B108" s="55" t="s">
        <v>233</v>
      </c>
      <c r="C108" s="46">
        <f>+Tabla18[[#This Row],[PRECIO SUGERIDO INSTALADOR]]</f>
        <v>2080572.2</v>
      </c>
      <c r="D108" s="47">
        <f>+Tabla18[[#This Row],[PRECIO  INSTALADOR
( CON  IVA)]]-Tabla18[[#This Row],[dcto tienda]]</f>
        <v>1976543.5899999999</v>
      </c>
      <c r="E108" s="47">
        <f>+Tabla18[[#This Row],[DPP ORO]]</f>
        <v>1723786.4</v>
      </c>
      <c r="F108" s="47">
        <f>+Tabla18[[#This Row],[platino2]]</f>
        <v>1706548.5359999998</v>
      </c>
      <c r="G108" s="47">
        <f>+Tabla18[[#This Row],[PRECIO  INSTALADOR
( CON  IVA)]]/0.7</f>
        <v>2972246</v>
      </c>
      <c r="H108" s="48"/>
      <c r="I108" s="13" t="e">
        <f t="shared" si="15"/>
        <v>#REF!</v>
      </c>
      <c r="J108" s="13" t="e">
        <f t="shared" si="16"/>
        <v>#REF!</v>
      </c>
      <c r="K108" s="15" t="e">
        <f t="shared" si="17"/>
        <v>#REF!</v>
      </c>
      <c r="L108" s="15" t="e">
        <f>+M108/#REF!</f>
        <v>#REF!</v>
      </c>
      <c r="M108" s="15">
        <f t="shared" si="18"/>
        <v>1706548.5359999998</v>
      </c>
      <c r="N108" s="14">
        <f t="shared" si="19"/>
        <v>17237.863999999998</v>
      </c>
      <c r="O108" s="13" t="e">
        <f>+P108/#REF!</f>
        <v>#REF!</v>
      </c>
      <c r="P108" s="14">
        <f>Tabla18[[#This Row],[ORO SIN IVA]]*1.19</f>
        <v>1723786.4</v>
      </c>
      <c r="Q108" s="13" t="e">
        <f>+S108/#REF!</f>
        <v>#REF!</v>
      </c>
      <c r="R108" s="13">
        <f>+Tabla18[[#This Row],[PRECIO SUGERIDO INSTALADOR]]*5%</f>
        <v>104028.61</v>
      </c>
      <c r="S108" s="25">
        <f>Tabla18[[#This Row],[INSTALLER SIN IVA]]*1.19</f>
        <v>2080572.2</v>
      </c>
      <c r="T108" s="13">
        <v>1448560</v>
      </c>
      <c r="U108" s="13">
        <v>1748380</v>
      </c>
      <c r="X108" s="24"/>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5"/>
    </row>
    <row r="109" spans="1:126" ht="162" x14ac:dyDescent="0.25">
      <c r="A109" s="54" t="s">
        <v>234</v>
      </c>
      <c r="B109" s="55" t="s">
        <v>235</v>
      </c>
      <c r="C109" s="46">
        <f>+Tabla18[[#This Row],[PRECIO SUGERIDO INSTALADOR]]</f>
        <v>7760837.2799999993</v>
      </c>
      <c r="D109" s="47">
        <f>+Tabla18[[#This Row],[PRECIO  INSTALADOR
( CON  IVA)]]-Tabla18[[#This Row],[dcto tienda]]</f>
        <v>7372795.4159999993</v>
      </c>
      <c r="E109" s="47">
        <f>+Tabla18[[#This Row],[DPP ORO]]</f>
        <v>6361233.0599999996</v>
      </c>
      <c r="F109" s="47">
        <f>+Tabla18[[#This Row],[platino2]]</f>
        <v>6297620.7293999996</v>
      </c>
      <c r="G109" s="47">
        <f>+Tabla18[[#This Row],[PRECIO  INSTALADOR
( CON  IVA)]]/0.7</f>
        <v>11086910.4</v>
      </c>
      <c r="H109" s="48"/>
      <c r="I109" s="13" t="e">
        <f t="shared" si="15"/>
        <v>#REF!</v>
      </c>
      <c r="J109" s="13" t="e">
        <f t="shared" si="16"/>
        <v>#REF!</v>
      </c>
      <c r="K109" s="15" t="e">
        <f t="shared" si="17"/>
        <v>#REF!</v>
      </c>
      <c r="L109" s="15" t="e">
        <f>+M109/#REF!</f>
        <v>#REF!</v>
      </c>
      <c r="M109" s="15">
        <f t="shared" si="18"/>
        <v>6297620.7293999996</v>
      </c>
      <c r="N109" s="14">
        <f t="shared" si="19"/>
        <v>63612.330599999994</v>
      </c>
      <c r="O109" s="13" t="e">
        <f>+P109/#REF!</f>
        <v>#REF!</v>
      </c>
      <c r="P109" s="14">
        <f>Tabla18[[#This Row],[ORO SIN IVA]]*1.19</f>
        <v>6361233.0599999996</v>
      </c>
      <c r="Q109" s="13" t="e">
        <f>+S109/#REF!</f>
        <v>#REF!</v>
      </c>
      <c r="R109" s="13">
        <f>+Tabla18[[#This Row],[PRECIO SUGERIDO INSTALADOR]]*5%</f>
        <v>388041.864</v>
      </c>
      <c r="S109" s="25">
        <f>Tabla18[[#This Row],[INSTALLER SIN IVA]]*1.19</f>
        <v>7760837.2799999993</v>
      </c>
      <c r="T109" s="13">
        <v>5345574</v>
      </c>
      <c r="U109" s="13">
        <v>6521712</v>
      </c>
      <c r="X109" s="24"/>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5"/>
    </row>
    <row r="110" spans="1:126" ht="94.5" x14ac:dyDescent="0.25">
      <c r="A110" s="54" t="s">
        <v>236</v>
      </c>
      <c r="B110" s="55" t="s">
        <v>237</v>
      </c>
      <c r="C110" s="46">
        <f>+Tabla18[[#This Row],[PRECIO SUGERIDO INSTALADOR]]</f>
        <v>7760837.2799999993</v>
      </c>
      <c r="D110" s="47">
        <f>+Tabla18[[#This Row],[PRECIO  INSTALADOR
( CON  IVA)]]-Tabla18[[#This Row],[dcto tienda]]</f>
        <v>7372795.4159999993</v>
      </c>
      <c r="E110" s="47">
        <f>+Tabla18[[#This Row],[DPP ORO]]</f>
        <v>5697584.3399999999</v>
      </c>
      <c r="F110" s="47">
        <f>+Tabla18[[#This Row],[platino2]]</f>
        <v>5640608.4966000002</v>
      </c>
      <c r="G110" s="47">
        <f>+Tabla18[[#This Row],[PRECIO  INSTALADOR
( CON  IVA)]]/0.7</f>
        <v>11086910.4</v>
      </c>
      <c r="H110" s="48"/>
      <c r="I110" s="13" t="e">
        <f t="shared" si="15"/>
        <v>#REF!</v>
      </c>
      <c r="J110" s="13" t="e">
        <f t="shared" si="16"/>
        <v>#REF!</v>
      </c>
      <c r="K110" s="15" t="e">
        <f t="shared" si="17"/>
        <v>#REF!</v>
      </c>
      <c r="L110" s="15" t="e">
        <f>+M110/#REF!</f>
        <v>#REF!</v>
      </c>
      <c r="M110" s="15">
        <f t="shared" si="18"/>
        <v>5640608.4966000002</v>
      </c>
      <c r="N110" s="14">
        <f t="shared" si="19"/>
        <v>56975.843399999998</v>
      </c>
      <c r="O110" s="13" t="e">
        <f>+P110/#REF!</f>
        <v>#REF!</v>
      </c>
      <c r="P110" s="14">
        <f>Tabla18[[#This Row],[ORO SIN IVA]]*1.19</f>
        <v>5697584.3399999999</v>
      </c>
      <c r="Q110" s="13" t="e">
        <f>+S110/#REF!</f>
        <v>#REF!</v>
      </c>
      <c r="R110" s="13">
        <f>+Tabla18[[#This Row],[PRECIO SUGERIDO INSTALADOR]]*5%</f>
        <v>388041.864</v>
      </c>
      <c r="S110" s="25">
        <f>Tabla18[[#This Row],[INSTALLER SIN IVA]]*1.19</f>
        <v>7760837.2799999993</v>
      </c>
      <c r="T110" s="13">
        <v>4787886</v>
      </c>
      <c r="U110" s="13">
        <v>6521712</v>
      </c>
      <c r="X110" s="24"/>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5"/>
    </row>
    <row r="111" spans="1:126" ht="27" x14ac:dyDescent="0.25">
      <c r="A111" s="54" t="s">
        <v>94</v>
      </c>
      <c r="B111" s="55" t="s">
        <v>93</v>
      </c>
      <c r="C111" s="46">
        <f>+Tabla18[[#This Row],[PRECIO SUGERIDO INSTALADOR]]</f>
        <v>7760837.2799999993</v>
      </c>
      <c r="D111" s="47">
        <f>+Tabla18[[#This Row],[PRECIO  INSTALADOR
( CON  IVA)]]-Tabla18[[#This Row],[dcto tienda]]</f>
        <v>7372795.4159999993</v>
      </c>
      <c r="E111" s="47">
        <f>+Tabla18[[#This Row],[DPP ORO]]</f>
        <v>5697584.3399999999</v>
      </c>
      <c r="F111" s="47">
        <f>+Tabla18[[#This Row],[platino2]]</f>
        <v>5640608.4966000002</v>
      </c>
      <c r="G111" s="47">
        <f>+Tabla18[[#This Row],[PRECIO  INSTALADOR
( CON  IVA)]]/0.7</f>
        <v>11086910.4</v>
      </c>
      <c r="H111" s="48"/>
      <c r="I111" s="13" t="e">
        <f t="shared" si="15"/>
        <v>#REF!</v>
      </c>
      <c r="J111" s="13" t="e">
        <f t="shared" si="16"/>
        <v>#REF!</v>
      </c>
      <c r="K111" s="15" t="e">
        <f t="shared" si="17"/>
        <v>#REF!</v>
      </c>
      <c r="L111" s="15" t="e">
        <f>+M111/#REF!</f>
        <v>#REF!</v>
      </c>
      <c r="M111" s="15">
        <f t="shared" si="18"/>
        <v>5640608.4966000002</v>
      </c>
      <c r="N111" s="14">
        <f t="shared" si="19"/>
        <v>56975.843399999998</v>
      </c>
      <c r="O111" s="13" t="e">
        <f>+P111/#REF!</f>
        <v>#REF!</v>
      </c>
      <c r="P111" s="14">
        <f>Tabla18[[#This Row],[ORO SIN IVA]]*1.19</f>
        <v>5697584.3399999999</v>
      </c>
      <c r="Q111" s="13" t="e">
        <f>+S111/#REF!</f>
        <v>#REF!</v>
      </c>
      <c r="R111" s="13">
        <f>+Tabla18[[#This Row],[PRECIO SUGERIDO INSTALADOR]]*5%</f>
        <v>388041.864</v>
      </c>
      <c r="S111" s="25">
        <f>Tabla18[[#This Row],[INSTALLER SIN IVA]]*1.19</f>
        <v>7760837.2799999993</v>
      </c>
      <c r="T111" s="13">
        <v>4787886</v>
      </c>
      <c r="U111" s="13">
        <v>6521712</v>
      </c>
      <c r="X111" s="24"/>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5"/>
    </row>
    <row r="112" spans="1:126" ht="27" x14ac:dyDescent="0.25">
      <c r="A112" s="54" t="s">
        <v>238</v>
      </c>
      <c r="B112" s="55" t="s">
        <v>93</v>
      </c>
      <c r="C112" s="46">
        <f>+Tabla18[[#This Row],[PRECIO SUGERIDO INSTALADOR]]</f>
        <v>7760837.2799999993</v>
      </c>
      <c r="D112" s="47">
        <f>+Tabla18[[#This Row],[PRECIO  INSTALADOR
( CON  IVA)]]-Tabla18[[#This Row],[dcto tienda]]</f>
        <v>7372795.4159999993</v>
      </c>
      <c r="E112" s="47">
        <f>+Tabla18[[#This Row],[DPP ORO]]</f>
        <v>5697584.3399999999</v>
      </c>
      <c r="F112" s="47">
        <f>+Tabla18[[#This Row],[platino2]]</f>
        <v>5640608.4966000002</v>
      </c>
      <c r="G112" s="47">
        <f>+Tabla18[[#This Row],[PRECIO  INSTALADOR
( CON  IVA)]]/0.7</f>
        <v>11086910.4</v>
      </c>
      <c r="H112" s="48"/>
      <c r="I112" s="13" t="e">
        <f t="shared" si="15"/>
        <v>#REF!</v>
      </c>
      <c r="J112" s="13" t="e">
        <f t="shared" si="16"/>
        <v>#REF!</v>
      </c>
      <c r="K112" s="15" t="e">
        <f t="shared" si="17"/>
        <v>#REF!</v>
      </c>
      <c r="L112" s="15" t="e">
        <f>+M112/#REF!</f>
        <v>#REF!</v>
      </c>
      <c r="M112" s="15">
        <f t="shared" si="18"/>
        <v>5640608.4966000002</v>
      </c>
      <c r="N112" s="14">
        <f t="shared" si="19"/>
        <v>56975.843399999998</v>
      </c>
      <c r="O112" s="13" t="e">
        <f>+P112/#REF!</f>
        <v>#REF!</v>
      </c>
      <c r="P112" s="14">
        <f>Tabla18[[#This Row],[ORO SIN IVA]]*1.19</f>
        <v>5697584.3399999999</v>
      </c>
      <c r="Q112" s="13" t="e">
        <f>+S112/#REF!</f>
        <v>#REF!</v>
      </c>
      <c r="R112" s="13">
        <f>+Tabla18[[#This Row],[PRECIO SUGERIDO INSTALADOR]]*5%</f>
        <v>388041.864</v>
      </c>
      <c r="S112" s="25">
        <f>Tabla18[[#This Row],[INSTALLER SIN IVA]]*1.19</f>
        <v>7760837.2799999993</v>
      </c>
      <c r="T112" s="13">
        <v>4787886</v>
      </c>
      <c r="U112" s="13">
        <v>6521712</v>
      </c>
      <c r="X112" s="24"/>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5"/>
    </row>
    <row r="113" spans="1:126" ht="94.5" x14ac:dyDescent="0.25">
      <c r="A113" s="54" t="s">
        <v>239</v>
      </c>
      <c r="B113" s="55" t="s">
        <v>240</v>
      </c>
      <c r="C113" s="46">
        <f>+Tabla18[[#This Row],[PRECIO SUGERIDO INSTALADOR]]</f>
        <v>8023746.3599999994</v>
      </c>
      <c r="D113" s="47">
        <f>+Tabla18[[#This Row],[PRECIO  INSTALADOR
( CON  IVA)]]-Tabla18[[#This Row],[dcto tienda]]</f>
        <v>7622559.0419999994</v>
      </c>
      <c r="E113" s="47">
        <f>+Tabla18[[#This Row],[DPP ORO]]</f>
        <v>6958046.6200000001</v>
      </c>
      <c r="F113" s="47">
        <f>+Tabla18[[#This Row],[platino2]]</f>
        <v>6888466.1538000004</v>
      </c>
      <c r="G113" s="47">
        <f>+Tabla18[[#This Row],[PRECIO  INSTALADOR
( CON  IVA)]]/0.7</f>
        <v>11462494.800000001</v>
      </c>
      <c r="H113" s="48"/>
      <c r="I113" s="13" t="e">
        <f t="shared" si="15"/>
        <v>#REF!</v>
      </c>
      <c r="J113" s="13" t="e">
        <f t="shared" si="16"/>
        <v>#REF!</v>
      </c>
      <c r="K113" s="15" t="e">
        <f t="shared" si="17"/>
        <v>#REF!</v>
      </c>
      <c r="L113" s="15" t="e">
        <f>+M113/#REF!</f>
        <v>#REF!</v>
      </c>
      <c r="M113" s="15">
        <f t="shared" si="18"/>
        <v>6888466.1538000004</v>
      </c>
      <c r="N113" s="14">
        <f t="shared" si="19"/>
        <v>69580.466199999995</v>
      </c>
      <c r="O113" s="13" t="e">
        <f>+P113/#REF!</f>
        <v>#REF!</v>
      </c>
      <c r="P113" s="14">
        <f>Tabla18[[#This Row],[ORO SIN IVA]]*1.19</f>
        <v>6958046.6200000001</v>
      </c>
      <c r="Q113" s="13" t="e">
        <f>+S113/#REF!</f>
        <v>#REF!</v>
      </c>
      <c r="R113" s="13">
        <f>+Tabla18[[#This Row],[PRECIO SUGERIDO INSTALADOR]]*5%</f>
        <v>401187.31799999997</v>
      </c>
      <c r="S113" s="25">
        <f>Tabla18[[#This Row],[INSTALLER SIN IVA]]*1.19</f>
        <v>8023746.3599999994</v>
      </c>
      <c r="T113" s="13">
        <v>5847098</v>
      </c>
      <c r="U113" s="13">
        <v>6742644</v>
      </c>
      <c r="X113" s="24"/>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5"/>
    </row>
    <row r="114" spans="1:126" ht="54" x14ac:dyDescent="0.25">
      <c r="A114" s="54" t="s">
        <v>241</v>
      </c>
      <c r="B114" s="55" t="s">
        <v>242</v>
      </c>
      <c r="C114" s="46">
        <f>+Tabla18[[#This Row],[PRECIO SUGERIDO INSTALADOR]]</f>
        <v>386133.57999999996</v>
      </c>
      <c r="D114" s="47">
        <f>+Tabla18[[#This Row],[PRECIO  INSTALADOR
( CON  IVA)]]-Tabla18[[#This Row],[dcto tienda]]</f>
        <v>366826.90099999995</v>
      </c>
      <c r="E114" s="47">
        <f>+Tabla18[[#This Row],[DPP ORO]]</f>
        <v>328297.2</v>
      </c>
      <c r="F114" s="47">
        <f>+Tabla18[[#This Row],[platino2]]</f>
        <v>325014.228</v>
      </c>
      <c r="G114" s="47">
        <f>+Tabla18[[#This Row],[PRECIO  INSTALADOR
( CON  IVA)]]/0.7</f>
        <v>551619.4</v>
      </c>
      <c r="H114" s="48"/>
      <c r="I114" s="13" t="e">
        <f t="shared" si="15"/>
        <v>#REF!</v>
      </c>
      <c r="J114" s="13" t="e">
        <f t="shared" si="16"/>
        <v>#REF!</v>
      </c>
      <c r="K114" s="15" t="e">
        <f t="shared" si="17"/>
        <v>#REF!</v>
      </c>
      <c r="L114" s="15" t="e">
        <f>+M114/#REF!</f>
        <v>#REF!</v>
      </c>
      <c r="M114" s="15">
        <f t="shared" si="18"/>
        <v>325014.228</v>
      </c>
      <c r="N114" s="14">
        <f t="shared" si="19"/>
        <v>3282.9720000000002</v>
      </c>
      <c r="O114" s="13" t="e">
        <f>+P114/#REF!</f>
        <v>#REF!</v>
      </c>
      <c r="P114" s="14">
        <f>Tabla18[[#This Row],[ORO SIN IVA]]*1.19</f>
        <v>328297.2</v>
      </c>
      <c r="Q114" s="13" t="e">
        <f>+S114/#REF!</f>
        <v>#REF!</v>
      </c>
      <c r="R114" s="13">
        <f>+Tabla18[[#This Row],[PRECIO SUGERIDO INSTALADOR]]*5%</f>
        <v>19306.679</v>
      </c>
      <c r="S114" s="25">
        <f>Tabla18[[#This Row],[INSTALLER SIN IVA]]*1.19</f>
        <v>386133.57999999996</v>
      </c>
      <c r="T114" s="13">
        <v>275880</v>
      </c>
      <c r="U114" s="13">
        <v>324482</v>
      </c>
      <c r="X114" s="24"/>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5"/>
    </row>
    <row r="115" spans="1:126" ht="189" x14ac:dyDescent="0.25">
      <c r="A115" s="54" t="s">
        <v>243</v>
      </c>
      <c r="B115" s="55" t="s">
        <v>244</v>
      </c>
      <c r="C115" s="46">
        <f>+Tabla18[[#This Row],[PRECIO SUGERIDO INSTALADOR]]</f>
        <v>1414119.8399999999</v>
      </c>
      <c r="D115" s="47">
        <f>+Tabla18[[#This Row],[PRECIO  INSTALADOR
( CON  IVA)]]-Tabla18[[#This Row],[dcto tienda]]</f>
        <v>1343413.8479999998</v>
      </c>
      <c r="E115" s="47">
        <f>+Tabla18[[#This Row],[DPP ORO]]</f>
        <v>1135700.3</v>
      </c>
      <c r="F115" s="47">
        <f>+Tabla18[[#This Row],[platino2]]</f>
        <v>1124343.297</v>
      </c>
      <c r="G115" s="47">
        <f>+Tabla18[[#This Row],[PRECIO  INSTALADOR
( CON  IVA)]]/0.7</f>
        <v>2020171.2</v>
      </c>
      <c r="H115" s="48"/>
      <c r="I115" s="13" t="e">
        <f t="shared" si="15"/>
        <v>#REF!</v>
      </c>
      <c r="J115" s="13" t="e">
        <f t="shared" si="16"/>
        <v>#REF!</v>
      </c>
      <c r="K115" s="15" t="e">
        <f t="shared" si="17"/>
        <v>#REF!</v>
      </c>
      <c r="L115" s="15" t="e">
        <f>+M115/#REF!</f>
        <v>#REF!</v>
      </c>
      <c r="M115" s="15">
        <f t="shared" si="18"/>
        <v>1124343.297</v>
      </c>
      <c r="N115" s="14">
        <f t="shared" si="19"/>
        <v>11357.003000000001</v>
      </c>
      <c r="O115" s="13" t="e">
        <f>+P115/#REF!</f>
        <v>#REF!</v>
      </c>
      <c r="P115" s="14">
        <f>Tabla18[[#This Row],[ORO SIN IVA]]*1.19</f>
        <v>1135700.3</v>
      </c>
      <c r="Q115" s="13" t="e">
        <f>+S115/#REF!</f>
        <v>#REF!</v>
      </c>
      <c r="R115" s="13">
        <f>+Tabla18[[#This Row],[PRECIO SUGERIDO INSTALADOR]]*5%</f>
        <v>70705.991999999998</v>
      </c>
      <c r="S115" s="25">
        <f>Tabla18[[#This Row],[INSTALLER SIN IVA]]*1.19</f>
        <v>1414119.8399999999</v>
      </c>
      <c r="T115" s="13">
        <v>954370</v>
      </c>
      <c r="U115" s="13">
        <v>1188336</v>
      </c>
      <c r="X115" s="24"/>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5"/>
    </row>
    <row r="116" spans="1:126" ht="189" x14ac:dyDescent="0.25">
      <c r="A116" s="54" t="s">
        <v>245</v>
      </c>
      <c r="B116" s="55" t="s">
        <v>246</v>
      </c>
      <c r="C116" s="46">
        <f>+Tabla18[[#This Row],[PRECIO SUGERIDO INSTALADOR]]</f>
        <v>662563.43999999994</v>
      </c>
      <c r="D116" s="47">
        <f>+Tabla18[[#This Row],[PRECIO  INSTALADOR
( CON  IVA)]]-Tabla18[[#This Row],[dcto tienda]]</f>
        <v>629435.26799999992</v>
      </c>
      <c r="E116" s="47">
        <f>+Tabla18[[#This Row],[DPP ORO]]</f>
        <v>532103.74</v>
      </c>
      <c r="F116" s="47">
        <f>+Tabla18[[#This Row],[platino2]]</f>
        <v>526782.70259999996</v>
      </c>
      <c r="G116" s="47">
        <f>+Tabla18[[#This Row],[PRECIO  INSTALADOR
( CON  IVA)]]/0.7</f>
        <v>946519.2</v>
      </c>
      <c r="H116" s="48"/>
      <c r="I116" s="13" t="e">
        <f t="shared" si="15"/>
        <v>#REF!</v>
      </c>
      <c r="J116" s="13" t="e">
        <f t="shared" si="16"/>
        <v>#REF!</v>
      </c>
      <c r="K116" s="15" t="e">
        <f t="shared" si="17"/>
        <v>#REF!</v>
      </c>
      <c r="L116" s="15" t="e">
        <f>+M116/#REF!</f>
        <v>#REF!</v>
      </c>
      <c r="M116" s="15">
        <f t="shared" si="18"/>
        <v>526782.70259999996</v>
      </c>
      <c r="N116" s="14">
        <f t="shared" si="19"/>
        <v>5321.0374000000002</v>
      </c>
      <c r="O116" s="13" t="e">
        <f>+P116/#REF!</f>
        <v>#REF!</v>
      </c>
      <c r="P116" s="14">
        <f>Tabla18[[#This Row],[ORO SIN IVA]]*1.19</f>
        <v>532103.74</v>
      </c>
      <c r="Q116" s="13" t="e">
        <f>+S116/#REF!</f>
        <v>#REF!</v>
      </c>
      <c r="R116" s="13">
        <f>+Tabla18[[#This Row],[PRECIO SUGERIDO INSTALADOR]]*5%</f>
        <v>33128.171999999999</v>
      </c>
      <c r="S116" s="25">
        <f>Tabla18[[#This Row],[INSTALLER SIN IVA]]*1.19</f>
        <v>662563.43999999994</v>
      </c>
      <c r="T116" s="13">
        <v>447146</v>
      </c>
      <c r="U116" s="13">
        <v>556776</v>
      </c>
      <c r="X116" s="24"/>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5"/>
    </row>
    <row r="117" spans="1:126" ht="202.5" x14ac:dyDescent="0.25">
      <c r="A117" s="54" t="s">
        <v>247</v>
      </c>
      <c r="B117" s="55" t="s">
        <v>248</v>
      </c>
      <c r="C117" s="46">
        <f>+Tabla18[[#This Row],[PRECIO SUGERIDO INSTALADOR]]</f>
        <v>662563.43999999994</v>
      </c>
      <c r="D117" s="47">
        <f>+Tabla18[[#This Row],[PRECIO  INSTALADOR
( CON  IVA)]]-Tabla18[[#This Row],[dcto tienda]]</f>
        <v>629435.26799999992</v>
      </c>
      <c r="E117" s="47">
        <f>+Tabla18[[#This Row],[DPP ORO]]</f>
        <v>532103.74</v>
      </c>
      <c r="F117" s="47">
        <f>+Tabla18[[#This Row],[platino2]]</f>
        <v>526782.70259999996</v>
      </c>
      <c r="G117" s="47">
        <f>+Tabla18[[#This Row],[PRECIO  INSTALADOR
( CON  IVA)]]/0.7</f>
        <v>946519.2</v>
      </c>
      <c r="H117" s="48"/>
      <c r="I117" s="13" t="e">
        <f t="shared" si="15"/>
        <v>#REF!</v>
      </c>
      <c r="J117" s="13" t="e">
        <f t="shared" si="16"/>
        <v>#REF!</v>
      </c>
      <c r="K117" s="15" t="e">
        <f t="shared" si="17"/>
        <v>#REF!</v>
      </c>
      <c r="L117" s="15" t="e">
        <f>+M117/#REF!</f>
        <v>#REF!</v>
      </c>
      <c r="M117" s="15">
        <f t="shared" si="18"/>
        <v>526782.70259999996</v>
      </c>
      <c r="N117" s="14">
        <f t="shared" si="19"/>
        <v>5321.0374000000002</v>
      </c>
      <c r="O117" s="13" t="e">
        <f>+P117/#REF!</f>
        <v>#REF!</v>
      </c>
      <c r="P117" s="14">
        <f>Tabla18[[#This Row],[ORO SIN IVA]]*1.19</f>
        <v>532103.74</v>
      </c>
      <c r="Q117" s="13" t="e">
        <f>+S117/#REF!</f>
        <v>#REF!</v>
      </c>
      <c r="R117" s="13">
        <f>+Tabla18[[#This Row],[PRECIO SUGERIDO INSTALADOR]]*5%</f>
        <v>33128.171999999999</v>
      </c>
      <c r="S117" s="25">
        <f>Tabla18[[#This Row],[INSTALLER SIN IVA]]*1.19</f>
        <v>662563.43999999994</v>
      </c>
      <c r="T117" s="13">
        <v>447146</v>
      </c>
      <c r="U117" s="13">
        <v>556776</v>
      </c>
      <c r="X117" s="24"/>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5"/>
    </row>
    <row r="118" spans="1:126" ht="40.5" x14ac:dyDescent="0.25">
      <c r="A118" s="54" t="s">
        <v>249</v>
      </c>
      <c r="B118" s="55" t="s">
        <v>250</v>
      </c>
      <c r="C118" s="46">
        <f>+Tabla18[[#This Row],[PRECIO SUGERIDO INSTALADOR]]</f>
        <v>52763277.076999992</v>
      </c>
      <c r="D118" s="47">
        <f>+Tabla18[[#This Row],[PRECIO  INSTALADOR
( CON  IVA)]]-Tabla18[[#This Row],[dcto tienda]]</f>
        <v>50125113.223149993</v>
      </c>
      <c r="E118" s="47">
        <f>+Tabla18[[#This Row],[DPP ORO]]</f>
        <v>25716568.779999997</v>
      </c>
      <c r="F118" s="47">
        <f>+Tabla18[[#This Row],[platino2]]</f>
        <v>25459403.092199996</v>
      </c>
      <c r="G118" s="47">
        <f>+Tabla18[[#This Row],[PRECIO  INSTALADOR
( CON  IVA)]]/0.7</f>
        <v>75376110.109999999</v>
      </c>
      <c r="H118" s="48"/>
      <c r="I118" s="13" t="e">
        <f t="shared" si="15"/>
        <v>#REF!</v>
      </c>
      <c r="J118" s="13" t="e">
        <f t="shared" si="16"/>
        <v>#REF!</v>
      </c>
      <c r="K118" s="15" t="e">
        <f t="shared" si="17"/>
        <v>#REF!</v>
      </c>
      <c r="L118" s="15" t="e">
        <f>+M118/#REF!</f>
        <v>#REF!</v>
      </c>
      <c r="M118" s="15">
        <f t="shared" si="18"/>
        <v>25459403.092199996</v>
      </c>
      <c r="N118" s="14">
        <f t="shared" si="19"/>
        <v>257165.68779999999</v>
      </c>
      <c r="O118" s="13" t="e">
        <f>+P118/#REF!</f>
        <v>#REF!</v>
      </c>
      <c r="P118" s="14">
        <f>Tabla18[[#This Row],[ORO SIN IVA]]*1.19</f>
        <v>25716568.779999997</v>
      </c>
      <c r="Q118" s="13" t="e">
        <f>+S118/#REF!</f>
        <v>#REF!</v>
      </c>
      <c r="R118" s="13">
        <f>+Tabla18[[#This Row],[PRECIO SUGERIDO INSTALADOR]]*5%</f>
        <v>2638163.8538499996</v>
      </c>
      <c r="S118" s="25">
        <f>Tabla18[[#This Row],[INSTALLER SIN IVA]]*1.19</f>
        <v>52763277.076999992</v>
      </c>
      <c r="T118" s="13">
        <v>21610562</v>
      </c>
      <c r="U118" s="13">
        <v>44338888.299999997</v>
      </c>
      <c r="X118" s="24"/>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5"/>
    </row>
    <row r="119" spans="1:126" ht="40.5" x14ac:dyDescent="0.25">
      <c r="A119" s="54" t="s">
        <v>251</v>
      </c>
      <c r="B119" s="55" t="s">
        <v>252</v>
      </c>
      <c r="C119" s="46">
        <f>+Tabla18[[#This Row],[PRECIO SUGERIDO INSTALADOR]]</f>
        <v>5798167.638199999</v>
      </c>
      <c r="D119" s="47">
        <f>+Tabla18[[#This Row],[PRECIO  INSTALADOR
( CON  IVA)]]-Tabla18[[#This Row],[dcto tienda]]</f>
        <v>5508259.256289999</v>
      </c>
      <c r="E119" s="47">
        <f>+Tabla18[[#This Row],[DPP ORO]]</f>
        <v>3410673.28</v>
      </c>
      <c r="F119" s="47">
        <f>+Tabla18[[#This Row],[platino2]]</f>
        <v>3376566.5471999999</v>
      </c>
      <c r="G119" s="47">
        <f>+Tabla18[[#This Row],[PRECIO  INSTALADOR
( CON  IVA)]]/0.7</f>
        <v>8283096.6259999992</v>
      </c>
      <c r="H119" s="48"/>
      <c r="I119" s="13" t="e">
        <f t="shared" si="15"/>
        <v>#REF!</v>
      </c>
      <c r="J119" s="13" t="e">
        <f t="shared" si="16"/>
        <v>#REF!</v>
      </c>
      <c r="K119" s="15" t="e">
        <f t="shared" si="17"/>
        <v>#REF!</v>
      </c>
      <c r="L119" s="15" t="e">
        <f>+M119/#REF!</f>
        <v>#REF!</v>
      </c>
      <c r="M119" s="15">
        <f t="shared" si="18"/>
        <v>3376566.5471999999</v>
      </c>
      <c r="N119" s="14">
        <f t="shared" si="19"/>
        <v>34106.732799999998</v>
      </c>
      <c r="O119" s="13" t="e">
        <f>+P119/#REF!</f>
        <v>#REF!</v>
      </c>
      <c r="P119" s="14">
        <f>Tabla18[[#This Row],[ORO SIN IVA]]*1.19</f>
        <v>3410673.28</v>
      </c>
      <c r="Q119" s="13" t="e">
        <f>+S119/#REF!</f>
        <v>#REF!</v>
      </c>
      <c r="R119" s="13">
        <f>+Tabla18[[#This Row],[PRECIO SUGERIDO INSTALADOR]]*5%</f>
        <v>289908.38190999994</v>
      </c>
      <c r="S119" s="25">
        <f>Tabla18[[#This Row],[INSTALLER SIN IVA]]*1.19</f>
        <v>5798167.638199999</v>
      </c>
      <c r="T119" s="13">
        <v>2866112</v>
      </c>
      <c r="U119" s="13">
        <v>4872409.7799999993</v>
      </c>
      <c r="X119" s="24"/>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5"/>
    </row>
    <row r="120" spans="1:126" ht="54" x14ac:dyDescent="0.25">
      <c r="A120" s="54" t="s">
        <v>253</v>
      </c>
      <c r="B120" s="55" t="s">
        <v>254</v>
      </c>
      <c r="C120" s="46">
        <f>+Tabla18[[#This Row],[PRECIO SUGERIDO INSTALADOR]]</f>
        <v>8697332.1749999989</v>
      </c>
      <c r="D120" s="47">
        <f>+Tabla18[[#This Row],[PRECIO  INSTALADOR
( CON  IVA)]]-Tabla18[[#This Row],[dcto tienda]]</f>
        <v>8262465.5662499992</v>
      </c>
      <c r="E120" s="47">
        <f>+Tabla18[[#This Row],[DPP ORO]]</f>
        <v>5116009.92</v>
      </c>
      <c r="F120" s="47">
        <f>+Tabla18[[#This Row],[platino2]]</f>
        <v>5064849.8207999999</v>
      </c>
      <c r="G120" s="47">
        <f>+Tabla18[[#This Row],[PRECIO  INSTALADOR
( CON  IVA)]]/0.7</f>
        <v>12424760.25</v>
      </c>
      <c r="H120" s="48"/>
      <c r="I120" s="13" t="e">
        <f t="shared" si="15"/>
        <v>#REF!</v>
      </c>
      <c r="J120" s="13" t="e">
        <f t="shared" si="16"/>
        <v>#REF!</v>
      </c>
      <c r="K120" s="15" t="e">
        <f t="shared" si="17"/>
        <v>#REF!</v>
      </c>
      <c r="L120" s="15" t="e">
        <f>+M120/#REF!</f>
        <v>#REF!</v>
      </c>
      <c r="M120" s="15">
        <f t="shared" si="18"/>
        <v>5064849.8207999999</v>
      </c>
      <c r="N120" s="14">
        <f t="shared" si="19"/>
        <v>51160.099199999997</v>
      </c>
      <c r="O120" s="13" t="e">
        <f>+P120/#REF!</f>
        <v>#REF!</v>
      </c>
      <c r="P120" s="14">
        <f>Tabla18[[#This Row],[ORO SIN IVA]]*1.19</f>
        <v>5116009.92</v>
      </c>
      <c r="Q120" s="13" t="e">
        <f>+S120/#REF!</f>
        <v>#REF!</v>
      </c>
      <c r="R120" s="13">
        <f>+Tabla18[[#This Row],[PRECIO SUGERIDO INSTALADOR]]*5%</f>
        <v>434866.60874999996</v>
      </c>
      <c r="S120" s="25">
        <f>Tabla18[[#This Row],[INSTALLER SIN IVA]]*1.19</f>
        <v>8697332.1749999989</v>
      </c>
      <c r="T120" s="13">
        <v>4299168</v>
      </c>
      <c r="U120" s="13">
        <v>7308682.5</v>
      </c>
      <c r="X120" s="24"/>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5"/>
    </row>
    <row r="121" spans="1:126" ht="40.5" x14ac:dyDescent="0.25">
      <c r="A121" s="54" t="s">
        <v>255</v>
      </c>
      <c r="B121" s="55" t="s">
        <v>256</v>
      </c>
      <c r="C121" s="46">
        <f>+Tabla18[[#This Row],[PRECIO SUGERIDO INSTALADOR]]</f>
        <v>1629044.6213999998</v>
      </c>
      <c r="D121" s="47">
        <f>+Tabla18[[#This Row],[PRECIO  INSTALADOR
( CON  IVA)]]-Tabla18[[#This Row],[dcto tienda]]</f>
        <v>1547592.3903299998</v>
      </c>
      <c r="E121" s="47">
        <f>+Tabla18[[#This Row],[DPP ORO]]</f>
        <v>835032.52</v>
      </c>
      <c r="F121" s="47">
        <f>+Tabla18[[#This Row],[platino2]]</f>
        <v>826682.19480000006</v>
      </c>
      <c r="G121" s="47">
        <f>+Tabla18[[#This Row],[PRECIO  INSTALADOR
( CON  IVA)]]/0.7</f>
        <v>2327206.602</v>
      </c>
      <c r="H121" s="48"/>
      <c r="I121" s="13" t="e">
        <f t="shared" si="15"/>
        <v>#REF!</v>
      </c>
      <c r="J121" s="13" t="e">
        <f t="shared" si="16"/>
        <v>#REF!</v>
      </c>
      <c r="K121" s="15" t="e">
        <f t="shared" si="17"/>
        <v>#REF!</v>
      </c>
      <c r="L121" s="15" t="e">
        <f>+M121/#REF!</f>
        <v>#REF!</v>
      </c>
      <c r="M121" s="15">
        <f t="shared" si="18"/>
        <v>826682.19480000006</v>
      </c>
      <c r="N121" s="14">
        <f t="shared" si="19"/>
        <v>8350.3252000000011</v>
      </c>
      <c r="O121" s="13" t="e">
        <f>+P121/#REF!</f>
        <v>#REF!</v>
      </c>
      <c r="P121" s="14">
        <f>Tabla18[[#This Row],[ORO SIN IVA]]*1.19</f>
        <v>835032.52</v>
      </c>
      <c r="Q121" s="13" t="e">
        <f>+S121/#REF!</f>
        <v>#REF!</v>
      </c>
      <c r="R121" s="13">
        <f>+Tabla18[[#This Row],[PRECIO SUGERIDO INSTALADOR]]*5%</f>
        <v>81452.231069999994</v>
      </c>
      <c r="S121" s="25">
        <f>Tabla18[[#This Row],[INSTALLER SIN IVA]]*1.19</f>
        <v>1629044.6213999998</v>
      </c>
      <c r="T121" s="13">
        <v>701708</v>
      </c>
      <c r="U121" s="13">
        <v>1368945.0599999998</v>
      </c>
      <c r="X121" s="24"/>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5"/>
    </row>
    <row r="122" spans="1:126" ht="40.5" x14ac:dyDescent="0.25">
      <c r="A122" s="54" t="s">
        <v>257</v>
      </c>
      <c r="B122" s="55" t="s">
        <v>258</v>
      </c>
      <c r="C122" s="46">
        <f>+Tabla18[[#This Row],[PRECIO SUGERIDO INSTALADOR]]</f>
        <v>1629044.6213999998</v>
      </c>
      <c r="D122" s="47">
        <f>+Tabla18[[#This Row],[PRECIO  INSTALADOR
( CON  IVA)]]-Tabla18[[#This Row],[dcto tienda]]</f>
        <v>1547592.3903299998</v>
      </c>
      <c r="E122" s="47">
        <f>+Tabla18[[#This Row],[DPP ORO]]</f>
        <v>835032.52</v>
      </c>
      <c r="F122" s="47">
        <f>+Tabla18[[#This Row],[platino2]]</f>
        <v>826682.19480000006</v>
      </c>
      <c r="G122" s="47">
        <f>+Tabla18[[#This Row],[PRECIO  INSTALADOR
( CON  IVA)]]/0.7</f>
        <v>2327206.602</v>
      </c>
      <c r="H122" s="48"/>
      <c r="I122" s="13" t="e">
        <f t="shared" si="15"/>
        <v>#REF!</v>
      </c>
      <c r="J122" s="13" t="e">
        <f t="shared" si="16"/>
        <v>#REF!</v>
      </c>
      <c r="K122" s="15" t="e">
        <f t="shared" si="17"/>
        <v>#REF!</v>
      </c>
      <c r="L122" s="15" t="e">
        <f>+M122/#REF!</f>
        <v>#REF!</v>
      </c>
      <c r="M122" s="15">
        <f t="shared" si="18"/>
        <v>826682.19480000006</v>
      </c>
      <c r="N122" s="14">
        <f t="shared" si="19"/>
        <v>8350.3252000000011</v>
      </c>
      <c r="O122" s="13" t="e">
        <f>+P122/#REF!</f>
        <v>#REF!</v>
      </c>
      <c r="P122" s="14">
        <f>Tabla18[[#This Row],[ORO SIN IVA]]*1.19</f>
        <v>835032.52</v>
      </c>
      <c r="Q122" s="13" t="e">
        <f>+S122/#REF!</f>
        <v>#REF!</v>
      </c>
      <c r="R122" s="13">
        <f>+Tabla18[[#This Row],[PRECIO SUGERIDO INSTALADOR]]*5%</f>
        <v>81452.231069999994</v>
      </c>
      <c r="S122" s="25">
        <f>Tabla18[[#This Row],[INSTALLER SIN IVA]]*1.19</f>
        <v>1629044.6213999998</v>
      </c>
      <c r="T122" s="13">
        <v>701708</v>
      </c>
      <c r="U122" s="13">
        <v>1368945.0599999998</v>
      </c>
      <c r="X122" s="24"/>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5"/>
    </row>
    <row r="123" spans="1:126" ht="40.5" x14ac:dyDescent="0.25">
      <c r="A123" s="54" t="s">
        <v>259</v>
      </c>
      <c r="B123" s="55" t="s">
        <v>260</v>
      </c>
      <c r="C123" s="46">
        <f>+Tabla18[[#This Row],[PRECIO SUGERIDO INSTALADOR]]</f>
        <v>1629044.6213999998</v>
      </c>
      <c r="D123" s="47">
        <f>+Tabla18[[#This Row],[PRECIO  INSTALADOR
( CON  IVA)]]-Tabla18[[#This Row],[dcto tienda]]</f>
        <v>1547592.3903299998</v>
      </c>
      <c r="E123" s="47">
        <f>+Tabla18[[#This Row],[DPP ORO]]</f>
        <v>835032.52</v>
      </c>
      <c r="F123" s="47">
        <f>+Tabla18[[#This Row],[platino2]]</f>
        <v>826682.19480000006</v>
      </c>
      <c r="G123" s="47">
        <f>+Tabla18[[#This Row],[PRECIO  INSTALADOR
( CON  IVA)]]/0.7</f>
        <v>2327206.602</v>
      </c>
      <c r="H123" s="48"/>
      <c r="I123" s="13" t="e">
        <f t="shared" si="15"/>
        <v>#REF!</v>
      </c>
      <c r="J123" s="13" t="e">
        <f t="shared" si="16"/>
        <v>#REF!</v>
      </c>
      <c r="K123" s="15" t="e">
        <f t="shared" si="17"/>
        <v>#REF!</v>
      </c>
      <c r="L123" s="15" t="e">
        <f>+M123/#REF!</f>
        <v>#REF!</v>
      </c>
      <c r="M123" s="15">
        <f t="shared" si="18"/>
        <v>826682.19480000006</v>
      </c>
      <c r="N123" s="14">
        <f t="shared" si="19"/>
        <v>8350.3252000000011</v>
      </c>
      <c r="O123" s="13" t="e">
        <f>+P123/#REF!</f>
        <v>#REF!</v>
      </c>
      <c r="P123" s="14">
        <f>Tabla18[[#This Row],[ORO SIN IVA]]*1.19</f>
        <v>835032.52</v>
      </c>
      <c r="Q123" s="13" t="e">
        <f>+S123/#REF!</f>
        <v>#REF!</v>
      </c>
      <c r="R123" s="13">
        <f>+Tabla18[[#This Row],[PRECIO SUGERIDO INSTALADOR]]*5%</f>
        <v>81452.231069999994</v>
      </c>
      <c r="S123" s="25">
        <f>Tabla18[[#This Row],[INSTALLER SIN IVA]]*1.19</f>
        <v>1629044.6213999998</v>
      </c>
      <c r="T123" s="13">
        <v>701708</v>
      </c>
      <c r="U123" s="13">
        <v>1368945.0599999998</v>
      </c>
      <c r="X123" s="24"/>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5"/>
    </row>
    <row r="124" spans="1:126" ht="54" x14ac:dyDescent="0.25">
      <c r="A124" s="54" t="s">
        <v>261</v>
      </c>
      <c r="B124" s="55" t="s">
        <v>262</v>
      </c>
      <c r="C124" s="46">
        <f>+Tabla18[[#This Row],[PRECIO SUGERIDO INSTALADOR]]</f>
        <v>26643836.533999994</v>
      </c>
      <c r="D124" s="47">
        <f>+Tabla18[[#This Row],[PRECIO  INSTALADOR
( CON  IVA)]]-Tabla18[[#This Row],[dcto tienda]]</f>
        <v>25311644.707299996</v>
      </c>
      <c r="E124" s="47">
        <f>+Tabla18[[#This Row],[DPP ORO]]</f>
        <v>13657796.6</v>
      </c>
      <c r="F124" s="47">
        <f>+Tabla18[[#This Row],[platino2]]</f>
        <v>13521218.634</v>
      </c>
      <c r="G124" s="47">
        <f>+Tabla18[[#This Row],[PRECIO  INSTALADOR
( CON  IVA)]]/0.7</f>
        <v>38062623.619999997</v>
      </c>
      <c r="H124" s="48"/>
      <c r="I124" s="13" t="e">
        <f t="shared" si="15"/>
        <v>#REF!</v>
      </c>
      <c r="J124" s="13" t="e">
        <f t="shared" si="16"/>
        <v>#REF!</v>
      </c>
      <c r="K124" s="15" t="e">
        <f t="shared" si="17"/>
        <v>#REF!</v>
      </c>
      <c r="L124" s="15" t="e">
        <f>+M124/#REF!</f>
        <v>#REF!</v>
      </c>
      <c r="M124" s="15">
        <f t="shared" si="18"/>
        <v>13521218.634</v>
      </c>
      <c r="N124" s="14">
        <f t="shared" si="19"/>
        <v>136577.96599999999</v>
      </c>
      <c r="O124" s="13" t="e">
        <f>+P124/#REF!</f>
        <v>#REF!</v>
      </c>
      <c r="P124" s="14">
        <f>Tabla18[[#This Row],[ORO SIN IVA]]*1.19</f>
        <v>13657796.6</v>
      </c>
      <c r="Q124" s="13" t="e">
        <f>+S124/#REF!</f>
        <v>#REF!</v>
      </c>
      <c r="R124" s="13">
        <f>+Tabla18[[#This Row],[PRECIO SUGERIDO INSTALADOR]]*5%</f>
        <v>1332191.8266999999</v>
      </c>
      <c r="S124" s="25">
        <f>Tabla18[[#This Row],[INSTALLER SIN IVA]]*1.19</f>
        <v>26643836.533999994</v>
      </c>
      <c r="T124" s="13">
        <v>11477140</v>
      </c>
      <c r="U124" s="13">
        <v>22389778.599999998</v>
      </c>
      <c r="X124" s="24"/>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5"/>
    </row>
    <row r="125" spans="1:126" ht="67.5" x14ac:dyDescent="0.25">
      <c r="A125" s="54" t="s">
        <v>263</v>
      </c>
      <c r="B125" s="55" t="s">
        <v>264</v>
      </c>
      <c r="C125" s="46">
        <f>+Tabla18[[#This Row],[PRECIO SUGERIDO INSTALADOR]]</f>
        <v>26245629.213999998</v>
      </c>
      <c r="D125" s="47">
        <f>+Tabla18[[#This Row],[PRECIO  INSTALADOR
( CON  IVA)]]-Tabla18[[#This Row],[dcto tienda]]</f>
        <v>24933347.753299996</v>
      </c>
      <c r="E125" s="47">
        <f>+Tabla18[[#This Row],[DPP ORO]]</f>
        <v>13453673.52</v>
      </c>
      <c r="F125" s="47">
        <f>+Tabla18[[#This Row],[platino2]]</f>
        <v>13319136.7848</v>
      </c>
      <c r="G125" s="47">
        <f>+Tabla18[[#This Row],[PRECIO  INSTALADOR
( CON  IVA)]]/0.7</f>
        <v>37493756.019999996</v>
      </c>
      <c r="H125" s="48"/>
      <c r="I125" s="13" t="e">
        <f t="shared" si="15"/>
        <v>#REF!</v>
      </c>
      <c r="J125" s="13" t="e">
        <f t="shared" si="16"/>
        <v>#REF!</v>
      </c>
      <c r="K125" s="15" t="e">
        <f t="shared" si="17"/>
        <v>#REF!</v>
      </c>
      <c r="L125" s="15" t="e">
        <f>+M125/#REF!</f>
        <v>#REF!</v>
      </c>
      <c r="M125" s="15">
        <f t="shared" si="18"/>
        <v>13319136.7848</v>
      </c>
      <c r="N125" s="14">
        <f t="shared" si="19"/>
        <v>134536.7352</v>
      </c>
      <c r="O125" s="13" t="e">
        <f>+P125/#REF!</f>
        <v>#REF!</v>
      </c>
      <c r="P125" s="14">
        <f>Tabla18[[#This Row],[ORO SIN IVA]]*1.19</f>
        <v>13453673.52</v>
      </c>
      <c r="Q125" s="13" t="e">
        <f>+S125/#REF!</f>
        <v>#REF!</v>
      </c>
      <c r="R125" s="13">
        <f>+Tabla18[[#This Row],[PRECIO SUGERIDO INSTALADOR]]*5%</f>
        <v>1312281.4606999999</v>
      </c>
      <c r="S125" s="25">
        <f>Tabla18[[#This Row],[INSTALLER SIN IVA]]*1.19</f>
        <v>26245629.213999998</v>
      </c>
      <c r="T125" s="13">
        <v>11305608</v>
      </c>
      <c r="U125" s="13">
        <v>22055150.599999998</v>
      </c>
      <c r="X125" s="24"/>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5"/>
    </row>
    <row r="126" spans="1:126" ht="40.5" x14ac:dyDescent="0.25">
      <c r="A126" s="54" t="s">
        <v>265</v>
      </c>
      <c r="B126" s="55" t="s">
        <v>266</v>
      </c>
      <c r="C126" s="46">
        <f>+Tabla18[[#This Row],[PRECIO SUGERIDO INSTALADOR]]</f>
        <v>38282467.885199994</v>
      </c>
      <c r="D126" s="47">
        <f>+Tabla18[[#This Row],[PRECIO  INSTALADOR
( CON  IVA)]]-Tabla18[[#This Row],[dcto tienda]]</f>
        <v>36368344.490939997</v>
      </c>
      <c r="E126" s="47">
        <f>+Tabla18[[#This Row],[DPP ORO]]</f>
        <v>19623806.859999999</v>
      </c>
      <c r="F126" s="47">
        <f>+Tabla18[[#This Row],[platino2]]</f>
        <v>19427568.7914</v>
      </c>
      <c r="G126" s="47">
        <f>+Tabla18[[#This Row],[PRECIO  INSTALADOR
( CON  IVA)]]/0.7</f>
        <v>54689239.835999995</v>
      </c>
      <c r="H126" s="48"/>
      <c r="I126" s="13" t="e">
        <f t="shared" si="15"/>
        <v>#REF!</v>
      </c>
      <c r="J126" s="13" t="e">
        <f t="shared" si="16"/>
        <v>#REF!</v>
      </c>
      <c r="K126" s="15" t="e">
        <f t="shared" si="17"/>
        <v>#REF!</v>
      </c>
      <c r="L126" s="15" t="e">
        <f>+M126/#REF!</f>
        <v>#REF!</v>
      </c>
      <c r="M126" s="15">
        <f t="shared" si="18"/>
        <v>19427568.7914</v>
      </c>
      <c r="N126" s="14">
        <f t="shared" si="19"/>
        <v>196238.0686</v>
      </c>
      <c r="O126" s="13" t="e">
        <f>+P126/#REF!</f>
        <v>#REF!</v>
      </c>
      <c r="P126" s="14">
        <f>Tabla18[[#This Row],[ORO SIN IVA]]*1.19</f>
        <v>19623806.859999999</v>
      </c>
      <c r="Q126" s="13" t="e">
        <f>+S126/#REF!</f>
        <v>#REF!</v>
      </c>
      <c r="R126" s="13">
        <f>+Tabla18[[#This Row],[PRECIO SUGERIDO INSTALADOR]]*5%</f>
        <v>1914123.3942599997</v>
      </c>
      <c r="S126" s="25">
        <f>Tabla18[[#This Row],[INSTALLER SIN IVA]]*1.19</f>
        <v>38282467.885199994</v>
      </c>
      <c r="T126" s="13">
        <v>16490594</v>
      </c>
      <c r="U126" s="13">
        <v>32170141.079999998</v>
      </c>
      <c r="X126" s="24"/>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5"/>
    </row>
    <row r="127" spans="1:126" ht="54" x14ac:dyDescent="0.25">
      <c r="A127" s="54" t="s">
        <v>267</v>
      </c>
      <c r="B127" s="55" t="s">
        <v>268</v>
      </c>
      <c r="C127" s="46">
        <f>+Tabla18[[#This Row],[PRECIO SUGERIDO INSTALADOR]]</f>
        <v>35849098.2892</v>
      </c>
      <c r="D127" s="47">
        <f>+Tabla18[[#This Row],[PRECIO  INSTALADOR
( CON  IVA)]]-Tabla18[[#This Row],[dcto tienda]]</f>
        <v>34056643.374739997</v>
      </c>
      <c r="E127" s="47">
        <f>+Tabla18[[#This Row],[DPP ORO]]</f>
        <v>18376413.16</v>
      </c>
      <c r="F127" s="47">
        <f>+Tabla18[[#This Row],[platino2]]</f>
        <v>18192649.0284</v>
      </c>
      <c r="G127" s="47">
        <f>+Tabla18[[#This Row],[PRECIO  INSTALADOR
( CON  IVA)]]/0.7</f>
        <v>51212997.556000002</v>
      </c>
      <c r="H127" s="48"/>
      <c r="I127" s="13" t="e">
        <f t="shared" si="15"/>
        <v>#REF!</v>
      </c>
      <c r="J127" s="13" t="e">
        <f t="shared" si="16"/>
        <v>#REF!</v>
      </c>
      <c r="K127" s="15" t="e">
        <f t="shared" si="17"/>
        <v>#REF!</v>
      </c>
      <c r="L127" s="15" t="e">
        <f>+M127/#REF!</f>
        <v>#REF!</v>
      </c>
      <c r="M127" s="15">
        <f t="shared" si="18"/>
        <v>18192649.0284</v>
      </c>
      <c r="N127" s="14">
        <f t="shared" si="19"/>
        <v>183764.13159999999</v>
      </c>
      <c r="O127" s="13" t="e">
        <f>+P127/#REF!</f>
        <v>#REF!</v>
      </c>
      <c r="P127" s="14">
        <f>Tabla18[[#This Row],[ORO SIN IVA]]*1.19</f>
        <v>18376413.16</v>
      </c>
      <c r="Q127" s="13" t="e">
        <f>+S127/#REF!</f>
        <v>#REF!</v>
      </c>
      <c r="R127" s="13">
        <f>+Tabla18[[#This Row],[PRECIO SUGERIDO INSTALADOR]]*5%</f>
        <v>1792454.9144600001</v>
      </c>
      <c r="S127" s="25">
        <f>Tabla18[[#This Row],[INSTALLER SIN IVA]]*1.19</f>
        <v>35849098.2892</v>
      </c>
      <c r="T127" s="13">
        <v>15442364</v>
      </c>
      <c r="U127" s="13">
        <v>30125292.68</v>
      </c>
      <c r="X127" s="24"/>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5"/>
    </row>
    <row r="128" spans="1:126" ht="54" x14ac:dyDescent="0.25">
      <c r="A128" s="54" t="s">
        <v>269</v>
      </c>
      <c r="B128" s="55" t="s">
        <v>270</v>
      </c>
      <c r="C128" s="46">
        <f>+Tabla18[[#This Row],[PRECIO SUGERIDO INSTALADOR]]</f>
        <v>25793125.787799995</v>
      </c>
      <c r="D128" s="47">
        <f>+Tabla18[[#This Row],[PRECIO  INSTALADOR
( CON  IVA)]]-Tabla18[[#This Row],[dcto tienda]]</f>
        <v>24503469.498409994</v>
      </c>
      <c r="E128" s="47">
        <f>+Tabla18[[#This Row],[DPP ORO]]</f>
        <v>13221694.92</v>
      </c>
      <c r="F128" s="47">
        <f>+Tabla18[[#This Row],[platino2]]</f>
        <v>13089477.970799999</v>
      </c>
      <c r="G128" s="47">
        <f>+Tabla18[[#This Row],[PRECIO  INSTALADOR
( CON  IVA)]]/0.7</f>
        <v>36847322.553999998</v>
      </c>
      <c r="H128" s="48"/>
      <c r="I128" s="13" t="e">
        <f t="shared" si="15"/>
        <v>#REF!</v>
      </c>
      <c r="J128" s="13" t="e">
        <f t="shared" si="16"/>
        <v>#REF!</v>
      </c>
      <c r="K128" s="15" t="e">
        <f t="shared" si="17"/>
        <v>#REF!</v>
      </c>
      <c r="L128" s="15" t="e">
        <f>+M128/#REF!</f>
        <v>#REF!</v>
      </c>
      <c r="M128" s="15">
        <f t="shared" si="18"/>
        <v>13089477.970799999</v>
      </c>
      <c r="N128" s="14">
        <f t="shared" si="19"/>
        <v>132216.9492</v>
      </c>
      <c r="O128" s="13" t="e">
        <f>+P128/#REF!</f>
        <v>#REF!</v>
      </c>
      <c r="P128" s="14">
        <f>Tabla18[[#This Row],[ORO SIN IVA]]*1.19</f>
        <v>13221694.92</v>
      </c>
      <c r="Q128" s="13" t="e">
        <f>+S128/#REF!</f>
        <v>#REF!</v>
      </c>
      <c r="R128" s="13">
        <f>+Tabla18[[#This Row],[PRECIO SUGERIDO INSTALADOR]]*5%</f>
        <v>1289656.2893899998</v>
      </c>
      <c r="S128" s="25">
        <f>Tabla18[[#This Row],[INSTALLER SIN IVA]]*1.19</f>
        <v>25793125.787799995</v>
      </c>
      <c r="T128" s="13">
        <v>11110668</v>
      </c>
      <c r="U128" s="13">
        <v>21674895.619999997</v>
      </c>
      <c r="X128" s="24"/>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5"/>
    </row>
    <row r="129" spans="1:126" ht="54" x14ac:dyDescent="0.25">
      <c r="A129" s="54" t="s">
        <v>271</v>
      </c>
      <c r="B129" s="55" t="s">
        <v>272</v>
      </c>
      <c r="C129" s="46">
        <f>+Tabla18[[#This Row],[PRECIO SUGERIDO INSTALADOR]]</f>
        <v>28311410.404199999</v>
      </c>
      <c r="D129" s="47">
        <f>+Tabla18[[#This Row],[PRECIO  INSTALADOR
( CON  IVA)]]-Tabla18[[#This Row],[dcto tienda]]</f>
        <v>26895839.883989997</v>
      </c>
      <c r="E129" s="47">
        <f>+Tabla18[[#This Row],[DPP ORO]]</f>
        <v>14512590.26</v>
      </c>
      <c r="F129" s="47">
        <f>+Tabla18[[#This Row],[platino2]]</f>
        <v>14367464.3574</v>
      </c>
      <c r="G129" s="47">
        <f>+Tabla18[[#This Row],[PRECIO  INSTALADOR
( CON  IVA)]]/0.7</f>
        <v>40444872.005999997</v>
      </c>
      <c r="H129" s="48"/>
      <c r="I129" s="13" t="e">
        <f t="shared" si="15"/>
        <v>#REF!</v>
      </c>
      <c r="J129" s="13" t="e">
        <f t="shared" si="16"/>
        <v>#REF!</v>
      </c>
      <c r="K129" s="15" t="e">
        <f t="shared" si="17"/>
        <v>#REF!</v>
      </c>
      <c r="L129" s="15" t="e">
        <f>+M129/#REF!</f>
        <v>#REF!</v>
      </c>
      <c r="M129" s="15">
        <f t="shared" si="18"/>
        <v>14367464.3574</v>
      </c>
      <c r="N129" s="14">
        <f t="shared" si="19"/>
        <v>145125.9026</v>
      </c>
      <c r="O129" s="13" t="e">
        <f>+P129/#REF!</f>
        <v>#REF!</v>
      </c>
      <c r="P129" s="14">
        <f>Tabla18[[#This Row],[ORO SIN IVA]]*1.19</f>
        <v>14512590.26</v>
      </c>
      <c r="Q129" s="13" t="e">
        <f>+S129/#REF!</f>
        <v>#REF!</v>
      </c>
      <c r="R129" s="13">
        <f>+Tabla18[[#This Row],[PRECIO SUGERIDO INSTALADOR]]*5%</f>
        <v>1415570.52021</v>
      </c>
      <c r="S129" s="25">
        <f>Tabla18[[#This Row],[INSTALLER SIN IVA]]*1.19</f>
        <v>28311410.404199999</v>
      </c>
      <c r="T129" s="13">
        <v>12195454</v>
      </c>
      <c r="U129" s="13">
        <v>23791101.18</v>
      </c>
      <c r="X129" s="24"/>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5"/>
    </row>
    <row r="130" spans="1:126" ht="54" x14ac:dyDescent="0.25">
      <c r="A130" s="54" t="s">
        <v>273</v>
      </c>
      <c r="B130" s="55" t="s">
        <v>274</v>
      </c>
      <c r="C130" s="46">
        <f>+Tabla18[[#This Row],[PRECIO SUGERIDO INSTALADOR]]</f>
        <v>10328421.6448</v>
      </c>
      <c r="D130" s="47">
        <f>+Tabla18[[#This Row],[PRECIO  INSTALADOR
( CON  IVA)]]-Tabla18[[#This Row],[dcto tienda]]</f>
        <v>9812000.5625599995</v>
      </c>
      <c r="E130" s="47">
        <f>+Tabla18[[#This Row],[DPP ORO]]</f>
        <v>5294402.8199999994</v>
      </c>
      <c r="F130" s="47">
        <f>+Tabla18[[#This Row],[platino2]]</f>
        <v>5241458.7917999998</v>
      </c>
      <c r="G130" s="47">
        <f>+Tabla18[[#This Row],[PRECIO  INSTALADOR
( CON  IVA)]]/0.7</f>
        <v>14754888.064000001</v>
      </c>
      <c r="H130" s="48"/>
      <c r="I130" s="13" t="e">
        <f t="shared" si="15"/>
        <v>#REF!</v>
      </c>
      <c r="J130" s="13" t="e">
        <f t="shared" si="16"/>
        <v>#REF!</v>
      </c>
      <c r="K130" s="15" t="e">
        <f t="shared" si="17"/>
        <v>#REF!</v>
      </c>
      <c r="L130" s="15" t="e">
        <f>+M130/#REF!</f>
        <v>#REF!</v>
      </c>
      <c r="M130" s="15">
        <f t="shared" si="18"/>
        <v>5241458.7917999998</v>
      </c>
      <c r="N130" s="14">
        <f t="shared" si="19"/>
        <v>52944.028199999993</v>
      </c>
      <c r="O130" s="13" t="e">
        <f>+P130/#REF!</f>
        <v>#REF!</v>
      </c>
      <c r="P130" s="14">
        <f>Tabla18[[#This Row],[ORO SIN IVA]]*1.19</f>
        <v>5294402.8199999994</v>
      </c>
      <c r="Q130" s="13" t="e">
        <f>+S130/#REF!</f>
        <v>#REF!</v>
      </c>
      <c r="R130" s="13">
        <f>+Tabla18[[#This Row],[PRECIO SUGERIDO INSTALADOR]]*5%</f>
        <v>516421.08224000002</v>
      </c>
      <c r="S130" s="25">
        <f>Tabla18[[#This Row],[INSTALLER SIN IVA]]*1.19</f>
        <v>10328421.6448</v>
      </c>
      <c r="T130" s="13">
        <v>4449078</v>
      </c>
      <c r="U130" s="13">
        <v>8679345.9199999999</v>
      </c>
      <c r="X130" s="24"/>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5"/>
    </row>
    <row r="131" spans="1:126" ht="54" x14ac:dyDescent="0.25">
      <c r="A131" s="54" t="s">
        <v>275</v>
      </c>
      <c r="B131" s="55" t="s">
        <v>276</v>
      </c>
      <c r="C131" s="46">
        <f>+Tabla18[[#This Row],[PRECIO SUGERIDO INSTALADOR]]</f>
        <v>9709585.9447999988</v>
      </c>
      <c r="D131" s="47">
        <f>+Tabla18[[#This Row],[PRECIO  INSTALADOR
( CON  IVA)]]-Tabla18[[#This Row],[dcto tienda]]</f>
        <v>9224106.6475599986</v>
      </c>
      <c r="E131" s="47">
        <f>+Tabla18[[#This Row],[DPP ORO]]</f>
        <v>4977139.3</v>
      </c>
      <c r="F131" s="47">
        <f>+Tabla18[[#This Row],[platino2]]</f>
        <v>4927367.9069999997</v>
      </c>
      <c r="G131" s="47">
        <f>+Tabla18[[#This Row],[PRECIO  INSTALADOR
( CON  IVA)]]/0.7</f>
        <v>13870837.063999999</v>
      </c>
      <c r="H131" s="48"/>
      <c r="I131" s="13" t="e">
        <f t="shared" si="15"/>
        <v>#REF!</v>
      </c>
      <c r="J131" s="13" t="e">
        <f t="shared" si="16"/>
        <v>#REF!</v>
      </c>
      <c r="K131" s="15" t="e">
        <f t="shared" ref="K131:K162" si="20">+L131</f>
        <v>#REF!</v>
      </c>
      <c r="L131" s="15" t="e">
        <f>+M131/#REF!</f>
        <v>#REF!</v>
      </c>
      <c r="M131" s="15">
        <f t="shared" ref="M131:M162" si="21">+P131-N131</f>
        <v>4927367.9069999997</v>
      </c>
      <c r="N131" s="14">
        <f t="shared" si="19"/>
        <v>49771.392999999996</v>
      </c>
      <c r="O131" s="13" t="e">
        <f>+P131/#REF!</f>
        <v>#REF!</v>
      </c>
      <c r="P131" s="14">
        <f>Tabla18[[#This Row],[ORO SIN IVA]]*1.19</f>
        <v>4977139.3</v>
      </c>
      <c r="Q131" s="13" t="e">
        <f>+S131/#REF!</f>
        <v>#REF!</v>
      </c>
      <c r="R131" s="13">
        <f>+Tabla18[[#This Row],[PRECIO SUGERIDO INSTALADOR]]*5%</f>
        <v>485479.29723999999</v>
      </c>
      <c r="S131" s="25">
        <f>Tabla18[[#This Row],[INSTALLER SIN IVA]]*1.19</f>
        <v>9709585.9447999988</v>
      </c>
      <c r="T131" s="13">
        <v>4182470</v>
      </c>
      <c r="U131" s="13">
        <v>8159315.9199999999</v>
      </c>
      <c r="X131" s="24"/>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5"/>
    </row>
    <row r="132" spans="1:126" ht="40.5" x14ac:dyDescent="0.25">
      <c r="A132" s="54" t="s">
        <v>277</v>
      </c>
      <c r="B132" s="55" t="s">
        <v>278</v>
      </c>
      <c r="C132" s="46">
        <f>+Tabla18[[#This Row],[PRECIO SUGERIDO INSTALADOR]]</f>
        <v>10595812.478999998</v>
      </c>
      <c r="D132" s="47">
        <f>+Tabla18[[#This Row],[PRECIO  INSTALADOR
( CON  IVA)]]-Tabla18[[#This Row],[dcto tienda]]</f>
        <v>10066021.855049998</v>
      </c>
      <c r="E132" s="47">
        <f>+Tabla18[[#This Row],[DPP ORO]]</f>
        <v>6156612.5599999996</v>
      </c>
      <c r="F132" s="47">
        <f>+Tabla18[[#This Row],[platino2]]</f>
        <v>6095046.4343999997</v>
      </c>
      <c r="G132" s="47">
        <f>+Tabla18[[#This Row],[PRECIO  INSTALADOR
( CON  IVA)]]/0.7</f>
        <v>15136874.969999999</v>
      </c>
      <c r="H132" s="48"/>
      <c r="I132" s="13" t="e">
        <f t="shared" si="15"/>
        <v>#REF!</v>
      </c>
      <c r="J132" s="13" t="e">
        <f t="shared" si="16"/>
        <v>#REF!</v>
      </c>
      <c r="K132" s="15" t="e">
        <f t="shared" si="20"/>
        <v>#REF!</v>
      </c>
      <c r="L132" s="15" t="e">
        <f>+M132/#REF!</f>
        <v>#REF!</v>
      </c>
      <c r="M132" s="15">
        <f t="shared" si="21"/>
        <v>6095046.4343999997</v>
      </c>
      <c r="N132" s="14">
        <f t="shared" si="19"/>
        <v>61566.125599999999</v>
      </c>
      <c r="O132" s="13" t="e">
        <f>+P132/#REF!</f>
        <v>#REF!</v>
      </c>
      <c r="P132" s="14">
        <f>Tabla18[[#This Row],[ORO SIN IVA]]*1.19</f>
        <v>6156612.5599999996</v>
      </c>
      <c r="Q132" s="13" t="e">
        <f>+S132/#REF!</f>
        <v>#REF!</v>
      </c>
      <c r="R132" s="13">
        <f>+Tabla18[[#This Row],[PRECIO SUGERIDO INSTALADOR]]*5%</f>
        <v>529790.62394999992</v>
      </c>
      <c r="S132" s="25">
        <f>Tabla18[[#This Row],[INSTALLER SIN IVA]]*1.19</f>
        <v>10595812.478999998</v>
      </c>
      <c r="T132" s="13">
        <v>5173624</v>
      </c>
      <c r="U132" s="13">
        <v>8904044.0999999996</v>
      </c>
      <c r="X132" s="24"/>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5"/>
    </row>
    <row r="133" spans="1:126" ht="40.5" x14ac:dyDescent="0.25">
      <c r="A133" s="54" t="s">
        <v>279</v>
      </c>
      <c r="B133" s="55" t="s">
        <v>280</v>
      </c>
      <c r="C133" s="46">
        <f>+Tabla18[[#This Row],[PRECIO SUGERIDO INSTALADOR]]</f>
        <v>6771740.2199999997</v>
      </c>
      <c r="D133" s="47">
        <f>+Tabla18[[#This Row],[PRECIO  INSTALADOR
( CON  IVA)]]-Tabla18[[#This Row],[dcto tienda]]</f>
        <v>6433153.2089999998</v>
      </c>
      <c r="E133" s="47">
        <f>+Tabla18[[#This Row],[DPP ORO]]</f>
        <v>5780743.9199999999</v>
      </c>
      <c r="F133" s="47">
        <f>+Tabla18[[#This Row],[platino2]]</f>
        <v>5722936.4808</v>
      </c>
      <c r="G133" s="47">
        <f>+Tabla18[[#This Row],[PRECIO  INSTALADOR
( CON  IVA)]]/0.7</f>
        <v>9673914.5999999996</v>
      </c>
      <c r="H133" s="48"/>
      <c r="I133" s="13" t="e">
        <f t="shared" si="15"/>
        <v>#REF!</v>
      </c>
      <c r="J133" s="13" t="e">
        <f t="shared" si="16"/>
        <v>#REF!</v>
      </c>
      <c r="K133" s="15" t="e">
        <f t="shared" si="20"/>
        <v>#REF!</v>
      </c>
      <c r="L133" s="15" t="e">
        <f>+M133/#REF!</f>
        <v>#REF!</v>
      </c>
      <c r="M133" s="15">
        <f t="shared" si="21"/>
        <v>5722936.4808</v>
      </c>
      <c r="N133" s="14">
        <f t="shared" si="19"/>
        <v>57807.439200000001</v>
      </c>
      <c r="O133" s="13" t="e">
        <f>+P133/#REF!</f>
        <v>#REF!</v>
      </c>
      <c r="P133" s="14">
        <f>Tabla18[[#This Row],[ORO SIN IVA]]*1.19</f>
        <v>5780743.9199999999</v>
      </c>
      <c r="Q133" s="13" t="e">
        <f>+S133/#REF!</f>
        <v>#REF!</v>
      </c>
      <c r="R133" s="13">
        <f>+Tabla18[[#This Row],[PRECIO SUGERIDO INSTALADOR]]*5%</f>
        <v>338587.011</v>
      </c>
      <c r="S133" s="25">
        <f>Tabla18[[#This Row],[INSTALLER SIN IVA]]*1.19</f>
        <v>6771740.2199999997</v>
      </c>
      <c r="T133" s="13">
        <v>4857768</v>
      </c>
      <c r="U133" s="13">
        <v>5690538</v>
      </c>
      <c r="X133" s="24"/>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5"/>
    </row>
    <row r="134" spans="1:126" ht="40.5" x14ac:dyDescent="0.25">
      <c r="A134" s="54" t="s">
        <v>281</v>
      </c>
      <c r="B134" s="55" t="s">
        <v>282</v>
      </c>
      <c r="C134" s="46">
        <f>+Tabla18[[#This Row],[PRECIO SUGERIDO INSTALADOR]]</f>
        <v>271862.64</v>
      </c>
      <c r="D134" s="49">
        <f>+Tabla18[[#This Row],[PRECIO  INSTALADOR
( CON  IVA)]]-Tabla18[[#This Row],[dcto tienda]]</f>
        <v>258269.508</v>
      </c>
      <c r="E134" s="49">
        <f>+Tabla18[[#This Row],[DPP ORO]]</f>
        <v>224517.3</v>
      </c>
      <c r="F134" s="49">
        <f>+Tabla18[[#This Row],[platino2]]</f>
        <v>222272.12699999998</v>
      </c>
      <c r="G134" s="49">
        <f>+Tabla18[[#This Row],[PRECIO  INSTALADOR
( CON  IVA)]]/0.7</f>
        <v>388375.20000000007</v>
      </c>
      <c r="H134" s="50"/>
      <c r="I134" s="9" t="e">
        <f t="shared" si="15"/>
        <v>#REF!</v>
      </c>
      <c r="J134" s="9" t="e">
        <f t="shared" si="16"/>
        <v>#REF!</v>
      </c>
      <c r="K134" s="11" t="e">
        <f t="shared" si="20"/>
        <v>#REF!</v>
      </c>
      <c r="L134" s="11" t="e">
        <f>+M134/#REF!</f>
        <v>#REF!</v>
      </c>
      <c r="M134" s="11">
        <f t="shared" si="21"/>
        <v>222272.12699999998</v>
      </c>
      <c r="N134" s="10">
        <f t="shared" si="19"/>
        <v>2245.1729999999998</v>
      </c>
      <c r="O134" s="9" t="e">
        <f>+P134/#REF!</f>
        <v>#REF!</v>
      </c>
      <c r="P134" s="10">
        <f>Tabla18[[#This Row],[ORO SIN IVA]]*1.19</f>
        <v>224517.3</v>
      </c>
      <c r="Q134" s="9" t="e">
        <f>+S134/#REF!</f>
        <v>#REF!</v>
      </c>
      <c r="R134" s="9">
        <f>+Tabla18[[#This Row],[PRECIO SUGERIDO INSTALADOR]]*5%</f>
        <v>13593.132000000001</v>
      </c>
      <c r="S134" s="27">
        <f>Tabla18[[#This Row],[INSTALLER SIN IVA]]*1.19</f>
        <v>271862.64</v>
      </c>
      <c r="T134" s="9">
        <v>188670</v>
      </c>
      <c r="U134" s="9">
        <v>228456</v>
      </c>
      <c r="X134" s="24"/>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5"/>
    </row>
    <row r="135" spans="1:126" x14ac:dyDescent="0.25">
      <c r="A135" s="7"/>
      <c r="B135" s="7"/>
      <c r="C135" s="7"/>
      <c r="D135" s="7"/>
      <c r="E135" s="7"/>
      <c r="F135" s="7"/>
      <c r="G135" s="7"/>
      <c r="H135" s="22"/>
      <c r="X135" s="24"/>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5"/>
    </row>
    <row r="136" spans="1:126" x14ac:dyDescent="0.25">
      <c r="A136" s="7"/>
      <c r="B136" s="7"/>
      <c r="C136" s="7"/>
      <c r="D136" s="7"/>
      <c r="E136" s="7"/>
      <c r="F136" s="7"/>
      <c r="G136" s="7"/>
      <c r="H136" s="22"/>
      <c r="X136" s="24"/>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5"/>
    </row>
    <row r="137" spans="1:126" x14ac:dyDescent="0.25">
      <c r="A137" s="7"/>
      <c r="B137" s="7"/>
      <c r="C137" s="7"/>
      <c r="D137" s="7"/>
      <c r="E137" s="7"/>
      <c r="F137" s="7"/>
      <c r="G137" s="7"/>
      <c r="H137" s="22"/>
      <c r="X137" s="24"/>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5"/>
    </row>
    <row r="138" spans="1:126" x14ac:dyDescent="0.25">
      <c r="A138" s="7"/>
      <c r="B138" s="7"/>
      <c r="C138" s="7"/>
      <c r="D138" s="7"/>
      <c r="E138" s="7"/>
      <c r="F138" s="7"/>
      <c r="G138" s="7"/>
      <c r="H138" s="22"/>
      <c r="X138" s="24"/>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5"/>
    </row>
    <row r="139" spans="1:126" x14ac:dyDescent="0.25">
      <c r="A139" s="7"/>
      <c r="B139" s="7"/>
      <c r="C139" s="7"/>
      <c r="D139" s="7"/>
      <c r="E139" s="7"/>
      <c r="F139" s="7"/>
      <c r="G139" s="7"/>
      <c r="H139" s="22"/>
      <c r="X139" s="24"/>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5"/>
    </row>
    <row r="140" spans="1:126" x14ac:dyDescent="0.25">
      <c r="A140" s="7"/>
      <c r="B140" s="7"/>
      <c r="C140" s="7"/>
      <c r="D140" s="7"/>
      <c r="E140" s="7"/>
      <c r="F140" s="7"/>
      <c r="G140" s="7"/>
      <c r="H140" s="22"/>
      <c r="X140" s="24"/>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5"/>
    </row>
    <row r="141" spans="1:126" x14ac:dyDescent="0.25">
      <c r="A141" s="7"/>
      <c r="B141" s="7"/>
      <c r="C141" s="7"/>
      <c r="D141" s="7"/>
      <c r="E141" s="7"/>
      <c r="F141" s="7"/>
      <c r="G141" s="7"/>
      <c r="H141" s="22"/>
      <c r="X141" s="24"/>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5"/>
    </row>
    <row r="142" spans="1:126" x14ac:dyDescent="0.25">
      <c r="A142" s="7"/>
      <c r="B142" s="7"/>
      <c r="C142" s="7"/>
      <c r="D142" s="7"/>
      <c r="E142" s="7"/>
      <c r="F142" s="7"/>
      <c r="G142" s="7"/>
      <c r="H142" s="22"/>
      <c r="X142" s="24"/>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5"/>
    </row>
    <row r="143" spans="1:126" x14ac:dyDescent="0.25">
      <c r="A143" s="7"/>
      <c r="B143" s="7"/>
      <c r="C143" s="7"/>
      <c r="D143" s="7"/>
      <c r="E143" s="7"/>
      <c r="F143" s="7"/>
      <c r="G143" s="7"/>
      <c r="H143" s="22"/>
      <c r="X143" s="24"/>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5"/>
    </row>
    <row r="144" spans="1:126" x14ac:dyDescent="0.25">
      <c r="A144" s="7"/>
      <c r="B144" s="7"/>
      <c r="C144" s="7"/>
      <c r="D144" s="7"/>
      <c r="E144" s="7"/>
      <c r="F144" s="7"/>
      <c r="G144" s="7"/>
      <c r="H144" s="22"/>
      <c r="X144" s="24"/>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5"/>
    </row>
    <row r="145" spans="1:126" x14ac:dyDescent="0.25">
      <c r="A145" s="7"/>
      <c r="B145" s="7"/>
      <c r="C145" s="7"/>
      <c r="D145" s="7"/>
      <c r="E145" s="7"/>
      <c r="F145" s="7"/>
      <c r="G145" s="7"/>
      <c r="H145" s="22"/>
      <c r="X145" s="24"/>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5"/>
    </row>
    <row r="146" spans="1:126" x14ac:dyDescent="0.25">
      <c r="A146" s="7"/>
      <c r="B146" s="7"/>
      <c r="C146" s="7"/>
      <c r="D146" s="7"/>
      <c r="E146" s="7"/>
      <c r="F146" s="7"/>
      <c r="G146" s="7"/>
      <c r="H146" s="22"/>
      <c r="X146" s="24"/>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5"/>
    </row>
    <row r="147" spans="1:126" x14ac:dyDescent="0.25">
      <c r="A147" s="7"/>
      <c r="B147" s="7"/>
      <c r="C147" s="7"/>
      <c r="D147" s="7"/>
      <c r="E147" s="7"/>
      <c r="F147" s="7"/>
      <c r="G147" s="7"/>
      <c r="H147" s="22"/>
      <c r="X147" s="24"/>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5"/>
    </row>
    <row r="148" spans="1:126" x14ac:dyDescent="0.25">
      <c r="A148" s="7"/>
      <c r="B148" s="7"/>
      <c r="C148" s="7"/>
      <c r="D148" s="7"/>
      <c r="E148" s="7"/>
      <c r="F148" s="7"/>
      <c r="G148" s="7"/>
      <c r="H148" s="22"/>
      <c r="X148" s="24"/>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5"/>
    </row>
    <row r="149" spans="1:126" x14ac:dyDescent="0.25">
      <c r="A149" s="7"/>
      <c r="B149" s="7"/>
      <c r="C149" s="7"/>
      <c r="D149" s="7"/>
      <c r="E149" s="7"/>
      <c r="F149" s="7"/>
      <c r="G149" s="7"/>
      <c r="H149" s="22"/>
      <c r="X149" s="24"/>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5"/>
    </row>
    <row r="150" spans="1:126" x14ac:dyDescent="0.25">
      <c r="A150" s="7"/>
      <c r="B150" s="7"/>
      <c r="C150" s="7"/>
      <c r="D150" s="7"/>
      <c r="E150" s="7"/>
      <c r="F150" s="7"/>
      <c r="G150" s="7"/>
      <c r="H150" s="22"/>
      <c r="X150" s="24"/>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5"/>
    </row>
    <row r="151" spans="1:126" x14ac:dyDescent="0.25">
      <c r="A151" s="7"/>
      <c r="B151" s="7"/>
      <c r="C151" s="7"/>
      <c r="D151" s="7"/>
      <c r="E151" s="7"/>
      <c r="F151" s="7"/>
      <c r="G151" s="7"/>
      <c r="H151" s="22"/>
      <c r="X151" s="24"/>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5"/>
    </row>
    <row r="152" spans="1:126" x14ac:dyDescent="0.25">
      <c r="A152" s="7"/>
      <c r="B152" s="7"/>
      <c r="C152" s="7"/>
      <c r="D152" s="7"/>
      <c r="E152" s="7"/>
      <c r="F152" s="7"/>
      <c r="G152" s="7"/>
      <c r="H152" s="22"/>
      <c r="X152" s="24"/>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5"/>
    </row>
    <row r="153" spans="1:126" x14ac:dyDescent="0.25">
      <c r="A153" s="7"/>
      <c r="B153" s="7"/>
      <c r="C153" s="7"/>
      <c r="D153" s="7"/>
      <c r="E153" s="7"/>
      <c r="F153" s="7"/>
      <c r="G153" s="7"/>
      <c r="H153" s="22"/>
      <c r="X153" s="24"/>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5"/>
    </row>
    <row r="154" spans="1:126" x14ac:dyDescent="0.25">
      <c r="A154" s="7"/>
      <c r="B154" s="7"/>
      <c r="C154" s="7"/>
      <c r="D154" s="7"/>
      <c r="E154" s="7"/>
      <c r="F154" s="7"/>
      <c r="G154" s="7"/>
      <c r="H154" s="22"/>
      <c r="X154" s="24"/>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5"/>
    </row>
    <row r="155" spans="1:126" x14ac:dyDescent="0.25">
      <c r="A155" s="7"/>
      <c r="B155" s="7"/>
      <c r="C155" s="7"/>
      <c r="D155" s="7"/>
      <c r="E155" s="7"/>
      <c r="F155" s="7"/>
      <c r="G155" s="7"/>
      <c r="H155" s="22"/>
      <c r="X155" s="24"/>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5"/>
    </row>
    <row r="156" spans="1:126" x14ac:dyDescent="0.25">
      <c r="A156" s="7"/>
      <c r="B156" s="7"/>
      <c r="C156" s="7"/>
      <c r="D156" s="7"/>
      <c r="E156" s="7"/>
      <c r="F156" s="7"/>
      <c r="G156" s="7"/>
      <c r="H156" s="22"/>
      <c r="X156" s="24"/>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5"/>
    </row>
    <row r="157" spans="1:126" x14ac:dyDescent="0.25">
      <c r="A157" s="7"/>
      <c r="B157" s="7"/>
      <c r="C157" s="7"/>
      <c r="D157" s="7"/>
      <c r="E157" s="7"/>
      <c r="F157" s="7"/>
      <c r="G157" s="7"/>
      <c r="H157" s="22"/>
      <c r="X157" s="24"/>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5"/>
    </row>
    <row r="158" spans="1:126" x14ac:dyDescent="0.25">
      <c r="A158" s="7"/>
      <c r="B158" s="7"/>
      <c r="C158" s="7"/>
      <c r="D158" s="7"/>
      <c r="E158" s="7"/>
      <c r="F158" s="7"/>
      <c r="G158" s="7"/>
      <c r="H158" s="22"/>
      <c r="X158" s="24"/>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5"/>
    </row>
    <row r="159" spans="1:126" x14ac:dyDescent="0.25">
      <c r="A159" s="7"/>
      <c r="B159" s="7"/>
      <c r="C159" s="7"/>
      <c r="D159" s="7"/>
      <c r="E159" s="7"/>
      <c r="F159" s="7"/>
      <c r="G159" s="7"/>
      <c r="H159" s="22"/>
      <c r="X159" s="24"/>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5"/>
    </row>
    <row r="160" spans="1:126" x14ac:dyDescent="0.25">
      <c r="A160" s="7"/>
      <c r="B160" s="7"/>
      <c r="C160" s="7"/>
      <c r="D160" s="7"/>
      <c r="E160" s="7"/>
      <c r="F160" s="7"/>
      <c r="G160" s="7"/>
      <c r="H160" s="22"/>
      <c r="X160" s="24"/>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5"/>
    </row>
    <row r="161" spans="1:126" x14ac:dyDescent="0.25">
      <c r="A161" s="7"/>
      <c r="B161" s="7"/>
      <c r="C161" s="7"/>
      <c r="D161" s="7"/>
      <c r="E161" s="7"/>
      <c r="F161" s="7"/>
      <c r="G161" s="7"/>
      <c r="H161" s="22"/>
      <c r="X161" s="24"/>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5"/>
    </row>
    <row r="162" spans="1:126" x14ac:dyDescent="0.25">
      <c r="A162" s="7"/>
      <c r="B162" s="7"/>
      <c r="C162" s="7"/>
      <c r="D162" s="7"/>
      <c r="E162" s="7"/>
      <c r="F162" s="7"/>
      <c r="G162" s="7"/>
      <c r="H162" s="22"/>
      <c r="X162" s="24"/>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5"/>
    </row>
    <row r="163" spans="1:126" x14ac:dyDescent="0.25">
      <c r="A163" s="7"/>
      <c r="B163" s="7"/>
      <c r="C163" s="7"/>
      <c r="D163" s="7"/>
      <c r="E163" s="7"/>
      <c r="F163" s="7"/>
      <c r="G163" s="7"/>
      <c r="H163" s="22"/>
      <c r="X163" s="24"/>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5"/>
    </row>
    <row r="164" spans="1:126" x14ac:dyDescent="0.25">
      <c r="A164" s="7"/>
      <c r="B164" s="7"/>
      <c r="C164" s="7"/>
      <c r="D164" s="7"/>
      <c r="E164" s="7"/>
      <c r="F164" s="7"/>
      <c r="G164" s="7"/>
      <c r="H164" s="22"/>
      <c r="X164" s="24"/>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5"/>
    </row>
    <row r="165" spans="1:126" x14ac:dyDescent="0.25">
      <c r="A165" s="7"/>
      <c r="B165" s="7"/>
      <c r="C165" s="7"/>
      <c r="D165" s="7"/>
      <c r="E165" s="7"/>
      <c r="F165" s="7"/>
      <c r="G165" s="7"/>
      <c r="H165" s="22"/>
      <c r="X165" s="24"/>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5"/>
    </row>
    <row r="166" spans="1:126" x14ac:dyDescent="0.25">
      <c r="A166" s="7"/>
      <c r="B166" s="7"/>
      <c r="C166" s="7"/>
      <c r="D166" s="7"/>
      <c r="E166" s="7"/>
      <c r="F166" s="7"/>
      <c r="G166" s="7"/>
      <c r="H166" s="22"/>
      <c r="X166" s="24"/>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5"/>
    </row>
    <row r="167" spans="1:126" x14ac:dyDescent="0.25">
      <c r="A167" s="7"/>
      <c r="B167" s="7"/>
      <c r="C167" s="7"/>
      <c r="D167" s="7"/>
      <c r="E167" s="7"/>
      <c r="F167" s="7"/>
      <c r="G167" s="7"/>
      <c r="H167" s="22"/>
      <c r="X167" s="24"/>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5"/>
    </row>
    <row r="168" spans="1:126" x14ac:dyDescent="0.25">
      <c r="A168" s="7"/>
      <c r="B168" s="7"/>
      <c r="C168" s="7"/>
      <c r="D168" s="7"/>
      <c r="E168" s="7"/>
      <c r="F168" s="7"/>
      <c r="G168" s="7"/>
      <c r="H168" s="22"/>
      <c r="X168" s="24"/>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5"/>
    </row>
    <row r="169" spans="1:126" x14ac:dyDescent="0.25">
      <c r="A169" s="7"/>
      <c r="B169" s="7"/>
      <c r="C169" s="7"/>
      <c r="D169" s="7"/>
      <c r="E169" s="7"/>
      <c r="F169" s="7"/>
      <c r="G169" s="7"/>
      <c r="H169" s="22"/>
      <c r="X169" s="24"/>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5"/>
    </row>
    <row r="170" spans="1:126" x14ac:dyDescent="0.25">
      <c r="A170" s="7"/>
      <c r="B170" s="7"/>
      <c r="C170" s="7"/>
      <c r="D170" s="7"/>
      <c r="E170" s="7"/>
      <c r="F170" s="7"/>
      <c r="G170" s="7"/>
      <c r="H170" s="22"/>
      <c r="X170" s="24"/>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5"/>
    </row>
    <row r="171" spans="1:126" x14ac:dyDescent="0.25">
      <c r="A171" s="7"/>
      <c r="B171" s="7"/>
      <c r="C171" s="7"/>
      <c r="D171" s="7"/>
      <c r="E171" s="7"/>
      <c r="F171" s="7"/>
      <c r="G171" s="7"/>
      <c r="H171" s="22"/>
      <c r="X171" s="24"/>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5"/>
    </row>
    <row r="172" spans="1:126" x14ac:dyDescent="0.25">
      <c r="A172" s="7"/>
      <c r="B172" s="7"/>
      <c r="C172" s="7"/>
      <c r="D172" s="7"/>
      <c r="E172" s="7"/>
      <c r="F172" s="7"/>
      <c r="G172" s="7"/>
      <c r="H172" s="22"/>
      <c r="X172" s="24"/>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5"/>
    </row>
    <row r="173" spans="1:126" x14ac:dyDescent="0.25">
      <c r="A173" s="7"/>
      <c r="B173" s="7"/>
      <c r="C173" s="7"/>
      <c r="D173" s="7"/>
      <c r="E173" s="7"/>
      <c r="F173" s="7"/>
      <c r="G173" s="7"/>
      <c r="H173" s="22"/>
      <c r="X173" s="24"/>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5"/>
    </row>
    <row r="174" spans="1:126" x14ac:dyDescent="0.25">
      <c r="A174" s="7"/>
      <c r="B174" s="7"/>
      <c r="C174" s="7"/>
      <c r="D174" s="7"/>
      <c r="E174" s="7"/>
      <c r="F174" s="7"/>
      <c r="G174" s="7"/>
      <c r="H174" s="22"/>
      <c r="X174" s="24"/>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5"/>
    </row>
    <row r="175" spans="1:126" x14ac:dyDescent="0.25">
      <c r="A175" s="7"/>
      <c r="B175" s="7"/>
      <c r="C175" s="7"/>
      <c r="D175" s="7"/>
      <c r="E175" s="7"/>
      <c r="F175" s="7"/>
      <c r="G175" s="7"/>
      <c r="H175" s="22"/>
      <c r="X175" s="24"/>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5"/>
    </row>
    <row r="176" spans="1:126" x14ac:dyDescent="0.25">
      <c r="A176" s="7"/>
      <c r="B176" s="7"/>
      <c r="C176" s="7"/>
      <c r="D176" s="7"/>
      <c r="E176" s="7"/>
      <c r="F176" s="7"/>
      <c r="G176" s="7"/>
      <c r="H176" s="22"/>
      <c r="X176" s="24"/>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5"/>
    </row>
    <row r="177" spans="1:126" x14ac:dyDescent="0.25">
      <c r="A177" s="7"/>
      <c r="B177" s="7"/>
      <c r="C177" s="7"/>
      <c r="D177" s="7"/>
      <c r="E177" s="7"/>
      <c r="F177" s="7"/>
      <c r="G177" s="7"/>
      <c r="H177" s="22"/>
      <c r="X177" s="24"/>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5"/>
    </row>
    <row r="178" spans="1:126" x14ac:dyDescent="0.25">
      <c r="A178" s="7"/>
      <c r="B178" s="7"/>
      <c r="C178" s="7"/>
      <c r="D178" s="7"/>
      <c r="E178" s="7"/>
      <c r="F178" s="7"/>
      <c r="G178" s="7"/>
      <c r="H178" s="22"/>
      <c r="X178" s="24"/>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5"/>
    </row>
    <row r="179" spans="1:126" x14ac:dyDescent="0.25">
      <c r="A179" s="7"/>
      <c r="B179" s="7"/>
      <c r="C179" s="7"/>
      <c r="D179" s="7"/>
      <c r="E179" s="7"/>
      <c r="F179" s="7"/>
      <c r="G179" s="7"/>
      <c r="H179" s="22"/>
      <c r="X179" s="24"/>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5"/>
    </row>
    <row r="180" spans="1:126" x14ac:dyDescent="0.25">
      <c r="A180" s="7"/>
      <c r="B180" s="7"/>
      <c r="C180" s="7"/>
      <c r="D180" s="7"/>
      <c r="E180" s="7"/>
      <c r="F180" s="7"/>
      <c r="G180" s="7"/>
      <c r="H180" s="22"/>
      <c r="X180" s="24"/>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5"/>
    </row>
    <row r="181" spans="1:126" x14ac:dyDescent="0.25">
      <c r="A181" s="7"/>
      <c r="B181" s="7"/>
      <c r="C181" s="7"/>
      <c r="D181" s="7"/>
      <c r="E181" s="7"/>
      <c r="F181" s="7"/>
      <c r="G181" s="7"/>
      <c r="H181" s="22"/>
      <c r="X181" s="24"/>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5"/>
    </row>
    <row r="182" spans="1:126" x14ac:dyDescent="0.25">
      <c r="A182" s="7"/>
      <c r="B182" s="7"/>
      <c r="C182" s="7"/>
      <c r="D182" s="7"/>
      <c r="E182" s="7"/>
      <c r="F182" s="7"/>
      <c r="G182" s="7"/>
      <c r="H182" s="22"/>
      <c r="X182" s="24"/>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5"/>
    </row>
    <row r="183" spans="1:126" x14ac:dyDescent="0.25">
      <c r="A183" s="7"/>
      <c r="B183" s="7"/>
      <c r="C183" s="7"/>
      <c r="D183" s="7"/>
      <c r="E183" s="7"/>
      <c r="F183" s="7"/>
      <c r="G183" s="7"/>
      <c r="H183" s="22"/>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c r="DN183" s="23"/>
      <c r="DO183" s="23"/>
      <c r="DP183" s="23"/>
      <c r="DQ183" s="23"/>
      <c r="DR183" s="23"/>
      <c r="DS183" s="23"/>
      <c r="DT183" s="23"/>
      <c r="DU183" s="23"/>
    </row>
    <row r="184" spans="1:126" x14ac:dyDescent="0.25">
      <c r="A184" s="7"/>
      <c r="B184" s="7"/>
      <c r="C184" s="7"/>
      <c r="D184" s="7"/>
      <c r="E184" s="7"/>
      <c r="F184" s="7"/>
      <c r="G184" s="7"/>
      <c r="H184" s="22"/>
    </row>
    <row r="185" spans="1:126" x14ac:dyDescent="0.25">
      <c r="A185" s="7"/>
      <c r="B185" s="7"/>
      <c r="C185" s="7"/>
      <c r="D185" s="7"/>
      <c r="E185" s="7"/>
      <c r="F185" s="7"/>
      <c r="G185" s="7"/>
      <c r="H185" s="22"/>
    </row>
    <row r="186" spans="1:126" x14ac:dyDescent="0.25">
      <c r="A186" s="7"/>
      <c r="B186" s="7"/>
      <c r="C186" s="7"/>
      <c r="D186" s="7"/>
      <c r="E186" s="7"/>
      <c r="F186" s="7"/>
      <c r="G186" s="7"/>
      <c r="H186" s="22"/>
    </row>
    <row r="187" spans="1:126" x14ac:dyDescent="0.25">
      <c r="A187" s="7"/>
      <c r="B187" s="7"/>
      <c r="C187" s="7"/>
      <c r="D187" s="7"/>
      <c r="E187" s="7"/>
      <c r="F187" s="7"/>
      <c r="G187" s="7"/>
      <c r="H187" s="22"/>
    </row>
    <row r="188" spans="1:126" x14ac:dyDescent="0.25">
      <c r="A188" s="7"/>
      <c r="B188" s="7"/>
      <c r="C188" s="7"/>
      <c r="D188" s="7"/>
      <c r="E188" s="7"/>
      <c r="F188" s="7"/>
      <c r="G188" s="7"/>
      <c r="H188" s="22"/>
    </row>
    <row r="189" spans="1:126" x14ac:dyDescent="0.25">
      <c r="A189" s="7"/>
      <c r="B189" s="7"/>
      <c r="C189" s="7"/>
      <c r="D189" s="7"/>
      <c r="E189" s="7"/>
      <c r="F189" s="7"/>
      <c r="G189" s="7"/>
      <c r="H189" s="22"/>
    </row>
    <row r="190" spans="1:126" x14ac:dyDescent="0.25">
      <c r="A190" s="7"/>
      <c r="B190" s="7"/>
      <c r="C190" s="7"/>
      <c r="D190" s="7"/>
      <c r="E190" s="7"/>
      <c r="F190" s="7"/>
      <c r="G190" s="7"/>
      <c r="H190" s="22"/>
    </row>
    <row r="191" spans="1:126" x14ac:dyDescent="0.25">
      <c r="A191" s="7"/>
      <c r="B191" s="7"/>
      <c r="C191" s="7"/>
      <c r="D191" s="7"/>
      <c r="E191" s="7"/>
      <c r="F191" s="7"/>
      <c r="G191" s="7"/>
      <c r="H191" s="22"/>
    </row>
    <row r="192" spans="1:126" x14ac:dyDescent="0.25">
      <c r="A192" s="7"/>
      <c r="B192" s="7"/>
      <c r="C192" s="7"/>
      <c r="D192" s="7"/>
      <c r="E192" s="7"/>
      <c r="F192" s="7"/>
      <c r="G192" s="7"/>
      <c r="H192" s="22"/>
    </row>
    <row r="193" spans="1:8" x14ac:dyDescent="0.25">
      <c r="A193" s="7"/>
      <c r="B193" s="7"/>
      <c r="C193" s="7"/>
      <c r="D193" s="7"/>
      <c r="E193" s="7"/>
      <c r="F193" s="7"/>
      <c r="G193" s="7"/>
      <c r="H193" s="22"/>
    </row>
    <row r="194" spans="1:8" x14ac:dyDescent="0.25">
      <c r="A194" s="7"/>
      <c r="B194" s="7"/>
      <c r="C194" s="7"/>
      <c r="D194" s="7"/>
      <c r="E194" s="7"/>
      <c r="F194" s="7"/>
      <c r="G194" s="7"/>
      <c r="H194" s="22"/>
    </row>
    <row r="195" spans="1:8" x14ac:dyDescent="0.25">
      <c r="A195" s="7"/>
      <c r="B195" s="7"/>
      <c r="C195" s="7"/>
      <c r="D195" s="7"/>
      <c r="E195" s="7"/>
      <c r="F195" s="7"/>
      <c r="G195" s="7"/>
      <c r="H195" s="22"/>
    </row>
    <row r="196" spans="1:8" x14ac:dyDescent="0.25">
      <c r="A196" s="7"/>
      <c r="B196" s="7"/>
      <c r="C196" s="7"/>
      <c r="D196" s="7"/>
      <c r="E196" s="7"/>
      <c r="F196" s="7"/>
      <c r="G196" s="7"/>
      <c r="H196" s="22"/>
    </row>
    <row r="197" spans="1:8" x14ac:dyDescent="0.25">
      <c r="A197" s="7"/>
      <c r="B197" s="7"/>
      <c r="C197" s="7"/>
      <c r="D197" s="7"/>
      <c r="E197" s="7"/>
      <c r="F197" s="7"/>
      <c r="G197" s="7"/>
      <c r="H197" s="22"/>
    </row>
    <row r="198" spans="1:8" x14ac:dyDescent="0.25">
      <c r="A198" s="7"/>
      <c r="B198" s="7"/>
      <c r="C198" s="7"/>
      <c r="D198" s="7"/>
      <c r="E198" s="7"/>
      <c r="F198" s="7"/>
      <c r="G198" s="7"/>
      <c r="H198" s="22"/>
    </row>
    <row r="199" spans="1:8" x14ac:dyDescent="0.25">
      <c r="A199" s="7"/>
      <c r="B199" s="7"/>
      <c r="C199" s="7"/>
      <c r="D199" s="7"/>
      <c r="E199" s="7"/>
      <c r="F199" s="7"/>
      <c r="G199" s="7"/>
      <c r="H199" s="22"/>
    </row>
    <row r="200" spans="1:8" x14ac:dyDescent="0.25">
      <c r="A200" s="7"/>
      <c r="B200" s="7"/>
      <c r="C200" s="7"/>
      <c r="D200" s="7"/>
      <c r="E200" s="7"/>
      <c r="F200" s="7"/>
      <c r="G200" s="7"/>
      <c r="H200" s="22"/>
    </row>
    <row r="201" spans="1:8" x14ac:dyDescent="0.25">
      <c r="A201" s="7"/>
      <c r="B201" s="7"/>
      <c r="C201" s="7"/>
      <c r="D201" s="7"/>
      <c r="E201" s="7"/>
      <c r="F201" s="7"/>
      <c r="G201" s="7"/>
      <c r="H201" s="22"/>
    </row>
    <row r="202" spans="1:8" x14ac:dyDescent="0.25">
      <c r="A202" s="7"/>
      <c r="B202" s="7"/>
      <c r="C202" s="7"/>
      <c r="D202" s="7"/>
      <c r="E202" s="7"/>
      <c r="F202" s="7"/>
      <c r="G202" s="7"/>
      <c r="H202" s="22"/>
    </row>
    <row r="203" spans="1:8" x14ac:dyDescent="0.25">
      <c r="A203" s="7"/>
      <c r="B203" s="7"/>
      <c r="C203" s="7"/>
      <c r="D203" s="7"/>
      <c r="E203" s="7"/>
      <c r="F203" s="7"/>
      <c r="G203" s="7"/>
      <c r="H203" s="22"/>
    </row>
    <row r="204" spans="1:8" x14ac:dyDescent="0.25">
      <c r="A204" s="7"/>
      <c r="B204" s="7"/>
      <c r="C204" s="7"/>
      <c r="D204" s="7"/>
      <c r="E204" s="7"/>
      <c r="F204" s="7"/>
      <c r="G204" s="7"/>
      <c r="H204" s="22"/>
    </row>
    <row r="205" spans="1:8" x14ac:dyDescent="0.25">
      <c r="A205" s="7"/>
      <c r="B205" s="7"/>
      <c r="C205" s="7"/>
      <c r="D205" s="7"/>
      <c r="E205" s="7"/>
      <c r="F205" s="7"/>
      <c r="G205" s="7"/>
      <c r="H205" s="22"/>
    </row>
    <row r="206" spans="1:8" x14ac:dyDescent="0.25">
      <c r="A206" s="7"/>
      <c r="B206" s="7"/>
      <c r="C206" s="7"/>
      <c r="D206" s="7"/>
      <c r="E206" s="7"/>
      <c r="F206" s="7"/>
      <c r="G206" s="7"/>
      <c r="H206" s="22"/>
    </row>
    <row r="207" spans="1:8" x14ac:dyDescent="0.25">
      <c r="A207" s="7"/>
      <c r="B207" s="7"/>
      <c r="C207" s="7"/>
      <c r="D207" s="7"/>
      <c r="E207" s="7"/>
      <c r="F207" s="7"/>
      <c r="G207" s="7"/>
      <c r="H207" s="22"/>
    </row>
    <row r="208" spans="1:8" x14ac:dyDescent="0.25">
      <c r="A208" s="7"/>
      <c r="B208" s="7"/>
      <c r="C208" s="7"/>
      <c r="D208" s="7"/>
      <c r="E208" s="7"/>
      <c r="F208" s="7"/>
      <c r="G208" s="7"/>
      <c r="H208" s="22"/>
    </row>
    <row r="209" spans="1:8" x14ac:dyDescent="0.25">
      <c r="A209" s="7"/>
      <c r="B209" s="7"/>
      <c r="C209" s="7"/>
      <c r="D209" s="7"/>
      <c r="E209" s="7"/>
      <c r="F209" s="7"/>
      <c r="G209" s="7"/>
      <c r="H209" s="22"/>
    </row>
    <row r="210" spans="1:8" x14ac:dyDescent="0.25">
      <c r="A210" s="7"/>
      <c r="B210" s="7"/>
      <c r="C210" s="7"/>
      <c r="D210" s="7"/>
      <c r="E210" s="7"/>
      <c r="F210" s="7"/>
      <c r="G210" s="7"/>
      <c r="H210" s="22"/>
    </row>
    <row r="211" spans="1:8" x14ac:dyDescent="0.25">
      <c r="A211" s="7"/>
      <c r="B211" s="7"/>
      <c r="C211" s="7"/>
      <c r="D211" s="7"/>
      <c r="E211" s="7"/>
      <c r="F211" s="7"/>
      <c r="G211" s="7"/>
      <c r="H211" s="22"/>
    </row>
    <row r="212" spans="1:8" x14ac:dyDescent="0.25">
      <c r="A212" s="7"/>
      <c r="B212" s="7"/>
      <c r="C212" s="7"/>
      <c r="D212" s="7"/>
      <c r="E212" s="7"/>
      <c r="F212" s="7"/>
      <c r="G212" s="7"/>
      <c r="H212" s="22"/>
    </row>
    <row r="213" spans="1:8" x14ac:dyDescent="0.25">
      <c r="A213" s="7"/>
      <c r="B213" s="7"/>
      <c r="C213" s="7"/>
      <c r="D213" s="7"/>
      <c r="E213" s="7"/>
      <c r="F213" s="7"/>
      <c r="G213" s="7"/>
      <c r="H213" s="22"/>
    </row>
    <row r="214" spans="1:8" x14ac:dyDescent="0.25">
      <c r="A214" s="7"/>
      <c r="B214" s="7"/>
      <c r="C214" s="7"/>
      <c r="D214" s="7"/>
      <c r="E214" s="7"/>
      <c r="F214" s="7"/>
      <c r="G214" s="7"/>
      <c r="H214" s="22"/>
    </row>
    <row r="215" spans="1:8" x14ac:dyDescent="0.25">
      <c r="A215" s="7"/>
      <c r="B215" s="7"/>
      <c r="C215" s="7"/>
      <c r="D215" s="7"/>
      <c r="E215" s="7"/>
      <c r="F215" s="7"/>
      <c r="G215" s="7"/>
      <c r="H215" s="22"/>
    </row>
    <row r="216" spans="1:8" x14ac:dyDescent="0.25">
      <c r="A216" s="7"/>
      <c r="B216" s="7"/>
      <c r="C216" s="7"/>
      <c r="D216" s="7"/>
      <c r="E216" s="7"/>
      <c r="F216" s="7"/>
      <c r="G216" s="7"/>
      <c r="H216" s="22"/>
    </row>
    <row r="217" spans="1:8" x14ac:dyDescent="0.25">
      <c r="A217" s="7"/>
      <c r="B217" s="7"/>
      <c r="C217" s="7"/>
      <c r="D217" s="7"/>
      <c r="E217" s="7"/>
      <c r="F217" s="7"/>
      <c r="G217" s="7"/>
      <c r="H217" s="22"/>
    </row>
    <row r="218" spans="1:8" x14ac:dyDescent="0.25">
      <c r="A218" s="7"/>
      <c r="B218" s="7"/>
      <c r="C218" s="7"/>
      <c r="D218" s="7"/>
      <c r="E218" s="7"/>
      <c r="F218" s="7"/>
      <c r="G218" s="7"/>
      <c r="H218" s="22"/>
    </row>
    <row r="219" spans="1:8" x14ac:dyDescent="0.25">
      <c r="A219" s="7"/>
      <c r="B219" s="7"/>
      <c r="C219" s="7"/>
      <c r="D219" s="7"/>
      <c r="E219" s="7"/>
      <c r="F219" s="7"/>
      <c r="G219" s="7"/>
      <c r="H219" s="22"/>
    </row>
    <row r="220" spans="1:8" x14ac:dyDescent="0.25">
      <c r="A220" s="7"/>
      <c r="B220" s="7"/>
      <c r="C220" s="7"/>
      <c r="D220" s="7"/>
      <c r="E220" s="7"/>
      <c r="F220" s="7"/>
      <c r="G220" s="7"/>
      <c r="H220" s="22"/>
    </row>
    <row r="221" spans="1:8" x14ac:dyDescent="0.25">
      <c r="A221" s="7"/>
      <c r="B221" s="7"/>
      <c r="C221" s="7"/>
      <c r="D221" s="7"/>
      <c r="E221" s="7"/>
      <c r="F221" s="7"/>
      <c r="G221" s="7"/>
      <c r="H221" s="22"/>
    </row>
    <row r="222" spans="1:8" x14ac:dyDescent="0.25">
      <c r="A222" s="7"/>
      <c r="B222" s="7"/>
      <c r="C222" s="7"/>
      <c r="D222" s="7"/>
      <c r="E222" s="7"/>
      <c r="F222" s="7"/>
      <c r="G222" s="7"/>
      <c r="H222" s="22"/>
    </row>
    <row r="223" spans="1:8" x14ac:dyDescent="0.25">
      <c r="A223" s="7"/>
      <c r="B223" s="7"/>
      <c r="C223" s="7"/>
      <c r="D223" s="7"/>
      <c r="E223" s="7"/>
      <c r="F223" s="7"/>
      <c r="G223" s="7"/>
      <c r="H223" s="22"/>
    </row>
    <row r="224" spans="1:8" x14ac:dyDescent="0.25">
      <c r="A224" s="7"/>
      <c r="B224" s="7"/>
      <c r="C224" s="7"/>
      <c r="D224" s="7"/>
      <c r="E224" s="7"/>
      <c r="F224" s="7"/>
      <c r="G224" s="7"/>
      <c r="H224" s="22"/>
    </row>
    <row r="225" spans="1:8" x14ac:dyDescent="0.25">
      <c r="A225" s="7"/>
      <c r="B225" s="7"/>
      <c r="C225" s="7"/>
      <c r="D225" s="7"/>
      <c r="E225" s="7"/>
      <c r="F225" s="7"/>
      <c r="G225" s="7"/>
      <c r="H225" s="22"/>
    </row>
    <row r="226" spans="1:8" x14ac:dyDescent="0.25">
      <c r="A226" s="7"/>
      <c r="B226" s="7"/>
      <c r="C226" s="7"/>
      <c r="D226" s="7"/>
      <c r="E226" s="7"/>
      <c r="F226" s="7"/>
      <c r="G226" s="7"/>
      <c r="H226" s="22"/>
    </row>
    <row r="227" spans="1:8" x14ac:dyDescent="0.25">
      <c r="A227" s="7"/>
      <c r="B227" s="7"/>
      <c r="C227" s="7"/>
      <c r="D227" s="7"/>
      <c r="E227" s="7"/>
      <c r="F227" s="7"/>
      <c r="G227" s="7"/>
      <c r="H227" s="22"/>
    </row>
    <row r="228" spans="1:8" x14ac:dyDescent="0.25">
      <c r="A228" s="7"/>
      <c r="B228" s="7"/>
      <c r="C228" s="7"/>
      <c r="D228" s="7"/>
      <c r="E228" s="7"/>
      <c r="F228" s="7"/>
      <c r="G228" s="7"/>
      <c r="H228" s="22"/>
    </row>
    <row r="229" spans="1:8" x14ac:dyDescent="0.25">
      <c r="A229" s="7"/>
      <c r="B229" s="7"/>
      <c r="C229" s="7"/>
      <c r="D229" s="7"/>
      <c r="E229" s="7"/>
      <c r="F229" s="7"/>
      <c r="G229" s="7"/>
      <c r="H229" s="22"/>
    </row>
    <row r="230" spans="1:8" x14ac:dyDescent="0.25">
      <c r="A230" s="7"/>
      <c r="B230" s="7"/>
      <c r="C230" s="7"/>
      <c r="D230" s="7"/>
      <c r="E230" s="7"/>
      <c r="F230" s="7"/>
      <c r="G230" s="7"/>
      <c r="H230" s="22"/>
    </row>
    <row r="231" spans="1:8" x14ac:dyDescent="0.25">
      <c r="A231" s="7"/>
      <c r="B231" s="7"/>
      <c r="C231" s="7"/>
      <c r="D231" s="7"/>
      <c r="E231" s="7"/>
      <c r="F231" s="7"/>
      <c r="G231" s="7"/>
      <c r="H231" s="22"/>
    </row>
    <row r="232" spans="1:8" x14ac:dyDescent="0.25">
      <c r="A232" s="7"/>
      <c r="B232" s="7"/>
      <c r="C232" s="7"/>
      <c r="D232" s="7"/>
      <c r="E232" s="7"/>
      <c r="F232" s="7"/>
      <c r="G232" s="7"/>
      <c r="H232" s="22"/>
    </row>
    <row r="233" spans="1:8" x14ac:dyDescent="0.25">
      <c r="A233" s="7"/>
      <c r="B233" s="7"/>
      <c r="C233" s="7"/>
      <c r="D233" s="7"/>
      <c r="E233" s="7"/>
      <c r="F233" s="7"/>
      <c r="G233" s="7"/>
      <c r="H233" s="22"/>
    </row>
    <row r="234" spans="1:8" x14ac:dyDescent="0.25">
      <c r="A234" s="7"/>
      <c r="B234" s="7"/>
      <c r="C234" s="7"/>
      <c r="D234" s="7"/>
      <c r="E234" s="7"/>
      <c r="F234" s="7"/>
      <c r="G234" s="7"/>
      <c r="H234" s="22"/>
    </row>
    <row r="235" spans="1:8" x14ac:dyDescent="0.25">
      <c r="A235" s="7"/>
      <c r="B235" s="7"/>
      <c r="C235" s="7"/>
      <c r="D235" s="7"/>
      <c r="E235" s="7"/>
      <c r="F235" s="7"/>
      <c r="G235" s="7"/>
      <c r="H235" s="22"/>
    </row>
    <row r="236" spans="1:8" x14ac:dyDescent="0.25">
      <c r="A236" s="7"/>
      <c r="B236" s="7"/>
      <c r="C236" s="7"/>
      <c r="D236" s="7"/>
      <c r="E236" s="7"/>
      <c r="F236" s="7"/>
      <c r="G236" s="7"/>
      <c r="H236" s="22"/>
    </row>
    <row r="237" spans="1:8" x14ac:dyDescent="0.25">
      <c r="A237" s="7"/>
      <c r="B237" s="7"/>
      <c r="C237" s="7"/>
      <c r="D237" s="7"/>
      <c r="E237" s="7"/>
      <c r="F237" s="7"/>
      <c r="G237" s="7"/>
      <c r="H237" s="22"/>
    </row>
    <row r="238" spans="1:8" x14ac:dyDescent="0.25">
      <c r="A238" s="7"/>
      <c r="B238" s="7"/>
      <c r="C238" s="7"/>
      <c r="D238" s="7"/>
      <c r="E238" s="7"/>
      <c r="F238" s="7"/>
      <c r="G238" s="7"/>
      <c r="H238" s="22"/>
    </row>
    <row r="239" spans="1:8" x14ac:dyDescent="0.25">
      <c r="A239" s="7"/>
      <c r="B239" s="7"/>
      <c r="C239" s="7"/>
      <c r="D239" s="7"/>
      <c r="E239" s="7"/>
      <c r="F239" s="7"/>
      <c r="G239" s="7"/>
      <c r="H239" s="22"/>
    </row>
    <row r="240" spans="1:8" x14ac:dyDescent="0.25">
      <c r="A240" s="7"/>
      <c r="B240" s="7"/>
      <c r="C240" s="7"/>
      <c r="D240" s="7"/>
      <c r="E240" s="7"/>
      <c r="F240" s="7"/>
      <c r="G240" s="7"/>
      <c r="H240" s="22"/>
    </row>
    <row r="241" spans="1:8" x14ac:dyDescent="0.25">
      <c r="A241" s="7"/>
      <c r="B241" s="7"/>
      <c r="C241" s="7"/>
      <c r="D241" s="7"/>
      <c r="E241" s="7"/>
      <c r="F241" s="7"/>
      <c r="G241" s="7"/>
      <c r="H241" s="22"/>
    </row>
    <row r="242" spans="1:8" x14ac:dyDescent="0.25">
      <c r="A242" s="7"/>
      <c r="B242" s="7"/>
      <c r="C242" s="7"/>
      <c r="D242" s="7"/>
      <c r="E242" s="7"/>
      <c r="F242" s="7"/>
      <c r="G242" s="7"/>
      <c r="H242" s="22"/>
    </row>
    <row r="243" spans="1:8" x14ac:dyDescent="0.25">
      <c r="A243" s="7"/>
      <c r="B243" s="7"/>
      <c r="C243" s="7"/>
      <c r="D243" s="7"/>
      <c r="E243" s="7"/>
      <c r="F243" s="7"/>
      <c r="G243" s="7"/>
      <c r="H243" s="22"/>
    </row>
    <row r="244" spans="1:8" x14ac:dyDescent="0.25">
      <c r="A244" s="7"/>
      <c r="B244" s="7"/>
      <c r="C244" s="7"/>
      <c r="D244" s="7"/>
      <c r="E244" s="7"/>
      <c r="F244" s="7"/>
      <c r="G244" s="7"/>
      <c r="H244" s="22"/>
    </row>
    <row r="245" spans="1:8" x14ac:dyDescent="0.25">
      <c r="A245" s="7"/>
      <c r="B245" s="7"/>
      <c r="C245" s="7"/>
      <c r="D245" s="7"/>
      <c r="E245" s="7"/>
      <c r="F245" s="7"/>
      <c r="G245" s="7"/>
      <c r="H245" s="22"/>
    </row>
    <row r="246" spans="1:8" x14ac:dyDescent="0.25">
      <c r="A246" s="7"/>
      <c r="B246" s="7"/>
      <c r="C246" s="7"/>
      <c r="D246" s="7"/>
      <c r="E246" s="7"/>
      <c r="F246" s="7"/>
      <c r="G246" s="7"/>
      <c r="H246" s="22"/>
    </row>
    <row r="247" spans="1:8" x14ac:dyDescent="0.25">
      <c r="A247" s="7"/>
      <c r="B247" s="7"/>
      <c r="C247" s="7"/>
      <c r="D247" s="7"/>
      <c r="E247" s="7"/>
      <c r="F247" s="7"/>
      <c r="G247" s="7"/>
      <c r="H247" s="22"/>
    </row>
    <row r="248" spans="1:8" x14ac:dyDescent="0.25">
      <c r="A248" s="7"/>
      <c r="B248" s="7"/>
      <c r="C248" s="7"/>
      <c r="D248" s="7"/>
      <c r="E248" s="7"/>
      <c r="F248" s="7"/>
      <c r="G248" s="7"/>
      <c r="H248" s="22"/>
    </row>
    <row r="249" spans="1:8" x14ac:dyDescent="0.25">
      <c r="A249" s="7"/>
      <c r="B249" s="7"/>
      <c r="C249" s="7"/>
      <c r="D249" s="7"/>
      <c r="E249" s="7"/>
      <c r="F249" s="7"/>
      <c r="G249" s="7"/>
      <c r="H249" s="22"/>
    </row>
    <row r="250" spans="1:8" x14ac:dyDescent="0.25">
      <c r="A250" s="7"/>
      <c r="B250" s="7"/>
      <c r="C250" s="7"/>
      <c r="D250" s="7"/>
      <c r="E250" s="7"/>
      <c r="F250" s="7"/>
      <c r="G250" s="7"/>
      <c r="H250" s="22"/>
    </row>
    <row r="251" spans="1:8" x14ac:dyDescent="0.25">
      <c r="A251" s="7"/>
      <c r="B251" s="7"/>
      <c r="C251" s="7"/>
      <c r="D251" s="7"/>
      <c r="E251" s="7"/>
      <c r="F251" s="7"/>
      <c r="G251" s="7"/>
      <c r="H251" s="22"/>
    </row>
    <row r="252" spans="1:8" x14ac:dyDescent="0.25">
      <c r="A252" s="7"/>
      <c r="B252" s="7"/>
      <c r="C252" s="7"/>
      <c r="D252" s="7"/>
      <c r="E252" s="7"/>
      <c r="F252" s="7"/>
      <c r="G252" s="7"/>
      <c r="H252" s="22"/>
    </row>
    <row r="253" spans="1:8" x14ac:dyDescent="0.25">
      <c r="A253" s="7"/>
      <c r="B253" s="7"/>
      <c r="C253" s="7"/>
      <c r="D253" s="7"/>
      <c r="E253" s="7"/>
      <c r="F253" s="7"/>
      <c r="G253" s="7"/>
      <c r="H253" s="22"/>
    </row>
    <row r="254" spans="1:8" x14ac:dyDescent="0.25">
      <c r="A254" s="7"/>
      <c r="B254" s="7"/>
      <c r="C254" s="7"/>
      <c r="D254" s="7"/>
      <c r="E254" s="7"/>
      <c r="F254" s="7"/>
      <c r="G254" s="7"/>
      <c r="H254" s="22"/>
    </row>
    <row r="255" spans="1:8" x14ac:dyDescent="0.25">
      <c r="A255" s="7"/>
      <c r="B255" s="7"/>
      <c r="C255" s="7"/>
      <c r="D255" s="7"/>
      <c r="E255" s="7"/>
      <c r="F255" s="7"/>
      <c r="G255" s="7"/>
      <c r="H255" s="22"/>
    </row>
    <row r="256" spans="1:8" x14ac:dyDescent="0.25">
      <c r="A256" s="7"/>
      <c r="B256" s="7"/>
      <c r="C256" s="7"/>
      <c r="D256" s="7"/>
      <c r="E256" s="7"/>
      <c r="F256" s="7"/>
      <c r="G256" s="7"/>
      <c r="H256" s="22"/>
    </row>
    <row r="257" spans="1:8" x14ac:dyDescent="0.25">
      <c r="A257" s="7"/>
      <c r="B257" s="7"/>
      <c r="C257" s="7"/>
      <c r="D257" s="7"/>
      <c r="E257" s="7"/>
      <c r="F257" s="7"/>
      <c r="G257" s="7"/>
      <c r="H257" s="22"/>
    </row>
    <row r="258" spans="1:8" x14ac:dyDescent="0.25">
      <c r="A258" s="7"/>
      <c r="B258" s="7"/>
      <c r="C258" s="7"/>
      <c r="D258" s="7"/>
      <c r="E258" s="7"/>
      <c r="F258" s="7"/>
      <c r="G258" s="7"/>
      <c r="H258" s="22"/>
    </row>
    <row r="259" spans="1:8" x14ac:dyDescent="0.25">
      <c r="A259" s="7"/>
      <c r="B259" s="7"/>
      <c r="C259" s="7"/>
      <c r="D259" s="7"/>
      <c r="E259" s="7"/>
      <c r="F259" s="7"/>
      <c r="G259" s="7"/>
      <c r="H259" s="22"/>
    </row>
    <row r="260" spans="1:8" x14ac:dyDescent="0.25">
      <c r="A260" s="7"/>
      <c r="B260" s="7"/>
      <c r="C260" s="7"/>
      <c r="D260" s="7"/>
      <c r="E260" s="7"/>
      <c r="F260" s="7"/>
      <c r="G260" s="7"/>
      <c r="H260" s="22"/>
    </row>
    <row r="261" spans="1:8" x14ac:dyDescent="0.25">
      <c r="A261" s="7"/>
      <c r="B261" s="7"/>
      <c r="C261" s="7"/>
      <c r="D261" s="7"/>
      <c r="E261" s="7"/>
      <c r="F261" s="7"/>
      <c r="G261" s="7"/>
      <c r="H261" s="22"/>
    </row>
    <row r="262" spans="1:8" x14ac:dyDescent="0.25">
      <c r="A262" s="7"/>
      <c r="B262" s="7"/>
      <c r="C262" s="7"/>
      <c r="D262" s="7"/>
      <c r="E262" s="7"/>
      <c r="F262" s="7"/>
      <c r="G262" s="7"/>
      <c r="H262" s="22"/>
    </row>
    <row r="263" spans="1:8" x14ac:dyDescent="0.25">
      <c r="A263" s="7"/>
      <c r="B263" s="7"/>
      <c r="C263" s="7"/>
      <c r="D263" s="7"/>
      <c r="E263" s="7"/>
      <c r="F263" s="7"/>
      <c r="G263" s="7"/>
      <c r="H263" s="22"/>
    </row>
    <row r="264" spans="1:8" x14ac:dyDescent="0.25">
      <c r="A264" s="7"/>
      <c r="B264" s="7"/>
      <c r="C264" s="7"/>
      <c r="D264" s="7"/>
      <c r="E264" s="7"/>
      <c r="F264" s="7"/>
      <c r="G264" s="7"/>
      <c r="H264" s="22"/>
    </row>
    <row r="265" spans="1:8" x14ac:dyDescent="0.25">
      <c r="A265" s="7"/>
      <c r="B265" s="7"/>
      <c r="C265" s="7"/>
      <c r="D265" s="7"/>
      <c r="E265" s="7"/>
      <c r="F265" s="7"/>
      <c r="G265" s="7"/>
      <c r="H265" s="22"/>
    </row>
    <row r="266" spans="1:8" x14ac:dyDescent="0.25">
      <c r="A266" s="7"/>
      <c r="B266" s="7"/>
      <c r="C266" s="7"/>
      <c r="D266" s="7"/>
      <c r="E266" s="7"/>
      <c r="F266" s="7"/>
      <c r="G266" s="7"/>
      <c r="H266" s="22"/>
    </row>
    <row r="267" spans="1:8" x14ac:dyDescent="0.25">
      <c r="A267" s="7"/>
      <c r="B267" s="7"/>
      <c r="C267" s="7"/>
      <c r="D267" s="7"/>
      <c r="E267" s="7"/>
      <c r="F267" s="7"/>
      <c r="G267" s="7"/>
      <c r="H267" s="22"/>
    </row>
    <row r="268" spans="1:8" x14ac:dyDescent="0.25">
      <c r="A268" s="7"/>
      <c r="B268" s="7"/>
      <c r="C268" s="7"/>
      <c r="D268" s="7"/>
      <c r="E268" s="7"/>
      <c r="F268" s="7"/>
      <c r="G268" s="7"/>
      <c r="H268" s="22"/>
    </row>
    <row r="269" spans="1:8" x14ac:dyDescent="0.25">
      <c r="A269" s="7"/>
      <c r="B269" s="7"/>
      <c r="C269" s="7"/>
      <c r="D269" s="7"/>
      <c r="E269" s="7"/>
      <c r="F269" s="7"/>
      <c r="G269" s="7"/>
      <c r="H269" s="22"/>
    </row>
    <row r="270" spans="1:8" x14ac:dyDescent="0.25">
      <c r="A270" s="7"/>
      <c r="B270" s="7"/>
      <c r="C270" s="7"/>
      <c r="D270" s="7"/>
      <c r="E270" s="7"/>
      <c r="F270" s="7"/>
      <c r="G270" s="7"/>
      <c r="H270" s="22"/>
    </row>
    <row r="271" spans="1:8" x14ac:dyDescent="0.25">
      <c r="A271" s="7"/>
      <c r="B271" s="7"/>
      <c r="C271" s="7"/>
      <c r="D271" s="7"/>
      <c r="E271" s="7"/>
      <c r="F271" s="7"/>
      <c r="G271" s="7"/>
      <c r="H271" s="22"/>
    </row>
    <row r="272" spans="1:8" x14ac:dyDescent="0.25">
      <c r="A272" s="7"/>
      <c r="B272" s="7"/>
      <c r="C272" s="7"/>
      <c r="D272" s="7"/>
      <c r="E272" s="7"/>
      <c r="F272" s="7"/>
      <c r="G272" s="7"/>
      <c r="H272" s="22"/>
    </row>
    <row r="273" spans="1:8" x14ac:dyDescent="0.25">
      <c r="A273" s="7"/>
      <c r="B273" s="7"/>
      <c r="C273" s="7"/>
      <c r="D273" s="7"/>
      <c r="E273" s="7"/>
      <c r="F273" s="7"/>
      <c r="G273" s="7"/>
      <c r="H273" s="22"/>
    </row>
    <row r="274" spans="1:8" x14ac:dyDescent="0.25">
      <c r="A274" s="7"/>
      <c r="B274" s="7"/>
      <c r="C274" s="7"/>
      <c r="D274" s="7"/>
      <c r="E274" s="7"/>
      <c r="F274" s="7"/>
      <c r="G274" s="7"/>
      <c r="H274" s="22"/>
    </row>
    <row r="275" spans="1:8" x14ac:dyDescent="0.25">
      <c r="A275" s="7"/>
      <c r="B275" s="7"/>
      <c r="C275" s="7"/>
      <c r="D275" s="7"/>
      <c r="E275" s="7"/>
      <c r="F275" s="7"/>
      <c r="G275" s="7"/>
      <c r="H275" s="22"/>
    </row>
    <row r="276" spans="1:8" x14ac:dyDescent="0.25">
      <c r="A276" s="7"/>
      <c r="B276" s="7"/>
      <c r="C276" s="7"/>
      <c r="D276" s="7"/>
      <c r="E276" s="7"/>
      <c r="F276" s="7"/>
      <c r="G276" s="7"/>
      <c r="H276" s="22"/>
    </row>
    <row r="277" spans="1:8" x14ac:dyDescent="0.25">
      <c r="A277" s="7"/>
      <c r="B277" s="7"/>
      <c r="C277" s="7"/>
      <c r="D277" s="7"/>
      <c r="E277" s="7"/>
      <c r="F277" s="7"/>
      <c r="G277" s="7"/>
      <c r="H277" s="22"/>
    </row>
    <row r="278" spans="1:8" x14ac:dyDescent="0.25">
      <c r="A278" s="7"/>
      <c r="B278" s="7"/>
      <c r="C278" s="7"/>
      <c r="D278" s="7"/>
      <c r="E278" s="7"/>
      <c r="F278" s="7"/>
      <c r="G278" s="7"/>
      <c r="H278" s="22"/>
    </row>
    <row r="279" spans="1:8" x14ac:dyDescent="0.25">
      <c r="A279" s="7"/>
      <c r="B279" s="7"/>
      <c r="C279" s="7"/>
      <c r="D279" s="7"/>
      <c r="E279" s="7"/>
      <c r="F279" s="7"/>
      <c r="G279" s="7"/>
      <c r="H279" s="22"/>
    </row>
    <row r="280" spans="1:8" x14ac:dyDescent="0.25">
      <c r="A280" s="7"/>
      <c r="B280" s="7"/>
      <c r="C280" s="7"/>
      <c r="D280" s="7"/>
      <c r="E280" s="7"/>
      <c r="F280" s="7"/>
      <c r="G280" s="7"/>
      <c r="H280" s="22"/>
    </row>
    <row r="281" spans="1:8" x14ac:dyDescent="0.25">
      <c r="A281" s="7"/>
      <c r="B281" s="7"/>
      <c r="C281" s="7"/>
      <c r="D281" s="7"/>
      <c r="E281" s="7"/>
      <c r="F281" s="7"/>
      <c r="G281" s="7"/>
      <c r="H281" s="22"/>
    </row>
    <row r="282" spans="1:8" x14ac:dyDescent="0.25">
      <c r="A282" s="7"/>
      <c r="B282" s="7"/>
      <c r="C282" s="7"/>
      <c r="D282" s="7"/>
      <c r="E282" s="7"/>
      <c r="F282" s="7"/>
      <c r="G282" s="7"/>
      <c r="H282" s="22"/>
    </row>
    <row r="283" spans="1:8" x14ac:dyDescent="0.25">
      <c r="A283" s="7"/>
      <c r="B283" s="7"/>
      <c r="C283" s="7"/>
      <c r="D283" s="7"/>
      <c r="E283" s="7"/>
      <c r="F283" s="7"/>
      <c r="G283" s="7"/>
      <c r="H283" s="22"/>
    </row>
    <row r="284" spans="1:8" x14ac:dyDescent="0.25">
      <c r="A284" s="7"/>
      <c r="B284" s="7"/>
      <c r="C284" s="7"/>
      <c r="D284" s="7"/>
      <c r="E284" s="7"/>
      <c r="F284" s="7"/>
      <c r="G284" s="7"/>
      <c r="H284" s="22"/>
    </row>
    <row r="285" spans="1:8" x14ac:dyDescent="0.25">
      <c r="A285" s="7"/>
      <c r="B285" s="7"/>
      <c r="C285" s="7"/>
      <c r="D285" s="7"/>
      <c r="E285" s="7"/>
      <c r="F285" s="7"/>
      <c r="G285" s="7"/>
      <c r="H285" s="22"/>
    </row>
    <row r="286" spans="1:8" x14ac:dyDescent="0.25">
      <c r="A286" s="7"/>
      <c r="B286" s="7"/>
      <c r="C286" s="7"/>
      <c r="D286" s="7"/>
      <c r="E286" s="7"/>
      <c r="F286" s="7"/>
      <c r="G286" s="7"/>
      <c r="H286" s="22"/>
    </row>
    <row r="287" spans="1:8" x14ac:dyDescent="0.25">
      <c r="A287" s="7"/>
      <c r="B287" s="7"/>
      <c r="C287" s="7"/>
      <c r="D287" s="7"/>
      <c r="E287" s="7"/>
      <c r="F287" s="7"/>
      <c r="G287" s="7"/>
      <c r="H287" s="22"/>
    </row>
    <row r="288" spans="1:8" x14ac:dyDescent="0.25">
      <c r="A288" s="7"/>
      <c r="B288" s="7"/>
      <c r="C288" s="7"/>
      <c r="D288" s="7"/>
      <c r="E288" s="7"/>
      <c r="F288" s="7"/>
      <c r="G288" s="7"/>
      <c r="H288" s="22"/>
    </row>
    <row r="289" spans="1:8" x14ac:dyDescent="0.25">
      <c r="A289" s="7"/>
      <c r="B289" s="7"/>
      <c r="C289" s="7"/>
      <c r="D289" s="7"/>
      <c r="E289" s="7"/>
      <c r="F289" s="7"/>
      <c r="G289" s="7"/>
      <c r="H289" s="22"/>
    </row>
    <row r="290" spans="1:8" x14ac:dyDescent="0.25">
      <c r="A290" s="7"/>
      <c r="B290" s="7"/>
      <c r="C290" s="7"/>
      <c r="D290" s="7"/>
      <c r="E290" s="7"/>
      <c r="F290" s="7"/>
      <c r="G290" s="7"/>
      <c r="H290" s="22"/>
    </row>
    <row r="291" spans="1:8" x14ac:dyDescent="0.25">
      <c r="A291" s="7"/>
      <c r="B291" s="7"/>
      <c r="C291" s="7"/>
      <c r="D291" s="7"/>
      <c r="E291" s="7"/>
      <c r="F291" s="7"/>
      <c r="G291" s="7"/>
      <c r="H291" s="22"/>
    </row>
    <row r="292" spans="1:8" x14ac:dyDescent="0.25">
      <c r="A292" s="7"/>
      <c r="B292" s="7"/>
      <c r="C292" s="7"/>
      <c r="D292" s="7"/>
      <c r="E292" s="7"/>
      <c r="F292" s="7"/>
      <c r="G292" s="7"/>
      <c r="H292" s="22"/>
    </row>
    <row r="293" spans="1:8" x14ac:dyDescent="0.25">
      <c r="A293" s="7"/>
      <c r="B293" s="7"/>
      <c r="C293" s="7"/>
      <c r="D293" s="7"/>
      <c r="E293" s="7"/>
      <c r="F293" s="7"/>
      <c r="G293" s="7"/>
      <c r="H293" s="22"/>
    </row>
    <row r="294" spans="1:8" x14ac:dyDescent="0.25">
      <c r="A294" s="7"/>
      <c r="B294" s="7"/>
      <c r="C294" s="7"/>
      <c r="D294" s="7"/>
      <c r="E294" s="7"/>
      <c r="F294" s="7"/>
      <c r="G294" s="7"/>
      <c r="H294" s="22"/>
    </row>
    <row r="295" spans="1:8" x14ac:dyDescent="0.25">
      <c r="A295" s="7"/>
      <c r="B295" s="7"/>
      <c r="C295" s="7"/>
      <c r="D295" s="7"/>
      <c r="E295" s="7"/>
      <c r="F295" s="7"/>
      <c r="G295" s="7"/>
      <c r="H295" s="22"/>
    </row>
    <row r="296" spans="1:8" x14ac:dyDescent="0.25">
      <c r="A296" s="7"/>
      <c r="B296" s="7"/>
      <c r="C296" s="7"/>
      <c r="D296" s="7"/>
      <c r="E296" s="7"/>
      <c r="F296" s="7"/>
      <c r="G296" s="7"/>
      <c r="H296" s="22"/>
    </row>
    <row r="297" spans="1:8" x14ac:dyDescent="0.25">
      <c r="A297" s="7"/>
      <c r="B297" s="7"/>
      <c r="C297" s="7"/>
      <c r="D297" s="7"/>
      <c r="E297" s="7"/>
      <c r="F297" s="7"/>
      <c r="G297" s="7"/>
      <c r="H297" s="22"/>
    </row>
    <row r="298" spans="1:8" x14ac:dyDescent="0.25">
      <c r="A298" s="7"/>
      <c r="B298" s="7"/>
      <c r="C298" s="7"/>
      <c r="D298" s="7"/>
      <c r="E298" s="7"/>
      <c r="F298" s="7"/>
      <c r="G298" s="7"/>
      <c r="H298" s="22"/>
    </row>
    <row r="299" spans="1:8" x14ac:dyDescent="0.25">
      <c r="A299" s="7"/>
      <c r="B299" s="7"/>
      <c r="C299" s="7"/>
      <c r="D299" s="7"/>
      <c r="E299" s="7"/>
      <c r="F299" s="7"/>
      <c r="G299" s="7"/>
      <c r="H299" s="22"/>
    </row>
    <row r="300" spans="1:8" x14ac:dyDescent="0.25">
      <c r="A300" s="7"/>
      <c r="B300" s="7"/>
      <c r="C300" s="7"/>
      <c r="D300" s="7"/>
      <c r="E300" s="7"/>
      <c r="F300" s="7"/>
      <c r="G300" s="7"/>
      <c r="H300" s="22"/>
    </row>
    <row r="301" spans="1:8" x14ac:dyDescent="0.25">
      <c r="A301" s="7"/>
      <c r="B301" s="7"/>
      <c r="C301" s="7"/>
      <c r="D301" s="7"/>
      <c r="E301" s="7"/>
      <c r="F301" s="7"/>
      <c r="G301" s="7"/>
      <c r="H301" s="22"/>
    </row>
    <row r="302" spans="1:8" x14ac:dyDescent="0.25">
      <c r="A302" s="7"/>
      <c r="B302" s="7"/>
      <c r="C302" s="7"/>
      <c r="D302" s="7"/>
      <c r="E302" s="7"/>
      <c r="F302" s="7"/>
      <c r="G302" s="7"/>
      <c r="H302" s="22"/>
    </row>
    <row r="303" spans="1:8" x14ac:dyDescent="0.25">
      <c r="A303" s="7"/>
      <c r="B303" s="7"/>
      <c r="C303" s="7"/>
      <c r="D303" s="7"/>
      <c r="E303" s="7"/>
      <c r="F303" s="7"/>
      <c r="G303" s="7"/>
      <c r="H303" s="22"/>
    </row>
    <row r="304" spans="1:8" x14ac:dyDescent="0.25">
      <c r="A304" s="7"/>
      <c r="B304" s="7"/>
      <c r="C304" s="7"/>
      <c r="D304" s="7"/>
      <c r="E304" s="7"/>
      <c r="F304" s="7"/>
      <c r="G304" s="7"/>
      <c r="H304" s="22"/>
    </row>
    <row r="305" spans="1:8" x14ac:dyDescent="0.25">
      <c r="A305" s="7"/>
      <c r="B305" s="7"/>
      <c r="C305" s="7"/>
      <c r="D305" s="7"/>
      <c r="E305" s="7"/>
      <c r="F305" s="7"/>
      <c r="G305" s="7"/>
      <c r="H305" s="22"/>
    </row>
    <row r="306" spans="1:8" x14ac:dyDescent="0.25">
      <c r="A306" s="7"/>
      <c r="B306" s="7"/>
      <c r="C306" s="7"/>
      <c r="D306" s="7"/>
      <c r="E306" s="7"/>
      <c r="F306" s="7"/>
      <c r="G306" s="7"/>
      <c r="H306" s="22"/>
    </row>
    <row r="307" spans="1:8" x14ac:dyDescent="0.25">
      <c r="A307" s="7"/>
      <c r="B307" s="7"/>
      <c r="C307" s="7"/>
      <c r="D307" s="7"/>
      <c r="E307" s="7"/>
      <c r="F307" s="7"/>
      <c r="G307" s="7"/>
      <c r="H307" s="22"/>
    </row>
    <row r="308" spans="1:8" x14ac:dyDescent="0.25">
      <c r="A308" s="7"/>
      <c r="B308" s="7"/>
      <c r="C308" s="7"/>
      <c r="D308" s="7"/>
      <c r="E308" s="7"/>
      <c r="F308" s="7"/>
      <c r="G308" s="7"/>
      <c r="H308" s="22"/>
    </row>
    <row r="309" spans="1:8" x14ac:dyDescent="0.25">
      <c r="A309" s="7"/>
      <c r="B309" s="7"/>
      <c r="C309" s="7"/>
      <c r="D309" s="7"/>
      <c r="E309" s="7"/>
      <c r="F309" s="7"/>
      <c r="G309" s="7"/>
      <c r="H309" s="22"/>
    </row>
    <row r="310" spans="1:8" x14ac:dyDescent="0.25">
      <c r="A310" s="7"/>
      <c r="B310" s="7"/>
      <c r="C310" s="7"/>
      <c r="D310" s="7"/>
      <c r="E310" s="7"/>
      <c r="F310" s="7"/>
      <c r="G310" s="7"/>
      <c r="H310" s="22"/>
    </row>
    <row r="311" spans="1:8" x14ac:dyDescent="0.25">
      <c r="A311" s="7"/>
      <c r="B311" s="7"/>
      <c r="C311" s="7"/>
      <c r="D311" s="7"/>
      <c r="E311" s="7"/>
      <c r="F311" s="7"/>
      <c r="G311" s="7"/>
      <c r="H311" s="22"/>
    </row>
    <row r="312" spans="1:8" x14ac:dyDescent="0.25">
      <c r="A312" s="7"/>
      <c r="B312" s="7"/>
      <c r="C312" s="7"/>
      <c r="D312" s="7"/>
      <c r="E312" s="7"/>
      <c r="F312" s="7"/>
      <c r="G312" s="7"/>
      <c r="H312" s="22"/>
    </row>
    <row r="313" spans="1:8" x14ac:dyDescent="0.25">
      <c r="A313" s="7"/>
      <c r="B313" s="7"/>
      <c r="C313" s="7"/>
      <c r="D313" s="7"/>
      <c r="E313" s="7"/>
      <c r="F313" s="7"/>
      <c r="G313" s="7"/>
      <c r="H313" s="22"/>
    </row>
    <row r="314" spans="1:8" x14ac:dyDescent="0.25">
      <c r="A314" s="7"/>
      <c r="B314" s="7"/>
      <c r="C314" s="7"/>
      <c r="D314" s="7"/>
      <c r="E314" s="7"/>
      <c r="F314" s="7"/>
      <c r="G314" s="7"/>
      <c r="H314" s="22"/>
    </row>
    <row r="315" spans="1:8" x14ac:dyDescent="0.25">
      <c r="A315" s="7"/>
      <c r="B315" s="7"/>
      <c r="C315" s="7"/>
      <c r="D315" s="7"/>
      <c r="E315" s="7"/>
      <c r="F315" s="7"/>
      <c r="G315" s="7"/>
      <c r="H315" s="22"/>
    </row>
    <row r="316" spans="1:8" x14ac:dyDescent="0.25">
      <c r="A316" s="7"/>
      <c r="B316" s="7"/>
      <c r="C316" s="7"/>
      <c r="D316" s="7"/>
      <c r="E316" s="7"/>
      <c r="F316" s="7"/>
      <c r="G316" s="7"/>
      <c r="H316" s="22"/>
    </row>
    <row r="317" spans="1:8" x14ac:dyDescent="0.25">
      <c r="A317" s="7"/>
      <c r="B317" s="7"/>
      <c r="C317" s="7"/>
      <c r="D317" s="7"/>
      <c r="E317" s="7"/>
      <c r="F317" s="7"/>
      <c r="G317" s="7"/>
      <c r="H317" s="22"/>
    </row>
    <row r="318" spans="1:8" x14ac:dyDescent="0.25">
      <c r="A318" s="7"/>
      <c r="B318" s="7"/>
      <c r="C318" s="7"/>
      <c r="D318" s="7"/>
      <c r="E318" s="7"/>
      <c r="F318" s="7"/>
      <c r="G318" s="7"/>
      <c r="H318" s="22"/>
    </row>
    <row r="319" spans="1:8" x14ac:dyDescent="0.25">
      <c r="A319" s="7"/>
      <c r="B319" s="7"/>
      <c r="C319" s="7"/>
      <c r="D319" s="7"/>
      <c r="E319" s="7"/>
      <c r="F319" s="7"/>
      <c r="G319" s="7"/>
      <c r="H319" s="22"/>
    </row>
    <row r="320" spans="1:8" x14ac:dyDescent="0.25">
      <c r="A320" s="7"/>
      <c r="B320" s="7"/>
      <c r="C320" s="7"/>
      <c r="D320" s="7"/>
      <c r="E320" s="7"/>
      <c r="F320" s="7"/>
      <c r="G320" s="7"/>
      <c r="H320" s="22"/>
    </row>
    <row r="321" spans="1:8" x14ac:dyDescent="0.25">
      <c r="A321" s="7"/>
      <c r="B321" s="7"/>
      <c r="C321" s="7"/>
      <c r="D321" s="7"/>
      <c r="E321" s="7"/>
      <c r="F321" s="7"/>
      <c r="G321" s="7"/>
      <c r="H321" s="22"/>
    </row>
    <row r="322" spans="1:8" x14ac:dyDescent="0.25">
      <c r="A322" s="7"/>
      <c r="B322" s="7"/>
      <c r="C322" s="7"/>
      <c r="D322" s="7"/>
      <c r="E322" s="7"/>
      <c r="F322" s="7"/>
      <c r="G322" s="7"/>
      <c r="H322" s="22"/>
    </row>
    <row r="323" spans="1:8" x14ac:dyDescent="0.25">
      <c r="A323" s="7"/>
      <c r="B323" s="7"/>
      <c r="C323" s="7"/>
      <c r="D323" s="7"/>
      <c r="E323" s="7"/>
      <c r="F323" s="7"/>
      <c r="G323" s="7"/>
      <c r="H323" s="22"/>
    </row>
    <row r="324" spans="1:8" x14ac:dyDescent="0.25">
      <c r="A324" s="7"/>
      <c r="B324" s="7"/>
      <c r="C324" s="7"/>
      <c r="D324" s="7"/>
      <c r="E324" s="7"/>
      <c r="F324" s="7"/>
      <c r="G324" s="7"/>
      <c r="H324" s="22"/>
    </row>
    <row r="325" spans="1:8" x14ac:dyDescent="0.25">
      <c r="A325" s="7"/>
      <c r="B325" s="7"/>
      <c r="C325" s="7"/>
      <c r="D325" s="7"/>
      <c r="E325" s="7"/>
      <c r="F325" s="7"/>
      <c r="G325" s="7"/>
      <c r="H325" s="22"/>
    </row>
    <row r="326" spans="1:8" x14ac:dyDescent="0.25">
      <c r="A326" s="7"/>
      <c r="B326" s="7"/>
      <c r="C326" s="7"/>
      <c r="D326" s="7"/>
      <c r="E326" s="7"/>
      <c r="F326" s="7"/>
      <c r="G326" s="7"/>
      <c r="H326" s="22"/>
    </row>
    <row r="327" spans="1:8" x14ac:dyDescent="0.25">
      <c r="A327" s="7"/>
      <c r="B327" s="7"/>
      <c r="C327" s="7"/>
      <c r="D327" s="7"/>
      <c r="E327" s="7"/>
      <c r="F327" s="7"/>
      <c r="G327" s="7"/>
      <c r="H327" s="22"/>
    </row>
    <row r="328" spans="1:8" x14ac:dyDescent="0.25">
      <c r="A328" s="7"/>
      <c r="B328" s="7"/>
      <c r="C328" s="7"/>
      <c r="D328" s="7"/>
      <c r="E328" s="7"/>
      <c r="F328" s="7"/>
      <c r="G328" s="7"/>
      <c r="H328" s="22"/>
    </row>
    <row r="329" spans="1:8" x14ac:dyDescent="0.25">
      <c r="A329" s="7"/>
      <c r="B329" s="7"/>
      <c r="C329" s="7"/>
      <c r="D329" s="7"/>
      <c r="E329" s="7"/>
      <c r="F329" s="7"/>
      <c r="G329" s="7"/>
      <c r="H329" s="22"/>
    </row>
    <row r="330" spans="1:8" x14ac:dyDescent="0.25">
      <c r="A330" s="7"/>
      <c r="B330" s="7"/>
      <c r="C330" s="7"/>
      <c r="D330" s="7"/>
      <c r="E330" s="7"/>
      <c r="F330" s="7"/>
      <c r="G330" s="7"/>
      <c r="H330" s="22"/>
    </row>
    <row r="331" spans="1:8" x14ac:dyDescent="0.25">
      <c r="A331" s="7"/>
      <c r="B331" s="7"/>
      <c r="C331" s="7"/>
      <c r="D331" s="7"/>
      <c r="E331" s="7"/>
      <c r="F331" s="7"/>
      <c r="G331" s="7"/>
      <c r="H331" s="22"/>
    </row>
    <row r="332" spans="1:8" x14ac:dyDescent="0.25">
      <c r="A332" s="7"/>
      <c r="B332" s="7"/>
      <c r="C332" s="7"/>
      <c r="D332" s="7"/>
      <c r="E332" s="7"/>
      <c r="F332" s="7"/>
      <c r="G332" s="7"/>
      <c r="H332" s="22"/>
    </row>
    <row r="333" spans="1:8" x14ac:dyDescent="0.25">
      <c r="A333" s="7"/>
      <c r="B333" s="7"/>
      <c r="C333" s="7"/>
      <c r="D333" s="7"/>
      <c r="E333" s="7"/>
      <c r="F333" s="7"/>
      <c r="G333" s="7"/>
      <c r="H333" s="22"/>
    </row>
    <row r="334" spans="1:8" x14ac:dyDescent="0.25">
      <c r="A334" s="7"/>
      <c r="B334" s="7"/>
      <c r="C334" s="7"/>
      <c r="D334" s="7"/>
      <c r="E334" s="7"/>
      <c r="F334" s="7"/>
      <c r="G334" s="7"/>
      <c r="H334" s="22"/>
    </row>
    <row r="335" spans="1:8" x14ac:dyDescent="0.25">
      <c r="A335" s="7"/>
      <c r="B335" s="7"/>
      <c r="C335" s="7"/>
      <c r="D335" s="7"/>
      <c r="E335" s="7"/>
      <c r="F335" s="7"/>
      <c r="G335" s="7"/>
      <c r="H335" s="22"/>
    </row>
    <row r="336" spans="1:8" x14ac:dyDescent="0.25">
      <c r="A336" s="7"/>
      <c r="B336" s="7"/>
      <c r="C336" s="7"/>
      <c r="D336" s="7"/>
      <c r="E336" s="7"/>
      <c r="F336" s="7"/>
      <c r="G336" s="7"/>
      <c r="H336" s="22"/>
    </row>
    <row r="337" spans="1:8" x14ac:dyDescent="0.25">
      <c r="A337" s="7"/>
      <c r="B337" s="7"/>
      <c r="C337" s="7"/>
      <c r="D337" s="7"/>
      <c r="E337" s="7"/>
      <c r="F337" s="7"/>
      <c r="G337" s="7"/>
      <c r="H337" s="22"/>
    </row>
    <row r="338" spans="1:8" x14ac:dyDescent="0.25">
      <c r="A338" s="7"/>
      <c r="B338" s="7"/>
      <c r="C338" s="7"/>
      <c r="D338" s="7"/>
      <c r="E338" s="7"/>
      <c r="F338" s="7"/>
      <c r="G338" s="7"/>
      <c r="H338" s="22"/>
    </row>
    <row r="339" spans="1:8" x14ac:dyDescent="0.25">
      <c r="A339" s="7"/>
      <c r="B339" s="7"/>
      <c r="C339" s="7"/>
      <c r="D339" s="7"/>
      <c r="E339" s="7"/>
      <c r="F339" s="7"/>
      <c r="G339" s="7"/>
      <c r="H339" s="22"/>
    </row>
    <row r="340" spans="1:8" x14ac:dyDescent="0.25">
      <c r="A340" s="7"/>
      <c r="B340" s="7"/>
      <c r="C340" s="7"/>
      <c r="D340" s="7"/>
      <c r="E340" s="7"/>
      <c r="F340" s="7"/>
      <c r="G340" s="7"/>
      <c r="H340" s="22"/>
    </row>
    <row r="341" spans="1:8" x14ac:dyDescent="0.25">
      <c r="A341" s="7"/>
      <c r="B341" s="7"/>
      <c r="C341" s="7"/>
      <c r="D341" s="7"/>
      <c r="E341" s="7"/>
      <c r="F341" s="7"/>
      <c r="G341" s="7"/>
      <c r="H341" s="22"/>
    </row>
    <row r="342" spans="1:8" x14ac:dyDescent="0.25">
      <c r="A342" s="7"/>
      <c r="B342" s="7"/>
      <c r="C342" s="7"/>
      <c r="D342" s="7"/>
      <c r="E342" s="7"/>
      <c r="F342" s="7"/>
      <c r="G342" s="7"/>
      <c r="H342" s="22"/>
    </row>
    <row r="343" spans="1:8" x14ac:dyDescent="0.25">
      <c r="A343" s="7"/>
      <c r="B343" s="7"/>
      <c r="C343" s="7"/>
      <c r="D343" s="7"/>
      <c r="E343" s="7"/>
      <c r="F343" s="7"/>
      <c r="G343" s="7"/>
      <c r="H343" s="22"/>
    </row>
    <row r="344" spans="1:8" x14ac:dyDescent="0.25">
      <c r="A344" s="7"/>
      <c r="B344" s="7"/>
      <c r="C344" s="7"/>
      <c r="D344" s="7"/>
      <c r="E344" s="7"/>
      <c r="F344" s="7"/>
      <c r="G344" s="7"/>
      <c r="H344" s="22"/>
    </row>
    <row r="345" spans="1:8" x14ac:dyDescent="0.25">
      <c r="A345" s="7"/>
      <c r="B345" s="7"/>
      <c r="C345" s="7"/>
      <c r="D345" s="7"/>
      <c r="E345" s="7"/>
      <c r="F345" s="7"/>
      <c r="G345" s="7"/>
      <c r="H345" s="22"/>
    </row>
    <row r="346" spans="1:8" x14ac:dyDescent="0.25">
      <c r="A346" s="7"/>
      <c r="B346" s="7"/>
      <c r="C346" s="7"/>
      <c r="D346" s="7"/>
      <c r="E346" s="7"/>
      <c r="F346" s="7"/>
      <c r="G346" s="7"/>
      <c r="H346" s="22"/>
    </row>
    <row r="347" spans="1:8" x14ac:dyDescent="0.25">
      <c r="A347" s="7"/>
      <c r="B347" s="7"/>
      <c r="C347" s="7"/>
      <c r="D347" s="7"/>
      <c r="E347" s="7"/>
      <c r="F347" s="7"/>
      <c r="G347" s="7"/>
      <c r="H347" s="22"/>
    </row>
    <row r="348" spans="1:8" x14ac:dyDescent="0.25">
      <c r="A348" s="7"/>
      <c r="B348" s="7"/>
      <c r="C348" s="7"/>
      <c r="D348" s="7"/>
      <c r="E348" s="7"/>
      <c r="F348" s="7"/>
      <c r="G348" s="7"/>
      <c r="H348" s="22"/>
    </row>
    <row r="349" spans="1:8" x14ac:dyDescent="0.25">
      <c r="A349" s="7"/>
      <c r="B349" s="7"/>
      <c r="C349" s="7"/>
      <c r="D349" s="7"/>
      <c r="E349" s="7"/>
      <c r="F349" s="7"/>
      <c r="G349" s="7"/>
      <c r="H349" s="22"/>
    </row>
    <row r="350" spans="1:8" x14ac:dyDescent="0.25">
      <c r="A350" s="7"/>
      <c r="B350" s="7"/>
      <c r="C350" s="7"/>
      <c r="D350" s="7"/>
      <c r="E350" s="7"/>
      <c r="F350" s="7"/>
      <c r="G350" s="7"/>
      <c r="H350" s="22"/>
    </row>
    <row r="351" spans="1:8" x14ac:dyDescent="0.25">
      <c r="A351" s="7"/>
      <c r="B351" s="7"/>
      <c r="C351" s="7"/>
      <c r="D351" s="7"/>
      <c r="E351" s="7"/>
      <c r="F351" s="7"/>
      <c r="G351" s="7"/>
      <c r="H351" s="22"/>
    </row>
    <row r="352" spans="1:8" x14ac:dyDescent="0.25">
      <c r="A352" s="7"/>
      <c r="B352" s="7"/>
      <c r="C352" s="7"/>
      <c r="D352" s="7"/>
      <c r="E352" s="7"/>
      <c r="F352" s="7"/>
      <c r="G352" s="7"/>
      <c r="H352" s="22"/>
    </row>
    <row r="353" spans="1:8" x14ac:dyDescent="0.25">
      <c r="A353" s="7"/>
      <c r="B353" s="7"/>
      <c r="C353" s="7"/>
      <c r="D353" s="7"/>
      <c r="E353" s="7"/>
      <c r="F353" s="7"/>
      <c r="G353" s="7"/>
      <c r="H353" s="22"/>
    </row>
    <row r="354" spans="1:8" x14ac:dyDescent="0.25">
      <c r="A354" s="7"/>
      <c r="B354" s="7"/>
      <c r="C354" s="7"/>
      <c r="D354" s="7"/>
      <c r="E354" s="7"/>
      <c r="F354" s="7"/>
      <c r="G354" s="7"/>
      <c r="H354" s="22"/>
    </row>
    <row r="355" spans="1:8" x14ac:dyDescent="0.25">
      <c r="A355" s="7"/>
      <c r="B355" s="7"/>
      <c r="C355" s="7"/>
      <c r="D355" s="7"/>
      <c r="E355" s="7"/>
      <c r="F355" s="7"/>
      <c r="G355" s="7"/>
      <c r="H355" s="22"/>
    </row>
    <row r="356" spans="1:8" x14ac:dyDescent="0.25">
      <c r="A356" s="7"/>
      <c r="B356" s="7"/>
      <c r="C356" s="7"/>
      <c r="D356" s="7"/>
      <c r="E356" s="7"/>
      <c r="F356" s="7"/>
      <c r="G356" s="7"/>
      <c r="H356" s="22"/>
    </row>
    <row r="357" spans="1:8" x14ac:dyDescent="0.25">
      <c r="A357" s="7"/>
      <c r="B357" s="7"/>
      <c r="C357" s="7"/>
      <c r="D357" s="7"/>
      <c r="E357" s="7"/>
      <c r="F357" s="7"/>
      <c r="G357" s="7"/>
      <c r="H357" s="22"/>
    </row>
    <row r="358" spans="1:8" x14ac:dyDescent="0.25">
      <c r="A358" s="7"/>
      <c r="B358" s="7"/>
      <c r="C358" s="7"/>
      <c r="D358" s="7"/>
      <c r="E358" s="7"/>
      <c r="F358" s="7"/>
      <c r="G358" s="7"/>
      <c r="H358" s="22"/>
    </row>
    <row r="359" spans="1:8" x14ac:dyDescent="0.25">
      <c r="A359" s="7"/>
      <c r="B359" s="7"/>
      <c r="C359" s="7"/>
      <c r="D359" s="7"/>
      <c r="E359" s="7"/>
      <c r="F359" s="7"/>
      <c r="G359" s="7"/>
      <c r="H359" s="22"/>
    </row>
    <row r="360" spans="1:8" x14ac:dyDescent="0.25">
      <c r="A360" s="7"/>
      <c r="B360" s="7"/>
      <c r="C360" s="7"/>
      <c r="D360" s="7"/>
      <c r="E360" s="7"/>
      <c r="F360" s="7"/>
      <c r="G360" s="7"/>
      <c r="H360" s="22"/>
    </row>
    <row r="361" spans="1:8" x14ac:dyDescent="0.25">
      <c r="A361" s="7"/>
      <c r="B361" s="7"/>
      <c r="C361" s="7"/>
      <c r="D361" s="7"/>
      <c r="E361" s="7"/>
      <c r="F361" s="7"/>
      <c r="G361" s="7"/>
      <c r="H361" s="22"/>
    </row>
    <row r="362" spans="1:8" x14ac:dyDescent="0.25">
      <c r="A362" s="7"/>
      <c r="B362" s="7"/>
      <c r="C362" s="7"/>
      <c r="D362" s="7"/>
      <c r="E362" s="7"/>
      <c r="F362" s="7"/>
      <c r="G362" s="7"/>
      <c r="H362" s="22"/>
    </row>
    <row r="363" spans="1:8" x14ac:dyDescent="0.25">
      <c r="A363" s="7"/>
      <c r="B363" s="7"/>
      <c r="C363" s="7"/>
      <c r="D363" s="7"/>
      <c r="E363" s="7"/>
      <c r="F363" s="7"/>
      <c r="G363" s="7"/>
      <c r="H363" s="22"/>
    </row>
    <row r="364" spans="1:8" x14ac:dyDescent="0.25">
      <c r="A364" s="7"/>
      <c r="B364" s="7"/>
      <c r="C364" s="7"/>
      <c r="D364" s="7"/>
      <c r="E364" s="7"/>
      <c r="F364" s="7"/>
      <c r="G364" s="7"/>
      <c r="H364" s="22"/>
    </row>
    <row r="365" spans="1:8" x14ac:dyDescent="0.25">
      <c r="A365" s="7"/>
      <c r="B365" s="7"/>
      <c r="C365" s="7"/>
      <c r="D365" s="7"/>
      <c r="E365" s="7"/>
      <c r="F365" s="7"/>
      <c r="G365" s="7"/>
      <c r="H365" s="22"/>
    </row>
    <row r="366" spans="1:8" x14ac:dyDescent="0.25">
      <c r="A366" s="7"/>
      <c r="B366" s="7"/>
      <c r="C366" s="7"/>
      <c r="D366" s="7"/>
      <c r="E366" s="7"/>
      <c r="F366" s="7"/>
      <c r="G366" s="7"/>
      <c r="H366" s="22"/>
    </row>
    <row r="367" spans="1:8" x14ac:dyDescent="0.25">
      <c r="A367" s="7"/>
      <c r="B367" s="7"/>
      <c r="C367" s="7"/>
      <c r="D367" s="7"/>
      <c r="E367" s="7"/>
      <c r="F367" s="7"/>
      <c r="G367" s="7"/>
      <c r="H367" s="22"/>
    </row>
    <row r="368" spans="1:8" x14ac:dyDescent="0.25">
      <c r="A368" s="7"/>
      <c r="B368" s="7"/>
      <c r="C368" s="7"/>
      <c r="D368" s="7"/>
      <c r="E368" s="7"/>
      <c r="F368" s="7"/>
      <c r="G368" s="7"/>
      <c r="H368" s="22"/>
    </row>
    <row r="369" spans="1:8" x14ac:dyDescent="0.25">
      <c r="A369" s="7"/>
      <c r="B369" s="7"/>
      <c r="C369" s="7"/>
      <c r="D369" s="7"/>
      <c r="E369" s="7"/>
      <c r="F369" s="7"/>
      <c r="G369" s="7"/>
      <c r="H369" s="22"/>
    </row>
    <row r="370" spans="1:8" x14ac:dyDescent="0.25">
      <c r="A370" s="7"/>
      <c r="B370" s="7"/>
      <c r="C370" s="7"/>
      <c r="D370" s="7"/>
      <c r="E370" s="7"/>
      <c r="F370" s="7"/>
      <c r="G370" s="7"/>
      <c r="H370" s="22"/>
    </row>
    <row r="371" spans="1:8" x14ac:dyDescent="0.25">
      <c r="A371" s="7"/>
      <c r="B371" s="7"/>
      <c r="C371" s="7"/>
      <c r="D371" s="7"/>
      <c r="E371" s="7"/>
      <c r="F371" s="7"/>
      <c r="G371" s="7"/>
      <c r="H371" s="22"/>
    </row>
    <row r="372" spans="1:8" x14ac:dyDescent="0.25">
      <c r="A372" s="7"/>
      <c r="B372" s="7"/>
      <c r="C372" s="7"/>
      <c r="D372" s="7"/>
      <c r="E372" s="7"/>
      <c r="F372" s="7"/>
      <c r="G372" s="7"/>
      <c r="H372" s="22"/>
    </row>
    <row r="373" spans="1:8" x14ac:dyDescent="0.25">
      <c r="A373" s="7"/>
      <c r="B373" s="7"/>
      <c r="C373" s="7"/>
      <c r="D373" s="7"/>
      <c r="E373" s="7"/>
      <c r="F373" s="7"/>
      <c r="G373" s="7"/>
      <c r="H373" s="22"/>
    </row>
    <row r="374" spans="1:8" x14ac:dyDescent="0.25">
      <c r="A374" s="7"/>
      <c r="B374" s="7"/>
      <c r="C374" s="7"/>
      <c r="D374" s="7"/>
      <c r="E374" s="7"/>
      <c r="F374" s="7"/>
      <c r="G374" s="7"/>
      <c r="H374" s="22"/>
    </row>
    <row r="375" spans="1:8" x14ac:dyDescent="0.25">
      <c r="A375" s="7"/>
      <c r="B375" s="7"/>
      <c r="C375" s="7"/>
      <c r="D375" s="7"/>
      <c r="E375" s="7"/>
      <c r="F375" s="7"/>
      <c r="G375" s="7"/>
      <c r="H375" s="22"/>
    </row>
    <row r="376" spans="1:8" x14ac:dyDescent="0.25">
      <c r="A376" s="7"/>
      <c r="B376" s="7"/>
      <c r="C376" s="7"/>
      <c r="D376" s="7"/>
      <c r="E376" s="7"/>
      <c r="F376" s="7"/>
      <c r="G376" s="7"/>
      <c r="H376" s="22"/>
    </row>
    <row r="377" spans="1:8" x14ac:dyDescent="0.25">
      <c r="A377" s="7"/>
      <c r="B377" s="7"/>
      <c r="C377" s="7"/>
      <c r="D377" s="7"/>
      <c r="E377" s="7"/>
      <c r="F377" s="7"/>
      <c r="G377" s="7"/>
      <c r="H377" s="22"/>
    </row>
    <row r="378" spans="1:8" x14ac:dyDescent="0.25">
      <c r="A378" s="7"/>
      <c r="B378" s="7"/>
      <c r="C378" s="7"/>
      <c r="D378" s="7"/>
      <c r="E378" s="7"/>
      <c r="F378" s="7"/>
      <c r="G378" s="7"/>
      <c r="H378" s="22"/>
    </row>
    <row r="379" spans="1:8" x14ac:dyDescent="0.25">
      <c r="A379" s="7"/>
      <c r="B379" s="7"/>
      <c r="C379" s="7"/>
      <c r="D379" s="7"/>
      <c r="E379" s="7"/>
      <c r="F379" s="7"/>
      <c r="G379" s="7"/>
      <c r="H379" s="22"/>
    </row>
    <row r="380" spans="1:8" x14ac:dyDescent="0.25">
      <c r="A380" s="7"/>
      <c r="B380" s="7"/>
      <c r="C380" s="7"/>
      <c r="D380" s="7"/>
      <c r="E380" s="7"/>
      <c r="F380" s="7"/>
      <c r="G380" s="7"/>
      <c r="H380" s="22"/>
    </row>
    <row r="381" spans="1:8" x14ac:dyDescent="0.25">
      <c r="A381" s="7"/>
      <c r="B381" s="7"/>
      <c r="C381" s="7"/>
      <c r="D381" s="7"/>
      <c r="E381" s="7"/>
      <c r="F381" s="7"/>
      <c r="G381" s="7"/>
      <c r="H381" s="22"/>
    </row>
    <row r="382" spans="1:8" x14ac:dyDescent="0.25">
      <c r="A382" s="7"/>
      <c r="B382" s="7"/>
      <c r="C382" s="7"/>
      <c r="D382" s="7"/>
      <c r="E382" s="7"/>
      <c r="F382" s="7"/>
      <c r="G382" s="7"/>
      <c r="H382" s="22"/>
    </row>
    <row r="383" spans="1:8" x14ac:dyDescent="0.25">
      <c r="A383" s="7"/>
      <c r="B383" s="7"/>
      <c r="C383" s="7"/>
      <c r="D383" s="7"/>
      <c r="E383" s="7"/>
      <c r="F383" s="7"/>
      <c r="G383" s="7"/>
      <c r="H383" s="22"/>
    </row>
    <row r="384" spans="1:8" x14ac:dyDescent="0.25">
      <c r="A384" s="7"/>
      <c r="B384" s="7"/>
      <c r="C384" s="7"/>
      <c r="D384" s="7"/>
      <c r="E384" s="7"/>
      <c r="F384" s="7"/>
      <c r="G384" s="7"/>
      <c r="H384" s="22"/>
    </row>
    <row r="385" spans="1:8" x14ac:dyDescent="0.25">
      <c r="A385" s="7"/>
      <c r="B385" s="7"/>
      <c r="C385" s="7"/>
      <c r="D385" s="7"/>
      <c r="E385" s="7"/>
      <c r="F385" s="7"/>
      <c r="G385" s="7"/>
      <c r="H385" s="22"/>
    </row>
    <row r="386" spans="1:8" x14ac:dyDescent="0.25">
      <c r="A386" s="7"/>
      <c r="B386" s="7"/>
      <c r="C386" s="7"/>
      <c r="D386" s="7"/>
      <c r="E386" s="7"/>
      <c r="F386" s="7"/>
      <c r="G386" s="7"/>
      <c r="H386" s="22"/>
    </row>
    <row r="387" spans="1:8" x14ac:dyDescent="0.25">
      <c r="A387" s="7"/>
      <c r="B387" s="7"/>
      <c r="C387" s="7"/>
      <c r="D387" s="7"/>
      <c r="E387" s="7"/>
      <c r="F387" s="7"/>
      <c r="G387" s="7"/>
      <c r="H387" s="22"/>
    </row>
    <row r="388" spans="1:8" x14ac:dyDescent="0.25">
      <c r="A388" s="7"/>
      <c r="B388" s="7"/>
      <c r="C388" s="7"/>
      <c r="D388" s="7"/>
      <c r="E388" s="7"/>
      <c r="F388" s="7"/>
      <c r="G388" s="7"/>
      <c r="H388" s="22"/>
    </row>
    <row r="389" spans="1:8" x14ac:dyDescent="0.25">
      <c r="A389" s="7"/>
      <c r="B389" s="7"/>
      <c r="C389" s="7"/>
      <c r="D389" s="7"/>
      <c r="E389" s="7"/>
      <c r="F389" s="7"/>
      <c r="G389" s="7"/>
      <c r="H389" s="22"/>
    </row>
    <row r="390" spans="1:8" x14ac:dyDescent="0.25">
      <c r="A390" s="7"/>
      <c r="B390" s="7"/>
      <c r="C390" s="7"/>
      <c r="D390" s="7"/>
      <c r="E390" s="7"/>
      <c r="F390" s="7"/>
      <c r="G390" s="7"/>
      <c r="H390" s="22"/>
    </row>
    <row r="391" spans="1:8" x14ac:dyDescent="0.25">
      <c r="A391" s="7"/>
      <c r="B391" s="7"/>
      <c r="C391" s="7"/>
      <c r="D391" s="7"/>
      <c r="E391" s="7"/>
      <c r="F391" s="7"/>
      <c r="G391" s="7"/>
      <c r="H391" s="22"/>
    </row>
    <row r="392" spans="1:8" x14ac:dyDescent="0.25">
      <c r="A392" s="7"/>
      <c r="B392" s="7"/>
      <c r="C392" s="7"/>
      <c r="D392" s="7"/>
      <c r="E392" s="7"/>
      <c r="F392" s="7"/>
      <c r="G392" s="7"/>
      <c r="H392" s="22"/>
    </row>
    <row r="393" spans="1:8" x14ac:dyDescent="0.25">
      <c r="A393" s="7"/>
      <c r="B393" s="7"/>
      <c r="C393" s="7"/>
      <c r="D393" s="7"/>
      <c r="E393" s="7"/>
      <c r="F393" s="7"/>
      <c r="G393" s="7"/>
      <c r="H393" s="22"/>
    </row>
    <row r="394" spans="1:8" x14ac:dyDescent="0.25">
      <c r="A394" s="7"/>
      <c r="B394" s="7"/>
      <c r="C394" s="7"/>
      <c r="D394" s="7"/>
      <c r="E394" s="7"/>
      <c r="F394" s="7"/>
      <c r="G394" s="7"/>
      <c r="H394" s="22"/>
    </row>
    <row r="395" spans="1:8" x14ac:dyDescent="0.25">
      <c r="A395" s="7"/>
      <c r="B395" s="7"/>
      <c r="C395" s="7"/>
      <c r="D395" s="7"/>
      <c r="E395" s="7"/>
      <c r="F395" s="7"/>
      <c r="G395" s="7"/>
      <c r="H395" s="22"/>
    </row>
    <row r="396" spans="1:8" x14ac:dyDescent="0.25">
      <c r="A396" s="7"/>
      <c r="B396" s="7"/>
      <c r="C396" s="7"/>
      <c r="D396" s="7"/>
      <c r="E396" s="7"/>
      <c r="F396" s="7"/>
      <c r="G396" s="7"/>
      <c r="H396" s="22"/>
    </row>
    <row r="397" spans="1:8" x14ac:dyDescent="0.25">
      <c r="A397" s="7"/>
      <c r="B397" s="7"/>
      <c r="C397" s="7"/>
      <c r="D397" s="7"/>
      <c r="E397" s="7"/>
      <c r="F397" s="7"/>
      <c r="G397" s="7"/>
      <c r="H397" s="22"/>
    </row>
    <row r="398" spans="1:8" x14ac:dyDescent="0.25">
      <c r="A398" s="7"/>
      <c r="B398" s="7"/>
      <c r="C398" s="7"/>
      <c r="D398" s="7"/>
      <c r="E398" s="7"/>
      <c r="F398" s="7"/>
      <c r="G398" s="7"/>
      <c r="H398" s="22"/>
    </row>
    <row r="399" spans="1:8" x14ac:dyDescent="0.25">
      <c r="A399" s="7"/>
      <c r="B399" s="7"/>
      <c r="C399" s="7"/>
      <c r="D399" s="7"/>
      <c r="E399" s="7"/>
      <c r="F399" s="7"/>
      <c r="G399" s="7"/>
      <c r="H399" s="22"/>
    </row>
    <row r="400" spans="1:8" x14ac:dyDescent="0.25">
      <c r="A400" s="7"/>
      <c r="B400" s="7"/>
      <c r="C400" s="7"/>
      <c r="D400" s="7"/>
      <c r="E400" s="7"/>
      <c r="F400" s="7"/>
      <c r="G400" s="7"/>
      <c r="H400" s="22"/>
    </row>
    <row r="401" spans="1:8" x14ac:dyDescent="0.25">
      <c r="A401" s="7"/>
      <c r="B401" s="7"/>
      <c r="C401" s="7"/>
      <c r="D401" s="7"/>
      <c r="E401" s="7"/>
      <c r="F401" s="7"/>
      <c r="G401" s="7"/>
      <c r="H401" s="22"/>
    </row>
    <row r="402" spans="1:8" x14ac:dyDescent="0.25">
      <c r="A402" s="7"/>
      <c r="B402" s="7"/>
      <c r="C402" s="7"/>
      <c r="D402" s="7"/>
      <c r="E402" s="7"/>
      <c r="F402" s="7"/>
      <c r="G402" s="7"/>
      <c r="H402" s="22"/>
    </row>
    <row r="403" spans="1:8" x14ac:dyDescent="0.25">
      <c r="A403" s="7"/>
      <c r="B403" s="7"/>
      <c r="C403" s="7"/>
      <c r="D403" s="7"/>
      <c r="E403" s="7"/>
      <c r="F403" s="7"/>
      <c r="G403" s="7"/>
      <c r="H403" s="22"/>
    </row>
    <row r="404" spans="1:8" x14ac:dyDescent="0.25">
      <c r="A404" s="7"/>
      <c r="B404" s="7"/>
      <c r="C404" s="7"/>
      <c r="D404" s="7"/>
      <c r="E404" s="7"/>
      <c r="F404" s="7"/>
      <c r="G404" s="7"/>
      <c r="H404" s="22"/>
    </row>
    <row r="405" spans="1:8" x14ac:dyDescent="0.25">
      <c r="A405" s="7"/>
      <c r="B405" s="7"/>
      <c r="C405" s="7"/>
      <c r="D405" s="7"/>
      <c r="E405" s="7"/>
      <c r="F405" s="7"/>
      <c r="G405" s="7"/>
      <c r="H405" s="22"/>
    </row>
    <row r="406" spans="1:8" x14ac:dyDescent="0.25">
      <c r="A406" s="7"/>
      <c r="B406" s="7"/>
      <c r="C406" s="7"/>
      <c r="D406" s="7"/>
      <c r="E406" s="7"/>
      <c r="F406" s="7"/>
      <c r="G406" s="7"/>
      <c r="H406" s="22"/>
    </row>
    <row r="407" spans="1:8" x14ac:dyDescent="0.25">
      <c r="A407" s="7"/>
      <c r="B407" s="7"/>
      <c r="C407" s="7"/>
      <c r="D407" s="7"/>
      <c r="E407" s="7"/>
      <c r="F407" s="7"/>
      <c r="G407" s="7"/>
      <c r="H407" s="22"/>
    </row>
    <row r="408" spans="1:8" x14ac:dyDescent="0.25">
      <c r="A408" s="21"/>
      <c r="B408" s="21"/>
      <c r="C408" s="21"/>
      <c r="D408" s="21"/>
      <c r="E408" s="21"/>
      <c r="F408" s="21"/>
      <c r="G408" s="21"/>
    </row>
  </sheetData>
  <sheetProtection selectLockedCells="1"/>
  <phoneticPr fontId="12" type="noConversion"/>
  <conditionalFormatting sqref="B42">
    <cfRule type="duplicateValues" dxfId="645" priority="437"/>
    <cfRule type="duplicateValues" dxfId="644" priority="438"/>
    <cfRule type="duplicateValues" dxfId="643" priority="439"/>
    <cfRule type="duplicateValues" dxfId="642" priority="440"/>
    <cfRule type="duplicateValues" dxfId="641" priority="441"/>
    <cfRule type="duplicateValues" dxfId="640" priority="442"/>
    <cfRule type="duplicateValues" dxfId="639" priority="443"/>
    <cfRule type="duplicateValues" dxfId="638" priority="444"/>
    <cfRule type="duplicateValues" dxfId="637" priority="445"/>
    <cfRule type="duplicateValues" dxfId="636" priority="446"/>
    <cfRule type="duplicateValues" dxfId="635" priority="447"/>
    <cfRule type="duplicateValues" dxfId="634" priority="448"/>
    <cfRule type="duplicateValues" dxfId="633" priority="449"/>
    <cfRule type="duplicateValues" dxfId="632" priority="450"/>
    <cfRule type="duplicateValues" dxfId="631" priority="451"/>
  </conditionalFormatting>
  <conditionalFormatting sqref="B43">
    <cfRule type="duplicateValues" dxfId="630" priority="421"/>
    <cfRule type="duplicateValues" dxfId="629" priority="422"/>
    <cfRule type="duplicateValues" dxfId="628" priority="423"/>
    <cfRule type="duplicateValues" dxfId="627" priority="424"/>
    <cfRule type="duplicateValues" dxfId="626" priority="425"/>
    <cfRule type="duplicateValues" dxfId="625" priority="426"/>
    <cfRule type="duplicateValues" dxfId="624" priority="427"/>
    <cfRule type="duplicateValues" dxfId="623" priority="428"/>
    <cfRule type="duplicateValues" dxfId="622" priority="429"/>
    <cfRule type="duplicateValues" dxfId="621" priority="430"/>
    <cfRule type="duplicateValues" dxfId="620" priority="431"/>
    <cfRule type="duplicateValues" dxfId="619" priority="432"/>
    <cfRule type="duplicateValues" dxfId="618" priority="433"/>
    <cfRule type="duplicateValues" dxfId="617" priority="434"/>
    <cfRule type="duplicateValues" dxfId="616" priority="435"/>
    <cfRule type="duplicateValues" dxfId="615" priority="436"/>
  </conditionalFormatting>
  <conditionalFormatting sqref="B57:B58">
    <cfRule type="duplicateValues" dxfId="614" priority="452"/>
    <cfRule type="duplicateValues" dxfId="613" priority="453"/>
    <cfRule type="duplicateValues" dxfId="612" priority="454"/>
    <cfRule type="duplicateValues" dxfId="611" priority="455"/>
    <cfRule type="duplicateValues" dxfId="610" priority="456"/>
    <cfRule type="duplicateValues" dxfId="609" priority="457"/>
    <cfRule type="duplicateValues" dxfId="608" priority="458"/>
  </conditionalFormatting>
  <conditionalFormatting sqref="B60">
    <cfRule type="duplicateValues" dxfId="607" priority="459"/>
    <cfRule type="duplicateValues" dxfId="606" priority="460"/>
    <cfRule type="duplicateValues" dxfId="605" priority="461"/>
    <cfRule type="duplicateValues" dxfId="604" priority="462"/>
    <cfRule type="duplicateValues" dxfId="603" priority="463"/>
    <cfRule type="duplicateValues" dxfId="602" priority="464"/>
  </conditionalFormatting>
  <conditionalFormatting sqref="B70:B74">
    <cfRule type="duplicateValues" dxfId="601" priority="595"/>
  </conditionalFormatting>
  <conditionalFormatting sqref="B79:B81">
    <cfRule type="duplicateValues" dxfId="600" priority="83"/>
    <cfRule type="duplicateValues" dxfId="599" priority="84"/>
    <cfRule type="duplicateValues" dxfId="598" priority="85"/>
    <cfRule type="duplicateValues" dxfId="597" priority="86"/>
    <cfRule type="duplicateValues" dxfId="596" priority="87"/>
    <cfRule type="duplicateValues" dxfId="595" priority="88"/>
    <cfRule type="duplicateValues" dxfId="594" priority="89"/>
    <cfRule type="duplicateValues" dxfId="593" priority="90"/>
    <cfRule type="duplicateValues" dxfId="592" priority="91"/>
    <cfRule type="duplicateValues" dxfId="591" priority="92"/>
    <cfRule type="duplicateValues" dxfId="590" priority="93"/>
    <cfRule type="duplicateValues" dxfId="589" priority="94"/>
    <cfRule type="duplicateValues" dxfId="588" priority="95"/>
    <cfRule type="duplicateValues" dxfId="587" priority="96"/>
    <cfRule type="duplicateValues" dxfId="586" priority="97"/>
    <cfRule type="duplicateValues" dxfId="585" priority="98"/>
    <cfRule type="duplicateValues" dxfId="584" priority="99"/>
    <cfRule type="duplicateValues" dxfId="583" priority="100"/>
    <cfRule type="duplicateValues" dxfId="582" priority="101"/>
    <cfRule type="duplicateValues" dxfId="581" priority="102"/>
    <cfRule type="duplicateValues" dxfId="580" priority="103"/>
    <cfRule type="duplicateValues" dxfId="579" priority="104"/>
    <cfRule type="duplicateValues" dxfId="578" priority="105"/>
    <cfRule type="duplicateValues" dxfId="577" priority="106"/>
    <cfRule type="duplicateValues" dxfId="576" priority="107"/>
    <cfRule type="duplicateValues" dxfId="575" priority="108"/>
  </conditionalFormatting>
  <conditionalFormatting sqref="B82:B87">
    <cfRule type="duplicateValues" dxfId="574" priority="465"/>
    <cfRule type="duplicateValues" dxfId="573" priority="466"/>
    <cfRule type="duplicateValues" dxfId="572" priority="467"/>
    <cfRule type="duplicateValues" dxfId="571" priority="468"/>
    <cfRule type="duplicateValues" dxfId="570" priority="469"/>
    <cfRule type="duplicateValues" dxfId="569" priority="470"/>
    <cfRule type="duplicateValues" dxfId="568" priority="471"/>
    <cfRule type="duplicateValues" dxfId="567" priority="472"/>
    <cfRule type="duplicateValues" dxfId="566" priority="473"/>
    <cfRule type="duplicateValues" dxfId="565" priority="474"/>
    <cfRule type="duplicateValues" dxfId="564" priority="475"/>
    <cfRule type="duplicateValues" dxfId="563" priority="476"/>
    <cfRule type="duplicateValues" dxfId="562" priority="477"/>
    <cfRule type="duplicateValues" dxfId="561" priority="478"/>
    <cfRule type="duplicateValues" dxfId="560" priority="479"/>
    <cfRule type="duplicateValues" dxfId="559" priority="480"/>
    <cfRule type="duplicateValues" dxfId="558" priority="481"/>
    <cfRule type="duplicateValues" dxfId="557" priority="482"/>
    <cfRule type="duplicateValues" dxfId="556" priority="483"/>
    <cfRule type="duplicateValues" dxfId="555" priority="484"/>
    <cfRule type="duplicateValues" dxfId="554" priority="485"/>
    <cfRule type="duplicateValues" dxfId="553" priority="486"/>
    <cfRule type="duplicateValues" dxfId="552" priority="487"/>
    <cfRule type="duplicateValues" dxfId="551" priority="488"/>
    <cfRule type="duplicateValues" dxfId="550" priority="489"/>
    <cfRule type="duplicateValues" dxfId="549" priority="490"/>
  </conditionalFormatting>
  <conditionalFormatting sqref="B88">
    <cfRule type="duplicateValues" dxfId="548" priority="57"/>
    <cfRule type="duplicateValues" dxfId="547" priority="58"/>
    <cfRule type="duplicateValues" dxfId="546" priority="59"/>
    <cfRule type="duplicateValues" dxfId="545" priority="60"/>
    <cfRule type="duplicateValues" dxfId="544" priority="61"/>
    <cfRule type="duplicateValues" dxfId="543" priority="62"/>
    <cfRule type="duplicateValues" dxfId="542" priority="63"/>
    <cfRule type="duplicateValues" dxfId="541" priority="64"/>
    <cfRule type="duplicateValues" dxfId="540" priority="65"/>
    <cfRule type="duplicateValues" dxfId="539" priority="66"/>
    <cfRule type="duplicateValues" dxfId="538" priority="67"/>
    <cfRule type="duplicateValues" dxfId="537" priority="68"/>
    <cfRule type="duplicateValues" dxfId="536" priority="69"/>
    <cfRule type="duplicateValues" dxfId="535" priority="70"/>
    <cfRule type="duplicateValues" dxfId="534" priority="71"/>
    <cfRule type="duplicateValues" dxfId="533" priority="72"/>
    <cfRule type="duplicateValues" dxfId="532" priority="73"/>
    <cfRule type="duplicateValues" dxfId="531" priority="74"/>
    <cfRule type="duplicateValues" dxfId="530" priority="75"/>
    <cfRule type="duplicateValues" dxfId="529" priority="76"/>
    <cfRule type="duplicateValues" dxfId="528" priority="77"/>
    <cfRule type="duplicateValues" dxfId="527" priority="78"/>
    <cfRule type="duplicateValues" dxfId="526" priority="79"/>
    <cfRule type="duplicateValues" dxfId="525" priority="80"/>
    <cfRule type="duplicateValues" dxfId="524" priority="81"/>
    <cfRule type="duplicateValues" dxfId="523" priority="82"/>
  </conditionalFormatting>
  <conditionalFormatting sqref="B89:B91">
    <cfRule type="duplicateValues" dxfId="522" priority="543"/>
    <cfRule type="duplicateValues" dxfId="521" priority="544"/>
    <cfRule type="duplicateValues" dxfId="520" priority="545"/>
    <cfRule type="duplicateValues" dxfId="519" priority="546"/>
    <cfRule type="duplicateValues" dxfId="518" priority="547"/>
    <cfRule type="duplicateValues" dxfId="517" priority="548"/>
    <cfRule type="duplicateValues" dxfId="516" priority="549"/>
    <cfRule type="duplicateValues" dxfId="515" priority="550"/>
    <cfRule type="duplicateValues" dxfId="514" priority="551"/>
    <cfRule type="duplicateValues" dxfId="513" priority="552"/>
    <cfRule type="duplicateValues" dxfId="512" priority="553"/>
    <cfRule type="duplicateValues" dxfId="511" priority="554"/>
    <cfRule type="duplicateValues" dxfId="510" priority="555"/>
    <cfRule type="duplicateValues" dxfId="509" priority="556"/>
    <cfRule type="duplicateValues" dxfId="508" priority="557"/>
    <cfRule type="duplicateValues" dxfId="507" priority="558"/>
    <cfRule type="duplicateValues" dxfId="506" priority="559"/>
    <cfRule type="duplicateValues" dxfId="505" priority="560"/>
    <cfRule type="duplicateValues" dxfId="504" priority="561"/>
    <cfRule type="duplicateValues" dxfId="503" priority="562"/>
    <cfRule type="duplicateValues" dxfId="502" priority="563"/>
    <cfRule type="duplicateValues" dxfId="501" priority="564"/>
    <cfRule type="duplicateValues" dxfId="500" priority="565"/>
    <cfRule type="duplicateValues" dxfId="499" priority="566"/>
    <cfRule type="duplicateValues" dxfId="498" priority="567"/>
    <cfRule type="duplicateValues" dxfId="497" priority="568"/>
  </conditionalFormatting>
  <conditionalFormatting sqref="B92:B93">
    <cfRule type="duplicateValues" dxfId="496" priority="569"/>
    <cfRule type="duplicateValues" dxfId="495" priority="570"/>
    <cfRule type="duplicateValues" dxfId="494" priority="571"/>
    <cfRule type="duplicateValues" dxfId="493" priority="572"/>
    <cfRule type="duplicateValues" dxfId="492" priority="573"/>
    <cfRule type="duplicateValues" dxfId="491" priority="574"/>
    <cfRule type="duplicateValues" dxfId="490" priority="575"/>
    <cfRule type="duplicateValues" dxfId="489" priority="576"/>
    <cfRule type="duplicateValues" dxfId="488" priority="577"/>
    <cfRule type="duplicateValues" dxfId="487" priority="578"/>
    <cfRule type="duplicateValues" dxfId="486" priority="579"/>
    <cfRule type="duplicateValues" dxfId="485" priority="580"/>
    <cfRule type="duplicateValues" dxfId="484" priority="581"/>
    <cfRule type="duplicateValues" dxfId="483" priority="582"/>
    <cfRule type="duplicateValues" dxfId="482" priority="583"/>
    <cfRule type="duplicateValues" dxfId="481" priority="584"/>
    <cfRule type="duplicateValues" dxfId="480" priority="585"/>
    <cfRule type="duplicateValues" dxfId="479" priority="586"/>
    <cfRule type="duplicateValues" dxfId="478" priority="587"/>
    <cfRule type="duplicateValues" dxfId="477" priority="588"/>
    <cfRule type="duplicateValues" dxfId="476" priority="589"/>
    <cfRule type="duplicateValues" dxfId="475" priority="590"/>
    <cfRule type="duplicateValues" dxfId="474" priority="591"/>
    <cfRule type="duplicateValues" dxfId="473" priority="592"/>
    <cfRule type="duplicateValues" dxfId="472" priority="593"/>
    <cfRule type="duplicateValues" dxfId="471" priority="594"/>
  </conditionalFormatting>
  <conditionalFormatting sqref="B94">
    <cfRule type="duplicateValues" dxfId="470" priority="31"/>
    <cfRule type="duplicateValues" dxfId="469" priority="32"/>
    <cfRule type="duplicateValues" dxfId="468" priority="33"/>
    <cfRule type="duplicateValues" dxfId="467" priority="34"/>
    <cfRule type="duplicateValues" dxfId="466" priority="35"/>
    <cfRule type="duplicateValues" dxfId="465" priority="36"/>
    <cfRule type="duplicateValues" dxfId="464" priority="37"/>
    <cfRule type="duplicateValues" dxfId="463" priority="38"/>
    <cfRule type="duplicateValues" dxfId="462" priority="39"/>
    <cfRule type="duplicateValues" dxfId="461" priority="40"/>
    <cfRule type="duplicateValues" dxfId="460" priority="41"/>
    <cfRule type="duplicateValues" dxfId="459" priority="42"/>
    <cfRule type="duplicateValues" dxfId="458" priority="43"/>
    <cfRule type="duplicateValues" dxfId="457" priority="44"/>
    <cfRule type="duplicateValues" dxfId="456" priority="45"/>
    <cfRule type="duplicateValues" dxfId="455" priority="46"/>
    <cfRule type="duplicateValues" dxfId="454" priority="47"/>
    <cfRule type="duplicateValues" dxfId="453" priority="48"/>
    <cfRule type="duplicateValues" dxfId="452" priority="49"/>
    <cfRule type="duplicateValues" dxfId="451" priority="50"/>
    <cfRule type="duplicateValues" dxfId="450" priority="51"/>
    <cfRule type="duplicateValues" dxfId="449" priority="52"/>
    <cfRule type="duplicateValues" dxfId="448" priority="53"/>
    <cfRule type="duplicateValues" dxfId="447" priority="54"/>
    <cfRule type="duplicateValues" dxfId="446" priority="55"/>
    <cfRule type="duplicateValues" dxfId="445" priority="56"/>
  </conditionalFormatting>
  <conditionalFormatting sqref="B95">
    <cfRule type="duplicateValues" dxfId="444" priority="395"/>
    <cfRule type="duplicateValues" dxfId="443" priority="396"/>
    <cfRule type="duplicateValues" dxfId="442" priority="397"/>
    <cfRule type="duplicateValues" dxfId="441" priority="398"/>
    <cfRule type="duplicateValues" dxfId="440" priority="399"/>
    <cfRule type="duplicateValues" dxfId="439" priority="400"/>
    <cfRule type="duplicateValues" dxfId="438" priority="401"/>
    <cfRule type="duplicateValues" dxfId="437" priority="402"/>
    <cfRule type="duplicateValues" dxfId="436" priority="403"/>
    <cfRule type="duplicateValues" dxfId="435" priority="404"/>
    <cfRule type="duplicateValues" dxfId="434" priority="405"/>
    <cfRule type="duplicateValues" dxfId="433" priority="406"/>
    <cfRule type="duplicateValues" dxfId="432" priority="407"/>
    <cfRule type="duplicateValues" dxfId="431" priority="408"/>
    <cfRule type="duplicateValues" dxfId="430" priority="409"/>
    <cfRule type="duplicateValues" dxfId="429" priority="410"/>
    <cfRule type="duplicateValues" dxfId="428" priority="411"/>
    <cfRule type="duplicateValues" dxfId="427" priority="412"/>
    <cfRule type="duplicateValues" dxfId="426" priority="413"/>
    <cfRule type="duplicateValues" dxfId="425" priority="414"/>
    <cfRule type="duplicateValues" dxfId="424" priority="415"/>
    <cfRule type="duplicateValues" dxfId="423" priority="416"/>
    <cfRule type="duplicateValues" dxfId="422" priority="417"/>
    <cfRule type="duplicateValues" dxfId="421" priority="418"/>
    <cfRule type="duplicateValues" dxfId="420" priority="419"/>
    <cfRule type="duplicateValues" dxfId="419" priority="420"/>
  </conditionalFormatting>
  <conditionalFormatting sqref="B96">
    <cfRule type="duplicateValues" dxfId="418" priority="343"/>
    <cfRule type="duplicateValues" dxfId="417" priority="344"/>
    <cfRule type="duplicateValues" dxfId="416" priority="345"/>
    <cfRule type="duplicateValues" dxfId="415" priority="346"/>
    <cfRule type="duplicateValues" dxfId="414" priority="347"/>
    <cfRule type="duplicateValues" dxfId="413" priority="348"/>
    <cfRule type="duplicateValues" dxfId="412" priority="349"/>
    <cfRule type="duplicateValues" dxfId="411" priority="350"/>
    <cfRule type="duplicateValues" dxfId="410" priority="351"/>
    <cfRule type="duplicateValues" dxfId="409" priority="352"/>
    <cfRule type="duplicateValues" dxfId="408" priority="353"/>
    <cfRule type="duplicateValues" dxfId="407" priority="354"/>
    <cfRule type="duplicateValues" dxfId="406" priority="355"/>
    <cfRule type="duplicateValues" dxfId="405" priority="356"/>
    <cfRule type="duplicateValues" dxfId="404" priority="357"/>
    <cfRule type="duplicateValues" dxfId="403" priority="358"/>
    <cfRule type="duplicateValues" dxfId="402" priority="359"/>
    <cfRule type="duplicateValues" dxfId="401" priority="360"/>
    <cfRule type="duplicateValues" dxfId="400" priority="361"/>
    <cfRule type="duplicateValues" dxfId="399" priority="362"/>
    <cfRule type="duplicateValues" dxfId="398" priority="363"/>
    <cfRule type="duplicateValues" dxfId="397" priority="364"/>
    <cfRule type="duplicateValues" dxfId="396" priority="365"/>
    <cfRule type="duplicateValues" dxfId="395" priority="366"/>
    <cfRule type="duplicateValues" dxfId="394" priority="367"/>
    <cfRule type="duplicateValues" dxfId="393" priority="368"/>
  </conditionalFormatting>
  <conditionalFormatting sqref="B97">
    <cfRule type="duplicateValues" dxfId="392" priority="317"/>
    <cfRule type="duplicateValues" dxfId="391" priority="318"/>
    <cfRule type="duplicateValues" dxfId="390" priority="319"/>
    <cfRule type="duplicateValues" dxfId="389" priority="320"/>
    <cfRule type="duplicateValues" dxfId="388" priority="321"/>
    <cfRule type="duplicateValues" dxfId="387" priority="322"/>
    <cfRule type="duplicateValues" dxfId="386" priority="323"/>
    <cfRule type="duplicateValues" dxfId="385" priority="324"/>
    <cfRule type="duplicateValues" dxfId="384" priority="325"/>
    <cfRule type="duplicateValues" dxfId="383" priority="326"/>
    <cfRule type="duplicateValues" dxfId="382" priority="327"/>
    <cfRule type="duplicateValues" dxfId="381" priority="328"/>
    <cfRule type="duplicateValues" dxfId="380" priority="329"/>
    <cfRule type="duplicateValues" dxfId="379" priority="330"/>
    <cfRule type="duplicateValues" dxfId="378" priority="331"/>
    <cfRule type="duplicateValues" dxfId="377" priority="332"/>
    <cfRule type="duplicateValues" dxfId="376" priority="333"/>
    <cfRule type="duplicateValues" dxfId="375" priority="334"/>
    <cfRule type="duplicateValues" dxfId="374" priority="335"/>
    <cfRule type="duplicateValues" dxfId="373" priority="336"/>
    <cfRule type="duplicateValues" dxfId="372" priority="337"/>
    <cfRule type="duplicateValues" dxfId="371" priority="338"/>
    <cfRule type="duplicateValues" dxfId="370" priority="339"/>
    <cfRule type="duplicateValues" dxfId="369" priority="340"/>
    <cfRule type="duplicateValues" dxfId="368" priority="341"/>
    <cfRule type="duplicateValues" dxfId="367" priority="342"/>
  </conditionalFormatting>
  <conditionalFormatting sqref="B98:B103">
    <cfRule type="duplicateValues" dxfId="366" priority="291"/>
    <cfRule type="duplicateValues" dxfId="365" priority="292"/>
    <cfRule type="duplicateValues" dxfId="364" priority="293"/>
    <cfRule type="duplicateValues" dxfId="363" priority="294"/>
    <cfRule type="duplicateValues" dxfId="362" priority="295"/>
    <cfRule type="duplicateValues" dxfId="361" priority="296"/>
    <cfRule type="duplicateValues" dxfId="360" priority="297"/>
    <cfRule type="duplicateValues" dxfId="359" priority="298"/>
    <cfRule type="duplicateValues" dxfId="358" priority="299"/>
    <cfRule type="duplicateValues" dxfId="357" priority="300"/>
    <cfRule type="duplicateValues" dxfId="356" priority="301"/>
    <cfRule type="duplicateValues" dxfId="355" priority="302"/>
    <cfRule type="duplicateValues" dxfId="354" priority="303"/>
    <cfRule type="duplicateValues" dxfId="353" priority="304"/>
    <cfRule type="duplicateValues" dxfId="352" priority="305"/>
    <cfRule type="duplicateValues" dxfId="351" priority="306"/>
    <cfRule type="duplicateValues" dxfId="350" priority="307"/>
    <cfRule type="duplicateValues" dxfId="349" priority="308"/>
    <cfRule type="duplicateValues" dxfId="348" priority="309"/>
    <cfRule type="duplicateValues" dxfId="347" priority="310"/>
    <cfRule type="duplicateValues" dxfId="346" priority="311"/>
    <cfRule type="duplicateValues" dxfId="345" priority="312"/>
    <cfRule type="duplicateValues" dxfId="344" priority="313"/>
    <cfRule type="duplicateValues" dxfId="343" priority="314"/>
    <cfRule type="duplicateValues" dxfId="342" priority="315"/>
    <cfRule type="duplicateValues" dxfId="341" priority="316"/>
  </conditionalFormatting>
  <conditionalFormatting sqref="B104">
    <cfRule type="duplicateValues" dxfId="340" priority="187"/>
    <cfRule type="duplicateValues" dxfId="339" priority="188"/>
    <cfRule type="duplicateValues" dxfId="338" priority="189"/>
    <cfRule type="duplicateValues" dxfId="337" priority="190"/>
    <cfRule type="duplicateValues" dxfId="336" priority="191"/>
    <cfRule type="duplicateValues" dxfId="335" priority="192"/>
    <cfRule type="duplicateValues" dxfId="334" priority="193"/>
    <cfRule type="duplicateValues" dxfId="333" priority="194"/>
    <cfRule type="duplicateValues" dxfId="332" priority="195"/>
    <cfRule type="duplicateValues" dxfId="331" priority="196"/>
    <cfRule type="duplicateValues" dxfId="330" priority="197"/>
    <cfRule type="duplicateValues" dxfId="329" priority="198"/>
    <cfRule type="duplicateValues" dxfId="328" priority="199"/>
    <cfRule type="duplicateValues" dxfId="327" priority="200"/>
    <cfRule type="duplicateValues" dxfId="326" priority="201"/>
    <cfRule type="duplicateValues" dxfId="325" priority="202"/>
    <cfRule type="duplicateValues" dxfId="324" priority="203"/>
    <cfRule type="duplicateValues" dxfId="323" priority="204"/>
    <cfRule type="duplicateValues" dxfId="322" priority="205"/>
    <cfRule type="duplicateValues" dxfId="321" priority="206"/>
    <cfRule type="duplicateValues" dxfId="320" priority="207"/>
    <cfRule type="duplicateValues" dxfId="319" priority="208"/>
    <cfRule type="duplicateValues" dxfId="318" priority="209"/>
    <cfRule type="duplicateValues" dxfId="317" priority="210"/>
    <cfRule type="duplicateValues" dxfId="316" priority="211"/>
    <cfRule type="duplicateValues" dxfId="315" priority="212"/>
  </conditionalFormatting>
  <conditionalFormatting sqref="B105">
    <cfRule type="duplicateValues" dxfId="314" priority="213"/>
    <cfRule type="duplicateValues" dxfId="313" priority="214"/>
    <cfRule type="duplicateValues" dxfId="312" priority="215"/>
    <cfRule type="duplicateValues" dxfId="311" priority="216"/>
    <cfRule type="duplicateValues" dxfId="310" priority="217"/>
    <cfRule type="duplicateValues" dxfId="309" priority="218"/>
    <cfRule type="duplicateValues" dxfId="308" priority="219"/>
    <cfRule type="duplicateValues" dxfId="307" priority="220"/>
    <cfRule type="duplicateValues" dxfId="306" priority="221"/>
    <cfRule type="duplicateValues" dxfId="305" priority="222"/>
    <cfRule type="duplicateValues" dxfId="304" priority="223"/>
    <cfRule type="duplicateValues" dxfId="303" priority="224"/>
    <cfRule type="duplicateValues" dxfId="302" priority="225"/>
    <cfRule type="duplicateValues" dxfId="301" priority="226"/>
    <cfRule type="duplicateValues" dxfId="300" priority="227"/>
    <cfRule type="duplicateValues" dxfId="299" priority="228"/>
    <cfRule type="duplicateValues" dxfId="298" priority="229"/>
    <cfRule type="duplicateValues" dxfId="297" priority="230"/>
    <cfRule type="duplicateValues" dxfId="296" priority="231"/>
    <cfRule type="duplicateValues" dxfId="295" priority="232"/>
    <cfRule type="duplicateValues" dxfId="294" priority="233"/>
    <cfRule type="duplicateValues" dxfId="293" priority="234"/>
    <cfRule type="duplicateValues" dxfId="292" priority="235"/>
    <cfRule type="duplicateValues" dxfId="291" priority="236"/>
    <cfRule type="duplicateValues" dxfId="290" priority="237"/>
    <cfRule type="duplicateValues" dxfId="289" priority="238"/>
  </conditionalFormatting>
  <conditionalFormatting sqref="B107">
    <cfRule type="duplicateValues" dxfId="288" priority="491"/>
    <cfRule type="duplicateValues" dxfId="287" priority="492"/>
    <cfRule type="duplicateValues" dxfId="286" priority="493"/>
    <cfRule type="duplicateValues" dxfId="285" priority="494"/>
    <cfRule type="duplicateValues" dxfId="284" priority="495"/>
    <cfRule type="duplicateValues" dxfId="283" priority="496"/>
    <cfRule type="duplicateValues" dxfId="282" priority="497"/>
    <cfRule type="duplicateValues" dxfId="281" priority="498"/>
    <cfRule type="duplicateValues" dxfId="280" priority="499"/>
    <cfRule type="duplicateValues" dxfId="279" priority="500"/>
    <cfRule type="duplicateValues" dxfId="278" priority="501"/>
    <cfRule type="duplicateValues" dxfId="277" priority="502"/>
    <cfRule type="duplicateValues" dxfId="276" priority="503"/>
    <cfRule type="duplicateValues" dxfId="275" priority="504"/>
    <cfRule type="duplicateValues" dxfId="274" priority="505"/>
    <cfRule type="duplicateValues" dxfId="273" priority="506"/>
    <cfRule type="duplicateValues" dxfId="272" priority="507"/>
    <cfRule type="duplicateValues" dxfId="271" priority="508"/>
    <cfRule type="duplicateValues" dxfId="270" priority="509"/>
    <cfRule type="duplicateValues" dxfId="269" priority="510"/>
    <cfRule type="duplicateValues" dxfId="268" priority="511"/>
    <cfRule type="duplicateValues" dxfId="267" priority="512"/>
    <cfRule type="duplicateValues" dxfId="266" priority="513"/>
    <cfRule type="duplicateValues" dxfId="265" priority="514"/>
    <cfRule type="duplicateValues" dxfId="264" priority="515"/>
    <cfRule type="duplicateValues" dxfId="263" priority="516"/>
  </conditionalFormatting>
  <conditionalFormatting sqref="B108">
    <cfRule type="duplicateValues" dxfId="262" priority="239"/>
    <cfRule type="duplicateValues" dxfId="261" priority="240"/>
    <cfRule type="duplicateValues" dxfId="260" priority="241"/>
    <cfRule type="duplicateValues" dxfId="259" priority="242"/>
    <cfRule type="duplicateValues" dxfId="258" priority="243"/>
    <cfRule type="duplicateValues" dxfId="257" priority="244"/>
    <cfRule type="duplicateValues" dxfId="256" priority="245"/>
    <cfRule type="duplicateValues" dxfId="255" priority="246"/>
    <cfRule type="duplicateValues" dxfId="254" priority="247"/>
    <cfRule type="duplicateValues" dxfId="253" priority="248"/>
    <cfRule type="duplicateValues" dxfId="252" priority="249"/>
    <cfRule type="duplicateValues" dxfId="251" priority="250"/>
    <cfRule type="duplicateValues" dxfId="250" priority="251"/>
    <cfRule type="duplicateValues" dxfId="249" priority="252"/>
    <cfRule type="duplicateValues" dxfId="248" priority="253"/>
    <cfRule type="duplicateValues" dxfId="247" priority="254"/>
    <cfRule type="duplicateValues" dxfId="246" priority="255"/>
    <cfRule type="duplicateValues" dxfId="245" priority="256"/>
    <cfRule type="duplicateValues" dxfId="244" priority="257"/>
    <cfRule type="duplicateValues" dxfId="243" priority="258"/>
    <cfRule type="duplicateValues" dxfId="242" priority="259"/>
    <cfRule type="duplicateValues" dxfId="241" priority="260"/>
    <cfRule type="duplicateValues" dxfId="240" priority="261"/>
    <cfRule type="duplicateValues" dxfId="239" priority="262"/>
    <cfRule type="duplicateValues" dxfId="238" priority="263"/>
    <cfRule type="duplicateValues" dxfId="237" priority="264"/>
  </conditionalFormatting>
  <conditionalFormatting sqref="B109:B111">
    <cfRule type="duplicateValues" dxfId="236" priority="265"/>
    <cfRule type="duplicateValues" dxfId="235" priority="266"/>
    <cfRule type="duplicateValues" dxfId="234" priority="267"/>
    <cfRule type="duplicateValues" dxfId="233" priority="268"/>
    <cfRule type="duplicateValues" dxfId="232" priority="269"/>
    <cfRule type="duplicateValues" dxfId="231" priority="270"/>
    <cfRule type="duplicateValues" dxfId="230" priority="271"/>
    <cfRule type="duplicateValues" dxfId="229" priority="272"/>
    <cfRule type="duplicateValues" dxfId="228" priority="273"/>
    <cfRule type="duplicateValues" dxfId="227" priority="274"/>
    <cfRule type="duplicateValues" dxfId="226" priority="275"/>
    <cfRule type="duplicateValues" dxfId="225" priority="276"/>
    <cfRule type="duplicateValues" dxfId="224" priority="277"/>
    <cfRule type="duplicateValues" dxfId="223" priority="278"/>
    <cfRule type="duplicateValues" dxfId="222" priority="279"/>
    <cfRule type="duplicateValues" dxfId="221" priority="280"/>
    <cfRule type="duplicateValues" dxfId="220" priority="281"/>
    <cfRule type="duplicateValues" dxfId="219" priority="282"/>
    <cfRule type="duplicateValues" dxfId="218" priority="283"/>
    <cfRule type="duplicateValues" dxfId="217" priority="284"/>
    <cfRule type="duplicateValues" dxfId="216" priority="285"/>
    <cfRule type="duplicateValues" dxfId="215" priority="286"/>
    <cfRule type="duplicateValues" dxfId="214" priority="287"/>
    <cfRule type="duplicateValues" dxfId="213" priority="288"/>
    <cfRule type="duplicateValues" dxfId="212" priority="289"/>
    <cfRule type="duplicateValues" dxfId="211" priority="290"/>
  </conditionalFormatting>
  <conditionalFormatting sqref="B112">
    <cfRule type="duplicateValues" dxfId="210" priority="16"/>
    <cfRule type="duplicateValues" dxfId="209" priority="17"/>
    <cfRule type="duplicateValues" dxfId="208" priority="18"/>
    <cfRule type="duplicateValues" dxfId="207" priority="19"/>
    <cfRule type="duplicateValues" dxfId="206" priority="20"/>
    <cfRule type="duplicateValues" dxfId="205" priority="21"/>
    <cfRule type="duplicateValues" dxfId="204" priority="22"/>
    <cfRule type="duplicateValues" dxfId="203" priority="23"/>
    <cfRule type="duplicateValues" dxfId="202" priority="24"/>
    <cfRule type="duplicateValues" dxfId="201" priority="25"/>
    <cfRule type="duplicateValues" dxfId="200" priority="26"/>
    <cfRule type="duplicateValues" dxfId="199" priority="27"/>
    <cfRule type="duplicateValues" dxfId="198" priority="28"/>
    <cfRule type="duplicateValues" dxfId="197" priority="29"/>
    <cfRule type="duplicateValues" dxfId="196" priority="30"/>
  </conditionalFormatting>
  <conditionalFormatting sqref="B113">
    <cfRule type="duplicateValues" dxfId="195" priority="517"/>
    <cfRule type="duplicateValues" dxfId="194" priority="518"/>
    <cfRule type="duplicateValues" dxfId="193" priority="519"/>
    <cfRule type="duplicateValues" dxfId="192" priority="520"/>
    <cfRule type="duplicateValues" dxfId="191" priority="521"/>
    <cfRule type="duplicateValues" dxfId="190" priority="522"/>
    <cfRule type="duplicateValues" dxfId="189" priority="523"/>
    <cfRule type="duplicateValues" dxfId="188" priority="524"/>
    <cfRule type="duplicateValues" dxfId="187" priority="525"/>
    <cfRule type="duplicateValues" dxfId="186" priority="526"/>
    <cfRule type="duplicateValues" dxfId="185" priority="527"/>
    <cfRule type="duplicateValues" dxfId="184" priority="528"/>
    <cfRule type="duplicateValues" dxfId="183" priority="529"/>
    <cfRule type="duplicateValues" dxfId="182" priority="530"/>
    <cfRule type="duplicateValues" dxfId="181" priority="531"/>
    <cfRule type="duplicateValues" dxfId="180" priority="532"/>
    <cfRule type="duplicateValues" dxfId="179" priority="533"/>
    <cfRule type="duplicateValues" dxfId="178" priority="534"/>
    <cfRule type="duplicateValues" dxfId="177" priority="535"/>
    <cfRule type="duplicateValues" dxfId="176" priority="536"/>
    <cfRule type="duplicateValues" dxfId="175" priority="537"/>
    <cfRule type="duplicateValues" dxfId="174" priority="538"/>
    <cfRule type="duplicateValues" dxfId="173" priority="539"/>
    <cfRule type="duplicateValues" dxfId="172" priority="540"/>
    <cfRule type="duplicateValues" dxfId="171" priority="541"/>
    <cfRule type="duplicateValues" dxfId="170" priority="542"/>
  </conditionalFormatting>
  <conditionalFormatting sqref="B114">
    <cfRule type="duplicateValues" dxfId="169" priority="369"/>
    <cfRule type="duplicateValues" dxfId="168" priority="370"/>
    <cfRule type="duplicateValues" dxfId="167" priority="371"/>
    <cfRule type="duplicateValues" dxfId="166" priority="372"/>
    <cfRule type="duplicateValues" dxfId="165" priority="373"/>
    <cfRule type="duplicateValues" dxfId="164" priority="374"/>
    <cfRule type="duplicateValues" dxfId="163" priority="375"/>
    <cfRule type="duplicateValues" dxfId="162" priority="376"/>
    <cfRule type="duplicateValues" dxfId="161" priority="377"/>
    <cfRule type="duplicateValues" dxfId="160" priority="378"/>
    <cfRule type="duplicateValues" dxfId="159" priority="379"/>
    <cfRule type="duplicateValues" dxfId="158" priority="380"/>
    <cfRule type="duplicateValues" dxfId="157" priority="381"/>
    <cfRule type="duplicateValues" dxfId="156" priority="382"/>
    <cfRule type="duplicateValues" dxfId="155" priority="383"/>
    <cfRule type="duplicateValues" dxfId="154" priority="384"/>
    <cfRule type="duplicateValues" dxfId="153" priority="385"/>
    <cfRule type="duplicateValues" dxfId="152" priority="386"/>
    <cfRule type="duplicateValues" dxfId="151" priority="387"/>
    <cfRule type="duplicateValues" dxfId="150" priority="388"/>
    <cfRule type="duplicateValues" dxfId="149" priority="389"/>
    <cfRule type="duplicateValues" dxfId="148" priority="390"/>
    <cfRule type="duplicateValues" dxfId="147" priority="391"/>
    <cfRule type="duplicateValues" dxfId="146" priority="392"/>
    <cfRule type="duplicateValues" dxfId="145" priority="393"/>
    <cfRule type="duplicateValues" dxfId="144" priority="394"/>
  </conditionalFormatting>
  <conditionalFormatting sqref="B115">
    <cfRule type="duplicateValues" dxfId="143" priority="109"/>
    <cfRule type="duplicateValues" dxfId="142" priority="110"/>
    <cfRule type="duplicateValues" dxfId="141" priority="111"/>
    <cfRule type="duplicateValues" dxfId="140" priority="112"/>
    <cfRule type="duplicateValues" dxfId="139" priority="113"/>
    <cfRule type="duplicateValues" dxfId="138" priority="114"/>
    <cfRule type="duplicateValues" dxfId="137" priority="115"/>
    <cfRule type="duplicateValues" dxfId="136" priority="116"/>
    <cfRule type="duplicateValues" dxfId="135" priority="117"/>
    <cfRule type="duplicateValues" dxfId="134" priority="118"/>
    <cfRule type="duplicateValues" dxfId="133" priority="119"/>
    <cfRule type="duplicateValues" dxfId="132" priority="120"/>
    <cfRule type="duplicateValues" dxfId="131" priority="121"/>
    <cfRule type="duplicateValues" dxfId="130" priority="122"/>
    <cfRule type="duplicateValues" dxfId="129" priority="123"/>
    <cfRule type="duplicateValues" dxfId="128" priority="124"/>
    <cfRule type="duplicateValues" dxfId="127" priority="125"/>
    <cfRule type="duplicateValues" dxfId="126" priority="126"/>
    <cfRule type="duplicateValues" dxfId="125" priority="127"/>
    <cfRule type="duplicateValues" dxfId="124" priority="128"/>
    <cfRule type="duplicateValues" dxfId="123" priority="129"/>
    <cfRule type="duplicateValues" dxfId="122" priority="130"/>
    <cfRule type="duplicateValues" dxfId="121" priority="131"/>
    <cfRule type="duplicateValues" dxfId="120" priority="132"/>
    <cfRule type="duplicateValues" dxfId="119" priority="133"/>
    <cfRule type="duplicateValues" dxfId="118" priority="134"/>
  </conditionalFormatting>
  <conditionalFormatting sqref="B116">
    <cfRule type="duplicateValues" dxfId="117" priority="135"/>
    <cfRule type="duplicateValues" dxfId="116" priority="136"/>
    <cfRule type="duplicateValues" dxfId="115" priority="137"/>
    <cfRule type="duplicateValues" dxfId="114" priority="138"/>
    <cfRule type="duplicateValues" dxfId="113" priority="139"/>
    <cfRule type="duplicateValues" dxfId="112" priority="140"/>
    <cfRule type="duplicateValues" dxfId="111" priority="141"/>
    <cfRule type="duplicateValues" dxfId="110" priority="142"/>
    <cfRule type="duplicateValues" dxfId="109" priority="143"/>
    <cfRule type="duplicateValues" dxfId="108" priority="144"/>
    <cfRule type="duplicateValues" dxfId="107" priority="145"/>
    <cfRule type="duplicateValues" dxfId="106" priority="146"/>
    <cfRule type="duplicateValues" dxfId="105" priority="147"/>
    <cfRule type="duplicateValues" dxfId="104" priority="148"/>
    <cfRule type="duplicateValues" dxfId="103" priority="149"/>
    <cfRule type="duplicateValues" dxfId="102" priority="150"/>
    <cfRule type="duplicateValues" dxfId="101" priority="151"/>
    <cfRule type="duplicateValues" dxfId="100" priority="152"/>
    <cfRule type="duplicateValues" dxfId="99" priority="153"/>
    <cfRule type="duplicateValues" dxfId="98" priority="154"/>
    <cfRule type="duplicateValues" dxfId="97" priority="155"/>
    <cfRule type="duplicateValues" dxfId="96" priority="156"/>
    <cfRule type="duplicateValues" dxfId="95" priority="157"/>
    <cfRule type="duplicateValues" dxfId="94" priority="158"/>
    <cfRule type="duplicateValues" dxfId="93" priority="159"/>
    <cfRule type="duplicateValues" dxfId="92" priority="160"/>
  </conditionalFormatting>
  <conditionalFormatting sqref="B117">
    <cfRule type="duplicateValues" dxfId="91" priority="161"/>
    <cfRule type="duplicateValues" dxfId="90" priority="162"/>
    <cfRule type="duplicateValues" dxfId="89" priority="163"/>
    <cfRule type="duplicateValues" dxfId="88" priority="164"/>
    <cfRule type="duplicateValues" dxfId="87" priority="165"/>
    <cfRule type="duplicateValues" dxfId="86" priority="166"/>
    <cfRule type="duplicateValues" dxfId="85" priority="167"/>
    <cfRule type="duplicateValues" dxfId="84" priority="168"/>
    <cfRule type="duplicateValues" dxfId="83" priority="169"/>
    <cfRule type="duplicateValues" dxfId="82" priority="170"/>
    <cfRule type="duplicateValues" dxfId="81" priority="171"/>
    <cfRule type="duplicateValues" dxfId="80" priority="172"/>
    <cfRule type="duplicateValues" dxfId="79" priority="173"/>
    <cfRule type="duplicateValues" dxfId="78" priority="174"/>
    <cfRule type="duplicateValues" dxfId="77" priority="175"/>
    <cfRule type="duplicateValues" dxfId="76" priority="176"/>
    <cfRule type="duplicateValues" dxfId="75" priority="177"/>
    <cfRule type="duplicateValues" dxfId="74" priority="178"/>
    <cfRule type="duplicateValues" dxfId="73" priority="179"/>
    <cfRule type="duplicateValues" dxfId="72" priority="180"/>
    <cfRule type="duplicateValues" dxfId="71" priority="181"/>
    <cfRule type="duplicateValues" dxfId="70" priority="182"/>
    <cfRule type="duplicateValues" dxfId="69" priority="183"/>
    <cfRule type="duplicateValues" dxfId="68" priority="184"/>
    <cfRule type="duplicateValues" dxfId="67" priority="185"/>
    <cfRule type="duplicateValues" dxfId="66" priority="186"/>
  </conditionalFormatting>
  <conditionalFormatting sqref="B106">
    <cfRule type="duplicateValues" dxfId="65" priority="596"/>
    <cfRule type="duplicateValues" dxfId="64" priority="597"/>
    <cfRule type="duplicateValues" dxfId="63" priority="598"/>
    <cfRule type="duplicateValues" dxfId="62" priority="599"/>
    <cfRule type="duplicateValues" dxfId="61" priority="600"/>
    <cfRule type="duplicateValues" dxfId="60" priority="601"/>
    <cfRule type="duplicateValues" dxfId="59" priority="602"/>
    <cfRule type="duplicateValues" dxfId="58" priority="603"/>
    <cfRule type="duplicateValues" dxfId="57" priority="604"/>
    <cfRule type="duplicateValues" dxfId="56" priority="605"/>
    <cfRule type="duplicateValues" dxfId="55" priority="606"/>
    <cfRule type="duplicateValues" dxfId="54" priority="607"/>
    <cfRule type="duplicateValues" dxfId="53" priority="608"/>
    <cfRule type="duplicateValues" dxfId="52" priority="609"/>
    <cfRule type="duplicateValues" dxfId="51" priority="610"/>
    <cfRule type="duplicateValues" dxfId="50" priority="611"/>
    <cfRule type="duplicateValues" dxfId="49" priority="612"/>
    <cfRule type="duplicateValues" dxfId="48" priority="613"/>
    <cfRule type="duplicateValues" dxfId="47" priority="614"/>
    <cfRule type="duplicateValues" dxfId="46" priority="615"/>
    <cfRule type="duplicateValues" dxfId="45" priority="616"/>
    <cfRule type="duplicateValues" dxfId="44" priority="617"/>
    <cfRule type="duplicateValues" dxfId="43" priority="618"/>
    <cfRule type="duplicateValues" dxfId="42" priority="619"/>
    <cfRule type="duplicateValues" dxfId="41" priority="620"/>
    <cfRule type="duplicateValues" dxfId="40" priority="621"/>
  </conditionalFormatting>
  <conditionalFormatting sqref="B118">
    <cfRule type="duplicateValues" dxfId="39" priority="622"/>
    <cfRule type="duplicateValues" dxfId="38" priority="623"/>
    <cfRule type="duplicateValues" dxfId="37" priority="624"/>
    <cfRule type="duplicateValues" dxfId="36" priority="625"/>
    <cfRule type="duplicateValues" dxfId="35" priority="626"/>
    <cfRule type="duplicateValues" dxfId="34" priority="627"/>
    <cfRule type="duplicateValues" dxfId="33" priority="628"/>
    <cfRule type="duplicateValues" dxfId="32" priority="629"/>
    <cfRule type="duplicateValues" dxfId="31" priority="630"/>
    <cfRule type="duplicateValues" dxfId="30" priority="631"/>
    <cfRule type="duplicateValues" dxfId="29" priority="632"/>
    <cfRule type="duplicateValues" dxfId="28" priority="633"/>
    <cfRule type="duplicateValues" dxfId="27" priority="634"/>
    <cfRule type="duplicateValues" dxfId="26" priority="635"/>
    <cfRule type="duplicateValues" dxfId="25" priority="636"/>
    <cfRule type="duplicateValues" dxfId="24" priority="637"/>
    <cfRule type="duplicateValues" dxfId="23" priority="638"/>
    <cfRule type="duplicateValues" dxfId="22" priority="639"/>
    <cfRule type="duplicateValues" dxfId="21" priority="640"/>
    <cfRule type="duplicateValues" dxfId="20" priority="641"/>
    <cfRule type="duplicateValues" dxfId="19" priority="642"/>
  </conditionalFormatting>
  <conditionalFormatting sqref="B119">
    <cfRule type="duplicateValues" dxfId="18" priority="7"/>
  </conditionalFormatting>
  <conditionalFormatting sqref="B120">
    <cfRule type="duplicateValues" dxfId="17" priority="8"/>
  </conditionalFormatting>
  <conditionalFormatting sqref="B121">
    <cfRule type="duplicateValues" dxfId="16" priority="9"/>
  </conditionalFormatting>
  <conditionalFormatting sqref="B122">
    <cfRule type="duplicateValues" dxfId="15" priority="10"/>
  </conditionalFormatting>
  <conditionalFormatting sqref="B123">
    <cfRule type="duplicateValues" dxfId="14" priority="11"/>
  </conditionalFormatting>
  <conditionalFormatting sqref="B124">
    <cfRule type="duplicateValues" dxfId="13" priority="12"/>
  </conditionalFormatting>
  <conditionalFormatting sqref="B125">
    <cfRule type="duplicateValues" dxfId="12" priority="13"/>
  </conditionalFormatting>
  <conditionalFormatting sqref="B126">
    <cfRule type="duplicateValues" dxfId="11" priority="14"/>
  </conditionalFormatting>
  <conditionalFormatting sqref="B127">
    <cfRule type="duplicateValues" dxfId="10" priority="15"/>
  </conditionalFormatting>
  <conditionalFormatting sqref="B128">
    <cfRule type="duplicateValues" dxfId="9" priority="643"/>
  </conditionalFormatting>
  <conditionalFormatting sqref="B129">
    <cfRule type="duplicateValues" dxfId="8" priority="2"/>
  </conditionalFormatting>
  <conditionalFormatting sqref="B130">
    <cfRule type="duplicateValues" dxfId="7" priority="3"/>
  </conditionalFormatting>
  <conditionalFormatting sqref="B131">
    <cfRule type="duplicateValues" dxfId="6" priority="6"/>
  </conditionalFormatting>
  <conditionalFormatting sqref="B132">
    <cfRule type="duplicateValues" dxfId="5" priority="5"/>
  </conditionalFormatting>
  <conditionalFormatting sqref="B133">
    <cfRule type="duplicateValues" dxfId="4" priority="1"/>
  </conditionalFormatting>
  <conditionalFormatting sqref="B134">
    <cfRule type="duplicateValues" dxfId="3" priority="4"/>
  </conditionalFormatting>
  <conditionalFormatting sqref="A10">
    <cfRule type="duplicateValues" dxfId="2" priority="644"/>
  </conditionalFormatting>
  <conditionalFormatting sqref="A2:A117">
    <cfRule type="duplicateValues" dxfId="1" priority="645"/>
  </conditionalFormatting>
  <conditionalFormatting sqref="A75:A117 A2:A69">
    <cfRule type="duplicateValues" dxfId="0" priority="646"/>
  </conditionalFormatting>
  <pageMargins left="0.70866141732283472" right="0.70866141732283472" top="0.74803149606299213" bottom="0.74803149606299213" header="0.31496062992125984" footer="0.31496062992125984"/>
  <pageSetup paperSize="9" scale="45" fitToHeight="2"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CONTROL ACCESO HIKVISION</vt:lpstr>
      <vt:lpstr>'CONTROL ACCESO HIKVISION'!Área_de_impresión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Jenifer Loaiza</dc:creator>
  <cp:lastModifiedBy>Jenifer Loaiza</cp:lastModifiedBy>
  <cp:lastPrinted>2026-09-29T14:25:19Z</cp:lastPrinted>
  <dcterms:created xsi:type="dcterms:W3CDTF">2026-05-12T22:22:43Z</dcterms:created>
  <dcterms:modified xsi:type="dcterms:W3CDTF">2026-09-29T14:26:45Z</dcterms:modified>
</cp:coreProperties>
</file>