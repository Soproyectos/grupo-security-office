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8_{6132D9D0-1F9A-420E-BCDE-99ADAE505F92}" xr6:coauthVersionLast="47" xr6:coauthVersionMax="47" xr10:uidLastSave="{00000000-0000-0000-0000-000000000000}"/>
  <bookViews>
    <workbookView xWindow="-120" yWindow="-120" windowWidth="24240" windowHeight="13140" xr2:uid="{6D0078C4-FDC9-43B8-8682-4929E95371E9}"/>
  </bookViews>
  <sheets>
    <sheet name="CONTROL DE ACCESO VARI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[2]Pub!$H$13:$H$83</definedName>
    <definedName name="__123Graph_B" hidden="1">[2]Pub!$I$13:$I$83</definedName>
    <definedName name="__123Graph_C" hidden="1">[2]Pub!$J$13:$J$83</definedName>
    <definedName name="__123Graph_D" hidden="1">[2]Pub!$K$13:$K$83</definedName>
    <definedName name="__123Graph_E" hidden="1">[2]Pub!#REF!</definedName>
    <definedName name="__123Graph_F" hidden="1">[2]Pub!$L$13:$L$83</definedName>
    <definedName name="__123Graph_X" hidden="1">[2]Pub!$G$13:$G$83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[3]計算過程シート!#REF!</definedName>
    <definedName name="_1__123Graph_ACHART_1" hidden="1">'[4]Historical IS'!#REF!</definedName>
    <definedName name="_1__123Graph_AIRR_IRR" hidden="1">#REF!</definedName>
    <definedName name="_10___123Graph_XIRR_IRR" hidden="1">#REF!</definedName>
    <definedName name="_10__123Graph_ACHART_16" hidden="1">[5]engineering!$Q$49:$S$49</definedName>
    <definedName name="_10__123Graph_CCHART_3" hidden="1">'[4]Historical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[5]revenue!$P$77:$R$77</definedName>
    <definedName name="_11__123Graph_CCHART_8" hidden="1">'[4]Historical IS'!#REF!</definedName>
    <definedName name="_12__123Graph_ACHART_18" hidden="1">[5]revenue!$P$82:$R$82</definedName>
    <definedName name="_12__123Graph_AIRR_IRR" hidden="1">#REF!</definedName>
    <definedName name="_12__123Graph_DCHART_1" hidden="1">'[4]Historical IS'!#REF!</definedName>
    <definedName name="_13__123Graph_ACHART_19" hidden="1">[5]sga!$P$7:$R$7</definedName>
    <definedName name="_13__123Graph_AMOF_NB" hidden="1">[3]計算過程シート!#REF!</definedName>
    <definedName name="_13__123Graph_DCHART_8" hidden="1">'[4]Historical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'[4]Historical IS'!#REF!</definedName>
    <definedName name="_15__123Graph_ACHART_20" hidden="1">[5]sga!$P$10:$R$10</definedName>
    <definedName name="_15__123Graph_BIRR_IRR" hidden="1">#REF!</definedName>
    <definedName name="_15__123Graph_LBL_ACHART_4" hidden="1">'[4]Historical IS'!#REF!</definedName>
    <definedName name="_16__123Graph_ACHART_3" hidden="1">#REF!</definedName>
    <definedName name="_16__123Graph_BMOF_NB" hidden="1">#REF!</definedName>
    <definedName name="_16__123Graph_LBL_BCHART_3" hidden="1">'[4]Historical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'[4]Historical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'[4]Historical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'[4]Historical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'[4]Historical IS'!#REF!</definedName>
    <definedName name="_20__123Graph_ACHART_7" hidden="1">#REF!</definedName>
    <definedName name="_20__123Graph_XCHART_3" hidden="1">'[4]Historical IS'!#REF!</definedName>
    <definedName name="_20__123Graph_XIRR_IRR" hidden="1">#REF!</definedName>
    <definedName name="_21__123Graph_ACHART_8" hidden="1">#REF!</definedName>
    <definedName name="_21__123Graph_XCHART_4" hidden="1">'[4]Historical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'[4]Historical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[3]計算過程シート!#REF!</definedName>
    <definedName name="_26__123Graph_BCHART_13" hidden="1">[5]engineering!$Q$42:$W$42</definedName>
    <definedName name="_27__123Graph_BCHART_14" hidden="1">[5]engineering!$Q$46:$W$46</definedName>
    <definedName name="_28__123Graph_BCHART_15" hidden="1">#REF!</definedName>
    <definedName name="_29__123Graph_BCHART_16" hidden="1">[5]engineering!$Q$50:$S$50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'[4]Historical IS'!#REF!</definedName>
    <definedName name="_30__123Graph_BCHART_17" hidden="1">[5]revenue!$P$78:$R$78</definedName>
    <definedName name="_31__123Graph_BCHART_2" hidden="1">#REF!</definedName>
    <definedName name="_32__123Graph_BCHART_20" hidden="1">[5]sga!$P$11:$R$11</definedName>
    <definedName name="_33__123Graph_BCHART_3" hidden="1">[5]revenue!$P$10:$R$10</definedName>
    <definedName name="_34__123Graph_BCHART_6" hidden="1">#REF!</definedName>
    <definedName name="_35__123Graph_BCHART_7" hidden="1">[5]revenue!$P$45:$R$45</definedName>
    <definedName name="_36_??06" hidden="1">{"'?????10.27??????'!$Q$16"}</definedName>
    <definedName name="_36__123Graph_BCHART_8" hidden="1">#REF!</definedName>
    <definedName name="_37__123Graph_BCHART_9" hidden="1">[5]engineering!$P$7:$T$7</definedName>
    <definedName name="_38__123Graph_CCHART_1" hidden="1">#REF!</definedName>
    <definedName name="_39__123Graph_CCHART_11" hidden="1">[5]engineering!$P$16:$T$16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'[4]Historical IS'!#REF!</definedName>
    <definedName name="_40__123Graph_CCHART_12" hidden="1">#REF!</definedName>
    <definedName name="_41__123Graph_CCHART_2" hidden="1">#REF!</definedName>
    <definedName name="_42__123Graph_CCHART_20" hidden="1">[5]sga!$P$12:$R$12</definedName>
    <definedName name="_43__123Graph_CCHART_7" hidden="1">[5]revenue!$P$46:$R$46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'[4]Historical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[5]engineering!$Q$48:$S$48</definedName>
    <definedName name="_6___123Graph_AIRR_IRR" hidden="1">#REF!</definedName>
    <definedName name="_6__123Graph_ACHART_12" hidden="1">#REF!</definedName>
    <definedName name="_6__123Graph_BCHART_3" hidden="1">'[4]Historical IS'!#REF!</definedName>
    <definedName name="_60__123Graph_XCHART_18" hidden="1">[5]revenue!$P$81:$R$81</definedName>
    <definedName name="_61__123Graph_XCHART_2" hidden="1">#REF!</definedName>
    <definedName name="_62__123Graph_XCHART_20" hidden="1">[5]sga!$P$9:$R$9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'[4]Historical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'[4]Historical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'[4]Historical IS'!#REF!</definedName>
    <definedName name="_DF4" hidden="1">#REF!</definedName>
    <definedName name="_Fill" hidden="1">#REF!</definedName>
    <definedName name="_xlnm._FilterDatabase" hidden="1">'[6]46W9'!#REF!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Tabla13[#All]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'[7]Data sheet'!$A$4</definedName>
    <definedName name="BLPH10" hidden="1">'[7]Data sheet'!$AB$4</definedName>
    <definedName name="BLPH11" hidden="1">'[7]Data sheet'!$AE$4</definedName>
    <definedName name="BLPH12" hidden="1">'[7]Data sheet'!$AH$4</definedName>
    <definedName name="BLPH2" hidden="1">'[7]Data sheet'!$D$4</definedName>
    <definedName name="BLPH3" hidden="1">'[7]Data sheet'!$G$4</definedName>
    <definedName name="BLPH4" hidden="1">'[7]Data sheet'!$J$4</definedName>
    <definedName name="BLPH5" hidden="1">'[7]Data sheet'!$M$4</definedName>
    <definedName name="BLPH6" hidden="1">'[7]Data sheet'!$P$4</definedName>
    <definedName name="BLPH7" hidden="1">'[7]Data sheet'!$S$4</definedName>
    <definedName name="BLPH8" hidden="1">'[7]Data sheet'!$V$4</definedName>
    <definedName name="BLPH9" hidden="1">'[7]Data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'[8]Cálculo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[9]Resumen_Inv!$I$66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[6]Presentacion!#REF!</definedName>
    <definedName name="Z_D55C8B2E_861A_459E_9D09_3AF38A1DE99E_.wvu.Rows" hidden="1">[6]Presentacion!#REF!</definedName>
    <definedName name="Z_F540D718_D9AA_403F_AE49_60D937FD77E5_.wvu.Rows" hidden="1">[6]Presentacion!#REF!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[10]計算過程シート!#REF!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[10]計算過程シート!#REF!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C2" i="1" s="1"/>
  <c r="H3" i="1"/>
  <c r="C3" i="1" s="1"/>
  <c r="H4" i="1"/>
  <c r="C4" i="1" s="1"/>
  <c r="H5" i="1"/>
  <c r="C5" i="1" s="1"/>
  <c r="H6" i="1"/>
  <c r="C6" i="1" s="1"/>
  <c r="H7" i="1"/>
  <c r="C7" i="1" s="1"/>
  <c r="H8" i="1"/>
  <c r="C8" i="1" s="1"/>
  <c r="H9" i="1"/>
  <c r="C9" i="1" s="1"/>
  <c r="H10" i="1"/>
  <c r="C10" i="1" s="1"/>
  <c r="H11" i="1"/>
  <c r="C11" i="1" s="1"/>
  <c r="H12" i="1"/>
  <c r="C12" i="1" s="1"/>
  <c r="H13" i="1"/>
  <c r="C13" i="1" s="1"/>
  <c r="H14" i="1"/>
  <c r="C14" i="1" s="1"/>
  <c r="H15" i="1"/>
  <c r="C15" i="1" s="1"/>
  <c r="H16" i="1"/>
  <c r="C16" i="1" s="1"/>
  <c r="H17" i="1"/>
  <c r="C17" i="1" s="1"/>
  <c r="H18" i="1"/>
  <c r="C18" i="1" s="1"/>
  <c r="H19" i="1"/>
  <c r="C19" i="1" s="1"/>
  <c r="H20" i="1"/>
  <c r="C20" i="1" s="1"/>
  <c r="H21" i="1"/>
  <c r="C21" i="1" s="1"/>
  <c r="H22" i="1"/>
  <c r="C22" i="1" s="1"/>
  <c r="H23" i="1"/>
  <c r="C23" i="1" s="1"/>
  <c r="H24" i="1"/>
  <c r="C24" i="1" s="1"/>
  <c r="H25" i="1"/>
  <c r="C25" i="1" s="1"/>
  <c r="H26" i="1"/>
  <c r="C26" i="1" s="1"/>
  <c r="H27" i="1"/>
  <c r="C27" i="1" s="1"/>
  <c r="H28" i="1"/>
  <c r="C28" i="1" s="1"/>
  <c r="F29" i="1"/>
  <c r="H29" i="1"/>
  <c r="H30" i="1"/>
  <c r="C30" i="1" s="1"/>
  <c r="H31" i="1"/>
  <c r="C31" i="1" s="1"/>
  <c r="H32" i="1"/>
  <c r="C32" i="1" s="1"/>
  <c r="H33" i="1"/>
  <c r="C33" i="1" s="1"/>
  <c r="H34" i="1"/>
  <c r="C34" i="1" s="1"/>
  <c r="H35" i="1"/>
  <c r="C35" i="1" s="1"/>
  <c r="H36" i="1"/>
  <c r="C36" i="1" s="1"/>
  <c r="H37" i="1"/>
  <c r="C37" i="1" s="1"/>
  <c r="H38" i="1"/>
  <c r="C38" i="1" s="1"/>
  <c r="H39" i="1"/>
  <c r="C39" i="1" s="1"/>
  <c r="F40" i="1"/>
  <c r="H40" i="1"/>
  <c r="H41" i="1"/>
  <c r="C41" i="1" s="1"/>
  <c r="H42" i="1"/>
  <c r="C42" i="1" s="1"/>
  <c r="H43" i="1"/>
  <c r="C43" i="1" s="1"/>
  <c r="H44" i="1"/>
  <c r="C44" i="1" s="1"/>
  <c r="F45" i="1"/>
  <c r="H45" i="1"/>
  <c r="H46" i="1"/>
  <c r="C46" i="1" s="1"/>
  <c r="H47" i="1"/>
  <c r="C47" i="1" s="1"/>
  <c r="H48" i="1"/>
  <c r="C48" i="1" s="1"/>
  <c r="H49" i="1"/>
  <c r="C49" i="1" s="1"/>
  <c r="H50" i="1"/>
  <c r="C50" i="1" s="1"/>
  <c r="H51" i="1"/>
  <c r="C51" i="1" s="1"/>
  <c r="H52" i="1"/>
  <c r="C52" i="1" s="1"/>
  <c r="H53" i="1"/>
  <c r="C53" i="1" s="1"/>
  <c r="H54" i="1"/>
  <c r="C54" i="1" s="1"/>
  <c r="H55" i="1"/>
  <c r="C55" i="1" s="1"/>
  <c r="H56" i="1"/>
  <c r="C56" i="1" s="1"/>
  <c r="H57" i="1"/>
  <c r="C57" i="1" s="1"/>
  <c r="H58" i="1"/>
  <c r="C58" i="1" s="1"/>
  <c r="H59" i="1"/>
  <c r="C59" i="1" s="1"/>
  <c r="H60" i="1"/>
  <c r="C60" i="1" s="1"/>
  <c r="H61" i="1"/>
  <c r="C61" i="1" s="1"/>
  <c r="H62" i="1"/>
  <c r="C62" i="1" s="1"/>
  <c r="H63" i="1"/>
  <c r="C63" i="1" s="1"/>
  <c r="H64" i="1"/>
  <c r="C64" i="1" s="1"/>
  <c r="H65" i="1"/>
  <c r="C65" i="1" s="1"/>
  <c r="F66" i="1"/>
  <c r="H66" i="1"/>
  <c r="H67" i="1"/>
  <c r="C67" i="1" s="1"/>
  <c r="H68" i="1"/>
  <c r="C68" i="1" s="1"/>
  <c r="H69" i="1"/>
  <c r="C69" i="1" s="1"/>
  <c r="H70" i="1"/>
  <c r="C70" i="1" s="1"/>
  <c r="F71" i="1"/>
  <c r="H71" i="1"/>
  <c r="H72" i="1"/>
  <c r="C72" i="1" s="1"/>
  <c r="H73" i="1"/>
  <c r="C73" i="1" s="1"/>
  <c r="H74" i="1"/>
  <c r="C74" i="1" s="1"/>
  <c r="H75" i="1"/>
  <c r="C75" i="1" s="1"/>
  <c r="H76" i="1"/>
  <c r="C76" i="1" s="1"/>
  <c r="F77" i="1"/>
  <c r="H77" i="1"/>
  <c r="H78" i="1"/>
  <c r="C78" i="1" s="1"/>
  <c r="H79" i="1"/>
  <c r="C79" i="1" s="1"/>
  <c r="F80" i="1"/>
  <c r="H80" i="1"/>
  <c r="H81" i="1"/>
  <c r="C81" i="1" s="1"/>
  <c r="F82" i="1"/>
  <c r="H82" i="1"/>
  <c r="H83" i="1"/>
  <c r="C83" i="1" s="1"/>
  <c r="H84" i="1"/>
  <c r="C84" i="1" s="1"/>
  <c r="H85" i="1"/>
  <c r="C85" i="1" s="1"/>
  <c r="H86" i="1"/>
  <c r="C86" i="1" s="1"/>
  <c r="F87" i="1"/>
  <c r="H87" i="1"/>
  <c r="H88" i="1"/>
  <c r="C88" i="1" s="1"/>
  <c r="H89" i="1"/>
  <c r="C89" i="1" s="1"/>
  <c r="H90" i="1"/>
  <c r="C90" i="1" s="1"/>
  <c r="F91" i="1"/>
  <c r="H91" i="1"/>
  <c r="H92" i="1"/>
  <c r="C92" i="1" s="1"/>
  <c r="H93" i="1"/>
  <c r="C93" i="1" s="1"/>
  <c r="H94" i="1"/>
  <c r="C94" i="1" s="1"/>
  <c r="F95" i="1"/>
  <c r="H95" i="1"/>
  <c r="F96" i="1"/>
  <c r="H96" i="1"/>
  <c r="H97" i="1"/>
  <c r="C97" i="1" s="1"/>
  <c r="F98" i="1"/>
  <c r="H98" i="1"/>
  <c r="H99" i="1"/>
  <c r="C99" i="1" s="1"/>
  <c r="H100" i="1"/>
  <c r="C100" i="1" s="1"/>
  <c r="H101" i="1"/>
  <c r="C101" i="1" s="1"/>
  <c r="H102" i="1"/>
  <c r="C102" i="1" s="1"/>
  <c r="H103" i="1"/>
  <c r="C103" i="1" s="1"/>
  <c r="H104" i="1"/>
  <c r="C104" i="1" s="1"/>
  <c r="F105" i="1"/>
  <c r="H105" i="1"/>
  <c r="H106" i="1"/>
  <c r="C106" i="1" s="1"/>
  <c r="H107" i="1"/>
  <c r="C107" i="1" s="1"/>
  <c r="F108" i="1"/>
  <c r="H108" i="1"/>
  <c r="H109" i="1"/>
  <c r="C109" i="1" s="1"/>
  <c r="H110" i="1"/>
  <c r="C110" i="1" s="1"/>
  <c r="F111" i="1"/>
  <c r="H111" i="1"/>
  <c r="H112" i="1"/>
  <c r="C112" i="1" s="1"/>
  <c r="H113" i="1"/>
  <c r="C113" i="1" s="1"/>
  <c r="F114" i="1"/>
  <c r="H114" i="1"/>
  <c r="H115" i="1"/>
  <c r="C115" i="1" s="1"/>
  <c r="H116" i="1"/>
  <c r="C116" i="1" s="1"/>
  <c r="F117" i="1"/>
  <c r="H117" i="1"/>
  <c r="H118" i="1"/>
  <c r="C118" i="1" s="1"/>
  <c r="H119" i="1"/>
  <c r="C119" i="1" s="1"/>
  <c r="H120" i="1"/>
  <c r="C120" i="1" s="1"/>
  <c r="H121" i="1"/>
  <c r="C121" i="1" s="1"/>
  <c r="H122" i="1"/>
  <c r="C122" i="1" s="1"/>
  <c r="H123" i="1"/>
  <c r="C123" i="1" s="1"/>
  <c r="F124" i="1"/>
  <c r="H124" i="1"/>
  <c r="H125" i="1"/>
  <c r="C125" i="1" s="1"/>
  <c r="F126" i="1"/>
  <c r="H126" i="1"/>
  <c r="H127" i="1"/>
  <c r="C127" i="1" s="1"/>
  <c r="H128" i="1"/>
  <c r="C128" i="1" s="1"/>
  <c r="F129" i="1"/>
  <c r="H129" i="1"/>
  <c r="H130" i="1"/>
  <c r="C130" i="1" s="1"/>
  <c r="H131" i="1"/>
  <c r="C131" i="1" s="1"/>
  <c r="F132" i="1"/>
  <c r="H132" i="1"/>
  <c r="H133" i="1"/>
  <c r="C133" i="1" s="1"/>
  <c r="H134" i="1"/>
  <c r="C134" i="1" s="1"/>
  <c r="F135" i="1"/>
  <c r="H135" i="1"/>
  <c r="H136" i="1"/>
  <c r="C136" i="1" s="1"/>
  <c r="H137" i="1"/>
  <c r="C137" i="1" s="1"/>
  <c r="H138" i="1"/>
  <c r="C138" i="1" s="1"/>
  <c r="H139" i="1"/>
  <c r="C139" i="1" s="1"/>
  <c r="H140" i="1"/>
  <c r="C140" i="1" s="1"/>
  <c r="H141" i="1"/>
  <c r="C141" i="1" s="1"/>
  <c r="H142" i="1"/>
  <c r="C142" i="1" s="1"/>
  <c r="H143" i="1"/>
  <c r="C143" i="1" s="1"/>
  <c r="H144" i="1"/>
  <c r="C144" i="1" s="1"/>
  <c r="H145" i="1"/>
  <c r="C145" i="1" s="1"/>
  <c r="H146" i="1"/>
  <c r="C146" i="1" s="1"/>
  <c r="H147" i="1"/>
  <c r="C147" i="1" s="1"/>
  <c r="H148" i="1"/>
  <c r="C148" i="1" s="1"/>
  <c r="H149" i="1"/>
  <c r="C149" i="1" s="1"/>
  <c r="H150" i="1"/>
  <c r="C150" i="1" s="1"/>
  <c r="H151" i="1"/>
  <c r="C151" i="1" s="1"/>
  <c r="H152" i="1"/>
  <c r="C152" i="1" s="1"/>
  <c r="H153" i="1"/>
  <c r="C153" i="1" s="1"/>
  <c r="F154" i="1"/>
  <c r="H154" i="1"/>
  <c r="H155" i="1"/>
  <c r="C155" i="1" s="1"/>
  <c r="H156" i="1"/>
  <c r="C156" i="1" s="1"/>
  <c r="H157" i="1"/>
  <c r="C157" i="1" s="1"/>
  <c r="H158" i="1"/>
  <c r="C158" i="1" s="1"/>
  <c r="H159" i="1"/>
  <c r="C159" i="1" s="1"/>
  <c r="H160" i="1"/>
  <c r="C160" i="1" s="1"/>
  <c r="H161" i="1"/>
  <c r="C161" i="1" s="1"/>
  <c r="H162" i="1"/>
  <c r="C162" i="1" s="1"/>
  <c r="H163" i="1"/>
  <c r="C163" i="1" s="1"/>
  <c r="H164" i="1"/>
  <c r="C164" i="1" s="1"/>
  <c r="H165" i="1"/>
  <c r="C165" i="1" s="1"/>
  <c r="H166" i="1"/>
  <c r="C166" i="1" s="1"/>
  <c r="H167" i="1"/>
  <c r="C167" i="1" s="1"/>
  <c r="H168" i="1"/>
  <c r="C168" i="1" s="1"/>
  <c r="F169" i="1"/>
  <c r="H169" i="1"/>
  <c r="F170" i="1"/>
  <c r="H170" i="1"/>
  <c r="H171" i="1"/>
  <c r="C171" i="1" s="1"/>
  <c r="H172" i="1"/>
  <c r="C172" i="1" s="1"/>
  <c r="H173" i="1"/>
  <c r="C173" i="1" s="1"/>
  <c r="H174" i="1"/>
  <c r="C174" i="1" s="1"/>
  <c r="H175" i="1"/>
  <c r="C175" i="1" s="1"/>
  <c r="H176" i="1"/>
  <c r="C176" i="1" s="1"/>
  <c r="F177" i="1"/>
  <c r="H177" i="1"/>
  <c r="H178" i="1"/>
  <c r="C178" i="1" s="1"/>
  <c r="H179" i="1"/>
  <c r="C179" i="1" s="1"/>
  <c r="H180" i="1"/>
  <c r="C180" i="1" s="1"/>
  <c r="H181" i="1"/>
  <c r="C181" i="1" s="1"/>
  <c r="H182" i="1"/>
  <c r="C182" i="1" s="1"/>
  <c r="F183" i="1"/>
  <c r="H183" i="1"/>
  <c r="H184" i="1"/>
  <c r="C184" i="1" s="1"/>
  <c r="H185" i="1"/>
  <c r="C185" i="1" s="1"/>
  <c r="H186" i="1"/>
  <c r="C186" i="1" s="1"/>
  <c r="H187" i="1"/>
  <c r="C187" i="1" s="1"/>
  <c r="H188" i="1"/>
  <c r="C188" i="1" s="1"/>
  <c r="H189" i="1"/>
  <c r="C189" i="1" s="1"/>
  <c r="F190" i="1"/>
  <c r="H190" i="1"/>
  <c r="H191" i="1"/>
  <c r="C191" i="1" s="1"/>
  <c r="H192" i="1"/>
  <c r="C192" i="1" s="1"/>
  <c r="H193" i="1"/>
  <c r="C193" i="1" s="1"/>
  <c r="F194" i="1"/>
  <c r="H194" i="1"/>
  <c r="H195" i="1"/>
  <c r="C195" i="1" s="1"/>
  <c r="H196" i="1"/>
  <c r="C196" i="1" s="1"/>
  <c r="H197" i="1"/>
  <c r="C197" i="1" s="1"/>
  <c r="H198" i="1"/>
  <c r="C198" i="1" s="1"/>
  <c r="H199" i="1"/>
  <c r="C199" i="1" s="1"/>
  <c r="F200" i="1"/>
  <c r="H200" i="1"/>
  <c r="H201" i="1"/>
  <c r="C201" i="1" s="1"/>
  <c r="H202" i="1"/>
  <c r="C202" i="1" s="1"/>
  <c r="H203" i="1"/>
  <c r="C203" i="1" s="1"/>
  <c r="H204" i="1"/>
  <c r="C204" i="1" s="1"/>
  <c r="H205" i="1"/>
  <c r="C205" i="1" s="1"/>
  <c r="H206" i="1"/>
  <c r="C206" i="1" s="1"/>
  <c r="H207" i="1"/>
  <c r="C207" i="1" s="1"/>
  <c r="H208" i="1"/>
  <c r="C208" i="1" s="1"/>
  <c r="H209" i="1"/>
  <c r="C209" i="1" s="1"/>
  <c r="H210" i="1"/>
  <c r="C210" i="1" s="1"/>
  <c r="H211" i="1"/>
  <c r="C211" i="1" s="1"/>
  <c r="H212" i="1"/>
  <c r="C212" i="1" s="1"/>
  <c r="H213" i="1"/>
  <c r="C213" i="1" s="1"/>
  <c r="H214" i="1"/>
  <c r="C214" i="1" s="1"/>
  <c r="H215" i="1"/>
  <c r="C215" i="1" s="1"/>
  <c r="H216" i="1"/>
  <c r="C216" i="1" s="1"/>
  <c r="H217" i="1"/>
  <c r="C217" i="1" s="1"/>
  <c r="H218" i="1"/>
  <c r="C218" i="1" s="1"/>
  <c r="H219" i="1"/>
  <c r="C219" i="1" s="1"/>
  <c r="C220" i="1"/>
  <c r="H220" i="1"/>
  <c r="H221" i="1"/>
  <c r="C221" i="1" s="1"/>
  <c r="H222" i="1"/>
  <c r="C222" i="1" s="1"/>
  <c r="H223" i="1"/>
  <c r="C223" i="1" s="1"/>
  <c r="H224" i="1"/>
  <c r="C224" i="1" s="1"/>
  <c r="H225" i="1"/>
  <c r="C225" i="1" s="1"/>
  <c r="H226" i="1"/>
  <c r="C226" i="1" s="1"/>
  <c r="H227" i="1"/>
  <c r="C227" i="1" s="1"/>
  <c r="H228" i="1"/>
  <c r="C228" i="1" s="1"/>
  <c r="H229" i="1"/>
  <c r="C229" i="1" s="1"/>
  <c r="H230" i="1"/>
  <c r="C230" i="1" s="1"/>
  <c r="H231" i="1"/>
  <c r="C231" i="1" s="1"/>
  <c r="H232" i="1"/>
  <c r="C232" i="1" s="1"/>
  <c r="H233" i="1"/>
  <c r="C233" i="1" s="1"/>
  <c r="H234" i="1"/>
  <c r="C234" i="1" s="1"/>
  <c r="H235" i="1"/>
  <c r="C235" i="1" s="1"/>
  <c r="H236" i="1"/>
  <c r="C236" i="1" s="1"/>
  <c r="H237" i="1"/>
  <c r="C237" i="1" s="1"/>
  <c r="H238" i="1"/>
  <c r="C238" i="1" s="1"/>
  <c r="F239" i="1"/>
  <c r="H239" i="1"/>
  <c r="H240" i="1"/>
  <c r="C240" i="1" s="1"/>
  <c r="H241" i="1"/>
  <c r="C241" i="1" s="1"/>
  <c r="H242" i="1"/>
  <c r="C242" i="1" s="1"/>
  <c r="H243" i="1"/>
  <c r="C243" i="1" s="1"/>
  <c r="H244" i="1"/>
  <c r="C244" i="1" s="1"/>
  <c r="F245" i="1"/>
  <c r="H245" i="1"/>
  <c r="H246" i="1"/>
  <c r="C246" i="1" s="1"/>
  <c r="H247" i="1"/>
  <c r="C247" i="1" s="1"/>
  <c r="H248" i="1"/>
  <c r="C248" i="1" s="1"/>
  <c r="F249" i="1"/>
  <c r="H249" i="1"/>
  <c r="H250" i="1"/>
  <c r="C250" i="1" s="1"/>
  <c r="H251" i="1"/>
  <c r="C251" i="1" s="1"/>
  <c r="F252" i="1"/>
  <c r="H252" i="1"/>
  <c r="H253" i="1"/>
  <c r="C253" i="1" s="1"/>
  <c r="F254" i="1"/>
  <c r="H254" i="1"/>
  <c r="H255" i="1"/>
  <c r="C255" i="1" s="1"/>
  <c r="H256" i="1"/>
  <c r="C256" i="1" s="1"/>
  <c r="H257" i="1"/>
  <c r="C257" i="1" s="1"/>
  <c r="H258" i="1"/>
  <c r="C258" i="1" s="1"/>
  <c r="H259" i="1"/>
  <c r="C259" i="1" s="1"/>
  <c r="H260" i="1"/>
  <c r="C260" i="1" s="1"/>
  <c r="F261" i="1"/>
  <c r="H261" i="1"/>
  <c r="F262" i="1"/>
  <c r="H262" i="1"/>
  <c r="H263" i="1"/>
  <c r="C263" i="1" s="1"/>
  <c r="H264" i="1"/>
  <c r="C264" i="1" s="1"/>
  <c r="F265" i="1"/>
  <c r="H265" i="1"/>
  <c r="H266" i="1"/>
  <c r="C266" i="1" s="1"/>
  <c r="H267" i="1"/>
  <c r="C267" i="1" s="1"/>
  <c r="H268" i="1"/>
  <c r="C268" i="1" s="1"/>
  <c r="H269" i="1"/>
  <c r="C269" i="1" s="1"/>
  <c r="H270" i="1"/>
  <c r="C270" i="1" s="1"/>
  <c r="H271" i="1"/>
  <c r="C271" i="1" s="1"/>
  <c r="H272" i="1"/>
  <c r="C272" i="1" s="1"/>
  <c r="F273" i="1"/>
  <c r="H273" i="1"/>
  <c r="H274" i="1"/>
  <c r="C274" i="1" s="1"/>
  <c r="H275" i="1"/>
  <c r="C275" i="1" s="1"/>
  <c r="H276" i="1"/>
  <c r="C276" i="1" s="1"/>
  <c r="H277" i="1"/>
  <c r="C277" i="1" s="1"/>
  <c r="H278" i="1"/>
  <c r="C278" i="1" s="1"/>
  <c r="H279" i="1"/>
  <c r="C279" i="1" s="1"/>
  <c r="H280" i="1"/>
  <c r="C280" i="1" s="1"/>
  <c r="H281" i="1"/>
  <c r="C281" i="1" s="1"/>
  <c r="H282" i="1"/>
  <c r="C282" i="1" s="1"/>
  <c r="H283" i="1"/>
  <c r="C283" i="1" s="1"/>
  <c r="F284" i="1"/>
  <c r="H284" i="1"/>
  <c r="H285" i="1"/>
  <c r="C285" i="1" s="1"/>
  <c r="H286" i="1"/>
  <c r="C286" i="1" s="1"/>
  <c r="H287" i="1"/>
  <c r="C287" i="1" s="1"/>
  <c r="H288" i="1"/>
  <c r="C288" i="1" s="1"/>
  <c r="H289" i="1"/>
  <c r="C289" i="1" s="1"/>
  <c r="F290" i="1"/>
  <c r="H290" i="1"/>
  <c r="H291" i="1"/>
  <c r="C291" i="1" s="1"/>
  <c r="H292" i="1"/>
  <c r="C292" i="1" s="1"/>
  <c r="H293" i="1"/>
  <c r="C293" i="1" s="1"/>
  <c r="H294" i="1"/>
  <c r="C294" i="1" s="1"/>
  <c r="H295" i="1"/>
  <c r="C295" i="1" s="1"/>
  <c r="H296" i="1"/>
  <c r="C296" i="1" s="1"/>
  <c r="F297" i="1"/>
  <c r="H297" i="1"/>
  <c r="H298" i="1"/>
  <c r="C298" i="1" s="1"/>
  <c r="H299" i="1"/>
  <c r="C299" i="1" s="1"/>
  <c r="H300" i="1"/>
  <c r="C300" i="1" s="1"/>
  <c r="H301" i="1"/>
  <c r="C301" i="1" s="1"/>
  <c r="H302" i="1"/>
  <c r="C302" i="1" s="1"/>
  <c r="H303" i="1"/>
  <c r="C303" i="1" s="1"/>
  <c r="H304" i="1"/>
  <c r="C304" i="1" s="1"/>
  <c r="F305" i="1"/>
  <c r="H305" i="1"/>
  <c r="H306" i="1"/>
  <c r="C306" i="1" s="1"/>
  <c r="F307" i="1"/>
  <c r="H307" i="1"/>
  <c r="F308" i="1"/>
  <c r="H308" i="1"/>
  <c r="H309" i="1"/>
  <c r="C309" i="1" s="1"/>
  <c r="H310" i="1"/>
  <c r="C310" i="1" s="1"/>
  <c r="H311" i="1"/>
  <c r="C311" i="1" s="1"/>
  <c r="H312" i="1"/>
  <c r="C312" i="1" s="1"/>
  <c r="H313" i="1"/>
  <c r="C313" i="1" s="1"/>
  <c r="H314" i="1"/>
  <c r="C314" i="1" s="1"/>
  <c r="F315" i="1"/>
  <c r="H315" i="1"/>
  <c r="H316" i="1"/>
  <c r="C316" i="1" s="1"/>
  <c r="H317" i="1"/>
  <c r="C317" i="1" s="1"/>
  <c r="H318" i="1"/>
  <c r="C318" i="1" s="1"/>
  <c r="H319" i="1"/>
  <c r="C319" i="1" s="1"/>
  <c r="H320" i="1"/>
  <c r="C320" i="1" s="1"/>
  <c r="H321" i="1"/>
  <c r="C321" i="1" s="1"/>
  <c r="F322" i="1"/>
  <c r="H322" i="1"/>
  <c r="H323" i="1"/>
  <c r="C323" i="1" s="1"/>
  <c r="H324" i="1"/>
  <c r="C324" i="1" s="1"/>
  <c r="H325" i="1"/>
  <c r="C325" i="1" s="1"/>
  <c r="H326" i="1"/>
  <c r="C326" i="1" s="1"/>
  <c r="H327" i="1"/>
  <c r="C327" i="1" s="1"/>
  <c r="H328" i="1"/>
  <c r="C328" i="1" s="1"/>
  <c r="F329" i="1"/>
  <c r="H329" i="1"/>
  <c r="H330" i="1"/>
  <c r="C330" i="1" s="1"/>
  <c r="H331" i="1"/>
  <c r="C331" i="1" s="1"/>
  <c r="H332" i="1"/>
  <c r="C332" i="1" s="1"/>
  <c r="H333" i="1"/>
  <c r="C333" i="1" s="1"/>
  <c r="H334" i="1"/>
  <c r="C334" i="1" s="1"/>
  <c r="H335" i="1"/>
  <c r="C335" i="1" s="1"/>
  <c r="F336" i="1"/>
  <c r="H336" i="1"/>
  <c r="F337" i="1"/>
  <c r="H337" i="1"/>
  <c r="H338" i="1"/>
  <c r="C338" i="1" s="1"/>
  <c r="H339" i="1"/>
  <c r="C339" i="1" s="1"/>
  <c r="H340" i="1"/>
  <c r="C340" i="1" s="1"/>
  <c r="H341" i="1"/>
  <c r="C341" i="1" s="1"/>
  <c r="H342" i="1"/>
  <c r="C342" i="1" s="1"/>
  <c r="H343" i="1"/>
  <c r="C343" i="1" s="1"/>
  <c r="F344" i="1"/>
  <c r="H344" i="1"/>
  <c r="H345" i="1"/>
  <c r="C345" i="1" s="1"/>
  <c r="H346" i="1"/>
  <c r="C346" i="1" s="1"/>
  <c r="H347" i="1"/>
  <c r="C347" i="1" s="1"/>
  <c r="H348" i="1"/>
  <c r="C348" i="1" s="1"/>
  <c r="H349" i="1"/>
  <c r="C349" i="1" s="1"/>
  <c r="H350" i="1"/>
  <c r="C350" i="1" s="1"/>
  <c r="F351" i="1"/>
  <c r="H351" i="1"/>
  <c r="H352" i="1"/>
  <c r="C352" i="1" s="1"/>
  <c r="H353" i="1"/>
  <c r="C353" i="1" s="1"/>
  <c r="F354" i="1"/>
  <c r="H354" i="1"/>
  <c r="H355" i="1"/>
  <c r="C355" i="1" s="1"/>
  <c r="H356" i="1"/>
  <c r="C356" i="1" s="1"/>
  <c r="H357" i="1"/>
  <c r="C357" i="1" s="1"/>
  <c r="H358" i="1"/>
  <c r="C358" i="1" s="1"/>
  <c r="F359" i="1"/>
  <c r="H359" i="1"/>
  <c r="H360" i="1"/>
  <c r="C360" i="1" s="1"/>
  <c r="H361" i="1"/>
  <c r="C361" i="1" s="1"/>
  <c r="H362" i="1"/>
  <c r="C362" i="1" s="1"/>
  <c r="H363" i="1"/>
  <c r="C363" i="1" s="1"/>
  <c r="H364" i="1"/>
  <c r="C364" i="1" s="1"/>
  <c r="H365" i="1"/>
  <c r="C365" i="1" s="1"/>
  <c r="F366" i="1"/>
  <c r="H366" i="1"/>
  <c r="H367" i="1"/>
  <c r="C367" i="1" s="1"/>
  <c r="H368" i="1"/>
  <c r="C368" i="1" s="1"/>
  <c r="F369" i="1"/>
  <c r="H369" i="1"/>
  <c r="F370" i="1"/>
  <c r="H370" i="1"/>
  <c r="F371" i="1"/>
  <c r="H371" i="1"/>
  <c r="H372" i="1"/>
  <c r="C372" i="1" s="1"/>
  <c r="H373" i="1"/>
  <c r="C373" i="1" s="1"/>
  <c r="F374" i="1"/>
  <c r="H374" i="1"/>
  <c r="H375" i="1"/>
  <c r="C375" i="1" s="1"/>
  <c r="H376" i="1"/>
  <c r="C376" i="1" s="1"/>
  <c r="H377" i="1"/>
  <c r="C377" i="1" s="1"/>
  <c r="H378" i="1"/>
  <c r="C378" i="1" s="1"/>
  <c r="H379" i="1"/>
  <c r="C379" i="1" s="1"/>
  <c r="H380" i="1"/>
  <c r="C380" i="1" s="1"/>
  <c r="H381" i="1"/>
  <c r="C381" i="1" s="1"/>
  <c r="H382" i="1"/>
  <c r="C382" i="1" s="1"/>
  <c r="H383" i="1"/>
  <c r="C383" i="1" s="1"/>
  <c r="F384" i="1"/>
  <c r="H384" i="1"/>
  <c r="H385" i="1"/>
  <c r="C385" i="1" s="1"/>
  <c r="H386" i="1"/>
  <c r="C386" i="1" s="1"/>
  <c r="H387" i="1"/>
  <c r="C387" i="1" s="1"/>
  <c r="F388" i="1"/>
  <c r="H388" i="1"/>
  <c r="H389" i="1"/>
  <c r="C389" i="1" s="1"/>
  <c r="H390" i="1"/>
  <c r="C390" i="1" s="1"/>
  <c r="H391" i="1"/>
  <c r="C391" i="1" s="1"/>
  <c r="F392" i="1"/>
  <c r="H392" i="1"/>
  <c r="H393" i="1"/>
  <c r="C393" i="1" s="1"/>
  <c r="H394" i="1"/>
  <c r="C394" i="1" s="1"/>
  <c r="H395" i="1"/>
  <c r="C395" i="1" s="1"/>
  <c r="F396" i="1"/>
  <c r="H396" i="1"/>
  <c r="F397" i="1"/>
  <c r="H397" i="1"/>
  <c r="H398" i="1"/>
  <c r="C398" i="1" s="1"/>
  <c r="H399" i="1"/>
  <c r="C399" i="1" s="1"/>
  <c r="H400" i="1"/>
  <c r="C400" i="1" s="1"/>
  <c r="H401" i="1"/>
  <c r="C401" i="1" s="1"/>
  <c r="H402" i="1"/>
  <c r="C402" i="1" s="1"/>
  <c r="H403" i="1"/>
  <c r="C403" i="1" s="1"/>
  <c r="F404" i="1"/>
  <c r="H404" i="1"/>
  <c r="H405" i="1"/>
  <c r="C405" i="1" s="1"/>
  <c r="H406" i="1"/>
  <c r="C406" i="1" s="1"/>
  <c r="H407" i="1"/>
  <c r="C407" i="1" s="1"/>
  <c r="H408" i="1"/>
  <c r="C408" i="1" s="1"/>
  <c r="H409" i="1"/>
  <c r="C409" i="1" s="1"/>
  <c r="H410" i="1"/>
  <c r="C410" i="1" s="1"/>
  <c r="F411" i="1"/>
  <c r="H411" i="1"/>
  <c r="H412" i="1"/>
  <c r="C412" i="1" s="1"/>
  <c r="H413" i="1"/>
  <c r="C413" i="1" s="1"/>
  <c r="H414" i="1"/>
  <c r="C414" i="1" s="1"/>
  <c r="H415" i="1"/>
  <c r="C415" i="1" s="1"/>
  <c r="H416" i="1"/>
  <c r="C416" i="1" s="1"/>
  <c r="H417" i="1"/>
  <c r="C417" i="1" s="1"/>
  <c r="H418" i="1"/>
  <c r="C418" i="1" s="1"/>
  <c r="H419" i="1"/>
  <c r="C419" i="1" s="1"/>
  <c r="H420" i="1"/>
  <c r="C420" i="1" s="1"/>
  <c r="F421" i="1"/>
  <c r="H421" i="1"/>
  <c r="H422" i="1"/>
  <c r="C422" i="1" s="1"/>
  <c r="H423" i="1"/>
  <c r="C423" i="1" s="1"/>
  <c r="H424" i="1"/>
  <c r="C424" i="1" s="1"/>
  <c r="H425" i="1"/>
  <c r="C425" i="1" s="1"/>
  <c r="H426" i="1"/>
  <c r="C426" i="1" s="1"/>
  <c r="H427" i="1"/>
  <c r="C427" i="1" s="1"/>
  <c r="F428" i="1"/>
  <c r="H428" i="1"/>
  <c r="H429" i="1"/>
  <c r="C429" i="1" s="1"/>
  <c r="H430" i="1"/>
  <c r="C430" i="1" s="1"/>
  <c r="H431" i="1"/>
  <c r="C431" i="1" s="1"/>
  <c r="H432" i="1"/>
  <c r="C432" i="1" s="1"/>
  <c r="H433" i="1"/>
  <c r="C433" i="1" s="1"/>
  <c r="H434" i="1"/>
  <c r="C434" i="1" s="1"/>
  <c r="H435" i="1"/>
  <c r="C435" i="1" s="1"/>
  <c r="H436" i="1"/>
  <c r="C436" i="1" s="1"/>
  <c r="H437" i="1"/>
  <c r="C437" i="1" s="1"/>
  <c r="F438" i="1"/>
  <c r="H438" i="1"/>
  <c r="H439" i="1"/>
  <c r="C439" i="1" s="1"/>
  <c r="H440" i="1"/>
  <c r="C440" i="1" s="1"/>
  <c r="F441" i="1"/>
  <c r="H441" i="1"/>
  <c r="F442" i="1"/>
  <c r="H442" i="1"/>
  <c r="H443" i="1"/>
  <c r="C443" i="1" s="1"/>
  <c r="C444" i="1"/>
  <c r="F444" i="1" s="1"/>
  <c r="D444" i="1" s="1"/>
  <c r="E444" i="1"/>
  <c r="H444" i="1"/>
  <c r="F445" i="1"/>
  <c r="H445" i="1"/>
  <c r="H446" i="1"/>
  <c r="C446" i="1" s="1"/>
  <c r="H447" i="1"/>
  <c r="C447" i="1" s="1"/>
  <c r="H448" i="1"/>
  <c r="C448" i="1" s="1"/>
  <c r="H449" i="1"/>
  <c r="C449" i="1" s="1"/>
  <c r="F450" i="1"/>
  <c r="H450" i="1"/>
  <c r="H451" i="1"/>
  <c r="C451" i="1" s="1"/>
  <c r="H452" i="1"/>
  <c r="C452" i="1" s="1"/>
  <c r="H453" i="1"/>
  <c r="C453" i="1" s="1"/>
  <c r="H454" i="1"/>
  <c r="C454" i="1" s="1"/>
  <c r="H455" i="1"/>
  <c r="C455" i="1" s="1"/>
  <c r="H456" i="1"/>
  <c r="C456" i="1" s="1"/>
  <c r="H457" i="1"/>
  <c r="C457" i="1" s="1"/>
  <c r="F458" i="1"/>
  <c r="H458" i="1"/>
  <c r="H459" i="1"/>
  <c r="C459" i="1" s="1"/>
  <c r="F460" i="1"/>
  <c r="H460" i="1"/>
  <c r="H461" i="1"/>
  <c r="C461" i="1" s="1"/>
  <c r="F462" i="1"/>
  <c r="H462" i="1"/>
  <c r="H463" i="1"/>
  <c r="C463" i="1" s="1"/>
  <c r="H464" i="1"/>
  <c r="C464" i="1" s="1"/>
  <c r="F465" i="1"/>
  <c r="H465" i="1"/>
  <c r="H466" i="1"/>
  <c r="C466" i="1" s="1"/>
  <c r="H467" i="1"/>
  <c r="C467" i="1" s="1"/>
  <c r="H468" i="1"/>
  <c r="C468" i="1" s="1"/>
  <c r="H469" i="1"/>
  <c r="C469" i="1" s="1"/>
  <c r="H470" i="1"/>
  <c r="C470" i="1" s="1"/>
  <c r="F471" i="1"/>
  <c r="H471" i="1"/>
  <c r="H472" i="1"/>
  <c r="C472" i="1" s="1"/>
  <c r="H473" i="1"/>
  <c r="C473" i="1" s="1"/>
  <c r="F474" i="1"/>
  <c r="H474" i="1"/>
  <c r="F475" i="1"/>
  <c r="H475" i="1"/>
  <c r="H476" i="1"/>
  <c r="C476" i="1" s="1"/>
  <c r="H477" i="1"/>
  <c r="C477" i="1" s="1"/>
  <c r="H478" i="1"/>
  <c r="C478" i="1" s="1"/>
  <c r="H479" i="1"/>
  <c r="C479" i="1" s="1"/>
  <c r="F480" i="1"/>
  <c r="H480" i="1"/>
  <c r="H481" i="1"/>
  <c r="C481" i="1" s="1"/>
  <c r="H482" i="1"/>
  <c r="C482" i="1" s="1"/>
  <c r="H483" i="1"/>
  <c r="C483" i="1" s="1"/>
  <c r="H484" i="1"/>
  <c r="C484" i="1" s="1"/>
  <c r="H485" i="1"/>
  <c r="C485" i="1" s="1"/>
  <c r="H486" i="1"/>
  <c r="C486" i="1" s="1"/>
  <c r="H487" i="1"/>
  <c r="C487" i="1" s="1"/>
  <c r="H488" i="1"/>
  <c r="C488" i="1" s="1"/>
  <c r="F489" i="1"/>
  <c r="H489" i="1"/>
  <c r="H490" i="1"/>
  <c r="C490" i="1" s="1"/>
  <c r="H491" i="1"/>
  <c r="C491" i="1" s="1"/>
  <c r="F492" i="1"/>
  <c r="H492" i="1"/>
  <c r="F493" i="1"/>
  <c r="H493" i="1"/>
  <c r="F494" i="1"/>
  <c r="H494" i="1"/>
  <c r="H495" i="1"/>
  <c r="C495" i="1" s="1"/>
  <c r="H496" i="1"/>
  <c r="C496" i="1" s="1"/>
  <c r="H497" i="1"/>
  <c r="C497" i="1" s="1"/>
  <c r="H498" i="1"/>
  <c r="C498" i="1" s="1"/>
  <c r="F499" i="1"/>
  <c r="H499" i="1"/>
  <c r="H500" i="1"/>
  <c r="C500" i="1" s="1"/>
  <c r="F501" i="1"/>
  <c r="H501" i="1"/>
  <c r="F502" i="1"/>
  <c r="H502" i="1"/>
  <c r="H503" i="1"/>
  <c r="C503" i="1" s="1"/>
  <c r="H504" i="1"/>
  <c r="C504" i="1" s="1"/>
  <c r="H505" i="1"/>
  <c r="C505" i="1" s="1"/>
  <c r="H506" i="1"/>
  <c r="C506" i="1" s="1"/>
  <c r="H507" i="1"/>
  <c r="C507" i="1" s="1"/>
  <c r="H508" i="1"/>
  <c r="C508" i="1" s="1"/>
  <c r="H509" i="1"/>
  <c r="C509" i="1" s="1"/>
  <c r="H510" i="1"/>
  <c r="C510" i="1" s="1"/>
  <c r="H511" i="1"/>
  <c r="C511" i="1" s="1"/>
  <c r="H512" i="1"/>
  <c r="C512" i="1" s="1"/>
  <c r="H513" i="1"/>
  <c r="C513" i="1" s="1"/>
  <c r="H514" i="1"/>
  <c r="C514" i="1" s="1"/>
  <c r="F515" i="1"/>
  <c r="H515" i="1"/>
  <c r="H516" i="1"/>
  <c r="C516" i="1" s="1"/>
  <c r="H517" i="1"/>
  <c r="C517" i="1" s="1"/>
  <c r="F518" i="1"/>
  <c r="H518" i="1"/>
  <c r="H519" i="1"/>
  <c r="C519" i="1" s="1"/>
  <c r="H520" i="1"/>
  <c r="C520" i="1" s="1"/>
  <c r="F521" i="1"/>
  <c r="H521" i="1"/>
  <c r="H522" i="1"/>
  <c r="C522" i="1" s="1"/>
  <c r="H523" i="1"/>
  <c r="C523" i="1" s="1"/>
  <c r="H524" i="1"/>
  <c r="C524" i="1" s="1"/>
  <c r="H525" i="1"/>
  <c r="C525" i="1" s="1"/>
  <c r="H526" i="1"/>
  <c r="C526" i="1" s="1"/>
  <c r="F527" i="1"/>
  <c r="H527" i="1"/>
  <c r="F528" i="1"/>
  <c r="H528" i="1"/>
  <c r="H529" i="1"/>
  <c r="C529" i="1" s="1"/>
  <c r="H530" i="1"/>
  <c r="C530" i="1" s="1"/>
  <c r="H531" i="1"/>
  <c r="C531" i="1" s="1"/>
  <c r="H532" i="1"/>
  <c r="C532" i="1" s="1"/>
  <c r="H533" i="1"/>
  <c r="C533" i="1" s="1"/>
  <c r="F534" i="1"/>
  <c r="H534" i="1"/>
  <c r="H535" i="1"/>
  <c r="C535" i="1" s="1"/>
  <c r="H536" i="1"/>
  <c r="C536" i="1" s="1"/>
  <c r="H537" i="1"/>
  <c r="C537" i="1" s="1"/>
  <c r="H538" i="1"/>
  <c r="C538" i="1" s="1"/>
  <c r="H539" i="1"/>
  <c r="C539" i="1" s="1"/>
  <c r="F540" i="1"/>
  <c r="H540" i="1"/>
  <c r="F541" i="1"/>
  <c r="H541" i="1"/>
  <c r="H542" i="1"/>
  <c r="C542" i="1" s="1"/>
  <c r="H543" i="1"/>
  <c r="C543" i="1" s="1"/>
  <c r="H544" i="1"/>
  <c r="C544" i="1" s="1"/>
  <c r="F545" i="1"/>
  <c r="H545" i="1"/>
  <c r="H546" i="1"/>
  <c r="C546" i="1" s="1"/>
  <c r="H547" i="1"/>
  <c r="C547" i="1" s="1"/>
  <c r="H548" i="1"/>
  <c r="C548" i="1" s="1"/>
  <c r="F549" i="1"/>
  <c r="H549" i="1"/>
  <c r="H550" i="1"/>
  <c r="C550" i="1" s="1"/>
  <c r="H551" i="1"/>
  <c r="C551" i="1" s="1"/>
  <c r="F552" i="1"/>
  <c r="H552" i="1"/>
  <c r="H553" i="1"/>
  <c r="C553" i="1" s="1"/>
  <c r="H554" i="1"/>
  <c r="C554" i="1" s="1"/>
  <c r="H555" i="1"/>
  <c r="C555" i="1" s="1"/>
  <c r="H556" i="1"/>
  <c r="C556" i="1" s="1"/>
  <c r="H557" i="1"/>
  <c r="C557" i="1" s="1"/>
  <c r="H558" i="1"/>
  <c r="C558" i="1" s="1"/>
  <c r="H559" i="1"/>
  <c r="C559" i="1" s="1"/>
  <c r="H560" i="1"/>
  <c r="C560" i="1" s="1"/>
  <c r="H561" i="1"/>
  <c r="C561" i="1" s="1"/>
  <c r="H562" i="1"/>
  <c r="C562" i="1" s="1"/>
  <c r="H563" i="1"/>
  <c r="C563" i="1" s="1"/>
  <c r="H564" i="1"/>
  <c r="C564" i="1" s="1"/>
  <c r="H565" i="1"/>
  <c r="C565" i="1" s="1"/>
  <c r="H566" i="1"/>
  <c r="C566" i="1" s="1"/>
  <c r="H567" i="1"/>
  <c r="C567" i="1" s="1"/>
  <c r="H568" i="1"/>
  <c r="C568" i="1" s="1"/>
  <c r="H569" i="1"/>
  <c r="C569" i="1" s="1"/>
  <c r="H570" i="1"/>
  <c r="C570" i="1" s="1"/>
  <c r="H571" i="1"/>
  <c r="C571" i="1" s="1"/>
  <c r="H572" i="1"/>
  <c r="C572" i="1" s="1"/>
  <c r="H573" i="1"/>
  <c r="C573" i="1" s="1"/>
  <c r="F574" i="1"/>
  <c r="H574" i="1"/>
  <c r="H575" i="1"/>
  <c r="C575" i="1" s="1"/>
  <c r="H576" i="1"/>
  <c r="C576" i="1" s="1"/>
  <c r="H577" i="1"/>
  <c r="C577" i="1" s="1"/>
  <c r="F578" i="1"/>
  <c r="H578" i="1"/>
  <c r="H579" i="1"/>
  <c r="C579" i="1" s="1"/>
  <c r="H580" i="1"/>
  <c r="C580" i="1" s="1"/>
  <c r="H581" i="1"/>
  <c r="C581" i="1" s="1"/>
  <c r="H582" i="1"/>
  <c r="C582" i="1" s="1"/>
  <c r="H583" i="1"/>
  <c r="C583" i="1" s="1"/>
  <c r="F584" i="1"/>
  <c r="H584" i="1"/>
  <c r="H585" i="1"/>
  <c r="C585" i="1" s="1"/>
  <c r="H586" i="1"/>
  <c r="C586" i="1" s="1"/>
  <c r="H587" i="1"/>
  <c r="C587" i="1" s="1"/>
  <c r="H588" i="1"/>
  <c r="C588" i="1" s="1"/>
  <c r="H589" i="1"/>
  <c r="C589" i="1" s="1"/>
  <c r="H590" i="1"/>
  <c r="C590" i="1" s="1"/>
  <c r="H591" i="1"/>
  <c r="C591" i="1" s="1"/>
  <c r="H592" i="1"/>
  <c r="C592" i="1" s="1"/>
  <c r="F593" i="1"/>
  <c r="H593" i="1"/>
  <c r="H594" i="1"/>
  <c r="C594" i="1" s="1"/>
  <c r="H595" i="1"/>
  <c r="C595" i="1" s="1"/>
  <c r="H596" i="1"/>
  <c r="C596" i="1" s="1"/>
  <c r="F597" i="1"/>
  <c r="H597" i="1"/>
  <c r="H598" i="1"/>
  <c r="C598" i="1" s="1"/>
  <c r="H599" i="1"/>
  <c r="C599" i="1" s="1"/>
  <c r="H600" i="1"/>
  <c r="C600" i="1" s="1"/>
  <c r="H601" i="1"/>
  <c r="C601" i="1" s="1"/>
  <c r="H602" i="1"/>
  <c r="C602" i="1" s="1"/>
  <c r="F603" i="1"/>
  <c r="H603" i="1"/>
  <c r="H604" i="1"/>
  <c r="C604" i="1" s="1"/>
  <c r="H605" i="1"/>
  <c r="C605" i="1" s="1"/>
  <c r="H606" i="1"/>
  <c r="C606" i="1" s="1"/>
  <c r="H607" i="1"/>
  <c r="C607" i="1" s="1"/>
  <c r="H608" i="1"/>
  <c r="C608" i="1" s="1"/>
  <c r="H609" i="1"/>
  <c r="C609" i="1" s="1"/>
  <c r="H610" i="1"/>
  <c r="C610" i="1" s="1"/>
  <c r="H611" i="1"/>
  <c r="C611" i="1" s="1"/>
  <c r="H612" i="1"/>
  <c r="C612" i="1" s="1"/>
  <c r="H613" i="1"/>
  <c r="C613" i="1" s="1"/>
  <c r="H614" i="1"/>
  <c r="C614" i="1" s="1"/>
  <c r="H615" i="1"/>
  <c r="C615" i="1" s="1"/>
  <c r="H616" i="1"/>
  <c r="C616" i="1" s="1"/>
  <c r="H617" i="1"/>
  <c r="C617" i="1" s="1"/>
  <c r="H618" i="1"/>
  <c r="C618" i="1" s="1"/>
  <c r="H619" i="1"/>
  <c r="C619" i="1" s="1"/>
  <c r="H620" i="1"/>
  <c r="C620" i="1" s="1"/>
  <c r="H621" i="1"/>
  <c r="C621" i="1" s="1"/>
  <c r="H622" i="1"/>
  <c r="C622" i="1" s="1"/>
  <c r="H623" i="1"/>
  <c r="C623" i="1" s="1"/>
  <c r="F624" i="1"/>
  <c r="H624" i="1"/>
  <c r="H625" i="1"/>
  <c r="C625" i="1" s="1"/>
  <c r="H626" i="1"/>
  <c r="C626" i="1" s="1"/>
  <c r="H627" i="1"/>
  <c r="C627" i="1" s="1"/>
  <c r="H628" i="1"/>
  <c r="C628" i="1" s="1"/>
  <c r="H629" i="1"/>
  <c r="C629" i="1" s="1"/>
  <c r="H630" i="1"/>
  <c r="C630" i="1" s="1"/>
  <c r="H631" i="1"/>
  <c r="C631" i="1" s="1"/>
  <c r="H632" i="1"/>
  <c r="C632" i="1" s="1"/>
  <c r="H633" i="1"/>
  <c r="C633" i="1" s="1"/>
  <c r="H634" i="1"/>
  <c r="C634" i="1" s="1"/>
  <c r="F635" i="1"/>
  <c r="H635" i="1"/>
  <c r="F636" i="1"/>
  <c r="H636" i="1"/>
  <c r="H637" i="1"/>
  <c r="C637" i="1" s="1"/>
  <c r="H638" i="1"/>
  <c r="C638" i="1" s="1"/>
  <c r="H639" i="1"/>
  <c r="C639" i="1" s="1"/>
  <c r="H640" i="1"/>
  <c r="C640" i="1" s="1"/>
  <c r="H641" i="1"/>
  <c r="C641" i="1" s="1"/>
  <c r="H642" i="1"/>
  <c r="C642" i="1" s="1"/>
  <c r="F643" i="1"/>
  <c r="H643" i="1"/>
  <c r="H644" i="1"/>
  <c r="C644" i="1" s="1"/>
  <c r="H645" i="1"/>
  <c r="C645" i="1" s="1"/>
  <c r="H646" i="1"/>
  <c r="C646" i="1" s="1"/>
  <c r="H647" i="1"/>
  <c r="C647" i="1" s="1"/>
  <c r="F648" i="1"/>
  <c r="H648" i="1"/>
  <c r="H649" i="1"/>
  <c r="C649" i="1" s="1"/>
  <c r="H650" i="1"/>
  <c r="C650" i="1" s="1"/>
  <c r="H651" i="1"/>
  <c r="C651" i="1" s="1"/>
  <c r="F652" i="1"/>
  <c r="H652" i="1"/>
  <c r="H653" i="1"/>
  <c r="C653" i="1" s="1"/>
  <c r="H654" i="1"/>
  <c r="C654" i="1" s="1"/>
  <c r="H655" i="1"/>
  <c r="C655" i="1" s="1"/>
  <c r="F656" i="1"/>
  <c r="H656" i="1"/>
  <c r="F657" i="1"/>
  <c r="H657" i="1"/>
  <c r="H658" i="1"/>
  <c r="C658" i="1" s="1"/>
  <c r="H659" i="1"/>
  <c r="C659" i="1" s="1"/>
  <c r="H660" i="1"/>
  <c r="C660" i="1" s="1"/>
  <c r="H661" i="1"/>
  <c r="C661" i="1" s="1"/>
  <c r="H662" i="1"/>
  <c r="C662" i="1" s="1"/>
  <c r="H663" i="1"/>
  <c r="C663" i="1" s="1"/>
  <c r="H664" i="1"/>
  <c r="C664" i="1" s="1"/>
  <c r="H665" i="1"/>
  <c r="C665" i="1" s="1"/>
  <c r="F666" i="1"/>
  <c r="H666" i="1"/>
  <c r="H667" i="1"/>
  <c r="C667" i="1" s="1"/>
  <c r="H668" i="1"/>
  <c r="C668" i="1" s="1"/>
  <c r="H669" i="1"/>
  <c r="C669" i="1" s="1"/>
  <c r="C670" i="1"/>
  <c r="H670" i="1"/>
  <c r="H671" i="1"/>
  <c r="C671" i="1" s="1"/>
  <c r="H672" i="1"/>
  <c r="C672" i="1" s="1"/>
  <c r="H673" i="1"/>
  <c r="C673" i="1" s="1"/>
  <c r="H674" i="1"/>
  <c r="C674" i="1" s="1"/>
  <c r="H675" i="1"/>
  <c r="C675" i="1" s="1"/>
  <c r="H676" i="1"/>
  <c r="C676" i="1" s="1"/>
  <c r="H677" i="1"/>
  <c r="C677" i="1" s="1"/>
  <c r="H678" i="1"/>
  <c r="C678" i="1" s="1"/>
  <c r="F679" i="1"/>
  <c r="H679" i="1"/>
  <c r="F680" i="1"/>
  <c r="H680" i="1"/>
  <c r="H681" i="1"/>
  <c r="C681" i="1" s="1"/>
  <c r="H682" i="1"/>
  <c r="C682" i="1" s="1"/>
  <c r="F683" i="1"/>
  <c r="H683" i="1"/>
  <c r="H684" i="1"/>
  <c r="C684" i="1" s="1"/>
  <c r="H685" i="1"/>
  <c r="C685" i="1" s="1"/>
  <c r="H686" i="1"/>
  <c r="C686" i="1" s="1"/>
  <c r="H687" i="1"/>
  <c r="C687" i="1" s="1"/>
  <c r="H688" i="1"/>
  <c r="C688" i="1" s="1"/>
  <c r="H689" i="1"/>
  <c r="C689" i="1" s="1"/>
  <c r="F690" i="1"/>
  <c r="H690" i="1"/>
  <c r="H691" i="1"/>
  <c r="C691" i="1" s="1"/>
  <c r="H692" i="1"/>
  <c r="C692" i="1" s="1"/>
  <c r="H693" i="1"/>
  <c r="C693" i="1" s="1"/>
  <c r="H694" i="1"/>
  <c r="C694" i="1" s="1"/>
  <c r="H695" i="1"/>
  <c r="C695" i="1" s="1"/>
  <c r="H696" i="1"/>
  <c r="C696" i="1" s="1"/>
  <c r="F697" i="1"/>
  <c r="H697" i="1"/>
  <c r="H698" i="1"/>
  <c r="C698" i="1" s="1"/>
  <c r="H699" i="1"/>
  <c r="C699" i="1" s="1"/>
  <c r="H700" i="1"/>
  <c r="C700" i="1" s="1"/>
  <c r="H701" i="1"/>
  <c r="C701" i="1" s="1"/>
  <c r="H702" i="1"/>
  <c r="C702" i="1" s="1"/>
  <c r="H703" i="1"/>
  <c r="C703" i="1" s="1"/>
  <c r="H704" i="1"/>
  <c r="C704" i="1" s="1"/>
  <c r="H705" i="1"/>
  <c r="C705" i="1" s="1"/>
  <c r="H706" i="1"/>
  <c r="C706" i="1" s="1"/>
  <c r="H707" i="1"/>
  <c r="C707" i="1" s="1"/>
  <c r="F708" i="1"/>
  <c r="H708" i="1"/>
  <c r="H709" i="1"/>
  <c r="C709" i="1" s="1"/>
  <c r="H710" i="1"/>
  <c r="C710" i="1" s="1"/>
  <c r="F711" i="1"/>
  <c r="H711" i="1"/>
  <c r="H712" i="1"/>
  <c r="C712" i="1" s="1"/>
  <c r="H713" i="1"/>
  <c r="C713" i="1" s="1"/>
  <c r="H714" i="1"/>
  <c r="C714" i="1" s="1"/>
  <c r="H715" i="1"/>
  <c r="C715" i="1" s="1"/>
  <c r="F716" i="1"/>
  <c r="H716" i="1"/>
  <c r="H717" i="1"/>
  <c r="C717" i="1" s="1"/>
  <c r="H718" i="1"/>
  <c r="C718" i="1" s="1"/>
  <c r="H719" i="1"/>
  <c r="C719" i="1" s="1"/>
  <c r="H720" i="1"/>
  <c r="C720" i="1" s="1"/>
  <c r="H721" i="1"/>
  <c r="C721" i="1" s="1"/>
  <c r="F722" i="1"/>
  <c r="H722" i="1"/>
  <c r="F723" i="1"/>
  <c r="H723" i="1"/>
  <c r="F724" i="1"/>
  <c r="H724" i="1"/>
  <c r="H725" i="1"/>
  <c r="C725" i="1" s="1"/>
  <c r="H726" i="1"/>
  <c r="C726" i="1" s="1"/>
  <c r="F727" i="1"/>
  <c r="H727" i="1"/>
  <c r="H728" i="1"/>
  <c r="C728" i="1" s="1"/>
  <c r="H729" i="1"/>
  <c r="C729" i="1" s="1"/>
  <c r="H730" i="1"/>
  <c r="C730" i="1" s="1"/>
  <c r="F731" i="1"/>
  <c r="H731" i="1"/>
  <c r="H732" i="1"/>
  <c r="C732" i="1" s="1"/>
  <c r="H733" i="1"/>
  <c r="C733" i="1" s="1"/>
  <c r="F734" i="1"/>
  <c r="H734" i="1"/>
  <c r="H735" i="1"/>
  <c r="C735" i="1" s="1"/>
  <c r="H736" i="1"/>
  <c r="C736" i="1" s="1"/>
  <c r="H737" i="1"/>
  <c r="C737" i="1" s="1"/>
  <c r="H738" i="1"/>
  <c r="C738" i="1" s="1"/>
  <c r="H739" i="1"/>
  <c r="C739" i="1" s="1"/>
  <c r="H740" i="1"/>
  <c r="C740" i="1" s="1"/>
  <c r="H741" i="1"/>
  <c r="C741" i="1" s="1"/>
  <c r="H742" i="1"/>
  <c r="C742" i="1" s="1"/>
  <c r="F743" i="1"/>
  <c r="H743" i="1"/>
  <c r="H744" i="1"/>
  <c r="C744" i="1" s="1"/>
  <c r="H745" i="1"/>
  <c r="C745" i="1" s="1"/>
  <c r="H746" i="1"/>
  <c r="C746" i="1" s="1"/>
  <c r="H747" i="1"/>
  <c r="C747" i="1" s="1"/>
  <c r="H748" i="1"/>
  <c r="C748" i="1" s="1"/>
  <c r="H749" i="1"/>
  <c r="C749" i="1" s="1"/>
  <c r="F750" i="1"/>
  <c r="H750" i="1"/>
  <c r="H751" i="1"/>
  <c r="C751" i="1" s="1"/>
  <c r="H752" i="1"/>
  <c r="C752" i="1" s="1"/>
  <c r="H753" i="1"/>
  <c r="C753" i="1" s="1"/>
  <c r="H754" i="1"/>
  <c r="C754" i="1" s="1"/>
  <c r="H755" i="1"/>
  <c r="C755" i="1" s="1"/>
  <c r="F756" i="1"/>
  <c r="H756" i="1"/>
  <c r="F757" i="1"/>
  <c r="H757" i="1"/>
  <c r="H758" i="1"/>
  <c r="C758" i="1" s="1"/>
  <c r="H759" i="1"/>
  <c r="C759" i="1" s="1"/>
  <c r="H760" i="1"/>
  <c r="C760" i="1" s="1"/>
  <c r="F761" i="1"/>
  <c r="H761" i="1"/>
  <c r="H762" i="1"/>
  <c r="C762" i="1" s="1"/>
  <c r="H763" i="1"/>
  <c r="C763" i="1" s="1"/>
  <c r="H764" i="1"/>
  <c r="C764" i="1" s="1"/>
  <c r="F765" i="1"/>
  <c r="H765" i="1"/>
  <c r="H766" i="1"/>
  <c r="C766" i="1" s="1"/>
  <c r="F767" i="1"/>
  <c r="H767" i="1"/>
  <c r="H768" i="1"/>
  <c r="C768" i="1" s="1"/>
  <c r="F769" i="1"/>
  <c r="H769" i="1"/>
  <c r="H770" i="1"/>
  <c r="C770" i="1" s="1"/>
  <c r="H771" i="1"/>
  <c r="C771" i="1" s="1"/>
  <c r="H772" i="1"/>
  <c r="C772" i="1" s="1"/>
  <c r="H773" i="1"/>
  <c r="C773" i="1" s="1"/>
  <c r="H774" i="1"/>
  <c r="C774" i="1" s="1"/>
  <c r="H775" i="1"/>
  <c r="C775" i="1" s="1"/>
  <c r="F776" i="1"/>
  <c r="H776" i="1"/>
  <c r="H777" i="1"/>
  <c r="C777" i="1" s="1"/>
  <c r="H778" i="1"/>
  <c r="C778" i="1" s="1"/>
  <c r="H779" i="1"/>
  <c r="C779" i="1" s="1"/>
  <c r="F780" i="1"/>
  <c r="H780" i="1"/>
  <c r="H781" i="1"/>
  <c r="C781" i="1" s="1"/>
  <c r="H782" i="1"/>
  <c r="C782" i="1" s="1"/>
  <c r="H783" i="1"/>
  <c r="C783" i="1" s="1"/>
  <c r="H784" i="1"/>
  <c r="C784" i="1" s="1"/>
  <c r="H785" i="1"/>
  <c r="C785" i="1" s="1"/>
  <c r="H786" i="1"/>
  <c r="C786" i="1" s="1"/>
  <c r="H787" i="1"/>
  <c r="C787" i="1" s="1"/>
  <c r="F788" i="1"/>
  <c r="H788" i="1"/>
  <c r="H789" i="1"/>
  <c r="C789" i="1" s="1"/>
  <c r="H790" i="1"/>
  <c r="C790" i="1" s="1"/>
  <c r="H791" i="1"/>
  <c r="C791" i="1" s="1"/>
  <c r="H792" i="1"/>
  <c r="C792" i="1" s="1"/>
  <c r="H793" i="1"/>
  <c r="C793" i="1" s="1"/>
  <c r="H794" i="1"/>
  <c r="C794" i="1" s="1"/>
  <c r="F795" i="1"/>
  <c r="H795" i="1"/>
  <c r="H796" i="1"/>
  <c r="C796" i="1" s="1"/>
  <c r="H797" i="1"/>
  <c r="C797" i="1" s="1"/>
  <c r="F798" i="1"/>
  <c r="H798" i="1"/>
  <c r="H799" i="1"/>
  <c r="C799" i="1" s="1"/>
  <c r="H800" i="1"/>
  <c r="C800" i="1" s="1"/>
  <c r="H801" i="1"/>
  <c r="C801" i="1" s="1"/>
  <c r="H802" i="1"/>
  <c r="C802" i="1" s="1"/>
  <c r="H803" i="1"/>
  <c r="C803" i="1" s="1"/>
  <c r="H804" i="1"/>
  <c r="C804" i="1" s="1"/>
  <c r="H805" i="1"/>
  <c r="C805" i="1" s="1"/>
  <c r="H806" i="1"/>
  <c r="C806" i="1" s="1"/>
  <c r="F807" i="1"/>
  <c r="H807" i="1"/>
  <c r="H808" i="1"/>
  <c r="C808" i="1" s="1"/>
  <c r="H809" i="1"/>
  <c r="C809" i="1" s="1"/>
  <c r="F810" i="1"/>
  <c r="H810" i="1"/>
  <c r="H811" i="1"/>
  <c r="C811" i="1" s="1"/>
  <c r="H812" i="1"/>
  <c r="C812" i="1" s="1"/>
  <c r="H813" i="1"/>
  <c r="C813" i="1" s="1"/>
  <c r="H814" i="1"/>
  <c r="C814" i="1" s="1"/>
  <c r="H815" i="1"/>
  <c r="C815" i="1" s="1"/>
  <c r="H816" i="1"/>
  <c r="C816" i="1" s="1"/>
  <c r="F817" i="1"/>
  <c r="H817" i="1"/>
  <c r="H818" i="1"/>
  <c r="C818" i="1" s="1"/>
  <c r="H819" i="1"/>
  <c r="C819" i="1" s="1"/>
  <c r="H820" i="1"/>
  <c r="C820" i="1" s="1"/>
  <c r="H821" i="1"/>
  <c r="C821" i="1" s="1"/>
  <c r="H822" i="1"/>
  <c r="C822" i="1" s="1"/>
  <c r="H823" i="1"/>
  <c r="C823" i="1" s="1"/>
  <c r="H824" i="1"/>
  <c r="C824" i="1" s="1"/>
  <c r="H825" i="1"/>
  <c r="C825" i="1" s="1"/>
  <c r="F826" i="1"/>
  <c r="F827" i="1"/>
  <c r="H827" i="1"/>
  <c r="H828" i="1"/>
  <c r="C828" i="1" s="1"/>
  <c r="F829" i="1"/>
  <c r="H829" i="1"/>
  <c r="H830" i="1"/>
  <c r="C830" i="1" s="1"/>
  <c r="H831" i="1"/>
  <c r="C831" i="1" s="1"/>
  <c r="F832" i="1"/>
  <c r="H832" i="1"/>
  <c r="H833" i="1"/>
  <c r="C833" i="1" s="1"/>
  <c r="H834" i="1"/>
  <c r="C834" i="1" s="1"/>
  <c r="H835" i="1"/>
  <c r="C835" i="1" s="1"/>
  <c r="H836" i="1"/>
  <c r="C836" i="1" s="1"/>
  <c r="H837" i="1"/>
  <c r="C837" i="1" s="1"/>
  <c r="F838" i="1"/>
  <c r="H838" i="1"/>
  <c r="H839" i="1"/>
  <c r="C839" i="1" s="1"/>
  <c r="H840" i="1"/>
  <c r="C840" i="1" s="1"/>
  <c r="H841" i="1"/>
  <c r="C841" i="1" s="1"/>
  <c r="H842" i="1"/>
  <c r="C842" i="1" s="1"/>
  <c r="H843" i="1"/>
  <c r="C843" i="1" s="1"/>
  <c r="H844" i="1"/>
  <c r="C844" i="1" s="1"/>
  <c r="H845" i="1"/>
  <c r="C845" i="1" s="1"/>
  <c r="H846" i="1"/>
  <c r="C846" i="1" s="1"/>
  <c r="F847" i="1"/>
  <c r="H847" i="1"/>
  <c r="H848" i="1"/>
  <c r="C848" i="1" s="1"/>
  <c r="H849" i="1"/>
  <c r="C849" i="1" s="1"/>
  <c r="H850" i="1"/>
  <c r="C850" i="1" s="1"/>
  <c r="H851" i="1"/>
  <c r="C851" i="1" s="1"/>
  <c r="H852" i="1"/>
  <c r="C852" i="1" s="1"/>
  <c r="F853" i="1"/>
  <c r="H853" i="1"/>
  <c r="H854" i="1"/>
  <c r="C854" i="1" s="1"/>
  <c r="H855" i="1"/>
  <c r="C855" i="1" s="1"/>
  <c r="H856" i="1"/>
  <c r="C856" i="1" s="1"/>
  <c r="H857" i="1"/>
  <c r="C857" i="1" s="1"/>
  <c r="F858" i="1"/>
  <c r="H858" i="1"/>
  <c r="H859" i="1"/>
  <c r="C859" i="1" s="1"/>
  <c r="F860" i="1"/>
  <c r="H860" i="1"/>
  <c r="F861" i="1"/>
  <c r="H861" i="1"/>
  <c r="H862" i="1"/>
  <c r="C862" i="1" s="1"/>
  <c r="H863" i="1"/>
  <c r="C863" i="1" s="1"/>
  <c r="H864" i="1"/>
  <c r="C864" i="1" s="1"/>
  <c r="H865" i="1"/>
  <c r="C865" i="1" s="1"/>
  <c r="H866" i="1"/>
  <c r="C866" i="1" s="1"/>
  <c r="H867" i="1"/>
  <c r="C867" i="1" s="1"/>
  <c r="H868" i="1"/>
  <c r="C868" i="1" s="1"/>
  <c r="H869" i="1"/>
  <c r="C869" i="1" s="1"/>
  <c r="H870" i="1"/>
  <c r="C870" i="1" s="1"/>
  <c r="H871" i="1"/>
  <c r="C871" i="1" s="1"/>
  <c r="F872" i="1"/>
  <c r="H872" i="1"/>
  <c r="H873" i="1"/>
  <c r="C873" i="1" s="1"/>
  <c r="H874" i="1"/>
  <c r="C874" i="1" s="1"/>
  <c r="F875" i="1"/>
  <c r="H875" i="1"/>
  <c r="H876" i="1"/>
  <c r="C876" i="1" s="1"/>
  <c r="H877" i="1"/>
  <c r="C877" i="1" s="1"/>
  <c r="H878" i="1"/>
  <c r="C878" i="1" s="1"/>
  <c r="F879" i="1"/>
  <c r="H879" i="1"/>
  <c r="H880" i="1"/>
  <c r="C880" i="1" s="1"/>
  <c r="H881" i="1"/>
  <c r="C881" i="1" s="1"/>
  <c r="H882" i="1"/>
  <c r="C882" i="1" s="1"/>
  <c r="F883" i="1"/>
  <c r="H883" i="1"/>
  <c r="H884" i="1"/>
  <c r="C884" i="1" s="1"/>
  <c r="H885" i="1"/>
  <c r="C885" i="1" s="1"/>
  <c r="H886" i="1"/>
  <c r="C886" i="1" s="1"/>
  <c r="F887" i="1"/>
  <c r="H887" i="1"/>
  <c r="H888" i="1"/>
  <c r="C888" i="1" s="1"/>
  <c r="H889" i="1"/>
  <c r="C889" i="1" s="1"/>
  <c r="H890" i="1"/>
  <c r="C890" i="1" s="1"/>
  <c r="F891" i="1"/>
  <c r="H891" i="1"/>
  <c r="H892" i="1"/>
  <c r="C892" i="1" s="1"/>
  <c r="H893" i="1"/>
  <c r="C893" i="1" s="1"/>
  <c r="H894" i="1"/>
  <c r="C894" i="1" s="1"/>
  <c r="H895" i="1"/>
  <c r="C895" i="1" s="1"/>
  <c r="F896" i="1"/>
  <c r="H896" i="1"/>
  <c r="H897" i="1"/>
  <c r="C897" i="1" s="1"/>
  <c r="F2" i="1" l="1"/>
  <c r="D2" i="1" s="1"/>
  <c r="E2" i="1"/>
  <c r="F3" i="1"/>
  <c r="D3" i="1" s="1"/>
  <c r="E3" i="1"/>
  <c r="F4" i="1"/>
  <c r="D4" i="1" s="1"/>
  <c r="E4" i="1"/>
  <c r="F5" i="1"/>
  <c r="D5" i="1" s="1"/>
  <c r="E5" i="1"/>
  <c r="F6" i="1"/>
  <c r="D6" i="1" s="1"/>
  <c r="E6" i="1"/>
  <c r="F7" i="1"/>
  <c r="D7" i="1" s="1"/>
  <c r="E7" i="1"/>
  <c r="F8" i="1"/>
  <c r="D8" i="1" s="1"/>
  <c r="E8" i="1"/>
  <c r="F9" i="1"/>
  <c r="D9" i="1" s="1"/>
  <c r="E9" i="1"/>
  <c r="F10" i="1"/>
  <c r="D10" i="1" s="1"/>
  <c r="E10" i="1"/>
  <c r="F11" i="1"/>
  <c r="D11" i="1" s="1"/>
  <c r="E11" i="1"/>
  <c r="F12" i="1"/>
  <c r="D12" i="1" s="1"/>
  <c r="E12" i="1"/>
  <c r="F13" i="1"/>
  <c r="D13" i="1" s="1"/>
  <c r="E13" i="1"/>
  <c r="F14" i="1"/>
  <c r="D14" i="1" s="1"/>
  <c r="E14" i="1"/>
  <c r="F15" i="1"/>
  <c r="D15" i="1" s="1"/>
  <c r="E15" i="1"/>
  <c r="F16" i="1"/>
  <c r="D16" i="1" s="1"/>
  <c r="E16" i="1"/>
  <c r="F17" i="1"/>
  <c r="D17" i="1" s="1"/>
  <c r="E17" i="1"/>
  <c r="F18" i="1"/>
  <c r="D18" i="1" s="1"/>
  <c r="E18" i="1"/>
  <c r="F19" i="1"/>
  <c r="D19" i="1" s="1"/>
  <c r="E19" i="1"/>
  <c r="F20" i="1"/>
  <c r="D20" i="1" s="1"/>
  <c r="E20" i="1"/>
  <c r="F21" i="1"/>
  <c r="D21" i="1" s="1"/>
  <c r="E21" i="1"/>
  <c r="F22" i="1"/>
  <c r="D22" i="1" s="1"/>
  <c r="E22" i="1"/>
  <c r="F23" i="1"/>
  <c r="D23" i="1" s="1"/>
  <c r="E23" i="1"/>
  <c r="F24" i="1"/>
  <c r="D24" i="1" s="1"/>
  <c r="E24" i="1"/>
  <c r="F25" i="1"/>
  <c r="D25" i="1" s="1"/>
  <c r="E25" i="1"/>
  <c r="F26" i="1"/>
  <c r="D26" i="1" s="1"/>
  <c r="E26" i="1"/>
  <c r="F27" i="1"/>
  <c r="D27" i="1" s="1"/>
  <c r="E27" i="1"/>
  <c r="F28" i="1"/>
  <c r="D28" i="1" s="1"/>
  <c r="E28" i="1"/>
  <c r="F30" i="1"/>
  <c r="D30" i="1" s="1"/>
  <c r="E30" i="1"/>
  <c r="F31" i="1"/>
  <c r="D31" i="1" s="1"/>
  <c r="E31" i="1"/>
  <c r="F32" i="1"/>
  <c r="D32" i="1" s="1"/>
  <c r="E32" i="1"/>
  <c r="F33" i="1"/>
  <c r="D33" i="1" s="1"/>
  <c r="E33" i="1"/>
  <c r="F34" i="1"/>
  <c r="D34" i="1" s="1"/>
  <c r="E34" i="1"/>
  <c r="F35" i="1"/>
  <c r="D35" i="1" s="1"/>
  <c r="E35" i="1"/>
  <c r="F36" i="1"/>
  <c r="D36" i="1" s="1"/>
  <c r="E36" i="1"/>
  <c r="F37" i="1"/>
  <c r="D37" i="1" s="1"/>
  <c r="E37" i="1"/>
  <c r="F38" i="1"/>
  <c r="D38" i="1" s="1"/>
  <c r="E38" i="1"/>
  <c r="F39" i="1"/>
  <c r="D39" i="1" s="1"/>
  <c r="E39" i="1"/>
  <c r="F41" i="1"/>
  <c r="D41" i="1" s="1"/>
  <c r="E41" i="1"/>
  <c r="F42" i="1"/>
  <c r="D42" i="1" s="1"/>
  <c r="E42" i="1"/>
  <c r="F43" i="1"/>
  <c r="D43" i="1" s="1"/>
  <c r="E43" i="1"/>
  <c r="F44" i="1"/>
  <c r="D44" i="1" s="1"/>
  <c r="E44" i="1"/>
  <c r="F46" i="1"/>
  <c r="D46" i="1" s="1"/>
  <c r="E46" i="1"/>
  <c r="F47" i="1"/>
  <c r="D47" i="1" s="1"/>
  <c r="E47" i="1"/>
  <c r="F48" i="1"/>
  <c r="D48" i="1" s="1"/>
  <c r="E48" i="1"/>
  <c r="F49" i="1"/>
  <c r="D49" i="1" s="1"/>
  <c r="E49" i="1"/>
  <c r="F50" i="1"/>
  <c r="D50" i="1" s="1"/>
  <c r="E50" i="1"/>
  <c r="F51" i="1"/>
  <c r="D51" i="1" s="1"/>
  <c r="E51" i="1"/>
  <c r="F52" i="1"/>
  <c r="D52" i="1" s="1"/>
  <c r="E52" i="1"/>
  <c r="F53" i="1"/>
  <c r="D53" i="1" s="1"/>
  <c r="E53" i="1"/>
  <c r="F54" i="1"/>
  <c r="D54" i="1" s="1"/>
  <c r="E54" i="1"/>
  <c r="F55" i="1"/>
  <c r="D55" i="1" s="1"/>
  <c r="E55" i="1"/>
  <c r="F56" i="1"/>
  <c r="D56" i="1" s="1"/>
  <c r="E56" i="1"/>
  <c r="F57" i="1"/>
  <c r="D57" i="1" s="1"/>
  <c r="E57" i="1"/>
  <c r="F58" i="1"/>
  <c r="D58" i="1" s="1"/>
  <c r="E58" i="1"/>
  <c r="F59" i="1"/>
  <c r="D59" i="1" s="1"/>
  <c r="E59" i="1"/>
  <c r="F60" i="1"/>
  <c r="D60" i="1" s="1"/>
  <c r="E60" i="1"/>
  <c r="F61" i="1"/>
  <c r="D61" i="1" s="1"/>
  <c r="E61" i="1"/>
  <c r="F62" i="1"/>
  <c r="D62" i="1" s="1"/>
  <c r="E62" i="1"/>
  <c r="F63" i="1"/>
  <c r="D63" i="1" s="1"/>
  <c r="E63" i="1"/>
  <c r="F64" i="1"/>
  <c r="D64" i="1" s="1"/>
  <c r="E64" i="1"/>
  <c r="F65" i="1"/>
  <c r="D65" i="1" s="1"/>
  <c r="E65" i="1"/>
  <c r="F67" i="1"/>
  <c r="D67" i="1" s="1"/>
  <c r="E67" i="1"/>
  <c r="F68" i="1"/>
  <c r="D68" i="1" s="1"/>
  <c r="E68" i="1"/>
  <c r="F69" i="1"/>
  <c r="D69" i="1" s="1"/>
  <c r="E69" i="1"/>
  <c r="F70" i="1"/>
  <c r="D70" i="1" s="1"/>
  <c r="E70" i="1"/>
  <c r="F72" i="1"/>
  <c r="D72" i="1" s="1"/>
  <c r="E72" i="1"/>
  <c r="F73" i="1"/>
  <c r="D73" i="1" s="1"/>
  <c r="E73" i="1"/>
  <c r="F74" i="1"/>
  <c r="D74" i="1" s="1"/>
  <c r="E74" i="1"/>
  <c r="F75" i="1"/>
  <c r="D75" i="1" s="1"/>
  <c r="E75" i="1"/>
  <c r="F76" i="1"/>
  <c r="D76" i="1" s="1"/>
  <c r="E76" i="1"/>
  <c r="F78" i="1"/>
  <c r="D78" i="1" s="1"/>
  <c r="E78" i="1"/>
  <c r="F79" i="1"/>
  <c r="D79" i="1" s="1"/>
  <c r="E79" i="1"/>
  <c r="F81" i="1"/>
  <c r="D81" i="1" s="1"/>
  <c r="E81" i="1"/>
  <c r="F83" i="1"/>
  <c r="D83" i="1" s="1"/>
  <c r="E83" i="1"/>
  <c r="F84" i="1"/>
  <c r="D84" i="1" s="1"/>
  <c r="E84" i="1"/>
  <c r="F85" i="1"/>
  <c r="D85" i="1" s="1"/>
  <c r="E85" i="1"/>
  <c r="F86" i="1"/>
  <c r="D86" i="1" s="1"/>
  <c r="E86" i="1"/>
  <c r="F88" i="1"/>
  <c r="D88" i="1" s="1"/>
  <c r="E88" i="1"/>
  <c r="F89" i="1"/>
  <c r="D89" i="1" s="1"/>
  <c r="E89" i="1"/>
  <c r="F90" i="1"/>
  <c r="D90" i="1" s="1"/>
  <c r="E90" i="1"/>
  <c r="F92" i="1"/>
  <c r="D92" i="1" s="1"/>
  <c r="E92" i="1"/>
  <c r="F93" i="1"/>
  <c r="D93" i="1" s="1"/>
  <c r="E93" i="1"/>
  <c r="F94" i="1"/>
  <c r="D94" i="1" s="1"/>
  <c r="E94" i="1"/>
  <c r="F97" i="1"/>
  <c r="D97" i="1" s="1"/>
  <c r="E97" i="1"/>
  <c r="F99" i="1"/>
  <c r="D99" i="1" s="1"/>
  <c r="E99" i="1"/>
  <c r="F100" i="1"/>
  <c r="D100" i="1" s="1"/>
  <c r="E100" i="1"/>
  <c r="F101" i="1"/>
  <c r="D101" i="1" s="1"/>
  <c r="E101" i="1"/>
  <c r="F102" i="1"/>
  <c r="D102" i="1" s="1"/>
  <c r="E102" i="1"/>
  <c r="F103" i="1"/>
  <c r="D103" i="1" s="1"/>
  <c r="E103" i="1"/>
  <c r="F104" i="1"/>
  <c r="D104" i="1" s="1"/>
  <c r="E104" i="1"/>
  <c r="F106" i="1"/>
  <c r="D106" i="1" s="1"/>
  <c r="E106" i="1"/>
  <c r="F107" i="1"/>
  <c r="D107" i="1" s="1"/>
  <c r="E107" i="1"/>
  <c r="F109" i="1"/>
  <c r="D109" i="1" s="1"/>
  <c r="E109" i="1"/>
  <c r="F110" i="1"/>
  <c r="D110" i="1" s="1"/>
  <c r="E110" i="1"/>
  <c r="F112" i="1"/>
  <c r="D112" i="1" s="1"/>
  <c r="E112" i="1"/>
  <c r="F113" i="1"/>
  <c r="D113" i="1" s="1"/>
  <c r="E113" i="1"/>
  <c r="F115" i="1"/>
  <c r="D115" i="1" s="1"/>
  <c r="E115" i="1"/>
  <c r="F116" i="1"/>
  <c r="D116" i="1" s="1"/>
  <c r="E116" i="1"/>
  <c r="F118" i="1"/>
  <c r="D118" i="1" s="1"/>
  <c r="E118" i="1"/>
  <c r="F119" i="1"/>
  <c r="D119" i="1" s="1"/>
  <c r="E119" i="1"/>
  <c r="F120" i="1"/>
  <c r="D120" i="1" s="1"/>
  <c r="E120" i="1"/>
  <c r="F121" i="1"/>
  <c r="D121" i="1" s="1"/>
  <c r="E121" i="1"/>
  <c r="F122" i="1"/>
  <c r="D122" i="1" s="1"/>
  <c r="E122" i="1"/>
  <c r="F123" i="1"/>
  <c r="D123" i="1" s="1"/>
  <c r="E123" i="1"/>
  <c r="F125" i="1"/>
  <c r="D125" i="1" s="1"/>
  <c r="E125" i="1"/>
  <c r="F127" i="1"/>
  <c r="D127" i="1" s="1"/>
  <c r="E127" i="1"/>
  <c r="F128" i="1"/>
  <c r="D128" i="1" s="1"/>
  <c r="E128" i="1"/>
  <c r="F130" i="1"/>
  <c r="D130" i="1" s="1"/>
  <c r="E130" i="1"/>
  <c r="F131" i="1"/>
  <c r="D131" i="1" s="1"/>
  <c r="E131" i="1"/>
  <c r="F133" i="1"/>
  <c r="D133" i="1" s="1"/>
  <c r="E133" i="1"/>
  <c r="F134" i="1"/>
  <c r="D134" i="1" s="1"/>
  <c r="E134" i="1"/>
  <c r="F136" i="1"/>
  <c r="D136" i="1" s="1"/>
  <c r="E136" i="1"/>
  <c r="F137" i="1"/>
  <c r="D137" i="1" s="1"/>
  <c r="E137" i="1"/>
  <c r="F138" i="1"/>
  <c r="D138" i="1" s="1"/>
  <c r="E138" i="1"/>
  <c r="F139" i="1"/>
  <c r="D139" i="1" s="1"/>
  <c r="E139" i="1"/>
  <c r="F140" i="1"/>
  <c r="D140" i="1" s="1"/>
  <c r="E140" i="1"/>
  <c r="F141" i="1"/>
  <c r="D141" i="1" s="1"/>
  <c r="E141" i="1"/>
  <c r="F142" i="1"/>
  <c r="D142" i="1" s="1"/>
  <c r="E142" i="1"/>
  <c r="F143" i="1"/>
  <c r="D143" i="1" s="1"/>
  <c r="E143" i="1"/>
  <c r="F144" i="1"/>
  <c r="D144" i="1" s="1"/>
  <c r="E144" i="1"/>
  <c r="F145" i="1"/>
  <c r="D145" i="1" s="1"/>
  <c r="E145" i="1"/>
  <c r="F146" i="1"/>
  <c r="D146" i="1" s="1"/>
  <c r="E146" i="1"/>
  <c r="F147" i="1"/>
  <c r="D147" i="1" s="1"/>
  <c r="E147" i="1"/>
  <c r="F148" i="1"/>
  <c r="D148" i="1" s="1"/>
  <c r="E148" i="1"/>
  <c r="F149" i="1"/>
  <c r="D149" i="1" s="1"/>
  <c r="E149" i="1"/>
  <c r="F150" i="1"/>
  <c r="D150" i="1" s="1"/>
  <c r="E150" i="1"/>
  <c r="F151" i="1"/>
  <c r="D151" i="1" s="1"/>
  <c r="E151" i="1"/>
  <c r="F152" i="1"/>
  <c r="D152" i="1" s="1"/>
  <c r="E152" i="1"/>
  <c r="F153" i="1"/>
  <c r="D153" i="1" s="1"/>
  <c r="E153" i="1"/>
  <c r="F155" i="1"/>
  <c r="D155" i="1" s="1"/>
  <c r="E155" i="1"/>
  <c r="F156" i="1"/>
  <c r="D156" i="1" s="1"/>
  <c r="E156" i="1"/>
  <c r="F157" i="1"/>
  <c r="D157" i="1" s="1"/>
  <c r="E157" i="1"/>
  <c r="F158" i="1"/>
  <c r="D158" i="1" s="1"/>
  <c r="E158" i="1"/>
  <c r="F159" i="1"/>
  <c r="D159" i="1" s="1"/>
  <c r="E159" i="1"/>
  <c r="F160" i="1"/>
  <c r="D160" i="1" s="1"/>
  <c r="E160" i="1"/>
  <c r="F161" i="1"/>
  <c r="D161" i="1" s="1"/>
  <c r="E161" i="1"/>
  <c r="F162" i="1"/>
  <c r="D162" i="1" s="1"/>
  <c r="E162" i="1"/>
  <c r="F163" i="1"/>
  <c r="D163" i="1" s="1"/>
  <c r="E163" i="1"/>
  <c r="F164" i="1"/>
  <c r="D164" i="1" s="1"/>
  <c r="E164" i="1"/>
  <c r="F165" i="1"/>
  <c r="D165" i="1" s="1"/>
  <c r="E165" i="1"/>
  <c r="F166" i="1"/>
  <c r="D166" i="1" s="1"/>
  <c r="E166" i="1"/>
  <c r="F167" i="1"/>
  <c r="D167" i="1" s="1"/>
  <c r="E167" i="1"/>
  <c r="F168" i="1"/>
  <c r="D168" i="1" s="1"/>
  <c r="E168" i="1"/>
  <c r="F171" i="1"/>
  <c r="D171" i="1" s="1"/>
  <c r="E171" i="1"/>
  <c r="F172" i="1"/>
  <c r="D172" i="1" s="1"/>
  <c r="E172" i="1"/>
  <c r="F173" i="1"/>
  <c r="D173" i="1" s="1"/>
  <c r="E173" i="1"/>
  <c r="F174" i="1"/>
  <c r="D174" i="1" s="1"/>
  <c r="E174" i="1"/>
  <c r="F175" i="1"/>
  <c r="D175" i="1" s="1"/>
  <c r="E175" i="1"/>
  <c r="F176" i="1"/>
  <c r="D176" i="1" s="1"/>
  <c r="E176" i="1"/>
  <c r="F178" i="1"/>
  <c r="D178" i="1" s="1"/>
  <c r="E178" i="1"/>
  <c r="F179" i="1"/>
  <c r="D179" i="1" s="1"/>
  <c r="E179" i="1"/>
  <c r="F180" i="1"/>
  <c r="D180" i="1" s="1"/>
  <c r="E180" i="1"/>
  <c r="F181" i="1"/>
  <c r="D181" i="1" s="1"/>
  <c r="E181" i="1"/>
  <c r="F182" i="1"/>
  <c r="D182" i="1" s="1"/>
  <c r="E182" i="1"/>
  <c r="F184" i="1"/>
  <c r="D184" i="1" s="1"/>
  <c r="E184" i="1"/>
  <c r="F185" i="1"/>
  <c r="D185" i="1" s="1"/>
  <c r="E185" i="1"/>
  <c r="F186" i="1"/>
  <c r="D186" i="1" s="1"/>
  <c r="E186" i="1"/>
  <c r="F187" i="1"/>
  <c r="D187" i="1" s="1"/>
  <c r="E187" i="1"/>
  <c r="F188" i="1"/>
  <c r="D188" i="1" s="1"/>
  <c r="E188" i="1"/>
  <c r="F189" i="1"/>
  <c r="D189" i="1" s="1"/>
  <c r="E189" i="1"/>
  <c r="F191" i="1"/>
  <c r="D191" i="1" s="1"/>
  <c r="E191" i="1"/>
  <c r="F192" i="1"/>
  <c r="D192" i="1" s="1"/>
  <c r="E192" i="1"/>
  <c r="F193" i="1"/>
  <c r="D193" i="1" s="1"/>
  <c r="E193" i="1"/>
  <c r="F195" i="1"/>
  <c r="D195" i="1" s="1"/>
  <c r="E195" i="1"/>
  <c r="F196" i="1"/>
  <c r="D196" i="1" s="1"/>
  <c r="E196" i="1"/>
  <c r="F197" i="1"/>
  <c r="D197" i="1" s="1"/>
  <c r="E197" i="1"/>
  <c r="F198" i="1"/>
  <c r="D198" i="1" s="1"/>
  <c r="E198" i="1"/>
  <c r="F199" i="1"/>
  <c r="D199" i="1" s="1"/>
  <c r="E199" i="1"/>
  <c r="F201" i="1"/>
  <c r="D201" i="1" s="1"/>
  <c r="E201" i="1"/>
  <c r="F202" i="1"/>
  <c r="D202" i="1" s="1"/>
  <c r="E202" i="1"/>
  <c r="F203" i="1"/>
  <c r="D203" i="1" s="1"/>
  <c r="E203" i="1"/>
  <c r="F204" i="1"/>
  <c r="D204" i="1" s="1"/>
  <c r="E204" i="1"/>
  <c r="F205" i="1"/>
  <c r="D205" i="1" s="1"/>
  <c r="E205" i="1"/>
  <c r="F206" i="1"/>
  <c r="D206" i="1" s="1"/>
  <c r="E206" i="1"/>
  <c r="F207" i="1"/>
  <c r="D207" i="1" s="1"/>
  <c r="E207" i="1"/>
  <c r="F208" i="1"/>
  <c r="D208" i="1" s="1"/>
  <c r="E208" i="1"/>
  <c r="F209" i="1"/>
  <c r="D209" i="1" s="1"/>
  <c r="E209" i="1"/>
  <c r="F210" i="1"/>
  <c r="D210" i="1" s="1"/>
  <c r="E210" i="1"/>
  <c r="F211" i="1"/>
  <c r="D211" i="1" s="1"/>
  <c r="E211" i="1"/>
  <c r="F212" i="1"/>
  <c r="D212" i="1" s="1"/>
  <c r="E212" i="1"/>
  <c r="F213" i="1"/>
  <c r="D213" i="1" s="1"/>
  <c r="E213" i="1"/>
  <c r="F214" i="1"/>
  <c r="D214" i="1" s="1"/>
  <c r="E214" i="1"/>
  <c r="F215" i="1"/>
  <c r="D215" i="1" s="1"/>
  <c r="E215" i="1"/>
  <c r="F216" i="1"/>
  <c r="D216" i="1" s="1"/>
  <c r="E216" i="1"/>
  <c r="F217" i="1"/>
  <c r="D217" i="1" s="1"/>
  <c r="E217" i="1"/>
  <c r="F218" i="1"/>
  <c r="D218" i="1" s="1"/>
  <c r="E218" i="1"/>
  <c r="F219" i="1"/>
  <c r="D219" i="1" s="1"/>
  <c r="E219" i="1"/>
  <c r="E220" i="1"/>
  <c r="F220" i="1"/>
  <c r="D220" i="1" s="1"/>
  <c r="F221" i="1"/>
  <c r="D221" i="1" s="1"/>
  <c r="E221" i="1"/>
  <c r="F222" i="1"/>
  <c r="D222" i="1" s="1"/>
  <c r="E222" i="1"/>
  <c r="F223" i="1"/>
  <c r="D223" i="1" s="1"/>
  <c r="E223" i="1"/>
  <c r="F224" i="1"/>
  <c r="D224" i="1" s="1"/>
  <c r="E224" i="1"/>
  <c r="F225" i="1"/>
  <c r="D225" i="1" s="1"/>
  <c r="E225" i="1"/>
  <c r="F226" i="1"/>
  <c r="D226" i="1" s="1"/>
  <c r="E226" i="1"/>
  <c r="F227" i="1"/>
  <c r="D227" i="1" s="1"/>
  <c r="E227" i="1"/>
  <c r="F228" i="1"/>
  <c r="D228" i="1" s="1"/>
  <c r="E228" i="1"/>
  <c r="F229" i="1"/>
  <c r="D229" i="1" s="1"/>
  <c r="E229" i="1"/>
  <c r="F230" i="1"/>
  <c r="D230" i="1" s="1"/>
  <c r="E230" i="1"/>
  <c r="F231" i="1"/>
  <c r="D231" i="1" s="1"/>
  <c r="E231" i="1"/>
  <c r="F232" i="1"/>
  <c r="D232" i="1" s="1"/>
  <c r="E232" i="1"/>
  <c r="F233" i="1"/>
  <c r="D233" i="1" s="1"/>
  <c r="E233" i="1"/>
  <c r="F234" i="1"/>
  <c r="D234" i="1" s="1"/>
  <c r="E234" i="1"/>
  <c r="F235" i="1"/>
  <c r="D235" i="1" s="1"/>
  <c r="E235" i="1"/>
  <c r="F236" i="1"/>
  <c r="D236" i="1" s="1"/>
  <c r="E236" i="1"/>
  <c r="F237" i="1"/>
  <c r="D237" i="1" s="1"/>
  <c r="E237" i="1"/>
  <c r="F238" i="1"/>
  <c r="D238" i="1" s="1"/>
  <c r="E238" i="1"/>
  <c r="F240" i="1"/>
  <c r="D240" i="1" s="1"/>
  <c r="E240" i="1"/>
  <c r="F241" i="1"/>
  <c r="D241" i="1" s="1"/>
  <c r="E241" i="1"/>
  <c r="F242" i="1"/>
  <c r="D242" i="1" s="1"/>
  <c r="E242" i="1"/>
  <c r="F243" i="1"/>
  <c r="D243" i="1" s="1"/>
  <c r="E243" i="1"/>
  <c r="F244" i="1"/>
  <c r="D244" i="1" s="1"/>
  <c r="E244" i="1"/>
  <c r="F246" i="1"/>
  <c r="D246" i="1" s="1"/>
  <c r="E246" i="1"/>
  <c r="F247" i="1"/>
  <c r="D247" i="1" s="1"/>
  <c r="E247" i="1"/>
  <c r="F248" i="1"/>
  <c r="D248" i="1" s="1"/>
  <c r="E248" i="1"/>
  <c r="F250" i="1"/>
  <c r="D250" i="1" s="1"/>
  <c r="E250" i="1"/>
  <c r="F251" i="1"/>
  <c r="D251" i="1" s="1"/>
  <c r="E251" i="1"/>
  <c r="F253" i="1"/>
  <c r="D253" i="1" s="1"/>
  <c r="E253" i="1"/>
  <c r="F255" i="1"/>
  <c r="D255" i="1" s="1"/>
  <c r="E255" i="1"/>
  <c r="F256" i="1"/>
  <c r="D256" i="1" s="1"/>
  <c r="E256" i="1"/>
  <c r="F257" i="1"/>
  <c r="D257" i="1" s="1"/>
  <c r="E257" i="1"/>
  <c r="F258" i="1"/>
  <c r="D258" i="1" s="1"/>
  <c r="E258" i="1"/>
  <c r="F259" i="1"/>
  <c r="D259" i="1" s="1"/>
  <c r="E259" i="1"/>
  <c r="F260" i="1"/>
  <c r="D260" i="1" s="1"/>
  <c r="E260" i="1"/>
  <c r="F263" i="1"/>
  <c r="D263" i="1" s="1"/>
  <c r="E263" i="1"/>
  <c r="F264" i="1"/>
  <c r="D264" i="1" s="1"/>
  <c r="E264" i="1"/>
  <c r="F266" i="1"/>
  <c r="D266" i="1" s="1"/>
  <c r="E266" i="1"/>
  <c r="F267" i="1"/>
  <c r="D267" i="1" s="1"/>
  <c r="E267" i="1"/>
  <c r="F268" i="1"/>
  <c r="D268" i="1" s="1"/>
  <c r="E268" i="1"/>
  <c r="F269" i="1"/>
  <c r="D269" i="1" s="1"/>
  <c r="E269" i="1"/>
  <c r="F270" i="1"/>
  <c r="D270" i="1" s="1"/>
  <c r="E270" i="1"/>
  <c r="F271" i="1"/>
  <c r="D271" i="1" s="1"/>
  <c r="E271" i="1"/>
  <c r="F272" i="1"/>
  <c r="D272" i="1" s="1"/>
  <c r="E272" i="1"/>
  <c r="F274" i="1"/>
  <c r="D274" i="1" s="1"/>
  <c r="E274" i="1"/>
  <c r="F275" i="1"/>
  <c r="D275" i="1" s="1"/>
  <c r="E275" i="1"/>
  <c r="F276" i="1"/>
  <c r="D276" i="1" s="1"/>
  <c r="E276" i="1"/>
  <c r="F277" i="1"/>
  <c r="D277" i="1" s="1"/>
  <c r="E277" i="1"/>
  <c r="F278" i="1"/>
  <c r="D278" i="1" s="1"/>
  <c r="E278" i="1"/>
  <c r="F279" i="1"/>
  <c r="D279" i="1" s="1"/>
  <c r="E279" i="1"/>
  <c r="F280" i="1"/>
  <c r="D280" i="1" s="1"/>
  <c r="E280" i="1"/>
  <c r="F281" i="1"/>
  <c r="D281" i="1" s="1"/>
  <c r="E281" i="1"/>
  <c r="F282" i="1"/>
  <c r="D282" i="1" s="1"/>
  <c r="E282" i="1"/>
  <c r="F283" i="1"/>
  <c r="D283" i="1" s="1"/>
  <c r="E283" i="1"/>
  <c r="F285" i="1"/>
  <c r="D285" i="1" s="1"/>
  <c r="E285" i="1"/>
  <c r="F286" i="1"/>
  <c r="D286" i="1" s="1"/>
  <c r="E286" i="1"/>
  <c r="F287" i="1"/>
  <c r="D287" i="1" s="1"/>
  <c r="E287" i="1"/>
  <c r="F288" i="1"/>
  <c r="D288" i="1" s="1"/>
  <c r="E288" i="1"/>
  <c r="F289" i="1"/>
  <c r="D289" i="1" s="1"/>
  <c r="E289" i="1"/>
  <c r="F291" i="1"/>
  <c r="D291" i="1" s="1"/>
  <c r="E291" i="1"/>
  <c r="F292" i="1"/>
  <c r="D292" i="1" s="1"/>
  <c r="E292" i="1"/>
  <c r="F293" i="1"/>
  <c r="D293" i="1" s="1"/>
  <c r="E293" i="1"/>
  <c r="F294" i="1"/>
  <c r="D294" i="1" s="1"/>
  <c r="E294" i="1"/>
  <c r="F295" i="1"/>
  <c r="D295" i="1" s="1"/>
  <c r="E295" i="1"/>
  <c r="F296" i="1"/>
  <c r="D296" i="1" s="1"/>
  <c r="E296" i="1"/>
  <c r="F298" i="1"/>
  <c r="D298" i="1" s="1"/>
  <c r="E298" i="1"/>
  <c r="F299" i="1"/>
  <c r="D299" i="1" s="1"/>
  <c r="E299" i="1"/>
  <c r="F300" i="1"/>
  <c r="D300" i="1" s="1"/>
  <c r="E300" i="1"/>
  <c r="F301" i="1"/>
  <c r="D301" i="1" s="1"/>
  <c r="E301" i="1"/>
  <c r="F302" i="1"/>
  <c r="D302" i="1" s="1"/>
  <c r="E302" i="1"/>
  <c r="F303" i="1"/>
  <c r="D303" i="1" s="1"/>
  <c r="E303" i="1"/>
  <c r="F304" i="1"/>
  <c r="D304" i="1" s="1"/>
  <c r="E304" i="1"/>
  <c r="F306" i="1"/>
  <c r="D306" i="1" s="1"/>
  <c r="E306" i="1"/>
  <c r="F309" i="1"/>
  <c r="D309" i="1" s="1"/>
  <c r="E309" i="1"/>
  <c r="F310" i="1"/>
  <c r="D310" i="1" s="1"/>
  <c r="E310" i="1"/>
  <c r="F311" i="1"/>
  <c r="D311" i="1" s="1"/>
  <c r="E311" i="1"/>
  <c r="F312" i="1"/>
  <c r="D312" i="1" s="1"/>
  <c r="E312" i="1"/>
  <c r="F313" i="1"/>
  <c r="D313" i="1" s="1"/>
  <c r="E313" i="1"/>
  <c r="F314" i="1"/>
  <c r="D314" i="1" s="1"/>
  <c r="E314" i="1"/>
  <c r="F316" i="1"/>
  <c r="D316" i="1" s="1"/>
  <c r="E316" i="1"/>
  <c r="F317" i="1"/>
  <c r="D317" i="1" s="1"/>
  <c r="E317" i="1"/>
  <c r="F318" i="1"/>
  <c r="D318" i="1" s="1"/>
  <c r="E318" i="1"/>
  <c r="F319" i="1"/>
  <c r="D319" i="1" s="1"/>
  <c r="E319" i="1"/>
  <c r="F320" i="1"/>
  <c r="D320" i="1" s="1"/>
  <c r="E320" i="1"/>
  <c r="F321" i="1"/>
  <c r="D321" i="1" s="1"/>
  <c r="E321" i="1"/>
  <c r="F323" i="1"/>
  <c r="D323" i="1" s="1"/>
  <c r="E323" i="1"/>
  <c r="F324" i="1"/>
  <c r="D324" i="1" s="1"/>
  <c r="E324" i="1"/>
  <c r="F325" i="1"/>
  <c r="D325" i="1" s="1"/>
  <c r="E325" i="1"/>
  <c r="F326" i="1"/>
  <c r="D326" i="1" s="1"/>
  <c r="E326" i="1"/>
  <c r="F327" i="1"/>
  <c r="D327" i="1" s="1"/>
  <c r="E327" i="1"/>
  <c r="F328" i="1"/>
  <c r="D328" i="1" s="1"/>
  <c r="E328" i="1"/>
  <c r="F330" i="1"/>
  <c r="D330" i="1" s="1"/>
  <c r="E330" i="1"/>
  <c r="F331" i="1"/>
  <c r="D331" i="1" s="1"/>
  <c r="E331" i="1"/>
  <c r="F332" i="1"/>
  <c r="D332" i="1" s="1"/>
  <c r="E332" i="1"/>
  <c r="F333" i="1"/>
  <c r="D333" i="1" s="1"/>
  <c r="E333" i="1"/>
  <c r="F334" i="1"/>
  <c r="D334" i="1" s="1"/>
  <c r="E334" i="1"/>
  <c r="F335" i="1"/>
  <c r="D335" i="1" s="1"/>
  <c r="E335" i="1"/>
  <c r="F338" i="1"/>
  <c r="D338" i="1" s="1"/>
  <c r="E338" i="1"/>
  <c r="F339" i="1"/>
  <c r="D339" i="1" s="1"/>
  <c r="E339" i="1"/>
  <c r="F340" i="1"/>
  <c r="D340" i="1" s="1"/>
  <c r="E340" i="1"/>
  <c r="F341" i="1"/>
  <c r="D341" i="1" s="1"/>
  <c r="E341" i="1"/>
  <c r="F342" i="1"/>
  <c r="D342" i="1" s="1"/>
  <c r="E342" i="1"/>
  <c r="F343" i="1"/>
  <c r="D343" i="1" s="1"/>
  <c r="E343" i="1"/>
  <c r="F345" i="1"/>
  <c r="D345" i="1" s="1"/>
  <c r="E345" i="1"/>
  <c r="F346" i="1"/>
  <c r="D346" i="1" s="1"/>
  <c r="E346" i="1"/>
  <c r="F347" i="1"/>
  <c r="D347" i="1" s="1"/>
  <c r="E347" i="1"/>
  <c r="F348" i="1"/>
  <c r="D348" i="1" s="1"/>
  <c r="E348" i="1"/>
  <c r="F349" i="1"/>
  <c r="D349" i="1" s="1"/>
  <c r="E349" i="1"/>
  <c r="F350" i="1"/>
  <c r="D350" i="1" s="1"/>
  <c r="E350" i="1"/>
  <c r="F352" i="1"/>
  <c r="D352" i="1" s="1"/>
  <c r="E352" i="1"/>
  <c r="F353" i="1"/>
  <c r="D353" i="1" s="1"/>
  <c r="E353" i="1"/>
  <c r="F355" i="1"/>
  <c r="D355" i="1" s="1"/>
  <c r="E355" i="1"/>
  <c r="F356" i="1"/>
  <c r="D356" i="1" s="1"/>
  <c r="E356" i="1"/>
  <c r="F357" i="1"/>
  <c r="D357" i="1" s="1"/>
  <c r="E357" i="1"/>
  <c r="F358" i="1"/>
  <c r="D358" i="1" s="1"/>
  <c r="E358" i="1"/>
  <c r="F360" i="1"/>
  <c r="D360" i="1" s="1"/>
  <c r="E360" i="1"/>
  <c r="F361" i="1"/>
  <c r="D361" i="1" s="1"/>
  <c r="E361" i="1"/>
  <c r="F362" i="1"/>
  <c r="D362" i="1" s="1"/>
  <c r="E362" i="1"/>
  <c r="F363" i="1"/>
  <c r="D363" i="1" s="1"/>
  <c r="E363" i="1"/>
  <c r="F364" i="1"/>
  <c r="D364" i="1" s="1"/>
  <c r="E364" i="1"/>
  <c r="F365" i="1"/>
  <c r="D365" i="1" s="1"/>
  <c r="E365" i="1"/>
  <c r="F367" i="1"/>
  <c r="D367" i="1" s="1"/>
  <c r="E367" i="1"/>
  <c r="F368" i="1"/>
  <c r="D368" i="1" s="1"/>
  <c r="E368" i="1"/>
  <c r="F372" i="1"/>
  <c r="D372" i="1" s="1"/>
  <c r="E372" i="1"/>
  <c r="F373" i="1"/>
  <c r="D373" i="1" s="1"/>
  <c r="E373" i="1"/>
  <c r="F375" i="1"/>
  <c r="D375" i="1" s="1"/>
  <c r="E375" i="1"/>
  <c r="F376" i="1"/>
  <c r="D376" i="1" s="1"/>
  <c r="E376" i="1"/>
  <c r="F377" i="1"/>
  <c r="D377" i="1" s="1"/>
  <c r="E377" i="1"/>
  <c r="F378" i="1"/>
  <c r="D378" i="1" s="1"/>
  <c r="E378" i="1"/>
  <c r="F379" i="1"/>
  <c r="D379" i="1" s="1"/>
  <c r="E379" i="1"/>
  <c r="F380" i="1"/>
  <c r="D380" i="1" s="1"/>
  <c r="E380" i="1"/>
  <c r="F381" i="1"/>
  <c r="D381" i="1" s="1"/>
  <c r="E381" i="1"/>
  <c r="F382" i="1"/>
  <c r="D382" i="1" s="1"/>
  <c r="E382" i="1"/>
  <c r="F383" i="1"/>
  <c r="D383" i="1" s="1"/>
  <c r="E383" i="1"/>
  <c r="F385" i="1"/>
  <c r="D385" i="1" s="1"/>
  <c r="E385" i="1"/>
  <c r="F386" i="1"/>
  <c r="D386" i="1" s="1"/>
  <c r="E386" i="1"/>
  <c r="F387" i="1"/>
  <c r="D387" i="1" s="1"/>
  <c r="E387" i="1"/>
  <c r="F389" i="1"/>
  <c r="D389" i="1" s="1"/>
  <c r="E389" i="1"/>
  <c r="F390" i="1"/>
  <c r="D390" i="1" s="1"/>
  <c r="E390" i="1"/>
  <c r="F391" i="1"/>
  <c r="D391" i="1" s="1"/>
  <c r="E391" i="1"/>
  <c r="F393" i="1"/>
  <c r="D393" i="1" s="1"/>
  <c r="E393" i="1"/>
  <c r="F394" i="1"/>
  <c r="D394" i="1" s="1"/>
  <c r="E394" i="1"/>
  <c r="F395" i="1"/>
  <c r="D395" i="1" s="1"/>
  <c r="E395" i="1"/>
  <c r="F398" i="1"/>
  <c r="D398" i="1" s="1"/>
  <c r="E398" i="1"/>
  <c r="F399" i="1"/>
  <c r="D399" i="1" s="1"/>
  <c r="E399" i="1"/>
  <c r="F400" i="1"/>
  <c r="D400" i="1" s="1"/>
  <c r="E400" i="1"/>
  <c r="F401" i="1"/>
  <c r="D401" i="1" s="1"/>
  <c r="E401" i="1"/>
  <c r="F402" i="1"/>
  <c r="D402" i="1" s="1"/>
  <c r="E402" i="1"/>
  <c r="F403" i="1"/>
  <c r="D403" i="1" s="1"/>
  <c r="E403" i="1"/>
  <c r="F405" i="1"/>
  <c r="D405" i="1" s="1"/>
  <c r="E405" i="1"/>
  <c r="F406" i="1"/>
  <c r="D406" i="1" s="1"/>
  <c r="E406" i="1"/>
  <c r="F407" i="1"/>
  <c r="D407" i="1" s="1"/>
  <c r="E407" i="1"/>
  <c r="F408" i="1"/>
  <c r="D408" i="1" s="1"/>
  <c r="E408" i="1"/>
  <c r="F409" i="1"/>
  <c r="D409" i="1" s="1"/>
  <c r="E409" i="1"/>
  <c r="F410" i="1"/>
  <c r="D410" i="1" s="1"/>
  <c r="E410" i="1"/>
  <c r="F412" i="1"/>
  <c r="D412" i="1" s="1"/>
  <c r="E412" i="1"/>
  <c r="F413" i="1"/>
  <c r="D413" i="1" s="1"/>
  <c r="E413" i="1"/>
  <c r="F414" i="1"/>
  <c r="D414" i="1" s="1"/>
  <c r="E414" i="1"/>
  <c r="F415" i="1"/>
  <c r="D415" i="1" s="1"/>
  <c r="E415" i="1"/>
  <c r="F416" i="1"/>
  <c r="D416" i="1" s="1"/>
  <c r="E416" i="1"/>
  <c r="F417" i="1"/>
  <c r="D417" i="1" s="1"/>
  <c r="E417" i="1"/>
  <c r="F418" i="1"/>
  <c r="D418" i="1" s="1"/>
  <c r="E418" i="1"/>
  <c r="F419" i="1"/>
  <c r="D419" i="1" s="1"/>
  <c r="E419" i="1"/>
  <c r="F420" i="1"/>
  <c r="D420" i="1" s="1"/>
  <c r="E420" i="1"/>
  <c r="F422" i="1"/>
  <c r="D422" i="1" s="1"/>
  <c r="E422" i="1"/>
  <c r="F423" i="1"/>
  <c r="D423" i="1" s="1"/>
  <c r="E423" i="1"/>
  <c r="F424" i="1"/>
  <c r="D424" i="1" s="1"/>
  <c r="E424" i="1"/>
  <c r="F425" i="1"/>
  <c r="D425" i="1" s="1"/>
  <c r="E425" i="1"/>
  <c r="F426" i="1"/>
  <c r="D426" i="1" s="1"/>
  <c r="E426" i="1"/>
  <c r="F427" i="1"/>
  <c r="D427" i="1" s="1"/>
  <c r="E427" i="1"/>
  <c r="F429" i="1"/>
  <c r="D429" i="1" s="1"/>
  <c r="E429" i="1"/>
  <c r="E430" i="1"/>
  <c r="F430" i="1"/>
  <c r="D430" i="1" s="1"/>
  <c r="E431" i="1"/>
  <c r="F431" i="1"/>
  <c r="D431" i="1" s="1"/>
  <c r="F432" i="1"/>
  <c r="D432" i="1" s="1"/>
  <c r="E432" i="1"/>
  <c r="F433" i="1"/>
  <c r="D433" i="1" s="1"/>
  <c r="E433" i="1"/>
  <c r="F434" i="1"/>
  <c r="D434" i="1" s="1"/>
  <c r="E434" i="1"/>
  <c r="F435" i="1"/>
  <c r="D435" i="1" s="1"/>
  <c r="E435" i="1"/>
  <c r="E436" i="1"/>
  <c r="F436" i="1"/>
  <c r="D436" i="1" s="1"/>
  <c r="F437" i="1"/>
  <c r="D437" i="1" s="1"/>
  <c r="E437" i="1"/>
  <c r="F439" i="1"/>
  <c r="D439" i="1" s="1"/>
  <c r="E439" i="1"/>
  <c r="F440" i="1"/>
  <c r="D440" i="1" s="1"/>
  <c r="E440" i="1"/>
  <c r="F443" i="1"/>
  <c r="D443" i="1" s="1"/>
  <c r="E443" i="1"/>
  <c r="F446" i="1"/>
  <c r="D446" i="1" s="1"/>
  <c r="E446" i="1"/>
  <c r="F447" i="1"/>
  <c r="D447" i="1" s="1"/>
  <c r="E447" i="1"/>
  <c r="F448" i="1"/>
  <c r="D448" i="1" s="1"/>
  <c r="E448" i="1"/>
  <c r="F449" i="1"/>
  <c r="D449" i="1" s="1"/>
  <c r="E449" i="1"/>
  <c r="F451" i="1"/>
  <c r="D451" i="1" s="1"/>
  <c r="E451" i="1"/>
  <c r="F452" i="1"/>
  <c r="D452" i="1" s="1"/>
  <c r="E452" i="1"/>
  <c r="F453" i="1"/>
  <c r="D453" i="1" s="1"/>
  <c r="E453" i="1"/>
  <c r="F454" i="1"/>
  <c r="D454" i="1" s="1"/>
  <c r="E454" i="1"/>
  <c r="F455" i="1"/>
  <c r="D455" i="1" s="1"/>
  <c r="E455" i="1"/>
  <c r="F456" i="1"/>
  <c r="D456" i="1" s="1"/>
  <c r="E456" i="1"/>
  <c r="F457" i="1"/>
  <c r="D457" i="1" s="1"/>
  <c r="E457" i="1"/>
  <c r="F459" i="1"/>
  <c r="D459" i="1" s="1"/>
  <c r="E459" i="1"/>
  <c r="F461" i="1"/>
  <c r="D461" i="1" s="1"/>
  <c r="E461" i="1"/>
  <c r="F463" i="1"/>
  <c r="D463" i="1" s="1"/>
  <c r="E463" i="1"/>
  <c r="F464" i="1"/>
  <c r="D464" i="1" s="1"/>
  <c r="E464" i="1"/>
  <c r="F466" i="1"/>
  <c r="D466" i="1" s="1"/>
  <c r="E466" i="1"/>
  <c r="F467" i="1"/>
  <c r="D467" i="1" s="1"/>
  <c r="E467" i="1"/>
  <c r="F468" i="1"/>
  <c r="D468" i="1" s="1"/>
  <c r="E468" i="1"/>
  <c r="F469" i="1"/>
  <c r="D469" i="1" s="1"/>
  <c r="E469" i="1"/>
  <c r="F470" i="1"/>
  <c r="D470" i="1" s="1"/>
  <c r="E470" i="1"/>
  <c r="F472" i="1"/>
  <c r="D472" i="1" s="1"/>
  <c r="E472" i="1"/>
  <c r="F473" i="1"/>
  <c r="D473" i="1" s="1"/>
  <c r="E473" i="1"/>
  <c r="F476" i="1"/>
  <c r="D476" i="1" s="1"/>
  <c r="E476" i="1"/>
  <c r="F477" i="1"/>
  <c r="D477" i="1" s="1"/>
  <c r="E477" i="1"/>
  <c r="F478" i="1"/>
  <c r="D478" i="1" s="1"/>
  <c r="E478" i="1"/>
  <c r="F479" i="1"/>
  <c r="D479" i="1" s="1"/>
  <c r="E479" i="1"/>
  <c r="F481" i="1"/>
  <c r="D481" i="1" s="1"/>
  <c r="E481" i="1"/>
  <c r="F482" i="1"/>
  <c r="D482" i="1" s="1"/>
  <c r="E482" i="1"/>
  <c r="F483" i="1"/>
  <c r="D483" i="1" s="1"/>
  <c r="E483" i="1"/>
  <c r="F484" i="1"/>
  <c r="D484" i="1" s="1"/>
  <c r="E484" i="1"/>
  <c r="F485" i="1"/>
  <c r="D485" i="1" s="1"/>
  <c r="E485" i="1"/>
  <c r="F486" i="1"/>
  <c r="D486" i="1" s="1"/>
  <c r="E486" i="1"/>
  <c r="F487" i="1"/>
  <c r="D487" i="1" s="1"/>
  <c r="E487" i="1"/>
  <c r="F488" i="1"/>
  <c r="D488" i="1" s="1"/>
  <c r="E488" i="1"/>
  <c r="F490" i="1"/>
  <c r="D490" i="1" s="1"/>
  <c r="E490" i="1"/>
  <c r="F491" i="1"/>
  <c r="D491" i="1" s="1"/>
  <c r="E491" i="1"/>
  <c r="F495" i="1"/>
  <c r="D495" i="1" s="1"/>
  <c r="E495" i="1"/>
  <c r="F496" i="1"/>
  <c r="D496" i="1" s="1"/>
  <c r="E496" i="1"/>
  <c r="F497" i="1"/>
  <c r="D497" i="1" s="1"/>
  <c r="E497" i="1"/>
  <c r="F498" i="1"/>
  <c r="D498" i="1" s="1"/>
  <c r="E498" i="1"/>
  <c r="F500" i="1"/>
  <c r="D500" i="1" s="1"/>
  <c r="E500" i="1"/>
  <c r="F503" i="1"/>
  <c r="D503" i="1" s="1"/>
  <c r="E503" i="1"/>
  <c r="F504" i="1"/>
  <c r="D504" i="1" s="1"/>
  <c r="E504" i="1"/>
  <c r="F505" i="1"/>
  <c r="D505" i="1" s="1"/>
  <c r="E505" i="1"/>
  <c r="F506" i="1"/>
  <c r="D506" i="1" s="1"/>
  <c r="E506" i="1"/>
  <c r="F507" i="1"/>
  <c r="D507" i="1" s="1"/>
  <c r="E507" i="1"/>
  <c r="F508" i="1"/>
  <c r="D508" i="1" s="1"/>
  <c r="E508" i="1"/>
  <c r="F509" i="1"/>
  <c r="D509" i="1" s="1"/>
  <c r="E509" i="1"/>
  <c r="F510" i="1"/>
  <c r="D510" i="1" s="1"/>
  <c r="E510" i="1"/>
  <c r="F511" i="1"/>
  <c r="D511" i="1" s="1"/>
  <c r="E511" i="1"/>
  <c r="F512" i="1"/>
  <c r="D512" i="1" s="1"/>
  <c r="E512" i="1"/>
  <c r="F513" i="1"/>
  <c r="D513" i="1" s="1"/>
  <c r="E513" i="1"/>
  <c r="F514" i="1"/>
  <c r="D514" i="1" s="1"/>
  <c r="E514" i="1"/>
  <c r="F516" i="1"/>
  <c r="D516" i="1" s="1"/>
  <c r="E516" i="1"/>
  <c r="F517" i="1"/>
  <c r="D517" i="1" s="1"/>
  <c r="E517" i="1"/>
  <c r="F519" i="1"/>
  <c r="D519" i="1" s="1"/>
  <c r="E519" i="1"/>
  <c r="F520" i="1"/>
  <c r="D520" i="1" s="1"/>
  <c r="E520" i="1"/>
  <c r="F522" i="1"/>
  <c r="D522" i="1" s="1"/>
  <c r="E522" i="1"/>
  <c r="F523" i="1"/>
  <c r="D523" i="1" s="1"/>
  <c r="E523" i="1"/>
  <c r="F524" i="1"/>
  <c r="D524" i="1" s="1"/>
  <c r="E524" i="1"/>
  <c r="F525" i="1"/>
  <c r="D525" i="1" s="1"/>
  <c r="E525" i="1"/>
  <c r="F526" i="1"/>
  <c r="D526" i="1" s="1"/>
  <c r="E526" i="1"/>
  <c r="F529" i="1"/>
  <c r="D529" i="1" s="1"/>
  <c r="E529" i="1"/>
  <c r="F530" i="1"/>
  <c r="D530" i="1" s="1"/>
  <c r="E530" i="1"/>
  <c r="F531" i="1"/>
  <c r="D531" i="1" s="1"/>
  <c r="E531" i="1"/>
  <c r="F532" i="1"/>
  <c r="D532" i="1" s="1"/>
  <c r="E532" i="1"/>
  <c r="F533" i="1"/>
  <c r="D533" i="1" s="1"/>
  <c r="E533" i="1"/>
  <c r="F535" i="1"/>
  <c r="D535" i="1" s="1"/>
  <c r="E535" i="1"/>
  <c r="F536" i="1"/>
  <c r="D536" i="1" s="1"/>
  <c r="E536" i="1"/>
  <c r="F537" i="1"/>
  <c r="D537" i="1" s="1"/>
  <c r="E537" i="1"/>
  <c r="F538" i="1"/>
  <c r="D538" i="1" s="1"/>
  <c r="E538" i="1"/>
  <c r="F539" i="1"/>
  <c r="D539" i="1" s="1"/>
  <c r="E539" i="1"/>
  <c r="F542" i="1"/>
  <c r="D542" i="1" s="1"/>
  <c r="E542" i="1"/>
  <c r="F543" i="1"/>
  <c r="D543" i="1" s="1"/>
  <c r="E543" i="1"/>
  <c r="F544" i="1"/>
  <c r="D544" i="1" s="1"/>
  <c r="E544" i="1"/>
  <c r="F546" i="1"/>
  <c r="D546" i="1" s="1"/>
  <c r="E546" i="1"/>
  <c r="F547" i="1"/>
  <c r="D547" i="1" s="1"/>
  <c r="E547" i="1"/>
  <c r="F548" i="1"/>
  <c r="D548" i="1" s="1"/>
  <c r="E548" i="1"/>
  <c r="F550" i="1"/>
  <c r="D550" i="1" s="1"/>
  <c r="E550" i="1"/>
  <c r="F551" i="1"/>
  <c r="D551" i="1" s="1"/>
  <c r="E551" i="1"/>
  <c r="F553" i="1"/>
  <c r="D553" i="1" s="1"/>
  <c r="E553" i="1"/>
  <c r="F554" i="1"/>
  <c r="D554" i="1" s="1"/>
  <c r="E554" i="1"/>
  <c r="F555" i="1"/>
  <c r="D555" i="1" s="1"/>
  <c r="E555" i="1"/>
  <c r="F556" i="1"/>
  <c r="D556" i="1" s="1"/>
  <c r="E556" i="1"/>
  <c r="F557" i="1"/>
  <c r="D557" i="1" s="1"/>
  <c r="E557" i="1"/>
  <c r="F558" i="1"/>
  <c r="D558" i="1" s="1"/>
  <c r="E558" i="1"/>
  <c r="F559" i="1"/>
  <c r="D559" i="1" s="1"/>
  <c r="E559" i="1"/>
  <c r="F560" i="1"/>
  <c r="D560" i="1" s="1"/>
  <c r="E560" i="1"/>
  <c r="F561" i="1"/>
  <c r="D561" i="1" s="1"/>
  <c r="E561" i="1"/>
  <c r="F562" i="1"/>
  <c r="D562" i="1" s="1"/>
  <c r="E562" i="1"/>
  <c r="F563" i="1"/>
  <c r="D563" i="1" s="1"/>
  <c r="E563" i="1"/>
  <c r="F564" i="1"/>
  <c r="D564" i="1" s="1"/>
  <c r="E564" i="1"/>
  <c r="F565" i="1"/>
  <c r="D565" i="1" s="1"/>
  <c r="E565" i="1"/>
  <c r="F566" i="1"/>
  <c r="D566" i="1" s="1"/>
  <c r="E566" i="1"/>
  <c r="F567" i="1"/>
  <c r="D567" i="1" s="1"/>
  <c r="E567" i="1"/>
  <c r="F568" i="1"/>
  <c r="D568" i="1" s="1"/>
  <c r="E568" i="1"/>
  <c r="F569" i="1"/>
  <c r="D569" i="1" s="1"/>
  <c r="E569" i="1"/>
  <c r="F570" i="1"/>
  <c r="D570" i="1" s="1"/>
  <c r="E570" i="1"/>
  <c r="F571" i="1"/>
  <c r="D571" i="1" s="1"/>
  <c r="E571" i="1"/>
  <c r="F572" i="1"/>
  <c r="D572" i="1" s="1"/>
  <c r="E572" i="1"/>
  <c r="F573" i="1"/>
  <c r="D573" i="1" s="1"/>
  <c r="E573" i="1"/>
  <c r="F575" i="1"/>
  <c r="D575" i="1" s="1"/>
  <c r="E575" i="1"/>
  <c r="F576" i="1"/>
  <c r="D576" i="1" s="1"/>
  <c r="E576" i="1"/>
  <c r="F577" i="1"/>
  <c r="D577" i="1" s="1"/>
  <c r="E577" i="1"/>
  <c r="F579" i="1"/>
  <c r="D579" i="1" s="1"/>
  <c r="E579" i="1"/>
  <c r="F580" i="1"/>
  <c r="D580" i="1" s="1"/>
  <c r="E580" i="1"/>
  <c r="F581" i="1"/>
  <c r="D581" i="1" s="1"/>
  <c r="E581" i="1"/>
  <c r="F582" i="1"/>
  <c r="D582" i="1" s="1"/>
  <c r="E582" i="1"/>
  <c r="F583" i="1"/>
  <c r="D583" i="1" s="1"/>
  <c r="E583" i="1"/>
  <c r="F585" i="1"/>
  <c r="D585" i="1" s="1"/>
  <c r="E585" i="1"/>
  <c r="F586" i="1"/>
  <c r="D586" i="1" s="1"/>
  <c r="E586" i="1"/>
  <c r="F587" i="1"/>
  <c r="D587" i="1" s="1"/>
  <c r="E587" i="1"/>
  <c r="F588" i="1"/>
  <c r="D588" i="1" s="1"/>
  <c r="E588" i="1"/>
  <c r="F589" i="1"/>
  <c r="D589" i="1" s="1"/>
  <c r="E589" i="1"/>
  <c r="F590" i="1"/>
  <c r="D590" i="1" s="1"/>
  <c r="E590" i="1"/>
  <c r="F591" i="1"/>
  <c r="D591" i="1" s="1"/>
  <c r="E591" i="1"/>
  <c r="F592" i="1"/>
  <c r="D592" i="1" s="1"/>
  <c r="E592" i="1"/>
  <c r="F594" i="1"/>
  <c r="D594" i="1" s="1"/>
  <c r="E594" i="1"/>
  <c r="F595" i="1"/>
  <c r="D595" i="1" s="1"/>
  <c r="E595" i="1"/>
  <c r="F596" i="1"/>
  <c r="D596" i="1" s="1"/>
  <c r="E596" i="1"/>
  <c r="F598" i="1"/>
  <c r="D598" i="1" s="1"/>
  <c r="E598" i="1"/>
  <c r="F599" i="1"/>
  <c r="D599" i="1" s="1"/>
  <c r="E599" i="1"/>
  <c r="F600" i="1"/>
  <c r="D600" i="1" s="1"/>
  <c r="E600" i="1"/>
  <c r="F601" i="1"/>
  <c r="D601" i="1" s="1"/>
  <c r="E601" i="1"/>
  <c r="F602" i="1"/>
  <c r="D602" i="1" s="1"/>
  <c r="E602" i="1"/>
  <c r="F604" i="1"/>
  <c r="D604" i="1" s="1"/>
  <c r="E604" i="1"/>
  <c r="F605" i="1"/>
  <c r="D605" i="1" s="1"/>
  <c r="E605" i="1"/>
  <c r="F606" i="1"/>
  <c r="D606" i="1" s="1"/>
  <c r="E606" i="1"/>
  <c r="F607" i="1"/>
  <c r="D607" i="1" s="1"/>
  <c r="E607" i="1"/>
  <c r="F608" i="1"/>
  <c r="D608" i="1" s="1"/>
  <c r="E608" i="1"/>
  <c r="F609" i="1"/>
  <c r="D609" i="1" s="1"/>
  <c r="E609" i="1"/>
  <c r="F610" i="1"/>
  <c r="D610" i="1" s="1"/>
  <c r="E610" i="1"/>
  <c r="F611" i="1"/>
  <c r="D611" i="1" s="1"/>
  <c r="E611" i="1"/>
  <c r="F612" i="1"/>
  <c r="D612" i="1" s="1"/>
  <c r="E612" i="1"/>
  <c r="F613" i="1"/>
  <c r="D613" i="1" s="1"/>
  <c r="E613" i="1"/>
  <c r="F614" i="1"/>
  <c r="D614" i="1" s="1"/>
  <c r="E614" i="1"/>
  <c r="F615" i="1"/>
  <c r="D615" i="1" s="1"/>
  <c r="E615" i="1"/>
  <c r="F616" i="1"/>
  <c r="D616" i="1" s="1"/>
  <c r="E616" i="1"/>
  <c r="F617" i="1"/>
  <c r="D617" i="1" s="1"/>
  <c r="E617" i="1"/>
  <c r="F618" i="1"/>
  <c r="D618" i="1" s="1"/>
  <c r="E618" i="1"/>
  <c r="F619" i="1"/>
  <c r="D619" i="1" s="1"/>
  <c r="E619" i="1"/>
  <c r="F620" i="1"/>
  <c r="D620" i="1" s="1"/>
  <c r="E620" i="1"/>
  <c r="F621" i="1"/>
  <c r="D621" i="1" s="1"/>
  <c r="E621" i="1"/>
  <c r="F622" i="1"/>
  <c r="D622" i="1" s="1"/>
  <c r="E622" i="1"/>
  <c r="F623" i="1"/>
  <c r="D623" i="1" s="1"/>
  <c r="E623" i="1"/>
  <c r="F625" i="1"/>
  <c r="D625" i="1" s="1"/>
  <c r="E625" i="1"/>
  <c r="F626" i="1"/>
  <c r="D626" i="1" s="1"/>
  <c r="E626" i="1"/>
  <c r="F627" i="1"/>
  <c r="D627" i="1" s="1"/>
  <c r="E627" i="1"/>
  <c r="F628" i="1"/>
  <c r="D628" i="1" s="1"/>
  <c r="E628" i="1"/>
  <c r="F629" i="1"/>
  <c r="D629" i="1" s="1"/>
  <c r="E629" i="1"/>
  <c r="F630" i="1"/>
  <c r="D630" i="1" s="1"/>
  <c r="E630" i="1"/>
  <c r="F631" i="1"/>
  <c r="D631" i="1" s="1"/>
  <c r="E631" i="1"/>
  <c r="F632" i="1"/>
  <c r="D632" i="1" s="1"/>
  <c r="E632" i="1"/>
  <c r="F633" i="1"/>
  <c r="D633" i="1" s="1"/>
  <c r="E633" i="1"/>
  <c r="F634" i="1"/>
  <c r="D634" i="1" s="1"/>
  <c r="E634" i="1"/>
  <c r="F637" i="1"/>
  <c r="D637" i="1" s="1"/>
  <c r="E637" i="1"/>
  <c r="F638" i="1"/>
  <c r="D638" i="1" s="1"/>
  <c r="E638" i="1"/>
  <c r="F639" i="1"/>
  <c r="D639" i="1" s="1"/>
  <c r="E639" i="1"/>
  <c r="F640" i="1"/>
  <c r="D640" i="1" s="1"/>
  <c r="E640" i="1"/>
  <c r="F641" i="1"/>
  <c r="D641" i="1" s="1"/>
  <c r="E641" i="1"/>
  <c r="F642" i="1"/>
  <c r="D642" i="1" s="1"/>
  <c r="E642" i="1"/>
  <c r="F644" i="1"/>
  <c r="D644" i="1" s="1"/>
  <c r="E644" i="1"/>
  <c r="F645" i="1"/>
  <c r="D645" i="1" s="1"/>
  <c r="E645" i="1"/>
  <c r="F646" i="1"/>
  <c r="D646" i="1" s="1"/>
  <c r="E646" i="1"/>
  <c r="F647" i="1"/>
  <c r="D647" i="1" s="1"/>
  <c r="E647" i="1"/>
  <c r="F649" i="1"/>
  <c r="D649" i="1" s="1"/>
  <c r="E649" i="1"/>
  <c r="F650" i="1"/>
  <c r="D650" i="1" s="1"/>
  <c r="E650" i="1"/>
  <c r="F651" i="1"/>
  <c r="D651" i="1" s="1"/>
  <c r="E651" i="1"/>
  <c r="F653" i="1"/>
  <c r="D653" i="1" s="1"/>
  <c r="E653" i="1"/>
  <c r="F654" i="1"/>
  <c r="D654" i="1" s="1"/>
  <c r="E654" i="1"/>
  <c r="F655" i="1"/>
  <c r="D655" i="1" s="1"/>
  <c r="E655" i="1"/>
  <c r="F658" i="1"/>
  <c r="D658" i="1" s="1"/>
  <c r="E658" i="1"/>
  <c r="F659" i="1"/>
  <c r="D659" i="1" s="1"/>
  <c r="E659" i="1"/>
  <c r="F660" i="1"/>
  <c r="D660" i="1" s="1"/>
  <c r="E660" i="1"/>
  <c r="F661" i="1"/>
  <c r="D661" i="1" s="1"/>
  <c r="E661" i="1"/>
  <c r="F662" i="1"/>
  <c r="D662" i="1" s="1"/>
  <c r="E662" i="1"/>
  <c r="F663" i="1"/>
  <c r="D663" i="1" s="1"/>
  <c r="E663" i="1"/>
  <c r="F664" i="1"/>
  <c r="D664" i="1" s="1"/>
  <c r="E664" i="1"/>
  <c r="F665" i="1"/>
  <c r="D665" i="1" s="1"/>
  <c r="E665" i="1"/>
  <c r="F667" i="1"/>
  <c r="D667" i="1" s="1"/>
  <c r="E667" i="1"/>
  <c r="F668" i="1"/>
  <c r="D668" i="1" s="1"/>
  <c r="E668" i="1"/>
  <c r="F669" i="1"/>
  <c r="D669" i="1" s="1"/>
  <c r="E669" i="1"/>
  <c r="E670" i="1"/>
  <c r="F670" i="1"/>
  <c r="D670" i="1" s="1"/>
  <c r="F671" i="1"/>
  <c r="D671" i="1" s="1"/>
  <c r="E671" i="1"/>
  <c r="F672" i="1"/>
  <c r="D672" i="1" s="1"/>
  <c r="E672" i="1"/>
  <c r="F673" i="1"/>
  <c r="D673" i="1" s="1"/>
  <c r="E673" i="1"/>
  <c r="F674" i="1"/>
  <c r="D674" i="1" s="1"/>
  <c r="E674" i="1"/>
  <c r="F675" i="1"/>
  <c r="D675" i="1" s="1"/>
  <c r="E675" i="1"/>
  <c r="F676" i="1"/>
  <c r="D676" i="1" s="1"/>
  <c r="E676" i="1"/>
  <c r="F677" i="1"/>
  <c r="D677" i="1" s="1"/>
  <c r="E677" i="1"/>
  <c r="F678" i="1"/>
  <c r="D678" i="1" s="1"/>
  <c r="E678" i="1"/>
  <c r="F681" i="1"/>
  <c r="D681" i="1" s="1"/>
  <c r="E681" i="1"/>
  <c r="F682" i="1"/>
  <c r="D682" i="1" s="1"/>
  <c r="E682" i="1"/>
  <c r="F684" i="1"/>
  <c r="D684" i="1" s="1"/>
  <c r="E684" i="1"/>
  <c r="F685" i="1"/>
  <c r="D685" i="1" s="1"/>
  <c r="E685" i="1"/>
  <c r="F686" i="1"/>
  <c r="D686" i="1" s="1"/>
  <c r="E686" i="1"/>
  <c r="F687" i="1"/>
  <c r="D687" i="1" s="1"/>
  <c r="E687" i="1"/>
  <c r="F688" i="1"/>
  <c r="D688" i="1" s="1"/>
  <c r="E688" i="1"/>
  <c r="F689" i="1"/>
  <c r="D689" i="1" s="1"/>
  <c r="E689" i="1"/>
  <c r="F691" i="1"/>
  <c r="D691" i="1" s="1"/>
  <c r="E691" i="1"/>
  <c r="F692" i="1"/>
  <c r="D692" i="1" s="1"/>
  <c r="E692" i="1"/>
  <c r="F693" i="1"/>
  <c r="D693" i="1" s="1"/>
  <c r="E693" i="1"/>
  <c r="F694" i="1"/>
  <c r="D694" i="1" s="1"/>
  <c r="E694" i="1"/>
  <c r="F695" i="1"/>
  <c r="D695" i="1" s="1"/>
  <c r="E695" i="1"/>
  <c r="F696" i="1"/>
  <c r="D696" i="1" s="1"/>
  <c r="E696" i="1"/>
  <c r="F698" i="1"/>
  <c r="D698" i="1" s="1"/>
  <c r="E698" i="1"/>
  <c r="F699" i="1"/>
  <c r="D699" i="1" s="1"/>
  <c r="E699" i="1"/>
  <c r="F700" i="1"/>
  <c r="D700" i="1" s="1"/>
  <c r="E700" i="1"/>
  <c r="F701" i="1"/>
  <c r="D701" i="1" s="1"/>
  <c r="E701" i="1"/>
  <c r="F702" i="1"/>
  <c r="D702" i="1" s="1"/>
  <c r="E702" i="1"/>
  <c r="F703" i="1"/>
  <c r="D703" i="1" s="1"/>
  <c r="E703" i="1"/>
  <c r="F704" i="1"/>
  <c r="D704" i="1" s="1"/>
  <c r="E704" i="1"/>
  <c r="F705" i="1"/>
  <c r="D705" i="1" s="1"/>
  <c r="E705" i="1"/>
  <c r="F706" i="1"/>
  <c r="D706" i="1" s="1"/>
  <c r="E706" i="1"/>
  <c r="F707" i="1"/>
  <c r="D707" i="1" s="1"/>
  <c r="E707" i="1"/>
  <c r="F709" i="1"/>
  <c r="D709" i="1" s="1"/>
  <c r="E709" i="1"/>
  <c r="F710" i="1"/>
  <c r="D710" i="1" s="1"/>
  <c r="E710" i="1"/>
  <c r="F712" i="1"/>
  <c r="D712" i="1" s="1"/>
  <c r="E712" i="1"/>
  <c r="F713" i="1"/>
  <c r="D713" i="1" s="1"/>
  <c r="E713" i="1"/>
  <c r="F714" i="1"/>
  <c r="D714" i="1" s="1"/>
  <c r="E714" i="1"/>
  <c r="F715" i="1"/>
  <c r="D715" i="1" s="1"/>
  <c r="E715" i="1"/>
  <c r="F717" i="1"/>
  <c r="D717" i="1" s="1"/>
  <c r="E717" i="1"/>
  <c r="F718" i="1"/>
  <c r="D718" i="1" s="1"/>
  <c r="E718" i="1"/>
  <c r="F719" i="1"/>
  <c r="D719" i="1" s="1"/>
  <c r="E719" i="1"/>
  <c r="F720" i="1"/>
  <c r="D720" i="1" s="1"/>
  <c r="E720" i="1"/>
  <c r="F721" i="1"/>
  <c r="D721" i="1" s="1"/>
  <c r="E721" i="1"/>
  <c r="F725" i="1"/>
  <c r="D725" i="1" s="1"/>
  <c r="E725" i="1"/>
  <c r="F726" i="1"/>
  <c r="D726" i="1" s="1"/>
  <c r="E726" i="1"/>
  <c r="F728" i="1"/>
  <c r="D728" i="1" s="1"/>
  <c r="E728" i="1"/>
  <c r="F729" i="1"/>
  <c r="D729" i="1" s="1"/>
  <c r="E729" i="1"/>
  <c r="F730" i="1"/>
  <c r="D730" i="1" s="1"/>
  <c r="E730" i="1"/>
  <c r="F732" i="1"/>
  <c r="D732" i="1" s="1"/>
  <c r="E732" i="1"/>
  <c r="F733" i="1"/>
  <c r="D733" i="1" s="1"/>
  <c r="E733" i="1"/>
  <c r="F735" i="1"/>
  <c r="D735" i="1" s="1"/>
  <c r="E735" i="1"/>
  <c r="F736" i="1"/>
  <c r="D736" i="1" s="1"/>
  <c r="E736" i="1"/>
  <c r="F737" i="1"/>
  <c r="D737" i="1" s="1"/>
  <c r="E737" i="1"/>
  <c r="F738" i="1"/>
  <c r="D738" i="1" s="1"/>
  <c r="E738" i="1"/>
  <c r="F739" i="1"/>
  <c r="D739" i="1" s="1"/>
  <c r="E739" i="1"/>
  <c r="F740" i="1"/>
  <c r="D740" i="1" s="1"/>
  <c r="E740" i="1"/>
  <c r="F741" i="1"/>
  <c r="D741" i="1" s="1"/>
  <c r="E741" i="1"/>
  <c r="F742" i="1"/>
  <c r="D742" i="1" s="1"/>
  <c r="E742" i="1"/>
  <c r="F744" i="1"/>
  <c r="D744" i="1" s="1"/>
  <c r="E744" i="1"/>
  <c r="F745" i="1"/>
  <c r="D745" i="1" s="1"/>
  <c r="E745" i="1"/>
  <c r="F746" i="1"/>
  <c r="D746" i="1" s="1"/>
  <c r="E746" i="1"/>
  <c r="F747" i="1"/>
  <c r="D747" i="1" s="1"/>
  <c r="E747" i="1"/>
  <c r="F748" i="1"/>
  <c r="D748" i="1" s="1"/>
  <c r="E748" i="1"/>
  <c r="F749" i="1"/>
  <c r="D749" i="1" s="1"/>
  <c r="E749" i="1"/>
  <c r="F751" i="1"/>
  <c r="D751" i="1" s="1"/>
  <c r="E751" i="1"/>
  <c r="F752" i="1"/>
  <c r="D752" i="1" s="1"/>
  <c r="E752" i="1"/>
  <c r="F753" i="1"/>
  <c r="D753" i="1" s="1"/>
  <c r="E753" i="1"/>
  <c r="F754" i="1"/>
  <c r="D754" i="1" s="1"/>
  <c r="E754" i="1"/>
  <c r="F755" i="1"/>
  <c r="D755" i="1" s="1"/>
  <c r="E755" i="1"/>
  <c r="F758" i="1"/>
  <c r="D758" i="1" s="1"/>
  <c r="E758" i="1"/>
  <c r="F759" i="1"/>
  <c r="D759" i="1" s="1"/>
  <c r="E759" i="1"/>
  <c r="F760" i="1"/>
  <c r="D760" i="1" s="1"/>
  <c r="E760" i="1"/>
  <c r="F762" i="1"/>
  <c r="D762" i="1" s="1"/>
  <c r="E762" i="1"/>
  <c r="F763" i="1"/>
  <c r="D763" i="1" s="1"/>
  <c r="E763" i="1"/>
  <c r="F764" i="1"/>
  <c r="D764" i="1" s="1"/>
  <c r="E764" i="1"/>
  <c r="F766" i="1"/>
  <c r="D766" i="1" s="1"/>
  <c r="E766" i="1"/>
  <c r="F768" i="1"/>
  <c r="D768" i="1" s="1"/>
  <c r="E768" i="1"/>
  <c r="F770" i="1"/>
  <c r="D770" i="1" s="1"/>
  <c r="E770" i="1"/>
  <c r="F771" i="1"/>
  <c r="D771" i="1" s="1"/>
  <c r="E771" i="1"/>
  <c r="F772" i="1"/>
  <c r="D772" i="1" s="1"/>
  <c r="E772" i="1"/>
  <c r="F773" i="1"/>
  <c r="D773" i="1" s="1"/>
  <c r="E773" i="1"/>
  <c r="F774" i="1"/>
  <c r="D774" i="1" s="1"/>
  <c r="E774" i="1"/>
  <c r="E775" i="1"/>
  <c r="F775" i="1"/>
  <c r="D775" i="1" s="1"/>
  <c r="F777" i="1"/>
  <c r="D777" i="1" s="1"/>
  <c r="E777" i="1"/>
  <c r="F778" i="1"/>
  <c r="D778" i="1" s="1"/>
  <c r="E778" i="1"/>
  <c r="F779" i="1"/>
  <c r="D779" i="1" s="1"/>
  <c r="E779" i="1"/>
  <c r="E781" i="1"/>
  <c r="F781" i="1"/>
  <c r="D781" i="1" s="1"/>
  <c r="E782" i="1"/>
  <c r="F782" i="1"/>
  <c r="D782" i="1" s="1"/>
  <c r="F783" i="1"/>
  <c r="D783" i="1" s="1"/>
  <c r="E783" i="1"/>
  <c r="F784" i="1"/>
  <c r="D784" i="1" s="1"/>
  <c r="E784" i="1"/>
  <c r="E785" i="1"/>
  <c r="F785" i="1"/>
  <c r="D785" i="1" s="1"/>
  <c r="F786" i="1"/>
  <c r="D786" i="1" s="1"/>
  <c r="E786" i="1"/>
  <c r="F787" i="1"/>
  <c r="D787" i="1" s="1"/>
  <c r="E787" i="1"/>
  <c r="F789" i="1"/>
  <c r="D789" i="1" s="1"/>
  <c r="E789" i="1"/>
  <c r="F790" i="1"/>
  <c r="D790" i="1" s="1"/>
  <c r="E790" i="1"/>
  <c r="F791" i="1"/>
  <c r="D791" i="1" s="1"/>
  <c r="E791" i="1"/>
  <c r="F792" i="1"/>
  <c r="D792" i="1" s="1"/>
  <c r="E792" i="1"/>
  <c r="F793" i="1"/>
  <c r="D793" i="1" s="1"/>
  <c r="E793" i="1"/>
  <c r="F794" i="1"/>
  <c r="D794" i="1" s="1"/>
  <c r="E794" i="1"/>
  <c r="E796" i="1"/>
  <c r="F796" i="1"/>
  <c r="D796" i="1" s="1"/>
  <c r="F797" i="1"/>
  <c r="D797" i="1" s="1"/>
  <c r="E797" i="1"/>
  <c r="E799" i="1"/>
  <c r="F799" i="1"/>
  <c r="D799" i="1" s="1"/>
  <c r="E800" i="1"/>
  <c r="F800" i="1"/>
  <c r="D800" i="1" s="1"/>
  <c r="F801" i="1"/>
  <c r="D801" i="1" s="1"/>
  <c r="E801" i="1"/>
  <c r="E802" i="1"/>
  <c r="F802" i="1"/>
  <c r="D802" i="1" s="1"/>
  <c r="E803" i="1"/>
  <c r="F803" i="1"/>
  <c r="D803" i="1" s="1"/>
  <c r="F804" i="1"/>
  <c r="D804" i="1" s="1"/>
  <c r="E804" i="1"/>
  <c r="E805" i="1"/>
  <c r="F805" i="1"/>
  <c r="D805" i="1" s="1"/>
  <c r="F806" i="1"/>
  <c r="D806" i="1" s="1"/>
  <c r="E806" i="1"/>
  <c r="F808" i="1"/>
  <c r="D808" i="1" s="1"/>
  <c r="E808" i="1"/>
  <c r="E809" i="1"/>
  <c r="F809" i="1"/>
  <c r="D809" i="1" s="1"/>
  <c r="E811" i="1"/>
  <c r="F811" i="1"/>
  <c r="D811" i="1" s="1"/>
  <c r="E812" i="1"/>
  <c r="F812" i="1"/>
  <c r="D812" i="1" s="1"/>
  <c r="E813" i="1"/>
  <c r="F813" i="1"/>
  <c r="D813" i="1" s="1"/>
  <c r="F814" i="1"/>
  <c r="D814" i="1" s="1"/>
  <c r="E814" i="1"/>
  <c r="E815" i="1"/>
  <c r="F815" i="1"/>
  <c r="D815" i="1" s="1"/>
  <c r="E816" i="1"/>
  <c r="F816" i="1"/>
  <c r="D816" i="1" s="1"/>
  <c r="F818" i="1"/>
  <c r="D818" i="1" s="1"/>
  <c r="E818" i="1"/>
  <c r="F819" i="1"/>
  <c r="D819" i="1" s="1"/>
  <c r="E819" i="1"/>
  <c r="E820" i="1"/>
  <c r="F820" i="1"/>
  <c r="D820" i="1" s="1"/>
  <c r="F821" i="1"/>
  <c r="D821" i="1" s="1"/>
  <c r="E821" i="1"/>
  <c r="E822" i="1"/>
  <c r="F822" i="1"/>
  <c r="D822" i="1" s="1"/>
  <c r="E823" i="1"/>
  <c r="F823" i="1"/>
  <c r="D823" i="1" s="1"/>
  <c r="E824" i="1"/>
  <c r="F824" i="1"/>
  <c r="D824" i="1" s="1"/>
  <c r="E825" i="1"/>
  <c r="F825" i="1"/>
  <c r="D825" i="1" s="1"/>
  <c r="E828" i="1"/>
  <c r="F828" i="1"/>
  <c r="D828" i="1" s="1"/>
  <c r="E830" i="1"/>
  <c r="F830" i="1"/>
  <c r="D830" i="1" s="1"/>
  <c r="F831" i="1"/>
  <c r="D831" i="1" s="1"/>
  <c r="E831" i="1"/>
  <c r="F833" i="1"/>
  <c r="D833" i="1" s="1"/>
  <c r="E833" i="1"/>
  <c r="F834" i="1"/>
  <c r="D834" i="1" s="1"/>
  <c r="E834" i="1"/>
  <c r="E835" i="1"/>
  <c r="F835" i="1"/>
  <c r="D835" i="1" s="1"/>
  <c r="E836" i="1"/>
  <c r="F836" i="1"/>
  <c r="D836" i="1" s="1"/>
  <c r="E837" i="1"/>
  <c r="F837" i="1"/>
  <c r="D837" i="1" s="1"/>
  <c r="E839" i="1"/>
  <c r="F839" i="1"/>
  <c r="D839" i="1" s="1"/>
  <c r="E840" i="1"/>
  <c r="F840" i="1"/>
  <c r="D840" i="1" s="1"/>
  <c r="F841" i="1"/>
  <c r="D841" i="1" s="1"/>
  <c r="E841" i="1"/>
  <c r="F842" i="1"/>
  <c r="D842" i="1" s="1"/>
  <c r="E842" i="1"/>
  <c r="E843" i="1"/>
  <c r="F843" i="1"/>
  <c r="D843" i="1" s="1"/>
  <c r="F844" i="1"/>
  <c r="D844" i="1" s="1"/>
  <c r="E844" i="1"/>
  <c r="F845" i="1"/>
  <c r="D845" i="1" s="1"/>
  <c r="E845" i="1"/>
  <c r="F846" i="1"/>
  <c r="D846" i="1" s="1"/>
  <c r="E846" i="1"/>
  <c r="F848" i="1"/>
  <c r="D848" i="1" s="1"/>
  <c r="E848" i="1"/>
  <c r="F849" i="1"/>
  <c r="D849" i="1" s="1"/>
  <c r="E849" i="1"/>
  <c r="E850" i="1"/>
  <c r="F850" i="1"/>
  <c r="D850" i="1" s="1"/>
  <c r="E851" i="1"/>
  <c r="F851" i="1"/>
  <c r="D851" i="1" s="1"/>
  <c r="F852" i="1"/>
  <c r="D852" i="1" s="1"/>
  <c r="E852" i="1"/>
  <c r="E854" i="1"/>
  <c r="F854" i="1"/>
  <c r="D854" i="1" s="1"/>
  <c r="E855" i="1"/>
  <c r="F855" i="1"/>
  <c r="D855" i="1" s="1"/>
  <c r="F856" i="1"/>
  <c r="D856" i="1" s="1"/>
  <c r="E856" i="1"/>
  <c r="F857" i="1"/>
  <c r="D857" i="1" s="1"/>
  <c r="E857" i="1"/>
  <c r="F859" i="1"/>
  <c r="D859" i="1" s="1"/>
  <c r="E859" i="1"/>
  <c r="F862" i="1"/>
  <c r="D862" i="1" s="1"/>
  <c r="E862" i="1"/>
  <c r="E863" i="1"/>
  <c r="F863" i="1"/>
  <c r="D863" i="1" s="1"/>
  <c r="F864" i="1"/>
  <c r="D864" i="1" s="1"/>
  <c r="E864" i="1"/>
  <c r="E865" i="1"/>
  <c r="F865" i="1"/>
  <c r="D865" i="1" s="1"/>
  <c r="F866" i="1"/>
  <c r="D866" i="1" s="1"/>
  <c r="E866" i="1"/>
  <c r="F867" i="1"/>
  <c r="D867" i="1" s="1"/>
  <c r="E867" i="1"/>
  <c r="E868" i="1"/>
  <c r="F868" i="1"/>
  <c r="D868" i="1" s="1"/>
  <c r="E869" i="1"/>
  <c r="F869" i="1"/>
  <c r="D869" i="1" s="1"/>
  <c r="E870" i="1"/>
  <c r="F870" i="1"/>
  <c r="D870" i="1" s="1"/>
  <c r="E871" i="1"/>
  <c r="F871" i="1"/>
  <c r="D871" i="1" s="1"/>
  <c r="E873" i="1"/>
  <c r="F873" i="1"/>
  <c r="D873" i="1" s="1"/>
  <c r="E874" i="1"/>
  <c r="F874" i="1"/>
  <c r="D874" i="1" s="1"/>
  <c r="E876" i="1"/>
  <c r="F876" i="1"/>
  <c r="D876" i="1" s="1"/>
  <c r="E877" i="1"/>
  <c r="F877" i="1"/>
  <c r="D877" i="1" s="1"/>
  <c r="E878" i="1"/>
  <c r="F878" i="1"/>
  <c r="D878" i="1" s="1"/>
  <c r="F880" i="1"/>
  <c r="D880" i="1" s="1"/>
  <c r="E880" i="1"/>
  <c r="E881" i="1"/>
  <c r="F881" i="1"/>
  <c r="D881" i="1" s="1"/>
  <c r="F882" i="1"/>
  <c r="D882" i="1" s="1"/>
  <c r="E882" i="1"/>
  <c r="F884" i="1"/>
  <c r="D884" i="1" s="1"/>
  <c r="E884" i="1"/>
  <c r="F885" i="1"/>
  <c r="D885" i="1" s="1"/>
  <c r="E885" i="1"/>
  <c r="F886" i="1"/>
  <c r="D886" i="1" s="1"/>
  <c r="E886" i="1"/>
  <c r="F888" i="1"/>
  <c r="D888" i="1" s="1"/>
  <c r="E888" i="1"/>
  <c r="F889" i="1"/>
  <c r="D889" i="1" s="1"/>
  <c r="E889" i="1"/>
  <c r="F890" i="1"/>
  <c r="D890" i="1" s="1"/>
  <c r="E890" i="1"/>
  <c r="E892" i="1"/>
  <c r="F892" i="1"/>
  <c r="D892" i="1" s="1"/>
  <c r="E893" i="1"/>
  <c r="F893" i="1"/>
  <c r="D893" i="1" s="1"/>
  <c r="E894" i="1"/>
  <c r="F894" i="1"/>
  <c r="D894" i="1" s="1"/>
  <c r="E895" i="1"/>
  <c r="F895" i="1"/>
  <c r="D895" i="1" s="1"/>
  <c r="F897" i="1"/>
  <c r="D897" i="1" s="1"/>
  <c r="E897" i="1"/>
</calcChain>
</file>

<file path=xl/sharedStrings.xml><?xml version="1.0" encoding="utf-8"?>
<sst xmlns="http://schemas.openxmlformats.org/spreadsheetml/2006/main" count="1665" uniqueCount="1616">
  <si>
    <t>BLACK, FINGERPRINT, IDFACE X 2, MIFARE, URN</t>
  </si>
  <si>
    <t>IDBLOCKNEXT/PT/B2FP/M/U</t>
  </si>
  <si>
    <r>
      <rPr>
        <b/>
        <sz val="10"/>
        <color rgb="FFFFFFFF"/>
        <rFont val="Aptos Narrow"/>
        <family val="2"/>
        <scheme val="minor"/>
      </rPr>
      <t>MOLINETE</t>
    </r>
  </si>
  <si>
    <t>LICENCIA RHID CLOUD, EQUIPO ADICIONAL</t>
  </si>
  <si>
    <t>LIC/RHID/CLD/1EQ</t>
  </si>
  <si>
    <t>LICENCIA RHID CLOUD, RECONOCIMIENTO FACIAL, 1 EQUIPO</t>
  </si>
  <si>
    <t>LIC/RHID/CLD/FR</t>
  </si>
  <si>
    <t>LICENCIA RHID CLOUD, 100 EMPLEADOS ADICIONALES</t>
  </si>
  <si>
    <t>LIC/RHID/CLD/100EMP*</t>
  </si>
  <si>
    <t>LICENCIA RHID CLOUD, 1 EQUIPO, 200 EMPLEADOS, SIN FACIAL</t>
  </si>
  <si>
    <t>LIC/RHID/CLD/1EQ/200/EMP</t>
  </si>
  <si>
    <r>
      <rPr>
        <b/>
        <sz val="10"/>
        <color rgb="FFFFFFFF"/>
        <rFont val="Aptos Narrow"/>
        <family val="2"/>
        <scheme val="minor"/>
      </rPr>
      <t>LICENCIAS RHID</t>
    </r>
  </si>
  <si>
    <t>LICENCIA 100 USUARIOS ADICIONALES ID SECURE CLOUD</t>
  </si>
  <si>
    <t>LIC/IDS/CLD/100USER</t>
  </si>
  <si>
    <t>LICENCIA ID SECURE CLOUD, EQUIPO ADICIONAL</t>
  </si>
  <si>
    <t>LIC/IDS/CLD/1EQ</t>
  </si>
  <si>
    <t>LICENCIA ID SECURE CLOUD, 1 EQUIPO, 100 USUARIOS</t>
  </si>
  <si>
    <t>LIC/IDS/CLD/1EQ/100USER</t>
  </si>
  <si>
    <r>
      <rPr>
        <b/>
        <sz val="10"/>
        <color rgb="FFFFFFFF"/>
        <rFont val="Aptos Narrow"/>
        <family val="2"/>
        <scheme val="minor"/>
      </rPr>
      <t>LICENCIAS ID SECURE CLOUD</t>
    </r>
  </si>
  <si>
    <t>LICENCIA 100 USUARIOS ADICIONALES ID SECURE ENTERPRISE</t>
  </si>
  <si>
    <t>LIC/IDS/ENT/USER*</t>
  </si>
  <si>
    <t>LICENCIA EQUIPO ADICIONAL ID SECURE ENTERPRISE</t>
  </si>
  <si>
    <t>LIC/IDS/ENT/EQ</t>
  </si>
  <si>
    <t>LICENCIA ID SECURE ENTERPRISE, 10 DISPOSITIVOS, 10K USUARIOS</t>
  </si>
  <si>
    <t>LIC/IDS/ENT</t>
  </si>
  <si>
    <r>
      <rPr>
        <b/>
        <sz val="10"/>
        <color rgb="FFFFFFFF"/>
        <rFont val="Aptos Narrow"/>
        <family val="2"/>
        <scheme val="minor"/>
      </rPr>
      <t>LICENCIAS ID SECURE ENTERPRISE</t>
    </r>
  </si>
  <si>
    <t>LICENCIA 100 USUARIOS ADICIONALES ID SECURE LITE</t>
  </si>
  <si>
    <t>LIC/IDS/LITE/USER*</t>
  </si>
  <si>
    <t>LICENCIA EQUIPO ADICIONAL ID SECURE LITE</t>
  </si>
  <si>
    <t>LIC/IDS/LITE/EQ</t>
  </si>
  <si>
    <t>LICENCIA ID SECURE LITE, 5 DISPOSITIVOS, 2K USUARIOS</t>
  </si>
  <si>
    <t>IDSECURE LITE - 5 DEVCS - 2K USERS</t>
  </si>
  <si>
    <r>
      <rPr>
        <b/>
        <sz val="10"/>
        <color rgb="FFFFFFFF"/>
        <rFont val="Aptos Narrow"/>
        <family val="2"/>
        <scheme val="minor"/>
      </rPr>
      <t>LICENCIAS ID SECURE LITE</t>
    </r>
  </si>
  <si>
    <t>LICENCIA 30K ROSTROS ID FACE</t>
  </si>
  <si>
    <t>LIC/IDFACE/30K</t>
  </si>
  <si>
    <t>LICENCIA 15K ROSTROS ID FACE</t>
  </si>
  <si>
    <t>LIC/IDFACE/15K</t>
  </si>
  <si>
    <t>LICENCIA 10K ROSTROS + SIP ID FACE</t>
  </si>
  <si>
    <t>LIC/IDFACE/PRO</t>
  </si>
  <si>
    <r>
      <rPr>
        <b/>
        <sz val="10"/>
        <color rgb="FFFFFFFF"/>
        <rFont val="Aptos Narrow"/>
        <family val="2"/>
        <scheme val="minor"/>
      </rPr>
      <t>LICENCIAS ID FACE</t>
    </r>
  </si>
  <si>
    <t>LICENCIA 100K ROSTROS ID FACEMAX</t>
  </si>
  <si>
    <t>LIC/IDFACE/100K</t>
  </si>
  <si>
    <t>LICENCIA 50K ROSTROS ID FACEMAX</t>
  </si>
  <si>
    <t>LIC/IDFACE/50K</t>
  </si>
  <si>
    <r>
      <rPr>
        <b/>
        <sz val="10"/>
        <color rgb="FFFFFFFF"/>
        <rFont val="Aptos Narrow"/>
        <family val="2"/>
        <scheme val="minor"/>
      </rPr>
      <t>LICENCIAS ID FACE MAX</t>
    </r>
  </si>
  <si>
    <t>TAG UHF ADHESIVO - 100 UNIDADES</t>
  </si>
  <si>
    <t>RFID/TAG/UHF</t>
  </si>
  <si>
    <t>ANTENA UHF 12 LECTURA HAS 12 M</t>
  </si>
  <si>
    <t>IDUHF/LITE</t>
  </si>
  <si>
    <t>ANTENA UHF 15 LECTURA HASTA 15 M</t>
  </si>
  <si>
    <t>IDUHF</t>
  </si>
  <si>
    <t>CONTROLADORA DISPOSOTIVOS</t>
  </si>
  <si>
    <t>INT/SECBOX</t>
  </si>
  <si>
    <t>LECTORA/TECLADO AUTONOMA 1K USUARIOS - MIFARE</t>
  </si>
  <si>
    <t>IDTOUCH/MIF</t>
  </si>
  <si>
    <t>LECTORA  MIFARE</t>
  </si>
  <si>
    <t>IDP/S/MIF</t>
  </si>
  <si>
    <t>CONTROLADORA 4 PUERTAS - LECTORA BOTON</t>
  </si>
  <si>
    <t>IDBOX</t>
  </si>
  <si>
    <t>LECTOR HUELLA 1.77" HASTA 100K HUELLAS- MIFARE</t>
  </si>
  <si>
    <t>IDANANO/BP/M</t>
  </si>
  <si>
    <t>LECTOR FACIAL 3.5" CON 3K ROSTROS - MIFARE</t>
  </si>
  <si>
    <t>IDFACE/FP/M</t>
  </si>
  <si>
    <t>LECTOR FACIAL 7" CON 30K ROSTROS - MIFARE</t>
  </si>
  <si>
    <t>IDFMAX/FP/M</t>
  </si>
  <si>
    <r>
      <rPr>
        <b/>
        <sz val="10"/>
        <color rgb="FFFFFFFF"/>
        <rFont val="Aptos Narrow"/>
        <family val="2"/>
        <scheme val="minor"/>
      </rPr>
      <t>HARDWARE</t>
    </r>
  </si>
  <si>
    <t xml:space="preserve">Control iD </t>
  </si>
  <si>
    <t>KIT RETAIL:
- 1 LECTOR FACIAL
- 1 NO TOUCH DE LITE
- 1 ELECTROIMAN 600 LB LITE
- 1 SOPORTE ZL LITE
- 1 FUENTE 12 VDC @ 5A
- CIERRAPUERTAS 2234 PLATA (80 KG)</t>
  </si>
  <si>
    <t>0004765</t>
  </si>
  <si>
    <t>COMBOS RESIDENCIAL</t>
  </si>
  <si>
    <t>AA-CPC125 - TARJETA RFID 125 kHz</t>
  </si>
  <si>
    <t>0005756</t>
  </si>
  <si>
    <t>AA-CPC1356 - TARJETA RFID MF 13.56 MHz</t>
  </si>
  <si>
    <t>0005755</t>
  </si>
  <si>
    <t>AA-TPP125 - TAG RFID 125 kHz</t>
  </si>
  <si>
    <t>0005754</t>
  </si>
  <si>
    <t>AA-TPM1356 - TAG RFID MF 13.56 MHz</t>
  </si>
  <si>
    <t>0005753</t>
  </si>
  <si>
    <t>CREDENCIALES</t>
  </si>
  <si>
    <t>Asta Plegable 6 m</t>
  </si>
  <si>
    <t>AA-HDC500/6</t>
  </si>
  <si>
    <t>Asta 3 m</t>
  </si>
  <si>
    <t>AA-HDR500/3</t>
  </si>
  <si>
    <t>Talanquera</t>
  </si>
  <si>
    <t>AA-CVA500</t>
  </si>
  <si>
    <t>AA-SPMP Sensor de Presencia RF</t>
  </si>
  <si>
    <t>0004731</t>
  </si>
  <si>
    <t>AA-MP100CZ - Operador Puerta Batiente</t>
  </si>
  <si>
    <t>0004730</t>
  </si>
  <si>
    <t>AUTOMATISMOS</t>
  </si>
  <si>
    <t>AA-EML300I Cerradura Eléctrica Sobreponer + Lector 125 kHz</t>
  </si>
  <si>
    <t>Soporte U - Electroimán 600lb lite</t>
  </si>
  <si>
    <t>Soporte U - Electroimán 350lb lite</t>
  </si>
  <si>
    <t>Soporte ZL - Electroimán 600lb lite</t>
  </si>
  <si>
    <t>Soporte ZL - Electroimán 350lb lite</t>
  </si>
  <si>
    <t>Electroimán 600lb lite</t>
  </si>
  <si>
    <t>Electroimán 350lb lite</t>
  </si>
  <si>
    <t>AA-FC120I Cantonera 12V DC</t>
  </si>
  <si>
    <t>ACTUADORES</t>
  </si>
  <si>
    <t>Contacto Magnético</t>
  </si>
  <si>
    <t>Botón Enclavamiento</t>
  </si>
  <si>
    <t>Botón No Touch Lite</t>
  </si>
  <si>
    <t>AA-BIMNA/NF No Touch Sobreponer</t>
  </si>
  <si>
    <t>AA-BERNANF-VD Botón Emergencia</t>
  </si>
  <si>
    <t>BOTONES Y ACCESORIOS</t>
  </si>
  <si>
    <t>AA-TR2000 Lector 125 kHz + Teclado</t>
  </si>
  <si>
    <t>AA-PR1000 Lector Autónomo 125 kHz</t>
  </si>
  <si>
    <t>LECTORES</t>
  </si>
  <si>
    <t>AA-FT125 Fuente 12V DC/5A</t>
  </si>
  <si>
    <t>ALIMENTACIÓN</t>
  </si>
  <si>
    <t xml:space="preserve">YALE EMPRESARIAL </t>
  </si>
  <si>
    <t>GAB FTE + BATERIA ELECTROIMAN</t>
  </si>
  <si>
    <t>0009145</t>
  </si>
  <si>
    <t xml:space="preserve">GAB FTE CARG ELECTROIMAN </t>
  </si>
  <si>
    <t>0009112</t>
  </si>
  <si>
    <t>ACCESO BIOM AUTONOM</t>
  </si>
  <si>
    <t>0007142</t>
  </si>
  <si>
    <t>MODULO REMOTO + CONTROL REMOTO</t>
  </si>
  <si>
    <t>0006697</t>
  </si>
  <si>
    <t>CONTROL REMOTO MODULO X 3</t>
  </si>
  <si>
    <t>0006701</t>
  </si>
  <si>
    <t>BOTON NO TOUCH SALIDA</t>
  </si>
  <si>
    <t>0007055</t>
  </si>
  <si>
    <t>BOTON HONGO SALIDA</t>
  </si>
  <si>
    <t>0007054</t>
  </si>
  <si>
    <t>TARJETA PROX 125KHZ</t>
  </si>
  <si>
    <t>0007107</t>
  </si>
  <si>
    <t xml:space="preserve">ACCESORIOS </t>
  </si>
  <si>
    <t>KIT ELECTROIMAN 600 ZL CR</t>
  </si>
  <si>
    <t>0007044</t>
  </si>
  <si>
    <t>KIT ELECTROIMAN 600 L CR</t>
  </si>
  <si>
    <t>0007042</t>
  </si>
  <si>
    <t>KIT ELECTROIMAN 600 U CR</t>
  </si>
  <si>
    <t>0007043</t>
  </si>
  <si>
    <t>KIT ELECTROIMAN 350 ZL CR</t>
  </si>
  <si>
    <t>0007041</t>
  </si>
  <si>
    <t>KIT ELECTROIMAN 350 L CR</t>
  </si>
  <si>
    <t>0007039</t>
  </si>
  <si>
    <t>KIT ELECTROIMAN 350 U CR</t>
  </si>
  <si>
    <t>0007040</t>
  </si>
  <si>
    <t xml:space="preserve">KIT  ELECTROIMANES + SOPORTE + BOTON + BUZZER + TRANSFORMADOR+ CR  </t>
  </si>
  <si>
    <t>KIT ELECTROIMAN 600 CR</t>
  </si>
  <si>
    <t>0006698</t>
  </si>
  <si>
    <t>KIT ELECTROIMAN 350 CR</t>
  </si>
  <si>
    <t>0006699</t>
  </si>
  <si>
    <t xml:space="preserve">KIT  ELECTROIMANES + BOTON + BUZZER + TRANSFORMADOR+ CR  </t>
  </si>
  <si>
    <t>KIT ELECTROIMAN 1200 ZL</t>
  </si>
  <si>
    <t>0006724</t>
  </si>
  <si>
    <t>KIT ELECTROIMAN 1200 L</t>
  </si>
  <si>
    <t>0006727</t>
  </si>
  <si>
    <t>KIT ELECTROIMAN 600 ZL</t>
  </si>
  <si>
    <t>0006668</t>
  </si>
  <si>
    <t>KIT ELECTROIMAN 600 L</t>
  </si>
  <si>
    <t>0006669</t>
  </si>
  <si>
    <t>KIT ELECTROIMAN 600 U</t>
  </si>
  <si>
    <t>0006667</t>
  </si>
  <si>
    <t>KIT ELECTROIMAN 350 ZL</t>
  </si>
  <si>
    <t>0006672</t>
  </si>
  <si>
    <t>KIT ELECTROIMAN 350 L</t>
  </si>
  <si>
    <t>0006670</t>
  </si>
  <si>
    <t>KIT ELECTROIMAN 350 U</t>
  </si>
  <si>
    <t>0006671</t>
  </si>
  <si>
    <t xml:space="preserve">KIT  ELECTROIMANES + SOPORTE + BOTON + BUZZER + TRANSFORMADOR </t>
  </si>
  <si>
    <t>KIT ELECTROIMAN 600 LB</t>
  </si>
  <si>
    <t>0006674</t>
  </si>
  <si>
    <t>KIT ELECTROIMAN 350 LB</t>
  </si>
  <si>
    <t>0006673</t>
  </si>
  <si>
    <t xml:space="preserve">KIT  ELECTROIMANES + BOTON + BUZZER + TRANSFORMADOR </t>
  </si>
  <si>
    <t xml:space="preserve"> ELECTROIMAN 600 + SOPORTE ZL</t>
  </si>
  <si>
    <t>0007031</t>
  </si>
  <si>
    <t>ELECTROIMAN 600 + SOPORTE L</t>
  </si>
  <si>
    <t>0007032</t>
  </si>
  <si>
    <t xml:space="preserve"> ELECTROIMAN 600 + SOPORTE U</t>
  </si>
  <si>
    <t>0007033</t>
  </si>
  <si>
    <t xml:space="preserve"> ELECTROIMAN 350 + SOPORTE ZL</t>
  </si>
  <si>
    <t>0007029</t>
  </si>
  <si>
    <t>ELECTROIMAN 350 + SOPORTE L</t>
  </si>
  <si>
    <t>0007030</t>
  </si>
  <si>
    <t xml:space="preserve"> ELECTROIMAN 350 + SOPORTE U</t>
  </si>
  <si>
    <t>0007028</t>
  </si>
  <si>
    <t xml:space="preserve">KIT  ELECTROIMANES + SOPORTE </t>
  </si>
  <si>
    <t>SOPORTE ZL ELECTORIMAN 1200 LB</t>
  </si>
  <si>
    <t>0006743</t>
  </si>
  <si>
    <t>SOPORTE L ELECTORIMAN 1200 LB</t>
  </si>
  <si>
    <t>0006742</t>
  </si>
  <si>
    <t>SOPORTE ZL ELECTROIMAN 600 LB</t>
  </si>
  <si>
    <t>0009072</t>
  </si>
  <si>
    <t>SOPORTE U ELECTROIMAN 600 LB</t>
  </si>
  <si>
    <t>0009070</t>
  </si>
  <si>
    <t>SOPORTE ZL ELECTROIMAN 350 LB</t>
  </si>
  <si>
    <t>0009066</t>
  </si>
  <si>
    <t>SOPORTE L ELECTROIMAN 350 LB</t>
  </si>
  <si>
    <t>0009067</t>
  </si>
  <si>
    <t>SOPORTE U ELECTROIMAN 350 LB</t>
  </si>
  <si>
    <t>0009068</t>
  </si>
  <si>
    <t xml:space="preserve">SOPORTES ELECTROIMANES </t>
  </si>
  <si>
    <t>ELECTROIMAN 1200 LB</t>
  </si>
  <si>
    <t>0006741</t>
  </si>
  <si>
    <t>ELECTROIMAN 600 LB</t>
  </si>
  <si>
    <t>0009069</t>
  </si>
  <si>
    <t>ELECTROIMAN 350 LB</t>
  </si>
  <si>
    <t>0009065</t>
  </si>
  <si>
    <t>ELECTROIMANES</t>
  </si>
  <si>
    <t xml:space="preserve">KIT CANTELECT LARG 12V CR </t>
  </si>
  <si>
    <t>0004719</t>
  </si>
  <si>
    <t xml:space="preserve">KIT CANTELECT CORT 12V CR </t>
  </si>
  <si>
    <t>0006692</t>
  </si>
  <si>
    <t>KIT CANTELECT LARG MEMO 12V</t>
  </si>
  <si>
    <t>0010735</t>
  </si>
  <si>
    <t>KIT CANTELECT CORT MEMO 12V</t>
  </si>
  <si>
    <t>0010734</t>
  </si>
  <si>
    <t>CANT ELECT LARG MEMO 12V</t>
  </si>
  <si>
    <t>0010500</t>
  </si>
  <si>
    <t>CANT ELECT CORT MEMO 12V</t>
  </si>
  <si>
    <t>0010499</t>
  </si>
  <si>
    <t>CANTONERAS ELECTRICAS</t>
  </si>
  <si>
    <t>SELLO PERIMETRAL NEGRO 5.40 MT</t>
  </si>
  <si>
    <t>0007635</t>
  </si>
  <si>
    <t>SELLOS</t>
  </si>
  <si>
    <t>BISAGRA MAC-PRO 4.5X4.5 26D (x3 unidades)</t>
  </si>
  <si>
    <t>0007606</t>
  </si>
  <si>
    <t>BISAGRAS</t>
  </si>
  <si>
    <t>TOPE PUERTA PH MAGNÉTICO</t>
  </si>
  <si>
    <t>0008366</t>
  </si>
  <si>
    <t>TOPE PUERTA PH MEDIA LUNA</t>
  </si>
  <si>
    <t>0008352</t>
  </si>
  <si>
    <t>TOPE PUERTA PH RESORTE</t>
  </si>
  <si>
    <t>0008351</t>
  </si>
  <si>
    <t>TOPES PHILLIPS</t>
  </si>
  <si>
    <t>SKU</t>
  </si>
  <si>
    <t>TOPE PUERTA MAGNETICO PARED T11</t>
  </si>
  <si>
    <t>0009142</t>
  </si>
  <si>
    <t>TOPE PUERTA MAGNETICO PISO T10</t>
  </si>
  <si>
    <t>0009141</t>
  </si>
  <si>
    <t xml:space="preserve">TOPE PUERTA MEDIA LUNA </t>
  </si>
  <si>
    <t>0010531</t>
  </si>
  <si>
    <t>TOPES</t>
  </si>
  <si>
    <t>ACCESORIOS ARQUITECTONICOS</t>
  </si>
  <si>
    <t>CERR MUEBLE PH80 US26D</t>
  </si>
  <si>
    <t>0005407</t>
  </si>
  <si>
    <t>CERR MUEBLE 230 DIAM DORADO BR</t>
  </si>
  <si>
    <t>0005277</t>
  </si>
  <si>
    <t>CERR MUEBLE 230 DIAM NIQUELADO</t>
  </si>
  <si>
    <t>0005276</t>
  </si>
  <si>
    <t>CERR MUEBLE 110 CUAD DORADO BR</t>
  </si>
  <si>
    <t>0005275</t>
  </si>
  <si>
    <t>CERR MUEBLE 110 CUAD NIQUELADO</t>
  </si>
  <si>
    <t>0005274</t>
  </si>
  <si>
    <t>MUEBLE PHILLIPS</t>
  </si>
  <si>
    <t>MUEBLE ESTÁNDAR B460 CROMO SATINADO</t>
  </si>
  <si>
    <t>0005028</t>
  </si>
  <si>
    <t>MUEBLE ESTÁNDAR B450 CROMO SATINADO</t>
  </si>
  <si>
    <t>0005029</t>
  </si>
  <si>
    <t>MUEBLE ESTÁNDAR B440 CROMO SATINADO</t>
  </si>
  <si>
    <t>0005030</t>
  </si>
  <si>
    <t>MUEBLE ESTÁNDAR B430 CROMO SATINADO</t>
  </si>
  <si>
    <t>0005027</t>
  </si>
  <si>
    <t>MUEBLE ESTÁNDAR B420 CROMO SATINADO</t>
  </si>
  <si>
    <t>0005019</t>
  </si>
  <si>
    <t>MUEBLE ESTÁNDAR B410 CROMO SATINADO</t>
  </si>
  <si>
    <t>0005157</t>
  </si>
  <si>
    <t xml:space="preserve"> $                                      -  </t>
  </si>
  <si>
    <t>LÍNEA ESTÁNDAR</t>
  </si>
  <si>
    <t>MUEBLE 560 CROMO SATINADO</t>
  </si>
  <si>
    <t>0001574</t>
  </si>
  <si>
    <t>MUEBLE 555B LATÓN BRILLANTE</t>
  </si>
  <si>
    <t>0005151</t>
  </si>
  <si>
    <t>MUEBLE 540 CROMO SATINADO DER</t>
  </si>
  <si>
    <t>0010589</t>
  </si>
  <si>
    <t>MUEBLE 540 CROMO SATINADO IZQ</t>
  </si>
  <si>
    <t>0010591</t>
  </si>
  <si>
    <t>MUEBLE 530 CROMO SATINADO</t>
  </si>
  <si>
    <t>0010594</t>
  </si>
  <si>
    <t>MUEBLE 520 CROMO SATINADO</t>
  </si>
  <si>
    <t>0010595</t>
  </si>
  <si>
    <t>MUEBLE 510 CROMO SATINADO</t>
  </si>
  <si>
    <t>0001560</t>
  </si>
  <si>
    <t>MUEBLE 500 CROMO SATINADO</t>
  </si>
  <si>
    <t>0005150</t>
  </si>
  <si>
    <t>MUEBLE 2045 LARGA NIQUEL BRILLANTE</t>
  </si>
  <si>
    <t>0005010</t>
  </si>
  <si>
    <t>MUEBLE 2045 CORTA NIQUEL BRILLANTE</t>
  </si>
  <si>
    <t>0005008</t>
  </si>
  <si>
    <t>MUEBLE 2044 CORTA NIQUEL BRILLANTE B</t>
  </si>
  <si>
    <t>0005014</t>
  </si>
  <si>
    <t>MUEBLE 2044 LARGA NIQUEL BRILLANTE</t>
  </si>
  <si>
    <t>0005009</t>
  </si>
  <si>
    <t>MUEBLE 2044 CORTA NIQUEL BRILLANTE</t>
  </si>
  <si>
    <t>0005007</t>
  </si>
  <si>
    <t>MUEBLE F6700 NIQUEL BRILLANTE B</t>
  </si>
  <si>
    <t>0005018</t>
  </si>
  <si>
    <t>MUEBLE F6700 NIQUEL BRILLANTE</t>
  </si>
  <si>
    <t>0005012</t>
  </si>
  <si>
    <t>LÍNEA PROFESIONAL</t>
  </si>
  <si>
    <t>CERRADURAS PARA MUEBLE</t>
  </si>
  <si>
    <t>MUEBLES Y AUTO</t>
  </si>
  <si>
    <t>MANIJA VERSAILLES VIDRIO CROMO SATINADO</t>
  </si>
  <si>
    <t>0032018</t>
  </si>
  <si>
    <t xml:space="preserve"> MANIJA VERSAILLES NEGRA (para Miami)</t>
  </si>
  <si>
    <t>0009305</t>
  </si>
  <si>
    <t>MANIJA VERSAILLES CROMO SATINADO (para Tampa)</t>
  </si>
  <si>
    <t>0032017</t>
  </si>
  <si>
    <t>MANIJA ORION NEGRA (para Orlando)</t>
  </si>
  <si>
    <t>0007131</t>
  </si>
  <si>
    <t>MANIJA EIFFEL CROMO SATINADO</t>
  </si>
  <si>
    <t>0032016</t>
  </si>
  <si>
    <t>ACCESORIOS</t>
  </si>
  <si>
    <t>COMBO ANTIPÁNICO DOBLE ORLANDO ROJO 2PTS 3005</t>
  </si>
  <si>
    <t>0034930</t>
  </si>
  <si>
    <t>COMBO ANTIPÁNICO SENCILLO ORLANDO ROJO 2PTS 3005</t>
  </si>
  <si>
    <t>0034940</t>
  </si>
  <si>
    <t>COMBO ANTIPÁNICO SENCILLO ORLANDO ROJO 1PT 3005</t>
  </si>
  <si>
    <t>0034936</t>
  </si>
  <si>
    <t>COMBO ANTIPÁNICO SENCILLO ORLANDO ROJO 1P 2234 PLATA</t>
  </si>
  <si>
    <t>0006644</t>
  </si>
  <si>
    <t>COMBOS ORLANDO</t>
  </si>
  <si>
    <t>BARRA ANTIPÁNICO ORLANDO ROJA 2PTS</t>
  </si>
  <si>
    <t>0007137</t>
  </si>
  <si>
    <t>BARRA ANTIPÁNICO ORLANDO ROJA 1PT</t>
  </si>
  <si>
    <t>0007134</t>
  </si>
  <si>
    <t>ORLANDO</t>
  </si>
  <si>
    <t xml:space="preserve">COMBO ANTIPÁNICO SENCILLO VIDRIO 2PTS </t>
  </si>
  <si>
    <t>0035015</t>
  </si>
  <si>
    <t>COMBO ANTIPÁNICO DOBLE TAMPA ACERO INOX 2PTS 3005</t>
  </si>
  <si>
    <t>0035051</t>
  </si>
  <si>
    <t>COMBO ANTIPÁNICO SENCILLO TAMPA ACERO INOX 1PT 3005</t>
  </si>
  <si>
    <t>0035050</t>
  </si>
  <si>
    <t>COMBO ANTIPÁNICO DOBLE CORTAFUE 2PTS 3005</t>
  </si>
  <si>
    <t>0034909</t>
  </si>
  <si>
    <t>COMBO ANTIPÁNICO SENCILLO CORTAFUE 2PTS 3005</t>
  </si>
  <si>
    <t>0034908</t>
  </si>
  <si>
    <t>COMBO ANTIPÁNICO SENCILLO CORTAFUE 1PT 3005</t>
  </si>
  <si>
    <t>0034907</t>
  </si>
  <si>
    <t>COMBO ANTIPÁNICO DOBLE TAMPA 2PTS 3005</t>
  </si>
  <si>
    <t>0034901</t>
  </si>
  <si>
    <t>COMBO ANTIPÁNICO SENCILLO TAMPA 2PTS 3005</t>
  </si>
  <si>
    <t>0034902</t>
  </si>
  <si>
    <t>COMBO ANTIPÁNICO SENCILLO TAMPA 1PT 3005</t>
  </si>
  <si>
    <t>0034900</t>
  </si>
  <si>
    <t>COMBO ANTIPÁNICO SENCILLO TAMPA 1PT 2234 PLATA</t>
  </si>
  <si>
    <t>0007190</t>
  </si>
  <si>
    <t>COMBOS TAMPA</t>
  </si>
  <si>
    <t>BARRA ANTIPÁNICO TAMPA ALARMA 1PT</t>
  </si>
  <si>
    <t>0007049</t>
  </si>
  <si>
    <t>BARRA ANTIPÁNICO TAMPA ACERO INOX 2PTS</t>
  </si>
  <si>
    <t>0035020</t>
  </si>
  <si>
    <t>BARRA ANTIPÁNICO TAMPA ACERO INOX 1PT</t>
  </si>
  <si>
    <t>0035021</t>
  </si>
  <si>
    <t>BARRA ANTIPÁNICO TAMPA VIDRIO 2PTS</t>
  </si>
  <si>
    <t>0035014</t>
  </si>
  <si>
    <t>BARRA ANTIPÁNICO TAMPA 2PTS</t>
  </si>
  <si>
    <t>0035011</t>
  </si>
  <si>
    <t>BARRA ANTIPÁNICO TAMPA 1PT</t>
  </si>
  <si>
    <t>0035010</t>
  </si>
  <si>
    <t>TAMPA</t>
  </si>
  <si>
    <t>COMBO ANTIPÁNICO DOBLE MIAMI ROJO 2PTS 3005</t>
  </si>
  <si>
    <t>0009461</t>
  </si>
  <si>
    <t>COMBO ANTIPÁNICO SENCILLO MIAMI ROJO 2PTS 3005</t>
  </si>
  <si>
    <t>0009462</t>
  </si>
  <si>
    <t>COMBO ANTIPÁNICO MIAMI ROJO 1PT 3005</t>
  </si>
  <si>
    <t>0009460</t>
  </si>
  <si>
    <t>COMBO ANTIPÁNICO DOBLE MIAMI ROJO 2PTS 2234 NEGRO</t>
  </si>
  <si>
    <t>0009450</t>
  </si>
  <si>
    <t>COMBO ANTIPÁNICO SENCILLO MIAMI ROJO 2PTS 2234 NEGRO</t>
  </si>
  <si>
    <t>0009451</t>
  </si>
  <si>
    <t>COMBO ANTIPÁNICO MIAMI ROJO 1PT 2234 NEGRO</t>
  </si>
  <si>
    <t>0009449</t>
  </si>
  <si>
    <t>COMBOS MIAMI</t>
  </si>
  <si>
    <t>BARRA ANTIPÁNICO MIAMI ROJA 2PTS</t>
  </si>
  <si>
    <t>0009307</t>
  </si>
  <si>
    <t>BARRA ANTIPÁNICO MIAMI ROJA 1PT</t>
  </si>
  <si>
    <t>0009306</t>
  </si>
  <si>
    <t>MIAMI</t>
  </si>
  <si>
    <t>BARRAS ANTIPANICO</t>
  </si>
  <si>
    <t>CIERRAPUERTAS Y1001 VIDRIO</t>
  </si>
  <si>
    <t>0007189</t>
  </si>
  <si>
    <t>CIERRAPUERTAS PISO Y300 PRO + BLOQUE</t>
  </si>
  <si>
    <t>0006976</t>
  </si>
  <si>
    <t>CIERRAPUERTAS PISO Y300 PRO</t>
  </si>
  <si>
    <t>0009698</t>
  </si>
  <si>
    <t>CIERRAPUERTAS PISO Y170 PRO + BLOQUE</t>
  </si>
  <si>
    <t>0006975</t>
  </si>
  <si>
    <t>CIERRAPUERTAS PISO Y170 PRO</t>
  </si>
  <si>
    <t>0009697</t>
  </si>
  <si>
    <t>CIERRAPUERTAS Y150 + BLOQUE</t>
  </si>
  <si>
    <t>0009446</t>
  </si>
  <si>
    <t>CIERRAPUERTAS Y150</t>
  </si>
  <si>
    <t>0009430</t>
  </si>
  <si>
    <t>CIERRAPUERTAS PISO Y120 PRO + BLOQUE</t>
  </si>
  <si>
    <t>0006974</t>
  </si>
  <si>
    <t>CIERRAPUERTAS PISO Y120 PRO</t>
  </si>
  <si>
    <t>0009696</t>
  </si>
  <si>
    <t>CIERRAPUERTAS Y80 + BLOQUE</t>
  </si>
  <si>
    <t>0009447</t>
  </si>
  <si>
    <t>CIERRAPUERTAS Y80</t>
  </si>
  <si>
    <t>0009431</t>
  </si>
  <si>
    <t>BLOQUE CIERRAPUERTAS</t>
  </si>
  <si>
    <t>0007024</t>
  </si>
  <si>
    <t>LÍNEA PISO</t>
  </si>
  <si>
    <t>CIERRAPUERTAS 2234 NEGRO</t>
  </si>
  <si>
    <t>0009429</t>
  </si>
  <si>
    <t>CIERRAPUERTAS 3005 PLATA</t>
  </si>
  <si>
    <t>0007019</t>
  </si>
  <si>
    <t>CIERRAPUERTAS 2065 PLATA</t>
  </si>
  <si>
    <t>0009312</t>
  </si>
  <si>
    <t>CIERRAPUERTAS 2234 PLATA B</t>
  </si>
  <si>
    <t>0001524</t>
  </si>
  <si>
    <t>CIERRAPUERTAS 2234 PLATA</t>
  </si>
  <si>
    <t>0008320</t>
  </si>
  <si>
    <t>CIERRAPUERTAS 1002 PLATA B</t>
  </si>
  <si>
    <t>0001513</t>
  </si>
  <si>
    <t>CIERRAPUERTAS 1002 PLATA</t>
  </si>
  <si>
    <t>0007018</t>
  </si>
  <si>
    <t>CIERRAPUERTAS INSTALAFACIL PLATA B</t>
  </si>
  <si>
    <t>0007056</t>
  </si>
  <si>
    <t>LÍNEA AEREO</t>
  </si>
  <si>
    <t>CIERRA PUERTAS</t>
  </si>
  <si>
    <t>CAD COMBINACION PH 3D 30MM</t>
  </si>
  <si>
    <t>0001113</t>
  </si>
  <si>
    <t>CAD COMBINACION PH 3D 20MM</t>
  </si>
  <si>
    <t>0001112</t>
  </si>
  <si>
    <t>CAD COMBINACION PH 4D 40MM</t>
  </si>
  <si>
    <t>0001111</t>
  </si>
  <si>
    <t>COMBINACIÓN</t>
  </si>
  <si>
    <t>CANDADO PHI LAMINADO 50MM</t>
  </si>
  <si>
    <t>0016000</t>
  </si>
  <si>
    <t>CANDADO PHI LAMINADO 40MM</t>
  </si>
  <si>
    <t>0015999</t>
  </si>
  <si>
    <t>CANDADO PHI LAMINADO 30MM</t>
  </si>
  <si>
    <t>0015998</t>
  </si>
  <si>
    <t>LAMINADO</t>
  </si>
  <si>
    <t>CANDADO PHI SILVER 50MM</t>
  </si>
  <si>
    <t>0015997</t>
  </si>
  <si>
    <t>CANDADO PHI SILVER 38MM</t>
  </si>
  <si>
    <t>0015996</t>
  </si>
  <si>
    <t>CANDADO PHI SILVER 32MM</t>
  </si>
  <si>
    <t>0015995</t>
  </si>
  <si>
    <t>CANDADO PHI SILVER 25MM</t>
  </si>
  <si>
    <t>0015994</t>
  </si>
  <si>
    <t>SILVER</t>
  </si>
  <si>
    <t>CANDADO PHI HIERRO 63MM</t>
  </si>
  <si>
    <t>0008845</t>
  </si>
  <si>
    <t>CANDADO PHI HIERRO 50MM</t>
  </si>
  <si>
    <t>0008846</t>
  </si>
  <si>
    <t>CANDADO PHI HIERRO 45MM</t>
  </si>
  <si>
    <t>0008847</t>
  </si>
  <si>
    <t>CANDADO PHI HIERRO 38MM</t>
  </si>
  <si>
    <t>0008844</t>
  </si>
  <si>
    <t>CANDADO PHI HIERRO 32MM</t>
  </si>
  <si>
    <t>0008853</t>
  </si>
  <si>
    <t>CANDADO PHI HIERRO 25MM</t>
  </si>
  <si>
    <t>0008852</t>
  </si>
  <si>
    <t>HIERRO</t>
  </si>
  <si>
    <t>CANDADOS PHILLIPS</t>
  </si>
  <si>
    <t>CANDADO BICI YUL3C/14/230/1</t>
  </si>
  <si>
    <t>0009439</t>
  </si>
  <si>
    <t>CAD BICI YCL3/10/110/1</t>
  </si>
  <si>
    <t>0009436</t>
  </si>
  <si>
    <t>CANDADO BICI YCUL2/13/230/1</t>
  </si>
  <si>
    <t>0009437</t>
  </si>
  <si>
    <t>CANDADO BICI YCC1/10/185/1</t>
  </si>
  <si>
    <t>0009434</t>
  </si>
  <si>
    <t>CANDADO BICI YC1/10/220/1</t>
  </si>
  <si>
    <t>0009433</t>
  </si>
  <si>
    <t>CANDADO BICI YTX240</t>
  </si>
  <si>
    <t>0016003</t>
  </si>
  <si>
    <t>CANDADO BICI YT285</t>
  </si>
  <si>
    <t>0016002</t>
  </si>
  <si>
    <t>CANDADO BICI YF1000</t>
  </si>
  <si>
    <t>0016004</t>
  </si>
  <si>
    <t>CANDADO BICI YT185</t>
  </si>
  <si>
    <t>0016001</t>
  </si>
  <si>
    <t>CANDADO BICI YCC2/6/60/Black</t>
  </si>
  <si>
    <t>0009435</t>
  </si>
  <si>
    <t>CANDADOS BICICLETA</t>
  </si>
  <si>
    <t xml:space="preserve">TARJETA DE BLOQUEO X12 </t>
  </si>
  <si>
    <t>0001177</t>
  </si>
  <si>
    <t>TARJETA DE BLOQUEO</t>
  </si>
  <si>
    <t>0001172</t>
  </si>
  <si>
    <t>CANDADO DE BLOQUEO MULTIPLE DELGADO</t>
  </si>
  <si>
    <t>0009717</t>
  </si>
  <si>
    <t xml:space="preserve">CANDADO DE GUAYA DE ACERO ROJO B </t>
  </si>
  <si>
    <t>0009707</t>
  </si>
  <si>
    <t>CANDADO GANCHO LARGO NYLON VERDE B</t>
  </si>
  <si>
    <t>0001160</t>
  </si>
  <si>
    <t>CANDADO GANCHO LARGO NYLON AZUL B</t>
  </si>
  <si>
    <t>0001173</t>
  </si>
  <si>
    <t>CANDADO GANCHO LARGO NYLON AMARILLO B</t>
  </si>
  <si>
    <t>0001176</t>
  </si>
  <si>
    <t>CANDADO GANCHO LARGO NYLON ROJO B</t>
  </si>
  <si>
    <t>0001166</t>
  </si>
  <si>
    <t>CANDADO GANCHO NYLON NEGRO B</t>
  </si>
  <si>
    <t>0009709</t>
  </si>
  <si>
    <t>CANDADO GANCHO NYLON NARANJA B</t>
  </si>
  <si>
    <t>0009708</t>
  </si>
  <si>
    <t>CANDADO GANCHO NYLON BLANCO B</t>
  </si>
  <si>
    <t>0016018</t>
  </si>
  <si>
    <t>CANDADO GANCHO NYLON MORADO B</t>
  </si>
  <si>
    <t>0016017</t>
  </si>
  <si>
    <t>CANDADO GANCHO NYLON VERDE B</t>
  </si>
  <si>
    <t>0001167</t>
  </si>
  <si>
    <t>CANDADO GANCHO NYLON AZUL B</t>
  </si>
  <si>
    <t>0001161</t>
  </si>
  <si>
    <t>CANDADO GANCHO NYLON AMARILLO B</t>
  </si>
  <si>
    <t>0001168</t>
  </si>
  <si>
    <t>CANDADO GANCHO NYLON ROJO B</t>
  </si>
  <si>
    <t>0001162</t>
  </si>
  <si>
    <t>CANDADO GANCHO METÁLICO VERDE B</t>
  </si>
  <si>
    <t>0001175</t>
  </si>
  <si>
    <t>CANDADO GANCHO METÁLICO AZUL B</t>
  </si>
  <si>
    <t>0001169</t>
  </si>
  <si>
    <t>CANDADO GANCHO METÁLICO AMARILLO B</t>
  </si>
  <si>
    <t>0001157</t>
  </si>
  <si>
    <t xml:space="preserve"> CANDADO GANCHO METÁLICO ROJO B</t>
  </si>
  <si>
    <t>0001174</t>
  </si>
  <si>
    <t>BLOQUEO Y ETIQUETADO</t>
  </si>
  <si>
    <t>CANDADO YP2 AMARILLO B</t>
  </si>
  <si>
    <t>0008828</t>
  </si>
  <si>
    <t>CANDADO YP2 ROJO B</t>
  </si>
  <si>
    <t>0008507</t>
  </si>
  <si>
    <t>CANDADO YP2 GRIS B</t>
  </si>
  <si>
    <t>0008506</t>
  </si>
  <si>
    <t>CANDADO YP1 AMARILLO B</t>
  </si>
  <si>
    <t>0008825</t>
  </si>
  <si>
    <t>CANDADO YP1 ROJO B</t>
  </si>
  <si>
    <t>0008824</t>
  </si>
  <si>
    <t>SERIE COMBINACIÓN</t>
  </si>
  <si>
    <t>CANDADO YTP3 CROMADO TSA B</t>
  </si>
  <si>
    <t>0008826</t>
  </si>
  <si>
    <t>CANDADO YTP2 AMARILLO TSA B</t>
  </si>
  <si>
    <t>0008820</t>
  </si>
  <si>
    <t>CANDADO YTP2 ROJO TSA B</t>
  </si>
  <si>
    <t>0008818</t>
  </si>
  <si>
    <t>SERIE VIAJERA</t>
  </si>
  <si>
    <t>CANDADO YE3 50MM NEGRO B</t>
  </si>
  <si>
    <t>0008859</t>
  </si>
  <si>
    <t>CANDADO YE3 38MM NEGRO B</t>
  </si>
  <si>
    <t>0008854</t>
  </si>
  <si>
    <t>CANDADO YE3 32MM FUCSIA B</t>
  </si>
  <si>
    <t>0008856</t>
  </si>
  <si>
    <t>CANDADO YE3 32MM VERDE B</t>
  </si>
  <si>
    <t>0008860</t>
  </si>
  <si>
    <t>CANDADO YE3 32MM NEGRO B</t>
  </si>
  <si>
    <t>0008858</t>
  </si>
  <si>
    <t>CANDADO YE3 25MM FUCSIA B</t>
  </si>
  <si>
    <t>0008861</t>
  </si>
  <si>
    <t>CANDADO YE3 25MM VERDE B</t>
  </si>
  <si>
    <t>0008857</t>
  </si>
  <si>
    <t>CANDADO YE3 25MM NEGRO B</t>
  </si>
  <si>
    <t>0008855</t>
  </si>
  <si>
    <t>SERIE ALUMINIO</t>
  </si>
  <si>
    <t>CANDADO Y125 LAMINADO IGUALADO X2 50MM B</t>
  </si>
  <si>
    <t>0008511</t>
  </si>
  <si>
    <t>CANDADO Y125 LAMINADO 60MM B</t>
  </si>
  <si>
    <t>0010444</t>
  </si>
  <si>
    <t>CANDADO Y125 LAMINADO 50MM B</t>
  </si>
  <si>
    <t>0008514</t>
  </si>
  <si>
    <t>CANDADO Y125 LAMINADO 40MM B</t>
  </si>
  <si>
    <t>0008408</t>
  </si>
  <si>
    <t>CANDADO Y115 LAMINADO 30MM B</t>
  </si>
  <si>
    <t>0008405</t>
  </si>
  <si>
    <t>SERIE LAMINADA</t>
  </si>
  <si>
    <t xml:space="preserve">CANDADO 700 40MM </t>
  </si>
  <si>
    <t>0002077</t>
  </si>
  <si>
    <t xml:space="preserve">CANDADO 700 50MM </t>
  </si>
  <si>
    <t>0002076</t>
  </si>
  <si>
    <t xml:space="preserve">CANDADO 700 70MM </t>
  </si>
  <si>
    <t>0002075</t>
  </si>
  <si>
    <t>SERIE INGLÉS</t>
  </si>
  <si>
    <t>CANDADO Y150 4 COMBINACIÓN 40MM B</t>
  </si>
  <si>
    <t>0008502</t>
  </si>
  <si>
    <t>CANDADO Y150 3 COMBINACIÓN 30MM B</t>
  </si>
  <si>
    <t>0008501</t>
  </si>
  <si>
    <t>CANDADO Y150 3 COMBINACIÓN 22MM B</t>
  </si>
  <si>
    <t>0008409</t>
  </si>
  <si>
    <t>CANDADO Y110 AJUSTABLE 50MM B</t>
  </si>
  <si>
    <t>0008402</t>
  </si>
  <si>
    <t>CANDADO Y110 LARGO 40MM B</t>
  </si>
  <si>
    <t>0008809</t>
  </si>
  <si>
    <t>CANDADO Y110 PROTEGIDO 40MM B</t>
  </si>
  <si>
    <t>0008404</t>
  </si>
  <si>
    <t>CANDADO Y110 IGUALADO X2 30MM B</t>
  </si>
  <si>
    <t>0008401</t>
  </si>
  <si>
    <t>CANDADO 110 70MM B</t>
  </si>
  <si>
    <t>0001110</t>
  </si>
  <si>
    <t>CANDADO 110 60MM B</t>
  </si>
  <si>
    <t>0001109</t>
  </si>
  <si>
    <t>CANDADO 110 50MM B</t>
  </si>
  <si>
    <t>0001108</t>
  </si>
  <si>
    <t>CANDADO 110 40MM B</t>
  </si>
  <si>
    <t>0001107</t>
  </si>
  <si>
    <t>CANDADO 110 30MM B</t>
  </si>
  <si>
    <t>0001106</t>
  </si>
  <si>
    <t>CANDADO 110 25MM B</t>
  </si>
  <si>
    <t>0010564</t>
  </si>
  <si>
    <t>CANDADO 110 20MM B</t>
  </si>
  <si>
    <t>0010563</t>
  </si>
  <si>
    <t>CANDADO 110 70MM C</t>
  </si>
  <si>
    <t>0001105</t>
  </si>
  <si>
    <t>CANDADO 110 60MM C</t>
  </si>
  <si>
    <t>0001104</t>
  </si>
  <si>
    <t>CANDADO 110 50MM C</t>
  </si>
  <si>
    <t>0001103</t>
  </si>
  <si>
    <t>CANDADO 110 40MM C</t>
  </si>
  <si>
    <t>0001102</t>
  </si>
  <si>
    <t>CANDADO 110 30MM C</t>
  </si>
  <si>
    <t>0001101</t>
  </si>
  <si>
    <t>CANDADO 110 25MM C</t>
  </si>
  <si>
    <t>0010566</t>
  </si>
  <si>
    <t>CANDADO 110 20MM C</t>
  </si>
  <si>
    <t>0010565</t>
  </si>
  <si>
    <t>SERIE ITALIANA</t>
  </si>
  <si>
    <t>CANDADO 221 INTEMPERIE 61MM B</t>
  </si>
  <si>
    <t>0008505</t>
  </si>
  <si>
    <t>CANDADO 221 INTEMPERIE 52MM B</t>
  </si>
  <si>
    <t>0008504</t>
  </si>
  <si>
    <t>LAMINADO 221</t>
  </si>
  <si>
    <t>CANDADO 220 INTEMPERIE 71MM B</t>
  </si>
  <si>
    <t>0008817</t>
  </si>
  <si>
    <t>CANDADO 220 INTEMPERIE 61MM B</t>
  </si>
  <si>
    <t>0008816</t>
  </si>
  <si>
    <t>CANDADO 220 INTEMPERIE 51MM B</t>
  </si>
  <si>
    <t>0008815</t>
  </si>
  <si>
    <t>LAMINADO 220</t>
  </si>
  <si>
    <t>CANDADO 800 INTEMPERIE AMARILLO 70MM P</t>
  </si>
  <si>
    <t>0002071</t>
  </si>
  <si>
    <t>CANDADO 800 INTEMPERIE AMARILLO 70MM</t>
  </si>
  <si>
    <t>0002047</t>
  </si>
  <si>
    <t>CANDADO 800 INTEMPERIE AMARILLO 50MM</t>
  </si>
  <si>
    <t>0002041</t>
  </si>
  <si>
    <t>ALEMÁN</t>
  </si>
  <si>
    <t>SERIE INTEMPERIE</t>
  </si>
  <si>
    <t>CAD ALEMÁN INTE 800 70MM IGUAL</t>
  </si>
  <si>
    <t>0002138</t>
  </si>
  <si>
    <t>CAD ALEMÁN INTE 800 50MM IGUAL</t>
  </si>
  <si>
    <t>0002137</t>
  </si>
  <si>
    <t>CAD ALEMÁN 800 70MM IGUAL</t>
  </si>
  <si>
    <t>0002139</t>
  </si>
  <si>
    <t>CAD ALEMÁN 800 50MM IGUAL</t>
  </si>
  <si>
    <t>0002140</t>
  </si>
  <si>
    <t>CAD ALEMÁN 800 40MM IGUAL</t>
  </si>
  <si>
    <t>0002141</t>
  </si>
  <si>
    <t>Candado Alemán Igualado</t>
  </si>
  <si>
    <t>CAD ALEMÁN INTE 800 70MM AMAES</t>
  </si>
  <si>
    <t>0002135</t>
  </si>
  <si>
    <t>CAD ALEMÁN INTE 800 50MM AMAES</t>
  </si>
  <si>
    <t>0002136</t>
  </si>
  <si>
    <t>CAD ALEMÁN 800 70MM AMAESTRADO</t>
  </si>
  <si>
    <t>0002134</t>
  </si>
  <si>
    <t>CAD ALEMÁN 800 50MM AMAESTRADO</t>
  </si>
  <si>
    <t>0002133</t>
  </si>
  <si>
    <t>CAD ALEMÁN 800 40MM AMAESTRADO</t>
  </si>
  <si>
    <t>0002132</t>
  </si>
  <si>
    <t>Candado Alemán Amaestrado</t>
  </si>
  <si>
    <t>SERIE ALEMÁN CON SERVICIOS</t>
  </si>
  <si>
    <t>CAD CORTINA 163 INTE 90MM B</t>
  </si>
  <si>
    <t>0006985</t>
  </si>
  <si>
    <t>CAD CORTINA 163 INTE 80MM B</t>
  </si>
  <si>
    <t>0006984</t>
  </si>
  <si>
    <t>CANDADO 162 90MM B</t>
  </si>
  <si>
    <t>0010720</t>
  </si>
  <si>
    <t>CANDADO 162 80MM B</t>
  </si>
  <si>
    <t>0010719</t>
  </si>
  <si>
    <t>CANDADO 162 70MM B</t>
  </si>
  <si>
    <t>0010718</t>
  </si>
  <si>
    <t>SERIE CORTINA</t>
  </si>
  <si>
    <t>CANDADO Y124 CORTINA 70MM B</t>
  </si>
  <si>
    <t>0008407</t>
  </si>
  <si>
    <t>CANDADO Y124 CORTINA 60MM B</t>
  </si>
  <si>
    <t>0008406</t>
  </si>
  <si>
    <t>SERIE SUECA</t>
  </si>
  <si>
    <t>CANDADO 161 ACORAZADO 90MM</t>
  </si>
  <si>
    <t>0010976</t>
  </si>
  <si>
    <t>CANDADO 161 ACORAZADO 80MM</t>
  </si>
  <si>
    <t>0010630</t>
  </si>
  <si>
    <t>SERIE ACORAZADA</t>
  </si>
  <si>
    <t>PROTECTOR GANCHO 870</t>
  </si>
  <si>
    <t>0002055</t>
  </si>
  <si>
    <t>PROTECTOR GANCHO 850</t>
  </si>
  <si>
    <t>0002057</t>
  </si>
  <si>
    <t xml:space="preserve">CANDADO 800 70 GANCHO PROTEGIDO </t>
  </si>
  <si>
    <t>0002015</t>
  </si>
  <si>
    <t>CANDADO 800 50 GANCHO PROTEGIDO</t>
  </si>
  <si>
    <t>0002046</t>
  </si>
  <si>
    <t>CANDADO 800 70MM P B</t>
  </si>
  <si>
    <t>0002072</t>
  </si>
  <si>
    <t>CANDADO 800 70MM P</t>
  </si>
  <si>
    <t>0002070</t>
  </si>
  <si>
    <t>CANDADO 800 70MM B</t>
  </si>
  <si>
    <t>0002013</t>
  </si>
  <si>
    <t>CANDADO 800 50MM B</t>
  </si>
  <si>
    <t>0002012</t>
  </si>
  <si>
    <t>CANDADO 800 40MM B</t>
  </si>
  <si>
    <t>0002011</t>
  </si>
  <si>
    <t>CANDADO 800 70MM</t>
  </si>
  <si>
    <t>0002003</t>
  </si>
  <si>
    <t>CANDADO 800 50MM</t>
  </si>
  <si>
    <t>0002002</t>
  </si>
  <si>
    <t>CANDADO 800 40MM</t>
  </si>
  <si>
    <t>0002001</t>
  </si>
  <si>
    <t>SERIE ALEMÁN</t>
  </si>
  <si>
    <t>CANDADOS</t>
  </si>
  <si>
    <t>CERROJO INSTITUCIONAL US26D LL</t>
  </si>
  <si>
    <t>0009045</t>
  </si>
  <si>
    <t>CERROJOS</t>
  </si>
  <si>
    <t>MANIJA FLORIDA CROMO SATINADO ALCOBA</t>
  </si>
  <si>
    <t>0009091</t>
  </si>
  <si>
    <t>MANIJA FLORIDA CROMO SATINADO AULA</t>
  </si>
  <si>
    <t>0009043</t>
  </si>
  <si>
    <t>MANIJA FLORIDA CROMO SATINADO BODEGA</t>
  </si>
  <si>
    <t>0009049</t>
  </si>
  <si>
    <t>MANIJA FLORIDA CROMO SATINADO BAÑO</t>
  </si>
  <si>
    <t>0009044</t>
  </si>
  <si>
    <t>FLORIDA</t>
  </si>
  <si>
    <t>MANIJAS INSTITUCIONALES</t>
  </si>
  <si>
    <t>COMBO CAROLINA CROMADO INOX ENTRADA</t>
  </si>
  <si>
    <t>0006618</t>
  </si>
  <si>
    <t>COMBO AUSTIN CROMO SATINADO ENTRADA</t>
  </si>
  <si>
    <t>0006616</t>
  </si>
  <si>
    <t>COMBOS ENTRADA PRINCIPAL</t>
  </si>
  <si>
    <t>MANILLÓN WALES NEGRO LL</t>
  </si>
  <si>
    <t>0011281</t>
  </si>
  <si>
    <t>MANILLÓN WALES NEGRO LM</t>
  </si>
  <si>
    <t>0011280</t>
  </si>
  <si>
    <t>MANILLÓN WALES LATÓN ANTIGUO LL</t>
  </si>
  <si>
    <t>0008986</t>
  </si>
  <si>
    <t>MANILLÓN WALES LATÓN ANTIGUO LM</t>
  </si>
  <si>
    <t>0008989</t>
  </si>
  <si>
    <t>MANILLÓN WALES LATÓN BRILLANTE LL</t>
  </si>
  <si>
    <t>0009020</t>
  </si>
  <si>
    <t>MANILLÓN WALES LATÓN BRILLANTE LM</t>
  </si>
  <si>
    <t>0008988</t>
  </si>
  <si>
    <t>MANILLÓN WALES CROMO SATINADO LL</t>
  </si>
  <si>
    <t>0008987</t>
  </si>
  <si>
    <t>MANILLÓN WALES CROMO SATINADO LM</t>
  </si>
  <si>
    <t>0008991</t>
  </si>
  <si>
    <t>WALES</t>
  </si>
  <si>
    <t>MANILLÓN LIVERPOOL NEGRO LL</t>
  </si>
  <si>
    <t>0009825</t>
  </si>
  <si>
    <t>MANILLÓN LIVERPOOL NEGRO LM</t>
  </si>
  <si>
    <t>0009826</t>
  </si>
  <si>
    <t>MANILLÓN LIVERPOOL CROMO SATINADO LL</t>
  </si>
  <si>
    <t>0009030</t>
  </si>
  <si>
    <t>MANILLÓN LIVERPOOL CROMO SATINADO LM</t>
  </si>
  <si>
    <t>0009031</t>
  </si>
  <si>
    <t>LIVERPOOL</t>
  </si>
  <si>
    <t>MANILLONES</t>
  </si>
  <si>
    <t xml:space="preserve"> </t>
  </si>
  <si>
    <t>CERROJO OSLO CROMADO INOX LL</t>
  </si>
  <si>
    <t>0006749</t>
  </si>
  <si>
    <t>CERROJO OSLO CROMADO INOX LM</t>
  </si>
  <si>
    <t>0006755</t>
  </si>
  <si>
    <t>CERROJOS PHILLIPS</t>
  </si>
  <si>
    <t>CERROJO KENT US26D CM</t>
  </si>
  <si>
    <t>0005678</t>
  </si>
  <si>
    <t>CERROJO KENT NEGRO LL</t>
  </si>
  <si>
    <t>0008770</t>
  </si>
  <si>
    <t>CERROJO KENT NEGRO LM</t>
  </si>
  <si>
    <t>0008769</t>
  </si>
  <si>
    <t>CERROJO KENT CROMO SATINADO LL</t>
  </si>
  <si>
    <t>0004100</t>
  </si>
  <si>
    <t>CERROJO KENT CROMO SATINADO LM</t>
  </si>
  <si>
    <t>0004099</t>
  </si>
  <si>
    <t>Kent</t>
  </si>
  <si>
    <t>CERROJO 170 NIQUEL BRILLANTE LL VIDRIO</t>
  </si>
  <si>
    <t>0004046</t>
  </si>
  <si>
    <t>CERROJO 170 NIQUEL BRILLANTE LM VIDRIO</t>
  </si>
  <si>
    <t>0004047</t>
  </si>
  <si>
    <t>170 para puertas de vidrio</t>
  </si>
  <si>
    <t>CERR 170 US14 PLACA CUAD LL</t>
  </si>
  <si>
    <t>0004250</t>
  </si>
  <si>
    <t>170 con placa cuadrada</t>
  </si>
  <si>
    <t>CERROJO 170 NIQUEL BRILLANTE RESBALÓN LL</t>
  </si>
  <si>
    <t>0004044</t>
  </si>
  <si>
    <t>170 con pestillo resbalón</t>
  </si>
  <si>
    <t>CERROJO 170 NEGRO LL</t>
  </si>
  <si>
    <t>0009282</t>
  </si>
  <si>
    <t>CERROJO 170 NEGRO LM</t>
  </si>
  <si>
    <t>0009283</t>
  </si>
  <si>
    <t>CERROJO 170 LATÓN BRILLANTE LL</t>
  </si>
  <si>
    <t>0004012</t>
  </si>
  <si>
    <t>CERROJO 170 CROMO SATINADO LL</t>
  </si>
  <si>
    <t>0004085</t>
  </si>
  <si>
    <t>CERROJO 170 CROMO SATINADO LM</t>
  </si>
  <si>
    <t>0004086</t>
  </si>
  <si>
    <t>CERROJO 170 NIQUEL BRILLANTE LL</t>
  </si>
  <si>
    <t>0004011</t>
  </si>
  <si>
    <t>CERROJO 170 NIQUEL BRILLANTE LM</t>
  </si>
  <si>
    <t>0004080</t>
  </si>
  <si>
    <t>170 Tradicional</t>
  </si>
  <si>
    <t>CERROJO 170 LATÓN BRILLANTE LL P</t>
  </si>
  <si>
    <t>0004039</t>
  </si>
  <si>
    <t>CERROJO 170 CROMO SATINADO LL P</t>
  </si>
  <si>
    <t>0004087</t>
  </si>
  <si>
    <t>CERROJO 170 NIQUEL BRILLANTE LL P</t>
  </si>
  <si>
    <t>0004038</t>
  </si>
  <si>
    <t>CERROJO 170 NIQUEL BRILLANTE LM P</t>
  </si>
  <si>
    <t>0004082</t>
  </si>
  <si>
    <t>170 llave plana</t>
  </si>
  <si>
    <t>CERROJO EMBUTIR 3 BULONES LL</t>
  </si>
  <si>
    <t>0007026</t>
  </si>
  <si>
    <t>CERROJO EMBUTIR 3 BULONES LM</t>
  </si>
  <si>
    <t>0007047</t>
  </si>
  <si>
    <t>Línea embutir</t>
  </si>
  <si>
    <t>MANIJA DAKOTA CROMADO INOX ALCOBA</t>
  </si>
  <si>
    <t>0006738</t>
  </si>
  <si>
    <t>MANIJA DAKOTA CROMADO INOX BAÑO</t>
  </si>
  <si>
    <t>0006745</t>
  </si>
  <si>
    <t>MANIJAS PHILLIPS</t>
  </si>
  <si>
    <t>MANIJA AUSTIN NEGRA ENTRADA</t>
  </si>
  <si>
    <t>0006465</t>
  </si>
  <si>
    <t>MANIJA AUSTIN NEGRA ALCOBA</t>
  </si>
  <si>
    <t>0006467</t>
  </si>
  <si>
    <t>MANIJA AUSTIN NEGRA BAÑO</t>
  </si>
  <si>
    <t>0006466</t>
  </si>
  <si>
    <t>MANIJA AUSTIN LATÓN ANTIGUO ENTRADA</t>
  </si>
  <si>
    <t>0006460</t>
  </si>
  <si>
    <t>MANIJA AUSTIN LATÓN ANTIGUO ALCOBA</t>
  </si>
  <si>
    <t>0006462</t>
  </si>
  <si>
    <t>MANIJA AUSTIN LATÓN ANTIGUO BAÑO</t>
  </si>
  <si>
    <t>0006464</t>
  </si>
  <si>
    <t>MANIJA AUSTIN CROMO SATINADO ENTRADA</t>
  </si>
  <si>
    <t>0006476</t>
  </si>
  <si>
    <t>MANIJA AUSTIN CROMO SATINADO ALCOBA</t>
  </si>
  <si>
    <t>0006481</t>
  </si>
  <si>
    <t>MANIJA AUSTIN CROMO SATINADO BAÑO</t>
  </si>
  <si>
    <t>0006478</t>
  </si>
  <si>
    <t>LINEA AUSTIN</t>
  </si>
  <si>
    <t>MANIJA FILADELFIA NEGRA ENTRADA</t>
  </si>
  <si>
    <t>0009873</t>
  </si>
  <si>
    <t>MANIJA FILADELFIA NEGRA ALCOBA</t>
  </si>
  <si>
    <t>0009871</t>
  </si>
  <si>
    <t>MANIJA FILADELFIA NEGRA BAÑO</t>
  </si>
  <si>
    <t>0009872</t>
  </si>
  <si>
    <t>MANIJA FILADELFIA NIQUEL SATINADO ENTRADA</t>
  </si>
  <si>
    <t>0009870</t>
  </si>
  <si>
    <t>MANIJA FILADELFIA NIQUEL SATINADO ALCOBA</t>
  </si>
  <si>
    <t>0009868</t>
  </si>
  <si>
    <t>MANIJA FILADELFIA NIQUEL SATINADO BAÑO</t>
  </si>
  <si>
    <t>0009869</t>
  </si>
  <si>
    <t>LINEA FILADELFIA</t>
  </si>
  <si>
    <t>MANIJA BARI GRIS MATE ENTRADA</t>
  </si>
  <si>
    <t>0004487</t>
  </si>
  <si>
    <t>MANIJA BARI GRIS MATE ALCOBA</t>
  </si>
  <si>
    <t>0004488</t>
  </si>
  <si>
    <t>MANIJA BARI GRIS MATE BAÑO</t>
  </si>
  <si>
    <t>0004486</t>
  </si>
  <si>
    <t>MANIJA BARI NEGRA ENTRADA</t>
  </si>
  <si>
    <t>0009103</t>
  </si>
  <si>
    <t>MANIJA BARI NEGRA ALCOBA</t>
  </si>
  <si>
    <t>0009105</t>
  </si>
  <si>
    <t>MANIJA BARI NEGRA BAÑO</t>
  </si>
  <si>
    <t>0009104</t>
  </si>
  <si>
    <t>MANIJA BARI NIQUEL SATINADO ENTRADA</t>
  </si>
  <si>
    <t>0009059</t>
  </si>
  <si>
    <t>MANIJA BARI NIQUEL SATINADO ALCOBA</t>
  </si>
  <si>
    <t>0009055</t>
  </si>
  <si>
    <t>MANIJA BARI NIQUEL SATINADO BAÑO</t>
  </si>
  <si>
    <t>0009054</t>
  </si>
  <si>
    <t>LINEA BARI</t>
  </si>
  <si>
    <t>MANIJA NAPOLES US19 ENT</t>
  </si>
  <si>
    <t>0005686</t>
  </si>
  <si>
    <t>MANIJA NAPOLES US19 BAÑ</t>
  </si>
  <si>
    <t>0005685</t>
  </si>
  <si>
    <t>MANIJA NAPOLES US19 ALC</t>
  </si>
  <si>
    <t>0005684</t>
  </si>
  <si>
    <t>MANIJA NAPOLES US15 ENT</t>
  </si>
  <si>
    <t>0005683</t>
  </si>
  <si>
    <t>MANIJA NAPOLES US15 BAÑO</t>
  </si>
  <si>
    <t>0005682</t>
  </si>
  <si>
    <t>MANIJA NAPOLES US15 ALC</t>
  </si>
  <si>
    <t>0005681</t>
  </si>
  <si>
    <t>LÍNEA NAPOLES</t>
  </si>
  <si>
    <t>MANIJA ROMA NEGRA ENTRADA</t>
  </si>
  <si>
    <t>0009893</t>
  </si>
  <si>
    <t>MANIJA ROMA NEGRA ALCOBA</t>
  </si>
  <si>
    <t>0009891</t>
  </si>
  <si>
    <t>MANIJA ROMA NEGRA BAÑO</t>
  </si>
  <si>
    <t>0009892</t>
  </si>
  <si>
    <t>MANIJA ROMA NIQUEL SATINADO ENTRADA</t>
  </si>
  <si>
    <t>0009890</t>
  </si>
  <si>
    <t>MANIJA ROMA NIQUEL SATINADO ALCOBA</t>
  </si>
  <si>
    <t>0009888</t>
  </si>
  <si>
    <t>MANIJA ROMA NIQUEL SATINADO BAÑO</t>
  </si>
  <si>
    <t>0009889</t>
  </si>
  <si>
    <t xml:space="preserve">LÍNEA ROMA </t>
  </si>
  <si>
    <t>MANIJAS RESIDENCIALES</t>
  </si>
  <si>
    <t>POMO DENVER CROMADO INOX ENTRADA</t>
  </si>
  <si>
    <t>0006747</t>
  </si>
  <si>
    <t>POMO DENVER CROMADO INOX ALCOBA</t>
  </si>
  <si>
    <t>0006746</t>
  </si>
  <si>
    <t>POMO DENVER CROMADO INOX BAÑO</t>
  </si>
  <si>
    <t>0006748</t>
  </si>
  <si>
    <t>POMO PHILLIPS</t>
  </si>
  <si>
    <t>KIT INSTALACIÓN POMOS Y MANIJAS</t>
  </si>
  <si>
    <t>0006388</t>
  </si>
  <si>
    <t>POMO DUBLÍN MADERA ALCOBA</t>
  </si>
  <si>
    <t>0006382</t>
  </si>
  <si>
    <t>POMO DUBLÍN MADERA BAÑO</t>
  </si>
  <si>
    <t>0006381</t>
  </si>
  <si>
    <t>LINEA DUBLÍN</t>
  </si>
  <si>
    <t>POMO LITCHFIELD CROMADO INOX ENTRADA</t>
  </si>
  <si>
    <t>0006378</t>
  </si>
  <si>
    <t>POMO LITCHFIELD CROMADO INOX ALCOBA</t>
  </si>
  <si>
    <t>0006375</t>
  </si>
  <si>
    <t>POMO LITCHFIELD CROMADO INOX BAÑO</t>
  </si>
  <si>
    <t>0006373</t>
  </si>
  <si>
    <t>LINEA LITCHFIELD</t>
  </si>
  <si>
    <t>POMO CAROLINA NEGRO ENTRADA</t>
  </si>
  <si>
    <t>0008782</t>
  </si>
  <si>
    <t>POMO CAROLINA NEGRO ALCOBA</t>
  </si>
  <si>
    <t>0008783</t>
  </si>
  <si>
    <t>POMO CAROLINA NEGRO BAÑO</t>
  </si>
  <si>
    <t>0008784</t>
  </si>
  <si>
    <t>POMO CAROLINA LATÓN ANTIGUO ENTRADA</t>
  </si>
  <si>
    <t>0006451</t>
  </si>
  <si>
    <t>POMO CAROLINA LATÓN ANTIGUO ALCOBA</t>
  </si>
  <si>
    <t>0006458</t>
  </si>
  <si>
    <t>POMO CAROLINA LATÓN ANTIGUO BAÑO</t>
  </si>
  <si>
    <t>0006457</t>
  </si>
  <si>
    <t>POMO CAROLINA CROMADO INOX ENTRADA</t>
  </si>
  <si>
    <t>0006377</t>
  </si>
  <si>
    <t>POMO CAROLINA CROMADO INOX ALCOBA</t>
  </si>
  <si>
    <t>0006376</t>
  </si>
  <si>
    <t>POMO CAROLINA CROMADO INOX BAÑO</t>
  </si>
  <si>
    <t>0006374</t>
  </si>
  <si>
    <t>LINEA CAROLINA</t>
  </si>
  <si>
    <t>POMO RÚSTICA ALCOBA BLISTER</t>
  </si>
  <si>
    <t>0009303</t>
  </si>
  <si>
    <t>POMO RÚSTICA BAÑO BLISTER</t>
  </si>
  <si>
    <t>0009302</t>
  </si>
  <si>
    <t xml:space="preserve">LINEA RÚSTICA </t>
  </si>
  <si>
    <t>POMOS</t>
  </si>
  <si>
    <t>RESIDENCIAL</t>
  </si>
  <si>
    <t>COMBO 60MM 3 BULONES RÚSTICA MANIJA JALADERA</t>
  </si>
  <si>
    <t>0009310</t>
  </si>
  <si>
    <t>COMBO 60MM 3 BULONES RÚSTICA MANIJA MANIJA</t>
  </si>
  <si>
    <t>0009311</t>
  </si>
  <si>
    <t>RÚSTICA</t>
  </si>
  <si>
    <t>COMBO 60MM 4 BULONES BARI PLACA GRANDE CIL 62 LL</t>
  </si>
  <si>
    <t>0006960</t>
  </si>
  <si>
    <t>COMBO 60MM 4 BULONES BARI PLACA GRANDE CIL 62 LM</t>
  </si>
  <si>
    <t>0006961</t>
  </si>
  <si>
    <t>COMBO 50MM 4 BULONES BARI PLACA GRANDE CIL 62 LL</t>
  </si>
  <si>
    <t>0006958</t>
  </si>
  <si>
    <t>COMBO 50MM 4 BULONES BARI PLACA GRANDE CIL 62 LM</t>
  </si>
  <si>
    <t>0006959</t>
  </si>
  <si>
    <t>COMBO 50MM 4 BULONES BARI PLACA PEQUEÑA CIL 62 LL</t>
  </si>
  <si>
    <t>0006950</t>
  </si>
  <si>
    <t>COMBO 50MM 4 BULONES BARI PLACA PEQUEÑA CIL 62 LM</t>
  </si>
  <si>
    <t>0006951</t>
  </si>
  <si>
    <t xml:space="preserve">Con placa cuadrada Grande y Pequeña </t>
  </si>
  <si>
    <t>COMBO 60 4 BULONES BARI PLACA CUADRADA CIL 62 LL NEGRO</t>
  </si>
  <si>
    <t>0009723</t>
  </si>
  <si>
    <t>COMBO 60 4 BULONES BARI PLACA CUADRADA CIL 62 LM NEGRO</t>
  </si>
  <si>
    <t>0009724</t>
  </si>
  <si>
    <t>COMBO 50 4 BULONES BARI PLACA CUADRADA CIL 62 LL NEGRO</t>
  </si>
  <si>
    <t>0009721</t>
  </si>
  <si>
    <t>COMBO 50 4 BULONES BARI PLACA CUADRADA CIL 62 LM NEGRO</t>
  </si>
  <si>
    <t>0009722</t>
  </si>
  <si>
    <t>Con placa cuadrada Negro</t>
  </si>
  <si>
    <t>COMBO 60 4 BULONES BARI PLACA CUADRADA CIL 62 LL</t>
  </si>
  <si>
    <t>0006828</t>
  </si>
  <si>
    <t>COMBO 60 4 BULONES BARI PLACA CUADRADA CIL 62 LM</t>
  </si>
  <si>
    <t>0006829</t>
  </si>
  <si>
    <t>Con placa cuadrada Backset 60</t>
  </si>
  <si>
    <t>COMBO 50 4 BULONES GENOVA PLACA CUADRADA CIL 62 LL</t>
  </si>
  <si>
    <t>0007075</t>
  </si>
  <si>
    <t>COMBO 50 4 BULONES GENOVA PLACA CUADRADA CIL 62 LM</t>
  </si>
  <si>
    <t>0007074</t>
  </si>
  <si>
    <t>COMBO 50 4 BULONES BARI PLACA CUADRADA CIL 62 LL</t>
  </si>
  <si>
    <t>0007071</t>
  </si>
  <si>
    <t>COMBO 50 4 BULONES BARI PLACA CUADRADA CIL 62 LM</t>
  </si>
  <si>
    <t>0007070</t>
  </si>
  <si>
    <t>COMBO 50 4 BULONES MILAN PLACA CUADRADA CIL 62 LL</t>
  </si>
  <si>
    <t>0007067</t>
  </si>
  <si>
    <t>COMBO 50 4 BULONES MILAN PLACA CUADRADA CIL 62 LM</t>
  </si>
  <si>
    <t>0007066</t>
  </si>
  <si>
    <t>Con placa cuadrada Backset 50</t>
  </si>
  <si>
    <t>COMBO 50 4 BULONES GENOVA PLACA REDONDA CIL 62 LL</t>
  </si>
  <si>
    <t>0007073</t>
  </si>
  <si>
    <t>COMBO 50 4 BULONES GENOVA PLACA REDONDA CIL 62 LM</t>
  </si>
  <si>
    <t>0007072</t>
  </si>
  <si>
    <t>COMBO 50 4 BULONES MILAN PLACA REDONDA CIL 62 LL</t>
  </si>
  <si>
    <t>0007065</t>
  </si>
  <si>
    <t>COMBO 50 4 BULONES MILAN PLACA REDONDA CIL 62 LM</t>
  </si>
  <si>
    <t>0007064</t>
  </si>
  <si>
    <t>COMBO 50 4 BULONES AUSTIN PLACA REDONDA CIL 62 LL</t>
  </si>
  <si>
    <t>0006774</t>
  </si>
  <si>
    <t>COMBO 50 4 BULONES AUSTIN PLACA REDONDA CIL 62 LM</t>
  </si>
  <si>
    <t>0006775</t>
  </si>
  <si>
    <t>Con placa redonda Backset 50</t>
  </si>
  <si>
    <t>COMBOS CON MANIJA CON PLACA</t>
  </si>
  <si>
    <t>COMBO 50 4 BULONES GENOVA ROSETA CUADRADA CIL 62 LL</t>
  </si>
  <si>
    <t>0006630</t>
  </si>
  <si>
    <t>COMBO 50 4 BULONES GENOVA ROSETA CUADRADA CIL 62 LM</t>
  </si>
  <si>
    <t>0006633</t>
  </si>
  <si>
    <t>COMBO 50 4 BULONES BARI ROSETA CUADRADA CIL 62 LL</t>
  </si>
  <si>
    <t>0006634</t>
  </si>
  <si>
    <t>COMBO 50 4 BULONES BARI ROSETA CUADRADA CIL 62 LM</t>
  </si>
  <si>
    <t>0006632</t>
  </si>
  <si>
    <t>COMBO 50 4 BULONES MILAN ROSETA CUADRADA CIL 62 LL</t>
  </si>
  <si>
    <t>0006631</t>
  </si>
  <si>
    <t>COMBO 50 4 BULONES MILAN ROSETA CUADRADA CIL 62 LM</t>
  </si>
  <si>
    <t>0006629</t>
  </si>
  <si>
    <t>Con roseta cuadrada Backset 50</t>
  </si>
  <si>
    <t>COMBO 60 4 BULONES GENOVA ROSETA REDONDA CIL 62 LL ESCUDO</t>
  </si>
  <si>
    <t>0006808</t>
  </si>
  <si>
    <t>COMBO 60 4 BULONES GENOVA ROSETA REDONDA CIL 62 LM ESCUDO</t>
  </si>
  <si>
    <t>0006809</t>
  </si>
  <si>
    <t>COMBO 60 4 BULONES MILAN ROSETA REDONDA CIL 62 LL ESCUDO</t>
  </si>
  <si>
    <t>0006806</t>
  </si>
  <si>
    <t>COMBO 60 4 BULONES MILAN ROSETA REDONDA CIL 62 LM ESCUDO</t>
  </si>
  <si>
    <t>0006807</t>
  </si>
  <si>
    <t>COMBO 60 4 BULONES AUSTIN ROSETA REDONDA CIL 62 LL ESCUDO</t>
  </si>
  <si>
    <t>0006810</t>
  </si>
  <si>
    <t>COMBO 60 4 BULONES AUSTIN ROSETA REDONDA CIL 62 LM ESCUDO</t>
  </si>
  <si>
    <t>0006811</t>
  </si>
  <si>
    <t>Con roseta redonda y escudo antitaladro Backset 60</t>
  </si>
  <si>
    <t>COMBO 50 4 BULONES GENOVA ROSETA REDONDA CIL 62 LL ESCUDO</t>
  </si>
  <si>
    <t>0006713</t>
  </si>
  <si>
    <t>COMBO 50 4 BULONES GENOVA ROSETA REDONDA CIL 62 LM ESCUDO</t>
  </si>
  <si>
    <t>0006706</t>
  </si>
  <si>
    <t>COMBO 50 4 BULONES MILAN ROSETA REDONDA CIL 62 LL ESCUDO</t>
  </si>
  <si>
    <t>0006707</t>
  </si>
  <si>
    <t>COMBO 50 4 BULONES MILAN ROSETA REDONDA CIL 62 LM ESCUDO</t>
  </si>
  <si>
    <t>0006711</t>
  </si>
  <si>
    <t>COMBO 50 4 BULONES AUSTIN ROSETA REDONDA CIL 62 LL ESCUDO</t>
  </si>
  <si>
    <t>0006780</t>
  </si>
  <si>
    <t>COMBO 50 4 BULONES AUSTIN ROSETA REDONDA CIL 62 LM ESCUDO</t>
  </si>
  <si>
    <t>0006782</t>
  </si>
  <si>
    <t>Con roseta redonda y escudo antitaladro Backset 50</t>
  </si>
  <si>
    <t>COMBO 50 4 BULONES GENOVA ROSETA REDONDA CIL 62 LL</t>
  </si>
  <si>
    <t>0006686</t>
  </si>
  <si>
    <t xml:space="preserve">COMBO 50 4 BULONES GENOVA ROSETA REDONDA CIL 62 LM </t>
  </si>
  <si>
    <t>0006687</t>
  </si>
  <si>
    <t>COMBO 50 4 BULONES MILAN ROSETA REDONDA CIL 62 LL</t>
  </si>
  <si>
    <t>0006625</t>
  </si>
  <si>
    <t xml:space="preserve">COMBO 50 4 BULONES MILAN ROSETA REDONDA CIL 62 LM </t>
  </si>
  <si>
    <t>0006626</t>
  </si>
  <si>
    <t>COMBO 50 4 BULONES AUSTIN ROSETA REDONDA CIL 62 LL</t>
  </si>
  <si>
    <t>0006781</t>
  </si>
  <si>
    <t>COMBO 50 4 BULONES AUSTIN ROSETA REDONDA CIL 62 LM</t>
  </si>
  <si>
    <t>0006783</t>
  </si>
  <si>
    <t>Con roseta redonda Backset 50</t>
  </si>
  <si>
    <t>COMBOS CON MANIJA CON ROSETA</t>
  </si>
  <si>
    <t>ESCUDO ANTITALADRO NIQUEL SATINADO</t>
  </si>
  <si>
    <t>0009083</t>
  </si>
  <si>
    <t>ESCUDOS</t>
  </si>
  <si>
    <t>MANIJA BARI PLACA CUADRADA GRANDE ACERO INOX</t>
  </si>
  <si>
    <t>0009173</t>
  </si>
  <si>
    <t>MANIJA BARI PLACA CUADRADA PEQUEÑA ACERO INOX</t>
  </si>
  <si>
    <t>0009172</t>
  </si>
  <si>
    <t>MANIJA BARI PLACA CUADRADA NEGRA</t>
  </si>
  <si>
    <t>0007140</t>
  </si>
  <si>
    <t>MANIJA BARI PLACA CUADRADA ACERO INOX</t>
  </si>
  <si>
    <t>0007060</t>
  </si>
  <si>
    <t>MANIJA MILÁN PLACA CUADRADA ACERO INOX</t>
  </si>
  <si>
    <t>0007058</t>
  </si>
  <si>
    <t>MANIJA GENOVA PLACA REDONDA ACERO INOX</t>
  </si>
  <si>
    <t>0007061</t>
  </si>
  <si>
    <t>MANIJA MILÁN PLACA REDONDA ACERO INOX</t>
  </si>
  <si>
    <t>0007057</t>
  </si>
  <si>
    <t>MANIJAS CON PLACA</t>
  </si>
  <si>
    <t>MANIJA BARI ROSETA CUADRADA ACERO INOX</t>
  </si>
  <si>
    <t>0010515</t>
  </si>
  <si>
    <t>MANIJA GENOVA ROSETA CUADRADA ACERO INOX</t>
  </si>
  <si>
    <t>0010516</t>
  </si>
  <si>
    <t>MANIJA MILÁN ROSETA CUADRADA ACERO INOX</t>
  </si>
  <si>
    <t>0010519</t>
  </si>
  <si>
    <t>MANIJA GENOVA ROSETA REDONDA ACERO INOX</t>
  </si>
  <si>
    <t>0009087</t>
  </si>
  <si>
    <t>MANIJA AUSTIN ROSETA REDONDA ACERO INOX</t>
  </si>
  <si>
    <t>0007138</t>
  </si>
  <si>
    <t>MANIJA MILÁN ROSETA REDONDA ACERO INOX</t>
  </si>
  <si>
    <t>0010518</t>
  </si>
  <si>
    <t>MANIJAS CON ROSETA</t>
  </si>
  <si>
    <t>KIT 50MM 3 PUNTOS DE CIERRE + LL + ESCUDO</t>
  </si>
  <si>
    <t>0007053</t>
  </si>
  <si>
    <t>KIT EMBUTIR 50MM CIL 70 LL P</t>
  </si>
  <si>
    <t>0006685</t>
  </si>
  <si>
    <t>KIT EMBUTIR 50MM CIL 70 LM P</t>
  </si>
  <si>
    <t>0006684</t>
  </si>
  <si>
    <t>KIT EMBUTIR 50MM CIL 62 LL P</t>
  </si>
  <si>
    <t>0006662</t>
  </si>
  <si>
    <t>KIT EMBUTIR 50MM CIL 62 LM P</t>
  </si>
  <si>
    <t>0006666</t>
  </si>
  <si>
    <t xml:space="preserve">KITS con manija y placa </t>
  </si>
  <si>
    <t>CILINDRO 1100 BAÑO NEGRO PLUS 62MM</t>
  </si>
  <si>
    <t>0009702</t>
  </si>
  <si>
    <t>CILINDRO 1100 LM NEGRO PLUS 62MM</t>
  </si>
  <si>
    <t>0009704</t>
  </si>
  <si>
    <t>CILINDRO 1100 LL NEGRO PLUS 62MM</t>
  </si>
  <si>
    <t>0009703</t>
  </si>
  <si>
    <t>CILINDRO 1100 LM NEGRO PLUS 70MM</t>
  </si>
  <si>
    <t>0009706</t>
  </si>
  <si>
    <t>CILINDRO 1100 LL NEGRO PLUS 70MM</t>
  </si>
  <si>
    <t>0009705</t>
  </si>
  <si>
    <t>CILINDRO 1100 BAÑO NIQUEL SATINADO 62MM</t>
  </si>
  <si>
    <t>0007046</t>
  </si>
  <si>
    <t>CILINDRO 1100 LL NIQUEL SATINADO 62MM</t>
  </si>
  <si>
    <t>0010538</t>
  </si>
  <si>
    <t>CILINDRO 1100 LM NIQUEL SATINADO 62MM</t>
  </si>
  <si>
    <t>0010537</t>
  </si>
  <si>
    <t>CILINDRO 1100 LL NIQUEL SATINADO 70MM</t>
  </si>
  <si>
    <t>0009093</t>
  </si>
  <si>
    <t>CILINDRO 1100 LM NIQUEL SATINADO 70MM</t>
  </si>
  <si>
    <t>0009092</t>
  </si>
  <si>
    <t>1100 SEGURIDAD ESTÁNDAR</t>
  </si>
  <si>
    <t>CILINDRO 2100 LL NIQUEL SATINADO 60MM</t>
  </si>
  <si>
    <t>0009195</t>
  </si>
  <si>
    <t>CILINDRO 2100 LM NIQUEL SATINADO 60MM</t>
  </si>
  <si>
    <t>0009196</t>
  </si>
  <si>
    <t>CILINDRO 2100 LL NIQUEL SATINADO 70MM</t>
  </si>
  <si>
    <t>0009197</t>
  </si>
  <si>
    <t>CILINDRO 2100 LM NIQUEL SATINADO 70MM</t>
  </si>
  <si>
    <t>0009198</t>
  </si>
  <si>
    <t>CILINDRO 2100 LL NIQUEL SATINADO 80MM</t>
  </si>
  <si>
    <t>0009199</t>
  </si>
  <si>
    <t>CILINDRO 2100 LL NIQUEL SATINADO 90MM</t>
  </si>
  <si>
    <t>0009200</t>
  </si>
  <si>
    <t>CILINDRO 2100 LL NIQUEL SATINADO 100MM</t>
  </si>
  <si>
    <t>0009201</t>
  </si>
  <si>
    <t>2100 SEGURIDAD ALTA</t>
  </si>
  <si>
    <t>CILINDRO 3100 LL CROMO SATINADO 70MM</t>
  </si>
  <si>
    <t>0009202</t>
  </si>
  <si>
    <t>CILINDRO 3100 LM CROMO SATINADO 70MM</t>
  </si>
  <si>
    <t>0009203</t>
  </si>
  <si>
    <t xml:space="preserve">3100 SEGURIDAD MÁXIMA </t>
  </si>
  <si>
    <t>CILINDROS</t>
  </si>
  <si>
    <t>PESTILLO ROLLER</t>
  </si>
  <si>
    <t>0005389</t>
  </si>
  <si>
    <t>CASETE EMBUTIR 50MM 3 PUNTOS DE CIERRE</t>
  </si>
  <si>
    <t>0007048</t>
  </si>
  <si>
    <t>CASETE EMBUTIR 60MM 4 BULONES</t>
  </si>
  <si>
    <t>0004093</t>
  </si>
  <si>
    <t>CASETE EMBUTIR 50MM 4 BULONES</t>
  </si>
  <si>
    <t>0010520</t>
  </si>
  <si>
    <t>CASETE EMBUTIR 1 PASADOR 45MM</t>
  </si>
  <si>
    <t>0010526</t>
  </si>
  <si>
    <t>CASETE CERROJO EMBUTIR 3 BULONES 50MM AI</t>
  </si>
  <si>
    <t>0007045</t>
  </si>
  <si>
    <t>CASETE</t>
  </si>
  <si>
    <t>EMBUTIR PH PRO TETRA 4 BULONES</t>
  </si>
  <si>
    <t>0009866</t>
  </si>
  <si>
    <t>PRO TETRA PHILLIPS</t>
  </si>
  <si>
    <t>EMBUTIR PICO LORO 835 LM NIQUEL SATINADO</t>
  </si>
  <si>
    <t>0004095</t>
  </si>
  <si>
    <t>EMBUTIR PICO LORO 835 BAÑO NIQUEL SATINADO</t>
  </si>
  <si>
    <t>0004094</t>
  </si>
  <si>
    <t>EMBUTIR PICO LORO BLANCO CON CILINDRO</t>
  </si>
  <si>
    <t>0004092</t>
  </si>
  <si>
    <t>EMBUTIR PICO LORO NEGRO CON CILINDRO</t>
  </si>
  <si>
    <t>0004090</t>
  </si>
  <si>
    <t>EMBUTIR PICO LORO NATURAL CON CILINDRO</t>
  </si>
  <si>
    <t>0004056</t>
  </si>
  <si>
    <t>PICO DE LORO</t>
  </si>
  <si>
    <t>EMBUTIR 854 TETRA</t>
  </si>
  <si>
    <t>0007051</t>
  </si>
  <si>
    <t>EMBUTIR 854 CROMO SATINADO D LM</t>
  </si>
  <si>
    <t>0004054</t>
  </si>
  <si>
    <t>EMBUTIR 854 CROMO SATINADO D</t>
  </si>
  <si>
    <t>0004022</t>
  </si>
  <si>
    <t>EMBUTIR 854 CROMO SATINADO C MA</t>
  </si>
  <si>
    <t>0004149</t>
  </si>
  <si>
    <t>EMBUTIR 854 CROMO SATINADO S</t>
  </si>
  <si>
    <t>0004021</t>
  </si>
  <si>
    <t>EMBUTIR E45 FONTANA NIQUEL SATINADO I LL</t>
  </si>
  <si>
    <t>0004059</t>
  </si>
  <si>
    <t>EMBUTIR E45 FONTANA NIQUEL SATINADO E LL</t>
  </si>
  <si>
    <t>0004068</t>
  </si>
  <si>
    <t>EMBUTIR E45 FONTANA NIQUEL SATINADO I LM</t>
  </si>
  <si>
    <t>0004079</t>
  </si>
  <si>
    <t>EMBUTIR E45 FONTANA NIQUEL SATINADO E LM</t>
  </si>
  <si>
    <t>0004069</t>
  </si>
  <si>
    <t>EMBUTIR E35 FONTANA NIQUEL SATINADO I LL</t>
  </si>
  <si>
    <t>0004205</t>
  </si>
  <si>
    <t>EMBUTIR E35 FONTANA NIQUEL SATINADO E LL</t>
  </si>
  <si>
    <t>0004067</t>
  </si>
  <si>
    <t>EMBUTIR E35 FONTANA NIQUEL SATINADO I LM</t>
  </si>
  <si>
    <t>0004197</t>
  </si>
  <si>
    <t>EMBUTIR E35 FONTANA NIQUEL SATINADO E LM</t>
  </si>
  <si>
    <t>0004202</t>
  </si>
  <si>
    <t>EMBUTIR E25 FONTANA NIQUEL SATINADO I LL</t>
  </si>
  <si>
    <t>0004198</t>
  </si>
  <si>
    <t>EMBUTIR E25 FONTANA NIQUEL SATINADO E LL</t>
  </si>
  <si>
    <t>0004066</t>
  </si>
  <si>
    <t>EMBUTIR E25 FONTANA NIQUEL SATINADO I LM</t>
  </si>
  <si>
    <t>0004196</t>
  </si>
  <si>
    <t>EMBUTIR E25 FONTANA NIQUEL SATINADO E LM</t>
  </si>
  <si>
    <t>0004203</t>
  </si>
  <si>
    <t>EMBUTIR E20 FONTANA NIQUEL SATINADO I LL</t>
  </si>
  <si>
    <t>0004199</t>
  </si>
  <si>
    <t>EMBUTIR E20 FONTANA NIQUEL SATINADO E LL</t>
  </si>
  <si>
    <t>0004195</t>
  </si>
  <si>
    <t>EMBUTIR E20 FONTANA NIQUEL SATINADO E LM</t>
  </si>
  <si>
    <t>0004200</t>
  </si>
  <si>
    <t>EMBUTIR E45 CLÁSICA CROMO SATINADO E LL</t>
  </si>
  <si>
    <t>0004190</t>
  </si>
  <si>
    <t>EMBUTIR E45 CLÁSICA CROMO SATINADO I LL</t>
  </si>
  <si>
    <t>0004192</t>
  </si>
  <si>
    <t>EMBUTIR E45 CLÁSICA CROMO SATINADO E LM</t>
  </si>
  <si>
    <t>0004191</t>
  </si>
  <si>
    <t>EMBUTIR E35 CLÁSICA NEGRO I LL</t>
  </si>
  <si>
    <t>0004135</t>
  </si>
  <si>
    <t>EMBUTIR E35 CLÁSICA NEGRO E LL</t>
  </si>
  <si>
    <t>0004137</t>
  </si>
  <si>
    <t>EMBUTIR E35 CLÁSICA CROMO SATINADO I LL</t>
  </si>
  <si>
    <t>0004063</t>
  </si>
  <si>
    <t>EMBUTIR E35 CLÁSICA CROMO SATINADO E LL</t>
  </si>
  <si>
    <t>0004062</t>
  </si>
  <si>
    <t>EMBUTIR E25 CLÁSICA NEGRO I LL</t>
  </si>
  <si>
    <t>0004132</t>
  </si>
  <si>
    <t>EMBUTIR E25 CLÁSICA NEGRO E LL</t>
  </si>
  <si>
    <t>0004134</t>
  </si>
  <si>
    <t>EMBUTIR E25 CLÁSICA NEGRO I LM</t>
  </si>
  <si>
    <t>0004178</t>
  </si>
  <si>
    <t>EMBUTIR E25 CLÁSICA NEGRO E LM</t>
  </si>
  <si>
    <t>0004136</t>
  </si>
  <si>
    <t>EMBUTIR E25 CLÁSICA BLANCO E LL</t>
  </si>
  <si>
    <t>0004140</t>
  </si>
  <si>
    <t>EMBUTIR E25 CLÁSICA CROMO SATINADO I LL</t>
  </si>
  <si>
    <t>0004061</t>
  </si>
  <si>
    <t>EMBUTIR E25 CLÁSICA CROMO SATINADO E LL</t>
  </si>
  <si>
    <t>0004060</t>
  </si>
  <si>
    <t>EMBUTIR E25 CLÁSICA CROMO SATINADO I LM</t>
  </si>
  <si>
    <t>0004206</t>
  </si>
  <si>
    <t>EMBUTIR E25 CLÁSICA CROMO SATINADO E LM</t>
  </si>
  <si>
    <t>0004065</t>
  </si>
  <si>
    <t>EMBUTIR E20 CLÁSICA NEGRO E LL</t>
  </si>
  <si>
    <t>0004131</t>
  </si>
  <si>
    <t>EMBUTIR E20 CLÁSICA NEGRO E LM</t>
  </si>
  <si>
    <t>0004133</t>
  </si>
  <si>
    <t>EMBUTIR E20 CLÁSICA BLANCO E LL</t>
  </si>
  <si>
    <t>0004146</t>
  </si>
  <si>
    <t>EMBUTIR E20 CLÁSICA BLANCO E LM</t>
  </si>
  <si>
    <t>0004139</t>
  </si>
  <si>
    <t>EMBUTIR E20 CLÁSICA CROMO SATINADO I LL</t>
  </si>
  <si>
    <t>0004070</t>
  </si>
  <si>
    <t>EMBUTIR E20 CLÁSICA CROMO SATINADO E LL</t>
  </si>
  <si>
    <t>0004071</t>
  </si>
  <si>
    <t>EMBUTIR E20 CLÁSICA CROMO SATINADO I LM</t>
  </si>
  <si>
    <t>0004194</t>
  </si>
  <si>
    <t>Cerradura + cilindro + manijas</t>
  </si>
  <si>
    <t>EMBUT E45+Cil LM</t>
  </si>
  <si>
    <t>0005418</t>
  </si>
  <si>
    <t>EMBUT E45+Cil Ll Ll</t>
  </si>
  <si>
    <t>0005417</t>
  </si>
  <si>
    <t xml:space="preserve">EMBUTIR E35 + CIL LL </t>
  </si>
  <si>
    <t>0004156</t>
  </si>
  <si>
    <t>EMBUTIR E25 + CIL LL</t>
  </si>
  <si>
    <t>0004154</t>
  </si>
  <si>
    <t xml:space="preserve">EMBUTIR E20 + CIL LL </t>
  </si>
  <si>
    <t>0004155</t>
  </si>
  <si>
    <t>Cerradura + cilindro</t>
  </si>
  <si>
    <t>EMBUTIR E35</t>
  </si>
  <si>
    <t>0004129</t>
  </si>
  <si>
    <t>EMBUTIR E25</t>
  </si>
  <si>
    <t>0004128</t>
  </si>
  <si>
    <t>EMBUTIR E20</t>
  </si>
  <si>
    <t>0004127</t>
  </si>
  <si>
    <t>E 20 / 25 / 35</t>
  </si>
  <si>
    <t>EMBUTIR E MINI BLANCO LL</t>
  </si>
  <si>
    <t>0004151</t>
  </si>
  <si>
    <t>EMBUTIR E MINI BLANCO LM</t>
  </si>
  <si>
    <t>0004153</t>
  </si>
  <si>
    <t>EMBUTIR E MINI NEGRO LL</t>
  </si>
  <si>
    <t>0004152</t>
  </si>
  <si>
    <t>EMBUTIR E MINI NEGRO LM</t>
  </si>
  <si>
    <t>0004150</t>
  </si>
  <si>
    <t>EMBUTIR E MINI ALUMINIO LL</t>
  </si>
  <si>
    <t>0004035</t>
  </si>
  <si>
    <t>EMBUTIR E MINI ALUMINIO LM</t>
  </si>
  <si>
    <t>0004020</t>
  </si>
  <si>
    <t>Serie E Mini</t>
  </si>
  <si>
    <t>EMBUTIR L370 LISBOA CROMO SATINADO</t>
  </si>
  <si>
    <t>0004007</t>
  </si>
  <si>
    <t>EMBUTIR L370 LISBOA NIQUEL SATINADO</t>
  </si>
  <si>
    <t>0004008</t>
  </si>
  <si>
    <t>EMBUTIR L370 CLASICA PAVONADA</t>
  </si>
  <si>
    <t>0004003</t>
  </si>
  <si>
    <t>EMBUTIR L370 CLASICA LATÓN BRILLANTE</t>
  </si>
  <si>
    <t>0004006</t>
  </si>
  <si>
    <t>EMBUTIR L370 CLASICA CROMO BRILLANTE</t>
  </si>
  <si>
    <t>0004004</t>
  </si>
  <si>
    <t>L 370</t>
  </si>
  <si>
    <t>EMBUTIR A28 BLANCO G LL</t>
  </si>
  <si>
    <t>0007154</t>
  </si>
  <si>
    <t>EMBUTIR A28 BLANCO G LM</t>
  </si>
  <si>
    <t>0007150</t>
  </si>
  <si>
    <t>EMBUTIR A28 NEGRO G LL</t>
  </si>
  <si>
    <t>0007153</t>
  </si>
  <si>
    <t>EMBUTIR A28 NEGRO G LM</t>
  </si>
  <si>
    <t>0007152</t>
  </si>
  <si>
    <t>EMBUTIR A28 NATURA G LL</t>
  </si>
  <si>
    <t>0007091</t>
  </si>
  <si>
    <t>EMBUTIR A28 NATURA G LM</t>
  </si>
  <si>
    <t>0007092</t>
  </si>
  <si>
    <t>SERIE A</t>
  </si>
  <si>
    <t>EMBUTIR</t>
  </si>
  <si>
    <t>ACC PASADOR PHILLIPS</t>
  </si>
  <si>
    <t>0005078</t>
  </si>
  <si>
    <t>CERRADURA SOBREPONER PHI 2250 CI</t>
  </si>
  <si>
    <t>0012141</t>
  </si>
  <si>
    <t>CERRADURA SOBREPONER PHI 2250 CD</t>
  </si>
  <si>
    <t>0012140</t>
  </si>
  <si>
    <t>CERRADURA SOBREPONER PHI PRO 50 CDI</t>
  </si>
  <si>
    <t>0006790</t>
  </si>
  <si>
    <t>CERRADURA SOBREPONER PHI 650 SI</t>
  </si>
  <si>
    <t>0012143</t>
  </si>
  <si>
    <t>CERRADURA SOBREPONER PHI 650 SD</t>
  </si>
  <si>
    <t>0012142</t>
  </si>
  <si>
    <t>CERR SOBRE PHI PRO 70CDI+PLACA</t>
  </si>
  <si>
    <t>0008787</t>
  </si>
  <si>
    <t>CERRADURA SOBREPONER PHI PRO 70 CDI</t>
  </si>
  <si>
    <t>0006786</t>
  </si>
  <si>
    <t>CERR SOBRE PH SUPER 70 SI</t>
  </si>
  <si>
    <t>0001700</t>
  </si>
  <si>
    <t>CERR SOBRE PH SUPER 70 SD</t>
  </si>
  <si>
    <t>0001699</t>
  </si>
  <si>
    <t>CERRADURA SOBREPONER PHI 4160SI</t>
  </si>
  <si>
    <t>0012163</t>
  </si>
  <si>
    <t>CERRADURA SOBREPONER PHI 4160SD</t>
  </si>
  <si>
    <t>0012162</t>
  </si>
  <si>
    <t>CERRADURA SOBREPONER PHI 4060SI</t>
  </si>
  <si>
    <t>0012161</t>
  </si>
  <si>
    <t>CERRADURA SOBREPONER PHI 4060SD</t>
  </si>
  <si>
    <t>0012160</t>
  </si>
  <si>
    <t>SOBREPONER PHILLIPS</t>
  </si>
  <si>
    <t>CONTROL REMOTO CERR ELECT</t>
  </si>
  <si>
    <t>0010755</t>
  </si>
  <si>
    <t>TRANSFOR 110DC 12V + 2 CONTROL</t>
  </si>
  <si>
    <t>0010741</t>
  </si>
  <si>
    <t>CERR ELECT 60MM DER BOTO</t>
  </si>
  <si>
    <t>0008798</t>
  </si>
  <si>
    <t>CERR ELECT 60MM IZQ BOTO</t>
  </si>
  <si>
    <t>0008797</t>
  </si>
  <si>
    <t>CERR ELECT 60MM DER</t>
  </si>
  <si>
    <t>0008800</t>
  </si>
  <si>
    <t>CERR ELECT 60MM IZQ</t>
  </si>
  <si>
    <t>0008799</t>
  </si>
  <si>
    <t>KIT CERR ELECT CON BOTON  60MM IZQ</t>
  </si>
  <si>
    <t>0010731</t>
  </si>
  <si>
    <t>KIT CERR ELECT CON BOTON  60MM DER</t>
  </si>
  <si>
    <t>0010730</t>
  </si>
  <si>
    <t>KIT CERR ELECT 60MM IZQ</t>
  </si>
  <si>
    <t>0010727</t>
  </si>
  <si>
    <t>KIT CERR ELECT 60MM DER</t>
  </si>
  <si>
    <t>0010726</t>
  </si>
  <si>
    <t>KIT CERR ELECT CON BOTON  IZQ CR</t>
  </si>
  <si>
    <t>0010796</t>
  </si>
  <si>
    <t>KIT CERR ELECT  CON BOTON DER CR</t>
  </si>
  <si>
    <t>0010795</t>
  </si>
  <si>
    <t>KIT CERR ELECT IZQ CR</t>
  </si>
  <si>
    <t>0010791</t>
  </si>
  <si>
    <t>KIT CERR ELECT DER CR</t>
  </si>
  <si>
    <t>0010790</t>
  </si>
  <si>
    <t>KIT YALE CONNECT + CERR ELECT  BOT DER</t>
  </si>
  <si>
    <t>0004717</t>
  </si>
  <si>
    <t>KIT YALE CONNECT + CERR ELECT BOT  IZQ</t>
  </si>
  <si>
    <t>0004718</t>
  </si>
  <si>
    <t>KIT YALE CONNECT + CERR ELECT DER</t>
  </si>
  <si>
    <t>0011422</t>
  </si>
  <si>
    <t>KIT YALE CONNECT + CERR ELECT IZQ</t>
  </si>
  <si>
    <t>0011421</t>
  </si>
  <si>
    <t>CERRADURA ELECTRICA</t>
  </si>
  <si>
    <t>CERR SOBRE 610 50 CI</t>
  </si>
  <si>
    <t>0005680</t>
  </si>
  <si>
    <t>CERR SOBRE 610 50 CD</t>
  </si>
  <si>
    <t>0005679</t>
  </si>
  <si>
    <t>105- 2 BULONES</t>
  </si>
  <si>
    <t>CERRADURA SOBREPONER 105 50 2 BULONES CI</t>
  </si>
  <si>
    <t>0007192</t>
  </si>
  <si>
    <t>CERRADURA SOBREPONER 105 50 2 BULONES CD</t>
  </si>
  <si>
    <t>0007191</t>
  </si>
  <si>
    <t>CERRADURA SOBREPONER 31610 50 CIP</t>
  </si>
  <si>
    <t>0003071</t>
  </si>
  <si>
    <t>CERRADURA SOBREPONER 31610 50 CDP</t>
  </si>
  <si>
    <t>0003070</t>
  </si>
  <si>
    <t>31610 -50</t>
  </si>
  <si>
    <t>CERRADURA SOBREPONER OF5 60 C</t>
  </si>
  <si>
    <t>0003051</t>
  </si>
  <si>
    <t>OF 5</t>
  </si>
  <si>
    <t>CERRADURA SOBREPONER 396 60 CIR</t>
  </si>
  <si>
    <t>0003024</t>
  </si>
  <si>
    <t>CERRADURA SOBREPONER 396 60 CDR</t>
  </si>
  <si>
    <t>0003023</t>
  </si>
  <si>
    <t>CERRADURA SOBREPONER 396 60 SIR</t>
  </si>
  <si>
    <t>0003026</t>
  </si>
  <si>
    <t>CERRADURA SOBREPONER 396 60 SDR</t>
  </si>
  <si>
    <t>0003025</t>
  </si>
  <si>
    <t>CERRADURA SOBREPONER 396 60 SIRP</t>
  </si>
  <si>
    <t>0003038</t>
  </si>
  <si>
    <t>CERRADURA SOBREPONER 396 60 SDRP</t>
  </si>
  <si>
    <t>0003037</t>
  </si>
  <si>
    <t xml:space="preserve">396 ROSETA </t>
  </si>
  <si>
    <t>CERRADURA SOBREPONER 396 60 SI</t>
  </si>
  <si>
    <t>0003022</t>
  </si>
  <si>
    <t>CERRADURA SOBREPONER 396 60 SD</t>
  </si>
  <si>
    <t>0003021</t>
  </si>
  <si>
    <t>CERRADURA SOBREPONER 106 60 CI</t>
  </si>
  <si>
    <t>0003043</t>
  </si>
  <si>
    <t>CERRADURA SOBREPONER 106 60 CD</t>
  </si>
  <si>
    <t>0003042</t>
  </si>
  <si>
    <t xml:space="preserve">106- 60 </t>
  </si>
  <si>
    <t>CERRADURA SOBREPONER 3610 60 CIP</t>
  </si>
  <si>
    <t>0003047</t>
  </si>
  <si>
    <t>CERRADURA SOBREPONER 3610 60 CDP</t>
  </si>
  <si>
    <t>0003046</t>
  </si>
  <si>
    <t>3610 -60</t>
  </si>
  <si>
    <t>CERRADURA SOBREPONER 107 70 2 BULONES SD</t>
  </si>
  <si>
    <t>0007194</t>
  </si>
  <si>
    <t>CERRADURA SOBREPONER 107 70 2 BULONES SI</t>
  </si>
  <si>
    <t>0007193</t>
  </si>
  <si>
    <t>107 2 BULONES</t>
  </si>
  <si>
    <t>CERRADURA SOBREPONER 987 70 CI</t>
  </si>
  <si>
    <t>0003002</t>
  </si>
  <si>
    <t>CERRADURA SOBREPONER 987 70 CD</t>
  </si>
  <si>
    <t>0003001</t>
  </si>
  <si>
    <t>CERRADURA SOBREPONER 987 70 SI</t>
  </si>
  <si>
    <t>0003004</t>
  </si>
  <si>
    <t>CERRADURA SOBREPONER 987 70 SD</t>
  </si>
  <si>
    <t>0003003</t>
  </si>
  <si>
    <t>CERRADURA SOBREPONER 987 70 SIP</t>
  </si>
  <si>
    <t>0003117</t>
  </si>
  <si>
    <t>CERRADURA SOBREPONER 987 70 SDP</t>
  </si>
  <si>
    <t>0003116</t>
  </si>
  <si>
    <t xml:space="preserve">987 SEGURO NOCTURNO </t>
  </si>
  <si>
    <t xml:space="preserve">CERRADURA SOBREPONER 1010 68 SDIP </t>
  </si>
  <si>
    <t>0006486</t>
  </si>
  <si>
    <t>1010- BACKSET 68MM</t>
  </si>
  <si>
    <t>SOBREPONER</t>
  </si>
  <si>
    <t>CERRA PH30</t>
  </si>
  <si>
    <t>0009386</t>
  </si>
  <si>
    <t>CERROJO DIGITAL RECTANGULAR PHILLIPS</t>
  </si>
  <si>
    <t>0016075</t>
  </si>
  <si>
    <t>CERROJO DIGITAL CIRCULAR PHILLIPS</t>
  </si>
  <si>
    <t>0016073</t>
  </si>
  <si>
    <t>DIGITAL PHILLIPS</t>
  </si>
  <si>
    <t>CAJA MENOR GRANDE</t>
  </si>
  <si>
    <t>0011293</t>
  </si>
  <si>
    <t>CAJA MENOR MEDIANA</t>
  </si>
  <si>
    <t>0011292</t>
  </si>
  <si>
    <t>CAJA MENOR PEQUEÑA</t>
  </si>
  <si>
    <t>0011309</t>
  </si>
  <si>
    <t>CAJAS DE EFECTIVO</t>
  </si>
  <si>
    <t>CAJA FUERTE LAPTOP</t>
  </si>
  <si>
    <t>0035101</t>
  </si>
  <si>
    <t>CAJA FUERTE MEDIANA</t>
  </si>
  <si>
    <t>0035100</t>
  </si>
  <si>
    <t>CAJA FUERTE PEQUEÑA</t>
  </si>
  <si>
    <t>0035102</t>
  </si>
  <si>
    <t>CAJA FUERTE MINI NEGRA</t>
  </si>
  <si>
    <t>0035104</t>
  </si>
  <si>
    <t>CAJAS FUERTES</t>
  </si>
  <si>
    <t>MIRILLA DIGITAL PRO</t>
  </si>
  <si>
    <t>0009027</t>
  </si>
  <si>
    <t>MIRILLAS</t>
  </si>
  <si>
    <t>CERR MUEBLE DIGITAL</t>
  </si>
  <si>
    <t>0006796</t>
  </si>
  <si>
    <t>CERR MUEBLES BIOMETRICO</t>
  </si>
  <si>
    <t>0016247</t>
  </si>
  <si>
    <t>CERROJO MUEBLE DIGITAL</t>
  </si>
  <si>
    <t>TARJETA MIFARE 1K</t>
  </si>
  <si>
    <t>0007141</t>
  </si>
  <si>
    <t>MODULO ZIGBEE YALE 2.0</t>
  </si>
  <si>
    <t>0010744</t>
  </si>
  <si>
    <t>MODULO ZBEE YMF - YDF</t>
  </si>
  <si>
    <t>0010743</t>
  </si>
  <si>
    <t xml:space="preserve">HUB YALE CONNECT electricas </t>
  </si>
  <si>
    <t>0006647</t>
  </si>
  <si>
    <t>HUB YALE CONNECT</t>
  </si>
  <si>
    <t>0006636</t>
  </si>
  <si>
    <t xml:space="preserve">YALE CONNECT COMPONENTES </t>
  </si>
  <si>
    <t>YRD256 CONNECT+BARI US15</t>
  </si>
  <si>
    <t>0009821</t>
  </si>
  <si>
    <t>YRD256 B + BARI US10B</t>
  </si>
  <si>
    <t>0011658</t>
  </si>
  <si>
    <t>YRD226 B + BARIUS10B ALC</t>
  </si>
  <si>
    <t>0006645</t>
  </si>
  <si>
    <t>YRD226 + BARI US15 ALC</t>
  </si>
  <si>
    <t>0006646</t>
  </si>
  <si>
    <t xml:space="preserve">COMBOS </t>
  </si>
  <si>
    <t>KIT YALE CONNECT+YRL226 BRONCE ANTIGUO</t>
  </si>
  <si>
    <t>0009280</t>
  </si>
  <si>
    <t>KIT YALE CONNECT + YRL MAN</t>
  </si>
  <si>
    <t>0011414</t>
  </si>
  <si>
    <t>KIT YALE CONNECT + ASSURE NEGRA 256</t>
  </si>
  <si>
    <t>0011418</t>
  </si>
  <si>
    <t>KIT YALE CONNECT + ASSURE SL 256</t>
  </si>
  <si>
    <t>0011420</t>
  </si>
  <si>
    <t>KIT YALE CONNECT+ YRD226 BRONCE ANTIGUO</t>
  </si>
  <si>
    <t>0009279</t>
  </si>
  <si>
    <t xml:space="preserve">KIT YALE CONNECT+CERROJO LIA </t>
  </si>
  <si>
    <t>0008249</t>
  </si>
  <si>
    <t>YDF40 PICO LORO+YALE CONNECT</t>
  </si>
  <si>
    <t>0009233</t>
  </si>
  <si>
    <t>KIT YALE CONNECT + YDF 40</t>
  </si>
  <si>
    <t>0011415</t>
  </si>
  <si>
    <t xml:space="preserve">KIT YALE CONNECT + YMC420W SILVER </t>
  </si>
  <si>
    <t>0005626</t>
  </si>
  <si>
    <t>KIT YALE CONNECT+YMC420W</t>
  </si>
  <si>
    <t>0005410</t>
  </si>
  <si>
    <t>KIT YALE CONNECT+YSD100 35MM BLACK</t>
  </si>
  <si>
    <t>0004952</t>
  </si>
  <si>
    <t>KIT YALE CONNECT+YSD100 35MM</t>
  </si>
  <si>
    <t>0004950</t>
  </si>
  <si>
    <t>KIT YALE CONNECT+YSD100 60MM BLACK</t>
  </si>
  <si>
    <t>0004953</t>
  </si>
  <si>
    <t>KIT YALE CONNECT+YSD 100 60MM</t>
  </si>
  <si>
    <t>0004951</t>
  </si>
  <si>
    <t xml:space="preserve">KIT YALE CONNECT+YMP60 MULTIPUNTO </t>
  </si>
  <si>
    <t>0005049</t>
  </si>
  <si>
    <t>KIT YALE CONNECT+YDM60</t>
  </si>
  <si>
    <t>0004998</t>
  </si>
  <si>
    <t>KIT YALE CONNECT + YMF 30</t>
  </si>
  <si>
    <t>0011416</t>
  </si>
  <si>
    <t xml:space="preserve">KIT YALE CONNECT + YMF 40 ROLLER </t>
  </si>
  <si>
    <t>0006970</t>
  </si>
  <si>
    <t>KIT YALE CONNECT + YMF 40</t>
  </si>
  <si>
    <t>0011417</t>
  </si>
  <si>
    <t>KIT YALE CONNECT + YMI70</t>
  </si>
  <si>
    <t>0009862</t>
  </si>
  <si>
    <t>KITS YALE CONNECT</t>
  </si>
  <si>
    <t>MANIJA DIGITAL BIOMETRICA BARI BLACK</t>
  </si>
  <si>
    <t>0009976</t>
  </si>
  <si>
    <t>MANIJA DIGITAL BIOMETRICA BARI</t>
  </si>
  <si>
    <t>0009977</t>
  </si>
  <si>
    <t>MANIJA DIG YDL 120 BLACK</t>
  </si>
  <si>
    <t>0004301</t>
  </si>
  <si>
    <t>MANIJA DIG YDL 120</t>
  </si>
  <si>
    <t>0004302</t>
  </si>
  <si>
    <t xml:space="preserve">MANIJAS DIGITALES </t>
  </si>
  <si>
    <t>CERR DIGITAL YDD120 BLACK</t>
  </si>
  <si>
    <t>0009974</t>
  </si>
  <si>
    <t>YALE DIGITAL CERROJO YDD120</t>
  </si>
  <si>
    <t>0016104</t>
  </si>
  <si>
    <t>YRL CERROJO ASSURE SL 256 NEGRA</t>
  </si>
  <si>
    <t>0009151</t>
  </si>
  <si>
    <t>YRL CERROJO ASSURE SL 256</t>
  </si>
  <si>
    <t>0009146</t>
  </si>
  <si>
    <t>YRL CERROJO DIGI  226NEGRO</t>
  </si>
  <si>
    <t>0009114</t>
  </si>
  <si>
    <t>YRL CERROJO DIGITAL 226</t>
  </si>
  <si>
    <t>0009022</t>
  </si>
  <si>
    <t xml:space="preserve">CERR LIA </t>
  </si>
  <si>
    <t>0007004</t>
  </si>
  <si>
    <t xml:space="preserve">SOBREPONER YXR226 DIG </t>
  </si>
  <si>
    <t>0004949</t>
  </si>
  <si>
    <t>YDF 40 CERROJO PICO LORO DIGITAL</t>
  </si>
  <si>
    <t>0009863</t>
  </si>
  <si>
    <t>YALE DIGI YDF 40</t>
  </si>
  <si>
    <t>0010868</t>
  </si>
  <si>
    <t xml:space="preserve">CERROJOS DIGITALES </t>
  </si>
  <si>
    <t xml:space="preserve">CERRA DIG YDM20 </t>
  </si>
  <si>
    <t>0009385</t>
  </si>
  <si>
    <t xml:space="preserve">CERRADURA YMC420W SILVER </t>
  </si>
  <si>
    <t>0005625</t>
  </si>
  <si>
    <t>YALE DIGI YMC 420W</t>
  </si>
  <si>
    <t>0005099</t>
  </si>
  <si>
    <t>CERRA DIG YSD100 35MM BLACK</t>
  </si>
  <si>
    <t>0006973</t>
  </si>
  <si>
    <t>CERRA DIG YSD100 35MM</t>
  </si>
  <si>
    <t>0009968</t>
  </si>
  <si>
    <t>CERRA DIG YSD100 60MM BLACK</t>
  </si>
  <si>
    <t>0006972</t>
  </si>
  <si>
    <t>CERRA DIG YSD100 60MM</t>
  </si>
  <si>
    <t>0009967</t>
  </si>
  <si>
    <t>CERRA DIG YMP 60 MULTIPUNTO</t>
  </si>
  <si>
    <t>0005048</t>
  </si>
  <si>
    <t>CERRA DIG YDM 60</t>
  </si>
  <si>
    <t>0016476</t>
  </si>
  <si>
    <t>YALE DIGI EMBUTIR YMF 30</t>
  </si>
  <si>
    <t>0010952</t>
  </si>
  <si>
    <t xml:space="preserve">YALE DIGI YMF 40ROLLER </t>
  </si>
  <si>
    <t>0006968</t>
  </si>
  <si>
    <t>YALE DIGI EMBUTIR YMF 40</t>
  </si>
  <si>
    <t>0010953</t>
  </si>
  <si>
    <t>YALE DIGI EMBUTIR YMI 70</t>
  </si>
  <si>
    <t>0010954</t>
  </si>
  <si>
    <t>TAG RFID UHF EPC GEN 2 PROC 125KHZZ</t>
  </si>
  <si>
    <t>ACCESSDUALUP</t>
  </si>
  <si>
    <t>LLAVERO MIFARE 1K 1356 MHZ</t>
  </si>
  <si>
    <t>ACCESKFBM1K</t>
  </si>
  <si>
    <t>CERRADURA ELECTRICA CON LLAVE DERECHA</t>
  </si>
  <si>
    <t>ACCESSRIM</t>
  </si>
  <si>
    <t>Cerradura Eléctrica con botón de salida / Incluye Llave / Exterior / Derecha</t>
  </si>
  <si>
    <t>ACCESSRIMB</t>
  </si>
  <si>
    <t>CERRADURA ELECTRICA CON BOTON DE SALIDA INCLUYE LLAVE EXTERIOR IZQUIERDA</t>
  </si>
  <si>
    <t>ACCESSRIMBL</t>
  </si>
  <si>
    <t>INCLUYE LLAVE EXTERIOR IZQUIERDA</t>
  </si>
  <si>
    <t>ACCESSRIML</t>
  </si>
  <si>
    <t>Cerradura Eléctrica Motorizada/ Con lector de Tarjetas de Prox (EM 125Khz) / Exterior</t>
  </si>
  <si>
    <t>ACCESSRIMMOTOR</t>
  </si>
  <si>
    <t>LIC-CLOUD1</t>
  </si>
  <si>
    <t>LIC-CLOUD2</t>
  </si>
  <si>
    <t>LIC-CLOUD3</t>
  </si>
  <si>
    <t>Receptor con 2 Relevadores y Control Remoto hasta 50 metros.</t>
  </si>
  <si>
    <t>PROR400</t>
  </si>
  <si>
    <t>Control Remoto Adicional para PROR400</t>
  </si>
  <si>
    <t>PROT400</t>
  </si>
  <si>
    <t>TARJETA MIFARE BLANCA</t>
  </si>
  <si>
    <t>TARJETAM</t>
  </si>
  <si>
    <t>LLAVERO TAG MIFARE</t>
  </si>
  <si>
    <t>TAGM</t>
  </si>
  <si>
    <t>COSTO</t>
  </si>
  <si>
    <t>Columna8</t>
  </si>
  <si>
    <t>Columna7</t>
  </si>
  <si>
    <t>Columna6</t>
  </si>
  <si>
    <t>Columna5</t>
  </si>
  <si>
    <t>Columna1</t>
  </si>
  <si>
    <t>PRECIO CLIENTE FINAL (IVA INCLUIDO)</t>
  </si>
  <si>
    <t>PRECIO TIENDA (IVA INCLUIDO)</t>
  </si>
  <si>
    <t>PRECIO INSTALADOR (IVA INCLUIDO)</t>
  </si>
  <si>
    <t>DESCRIPCION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</si>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</sst>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\$\ #,##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5.5"/>
      <name val="Calibri"/>
      <family val="2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FFFFFF"/>
      <name val="Calibri"/>
      <family val="1"/>
    </font>
    <font>
      <b/>
      <sz val="10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rgb="FFFFFFFF"/>
      <name val="Calibri"/>
      <family val="2"/>
    </font>
    <font>
      <b/>
      <sz val="10"/>
      <color rgb="FFFF0000"/>
      <name val="Arial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8496AF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8497B0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0" fontId="21" fillId="0" borderId="0"/>
  </cellStyleXfs>
  <cellXfs count="157">
    <xf numFmtId="0" fontId="0" fillId="0" borderId="0" xfId="0"/>
    <xf numFmtId="0" fontId="2" fillId="0" borderId="0" xfId="2"/>
    <xf numFmtId="164" fontId="0" fillId="0" borderId="0" xfId="3" applyNumberFormat="1" applyFont="1" applyFill="1" applyAlignment="1"/>
    <xf numFmtId="1" fontId="3" fillId="0" borderId="0" xfId="2" applyNumberFormat="1" applyFont="1"/>
    <xf numFmtId="164" fontId="3" fillId="0" borderId="0" xfId="3" applyNumberFormat="1" applyFont="1" applyFill="1" applyAlignment="1"/>
    <xf numFmtId="164" fontId="2" fillId="0" borderId="0" xfId="1" applyNumberFormat="1" applyFont="1" applyAlignment="1">
      <alignment horizontal="left" vertical="center"/>
    </xf>
    <xf numFmtId="0" fontId="2" fillId="0" borderId="0" xfId="2" applyAlignment="1">
      <alignment horizontal="left" vertical="center" wrapText="1"/>
    </xf>
    <xf numFmtId="0" fontId="2" fillId="0" borderId="0" xfId="2" applyAlignment="1">
      <alignment horizontal="left" vertical="center"/>
    </xf>
    <xf numFmtId="164" fontId="0" fillId="0" borderId="1" xfId="3" applyNumberFormat="1" applyFont="1" applyFill="1" applyBorder="1" applyAlignment="1"/>
    <xf numFmtId="1" fontId="3" fillId="0" borderId="2" xfId="2" applyNumberFormat="1" applyFont="1" applyBorder="1"/>
    <xf numFmtId="1" fontId="3" fillId="0" borderId="3" xfId="2" applyNumberFormat="1" applyFont="1" applyBorder="1"/>
    <xf numFmtId="164" fontId="4" fillId="0" borderId="2" xfId="3" applyNumberFormat="1" applyFont="1" applyFill="1" applyBorder="1" applyAlignment="1"/>
    <xf numFmtId="0" fontId="3" fillId="0" borderId="1" xfId="2" applyFont="1" applyBorder="1" applyAlignment="1">
      <alignment horizontal="right"/>
    </xf>
    <xf numFmtId="164" fontId="5" fillId="0" borderId="0" xfId="1" applyNumberFormat="1" applyFont="1" applyBorder="1" applyAlignment="1">
      <alignment horizontal="center" vertical="top" wrapText="1"/>
    </xf>
    <xf numFmtId="164" fontId="5" fillId="0" borderId="2" xfId="1" applyNumberFormat="1" applyFont="1" applyBorder="1" applyAlignment="1">
      <alignment horizontal="center" vertical="top" wrapText="1"/>
    </xf>
    <xf numFmtId="0" fontId="5" fillId="0" borderId="2" xfId="2" applyFont="1" applyBorder="1" applyAlignment="1">
      <alignment horizontal="center" vertical="top" wrapText="1"/>
    </xf>
    <xf numFmtId="164" fontId="6" fillId="2" borderId="0" xfId="1" applyNumberFormat="1" applyFont="1" applyFill="1" applyBorder="1" applyAlignment="1">
      <alignment vertical="top" wrapText="1"/>
    </xf>
    <xf numFmtId="164" fontId="6" fillId="2" borderId="2" xfId="1" applyNumberFormat="1" applyFont="1" applyFill="1" applyBorder="1" applyAlignment="1">
      <alignment vertical="top" wrapText="1"/>
    </xf>
    <xf numFmtId="0" fontId="6" fillId="2" borderId="2" xfId="2" applyFont="1" applyFill="1" applyBorder="1" applyAlignment="1">
      <alignment vertical="top" wrapText="1"/>
    </xf>
    <xf numFmtId="164" fontId="7" fillId="3" borderId="0" xfId="1" applyNumberFormat="1" applyFont="1" applyFill="1" applyBorder="1" applyAlignment="1">
      <alignment horizontal="center" vertical="center" wrapText="1"/>
    </xf>
    <xf numFmtId="164" fontId="7" fillId="3" borderId="2" xfId="1" applyNumberFormat="1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top" wrapText="1"/>
    </xf>
    <xf numFmtId="8" fontId="1" fillId="0" borderId="4" xfId="4" applyNumberFormat="1" applyBorder="1" applyAlignment="1">
      <alignment horizontal="center" vertical="center"/>
    </xf>
    <xf numFmtId="164" fontId="4" fillId="0" borderId="2" xfId="3" applyNumberFormat="1" applyFont="1" applyFill="1" applyBorder="1" applyAlignment="1">
      <alignment vertical="center"/>
    </xf>
    <xf numFmtId="164" fontId="5" fillId="0" borderId="0" xfId="1" applyNumberFormat="1" applyFont="1" applyBorder="1" applyAlignment="1">
      <alignment horizontal="left" vertical="top" wrapText="1"/>
    </xf>
    <xf numFmtId="164" fontId="5" fillId="0" borderId="2" xfId="1" applyNumberFormat="1" applyFont="1" applyBorder="1" applyAlignment="1">
      <alignment horizontal="left" vertical="top" wrapText="1"/>
    </xf>
    <xf numFmtId="0" fontId="5" fillId="0" borderId="2" xfId="2" applyFont="1" applyBorder="1" applyAlignment="1">
      <alignment horizontal="left" vertical="top" wrapText="1"/>
    </xf>
    <xf numFmtId="49" fontId="9" fillId="0" borderId="2" xfId="4" applyNumberFormat="1" applyFont="1" applyBorder="1" applyAlignment="1">
      <alignment horizontal="center" vertical="center"/>
    </xf>
    <xf numFmtId="0" fontId="5" fillId="4" borderId="5" xfId="2" applyFont="1" applyFill="1" applyBorder="1" applyAlignment="1">
      <alignment horizontal="left" wrapText="1"/>
    </xf>
    <xf numFmtId="164" fontId="6" fillId="4" borderId="0" xfId="1" applyNumberFormat="1" applyFont="1" applyFill="1" applyBorder="1" applyAlignment="1">
      <alignment horizontal="left" vertical="top" wrapText="1"/>
    </xf>
    <xf numFmtId="164" fontId="6" fillId="4" borderId="2" xfId="1" applyNumberFormat="1" applyFont="1" applyFill="1" applyBorder="1" applyAlignment="1">
      <alignment horizontal="left" vertical="top" wrapText="1"/>
    </xf>
    <xf numFmtId="0" fontId="6" fillId="4" borderId="2" xfId="2" applyFont="1" applyFill="1" applyBorder="1" applyAlignment="1">
      <alignment horizontal="left" vertical="top" wrapText="1"/>
    </xf>
    <xf numFmtId="0" fontId="6" fillId="4" borderId="2" xfId="2" applyFont="1" applyFill="1" applyBorder="1" applyAlignment="1">
      <alignment vertical="top" wrapText="1"/>
    </xf>
    <xf numFmtId="165" fontId="10" fillId="0" borderId="5" xfId="2" applyNumberFormat="1" applyFont="1" applyBorder="1" applyAlignment="1">
      <alignment horizontal="center" vertical="top" shrinkToFit="1"/>
    </xf>
    <xf numFmtId="1" fontId="3" fillId="0" borderId="6" xfId="2" applyNumberFormat="1" applyFont="1" applyBorder="1"/>
    <xf numFmtId="1" fontId="3" fillId="0" borderId="7" xfId="2" applyNumberFormat="1" applyFont="1" applyBorder="1"/>
    <xf numFmtId="164" fontId="4" fillId="0" borderId="6" xfId="3" applyNumberFormat="1" applyFont="1" applyFill="1" applyBorder="1" applyAlignment="1"/>
    <xf numFmtId="49" fontId="10" fillId="0" borderId="2" xfId="5" applyNumberFormat="1" applyFont="1" applyBorder="1" applyAlignment="1">
      <alignment horizontal="left" vertical="center"/>
    </xf>
    <xf numFmtId="49" fontId="10" fillId="5" borderId="2" xfId="5" applyNumberFormat="1" applyFont="1" applyFill="1" applyBorder="1" applyAlignment="1">
      <alignment horizontal="left" vertical="center"/>
    </xf>
    <xf numFmtId="164" fontId="9" fillId="0" borderId="0" xfId="1" applyNumberFormat="1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164" fontId="2" fillId="0" borderId="1" xfId="3" applyNumberFormat="1" applyFont="1" applyFill="1" applyBorder="1" applyAlignment="1"/>
    <xf numFmtId="164" fontId="11" fillId="3" borderId="8" xfId="1" applyNumberFormat="1" applyFont="1" applyFill="1" applyBorder="1" applyAlignment="1">
      <alignment horizontal="center" vertical="center"/>
    </xf>
    <xf numFmtId="164" fontId="11" fillId="3" borderId="2" xfId="1" applyNumberFormat="1" applyFont="1" applyFill="1" applyBorder="1" applyAlignment="1">
      <alignment horizontal="center" vertical="center"/>
    </xf>
    <xf numFmtId="0" fontId="11" fillId="3" borderId="2" xfId="2" applyFont="1" applyFill="1" applyBorder="1" applyAlignment="1">
      <alignment horizontal="center" vertical="center" wrapText="1"/>
    </xf>
    <xf numFmtId="164" fontId="10" fillId="0" borderId="9" xfId="1" applyNumberFormat="1" applyFont="1" applyBorder="1" applyAlignment="1">
      <alignment horizontal="left" vertical="center" wrapText="1"/>
    </xf>
    <xf numFmtId="164" fontId="10" fillId="0" borderId="2" xfId="1" applyNumberFormat="1" applyFont="1" applyBorder="1" applyAlignment="1">
      <alignment horizontal="left" vertical="center" wrapText="1"/>
    </xf>
    <xf numFmtId="0" fontId="10" fillId="0" borderId="2" xfId="5" applyFont="1" applyBorder="1" applyAlignment="1">
      <alignment horizontal="left" vertical="center" wrapText="1"/>
    </xf>
    <xf numFmtId="164" fontId="10" fillId="0" borderId="9" xfId="1" applyNumberFormat="1" applyFont="1" applyBorder="1" applyAlignment="1">
      <alignment horizontal="left" vertical="center"/>
    </xf>
    <xf numFmtId="164" fontId="10" fillId="0" borderId="2" xfId="1" applyNumberFormat="1" applyFont="1" applyBorder="1" applyAlignment="1">
      <alignment horizontal="left" vertical="center"/>
    </xf>
    <xf numFmtId="0" fontId="8" fillId="0" borderId="10" xfId="2" applyFont="1" applyBorder="1" applyAlignment="1">
      <alignment horizontal="center" vertical="top" wrapText="1"/>
    </xf>
    <xf numFmtId="0" fontId="8" fillId="0" borderId="11" xfId="2" applyFont="1" applyBorder="1" applyAlignment="1">
      <alignment horizontal="center" vertical="top" wrapText="1"/>
    </xf>
    <xf numFmtId="164" fontId="12" fillId="0" borderId="9" xfId="1" applyNumberFormat="1" applyFont="1" applyBorder="1" applyAlignment="1">
      <alignment horizontal="left" vertical="center"/>
    </xf>
    <xf numFmtId="164" fontId="12" fillId="5" borderId="2" xfId="1" applyNumberFormat="1" applyFont="1" applyFill="1" applyBorder="1" applyAlignment="1">
      <alignment horizontal="left" vertical="center"/>
    </xf>
    <xf numFmtId="0" fontId="12" fillId="5" borderId="2" xfId="5" applyFont="1" applyFill="1" applyBorder="1" applyAlignment="1">
      <alignment horizontal="left" vertical="center" wrapText="1"/>
    </xf>
    <xf numFmtId="164" fontId="13" fillId="0" borderId="9" xfId="1" applyNumberFormat="1" applyFont="1" applyBorder="1" applyAlignment="1">
      <alignment horizontal="left" vertical="center"/>
    </xf>
    <xf numFmtId="164" fontId="13" fillId="5" borderId="2" xfId="1" applyNumberFormat="1" applyFont="1" applyFill="1" applyBorder="1" applyAlignment="1">
      <alignment horizontal="left" vertical="center"/>
    </xf>
    <xf numFmtId="0" fontId="10" fillId="5" borderId="2" xfId="5" applyFont="1" applyFill="1" applyBorder="1" applyAlignment="1">
      <alignment horizontal="left" vertical="center" wrapText="1"/>
    </xf>
    <xf numFmtId="0" fontId="13" fillId="5" borderId="2" xfId="5" applyFont="1" applyFill="1" applyBorder="1" applyAlignment="1">
      <alignment horizontal="left" vertical="center" wrapText="1"/>
    </xf>
    <xf numFmtId="164" fontId="14" fillId="0" borderId="9" xfId="1" applyNumberFormat="1" applyFont="1" applyBorder="1" applyAlignment="1">
      <alignment horizontal="left" vertical="center"/>
    </xf>
    <xf numFmtId="164" fontId="14" fillId="0" borderId="2" xfId="1" applyNumberFormat="1" applyFont="1" applyBorder="1" applyAlignment="1">
      <alignment horizontal="left" vertical="center"/>
    </xf>
    <xf numFmtId="0" fontId="14" fillId="0" borderId="2" xfId="5" applyFont="1" applyBorder="1" applyAlignment="1">
      <alignment horizontal="left" vertical="center" wrapText="1"/>
    </xf>
    <xf numFmtId="0" fontId="14" fillId="5" borderId="2" xfId="5" applyFont="1" applyFill="1" applyBorder="1" applyAlignment="1">
      <alignment horizontal="left" vertical="center" wrapText="1"/>
    </xf>
    <xf numFmtId="164" fontId="3" fillId="0" borderId="12" xfId="3" applyNumberFormat="1" applyFont="1" applyFill="1" applyBorder="1" applyAlignment="1">
      <alignment horizontal="right"/>
    </xf>
    <xf numFmtId="164" fontId="3" fillId="0" borderId="1" xfId="3" applyNumberFormat="1" applyFont="1" applyFill="1" applyBorder="1" applyAlignment="1">
      <alignment horizontal="right"/>
    </xf>
    <xf numFmtId="164" fontId="13" fillId="6" borderId="9" xfId="1" applyNumberFormat="1" applyFont="1" applyFill="1" applyBorder="1" applyAlignment="1">
      <alignment horizontal="left" vertical="center" wrapText="1"/>
    </xf>
    <xf numFmtId="164" fontId="13" fillId="6" borderId="2" xfId="1" applyNumberFormat="1" applyFont="1" applyFill="1" applyBorder="1" applyAlignment="1">
      <alignment horizontal="left" vertical="center" wrapText="1"/>
    </xf>
    <xf numFmtId="0" fontId="13" fillId="6" borderId="2" xfId="5" applyFont="1" applyFill="1" applyBorder="1" applyAlignment="1">
      <alignment horizontal="left" vertical="center" wrapText="1"/>
    </xf>
    <xf numFmtId="164" fontId="3" fillId="0" borderId="2" xfId="3" applyNumberFormat="1" applyFont="1" applyFill="1" applyBorder="1" applyAlignment="1">
      <alignment horizontal="right"/>
    </xf>
    <xf numFmtId="164" fontId="15" fillId="7" borderId="9" xfId="1" applyNumberFormat="1" applyFont="1" applyFill="1" applyBorder="1" applyAlignment="1">
      <alignment horizontal="left" vertical="center"/>
    </xf>
    <xf numFmtId="164" fontId="15" fillId="7" borderId="2" xfId="1" applyNumberFormat="1" applyFont="1" applyFill="1" applyBorder="1" applyAlignment="1">
      <alignment horizontal="left" vertical="center"/>
    </xf>
    <xf numFmtId="0" fontId="15" fillId="7" borderId="2" xfId="5" applyFont="1" applyFill="1" applyBorder="1" applyAlignment="1">
      <alignment horizontal="left" vertical="center" wrapText="1"/>
    </xf>
    <xf numFmtId="49" fontId="15" fillId="7" borderId="2" xfId="5" applyNumberFormat="1" applyFont="1" applyFill="1" applyBorder="1" applyAlignment="1">
      <alignment horizontal="left" vertical="center"/>
    </xf>
    <xf numFmtId="49" fontId="14" fillId="0" borderId="2" xfId="5" applyNumberFormat="1" applyFont="1" applyBorder="1" applyAlignment="1">
      <alignment horizontal="left" vertical="center"/>
    </xf>
    <xf numFmtId="49" fontId="13" fillId="6" borderId="2" xfId="5" applyNumberFormat="1" applyFont="1" applyFill="1" applyBorder="1" applyAlignment="1">
      <alignment horizontal="left" vertical="center" wrapText="1"/>
    </xf>
    <xf numFmtId="164" fontId="15" fillId="8" borderId="9" xfId="1" applyNumberFormat="1" applyFont="1" applyFill="1" applyBorder="1" applyAlignment="1">
      <alignment horizontal="left" vertical="center"/>
    </xf>
    <xf numFmtId="164" fontId="15" fillId="8" borderId="2" xfId="1" applyNumberFormat="1" applyFont="1" applyFill="1" applyBorder="1" applyAlignment="1">
      <alignment horizontal="left" vertical="center"/>
    </xf>
    <xf numFmtId="0" fontId="15" fillId="8" borderId="2" xfId="5" applyFont="1" applyFill="1" applyBorder="1" applyAlignment="1">
      <alignment horizontal="left" vertical="center" wrapText="1"/>
    </xf>
    <xf numFmtId="0" fontId="15" fillId="8" borderId="2" xfId="5" applyFont="1" applyFill="1" applyBorder="1" applyAlignment="1">
      <alignment horizontal="left" vertical="center"/>
    </xf>
    <xf numFmtId="164" fontId="14" fillId="5" borderId="2" xfId="1" applyNumberFormat="1" applyFont="1" applyFill="1" applyBorder="1" applyAlignment="1">
      <alignment horizontal="left" vertical="center"/>
    </xf>
    <xf numFmtId="49" fontId="14" fillId="5" borderId="2" xfId="5" applyNumberFormat="1" applyFont="1" applyFill="1" applyBorder="1" applyAlignment="1">
      <alignment horizontal="left" vertical="center"/>
    </xf>
    <xf numFmtId="164" fontId="16" fillId="0" borderId="9" xfId="1" applyNumberFormat="1" applyFont="1" applyBorder="1" applyAlignment="1">
      <alignment horizontal="left" vertical="center"/>
    </xf>
    <xf numFmtId="164" fontId="16" fillId="0" borderId="2" xfId="1" applyNumberFormat="1" applyFont="1" applyBorder="1" applyAlignment="1">
      <alignment horizontal="left" vertical="center"/>
    </xf>
    <xf numFmtId="0" fontId="16" fillId="0" borderId="2" xfId="5" applyFont="1" applyBorder="1" applyAlignment="1">
      <alignment horizontal="left" vertical="center" wrapText="1"/>
    </xf>
    <xf numFmtId="49" fontId="16" fillId="0" borderId="2" xfId="5" applyNumberFormat="1" applyFont="1" applyBorder="1" applyAlignment="1">
      <alignment horizontal="left" vertical="center"/>
    </xf>
    <xf numFmtId="164" fontId="3" fillId="0" borderId="6" xfId="3" applyNumberFormat="1" applyFont="1" applyFill="1" applyBorder="1" applyAlignment="1">
      <alignment horizontal="right"/>
    </xf>
    <xf numFmtId="49" fontId="14" fillId="0" borderId="2" xfId="5" quotePrefix="1" applyNumberFormat="1" applyFont="1" applyBorder="1" applyAlignment="1">
      <alignment horizontal="left" vertical="center"/>
    </xf>
    <xf numFmtId="164" fontId="16" fillId="5" borderId="2" xfId="1" applyNumberFormat="1" applyFont="1" applyFill="1" applyBorder="1" applyAlignment="1">
      <alignment horizontal="left" vertical="center"/>
    </xf>
    <xf numFmtId="0" fontId="16" fillId="5" borderId="2" xfId="5" applyFont="1" applyFill="1" applyBorder="1" applyAlignment="1">
      <alignment horizontal="left" vertical="center" wrapText="1"/>
    </xf>
    <xf numFmtId="49" fontId="17" fillId="5" borderId="2" xfId="5" applyNumberFormat="1" applyFont="1" applyFill="1" applyBorder="1" applyAlignment="1">
      <alignment horizontal="left" vertical="center"/>
    </xf>
    <xf numFmtId="164" fontId="13" fillId="6" borderId="9" xfId="1" applyNumberFormat="1" applyFont="1" applyFill="1" applyBorder="1" applyAlignment="1">
      <alignment horizontal="left" vertical="center"/>
    </xf>
    <xf numFmtId="164" fontId="13" fillId="6" borderId="2" xfId="1" applyNumberFormat="1" applyFont="1" applyFill="1" applyBorder="1" applyAlignment="1">
      <alignment horizontal="left" vertical="center"/>
    </xf>
    <xf numFmtId="49" fontId="13" fillId="6" borderId="2" xfId="5" applyNumberFormat="1" applyFont="1" applyFill="1" applyBorder="1" applyAlignment="1">
      <alignment horizontal="left" vertical="center"/>
    </xf>
    <xf numFmtId="164" fontId="18" fillId="0" borderId="1" xfId="3" applyNumberFormat="1" applyFont="1" applyFill="1" applyBorder="1" applyAlignment="1"/>
    <xf numFmtId="164" fontId="4" fillId="0" borderId="1" xfId="3" applyNumberFormat="1" applyFont="1" applyFill="1" applyBorder="1" applyAlignment="1"/>
    <xf numFmtId="164" fontId="17" fillId="8" borderId="9" xfId="1" applyNumberFormat="1" applyFont="1" applyFill="1" applyBorder="1" applyAlignment="1">
      <alignment horizontal="left" vertical="center"/>
    </xf>
    <xf numFmtId="164" fontId="17" fillId="8" borderId="2" xfId="1" applyNumberFormat="1" applyFont="1" applyFill="1" applyBorder="1" applyAlignment="1">
      <alignment horizontal="left" vertical="center"/>
    </xf>
    <xf numFmtId="0" fontId="17" fillId="8" borderId="2" xfId="5" applyFont="1" applyFill="1" applyBorder="1" applyAlignment="1">
      <alignment horizontal="left" vertical="center" wrapText="1"/>
    </xf>
    <xf numFmtId="0" fontId="17" fillId="8" borderId="2" xfId="5" applyFont="1" applyFill="1" applyBorder="1" applyAlignment="1">
      <alignment horizontal="left" vertical="center"/>
    </xf>
    <xf numFmtId="164" fontId="14" fillId="0" borderId="0" xfId="1" applyNumberFormat="1" applyFont="1" applyAlignment="1">
      <alignment horizontal="left" vertical="center"/>
    </xf>
    <xf numFmtId="164" fontId="17" fillId="7" borderId="9" xfId="1" applyNumberFormat="1" applyFont="1" applyFill="1" applyBorder="1" applyAlignment="1">
      <alignment horizontal="left" vertical="center"/>
    </xf>
    <xf numFmtId="164" fontId="17" fillId="7" borderId="2" xfId="1" applyNumberFormat="1" applyFont="1" applyFill="1" applyBorder="1" applyAlignment="1">
      <alignment horizontal="left" vertical="center"/>
    </xf>
    <xf numFmtId="0" fontId="17" fillId="7" borderId="2" xfId="5" applyFont="1" applyFill="1" applyBorder="1" applyAlignment="1">
      <alignment horizontal="left" vertical="center" wrapText="1"/>
    </xf>
    <xf numFmtId="49" fontId="17" fillId="7" borderId="2" xfId="5" applyNumberFormat="1" applyFont="1" applyFill="1" applyBorder="1" applyAlignment="1">
      <alignment horizontal="left" vertical="center"/>
    </xf>
    <xf numFmtId="164" fontId="14" fillId="0" borderId="9" xfId="1" applyNumberFormat="1" applyFont="1" applyBorder="1" applyAlignment="1">
      <alignment horizontal="left" vertical="center" wrapText="1"/>
    </xf>
    <xf numFmtId="164" fontId="14" fillId="5" borderId="2" xfId="1" applyNumberFormat="1" applyFont="1" applyFill="1" applyBorder="1" applyAlignment="1">
      <alignment horizontal="left" vertical="center" wrapText="1"/>
    </xf>
    <xf numFmtId="49" fontId="19" fillId="5" borderId="2" xfId="5" applyNumberFormat="1" applyFont="1" applyFill="1" applyBorder="1" applyAlignment="1">
      <alignment horizontal="left" vertical="center"/>
    </xf>
    <xf numFmtId="49" fontId="14" fillId="5" borderId="2" xfId="5" applyNumberFormat="1" applyFont="1" applyFill="1" applyBorder="1" applyAlignment="1">
      <alignment horizontal="left" vertical="center" wrapText="1"/>
    </xf>
    <xf numFmtId="164" fontId="20" fillId="6" borderId="9" xfId="1" applyNumberFormat="1" applyFont="1" applyFill="1" applyBorder="1" applyAlignment="1">
      <alignment horizontal="left" vertical="center" wrapText="1"/>
    </xf>
    <xf numFmtId="164" fontId="20" fillId="6" borderId="2" xfId="1" applyNumberFormat="1" applyFont="1" applyFill="1" applyBorder="1" applyAlignment="1">
      <alignment horizontal="left" vertical="center" wrapText="1"/>
    </xf>
    <xf numFmtId="0" fontId="20" fillId="6" borderId="2" xfId="5" applyFont="1" applyFill="1" applyBorder="1" applyAlignment="1">
      <alignment horizontal="left" vertical="center" wrapText="1"/>
    </xf>
    <xf numFmtId="49" fontId="20" fillId="6" borderId="2" xfId="5" applyNumberFormat="1" applyFont="1" applyFill="1" applyBorder="1" applyAlignment="1">
      <alignment horizontal="left" vertical="center" wrapText="1"/>
    </xf>
    <xf numFmtId="164" fontId="17" fillId="7" borderId="9" xfId="1" quotePrefix="1" applyNumberFormat="1" applyFont="1" applyFill="1" applyBorder="1" applyAlignment="1">
      <alignment horizontal="left" vertical="center" wrapText="1"/>
    </xf>
    <xf numFmtId="164" fontId="17" fillId="7" borderId="2" xfId="1" quotePrefix="1" applyNumberFormat="1" applyFont="1" applyFill="1" applyBorder="1" applyAlignment="1">
      <alignment horizontal="left" vertical="center" wrapText="1"/>
    </xf>
    <xf numFmtId="0" fontId="17" fillId="7" borderId="2" xfId="5" quotePrefix="1" applyFont="1" applyFill="1" applyBorder="1" applyAlignment="1">
      <alignment horizontal="left" vertical="center" wrapText="1"/>
    </xf>
    <xf numFmtId="49" fontId="17" fillId="7" borderId="2" xfId="5" applyNumberFormat="1" applyFont="1" applyFill="1" applyBorder="1" applyAlignment="1">
      <alignment horizontal="left" vertical="center" wrapText="1"/>
    </xf>
    <xf numFmtId="164" fontId="17" fillId="7" borderId="9" xfId="1" applyNumberFormat="1" applyFont="1" applyFill="1" applyBorder="1" applyAlignment="1">
      <alignment horizontal="left" vertical="center" wrapText="1"/>
    </xf>
    <xf numFmtId="164" fontId="17" fillId="7" borderId="2" xfId="1" applyNumberFormat="1" applyFont="1" applyFill="1" applyBorder="1" applyAlignment="1">
      <alignment horizontal="left" vertical="center" wrapText="1"/>
    </xf>
    <xf numFmtId="49" fontId="16" fillId="0" borderId="2" xfId="5" quotePrefix="1" applyNumberFormat="1" applyFont="1" applyBorder="1" applyAlignment="1">
      <alignment horizontal="left" vertical="center"/>
    </xf>
    <xf numFmtId="164" fontId="20" fillId="5" borderId="2" xfId="1" applyNumberFormat="1" applyFont="1" applyFill="1" applyBorder="1" applyAlignment="1">
      <alignment horizontal="left" vertical="center"/>
    </xf>
    <xf numFmtId="49" fontId="20" fillId="5" borderId="2" xfId="5" applyNumberFormat="1" applyFont="1" applyFill="1" applyBorder="1" applyAlignment="1">
      <alignment horizontal="left" vertical="center" wrapText="1"/>
    </xf>
    <xf numFmtId="49" fontId="20" fillId="5" borderId="2" xfId="5" applyNumberFormat="1" applyFont="1" applyFill="1" applyBorder="1" applyAlignment="1">
      <alignment horizontal="left" vertical="center"/>
    </xf>
    <xf numFmtId="49" fontId="16" fillId="5" borderId="2" xfId="5" applyNumberFormat="1" applyFont="1" applyFill="1" applyBorder="1" applyAlignment="1">
      <alignment horizontal="left" vertical="center"/>
    </xf>
    <xf numFmtId="49" fontId="10" fillId="0" borderId="2" xfId="5" quotePrefix="1" applyNumberFormat="1" applyFont="1" applyBorder="1" applyAlignment="1">
      <alignment horizontal="left" vertical="center"/>
    </xf>
    <xf numFmtId="164" fontId="20" fillId="6" borderId="9" xfId="1" applyNumberFormat="1" applyFont="1" applyFill="1" applyBorder="1" applyAlignment="1">
      <alignment horizontal="left" vertical="center"/>
    </xf>
    <xf numFmtId="164" fontId="20" fillId="6" borderId="2" xfId="1" applyNumberFormat="1" applyFont="1" applyFill="1" applyBorder="1" applyAlignment="1">
      <alignment horizontal="left" vertical="center"/>
    </xf>
    <xf numFmtId="49" fontId="20" fillId="6" borderId="2" xfId="5" applyNumberFormat="1" applyFont="1" applyFill="1" applyBorder="1" applyAlignment="1">
      <alignment horizontal="left" vertical="center"/>
    </xf>
    <xf numFmtId="164" fontId="16" fillId="0" borderId="9" xfId="1" applyNumberFormat="1" applyFont="1" applyBorder="1" applyAlignment="1">
      <alignment horizontal="left" vertical="center" wrapText="1"/>
    </xf>
    <xf numFmtId="164" fontId="16" fillId="0" borderId="2" xfId="1" applyNumberFormat="1" applyFont="1" applyBorder="1" applyAlignment="1">
      <alignment horizontal="left" vertical="center" wrapText="1"/>
    </xf>
    <xf numFmtId="49" fontId="14" fillId="0" borderId="2" xfId="6" applyNumberFormat="1" applyFont="1" applyBorder="1" applyAlignment="1">
      <alignment horizontal="left" vertical="center" wrapText="1"/>
    </xf>
    <xf numFmtId="164" fontId="2" fillId="0" borderId="2" xfId="1" applyNumberFormat="1" applyFont="1" applyBorder="1" applyAlignment="1">
      <alignment horizontal="left" vertical="center"/>
    </xf>
    <xf numFmtId="164" fontId="2" fillId="5" borderId="2" xfId="1" applyNumberFormat="1" applyFont="1" applyFill="1" applyBorder="1" applyAlignment="1">
      <alignment horizontal="left" vertical="center"/>
    </xf>
    <xf numFmtId="0" fontId="3" fillId="5" borderId="2" xfId="2" applyFont="1" applyFill="1" applyBorder="1" applyAlignment="1">
      <alignment horizontal="left" vertical="center"/>
    </xf>
    <xf numFmtId="0" fontId="2" fillId="0" borderId="2" xfId="2" applyBorder="1" applyAlignment="1">
      <alignment horizontal="left" vertical="center" wrapText="1"/>
    </xf>
    <xf numFmtId="164" fontId="2" fillId="0" borderId="9" xfId="1" applyNumberFormat="1" applyFont="1" applyBorder="1" applyAlignment="1">
      <alignment horizontal="left" vertical="center"/>
    </xf>
    <xf numFmtId="164" fontId="0" fillId="0" borderId="1" xfId="3" applyNumberFormat="1" applyFont="1" applyFill="1" applyBorder="1" applyAlignment="1">
      <alignment vertical="center"/>
    </xf>
    <xf numFmtId="1" fontId="3" fillId="0" borderId="2" xfId="2" applyNumberFormat="1" applyFont="1" applyBorder="1" applyAlignment="1">
      <alignment vertical="center"/>
    </xf>
    <xf numFmtId="1" fontId="3" fillId="0" borderId="3" xfId="2" applyNumberFormat="1" applyFont="1" applyBorder="1" applyAlignment="1">
      <alignment vertical="center"/>
    </xf>
    <xf numFmtId="164" fontId="18" fillId="0" borderId="2" xfId="3" applyNumberFormat="1" applyFont="1" applyFill="1" applyBorder="1" applyAlignment="1"/>
    <xf numFmtId="1" fontId="3" fillId="0" borderId="2" xfId="2" applyNumberFormat="1" applyFont="1" applyBorder="1" applyAlignment="1">
      <alignment horizontal="right"/>
    </xf>
    <xf numFmtId="164" fontId="22" fillId="0" borderId="3" xfId="1" applyNumberFormat="1" applyFont="1" applyBorder="1" applyAlignment="1">
      <alignment horizontal="left" vertical="center"/>
    </xf>
    <xf numFmtId="164" fontId="0" fillId="0" borderId="2" xfId="3" applyNumberFormat="1" applyFont="1" applyFill="1" applyBorder="1" applyAlignment="1"/>
    <xf numFmtId="0" fontId="3" fillId="0" borderId="2" xfId="2" applyFont="1" applyBorder="1" applyAlignment="1">
      <alignment horizontal="right"/>
    </xf>
    <xf numFmtId="164" fontId="2" fillId="0" borderId="3" xfId="1" applyNumberFormat="1" applyFont="1" applyBorder="1" applyAlignment="1">
      <alignment horizontal="left" vertical="center"/>
    </xf>
    <xf numFmtId="164" fontId="0" fillId="0" borderId="2" xfId="3" applyNumberFormat="1" applyFont="1" applyFill="1" applyBorder="1" applyAlignment="1">
      <alignment horizontal="left" vertical="center"/>
    </xf>
    <xf numFmtId="164" fontId="4" fillId="0" borderId="13" xfId="3" applyNumberFormat="1" applyFont="1" applyFill="1" applyBorder="1" applyAlignment="1"/>
    <xf numFmtId="0" fontId="2" fillId="0" borderId="2" xfId="2" applyBorder="1" applyAlignment="1">
      <alignment vertical="center"/>
    </xf>
    <xf numFmtId="0" fontId="2" fillId="0" borderId="2" xfId="2" applyBorder="1"/>
    <xf numFmtId="0" fontId="3" fillId="0" borderId="0" xfId="2" applyFont="1"/>
    <xf numFmtId="164" fontId="3" fillId="0" borderId="14" xfId="3" applyNumberFormat="1" applyFont="1" applyFill="1" applyBorder="1" applyAlignment="1">
      <alignment vertical="center"/>
    </xf>
    <xf numFmtId="0" fontId="3" fillId="0" borderId="13" xfId="2" applyFont="1" applyBorder="1"/>
    <xf numFmtId="164" fontId="3" fillId="0" borderId="13" xfId="3" applyNumberFormat="1" applyFont="1" applyFill="1" applyBorder="1" applyAlignment="1"/>
    <xf numFmtId="0" fontId="3" fillId="0" borderId="13" xfId="2" applyFont="1" applyBorder="1" applyAlignment="1">
      <alignment horizontal="left" vertical="center"/>
    </xf>
    <xf numFmtId="0" fontId="23" fillId="0" borderId="2" xfId="2" applyFont="1" applyBorder="1" applyAlignment="1">
      <alignment horizontal="center" vertical="center" wrapText="1"/>
    </xf>
    <xf numFmtId="0" fontId="23" fillId="0" borderId="2" xfId="2" applyFont="1" applyBorder="1" applyAlignment="1">
      <alignment horizontal="center" vertical="center"/>
    </xf>
  </cellXfs>
  <cellStyles count="7">
    <cellStyle name="Moneda" xfId="1" builtinId="4"/>
    <cellStyle name="Moneda 2" xfId="3" xr:uid="{87685F63-34D5-488E-AFD9-6B53F8FA0BCF}"/>
    <cellStyle name="Normal" xfId="0" builtinId="0"/>
    <cellStyle name="Normal 2" xfId="2" xr:uid="{F802D016-0FC9-4BBD-946C-A2B4F1FF596A}"/>
    <cellStyle name="Normal 2 2" xfId="6" xr:uid="{37D60D9D-DC09-47CF-A29B-C8C175A77C7B}"/>
    <cellStyle name="Normal 3" xfId="5" xr:uid="{E6AAB484-BFC6-4CC0-8A0A-60BD6266AE94}"/>
    <cellStyle name="Normal 4" xfId="4" xr:uid="{93E2BB04-8FE9-433E-A330-ECAA942DB72D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71500" cy="379534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CFDD089-EE80-4AF3-8F5F-0E202B840E06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571500" cy="379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11</xdr:row>
      <xdr:rowOff>0</xdr:rowOff>
    </xdr:from>
    <xdr:ext cx="571500" cy="379535"/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9483EF03-29A5-4B03-B6A9-AA283FC51737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571500" cy="37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571500" cy="400050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4C81FFC-09A7-467D-A3B6-67CB1F0DA665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5715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571500" cy="400050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FDE9A55E-7C9E-44D5-A9F6-6DEC9F145755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5715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0</xdr:colOff>
      <xdr:row>2</xdr:row>
      <xdr:rowOff>0</xdr:rowOff>
    </xdr:from>
    <xdr:to>
      <xdr:col>0</xdr:col>
      <xdr:colOff>19050</xdr:colOff>
      <xdr:row>3</xdr:row>
      <xdr:rowOff>0</xdr:rowOff>
    </xdr:to>
    <xdr:pic>
      <xdr:nvPicPr>
        <xdr:cNvPr id="6" name="Picture 154">
          <a:extLst>
            <a:ext uri="{FF2B5EF4-FFF2-40B4-BE49-F238E27FC236}">
              <a16:creationId xmlns:a16="http://schemas.microsoft.com/office/drawing/2014/main" id="{0F99C72E-13EB-4B48-AE3A-6A701BF7B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19050</xdr:colOff>
      <xdr:row>3</xdr:row>
      <xdr:rowOff>0</xdr:rowOff>
    </xdr:to>
    <xdr:pic>
      <xdr:nvPicPr>
        <xdr:cNvPr id="7" name="Picture 154">
          <a:extLst>
            <a:ext uri="{FF2B5EF4-FFF2-40B4-BE49-F238E27FC236}">
              <a16:creationId xmlns:a16="http://schemas.microsoft.com/office/drawing/2014/main" id="{6AFC67DB-1220-4D59-82AD-037A15C51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19050</xdr:colOff>
      <xdr:row>3</xdr:row>
      <xdr:rowOff>0</xdr:rowOff>
    </xdr:to>
    <xdr:pic>
      <xdr:nvPicPr>
        <xdr:cNvPr id="8" name="Picture 144">
          <a:extLst>
            <a:ext uri="{FF2B5EF4-FFF2-40B4-BE49-F238E27FC236}">
              <a16:creationId xmlns:a16="http://schemas.microsoft.com/office/drawing/2014/main" id="{7499664A-4B87-4898-8AD6-819C35C8A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12700</xdr:colOff>
      <xdr:row>3</xdr:row>
      <xdr:rowOff>12700</xdr:rowOff>
    </xdr:to>
    <xdr:pic>
      <xdr:nvPicPr>
        <xdr:cNvPr id="9" name="Picture 103">
          <a:extLst>
            <a:ext uri="{FF2B5EF4-FFF2-40B4-BE49-F238E27FC236}">
              <a16:creationId xmlns:a16="http://schemas.microsoft.com/office/drawing/2014/main" id="{2D8C78C5-7487-43FC-A7D3-27E42BAD0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12700</xdr:colOff>
      <xdr:row>3</xdr:row>
      <xdr:rowOff>0</xdr:rowOff>
    </xdr:to>
    <xdr:pic>
      <xdr:nvPicPr>
        <xdr:cNvPr id="10" name="Picture 71">
          <a:extLst>
            <a:ext uri="{FF2B5EF4-FFF2-40B4-BE49-F238E27FC236}">
              <a16:creationId xmlns:a16="http://schemas.microsoft.com/office/drawing/2014/main" id="{2B25FA08-CE11-4EB2-9B9D-888E0DE9F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12700</xdr:colOff>
      <xdr:row>3</xdr:row>
      <xdr:rowOff>12700</xdr:rowOff>
    </xdr:to>
    <xdr:pic>
      <xdr:nvPicPr>
        <xdr:cNvPr id="11" name="Picture 62">
          <a:extLst>
            <a:ext uri="{FF2B5EF4-FFF2-40B4-BE49-F238E27FC236}">
              <a16:creationId xmlns:a16="http://schemas.microsoft.com/office/drawing/2014/main" id="{63633BD4-3A5D-4210-AD23-874FB5F4A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fe%20Compras\OneDrive\Documents\Desktop\LISTAS%20DE%20PRECIOS\listados%20grupo%20nuevo%20con%20formulas\LISTA%20PROVISIONAL%20DA&#209;O%20PLATAFORMA\LISTAS%20EMPRESA%20GRUPO\LISTA%20CONTROL%20ACCESO%20E%20INTERCOM%20GRUPO.xlsx" TargetMode="External"/><Relationship Id="rId1" Type="http://schemas.openxmlformats.org/officeDocument/2006/relationships/externalLinkPath" Target="LISTA%20CONTROL%20ACCESO%20E%20INTERCOM%20GRUP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 ACCESO HIKVISIO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B3A2E-34FE-4CE2-859D-17C64B1C9418}" name="Tabla13" displayName="Tabla13" ref="A1:K897" totalsRowShown="0" headerRowDxfId="18" dataDxfId="17" headerRowBorderDxfId="15" tableBorderDxfId="16" totalsRowBorderDxfId="14">
  <sortState xmlns:xlrd2="http://schemas.microsoft.com/office/spreadsheetml/2017/richdata2" ref="A2:K768">
    <sortCondition descending="1" ref="A1:A768"/>
  </sortState>
  <tableColumns count="11">
    <tableColumn id="3" xr3:uid="{B97F3811-B459-48B2-ADC2-57DF45213382}" name="REFERENCIA" dataDxfId="13"/>
    <tableColumn id="4" xr3:uid="{456FCF9D-983B-4A99-BA21-B301649026D4}" name="DESCRIPCION" dataDxfId="12"/>
    <tableColumn id="11" xr3:uid="{ED9CE78A-0E74-442F-BEC7-227A4745F726}" name="PRECIO INSTALADOR (IVA INCLUIDO)" dataDxfId="11" dataCellStyle="Moneda">
      <calculatedColumnFormula>+Tabla13[[#This Row],[Columna6]]/Tabla13[[#This Row],[Columna5]]</calculatedColumnFormula>
    </tableColumn>
    <tableColumn id="13" xr3:uid="{9EFA6089-DBC7-4597-A394-5D08EE60A639}" name="PRECIO TIENDA (IVA INCLUIDO)" dataDxfId="10" dataCellStyle="Moneda">
      <calculatedColumnFormula>+Tabla13[[#This Row],[PRECIO INSTALADOR (IVA INCLUIDO)]]-F2</calculatedColumnFormula>
    </tableColumn>
    <tableColumn id="12" xr3:uid="{5C492823-A7CA-434E-8610-D223EFFEC865}" name="PRECIO CLIENTE FINAL (IVA INCLUIDO)" dataDxfId="9" dataCellStyle="Moneda">
      <calculatedColumnFormula>+Tabla13[[#This Row],[PRECIO INSTALADOR (IVA INCLUIDO)]]/0.7</calculatedColumnFormula>
    </tableColumn>
    <tableColumn id="16" xr3:uid="{719A5279-C2C9-4DE2-8FE0-71C1E1050C4A}" name="Columna1" dataDxfId="8" dataCellStyle="Moneda">
      <calculatedColumnFormula>+Tabla13[[#This Row],[PRECIO INSTALADOR (IVA INCLUIDO)]]*5%</calculatedColumnFormula>
    </tableColumn>
    <tableColumn id="5" xr3:uid="{C3712D49-9954-4351-9C23-C3ADAF974F7A}" name="Columna5" dataDxfId="7"/>
    <tableColumn id="6" xr3:uid="{4D5BFBE8-5388-4036-BF45-E844FED97120}" name="Columna6" dataDxfId="6" dataCellStyle="Moneda">
      <calculatedColumnFormula>Tabla13[[#This Row],[COSTO]]*1.19</calculatedColumnFormula>
    </tableColumn>
    <tableColumn id="7" xr3:uid="{7B89DDCB-E923-4387-AB4C-9932554B5571}" name="Columna7" dataDxfId="5"/>
    <tableColumn id="8" xr3:uid="{4F249C86-6D2A-4F9A-B2E3-318B1AF3F319}" name="Columna8" dataDxfId="4"/>
    <tableColumn id="9" xr3:uid="{AD236D2F-3715-4E7E-9D69-4F48C239EA57}" name="COSTO" dataDxfId="3" dataCellStyle="Moned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yscomcolombia.com/producto/ACCESSRIMMOTOR-ACCESSPRO-176565.htm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7D00-DE3E-442E-96AA-DCFA2468BB6E}">
  <dimension ref="A1:Q897"/>
  <sheetViews>
    <sheetView tabSelected="1" view="pageBreakPreview" zoomScale="60" zoomScaleNormal="130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49" style="7" customWidth="1"/>
    <col min="2" max="2" width="75.42578125" style="6" customWidth="1"/>
    <col min="3" max="3" width="49.85546875" style="5" customWidth="1"/>
    <col min="4" max="4" width="34.140625" style="5" customWidth="1"/>
    <col min="5" max="5" width="40.140625" style="5" customWidth="1"/>
    <col min="6" max="6" width="17" style="5" hidden="1" customWidth="1"/>
    <col min="7" max="7" width="4.7109375" style="3" hidden="1" customWidth="1"/>
    <col min="8" max="8" width="14" style="4" hidden="1" customWidth="1"/>
    <col min="9" max="9" width="4" style="3" hidden="1" customWidth="1"/>
    <col min="10" max="10" width="3.42578125" style="3" hidden="1" customWidth="1"/>
    <col min="11" max="11" width="14.42578125" style="2" hidden="1" customWidth="1"/>
    <col min="12" max="256" width="9.140625" style="1" customWidth="1"/>
    <col min="257" max="16384" width="11.42578125" style="1"/>
  </cols>
  <sheetData>
    <row r="1" spans="1:11" s="150" customFormat="1" ht="40.5" customHeight="1" x14ac:dyDescent="0.2">
      <c r="A1" s="156" t="s">
        <v>1615</v>
      </c>
      <c r="B1" s="155" t="s">
        <v>1614</v>
      </c>
      <c r="C1" s="155" t="s">
        <v>1613</v>
      </c>
      <c r="D1" s="155" t="s">
        <v>1612</v>
      </c>
      <c r="E1" s="155" t="s">
        <v>1611</v>
      </c>
      <c r="F1" s="154" t="s">
        <v>1610</v>
      </c>
      <c r="G1" s="152" t="s">
        <v>1609</v>
      </c>
      <c r="H1" s="153" t="s">
        <v>1608</v>
      </c>
      <c r="I1" s="152" t="s">
        <v>1607</v>
      </c>
      <c r="J1" s="152" t="s">
        <v>1606</v>
      </c>
      <c r="K1" s="151" t="s">
        <v>1605</v>
      </c>
    </row>
    <row r="2" spans="1:11" x14ac:dyDescent="0.25">
      <c r="A2" s="38" t="s">
        <v>1604</v>
      </c>
      <c r="B2" s="135" t="s">
        <v>1603</v>
      </c>
      <c r="C2" s="132">
        <f>+Tabla13[[#This Row],[Columna6]]/Tabla13[[#This Row],[Columna5]]</f>
        <v>1720.4819277108434</v>
      </c>
      <c r="D2" s="132">
        <f>+Tabla13[[#This Row],[PRECIO INSTALADOR (IVA INCLUIDO)]]-F2</f>
        <v>1634.4578313253012</v>
      </c>
      <c r="E2" s="132">
        <f>+Tabla13[[#This Row],[PRECIO INSTALADOR (IVA INCLUIDO)]]/0.7</f>
        <v>2457.8313253012047</v>
      </c>
      <c r="F2" s="145">
        <f>+Tabla13[[#This Row],[PRECIO INSTALADOR (IVA INCLUIDO)]]*5%</f>
        <v>86.02409638554218</v>
      </c>
      <c r="G2" s="144">
        <v>0.83</v>
      </c>
      <c r="H2" s="147">
        <f>Tabla13[[#This Row],[COSTO]]*1.19</f>
        <v>1428</v>
      </c>
      <c r="I2" s="9"/>
      <c r="J2" s="9"/>
      <c r="K2" s="143">
        <v>1200</v>
      </c>
    </row>
    <row r="3" spans="1:11" x14ac:dyDescent="0.25">
      <c r="A3" s="149" t="s">
        <v>1602</v>
      </c>
      <c r="B3" s="148" t="s">
        <v>1601</v>
      </c>
      <c r="C3" s="132">
        <f>+Tabla13[[#This Row],[Columna6]]/Tabla13[[#This Row],[Columna5]]</f>
        <v>1720.4819277108434</v>
      </c>
      <c r="D3" s="132">
        <f>+Tabla13[[#This Row],[PRECIO INSTALADOR (IVA INCLUIDO)]]-F3</f>
        <v>1634.4578313253012</v>
      </c>
      <c r="E3" s="132">
        <f>+Tabla13[[#This Row],[PRECIO INSTALADOR (IVA INCLUIDO)]]/0.7</f>
        <v>2457.8313253012047</v>
      </c>
      <c r="F3" s="145">
        <f>+Tabla13[[#This Row],[PRECIO INSTALADOR (IVA INCLUIDO)]]*5%</f>
        <v>86.02409638554218</v>
      </c>
      <c r="G3" s="144">
        <v>0.83</v>
      </c>
      <c r="H3" s="147">
        <f>Tabla13[[#This Row],[COSTO]]*1.19</f>
        <v>1428</v>
      </c>
      <c r="I3" s="9"/>
      <c r="J3" s="9"/>
      <c r="K3" s="143">
        <v>1200</v>
      </c>
    </row>
    <row r="4" spans="1:11" x14ac:dyDescent="0.2">
      <c r="A4" s="38" t="s">
        <v>1600</v>
      </c>
      <c r="B4" s="135" t="s">
        <v>1599</v>
      </c>
      <c r="C4" s="132">
        <f>+Tabla13[[#This Row],[Columna6]]/Tabla13[[#This Row],[Columna5]]</f>
        <v>21560</v>
      </c>
      <c r="D4" s="132">
        <f>+Tabla13[[#This Row],[PRECIO INSTALADOR (IVA INCLUIDO)]]-F4</f>
        <v>20482</v>
      </c>
      <c r="E4" s="132">
        <f>+Tabla13[[#This Row],[PRECIO INSTALADOR (IVA INCLUIDO)]]/0.7</f>
        <v>30800.000000000004</v>
      </c>
      <c r="F4" s="145">
        <f>+Tabla13[[#This Row],[PRECIO INSTALADOR (IVA INCLUIDO)]]*5%</f>
        <v>1078</v>
      </c>
      <c r="G4" s="144">
        <v>0.85</v>
      </c>
      <c r="H4" s="11">
        <f>Tabla13[[#This Row],[COSTO]]*1.19</f>
        <v>18326</v>
      </c>
      <c r="I4" s="9"/>
      <c r="J4" s="9"/>
      <c r="K4" s="146">
        <v>15400</v>
      </c>
    </row>
    <row r="5" spans="1:11" x14ac:dyDescent="0.25">
      <c r="A5" s="38" t="s">
        <v>1598</v>
      </c>
      <c r="B5" s="135" t="s">
        <v>1597</v>
      </c>
      <c r="C5" s="132">
        <f>+Tabla13[[#This Row],[Columna6]]/Tabla13[[#This Row],[Columna5]]</f>
        <v>65436</v>
      </c>
      <c r="D5" s="132">
        <f>+Tabla13[[#This Row],[PRECIO INSTALADOR (IVA INCLUIDO)]]-F5</f>
        <v>62164.2</v>
      </c>
      <c r="E5" s="132">
        <f>+Tabla13[[#This Row],[PRECIO INSTALADOR (IVA INCLUIDO)]]/0.7</f>
        <v>93480</v>
      </c>
      <c r="F5" s="145">
        <f>+Tabla13[[#This Row],[PRECIO INSTALADOR (IVA INCLUIDO)]]*5%</f>
        <v>3271.8</v>
      </c>
      <c r="G5" s="144">
        <v>0.85</v>
      </c>
      <c r="H5" s="11">
        <f>Tabla13[[#This Row],[COSTO]]*1.19</f>
        <v>55620.6</v>
      </c>
      <c r="I5" s="9"/>
      <c r="J5" s="9"/>
      <c r="K5" s="143">
        <v>46740</v>
      </c>
    </row>
    <row r="6" spans="1:11" ht="13.5" x14ac:dyDescent="0.2">
      <c r="A6" s="38" t="s">
        <v>1596</v>
      </c>
      <c r="B6" s="135" t="s">
        <v>12</v>
      </c>
      <c r="C6" s="132">
        <f>+Tabla13[[#This Row],[Columna6]]/Tabla13[[#This Row],[Columna5]]</f>
        <v>596034.78260869568</v>
      </c>
      <c r="D6" s="132">
        <f>+Tabla13[[#This Row],[PRECIO INSTALADOR (IVA INCLUIDO)]]-F6</f>
        <v>566233.04347826086</v>
      </c>
      <c r="E6" s="132">
        <f>+Tabla13[[#This Row],[PRECIO INSTALADOR (IVA INCLUIDO)]]/0.7</f>
        <v>851478.2608695653</v>
      </c>
      <c r="F6" s="142">
        <f>+Tabla13[[#This Row],[PRECIO INSTALADOR (IVA INCLUIDO)]]*5%</f>
        <v>29801.739130434784</v>
      </c>
      <c r="G6" s="141">
        <v>1</v>
      </c>
      <c r="H6" s="11">
        <f>Tabla13[[#This Row],[COSTO]]*1.19</f>
        <v>596034.78260869568</v>
      </c>
      <c r="I6" s="9"/>
      <c r="J6" s="9"/>
      <c r="K6" s="140">
        <v>500869.56521739135</v>
      </c>
    </row>
    <row r="7" spans="1:11" ht="13.5" x14ac:dyDescent="0.2">
      <c r="A7" s="38" t="s">
        <v>1595</v>
      </c>
      <c r="B7" s="135" t="s">
        <v>14</v>
      </c>
      <c r="C7" s="132">
        <f>+Tabla13[[#This Row],[Columna6]]/Tabla13[[#This Row],[Columna5]]</f>
        <v>372521.73913043481</v>
      </c>
      <c r="D7" s="132">
        <f>+Tabla13[[#This Row],[PRECIO INSTALADOR (IVA INCLUIDO)]]-F7</f>
        <v>353895.65217391308</v>
      </c>
      <c r="E7" s="132">
        <f>+Tabla13[[#This Row],[PRECIO INSTALADOR (IVA INCLUIDO)]]/0.7</f>
        <v>532173.91304347839</v>
      </c>
      <c r="F7" s="142">
        <f>+Tabla13[[#This Row],[PRECIO INSTALADOR (IVA INCLUIDO)]]*5%</f>
        <v>18626.08695652174</v>
      </c>
      <c r="G7" s="141">
        <v>1</v>
      </c>
      <c r="H7" s="11">
        <f>Tabla13[[#This Row],[COSTO]]*1.19</f>
        <v>372521.73913043481</v>
      </c>
      <c r="I7" s="9"/>
      <c r="J7" s="9"/>
      <c r="K7" s="140">
        <v>313043.47826086963</v>
      </c>
    </row>
    <row r="8" spans="1:11" ht="13.5" x14ac:dyDescent="0.2">
      <c r="A8" s="38" t="s">
        <v>1594</v>
      </c>
      <c r="B8" s="135" t="s">
        <v>16</v>
      </c>
      <c r="C8" s="132">
        <f>+Tabla13[[#This Row],[Columna6]]/Tabla13[[#This Row],[Columna5]]</f>
        <v>953655.6521739132</v>
      </c>
      <c r="D8" s="132">
        <f>+Tabla13[[#This Row],[PRECIO INSTALADOR (IVA INCLUIDO)]]-F8</f>
        <v>905972.86956521752</v>
      </c>
      <c r="E8" s="132">
        <f>+Tabla13[[#This Row],[PRECIO INSTALADOR (IVA INCLUIDO)]]/0.7</f>
        <v>1362365.2173913047</v>
      </c>
      <c r="F8" s="142">
        <f>+Tabla13[[#This Row],[PRECIO INSTALADOR (IVA INCLUIDO)]]*5%</f>
        <v>47682.782608695663</v>
      </c>
      <c r="G8" s="141">
        <v>1</v>
      </c>
      <c r="H8" s="11">
        <f>Tabla13[[#This Row],[COSTO]]*1.19</f>
        <v>953655.6521739132</v>
      </c>
      <c r="I8" s="9"/>
      <c r="J8" s="9"/>
      <c r="K8" s="140">
        <v>801391.30434782628</v>
      </c>
    </row>
    <row r="9" spans="1:11" x14ac:dyDescent="0.2">
      <c r="A9" s="38" t="s">
        <v>1593</v>
      </c>
      <c r="B9" s="135" t="s">
        <v>1592</v>
      </c>
      <c r="C9" s="132">
        <f>+Tabla13[[#This Row],[Columna6]]/Tabla13[[#This Row],[Columna5]]</f>
        <v>136472</v>
      </c>
      <c r="D9" s="132">
        <f>+Tabla13[[#This Row],[PRECIO INSTALADOR (IVA INCLUIDO)]]-F9</f>
        <v>129648.4</v>
      </c>
      <c r="E9" s="132">
        <f>+Tabla13[[#This Row],[PRECIO INSTALADOR (IVA INCLUIDO)]]/0.7</f>
        <v>194960</v>
      </c>
      <c r="F9" s="136">
        <f>+Tabla13[[#This Row],[PRECIO INSTALADOR (IVA INCLUIDO)]]*5%</f>
        <v>6823.6</v>
      </c>
      <c r="G9" s="12">
        <v>0.85</v>
      </c>
      <c r="H9" s="11">
        <f>Tabla13[[#This Row],[COSTO]]*1.19</f>
        <v>116001.2</v>
      </c>
      <c r="I9" s="139"/>
      <c r="J9" s="138"/>
      <c r="K9" s="137">
        <v>97480</v>
      </c>
    </row>
    <row r="10" spans="1:11" x14ac:dyDescent="0.25">
      <c r="A10" s="38" t="s">
        <v>1591</v>
      </c>
      <c r="B10" s="135" t="s">
        <v>1590</v>
      </c>
      <c r="C10" s="132">
        <f>+Tabla13[[#This Row],[Columna6]]/Tabla13[[#This Row],[Columna5]]</f>
        <v>80110.799999999988</v>
      </c>
      <c r="D10" s="132">
        <f>+Tabla13[[#This Row],[PRECIO INSTALADOR (IVA INCLUIDO)]]-F10</f>
        <v>76105.259999999995</v>
      </c>
      <c r="E10" s="132">
        <f>+Tabla13[[#This Row],[PRECIO INSTALADOR (IVA INCLUIDO)]]/0.7</f>
        <v>114443.99999999999</v>
      </c>
      <c r="F10" s="136">
        <f>+Tabla13[[#This Row],[PRECIO INSTALADOR (IVA INCLUIDO)]]*5%</f>
        <v>4005.5399999999995</v>
      </c>
      <c r="G10" s="12">
        <v>0.85</v>
      </c>
      <c r="H10" s="11">
        <f>Tabla13[[#This Row],[COSTO]]*1.19</f>
        <v>68094.179999999993</v>
      </c>
      <c r="I10" s="10"/>
      <c r="J10" s="9"/>
      <c r="K10" s="8">
        <v>57222</v>
      </c>
    </row>
    <row r="11" spans="1:11" ht="25.5" x14ac:dyDescent="0.25">
      <c r="A11" s="38" t="s">
        <v>1589</v>
      </c>
      <c r="B11" s="135" t="s">
        <v>1588</v>
      </c>
      <c r="C11" s="132">
        <f>+Tabla13[[#This Row],[Columna6]]/Tabla13[[#This Row],[Columna5]]</f>
        <v>83694.8</v>
      </c>
      <c r="D11" s="132">
        <f>+Tabla13[[#This Row],[PRECIO INSTALADOR (IVA INCLUIDO)]]-F11</f>
        <v>79510.06</v>
      </c>
      <c r="E11" s="132">
        <f>+Tabla13[[#This Row],[PRECIO INSTALADOR (IVA INCLUIDO)]]/0.7</f>
        <v>119564.00000000001</v>
      </c>
      <c r="F11" s="136">
        <f>+Tabla13[[#This Row],[PRECIO INSTALADOR (IVA INCLUIDO)]]*5%</f>
        <v>4184.7400000000007</v>
      </c>
      <c r="G11" s="12">
        <v>0.85</v>
      </c>
      <c r="H11" s="11">
        <f>Tabla13[[#This Row],[COSTO]]*1.19</f>
        <v>71140.58</v>
      </c>
      <c r="I11" s="10"/>
      <c r="J11" s="9"/>
      <c r="K11" s="8">
        <v>59782</v>
      </c>
    </row>
    <row r="12" spans="1:11" x14ac:dyDescent="0.2">
      <c r="A12" s="38" t="s">
        <v>1587</v>
      </c>
      <c r="B12" s="135" t="s">
        <v>1586</v>
      </c>
      <c r="C12" s="132">
        <f>+Tabla13[[#This Row],[Columna6]]/Tabla13[[#This Row],[Columna5]]</f>
        <v>83694.8</v>
      </c>
      <c r="D12" s="132">
        <f>+Tabla13[[#This Row],[PRECIO INSTALADOR (IVA INCLUIDO)]]-F12</f>
        <v>79510.06</v>
      </c>
      <c r="E12" s="132">
        <f>+Tabla13[[#This Row],[PRECIO INSTALADOR (IVA INCLUIDO)]]/0.7</f>
        <v>119564.00000000001</v>
      </c>
      <c r="F12" s="136">
        <f>+Tabla13[[#This Row],[PRECIO INSTALADOR (IVA INCLUIDO)]]*5%</f>
        <v>4184.7400000000007</v>
      </c>
      <c r="G12" s="12">
        <v>0.85</v>
      </c>
      <c r="H12" s="11">
        <f>Tabla13[[#This Row],[COSTO]]*1.19</f>
        <v>71140.58</v>
      </c>
      <c r="I12" s="139"/>
      <c r="J12" s="138"/>
      <c r="K12" s="137">
        <v>59782</v>
      </c>
    </row>
    <row r="13" spans="1:11" x14ac:dyDescent="0.25">
      <c r="A13" s="38" t="s">
        <v>1585</v>
      </c>
      <c r="B13" s="135" t="s">
        <v>1584</v>
      </c>
      <c r="C13" s="132">
        <f>+Tabla13[[#This Row],[Columna6]]/Tabla13[[#This Row],[Columna5]]</f>
        <v>81740.399999999994</v>
      </c>
      <c r="D13" s="132">
        <f>+Tabla13[[#This Row],[PRECIO INSTALADOR (IVA INCLUIDO)]]-F13</f>
        <v>77653.37999999999</v>
      </c>
      <c r="E13" s="132">
        <f>+Tabla13[[#This Row],[PRECIO INSTALADOR (IVA INCLUIDO)]]/0.7</f>
        <v>116772</v>
      </c>
      <c r="F13" s="136">
        <f>+Tabla13[[#This Row],[PRECIO INSTALADOR (IVA INCLUIDO)]]*5%</f>
        <v>4087.02</v>
      </c>
      <c r="G13" s="12">
        <v>0.85</v>
      </c>
      <c r="H13" s="11">
        <f>Tabla13[[#This Row],[COSTO]]*1.19</f>
        <v>69479.34</v>
      </c>
      <c r="I13" s="10"/>
      <c r="J13" s="9"/>
      <c r="K13" s="8">
        <v>58386</v>
      </c>
    </row>
    <row r="14" spans="1:11" x14ac:dyDescent="0.25">
      <c r="A14" s="38" t="s">
        <v>1583</v>
      </c>
      <c r="B14" s="135" t="s">
        <v>1582</v>
      </c>
      <c r="C14" s="132">
        <f>+Tabla13[[#This Row],[Columna6]]/Tabla13[[#This Row],[Columna5]]</f>
        <v>4972.8</v>
      </c>
      <c r="D14" s="132">
        <f>+Tabla13[[#This Row],[PRECIO INSTALADOR (IVA INCLUIDO)]]-F14</f>
        <v>4724.16</v>
      </c>
      <c r="E14" s="132">
        <f>+Tabla13[[#This Row],[PRECIO INSTALADOR (IVA INCLUIDO)]]/0.7</f>
        <v>7104.0000000000009</v>
      </c>
      <c r="F14" s="136">
        <f>+Tabla13[[#This Row],[PRECIO INSTALADOR (IVA INCLUIDO)]]*5%</f>
        <v>248.64000000000001</v>
      </c>
      <c r="G14" s="12">
        <v>0.85</v>
      </c>
      <c r="H14" s="11">
        <f>Tabla13[[#This Row],[COSTO]]*1.19</f>
        <v>4226.88</v>
      </c>
      <c r="I14" s="10"/>
      <c r="J14" s="9"/>
      <c r="K14" s="8">
        <v>3552</v>
      </c>
    </row>
    <row r="15" spans="1:11" x14ac:dyDescent="0.25">
      <c r="A15" s="38" t="s">
        <v>1581</v>
      </c>
      <c r="B15" s="135" t="s">
        <v>1580</v>
      </c>
      <c r="C15" s="132">
        <f>+Tabla13[[#This Row],[Columna6]]/Tabla13[[#This Row],[Columna5]]</f>
        <v>5048.3999999999996</v>
      </c>
      <c r="D15" s="132">
        <f>+Tabla13[[#This Row],[PRECIO INSTALADOR (IVA INCLUIDO)]]-F15</f>
        <v>4795.9799999999996</v>
      </c>
      <c r="E15" s="132">
        <f>+Tabla13[[#This Row],[PRECIO INSTALADOR (IVA INCLUIDO)]]/0.7</f>
        <v>7212</v>
      </c>
      <c r="F15" s="136">
        <f>+Tabla13[[#This Row],[PRECIO INSTALADOR (IVA INCLUIDO)]]*5%</f>
        <v>252.42</v>
      </c>
      <c r="G15" s="12">
        <v>0.85</v>
      </c>
      <c r="H15" s="11">
        <f>Tabla13[[#This Row],[COSTO]]*1.19</f>
        <v>4291.1399999999994</v>
      </c>
      <c r="I15" s="10"/>
      <c r="J15" s="9"/>
      <c r="K15" s="8">
        <v>3606</v>
      </c>
    </row>
    <row r="16" spans="1:11" ht="13.5" x14ac:dyDescent="0.2">
      <c r="A16" s="38" t="s">
        <v>1579</v>
      </c>
      <c r="B16" s="135" t="s">
        <v>1578</v>
      </c>
      <c r="C16" s="51">
        <f>+Tabla13[[#This Row],[Columna6]]/Tabla13[[#This Row],[Columna5]]</f>
        <v>2117508.2599999998</v>
      </c>
      <c r="D16" s="132">
        <f>+Tabla13[[#This Row],[PRECIO INSTALADOR (IVA INCLUIDO)]]-F16</f>
        <v>2011632.8469999998</v>
      </c>
      <c r="E16" s="132">
        <f>+Tabla13[[#This Row],[PRECIO INSTALADOR (IVA INCLUIDO)]]/0.7</f>
        <v>3025011.8</v>
      </c>
      <c r="F16" s="50">
        <f>+Tabla13[[#This Row],[PRECIO INSTALADOR (IVA INCLUIDO)]]*5%</f>
        <v>105875.413</v>
      </c>
      <c r="G16" s="12">
        <v>0.85</v>
      </c>
      <c r="H16" s="11">
        <f>Tabla13[[#This Row],[COSTO]]*1.19</f>
        <v>1799882.0209999997</v>
      </c>
      <c r="I16" s="10"/>
      <c r="J16" s="9"/>
      <c r="K16" s="66">
        <v>1512505.9</v>
      </c>
    </row>
    <row r="17" spans="1:11" ht="13.5" x14ac:dyDescent="0.2">
      <c r="A17" s="38" t="s">
        <v>1577</v>
      </c>
      <c r="B17" s="135" t="s">
        <v>1576</v>
      </c>
      <c r="C17" s="51">
        <f>+Tabla13[[#This Row],[Columna6]]/Tabla13[[#This Row],[Columna5]]</f>
        <v>2117508.2599999998</v>
      </c>
      <c r="D17" s="132">
        <f>+Tabla13[[#This Row],[PRECIO INSTALADOR (IVA INCLUIDO)]]-F17</f>
        <v>2011632.8469999998</v>
      </c>
      <c r="E17" s="132">
        <f>+Tabla13[[#This Row],[PRECIO INSTALADOR (IVA INCLUIDO)]]/0.7</f>
        <v>3025011.8</v>
      </c>
      <c r="F17" s="50">
        <f>+Tabla13[[#This Row],[PRECIO INSTALADOR (IVA INCLUIDO)]]*5%</f>
        <v>105875.413</v>
      </c>
      <c r="G17" s="12">
        <v>0.85</v>
      </c>
      <c r="H17" s="11">
        <f>Tabla13[[#This Row],[COSTO]]*1.19</f>
        <v>1799882.0209999997</v>
      </c>
      <c r="I17" s="10"/>
      <c r="J17" s="9"/>
      <c r="K17" s="66">
        <v>1512505.9</v>
      </c>
    </row>
    <row r="18" spans="1:11" ht="13.5" x14ac:dyDescent="0.2">
      <c r="A18" s="38" t="s">
        <v>1575</v>
      </c>
      <c r="B18" s="135" t="s">
        <v>1574</v>
      </c>
      <c r="C18" s="51">
        <f>+Tabla13[[#This Row],[Columna6]]/Tabla13[[#This Row],[Columna5]]</f>
        <v>1585718.2599999998</v>
      </c>
      <c r="D18" s="132">
        <f>+Tabla13[[#This Row],[PRECIO INSTALADOR (IVA INCLUIDO)]]-F18</f>
        <v>1506432.3469999998</v>
      </c>
      <c r="E18" s="132">
        <f>+Tabla13[[#This Row],[PRECIO INSTALADOR (IVA INCLUIDO)]]/0.7</f>
        <v>2265311.7999999998</v>
      </c>
      <c r="F18" s="50">
        <f>+Tabla13[[#This Row],[PRECIO INSTALADOR (IVA INCLUIDO)]]*5%</f>
        <v>79285.913</v>
      </c>
      <c r="G18" s="12">
        <v>0.85</v>
      </c>
      <c r="H18" s="11">
        <f>Tabla13[[#This Row],[COSTO]]*1.19</f>
        <v>1347860.5209999997</v>
      </c>
      <c r="I18" s="10"/>
      <c r="J18" s="9"/>
      <c r="K18" s="66">
        <v>1132655.8999999999</v>
      </c>
    </row>
    <row r="19" spans="1:11" ht="13.5" x14ac:dyDescent="0.2">
      <c r="A19" s="38" t="s">
        <v>1573</v>
      </c>
      <c r="B19" s="49" t="s">
        <v>1572</v>
      </c>
      <c r="C19" s="51">
        <f>+Tabla13[[#This Row],[Columna6]]/Tabla13[[#This Row],[Columna5]]</f>
        <v>1382544.66</v>
      </c>
      <c r="D19" s="132">
        <f>+Tabla13[[#This Row],[PRECIO INSTALADOR (IVA INCLUIDO)]]-F19</f>
        <v>1313417.4269999999</v>
      </c>
      <c r="E19" s="132">
        <f>+Tabla13[[#This Row],[PRECIO INSTALADOR (IVA INCLUIDO)]]/0.7</f>
        <v>1975063.8</v>
      </c>
      <c r="F19" s="50">
        <f>+Tabla13[[#This Row],[PRECIO INSTALADOR (IVA INCLUIDO)]]*5%</f>
        <v>69127.232999999993</v>
      </c>
      <c r="G19" s="12">
        <v>0.85</v>
      </c>
      <c r="H19" s="11">
        <f>Tabla13[[#This Row],[COSTO]]*1.19</f>
        <v>1175162.9609999999</v>
      </c>
      <c r="I19" s="10"/>
      <c r="J19" s="9"/>
      <c r="K19" s="66">
        <v>987531.9</v>
      </c>
    </row>
    <row r="20" spans="1:11" ht="13.5" x14ac:dyDescent="0.2">
      <c r="A20" s="38" t="s">
        <v>1571</v>
      </c>
      <c r="B20" s="49" t="s">
        <v>1570</v>
      </c>
      <c r="C20" s="51">
        <f>+Tabla13[[#This Row],[Columna6]]/Tabla13[[#This Row],[Columna5]]</f>
        <v>1332546.46</v>
      </c>
      <c r="D20" s="51">
        <f>+Tabla13[[#This Row],[PRECIO INSTALADOR (IVA INCLUIDO)]]-F20</f>
        <v>1265919.1369999999</v>
      </c>
      <c r="E20" s="132">
        <f>+Tabla13[[#This Row],[PRECIO INSTALADOR (IVA INCLUIDO)]]/0.7</f>
        <v>1903637.8</v>
      </c>
      <c r="F20" s="50">
        <f>+Tabla13[[#This Row],[PRECIO INSTALADOR (IVA INCLUIDO)]]*5%</f>
        <v>66627.323000000004</v>
      </c>
      <c r="G20" s="12">
        <v>0.85</v>
      </c>
      <c r="H20" s="11">
        <f>Tabla13[[#This Row],[COSTO]]*1.19</f>
        <v>1132664.4909999999</v>
      </c>
      <c r="I20" s="10"/>
      <c r="J20" s="9"/>
      <c r="K20" s="66">
        <v>951818.9</v>
      </c>
    </row>
    <row r="21" spans="1:11" ht="13.5" x14ac:dyDescent="0.2">
      <c r="A21" s="38" t="s">
        <v>1569</v>
      </c>
      <c r="B21" s="49" t="s">
        <v>1568</v>
      </c>
      <c r="C21" s="51">
        <f>+Tabla13[[#This Row],[Columna6]]/Tabla13[[#This Row],[Columna5]]</f>
        <v>1692076.2599999998</v>
      </c>
      <c r="D21" s="51">
        <f>+Tabla13[[#This Row],[PRECIO INSTALADOR (IVA INCLUIDO)]]-F21</f>
        <v>1607472.4469999997</v>
      </c>
      <c r="E21" s="132">
        <f>+Tabla13[[#This Row],[PRECIO INSTALADOR (IVA INCLUIDO)]]/0.7</f>
        <v>2417251.7999999998</v>
      </c>
      <c r="F21" s="50">
        <f>+Tabla13[[#This Row],[PRECIO INSTALADOR (IVA INCLUIDO)]]*5%</f>
        <v>84603.812999999995</v>
      </c>
      <c r="G21" s="12">
        <v>0.85</v>
      </c>
      <c r="H21" s="11">
        <f>Tabla13[[#This Row],[COSTO]]*1.19</f>
        <v>1438264.8209999998</v>
      </c>
      <c r="I21" s="10"/>
      <c r="J21" s="9"/>
      <c r="K21" s="66">
        <v>1208625.8999999999</v>
      </c>
    </row>
    <row r="22" spans="1:11" ht="13.5" x14ac:dyDescent="0.2">
      <c r="A22" s="38" t="s">
        <v>1567</v>
      </c>
      <c r="B22" s="49" t="s">
        <v>1566</v>
      </c>
      <c r="C22" s="51">
        <f>+Tabla13[[#This Row],[Columna6]]/Tabla13[[#This Row],[Columna5]]</f>
        <v>1244279.26</v>
      </c>
      <c r="D22" s="51">
        <f>+Tabla13[[#This Row],[PRECIO INSTALADOR (IVA INCLUIDO)]]-F22</f>
        <v>1182065.297</v>
      </c>
      <c r="E22" s="132">
        <f>+Tabla13[[#This Row],[PRECIO INSTALADOR (IVA INCLUIDO)]]/0.7</f>
        <v>1777541.8</v>
      </c>
      <c r="F22" s="50">
        <f>+Tabla13[[#This Row],[PRECIO INSTALADOR (IVA INCLUIDO)]]*5%</f>
        <v>62213.963000000003</v>
      </c>
      <c r="G22" s="12">
        <v>0.85</v>
      </c>
      <c r="H22" s="11">
        <f>Tabla13[[#This Row],[COSTO]]*1.19</f>
        <v>1057637.371</v>
      </c>
      <c r="I22" s="10"/>
      <c r="J22" s="9"/>
      <c r="K22" s="66">
        <v>888770.9</v>
      </c>
    </row>
    <row r="23" spans="1:11" ht="13.5" x14ac:dyDescent="0.2">
      <c r="A23" s="38" t="s">
        <v>1565</v>
      </c>
      <c r="B23" s="49" t="s">
        <v>1564</v>
      </c>
      <c r="C23" s="51">
        <f>+Tabla13[[#This Row],[Columna6]]/Tabla13[[#This Row],[Columna5]]</f>
        <v>1243185.8599999999</v>
      </c>
      <c r="D23" s="51">
        <f>+Tabla13[[#This Row],[PRECIO INSTALADOR (IVA INCLUIDO)]]-F23</f>
        <v>1181026.5669999998</v>
      </c>
      <c r="E23" s="132">
        <f>+Tabla13[[#This Row],[PRECIO INSTALADOR (IVA INCLUIDO)]]/0.7</f>
        <v>1775979.7999999998</v>
      </c>
      <c r="F23" s="50">
        <f>+Tabla13[[#This Row],[PRECIO INSTALADOR (IVA INCLUIDO)]]*5%</f>
        <v>62159.292999999998</v>
      </c>
      <c r="G23" s="12">
        <v>0.85</v>
      </c>
      <c r="H23" s="11">
        <f>Tabla13[[#This Row],[COSTO]]*1.19</f>
        <v>1056707.9809999999</v>
      </c>
      <c r="I23" s="10"/>
      <c r="J23" s="9"/>
      <c r="K23" s="66">
        <v>887989.9</v>
      </c>
    </row>
    <row r="24" spans="1:11" ht="13.5" x14ac:dyDescent="0.2">
      <c r="A24" s="38" t="s">
        <v>1563</v>
      </c>
      <c r="B24" s="49" t="s">
        <v>1562</v>
      </c>
      <c r="C24" s="51">
        <f>+Tabla13[[#This Row],[Columna6]]/Tabla13[[#This Row],[Columna5]]</f>
        <v>1116649.6600000001</v>
      </c>
      <c r="D24" s="51">
        <f>+Tabla13[[#This Row],[PRECIO INSTALADOR (IVA INCLUIDO)]]-F24</f>
        <v>1060817.1770000001</v>
      </c>
      <c r="E24" s="132">
        <f>+Tabla13[[#This Row],[PRECIO INSTALADOR (IVA INCLUIDO)]]/0.7</f>
        <v>1595213.8000000003</v>
      </c>
      <c r="F24" s="50">
        <f>+Tabla13[[#This Row],[PRECIO INSTALADOR (IVA INCLUIDO)]]*5%</f>
        <v>55832.483000000007</v>
      </c>
      <c r="G24" s="12">
        <v>0.85</v>
      </c>
      <c r="H24" s="11">
        <f>Tabla13[[#This Row],[COSTO]]*1.19</f>
        <v>949152.21100000001</v>
      </c>
      <c r="I24" s="10"/>
      <c r="J24" s="9"/>
      <c r="K24" s="66">
        <v>797606.9</v>
      </c>
    </row>
    <row r="25" spans="1:11" ht="13.5" x14ac:dyDescent="0.2">
      <c r="A25" s="38" t="s">
        <v>1561</v>
      </c>
      <c r="B25" s="49" t="s">
        <v>1560</v>
      </c>
      <c r="C25" s="51">
        <f>+Tabla13[[#This Row],[Columna6]]/Tabla13[[#This Row],[Columna5]]</f>
        <v>1116649.6600000001</v>
      </c>
      <c r="D25" s="51">
        <f>+Tabla13[[#This Row],[PRECIO INSTALADOR (IVA INCLUIDO)]]-F25</f>
        <v>1060817.1770000001</v>
      </c>
      <c r="E25" s="132">
        <f>+Tabla13[[#This Row],[PRECIO INSTALADOR (IVA INCLUIDO)]]/0.7</f>
        <v>1595213.8000000003</v>
      </c>
      <c r="F25" s="50">
        <f>+Tabla13[[#This Row],[PRECIO INSTALADOR (IVA INCLUIDO)]]*5%</f>
        <v>55832.483000000007</v>
      </c>
      <c r="G25" s="12">
        <v>0.85</v>
      </c>
      <c r="H25" s="11">
        <f>Tabla13[[#This Row],[COSTO]]*1.19</f>
        <v>949152.21100000001</v>
      </c>
      <c r="I25" s="10"/>
      <c r="J25" s="9"/>
      <c r="K25" s="66">
        <v>797606.9</v>
      </c>
    </row>
    <row r="26" spans="1:11" ht="13.5" x14ac:dyDescent="0.2">
      <c r="A26" s="38" t="s">
        <v>1559</v>
      </c>
      <c r="B26" s="49" t="s">
        <v>1558</v>
      </c>
      <c r="C26" s="51">
        <f>+Tabla13[[#This Row],[Columna6]]/Tabla13[[#This Row],[Columna5]]</f>
        <v>876300.46</v>
      </c>
      <c r="D26" s="51">
        <f>+Tabla13[[#This Row],[PRECIO INSTALADOR (IVA INCLUIDO)]]-F26</f>
        <v>832485.43699999992</v>
      </c>
      <c r="E26" s="132">
        <f>+Tabla13[[#This Row],[PRECIO INSTALADOR (IVA INCLUIDO)]]/0.7</f>
        <v>1251857.8</v>
      </c>
      <c r="F26" s="50">
        <f>+Tabla13[[#This Row],[PRECIO INSTALADOR (IVA INCLUIDO)]]*5%</f>
        <v>43815.023000000001</v>
      </c>
      <c r="G26" s="12">
        <v>0.85</v>
      </c>
      <c r="H26" s="11">
        <f>Tabla13[[#This Row],[COSTO]]*1.19</f>
        <v>744855.39099999995</v>
      </c>
      <c r="I26" s="10"/>
      <c r="J26" s="9"/>
      <c r="K26" s="66">
        <v>625928.9</v>
      </c>
    </row>
    <row r="27" spans="1:11" ht="13.5" x14ac:dyDescent="0.2">
      <c r="A27" s="38" t="s">
        <v>1557</v>
      </c>
      <c r="B27" s="49" t="s">
        <v>1556</v>
      </c>
      <c r="C27" s="51">
        <f>+Tabla13[[#This Row],[Columna6]]/Tabla13[[#This Row],[Columna5]]</f>
        <v>876300.46</v>
      </c>
      <c r="D27" s="51">
        <f>+Tabla13[[#This Row],[PRECIO INSTALADOR (IVA INCLUIDO)]]-F27</f>
        <v>832485.43699999992</v>
      </c>
      <c r="E27" s="132">
        <f>+Tabla13[[#This Row],[PRECIO INSTALADOR (IVA INCLUIDO)]]/0.7</f>
        <v>1251857.8</v>
      </c>
      <c r="F27" s="50">
        <f>+Tabla13[[#This Row],[PRECIO INSTALADOR (IVA INCLUIDO)]]*5%</f>
        <v>43815.023000000001</v>
      </c>
      <c r="G27" s="12">
        <v>0.85</v>
      </c>
      <c r="H27" s="11">
        <f>Tabla13[[#This Row],[COSTO]]*1.19</f>
        <v>744855.39099999995</v>
      </c>
      <c r="I27" s="10"/>
      <c r="J27" s="9"/>
      <c r="K27" s="66">
        <v>625928.9</v>
      </c>
    </row>
    <row r="28" spans="1:11" ht="13.5" x14ac:dyDescent="0.2">
      <c r="A28" s="38" t="s">
        <v>1555</v>
      </c>
      <c r="B28" s="49" t="s">
        <v>1554</v>
      </c>
      <c r="C28" s="51">
        <f>+Tabla13[[#This Row],[Columna6]]/Tabla13[[#This Row],[Columna5]]</f>
        <v>707121.66</v>
      </c>
      <c r="D28" s="51">
        <f>+Tabla13[[#This Row],[PRECIO INSTALADOR (IVA INCLUIDO)]]-F28</f>
        <v>671765.57700000005</v>
      </c>
      <c r="E28" s="132">
        <f>+Tabla13[[#This Row],[PRECIO INSTALADOR (IVA INCLUIDO)]]/0.7</f>
        <v>1010173.8000000002</v>
      </c>
      <c r="F28" s="50">
        <f>+Tabla13[[#This Row],[PRECIO INSTALADOR (IVA INCLUIDO)]]*5%</f>
        <v>35356.083000000006</v>
      </c>
      <c r="G28" s="12">
        <v>0.85</v>
      </c>
      <c r="H28" s="11">
        <f>Tabla13[[#This Row],[COSTO]]*1.19</f>
        <v>601053.41099999996</v>
      </c>
      <c r="I28" s="10"/>
      <c r="J28" s="9"/>
      <c r="K28" s="66">
        <v>505086.9</v>
      </c>
    </row>
    <row r="29" spans="1:11" ht="12.75" x14ac:dyDescent="0.2">
      <c r="A29" s="134"/>
      <c r="B29" s="69" t="s">
        <v>1553</v>
      </c>
      <c r="C29" s="68"/>
      <c r="D29" s="68"/>
      <c r="E29" s="133"/>
      <c r="F29" s="67">
        <f>+Tabla13[[#This Row],[PRECIO INSTALADOR (IVA INCLUIDO)]]*5%</f>
        <v>0</v>
      </c>
      <c r="G29" s="12">
        <v>0.85</v>
      </c>
      <c r="H29" s="11">
        <f>Tabla13[[#This Row],[COSTO]]*1.19</f>
        <v>0</v>
      </c>
      <c r="I29" s="10"/>
      <c r="J29" s="9"/>
      <c r="K29" s="66"/>
    </row>
    <row r="30" spans="1:11" ht="13.5" x14ac:dyDescent="0.2">
      <c r="A30" s="38" t="s">
        <v>1552</v>
      </c>
      <c r="B30" s="49" t="s">
        <v>1551</v>
      </c>
      <c r="C30" s="51">
        <f>+Tabla13[[#This Row],[Columna6]]/Tabla13[[#This Row],[Columna5]]</f>
        <v>1332546.46</v>
      </c>
      <c r="D30" s="51">
        <f>+Tabla13[[#This Row],[PRECIO INSTALADOR (IVA INCLUIDO)]]-F30</f>
        <v>1265919.1369999999</v>
      </c>
      <c r="E30" s="132">
        <f>+Tabla13[[#This Row],[PRECIO INSTALADOR (IVA INCLUIDO)]]/0.7</f>
        <v>1903637.8</v>
      </c>
      <c r="F30" s="50">
        <f>+Tabla13[[#This Row],[PRECIO INSTALADOR (IVA INCLUIDO)]]*5%</f>
        <v>66627.323000000004</v>
      </c>
      <c r="G30" s="12">
        <v>0.85</v>
      </c>
      <c r="H30" s="11">
        <f>Tabla13[[#This Row],[COSTO]]*1.19</f>
        <v>1132664.4909999999</v>
      </c>
      <c r="I30" s="10"/>
      <c r="J30" s="9"/>
      <c r="K30" s="66">
        <v>951818.9</v>
      </c>
    </row>
    <row r="31" spans="1:11" ht="13.5" x14ac:dyDescent="0.2">
      <c r="A31" s="38" t="s">
        <v>1550</v>
      </c>
      <c r="B31" s="49" t="s">
        <v>1549</v>
      </c>
      <c r="C31" s="51">
        <f>+Tabla13[[#This Row],[Columna6]]/Tabla13[[#This Row],[Columna5]]</f>
        <v>1415545.4600000002</v>
      </c>
      <c r="D31" s="51">
        <f>+Tabla13[[#This Row],[PRECIO INSTALADOR (IVA INCLUIDO)]]-F31</f>
        <v>1344768.1870000002</v>
      </c>
      <c r="E31" s="51">
        <f>+Tabla13[[#This Row],[PRECIO INSTALADOR (IVA INCLUIDO)]]/0.7</f>
        <v>2022207.8000000005</v>
      </c>
      <c r="F31" s="50">
        <f>+Tabla13[[#This Row],[PRECIO INSTALADOR (IVA INCLUIDO)]]*5%</f>
        <v>70777.273000000016</v>
      </c>
      <c r="G31" s="12">
        <v>0.85</v>
      </c>
      <c r="H31" s="11">
        <f>Tabla13[[#This Row],[COSTO]]*1.19</f>
        <v>1203213.6410000001</v>
      </c>
      <c r="I31" s="10"/>
      <c r="J31" s="9"/>
      <c r="K31" s="66">
        <v>1011103.9</v>
      </c>
    </row>
    <row r="32" spans="1:11" ht="13.5" x14ac:dyDescent="0.2">
      <c r="A32" s="38" t="s">
        <v>1548</v>
      </c>
      <c r="B32" s="49" t="s">
        <v>1547</v>
      </c>
      <c r="C32" s="51">
        <f>+Tabla13[[#This Row],[Columna6]]/Tabla13[[#This Row],[Columna5]]</f>
        <v>1329365.6599999999</v>
      </c>
      <c r="D32" s="51">
        <f>+Tabla13[[#This Row],[PRECIO INSTALADOR (IVA INCLUIDO)]]-F32</f>
        <v>1262897.3769999999</v>
      </c>
      <c r="E32" s="51">
        <f>+Tabla13[[#This Row],[PRECIO INSTALADOR (IVA INCLUIDO)]]/0.7</f>
        <v>1899093.8</v>
      </c>
      <c r="F32" s="50">
        <f>+Tabla13[[#This Row],[PRECIO INSTALADOR (IVA INCLUIDO)]]*5%</f>
        <v>66468.282999999996</v>
      </c>
      <c r="G32" s="12">
        <v>0.85</v>
      </c>
      <c r="H32" s="11">
        <f>Tabla13[[#This Row],[COSTO]]*1.19</f>
        <v>1129960.811</v>
      </c>
      <c r="I32" s="10"/>
      <c r="J32" s="9"/>
      <c r="K32" s="66">
        <v>949546.9</v>
      </c>
    </row>
    <row r="33" spans="1:11" ht="13.5" x14ac:dyDescent="0.2">
      <c r="A33" s="38" t="s">
        <v>1546</v>
      </c>
      <c r="B33" s="49" t="s">
        <v>1545</v>
      </c>
      <c r="C33" s="51">
        <f>+Tabla13[[#This Row],[Columna6]]/Tabla13[[#This Row],[Columna5]]</f>
        <v>841212.26</v>
      </c>
      <c r="D33" s="51">
        <f>+Tabla13[[#This Row],[PRECIO INSTALADOR (IVA INCLUIDO)]]-F33</f>
        <v>799151.647</v>
      </c>
      <c r="E33" s="51">
        <f>+Tabla13[[#This Row],[PRECIO INSTALADOR (IVA INCLUIDO)]]/0.7</f>
        <v>1201731.8</v>
      </c>
      <c r="F33" s="50">
        <f>+Tabla13[[#This Row],[PRECIO INSTALADOR (IVA INCLUIDO)]]*5%</f>
        <v>42060.613000000005</v>
      </c>
      <c r="G33" s="12">
        <v>0.85</v>
      </c>
      <c r="H33" s="11">
        <f>Tabla13[[#This Row],[COSTO]]*1.19</f>
        <v>715030.42099999997</v>
      </c>
      <c r="I33" s="10"/>
      <c r="J33" s="9"/>
      <c r="K33" s="66">
        <v>600865.9</v>
      </c>
    </row>
    <row r="34" spans="1:11" ht="13.5" x14ac:dyDescent="0.2">
      <c r="A34" s="38" t="s">
        <v>1544</v>
      </c>
      <c r="B34" s="49" t="s">
        <v>1543</v>
      </c>
      <c r="C34" s="51">
        <f>+Tabla13[[#This Row],[Columna6]]/Tabla13[[#This Row],[Columna5]]</f>
        <v>841212.26</v>
      </c>
      <c r="D34" s="51">
        <f>+Tabla13[[#This Row],[PRECIO INSTALADOR (IVA INCLUIDO)]]-F34</f>
        <v>799151.647</v>
      </c>
      <c r="E34" s="51">
        <f>+Tabla13[[#This Row],[PRECIO INSTALADOR (IVA INCLUIDO)]]/0.7</f>
        <v>1201731.8</v>
      </c>
      <c r="F34" s="50">
        <f>+Tabla13[[#This Row],[PRECIO INSTALADOR (IVA INCLUIDO)]]*5%</f>
        <v>42060.613000000005</v>
      </c>
      <c r="G34" s="12">
        <v>0.85</v>
      </c>
      <c r="H34" s="11">
        <f>Tabla13[[#This Row],[COSTO]]*1.19</f>
        <v>715030.42099999997</v>
      </c>
      <c r="I34" s="10"/>
      <c r="J34" s="9"/>
      <c r="K34" s="66">
        <v>600865.9</v>
      </c>
    </row>
    <row r="35" spans="1:11" ht="13.5" x14ac:dyDescent="0.2">
      <c r="A35" s="38" t="s">
        <v>1542</v>
      </c>
      <c r="B35" s="49" t="s">
        <v>1541</v>
      </c>
      <c r="C35" s="51">
        <f>+Tabla13[[#This Row],[Columna6]]/Tabla13[[#This Row],[Columna5]]</f>
        <v>841212.26</v>
      </c>
      <c r="D35" s="51">
        <f>+Tabla13[[#This Row],[PRECIO INSTALADOR (IVA INCLUIDO)]]-F35</f>
        <v>799151.647</v>
      </c>
      <c r="E35" s="51">
        <f>+Tabla13[[#This Row],[PRECIO INSTALADOR (IVA INCLUIDO)]]/0.7</f>
        <v>1201731.8</v>
      </c>
      <c r="F35" s="50">
        <f>+Tabla13[[#This Row],[PRECIO INSTALADOR (IVA INCLUIDO)]]*5%</f>
        <v>42060.613000000005</v>
      </c>
      <c r="G35" s="12">
        <v>0.85</v>
      </c>
      <c r="H35" s="11">
        <f>Tabla13[[#This Row],[COSTO]]*1.19</f>
        <v>715030.42099999997</v>
      </c>
      <c r="I35" s="10"/>
      <c r="J35" s="9"/>
      <c r="K35" s="66">
        <v>600865.9</v>
      </c>
    </row>
    <row r="36" spans="1:11" ht="13.5" x14ac:dyDescent="0.2">
      <c r="A36" s="38" t="s">
        <v>1540</v>
      </c>
      <c r="B36" s="49" t="s">
        <v>1539</v>
      </c>
      <c r="C36" s="51">
        <f>+Tabla13[[#This Row],[Columna6]]/Tabla13[[#This Row],[Columna5]]</f>
        <v>760300.66</v>
      </c>
      <c r="D36" s="51">
        <f>+Tabla13[[#This Row],[PRECIO INSTALADOR (IVA INCLUIDO)]]-F36</f>
        <v>722285.62699999998</v>
      </c>
      <c r="E36" s="51">
        <f>+Tabla13[[#This Row],[PRECIO INSTALADOR (IVA INCLUIDO)]]/0.7</f>
        <v>1086143.8</v>
      </c>
      <c r="F36" s="50">
        <f>+Tabla13[[#This Row],[PRECIO INSTALADOR (IVA INCLUIDO)]]*5%</f>
        <v>38015.033000000003</v>
      </c>
      <c r="G36" s="12">
        <v>0.85</v>
      </c>
      <c r="H36" s="11">
        <f>Tabla13[[#This Row],[COSTO]]*1.19</f>
        <v>646255.56099999999</v>
      </c>
      <c r="I36" s="10"/>
      <c r="J36" s="9"/>
      <c r="K36" s="66">
        <v>543071.9</v>
      </c>
    </row>
    <row r="37" spans="1:11" ht="13.5" x14ac:dyDescent="0.2">
      <c r="A37" s="38" t="s">
        <v>1538</v>
      </c>
      <c r="B37" s="49" t="s">
        <v>1537</v>
      </c>
      <c r="C37" s="51">
        <f>+Tabla13[[#This Row],[Columna6]]/Tabla13[[#This Row],[Columna5]]</f>
        <v>760300.66</v>
      </c>
      <c r="D37" s="51">
        <f>+Tabla13[[#This Row],[PRECIO INSTALADOR (IVA INCLUIDO)]]-F37</f>
        <v>722285.62699999998</v>
      </c>
      <c r="E37" s="51">
        <f>+Tabla13[[#This Row],[PRECIO INSTALADOR (IVA INCLUIDO)]]/0.7</f>
        <v>1086143.8</v>
      </c>
      <c r="F37" s="50">
        <f>+Tabla13[[#This Row],[PRECIO INSTALADOR (IVA INCLUIDO)]]*5%</f>
        <v>38015.033000000003</v>
      </c>
      <c r="G37" s="12">
        <v>0.85</v>
      </c>
      <c r="H37" s="11">
        <f>Tabla13[[#This Row],[COSTO]]*1.19</f>
        <v>646255.56099999999</v>
      </c>
      <c r="I37" s="10"/>
      <c r="J37" s="9"/>
      <c r="K37" s="66">
        <v>543071.9</v>
      </c>
    </row>
    <row r="38" spans="1:11" ht="13.5" x14ac:dyDescent="0.2">
      <c r="A38" s="38" t="s">
        <v>1536</v>
      </c>
      <c r="B38" s="49" t="s">
        <v>1535</v>
      </c>
      <c r="C38" s="51">
        <f>+Tabla13[[#This Row],[Columna6]]/Tabla13[[#This Row],[Columna5]]</f>
        <v>394508.66000000003</v>
      </c>
      <c r="D38" s="51">
        <f>+Tabla13[[#This Row],[PRECIO INSTALADOR (IVA INCLUIDO)]]-F38</f>
        <v>374783.22700000001</v>
      </c>
      <c r="E38" s="51">
        <f>+Tabla13[[#This Row],[PRECIO INSTALADOR (IVA INCLUIDO)]]/0.7</f>
        <v>563583.80000000005</v>
      </c>
      <c r="F38" s="50">
        <f>+Tabla13[[#This Row],[PRECIO INSTALADOR (IVA INCLUIDO)]]*5%</f>
        <v>19725.433000000005</v>
      </c>
      <c r="G38" s="12">
        <v>0.85</v>
      </c>
      <c r="H38" s="11">
        <f>Tabla13[[#This Row],[COSTO]]*1.19</f>
        <v>335332.36100000003</v>
      </c>
      <c r="I38" s="10"/>
      <c r="J38" s="9"/>
      <c r="K38" s="66">
        <v>281791.90000000002</v>
      </c>
    </row>
    <row r="39" spans="1:11" ht="13.5" x14ac:dyDescent="0.2">
      <c r="A39" s="38" t="s">
        <v>1534</v>
      </c>
      <c r="B39" s="49" t="s">
        <v>1533</v>
      </c>
      <c r="C39" s="51">
        <f>+Tabla13[[#This Row],[Columna6]]/Tabla13[[#This Row],[Columna5]]</f>
        <v>394508.66000000003</v>
      </c>
      <c r="D39" s="51">
        <f>+Tabla13[[#This Row],[PRECIO INSTALADOR (IVA INCLUIDO)]]-F39</f>
        <v>374783.22700000001</v>
      </c>
      <c r="E39" s="51">
        <f>+Tabla13[[#This Row],[PRECIO INSTALADOR (IVA INCLUIDO)]]/0.7</f>
        <v>563583.80000000005</v>
      </c>
      <c r="F39" s="50">
        <f>+Tabla13[[#This Row],[PRECIO INSTALADOR (IVA INCLUIDO)]]*5%</f>
        <v>19725.433000000005</v>
      </c>
      <c r="G39" s="12">
        <v>0.85</v>
      </c>
      <c r="H39" s="11">
        <f>Tabla13[[#This Row],[COSTO]]*1.19</f>
        <v>335332.36100000003</v>
      </c>
      <c r="I39" s="10"/>
      <c r="J39" s="9"/>
      <c r="K39" s="66">
        <v>281791.90000000002</v>
      </c>
    </row>
    <row r="40" spans="1:11" ht="12.75" x14ac:dyDescent="0.2">
      <c r="A40" s="113"/>
      <c r="B40" s="112" t="s">
        <v>1532</v>
      </c>
      <c r="C40" s="111"/>
      <c r="D40" s="111"/>
      <c r="E40" s="111"/>
      <c r="F40" s="110">
        <f>+Tabla13[[#This Row],[PRECIO INSTALADOR (IVA INCLUIDO)]]*5%</f>
        <v>0</v>
      </c>
      <c r="G40" s="12">
        <v>0.85</v>
      </c>
      <c r="H40" s="11">
        <f>Tabla13[[#This Row],[COSTO]]*1.19</f>
        <v>0</v>
      </c>
      <c r="I40" s="10"/>
      <c r="J40" s="9"/>
      <c r="K40" s="66"/>
    </row>
    <row r="41" spans="1:11" ht="13.5" x14ac:dyDescent="0.2">
      <c r="A41" s="38" t="s">
        <v>1531</v>
      </c>
      <c r="B41" s="49" t="s">
        <v>1530</v>
      </c>
      <c r="C41" s="51">
        <f>+Tabla13[[#This Row],[Columna6]]/Tabla13[[#This Row],[Columna5]]</f>
        <v>439139.26</v>
      </c>
      <c r="D41" s="51">
        <f>+Tabla13[[#This Row],[PRECIO INSTALADOR (IVA INCLUIDO)]]-F41</f>
        <v>417182.29700000002</v>
      </c>
      <c r="E41" s="51">
        <f>+Tabla13[[#This Row],[PRECIO INSTALADOR (IVA INCLUIDO)]]/0.7</f>
        <v>627341.80000000005</v>
      </c>
      <c r="F41" s="50">
        <f>+Tabla13[[#This Row],[PRECIO INSTALADOR (IVA INCLUIDO)]]*5%</f>
        <v>21956.963000000003</v>
      </c>
      <c r="G41" s="12">
        <v>0.85</v>
      </c>
      <c r="H41" s="11">
        <f>Tabla13[[#This Row],[COSTO]]*1.19</f>
        <v>373268.37099999998</v>
      </c>
      <c r="I41" s="10"/>
      <c r="J41" s="9"/>
      <c r="K41" s="66">
        <v>313670.90000000002</v>
      </c>
    </row>
    <row r="42" spans="1:11" ht="13.5" x14ac:dyDescent="0.2">
      <c r="A42" s="38" t="s">
        <v>1529</v>
      </c>
      <c r="B42" s="49" t="s">
        <v>1528</v>
      </c>
      <c r="C42" s="51">
        <f>+Tabla13[[#This Row],[Columna6]]/Tabla13[[#This Row],[Columna5]]</f>
        <v>439139.26</v>
      </c>
      <c r="D42" s="51">
        <f>+Tabla13[[#This Row],[PRECIO INSTALADOR (IVA INCLUIDO)]]-F42</f>
        <v>417182.29700000002</v>
      </c>
      <c r="E42" s="51">
        <f>+Tabla13[[#This Row],[PRECIO INSTALADOR (IVA INCLUIDO)]]/0.7</f>
        <v>627341.80000000005</v>
      </c>
      <c r="F42" s="50">
        <f>+Tabla13[[#This Row],[PRECIO INSTALADOR (IVA INCLUIDO)]]*5%</f>
        <v>21956.963000000003</v>
      </c>
      <c r="G42" s="12">
        <v>0.85</v>
      </c>
      <c r="H42" s="11">
        <f>Tabla13[[#This Row],[COSTO]]*1.19</f>
        <v>373268.37099999998</v>
      </c>
      <c r="I42" s="10"/>
      <c r="J42" s="9"/>
      <c r="K42" s="66">
        <v>313670.90000000002</v>
      </c>
    </row>
    <row r="43" spans="1:11" ht="13.5" x14ac:dyDescent="0.2">
      <c r="A43" s="38" t="s">
        <v>1527</v>
      </c>
      <c r="B43" s="49" t="s">
        <v>1526</v>
      </c>
      <c r="C43" s="51">
        <f>+Tabla13[[#This Row],[Columna6]]/Tabla13[[#This Row],[Columna5]]</f>
        <v>340236.26</v>
      </c>
      <c r="D43" s="51">
        <f>+Tabla13[[#This Row],[PRECIO INSTALADOR (IVA INCLUIDO)]]-F43</f>
        <v>323224.44699999999</v>
      </c>
      <c r="E43" s="51">
        <f>+Tabla13[[#This Row],[PRECIO INSTALADOR (IVA INCLUIDO)]]/0.7</f>
        <v>486051.80000000005</v>
      </c>
      <c r="F43" s="50">
        <f>+Tabla13[[#This Row],[PRECIO INSTALADOR (IVA INCLUIDO)]]*5%</f>
        <v>17011.813000000002</v>
      </c>
      <c r="G43" s="12">
        <v>0.85</v>
      </c>
      <c r="H43" s="11">
        <f>Tabla13[[#This Row],[COSTO]]*1.19</f>
        <v>289200.821</v>
      </c>
      <c r="I43" s="10"/>
      <c r="J43" s="9"/>
      <c r="K43" s="66">
        <v>243025.9</v>
      </c>
    </row>
    <row r="44" spans="1:11" ht="13.5" x14ac:dyDescent="0.2">
      <c r="A44" s="38" t="s">
        <v>1525</v>
      </c>
      <c r="B44" s="49" t="s">
        <v>1524</v>
      </c>
      <c r="C44" s="51">
        <f>+Tabla13[[#This Row],[Columna6]]/Tabla13[[#This Row],[Columna5]]</f>
        <v>340236.26</v>
      </c>
      <c r="D44" s="51">
        <f>+Tabla13[[#This Row],[PRECIO INSTALADOR (IVA INCLUIDO)]]-F44</f>
        <v>323224.44699999999</v>
      </c>
      <c r="E44" s="51">
        <f>+Tabla13[[#This Row],[PRECIO INSTALADOR (IVA INCLUIDO)]]/0.7</f>
        <v>486051.80000000005</v>
      </c>
      <c r="F44" s="50">
        <f>+Tabla13[[#This Row],[PRECIO INSTALADOR (IVA INCLUIDO)]]*5%</f>
        <v>17011.813000000002</v>
      </c>
      <c r="G44" s="12">
        <v>0.85</v>
      </c>
      <c r="H44" s="11">
        <f>Tabla13[[#This Row],[COSTO]]*1.19</f>
        <v>289200.821</v>
      </c>
      <c r="I44" s="10"/>
      <c r="J44" s="9"/>
      <c r="K44" s="66">
        <v>243025.9</v>
      </c>
    </row>
    <row r="45" spans="1:11" ht="12.75" x14ac:dyDescent="0.2">
      <c r="A45" s="113"/>
      <c r="B45" s="112" t="s">
        <v>1523</v>
      </c>
      <c r="C45" s="111"/>
      <c r="D45" s="111"/>
      <c r="E45" s="111"/>
      <c r="F45" s="110">
        <f>+Tabla13[[#This Row],[PRECIO INSTALADOR (IVA INCLUIDO)]]*5%</f>
        <v>0</v>
      </c>
      <c r="G45" s="12">
        <v>0.85</v>
      </c>
      <c r="H45" s="11">
        <f>Tabla13[[#This Row],[COSTO]]*1.19</f>
        <v>0</v>
      </c>
      <c r="I45" s="10"/>
      <c r="J45" s="9"/>
      <c r="K45" s="66"/>
    </row>
    <row r="46" spans="1:11" ht="13.5" x14ac:dyDescent="0.2">
      <c r="A46" s="38" t="s">
        <v>1522</v>
      </c>
      <c r="B46" s="49" t="s">
        <v>1521</v>
      </c>
      <c r="C46" s="51">
        <f>+Tabla13[[#This Row],[Columna6]]/Tabla13[[#This Row],[Columna5]]</f>
        <v>2330224.2599999998</v>
      </c>
      <c r="D46" s="51">
        <f>+Tabla13[[#This Row],[PRECIO INSTALADOR (IVA INCLUIDO)]]-F46</f>
        <v>2213713.0469999998</v>
      </c>
      <c r="E46" s="51">
        <f>+Tabla13[[#This Row],[PRECIO INSTALADOR (IVA INCLUIDO)]]/0.7</f>
        <v>3328891.8</v>
      </c>
      <c r="F46" s="50">
        <f>+Tabla13[[#This Row],[PRECIO INSTALADOR (IVA INCLUIDO)]]*5%</f>
        <v>116511.21299999999</v>
      </c>
      <c r="G46" s="12">
        <v>0.85</v>
      </c>
      <c r="H46" s="11">
        <f>Tabla13[[#This Row],[COSTO]]*1.19</f>
        <v>1980690.6209999998</v>
      </c>
      <c r="I46" s="10"/>
      <c r="J46" s="9"/>
      <c r="K46" s="66">
        <v>1664445.9</v>
      </c>
    </row>
    <row r="47" spans="1:11" ht="13.5" x14ac:dyDescent="0.2">
      <c r="A47" s="38" t="s">
        <v>1520</v>
      </c>
      <c r="B47" s="49" t="s">
        <v>1519</v>
      </c>
      <c r="C47" s="51">
        <f>+Tabla13[[#This Row],[Columna6]]/Tabla13[[#This Row],[Columna5]]</f>
        <v>2330224.2599999998</v>
      </c>
      <c r="D47" s="51">
        <f>+Tabla13[[#This Row],[PRECIO INSTALADOR (IVA INCLUIDO)]]-F47</f>
        <v>2213713.0469999998</v>
      </c>
      <c r="E47" s="51">
        <f>+Tabla13[[#This Row],[PRECIO INSTALADOR (IVA INCLUIDO)]]/0.7</f>
        <v>3328891.8</v>
      </c>
      <c r="F47" s="50">
        <f>+Tabla13[[#This Row],[PRECIO INSTALADOR (IVA INCLUIDO)]]*5%</f>
        <v>116511.21299999999</v>
      </c>
      <c r="G47" s="12">
        <v>0.85</v>
      </c>
      <c r="H47" s="11">
        <f>Tabla13[[#This Row],[COSTO]]*1.19</f>
        <v>1980690.6209999998</v>
      </c>
      <c r="I47" s="10"/>
      <c r="J47" s="9"/>
      <c r="K47" s="66">
        <v>1664445.9</v>
      </c>
    </row>
    <row r="48" spans="1:11" ht="13.5" x14ac:dyDescent="0.2">
      <c r="A48" s="38" t="s">
        <v>1518</v>
      </c>
      <c r="B48" s="49" t="s">
        <v>1517</v>
      </c>
      <c r="C48" s="51">
        <f>+Tabla13[[#This Row],[Columna6]]/Tabla13[[#This Row],[Columna5]]</f>
        <v>1798434.2599999998</v>
      </c>
      <c r="D48" s="51">
        <f>+Tabla13[[#This Row],[PRECIO INSTALADOR (IVA INCLUIDO)]]-F48</f>
        <v>1708512.5469999998</v>
      </c>
      <c r="E48" s="51">
        <f>+Tabla13[[#This Row],[PRECIO INSTALADOR (IVA INCLUIDO)]]/0.7</f>
        <v>2569191.7999999998</v>
      </c>
      <c r="F48" s="50">
        <f>+Tabla13[[#This Row],[PRECIO INSTALADOR (IVA INCLUIDO)]]*5%</f>
        <v>89921.712999999989</v>
      </c>
      <c r="G48" s="12">
        <v>0.85</v>
      </c>
      <c r="H48" s="11">
        <f>Tabla13[[#This Row],[COSTO]]*1.19</f>
        <v>1528669.1209999998</v>
      </c>
      <c r="I48" s="10"/>
      <c r="J48" s="9"/>
      <c r="K48" s="66">
        <v>1284595.8999999999</v>
      </c>
    </row>
    <row r="49" spans="1:11" ht="13.5" x14ac:dyDescent="0.2">
      <c r="A49" s="38" t="s">
        <v>1516</v>
      </c>
      <c r="B49" s="49" t="s">
        <v>1515</v>
      </c>
      <c r="C49" s="51">
        <f>+Tabla13[[#This Row],[Columna6]]/Tabla13[[#This Row],[Columna5]]</f>
        <v>1595260.6599999997</v>
      </c>
      <c r="D49" s="51">
        <f>+Tabla13[[#This Row],[PRECIO INSTALADOR (IVA INCLUIDO)]]-F49</f>
        <v>1515497.6269999996</v>
      </c>
      <c r="E49" s="51">
        <f>+Tabla13[[#This Row],[PRECIO INSTALADOR (IVA INCLUIDO)]]/0.7</f>
        <v>2278943.7999999998</v>
      </c>
      <c r="F49" s="50">
        <f>+Tabla13[[#This Row],[PRECIO INSTALADOR (IVA INCLUIDO)]]*5%</f>
        <v>79763.032999999996</v>
      </c>
      <c r="G49" s="12">
        <v>0.85</v>
      </c>
      <c r="H49" s="11">
        <f>Tabla13[[#This Row],[COSTO]]*1.19</f>
        <v>1355971.5609999998</v>
      </c>
      <c r="I49" s="10"/>
      <c r="J49" s="9"/>
      <c r="K49" s="66">
        <v>1139471.8999999999</v>
      </c>
    </row>
    <row r="50" spans="1:11" ht="13.5" x14ac:dyDescent="0.2">
      <c r="A50" s="38" t="s">
        <v>1514</v>
      </c>
      <c r="B50" s="49" t="s">
        <v>1513</v>
      </c>
      <c r="C50" s="51">
        <f>+Tabla13[[#This Row],[Columna6]]/Tabla13[[#This Row],[Columna5]]</f>
        <v>1689889.4599999997</v>
      </c>
      <c r="D50" s="51">
        <f>+Tabla13[[#This Row],[PRECIO INSTALADOR (IVA INCLUIDO)]]-F50</f>
        <v>1605394.9869999997</v>
      </c>
      <c r="E50" s="51">
        <f>+Tabla13[[#This Row],[PRECIO INSTALADOR (IVA INCLUIDO)]]/0.7</f>
        <v>2414127.7999999998</v>
      </c>
      <c r="F50" s="50">
        <f>+Tabla13[[#This Row],[PRECIO INSTALADOR (IVA INCLUIDO)]]*5%</f>
        <v>84494.472999999998</v>
      </c>
      <c r="G50" s="12">
        <v>0.85</v>
      </c>
      <c r="H50" s="11">
        <f>Tabla13[[#This Row],[COSTO]]*1.19</f>
        <v>1436406.0409999997</v>
      </c>
      <c r="I50" s="10"/>
      <c r="J50" s="9"/>
      <c r="K50" s="66">
        <v>1207063.8999999999</v>
      </c>
    </row>
    <row r="51" spans="1:11" ht="13.5" x14ac:dyDescent="0.2">
      <c r="A51" s="38" t="s">
        <v>1512</v>
      </c>
      <c r="B51" s="49" t="s">
        <v>1511</v>
      </c>
      <c r="C51" s="51">
        <f>+Tabla13[[#This Row],[Columna6]]/Tabla13[[#This Row],[Columna5]]</f>
        <v>1743068.46</v>
      </c>
      <c r="D51" s="51">
        <f>+Tabla13[[#This Row],[PRECIO INSTALADOR (IVA INCLUIDO)]]-F51</f>
        <v>1655915.037</v>
      </c>
      <c r="E51" s="51">
        <f>+Tabla13[[#This Row],[PRECIO INSTALADOR (IVA INCLUIDO)]]/0.7</f>
        <v>2490097.8000000003</v>
      </c>
      <c r="F51" s="50">
        <f>+Tabla13[[#This Row],[PRECIO INSTALADOR (IVA INCLUIDO)]]*5%</f>
        <v>87153.42300000001</v>
      </c>
      <c r="G51" s="12">
        <v>0.85</v>
      </c>
      <c r="H51" s="11">
        <f>Tabla13[[#This Row],[COSTO]]*1.19</f>
        <v>1481608.1909999999</v>
      </c>
      <c r="I51" s="10"/>
      <c r="J51" s="9"/>
      <c r="K51" s="66">
        <v>1245048.8999999999</v>
      </c>
    </row>
    <row r="52" spans="1:11" ht="13.5" x14ac:dyDescent="0.2">
      <c r="A52" s="38" t="s">
        <v>1510</v>
      </c>
      <c r="B52" s="49" t="s">
        <v>1509</v>
      </c>
      <c r="C52" s="51">
        <f>+Tabla13[[#This Row],[Columna6]]/Tabla13[[#This Row],[Columna5]]</f>
        <v>1455901.86</v>
      </c>
      <c r="D52" s="51">
        <f>+Tabla13[[#This Row],[PRECIO INSTALADOR (IVA INCLUIDO)]]-F52</f>
        <v>1383106.767</v>
      </c>
      <c r="E52" s="51">
        <f>+Tabla13[[#This Row],[PRECIO INSTALADOR (IVA INCLUIDO)]]/0.7</f>
        <v>2079859.8000000003</v>
      </c>
      <c r="F52" s="50">
        <f>+Tabla13[[#This Row],[PRECIO INSTALADOR (IVA INCLUIDO)]]*5%</f>
        <v>72795.093000000008</v>
      </c>
      <c r="G52" s="12">
        <v>0.85</v>
      </c>
      <c r="H52" s="11">
        <f>Tabla13[[#This Row],[COSTO]]*1.19</f>
        <v>1237516.581</v>
      </c>
      <c r="I52" s="10"/>
      <c r="J52" s="9"/>
      <c r="K52" s="66">
        <v>1039929.9</v>
      </c>
    </row>
    <row r="53" spans="1:11" ht="13.5" x14ac:dyDescent="0.2">
      <c r="A53" s="38" t="s">
        <v>1508</v>
      </c>
      <c r="B53" s="49" t="s">
        <v>1507</v>
      </c>
      <c r="C53" s="51">
        <f>+Tabla13[[#This Row],[Columna6]]/Tabla13[[#This Row],[Columna5]]</f>
        <v>1455901.86</v>
      </c>
      <c r="D53" s="51">
        <f>+Tabla13[[#This Row],[PRECIO INSTALADOR (IVA INCLUIDO)]]-F53</f>
        <v>1383106.767</v>
      </c>
      <c r="E53" s="51">
        <f>+Tabla13[[#This Row],[PRECIO INSTALADOR (IVA INCLUIDO)]]/0.7</f>
        <v>2079859.8000000003</v>
      </c>
      <c r="F53" s="50">
        <f>+Tabla13[[#This Row],[PRECIO INSTALADOR (IVA INCLUIDO)]]*5%</f>
        <v>72795.093000000008</v>
      </c>
      <c r="G53" s="12">
        <v>0.85</v>
      </c>
      <c r="H53" s="11">
        <f>Tabla13[[#This Row],[COSTO]]*1.19</f>
        <v>1237516.581</v>
      </c>
      <c r="I53" s="10"/>
      <c r="J53" s="9"/>
      <c r="K53" s="66">
        <v>1039929.9</v>
      </c>
    </row>
    <row r="54" spans="1:11" ht="13.5" x14ac:dyDescent="0.2">
      <c r="A54" s="38" t="s">
        <v>1506</v>
      </c>
      <c r="B54" s="49" t="s">
        <v>1505</v>
      </c>
      <c r="C54" s="51">
        <f>+Tabla13[[#This Row],[Columna6]]/Tabla13[[#This Row],[Columna5]]</f>
        <v>1329365.6599999999</v>
      </c>
      <c r="D54" s="51">
        <f>+Tabla13[[#This Row],[PRECIO INSTALADOR (IVA INCLUIDO)]]-F54</f>
        <v>1262897.3769999999</v>
      </c>
      <c r="E54" s="51">
        <f>+Tabla13[[#This Row],[PRECIO INSTALADOR (IVA INCLUIDO)]]/0.7</f>
        <v>1899093.8</v>
      </c>
      <c r="F54" s="50">
        <f>+Tabla13[[#This Row],[PRECIO INSTALADOR (IVA INCLUIDO)]]*5%</f>
        <v>66468.282999999996</v>
      </c>
      <c r="G54" s="12">
        <v>0.85</v>
      </c>
      <c r="H54" s="11">
        <f>Tabla13[[#This Row],[COSTO]]*1.19</f>
        <v>1129960.811</v>
      </c>
      <c r="I54" s="10"/>
      <c r="J54" s="9"/>
      <c r="K54" s="66">
        <v>949546.9</v>
      </c>
    </row>
    <row r="55" spans="1:11" ht="13.5" x14ac:dyDescent="0.2">
      <c r="A55" s="38" t="s">
        <v>1504</v>
      </c>
      <c r="B55" s="49" t="s">
        <v>1503</v>
      </c>
      <c r="C55" s="51">
        <f>+Tabla13[[#This Row],[Columna6]]/Tabla13[[#This Row],[Columna5]]</f>
        <v>1329365.6599999999</v>
      </c>
      <c r="D55" s="51">
        <f>+Tabla13[[#This Row],[PRECIO INSTALADOR (IVA INCLUIDO)]]-F55</f>
        <v>1262897.3769999999</v>
      </c>
      <c r="E55" s="51">
        <f>+Tabla13[[#This Row],[PRECIO INSTALADOR (IVA INCLUIDO)]]/0.7</f>
        <v>1899093.8</v>
      </c>
      <c r="F55" s="50">
        <f>+Tabla13[[#This Row],[PRECIO INSTALADOR (IVA INCLUIDO)]]*5%</f>
        <v>66468.282999999996</v>
      </c>
      <c r="G55" s="12">
        <v>0.85</v>
      </c>
      <c r="H55" s="11">
        <f>Tabla13[[#This Row],[COSTO]]*1.19</f>
        <v>1129960.811</v>
      </c>
      <c r="I55" s="10"/>
      <c r="J55" s="9"/>
      <c r="K55" s="66">
        <v>949546.9</v>
      </c>
    </row>
    <row r="56" spans="1:11" ht="13.5" x14ac:dyDescent="0.2">
      <c r="A56" s="38" t="s">
        <v>1502</v>
      </c>
      <c r="B56" s="49" t="s">
        <v>1501</v>
      </c>
      <c r="C56" s="51">
        <f>+Tabla13[[#This Row],[Columna6]]/Tabla13[[#This Row],[Columna5]]</f>
        <v>1089016.46</v>
      </c>
      <c r="D56" s="51">
        <f>+Tabla13[[#This Row],[PRECIO INSTALADOR (IVA INCLUIDO)]]-F56</f>
        <v>1034565.637</v>
      </c>
      <c r="E56" s="51">
        <f>+Tabla13[[#This Row],[PRECIO INSTALADOR (IVA INCLUIDO)]]/0.7</f>
        <v>1555737.8</v>
      </c>
      <c r="F56" s="50">
        <f>+Tabla13[[#This Row],[PRECIO INSTALADOR (IVA INCLUIDO)]]*5%</f>
        <v>54450.823000000004</v>
      </c>
      <c r="G56" s="12">
        <v>0.85</v>
      </c>
      <c r="H56" s="11">
        <f>Tabla13[[#This Row],[COSTO]]*1.19</f>
        <v>925663.99100000004</v>
      </c>
      <c r="I56" s="10"/>
      <c r="J56" s="9"/>
      <c r="K56" s="66">
        <v>777868.9</v>
      </c>
    </row>
    <row r="57" spans="1:11" ht="13.5" x14ac:dyDescent="0.2">
      <c r="A57" s="38" t="s">
        <v>1500</v>
      </c>
      <c r="B57" s="49" t="s">
        <v>1499</v>
      </c>
      <c r="C57" s="51">
        <f>+Tabla13[[#This Row],[Columna6]]/Tabla13[[#This Row],[Columna5]]</f>
        <v>876300.46</v>
      </c>
      <c r="D57" s="51">
        <f>+Tabla13[[#This Row],[PRECIO INSTALADOR (IVA INCLUIDO)]]-F57</f>
        <v>832485.43699999992</v>
      </c>
      <c r="E57" s="51">
        <f>+Tabla13[[#This Row],[PRECIO INSTALADOR (IVA INCLUIDO)]]/0.7</f>
        <v>1251857.8</v>
      </c>
      <c r="F57" s="50">
        <f>+Tabla13[[#This Row],[PRECIO INSTALADOR (IVA INCLUIDO)]]*5%</f>
        <v>43815.023000000001</v>
      </c>
      <c r="G57" s="12">
        <v>0.85</v>
      </c>
      <c r="H57" s="11">
        <f>Tabla13[[#This Row],[COSTO]]*1.19</f>
        <v>744855.39099999995</v>
      </c>
      <c r="I57" s="10"/>
      <c r="J57" s="9"/>
      <c r="K57" s="66">
        <v>625928.9</v>
      </c>
    </row>
    <row r="58" spans="1:11" ht="13.5" x14ac:dyDescent="0.2">
      <c r="A58" s="38" t="s">
        <v>1498</v>
      </c>
      <c r="B58" s="49" t="s">
        <v>1497</v>
      </c>
      <c r="C58" s="51">
        <f>+Tabla13[[#This Row],[Columna6]]/Tabla13[[#This Row],[Columna5]]</f>
        <v>1542081.66</v>
      </c>
      <c r="D58" s="51">
        <f>+Tabla13[[#This Row],[PRECIO INSTALADOR (IVA INCLUIDO)]]-F58</f>
        <v>1464977.5769999998</v>
      </c>
      <c r="E58" s="51">
        <f>+Tabla13[[#This Row],[PRECIO INSTALADOR (IVA INCLUIDO)]]/0.7</f>
        <v>2202973.7999999998</v>
      </c>
      <c r="F58" s="50">
        <f>+Tabla13[[#This Row],[PRECIO INSTALADOR (IVA INCLUIDO)]]*5%</f>
        <v>77104.082999999999</v>
      </c>
      <c r="G58" s="12">
        <v>0.85</v>
      </c>
      <c r="H58" s="11">
        <f>Tabla13[[#This Row],[COSTO]]*1.19</f>
        <v>1310769.4109999998</v>
      </c>
      <c r="I58" s="10"/>
      <c r="J58" s="9"/>
      <c r="K58" s="66">
        <v>1101486.8999999999</v>
      </c>
    </row>
    <row r="59" spans="1:11" ht="13.5" x14ac:dyDescent="0.2">
      <c r="A59" s="38" t="s">
        <v>1496</v>
      </c>
      <c r="B59" s="49" t="s">
        <v>1495</v>
      </c>
      <c r="C59" s="51">
        <f>+Tabla13[[#This Row],[Columna6]]/Tabla13[[#This Row],[Columna5]]</f>
        <v>1629255.4599999997</v>
      </c>
      <c r="D59" s="51">
        <f>+Tabla13[[#This Row],[PRECIO INSTALADOR (IVA INCLUIDO)]]-F59</f>
        <v>1547792.6869999997</v>
      </c>
      <c r="E59" s="51">
        <f>+Tabla13[[#This Row],[PRECIO INSTALADOR (IVA INCLUIDO)]]/0.7</f>
        <v>2327507.7999999998</v>
      </c>
      <c r="F59" s="50">
        <f>+Tabla13[[#This Row],[PRECIO INSTALADOR (IVA INCLUIDO)]]*5%</f>
        <v>81462.772999999986</v>
      </c>
      <c r="G59" s="12">
        <v>0.85</v>
      </c>
      <c r="H59" s="11">
        <f>Tabla13[[#This Row],[COSTO]]*1.19</f>
        <v>1384867.1409999998</v>
      </c>
      <c r="I59" s="10"/>
      <c r="J59" s="9"/>
      <c r="K59" s="66">
        <v>1163753.8999999999</v>
      </c>
    </row>
    <row r="60" spans="1:11" ht="13.5" x14ac:dyDescent="0.2">
      <c r="A60" s="125" t="s">
        <v>1494</v>
      </c>
      <c r="B60" s="49" t="s">
        <v>1493</v>
      </c>
      <c r="C60" s="51">
        <f>+Tabla13[[#This Row],[Columna6]]/Tabla13[[#This Row],[Columna5]]</f>
        <v>1053928.26</v>
      </c>
      <c r="D60" s="51">
        <f>+Tabla13[[#This Row],[PRECIO INSTALADOR (IVA INCLUIDO)]]-F60</f>
        <v>1001231.8470000001</v>
      </c>
      <c r="E60" s="51">
        <f>+Tabla13[[#This Row],[PRECIO INSTALADOR (IVA INCLUIDO)]]/0.7</f>
        <v>1505611.8</v>
      </c>
      <c r="F60" s="50">
        <f>+Tabla13[[#This Row],[PRECIO INSTALADOR (IVA INCLUIDO)]]*5%</f>
        <v>52696.413</v>
      </c>
      <c r="G60" s="12">
        <v>0.85</v>
      </c>
      <c r="H60" s="11">
        <f>Tabla13[[#This Row],[COSTO]]*1.19</f>
        <v>895839.02099999995</v>
      </c>
      <c r="I60" s="10"/>
      <c r="J60" s="9"/>
      <c r="K60" s="66">
        <v>752805.9</v>
      </c>
    </row>
    <row r="61" spans="1:11" ht="13.5" x14ac:dyDescent="0.2">
      <c r="A61" s="38" t="s">
        <v>1492</v>
      </c>
      <c r="B61" s="49" t="s">
        <v>1491</v>
      </c>
      <c r="C61" s="51">
        <f>+Tabla13[[#This Row],[Columna6]]/Tabla13[[#This Row],[Columna5]]</f>
        <v>1145376.26</v>
      </c>
      <c r="D61" s="51">
        <f>+Tabla13[[#This Row],[PRECIO INSTALADOR (IVA INCLUIDO)]]-F61</f>
        <v>1088107.4469999999</v>
      </c>
      <c r="E61" s="51">
        <f>+Tabla13[[#This Row],[PRECIO INSTALADOR (IVA INCLUIDO)]]/0.7</f>
        <v>1636251.8</v>
      </c>
      <c r="F61" s="50">
        <f>+Tabla13[[#This Row],[PRECIO INSTALADOR (IVA INCLUIDO)]]*5%</f>
        <v>57268.813000000002</v>
      </c>
      <c r="G61" s="12">
        <v>0.85</v>
      </c>
      <c r="H61" s="11">
        <f>Tabla13[[#This Row],[COSTO]]*1.19</f>
        <v>973569.821</v>
      </c>
      <c r="I61" s="10"/>
      <c r="J61" s="9"/>
      <c r="K61" s="66">
        <v>818125.9</v>
      </c>
    </row>
    <row r="62" spans="1:11" ht="13.5" x14ac:dyDescent="0.2">
      <c r="A62" s="38" t="s">
        <v>1490</v>
      </c>
      <c r="B62" s="49" t="s">
        <v>1489</v>
      </c>
      <c r="C62" s="51">
        <f>+Tabla13[[#This Row],[Columna6]]/Tabla13[[#This Row],[Columna5]]</f>
        <v>973016.66</v>
      </c>
      <c r="D62" s="51">
        <f>+Tabla13[[#This Row],[PRECIO INSTALADOR (IVA INCLUIDO)]]-F62</f>
        <v>924365.82700000005</v>
      </c>
      <c r="E62" s="51">
        <f>+Tabla13[[#This Row],[PRECIO INSTALADOR (IVA INCLUIDO)]]/0.7</f>
        <v>1390023.8</v>
      </c>
      <c r="F62" s="50">
        <f>+Tabla13[[#This Row],[PRECIO INSTALADOR (IVA INCLUIDO)]]*5%</f>
        <v>48650.833000000006</v>
      </c>
      <c r="G62" s="12">
        <v>0.85</v>
      </c>
      <c r="H62" s="11">
        <f>Tabla13[[#This Row],[COSTO]]*1.19</f>
        <v>827064.16099999996</v>
      </c>
      <c r="I62" s="10"/>
      <c r="J62" s="9"/>
      <c r="K62" s="66">
        <v>695011.9</v>
      </c>
    </row>
    <row r="63" spans="1:11" ht="13.5" x14ac:dyDescent="0.2">
      <c r="A63" s="38" t="s">
        <v>1488</v>
      </c>
      <c r="B63" s="49" t="s">
        <v>1487</v>
      </c>
      <c r="C63" s="51">
        <f>+Tabla13[[#This Row],[Columna6]]/Tabla13[[#This Row],[Columna5]]</f>
        <v>973016.66</v>
      </c>
      <c r="D63" s="51">
        <f>+Tabla13[[#This Row],[PRECIO INSTALADOR (IVA INCLUIDO)]]-F63</f>
        <v>924365.82700000005</v>
      </c>
      <c r="E63" s="51">
        <f>+Tabla13[[#This Row],[PRECIO INSTALADOR (IVA INCLUIDO)]]/0.7</f>
        <v>1390023.8</v>
      </c>
      <c r="F63" s="50">
        <f>+Tabla13[[#This Row],[PRECIO INSTALADOR (IVA INCLUIDO)]]*5%</f>
        <v>48650.833000000006</v>
      </c>
      <c r="G63" s="12">
        <v>0.85</v>
      </c>
      <c r="H63" s="11">
        <f>Tabla13[[#This Row],[COSTO]]*1.19</f>
        <v>827064.16099999996</v>
      </c>
      <c r="I63" s="10"/>
      <c r="J63" s="9"/>
      <c r="K63" s="66">
        <v>695011.9</v>
      </c>
    </row>
    <row r="64" spans="1:11" ht="13.5" x14ac:dyDescent="0.2">
      <c r="A64" s="38" t="s">
        <v>1486</v>
      </c>
      <c r="B64" s="49" t="s">
        <v>1485</v>
      </c>
      <c r="C64" s="51">
        <f>+Tabla13[[#This Row],[Columna6]]/Tabla13[[#This Row],[Columna5]]</f>
        <v>1098558.8599999999</v>
      </c>
      <c r="D64" s="51">
        <f>+Tabla13[[#This Row],[PRECIO INSTALADOR (IVA INCLUIDO)]]-F64</f>
        <v>1043630.9169999999</v>
      </c>
      <c r="E64" s="51">
        <f>+Tabla13[[#This Row],[PRECIO INSTALADOR (IVA INCLUIDO)]]/0.7</f>
        <v>1569369.7999999998</v>
      </c>
      <c r="F64" s="50">
        <f>+Tabla13[[#This Row],[PRECIO INSTALADOR (IVA INCLUIDO)]]*5%</f>
        <v>54927.942999999999</v>
      </c>
      <c r="G64" s="12">
        <v>0.85</v>
      </c>
      <c r="H64" s="11">
        <f>Tabla13[[#This Row],[COSTO]]*1.19</f>
        <v>933775.03099999996</v>
      </c>
      <c r="I64" s="10"/>
      <c r="J64" s="9"/>
      <c r="K64" s="66">
        <v>784684.9</v>
      </c>
    </row>
    <row r="65" spans="1:11" ht="13.5" x14ac:dyDescent="0.2">
      <c r="A65" s="38" t="s">
        <v>1484</v>
      </c>
      <c r="B65" s="49" t="s">
        <v>1483</v>
      </c>
      <c r="C65" s="51">
        <f>+Tabla13[[#This Row],[Columna6]]/Tabla13[[#This Row],[Columna5]]</f>
        <v>1098558.8599999999</v>
      </c>
      <c r="D65" s="51">
        <f>+Tabla13[[#This Row],[PRECIO INSTALADOR (IVA INCLUIDO)]]-F65</f>
        <v>1043630.9169999999</v>
      </c>
      <c r="E65" s="51">
        <f>+Tabla13[[#This Row],[PRECIO INSTALADOR (IVA INCLUIDO)]]/0.7</f>
        <v>1569369.7999999998</v>
      </c>
      <c r="F65" s="50">
        <f>+Tabla13[[#This Row],[PRECIO INSTALADOR (IVA INCLUIDO)]]*5%</f>
        <v>54927.942999999999</v>
      </c>
      <c r="G65" s="12">
        <v>0.85</v>
      </c>
      <c r="H65" s="11">
        <f>Tabla13[[#This Row],[COSTO]]*1.19</f>
        <v>933775.03099999996</v>
      </c>
      <c r="I65" s="10"/>
      <c r="J65" s="9"/>
      <c r="K65" s="66">
        <v>784684.9</v>
      </c>
    </row>
    <row r="66" spans="1:11" ht="12.75" x14ac:dyDescent="0.2">
      <c r="A66" s="113"/>
      <c r="B66" s="112" t="s">
        <v>1482</v>
      </c>
      <c r="C66" s="111"/>
      <c r="D66" s="111"/>
      <c r="E66" s="111"/>
      <c r="F66" s="110">
        <f>+Tabla13[[#This Row],[PRECIO INSTALADOR (IVA INCLUIDO)]]*5%</f>
        <v>0</v>
      </c>
      <c r="G66" s="12">
        <v>0.85</v>
      </c>
      <c r="H66" s="11">
        <f>Tabla13[[#This Row],[COSTO]]*1.19</f>
        <v>0</v>
      </c>
      <c r="I66" s="10"/>
      <c r="J66" s="9"/>
      <c r="K66" s="66"/>
    </row>
    <row r="67" spans="1:11" ht="13.5" x14ac:dyDescent="0.2">
      <c r="A67" s="38" t="s">
        <v>1481</v>
      </c>
      <c r="B67" s="49" t="s">
        <v>1480</v>
      </c>
      <c r="C67" s="51">
        <f>+Tabla13[[#This Row],[Columna6]]/Tabla13[[#This Row],[Columna5]]</f>
        <v>889023.66</v>
      </c>
      <c r="D67" s="51">
        <f>+Tabla13[[#This Row],[PRECIO INSTALADOR (IVA INCLUIDO)]]-F67</f>
        <v>844572.47700000007</v>
      </c>
      <c r="E67" s="51">
        <f>+Tabla13[[#This Row],[PRECIO INSTALADOR (IVA INCLUIDO)]]/0.7</f>
        <v>1270033.8</v>
      </c>
      <c r="F67" s="50">
        <f>+Tabla13[[#This Row],[PRECIO INSTALADOR (IVA INCLUIDO)]]*5%</f>
        <v>44451.183000000005</v>
      </c>
      <c r="G67" s="12">
        <v>0.85</v>
      </c>
      <c r="H67" s="11">
        <f>Tabla13[[#This Row],[COSTO]]*1.19</f>
        <v>755670.11100000003</v>
      </c>
      <c r="I67" s="10"/>
      <c r="J67" s="9"/>
      <c r="K67" s="66">
        <v>635016.9</v>
      </c>
    </row>
    <row r="68" spans="1:11" ht="13.5" x14ac:dyDescent="0.2">
      <c r="A68" s="38" t="s">
        <v>1479</v>
      </c>
      <c r="B68" s="49" t="s">
        <v>1478</v>
      </c>
      <c r="C68" s="51">
        <f>+Tabla13[[#This Row],[Columna6]]/Tabla13[[#This Row],[Columna5]]</f>
        <v>889023.66</v>
      </c>
      <c r="D68" s="51">
        <f>+Tabla13[[#This Row],[PRECIO INSTALADOR (IVA INCLUIDO)]]-F68</f>
        <v>844572.47700000007</v>
      </c>
      <c r="E68" s="51">
        <f>+Tabla13[[#This Row],[PRECIO INSTALADOR (IVA INCLUIDO)]]/0.7</f>
        <v>1270033.8</v>
      </c>
      <c r="F68" s="50">
        <f>+Tabla13[[#This Row],[PRECIO INSTALADOR (IVA INCLUIDO)]]*5%</f>
        <v>44451.183000000005</v>
      </c>
      <c r="G68" s="12">
        <v>0.85</v>
      </c>
      <c r="H68" s="11">
        <f>Tabla13[[#This Row],[COSTO]]*1.19</f>
        <v>755670.11100000003</v>
      </c>
      <c r="I68" s="10"/>
      <c r="J68" s="9"/>
      <c r="K68" s="66">
        <v>635016.9</v>
      </c>
    </row>
    <row r="69" spans="1:11" ht="13.5" x14ac:dyDescent="0.2">
      <c r="A69" s="131" t="s">
        <v>1477</v>
      </c>
      <c r="B69" s="49" t="s">
        <v>1476</v>
      </c>
      <c r="C69" s="51">
        <f>+Tabla13[[#This Row],[Columna6]]/Tabla13[[#This Row],[Columna5]]</f>
        <v>903933.66</v>
      </c>
      <c r="D69" s="51">
        <f>+Tabla13[[#This Row],[PRECIO INSTALADOR (IVA INCLUIDO)]]-F69</f>
        <v>858736.97700000007</v>
      </c>
      <c r="E69" s="51">
        <f>+Tabla13[[#This Row],[PRECIO INSTALADOR (IVA INCLUIDO)]]/0.7</f>
        <v>1291333.8</v>
      </c>
      <c r="F69" s="50">
        <f>+Tabla13[[#This Row],[PRECIO INSTALADOR (IVA INCLUIDO)]]*5%</f>
        <v>45196.683000000005</v>
      </c>
      <c r="G69" s="12">
        <v>0.85</v>
      </c>
      <c r="H69" s="11">
        <f>Tabla13[[#This Row],[COSTO]]*1.19</f>
        <v>768343.61100000003</v>
      </c>
      <c r="I69" s="10"/>
      <c r="J69" s="9"/>
      <c r="K69" s="66">
        <v>645666.9</v>
      </c>
    </row>
    <row r="70" spans="1:11" ht="13.5" x14ac:dyDescent="0.2">
      <c r="A70" s="131" t="s">
        <v>1475</v>
      </c>
      <c r="B70" s="49" t="s">
        <v>1474</v>
      </c>
      <c r="C70" s="51">
        <f>+Tabla13[[#This Row],[Columna6]]/Tabla13[[#This Row],[Columna5]]</f>
        <v>1110288.06</v>
      </c>
      <c r="D70" s="51">
        <f>+Tabla13[[#This Row],[PRECIO INSTALADOR (IVA INCLUIDO)]]-F70</f>
        <v>1054773.6570000001</v>
      </c>
      <c r="E70" s="51">
        <f>+Tabla13[[#This Row],[PRECIO INSTALADOR (IVA INCLUIDO)]]/0.7</f>
        <v>1586125.8000000003</v>
      </c>
      <c r="F70" s="50">
        <f>+Tabla13[[#This Row],[PRECIO INSTALADOR (IVA INCLUIDO)]]*5%</f>
        <v>55514.403000000006</v>
      </c>
      <c r="G70" s="12">
        <v>0.85</v>
      </c>
      <c r="H70" s="11">
        <f>Tabla13[[#This Row],[COSTO]]*1.19</f>
        <v>943744.85100000002</v>
      </c>
      <c r="I70" s="10"/>
      <c r="J70" s="9"/>
      <c r="K70" s="66">
        <v>793062.9</v>
      </c>
    </row>
    <row r="71" spans="1:11" ht="12.75" x14ac:dyDescent="0.2">
      <c r="A71" s="113"/>
      <c r="B71" s="112" t="s">
        <v>1473</v>
      </c>
      <c r="C71" s="111"/>
      <c r="D71" s="111"/>
      <c r="E71" s="111"/>
      <c r="F71" s="110">
        <f>+Tabla13[[#This Row],[PRECIO INSTALADOR (IVA INCLUIDO)]]*5%</f>
        <v>0</v>
      </c>
      <c r="G71" s="12">
        <v>0.85</v>
      </c>
      <c r="H71" s="11">
        <f>Tabla13[[#This Row],[COSTO]]*1.19</f>
        <v>0</v>
      </c>
      <c r="I71" s="10"/>
      <c r="J71" s="9"/>
      <c r="K71" s="66"/>
    </row>
    <row r="72" spans="1:11" ht="13.5" x14ac:dyDescent="0.2">
      <c r="A72" s="38" t="s">
        <v>1472</v>
      </c>
      <c r="B72" s="49" t="s">
        <v>1471</v>
      </c>
      <c r="C72" s="51">
        <f>+Tabla13[[#This Row],[Columna6]]/Tabla13[[#This Row],[Columna5]]</f>
        <v>313597.06</v>
      </c>
      <c r="D72" s="51">
        <f>+Tabla13[[#This Row],[PRECIO INSTALADOR (IVA INCLUIDO)]]-F72</f>
        <v>297917.20699999999</v>
      </c>
      <c r="E72" s="51">
        <f>+Tabla13[[#This Row],[PRECIO INSTALADOR (IVA INCLUIDO)]]/0.7</f>
        <v>447995.80000000005</v>
      </c>
      <c r="F72" s="50">
        <f>+Tabla13[[#This Row],[PRECIO INSTALADOR (IVA INCLUIDO)]]*5%</f>
        <v>15679.853000000001</v>
      </c>
      <c r="G72" s="12">
        <v>0.85</v>
      </c>
      <c r="H72" s="11">
        <f>Tabla13[[#This Row],[COSTO]]*1.19</f>
        <v>266557.50099999999</v>
      </c>
      <c r="I72" s="10"/>
      <c r="J72" s="9"/>
      <c r="K72" s="66">
        <v>223997.9</v>
      </c>
    </row>
    <row r="73" spans="1:11" ht="13.5" x14ac:dyDescent="0.2">
      <c r="A73" s="125" t="s">
        <v>1470</v>
      </c>
      <c r="B73" s="49" t="s">
        <v>1469</v>
      </c>
      <c r="C73" s="51">
        <f>+Tabla13[[#This Row],[Columna6]]/Tabla13[[#This Row],[Columna5]]</f>
        <v>313597.06</v>
      </c>
      <c r="D73" s="51">
        <f>+Tabla13[[#This Row],[PRECIO INSTALADOR (IVA INCLUIDO)]]-F73</f>
        <v>297917.20699999999</v>
      </c>
      <c r="E73" s="51">
        <f>+Tabla13[[#This Row],[PRECIO INSTALADOR (IVA INCLUIDO)]]/0.7</f>
        <v>447995.80000000005</v>
      </c>
      <c r="F73" s="50">
        <f>+Tabla13[[#This Row],[PRECIO INSTALADOR (IVA INCLUIDO)]]*5%</f>
        <v>15679.853000000001</v>
      </c>
      <c r="G73" s="12">
        <v>0.85</v>
      </c>
      <c r="H73" s="11">
        <f>Tabla13[[#This Row],[COSTO]]*1.19</f>
        <v>266557.50099999999</v>
      </c>
      <c r="I73" s="10"/>
      <c r="J73" s="9"/>
      <c r="K73" s="66">
        <v>223997.9</v>
      </c>
    </row>
    <row r="74" spans="1:11" ht="13.5" x14ac:dyDescent="0.2">
      <c r="A74" s="38" t="s">
        <v>1468</v>
      </c>
      <c r="B74" s="49" t="s">
        <v>1467</v>
      </c>
      <c r="C74" s="51">
        <f>+Tabla13[[#This Row],[Columna6]]/Tabla13[[#This Row],[Columna5]]</f>
        <v>212606.66</v>
      </c>
      <c r="D74" s="51">
        <f>+Tabla13[[#This Row],[PRECIO INSTALADOR (IVA INCLUIDO)]]-F74</f>
        <v>201976.32699999999</v>
      </c>
      <c r="E74" s="51">
        <f>+Tabla13[[#This Row],[PRECIO INSTALADOR (IVA INCLUIDO)]]/0.7</f>
        <v>303723.80000000005</v>
      </c>
      <c r="F74" s="50">
        <f>+Tabla13[[#This Row],[PRECIO INSTALADOR (IVA INCLUIDO)]]*5%</f>
        <v>10630.333000000001</v>
      </c>
      <c r="G74" s="12">
        <v>0.85</v>
      </c>
      <c r="H74" s="11">
        <f>Tabla13[[#This Row],[COSTO]]*1.19</f>
        <v>180715.66099999999</v>
      </c>
      <c r="I74" s="10"/>
      <c r="J74" s="9"/>
      <c r="K74" s="66">
        <v>151861.9</v>
      </c>
    </row>
    <row r="75" spans="1:11" ht="13.5" x14ac:dyDescent="0.2">
      <c r="A75" s="38" t="s">
        <v>1466</v>
      </c>
      <c r="B75" s="49" t="s">
        <v>1465</v>
      </c>
      <c r="C75" s="51">
        <f>+Tabla13[[#This Row],[Columna6]]/Tabla13[[#This Row],[Columna5]]</f>
        <v>132788.46</v>
      </c>
      <c r="D75" s="51">
        <f>+Tabla13[[#This Row],[PRECIO INSTALADOR (IVA INCLUIDO)]]-F75</f>
        <v>126149.037</v>
      </c>
      <c r="E75" s="51">
        <f>+Tabla13[[#This Row],[PRECIO INSTALADOR (IVA INCLUIDO)]]/0.7</f>
        <v>189697.8</v>
      </c>
      <c r="F75" s="50">
        <f>+Tabla13[[#This Row],[PRECIO INSTALADOR (IVA INCLUIDO)]]*5%</f>
        <v>6639.4229999999998</v>
      </c>
      <c r="G75" s="12">
        <v>0.85</v>
      </c>
      <c r="H75" s="11">
        <f>Tabla13[[#This Row],[COSTO]]*1.19</f>
        <v>112870.19099999999</v>
      </c>
      <c r="I75" s="10"/>
      <c r="J75" s="9"/>
      <c r="K75" s="66">
        <v>94848.9</v>
      </c>
    </row>
    <row r="76" spans="1:11" ht="13.5" x14ac:dyDescent="0.2">
      <c r="A76" s="38" t="s">
        <v>1464</v>
      </c>
      <c r="B76" s="49" t="s">
        <v>1463</v>
      </c>
      <c r="C76" s="51">
        <f>+Tabla13[[#This Row],[Columna6]]/Tabla13[[#This Row],[Columna5]]</f>
        <v>13409.06</v>
      </c>
      <c r="D76" s="51">
        <f>+Tabla13[[#This Row],[PRECIO INSTALADOR (IVA INCLUIDO)]]-F76</f>
        <v>12738.607</v>
      </c>
      <c r="E76" s="51">
        <f>+Tabla13[[#This Row],[PRECIO INSTALADOR (IVA INCLUIDO)]]/0.7</f>
        <v>19155.8</v>
      </c>
      <c r="F76" s="50">
        <f>+Tabla13[[#This Row],[PRECIO INSTALADOR (IVA INCLUIDO)]]*5%</f>
        <v>670.45299999999997</v>
      </c>
      <c r="G76" s="12">
        <v>0.85</v>
      </c>
      <c r="H76" s="11">
        <f>Tabla13[[#This Row],[COSTO]]*1.19</f>
        <v>11397.700999999999</v>
      </c>
      <c r="I76" s="10"/>
      <c r="J76" s="9"/>
      <c r="K76" s="66">
        <v>9577.9</v>
      </c>
    </row>
    <row r="77" spans="1:11" ht="12.75" x14ac:dyDescent="0.2">
      <c r="A77" s="113"/>
      <c r="B77" s="112" t="s">
        <v>1462</v>
      </c>
      <c r="C77" s="111"/>
      <c r="D77" s="111"/>
      <c r="E77" s="111"/>
      <c r="F77" s="110">
        <f>+Tabla13[[#This Row],[PRECIO INSTALADOR (IVA INCLUIDO)]]*5%</f>
        <v>0</v>
      </c>
      <c r="G77" s="12">
        <v>0.85</v>
      </c>
      <c r="H77" s="11">
        <f>Tabla13[[#This Row],[COSTO]]*1.19</f>
        <v>0</v>
      </c>
      <c r="I77" s="10"/>
      <c r="J77" s="9"/>
      <c r="K77" s="66"/>
    </row>
    <row r="78" spans="1:11" ht="13.5" x14ac:dyDescent="0.2">
      <c r="A78" s="38" t="s">
        <v>1461</v>
      </c>
      <c r="B78" s="49" t="s">
        <v>1460</v>
      </c>
      <c r="C78" s="51">
        <f>+Tabla13[[#This Row],[Columna6]]/Tabla13[[#This Row],[Columna5]]</f>
        <v>171753.25999999998</v>
      </c>
      <c r="D78" s="51">
        <f>+Tabla13[[#This Row],[PRECIO INSTALADOR (IVA INCLUIDO)]]-F78</f>
        <v>163165.59699999998</v>
      </c>
      <c r="E78" s="51">
        <f>+Tabla13[[#This Row],[PRECIO INSTALADOR (IVA INCLUIDO)]]/0.7</f>
        <v>245361.8</v>
      </c>
      <c r="F78" s="50">
        <f>+Tabla13[[#This Row],[PRECIO INSTALADOR (IVA INCLUIDO)]]*5%</f>
        <v>8587.6629999999986</v>
      </c>
      <c r="G78" s="12">
        <v>0.85</v>
      </c>
      <c r="H78" s="11">
        <f>Tabla13[[#This Row],[COSTO]]*1.19</f>
        <v>145990.27099999998</v>
      </c>
      <c r="I78" s="10"/>
      <c r="J78" s="9"/>
      <c r="K78" s="66">
        <v>122680.9</v>
      </c>
    </row>
    <row r="79" spans="1:11" ht="13.5" x14ac:dyDescent="0.2">
      <c r="A79" s="38" t="s">
        <v>1459</v>
      </c>
      <c r="B79" s="49" t="s">
        <v>1458</v>
      </c>
      <c r="C79" s="51">
        <f>+Tabla13[[#This Row],[Columna6]]/Tabla13[[#This Row],[Columna5]]</f>
        <v>141138.05999999997</v>
      </c>
      <c r="D79" s="51">
        <f>+Tabla13[[#This Row],[PRECIO INSTALADOR (IVA INCLUIDO)]]-F79</f>
        <v>134081.15699999998</v>
      </c>
      <c r="E79" s="51">
        <f>+Tabla13[[#This Row],[PRECIO INSTALADOR (IVA INCLUIDO)]]/0.7</f>
        <v>201625.79999999996</v>
      </c>
      <c r="F79" s="50">
        <f>+Tabla13[[#This Row],[PRECIO INSTALADOR (IVA INCLUIDO)]]*5%</f>
        <v>7056.9029999999984</v>
      </c>
      <c r="G79" s="12">
        <v>0.85</v>
      </c>
      <c r="H79" s="11">
        <f>Tabla13[[#This Row],[COSTO]]*1.19</f>
        <v>119967.35099999998</v>
      </c>
      <c r="I79" s="10"/>
      <c r="J79" s="9"/>
      <c r="K79" s="66">
        <v>100812.9</v>
      </c>
    </row>
    <row r="80" spans="1:11" ht="12.75" x14ac:dyDescent="0.2">
      <c r="A80" s="113"/>
      <c r="B80" s="112" t="s">
        <v>1457</v>
      </c>
      <c r="C80" s="111"/>
      <c r="D80" s="111"/>
      <c r="E80" s="111"/>
      <c r="F80" s="110">
        <f>+Tabla13[[#This Row],[PRECIO INSTALADOR (IVA INCLUIDO)]]*5%</f>
        <v>0</v>
      </c>
      <c r="G80" s="12">
        <v>0.85</v>
      </c>
      <c r="H80" s="11">
        <f>Tabla13[[#This Row],[COSTO]]*1.19</f>
        <v>0</v>
      </c>
      <c r="I80" s="10"/>
      <c r="J80" s="9"/>
      <c r="K80" s="66"/>
    </row>
    <row r="81" spans="1:11" ht="13.5" x14ac:dyDescent="0.2">
      <c r="A81" s="38" t="s">
        <v>1456</v>
      </c>
      <c r="B81" s="49" t="s">
        <v>1455</v>
      </c>
      <c r="C81" s="51">
        <f>+Tabla13[[#This Row],[Columna6]]/Tabla13[[#This Row],[Columna5]]</f>
        <v>638535.66</v>
      </c>
      <c r="D81" s="51">
        <f>+Tabla13[[#This Row],[PRECIO INSTALADOR (IVA INCLUIDO)]]-F81</f>
        <v>606608.87699999998</v>
      </c>
      <c r="E81" s="51">
        <f>+Tabla13[[#This Row],[PRECIO INSTALADOR (IVA INCLUIDO)]]/0.7</f>
        <v>912193.8</v>
      </c>
      <c r="F81" s="50">
        <f>+Tabla13[[#This Row],[PRECIO INSTALADOR (IVA INCLUIDO)]]*5%</f>
        <v>31926.783000000003</v>
      </c>
      <c r="G81" s="12">
        <v>0.85</v>
      </c>
      <c r="H81" s="11">
        <f>Tabla13[[#This Row],[COSTO]]*1.19</f>
        <v>542755.31099999999</v>
      </c>
      <c r="I81" s="10"/>
      <c r="J81" s="9"/>
      <c r="K81" s="66">
        <v>456096.9</v>
      </c>
    </row>
    <row r="82" spans="1:11" ht="12.75" x14ac:dyDescent="0.2">
      <c r="A82" s="128"/>
      <c r="B82" s="112" t="s">
        <v>1454</v>
      </c>
      <c r="C82" s="127"/>
      <c r="D82" s="127"/>
      <c r="E82" s="127"/>
      <c r="F82" s="126">
        <f>+Tabla13[[#This Row],[PRECIO INSTALADOR (IVA INCLUIDO)]]*5%</f>
        <v>0</v>
      </c>
      <c r="G82" s="12">
        <v>0.85</v>
      </c>
      <c r="H82" s="11">
        <f>Tabla13[[#This Row],[COSTO]]*1.19</f>
        <v>0</v>
      </c>
      <c r="I82" s="10"/>
      <c r="J82" s="9"/>
      <c r="K82" s="66"/>
    </row>
    <row r="83" spans="1:11" ht="12.75" x14ac:dyDescent="0.2">
      <c r="A83" s="86" t="s">
        <v>1453</v>
      </c>
      <c r="B83" s="85" t="s">
        <v>1452</v>
      </c>
      <c r="C83" s="84">
        <f>+Tabla13[[#This Row],[Columna6]]/Tabla13[[#This Row],[Columna5]]</f>
        <v>270954.45999999996</v>
      </c>
      <c r="D83" s="84">
        <f>+Tabla13[[#This Row],[PRECIO INSTALADOR (IVA INCLUIDO)]]-F83</f>
        <v>257406.73699999996</v>
      </c>
      <c r="E83" s="84">
        <f>+Tabla13[[#This Row],[PRECIO INSTALADOR (IVA INCLUIDO)]]/0.7</f>
        <v>387077.8</v>
      </c>
      <c r="F83" s="83">
        <f>+Tabla13[[#This Row],[PRECIO INSTALADOR (IVA INCLUIDO)]]*5%</f>
        <v>13547.722999999998</v>
      </c>
      <c r="G83" s="12">
        <v>0.85</v>
      </c>
      <c r="H83" s="11">
        <f>Tabla13[[#This Row],[COSTO]]*1.19</f>
        <v>230311.29099999997</v>
      </c>
      <c r="I83" s="10"/>
      <c r="J83" s="9"/>
      <c r="K83" s="66">
        <v>193538.9</v>
      </c>
    </row>
    <row r="84" spans="1:11" ht="12.75" x14ac:dyDescent="0.2">
      <c r="A84" s="86" t="s">
        <v>1451</v>
      </c>
      <c r="B84" s="85" t="s">
        <v>1450</v>
      </c>
      <c r="C84" s="84">
        <f>+Tabla13[[#This Row],[Columna6]]/Tabla13[[#This Row],[Columna5]]</f>
        <v>308825.86</v>
      </c>
      <c r="D84" s="84">
        <f>+Tabla13[[#This Row],[PRECIO INSTALADOR (IVA INCLUIDO)]]-F84</f>
        <v>293384.56699999998</v>
      </c>
      <c r="E84" s="84">
        <f>+Tabla13[[#This Row],[PRECIO INSTALADOR (IVA INCLUIDO)]]/0.7</f>
        <v>441179.8</v>
      </c>
      <c r="F84" s="83">
        <f>+Tabla13[[#This Row],[PRECIO INSTALADOR (IVA INCLUIDO)]]*5%</f>
        <v>15441.293</v>
      </c>
      <c r="G84" s="12">
        <v>0.85</v>
      </c>
      <c r="H84" s="11">
        <f>Tabla13[[#This Row],[COSTO]]*1.19</f>
        <v>262501.98099999997</v>
      </c>
      <c r="I84" s="10"/>
      <c r="J84" s="9"/>
      <c r="K84" s="66">
        <v>220589.9</v>
      </c>
    </row>
    <row r="85" spans="1:11" ht="12.75" x14ac:dyDescent="0.2">
      <c r="A85" s="86" t="s">
        <v>1449</v>
      </c>
      <c r="B85" s="85" t="s">
        <v>1448</v>
      </c>
      <c r="C85" s="84">
        <f>+Tabla13[[#This Row],[Columna6]]/Tabla13[[#This Row],[Columna5]]</f>
        <v>377809.46</v>
      </c>
      <c r="D85" s="84">
        <f>+Tabla13[[#This Row],[PRECIO INSTALADOR (IVA INCLUIDO)]]-F85</f>
        <v>358918.98700000002</v>
      </c>
      <c r="E85" s="84">
        <f>+Tabla13[[#This Row],[PRECIO INSTALADOR (IVA INCLUIDO)]]/0.7</f>
        <v>539727.80000000005</v>
      </c>
      <c r="F85" s="83">
        <f>+Tabla13[[#This Row],[PRECIO INSTALADOR (IVA INCLUIDO)]]*5%</f>
        <v>18890.473000000002</v>
      </c>
      <c r="G85" s="12">
        <v>0.85</v>
      </c>
      <c r="H85" s="11">
        <f>Tabla13[[#This Row],[COSTO]]*1.19</f>
        <v>321138.04100000003</v>
      </c>
      <c r="I85" s="10"/>
      <c r="J85" s="9"/>
      <c r="K85" s="66">
        <v>269863.90000000002</v>
      </c>
    </row>
    <row r="86" spans="1:11" ht="12.75" x14ac:dyDescent="0.2">
      <c r="A86" s="86" t="s">
        <v>1447</v>
      </c>
      <c r="B86" s="85" t="s">
        <v>1446</v>
      </c>
      <c r="C86" s="84">
        <f>+Tabla13[[#This Row],[Columna6]]/Tabla13[[#This Row],[Columna5]]</f>
        <v>512198.26</v>
      </c>
      <c r="D86" s="84">
        <f>+Tabla13[[#This Row],[PRECIO INSTALADOR (IVA INCLUIDO)]]-F86</f>
        <v>486588.34700000001</v>
      </c>
      <c r="E86" s="84">
        <f>+Tabla13[[#This Row],[PRECIO INSTALADOR (IVA INCLUIDO)]]/0.7</f>
        <v>731711.8</v>
      </c>
      <c r="F86" s="83">
        <f>+Tabla13[[#This Row],[PRECIO INSTALADOR (IVA INCLUIDO)]]*5%</f>
        <v>25609.913</v>
      </c>
      <c r="G86" s="12">
        <v>0.85</v>
      </c>
      <c r="H86" s="11">
        <f>Tabla13[[#This Row],[COSTO]]*1.19</f>
        <v>435368.52100000001</v>
      </c>
      <c r="I86" s="10"/>
      <c r="J86" s="9"/>
      <c r="K86" s="66">
        <v>365855.9</v>
      </c>
    </row>
    <row r="87" spans="1:11" ht="12.75" x14ac:dyDescent="0.2">
      <c r="A87" s="128"/>
      <c r="B87" s="112" t="s">
        <v>1445</v>
      </c>
      <c r="C87" s="127"/>
      <c r="D87" s="127"/>
      <c r="E87" s="127"/>
      <c r="F87" s="126">
        <f>+Tabla13[[#This Row],[PRECIO INSTALADOR (IVA INCLUIDO)]]*5%</f>
        <v>0</v>
      </c>
      <c r="G87" s="12">
        <v>0.85</v>
      </c>
      <c r="H87" s="11">
        <f>Tabla13[[#This Row],[COSTO]]*1.19</f>
        <v>0</v>
      </c>
      <c r="I87" s="10"/>
      <c r="J87" s="9"/>
      <c r="K87" s="66"/>
    </row>
    <row r="88" spans="1:11" ht="12.75" x14ac:dyDescent="0.2">
      <c r="A88" s="120" t="s">
        <v>1444</v>
      </c>
      <c r="B88" s="85" t="s">
        <v>1443</v>
      </c>
      <c r="C88" s="84">
        <f>+Tabla13[[#This Row],[Columna6]]/Tabla13[[#This Row],[Columna5]]</f>
        <v>61916.259999999995</v>
      </c>
      <c r="D88" s="84">
        <f>+Tabla13[[#This Row],[PRECIO INSTALADOR (IVA INCLUIDO)]]-F88</f>
        <v>58820.446999999993</v>
      </c>
      <c r="E88" s="84">
        <f>+Tabla13[[#This Row],[PRECIO INSTALADOR (IVA INCLUIDO)]]/0.7</f>
        <v>88451.8</v>
      </c>
      <c r="F88" s="83">
        <f>+Tabla13[[#This Row],[PRECIO INSTALADOR (IVA INCLUIDO)]]*5%</f>
        <v>3095.8130000000001</v>
      </c>
      <c r="G88" s="12">
        <v>0.85</v>
      </c>
      <c r="H88" s="11">
        <f>Tabla13[[#This Row],[COSTO]]*1.19</f>
        <v>52628.820999999996</v>
      </c>
      <c r="I88" s="10"/>
      <c r="J88" s="9"/>
      <c r="K88" s="66">
        <v>44225.9</v>
      </c>
    </row>
    <row r="89" spans="1:11" ht="12.75" x14ac:dyDescent="0.2">
      <c r="A89" s="120" t="s">
        <v>1442</v>
      </c>
      <c r="B89" s="85" t="s">
        <v>1441</v>
      </c>
      <c r="C89" s="84">
        <f>+Tabla13[[#This Row],[Columna6]]/Tabla13[[#This Row],[Columna5]]</f>
        <v>72750.86</v>
      </c>
      <c r="D89" s="84">
        <f>+Tabla13[[#This Row],[PRECIO INSTALADOR (IVA INCLUIDO)]]-F89</f>
        <v>69113.316999999995</v>
      </c>
      <c r="E89" s="84">
        <f>+Tabla13[[#This Row],[PRECIO INSTALADOR (IVA INCLUIDO)]]/0.7</f>
        <v>103929.8</v>
      </c>
      <c r="F89" s="83">
        <f>+Tabla13[[#This Row],[PRECIO INSTALADOR (IVA INCLUIDO)]]*5%</f>
        <v>3637.5430000000001</v>
      </c>
      <c r="G89" s="12">
        <v>0.85</v>
      </c>
      <c r="H89" s="11">
        <f>Tabla13[[#This Row],[COSTO]]*1.19</f>
        <v>61838.231</v>
      </c>
      <c r="I89" s="10"/>
      <c r="J89" s="9"/>
      <c r="K89" s="66">
        <v>51964.9</v>
      </c>
    </row>
    <row r="90" spans="1:11" ht="12.75" x14ac:dyDescent="0.2">
      <c r="A90" s="120" t="s">
        <v>1440</v>
      </c>
      <c r="B90" s="85" t="s">
        <v>1439</v>
      </c>
      <c r="C90" s="84">
        <f>+Tabla13[[#This Row],[Columna6]]/Tabla13[[#This Row],[Columna5]]</f>
        <v>90642.86</v>
      </c>
      <c r="D90" s="84">
        <f>+Tabla13[[#This Row],[PRECIO INSTALADOR (IVA INCLUIDO)]]-F90</f>
        <v>86110.717000000004</v>
      </c>
      <c r="E90" s="84">
        <f>+Tabla13[[#This Row],[PRECIO INSTALADOR (IVA INCLUIDO)]]/0.7</f>
        <v>129489.8</v>
      </c>
      <c r="F90" s="83">
        <f>+Tabla13[[#This Row],[PRECIO INSTALADOR (IVA INCLUIDO)]]*5%</f>
        <v>4532.143</v>
      </c>
      <c r="G90" s="12">
        <v>0.85</v>
      </c>
      <c r="H90" s="11">
        <f>Tabla13[[#This Row],[COSTO]]*1.19</f>
        <v>77046.430999999997</v>
      </c>
      <c r="I90" s="10"/>
      <c r="J90" s="9"/>
      <c r="K90" s="66">
        <v>64744.9</v>
      </c>
    </row>
    <row r="91" spans="1:11" ht="12.75" x14ac:dyDescent="0.2">
      <c r="A91" s="105"/>
      <c r="B91" s="104" t="s">
        <v>1438</v>
      </c>
      <c r="C91" s="103"/>
      <c r="D91" s="103"/>
      <c r="E91" s="103"/>
      <c r="F91" s="102">
        <f>+Tabla13[[#This Row],[PRECIO INSTALADOR (IVA INCLUIDO)]]*5%</f>
        <v>0</v>
      </c>
      <c r="G91" s="12">
        <v>0.85</v>
      </c>
      <c r="H91" s="11">
        <f>Tabla13[[#This Row],[COSTO]]*1.19</f>
        <v>0</v>
      </c>
      <c r="I91" s="10"/>
      <c r="J91" s="9"/>
      <c r="K91" s="66"/>
    </row>
    <row r="92" spans="1:11" ht="12.75" x14ac:dyDescent="0.2">
      <c r="A92" s="120" t="s">
        <v>1437</v>
      </c>
      <c r="B92" s="85" t="s">
        <v>1436</v>
      </c>
      <c r="C92" s="84">
        <f>+Tabla13[[#This Row],[Columna6]]/Tabla13[[#This Row],[Columna5]]</f>
        <v>369956.86000000004</v>
      </c>
      <c r="D92" s="84">
        <f>+Tabla13[[#This Row],[PRECIO INSTALADOR (IVA INCLUIDO)]]-F92</f>
        <v>351459.01700000005</v>
      </c>
      <c r="E92" s="84">
        <f>+Tabla13[[#This Row],[PRECIO INSTALADOR (IVA INCLUIDO)]]/0.7</f>
        <v>528509.80000000005</v>
      </c>
      <c r="F92" s="83">
        <f>+Tabla13[[#This Row],[PRECIO INSTALADOR (IVA INCLUIDO)]]*5%</f>
        <v>18497.843000000004</v>
      </c>
      <c r="G92" s="12">
        <v>0.85</v>
      </c>
      <c r="H92" s="11">
        <f>Tabla13[[#This Row],[COSTO]]*1.19</f>
        <v>314463.33100000001</v>
      </c>
      <c r="I92" s="10"/>
      <c r="J92" s="9"/>
      <c r="K92" s="66">
        <v>264254.90000000002</v>
      </c>
    </row>
    <row r="93" spans="1:11" ht="12.75" x14ac:dyDescent="0.2">
      <c r="A93" s="120" t="s">
        <v>1435</v>
      </c>
      <c r="B93" s="85" t="s">
        <v>1434</v>
      </c>
      <c r="C93" s="84">
        <f>+Tabla13[[#This Row],[Columna6]]/Tabla13[[#This Row],[Columna5]]</f>
        <v>326419.65999999997</v>
      </c>
      <c r="D93" s="84">
        <f>+Tabla13[[#This Row],[PRECIO INSTALADOR (IVA INCLUIDO)]]-F93</f>
        <v>310098.67699999997</v>
      </c>
      <c r="E93" s="84">
        <f>+Tabla13[[#This Row],[PRECIO INSTALADOR (IVA INCLUIDO)]]/0.7</f>
        <v>466313.8</v>
      </c>
      <c r="F93" s="83">
        <f>+Tabla13[[#This Row],[PRECIO INSTALADOR (IVA INCLUIDO)]]*5%</f>
        <v>16320.983</v>
      </c>
      <c r="G93" s="12">
        <v>0.85</v>
      </c>
      <c r="H93" s="11">
        <f>Tabla13[[#This Row],[COSTO]]*1.19</f>
        <v>277456.71099999995</v>
      </c>
      <c r="I93" s="10"/>
      <c r="J93" s="9"/>
      <c r="K93" s="66">
        <v>233156.9</v>
      </c>
    </row>
    <row r="94" spans="1:11" ht="12.75" x14ac:dyDescent="0.2">
      <c r="A94" s="120" t="s">
        <v>1433</v>
      </c>
      <c r="B94" s="85" t="s">
        <v>1432</v>
      </c>
      <c r="C94" s="84">
        <f>+Tabla13[[#This Row],[Columna6]]/Tabla13[[#This Row],[Columna5]]</f>
        <v>464685.06000000006</v>
      </c>
      <c r="D94" s="84">
        <f>+Tabla13[[#This Row],[PRECIO INSTALADOR (IVA INCLUIDO)]]-F94</f>
        <v>441450.80700000003</v>
      </c>
      <c r="E94" s="84">
        <f>+Tabla13[[#This Row],[PRECIO INSTALADOR (IVA INCLUIDO)]]/0.7</f>
        <v>663835.80000000016</v>
      </c>
      <c r="F94" s="83">
        <f>+Tabla13[[#This Row],[PRECIO INSTALADOR (IVA INCLUIDO)]]*5%</f>
        <v>23234.253000000004</v>
      </c>
      <c r="G94" s="12">
        <v>0.85</v>
      </c>
      <c r="H94" s="11">
        <f>Tabla13[[#This Row],[COSTO]]*1.19</f>
        <v>394982.30100000004</v>
      </c>
      <c r="I94" s="10"/>
      <c r="J94" s="9"/>
      <c r="K94" s="66">
        <v>331917.90000000002</v>
      </c>
    </row>
    <row r="95" spans="1:11" ht="12.75" x14ac:dyDescent="0.2">
      <c r="A95" s="100"/>
      <c r="B95" s="99" t="s">
        <v>1431</v>
      </c>
      <c r="C95" s="98"/>
      <c r="D95" s="98"/>
      <c r="E95" s="98"/>
      <c r="F95" s="97">
        <f>+Tabla13[[#This Row],[PRECIO INSTALADOR (IVA INCLUIDO)]]*5%</f>
        <v>0</v>
      </c>
      <c r="G95" s="12">
        <v>0.85</v>
      </c>
      <c r="H95" s="11">
        <f>Tabla13[[#This Row],[COSTO]]*1.19</f>
        <v>0</v>
      </c>
      <c r="I95" s="10"/>
      <c r="J95" s="9"/>
      <c r="K95" s="66"/>
    </row>
    <row r="96" spans="1:11" ht="12.75" x14ac:dyDescent="0.2">
      <c r="A96" s="113"/>
      <c r="B96" s="112" t="s">
        <v>1430</v>
      </c>
      <c r="C96" s="111"/>
      <c r="D96" s="111"/>
      <c r="E96" s="111"/>
      <c r="F96" s="110">
        <f>+Tabla13[[#This Row],[PRECIO INSTALADOR (IVA INCLUIDO)]]*5%</f>
        <v>0</v>
      </c>
      <c r="G96" s="12">
        <v>0.85</v>
      </c>
      <c r="H96" s="11">
        <f>Tabla13[[#This Row],[COSTO]]*1.19</f>
        <v>0</v>
      </c>
      <c r="I96" s="10"/>
      <c r="J96" s="9"/>
      <c r="K96" s="66"/>
    </row>
    <row r="97" spans="1:11" ht="12.75" x14ac:dyDescent="0.2">
      <c r="A97" s="120" t="s">
        <v>1429</v>
      </c>
      <c r="B97" s="85" t="s">
        <v>1428</v>
      </c>
      <c r="C97" s="84">
        <f>+Tabla13[[#This Row],[Columna6]]/Tabla13[[#This Row],[Columna5]]</f>
        <v>211314.46</v>
      </c>
      <c r="D97" s="84">
        <f>+Tabla13[[#This Row],[PRECIO INSTALADOR (IVA INCLUIDO)]]-F97</f>
        <v>200748.73699999999</v>
      </c>
      <c r="E97" s="84">
        <f>+Tabla13[[#This Row],[PRECIO INSTALADOR (IVA INCLUIDO)]]/0.7</f>
        <v>301877.8</v>
      </c>
      <c r="F97" s="83">
        <f>+Tabla13[[#This Row],[PRECIO INSTALADOR (IVA INCLUIDO)]]*5%</f>
        <v>10565.723</v>
      </c>
      <c r="G97" s="12">
        <v>0.85</v>
      </c>
      <c r="H97" s="11">
        <f>Tabla13[[#This Row],[COSTO]]*1.19</f>
        <v>179617.291</v>
      </c>
      <c r="I97" s="10"/>
      <c r="J97" s="9"/>
      <c r="K97" s="66">
        <v>150938.9</v>
      </c>
    </row>
    <row r="98" spans="1:11" ht="12.75" x14ac:dyDescent="0.2">
      <c r="A98" s="113"/>
      <c r="B98" s="112" t="s">
        <v>1427</v>
      </c>
      <c r="C98" s="111"/>
      <c r="D98" s="111"/>
      <c r="E98" s="111"/>
      <c r="F98" s="110">
        <f>+Tabla13[[#This Row],[PRECIO INSTALADOR (IVA INCLUIDO)]]*5%</f>
        <v>0</v>
      </c>
      <c r="G98" s="12">
        <v>0.85</v>
      </c>
      <c r="H98" s="11">
        <f>Tabla13[[#This Row],[COSTO]]*1.19</f>
        <v>0</v>
      </c>
      <c r="I98" s="10"/>
      <c r="J98" s="9"/>
      <c r="K98" s="66"/>
    </row>
    <row r="99" spans="1:11" ht="12.75" x14ac:dyDescent="0.2">
      <c r="A99" s="86" t="s">
        <v>1426</v>
      </c>
      <c r="B99" s="85" t="s">
        <v>1425</v>
      </c>
      <c r="C99" s="84">
        <f>+Tabla13[[#This Row],[Columna6]]/Tabla13[[#This Row],[Columna5]]</f>
        <v>208630.66</v>
      </c>
      <c r="D99" s="84">
        <f>+Tabla13[[#This Row],[PRECIO INSTALADOR (IVA INCLUIDO)]]-F99</f>
        <v>198199.12700000001</v>
      </c>
      <c r="E99" s="84">
        <f>+Tabla13[[#This Row],[PRECIO INSTALADOR (IVA INCLUIDO)]]/0.7</f>
        <v>298043.80000000005</v>
      </c>
      <c r="F99" s="83">
        <f>+Tabla13[[#This Row],[PRECIO INSTALADOR (IVA INCLUIDO)]]*5%</f>
        <v>10431.533000000001</v>
      </c>
      <c r="G99" s="12">
        <v>0.85</v>
      </c>
      <c r="H99" s="11">
        <f>Tabla13[[#This Row],[COSTO]]*1.19</f>
        <v>177336.06099999999</v>
      </c>
      <c r="I99" s="10"/>
      <c r="J99" s="9"/>
      <c r="K99" s="66">
        <v>149021.9</v>
      </c>
    </row>
    <row r="100" spans="1:11" ht="12.75" x14ac:dyDescent="0.2">
      <c r="A100" s="86" t="s">
        <v>1424</v>
      </c>
      <c r="B100" s="85" t="s">
        <v>1423</v>
      </c>
      <c r="C100" s="84">
        <f>+Tabla13[[#This Row],[Columna6]]/Tabla13[[#This Row],[Columna5]]</f>
        <v>208630.66</v>
      </c>
      <c r="D100" s="84">
        <f>+Tabla13[[#This Row],[PRECIO INSTALADOR (IVA INCLUIDO)]]-F100</f>
        <v>198199.12700000001</v>
      </c>
      <c r="E100" s="84">
        <f>+Tabla13[[#This Row],[PRECIO INSTALADOR (IVA INCLUIDO)]]/0.7</f>
        <v>298043.80000000005</v>
      </c>
      <c r="F100" s="83">
        <f>+Tabla13[[#This Row],[PRECIO INSTALADOR (IVA INCLUIDO)]]*5%</f>
        <v>10431.533000000001</v>
      </c>
      <c r="G100" s="12">
        <v>0.85</v>
      </c>
      <c r="H100" s="11">
        <f>Tabla13[[#This Row],[COSTO]]*1.19</f>
        <v>177336.06099999999</v>
      </c>
      <c r="I100" s="10"/>
      <c r="J100" s="9"/>
      <c r="K100" s="66">
        <v>149021.9</v>
      </c>
    </row>
    <row r="101" spans="1:11" ht="12.75" x14ac:dyDescent="0.2">
      <c r="A101" s="86" t="s">
        <v>1422</v>
      </c>
      <c r="B101" s="85" t="s">
        <v>1421</v>
      </c>
      <c r="C101" s="84">
        <f>+Tabla13[[#This Row],[Columna6]]/Tabla13[[#This Row],[Columna5]]</f>
        <v>189744.65999999997</v>
      </c>
      <c r="D101" s="84">
        <f>+Tabla13[[#This Row],[PRECIO INSTALADOR (IVA INCLUIDO)]]-F101</f>
        <v>180257.42699999997</v>
      </c>
      <c r="E101" s="84">
        <f>+Tabla13[[#This Row],[PRECIO INSTALADOR (IVA INCLUIDO)]]/0.7</f>
        <v>271063.8</v>
      </c>
      <c r="F101" s="83">
        <f>+Tabla13[[#This Row],[PRECIO INSTALADOR (IVA INCLUIDO)]]*5%</f>
        <v>9487.2329999999984</v>
      </c>
      <c r="G101" s="12">
        <v>0.85</v>
      </c>
      <c r="H101" s="11">
        <f>Tabla13[[#This Row],[COSTO]]*1.19</f>
        <v>161282.96099999998</v>
      </c>
      <c r="I101" s="10"/>
      <c r="J101" s="9"/>
      <c r="K101" s="66">
        <v>135531.9</v>
      </c>
    </row>
    <row r="102" spans="1:11" ht="12.75" x14ac:dyDescent="0.2">
      <c r="A102" s="86" t="s">
        <v>1420</v>
      </c>
      <c r="B102" s="85" t="s">
        <v>1419</v>
      </c>
      <c r="C102" s="84">
        <f>+Tabla13[[#This Row],[Columna6]]/Tabla13[[#This Row],[Columna5]]</f>
        <v>189744.65999999997</v>
      </c>
      <c r="D102" s="84">
        <f>+Tabla13[[#This Row],[PRECIO INSTALADOR (IVA INCLUIDO)]]-F102</f>
        <v>180257.42699999997</v>
      </c>
      <c r="E102" s="84">
        <f>+Tabla13[[#This Row],[PRECIO INSTALADOR (IVA INCLUIDO)]]/0.7</f>
        <v>271063.8</v>
      </c>
      <c r="F102" s="83">
        <f>+Tabla13[[#This Row],[PRECIO INSTALADOR (IVA INCLUIDO)]]*5%</f>
        <v>9487.2329999999984</v>
      </c>
      <c r="G102" s="12">
        <v>0.85</v>
      </c>
      <c r="H102" s="11">
        <f>Tabla13[[#This Row],[COSTO]]*1.19</f>
        <v>161282.96099999998</v>
      </c>
      <c r="I102" s="10"/>
      <c r="J102" s="9"/>
      <c r="K102" s="66">
        <v>135531.9</v>
      </c>
    </row>
    <row r="103" spans="1:11" ht="12.75" x14ac:dyDescent="0.2">
      <c r="A103" s="86" t="s">
        <v>1418</v>
      </c>
      <c r="B103" s="85" t="s">
        <v>1417</v>
      </c>
      <c r="C103" s="84">
        <f>+Tabla13[[#This Row],[Columna6]]/Tabla13[[#This Row],[Columna5]]</f>
        <v>178810.66</v>
      </c>
      <c r="D103" s="84">
        <f>+Tabla13[[#This Row],[PRECIO INSTALADOR (IVA INCLUIDO)]]-F103</f>
        <v>169870.12700000001</v>
      </c>
      <c r="E103" s="84">
        <f>+Tabla13[[#This Row],[PRECIO INSTALADOR (IVA INCLUIDO)]]/0.7</f>
        <v>255443.80000000002</v>
      </c>
      <c r="F103" s="83">
        <f>+Tabla13[[#This Row],[PRECIO INSTALADOR (IVA INCLUIDO)]]*5%</f>
        <v>8940.5330000000013</v>
      </c>
      <c r="G103" s="12">
        <v>0.85</v>
      </c>
      <c r="H103" s="11">
        <f>Tabla13[[#This Row],[COSTO]]*1.19</f>
        <v>151989.06099999999</v>
      </c>
      <c r="I103" s="10"/>
      <c r="J103" s="9"/>
      <c r="K103" s="66">
        <v>127721.9</v>
      </c>
    </row>
    <row r="104" spans="1:11" ht="12.75" x14ac:dyDescent="0.2">
      <c r="A104" s="86" t="s">
        <v>1416</v>
      </c>
      <c r="B104" s="85" t="s">
        <v>1415</v>
      </c>
      <c r="C104" s="84">
        <f>+Tabla13[[#This Row],[Columna6]]/Tabla13[[#This Row],[Columna5]]</f>
        <v>178810.66</v>
      </c>
      <c r="D104" s="84">
        <f>+Tabla13[[#This Row],[PRECIO INSTALADOR (IVA INCLUIDO)]]-F104</f>
        <v>169870.12700000001</v>
      </c>
      <c r="E104" s="84">
        <f>+Tabla13[[#This Row],[PRECIO INSTALADOR (IVA INCLUIDO)]]/0.7</f>
        <v>255443.80000000002</v>
      </c>
      <c r="F104" s="83">
        <f>+Tabla13[[#This Row],[PRECIO INSTALADOR (IVA INCLUIDO)]]*5%</f>
        <v>8940.5330000000013</v>
      </c>
      <c r="G104" s="12">
        <v>0.85</v>
      </c>
      <c r="H104" s="11">
        <f>Tabla13[[#This Row],[COSTO]]*1.19</f>
        <v>151989.06099999999</v>
      </c>
      <c r="I104" s="10"/>
      <c r="J104" s="9"/>
      <c r="K104" s="66">
        <v>127721.9</v>
      </c>
    </row>
    <row r="105" spans="1:11" ht="12.75" x14ac:dyDescent="0.2">
      <c r="A105" s="113"/>
      <c r="B105" s="112" t="s">
        <v>1414</v>
      </c>
      <c r="C105" s="127"/>
      <c r="D105" s="127"/>
      <c r="E105" s="127"/>
      <c r="F105" s="126">
        <f>+Tabla13[[#This Row],[PRECIO INSTALADOR (IVA INCLUIDO)]]*5%</f>
        <v>0</v>
      </c>
      <c r="G105" s="12">
        <v>0.85</v>
      </c>
      <c r="H105" s="11">
        <f>Tabla13[[#This Row],[COSTO]]*1.19</f>
        <v>0</v>
      </c>
      <c r="I105" s="10"/>
      <c r="J105" s="9"/>
      <c r="K105" s="66"/>
    </row>
    <row r="106" spans="1:11" ht="12.75" x14ac:dyDescent="0.2">
      <c r="A106" s="120" t="s">
        <v>1413</v>
      </c>
      <c r="B106" s="85" t="s">
        <v>1412</v>
      </c>
      <c r="C106" s="84">
        <f>+Tabla13[[#This Row],[Columna6]]/Tabla13[[#This Row],[Columna5]]</f>
        <v>134180.06</v>
      </c>
      <c r="D106" s="84">
        <f>+Tabla13[[#This Row],[PRECIO INSTALADOR (IVA INCLUIDO)]]-F106</f>
        <v>127471.057</v>
      </c>
      <c r="E106" s="84">
        <f>+Tabla13[[#This Row],[PRECIO INSTALADOR (IVA INCLUIDO)]]/0.7</f>
        <v>191685.80000000002</v>
      </c>
      <c r="F106" s="83">
        <f>+Tabla13[[#This Row],[PRECIO INSTALADOR (IVA INCLUIDO)]]*5%</f>
        <v>6709.0030000000006</v>
      </c>
      <c r="G106" s="12">
        <v>0.85</v>
      </c>
      <c r="H106" s="11">
        <f>Tabla13[[#This Row],[COSTO]]*1.19</f>
        <v>114053.05099999999</v>
      </c>
      <c r="I106" s="10"/>
      <c r="J106" s="9"/>
      <c r="K106" s="66">
        <v>95842.9</v>
      </c>
    </row>
    <row r="107" spans="1:11" ht="12.75" x14ac:dyDescent="0.2">
      <c r="A107" s="120" t="s">
        <v>1411</v>
      </c>
      <c r="B107" s="85" t="s">
        <v>1410</v>
      </c>
      <c r="C107" s="84">
        <f>+Tabla13[[#This Row],[Columna6]]/Tabla13[[#This Row],[Columna5]]</f>
        <v>134180.06</v>
      </c>
      <c r="D107" s="84">
        <f>+Tabla13[[#This Row],[PRECIO INSTALADOR (IVA INCLUIDO)]]-F107</f>
        <v>127471.057</v>
      </c>
      <c r="E107" s="84">
        <f>+Tabla13[[#This Row],[PRECIO INSTALADOR (IVA INCLUIDO)]]/0.7</f>
        <v>191685.80000000002</v>
      </c>
      <c r="F107" s="83">
        <f>+Tabla13[[#This Row],[PRECIO INSTALADOR (IVA INCLUIDO)]]*5%</f>
        <v>6709.0030000000006</v>
      </c>
      <c r="G107" s="12">
        <v>0.85</v>
      </c>
      <c r="H107" s="11">
        <f>Tabla13[[#This Row],[COSTO]]*1.19</f>
        <v>114053.05099999999</v>
      </c>
      <c r="I107" s="10"/>
      <c r="J107" s="9"/>
      <c r="K107" s="66">
        <v>95842.9</v>
      </c>
    </row>
    <row r="108" spans="1:11" ht="12.75" x14ac:dyDescent="0.2">
      <c r="A108" s="113"/>
      <c r="B108" s="112" t="s">
        <v>1409</v>
      </c>
      <c r="C108" s="111"/>
      <c r="D108" s="111"/>
      <c r="E108" s="111"/>
      <c r="F108" s="110">
        <f>+Tabla13[[#This Row],[PRECIO INSTALADOR (IVA INCLUIDO)]]*5%</f>
        <v>0</v>
      </c>
      <c r="G108" s="12">
        <v>0.85</v>
      </c>
      <c r="H108" s="11">
        <f>Tabla13[[#This Row],[COSTO]]*1.19</f>
        <v>0</v>
      </c>
      <c r="I108" s="10"/>
      <c r="J108" s="9"/>
      <c r="K108" s="66"/>
    </row>
    <row r="109" spans="1:11" ht="12.75" x14ac:dyDescent="0.2">
      <c r="A109" s="86" t="s">
        <v>1408</v>
      </c>
      <c r="B109" s="85" t="s">
        <v>1407</v>
      </c>
      <c r="C109" s="84">
        <f>+Tabla13[[#This Row],[Columna6]]/Tabla13[[#This Row],[Columna5]]</f>
        <v>155749.85999999999</v>
      </c>
      <c r="D109" s="84">
        <f>+Tabla13[[#This Row],[PRECIO INSTALADOR (IVA INCLUIDO)]]-F109</f>
        <v>147962.367</v>
      </c>
      <c r="E109" s="84">
        <f>+Tabla13[[#This Row],[PRECIO INSTALADOR (IVA INCLUIDO)]]/0.7</f>
        <v>222499.8</v>
      </c>
      <c r="F109" s="83">
        <f>+Tabla13[[#This Row],[PRECIO INSTALADOR (IVA INCLUIDO)]]*5%</f>
        <v>7787.4929999999995</v>
      </c>
      <c r="G109" s="12">
        <v>0.85</v>
      </c>
      <c r="H109" s="11">
        <f>Tabla13[[#This Row],[COSTO]]*1.19</f>
        <v>132387.38099999999</v>
      </c>
      <c r="I109" s="10"/>
      <c r="J109" s="9"/>
      <c r="K109" s="66">
        <v>111249.9</v>
      </c>
    </row>
    <row r="110" spans="1:11" ht="12.75" x14ac:dyDescent="0.2">
      <c r="A110" s="86" t="s">
        <v>1406</v>
      </c>
      <c r="B110" s="85" t="s">
        <v>1405</v>
      </c>
      <c r="C110" s="84">
        <f>+Tabla13[[#This Row],[Columna6]]/Tabla13[[#This Row],[Columna5]]</f>
        <v>155749.85999999999</v>
      </c>
      <c r="D110" s="84">
        <f>+Tabla13[[#This Row],[PRECIO INSTALADOR (IVA INCLUIDO)]]-F110</f>
        <v>147962.367</v>
      </c>
      <c r="E110" s="84">
        <f>+Tabla13[[#This Row],[PRECIO INSTALADOR (IVA INCLUIDO)]]/0.7</f>
        <v>222499.8</v>
      </c>
      <c r="F110" s="83">
        <f>+Tabla13[[#This Row],[PRECIO INSTALADOR (IVA INCLUIDO)]]*5%</f>
        <v>7787.4929999999995</v>
      </c>
      <c r="G110" s="12">
        <v>0.85</v>
      </c>
      <c r="H110" s="11">
        <f>Tabla13[[#This Row],[COSTO]]*1.19</f>
        <v>132387.38099999999</v>
      </c>
      <c r="I110" s="10"/>
      <c r="J110" s="9"/>
      <c r="K110" s="66">
        <v>111249.9</v>
      </c>
    </row>
    <row r="111" spans="1:11" ht="12.75" x14ac:dyDescent="0.2">
      <c r="A111" s="113"/>
      <c r="B111" s="112" t="s">
        <v>1404</v>
      </c>
      <c r="C111" s="127"/>
      <c r="D111" s="127"/>
      <c r="E111" s="127"/>
      <c r="F111" s="126">
        <f>+Tabla13[[#This Row],[PRECIO INSTALADOR (IVA INCLUIDO)]]*5%</f>
        <v>0</v>
      </c>
      <c r="G111" s="12">
        <v>0.85</v>
      </c>
      <c r="H111" s="11">
        <f>Tabla13[[#This Row],[COSTO]]*1.19</f>
        <v>0</v>
      </c>
      <c r="I111" s="10"/>
      <c r="J111" s="9"/>
      <c r="K111" s="66"/>
    </row>
    <row r="112" spans="1:11" ht="12.75" x14ac:dyDescent="0.2">
      <c r="A112" s="86" t="s">
        <v>1403</v>
      </c>
      <c r="B112" s="85" t="s">
        <v>1402</v>
      </c>
      <c r="C112" s="84">
        <f>+Tabla13[[#This Row],[Columna6]]/Tabla13[[#This Row],[Columna5]]</f>
        <v>135472.25999999998</v>
      </c>
      <c r="D112" s="84">
        <f>+Tabla13[[#This Row],[PRECIO INSTALADOR (IVA INCLUIDO)]]-F112</f>
        <v>128698.64699999998</v>
      </c>
      <c r="E112" s="84">
        <f>+Tabla13[[#This Row],[PRECIO INSTALADOR (IVA INCLUIDO)]]/0.7</f>
        <v>193531.8</v>
      </c>
      <c r="F112" s="83">
        <f>+Tabla13[[#This Row],[PRECIO INSTALADOR (IVA INCLUIDO)]]*5%</f>
        <v>6773.6129999999994</v>
      </c>
      <c r="G112" s="12">
        <v>0.85</v>
      </c>
      <c r="H112" s="11">
        <f>Tabla13[[#This Row],[COSTO]]*1.19</f>
        <v>115151.42099999999</v>
      </c>
      <c r="I112" s="10"/>
      <c r="J112" s="9"/>
      <c r="K112" s="66">
        <v>96765.9</v>
      </c>
    </row>
    <row r="113" spans="1:11" ht="12.75" x14ac:dyDescent="0.2">
      <c r="A113" s="86" t="s">
        <v>1401</v>
      </c>
      <c r="B113" s="85" t="s">
        <v>1400</v>
      </c>
      <c r="C113" s="84">
        <f>+Tabla13[[#This Row],[Columna6]]/Tabla13[[#This Row],[Columna5]]</f>
        <v>135472.25999999998</v>
      </c>
      <c r="D113" s="84">
        <f>+Tabla13[[#This Row],[PRECIO INSTALADOR (IVA INCLUIDO)]]-F113</f>
        <v>128698.64699999998</v>
      </c>
      <c r="E113" s="84">
        <f>+Tabla13[[#This Row],[PRECIO INSTALADOR (IVA INCLUIDO)]]/0.7</f>
        <v>193531.8</v>
      </c>
      <c r="F113" s="83">
        <f>+Tabla13[[#This Row],[PRECIO INSTALADOR (IVA INCLUIDO)]]*5%</f>
        <v>6773.6129999999994</v>
      </c>
      <c r="G113" s="12">
        <v>0.85</v>
      </c>
      <c r="H113" s="11">
        <f>Tabla13[[#This Row],[COSTO]]*1.19</f>
        <v>115151.42099999999</v>
      </c>
      <c r="I113" s="10"/>
      <c r="J113" s="9"/>
      <c r="K113" s="66">
        <v>96765.9</v>
      </c>
    </row>
    <row r="114" spans="1:11" ht="12.75" x14ac:dyDescent="0.2">
      <c r="A114" s="113"/>
      <c r="B114" s="112">
        <v>396</v>
      </c>
      <c r="C114" s="111"/>
      <c r="D114" s="111"/>
      <c r="E114" s="111"/>
      <c r="F114" s="110">
        <f>+Tabla13[[#This Row],[PRECIO INSTALADOR (IVA INCLUIDO)]]*5%</f>
        <v>0</v>
      </c>
      <c r="G114" s="12">
        <v>0.85</v>
      </c>
      <c r="H114" s="11">
        <f>Tabla13[[#This Row],[COSTO]]*1.19</f>
        <v>0</v>
      </c>
      <c r="I114" s="10"/>
      <c r="J114" s="9"/>
      <c r="K114" s="66"/>
    </row>
    <row r="115" spans="1:11" ht="12.75" x14ac:dyDescent="0.2">
      <c r="A115" s="86" t="s">
        <v>1399</v>
      </c>
      <c r="B115" s="85" t="s">
        <v>1398</v>
      </c>
      <c r="C115" s="84">
        <f>+Tabla13[[#This Row],[Columna6]]/Tabla13[[#This Row],[Columna5]]</f>
        <v>183681.26</v>
      </c>
      <c r="D115" s="84">
        <f>+Tabla13[[#This Row],[PRECIO INSTALADOR (IVA INCLUIDO)]]-F115</f>
        <v>174497.19700000001</v>
      </c>
      <c r="E115" s="84">
        <f>+Tabla13[[#This Row],[PRECIO INSTALADOR (IVA INCLUIDO)]]/0.7</f>
        <v>262401.80000000005</v>
      </c>
      <c r="F115" s="83">
        <f>+Tabla13[[#This Row],[PRECIO INSTALADOR (IVA INCLUIDO)]]*5%</f>
        <v>9184.0630000000001</v>
      </c>
      <c r="G115" s="12">
        <v>0.85</v>
      </c>
      <c r="H115" s="11">
        <f>Tabla13[[#This Row],[COSTO]]*1.19</f>
        <v>156129.071</v>
      </c>
      <c r="I115" s="10"/>
      <c r="J115" s="9"/>
      <c r="K115" s="66">
        <v>131200.9</v>
      </c>
    </row>
    <row r="116" spans="1:11" ht="12.75" x14ac:dyDescent="0.2">
      <c r="A116" s="86" t="s">
        <v>1397</v>
      </c>
      <c r="B116" s="85" t="s">
        <v>1396</v>
      </c>
      <c r="C116" s="84">
        <f>+Tabla13[[#This Row],[Columna6]]/Tabla13[[#This Row],[Columna5]]</f>
        <v>183681.26</v>
      </c>
      <c r="D116" s="84">
        <f>+Tabla13[[#This Row],[PRECIO INSTALADOR (IVA INCLUIDO)]]-F116</f>
        <v>174497.19700000001</v>
      </c>
      <c r="E116" s="84">
        <f>+Tabla13[[#This Row],[PRECIO INSTALADOR (IVA INCLUIDO)]]/0.7</f>
        <v>262401.80000000005</v>
      </c>
      <c r="F116" s="83">
        <f>+Tabla13[[#This Row],[PRECIO INSTALADOR (IVA INCLUIDO)]]*5%</f>
        <v>9184.0630000000001</v>
      </c>
      <c r="G116" s="12">
        <v>0.85</v>
      </c>
      <c r="H116" s="11">
        <f>Tabla13[[#This Row],[COSTO]]*1.19</f>
        <v>156129.071</v>
      </c>
      <c r="I116" s="10"/>
      <c r="J116" s="9"/>
      <c r="K116" s="66">
        <v>131200.9</v>
      </c>
    </row>
    <row r="117" spans="1:11" ht="12.75" x14ac:dyDescent="0.2">
      <c r="A117" s="113"/>
      <c r="B117" s="112" t="s">
        <v>1395</v>
      </c>
      <c r="C117" s="111"/>
      <c r="D117" s="111"/>
      <c r="E117" s="111"/>
      <c r="F117" s="110">
        <f>+Tabla13[[#This Row],[PRECIO INSTALADOR (IVA INCLUIDO)]]*5%</f>
        <v>0</v>
      </c>
      <c r="G117" s="12">
        <v>0.85</v>
      </c>
      <c r="H117" s="11">
        <f>Tabla13[[#This Row],[COSTO]]*1.19</f>
        <v>0</v>
      </c>
      <c r="I117" s="10"/>
      <c r="J117" s="9"/>
      <c r="K117" s="66"/>
    </row>
    <row r="118" spans="1:11" ht="12.75" x14ac:dyDescent="0.2">
      <c r="A118" s="86" t="s">
        <v>1394</v>
      </c>
      <c r="B118" s="85" t="s">
        <v>1393</v>
      </c>
      <c r="C118" s="84">
        <f>+Tabla13[[#This Row],[Columna6]]/Tabla13[[#This Row],[Columna5]]</f>
        <v>202567.25999999998</v>
      </c>
      <c r="D118" s="84">
        <f>+Tabla13[[#This Row],[PRECIO INSTALADOR (IVA INCLUIDO)]]-F118</f>
        <v>192438.89699999997</v>
      </c>
      <c r="E118" s="84">
        <f>+Tabla13[[#This Row],[PRECIO INSTALADOR (IVA INCLUIDO)]]/0.7</f>
        <v>289381.8</v>
      </c>
      <c r="F118" s="83">
        <f>+Tabla13[[#This Row],[PRECIO INSTALADOR (IVA INCLUIDO)]]*5%</f>
        <v>10128.362999999999</v>
      </c>
      <c r="G118" s="12">
        <v>0.85</v>
      </c>
      <c r="H118" s="11">
        <f>Tabla13[[#This Row],[COSTO]]*1.19</f>
        <v>172182.17099999997</v>
      </c>
      <c r="I118" s="10"/>
      <c r="J118" s="9"/>
      <c r="K118" s="66">
        <v>144690.9</v>
      </c>
    </row>
    <row r="119" spans="1:11" ht="12.75" x14ac:dyDescent="0.2">
      <c r="A119" s="86" t="s">
        <v>1392</v>
      </c>
      <c r="B119" s="85" t="s">
        <v>1391</v>
      </c>
      <c r="C119" s="84">
        <f>+Tabla13[[#This Row],[Columna6]]/Tabla13[[#This Row],[Columna5]]</f>
        <v>202567.25999999998</v>
      </c>
      <c r="D119" s="84">
        <f>+Tabla13[[#This Row],[PRECIO INSTALADOR (IVA INCLUIDO)]]-F119</f>
        <v>192438.89699999997</v>
      </c>
      <c r="E119" s="84">
        <f>+Tabla13[[#This Row],[PRECIO INSTALADOR (IVA INCLUIDO)]]/0.7</f>
        <v>289381.8</v>
      </c>
      <c r="F119" s="83">
        <f>+Tabla13[[#This Row],[PRECIO INSTALADOR (IVA INCLUIDO)]]*5%</f>
        <v>10128.362999999999</v>
      </c>
      <c r="G119" s="12">
        <v>0.85</v>
      </c>
      <c r="H119" s="11">
        <f>Tabla13[[#This Row],[COSTO]]*1.19</f>
        <v>172182.17099999997</v>
      </c>
      <c r="I119" s="10"/>
      <c r="J119" s="9"/>
      <c r="K119" s="66">
        <v>144690.9</v>
      </c>
    </row>
    <row r="120" spans="1:11" ht="12.75" x14ac:dyDescent="0.2">
      <c r="A120" s="86" t="s">
        <v>1390</v>
      </c>
      <c r="B120" s="85" t="s">
        <v>1389</v>
      </c>
      <c r="C120" s="84">
        <f>+Tabla13[[#This Row],[Columna6]]/Tabla13[[#This Row],[Columna5]]</f>
        <v>184774.65999999997</v>
      </c>
      <c r="D120" s="84">
        <f>+Tabla13[[#This Row],[PRECIO INSTALADOR (IVA INCLUIDO)]]-F120</f>
        <v>175535.92699999997</v>
      </c>
      <c r="E120" s="84">
        <f>+Tabla13[[#This Row],[PRECIO INSTALADOR (IVA INCLUIDO)]]/0.7</f>
        <v>263963.8</v>
      </c>
      <c r="F120" s="83">
        <f>+Tabla13[[#This Row],[PRECIO INSTALADOR (IVA INCLUIDO)]]*5%</f>
        <v>9238.7329999999984</v>
      </c>
      <c r="G120" s="12">
        <v>0.85</v>
      </c>
      <c r="H120" s="11">
        <f>Tabla13[[#This Row],[COSTO]]*1.19</f>
        <v>157058.46099999998</v>
      </c>
      <c r="I120" s="10"/>
      <c r="J120" s="9"/>
      <c r="K120" s="66">
        <v>131981.9</v>
      </c>
    </row>
    <row r="121" spans="1:11" ht="12.75" x14ac:dyDescent="0.2">
      <c r="A121" s="86" t="s">
        <v>1388</v>
      </c>
      <c r="B121" s="85" t="s">
        <v>1387</v>
      </c>
      <c r="C121" s="84">
        <f>+Tabla13[[#This Row],[Columna6]]/Tabla13[[#This Row],[Columna5]]</f>
        <v>184774.65999999997</v>
      </c>
      <c r="D121" s="84">
        <f>+Tabla13[[#This Row],[PRECIO INSTALADOR (IVA INCLUIDO)]]-F121</f>
        <v>175535.92699999997</v>
      </c>
      <c r="E121" s="84">
        <f>+Tabla13[[#This Row],[PRECIO INSTALADOR (IVA INCLUIDO)]]/0.7</f>
        <v>263963.8</v>
      </c>
      <c r="F121" s="83">
        <f>+Tabla13[[#This Row],[PRECIO INSTALADOR (IVA INCLUIDO)]]*5%</f>
        <v>9238.7329999999984</v>
      </c>
      <c r="G121" s="12">
        <v>0.85</v>
      </c>
      <c r="H121" s="11">
        <f>Tabla13[[#This Row],[COSTO]]*1.19</f>
        <v>157058.46099999998</v>
      </c>
      <c r="I121" s="10"/>
      <c r="J121" s="9"/>
      <c r="K121" s="66">
        <v>131981.9</v>
      </c>
    </row>
    <row r="122" spans="1:11" ht="12.75" x14ac:dyDescent="0.2">
      <c r="A122" s="86" t="s">
        <v>1386</v>
      </c>
      <c r="B122" s="85" t="s">
        <v>1385</v>
      </c>
      <c r="C122" s="84">
        <f>+Tabla13[[#This Row],[Columna6]]/Tabla13[[#This Row],[Columna5]]</f>
        <v>163006.06</v>
      </c>
      <c r="D122" s="84">
        <f>+Tabla13[[#This Row],[PRECIO INSTALADOR (IVA INCLUIDO)]]-F122</f>
        <v>154855.75699999998</v>
      </c>
      <c r="E122" s="84">
        <f>+Tabla13[[#This Row],[PRECIO INSTALADOR (IVA INCLUIDO)]]/0.7</f>
        <v>232865.80000000002</v>
      </c>
      <c r="F122" s="83">
        <f>+Tabla13[[#This Row],[PRECIO INSTALADOR (IVA INCLUIDO)]]*5%</f>
        <v>8150.3029999999999</v>
      </c>
      <c r="G122" s="12">
        <v>0.85</v>
      </c>
      <c r="H122" s="11">
        <f>Tabla13[[#This Row],[COSTO]]*1.19</f>
        <v>138555.15099999998</v>
      </c>
      <c r="I122" s="10"/>
      <c r="J122" s="9"/>
      <c r="K122" s="66">
        <v>116432.9</v>
      </c>
    </row>
    <row r="123" spans="1:11" ht="12.75" x14ac:dyDescent="0.2">
      <c r="A123" s="86" t="s">
        <v>1384</v>
      </c>
      <c r="B123" s="85" t="s">
        <v>1383</v>
      </c>
      <c r="C123" s="84">
        <f>+Tabla13[[#This Row],[Columna6]]/Tabla13[[#This Row],[Columna5]]</f>
        <v>163006.06</v>
      </c>
      <c r="D123" s="84">
        <f>+Tabla13[[#This Row],[PRECIO INSTALADOR (IVA INCLUIDO)]]-F123</f>
        <v>154855.75699999998</v>
      </c>
      <c r="E123" s="84">
        <f>+Tabla13[[#This Row],[PRECIO INSTALADOR (IVA INCLUIDO)]]/0.7</f>
        <v>232865.80000000002</v>
      </c>
      <c r="F123" s="83">
        <f>+Tabla13[[#This Row],[PRECIO INSTALADOR (IVA INCLUIDO)]]*5%</f>
        <v>8150.3029999999999</v>
      </c>
      <c r="G123" s="12">
        <v>0.85</v>
      </c>
      <c r="H123" s="11">
        <f>Tabla13[[#This Row],[COSTO]]*1.19</f>
        <v>138555.15099999998</v>
      </c>
      <c r="I123" s="10"/>
      <c r="J123" s="9"/>
      <c r="K123" s="66">
        <v>116432.9</v>
      </c>
    </row>
    <row r="124" spans="1:11" ht="12.75" x14ac:dyDescent="0.2">
      <c r="A124" s="113"/>
      <c r="B124" s="112" t="s">
        <v>1382</v>
      </c>
      <c r="C124" s="111"/>
      <c r="D124" s="111"/>
      <c r="E124" s="111"/>
      <c r="F124" s="110">
        <f>+Tabla13[[#This Row],[PRECIO INSTALADOR (IVA INCLUIDO)]]*5%</f>
        <v>0</v>
      </c>
      <c r="G124" s="12">
        <v>0.85</v>
      </c>
      <c r="H124" s="11">
        <f>Tabla13[[#This Row],[COSTO]]*1.19</f>
        <v>0</v>
      </c>
      <c r="I124" s="10"/>
      <c r="J124" s="9"/>
      <c r="K124" s="66"/>
    </row>
    <row r="125" spans="1:11" ht="12.75" x14ac:dyDescent="0.2">
      <c r="A125" s="86" t="s">
        <v>1381</v>
      </c>
      <c r="B125" s="85" t="s">
        <v>1380</v>
      </c>
      <c r="C125" s="84">
        <f>+Tabla13[[#This Row],[Columna6]]/Tabla13[[#This Row],[Columna5]]</f>
        <v>76726.86</v>
      </c>
      <c r="D125" s="84">
        <f>+Tabla13[[#This Row],[PRECIO INSTALADOR (IVA INCLUIDO)]]-F125</f>
        <v>72890.517000000007</v>
      </c>
      <c r="E125" s="84">
        <f>+Tabla13[[#This Row],[PRECIO INSTALADOR (IVA INCLUIDO)]]/0.7</f>
        <v>109609.8</v>
      </c>
      <c r="F125" s="83">
        <f>+Tabla13[[#This Row],[PRECIO INSTALADOR (IVA INCLUIDO)]]*5%</f>
        <v>3836.3430000000003</v>
      </c>
      <c r="G125" s="12">
        <v>0.85</v>
      </c>
      <c r="H125" s="11">
        <f>Tabla13[[#This Row],[COSTO]]*1.19</f>
        <v>65217.830999999998</v>
      </c>
      <c r="I125" s="10"/>
      <c r="J125" s="9"/>
      <c r="K125" s="66">
        <v>54804.9</v>
      </c>
    </row>
    <row r="126" spans="1:11" ht="12.75" x14ac:dyDescent="0.2">
      <c r="A126" s="113"/>
      <c r="B126" s="112" t="s">
        <v>1379</v>
      </c>
      <c r="C126" s="111"/>
      <c r="D126" s="111"/>
      <c r="E126" s="111"/>
      <c r="F126" s="110">
        <f>+Tabla13[[#This Row],[PRECIO INSTALADOR (IVA INCLUIDO)]]*5%</f>
        <v>0</v>
      </c>
      <c r="G126" s="12">
        <v>0.85</v>
      </c>
      <c r="H126" s="11">
        <f>Tabla13[[#This Row],[COSTO]]*1.19</f>
        <v>0</v>
      </c>
      <c r="I126" s="10"/>
      <c r="J126" s="9"/>
      <c r="K126" s="66"/>
    </row>
    <row r="127" spans="1:11" ht="12.75" x14ac:dyDescent="0.2">
      <c r="A127" s="86" t="s">
        <v>1378</v>
      </c>
      <c r="B127" s="85" t="s">
        <v>1377</v>
      </c>
      <c r="C127" s="84">
        <f>+Tabla13[[#This Row],[Columna6]]/Tabla13[[#This Row],[Columna5]]</f>
        <v>151177.46</v>
      </c>
      <c r="D127" s="84">
        <f>+Tabla13[[#This Row],[PRECIO INSTALADOR (IVA INCLUIDO)]]-F127</f>
        <v>143618.587</v>
      </c>
      <c r="E127" s="84">
        <f>+Tabla13[[#This Row],[PRECIO INSTALADOR (IVA INCLUIDO)]]/0.7</f>
        <v>215967.8</v>
      </c>
      <c r="F127" s="83">
        <f>+Tabla13[[#This Row],[PRECIO INSTALADOR (IVA INCLUIDO)]]*5%</f>
        <v>7558.8729999999996</v>
      </c>
      <c r="G127" s="12">
        <v>0.85</v>
      </c>
      <c r="H127" s="11">
        <f>Tabla13[[#This Row],[COSTO]]*1.19</f>
        <v>128500.84099999999</v>
      </c>
      <c r="I127" s="10"/>
      <c r="J127" s="9"/>
      <c r="K127" s="66">
        <v>107983.9</v>
      </c>
    </row>
    <row r="128" spans="1:11" ht="12.75" x14ac:dyDescent="0.2">
      <c r="A128" s="86" t="s">
        <v>1376</v>
      </c>
      <c r="B128" s="85" t="s">
        <v>1375</v>
      </c>
      <c r="C128" s="84">
        <f>+Tabla13[[#This Row],[Columna6]]/Tabla13[[#This Row],[Columna5]]</f>
        <v>151177.46</v>
      </c>
      <c r="D128" s="84">
        <f>+Tabla13[[#This Row],[PRECIO INSTALADOR (IVA INCLUIDO)]]-F128</f>
        <v>143618.587</v>
      </c>
      <c r="E128" s="84">
        <f>+Tabla13[[#This Row],[PRECIO INSTALADOR (IVA INCLUIDO)]]/0.7</f>
        <v>215967.8</v>
      </c>
      <c r="F128" s="83">
        <f>+Tabla13[[#This Row],[PRECIO INSTALADOR (IVA INCLUIDO)]]*5%</f>
        <v>7558.8729999999996</v>
      </c>
      <c r="G128" s="12">
        <v>0.85</v>
      </c>
      <c r="H128" s="11">
        <f>Tabla13[[#This Row],[COSTO]]*1.19</f>
        <v>128500.84099999999</v>
      </c>
      <c r="I128" s="10"/>
      <c r="J128" s="9"/>
      <c r="K128" s="66">
        <v>107983.9</v>
      </c>
    </row>
    <row r="129" spans="1:11" ht="12.75" x14ac:dyDescent="0.2">
      <c r="A129" s="113"/>
      <c r="B129" s="112" t="s">
        <v>1370</v>
      </c>
      <c r="C129" s="127"/>
      <c r="D129" s="127"/>
      <c r="E129" s="127"/>
      <c r="F129" s="126">
        <f>+Tabla13[[#This Row],[PRECIO INSTALADOR (IVA INCLUIDO)]]*5%</f>
        <v>0</v>
      </c>
      <c r="G129" s="12">
        <v>0.85</v>
      </c>
      <c r="H129" s="11">
        <f>Tabla13[[#This Row],[COSTO]]*1.19</f>
        <v>0</v>
      </c>
      <c r="I129" s="10"/>
      <c r="J129" s="9"/>
      <c r="K129" s="66"/>
    </row>
    <row r="130" spans="1:11" ht="12.75" x14ac:dyDescent="0.2">
      <c r="A130" s="120" t="s">
        <v>1374</v>
      </c>
      <c r="B130" s="85" t="s">
        <v>1373</v>
      </c>
      <c r="C130" s="84">
        <f>+Tabla13[[#This Row],[Columna6]]/Tabla13[[#This Row],[Columna5]]</f>
        <v>87362.66</v>
      </c>
      <c r="D130" s="84">
        <f>+Tabla13[[#This Row],[PRECIO INSTALADOR (IVA INCLUIDO)]]-F130</f>
        <v>82994.527000000002</v>
      </c>
      <c r="E130" s="84">
        <f>+Tabla13[[#This Row],[PRECIO INSTALADOR (IVA INCLUIDO)]]/0.7</f>
        <v>124803.80000000002</v>
      </c>
      <c r="F130" s="83">
        <f>+Tabla13[[#This Row],[PRECIO INSTALADOR (IVA INCLUIDO)]]*5%</f>
        <v>4368.1330000000007</v>
      </c>
      <c r="G130" s="12">
        <v>0.85</v>
      </c>
      <c r="H130" s="11">
        <f>Tabla13[[#This Row],[COSTO]]*1.19</f>
        <v>74258.260999999999</v>
      </c>
      <c r="I130" s="10"/>
      <c r="J130" s="9"/>
      <c r="K130" s="66">
        <v>62401.9</v>
      </c>
    </row>
    <row r="131" spans="1:11" ht="12.75" x14ac:dyDescent="0.2">
      <c r="A131" s="120" t="s">
        <v>1372</v>
      </c>
      <c r="B131" s="85" t="s">
        <v>1371</v>
      </c>
      <c r="C131" s="84">
        <f>+Tabla13[[#This Row],[Columna6]]/Tabla13[[#This Row],[Columna5]]</f>
        <v>87362.66</v>
      </c>
      <c r="D131" s="84">
        <f>+Tabla13[[#This Row],[PRECIO INSTALADOR (IVA INCLUIDO)]]-F131</f>
        <v>82994.527000000002</v>
      </c>
      <c r="E131" s="84">
        <f>+Tabla13[[#This Row],[PRECIO INSTALADOR (IVA INCLUIDO)]]/0.7</f>
        <v>124803.80000000002</v>
      </c>
      <c r="F131" s="83">
        <f>+Tabla13[[#This Row],[PRECIO INSTALADOR (IVA INCLUIDO)]]*5%</f>
        <v>4368.1330000000007</v>
      </c>
      <c r="G131" s="12">
        <v>0.85</v>
      </c>
      <c r="H131" s="11">
        <f>Tabla13[[#This Row],[COSTO]]*1.19</f>
        <v>74258.260999999999</v>
      </c>
      <c r="I131" s="10"/>
      <c r="J131" s="9"/>
      <c r="K131" s="66">
        <v>62401.9</v>
      </c>
    </row>
    <row r="132" spans="1:11" ht="12.75" x14ac:dyDescent="0.2">
      <c r="A132" s="113"/>
      <c r="B132" s="112" t="s">
        <v>1370</v>
      </c>
      <c r="C132" s="127"/>
      <c r="D132" s="127"/>
      <c r="E132" s="127"/>
      <c r="F132" s="126">
        <f>+Tabla13[[#This Row],[PRECIO INSTALADOR (IVA INCLUIDO)]]*5%</f>
        <v>0</v>
      </c>
      <c r="G132" s="12">
        <v>0.85</v>
      </c>
      <c r="H132" s="11">
        <f>Tabla13[[#This Row],[COSTO]]*1.19</f>
        <v>0</v>
      </c>
      <c r="I132" s="10"/>
      <c r="J132" s="9"/>
      <c r="K132" s="66"/>
    </row>
    <row r="133" spans="1:11" ht="12.75" x14ac:dyDescent="0.2">
      <c r="A133" s="86" t="s">
        <v>1369</v>
      </c>
      <c r="B133" s="85" t="s">
        <v>1368</v>
      </c>
      <c r="C133" s="130">
        <f>+Tabla13[[#This Row],[Columna6]]/Tabla13[[#This Row],[Columna5]]</f>
        <v>74440.66</v>
      </c>
      <c r="D133" s="130">
        <f>+Tabla13[[#This Row],[PRECIO INSTALADOR (IVA INCLUIDO)]]-F133</f>
        <v>70718.627000000008</v>
      </c>
      <c r="E133" s="130">
        <f>+Tabla13[[#This Row],[PRECIO INSTALADOR (IVA INCLUIDO)]]/0.7</f>
        <v>106343.80000000002</v>
      </c>
      <c r="F133" s="129">
        <f>+Tabla13[[#This Row],[PRECIO INSTALADOR (IVA INCLUIDO)]]*5%</f>
        <v>3722.0330000000004</v>
      </c>
      <c r="G133" s="12">
        <v>0.85</v>
      </c>
      <c r="H133" s="11">
        <f>Tabla13[[#This Row],[COSTO]]*1.19</f>
        <v>63274.561000000002</v>
      </c>
      <c r="I133" s="10"/>
      <c r="J133" s="9"/>
      <c r="K133" s="66">
        <v>53171.9</v>
      </c>
    </row>
    <row r="134" spans="1:11" ht="12.75" x14ac:dyDescent="0.2">
      <c r="A134" s="86" t="s">
        <v>1367</v>
      </c>
      <c r="B134" s="85" t="s">
        <v>1366</v>
      </c>
      <c r="C134" s="130">
        <f>+Tabla13[[#This Row],[Columna6]]/Tabla13[[#This Row],[Columna5]]</f>
        <v>74440.66</v>
      </c>
      <c r="D134" s="130">
        <f>+Tabla13[[#This Row],[PRECIO INSTALADOR (IVA INCLUIDO)]]-F134</f>
        <v>70718.627000000008</v>
      </c>
      <c r="E134" s="130">
        <f>+Tabla13[[#This Row],[PRECIO INSTALADOR (IVA INCLUIDO)]]/0.7</f>
        <v>106343.80000000002</v>
      </c>
      <c r="F134" s="129">
        <f>+Tabla13[[#This Row],[PRECIO INSTALADOR (IVA INCLUIDO)]]*5%</f>
        <v>3722.0330000000004</v>
      </c>
      <c r="G134" s="12">
        <v>0.85</v>
      </c>
      <c r="H134" s="11">
        <f>Tabla13[[#This Row],[COSTO]]*1.19</f>
        <v>63274.561000000002</v>
      </c>
      <c r="I134" s="10"/>
      <c r="J134" s="9"/>
      <c r="K134" s="66">
        <v>53171.9</v>
      </c>
    </row>
    <row r="135" spans="1:11" ht="12.75" x14ac:dyDescent="0.2">
      <c r="A135" s="128"/>
      <c r="B135" s="112" t="s">
        <v>1365</v>
      </c>
      <c r="C135" s="127"/>
      <c r="D135" s="127"/>
      <c r="E135" s="127"/>
      <c r="F135" s="126">
        <f>+Tabla13[[#This Row],[PRECIO INSTALADOR (IVA INCLUIDO)]]*5%</f>
        <v>0</v>
      </c>
      <c r="G135" s="12">
        <v>0.85</v>
      </c>
      <c r="H135" s="11">
        <f>Tabla13[[#This Row],[COSTO]]*1.19</f>
        <v>0</v>
      </c>
      <c r="I135" s="10"/>
      <c r="J135" s="9"/>
      <c r="K135" s="66"/>
    </row>
    <row r="136" spans="1:11" ht="13.5" x14ac:dyDescent="0.2">
      <c r="A136" s="38" t="s">
        <v>1364</v>
      </c>
      <c r="B136" s="49" t="s">
        <v>1363</v>
      </c>
      <c r="C136" s="51">
        <f>+Tabla13[[#This Row],[Columna6]]/Tabla13[[#This Row],[Columna5]]</f>
        <v>1058500.6599999999</v>
      </c>
      <c r="D136" s="51">
        <f>+Tabla13[[#This Row],[PRECIO INSTALADOR (IVA INCLUIDO)]]-F136</f>
        <v>1005575.6269999999</v>
      </c>
      <c r="E136" s="51">
        <f>+Tabla13[[#This Row],[PRECIO INSTALADOR (IVA INCLUIDO)]]/0.7</f>
        <v>1512143.8</v>
      </c>
      <c r="F136" s="50">
        <f>+Tabla13[[#This Row],[PRECIO INSTALADOR (IVA INCLUIDO)]]*5%</f>
        <v>52925.032999999996</v>
      </c>
      <c r="G136" s="12">
        <v>0.85</v>
      </c>
      <c r="H136" s="11">
        <f>Tabla13[[#This Row],[COSTO]]*1.19</f>
        <v>899725.56099999999</v>
      </c>
      <c r="I136" s="10"/>
      <c r="J136" s="9"/>
      <c r="K136" s="66">
        <v>756071.9</v>
      </c>
    </row>
    <row r="137" spans="1:11" ht="13.5" x14ac:dyDescent="0.2">
      <c r="A137" s="38" t="s">
        <v>1362</v>
      </c>
      <c r="B137" s="49" t="s">
        <v>1361</v>
      </c>
      <c r="C137" s="51">
        <f>+Tabla13[[#This Row],[Columna6]]/Tabla13[[#This Row],[Columna5]]</f>
        <v>1058500.6599999999</v>
      </c>
      <c r="D137" s="51">
        <f>+Tabla13[[#This Row],[PRECIO INSTALADOR (IVA INCLUIDO)]]-F137</f>
        <v>1005575.6269999999</v>
      </c>
      <c r="E137" s="51">
        <f>+Tabla13[[#This Row],[PRECIO INSTALADOR (IVA INCLUIDO)]]/0.7</f>
        <v>1512143.8</v>
      </c>
      <c r="F137" s="50">
        <f>+Tabla13[[#This Row],[PRECIO INSTALADOR (IVA INCLUIDO)]]*5%</f>
        <v>52925.032999999996</v>
      </c>
      <c r="G137" s="12">
        <v>0.85</v>
      </c>
      <c r="H137" s="11">
        <f>Tabla13[[#This Row],[COSTO]]*1.19</f>
        <v>899725.56099999999</v>
      </c>
      <c r="I137" s="10"/>
      <c r="J137" s="9"/>
      <c r="K137" s="66">
        <v>756071.9</v>
      </c>
    </row>
    <row r="138" spans="1:11" ht="13.5" x14ac:dyDescent="0.2">
      <c r="A138" s="125" t="s">
        <v>1360</v>
      </c>
      <c r="B138" s="49" t="s">
        <v>1359</v>
      </c>
      <c r="C138" s="51">
        <f>+Tabla13[[#This Row],[Columna6]]/Tabla13[[#This Row],[Columna5]]</f>
        <v>1058500.6599999999</v>
      </c>
      <c r="D138" s="51">
        <f>+Tabla13[[#This Row],[PRECIO INSTALADOR (IVA INCLUIDO)]]-F138</f>
        <v>1005575.6269999999</v>
      </c>
      <c r="E138" s="51">
        <f>+Tabla13[[#This Row],[PRECIO INSTALADOR (IVA INCLUIDO)]]/0.7</f>
        <v>1512143.8</v>
      </c>
      <c r="F138" s="50">
        <f>+Tabla13[[#This Row],[PRECIO INSTALADOR (IVA INCLUIDO)]]*5%</f>
        <v>52925.032999999996</v>
      </c>
      <c r="G138" s="12">
        <v>0.85</v>
      </c>
      <c r="H138" s="11">
        <f>Tabla13[[#This Row],[COSTO]]*1.19</f>
        <v>899725.56099999999</v>
      </c>
      <c r="I138" s="10"/>
      <c r="J138" s="9"/>
      <c r="K138" s="66">
        <v>756071.9</v>
      </c>
    </row>
    <row r="139" spans="1:11" ht="13.5" x14ac:dyDescent="0.2">
      <c r="A139" s="125" t="s">
        <v>1358</v>
      </c>
      <c r="B139" s="49" t="s">
        <v>1357</v>
      </c>
      <c r="C139" s="51">
        <f>+Tabla13[[#This Row],[Columna6]]/Tabla13[[#This Row],[Columna5]]</f>
        <v>1058500.6599999999</v>
      </c>
      <c r="D139" s="51">
        <f>+Tabla13[[#This Row],[PRECIO INSTALADOR (IVA INCLUIDO)]]-F139</f>
        <v>1005575.6269999999</v>
      </c>
      <c r="E139" s="51">
        <f>+Tabla13[[#This Row],[PRECIO INSTALADOR (IVA INCLUIDO)]]/0.7</f>
        <v>1512143.8</v>
      </c>
      <c r="F139" s="50">
        <f>+Tabla13[[#This Row],[PRECIO INSTALADOR (IVA INCLUIDO)]]*5%</f>
        <v>52925.032999999996</v>
      </c>
      <c r="G139" s="12">
        <v>0.85</v>
      </c>
      <c r="H139" s="11">
        <f>Tabla13[[#This Row],[COSTO]]*1.19</f>
        <v>899725.56099999999</v>
      </c>
      <c r="I139" s="10"/>
      <c r="J139" s="9"/>
      <c r="K139" s="66">
        <v>756071.9</v>
      </c>
    </row>
    <row r="140" spans="1:11" ht="13.5" x14ac:dyDescent="0.2">
      <c r="A140" s="38" t="s">
        <v>1356</v>
      </c>
      <c r="B140" s="49" t="s">
        <v>1355</v>
      </c>
      <c r="C140" s="51">
        <f>+Tabla13[[#This Row],[Columna6]]/Tabla13[[#This Row],[Columna5]]</f>
        <v>519255.66</v>
      </c>
      <c r="D140" s="51">
        <f>+Tabla13[[#This Row],[PRECIO INSTALADOR (IVA INCLUIDO)]]-F140</f>
        <v>493292.87699999998</v>
      </c>
      <c r="E140" s="51">
        <f>+Tabla13[[#This Row],[PRECIO INSTALADOR (IVA INCLUIDO)]]/0.7</f>
        <v>741793.8</v>
      </c>
      <c r="F140" s="50">
        <f>+Tabla13[[#This Row],[PRECIO INSTALADOR (IVA INCLUIDO)]]*5%</f>
        <v>25962.782999999999</v>
      </c>
      <c r="G140" s="12">
        <v>0.85</v>
      </c>
      <c r="H140" s="11">
        <f>Tabla13[[#This Row],[COSTO]]*1.19</f>
        <v>441367.31099999999</v>
      </c>
      <c r="I140" s="10"/>
      <c r="J140" s="9"/>
      <c r="K140" s="66">
        <v>370896.9</v>
      </c>
    </row>
    <row r="141" spans="1:11" ht="13.5" x14ac:dyDescent="0.2">
      <c r="A141" s="38" t="s">
        <v>1354</v>
      </c>
      <c r="B141" s="49" t="s">
        <v>1353</v>
      </c>
      <c r="C141" s="51">
        <f>+Tabla13[[#This Row],[Columna6]]/Tabla13[[#This Row],[Columna5]]</f>
        <v>519255.66</v>
      </c>
      <c r="D141" s="51">
        <f>+Tabla13[[#This Row],[PRECIO INSTALADOR (IVA INCLUIDO)]]-F141</f>
        <v>493292.87699999998</v>
      </c>
      <c r="E141" s="51">
        <f>+Tabla13[[#This Row],[PRECIO INSTALADOR (IVA INCLUIDO)]]/0.7</f>
        <v>741793.8</v>
      </c>
      <c r="F141" s="50">
        <f>+Tabla13[[#This Row],[PRECIO INSTALADOR (IVA INCLUIDO)]]*5%</f>
        <v>25962.782999999999</v>
      </c>
      <c r="G141" s="12">
        <v>0.85</v>
      </c>
      <c r="H141" s="11">
        <f>Tabla13[[#This Row],[COSTO]]*1.19</f>
        <v>441367.31099999999</v>
      </c>
      <c r="I141" s="10"/>
      <c r="J141" s="9"/>
      <c r="K141" s="66">
        <v>370896.9</v>
      </c>
    </row>
    <row r="142" spans="1:11" ht="13.5" x14ac:dyDescent="0.2">
      <c r="A142" s="38" t="s">
        <v>1352</v>
      </c>
      <c r="B142" s="49" t="s">
        <v>1351</v>
      </c>
      <c r="C142" s="51">
        <f>+Tabla13[[#This Row],[Columna6]]/Tabla13[[#This Row],[Columna5]]</f>
        <v>499176.86000000004</v>
      </c>
      <c r="D142" s="51">
        <f>+Tabla13[[#This Row],[PRECIO INSTALADOR (IVA INCLUIDO)]]-F142</f>
        <v>474218.01700000005</v>
      </c>
      <c r="E142" s="51">
        <f>+Tabla13[[#This Row],[PRECIO INSTALADOR (IVA INCLUIDO)]]/0.7</f>
        <v>713109.80000000016</v>
      </c>
      <c r="F142" s="50">
        <f>+Tabla13[[#This Row],[PRECIO INSTALADOR (IVA INCLUIDO)]]*5%</f>
        <v>24958.843000000004</v>
      </c>
      <c r="G142" s="12">
        <v>0.85</v>
      </c>
      <c r="H142" s="11">
        <f>Tabla13[[#This Row],[COSTO]]*1.19</f>
        <v>424300.33100000001</v>
      </c>
      <c r="I142" s="10"/>
      <c r="J142" s="9"/>
      <c r="K142" s="66">
        <v>356554.9</v>
      </c>
    </row>
    <row r="143" spans="1:11" ht="13.5" x14ac:dyDescent="0.2">
      <c r="A143" s="38" t="s">
        <v>1350</v>
      </c>
      <c r="B143" s="49" t="s">
        <v>1349</v>
      </c>
      <c r="C143" s="51">
        <f>+Tabla13[[#This Row],[Columna6]]/Tabla13[[#This Row],[Columna5]]</f>
        <v>499176.86000000004</v>
      </c>
      <c r="D143" s="51">
        <f>+Tabla13[[#This Row],[PRECIO INSTALADOR (IVA INCLUIDO)]]-F143</f>
        <v>474218.01700000005</v>
      </c>
      <c r="E143" s="51">
        <f>+Tabla13[[#This Row],[PRECIO INSTALADOR (IVA INCLUIDO)]]/0.7</f>
        <v>713109.80000000016</v>
      </c>
      <c r="F143" s="50">
        <f>+Tabla13[[#This Row],[PRECIO INSTALADOR (IVA INCLUIDO)]]*5%</f>
        <v>24958.843000000004</v>
      </c>
      <c r="G143" s="12">
        <v>0.85</v>
      </c>
      <c r="H143" s="11">
        <f>Tabla13[[#This Row],[COSTO]]*1.19</f>
        <v>424300.33100000001</v>
      </c>
      <c r="I143" s="10"/>
      <c r="J143" s="9"/>
      <c r="K143" s="66">
        <v>356554.9</v>
      </c>
    </row>
    <row r="144" spans="1:11" ht="13.5" x14ac:dyDescent="0.2">
      <c r="A144" s="38" t="s">
        <v>1348</v>
      </c>
      <c r="B144" s="49" t="s">
        <v>1347</v>
      </c>
      <c r="C144" s="51">
        <f>+Tabla13[[#This Row],[Columna6]]/Tabla13[[#This Row],[Columna5]]</f>
        <v>402659.46</v>
      </c>
      <c r="D144" s="51">
        <f>+Tabla13[[#This Row],[PRECIO INSTALADOR (IVA INCLUIDO)]]-F144</f>
        <v>382526.48700000002</v>
      </c>
      <c r="E144" s="51">
        <f>+Tabla13[[#This Row],[PRECIO INSTALADOR (IVA INCLUIDO)]]/0.7</f>
        <v>575227.80000000005</v>
      </c>
      <c r="F144" s="50">
        <f>+Tabla13[[#This Row],[PRECIO INSTALADOR (IVA INCLUIDO)]]*5%</f>
        <v>20132.973000000002</v>
      </c>
      <c r="G144" s="12">
        <v>0.85</v>
      </c>
      <c r="H144" s="11">
        <f>Tabla13[[#This Row],[COSTO]]*1.19</f>
        <v>342260.54100000003</v>
      </c>
      <c r="I144" s="10"/>
      <c r="J144" s="9"/>
      <c r="K144" s="66">
        <v>287613.90000000002</v>
      </c>
    </row>
    <row r="145" spans="1:11" ht="13.5" x14ac:dyDescent="0.2">
      <c r="A145" s="38" t="s">
        <v>1346</v>
      </c>
      <c r="B145" s="49" t="s">
        <v>1345</v>
      </c>
      <c r="C145" s="51">
        <f>+Tabla13[[#This Row],[Columna6]]/Tabla13[[#This Row],[Columna5]]</f>
        <v>402659.46</v>
      </c>
      <c r="D145" s="51">
        <f>+Tabla13[[#This Row],[PRECIO INSTALADOR (IVA INCLUIDO)]]-F145</f>
        <v>382526.48700000002</v>
      </c>
      <c r="E145" s="51">
        <f>+Tabla13[[#This Row],[PRECIO INSTALADOR (IVA INCLUIDO)]]/0.7</f>
        <v>575227.80000000005</v>
      </c>
      <c r="F145" s="50">
        <f>+Tabla13[[#This Row],[PRECIO INSTALADOR (IVA INCLUIDO)]]*5%</f>
        <v>20132.973000000002</v>
      </c>
      <c r="G145" s="12">
        <v>0.85</v>
      </c>
      <c r="H145" s="11">
        <f>Tabla13[[#This Row],[COSTO]]*1.19</f>
        <v>342260.54100000003</v>
      </c>
      <c r="I145" s="10"/>
      <c r="J145" s="9"/>
      <c r="K145" s="66">
        <v>287613.90000000002</v>
      </c>
    </row>
    <row r="146" spans="1:11" ht="13.5" x14ac:dyDescent="0.2">
      <c r="A146" s="38" t="s">
        <v>1344</v>
      </c>
      <c r="B146" s="49" t="s">
        <v>1343</v>
      </c>
      <c r="C146" s="51">
        <f>+Tabla13[[#This Row],[Columna6]]/Tabla13[[#This Row],[Columna5]]</f>
        <v>402659.46</v>
      </c>
      <c r="D146" s="51">
        <f>+Tabla13[[#This Row],[PRECIO INSTALADOR (IVA INCLUIDO)]]-F146</f>
        <v>382526.48700000002</v>
      </c>
      <c r="E146" s="51">
        <f>+Tabla13[[#This Row],[PRECIO INSTALADOR (IVA INCLUIDO)]]/0.7</f>
        <v>575227.80000000005</v>
      </c>
      <c r="F146" s="50">
        <f>+Tabla13[[#This Row],[PRECIO INSTALADOR (IVA INCLUIDO)]]*5%</f>
        <v>20132.973000000002</v>
      </c>
      <c r="G146" s="12">
        <v>0.85</v>
      </c>
      <c r="H146" s="11">
        <f>Tabla13[[#This Row],[COSTO]]*1.19</f>
        <v>342260.54100000003</v>
      </c>
      <c r="I146" s="10"/>
      <c r="J146" s="9"/>
      <c r="K146" s="66">
        <v>287613.90000000002</v>
      </c>
    </row>
    <row r="147" spans="1:11" ht="13.5" x14ac:dyDescent="0.2">
      <c r="A147" s="38" t="s">
        <v>1342</v>
      </c>
      <c r="B147" s="49" t="s">
        <v>1341</v>
      </c>
      <c r="C147" s="51">
        <f>+Tabla13[[#This Row],[Columna6]]/Tabla13[[#This Row],[Columna5]]</f>
        <v>402659.46</v>
      </c>
      <c r="D147" s="51">
        <f>+Tabla13[[#This Row],[PRECIO INSTALADOR (IVA INCLUIDO)]]-F147</f>
        <v>382526.48700000002</v>
      </c>
      <c r="E147" s="51">
        <f>+Tabla13[[#This Row],[PRECIO INSTALADOR (IVA INCLUIDO)]]/0.7</f>
        <v>575227.80000000005</v>
      </c>
      <c r="F147" s="50">
        <f>+Tabla13[[#This Row],[PRECIO INSTALADOR (IVA INCLUIDO)]]*5%</f>
        <v>20132.973000000002</v>
      </c>
      <c r="G147" s="12">
        <v>0.85</v>
      </c>
      <c r="H147" s="11">
        <f>Tabla13[[#This Row],[COSTO]]*1.19</f>
        <v>342260.54100000003</v>
      </c>
      <c r="I147" s="10"/>
      <c r="J147" s="9"/>
      <c r="K147" s="66">
        <v>287613.90000000002</v>
      </c>
    </row>
    <row r="148" spans="1:11" ht="13.5" x14ac:dyDescent="0.2">
      <c r="A148" s="38" t="s">
        <v>1340</v>
      </c>
      <c r="B148" s="49" t="s">
        <v>1339</v>
      </c>
      <c r="C148" s="51">
        <f>+Tabla13[[#This Row],[Columna6]]/Tabla13[[#This Row],[Columna5]]</f>
        <v>286759.06</v>
      </c>
      <c r="D148" s="51">
        <f>+Tabla13[[#This Row],[PRECIO INSTALADOR (IVA INCLUIDO)]]-F148</f>
        <v>272421.10700000002</v>
      </c>
      <c r="E148" s="51">
        <f>+Tabla13[[#This Row],[PRECIO INSTALADOR (IVA INCLUIDO)]]/0.7</f>
        <v>409655.80000000005</v>
      </c>
      <c r="F148" s="50">
        <f>+Tabla13[[#This Row],[PRECIO INSTALADOR (IVA INCLUIDO)]]*5%</f>
        <v>14337.953000000001</v>
      </c>
      <c r="G148" s="12">
        <v>0.85</v>
      </c>
      <c r="H148" s="11">
        <f>Tabla13[[#This Row],[COSTO]]*1.19</f>
        <v>243745.20099999997</v>
      </c>
      <c r="I148" s="10"/>
      <c r="J148" s="9"/>
      <c r="K148" s="66">
        <v>204827.9</v>
      </c>
    </row>
    <row r="149" spans="1:11" ht="13.5" x14ac:dyDescent="0.2">
      <c r="A149" s="38" t="s">
        <v>1338</v>
      </c>
      <c r="B149" s="49" t="s">
        <v>1337</v>
      </c>
      <c r="C149" s="51">
        <f>+Tabla13[[#This Row],[Columna6]]/Tabla13[[#This Row],[Columna5]]</f>
        <v>286759.06</v>
      </c>
      <c r="D149" s="51">
        <f>+Tabla13[[#This Row],[PRECIO INSTALADOR (IVA INCLUIDO)]]-F149</f>
        <v>272421.10700000002</v>
      </c>
      <c r="E149" s="51">
        <f>+Tabla13[[#This Row],[PRECIO INSTALADOR (IVA INCLUIDO)]]/0.7</f>
        <v>409655.80000000005</v>
      </c>
      <c r="F149" s="50">
        <f>+Tabla13[[#This Row],[PRECIO INSTALADOR (IVA INCLUIDO)]]*5%</f>
        <v>14337.953000000001</v>
      </c>
      <c r="G149" s="12">
        <v>0.85</v>
      </c>
      <c r="H149" s="11">
        <f>Tabla13[[#This Row],[COSTO]]*1.19</f>
        <v>243745.20099999997</v>
      </c>
      <c r="I149" s="10"/>
      <c r="J149" s="9"/>
      <c r="K149" s="66">
        <v>204827.9</v>
      </c>
    </row>
    <row r="150" spans="1:11" ht="13.5" x14ac:dyDescent="0.2">
      <c r="A150" s="38" t="s">
        <v>1336</v>
      </c>
      <c r="B150" s="49" t="s">
        <v>1335</v>
      </c>
      <c r="C150" s="51">
        <f>+Tabla13[[#This Row],[Columna6]]/Tabla13[[#This Row],[Columna5]]</f>
        <v>287057.25999999995</v>
      </c>
      <c r="D150" s="51">
        <f>+Tabla13[[#This Row],[PRECIO INSTALADOR (IVA INCLUIDO)]]-F150</f>
        <v>272704.39699999994</v>
      </c>
      <c r="E150" s="51">
        <f>+Tabla13[[#This Row],[PRECIO INSTALADOR (IVA INCLUIDO)]]/0.7</f>
        <v>410081.79999999993</v>
      </c>
      <c r="F150" s="50">
        <f>+Tabla13[[#This Row],[PRECIO INSTALADOR (IVA INCLUIDO)]]*5%</f>
        <v>14352.862999999998</v>
      </c>
      <c r="G150" s="12">
        <v>0.85</v>
      </c>
      <c r="H150" s="11">
        <f>Tabla13[[#This Row],[COSTO]]*1.19</f>
        <v>243998.67099999997</v>
      </c>
      <c r="I150" s="10"/>
      <c r="J150" s="9"/>
      <c r="K150" s="66">
        <v>205040.9</v>
      </c>
    </row>
    <row r="151" spans="1:11" ht="13.5" x14ac:dyDescent="0.2">
      <c r="A151" s="38" t="s">
        <v>1334</v>
      </c>
      <c r="B151" s="49" t="s">
        <v>1333</v>
      </c>
      <c r="C151" s="51">
        <f>+Tabla13[[#This Row],[Columna6]]/Tabla13[[#This Row],[Columna5]]</f>
        <v>287057.25999999995</v>
      </c>
      <c r="D151" s="51">
        <f>+Tabla13[[#This Row],[PRECIO INSTALADOR (IVA INCLUIDO)]]-F151</f>
        <v>272704.39699999994</v>
      </c>
      <c r="E151" s="51">
        <f>+Tabla13[[#This Row],[PRECIO INSTALADOR (IVA INCLUIDO)]]/0.7</f>
        <v>410081.79999999993</v>
      </c>
      <c r="F151" s="50">
        <f>+Tabla13[[#This Row],[PRECIO INSTALADOR (IVA INCLUIDO)]]*5%</f>
        <v>14352.862999999998</v>
      </c>
      <c r="G151" s="12">
        <v>0.85</v>
      </c>
      <c r="H151" s="11">
        <f>Tabla13[[#This Row],[COSTO]]*1.19</f>
        <v>243998.67099999997</v>
      </c>
      <c r="I151" s="10"/>
      <c r="J151" s="9"/>
      <c r="K151" s="66">
        <v>205040.9</v>
      </c>
    </row>
    <row r="152" spans="1:11" ht="13.5" x14ac:dyDescent="0.2">
      <c r="A152" s="38" t="s">
        <v>1332</v>
      </c>
      <c r="B152" s="49" t="s">
        <v>1331</v>
      </c>
      <c r="C152" s="51">
        <f>+Tabla13[[#This Row],[Columna6]]/Tabla13[[#This Row],[Columna5]]</f>
        <v>295506.26</v>
      </c>
      <c r="D152" s="51">
        <f>+Tabla13[[#This Row],[PRECIO INSTALADOR (IVA INCLUIDO)]]-F152</f>
        <v>280730.94699999999</v>
      </c>
      <c r="E152" s="51">
        <f>+Tabla13[[#This Row],[PRECIO INSTALADOR (IVA INCLUIDO)]]/0.7</f>
        <v>422151.80000000005</v>
      </c>
      <c r="F152" s="50">
        <f>+Tabla13[[#This Row],[PRECIO INSTALADOR (IVA INCLUIDO)]]*5%</f>
        <v>14775.313000000002</v>
      </c>
      <c r="G152" s="12">
        <v>0.85</v>
      </c>
      <c r="H152" s="11">
        <f>Tabla13[[#This Row],[COSTO]]*1.19</f>
        <v>251180.321</v>
      </c>
      <c r="I152" s="10"/>
      <c r="J152" s="9"/>
      <c r="K152" s="66">
        <v>211075.9</v>
      </c>
    </row>
    <row r="153" spans="1:11" ht="13.5" x14ac:dyDescent="0.2">
      <c r="A153" s="38" t="s">
        <v>1330</v>
      </c>
      <c r="B153" s="49" t="s">
        <v>1329</v>
      </c>
      <c r="C153" s="51">
        <f>+Tabla13[[#This Row],[Columna6]]/Tabla13[[#This Row],[Columna5]]</f>
        <v>81398.66</v>
      </c>
      <c r="D153" s="51">
        <f>+Tabla13[[#This Row],[PRECIO INSTALADOR (IVA INCLUIDO)]]-F153</f>
        <v>77328.726999999999</v>
      </c>
      <c r="E153" s="51">
        <f>+Tabla13[[#This Row],[PRECIO INSTALADOR (IVA INCLUIDO)]]/0.7</f>
        <v>116283.80000000002</v>
      </c>
      <c r="F153" s="50">
        <f>+Tabla13[[#This Row],[PRECIO INSTALADOR (IVA INCLUIDO)]]*5%</f>
        <v>4069.9330000000004</v>
      </c>
      <c r="G153" s="12">
        <v>0.85</v>
      </c>
      <c r="H153" s="11">
        <f>Tabla13[[#This Row],[COSTO]]*1.19</f>
        <v>69188.861000000004</v>
      </c>
      <c r="I153" s="10"/>
      <c r="J153" s="9"/>
      <c r="K153" s="66">
        <v>58141.9</v>
      </c>
    </row>
    <row r="154" spans="1:11" ht="12.75" x14ac:dyDescent="0.2">
      <c r="A154" s="105"/>
      <c r="B154" s="104" t="s">
        <v>1328</v>
      </c>
      <c r="C154" s="103"/>
      <c r="D154" s="103"/>
      <c r="E154" s="103"/>
      <c r="F154" s="102">
        <f>+Tabla13[[#This Row],[PRECIO INSTALADOR (IVA INCLUIDO)]]*5%</f>
        <v>0</v>
      </c>
      <c r="G154" s="12">
        <v>0.85</v>
      </c>
      <c r="H154" s="11">
        <f>Tabla13[[#This Row],[COSTO]]*1.19</f>
        <v>0</v>
      </c>
      <c r="I154" s="10"/>
      <c r="J154" s="9"/>
      <c r="K154" s="66"/>
    </row>
    <row r="155" spans="1:11" ht="12.75" x14ac:dyDescent="0.2">
      <c r="A155" s="86" t="s">
        <v>1327</v>
      </c>
      <c r="B155" s="85" t="s">
        <v>1326</v>
      </c>
      <c r="C155" s="84">
        <f>+Tabla13[[#This Row],[Columna6]]/Tabla13[[#This Row],[Columna5]]</f>
        <v>140541.66</v>
      </c>
      <c r="D155" s="84">
        <f>+Tabla13[[#This Row],[PRECIO INSTALADOR (IVA INCLUIDO)]]-F155</f>
        <v>133514.57699999999</v>
      </c>
      <c r="E155" s="84">
        <f>+Tabla13[[#This Row],[PRECIO INSTALADOR (IVA INCLUIDO)]]/0.7</f>
        <v>200773.80000000002</v>
      </c>
      <c r="F155" s="83">
        <f>+Tabla13[[#This Row],[PRECIO INSTALADOR (IVA INCLUIDO)]]*5%</f>
        <v>7027.0830000000005</v>
      </c>
      <c r="G155" s="12">
        <v>0.85</v>
      </c>
      <c r="H155" s="11">
        <f>Tabla13[[#This Row],[COSTO]]*1.19</f>
        <v>119460.41099999999</v>
      </c>
      <c r="I155" s="10"/>
      <c r="J155" s="9"/>
      <c r="K155" s="66">
        <v>100386.9</v>
      </c>
    </row>
    <row r="156" spans="1:11" ht="12.75" x14ac:dyDescent="0.2">
      <c r="A156" s="86" t="s">
        <v>1325</v>
      </c>
      <c r="B156" s="85" t="s">
        <v>1324</v>
      </c>
      <c r="C156" s="84">
        <f>+Tabla13[[#This Row],[Columna6]]/Tabla13[[#This Row],[Columna5]]</f>
        <v>140541.66</v>
      </c>
      <c r="D156" s="84">
        <f>+Tabla13[[#This Row],[PRECIO INSTALADOR (IVA INCLUIDO)]]-F156</f>
        <v>133514.57699999999</v>
      </c>
      <c r="E156" s="84">
        <f>+Tabla13[[#This Row],[PRECIO INSTALADOR (IVA INCLUIDO)]]/0.7</f>
        <v>200773.80000000002</v>
      </c>
      <c r="F156" s="83">
        <f>+Tabla13[[#This Row],[PRECIO INSTALADOR (IVA INCLUIDO)]]*5%</f>
        <v>7027.0830000000005</v>
      </c>
      <c r="G156" s="12">
        <v>0.85</v>
      </c>
      <c r="H156" s="11">
        <f>Tabla13[[#This Row],[COSTO]]*1.19</f>
        <v>119460.41099999999</v>
      </c>
      <c r="I156" s="10"/>
      <c r="J156" s="9"/>
      <c r="K156" s="66">
        <v>100386.9</v>
      </c>
    </row>
    <row r="157" spans="1:11" ht="12.75" x14ac:dyDescent="0.2">
      <c r="A157" s="86" t="s">
        <v>1323</v>
      </c>
      <c r="B157" s="85" t="s">
        <v>1322</v>
      </c>
      <c r="C157" s="84">
        <f>+Tabla13[[#This Row],[Columna6]]/Tabla13[[#This Row],[Columna5]]</f>
        <v>139249.46</v>
      </c>
      <c r="D157" s="84">
        <f>+Tabla13[[#This Row],[PRECIO INSTALADOR (IVA INCLUIDO)]]-F157</f>
        <v>132286.98699999999</v>
      </c>
      <c r="E157" s="84">
        <f>+Tabla13[[#This Row],[PRECIO INSTALADOR (IVA INCLUIDO)]]/0.7</f>
        <v>198927.8</v>
      </c>
      <c r="F157" s="83">
        <f>+Tabla13[[#This Row],[PRECIO INSTALADOR (IVA INCLUIDO)]]*5%</f>
        <v>6962.473</v>
      </c>
      <c r="G157" s="12">
        <v>0.85</v>
      </c>
      <c r="H157" s="11">
        <f>Tabla13[[#This Row],[COSTO]]*1.19</f>
        <v>118362.04099999998</v>
      </c>
      <c r="I157" s="10"/>
      <c r="J157" s="9"/>
      <c r="K157" s="66">
        <v>99463.9</v>
      </c>
    </row>
    <row r="158" spans="1:11" ht="12.75" x14ac:dyDescent="0.2">
      <c r="A158" s="86" t="s">
        <v>1321</v>
      </c>
      <c r="B158" s="85" t="s">
        <v>1320</v>
      </c>
      <c r="C158" s="84">
        <f>+Tabla13[[#This Row],[Columna6]]/Tabla13[[#This Row],[Columna5]]</f>
        <v>139249.46</v>
      </c>
      <c r="D158" s="84">
        <f>+Tabla13[[#This Row],[PRECIO INSTALADOR (IVA INCLUIDO)]]-F158</f>
        <v>132286.98699999999</v>
      </c>
      <c r="E158" s="84">
        <f>+Tabla13[[#This Row],[PRECIO INSTALADOR (IVA INCLUIDO)]]/0.7</f>
        <v>198927.8</v>
      </c>
      <c r="F158" s="83">
        <f>+Tabla13[[#This Row],[PRECIO INSTALADOR (IVA INCLUIDO)]]*5%</f>
        <v>6962.473</v>
      </c>
      <c r="G158" s="12">
        <v>0.85</v>
      </c>
      <c r="H158" s="11">
        <f>Tabla13[[#This Row],[COSTO]]*1.19</f>
        <v>118362.04099999998</v>
      </c>
      <c r="I158" s="10"/>
      <c r="J158" s="9"/>
      <c r="K158" s="66">
        <v>99463.9</v>
      </c>
    </row>
    <row r="159" spans="1:11" ht="12.75" x14ac:dyDescent="0.2">
      <c r="A159" s="86" t="s">
        <v>1319</v>
      </c>
      <c r="B159" s="85" t="s">
        <v>1318</v>
      </c>
      <c r="C159" s="84">
        <f>+Tabla13[[#This Row],[Columna6]]/Tabla13[[#This Row],[Columna5]]</f>
        <v>68476.66</v>
      </c>
      <c r="D159" s="84">
        <f>+Tabla13[[#This Row],[PRECIO INSTALADOR (IVA INCLUIDO)]]-F159</f>
        <v>65052.827000000005</v>
      </c>
      <c r="E159" s="84">
        <f>+Tabla13[[#This Row],[PRECIO INSTALADOR (IVA INCLUIDO)]]/0.7</f>
        <v>97823.800000000017</v>
      </c>
      <c r="F159" s="83">
        <f>+Tabla13[[#This Row],[PRECIO INSTALADOR (IVA INCLUIDO)]]*5%</f>
        <v>3423.8330000000005</v>
      </c>
      <c r="G159" s="12">
        <v>0.85</v>
      </c>
      <c r="H159" s="11">
        <f>Tabla13[[#This Row],[COSTO]]*1.19</f>
        <v>58205.161</v>
      </c>
      <c r="I159" s="10"/>
      <c r="J159" s="9"/>
      <c r="K159" s="66">
        <v>48911.9</v>
      </c>
    </row>
    <row r="160" spans="1:11" ht="12.75" x14ac:dyDescent="0.2">
      <c r="A160" s="86" t="s">
        <v>1317</v>
      </c>
      <c r="B160" s="85" t="s">
        <v>1316</v>
      </c>
      <c r="C160" s="84">
        <f>+Tabla13[[#This Row],[Columna6]]/Tabla13[[#This Row],[Columna5]]</f>
        <v>68476.66</v>
      </c>
      <c r="D160" s="84">
        <f>+Tabla13[[#This Row],[PRECIO INSTALADOR (IVA INCLUIDO)]]-F160</f>
        <v>65052.827000000005</v>
      </c>
      <c r="E160" s="84">
        <f>+Tabla13[[#This Row],[PRECIO INSTALADOR (IVA INCLUIDO)]]/0.7</f>
        <v>97823.800000000017</v>
      </c>
      <c r="F160" s="83">
        <f>+Tabla13[[#This Row],[PRECIO INSTALADOR (IVA INCLUIDO)]]*5%</f>
        <v>3423.8330000000005</v>
      </c>
      <c r="G160" s="12">
        <v>0.85</v>
      </c>
      <c r="H160" s="11">
        <f>Tabla13[[#This Row],[COSTO]]*1.19</f>
        <v>58205.161</v>
      </c>
      <c r="I160" s="10"/>
      <c r="J160" s="9"/>
      <c r="K160" s="66">
        <v>48911.9</v>
      </c>
    </row>
    <row r="161" spans="1:11" ht="12.75" x14ac:dyDescent="0.2">
      <c r="A161" s="120" t="s">
        <v>1315</v>
      </c>
      <c r="B161" s="85" t="s">
        <v>1314</v>
      </c>
      <c r="C161" s="84">
        <f>+Tabla13[[#This Row],[Columna6]]/Tabla13[[#This Row],[Columna5]]</f>
        <v>64401.259999999995</v>
      </c>
      <c r="D161" s="84">
        <f>+Tabla13[[#This Row],[PRECIO INSTALADOR (IVA INCLUIDO)]]-F161</f>
        <v>61181.196999999993</v>
      </c>
      <c r="E161" s="84">
        <f>+Tabla13[[#This Row],[PRECIO INSTALADOR (IVA INCLUIDO)]]/0.7</f>
        <v>92001.8</v>
      </c>
      <c r="F161" s="83">
        <f>+Tabla13[[#This Row],[PRECIO INSTALADOR (IVA INCLUIDO)]]*5%</f>
        <v>3220.0630000000001</v>
      </c>
      <c r="G161" s="12">
        <v>0.85</v>
      </c>
      <c r="H161" s="11">
        <f>Tabla13[[#This Row],[COSTO]]*1.19</f>
        <v>54741.070999999996</v>
      </c>
      <c r="I161" s="10"/>
      <c r="J161" s="9"/>
      <c r="K161" s="66">
        <v>46000.9</v>
      </c>
    </row>
    <row r="162" spans="1:11" ht="12.75" x14ac:dyDescent="0.2">
      <c r="A162" s="120" t="s">
        <v>1313</v>
      </c>
      <c r="B162" s="85" t="s">
        <v>1312</v>
      </c>
      <c r="C162" s="84">
        <f>+Tabla13[[#This Row],[Columna6]]/Tabla13[[#This Row],[Columna5]]</f>
        <v>64401.259999999995</v>
      </c>
      <c r="D162" s="84">
        <f>+Tabla13[[#This Row],[PRECIO INSTALADOR (IVA INCLUIDO)]]-F162</f>
        <v>61181.196999999993</v>
      </c>
      <c r="E162" s="84">
        <f>+Tabla13[[#This Row],[PRECIO INSTALADOR (IVA INCLUIDO)]]/0.7</f>
        <v>92001.8</v>
      </c>
      <c r="F162" s="83">
        <f>+Tabla13[[#This Row],[PRECIO INSTALADOR (IVA INCLUIDO)]]*5%</f>
        <v>3220.0630000000001</v>
      </c>
      <c r="G162" s="12">
        <v>0.85</v>
      </c>
      <c r="H162" s="11">
        <f>Tabla13[[#This Row],[COSTO]]*1.19</f>
        <v>54741.070999999996</v>
      </c>
      <c r="I162" s="10"/>
      <c r="J162" s="9"/>
      <c r="K162" s="66">
        <v>46000.9</v>
      </c>
    </row>
    <row r="163" spans="1:11" ht="12.75" x14ac:dyDescent="0.2">
      <c r="A163" s="86" t="s">
        <v>1311</v>
      </c>
      <c r="B163" s="85" t="s">
        <v>1310</v>
      </c>
      <c r="C163" s="84">
        <f>+Tabla13[[#This Row],[Columna6]]/Tabla13[[#This Row],[Columna5]]</f>
        <v>48298.46</v>
      </c>
      <c r="D163" s="84">
        <f>+Tabla13[[#This Row],[PRECIO INSTALADOR (IVA INCLUIDO)]]-F163</f>
        <v>45883.536999999997</v>
      </c>
      <c r="E163" s="84">
        <f>+Tabla13[[#This Row],[PRECIO INSTALADOR (IVA INCLUIDO)]]/0.7</f>
        <v>68997.8</v>
      </c>
      <c r="F163" s="83">
        <f>+Tabla13[[#This Row],[PRECIO INSTALADOR (IVA INCLUIDO)]]*5%</f>
        <v>2414.9230000000002</v>
      </c>
      <c r="G163" s="12">
        <v>0.85</v>
      </c>
      <c r="H163" s="11">
        <f>Tabla13[[#This Row],[COSTO]]*1.19</f>
        <v>41053.690999999999</v>
      </c>
      <c r="I163" s="10"/>
      <c r="J163" s="9"/>
      <c r="K163" s="66">
        <v>34498.9</v>
      </c>
    </row>
    <row r="164" spans="1:11" ht="12.75" x14ac:dyDescent="0.2">
      <c r="A164" s="86" t="s">
        <v>1309</v>
      </c>
      <c r="B164" s="85" t="s">
        <v>1308</v>
      </c>
      <c r="C164" s="84">
        <f>+Tabla13[[#This Row],[Columna6]]/Tabla13[[#This Row],[Columna5]]</f>
        <v>48298.46</v>
      </c>
      <c r="D164" s="84">
        <f>+Tabla13[[#This Row],[PRECIO INSTALADOR (IVA INCLUIDO)]]-F164</f>
        <v>45883.536999999997</v>
      </c>
      <c r="E164" s="84">
        <f>+Tabla13[[#This Row],[PRECIO INSTALADOR (IVA INCLUIDO)]]/0.7</f>
        <v>68997.8</v>
      </c>
      <c r="F164" s="83">
        <f>+Tabla13[[#This Row],[PRECIO INSTALADOR (IVA INCLUIDO)]]*5%</f>
        <v>2414.9230000000002</v>
      </c>
      <c r="G164" s="12">
        <v>0.85</v>
      </c>
      <c r="H164" s="11">
        <f>Tabla13[[#This Row],[COSTO]]*1.19</f>
        <v>41053.690999999999</v>
      </c>
      <c r="I164" s="10"/>
      <c r="J164" s="9"/>
      <c r="K164" s="66">
        <v>34498.9</v>
      </c>
    </row>
    <row r="165" spans="1:11" ht="12.75" x14ac:dyDescent="0.2">
      <c r="A165" s="86" t="s">
        <v>1307</v>
      </c>
      <c r="B165" s="85" t="s">
        <v>1306</v>
      </c>
      <c r="C165" s="84">
        <f>+Tabla13[[#This Row],[Columna6]]/Tabla13[[#This Row],[Columna5]]</f>
        <v>44123.659999999996</v>
      </c>
      <c r="D165" s="84">
        <f>+Tabla13[[#This Row],[PRECIO INSTALADOR (IVA INCLUIDO)]]-F165</f>
        <v>41917.476999999999</v>
      </c>
      <c r="E165" s="84">
        <f>+Tabla13[[#This Row],[PRECIO INSTALADOR (IVA INCLUIDO)]]/0.7</f>
        <v>63033.799999999996</v>
      </c>
      <c r="F165" s="83">
        <f>+Tabla13[[#This Row],[PRECIO INSTALADOR (IVA INCLUIDO)]]*5%</f>
        <v>2206.183</v>
      </c>
      <c r="G165" s="12">
        <v>0.85</v>
      </c>
      <c r="H165" s="11">
        <f>Tabla13[[#This Row],[COSTO]]*1.19</f>
        <v>37505.110999999997</v>
      </c>
      <c r="I165" s="10"/>
      <c r="J165" s="9"/>
      <c r="K165" s="66">
        <v>31516.9</v>
      </c>
    </row>
    <row r="166" spans="1:11" ht="12.75" x14ac:dyDescent="0.2">
      <c r="A166" s="86" t="s">
        <v>1305</v>
      </c>
      <c r="B166" s="85" t="s">
        <v>1304</v>
      </c>
      <c r="C166" s="84">
        <f>+Tabla13[[#This Row],[Columna6]]/Tabla13[[#This Row],[Columna5]]</f>
        <v>37563.26</v>
      </c>
      <c r="D166" s="84">
        <f>+Tabla13[[#This Row],[PRECIO INSTALADOR (IVA INCLUIDO)]]-F166</f>
        <v>35685.097000000002</v>
      </c>
      <c r="E166" s="84">
        <f>+Tabla13[[#This Row],[PRECIO INSTALADOR (IVA INCLUIDO)]]/0.7</f>
        <v>53661.8</v>
      </c>
      <c r="F166" s="83">
        <f>+Tabla13[[#This Row],[PRECIO INSTALADOR (IVA INCLUIDO)]]*5%</f>
        <v>1878.1630000000002</v>
      </c>
      <c r="G166" s="12">
        <v>0.85</v>
      </c>
      <c r="H166" s="11">
        <f>Tabla13[[#This Row],[COSTO]]*1.19</f>
        <v>31928.771000000001</v>
      </c>
      <c r="I166" s="10"/>
      <c r="J166" s="9"/>
      <c r="K166" s="66">
        <v>26830.9</v>
      </c>
    </row>
    <row r="167" spans="1:11" ht="12.75" x14ac:dyDescent="0.2">
      <c r="A167" s="86" t="s">
        <v>1303</v>
      </c>
      <c r="B167" s="85" t="s">
        <v>1302</v>
      </c>
      <c r="C167" s="84">
        <f>+Tabla13[[#This Row],[Columna6]]/Tabla13[[#This Row],[Columna5]]</f>
        <v>37563.26</v>
      </c>
      <c r="D167" s="84">
        <f>+Tabla13[[#This Row],[PRECIO INSTALADOR (IVA INCLUIDO)]]-F167</f>
        <v>35685.097000000002</v>
      </c>
      <c r="E167" s="84">
        <f>+Tabla13[[#This Row],[PRECIO INSTALADOR (IVA INCLUIDO)]]/0.7</f>
        <v>53661.8</v>
      </c>
      <c r="F167" s="83">
        <f>+Tabla13[[#This Row],[PRECIO INSTALADOR (IVA INCLUIDO)]]*5%</f>
        <v>1878.1630000000002</v>
      </c>
      <c r="G167" s="12">
        <v>0.85</v>
      </c>
      <c r="H167" s="11">
        <f>Tabla13[[#This Row],[COSTO]]*1.19</f>
        <v>31928.771000000001</v>
      </c>
      <c r="I167" s="10"/>
      <c r="J167" s="9"/>
      <c r="K167" s="66">
        <v>26830.9</v>
      </c>
    </row>
    <row r="168" spans="1:11" ht="12.75" x14ac:dyDescent="0.2">
      <c r="A168" s="86" t="s">
        <v>1301</v>
      </c>
      <c r="B168" s="85" t="s">
        <v>1300</v>
      </c>
      <c r="C168" s="84">
        <f>+Tabla13[[#This Row],[Columna6]]/Tabla13[[#This Row],[Columna5]]</f>
        <v>40247.06</v>
      </c>
      <c r="D168" s="84">
        <f>+Tabla13[[#This Row],[PRECIO INSTALADOR (IVA INCLUIDO)]]-F168</f>
        <v>38234.706999999995</v>
      </c>
      <c r="E168" s="84">
        <f>+Tabla13[[#This Row],[PRECIO INSTALADOR (IVA INCLUIDO)]]/0.7</f>
        <v>57495.8</v>
      </c>
      <c r="F168" s="83">
        <f>+Tabla13[[#This Row],[PRECIO INSTALADOR (IVA INCLUIDO)]]*5%</f>
        <v>2012.3530000000001</v>
      </c>
      <c r="G168" s="12">
        <v>0.85</v>
      </c>
      <c r="H168" s="11">
        <f>Tabla13[[#This Row],[COSTO]]*1.19</f>
        <v>34210.000999999997</v>
      </c>
      <c r="I168" s="10"/>
      <c r="J168" s="9"/>
      <c r="K168" s="66">
        <v>28747.9</v>
      </c>
    </row>
    <row r="169" spans="1:11" ht="12.75" x14ac:dyDescent="0.2">
      <c r="A169" s="100"/>
      <c r="B169" s="99" t="s">
        <v>1299</v>
      </c>
      <c r="C169" s="98"/>
      <c r="D169" s="98"/>
      <c r="E169" s="98"/>
      <c r="F169" s="97">
        <f>+Tabla13[[#This Row],[PRECIO INSTALADOR (IVA INCLUIDO)]]*5%</f>
        <v>0</v>
      </c>
      <c r="G169" s="12">
        <v>0.85</v>
      </c>
      <c r="H169" s="11">
        <f>Tabla13[[#This Row],[COSTO]]*1.19</f>
        <v>0</v>
      </c>
      <c r="I169" s="10"/>
      <c r="J169" s="9"/>
      <c r="K169" s="66"/>
    </row>
    <row r="170" spans="1:11" ht="12.75" x14ac:dyDescent="0.2">
      <c r="A170" s="113"/>
      <c r="B170" s="112" t="s">
        <v>1298</v>
      </c>
      <c r="C170" s="111"/>
      <c r="D170" s="111"/>
      <c r="E170" s="111"/>
      <c r="F170" s="110">
        <f>+Tabla13[[#This Row],[PRECIO INSTALADOR (IVA INCLUIDO)]]*5%</f>
        <v>0</v>
      </c>
      <c r="G170" s="12">
        <v>0.85</v>
      </c>
      <c r="H170" s="11">
        <f>Tabla13[[#This Row],[COSTO]]*1.19</f>
        <v>0</v>
      </c>
      <c r="I170" s="10"/>
      <c r="J170" s="9"/>
      <c r="K170" s="66"/>
    </row>
    <row r="171" spans="1:11" ht="12.75" x14ac:dyDescent="0.2">
      <c r="A171" s="86" t="s">
        <v>1297</v>
      </c>
      <c r="B171" s="85" t="s">
        <v>1296</v>
      </c>
      <c r="C171" s="84">
        <f>+Tabla13[[#This Row],[Columna6]]/Tabla13[[#This Row],[Columna5]]</f>
        <v>100881.05999999998</v>
      </c>
      <c r="D171" s="84">
        <f>+Tabla13[[#This Row],[PRECIO INSTALADOR (IVA INCLUIDO)]]-F171</f>
        <v>95837.006999999983</v>
      </c>
      <c r="E171" s="84">
        <f>+Tabla13[[#This Row],[PRECIO INSTALADOR (IVA INCLUIDO)]]/0.7</f>
        <v>144115.79999999999</v>
      </c>
      <c r="F171" s="83">
        <f>+Tabla13[[#This Row],[PRECIO INSTALADOR (IVA INCLUIDO)]]*5%</f>
        <v>5044.0529999999999</v>
      </c>
      <c r="G171" s="12">
        <v>0.85</v>
      </c>
      <c r="H171" s="11">
        <f>Tabla13[[#This Row],[COSTO]]*1.19</f>
        <v>85748.900999999983</v>
      </c>
      <c r="I171" s="10"/>
      <c r="J171" s="9"/>
      <c r="K171" s="66">
        <v>72057.899999999994</v>
      </c>
    </row>
    <row r="172" spans="1:11" ht="12.75" x14ac:dyDescent="0.2">
      <c r="A172" s="86" t="s">
        <v>1295</v>
      </c>
      <c r="B172" s="85" t="s">
        <v>1294</v>
      </c>
      <c r="C172" s="84">
        <f>+Tabla13[[#This Row],[Columna6]]/Tabla13[[#This Row],[Columna5]]</f>
        <v>100881.05999999998</v>
      </c>
      <c r="D172" s="84">
        <f>+Tabla13[[#This Row],[PRECIO INSTALADOR (IVA INCLUIDO)]]-F172</f>
        <v>95837.006999999983</v>
      </c>
      <c r="E172" s="84">
        <f>+Tabla13[[#This Row],[PRECIO INSTALADOR (IVA INCLUIDO)]]/0.7</f>
        <v>144115.79999999999</v>
      </c>
      <c r="F172" s="83">
        <f>+Tabla13[[#This Row],[PRECIO INSTALADOR (IVA INCLUIDO)]]*5%</f>
        <v>5044.0529999999999</v>
      </c>
      <c r="G172" s="12">
        <v>0.85</v>
      </c>
      <c r="H172" s="11">
        <f>Tabla13[[#This Row],[COSTO]]*1.19</f>
        <v>85748.900999999983</v>
      </c>
      <c r="I172" s="10"/>
      <c r="J172" s="9"/>
      <c r="K172" s="66">
        <v>72057.899999999994</v>
      </c>
    </row>
    <row r="173" spans="1:11" ht="12.75" x14ac:dyDescent="0.2">
      <c r="A173" s="86" t="s">
        <v>1293</v>
      </c>
      <c r="B173" s="85" t="s">
        <v>1292</v>
      </c>
      <c r="C173" s="84">
        <f>+Tabla13[[#This Row],[Columna6]]/Tabla13[[#This Row],[Columna5]]</f>
        <v>100881.05999999998</v>
      </c>
      <c r="D173" s="84">
        <f>+Tabla13[[#This Row],[PRECIO INSTALADOR (IVA INCLUIDO)]]-F173</f>
        <v>95837.006999999983</v>
      </c>
      <c r="E173" s="84">
        <f>+Tabla13[[#This Row],[PRECIO INSTALADOR (IVA INCLUIDO)]]/0.7</f>
        <v>144115.79999999999</v>
      </c>
      <c r="F173" s="83">
        <f>+Tabla13[[#This Row],[PRECIO INSTALADOR (IVA INCLUIDO)]]*5%</f>
        <v>5044.0529999999999</v>
      </c>
      <c r="G173" s="12">
        <v>0.85</v>
      </c>
      <c r="H173" s="11">
        <f>Tabla13[[#This Row],[COSTO]]*1.19</f>
        <v>85748.900999999983</v>
      </c>
      <c r="I173" s="10"/>
      <c r="J173" s="9"/>
      <c r="K173" s="66">
        <v>72057.899999999994</v>
      </c>
    </row>
    <row r="174" spans="1:11" ht="12.75" x14ac:dyDescent="0.2">
      <c r="A174" s="86" t="s">
        <v>1291</v>
      </c>
      <c r="B174" s="85" t="s">
        <v>1290</v>
      </c>
      <c r="C174" s="84">
        <f>+Tabla13[[#This Row],[Columna6]]/Tabla13[[#This Row],[Columna5]]</f>
        <v>100881.05999999998</v>
      </c>
      <c r="D174" s="84">
        <f>+Tabla13[[#This Row],[PRECIO INSTALADOR (IVA INCLUIDO)]]-F174</f>
        <v>95837.006999999983</v>
      </c>
      <c r="E174" s="84">
        <f>+Tabla13[[#This Row],[PRECIO INSTALADOR (IVA INCLUIDO)]]/0.7</f>
        <v>144115.79999999999</v>
      </c>
      <c r="F174" s="83">
        <f>+Tabla13[[#This Row],[PRECIO INSTALADOR (IVA INCLUIDO)]]*5%</f>
        <v>5044.0529999999999</v>
      </c>
      <c r="G174" s="12">
        <v>0.85</v>
      </c>
      <c r="H174" s="11">
        <f>Tabla13[[#This Row],[COSTO]]*1.19</f>
        <v>85748.900999999983</v>
      </c>
      <c r="I174" s="10"/>
      <c r="J174" s="9"/>
      <c r="K174" s="66">
        <v>72057.899999999994</v>
      </c>
    </row>
    <row r="175" spans="1:11" ht="12.75" x14ac:dyDescent="0.2">
      <c r="A175" s="86" t="s">
        <v>1289</v>
      </c>
      <c r="B175" s="85" t="s">
        <v>1288</v>
      </c>
      <c r="C175" s="84">
        <f>+Tabla13[[#This Row],[Columna6]]/Tabla13[[#This Row],[Columna5]]</f>
        <v>100881.05999999998</v>
      </c>
      <c r="D175" s="84">
        <f>+Tabla13[[#This Row],[PRECIO INSTALADOR (IVA INCLUIDO)]]-F175</f>
        <v>95837.006999999983</v>
      </c>
      <c r="E175" s="84">
        <f>+Tabla13[[#This Row],[PRECIO INSTALADOR (IVA INCLUIDO)]]/0.7</f>
        <v>144115.79999999999</v>
      </c>
      <c r="F175" s="83">
        <f>+Tabla13[[#This Row],[PRECIO INSTALADOR (IVA INCLUIDO)]]*5%</f>
        <v>5044.0529999999999</v>
      </c>
      <c r="G175" s="12">
        <v>0.85</v>
      </c>
      <c r="H175" s="11">
        <f>Tabla13[[#This Row],[COSTO]]*1.19</f>
        <v>85748.900999999983</v>
      </c>
      <c r="I175" s="10"/>
      <c r="J175" s="9"/>
      <c r="K175" s="66">
        <v>72057.899999999994</v>
      </c>
    </row>
    <row r="176" spans="1:11" ht="12.75" x14ac:dyDescent="0.2">
      <c r="A176" s="86" t="s">
        <v>1287</v>
      </c>
      <c r="B176" s="85" t="s">
        <v>1286</v>
      </c>
      <c r="C176" s="84">
        <f>+Tabla13[[#This Row],[Columna6]]/Tabla13[[#This Row],[Columna5]]</f>
        <v>100881.05999999998</v>
      </c>
      <c r="D176" s="84">
        <f>+Tabla13[[#This Row],[PRECIO INSTALADOR (IVA INCLUIDO)]]-F176</f>
        <v>95837.006999999983</v>
      </c>
      <c r="E176" s="84">
        <f>+Tabla13[[#This Row],[PRECIO INSTALADOR (IVA INCLUIDO)]]/0.7</f>
        <v>144115.79999999999</v>
      </c>
      <c r="F176" s="83">
        <f>+Tabla13[[#This Row],[PRECIO INSTALADOR (IVA INCLUIDO)]]*5%</f>
        <v>5044.0529999999999</v>
      </c>
      <c r="G176" s="12">
        <v>0.85</v>
      </c>
      <c r="H176" s="11">
        <f>Tabla13[[#This Row],[COSTO]]*1.19</f>
        <v>85748.900999999983</v>
      </c>
      <c r="I176" s="10"/>
      <c r="J176" s="9"/>
      <c r="K176" s="66">
        <v>72057.899999999994</v>
      </c>
    </row>
    <row r="177" spans="1:11" ht="12.75" x14ac:dyDescent="0.2">
      <c r="A177" s="113"/>
      <c r="B177" s="112" t="s">
        <v>1285</v>
      </c>
      <c r="C177" s="111"/>
      <c r="D177" s="111"/>
      <c r="E177" s="111"/>
      <c r="F177" s="110">
        <f>+Tabla13[[#This Row],[PRECIO INSTALADOR (IVA INCLUIDO)]]*5%</f>
        <v>0</v>
      </c>
      <c r="G177" s="12">
        <v>0.85</v>
      </c>
      <c r="H177" s="11">
        <f>Tabla13[[#This Row],[COSTO]]*1.19</f>
        <v>0</v>
      </c>
      <c r="I177" s="10"/>
      <c r="J177" s="9"/>
      <c r="K177" s="66"/>
    </row>
    <row r="178" spans="1:11" ht="12.75" x14ac:dyDescent="0.2">
      <c r="A178" s="86" t="s">
        <v>1284</v>
      </c>
      <c r="B178" s="85" t="s">
        <v>1283</v>
      </c>
      <c r="C178" s="84">
        <f>+Tabla13[[#This Row],[Columna6]]/Tabla13[[#This Row],[Columna5]]</f>
        <v>222149.05999999997</v>
      </c>
      <c r="D178" s="84">
        <f>+Tabla13[[#This Row],[PRECIO INSTALADOR (IVA INCLUIDO)]]-F178</f>
        <v>211041.60699999996</v>
      </c>
      <c r="E178" s="84">
        <f>+Tabla13[[#This Row],[PRECIO INSTALADOR (IVA INCLUIDO)]]/0.7</f>
        <v>317355.8</v>
      </c>
      <c r="F178" s="83">
        <f>+Tabla13[[#This Row],[PRECIO INSTALADOR (IVA INCLUIDO)]]*5%</f>
        <v>11107.453</v>
      </c>
      <c r="G178" s="12">
        <v>0.85</v>
      </c>
      <c r="H178" s="11">
        <f>Tabla13[[#This Row],[COSTO]]*1.19</f>
        <v>188826.70099999997</v>
      </c>
      <c r="I178" s="10"/>
      <c r="J178" s="9"/>
      <c r="K178" s="66">
        <v>158677.9</v>
      </c>
    </row>
    <row r="179" spans="1:11" ht="12.75" x14ac:dyDescent="0.2">
      <c r="A179" s="86" t="s">
        <v>1282</v>
      </c>
      <c r="B179" s="85" t="s">
        <v>1281</v>
      </c>
      <c r="C179" s="84">
        <f>+Tabla13[[#This Row],[Columna6]]/Tabla13[[#This Row],[Columna5]]</f>
        <v>222149.05999999997</v>
      </c>
      <c r="D179" s="84">
        <f>+Tabla13[[#This Row],[PRECIO INSTALADOR (IVA INCLUIDO)]]-F179</f>
        <v>211041.60699999996</v>
      </c>
      <c r="E179" s="84">
        <f>+Tabla13[[#This Row],[PRECIO INSTALADOR (IVA INCLUIDO)]]/0.7</f>
        <v>317355.8</v>
      </c>
      <c r="F179" s="83">
        <f>+Tabla13[[#This Row],[PRECIO INSTALADOR (IVA INCLUIDO)]]*5%</f>
        <v>11107.453</v>
      </c>
      <c r="G179" s="12">
        <v>0.85</v>
      </c>
      <c r="H179" s="11">
        <f>Tabla13[[#This Row],[COSTO]]*1.19</f>
        <v>188826.70099999997</v>
      </c>
      <c r="I179" s="10"/>
      <c r="J179" s="9"/>
      <c r="K179" s="66">
        <v>158677.9</v>
      </c>
    </row>
    <row r="180" spans="1:11" ht="12.75" x14ac:dyDescent="0.2">
      <c r="A180" s="86" t="s">
        <v>1280</v>
      </c>
      <c r="B180" s="85" t="s">
        <v>1279</v>
      </c>
      <c r="C180" s="84">
        <f>+Tabla13[[#This Row],[Columna6]]/Tabla13[[#This Row],[Columna5]]</f>
        <v>222149.05999999997</v>
      </c>
      <c r="D180" s="84">
        <f>+Tabla13[[#This Row],[PRECIO INSTALADOR (IVA INCLUIDO)]]-F180</f>
        <v>211041.60699999996</v>
      </c>
      <c r="E180" s="84">
        <f>+Tabla13[[#This Row],[PRECIO INSTALADOR (IVA INCLUIDO)]]/0.7</f>
        <v>317355.8</v>
      </c>
      <c r="F180" s="83">
        <f>+Tabla13[[#This Row],[PRECIO INSTALADOR (IVA INCLUIDO)]]*5%</f>
        <v>11107.453</v>
      </c>
      <c r="G180" s="12">
        <v>0.85</v>
      </c>
      <c r="H180" s="11">
        <f>Tabla13[[#This Row],[COSTO]]*1.19</f>
        <v>188826.70099999997</v>
      </c>
      <c r="I180" s="10"/>
      <c r="J180" s="9"/>
      <c r="K180" s="66">
        <v>158677.9</v>
      </c>
    </row>
    <row r="181" spans="1:11" ht="12.75" x14ac:dyDescent="0.2">
      <c r="A181" s="86" t="s">
        <v>1278</v>
      </c>
      <c r="B181" s="85" t="s">
        <v>1277</v>
      </c>
      <c r="C181" s="84">
        <f>+Tabla13[[#This Row],[Columna6]]/Tabla13[[#This Row],[Columna5]]</f>
        <v>222149.05999999997</v>
      </c>
      <c r="D181" s="84">
        <f>+Tabla13[[#This Row],[PRECIO INSTALADOR (IVA INCLUIDO)]]-F181</f>
        <v>211041.60699999996</v>
      </c>
      <c r="E181" s="84">
        <f>+Tabla13[[#This Row],[PRECIO INSTALADOR (IVA INCLUIDO)]]/0.7</f>
        <v>317355.8</v>
      </c>
      <c r="F181" s="83">
        <f>+Tabla13[[#This Row],[PRECIO INSTALADOR (IVA INCLUIDO)]]*5%</f>
        <v>11107.453</v>
      </c>
      <c r="G181" s="12">
        <v>0.85</v>
      </c>
      <c r="H181" s="11">
        <f>Tabla13[[#This Row],[COSTO]]*1.19</f>
        <v>188826.70099999997</v>
      </c>
      <c r="I181" s="10"/>
      <c r="J181" s="9"/>
      <c r="K181" s="66">
        <v>158677.9</v>
      </c>
    </row>
    <row r="182" spans="1:11" ht="12.75" x14ac:dyDescent="0.2">
      <c r="A182" s="86" t="s">
        <v>1276</v>
      </c>
      <c r="B182" s="85" t="s">
        <v>1275</v>
      </c>
      <c r="C182" s="84">
        <f>+Tabla13[[#This Row],[Columna6]]/Tabla13[[#This Row],[Columna5]]</f>
        <v>222149.05999999997</v>
      </c>
      <c r="D182" s="84">
        <f>+Tabla13[[#This Row],[PRECIO INSTALADOR (IVA INCLUIDO)]]-F182</f>
        <v>211041.60699999996</v>
      </c>
      <c r="E182" s="84">
        <f>+Tabla13[[#This Row],[PRECIO INSTALADOR (IVA INCLUIDO)]]/0.7</f>
        <v>317355.8</v>
      </c>
      <c r="F182" s="83">
        <f>+Tabla13[[#This Row],[PRECIO INSTALADOR (IVA INCLUIDO)]]*5%</f>
        <v>11107.453</v>
      </c>
      <c r="G182" s="12">
        <v>0.85</v>
      </c>
      <c r="H182" s="11">
        <f>Tabla13[[#This Row],[COSTO]]*1.19</f>
        <v>188826.70099999997</v>
      </c>
      <c r="I182" s="10"/>
      <c r="J182" s="9"/>
      <c r="K182" s="66">
        <v>158677.9</v>
      </c>
    </row>
    <row r="183" spans="1:11" ht="12.75" x14ac:dyDescent="0.2">
      <c r="A183" s="113"/>
      <c r="B183" s="112" t="s">
        <v>1274</v>
      </c>
      <c r="C183" s="111"/>
      <c r="D183" s="111"/>
      <c r="E183" s="111"/>
      <c r="F183" s="110">
        <f>+Tabla13[[#This Row],[PRECIO INSTALADOR (IVA INCLUIDO)]]*5%</f>
        <v>0</v>
      </c>
      <c r="G183" s="12">
        <v>0.85</v>
      </c>
      <c r="H183" s="11">
        <f>Tabla13[[#This Row],[COSTO]]*1.19</f>
        <v>0</v>
      </c>
      <c r="I183" s="10"/>
      <c r="J183" s="9"/>
      <c r="K183" s="66"/>
    </row>
    <row r="184" spans="1:11" ht="12.75" x14ac:dyDescent="0.2">
      <c r="A184" s="86" t="s">
        <v>1273</v>
      </c>
      <c r="B184" s="85" t="s">
        <v>1272</v>
      </c>
      <c r="C184" s="84">
        <f>+Tabla13[[#This Row],[Columna6]]/Tabla13[[#This Row],[Columna5]]</f>
        <v>96507.459999999992</v>
      </c>
      <c r="D184" s="84">
        <f>+Tabla13[[#This Row],[PRECIO INSTALADOR (IVA INCLUIDO)]]-F184</f>
        <v>91682.087</v>
      </c>
      <c r="E184" s="84">
        <f>+Tabla13[[#This Row],[PRECIO INSTALADOR (IVA INCLUIDO)]]/0.7</f>
        <v>137867.79999999999</v>
      </c>
      <c r="F184" s="83">
        <f>+Tabla13[[#This Row],[PRECIO INSTALADOR (IVA INCLUIDO)]]*5%</f>
        <v>4825.3729999999996</v>
      </c>
      <c r="G184" s="12">
        <v>0.85</v>
      </c>
      <c r="H184" s="11">
        <f>Tabla13[[#This Row],[COSTO]]*1.19</f>
        <v>82031.340999999986</v>
      </c>
      <c r="I184" s="10"/>
      <c r="J184" s="9"/>
      <c r="K184" s="66">
        <v>68933.899999999994</v>
      </c>
    </row>
    <row r="185" spans="1:11" ht="12.75" x14ac:dyDescent="0.2">
      <c r="A185" s="86" t="s">
        <v>1271</v>
      </c>
      <c r="B185" s="85" t="s">
        <v>1270</v>
      </c>
      <c r="C185" s="84">
        <f>+Tabla13[[#This Row],[Columna6]]/Tabla13[[#This Row],[Columna5]]</f>
        <v>96507.459999999992</v>
      </c>
      <c r="D185" s="84">
        <f>+Tabla13[[#This Row],[PRECIO INSTALADOR (IVA INCLUIDO)]]-F185</f>
        <v>91682.087</v>
      </c>
      <c r="E185" s="84">
        <f>+Tabla13[[#This Row],[PRECIO INSTALADOR (IVA INCLUIDO)]]/0.7</f>
        <v>137867.79999999999</v>
      </c>
      <c r="F185" s="83">
        <f>+Tabla13[[#This Row],[PRECIO INSTALADOR (IVA INCLUIDO)]]*5%</f>
        <v>4825.3729999999996</v>
      </c>
      <c r="G185" s="12">
        <v>0.85</v>
      </c>
      <c r="H185" s="11">
        <f>Tabla13[[#This Row],[COSTO]]*1.19</f>
        <v>82031.340999999986</v>
      </c>
      <c r="I185" s="10"/>
      <c r="J185" s="9"/>
      <c r="K185" s="66">
        <v>68933.899999999994</v>
      </c>
    </row>
    <row r="186" spans="1:11" ht="12.75" x14ac:dyDescent="0.2">
      <c r="A186" s="86" t="s">
        <v>1269</v>
      </c>
      <c r="B186" s="85" t="s">
        <v>1268</v>
      </c>
      <c r="C186" s="84">
        <f>+Tabla13[[#This Row],[Columna6]]/Tabla13[[#This Row],[Columna5]]</f>
        <v>96507.459999999992</v>
      </c>
      <c r="D186" s="84">
        <f>+Tabla13[[#This Row],[PRECIO INSTALADOR (IVA INCLUIDO)]]-F186</f>
        <v>91682.087</v>
      </c>
      <c r="E186" s="84">
        <f>+Tabla13[[#This Row],[PRECIO INSTALADOR (IVA INCLUIDO)]]/0.7</f>
        <v>137867.79999999999</v>
      </c>
      <c r="F186" s="83">
        <f>+Tabla13[[#This Row],[PRECIO INSTALADOR (IVA INCLUIDO)]]*5%</f>
        <v>4825.3729999999996</v>
      </c>
      <c r="G186" s="12">
        <v>0.85</v>
      </c>
      <c r="H186" s="11">
        <f>Tabla13[[#This Row],[COSTO]]*1.19</f>
        <v>82031.340999999986</v>
      </c>
      <c r="I186" s="10"/>
      <c r="J186" s="9"/>
      <c r="K186" s="66">
        <v>68933.899999999994</v>
      </c>
    </row>
    <row r="187" spans="1:11" ht="12.75" x14ac:dyDescent="0.2">
      <c r="A187" s="86" t="s">
        <v>1267</v>
      </c>
      <c r="B187" s="85" t="s">
        <v>1266</v>
      </c>
      <c r="C187" s="84">
        <f>+Tabla13[[#This Row],[Columna6]]/Tabla13[[#This Row],[Columna5]]</f>
        <v>96507.459999999992</v>
      </c>
      <c r="D187" s="84">
        <f>+Tabla13[[#This Row],[PRECIO INSTALADOR (IVA INCLUIDO)]]-F187</f>
        <v>91682.087</v>
      </c>
      <c r="E187" s="84">
        <f>+Tabla13[[#This Row],[PRECIO INSTALADOR (IVA INCLUIDO)]]/0.7</f>
        <v>137867.79999999999</v>
      </c>
      <c r="F187" s="83">
        <f>+Tabla13[[#This Row],[PRECIO INSTALADOR (IVA INCLUIDO)]]*5%</f>
        <v>4825.3729999999996</v>
      </c>
      <c r="G187" s="12">
        <v>0.85</v>
      </c>
      <c r="H187" s="11">
        <f>Tabla13[[#This Row],[COSTO]]*1.19</f>
        <v>82031.340999999986</v>
      </c>
      <c r="I187" s="10"/>
      <c r="J187" s="9"/>
      <c r="K187" s="66">
        <v>68933.899999999994</v>
      </c>
    </row>
    <row r="188" spans="1:11" ht="12.75" x14ac:dyDescent="0.2">
      <c r="A188" s="86" t="s">
        <v>1265</v>
      </c>
      <c r="B188" s="85" t="s">
        <v>1264</v>
      </c>
      <c r="C188" s="84">
        <f>+Tabla13[[#This Row],[Columna6]]/Tabla13[[#This Row],[Columna5]]</f>
        <v>96507.459999999992</v>
      </c>
      <c r="D188" s="84">
        <f>+Tabla13[[#This Row],[PRECIO INSTALADOR (IVA INCLUIDO)]]-F188</f>
        <v>91682.087</v>
      </c>
      <c r="E188" s="84">
        <f>+Tabla13[[#This Row],[PRECIO INSTALADOR (IVA INCLUIDO)]]/0.7</f>
        <v>137867.79999999999</v>
      </c>
      <c r="F188" s="83">
        <f>+Tabla13[[#This Row],[PRECIO INSTALADOR (IVA INCLUIDO)]]*5%</f>
        <v>4825.3729999999996</v>
      </c>
      <c r="G188" s="12">
        <v>0.85</v>
      </c>
      <c r="H188" s="11">
        <f>Tabla13[[#This Row],[COSTO]]*1.19</f>
        <v>82031.340999999986</v>
      </c>
      <c r="I188" s="10"/>
      <c r="J188" s="9"/>
      <c r="K188" s="66">
        <v>68933.899999999994</v>
      </c>
    </row>
    <row r="189" spans="1:11" ht="12.75" x14ac:dyDescent="0.2">
      <c r="A189" s="86" t="s">
        <v>1263</v>
      </c>
      <c r="B189" s="85" t="s">
        <v>1262</v>
      </c>
      <c r="C189" s="84">
        <f>+Tabla13[[#This Row],[Columna6]]/Tabla13[[#This Row],[Columna5]]</f>
        <v>96507.459999999992</v>
      </c>
      <c r="D189" s="84">
        <f>+Tabla13[[#This Row],[PRECIO INSTALADOR (IVA INCLUIDO)]]-F189</f>
        <v>91682.087</v>
      </c>
      <c r="E189" s="84">
        <f>+Tabla13[[#This Row],[PRECIO INSTALADOR (IVA INCLUIDO)]]/0.7</f>
        <v>137867.79999999999</v>
      </c>
      <c r="F189" s="83">
        <f>+Tabla13[[#This Row],[PRECIO INSTALADOR (IVA INCLUIDO)]]*5%</f>
        <v>4825.3729999999996</v>
      </c>
      <c r="G189" s="12">
        <v>0.85</v>
      </c>
      <c r="H189" s="11">
        <f>Tabla13[[#This Row],[COSTO]]*1.19</f>
        <v>82031.340999999986</v>
      </c>
      <c r="I189" s="10"/>
      <c r="J189" s="9"/>
      <c r="K189" s="66">
        <v>68933.899999999994</v>
      </c>
    </row>
    <row r="190" spans="1:11" ht="12.75" x14ac:dyDescent="0.2">
      <c r="A190" s="113"/>
      <c r="B190" s="112" t="s">
        <v>1261</v>
      </c>
      <c r="C190" s="111"/>
      <c r="D190" s="111"/>
      <c r="E190" s="111"/>
      <c r="F190" s="110">
        <f>+Tabla13[[#This Row],[PRECIO INSTALADOR (IVA INCLUIDO)]]*5%</f>
        <v>0</v>
      </c>
      <c r="G190" s="12">
        <v>0.85</v>
      </c>
      <c r="H190" s="11">
        <f>Tabla13[[#This Row],[COSTO]]*1.19</f>
        <v>0</v>
      </c>
      <c r="I190" s="10"/>
      <c r="J190" s="9"/>
      <c r="K190" s="66"/>
    </row>
    <row r="191" spans="1:11" ht="12.75" x14ac:dyDescent="0.2">
      <c r="A191" s="86" t="s">
        <v>1260</v>
      </c>
      <c r="B191" s="85" t="s">
        <v>1259</v>
      </c>
      <c r="C191" s="84">
        <f>+Tabla13[[#This Row],[Columna6]]/Tabla13[[#This Row],[Columna5]]</f>
        <v>44720.06</v>
      </c>
      <c r="D191" s="84">
        <f>+Tabla13[[#This Row],[PRECIO INSTALADOR (IVA INCLUIDO)]]-F191</f>
        <v>42484.057000000001</v>
      </c>
      <c r="E191" s="84">
        <f>+Tabla13[[#This Row],[PRECIO INSTALADOR (IVA INCLUIDO)]]/0.7</f>
        <v>63885.8</v>
      </c>
      <c r="F191" s="83">
        <f>+Tabla13[[#This Row],[PRECIO INSTALADOR (IVA INCLUIDO)]]*5%</f>
        <v>2236.0030000000002</v>
      </c>
      <c r="G191" s="12">
        <v>0.85</v>
      </c>
      <c r="H191" s="11">
        <f>Tabla13[[#This Row],[COSTO]]*1.19</f>
        <v>38012.050999999999</v>
      </c>
      <c r="I191" s="10"/>
      <c r="J191" s="9"/>
      <c r="K191" s="66">
        <v>31942.9</v>
      </c>
    </row>
    <row r="192" spans="1:11" ht="12.75" x14ac:dyDescent="0.2">
      <c r="A192" s="86" t="s">
        <v>1258</v>
      </c>
      <c r="B192" s="85" t="s">
        <v>1257</v>
      </c>
      <c r="C192" s="84">
        <f>+Tabla13[[#This Row],[Columna6]]/Tabla13[[#This Row],[Columna5]]</f>
        <v>54958.26</v>
      </c>
      <c r="D192" s="84">
        <f>+Tabla13[[#This Row],[PRECIO INSTALADOR (IVA INCLUIDO)]]-F192</f>
        <v>52210.347000000002</v>
      </c>
      <c r="E192" s="84">
        <f>+Tabla13[[#This Row],[PRECIO INSTALADOR (IVA INCLUIDO)]]/0.7</f>
        <v>78511.8</v>
      </c>
      <c r="F192" s="83">
        <f>+Tabla13[[#This Row],[PRECIO INSTALADOR (IVA INCLUIDO)]]*5%</f>
        <v>2747.9130000000005</v>
      </c>
      <c r="G192" s="12">
        <v>0.85</v>
      </c>
      <c r="H192" s="11">
        <f>Tabla13[[#This Row],[COSTO]]*1.19</f>
        <v>46714.521000000001</v>
      </c>
      <c r="I192" s="10"/>
      <c r="J192" s="9"/>
      <c r="K192" s="66">
        <v>39255.9</v>
      </c>
    </row>
    <row r="193" spans="1:11" ht="12.75" x14ac:dyDescent="0.2">
      <c r="A193" s="86" t="s">
        <v>1256</v>
      </c>
      <c r="B193" s="85" t="s">
        <v>1255</v>
      </c>
      <c r="C193" s="84">
        <f>+Tabla13[[#This Row],[Columna6]]/Tabla13[[#This Row],[Columna5]]</f>
        <v>63705.46</v>
      </c>
      <c r="D193" s="84">
        <f>+Tabla13[[#This Row],[PRECIO INSTALADOR (IVA INCLUIDO)]]-F193</f>
        <v>60520.186999999998</v>
      </c>
      <c r="E193" s="84">
        <f>+Tabla13[[#This Row],[PRECIO INSTALADOR (IVA INCLUIDO)]]/0.7</f>
        <v>91007.8</v>
      </c>
      <c r="F193" s="83">
        <f>+Tabla13[[#This Row],[PRECIO INSTALADOR (IVA INCLUIDO)]]*5%</f>
        <v>3185.2730000000001</v>
      </c>
      <c r="G193" s="12">
        <v>0.85</v>
      </c>
      <c r="H193" s="11">
        <f>Tabla13[[#This Row],[COSTO]]*1.19</f>
        <v>54149.640999999996</v>
      </c>
      <c r="I193" s="10"/>
      <c r="J193" s="9"/>
      <c r="K193" s="66">
        <v>45503.9</v>
      </c>
    </row>
    <row r="194" spans="1:11" ht="12.75" x14ac:dyDescent="0.2">
      <c r="A194" s="124"/>
      <c r="B194" s="122" t="s">
        <v>1254</v>
      </c>
      <c r="C194" s="89"/>
      <c r="D194" s="89"/>
      <c r="E194" s="89"/>
      <c r="F194" s="83">
        <f>+Tabla13[[#This Row],[PRECIO INSTALADOR (IVA INCLUIDO)]]*5%</f>
        <v>0</v>
      </c>
      <c r="G194" s="12">
        <v>0.85</v>
      </c>
      <c r="H194" s="11" t="e">
        <f>Tabla13[[#This Row],[COSTO]]*1.19</f>
        <v>#VALUE!</v>
      </c>
      <c r="I194" s="10"/>
      <c r="J194" s="9"/>
      <c r="K194" s="66" t="s">
        <v>261</v>
      </c>
    </row>
    <row r="195" spans="1:11" ht="12.75" x14ac:dyDescent="0.2">
      <c r="A195" s="86" t="s">
        <v>1253</v>
      </c>
      <c r="B195" s="85" t="s">
        <v>1252</v>
      </c>
      <c r="C195" s="84">
        <f>+Tabla13[[#This Row],[Columna6]]/Tabla13[[#This Row],[Columna5]]</f>
        <v>102769.66</v>
      </c>
      <c r="D195" s="84">
        <f>+Tabla13[[#This Row],[PRECIO INSTALADOR (IVA INCLUIDO)]]-F195</f>
        <v>97631.176999999996</v>
      </c>
      <c r="E195" s="84">
        <f>+Tabla13[[#This Row],[PRECIO INSTALADOR (IVA INCLUIDO)]]/0.7</f>
        <v>146813.80000000002</v>
      </c>
      <c r="F195" s="83">
        <f>+Tabla13[[#This Row],[PRECIO INSTALADOR (IVA INCLUIDO)]]*5%</f>
        <v>5138.4830000000002</v>
      </c>
      <c r="G195" s="12">
        <v>0.85</v>
      </c>
      <c r="H195" s="11">
        <f>Tabla13[[#This Row],[COSTO]]*1.19</f>
        <v>87354.210999999996</v>
      </c>
      <c r="I195" s="10"/>
      <c r="J195" s="9"/>
      <c r="K195" s="66">
        <v>73406.899999999994</v>
      </c>
    </row>
    <row r="196" spans="1:11" ht="12.75" x14ac:dyDescent="0.2">
      <c r="A196" s="86" t="s">
        <v>1251</v>
      </c>
      <c r="B196" s="85" t="s">
        <v>1250</v>
      </c>
      <c r="C196" s="84">
        <f>+Tabla13[[#This Row],[Columna6]]/Tabla13[[#This Row],[Columna5]]</f>
        <v>110224.66</v>
      </c>
      <c r="D196" s="84">
        <f>+Tabla13[[#This Row],[PRECIO INSTALADOR (IVA INCLUIDO)]]-F196</f>
        <v>104713.427</v>
      </c>
      <c r="E196" s="84">
        <f>+Tabla13[[#This Row],[PRECIO INSTALADOR (IVA INCLUIDO)]]/0.7</f>
        <v>157463.80000000002</v>
      </c>
      <c r="F196" s="83">
        <f>+Tabla13[[#This Row],[PRECIO INSTALADOR (IVA INCLUIDO)]]*5%</f>
        <v>5511.2330000000002</v>
      </c>
      <c r="G196" s="12">
        <v>0.85</v>
      </c>
      <c r="H196" s="11">
        <f>Tabla13[[#This Row],[COSTO]]*1.19</f>
        <v>93690.960999999996</v>
      </c>
      <c r="I196" s="10"/>
      <c r="J196" s="9"/>
      <c r="K196" s="66">
        <v>78731.899999999994</v>
      </c>
    </row>
    <row r="197" spans="1:11" ht="12.75" x14ac:dyDescent="0.2">
      <c r="A197" s="86" t="s">
        <v>1249</v>
      </c>
      <c r="B197" s="85" t="s">
        <v>1248</v>
      </c>
      <c r="C197" s="84">
        <f>+Tabla13[[#This Row],[Columna6]]/Tabla13[[#This Row],[Columna5]]</f>
        <v>121755.06</v>
      </c>
      <c r="D197" s="84">
        <f>+Tabla13[[#This Row],[PRECIO INSTALADOR (IVA INCLUIDO)]]-F197</f>
        <v>115667.307</v>
      </c>
      <c r="E197" s="84">
        <f>+Tabla13[[#This Row],[PRECIO INSTALADOR (IVA INCLUIDO)]]/0.7</f>
        <v>173935.80000000002</v>
      </c>
      <c r="F197" s="83">
        <f>+Tabla13[[#This Row],[PRECIO INSTALADOR (IVA INCLUIDO)]]*5%</f>
        <v>6087.7530000000006</v>
      </c>
      <c r="G197" s="12">
        <v>0.85</v>
      </c>
      <c r="H197" s="11">
        <f>Tabla13[[#This Row],[COSTO]]*1.19</f>
        <v>103491.80099999999</v>
      </c>
      <c r="I197" s="10"/>
      <c r="J197" s="9"/>
      <c r="K197" s="66">
        <v>86967.9</v>
      </c>
    </row>
    <row r="198" spans="1:11" ht="12.75" x14ac:dyDescent="0.2">
      <c r="A198" s="120" t="s">
        <v>1247</v>
      </c>
      <c r="B198" s="63" t="s">
        <v>1246</v>
      </c>
      <c r="C198" s="62">
        <f>+Tabla13[[#This Row],[Columna6]]/Tabla13[[#This Row],[Columna5]]</f>
        <v>133285.46</v>
      </c>
      <c r="D198" s="62">
        <f>+Tabla13[[#This Row],[PRECIO INSTALADOR (IVA INCLUIDO)]]-F198</f>
        <v>126621.18699999999</v>
      </c>
      <c r="E198" s="62">
        <f>+Tabla13[[#This Row],[PRECIO INSTALADOR (IVA INCLUIDO)]]/0.7</f>
        <v>190407.8</v>
      </c>
      <c r="F198" s="61">
        <f>+Tabla13[[#This Row],[PRECIO INSTALADOR (IVA INCLUIDO)]]*5%</f>
        <v>6664.2730000000001</v>
      </c>
      <c r="G198" s="12">
        <v>0.85</v>
      </c>
      <c r="H198" s="11">
        <f>Tabla13[[#This Row],[COSTO]]*1.19</f>
        <v>113292.64099999999</v>
      </c>
      <c r="I198" s="10"/>
      <c r="J198" s="9"/>
      <c r="K198" s="66">
        <v>95203.9</v>
      </c>
    </row>
    <row r="199" spans="1:11" ht="12.75" x14ac:dyDescent="0.2">
      <c r="A199" s="120" t="s">
        <v>1245</v>
      </c>
      <c r="B199" s="63" t="s">
        <v>1244</v>
      </c>
      <c r="C199" s="62">
        <f>+Tabla13[[#This Row],[Columna6]]/Tabla13[[#This Row],[Columna5]]</f>
        <v>133285.46</v>
      </c>
      <c r="D199" s="62">
        <f>+Tabla13[[#This Row],[PRECIO INSTALADOR (IVA INCLUIDO)]]-F199</f>
        <v>126621.18699999999</v>
      </c>
      <c r="E199" s="62">
        <f>+Tabla13[[#This Row],[PRECIO INSTALADOR (IVA INCLUIDO)]]/0.7</f>
        <v>190407.8</v>
      </c>
      <c r="F199" s="61">
        <f>+Tabla13[[#This Row],[PRECIO INSTALADOR (IVA INCLUIDO)]]*5%</f>
        <v>6664.2730000000001</v>
      </c>
      <c r="G199" s="12">
        <v>0.85</v>
      </c>
      <c r="H199" s="11">
        <f>Tabla13[[#This Row],[COSTO]]*1.19</f>
        <v>113292.64099999999</v>
      </c>
      <c r="I199" s="10"/>
      <c r="J199" s="9"/>
      <c r="K199" s="66">
        <v>95203.9</v>
      </c>
    </row>
    <row r="200" spans="1:11" ht="12.75" x14ac:dyDescent="0.2">
      <c r="A200" s="123"/>
      <c r="B200" s="122" t="s">
        <v>1243</v>
      </c>
      <c r="C200" s="121"/>
      <c r="D200" s="121"/>
      <c r="E200" s="121"/>
      <c r="F200" s="83">
        <f>+Tabla13[[#This Row],[PRECIO INSTALADOR (IVA INCLUIDO)]]*5%</f>
        <v>0</v>
      </c>
      <c r="G200" s="12">
        <v>0.85</v>
      </c>
      <c r="H200" s="11" t="e">
        <f>Tabla13[[#This Row],[COSTO]]*1.19</f>
        <v>#VALUE!</v>
      </c>
      <c r="I200" s="10"/>
      <c r="J200" s="9"/>
      <c r="K200" s="66" t="s">
        <v>261</v>
      </c>
    </row>
    <row r="201" spans="1:11" ht="12.75" x14ac:dyDescent="0.2">
      <c r="A201" s="86" t="s">
        <v>1242</v>
      </c>
      <c r="B201" s="85" t="s">
        <v>1241</v>
      </c>
      <c r="C201" s="84">
        <f>+Tabla13[[#This Row],[Columna6]]/Tabla13[[#This Row],[Columna5]]</f>
        <v>159825.25999999998</v>
      </c>
      <c r="D201" s="84">
        <f>+Tabla13[[#This Row],[PRECIO INSTALADOR (IVA INCLUIDO)]]-F201</f>
        <v>151833.99699999997</v>
      </c>
      <c r="E201" s="84">
        <f>+Tabla13[[#This Row],[PRECIO INSTALADOR (IVA INCLUIDO)]]/0.7</f>
        <v>228321.8</v>
      </c>
      <c r="F201" s="83">
        <f>+Tabla13[[#This Row],[PRECIO INSTALADOR (IVA INCLUIDO)]]*5%</f>
        <v>7991.262999999999</v>
      </c>
      <c r="G201" s="12">
        <v>0.85</v>
      </c>
      <c r="H201" s="11">
        <f>Tabla13[[#This Row],[COSTO]]*1.19</f>
        <v>135851.47099999999</v>
      </c>
      <c r="I201" s="10"/>
      <c r="J201" s="9"/>
      <c r="K201" s="66">
        <v>114160.9</v>
      </c>
    </row>
    <row r="202" spans="1:11" ht="12.75" x14ac:dyDescent="0.2">
      <c r="A202" s="86" t="s">
        <v>1240</v>
      </c>
      <c r="B202" s="85" t="s">
        <v>1239</v>
      </c>
      <c r="C202" s="84">
        <f>+Tabla13[[#This Row],[Columna6]]/Tabla13[[#This Row],[Columna5]]</f>
        <v>158334.25999999998</v>
      </c>
      <c r="D202" s="84">
        <f>+Tabla13[[#This Row],[PRECIO INSTALADOR (IVA INCLUIDO)]]-F202</f>
        <v>150417.54699999999</v>
      </c>
      <c r="E202" s="84">
        <f>+Tabla13[[#This Row],[PRECIO INSTALADOR (IVA INCLUIDO)]]/0.7</f>
        <v>226191.8</v>
      </c>
      <c r="F202" s="83">
        <f>+Tabla13[[#This Row],[PRECIO INSTALADOR (IVA INCLUIDO)]]*5%</f>
        <v>7916.7129999999997</v>
      </c>
      <c r="G202" s="12">
        <v>0.85</v>
      </c>
      <c r="H202" s="11">
        <f>Tabla13[[#This Row],[COSTO]]*1.19</f>
        <v>134584.12099999998</v>
      </c>
      <c r="I202" s="10"/>
      <c r="J202" s="9"/>
      <c r="K202" s="66">
        <v>113095.9</v>
      </c>
    </row>
    <row r="203" spans="1:11" ht="12.75" x14ac:dyDescent="0.2">
      <c r="A203" s="86" t="s">
        <v>1238</v>
      </c>
      <c r="B203" s="85" t="s">
        <v>1237</v>
      </c>
      <c r="C203" s="84">
        <f>+Tabla13[[#This Row],[Columna6]]/Tabla13[[#This Row],[Columna5]]</f>
        <v>158334.25999999998</v>
      </c>
      <c r="D203" s="84">
        <f>+Tabla13[[#This Row],[PRECIO INSTALADOR (IVA INCLUIDO)]]-F203</f>
        <v>150417.54699999999</v>
      </c>
      <c r="E203" s="84">
        <f>+Tabla13[[#This Row],[PRECIO INSTALADOR (IVA INCLUIDO)]]/0.7</f>
        <v>226191.8</v>
      </c>
      <c r="F203" s="83">
        <f>+Tabla13[[#This Row],[PRECIO INSTALADOR (IVA INCLUIDO)]]*5%</f>
        <v>7916.7129999999997</v>
      </c>
      <c r="G203" s="12">
        <v>0.85</v>
      </c>
      <c r="H203" s="11">
        <f>Tabla13[[#This Row],[COSTO]]*1.19</f>
        <v>134584.12099999998</v>
      </c>
      <c r="I203" s="10"/>
      <c r="J203" s="9"/>
      <c r="K203" s="66">
        <v>113095.9</v>
      </c>
    </row>
    <row r="204" spans="1:11" ht="12.75" x14ac:dyDescent="0.2">
      <c r="A204" s="86" t="s">
        <v>1236</v>
      </c>
      <c r="B204" s="85" t="s">
        <v>1235</v>
      </c>
      <c r="C204" s="84">
        <f>+Tabla13[[#This Row],[Columna6]]/Tabla13[[#This Row],[Columna5]]</f>
        <v>158334.25999999998</v>
      </c>
      <c r="D204" s="84">
        <f>+Tabla13[[#This Row],[PRECIO INSTALADOR (IVA INCLUIDO)]]-F204</f>
        <v>150417.54699999999</v>
      </c>
      <c r="E204" s="84">
        <f>+Tabla13[[#This Row],[PRECIO INSTALADOR (IVA INCLUIDO)]]/0.7</f>
        <v>226191.8</v>
      </c>
      <c r="F204" s="83">
        <f>+Tabla13[[#This Row],[PRECIO INSTALADOR (IVA INCLUIDO)]]*5%</f>
        <v>7916.7129999999997</v>
      </c>
      <c r="G204" s="12">
        <v>0.85</v>
      </c>
      <c r="H204" s="11">
        <f>Tabla13[[#This Row],[COSTO]]*1.19</f>
        <v>134584.12099999998</v>
      </c>
      <c r="I204" s="10"/>
      <c r="J204" s="9"/>
      <c r="K204" s="66">
        <v>113095.9</v>
      </c>
    </row>
    <row r="205" spans="1:11" ht="12.75" x14ac:dyDescent="0.2">
      <c r="A205" s="86" t="s">
        <v>1234</v>
      </c>
      <c r="B205" s="85" t="s">
        <v>1233</v>
      </c>
      <c r="C205" s="84">
        <f>+Tabla13[[#This Row],[Columna6]]/Tabla13[[#This Row],[Columna5]]</f>
        <v>158334.25999999998</v>
      </c>
      <c r="D205" s="84">
        <f>+Tabla13[[#This Row],[PRECIO INSTALADOR (IVA INCLUIDO)]]-F205</f>
        <v>150417.54699999999</v>
      </c>
      <c r="E205" s="84">
        <f>+Tabla13[[#This Row],[PRECIO INSTALADOR (IVA INCLUIDO)]]/0.7</f>
        <v>226191.8</v>
      </c>
      <c r="F205" s="83">
        <f>+Tabla13[[#This Row],[PRECIO INSTALADOR (IVA INCLUIDO)]]*5%</f>
        <v>7916.7129999999997</v>
      </c>
      <c r="G205" s="12">
        <v>0.85</v>
      </c>
      <c r="H205" s="11">
        <f>Tabla13[[#This Row],[COSTO]]*1.19</f>
        <v>134584.12099999998</v>
      </c>
      <c r="I205" s="10"/>
      <c r="J205" s="9"/>
      <c r="K205" s="66">
        <v>113095.9</v>
      </c>
    </row>
    <row r="206" spans="1:11" ht="12.75" x14ac:dyDescent="0.2">
      <c r="A206" s="86" t="s">
        <v>1232</v>
      </c>
      <c r="B206" s="85" t="s">
        <v>1231</v>
      </c>
      <c r="C206" s="84">
        <f>+Tabla13[[#This Row],[Columna6]]/Tabla13[[#This Row],[Columna5]]</f>
        <v>159427.66</v>
      </c>
      <c r="D206" s="84">
        <f>+Tabla13[[#This Row],[PRECIO INSTALADOR (IVA INCLUIDO)]]-F206</f>
        <v>151456.277</v>
      </c>
      <c r="E206" s="84">
        <f>+Tabla13[[#This Row],[PRECIO INSTALADOR (IVA INCLUIDO)]]/0.7</f>
        <v>227753.80000000002</v>
      </c>
      <c r="F206" s="83">
        <f>+Tabla13[[#This Row],[PRECIO INSTALADOR (IVA INCLUIDO)]]*5%</f>
        <v>7971.3830000000007</v>
      </c>
      <c r="G206" s="12">
        <v>0.85</v>
      </c>
      <c r="H206" s="11">
        <f>Tabla13[[#This Row],[COSTO]]*1.19</f>
        <v>135513.511</v>
      </c>
      <c r="I206" s="10"/>
      <c r="J206" s="9"/>
      <c r="K206" s="66">
        <v>113876.9</v>
      </c>
    </row>
    <row r="207" spans="1:11" ht="12.75" x14ac:dyDescent="0.2">
      <c r="A207" s="86" t="s">
        <v>1230</v>
      </c>
      <c r="B207" s="85" t="s">
        <v>1229</v>
      </c>
      <c r="C207" s="84">
        <f>+Tabla13[[#This Row],[Columna6]]/Tabla13[[#This Row],[Columna5]]</f>
        <v>159427.66</v>
      </c>
      <c r="D207" s="84">
        <f>+Tabla13[[#This Row],[PRECIO INSTALADOR (IVA INCLUIDO)]]-F207</f>
        <v>151456.277</v>
      </c>
      <c r="E207" s="84">
        <f>+Tabla13[[#This Row],[PRECIO INSTALADOR (IVA INCLUIDO)]]/0.7</f>
        <v>227753.80000000002</v>
      </c>
      <c r="F207" s="83">
        <f>+Tabla13[[#This Row],[PRECIO INSTALADOR (IVA INCLUIDO)]]*5%</f>
        <v>7971.3830000000007</v>
      </c>
      <c r="G207" s="12">
        <v>0.85</v>
      </c>
      <c r="H207" s="11">
        <f>Tabla13[[#This Row],[COSTO]]*1.19</f>
        <v>135513.511</v>
      </c>
      <c r="I207" s="10"/>
      <c r="J207" s="9"/>
      <c r="K207" s="66">
        <v>113876.9</v>
      </c>
    </row>
    <row r="208" spans="1:11" ht="12.75" x14ac:dyDescent="0.2">
      <c r="A208" s="86" t="s">
        <v>1228</v>
      </c>
      <c r="B208" s="85" t="s">
        <v>1227</v>
      </c>
      <c r="C208" s="84">
        <f>+Tabla13[[#This Row],[Columna6]]/Tabla13[[#This Row],[Columna5]]</f>
        <v>167280.25999999998</v>
      </c>
      <c r="D208" s="84">
        <f>+Tabla13[[#This Row],[PRECIO INSTALADOR (IVA INCLUIDO)]]-F208</f>
        <v>158916.24699999997</v>
      </c>
      <c r="E208" s="84">
        <f>+Tabla13[[#This Row],[PRECIO INSTALADOR (IVA INCLUIDO)]]/0.7</f>
        <v>238971.8</v>
      </c>
      <c r="F208" s="83">
        <f>+Tabla13[[#This Row],[PRECIO INSTALADOR (IVA INCLUIDO)]]*5%</f>
        <v>8364.012999999999</v>
      </c>
      <c r="G208" s="12">
        <v>0.85</v>
      </c>
      <c r="H208" s="11">
        <f>Tabla13[[#This Row],[COSTO]]*1.19</f>
        <v>142188.22099999999</v>
      </c>
      <c r="I208" s="10"/>
      <c r="J208" s="9"/>
      <c r="K208" s="66">
        <v>119485.9</v>
      </c>
    </row>
    <row r="209" spans="1:11" ht="12.75" x14ac:dyDescent="0.2">
      <c r="A209" s="86" t="s">
        <v>1226</v>
      </c>
      <c r="B209" s="85" t="s">
        <v>1225</v>
      </c>
      <c r="C209" s="84">
        <f>+Tabla13[[#This Row],[Columna6]]/Tabla13[[#This Row],[Columna5]]</f>
        <v>167280.25999999998</v>
      </c>
      <c r="D209" s="84">
        <f>+Tabla13[[#This Row],[PRECIO INSTALADOR (IVA INCLUIDO)]]-F209</f>
        <v>158916.24699999997</v>
      </c>
      <c r="E209" s="84">
        <f>+Tabla13[[#This Row],[PRECIO INSTALADOR (IVA INCLUIDO)]]/0.7</f>
        <v>238971.8</v>
      </c>
      <c r="F209" s="83">
        <f>+Tabla13[[#This Row],[PRECIO INSTALADOR (IVA INCLUIDO)]]*5%</f>
        <v>8364.012999999999</v>
      </c>
      <c r="G209" s="12">
        <v>0.85</v>
      </c>
      <c r="H209" s="11">
        <f>Tabla13[[#This Row],[COSTO]]*1.19</f>
        <v>142188.22099999999</v>
      </c>
      <c r="I209" s="10"/>
      <c r="J209" s="9"/>
      <c r="K209" s="66">
        <v>119485.9</v>
      </c>
    </row>
    <row r="210" spans="1:11" ht="12.75" x14ac:dyDescent="0.2">
      <c r="A210" s="86" t="s">
        <v>1224</v>
      </c>
      <c r="B210" s="85" t="s">
        <v>1223</v>
      </c>
      <c r="C210" s="84">
        <f>+Tabla13[[#This Row],[Columna6]]/Tabla13[[#This Row],[Columna5]]</f>
        <v>167280.25999999998</v>
      </c>
      <c r="D210" s="84">
        <f>+Tabla13[[#This Row],[PRECIO INSTALADOR (IVA INCLUIDO)]]-F210</f>
        <v>158916.24699999997</v>
      </c>
      <c r="E210" s="84">
        <f>+Tabla13[[#This Row],[PRECIO INSTALADOR (IVA INCLUIDO)]]/0.7</f>
        <v>238971.8</v>
      </c>
      <c r="F210" s="83">
        <f>+Tabla13[[#This Row],[PRECIO INSTALADOR (IVA INCLUIDO)]]*5%</f>
        <v>8364.012999999999</v>
      </c>
      <c r="G210" s="12">
        <v>0.85</v>
      </c>
      <c r="H210" s="11">
        <f>Tabla13[[#This Row],[COSTO]]*1.19</f>
        <v>142188.22099999999</v>
      </c>
      <c r="I210" s="10"/>
      <c r="J210" s="9"/>
      <c r="K210" s="66">
        <v>119485.9</v>
      </c>
    </row>
    <row r="211" spans="1:11" ht="12.75" x14ac:dyDescent="0.2">
      <c r="A211" s="86" t="s">
        <v>1222</v>
      </c>
      <c r="B211" s="85" t="s">
        <v>1221</v>
      </c>
      <c r="C211" s="84">
        <f>+Tabla13[[#This Row],[Columna6]]/Tabla13[[#This Row],[Columna5]]</f>
        <v>167280.25999999998</v>
      </c>
      <c r="D211" s="84">
        <f>+Tabla13[[#This Row],[PRECIO INSTALADOR (IVA INCLUIDO)]]-F211</f>
        <v>158916.24699999997</v>
      </c>
      <c r="E211" s="84">
        <f>+Tabla13[[#This Row],[PRECIO INSTALADOR (IVA INCLUIDO)]]/0.7</f>
        <v>238971.8</v>
      </c>
      <c r="F211" s="83">
        <f>+Tabla13[[#This Row],[PRECIO INSTALADOR (IVA INCLUIDO)]]*5%</f>
        <v>8364.012999999999</v>
      </c>
      <c r="G211" s="12">
        <v>0.85</v>
      </c>
      <c r="H211" s="11">
        <f>Tabla13[[#This Row],[COSTO]]*1.19</f>
        <v>142188.22099999999</v>
      </c>
      <c r="I211" s="10"/>
      <c r="J211" s="9"/>
      <c r="K211" s="66">
        <v>119485.9</v>
      </c>
    </row>
    <row r="212" spans="1:11" ht="12.75" x14ac:dyDescent="0.2">
      <c r="A212" s="86" t="s">
        <v>1220</v>
      </c>
      <c r="B212" s="85" t="s">
        <v>1219</v>
      </c>
      <c r="C212" s="84">
        <f>+Tabla13[[#This Row],[Columna6]]/Tabla13[[#This Row],[Columna5]]</f>
        <v>167280.25999999998</v>
      </c>
      <c r="D212" s="84">
        <f>+Tabla13[[#This Row],[PRECIO INSTALADOR (IVA INCLUIDO)]]-F212</f>
        <v>158916.24699999997</v>
      </c>
      <c r="E212" s="84">
        <f>+Tabla13[[#This Row],[PRECIO INSTALADOR (IVA INCLUIDO)]]/0.7</f>
        <v>238971.8</v>
      </c>
      <c r="F212" s="83">
        <f>+Tabla13[[#This Row],[PRECIO INSTALADOR (IVA INCLUIDO)]]*5%</f>
        <v>8364.012999999999</v>
      </c>
      <c r="G212" s="12">
        <v>0.85</v>
      </c>
      <c r="H212" s="11">
        <f>Tabla13[[#This Row],[COSTO]]*1.19</f>
        <v>142188.22099999999</v>
      </c>
      <c r="I212" s="10"/>
      <c r="J212" s="9"/>
      <c r="K212" s="66">
        <v>119485.9</v>
      </c>
    </row>
    <row r="213" spans="1:11" ht="12.75" x14ac:dyDescent="0.2">
      <c r="A213" s="86" t="s">
        <v>1218</v>
      </c>
      <c r="B213" s="85" t="s">
        <v>1217</v>
      </c>
      <c r="C213" s="84">
        <f>+Tabla13[[#This Row],[Columna6]]/Tabla13[[#This Row],[Columna5]]</f>
        <v>167280.25999999998</v>
      </c>
      <c r="D213" s="84">
        <f>+Tabla13[[#This Row],[PRECIO INSTALADOR (IVA INCLUIDO)]]-F213</f>
        <v>158916.24699999997</v>
      </c>
      <c r="E213" s="84">
        <f>+Tabla13[[#This Row],[PRECIO INSTALADOR (IVA INCLUIDO)]]/0.7</f>
        <v>238971.8</v>
      </c>
      <c r="F213" s="83">
        <f>+Tabla13[[#This Row],[PRECIO INSTALADOR (IVA INCLUIDO)]]*5%</f>
        <v>8364.012999999999</v>
      </c>
      <c r="G213" s="12">
        <v>0.85</v>
      </c>
      <c r="H213" s="11">
        <f>Tabla13[[#This Row],[COSTO]]*1.19</f>
        <v>142188.22099999999</v>
      </c>
      <c r="I213" s="10"/>
      <c r="J213" s="9"/>
      <c r="K213" s="66">
        <v>119485.9</v>
      </c>
    </row>
    <row r="214" spans="1:11" ht="12.75" x14ac:dyDescent="0.2">
      <c r="A214" s="86" t="s">
        <v>1216</v>
      </c>
      <c r="B214" s="85" t="s">
        <v>1215</v>
      </c>
      <c r="C214" s="84">
        <f>+Tabla13[[#This Row],[Columna6]]/Tabla13[[#This Row],[Columna5]]</f>
        <v>167280.25999999998</v>
      </c>
      <c r="D214" s="84">
        <f>+Tabla13[[#This Row],[PRECIO INSTALADOR (IVA INCLUIDO)]]-F214</f>
        <v>158916.24699999997</v>
      </c>
      <c r="E214" s="84">
        <f>+Tabla13[[#This Row],[PRECIO INSTALADOR (IVA INCLUIDO)]]/0.7</f>
        <v>238971.8</v>
      </c>
      <c r="F214" s="83">
        <f>+Tabla13[[#This Row],[PRECIO INSTALADOR (IVA INCLUIDO)]]*5%</f>
        <v>8364.012999999999</v>
      </c>
      <c r="G214" s="12">
        <v>0.85</v>
      </c>
      <c r="H214" s="11">
        <f>Tabla13[[#This Row],[COSTO]]*1.19</f>
        <v>142188.22099999999</v>
      </c>
      <c r="I214" s="10"/>
      <c r="J214" s="9"/>
      <c r="K214" s="66">
        <v>119485.9</v>
      </c>
    </row>
    <row r="215" spans="1:11" ht="12.75" x14ac:dyDescent="0.2">
      <c r="A215" s="86" t="s">
        <v>1214</v>
      </c>
      <c r="B215" s="85" t="s">
        <v>1213</v>
      </c>
      <c r="C215" s="84">
        <f>+Tabla13[[#This Row],[Columna6]]/Tabla13[[#This Row],[Columna5]]</f>
        <v>167280.25999999998</v>
      </c>
      <c r="D215" s="84">
        <f>+Tabla13[[#This Row],[PRECIO INSTALADOR (IVA INCLUIDO)]]-F215</f>
        <v>158916.24699999997</v>
      </c>
      <c r="E215" s="84">
        <f>+Tabla13[[#This Row],[PRECIO INSTALADOR (IVA INCLUIDO)]]/0.7</f>
        <v>238971.8</v>
      </c>
      <c r="F215" s="83">
        <f>+Tabla13[[#This Row],[PRECIO INSTALADOR (IVA INCLUIDO)]]*5%</f>
        <v>8364.012999999999</v>
      </c>
      <c r="G215" s="12">
        <v>0.85</v>
      </c>
      <c r="H215" s="11">
        <f>Tabla13[[#This Row],[COSTO]]*1.19</f>
        <v>142188.22099999999</v>
      </c>
      <c r="I215" s="10"/>
      <c r="J215" s="9"/>
      <c r="K215" s="66">
        <v>119485.9</v>
      </c>
    </row>
    <row r="216" spans="1:11" ht="12.75" x14ac:dyDescent="0.2">
      <c r="A216" s="86" t="s">
        <v>1212</v>
      </c>
      <c r="B216" s="85" t="s">
        <v>1211</v>
      </c>
      <c r="C216" s="84">
        <f>+Tabla13[[#This Row],[Columna6]]/Tabla13[[#This Row],[Columna5]]</f>
        <v>167280.25999999998</v>
      </c>
      <c r="D216" s="84">
        <f>+Tabla13[[#This Row],[PRECIO INSTALADOR (IVA INCLUIDO)]]-F216</f>
        <v>158916.24699999997</v>
      </c>
      <c r="E216" s="84">
        <f>+Tabla13[[#This Row],[PRECIO INSTALADOR (IVA INCLUIDO)]]/0.7</f>
        <v>238971.8</v>
      </c>
      <c r="F216" s="83">
        <f>+Tabla13[[#This Row],[PRECIO INSTALADOR (IVA INCLUIDO)]]*5%</f>
        <v>8364.012999999999</v>
      </c>
      <c r="G216" s="12">
        <v>0.85</v>
      </c>
      <c r="H216" s="11">
        <f>Tabla13[[#This Row],[COSTO]]*1.19</f>
        <v>142188.22099999999</v>
      </c>
      <c r="I216" s="10"/>
      <c r="J216" s="9"/>
      <c r="K216" s="66">
        <v>119485.9</v>
      </c>
    </row>
    <row r="217" spans="1:11" ht="12.75" x14ac:dyDescent="0.2">
      <c r="A217" s="86" t="s">
        <v>1210</v>
      </c>
      <c r="B217" s="85" t="s">
        <v>1209</v>
      </c>
      <c r="C217" s="84">
        <f>+Tabla13[[#This Row],[Columna6]]/Tabla13[[#This Row],[Columna5]]</f>
        <v>175331.66</v>
      </c>
      <c r="D217" s="84">
        <f>+Tabla13[[#This Row],[PRECIO INSTALADOR (IVA INCLUIDO)]]-F217</f>
        <v>166565.07699999999</v>
      </c>
      <c r="E217" s="84">
        <f>+Tabla13[[#This Row],[PRECIO INSTALADOR (IVA INCLUIDO)]]/0.7</f>
        <v>250473.80000000002</v>
      </c>
      <c r="F217" s="83">
        <f>+Tabla13[[#This Row],[PRECIO INSTALADOR (IVA INCLUIDO)]]*5%</f>
        <v>8766.5830000000005</v>
      </c>
      <c r="G217" s="12">
        <v>0.85</v>
      </c>
      <c r="H217" s="11">
        <f>Tabla13[[#This Row],[COSTO]]*1.19</f>
        <v>149031.91099999999</v>
      </c>
      <c r="I217" s="10"/>
      <c r="J217" s="9"/>
      <c r="K217" s="66">
        <v>125236.9</v>
      </c>
    </row>
    <row r="218" spans="1:11" ht="12.75" x14ac:dyDescent="0.2">
      <c r="A218" s="86" t="s">
        <v>1208</v>
      </c>
      <c r="B218" s="85" t="s">
        <v>1207</v>
      </c>
      <c r="C218" s="84">
        <f>+Tabla13[[#This Row],[Columna6]]/Tabla13[[#This Row],[Columna5]]</f>
        <v>175331.66</v>
      </c>
      <c r="D218" s="84">
        <f>+Tabla13[[#This Row],[PRECIO INSTALADOR (IVA INCLUIDO)]]-F218</f>
        <v>166565.07699999999</v>
      </c>
      <c r="E218" s="84">
        <f>+Tabla13[[#This Row],[PRECIO INSTALADOR (IVA INCLUIDO)]]/0.7</f>
        <v>250473.80000000002</v>
      </c>
      <c r="F218" s="83">
        <f>+Tabla13[[#This Row],[PRECIO INSTALADOR (IVA INCLUIDO)]]*5%</f>
        <v>8766.5830000000005</v>
      </c>
      <c r="G218" s="12">
        <v>0.85</v>
      </c>
      <c r="H218" s="11">
        <f>Tabla13[[#This Row],[COSTO]]*1.19</f>
        <v>149031.91099999999</v>
      </c>
      <c r="I218" s="10"/>
      <c r="J218" s="9"/>
      <c r="K218" s="66">
        <v>125236.9</v>
      </c>
    </row>
    <row r="219" spans="1:11" ht="12.75" x14ac:dyDescent="0.2">
      <c r="A219" s="86" t="s">
        <v>1206</v>
      </c>
      <c r="B219" s="85" t="s">
        <v>1205</v>
      </c>
      <c r="C219" s="84">
        <f>+Tabla13[[#This Row],[Columna6]]/Tabla13[[#This Row],[Columna5]]</f>
        <v>175331.66</v>
      </c>
      <c r="D219" s="84">
        <f>+Tabla13[[#This Row],[PRECIO INSTALADOR (IVA INCLUIDO)]]-F219</f>
        <v>166565.07699999999</v>
      </c>
      <c r="E219" s="84">
        <f>+Tabla13[[#This Row],[PRECIO INSTALADOR (IVA INCLUIDO)]]/0.7</f>
        <v>250473.80000000002</v>
      </c>
      <c r="F219" s="83">
        <f>+Tabla13[[#This Row],[PRECIO INSTALADOR (IVA INCLUIDO)]]*5%</f>
        <v>8766.5830000000005</v>
      </c>
      <c r="G219" s="12">
        <v>0.85</v>
      </c>
      <c r="H219" s="11">
        <f>Tabla13[[#This Row],[COSTO]]*1.19</f>
        <v>149031.91099999999</v>
      </c>
      <c r="I219" s="10"/>
      <c r="J219" s="9"/>
      <c r="K219" s="66">
        <v>125236.9</v>
      </c>
    </row>
    <row r="220" spans="1:11" ht="12.75" x14ac:dyDescent="0.2">
      <c r="A220" s="86" t="s">
        <v>1204</v>
      </c>
      <c r="B220" s="85" t="s">
        <v>1203</v>
      </c>
      <c r="C220" s="84">
        <f>+Tabla13[[#This Row],[Columna6]]/Tabla13[[#This Row],[Columna5]]</f>
        <v>175331.66</v>
      </c>
      <c r="D220" s="84">
        <f>+Tabla13[[#This Row],[PRECIO INSTALADOR (IVA INCLUIDO)]]-F220</f>
        <v>166565.07699999999</v>
      </c>
      <c r="E220" s="84">
        <f>+Tabla13[[#This Row],[PRECIO INSTALADOR (IVA INCLUIDO)]]/0.7</f>
        <v>250473.80000000002</v>
      </c>
      <c r="F220" s="83">
        <f>+Tabla13[[#This Row],[PRECIO INSTALADOR (IVA INCLUIDO)]]*5%</f>
        <v>8766.5830000000005</v>
      </c>
      <c r="G220" s="12">
        <v>0.85</v>
      </c>
      <c r="H220" s="11">
        <f>Tabla13[[#This Row],[COSTO]]*1.19</f>
        <v>149031.91099999999</v>
      </c>
      <c r="I220" s="10"/>
      <c r="J220" s="9"/>
      <c r="K220" s="66">
        <v>125236.9</v>
      </c>
    </row>
    <row r="221" spans="1:11" ht="12.75" x14ac:dyDescent="0.2">
      <c r="A221" s="86" t="s">
        <v>1202</v>
      </c>
      <c r="B221" s="85" t="s">
        <v>1201</v>
      </c>
      <c r="C221" s="84">
        <f>+Tabla13[[#This Row],[Columna6]]/Tabla13[[#This Row],[Columna5]]</f>
        <v>185371.06</v>
      </c>
      <c r="D221" s="84">
        <f>+Tabla13[[#This Row],[PRECIO INSTALADOR (IVA INCLUIDO)]]-F221</f>
        <v>176102.50699999998</v>
      </c>
      <c r="E221" s="84">
        <f>+Tabla13[[#This Row],[PRECIO INSTALADOR (IVA INCLUIDO)]]/0.7</f>
        <v>264815.8</v>
      </c>
      <c r="F221" s="83">
        <f>+Tabla13[[#This Row],[PRECIO INSTALADOR (IVA INCLUIDO)]]*5%</f>
        <v>9268.5529999999999</v>
      </c>
      <c r="G221" s="12">
        <v>0.85</v>
      </c>
      <c r="H221" s="11">
        <f>Tabla13[[#This Row],[COSTO]]*1.19</f>
        <v>157565.40099999998</v>
      </c>
      <c r="I221" s="10"/>
      <c r="J221" s="9"/>
      <c r="K221" s="66">
        <v>132407.9</v>
      </c>
    </row>
    <row r="222" spans="1:11" ht="12.75" x14ac:dyDescent="0.2">
      <c r="A222" s="86" t="s">
        <v>1200</v>
      </c>
      <c r="B222" s="85" t="s">
        <v>1199</v>
      </c>
      <c r="C222" s="84">
        <f>+Tabla13[[#This Row],[Columna6]]/Tabla13[[#This Row],[Columna5]]</f>
        <v>185371.06</v>
      </c>
      <c r="D222" s="84">
        <f>+Tabla13[[#This Row],[PRECIO INSTALADOR (IVA INCLUIDO)]]-F222</f>
        <v>176102.50699999998</v>
      </c>
      <c r="E222" s="84">
        <f>+Tabla13[[#This Row],[PRECIO INSTALADOR (IVA INCLUIDO)]]/0.7</f>
        <v>264815.8</v>
      </c>
      <c r="F222" s="83">
        <f>+Tabla13[[#This Row],[PRECIO INSTALADOR (IVA INCLUIDO)]]*5%</f>
        <v>9268.5529999999999</v>
      </c>
      <c r="G222" s="12">
        <v>0.85</v>
      </c>
      <c r="H222" s="11">
        <f>Tabla13[[#This Row],[COSTO]]*1.19</f>
        <v>157565.40099999998</v>
      </c>
      <c r="I222" s="10"/>
      <c r="J222" s="9"/>
      <c r="K222" s="66">
        <v>132407.9</v>
      </c>
    </row>
    <row r="223" spans="1:11" ht="12.75" x14ac:dyDescent="0.2">
      <c r="A223" s="86" t="s">
        <v>1198</v>
      </c>
      <c r="B223" s="85" t="s">
        <v>1197</v>
      </c>
      <c r="C223" s="84">
        <f>+Tabla13[[#This Row],[Columna6]]/Tabla13[[#This Row],[Columna5]]</f>
        <v>185371.06</v>
      </c>
      <c r="D223" s="84">
        <f>+Tabla13[[#This Row],[PRECIO INSTALADOR (IVA INCLUIDO)]]-F223</f>
        <v>176102.50699999998</v>
      </c>
      <c r="E223" s="84">
        <f>+Tabla13[[#This Row],[PRECIO INSTALADOR (IVA INCLUIDO)]]/0.7</f>
        <v>264815.8</v>
      </c>
      <c r="F223" s="83">
        <f>+Tabla13[[#This Row],[PRECIO INSTALADOR (IVA INCLUIDO)]]*5%</f>
        <v>9268.5529999999999</v>
      </c>
      <c r="G223" s="12">
        <v>0.85</v>
      </c>
      <c r="H223" s="11">
        <f>Tabla13[[#This Row],[COSTO]]*1.19</f>
        <v>157565.40099999998</v>
      </c>
      <c r="I223" s="10"/>
      <c r="J223" s="9"/>
      <c r="K223" s="66">
        <v>132407.9</v>
      </c>
    </row>
    <row r="224" spans="1:11" ht="12.75" x14ac:dyDescent="0.2">
      <c r="A224" s="86" t="s">
        <v>1196</v>
      </c>
      <c r="B224" s="85" t="s">
        <v>1195</v>
      </c>
      <c r="C224" s="84">
        <f>+Tabla13[[#This Row],[Columna6]]/Tabla13[[#This Row],[Columna5]]</f>
        <v>158334.25999999998</v>
      </c>
      <c r="D224" s="84">
        <f>+Tabla13[[#This Row],[PRECIO INSTALADOR (IVA INCLUIDO)]]-F224</f>
        <v>150417.54699999999</v>
      </c>
      <c r="E224" s="84">
        <f>+Tabla13[[#This Row],[PRECIO INSTALADOR (IVA INCLUIDO)]]/0.7</f>
        <v>226191.8</v>
      </c>
      <c r="F224" s="83">
        <f>+Tabla13[[#This Row],[PRECIO INSTALADOR (IVA INCLUIDO)]]*5%</f>
        <v>7916.7129999999997</v>
      </c>
      <c r="G224" s="12">
        <v>0.85</v>
      </c>
      <c r="H224" s="11">
        <f>Tabla13[[#This Row],[COSTO]]*1.19</f>
        <v>134584.12099999998</v>
      </c>
      <c r="I224" s="10"/>
      <c r="J224" s="9"/>
      <c r="K224" s="66">
        <v>113095.9</v>
      </c>
    </row>
    <row r="225" spans="1:11" ht="12.75" x14ac:dyDescent="0.2">
      <c r="A225" s="86" t="s">
        <v>1194</v>
      </c>
      <c r="B225" s="85" t="s">
        <v>1193</v>
      </c>
      <c r="C225" s="84">
        <f>+Tabla13[[#This Row],[Columna6]]/Tabla13[[#This Row],[Columna5]]</f>
        <v>158334.25999999998</v>
      </c>
      <c r="D225" s="84">
        <f>+Tabla13[[#This Row],[PRECIO INSTALADOR (IVA INCLUIDO)]]-F225</f>
        <v>150417.54699999999</v>
      </c>
      <c r="E225" s="84">
        <f>+Tabla13[[#This Row],[PRECIO INSTALADOR (IVA INCLUIDO)]]/0.7</f>
        <v>226191.8</v>
      </c>
      <c r="F225" s="83">
        <f>+Tabla13[[#This Row],[PRECIO INSTALADOR (IVA INCLUIDO)]]*5%</f>
        <v>7916.7129999999997</v>
      </c>
      <c r="G225" s="12">
        <v>0.85</v>
      </c>
      <c r="H225" s="11">
        <f>Tabla13[[#This Row],[COSTO]]*1.19</f>
        <v>134584.12099999998</v>
      </c>
      <c r="I225" s="10"/>
      <c r="J225" s="9"/>
      <c r="K225" s="66">
        <v>113095.9</v>
      </c>
    </row>
    <row r="226" spans="1:11" ht="12.75" x14ac:dyDescent="0.2">
      <c r="A226" s="86" t="s">
        <v>1192</v>
      </c>
      <c r="B226" s="85" t="s">
        <v>1191</v>
      </c>
      <c r="C226" s="84">
        <f>+Tabla13[[#This Row],[Columna6]]/Tabla13[[#This Row],[Columna5]]</f>
        <v>158334.25999999998</v>
      </c>
      <c r="D226" s="84">
        <f>+Tabla13[[#This Row],[PRECIO INSTALADOR (IVA INCLUIDO)]]-F226</f>
        <v>150417.54699999999</v>
      </c>
      <c r="E226" s="84">
        <f>+Tabla13[[#This Row],[PRECIO INSTALADOR (IVA INCLUIDO)]]/0.7</f>
        <v>226191.8</v>
      </c>
      <c r="F226" s="83">
        <f>+Tabla13[[#This Row],[PRECIO INSTALADOR (IVA INCLUIDO)]]*5%</f>
        <v>7916.7129999999997</v>
      </c>
      <c r="G226" s="12">
        <v>0.85</v>
      </c>
      <c r="H226" s="11">
        <f>Tabla13[[#This Row],[COSTO]]*1.19</f>
        <v>134584.12099999998</v>
      </c>
      <c r="I226" s="10"/>
      <c r="J226" s="9"/>
      <c r="K226" s="66">
        <v>113095.9</v>
      </c>
    </row>
    <row r="227" spans="1:11" ht="12.75" x14ac:dyDescent="0.2">
      <c r="A227" s="86" t="s">
        <v>1190</v>
      </c>
      <c r="B227" s="85" t="s">
        <v>1189</v>
      </c>
      <c r="C227" s="84">
        <f>+Tabla13[[#This Row],[Columna6]]/Tabla13[[#This Row],[Columna5]]</f>
        <v>167280.25999999998</v>
      </c>
      <c r="D227" s="84">
        <f>+Tabla13[[#This Row],[PRECIO INSTALADOR (IVA INCLUIDO)]]-F227</f>
        <v>158916.24699999997</v>
      </c>
      <c r="E227" s="84">
        <f>+Tabla13[[#This Row],[PRECIO INSTALADOR (IVA INCLUIDO)]]/0.7</f>
        <v>238971.8</v>
      </c>
      <c r="F227" s="83">
        <f>+Tabla13[[#This Row],[PRECIO INSTALADOR (IVA INCLUIDO)]]*5%</f>
        <v>8364.012999999999</v>
      </c>
      <c r="G227" s="12">
        <v>0.85</v>
      </c>
      <c r="H227" s="11">
        <f>Tabla13[[#This Row],[COSTO]]*1.19</f>
        <v>142188.22099999999</v>
      </c>
      <c r="I227" s="10"/>
      <c r="J227" s="9"/>
      <c r="K227" s="66">
        <v>119485.9</v>
      </c>
    </row>
    <row r="228" spans="1:11" ht="12.75" x14ac:dyDescent="0.2">
      <c r="A228" s="86" t="s">
        <v>1188</v>
      </c>
      <c r="B228" s="85" t="s">
        <v>1187</v>
      </c>
      <c r="C228" s="84">
        <f>+Tabla13[[#This Row],[Columna6]]/Tabla13[[#This Row],[Columna5]]</f>
        <v>167280.25999999998</v>
      </c>
      <c r="D228" s="84">
        <f>+Tabla13[[#This Row],[PRECIO INSTALADOR (IVA INCLUIDO)]]-F228</f>
        <v>158916.24699999997</v>
      </c>
      <c r="E228" s="84">
        <f>+Tabla13[[#This Row],[PRECIO INSTALADOR (IVA INCLUIDO)]]/0.7</f>
        <v>238971.8</v>
      </c>
      <c r="F228" s="83">
        <f>+Tabla13[[#This Row],[PRECIO INSTALADOR (IVA INCLUIDO)]]*5%</f>
        <v>8364.012999999999</v>
      </c>
      <c r="G228" s="12">
        <v>0.85</v>
      </c>
      <c r="H228" s="11">
        <f>Tabla13[[#This Row],[COSTO]]*1.19</f>
        <v>142188.22099999999</v>
      </c>
      <c r="I228" s="10"/>
      <c r="J228" s="9"/>
      <c r="K228" s="66">
        <v>119485.9</v>
      </c>
    </row>
    <row r="229" spans="1:11" ht="12.75" x14ac:dyDescent="0.2">
      <c r="A229" s="86" t="s">
        <v>1186</v>
      </c>
      <c r="B229" s="85" t="s">
        <v>1185</v>
      </c>
      <c r="C229" s="84">
        <f>+Tabla13[[#This Row],[Columna6]]/Tabla13[[#This Row],[Columna5]]</f>
        <v>167280.25999999998</v>
      </c>
      <c r="D229" s="84">
        <f>+Tabla13[[#This Row],[PRECIO INSTALADOR (IVA INCLUIDO)]]-F229</f>
        <v>158916.24699999997</v>
      </c>
      <c r="E229" s="84">
        <f>+Tabla13[[#This Row],[PRECIO INSTALADOR (IVA INCLUIDO)]]/0.7</f>
        <v>238971.8</v>
      </c>
      <c r="F229" s="83">
        <f>+Tabla13[[#This Row],[PRECIO INSTALADOR (IVA INCLUIDO)]]*5%</f>
        <v>8364.012999999999</v>
      </c>
      <c r="G229" s="12">
        <v>0.85</v>
      </c>
      <c r="H229" s="11">
        <f>Tabla13[[#This Row],[COSTO]]*1.19</f>
        <v>142188.22099999999</v>
      </c>
      <c r="I229" s="10"/>
      <c r="J229" s="9"/>
      <c r="K229" s="66">
        <v>119485.9</v>
      </c>
    </row>
    <row r="230" spans="1:11" ht="12.75" x14ac:dyDescent="0.2">
      <c r="A230" s="86" t="s">
        <v>1184</v>
      </c>
      <c r="B230" s="85" t="s">
        <v>1183</v>
      </c>
      <c r="C230" s="84">
        <f>+Tabla13[[#This Row],[Columna6]]/Tabla13[[#This Row],[Columna5]]</f>
        <v>167280.25999999998</v>
      </c>
      <c r="D230" s="84">
        <f>+Tabla13[[#This Row],[PRECIO INSTALADOR (IVA INCLUIDO)]]-F230</f>
        <v>158916.24699999997</v>
      </c>
      <c r="E230" s="84">
        <f>+Tabla13[[#This Row],[PRECIO INSTALADOR (IVA INCLUIDO)]]/0.7</f>
        <v>238971.8</v>
      </c>
      <c r="F230" s="83">
        <f>+Tabla13[[#This Row],[PRECIO INSTALADOR (IVA INCLUIDO)]]*5%</f>
        <v>8364.012999999999</v>
      </c>
      <c r="G230" s="12">
        <v>0.85</v>
      </c>
      <c r="H230" s="11">
        <f>Tabla13[[#This Row],[COSTO]]*1.19</f>
        <v>142188.22099999999</v>
      </c>
      <c r="I230" s="10"/>
      <c r="J230" s="9"/>
      <c r="K230" s="66">
        <v>119485.9</v>
      </c>
    </row>
    <row r="231" spans="1:11" ht="12.75" x14ac:dyDescent="0.2">
      <c r="A231" s="86" t="s">
        <v>1182</v>
      </c>
      <c r="B231" s="85" t="s">
        <v>1181</v>
      </c>
      <c r="C231" s="84">
        <f>+Tabla13[[#This Row],[Columna6]]/Tabla13[[#This Row],[Columna5]]</f>
        <v>175331.66</v>
      </c>
      <c r="D231" s="84">
        <f>+Tabla13[[#This Row],[PRECIO INSTALADOR (IVA INCLUIDO)]]-F231</f>
        <v>166565.07699999999</v>
      </c>
      <c r="E231" s="84">
        <f>+Tabla13[[#This Row],[PRECIO INSTALADOR (IVA INCLUIDO)]]/0.7</f>
        <v>250473.80000000002</v>
      </c>
      <c r="F231" s="83">
        <f>+Tabla13[[#This Row],[PRECIO INSTALADOR (IVA INCLUIDO)]]*5%</f>
        <v>8766.5830000000005</v>
      </c>
      <c r="G231" s="12">
        <v>0.85</v>
      </c>
      <c r="H231" s="11">
        <f>Tabla13[[#This Row],[COSTO]]*1.19</f>
        <v>149031.91099999999</v>
      </c>
      <c r="I231" s="10"/>
      <c r="J231" s="9"/>
      <c r="K231" s="66">
        <v>125236.9</v>
      </c>
    </row>
    <row r="232" spans="1:11" ht="12.75" x14ac:dyDescent="0.2">
      <c r="A232" s="86" t="s">
        <v>1180</v>
      </c>
      <c r="B232" s="85" t="s">
        <v>1179</v>
      </c>
      <c r="C232" s="84">
        <f>+Tabla13[[#This Row],[Columna6]]/Tabla13[[#This Row],[Columna5]]</f>
        <v>175331.66</v>
      </c>
      <c r="D232" s="84">
        <f>+Tabla13[[#This Row],[PRECIO INSTALADOR (IVA INCLUIDO)]]-F232</f>
        <v>166565.07699999999</v>
      </c>
      <c r="E232" s="84">
        <f>+Tabla13[[#This Row],[PRECIO INSTALADOR (IVA INCLUIDO)]]/0.7</f>
        <v>250473.80000000002</v>
      </c>
      <c r="F232" s="83">
        <f>+Tabla13[[#This Row],[PRECIO INSTALADOR (IVA INCLUIDO)]]*5%</f>
        <v>8766.5830000000005</v>
      </c>
      <c r="G232" s="12">
        <v>0.85</v>
      </c>
      <c r="H232" s="11">
        <f>Tabla13[[#This Row],[COSTO]]*1.19</f>
        <v>149031.91099999999</v>
      </c>
      <c r="I232" s="10"/>
      <c r="J232" s="9"/>
      <c r="K232" s="66">
        <v>125236.9</v>
      </c>
    </row>
    <row r="233" spans="1:11" ht="12.75" x14ac:dyDescent="0.2">
      <c r="A233" s="86" t="s">
        <v>1178</v>
      </c>
      <c r="B233" s="85" t="s">
        <v>1177</v>
      </c>
      <c r="C233" s="84">
        <f>+Tabla13[[#This Row],[Columna6]]/Tabla13[[#This Row],[Columna5]]</f>
        <v>175331.66</v>
      </c>
      <c r="D233" s="84">
        <f>+Tabla13[[#This Row],[PRECIO INSTALADOR (IVA INCLUIDO)]]-F233</f>
        <v>166565.07699999999</v>
      </c>
      <c r="E233" s="84">
        <f>+Tabla13[[#This Row],[PRECIO INSTALADOR (IVA INCLUIDO)]]/0.7</f>
        <v>250473.80000000002</v>
      </c>
      <c r="F233" s="83">
        <f>+Tabla13[[#This Row],[PRECIO INSTALADOR (IVA INCLUIDO)]]*5%</f>
        <v>8766.5830000000005</v>
      </c>
      <c r="G233" s="12">
        <v>0.85</v>
      </c>
      <c r="H233" s="11">
        <f>Tabla13[[#This Row],[COSTO]]*1.19</f>
        <v>149031.91099999999</v>
      </c>
      <c r="I233" s="10"/>
      <c r="J233" s="9"/>
      <c r="K233" s="66">
        <v>125236.9</v>
      </c>
    </row>
    <row r="234" spans="1:11" ht="12.75" x14ac:dyDescent="0.2">
      <c r="A234" s="86" t="s">
        <v>1176</v>
      </c>
      <c r="B234" s="85" t="s">
        <v>1175</v>
      </c>
      <c r="C234" s="84">
        <f>+Tabla13[[#This Row],[Columna6]]/Tabla13[[#This Row],[Columna5]]</f>
        <v>175331.66</v>
      </c>
      <c r="D234" s="84">
        <f>+Tabla13[[#This Row],[PRECIO INSTALADOR (IVA INCLUIDO)]]-F234</f>
        <v>166565.07699999999</v>
      </c>
      <c r="E234" s="84">
        <f>+Tabla13[[#This Row],[PRECIO INSTALADOR (IVA INCLUIDO)]]/0.7</f>
        <v>250473.80000000002</v>
      </c>
      <c r="F234" s="83">
        <f>+Tabla13[[#This Row],[PRECIO INSTALADOR (IVA INCLUIDO)]]*5%</f>
        <v>8766.5830000000005</v>
      </c>
      <c r="G234" s="12">
        <v>0.85</v>
      </c>
      <c r="H234" s="11">
        <f>Tabla13[[#This Row],[COSTO]]*1.19</f>
        <v>149031.91099999999</v>
      </c>
      <c r="I234" s="10"/>
      <c r="J234" s="9"/>
      <c r="K234" s="66">
        <v>125236.9</v>
      </c>
    </row>
    <row r="235" spans="1:11" ht="12.75" x14ac:dyDescent="0.2">
      <c r="A235" s="86" t="s">
        <v>1174</v>
      </c>
      <c r="B235" s="85" t="s">
        <v>1173</v>
      </c>
      <c r="C235" s="84">
        <f>+Tabla13[[#This Row],[Columna6]]/Tabla13[[#This Row],[Columna5]]</f>
        <v>185371.06</v>
      </c>
      <c r="D235" s="84">
        <f>+Tabla13[[#This Row],[PRECIO INSTALADOR (IVA INCLUIDO)]]-F235</f>
        <v>176102.50699999998</v>
      </c>
      <c r="E235" s="84">
        <f>+Tabla13[[#This Row],[PRECIO INSTALADOR (IVA INCLUIDO)]]/0.7</f>
        <v>264815.8</v>
      </c>
      <c r="F235" s="83">
        <f>+Tabla13[[#This Row],[PRECIO INSTALADOR (IVA INCLUIDO)]]*5%</f>
        <v>9268.5529999999999</v>
      </c>
      <c r="G235" s="12">
        <v>0.85</v>
      </c>
      <c r="H235" s="11">
        <f>Tabla13[[#This Row],[COSTO]]*1.19</f>
        <v>157565.40099999998</v>
      </c>
      <c r="I235" s="10"/>
      <c r="J235" s="9"/>
      <c r="K235" s="66">
        <v>132407.9</v>
      </c>
    </row>
    <row r="236" spans="1:11" ht="12.75" x14ac:dyDescent="0.2">
      <c r="A236" s="86" t="s">
        <v>1172</v>
      </c>
      <c r="B236" s="85" t="s">
        <v>1171</v>
      </c>
      <c r="C236" s="84">
        <f>+Tabla13[[#This Row],[Columna6]]/Tabla13[[#This Row],[Columna5]]</f>
        <v>185371.06</v>
      </c>
      <c r="D236" s="84">
        <f>+Tabla13[[#This Row],[PRECIO INSTALADOR (IVA INCLUIDO)]]-F236</f>
        <v>176102.50699999998</v>
      </c>
      <c r="E236" s="84">
        <f>+Tabla13[[#This Row],[PRECIO INSTALADOR (IVA INCLUIDO)]]/0.7</f>
        <v>264815.8</v>
      </c>
      <c r="F236" s="83">
        <f>+Tabla13[[#This Row],[PRECIO INSTALADOR (IVA INCLUIDO)]]*5%</f>
        <v>9268.5529999999999</v>
      </c>
      <c r="G236" s="12">
        <v>0.85</v>
      </c>
      <c r="H236" s="11">
        <f>Tabla13[[#This Row],[COSTO]]*1.19</f>
        <v>157565.40099999998</v>
      </c>
      <c r="I236" s="10"/>
      <c r="J236" s="9"/>
      <c r="K236" s="66">
        <v>132407.9</v>
      </c>
    </row>
    <row r="237" spans="1:11" ht="12.75" x14ac:dyDescent="0.2">
      <c r="A237" s="86" t="s">
        <v>1170</v>
      </c>
      <c r="B237" s="85" t="s">
        <v>1169</v>
      </c>
      <c r="C237" s="84">
        <f>+Tabla13[[#This Row],[Columna6]]/Tabla13[[#This Row],[Columna5]]</f>
        <v>185371.06</v>
      </c>
      <c r="D237" s="84">
        <f>+Tabla13[[#This Row],[PRECIO INSTALADOR (IVA INCLUIDO)]]-F237</f>
        <v>176102.50699999998</v>
      </c>
      <c r="E237" s="84">
        <f>+Tabla13[[#This Row],[PRECIO INSTALADOR (IVA INCLUIDO)]]/0.7</f>
        <v>264815.8</v>
      </c>
      <c r="F237" s="83">
        <f>+Tabla13[[#This Row],[PRECIO INSTALADOR (IVA INCLUIDO)]]*5%</f>
        <v>9268.5529999999999</v>
      </c>
      <c r="G237" s="12">
        <v>0.85</v>
      </c>
      <c r="H237" s="11">
        <f>Tabla13[[#This Row],[COSTO]]*1.19</f>
        <v>157565.40099999998</v>
      </c>
      <c r="I237" s="10"/>
      <c r="J237" s="9"/>
      <c r="K237" s="66">
        <v>132407.9</v>
      </c>
    </row>
    <row r="238" spans="1:11" ht="12.75" x14ac:dyDescent="0.2">
      <c r="A238" s="86" t="s">
        <v>1168</v>
      </c>
      <c r="B238" s="85" t="s">
        <v>1167</v>
      </c>
      <c r="C238" s="84">
        <f>+Tabla13[[#This Row],[Columna6]]/Tabla13[[#This Row],[Columna5]]</f>
        <v>185371.06</v>
      </c>
      <c r="D238" s="84">
        <f>+Tabla13[[#This Row],[PRECIO INSTALADOR (IVA INCLUIDO)]]-F238</f>
        <v>176102.50699999998</v>
      </c>
      <c r="E238" s="84">
        <f>+Tabla13[[#This Row],[PRECIO INSTALADOR (IVA INCLUIDO)]]/0.7</f>
        <v>264815.8</v>
      </c>
      <c r="F238" s="83">
        <f>+Tabla13[[#This Row],[PRECIO INSTALADOR (IVA INCLUIDO)]]*5%</f>
        <v>9268.5529999999999</v>
      </c>
      <c r="G238" s="12">
        <v>0.85</v>
      </c>
      <c r="H238" s="11">
        <f>Tabla13[[#This Row],[COSTO]]*1.19</f>
        <v>157565.40099999998</v>
      </c>
      <c r="I238" s="10"/>
      <c r="J238" s="9"/>
      <c r="K238" s="66">
        <v>132407.9</v>
      </c>
    </row>
    <row r="239" spans="1:11" ht="12.75" x14ac:dyDescent="0.2">
      <c r="A239" s="113"/>
      <c r="B239" s="112">
        <v>854</v>
      </c>
      <c r="C239" s="111"/>
      <c r="D239" s="111"/>
      <c r="E239" s="111"/>
      <c r="F239" s="110">
        <f>+Tabla13[[#This Row],[PRECIO INSTALADOR (IVA INCLUIDO)]]*5%</f>
        <v>0</v>
      </c>
      <c r="G239" s="12">
        <v>0.85</v>
      </c>
      <c r="H239" s="11">
        <f>Tabla13[[#This Row],[COSTO]]*1.19</f>
        <v>0</v>
      </c>
      <c r="I239" s="10"/>
      <c r="J239" s="9"/>
      <c r="K239" s="66"/>
    </row>
    <row r="240" spans="1:11" ht="12.75" x14ac:dyDescent="0.2">
      <c r="A240" s="86" t="s">
        <v>1166</v>
      </c>
      <c r="B240" s="85" t="s">
        <v>1165</v>
      </c>
      <c r="C240" s="84">
        <f>+Tabla13[[#This Row],[Columna6]]/Tabla13[[#This Row],[Columna5]]</f>
        <v>84181.860000000015</v>
      </c>
      <c r="D240" s="84">
        <f>+Tabla13[[#This Row],[PRECIO INSTALADOR (IVA INCLUIDO)]]-F240</f>
        <v>79972.767000000022</v>
      </c>
      <c r="E240" s="84">
        <f>+Tabla13[[#This Row],[PRECIO INSTALADOR (IVA INCLUIDO)]]/0.7</f>
        <v>120259.80000000003</v>
      </c>
      <c r="F240" s="83">
        <f>+Tabla13[[#This Row],[PRECIO INSTALADOR (IVA INCLUIDO)]]*5%</f>
        <v>4209.0930000000008</v>
      </c>
      <c r="G240" s="12">
        <v>0.85</v>
      </c>
      <c r="H240" s="11">
        <f>Tabla13[[#This Row],[COSTO]]*1.19</f>
        <v>71554.581000000006</v>
      </c>
      <c r="I240" s="10"/>
      <c r="J240" s="9"/>
      <c r="K240" s="66">
        <v>60129.9</v>
      </c>
    </row>
    <row r="241" spans="1:11" ht="12.75" x14ac:dyDescent="0.2">
      <c r="A241" s="86" t="s">
        <v>1164</v>
      </c>
      <c r="B241" s="85" t="s">
        <v>1163</v>
      </c>
      <c r="C241" s="84">
        <f>+Tabla13[[#This Row],[Columna6]]/Tabla13[[#This Row],[Columna5]]</f>
        <v>57840.86</v>
      </c>
      <c r="D241" s="84">
        <f>+Tabla13[[#This Row],[PRECIO INSTALADOR (IVA INCLUIDO)]]-F241</f>
        <v>54948.817000000003</v>
      </c>
      <c r="E241" s="84">
        <f>+Tabla13[[#This Row],[PRECIO INSTALADOR (IVA INCLUIDO)]]/0.7</f>
        <v>82629.8</v>
      </c>
      <c r="F241" s="83">
        <f>+Tabla13[[#This Row],[PRECIO INSTALADOR (IVA INCLUIDO)]]*5%</f>
        <v>2892.0430000000001</v>
      </c>
      <c r="G241" s="12">
        <v>0.85</v>
      </c>
      <c r="H241" s="11">
        <f>Tabla13[[#This Row],[COSTO]]*1.19</f>
        <v>49164.731</v>
      </c>
      <c r="I241" s="10"/>
      <c r="J241" s="9"/>
      <c r="K241" s="66">
        <v>41314.9</v>
      </c>
    </row>
    <row r="242" spans="1:11" ht="12.75" x14ac:dyDescent="0.2">
      <c r="A242" s="86" t="s">
        <v>1162</v>
      </c>
      <c r="B242" s="85" t="s">
        <v>1161</v>
      </c>
      <c r="C242" s="84">
        <f>+Tabla13[[#This Row],[Columna6]]/Tabla13[[#This Row],[Columna5]]</f>
        <v>100284.66</v>
      </c>
      <c r="D242" s="84">
        <f>+Tabla13[[#This Row],[PRECIO INSTALADOR (IVA INCLUIDO)]]-F242</f>
        <v>95270.426999999996</v>
      </c>
      <c r="E242" s="84">
        <f>+Tabla13[[#This Row],[PRECIO INSTALADOR (IVA INCLUIDO)]]/0.7</f>
        <v>143263.80000000002</v>
      </c>
      <c r="F242" s="83">
        <f>+Tabla13[[#This Row],[PRECIO INSTALADOR (IVA INCLUIDO)]]*5%</f>
        <v>5014.2330000000002</v>
      </c>
      <c r="G242" s="12">
        <v>0.85</v>
      </c>
      <c r="H242" s="11">
        <f>Tabla13[[#This Row],[COSTO]]*1.19</f>
        <v>85241.960999999996</v>
      </c>
      <c r="I242" s="10"/>
      <c r="J242" s="9"/>
      <c r="K242" s="66">
        <v>71631.899999999994</v>
      </c>
    </row>
    <row r="243" spans="1:11" ht="12.75" x14ac:dyDescent="0.2">
      <c r="A243" s="86" t="s">
        <v>1160</v>
      </c>
      <c r="B243" s="85" t="s">
        <v>1159</v>
      </c>
      <c r="C243" s="84">
        <f>+Tabla13[[#This Row],[Columna6]]/Tabla13[[#This Row],[Columna5]]</f>
        <v>90841.659999999989</v>
      </c>
      <c r="D243" s="84">
        <f>+Tabla13[[#This Row],[PRECIO INSTALADOR (IVA INCLUIDO)]]-F243</f>
        <v>86299.57699999999</v>
      </c>
      <c r="E243" s="84">
        <f>+Tabla13[[#This Row],[PRECIO INSTALADOR (IVA INCLUIDO)]]/0.7</f>
        <v>129773.79999999999</v>
      </c>
      <c r="F243" s="83">
        <f>+Tabla13[[#This Row],[PRECIO INSTALADOR (IVA INCLUIDO)]]*5%</f>
        <v>4542.0829999999996</v>
      </c>
      <c r="G243" s="12">
        <v>0.85</v>
      </c>
      <c r="H243" s="11">
        <f>Tabla13[[#This Row],[COSTO]]*1.19</f>
        <v>77215.410999999993</v>
      </c>
      <c r="I243" s="10"/>
      <c r="J243" s="9"/>
      <c r="K243" s="66">
        <v>64886.9</v>
      </c>
    </row>
    <row r="244" spans="1:11" ht="12.75" x14ac:dyDescent="0.2">
      <c r="A244" s="86" t="s">
        <v>1158</v>
      </c>
      <c r="B244" s="85" t="s">
        <v>1157</v>
      </c>
      <c r="C244" s="84">
        <f>+Tabla13[[#This Row],[Columna6]]/Tabla13[[#This Row],[Columna5]]</f>
        <v>76031.06</v>
      </c>
      <c r="D244" s="84">
        <f>+Tabla13[[#This Row],[PRECIO INSTALADOR (IVA INCLUIDO)]]-F244</f>
        <v>72229.506999999998</v>
      </c>
      <c r="E244" s="84">
        <f>+Tabla13[[#This Row],[PRECIO INSTALADOR (IVA INCLUIDO)]]/0.7</f>
        <v>108615.8</v>
      </c>
      <c r="F244" s="83">
        <f>+Tabla13[[#This Row],[PRECIO INSTALADOR (IVA INCLUIDO)]]*5%</f>
        <v>3801.5529999999999</v>
      </c>
      <c r="G244" s="12">
        <v>0.85</v>
      </c>
      <c r="H244" s="11">
        <f>Tabla13[[#This Row],[COSTO]]*1.19</f>
        <v>64626.400999999998</v>
      </c>
      <c r="I244" s="10"/>
      <c r="J244" s="9"/>
      <c r="K244" s="66">
        <v>54307.9</v>
      </c>
    </row>
    <row r="245" spans="1:11" ht="12.75" x14ac:dyDescent="0.2">
      <c r="A245" s="113"/>
      <c r="B245" s="112" t="s">
        <v>1156</v>
      </c>
      <c r="C245" s="111"/>
      <c r="D245" s="111"/>
      <c r="E245" s="111"/>
      <c r="F245" s="110">
        <f>+Tabla13[[#This Row],[PRECIO INSTALADOR (IVA INCLUIDO)]]*5%</f>
        <v>0</v>
      </c>
      <c r="G245" s="12">
        <v>0.85</v>
      </c>
      <c r="H245" s="11">
        <f>Tabla13[[#This Row],[COSTO]]*1.19</f>
        <v>0</v>
      </c>
      <c r="I245" s="10"/>
      <c r="J245" s="9"/>
      <c r="K245" s="66"/>
    </row>
    <row r="246" spans="1:11" ht="12.75" x14ac:dyDescent="0.2">
      <c r="A246" s="86" t="s">
        <v>1155</v>
      </c>
      <c r="B246" s="85" t="s">
        <v>1154</v>
      </c>
      <c r="C246" s="84">
        <f>+Tabla13[[#This Row],[Columna6]]/Tabla13[[#This Row],[Columna5]]</f>
        <v>81299.259999999995</v>
      </c>
      <c r="D246" s="84">
        <f>+Tabla13[[#This Row],[PRECIO INSTALADOR (IVA INCLUIDO)]]-F246</f>
        <v>77234.296999999991</v>
      </c>
      <c r="E246" s="84">
        <f>+Tabla13[[#This Row],[PRECIO INSTALADOR (IVA INCLUIDO)]]/0.7</f>
        <v>116141.8</v>
      </c>
      <c r="F246" s="83">
        <f>+Tabla13[[#This Row],[PRECIO INSTALADOR (IVA INCLUIDO)]]*5%</f>
        <v>4064.9629999999997</v>
      </c>
      <c r="G246" s="12">
        <v>0.85</v>
      </c>
      <c r="H246" s="11">
        <f>Tabla13[[#This Row],[COSTO]]*1.19</f>
        <v>69104.370999999999</v>
      </c>
      <c r="I246" s="10"/>
      <c r="J246" s="9"/>
      <c r="K246" s="66">
        <v>58070.9</v>
      </c>
    </row>
    <row r="247" spans="1:11" ht="12.75" x14ac:dyDescent="0.2">
      <c r="A247" s="120" t="s">
        <v>1153</v>
      </c>
      <c r="B247" s="85" t="s">
        <v>1152</v>
      </c>
      <c r="C247" s="84">
        <f>+Tabla13[[#This Row],[Columna6]]/Tabla13[[#This Row],[Columna5]]</f>
        <v>81299.259999999995</v>
      </c>
      <c r="D247" s="84">
        <f>+Tabla13[[#This Row],[PRECIO INSTALADOR (IVA INCLUIDO)]]-F247</f>
        <v>77234.296999999991</v>
      </c>
      <c r="E247" s="84">
        <f>+Tabla13[[#This Row],[PRECIO INSTALADOR (IVA INCLUIDO)]]/0.7</f>
        <v>116141.8</v>
      </c>
      <c r="F247" s="83">
        <f>+Tabla13[[#This Row],[PRECIO INSTALADOR (IVA INCLUIDO)]]*5%</f>
        <v>4064.9629999999997</v>
      </c>
      <c r="G247" s="12">
        <v>0.85</v>
      </c>
      <c r="H247" s="11">
        <f>Tabla13[[#This Row],[COSTO]]*1.19</f>
        <v>69104.370999999999</v>
      </c>
      <c r="I247" s="10"/>
      <c r="J247" s="9"/>
      <c r="K247" s="66">
        <v>58070.9</v>
      </c>
    </row>
    <row r="248" spans="1:11" ht="12.75" x14ac:dyDescent="0.2">
      <c r="A248" s="120" t="s">
        <v>1151</v>
      </c>
      <c r="B248" s="85" t="s">
        <v>1150</v>
      </c>
      <c r="C248" s="84">
        <f>+Tabla13[[#This Row],[Columna6]]/Tabla13[[#This Row],[Columna5]]</f>
        <v>81299.259999999995</v>
      </c>
      <c r="D248" s="84">
        <f>+Tabla13[[#This Row],[PRECIO INSTALADOR (IVA INCLUIDO)]]-F248</f>
        <v>77234.296999999991</v>
      </c>
      <c r="E248" s="84">
        <f>+Tabla13[[#This Row],[PRECIO INSTALADOR (IVA INCLUIDO)]]/0.7</f>
        <v>116141.8</v>
      </c>
      <c r="F248" s="83">
        <f>+Tabla13[[#This Row],[PRECIO INSTALADOR (IVA INCLUIDO)]]*5%</f>
        <v>4064.9629999999997</v>
      </c>
      <c r="G248" s="12">
        <v>0.85</v>
      </c>
      <c r="H248" s="11">
        <f>Tabla13[[#This Row],[COSTO]]*1.19</f>
        <v>69104.370999999999</v>
      </c>
      <c r="I248" s="10"/>
      <c r="J248" s="9"/>
      <c r="K248" s="66">
        <v>58070.9</v>
      </c>
    </row>
    <row r="249" spans="1:11" ht="12.75" x14ac:dyDescent="0.2">
      <c r="A249" s="113"/>
      <c r="B249" s="112">
        <v>835</v>
      </c>
      <c r="C249" s="111"/>
      <c r="D249" s="111"/>
      <c r="E249" s="111"/>
      <c r="F249" s="110">
        <f>+Tabla13[[#This Row],[PRECIO INSTALADOR (IVA INCLUIDO)]]*5%</f>
        <v>0</v>
      </c>
      <c r="G249" s="12">
        <v>0.85</v>
      </c>
      <c r="H249" s="11">
        <f>Tabla13[[#This Row],[COSTO]]*1.19</f>
        <v>0</v>
      </c>
      <c r="I249" s="10"/>
      <c r="J249" s="9"/>
      <c r="K249" s="66"/>
    </row>
    <row r="250" spans="1:11" ht="12.75" x14ac:dyDescent="0.2">
      <c r="A250" s="120" t="s">
        <v>1149</v>
      </c>
      <c r="B250" s="85" t="s">
        <v>1148</v>
      </c>
      <c r="C250" s="84">
        <f>+Tabla13[[#This Row],[Columna6]]/Tabla13[[#This Row],[Columna5]]</f>
        <v>96507.459999999992</v>
      </c>
      <c r="D250" s="84">
        <f>+Tabla13[[#This Row],[PRECIO INSTALADOR (IVA INCLUIDO)]]-F250</f>
        <v>91682.087</v>
      </c>
      <c r="E250" s="84">
        <f>+Tabla13[[#This Row],[PRECIO INSTALADOR (IVA INCLUIDO)]]/0.7</f>
        <v>137867.79999999999</v>
      </c>
      <c r="F250" s="83">
        <f>+Tabla13[[#This Row],[PRECIO INSTALADOR (IVA INCLUIDO)]]*5%</f>
        <v>4825.3729999999996</v>
      </c>
      <c r="G250" s="12">
        <v>0.85</v>
      </c>
      <c r="H250" s="11">
        <f>Tabla13[[#This Row],[COSTO]]*1.19</f>
        <v>82031.340999999986</v>
      </c>
      <c r="I250" s="10"/>
      <c r="J250" s="9"/>
      <c r="K250" s="66">
        <v>68933.899999999994</v>
      </c>
    </row>
    <row r="251" spans="1:11" ht="12.75" x14ac:dyDescent="0.2">
      <c r="A251" s="120" t="s">
        <v>1147</v>
      </c>
      <c r="B251" s="85" t="s">
        <v>1146</v>
      </c>
      <c r="C251" s="84">
        <f>+Tabla13[[#This Row],[Columna6]]/Tabla13[[#This Row],[Columna5]]</f>
        <v>97799.66</v>
      </c>
      <c r="D251" s="84">
        <f>+Tabla13[[#This Row],[PRECIO INSTALADOR (IVA INCLUIDO)]]-F251</f>
        <v>92909.676999999996</v>
      </c>
      <c r="E251" s="84">
        <f>+Tabla13[[#This Row],[PRECIO INSTALADOR (IVA INCLUIDO)]]/0.7</f>
        <v>139713.80000000002</v>
      </c>
      <c r="F251" s="83">
        <f>+Tabla13[[#This Row],[PRECIO INSTALADOR (IVA INCLUIDO)]]*5%</f>
        <v>4889.9830000000002</v>
      </c>
      <c r="G251" s="12">
        <v>0.85</v>
      </c>
      <c r="H251" s="11">
        <f>Tabla13[[#This Row],[COSTO]]*1.19</f>
        <v>83129.710999999996</v>
      </c>
      <c r="I251" s="10"/>
      <c r="J251" s="9"/>
      <c r="K251" s="66">
        <v>69856.899999999994</v>
      </c>
    </row>
    <row r="252" spans="1:11" ht="12.75" x14ac:dyDescent="0.2">
      <c r="A252" s="117"/>
      <c r="B252" s="104" t="s">
        <v>1145</v>
      </c>
      <c r="C252" s="119"/>
      <c r="D252" s="119"/>
      <c r="E252" s="119"/>
      <c r="F252" s="118">
        <f>+Tabla13[[#This Row],[PRECIO INSTALADOR (IVA INCLUIDO)]]*5%</f>
        <v>0</v>
      </c>
      <c r="G252" s="12">
        <v>0.85</v>
      </c>
      <c r="H252" s="11">
        <f>Tabla13[[#This Row],[COSTO]]*1.19</f>
        <v>0</v>
      </c>
      <c r="I252" s="10"/>
      <c r="J252" s="9"/>
      <c r="K252" s="66"/>
    </row>
    <row r="253" spans="1:11" ht="12.75" x14ac:dyDescent="0.2">
      <c r="A253" s="88" t="s">
        <v>1144</v>
      </c>
      <c r="B253" s="63" t="s">
        <v>1143</v>
      </c>
      <c r="C253" s="62">
        <f>+Tabla13[[#This Row],[Columna6]]/Tabla13[[#This Row],[Columna5]]</f>
        <v>47602.659999999996</v>
      </c>
      <c r="D253" s="62">
        <f>+Tabla13[[#This Row],[PRECIO INSTALADOR (IVA INCLUIDO)]]-F253</f>
        <v>45222.526999999995</v>
      </c>
      <c r="E253" s="62">
        <f>+Tabla13[[#This Row],[PRECIO INSTALADOR (IVA INCLUIDO)]]/0.7</f>
        <v>68003.8</v>
      </c>
      <c r="F253" s="61">
        <f>+Tabla13[[#This Row],[PRECIO INSTALADOR (IVA INCLUIDO)]]*5%</f>
        <v>2380.1329999999998</v>
      </c>
      <c r="G253" s="12">
        <v>0.85</v>
      </c>
      <c r="H253" s="11">
        <f>Tabla13[[#This Row],[COSTO]]*1.19</f>
        <v>40462.260999999999</v>
      </c>
      <c r="I253" s="10"/>
      <c r="J253" s="9"/>
      <c r="K253" s="66">
        <v>34001.9</v>
      </c>
    </row>
    <row r="254" spans="1:11" ht="12.75" x14ac:dyDescent="0.2">
      <c r="A254" s="76"/>
      <c r="B254" s="69" t="s">
        <v>1142</v>
      </c>
      <c r="C254" s="68"/>
      <c r="D254" s="68"/>
      <c r="E254" s="68"/>
      <c r="F254" s="67">
        <f>+Tabla13[[#This Row],[PRECIO INSTALADOR (IVA INCLUIDO)]]*5%</f>
        <v>0</v>
      </c>
      <c r="G254" s="12">
        <v>0.85</v>
      </c>
      <c r="H254" s="11">
        <f>Tabla13[[#This Row],[COSTO]]*1.19</f>
        <v>0</v>
      </c>
      <c r="I254" s="10"/>
      <c r="J254" s="9"/>
      <c r="K254" s="66"/>
    </row>
    <row r="255" spans="1:11" ht="12.75" x14ac:dyDescent="0.2">
      <c r="A255" s="75" t="s">
        <v>1141</v>
      </c>
      <c r="B255" s="63" t="s">
        <v>1140</v>
      </c>
      <c r="C255" s="62">
        <f>+Tabla13[[#This Row],[Columna6]]/Tabla13[[#This Row],[Columna5]]</f>
        <v>122450.85999999999</v>
      </c>
      <c r="D255" s="62">
        <f>+Tabla13[[#This Row],[PRECIO INSTALADOR (IVA INCLUIDO)]]-F255</f>
        <v>116328.31699999998</v>
      </c>
      <c r="E255" s="62">
        <f>+Tabla13[[#This Row],[PRECIO INSTALADOR (IVA INCLUIDO)]]/0.7</f>
        <v>174929.8</v>
      </c>
      <c r="F255" s="61">
        <f>+Tabla13[[#This Row],[PRECIO INSTALADOR (IVA INCLUIDO)]]*5%</f>
        <v>6122.5429999999997</v>
      </c>
      <c r="G255" s="12">
        <v>0.85</v>
      </c>
      <c r="H255" s="11">
        <f>Tabla13[[#This Row],[COSTO]]*1.19</f>
        <v>104083.23099999999</v>
      </c>
      <c r="I255" s="10"/>
      <c r="J255" s="9"/>
      <c r="K255" s="66">
        <v>87464.9</v>
      </c>
    </row>
    <row r="256" spans="1:11" ht="12.75" x14ac:dyDescent="0.2">
      <c r="A256" s="75" t="s">
        <v>1139</v>
      </c>
      <c r="B256" s="63" t="s">
        <v>1138</v>
      </c>
      <c r="C256" s="62">
        <f>+Tabla13[[#This Row],[Columna6]]/Tabla13[[#This Row],[Columna5]]</f>
        <v>94420.06</v>
      </c>
      <c r="D256" s="62">
        <f>+Tabla13[[#This Row],[PRECIO INSTALADOR (IVA INCLUIDO)]]-F256</f>
        <v>89699.057000000001</v>
      </c>
      <c r="E256" s="62">
        <f>+Tabla13[[#This Row],[PRECIO INSTALADOR (IVA INCLUIDO)]]/0.7</f>
        <v>134885.80000000002</v>
      </c>
      <c r="F256" s="61">
        <f>+Tabla13[[#This Row],[PRECIO INSTALADOR (IVA INCLUIDO)]]*5%</f>
        <v>4721.0029999999997</v>
      </c>
      <c r="G256" s="12">
        <v>0.85</v>
      </c>
      <c r="H256" s="11">
        <f>Tabla13[[#This Row],[COSTO]]*1.19</f>
        <v>80257.050999999992</v>
      </c>
      <c r="I256" s="10"/>
      <c r="J256" s="9"/>
      <c r="K256" s="66">
        <v>67442.899999999994</v>
      </c>
    </row>
    <row r="257" spans="1:11" ht="12.75" x14ac:dyDescent="0.2">
      <c r="A257" s="75" t="s">
        <v>1137</v>
      </c>
      <c r="B257" s="63" t="s">
        <v>1136</v>
      </c>
      <c r="C257" s="62">
        <f>+Tabla13[[#This Row],[Columna6]]/Tabla13[[#This Row],[Columna5]]</f>
        <v>152569.06</v>
      </c>
      <c r="D257" s="62">
        <f>+Tabla13[[#This Row],[PRECIO INSTALADOR (IVA INCLUIDO)]]-F257</f>
        <v>144940.60699999999</v>
      </c>
      <c r="E257" s="62">
        <f>+Tabla13[[#This Row],[PRECIO INSTALADOR (IVA INCLUIDO)]]/0.7</f>
        <v>217955.80000000002</v>
      </c>
      <c r="F257" s="61">
        <f>+Tabla13[[#This Row],[PRECIO INSTALADOR (IVA INCLUIDO)]]*5%</f>
        <v>7628.4530000000004</v>
      </c>
      <c r="G257" s="12">
        <v>0.85</v>
      </c>
      <c r="H257" s="11">
        <f>Tabla13[[#This Row],[COSTO]]*1.19</f>
        <v>129683.70099999999</v>
      </c>
      <c r="I257" s="10"/>
      <c r="J257" s="9"/>
      <c r="K257" s="66">
        <v>108977.9</v>
      </c>
    </row>
    <row r="258" spans="1:11" ht="12.75" x14ac:dyDescent="0.2">
      <c r="A258" s="75" t="s">
        <v>1135</v>
      </c>
      <c r="B258" s="63" t="s">
        <v>1134</v>
      </c>
      <c r="C258" s="62">
        <f>+Tabla13[[#This Row],[Columna6]]/Tabla13[[#This Row],[Columna5]]</f>
        <v>152569.06</v>
      </c>
      <c r="D258" s="62">
        <f>+Tabla13[[#This Row],[PRECIO INSTALADOR (IVA INCLUIDO)]]-F258</f>
        <v>144940.60699999999</v>
      </c>
      <c r="E258" s="62">
        <f>+Tabla13[[#This Row],[PRECIO INSTALADOR (IVA INCLUIDO)]]/0.7</f>
        <v>217955.80000000002</v>
      </c>
      <c r="F258" s="61">
        <f>+Tabla13[[#This Row],[PRECIO INSTALADOR (IVA INCLUIDO)]]*5%</f>
        <v>7628.4530000000004</v>
      </c>
      <c r="G258" s="12">
        <v>0.85</v>
      </c>
      <c r="H258" s="11">
        <f>Tabla13[[#This Row],[COSTO]]*1.19</f>
        <v>129683.70099999999</v>
      </c>
      <c r="I258" s="10"/>
      <c r="J258" s="9"/>
      <c r="K258" s="66">
        <v>108977.9</v>
      </c>
    </row>
    <row r="259" spans="1:11" ht="12.75" x14ac:dyDescent="0.2">
      <c r="A259" s="75" t="s">
        <v>1133</v>
      </c>
      <c r="B259" s="63" t="s">
        <v>1132</v>
      </c>
      <c r="C259" s="62">
        <f>+Tabla13[[#This Row],[Columna6]]/Tabla13[[#This Row],[Columna5]]</f>
        <v>564184.46000000008</v>
      </c>
      <c r="D259" s="62">
        <f>+Tabla13[[#This Row],[PRECIO INSTALADOR (IVA INCLUIDO)]]-F259</f>
        <v>535975.23700000008</v>
      </c>
      <c r="E259" s="62">
        <f>+Tabla13[[#This Row],[PRECIO INSTALADOR (IVA INCLUIDO)]]/0.7</f>
        <v>805977.80000000016</v>
      </c>
      <c r="F259" s="61">
        <f>+Tabla13[[#This Row],[PRECIO INSTALADOR (IVA INCLUIDO)]]*5%</f>
        <v>28209.223000000005</v>
      </c>
      <c r="G259" s="12">
        <v>0.85</v>
      </c>
      <c r="H259" s="11">
        <f>Tabla13[[#This Row],[COSTO]]*1.19</f>
        <v>479556.79100000003</v>
      </c>
      <c r="I259" s="10"/>
      <c r="J259" s="9"/>
      <c r="K259" s="66">
        <v>402988.9</v>
      </c>
    </row>
    <row r="260" spans="1:11" ht="12.75" x14ac:dyDescent="0.2">
      <c r="A260" s="75" t="s">
        <v>1131</v>
      </c>
      <c r="B260" s="63" t="s">
        <v>1130</v>
      </c>
      <c r="C260" s="62">
        <f>+Tabla13[[#This Row],[Columna6]]/Tabla13[[#This Row],[Columna5]]</f>
        <v>34680.660000000003</v>
      </c>
      <c r="D260" s="62">
        <f>+Tabla13[[#This Row],[PRECIO INSTALADOR (IVA INCLUIDO)]]-F260</f>
        <v>32946.627</v>
      </c>
      <c r="E260" s="62">
        <f>+Tabla13[[#This Row],[PRECIO INSTALADOR (IVA INCLUIDO)]]/0.7</f>
        <v>49543.80000000001</v>
      </c>
      <c r="F260" s="61">
        <f>+Tabla13[[#This Row],[PRECIO INSTALADOR (IVA INCLUIDO)]]*5%</f>
        <v>1734.0330000000004</v>
      </c>
      <c r="G260" s="12">
        <v>0.85</v>
      </c>
      <c r="H260" s="11">
        <f>Tabla13[[#This Row],[COSTO]]*1.19</f>
        <v>29478.561000000002</v>
      </c>
      <c r="I260" s="10"/>
      <c r="J260" s="9"/>
      <c r="K260" s="66">
        <v>24771.9</v>
      </c>
    </row>
    <row r="261" spans="1:11" ht="12.75" x14ac:dyDescent="0.2">
      <c r="A261" s="76"/>
      <c r="B261" s="69" t="s">
        <v>1129</v>
      </c>
      <c r="C261" s="68"/>
      <c r="D261" s="68"/>
      <c r="E261" s="68"/>
      <c r="F261" s="67">
        <f>+Tabla13[[#This Row],[PRECIO INSTALADOR (IVA INCLUIDO)]]*5%</f>
        <v>0</v>
      </c>
      <c r="G261" s="12">
        <v>0.85</v>
      </c>
      <c r="H261" s="11">
        <f>Tabla13[[#This Row],[COSTO]]*1.19</f>
        <v>0</v>
      </c>
      <c r="I261" s="10"/>
      <c r="J261" s="9"/>
      <c r="K261" s="66"/>
    </row>
    <row r="262" spans="1:11" ht="12.75" x14ac:dyDescent="0.2">
      <c r="A262" s="117"/>
      <c r="B262" s="116" t="s">
        <v>1128</v>
      </c>
      <c r="C262" s="115"/>
      <c r="D262" s="115"/>
      <c r="E262" s="115"/>
      <c r="F262" s="114">
        <f>+Tabla13[[#This Row],[PRECIO INSTALADOR (IVA INCLUIDO)]]*5%</f>
        <v>0</v>
      </c>
      <c r="G262" s="12">
        <v>0.85</v>
      </c>
      <c r="H262" s="11">
        <f>Tabla13[[#This Row],[COSTO]]*1.19</f>
        <v>0</v>
      </c>
      <c r="I262" s="10"/>
      <c r="J262" s="9"/>
      <c r="K262" s="66"/>
    </row>
    <row r="263" spans="1:11" ht="12.75" x14ac:dyDescent="0.2">
      <c r="A263" s="75" t="s">
        <v>1127</v>
      </c>
      <c r="B263" s="63" t="s">
        <v>1126</v>
      </c>
      <c r="C263" s="62">
        <f>+Tabla13[[#This Row],[Columna6]]/Tabla13[[#This Row],[Columna5]]</f>
        <v>340236.26</v>
      </c>
      <c r="D263" s="62">
        <f>+Tabla13[[#This Row],[PRECIO INSTALADOR (IVA INCLUIDO)]]-F263</f>
        <v>323224.44699999999</v>
      </c>
      <c r="E263" s="62">
        <f>+Tabla13[[#This Row],[PRECIO INSTALADOR (IVA INCLUIDO)]]/0.7</f>
        <v>486051.80000000005</v>
      </c>
      <c r="F263" s="61">
        <f>+Tabla13[[#This Row],[PRECIO INSTALADOR (IVA INCLUIDO)]]*5%</f>
        <v>17011.813000000002</v>
      </c>
      <c r="G263" s="12">
        <v>0.85</v>
      </c>
      <c r="H263" s="11">
        <f>Tabla13[[#This Row],[COSTO]]*1.19</f>
        <v>289200.821</v>
      </c>
      <c r="I263" s="10"/>
      <c r="J263" s="9"/>
      <c r="K263" s="66">
        <v>243025.9</v>
      </c>
    </row>
    <row r="264" spans="1:11" ht="12.75" x14ac:dyDescent="0.2">
      <c r="A264" s="75" t="s">
        <v>1125</v>
      </c>
      <c r="B264" s="63" t="s">
        <v>1124</v>
      </c>
      <c r="C264" s="62">
        <f>+Tabla13[[#This Row],[Columna6]]/Tabla13[[#This Row],[Columna5]]</f>
        <v>340534.45999999996</v>
      </c>
      <c r="D264" s="62">
        <f>+Tabla13[[#This Row],[PRECIO INSTALADOR (IVA INCLUIDO)]]-F264</f>
        <v>323507.73699999996</v>
      </c>
      <c r="E264" s="62">
        <f>+Tabla13[[#This Row],[PRECIO INSTALADOR (IVA INCLUIDO)]]/0.7</f>
        <v>486477.8</v>
      </c>
      <c r="F264" s="61">
        <f>+Tabla13[[#This Row],[PRECIO INSTALADOR (IVA INCLUIDO)]]*5%</f>
        <v>17026.722999999998</v>
      </c>
      <c r="G264" s="12">
        <v>0.85</v>
      </c>
      <c r="H264" s="11">
        <f>Tabla13[[#This Row],[COSTO]]*1.19</f>
        <v>289454.29099999997</v>
      </c>
      <c r="I264" s="10"/>
      <c r="J264" s="9"/>
      <c r="K264" s="66">
        <v>243238.9</v>
      </c>
    </row>
    <row r="265" spans="1:11" ht="12.75" x14ac:dyDescent="0.2">
      <c r="A265" s="76"/>
      <c r="B265" s="69" t="s">
        <v>1123</v>
      </c>
      <c r="C265" s="68"/>
      <c r="D265" s="68"/>
      <c r="E265" s="68"/>
      <c r="F265" s="67">
        <f>+Tabla13[[#This Row],[PRECIO INSTALADOR (IVA INCLUIDO)]]*5%</f>
        <v>0</v>
      </c>
      <c r="G265" s="12">
        <v>0.85</v>
      </c>
      <c r="H265" s="11">
        <f>Tabla13[[#This Row],[COSTO]]*1.19</f>
        <v>0</v>
      </c>
      <c r="I265" s="10"/>
      <c r="J265" s="9"/>
      <c r="K265" s="66"/>
    </row>
    <row r="266" spans="1:11" ht="12.75" x14ac:dyDescent="0.2">
      <c r="A266" s="75" t="s">
        <v>1122</v>
      </c>
      <c r="B266" s="63" t="s">
        <v>1121</v>
      </c>
      <c r="C266" s="62">
        <f>+Tabla13[[#This Row],[Columna6]]/Tabla13[[#This Row],[Columna5]]</f>
        <v>180997.46</v>
      </c>
      <c r="D266" s="62">
        <f>+Tabla13[[#This Row],[PRECIO INSTALADOR (IVA INCLUIDO)]]-F266</f>
        <v>171947.587</v>
      </c>
      <c r="E266" s="62">
        <f>+Tabla13[[#This Row],[PRECIO INSTALADOR (IVA INCLUIDO)]]/0.7</f>
        <v>258567.80000000002</v>
      </c>
      <c r="F266" s="61">
        <f>+Tabla13[[#This Row],[PRECIO INSTALADOR (IVA INCLUIDO)]]*5%</f>
        <v>9049.8729999999996</v>
      </c>
      <c r="G266" s="12">
        <v>0.85</v>
      </c>
      <c r="H266" s="11">
        <f>Tabla13[[#This Row],[COSTO]]*1.19</f>
        <v>153847.84099999999</v>
      </c>
      <c r="I266" s="10"/>
      <c r="J266" s="9"/>
      <c r="K266" s="66">
        <v>129283.9</v>
      </c>
    </row>
    <row r="267" spans="1:11" ht="12.75" x14ac:dyDescent="0.2">
      <c r="A267" s="75" t="s">
        <v>1120</v>
      </c>
      <c r="B267" s="63" t="s">
        <v>1119</v>
      </c>
      <c r="C267" s="62">
        <f>+Tabla13[[#This Row],[Columna6]]/Tabla13[[#This Row],[Columna5]]</f>
        <v>165888.65999999997</v>
      </c>
      <c r="D267" s="62">
        <f>+Tabla13[[#This Row],[PRECIO INSTALADOR (IVA INCLUIDO)]]-F267</f>
        <v>157594.22699999998</v>
      </c>
      <c r="E267" s="62">
        <f>+Tabla13[[#This Row],[PRECIO INSTALADOR (IVA INCLUIDO)]]/0.7</f>
        <v>236983.8</v>
      </c>
      <c r="F267" s="61">
        <f>+Tabla13[[#This Row],[PRECIO INSTALADOR (IVA INCLUIDO)]]*5%</f>
        <v>8294.4329999999991</v>
      </c>
      <c r="G267" s="12">
        <v>0.85</v>
      </c>
      <c r="H267" s="11">
        <f>Tabla13[[#This Row],[COSTO]]*1.19</f>
        <v>141005.36099999998</v>
      </c>
      <c r="I267" s="10"/>
      <c r="J267" s="9"/>
      <c r="K267" s="66">
        <v>118491.9</v>
      </c>
    </row>
    <row r="268" spans="1:11" ht="12.75" x14ac:dyDescent="0.2">
      <c r="A268" s="75" t="s">
        <v>1118</v>
      </c>
      <c r="B268" s="63" t="s">
        <v>1117</v>
      </c>
      <c r="C268" s="62">
        <f>+Tabla13[[#This Row],[Columna6]]/Tabla13[[#This Row],[Columna5]]</f>
        <v>153264.85999999999</v>
      </c>
      <c r="D268" s="62">
        <f>+Tabla13[[#This Row],[PRECIO INSTALADOR (IVA INCLUIDO)]]-F268</f>
        <v>145601.617</v>
      </c>
      <c r="E268" s="62">
        <f>+Tabla13[[#This Row],[PRECIO INSTALADOR (IVA INCLUIDO)]]/0.7</f>
        <v>218949.8</v>
      </c>
      <c r="F268" s="61">
        <f>+Tabla13[[#This Row],[PRECIO INSTALADOR (IVA INCLUIDO)]]*5%</f>
        <v>7663.2429999999995</v>
      </c>
      <c r="G268" s="12">
        <v>0.85</v>
      </c>
      <c r="H268" s="11">
        <f>Tabla13[[#This Row],[COSTO]]*1.19</f>
        <v>130275.13099999999</v>
      </c>
      <c r="I268" s="10"/>
      <c r="J268" s="9"/>
      <c r="K268" s="66">
        <v>109474.9</v>
      </c>
    </row>
    <row r="269" spans="1:11" ht="12.75" x14ac:dyDescent="0.2">
      <c r="A269" s="75" t="s">
        <v>1116</v>
      </c>
      <c r="B269" s="63" t="s">
        <v>1115</v>
      </c>
      <c r="C269" s="62">
        <f>+Tabla13[[#This Row],[Columna6]]/Tabla13[[#This Row],[Columna5]]</f>
        <v>136565.65999999997</v>
      </c>
      <c r="D269" s="62">
        <f>+Tabla13[[#This Row],[PRECIO INSTALADOR (IVA INCLUIDO)]]-F269</f>
        <v>129737.37699999998</v>
      </c>
      <c r="E269" s="62">
        <f>+Tabla13[[#This Row],[PRECIO INSTALADOR (IVA INCLUIDO)]]/0.7</f>
        <v>195093.8</v>
      </c>
      <c r="F269" s="61">
        <f>+Tabla13[[#This Row],[PRECIO INSTALADOR (IVA INCLUIDO)]]*5%</f>
        <v>6828.2829999999994</v>
      </c>
      <c r="G269" s="12">
        <v>0.85</v>
      </c>
      <c r="H269" s="11">
        <f>Tabla13[[#This Row],[COSTO]]*1.19</f>
        <v>116080.81099999999</v>
      </c>
      <c r="I269" s="10"/>
      <c r="J269" s="9"/>
      <c r="K269" s="66">
        <v>97546.9</v>
      </c>
    </row>
    <row r="270" spans="1:11" ht="12.75" x14ac:dyDescent="0.2">
      <c r="A270" s="75" t="s">
        <v>1114</v>
      </c>
      <c r="B270" s="63" t="s">
        <v>1113</v>
      </c>
      <c r="C270" s="62">
        <f>+Tabla13[[#This Row],[Columna6]]/Tabla13[[#This Row],[Columna5]]</f>
        <v>136863.85999999999</v>
      </c>
      <c r="D270" s="62">
        <f>+Tabla13[[#This Row],[PRECIO INSTALADOR (IVA INCLUIDO)]]-F270</f>
        <v>130020.66699999999</v>
      </c>
      <c r="E270" s="62">
        <f>+Tabla13[[#This Row],[PRECIO INSTALADOR (IVA INCLUIDO)]]/0.7</f>
        <v>195519.8</v>
      </c>
      <c r="F270" s="61">
        <f>+Tabla13[[#This Row],[PRECIO INSTALADOR (IVA INCLUIDO)]]*5%</f>
        <v>6843.1929999999993</v>
      </c>
      <c r="G270" s="12">
        <v>0.85</v>
      </c>
      <c r="H270" s="11">
        <f>Tabla13[[#This Row],[COSTO]]*1.19</f>
        <v>116334.28099999999</v>
      </c>
      <c r="I270" s="10"/>
      <c r="J270" s="9"/>
      <c r="K270" s="66">
        <v>97759.9</v>
      </c>
    </row>
    <row r="271" spans="1:11" ht="12.75" x14ac:dyDescent="0.2">
      <c r="A271" s="75" t="s">
        <v>1112</v>
      </c>
      <c r="B271" s="63" t="s">
        <v>1111</v>
      </c>
      <c r="C271" s="62">
        <f>+Tabla13[[#This Row],[Columna6]]/Tabla13[[#This Row],[Columna5]]</f>
        <v>133583.66</v>
      </c>
      <c r="D271" s="62">
        <f>+Tabla13[[#This Row],[PRECIO INSTALADOR (IVA INCLUIDO)]]-F271</f>
        <v>126904.477</v>
      </c>
      <c r="E271" s="62">
        <f>+Tabla13[[#This Row],[PRECIO INSTALADOR (IVA INCLUIDO)]]/0.7</f>
        <v>190833.80000000002</v>
      </c>
      <c r="F271" s="61">
        <f>+Tabla13[[#This Row],[PRECIO INSTALADOR (IVA INCLUIDO)]]*5%</f>
        <v>6679.1830000000009</v>
      </c>
      <c r="G271" s="12">
        <v>0.85</v>
      </c>
      <c r="H271" s="11">
        <f>Tabla13[[#This Row],[COSTO]]*1.19</f>
        <v>113546.11099999999</v>
      </c>
      <c r="I271" s="10"/>
      <c r="J271" s="9"/>
      <c r="K271" s="66">
        <v>95416.9</v>
      </c>
    </row>
    <row r="272" spans="1:11" ht="12.75" x14ac:dyDescent="0.2">
      <c r="A272" s="75" t="s">
        <v>1110</v>
      </c>
      <c r="B272" s="63" t="s">
        <v>1109</v>
      </c>
      <c r="C272" s="62">
        <f>+Tabla13[[#This Row],[Columna6]]/Tabla13[[#This Row],[Columna5]]</f>
        <v>133484.25999999998</v>
      </c>
      <c r="D272" s="62">
        <f>+Tabla13[[#This Row],[PRECIO INSTALADOR (IVA INCLUIDO)]]-F272</f>
        <v>126810.04699999998</v>
      </c>
      <c r="E272" s="62">
        <f>+Tabla13[[#This Row],[PRECIO INSTALADOR (IVA INCLUIDO)]]/0.7</f>
        <v>190691.8</v>
      </c>
      <c r="F272" s="61">
        <f>+Tabla13[[#This Row],[PRECIO INSTALADOR (IVA INCLUIDO)]]*5%</f>
        <v>6674.2129999999997</v>
      </c>
      <c r="G272" s="12">
        <v>0.85</v>
      </c>
      <c r="H272" s="11">
        <f>Tabla13[[#This Row],[COSTO]]*1.19</f>
        <v>113461.62099999998</v>
      </c>
      <c r="I272" s="10"/>
      <c r="J272" s="9"/>
      <c r="K272" s="66">
        <v>95345.9</v>
      </c>
    </row>
    <row r="273" spans="1:11" ht="12.75" x14ac:dyDescent="0.2">
      <c r="A273" s="76"/>
      <c r="B273" s="69" t="s">
        <v>1108</v>
      </c>
      <c r="C273" s="68"/>
      <c r="D273" s="68"/>
      <c r="E273" s="68"/>
      <c r="F273" s="67">
        <f>+Tabla13[[#This Row],[PRECIO INSTALADOR (IVA INCLUIDO)]]*5%</f>
        <v>0</v>
      </c>
      <c r="G273" s="12">
        <v>0.85</v>
      </c>
      <c r="H273" s="11">
        <f>Tabla13[[#This Row],[COSTO]]*1.19</f>
        <v>0</v>
      </c>
      <c r="I273" s="10"/>
      <c r="J273" s="9"/>
      <c r="K273" s="66"/>
    </row>
    <row r="274" spans="1:11" ht="12.75" x14ac:dyDescent="0.2">
      <c r="A274" s="75" t="s">
        <v>1107</v>
      </c>
      <c r="B274" s="63" t="s">
        <v>1106</v>
      </c>
      <c r="C274" s="62">
        <f>+Tabla13[[#This Row],[Columna6]]/Tabla13[[#This Row],[Columna5]]</f>
        <v>80901.659999999989</v>
      </c>
      <c r="D274" s="62">
        <f>+Tabla13[[#This Row],[PRECIO INSTALADOR (IVA INCLUIDO)]]-F274</f>
        <v>76856.57699999999</v>
      </c>
      <c r="E274" s="62">
        <f>+Tabla13[[#This Row],[PRECIO INSTALADOR (IVA INCLUIDO)]]/0.7</f>
        <v>115573.79999999999</v>
      </c>
      <c r="F274" s="61">
        <f>+Tabla13[[#This Row],[PRECIO INSTALADOR (IVA INCLUIDO)]]*5%</f>
        <v>4045.0829999999996</v>
      </c>
      <c r="G274" s="12">
        <v>0.85</v>
      </c>
      <c r="H274" s="11">
        <f>Tabla13[[#This Row],[COSTO]]*1.19</f>
        <v>68766.410999999993</v>
      </c>
      <c r="I274" s="10"/>
      <c r="J274" s="9"/>
      <c r="K274" s="66">
        <v>57786.9</v>
      </c>
    </row>
    <row r="275" spans="1:11" ht="12.75" x14ac:dyDescent="0.2">
      <c r="A275" s="75" t="s">
        <v>1105</v>
      </c>
      <c r="B275" s="63" t="s">
        <v>1104</v>
      </c>
      <c r="C275" s="62">
        <f>+Tabla13[[#This Row],[Columna6]]/Tabla13[[#This Row],[Columna5]]</f>
        <v>80901.659999999989</v>
      </c>
      <c r="D275" s="62">
        <f>+Tabla13[[#This Row],[PRECIO INSTALADOR (IVA INCLUIDO)]]-F275</f>
        <v>76856.57699999999</v>
      </c>
      <c r="E275" s="62">
        <f>+Tabla13[[#This Row],[PRECIO INSTALADOR (IVA INCLUIDO)]]/0.7</f>
        <v>115573.79999999999</v>
      </c>
      <c r="F275" s="61">
        <f>+Tabla13[[#This Row],[PRECIO INSTALADOR (IVA INCLUIDO)]]*5%</f>
        <v>4045.0829999999996</v>
      </c>
      <c r="G275" s="12">
        <v>0.85</v>
      </c>
      <c r="H275" s="11">
        <f>Tabla13[[#This Row],[COSTO]]*1.19</f>
        <v>68766.410999999993</v>
      </c>
      <c r="I275" s="10"/>
      <c r="J275" s="9"/>
      <c r="K275" s="66">
        <v>57786.9</v>
      </c>
    </row>
    <row r="276" spans="1:11" ht="12.75" x14ac:dyDescent="0.2">
      <c r="A276" s="75" t="s">
        <v>1103</v>
      </c>
      <c r="B276" s="63" t="s">
        <v>1102</v>
      </c>
      <c r="C276" s="62">
        <f>+Tabla13[[#This Row],[Columna6]]/Tabla13[[#This Row],[Columna5]]</f>
        <v>75037.06</v>
      </c>
      <c r="D276" s="62">
        <f>+Tabla13[[#This Row],[PRECIO INSTALADOR (IVA INCLUIDO)]]-F276</f>
        <v>71285.206999999995</v>
      </c>
      <c r="E276" s="62">
        <f>+Tabla13[[#This Row],[PRECIO INSTALADOR (IVA INCLUIDO)]]/0.7</f>
        <v>107195.8</v>
      </c>
      <c r="F276" s="61">
        <f>+Tabla13[[#This Row],[PRECIO INSTALADOR (IVA INCLUIDO)]]*5%</f>
        <v>3751.8530000000001</v>
      </c>
      <c r="G276" s="12">
        <v>0.85</v>
      </c>
      <c r="H276" s="11">
        <f>Tabla13[[#This Row],[COSTO]]*1.19</f>
        <v>63781.500999999997</v>
      </c>
      <c r="I276" s="10"/>
      <c r="J276" s="9"/>
      <c r="K276" s="66">
        <v>53597.9</v>
      </c>
    </row>
    <row r="277" spans="1:11" ht="12.75" x14ac:dyDescent="0.2">
      <c r="A277" s="75" t="s">
        <v>1101</v>
      </c>
      <c r="B277" s="63" t="s">
        <v>1100</v>
      </c>
      <c r="C277" s="62">
        <f>+Tabla13[[#This Row],[Columna6]]/Tabla13[[#This Row],[Columna5]]</f>
        <v>74639.459999999992</v>
      </c>
      <c r="D277" s="62">
        <f>+Tabla13[[#This Row],[PRECIO INSTALADOR (IVA INCLUIDO)]]-F277</f>
        <v>70907.486999999994</v>
      </c>
      <c r="E277" s="62">
        <f>+Tabla13[[#This Row],[PRECIO INSTALADOR (IVA INCLUIDO)]]/0.7</f>
        <v>106627.79999999999</v>
      </c>
      <c r="F277" s="61">
        <f>+Tabla13[[#This Row],[PRECIO INSTALADOR (IVA INCLUIDO)]]*5%</f>
        <v>3731.973</v>
      </c>
      <c r="G277" s="12">
        <v>0.85</v>
      </c>
      <c r="H277" s="11">
        <f>Tabla13[[#This Row],[COSTO]]*1.19</f>
        <v>63443.540999999997</v>
      </c>
      <c r="I277" s="10"/>
      <c r="J277" s="9"/>
      <c r="K277" s="66">
        <v>53313.9</v>
      </c>
    </row>
    <row r="278" spans="1:11" ht="12.75" x14ac:dyDescent="0.2">
      <c r="A278" s="75" t="s">
        <v>1099</v>
      </c>
      <c r="B278" s="63" t="s">
        <v>1098</v>
      </c>
      <c r="C278" s="62">
        <f>+Tabla13[[#This Row],[Columna6]]/Tabla13[[#This Row],[Columna5]]</f>
        <v>55654.060000000005</v>
      </c>
      <c r="D278" s="62">
        <f>+Tabla13[[#This Row],[PRECIO INSTALADOR (IVA INCLUIDO)]]-F278</f>
        <v>52871.357000000004</v>
      </c>
      <c r="E278" s="62">
        <f>+Tabla13[[#This Row],[PRECIO INSTALADOR (IVA INCLUIDO)]]/0.7</f>
        <v>79505.800000000017</v>
      </c>
      <c r="F278" s="61">
        <f>+Tabla13[[#This Row],[PRECIO INSTALADOR (IVA INCLUIDO)]]*5%</f>
        <v>2782.7030000000004</v>
      </c>
      <c r="G278" s="12">
        <v>0.85</v>
      </c>
      <c r="H278" s="11">
        <f>Tabla13[[#This Row],[COSTO]]*1.19</f>
        <v>47305.951000000001</v>
      </c>
      <c r="I278" s="10"/>
      <c r="J278" s="9"/>
      <c r="K278" s="66">
        <v>39752.9</v>
      </c>
    </row>
    <row r="279" spans="1:11" ht="12.75" x14ac:dyDescent="0.2">
      <c r="A279" s="75" t="s">
        <v>1097</v>
      </c>
      <c r="B279" s="63" t="s">
        <v>1096</v>
      </c>
      <c r="C279" s="62">
        <f>+Tabla13[[#This Row],[Columna6]]/Tabla13[[#This Row],[Columna5]]</f>
        <v>84579.46</v>
      </c>
      <c r="D279" s="62">
        <f>+Tabla13[[#This Row],[PRECIO INSTALADOR (IVA INCLUIDO)]]-F279</f>
        <v>80350.487000000008</v>
      </c>
      <c r="E279" s="62">
        <f>+Tabla13[[#This Row],[PRECIO INSTALADOR (IVA INCLUIDO)]]/0.7</f>
        <v>120827.80000000002</v>
      </c>
      <c r="F279" s="61">
        <f>+Tabla13[[#This Row],[PRECIO INSTALADOR (IVA INCLUIDO)]]*5%</f>
        <v>4228.9730000000009</v>
      </c>
      <c r="G279" s="12">
        <v>0.85</v>
      </c>
      <c r="H279" s="11">
        <f>Tabla13[[#This Row],[COSTO]]*1.19</f>
        <v>71892.540999999997</v>
      </c>
      <c r="I279" s="10"/>
      <c r="J279" s="9"/>
      <c r="K279" s="66">
        <v>60413.9</v>
      </c>
    </row>
    <row r="280" spans="1:11" ht="12.75" x14ac:dyDescent="0.2">
      <c r="A280" s="75" t="s">
        <v>1095</v>
      </c>
      <c r="B280" s="63" t="s">
        <v>1094</v>
      </c>
      <c r="C280" s="62">
        <f>+Tabla13[[#This Row],[Columna6]]/Tabla13[[#This Row],[Columna5]]</f>
        <v>84877.66</v>
      </c>
      <c r="D280" s="62">
        <f>+Tabla13[[#This Row],[PRECIO INSTALADOR (IVA INCLUIDO)]]-F280</f>
        <v>80633.777000000002</v>
      </c>
      <c r="E280" s="62">
        <f>+Tabla13[[#This Row],[PRECIO INSTALADOR (IVA INCLUIDO)]]/0.7</f>
        <v>121253.80000000002</v>
      </c>
      <c r="F280" s="61">
        <f>+Tabla13[[#This Row],[PRECIO INSTALADOR (IVA INCLUIDO)]]*5%</f>
        <v>4243.8830000000007</v>
      </c>
      <c r="G280" s="12">
        <v>0.85</v>
      </c>
      <c r="H280" s="11">
        <f>Tabla13[[#This Row],[COSTO]]*1.19</f>
        <v>72146.010999999999</v>
      </c>
      <c r="I280" s="10"/>
      <c r="J280" s="9"/>
      <c r="K280" s="66">
        <v>60626.9</v>
      </c>
    </row>
    <row r="281" spans="1:11" ht="12.75" x14ac:dyDescent="0.2">
      <c r="A281" s="75" t="s">
        <v>1093</v>
      </c>
      <c r="B281" s="63" t="s">
        <v>1092</v>
      </c>
      <c r="C281" s="62">
        <f>+Tabla13[[#This Row],[Columna6]]/Tabla13[[#This Row],[Columna5]]</f>
        <v>78217.86</v>
      </c>
      <c r="D281" s="62">
        <f>+Tabla13[[#This Row],[PRECIO INSTALADOR (IVA INCLUIDO)]]-F281</f>
        <v>74306.967000000004</v>
      </c>
      <c r="E281" s="62">
        <f>+Tabla13[[#This Row],[PRECIO INSTALADOR (IVA INCLUIDO)]]/0.7</f>
        <v>111739.8</v>
      </c>
      <c r="F281" s="61">
        <f>+Tabla13[[#This Row],[PRECIO INSTALADOR (IVA INCLUIDO)]]*5%</f>
        <v>3910.893</v>
      </c>
      <c r="G281" s="12">
        <v>0.85</v>
      </c>
      <c r="H281" s="11">
        <f>Tabla13[[#This Row],[COSTO]]*1.19</f>
        <v>66485.180999999997</v>
      </c>
      <c r="I281" s="10"/>
      <c r="J281" s="9"/>
      <c r="K281" s="66">
        <v>55869.9</v>
      </c>
    </row>
    <row r="282" spans="1:11" ht="12.75" x14ac:dyDescent="0.2">
      <c r="A282" s="75" t="s">
        <v>1091</v>
      </c>
      <c r="B282" s="63" t="s">
        <v>1090</v>
      </c>
      <c r="C282" s="62">
        <f>+Tabla13[[#This Row],[Columna6]]/Tabla13[[#This Row],[Columna5]]</f>
        <v>77919.66</v>
      </c>
      <c r="D282" s="62">
        <f>+Tabla13[[#This Row],[PRECIO INSTALADOR (IVA INCLUIDO)]]-F282</f>
        <v>74023.676999999996</v>
      </c>
      <c r="E282" s="62">
        <f>+Tabla13[[#This Row],[PRECIO INSTALADOR (IVA INCLUIDO)]]/0.7</f>
        <v>111313.80000000002</v>
      </c>
      <c r="F282" s="61">
        <f>+Tabla13[[#This Row],[PRECIO INSTALADOR (IVA INCLUIDO)]]*5%</f>
        <v>3895.9830000000002</v>
      </c>
      <c r="G282" s="12">
        <v>0.85</v>
      </c>
      <c r="H282" s="11">
        <f>Tabla13[[#This Row],[COSTO]]*1.19</f>
        <v>66231.710999999996</v>
      </c>
      <c r="I282" s="10"/>
      <c r="J282" s="9"/>
      <c r="K282" s="66">
        <v>55656.9</v>
      </c>
    </row>
    <row r="283" spans="1:11" ht="12.75" x14ac:dyDescent="0.2">
      <c r="A283" s="75" t="s">
        <v>1089</v>
      </c>
      <c r="B283" s="63" t="s">
        <v>1088</v>
      </c>
      <c r="C283" s="62">
        <f>+Tabla13[[#This Row],[Columna6]]/Tabla13[[#This Row],[Columna5]]</f>
        <v>59431.259999999995</v>
      </c>
      <c r="D283" s="62">
        <f>+Tabla13[[#This Row],[PRECIO INSTALADOR (IVA INCLUIDO)]]-F283</f>
        <v>56459.696999999993</v>
      </c>
      <c r="E283" s="62">
        <f>+Tabla13[[#This Row],[PRECIO INSTALADOR (IVA INCLUIDO)]]/0.7</f>
        <v>84901.8</v>
      </c>
      <c r="F283" s="61">
        <f>+Tabla13[[#This Row],[PRECIO INSTALADOR (IVA INCLUIDO)]]*5%</f>
        <v>2971.5630000000001</v>
      </c>
      <c r="G283" s="12">
        <v>0.85</v>
      </c>
      <c r="H283" s="11">
        <f>Tabla13[[#This Row],[COSTO]]*1.19</f>
        <v>50516.570999999996</v>
      </c>
      <c r="I283" s="10"/>
      <c r="J283" s="9"/>
      <c r="K283" s="66">
        <v>42450.9</v>
      </c>
    </row>
    <row r="284" spans="1:11" ht="12.75" x14ac:dyDescent="0.2">
      <c r="A284" s="76"/>
      <c r="B284" s="69" t="s">
        <v>1087</v>
      </c>
      <c r="C284" s="68"/>
      <c r="D284" s="68"/>
      <c r="E284" s="68"/>
      <c r="F284" s="67">
        <f>+Tabla13[[#This Row],[PRECIO INSTALADOR (IVA INCLUIDO)]]*5%</f>
        <v>0</v>
      </c>
      <c r="G284" s="12">
        <v>0.85</v>
      </c>
      <c r="H284" s="11">
        <f>Tabla13[[#This Row],[COSTO]]*1.19</f>
        <v>0</v>
      </c>
      <c r="I284" s="10"/>
      <c r="J284" s="9"/>
      <c r="K284" s="66"/>
    </row>
    <row r="285" spans="1:11" ht="12.75" x14ac:dyDescent="0.2">
      <c r="A285" s="75" t="s">
        <v>1086</v>
      </c>
      <c r="B285" s="63" t="s">
        <v>1085</v>
      </c>
      <c r="C285" s="62">
        <f>+Tabla13[[#This Row],[Columna6]]/Tabla13[[#This Row],[Columna5]]</f>
        <v>205847.46</v>
      </c>
      <c r="D285" s="62">
        <f>+Tabla13[[#This Row],[PRECIO INSTALADOR (IVA INCLUIDO)]]-F285</f>
        <v>195555.087</v>
      </c>
      <c r="E285" s="62">
        <f>+Tabla13[[#This Row],[PRECIO INSTALADOR (IVA INCLUIDO)]]/0.7</f>
        <v>294067.8</v>
      </c>
      <c r="F285" s="61">
        <f>+Tabla13[[#This Row],[PRECIO INSTALADOR (IVA INCLUIDO)]]*5%</f>
        <v>10292.373</v>
      </c>
      <c r="G285" s="12">
        <v>0.85</v>
      </c>
      <c r="H285" s="11">
        <f>Tabla13[[#This Row],[COSTO]]*1.19</f>
        <v>174970.34099999999</v>
      </c>
      <c r="I285" s="10"/>
      <c r="J285" s="9"/>
      <c r="K285" s="66">
        <v>147033.9</v>
      </c>
    </row>
    <row r="286" spans="1:11" ht="12.75" x14ac:dyDescent="0.2">
      <c r="A286" s="75" t="s">
        <v>1084</v>
      </c>
      <c r="B286" s="63" t="s">
        <v>1083</v>
      </c>
      <c r="C286" s="62">
        <f>+Tabla13[[#This Row],[Columna6]]/Tabla13[[#This Row],[Columna5]]</f>
        <v>205847.46</v>
      </c>
      <c r="D286" s="62">
        <f>+Tabla13[[#This Row],[PRECIO INSTALADOR (IVA INCLUIDO)]]-F286</f>
        <v>195555.087</v>
      </c>
      <c r="E286" s="62">
        <f>+Tabla13[[#This Row],[PRECIO INSTALADOR (IVA INCLUIDO)]]/0.7</f>
        <v>294067.8</v>
      </c>
      <c r="F286" s="61">
        <f>+Tabla13[[#This Row],[PRECIO INSTALADOR (IVA INCLUIDO)]]*5%</f>
        <v>10292.373</v>
      </c>
      <c r="G286" s="12">
        <v>0.85</v>
      </c>
      <c r="H286" s="11">
        <f>Tabla13[[#This Row],[COSTO]]*1.19</f>
        <v>174970.34099999999</v>
      </c>
      <c r="I286" s="10"/>
      <c r="J286" s="9"/>
      <c r="K286" s="66">
        <v>147033.9</v>
      </c>
    </row>
    <row r="287" spans="1:11" ht="12.75" x14ac:dyDescent="0.2">
      <c r="A287" s="75" t="s">
        <v>1082</v>
      </c>
      <c r="B287" s="63" t="s">
        <v>1081</v>
      </c>
      <c r="C287" s="62">
        <f>+Tabla13[[#This Row],[Columna6]]/Tabla13[[#This Row],[Columna5]]</f>
        <v>214197.06</v>
      </c>
      <c r="D287" s="62">
        <f>+Tabla13[[#This Row],[PRECIO INSTALADOR (IVA INCLUIDO)]]-F287</f>
        <v>203487.20699999999</v>
      </c>
      <c r="E287" s="62">
        <f>+Tabla13[[#This Row],[PRECIO INSTALADOR (IVA INCLUIDO)]]/0.7</f>
        <v>305995.8</v>
      </c>
      <c r="F287" s="61">
        <f>+Tabla13[[#This Row],[PRECIO INSTALADOR (IVA INCLUIDO)]]*5%</f>
        <v>10709.853000000001</v>
      </c>
      <c r="G287" s="12">
        <v>0.85</v>
      </c>
      <c r="H287" s="11">
        <f>Tabla13[[#This Row],[COSTO]]*1.19</f>
        <v>182067.50099999999</v>
      </c>
      <c r="I287" s="10"/>
      <c r="J287" s="9"/>
      <c r="K287" s="66">
        <v>152997.9</v>
      </c>
    </row>
    <row r="288" spans="1:11" ht="12.75" x14ac:dyDescent="0.2">
      <c r="A288" s="75" t="s">
        <v>1080</v>
      </c>
      <c r="B288" s="63" t="s">
        <v>1079</v>
      </c>
      <c r="C288" s="62">
        <f>+Tabla13[[#This Row],[Columna6]]/Tabla13[[#This Row],[Columna5]]</f>
        <v>214197.06</v>
      </c>
      <c r="D288" s="62">
        <f>+Tabla13[[#This Row],[PRECIO INSTALADOR (IVA INCLUIDO)]]-F288</f>
        <v>203487.20699999999</v>
      </c>
      <c r="E288" s="62">
        <f>+Tabla13[[#This Row],[PRECIO INSTALADOR (IVA INCLUIDO)]]/0.7</f>
        <v>305995.8</v>
      </c>
      <c r="F288" s="61">
        <f>+Tabla13[[#This Row],[PRECIO INSTALADOR (IVA INCLUIDO)]]*5%</f>
        <v>10709.853000000001</v>
      </c>
      <c r="G288" s="12">
        <v>0.85</v>
      </c>
      <c r="H288" s="11">
        <f>Tabla13[[#This Row],[COSTO]]*1.19</f>
        <v>182067.50099999999</v>
      </c>
      <c r="I288" s="10"/>
      <c r="J288" s="9"/>
      <c r="K288" s="66">
        <v>152997.9</v>
      </c>
    </row>
    <row r="289" spans="1:11" ht="12.75" x14ac:dyDescent="0.2">
      <c r="A289" s="75" t="s">
        <v>1078</v>
      </c>
      <c r="B289" s="63" t="s">
        <v>1077</v>
      </c>
      <c r="C289" s="62">
        <f>+Tabla13[[#This Row],[Columna6]]/Tabla13[[#This Row],[Columna5]]</f>
        <v>666069.46</v>
      </c>
      <c r="D289" s="62">
        <f>+Tabla13[[#This Row],[PRECIO INSTALADOR (IVA INCLUIDO)]]-F289</f>
        <v>632765.98699999996</v>
      </c>
      <c r="E289" s="62">
        <f>+Tabla13[[#This Row],[PRECIO INSTALADOR (IVA INCLUIDO)]]/0.7</f>
        <v>951527.8</v>
      </c>
      <c r="F289" s="61">
        <f>+Tabla13[[#This Row],[PRECIO INSTALADOR (IVA INCLUIDO)]]*5%</f>
        <v>33303.472999999998</v>
      </c>
      <c r="G289" s="12">
        <v>0.85</v>
      </c>
      <c r="H289" s="11">
        <f>Tabla13[[#This Row],[COSTO]]*1.19</f>
        <v>566159.04099999997</v>
      </c>
      <c r="I289" s="10"/>
      <c r="J289" s="9"/>
      <c r="K289" s="66">
        <v>475763.9</v>
      </c>
    </row>
    <row r="290" spans="1:11" ht="12.75" x14ac:dyDescent="0.2">
      <c r="A290" s="94"/>
      <c r="B290" s="69" t="s">
        <v>1076</v>
      </c>
      <c r="C290" s="93"/>
      <c r="D290" s="93"/>
      <c r="E290" s="93"/>
      <c r="F290" s="92">
        <f>+Tabla13[[#This Row],[PRECIO INSTALADOR (IVA INCLUIDO)]]*5%</f>
        <v>0</v>
      </c>
      <c r="G290" s="12">
        <v>0.85</v>
      </c>
      <c r="H290" s="11">
        <f>Tabla13[[#This Row],[COSTO]]*1.19</f>
        <v>0</v>
      </c>
      <c r="I290" s="10"/>
      <c r="J290" s="9"/>
      <c r="K290" s="66"/>
    </row>
    <row r="291" spans="1:11" ht="12.75" x14ac:dyDescent="0.2">
      <c r="A291" s="75" t="s">
        <v>1075</v>
      </c>
      <c r="B291" s="63" t="s">
        <v>1074</v>
      </c>
      <c r="C291" s="62">
        <f>+Tabla13[[#This Row],[Columna6]]/Tabla13[[#This Row],[Columna5]]</f>
        <v>139050.65999999997</v>
      </c>
      <c r="D291" s="62">
        <f>+Tabla13[[#This Row],[PRECIO INSTALADOR (IVA INCLUIDO)]]-F291</f>
        <v>132098.12699999998</v>
      </c>
      <c r="E291" s="62">
        <f>+Tabla13[[#This Row],[PRECIO INSTALADOR (IVA INCLUIDO)]]/0.7</f>
        <v>198643.8</v>
      </c>
      <c r="F291" s="61">
        <f>+Tabla13[[#This Row],[PRECIO INSTALADOR (IVA INCLUIDO)]]*5%</f>
        <v>6952.5329999999994</v>
      </c>
      <c r="G291" s="12">
        <v>0.85</v>
      </c>
      <c r="H291" s="11">
        <f>Tabla13[[#This Row],[COSTO]]*1.19</f>
        <v>118193.06099999999</v>
      </c>
      <c r="I291" s="10"/>
      <c r="J291" s="9"/>
      <c r="K291" s="66">
        <v>99321.9</v>
      </c>
    </row>
    <row r="292" spans="1:11" ht="12.75" x14ac:dyDescent="0.2">
      <c r="A292" s="75" t="s">
        <v>1073</v>
      </c>
      <c r="B292" s="63" t="s">
        <v>1072</v>
      </c>
      <c r="C292" s="62">
        <f>+Tabla13[[#This Row],[Columna6]]/Tabla13[[#This Row],[Columna5]]</f>
        <v>136466.25999999998</v>
      </c>
      <c r="D292" s="62">
        <f>+Tabla13[[#This Row],[PRECIO INSTALADOR (IVA INCLUIDO)]]-F292</f>
        <v>129642.94699999999</v>
      </c>
      <c r="E292" s="62">
        <f>+Tabla13[[#This Row],[PRECIO INSTALADOR (IVA INCLUIDO)]]/0.7</f>
        <v>194951.8</v>
      </c>
      <c r="F292" s="61">
        <f>+Tabla13[[#This Row],[PRECIO INSTALADOR (IVA INCLUIDO)]]*5%</f>
        <v>6823.3129999999992</v>
      </c>
      <c r="G292" s="12">
        <v>0.85</v>
      </c>
      <c r="H292" s="11">
        <f>Tabla13[[#This Row],[COSTO]]*1.19</f>
        <v>115996.32099999998</v>
      </c>
      <c r="I292" s="10"/>
      <c r="J292" s="9"/>
      <c r="K292" s="66">
        <v>97475.9</v>
      </c>
    </row>
    <row r="293" spans="1:11" ht="12.75" x14ac:dyDescent="0.2">
      <c r="A293" s="75" t="s">
        <v>1071</v>
      </c>
      <c r="B293" s="63" t="s">
        <v>1070</v>
      </c>
      <c r="C293" s="62">
        <f>+Tabla13[[#This Row],[Columna6]]/Tabla13[[#This Row],[Columna5]]</f>
        <v>163105.45999999996</v>
      </c>
      <c r="D293" s="62">
        <f>+Tabla13[[#This Row],[PRECIO INSTALADOR (IVA INCLUIDO)]]-F293</f>
        <v>154950.18699999998</v>
      </c>
      <c r="E293" s="62">
        <f>+Tabla13[[#This Row],[PRECIO INSTALADOR (IVA INCLUIDO)]]/0.7</f>
        <v>233007.79999999996</v>
      </c>
      <c r="F293" s="61">
        <f>+Tabla13[[#This Row],[PRECIO INSTALADOR (IVA INCLUIDO)]]*5%</f>
        <v>8155.2729999999983</v>
      </c>
      <c r="G293" s="12">
        <v>0.85</v>
      </c>
      <c r="H293" s="11">
        <f>Tabla13[[#This Row],[COSTO]]*1.19</f>
        <v>138639.64099999997</v>
      </c>
      <c r="I293" s="10"/>
      <c r="J293" s="9"/>
      <c r="K293" s="66">
        <v>116503.9</v>
      </c>
    </row>
    <row r="294" spans="1:11" ht="12.75" x14ac:dyDescent="0.2">
      <c r="A294" s="75" t="s">
        <v>1069</v>
      </c>
      <c r="B294" s="63" t="s">
        <v>1068</v>
      </c>
      <c r="C294" s="62">
        <f>+Tabla13[[#This Row],[Columna6]]/Tabla13[[#This Row],[Columna5]]</f>
        <v>139050.65999999997</v>
      </c>
      <c r="D294" s="62">
        <f>+Tabla13[[#This Row],[PRECIO INSTALADOR (IVA INCLUIDO)]]-F294</f>
        <v>132098.12699999998</v>
      </c>
      <c r="E294" s="62">
        <f>+Tabla13[[#This Row],[PRECIO INSTALADOR (IVA INCLUIDO)]]/0.7</f>
        <v>198643.8</v>
      </c>
      <c r="F294" s="61">
        <f>+Tabla13[[#This Row],[PRECIO INSTALADOR (IVA INCLUIDO)]]*5%</f>
        <v>6952.5329999999994</v>
      </c>
      <c r="G294" s="12">
        <v>0.85</v>
      </c>
      <c r="H294" s="11">
        <f>Tabla13[[#This Row],[COSTO]]*1.19</f>
        <v>118193.06099999999</v>
      </c>
      <c r="I294" s="10"/>
      <c r="J294" s="9"/>
      <c r="K294" s="66">
        <v>99321.9</v>
      </c>
    </row>
    <row r="295" spans="1:11" ht="12.75" x14ac:dyDescent="0.2">
      <c r="A295" s="75" t="s">
        <v>1067</v>
      </c>
      <c r="B295" s="63" t="s">
        <v>1066</v>
      </c>
      <c r="C295" s="62">
        <f>+Tabla13[[#This Row],[Columna6]]/Tabla13[[#This Row],[Columna5]]</f>
        <v>163105.45999999996</v>
      </c>
      <c r="D295" s="62">
        <f>+Tabla13[[#This Row],[PRECIO INSTALADOR (IVA INCLUIDO)]]-F295</f>
        <v>154950.18699999998</v>
      </c>
      <c r="E295" s="62">
        <f>+Tabla13[[#This Row],[PRECIO INSTALADOR (IVA INCLUIDO)]]/0.7</f>
        <v>233007.79999999996</v>
      </c>
      <c r="F295" s="61">
        <f>+Tabla13[[#This Row],[PRECIO INSTALADOR (IVA INCLUIDO)]]*5%</f>
        <v>8155.2729999999983</v>
      </c>
      <c r="G295" s="12">
        <v>0.85</v>
      </c>
      <c r="H295" s="11">
        <f>Tabla13[[#This Row],[COSTO]]*1.19</f>
        <v>138639.64099999997</v>
      </c>
      <c r="I295" s="10"/>
      <c r="J295" s="9"/>
      <c r="K295" s="66">
        <v>116503.9</v>
      </c>
    </row>
    <row r="296" spans="1:11" ht="12.75" x14ac:dyDescent="0.2">
      <c r="A296" s="75" t="s">
        <v>1065</v>
      </c>
      <c r="B296" s="63" t="s">
        <v>1064</v>
      </c>
      <c r="C296" s="62">
        <f>+Tabla13[[#This Row],[Columna6]]/Tabla13[[#This Row],[Columna5]]</f>
        <v>163701.85999999999</v>
      </c>
      <c r="D296" s="62">
        <f>+Tabla13[[#This Row],[PRECIO INSTALADOR (IVA INCLUIDO)]]-F296</f>
        <v>155516.76699999999</v>
      </c>
      <c r="E296" s="62">
        <f>+Tabla13[[#This Row],[PRECIO INSTALADOR (IVA INCLUIDO)]]/0.7</f>
        <v>233859.8</v>
      </c>
      <c r="F296" s="61">
        <f>+Tabla13[[#This Row],[PRECIO INSTALADOR (IVA INCLUIDO)]]*5%</f>
        <v>8185.0929999999998</v>
      </c>
      <c r="G296" s="12">
        <v>0.85</v>
      </c>
      <c r="H296" s="11">
        <f>Tabla13[[#This Row],[COSTO]]*1.19</f>
        <v>139146.58099999998</v>
      </c>
      <c r="I296" s="10"/>
      <c r="J296" s="9"/>
      <c r="K296" s="66">
        <v>116929.9</v>
      </c>
    </row>
    <row r="297" spans="1:11" ht="12.75" x14ac:dyDescent="0.2">
      <c r="A297" s="94"/>
      <c r="B297" s="69" t="s">
        <v>1063</v>
      </c>
      <c r="C297" s="93"/>
      <c r="D297" s="93"/>
      <c r="E297" s="93"/>
      <c r="F297" s="92">
        <f>+Tabla13[[#This Row],[PRECIO INSTALADOR (IVA INCLUIDO)]]*5%</f>
        <v>0</v>
      </c>
      <c r="G297" s="12">
        <v>0.85</v>
      </c>
      <c r="H297" s="11">
        <f>Tabla13[[#This Row],[COSTO]]*1.19</f>
        <v>0</v>
      </c>
      <c r="I297" s="10"/>
      <c r="J297" s="9"/>
      <c r="K297" s="66"/>
    </row>
    <row r="298" spans="1:11" ht="12.75" x14ac:dyDescent="0.2">
      <c r="A298" s="75" t="s">
        <v>1062</v>
      </c>
      <c r="B298" s="63" t="s">
        <v>1061</v>
      </c>
      <c r="C298" s="62">
        <f>+Tabla13[[#This Row],[Columna6]]/Tabla13[[#This Row],[Columna5]]</f>
        <v>193820.05999999997</v>
      </c>
      <c r="D298" s="62">
        <f>+Tabla13[[#This Row],[PRECIO INSTALADOR (IVA INCLUIDO)]]-F298</f>
        <v>184129.05699999997</v>
      </c>
      <c r="E298" s="62">
        <f>+Tabla13[[#This Row],[PRECIO INSTALADOR (IVA INCLUIDO)]]/0.7</f>
        <v>276885.8</v>
      </c>
      <c r="F298" s="61">
        <f>+Tabla13[[#This Row],[PRECIO INSTALADOR (IVA INCLUIDO)]]*5%</f>
        <v>9691.0029999999988</v>
      </c>
      <c r="G298" s="12">
        <v>0.85</v>
      </c>
      <c r="H298" s="11">
        <f>Tabla13[[#This Row],[COSTO]]*1.19</f>
        <v>164747.05099999998</v>
      </c>
      <c r="I298" s="10"/>
      <c r="J298" s="9"/>
      <c r="K298" s="66">
        <v>138442.9</v>
      </c>
    </row>
    <row r="299" spans="1:11" ht="12.75" x14ac:dyDescent="0.2">
      <c r="A299" s="75" t="s">
        <v>1060</v>
      </c>
      <c r="B299" s="63" t="s">
        <v>1059</v>
      </c>
      <c r="C299" s="62">
        <f>+Tabla13[[#This Row],[Columna6]]/Tabla13[[#This Row],[Columna5]]</f>
        <v>221254.46</v>
      </c>
      <c r="D299" s="62">
        <f>+Tabla13[[#This Row],[PRECIO INSTALADOR (IVA INCLUIDO)]]-F299</f>
        <v>210191.73699999999</v>
      </c>
      <c r="E299" s="62">
        <f>+Tabla13[[#This Row],[PRECIO INSTALADOR (IVA INCLUIDO)]]/0.7</f>
        <v>316077.8</v>
      </c>
      <c r="F299" s="61">
        <f>+Tabla13[[#This Row],[PRECIO INSTALADOR (IVA INCLUIDO)]]*5%</f>
        <v>11062.723</v>
      </c>
      <c r="G299" s="12">
        <v>0.85</v>
      </c>
      <c r="H299" s="11">
        <f>Tabla13[[#This Row],[COSTO]]*1.19</f>
        <v>188066.291</v>
      </c>
      <c r="I299" s="10"/>
      <c r="J299" s="9"/>
      <c r="K299" s="66">
        <v>158038.9</v>
      </c>
    </row>
    <row r="300" spans="1:11" ht="12.75" x14ac:dyDescent="0.2">
      <c r="A300" s="75" t="s">
        <v>1058</v>
      </c>
      <c r="B300" s="63" t="s">
        <v>1057</v>
      </c>
      <c r="C300" s="62">
        <f>+Tabla13[[#This Row],[Columna6]]/Tabla13[[#This Row],[Columna5]]</f>
        <v>193820.05999999997</v>
      </c>
      <c r="D300" s="62">
        <f>+Tabla13[[#This Row],[PRECIO INSTALADOR (IVA INCLUIDO)]]-F300</f>
        <v>184129.05699999997</v>
      </c>
      <c r="E300" s="62">
        <f>+Tabla13[[#This Row],[PRECIO INSTALADOR (IVA INCLUIDO)]]/0.7</f>
        <v>276885.8</v>
      </c>
      <c r="F300" s="61">
        <f>+Tabla13[[#This Row],[PRECIO INSTALADOR (IVA INCLUIDO)]]*5%</f>
        <v>9691.0029999999988</v>
      </c>
      <c r="G300" s="12">
        <v>0.85</v>
      </c>
      <c r="H300" s="11">
        <f>Tabla13[[#This Row],[COSTO]]*1.19</f>
        <v>164747.05099999998</v>
      </c>
      <c r="I300" s="10"/>
      <c r="J300" s="9"/>
      <c r="K300" s="66">
        <v>138442.9</v>
      </c>
    </row>
    <row r="301" spans="1:11" ht="12.75" x14ac:dyDescent="0.2">
      <c r="A301" s="75" t="s">
        <v>1056</v>
      </c>
      <c r="B301" s="63" t="s">
        <v>1055</v>
      </c>
      <c r="C301" s="62">
        <f>+Tabla13[[#This Row],[Columna6]]/Tabla13[[#This Row],[Columna5]]</f>
        <v>221950.25999999998</v>
      </c>
      <c r="D301" s="62">
        <f>+Tabla13[[#This Row],[PRECIO INSTALADOR (IVA INCLUIDO)]]-F301</f>
        <v>210852.74699999997</v>
      </c>
      <c r="E301" s="62">
        <f>+Tabla13[[#This Row],[PRECIO INSTALADOR (IVA INCLUIDO)]]/0.7</f>
        <v>317071.8</v>
      </c>
      <c r="F301" s="61">
        <f>+Tabla13[[#This Row],[PRECIO INSTALADOR (IVA INCLUIDO)]]*5%</f>
        <v>11097.512999999999</v>
      </c>
      <c r="G301" s="12">
        <v>0.85</v>
      </c>
      <c r="H301" s="11">
        <f>Tabla13[[#This Row],[COSTO]]*1.19</f>
        <v>188657.72099999999</v>
      </c>
      <c r="I301" s="10"/>
      <c r="J301" s="9"/>
      <c r="K301" s="66">
        <v>158535.9</v>
      </c>
    </row>
    <row r="302" spans="1:11" ht="12.75" x14ac:dyDescent="0.2">
      <c r="A302" s="88" t="s">
        <v>1054</v>
      </c>
      <c r="B302" s="63" t="s">
        <v>1053</v>
      </c>
      <c r="C302" s="62">
        <f>+Tabla13[[#This Row],[Columna6]]/Tabla13[[#This Row],[Columna5]]</f>
        <v>230995.66</v>
      </c>
      <c r="D302" s="62">
        <f>+Tabla13[[#This Row],[PRECIO INSTALADOR (IVA INCLUIDO)]]-F302</f>
        <v>219445.87700000001</v>
      </c>
      <c r="E302" s="62">
        <f>+Tabla13[[#This Row],[PRECIO INSTALADOR (IVA INCLUIDO)]]/0.7</f>
        <v>329993.80000000005</v>
      </c>
      <c r="F302" s="61">
        <f>+Tabla13[[#This Row],[PRECIO INSTALADOR (IVA INCLUIDO)]]*5%</f>
        <v>11549.783000000001</v>
      </c>
      <c r="G302" s="12">
        <v>0.85</v>
      </c>
      <c r="H302" s="11">
        <f>Tabla13[[#This Row],[COSTO]]*1.19</f>
        <v>196346.31099999999</v>
      </c>
      <c r="I302" s="10"/>
      <c r="J302" s="9"/>
      <c r="K302" s="66">
        <v>164996.9</v>
      </c>
    </row>
    <row r="303" spans="1:11" ht="12.75" x14ac:dyDescent="0.2">
      <c r="A303" s="88" t="s">
        <v>1052</v>
      </c>
      <c r="B303" s="63" t="s">
        <v>1051</v>
      </c>
      <c r="C303" s="62">
        <f>+Tabla13[[#This Row],[Columna6]]/Tabla13[[#This Row],[Columna5]]</f>
        <v>217576.66</v>
      </c>
      <c r="D303" s="62">
        <f>+Tabla13[[#This Row],[PRECIO INSTALADOR (IVA INCLUIDO)]]-F303</f>
        <v>206697.82699999999</v>
      </c>
      <c r="E303" s="62">
        <f>+Tabla13[[#This Row],[PRECIO INSTALADOR (IVA INCLUIDO)]]/0.7</f>
        <v>310823.80000000005</v>
      </c>
      <c r="F303" s="61">
        <f>+Tabla13[[#This Row],[PRECIO INSTALADOR (IVA INCLUIDO)]]*5%</f>
        <v>10878.833000000001</v>
      </c>
      <c r="G303" s="12">
        <v>0.85</v>
      </c>
      <c r="H303" s="11">
        <f>Tabla13[[#This Row],[COSTO]]*1.19</f>
        <v>184940.16099999999</v>
      </c>
      <c r="I303" s="10"/>
      <c r="J303" s="9"/>
      <c r="K303" s="66">
        <v>155411.9</v>
      </c>
    </row>
    <row r="304" spans="1:11" ht="12.75" x14ac:dyDescent="0.2">
      <c r="A304" s="88" t="s">
        <v>1050</v>
      </c>
      <c r="B304" s="63" t="s">
        <v>1049</v>
      </c>
      <c r="C304" s="62">
        <f>+Tabla13[[#This Row],[Columna6]]/Tabla13[[#This Row],[Columna5]]</f>
        <v>226721.46</v>
      </c>
      <c r="D304" s="62">
        <f>+Tabla13[[#This Row],[PRECIO INSTALADOR (IVA INCLUIDO)]]-F304</f>
        <v>215385.38699999999</v>
      </c>
      <c r="E304" s="62">
        <f>+Tabla13[[#This Row],[PRECIO INSTALADOR (IVA INCLUIDO)]]/0.7</f>
        <v>323887.8</v>
      </c>
      <c r="F304" s="61">
        <f>+Tabla13[[#This Row],[PRECIO INSTALADOR (IVA INCLUIDO)]]*5%</f>
        <v>11336.073</v>
      </c>
      <c r="G304" s="12">
        <v>0.85</v>
      </c>
      <c r="H304" s="11">
        <f>Tabla13[[#This Row],[COSTO]]*1.19</f>
        <v>192713.24099999998</v>
      </c>
      <c r="I304" s="10"/>
      <c r="J304" s="9"/>
      <c r="K304" s="66">
        <v>161943.9</v>
      </c>
    </row>
    <row r="305" spans="1:11" ht="12.75" x14ac:dyDescent="0.2">
      <c r="A305" s="76"/>
      <c r="B305" s="69" t="s">
        <v>1048</v>
      </c>
      <c r="C305" s="68"/>
      <c r="D305" s="68"/>
      <c r="E305" s="68"/>
      <c r="F305" s="67">
        <f>+Tabla13[[#This Row],[PRECIO INSTALADOR (IVA INCLUIDO)]]*5%</f>
        <v>0</v>
      </c>
      <c r="G305" s="12">
        <v>0.85</v>
      </c>
      <c r="H305" s="11">
        <f>Tabla13[[#This Row],[COSTO]]*1.19</f>
        <v>0</v>
      </c>
      <c r="I305" s="10"/>
      <c r="J305" s="9"/>
      <c r="K305" s="66"/>
    </row>
    <row r="306" spans="1:11" ht="12.75" x14ac:dyDescent="0.2">
      <c r="A306" s="75" t="s">
        <v>1047</v>
      </c>
      <c r="B306" s="63" t="s">
        <v>1046</v>
      </c>
      <c r="C306" s="62">
        <f>+Tabla13[[#This Row],[Columna6]]/Tabla13[[#This Row],[Columna5]]</f>
        <v>57940.26</v>
      </c>
      <c r="D306" s="62">
        <f>+Tabla13[[#This Row],[PRECIO INSTALADOR (IVA INCLUIDO)]]-F306</f>
        <v>55043.247000000003</v>
      </c>
      <c r="E306" s="62">
        <f>+Tabla13[[#This Row],[PRECIO INSTALADOR (IVA INCLUIDO)]]/0.7</f>
        <v>82771.8</v>
      </c>
      <c r="F306" s="61">
        <f>+Tabla13[[#This Row],[PRECIO INSTALADOR (IVA INCLUIDO)]]*5%</f>
        <v>2897.0130000000004</v>
      </c>
      <c r="G306" s="12">
        <v>0.85</v>
      </c>
      <c r="H306" s="11">
        <f>Tabla13[[#This Row],[COSTO]]*1.19</f>
        <v>49249.220999999998</v>
      </c>
      <c r="I306" s="10"/>
      <c r="J306" s="9"/>
      <c r="K306" s="66">
        <v>41385.9</v>
      </c>
    </row>
    <row r="307" spans="1:11" ht="12.75" x14ac:dyDescent="0.2">
      <c r="A307" s="94"/>
      <c r="B307" s="69" t="s">
        <v>1045</v>
      </c>
      <c r="C307" s="93"/>
      <c r="D307" s="93"/>
      <c r="E307" s="93"/>
      <c r="F307" s="92">
        <f>+Tabla13[[#This Row],[PRECIO INSTALADOR (IVA INCLUIDO)]]*5%</f>
        <v>0</v>
      </c>
      <c r="G307" s="12">
        <v>0.85</v>
      </c>
      <c r="H307" s="11">
        <f>Tabla13[[#This Row],[COSTO]]*1.19</f>
        <v>0</v>
      </c>
      <c r="I307" s="10"/>
      <c r="J307" s="9"/>
      <c r="K307" s="66"/>
    </row>
    <row r="308" spans="1:11" ht="12.75" x14ac:dyDescent="0.2">
      <c r="A308" s="82"/>
      <c r="B308" s="64" t="s">
        <v>1044</v>
      </c>
      <c r="C308" s="81"/>
      <c r="D308" s="81"/>
      <c r="E308" s="81"/>
      <c r="F308" s="61">
        <f>+Tabla13[[#This Row],[PRECIO INSTALADOR (IVA INCLUIDO)]]*5%</f>
        <v>0</v>
      </c>
      <c r="G308" s="12">
        <v>0.85</v>
      </c>
      <c r="H308" s="11" t="e">
        <f>Tabla13[[#This Row],[COSTO]]*1.19</f>
        <v>#VALUE!</v>
      </c>
      <c r="I308" s="10"/>
      <c r="J308" s="9"/>
      <c r="K308" s="66" t="s">
        <v>261</v>
      </c>
    </row>
    <row r="309" spans="1:11" ht="12.75" x14ac:dyDescent="0.2">
      <c r="A309" s="75" t="s">
        <v>1043</v>
      </c>
      <c r="B309" s="63" t="s">
        <v>1042</v>
      </c>
      <c r="C309" s="62">
        <f>+Tabla13[[#This Row],[Columna6]]/Tabla13[[#This Row],[Columna5]]</f>
        <v>274831.06</v>
      </c>
      <c r="D309" s="62">
        <f>+Tabla13[[#This Row],[PRECIO INSTALADOR (IVA INCLUIDO)]]-F309</f>
        <v>261089.50699999998</v>
      </c>
      <c r="E309" s="62">
        <f>+Tabla13[[#This Row],[PRECIO INSTALADOR (IVA INCLUIDO)]]/0.7</f>
        <v>392615.80000000005</v>
      </c>
      <c r="F309" s="61">
        <f>+Tabla13[[#This Row],[PRECIO INSTALADOR (IVA INCLUIDO)]]*5%</f>
        <v>13741.553</v>
      </c>
      <c r="G309" s="12">
        <v>0.85</v>
      </c>
      <c r="H309" s="11">
        <f>Tabla13[[#This Row],[COSTO]]*1.19</f>
        <v>233606.40099999998</v>
      </c>
      <c r="I309" s="10"/>
      <c r="J309" s="9"/>
      <c r="K309" s="66">
        <v>196307.9</v>
      </c>
    </row>
    <row r="310" spans="1:11" ht="12.75" x14ac:dyDescent="0.2">
      <c r="A310" s="75" t="s">
        <v>1041</v>
      </c>
      <c r="B310" s="63" t="s">
        <v>1040</v>
      </c>
      <c r="C310" s="62">
        <f>+Tabla13[[#This Row],[Columna6]]/Tabla13[[#This Row],[Columna5]]</f>
        <v>274831.06</v>
      </c>
      <c r="D310" s="62">
        <f>+Tabla13[[#This Row],[PRECIO INSTALADOR (IVA INCLUIDO)]]-F310</f>
        <v>261089.50699999998</v>
      </c>
      <c r="E310" s="62">
        <f>+Tabla13[[#This Row],[PRECIO INSTALADOR (IVA INCLUIDO)]]/0.7</f>
        <v>392615.80000000005</v>
      </c>
      <c r="F310" s="61">
        <f>+Tabla13[[#This Row],[PRECIO INSTALADOR (IVA INCLUIDO)]]*5%</f>
        <v>13741.553</v>
      </c>
      <c r="G310" s="12">
        <v>0.85</v>
      </c>
      <c r="H310" s="11">
        <f>Tabla13[[#This Row],[COSTO]]*1.19</f>
        <v>233606.40099999998</v>
      </c>
      <c r="I310" s="10"/>
      <c r="J310" s="9"/>
      <c r="K310" s="66">
        <v>196307.9</v>
      </c>
    </row>
    <row r="311" spans="1:11" ht="12.75" x14ac:dyDescent="0.2">
      <c r="A311" s="75" t="s">
        <v>1039</v>
      </c>
      <c r="B311" s="63" t="s">
        <v>1038</v>
      </c>
      <c r="C311" s="62">
        <f>+Tabla13[[#This Row],[Columna6]]/Tabla13[[#This Row],[Columna5]]</f>
        <v>280397.45999999996</v>
      </c>
      <c r="D311" s="62">
        <f>+Tabla13[[#This Row],[PRECIO INSTALADOR (IVA INCLUIDO)]]-F311</f>
        <v>266377.58699999994</v>
      </c>
      <c r="E311" s="62">
        <f>+Tabla13[[#This Row],[PRECIO INSTALADOR (IVA INCLUIDO)]]/0.7</f>
        <v>400567.8</v>
      </c>
      <c r="F311" s="61">
        <f>+Tabla13[[#This Row],[PRECIO INSTALADOR (IVA INCLUIDO)]]*5%</f>
        <v>14019.873</v>
      </c>
      <c r="G311" s="12">
        <v>0.85</v>
      </c>
      <c r="H311" s="11">
        <f>Tabla13[[#This Row],[COSTO]]*1.19</f>
        <v>238337.84099999999</v>
      </c>
      <c r="I311" s="10"/>
      <c r="J311" s="9"/>
      <c r="K311" s="66">
        <v>200283.9</v>
      </c>
    </row>
    <row r="312" spans="1:11" ht="12.75" x14ac:dyDescent="0.2">
      <c r="A312" s="75" t="s">
        <v>1037</v>
      </c>
      <c r="B312" s="63" t="s">
        <v>1036</v>
      </c>
      <c r="C312" s="62">
        <f>+Tabla13[[#This Row],[Columna6]]/Tabla13[[#This Row],[Columna5]]</f>
        <v>280397.45999999996</v>
      </c>
      <c r="D312" s="62">
        <f>+Tabla13[[#This Row],[PRECIO INSTALADOR (IVA INCLUIDO)]]-F312</f>
        <v>266377.58699999994</v>
      </c>
      <c r="E312" s="62">
        <f>+Tabla13[[#This Row],[PRECIO INSTALADOR (IVA INCLUIDO)]]/0.7</f>
        <v>400567.8</v>
      </c>
      <c r="F312" s="61">
        <f>+Tabla13[[#This Row],[PRECIO INSTALADOR (IVA INCLUIDO)]]*5%</f>
        <v>14019.873</v>
      </c>
      <c r="G312" s="12">
        <v>0.85</v>
      </c>
      <c r="H312" s="11">
        <f>Tabla13[[#This Row],[COSTO]]*1.19</f>
        <v>238337.84099999999</v>
      </c>
      <c r="I312" s="10"/>
      <c r="J312" s="9"/>
      <c r="K312" s="66">
        <v>200283.9</v>
      </c>
    </row>
    <row r="313" spans="1:11" ht="12.75" x14ac:dyDescent="0.2">
      <c r="A313" s="75" t="s">
        <v>1035</v>
      </c>
      <c r="B313" s="63" t="s">
        <v>1034</v>
      </c>
      <c r="C313" s="62">
        <f>+Tabla13[[#This Row],[Columna6]]/Tabla13[[#This Row],[Columna5]]</f>
        <v>307434.26</v>
      </c>
      <c r="D313" s="62">
        <f>+Tabla13[[#This Row],[PRECIO INSTALADOR (IVA INCLUIDO)]]-F313</f>
        <v>292062.54700000002</v>
      </c>
      <c r="E313" s="62">
        <f>+Tabla13[[#This Row],[PRECIO INSTALADOR (IVA INCLUIDO)]]/0.7</f>
        <v>439191.80000000005</v>
      </c>
      <c r="F313" s="61">
        <f>+Tabla13[[#This Row],[PRECIO INSTALADOR (IVA INCLUIDO)]]*5%</f>
        <v>15371.713000000002</v>
      </c>
      <c r="G313" s="12">
        <v>0.85</v>
      </c>
      <c r="H313" s="11">
        <f>Tabla13[[#This Row],[COSTO]]*1.19</f>
        <v>261319.12099999998</v>
      </c>
      <c r="I313" s="10"/>
      <c r="J313" s="9"/>
      <c r="K313" s="66">
        <v>219595.9</v>
      </c>
    </row>
    <row r="314" spans="1:11" ht="12.75" x14ac:dyDescent="0.2">
      <c r="A314" s="75" t="s">
        <v>1033</v>
      </c>
      <c r="B314" s="63" t="s">
        <v>1032</v>
      </c>
      <c r="C314" s="62">
        <f>+Tabla13[[#This Row],[Columna6]]/Tabla13[[#This Row],[Columna5]]</f>
        <v>307434.26</v>
      </c>
      <c r="D314" s="62">
        <f>+Tabla13[[#This Row],[PRECIO INSTALADOR (IVA INCLUIDO)]]-F314</f>
        <v>292062.54700000002</v>
      </c>
      <c r="E314" s="62">
        <f>+Tabla13[[#This Row],[PRECIO INSTALADOR (IVA INCLUIDO)]]/0.7</f>
        <v>439191.80000000005</v>
      </c>
      <c r="F314" s="61">
        <f>+Tabla13[[#This Row],[PRECIO INSTALADOR (IVA INCLUIDO)]]*5%</f>
        <v>15371.713000000002</v>
      </c>
      <c r="G314" s="12">
        <v>0.85</v>
      </c>
      <c r="H314" s="11">
        <f>Tabla13[[#This Row],[COSTO]]*1.19</f>
        <v>261319.12099999998</v>
      </c>
      <c r="I314" s="10"/>
      <c r="J314" s="9"/>
      <c r="K314" s="66">
        <v>219595.9</v>
      </c>
    </row>
    <row r="315" spans="1:11" ht="12.75" x14ac:dyDescent="0.2">
      <c r="A315" s="82"/>
      <c r="B315" s="64" t="s">
        <v>1031</v>
      </c>
      <c r="C315" s="81"/>
      <c r="D315" s="81"/>
      <c r="E315" s="81"/>
      <c r="F315" s="61">
        <f>+Tabla13[[#This Row],[PRECIO INSTALADOR (IVA INCLUIDO)]]*5%</f>
        <v>0</v>
      </c>
      <c r="G315" s="12">
        <v>0.85</v>
      </c>
      <c r="H315" s="11" t="e">
        <f>Tabla13[[#This Row],[COSTO]]*1.19</f>
        <v>#VALUE!</v>
      </c>
      <c r="I315" s="10"/>
      <c r="J315" s="9"/>
      <c r="K315" s="66" t="s">
        <v>261</v>
      </c>
    </row>
    <row r="316" spans="1:11" ht="12.75" x14ac:dyDescent="0.2">
      <c r="A316" s="75" t="s">
        <v>1030</v>
      </c>
      <c r="B316" s="63" t="s">
        <v>1029</v>
      </c>
      <c r="C316" s="62">
        <f>+Tabla13[[#This Row],[Columna6]]/Tabla13[[#This Row],[Columna5]]</f>
        <v>305148.06</v>
      </c>
      <c r="D316" s="62">
        <f>+Tabla13[[#This Row],[PRECIO INSTALADOR (IVA INCLUIDO)]]-F316</f>
        <v>289890.65700000001</v>
      </c>
      <c r="E316" s="62">
        <f>+Tabla13[[#This Row],[PRECIO INSTALADOR (IVA INCLUIDO)]]/0.7</f>
        <v>435925.80000000005</v>
      </c>
      <c r="F316" s="61">
        <f>+Tabla13[[#This Row],[PRECIO INSTALADOR (IVA INCLUIDO)]]*5%</f>
        <v>15257.403</v>
      </c>
      <c r="G316" s="12">
        <v>0.85</v>
      </c>
      <c r="H316" s="11">
        <f>Tabla13[[#This Row],[COSTO]]*1.19</f>
        <v>259375.851</v>
      </c>
      <c r="I316" s="10"/>
      <c r="J316" s="9"/>
      <c r="K316" s="66">
        <v>217962.9</v>
      </c>
    </row>
    <row r="317" spans="1:11" ht="12.75" x14ac:dyDescent="0.2">
      <c r="A317" s="75" t="s">
        <v>1028</v>
      </c>
      <c r="B317" s="63" t="s">
        <v>1027</v>
      </c>
      <c r="C317" s="62">
        <f>+Tabla13[[#This Row],[Columna6]]/Tabla13[[#This Row],[Columna5]]</f>
        <v>305148.06</v>
      </c>
      <c r="D317" s="62">
        <f>+Tabla13[[#This Row],[PRECIO INSTALADOR (IVA INCLUIDO)]]-F317</f>
        <v>289890.65700000001</v>
      </c>
      <c r="E317" s="62">
        <f>+Tabla13[[#This Row],[PRECIO INSTALADOR (IVA INCLUIDO)]]/0.7</f>
        <v>435925.80000000005</v>
      </c>
      <c r="F317" s="61">
        <f>+Tabla13[[#This Row],[PRECIO INSTALADOR (IVA INCLUIDO)]]*5%</f>
        <v>15257.403</v>
      </c>
      <c r="G317" s="12">
        <v>0.85</v>
      </c>
      <c r="H317" s="11">
        <f>Tabla13[[#This Row],[COSTO]]*1.19</f>
        <v>259375.851</v>
      </c>
      <c r="I317" s="10"/>
      <c r="J317" s="9"/>
      <c r="K317" s="66">
        <v>217962.9</v>
      </c>
    </row>
    <row r="318" spans="1:11" ht="12.75" x14ac:dyDescent="0.2">
      <c r="A318" s="75" t="s">
        <v>1026</v>
      </c>
      <c r="B318" s="63" t="s">
        <v>1025</v>
      </c>
      <c r="C318" s="62">
        <f>+Tabla13[[#This Row],[Columna6]]/Tabla13[[#This Row],[Columna5]]</f>
        <v>317274.86</v>
      </c>
      <c r="D318" s="62">
        <f>+Tabla13[[#This Row],[PRECIO INSTALADOR (IVA INCLUIDO)]]-F318</f>
        <v>301411.11699999997</v>
      </c>
      <c r="E318" s="62">
        <f>+Tabla13[[#This Row],[PRECIO INSTALADOR (IVA INCLUIDO)]]/0.7</f>
        <v>453249.8</v>
      </c>
      <c r="F318" s="61">
        <f>+Tabla13[[#This Row],[PRECIO INSTALADOR (IVA INCLUIDO)]]*5%</f>
        <v>15863.743</v>
      </c>
      <c r="G318" s="12">
        <v>0.85</v>
      </c>
      <c r="H318" s="11">
        <f>Tabla13[[#This Row],[COSTO]]*1.19</f>
        <v>269683.63099999999</v>
      </c>
      <c r="I318" s="10"/>
      <c r="J318" s="9"/>
      <c r="K318" s="66">
        <v>226624.9</v>
      </c>
    </row>
    <row r="319" spans="1:11" ht="12.75" x14ac:dyDescent="0.2">
      <c r="A319" s="75" t="s">
        <v>1024</v>
      </c>
      <c r="B319" s="63" t="s">
        <v>1023</v>
      </c>
      <c r="C319" s="62">
        <f>+Tabla13[[#This Row],[Columna6]]/Tabla13[[#This Row],[Columna5]]</f>
        <v>317274.86</v>
      </c>
      <c r="D319" s="62">
        <f>+Tabla13[[#This Row],[PRECIO INSTALADOR (IVA INCLUIDO)]]-F319</f>
        <v>301411.11699999997</v>
      </c>
      <c r="E319" s="62">
        <f>+Tabla13[[#This Row],[PRECIO INSTALADOR (IVA INCLUIDO)]]/0.7</f>
        <v>453249.8</v>
      </c>
      <c r="F319" s="61">
        <f>+Tabla13[[#This Row],[PRECIO INSTALADOR (IVA INCLUIDO)]]*5%</f>
        <v>15863.743</v>
      </c>
      <c r="G319" s="12">
        <v>0.85</v>
      </c>
      <c r="H319" s="11">
        <f>Tabla13[[#This Row],[COSTO]]*1.19</f>
        <v>269683.63099999999</v>
      </c>
      <c r="I319" s="10"/>
      <c r="J319" s="9"/>
      <c r="K319" s="66">
        <v>226624.9</v>
      </c>
    </row>
    <row r="320" spans="1:11" ht="12.75" x14ac:dyDescent="0.2">
      <c r="A320" s="75" t="s">
        <v>1022</v>
      </c>
      <c r="B320" s="63" t="s">
        <v>1021</v>
      </c>
      <c r="C320" s="62">
        <f>+Tabla13[[#This Row],[Columna6]]/Tabla13[[#This Row],[Columna5]]</f>
        <v>340633.86</v>
      </c>
      <c r="D320" s="62">
        <f>+Tabla13[[#This Row],[PRECIO INSTALADOR (IVA INCLUIDO)]]-F320</f>
        <v>323602.16700000002</v>
      </c>
      <c r="E320" s="62">
        <f>+Tabla13[[#This Row],[PRECIO INSTALADOR (IVA INCLUIDO)]]/0.7</f>
        <v>486619.8</v>
      </c>
      <c r="F320" s="61">
        <f>+Tabla13[[#This Row],[PRECIO INSTALADOR (IVA INCLUIDO)]]*5%</f>
        <v>17031.692999999999</v>
      </c>
      <c r="G320" s="12">
        <v>0.85</v>
      </c>
      <c r="H320" s="11">
        <f>Tabla13[[#This Row],[COSTO]]*1.19</f>
        <v>289538.78099999996</v>
      </c>
      <c r="I320" s="10"/>
      <c r="J320" s="9"/>
      <c r="K320" s="66">
        <v>243309.9</v>
      </c>
    </row>
    <row r="321" spans="1:11" ht="12.75" x14ac:dyDescent="0.2">
      <c r="A321" s="75" t="s">
        <v>1020</v>
      </c>
      <c r="B321" s="63" t="s">
        <v>1019</v>
      </c>
      <c r="C321" s="62">
        <f>+Tabla13[[#This Row],[Columna6]]/Tabla13[[#This Row],[Columna5]]</f>
        <v>340633.86</v>
      </c>
      <c r="D321" s="62">
        <f>+Tabla13[[#This Row],[PRECIO INSTALADOR (IVA INCLUIDO)]]-F321</f>
        <v>323602.16700000002</v>
      </c>
      <c r="E321" s="62">
        <f>+Tabla13[[#This Row],[PRECIO INSTALADOR (IVA INCLUIDO)]]/0.7</f>
        <v>486619.8</v>
      </c>
      <c r="F321" s="61">
        <f>+Tabla13[[#This Row],[PRECIO INSTALADOR (IVA INCLUIDO)]]*5%</f>
        <v>17031.692999999999</v>
      </c>
      <c r="G321" s="12">
        <v>0.85</v>
      </c>
      <c r="H321" s="11">
        <f>Tabla13[[#This Row],[COSTO]]*1.19</f>
        <v>289538.78099999996</v>
      </c>
      <c r="I321" s="10"/>
      <c r="J321" s="9"/>
      <c r="K321" s="66">
        <v>243309.9</v>
      </c>
    </row>
    <row r="322" spans="1:11" ht="12.75" x14ac:dyDescent="0.2">
      <c r="A322" s="82"/>
      <c r="B322" s="64" t="s">
        <v>1018</v>
      </c>
      <c r="C322" s="81"/>
      <c r="D322" s="81"/>
      <c r="E322" s="81"/>
      <c r="F322" s="61">
        <f>+Tabla13[[#This Row],[PRECIO INSTALADOR (IVA INCLUIDO)]]*5%</f>
        <v>0</v>
      </c>
      <c r="G322" s="12">
        <v>0.85</v>
      </c>
      <c r="H322" s="11" t="e">
        <f>Tabla13[[#This Row],[COSTO]]*1.19</f>
        <v>#VALUE!</v>
      </c>
      <c r="I322" s="10"/>
      <c r="J322" s="9"/>
      <c r="K322" s="66" t="s">
        <v>261</v>
      </c>
    </row>
    <row r="323" spans="1:11" ht="12.75" x14ac:dyDescent="0.2">
      <c r="A323" s="75" t="s">
        <v>1017</v>
      </c>
      <c r="B323" s="63" t="s">
        <v>1016</v>
      </c>
      <c r="C323" s="62">
        <f>+Tabla13[[#This Row],[Columna6]]/Tabla13[[#This Row],[Columna5]]</f>
        <v>327413.65999999997</v>
      </c>
      <c r="D323" s="62">
        <f>+Tabla13[[#This Row],[PRECIO INSTALADOR (IVA INCLUIDO)]]-F323</f>
        <v>311042.97699999996</v>
      </c>
      <c r="E323" s="62">
        <f>+Tabla13[[#This Row],[PRECIO INSTALADOR (IVA INCLUIDO)]]/0.7</f>
        <v>467733.8</v>
      </c>
      <c r="F323" s="61">
        <f>+Tabla13[[#This Row],[PRECIO INSTALADOR (IVA INCLUIDO)]]*5%</f>
        <v>16370.682999999999</v>
      </c>
      <c r="G323" s="12">
        <v>0.85</v>
      </c>
      <c r="H323" s="11">
        <f>Tabla13[[#This Row],[COSTO]]*1.19</f>
        <v>278301.61099999998</v>
      </c>
      <c r="I323" s="10"/>
      <c r="J323" s="9"/>
      <c r="K323" s="66">
        <v>233866.9</v>
      </c>
    </row>
    <row r="324" spans="1:11" ht="12.75" x14ac:dyDescent="0.2">
      <c r="A324" s="75" t="s">
        <v>1015</v>
      </c>
      <c r="B324" s="63" t="s">
        <v>1014</v>
      </c>
      <c r="C324" s="62">
        <f>+Tabla13[[#This Row],[Columna6]]/Tabla13[[#This Row],[Columna5]]</f>
        <v>327413.65999999997</v>
      </c>
      <c r="D324" s="62">
        <f>+Tabla13[[#This Row],[PRECIO INSTALADOR (IVA INCLUIDO)]]-F324</f>
        <v>311042.97699999996</v>
      </c>
      <c r="E324" s="62">
        <f>+Tabla13[[#This Row],[PRECIO INSTALADOR (IVA INCLUIDO)]]/0.7</f>
        <v>467733.8</v>
      </c>
      <c r="F324" s="61">
        <f>+Tabla13[[#This Row],[PRECIO INSTALADOR (IVA INCLUIDO)]]*5%</f>
        <v>16370.682999999999</v>
      </c>
      <c r="G324" s="12">
        <v>0.85</v>
      </c>
      <c r="H324" s="11">
        <f>Tabla13[[#This Row],[COSTO]]*1.19</f>
        <v>278301.61099999998</v>
      </c>
      <c r="I324" s="10"/>
      <c r="J324" s="9"/>
      <c r="K324" s="66">
        <v>233866.9</v>
      </c>
    </row>
    <row r="325" spans="1:11" ht="12.75" x14ac:dyDescent="0.2">
      <c r="A325" s="75" t="s">
        <v>1013</v>
      </c>
      <c r="B325" s="63" t="s">
        <v>1012</v>
      </c>
      <c r="C325" s="62">
        <f>+Tabla13[[#This Row],[Columna6]]/Tabla13[[#This Row],[Columna5]]</f>
        <v>333675.86</v>
      </c>
      <c r="D325" s="62">
        <f>+Tabla13[[#This Row],[PRECIO INSTALADOR (IVA INCLUIDO)]]-F325</f>
        <v>316992.06699999998</v>
      </c>
      <c r="E325" s="62">
        <f>+Tabla13[[#This Row],[PRECIO INSTALADOR (IVA INCLUIDO)]]/0.7</f>
        <v>476679.8</v>
      </c>
      <c r="F325" s="61">
        <f>+Tabla13[[#This Row],[PRECIO INSTALADOR (IVA INCLUIDO)]]*5%</f>
        <v>16683.793000000001</v>
      </c>
      <c r="G325" s="12">
        <v>0.85</v>
      </c>
      <c r="H325" s="11">
        <f>Tabla13[[#This Row],[COSTO]]*1.19</f>
        <v>283624.48099999997</v>
      </c>
      <c r="I325" s="10"/>
      <c r="J325" s="9"/>
      <c r="K325" s="66">
        <v>238339.9</v>
      </c>
    </row>
    <row r="326" spans="1:11" ht="12.75" x14ac:dyDescent="0.2">
      <c r="A326" s="75" t="s">
        <v>1011</v>
      </c>
      <c r="B326" s="63" t="s">
        <v>1010</v>
      </c>
      <c r="C326" s="62">
        <f>+Tabla13[[#This Row],[Columna6]]/Tabla13[[#This Row],[Columna5]]</f>
        <v>333675.86</v>
      </c>
      <c r="D326" s="62">
        <f>+Tabla13[[#This Row],[PRECIO INSTALADOR (IVA INCLUIDO)]]-F326</f>
        <v>316992.06699999998</v>
      </c>
      <c r="E326" s="62">
        <f>+Tabla13[[#This Row],[PRECIO INSTALADOR (IVA INCLUIDO)]]/0.7</f>
        <v>476679.8</v>
      </c>
      <c r="F326" s="61">
        <f>+Tabla13[[#This Row],[PRECIO INSTALADOR (IVA INCLUIDO)]]*5%</f>
        <v>16683.793000000001</v>
      </c>
      <c r="G326" s="12">
        <v>0.85</v>
      </c>
      <c r="H326" s="11">
        <f>Tabla13[[#This Row],[COSTO]]*1.19</f>
        <v>283624.48099999997</v>
      </c>
      <c r="I326" s="10"/>
      <c r="J326" s="9"/>
      <c r="K326" s="66">
        <v>238339.9</v>
      </c>
    </row>
    <row r="327" spans="1:11" ht="12.75" x14ac:dyDescent="0.2">
      <c r="A327" s="75" t="s">
        <v>1009</v>
      </c>
      <c r="B327" s="63" t="s">
        <v>1008</v>
      </c>
      <c r="C327" s="62">
        <f>+Tabla13[[#This Row],[Columna6]]/Tabla13[[#This Row],[Columna5]]</f>
        <v>356040.86</v>
      </c>
      <c r="D327" s="62">
        <f>+Tabla13[[#This Row],[PRECIO INSTALADOR (IVA INCLUIDO)]]-F327</f>
        <v>338238.81699999998</v>
      </c>
      <c r="E327" s="62">
        <f>+Tabla13[[#This Row],[PRECIO INSTALADOR (IVA INCLUIDO)]]/0.7</f>
        <v>508629.8</v>
      </c>
      <c r="F327" s="61">
        <f>+Tabla13[[#This Row],[PRECIO INSTALADOR (IVA INCLUIDO)]]*5%</f>
        <v>17802.043000000001</v>
      </c>
      <c r="G327" s="12">
        <v>0.85</v>
      </c>
      <c r="H327" s="11">
        <f>Tabla13[[#This Row],[COSTO]]*1.19</f>
        <v>302634.73099999997</v>
      </c>
      <c r="I327" s="10"/>
      <c r="J327" s="9"/>
      <c r="K327" s="66">
        <v>254314.9</v>
      </c>
    </row>
    <row r="328" spans="1:11" ht="12.75" x14ac:dyDescent="0.2">
      <c r="A328" s="75" t="s">
        <v>1007</v>
      </c>
      <c r="B328" s="63" t="s">
        <v>1006</v>
      </c>
      <c r="C328" s="62">
        <f>+Tabla13[[#This Row],[Columna6]]/Tabla13[[#This Row],[Columna5]]</f>
        <v>356040.86</v>
      </c>
      <c r="D328" s="62">
        <f>+Tabla13[[#This Row],[PRECIO INSTALADOR (IVA INCLUIDO)]]-F328</f>
        <v>338238.81699999998</v>
      </c>
      <c r="E328" s="62">
        <f>+Tabla13[[#This Row],[PRECIO INSTALADOR (IVA INCLUIDO)]]/0.7</f>
        <v>508629.8</v>
      </c>
      <c r="F328" s="61">
        <f>+Tabla13[[#This Row],[PRECIO INSTALADOR (IVA INCLUIDO)]]*5%</f>
        <v>17802.043000000001</v>
      </c>
      <c r="G328" s="12">
        <v>0.85</v>
      </c>
      <c r="H328" s="11">
        <f>Tabla13[[#This Row],[COSTO]]*1.19</f>
        <v>302634.73099999997</v>
      </c>
      <c r="I328" s="10"/>
      <c r="J328" s="9"/>
      <c r="K328" s="66">
        <v>254314.9</v>
      </c>
    </row>
    <row r="329" spans="1:11" ht="12.75" x14ac:dyDescent="0.2">
      <c r="A329" s="82"/>
      <c r="B329" s="64" t="s">
        <v>1005</v>
      </c>
      <c r="C329" s="81"/>
      <c r="D329" s="81"/>
      <c r="E329" s="81"/>
      <c r="F329" s="61">
        <f>+Tabla13[[#This Row],[PRECIO INSTALADOR (IVA INCLUIDO)]]*5%</f>
        <v>0</v>
      </c>
      <c r="G329" s="12">
        <v>0.85</v>
      </c>
      <c r="H329" s="11" t="e">
        <f>Tabla13[[#This Row],[COSTO]]*1.19</f>
        <v>#VALUE!</v>
      </c>
      <c r="I329" s="10"/>
      <c r="J329" s="9"/>
      <c r="K329" s="66" t="s">
        <v>261</v>
      </c>
    </row>
    <row r="330" spans="1:11" ht="12.75" x14ac:dyDescent="0.2">
      <c r="A330" s="75" t="s">
        <v>1004</v>
      </c>
      <c r="B330" s="63" t="s">
        <v>1003</v>
      </c>
      <c r="C330" s="62">
        <f>+Tabla13[[#This Row],[Columna6]]/Tabla13[[#This Row],[Columna5]]</f>
        <v>280397.45999999996</v>
      </c>
      <c r="D330" s="62">
        <f>+Tabla13[[#This Row],[PRECIO INSTALADOR (IVA INCLUIDO)]]-F330</f>
        <v>266377.58699999994</v>
      </c>
      <c r="E330" s="62">
        <f>+Tabla13[[#This Row],[PRECIO INSTALADOR (IVA INCLUIDO)]]/0.7</f>
        <v>400567.8</v>
      </c>
      <c r="F330" s="61">
        <f>+Tabla13[[#This Row],[PRECIO INSTALADOR (IVA INCLUIDO)]]*5%</f>
        <v>14019.873</v>
      </c>
      <c r="G330" s="12">
        <v>0.85</v>
      </c>
      <c r="H330" s="11">
        <f>Tabla13[[#This Row],[COSTO]]*1.19</f>
        <v>238337.84099999999</v>
      </c>
      <c r="I330" s="10"/>
      <c r="J330" s="9"/>
      <c r="K330" s="66">
        <v>200283.9</v>
      </c>
    </row>
    <row r="331" spans="1:11" ht="12.75" x14ac:dyDescent="0.2">
      <c r="A331" s="75" t="s">
        <v>1002</v>
      </c>
      <c r="B331" s="63" t="s">
        <v>1001</v>
      </c>
      <c r="C331" s="62">
        <f>+Tabla13[[#This Row],[Columna6]]/Tabla13[[#This Row],[Columna5]]</f>
        <v>280397.45999999996</v>
      </c>
      <c r="D331" s="62">
        <f>+Tabla13[[#This Row],[PRECIO INSTALADOR (IVA INCLUIDO)]]-F331</f>
        <v>266377.58699999994</v>
      </c>
      <c r="E331" s="62">
        <f>+Tabla13[[#This Row],[PRECIO INSTALADOR (IVA INCLUIDO)]]/0.7</f>
        <v>400567.8</v>
      </c>
      <c r="F331" s="61">
        <f>+Tabla13[[#This Row],[PRECIO INSTALADOR (IVA INCLUIDO)]]*5%</f>
        <v>14019.873</v>
      </c>
      <c r="G331" s="12">
        <v>0.85</v>
      </c>
      <c r="H331" s="11">
        <f>Tabla13[[#This Row],[COSTO]]*1.19</f>
        <v>238337.84099999999</v>
      </c>
      <c r="I331" s="10"/>
      <c r="J331" s="9"/>
      <c r="K331" s="66">
        <v>200283.9</v>
      </c>
    </row>
    <row r="332" spans="1:11" ht="12.75" x14ac:dyDescent="0.2">
      <c r="A332" s="75" t="s">
        <v>1000</v>
      </c>
      <c r="B332" s="63" t="s">
        <v>999</v>
      </c>
      <c r="C332" s="62">
        <f>+Tabla13[[#This Row],[Columna6]]/Tabla13[[#This Row],[Columna5]]</f>
        <v>296202.06</v>
      </c>
      <c r="D332" s="62">
        <f>+Tabla13[[#This Row],[PRECIO INSTALADOR (IVA INCLUIDO)]]-F332</f>
        <v>281391.95699999999</v>
      </c>
      <c r="E332" s="62">
        <f>+Tabla13[[#This Row],[PRECIO INSTALADOR (IVA INCLUIDO)]]/0.7</f>
        <v>423145.80000000005</v>
      </c>
      <c r="F332" s="61">
        <f>+Tabla13[[#This Row],[PRECIO INSTALADOR (IVA INCLUIDO)]]*5%</f>
        <v>14810.103000000001</v>
      </c>
      <c r="G332" s="12">
        <v>0.85</v>
      </c>
      <c r="H332" s="11">
        <f>Tabla13[[#This Row],[COSTO]]*1.19</f>
        <v>251771.75099999999</v>
      </c>
      <c r="I332" s="10"/>
      <c r="J332" s="9"/>
      <c r="K332" s="96">
        <v>211572.9</v>
      </c>
    </row>
    <row r="333" spans="1:11" ht="12.75" x14ac:dyDescent="0.2">
      <c r="A333" s="75" t="s">
        <v>998</v>
      </c>
      <c r="B333" s="63" t="s">
        <v>997</v>
      </c>
      <c r="C333" s="62">
        <f>+Tabla13[[#This Row],[Columna6]]/Tabla13[[#This Row],[Columna5]]</f>
        <v>296202.06</v>
      </c>
      <c r="D333" s="62">
        <f>+Tabla13[[#This Row],[PRECIO INSTALADOR (IVA INCLUIDO)]]-F333</f>
        <v>281391.95699999999</v>
      </c>
      <c r="E333" s="62">
        <f>+Tabla13[[#This Row],[PRECIO INSTALADOR (IVA INCLUIDO)]]/0.7</f>
        <v>423145.80000000005</v>
      </c>
      <c r="F333" s="61">
        <f>+Tabla13[[#This Row],[PRECIO INSTALADOR (IVA INCLUIDO)]]*5%</f>
        <v>14810.103000000001</v>
      </c>
      <c r="G333" s="12">
        <v>0.85</v>
      </c>
      <c r="H333" s="11">
        <f>Tabla13[[#This Row],[COSTO]]*1.19</f>
        <v>251771.75099999999</v>
      </c>
      <c r="I333" s="10"/>
      <c r="J333" s="9"/>
      <c r="K333" s="96">
        <v>211572.9</v>
      </c>
    </row>
    <row r="334" spans="1:11" ht="12.75" x14ac:dyDescent="0.2">
      <c r="A334" s="75" t="s">
        <v>996</v>
      </c>
      <c r="B334" s="63" t="s">
        <v>995</v>
      </c>
      <c r="C334" s="62">
        <f>+Tabla13[[#This Row],[Columna6]]/Tabla13[[#This Row],[Columna5]]</f>
        <v>307434.26</v>
      </c>
      <c r="D334" s="62">
        <f>+Tabla13[[#This Row],[PRECIO INSTALADOR (IVA INCLUIDO)]]-F334</f>
        <v>292062.54700000002</v>
      </c>
      <c r="E334" s="62">
        <f>+Tabla13[[#This Row],[PRECIO INSTALADOR (IVA INCLUIDO)]]/0.7</f>
        <v>439191.80000000005</v>
      </c>
      <c r="F334" s="61">
        <f>+Tabla13[[#This Row],[PRECIO INSTALADOR (IVA INCLUIDO)]]*5%</f>
        <v>15371.713000000002</v>
      </c>
      <c r="G334" s="12">
        <v>0.85</v>
      </c>
      <c r="H334" s="11">
        <f>Tabla13[[#This Row],[COSTO]]*1.19</f>
        <v>261319.12099999998</v>
      </c>
      <c r="I334" s="10"/>
      <c r="J334" s="9"/>
      <c r="K334" s="96">
        <v>219595.9</v>
      </c>
    </row>
    <row r="335" spans="1:11" ht="12.75" x14ac:dyDescent="0.2">
      <c r="A335" s="75" t="s">
        <v>994</v>
      </c>
      <c r="B335" s="63" t="s">
        <v>993</v>
      </c>
      <c r="C335" s="62">
        <f>+Tabla13[[#This Row],[Columna6]]/Tabla13[[#This Row],[Columna5]]</f>
        <v>307334.86</v>
      </c>
      <c r="D335" s="62">
        <f>+Tabla13[[#This Row],[PRECIO INSTALADOR (IVA INCLUIDO)]]-F335</f>
        <v>291968.11699999997</v>
      </c>
      <c r="E335" s="62">
        <f>+Tabla13[[#This Row],[PRECIO INSTALADOR (IVA INCLUIDO)]]/0.7</f>
        <v>439049.8</v>
      </c>
      <c r="F335" s="61">
        <f>+Tabla13[[#This Row],[PRECIO INSTALADOR (IVA INCLUIDO)]]*5%</f>
        <v>15366.743</v>
      </c>
      <c r="G335" s="12">
        <v>0.85</v>
      </c>
      <c r="H335" s="11">
        <f>Tabla13[[#This Row],[COSTO]]*1.19</f>
        <v>261234.63099999999</v>
      </c>
      <c r="I335" s="10"/>
      <c r="J335" s="9"/>
      <c r="K335" s="96">
        <v>219524.9</v>
      </c>
    </row>
    <row r="336" spans="1:11" ht="12.75" x14ac:dyDescent="0.2">
      <c r="A336" s="94"/>
      <c r="B336" s="69" t="s">
        <v>992</v>
      </c>
      <c r="C336" s="93"/>
      <c r="D336" s="93"/>
      <c r="E336" s="93"/>
      <c r="F336" s="92">
        <f>+Tabla13[[#This Row],[PRECIO INSTALADOR (IVA INCLUIDO)]]*5%</f>
        <v>0</v>
      </c>
      <c r="G336" s="12">
        <v>0.85</v>
      </c>
      <c r="H336" s="11">
        <f>Tabla13[[#This Row],[COSTO]]*1.19</f>
        <v>0</v>
      </c>
      <c r="I336" s="10"/>
      <c r="J336" s="9"/>
      <c r="K336" s="96"/>
    </row>
    <row r="337" spans="1:11" ht="12.75" x14ac:dyDescent="0.2">
      <c r="A337" s="82"/>
      <c r="B337" s="64" t="s">
        <v>991</v>
      </c>
      <c r="C337" s="81"/>
      <c r="D337" s="81"/>
      <c r="E337" s="81"/>
      <c r="F337" s="61">
        <f>+Tabla13[[#This Row],[PRECIO INSTALADOR (IVA INCLUIDO)]]*5%</f>
        <v>0</v>
      </c>
      <c r="G337" s="12">
        <v>0.85</v>
      </c>
      <c r="H337" s="11" t="e">
        <f>Tabla13[[#This Row],[COSTO]]*1.19</f>
        <v>#VALUE!</v>
      </c>
      <c r="I337" s="10"/>
      <c r="J337" s="9"/>
      <c r="K337" s="96" t="s">
        <v>261</v>
      </c>
    </row>
    <row r="338" spans="1:11" ht="12.75" x14ac:dyDescent="0.2">
      <c r="A338" s="75" t="s">
        <v>990</v>
      </c>
      <c r="B338" s="63" t="s">
        <v>989</v>
      </c>
      <c r="C338" s="62">
        <f>+Tabla13[[#This Row],[Columna6]]/Tabla13[[#This Row],[Columna5]]</f>
        <v>334769.26</v>
      </c>
      <c r="D338" s="62">
        <f>+Tabla13[[#This Row],[PRECIO INSTALADOR (IVA INCLUIDO)]]-F338</f>
        <v>318030.79700000002</v>
      </c>
      <c r="E338" s="62">
        <f>+Tabla13[[#This Row],[PRECIO INSTALADOR (IVA INCLUIDO)]]/0.7</f>
        <v>478241.80000000005</v>
      </c>
      <c r="F338" s="61">
        <f>+Tabla13[[#This Row],[PRECIO INSTALADOR (IVA INCLUIDO)]]*5%</f>
        <v>16738.463</v>
      </c>
      <c r="G338" s="12">
        <v>0.85</v>
      </c>
      <c r="H338" s="11">
        <f>Tabla13[[#This Row],[COSTO]]*1.19</f>
        <v>284553.87099999998</v>
      </c>
      <c r="I338" s="10"/>
      <c r="J338" s="9"/>
      <c r="K338" s="96">
        <v>239120.9</v>
      </c>
    </row>
    <row r="339" spans="1:11" ht="12.75" x14ac:dyDescent="0.2">
      <c r="A339" s="75" t="s">
        <v>988</v>
      </c>
      <c r="B339" s="63" t="s">
        <v>987</v>
      </c>
      <c r="C339" s="62">
        <f>+Tabla13[[#This Row],[Columna6]]/Tabla13[[#This Row],[Columna5]]</f>
        <v>334371.65999999997</v>
      </c>
      <c r="D339" s="62">
        <f>+Tabla13[[#This Row],[PRECIO INSTALADOR (IVA INCLUIDO)]]-F339</f>
        <v>317653.07699999999</v>
      </c>
      <c r="E339" s="62">
        <f>+Tabla13[[#This Row],[PRECIO INSTALADOR (IVA INCLUIDO)]]/0.7</f>
        <v>477673.8</v>
      </c>
      <c r="F339" s="61">
        <f>+Tabla13[[#This Row],[PRECIO INSTALADOR (IVA INCLUIDO)]]*5%</f>
        <v>16718.582999999999</v>
      </c>
      <c r="G339" s="12">
        <v>0.85</v>
      </c>
      <c r="H339" s="11">
        <f>Tabla13[[#This Row],[COSTO]]*1.19</f>
        <v>284215.91099999996</v>
      </c>
      <c r="I339" s="10"/>
      <c r="J339" s="9"/>
      <c r="K339" s="96">
        <v>238836.9</v>
      </c>
    </row>
    <row r="340" spans="1:11" ht="12.75" x14ac:dyDescent="0.2">
      <c r="A340" s="75" t="s">
        <v>986</v>
      </c>
      <c r="B340" s="63" t="s">
        <v>985</v>
      </c>
      <c r="C340" s="62">
        <f>+Tabla13[[#This Row],[Columna6]]/Tabla13[[#This Row],[Columna5]]</f>
        <v>340633.86</v>
      </c>
      <c r="D340" s="62">
        <f>+Tabla13[[#This Row],[PRECIO INSTALADOR (IVA INCLUIDO)]]-F340</f>
        <v>323602.16700000002</v>
      </c>
      <c r="E340" s="62">
        <f>+Tabla13[[#This Row],[PRECIO INSTALADOR (IVA INCLUIDO)]]/0.7</f>
        <v>486619.8</v>
      </c>
      <c r="F340" s="61">
        <f>+Tabla13[[#This Row],[PRECIO INSTALADOR (IVA INCLUIDO)]]*5%</f>
        <v>17031.692999999999</v>
      </c>
      <c r="G340" s="12">
        <v>0.85</v>
      </c>
      <c r="H340" s="11">
        <f>Tabla13[[#This Row],[COSTO]]*1.19</f>
        <v>289538.78099999996</v>
      </c>
      <c r="I340" s="10"/>
      <c r="J340" s="9"/>
      <c r="K340" s="66">
        <v>243309.9</v>
      </c>
    </row>
    <row r="341" spans="1:11" ht="12.75" x14ac:dyDescent="0.2">
      <c r="A341" s="75" t="s">
        <v>984</v>
      </c>
      <c r="B341" s="63" t="s">
        <v>983</v>
      </c>
      <c r="C341" s="62">
        <f>+Tabla13[[#This Row],[Columna6]]/Tabla13[[#This Row],[Columna5]]</f>
        <v>340633.86</v>
      </c>
      <c r="D341" s="62">
        <f>+Tabla13[[#This Row],[PRECIO INSTALADOR (IVA INCLUIDO)]]-F341</f>
        <v>323602.16700000002</v>
      </c>
      <c r="E341" s="62">
        <f>+Tabla13[[#This Row],[PRECIO INSTALADOR (IVA INCLUIDO)]]/0.7</f>
        <v>486619.8</v>
      </c>
      <c r="F341" s="61">
        <f>+Tabla13[[#This Row],[PRECIO INSTALADOR (IVA INCLUIDO)]]*5%</f>
        <v>17031.692999999999</v>
      </c>
      <c r="G341" s="12">
        <v>0.85</v>
      </c>
      <c r="H341" s="11">
        <f>Tabla13[[#This Row],[COSTO]]*1.19</f>
        <v>289538.78099999996</v>
      </c>
      <c r="I341" s="10"/>
      <c r="J341" s="9"/>
      <c r="K341" s="96">
        <v>243309.9</v>
      </c>
    </row>
    <row r="342" spans="1:11" ht="12.75" x14ac:dyDescent="0.2">
      <c r="A342" s="75" t="s">
        <v>982</v>
      </c>
      <c r="B342" s="63" t="s">
        <v>981</v>
      </c>
      <c r="C342" s="62">
        <f>+Tabla13[[#This Row],[Columna6]]/Tabla13[[#This Row],[Columna5]]</f>
        <v>367869.46</v>
      </c>
      <c r="D342" s="62">
        <f>+Tabla13[[#This Row],[PRECIO INSTALADOR (IVA INCLUIDO)]]-F342</f>
        <v>349475.98700000002</v>
      </c>
      <c r="E342" s="62">
        <f>+Tabla13[[#This Row],[PRECIO INSTALADOR (IVA INCLUIDO)]]/0.7</f>
        <v>525527.80000000005</v>
      </c>
      <c r="F342" s="61">
        <f>+Tabla13[[#This Row],[PRECIO INSTALADOR (IVA INCLUIDO)]]*5%</f>
        <v>18393.473000000002</v>
      </c>
      <c r="G342" s="12">
        <v>0.85</v>
      </c>
      <c r="H342" s="11">
        <f>Tabla13[[#This Row],[COSTO]]*1.19</f>
        <v>312689.04100000003</v>
      </c>
      <c r="I342" s="10"/>
      <c r="J342" s="9"/>
      <c r="K342" s="66">
        <v>262763.90000000002</v>
      </c>
    </row>
    <row r="343" spans="1:11" ht="12.75" x14ac:dyDescent="0.2">
      <c r="A343" s="75" t="s">
        <v>980</v>
      </c>
      <c r="B343" s="63" t="s">
        <v>979</v>
      </c>
      <c r="C343" s="62">
        <f>+Tabla13[[#This Row],[Columna6]]/Tabla13[[#This Row],[Columna5]]</f>
        <v>367869.46</v>
      </c>
      <c r="D343" s="62">
        <f>+Tabla13[[#This Row],[PRECIO INSTALADOR (IVA INCLUIDO)]]-F343</f>
        <v>349475.98700000002</v>
      </c>
      <c r="E343" s="62">
        <f>+Tabla13[[#This Row],[PRECIO INSTALADOR (IVA INCLUIDO)]]/0.7</f>
        <v>525527.80000000005</v>
      </c>
      <c r="F343" s="61">
        <f>+Tabla13[[#This Row],[PRECIO INSTALADOR (IVA INCLUIDO)]]*5%</f>
        <v>18393.473000000002</v>
      </c>
      <c r="G343" s="12">
        <v>0.85</v>
      </c>
      <c r="H343" s="11">
        <f>Tabla13[[#This Row],[COSTO]]*1.19</f>
        <v>312689.04100000003</v>
      </c>
      <c r="I343" s="10"/>
      <c r="J343" s="9"/>
      <c r="K343" s="66">
        <v>262763.90000000002</v>
      </c>
    </row>
    <row r="344" spans="1:11" ht="12.75" x14ac:dyDescent="0.2">
      <c r="A344" s="82"/>
      <c r="B344" s="64" t="s">
        <v>978</v>
      </c>
      <c r="C344" s="81"/>
      <c r="D344" s="81"/>
      <c r="E344" s="81"/>
      <c r="F344" s="61">
        <f>+Tabla13[[#This Row],[PRECIO INSTALADOR (IVA INCLUIDO)]]*5%</f>
        <v>0</v>
      </c>
      <c r="G344" s="12">
        <v>0.85</v>
      </c>
      <c r="H344" s="11" t="e">
        <f>Tabla13[[#This Row],[COSTO]]*1.19</f>
        <v>#VALUE!</v>
      </c>
      <c r="I344" s="10"/>
      <c r="J344" s="9"/>
      <c r="K344" s="66" t="s">
        <v>261</v>
      </c>
    </row>
    <row r="345" spans="1:11" ht="12.75" x14ac:dyDescent="0.2">
      <c r="A345" s="75" t="s">
        <v>977</v>
      </c>
      <c r="B345" s="63" t="s">
        <v>976</v>
      </c>
      <c r="C345" s="62">
        <f>+Tabla13[[#This Row],[Columna6]]/Tabla13[[#This Row],[Columna5]]</f>
        <v>340633.86</v>
      </c>
      <c r="D345" s="62">
        <f>+Tabla13[[#This Row],[PRECIO INSTALADOR (IVA INCLUIDO)]]-F345</f>
        <v>323602.16700000002</v>
      </c>
      <c r="E345" s="62">
        <f>+Tabla13[[#This Row],[PRECIO INSTALADOR (IVA INCLUIDO)]]/0.7</f>
        <v>486619.8</v>
      </c>
      <c r="F345" s="61">
        <f>+Tabla13[[#This Row],[PRECIO INSTALADOR (IVA INCLUIDO)]]*5%</f>
        <v>17031.692999999999</v>
      </c>
      <c r="G345" s="12">
        <v>0.85</v>
      </c>
      <c r="H345" s="11">
        <f>Tabla13[[#This Row],[COSTO]]*1.19</f>
        <v>289538.78099999996</v>
      </c>
      <c r="I345" s="10"/>
      <c r="J345" s="9"/>
      <c r="K345" s="66">
        <v>243309.9</v>
      </c>
    </row>
    <row r="346" spans="1:11" ht="12.75" x14ac:dyDescent="0.2">
      <c r="A346" s="75" t="s">
        <v>975</v>
      </c>
      <c r="B346" s="63" t="s">
        <v>974</v>
      </c>
      <c r="C346" s="62">
        <f>+Tabla13[[#This Row],[Columna6]]/Tabla13[[#This Row],[Columna5]]</f>
        <v>340633.86</v>
      </c>
      <c r="D346" s="62">
        <f>+Tabla13[[#This Row],[PRECIO INSTALADOR (IVA INCLUIDO)]]-F346</f>
        <v>323602.16700000002</v>
      </c>
      <c r="E346" s="62">
        <f>+Tabla13[[#This Row],[PRECIO INSTALADOR (IVA INCLUIDO)]]/0.7</f>
        <v>486619.8</v>
      </c>
      <c r="F346" s="61">
        <f>+Tabla13[[#This Row],[PRECIO INSTALADOR (IVA INCLUIDO)]]*5%</f>
        <v>17031.692999999999</v>
      </c>
      <c r="G346" s="12">
        <v>0.85</v>
      </c>
      <c r="H346" s="11">
        <f>Tabla13[[#This Row],[COSTO]]*1.19</f>
        <v>289538.78099999996</v>
      </c>
      <c r="I346" s="10"/>
      <c r="J346" s="9"/>
      <c r="K346" s="66">
        <v>243309.9</v>
      </c>
    </row>
    <row r="347" spans="1:11" ht="12.75" x14ac:dyDescent="0.2">
      <c r="A347" s="75" t="s">
        <v>973</v>
      </c>
      <c r="B347" s="63" t="s">
        <v>972</v>
      </c>
      <c r="C347" s="62">
        <f>+Tabla13[[#This Row],[Columna6]]/Tabla13[[#This Row],[Columna5]]</f>
        <v>354351.05999999994</v>
      </c>
      <c r="D347" s="62">
        <f>+Tabla13[[#This Row],[PRECIO INSTALADOR (IVA INCLUIDO)]]-F347</f>
        <v>336633.50699999993</v>
      </c>
      <c r="E347" s="62">
        <f>+Tabla13[[#This Row],[PRECIO INSTALADOR (IVA INCLUIDO)]]/0.7</f>
        <v>506215.79999999993</v>
      </c>
      <c r="F347" s="61">
        <f>+Tabla13[[#This Row],[PRECIO INSTALADOR (IVA INCLUIDO)]]*5%</f>
        <v>17717.552999999996</v>
      </c>
      <c r="G347" s="12">
        <v>0.85</v>
      </c>
      <c r="H347" s="11">
        <f>Tabla13[[#This Row],[COSTO]]*1.19</f>
        <v>301198.40099999995</v>
      </c>
      <c r="I347" s="10"/>
      <c r="J347" s="9"/>
      <c r="K347" s="66">
        <v>253107.9</v>
      </c>
    </row>
    <row r="348" spans="1:11" ht="12.75" x14ac:dyDescent="0.2">
      <c r="A348" s="75" t="s">
        <v>971</v>
      </c>
      <c r="B348" s="63" t="s">
        <v>970</v>
      </c>
      <c r="C348" s="62">
        <f>+Tabla13[[#This Row],[Columna6]]/Tabla13[[#This Row],[Columna5]]</f>
        <v>354351.05999999994</v>
      </c>
      <c r="D348" s="62">
        <f>+Tabla13[[#This Row],[PRECIO INSTALADOR (IVA INCLUIDO)]]-F348</f>
        <v>336633.50699999993</v>
      </c>
      <c r="E348" s="62">
        <f>+Tabla13[[#This Row],[PRECIO INSTALADOR (IVA INCLUIDO)]]/0.7</f>
        <v>506215.79999999993</v>
      </c>
      <c r="F348" s="61">
        <f>+Tabla13[[#This Row],[PRECIO INSTALADOR (IVA INCLUIDO)]]*5%</f>
        <v>17717.552999999996</v>
      </c>
      <c r="G348" s="12">
        <v>0.85</v>
      </c>
      <c r="H348" s="11">
        <f>Tabla13[[#This Row],[COSTO]]*1.19</f>
        <v>301198.40099999995</v>
      </c>
      <c r="I348" s="10"/>
      <c r="J348" s="9"/>
      <c r="K348" s="66">
        <v>253107.9</v>
      </c>
    </row>
    <row r="349" spans="1:11" ht="12.75" x14ac:dyDescent="0.2">
      <c r="A349" s="75" t="s">
        <v>969</v>
      </c>
      <c r="B349" s="63" t="s">
        <v>968</v>
      </c>
      <c r="C349" s="62">
        <f>+Tabla13[[#This Row],[Columna6]]/Tabla13[[#This Row],[Columna5]]</f>
        <v>367869.46</v>
      </c>
      <c r="D349" s="62">
        <f>+Tabla13[[#This Row],[PRECIO INSTALADOR (IVA INCLUIDO)]]-F349</f>
        <v>349475.98700000002</v>
      </c>
      <c r="E349" s="62">
        <f>+Tabla13[[#This Row],[PRECIO INSTALADOR (IVA INCLUIDO)]]/0.7</f>
        <v>525527.80000000005</v>
      </c>
      <c r="F349" s="61">
        <f>+Tabla13[[#This Row],[PRECIO INSTALADOR (IVA INCLUIDO)]]*5%</f>
        <v>18393.473000000002</v>
      </c>
      <c r="G349" s="12">
        <v>0.85</v>
      </c>
      <c r="H349" s="11">
        <f>Tabla13[[#This Row],[COSTO]]*1.19</f>
        <v>312689.04100000003</v>
      </c>
      <c r="I349" s="10"/>
      <c r="J349" s="9"/>
      <c r="K349" s="66">
        <v>262763.90000000002</v>
      </c>
    </row>
    <row r="350" spans="1:11" ht="12.75" x14ac:dyDescent="0.2">
      <c r="A350" s="75" t="s">
        <v>967</v>
      </c>
      <c r="B350" s="63" t="s">
        <v>966</v>
      </c>
      <c r="C350" s="62">
        <f>+Tabla13[[#This Row],[Columna6]]/Tabla13[[#This Row],[Columna5]]</f>
        <v>367869.46</v>
      </c>
      <c r="D350" s="62">
        <f>+Tabla13[[#This Row],[PRECIO INSTALADOR (IVA INCLUIDO)]]-F350</f>
        <v>349475.98700000002</v>
      </c>
      <c r="E350" s="62">
        <f>+Tabla13[[#This Row],[PRECIO INSTALADOR (IVA INCLUIDO)]]/0.7</f>
        <v>525527.80000000005</v>
      </c>
      <c r="F350" s="61">
        <f>+Tabla13[[#This Row],[PRECIO INSTALADOR (IVA INCLUIDO)]]*5%</f>
        <v>18393.473000000002</v>
      </c>
      <c r="G350" s="12">
        <v>0.85</v>
      </c>
      <c r="H350" s="11">
        <f>Tabla13[[#This Row],[COSTO]]*1.19</f>
        <v>312689.04100000003</v>
      </c>
      <c r="I350" s="10"/>
      <c r="J350" s="9"/>
      <c r="K350" s="66">
        <v>262763.90000000002</v>
      </c>
    </row>
    <row r="351" spans="1:11" ht="12.75" x14ac:dyDescent="0.2">
      <c r="A351" s="82"/>
      <c r="B351" s="64" t="s">
        <v>965</v>
      </c>
      <c r="C351" s="81"/>
      <c r="D351" s="81"/>
      <c r="E351" s="81"/>
      <c r="F351" s="61">
        <f>+Tabla13[[#This Row],[PRECIO INSTALADOR (IVA INCLUIDO)]]*5%</f>
        <v>0</v>
      </c>
      <c r="G351" s="12">
        <v>0.85</v>
      </c>
      <c r="H351" s="11" t="e">
        <f>Tabla13[[#This Row],[COSTO]]*1.19</f>
        <v>#VALUE!</v>
      </c>
      <c r="I351" s="10"/>
      <c r="J351" s="9"/>
      <c r="K351" s="66" t="s">
        <v>261</v>
      </c>
    </row>
    <row r="352" spans="1:11" ht="12.75" x14ac:dyDescent="0.2">
      <c r="A352" s="88" t="s">
        <v>964</v>
      </c>
      <c r="B352" s="63" t="s">
        <v>963</v>
      </c>
      <c r="C352" s="62">
        <f>+Tabla13[[#This Row],[Columna6]]/Tabla13[[#This Row],[Columna5]]</f>
        <v>368863.46</v>
      </c>
      <c r="D352" s="62">
        <f>+Tabla13[[#This Row],[PRECIO INSTALADOR (IVA INCLUIDO)]]-F352</f>
        <v>350420.28700000001</v>
      </c>
      <c r="E352" s="62">
        <f>+Tabla13[[#This Row],[PRECIO INSTALADOR (IVA INCLUIDO)]]/0.7</f>
        <v>526947.80000000005</v>
      </c>
      <c r="F352" s="61">
        <f>+Tabla13[[#This Row],[PRECIO INSTALADOR (IVA INCLUIDO)]]*5%</f>
        <v>18443.173000000003</v>
      </c>
      <c r="G352" s="12">
        <v>0.85</v>
      </c>
      <c r="H352" s="11">
        <f>Tabla13[[#This Row],[COSTO]]*1.19</f>
        <v>313533.94099999999</v>
      </c>
      <c r="I352" s="10"/>
      <c r="J352" s="9"/>
      <c r="K352" s="66">
        <v>263473.90000000002</v>
      </c>
    </row>
    <row r="353" spans="1:11" ht="12.75" x14ac:dyDescent="0.2">
      <c r="A353" s="88" t="s">
        <v>962</v>
      </c>
      <c r="B353" s="63" t="s">
        <v>961</v>
      </c>
      <c r="C353" s="62">
        <f>+Tabla13[[#This Row],[Columna6]]/Tabla13[[#This Row],[Columna5]]</f>
        <v>368863.46</v>
      </c>
      <c r="D353" s="62">
        <f>+Tabla13[[#This Row],[PRECIO INSTALADOR (IVA INCLUIDO)]]-F353</f>
        <v>350420.28700000001</v>
      </c>
      <c r="E353" s="62">
        <f>+Tabla13[[#This Row],[PRECIO INSTALADOR (IVA INCLUIDO)]]/0.7</f>
        <v>526947.80000000005</v>
      </c>
      <c r="F353" s="61">
        <f>+Tabla13[[#This Row],[PRECIO INSTALADOR (IVA INCLUIDO)]]*5%</f>
        <v>18443.173000000003</v>
      </c>
      <c r="G353" s="12">
        <v>0.85</v>
      </c>
      <c r="H353" s="11">
        <f>Tabla13[[#This Row],[COSTO]]*1.19</f>
        <v>313533.94099999999</v>
      </c>
      <c r="I353" s="10"/>
      <c r="J353" s="9"/>
      <c r="K353" s="66">
        <v>263473.90000000002</v>
      </c>
    </row>
    <row r="354" spans="1:11" ht="12.75" x14ac:dyDescent="0.2">
      <c r="A354" s="82"/>
      <c r="B354" s="64" t="s">
        <v>960</v>
      </c>
      <c r="C354" s="81"/>
      <c r="D354" s="81"/>
      <c r="E354" s="81"/>
      <c r="F354" s="61">
        <f>+Tabla13[[#This Row],[PRECIO INSTALADOR (IVA INCLUIDO)]]*5%</f>
        <v>0</v>
      </c>
      <c r="G354" s="12">
        <v>0.85</v>
      </c>
      <c r="H354" s="11" t="e">
        <f>Tabla13[[#This Row],[COSTO]]*1.19</f>
        <v>#VALUE!</v>
      </c>
      <c r="I354" s="10"/>
      <c r="J354" s="9"/>
      <c r="K354" s="66" t="s">
        <v>261</v>
      </c>
    </row>
    <row r="355" spans="1:11" ht="12.75" x14ac:dyDescent="0.2">
      <c r="A355" s="88" t="s">
        <v>959</v>
      </c>
      <c r="B355" s="63" t="s">
        <v>958</v>
      </c>
      <c r="C355" s="62">
        <f>+Tabla13[[#This Row],[Columna6]]/Tabla13[[#This Row],[Columna5]]</f>
        <v>369956.86000000004</v>
      </c>
      <c r="D355" s="62">
        <f>+Tabla13[[#This Row],[PRECIO INSTALADOR (IVA INCLUIDO)]]-F355</f>
        <v>351459.01700000005</v>
      </c>
      <c r="E355" s="62">
        <f>+Tabla13[[#This Row],[PRECIO INSTALADOR (IVA INCLUIDO)]]/0.7</f>
        <v>528509.80000000005</v>
      </c>
      <c r="F355" s="61">
        <f>+Tabla13[[#This Row],[PRECIO INSTALADOR (IVA INCLUIDO)]]*5%</f>
        <v>18497.843000000004</v>
      </c>
      <c r="G355" s="12">
        <v>0.85</v>
      </c>
      <c r="H355" s="11">
        <f>Tabla13[[#This Row],[COSTO]]*1.19</f>
        <v>314463.33100000001</v>
      </c>
      <c r="I355" s="10"/>
      <c r="J355" s="9"/>
      <c r="K355" s="66">
        <v>264254.90000000002</v>
      </c>
    </row>
    <row r="356" spans="1:11" ht="12.75" x14ac:dyDescent="0.2">
      <c r="A356" s="88" t="s">
        <v>957</v>
      </c>
      <c r="B356" s="63" t="s">
        <v>956</v>
      </c>
      <c r="C356" s="62">
        <f>+Tabla13[[#This Row],[Columna6]]/Tabla13[[#This Row],[Columna5]]</f>
        <v>369956.86000000004</v>
      </c>
      <c r="D356" s="62">
        <f>+Tabla13[[#This Row],[PRECIO INSTALADOR (IVA INCLUIDO)]]-F356</f>
        <v>351459.01700000005</v>
      </c>
      <c r="E356" s="62">
        <f>+Tabla13[[#This Row],[PRECIO INSTALADOR (IVA INCLUIDO)]]/0.7</f>
        <v>528509.80000000005</v>
      </c>
      <c r="F356" s="61">
        <f>+Tabla13[[#This Row],[PRECIO INSTALADOR (IVA INCLUIDO)]]*5%</f>
        <v>18497.843000000004</v>
      </c>
      <c r="G356" s="12">
        <v>0.85</v>
      </c>
      <c r="H356" s="11">
        <f>Tabla13[[#This Row],[COSTO]]*1.19</f>
        <v>314463.33100000001</v>
      </c>
      <c r="I356" s="10"/>
      <c r="J356" s="9"/>
      <c r="K356" s="66">
        <v>264254.90000000002</v>
      </c>
    </row>
    <row r="357" spans="1:11" ht="12.75" x14ac:dyDescent="0.2">
      <c r="A357" s="88" t="s">
        <v>955</v>
      </c>
      <c r="B357" s="63" t="s">
        <v>954</v>
      </c>
      <c r="C357" s="62">
        <f>+Tabla13[[#This Row],[Columna6]]/Tabla13[[#This Row],[Columna5]]</f>
        <v>389538.66000000003</v>
      </c>
      <c r="D357" s="62">
        <f>+Tabla13[[#This Row],[PRECIO INSTALADOR (IVA INCLUIDO)]]-F357</f>
        <v>370061.72700000001</v>
      </c>
      <c r="E357" s="62">
        <f>+Tabla13[[#This Row],[PRECIO INSTALADOR (IVA INCLUIDO)]]/0.7</f>
        <v>556483.80000000005</v>
      </c>
      <c r="F357" s="61">
        <f>+Tabla13[[#This Row],[PRECIO INSTALADOR (IVA INCLUIDO)]]*5%</f>
        <v>19476.933000000001</v>
      </c>
      <c r="G357" s="12">
        <v>0.85</v>
      </c>
      <c r="H357" s="11">
        <f>Tabla13[[#This Row],[COSTO]]*1.19</f>
        <v>331107.86100000003</v>
      </c>
      <c r="I357" s="10"/>
      <c r="J357" s="9"/>
      <c r="K357" s="66">
        <v>278241.90000000002</v>
      </c>
    </row>
    <row r="358" spans="1:11" ht="12.75" x14ac:dyDescent="0.2">
      <c r="A358" s="88" t="s">
        <v>953</v>
      </c>
      <c r="B358" s="63" t="s">
        <v>952</v>
      </c>
      <c r="C358" s="62">
        <f>+Tabla13[[#This Row],[Columna6]]/Tabla13[[#This Row],[Columna5]]</f>
        <v>389538.66000000003</v>
      </c>
      <c r="D358" s="62">
        <f>+Tabla13[[#This Row],[PRECIO INSTALADOR (IVA INCLUIDO)]]-F358</f>
        <v>370061.72700000001</v>
      </c>
      <c r="E358" s="62">
        <f>+Tabla13[[#This Row],[PRECIO INSTALADOR (IVA INCLUIDO)]]/0.7</f>
        <v>556483.80000000005</v>
      </c>
      <c r="F358" s="61">
        <f>+Tabla13[[#This Row],[PRECIO INSTALADOR (IVA INCLUIDO)]]*5%</f>
        <v>19476.933000000001</v>
      </c>
      <c r="G358" s="12">
        <v>0.85</v>
      </c>
      <c r="H358" s="11">
        <f>Tabla13[[#This Row],[COSTO]]*1.19</f>
        <v>331107.86100000003</v>
      </c>
      <c r="I358" s="10"/>
      <c r="J358" s="9"/>
      <c r="K358" s="66">
        <v>278241.90000000002</v>
      </c>
    </row>
    <row r="359" spans="1:11" ht="12.75" x14ac:dyDescent="0.2">
      <c r="A359" s="82"/>
      <c r="B359" s="64" t="s">
        <v>951</v>
      </c>
      <c r="C359" s="81"/>
      <c r="D359" s="81"/>
      <c r="E359" s="81"/>
      <c r="F359" s="61">
        <f>+Tabla13[[#This Row],[PRECIO INSTALADOR (IVA INCLUIDO)]]*5%</f>
        <v>0</v>
      </c>
      <c r="G359" s="12">
        <v>0.85</v>
      </c>
      <c r="H359" s="11" t="e">
        <f>Tabla13[[#This Row],[COSTO]]*1.19</f>
        <v>#VALUE!</v>
      </c>
      <c r="I359" s="10"/>
      <c r="J359" s="9"/>
      <c r="K359" s="66" t="s">
        <v>261</v>
      </c>
    </row>
    <row r="360" spans="1:11" ht="12.75" x14ac:dyDescent="0.2">
      <c r="A360" s="88" t="s">
        <v>950</v>
      </c>
      <c r="B360" s="63" t="s">
        <v>949</v>
      </c>
      <c r="C360" s="62">
        <f>+Tabla13[[#This Row],[Columna6]]/Tabla13[[#This Row],[Columna5]]</f>
        <v>347492.45999999996</v>
      </c>
      <c r="D360" s="62">
        <f>+Tabla13[[#This Row],[PRECIO INSTALADOR (IVA INCLUIDO)]]-F360</f>
        <v>330117.83699999994</v>
      </c>
      <c r="E360" s="62">
        <f>+Tabla13[[#This Row],[PRECIO INSTALADOR (IVA INCLUIDO)]]/0.7</f>
        <v>496417.8</v>
      </c>
      <c r="F360" s="61">
        <f>+Tabla13[[#This Row],[PRECIO INSTALADOR (IVA INCLUIDO)]]*5%</f>
        <v>17374.623</v>
      </c>
      <c r="G360" s="12">
        <v>0.85</v>
      </c>
      <c r="H360" s="11">
        <f>Tabla13[[#This Row],[COSTO]]*1.19</f>
        <v>295368.59099999996</v>
      </c>
      <c r="I360" s="10"/>
      <c r="J360" s="9"/>
      <c r="K360" s="66">
        <v>248208.9</v>
      </c>
    </row>
    <row r="361" spans="1:11" ht="12.75" x14ac:dyDescent="0.2">
      <c r="A361" s="88" t="s">
        <v>948</v>
      </c>
      <c r="B361" s="63" t="s">
        <v>947</v>
      </c>
      <c r="C361" s="62">
        <f>+Tabla13[[#This Row],[Columna6]]/Tabla13[[#This Row],[Columna5]]</f>
        <v>347194.26</v>
      </c>
      <c r="D361" s="62">
        <f>+Tabla13[[#This Row],[PRECIO INSTALADOR (IVA INCLUIDO)]]-F361</f>
        <v>329834.54700000002</v>
      </c>
      <c r="E361" s="62">
        <f>+Tabla13[[#This Row],[PRECIO INSTALADOR (IVA INCLUIDO)]]/0.7</f>
        <v>495991.80000000005</v>
      </c>
      <c r="F361" s="61">
        <f>+Tabla13[[#This Row],[PRECIO INSTALADOR (IVA INCLUIDO)]]*5%</f>
        <v>17359.713</v>
      </c>
      <c r="G361" s="12">
        <v>0.85</v>
      </c>
      <c r="H361" s="11">
        <f>Tabla13[[#This Row],[COSTO]]*1.19</f>
        <v>295115.12099999998</v>
      </c>
      <c r="I361" s="10"/>
      <c r="J361" s="9"/>
      <c r="K361" s="66">
        <v>247995.9</v>
      </c>
    </row>
    <row r="362" spans="1:11" ht="12.75" x14ac:dyDescent="0.2">
      <c r="A362" s="88" t="s">
        <v>946</v>
      </c>
      <c r="B362" s="63" t="s">
        <v>945</v>
      </c>
      <c r="C362" s="62">
        <f>+Tabla13[[#This Row],[Columna6]]/Tabla13[[#This Row],[Columna5]]</f>
        <v>376020.26</v>
      </c>
      <c r="D362" s="62">
        <f>+Tabla13[[#This Row],[PRECIO INSTALADOR (IVA INCLUIDO)]]-F362</f>
        <v>357219.24700000003</v>
      </c>
      <c r="E362" s="62">
        <f>+Tabla13[[#This Row],[PRECIO INSTALADOR (IVA INCLUIDO)]]/0.7</f>
        <v>537171.80000000005</v>
      </c>
      <c r="F362" s="61">
        <f>+Tabla13[[#This Row],[PRECIO INSTALADOR (IVA INCLUIDO)]]*5%</f>
        <v>18801.013000000003</v>
      </c>
      <c r="G362" s="12">
        <v>0.85</v>
      </c>
      <c r="H362" s="11">
        <f>Tabla13[[#This Row],[COSTO]]*1.19</f>
        <v>319617.22100000002</v>
      </c>
      <c r="I362" s="10"/>
      <c r="J362" s="9"/>
      <c r="K362" s="66">
        <v>268585.90000000002</v>
      </c>
    </row>
    <row r="363" spans="1:11" ht="12.75" x14ac:dyDescent="0.2">
      <c r="A363" s="88" t="s">
        <v>944</v>
      </c>
      <c r="B363" s="63" t="s">
        <v>943</v>
      </c>
      <c r="C363" s="62">
        <f>+Tabla13[[#This Row],[Columna6]]/Tabla13[[#This Row],[Columna5]]</f>
        <v>378107.66000000003</v>
      </c>
      <c r="D363" s="62">
        <f>+Tabla13[[#This Row],[PRECIO INSTALADOR (IVA INCLUIDO)]]-F363</f>
        <v>359202.277</v>
      </c>
      <c r="E363" s="62">
        <f>+Tabla13[[#This Row],[PRECIO INSTALADOR (IVA INCLUIDO)]]/0.7</f>
        <v>540153.80000000005</v>
      </c>
      <c r="F363" s="61">
        <f>+Tabla13[[#This Row],[PRECIO INSTALADOR (IVA INCLUIDO)]]*5%</f>
        <v>18905.383000000002</v>
      </c>
      <c r="G363" s="12">
        <v>0.85</v>
      </c>
      <c r="H363" s="11">
        <f>Tabla13[[#This Row],[COSTO]]*1.19</f>
        <v>321391.511</v>
      </c>
      <c r="I363" s="10"/>
      <c r="J363" s="9"/>
      <c r="K363" s="66">
        <v>270076.90000000002</v>
      </c>
    </row>
    <row r="364" spans="1:11" ht="12.75" x14ac:dyDescent="0.2">
      <c r="A364" s="88" t="s">
        <v>942</v>
      </c>
      <c r="B364" s="63" t="s">
        <v>941</v>
      </c>
      <c r="C364" s="62">
        <f>+Tabla13[[#This Row],[Columna6]]/Tabla13[[#This Row],[Columna5]]</f>
        <v>358028.86</v>
      </c>
      <c r="D364" s="62">
        <f>+Tabla13[[#This Row],[PRECIO INSTALADOR (IVA INCLUIDO)]]-F364</f>
        <v>340127.41700000002</v>
      </c>
      <c r="E364" s="62">
        <f>+Tabla13[[#This Row],[PRECIO INSTALADOR (IVA INCLUIDO)]]/0.7</f>
        <v>511469.8</v>
      </c>
      <c r="F364" s="61">
        <f>+Tabla13[[#This Row],[PRECIO INSTALADOR (IVA INCLUIDO)]]*5%</f>
        <v>17901.442999999999</v>
      </c>
      <c r="G364" s="12">
        <v>0.85</v>
      </c>
      <c r="H364" s="11">
        <f>Tabla13[[#This Row],[COSTO]]*1.19</f>
        <v>304324.53099999996</v>
      </c>
      <c r="I364" s="10"/>
      <c r="J364" s="9"/>
      <c r="K364" s="66">
        <v>255734.9</v>
      </c>
    </row>
    <row r="365" spans="1:11" ht="12.75" x14ac:dyDescent="0.2">
      <c r="A365" s="88" t="s">
        <v>940</v>
      </c>
      <c r="B365" s="63" t="s">
        <v>939</v>
      </c>
      <c r="C365" s="62">
        <f>+Tabla13[[#This Row],[Columna6]]/Tabla13[[#This Row],[Columna5]]</f>
        <v>357730.66</v>
      </c>
      <c r="D365" s="62">
        <f>+Tabla13[[#This Row],[PRECIO INSTALADOR (IVA INCLUIDO)]]-F365</f>
        <v>339844.12699999998</v>
      </c>
      <c r="E365" s="62">
        <f>+Tabla13[[#This Row],[PRECIO INSTALADOR (IVA INCLUIDO)]]/0.7</f>
        <v>511043.8</v>
      </c>
      <c r="F365" s="61">
        <f>+Tabla13[[#This Row],[PRECIO INSTALADOR (IVA INCLUIDO)]]*5%</f>
        <v>17886.532999999999</v>
      </c>
      <c r="G365" s="12">
        <v>0.85</v>
      </c>
      <c r="H365" s="11">
        <f>Tabla13[[#This Row],[COSTO]]*1.19</f>
        <v>304071.06099999999</v>
      </c>
      <c r="I365" s="10"/>
      <c r="J365" s="9"/>
      <c r="K365" s="66">
        <v>255521.9</v>
      </c>
    </row>
    <row r="366" spans="1:11" ht="12.75" x14ac:dyDescent="0.2">
      <c r="A366" s="113"/>
      <c r="B366" s="112" t="s">
        <v>938</v>
      </c>
      <c r="C366" s="111"/>
      <c r="D366" s="111"/>
      <c r="E366" s="111"/>
      <c r="F366" s="110">
        <f>+Tabla13[[#This Row],[PRECIO INSTALADOR (IVA INCLUIDO)]]*5%</f>
        <v>0</v>
      </c>
      <c r="G366" s="12">
        <v>0.85</v>
      </c>
      <c r="H366" s="11">
        <f>Tabla13[[#This Row],[COSTO]]*1.19</f>
        <v>0</v>
      </c>
      <c r="I366" s="10"/>
      <c r="J366" s="9"/>
      <c r="K366" s="66"/>
    </row>
    <row r="367" spans="1:11" ht="12.75" x14ac:dyDescent="0.2">
      <c r="A367" s="86" t="s">
        <v>937</v>
      </c>
      <c r="B367" s="85" t="s">
        <v>936</v>
      </c>
      <c r="C367" s="84">
        <f>+Tabla13[[#This Row],[Columna6]]/Tabla13[[#This Row],[Columna5]]</f>
        <v>248490.05999999997</v>
      </c>
      <c r="D367" s="84">
        <f>+Tabla13[[#This Row],[PRECIO INSTALADOR (IVA INCLUIDO)]]-F367</f>
        <v>236065.55699999997</v>
      </c>
      <c r="E367" s="84">
        <f>+Tabla13[[#This Row],[PRECIO INSTALADOR (IVA INCLUIDO)]]/0.7</f>
        <v>354985.8</v>
      </c>
      <c r="F367" s="83">
        <f>+Tabla13[[#This Row],[PRECIO INSTALADOR (IVA INCLUIDO)]]*5%</f>
        <v>12424.502999999999</v>
      </c>
      <c r="G367" s="12">
        <v>0.85</v>
      </c>
      <c r="H367" s="11">
        <f>Tabla13[[#This Row],[COSTO]]*1.19</f>
        <v>211216.55099999998</v>
      </c>
      <c r="I367" s="10"/>
      <c r="J367" s="9"/>
      <c r="K367" s="66">
        <v>177492.9</v>
      </c>
    </row>
    <row r="368" spans="1:11" ht="12.75" x14ac:dyDescent="0.2">
      <c r="A368" s="86" t="s">
        <v>935</v>
      </c>
      <c r="B368" s="85" t="s">
        <v>934</v>
      </c>
      <c r="C368" s="84">
        <f>+Tabla13[[#This Row],[Columna6]]/Tabla13[[#This Row],[Columna5]]</f>
        <v>232188.46</v>
      </c>
      <c r="D368" s="84">
        <f>+Tabla13[[#This Row],[PRECIO INSTALADOR (IVA INCLUIDO)]]-F368</f>
        <v>220579.03699999998</v>
      </c>
      <c r="E368" s="84">
        <f>+Tabla13[[#This Row],[PRECIO INSTALADOR (IVA INCLUIDO)]]/0.7</f>
        <v>331697.8</v>
      </c>
      <c r="F368" s="83">
        <f>+Tabla13[[#This Row],[PRECIO INSTALADOR (IVA INCLUIDO)]]*5%</f>
        <v>11609.423000000001</v>
      </c>
      <c r="G368" s="12">
        <v>0.85</v>
      </c>
      <c r="H368" s="11">
        <f>Tabla13[[#This Row],[COSTO]]*1.19</f>
        <v>197360.19099999999</v>
      </c>
      <c r="I368" s="10"/>
      <c r="J368" s="9"/>
      <c r="K368" s="66">
        <v>165848.9</v>
      </c>
    </row>
    <row r="369" spans="1:11" ht="12.75" x14ac:dyDescent="0.2">
      <c r="A369" s="100"/>
      <c r="B369" s="99" t="s">
        <v>933</v>
      </c>
      <c r="C369" s="98"/>
      <c r="D369" s="98"/>
      <c r="E369" s="98"/>
      <c r="F369" s="97">
        <f>+Tabla13[[#This Row],[PRECIO INSTALADOR (IVA INCLUIDO)]]*5%</f>
        <v>0</v>
      </c>
      <c r="G369" s="12">
        <v>0.85</v>
      </c>
      <c r="H369" s="11">
        <f>Tabla13[[#This Row],[COSTO]]*1.19</f>
        <v>0</v>
      </c>
      <c r="I369" s="10"/>
      <c r="J369" s="9"/>
      <c r="K369" s="66"/>
    </row>
    <row r="370" spans="1:11" ht="12.75" x14ac:dyDescent="0.2">
      <c r="A370" s="76"/>
      <c r="B370" s="69" t="s">
        <v>932</v>
      </c>
      <c r="C370" s="68"/>
      <c r="D370" s="68"/>
      <c r="E370" s="68"/>
      <c r="F370" s="67">
        <f>+Tabla13[[#This Row],[PRECIO INSTALADOR (IVA INCLUIDO)]]*5%</f>
        <v>0</v>
      </c>
      <c r="G370" s="12">
        <v>0.85</v>
      </c>
      <c r="H370" s="11">
        <f>Tabla13[[#This Row],[COSTO]]*1.19</f>
        <v>0</v>
      </c>
      <c r="I370" s="10"/>
      <c r="J370" s="9"/>
      <c r="K370" s="66"/>
    </row>
    <row r="371" spans="1:11" ht="12.75" x14ac:dyDescent="0.2">
      <c r="A371" s="109"/>
      <c r="B371" s="64" t="s">
        <v>931</v>
      </c>
      <c r="C371" s="107"/>
      <c r="D371" s="107"/>
      <c r="E371" s="107"/>
      <c r="F371" s="106">
        <f>+Tabla13[[#This Row],[PRECIO INSTALADOR (IVA INCLUIDO)]]*5%</f>
        <v>0</v>
      </c>
      <c r="G371" s="12">
        <v>0.85</v>
      </c>
      <c r="H371" s="11" t="e">
        <f>Tabla13[[#This Row],[COSTO]]*1.19</f>
        <v>#VALUE!</v>
      </c>
      <c r="I371" s="10"/>
      <c r="J371" s="9"/>
      <c r="K371" s="66" t="s">
        <v>261</v>
      </c>
    </row>
    <row r="372" spans="1:11" ht="12.75" x14ac:dyDescent="0.2">
      <c r="A372" s="75" t="s">
        <v>930</v>
      </c>
      <c r="B372" s="63" t="s">
        <v>929</v>
      </c>
      <c r="C372" s="62">
        <f>+Tabla13[[#This Row],[Columna6]]/Tabla13[[#This Row],[Columna5]]</f>
        <v>155054.06</v>
      </c>
      <c r="D372" s="62">
        <f>+Tabla13[[#This Row],[PRECIO INSTALADOR (IVA INCLUIDO)]]-F372</f>
        <v>147301.35699999999</v>
      </c>
      <c r="E372" s="62">
        <f>+Tabla13[[#This Row],[PRECIO INSTALADOR (IVA INCLUIDO)]]/0.7</f>
        <v>221505.80000000002</v>
      </c>
      <c r="F372" s="61">
        <f>+Tabla13[[#This Row],[PRECIO INSTALADOR (IVA INCLUIDO)]]*5%</f>
        <v>7752.7030000000004</v>
      </c>
      <c r="G372" s="12">
        <v>0.85</v>
      </c>
      <c r="H372" s="11">
        <f>Tabla13[[#This Row],[COSTO]]*1.19</f>
        <v>131795.951</v>
      </c>
      <c r="I372" s="10"/>
      <c r="J372" s="9"/>
      <c r="K372" s="66">
        <v>110752.9</v>
      </c>
    </row>
    <row r="373" spans="1:11" ht="12.75" x14ac:dyDescent="0.2">
      <c r="A373" s="75" t="s">
        <v>928</v>
      </c>
      <c r="B373" s="63" t="s">
        <v>927</v>
      </c>
      <c r="C373" s="62">
        <f>+Tabla13[[#This Row],[Columna6]]/Tabla13[[#This Row],[Columna5]]</f>
        <v>156545.05999999997</v>
      </c>
      <c r="D373" s="62">
        <f>+Tabla13[[#This Row],[PRECIO INSTALADOR (IVA INCLUIDO)]]-F373</f>
        <v>148717.80699999997</v>
      </c>
      <c r="E373" s="62">
        <f>+Tabla13[[#This Row],[PRECIO INSTALADOR (IVA INCLUIDO)]]/0.7</f>
        <v>223635.79999999996</v>
      </c>
      <c r="F373" s="61">
        <f>+Tabla13[[#This Row],[PRECIO INSTALADOR (IVA INCLUIDO)]]*5%</f>
        <v>7827.2529999999988</v>
      </c>
      <c r="G373" s="12">
        <v>0.85</v>
      </c>
      <c r="H373" s="11">
        <f>Tabla13[[#This Row],[COSTO]]*1.19</f>
        <v>133063.30099999998</v>
      </c>
      <c r="I373" s="10"/>
      <c r="J373" s="9"/>
      <c r="K373" s="66">
        <v>111817.9</v>
      </c>
    </row>
    <row r="374" spans="1:11" ht="12.75" x14ac:dyDescent="0.2">
      <c r="A374" s="82"/>
      <c r="B374" s="64" t="s">
        <v>926</v>
      </c>
      <c r="C374" s="107"/>
      <c r="D374" s="107"/>
      <c r="E374" s="107"/>
      <c r="F374" s="106">
        <f>+Tabla13[[#This Row],[PRECIO INSTALADOR (IVA INCLUIDO)]]*5%</f>
        <v>0</v>
      </c>
      <c r="G374" s="12">
        <v>0.85</v>
      </c>
      <c r="H374" s="11" t="e">
        <f>Tabla13[[#This Row],[COSTO]]*1.19</f>
        <v>#VALUE!</v>
      </c>
      <c r="I374" s="10"/>
      <c r="J374" s="9"/>
      <c r="K374" s="66" t="s">
        <v>261</v>
      </c>
    </row>
    <row r="375" spans="1:11" ht="12.75" x14ac:dyDescent="0.2">
      <c r="A375" s="75" t="s">
        <v>925</v>
      </c>
      <c r="B375" s="63" t="s">
        <v>924</v>
      </c>
      <c r="C375" s="62">
        <f>+Tabla13[[#This Row],[Columna6]]/Tabla13[[#This Row],[Columna5]]</f>
        <v>55157.06</v>
      </c>
      <c r="D375" s="62">
        <f>+Tabla13[[#This Row],[PRECIO INSTALADOR (IVA INCLUIDO)]]-F375</f>
        <v>52399.206999999995</v>
      </c>
      <c r="E375" s="62">
        <f>+Tabla13[[#This Row],[PRECIO INSTALADOR (IVA INCLUIDO)]]/0.7</f>
        <v>78795.8</v>
      </c>
      <c r="F375" s="61">
        <f>+Tabla13[[#This Row],[PRECIO INSTALADOR (IVA INCLUIDO)]]*5%</f>
        <v>2757.8530000000001</v>
      </c>
      <c r="G375" s="12">
        <v>0.85</v>
      </c>
      <c r="H375" s="11">
        <f>Tabla13[[#This Row],[COSTO]]*1.19</f>
        <v>46883.500999999997</v>
      </c>
      <c r="I375" s="10"/>
      <c r="J375" s="9"/>
      <c r="K375" s="66">
        <v>39397.9</v>
      </c>
    </row>
    <row r="376" spans="1:11" ht="12.75" x14ac:dyDescent="0.2">
      <c r="A376" s="75" t="s">
        <v>923</v>
      </c>
      <c r="B376" s="63" t="s">
        <v>922</v>
      </c>
      <c r="C376" s="62">
        <f>+Tabla13[[#This Row],[Columna6]]/Tabla13[[#This Row],[Columna5]]</f>
        <v>57443.26</v>
      </c>
      <c r="D376" s="62">
        <f>+Tabla13[[#This Row],[PRECIO INSTALADOR (IVA INCLUIDO)]]-F376</f>
        <v>54571.097000000002</v>
      </c>
      <c r="E376" s="62">
        <f>+Tabla13[[#This Row],[PRECIO INSTALADOR (IVA INCLUIDO)]]/0.7</f>
        <v>82061.8</v>
      </c>
      <c r="F376" s="61">
        <f>+Tabla13[[#This Row],[PRECIO INSTALADOR (IVA INCLUIDO)]]*5%</f>
        <v>2872.1630000000005</v>
      </c>
      <c r="G376" s="12">
        <v>0.85</v>
      </c>
      <c r="H376" s="11">
        <f>Tabla13[[#This Row],[COSTO]]*1.19</f>
        <v>48826.771000000001</v>
      </c>
      <c r="I376" s="10"/>
      <c r="J376" s="9"/>
      <c r="K376" s="66">
        <v>41030.9</v>
      </c>
    </row>
    <row r="377" spans="1:11" ht="12.75" x14ac:dyDescent="0.2">
      <c r="A377" s="75" t="s">
        <v>921</v>
      </c>
      <c r="B377" s="63" t="s">
        <v>920</v>
      </c>
      <c r="C377" s="62">
        <f>+Tabla13[[#This Row],[Columna6]]/Tabla13[[#This Row],[Columna5]]</f>
        <v>57443.26</v>
      </c>
      <c r="D377" s="62">
        <f>+Tabla13[[#This Row],[PRECIO INSTALADOR (IVA INCLUIDO)]]-F377</f>
        <v>54571.097000000002</v>
      </c>
      <c r="E377" s="62">
        <f>+Tabla13[[#This Row],[PRECIO INSTALADOR (IVA INCLUIDO)]]/0.7</f>
        <v>82061.8</v>
      </c>
      <c r="F377" s="61">
        <f>+Tabla13[[#This Row],[PRECIO INSTALADOR (IVA INCLUIDO)]]*5%</f>
        <v>2872.1630000000005</v>
      </c>
      <c r="G377" s="12">
        <v>0.85</v>
      </c>
      <c r="H377" s="11">
        <f>Tabla13[[#This Row],[COSTO]]*1.19</f>
        <v>48826.771000000001</v>
      </c>
      <c r="I377" s="10"/>
      <c r="J377" s="9"/>
      <c r="K377" s="66">
        <v>41030.9</v>
      </c>
    </row>
    <row r="378" spans="1:11" ht="12.75" x14ac:dyDescent="0.2">
      <c r="A378" s="75" t="s">
        <v>919</v>
      </c>
      <c r="B378" s="63" t="s">
        <v>918</v>
      </c>
      <c r="C378" s="62">
        <f>+Tabla13[[#This Row],[Columna6]]/Tabla13[[#This Row],[Columna5]]</f>
        <v>55157.06</v>
      </c>
      <c r="D378" s="62">
        <f>+Tabla13[[#This Row],[PRECIO INSTALADOR (IVA INCLUIDO)]]-F378</f>
        <v>52399.206999999995</v>
      </c>
      <c r="E378" s="62">
        <f>+Tabla13[[#This Row],[PRECIO INSTALADOR (IVA INCLUIDO)]]/0.7</f>
        <v>78795.8</v>
      </c>
      <c r="F378" s="61">
        <f>+Tabla13[[#This Row],[PRECIO INSTALADOR (IVA INCLUIDO)]]*5%</f>
        <v>2757.8530000000001</v>
      </c>
      <c r="G378" s="12">
        <v>0.85</v>
      </c>
      <c r="H378" s="11">
        <f>Tabla13[[#This Row],[COSTO]]*1.19</f>
        <v>46883.500999999997</v>
      </c>
      <c r="I378" s="10"/>
      <c r="J378" s="9"/>
      <c r="K378" s="66">
        <v>39397.9</v>
      </c>
    </row>
    <row r="379" spans="1:11" ht="12.75" x14ac:dyDescent="0.2">
      <c r="A379" s="75" t="s">
        <v>917</v>
      </c>
      <c r="B379" s="63" t="s">
        <v>916</v>
      </c>
      <c r="C379" s="62">
        <f>+Tabla13[[#This Row],[Columna6]]/Tabla13[[#This Row],[Columna5]]</f>
        <v>57443.26</v>
      </c>
      <c r="D379" s="62">
        <f>+Tabla13[[#This Row],[PRECIO INSTALADOR (IVA INCLUIDO)]]-F379</f>
        <v>54571.097000000002</v>
      </c>
      <c r="E379" s="62">
        <f>+Tabla13[[#This Row],[PRECIO INSTALADOR (IVA INCLUIDO)]]/0.7</f>
        <v>82061.8</v>
      </c>
      <c r="F379" s="61">
        <f>+Tabla13[[#This Row],[PRECIO INSTALADOR (IVA INCLUIDO)]]*5%</f>
        <v>2872.1630000000005</v>
      </c>
      <c r="G379" s="12">
        <v>0.85</v>
      </c>
      <c r="H379" s="11">
        <f>Tabla13[[#This Row],[COSTO]]*1.19</f>
        <v>48826.771000000001</v>
      </c>
      <c r="I379" s="10"/>
      <c r="J379" s="9"/>
      <c r="K379" s="66">
        <v>41030.9</v>
      </c>
    </row>
    <row r="380" spans="1:11" ht="12.75" x14ac:dyDescent="0.2">
      <c r="A380" s="75" t="s">
        <v>915</v>
      </c>
      <c r="B380" s="63" t="s">
        <v>914</v>
      </c>
      <c r="C380" s="62">
        <f>+Tabla13[[#This Row],[Columna6]]/Tabla13[[#This Row],[Columna5]]</f>
        <v>57443.26</v>
      </c>
      <c r="D380" s="62">
        <f>+Tabla13[[#This Row],[PRECIO INSTALADOR (IVA INCLUIDO)]]-F380</f>
        <v>54571.097000000002</v>
      </c>
      <c r="E380" s="62">
        <f>+Tabla13[[#This Row],[PRECIO INSTALADOR (IVA INCLUIDO)]]/0.7</f>
        <v>82061.8</v>
      </c>
      <c r="F380" s="61">
        <f>+Tabla13[[#This Row],[PRECIO INSTALADOR (IVA INCLUIDO)]]*5%</f>
        <v>2872.1630000000005</v>
      </c>
      <c r="G380" s="12">
        <v>0.85</v>
      </c>
      <c r="H380" s="11">
        <f>Tabla13[[#This Row],[COSTO]]*1.19</f>
        <v>48826.771000000001</v>
      </c>
      <c r="I380" s="10"/>
      <c r="J380" s="9"/>
      <c r="K380" s="66">
        <v>41030.9</v>
      </c>
    </row>
    <row r="381" spans="1:11" ht="12.75" x14ac:dyDescent="0.2">
      <c r="A381" s="75" t="s">
        <v>913</v>
      </c>
      <c r="B381" s="63" t="s">
        <v>912</v>
      </c>
      <c r="C381" s="62">
        <f>+Tabla13[[#This Row],[Columna6]]/Tabla13[[#This Row],[Columna5]]</f>
        <v>57443.26</v>
      </c>
      <c r="D381" s="62">
        <f>+Tabla13[[#This Row],[PRECIO INSTALADOR (IVA INCLUIDO)]]-F381</f>
        <v>54571.097000000002</v>
      </c>
      <c r="E381" s="62">
        <f>+Tabla13[[#This Row],[PRECIO INSTALADOR (IVA INCLUIDO)]]/0.7</f>
        <v>82061.8</v>
      </c>
      <c r="F381" s="61">
        <f>+Tabla13[[#This Row],[PRECIO INSTALADOR (IVA INCLUIDO)]]*5%</f>
        <v>2872.1630000000005</v>
      </c>
      <c r="G381" s="12">
        <v>0.85</v>
      </c>
      <c r="H381" s="11">
        <f>Tabla13[[#This Row],[COSTO]]*1.19</f>
        <v>48826.771000000001</v>
      </c>
      <c r="I381" s="10"/>
      <c r="J381" s="9"/>
      <c r="K381" s="66">
        <v>41030.9</v>
      </c>
    </row>
    <row r="382" spans="1:11" ht="12.75" x14ac:dyDescent="0.2">
      <c r="A382" s="75" t="s">
        <v>911</v>
      </c>
      <c r="B382" s="63" t="s">
        <v>910</v>
      </c>
      <c r="C382" s="62">
        <f>+Tabla13[[#This Row],[Columna6]]/Tabla13[[#This Row],[Columna5]]</f>
        <v>59530.66</v>
      </c>
      <c r="D382" s="62">
        <f>+Tabla13[[#This Row],[PRECIO INSTALADOR (IVA INCLUIDO)]]-F382</f>
        <v>56554.127</v>
      </c>
      <c r="E382" s="62">
        <f>+Tabla13[[#This Row],[PRECIO INSTALADOR (IVA INCLUIDO)]]/0.7</f>
        <v>85043.800000000017</v>
      </c>
      <c r="F382" s="61">
        <f>+Tabla13[[#This Row],[PRECIO INSTALADOR (IVA INCLUIDO)]]*5%</f>
        <v>2976.5330000000004</v>
      </c>
      <c r="G382" s="12">
        <v>0.85</v>
      </c>
      <c r="H382" s="11">
        <f>Tabla13[[#This Row],[COSTO]]*1.19</f>
        <v>50601.061000000002</v>
      </c>
      <c r="I382" s="10"/>
      <c r="J382" s="9"/>
      <c r="K382" s="66">
        <v>42521.9</v>
      </c>
    </row>
    <row r="383" spans="1:11" ht="12.75" x14ac:dyDescent="0.2">
      <c r="A383" s="75" t="s">
        <v>909</v>
      </c>
      <c r="B383" s="63" t="s">
        <v>908</v>
      </c>
      <c r="C383" s="62">
        <f>+Tabla13[[#This Row],[Columna6]]/Tabla13[[#This Row],[Columna5]]</f>
        <v>59530.66</v>
      </c>
      <c r="D383" s="62">
        <f>+Tabla13[[#This Row],[PRECIO INSTALADOR (IVA INCLUIDO)]]-F383</f>
        <v>56554.127</v>
      </c>
      <c r="E383" s="62">
        <f>+Tabla13[[#This Row],[PRECIO INSTALADOR (IVA INCLUIDO)]]/0.7</f>
        <v>85043.800000000017</v>
      </c>
      <c r="F383" s="61">
        <f>+Tabla13[[#This Row],[PRECIO INSTALADOR (IVA INCLUIDO)]]*5%</f>
        <v>2976.5330000000004</v>
      </c>
      <c r="G383" s="12">
        <v>0.85</v>
      </c>
      <c r="H383" s="11">
        <f>Tabla13[[#This Row],[COSTO]]*1.19</f>
        <v>50601.061000000002</v>
      </c>
      <c r="I383" s="10"/>
      <c r="J383" s="9"/>
      <c r="K383" s="66">
        <v>42521.9</v>
      </c>
    </row>
    <row r="384" spans="1:11" ht="12.75" x14ac:dyDescent="0.2">
      <c r="A384" s="82"/>
      <c r="B384" s="64" t="s">
        <v>907</v>
      </c>
      <c r="C384" s="81"/>
      <c r="D384" s="81"/>
      <c r="E384" s="81"/>
      <c r="F384" s="61">
        <f>+Tabla13[[#This Row],[PRECIO INSTALADOR (IVA INCLUIDO)]]*5%</f>
        <v>0</v>
      </c>
      <c r="G384" s="12">
        <v>0.85</v>
      </c>
      <c r="H384" s="11" t="e">
        <f>Tabla13[[#This Row],[COSTO]]*1.19</f>
        <v>#VALUE!</v>
      </c>
      <c r="I384" s="10"/>
      <c r="J384" s="9"/>
      <c r="K384" s="66" t="s">
        <v>261</v>
      </c>
    </row>
    <row r="385" spans="1:11" ht="12.75" x14ac:dyDescent="0.2">
      <c r="A385" s="75" t="s">
        <v>906</v>
      </c>
      <c r="B385" s="63" t="s">
        <v>905</v>
      </c>
      <c r="C385" s="62">
        <f>+Tabla13[[#This Row],[Columna6]]/Tabla13[[#This Row],[Columna5]]</f>
        <v>55157.06</v>
      </c>
      <c r="D385" s="62">
        <f>+Tabla13[[#This Row],[PRECIO INSTALADOR (IVA INCLUIDO)]]-F385</f>
        <v>52399.206999999995</v>
      </c>
      <c r="E385" s="62">
        <f>+Tabla13[[#This Row],[PRECIO INSTALADOR (IVA INCLUIDO)]]/0.7</f>
        <v>78795.8</v>
      </c>
      <c r="F385" s="61">
        <f>+Tabla13[[#This Row],[PRECIO INSTALADOR (IVA INCLUIDO)]]*5%</f>
        <v>2757.8530000000001</v>
      </c>
      <c r="G385" s="12">
        <v>0.85</v>
      </c>
      <c r="H385" s="11">
        <f>Tabla13[[#This Row],[COSTO]]*1.19</f>
        <v>46883.500999999997</v>
      </c>
      <c r="I385" s="10"/>
      <c r="J385" s="9"/>
      <c r="K385" s="66">
        <v>39397.9</v>
      </c>
    </row>
    <row r="386" spans="1:11" ht="12.75" x14ac:dyDescent="0.2">
      <c r="A386" s="75" t="s">
        <v>904</v>
      </c>
      <c r="B386" s="63" t="s">
        <v>903</v>
      </c>
      <c r="C386" s="62">
        <f>+Tabla13[[#This Row],[Columna6]]/Tabla13[[#This Row],[Columna5]]</f>
        <v>57443.26</v>
      </c>
      <c r="D386" s="62">
        <f>+Tabla13[[#This Row],[PRECIO INSTALADOR (IVA INCLUIDO)]]-F386</f>
        <v>54571.097000000002</v>
      </c>
      <c r="E386" s="62">
        <f>+Tabla13[[#This Row],[PRECIO INSTALADOR (IVA INCLUIDO)]]/0.7</f>
        <v>82061.8</v>
      </c>
      <c r="F386" s="61">
        <f>+Tabla13[[#This Row],[PRECIO INSTALADOR (IVA INCLUIDO)]]*5%</f>
        <v>2872.1630000000005</v>
      </c>
      <c r="G386" s="12">
        <v>0.85</v>
      </c>
      <c r="H386" s="11">
        <f>Tabla13[[#This Row],[COSTO]]*1.19</f>
        <v>48826.771000000001</v>
      </c>
      <c r="I386" s="10"/>
      <c r="J386" s="9"/>
      <c r="K386" s="66">
        <v>41030.9</v>
      </c>
    </row>
    <row r="387" spans="1:11" ht="12.75" x14ac:dyDescent="0.2">
      <c r="A387" s="75" t="s">
        <v>902</v>
      </c>
      <c r="B387" s="63" t="s">
        <v>901</v>
      </c>
      <c r="C387" s="62">
        <f>+Tabla13[[#This Row],[Columna6]]/Tabla13[[#This Row],[Columna5]]</f>
        <v>57443.26</v>
      </c>
      <c r="D387" s="62">
        <f>+Tabla13[[#This Row],[PRECIO INSTALADOR (IVA INCLUIDO)]]-F387</f>
        <v>54571.097000000002</v>
      </c>
      <c r="E387" s="62">
        <f>+Tabla13[[#This Row],[PRECIO INSTALADOR (IVA INCLUIDO)]]/0.7</f>
        <v>82061.8</v>
      </c>
      <c r="F387" s="61">
        <f>+Tabla13[[#This Row],[PRECIO INSTALADOR (IVA INCLUIDO)]]*5%</f>
        <v>2872.1630000000005</v>
      </c>
      <c r="G387" s="12">
        <v>0.85</v>
      </c>
      <c r="H387" s="11">
        <f>Tabla13[[#This Row],[COSTO]]*1.19</f>
        <v>48826.771000000001</v>
      </c>
      <c r="I387" s="10"/>
      <c r="J387" s="9"/>
      <c r="K387" s="66">
        <v>41030.9</v>
      </c>
    </row>
    <row r="388" spans="1:11" ht="12.75" x14ac:dyDescent="0.2">
      <c r="A388" s="82"/>
      <c r="B388" s="64" t="s">
        <v>900</v>
      </c>
      <c r="C388" s="81"/>
      <c r="D388" s="81"/>
      <c r="E388" s="81"/>
      <c r="F388" s="61">
        <f>+Tabla13[[#This Row],[PRECIO INSTALADOR (IVA INCLUIDO)]]*5%</f>
        <v>0</v>
      </c>
      <c r="G388" s="12">
        <v>0.85</v>
      </c>
      <c r="H388" s="11" t="e">
        <f>Tabla13[[#This Row],[COSTO]]*1.19</f>
        <v>#VALUE!</v>
      </c>
      <c r="I388" s="10"/>
      <c r="J388" s="9"/>
      <c r="K388" s="66" t="s">
        <v>261</v>
      </c>
    </row>
    <row r="389" spans="1:11" ht="12.75" x14ac:dyDescent="0.2">
      <c r="A389" s="75" t="s">
        <v>899</v>
      </c>
      <c r="B389" s="63" t="s">
        <v>898</v>
      </c>
      <c r="C389" s="62">
        <f>+Tabla13[[#This Row],[Columna6]]/Tabla13[[#This Row],[Columna5]]</f>
        <v>46906.86</v>
      </c>
      <c r="D389" s="62">
        <f>+Tabla13[[#This Row],[PRECIO INSTALADOR (IVA INCLUIDO)]]-F389</f>
        <v>44561.517</v>
      </c>
      <c r="E389" s="62">
        <f>+Tabla13[[#This Row],[PRECIO INSTALADOR (IVA INCLUIDO)]]/0.7</f>
        <v>67009.8</v>
      </c>
      <c r="F389" s="61">
        <f>+Tabla13[[#This Row],[PRECIO INSTALADOR (IVA INCLUIDO)]]*5%</f>
        <v>2345.3430000000003</v>
      </c>
      <c r="G389" s="12">
        <v>0.85</v>
      </c>
      <c r="H389" s="11">
        <f>Tabla13[[#This Row],[COSTO]]*1.19</f>
        <v>39870.830999999998</v>
      </c>
      <c r="I389" s="10"/>
      <c r="J389" s="9"/>
      <c r="K389" s="66">
        <v>33504.9</v>
      </c>
    </row>
    <row r="390" spans="1:11" ht="12.75" x14ac:dyDescent="0.2">
      <c r="A390" s="75" t="s">
        <v>897</v>
      </c>
      <c r="B390" s="63" t="s">
        <v>896</v>
      </c>
      <c r="C390" s="62">
        <f>+Tabla13[[#This Row],[Columna6]]/Tabla13[[#This Row],[Columna5]]</f>
        <v>47900.86</v>
      </c>
      <c r="D390" s="62">
        <f>+Tabla13[[#This Row],[PRECIO INSTALADOR (IVA INCLUIDO)]]-F390</f>
        <v>45505.817000000003</v>
      </c>
      <c r="E390" s="62">
        <f>+Tabla13[[#This Row],[PRECIO INSTALADOR (IVA INCLUIDO)]]/0.7</f>
        <v>68429.8</v>
      </c>
      <c r="F390" s="61">
        <f>+Tabla13[[#This Row],[PRECIO INSTALADOR (IVA INCLUIDO)]]*5%</f>
        <v>2395.0430000000001</v>
      </c>
      <c r="G390" s="12">
        <v>0.85</v>
      </c>
      <c r="H390" s="11">
        <f>Tabla13[[#This Row],[COSTO]]*1.19</f>
        <v>40715.731</v>
      </c>
      <c r="I390" s="10"/>
      <c r="J390" s="9"/>
      <c r="K390" s="66">
        <v>34214.9</v>
      </c>
    </row>
    <row r="391" spans="1:11" ht="12.75" x14ac:dyDescent="0.2">
      <c r="A391" s="75" t="s">
        <v>895</v>
      </c>
      <c r="B391" s="63" t="s">
        <v>894</v>
      </c>
      <c r="C391" s="62">
        <f>+Tabla13[[#This Row],[Columna6]]/Tabla13[[#This Row],[Columna5]]</f>
        <v>82690.86</v>
      </c>
      <c r="D391" s="62">
        <f>+Tabla13[[#This Row],[PRECIO INSTALADOR (IVA INCLUIDO)]]-F391</f>
        <v>78556.316999999995</v>
      </c>
      <c r="E391" s="62">
        <f>+Tabla13[[#This Row],[PRECIO INSTALADOR (IVA INCLUIDO)]]/0.7</f>
        <v>118129.8</v>
      </c>
      <c r="F391" s="61">
        <f>+Tabla13[[#This Row],[PRECIO INSTALADOR (IVA INCLUIDO)]]*5%</f>
        <v>4134.5430000000006</v>
      </c>
      <c r="G391" s="12">
        <v>0.85</v>
      </c>
      <c r="H391" s="11">
        <f>Tabla13[[#This Row],[COSTO]]*1.19</f>
        <v>70287.231</v>
      </c>
      <c r="I391" s="10"/>
      <c r="J391" s="9"/>
      <c r="K391" s="66">
        <v>59064.9</v>
      </c>
    </row>
    <row r="392" spans="1:11" ht="12.75" x14ac:dyDescent="0.2">
      <c r="A392" s="105"/>
      <c r="B392" s="104" t="s">
        <v>893</v>
      </c>
      <c r="C392" s="103"/>
      <c r="D392" s="103"/>
      <c r="E392" s="103"/>
      <c r="F392" s="102">
        <f>+Tabla13[[#This Row],[PRECIO INSTALADOR (IVA INCLUIDO)]]*5%</f>
        <v>0</v>
      </c>
      <c r="G392" s="12">
        <v>0.85</v>
      </c>
      <c r="H392" s="11">
        <f>Tabla13[[#This Row],[COSTO]]*1.19</f>
        <v>0</v>
      </c>
      <c r="I392" s="10"/>
      <c r="J392" s="9"/>
      <c r="K392" s="66"/>
    </row>
    <row r="393" spans="1:11" ht="12.75" x14ac:dyDescent="0.2">
      <c r="A393" s="75" t="s">
        <v>892</v>
      </c>
      <c r="B393" s="63" t="s">
        <v>891</v>
      </c>
      <c r="C393" s="62">
        <f>+Tabla13[[#This Row],[Columna6]]/Tabla13[[#This Row],[Columna5]]</f>
        <v>28816.06</v>
      </c>
      <c r="D393" s="62">
        <f>+Tabla13[[#This Row],[PRECIO INSTALADOR (IVA INCLUIDO)]]-F393</f>
        <v>27375.257000000001</v>
      </c>
      <c r="E393" s="62">
        <f>+Tabla13[[#This Row],[PRECIO INSTALADOR (IVA INCLUIDO)]]/0.7</f>
        <v>41165.800000000003</v>
      </c>
      <c r="F393" s="61">
        <f>+Tabla13[[#This Row],[PRECIO INSTALADOR (IVA INCLUIDO)]]*5%</f>
        <v>1440.8030000000001</v>
      </c>
      <c r="G393" s="12">
        <v>0.85</v>
      </c>
      <c r="H393" s="11">
        <f>Tabla13[[#This Row],[COSTO]]*1.19</f>
        <v>24493.651000000002</v>
      </c>
      <c r="I393" s="10"/>
      <c r="J393" s="9"/>
      <c r="K393" s="66">
        <v>20582.900000000001</v>
      </c>
    </row>
    <row r="394" spans="1:11" ht="12.75" x14ac:dyDescent="0.2">
      <c r="A394" s="75" t="s">
        <v>890</v>
      </c>
      <c r="B394" s="63" t="s">
        <v>889</v>
      </c>
      <c r="C394" s="62">
        <f>+Tabla13[[#This Row],[Columna6]]/Tabla13[[#This Row],[Columna5]]</f>
        <v>30108.260000000002</v>
      </c>
      <c r="D394" s="62">
        <f>+Tabla13[[#This Row],[PRECIO INSTALADOR (IVA INCLUIDO)]]-F394</f>
        <v>28602.847000000002</v>
      </c>
      <c r="E394" s="62">
        <f>+Tabla13[[#This Row],[PRECIO INSTALADOR (IVA INCLUIDO)]]/0.7</f>
        <v>43011.8</v>
      </c>
      <c r="F394" s="61">
        <f>+Tabla13[[#This Row],[PRECIO INSTALADOR (IVA INCLUIDO)]]*5%</f>
        <v>1505.4130000000002</v>
      </c>
      <c r="G394" s="12">
        <v>0.85</v>
      </c>
      <c r="H394" s="11">
        <f>Tabla13[[#This Row],[COSTO]]*1.19</f>
        <v>25592.021000000001</v>
      </c>
      <c r="I394" s="10"/>
      <c r="J394" s="9"/>
      <c r="K394" s="66">
        <v>21505.9</v>
      </c>
    </row>
    <row r="395" spans="1:11" ht="12.75" x14ac:dyDescent="0.2">
      <c r="A395" s="75" t="s">
        <v>888</v>
      </c>
      <c r="B395" s="63" t="s">
        <v>887</v>
      </c>
      <c r="C395" s="62">
        <f>+Tabla13[[#This Row],[Columna6]]/Tabla13[[#This Row],[Columna5]]</f>
        <v>30108.260000000002</v>
      </c>
      <c r="D395" s="62">
        <f>+Tabla13[[#This Row],[PRECIO INSTALADOR (IVA INCLUIDO)]]-F395</f>
        <v>28602.847000000002</v>
      </c>
      <c r="E395" s="62">
        <f>+Tabla13[[#This Row],[PRECIO INSTALADOR (IVA INCLUIDO)]]/0.7</f>
        <v>43011.8</v>
      </c>
      <c r="F395" s="61">
        <f>+Tabla13[[#This Row],[PRECIO INSTALADOR (IVA INCLUIDO)]]*5%</f>
        <v>1505.4130000000002</v>
      </c>
      <c r="G395" s="12">
        <v>0.85</v>
      </c>
      <c r="H395" s="11">
        <f>Tabla13[[#This Row],[COSTO]]*1.19</f>
        <v>25592.021000000001</v>
      </c>
      <c r="I395" s="10"/>
      <c r="J395" s="9"/>
      <c r="K395" s="66">
        <v>21505.9</v>
      </c>
    </row>
    <row r="396" spans="1:11" ht="12.75" x14ac:dyDescent="0.2">
      <c r="A396" s="76"/>
      <c r="B396" s="69" t="s">
        <v>886</v>
      </c>
      <c r="C396" s="68"/>
      <c r="D396" s="68"/>
      <c r="E396" s="68"/>
      <c r="F396" s="67">
        <f>+Tabla13[[#This Row],[PRECIO INSTALADOR (IVA INCLUIDO)]]*5%</f>
        <v>0</v>
      </c>
      <c r="G396" s="12">
        <v>0.85</v>
      </c>
      <c r="H396" s="11">
        <f>Tabla13[[#This Row],[COSTO]]*1.19</f>
        <v>0</v>
      </c>
      <c r="I396" s="10"/>
      <c r="J396" s="9"/>
      <c r="K396" s="66"/>
    </row>
    <row r="397" spans="1:11" ht="12.75" x14ac:dyDescent="0.2">
      <c r="A397" s="109"/>
      <c r="B397" s="64" t="s">
        <v>885</v>
      </c>
      <c r="C397" s="107"/>
      <c r="D397" s="107"/>
      <c r="E397" s="107"/>
      <c r="F397" s="106">
        <f>+Tabla13[[#This Row],[PRECIO INSTALADOR (IVA INCLUIDO)]]*5%</f>
        <v>0</v>
      </c>
      <c r="G397" s="12">
        <v>0.85</v>
      </c>
      <c r="H397" s="11" t="e">
        <f>Tabla13[[#This Row],[COSTO]]*1.19</f>
        <v>#VALUE!</v>
      </c>
      <c r="I397" s="10"/>
      <c r="J397" s="9"/>
      <c r="K397" s="66" t="s">
        <v>261</v>
      </c>
    </row>
    <row r="398" spans="1:11" ht="12.75" x14ac:dyDescent="0.2">
      <c r="A398" s="75" t="s">
        <v>884</v>
      </c>
      <c r="B398" s="63" t="s">
        <v>883</v>
      </c>
      <c r="C398" s="62">
        <f>+Tabla13[[#This Row],[Columna6]]/Tabla13[[#This Row],[Columna5]]</f>
        <v>138653.05999999997</v>
      </c>
      <c r="D398" s="62">
        <f>+Tabla13[[#This Row],[PRECIO INSTALADOR (IVA INCLUIDO)]]-F398</f>
        <v>131720.40699999998</v>
      </c>
      <c r="E398" s="62">
        <f>+Tabla13[[#This Row],[PRECIO INSTALADOR (IVA INCLUIDO)]]/0.7</f>
        <v>198075.79999999996</v>
      </c>
      <c r="F398" s="61">
        <f>+Tabla13[[#This Row],[PRECIO INSTALADOR (IVA INCLUIDO)]]*5%</f>
        <v>6932.6529999999984</v>
      </c>
      <c r="G398" s="12">
        <v>0.85</v>
      </c>
      <c r="H398" s="11">
        <f>Tabla13[[#This Row],[COSTO]]*1.19</f>
        <v>117855.10099999998</v>
      </c>
      <c r="I398" s="10"/>
      <c r="J398" s="9"/>
      <c r="K398" s="66">
        <v>99037.9</v>
      </c>
    </row>
    <row r="399" spans="1:11" ht="12.75" x14ac:dyDescent="0.2">
      <c r="A399" s="75" t="s">
        <v>882</v>
      </c>
      <c r="B399" s="63" t="s">
        <v>881</v>
      </c>
      <c r="C399" s="62">
        <f>+Tabla13[[#This Row],[Columna6]]/Tabla13[[#This Row],[Columna5]]</f>
        <v>139845.85999999999</v>
      </c>
      <c r="D399" s="62">
        <f>+Tabla13[[#This Row],[PRECIO INSTALADOR (IVA INCLUIDO)]]-F399</f>
        <v>132853.56699999998</v>
      </c>
      <c r="E399" s="62">
        <f>+Tabla13[[#This Row],[PRECIO INSTALADOR (IVA INCLUIDO)]]/0.7</f>
        <v>199779.8</v>
      </c>
      <c r="F399" s="61">
        <f>+Tabla13[[#This Row],[PRECIO INSTALADOR (IVA INCLUIDO)]]*5%</f>
        <v>6992.2929999999997</v>
      </c>
      <c r="G399" s="12">
        <v>0.85</v>
      </c>
      <c r="H399" s="11">
        <f>Tabla13[[#This Row],[COSTO]]*1.19</f>
        <v>118868.98099999999</v>
      </c>
      <c r="I399" s="10"/>
      <c r="J399" s="9"/>
      <c r="K399" s="66">
        <v>99889.9</v>
      </c>
    </row>
    <row r="400" spans="1:11" ht="12.75" x14ac:dyDescent="0.2">
      <c r="A400" s="75" t="s">
        <v>880</v>
      </c>
      <c r="B400" s="63" t="s">
        <v>879</v>
      </c>
      <c r="C400" s="62">
        <f>+Tabla13[[#This Row],[Columna6]]/Tabla13[[#This Row],[Columna5]]</f>
        <v>139845.85999999999</v>
      </c>
      <c r="D400" s="62">
        <f>+Tabla13[[#This Row],[PRECIO INSTALADOR (IVA INCLUIDO)]]-F400</f>
        <v>132853.56699999998</v>
      </c>
      <c r="E400" s="62">
        <f>+Tabla13[[#This Row],[PRECIO INSTALADOR (IVA INCLUIDO)]]/0.7</f>
        <v>199779.8</v>
      </c>
      <c r="F400" s="61">
        <f>+Tabla13[[#This Row],[PRECIO INSTALADOR (IVA INCLUIDO)]]*5%</f>
        <v>6992.2929999999997</v>
      </c>
      <c r="G400" s="12">
        <v>0.85</v>
      </c>
      <c r="H400" s="11">
        <f>Tabla13[[#This Row],[COSTO]]*1.19</f>
        <v>118868.98099999999</v>
      </c>
      <c r="I400" s="10"/>
      <c r="J400" s="9"/>
      <c r="K400" s="66">
        <v>99889.9</v>
      </c>
    </row>
    <row r="401" spans="1:11" ht="12.75" x14ac:dyDescent="0.2">
      <c r="A401" s="75" t="s">
        <v>878</v>
      </c>
      <c r="B401" s="63" t="s">
        <v>877</v>
      </c>
      <c r="C401" s="62">
        <f>+Tabla13[[#This Row],[Columna6]]/Tabla13[[#This Row],[Columna5]]</f>
        <v>144517.65999999997</v>
      </c>
      <c r="D401" s="62">
        <f>+Tabla13[[#This Row],[PRECIO INSTALADOR (IVA INCLUIDO)]]-F401</f>
        <v>137291.77699999997</v>
      </c>
      <c r="E401" s="62">
        <f>+Tabla13[[#This Row],[PRECIO INSTALADOR (IVA INCLUIDO)]]/0.7</f>
        <v>206453.8</v>
      </c>
      <c r="F401" s="61">
        <f>+Tabla13[[#This Row],[PRECIO INSTALADOR (IVA INCLUIDO)]]*5%</f>
        <v>7225.8829999999989</v>
      </c>
      <c r="G401" s="12">
        <v>0.85</v>
      </c>
      <c r="H401" s="11">
        <f>Tabla13[[#This Row],[COSTO]]*1.19</f>
        <v>122840.01099999998</v>
      </c>
      <c r="I401" s="10"/>
      <c r="J401" s="9"/>
      <c r="K401" s="66">
        <v>103226.9</v>
      </c>
    </row>
    <row r="402" spans="1:11" ht="12.75" x14ac:dyDescent="0.2">
      <c r="A402" s="75" t="s">
        <v>876</v>
      </c>
      <c r="B402" s="63" t="s">
        <v>875</v>
      </c>
      <c r="C402" s="62">
        <f>+Tabla13[[#This Row],[Columna6]]/Tabla13[[#This Row],[Columna5]]</f>
        <v>145611.06</v>
      </c>
      <c r="D402" s="62">
        <f>+Tabla13[[#This Row],[PRECIO INSTALADOR (IVA INCLUIDO)]]-F402</f>
        <v>138330.50699999998</v>
      </c>
      <c r="E402" s="62">
        <f>+Tabla13[[#This Row],[PRECIO INSTALADOR (IVA INCLUIDO)]]/0.7</f>
        <v>208015.80000000002</v>
      </c>
      <c r="F402" s="61">
        <f>+Tabla13[[#This Row],[PRECIO INSTALADOR (IVA INCLUIDO)]]*5%</f>
        <v>7280.5529999999999</v>
      </c>
      <c r="G402" s="12">
        <v>0.85</v>
      </c>
      <c r="H402" s="11">
        <f>Tabla13[[#This Row],[COSTO]]*1.19</f>
        <v>123769.40099999998</v>
      </c>
      <c r="I402" s="10"/>
      <c r="J402" s="9"/>
      <c r="K402" s="66">
        <v>104007.9</v>
      </c>
    </row>
    <row r="403" spans="1:11" ht="12.75" x14ac:dyDescent="0.2">
      <c r="A403" s="75" t="s">
        <v>874</v>
      </c>
      <c r="B403" s="63" t="s">
        <v>873</v>
      </c>
      <c r="C403" s="62">
        <f>+Tabla13[[#This Row],[Columna6]]/Tabla13[[#This Row],[Columna5]]</f>
        <v>145611.06</v>
      </c>
      <c r="D403" s="62">
        <f>+Tabla13[[#This Row],[PRECIO INSTALADOR (IVA INCLUIDO)]]-F403</f>
        <v>138330.50699999998</v>
      </c>
      <c r="E403" s="62">
        <f>+Tabla13[[#This Row],[PRECIO INSTALADOR (IVA INCLUIDO)]]/0.7</f>
        <v>208015.80000000002</v>
      </c>
      <c r="F403" s="61">
        <f>+Tabla13[[#This Row],[PRECIO INSTALADOR (IVA INCLUIDO)]]*5%</f>
        <v>7280.5529999999999</v>
      </c>
      <c r="G403" s="12">
        <v>0.85</v>
      </c>
      <c r="H403" s="11">
        <f>Tabla13[[#This Row],[COSTO]]*1.19</f>
        <v>123769.40099999998</v>
      </c>
      <c r="I403" s="10"/>
      <c r="J403" s="9"/>
      <c r="K403" s="66">
        <v>104007.9</v>
      </c>
    </row>
    <row r="404" spans="1:11" ht="12.75" x14ac:dyDescent="0.2">
      <c r="A404" s="108"/>
      <c r="B404" s="64" t="s">
        <v>872</v>
      </c>
      <c r="C404" s="107"/>
      <c r="D404" s="107"/>
      <c r="E404" s="107"/>
      <c r="F404" s="106">
        <f>+Tabla13[[#This Row],[PRECIO INSTALADOR (IVA INCLUIDO)]]*5%</f>
        <v>0</v>
      </c>
      <c r="G404" s="12">
        <v>0.85</v>
      </c>
      <c r="H404" s="11" t="e">
        <f>Tabla13[[#This Row],[COSTO]]*1.19</f>
        <v>#VALUE!</v>
      </c>
      <c r="I404" s="10"/>
      <c r="J404" s="9"/>
      <c r="K404" s="66" t="s">
        <v>261</v>
      </c>
    </row>
    <row r="405" spans="1:11" ht="13.5" x14ac:dyDescent="0.2">
      <c r="A405" s="38" t="s">
        <v>871</v>
      </c>
      <c r="B405" s="49" t="s">
        <v>870</v>
      </c>
      <c r="C405" s="51">
        <f>+Tabla13[[#This Row],[Columna6]]/Tabla13[[#This Row],[Columna5]]</f>
        <v>139845.85999999999</v>
      </c>
      <c r="D405" s="51">
        <f>+Tabla13[[#This Row],[PRECIO INSTALADOR (IVA INCLUIDO)]]-F405</f>
        <v>132853.56699999998</v>
      </c>
      <c r="E405" s="51">
        <f>+Tabla13[[#This Row],[PRECIO INSTALADOR (IVA INCLUIDO)]]/0.7</f>
        <v>199779.8</v>
      </c>
      <c r="F405" s="50">
        <f>+Tabla13[[#This Row],[PRECIO INSTALADOR (IVA INCLUIDO)]]*5%</f>
        <v>6992.2929999999997</v>
      </c>
      <c r="G405" s="12">
        <v>0.85</v>
      </c>
      <c r="H405" s="11">
        <f>Tabla13[[#This Row],[COSTO]]*1.19</f>
        <v>118868.98099999999</v>
      </c>
      <c r="I405" s="10"/>
      <c r="J405" s="9"/>
      <c r="K405" s="66">
        <v>99889.9</v>
      </c>
    </row>
    <row r="406" spans="1:11" ht="13.5" x14ac:dyDescent="0.2">
      <c r="A406" s="38" t="s">
        <v>869</v>
      </c>
      <c r="B406" s="49" t="s">
        <v>868</v>
      </c>
      <c r="C406" s="51">
        <f>+Tabla13[[#This Row],[Columna6]]/Tabla13[[#This Row],[Columna5]]</f>
        <v>138752.46</v>
      </c>
      <c r="D406" s="51">
        <f>+Tabla13[[#This Row],[PRECIO INSTALADOR (IVA INCLUIDO)]]-F406</f>
        <v>131814.837</v>
      </c>
      <c r="E406" s="51">
        <f>+Tabla13[[#This Row],[PRECIO INSTALADOR (IVA INCLUIDO)]]/0.7</f>
        <v>198217.8</v>
      </c>
      <c r="F406" s="50">
        <f>+Tabla13[[#This Row],[PRECIO INSTALADOR (IVA INCLUIDO)]]*5%</f>
        <v>6937.6229999999996</v>
      </c>
      <c r="G406" s="12">
        <v>0.85</v>
      </c>
      <c r="H406" s="11">
        <f>Tabla13[[#This Row],[COSTO]]*1.19</f>
        <v>117939.59099999999</v>
      </c>
      <c r="I406" s="10"/>
      <c r="J406" s="9"/>
      <c r="K406" s="66">
        <v>99108.9</v>
      </c>
    </row>
    <row r="407" spans="1:11" ht="13.5" x14ac:dyDescent="0.2">
      <c r="A407" s="38" t="s">
        <v>867</v>
      </c>
      <c r="B407" s="49" t="s">
        <v>866</v>
      </c>
      <c r="C407" s="51">
        <f>+Tabla13[[#This Row],[Columna6]]/Tabla13[[#This Row],[Columna5]]</f>
        <v>139845.85999999999</v>
      </c>
      <c r="D407" s="51">
        <f>+Tabla13[[#This Row],[PRECIO INSTALADOR (IVA INCLUIDO)]]-F407</f>
        <v>132853.56699999998</v>
      </c>
      <c r="E407" s="51">
        <f>+Tabla13[[#This Row],[PRECIO INSTALADOR (IVA INCLUIDO)]]/0.7</f>
        <v>199779.8</v>
      </c>
      <c r="F407" s="50">
        <f>+Tabla13[[#This Row],[PRECIO INSTALADOR (IVA INCLUIDO)]]*5%</f>
        <v>6992.2929999999997</v>
      </c>
      <c r="G407" s="12">
        <v>0.85</v>
      </c>
      <c r="H407" s="11">
        <f>Tabla13[[#This Row],[COSTO]]*1.19</f>
        <v>118868.98099999999</v>
      </c>
      <c r="I407" s="10"/>
      <c r="J407" s="9"/>
      <c r="K407" s="66">
        <v>99889.9</v>
      </c>
    </row>
    <row r="408" spans="1:11" ht="13.5" x14ac:dyDescent="0.2">
      <c r="A408" s="38" t="s">
        <v>865</v>
      </c>
      <c r="B408" s="49" t="s">
        <v>864</v>
      </c>
      <c r="C408" s="51">
        <f>+Tabla13[[#This Row],[Columna6]]/Tabla13[[#This Row],[Columna5]]</f>
        <v>145611.06</v>
      </c>
      <c r="D408" s="51">
        <f>+Tabla13[[#This Row],[PRECIO INSTALADOR (IVA INCLUIDO)]]-F408</f>
        <v>138330.50699999998</v>
      </c>
      <c r="E408" s="51">
        <f>+Tabla13[[#This Row],[PRECIO INSTALADOR (IVA INCLUIDO)]]/0.7</f>
        <v>208015.80000000002</v>
      </c>
      <c r="F408" s="50">
        <f>+Tabla13[[#This Row],[PRECIO INSTALADOR (IVA INCLUIDO)]]*5%</f>
        <v>7280.5529999999999</v>
      </c>
      <c r="G408" s="12">
        <v>0.85</v>
      </c>
      <c r="H408" s="11">
        <f>Tabla13[[#This Row],[COSTO]]*1.19</f>
        <v>123769.40099999998</v>
      </c>
      <c r="I408" s="10"/>
      <c r="J408" s="9"/>
      <c r="K408" s="66">
        <v>104007.9</v>
      </c>
    </row>
    <row r="409" spans="1:11" ht="13.5" x14ac:dyDescent="0.2">
      <c r="A409" s="38" t="s">
        <v>863</v>
      </c>
      <c r="B409" s="49" t="s">
        <v>862</v>
      </c>
      <c r="C409" s="51">
        <f>+Tabla13[[#This Row],[Columna6]]/Tabla13[[#This Row],[Columna5]]</f>
        <v>144517.65999999997</v>
      </c>
      <c r="D409" s="51">
        <f>+Tabla13[[#This Row],[PRECIO INSTALADOR (IVA INCLUIDO)]]-F409</f>
        <v>137291.77699999997</v>
      </c>
      <c r="E409" s="51">
        <f>+Tabla13[[#This Row],[PRECIO INSTALADOR (IVA INCLUIDO)]]/0.7</f>
        <v>206453.8</v>
      </c>
      <c r="F409" s="50">
        <f>+Tabla13[[#This Row],[PRECIO INSTALADOR (IVA INCLUIDO)]]*5%</f>
        <v>7225.8829999999989</v>
      </c>
      <c r="G409" s="12">
        <v>0.85</v>
      </c>
      <c r="H409" s="11">
        <f>Tabla13[[#This Row],[COSTO]]*1.19</f>
        <v>122840.01099999998</v>
      </c>
      <c r="I409" s="10"/>
      <c r="J409" s="9"/>
      <c r="K409" s="66">
        <v>103226.9</v>
      </c>
    </row>
    <row r="410" spans="1:11" ht="13.5" x14ac:dyDescent="0.2">
      <c r="A410" s="38" t="s">
        <v>861</v>
      </c>
      <c r="B410" s="49" t="s">
        <v>860</v>
      </c>
      <c r="C410" s="51">
        <f>+Tabla13[[#This Row],[Columna6]]/Tabla13[[#This Row],[Columna5]]</f>
        <v>145611.06</v>
      </c>
      <c r="D410" s="51">
        <f>+Tabla13[[#This Row],[PRECIO INSTALADOR (IVA INCLUIDO)]]-F410</f>
        <v>138330.50699999998</v>
      </c>
      <c r="E410" s="51">
        <f>+Tabla13[[#This Row],[PRECIO INSTALADOR (IVA INCLUIDO)]]/0.7</f>
        <v>208015.80000000002</v>
      </c>
      <c r="F410" s="50">
        <f>+Tabla13[[#This Row],[PRECIO INSTALADOR (IVA INCLUIDO)]]*5%</f>
        <v>7280.5529999999999</v>
      </c>
      <c r="G410" s="12">
        <v>0.85</v>
      </c>
      <c r="H410" s="11">
        <f>Tabla13[[#This Row],[COSTO]]*1.19</f>
        <v>123769.40099999998</v>
      </c>
      <c r="I410" s="10"/>
      <c r="J410" s="9"/>
      <c r="K410" s="66">
        <v>104007.9</v>
      </c>
    </row>
    <row r="411" spans="1:11" ht="12.75" x14ac:dyDescent="0.2">
      <c r="A411" s="82"/>
      <c r="B411" s="64" t="s">
        <v>859</v>
      </c>
      <c r="C411" s="81"/>
      <c r="D411" s="81"/>
      <c r="E411" s="81"/>
      <c r="F411" s="61">
        <f>+Tabla13[[#This Row],[PRECIO INSTALADOR (IVA INCLUIDO)]]*5%</f>
        <v>0</v>
      </c>
      <c r="G411" s="12">
        <v>0.85</v>
      </c>
      <c r="H411" s="11" t="e">
        <f>Tabla13[[#This Row],[COSTO]]*1.19</f>
        <v>#VALUE!</v>
      </c>
      <c r="I411" s="10"/>
      <c r="J411" s="9"/>
      <c r="K411" s="66" t="s">
        <v>261</v>
      </c>
    </row>
    <row r="412" spans="1:11" ht="12.75" x14ac:dyDescent="0.2">
      <c r="A412" s="75" t="s">
        <v>858</v>
      </c>
      <c r="B412" s="63" t="s">
        <v>857</v>
      </c>
      <c r="C412" s="62">
        <f>+Tabla13[[#This Row],[Columna6]]/Tabla13[[#This Row],[Columna5]]</f>
        <v>134776.46</v>
      </c>
      <c r="D412" s="62">
        <f>+Tabla13[[#This Row],[PRECIO INSTALADOR (IVA INCLUIDO)]]-F412</f>
        <v>128037.63699999999</v>
      </c>
      <c r="E412" s="62">
        <f>+Tabla13[[#This Row],[PRECIO INSTALADOR (IVA INCLUIDO)]]/0.7</f>
        <v>192537.8</v>
      </c>
      <c r="F412" s="61">
        <f>+Tabla13[[#This Row],[PRECIO INSTALADOR (IVA INCLUIDO)]]*5%</f>
        <v>6738.8230000000003</v>
      </c>
      <c r="G412" s="12">
        <v>0.85</v>
      </c>
      <c r="H412" s="11">
        <f>Tabla13[[#This Row],[COSTO]]*1.19</f>
        <v>114559.99099999999</v>
      </c>
      <c r="I412" s="10"/>
      <c r="J412" s="9"/>
      <c r="K412" s="66">
        <v>96268.9</v>
      </c>
    </row>
    <row r="413" spans="1:11" ht="12.75" x14ac:dyDescent="0.2">
      <c r="A413" s="75" t="s">
        <v>856</v>
      </c>
      <c r="B413" s="63" t="s">
        <v>855</v>
      </c>
      <c r="C413" s="62">
        <f>+Tabla13[[#This Row],[Columna6]]/Tabla13[[#This Row],[Columna5]]</f>
        <v>135770.46</v>
      </c>
      <c r="D413" s="62">
        <f>+Tabla13[[#This Row],[PRECIO INSTALADOR (IVA INCLUIDO)]]-F413</f>
        <v>128981.93699999999</v>
      </c>
      <c r="E413" s="62">
        <f>+Tabla13[[#This Row],[PRECIO INSTALADOR (IVA INCLUIDO)]]/0.7</f>
        <v>193957.8</v>
      </c>
      <c r="F413" s="61">
        <f>+Tabla13[[#This Row],[PRECIO INSTALADOR (IVA INCLUIDO)]]*5%</f>
        <v>6788.5230000000001</v>
      </c>
      <c r="G413" s="12">
        <v>0.85</v>
      </c>
      <c r="H413" s="11">
        <f>Tabla13[[#This Row],[COSTO]]*1.19</f>
        <v>115404.89099999999</v>
      </c>
      <c r="I413" s="10"/>
      <c r="J413" s="9"/>
      <c r="K413" s="66">
        <v>96978.9</v>
      </c>
    </row>
    <row r="414" spans="1:11" ht="12.75" x14ac:dyDescent="0.2">
      <c r="A414" s="75" t="s">
        <v>854</v>
      </c>
      <c r="B414" s="63" t="s">
        <v>853</v>
      </c>
      <c r="C414" s="62">
        <f>+Tabla13[[#This Row],[Columna6]]/Tabla13[[#This Row],[Columna5]]</f>
        <v>135770.46</v>
      </c>
      <c r="D414" s="62">
        <f>+Tabla13[[#This Row],[PRECIO INSTALADOR (IVA INCLUIDO)]]-F414</f>
        <v>128981.93699999999</v>
      </c>
      <c r="E414" s="62">
        <f>+Tabla13[[#This Row],[PRECIO INSTALADOR (IVA INCLUIDO)]]/0.7</f>
        <v>193957.8</v>
      </c>
      <c r="F414" s="61">
        <f>+Tabla13[[#This Row],[PRECIO INSTALADOR (IVA INCLUIDO)]]*5%</f>
        <v>6788.5230000000001</v>
      </c>
      <c r="G414" s="12">
        <v>0.85</v>
      </c>
      <c r="H414" s="11">
        <f>Tabla13[[#This Row],[COSTO]]*1.19</f>
        <v>115404.89099999999</v>
      </c>
      <c r="I414" s="10"/>
      <c r="J414" s="9"/>
      <c r="K414" s="66">
        <v>96978.9</v>
      </c>
    </row>
    <row r="415" spans="1:11" ht="12.75" x14ac:dyDescent="0.2">
      <c r="A415" s="75" t="s">
        <v>852</v>
      </c>
      <c r="B415" s="63" t="s">
        <v>851</v>
      </c>
      <c r="C415" s="62">
        <f>+Tabla13[[#This Row],[Columna6]]/Tabla13[[#This Row],[Columna5]]</f>
        <v>140342.85999999999</v>
      </c>
      <c r="D415" s="62">
        <f>+Tabla13[[#This Row],[PRECIO INSTALADOR (IVA INCLUIDO)]]-F415</f>
        <v>133325.71699999998</v>
      </c>
      <c r="E415" s="62">
        <f>+Tabla13[[#This Row],[PRECIO INSTALADOR (IVA INCLUIDO)]]/0.7</f>
        <v>200489.8</v>
      </c>
      <c r="F415" s="61">
        <f>+Tabla13[[#This Row],[PRECIO INSTALADOR (IVA INCLUIDO)]]*5%</f>
        <v>7017.143</v>
      </c>
      <c r="G415" s="12">
        <v>0.85</v>
      </c>
      <c r="H415" s="11">
        <f>Tabla13[[#This Row],[COSTO]]*1.19</f>
        <v>119291.43099999998</v>
      </c>
      <c r="I415" s="10"/>
      <c r="J415" s="9"/>
      <c r="K415" s="66">
        <v>100244.9</v>
      </c>
    </row>
    <row r="416" spans="1:11" ht="12.75" x14ac:dyDescent="0.2">
      <c r="A416" s="75" t="s">
        <v>850</v>
      </c>
      <c r="B416" s="63" t="s">
        <v>849</v>
      </c>
      <c r="C416" s="62">
        <f>+Tabla13[[#This Row],[Columna6]]/Tabla13[[#This Row],[Columna5]]</f>
        <v>141336.85999999999</v>
      </c>
      <c r="D416" s="62">
        <f>+Tabla13[[#This Row],[PRECIO INSTALADOR (IVA INCLUIDO)]]-F416</f>
        <v>134270.01699999999</v>
      </c>
      <c r="E416" s="62">
        <f>+Tabla13[[#This Row],[PRECIO INSTALADOR (IVA INCLUIDO)]]/0.7</f>
        <v>201909.8</v>
      </c>
      <c r="F416" s="61">
        <f>+Tabla13[[#This Row],[PRECIO INSTALADOR (IVA INCLUIDO)]]*5%</f>
        <v>7066.8429999999998</v>
      </c>
      <c r="G416" s="12">
        <v>0.85</v>
      </c>
      <c r="H416" s="11">
        <f>Tabla13[[#This Row],[COSTO]]*1.19</f>
        <v>120136.33099999999</v>
      </c>
      <c r="I416" s="10"/>
      <c r="J416" s="9"/>
      <c r="K416" s="66">
        <v>100954.9</v>
      </c>
    </row>
    <row r="417" spans="1:11" ht="12.75" x14ac:dyDescent="0.2">
      <c r="A417" s="75" t="s">
        <v>848</v>
      </c>
      <c r="B417" s="63" t="s">
        <v>847</v>
      </c>
      <c r="C417" s="62">
        <f>+Tabla13[[#This Row],[Columna6]]/Tabla13[[#This Row],[Columna5]]</f>
        <v>141336.85999999999</v>
      </c>
      <c r="D417" s="62">
        <f>+Tabla13[[#This Row],[PRECIO INSTALADOR (IVA INCLUIDO)]]-F417</f>
        <v>134270.01699999999</v>
      </c>
      <c r="E417" s="62">
        <f>+Tabla13[[#This Row],[PRECIO INSTALADOR (IVA INCLUIDO)]]/0.7</f>
        <v>201909.8</v>
      </c>
      <c r="F417" s="61">
        <f>+Tabla13[[#This Row],[PRECIO INSTALADOR (IVA INCLUIDO)]]*5%</f>
        <v>7066.8429999999998</v>
      </c>
      <c r="G417" s="12">
        <v>0.85</v>
      </c>
      <c r="H417" s="11">
        <f>Tabla13[[#This Row],[COSTO]]*1.19</f>
        <v>120136.33099999999</v>
      </c>
      <c r="I417" s="10"/>
      <c r="J417" s="9"/>
      <c r="K417" s="66">
        <v>100954.9</v>
      </c>
    </row>
    <row r="418" spans="1:11" ht="12.75" x14ac:dyDescent="0.2">
      <c r="A418" s="88" t="s">
        <v>846</v>
      </c>
      <c r="B418" s="63" t="s">
        <v>845</v>
      </c>
      <c r="C418" s="62">
        <f>+Tabla13[[#This Row],[Columna6]]/Tabla13[[#This Row],[Columna5]]</f>
        <v>140342.85999999999</v>
      </c>
      <c r="D418" s="62">
        <f>+Tabla13[[#This Row],[PRECIO INSTALADOR (IVA INCLUIDO)]]-F418</f>
        <v>133325.71699999998</v>
      </c>
      <c r="E418" s="62">
        <f>+Tabla13[[#This Row],[PRECIO INSTALADOR (IVA INCLUIDO)]]/0.7</f>
        <v>200489.8</v>
      </c>
      <c r="F418" s="61">
        <f>+Tabla13[[#This Row],[PRECIO INSTALADOR (IVA INCLUIDO)]]*5%</f>
        <v>7017.143</v>
      </c>
      <c r="G418" s="12">
        <v>0.85</v>
      </c>
      <c r="H418" s="11">
        <f>Tabla13[[#This Row],[COSTO]]*1.19</f>
        <v>119291.43099999998</v>
      </c>
      <c r="I418" s="10"/>
      <c r="J418" s="9"/>
      <c r="K418" s="66">
        <v>100244.9</v>
      </c>
    </row>
    <row r="419" spans="1:11" ht="12.75" x14ac:dyDescent="0.2">
      <c r="A419" s="88" t="s">
        <v>844</v>
      </c>
      <c r="B419" s="63" t="s">
        <v>843</v>
      </c>
      <c r="C419" s="62">
        <f>+Tabla13[[#This Row],[Columna6]]/Tabla13[[#This Row],[Columna5]]</f>
        <v>141336.85999999999</v>
      </c>
      <c r="D419" s="62">
        <f>+Tabla13[[#This Row],[PRECIO INSTALADOR (IVA INCLUIDO)]]-F419</f>
        <v>134270.01699999999</v>
      </c>
      <c r="E419" s="62">
        <f>+Tabla13[[#This Row],[PRECIO INSTALADOR (IVA INCLUIDO)]]/0.7</f>
        <v>201909.8</v>
      </c>
      <c r="F419" s="61">
        <f>+Tabla13[[#This Row],[PRECIO INSTALADOR (IVA INCLUIDO)]]*5%</f>
        <v>7066.8429999999998</v>
      </c>
      <c r="G419" s="12">
        <v>0.85</v>
      </c>
      <c r="H419" s="11">
        <f>Tabla13[[#This Row],[COSTO]]*1.19</f>
        <v>120136.33099999999</v>
      </c>
      <c r="I419" s="10"/>
      <c r="J419" s="9"/>
      <c r="K419" s="66">
        <v>100954.9</v>
      </c>
    </row>
    <row r="420" spans="1:11" ht="12.75" x14ac:dyDescent="0.2">
      <c r="A420" s="88" t="s">
        <v>842</v>
      </c>
      <c r="B420" s="63" t="s">
        <v>841</v>
      </c>
      <c r="C420" s="62">
        <f>+Tabla13[[#This Row],[Columna6]]/Tabla13[[#This Row],[Columna5]]</f>
        <v>141336.85999999999</v>
      </c>
      <c r="D420" s="62">
        <f>+Tabla13[[#This Row],[PRECIO INSTALADOR (IVA INCLUIDO)]]-F420</f>
        <v>134270.01699999999</v>
      </c>
      <c r="E420" s="62">
        <f>+Tabla13[[#This Row],[PRECIO INSTALADOR (IVA INCLUIDO)]]/0.7</f>
        <v>201909.8</v>
      </c>
      <c r="F420" s="61">
        <f>+Tabla13[[#This Row],[PRECIO INSTALADOR (IVA INCLUIDO)]]*5%</f>
        <v>7066.8429999999998</v>
      </c>
      <c r="G420" s="12">
        <v>0.85</v>
      </c>
      <c r="H420" s="11">
        <f>Tabla13[[#This Row],[COSTO]]*1.19</f>
        <v>120136.33099999999</v>
      </c>
      <c r="I420" s="10"/>
      <c r="J420" s="9"/>
      <c r="K420" s="66">
        <v>100954.9</v>
      </c>
    </row>
    <row r="421" spans="1:11" ht="12.75" x14ac:dyDescent="0.2">
      <c r="A421" s="82"/>
      <c r="B421" s="64" t="s">
        <v>840</v>
      </c>
      <c r="C421" s="81"/>
      <c r="D421" s="81"/>
      <c r="E421" s="81"/>
      <c r="F421" s="61">
        <f>+Tabla13[[#This Row],[PRECIO INSTALADOR (IVA INCLUIDO)]]*5%</f>
        <v>0</v>
      </c>
      <c r="G421" s="12">
        <v>0.85</v>
      </c>
      <c r="H421" s="11" t="e">
        <f>Tabla13[[#This Row],[COSTO]]*1.19</f>
        <v>#VALUE!</v>
      </c>
      <c r="I421" s="10"/>
      <c r="J421" s="9"/>
      <c r="K421" s="66" t="s">
        <v>261</v>
      </c>
    </row>
    <row r="422" spans="1:11" ht="12.75" x14ac:dyDescent="0.2">
      <c r="A422" s="75" t="s">
        <v>839</v>
      </c>
      <c r="B422" s="63" t="s">
        <v>838</v>
      </c>
      <c r="C422" s="62">
        <f>+Tabla13[[#This Row],[Columna6]]/Tabla13[[#This Row],[Columna5]]</f>
        <v>105552.85999999999</v>
      </c>
      <c r="D422" s="62">
        <f>+Tabla13[[#This Row],[PRECIO INSTALADOR (IVA INCLUIDO)]]-F422</f>
        <v>100275.21699999999</v>
      </c>
      <c r="E422" s="62">
        <f>+Tabla13[[#This Row],[PRECIO INSTALADOR (IVA INCLUIDO)]]/0.7</f>
        <v>150789.79999999999</v>
      </c>
      <c r="F422" s="61">
        <f>+Tabla13[[#This Row],[PRECIO INSTALADOR (IVA INCLUIDO)]]*5%</f>
        <v>5277.643</v>
      </c>
      <c r="G422" s="12">
        <v>0.85</v>
      </c>
      <c r="H422" s="11">
        <f>Tabla13[[#This Row],[COSTO]]*1.19</f>
        <v>89719.930999999982</v>
      </c>
      <c r="I422" s="10"/>
      <c r="J422" s="9"/>
      <c r="K422" s="66">
        <v>75394.899999999994</v>
      </c>
    </row>
    <row r="423" spans="1:11" ht="12.75" x14ac:dyDescent="0.2">
      <c r="A423" s="75" t="s">
        <v>837</v>
      </c>
      <c r="B423" s="63" t="s">
        <v>836</v>
      </c>
      <c r="C423" s="62">
        <f>+Tabla13[[#This Row],[Columna6]]/Tabla13[[#This Row],[Columna5]]</f>
        <v>106646.26</v>
      </c>
      <c r="D423" s="62">
        <f>+Tabla13[[#This Row],[PRECIO INSTALADOR (IVA INCLUIDO)]]-F423</f>
        <v>101313.947</v>
      </c>
      <c r="E423" s="62">
        <f>+Tabla13[[#This Row],[PRECIO INSTALADOR (IVA INCLUIDO)]]/0.7</f>
        <v>152351.79999999999</v>
      </c>
      <c r="F423" s="61">
        <f>+Tabla13[[#This Row],[PRECIO INSTALADOR (IVA INCLUIDO)]]*5%</f>
        <v>5332.3130000000001</v>
      </c>
      <c r="G423" s="12">
        <v>0.85</v>
      </c>
      <c r="H423" s="11">
        <f>Tabla13[[#This Row],[COSTO]]*1.19</f>
        <v>90649.320999999996</v>
      </c>
      <c r="I423" s="10"/>
      <c r="J423" s="9"/>
      <c r="K423" s="66">
        <v>76175.899999999994</v>
      </c>
    </row>
    <row r="424" spans="1:11" ht="12.75" x14ac:dyDescent="0.2">
      <c r="A424" s="75" t="s">
        <v>835</v>
      </c>
      <c r="B424" s="63" t="s">
        <v>834</v>
      </c>
      <c r="C424" s="62">
        <f>+Tabla13[[#This Row],[Columna6]]/Tabla13[[#This Row],[Columna5]]</f>
        <v>106646.26</v>
      </c>
      <c r="D424" s="62">
        <f>+Tabla13[[#This Row],[PRECIO INSTALADOR (IVA INCLUIDO)]]-F424</f>
        <v>101313.947</v>
      </c>
      <c r="E424" s="62">
        <f>+Tabla13[[#This Row],[PRECIO INSTALADOR (IVA INCLUIDO)]]/0.7</f>
        <v>152351.79999999999</v>
      </c>
      <c r="F424" s="61">
        <f>+Tabla13[[#This Row],[PRECIO INSTALADOR (IVA INCLUIDO)]]*5%</f>
        <v>5332.3130000000001</v>
      </c>
      <c r="G424" s="12">
        <v>0.85</v>
      </c>
      <c r="H424" s="11">
        <f>Tabla13[[#This Row],[COSTO]]*1.19</f>
        <v>90649.320999999996</v>
      </c>
      <c r="I424" s="10"/>
      <c r="J424" s="9"/>
      <c r="K424" s="66">
        <v>76175.899999999994</v>
      </c>
    </row>
    <row r="425" spans="1:11" ht="12.75" x14ac:dyDescent="0.2">
      <c r="A425" s="75" t="s">
        <v>833</v>
      </c>
      <c r="B425" s="63" t="s">
        <v>832</v>
      </c>
      <c r="C425" s="62">
        <f>+Tabla13[[#This Row],[Columna6]]/Tabla13[[#This Row],[Columna5]]</f>
        <v>107839.05999999998</v>
      </c>
      <c r="D425" s="62">
        <f>+Tabla13[[#This Row],[PRECIO INSTALADOR (IVA INCLUIDO)]]-F425</f>
        <v>102447.10699999999</v>
      </c>
      <c r="E425" s="62">
        <f>+Tabla13[[#This Row],[PRECIO INSTALADOR (IVA INCLUIDO)]]/0.7</f>
        <v>154055.79999999999</v>
      </c>
      <c r="F425" s="61">
        <f>+Tabla13[[#This Row],[PRECIO INSTALADOR (IVA INCLUIDO)]]*5%</f>
        <v>5391.9529999999995</v>
      </c>
      <c r="G425" s="12">
        <v>0.85</v>
      </c>
      <c r="H425" s="11">
        <f>Tabla13[[#This Row],[COSTO]]*1.19</f>
        <v>91663.200999999986</v>
      </c>
      <c r="I425" s="10"/>
      <c r="J425" s="9"/>
      <c r="K425" s="66">
        <v>77027.899999999994</v>
      </c>
    </row>
    <row r="426" spans="1:11" ht="12.75" x14ac:dyDescent="0.2">
      <c r="A426" s="75" t="s">
        <v>831</v>
      </c>
      <c r="B426" s="63" t="s">
        <v>830</v>
      </c>
      <c r="C426" s="62">
        <f>+Tabla13[[#This Row],[Columna6]]/Tabla13[[#This Row],[Columna5]]</f>
        <v>110125.26</v>
      </c>
      <c r="D426" s="62">
        <f>+Tabla13[[#This Row],[PRECIO INSTALADOR (IVA INCLUIDO)]]-F426</f>
        <v>104618.99699999999</v>
      </c>
      <c r="E426" s="62">
        <f>+Tabla13[[#This Row],[PRECIO INSTALADOR (IVA INCLUIDO)]]/0.7</f>
        <v>157321.79999999999</v>
      </c>
      <c r="F426" s="61">
        <f>+Tabla13[[#This Row],[PRECIO INSTALADOR (IVA INCLUIDO)]]*5%</f>
        <v>5506.2629999999999</v>
      </c>
      <c r="G426" s="12">
        <v>0.85</v>
      </c>
      <c r="H426" s="11">
        <f>Tabla13[[#This Row],[COSTO]]*1.19</f>
        <v>93606.47099999999</v>
      </c>
      <c r="I426" s="10"/>
      <c r="J426" s="9"/>
      <c r="K426" s="66">
        <v>78660.899999999994</v>
      </c>
    </row>
    <row r="427" spans="1:11" ht="12.75" x14ac:dyDescent="0.2">
      <c r="A427" s="75" t="s">
        <v>829</v>
      </c>
      <c r="B427" s="63" t="s">
        <v>828</v>
      </c>
      <c r="C427" s="62">
        <f>+Tabla13[[#This Row],[Columna6]]/Tabla13[[#This Row],[Columna5]]</f>
        <v>110125.26</v>
      </c>
      <c r="D427" s="62">
        <f>+Tabla13[[#This Row],[PRECIO INSTALADOR (IVA INCLUIDO)]]-F427</f>
        <v>104618.99699999999</v>
      </c>
      <c r="E427" s="62">
        <f>+Tabla13[[#This Row],[PRECIO INSTALADOR (IVA INCLUIDO)]]/0.7</f>
        <v>157321.79999999999</v>
      </c>
      <c r="F427" s="61">
        <f>+Tabla13[[#This Row],[PRECIO INSTALADOR (IVA INCLUIDO)]]*5%</f>
        <v>5506.2629999999999</v>
      </c>
      <c r="G427" s="12">
        <v>0.85</v>
      </c>
      <c r="H427" s="11">
        <f>Tabla13[[#This Row],[COSTO]]*1.19</f>
        <v>93606.47099999999</v>
      </c>
      <c r="I427" s="10"/>
      <c r="J427" s="9"/>
      <c r="K427" s="66">
        <v>78660.899999999994</v>
      </c>
    </row>
    <row r="428" spans="1:11" ht="12.75" x14ac:dyDescent="0.2">
      <c r="A428" s="82"/>
      <c r="B428" s="64" t="s">
        <v>827</v>
      </c>
      <c r="C428" s="81"/>
      <c r="D428" s="81"/>
      <c r="E428" s="81"/>
      <c r="F428" s="61">
        <f>+Tabla13[[#This Row],[PRECIO INSTALADOR (IVA INCLUIDO)]]*5%</f>
        <v>0</v>
      </c>
      <c r="G428" s="12">
        <v>0.85</v>
      </c>
      <c r="H428" s="11" t="e">
        <f>Tabla13[[#This Row],[COSTO]]*1.19</f>
        <v>#VALUE!</v>
      </c>
      <c r="I428" s="10"/>
      <c r="J428" s="9"/>
      <c r="K428" s="66" t="s">
        <v>261</v>
      </c>
    </row>
    <row r="429" spans="1:11" ht="12.75" x14ac:dyDescent="0.2">
      <c r="A429" s="75" t="s">
        <v>826</v>
      </c>
      <c r="B429" s="63" t="s">
        <v>825</v>
      </c>
      <c r="C429" s="62">
        <f>+Tabla13[[#This Row],[Columna6]]/Tabla13[[#This Row],[Columna5]]</f>
        <v>91040.46</v>
      </c>
      <c r="D429" s="62">
        <f>+Tabla13[[#This Row],[PRECIO INSTALADOR (IVA INCLUIDO)]]-F429</f>
        <v>86488.437000000005</v>
      </c>
      <c r="E429" s="62">
        <f>+Tabla13[[#This Row],[PRECIO INSTALADOR (IVA INCLUIDO)]]/0.7</f>
        <v>130057.80000000002</v>
      </c>
      <c r="F429" s="61">
        <f>+Tabla13[[#This Row],[PRECIO INSTALADOR (IVA INCLUIDO)]]*5%</f>
        <v>4552.0230000000001</v>
      </c>
      <c r="G429" s="12">
        <v>0.85</v>
      </c>
      <c r="H429" s="11">
        <f>Tabla13[[#This Row],[COSTO]]*1.19</f>
        <v>77384.391000000003</v>
      </c>
      <c r="I429" s="10"/>
      <c r="J429" s="9"/>
      <c r="K429" s="66">
        <v>65028.9</v>
      </c>
    </row>
    <row r="430" spans="1:11" ht="12.75" x14ac:dyDescent="0.2">
      <c r="A430" s="75" t="s">
        <v>824</v>
      </c>
      <c r="B430" s="63" t="s">
        <v>823</v>
      </c>
      <c r="C430" s="62">
        <f>+Tabla13[[#This Row],[Columna6]]/Tabla13[[#This Row],[Columna5]]</f>
        <v>92133.859999999986</v>
      </c>
      <c r="D430" s="62">
        <f>+Tabla13[[#This Row],[PRECIO INSTALADOR (IVA INCLUIDO)]]-F430</f>
        <v>87527.166999999987</v>
      </c>
      <c r="E430" s="62">
        <f>+Tabla13[[#This Row],[PRECIO INSTALADOR (IVA INCLUIDO)]]/0.7</f>
        <v>131619.79999999999</v>
      </c>
      <c r="F430" s="61">
        <f>+Tabla13[[#This Row],[PRECIO INSTALADOR (IVA INCLUIDO)]]*5%</f>
        <v>4606.6929999999993</v>
      </c>
      <c r="G430" s="12">
        <v>0.85</v>
      </c>
      <c r="H430" s="11">
        <f>Tabla13[[#This Row],[COSTO]]*1.19</f>
        <v>78313.780999999988</v>
      </c>
      <c r="I430" s="10"/>
      <c r="J430" s="9"/>
      <c r="K430" s="66">
        <v>65809.899999999994</v>
      </c>
    </row>
    <row r="431" spans="1:11" ht="12.75" x14ac:dyDescent="0.2">
      <c r="A431" s="75" t="s">
        <v>822</v>
      </c>
      <c r="B431" s="63" t="s">
        <v>821</v>
      </c>
      <c r="C431" s="62">
        <f>+Tabla13[[#This Row],[Columna6]]/Tabla13[[#This Row],[Columna5]]</f>
        <v>92133.859999999986</v>
      </c>
      <c r="D431" s="62">
        <f>+Tabla13[[#This Row],[PRECIO INSTALADOR (IVA INCLUIDO)]]-F431</f>
        <v>87527.166999999987</v>
      </c>
      <c r="E431" s="62">
        <f>+Tabla13[[#This Row],[PRECIO INSTALADOR (IVA INCLUIDO)]]/0.7</f>
        <v>131619.79999999999</v>
      </c>
      <c r="F431" s="61">
        <f>+Tabla13[[#This Row],[PRECIO INSTALADOR (IVA INCLUIDO)]]*5%</f>
        <v>4606.6929999999993</v>
      </c>
      <c r="G431" s="12">
        <v>0.85</v>
      </c>
      <c r="H431" s="11">
        <f>Tabla13[[#This Row],[COSTO]]*1.19</f>
        <v>78313.780999999988</v>
      </c>
      <c r="I431" s="10"/>
      <c r="J431" s="9"/>
      <c r="K431" s="66">
        <v>65809.899999999994</v>
      </c>
    </row>
    <row r="432" spans="1:11" ht="12.75" x14ac:dyDescent="0.2">
      <c r="A432" s="75" t="s">
        <v>820</v>
      </c>
      <c r="B432" s="63" t="s">
        <v>819</v>
      </c>
      <c r="C432" s="62">
        <f>+Tabla13[[#This Row],[Columna6]]/Tabla13[[#This Row],[Columna5]]</f>
        <v>91040.46</v>
      </c>
      <c r="D432" s="62">
        <f>+Tabla13[[#This Row],[PRECIO INSTALADOR (IVA INCLUIDO)]]-F432</f>
        <v>86488.437000000005</v>
      </c>
      <c r="E432" s="62">
        <f>+Tabla13[[#This Row],[PRECIO INSTALADOR (IVA INCLUIDO)]]/0.7</f>
        <v>130057.80000000002</v>
      </c>
      <c r="F432" s="61">
        <f>+Tabla13[[#This Row],[PRECIO INSTALADOR (IVA INCLUIDO)]]*5%</f>
        <v>4552.0230000000001</v>
      </c>
      <c r="G432" s="12">
        <v>0.85</v>
      </c>
      <c r="H432" s="11">
        <f>Tabla13[[#This Row],[COSTO]]*1.19</f>
        <v>77384.391000000003</v>
      </c>
      <c r="I432" s="10"/>
      <c r="J432" s="9"/>
      <c r="K432" s="66">
        <v>65028.9</v>
      </c>
    </row>
    <row r="433" spans="1:11" ht="12.75" x14ac:dyDescent="0.2">
      <c r="A433" s="75" t="s">
        <v>818</v>
      </c>
      <c r="B433" s="63" t="s">
        <v>817</v>
      </c>
      <c r="C433" s="62">
        <f>+Tabla13[[#This Row],[Columna6]]/Tabla13[[#This Row],[Columna5]]</f>
        <v>92133.859999999986</v>
      </c>
      <c r="D433" s="62">
        <f>+Tabla13[[#This Row],[PRECIO INSTALADOR (IVA INCLUIDO)]]-F433</f>
        <v>87527.166999999987</v>
      </c>
      <c r="E433" s="62">
        <f>+Tabla13[[#This Row],[PRECIO INSTALADOR (IVA INCLUIDO)]]/0.7</f>
        <v>131619.79999999999</v>
      </c>
      <c r="F433" s="61">
        <f>+Tabla13[[#This Row],[PRECIO INSTALADOR (IVA INCLUIDO)]]*5%</f>
        <v>4606.6929999999993</v>
      </c>
      <c r="G433" s="12">
        <v>0.85</v>
      </c>
      <c r="H433" s="11">
        <f>Tabla13[[#This Row],[COSTO]]*1.19</f>
        <v>78313.780999999988</v>
      </c>
      <c r="I433" s="10"/>
      <c r="J433" s="9"/>
      <c r="K433" s="66">
        <v>65809.899999999994</v>
      </c>
    </row>
    <row r="434" spans="1:11" ht="12.75" x14ac:dyDescent="0.2">
      <c r="A434" s="75" t="s">
        <v>816</v>
      </c>
      <c r="B434" s="63" t="s">
        <v>815</v>
      </c>
      <c r="C434" s="62">
        <f>+Tabla13[[#This Row],[Columna6]]/Tabla13[[#This Row],[Columna5]]</f>
        <v>92133.859999999986</v>
      </c>
      <c r="D434" s="62">
        <f>+Tabla13[[#This Row],[PRECIO INSTALADOR (IVA INCLUIDO)]]-F434</f>
        <v>87527.166999999987</v>
      </c>
      <c r="E434" s="62">
        <f>+Tabla13[[#This Row],[PRECIO INSTALADOR (IVA INCLUIDO)]]/0.7</f>
        <v>131619.79999999999</v>
      </c>
      <c r="F434" s="61">
        <f>+Tabla13[[#This Row],[PRECIO INSTALADOR (IVA INCLUIDO)]]*5%</f>
        <v>4606.6929999999993</v>
      </c>
      <c r="G434" s="12">
        <v>0.85</v>
      </c>
      <c r="H434" s="11">
        <f>Tabla13[[#This Row],[COSTO]]*1.19</f>
        <v>78313.780999999988</v>
      </c>
      <c r="I434" s="10"/>
      <c r="J434" s="9"/>
      <c r="K434" s="66">
        <v>65809.899999999994</v>
      </c>
    </row>
    <row r="435" spans="1:11" ht="12.75" x14ac:dyDescent="0.2">
      <c r="A435" s="75" t="s">
        <v>814</v>
      </c>
      <c r="B435" s="63" t="s">
        <v>813</v>
      </c>
      <c r="C435" s="62">
        <f>+Tabla13[[#This Row],[Columna6]]/Tabla13[[#This Row],[Columna5]]</f>
        <v>94221.26</v>
      </c>
      <c r="D435" s="62">
        <f>+Tabla13[[#This Row],[PRECIO INSTALADOR (IVA INCLUIDO)]]-F435</f>
        <v>89510.197</v>
      </c>
      <c r="E435" s="62">
        <f>+Tabla13[[#This Row],[PRECIO INSTALADOR (IVA INCLUIDO)]]/0.7</f>
        <v>134601.79999999999</v>
      </c>
      <c r="F435" s="61">
        <f>+Tabla13[[#This Row],[PRECIO INSTALADOR (IVA INCLUIDO)]]*5%</f>
        <v>4711.0630000000001</v>
      </c>
      <c r="G435" s="12">
        <v>0.85</v>
      </c>
      <c r="H435" s="11">
        <f>Tabla13[[#This Row],[COSTO]]*1.19</f>
        <v>80088.070999999996</v>
      </c>
      <c r="I435" s="10"/>
      <c r="J435" s="9"/>
      <c r="K435" s="66">
        <v>67300.899999999994</v>
      </c>
    </row>
    <row r="436" spans="1:11" ht="12.75" x14ac:dyDescent="0.2">
      <c r="A436" s="75" t="s">
        <v>812</v>
      </c>
      <c r="B436" s="63" t="s">
        <v>811</v>
      </c>
      <c r="C436" s="62">
        <f>+Tabla13[[#This Row],[Columna6]]/Tabla13[[#This Row],[Columna5]]</f>
        <v>95314.66</v>
      </c>
      <c r="D436" s="62">
        <f>+Tabla13[[#This Row],[PRECIO INSTALADOR (IVA INCLUIDO)]]-F436</f>
        <v>90548.926999999996</v>
      </c>
      <c r="E436" s="62">
        <f>+Tabla13[[#This Row],[PRECIO INSTALADOR (IVA INCLUIDO)]]/0.7</f>
        <v>136163.80000000002</v>
      </c>
      <c r="F436" s="61">
        <f>+Tabla13[[#This Row],[PRECIO INSTALADOR (IVA INCLUIDO)]]*5%</f>
        <v>4765.7330000000002</v>
      </c>
      <c r="G436" s="12">
        <v>0.85</v>
      </c>
      <c r="H436" s="11">
        <f>Tabla13[[#This Row],[COSTO]]*1.19</f>
        <v>81017.460999999996</v>
      </c>
      <c r="I436" s="10"/>
      <c r="J436" s="9"/>
      <c r="K436" s="66">
        <v>68081.899999999994</v>
      </c>
    </row>
    <row r="437" spans="1:11" ht="12.75" x14ac:dyDescent="0.2">
      <c r="A437" s="75" t="s">
        <v>810</v>
      </c>
      <c r="B437" s="63" t="s">
        <v>809</v>
      </c>
      <c r="C437" s="62">
        <f>+Tabla13[[#This Row],[Columna6]]/Tabla13[[#This Row],[Columna5]]</f>
        <v>95314.66</v>
      </c>
      <c r="D437" s="62">
        <f>+Tabla13[[#This Row],[PRECIO INSTALADOR (IVA INCLUIDO)]]-F437</f>
        <v>90548.926999999996</v>
      </c>
      <c r="E437" s="62">
        <f>+Tabla13[[#This Row],[PRECIO INSTALADOR (IVA INCLUIDO)]]/0.7</f>
        <v>136163.80000000002</v>
      </c>
      <c r="F437" s="61">
        <f>+Tabla13[[#This Row],[PRECIO INSTALADOR (IVA INCLUIDO)]]*5%</f>
        <v>4765.7330000000002</v>
      </c>
      <c r="G437" s="12">
        <v>0.85</v>
      </c>
      <c r="H437" s="11">
        <f>Tabla13[[#This Row],[COSTO]]*1.19</f>
        <v>81017.460999999996</v>
      </c>
      <c r="I437" s="10"/>
      <c r="J437" s="9"/>
      <c r="K437" s="66">
        <v>68081.899999999994</v>
      </c>
    </row>
    <row r="438" spans="1:11" ht="12.75" x14ac:dyDescent="0.2">
      <c r="A438" s="105"/>
      <c r="B438" s="104" t="s">
        <v>808</v>
      </c>
      <c r="C438" s="103"/>
      <c r="D438" s="103"/>
      <c r="E438" s="103"/>
      <c r="F438" s="102">
        <f>+Tabla13[[#This Row],[PRECIO INSTALADOR (IVA INCLUIDO)]]*5%</f>
        <v>0</v>
      </c>
      <c r="G438" s="12">
        <v>0.85</v>
      </c>
      <c r="H438" s="11">
        <f>Tabla13[[#This Row],[COSTO]]*1.19</f>
        <v>0</v>
      </c>
      <c r="I438" s="10"/>
      <c r="J438" s="9"/>
      <c r="K438" s="66"/>
    </row>
    <row r="439" spans="1:11" ht="12.75" x14ac:dyDescent="0.2">
      <c r="A439" s="86" t="s">
        <v>807</v>
      </c>
      <c r="B439" s="85" t="s">
        <v>806</v>
      </c>
      <c r="C439" s="84">
        <f>+Tabla13[[#This Row],[Columna6]]/Tabla13[[#This Row],[Columna5]]</f>
        <v>58437.26</v>
      </c>
      <c r="D439" s="84">
        <f>+Tabla13[[#This Row],[PRECIO INSTALADOR (IVA INCLUIDO)]]-F439</f>
        <v>55515.397000000004</v>
      </c>
      <c r="E439" s="84">
        <f>+Tabla13[[#This Row],[PRECIO INSTALADOR (IVA INCLUIDO)]]/0.7</f>
        <v>83481.8</v>
      </c>
      <c r="F439" s="83">
        <f>+Tabla13[[#This Row],[PRECIO INSTALADOR (IVA INCLUIDO)]]*5%</f>
        <v>2921.8630000000003</v>
      </c>
      <c r="G439" s="12">
        <v>0.85</v>
      </c>
      <c r="H439" s="11">
        <f>Tabla13[[#This Row],[COSTO]]*1.19</f>
        <v>49671.671000000002</v>
      </c>
      <c r="I439" s="10"/>
      <c r="J439" s="9"/>
      <c r="K439" s="66">
        <v>41740.9</v>
      </c>
    </row>
    <row r="440" spans="1:11" ht="12.75" x14ac:dyDescent="0.2">
      <c r="A440" s="86" t="s">
        <v>805</v>
      </c>
      <c r="B440" s="85" t="s">
        <v>804</v>
      </c>
      <c r="C440" s="84">
        <f>+Tabla13[[#This Row],[Columna6]]/Tabla13[[#This Row],[Columna5]]</f>
        <v>59530.66</v>
      </c>
      <c r="D440" s="84">
        <f>+Tabla13[[#This Row],[PRECIO INSTALADOR (IVA INCLUIDO)]]-F440</f>
        <v>56554.127</v>
      </c>
      <c r="E440" s="84">
        <f>+Tabla13[[#This Row],[PRECIO INSTALADOR (IVA INCLUIDO)]]/0.7</f>
        <v>85043.800000000017</v>
      </c>
      <c r="F440" s="83">
        <f>+Tabla13[[#This Row],[PRECIO INSTALADOR (IVA INCLUIDO)]]*5%</f>
        <v>2976.5330000000004</v>
      </c>
      <c r="G440" s="12">
        <v>0.85</v>
      </c>
      <c r="H440" s="11">
        <f>Tabla13[[#This Row],[COSTO]]*1.19</f>
        <v>50601.061000000002</v>
      </c>
      <c r="I440" s="10"/>
      <c r="J440" s="9"/>
      <c r="K440" s="66">
        <v>42521.9</v>
      </c>
    </row>
    <row r="441" spans="1:11" ht="12.75" x14ac:dyDescent="0.2">
      <c r="A441" s="76"/>
      <c r="B441" s="69" t="s">
        <v>704</v>
      </c>
      <c r="C441" s="68"/>
      <c r="D441" s="68"/>
      <c r="E441" s="68"/>
      <c r="F441" s="67">
        <f>+Tabla13[[#This Row],[PRECIO INSTALADOR (IVA INCLUIDO)]]*5%</f>
        <v>0</v>
      </c>
      <c r="G441" s="12">
        <v>0.85</v>
      </c>
      <c r="H441" s="11">
        <f>Tabla13[[#This Row],[COSTO]]*1.19</f>
        <v>0</v>
      </c>
      <c r="I441" s="10"/>
      <c r="J441" s="9"/>
      <c r="K441" s="66"/>
    </row>
    <row r="442" spans="1:11" ht="12.75" x14ac:dyDescent="0.2">
      <c r="A442" s="82"/>
      <c r="B442" s="64" t="s">
        <v>803</v>
      </c>
      <c r="C442" s="81"/>
      <c r="D442" s="81"/>
      <c r="E442" s="81"/>
      <c r="F442" s="61">
        <f>+Tabla13[[#This Row],[PRECIO INSTALADOR (IVA INCLUIDO)]]*5%</f>
        <v>0</v>
      </c>
      <c r="G442" s="12">
        <v>0.85</v>
      </c>
      <c r="H442" s="11" t="e">
        <f>Tabla13[[#This Row],[COSTO]]*1.19</f>
        <v>#VALUE!</v>
      </c>
      <c r="I442" s="10"/>
      <c r="J442" s="9"/>
      <c r="K442" s="66" t="s">
        <v>261</v>
      </c>
    </row>
    <row r="443" spans="1:11" ht="12.75" x14ac:dyDescent="0.2">
      <c r="A443" s="75" t="s">
        <v>802</v>
      </c>
      <c r="B443" s="63" t="s">
        <v>801</v>
      </c>
      <c r="C443" s="62">
        <f>+Tabla13[[#This Row],[Columna6]]/Tabla13[[#This Row],[Columna5]]</f>
        <v>203163.65999999997</v>
      </c>
      <c r="D443" s="62">
        <f>+Tabla13[[#This Row],[PRECIO INSTALADOR (IVA INCLUIDO)]]-F443</f>
        <v>193005.47699999998</v>
      </c>
      <c r="E443" s="62">
        <f>+Tabla13[[#This Row],[PRECIO INSTALADOR (IVA INCLUIDO)]]/0.7</f>
        <v>290233.8</v>
      </c>
      <c r="F443" s="61">
        <f>+Tabla13[[#This Row],[PRECIO INSTALADOR (IVA INCLUIDO)]]*5%</f>
        <v>10158.182999999999</v>
      </c>
      <c r="G443" s="12">
        <v>0.85</v>
      </c>
      <c r="H443" s="11">
        <f>Tabla13[[#This Row],[COSTO]]*1.19</f>
        <v>172689.11099999998</v>
      </c>
      <c r="I443" s="10"/>
      <c r="J443" s="9"/>
      <c r="K443" s="66">
        <v>145116.9</v>
      </c>
    </row>
    <row r="444" spans="1:11" ht="12.75" x14ac:dyDescent="0.2">
      <c r="A444" s="75" t="s">
        <v>800</v>
      </c>
      <c r="B444" s="63" t="s">
        <v>799</v>
      </c>
      <c r="C444" s="62">
        <f>+Tabla13[[#This Row],[Columna6]]/Tabla13[[#This Row],[Columna5]]</f>
        <v>203163.65999999997</v>
      </c>
      <c r="D444" s="62">
        <f>+Tabla13[[#This Row],[PRECIO INSTALADOR (IVA INCLUIDO)]]-F444</f>
        <v>193005.47699999998</v>
      </c>
      <c r="E444" s="62">
        <f>+Tabla13[[#This Row],[PRECIO INSTALADOR (IVA INCLUIDO)]]/0.7</f>
        <v>290233.8</v>
      </c>
      <c r="F444" s="61">
        <f>+Tabla13[[#This Row],[PRECIO INSTALADOR (IVA INCLUIDO)]]*5%</f>
        <v>10158.182999999999</v>
      </c>
      <c r="G444" s="12">
        <v>0.85</v>
      </c>
      <c r="H444" s="11">
        <f>Tabla13[[#This Row],[COSTO]]*1.19</f>
        <v>172689.11099999998</v>
      </c>
      <c r="I444" s="10"/>
      <c r="J444" s="9"/>
      <c r="K444" s="66">
        <v>145116.9</v>
      </c>
    </row>
    <row r="445" spans="1:11" ht="12.75" x14ac:dyDescent="0.2">
      <c r="A445" s="82"/>
      <c r="B445" s="64" t="s">
        <v>798</v>
      </c>
      <c r="C445" s="81"/>
      <c r="D445" s="81"/>
      <c r="E445" s="81"/>
      <c r="F445" s="61">
        <f>+Tabla13[[#This Row],[PRECIO INSTALADOR (IVA INCLUIDO)]]*5%</f>
        <v>0</v>
      </c>
      <c r="G445" s="12">
        <v>0.85</v>
      </c>
      <c r="H445" s="11" t="e">
        <f>Tabla13[[#This Row],[COSTO]]*1.19</f>
        <v>#VALUE!</v>
      </c>
      <c r="I445" s="10"/>
      <c r="J445" s="9"/>
      <c r="K445" s="66" t="s">
        <v>261</v>
      </c>
    </row>
    <row r="446" spans="1:11" ht="12.75" x14ac:dyDescent="0.2">
      <c r="A446" s="75" t="s">
        <v>797</v>
      </c>
      <c r="B446" s="63" t="s">
        <v>796</v>
      </c>
      <c r="C446" s="62">
        <f>+Tabla13[[#This Row],[Columna6]]/Tabla13[[#This Row],[Columna5]]</f>
        <v>148096.06</v>
      </c>
      <c r="D446" s="62">
        <f>+Tabla13[[#This Row],[PRECIO INSTALADOR (IVA INCLUIDO)]]-F446</f>
        <v>140691.25699999998</v>
      </c>
      <c r="E446" s="62">
        <f>+Tabla13[[#This Row],[PRECIO INSTALADOR (IVA INCLUIDO)]]/0.7</f>
        <v>211565.80000000002</v>
      </c>
      <c r="F446" s="61">
        <f>+Tabla13[[#This Row],[PRECIO INSTALADOR (IVA INCLUIDO)]]*5%</f>
        <v>7404.8029999999999</v>
      </c>
      <c r="G446" s="12">
        <v>0.85</v>
      </c>
      <c r="H446" s="11">
        <f>Tabla13[[#This Row],[COSTO]]*1.19</f>
        <v>125881.65099999998</v>
      </c>
      <c r="I446" s="10"/>
      <c r="J446" s="9"/>
      <c r="K446" s="66">
        <v>105782.9</v>
      </c>
    </row>
    <row r="447" spans="1:11" ht="12.75" x14ac:dyDescent="0.2">
      <c r="A447" s="75" t="s">
        <v>795</v>
      </c>
      <c r="B447" s="63" t="s">
        <v>794</v>
      </c>
      <c r="C447" s="62">
        <f>+Tabla13[[#This Row],[Columna6]]/Tabla13[[#This Row],[Columna5]]</f>
        <v>165888.65999999997</v>
      </c>
      <c r="D447" s="62">
        <f>+Tabla13[[#This Row],[PRECIO INSTALADOR (IVA INCLUIDO)]]-F447</f>
        <v>157594.22699999998</v>
      </c>
      <c r="E447" s="62">
        <f>+Tabla13[[#This Row],[PRECIO INSTALADOR (IVA INCLUIDO)]]/0.7</f>
        <v>236983.8</v>
      </c>
      <c r="F447" s="61">
        <f>+Tabla13[[#This Row],[PRECIO INSTALADOR (IVA INCLUIDO)]]*5%</f>
        <v>8294.4329999999991</v>
      </c>
      <c r="G447" s="12">
        <v>0.85</v>
      </c>
      <c r="H447" s="11">
        <f>Tabla13[[#This Row],[COSTO]]*1.19</f>
        <v>141005.36099999998</v>
      </c>
      <c r="I447" s="10"/>
      <c r="J447" s="9"/>
      <c r="K447" s="66">
        <v>118491.9</v>
      </c>
    </row>
    <row r="448" spans="1:11" ht="12.75" x14ac:dyDescent="0.2">
      <c r="A448" s="75" t="s">
        <v>793</v>
      </c>
      <c r="B448" s="63" t="s">
        <v>792</v>
      </c>
      <c r="C448" s="62">
        <f>+Tabla13[[#This Row],[Columna6]]/Tabla13[[#This Row],[Columna5]]</f>
        <v>165888.65999999997</v>
      </c>
      <c r="D448" s="62">
        <f>+Tabla13[[#This Row],[PRECIO INSTALADOR (IVA INCLUIDO)]]-F448</f>
        <v>157594.22699999998</v>
      </c>
      <c r="E448" s="62">
        <f>+Tabla13[[#This Row],[PRECIO INSTALADOR (IVA INCLUIDO)]]/0.7</f>
        <v>236983.8</v>
      </c>
      <c r="F448" s="61">
        <f>+Tabla13[[#This Row],[PRECIO INSTALADOR (IVA INCLUIDO)]]*5%</f>
        <v>8294.4329999999991</v>
      </c>
      <c r="G448" s="12">
        <v>0.85</v>
      </c>
      <c r="H448" s="11">
        <f>Tabla13[[#This Row],[COSTO]]*1.19</f>
        <v>141005.36099999998</v>
      </c>
      <c r="I448" s="10"/>
      <c r="J448" s="9"/>
      <c r="K448" s="66">
        <v>118491.9</v>
      </c>
    </row>
    <row r="449" spans="1:11" ht="12.75" x14ac:dyDescent="0.2">
      <c r="A449" s="75" t="s">
        <v>791</v>
      </c>
      <c r="B449" s="63" t="s">
        <v>790</v>
      </c>
      <c r="C449" s="62">
        <f>+Tabla13[[#This Row],[Columna6]]/Tabla13[[#This Row],[Columna5]]</f>
        <v>165888.65999999997</v>
      </c>
      <c r="D449" s="62">
        <f>+Tabla13[[#This Row],[PRECIO INSTALADOR (IVA INCLUIDO)]]-F449</f>
        <v>157594.22699999998</v>
      </c>
      <c r="E449" s="62">
        <f>+Tabla13[[#This Row],[PRECIO INSTALADOR (IVA INCLUIDO)]]/0.7</f>
        <v>236983.8</v>
      </c>
      <c r="F449" s="61">
        <f>+Tabla13[[#This Row],[PRECIO INSTALADOR (IVA INCLUIDO)]]*5%</f>
        <v>8294.4329999999991</v>
      </c>
      <c r="G449" s="12">
        <v>0.85</v>
      </c>
      <c r="H449" s="11">
        <f>Tabla13[[#This Row],[COSTO]]*1.19</f>
        <v>141005.36099999998</v>
      </c>
      <c r="I449" s="10"/>
      <c r="J449" s="9"/>
      <c r="K449" s="66">
        <v>118491.9</v>
      </c>
    </row>
    <row r="450" spans="1:11" ht="12.75" x14ac:dyDescent="0.2">
      <c r="A450" s="82"/>
      <c r="B450" s="64" t="s">
        <v>789</v>
      </c>
      <c r="C450" s="81"/>
      <c r="D450" s="81"/>
      <c r="E450" s="81"/>
      <c r="F450" s="61">
        <f>+Tabla13[[#This Row],[PRECIO INSTALADOR (IVA INCLUIDO)]]*5%</f>
        <v>0</v>
      </c>
      <c r="G450" s="12">
        <v>0.85</v>
      </c>
      <c r="H450" s="11" t="e">
        <f>Tabla13[[#This Row],[COSTO]]*1.19</f>
        <v>#VALUE!</v>
      </c>
      <c r="I450" s="10"/>
      <c r="J450" s="9"/>
      <c r="K450" s="66" t="s">
        <v>261</v>
      </c>
    </row>
    <row r="451" spans="1:11" ht="12.75" x14ac:dyDescent="0.2">
      <c r="A451" s="75" t="s">
        <v>788</v>
      </c>
      <c r="B451" s="63" t="s">
        <v>787</v>
      </c>
      <c r="C451" s="62">
        <f>+Tabla13[[#This Row],[Columna6]]/Tabla13[[#This Row],[Columna5]]</f>
        <v>111516.85999999999</v>
      </c>
      <c r="D451" s="62">
        <f>+Tabla13[[#This Row],[PRECIO INSTALADOR (IVA INCLUIDO)]]-F451</f>
        <v>105941.01699999999</v>
      </c>
      <c r="E451" s="62">
        <f>+Tabla13[[#This Row],[PRECIO INSTALADOR (IVA INCLUIDO)]]/0.7</f>
        <v>159309.79999999999</v>
      </c>
      <c r="F451" s="61">
        <f>+Tabla13[[#This Row],[PRECIO INSTALADOR (IVA INCLUIDO)]]*5%</f>
        <v>5575.8429999999998</v>
      </c>
      <c r="G451" s="12">
        <v>0.85</v>
      </c>
      <c r="H451" s="11">
        <f>Tabla13[[#This Row],[COSTO]]*1.19</f>
        <v>94789.330999999991</v>
      </c>
      <c r="I451" s="10"/>
      <c r="J451" s="9"/>
      <c r="K451" s="66">
        <v>79654.899999999994</v>
      </c>
    </row>
    <row r="452" spans="1:11" ht="12.75" x14ac:dyDescent="0.2">
      <c r="A452" s="75" t="s">
        <v>786</v>
      </c>
      <c r="B452" s="63" t="s">
        <v>785</v>
      </c>
      <c r="C452" s="62">
        <f>+Tabla13[[#This Row],[Columna6]]/Tabla13[[#This Row],[Columna5]]</f>
        <v>132589.65999999997</v>
      </c>
      <c r="D452" s="62">
        <f>+Tabla13[[#This Row],[PRECIO INSTALADOR (IVA INCLUIDO)]]-F452</f>
        <v>125960.17699999998</v>
      </c>
      <c r="E452" s="62">
        <f>+Tabla13[[#This Row],[PRECIO INSTALADOR (IVA INCLUIDO)]]/0.7</f>
        <v>189413.8</v>
      </c>
      <c r="F452" s="61">
        <f>+Tabla13[[#This Row],[PRECIO INSTALADOR (IVA INCLUIDO)]]*5%</f>
        <v>6629.4829999999993</v>
      </c>
      <c r="G452" s="12">
        <v>0.85</v>
      </c>
      <c r="H452" s="11">
        <f>Tabla13[[#This Row],[COSTO]]*1.19</f>
        <v>112701.21099999998</v>
      </c>
      <c r="I452" s="10"/>
      <c r="J452" s="9"/>
      <c r="K452" s="66">
        <v>94706.9</v>
      </c>
    </row>
    <row r="453" spans="1:11" ht="12.75" x14ac:dyDescent="0.2">
      <c r="A453" s="75" t="s">
        <v>784</v>
      </c>
      <c r="B453" s="63" t="s">
        <v>783</v>
      </c>
      <c r="C453" s="62">
        <f>+Tabla13[[#This Row],[Columna6]]/Tabla13[[#This Row],[Columna5]]</f>
        <v>111516.85999999999</v>
      </c>
      <c r="D453" s="62">
        <f>+Tabla13[[#This Row],[PRECIO INSTALADOR (IVA INCLUIDO)]]-F453</f>
        <v>105941.01699999999</v>
      </c>
      <c r="E453" s="62">
        <f>+Tabla13[[#This Row],[PRECIO INSTALADOR (IVA INCLUIDO)]]/0.7</f>
        <v>159309.79999999999</v>
      </c>
      <c r="F453" s="61">
        <f>+Tabla13[[#This Row],[PRECIO INSTALADOR (IVA INCLUIDO)]]*5%</f>
        <v>5575.8429999999998</v>
      </c>
      <c r="G453" s="12">
        <v>0.85</v>
      </c>
      <c r="H453" s="11">
        <f>Tabla13[[#This Row],[COSTO]]*1.19</f>
        <v>94789.330999999991</v>
      </c>
      <c r="I453" s="10"/>
      <c r="J453" s="9"/>
      <c r="K453" s="66">
        <v>79654.899999999994</v>
      </c>
    </row>
    <row r="454" spans="1:11" ht="12.75" x14ac:dyDescent="0.2">
      <c r="A454" s="75" t="s">
        <v>782</v>
      </c>
      <c r="B454" s="63" t="s">
        <v>781</v>
      </c>
      <c r="C454" s="62">
        <f>+Tabla13[[#This Row],[Columna6]]/Tabla13[[#This Row],[Columna5]]</f>
        <v>132589.65999999997</v>
      </c>
      <c r="D454" s="62">
        <f>+Tabla13[[#This Row],[PRECIO INSTALADOR (IVA INCLUIDO)]]-F454</f>
        <v>125960.17699999998</v>
      </c>
      <c r="E454" s="62">
        <f>+Tabla13[[#This Row],[PRECIO INSTALADOR (IVA INCLUIDO)]]/0.7</f>
        <v>189413.8</v>
      </c>
      <c r="F454" s="61">
        <f>+Tabla13[[#This Row],[PRECIO INSTALADOR (IVA INCLUIDO)]]*5%</f>
        <v>6629.4829999999993</v>
      </c>
      <c r="G454" s="12">
        <v>0.85</v>
      </c>
      <c r="H454" s="11">
        <f>Tabla13[[#This Row],[COSTO]]*1.19</f>
        <v>112701.21099999998</v>
      </c>
      <c r="I454" s="10"/>
      <c r="J454" s="9"/>
      <c r="K454" s="66">
        <v>94706.9</v>
      </c>
    </row>
    <row r="455" spans="1:11" ht="12.75" x14ac:dyDescent="0.2">
      <c r="A455" s="75" t="s">
        <v>780</v>
      </c>
      <c r="B455" s="63" t="s">
        <v>779</v>
      </c>
      <c r="C455" s="62">
        <f>+Tabla13[[#This Row],[Columna6]]/Tabla13[[#This Row],[Columna5]]</f>
        <v>132589.65999999997</v>
      </c>
      <c r="D455" s="62">
        <f>+Tabla13[[#This Row],[PRECIO INSTALADOR (IVA INCLUIDO)]]-F455</f>
        <v>125960.17699999998</v>
      </c>
      <c r="E455" s="62">
        <f>+Tabla13[[#This Row],[PRECIO INSTALADOR (IVA INCLUIDO)]]/0.7</f>
        <v>189413.8</v>
      </c>
      <c r="F455" s="61">
        <f>+Tabla13[[#This Row],[PRECIO INSTALADOR (IVA INCLUIDO)]]*5%</f>
        <v>6629.4829999999993</v>
      </c>
      <c r="G455" s="12">
        <v>0.85</v>
      </c>
      <c r="H455" s="11">
        <f>Tabla13[[#This Row],[COSTO]]*1.19</f>
        <v>112701.21099999998</v>
      </c>
      <c r="I455" s="10"/>
      <c r="J455" s="9"/>
      <c r="K455" s="66">
        <v>94706.9</v>
      </c>
    </row>
    <row r="456" spans="1:11" ht="12.75" x14ac:dyDescent="0.2">
      <c r="A456" s="88" t="s">
        <v>778</v>
      </c>
      <c r="B456" s="63" t="s">
        <v>777</v>
      </c>
      <c r="C456" s="62">
        <f>+Tabla13[[#This Row],[Columna6]]/Tabla13[[#This Row],[Columna5]]</f>
        <v>122749.05999999998</v>
      </c>
      <c r="D456" s="62">
        <f>+Tabla13[[#This Row],[PRECIO INSTALADOR (IVA INCLUIDO)]]-F456</f>
        <v>116611.60699999999</v>
      </c>
      <c r="E456" s="62">
        <f>+Tabla13[[#This Row],[PRECIO INSTALADOR (IVA INCLUIDO)]]/0.7</f>
        <v>175355.8</v>
      </c>
      <c r="F456" s="61">
        <f>+Tabla13[[#This Row],[PRECIO INSTALADOR (IVA INCLUIDO)]]*5%</f>
        <v>6137.4529999999995</v>
      </c>
      <c r="G456" s="12">
        <v>0.85</v>
      </c>
      <c r="H456" s="11">
        <f>Tabla13[[#This Row],[COSTO]]*1.19</f>
        <v>104336.70099999999</v>
      </c>
      <c r="I456" s="10"/>
      <c r="J456" s="9"/>
      <c r="K456" s="66">
        <v>87677.9</v>
      </c>
    </row>
    <row r="457" spans="1:11" ht="12.75" x14ac:dyDescent="0.2">
      <c r="A457" s="75" t="s">
        <v>776</v>
      </c>
      <c r="B457" s="63" t="s">
        <v>775</v>
      </c>
      <c r="C457" s="62">
        <f>+Tabla13[[#This Row],[Columna6]]/Tabla13[[#This Row],[Columna5]]</f>
        <v>140342.85999999999</v>
      </c>
      <c r="D457" s="62">
        <f>+Tabla13[[#This Row],[PRECIO INSTALADOR (IVA INCLUIDO)]]-F457</f>
        <v>133325.71699999998</v>
      </c>
      <c r="E457" s="62">
        <f>+Tabla13[[#This Row],[PRECIO INSTALADOR (IVA INCLUIDO)]]/0.7</f>
        <v>200489.8</v>
      </c>
      <c r="F457" s="61">
        <f>+Tabla13[[#This Row],[PRECIO INSTALADOR (IVA INCLUIDO)]]*5%</f>
        <v>7017.143</v>
      </c>
      <c r="G457" s="12">
        <v>0.85</v>
      </c>
      <c r="H457" s="11">
        <f>Tabla13[[#This Row],[COSTO]]*1.19</f>
        <v>119291.43099999998</v>
      </c>
      <c r="I457" s="10"/>
      <c r="J457" s="9"/>
      <c r="K457" s="66">
        <v>100244.9</v>
      </c>
    </row>
    <row r="458" spans="1:11" ht="12.75" x14ac:dyDescent="0.2">
      <c r="A458" s="82"/>
      <c r="B458" s="64" t="s">
        <v>774</v>
      </c>
      <c r="C458" s="81"/>
      <c r="D458" s="81"/>
      <c r="E458" s="81"/>
      <c r="F458" s="61">
        <f>+Tabla13[[#This Row],[PRECIO INSTALADOR (IVA INCLUIDO)]]*5%</f>
        <v>0</v>
      </c>
      <c r="G458" s="12">
        <v>0.85</v>
      </c>
      <c r="H458" s="11" t="e">
        <f>Tabla13[[#This Row],[COSTO]]*1.19</f>
        <v>#VALUE!</v>
      </c>
      <c r="I458" s="10"/>
      <c r="J458" s="9"/>
      <c r="K458" s="66" t="s">
        <v>261</v>
      </c>
    </row>
    <row r="459" spans="1:11" ht="12.75" x14ac:dyDescent="0.2">
      <c r="A459" s="75" t="s">
        <v>773</v>
      </c>
      <c r="B459" s="63" t="s">
        <v>772</v>
      </c>
      <c r="C459" s="62">
        <f>+Tabla13[[#This Row],[Columna6]]/Tabla13[[#This Row],[Columna5]]</f>
        <v>114697.65999999999</v>
      </c>
      <c r="D459" s="62">
        <f>+Tabla13[[#This Row],[PRECIO INSTALADOR (IVA INCLUIDO)]]-F459</f>
        <v>108962.77699999999</v>
      </c>
      <c r="E459" s="62">
        <f>+Tabla13[[#This Row],[PRECIO INSTALADOR (IVA INCLUIDO)]]/0.7</f>
        <v>163853.79999999999</v>
      </c>
      <c r="F459" s="61">
        <f>+Tabla13[[#This Row],[PRECIO INSTALADOR (IVA INCLUIDO)]]*5%</f>
        <v>5734.8829999999998</v>
      </c>
      <c r="G459" s="12">
        <v>0.85</v>
      </c>
      <c r="H459" s="11">
        <f>Tabla13[[#This Row],[COSTO]]*1.19</f>
        <v>97493.010999999984</v>
      </c>
      <c r="I459" s="10"/>
      <c r="J459" s="9"/>
      <c r="K459" s="66">
        <v>81926.899999999994</v>
      </c>
    </row>
    <row r="460" spans="1:11" ht="12.75" x14ac:dyDescent="0.2">
      <c r="A460" s="82"/>
      <c r="B460" s="64" t="s">
        <v>771</v>
      </c>
      <c r="C460" s="81"/>
      <c r="D460" s="81"/>
      <c r="E460" s="81"/>
      <c r="F460" s="61">
        <f>+Tabla13[[#This Row],[PRECIO INSTALADOR (IVA INCLUIDO)]]*5%</f>
        <v>0</v>
      </c>
      <c r="G460" s="12">
        <v>0.85</v>
      </c>
      <c r="H460" s="11" t="e">
        <f>Tabla13[[#This Row],[COSTO]]*1.19</f>
        <v>#VALUE!</v>
      </c>
      <c r="I460" s="10"/>
      <c r="J460" s="9"/>
      <c r="K460" s="66" t="s">
        <v>261</v>
      </c>
    </row>
    <row r="461" spans="1:11" ht="12.75" x14ac:dyDescent="0.2">
      <c r="A461" s="75" t="s">
        <v>770</v>
      </c>
      <c r="B461" s="63" t="s">
        <v>769</v>
      </c>
      <c r="C461" s="62">
        <f>+Tabla13[[#This Row],[Columna6]]/Tabla13[[#This Row],[Columna5]]</f>
        <v>132589.65999999997</v>
      </c>
      <c r="D461" s="62">
        <f>+Tabla13[[#This Row],[PRECIO INSTALADOR (IVA INCLUIDO)]]-F461</f>
        <v>125960.17699999998</v>
      </c>
      <c r="E461" s="62">
        <f>+Tabla13[[#This Row],[PRECIO INSTALADOR (IVA INCLUIDO)]]/0.7</f>
        <v>189413.8</v>
      </c>
      <c r="F461" s="61">
        <f>+Tabla13[[#This Row],[PRECIO INSTALADOR (IVA INCLUIDO)]]*5%</f>
        <v>6629.4829999999993</v>
      </c>
      <c r="G461" s="12">
        <v>0.85</v>
      </c>
      <c r="H461" s="11">
        <f>Tabla13[[#This Row],[COSTO]]*1.19</f>
        <v>112701.21099999998</v>
      </c>
      <c r="I461" s="10"/>
      <c r="J461" s="9"/>
      <c r="K461" s="66">
        <v>94706.9</v>
      </c>
    </row>
    <row r="462" spans="1:11" ht="12.75" x14ac:dyDescent="0.2">
      <c r="A462" s="82"/>
      <c r="B462" s="64" t="s">
        <v>768</v>
      </c>
      <c r="C462" s="81"/>
      <c r="D462" s="81"/>
      <c r="E462" s="81"/>
      <c r="F462" s="61">
        <f>+Tabla13[[#This Row],[PRECIO INSTALADOR (IVA INCLUIDO)]]*5%</f>
        <v>0</v>
      </c>
      <c r="G462" s="12">
        <v>0.85</v>
      </c>
      <c r="H462" s="11" t="e">
        <f>Tabla13[[#This Row],[COSTO]]*1.19</f>
        <v>#VALUE!</v>
      </c>
      <c r="I462" s="10"/>
      <c r="J462" s="9"/>
      <c r="K462" s="66" t="s">
        <v>261</v>
      </c>
    </row>
    <row r="463" spans="1:11" ht="12.75" x14ac:dyDescent="0.2">
      <c r="A463" s="75" t="s">
        <v>767</v>
      </c>
      <c r="B463" s="63" t="s">
        <v>766</v>
      </c>
      <c r="C463" s="62">
        <f>+Tabla13[[#This Row],[Columna6]]/Tabla13[[#This Row],[Columna5]]</f>
        <v>103465.45999999999</v>
      </c>
      <c r="D463" s="62">
        <f>+Tabla13[[#This Row],[PRECIO INSTALADOR (IVA INCLUIDO)]]-F463</f>
        <v>98292.186999999991</v>
      </c>
      <c r="E463" s="62">
        <f>+Tabla13[[#This Row],[PRECIO INSTALADOR (IVA INCLUIDO)]]/0.7</f>
        <v>147807.79999999999</v>
      </c>
      <c r="F463" s="61">
        <f>+Tabla13[[#This Row],[PRECIO INSTALADOR (IVA INCLUIDO)]]*5%</f>
        <v>5173.2730000000001</v>
      </c>
      <c r="G463" s="12">
        <v>0.85</v>
      </c>
      <c r="H463" s="11">
        <f>Tabla13[[#This Row],[COSTO]]*1.19</f>
        <v>87945.640999999989</v>
      </c>
      <c r="I463" s="10"/>
      <c r="J463" s="9"/>
      <c r="K463" s="66">
        <v>73903.899999999994</v>
      </c>
    </row>
    <row r="464" spans="1:11" ht="12.75" x14ac:dyDescent="0.2">
      <c r="A464" s="75" t="s">
        <v>765</v>
      </c>
      <c r="B464" s="63" t="s">
        <v>764</v>
      </c>
      <c r="C464" s="62">
        <f>+Tabla13[[#This Row],[Columna6]]/Tabla13[[#This Row],[Columna5]]</f>
        <v>114697.65999999999</v>
      </c>
      <c r="D464" s="62">
        <f>+Tabla13[[#This Row],[PRECIO INSTALADOR (IVA INCLUIDO)]]-F464</f>
        <v>108962.77699999999</v>
      </c>
      <c r="E464" s="62">
        <f>+Tabla13[[#This Row],[PRECIO INSTALADOR (IVA INCLUIDO)]]/0.7</f>
        <v>163853.79999999999</v>
      </c>
      <c r="F464" s="61">
        <f>+Tabla13[[#This Row],[PRECIO INSTALADOR (IVA INCLUIDO)]]*5%</f>
        <v>5734.8829999999998</v>
      </c>
      <c r="G464" s="12">
        <v>0.85</v>
      </c>
      <c r="H464" s="11">
        <f>Tabla13[[#This Row],[COSTO]]*1.19</f>
        <v>97493.010999999984</v>
      </c>
      <c r="I464" s="10"/>
      <c r="J464" s="9"/>
      <c r="K464" s="66">
        <v>81926.899999999994</v>
      </c>
    </row>
    <row r="465" spans="1:11" ht="12.75" x14ac:dyDescent="0.2">
      <c r="A465" s="82"/>
      <c r="B465" s="64" t="s">
        <v>763</v>
      </c>
      <c r="C465" s="81"/>
      <c r="D465" s="81"/>
      <c r="E465" s="81"/>
      <c r="F465" s="61">
        <f>+Tabla13[[#This Row],[PRECIO INSTALADOR (IVA INCLUIDO)]]*5%</f>
        <v>0</v>
      </c>
      <c r="G465" s="12">
        <v>0.85</v>
      </c>
      <c r="H465" s="11" t="e">
        <f>Tabla13[[#This Row],[COSTO]]*1.19</f>
        <v>#VALUE!</v>
      </c>
      <c r="I465" s="10"/>
      <c r="J465" s="9"/>
      <c r="K465" s="66" t="s">
        <v>261</v>
      </c>
    </row>
    <row r="466" spans="1:11" ht="12.75" x14ac:dyDescent="0.2">
      <c r="A466" s="75" t="s">
        <v>762</v>
      </c>
      <c r="B466" s="63" t="s">
        <v>761</v>
      </c>
      <c r="C466" s="62">
        <f>+Tabla13[[#This Row],[Columna6]]/Tabla13[[#This Row],[Columna5]]</f>
        <v>77522.060000000012</v>
      </c>
      <c r="D466" s="62">
        <f>+Tabla13[[#This Row],[PRECIO INSTALADOR (IVA INCLUIDO)]]-F466</f>
        <v>73645.957000000009</v>
      </c>
      <c r="E466" s="62">
        <f>+Tabla13[[#This Row],[PRECIO INSTALADOR (IVA INCLUIDO)]]/0.7</f>
        <v>110745.80000000002</v>
      </c>
      <c r="F466" s="61">
        <f>+Tabla13[[#This Row],[PRECIO INSTALADOR (IVA INCLUIDO)]]*5%</f>
        <v>3876.103000000001</v>
      </c>
      <c r="G466" s="12">
        <v>0.85</v>
      </c>
      <c r="H466" s="11">
        <f>Tabla13[[#This Row],[COSTO]]*1.19</f>
        <v>65893.751000000004</v>
      </c>
      <c r="I466" s="10"/>
      <c r="J466" s="9"/>
      <c r="K466" s="66">
        <v>55372.9</v>
      </c>
    </row>
    <row r="467" spans="1:11" ht="12.75" x14ac:dyDescent="0.2">
      <c r="A467" s="75" t="s">
        <v>760</v>
      </c>
      <c r="B467" s="63" t="s">
        <v>759</v>
      </c>
      <c r="C467" s="62">
        <f>+Tabla13[[#This Row],[Columna6]]/Tabla13[[#This Row],[Columna5]]</f>
        <v>94917.059999999983</v>
      </c>
      <c r="D467" s="62">
        <f>+Tabla13[[#This Row],[PRECIO INSTALADOR (IVA INCLUIDO)]]-F467</f>
        <v>90171.20699999998</v>
      </c>
      <c r="E467" s="62">
        <f>+Tabla13[[#This Row],[PRECIO INSTALADOR (IVA INCLUIDO)]]/0.7</f>
        <v>135595.79999999999</v>
      </c>
      <c r="F467" s="61">
        <f>+Tabla13[[#This Row],[PRECIO INSTALADOR (IVA INCLUIDO)]]*5%</f>
        <v>4745.8529999999992</v>
      </c>
      <c r="G467" s="12">
        <v>0.85</v>
      </c>
      <c r="H467" s="11">
        <f>Tabla13[[#This Row],[COSTO]]*1.19</f>
        <v>80679.500999999989</v>
      </c>
      <c r="I467" s="10"/>
      <c r="J467" s="9"/>
      <c r="K467" s="66">
        <v>67797.899999999994</v>
      </c>
    </row>
    <row r="468" spans="1:11" ht="12.75" x14ac:dyDescent="0.2">
      <c r="A468" s="75" t="s">
        <v>758</v>
      </c>
      <c r="B468" s="63" t="s">
        <v>757</v>
      </c>
      <c r="C468" s="62">
        <f>+Tabla13[[#This Row],[Columna6]]/Tabla13[[#This Row],[Columna5]]</f>
        <v>83386.659999999989</v>
      </c>
      <c r="D468" s="62">
        <f>+Tabla13[[#This Row],[PRECIO INSTALADOR (IVA INCLUIDO)]]-F468</f>
        <v>79217.32699999999</v>
      </c>
      <c r="E468" s="62">
        <f>+Tabla13[[#This Row],[PRECIO INSTALADOR (IVA INCLUIDO)]]/0.7</f>
        <v>119123.79999999999</v>
      </c>
      <c r="F468" s="61">
        <f>+Tabla13[[#This Row],[PRECIO INSTALADOR (IVA INCLUIDO)]]*5%</f>
        <v>4169.3329999999996</v>
      </c>
      <c r="G468" s="12">
        <v>0.85</v>
      </c>
      <c r="H468" s="11">
        <f>Tabla13[[#This Row],[COSTO]]*1.19</f>
        <v>70878.660999999993</v>
      </c>
      <c r="I468" s="10"/>
      <c r="J468" s="9"/>
      <c r="K468" s="66">
        <v>59561.9</v>
      </c>
    </row>
    <row r="469" spans="1:11" ht="12.75" x14ac:dyDescent="0.2">
      <c r="A469" s="75" t="s">
        <v>756</v>
      </c>
      <c r="B469" s="63" t="s">
        <v>755</v>
      </c>
      <c r="C469" s="62">
        <f>+Tabla13[[#This Row],[Columna6]]/Tabla13[[#This Row],[Columna5]]</f>
        <v>99688.26</v>
      </c>
      <c r="D469" s="62">
        <f>+Tabla13[[#This Row],[PRECIO INSTALADOR (IVA INCLUIDO)]]-F469</f>
        <v>94703.846999999994</v>
      </c>
      <c r="E469" s="62">
        <f>+Tabla13[[#This Row],[PRECIO INSTALADOR (IVA INCLUIDO)]]/0.7</f>
        <v>142411.79999999999</v>
      </c>
      <c r="F469" s="61">
        <f>+Tabla13[[#This Row],[PRECIO INSTALADOR (IVA INCLUIDO)]]*5%</f>
        <v>4984.4130000000005</v>
      </c>
      <c r="G469" s="12">
        <v>0.85</v>
      </c>
      <c r="H469" s="11">
        <f>Tabla13[[#This Row],[COSTO]]*1.19</f>
        <v>84735.020999999993</v>
      </c>
      <c r="I469" s="10"/>
      <c r="J469" s="9"/>
      <c r="K469" s="66">
        <v>71205.899999999994</v>
      </c>
    </row>
    <row r="470" spans="1:11" ht="12.75" x14ac:dyDescent="0.2">
      <c r="A470" s="75" t="s">
        <v>754</v>
      </c>
      <c r="B470" s="63" t="s">
        <v>753</v>
      </c>
      <c r="C470" s="62">
        <f>+Tabla13[[#This Row],[Columna6]]/Tabla13[[#This Row],[Columna5]]</f>
        <v>35674.660000000003</v>
      </c>
      <c r="D470" s="62">
        <f>+Tabla13[[#This Row],[PRECIO INSTALADOR (IVA INCLUIDO)]]-F470</f>
        <v>33890.927000000003</v>
      </c>
      <c r="E470" s="62">
        <f>+Tabla13[[#This Row],[PRECIO INSTALADOR (IVA INCLUIDO)]]/0.7</f>
        <v>50963.80000000001</v>
      </c>
      <c r="F470" s="61">
        <f>+Tabla13[[#This Row],[PRECIO INSTALADOR (IVA INCLUIDO)]]*5%</f>
        <v>1783.7330000000002</v>
      </c>
      <c r="G470" s="12">
        <v>0.85</v>
      </c>
      <c r="H470" s="11">
        <f>Tabla13[[#This Row],[COSTO]]*1.19</f>
        <v>30323.460999999999</v>
      </c>
      <c r="I470" s="10"/>
      <c r="J470" s="9"/>
      <c r="K470" s="66">
        <v>25481.9</v>
      </c>
    </row>
    <row r="471" spans="1:11" ht="12.75" x14ac:dyDescent="0.2">
      <c r="A471" s="105"/>
      <c r="B471" s="104" t="s">
        <v>752</v>
      </c>
      <c r="C471" s="103"/>
      <c r="D471" s="103"/>
      <c r="E471" s="103"/>
      <c r="F471" s="102">
        <f>+Tabla13[[#This Row],[PRECIO INSTALADOR (IVA INCLUIDO)]]*5%</f>
        <v>0</v>
      </c>
      <c r="G471" s="12">
        <v>0.85</v>
      </c>
      <c r="H471" s="11">
        <f>Tabla13[[#This Row],[COSTO]]*1.19</f>
        <v>0</v>
      </c>
      <c r="I471" s="10"/>
      <c r="J471" s="9"/>
      <c r="K471" s="66"/>
    </row>
    <row r="472" spans="1:11" ht="12.75" x14ac:dyDescent="0.2">
      <c r="A472" s="75" t="s">
        <v>751</v>
      </c>
      <c r="B472" s="63" t="s">
        <v>750</v>
      </c>
      <c r="C472" s="62">
        <f>+Tabla13[[#This Row],[Columna6]]/Tabla13[[#This Row],[Columna5]]</f>
        <v>37662.659999999996</v>
      </c>
      <c r="D472" s="62">
        <f>+Tabla13[[#This Row],[PRECIO INSTALADOR (IVA INCLUIDO)]]-F472</f>
        <v>35779.526999999995</v>
      </c>
      <c r="E472" s="62">
        <f>+Tabla13[[#This Row],[PRECIO INSTALADOR (IVA INCLUIDO)]]/0.7</f>
        <v>53803.799999999996</v>
      </c>
      <c r="F472" s="61">
        <f>+Tabla13[[#This Row],[PRECIO INSTALADOR (IVA INCLUIDO)]]*5%</f>
        <v>1883.1329999999998</v>
      </c>
      <c r="G472" s="12">
        <v>0.85</v>
      </c>
      <c r="H472" s="11">
        <f>Tabla13[[#This Row],[COSTO]]*1.19</f>
        <v>32013.260999999999</v>
      </c>
      <c r="I472" s="10"/>
      <c r="J472" s="9"/>
      <c r="K472" s="66">
        <v>26901.9</v>
      </c>
    </row>
    <row r="473" spans="1:11" ht="12.75" x14ac:dyDescent="0.2">
      <c r="A473" s="75" t="s">
        <v>749</v>
      </c>
      <c r="B473" s="63" t="s">
        <v>748</v>
      </c>
      <c r="C473" s="62">
        <f>+Tabla13[[#This Row],[Columna6]]/Tabla13[[#This Row],[Columna5]]</f>
        <v>40048.26</v>
      </c>
      <c r="D473" s="62">
        <f>+Tabla13[[#This Row],[PRECIO INSTALADOR (IVA INCLUIDO)]]-F473</f>
        <v>38045.847000000002</v>
      </c>
      <c r="E473" s="62">
        <f>+Tabla13[[#This Row],[PRECIO INSTALADOR (IVA INCLUIDO)]]/0.7</f>
        <v>57211.8</v>
      </c>
      <c r="F473" s="61">
        <f>+Tabla13[[#This Row],[PRECIO INSTALADOR (IVA INCLUIDO)]]*5%</f>
        <v>2002.4130000000002</v>
      </c>
      <c r="G473" s="12">
        <v>0.85</v>
      </c>
      <c r="H473" s="11">
        <f>Tabla13[[#This Row],[COSTO]]*1.19</f>
        <v>34041.021000000001</v>
      </c>
      <c r="I473" s="10"/>
      <c r="J473" s="9"/>
      <c r="K473" s="66">
        <v>28605.9</v>
      </c>
    </row>
    <row r="474" spans="1:11" ht="12.75" x14ac:dyDescent="0.2">
      <c r="A474" s="76" t="s">
        <v>747</v>
      </c>
      <c r="B474" s="69" t="s">
        <v>746</v>
      </c>
      <c r="C474" s="68"/>
      <c r="D474" s="68"/>
      <c r="E474" s="68"/>
      <c r="F474" s="67">
        <f>+Tabla13[[#This Row],[PRECIO INSTALADOR (IVA INCLUIDO)]]*5%</f>
        <v>0</v>
      </c>
      <c r="G474" s="12">
        <v>0.85</v>
      </c>
      <c r="H474" s="11">
        <f>Tabla13[[#This Row],[COSTO]]*1.19</f>
        <v>0</v>
      </c>
      <c r="I474" s="10"/>
      <c r="J474" s="9"/>
      <c r="K474" s="66"/>
    </row>
    <row r="475" spans="1:11" ht="12.75" x14ac:dyDescent="0.2">
      <c r="A475" s="82"/>
      <c r="B475" s="64" t="s">
        <v>745</v>
      </c>
      <c r="C475" s="81"/>
      <c r="D475" s="81"/>
      <c r="E475" s="81"/>
      <c r="F475" s="101">
        <f>+Tabla13[[#This Row],[PRECIO INSTALADOR (IVA INCLUIDO)]]*5%</f>
        <v>0</v>
      </c>
      <c r="G475" s="12">
        <v>0.85</v>
      </c>
      <c r="H475" s="11" t="e">
        <f>Tabla13[[#This Row],[COSTO]]*1.19</f>
        <v>#VALUE!</v>
      </c>
      <c r="I475" s="10"/>
      <c r="J475" s="9"/>
      <c r="K475" s="66" t="s">
        <v>261</v>
      </c>
    </row>
    <row r="476" spans="1:11" ht="12.75" x14ac:dyDescent="0.2">
      <c r="A476" s="75" t="s">
        <v>744</v>
      </c>
      <c r="B476" s="63" t="s">
        <v>743</v>
      </c>
      <c r="C476" s="62">
        <f>+Tabla13[[#This Row],[Columna6]]/Tabla13[[#This Row],[Columna5]]</f>
        <v>260318.65999999997</v>
      </c>
      <c r="D476" s="62">
        <f>+Tabla13[[#This Row],[PRECIO INSTALADOR (IVA INCLUIDO)]]-F476</f>
        <v>247302.72699999998</v>
      </c>
      <c r="E476" s="62">
        <f>+Tabla13[[#This Row],[PRECIO INSTALADOR (IVA INCLUIDO)]]/0.7</f>
        <v>371883.8</v>
      </c>
      <c r="F476" s="61">
        <f>+Tabla13[[#This Row],[PRECIO INSTALADOR (IVA INCLUIDO)]]*5%</f>
        <v>13015.932999999999</v>
      </c>
      <c r="G476" s="12">
        <v>0.85</v>
      </c>
      <c r="H476" s="11">
        <f>Tabla13[[#This Row],[COSTO]]*1.19</f>
        <v>221270.86099999998</v>
      </c>
      <c r="I476" s="10"/>
      <c r="J476" s="9"/>
      <c r="K476" s="66">
        <v>185941.9</v>
      </c>
    </row>
    <row r="477" spans="1:11" ht="12.75" x14ac:dyDescent="0.2">
      <c r="A477" s="75" t="s">
        <v>742</v>
      </c>
      <c r="B477" s="63" t="s">
        <v>741</v>
      </c>
      <c r="C477" s="62">
        <f>+Tabla13[[#This Row],[Columna6]]/Tabla13[[#This Row],[Columna5]]</f>
        <v>282385.45999999996</v>
      </c>
      <c r="D477" s="62">
        <f>+Tabla13[[#This Row],[PRECIO INSTALADOR (IVA INCLUIDO)]]-F477</f>
        <v>268266.18699999998</v>
      </c>
      <c r="E477" s="62">
        <f>+Tabla13[[#This Row],[PRECIO INSTALADOR (IVA INCLUIDO)]]/0.7</f>
        <v>403407.8</v>
      </c>
      <c r="F477" s="61">
        <f>+Tabla13[[#This Row],[PRECIO INSTALADOR (IVA INCLUIDO)]]*5%</f>
        <v>14119.272999999999</v>
      </c>
      <c r="G477" s="12">
        <v>0.85</v>
      </c>
      <c r="H477" s="11">
        <f>Tabla13[[#This Row],[COSTO]]*1.19</f>
        <v>240027.64099999997</v>
      </c>
      <c r="I477" s="10"/>
      <c r="J477" s="9"/>
      <c r="K477" s="66">
        <v>201703.9</v>
      </c>
    </row>
    <row r="478" spans="1:11" ht="12.75" x14ac:dyDescent="0.2">
      <c r="A478" s="75" t="s">
        <v>740</v>
      </c>
      <c r="B478" s="63" t="s">
        <v>739</v>
      </c>
      <c r="C478" s="62">
        <f>+Tabla13[[#This Row],[Columna6]]/Tabla13[[#This Row],[Columna5]]</f>
        <v>266580.86</v>
      </c>
      <c r="D478" s="62">
        <f>+Tabla13[[#This Row],[PRECIO INSTALADOR (IVA INCLUIDO)]]-F478</f>
        <v>253251.81699999998</v>
      </c>
      <c r="E478" s="62">
        <f>+Tabla13[[#This Row],[PRECIO INSTALADOR (IVA INCLUIDO)]]/0.7</f>
        <v>380829.8</v>
      </c>
      <c r="F478" s="61">
        <f>+Tabla13[[#This Row],[PRECIO INSTALADOR (IVA INCLUIDO)]]*5%</f>
        <v>13329.043</v>
      </c>
      <c r="G478" s="12">
        <v>0.85</v>
      </c>
      <c r="H478" s="11">
        <f>Tabla13[[#This Row],[COSTO]]*1.19</f>
        <v>226593.73099999997</v>
      </c>
      <c r="I478" s="10"/>
      <c r="J478" s="9"/>
      <c r="K478" s="66">
        <v>190414.9</v>
      </c>
    </row>
    <row r="479" spans="1:11" ht="12.75" x14ac:dyDescent="0.2">
      <c r="A479" s="75" t="s">
        <v>738</v>
      </c>
      <c r="B479" s="63" t="s">
        <v>737</v>
      </c>
      <c r="C479" s="62">
        <f>+Tabla13[[#This Row],[Columna6]]/Tabla13[[#This Row],[Columna5]]</f>
        <v>289343.46000000002</v>
      </c>
      <c r="D479" s="62">
        <f>+Tabla13[[#This Row],[PRECIO INSTALADOR (IVA INCLUIDO)]]-F479</f>
        <v>274876.28700000001</v>
      </c>
      <c r="E479" s="62">
        <f>+Tabla13[[#This Row],[PRECIO INSTALADOR (IVA INCLUIDO)]]/0.7</f>
        <v>413347.80000000005</v>
      </c>
      <c r="F479" s="61">
        <f>+Tabla13[[#This Row],[PRECIO INSTALADOR (IVA INCLUIDO)]]*5%</f>
        <v>14467.173000000003</v>
      </c>
      <c r="G479" s="12">
        <v>0.85</v>
      </c>
      <c r="H479" s="11">
        <f>Tabla13[[#This Row],[COSTO]]*1.19</f>
        <v>245941.94099999999</v>
      </c>
      <c r="I479" s="10"/>
      <c r="J479" s="9"/>
      <c r="K479" s="66">
        <v>206673.9</v>
      </c>
    </row>
    <row r="480" spans="1:11" ht="12.75" x14ac:dyDescent="0.2">
      <c r="A480" s="82"/>
      <c r="B480" s="64" t="s">
        <v>736</v>
      </c>
      <c r="C480" s="81"/>
      <c r="D480" s="81"/>
      <c r="E480" s="81"/>
      <c r="F480" s="61">
        <f>+Tabla13[[#This Row],[PRECIO INSTALADOR (IVA INCLUIDO)]]*5%</f>
        <v>0</v>
      </c>
      <c r="G480" s="12">
        <v>0.85</v>
      </c>
      <c r="H480" s="11" t="e">
        <f>Tabla13[[#This Row],[COSTO]]*1.19</f>
        <v>#VALUE!</v>
      </c>
      <c r="I480" s="10"/>
      <c r="J480" s="9"/>
      <c r="K480" s="66" t="s">
        <v>261</v>
      </c>
    </row>
    <row r="481" spans="1:11" ht="12.75" x14ac:dyDescent="0.2">
      <c r="A481" s="75" t="s">
        <v>735</v>
      </c>
      <c r="B481" s="63" t="s">
        <v>734</v>
      </c>
      <c r="C481" s="62">
        <f>+Tabla13[[#This Row],[Columna6]]/Tabla13[[#This Row],[Columna5]]</f>
        <v>205052.25999999998</v>
      </c>
      <c r="D481" s="62">
        <f>+Tabla13[[#This Row],[PRECIO INSTALADOR (IVA INCLUIDO)]]-F481</f>
        <v>194799.64699999997</v>
      </c>
      <c r="E481" s="62">
        <f>+Tabla13[[#This Row],[PRECIO INSTALADOR (IVA INCLUIDO)]]/0.7</f>
        <v>292931.8</v>
      </c>
      <c r="F481" s="61">
        <f>+Tabla13[[#This Row],[PRECIO INSTALADOR (IVA INCLUIDO)]]*5%</f>
        <v>10252.612999999999</v>
      </c>
      <c r="G481" s="12">
        <v>0.85</v>
      </c>
      <c r="H481" s="11">
        <f>Tabla13[[#This Row],[COSTO]]*1.19</f>
        <v>174294.42099999997</v>
      </c>
      <c r="I481" s="10"/>
      <c r="J481" s="9"/>
      <c r="K481" s="66">
        <v>146465.9</v>
      </c>
    </row>
    <row r="482" spans="1:11" ht="12.75" x14ac:dyDescent="0.2">
      <c r="A482" s="75" t="s">
        <v>733</v>
      </c>
      <c r="B482" s="63" t="s">
        <v>732</v>
      </c>
      <c r="C482" s="62">
        <f>+Tabla13[[#This Row],[Columna6]]/Tabla13[[#This Row],[Columna5]]</f>
        <v>226721.46</v>
      </c>
      <c r="D482" s="62">
        <f>+Tabla13[[#This Row],[PRECIO INSTALADOR (IVA INCLUIDO)]]-F482</f>
        <v>215385.38699999999</v>
      </c>
      <c r="E482" s="62">
        <f>+Tabla13[[#This Row],[PRECIO INSTALADOR (IVA INCLUIDO)]]/0.7</f>
        <v>323887.8</v>
      </c>
      <c r="F482" s="61">
        <f>+Tabla13[[#This Row],[PRECIO INSTALADOR (IVA INCLUIDO)]]*5%</f>
        <v>11336.073</v>
      </c>
      <c r="G482" s="12">
        <v>0.85</v>
      </c>
      <c r="H482" s="11">
        <f>Tabla13[[#This Row],[COSTO]]*1.19</f>
        <v>192713.24099999998</v>
      </c>
      <c r="I482" s="10"/>
      <c r="J482" s="9"/>
      <c r="K482" s="66">
        <v>161943.9</v>
      </c>
    </row>
    <row r="483" spans="1:11" ht="12.75" x14ac:dyDescent="0.2">
      <c r="A483" s="75" t="s">
        <v>731</v>
      </c>
      <c r="B483" s="63" t="s">
        <v>730</v>
      </c>
      <c r="C483" s="62">
        <f>+Tabla13[[#This Row],[Columna6]]/Tabla13[[#This Row],[Columna5]]</f>
        <v>205052.25999999998</v>
      </c>
      <c r="D483" s="62">
        <f>+Tabla13[[#This Row],[PRECIO INSTALADOR (IVA INCLUIDO)]]-F483</f>
        <v>194799.64699999997</v>
      </c>
      <c r="E483" s="62">
        <f>+Tabla13[[#This Row],[PRECIO INSTALADOR (IVA INCLUIDO)]]/0.7</f>
        <v>292931.8</v>
      </c>
      <c r="F483" s="61">
        <f>+Tabla13[[#This Row],[PRECIO INSTALADOR (IVA INCLUIDO)]]*5%</f>
        <v>10252.612999999999</v>
      </c>
      <c r="G483" s="12">
        <v>0.85</v>
      </c>
      <c r="H483" s="11">
        <f>Tabla13[[#This Row],[COSTO]]*1.19</f>
        <v>174294.42099999997</v>
      </c>
      <c r="I483" s="10"/>
      <c r="J483" s="9"/>
      <c r="K483" s="66">
        <v>146465.9</v>
      </c>
    </row>
    <row r="484" spans="1:11" ht="12.75" x14ac:dyDescent="0.2">
      <c r="A484" s="75" t="s">
        <v>729</v>
      </c>
      <c r="B484" s="63" t="s">
        <v>728</v>
      </c>
      <c r="C484" s="62">
        <f>+Tabla13[[#This Row],[Columna6]]/Tabla13[[#This Row],[Columna5]]</f>
        <v>226721.46</v>
      </c>
      <c r="D484" s="62">
        <f>+Tabla13[[#This Row],[PRECIO INSTALADOR (IVA INCLUIDO)]]-F484</f>
        <v>215385.38699999999</v>
      </c>
      <c r="E484" s="62">
        <f>+Tabla13[[#This Row],[PRECIO INSTALADOR (IVA INCLUIDO)]]/0.7</f>
        <v>323887.8</v>
      </c>
      <c r="F484" s="61">
        <f>+Tabla13[[#This Row],[PRECIO INSTALADOR (IVA INCLUIDO)]]*5%</f>
        <v>11336.073</v>
      </c>
      <c r="G484" s="12">
        <v>0.85</v>
      </c>
      <c r="H484" s="11">
        <f>Tabla13[[#This Row],[COSTO]]*1.19</f>
        <v>192713.24099999998</v>
      </c>
      <c r="I484" s="10"/>
      <c r="J484" s="9"/>
      <c r="K484" s="66">
        <v>161943.9</v>
      </c>
    </row>
    <row r="485" spans="1:11" ht="12.75" x14ac:dyDescent="0.2">
      <c r="A485" s="75" t="s">
        <v>727</v>
      </c>
      <c r="B485" s="63" t="s">
        <v>726</v>
      </c>
      <c r="C485" s="62">
        <f>+Tabla13[[#This Row],[Columna6]]/Tabla13[[#This Row],[Columna5]]</f>
        <v>205052.25999999998</v>
      </c>
      <c r="D485" s="62">
        <f>+Tabla13[[#This Row],[PRECIO INSTALADOR (IVA INCLUIDO)]]-F485</f>
        <v>194799.64699999997</v>
      </c>
      <c r="E485" s="62">
        <f>+Tabla13[[#This Row],[PRECIO INSTALADOR (IVA INCLUIDO)]]/0.7</f>
        <v>292931.8</v>
      </c>
      <c r="F485" s="61">
        <f>+Tabla13[[#This Row],[PRECIO INSTALADOR (IVA INCLUIDO)]]*5%</f>
        <v>10252.612999999999</v>
      </c>
      <c r="G485" s="12">
        <v>0.85</v>
      </c>
      <c r="H485" s="11">
        <f>Tabla13[[#This Row],[COSTO]]*1.19</f>
        <v>174294.42099999997</v>
      </c>
      <c r="I485" s="10"/>
      <c r="J485" s="9"/>
      <c r="K485" s="66">
        <v>146465.9</v>
      </c>
    </row>
    <row r="486" spans="1:11" ht="12.75" x14ac:dyDescent="0.2">
      <c r="A486" s="75" t="s">
        <v>725</v>
      </c>
      <c r="B486" s="63" t="s">
        <v>724</v>
      </c>
      <c r="C486" s="62">
        <f>+Tabla13[[#This Row],[Columna6]]/Tabla13[[#This Row],[Columna5]]</f>
        <v>226721.46</v>
      </c>
      <c r="D486" s="62">
        <f>+Tabla13[[#This Row],[PRECIO INSTALADOR (IVA INCLUIDO)]]-F486</f>
        <v>215385.38699999999</v>
      </c>
      <c r="E486" s="62">
        <f>+Tabla13[[#This Row],[PRECIO INSTALADOR (IVA INCLUIDO)]]/0.7</f>
        <v>323887.8</v>
      </c>
      <c r="F486" s="61">
        <f>+Tabla13[[#This Row],[PRECIO INSTALADOR (IVA INCLUIDO)]]*5%</f>
        <v>11336.073</v>
      </c>
      <c r="G486" s="12">
        <v>0.85</v>
      </c>
      <c r="H486" s="11">
        <f>Tabla13[[#This Row],[COSTO]]*1.19</f>
        <v>192713.24099999998</v>
      </c>
      <c r="I486" s="10"/>
      <c r="J486" s="9"/>
      <c r="K486" s="66">
        <v>161943.9</v>
      </c>
    </row>
    <row r="487" spans="1:11" ht="12.75" x14ac:dyDescent="0.2">
      <c r="A487" s="88" t="s">
        <v>723</v>
      </c>
      <c r="B487" s="63" t="s">
        <v>722</v>
      </c>
      <c r="C487" s="62">
        <f>+Tabla13[[#This Row],[Columna6]]/Tabla13[[#This Row],[Columna5]]</f>
        <v>210419.86</v>
      </c>
      <c r="D487" s="62">
        <f>+Tabla13[[#This Row],[PRECIO INSTALADOR (IVA INCLUIDO)]]-F487</f>
        <v>199898.867</v>
      </c>
      <c r="E487" s="62">
        <f>+Tabla13[[#This Row],[PRECIO INSTALADOR (IVA INCLUIDO)]]/0.7</f>
        <v>300599.8</v>
      </c>
      <c r="F487" s="61">
        <f>+Tabla13[[#This Row],[PRECIO INSTALADOR (IVA INCLUIDO)]]*5%</f>
        <v>10520.993</v>
      </c>
      <c r="G487" s="12">
        <v>0.85</v>
      </c>
      <c r="H487" s="11">
        <f>Tabla13[[#This Row],[COSTO]]*1.19</f>
        <v>178856.88099999999</v>
      </c>
      <c r="I487" s="10"/>
      <c r="J487" s="9"/>
      <c r="K487" s="66">
        <v>150299.9</v>
      </c>
    </row>
    <row r="488" spans="1:11" ht="12.75" x14ac:dyDescent="0.2">
      <c r="A488" s="75" t="s">
        <v>721</v>
      </c>
      <c r="B488" s="63" t="s">
        <v>720</v>
      </c>
      <c r="C488" s="62">
        <f>+Tabla13[[#This Row],[Columna6]]/Tabla13[[#This Row],[Columna5]]</f>
        <v>233182.46</v>
      </c>
      <c r="D488" s="62">
        <f>+Tabla13[[#This Row],[PRECIO INSTALADOR (IVA INCLUIDO)]]-F488</f>
        <v>221523.337</v>
      </c>
      <c r="E488" s="62">
        <f>+Tabla13[[#This Row],[PRECIO INSTALADOR (IVA INCLUIDO)]]/0.7</f>
        <v>333117.8</v>
      </c>
      <c r="F488" s="61">
        <f>+Tabla13[[#This Row],[PRECIO INSTALADOR (IVA INCLUIDO)]]*5%</f>
        <v>11659.123</v>
      </c>
      <c r="G488" s="12">
        <v>0.85</v>
      </c>
      <c r="H488" s="11">
        <f>Tabla13[[#This Row],[COSTO]]*1.19</f>
        <v>198205.09099999999</v>
      </c>
      <c r="I488" s="10"/>
      <c r="J488" s="9"/>
      <c r="K488" s="66">
        <v>166558.9</v>
      </c>
    </row>
    <row r="489" spans="1:11" ht="12.75" x14ac:dyDescent="0.2">
      <c r="A489" s="76"/>
      <c r="B489" s="69" t="s">
        <v>719</v>
      </c>
      <c r="C489" s="68"/>
      <c r="D489" s="68"/>
      <c r="E489" s="68"/>
      <c r="F489" s="67">
        <f>+Tabla13[[#This Row],[PRECIO INSTALADOR (IVA INCLUIDO)]]*5%</f>
        <v>0</v>
      </c>
      <c r="G489" s="12">
        <v>0.85</v>
      </c>
      <c r="H489" s="11">
        <f>Tabla13[[#This Row],[COSTO]]*1.19</f>
        <v>0</v>
      </c>
      <c r="I489" s="10"/>
      <c r="J489" s="9"/>
      <c r="K489" s="66"/>
    </row>
    <row r="490" spans="1:11" ht="12.75" x14ac:dyDescent="0.2">
      <c r="A490" s="75" t="s">
        <v>718</v>
      </c>
      <c r="B490" s="63" t="s">
        <v>717</v>
      </c>
      <c r="C490" s="62">
        <f>+Tabla13[[#This Row],[Columna6]]/Tabla13[[#This Row],[Columna5]]</f>
        <v>313100.06</v>
      </c>
      <c r="D490" s="62">
        <f>+Tabla13[[#This Row],[PRECIO INSTALADOR (IVA INCLUIDO)]]-F490</f>
        <v>297445.05699999997</v>
      </c>
      <c r="E490" s="62">
        <f>+Tabla13[[#This Row],[PRECIO INSTALADOR (IVA INCLUIDO)]]/0.7</f>
        <v>447285.80000000005</v>
      </c>
      <c r="F490" s="61">
        <f>+Tabla13[[#This Row],[PRECIO INSTALADOR (IVA INCLUIDO)]]*5%</f>
        <v>15655.003000000001</v>
      </c>
      <c r="G490" s="12">
        <v>0.85</v>
      </c>
      <c r="H490" s="11">
        <f>Tabla13[[#This Row],[COSTO]]*1.19</f>
        <v>266135.05099999998</v>
      </c>
      <c r="I490" s="10"/>
      <c r="J490" s="9"/>
      <c r="K490" s="66">
        <v>223642.9</v>
      </c>
    </row>
    <row r="491" spans="1:11" ht="12.75" x14ac:dyDescent="0.2">
      <c r="A491" s="75" t="s">
        <v>716</v>
      </c>
      <c r="B491" s="63" t="s">
        <v>715</v>
      </c>
      <c r="C491" s="62">
        <f>+Tabla13[[#This Row],[Columna6]]/Tabla13[[#This Row],[Columna5]]</f>
        <v>260318.65999999997</v>
      </c>
      <c r="D491" s="62">
        <f>+Tabla13[[#This Row],[PRECIO INSTALADOR (IVA INCLUIDO)]]-F491</f>
        <v>247302.72699999998</v>
      </c>
      <c r="E491" s="62">
        <f>+Tabla13[[#This Row],[PRECIO INSTALADOR (IVA INCLUIDO)]]/0.7</f>
        <v>371883.8</v>
      </c>
      <c r="F491" s="61">
        <f>+Tabla13[[#This Row],[PRECIO INSTALADOR (IVA INCLUIDO)]]*5%</f>
        <v>13015.932999999999</v>
      </c>
      <c r="G491" s="12">
        <v>0.85</v>
      </c>
      <c r="H491" s="11">
        <f>Tabla13[[#This Row],[COSTO]]*1.19</f>
        <v>221270.86099999998</v>
      </c>
      <c r="I491" s="10"/>
      <c r="J491" s="9"/>
      <c r="K491" s="66">
        <v>185941.9</v>
      </c>
    </row>
    <row r="492" spans="1:11" ht="12.75" x14ac:dyDescent="0.2">
      <c r="A492" s="100"/>
      <c r="B492" s="99" t="s">
        <v>701</v>
      </c>
      <c r="C492" s="98"/>
      <c r="D492" s="98"/>
      <c r="E492" s="98"/>
      <c r="F492" s="97">
        <f>+Tabla13[[#This Row],[PRECIO INSTALADOR (IVA INCLUIDO)]]*5%</f>
        <v>0</v>
      </c>
      <c r="G492" s="12">
        <v>0.85</v>
      </c>
      <c r="H492" s="11">
        <f>Tabla13[[#This Row],[COSTO]]*1.19</f>
        <v>0</v>
      </c>
      <c r="I492" s="10"/>
      <c r="J492" s="9"/>
      <c r="K492" s="66"/>
    </row>
    <row r="493" spans="1:11" ht="12.75" x14ac:dyDescent="0.2">
      <c r="A493" s="76"/>
      <c r="B493" s="69" t="s">
        <v>714</v>
      </c>
      <c r="C493" s="68"/>
      <c r="D493" s="68"/>
      <c r="E493" s="68"/>
      <c r="F493" s="67">
        <f>+Tabla13[[#This Row],[PRECIO INSTALADOR (IVA INCLUIDO)]]*5%</f>
        <v>0</v>
      </c>
      <c r="G493" s="12">
        <v>0.85</v>
      </c>
      <c r="H493" s="11">
        <f>Tabla13[[#This Row],[COSTO]]*1.19</f>
        <v>0</v>
      </c>
      <c r="I493" s="10"/>
      <c r="J493" s="9"/>
      <c r="K493" s="66"/>
    </row>
    <row r="494" spans="1:11" ht="12.75" x14ac:dyDescent="0.2">
      <c r="A494" s="82"/>
      <c r="B494" s="64" t="s">
        <v>713</v>
      </c>
      <c r="C494" s="81"/>
      <c r="D494" s="81"/>
      <c r="E494" s="81"/>
      <c r="F494" s="61">
        <f>+Tabla13[[#This Row],[PRECIO INSTALADOR (IVA INCLUIDO)]]*5%</f>
        <v>0</v>
      </c>
      <c r="G494" s="12">
        <v>0.85</v>
      </c>
      <c r="H494" s="11" t="e">
        <f>Tabla13[[#This Row],[COSTO]]*1.19</f>
        <v>#VALUE!</v>
      </c>
      <c r="I494" s="10"/>
      <c r="J494" s="9"/>
      <c r="K494" s="66" t="s">
        <v>261</v>
      </c>
    </row>
    <row r="495" spans="1:11" ht="12.75" x14ac:dyDescent="0.2">
      <c r="A495" s="75" t="s">
        <v>712</v>
      </c>
      <c r="B495" s="63" t="s">
        <v>711</v>
      </c>
      <c r="C495" s="62">
        <f>+Tabla13[[#This Row],[Columna6]]/Tabla13[[#This Row],[Columna5]]</f>
        <v>308825.86</v>
      </c>
      <c r="D495" s="62">
        <f>+Tabla13[[#This Row],[PRECIO INSTALADOR (IVA INCLUIDO)]]-F495</f>
        <v>293384.56699999998</v>
      </c>
      <c r="E495" s="62">
        <f>+Tabla13[[#This Row],[PRECIO INSTALADOR (IVA INCLUIDO)]]/0.7</f>
        <v>441179.8</v>
      </c>
      <c r="F495" s="61">
        <f>+Tabla13[[#This Row],[PRECIO INSTALADOR (IVA INCLUIDO)]]*5%</f>
        <v>15441.293</v>
      </c>
      <c r="G495" s="12">
        <v>0.85</v>
      </c>
      <c r="H495" s="11">
        <f>Tabla13[[#This Row],[COSTO]]*1.19</f>
        <v>262501.98099999997</v>
      </c>
      <c r="I495" s="10"/>
      <c r="J495" s="9"/>
      <c r="K495" s="66">
        <v>220589.9</v>
      </c>
    </row>
    <row r="496" spans="1:11" ht="12.75" x14ac:dyDescent="0.2">
      <c r="A496" s="75" t="s">
        <v>710</v>
      </c>
      <c r="B496" s="63" t="s">
        <v>709</v>
      </c>
      <c r="C496" s="62">
        <f>+Tabla13[[#This Row],[Columna6]]/Tabla13[[#This Row],[Columna5]]</f>
        <v>316777.86</v>
      </c>
      <c r="D496" s="62">
        <f>+Tabla13[[#This Row],[PRECIO INSTALADOR (IVA INCLUIDO)]]-F496</f>
        <v>300938.967</v>
      </c>
      <c r="E496" s="62">
        <f>+Tabla13[[#This Row],[PRECIO INSTALADOR (IVA INCLUIDO)]]/0.7</f>
        <v>452539.8</v>
      </c>
      <c r="F496" s="61">
        <f>+Tabla13[[#This Row],[PRECIO INSTALADOR (IVA INCLUIDO)]]*5%</f>
        <v>15838.893</v>
      </c>
      <c r="G496" s="12">
        <v>0.85</v>
      </c>
      <c r="H496" s="11">
        <f>Tabla13[[#This Row],[COSTO]]*1.19</f>
        <v>269261.18099999998</v>
      </c>
      <c r="I496" s="10"/>
      <c r="J496" s="9"/>
      <c r="K496" s="66">
        <v>226269.9</v>
      </c>
    </row>
    <row r="497" spans="1:11" ht="12.75" x14ac:dyDescent="0.2">
      <c r="A497" s="75" t="s">
        <v>708</v>
      </c>
      <c r="B497" s="63" t="s">
        <v>707</v>
      </c>
      <c r="C497" s="62">
        <f>+Tabla13[[#This Row],[Columna6]]/Tabla13[[#This Row],[Columna5]]</f>
        <v>316777.86</v>
      </c>
      <c r="D497" s="62">
        <f>+Tabla13[[#This Row],[PRECIO INSTALADOR (IVA INCLUIDO)]]-F497</f>
        <v>300938.967</v>
      </c>
      <c r="E497" s="62">
        <f>+Tabla13[[#This Row],[PRECIO INSTALADOR (IVA INCLUIDO)]]/0.7</f>
        <v>452539.8</v>
      </c>
      <c r="F497" s="61">
        <f>+Tabla13[[#This Row],[PRECIO INSTALADOR (IVA INCLUIDO)]]*5%</f>
        <v>15838.893</v>
      </c>
      <c r="G497" s="12">
        <v>0.85</v>
      </c>
      <c r="H497" s="11">
        <f>Tabla13[[#This Row],[COSTO]]*1.19</f>
        <v>269261.18099999998</v>
      </c>
      <c r="I497" s="10"/>
      <c r="J497" s="9"/>
      <c r="K497" s="66">
        <v>226269.9</v>
      </c>
    </row>
    <row r="498" spans="1:11" ht="12.75" x14ac:dyDescent="0.2">
      <c r="A498" s="75" t="s">
        <v>706</v>
      </c>
      <c r="B498" s="63" t="s">
        <v>705</v>
      </c>
      <c r="C498" s="62">
        <f>+Tabla13[[#This Row],[Columna6]]/Tabla13[[#This Row],[Columna5]]</f>
        <v>316777.86</v>
      </c>
      <c r="D498" s="62">
        <f>+Tabla13[[#This Row],[PRECIO INSTALADOR (IVA INCLUIDO)]]-F498</f>
        <v>300938.967</v>
      </c>
      <c r="E498" s="62">
        <f>+Tabla13[[#This Row],[PRECIO INSTALADOR (IVA INCLUIDO)]]/0.7</f>
        <v>452539.8</v>
      </c>
      <c r="F498" s="61">
        <f>+Tabla13[[#This Row],[PRECIO INSTALADOR (IVA INCLUIDO)]]*5%</f>
        <v>15838.893</v>
      </c>
      <c r="G498" s="12">
        <v>0.85</v>
      </c>
      <c r="H498" s="11">
        <f>Tabla13[[#This Row],[COSTO]]*1.19</f>
        <v>269261.18099999998</v>
      </c>
      <c r="I498" s="10"/>
      <c r="J498" s="9"/>
      <c r="K498" s="66">
        <v>226269.9</v>
      </c>
    </row>
    <row r="499" spans="1:11" ht="12.75" x14ac:dyDescent="0.2">
      <c r="A499" s="76"/>
      <c r="B499" s="69" t="s">
        <v>704</v>
      </c>
      <c r="C499" s="68"/>
      <c r="D499" s="68"/>
      <c r="E499" s="68"/>
      <c r="F499" s="67">
        <f>+Tabla13[[#This Row],[PRECIO INSTALADOR (IVA INCLUIDO)]]*5%</f>
        <v>0</v>
      </c>
      <c r="G499" s="12">
        <v>0.85</v>
      </c>
      <c r="H499" s="11">
        <f>Tabla13[[#This Row],[COSTO]]*1.19</f>
        <v>0</v>
      </c>
      <c r="I499" s="10"/>
      <c r="J499" s="9"/>
      <c r="K499" s="66"/>
    </row>
    <row r="500" spans="1:11" ht="12.75" x14ac:dyDescent="0.2">
      <c r="A500" s="75" t="s">
        <v>703</v>
      </c>
      <c r="B500" s="63" t="s">
        <v>702</v>
      </c>
      <c r="C500" s="62">
        <f>+Tabla13[[#This Row],[Columna6]]/Tabla13[[#This Row],[Columna5]]</f>
        <v>169864.65999999997</v>
      </c>
      <c r="D500" s="62">
        <f>+Tabla13[[#This Row],[PRECIO INSTALADOR (IVA INCLUIDO)]]-F500</f>
        <v>161371.42699999997</v>
      </c>
      <c r="E500" s="62">
        <f>+Tabla13[[#This Row],[PRECIO INSTALADOR (IVA INCLUIDO)]]/0.7</f>
        <v>242663.8</v>
      </c>
      <c r="F500" s="61">
        <f>+Tabla13[[#This Row],[PRECIO INSTALADOR (IVA INCLUIDO)]]*5%</f>
        <v>8493.2329999999984</v>
      </c>
      <c r="G500" s="12">
        <v>0.85</v>
      </c>
      <c r="H500" s="11">
        <f>Tabla13[[#This Row],[COSTO]]*1.19</f>
        <v>144384.96099999998</v>
      </c>
      <c r="I500" s="10"/>
      <c r="J500" s="9"/>
      <c r="K500" s="66">
        <v>121331.9</v>
      </c>
    </row>
    <row r="501" spans="1:11" ht="12.75" x14ac:dyDescent="0.2">
      <c r="A501" s="100"/>
      <c r="B501" s="99" t="s">
        <v>701</v>
      </c>
      <c r="C501" s="98"/>
      <c r="D501" s="98"/>
      <c r="E501" s="98"/>
      <c r="F501" s="97">
        <f>+Tabla13[[#This Row],[PRECIO INSTALADOR (IVA INCLUIDO)]]*5%</f>
        <v>0</v>
      </c>
      <c r="G501" s="12">
        <v>0.85</v>
      </c>
      <c r="H501" s="11">
        <f>Tabla13[[#This Row],[COSTO]]*1.19</f>
        <v>0</v>
      </c>
      <c r="I501" s="10"/>
      <c r="J501" s="9"/>
      <c r="K501" s="66"/>
    </row>
    <row r="502" spans="1:11" ht="12.75" x14ac:dyDescent="0.2">
      <c r="A502" s="76"/>
      <c r="B502" s="69" t="s">
        <v>700</v>
      </c>
      <c r="C502" s="68"/>
      <c r="D502" s="68"/>
      <c r="E502" s="68"/>
      <c r="F502" s="67">
        <f>+Tabla13[[#This Row],[PRECIO INSTALADOR (IVA INCLUIDO)]]*5%</f>
        <v>0</v>
      </c>
      <c r="G502" s="12">
        <v>0.85</v>
      </c>
      <c r="H502" s="11">
        <f>Tabla13[[#This Row],[COSTO]]*1.19</f>
        <v>0</v>
      </c>
      <c r="I502" s="10"/>
      <c r="J502" s="9"/>
      <c r="K502" s="66"/>
    </row>
    <row r="503" spans="1:11" ht="12.75" x14ac:dyDescent="0.2">
      <c r="A503" s="75" t="s">
        <v>699</v>
      </c>
      <c r="B503" s="63" t="s">
        <v>698</v>
      </c>
      <c r="C503" s="62">
        <f>+Tabla13[[#This Row],[Columna6]]/Tabla13[[#This Row],[Columna5]]</f>
        <v>71856.259999999995</v>
      </c>
      <c r="D503" s="62">
        <f>+Tabla13[[#This Row],[PRECIO INSTALADOR (IVA INCLUIDO)]]-F503</f>
        <v>68263.447</v>
      </c>
      <c r="E503" s="62">
        <f>+Tabla13[[#This Row],[PRECIO INSTALADOR (IVA INCLUIDO)]]/0.7</f>
        <v>102651.8</v>
      </c>
      <c r="F503" s="61">
        <f>+Tabla13[[#This Row],[PRECIO INSTALADOR (IVA INCLUIDO)]]*5%</f>
        <v>3592.8130000000001</v>
      </c>
      <c r="G503" s="12">
        <v>0.85</v>
      </c>
      <c r="H503" s="11">
        <f>Tabla13[[#This Row],[COSTO]]*1.19</f>
        <v>61077.820999999996</v>
      </c>
      <c r="I503" s="10"/>
      <c r="J503" s="9"/>
      <c r="K503" s="66">
        <v>51325.9</v>
      </c>
    </row>
    <row r="504" spans="1:11" ht="12.75" x14ac:dyDescent="0.2">
      <c r="A504" s="75" t="s">
        <v>697</v>
      </c>
      <c r="B504" s="63" t="s">
        <v>696</v>
      </c>
      <c r="C504" s="62">
        <f>+Tabla13[[#This Row],[Columna6]]/Tabla13[[#This Row],[Columna5]]</f>
        <v>91835.659999999989</v>
      </c>
      <c r="D504" s="62">
        <f>+Tabla13[[#This Row],[PRECIO INSTALADOR (IVA INCLUIDO)]]-F504</f>
        <v>87243.876999999993</v>
      </c>
      <c r="E504" s="62">
        <f>+Tabla13[[#This Row],[PRECIO INSTALADOR (IVA INCLUIDO)]]/0.7</f>
        <v>131193.79999999999</v>
      </c>
      <c r="F504" s="61">
        <f>+Tabla13[[#This Row],[PRECIO INSTALADOR (IVA INCLUIDO)]]*5%</f>
        <v>4591.7829999999994</v>
      </c>
      <c r="G504" s="12">
        <v>0.85</v>
      </c>
      <c r="H504" s="11">
        <f>Tabla13[[#This Row],[COSTO]]*1.19</f>
        <v>78060.310999999987</v>
      </c>
      <c r="I504" s="10"/>
      <c r="J504" s="9"/>
      <c r="K504" s="66">
        <v>65596.899999999994</v>
      </c>
    </row>
    <row r="505" spans="1:11" ht="12.75" x14ac:dyDescent="0.2">
      <c r="A505" s="75" t="s">
        <v>695</v>
      </c>
      <c r="B505" s="63" t="s">
        <v>694</v>
      </c>
      <c r="C505" s="62">
        <f>+Tabla13[[#This Row],[Columna6]]/Tabla13[[#This Row],[Columna5]]</f>
        <v>118474.86</v>
      </c>
      <c r="D505" s="62">
        <f>+Tabla13[[#This Row],[PRECIO INSTALADOR (IVA INCLUIDO)]]-F505</f>
        <v>112551.117</v>
      </c>
      <c r="E505" s="62">
        <f>+Tabla13[[#This Row],[PRECIO INSTALADOR (IVA INCLUIDO)]]/0.7</f>
        <v>169249.80000000002</v>
      </c>
      <c r="F505" s="61">
        <f>+Tabla13[[#This Row],[PRECIO INSTALADOR (IVA INCLUIDO)]]*5%</f>
        <v>5923.7430000000004</v>
      </c>
      <c r="G505" s="12">
        <v>0.85</v>
      </c>
      <c r="H505" s="11">
        <f>Tabla13[[#This Row],[COSTO]]*1.19</f>
        <v>100703.63099999999</v>
      </c>
      <c r="I505" s="10"/>
      <c r="J505" s="9"/>
      <c r="K505" s="66">
        <v>84624.9</v>
      </c>
    </row>
    <row r="506" spans="1:11" ht="12.75" x14ac:dyDescent="0.2">
      <c r="A506" s="75" t="s">
        <v>693</v>
      </c>
      <c r="B506" s="63" t="s">
        <v>692</v>
      </c>
      <c r="C506" s="62">
        <f>+Tabla13[[#This Row],[Columna6]]/Tabla13[[#This Row],[Columna5]]</f>
        <v>75832.260000000009</v>
      </c>
      <c r="D506" s="62">
        <f>+Tabla13[[#This Row],[PRECIO INSTALADOR (IVA INCLUIDO)]]-F506</f>
        <v>72040.647000000012</v>
      </c>
      <c r="E506" s="62">
        <f>+Tabla13[[#This Row],[PRECIO INSTALADOR (IVA INCLUIDO)]]/0.7</f>
        <v>108331.80000000002</v>
      </c>
      <c r="F506" s="61">
        <f>+Tabla13[[#This Row],[PRECIO INSTALADOR (IVA INCLUIDO)]]*5%</f>
        <v>3791.6130000000007</v>
      </c>
      <c r="G506" s="12">
        <v>0.85</v>
      </c>
      <c r="H506" s="11">
        <f>Tabla13[[#This Row],[COSTO]]*1.19</f>
        <v>64457.421000000002</v>
      </c>
      <c r="I506" s="10"/>
      <c r="J506" s="9"/>
      <c r="K506" s="66">
        <v>54165.9</v>
      </c>
    </row>
    <row r="507" spans="1:11" ht="12.75" x14ac:dyDescent="0.2">
      <c r="A507" s="75" t="s">
        <v>691</v>
      </c>
      <c r="B507" s="63" t="s">
        <v>690</v>
      </c>
      <c r="C507" s="62">
        <f>+Tabla13[[#This Row],[Columna6]]/Tabla13[[#This Row],[Columna5]]</f>
        <v>96408.06</v>
      </c>
      <c r="D507" s="62">
        <f>+Tabla13[[#This Row],[PRECIO INSTALADOR (IVA INCLUIDO)]]-F507</f>
        <v>91587.656999999992</v>
      </c>
      <c r="E507" s="62">
        <f>+Tabla13[[#This Row],[PRECIO INSTALADOR (IVA INCLUIDO)]]/0.7</f>
        <v>137725.80000000002</v>
      </c>
      <c r="F507" s="61">
        <f>+Tabla13[[#This Row],[PRECIO INSTALADOR (IVA INCLUIDO)]]*5%</f>
        <v>4820.4030000000002</v>
      </c>
      <c r="G507" s="12">
        <v>0.85</v>
      </c>
      <c r="H507" s="11">
        <f>Tabla13[[#This Row],[COSTO]]*1.19</f>
        <v>81946.850999999995</v>
      </c>
      <c r="I507" s="10"/>
      <c r="J507" s="9"/>
      <c r="K507" s="66">
        <v>68862.899999999994</v>
      </c>
    </row>
    <row r="508" spans="1:11" ht="12.75" x14ac:dyDescent="0.2">
      <c r="A508" s="75" t="s">
        <v>689</v>
      </c>
      <c r="B508" s="63" t="s">
        <v>688</v>
      </c>
      <c r="C508" s="62">
        <f>+Tabla13[[#This Row],[Columna6]]/Tabla13[[#This Row],[Columna5]]</f>
        <v>120562.26</v>
      </c>
      <c r="D508" s="62">
        <f>+Tabla13[[#This Row],[PRECIO INSTALADOR (IVA INCLUIDO)]]-F508</f>
        <v>114534.147</v>
      </c>
      <c r="E508" s="62">
        <f>+Tabla13[[#This Row],[PRECIO INSTALADOR (IVA INCLUIDO)]]/0.7</f>
        <v>172231.80000000002</v>
      </c>
      <c r="F508" s="61">
        <f>+Tabla13[[#This Row],[PRECIO INSTALADOR (IVA INCLUIDO)]]*5%</f>
        <v>6028.1130000000003</v>
      </c>
      <c r="G508" s="12">
        <v>0.85</v>
      </c>
      <c r="H508" s="11">
        <f>Tabla13[[#This Row],[COSTO]]*1.19</f>
        <v>102477.92099999999</v>
      </c>
      <c r="I508" s="10"/>
      <c r="J508" s="9"/>
      <c r="K508" s="66">
        <v>86115.9</v>
      </c>
    </row>
    <row r="509" spans="1:11" ht="12.75" x14ac:dyDescent="0.2">
      <c r="A509" s="75" t="s">
        <v>687</v>
      </c>
      <c r="B509" s="63" t="s">
        <v>686</v>
      </c>
      <c r="C509" s="62">
        <f>+Tabla13[[#This Row],[Columna6]]/Tabla13[[#This Row],[Columna5]]</f>
        <v>137360.85999999999</v>
      </c>
      <c r="D509" s="62">
        <f>+Tabla13[[#This Row],[PRECIO INSTALADOR (IVA INCLUIDO)]]-F509</f>
        <v>130492.81699999998</v>
      </c>
      <c r="E509" s="62">
        <f>+Tabla13[[#This Row],[PRECIO INSTALADOR (IVA INCLUIDO)]]/0.7</f>
        <v>196229.8</v>
      </c>
      <c r="F509" s="61">
        <f>+Tabla13[[#This Row],[PRECIO INSTALADOR (IVA INCLUIDO)]]*5%</f>
        <v>6868.0429999999997</v>
      </c>
      <c r="G509" s="12">
        <v>0.85</v>
      </c>
      <c r="H509" s="11">
        <f>Tabla13[[#This Row],[COSTO]]*1.19</f>
        <v>116756.73099999999</v>
      </c>
      <c r="I509" s="10"/>
      <c r="J509" s="9"/>
      <c r="K509" s="66">
        <v>98114.9</v>
      </c>
    </row>
    <row r="510" spans="1:11" ht="12.75" x14ac:dyDescent="0.2">
      <c r="A510" s="75" t="s">
        <v>685</v>
      </c>
      <c r="B510" s="63" t="s">
        <v>684</v>
      </c>
      <c r="C510" s="62">
        <f>+Tabla13[[#This Row],[Columna6]]/Tabla13[[#This Row],[Columna5]]</f>
        <v>144815.85999999999</v>
      </c>
      <c r="D510" s="62">
        <f>+Tabla13[[#This Row],[PRECIO INSTALADOR (IVA INCLUIDO)]]-F510</f>
        <v>137575.06699999998</v>
      </c>
      <c r="E510" s="62">
        <f>+Tabla13[[#This Row],[PRECIO INSTALADOR (IVA INCLUIDO)]]/0.7</f>
        <v>206879.8</v>
      </c>
      <c r="F510" s="61">
        <f>+Tabla13[[#This Row],[PRECIO INSTALADOR (IVA INCLUIDO)]]*5%</f>
        <v>7240.7929999999997</v>
      </c>
      <c r="G510" s="12">
        <v>0.85</v>
      </c>
      <c r="H510" s="11">
        <f>Tabla13[[#This Row],[COSTO]]*1.19</f>
        <v>123093.48099999999</v>
      </c>
      <c r="I510" s="10"/>
      <c r="J510" s="9"/>
      <c r="K510" s="66">
        <v>103439.9</v>
      </c>
    </row>
    <row r="511" spans="1:11" ht="12.75" x14ac:dyDescent="0.2">
      <c r="A511" s="88" t="s">
        <v>683</v>
      </c>
      <c r="B511" s="63" t="s">
        <v>682</v>
      </c>
      <c r="C511" s="62">
        <f>+Tabla13[[#This Row],[Columna6]]/Tabla13[[#This Row],[Columna5]]</f>
        <v>93923.06</v>
      </c>
      <c r="D511" s="62">
        <f>+Tabla13[[#This Row],[PRECIO INSTALADOR (IVA INCLUIDO)]]-F511</f>
        <v>89226.906999999992</v>
      </c>
      <c r="E511" s="62">
        <f>+Tabla13[[#This Row],[PRECIO INSTALADOR (IVA INCLUIDO)]]/0.7</f>
        <v>134175.80000000002</v>
      </c>
      <c r="F511" s="61">
        <f>+Tabla13[[#This Row],[PRECIO INSTALADOR (IVA INCLUIDO)]]*5%</f>
        <v>4696.1530000000002</v>
      </c>
      <c r="G511" s="12">
        <v>0.85</v>
      </c>
      <c r="H511" s="11">
        <f>Tabla13[[#This Row],[COSTO]]*1.19</f>
        <v>79834.600999999995</v>
      </c>
      <c r="I511" s="10"/>
      <c r="J511" s="9"/>
      <c r="K511" s="66">
        <v>67087.899999999994</v>
      </c>
    </row>
    <row r="512" spans="1:11" ht="12.75" x14ac:dyDescent="0.2">
      <c r="A512" s="88" t="s">
        <v>681</v>
      </c>
      <c r="B512" s="63" t="s">
        <v>680</v>
      </c>
      <c r="C512" s="62">
        <f>+Tabla13[[#This Row],[Columna6]]/Tabla13[[#This Row],[Columna5]]</f>
        <v>123047.26</v>
      </c>
      <c r="D512" s="62">
        <f>+Tabla13[[#This Row],[PRECIO INSTALADOR (IVA INCLUIDO)]]-F512</f>
        <v>116894.897</v>
      </c>
      <c r="E512" s="62">
        <f>+Tabla13[[#This Row],[PRECIO INSTALADOR (IVA INCLUIDO)]]/0.7</f>
        <v>175781.80000000002</v>
      </c>
      <c r="F512" s="61">
        <f>+Tabla13[[#This Row],[PRECIO INSTALADOR (IVA INCLUIDO)]]*5%</f>
        <v>6152.3630000000003</v>
      </c>
      <c r="G512" s="12">
        <v>0.85</v>
      </c>
      <c r="H512" s="11">
        <f>Tabla13[[#This Row],[COSTO]]*1.19</f>
        <v>104590.17099999999</v>
      </c>
      <c r="I512" s="10"/>
      <c r="J512" s="9"/>
      <c r="K512" s="66">
        <v>87890.9</v>
      </c>
    </row>
    <row r="513" spans="1:11" ht="12.75" x14ac:dyDescent="0.2">
      <c r="A513" s="88" t="s">
        <v>679</v>
      </c>
      <c r="B513" s="63" t="s">
        <v>678</v>
      </c>
      <c r="C513" s="62">
        <f>+Tabla13[[#This Row],[Columna6]]/Tabla13[[#This Row],[Columna5]]</f>
        <v>22852.06</v>
      </c>
      <c r="D513" s="62">
        <f>+Tabla13[[#This Row],[PRECIO INSTALADOR (IVA INCLUIDO)]]-F513</f>
        <v>21709.457000000002</v>
      </c>
      <c r="E513" s="62">
        <f>+Tabla13[[#This Row],[PRECIO INSTALADOR (IVA INCLUIDO)]]/0.7</f>
        <v>32645.800000000003</v>
      </c>
      <c r="F513" s="61">
        <f>+Tabla13[[#This Row],[PRECIO INSTALADOR (IVA INCLUIDO)]]*5%</f>
        <v>1142.6030000000001</v>
      </c>
      <c r="G513" s="12">
        <v>0.85</v>
      </c>
      <c r="H513" s="11">
        <f>Tabla13[[#This Row],[COSTO]]*1.19</f>
        <v>19424.251</v>
      </c>
      <c r="I513" s="10"/>
      <c r="J513" s="9"/>
      <c r="K513" s="66">
        <v>16322.9</v>
      </c>
    </row>
    <row r="514" spans="1:11" ht="12.75" x14ac:dyDescent="0.2">
      <c r="A514" s="88" t="s">
        <v>677</v>
      </c>
      <c r="B514" s="63" t="s">
        <v>676</v>
      </c>
      <c r="C514" s="62">
        <f>+Tabla13[[#This Row],[Columna6]]/Tabla13[[#This Row],[Columna5]]</f>
        <v>25436.460000000003</v>
      </c>
      <c r="D514" s="62">
        <f>+Tabla13[[#This Row],[PRECIO INSTALADOR (IVA INCLUIDO)]]-F514</f>
        <v>24164.637000000002</v>
      </c>
      <c r="E514" s="62">
        <f>+Tabla13[[#This Row],[PRECIO INSTALADOR (IVA INCLUIDO)]]/0.7</f>
        <v>36337.800000000003</v>
      </c>
      <c r="F514" s="61">
        <f>+Tabla13[[#This Row],[PRECIO INSTALADOR (IVA INCLUIDO)]]*5%</f>
        <v>1271.8230000000003</v>
      </c>
      <c r="G514" s="12">
        <v>0.85</v>
      </c>
      <c r="H514" s="11">
        <f>Tabla13[[#This Row],[COSTO]]*1.19</f>
        <v>21620.991000000002</v>
      </c>
      <c r="I514" s="10"/>
      <c r="J514" s="9"/>
      <c r="K514" s="96">
        <v>18168.900000000001</v>
      </c>
    </row>
    <row r="515" spans="1:11" ht="12.75" x14ac:dyDescent="0.2">
      <c r="A515" s="76"/>
      <c r="B515" s="69" t="s">
        <v>675</v>
      </c>
      <c r="C515" s="68"/>
      <c r="D515" s="68"/>
      <c r="E515" s="68"/>
      <c r="F515" s="67">
        <f>+Tabla13[[#This Row],[PRECIO INSTALADOR (IVA INCLUIDO)]]*5%</f>
        <v>0</v>
      </c>
      <c r="G515" s="12">
        <v>0.85</v>
      </c>
      <c r="H515" s="11">
        <f>Tabla13[[#This Row],[COSTO]]*1.19</f>
        <v>0</v>
      </c>
      <c r="I515" s="10"/>
      <c r="J515" s="9"/>
      <c r="K515" s="96"/>
    </row>
    <row r="516" spans="1:11" ht="12.75" x14ac:dyDescent="0.2">
      <c r="A516" s="75" t="s">
        <v>674</v>
      </c>
      <c r="B516" s="63" t="s">
        <v>673</v>
      </c>
      <c r="C516" s="62">
        <f>+Tabla13[[#This Row],[Columna6]]/Tabla13[[#This Row],[Columna5]]</f>
        <v>190539.86</v>
      </c>
      <c r="D516" s="62">
        <f>+Tabla13[[#This Row],[PRECIO INSTALADOR (IVA INCLUIDO)]]-F516</f>
        <v>181012.867</v>
      </c>
      <c r="E516" s="62">
        <f>+Tabla13[[#This Row],[PRECIO INSTALADOR (IVA INCLUIDO)]]/0.7</f>
        <v>272199.8</v>
      </c>
      <c r="F516" s="61">
        <f>+Tabla13[[#This Row],[PRECIO INSTALADOR (IVA INCLUIDO)]]*5%</f>
        <v>9526.9930000000004</v>
      </c>
      <c r="G516" s="12">
        <v>0.85</v>
      </c>
      <c r="H516" s="11">
        <f>Tabla13[[#This Row],[COSTO]]*1.19</f>
        <v>161958.88099999999</v>
      </c>
      <c r="I516" s="10"/>
      <c r="J516" s="9"/>
      <c r="K516" s="96">
        <v>136099.9</v>
      </c>
    </row>
    <row r="517" spans="1:11" ht="12.75" x14ac:dyDescent="0.2">
      <c r="A517" s="75" t="s">
        <v>672</v>
      </c>
      <c r="B517" s="63" t="s">
        <v>671</v>
      </c>
      <c r="C517" s="62">
        <f>+Tabla13[[#This Row],[Columna6]]/Tabla13[[#This Row],[Columna5]]</f>
        <v>210618.65999999997</v>
      </c>
      <c r="D517" s="62">
        <f>+Tabla13[[#This Row],[PRECIO INSTALADOR (IVA INCLUIDO)]]-F517</f>
        <v>200087.72699999998</v>
      </c>
      <c r="E517" s="62">
        <f>+Tabla13[[#This Row],[PRECIO INSTALADOR (IVA INCLUIDO)]]/0.7</f>
        <v>300883.8</v>
      </c>
      <c r="F517" s="61">
        <f>+Tabla13[[#This Row],[PRECIO INSTALADOR (IVA INCLUIDO)]]*5%</f>
        <v>10530.932999999999</v>
      </c>
      <c r="G517" s="12">
        <v>0.85</v>
      </c>
      <c r="H517" s="11">
        <f>Tabla13[[#This Row],[COSTO]]*1.19</f>
        <v>179025.86099999998</v>
      </c>
      <c r="I517" s="10"/>
      <c r="J517" s="9"/>
      <c r="K517" s="95">
        <v>150441.9</v>
      </c>
    </row>
    <row r="518" spans="1:11" ht="12.75" x14ac:dyDescent="0.2">
      <c r="A518" s="76"/>
      <c r="B518" s="69" t="s">
        <v>670</v>
      </c>
      <c r="C518" s="68"/>
      <c r="D518" s="68"/>
      <c r="E518" s="68"/>
      <c r="F518" s="67">
        <f>+Tabla13[[#This Row],[PRECIO INSTALADOR (IVA INCLUIDO)]]*5%</f>
        <v>0</v>
      </c>
      <c r="G518" s="12">
        <v>0.85</v>
      </c>
      <c r="H518" s="11">
        <f>Tabla13[[#This Row],[COSTO]]*1.19</f>
        <v>0</v>
      </c>
      <c r="I518" s="10"/>
      <c r="J518" s="9"/>
      <c r="K518" s="95"/>
    </row>
    <row r="519" spans="1:11" ht="12.75" x14ac:dyDescent="0.2">
      <c r="A519" s="75" t="s">
        <v>669</v>
      </c>
      <c r="B519" s="63" t="s">
        <v>668</v>
      </c>
      <c r="C519" s="62">
        <f>+Tabla13[[#This Row],[Columna6]]/Tabla13[[#This Row],[Columna5]]</f>
        <v>102073.85999999999</v>
      </c>
      <c r="D519" s="62">
        <f>+Tabla13[[#This Row],[PRECIO INSTALADOR (IVA INCLUIDO)]]-F519</f>
        <v>96970.166999999987</v>
      </c>
      <c r="E519" s="62">
        <f>+Tabla13[[#This Row],[PRECIO INSTALADOR (IVA INCLUIDO)]]/0.7</f>
        <v>145819.79999999999</v>
      </c>
      <c r="F519" s="61">
        <f>+Tabla13[[#This Row],[PRECIO INSTALADOR (IVA INCLUIDO)]]*5%</f>
        <v>5103.6929999999993</v>
      </c>
      <c r="G519" s="12">
        <v>0.85</v>
      </c>
      <c r="H519" s="11">
        <f>Tabla13[[#This Row],[COSTO]]*1.19</f>
        <v>86762.780999999988</v>
      </c>
      <c r="I519" s="10"/>
      <c r="J519" s="9"/>
      <c r="K519" s="95">
        <v>72909.899999999994</v>
      </c>
    </row>
    <row r="520" spans="1:11" ht="12.75" x14ac:dyDescent="0.2">
      <c r="A520" s="75" t="s">
        <v>667</v>
      </c>
      <c r="B520" s="63" t="s">
        <v>666</v>
      </c>
      <c r="C520" s="62">
        <f>+Tabla13[[#This Row],[Columna6]]/Tabla13[[#This Row],[Columna5]]</f>
        <v>149388.26</v>
      </c>
      <c r="D520" s="62">
        <f>+Tabla13[[#This Row],[PRECIO INSTALADOR (IVA INCLUIDO)]]-F520</f>
        <v>141918.84700000001</v>
      </c>
      <c r="E520" s="62">
        <f>+Tabla13[[#This Row],[PRECIO INSTALADOR (IVA INCLUIDO)]]/0.7</f>
        <v>213411.80000000002</v>
      </c>
      <c r="F520" s="61">
        <f>+Tabla13[[#This Row],[PRECIO INSTALADOR (IVA INCLUIDO)]]*5%</f>
        <v>7469.4130000000005</v>
      </c>
      <c r="G520" s="12">
        <v>0.85</v>
      </c>
      <c r="H520" s="11">
        <f>Tabla13[[#This Row],[COSTO]]*1.19</f>
        <v>126980.02099999999</v>
      </c>
      <c r="I520" s="10"/>
      <c r="J520" s="9"/>
      <c r="K520" s="95">
        <v>106705.9</v>
      </c>
    </row>
    <row r="521" spans="1:11" ht="12.75" x14ac:dyDescent="0.2">
      <c r="A521" s="76"/>
      <c r="B521" s="69" t="s">
        <v>665</v>
      </c>
      <c r="C521" s="68"/>
      <c r="D521" s="68"/>
      <c r="E521" s="68"/>
      <c r="F521" s="67">
        <f>+Tabla13[[#This Row],[PRECIO INSTALADOR (IVA INCLUIDO)]]*5%</f>
        <v>0</v>
      </c>
      <c r="G521" s="12">
        <v>0.85</v>
      </c>
      <c r="H521" s="11">
        <f>Tabla13[[#This Row],[COSTO]]*1.19</f>
        <v>0</v>
      </c>
      <c r="I521" s="10"/>
      <c r="J521" s="9"/>
      <c r="K521" s="66"/>
    </row>
    <row r="522" spans="1:11" ht="12.75" x14ac:dyDescent="0.2">
      <c r="A522" s="75" t="s">
        <v>664</v>
      </c>
      <c r="B522" s="63" t="s">
        <v>663</v>
      </c>
      <c r="C522" s="62">
        <f>+Tabla13[[#This Row],[Columna6]]/Tabla13[[#This Row],[Columna5]]</f>
        <v>94022.459999999992</v>
      </c>
      <c r="D522" s="62">
        <f>+Tabla13[[#This Row],[PRECIO INSTALADOR (IVA INCLUIDO)]]-F522</f>
        <v>89321.337</v>
      </c>
      <c r="E522" s="62">
        <f>+Tabla13[[#This Row],[PRECIO INSTALADOR (IVA INCLUIDO)]]/0.7</f>
        <v>134317.79999999999</v>
      </c>
      <c r="F522" s="61">
        <f>+Tabla13[[#This Row],[PRECIO INSTALADOR (IVA INCLUIDO)]]*5%</f>
        <v>4701.1229999999996</v>
      </c>
      <c r="G522" s="12">
        <v>0.85</v>
      </c>
      <c r="H522" s="11">
        <f>Tabla13[[#This Row],[COSTO]]*1.19</f>
        <v>79919.090999999986</v>
      </c>
      <c r="I522" s="10"/>
      <c r="J522" s="9"/>
      <c r="K522" s="66">
        <v>67158.899999999994</v>
      </c>
    </row>
    <row r="523" spans="1:11" ht="12.75" x14ac:dyDescent="0.2">
      <c r="A523" s="75" t="s">
        <v>662</v>
      </c>
      <c r="B523" s="63" t="s">
        <v>661</v>
      </c>
      <c r="C523" s="62">
        <f>+Tabla13[[#This Row],[Columna6]]/Tabla13[[#This Row],[Columna5]]</f>
        <v>105751.65999999999</v>
      </c>
      <c r="D523" s="62">
        <f>+Tabla13[[#This Row],[PRECIO INSTALADOR (IVA INCLUIDO)]]-F523</f>
        <v>100464.07699999999</v>
      </c>
      <c r="E523" s="62">
        <f>+Tabla13[[#This Row],[PRECIO INSTALADOR (IVA INCLUIDO)]]/0.7</f>
        <v>151073.79999999999</v>
      </c>
      <c r="F523" s="61">
        <f>+Tabla13[[#This Row],[PRECIO INSTALADOR (IVA INCLUIDO)]]*5%</f>
        <v>5287.5829999999996</v>
      </c>
      <c r="G523" s="12">
        <v>0.85</v>
      </c>
      <c r="H523" s="11">
        <f>Tabla13[[#This Row],[COSTO]]*1.19</f>
        <v>89888.910999999993</v>
      </c>
      <c r="I523" s="10"/>
      <c r="J523" s="9"/>
      <c r="K523" s="66">
        <v>75536.899999999994</v>
      </c>
    </row>
    <row r="524" spans="1:11" ht="12.75" x14ac:dyDescent="0.2">
      <c r="A524" s="75" t="s">
        <v>660</v>
      </c>
      <c r="B524" s="63" t="s">
        <v>659</v>
      </c>
      <c r="C524" s="62">
        <f>+Tabla13[[#This Row],[Columna6]]/Tabla13[[#This Row],[Columna5]]</f>
        <v>120860.45999999999</v>
      </c>
      <c r="D524" s="62">
        <f>+Tabla13[[#This Row],[PRECIO INSTALADOR (IVA INCLUIDO)]]-F524</f>
        <v>114817.43699999999</v>
      </c>
      <c r="E524" s="62">
        <f>+Tabla13[[#This Row],[PRECIO INSTALADOR (IVA INCLUIDO)]]/0.7</f>
        <v>172657.8</v>
      </c>
      <c r="F524" s="61">
        <f>+Tabla13[[#This Row],[PRECIO INSTALADOR (IVA INCLUIDO)]]*5%</f>
        <v>6043.0230000000001</v>
      </c>
      <c r="G524" s="12">
        <v>0.85</v>
      </c>
      <c r="H524" s="11">
        <f>Tabla13[[#This Row],[COSTO]]*1.19</f>
        <v>102731.39099999999</v>
      </c>
      <c r="I524" s="10"/>
      <c r="J524" s="9"/>
      <c r="K524" s="66">
        <v>86328.9</v>
      </c>
    </row>
    <row r="525" spans="1:11" ht="12.75" x14ac:dyDescent="0.2">
      <c r="A525" s="88" t="s">
        <v>658</v>
      </c>
      <c r="B525" s="63" t="s">
        <v>657</v>
      </c>
      <c r="C525" s="62">
        <f>+Tabla13[[#This Row],[Columna6]]/Tabla13[[#This Row],[Columna5]]</f>
        <v>107441.45999999999</v>
      </c>
      <c r="D525" s="62">
        <f>+Tabla13[[#This Row],[PRECIO INSTALADOR (IVA INCLUIDO)]]-F525</f>
        <v>102069.38699999999</v>
      </c>
      <c r="E525" s="62">
        <f>+Tabla13[[#This Row],[PRECIO INSTALADOR (IVA INCLUIDO)]]/0.7</f>
        <v>153487.79999999999</v>
      </c>
      <c r="F525" s="61">
        <f>+Tabla13[[#This Row],[PRECIO INSTALADOR (IVA INCLUIDO)]]*5%</f>
        <v>5372.0730000000003</v>
      </c>
      <c r="G525" s="12">
        <v>0.85</v>
      </c>
      <c r="H525" s="11">
        <f>Tabla13[[#This Row],[COSTO]]*1.19</f>
        <v>91325.240999999995</v>
      </c>
      <c r="I525" s="10"/>
      <c r="J525" s="9"/>
      <c r="K525" s="66">
        <v>76743.899999999994</v>
      </c>
    </row>
    <row r="526" spans="1:11" ht="12.75" x14ac:dyDescent="0.2">
      <c r="A526" s="88" t="s">
        <v>656</v>
      </c>
      <c r="B526" s="63" t="s">
        <v>655</v>
      </c>
      <c r="C526" s="62">
        <f>+Tabla13[[#This Row],[Columna6]]/Tabla13[[#This Row],[Columna5]]</f>
        <v>123743.06</v>
      </c>
      <c r="D526" s="62">
        <f>+Tabla13[[#This Row],[PRECIO INSTALADOR (IVA INCLUIDO)]]-F526</f>
        <v>117555.90699999999</v>
      </c>
      <c r="E526" s="62">
        <f>+Tabla13[[#This Row],[PRECIO INSTALADOR (IVA INCLUIDO)]]/0.7</f>
        <v>176775.80000000002</v>
      </c>
      <c r="F526" s="61">
        <f>+Tabla13[[#This Row],[PRECIO INSTALADOR (IVA INCLUIDO)]]*5%</f>
        <v>6187.1530000000002</v>
      </c>
      <c r="G526" s="12">
        <v>0.85</v>
      </c>
      <c r="H526" s="11">
        <f>Tabla13[[#This Row],[COSTO]]*1.19</f>
        <v>105181.601</v>
      </c>
      <c r="I526" s="10"/>
      <c r="J526" s="9"/>
      <c r="K526" s="66">
        <v>88387.9</v>
      </c>
    </row>
    <row r="527" spans="1:11" ht="12.75" x14ac:dyDescent="0.2">
      <c r="A527" s="76"/>
      <c r="B527" s="69" t="s">
        <v>654</v>
      </c>
      <c r="C527" s="68"/>
      <c r="D527" s="68"/>
      <c r="E527" s="68"/>
      <c r="F527" s="67">
        <f>+Tabla13[[#This Row],[PRECIO INSTALADOR (IVA INCLUIDO)]]*5%</f>
        <v>0</v>
      </c>
      <c r="G527" s="12">
        <v>0.85</v>
      </c>
      <c r="H527" s="11">
        <f>Tabla13[[#This Row],[COSTO]]*1.19</f>
        <v>0</v>
      </c>
      <c r="I527" s="10"/>
      <c r="J527" s="9"/>
      <c r="K527" s="95"/>
    </row>
    <row r="528" spans="1:11" ht="12.75" x14ac:dyDescent="0.2">
      <c r="A528" s="82"/>
      <c r="B528" s="64" t="s">
        <v>653</v>
      </c>
      <c r="C528" s="81"/>
      <c r="D528" s="81"/>
      <c r="E528" s="81"/>
      <c r="F528" s="61">
        <f>+Tabla13[[#This Row],[PRECIO INSTALADOR (IVA INCLUIDO)]]*5%</f>
        <v>0</v>
      </c>
      <c r="G528" s="12">
        <v>0.85</v>
      </c>
      <c r="H528" s="11" t="e">
        <f>Tabla13[[#This Row],[COSTO]]*1.19</f>
        <v>#VALUE!</v>
      </c>
      <c r="I528" s="10"/>
      <c r="J528" s="9"/>
      <c r="K528" s="95" t="s">
        <v>261</v>
      </c>
    </row>
    <row r="529" spans="1:11" ht="12.75" x14ac:dyDescent="0.2">
      <c r="A529" s="88" t="s">
        <v>652</v>
      </c>
      <c r="B529" s="63" t="s">
        <v>651</v>
      </c>
      <c r="C529" s="62">
        <f>+Tabla13[[#This Row],[Columna6]]/Tabla13[[#This Row],[Columna5]]</f>
        <v>77323.259999999995</v>
      </c>
      <c r="D529" s="62">
        <f>+Tabla13[[#This Row],[PRECIO INSTALADOR (IVA INCLUIDO)]]-F529</f>
        <v>73457.096999999994</v>
      </c>
      <c r="E529" s="62">
        <f>+Tabla13[[#This Row],[PRECIO INSTALADOR (IVA INCLUIDO)]]/0.7</f>
        <v>110461.8</v>
      </c>
      <c r="F529" s="61">
        <f>+Tabla13[[#This Row],[PRECIO INSTALADOR (IVA INCLUIDO)]]*5%</f>
        <v>3866.163</v>
      </c>
      <c r="G529" s="12">
        <v>0.85</v>
      </c>
      <c r="H529" s="11">
        <f>Tabla13[[#This Row],[COSTO]]*1.19</f>
        <v>65724.770999999993</v>
      </c>
      <c r="I529" s="10"/>
      <c r="J529" s="9"/>
      <c r="K529" s="95">
        <v>55230.9</v>
      </c>
    </row>
    <row r="530" spans="1:11" ht="12.75" x14ac:dyDescent="0.2">
      <c r="A530" s="88" t="s">
        <v>650</v>
      </c>
      <c r="B530" s="63" t="s">
        <v>649</v>
      </c>
      <c r="C530" s="62">
        <f>+Tabla13[[#This Row],[Columna6]]/Tabla13[[#This Row],[Columna5]]</f>
        <v>96408.06</v>
      </c>
      <c r="D530" s="62">
        <f>+Tabla13[[#This Row],[PRECIO INSTALADOR (IVA INCLUIDO)]]-F530</f>
        <v>91587.656999999992</v>
      </c>
      <c r="E530" s="62">
        <f>+Tabla13[[#This Row],[PRECIO INSTALADOR (IVA INCLUIDO)]]/0.7</f>
        <v>137725.80000000002</v>
      </c>
      <c r="F530" s="61">
        <f>+Tabla13[[#This Row],[PRECIO INSTALADOR (IVA INCLUIDO)]]*5%</f>
        <v>4820.4030000000002</v>
      </c>
      <c r="G530" s="12">
        <v>0.85</v>
      </c>
      <c r="H530" s="11">
        <f>Tabla13[[#This Row],[COSTO]]*1.19</f>
        <v>81946.850999999995</v>
      </c>
      <c r="I530" s="10"/>
      <c r="J530" s="9"/>
      <c r="K530" s="95">
        <v>68862.899999999994</v>
      </c>
    </row>
    <row r="531" spans="1:11" ht="12.75" x14ac:dyDescent="0.2">
      <c r="A531" s="88" t="s">
        <v>648</v>
      </c>
      <c r="B531" s="63" t="s">
        <v>647</v>
      </c>
      <c r="C531" s="62">
        <f>+Tabla13[[#This Row],[Columna6]]/Tabla13[[#This Row],[Columna5]]</f>
        <v>123047.26</v>
      </c>
      <c r="D531" s="62">
        <f>+Tabla13[[#This Row],[PRECIO INSTALADOR (IVA INCLUIDO)]]-F531</f>
        <v>116894.897</v>
      </c>
      <c r="E531" s="62">
        <f>+Tabla13[[#This Row],[PRECIO INSTALADOR (IVA INCLUIDO)]]/0.7</f>
        <v>175781.80000000002</v>
      </c>
      <c r="F531" s="61">
        <f>+Tabla13[[#This Row],[PRECIO INSTALADOR (IVA INCLUIDO)]]*5%</f>
        <v>6152.3630000000003</v>
      </c>
      <c r="G531" s="12">
        <v>0.85</v>
      </c>
      <c r="H531" s="11">
        <f>Tabla13[[#This Row],[COSTO]]*1.19</f>
        <v>104590.17099999999</v>
      </c>
      <c r="I531" s="10"/>
      <c r="J531" s="9"/>
      <c r="K531" s="95">
        <v>87890.9</v>
      </c>
    </row>
    <row r="532" spans="1:11" ht="12.75" x14ac:dyDescent="0.2">
      <c r="A532" s="88" t="s">
        <v>646</v>
      </c>
      <c r="B532" s="63" t="s">
        <v>645</v>
      </c>
      <c r="C532" s="62">
        <f>+Tabla13[[#This Row],[Columna6]]/Tabla13[[#This Row],[Columna5]]</f>
        <v>102471.45999999999</v>
      </c>
      <c r="D532" s="62">
        <f>+Tabla13[[#This Row],[PRECIO INSTALADOR (IVA INCLUIDO)]]-F532</f>
        <v>97347.886999999988</v>
      </c>
      <c r="E532" s="62">
        <f>+Tabla13[[#This Row],[PRECIO INSTALADOR (IVA INCLUIDO)]]/0.7</f>
        <v>146387.79999999999</v>
      </c>
      <c r="F532" s="61">
        <f>+Tabla13[[#This Row],[PRECIO INSTALADOR (IVA INCLUIDO)]]*5%</f>
        <v>5123.5730000000003</v>
      </c>
      <c r="G532" s="12">
        <v>0.85</v>
      </c>
      <c r="H532" s="11">
        <f>Tabla13[[#This Row],[COSTO]]*1.19</f>
        <v>87100.740999999995</v>
      </c>
      <c r="I532" s="10"/>
      <c r="J532" s="9"/>
      <c r="K532" s="95">
        <v>73193.899999999994</v>
      </c>
    </row>
    <row r="533" spans="1:11" ht="12.75" x14ac:dyDescent="0.2">
      <c r="A533" s="88" t="s">
        <v>644</v>
      </c>
      <c r="B533" s="63" t="s">
        <v>643</v>
      </c>
      <c r="C533" s="62">
        <f>+Tabla13[[#This Row],[Columna6]]/Tabla13[[#This Row],[Columna5]]</f>
        <v>126228.06</v>
      </c>
      <c r="D533" s="62">
        <f>+Tabla13[[#This Row],[PRECIO INSTALADOR (IVA INCLUIDO)]]-F533</f>
        <v>119916.65699999999</v>
      </c>
      <c r="E533" s="62">
        <f>+Tabla13[[#This Row],[PRECIO INSTALADOR (IVA INCLUIDO)]]/0.7</f>
        <v>180325.80000000002</v>
      </c>
      <c r="F533" s="61">
        <f>+Tabla13[[#This Row],[PRECIO INSTALADOR (IVA INCLUIDO)]]*5%</f>
        <v>6311.4030000000002</v>
      </c>
      <c r="G533" s="12">
        <v>0.85</v>
      </c>
      <c r="H533" s="11">
        <f>Tabla13[[#This Row],[COSTO]]*1.19</f>
        <v>107293.851</v>
      </c>
      <c r="I533" s="10"/>
      <c r="J533" s="9"/>
      <c r="K533" s="66">
        <v>90162.9</v>
      </c>
    </row>
    <row r="534" spans="1:11" ht="12.75" x14ac:dyDescent="0.2">
      <c r="A534" s="82"/>
      <c r="B534" s="64" t="s">
        <v>642</v>
      </c>
      <c r="C534" s="81"/>
      <c r="D534" s="81"/>
      <c r="E534" s="81"/>
      <c r="F534" s="61">
        <f>+Tabla13[[#This Row],[PRECIO INSTALADOR (IVA INCLUIDO)]]*5%</f>
        <v>0</v>
      </c>
      <c r="G534" s="12">
        <v>0.85</v>
      </c>
      <c r="H534" s="11" t="e">
        <f>Tabla13[[#This Row],[COSTO]]*1.19</f>
        <v>#VALUE!</v>
      </c>
      <c r="I534" s="10"/>
      <c r="J534" s="9"/>
      <c r="K534" s="66" t="s">
        <v>261</v>
      </c>
    </row>
    <row r="535" spans="1:11" ht="12.75" x14ac:dyDescent="0.2">
      <c r="A535" s="88" t="s">
        <v>641</v>
      </c>
      <c r="B535" s="63" t="s">
        <v>640</v>
      </c>
      <c r="C535" s="62">
        <f>+Tabla13[[#This Row],[Columna6]]/Tabla13[[#This Row],[Columna5]]</f>
        <v>77323.259999999995</v>
      </c>
      <c r="D535" s="62">
        <f>+Tabla13[[#This Row],[PRECIO INSTALADOR (IVA INCLUIDO)]]-F535</f>
        <v>73457.096999999994</v>
      </c>
      <c r="E535" s="62">
        <f>+Tabla13[[#This Row],[PRECIO INSTALADOR (IVA INCLUIDO)]]/0.7</f>
        <v>110461.8</v>
      </c>
      <c r="F535" s="61">
        <f>+Tabla13[[#This Row],[PRECIO INSTALADOR (IVA INCLUIDO)]]*5%</f>
        <v>3866.163</v>
      </c>
      <c r="G535" s="12">
        <v>0.85</v>
      </c>
      <c r="H535" s="11">
        <f>Tabla13[[#This Row],[COSTO]]*1.19</f>
        <v>65724.770999999993</v>
      </c>
      <c r="I535" s="10"/>
      <c r="J535" s="9"/>
      <c r="K535" s="66">
        <v>55230.9</v>
      </c>
    </row>
    <row r="536" spans="1:11" ht="12.75" x14ac:dyDescent="0.2">
      <c r="A536" s="88" t="s">
        <v>639</v>
      </c>
      <c r="B536" s="63" t="s">
        <v>638</v>
      </c>
      <c r="C536" s="62">
        <f>+Tabla13[[#This Row],[Columna6]]/Tabla13[[#This Row],[Columna5]]</f>
        <v>96408.06</v>
      </c>
      <c r="D536" s="62">
        <f>+Tabla13[[#This Row],[PRECIO INSTALADOR (IVA INCLUIDO)]]-F536</f>
        <v>91587.656999999992</v>
      </c>
      <c r="E536" s="62">
        <f>+Tabla13[[#This Row],[PRECIO INSTALADOR (IVA INCLUIDO)]]/0.7</f>
        <v>137725.80000000002</v>
      </c>
      <c r="F536" s="61">
        <f>+Tabla13[[#This Row],[PRECIO INSTALADOR (IVA INCLUIDO)]]*5%</f>
        <v>4820.4030000000002</v>
      </c>
      <c r="G536" s="12">
        <v>0.85</v>
      </c>
      <c r="H536" s="11">
        <f>Tabla13[[#This Row],[COSTO]]*1.19</f>
        <v>81946.850999999995</v>
      </c>
      <c r="I536" s="10"/>
      <c r="J536" s="9"/>
      <c r="K536" s="66">
        <v>68862.899999999994</v>
      </c>
    </row>
    <row r="537" spans="1:11" ht="12.75" x14ac:dyDescent="0.2">
      <c r="A537" s="88" t="s">
        <v>637</v>
      </c>
      <c r="B537" s="63" t="s">
        <v>636</v>
      </c>
      <c r="C537" s="62">
        <f>+Tabla13[[#This Row],[Columna6]]/Tabla13[[#This Row],[Columna5]]</f>
        <v>123047.26</v>
      </c>
      <c r="D537" s="62">
        <f>+Tabla13[[#This Row],[PRECIO INSTALADOR (IVA INCLUIDO)]]-F537</f>
        <v>116894.897</v>
      </c>
      <c r="E537" s="62">
        <f>+Tabla13[[#This Row],[PRECIO INSTALADOR (IVA INCLUIDO)]]/0.7</f>
        <v>175781.80000000002</v>
      </c>
      <c r="F537" s="61">
        <f>+Tabla13[[#This Row],[PRECIO INSTALADOR (IVA INCLUIDO)]]*5%</f>
        <v>6152.3630000000003</v>
      </c>
      <c r="G537" s="12">
        <v>0.85</v>
      </c>
      <c r="H537" s="11">
        <f>Tabla13[[#This Row],[COSTO]]*1.19</f>
        <v>104590.17099999999</v>
      </c>
      <c r="I537" s="10"/>
      <c r="J537" s="9"/>
      <c r="K537" s="66">
        <v>87890.9</v>
      </c>
    </row>
    <row r="538" spans="1:11" ht="12.75" x14ac:dyDescent="0.2">
      <c r="A538" s="88" t="s">
        <v>635</v>
      </c>
      <c r="B538" s="63" t="s">
        <v>634</v>
      </c>
      <c r="C538" s="62">
        <f>+Tabla13[[#This Row],[Columna6]]/Tabla13[[#This Row],[Columna5]]</f>
        <v>102471.45999999999</v>
      </c>
      <c r="D538" s="62">
        <f>+Tabla13[[#This Row],[PRECIO INSTALADOR (IVA INCLUIDO)]]-F538</f>
        <v>97347.886999999988</v>
      </c>
      <c r="E538" s="62">
        <f>+Tabla13[[#This Row],[PRECIO INSTALADOR (IVA INCLUIDO)]]/0.7</f>
        <v>146387.79999999999</v>
      </c>
      <c r="F538" s="61">
        <f>+Tabla13[[#This Row],[PRECIO INSTALADOR (IVA INCLUIDO)]]*5%</f>
        <v>5123.5730000000003</v>
      </c>
      <c r="G538" s="12">
        <v>0.85</v>
      </c>
      <c r="H538" s="11">
        <f>Tabla13[[#This Row],[COSTO]]*1.19</f>
        <v>87100.740999999995</v>
      </c>
      <c r="I538" s="10"/>
      <c r="J538" s="9"/>
      <c r="K538" s="66">
        <v>73193.899999999994</v>
      </c>
    </row>
    <row r="539" spans="1:11" ht="12.75" x14ac:dyDescent="0.2">
      <c r="A539" s="88" t="s">
        <v>633</v>
      </c>
      <c r="B539" s="63" t="s">
        <v>632</v>
      </c>
      <c r="C539" s="62">
        <f>+Tabla13[[#This Row],[Columna6]]/Tabla13[[#This Row],[Columna5]]</f>
        <v>126228.06</v>
      </c>
      <c r="D539" s="62">
        <f>+Tabla13[[#This Row],[PRECIO INSTALADOR (IVA INCLUIDO)]]-F539</f>
        <v>119916.65699999999</v>
      </c>
      <c r="E539" s="62">
        <f>+Tabla13[[#This Row],[PRECIO INSTALADOR (IVA INCLUIDO)]]/0.7</f>
        <v>180325.80000000002</v>
      </c>
      <c r="F539" s="61">
        <f>+Tabla13[[#This Row],[PRECIO INSTALADOR (IVA INCLUIDO)]]*5%</f>
        <v>6311.4030000000002</v>
      </c>
      <c r="G539" s="12">
        <v>0.85</v>
      </c>
      <c r="H539" s="11">
        <f>Tabla13[[#This Row],[COSTO]]*1.19</f>
        <v>107293.851</v>
      </c>
      <c r="I539" s="10"/>
      <c r="J539" s="9"/>
      <c r="K539" s="66">
        <v>90162.9</v>
      </c>
    </row>
    <row r="540" spans="1:11" ht="12.75" x14ac:dyDescent="0.2">
      <c r="A540" s="94"/>
      <c r="B540" s="69" t="s">
        <v>631</v>
      </c>
      <c r="C540" s="93"/>
      <c r="D540" s="93"/>
      <c r="E540" s="93"/>
      <c r="F540" s="92">
        <f>+Tabla13[[#This Row],[PRECIO INSTALADOR (IVA INCLUIDO)]]*5%</f>
        <v>0</v>
      </c>
      <c r="G540" s="12">
        <v>0.85</v>
      </c>
      <c r="H540" s="11">
        <f>Tabla13[[#This Row],[COSTO]]*1.19</f>
        <v>0</v>
      </c>
      <c r="I540" s="10"/>
      <c r="J540" s="9"/>
      <c r="K540" s="66"/>
    </row>
    <row r="541" spans="1:11" ht="12.75" x14ac:dyDescent="0.2">
      <c r="A541" s="82"/>
      <c r="B541" s="64" t="s">
        <v>630</v>
      </c>
      <c r="C541" s="81"/>
      <c r="D541" s="81"/>
      <c r="E541" s="81"/>
      <c r="F541" s="61">
        <f>+Tabla13[[#This Row],[PRECIO INSTALADOR (IVA INCLUIDO)]]*5%</f>
        <v>0</v>
      </c>
      <c r="G541" s="12">
        <v>0.85</v>
      </c>
      <c r="H541" s="11" t="e">
        <f>Tabla13[[#This Row],[COSTO]]*1.19</f>
        <v>#VALUE!</v>
      </c>
      <c r="I541" s="10"/>
      <c r="J541" s="9"/>
      <c r="K541" s="66" t="s">
        <v>261</v>
      </c>
    </row>
    <row r="542" spans="1:11" ht="12.75" x14ac:dyDescent="0.2">
      <c r="A542" s="75" t="s">
        <v>629</v>
      </c>
      <c r="B542" s="63" t="s">
        <v>628</v>
      </c>
      <c r="C542" s="62">
        <f>+Tabla13[[#This Row],[Columna6]]/Tabla13[[#This Row],[Columna5]]</f>
        <v>100085.85999999999</v>
      </c>
      <c r="D542" s="62">
        <f>+Tabla13[[#This Row],[PRECIO INSTALADOR (IVA INCLUIDO)]]-F542</f>
        <v>95081.566999999981</v>
      </c>
      <c r="E542" s="62">
        <f>+Tabla13[[#This Row],[PRECIO INSTALADOR (IVA INCLUIDO)]]/0.7</f>
        <v>142979.79999999999</v>
      </c>
      <c r="F542" s="61">
        <f>+Tabla13[[#This Row],[PRECIO INSTALADOR (IVA INCLUIDO)]]*5%</f>
        <v>5004.2929999999997</v>
      </c>
      <c r="G542" s="12">
        <v>0.85</v>
      </c>
      <c r="H542" s="11">
        <f>Tabla13[[#This Row],[COSTO]]*1.19</f>
        <v>85072.980999999985</v>
      </c>
      <c r="I542" s="10"/>
      <c r="J542" s="9"/>
      <c r="K542" s="66">
        <v>71489.899999999994</v>
      </c>
    </row>
    <row r="543" spans="1:11" ht="12.75" x14ac:dyDescent="0.2">
      <c r="A543" s="75" t="s">
        <v>627</v>
      </c>
      <c r="B543" s="63" t="s">
        <v>626</v>
      </c>
      <c r="C543" s="62">
        <f>+Tabla13[[#This Row],[Columna6]]/Tabla13[[#This Row],[Columna5]]</f>
        <v>121953.85999999999</v>
      </c>
      <c r="D543" s="62">
        <f>+Tabla13[[#This Row],[PRECIO INSTALADOR (IVA INCLUIDO)]]-F543</f>
        <v>115856.16699999999</v>
      </c>
      <c r="E543" s="62">
        <f>+Tabla13[[#This Row],[PRECIO INSTALADOR (IVA INCLUIDO)]]/0.7</f>
        <v>174219.8</v>
      </c>
      <c r="F543" s="61">
        <f>+Tabla13[[#This Row],[PRECIO INSTALADOR (IVA INCLUIDO)]]*5%</f>
        <v>6097.6929999999993</v>
      </c>
      <c r="G543" s="12">
        <v>0.85</v>
      </c>
      <c r="H543" s="11">
        <f>Tabla13[[#This Row],[COSTO]]*1.19</f>
        <v>103660.78099999999</v>
      </c>
      <c r="I543" s="10"/>
      <c r="J543" s="9"/>
      <c r="K543" s="66">
        <v>87109.9</v>
      </c>
    </row>
    <row r="544" spans="1:11" ht="12.75" x14ac:dyDescent="0.2">
      <c r="A544" s="75" t="s">
        <v>625</v>
      </c>
      <c r="B544" s="63" t="s">
        <v>624</v>
      </c>
      <c r="C544" s="62">
        <f>+Tabla13[[#This Row],[Columna6]]/Tabla13[[#This Row],[Columna5]]</f>
        <v>145114.06</v>
      </c>
      <c r="D544" s="62">
        <f>+Tabla13[[#This Row],[PRECIO INSTALADOR (IVA INCLUIDO)]]-F544</f>
        <v>137858.35699999999</v>
      </c>
      <c r="E544" s="62">
        <f>+Tabla13[[#This Row],[PRECIO INSTALADOR (IVA INCLUIDO)]]/0.7</f>
        <v>207305.80000000002</v>
      </c>
      <c r="F544" s="61">
        <f>+Tabla13[[#This Row],[PRECIO INSTALADOR (IVA INCLUIDO)]]*5%</f>
        <v>7255.7030000000004</v>
      </c>
      <c r="G544" s="12">
        <v>0.85</v>
      </c>
      <c r="H544" s="11">
        <f>Tabla13[[#This Row],[COSTO]]*1.19</f>
        <v>123346.95099999999</v>
      </c>
      <c r="I544" s="10"/>
      <c r="J544" s="9"/>
      <c r="K544" s="66">
        <v>103652.9</v>
      </c>
    </row>
    <row r="545" spans="1:11" ht="12.75" x14ac:dyDescent="0.2">
      <c r="A545" s="82"/>
      <c r="B545" s="64" t="s">
        <v>623</v>
      </c>
      <c r="C545" s="81"/>
      <c r="D545" s="81"/>
      <c r="E545" s="81"/>
      <c r="F545" s="61">
        <f>+Tabla13[[#This Row],[PRECIO INSTALADOR (IVA INCLUIDO)]]*5%</f>
        <v>0</v>
      </c>
      <c r="G545" s="12">
        <v>0.85</v>
      </c>
      <c r="H545" s="11" t="e">
        <f>Tabla13[[#This Row],[COSTO]]*1.19</f>
        <v>#VALUE!</v>
      </c>
      <c r="I545" s="10"/>
      <c r="J545" s="9"/>
      <c r="K545" s="66" t="s">
        <v>261</v>
      </c>
    </row>
    <row r="546" spans="1:11" ht="12.75" x14ac:dyDescent="0.2">
      <c r="A546" s="75" t="s">
        <v>622</v>
      </c>
      <c r="B546" s="63" t="s">
        <v>621</v>
      </c>
      <c r="C546" s="62">
        <f>+Tabla13[[#This Row],[Columna6]]/Tabla13[[#This Row],[Columna5]]</f>
        <v>52075.66</v>
      </c>
      <c r="D546" s="62">
        <f>+Tabla13[[#This Row],[PRECIO INSTALADOR (IVA INCLUIDO)]]-F546</f>
        <v>49471.877</v>
      </c>
      <c r="E546" s="62">
        <f>+Tabla13[[#This Row],[PRECIO INSTALADOR (IVA INCLUIDO)]]/0.7</f>
        <v>74393.8</v>
      </c>
      <c r="F546" s="61">
        <f>+Tabla13[[#This Row],[PRECIO INSTALADOR (IVA INCLUIDO)]]*5%</f>
        <v>2603.7830000000004</v>
      </c>
      <c r="G546" s="12">
        <v>0.85</v>
      </c>
      <c r="H546" s="11">
        <f>Tabla13[[#This Row],[COSTO]]*1.19</f>
        <v>44264.311000000002</v>
      </c>
      <c r="I546" s="10"/>
      <c r="J546" s="9"/>
      <c r="K546" s="66">
        <v>37196.9</v>
      </c>
    </row>
    <row r="547" spans="1:11" ht="12.75" x14ac:dyDescent="0.2">
      <c r="A547" s="75" t="s">
        <v>620</v>
      </c>
      <c r="B547" s="63" t="s">
        <v>619</v>
      </c>
      <c r="C547" s="62">
        <f>+Tabla13[[#This Row],[Columna6]]/Tabla13[[#This Row],[Columna5]]</f>
        <v>58437.26</v>
      </c>
      <c r="D547" s="62">
        <f>+Tabla13[[#This Row],[PRECIO INSTALADOR (IVA INCLUIDO)]]-F547</f>
        <v>55515.397000000004</v>
      </c>
      <c r="E547" s="62">
        <f>+Tabla13[[#This Row],[PRECIO INSTALADOR (IVA INCLUIDO)]]/0.7</f>
        <v>83481.8</v>
      </c>
      <c r="F547" s="61">
        <f>+Tabla13[[#This Row],[PRECIO INSTALADOR (IVA INCLUIDO)]]*5%</f>
        <v>2921.8630000000003</v>
      </c>
      <c r="G547" s="12">
        <v>0.85</v>
      </c>
      <c r="H547" s="11">
        <f>Tabla13[[#This Row],[COSTO]]*1.19</f>
        <v>49671.671000000002</v>
      </c>
      <c r="I547" s="10"/>
      <c r="J547" s="9"/>
      <c r="K547" s="66">
        <v>41740.9</v>
      </c>
    </row>
    <row r="548" spans="1:11" ht="12.75" x14ac:dyDescent="0.2">
      <c r="A548" s="75" t="s">
        <v>618</v>
      </c>
      <c r="B548" s="63" t="s">
        <v>617</v>
      </c>
      <c r="C548" s="62">
        <f>+Tabla13[[#This Row],[Columna6]]/Tabla13[[#This Row],[Columna5]]</f>
        <v>77919.66</v>
      </c>
      <c r="D548" s="62">
        <f>+Tabla13[[#This Row],[PRECIO INSTALADOR (IVA INCLUIDO)]]-F548</f>
        <v>74023.676999999996</v>
      </c>
      <c r="E548" s="62">
        <f>+Tabla13[[#This Row],[PRECIO INSTALADOR (IVA INCLUIDO)]]/0.7</f>
        <v>111313.80000000002</v>
      </c>
      <c r="F548" s="61">
        <f>+Tabla13[[#This Row],[PRECIO INSTALADOR (IVA INCLUIDO)]]*5%</f>
        <v>3895.9830000000002</v>
      </c>
      <c r="G548" s="12">
        <v>0.85</v>
      </c>
      <c r="H548" s="11">
        <f>Tabla13[[#This Row],[COSTO]]*1.19</f>
        <v>66231.710999999996</v>
      </c>
      <c r="I548" s="10"/>
      <c r="J548" s="9"/>
      <c r="K548" s="66">
        <v>55656.9</v>
      </c>
    </row>
    <row r="549" spans="1:11" ht="12.75" x14ac:dyDescent="0.2">
      <c r="A549" s="82"/>
      <c r="B549" s="64" t="s">
        <v>616</v>
      </c>
      <c r="C549" s="81"/>
      <c r="D549" s="81"/>
      <c r="E549" s="81"/>
      <c r="F549" s="61">
        <f>+Tabla13[[#This Row],[PRECIO INSTALADOR (IVA INCLUIDO)]]*5%</f>
        <v>0</v>
      </c>
      <c r="G549" s="12">
        <v>0.85</v>
      </c>
      <c r="H549" s="11" t="e">
        <f>Tabla13[[#This Row],[COSTO]]*1.19</f>
        <v>#VALUE!</v>
      </c>
      <c r="I549" s="10"/>
      <c r="J549" s="9"/>
      <c r="K549" s="66" t="s">
        <v>261</v>
      </c>
    </row>
    <row r="550" spans="1:11" ht="12.75" x14ac:dyDescent="0.2">
      <c r="A550" s="75" t="s">
        <v>615</v>
      </c>
      <c r="B550" s="63" t="s">
        <v>614</v>
      </c>
      <c r="C550" s="62">
        <f>+Tabla13[[#This Row],[Columna6]]/Tabla13[[#This Row],[Columna5]]</f>
        <v>95414.059999999983</v>
      </c>
      <c r="D550" s="62">
        <f>+Tabla13[[#This Row],[PRECIO INSTALADOR (IVA INCLUIDO)]]-F550</f>
        <v>90643.356999999989</v>
      </c>
      <c r="E550" s="62">
        <f>+Tabla13[[#This Row],[PRECIO INSTALADOR (IVA INCLUIDO)]]/0.7</f>
        <v>136305.79999999999</v>
      </c>
      <c r="F550" s="61">
        <f>+Tabla13[[#This Row],[PRECIO INSTALADOR (IVA INCLUIDO)]]*5%</f>
        <v>4770.7029999999995</v>
      </c>
      <c r="G550" s="12">
        <v>0.85</v>
      </c>
      <c r="H550" s="11">
        <f>Tabla13[[#This Row],[COSTO]]*1.19</f>
        <v>81101.950999999986</v>
      </c>
      <c r="I550" s="10"/>
      <c r="J550" s="9"/>
      <c r="K550" s="66">
        <v>68152.899999999994</v>
      </c>
    </row>
    <row r="551" spans="1:11" ht="12.75" x14ac:dyDescent="0.2">
      <c r="A551" s="75" t="s">
        <v>613</v>
      </c>
      <c r="B551" s="63" t="s">
        <v>612</v>
      </c>
      <c r="C551" s="62">
        <f>+Tabla13[[#This Row],[Columna6]]/Tabla13[[#This Row],[Columna5]]</f>
        <v>111715.65999999999</v>
      </c>
      <c r="D551" s="62">
        <f>+Tabla13[[#This Row],[PRECIO INSTALADOR (IVA INCLUIDO)]]-F551</f>
        <v>106129.87699999999</v>
      </c>
      <c r="E551" s="62">
        <f>+Tabla13[[#This Row],[PRECIO INSTALADOR (IVA INCLUIDO)]]/0.7</f>
        <v>159593.79999999999</v>
      </c>
      <c r="F551" s="61">
        <f>+Tabla13[[#This Row],[PRECIO INSTALADOR (IVA INCLUIDO)]]*5%</f>
        <v>5585.7829999999994</v>
      </c>
      <c r="G551" s="12">
        <v>0.85</v>
      </c>
      <c r="H551" s="11">
        <f>Tabla13[[#This Row],[COSTO]]*1.19</f>
        <v>94958.310999999987</v>
      </c>
      <c r="I551" s="10"/>
      <c r="J551" s="9"/>
      <c r="K551" s="66">
        <v>79796.899999999994</v>
      </c>
    </row>
    <row r="552" spans="1:11" ht="12.75" x14ac:dyDescent="0.2">
      <c r="A552" s="76"/>
      <c r="B552" s="69" t="s">
        <v>611</v>
      </c>
      <c r="C552" s="68"/>
      <c r="D552" s="68"/>
      <c r="E552" s="68"/>
      <c r="F552" s="67">
        <f>+Tabla13[[#This Row],[PRECIO INSTALADOR (IVA INCLUIDO)]]*5%</f>
        <v>0</v>
      </c>
      <c r="G552" s="12">
        <v>0.85</v>
      </c>
      <c r="H552" s="11">
        <f>Tabla13[[#This Row],[COSTO]]*1.19</f>
        <v>0</v>
      </c>
      <c r="I552" s="10"/>
      <c r="J552" s="9"/>
      <c r="K552" s="66"/>
    </row>
    <row r="553" spans="1:11" ht="12.75" x14ac:dyDescent="0.2">
      <c r="A553" s="75" t="s">
        <v>610</v>
      </c>
      <c r="B553" s="63" t="s">
        <v>609</v>
      </c>
      <c r="C553" s="62">
        <f>+Tabla13[[#This Row],[Columna6]]/Tabla13[[#This Row],[Columna5]]</f>
        <v>14403.06</v>
      </c>
      <c r="D553" s="62">
        <f>+Tabla13[[#This Row],[PRECIO INSTALADOR (IVA INCLUIDO)]]-F553</f>
        <v>13682.906999999999</v>
      </c>
      <c r="E553" s="62">
        <f>+Tabla13[[#This Row],[PRECIO INSTALADOR (IVA INCLUIDO)]]/0.7</f>
        <v>20575.8</v>
      </c>
      <c r="F553" s="61">
        <f>+Tabla13[[#This Row],[PRECIO INSTALADOR (IVA INCLUIDO)]]*5%</f>
        <v>720.15300000000002</v>
      </c>
      <c r="G553" s="12">
        <v>0.85</v>
      </c>
      <c r="H553" s="11">
        <f>Tabla13[[#This Row],[COSTO]]*1.19</f>
        <v>12242.600999999999</v>
      </c>
      <c r="I553" s="10"/>
      <c r="J553" s="9"/>
      <c r="K553" s="66">
        <v>10287.9</v>
      </c>
    </row>
    <row r="554" spans="1:11" ht="12.75" x14ac:dyDescent="0.2">
      <c r="A554" s="75" t="s">
        <v>608</v>
      </c>
      <c r="B554" s="63" t="s">
        <v>607</v>
      </c>
      <c r="C554" s="62">
        <f>+Tabla13[[#This Row],[Columna6]]/Tabla13[[#This Row],[Columna5]]</f>
        <v>19770.659999999996</v>
      </c>
      <c r="D554" s="62">
        <f>+Tabla13[[#This Row],[PRECIO INSTALADOR (IVA INCLUIDO)]]-F554</f>
        <v>18782.126999999997</v>
      </c>
      <c r="E554" s="62">
        <f>+Tabla13[[#This Row],[PRECIO INSTALADOR (IVA INCLUIDO)]]/0.7</f>
        <v>28243.799999999996</v>
      </c>
      <c r="F554" s="61">
        <f>+Tabla13[[#This Row],[PRECIO INSTALADOR (IVA INCLUIDO)]]*5%</f>
        <v>988.5329999999999</v>
      </c>
      <c r="G554" s="12">
        <v>0.85</v>
      </c>
      <c r="H554" s="11">
        <f>Tabla13[[#This Row],[COSTO]]*1.19</f>
        <v>16805.060999999998</v>
      </c>
      <c r="I554" s="10"/>
      <c r="J554" s="9"/>
      <c r="K554" s="66">
        <v>14121.9</v>
      </c>
    </row>
    <row r="555" spans="1:11" ht="12.75" x14ac:dyDescent="0.2">
      <c r="A555" s="75" t="s">
        <v>606</v>
      </c>
      <c r="B555" s="63" t="s">
        <v>605</v>
      </c>
      <c r="C555" s="62">
        <f>+Tabla13[[#This Row],[Columna6]]/Tabla13[[#This Row],[Columna5]]</f>
        <v>37165.660000000003</v>
      </c>
      <c r="D555" s="62">
        <f>+Tabla13[[#This Row],[PRECIO INSTALADOR (IVA INCLUIDO)]]-F555</f>
        <v>35307.377</v>
      </c>
      <c r="E555" s="62">
        <f>+Tabla13[[#This Row],[PRECIO INSTALADOR (IVA INCLUIDO)]]/0.7</f>
        <v>53093.80000000001</v>
      </c>
      <c r="F555" s="61">
        <f>+Tabla13[[#This Row],[PRECIO INSTALADOR (IVA INCLUIDO)]]*5%</f>
        <v>1858.2830000000004</v>
      </c>
      <c r="G555" s="12">
        <v>0.85</v>
      </c>
      <c r="H555" s="11">
        <f>Tabla13[[#This Row],[COSTO]]*1.19</f>
        <v>31590.811000000002</v>
      </c>
      <c r="I555" s="10"/>
      <c r="J555" s="9"/>
      <c r="K555" s="66">
        <v>26546.9</v>
      </c>
    </row>
    <row r="556" spans="1:11" ht="12.75" x14ac:dyDescent="0.2">
      <c r="A556" s="75" t="s">
        <v>604</v>
      </c>
      <c r="B556" s="63" t="s">
        <v>603</v>
      </c>
      <c r="C556" s="62">
        <f>+Tabla13[[#This Row],[Columna6]]/Tabla13[[#This Row],[Columna5]]</f>
        <v>44223.060000000005</v>
      </c>
      <c r="D556" s="62">
        <f>+Tabla13[[#This Row],[PRECIO INSTALADOR (IVA INCLUIDO)]]-F556</f>
        <v>42011.907000000007</v>
      </c>
      <c r="E556" s="62">
        <f>+Tabla13[[#This Row],[PRECIO INSTALADOR (IVA INCLUIDO)]]/0.7</f>
        <v>63175.80000000001</v>
      </c>
      <c r="F556" s="61">
        <f>+Tabla13[[#This Row],[PRECIO INSTALADOR (IVA INCLUIDO)]]*5%</f>
        <v>2211.1530000000002</v>
      </c>
      <c r="G556" s="12">
        <v>0.85</v>
      </c>
      <c r="H556" s="11">
        <f>Tabla13[[#This Row],[COSTO]]*1.19</f>
        <v>37589.601000000002</v>
      </c>
      <c r="I556" s="10"/>
      <c r="J556" s="9"/>
      <c r="K556" s="66">
        <v>31587.9</v>
      </c>
    </row>
    <row r="557" spans="1:11" ht="12.75" x14ac:dyDescent="0.2">
      <c r="A557" s="75" t="s">
        <v>602</v>
      </c>
      <c r="B557" s="63" t="s">
        <v>601</v>
      </c>
      <c r="C557" s="62">
        <f>+Tabla13[[#This Row],[Columna6]]/Tabla13[[#This Row],[Columna5]]</f>
        <v>64103.060000000005</v>
      </c>
      <c r="D557" s="62">
        <f>+Tabla13[[#This Row],[PRECIO INSTALADOR (IVA INCLUIDO)]]-F557</f>
        <v>60897.907000000007</v>
      </c>
      <c r="E557" s="62">
        <f>+Tabla13[[#This Row],[PRECIO INSTALADOR (IVA INCLUIDO)]]/0.7</f>
        <v>91575.800000000017</v>
      </c>
      <c r="F557" s="61">
        <f>+Tabla13[[#This Row],[PRECIO INSTALADOR (IVA INCLUIDO)]]*5%</f>
        <v>3205.1530000000002</v>
      </c>
      <c r="G557" s="12">
        <v>0.85</v>
      </c>
      <c r="H557" s="11">
        <f>Tabla13[[#This Row],[COSTO]]*1.19</f>
        <v>54487.601000000002</v>
      </c>
      <c r="I557" s="10"/>
      <c r="J557" s="9"/>
      <c r="K557" s="66">
        <v>45787.9</v>
      </c>
    </row>
    <row r="558" spans="1:11" ht="12.75" x14ac:dyDescent="0.2">
      <c r="A558" s="75" t="s">
        <v>600</v>
      </c>
      <c r="B558" s="63" t="s">
        <v>599</v>
      </c>
      <c r="C558" s="62">
        <f>+Tabla13[[#This Row],[Columna6]]/Tabla13[[#This Row],[Columna5]]</f>
        <v>74043.06</v>
      </c>
      <c r="D558" s="62">
        <f>+Tabla13[[#This Row],[PRECIO INSTALADOR (IVA INCLUIDO)]]-F558</f>
        <v>70340.906999999992</v>
      </c>
      <c r="E558" s="62">
        <f>+Tabla13[[#This Row],[PRECIO INSTALADOR (IVA INCLUIDO)]]/0.7</f>
        <v>105775.8</v>
      </c>
      <c r="F558" s="61">
        <f>+Tabla13[[#This Row],[PRECIO INSTALADOR (IVA INCLUIDO)]]*5%</f>
        <v>3702.1530000000002</v>
      </c>
      <c r="G558" s="12">
        <v>0.85</v>
      </c>
      <c r="H558" s="11">
        <f>Tabla13[[#This Row],[COSTO]]*1.19</f>
        <v>62936.601000000002</v>
      </c>
      <c r="I558" s="10"/>
      <c r="J558" s="9"/>
      <c r="K558" s="66">
        <v>52887.9</v>
      </c>
    </row>
    <row r="559" spans="1:11" ht="12.75" x14ac:dyDescent="0.2">
      <c r="A559" s="75" t="s">
        <v>598</v>
      </c>
      <c r="B559" s="63" t="s">
        <v>597</v>
      </c>
      <c r="C559" s="62">
        <f>+Tabla13[[#This Row],[Columna6]]/Tabla13[[#This Row],[Columna5]]</f>
        <v>80901.659999999989</v>
      </c>
      <c r="D559" s="62">
        <f>+Tabla13[[#This Row],[PRECIO INSTALADOR (IVA INCLUIDO)]]-F559</f>
        <v>76856.57699999999</v>
      </c>
      <c r="E559" s="62">
        <f>+Tabla13[[#This Row],[PRECIO INSTALADOR (IVA INCLUIDO)]]/0.7</f>
        <v>115573.79999999999</v>
      </c>
      <c r="F559" s="61">
        <f>+Tabla13[[#This Row],[PRECIO INSTALADOR (IVA INCLUIDO)]]*5%</f>
        <v>4045.0829999999996</v>
      </c>
      <c r="G559" s="12">
        <v>0.85</v>
      </c>
      <c r="H559" s="11">
        <f>Tabla13[[#This Row],[COSTO]]*1.19</f>
        <v>68766.410999999993</v>
      </c>
      <c r="I559" s="10"/>
      <c r="J559" s="9"/>
      <c r="K559" s="66">
        <v>57786.9</v>
      </c>
    </row>
    <row r="560" spans="1:11" ht="12.75" x14ac:dyDescent="0.2">
      <c r="A560" s="75" t="s">
        <v>596</v>
      </c>
      <c r="B560" s="63" t="s">
        <v>595</v>
      </c>
      <c r="C560" s="62">
        <f>+Tabla13[[#This Row],[Columna6]]/Tabla13[[#This Row],[Columna5]]</f>
        <v>14403.06</v>
      </c>
      <c r="D560" s="62">
        <f>+Tabla13[[#This Row],[PRECIO INSTALADOR (IVA INCLUIDO)]]-F560</f>
        <v>13682.906999999999</v>
      </c>
      <c r="E560" s="62">
        <f>+Tabla13[[#This Row],[PRECIO INSTALADOR (IVA INCLUIDO)]]/0.7</f>
        <v>20575.8</v>
      </c>
      <c r="F560" s="61">
        <f>+Tabla13[[#This Row],[PRECIO INSTALADOR (IVA INCLUIDO)]]*5%</f>
        <v>720.15300000000002</v>
      </c>
      <c r="G560" s="12">
        <v>0.85</v>
      </c>
      <c r="H560" s="11">
        <f>Tabla13[[#This Row],[COSTO]]*1.19</f>
        <v>12242.600999999999</v>
      </c>
      <c r="I560" s="10"/>
      <c r="J560" s="9"/>
      <c r="K560" s="66">
        <v>10287.9</v>
      </c>
    </row>
    <row r="561" spans="1:11" ht="12.75" x14ac:dyDescent="0.2">
      <c r="A561" s="75" t="s">
        <v>594</v>
      </c>
      <c r="B561" s="63" t="s">
        <v>593</v>
      </c>
      <c r="C561" s="62">
        <f>+Tabla13[[#This Row],[Columna6]]/Tabla13[[#This Row],[Columna5]]</f>
        <v>19770.659999999996</v>
      </c>
      <c r="D561" s="62">
        <f>+Tabla13[[#This Row],[PRECIO INSTALADOR (IVA INCLUIDO)]]-F561</f>
        <v>18782.126999999997</v>
      </c>
      <c r="E561" s="62">
        <f>+Tabla13[[#This Row],[PRECIO INSTALADOR (IVA INCLUIDO)]]/0.7</f>
        <v>28243.799999999996</v>
      </c>
      <c r="F561" s="61">
        <f>+Tabla13[[#This Row],[PRECIO INSTALADOR (IVA INCLUIDO)]]*5%</f>
        <v>988.5329999999999</v>
      </c>
      <c r="G561" s="12">
        <v>0.85</v>
      </c>
      <c r="H561" s="11">
        <f>Tabla13[[#This Row],[COSTO]]*1.19</f>
        <v>16805.060999999998</v>
      </c>
      <c r="I561" s="10"/>
      <c r="J561" s="9"/>
      <c r="K561" s="66">
        <v>14121.9</v>
      </c>
    </row>
    <row r="562" spans="1:11" ht="12.75" x14ac:dyDescent="0.2">
      <c r="A562" s="75" t="s">
        <v>592</v>
      </c>
      <c r="B562" s="63" t="s">
        <v>591</v>
      </c>
      <c r="C562" s="62">
        <f>+Tabla13[[#This Row],[Columna6]]/Tabla13[[#This Row],[Columna5]]</f>
        <v>37165.660000000003</v>
      </c>
      <c r="D562" s="62">
        <f>+Tabla13[[#This Row],[PRECIO INSTALADOR (IVA INCLUIDO)]]-F562</f>
        <v>35307.377</v>
      </c>
      <c r="E562" s="62">
        <f>+Tabla13[[#This Row],[PRECIO INSTALADOR (IVA INCLUIDO)]]/0.7</f>
        <v>53093.80000000001</v>
      </c>
      <c r="F562" s="61">
        <f>+Tabla13[[#This Row],[PRECIO INSTALADOR (IVA INCLUIDO)]]*5%</f>
        <v>1858.2830000000004</v>
      </c>
      <c r="G562" s="12">
        <v>0.85</v>
      </c>
      <c r="H562" s="11">
        <f>Tabla13[[#This Row],[COSTO]]*1.19</f>
        <v>31590.811000000002</v>
      </c>
      <c r="I562" s="10"/>
      <c r="J562" s="9"/>
      <c r="K562" s="66">
        <v>26546.9</v>
      </c>
    </row>
    <row r="563" spans="1:11" ht="12.75" x14ac:dyDescent="0.2">
      <c r="A563" s="75" t="s">
        <v>590</v>
      </c>
      <c r="B563" s="63" t="s">
        <v>589</v>
      </c>
      <c r="C563" s="62">
        <f>+Tabla13[[#This Row],[Columna6]]/Tabla13[[#This Row],[Columna5]]</f>
        <v>44223.060000000005</v>
      </c>
      <c r="D563" s="62">
        <f>+Tabla13[[#This Row],[PRECIO INSTALADOR (IVA INCLUIDO)]]-F563</f>
        <v>42011.907000000007</v>
      </c>
      <c r="E563" s="62">
        <f>+Tabla13[[#This Row],[PRECIO INSTALADOR (IVA INCLUIDO)]]/0.7</f>
        <v>63175.80000000001</v>
      </c>
      <c r="F563" s="61">
        <f>+Tabla13[[#This Row],[PRECIO INSTALADOR (IVA INCLUIDO)]]*5%</f>
        <v>2211.1530000000002</v>
      </c>
      <c r="G563" s="12">
        <v>0.85</v>
      </c>
      <c r="H563" s="11">
        <f>Tabla13[[#This Row],[COSTO]]*1.19</f>
        <v>37589.601000000002</v>
      </c>
      <c r="I563" s="10"/>
      <c r="J563" s="9"/>
      <c r="K563" s="66">
        <v>31587.9</v>
      </c>
    </row>
    <row r="564" spans="1:11" ht="12.75" x14ac:dyDescent="0.2">
      <c r="A564" s="75" t="s">
        <v>588</v>
      </c>
      <c r="B564" s="63" t="s">
        <v>587</v>
      </c>
      <c r="C564" s="62">
        <f>+Tabla13[[#This Row],[Columna6]]/Tabla13[[#This Row],[Columna5]]</f>
        <v>64103.060000000005</v>
      </c>
      <c r="D564" s="62">
        <f>+Tabla13[[#This Row],[PRECIO INSTALADOR (IVA INCLUIDO)]]-F564</f>
        <v>60897.907000000007</v>
      </c>
      <c r="E564" s="62">
        <f>+Tabla13[[#This Row],[PRECIO INSTALADOR (IVA INCLUIDO)]]/0.7</f>
        <v>91575.800000000017</v>
      </c>
      <c r="F564" s="61">
        <f>+Tabla13[[#This Row],[PRECIO INSTALADOR (IVA INCLUIDO)]]*5%</f>
        <v>3205.1530000000002</v>
      </c>
      <c r="G564" s="12">
        <v>0.85</v>
      </c>
      <c r="H564" s="11">
        <f>Tabla13[[#This Row],[COSTO]]*1.19</f>
        <v>54487.601000000002</v>
      </c>
      <c r="I564" s="10"/>
      <c r="J564" s="9"/>
      <c r="K564" s="66">
        <v>45787.9</v>
      </c>
    </row>
    <row r="565" spans="1:11" ht="12.75" x14ac:dyDescent="0.2">
      <c r="A565" s="75" t="s">
        <v>586</v>
      </c>
      <c r="B565" s="63" t="s">
        <v>585</v>
      </c>
      <c r="C565" s="62">
        <f>+Tabla13[[#This Row],[Columna6]]/Tabla13[[#This Row],[Columna5]]</f>
        <v>74043.06</v>
      </c>
      <c r="D565" s="62">
        <f>+Tabla13[[#This Row],[PRECIO INSTALADOR (IVA INCLUIDO)]]-F565</f>
        <v>70340.906999999992</v>
      </c>
      <c r="E565" s="62">
        <f>+Tabla13[[#This Row],[PRECIO INSTALADOR (IVA INCLUIDO)]]/0.7</f>
        <v>105775.8</v>
      </c>
      <c r="F565" s="61">
        <f>+Tabla13[[#This Row],[PRECIO INSTALADOR (IVA INCLUIDO)]]*5%</f>
        <v>3702.1530000000002</v>
      </c>
      <c r="G565" s="12">
        <v>0.85</v>
      </c>
      <c r="H565" s="11">
        <f>Tabla13[[#This Row],[COSTO]]*1.19</f>
        <v>62936.601000000002</v>
      </c>
      <c r="I565" s="10"/>
      <c r="J565" s="9"/>
      <c r="K565" s="66">
        <v>52887.9</v>
      </c>
    </row>
    <row r="566" spans="1:11" ht="12.75" x14ac:dyDescent="0.2">
      <c r="A566" s="75" t="s">
        <v>584</v>
      </c>
      <c r="B566" s="63" t="s">
        <v>583</v>
      </c>
      <c r="C566" s="62">
        <f>+Tabla13[[#This Row],[Columna6]]/Tabla13[[#This Row],[Columna5]]</f>
        <v>80901.659999999989</v>
      </c>
      <c r="D566" s="62">
        <f>+Tabla13[[#This Row],[PRECIO INSTALADOR (IVA INCLUIDO)]]-F566</f>
        <v>76856.57699999999</v>
      </c>
      <c r="E566" s="62">
        <f>+Tabla13[[#This Row],[PRECIO INSTALADOR (IVA INCLUIDO)]]/0.7</f>
        <v>115573.79999999999</v>
      </c>
      <c r="F566" s="61">
        <f>+Tabla13[[#This Row],[PRECIO INSTALADOR (IVA INCLUIDO)]]*5%</f>
        <v>4045.0829999999996</v>
      </c>
      <c r="G566" s="12">
        <v>0.85</v>
      </c>
      <c r="H566" s="11">
        <f>Tabla13[[#This Row],[COSTO]]*1.19</f>
        <v>68766.410999999993</v>
      </c>
      <c r="I566" s="10"/>
      <c r="J566" s="9"/>
      <c r="K566" s="66">
        <v>57786.9</v>
      </c>
    </row>
    <row r="567" spans="1:11" ht="12.75" x14ac:dyDescent="0.2">
      <c r="A567" s="75" t="s">
        <v>582</v>
      </c>
      <c r="B567" s="63" t="s">
        <v>581</v>
      </c>
      <c r="C567" s="62">
        <f>+Tabla13[[#This Row],[Columna6]]/Tabla13[[#This Row],[Columna5]]</f>
        <v>66289.86</v>
      </c>
      <c r="D567" s="62">
        <f>+Tabla13[[#This Row],[PRECIO INSTALADOR (IVA INCLUIDO)]]-F567</f>
        <v>62975.366999999998</v>
      </c>
      <c r="E567" s="62">
        <f>+Tabla13[[#This Row],[PRECIO INSTALADOR (IVA INCLUIDO)]]/0.7</f>
        <v>94699.8</v>
      </c>
      <c r="F567" s="61">
        <f>+Tabla13[[#This Row],[PRECIO INSTALADOR (IVA INCLUIDO)]]*5%</f>
        <v>3314.4930000000004</v>
      </c>
      <c r="G567" s="12">
        <v>0.85</v>
      </c>
      <c r="H567" s="11">
        <f>Tabla13[[#This Row],[COSTO]]*1.19</f>
        <v>56346.381000000001</v>
      </c>
      <c r="I567" s="10"/>
      <c r="J567" s="9"/>
      <c r="K567" s="66">
        <v>47349.9</v>
      </c>
    </row>
    <row r="568" spans="1:11" ht="12.75" x14ac:dyDescent="0.2">
      <c r="A568" s="75" t="s">
        <v>580</v>
      </c>
      <c r="B568" s="63" t="s">
        <v>579</v>
      </c>
      <c r="C568" s="62">
        <f>+Tabla13[[#This Row],[Columna6]]/Tabla13[[#This Row],[Columna5]]</f>
        <v>55952.26</v>
      </c>
      <c r="D568" s="62">
        <f>+Tabla13[[#This Row],[PRECIO INSTALADOR (IVA INCLUIDO)]]-F568</f>
        <v>53154.647000000004</v>
      </c>
      <c r="E568" s="62">
        <f>+Tabla13[[#This Row],[PRECIO INSTALADOR (IVA INCLUIDO)]]/0.7</f>
        <v>79931.8</v>
      </c>
      <c r="F568" s="61">
        <f>+Tabla13[[#This Row],[PRECIO INSTALADOR (IVA INCLUIDO)]]*5%</f>
        <v>2797.6130000000003</v>
      </c>
      <c r="G568" s="12">
        <v>0.85</v>
      </c>
      <c r="H568" s="11">
        <f>Tabla13[[#This Row],[COSTO]]*1.19</f>
        <v>47559.421000000002</v>
      </c>
      <c r="I568" s="10"/>
      <c r="J568" s="9"/>
      <c r="K568" s="66">
        <v>39965.9</v>
      </c>
    </row>
    <row r="569" spans="1:11" ht="12.75" x14ac:dyDescent="0.2">
      <c r="A569" s="75" t="s">
        <v>578</v>
      </c>
      <c r="B569" s="63" t="s">
        <v>577</v>
      </c>
      <c r="C569" s="62">
        <f>+Tabla13[[#This Row],[Columna6]]/Tabla13[[#This Row],[Columna5]]</f>
        <v>55952.26</v>
      </c>
      <c r="D569" s="62">
        <f>+Tabla13[[#This Row],[PRECIO INSTALADOR (IVA INCLUIDO)]]-F569</f>
        <v>53154.647000000004</v>
      </c>
      <c r="E569" s="62">
        <f>+Tabla13[[#This Row],[PRECIO INSTALADOR (IVA INCLUIDO)]]/0.7</f>
        <v>79931.8</v>
      </c>
      <c r="F569" s="61">
        <f>+Tabla13[[#This Row],[PRECIO INSTALADOR (IVA INCLUIDO)]]*5%</f>
        <v>2797.6130000000003</v>
      </c>
      <c r="G569" s="12">
        <v>0.85</v>
      </c>
      <c r="H569" s="11">
        <f>Tabla13[[#This Row],[COSTO]]*1.19</f>
        <v>47559.421000000002</v>
      </c>
      <c r="I569" s="10"/>
      <c r="J569" s="9"/>
      <c r="K569" s="66">
        <v>39965.9</v>
      </c>
    </row>
    <row r="570" spans="1:11" ht="12.75" x14ac:dyDescent="0.2">
      <c r="A570" s="75" t="s">
        <v>576</v>
      </c>
      <c r="B570" s="63" t="s">
        <v>575</v>
      </c>
      <c r="C570" s="62">
        <f>+Tabla13[[#This Row],[Columna6]]/Tabla13[[#This Row],[Columna5]]</f>
        <v>88356.659999999989</v>
      </c>
      <c r="D570" s="62">
        <f>+Tabla13[[#This Row],[PRECIO INSTALADOR (IVA INCLUIDO)]]-F570</f>
        <v>83938.82699999999</v>
      </c>
      <c r="E570" s="62">
        <f>+Tabla13[[#This Row],[PRECIO INSTALADOR (IVA INCLUIDO)]]/0.7</f>
        <v>126223.79999999999</v>
      </c>
      <c r="F570" s="61">
        <f>+Tabla13[[#This Row],[PRECIO INSTALADOR (IVA INCLUIDO)]]*5%</f>
        <v>4417.8329999999996</v>
      </c>
      <c r="G570" s="12">
        <v>0.85</v>
      </c>
      <c r="H570" s="11">
        <f>Tabla13[[#This Row],[COSTO]]*1.19</f>
        <v>75103.160999999993</v>
      </c>
      <c r="I570" s="10"/>
      <c r="J570" s="9"/>
      <c r="K570" s="66">
        <v>63111.9</v>
      </c>
    </row>
    <row r="571" spans="1:11" ht="12.75" x14ac:dyDescent="0.2">
      <c r="A571" s="75" t="s">
        <v>574</v>
      </c>
      <c r="B571" s="63" t="s">
        <v>573</v>
      </c>
      <c r="C571" s="62">
        <f>+Tabla13[[#This Row],[Columna6]]/Tabla13[[#This Row],[Columna5]]</f>
        <v>42334.46</v>
      </c>
      <c r="D571" s="62">
        <f>+Tabla13[[#This Row],[PRECIO INSTALADOR (IVA INCLUIDO)]]-F571</f>
        <v>40217.737000000001</v>
      </c>
      <c r="E571" s="62">
        <f>+Tabla13[[#This Row],[PRECIO INSTALADOR (IVA INCLUIDO)]]/0.7</f>
        <v>60477.8</v>
      </c>
      <c r="F571" s="61">
        <f>+Tabla13[[#This Row],[PRECIO INSTALADOR (IVA INCLUIDO)]]*5%</f>
        <v>2116.723</v>
      </c>
      <c r="G571" s="12">
        <v>0.85</v>
      </c>
      <c r="H571" s="11">
        <f>Tabla13[[#This Row],[COSTO]]*1.19</f>
        <v>35984.290999999997</v>
      </c>
      <c r="I571" s="10"/>
      <c r="J571" s="9"/>
      <c r="K571" s="66">
        <v>30238.9</v>
      </c>
    </row>
    <row r="572" spans="1:11" ht="12.75" x14ac:dyDescent="0.2">
      <c r="A572" s="75" t="s">
        <v>572</v>
      </c>
      <c r="B572" s="63" t="s">
        <v>571</v>
      </c>
      <c r="C572" s="62">
        <f>+Tabla13[[#This Row],[Columna6]]/Tabla13[[#This Row],[Columna5]]</f>
        <v>48199.060000000005</v>
      </c>
      <c r="D572" s="62">
        <f>+Tabla13[[#This Row],[PRECIO INSTALADOR (IVA INCLUIDO)]]-F572</f>
        <v>45789.107000000004</v>
      </c>
      <c r="E572" s="62">
        <f>+Tabla13[[#This Row],[PRECIO INSTALADOR (IVA INCLUIDO)]]/0.7</f>
        <v>68855.800000000017</v>
      </c>
      <c r="F572" s="61">
        <f>+Tabla13[[#This Row],[PRECIO INSTALADOR (IVA INCLUIDO)]]*5%</f>
        <v>2409.9530000000004</v>
      </c>
      <c r="G572" s="12">
        <v>0.85</v>
      </c>
      <c r="H572" s="11">
        <f>Tabla13[[#This Row],[COSTO]]*1.19</f>
        <v>40969.201000000001</v>
      </c>
      <c r="I572" s="10"/>
      <c r="J572" s="9"/>
      <c r="K572" s="66">
        <v>34427.9</v>
      </c>
    </row>
    <row r="573" spans="1:11" ht="12.75" x14ac:dyDescent="0.2">
      <c r="A573" s="75" t="s">
        <v>570</v>
      </c>
      <c r="B573" s="63" t="s">
        <v>569</v>
      </c>
      <c r="C573" s="62">
        <f>+Tabla13[[#This Row],[Columna6]]/Tabla13[[#This Row],[Columna5]]</f>
        <v>66190.459999999992</v>
      </c>
      <c r="D573" s="62">
        <f>+Tabla13[[#This Row],[PRECIO INSTALADOR (IVA INCLUIDO)]]-F573</f>
        <v>62880.936999999991</v>
      </c>
      <c r="E573" s="62">
        <f>+Tabla13[[#This Row],[PRECIO INSTALADOR (IVA INCLUIDO)]]/0.7</f>
        <v>94557.799999999988</v>
      </c>
      <c r="F573" s="61">
        <f>+Tabla13[[#This Row],[PRECIO INSTALADOR (IVA INCLUIDO)]]*5%</f>
        <v>3309.5229999999997</v>
      </c>
      <c r="G573" s="12">
        <v>0.85</v>
      </c>
      <c r="H573" s="11">
        <f>Tabla13[[#This Row],[COSTO]]*1.19</f>
        <v>56261.890999999996</v>
      </c>
      <c r="I573" s="10"/>
      <c r="J573" s="9"/>
      <c r="K573" s="66">
        <v>47278.9</v>
      </c>
    </row>
    <row r="574" spans="1:11" ht="12.75" x14ac:dyDescent="0.2">
      <c r="A574" s="76"/>
      <c r="B574" s="69" t="s">
        <v>568</v>
      </c>
      <c r="C574" s="68"/>
      <c r="D574" s="68"/>
      <c r="E574" s="68"/>
      <c r="F574" s="67">
        <f>+Tabla13[[#This Row],[PRECIO INSTALADOR (IVA INCLUIDO)]]*5%</f>
        <v>0</v>
      </c>
      <c r="G574" s="12">
        <v>0.85</v>
      </c>
      <c r="H574" s="11">
        <f>Tabla13[[#This Row],[COSTO]]*1.19</f>
        <v>0</v>
      </c>
      <c r="I574" s="10"/>
      <c r="J574" s="9"/>
      <c r="K574" s="66"/>
    </row>
    <row r="575" spans="1:11" ht="12.75" x14ac:dyDescent="0.2">
      <c r="A575" s="75" t="s">
        <v>567</v>
      </c>
      <c r="B575" s="63" t="s">
        <v>566</v>
      </c>
      <c r="C575" s="62">
        <f>+Tabla13[[#This Row],[Columna6]]/Tabla13[[#This Row],[Columna5]]</f>
        <v>90344.66</v>
      </c>
      <c r="D575" s="62">
        <f>+Tabla13[[#This Row],[PRECIO INSTALADOR (IVA INCLUIDO)]]-F575</f>
        <v>85827.426999999996</v>
      </c>
      <c r="E575" s="62">
        <f>+Tabla13[[#This Row],[PRECIO INSTALADOR (IVA INCLUIDO)]]/0.7</f>
        <v>129063.80000000002</v>
      </c>
      <c r="F575" s="61">
        <f>+Tabla13[[#This Row],[PRECIO INSTALADOR (IVA INCLUIDO)]]*5%</f>
        <v>4517.2330000000002</v>
      </c>
      <c r="G575" s="12">
        <v>0.85</v>
      </c>
      <c r="H575" s="11">
        <f>Tabla13[[#This Row],[COSTO]]*1.19</f>
        <v>76792.960999999996</v>
      </c>
      <c r="I575" s="10"/>
      <c r="J575" s="9"/>
      <c r="K575" s="66">
        <v>64531.9</v>
      </c>
    </row>
    <row r="576" spans="1:11" ht="12.75" x14ac:dyDescent="0.2">
      <c r="A576" s="75" t="s">
        <v>565</v>
      </c>
      <c r="B576" s="63" t="s">
        <v>564</v>
      </c>
      <c r="C576" s="62">
        <f>+Tabla13[[#This Row],[Columna6]]/Tabla13[[#This Row],[Columna5]]</f>
        <v>76428.66</v>
      </c>
      <c r="D576" s="62">
        <f>+Tabla13[[#This Row],[PRECIO INSTALADOR (IVA INCLUIDO)]]-F576</f>
        <v>72607.226999999999</v>
      </c>
      <c r="E576" s="62">
        <f>+Tabla13[[#This Row],[PRECIO INSTALADOR (IVA INCLUIDO)]]/0.7</f>
        <v>109183.80000000002</v>
      </c>
      <c r="F576" s="61">
        <f>+Tabla13[[#This Row],[PRECIO INSTALADOR (IVA INCLUIDO)]]*5%</f>
        <v>3821.4330000000004</v>
      </c>
      <c r="G576" s="12">
        <v>0.85</v>
      </c>
      <c r="H576" s="11">
        <f>Tabla13[[#This Row],[COSTO]]*1.19</f>
        <v>64964.360999999997</v>
      </c>
      <c r="I576" s="10"/>
      <c r="J576" s="9"/>
      <c r="K576" s="66">
        <v>54591.9</v>
      </c>
    </row>
    <row r="577" spans="1:11" ht="12.75" x14ac:dyDescent="0.2">
      <c r="A577" s="75" t="s">
        <v>563</v>
      </c>
      <c r="B577" s="63" t="s">
        <v>562</v>
      </c>
      <c r="C577" s="62">
        <f>+Tabla13[[#This Row],[Columna6]]/Tabla13[[#This Row],[Columna5]]</f>
        <v>68079.06</v>
      </c>
      <c r="D577" s="62">
        <f>+Tabla13[[#This Row],[PRECIO INSTALADOR (IVA INCLUIDO)]]-F577</f>
        <v>64675.106999999996</v>
      </c>
      <c r="E577" s="62">
        <f>+Tabla13[[#This Row],[PRECIO INSTALADOR (IVA INCLUIDO)]]/0.7</f>
        <v>97255.8</v>
      </c>
      <c r="F577" s="61">
        <f>+Tabla13[[#This Row],[PRECIO INSTALADOR (IVA INCLUIDO)]]*5%</f>
        <v>3403.953</v>
      </c>
      <c r="G577" s="12">
        <v>0.85</v>
      </c>
      <c r="H577" s="11">
        <f>Tabla13[[#This Row],[COSTO]]*1.19</f>
        <v>57867.201000000001</v>
      </c>
      <c r="I577" s="10"/>
      <c r="J577" s="9"/>
      <c r="K577" s="66">
        <v>48627.9</v>
      </c>
    </row>
    <row r="578" spans="1:11" ht="12.75" x14ac:dyDescent="0.2">
      <c r="A578" s="76"/>
      <c r="B578" s="69" t="s">
        <v>561</v>
      </c>
      <c r="C578" s="68"/>
      <c r="D578" s="68"/>
      <c r="E578" s="68"/>
      <c r="F578" s="67">
        <f>+Tabla13[[#This Row],[PRECIO INSTALADOR (IVA INCLUIDO)]]*5%</f>
        <v>0</v>
      </c>
      <c r="G578" s="12">
        <v>0.85</v>
      </c>
      <c r="H578" s="11">
        <f>Tabla13[[#This Row],[COSTO]]*1.19</f>
        <v>0</v>
      </c>
      <c r="I578" s="10"/>
      <c r="J578" s="9"/>
      <c r="K578" s="66"/>
    </row>
    <row r="579" spans="1:11" ht="12.75" x14ac:dyDescent="0.2">
      <c r="A579" s="75" t="s">
        <v>560</v>
      </c>
      <c r="B579" s="63" t="s">
        <v>559</v>
      </c>
      <c r="C579" s="62">
        <f>+Tabla13[[#This Row],[Columna6]]/Tabla13[[#This Row],[Columna5]]</f>
        <v>31002.86</v>
      </c>
      <c r="D579" s="62">
        <f>+Tabla13[[#This Row],[PRECIO INSTALADOR (IVA INCLUIDO)]]-F579</f>
        <v>29452.717000000001</v>
      </c>
      <c r="E579" s="62">
        <f>+Tabla13[[#This Row],[PRECIO INSTALADOR (IVA INCLUIDO)]]/0.7</f>
        <v>44289.8</v>
      </c>
      <c r="F579" s="61">
        <f>+Tabla13[[#This Row],[PRECIO INSTALADOR (IVA INCLUIDO)]]*5%</f>
        <v>1550.143</v>
      </c>
      <c r="G579" s="12">
        <v>0.85</v>
      </c>
      <c r="H579" s="11">
        <f>Tabla13[[#This Row],[COSTO]]*1.19</f>
        <v>26352.431</v>
      </c>
      <c r="I579" s="10"/>
      <c r="J579" s="9"/>
      <c r="K579" s="66">
        <v>22144.9</v>
      </c>
    </row>
    <row r="580" spans="1:11" ht="12.75" x14ac:dyDescent="0.2">
      <c r="A580" s="75" t="s">
        <v>558</v>
      </c>
      <c r="B580" s="63" t="s">
        <v>557</v>
      </c>
      <c r="C580" s="62">
        <f>+Tabla13[[#This Row],[Columna6]]/Tabla13[[#This Row],[Columna5]]</f>
        <v>44620.66</v>
      </c>
      <c r="D580" s="62">
        <f>+Tabla13[[#This Row],[PRECIO INSTALADOR (IVA INCLUIDO)]]-F580</f>
        <v>42389.627</v>
      </c>
      <c r="E580" s="62">
        <f>+Tabla13[[#This Row],[PRECIO INSTALADOR (IVA INCLUIDO)]]/0.7</f>
        <v>63743.80000000001</v>
      </c>
      <c r="F580" s="61">
        <f>+Tabla13[[#This Row],[PRECIO INSTALADOR (IVA INCLUIDO)]]*5%</f>
        <v>2231.0330000000004</v>
      </c>
      <c r="G580" s="12">
        <v>0.85</v>
      </c>
      <c r="H580" s="11">
        <f>Tabla13[[#This Row],[COSTO]]*1.19</f>
        <v>37927.561000000002</v>
      </c>
      <c r="I580" s="10"/>
      <c r="J580" s="9"/>
      <c r="K580" s="66">
        <v>31871.9</v>
      </c>
    </row>
    <row r="581" spans="1:11" ht="12.75" x14ac:dyDescent="0.2">
      <c r="A581" s="75" t="s">
        <v>556</v>
      </c>
      <c r="B581" s="63" t="s">
        <v>555</v>
      </c>
      <c r="C581" s="62">
        <f>+Tabla13[[#This Row],[Columna6]]/Tabla13[[#This Row],[Columna5]]</f>
        <v>50385.86</v>
      </c>
      <c r="D581" s="62">
        <f>+Tabla13[[#This Row],[PRECIO INSTALADOR (IVA INCLUIDO)]]-F581</f>
        <v>47866.567000000003</v>
      </c>
      <c r="E581" s="62">
        <f>+Tabla13[[#This Row],[PRECIO INSTALADOR (IVA INCLUIDO)]]/0.7</f>
        <v>71979.8</v>
      </c>
      <c r="F581" s="61">
        <f>+Tabla13[[#This Row],[PRECIO INSTALADOR (IVA INCLUIDO)]]*5%</f>
        <v>2519.2930000000001</v>
      </c>
      <c r="G581" s="12">
        <v>0.85</v>
      </c>
      <c r="H581" s="11">
        <f>Tabla13[[#This Row],[COSTO]]*1.19</f>
        <v>42827.981</v>
      </c>
      <c r="I581" s="10"/>
      <c r="J581" s="9"/>
      <c r="K581" s="66">
        <v>35989.9</v>
      </c>
    </row>
    <row r="582" spans="1:11" ht="12.75" x14ac:dyDescent="0.2">
      <c r="A582" s="75" t="s">
        <v>554</v>
      </c>
      <c r="B582" s="63" t="s">
        <v>553</v>
      </c>
      <c r="C582" s="62">
        <f>+Tabla13[[#This Row],[Columna6]]/Tabla13[[#This Row],[Columna5]]</f>
        <v>54958.26</v>
      </c>
      <c r="D582" s="62">
        <f>+Tabla13[[#This Row],[PRECIO INSTALADOR (IVA INCLUIDO)]]-F582</f>
        <v>52210.347000000002</v>
      </c>
      <c r="E582" s="62">
        <f>+Tabla13[[#This Row],[PRECIO INSTALADOR (IVA INCLUIDO)]]/0.7</f>
        <v>78511.8</v>
      </c>
      <c r="F582" s="61">
        <f>+Tabla13[[#This Row],[PRECIO INSTALADOR (IVA INCLUIDO)]]*5%</f>
        <v>2747.9130000000005</v>
      </c>
      <c r="G582" s="12">
        <v>0.85</v>
      </c>
      <c r="H582" s="11">
        <f>Tabla13[[#This Row],[COSTO]]*1.19</f>
        <v>46714.521000000001</v>
      </c>
      <c r="I582" s="10"/>
      <c r="J582" s="9"/>
      <c r="K582" s="66">
        <v>39255.9</v>
      </c>
    </row>
    <row r="583" spans="1:11" ht="12.75" x14ac:dyDescent="0.2">
      <c r="A583" s="75" t="s">
        <v>552</v>
      </c>
      <c r="B583" s="63" t="s">
        <v>551</v>
      </c>
      <c r="C583" s="62">
        <f>+Tabla13[[#This Row],[Columna6]]/Tabla13[[#This Row],[Columna5]]</f>
        <v>95414.059999999983</v>
      </c>
      <c r="D583" s="62">
        <f>+Tabla13[[#This Row],[PRECIO INSTALADOR (IVA INCLUIDO)]]-F583</f>
        <v>90643.356999999989</v>
      </c>
      <c r="E583" s="62">
        <f>+Tabla13[[#This Row],[PRECIO INSTALADOR (IVA INCLUIDO)]]/0.7</f>
        <v>136305.79999999999</v>
      </c>
      <c r="F583" s="61">
        <f>+Tabla13[[#This Row],[PRECIO INSTALADOR (IVA INCLUIDO)]]*5%</f>
        <v>4770.7029999999995</v>
      </c>
      <c r="G583" s="12">
        <v>0.85</v>
      </c>
      <c r="H583" s="11">
        <f>Tabla13[[#This Row],[COSTO]]*1.19</f>
        <v>81101.950999999986</v>
      </c>
      <c r="I583" s="10"/>
      <c r="J583" s="9"/>
      <c r="K583" s="66">
        <v>68152.899999999994</v>
      </c>
    </row>
    <row r="584" spans="1:11" ht="12.75" x14ac:dyDescent="0.2">
      <c r="A584" s="76"/>
      <c r="B584" s="69" t="s">
        <v>550</v>
      </c>
      <c r="C584" s="68"/>
      <c r="D584" s="68"/>
      <c r="E584" s="68"/>
      <c r="F584" s="67">
        <f>+Tabla13[[#This Row],[PRECIO INSTALADOR (IVA INCLUIDO)]]*5%</f>
        <v>0</v>
      </c>
      <c r="G584" s="12">
        <v>0.85</v>
      </c>
      <c r="H584" s="11">
        <f>Tabla13[[#This Row],[COSTO]]*1.19</f>
        <v>0</v>
      </c>
      <c r="I584" s="10"/>
      <c r="J584" s="9"/>
      <c r="K584" s="66"/>
    </row>
    <row r="585" spans="1:11" ht="12.75" x14ac:dyDescent="0.2">
      <c r="A585" s="75" t="s">
        <v>549</v>
      </c>
      <c r="B585" s="63" t="s">
        <v>548</v>
      </c>
      <c r="C585" s="62">
        <f>+Tabla13[[#This Row],[Columna6]]/Tabla13[[#This Row],[Columna5]]</f>
        <v>17484.46</v>
      </c>
      <c r="D585" s="62">
        <f>+Tabla13[[#This Row],[PRECIO INSTALADOR (IVA INCLUIDO)]]-F585</f>
        <v>16610.237000000001</v>
      </c>
      <c r="E585" s="62">
        <f>+Tabla13[[#This Row],[PRECIO INSTALADOR (IVA INCLUIDO)]]/0.7</f>
        <v>24977.8</v>
      </c>
      <c r="F585" s="61">
        <f>+Tabla13[[#This Row],[PRECIO INSTALADOR (IVA INCLUIDO)]]*5%</f>
        <v>874.22299999999996</v>
      </c>
      <c r="G585" s="12">
        <v>0.85</v>
      </c>
      <c r="H585" s="11">
        <f>Tabla13[[#This Row],[COSTO]]*1.19</f>
        <v>14861.790999999999</v>
      </c>
      <c r="I585" s="10"/>
      <c r="J585" s="9"/>
      <c r="K585" s="66">
        <v>12488.9</v>
      </c>
    </row>
    <row r="586" spans="1:11" ht="12.75" x14ac:dyDescent="0.2">
      <c r="A586" s="75" t="s">
        <v>547</v>
      </c>
      <c r="B586" s="63" t="s">
        <v>546</v>
      </c>
      <c r="C586" s="62">
        <f>+Tabla13[[#This Row],[Columna6]]/Tabla13[[#This Row],[Columna5]]</f>
        <v>17484.46</v>
      </c>
      <c r="D586" s="62">
        <f>+Tabla13[[#This Row],[PRECIO INSTALADOR (IVA INCLUIDO)]]-F586</f>
        <v>16610.237000000001</v>
      </c>
      <c r="E586" s="62">
        <f>+Tabla13[[#This Row],[PRECIO INSTALADOR (IVA INCLUIDO)]]/0.7</f>
        <v>24977.8</v>
      </c>
      <c r="F586" s="61">
        <f>+Tabla13[[#This Row],[PRECIO INSTALADOR (IVA INCLUIDO)]]*5%</f>
        <v>874.22299999999996</v>
      </c>
      <c r="G586" s="12">
        <v>0.85</v>
      </c>
      <c r="H586" s="11">
        <f>Tabla13[[#This Row],[COSTO]]*1.19</f>
        <v>14861.790999999999</v>
      </c>
      <c r="I586" s="10"/>
      <c r="J586" s="9"/>
      <c r="K586" s="66">
        <v>12488.9</v>
      </c>
    </row>
    <row r="587" spans="1:11" ht="12.75" x14ac:dyDescent="0.2">
      <c r="A587" s="75" t="s">
        <v>545</v>
      </c>
      <c r="B587" s="63" t="s">
        <v>544</v>
      </c>
      <c r="C587" s="62">
        <f>+Tabla13[[#This Row],[Columna6]]/Tabla13[[#This Row],[Columna5]]</f>
        <v>17782.66</v>
      </c>
      <c r="D587" s="62">
        <f>+Tabla13[[#This Row],[PRECIO INSTALADOR (IVA INCLUIDO)]]-F587</f>
        <v>16893.526999999998</v>
      </c>
      <c r="E587" s="62">
        <f>+Tabla13[[#This Row],[PRECIO INSTALADOR (IVA INCLUIDO)]]/0.7</f>
        <v>25403.800000000003</v>
      </c>
      <c r="F587" s="61">
        <f>+Tabla13[[#This Row],[PRECIO INSTALADOR (IVA INCLUIDO)]]*5%</f>
        <v>889.13300000000004</v>
      </c>
      <c r="G587" s="12">
        <v>0.85</v>
      </c>
      <c r="H587" s="11">
        <f>Tabla13[[#This Row],[COSTO]]*1.19</f>
        <v>15115.260999999999</v>
      </c>
      <c r="I587" s="10"/>
      <c r="J587" s="9"/>
      <c r="K587" s="66">
        <v>12701.9</v>
      </c>
    </row>
    <row r="588" spans="1:11" ht="12.75" x14ac:dyDescent="0.2">
      <c r="A588" s="75" t="s">
        <v>543</v>
      </c>
      <c r="B588" s="63" t="s">
        <v>542</v>
      </c>
      <c r="C588" s="62">
        <f>+Tabla13[[#This Row],[Columna6]]/Tabla13[[#This Row],[Columna5]]</f>
        <v>23249.66</v>
      </c>
      <c r="D588" s="62">
        <f>+Tabla13[[#This Row],[PRECIO INSTALADOR (IVA INCLUIDO)]]-F588</f>
        <v>22087.177</v>
      </c>
      <c r="E588" s="62">
        <f>+Tabla13[[#This Row],[PRECIO INSTALADOR (IVA INCLUIDO)]]/0.7</f>
        <v>33213.800000000003</v>
      </c>
      <c r="F588" s="61">
        <f>+Tabla13[[#This Row],[PRECIO INSTALADOR (IVA INCLUIDO)]]*5%</f>
        <v>1162.4829999999999</v>
      </c>
      <c r="G588" s="12">
        <v>0.85</v>
      </c>
      <c r="H588" s="11">
        <f>Tabla13[[#This Row],[COSTO]]*1.19</f>
        <v>19762.210999999999</v>
      </c>
      <c r="I588" s="10"/>
      <c r="J588" s="9"/>
      <c r="K588" s="66">
        <v>16606.900000000001</v>
      </c>
    </row>
    <row r="589" spans="1:11" ht="12.75" x14ac:dyDescent="0.2">
      <c r="A589" s="75" t="s">
        <v>541</v>
      </c>
      <c r="B589" s="63" t="s">
        <v>540</v>
      </c>
      <c r="C589" s="62">
        <f>+Tabla13[[#This Row],[Columna6]]/Tabla13[[#This Row],[Columna5]]</f>
        <v>23249.66</v>
      </c>
      <c r="D589" s="62">
        <f>+Tabla13[[#This Row],[PRECIO INSTALADOR (IVA INCLUIDO)]]-F589</f>
        <v>22087.177</v>
      </c>
      <c r="E589" s="62">
        <f>+Tabla13[[#This Row],[PRECIO INSTALADOR (IVA INCLUIDO)]]/0.7</f>
        <v>33213.800000000003</v>
      </c>
      <c r="F589" s="61">
        <f>+Tabla13[[#This Row],[PRECIO INSTALADOR (IVA INCLUIDO)]]*5%</f>
        <v>1162.4829999999999</v>
      </c>
      <c r="G589" s="12">
        <v>0.85</v>
      </c>
      <c r="H589" s="11">
        <f>Tabla13[[#This Row],[COSTO]]*1.19</f>
        <v>19762.210999999999</v>
      </c>
      <c r="I589" s="10"/>
      <c r="J589" s="9"/>
      <c r="K589" s="66">
        <v>16606.900000000001</v>
      </c>
    </row>
    <row r="590" spans="1:11" ht="12.75" x14ac:dyDescent="0.2">
      <c r="A590" s="75" t="s">
        <v>539</v>
      </c>
      <c r="B590" s="63" t="s">
        <v>538</v>
      </c>
      <c r="C590" s="62">
        <f>+Tabla13[[#This Row],[Columna6]]/Tabla13[[#This Row],[Columna5]]</f>
        <v>23249.66</v>
      </c>
      <c r="D590" s="62">
        <f>+Tabla13[[#This Row],[PRECIO INSTALADOR (IVA INCLUIDO)]]-F590</f>
        <v>22087.177</v>
      </c>
      <c r="E590" s="62">
        <f>+Tabla13[[#This Row],[PRECIO INSTALADOR (IVA INCLUIDO)]]/0.7</f>
        <v>33213.800000000003</v>
      </c>
      <c r="F590" s="61">
        <f>+Tabla13[[#This Row],[PRECIO INSTALADOR (IVA INCLUIDO)]]*5%</f>
        <v>1162.4829999999999</v>
      </c>
      <c r="G590" s="12">
        <v>0.85</v>
      </c>
      <c r="H590" s="11">
        <f>Tabla13[[#This Row],[COSTO]]*1.19</f>
        <v>19762.210999999999</v>
      </c>
      <c r="I590" s="10"/>
      <c r="J590" s="9"/>
      <c r="K590" s="66">
        <v>16606.900000000001</v>
      </c>
    </row>
    <row r="591" spans="1:11" ht="12.75" x14ac:dyDescent="0.2">
      <c r="A591" s="75" t="s">
        <v>537</v>
      </c>
      <c r="B591" s="63" t="s">
        <v>536</v>
      </c>
      <c r="C591" s="62">
        <f>+Tabla13[[#This Row],[Columna6]]/Tabla13[[#This Row],[Columna5]]</f>
        <v>31798.059999999998</v>
      </c>
      <c r="D591" s="62">
        <f>+Tabla13[[#This Row],[PRECIO INSTALADOR (IVA INCLUIDO)]]-F591</f>
        <v>30208.156999999999</v>
      </c>
      <c r="E591" s="62">
        <f>+Tabla13[[#This Row],[PRECIO INSTALADOR (IVA INCLUIDO)]]/0.7</f>
        <v>45425.8</v>
      </c>
      <c r="F591" s="61">
        <f>+Tabla13[[#This Row],[PRECIO INSTALADOR (IVA INCLUIDO)]]*5%</f>
        <v>1589.903</v>
      </c>
      <c r="G591" s="12">
        <v>0.85</v>
      </c>
      <c r="H591" s="11">
        <f>Tabla13[[#This Row],[COSTO]]*1.19</f>
        <v>27028.350999999999</v>
      </c>
      <c r="I591" s="10"/>
      <c r="J591" s="9"/>
      <c r="K591" s="66">
        <v>22712.9</v>
      </c>
    </row>
    <row r="592" spans="1:11" ht="12.75" x14ac:dyDescent="0.2">
      <c r="A592" s="75" t="s">
        <v>535</v>
      </c>
      <c r="B592" s="63" t="s">
        <v>534</v>
      </c>
      <c r="C592" s="62">
        <f>+Tabla13[[#This Row],[Columna6]]/Tabla13[[#This Row],[Columna5]]</f>
        <v>41638.659999999996</v>
      </c>
      <c r="D592" s="62">
        <f>+Tabla13[[#This Row],[PRECIO INSTALADOR (IVA INCLUIDO)]]-F592</f>
        <v>39556.726999999999</v>
      </c>
      <c r="E592" s="62">
        <f>+Tabla13[[#This Row],[PRECIO INSTALADOR (IVA INCLUIDO)]]/0.7</f>
        <v>59483.799999999996</v>
      </c>
      <c r="F592" s="61">
        <f>+Tabla13[[#This Row],[PRECIO INSTALADOR (IVA INCLUIDO)]]*5%</f>
        <v>2081.933</v>
      </c>
      <c r="G592" s="12">
        <v>0.85</v>
      </c>
      <c r="H592" s="11">
        <f>Tabla13[[#This Row],[COSTO]]*1.19</f>
        <v>35392.860999999997</v>
      </c>
      <c r="I592" s="10"/>
      <c r="J592" s="9"/>
      <c r="K592" s="66">
        <v>29741.9</v>
      </c>
    </row>
    <row r="593" spans="1:11" ht="12.75" x14ac:dyDescent="0.2">
      <c r="A593" s="76"/>
      <c r="B593" s="69" t="s">
        <v>533</v>
      </c>
      <c r="C593" s="68"/>
      <c r="D593" s="68"/>
      <c r="E593" s="68"/>
      <c r="F593" s="67">
        <f>+Tabla13[[#This Row],[PRECIO INSTALADOR (IVA INCLUIDO)]]*5%</f>
        <v>0</v>
      </c>
      <c r="G593" s="12">
        <v>0.85</v>
      </c>
      <c r="H593" s="11">
        <f>Tabla13[[#This Row],[COSTO]]*1.19</f>
        <v>0</v>
      </c>
      <c r="I593" s="10"/>
      <c r="J593" s="9"/>
      <c r="K593" s="66"/>
    </row>
    <row r="594" spans="1:11" ht="12.75" x14ac:dyDescent="0.2">
      <c r="A594" s="75" t="s">
        <v>532</v>
      </c>
      <c r="B594" s="63" t="s">
        <v>531</v>
      </c>
      <c r="C594" s="62">
        <f>+Tabla13[[#This Row],[Columna6]]/Tabla13[[#This Row],[Columna5]]</f>
        <v>46310.460000000006</v>
      </c>
      <c r="D594" s="62">
        <f>+Tabla13[[#This Row],[PRECIO INSTALADOR (IVA INCLUIDO)]]-F594</f>
        <v>43994.937000000005</v>
      </c>
      <c r="E594" s="62">
        <f>+Tabla13[[#This Row],[PRECIO INSTALADOR (IVA INCLUIDO)]]/0.7</f>
        <v>66157.800000000017</v>
      </c>
      <c r="F594" s="61">
        <f>+Tabla13[[#This Row],[PRECIO INSTALADOR (IVA INCLUIDO)]]*5%</f>
        <v>2315.5230000000006</v>
      </c>
      <c r="G594" s="12">
        <v>0.85</v>
      </c>
      <c r="H594" s="11">
        <f>Tabla13[[#This Row],[COSTO]]*1.19</f>
        <v>39363.891000000003</v>
      </c>
      <c r="I594" s="10"/>
      <c r="J594" s="9"/>
      <c r="K594" s="66">
        <v>33078.9</v>
      </c>
    </row>
    <row r="595" spans="1:11" ht="12.75" x14ac:dyDescent="0.2">
      <c r="A595" s="75" t="s">
        <v>530</v>
      </c>
      <c r="B595" s="63" t="s">
        <v>529</v>
      </c>
      <c r="C595" s="62">
        <f>+Tabla13[[#This Row],[Columna6]]/Tabla13[[#This Row],[Columna5]]</f>
        <v>46807.46</v>
      </c>
      <c r="D595" s="62">
        <f>+Tabla13[[#This Row],[PRECIO INSTALADOR (IVA INCLUIDO)]]-F595</f>
        <v>44467.087</v>
      </c>
      <c r="E595" s="62">
        <f>+Tabla13[[#This Row],[PRECIO INSTALADOR (IVA INCLUIDO)]]/0.7</f>
        <v>66867.8</v>
      </c>
      <c r="F595" s="61">
        <f>+Tabla13[[#This Row],[PRECIO INSTALADOR (IVA INCLUIDO)]]*5%</f>
        <v>2340.373</v>
      </c>
      <c r="G595" s="12">
        <v>0.85</v>
      </c>
      <c r="H595" s="11">
        <f>Tabla13[[#This Row],[COSTO]]*1.19</f>
        <v>39786.341</v>
      </c>
      <c r="I595" s="10"/>
      <c r="J595" s="9"/>
      <c r="K595" s="66">
        <v>33433.9</v>
      </c>
    </row>
    <row r="596" spans="1:11" ht="12.75" x14ac:dyDescent="0.2">
      <c r="A596" s="75" t="s">
        <v>528</v>
      </c>
      <c r="B596" s="63" t="s">
        <v>527</v>
      </c>
      <c r="C596" s="62">
        <f>+Tabla13[[#This Row],[Columna6]]/Tabla13[[#This Row],[Columna5]]</f>
        <v>46310.460000000006</v>
      </c>
      <c r="D596" s="62">
        <f>+Tabla13[[#This Row],[PRECIO INSTALADOR (IVA INCLUIDO)]]-F596</f>
        <v>43994.937000000005</v>
      </c>
      <c r="E596" s="62">
        <f>+Tabla13[[#This Row],[PRECIO INSTALADOR (IVA INCLUIDO)]]/0.7</f>
        <v>66157.800000000017</v>
      </c>
      <c r="F596" s="61">
        <f>+Tabla13[[#This Row],[PRECIO INSTALADOR (IVA INCLUIDO)]]*5%</f>
        <v>2315.5230000000006</v>
      </c>
      <c r="G596" s="12">
        <v>0.85</v>
      </c>
      <c r="H596" s="11">
        <f>Tabla13[[#This Row],[COSTO]]*1.19</f>
        <v>39363.891000000003</v>
      </c>
      <c r="I596" s="10"/>
      <c r="J596" s="9"/>
      <c r="K596" s="66">
        <v>33078.9</v>
      </c>
    </row>
    <row r="597" spans="1:11" ht="12.75" x14ac:dyDescent="0.2">
      <c r="A597" s="76"/>
      <c r="B597" s="69" t="s">
        <v>526</v>
      </c>
      <c r="C597" s="68"/>
      <c r="D597" s="68"/>
      <c r="E597" s="68"/>
      <c r="F597" s="67">
        <f>+Tabla13[[#This Row],[PRECIO INSTALADOR (IVA INCLUIDO)]]*5%</f>
        <v>0</v>
      </c>
      <c r="G597" s="12">
        <v>0.85</v>
      </c>
      <c r="H597" s="11">
        <f>Tabla13[[#This Row],[COSTO]]*1.19</f>
        <v>0</v>
      </c>
      <c r="I597" s="10"/>
      <c r="J597" s="9"/>
      <c r="K597" s="66"/>
    </row>
    <row r="598" spans="1:11" ht="12.75" x14ac:dyDescent="0.2">
      <c r="A598" s="75" t="s">
        <v>525</v>
      </c>
      <c r="B598" s="63" t="s">
        <v>524</v>
      </c>
      <c r="C598" s="62">
        <f>+Tabla13[[#This Row],[Columna6]]/Tabla13[[#This Row],[Columna5]]</f>
        <v>34581.26</v>
      </c>
      <c r="D598" s="62">
        <f>+Tabla13[[#This Row],[PRECIO INSTALADOR (IVA INCLUIDO)]]-F598</f>
        <v>32852.197</v>
      </c>
      <c r="E598" s="62">
        <f>+Tabla13[[#This Row],[PRECIO INSTALADOR (IVA INCLUIDO)]]/0.7</f>
        <v>49401.8</v>
      </c>
      <c r="F598" s="61">
        <f>+Tabla13[[#This Row],[PRECIO INSTALADOR (IVA INCLUIDO)]]*5%</f>
        <v>1729.0630000000001</v>
      </c>
      <c r="G598" s="12">
        <v>0.85</v>
      </c>
      <c r="H598" s="11">
        <f>Tabla13[[#This Row],[COSTO]]*1.19</f>
        <v>29394.071</v>
      </c>
      <c r="I598" s="10"/>
      <c r="J598" s="9"/>
      <c r="K598" s="66">
        <v>24700.9</v>
      </c>
    </row>
    <row r="599" spans="1:11" ht="12.75" x14ac:dyDescent="0.2">
      <c r="A599" s="75" t="s">
        <v>523</v>
      </c>
      <c r="B599" s="63" t="s">
        <v>522</v>
      </c>
      <c r="C599" s="62">
        <f>+Tabla13[[#This Row],[Columna6]]/Tabla13[[#This Row],[Columna5]]</f>
        <v>34581.26</v>
      </c>
      <c r="D599" s="62">
        <f>+Tabla13[[#This Row],[PRECIO INSTALADOR (IVA INCLUIDO)]]-F599</f>
        <v>32852.197</v>
      </c>
      <c r="E599" s="62">
        <f>+Tabla13[[#This Row],[PRECIO INSTALADOR (IVA INCLUIDO)]]/0.7</f>
        <v>49401.8</v>
      </c>
      <c r="F599" s="61">
        <f>+Tabla13[[#This Row],[PRECIO INSTALADOR (IVA INCLUIDO)]]*5%</f>
        <v>1729.0630000000001</v>
      </c>
      <c r="G599" s="12">
        <v>0.85</v>
      </c>
      <c r="H599" s="11">
        <f>Tabla13[[#This Row],[COSTO]]*1.19</f>
        <v>29394.071</v>
      </c>
      <c r="I599" s="10"/>
      <c r="J599" s="9"/>
      <c r="K599" s="66">
        <v>24700.9</v>
      </c>
    </row>
    <row r="600" spans="1:11" ht="12.75" x14ac:dyDescent="0.2">
      <c r="A600" s="75" t="s">
        <v>521</v>
      </c>
      <c r="B600" s="63" t="s">
        <v>520</v>
      </c>
      <c r="C600" s="62">
        <f>+Tabla13[[#This Row],[Columna6]]/Tabla13[[#This Row],[Columna5]]</f>
        <v>34581.26</v>
      </c>
      <c r="D600" s="62">
        <f>+Tabla13[[#This Row],[PRECIO INSTALADOR (IVA INCLUIDO)]]-F600</f>
        <v>32852.197</v>
      </c>
      <c r="E600" s="62">
        <f>+Tabla13[[#This Row],[PRECIO INSTALADOR (IVA INCLUIDO)]]/0.7</f>
        <v>49401.8</v>
      </c>
      <c r="F600" s="61">
        <f>+Tabla13[[#This Row],[PRECIO INSTALADOR (IVA INCLUIDO)]]*5%</f>
        <v>1729.0630000000001</v>
      </c>
      <c r="G600" s="12">
        <v>0.85</v>
      </c>
      <c r="H600" s="11">
        <f>Tabla13[[#This Row],[COSTO]]*1.19</f>
        <v>29394.071</v>
      </c>
      <c r="I600" s="10"/>
      <c r="J600" s="9"/>
      <c r="K600" s="66">
        <v>24700.9</v>
      </c>
    </row>
    <row r="601" spans="1:11" ht="12.75" x14ac:dyDescent="0.2">
      <c r="A601" s="75" t="s">
        <v>519</v>
      </c>
      <c r="B601" s="63" t="s">
        <v>518</v>
      </c>
      <c r="C601" s="62">
        <f>+Tabla13[[#This Row],[Columna6]]/Tabla13[[#This Row],[Columna5]]</f>
        <v>34581.26</v>
      </c>
      <c r="D601" s="62">
        <f>+Tabla13[[#This Row],[PRECIO INSTALADOR (IVA INCLUIDO)]]-F601</f>
        <v>32852.197</v>
      </c>
      <c r="E601" s="62">
        <f>+Tabla13[[#This Row],[PRECIO INSTALADOR (IVA INCLUIDO)]]/0.7</f>
        <v>49401.8</v>
      </c>
      <c r="F601" s="61">
        <f>+Tabla13[[#This Row],[PRECIO INSTALADOR (IVA INCLUIDO)]]*5%</f>
        <v>1729.0630000000001</v>
      </c>
      <c r="G601" s="12">
        <v>0.85</v>
      </c>
      <c r="H601" s="11">
        <f>Tabla13[[#This Row],[COSTO]]*1.19</f>
        <v>29394.071</v>
      </c>
      <c r="I601" s="10"/>
      <c r="J601" s="9"/>
      <c r="K601" s="66">
        <v>24700.9</v>
      </c>
    </row>
    <row r="602" spans="1:11" ht="12.75" x14ac:dyDescent="0.2">
      <c r="A602" s="75" t="s">
        <v>517</v>
      </c>
      <c r="B602" s="63" t="s">
        <v>516</v>
      </c>
      <c r="C602" s="62">
        <f>+Tabla13[[#This Row],[Columna6]]/Tabla13[[#This Row],[Columna5]]</f>
        <v>34581.26</v>
      </c>
      <c r="D602" s="62">
        <f>+Tabla13[[#This Row],[PRECIO INSTALADOR (IVA INCLUIDO)]]-F602</f>
        <v>32852.197</v>
      </c>
      <c r="E602" s="62">
        <f>+Tabla13[[#This Row],[PRECIO INSTALADOR (IVA INCLUIDO)]]/0.7</f>
        <v>49401.8</v>
      </c>
      <c r="F602" s="61">
        <f>+Tabla13[[#This Row],[PRECIO INSTALADOR (IVA INCLUIDO)]]*5%</f>
        <v>1729.0630000000001</v>
      </c>
      <c r="G602" s="12">
        <v>0.85</v>
      </c>
      <c r="H602" s="11">
        <f>Tabla13[[#This Row],[COSTO]]*1.19</f>
        <v>29394.071</v>
      </c>
      <c r="I602" s="10"/>
      <c r="J602" s="9"/>
      <c r="K602" s="66">
        <v>24700.9</v>
      </c>
    </row>
    <row r="603" spans="1:11" ht="12.75" x14ac:dyDescent="0.2">
      <c r="A603" s="94"/>
      <c r="B603" s="69" t="s">
        <v>515</v>
      </c>
      <c r="C603" s="93"/>
      <c r="D603" s="93"/>
      <c r="E603" s="93"/>
      <c r="F603" s="92">
        <f>+Tabla13[[#This Row],[PRECIO INSTALADOR (IVA INCLUIDO)]]*5%</f>
        <v>0</v>
      </c>
      <c r="G603" s="12">
        <v>0.85</v>
      </c>
      <c r="H603" s="11">
        <f>Tabla13[[#This Row],[COSTO]]*1.19</f>
        <v>0</v>
      </c>
      <c r="I603" s="10"/>
      <c r="J603" s="9"/>
      <c r="K603" s="66"/>
    </row>
    <row r="604" spans="1:11" ht="12.75" x14ac:dyDescent="0.2">
      <c r="A604" s="75" t="s">
        <v>514</v>
      </c>
      <c r="B604" s="63" t="s">
        <v>513</v>
      </c>
      <c r="C604" s="62">
        <f>+Tabla13[[#This Row],[Columna6]]/Tabla13[[#This Row],[Columna5]]</f>
        <v>49093.659999999996</v>
      </c>
      <c r="D604" s="62">
        <f>+Tabla13[[#This Row],[PRECIO INSTALADOR (IVA INCLUIDO)]]-F604</f>
        <v>46638.976999999999</v>
      </c>
      <c r="E604" s="62">
        <f>+Tabla13[[#This Row],[PRECIO INSTALADOR (IVA INCLUIDO)]]/0.7</f>
        <v>70133.8</v>
      </c>
      <c r="F604" s="61">
        <f>+Tabla13[[#This Row],[PRECIO INSTALADOR (IVA INCLUIDO)]]*5%</f>
        <v>2454.683</v>
      </c>
      <c r="G604" s="12">
        <v>0.85</v>
      </c>
      <c r="H604" s="11">
        <f>Tabla13[[#This Row],[COSTO]]*1.19</f>
        <v>41729.610999999997</v>
      </c>
      <c r="I604" s="10"/>
      <c r="J604" s="9"/>
      <c r="K604" s="66">
        <v>35066.9</v>
      </c>
    </row>
    <row r="605" spans="1:11" ht="12.75" x14ac:dyDescent="0.2">
      <c r="A605" s="75" t="s">
        <v>512</v>
      </c>
      <c r="B605" s="63" t="s">
        <v>511</v>
      </c>
      <c r="C605" s="62">
        <f>+Tabla13[[#This Row],[Columna6]]/Tabla13[[#This Row],[Columna5]]</f>
        <v>49093.659999999996</v>
      </c>
      <c r="D605" s="62">
        <f>+Tabla13[[#This Row],[PRECIO INSTALADOR (IVA INCLUIDO)]]-F605</f>
        <v>46638.976999999999</v>
      </c>
      <c r="E605" s="62">
        <f>+Tabla13[[#This Row],[PRECIO INSTALADOR (IVA INCLUIDO)]]/0.7</f>
        <v>70133.8</v>
      </c>
      <c r="F605" s="61">
        <f>+Tabla13[[#This Row],[PRECIO INSTALADOR (IVA INCLUIDO)]]*5%</f>
        <v>2454.683</v>
      </c>
      <c r="G605" s="12">
        <v>0.85</v>
      </c>
      <c r="H605" s="11">
        <f>Tabla13[[#This Row],[COSTO]]*1.19</f>
        <v>41729.610999999997</v>
      </c>
      <c r="I605" s="10"/>
      <c r="J605" s="9"/>
      <c r="K605" s="66">
        <v>35066.9</v>
      </c>
    </row>
    <row r="606" spans="1:11" ht="12.75" x14ac:dyDescent="0.2">
      <c r="A606" s="75" t="s">
        <v>510</v>
      </c>
      <c r="B606" s="63" t="s">
        <v>509</v>
      </c>
      <c r="C606" s="62">
        <f>+Tabla13[[#This Row],[Columna6]]/Tabla13[[#This Row],[Columna5]]</f>
        <v>48795.460000000006</v>
      </c>
      <c r="D606" s="62">
        <f>+Tabla13[[#This Row],[PRECIO INSTALADOR (IVA INCLUIDO)]]-F606</f>
        <v>46355.687000000005</v>
      </c>
      <c r="E606" s="62">
        <f>+Tabla13[[#This Row],[PRECIO INSTALADOR (IVA INCLUIDO)]]/0.7</f>
        <v>69707.800000000017</v>
      </c>
      <c r="F606" s="61">
        <f>+Tabla13[[#This Row],[PRECIO INSTALADOR (IVA INCLUIDO)]]*5%</f>
        <v>2439.7730000000006</v>
      </c>
      <c r="G606" s="12">
        <v>0.85</v>
      </c>
      <c r="H606" s="11">
        <f>Tabla13[[#This Row],[COSTO]]*1.19</f>
        <v>41476.141000000003</v>
      </c>
      <c r="I606" s="10"/>
      <c r="J606" s="9"/>
      <c r="K606" s="66">
        <v>34853.9</v>
      </c>
    </row>
    <row r="607" spans="1:11" ht="12.75" x14ac:dyDescent="0.2">
      <c r="A607" s="75" t="s">
        <v>508</v>
      </c>
      <c r="B607" s="63" t="s">
        <v>507</v>
      </c>
      <c r="C607" s="62">
        <f>+Tabla13[[#This Row],[Columna6]]/Tabla13[[#This Row],[Columna5]]</f>
        <v>49093.659999999996</v>
      </c>
      <c r="D607" s="62">
        <f>+Tabla13[[#This Row],[PRECIO INSTALADOR (IVA INCLUIDO)]]-F607</f>
        <v>46638.976999999999</v>
      </c>
      <c r="E607" s="62">
        <f>+Tabla13[[#This Row],[PRECIO INSTALADOR (IVA INCLUIDO)]]/0.7</f>
        <v>70133.8</v>
      </c>
      <c r="F607" s="61">
        <f>+Tabla13[[#This Row],[PRECIO INSTALADOR (IVA INCLUIDO)]]*5%</f>
        <v>2454.683</v>
      </c>
      <c r="G607" s="12">
        <v>0.85</v>
      </c>
      <c r="H607" s="11">
        <f>Tabla13[[#This Row],[COSTO]]*1.19</f>
        <v>41729.610999999997</v>
      </c>
      <c r="I607" s="10"/>
      <c r="J607" s="9"/>
      <c r="K607" s="66">
        <v>35066.9</v>
      </c>
    </row>
    <row r="608" spans="1:11" ht="12.75" x14ac:dyDescent="0.2">
      <c r="A608" s="75" t="s">
        <v>506</v>
      </c>
      <c r="B608" s="63" t="s">
        <v>505</v>
      </c>
      <c r="C608" s="62">
        <f>+Tabla13[[#This Row],[Columna6]]/Tabla13[[#This Row],[Columna5]]</f>
        <v>46211.06</v>
      </c>
      <c r="D608" s="62">
        <f>+Tabla13[[#This Row],[PRECIO INSTALADOR (IVA INCLUIDO)]]-F608</f>
        <v>43900.506999999998</v>
      </c>
      <c r="E608" s="62">
        <f>+Tabla13[[#This Row],[PRECIO INSTALADOR (IVA INCLUIDO)]]/0.7</f>
        <v>66015.8</v>
      </c>
      <c r="F608" s="61">
        <f>+Tabla13[[#This Row],[PRECIO INSTALADOR (IVA INCLUIDO)]]*5%</f>
        <v>2310.5529999999999</v>
      </c>
      <c r="G608" s="12">
        <v>0.85</v>
      </c>
      <c r="H608" s="11">
        <f>Tabla13[[#This Row],[COSTO]]*1.19</f>
        <v>39279.400999999998</v>
      </c>
      <c r="I608" s="10"/>
      <c r="J608" s="9"/>
      <c r="K608" s="66">
        <v>33007.9</v>
      </c>
    </row>
    <row r="609" spans="1:11" ht="12.75" x14ac:dyDescent="0.2">
      <c r="A609" s="75" t="s">
        <v>504</v>
      </c>
      <c r="B609" s="63" t="s">
        <v>503</v>
      </c>
      <c r="C609" s="62">
        <f>+Tabla13[[#This Row],[Columna6]]/Tabla13[[#This Row],[Columna5]]</f>
        <v>46211.06</v>
      </c>
      <c r="D609" s="62">
        <f>+Tabla13[[#This Row],[PRECIO INSTALADOR (IVA INCLUIDO)]]-F609</f>
        <v>43900.506999999998</v>
      </c>
      <c r="E609" s="62">
        <f>+Tabla13[[#This Row],[PRECIO INSTALADOR (IVA INCLUIDO)]]/0.7</f>
        <v>66015.8</v>
      </c>
      <c r="F609" s="61">
        <f>+Tabla13[[#This Row],[PRECIO INSTALADOR (IVA INCLUIDO)]]*5%</f>
        <v>2310.5529999999999</v>
      </c>
      <c r="G609" s="12">
        <v>0.85</v>
      </c>
      <c r="H609" s="11">
        <f>Tabla13[[#This Row],[COSTO]]*1.19</f>
        <v>39279.400999999998</v>
      </c>
      <c r="I609" s="10"/>
      <c r="J609" s="9"/>
      <c r="K609" s="66">
        <v>33007.9</v>
      </c>
    </row>
    <row r="610" spans="1:11" ht="12.75" x14ac:dyDescent="0.2">
      <c r="A610" s="75" t="s">
        <v>502</v>
      </c>
      <c r="B610" s="63" t="s">
        <v>501</v>
      </c>
      <c r="C610" s="62">
        <f>+Tabla13[[#This Row],[Columna6]]/Tabla13[[#This Row],[Columna5]]</f>
        <v>45813.46</v>
      </c>
      <c r="D610" s="62">
        <f>+Tabla13[[#This Row],[PRECIO INSTALADOR (IVA INCLUIDO)]]-F610</f>
        <v>43522.786999999997</v>
      </c>
      <c r="E610" s="62">
        <f>+Tabla13[[#This Row],[PRECIO INSTALADOR (IVA INCLUIDO)]]/0.7</f>
        <v>65447.8</v>
      </c>
      <c r="F610" s="61">
        <f>+Tabla13[[#This Row],[PRECIO INSTALADOR (IVA INCLUIDO)]]*5%</f>
        <v>2290.6730000000002</v>
      </c>
      <c r="G610" s="12">
        <v>0.85</v>
      </c>
      <c r="H610" s="11">
        <f>Tabla13[[#This Row],[COSTO]]*1.19</f>
        <v>38941.440999999999</v>
      </c>
      <c r="I610" s="10"/>
      <c r="J610" s="9"/>
      <c r="K610" s="66">
        <v>32723.9</v>
      </c>
    </row>
    <row r="611" spans="1:11" ht="12.75" x14ac:dyDescent="0.2">
      <c r="A611" s="75" t="s">
        <v>500</v>
      </c>
      <c r="B611" s="63" t="s">
        <v>499</v>
      </c>
      <c r="C611" s="62">
        <f>+Tabla13[[#This Row],[Columna6]]/Tabla13[[#This Row],[Columna5]]</f>
        <v>45813.46</v>
      </c>
      <c r="D611" s="62">
        <f>+Tabla13[[#This Row],[PRECIO INSTALADOR (IVA INCLUIDO)]]-F611</f>
        <v>43522.786999999997</v>
      </c>
      <c r="E611" s="62">
        <f>+Tabla13[[#This Row],[PRECIO INSTALADOR (IVA INCLUIDO)]]/0.7</f>
        <v>65447.8</v>
      </c>
      <c r="F611" s="61">
        <f>+Tabla13[[#This Row],[PRECIO INSTALADOR (IVA INCLUIDO)]]*5%</f>
        <v>2290.6730000000002</v>
      </c>
      <c r="G611" s="12">
        <v>0.85</v>
      </c>
      <c r="H611" s="11">
        <f>Tabla13[[#This Row],[COSTO]]*1.19</f>
        <v>38941.440999999999</v>
      </c>
      <c r="I611" s="10"/>
      <c r="J611" s="9"/>
      <c r="K611" s="66">
        <v>32723.9</v>
      </c>
    </row>
    <row r="612" spans="1:11" ht="12.75" x14ac:dyDescent="0.2">
      <c r="A612" s="75" t="s">
        <v>498</v>
      </c>
      <c r="B612" s="63" t="s">
        <v>497</v>
      </c>
      <c r="C612" s="62">
        <f>+Tabla13[[#This Row],[Columna6]]/Tabla13[[#This Row],[Columna5]]</f>
        <v>46211.06</v>
      </c>
      <c r="D612" s="62">
        <f>+Tabla13[[#This Row],[PRECIO INSTALADOR (IVA INCLUIDO)]]-F612</f>
        <v>43900.506999999998</v>
      </c>
      <c r="E612" s="62">
        <f>+Tabla13[[#This Row],[PRECIO INSTALADOR (IVA INCLUIDO)]]/0.7</f>
        <v>66015.8</v>
      </c>
      <c r="F612" s="61">
        <f>+Tabla13[[#This Row],[PRECIO INSTALADOR (IVA INCLUIDO)]]*5%</f>
        <v>2310.5529999999999</v>
      </c>
      <c r="G612" s="12">
        <v>0.85</v>
      </c>
      <c r="H612" s="11">
        <f>Tabla13[[#This Row],[COSTO]]*1.19</f>
        <v>39279.400999999998</v>
      </c>
      <c r="I612" s="10"/>
      <c r="J612" s="9"/>
      <c r="K612" s="66">
        <v>33007.9</v>
      </c>
    </row>
    <row r="613" spans="1:11" ht="12.75" x14ac:dyDescent="0.2">
      <c r="A613" s="75" t="s">
        <v>496</v>
      </c>
      <c r="B613" s="63" t="s">
        <v>495</v>
      </c>
      <c r="C613" s="62">
        <f>+Tabla13[[#This Row],[Columna6]]/Tabla13[[#This Row],[Columna5]]</f>
        <v>46211.06</v>
      </c>
      <c r="D613" s="62">
        <f>+Tabla13[[#This Row],[PRECIO INSTALADOR (IVA INCLUIDO)]]-F613</f>
        <v>43900.506999999998</v>
      </c>
      <c r="E613" s="62">
        <f>+Tabla13[[#This Row],[PRECIO INSTALADOR (IVA INCLUIDO)]]/0.7</f>
        <v>66015.8</v>
      </c>
      <c r="F613" s="61">
        <f>+Tabla13[[#This Row],[PRECIO INSTALADOR (IVA INCLUIDO)]]*5%</f>
        <v>2310.5529999999999</v>
      </c>
      <c r="G613" s="12">
        <v>0.85</v>
      </c>
      <c r="H613" s="11">
        <f>Tabla13[[#This Row],[COSTO]]*1.19</f>
        <v>39279.400999999998</v>
      </c>
      <c r="I613" s="10"/>
      <c r="J613" s="9"/>
      <c r="K613" s="66">
        <v>33007.9</v>
      </c>
    </row>
    <row r="614" spans="1:11" ht="12.75" x14ac:dyDescent="0.2">
      <c r="A614" s="75" t="s">
        <v>494</v>
      </c>
      <c r="B614" s="63" t="s">
        <v>493</v>
      </c>
      <c r="C614" s="62">
        <f>+Tabla13[[#This Row],[Columna6]]/Tabla13[[#This Row],[Columna5]]</f>
        <v>45813.46</v>
      </c>
      <c r="D614" s="62">
        <f>+Tabla13[[#This Row],[PRECIO INSTALADOR (IVA INCLUIDO)]]-F614</f>
        <v>43522.786999999997</v>
      </c>
      <c r="E614" s="62">
        <f>+Tabla13[[#This Row],[PRECIO INSTALADOR (IVA INCLUIDO)]]/0.7</f>
        <v>65447.8</v>
      </c>
      <c r="F614" s="61">
        <f>+Tabla13[[#This Row],[PRECIO INSTALADOR (IVA INCLUIDO)]]*5%</f>
        <v>2290.6730000000002</v>
      </c>
      <c r="G614" s="12">
        <v>0.85</v>
      </c>
      <c r="H614" s="11">
        <f>Tabla13[[#This Row],[COSTO]]*1.19</f>
        <v>38941.440999999999</v>
      </c>
      <c r="I614" s="10"/>
      <c r="J614" s="9"/>
      <c r="K614" s="66">
        <v>32723.9</v>
      </c>
    </row>
    <row r="615" spans="1:11" ht="12.75" x14ac:dyDescent="0.2">
      <c r="A615" s="75" t="s">
        <v>492</v>
      </c>
      <c r="B615" s="63" t="s">
        <v>491</v>
      </c>
      <c r="C615" s="62">
        <f>+Tabla13[[#This Row],[Columna6]]/Tabla13[[#This Row],[Columna5]]</f>
        <v>46211.06</v>
      </c>
      <c r="D615" s="62">
        <f>+Tabla13[[#This Row],[PRECIO INSTALADOR (IVA INCLUIDO)]]-F615</f>
        <v>43900.506999999998</v>
      </c>
      <c r="E615" s="62">
        <f>+Tabla13[[#This Row],[PRECIO INSTALADOR (IVA INCLUIDO)]]/0.7</f>
        <v>66015.8</v>
      </c>
      <c r="F615" s="61">
        <f>+Tabla13[[#This Row],[PRECIO INSTALADOR (IVA INCLUIDO)]]*5%</f>
        <v>2310.5529999999999</v>
      </c>
      <c r="G615" s="12">
        <v>0.85</v>
      </c>
      <c r="H615" s="11">
        <f>Tabla13[[#This Row],[COSTO]]*1.19</f>
        <v>39279.400999999998</v>
      </c>
      <c r="I615" s="10"/>
      <c r="J615" s="9"/>
      <c r="K615" s="66">
        <v>33007.9</v>
      </c>
    </row>
    <row r="616" spans="1:11" ht="12.75" x14ac:dyDescent="0.2">
      <c r="A616" s="75" t="s">
        <v>490</v>
      </c>
      <c r="B616" s="63" t="s">
        <v>489</v>
      </c>
      <c r="C616" s="62">
        <f>+Tabla13[[#This Row],[Columna6]]/Tabla13[[#This Row],[Columna5]]</f>
        <v>47702.06</v>
      </c>
      <c r="D616" s="62">
        <f>+Tabla13[[#This Row],[PRECIO INSTALADOR (IVA INCLUIDO)]]-F616</f>
        <v>45316.956999999995</v>
      </c>
      <c r="E616" s="62">
        <f>+Tabla13[[#This Row],[PRECIO INSTALADOR (IVA INCLUIDO)]]/0.7</f>
        <v>68145.8</v>
      </c>
      <c r="F616" s="61">
        <f>+Tabla13[[#This Row],[PRECIO INSTALADOR (IVA INCLUIDO)]]*5%</f>
        <v>2385.1030000000001</v>
      </c>
      <c r="G616" s="12">
        <v>0.85</v>
      </c>
      <c r="H616" s="11">
        <f>Tabla13[[#This Row],[COSTO]]*1.19</f>
        <v>40546.750999999997</v>
      </c>
      <c r="I616" s="10"/>
      <c r="J616" s="9"/>
      <c r="K616" s="66">
        <v>34072.9</v>
      </c>
    </row>
    <row r="617" spans="1:11" ht="12.75" x14ac:dyDescent="0.2">
      <c r="A617" s="75" t="s">
        <v>488</v>
      </c>
      <c r="B617" s="63" t="s">
        <v>487</v>
      </c>
      <c r="C617" s="62">
        <f>+Tabla13[[#This Row],[Columna6]]/Tabla13[[#This Row],[Columna5]]</f>
        <v>47702.06</v>
      </c>
      <c r="D617" s="62">
        <f>+Tabla13[[#This Row],[PRECIO INSTALADOR (IVA INCLUIDO)]]-F617</f>
        <v>45316.956999999995</v>
      </c>
      <c r="E617" s="62">
        <f>+Tabla13[[#This Row],[PRECIO INSTALADOR (IVA INCLUIDO)]]/0.7</f>
        <v>68145.8</v>
      </c>
      <c r="F617" s="61">
        <f>+Tabla13[[#This Row],[PRECIO INSTALADOR (IVA INCLUIDO)]]*5%</f>
        <v>2385.1030000000001</v>
      </c>
      <c r="G617" s="12">
        <v>0.85</v>
      </c>
      <c r="H617" s="11">
        <f>Tabla13[[#This Row],[COSTO]]*1.19</f>
        <v>40546.750999999997</v>
      </c>
      <c r="I617" s="10"/>
      <c r="J617" s="9"/>
      <c r="K617" s="66">
        <v>34072.9</v>
      </c>
    </row>
    <row r="618" spans="1:11" ht="12.75" x14ac:dyDescent="0.2">
      <c r="A618" s="75" t="s">
        <v>486</v>
      </c>
      <c r="B618" s="63" t="s">
        <v>485</v>
      </c>
      <c r="C618" s="62">
        <f>+Tabla13[[#This Row],[Columna6]]/Tabla13[[#This Row],[Columna5]]</f>
        <v>47702.06</v>
      </c>
      <c r="D618" s="62">
        <f>+Tabla13[[#This Row],[PRECIO INSTALADOR (IVA INCLUIDO)]]-F618</f>
        <v>45316.956999999995</v>
      </c>
      <c r="E618" s="62">
        <f>+Tabla13[[#This Row],[PRECIO INSTALADOR (IVA INCLUIDO)]]/0.7</f>
        <v>68145.8</v>
      </c>
      <c r="F618" s="61">
        <f>+Tabla13[[#This Row],[PRECIO INSTALADOR (IVA INCLUIDO)]]*5%</f>
        <v>2385.1030000000001</v>
      </c>
      <c r="G618" s="12">
        <v>0.85</v>
      </c>
      <c r="H618" s="11">
        <f>Tabla13[[#This Row],[COSTO]]*1.19</f>
        <v>40546.750999999997</v>
      </c>
      <c r="I618" s="10"/>
      <c r="J618" s="9"/>
      <c r="K618" s="66">
        <v>34072.9</v>
      </c>
    </row>
    <row r="619" spans="1:11" ht="12.75" x14ac:dyDescent="0.2">
      <c r="A619" s="75" t="s">
        <v>484</v>
      </c>
      <c r="B619" s="63" t="s">
        <v>483</v>
      </c>
      <c r="C619" s="62">
        <f>+Tabla13[[#This Row],[Columna6]]/Tabla13[[#This Row],[Columna5]]</f>
        <v>47702.06</v>
      </c>
      <c r="D619" s="62">
        <f>+Tabla13[[#This Row],[PRECIO INSTALADOR (IVA INCLUIDO)]]-F619</f>
        <v>45316.956999999995</v>
      </c>
      <c r="E619" s="62">
        <f>+Tabla13[[#This Row],[PRECIO INSTALADOR (IVA INCLUIDO)]]/0.7</f>
        <v>68145.8</v>
      </c>
      <c r="F619" s="61">
        <f>+Tabla13[[#This Row],[PRECIO INSTALADOR (IVA INCLUIDO)]]*5%</f>
        <v>2385.1030000000001</v>
      </c>
      <c r="G619" s="12">
        <v>0.85</v>
      </c>
      <c r="H619" s="11">
        <f>Tabla13[[#This Row],[COSTO]]*1.19</f>
        <v>40546.750999999997</v>
      </c>
      <c r="I619" s="10"/>
      <c r="J619" s="9"/>
      <c r="K619" s="66">
        <v>34072.9</v>
      </c>
    </row>
    <row r="620" spans="1:11" ht="12.75" x14ac:dyDescent="0.2">
      <c r="A620" s="75" t="s">
        <v>482</v>
      </c>
      <c r="B620" s="63" t="s">
        <v>481</v>
      </c>
      <c r="C620" s="62">
        <f>+Tabla13[[#This Row],[Columna6]]/Tabla13[[#This Row],[Columna5]]</f>
        <v>53169.060000000005</v>
      </c>
      <c r="D620" s="62">
        <f>+Tabla13[[#This Row],[PRECIO INSTALADOR (IVA INCLUIDO)]]-F620</f>
        <v>50510.607000000004</v>
      </c>
      <c r="E620" s="62">
        <f>+Tabla13[[#This Row],[PRECIO INSTALADOR (IVA INCLUIDO)]]/0.7</f>
        <v>75955.800000000017</v>
      </c>
      <c r="F620" s="61">
        <f>+Tabla13[[#This Row],[PRECIO INSTALADOR (IVA INCLUIDO)]]*5%</f>
        <v>2658.4530000000004</v>
      </c>
      <c r="G620" s="12">
        <v>0.85</v>
      </c>
      <c r="H620" s="11">
        <f>Tabla13[[#This Row],[COSTO]]*1.19</f>
        <v>45193.701000000001</v>
      </c>
      <c r="I620" s="10"/>
      <c r="J620" s="9"/>
      <c r="K620" s="66">
        <v>37977.9</v>
      </c>
    </row>
    <row r="621" spans="1:11" ht="12.75" x14ac:dyDescent="0.2">
      <c r="A621" s="75" t="s">
        <v>480</v>
      </c>
      <c r="B621" s="63" t="s">
        <v>479</v>
      </c>
      <c r="C621" s="62">
        <f>+Tabla13[[#This Row],[Columna6]]/Tabla13[[#This Row],[Columna5]]</f>
        <v>41141.660000000003</v>
      </c>
      <c r="D621" s="62">
        <f>+Tabla13[[#This Row],[PRECIO INSTALADOR (IVA INCLUIDO)]]-F621</f>
        <v>39084.577000000005</v>
      </c>
      <c r="E621" s="62">
        <f>+Tabla13[[#This Row],[PRECIO INSTALADOR (IVA INCLUIDO)]]/0.7</f>
        <v>58773.80000000001</v>
      </c>
      <c r="F621" s="61">
        <f>+Tabla13[[#This Row],[PRECIO INSTALADOR (IVA INCLUIDO)]]*5%</f>
        <v>2057.0830000000001</v>
      </c>
      <c r="G621" s="12">
        <v>0.85</v>
      </c>
      <c r="H621" s="11">
        <f>Tabla13[[#This Row],[COSTO]]*1.19</f>
        <v>34970.411</v>
      </c>
      <c r="I621" s="10"/>
      <c r="J621" s="9"/>
      <c r="K621" s="66">
        <v>29386.9</v>
      </c>
    </row>
    <row r="622" spans="1:11" ht="12.75" x14ac:dyDescent="0.2">
      <c r="A622" s="75" t="s">
        <v>478</v>
      </c>
      <c r="B622" s="63" t="s">
        <v>477</v>
      </c>
      <c r="C622" s="62">
        <f>+Tabla13[[#This Row],[Columna6]]/Tabla13[[#This Row],[Columna5]]</f>
        <v>7445.0599999999995</v>
      </c>
      <c r="D622" s="62">
        <f>+Tabla13[[#This Row],[PRECIO INSTALADOR (IVA INCLUIDO)]]-F622</f>
        <v>7072.8069999999998</v>
      </c>
      <c r="E622" s="62">
        <f>+Tabla13[[#This Row],[PRECIO INSTALADOR (IVA INCLUIDO)]]/0.7</f>
        <v>10635.8</v>
      </c>
      <c r="F622" s="61">
        <f>+Tabla13[[#This Row],[PRECIO INSTALADOR (IVA INCLUIDO)]]*5%</f>
        <v>372.25299999999999</v>
      </c>
      <c r="G622" s="12">
        <v>0.85</v>
      </c>
      <c r="H622" s="11">
        <f>Tabla13[[#This Row],[COSTO]]*1.19</f>
        <v>6328.3009999999995</v>
      </c>
      <c r="I622" s="10"/>
      <c r="J622" s="9"/>
      <c r="K622" s="66">
        <v>5317.9</v>
      </c>
    </row>
    <row r="623" spans="1:11" ht="12.75" x14ac:dyDescent="0.2">
      <c r="A623" s="75" t="s">
        <v>476</v>
      </c>
      <c r="B623" s="63" t="s">
        <v>475</v>
      </c>
      <c r="C623" s="62">
        <f>+Tabla13[[#This Row],[Columna6]]/Tabla13[[#This Row],[Columna5]]</f>
        <v>69371.259999999995</v>
      </c>
      <c r="D623" s="62">
        <f>+Tabla13[[#This Row],[PRECIO INSTALADOR (IVA INCLUIDO)]]-F623</f>
        <v>65902.697</v>
      </c>
      <c r="E623" s="62">
        <f>+Tabla13[[#This Row],[PRECIO INSTALADOR (IVA INCLUIDO)]]/0.7</f>
        <v>99101.8</v>
      </c>
      <c r="F623" s="61">
        <f>+Tabla13[[#This Row],[PRECIO INSTALADOR (IVA INCLUIDO)]]*5%</f>
        <v>3468.5630000000001</v>
      </c>
      <c r="G623" s="12">
        <v>0.85</v>
      </c>
      <c r="H623" s="11">
        <f>Tabla13[[#This Row],[COSTO]]*1.19</f>
        <v>58965.570999999996</v>
      </c>
      <c r="I623" s="10"/>
      <c r="J623" s="9"/>
      <c r="K623" s="66">
        <v>49550.9</v>
      </c>
    </row>
    <row r="624" spans="1:11" ht="12.75" x14ac:dyDescent="0.2">
      <c r="A624" s="94"/>
      <c r="B624" s="69" t="s">
        <v>474</v>
      </c>
      <c r="C624" s="93"/>
      <c r="D624" s="93"/>
      <c r="E624" s="93"/>
      <c r="F624" s="92">
        <f>+Tabla13[[#This Row],[PRECIO INSTALADOR (IVA INCLUIDO)]]*5%</f>
        <v>0</v>
      </c>
      <c r="G624" s="12">
        <v>0.85</v>
      </c>
      <c r="H624" s="11">
        <f>Tabla13[[#This Row],[COSTO]]*1.19</f>
        <v>0</v>
      </c>
      <c r="I624" s="10"/>
      <c r="J624" s="9"/>
      <c r="K624" s="66"/>
    </row>
    <row r="625" spans="1:11" ht="12.75" x14ac:dyDescent="0.2">
      <c r="A625" s="75" t="s">
        <v>473</v>
      </c>
      <c r="B625" s="63" t="s">
        <v>472</v>
      </c>
      <c r="C625" s="62">
        <f>+Tabla13[[#This Row],[Columna6]]/Tabla13[[#This Row],[Columna5]]</f>
        <v>19571.859999999997</v>
      </c>
      <c r="D625" s="62">
        <f>+Tabla13[[#This Row],[PRECIO INSTALADOR (IVA INCLUIDO)]]-F625</f>
        <v>18593.266999999996</v>
      </c>
      <c r="E625" s="62">
        <f>+Tabla13[[#This Row],[PRECIO INSTALADOR (IVA INCLUIDO)]]/0.7</f>
        <v>27959.799999999996</v>
      </c>
      <c r="F625" s="61">
        <f>+Tabla13[[#This Row],[PRECIO INSTALADOR (IVA INCLUIDO)]]*5%</f>
        <v>978.59299999999985</v>
      </c>
      <c r="G625" s="12">
        <v>0.85</v>
      </c>
      <c r="H625" s="11">
        <f>Tabla13[[#This Row],[COSTO]]*1.19</f>
        <v>16636.080999999998</v>
      </c>
      <c r="I625" s="10"/>
      <c r="J625" s="9"/>
      <c r="K625" s="66">
        <v>13979.9</v>
      </c>
    </row>
    <row r="626" spans="1:11" ht="12.75" x14ac:dyDescent="0.2">
      <c r="A626" s="86" t="s">
        <v>471</v>
      </c>
      <c r="B626" s="85" t="s">
        <v>470</v>
      </c>
      <c r="C626" s="84">
        <f>+Tabla13[[#This Row],[Columna6]]/Tabla13[[#This Row],[Columna5]]</f>
        <v>53765.460000000006</v>
      </c>
      <c r="D626" s="84">
        <f>+Tabla13[[#This Row],[PRECIO INSTALADOR (IVA INCLUIDO)]]-F626</f>
        <v>51077.187000000005</v>
      </c>
      <c r="E626" s="84">
        <f>+Tabla13[[#This Row],[PRECIO INSTALADOR (IVA INCLUIDO)]]/0.7</f>
        <v>76807.800000000017</v>
      </c>
      <c r="F626" s="83">
        <f>+Tabla13[[#This Row],[PRECIO INSTALADOR (IVA INCLUIDO)]]*5%</f>
        <v>2688.2730000000006</v>
      </c>
      <c r="G626" s="12">
        <v>0.85</v>
      </c>
      <c r="H626" s="11">
        <f>Tabla13[[#This Row],[COSTO]]*1.19</f>
        <v>45700.641000000003</v>
      </c>
      <c r="I626" s="10"/>
      <c r="J626" s="9"/>
      <c r="K626" s="66">
        <v>38403.9</v>
      </c>
    </row>
    <row r="627" spans="1:11" ht="12.75" x14ac:dyDescent="0.2">
      <c r="A627" s="86" t="s">
        <v>469</v>
      </c>
      <c r="B627" s="85" t="s">
        <v>468</v>
      </c>
      <c r="C627" s="84">
        <f>+Tabla13[[#This Row],[Columna6]]/Tabla13[[#This Row],[Columna5]]</f>
        <v>56747.46</v>
      </c>
      <c r="D627" s="84">
        <f>+Tabla13[[#This Row],[PRECIO INSTALADOR (IVA INCLUIDO)]]-F627</f>
        <v>53910.087</v>
      </c>
      <c r="E627" s="84">
        <f>+Tabla13[[#This Row],[PRECIO INSTALADOR (IVA INCLUIDO)]]/0.7</f>
        <v>81067.8</v>
      </c>
      <c r="F627" s="83">
        <f>+Tabla13[[#This Row],[PRECIO INSTALADOR (IVA INCLUIDO)]]*5%</f>
        <v>2837.373</v>
      </c>
      <c r="G627" s="12">
        <v>0.85</v>
      </c>
      <c r="H627" s="11">
        <f>Tabla13[[#This Row],[COSTO]]*1.19</f>
        <v>48235.341</v>
      </c>
      <c r="I627" s="10"/>
      <c r="J627" s="9"/>
      <c r="K627" s="66">
        <v>40533.9</v>
      </c>
    </row>
    <row r="628" spans="1:11" ht="12.75" x14ac:dyDescent="0.2">
      <c r="A628" s="86" t="s">
        <v>467</v>
      </c>
      <c r="B628" s="85" t="s">
        <v>466</v>
      </c>
      <c r="C628" s="84">
        <f>+Tabla13[[#This Row],[Columna6]]/Tabla13[[#This Row],[Columna5]]</f>
        <v>62810.86</v>
      </c>
      <c r="D628" s="84">
        <f>+Tabla13[[#This Row],[PRECIO INSTALADOR (IVA INCLUIDO)]]-F628</f>
        <v>59670.317000000003</v>
      </c>
      <c r="E628" s="84">
        <f>+Tabla13[[#This Row],[PRECIO INSTALADOR (IVA INCLUIDO)]]/0.7</f>
        <v>89729.8</v>
      </c>
      <c r="F628" s="83">
        <f>+Tabla13[[#This Row],[PRECIO INSTALADOR (IVA INCLUIDO)]]*5%</f>
        <v>3140.5430000000001</v>
      </c>
      <c r="G628" s="12">
        <v>0.85</v>
      </c>
      <c r="H628" s="11">
        <f>Tabla13[[#This Row],[COSTO]]*1.19</f>
        <v>53389.231</v>
      </c>
      <c r="I628" s="10"/>
      <c r="J628" s="9"/>
      <c r="K628" s="66">
        <v>44864.9</v>
      </c>
    </row>
    <row r="629" spans="1:11" ht="12.75" x14ac:dyDescent="0.2">
      <c r="A629" s="86" t="s">
        <v>465</v>
      </c>
      <c r="B629" s="85" t="s">
        <v>464</v>
      </c>
      <c r="C629" s="84">
        <f>+Tabla13[[#This Row],[Columna6]]/Tabla13[[#This Row],[Columna5]]</f>
        <v>66588.06</v>
      </c>
      <c r="D629" s="84">
        <f>+Tabla13[[#This Row],[PRECIO INSTALADOR (IVA INCLUIDO)]]-F629</f>
        <v>63258.656999999999</v>
      </c>
      <c r="E629" s="84">
        <f>+Tabla13[[#This Row],[PRECIO INSTALADOR (IVA INCLUIDO)]]/0.7</f>
        <v>95125.8</v>
      </c>
      <c r="F629" s="83">
        <f>+Tabla13[[#This Row],[PRECIO INSTALADOR (IVA INCLUIDO)]]*5%</f>
        <v>3329.4030000000002</v>
      </c>
      <c r="G629" s="12">
        <v>0.85</v>
      </c>
      <c r="H629" s="11">
        <f>Tabla13[[#This Row],[COSTO]]*1.19</f>
        <v>56599.851000000002</v>
      </c>
      <c r="I629" s="10"/>
      <c r="J629" s="9"/>
      <c r="K629" s="66">
        <v>47562.9</v>
      </c>
    </row>
    <row r="630" spans="1:11" ht="12.75" x14ac:dyDescent="0.2">
      <c r="A630" s="86" t="s">
        <v>463</v>
      </c>
      <c r="B630" s="85" t="s">
        <v>462</v>
      </c>
      <c r="C630" s="84">
        <f>+Tabla13[[#This Row],[Columna6]]/Tabla13[[#This Row],[Columna5]]</f>
        <v>35674.660000000003</v>
      </c>
      <c r="D630" s="84">
        <f>+Tabla13[[#This Row],[PRECIO INSTALADOR (IVA INCLUIDO)]]-F630</f>
        <v>33890.927000000003</v>
      </c>
      <c r="E630" s="84">
        <f>+Tabla13[[#This Row],[PRECIO INSTALADOR (IVA INCLUIDO)]]/0.7</f>
        <v>50963.80000000001</v>
      </c>
      <c r="F630" s="83">
        <f>+Tabla13[[#This Row],[PRECIO INSTALADOR (IVA INCLUIDO)]]*5%</f>
        <v>1783.7330000000002</v>
      </c>
      <c r="G630" s="12">
        <v>0.85</v>
      </c>
      <c r="H630" s="11">
        <f>Tabla13[[#This Row],[COSTO]]*1.19</f>
        <v>30323.460999999999</v>
      </c>
      <c r="I630" s="10"/>
      <c r="J630" s="9"/>
      <c r="K630" s="66">
        <v>25481.9</v>
      </c>
    </row>
    <row r="631" spans="1:11" ht="12.75" x14ac:dyDescent="0.2">
      <c r="A631" s="75" t="s">
        <v>461</v>
      </c>
      <c r="B631" s="63" t="s">
        <v>460</v>
      </c>
      <c r="C631" s="62">
        <f>+Tabla13[[#This Row],[Columna6]]/Tabla13[[#This Row],[Columna5]]</f>
        <v>68079.06</v>
      </c>
      <c r="D631" s="62">
        <f>+Tabla13[[#This Row],[PRECIO INSTALADOR (IVA INCLUIDO)]]-F631</f>
        <v>64675.106999999996</v>
      </c>
      <c r="E631" s="62">
        <f>+Tabla13[[#This Row],[PRECIO INSTALADOR (IVA INCLUIDO)]]/0.7</f>
        <v>97255.8</v>
      </c>
      <c r="F631" s="61">
        <f>+Tabla13[[#This Row],[PRECIO INSTALADOR (IVA INCLUIDO)]]*5%</f>
        <v>3403.953</v>
      </c>
      <c r="G631" s="12">
        <v>0.85</v>
      </c>
      <c r="H631" s="11">
        <f>Tabla13[[#This Row],[COSTO]]*1.19</f>
        <v>57867.201000000001</v>
      </c>
      <c r="I631" s="10"/>
      <c r="J631" s="9"/>
      <c r="K631" s="66">
        <v>48627.9</v>
      </c>
    </row>
    <row r="632" spans="1:11" ht="12.75" x14ac:dyDescent="0.2">
      <c r="A632" s="75" t="s">
        <v>459</v>
      </c>
      <c r="B632" s="63" t="s">
        <v>458</v>
      </c>
      <c r="C632" s="62">
        <f>+Tabla13[[#This Row],[Columna6]]/Tabla13[[#This Row],[Columna5]]</f>
        <v>116486.85999999999</v>
      </c>
      <c r="D632" s="62">
        <f>+Tabla13[[#This Row],[PRECIO INSTALADOR (IVA INCLUIDO)]]-F632</f>
        <v>110662.51699999999</v>
      </c>
      <c r="E632" s="62">
        <f>+Tabla13[[#This Row],[PRECIO INSTALADOR (IVA INCLUIDO)]]/0.7</f>
        <v>166409.79999999999</v>
      </c>
      <c r="F632" s="61">
        <f>+Tabla13[[#This Row],[PRECIO INSTALADOR (IVA INCLUIDO)]]*5%</f>
        <v>5824.3429999999998</v>
      </c>
      <c r="G632" s="12">
        <v>0.85</v>
      </c>
      <c r="H632" s="11">
        <f>Tabla13[[#This Row],[COSTO]]*1.19</f>
        <v>99013.830999999991</v>
      </c>
      <c r="I632" s="10"/>
      <c r="J632" s="9"/>
      <c r="K632" s="66">
        <v>83204.899999999994</v>
      </c>
    </row>
    <row r="633" spans="1:11" ht="12.75" x14ac:dyDescent="0.2">
      <c r="A633" s="75" t="s">
        <v>457</v>
      </c>
      <c r="B633" s="63" t="s">
        <v>456</v>
      </c>
      <c r="C633" s="62">
        <f>+Tabla13[[#This Row],[Columna6]]/Tabla13[[#This Row],[Columna5]]</f>
        <v>335266.26</v>
      </c>
      <c r="D633" s="62">
        <f>+Tabla13[[#This Row],[PRECIO INSTALADOR (IVA INCLUIDO)]]-F633</f>
        <v>318502.94699999999</v>
      </c>
      <c r="E633" s="62">
        <f>+Tabla13[[#This Row],[PRECIO INSTALADOR (IVA INCLUIDO)]]/0.7</f>
        <v>478951.80000000005</v>
      </c>
      <c r="F633" s="61">
        <f>+Tabla13[[#This Row],[PRECIO INSTALADOR (IVA INCLUIDO)]]*5%</f>
        <v>16763.313000000002</v>
      </c>
      <c r="G633" s="12">
        <v>0.85</v>
      </c>
      <c r="H633" s="11">
        <f>Tabla13[[#This Row],[COSTO]]*1.19</f>
        <v>284976.321</v>
      </c>
      <c r="I633" s="10"/>
      <c r="J633" s="9"/>
      <c r="K633" s="66">
        <v>239475.9</v>
      </c>
    </row>
    <row r="634" spans="1:11" ht="12.75" x14ac:dyDescent="0.2">
      <c r="A634" s="75" t="s">
        <v>455</v>
      </c>
      <c r="B634" s="63" t="s">
        <v>454</v>
      </c>
      <c r="C634" s="62">
        <f>+Tabla13[[#This Row],[Columna6]]/Tabla13[[#This Row],[Columna5]]</f>
        <v>193024.86</v>
      </c>
      <c r="D634" s="62">
        <f>+Tabla13[[#This Row],[PRECIO INSTALADOR (IVA INCLUIDO)]]-F634</f>
        <v>183373.617</v>
      </c>
      <c r="E634" s="62">
        <f>+Tabla13[[#This Row],[PRECIO INSTALADOR (IVA INCLUIDO)]]/0.7</f>
        <v>275749.8</v>
      </c>
      <c r="F634" s="61">
        <f>+Tabla13[[#This Row],[PRECIO INSTALADOR (IVA INCLUIDO)]]*5%</f>
        <v>9651.2430000000004</v>
      </c>
      <c r="G634" s="12">
        <v>0.85</v>
      </c>
      <c r="H634" s="11">
        <f>Tabla13[[#This Row],[COSTO]]*1.19</f>
        <v>164071.13099999999</v>
      </c>
      <c r="I634" s="10"/>
      <c r="J634" s="9"/>
      <c r="K634" s="66">
        <v>137874.9</v>
      </c>
    </row>
    <row r="635" spans="1:11" ht="12.75" x14ac:dyDescent="0.2">
      <c r="A635" s="74"/>
      <c r="B635" s="73" t="s">
        <v>453</v>
      </c>
      <c r="C635" s="72"/>
      <c r="D635" s="72"/>
      <c r="E635" s="72"/>
      <c r="F635" s="71">
        <f>+Tabla13[[#This Row],[PRECIO INSTALADOR (IVA INCLUIDO)]]*5%</f>
        <v>0</v>
      </c>
      <c r="G635" s="12">
        <v>0.85</v>
      </c>
      <c r="H635" s="11">
        <f>Tabla13[[#This Row],[COSTO]]*1.19</f>
        <v>0</v>
      </c>
      <c r="I635" s="10"/>
      <c r="J635" s="9"/>
      <c r="K635" s="66"/>
    </row>
    <row r="636" spans="1:11" ht="12.75" x14ac:dyDescent="0.2">
      <c r="A636" s="91"/>
      <c r="B636" s="90" t="s">
        <v>452</v>
      </c>
      <c r="C636" s="89"/>
      <c r="D636" s="89"/>
      <c r="E636" s="89"/>
      <c r="F636" s="83">
        <f>+Tabla13[[#This Row],[PRECIO INSTALADOR (IVA INCLUIDO)]]*5%</f>
        <v>0</v>
      </c>
      <c r="G636" s="12">
        <v>0.85</v>
      </c>
      <c r="H636" s="11" t="e">
        <f>Tabla13[[#This Row],[COSTO]]*1.19</f>
        <v>#VALUE!</v>
      </c>
      <c r="I636" s="10"/>
      <c r="J636" s="9"/>
      <c r="K636" s="66" t="s">
        <v>261</v>
      </c>
    </row>
    <row r="637" spans="1:11" ht="12.75" x14ac:dyDescent="0.2">
      <c r="A637" s="88" t="s">
        <v>451</v>
      </c>
      <c r="B637" s="63" t="s">
        <v>450</v>
      </c>
      <c r="C637" s="62">
        <f>+Tabla13[[#This Row],[Columna6]]/Tabla13[[#This Row],[Columna5]]</f>
        <v>7345.66</v>
      </c>
      <c r="D637" s="62">
        <f>+Tabla13[[#This Row],[PRECIO INSTALADOR (IVA INCLUIDO)]]-F637</f>
        <v>6978.3769999999995</v>
      </c>
      <c r="E637" s="62">
        <f>+Tabla13[[#This Row],[PRECIO INSTALADOR (IVA INCLUIDO)]]/0.7</f>
        <v>10493.800000000001</v>
      </c>
      <c r="F637" s="61">
        <f>+Tabla13[[#This Row],[PRECIO INSTALADOR (IVA INCLUIDO)]]*5%</f>
        <v>367.28300000000002</v>
      </c>
      <c r="G637" s="12">
        <v>0.85</v>
      </c>
      <c r="H637" s="11">
        <f>Tabla13[[#This Row],[COSTO]]*1.19</f>
        <v>6243.8109999999997</v>
      </c>
      <c r="I637" s="10"/>
      <c r="J637" s="9"/>
      <c r="K637" s="66">
        <v>5246.9</v>
      </c>
    </row>
    <row r="638" spans="1:11" ht="12.75" x14ac:dyDescent="0.2">
      <c r="A638" s="88" t="s">
        <v>449</v>
      </c>
      <c r="B638" s="63" t="s">
        <v>448</v>
      </c>
      <c r="C638" s="62">
        <f>+Tabla13[[#This Row],[Columna6]]/Tabla13[[#This Row],[Columna5]]</f>
        <v>9234.2599999999984</v>
      </c>
      <c r="D638" s="62">
        <f>+Tabla13[[#This Row],[PRECIO INSTALADOR (IVA INCLUIDO)]]-F638</f>
        <v>8772.5469999999987</v>
      </c>
      <c r="E638" s="62">
        <f>+Tabla13[[#This Row],[PRECIO INSTALADOR (IVA INCLUIDO)]]/0.7</f>
        <v>13191.8</v>
      </c>
      <c r="F638" s="61">
        <f>+Tabla13[[#This Row],[PRECIO INSTALADOR (IVA INCLUIDO)]]*5%</f>
        <v>461.71299999999997</v>
      </c>
      <c r="G638" s="12">
        <v>0.85</v>
      </c>
      <c r="H638" s="11">
        <f>Tabla13[[#This Row],[COSTO]]*1.19</f>
        <v>7849.1209999999992</v>
      </c>
      <c r="I638" s="10"/>
      <c r="J638" s="9"/>
      <c r="K638" s="66">
        <v>6595.9</v>
      </c>
    </row>
    <row r="639" spans="1:11" ht="12.75" x14ac:dyDescent="0.2">
      <c r="A639" s="88" t="s">
        <v>447</v>
      </c>
      <c r="B639" s="63" t="s">
        <v>446</v>
      </c>
      <c r="C639" s="62">
        <f>+Tabla13[[#This Row],[Columna6]]/Tabla13[[#This Row],[Columna5]]</f>
        <v>11222.259999999998</v>
      </c>
      <c r="D639" s="62">
        <f>+Tabla13[[#This Row],[PRECIO INSTALADOR (IVA INCLUIDO)]]-F639</f>
        <v>10661.146999999999</v>
      </c>
      <c r="E639" s="62">
        <f>+Tabla13[[#This Row],[PRECIO INSTALADOR (IVA INCLUIDO)]]/0.7</f>
        <v>16031.8</v>
      </c>
      <c r="F639" s="61">
        <f>+Tabla13[[#This Row],[PRECIO INSTALADOR (IVA INCLUIDO)]]*5%</f>
        <v>561.11299999999994</v>
      </c>
      <c r="G639" s="12">
        <v>0.85</v>
      </c>
      <c r="H639" s="11">
        <f>Tabla13[[#This Row],[COSTO]]*1.19</f>
        <v>9538.9209999999985</v>
      </c>
      <c r="I639" s="10"/>
      <c r="J639" s="9"/>
      <c r="K639" s="66">
        <v>8015.9</v>
      </c>
    </row>
    <row r="640" spans="1:11" ht="12.75" x14ac:dyDescent="0.2">
      <c r="A640" s="88" t="s">
        <v>445</v>
      </c>
      <c r="B640" s="63" t="s">
        <v>444</v>
      </c>
      <c r="C640" s="62">
        <f>+Tabla13[[#This Row],[Columna6]]/Tabla13[[#This Row],[Columna5]]</f>
        <v>14900.06</v>
      </c>
      <c r="D640" s="62">
        <f>+Tabla13[[#This Row],[PRECIO INSTALADOR (IVA INCLUIDO)]]-F640</f>
        <v>14155.056999999999</v>
      </c>
      <c r="E640" s="62">
        <f>+Tabla13[[#This Row],[PRECIO INSTALADOR (IVA INCLUIDO)]]/0.7</f>
        <v>21285.8</v>
      </c>
      <c r="F640" s="61">
        <f>+Tabla13[[#This Row],[PRECIO INSTALADOR (IVA INCLUIDO)]]*5%</f>
        <v>745.00300000000004</v>
      </c>
      <c r="G640" s="12">
        <v>0.85</v>
      </c>
      <c r="H640" s="11">
        <f>Tabla13[[#This Row],[COSTO]]*1.19</f>
        <v>12665.050999999999</v>
      </c>
      <c r="I640" s="10"/>
      <c r="J640" s="9"/>
      <c r="K640" s="66">
        <v>10642.9</v>
      </c>
    </row>
    <row r="641" spans="1:11" ht="12.75" x14ac:dyDescent="0.2">
      <c r="A641" s="88" t="s">
        <v>443</v>
      </c>
      <c r="B641" s="63" t="s">
        <v>442</v>
      </c>
      <c r="C641" s="62">
        <f>+Tabla13[[#This Row],[Columna6]]/Tabla13[[#This Row],[Columna5]]</f>
        <v>18776.66</v>
      </c>
      <c r="D641" s="62">
        <f>+Tabla13[[#This Row],[PRECIO INSTALADOR (IVA INCLUIDO)]]-F641</f>
        <v>17837.827000000001</v>
      </c>
      <c r="E641" s="62">
        <f>+Tabla13[[#This Row],[PRECIO INSTALADOR (IVA INCLUIDO)]]/0.7</f>
        <v>26823.800000000003</v>
      </c>
      <c r="F641" s="61">
        <f>+Tabla13[[#This Row],[PRECIO INSTALADOR (IVA INCLUIDO)]]*5%</f>
        <v>938.83300000000008</v>
      </c>
      <c r="G641" s="12">
        <v>0.85</v>
      </c>
      <c r="H641" s="11">
        <f>Tabla13[[#This Row],[COSTO]]*1.19</f>
        <v>15960.160999999998</v>
      </c>
      <c r="I641" s="10"/>
      <c r="J641" s="9"/>
      <c r="K641" s="66">
        <v>13411.9</v>
      </c>
    </row>
    <row r="642" spans="1:11" ht="12.75" x14ac:dyDescent="0.2">
      <c r="A642" s="88" t="s">
        <v>441</v>
      </c>
      <c r="B642" s="63" t="s">
        <v>440</v>
      </c>
      <c r="C642" s="62">
        <f>+Tabla13[[#This Row],[Columna6]]/Tabla13[[#This Row],[Columna5]]</f>
        <v>25734.66</v>
      </c>
      <c r="D642" s="62">
        <f>+Tabla13[[#This Row],[PRECIO INSTALADOR (IVA INCLUIDO)]]-F642</f>
        <v>24447.927</v>
      </c>
      <c r="E642" s="62">
        <f>+Tabla13[[#This Row],[PRECIO INSTALADOR (IVA INCLUIDO)]]/0.7</f>
        <v>36763.800000000003</v>
      </c>
      <c r="F642" s="61">
        <f>+Tabla13[[#This Row],[PRECIO INSTALADOR (IVA INCLUIDO)]]*5%</f>
        <v>1286.7330000000002</v>
      </c>
      <c r="G642" s="12">
        <v>0.85</v>
      </c>
      <c r="H642" s="11">
        <f>Tabla13[[#This Row],[COSTO]]*1.19</f>
        <v>21874.460999999999</v>
      </c>
      <c r="I642" s="10"/>
      <c r="J642" s="9"/>
      <c r="K642" s="66">
        <v>18381.900000000001</v>
      </c>
    </row>
    <row r="643" spans="1:11" ht="12.75" x14ac:dyDescent="0.2">
      <c r="A643" s="82"/>
      <c r="B643" s="64" t="s">
        <v>439</v>
      </c>
      <c r="C643" s="81"/>
      <c r="D643" s="81"/>
      <c r="E643" s="81"/>
      <c r="F643" s="61">
        <f>+Tabla13[[#This Row],[PRECIO INSTALADOR (IVA INCLUIDO)]]*5%</f>
        <v>0</v>
      </c>
      <c r="G643" s="12">
        <v>0.85</v>
      </c>
      <c r="H643" s="11" t="e">
        <f>Tabla13[[#This Row],[COSTO]]*1.19</f>
        <v>#VALUE!</v>
      </c>
      <c r="I643" s="10"/>
      <c r="J643" s="9"/>
      <c r="K643" s="66" t="s">
        <v>261</v>
      </c>
    </row>
    <row r="644" spans="1:11" ht="12.75" x14ac:dyDescent="0.2">
      <c r="A644" s="88" t="s">
        <v>438</v>
      </c>
      <c r="B644" s="63" t="s">
        <v>437</v>
      </c>
      <c r="C644" s="62">
        <f>+Tabla13[[#This Row],[Columna6]]/Tabla13[[#This Row],[Columna5]]</f>
        <v>8637.86</v>
      </c>
      <c r="D644" s="62">
        <f>+Tabla13[[#This Row],[PRECIO INSTALADOR (IVA INCLUIDO)]]-F644</f>
        <v>8205.9670000000006</v>
      </c>
      <c r="E644" s="62">
        <f>+Tabla13[[#This Row],[PRECIO INSTALADOR (IVA INCLUIDO)]]/0.7</f>
        <v>12339.800000000001</v>
      </c>
      <c r="F644" s="61">
        <f>+Tabla13[[#This Row],[PRECIO INSTALADOR (IVA INCLUIDO)]]*5%</f>
        <v>431.89300000000003</v>
      </c>
      <c r="G644" s="12">
        <v>0.85</v>
      </c>
      <c r="H644" s="11">
        <f>Tabla13[[#This Row],[COSTO]]*1.19</f>
        <v>7342.1809999999996</v>
      </c>
      <c r="I644" s="10"/>
      <c r="J644" s="9"/>
      <c r="K644" s="66">
        <v>6169.9</v>
      </c>
    </row>
    <row r="645" spans="1:11" ht="12.75" x14ac:dyDescent="0.2">
      <c r="A645" s="88" t="s">
        <v>436</v>
      </c>
      <c r="B645" s="63" t="s">
        <v>435</v>
      </c>
      <c r="C645" s="62">
        <f>+Tabla13[[#This Row],[Columna6]]/Tabla13[[#This Row],[Columna5]]</f>
        <v>11619.859999999999</v>
      </c>
      <c r="D645" s="62">
        <f>+Tabla13[[#This Row],[PRECIO INSTALADOR (IVA INCLUIDO)]]-F645</f>
        <v>11038.866999999998</v>
      </c>
      <c r="E645" s="62">
        <f>+Tabla13[[#This Row],[PRECIO INSTALADOR (IVA INCLUIDO)]]/0.7</f>
        <v>16599.8</v>
      </c>
      <c r="F645" s="61">
        <f>+Tabla13[[#This Row],[PRECIO INSTALADOR (IVA INCLUIDO)]]*5%</f>
        <v>580.99299999999994</v>
      </c>
      <c r="G645" s="12">
        <v>0.85</v>
      </c>
      <c r="H645" s="11">
        <f>Tabla13[[#This Row],[COSTO]]*1.19</f>
        <v>9876.8809999999994</v>
      </c>
      <c r="I645" s="10"/>
      <c r="J645" s="9"/>
      <c r="K645" s="66">
        <v>8299.9</v>
      </c>
    </row>
    <row r="646" spans="1:11" ht="12.75" x14ac:dyDescent="0.2">
      <c r="A646" s="88" t="s">
        <v>434</v>
      </c>
      <c r="B646" s="63" t="s">
        <v>433</v>
      </c>
      <c r="C646" s="62">
        <f>+Tabla13[[#This Row],[Columna6]]/Tabla13[[#This Row],[Columna5]]</f>
        <v>14502.46</v>
      </c>
      <c r="D646" s="62">
        <f>+Tabla13[[#This Row],[PRECIO INSTALADOR (IVA INCLUIDO)]]-F646</f>
        <v>13777.337</v>
      </c>
      <c r="E646" s="62">
        <f>+Tabla13[[#This Row],[PRECIO INSTALADOR (IVA INCLUIDO)]]/0.7</f>
        <v>20717.8</v>
      </c>
      <c r="F646" s="61">
        <f>+Tabla13[[#This Row],[PRECIO INSTALADOR (IVA INCLUIDO)]]*5%</f>
        <v>725.12300000000005</v>
      </c>
      <c r="G646" s="12">
        <v>0.85</v>
      </c>
      <c r="H646" s="11">
        <f>Tabla13[[#This Row],[COSTO]]*1.19</f>
        <v>12327.090999999999</v>
      </c>
      <c r="I646" s="10"/>
      <c r="J646" s="9"/>
      <c r="K646" s="66">
        <v>10358.9</v>
      </c>
    </row>
    <row r="647" spans="1:11" ht="12.75" x14ac:dyDescent="0.2">
      <c r="A647" s="88" t="s">
        <v>432</v>
      </c>
      <c r="B647" s="63" t="s">
        <v>431</v>
      </c>
      <c r="C647" s="62">
        <f>+Tabla13[[#This Row],[Columna6]]/Tabla13[[#This Row],[Columna5]]</f>
        <v>18876.059999999998</v>
      </c>
      <c r="D647" s="62">
        <f>+Tabla13[[#This Row],[PRECIO INSTALADOR (IVA INCLUIDO)]]-F647</f>
        <v>17932.256999999998</v>
      </c>
      <c r="E647" s="62">
        <f>+Tabla13[[#This Row],[PRECIO INSTALADOR (IVA INCLUIDO)]]/0.7</f>
        <v>26965.8</v>
      </c>
      <c r="F647" s="61">
        <f>+Tabla13[[#This Row],[PRECIO INSTALADOR (IVA INCLUIDO)]]*5%</f>
        <v>943.80299999999988</v>
      </c>
      <c r="G647" s="12">
        <v>0.85</v>
      </c>
      <c r="H647" s="11">
        <f>Tabla13[[#This Row],[COSTO]]*1.19</f>
        <v>16044.650999999998</v>
      </c>
      <c r="I647" s="10"/>
      <c r="J647" s="9"/>
      <c r="K647" s="66">
        <v>13482.9</v>
      </c>
    </row>
    <row r="648" spans="1:11" ht="12.75" x14ac:dyDescent="0.2">
      <c r="A648" s="82"/>
      <c r="B648" s="64" t="s">
        <v>430</v>
      </c>
      <c r="C648" s="81"/>
      <c r="D648" s="81"/>
      <c r="E648" s="81"/>
      <c r="F648" s="61">
        <f>+Tabla13[[#This Row],[PRECIO INSTALADOR (IVA INCLUIDO)]]*5%</f>
        <v>0</v>
      </c>
      <c r="G648" s="12">
        <v>0.85</v>
      </c>
      <c r="H648" s="11" t="e">
        <f>Tabla13[[#This Row],[COSTO]]*1.19</f>
        <v>#VALUE!</v>
      </c>
      <c r="I648" s="10"/>
      <c r="J648" s="9"/>
      <c r="K648" s="66" t="s">
        <v>261</v>
      </c>
    </row>
    <row r="649" spans="1:11" ht="12.75" x14ac:dyDescent="0.2">
      <c r="A649" s="88" t="s">
        <v>429</v>
      </c>
      <c r="B649" s="63" t="s">
        <v>428</v>
      </c>
      <c r="C649" s="62">
        <f>+Tabla13[[#This Row],[Columna6]]/Tabla13[[#This Row],[Columna5]]</f>
        <v>15894.06</v>
      </c>
      <c r="D649" s="62">
        <f>+Tabla13[[#This Row],[PRECIO INSTALADOR (IVA INCLUIDO)]]-F649</f>
        <v>15099.357</v>
      </c>
      <c r="E649" s="62">
        <f>+Tabla13[[#This Row],[PRECIO INSTALADOR (IVA INCLUIDO)]]/0.7</f>
        <v>22705.8</v>
      </c>
      <c r="F649" s="61">
        <f>+Tabla13[[#This Row],[PRECIO INSTALADOR (IVA INCLUIDO)]]*5%</f>
        <v>794.70299999999997</v>
      </c>
      <c r="G649" s="12">
        <v>0.85</v>
      </c>
      <c r="H649" s="11">
        <f>Tabla13[[#This Row],[COSTO]]*1.19</f>
        <v>13509.950999999999</v>
      </c>
      <c r="I649" s="10"/>
      <c r="J649" s="9"/>
      <c r="K649" s="66">
        <v>11352.9</v>
      </c>
    </row>
    <row r="650" spans="1:11" ht="12.75" x14ac:dyDescent="0.2">
      <c r="A650" s="88" t="s">
        <v>427</v>
      </c>
      <c r="B650" s="63" t="s">
        <v>426</v>
      </c>
      <c r="C650" s="62">
        <f>+Tabla13[[#This Row],[Columna6]]/Tabla13[[#This Row],[Columna5]]</f>
        <v>18776.66</v>
      </c>
      <c r="D650" s="62">
        <f>+Tabla13[[#This Row],[PRECIO INSTALADOR (IVA INCLUIDO)]]-F650</f>
        <v>17837.827000000001</v>
      </c>
      <c r="E650" s="62">
        <f>+Tabla13[[#This Row],[PRECIO INSTALADOR (IVA INCLUIDO)]]/0.7</f>
        <v>26823.800000000003</v>
      </c>
      <c r="F650" s="61">
        <f>+Tabla13[[#This Row],[PRECIO INSTALADOR (IVA INCLUIDO)]]*5%</f>
        <v>938.83300000000008</v>
      </c>
      <c r="G650" s="12">
        <v>0.85</v>
      </c>
      <c r="H650" s="11">
        <f>Tabla13[[#This Row],[COSTO]]*1.19</f>
        <v>15960.160999999998</v>
      </c>
      <c r="I650" s="10"/>
      <c r="J650" s="9"/>
      <c r="K650" s="66">
        <v>13411.9</v>
      </c>
    </row>
    <row r="651" spans="1:11" ht="12.75" x14ac:dyDescent="0.2">
      <c r="A651" s="88" t="s">
        <v>425</v>
      </c>
      <c r="B651" s="63" t="s">
        <v>424</v>
      </c>
      <c r="C651" s="62">
        <f>+Tabla13[[#This Row],[Columna6]]/Tabla13[[#This Row],[Columna5]]</f>
        <v>22454.46</v>
      </c>
      <c r="D651" s="62">
        <f>+Tabla13[[#This Row],[PRECIO INSTALADOR (IVA INCLUIDO)]]-F651</f>
        <v>21331.737000000001</v>
      </c>
      <c r="E651" s="62">
        <f>+Tabla13[[#This Row],[PRECIO INSTALADOR (IVA INCLUIDO)]]/0.7</f>
        <v>32077.8</v>
      </c>
      <c r="F651" s="61">
        <f>+Tabla13[[#This Row],[PRECIO INSTALADOR (IVA INCLUIDO)]]*5%</f>
        <v>1122.723</v>
      </c>
      <c r="G651" s="12">
        <v>0.85</v>
      </c>
      <c r="H651" s="11">
        <f>Tabla13[[#This Row],[COSTO]]*1.19</f>
        <v>19086.290999999997</v>
      </c>
      <c r="I651" s="10"/>
      <c r="J651" s="9"/>
      <c r="K651" s="66">
        <v>16038.9</v>
      </c>
    </row>
    <row r="652" spans="1:11" ht="12.75" x14ac:dyDescent="0.2">
      <c r="A652" s="82"/>
      <c r="B652" s="64" t="s">
        <v>423</v>
      </c>
      <c r="C652" s="81"/>
      <c r="D652" s="81"/>
      <c r="E652" s="81"/>
      <c r="F652" s="61">
        <f>+Tabla13[[#This Row],[PRECIO INSTALADOR (IVA INCLUIDO)]]*5%</f>
        <v>0</v>
      </c>
      <c r="G652" s="12">
        <v>0.85</v>
      </c>
      <c r="H652" s="11" t="e">
        <f>Tabla13[[#This Row],[COSTO]]*1.19</f>
        <v>#VALUE!</v>
      </c>
      <c r="I652" s="10"/>
      <c r="J652" s="9"/>
      <c r="K652" s="66" t="s">
        <v>261</v>
      </c>
    </row>
    <row r="653" spans="1:11" ht="12.75" x14ac:dyDescent="0.2">
      <c r="A653" s="88" t="s">
        <v>422</v>
      </c>
      <c r="B653" s="63" t="s">
        <v>421</v>
      </c>
      <c r="C653" s="62">
        <f>+Tabla13[[#This Row],[Columna6]]/Tabla13[[#This Row],[Columna5]]</f>
        <v>27921.460000000003</v>
      </c>
      <c r="D653" s="62">
        <f>+Tabla13[[#This Row],[PRECIO INSTALADOR (IVA INCLUIDO)]]-F653</f>
        <v>26525.387000000002</v>
      </c>
      <c r="E653" s="62">
        <f>+Tabla13[[#This Row],[PRECIO INSTALADOR (IVA INCLUIDO)]]/0.7</f>
        <v>39887.800000000003</v>
      </c>
      <c r="F653" s="61">
        <f>+Tabla13[[#This Row],[PRECIO INSTALADOR (IVA INCLUIDO)]]*5%</f>
        <v>1396.0730000000003</v>
      </c>
      <c r="G653" s="12">
        <v>0.85</v>
      </c>
      <c r="H653" s="11">
        <f>Tabla13[[#This Row],[COSTO]]*1.19</f>
        <v>23733.241000000002</v>
      </c>
      <c r="I653" s="10"/>
      <c r="J653" s="9"/>
      <c r="K653" s="66">
        <v>19943.900000000001</v>
      </c>
    </row>
    <row r="654" spans="1:11" ht="12.75" x14ac:dyDescent="0.2">
      <c r="A654" s="88" t="s">
        <v>420</v>
      </c>
      <c r="B654" s="63" t="s">
        <v>419</v>
      </c>
      <c r="C654" s="62">
        <f>+Tabla13[[#This Row],[Columna6]]/Tabla13[[#This Row],[Columna5]]</f>
        <v>12812.659999999998</v>
      </c>
      <c r="D654" s="62">
        <f>+Tabla13[[#This Row],[PRECIO INSTALADOR (IVA INCLUIDO)]]-F654</f>
        <v>12172.026999999998</v>
      </c>
      <c r="E654" s="62">
        <f>+Tabla13[[#This Row],[PRECIO INSTALADOR (IVA INCLUIDO)]]/0.7</f>
        <v>18303.8</v>
      </c>
      <c r="F654" s="61">
        <f>+Tabla13[[#This Row],[PRECIO INSTALADOR (IVA INCLUIDO)]]*5%</f>
        <v>640.63299999999992</v>
      </c>
      <c r="G654" s="12">
        <v>0.85</v>
      </c>
      <c r="H654" s="11">
        <f>Tabla13[[#This Row],[COSTO]]*1.19</f>
        <v>10890.760999999999</v>
      </c>
      <c r="I654" s="10"/>
      <c r="J654" s="9"/>
      <c r="K654" s="66">
        <v>9151.9</v>
      </c>
    </row>
    <row r="655" spans="1:11" ht="12.75" x14ac:dyDescent="0.2">
      <c r="A655" s="88" t="s">
        <v>418</v>
      </c>
      <c r="B655" s="63" t="s">
        <v>417</v>
      </c>
      <c r="C655" s="62">
        <f>+Tabla13[[#This Row],[Columna6]]/Tabla13[[#This Row],[Columna5]]</f>
        <v>20367.060000000001</v>
      </c>
      <c r="D655" s="62">
        <f>+Tabla13[[#This Row],[PRECIO INSTALADOR (IVA INCLUIDO)]]-F655</f>
        <v>19348.707000000002</v>
      </c>
      <c r="E655" s="62">
        <f>+Tabla13[[#This Row],[PRECIO INSTALADOR (IVA INCLUIDO)]]/0.7</f>
        <v>29095.800000000003</v>
      </c>
      <c r="F655" s="61">
        <f>+Tabla13[[#This Row],[PRECIO INSTALADOR (IVA INCLUIDO)]]*5%</f>
        <v>1018.3530000000001</v>
      </c>
      <c r="G655" s="12">
        <v>0.85</v>
      </c>
      <c r="H655" s="11">
        <f>Tabla13[[#This Row],[COSTO]]*1.19</f>
        <v>17312.001</v>
      </c>
      <c r="I655" s="10"/>
      <c r="J655" s="9"/>
      <c r="K655" s="66">
        <v>14547.9</v>
      </c>
    </row>
    <row r="656" spans="1:11" ht="12.75" x14ac:dyDescent="0.2">
      <c r="A656" s="80"/>
      <c r="B656" s="79" t="s">
        <v>416</v>
      </c>
      <c r="C656" s="78"/>
      <c r="D656" s="78"/>
      <c r="E656" s="78"/>
      <c r="F656" s="77">
        <f>+Tabla13[[#This Row],[PRECIO INSTALADOR (IVA INCLUIDO)]]*5%</f>
        <v>0</v>
      </c>
      <c r="G656" s="12">
        <v>0.85</v>
      </c>
      <c r="H656" s="11">
        <f>Tabla13[[#This Row],[COSTO]]*1.19</f>
        <v>0</v>
      </c>
      <c r="I656" s="10"/>
      <c r="J656" s="9"/>
      <c r="K656" s="66"/>
    </row>
    <row r="657" spans="1:11" ht="12.75" x14ac:dyDescent="0.2">
      <c r="A657" s="76"/>
      <c r="B657" s="69" t="s">
        <v>415</v>
      </c>
      <c r="C657" s="68"/>
      <c r="D657" s="68"/>
      <c r="E657" s="68"/>
      <c r="F657" s="67">
        <f>+Tabla13[[#This Row],[PRECIO INSTALADOR (IVA INCLUIDO)]]*5%</f>
        <v>0</v>
      </c>
      <c r="G657" s="12">
        <v>0.85</v>
      </c>
      <c r="H657" s="11">
        <f>Tabla13[[#This Row],[COSTO]]*1.19</f>
        <v>0</v>
      </c>
      <c r="I657" s="10"/>
      <c r="J657" s="9"/>
      <c r="K657" s="66"/>
    </row>
    <row r="658" spans="1:11" ht="12.75" x14ac:dyDescent="0.2">
      <c r="A658" s="75" t="s">
        <v>414</v>
      </c>
      <c r="B658" s="63" t="s">
        <v>413</v>
      </c>
      <c r="C658" s="62">
        <f>+Tabla13[[#This Row],[Columna6]]/Tabla13[[#This Row],[Columna5]]</f>
        <v>106944.45999999998</v>
      </c>
      <c r="D658" s="62">
        <f>+Tabla13[[#This Row],[PRECIO INSTALADOR (IVA INCLUIDO)]]-F658</f>
        <v>101597.23699999998</v>
      </c>
      <c r="E658" s="62">
        <f>+Tabla13[[#This Row],[PRECIO INSTALADOR (IVA INCLUIDO)]]/0.7</f>
        <v>152777.79999999999</v>
      </c>
      <c r="F658" s="61">
        <f>+Tabla13[[#This Row],[PRECIO INSTALADOR (IVA INCLUIDO)]]*5%</f>
        <v>5347.222999999999</v>
      </c>
      <c r="G658" s="12">
        <v>0.85</v>
      </c>
      <c r="H658" s="11">
        <f>Tabla13[[#This Row],[COSTO]]*1.19</f>
        <v>90902.790999999983</v>
      </c>
      <c r="I658" s="10"/>
      <c r="J658" s="9"/>
      <c r="K658" s="66">
        <v>76388.899999999994</v>
      </c>
    </row>
    <row r="659" spans="1:11" ht="12.75" x14ac:dyDescent="0.2">
      <c r="A659" s="75" t="s">
        <v>412</v>
      </c>
      <c r="B659" s="63" t="s">
        <v>411</v>
      </c>
      <c r="C659" s="62">
        <f>+Tabla13[[#This Row],[Columna6]]/Tabla13[[#This Row],[Columna5]]</f>
        <v>111218.65999999999</v>
      </c>
      <c r="D659" s="62">
        <f>+Tabla13[[#This Row],[PRECIO INSTALADOR (IVA INCLUIDO)]]-F659</f>
        <v>105657.72699999998</v>
      </c>
      <c r="E659" s="62">
        <f>+Tabla13[[#This Row],[PRECIO INSTALADOR (IVA INCLUIDO)]]/0.7</f>
        <v>158883.79999999999</v>
      </c>
      <c r="F659" s="61">
        <f>+Tabla13[[#This Row],[PRECIO INSTALADOR (IVA INCLUIDO)]]*5%</f>
        <v>5560.933</v>
      </c>
      <c r="G659" s="12">
        <v>0.85</v>
      </c>
      <c r="H659" s="11">
        <f>Tabla13[[#This Row],[COSTO]]*1.19</f>
        <v>94535.86099999999</v>
      </c>
      <c r="I659" s="10"/>
      <c r="J659" s="9"/>
      <c r="K659" s="66">
        <v>79441.899999999994</v>
      </c>
    </row>
    <row r="660" spans="1:11" ht="12.75" x14ac:dyDescent="0.2">
      <c r="A660" s="75" t="s">
        <v>410</v>
      </c>
      <c r="B660" s="63" t="s">
        <v>409</v>
      </c>
      <c r="C660" s="62">
        <f>+Tabla13[[#This Row],[Columna6]]/Tabla13[[#This Row],[Columna5]]</f>
        <v>105552.85999999999</v>
      </c>
      <c r="D660" s="62">
        <f>+Tabla13[[#This Row],[PRECIO INSTALADOR (IVA INCLUIDO)]]-F660</f>
        <v>100275.21699999999</v>
      </c>
      <c r="E660" s="62">
        <f>+Tabla13[[#This Row],[PRECIO INSTALADOR (IVA INCLUIDO)]]/0.7</f>
        <v>150789.79999999999</v>
      </c>
      <c r="F660" s="61">
        <f>+Tabla13[[#This Row],[PRECIO INSTALADOR (IVA INCLUIDO)]]*5%</f>
        <v>5277.643</v>
      </c>
      <c r="G660" s="12">
        <v>0.85</v>
      </c>
      <c r="H660" s="11">
        <f>Tabla13[[#This Row],[COSTO]]*1.19</f>
        <v>89719.930999999982</v>
      </c>
      <c r="I660" s="10"/>
      <c r="J660" s="9"/>
      <c r="K660" s="66">
        <v>75394.899999999994</v>
      </c>
    </row>
    <row r="661" spans="1:11" ht="12.75" x14ac:dyDescent="0.2">
      <c r="A661" s="75" t="s">
        <v>408</v>
      </c>
      <c r="B661" s="63" t="s">
        <v>407</v>
      </c>
      <c r="C661" s="62">
        <f>+Tabla13[[#This Row],[Columna6]]/Tabla13[[#This Row],[Columna5]]</f>
        <v>204058.25999999998</v>
      </c>
      <c r="D661" s="62">
        <f>+Tabla13[[#This Row],[PRECIO INSTALADOR (IVA INCLUIDO)]]-F661</f>
        <v>193855.34699999998</v>
      </c>
      <c r="E661" s="62">
        <f>+Tabla13[[#This Row],[PRECIO INSTALADOR (IVA INCLUIDO)]]/0.7</f>
        <v>291511.8</v>
      </c>
      <c r="F661" s="61">
        <f>+Tabla13[[#This Row],[PRECIO INSTALADOR (IVA INCLUIDO)]]*5%</f>
        <v>10202.913</v>
      </c>
      <c r="G661" s="12">
        <v>0.85</v>
      </c>
      <c r="H661" s="11">
        <f>Tabla13[[#This Row],[COSTO]]*1.19</f>
        <v>173449.52099999998</v>
      </c>
      <c r="I661" s="10"/>
      <c r="J661" s="9"/>
      <c r="K661" s="66">
        <v>145755.9</v>
      </c>
    </row>
    <row r="662" spans="1:11" ht="12.75" x14ac:dyDescent="0.2">
      <c r="A662" s="75" t="s">
        <v>406</v>
      </c>
      <c r="B662" s="63" t="s">
        <v>405</v>
      </c>
      <c r="C662" s="62">
        <f>+Tabla13[[#This Row],[Columna6]]/Tabla13[[#This Row],[Columna5]]</f>
        <v>204058.25999999998</v>
      </c>
      <c r="D662" s="62">
        <f>+Tabla13[[#This Row],[PRECIO INSTALADOR (IVA INCLUIDO)]]-F662</f>
        <v>193855.34699999998</v>
      </c>
      <c r="E662" s="62">
        <f>+Tabla13[[#This Row],[PRECIO INSTALADOR (IVA INCLUIDO)]]/0.7</f>
        <v>291511.8</v>
      </c>
      <c r="F662" s="61">
        <f>+Tabla13[[#This Row],[PRECIO INSTALADOR (IVA INCLUIDO)]]*5%</f>
        <v>10202.913</v>
      </c>
      <c r="G662" s="12">
        <v>0.85</v>
      </c>
      <c r="H662" s="11">
        <f>Tabla13[[#This Row],[COSTO]]*1.19</f>
        <v>173449.52099999998</v>
      </c>
      <c r="I662" s="10"/>
      <c r="J662" s="9"/>
      <c r="K662" s="66">
        <v>145755.9</v>
      </c>
    </row>
    <row r="663" spans="1:11" ht="12.75" x14ac:dyDescent="0.2">
      <c r="A663" s="75" t="s">
        <v>404</v>
      </c>
      <c r="B663" s="63" t="s">
        <v>403</v>
      </c>
      <c r="C663" s="62">
        <f>+Tabla13[[#This Row],[Columna6]]/Tabla13[[#This Row],[Columna5]]</f>
        <v>161912.66</v>
      </c>
      <c r="D663" s="62">
        <f>+Tabla13[[#This Row],[PRECIO INSTALADOR (IVA INCLUIDO)]]-F663</f>
        <v>153817.027</v>
      </c>
      <c r="E663" s="62">
        <f>+Tabla13[[#This Row],[PRECIO INSTALADOR (IVA INCLUIDO)]]/0.7</f>
        <v>231303.80000000002</v>
      </c>
      <c r="F663" s="61">
        <f>+Tabla13[[#This Row],[PRECIO INSTALADOR (IVA INCLUIDO)]]*5%</f>
        <v>8095.6330000000007</v>
      </c>
      <c r="G663" s="12">
        <v>0.85</v>
      </c>
      <c r="H663" s="11">
        <f>Tabla13[[#This Row],[COSTO]]*1.19</f>
        <v>137625.761</v>
      </c>
      <c r="I663" s="10"/>
      <c r="J663" s="9"/>
      <c r="K663" s="66">
        <v>115651.9</v>
      </c>
    </row>
    <row r="664" spans="1:11" ht="12.75" x14ac:dyDescent="0.2">
      <c r="A664" s="75" t="s">
        <v>402</v>
      </c>
      <c r="B664" s="63" t="s">
        <v>401</v>
      </c>
      <c r="C664" s="62">
        <f>+Tabla13[[#This Row],[Columna6]]/Tabla13[[#This Row],[Columna5]]</f>
        <v>314988.65999999997</v>
      </c>
      <c r="D664" s="62">
        <f>+Tabla13[[#This Row],[PRECIO INSTALADOR (IVA INCLUIDO)]]-F664</f>
        <v>299239.22699999996</v>
      </c>
      <c r="E664" s="62">
        <f>+Tabla13[[#This Row],[PRECIO INSTALADOR (IVA INCLUIDO)]]/0.7</f>
        <v>449983.8</v>
      </c>
      <c r="F664" s="61">
        <f>+Tabla13[[#This Row],[PRECIO INSTALADOR (IVA INCLUIDO)]]*5%</f>
        <v>15749.432999999999</v>
      </c>
      <c r="G664" s="12">
        <v>0.85</v>
      </c>
      <c r="H664" s="11">
        <f>Tabla13[[#This Row],[COSTO]]*1.19</f>
        <v>267740.36099999998</v>
      </c>
      <c r="I664" s="10"/>
      <c r="J664" s="9"/>
      <c r="K664" s="66">
        <v>224991.9</v>
      </c>
    </row>
    <row r="665" spans="1:11" ht="12.75" x14ac:dyDescent="0.2">
      <c r="A665" s="75" t="s">
        <v>400</v>
      </c>
      <c r="B665" s="63" t="s">
        <v>399</v>
      </c>
      <c r="C665" s="62">
        <f>+Tabla13[[#This Row],[Columna6]]/Tabla13[[#This Row],[Columna5]]</f>
        <v>204058.25999999998</v>
      </c>
      <c r="D665" s="62">
        <f>+Tabla13[[#This Row],[PRECIO INSTALADOR (IVA INCLUIDO)]]-F665</f>
        <v>193855.34699999998</v>
      </c>
      <c r="E665" s="62">
        <f>+Tabla13[[#This Row],[PRECIO INSTALADOR (IVA INCLUIDO)]]/0.7</f>
        <v>291511.8</v>
      </c>
      <c r="F665" s="61">
        <f>+Tabla13[[#This Row],[PRECIO INSTALADOR (IVA INCLUIDO)]]*5%</f>
        <v>10202.913</v>
      </c>
      <c r="G665" s="12">
        <v>0.85</v>
      </c>
      <c r="H665" s="11">
        <f>Tabla13[[#This Row],[COSTO]]*1.19</f>
        <v>173449.52099999998</v>
      </c>
      <c r="I665" s="10"/>
      <c r="J665" s="9"/>
      <c r="K665" s="66">
        <v>145755.9</v>
      </c>
    </row>
    <row r="666" spans="1:11" ht="12.75" x14ac:dyDescent="0.2">
      <c r="A666" s="76"/>
      <c r="B666" s="69" t="s">
        <v>398</v>
      </c>
      <c r="C666" s="68"/>
      <c r="D666" s="68"/>
      <c r="E666" s="68"/>
      <c r="F666" s="67">
        <f>+Tabla13[[#This Row],[PRECIO INSTALADOR (IVA INCLUIDO)]]*5%</f>
        <v>0</v>
      </c>
      <c r="G666" s="12">
        <v>0.85</v>
      </c>
      <c r="H666" s="11">
        <f>Tabla13[[#This Row],[COSTO]]*1.19</f>
        <v>0</v>
      </c>
      <c r="I666" s="10"/>
      <c r="J666" s="9"/>
      <c r="K666" s="66"/>
    </row>
    <row r="667" spans="1:11" ht="12.75" x14ac:dyDescent="0.2">
      <c r="A667" s="75" t="s">
        <v>397</v>
      </c>
      <c r="B667" s="63" t="s">
        <v>396</v>
      </c>
      <c r="C667" s="62">
        <f>+Tabla13[[#This Row],[Columna6]]/Tabla13[[#This Row],[Columna5]]</f>
        <v>129905.85999999999</v>
      </c>
      <c r="D667" s="62">
        <f>+Tabla13[[#This Row],[PRECIO INSTALADOR (IVA INCLUIDO)]]-F667</f>
        <v>123410.56699999998</v>
      </c>
      <c r="E667" s="62">
        <f>+Tabla13[[#This Row],[PRECIO INSTALADOR (IVA INCLUIDO)]]/0.7</f>
        <v>185579.8</v>
      </c>
      <c r="F667" s="61">
        <f>+Tabla13[[#This Row],[PRECIO INSTALADOR (IVA INCLUIDO)]]*5%</f>
        <v>6495.2929999999997</v>
      </c>
      <c r="G667" s="12">
        <v>0.85</v>
      </c>
      <c r="H667" s="11">
        <f>Tabla13[[#This Row],[COSTO]]*1.19</f>
        <v>110419.98099999999</v>
      </c>
      <c r="I667" s="10"/>
      <c r="J667" s="9"/>
      <c r="K667" s="66">
        <v>92789.9</v>
      </c>
    </row>
    <row r="668" spans="1:11" ht="12.75" x14ac:dyDescent="0.2">
      <c r="A668" s="75" t="s">
        <v>395</v>
      </c>
      <c r="B668" s="63" t="s">
        <v>394</v>
      </c>
      <c r="C668" s="62">
        <f>+Tabla13[[#This Row],[Columna6]]/Tabla13[[#This Row],[Columna5]]</f>
        <v>293915.86</v>
      </c>
      <c r="D668" s="62">
        <f>+Tabla13[[#This Row],[PRECIO INSTALADOR (IVA INCLUIDO)]]-F668</f>
        <v>279220.06699999998</v>
      </c>
      <c r="E668" s="62">
        <f>+Tabla13[[#This Row],[PRECIO INSTALADOR (IVA INCLUIDO)]]/0.7</f>
        <v>419879.8</v>
      </c>
      <c r="F668" s="61">
        <f>+Tabla13[[#This Row],[PRECIO INSTALADOR (IVA INCLUIDO)]]*5%</f>
        <v>14695.793</v>
      </c>
      <c r="G668" s="12">
        <v>0.85</v>
      </c>
      <c r="H668" s="11">
        <f>Tabla13[[#This Row],[COSTO]]*1.19</f>
        <v>249828.48099999997</v>
      </c>
      <c r="I668" s="10"/>
      <c r="J668" s="9"/>
      <c r="K668" s="66">
        <v>209939.9</v>
      </c>
    </row>
    <row r="669" spans="1:11" ht="12.75" x14ac:dyDescent="0.2">
      <c r="A669" s="75" t="s">
        <v>393</v>
      </c>
      <c r="B669" s="63" t="s">
        <v>392</v>
      </c>
      <c r="C669" s="62">
        <f>+Tabla13[[#This Row],[Columna6]]/Tabla13[[#This Row],[Columna5]]</f>
        <v>380294.46</v>
      </c>
      <c r="D669" s="62">
        <f>+Tabla13[[#This Row],[PRECIO INSTALADOR (IVA INCLUIDO)]]-F669</f>
        <v>361279.73700000002</v>
      </c>
      <c r="E669" s="62">
        <f>+Tabla13[[#This Row],[PRECIO INSTALADOR (IVA INCLUIDO)]]/0.7</f>
        <v>543277.80000000005</v>
      </c>
      <c r="F669" s="61">
        <f>+Tabla13[[#This Row],[PRECIO INSTALADOR (IVA INCLUIDO)]]*5%</f>
        <v>19014.723000000002</v>
      </c>
      <c r="G669" s="12">
        <v>0.85</v>
      </c>
      <c r="H669" s="11">
        <f>Tabla13[[#This Row],[COSTO]]*1.19</f>
        <v>323250.29100000003</v>
      </c>
      <c r="I669" s="10"/>
      <c r="J669" s="9"/>
      <c r="K669" s="66">
        <v>271638.90000000002</v>
      </c>
    </row>
    <row r="670" spans="1:11" ht="12.75" x14ac:dyDescent="0.2">
      <c r="A670" s="75" t="s">
        <v>391</v>
      </c>
      <c r="B670" s="63" t="s">
        <v>390</v>
      </c>
      <c r="C670" s="62">
        <f>+Tabla13[[#This Row],[Columna6]]/Tabla13[[#This Row],[Columna5]]</f>
        <v>493212.86</v>
      </c>
      <c r="D670" s="62">
        <f>+Tabla13[[#This Row],[PRECIO INSTALADOR (IVA INCLUIDO)]]-F670</f>
        <v>468552.217</v>
      </c>
      <c r="E670" s="62">
        <f>+Tabla13[[#This Row],[PRECIO INSTALADOR (IVA INCLUIDO)]]/0.7</f>
        <v>704589.8</v>
      </c>
      <c r="F670" s="61">
        <f>+Tabla13[[#This Row],[PRECIO INSTALADOR (IVA INCLUIDO)]]*5%</f>
        <v>24660.643</v>
      </c>
      <c r="G670" s="12">
        <v>0.85</v>
      </c>
      <c r="H670" s="11">
        <f>Tabla13[[#This Row],[COSTO]]*1.19</f>
        <v>419230.93099999998</v>
      </c>
      <c r="I670" s="10"/>
      <c r="J670" s="9"/>
      <c r="K670" s="66">
        <v>352294.9</v>
      </c>
    </row>
    <row r="671" spans="1:11" ht="12.75" x14ac:dyDescent="0.2">
      <c r="A671" s="75" t="s">
        <v>389</v>
      </c>
      <c r="B671" s="63" t="s">
        <v>388</v>
      </c>
      <c r="C671" s="62">
        <f>+Tabla13[[#This Row],[Columna6]]/Tabla13[[#This Row],[Columna5]]</f>
        <v>593109.86</v>
      </c>
      <c r="D671" s="62">
        <f>+Tabla13[[#This Row],[PRECIO INSTALADOR (IVA INCLUIDO)]]-F671</f>
        <v>563454.36699999997</v>
      </c>
      <c r="E671" s="62">
        <f>+Tabla13[[#This Row],[PRECIO INSTALADOR (IVA INCLUIDO)]]/0.7</f>
        <v>847299.8</v>
      </c>
      <c r="F671" s="61">
        <f>+Tabla13[[#This Row],[PRECIO INSTALADOR (IVA INCLUIDO)]]*5%</f>
        <v>29655.493000000002</v>
      </c>
      <c r="G671" s="12">
        <v>0.85</v>
      </c>
      <c r="H671" s="11">
        <f>Tabla13[[#This Row],[COSTO]]*1.19</f>
        <v>504143.38099999999</v>
      </c>
      <c r="I671" s="10"/>
      <c r="J671" s="9"/>
      <c r="K671" s="66">
        <v>423649.9</v>
      </c>
    </row>
    <row r="672" spans="1:11" ht="12.75" x14ac:dyDescent="0.2">
      <c r="A672" s="75" t="s">
        <v>387</v>
      </c>
      <c r="B672" s="63" t="s">
        <v>386</v>
      </c>
      <c r="C672" s="62">
        <f>+Tabla13[[#This Row],[Columna6]]/Tabla13[[#This Row],[Columna5]]</f>
        <v>356339.06</v>
      </c>
      <c r="D672" s="62">
        <f>+Tabla13[[#This Row],[PRECIO INSTALADOR (IVA INCLUIDO)]]-F672</f>
        <v>338522.10700000002</v>
      </c>
      <c r="E672" s="62">
        <f>+Tabla13[[#This Row],[PRECIO INSTALADOR (IVA INCLUIDO)]]/0.7</f>
        <v>509055.80000000005</v>
      </c>
      <c r="F672" s="61">
        <f>+Tabla13[[#This Row],[PRECIO INSTALADOR (IVA INCLUIDO)]]*5%</f>
        <v>17816.953000000001</v>
      </c>
      <c r="G672" s="12">
        <v>0.85</v>
      </c>
      <c r="H672" s="11">
        <f>Tabla13[[#This Row],[COSTO]]*1.19</f>
        <v>302888.201</v>
      </c>
      <c r="I672" s="10"/>
      <c r="J672" s="9"/>
      <c r="K672" s="66">
        <v>254527.9</v>
      </c>
    </row>
    <row r="673" spans="1:11" ht="12.75" x14ac:dyDescent="0.2">
      <c r="A673" s="75" t="s">
        <v>385</v>
      </c>
      <c r="B673" s="63" t="s">
        <v>384</v>
      </c>
      <c r="C673" s="62">
        <f>+Tabla13[[#This Row],[Columna6]]/Tabla13[[#This Row],[Columna5]]</f>
        <v>442916.46000000008</v>
      </c>
      <c r="D673" s="62">
        <f>+Tabla13[[#This Row],[PRECIO INSTALADOR (IVA INCLUIDO)]]-F673</f>
        <v>420770.6370000001</v>
      </c>
      <c r="E673" s="62">
        <f>+Tabla13[[#This Row],[PRECIO INSTALADOR (IVA INCLUIDO)]]/0.7</f>
        <v>632737.80000000016</v>
      </c>
      <c r="F673" s="61">
        <f>+Tabla13[[#This Row],[PRECIO INSTALADOR (IVA INCLUIDO)]]*5%</f>
        <v>22145.823000000004</v>
      </c>
      <c r="G673" s="12">
        <v>0.85</v>
      </c>
      <c r="H673" s="11">
        <f>Tabla13[[#This Row],[COSTO]]*1.19</f>
        <v>376478.99100000004</v>
      </c>
      <c r="I673" s="10"/>
      <c r="J673" s="9"/>
      <c r="K673" s="66">
        <v>316368.90000000002</v>
      </c>
    </row>
    <row r="674" spans="1:11" ht="12.75" x14ac:dyDescent="0.2">
      <c r="A674" s="75" t="s">
        <v>383</v>
      </c>
      <c r="B674" s="63" t="s">
        <v>382</v>
      </c>
      <c r="C674" s="62">
        <f>+Tabla13[[#This Row],[Columna6]]/Tabla13[[#This Row],[Columna5]]</f>
        <v>670840.66</v>
      </c>
      <c r="D674" s="62">
        <f>+Tabla13[[#This Row],[PRECIO INSTALADOR (IVA INCLUIDO)]]-F674</f>
        <v>637298.62699999998</v>
      </c>
      <c r="E674" s="62">
        <f>+Tabla13[[#This Row],[PRECIO INSTALADOR (IVA INCLUIDO)]]/0.7</f>
        <v>958343.80000000016</v>
      </c>
      <c r="F674" s="61">
        <f>+Tabla13[[#This Row],[PRECIO INSTALADOR (IVA INCLUIDO)]]*5%</f>
        <v>33542.033000000003</v>
      </c>
      <c r="G674" s="12">
        <v>0.85</v>
      </c>
      <c r="H674" s="11">
        <f>Tabla13[[#This Row],[COSTO]]*1.19</f>
        <v>570214.56099999999</v>
      </c>
      <c r="I674" s="10"/>
      <c r="J674" s="9"/>
      <c r="K674" s="66">
        <v>479171.9</v>
      </c>
    </row>
    <row r="675" spans="1:11" ht="12.75" x14ac:dyDescent="0.2">
      <c r="A675" s="75" t="s">
        <v>381</v>
      </c>
      <c r="B675" s="63" t="s">
        <v>380</v>
      </c>
      <c r="C675" s="62">
        <f>+Tabla13[[#This Row],[Columna6]]/Tabla13[[#This Row],[Columna5]]</f>
        <v>771035.8600000001</v>
      </c>
      <c r="D675" s="62">
        <f>+Tabla13[[#This Row],[PRECIO INSTALADOR (IVA INCLUIDO)]]-F675</f>
        <v>732484.06700000004</v>
      </c>
      <c r="E675" s="62">
        <f>+Tabla13[[#This Row],[PRECIO INSTALADOR (IVA INCLUIDO)]]/0.7</f>
        <v>1101479.8000000003</v>
      </c>
      <c r="F675" s="61">
        <f>+Tabla13[[#This Row],[PRECIO INSTALADOR (IVA INCLUIDO)]]*5%</f>
        <v>38551.793000000005</v>
      </c>
      <c r="G675" s="12">
        <v>0.85</v>
      </c>
      <c r="H675" s="11">
        <f>Tabla13[[#This Row],[COSTO]]*1.19</f>
        <v>655380.48100000003</v>
      </c>
      <c r="I675" s="10"/>
      <c r="J675" s="9"/>
      <c r="K675" s="66">
        <v>550739.9</v>
      </c>
    </row>
    <row r="676" spans="1:11" ht="12.75" x14ac:dyDescent="0.2">
      <c r="A676" s="75" t="s">
        <v>379</v>
      </c>
      <c r="B676" s="63" t="s">
        <v>378</v>
      </c>
      <c r="C676" s="62">
        <f>+Tabla13[[#This Row],[Columna6]]/Tabla13[[#This Row],[Columna5]]</f>
        <v>1310976.6600000001</v>
      </c>
      <c r="D676" s="62">
        <f>+Tabla13[[#This Row],[PRECIO INSTALADOR (IVA INCLUIDO)]]-F676</f>
        <v>1245427.827</v>
      </c>
      <c r="E676" s="62">
        <f>+Tabla13[[#This Row],[PRECIO INSTALADOR (IVA INCLUIDO)]]/0.7</f>
        <v>1872823.8000000003</v>
      </c>
      <c r="F676" s="61">
        <f>+Tabla13[[#This Row],[PRECIO INSTALADOR (IVA INCLUIDO)]]*5%</f>
        <v>65548.833000000013</v>
      </c>
      <c r="G676" s="12">
        <v>0.85</v>
      </c>
      <c r="H676" s="11">
        <f>Tabla13[[#This Row],[COSTO]]*1.19</f>
        <v>1114330.1610000001</v>
      </c>
      <c r="I676" s="10"/>
      <c r="J676" s="9"/>
      <c r="K676" s="66">
        <v>936411.9</v>
      </c>
    </row>
    <row r="677" spans="1:11" ht="12.75" x14ac:dyDescent="0.2">
      <c r="A677" s="75" t="s">
        <v>377</v>
      </c>
      <c r="B677" s="63" t="s">
        <v>376</v>
      </c>
      <c r="C677" s="62">
        <f>+Tabla13[[#This Row],[Columna6]]/Tabla13[[#This Row],[Columna5]]</f>
        <v>1411370.66</v>
      </c>
      <c r="D677" s="62">
        <f>+Tabla13[[#This Row],[PRECIO INSTALADOR (IVA INCLUIDO)]]-F677</f>
        <v>1340802.1269999999</v>
      </c>
      <c r="E677" s="62">
        <f>+Tabla13[[#This Row],[PRECIO INSTALADOR (IVA INCLUIDO)]]/0.7</f>
        <v>2016243.8</v>
      </c>
      <c r="F677" s="61">
        <f>+Tabla13[[#This Row],[PRECIO INSTALADOR (IVA INCLUIDO)]]*5%</f>
        <v>70568.532999999996</v>
      </c>
      <c r="G677" s="12">
        <v>0.85</v>
      </c>
      <c r="H677" s="11">
        <f>Tabla13[[#This Row],[COSTO]]*1.19</f>
        <v>1199665.061</v>
      </c>
      <c r="I677" s="10"/>
      <c r="J677" s="9"/>
      <c r="K677" s="66">
        <v>1008121.9</v>
      </c>
    </row>
    <row r="678" spans="1:11" ht="12.75" x14ac:dyDescent="0.2">
      <c r="A678" s="88" t="s">
        <v>375</v>
      </c>
      <c r="B678" s="63" t="s">
        <v>374</v>
      </c>
      <c r="C678" s="62">
        <f>+Tabla13[[#This Row],[Columna6]]/Tabla13[[#This Row],[Columna5]]</f>
        <v>409518.06000000006</v>
      </c>
      <c r="D678" s="62">
        <f>+Tabla13[[#This Row],[PRECIO INSTALADOR (IVA INCLUIDO)]]-F678</f>
        <v>389042.15700000006</v>
      </c>
      <c r="E678" s="62">
        <f>+Tabla13[[#This Row],[PRECIO INSTALADOR (IVA INCLUIDO)]]/0.7</f>
        <v>585025.80000000016</v>
      </c>
      <c r="F678" s="61">
        <f>+Tabla13[[#This Row],[PRECIO INSTALADOR (IVA INCLUIDO)]]*5%</f>
        <v>20475.903000000006</v>
      </c>
      <c r="G678" s="12">
        <v>0.85</v>
      </c>
      <c r="H678" s="11">
        <f>Tabla13[[#This Row],[COSTO]]*1.19</f>
        <v>348090.35100000002</v>
      </c>
      <c r="I678" s="10"/>
      <c r="J678" s="9"/>
      <c r="K678" s="66">
        <v>292512.90000000002</v>
      </c>
    </row>
    <row r="679" spans="1:11" ht="12.75" x14ac:dyDescent="0.2">
      <c r="A679" s="80"/>
      <c r="B679" s="79" t="s">
        <v>373</v>
      </c>
      <c r="C679" s="78"/>
      <c r="D679" s="78"/>
      <c r="E679" s="78"/>
      <c r="F679" s="77">
        <f>+Tabla13[[#This Row],[PRECIO INSTALADOR (IVA INCLUIDO)]]*5%</f>
        <v>0</v>
      </c>
      <c r="G679" s="12">
        <v>0.85</v>
      </c>
      <c r="H679" s="11">
        <f>Tabla13[[#This Row],[COSTO]]*1.19</f>
        <v>0</v>
      </c>
      <c r="I679" s="10"/>
      <c r="J679" s="9"/>
      <c r="K679" s="66"/>
    </row>
    <row r="680" spans="1:11" ht="12.75" x14ac:dyDescent="0.2">
      <c r="A680" s="76"/>
      <c r="B680" s="69" t="s">
        <v>372</v>
      </c>
      <c r="C680" s="68"/>
      <c r="D680" s="68"/>
      <c r="E680" s="68"/>
      <c r="F680" s="67">
        <f>+Tabla13[[#This Row],[PRECIO INSTALADOR (IVA INCLUIDO)]]*5%</f>
        <v>0</v>
      </c>
      <c r="G680" s="12">
        <v>0.85</v>
      </c>
      <c r="H680" s="11">
        <f>Tabla13[[#This Row],[COSTO]]*1.19</f>
        <v>0</v>
      </c>
      <c r="I680" s="10"/>
      <c r="J680" s="9"/>
      <c r="K680" s="66"/>
    </row>
    <row r="681" spans="1:11" ht="12.75" x14ac:dyDescent="0.2">
      <c r="A681" s="75" t="s">
        <v>371</v>
      </c>
      <c r="B681" s="63" t="s">
        <v>370</v>
      </c>
      <c r="C681" s="62">
        <f>+Tabla13[[#This Row],[Columna6]]/Tabla13[[#This Row],[Columna5]]</f>
        <v>445997.86</v>
      </c>
      <c r="D681" s="62">
        <f>+Tabla13[[#This Row],[PRECIO INSTALADOR (IVA INCLUIDO)]]-F681</f>
        <v>423697.967</v>
      </c>
      <c r="E681" s="62">
        <f>+Tabla13[[#This Row],[PRECIO INSTALADOR (IVA INCLUIDO)]]/0.7</f>
        <v>637139.80000000005</v>
      </c>
      <c r="F681" s="61">
        <f>+Tabla13[[#This Row],[PRECIO INSTALADOR (IVA INCLUIDO)]]*5%</f>
        <v>22299.893</v>
      </c>
      <c r="G681" s="12">
        <v>0.85</v>
      </c>
      <c r="H681" s="11">
        <f>Tabla13[[#This Row],[COSTO]]*1.19</f>
        <v>379098.18099999998</v>
      </c>
      <c r="I681" s="36"/>
      <c r="J681" s="35"/>
      <c r="K681" s="65">
        <v>318569.90000000002</v>
      </c>
    </row>
    <row r="682" spans="1:11" ht="12.75" x14ac:dyDescent="0.2">
      <c r="A682" s="75" t="s">
        <v>369</v>
      </c>
      <c r="B682" s="63" t="s">
        <v>368</v>
      </c>
      <c r="C682" s="62">
        <f>+Tabla13[[#This Row],[Columna6]]/Tabla13[[#This Row],[Columna5]]</f>
        <v>585654.86</v>
      </c>
      <c r="D682" s="62">
        <f>+Tabla13[[#This Row],[PRECIO INSTALADOR (IVA INCLUIDO)]]-F682</f>
        <v>556372.11699999997</v>
      </c>
      <c r="E682" s="62">
        <f>+Tabla13[[#This Row],[PRECIO INSTALADOR (IVA INCLUIDO)]]/0.7</f>
        <v>836649.8</v>
      </c>
      <c r="F682" s="61">
        <f>+Tabla13[[#This Row],[PRECIO INSTALADOR (IVA INCLUIDO)]]*5%</f>
        <v>29282.743000000002</v>
      </c>
      <c r="G682" s="12">
        <v>0.85</v>
      </c>
      <c r="H682" s="11">
        <f>Tabla13[[#This Row],[COSTO]]*1.19</f>
        <v>497806.63099999999</v>
      </c>
      <c r="I682" s="10"/>
      <c r="J682" s="9"/>
      <c r="K682" s="70">
        <v>418324.9</v>
      </c>
    </row>
    <row r="683" spans="1:11" ht="12.75" x14ac:dyDescent="0.2">
      <c r="A683" s="76"/>
      <c r="B683" s="69" t="s">
        <v>367</v>
      </c>
      <c r="C683" s="68"/>
      <c r="D683" s="68"/>
      <c r="E683" s="68"/>
      <c r="F683" s="67">
        <f>+Tabla13[[#This Row],[PRECIO INSTALADOR (IVA INCLUIDO)]]*5%</f>
        <v>0</v>
      </c>
      <c r="G683" s="12">
        <v>0.85</v>
      </c>
      <c r="H683" s="11">
        <f>Tabla13[[#This Row],[COSTO]]*1.19</f>
        <v>0</v>
      </c>
      <c r="I683" s="10"/>
      <c r="J683" s="9"/>
      <c r="K683" s="70"/>
    </row>
    <row r="684" spans="1:11" ht="12.75" x14ac:dyDescent="0.2">
      <c r="A684" s="75" t="s">
        <v>366</v>
      </c>
      <c r="B684" s="63" t="s">
        <v>365</v>
      </c>
      <c r="C684" s="62">
        <f>+Tabla13[[#This Row],[Columna6]]/Tabla13[[#This Row],[Columna5]]</f>
        <v>722628.06</v>
      </c>
      <c r="D684" s="62">
        <f>+Tabla13[[#This Row],[PRECIO INSTALADOR (IVA INCLUIDO)]]-F684</f>
        <v>686496.65700000001</v>
      </c>
      <c r="E684" s="62">
        <f>+Tabla13[[#This Row],[PRECIO INSTALADOR (IVA INCLUIDO)]]/0.7</f>
        <v>1032325.8000000002</v>
      </c>
      <c r="F684" s="61">
        <f>+Tabla13[[#This Row],[PRECIO INSTALADOR (IVA INCLUIDO)]]*5%</f>
        <v>36131.403000000006</v>
      </c>
      <c r="G684" s="12">
        <v>0.85</v>
      </c>
      <c r="H684" s="11">
        <f>Tabla13[[#This Row],[COSTO]]*1.19</f>
        <v>614233.85100000002</v>
      </c>
      <c r="I684" s="10"/>
      <c r="J684" s="9"/>
      <c r="K684" s="70">
        <v>516162.9</v>
      </c>
    </row>
    <row r="685" spans="1:11" ht="12.75" x14ac:dyDescent="0.2">
      <c r="A685" s="75" t="s">
        <v>364</v>
      </c>
      <c r="B685" s="63" t="s">
        <v>363</v>
      </c>
      <c r="C685" s="62">
        <f>+Tabla13[[#This Row],[Columna6]]/Tabla13[[#This Row],[Columna5]]</f>
        <v>827892.65999999992</v>
      </c>
      <c r="D685" s="62">
        <f>+Tabla13[[#This Row],[PRECIO INSTALADOR (IVA INCLUIDO)]]-F685</f>
        <v>786498.02699999989</v>
      </c>
      <c r="E685" s="62">
        <f>+Tabla13[[#This Row],[PRECIO INSTALADOR (IVA INCLUIDO)]]/0.7</f>
        <v>1182703.8</v>
      </c>
      <c r="F685" s="61">
        <f>+Tabla13[[#This Row],[PRECIO INSTALADOR (IVA INCLUIDO)]]*5%</f>
        <v>41394.633000000002</v>
      </c>
      <c r="G685" s="12">
        <v>0.85</v>
      </c>
      <c r="H685" s="11">
        <f>Tabla13[[#This Row],[COSTO]]*1.19</f>
        <v>703708.76099999994</v>
      </c>
      <c r="I685" s="10"/>
      <c r="J685" s="9"/>
      <c r="K685" s="70">
        <v>591351.9</v>
      </c>
    </row>
    <row r="686" spans="1:11" ht="12.75" x14ac:dyDescent="0.2">
      <c r="A686" s="75" t="s">
        <v>362</v>
      </c>
      <c r="B686" s="63" t="s">
        <v>361</v>
      </c>
      <c r="C686" s="62">
        <f>+Tabla13[[#This Row],[Columna6]]/Tabla13[[#This Row],[Columna5]]</f>
        <v>1338013.46</v>
      </c>
      <c r="D686" s="62">
        <f>+Tabla13[[#This Row],[PRECIO INSTALADOR (IVA INCLUIDO)]]-F686</f>
        <v>1271112.787</v>
      </c>
      <c r="E686" s="62">
        <f>+Tabla13[[#This Row],[PRECIO INSTALADOR (IVA INCLUIDO)]]/0.7</f>
        <v>1911447.8</v>
      </c>
      <c r="F686" s="61">
        <f>+Tabla13[[#This Row],[PRECIO INSTALADOR (IVA INCLUIDO)]]*5%</f>
        <v>66900.672999999995</v>
      </c>
      <c r="G686" s="12">
        <v>0.85</v>
      </c>
      <c r="H686" s="11">
        <f>Tabla13[[#This Row],[COSTO]]*1.19</f>
        <v>1137311.4409999999</v>
      </c>
      <c r="I686" s="10"/>
      <c r="J686" s="9"/>
      <c r="K686" s="70">
        <v>955723.9</v>
      </c>
    </row>
    <row r="687" spans="1:11" ht="12.75" x14ac:dyDescent="0.2">
      <c r="A687" s="88" t="s">
        <v>360</v>
      </c>
      <c r="B687" s="63" t="s">
        <v>359</v>
      </c>
      <c r="C687" s="62">
        <f>+Tabla13[[#This Row],[Columna6]]/Tabla13[[#This Row],[Columna5]]</f>
        <v>921428.06</v>
      </c>
      <c r="D687" s="62">
        <f>+Tabla13[[#This Row],[PRECIO INSTALADOR (IVA INCLUIDO)]]-F687</f>
        <v>875356.65700000001</v>
      </c>
      <c r="E687" s="62">
        <f>+Tabla13[[#This Row],[PRECIO INSTALADOR (IVA INCLUIDO)]]/0.7</f>
        <v>1316325.8000000003</v>
      </c>
      <c r="F687" s="61">
        <f>+Tabla13[[#This Row],[PRECIO INSTALADOR (IVA INCLUIDO)]]*5%</f>
        <v>46071.403000000006</v>
      </c>
      <c r="G687" s="12">
        <v>0.85</v>
      </c>
      <c r="H687" s="11">
        <f>Tabla13[[#This Row],[COSTO]]*1.19</f>
        <v>783213.85100000002</v>
      </c>
      <c r="I687" s="10"/>
      <c r="J687" s="9"/>
      <c r="K687" s="70">
        <v>658162.9</v>
      </c>
    </row>
    <row r="688" spans="1:11" ht="12.75" x14ac:dyDescent="0.2">
      <c r="A688" s="88" t="s">
        <v>358</v>
      </c>
      <c r="B688" s="63" t="s">
        <v>357</v>
      </c>
      <c r="C688" s="62">
        <f>+Tabla13[[#This Row],[Columna6]]/Tabla13[[#This Row],[Columna5]]</f>
        <v>1198952.8600000001</v>
      </c>
      <c r="D688" s="62">
        <f>+Tabla13[[#This Row],[PRECIO INSTALADOR (IVA INCLUIDO)]]-F688</f>
        <v>1139005.2170000002</v>
      </c>
      <c r="E688" s="62">
        <f>+Tabla13[[#This Row],[PRECIO INSTALADOR (IVA INCLUIDO)]]/0.7</f>
        <v>1712789.8000000003</v>
      </c>
      <c r="F688" s="61">
        <f>+Tabla13[[#This Row],[PRECIO INSTALADOR (IVA INCLUIDO)]]*5%</f>
        <v>59947.643000000011</v>
      </c>
      <c r="G688" s="12">
        <v>0.85</v>
      </c>
      <c r="H688" s="11">
        <f>Tabla13[[#This Row],[COSTO]]*1.19</f>
        <v>1019109.931</v>
      </c>
      <c r="I688" s="10"/>
      <c r="J688" s="9"/>
      <c r="K688" s="70">
        <v>856394.9</v>
      </c>
    </row>
    <row r="689" spans="1:11" ht="12.75" x14ac:dyDescent="0.2">
      <c r="A689" s="75" t="s">
        <v>356</v>
      </c>
      <c r="B689" s="63" t="s">
        <v>355</v>
      </c>
      <c r="C689" s="62">
        <f>+Tabla13[[#This Row],[Columna6]]/Tabla13[[#This Row],[Columna5]]</f>
        <v>1866523.2599999998</v>
      </c>
      <c r="D689" s="62">
        <f>+Tabla13[[#This Row],[PRECIO INSTALADOR (IVA INCLUIDO)]]-F689</f>
        <v>1773197.0969999998</v>
      </c>
      <c r="E689" s="62">
        <f>+Tabla13[[#This Row],[PRECIO INSTALADOR (IVA INCLUIDO)]]/0.7</f>
        <v>2666461.7999999998</v>
      </c>
      <c r="F689" s="61">
        <f>+Tabla13[[#This Row],[PRECIO INSTALADOR (IVA INCLUIDO)]]*5%</f>
        <v>93326.163</v>
      </c>
      <c r="G689" s="12">
        <v>0.85</v>
      </c>
      <c r="H689" s="11">
        <f>Tabla13[[#This Row],[COSTO]]*1.19</f>
        <v>1586544.7709999997</v>
      </c>
      <c r="I689" s="10"/>
      <c r="J689" s="9"/>
      <c r="K689" s="70">
        <v>1333230.8999999999</v>
      </c>
    </row>
    <row r="690" spans="1:11" ht="12.75" x14ac:dyDescent="0.2">
      <c r="A690" s="76"/>
      <c r="B690" s="69" t="s">
        <v>354</v>
      </c>
      <c r="C690" s="68"/>
      <c r="D690" s="68"/>
      <c r="E690" s="68"/>
      <c r="F690" s="67">
        <f>+Tabla13[[#This Row],[PRECIO INSTALADOR (IVA INCLUIDO)]]*5%</f>
        <v>0</v>
      </c>
      <c r="G690" s="12">
        <v>0.85</v>
      </c>
      <c r="H690" s="11">
        <f>Tabla13[[#This Row],[COSTO]]*1.19</f>
        <v>0</v>
      </c>
      <c r="I690" s="10"/>
      <c r="J690" s="9"/>
      <c r="K690" s="70"/>
    </row>
    <row r="691" spans="1:11" ht="12.75" x14ac:dyDescent="0.2">
      <c r="A691" s="75" t="s">
        <v>353</v>
      </c>
      <c r="B691" s="63" t="s">
        <v>352</v>
      </c>
      <c r="C691" s="62">
        <f>+Tabla13[[#This Row],[Columna6]]/Tabla13[[#This Row],[Columna5]]</f>
        <v>584462.06000000006</v>
      </c>
      <c r="D691" s="62">
        <f>+Tabla13[[#This Row],[PRECIO INSTALADOR (IVA INCLUIDO)]]-F691</f>
        <v>555238.95700000005</v>
      </c>
      <c r="E691" s="62">
        <f>+Tabla13[[#This Row],[PRECIO INSTALADOR (IVA INCLUIDO)]]/0.7</f>
        <v>834945.80000000016</v>
      </c>
      <c r="F691" s="61">
        <f>+Tabla13[[#This Row],[PRECIO INSTALADOR (IVA INCLUIDO)]]*5%</f>
        <v>29223.103000000003</v>
      </c>
      <c r="G691" s="12">
        <v>0.85</v>
      </c>
      <c r="H691" s="11">
        <f>Tabla13[[#This Row],[COSTO]]*1.19</f>
        <v>496792.75099999999</v>
      </c>
      <c r="I691" s="10"/>
      <c r="J691" s="9"/>
      <c r="K691" s="70">
        <v>417472.9</v>
      </c>
    </row>
    <row r="692" spans="1:11" ht="12.75" x14ac:dyDescent="0.2">
      <c r="A692" s="75" t="s">
        <v>351</v>
      </c>
      <c r="B692" s="63" t="s">
        <v>350</v>
      </c>
      <c r="C692" s="62">
        <f>+Tabla13[[#This Row],[Columna6]]/Tabla13[[#This Row],[Columna5]]</f>
        <v>798967.26</v>
      </c>
      <c r="D692" s="62">
        <f>+Tabla13[[#This Row],[PRECIO INSTALADOR (IVA INCLUIDO)]]-F692</f>
        <v>759018.897</v>
      </c>
      <c r="E692" s="62">
        <f>+Tabla13[[#This Row],[PRECIO INSTALADOR (IVA INCLUIDO)]]/0.7</f>
        <v>1141381.8</v>
      </c>
      <c r="F692" s="61">
        <f>+Tabla13[[#This Row],[PRECIO INSTALADOR (IVA INCLUIDO)]]*5%</f>
        <v>39948.363000000005</v>
      </c>
      <c r="G692" s="12">
        <v>0.85</v>
      </c>
      <c r="H692" s="11">
        <f>Tabla13[[#This Row],[COSTO]]*1.19</f>
        <v>679122.17099999997</v>
      </c>
      <c r="I692" s="10"/>
      <c r="J692" s="9"/>
      <c r="K692" s="70">
        <v>570690.9</v>
      </c>
    </row>
    <row r="693" spans="1:11" ht="12.75" x14ac:dyDescent="0.2">
      <c r="A693" s="75" t="s">
        <v>349</v>
      </c>
      <c r="B693" s="63" t="s">
        <v>348</v>
      </c>
      <c r="C693" s="62">
        <f>+Tabla13[[#This Row],[Columna6]]/Tabla13[[#This Row],[Columna5]]</f>
        <v>923117.86</v>
      </c>
      <c r="D693" s="62">
        <f>+Tabla13[[#This Row],[PRECIO INSTALADOR (IVA INCLUIDO)]]-F693</f>
        <v>876961.96699999995</v>
      </c>
      <c r="E693" s="62">
        <f>+Tabla13[[#This Row],[PRECIO INSTALADOR (IVA INCLUIDO)]]/0.7</f>
        <v>1318739.8</v>
      </c>
      <c r="F693" s="61">
        <f>+Tabla13[[#This Row],[PRECIO INSTALADOR (IVA INCLUIDO)]]*5%</f>
        <v>46155.893000000004</v>
      </c>
      <c r="G693" s="12">
        <v>0.85</v>
      </c>
      <c r="H693" s="11">
        <f>Tabla13[[#This Row],[COSTO]]*1.19</f>
        <v>784650.18099999998</v>
      </c>
      <c r="I693" s="10"/>
      <c r="J693" s="9"/>
      <c r="K693" s="70">
        <v>659369.9</v>
      </c>
    </row>
    <row r="694" spans="1:11" ht="12.75" x14ac:dyDescent="0.2">
      <c r="A694" s="75" t="s">
        <v>347</v>
      </c>
      <c r="B694" s="63" t="s">
        <v>346</v>
      </c>
      <c r="C694" s="62">
        <f>+Tabla13[[#This Row],[Columna6]]/Tabla13[[#This Row],[Columna5]]</f>
        <v>841908.06</v>
      </c>
      <c r="D694" s="62">
        <f>+Tabla13[[#This Row],[PRECIO INSTALADOR (IVA INCLUIDO)]]-F694</f>
        <v>799812.65700000001</v>
      </c>
      <c r="E694" s="62">
        <f>+Tabla13[[#This Row],[PRECIO INSTALADOR (IVA INCLUIDO)]]/0.7</f>
        <v>1202725.8</v>
      </c>
      <c r="F694" s="61">
        <f>+Tabla13[[#This Row],[PRECIO INSTALADOR (IVA INCLUIDO)]]*5%</f>
        <v>42095.403000000006</v>
      </c>
      <c r="G694" s="12">
        <v>0.85</v>
      </c>
      <c r="H694" s="11">
        <f>Tabla13[[#This Row],[COSTO]]*1.19</f>
        <v>715621.85100000002</v>
      </c>
      <c r="I694" s="10"/>
      <c r="J694" s="9"/>
      <c r="K694" s="70">
        <v>601362.9</v>
      </c>
    </row>
    <row r="695" spans="1:11" ht="12.75" x14ac:dyDescent="0.2">
      <c r="A695" s="75" t="s">
        <v>345</v>
      </c>
      <c r="B695" s="63" t="s">
        <v>344</v>
      </c>
      <c r="C695" s="62">
        <f>+Tabla13[[#This Row],[Columna6]]/Tabla13[[#This Row],[Columna5]]</f>
        <v>1124104.6600000001</v>
      </c>
      <c r="D695" s="62">
        <f>+Tabla13[[#This Row],[PRECIO INSTALADOR (IVA INCLUIDO)]]-F695</f>
        <v>1067899.4270000001</v>
      </c>
      <c r="E695" s="62">
        <f>+Tabla13[[#This Row],[PRECIO INSTALADOR (IVA INCLUIDO)]]/0.7</f>
        <v>1605863.8000000003</v>
      </c>
      <c r="F695" s="61">
        <f>+Tabla13[[#This Row],[PRECIO INSTALADOR (IVA INCLUIDO)]]*5%</f>
        <v>56205.233000000007</v>
      </c>
      <c r="G695" s="12">
        <v>0.85</v>
      </c>
      <c r="H695" s="11">
        <f>Tabla13[[#This Row],[COSTO]]*1.19</f>
        <v>955488.96100000001</v>
      </c>
      <c r="I695" s="10"/>
      <c r="J695" s="9"/>
      <c r="K695" s="70">
        <v>802931.9</v>
      </c>
    </row>
    <row r="696" spans="1:11" ht="12.75" x14ac:dyDescent="0.2">
      <c r="A696" s="75" t="s">
        <v>343</v>
      </c>
      <c r="B696" s="63" t="s">
        <v>342</v>
      </c>
      <c r="C696" s="62">
        <f>+Tabla13[[#This Row],[Columna6]]/Tabla13[[#This Row],[Columna5]]</f>
        <v>1001743.26</v>
      </c>
      <c r="D696" s="62">
        <f>+Tabla13[[#This Row],[PRECIO INSTALADOR (IVA INCLUIDO)]]-F696</f>
        <v>951656.09700000007</v>
      </c>
      <c r="E696" s="62">
        <f>+Tabla13[[#This Row],[PRECIO INSTALADOR (IVA INCLUIDO)]]/0.7</f>
        <v>1431061.8</v>
      </c>
      <c r="F696" s="61">
        <f>+Tabla13[[#This Row],[PRECIO INSTALADOR (IVA INCLUIDO)]]*5%</f>
        <v>50087.163</v>
      </c>
      <c r="G696" s="12">
        <v>0.85</v>
      </c>
      <c r="H696" s="11">
        <f>Tabla13[[#This Row],[COSTO]]*1.19</f>
        <v>851481.77099999995</v>
      </c>
      <c r="I696" s="10"/>
      <c r="J696" s="9"/>
      <c r="K696" s="70">
        <v>715530.9</v>
      </c>
    </row>
    <row r="697" spans="1:11" ht="12.75" x14ac:dyDescent="0.2">
      <c r="A697" s="76"/>
      <c r="B697" s="69" t="s">
        <v>341</v>
      </c>
      <c r="C697" s="68"/>
      <c r="D697" s="68"/>
      <c r="E697" s="68"/>
      <c r="F697" s="67">
        <f>+Tabla13[[#This Row],[PRECIO INSTALADOR (IVA INCLUIDO)]]*5%</f>
        <v>0</v>
      </c>
      <c r="G697" s="12">
        <v>0.85</v>
      </c>
      <c r="H697" s="11">
        <f>Tabla13[[#This Row],[COSTO]]*1.19</f>
        <v>0</v>
      </c>
      <c r="I697" s="10"/>
      <c r="J697" s="9"/>
      <c r="K697" s="70"/>
    </row>
    <row r="698" spans="1:11" ht="12.75" x14ac:dyDescent="0.2">
      <c r="A698" s="86" t="s">
        <v>340</v>
      </c>
      <c r="B698" s="85" t="s">
        <v>339</v>
      </c>
      <c r="C698" s="84">
        <f>+Tabla13[[#This Row],[Columna6]]/Tabla13[[#This Row],[Columna5]]</f>
        <v>872423.86</v>
      </c>
      <c r="D698" s="84">
        <f>+Tabla13[[#This Row],[PRECIO INSTALADOR (IVA INCLUIDO)]]-F698</f>
        <v>828802.66700000002</v>
      </c>
      <c r="E698" s="84">
        <f>+Tabla13[[#This Row],[PRECIO INSTALADOR (IVA INCLUIDO)]]/0.7</f>
        <v>1246319.8</v>
      </c>
      <c r="F698" s="83">
        <f>+Tabla13[[#This Row],[PRECIO INSTALADOR (IVA INCLUIDO)]]*5%</f>
        <v>43621.192999999999</v>
      </c>
      <c r="G698" s="12">
        <v>0.85</v>
      </c>
      <c r="H698" s="11">
        <f>Tabla13[[#This Row],[COSTO]]*1.19</f>
        <v>741560.28099999996</v>
      </c>
      <c r="I698" s="10"/>
      <c r="J698" s="9"/>
      <c r="K698" s="70">
        <v>623159.9</v>
      </c>
    </row>
    <row r="699" spans="1:11" ht="12.75" x14ac:dyDescent="0.2">
      <c r="A699" s="75" t="s">
        <v>338</v>
      </c>
      <c r="B699" s="63" t="s">
        <v>337</v>
      </c>
      <c r="C699" s="62">
        <f>+Tabla13[[#This Row],[Columna6]]/Tabla13[[#This Row],[Columna5]]</f>
        <v>958206.05999999994</v>
      </c>
      <c r="D699" s="62">
        <f>+Tabla13[[#This Row],[PRECIO INSTALADOR (IVA INCLUIDO)]]-F699</f>
        <v>910295.75699999998</v>
      </c>
      <c r="E699" s="62">
        <f>+Tabla13[[#This Row],[PRECIO INSTALADOR (IVA INCLUIDO)]]/0.7</f>
        <v>1368865.8</v>
      </c>
      <c r="F699" s="61">
        <f>+Tabla13[[#This Row],[PRECIO INSTALADOR (IVA INCLUIDO)]]*5%</f>
        <v>47910.303</v>
      </c>
      <c r="G699" s="12">
        <v>0.85</v>
      </c>
      <c r="H699" s="11">
        <f>Tabla13[[#This Row],[COSTO]]*1.19</f>
        <v>814475.15099999995</v>
      </c>
      <c r="I699" s="10"/>
      <c r="J699" s="9"/>
      <c r="K699" s="70">
        <v>684432.9</v>
      </c>
    </row>
    <row r="700" spans="1:11" ht="12.75" x14ac:dyDescent="0.2">
      <c r="A700" s="75" t="s">
        <v>336</v>
      </c>
      <c r="B700" s="63" t="s">
        <v>335</v>
      </c>
      <c r="C700" s="62">
        <f>+Tabla13[[#This Row],[Columna6]]/Tabla13[[#This Row],[Columna5]]</f>
        <v>1246863.6600000001</v>
      </c>
      <c r="D700" s="62">
        <f>+Tabla13[[#This Row],[PRECIO INSTALADOR (IVA INCLUIDO)]]-F700</f>
        <v>1184520.4770000002</v>
      </c>
      <c r="E700" s="62">
        <f>+Tabla13[[#This Row],[PRECIO INSTALADOR (IVA INCLUIDO)]]/0.7</f>
        <v>1781233.8000000003</v>
      </c>
      <c r="F700" s="61">
        <f>+Tabla13[[#This Row],[PRECIO INSTALADOR (IVA INCLUIDO)]]*5%</f>
        <v>62343.183000000012</v>
      </c>
      <c r="G700" s="12">
        <v>0.85</v>
      </c>
      <c r="H700" s="11">
        <f>Tabla13[[#This Row],[COSTO]]*1.19</f>
        <v>1059834.111</v>
      </c>
      <c r="I700" s="10"/>
      <c r="J700" s="9"/>
      <c r="K700" s="70">
        <v>890616.9</v>
      </c>
    </row>
    <row r="701" spans="1:11" ht="12.75" x14ac:dyDescent="0.2">
      <c r="A701" s="75" t="s">
        <v>334</v>
      </c>
      <c r="B701" s="63" t="s">
        <v>333</v>
      </c>
      <c r="C701" s="62">
        <f>+Tabla13[[#This Row],[Columna6]]/Tabla13[[#This Row],[Columna5]]</f>
        <v>1940973.8599999996</v>
      </c>
      <c r="D701" s="62">
        <f>+Tabla13[[#This Row],[PRECIO INSTALADOR (IVA INCLUIDO)]]-F701</f>
        <v>1843925.1669999997</v>
      </c>
      <c r="E701" s="62">
        <f>+Tabla13[[#This Row],[PRECIO INSTALADOR (IVA INCLUIDO)]]/0.7</f>
        <v>2772819.8</v>
      </c>
      <c r="F701" s="61">
        <f>+Tabla13[[#This Row],[PRECIO INSTALADOR (IVA INCLUIDO)]]*5%</f>
        <v>97048.692999999985</v>
      </c>
      <c r="G701" s="12">
        <v>0.85</v>
      </c>
      <c r="H701" s="11">
        <f>Tabla13[[#This Row],[COSTO]]*1.19</f>
        <v>1649827.7809999997</v>
      </c>
      <c r="I701" s="36"/>
      <c r="J701" s="35"/>
      <c r="K701" s="87">
        <v>1386409.9</v>
      </c>
    </row>
    <row r="702" spans="1:11" ht="12.75" x14ac:dyDescent="0.2">
      <c r="A702" s="75" t="s">
        <v>332</v>
      </c>
      <c r="B702" s="63" t="s">
        <v>331</v>
      </c>
      <c r="C702" s="62">
        <f>+Tabla13[[#This Row],[Columna6]]/Tabla13[[#This Row],[Columna5]]</f>
        <v>1085736.26</v>
      </c>
      <c r="D702" s="62">
        <f>+Tabla13[[#This Row],[PRECIO INSTALADOR (IVA INCLUIDO)]]-F702</f>
        <v>1031449.447</v>
      </c>
      <c r="E702" s="62">
        <f>+Tabla13[[#This Row],[PRECIO INSTALADOR (IVA INCLUIDO)]]/0.7</f>
        <v>1551051.8</v>
      </c>
      <c r="F702" s="61">
        <f>+Tabla13[[#This Row],[PRECIO INSTALADOR (IVA INCLUIDO)]]*5%</f>
        <v>54286.813000000002</v>
      </c>
      <c r="G702" s="12">
        <v>0.85</v>
      </c>
      <c r="H702" s="11">
        <f>Tabla13[[#This Row],[COSTO]]*1.19</f>
        <v>922875.821</v>
      </c>
      <c r="I702" s="10"/>
      <c r="J702" s="9"/>
      <c r="K702" s="70">
        <v>775525.9</v>
      </c>
    </row>
    <row r="703" spans="1:11" ht="12.75" x14ac:dyDescent="0.2">
      <c r="A703" s="75" t="s">
        <v>330</v>
      </c>
      <c r="B703" s="63" t="s">
        <v>329</v>
      </c>
      <c r="C703" s="62">
        <f>+Tabla13[[#This Row],[Columna6]]/Tabla13[[#This Row],[Columna5]]</f>
        <v>1398249.86</v>
      </c>
      <c r="D703" s="62">
        <f>+Tabla13[[#This Row],[PRECIO INSTALADOR (IVA INCLUIDO)]]-F703</f>
        <v>1328337.3670000001</v>
      </c>
      <c r="E703" s="62">
        <f>+Tabla13[[#This Row],[PRECIO INSTALADOR (IVA INCLUIDO)]]/0.7</f>
        <v>1997499.8000000003</v>
      </c>
      <c r="F703" s="61">
        <f>+Tabla13[[#This Row],[PRECIO INSTALADOR (IVA INCLUIDO)]]*5%</f>
        <v>69912.493000000002</v>
      </c>
      <c r="G703" s="12">
        <v>0.85</v>
      </c>
      <c r="H703" s="11">
        <f>Tabla13[[#This Row],[COSTO]]*1.19</f>
        <v>1188512.3810000001</v>
      </c>
      <c r="I703" s="10"/>
      <c r="J703" s="9"/>
      <c r="K703" s="70">
        <v>998749.9</v>
      </c>
    </row>
    <row r="704" spans="1:11" ht="12.75" x14ac:dyDescent="0.2">
      <c r="A704" s="75" t="s">
        <v>328</v>
      </c>
      <c r="B704" s="63" t="s">
        <v>327</v>
      </c>
      <c r="C704" s="62">
        <f>+Tabla13[[#This Row],[Columna6]]/Tabla13[[#This Row],[Columna5]]</f>
        <v>2144346.2599999998</v>
      </c>
      <c r="D704" s="62">
        <f>+Tabla13[[#This Row],[PRECIO INSTALADOR (IVA INCLUIDO)]]-F704</f>
        <v>2037128.9469999997</v>
      </c>
      <c r="E704" s="62">
        <f>+Tabla13[[#This Row],[PRECIO INSTALADOR (IVA INCLUIDO)]]/0.7</f>
        <v>3063351.8</v>
      </c>
      <c r="F704" s="61">
        <f>+Tabla13[[#This Row],[PRECIO INSTALADOR (IVA INCLUIDO)]]*5%</f>
        <v>107217.31299999999</v>
      </c>
      <c r="G704" s="12">
        <v>0.85</v>
      </c>
      <c r="H704" s="11">
        <f>Tabla13[[#This Row],[COSTO]]*1.19</f>
        <v>1822694.3209999998</v>
      </c>
      <c r="I704" s="10"/>
      <c r="J704" s="9"/>
      <c r="K704" s="70">
        <v>1531675.9</v>
      </c>
    </row>
    <row r="705" spans="1:11" ht="12.75" x14ac:dyDescent="0.2">
      <c r="A705" s="75" t="s">
        <v>326</v>
      </c>
      <c r="B705" s="63" t="s">
        <v>325</v>
      </c>
      <c r="C705" s="62">
        <f>+Tabla13[[#This Row],[Columna6]]/Tabla13[[#This Row],[Columna5]]</f>
        <v>1181657.26</v>
      </c>
      <c r="D705" s="62">
        <f>+Tabla13[[#This Row],[PRECIO INSTALADOR (IVA INCLUIDO)]]-F705</f>
        <v>1122574.3970000001</v>
      </c>
      <c r="E705" s="62">
        <f>+Tabla13[[#This Row],[PRECIO INSTALADOR (IVA INCLUIDO)]]/0.7</f>
        <v>1688081.8</v>
      </c>
      <c r="F705" s="61">
        <f>+Tabla13[[#This Row],[PRECIO INSTALADOR (IVA INCLUIDO)]]*5%</f>
        <v>59082.863000000005</v>
      </c>
      <c r="G705" s="12">
        <v>0.85</v>
      </c>
      <c r="H705" s="11">
        <f>Tabla13[[#This Row],[COSTO]]*1.19</f>
        <v>1004408.671</v>
      </c>
      <c r="I705" s="10"/>
      <c r="J705" s="9"/>
      <c r="K705" s="70">
        <v>844040.9</v>
      </c>
    </row>
    <row r="706" spans="1:11" ht="12.75" x14ac:dyDescent="0.2">
      <c r="A706" s="75" t="s">
        <v>324</v>
      </c>
      <c r="B706" s="63" t="s">
        <v>323</v>
      </c>
      <c r="C706" s="62">
        <f>+Tabla13[[#This Row],[Columna6]]/Tabla13[[#This Row],[Columna5]]</f>
        <v>2455766.4599999995</v>
      </c>
      <c r="D706" s="62">
        <f>+Tabla13[[#This Row],[PRECIO INSTALADOR (IVA INCLUIDO)]]-F706</f>
        <v>2332978.1369999996</v>
      </c>
      <c r="E706" s="62">
        <f>+Tabla13[[#This Row],[PRECIO INSTALADOR (IVA INCLUIDO)]]/0.7</f>
        <v>3508237.7999999993</v>
      </c>
      <c r="F706" s="61">
        <f>+Tabla13[[#This Row],[PRECIO INSTALADOR (IVA INCLUIDO)]]*5%</f>
        <v>122788.32299999997</v>
      </c>
      <c r="G706" s="12">
        <v>0.85</v>
      </c>
      <c r="H706" s="11">
        <f>Tabla13[[#This Row],[COSTO]]*1.19</f>
        <v>2087401.4909999997</v>
      </c>
      <c r="I706" s="10"/>
      <c r="J706" s="9"/>
      <c r="K706" s="70">
        <v>1754118.9</v>
      </c>
    </row>
    <row r="707" spans="1:11" ht="12.75" x14ac:dyDescent="0.2">
      <c r="A707" s="86" t="s">
        <v>322</v>
      </c>
      <c r="B707" s="85" t="s">
        <v>321</v>
      </c>
      <c r="C707" s="84">
        <f>+Tabla13[[#This Row],[Columna6]]/Tabla13[[#This Row],[Columna5]]</f>
        <v>1112971.8600000001</v>
      </c>
      <c r="D707" s="84">
        <f>+Tabla13[[#This Row],[PRECIO INSTALADOR (IVA INCLUIDO)]]-F707</f>
        <v>1057323.267</v>
      </c>
      <c r="E707" s="84">
        <f>+Tabla13[[#This Row],[PRECIO INSTALADOR (IVA INCLUIDO)]]/0.7</f>
        <v>1589959.8000000003</v>
      </c>
      <c r="F707" s="83">
        <f>+Tabla13[[#This Row],[PRECIO INSTALADOR (IVA INCLUIDO)]]*5%</f>
        <v>55648.593000000008</v>
      </c>
      <c r="G707" s="12">
        <v>0.85</v>
      </c>
      <c r="H707" s="11">
        <f>Tabla13[[#This Row],[COSTO]]*1.19</f>
        <v>946026.08100000001</v>
      </c>
      <c r="I707" s="10"/>
      <c r="J707" s="9"/>
      <c r="K707" s="70">
        <v>794979.9</v>
      </c>
    </row>
    <row r="708" spans="1:11" ht="12.75" x14ac:dyDescent="0.2">
      <c r="A708" s="76"/>
      <c r="B708" s="69" t="s">
        <v>320</v>
      </c>
      <c r="C708" s="68"/>
      <c r="D708" s="68"/>
      <c r="E708" s="68"/>
      <c r="F708" s="67">
        <f>+Tabla13[[#This Row],[PRECIO INSTALADOR (IVA INCLUIDO)]]*5%</f>
        <v>0</v>
      </c>
      <c r="G708" s="12">
        <v>0.85</v>
      </c>
      <c r="H708" s="11">
        <f>Tabla13[[#This Row],[COSTO]]*1.19</f>
        <v>0</v>
      </c>
      <c r="I708" s="10"/>
      <c r="J708" s="9"/>
      <c r="K708" s="70"/>
    </row>
    <row r="709" spans="1:11" ht="12.75" x14ac:dyDescent="0.2">
      <c r="A709" s="75" t="s">
        <v>319</v>
      </c>
      <c r="B709" s="63" t="s">
        <v>318</v>
      </c>
      <c r="C709" s="62">
        <f>+Tabla13[[#This Row],[Columna6]]/Tabla13[[#This Row],[Columna5]]</f>
        <v>513490.46</v>
      </c>
      <c r="D709" s="62">
        <f>+Tabla13[[#This Row],[PRECIO INSTALADOR (IVA INCLUIDO)]]-F709</f>
        <v>487815.93700000003</v>
      </c>
      <c r="E709" s="62">
        <f>+Tabla13[[#This Row],[PRECIO INSTALADOR (IVA INCLUIDO)]]/0.7</f>
        <v>733557.8</v>
      </c>
      <c r="F709" s="61">
        <f>+Tabla13[[#This Row],[PRECIO INSTALADOR (IVA INCLUIDO)]]*5%</f>
        <v>25674.523000000001</v>
      </c>
      <c r="G709" s="12">
        <v>0.85</v>
      </c>
      <c r="H709" s="11">
        <f>Tabla13[[#This Row],[COSTO]]*1.19</f>
        <v>436466.891</v>
      </c>
      <c r="I709" s="10"/>
      <c r="J709" s="9"/>
      <c r="K709" s="70">
        <v>366778.9</v>
      </c>
    </row>
    <row r="710" spans="1:11" ht="12.75" x14ac:dyDescent="0.2">
      <c r="A710" s="75" t="s">
        <v>317</v>
      </c>
      <c r="B710" s="63" t="s">
        <v>316</v>
      </c>
      <c r="C710" s="62">
        <f>+Tabla13[[#This Row],[Columna6]]/Tabla13[[#This Row],[Columna5]]</f>
        <v>732369.26000000013</v>
      </c>
      <c r="D710" s="62">
        <f>+Tabla13[[#This Row],[PRECIO INSTALADOR (IVA INCLUIDO)]]-F710</f>
        <v>695750.79700000014</v>
      </c>
      <c r="E710" s="62">
        <f>+Tabla13[[#This Row],[PRECIO INSTALADOR (IVA INCLUIDO)]]/0.7</f>
        <v>1046241.8000000003</v>
      </c>
      <c r="F710" s="61">
        <f>+Tabla13[[#This Row],[PRECIO INSTALADOR (IVA INCLUIDO)]]*5%</f>
        <v>36618.463000000011</v>
      </c>
      <c r="G710" s="12">
        <v>0.85</v>
      </c>
      <c r="H710" s="11">
        <f>Tabla13[[#This Row],[COSTO]]*1.19</f>
        <v>622513.87100000004</v>
      </c>
      <c r="I710" s="10"/>
      <c r="J710" s="9"/>
      <c r="K710" s="70">
        <v>523120.9</v>
      </c>
    </row>
    <row r="711" spans="1:11" ht="12.75" x14ac:dyDescent="0.2">
      <c r="A711" s="76"/>
      <c r="B711" s="69" t="s">
        <v>315</v>
      </c>
      <c r="C711" s="68"/>
      <c r="D711" s="68"/>
      <c r="E711" s="68"/>
      <c r="F711" s="67">
        <f>+Tabla13[[#This Row],[PRECIO INSTALADOR (IVA INCLUIDO)]]*5%</f>
        <v>0</v>
      </c>
      <c r="G711" s="12">
        <v>0.85</v>
      </c>
      <c r="H711" s="11">
        <f>Tabla13[[#This Row],[COSTO]]*1.19</f>
        <v>0</v>
      </c>
      <c r="I711" s="10"/>
      <c r="J711" s="9"/>
      <c r="K711" s="70"/>
    </row>
    <row r="712" spans="1:11" ht="12.75" x14ac:dyDescent="0.2">
      <c r="A712" s="75" t="s">
        <v>314</v>
      </c>
      <c r="B712" s="63" t="s">
        <v>313</v>
      </c>
      <c r="C712" s="62">
        <f>+Tabla13[[#This Row],[Columna6]]/Tabla13[[#This Row],[Columna5]]</f>
        <v>769942.46000000008</v>
      </c>
      <c r="D712" s="62">
        <f>+Tabla13[[#This Row],[PRECIO INSTALADOR (IVA INCLUIDO)]]-F712</f>
        <v>731445.33700000006</v>
      </c>
      <c r="E712" s="62">
        <f>+Tabla13[[#This Row],[PRECIO INSTALADOR (IVA INCLUIDO)]]/0.7</f>
        <v>1099917.8000000003</v>
      </c>
      <c r="F712" s="61">
        <f>+Tabla13[[#This Row],[PRECIO INSTALADOR (IVA INCLUIDO)]]*5%</f>
        <v>38497.123000000007</v>
      </c>
      <c r="G712" s="12">
        <v>0.85</v>
      </c>
      <c r="H712" s="11">
        <f>Tabla13[[#This Row],[COSTO]]*1.19</f>
        <v>654451.09100000001</v>
      </c>
      <c r="I712" s="10"/>
      <c r="J712" s="9"/>
      <c r="K712" s="70">
        <v>549958.9</v>
      </c>
    </row>
    <row r="713" spans="1:11" ht="12.75" x14ac:dyDescent="0.2">
      <c r="A713" s="75" t="s">
        <v>312</v>
      </c>
      <c r="B713" s="63" t="s">
        <v>311</v>
      </c>
      <c r="C713" s="62">
        <f>+Tabla13[[#This Row],[Columna6]]/Tabla13[[#This Row],[Columna5]]</f>
        <v>890812.86</v>
      </c>
      <c r="D713" s="62">
        <f>+Tabla13[[#This Row],[PRECIO INSTALADOR (IVA INCLUIDO)]]-F713</f>
        <v>846272.21699999995</v>
      </c>
      <c r="E713" s="62">
        <f>+Tabla13[[#This Row],[PRECIO INSTALADOR (IVA INCLUIDO)]]/0.7</f>
        <v>1272589.8</v>
      </c>
      <c r="F713" s="61">
        <f>+Tabla13[[#This Row],[PRECIO INSTALADOR (IVA INCLUIDO)]]*5%</f>
        <v>44540.643000000004</v>
      </c>
      <c r="G713" s="12">
        <v>0.85</v>
      </c>
      <c r="H713" s="11">
        <f>Tabla13[[#This Row],[COSTO]]*1.19</f>
        <v>757190.93099999998</v>
      </c>
      <c r="I713" s="10"/>
      <c r="J713" s="9"/>
      <c r="K713" s="70">
        <v>636294.9</v>
      </c>
    </row>
    <row r="714" spans="1:11" ht="12.75" x14ac:dyDescent="0.2">
      <c r="A714" s="86" t="s">
        <v>310</v>
      </c>
      <c r="B714" s="85" t="s">
        <v>309</v>
      </c>
      <c r="C714" s="84">
        <f>+Tabla13[[#This Row],[Columna6]]/Tabla13[[#This Row],[Columna5]]</f>
        <v>1151539.06</v>
      </c>
      <c r="D714" s="84">
        <f>+Tabla13[[#This Row],[PRECIO INSTALADOR (IVA INCLUIDO)]]-F714</f>
        <v>1093962.1070000001</v>
      </c>
      <c r="E714" s="84">
        <f>+Tabla13[[#This Row],[PRECIO INSTALADOR (IVA INCLUIDO)]]/0.7</f>
        <v>1645055.8000000003</v>
      </c>
      <c r="F714" s="83">
        <f>+Tabla13[[#This Row],[PRECIO INSTALADOR (IVA INCLUIDO)]]*5%</f>
        <v>57576.953000000009</v>
      </c>
      <c r="G714" s="12">
        <v>0.85</v>
      </c>
      <c r="H714" s="11">
        <f>Tabla13[[#This Row],[COSTO]]*1.19</f>
        <v>978808.201</v>
      </c>
      <c r="I714" s="10"/>
      <c r="J714" s="9"/>
      <c r="K714" s="70">
        <v>822527.9</v>
      </c>
    </row>
    <row r="715" spans="1:11" ht="12.75" x14ac:dyDescent="0.2">
      <c r="A715" s="75" t="s">
        <v>308</v>
      </c>
      <c r="B715" s="63" t="s">
        <v>307</v>
      </c>
      <c r="C715" s="62">
        <f>+Tabla13[[#This Row],[Columna6]]/Tabla13[[#This Row],[Columna5]]</f>
        <v>1840778.66</v>
      </c>
      <c r="D715" s="62">
        <f>+Tabla13[[#This Row],[PRECIO INSTALADOR (IVA INCLUIDO)]]-F715</f>
        <v>1748739.727</v>
      </c>
      <c r="E715" s="62">
        <f>+Tabla13[[#This Row],[PRECIO INSTALADOR (IVA INCLUIDO)]]/0.7</f>
        <v>2629683.8000000003</v>
      </c>
      <c r="F715" s="61">
        <f>+Tabla13[[#This Row],[PRECIO INSTALADOR (IVA INCLUIDO)]]*5%</f>
        <v>92038.933000000005</v>
      </c>
      <c r="G715" s="12">
        <v>0.85</v>
      </c>
      <c r="H715" s="11">
        <f>Tabla13[[#This Row],[COSTO]]*1.19</f>
        <v>1564661.8609999998</v>
      </c>
      <c r="I715" s="10"/>
      <c r="J715" s="9"/>
      <c r="K715" s="70">
        <v>1314841.8999999999</v>
      </c>
    </row>
    <row r="716" spans="1:11" ht="12.75" x14ac:dyDescent="0.2">
      <c r="A716" s="76"/>
      <c r="B716" s="69" t="s">
        <v>306</v>
      </c>
      <c r="C716" s="68"/>
      <c r="D716" s="68"/>
      <c r="E716" s="68"/>
      <c r="F716" s="67">
        <f>+Tabla13[[#This Row],[PRECIO INSTALADOR (IVA INCLUIDO)]]*5%</f>
        <v>0</v>
      </c>
      <c r="G716" s="12">
        <v>0.85</v>
      </c>
      <c r="H716" s="11">
        <f>Tabla13[[#This Row],[COSTO]]*1.19</f>
        <v>0</v>
      </c>
      <c r="I716" s="10"/>
      <c r="J716" s="9"/>
      <c r="K716" s="70"/>
    </row>
    <row r="717" spans="1:11" ht="12.75" x14ac:dyDescent="0.2">
      <c r="A717" s="75" t="s">
        <v>305</v>
      </c>
      <c r="B717" s="63" t="s">
        <v>304</v>
      </c>
      <c r="C717" s="62">
        <f>+Tabla13[[#This Row],[Columna6]]/Tabla13[[#This Row],[Columna5]]</f>
        <v>253758.25999999998</v>
      </c>
      <c r="D717" s="62">
        <f>+Tabla13[[#This Row],[PRECIO INSTALADOR (IVA INCLUIDO)]]-F717</f>
        <v>241070.34699999998</v>
      </c>
      <c r="E717" s="62">
        <f>+Tabla13[[#This Row],[PRECIO INSTALADOR (IVA INCLUIDO)]]/0.7</f>
        <v>362511.8</v>
      </c>
      <c r="F717" s="61">
        <f>+Tabla13[[#This Row],[PRECIO INSTALADOR (IVA INCLUIDO)]]*5%</f>
        <v>12687.913</v>
      </c>
      <c r="G717" s="12">
        <v>0.85</v>
      </c>
      <c r="H717" s="11">
        <f>Tabla13[[#This Row],[COSTO]]*1.19</f>
        <v>215694.52099999998</v>
      </c>
      <c r="I717" s="10"/>
      <c r="J717" s="9"/>
      <c r="K717" s="70">
        <v>181255.9</v>
      </c>
    </row>
    <row r="718" spans="1:11" ht="12.75" x14ac:dyDescent="0.2">
      <c r="A718" s="75" t="s">
        <v>303</v>
      </c>
      <c r="B718" s="63" t="s">
        <v>302</v>
      </c>
      <c r="C718" s="62">
        <f>+Tabla13[[#This Row],[Columna6]]/Tabla13[[#This Row],[Columna5]]</f>
        <v>253758.25999999998</v>
      </c>
      <c r="D718" s="62">
        <f>+Tabla13[[#This Row],[PRECIO INSTALADOR (IVA INCLUIDO)]]-F718</f>
        <v>241070.34699999998</v>
      </c>
      <c r="E718" s="62">
        <f>+Tabla13[[#This Row],[PRECIO INSTALADOR (IVA INCLUIDO)]]/0.7</f>
        <v>362511.8</v>
      </c>
      <c r="F718" s="61">
        <f>+Tabla13[[#This Row],[PRECIO INSTALADOR (IVA INCLUIDO)]]*5%</f>
        <v>12687.913</v>
      </c>
      <c r="G718" s="12">
        <v>0.85</v>
      </c>
      <c r="H718" s="11">
        <f>Tabla13[[#This Row],[COSTO]]*1.19</f>
        <v>215694.52099999998</v>
      </c>
      <c r="I718" s="10"/>
      <c r="J718" s="9"/>
      <c r="K718" s="70">
        <v>181255.9</v>
      </c>
    </row>
    <row r="719" spans="1:11" ht="12.75" x14ac:dyDescent="0.2">
      <c r="A719" s="75" t="s">
        <v>301</v>
      </c>
      <c r="B719" s="63" t="s">
        <v>300</v>
      </c>
      <c r="C719" s="62">
        <f>+Tabla13[[#This Row],[Columna6]]/Tabla13[[#This Row],[Columna5]]</f>
        <v>253758.25999999998</v>
      </c>
      <c r="D719" s="62">
        <f>+Tabla13[[#This Row],[PRECIO INSTALADOR (IVA INCLUIDO)]]-F719</f>
        <v>241070.34699999998</v>
      </c>
      <c r="E719" s="62">
        <f>+Tabla13[[#This Row],[PRECIO INSTALADOR (IVA INCLUIDO)]]/0.7</f>
        <v>362511.8</v>
      </c>
      <c r="F719" s="61">
        <f>+Tabla13[[#This Row],[PRECIO INSTALADOR (IVA INCLUIDO)]]*5%</f>
        <v>12687.913</v>
      </c>
      <c r="G719" s="12">
        <v>0.85</v>
      </c>
      <c r="H719" s="11">
        <f>Tabla13[[#This Row],[COSTO]]*1.19</f>
        <v>215694.52099999998</v>
      </c>
      <c r="I719" s="10"/>
      <c r="J719" s="9"/>
      <c r="K719" s="70">
        <v>181255.9</v>
      </c>
    </row>
    <row r="720" spans="1:11" ht="12.75" x14ac:dyDescent="0.2">
      <c r="A720" s="75" t="s">
        <v>299</v>
      </c>
      <c r="B720" s="63" t="s">
        <v>298</v>
      </c>
      <c r="C720" s="62">
        <f>+Tabla13[[#This Row],[Columna6]]/Tabla13[[#This Row],[Columna5]]</f>
        <v>253758.25999999998</v>
      </c>
      <c r="D720" s="62">
        <f>+Tabla13[[#This Row],[PRECIO INSTALADOR (IVA INCLUIDO)]]-F720</f>
        <v>241070.34699999998</v>
      </c>
      <c r="E720" s="62">
        <f>+Tabla13[[#This Row],[PRECIO INSTALADOR (IVA INCLUIDO)]]/0.7</f>
        <v>362511.8</v>
      </c>
      <c r="F720" s="61">
        <f>+Tabla13[[#This Row],[PRECIO INSTALADOR (IVA INCLUIDO)]]*5%</f>
        <v>12687.913</v>
      </c>
      <c r="G720" s="12">
        <v>0.85</v>
      </c>
      <c r="H720" s="11">
        <f>Tabla13[[#This Row],[COSTO]]*1.19</f>
        <v>215694.52099999998</v>
      </c>
      <c r="I720" s="10"/>
      <c r="J720" s="9"/>
      <c r="K720" s="70">
        <v>181255.9</v>
      </c>
    </row>
    <row r="721" spans="1:11" ht="12.75" x14ac:dyDescent="0.2">
      <c r="A721" s="75" t="s">
        <v>297</v>
      </c>
      <c r="B721" s="63" t="s">
        <v>296</v>
      </c>
      <c r="C721" s="62">
        <f>+Tabla13[[#This Row],[Columna6]]/Tabla13[[#This Row],[Columna5]]</f>
        <v>263101.86</v>
      </c>
      <c r="D721" s="62">
        <f>+Tabla13[[#This Row],[PRECIO INSTALADOR (IVA INCLUIDO)]]-F721</f>
        <v>249946.76699999999</v>
      </c>
      <c r="E721" s="62">
        <f>+Tabla13[[#This Row],[PRECIO INSTALADOR (IVA INCLUIDO)]]/0.7</f>
        <v>375859.8</v>
      </c>
      <c r="F721" s="61">
        <f>+Tabla13[[#This Row],[PRECIO INSTALADOR (IVA INCLUIDO)]]*5%</f>
        <v>13155.093000000001</v>
      </c>
      <c r="G721" s="12">
        <v>0.85</v>
      </c>
      <c r="H721" s="11">
        <f>Tabla13[[#This Row],[COSTO]]*1.19</f>
        <v>223636.58099999998</v>
      </c>
      <c r="I721" s="10"/>
      <c r="J721" s="9"/>
      <c r="K721" s="70">
        <v>187929.9</v>
      </c>
    </row>
    <row r="722" spans="1:11" ht="12.75" x14ac:dyDescent="0.2">
      <c r="A722" s="80"/>
      <c r="B722" s="79" t="s">
        <v>295</v>
      </c>
      <c r="C722" s="78"/>
      <c r="D722" s="78"/>
      <c r="E722" s="78"/>
      <c r="F722" s="77">
        <f>+Tabla13[[#This Row],[PRECIO INSTALADOR (IVA INCLUIDO)]]*5%</f>
        <v>0</v>
      </c>
      <c r="G722" s="12">
        <v>0.85</v>
      </c>
      <c r="H722" s="11">
        <f>Tabla13[[#This Row],[COSTO]]*1.19</f>
        <v>0</v>
      </c>
      <c r="I722" s="10"/>
      <c r="J722" s="9"/>
      <c r="K722" s="70"/>
    </row>
    <row r="723" spans="1:11" ht="12.75" x14ac:dyDescent="0.2">
      <c r="A723" s="76"/>
      <c r="B723" s="69" t="s">
        <v>294</v>
      </c>
      <c r="C723" s="68"/>
      <c r="D723" s="68"/>
      <c r="E723" s="68"/>
      <c r="F723" s="67">
        <f>+Tabla13[[#This Row],[PRECIO INSTALADOR (IVA INCLUIDO)]]*5%</f>
        <v>0</v>
      </c>
      <c r="G723" s="12">
        <v>0.85</v>
      </c>
      <c r="H723" s="11">
        <f>Tabla13[[#This Row],[COSTO]]*1.19</f>
        <v>0</v>
      </c>
      <c r="I723" s="10"/>
      <c r="J723" s="9"/>
      <c r="K723" s="70"/>
    </row>
    <row r="724" spans="1:11" ht="12.75" x14ac:dyDescent="0.2">
      <c r="A724" s="82"/>
      <c r="B724" s="64" t="s">
        <v>293</v>
      </c>
      <c r="C724" s="81"/>
      <c r="D724" s="81"/>
      <c r="E724" s="81"/>
      <c r="F724" s="61">
        <f>+Tabla13[[#This Row],[PRECIO INSTALADOR (IVA INCLUIDO)]]*5%</f>
        <v>0</v>
      </c>
      <c r="G724" s="12">
        <v>0.85</v>
      </c>
      <c r="H724" s="11" t="e">
        <f>Tabla13[[#This Row],[COSTO]]*1.19</f>
        <v>#VALUE!</v>
      </c>
      <c r="I724" s="10"/>
      <c r="J724" s="9"/>
      <c r="K724" s="70" t="s">
        <v>261</v>
      </c>
    </row>
    <row r="725" spans="1:11" ht="12.75" x14ac:dyDescent="0.2">
      <c r="A725" s="75" t="s">
        <v>292</v>
      </c>
      <c r="B725" s="63" t="s">
        <v>291</v>
      </c>
      <c r="C725" s="62">
        <f>+Tabla13[[#This Row],[Columna6]]/Tabla13[[#This Row],[Columna5]]</f>
        <v>33487.86</v>
      </c>
      <c r="D725" s="62">
        <f>+Tabla13[[#This Row],[PRECIO INSTALADOR (IVA INCLUIDO)]]-F725</f>
        <v>31813.467000000001</v>
      </c>
      <c r="E725" s="62">
        <f>+Tabla13[[#This Row],[PRECIO INSTALADOR (IVA INCLUIDO)]]/0.7</f>
        <v>47839.8</v>
      </c>
      <c r="F725" s="61">
        <f>+Tabla13[[#This Row],[PRECIO INSTALADOR (IVA INCLUIDO)]]*5%</f>
        <v>1674.393</v>
      </c>
      <c r="G725" s="12">
        <v>0.85</v>
      </c>
      <c r="H725" s="11">
        <f>Tabla13[[#This Row],[COSTO]]*1.19</f>
        <v>28464.681</v>
      </c>
      <c r="I725" s="10"/>
      <c r="J725" s="9"/>
      <c r="K725" s="70">
        <v>23919.9</v>
      </c>
    </row>
    <row r="726" spans="1:11" ht="12.75" x14ac:dyDescent="0.2">
      <c r="A726" s="75" t="s">
        <v>290</v>
      </c>
      <c r="B726" s="63" t="s">
        <v>289</v>
      </c>
      <c r="C726" s="62">
        <f>+Tabla13[[#This Row],[Columna6]]/Tabla13[[#This Row],[Columna5]]</f>
        <v>38954.86</v>
      </c>
      <c r="D726" s="62">
        <f>+Tabla13[[#This Row],[PRECIO INSTALADOR (IVA INCLUIDO)]]-F726</f>
        <v>37007.116999999998</v>
      </c>
      <c r="E726" s="62">
        <f>+Tabla13[[#This Row],[PRECIO INSTALADOR (IVA INCLUIDO)]]/0.7</f>
        <v>55649.8</v>
      </c>
      <c r="F726" s="61">
        <f>+Tabla13[[#This Row],[PRECIO INSTALADOR (IVA INCLUIDO)]]*5%</f>
        <v>1947.7430000000002</v>
      </c>
      <c r="G726" s="12">
        <v>0.85</v>
      </c>
      <c r="H726" s="11">
        <f>Tabla13[[#This Row],[COSTO]]*1.19</f>
        <v>33111.631000000001</v>
      </c>
      <c r="I726" s="10"/>
      <c r="J726" s="9"/>
      <c r="K726" s="70">
        <v>27824.9</v>
      </c>
    </row>
    <row r="727" spans="1:11" ht="12.75" x14ac:dyDescent="0.2">
      <c r="A727" s="82"/>
      <c r="B727" s="64">
        <v>2044</v>
      </c>
      <c r="C727" s="81"/>
      <c r="D727" s="81"/>
      <c r="E727" s="81"/>
      <c r="F727" s="61">
        <f>+Tabla13[[#This Row],[PRECIO INSTALADOR (IVA INCLUIDO)]]*5%</f>
        <v>0</v>
      </c>
      <c r="G727" s="12">
        <v>0.85</v>
      </c>
      <c r="H727" s="11" t="e">
        <f>Tabla13[[#This Row],[COSTO]]*1.19</f>
        <v>#VALUE!</v>
      </c>
      <c r="I727" s="10"/>
      <c r="J727" s="9"/>
      <c r="K727" s="70" t="s">
        <v>261</v>
      </c>
    </row>
    <row r="728" spans="1:11" ht="12.75" x14ac:dyDescent="0.2">
      <c r="A728" s="75" t="s">
        <v>288</v>
      </c>
      <c r="B728" s="63" t="s">
        <v>287</v>
      </c>
      <c r="C728" s="62">
        <f>+Tabla13[[#This Row],[Columna6]]/Tabla13[[#This Row],[Columna5]]</f>
        <v>42135.66</v>
      </c>
      <c r="D728" s="62">
        <f>+Tabla13[[#This Row],[PRECIO INSTALADOR (IVA INCLUIDO)]]-F728</f>
        <v>40028.877</v>
      </c>
      <c r="E728" s="62">
        <f>+Tabla13[[#This Row],[PRECIO INSTALADOR (IVA INCLUIDO)]]/0.7</f>
        <v>60193.80000000001</v>
      </c>
      <c r="F728" s="61">
        <f>+Tabla13[[#This Row],[PRECIO INSTALADOR (IVA INCLUIDO)]]*5%</f>
        <v>2106.7830000000004</v>
      </c>
      <c r="G728" s="12">
        <v>0.85</v>
      </c>
      <c r="H728" s="11">
        <f>Tabla13[[#This Row],[COSTO]]*1.19</f>
        <v>35815.311000000002</v>
      </c>
      <c r="I728" s="10"/>
      <c r="J728" s="9"/>
      <c r="K728" s="70">
        <v>30096.9</v>
      </c>
    </row>
    <row r="729" spans="1:11" ht="12.75" x14ac:dyDescent="0.2">
      <c r="A729" s="75" t="s">
        <v>286</v>
      </c>
      <c r="B729" s="63" t="s">
        <v>285</v>
      </c>
      <c r="C729" s="62">
        <f>+Tabla13[[#This Row],[Columna6]]/Tabla13[[#This Row],[Columna5]]</f>
        <v>45018.26</v>
      </c>
      <c r="D729" s="62">
        <f>+Tabla13[[#This Row],[PRECIO INSTALADOR (IVA INCLUIDO)]]-F729</f>
        <v>42767.347000000002</v>
      </c>
      <c r="E729" s="62">
        <f>+Tabla13[[#This Row],[PRECIO INSTALADOR (IVA INCLUIDO)]]/0.7</f>
        <v>64311.80000000001</v>
      </c>
      <c r="F729" s="61">
        <f>+Tabla13[[#This Row],[PRECIO INSTALADOR (IVA INCLUIDO)]]*5%</f>
        <v>2250.913</v>
      </c>
      <c r="G729" s="12">
        <v>0.85</v>
      </c>
      <c r="H729" s="11">
        <f>Tabla13[[#This Row],[COSTO]]*1.19</f>
        <v>38265.521000000001</v>
      </c>
      <c r="I729" s="10"/>
      <c r="J729" s="9"/>
      <c r="K729" s="70">
        <v>32155.9</v>
      </c>
    </row>
    <row r="730" spans="1:11" ht="12.75" x14ac:dyDescent="0.2">
      <c r="A730" s="75" t="s">
        <v>284</v>
      </c>
      <c r="B730" s="63" t="s">
        <v>283</v>
      </c>
      <c r="C730" s="62">
        <f>+Tabla13[[#This Row],[Columna6]]/Tabla13[[#This Row],[Columna5]]</f>
        <v>48696.06</v>
      </c>
      <c r="D730" s="62">
        <f>+Tabla13[[#This Row],[PRECIO INSTALADOR (IVA INCLUIDO)]]-F730</f>
        <v>46261.256999999998</v>
      </c>
      <c r="E730" s="62">
        <f>+Tabla13[[#This Row],[PRECIO INSTALADOR (IVA INCLUIDO)]]/0.7</f>
        <v>69565.8</v>
      </c>
      <c r="F730" s="61">
        <f>+Tabla13[[#This Row],[PRECIO INSTALADOR (IVA INCLUIDO)]]*5%</f>
        <v>2434.8029999999999</v>
      </c>
      <c r="G730" s="12">
        <v>0.85</v>
      </c>
      <c r="H730" s="11">
        <f>Tabla13[[#This Row],[COSTO]]*1.19</f>
        <v>41391.650999999998</v>
      </c>
      <c r="I730" s="10"/>
      <c r="J730" s="9"/>
      <c r="K730" s="70">
        <v>34782.9</v>
      </c>
    </row>
    <row r="731" spans="1:11" ht="12.75" x14ac:dyDescent="0.2">
      <c r="A731" s="82"/>
      <c r="B731" s="64">
        <v>2045</v>
      </c>
      <c r="C731" s="81"/>
      <c r="D731" s="81"/>
      <c r="E731" s="81"/>
      <c r="F731" s="61">
        <f>+Tabla13[[#This Row],[PRECIO INSTALADOR (IVA INCLUIDO)]]*5%</f>
        <v>0</v>
      </c>
      <c r="G731" s="12">
        <v>0.85</v>
      </c>
      <c r="H731" s="11" t="e">
        <f>Tabla13[[#This Row],[COSTO]]*1.19</f>
        <v>#VALUE!</v>
      </c>
      <c r="I731" s="10"/>
      <c r="J731" s="9"/>
      <c r="K731" s="70" t="s">
        <v>261</v>
      </c>
    </row>
    <row r="732" spans="1:11" ht="12.75" x14ac:dyDescent="0.2">
      <c r="A732" s="75" t="s">
        <v>282</v>
      </c>
      <c r="B732" s="63" t="s">
        <v>281</v>
      </c>
      <c r="C732" s="62">
        <f>+Tabla13[[#This Row],[Columna6]]/Tabla13[[#This Row],[Columna5]]</f>
        <v>43328.46</v>
      </c>
      <c r="D732" s="62">
        <f>+Tabla13[[#This Row],[PRECIO INSTALADOR (IVA INCLUIDO)]]-F732</f>
        <v>41162.036999999997</v>
      </c>
      <c r="E732" s="62">
        <f>+Tabla13[[#This Row],[PRECIO INSTALADOR (IVA INCLUIDO)]]/0.7</f>
        <v>61897.8</v>
      </c>
      <c r="F732" s="61">
        <f>+Tabla13[[#This Row],[PRECIO INSTALADOR (IVA INCLUIDO)]]*5%</f>
        <v>2166.4230000000002</v>
      </c>
      <c r="G732" s="12">
        <v>0.85</v>
      </c>
      <c r="H732" s="11">
        <f>Tabla13[[#This Row],[COSTO]]*1.19</f>
        <v>36829.190999999999</v>
      </c>
      <c r="I732" s="10"/>
      <c r="J732" s="9"/>
      <c r="K732" s="70">
        <v>30948.9</v>
      </c>
    </row>
    <row r="733" spans="1:11" ht="12.75" x14ac:dyDescent="0.2">
      <c r="A733" s="75" t="s">
        <v>280</v>
      </c>
      <c r="B733" s="63" t="s">
        <v>279</v>
      </c>
      <c r="C733" s="62">
        <f>+Tabla13[[#This Row],[Columna6]]/Tabla13[[#This Row],[Columna5]]</f>
        <v>46111.66</v>
      </c>
      <c r="D733" s="62">
        <f>+Tabla13[[#This Row],[PRECIO INSTALADOR (IVA INCLUIDO)]]-F733</f>
        <v>43806.077000000005</v>
      </c>
      <c r="E733" s="62">
        <f>+Tabla13[[#This Row],[PRECIO INSTALADOR (IVA INCLUIDO)]]/0.7</f>
        <v>65873.8</v>
      </c>
      <c r="F733" s="61">
        <f>+Tabla13[[#This Row],[PRECIO INSTALADOR (IVA INCLUIDO)]]*5%</f>
        <v>2305.5830000000001</v>
      </c>
      <c r="G733" s="12">
        <v>0.85</v>
      </c>
      <c r="H733" s="11">
        <f>Tabla13[[#This Row],[COSTO]]*1.19</f>
        <v>39194.911</v>
      </c>
      <c r="I733" s="10"/>
      <c r="J733" s="9"/>
      <c r="K733" s="70">
        <v>32936.9</v>
      </c>
    </row>
    <row r="734" spans="1:11" ht="12.75" x14ac:dyDescent="0.2">
      <c r="A734" s="82"/>
      <c r="B734" s="64">
        <v>500</v>
      </c>
      <c r="C734" s="81"/>
      <c r="D734" s="81"/>
      <c r="E734" s="81"/>
      <c r="F734" s="61">
        <f>+Tabla13[[#This Row],[PRECIO INSTALADOR (IVA INCLUIDO)]]*5%</f>
        <v>0</v>
      </c>
      <c r="G734" s="12">
        <v>0.85</v>
      </c>
      <c r="H734" s="11" t="e">
        <f>Tabla13[[#This Row],[COSTO]]*1.19</f>
        <v>#VALUE!</v>
      </c>
      <c r="I734" s="10"/>
      <c r="J734" s="9"/>
      <c r="K734" s="70" t="s">
        <v>261</v>
      </c>
    </row>
    <row r="735" spans="1:11" ht="12.75" x14ac:dyDescent="0.2">
      <c r="A735" s="75" t="s">
        <v>278</v>
      </c>
      <c r="B735" s="63" t="s">
        <v>277</v>
      </c>
      <c r="C735" s="62">
        <f>+Tabla13[[#This Row],[Columna6]]/Tabla13[[#This Row],[Columna5]]</f>
        <v>16987.46</v>
      </c>
      <c r="D735" s="62">
        <f>+Tabla13[[#This Row],[PRECIO INSTALADOR (IVA INCLUIDO)]]-F735</f>
        <v>16138.087</v>
      </c>
      <c r="E735" s="62">
        <f>+Tabla13[[#This Row],[PRECIO INSTALADOR (IVA INCLUIDO)]]/0.7</f>
        <v>24267.8</v>
      </c>
      <c r="F735" s="61">
        <f>+Tabla13[[#This Row],[PRECIO INSTALADOR (IVA INCLUIDO)]]*5%</f>
        <v>849.37300000000005</v>
      </c>
      <c r="G735" s="12">
        <v>0.85</v>
      </c>
      <c r="H735" s="11">
        <f>Tabla13[[#This Row],[COSTO]]*1.19</f>
        <v>14439.340999999999</v>
      </c>
      <c r="I735" s="10"/>
      <c r="J735" s="9"/>
      <c r="K735" s="70">
        <v>12133.9</v>
      </c>
    </row>
    <row r="736" spans="1:11" ht="12.75" x14ac:dyDescent="0.2">
      <c r="A736" s="75" t="s">
        <v>276</v>
      </c>
      <c r="B736" s="63" t="s">
        <v>275</v>
      </c>
      <c r="C736" s="62">
        <f>+Tabla13[[#This Row],[Columna6]]/Tabla13[[#This Row],[Columna5]]</f>
        <v>31400.46</v>
      </c>
      <c r="D736" s="62">
        <f>+Tabla13[[#This Row],[PRECIO INSTALADOR (IVA INCLUIDO)]]-F736</f>
        <v>29830.436999999998</v>
      </c>
      <c r="E736" s="62">
        <f>+Tabla13[[#This Row],[PRECIO INSTALADOR (IVA INCLUIDO)]]/0.7</f>
        <v>44857.8</v>
      </c>
      <c r="F736" s="61">
        <f>+Tabla13[[#This Row],[PRECIO INSTALADOR (IVA INCLUIDO)]]*5%</f>
        <v>1570.0230000000001</v>
      </c>
      <c r="G736" s="12">
        <v>0.85</v>
      </c>
      <c r="H736" s="11">
        <f>Tabla13[[#This Row],[COSTO]]*1.19</f>
        <v>26690.391</v>
      </c>
      <c r="I736" s="10"/>
      <c r="J736" s="9"/>
      <c r="K736" s="70">
        <v>22428.9</v>
      </c>
    </row>
    <row r="737" spans="1:11" ht="12.75" x14ac:dyDescent="0.2">
      <c r="A737" s="75" t="s">
        <v>274</v>
      </c>
      <c r="B737" s="63" t="s">
        <v>273</v>
      </c>
      <c r="C737" s="62">
        <f>+Tabla13[[#This Row],[Columna6]]/Tabla13[[#This Row],[Columna5]]</f>
        <v>20367.060000000001</v>
      </c>
      <c r="D737" s="62">
        <f>+Tabla13[[#This Row],[PRECIO INSTALADOR (IVA INCLUIDO)]]-F737</f>
        <v>19348.707000000002</v>
      </c>
      <c r="E737" s="62">
        <f>+Tabla13[[#This Row],[PRECIO INSTALADOR (IVA INCLUIDO)]]/0.7</f>
        <v>29095.800000000003</v>
      </c>
      <c r="F737" s="61">
        <f>+Tabla13[[#This Row],[PRECIO INSTALADOR (IVA INCLUIDO)]]*5%</f>
        <v>1018.3530000000001</v>
      </c>
      <c r="G737" s="12">
        <v>0.85</v>
      </c>
      <c r="H737" s="11">
        <f>Tabla13[[#This Row],[COSTO]]*1.19</f>
        <v>17312.001</v>
      </c>
      <c r="I737" s="10"/>
      <c r="J737" s="9"/>
      <c r="K737" s="70">
        <v>14547.9</v>
      </c>
    </row>
    <row r="738" spans="1:11" ht="12.75" x14ac:dyDescent="0.2">
      <c r="A738" s="75" t="s">
        <v>272</v>
      </c>
      <c r="B738" s="63" t="s">
        <v>271</v>
      </c>
      <c r="C738" s="62">
        <f>+Tabla13[[#This Row],[Columna6]]/Tabla13[[#This Row],[Columna5]]</f>
        <v>22653.26</v>
      </c>
      <c r="D738" s="62">
        <f>+Tabla13[[#This Row],[PRECIO INSTALADOR (IVA INCLUIDO)]]-F738</f>
        <v>21520.596999999998</v>
      </c>
      <c r="E738" s="62">
        <f>+Tabla13[[#This Row],[PRECIO INSTALADOR (IVA INCLUIDO)]]/0.7</f>
        <v>32361.8</v>
      </c>
      <c r="F738" s="61">
        <f>+Tabla13[[#This Row],[PRECIO INSTALADOR (IVA INCLUIDO)]]*5%</f>
        <v>1132.663</v>
      </c>
      <c r="G738" s="12">
        <v>0.85</v>
      </c>
      <c r="H738" s="11">
        <f>Tabla13[[#This Row],[COSTO]]*1.19</f>
        <v>19255.270999999997</v>
      </c>
      <c r="I738" s="10"/>
      <c r="J738" s="9"/>
      <c r="K738" s="70">
        <v>16180.9</v>
      </c>
    </row>
    <row r="739" spans="1:11" ht="12.75" x14ac:dyDescent="0.2">
      <c r="A739" s="75" t="s">
        <v>270</v>
      </c>
      <c r="B739" s="63" t="s">
        <v>269</v>
      </c>
      <c r="C739" s="62">
        <f>+Tabla13[[#This Row],[Columna6]]/Tabla13[[#This Row],[Columna5]]</f>
        <v>22653.26</v>
      </c>
      <c r="D739" s="62">
        <f>+Tabla13[[#This Row],[PRECIO INSTALADOR (IVA INCLUIDO)]]-F739</f>
        <v>21520.596999999998</v>
      </c>
      <c r="E739" s="62">
        <f>+Tabla13[[#This Row],[PRECIO INSTALADOR (IVA INCLUIDO)]]/0.7</f>
        <v>32361.8</v>
      </c>
      <c r="F739" s="61">
        <f>+Tabla13[[#This Row],[PRECIO INSTALADOR (IVA INCLUIDO)]]*5%</f>
        <v>1132.663</v>
      </c>
      <c r="G739" s="12">
        <v>0.85</v>
      </c>
      <c r="H739" s="11">
        <f>Tabla13[[#This Row],[COSTO]]*1.19</f>
        <v>19255.270999999997</v>
      </c>
      <c r="I739" s="10"/>
      <c r="J739" s="9"/>
      <c r="K739" s="70">
        <v>16180.9</v>
      </c>
    </row>
    <row r="740" spans="1:11" ht="12.75" x14ac:dyDescent="0.2">
      <c r="A740" s="75" t="s">
        <v>268</v>
      </c>
      <c r="B740" s="63" t="s">
        <v>267</v>
      </c>
      <c r="C740" s="62">
        <f>+Tabla13[[#This Row],[Columna6]]/Tabla13[[#This Row],[Columna5]]</f>
        <v>22653.26</v>
      </c>
      <c r="D740" s="62">
        <f>+Tabla13[[#This Row],[PRECIO INSTALADOR (IVA INCLUIDO)]]-F740</f>
        <v>21520.596999999998</v>
      </c>
      <c r="E740" s="62">
        <f>+Tabla13[[#This Row],[PRECIO INSTALADOR (IVA INCLUIDO)]]/0.7</f>
        <v>32361.8</v>
      </c>
      <c r="F740" s="61">
        <f>+Tabla13[[#This Row],[PRECIO INSTALADOR (IVA INCLUIDO)]]*5%</f>
        <v>1132.663</v>
      </c>
      <c r="G740" s="12">
        <v>0.85</v>
      </c>
      <c r="H740" s="11">
        <f>Tabla13[[#This Row],[COSTO]]*1.19</f>
        <v>19255.270999999997</v>
      </c>
      <c r="I740" s="10"/>
      <c r="J740" s="9"/>
      <c r="K740" s="70">
        <v>16180.9</v>
      </c>
    </row>
    <row r="741" spans="1:11" ht="12.75" x14ac:dyDescent="0.2">
      <c r="A741" s="75" t="s">
        <v>266</v>
      </c>
      <c r="B741" s="63" t="s">
        <v>265</v>
      </c>
      <c r="C741" s="62">
        <f>+Tabla13[[#This Row],[Columna6]]/Tabla13[[#This Row],[Columna5]]</f>
        <v>34084.26</v>
      </c>
      <c r="D741" s="62">
        <f>+Tabla13[[#This Row],[PRECIO INSTALADOR (IVA INCLUIDO)]]-F741</f>
        <v>32380.047000000002</v>
      </c>
      <c r="E741" s="62">
        <f>+Tabla13[[#This Row],[PRECIO INSTALADOR (IVA INCLUIDO)]]/0.7</f>
        <v>48691.8</v>
      </c>
      <c r="F741" s="61">
        <f>+Tabla13[[#This Row],[PRECIO INSTALADOR (IVA INCLUIDO)]]*5%</f>
        <v>1704.2130000000002</v>
      </c>
      <c r="G741" s="12">
        <v>0.85</v>
      </c>
      <c r="H741" s="11">
        <f>Tabla13[[#This Row],[COSTO]]*1.19</f>
        <v>28971.620999999999</v>
      </c>
      <c r="I741" s="10"/>
      <c r="J741" s="9"/>
      <c r="K741" s="70">
        <v>24345.9</v>
      </c>
    </row>
    <row r="742" spans="1:11" ht="12.75" x14ac:dyDescent="0.2">
      <c r="A742" s="75" t="s">
        <v>264</v>
      </c>
      <c r="B742" s="63" t="s">
        <v>263</v>
      </c>
      <c r="C742" s="62">
        <f>+Tabla13[[#This Row],[Columna6]]/Tabla13[[#This Row],[Columna5]]</f>
        <v>22653.26</v>
      </c>
      <c r="D742" s="62">
        <f>+Tabla13[[#This Row],[PRECIO INSTALADOR (IVA INCLUIDO)]]-F742</f>
        <v>21520.596999999998</v>
      </c>
      <c r="E742" s="62">
        <f>+Tabla13[[#This Row],[PRECIO INSTALADOR (IVA INCLUIDO)]]/0.7</f>
        <v>32361.8</v>
      </c>
      <c r="F742" s="61">
        <f>+Tabla13[[#This Row],[PRECIO INSTALADOR (IVA INCLUIDO)]]*5%</f>
        <v>1132.663</v>
      </c>
      <c r="G742" s="12">
        <v>0.85</v>
      </c>
      <c r="H742" s="11">
        <f>Tabla13[[#This Row],[COSTO]]*1.19</f>
        <v>19255.270999999997</v>
      </c>
      <c r="I742" s="10"/>
      <c r="J742" s="9"/>
      <c r="K742" s="66">
        <v>16180.9</v>
      </c>
    </row>
    <row r="743" spans="1:11" ht="12.75" x14ac:dyDescent="0.2">
      <c r="A743" s="82"/>
      <c r="B743" s="64" t="s">
        <v>262</v>
      </c>
      <c r="C743" s="81"/>
      <c r="D743" s="81"/>
      <c r="E743" s="81"/>
      <c r="F743" s="61">
        <f>+Tabla13[[#This Row],[PRECIO INSTALADOR (IVA INCLUIDO)]]*5%</f>
        <v>0</v>
      </c>
      <c r="G743" s="12">
        <v>0.85</v>
      </c>
      <c r="H743" s="11" t="e">
        <f>Tabla13[[#This Row],[COSTO]]*1.19</f>
        <v>#VALUE!</v>
      </c>
      <c r="I743" s="10"/>
      <c r="J743" s="9"/>
      <c r="K743" s="66" t="s">
        <v>261</v>
      </c>
    </row>
    <row r="744" spans="1:11" ht="12.75" x14ac:dyDescent="0.2">
      <c r="A744" s="75" t="s">
        <v>260</v>
      </c>
      <c r="B744" s="63" t="s">
        <v>259</v>
      </c>
      <c r="C744" s="62">
        <f>+Tabla13[[#This Row],[Columna6]]/Tabla13[[#This Row],[Columna5]]</f>
        <v>9731.26</v>
      </c>
      <c r="D744" s="62">
        <f>+Tabla13[[#This Row],[PRECIO INSTALADOR (IVA INCLUIDO)]]-F744</f>
        <v>9244.6970000000001</v>
      </c>
      <c r="E744" s="62">
        <f>+Tabla13[[#This Row],[PRECIO INSTALADOR (IVA INCLUIDO)]]/0.7</f>
        <v>13901.800000000001</v>
      </c>
      <c r="F744" s="61">
        <f>+Tabla13[[#This Row],[PRECIO INSTALADOR (IVA INCLUIDO)]]*5%</f>
        <v>486.56300000000005</v>
      </c>
      <c r="G744" s="12">
        <v>0.85</v>
      </c>
      <c r="H744" s="11">
        <f>Tabla13[[#This Row],[COSTO]]*1.19</f>
        <v>8271.5709999999999</v>
      </c>
      <c r="I744" s="10"/>
      <c r="J744" s="9"/>
      <c r="K744" s="66">
        <v>6950.9</v>
      </c>
    </row>
    <row r="745" spans="1:11" ht="12.75" x14ac:dyDescent="0.2">
      <c r="A745" s="75" t="s">
        <v>258</v>
      </c>
      <c r="B745" s="63" t="s">
        <v>257</v>
      </c>
      <c r="C745" s="62">
        <f>+Tabla13[[#This Row],[Columna6]]/Tabla13[[#This Row],[Columna5]]</f>
        <v>10924.06</v>
      </c>
      <c r="D745" s="62">
        <f>+Tabla13[[#This Row],[PRECIO INSTALADOR (IVA INCLUIDO)]]-F745</f>
        <v>10377.857</v>
      </c>
      <c r="E745" s="62">
        <f>+Tabla13[[#This Row],[PRECIO INSTALADOR (IVA INCLUIDO)]]/0.7</f>
        <v>15605.800000000001</v>
      </c>
      <c r="F745" s="61">
        <f>+Tabla13[[#This Row],[PRECIO INSTALADOR (IVA INCLUIDO)]]*5%</f>
        <v>546.20299999999997</v>
      </c>
      <c r="G745" s="12">
        <v>0.85</v>
      </c>
      <c r="H745" s="11">
        <f>Tabla13[[#This Row],[COSTO]]*1.19</f>
        <v>9285.4509999999991</v>
      </c>
      <c r="I745" s="10"/>
      <c r="J745" s="9"/>
      <c r="K745" s="66">
        <v>7802.9</v>
      </c>
    </row>
    <row r="746" spans="1:11" ht="12.75" x14ac:dyDescent="0.2">
      <c r="A746" s="75" t="s">
        <v>256</v>
      </c>
      <c r="B746" s="63" t="s">
        <v>255</v>
      </c>
      <c r="C746" s="62">
        <f>+Tabla13[[#This Row],[Columna6]]/Tabla13[[#This Row],[Columna5]]</f>
        <v>10924.06</v>
      </c>
      <c r="D746" s="62">
        <f>+Tabla13[[#This Row],[PRECIO INSTALADOR (IVA INCLUIDO)]]-F746</f>
        <v>10377.857</v>
      </c>
      <c r="E746" s="62">
        <f>+Tabla13[[#This Row],[PRECIO INSTALADOR (IVA INCLUIDO)]]/0.7</f>
        <v>15605.800000000001</v>
      </c>
      <c r="F746" s="61">
        <f>+Tabla13[[#This Row],[PRECIO INSTALADOR (IVA INCLUIDO)]]*5%</f>
        <v>546.20299999999997</v>
      </c>
      <c r="G746" s="12">
        <v>0.85</v>
      </c>
      <c r="H746" s="11">
        <f>Tabla13[[#This Row],[COSTO]]*1.19</f>
        <v>9285.4509999999991</v>
      </c>
      <c r="I746" s="10"/>
      <c r="J746" s="9"/>
      <c r="K746" s="66">
        <v>7802.9</v>
      </c>
    </row>
    <row r="747" spans="1:11" ht="12.75" x14ac:dyDescent="0.2">
      <c r="A747" s="75" t="s">
        <v>254</v>
      </c>
      <c r="B747" s="63" t="s">
        <v>253</v>
      </c>
      <c r="C747" s="62">
        <f>+Tabla13[[#This Row],[Columna6]]/Tabla13[[#This Row],[Columna5]]</f>
        <v>13806.659999999998</v>
      </c>
      <c r="D747" s="62">
        <f>+Tabla13[[#This Row],[PRECIO INSTALADOR (IVA INCLUIDO)]]-F747</f>
        <v>13116.326999999997</v>
      </c>
      <c r="E747" s="62">
        <f>+Tabla13[[#This Row],[PRECIO INSTALADOR (IVA INCLUIDO)]]/0.7</f>
        <v>19723.8</v>
      </c>
      <c r="F747" s="61">
        <f>+Tabla13[[#This Row],[PRECIO INSTALADOR (IVA INCLUIDO)]]*5%</f>
        <v>690.33299999999997</v>
      </c>
      <c r="G747" s="12">
        <v>0.85</v>
      </c>
      <c r="H747" s="11">
        <f>Tabla13[[#This Row],[COSTO]]*1.19</f>
        <v>11735.660999999998</v>
      </c>
      <c r="I747" s="10"/>
      <c r="J747" s="9"/>
      <c r="K747" s="66">
        <v>9861.9</v>
      </c>
    </row>
    <row r="748" spans="1:11" ht="12.75" x14ac:dyDescent="0.2">
      <c r="A748" s="75" t="s">
        <v>252</v>
      </c>
      <c r="B748" s="63" t="s">
        <v>251</v>
      </c>
      <c r="C748" s="62">
        <f>+Tabla13[[#This Row],[Columna6]]/Tabla13[[#This Row],[Columna5]]</f>
        <v>12315.66</v>
      </c>
      <c r="D748" s="62">
        <f>+Tabla13[[#This Row],[PRECIO INSTALADOR (IVA INCLUIDO)]]-F748</f>
        <v>11699.877</v>
      </c>
      <c r="E748" s="62">
        <f>+Tabla13[[#This Row],[PRECIO INSTALADOR (IVA INCLUIDO)]]/0.7</f>
        <v>17593.8</v>
      </c>
      <c r="F748" s="61">
        <f>+Tabla13[[#This Row],[PRECIO INSTALADOR (IVA INCLUIDO)]]*5%</f>
        <v>615.78300000000002</v>
      </c>
      <c r="G748" s="12">
        <v>0.85</v>
      </c>
      <c r="H748" s="11">
        <f>Tabla13[[#This Row],[COSTO]]*1.19</f>
        <v>10468.311</v>
      </c>
      <c r="I748" s="10"/>
      <c r="J748" s="9"/>
      <c r="K748" s="66">
        <v>8796.9</v>
      </c>
    </row>
    <row r="749" spans="1:11" ht="12.75" x14ac:dyDescent="0.2">
      <c r="A749" s="75" t="s">
        <v>250</v>
      </c>
      <c r="B749" s="63" t="s">
        <v>249</v>
      </c>
      <c r="C749" s="62">
        <f>+Tabla13[[#This Row],[Columna6]]/Tabla13[[#This Row],[Columna5]]</f>
        <v>15297.659999999998</v>
      </c>
      <c r="D749" s="62">
        <f>+Tabla13[[#This Row],[PRECIO INSTALADOR (IVA INCLUIDO)]]-F749</f>
        <v>14532.776999999998</v>
      </c>
      <c r="E749" s="62">
        <f>+Tabla13[[#This Row],[PRECIO INSTALADOR (IVA INCLUIDO)]]/0.7</f>
        <v>21853.8</v>
      </c>
      <c r="F749" s="61">
        <f>+Tabla13[[#This Row],[PRECIO INSTALADOR (IVA INCLUIDO)]]*5%</f>
        <v>764.88299999999992</v>
      </c>
      <c r="G749" s="12">
        <v>0.85</v>
      </c>
      <c r="H749" s="11">
        <f>Tabla13[[#This Row],[COSTO]]*1.19</f>
        <v>13003.010999999999</v>
      </c>
      <c r="I749" s="10"/>
      <c r="J749" s="9"/>
      <c r="K749" s="66">
        <v>10926.9</v>
      </c>
    </row>
    <row r="750" spans="1:11" ht="12.75" x14ac:dyDescent="0.2">
      <c r="A750" s="74"/>
      <c r="B750" s="73" t="s">
        <v>248</v>
      </c>
      <c r="C750" s="72"/>
      <c r="D750" s="72"/>
      <c r="E750" s="72"/>
      <c r="F750" s="71">
        <f>+Tabla13[[#This Row],[PRECIO INSTALADOR (IVA INCLUIDO)]]*5%</f>
        <v>0</v>
      </c>
      <c r="G750" s="12">
        <v>0.85</v>
      </c>
      <c r="H750" s="11">
        <f>Tabla13[[#This Row],[COSTO]]*1.19</f>
        <v>0</v>
      </c>
      <c r="I750" s="10"/>
      <c r="J750" s="9"/>
      <c r="K750" s="66"/>
    </row>
    <row r="751" spans="1:11" ht="12.75" x14ac:dyDescent="0.2">
      <c r="A751" s="75" t="s">
        <v>247</v>
      </c>
      <c r="B751" s="63" t="s">
        <v>246</v>
      </c>
      <c r="C751" s="62">
        <f>+Tabla13[[#This Row],[Columna6]]/Tabla13[[#This Row],[Columna5]]</f>
        <v>5854.6599999999989</v>
      </c>
      <c r="D751" s="62">
        <f>+Tabla13[[#This Row],[PRECIO INSTALADOR (IVA INCLUIDO)]]-F751</f>
        <v>5561.9269999999988</v>
      </c>
      <c r="E751" s="62">
        <f>+Tabla13[[#This Row],[PRECIO INSTALADOR (IVA INCLUIDO)]]/0.7</f>
        <v>8363.7999999999993</v>
      </c>
      <c r="F751" s="61">
        <f>+Tabla13[[#This Row],[PRECIO INSTALADOR (IVA INCLUIDO)]]*5%</f>
        <v>292.73299999999995</v>
      </c>
      <c r="G751" s="12">
        <v>0.85</v>
      </c>
      <c r="H751" s="11">
        <f>Tabla13[[#This Row],[COSTO]]*1.19</f>
        <v>4976.4609999999993</v>
      </c>
      <c r="I751" s="10"/>
      <c r="J751" s="9"/>
      <c r="K751" s="66">
        <v>4181.8999999999996</v>
      </c>
    </row>
    <row r="752" spans="1:11" ht="12.75" x14ac:dyDescent="0.2">
      <c r="A752" s="75" t="s">
        <v>245</v>
      </c>
      <c r="B752" s="63" t="s">
        <v>244</v>
      </c>
      <c r="C752" s="62">
        <f>+Tabla13[[#This Row],[Columna6]]/Tabla13[[#This Row],[Columna5]]</f>
        <v>5854.6599999999989</v>
      </c>
      <c r="D752" s="62">
        <f>+Tabla13[[#This Row],[PRECIO INSTALADOR (IVA INCLUIDO)]]-F752</f>
        <v>5561.9269999999988</v>
      </c>
      <c r="E752" s="62">
        <f>+Tabla13[[#This Row],[PRECIO INSTALADOR (IVA INCLUIDO)]]/0.7</f>
        <v>8363.7999999999993</v>
      </c>
      <c r="F752" s="61">
        <f>+Tabla13[[#This Row],[PRECIO INSTALADOR (IVA INCLUIDO)]]*5%</f>
        <v>292.73299999999995</v>
      </c>
      <c r="G752" s="12">
        <v>0.85</v>
      </c>
      <c r="H752" s="11">
        <f>Tabla13[[#This Row],[COSTO]]*1.19</f>
        <v>4976.4609999999993</v>
      </c>
      <c r="I752" s="10"/>
      <c r="J752" s="9"/>
      <c r="K752" s="70">
        <v>4181.8999999999996</v>
      </c>
    </row>
    <row r="753" spans="1:11" ht="12.75" x14ac:dyDescent="0.2">
      <c r="A753" s="75" t="s">
        <v>243</v>
      </c>
      <c r="B753" s="63" t="s">
        <v>242</v>
      </c>
      <c r="C753" s="62">
        <f>+Tabla13[[#This Row],[Columna6]]/Tabla13[[#This Row],[Columna5]]</f>
        <v>5854.6599999999989</v>
      </c>
      <c r="D753" s="62">
        <f>+Tabla13[[#This Row],[PRECIO INSTALADOR (IVA INCLUIDO)]]-F753</f>
        <v>5561.9269999999988</v>
      </c>
      <c r="E753" s="62">
        <f>+Tabla13[[#This Row],[PRECIO INSTALADOR (IVA INCLUIDO)]]/0.7</f>
        <v>8363.7999999999993</v>
      </c>
      <c r="F753" s="61">
        <f>+Tabla13[[#This Row],[PRECIO INSTALADOR (IVA INCLUIDO)]]*5%</f>
        <v>292.73299999999995</v>
      </c>
      <c r="G753" s="12">
        <v>0.85</v>
      </c>
      <c r="H753" s="11">
        <f>Tabla13[[#This Row],[COSTO]]*1.19</f>
        <v>4976.4609999999993</v>
      </c>
      <c r="I753" s="10"/>
      <c r="J753" s="9"/>
      <c r="K753" s="70">
        <v>4181.8999999999996</v>
      </c>
    </row>
    <row r="754" spans="1:11" ht="12.75" x14ac:dyDescent="0.2">
      <c r="A754" s="75" t="s">
        <v>241</v>
      </c>
      <c r="B754" s="63" t="s">
        <v>240</v>
      </c>
      <c r="C754" s="62">
        <f>+Tabla13[[#This Row],[Columna6]]/Tabla13[[#This Row],[Columna5]]</f>
        <v>5854.6599999999989</v>
      </c>
      <c r="D754" s="62">
        <f>+Tabla13[[#This Row],[PRECIO INSTALADOR (IVA INCLUIDO)]]-F754</f>
        <v>5561.9269999999988</v>
      </c>
      <c r="E754" s="62">
        <f>+Tabla13[[#This Row],[PRECIO INSTALADOR (IVA INCLUIDO)]]/0.7</f>
        <v>8363.7999999999993</v>
      </c>
      <c r="F754" s="61">
        <f>+Tabla13[[#This Row],[PRECIO INSTALADOR (IVA INCLUIDO)]]*5%</f>
        <v>292.73299999999995</v>
      </c>
      <c r="G754" s="12">
        <v>0.85</v>
      </c>
      <c r="H754" s="11">
        <f>Tabla13[[#This Row],[COSTO]]*1.19</f>
        <v>4976.4609999999993</v>
      </c>
      <c r="I754" s="10"/>
      <c r="J754" s="9"/>
      <c r="K754" s="70">
        <v>4181.8999999999996</v>
      </c>
    </row>
    <row r="755" spans="1:11" ht="12.75" x14ac:dyDescent="0.2">
      <c r="A755" s="75" t="s">
        <v>239</v>
      </c>
      <c r="B755" s="63" t="s">
        <v>238</v>
      </c>
      <c r="C755" s="62">
        <f>+Tabla13[[#This Row],[Columna6]]/Tabla13[[#This Row],[Columna5]]</f>
        <v>12713.259999999998</v>
      </c>
      <c r="D755" s="62">
        <f>+Tabla13[[#This Row],[PRECIO INSTALADOR (IVA INCLUIDO)]]-F755</f>
        <v>12077.596999999998</v>
      </c>
      <c r="E755" s="62">
        <f>+Tabla13[[#This Row],[PRECIO INSTALADOR (IVA INCLUIDO)]]/0.7</f>
        <v>18161.8</v>
      </c>
      <c r="F755" s="61">
        <f>+Tabla13[[#This Row],[PRECIO INSTALADOR (IVA INCLUIDO)]]*5%</f>
        <v>635.66300000000001</v>
      </c>
      <c r="G755" s="12">
        <v>0.85</v>
      </c>
      <c r="H755" s="11">
        <f>Tabla13[[#This Row],[COSTO]]*1.19</f>
        <v>10806.270999999999</v>
      </c>
      <c r="I755" s="10"/>
      <c r="J755" s="9"/>
      <c r="K755" s="70">
        <v>9080.9</v>
      </c>
    </row>
    <row r="756" spans="1:11" ht="12.75" x14ac:dyDescent="0.2">
      <c r="A756" s="80"/>
      <c r="B756" s="79" t="s">
        <v>237</v>
      </c>
      <c r="C756" s="78"/>
      <c r="D756" s="78"/>
      <c r="E756" s="78"/>
      <c r="F756" s="77">
        <f>+Tabla13[[#This Row],[PRECIO INSTALADOR (IVA INCLUIDO)]]*5%</f>
        <v>0</v>
      </c>
      <c r="G756" s="12">
        <v>0.85</v>
      </c>
      <c r="H756" s="11">
        <f>Tabla13[[#This Row],[COSTO]]*1.19</f>
        <v>0</v>
      </c>
      <c r="I756" s="10"/>
      <c r="J756" s="9"/>
      <c r="K756" s="70"/>
    </row>
    <row r="757" spans="1:11" ht="12.75" x14ac:dyDescent="0.2">
      <c r="A757" s="76"/>
      <c r="B757" s="69" t="s">
        <v>236</v>
      </c>
      <c r="C757" s="68"/>
      <c r="D757" s="68"/>
      <c r="E757" s="68"/>
      <c r="F757" s="67">
        <f>+Tabla13[[#This Row],[PRECIO INSTALADOR (IVA INCLUIDO)]]*5%</f>
        <v>0</v>
      </c>
      <c r="G757" s="12">
        <v>0.85</v>
      </c>
      <c r="H757" s="11">
        <f>Tabla13[[#This Row],[COSTO]]*1.19</f>
        <v>0</v>
      </c>
      <c r="I757" s="10"/>
      <c r="J757" s="9"/>
      <c r="K757" s="70"/>
    </row>
    <row r="758" spans="1:11" ht="12.75" x14ac:dyDescent="0.2">
      <c r="A758" s="75" t="s">
        <v>235</v>
      </c>
      <c r="B758" s="63" t="s">
        <v>234</v>
      </c>
      <c r="C758" s="62">
        <f>+Tabla13[[#This Row],[Columna6]]/Tabla13[[#This Row],[Columna5]]</f>
        <v>11818.66</v>
      </c>
      <c r="D758" s="62">
        <f>+Tabla13[[#This Row],[PRECIO INSTALADOR (IVA INCLUIDO)]]-F758</f>
        <v>11227.726999999999</v>
      </c>
      <c r="E758" s="62">
        <f>+Tabla13[[#This Row],[PRECIO INSTALADOR (IVA INCLUIDO)]]/0.7</f>
        <v>16883.8</v>
      </c>
      <c r="F758" s="61">
        <f>+Tabla13[[#This Row],[PRECIO INSTALADOR (IVA INCLUIDO)]]*5%</f>
        <v>590.93299999999999</v>
      </c>
      <c r="G758" s="12">
        <v>0.85</v>
      </c>
      <c r="H758" s="11">
        <f>Tabla13[[#This Row],[COSTO]]*1.19</f>
        <v>10045.860999999999</v>
      </c>
      <c r="I758" s="10"/>
      <c r="J758" s="9"/>
      <c r="K758" s="70">
        <v>8441.9</v>
      </c>
    </row>
    <row r="759" spans="1:11" ht="12.75" x14ac:dyDescent="0.2">
      <c r="A759" s="75" t="s">
        <v>233</v>
      </c>
      <c r="B759" s="63" t="s">
        <v>232</v>
      </c>
      <c r="C759" s="62">
        <f>+Tabla13[[#This Row],[Columna6]]/Tabla13[[#This Row],[Columna5]]</f>
        <v>26927.460000000003</v>
      </c>
      <c r="D759" s="62">
        <f>+Tabla13[[#This Row],[PRECIO INSTALADOR (IVA INCLUIDO)]]-F759</f>
        <v>25581.087000000003</v>
      </c>
      <c r="E759" s="62">
        <f>+Tabla13[[#This Row],[PRECIO INSTALADOR (IVA INCLUIDO)]]/0.7</f>
        <v>38467.800000000003</v>
      </c>
      <c r="F759" s="61">
        <f>+Tabla13[[#This Row],[PRECIO INSTALADOR (IVA INCLUIDO)]]*5%</f>
        <v>1346.3730000000003</v>
      </c>
      <c r="G759" s="12">
        <v>0.85</v>
      </c>
      <c r="H759" s="11">
        <f>Tabla13[[#This Row],[COSTO]]*1.19</f>
        <v>22888.341</v>
      </c>
      <c r="I759" s="10"/>
      <c r="J759" s="9"/>
      <c r="K759" s="70">
        <v>19233.900000000001</v>
      </c>
    </row>
    <row r="760" spans="1:11" ht="12.75" x14ac:dyDescent="0.2">
      <c r="A760" s="75" t="s">
        <v>231</v>
      </c>
      <c r="B760" s="63" t="s">
        <v>230</v>
      </c>
      <c r="C760" s="62">
        <f>+Tabla13[[#This Row],[Columna6]]/Tabla13[[#This Row],[Columna5]]</f>
        <v>26927.460000000003</v>
      </c>
      <c r="D760" s="62">
        <f>+Tabla13[[#This Row],[PRECIO INSTALADOR (IVA INCLUIDO)]]-F760</f>
        <v>25581.087000000003</v>
      </c>
      <c r="E760" s="62">
        <f>+Tabla13[[#This Row],[PRECIO INSTALADOR (IVA INCLUIDO)]]/0.7</f>
        <v>38467.800000000003</v>
      </c>
      <c r="F760" s="61">
        <f>+Tabla13[[#This Row],[PRECIO INSTALADOR (IVA INCLUIDO)]]*5%</f>
        <v>1346.3730000000003</v>
      </c>
      <c r="G760" s="12">
        <v>0.85</v>
      </c>
      <c r="H760" s="11">
        <f>Tabla13[[#This Row],[COSTO]]*1.19</f>
        <v>22888.341</v>
      </c>
      <c r="I760" s="10"/>
      <c r="J760" s="9"/>
      <c r="K760" s="70">
        <v>19233.900000000001</v>
      </c>
    </row>
    <row r="761" spans="1:11" ht="12.75" x14ac:dyDescent="0.2">
      <c r="A761" s="74" t="s">
        <v>229</v>
      </c>
      <c r="B761" s="73" t="s">
        <v>228</v>
      </c>
      <c r="C761" s="72"/>
      <c r="D761" s="72"/>
      <c r="E761" s="72"/>
      <c r="F761" s="71">
        <f>+Tabla13[[#This Row],[PRECIO INSTALADOR (IVA INCLUIDO)]]*5%</f>
        <v>0</v>
      </c>
      <c r="G761" s="12">
        <v>0.85</v>
      </c>
      <c r="H761" s="11">
        <f>Tabla13[[#This Row],[COSTO]]*1.19</f>
        <v>0</v>
      </c>
      <c r="I761" s="10"/>
      <c r="J761" s="9"/>
      <c r="K761" s="70"/>
    </row>
    <row r="762" spans="1:11" ht="13.5" x14ac:dyDescent="0.2">
      <c r="A762" s="38" t="s">
        <v>227</v>
      </c>
      <c r="B762" s="49" t="s">
        <v>226</v>
      </c>
      <c r="C762" s="51">
        <f>+Tabla13[[#This Row],[Columna6]]/Tabla13[[#This Row],[Columna5]]</f>
        <v>2077.46</v>
      </c>
      <c r="D762" s="51">
        <f>+Tabla13[[#This Row],[PRECIO INSTALADOR (IVA INCLUIDO)]]-F762</f>
        <v>1973.587</v>
      </c>
      <c r="E762" s="51">
        <f>+Tabla13[[#This Row],[PRECIO INSTALADOR (IVA INCLUIDO)]]/0.7</f>
        <v>2967.8</v>
      </c>
      <c r="F762" s="50">
        <f>+Tabla13[[#This Row],[PRECIO INSTALADOR (IVA INCLUIDO)]]*5%</f>
        <v>103.873</v>
      </c>
      <c r="G762" s="12">
        <v>0.85</v>
      </c>
      <c r="H762" s="11">
        <f>Tabla13[[#This Row],[COSTO]]*1.19</f>
        <v>1765.8410000000001</v>
      </c>
      <c r="I762" s="10"/>
      <c r="J762" s="9"/>
      <c r="K762" s="70">
        <v>1483.9</v>
      </c>
    </row>
    <row r="763" spans="1:11" ht="13.5" x14ac:dyDescent="0.2">
      <c r="A763" s="38" t="s">
        <v>225</v>
      </c>
      <c r="B763" s="49" t="s">
        <v>224</v>
      </c>
      <c r="C763" s="51">
        <f>+Tabla13[[#This Row],[Columna6]]/Tabla13[[#This Row],[Columna5]]</f>
        <v>6152.86</v>
      </c>
      <c r="D763" s="51">
        <f>+Tabla13[[#This Row],[PRECIO INSTALADOR (IVA INCLUIDO)]]-F763</f>
        <v>5845.2169999999996</v>
      </c>
      <c r="E763" s="51">
        <f>+Tabla13[[#This Row],[PRECIO INSTALADOR (IVA INCLUIDO)]]/0.7</f>
        <v>8789.7999999999993</v>
      </c>
      <c r="F763" s="50">
        <f>+Tabla13[[#This Row],[PRECIO INSTALADOR (IVA INCLUIDO)]]*5%</f>
        <v>307.64300000000003</v>
      </c>
      <c r="G763" s="12">
        <v>0.85</v>
      </c>
      <c r="H763" s="11">
        <f>Tabla13[[#This Row],[COSTO]]*1.19</f>
        <v>5229.9309999999996</v>
      </c>
      <c r="I763" s="10"/>
      <c r="J763" s="9"/>
      <c r="K763" s="70">
        <v>4394.8999999999996</v>
      </c>
    </row>
    <row r="764" spans="1:11" ht="13.5" x14ac:dyDescent="0.2">
      <c r="A764" s="38" t="s">
        <v>223</v>
      </c>
      <c r="B764" s="49" t="s">
        <v>222</v>
      </c>
      <c r="C764" s="51">
        <f>+Tabla13[[#This Row],[Columna6]]/Tabla13[[#This Row],[Columna5]]</f>
        <v>11122.859999999999</v>
      </c>
      <c r="D764" s="51">
        <f>+Tabla13[[#This Row],[PRECIO INSTALADOR (IVA INCLUIDO)]]-F764</f>
        <v>10566.716999999999</v>
      </c>
      <c r="E764" s="51">
        <f>+Tabla13[[#This Row],[PRECIO INSTALADOR (IVA INCLUIDO)]]/0.7</f>
        <v>15889.8</v>
      </c>
      <c r="F764" s="50">
        <f>+Tabla13[[#This Row],[PRECIO INSTALADOR (IVA INCLUIDO)]]*5%</f>
        <v>556.14299999999992</v>
      </c>
      <c r="G764" s="12">
        <v>0.85</v>
      </c>
      <c r="H764" s="11">
        <f>Tabla13[[#This Row],[COSTO]]*1.19</f>
        <v>9454.4309999999987</v>
      </c>
      <c r="I764" s="10"/>
      <c r="J764" s="9"/>
      <c r="K764" s="70">
        <v>7944.9</v>
      </c>
    </row>
    <row r="765" spans="1:11" ht="13.5" x14ac:dyDescent="0.2">
      <c r="A765" s="39"/>
      <c r="B765" s="69" t="s">
        <v>221</v>
      </c>
      <c r="C765" s="68"/>
      <c r="D765" s="68"/>
      <c r="E765" s="68"/>
      <c r="F765" s="67">
        <f>+Tabla13[[#This Row],[PRECIO INSTALADOR (IVA INCLUIDO)]]*5%</f>
        <v>0</v>
      </c>
      <c r="G765" s="12">
        <v>0.85</v>
      </c>
      <c r="H765" s="11">
        <f>Tabla13[[#This Row],[COSTO]]*1.19</f>
        <v>0</v>
      </c>
      <c r="I765" s="10"/>
      <c r="J765" s="9"/>
      <c r="K765" s="66"/>
    </row>
    <row r="766" spans="1:11" ht="13.5" x14ac:dyDescent="0.2">
      <c r="A766" s="38" t="s">
        <v>220</v>
      </c>
      <c r="B766" s="63" t="s">
        <v>219</v>
      </c>
      <c r="C766" s="62">
        <f>+Tabla13[[#This Row],[Columna6]]/Tabla13[[#This Row],[Columna5]]</f>
        <v>90344.66</v>
      </c>
      <c r="D766" s="62">
        <f>+Tabla13[[#This Row],[PRECIO INSTALADOR (IVA INCLUIDO)]]-F766</f>
        <v>85827.426999999996</v>
      </c>
      <c r="E766" s="62">
        <f>+Tabla13[[#This Row],[PRECIO INSTALADOR (IVA INCLUIDO)]]/0.7</f>
        <v>129063.80000000002</v>
      </c>
      <c r="F766" s="61">
        <f>+Tabla13[[#This Row],[PRECIO INSTALADOR (IVA INCLUIDO)]]*5%</f>
        <v>4517.2330000000002</v>
      </c>
      <c r="G766" s="12">
        <v>0.85</v>
      </c>
      <c r="H766" s="11">
        <f>Tabla13[[#This Row],[COSTO]]*1.19</f>
        <v>76792.960999999996</v>
      </c>
      <c r="I766" s="10"/>
      <c r="J766" s="9"/>
      <c r="K766" s="66">
        <v>64531.9</v>
      </c>
    </row>
    <row r="767" spans="1:11" ht="13.5" x14ac:dyDescent="0.2">
      <c r="A767" s="39"/>
      <c r="B767" s="69" t="s">
        <v>218</v>
      </c>
      <c r="C767" s="68"/>
      <c r="D767" s="68"/>
      <c r="E767" s="68"/>
      <c r="F767" s="67">
        <f>+Tabla13[[#This Row],[PRECIO INSTALADOR (IVA INCLUIDO)]]*5%</f>
        <v>0</v>
      </c>
      <c r="G767" s="12">
        <v>0.85</v>
      </c>
      <c r="H767" s="11">
        <f>Tabla13[[#This Row],[COSTO]]*1.19</f>
        <v>0</v>
      </c>
      <c r="I767" s="10"/>
      <c r="J767" s="9"/>
      <c r="K767" s="66"/>
    </row>
    <row r="768" spans="1:11" ht="13.5" x14ac:dyDescent="0.2">
      <c r="A768" s="38" t="s">
        <v>217</v>
      </c>
      <c r="B768" s="63" t="s">
        <v>216</v>
      </c>
      <c r="C768" s="62">
        <f>+Tabla13[[#This Row],[Columna6]]/Tabla13[[#This Row],[Columna5]]</f>
        <v>71160.459999999992</v>
      </c>
      <c r="D768" s="62">
        <f>+Tabla13[[#This Row],[PRECIO INSTALADOR (IVA INCLUIDO)]]-F768</f>
        <v>67602.436999999991</v>
      </c>
      <c r="E768" s="62">
        <f>+Tabla13[[#This Row],[PRECIO INSTALADOR (IVA INCLUIDO)]]/0.7</f>
        <v>101657.79999999999</v>
      </c>
      <c r="F768" s="61">
        <f>+Tabla13[[#This Row],[PRECIO INSTALADOR (IVA INCLUIDO)]]*5%</f>
        <v>3558.0229999999997</v>
      </c>
      <c r="G768" s="12">
        <v>0.85</v>
      </c>
      <c r="H768" s="37">
        <f>Tabla13[[#This Row],[COSTO]]*1.19</f>
        <v>60486.390999999996</v>
      </c>
      <c r="I768" s="36"/>
      <c r="J768" s="35"/>
      <c r="K768" s="65">
        <v>50828.9</v>
      </c>
    </row>
    <row r="769" spans="1:11" ht="13.5" x14ac:dyDescent="0.2">
      <c r="A769" s="39"/>
      <c r="B769" s="64" t="s">
        <v>215</v>
      </c>
      <c r="C769" s="58"/>
      <c r="D769" s="58"/>
      <c r="E769" s="58"/>
      <c r="F769" s="57">
        <f>+Tabla13[[#This Row],[PRECIO INSTALADOR (IVA INCLUIDO)]]*5%</f>
        <v>0</v>
      </c>
      <c r="G769" s="12">
        <v>0.85</v>
      </c>
      <c r="H769" s="11">
        <f>Tabla13[[#This Row],[COSTO]]*1.19</f>
        <v>0</v>
      </c>
      <c r="I769" s="10"/>
      <c r="J769" s="9"/>
      <c r="K769" s="43"/>
    </row>
    <row r="770" spans="1:11" ht="13.5" x14ac:dyDescent="0.2">
      <c r="A770" s="38" t="s">
        <v>214</v>
      </c>
      <c r="B770" s="63" t="s">
        <v>213</v>
      </c>
      <c r="C770" s="62">
        <f>+Tabla13[[#This Row],[Columna6]]/Tabla13[[#This Row],[Columna5]]</f>
        <v>121556.25999999998</v>
      </c>
      <c r="D770" s="62">
        <f>+Tabla13[[#This Row],[PRECIO INSTALADOR (IVA INCLUIDO)]]-F770</f>
        <v>115478.44699999999</v>
      </c>
      <c r="E770" s="62">
        <f>+Tabla13[[#This Row],[PRECIO INSTALADOR (IVA INCLUIDO)]]/0.7</f>
        <v>173651.8</v>
      </c>
      <c r="F770" s="61">
        <f>+Tabla13[[#This Row],[PRECIO INSTALADOR (IVA INCLUIDO)]]*5%</f>
        <v>6077.8129999999992</v>
      </c>
      <c r="G770" s="12">
        <v>0.85</v>
      </c>
      <c r="H770" s="11">
        <f>Tabla13[[#This Row],[COSTO]]*1.19</f>
        <v>103322.82099999998</v>
      </c>
      <c r="I770" s="10"/>
      <c r="J770" s="9"/>
      <c r="K770" s="43">
        <v>86825.9</v>
      </c>
    </row>
    <row r="771" spans="1:11" ht="13.5" x14ac:dyDescent="0.2">
      <c r="A771" s="38" t="s">
        <v>212</v>
      </c>
      <c r="B771" s="63" t="s">
        <v>211</v>
      </c>
      <c r="C771" s="62">
        <f>+Tabla13[[#This Row],[Columna6]]/Tabla13[[#This Row],[Columna5]]</f>
        <v>121556.25999999998</v>
      </c>
      <c r="D771" s="62">
        <f>+Tabla13[[#This Row],[PRECIO INSTALADOR (IVA INCLUIDO)]]-F771</f>
        <v>115478.44699999999</v>
      </c>
      <c r="E771" s="62">
        <f>+Tabla13[[#This Row],[PRECIO INSTALADOR (IVA INCLUIDO)]]/0.7</f>
        <v>173651.8</v>
      </c>
      <c r="F771" s="61">
        <f>+Tabla13[[#This Row],[PRECIO INSTALADOR (IVA INCLUIDO)]]*5%</f>
        <v>6077.8129999999992</v>
      </c>
      <c r="G771" s="12">
        <v>0.85</v>
      </c>
      <c r="H771" s="11">
        <f>Tabla13[[#This Row],[COSTO]]*1.19</f>
        <v>103322.82099999998</v>
      </c>
      <c r="I771" s="10"/>
      <c r="J771" s="9"/>
      <c r="K771" s="43">
        <v>86825.9</v>
      </c>
    </row>
    <row r="772" spans="1:11" ht="13.5" x14ac:dyDescent="0.2">
      <c r="A772" s="38" t="s">
        <v>210</v>
      </c>
      <c r="B772" s="63" t="s">
        <v>209</v>
      </c>
      <c r="C772" s="62">
        <f>+Tabla13[[#This Row],[Columna6]]/Tabla13[[#This Row],[Columna5]]</f>
        <v>209028.25999999998</v>
      </c>
      <c r="D772" s="62">
        <f>+Tabla13[[#This Row],[PRECIO INSTALADOR (IVA INCLUIDO)]]-F772</f>
        <v>198576.84699999998</v>
      </c>
      <c r="E772" s="62">
        <f>+Tabla13[[#This Row],[PRECIO INSTALADOR (IVA INCLUIDO)]]/0.7</f>
        <v>298611.8</v>
      </c>
      <c r="F772" s="61">
        <f>+Tabla13[[#This Row],[PRECIO INSTALADOR (IVA INCLUIDO)]]*5%</f>
        <v>10451.413</v>
      </c>
      <c r="G772" s="12">
        <v>0.85</v>
      </c>
      <c r="H772" s="11">
        <f>Tabla13[[#This Row],[COSTO]]*1.19</f>
        <v>177674.02099999998</v>
      </c>
      <c r="I772" s="10"/>
      <c r="J772" s="9"/>
      <c r="K772" s="43">
        <v>149305.9</v>
      </c>
    </row>
    <row r="773" spans="1:11" ht="13.5" x14ac:dyDescent="0.2">
      <c r="A773" s="38" t="s">
        <v>208</v>
      </c>
      <c r="B773" s="63" t="s">
        <v>207</v>
      </c>
      <c r="C773" s="62">
        <f>+Tabla13[[#This Row],[Columna6]]/Tabla13[[#This Row],[Columna5]]</f>
        <v>209028.25999999998</v>
      </c>
      <c r="D773" s="62">
        <f>+Tabla13[[#This Row],[PRECIO INSTALADOR (IVA INCLUIDO)]]-F773</f>
        <v>198576.84699999998</v>
      </c>
      <c r="E773" s="62">
        <f>+Tabla13[[#This Row],[PRECIO INSTALADOR (IVA INCLUIDO)]]/0.7</f>
        <v>298611.8</v>
      </c>
      <c r="F773" s="61">
        <f>+Tabla13[[#This Row],[PRECIO INSTALADOR (IVA INCLUIDO)]]*5%</f>
        <v>10451.413</v>
      </c>
      <c r="G773" s="12">
        <v>0.85</v>
      </c>
      <c r="H773" s="11">
        <f>Tabla13[[#This Row],[COSTO]]*1.19</f>
        <v>177674.02099999998</v>
      </c>
      <c r="I773" s="10"/>
      <c r="J773" s="9"/>
      <c r="K773" s="43">
        <v>149305.9</v>
      </c>
    </row>
    <row r="774" spans="1:11" ht="13.5" x14ac:dyDescent="0.2">
      <c r="A774" s="38" t="s">
        <v>206</v>
      </c>
      <c r="B774" s="49" t="s">
        <v>205</v>
      </c>
      <c r="C774" s="51">
        <f>+Tabla13[[#This Row],[Columna6]]/Tabla13[[#This Row],[Columna5]]</f>
        <v>318865.25999999995</v>
      </c>
      <c r="D774" s="51">
        <f>+Tabla13[[#This Row],[PRECIO INSTALADOR (IVA INCLUIDO)]]-F774</f>
        <v>302921.99699999997</v>
      </c>
      <c r="E774" s="51">
        <f>+Tabla13[[#This Row],[PRECIO INSTALADOR (IVA INCLUIDO)]]/0.7</f>
        <v>455521.79999999993</v>
      </c>
      <c r="F774" s="50">
        <f>+Tabla13[[#This Row],[PRECIO INSTALADOR (IVA INCLUIDO)]]*5%</f>
        <v>15943.262999999999</v>
      </c>
      <c r="G774" s="12">
        <v>0.85</v>
      </c>
      <c r="H774" s="11">
        <f>Tabla13[[#This Row],[COSTO]]*1.19</f>
        <v>271035.47099999996</v>
      </c>
      <c r="I774" s="10"/>
      <c r="J774" s="9"/>
      <c r="K774" s="43">
        <v>227760.9</v>
      </c>
    </row>
    <row r="775" spans="1:11" ht="13.5" x14ac:dyDescent="0.2">
      <c r="A775" s="38" t="s">
        <v>204</v>
      </c>
      <c r="B775" s="49" t="s">
        <v>203</v>
      </c>
      <c r="C775" s="51">
        <f>+Tabla13[[#This Row],[Columna6]]/Tabla13[[#This Row],[Columna5]]</f>
        <v>318865.25999999995</v>
      </c>
      <c r="D775" s="51">
        <f>+Tabla13[[#This Row],[PRECIO INSTALADOR (IVA INCLUIDO)]]-F775</f>
        <v>302921.99699999997</v>
      </c>
      <c r="E775" s="51">
        <f>+Tabla13[[#This Row],[PRECIO INSTALADOR (IVA INCLUIDO)]]/0.7</f>
        <v>455521.79999999993</v>
      </c>
      <c r="F775" s="50">
        <f>+Tabla13[[#This Row],[PRECIO INSTALADOR (IVA INCLUIDO)]]*5%</f>
        <v>15943.262999999999</v>
      </c>
      <c r="G775" s="12">
        <v>0.85</v>
      </c>
      <c r="H775" s="11">
        <f>Tabla13[[#This Row],[COSTO]]*1.19</f>
        <v>271035.47099999996</v>
      </c>
      <c r="I775" s="10"/>
      <c r="J775" s="9"/>
      <c r="K775" s="43">
        <v>227760.9</v>
      </c>
    </row>
    <row r="776" spans="1:11" ht="13.5" x14ac:dyDescent="0.2">
      <c r="A776" s="39"/>
      <c r="B776" s="60" t="s">
        <v>202</v>
      </c>
      <c r="C776" s="58"/>
      <c r="D776" s="58"/>
      <c r="E776" s="58"/>
      <c r="F776" s="57">
        <f>+Tabla13[[#This Row],[PRECIO INSTALADOR (IVA INCLUIDO)]]*5%</f>
        <v>0</v>
      </c>
      <c r="G776" s="12">
        <v>0.85</v>
      </c>
      <c r="H776" s="11">
        <f>Tabla13[[#This Row],[COSTO]]*1.19</f>
        <v>0</v>
      </c>
      <c r="I776" s="10"/>
      <c r="J776" s="9"/>
      <c r="K776" s="43"/>
    </row>
    <row r="777" spans="1:11" ht="13.5" x14ac:dyDescent="0.2">
      <c r="A777" s="38" t="s">
        <v>201</v>
      </c>
      <c r="B777" s="49" t="s">
        <v>200</v>
      </c>
      <c r="C777" s="51">
        <f>+Tabla13[[#This Row],[Columna6]]/Tabla13[[#This Row],[Columna5]]</f>
        <v>333576.45999999996</v>
      </c>
      <c r="D777" s="51">
        <f>+Tabla13[[#This Row],[PRECIO INSTALADOR (IVA INCLUIDO)]]-F777</f>
        <v>316897.63699999999</v>
      </c>
      <c r="E777" s="51">
        <f>+Tabla13[[#This Row],[PRECIO INSTALADOR (IVA INCLUIDO)]]/0.7</f>
        <v>476537.8</v>
      </c>
      <c r="F777" s="50">
        <f>+Tabla13[[#This Row],[PRECIO INSTALADOR (IVA INCLUIDO)]]*5%</f>
        <v>16678.823</v>
      </c>
      <c r="G777" s="12">
        <v>0.85</v>
      </c>
      <c r="H777" s="11">
        <f>Tabla13[[#This Row],[COSTO]]*1.19</f>
        <v>283539.99099999998</v>
      </c>
      <c r="I777" s="10"/>
      <c r="J777" s="9"/>
      <c r="K777" s="43">
        <v>238268.9</v>
      </c>
    </row>
    <row r="778" spans="1:11" ht="13.5" x14ac:dyDescent="0.2">
      <c r="A778" s="38" t="s">
        <v>199</v>
      </c>
      <c r="B778" s="49" t="s">
        <v>198</v>
      </c>
      <c r="C778" s="51">
        <f>+Tabla13[[#This Row],[Columna6]]/Tabla13[[#This Row],[Columna5]]</f>
        <v>394309.86</v>
      </c>
      <c r="D778" s="51">
        <f>+Tabla13[[#This Row],[PRECIO INSTALADOR (IVA INCLUIDO)]]-F778</f>
        <v>374594.36699999997</v>
      </c>
      <c r="E778" s="51">
        <f>+Tabla13[[#This Row],[PRECIO INSTALADOR (IVA INCLUIDO)]]/0.7</f>
        <v>563299.80000000005</v>
      </c>
      <c r="F778" s="50">
        <f>+Tabla13[[#This Row],[PRECIO INSTALADOR (IVA INCLUIDO)]]*5%</f>
        <v>19715.493000000002</v>
      </c>
      <c r="G778" s="12">
        <v>0.85</v>
      </c>
      <c r="H778" s="11">
        <f>Tabla13[[#This Row],[COSTO]]*1.19</f>
        <v>335163.38099999999</v>
      </c>
      <c r="I778" s="10"/>
      <c r="J778" s="9"/>
      <c r="K778" s="43">
        <v>281649.90000000002</v>
      </c>
    </row>
    <row r="779" spans="1:11" ht="13.5" x14ac:dyDescent="0.2">
      <c r="A779" s="38" t="s">
        <v>197</v>
      </c>
      <c r="B779" s="49" t="s">
        <v>196</v>
      </c>
      <c r="C779" s="51">
        <f>+Tabla13[[#This Row],[Columna6]]/Tabla13[[#This Row],[Columna5]]</f>
        <v>619550.26</v>
      </c>
      <c r="D779" s="51">
        <f>+Tabla13[[#This Row],[PRECIO INSTALADOR (IVA INCLUIDO)]]-F779</f>
        <v>588572.74699999997</v>
      </c>
      <c r="E779" s="51">
        <f>+Tabla13[[#This Row],[PRECIO INSTALADOR (IVA INCLUIDO)]]/0.7</f>
        <v>885071.8</v>
      </c>
      <c r="F779" s="50">
        <f>+Tabla13[[#This Row],[PRECIO INSTALADOR (IVA INCLUIDO)]]*5%</f>
        <v>30977.513000000003</v>
      </c>
      <c r="G779" s="12">
        <v>0.85</v>
      </c>
      <c r="H779" s="11">
        <f>Tabla13[[#This Row],[COSTO]]*1.19</f>
        <v>526617.72100000002</v>
      </c>
      <c r="I779" s="10"/>
      <c r="J779" s="9"/>
      <c r="K779" s="43">
        <v>442535.9</v>
      </c>
    </row>
    <row r="780" spans="1:11" ht="13.5" x14ac:dyDescent="0.2">
      <c r="A780" s="39"/>
      <c r="B780" s="59" t="s">
        <v>195</v>
      </c>
      <c r="C780" s="58"/>
      <c r="D780" s="58"/>
      <c r="E780" s="58"/>
      <c r="F780" s="57">
        <f>+Tabla13[[#This Row],[PRECIO INSTALADOR (IVA INCLUIDO)]]*5%</f>
        <v>0</v>
      </c>
      <c r="G780" s="12">
        <v>0.85</v>
      </c>
      <c r="H780" s="11">
        <f>Tabla13[[#This Row],[COSTO]]*1.19</f>
        <v>0</v>
      </c>
      <c r="I780" s="10"/>
      <c r="J780" s="9"/>
      <c r="K780" s="43"/>
    </row>
    <row r="781" spans="1:11" ht="13.5" x14ac:dyDescent="0.2">
      <c r="A781" s="38" t="s">
        <v>194</v>
      </c>
      <c r="B781" s="49" t="s">
        <v>193</v>
      </c>
      <c r="C781" s="51">
        <f>+Tabla13[[#This Row],[Columna6]]/Tabla13[[#This Row],[Columna5]]</f>
        <v>64301.86</v>
      </c>
      <c r="D781" s="51">
        <f>+Tabla13[[#This Row],[PRECIO INSTALADOR (IVA INCLUIDO)]]-F781</f>
        <v>61086.767</v>
      </c>
      <c r="E781" s="51">
        <f>+Tabla13[[#This Row],[PRECIO INSTALADOR (IVA INCLUIDO)]]/0.7</f>
        <v>91859.8</v>
      </c>
      <c r="F781" s="50">
        <f>+Tabla13[[#This Row],[PRECIO INSTALADOR (IVA INCLUIDO)]]*5%</f>
        <v>3215.0930000000003</v>
      </c>
      <c r="G781" s="12">
        <v>0.85</v>
      </c>
      <c r="H781" s="11">
        <f>Tabla13[[#This Row],[COSTO]]*1.19</f>
        <v>54656.580999999998</v>
      </c>
      <c r="I781" s="10"/>
      <c r="J781" s="9"/>
      <c r="K781" s="43">
        <v>45929.9</v>
      </c>
    </row>
    <row r="782" spans="1:11" ht="13.5" x14ac:dyDescent="0.2">
      <c r="A782" s="38" t="s">
        <v>192</v>
      </c>
      <c r="B782" s="49" t="s">
        <v>191</v>
      </c>
      <c r="C782" s="51">
        <f>+Tabla13[[#This Row],[Columna6]]/Tabla13[[#This Row],[Columna5]]</f>
        <v>64301.86</v>
      </c>
      <c r="D782" s="51">
        <f>+Tabla13[[#This Row],[PRECIO INSTALADOR (IVA INCLUIDO)]]-F782</f>
        <v>61086.767</v>
      </c>
      <c r="E782" s="51">
        <f>+Tabla13[[#This Row],[PRECIO INSTALADOR (IVA INCLUIDO)]]/0.7</f>
        <v>91859.8</v>
      </c>
      <c r="F782" s="50">
        <f>+Tabla13[[#This Row],[PRECIO INSTALADOR (IVA INCLUIDO)]]*5%</f>
        <v>3215.0930000000003</v>
      </c>
      <c r="G782" s="12">
        <v>0.85</v>
      </c>
      <c r="H782" s="11">
        <f>Tabla13[[#This Row],[COSTO]]*1.19</f>
        <v>54656.580999999998</v>
      </c>
      <c r="I782" s="10"/>
      <c r="J782" s="9"/>
      <c r="K782" s="43">
        <v>45929.9</v>
      </c>
    </row>
    <row r="783" spans="1:11" ht="13.5" x14ac:dyDescent="0.2">
      <c r="A783" s="38" t="s">
        <v>190</v>
      </c>
      <c r="B783" s="49" t="s">
        <v>189</v>
      </c>
      <c r="C783" s="51">
        <f>+Tabla13[[#This Row],[Columna6]]/Tabla13[[#This Row],[Columna5]]</f>
        <v>129905.85999999999</v>
      </c>
      <c r="D783" s="51">
        <f>+Tabla13[[#This Row],[PRECIO INSTALADOR (IVA INCLUIDO)]]-F783</f>
        <v>123410.56699999998</v>
      </c>
      <c r="E783" s="51">
        <f>+Tabla13[[#This Row],[PRECIO INSTALADOR (IVA INCLUIDO)]]/0.7</f>
        <v>185579.8</v>
      </c>
      <c r="F783" s="50">
        <f>+Tabla13[[#This Row],[PRECIO INSTALADOR (IVA INCLUIDO)]]*5%</f>
        <v>6495.2929999999997</v>
      </c>
      <c r="G783" s="12">
        <v>0.85</v>
      </c>
      <c r="H783" s="11">
        <f>Tabla13[[#This Row],[COSTO]]*1.19</f>
        <v>110419.98099999999</v>
      </c>
      <c r="I783" s="10"/>
      <c r="J783" s="9"/>
      <c r="K783" s="43">
        <v>92789.9</v>
      </c>
    </row>
    <row r="784" spans="1:11" ht="13.5" x14ac:dyDescent="0.2">
      <c r="A784" s="38" t="s">
        <v>188</v>
      </c>
      <c r="B784" s="49" t="s">
        <v>187</v>
      </c>
      <c r="C784" s="51">
        <f>+Tabla13[[#This Row],[Columna6]]/Tabla13[[#This Row],[Columna5]]</f>
        <v>77124.459999999992</v>
      </c>
      <c r="D784" s="51">
        <f>+Tabla13[[#This Row],[PRECIO INSTALADOR (IVA INCLUIDO)]]-F784</f>
        <v>73268.236999999994</v>
      </c>
      <c r="E784" s="51">
        <f>+Tabla13[[#This Row],[PRECIO INSTALADOR (IVA INCLUIDO)]]/0.7</f>
        <v>110177.79999999999</v>
      </c>
      <c r="F784" s="50">
        <f>+Tabla13[[#This Row],[PRECIO INSTALADOR (IVA INCLUIDO)]]*5%</f>
        <v>3856.223</v>
      </c>
      <c r="G784" s="12">
        <v>0.85</v>
      </c>
      <c r="H784" s="11">
        <f>Tabla13[[#This Row],[COSTO]]*1.19</f>
        <v>65555.790999999997</v>
      </c>
      <c r="I784" s="10"/>
      <c r="J784" s="9"/>
      <c r="K784" s="43">
        <v>55088.9</v>
      </c>
    </row>
    <row r="785" spans="1:11" ht="13.5" x14ac:dyDescent="0.2">
      <c r="A785" s="38" t="s">
        <v>186</v>
      </c>
      <c r="B785" s="49" t="s">
        <v>185</v>
      </c>
      <c r="C785" s="51">
        <f>+Tabla13[[#This Row],[Columna6]]/Tabla13[[#This Row],[Columna5]]</f>
        <v>153364.25999999998</v>
      </c>
      <c r="D785" s="51">
        <f>+Tabla13[[#This Row],[PRECIO INSTALADOR (IVA INCLUIDO)]]-F785</f>
        <v>145696.04699999999</v>
      </c>
      <c r="E785" s="51">
        <f>+Tabla13[[#This Row],[PRECIO INSTALADOR (IVA INCLUIDO)]]/0.7</f>
        <v>219091.8</v>
      </c>
      <c r="F785" s="50">
        <f>+Tabla13[[#This Row],[PRECIO INSTALADOR (IVA INCLUIDO)]]*5%</f>
        <v>7668.2129999999997</v>
      </c>
      <c r="G785" s="12">
        <v>0.85</v>
      </c>
      <c r="H785" s="11">
        <f>Tabla13[[#This Row],[COSTO]]*1.19</f>
        <v>130359.62099999998</v>
      </c>
      <c r="I785" s="10"/>
      <c r="J785" s="9"/>
      <c r="K785" s="43">
        <v>109545.9</v>
      </c>
    </row>
    <row r="786" spans="1:11" ht="13.5" x14ac:dyDescent="0.2">
      <c r="A786" s="38" t="s">
        <v>184</v>
      </c>
      <c r="B786" s="49" t="s">
        <v>183</v>
      </c>
      <c r="C786" s="51">
        <f>+Tabla13[[#This Row],[Columna6]]/Tabla13[[#This Row],[Columna5]]</f>
        <v>107839.05999999998</v>
      </c>
      <c r="D786" s="51">
        <f>+Tabla13[[#This Row],[PRECIO INSTALADOR (IVA INCLUIDO)]]-F786</f>
        <v>102447.10699999999</v>
      </c>
      <c r="E786" s="51">
        <f>+Tabla13[[#This Row],[PRECIO INSTALADOR (IVA INCLUIDO)]]/0.7</f>
        <v>154055.79999999999</v>
      </c>
      <c r="F786" s="50">
        <f>+Tabla13[[#This Row],[PRECIO INSTALADOR (IVA INCLUIDO)]]*5%</f>
        <v>5391.9529999999995</v>
      </c>
      <c r="G786" s="12">
        <v>0.85</v>
      </c>
      <c r="H786" s="11">
        <f>Tabla13[[#This Row],[COSTO]]*1.19</f>
        <v>91663.200999999986</v>
      </c>
      <c r="I786" s="10"/>
      <c r="J786" s="9"/>
      <c r="K786" s="43">
        <v>77027.899999999994</v>
      </c>
    </row>
    <row r="787" spans="1:11" ht="13.5" x14ac:dyDescent="0.2">
      <c r="A787" s="38" t="s">
        <v>182</v>
      </c>
      <c r="B787" s="49" t="s">
        <v>181</v>
      </c>
      <c r="C787" s="51">
        <f>+Tabla13[[#This Row],[Columna6]]/Tabla13[[#This Row],[Columna5]]</f>
        <v>246502.06</v>
      </c>
      <c r="D787" s="51">
        <f>+Tabla13[[#This Row],[PRECIO INSTALADOR (IVA INCLUIDO)]]-F787</f>
        <v>234176.95699999999</v>
      </c>
      <c r="E787" s="51">
        <f>+Tabla13[[#This Row],[PRECIO INSTALADOR (IVA INCLUIDO)]]/0.7</f>
        <v>352145.80000000005</v>
      </c>
      <c r="F787" s="50">
        <f>+Tabla13[[#This Row],[PRECIO INSTALADOR (IVA INCLUIDO)]]*5%</f>
        <v>12325.103000000001</v>
      </c>
      <c r="G787" s="12">
        <v>0.85</v>
      </c>
      <c r="H787" s="11">
        <f>Tabla13[[#This Row],[COSTO]]*1.19</f>
        <v>209526.75099999999</v>
      </c>
      <c r="I787" s="10"/>
      <c r="J787" s="9"/>
      <c r="K787" s="43">
        <v>176072.9</v>
      </c>
    </row>
    <row r="788" spans="1:11" ht="13.5" x14ac:dyDescent="0.2">
      <c r="A788" s="39"/>
      <c r="B788" s="59" t="s">
        <v>180</v>
      </c>
      <c r="C788" s="58"/>
      <c r="D788" s="58"/>
      <c r="E788" s="58"/>
      <c r="F788" s="57">
        <f>+Tabla13[[#This Row],[PRECIO INSTALADOR (IVA INCLUIDO)]]*5%</f>
        <v>0</v>
      </c>
      <c r="G788" s="12">
        <v>0.85</v>
      </c>
      <c r="H788" s="11">
        <f>Tabla13[[#This Row],[COSTO]]*1.19</f>
        <v>0</v>
      </c>
      <c r="I788" s="10"/>
      <c r="J788" s="9"/>
      <c r="K788" s="43"/>
    </row>
    <row r="789" spans="1:11" ht="13.5" x14ac:dyDescent="0.2">
      <c r="A789" s="38" t="s">
        <v>179</v>
      </c>
      <c r="B789" s="49" t="s">
        <v>178</v>
      </c>
      <c r="C789" s="51">
        <f>+Tabla13[[#This Row],[Columna6]]/Tabla13[[#This Row],[Columna5]]</f>
        <v>382878.86000000004</v>
      </c>
      <c r="D789" s="51">
        <f>+Tabla13[[#This Row],[PRECIO INSTALADOR (IVA INCLUIDO)]]-F789</f>
        <v>363734.91700000002</v>
      </c>
      <c r="E789" s="51">
        <f>+Tabla13[[#This Row],[PRECIO INSTALADOR (IVA INCLUIDO)]]/0.7</f>
        <v>546969.80000000005</v>
      </c>
      <c r="F789" s="50">
        <f>+Tabla13[[#This Row],[PRECIO INSTALADOR (IVA INCLUIDO)]]*5%</f>
        <v>19143.943000000003</v>
      </c>
      <c r="G789" s="12">
        <v>0.85</v>
      </c>
      <c r="H789" s="11">
        <f>Tabla13[[#This Row],[COSTO]]*1.19</f>
        <v>325447.03100000002</v>
      </c>
      <c r="I789" s="10"/>
      <c r="J789" s="9"/>
      <c r="K789" s="43">
        <v>273484.90000000002</v>
      </c>
    </row>
    <row r="790" spans="1:11" ht="13.5" x14ac:dyDescent="0.2">
      <c r="A790" s="38" t="s">
        <v>177</v>
      </c>
      <c r="B790" s="49" t="s">
        <v>176</v>
      </c>
      <c r="C790" s="51">
        <f>+Tabla13[[#This Row],[Columna6]]/Tabla13[[#This Row],[Columna5]]</f>
        <v>382878.86000000004</v>
      </c>
      <c r="D790" s="51">
        <f>+Tabla13[[#This Row],[PRECIO INSTALADOR (IVA INCLUIDO)]]-F790</f>
        <v>363734.91700000002</v>
      </c>
      <c r="E790" s="51">
        <f>+Tabla13[[#This Row],[PRECIO INSTALADOR (IVA INCLUIDO)]]/0.7</f>
        <v>546969.80000000005</v>
      </c>
      <c r="F790" s="50">
        <f>+Tabla13[[#This Row],[PRECIO INSTALADOR (IVA INCLUIDO)]]*5%</f>
        <v>19143.943000000003</v>
      </c>
      <c r="G790" s="12">
        <v>0.85</v>
      </c>
      <c r="H790" s="11">
        <f>Tabla13[[#This Row],[COSTO]]*1.19</f>
        <v>325447.03100000002</v>
      </c>
      <c r="I790" s="10"/>
      <c r="J790" s="9"/>
      <c r="K790" s="43">
        <v>273484.90000000002</v>
      </c>
    </row>
    <row r="791" spans="1:11" ht="13.5" x14ac:dyDescent="0.2">
      <c r="A791" s="38" t="s">
        <v>175</v>
      </c>
      <c r="B791" s="49" t="s">
        <v>174</v>
      </c>
      <c r="C791" s="51">
        <f>+Tabla13[[#This Row],[Columna6]]/Tabla13[[#This Row],[Columna5]]</f>
        <v>416476.06</v>
      </c>
      <c r="D791" s="51">
        <f>+Tabla13[[#This Row],[PRECIO INSTALADOR (IVA INCLUIDO)]]-F791</f>
        <v>395652.25699999998</v>
      </c>
      <c r="E791" s="51">
        <f>+Tabla13[[#This Row],[PRECIO INSTALADOR (IVA INCLUIDO)]]/0.7</f>
        <v>594965.80000000005</v>
      </c>
      <c r="F791" s="50">
        <f>+Tabla13[[#This Row],[PRECIO INSTALADOR (IVA INCLUIDO)]]*5%</f>
        <v>20823.803</v>
      </c>
      <c r="G791" s="12">
        <v>0.85</v>
      </c>
      <c r="H791" s="11">
        <f>Tabla13[[#This Row],[COSTO]]*1.19</f>
        <v>354004.65100000001</v>
      </c>
      <c r="I791" s="10"/>
      <c r="J791" s="9"/>
      <c r="K791" s="43">
        <v>297482.90000000002</v>
      </c>
    </row>
    <row r="792" spans="1:11" ht="13.5" x14ac:dyDescent="0.2">
      <c r="A792" s="38" t="s">
        <v>173</v>
      </c>
      <c r="B792" s="49" t="s">
        <v>172</v>
      </c>
      <c r="C792" s="51">
        <f>+Tabla13[[#This Row],[Columna6]]/Tabla13[[#This Row],[Columna5]]</f>
        <v>425322.66000000003</v>
      </c>
      <c r="D792" s="51">
        <f>+Tabla13[[#This Row],[PRECIO INSTALADOR (IVA INCLUIDO)]]-F792</f>
        <v>404056.527</v>
      </c>
      <c r="E792" s="51">
        <f>+Tabla13[[#This Row],[PRECIO INSTALADOR (IVA INCLUIDO)]]/0.7</f>
        <v>607603.80000000005</v>
      </c>
      <c r="F792" s="50">
        <f>+Tabla13[[#This Row],[PRECIO INSTALADOR (IVA INCLUIDO)]]*5%</f>
        <v>21266.133000000002</v>
      </c>
      <c r="G792" s="12">
        <v>0.85</v>
      </c>
      <c r="H792" s="11">
        <f>Tabla13[[#This Row],[COSTO]]*1.19</f>
        <v>361524.261</v>
      </c>
      <c r="I792" s="10"/>
      <c r="J792" s="9"/>
      <c r="K792" s="43">
        <v>303801.90000000002</v>
      </c>
    </row>
    <row r="793" spans="1:11" ht="13.5" x14ac:dyDescent="0.2">
      <c r="A793" s="38" t="s">
        <v>171</v>
      </c>
      <c r="B793" s="49" t="s">
        <v>170</v>
      </c>
      <c r="C793" s="51">
        <f>+Tabla13[[#This Row],[Columna6]]/Tabla13[[#This Row],[Columna5]]</f>
        <v>450669.66000000003</v>
      </c>
      <c r="D793" s="51">
        <f>+Tabla13[[#This Row],[PRECIO INSTALADOR (IVA INCLUIDO)]]-F793</f>
        <v>428136.17700000003</v>
      </c>
      <c r="E793" s="51">
        <f>+Tabla13[[#This Row],[PRECIO INSTALADOR (IVA INCLUIDO)]]/0.7</f>
        <v>643813.80000000005</v>
      </c>
      <c r="F793" s="50">
        <f>+Tabla13[[#This Row],[PRECIO INSTALADOR (IVA INCLUIDO)]]*5%</f>
        <v>22533.483000000004</v>
      </c>
      <c r="G793" s="12">
        <v>0.85</v>
      </c>
      <c r="H793" s="11">
        <f>Tabla13[[#This Row],[COSTO]]*1.19</f>
        <v>383069.21100000001</v>
      </c>
      <c r="I793" s="10"/>
      <c r="J793" s="9"/>
      <c r="K793" s="43">
        <v>321906.90000000002</v>
      </c>
    </row>
    <row r="794" spans="1:11" ht="13.5" x14ac:dyDescent="0.2">
      <c r="A794" s="38" t="s">
        <v>169</v>
      </c>
      <c r="B794" s="49" t="s">
        <v>168</v>
      </c>
      <c r="C794" s="51">
        <f>+Tabla13[[#This Row],[Columna6]]/Tabla13[[#This Row],[Columna5]]</f>
        <v>490529.06</v>
      </c>
      <c r="D794" s="51">
        <f>+Tabla13[[#This Row],[PRECIO INSTALADOR (IVA INCLUIDO)]]-F794</f>
        <v>466002.60700000002</v>
      </c>
      <c r="E794" s="51">
        <f>+Tabla13[[#This Row],[PRECIO INSTALADOR (IVA INCLUIDO)]]/0.7</f>
        <v>700755.8</v>
      </c>
      <c r="F794" s="50">
        <f>+Tabla13[[#This Row],[PRECIO INSTALADOR (IVA INCLUIDO)]]*5%</f>
        <v>24526.453000000001</v>
      </c>
      <c r="G794" s="12">
        <v>0.85</v>
      </c>
      <c r="H794" s="11">
        <f>Tabla13[[#This Row],[COSTO]]*1.19</f>
        <v>416949.701</v>
      </c>
      <c r="I794" s="10"/>
      <c r="J794" s="9"/>
      <c r="K794" s="43">
        <v>350377.9</v>
      </c>
    </row>
    <row r="795" spans="1:11" ht="13.5" x14ac:dyDescent="0.2">
      <c r="A795" s="39"/>
      <c r="B795" s="59" t="s">
        <v>167</v>
      </c>
      <c r="C795" s="58"/>
      <c r="D795" s="58"/>
      <c r="E795" s="58"/>
      <c r="F795" s="57">
        <f>+Tabla13[[#This Row],[PRECIO INSTALADOR (IVA INCLUIDO)]]*5%</f>
        <v>0</v>
      </c>
      <c r="G795" s="12">
        <v>0.85</v>
      </c>
      <c r="H795" s="11">
        <f>Tabla13[[#This Row],[COSTO]]*1.19</f>
        <v>0</v>
      </c>
      <c r="I795" s="10"/>
      <c r="J795" s="9"/>
      <c r="K795" s="43"/>
    </row>
    <row r="796" spans="1:11" ht="13.5" x14ac:dyDescent="0.2">
      <c r="A796" s="38" t="s">
        <v>166</v>
      </c>
      <c r="B796" s="49" t="s">
        <v>165</v>
      </c>
      <c r="C796" s="51">
        <f>+Tabla13[[#This Row],[Columna6]]/Tabla13[[#This Row],[Columna5]]</f>
        <v>380692.06</v>
      </c>
      <c r="D796" s="51">
        <f>+Tabla13[[#This Row],[PRECIO INSTALADOR (IVA INCLUIDO)]]-F796</f>
        <v>361657.45699999999</v>
      </c>
      <c r="E796" s="51">
        <f>+Tabla13[[#This Row],[PRECIO INSTALADOR (IVA INCLUIDO)]]/0.7</f>
        <v>543845.80000000005</v>
      </c>
      <c r="F796" s="50">
        <f>+Tabla13[[#This Row],[PRECIO INSTALADOR (IVA INCLUIDO)]]*5%</f>
        <v>19034.602999999999</v>
      </c>
      <c r="G796" s="12">
        <v>0.85</v>
      </c>
      <c r="H796" s="11">
        <f>Tabla13[[#This Row],[COSTO]]*1.19</f>
        <v>323588.25099999999</v>
      </c>
      <c r="I796" s="10"/>
      <c r="J796" s="9"/>
      <c r="K796" s="43">
        <v>271922.90000000002</v>
      </c>
    </row>
    <row r="797" spans="1:11" ht="13.5" x14ac:dyDescent="0.2">
      <c r="A797" s="38" t="s">
        <v>164</v>
      </c>
      <c r="B797" s="49" t="s">
        <v>163</v>
      </c>
      <c r="C797" s="51">
        <f>+Tabla13[[#This Row],[Columna6]]/Tabla13[[#This Row],[Columna5]]</f>
        <v>425322.66000000003</v>
      </c>
      <c r="D797" s="51">
        <f>+Tabla13[[#This Row],[PRECIO INSTALADOR (IVA INCLUIDO)]]-F797</f>
        <v>404056.527</v>
      </c>
      <c r="E797" s="51">
        <f>+Tabla13[[#This Row],[PRECIO INSTALADOR (IVA INCLUIDO)]]/0.7</f>
        <v>607603.80000000005</v>
      </c>
      <c r="F797" s="50">
        <f>+Tabla13[[#This Row],[PRECIO INSTALADOR (IVA INCLUIDO)]]*5%</f>
        <v>21266.133000000002</v>
      </c>
      <c r="G797" s="12">
        <v>0.85</v>
      </c>
      <c r="H797" s="11">
        <f>Tabla13[[#This Row],[COSTO]]*1.19</f>
        <v>361524.261</v>
      </c>
      <c r="I797" s="10"/>
      <c r="J797" s="9"/>
      <c r="K797" s="43">
        <v>303801.90000000002</v>
      </c>
    </row>
    <row r="798" spans="1:11" ht="13.5" x14ac:dyDescent="0.2">
      <c r="A798" s="39"/>
      <c r="B798" s="59" t="s">
        <v>162</v>
      </c>
      <c r="C798" s="58"/>
      <c r="D798" s="58"/>
      <c r="E798" s="58"/>
      <c r="F798" s="57">
        <f>+Tabla13[[#This Row],[PRECIO INSTALADOR (IVA INCLUIDO)]]*5%</f>
        <v>0</v>
      </c>
      <c r="G798" s="12">
        <v>0.85</v>
      </c>
      <c r="H798" s="11">
        <f>Tabla13[[#This Row],[COSTO]]*1.19</f>
        <v>0</v>
      </c>
      <c r="I798" s="10"/>
      <c r="J798" s="9"/>
      <c r="K798" s="43"/>
    </row>
    <row r="799" spans="1:11" ht="13.5" x14ac:dyDescent="0.2">
      <c r="A799" s="38" t="s">
        <v>161</v>
      </c>
      <c r="B799" s="49" t="s">
        <v>160</v>
      </c>
      <c r="C799" s="51">
        <f>+Tabla13[[#This Row],[Columna6]]/Tabla13[[#This Row],[Columna5]]</f>
        <v>404051.06</v>
      </c>
      <c r="D799" s="51">
        <f>+Tabla13[[#This Row],[PRECIO INSTALADOR (IVA INCLUIDO)]]-F799</f>
        <v>383848.50699999998</v>
      </c>
      <c r="E799" s="51">
        <f>+Tabla13[[#This Row],[PRECIO INSTALADOR (IVA INCLUIDO)]]/0.7</f>
        <v>577215.80000000005</v>
      </c>
      <c r="F799" s="50">
        <f>+Tabla13[[#This Row],[PRECIO INSTALADOR (IVA INCLUIDO)]]*5%</f>
        <v>20202.553</v>
      </c>
      <c r="G799" s="12">
        <v>0.85</v>
      </c>
      <c r="H799" s="11">
        <f>Tabla13[[#This Row],[COSTO]]*1.19</f>
        <v>343443.40100000001</v>
      </c>
      <c r="I799" s="10"/>
      <c r="J799" s="9"/>
      <c r="K799" s="43">
        <v>288607.90000000002</v>
      </c>
    </row>
    <row r="800" spans="1:11" ht="13.5" x14ac:dyDescent="0.2">
      <c r="A800" s="38" t="s">
        <v>159</v>
      </c>
      <c r="B800" s="49" t="s">
        <v>158</v>
      </c>
      <c r="C800" s="51">
        <f>+Tabla13[[#This Row],[Columna6]]/Tabla13[[#This Row],[Columna5]]</f>
        <v>404051.06</v>
      </c>
      <c r="D800" s="51">
        <f>+Tabla13[[#This Row],[PRECIO INSTALADOR (IVA INCLUIDO)]]-F800</f>
        <v>383848.50699999998</v>
      </c>
      <c r="E800" s="51">
        <f>+Tabla13[[#This Row],[PRECIO INSTALADOR (IVA INCLUIDO)]]/0.7</f>
        <v>577215.80000000005</v>
      </c>
      <c r="F800" s="50">
        <f>+Tabla13[[#This Row],[PRECIO INSTALADOR (IVA INCLUIDO)]]*5%</f>
        <v>20202.553</v>
      </c>
      <c r="G800" s="12">
        <v>0.85</v>
      </c>
      <c r="H800" s="11">
        <f>Tabla13[[#This Row],[COSTO]]*1.19</f>
        <v>343443.40100000001</v>
      </c>
      <c r="I800" s="10"/>
      <c r="J800" s="9"/>
      <c r="K800" s="43">
        <v>288607.90000000002</v>
      </c>
    </row>
    <row r="801" spans="1:11" ht="13.5" x14ac:dyDescent="0.2">
      <c r="A801" s="38" t="s">
        <v>157</v>
      </c>
      <c r="B801" s="49" t="s">
        <v>156</v>
      </c>
      <c r="C801" s="51">
        <f>+Tabla13[[#This Row],[Columna6]]/Tabla13[[#This Row],[Columna5]]</f>
        <v>462597.66000000003</v>
      </c>
      <c r="D801" s="51">
        <f>+Tabla13[[#This Row],[PRECIO INSTALADOR (IVA INCLUIDO)]]-F801</f>
        <v>439467.777</v>
      </c>
      <c r="E801" s="51">
        <f>+Tabla13[[#This Row],[PRECIO INSTALADOR (IVA INCLUIDO)]]/0.7</f>
        <v>660853.80000000005</v>
      </c>
      <c r="F801" s="50">
        <f>+Tabla13[[#This Row],[PRECIO INSTALADOR (IVA INCLUIDO)]]*5%</f>
        <v>23129.883000000002</v>
      </c>
      <c r="G801" s="12">
        <v>0.85</v>
      </c>
      <c r="H801" s="11">
        <f>Tabla13[[#This Row],[COSTO]]*1.19</f>
        <v>393208.011</v>
      </c>
      <c r="I801" s="10"/>
      <c r="J801" s="9"/>
      <c r="K801" s="43">
        <v>330426.90000000002</v>
      </c>
    </row>
    <row r="802" spans="1:11" ht="13.5" x14ac:dyDescent="0.2">
      <c r="A802" s="38" t="s">
        <v>155</v>
      </c>
      <c r="B802" s="49" t="s">
        <v>154</v>
      </c>
      <c r="C802" s="51">
        <f>+Tabla13[[#This Row],[Columna6]]/Tabla13[[#This Row],[Columna5]]</f>
        <v>474326.86000000004</v>
      </c>
      <c r="D802" s="51">
        <f>+Tabla13[[#This Row],[PRECIO INSTALADOR (IVA INCLUIDO)]]-F802</f>
        <v>450610.51700000005</v>
      </c>
      <c r="E802" s="51">
        <f>+Tabla13[[#This Row],[PRECIO INSTALADOR (IVA INCLUIDO)]]/0.7</f>
        <v>677609.80000000016</v>
      </c>
      <c r="F802" s="50">
        <f>+Tabla13[[#This Row],[PRECIO INSTALADOR (IVA INCLUIDO)]]*5%</f>
        <v>23716.343000000004</v>
      </c>
      <c r="G802" s="12">
        <v>0.85</v>
      </c>
      <c r="H802" s="11">
        <f>Tabla13[[#This Row],[COSTO]]*1.19</f>
        <v>403177.83100000001</v>
      </c>
      <c r="I802" s="10"/>
      <c r="J802" s="9"/>
      <c r="K802" s="43">
        <v>338804.9</v>
      </c>
    </row>
    <row r="803" spans="1:11" ht="13.5" x14ac:dyDescent="0.2">
      <c r="A803" s="38" t="s">
        <v>153</v>
      </c>
      <c r="B803" s="49" t="s">
        <v>152</v>
      </c>
      <c r="C803" s="51">
        <f>+Tabla13[[#This Row],[Columna6]]/Tabla13[[#This Row],[Columna5]]</f>
        <v>474326.86000000004</v>
      </c>
      <c r="D803" s="51">
        <f>+Tabla13[[#This Row],[PRECIO INSTALADOR (IVA INCLUIDO)]]-F803</f>
        <v>450610.51700000005</v>
      </c>
      <c r="E803" s="51">
        <f>+Tabla13[[#This Row],[PRECIO INSTALADOR (IVA INCLUIDO)]]/0.7</f>
        <v>677609.80000000016</v>
      </c>
      <c r="F803" s="50">
        <f>+Tabla13[[#This Row],[PRECIO INSTALADOR (IVA INCLUIDO)]]*5%</f>
        <v>23716.343000000004</v>
      </c>
      <c r="G803" s="12">
        <v>0.85</v>
      </c>
      <c r="H803" s="11">
        <f>Tabla13[[#This Row],[COSTO]]*1.19</f>
        <v>403177.83100000001</v>
      </c>
      <c r="I803" s="10"/>
      <c r="J803" s="9"/>
      <c r="K803" s="43">
        <v>338804.9</v>
      </c>
    </row>
    <row r="804" spans="1:11" ht="13.5" x14ac:dyDescent="0.2">
      <c r="A804" s="38" t="s">
        <v>151</v>
      </c>
      <c r="B804" s="49" t="s">
        <v>150</v>
      </c>
      <c r="C804" s="51">
        <f>+Tabla13[[#This Row],[Columna6]]/Tabla13[[#This Row],[Columna5]]</f>
        <v>538638.66</v>
      </c>
      <c r="D804" s="51">
        <f>+Tabla13[[#This Row],[PRECIO INSTALADOR (IVA INCLUIDO)]]-F804</f>
        <v>511706.72700000001</v>
      </c>
      <c r="E804" s="51">
        <f>+Tabla13[[#This Row],[PRECIO INSTALADOR (IVA INCLUIDO)]]/0.7</f>
        <v>769483.8</v>
      </c>
      <c r="F804" s="50">
        <f>+Tabla13[[#This Row],[PRECIO INSTALADOR (IVA INCLUIDO)]]*5%</f>
        <v>26931.933000000005</v>
      </c>
      <c r="G804" s="12">
        <v>0.85</v>
      </c>
      <c r="H804" s="11">
        <f>Tabla13[[#This Row],[COSTO]]*1.19</f>
        <v>457842.86100000003</v>
      </c>
      <c r="I804" s="10"/>
      <c r="J804" s="9"/>
      <c r="K804" s="43">
        <v>384741.9</v>
      </c>
    </row>
    <row r="805" spans="1:11" ht="13.5" x14ac:dyDescent="0.2">
      <c r="A805" s="38" t="s">
        <v>149</v>
      </c>
      <c r="B805" s="49" t="s">
        <v>148</v>
      </c>
      <c r="C805" s="51">
        <f>+Tabla13[[#This Row],[Columna6]]/Tabla13[[#This Row],[Columna5]]</f>
        <v>754137.86</v>
      </c>
      <c r="D805" s="51">
        <f>+Tabla13[[#This Row],[PRECIO INSTALADOR (IVA INCLUIDO)]]-F805</f>
        <v>716430.96699999995</v>
      </c>
      <c r="E805" s="51">
        <f>+Tabla13[[#This Row],[PRECIO INSTALADOR (IVA INCLUIDO)]]/0.7</f>
        <v>1077339.8</v>
      </c>
      <c r="F805" s="50">
        <f>+Tabla13[[#This Row],[PRECIO INSTALADOR (IVA INCLUIDO)]]*5%</f>
        <v>37706.893000000004</v>
      </c>
      <c r="G805" s="12">
        <v>0.85</v>
      </c>
      <c r="H805" s="11">
        <f>Tabla13[[#This Row],[COSTO]]*1.19</f>
        <v>641017.18099999998</v>
      </c>
      <c r="I805" s="10"/>
      <c r="J805" s="9"/>
      <c r="K805" s="43">
        <v>538669.9</v>
      </c>
    </row>
    <row r="806" spans="1:11" ht="13.5" x14ac:dyDescent="0.2">
      <c r="A806" s="38" t="s">
        <v>147</v>
      </c>
      <c r="B806" s="49" t="s">
        <v>146</v>
      </c>
      <c r="C806" s="51">
        <f>+Tabla13[[#This Row],[Columna6]]/Tabla13[[#This Row],[Columna5]]</f>
        <v>853736.66</v>
      </c>
      <c r="D806" s="51">
        <f>+Tabla13[[#This Row],[PRECIO INSTALADOR (IVA INCLUIDO)]]-F806</f>
        <v>811049.82700000005</v>
      </c>
      <c r="E806" s="51">
        <f>+Tabla13[[#This Row],[PRECIO INSTALADOR (IVA INCLUIDO)]]/0.7</f>
        <v>1219623.8</v>
      </c>
      <c r="F806" s="50">
        <f>+Tabla13[[#This Row],[PRECIO INSTALADOR (IVA INCLUIDO)]]*5%</f>
        <v>42686.833000000006</v>
      </c>
      <c r="G806" s="12">
        <v>0.85</v>
      </c>
      <c r="H806" s="11">
        <f>Tabla13[[#This Row],[COSTO]]*1.19</f>
        <v>725676.16099999996</v>
      </c>
      <c r="I806" s="10"/>
      <c r="J806" s="9"/>
      <c r="K806" s="43">
        <v>609811.9</v>
      </c>
    </row>
    <row r="807" spans="1:11" ht="13.5" x14ac:dyDescent="0.2">
      <c r="A807" s="39"/>
      <c r="B807" s="59" t="s">
        <v>145</v>
      </c>
      <c r="C807" s="58"/>
      <c r="D807" s="58"/>
      <c r="E807" s="58"/>
      <c r="F807" s="57">
        <f>+Tabla13[[#This Row],[PRECIO INSTALADOR (IVA INCLUIDO)]]*5%</f>
        <v>0</v>
      </c>
      <c r="G807" s="12">
        <v>0.85</v>
      </c>
      <c r="H807" s="11">
        <f>Tabla13[[#This Row],[COSTO]]*1.19</f>
        <v>0</v>
      </c>
      <c r="I807" s="10"/>
      <c r="J807" s="9"/>
      <c r="K807" s="43"/>
    </row>
    <row r="808" spans="1:11" ht="13.5" x14ac:dyDescent="0.2">
      <c r="A808" s="38" t="s">
        <v>144</v>
      </c>
      <c r="B808" s="49" t="s">
        <v>143</v>
      </c>
      <c r="C808" s="51">
        <f>+Tabla13[[#This Row],[Columna6]]/Tabla13[[#This Row],[Columna5]]</f>
        <v>558618.06000000006</v>
      </c>
      <c r="D808" s="51">
        <f>+Tabla13[[#This Row],[PRECIO INSTALADOR (IVA INCLUIDO)]]-F808</f>
        <v>530687.15700000001</v>
      </c>
      <c r="E808" s="51">
        <f>+Tabla13[[#This Row],[PRECIO INSTALADOR (IVA INCLUIDO)]]/0.7</f>
        <v>798025.80000000016</v>
      </c>
      <c r="F808" s="50">
        <f>+Tabla13[[#This Row],[PRECIO INSTALADOR (IVA INCLUIDO)]]*5%</f>
        <v>27930.903000000006</v>
      </c>
      <c r="G808" s="12">
        <v>0.85</v>
      </c>
      <c r="H808" s="11">
        <f>Tabla13[[#This Row],[COSTO]]*1.19</f>
        <v>474825.35100000002</v>
      </c>
      <c r="I808" s="10"/>
      <c r="J808" s="9"/>
      <c r="K808" s="43">
        <v>399012.9</v>
      </c>
    </row>
    <row r="809" spans="1:11" ht="13.5" x14ac:dyDescent="0.2">
      <c r="A809" s="38" t="s">
        <v>142</v>
      </c>
      <c r="B809" s="49" t="s">
        <v>141</v>
      </c>
      <c r="C809" s="51">
        <f>+Tabla13[[#This Row],[Columna6]]/Tabla13[[#This Row],[Columna5]]</f>
        <v>631180.05999999994</v>
      </c>
      <c r="D809" s="51">
        <f>+Tabla13[[#This Row],[PRECIO INSTALADOR (IVA INCLUIDO)]]-F809</f>
        <v>599621.05699999991</v>
      </c>
      <c r="E809" s="51">
        <f>+Tabla13[[#This Row],[PRECIO INSTALADOR (IVA INCLUIDO)]]/0.7</f>
        <v>901685.79999999993</v>
      </c>
      <c r="F809" s="50">
        <f>+Tabla13[[#This Row],[PRECIO INSTALADOR (IVA INCLUIDO)]]*5%</f>
        <v>31559.002999999997</v>
      </c>
      <c r="G809" s="12">
        <v>0.85</v>
      </c>
      <c r="H809" s="11">
        <f>Tabla13[[#This Row],[COSTO]]*1.19</f>
        <v>536503.05099999998</v>
      </c>
      <c r="I809" s="10"/>
      <c r="J809" s="9"/>
      <c r="K809" s="43">
        <v>450842.9</v>
      </c>
    </row>
    <row r="810" spans="1:11" ht="13.5" x14ac:dyDescent="0.2">
      <c r="A810" s="39"/>
      <c r="B810" s="59" t="s">
        <v>140</v>
      </c>
      <c r="C810" s="58"/>
      <c r="D810" s="58"/>
      <c r="E810" s="58"/>
      <c r="F810" s="57">
        <f>+Tabla13[[#This Row],[PRECIO INSTALADOR (IVA INCLUIDO)]]*5%</f>
        <v>0</v>
      </c>
      <c r="G810" s="12">
        <v>0.85</v>
      </c>
      <c r="H810" s="11">
        <f>Tabla13[[#This Row],[COSTO]]*1.19</f>
        <v>0</v>
      </c>
      <c r="I810" s="10"/>
      <c r="J810" s="9"/>
      <c r="K810" s="43"/>
    </row>
    <row r="811" spans="1:11" ht="13.5" x14ac:dyDescent="0.2">
      <c r="A811" s="38" t="s">
        <v>139</v>
      </c>
      <c r="B811" s="49" t="s">
        <v>138</v>
      </c>
      <c r="C811" s="51">
        <f>+Tabla13[[#This Row],[Columna6]]/Tabla13[[#This Row],[Columna5]]</f>
        <v>598378.06000000006</v>
      </c>
      <c r="D811" s="51">
        <f>+Tabla13[[#This Row],[PRECIO INSTALADOR (IVA INCLUIDO)]]-F811</f>
        <v>568459.15700000001</v>
      </c>
      <c r="E811" s="51">
        <f>+Tabla13[[#This Row],[PRECIO INSTALADOR (IVA INCLUIDO)]]/0.7</f>
        <v>854825.80000000016</v>
      </c>
      <c r="F811" s="50">
        <f>+Tabla13[[#This Row],[PRECIO INSTALADOR (IVA INCLUIDO)]]*5%</f>
        <v>29918.903000000006</v>
      </c>
      <c r="G811" s="12">
        <v>0.85</v>
      </c>
      <c r="H811" s="11">
        <f>Tabla13[[#This Row],[COSTO]]*1.19</f>
        <v>508621.35100000002</v>
      </c>
      <c r="I811" s="10"/>
      <c r="J811" s="9"/>
      <c r="K811" s="43">
        <v>427412.9</v>
      </c>
    </row>
    <row r="812" spans="1:11" ht="13.5" x14ac:dyDescent="0.2">
      <c r="A812" s="38" t="s">
        <v>137</v>
      </c>
      <c r="B812" s="49" t="s">
        <v>136</v>
      </c>
      <c r="C812" s="51">
        <f>+Tabla13[[#This Row],[Columna6]]/Tabla13[[#This Row],[Columna5]]</f>
        <v>598378.06000000006</v>
      </c>
      <c r="D812" s="51">
        <f>+Tabla13[[#This Row],[PRECIO INSTALADOR (IVA INCLUIDO)]]-F812</f>
        <v>568459.15700000001</v>
      </c>
      <c r="E812" s="51">
        <f>+Tabla13[[#This Row],[PRECIO INSTALADOR (IVA INCLUIDO)]]/0.7</f>
        <v>854825.80000000016</v>
      </c>
      <c r="F812" s="50">
        <f>+Tabla13[[#This Row],[PRECIO INSTALADOR (IVA INCLUIDO)]]*5%</f>
        <v>29918.903000000006</v>
      </c>
      <c r="G812" s="12">
        <v>0.85</v>
      </c>
      <c r="H812" s="11">
        <f>Tabla13[[#This Row],[COSTO]]*1.19</f>
        <v>508621.35100000002</v>
      </c>
      <c r="I812" s="10"/>
      <c r="J812" s="9"/>
      <c r="K812" s="43">
        <v>427412.9</v>
      </c>
    </row>
    <row r="813" spans="1:11" ht="13.5" x14ac:dyDescent="0.2">
      <c r="A813" s="38" t="s">
        <v>135</v>
      </c>
      <c r="B813" s="49" t="s">
        <v>134</v>
      </c>
      <c r="C813" s="51">
        <f>+Tabla13[[#This Row],[Columna6]]/Tabla13[[#This Row],[Columna5]]</f>
        <v>654737.86</v>
      </c>
      <c r="D813" s="51">
        <f>+Tabla13[[#This Row],[PRECIO INSTALADOR (IVA INCLUIDO)]]-F813</f>
        <v>622000.96699999995</v>
      </c>
      <c r="E813" s="51">
        <f>+Tabla13[[#This Row],[PRECIO INSTALADOR (IVA INCLUIDO)]]/0.7</f>
        <v>935339.8</v>
      </c>
      <c r="F813" s="50">
        <f>+Tabla13[[#This Row],[PRECIO INSTALADOR (IVA INCLUIDO)]]*5%</f>
        <v>32736.893</v>
      </c>
      <c r="G813" s="12">
        <v>0.85</v>
      </c>
      <c r="H813" s="11">
        <f>Tabla13[[#This Row],[COSTO]]*1.19</f>
        <v>556527.18099999998</v>
      </c>
      <c r="I813" s="10"/>
      <c r="J813" s="9"/>
      <c r="K813" s="43">
        <v>467669.9</v>
      </c>
    </row>
    <row r="814" spans="1:11" ht="13.5" x14ac:dyDescent="0.2">
      <c r="A814" s="38" t="s">
        <v>133</v>
      </c>
      <c r="B814" s="49" t="s">
        <v>132</v>
      </c>
      <c r="C814" s="51">
        <f>+Tabla13[[#This Row],[Columna6]]/Tabla13[[#This Row],[Columna5]]</f>
        <v>669846.66</v>
      </c>
      <c r="D814" s="51">
        <f>+Tabla13[[#This Row],[PRECIO INSTALADOR (IVA INCLUIDO)]]-F814</f>
        <v>636354.32700000005</v>
      </c>
      <c r="E814" s="51">
        <f>+Tabla13[[#This Row],[PRECIO INSTALADOR (IVA INCLUIDO)]]/0.7</f>
        <v>956923.80000000016</v>
      </c>
      <c r="F814" s="50">
        <f>+Tabla13[[#This Row],[PRECIO INSTALADOR (IVA INCLUIDO)]]*5%</f>
        <v>33492.333000000006</v>
      </c>
      <c r="G814" s="12">
        <v>0.85</v>
      </c>
      <c r="H814" s="11">
        <f>Tabla13[[#This Row],[COSTO]]*1.19</f>
        <v>569369.66099999996</v>
      </c>
      <c r="I814" s="10"/>
      <c r="J814" s="9"/>
      <c r="K814" s="43">
        <v>478461.9</v>
      </c>
    </row>
    <row r="815" spans="1:11" ht="13.5" x14ac:dyDescent="0.2">
      <c r="A815" s="38" t="s">
        <v>131</v>
      </c>
      <c r="B815" s="49" t="s">
        <v>130</v>
      </c>
      <c r="C815" s="51">
        <f>+Tabla13[[#This Row],[Columna6]]/Tabla13[[#This Row],[Columna5]]</f>
        <v>669846.66</v>
      </c>
      <c r="D815" s="51">
        <f>+Tabla13[[#This Row],[PRECIO INSTALADOR (IVA INCLUIDO)]]-F815</f>
        <v>636354.32700000005</v>
      </c>
      <c r="E815" s="51">
        <f>+Tabla13[[#This Row],[PRECIO INSTALADOR (IVA INCLUIDO)]]/0.7</f>
        <v>956923.80000000016</v>
      </c>
      <c r="F815" s="50">
        <f>+Tabla13[[#This Row],[PRECIO INSTALADOR (IVA INCLUIDO)]]*5%</f>
        <v>33492.333000000006</v>
      </c>
      <c r="G815" s="12">
        <v>0.85</v>
      </c>
      <c r="H815" s="11">
        <f>Tabla13[[#This Row],[COSTO]]*1.19</f>
        <v>569369.66099999996</v>
      </c>
      <c r="I815" s="10"/>
      <c r="J815" s="9"/>
      <c r="K815" s="43">
        <v>478461.9</v>
      </c>
    </row>
    <row r="816" spans="1:11" ht="13.5" x14ac:dyDescent="0.2">
      <c r="A816" s="38" t="s">
        <v>129</v>
      </c>
      <c r="B816" s="49" t="s">
        <v>128</v>
      </c>
      <c r="C816" s="51">
        <f>+Tabla13[[#This Row],[Columna6]]/Tabla13[[#This Row],[Columna5]]</f>
        <v>729586.05999999994</v>
      </c>
      <c r="D816" s="51">
        <f>+Tabla13[[#This Row],[PRECIO INSTALADOR (IVA INCLUIDO)]]-F816</f>
        <v>693106.75699999998</v>
      </c>
      <c r="E816" s="51">
        <f>+Tabla13[[#This Row],[PRECIO INSTALADOR (IVA INCLUIDO)]]/0.7</f>
        <v>1042265.7999999999</v>
      </c>
      <c r="F816" s="50">
        <f>+Tabla13[[#This Row],[PRECIO INSTALADOR (IVA INCLUIDO)]]*5%</f>
        <v>36479.303</v>
      </c>
      <c r="G816" s="12">
        <v>0.85</v>
      </c>
      <c r="H816" s="11">
        <f>Tabla13[[#This Row],[COSTO]]*1.19</f>
        <v>620148.15099999995</v>
      </c>
      <c r="I816" s="10"/>
      <c r="J816" s="9"/>
      <c r="K816" s="43">
        <v>521132.9</v>
      </c>
    </row>
    <row r="817" spans="1:17" ht="13.5" x14ac:dyDescent="0.2">
      <c r="A817" s="39"/>
      <c r="B817" s="56" t="s">
        <v>127</v>
      </c>
      <c r="C817" s="55"/>
      <c r="D817" s="55"/>
      <c r="E817" s="55"/>
      <c r="F817" s="54">
        <f>+Tabla13[[#This Row],[PRECIO INSTALADOR (IVA INCLUIDO)]]*5%</f>
        <v>0</v>
      </c>
      <c r="G817" s="12">
        <v>0.85</v>
      </c>
      <c r="H817" s="11">
        <f>Tabla13[[#This Row],[COSTO]]*1.19</f>
        <v>0</v>
      </c>
      <c r="I817" s="10"/>
      <c r="J817" s="9"/>
      <c r="K817" s="43"/>
    </row>
    <row r="818" spans="1:17" ht="13.5" x14ac:dyDescent="0.2">
      <c r="A818" s="38" t="s">
        <v>126</v>
      </c>
      <c r="B818" s="49" t="s">
        <v>125</v>
      </c>
      <c r="C818" s="51">
        <f>+Tabla13[[#This Row],[Columna6]]/Tabla13[[#This Row],[Columna5]]</f>
        <v>9731.26</v>
      </c>
      <c r="D818" s="51">
        <f>+Tabla13[[#This Row],[PRECIO INSTALADOR (IVA INCLUIDO)]]-F818</f>
        <v>9244.6970000000001</v>
      </c>
      <c r="E818" s="51">
        <f>+Tabla13[[#This Row],[PRECIO INSTALADOR (IVA INCLUIDO)]]/0.7</f>
        <v>13901.800000000001</v>
      </c>
      <c r="F818" s="50">
        <f>+Tabla13[[#This Row],[PRECIO INSTALADOR (IVA INCLUIDO)]]*5%</f>
        <v>486.56300000000005</v>
      </c>
      <c r="G818" s="12">
        <v>0.85</v>
      </c>
      <c r="H818" s="11">
        <f>Tabla13[[#This Row],[COSTO]]*1.19</f>
        <v>8271.5709999999999</v>
      </c>
      <c r="I818" s="10"/>
      <c r="J818" s="9"/>
      <c r="K818" s="43">
        <v>6950.9</v>
      </c>
    </row>
    <row r="819" spans="1:17" ht="12.75" customHeight="1" x14ac:dyDescent="0.2">
      <c r="A819" s="38" t="s">
        <v>124</v>
      </c>
      <c r="B819" s="49" t="s">
        <v>123</v>
      </c>
      <c r="C819" s="51">
        <f>+Tabla13[[#This Row],[Columna6]]/Tabla13[[#This Row],[Columna5]]</f>
        <v>142231.46</v>
      </c>
      <c r="D819" s="51">
        <f>+Tabla13[[#This Row],[PRECIO INSTALADOR (IVA INCLUIDO)]]-F819</f>
        <v>135119.88699999999</v>
      </c>
      <c r="E819" s="51">
        <f>+Tabla13[[#This Row],[PRECIO INSTALADOR (IVA INCLUIDO)]]/0.7</f>
        <v>203187.8</v>
      </c>
      <c r="F819" s="50">
        <f>+Tabla13[[#This Row],[PRECIO INSTALADOR (IVA INCLUIDO)]]*5%</f>
        <v>7111.5730000000003</v>
      </c>
      <c r="G819" s="12">
        <v>0.85</v>
      </c>
      <c r="H819" s="11">
        <f>Tabla13[[#This Row],[COSTO]]*1.19</f>
        <v>120896.74099999999</v>
      </c>
      <c r="I819" s="10"/>
      <c r="J819" s="9"/>
      <c r="K819" s="43">
        <v>101593.9</v>
      </c>
    </row>
    <row r="820" spans="1:17" ht="13.5" x14ac:dyDescent="0.2">
      <c r="A820" s="38" t="s">
        <v>122</v>
      </c>
      <c r="B820" s="49" t="s">
        <v>121</v>
      </c>
      <c r="C820" s="51">
        <f>+Tabla13[[#This Row],[Columna6]]/Tabla13[[#This Row],[Columna5]]</f>
        <v>169168.86</v>
      </c>
      <c r="D820" s="51">
        <f>+Tabla13[[#This Row],[PRECIO INSTALADOR (IVA INCLUIDO)]]-F820</f>
        <v>160710.41699999999</v>
      </c>
      <c r="E820" s="51">
        <f>+Tabla13[[#This Row],[PRECIO INSTALADOR (IVA INCLUIDO)]]/0.7</f>
        <v>241669.8</v>
      </c>
      <c r="F820" s="50">
        <f>+Tabla13[[#This Row],[PRECIO INSTALADOR (IVA INCLUIDO)]]*5%</f>
        <v>8458.4429999999993</v>
      </c>
      <c r="G820" s="12">
        <v>0.85</v>
      </c>
      <c r="H820" s="11">
        <f>Tabla13[[#This Row],[COSTO]]*1.19</f>
        <v>143793.53099999999</v>
      </c>
      <c r="I820" s="10"/>
      <c r="J820" s="9"/>
      <c r="K820" s="43">
        <v>120834.9</v>
      </c>
      <c r="O820" s="53"/>
      <c r="P820" s="52"/>
      <c r="Q820" s="52"/>
    </row>
    <row r="821" spans="1:17" ht="13.5" x14ac:dyDescent="0.2">
      <c r="A821" s="38" t="s">
        <v>120</v>
      </c>
      <c r="B821" s="49" t="s">
        <v>119</v>
      </c>
      <c r="C821" s="51">
        <f>+Tabla13[[#This Row],[Columna6]]/Tabla13[[#This Row],[Columna5]]</f>
        <v>246502.06</v>
      </c>
      <c r="D821" s="51">
        <f>+Tabla13[[#This Row],[PRECIO INSTALADOR (IVA INCLUIDO)]]-F821</f>
        <v>234176.95699999999</v>
      </c>
      <c r="E821" s="51">
        <f>+Tabla13[[#This Row],[PRECIO INSTALADOR (IVA INCLUIDO)]]/0.7</f>
        <v>352145.80000000005</v>
      </c>
      <c r="F821" s="50">
        <f>+Tabla13[[#This Row],[PRECIO INSTALADOR (IVA INCLUIDO)]]*5%</f>
        <v>12325.103000000001</v>
      </c>
      <c r="G821" s="12">
        <v>0.85</v>
      </c>
      <c r="H821" s="11">
        <f>Tabla13[[#This Row],[COSTO]]*1.19</f>
        <v>209526.75099999999</v>
      </c>
      <c r="I821" s="10"/>
      <c r="J821" s="9"/>
      <c r="K821" s="43">
        <v>176072.9</v>
      </c>
    </row>
    <row r="822" spans="1:17" ht="13.5" x14ac:dyDescent="0.2">
      <c r="A822" s="38" t="s">
        <v>118</v>
      </c>
      <c r="B822" s="49" t="s">
        <v>117</v>
      </c>
      <c r="C822" s="51">
        <f>+Tabla13[[#This Row],[Columna6]]/Tabla13[[#This Row],[Columna5]]</f>
        <v>266183.26</v>
      </c>
      <c r="D822" s="51">
        <f>+Tabla13[[#This Row],[PRECIO INSTALADOR (IVA INCLUIDO)]]-F822</f>
        <v>252874.09700000001</v>
      </c>
      <c r="E822" s="51">
        <f>+Tabla13[[#This Row],[PRECIO INSTALADOR (IVA INCLUIDO)]]/0.7</f>
        <v>380261.80000000005</v>
      </c>
      <c r="F822" s="50">
        <f>+Tabla13[[#This Row],[PRECIO INSTALADOR (IVA INCLUIDO)]]*5%</f>
        <v>13309.163</v>
      </c>
      <c r="G822" s="12">
        <v>0.85</v>
      </c>
      <c r="H822" s="11">
        <f>Tabla13[[#This Row],[COSTO]]*1.19</f>
        <v>226255.77099999998</v>
      </c>
      <c r="I822" s="10"/>
      <c r="J822" s="9"/>
      <c r="K822" s="43">
        <v>190130.9</v>
      </c>
    </row>
    <row r="823" spans="1:17" ht="13.5" x14ac:dyDescent="0.2">
      <c r="A823" s="38" t="s">
        <v>116</v>
      </c>
      <c r="B823" s="49" t="s">
        <v>115</v>
      </c>
      <c r="C823" s="51">
        <f>+Tabla13[[#This Row],[Columna6]]/Tabla13[[#This Row],[Columna5]]</f>
        <v>278409.45999999996</v>
      </c>
      <c r="D823" s="51">
        <f>+Tabla13[[#This Row],[PRECIO INSTALADOR (IVA INCLUIDO)]]-F823</f>
        <v>264488.98699999996</v>
      </c>
      <c r="E823" s="51">
        <f>+Tabla13[[#This Row],[PRECIO INSTALADOR (IVA INCLUIDO)]]/0.7</f>
        <v>397727.8</v>
      </c>
      <c r="F823" s="50">
        <f>+Tabla13[[#This Row],[PRECIO INSTALADOR (IVA INCLUIDO)]]*5%</f>
        <v>13920.472999999998</v>
      </c>
      <c r="G823" s="12">
        <v>0.85</v>
      </c>
      <c r="H823" s="11">
        <f>Tabla13[[#This Row],[COSTO]]*1.19</f>
        <v>236648.04099999997</v>
      </c>
      <c r="I823" s="10"/>
      <c r="J823" s="9"/>
      <c r="K823" s="43">
        <v>198863.9</v>
      </c>
    </row>
    <row r="824" spans="1:17" ht="13.5" x14ac:dyDescent="0.2">
      <c r="A824" s="38" t="s">
        <v>114</v>
      </c>
      <c r="B824" s="49" t="s">
        <v>113</v>
      </c>
      <c r="C824" s="51">
        <f>+Tabla13[[#This Row],[Columna6]]/Tabla13[[#This Row],[Columna5]]</f>
        <v>327513.05999999994</v>
      </c>
      <c r="D824" s="51">
        <f>+Tabla13[[#This Row],[PRECIO INSTALADOR (IVA INCLUIDO)]]-F824</f>
        <v>311137.40699999995</v>
      </c>
      <c r="E824" s="51">
        <f>+Tabla13[[#This Row],[PRECIO INSTALADOR (IVA INCLUIDO)]]/0.7</f>
        <v>467875.79999999993</v>
      </c>
      <c r="F824" s="50">
        <f>+Tabla13[[#This Row],[PRECIO INSTALADOR (IVA INCLUIDO)]]*5%</f>
        <v>16375.652999999998</v>
      </c>
      <c r="G824" s="12">
        <v>0.85</v>
      </c>
      <c r="H824" s="11">
        <f>Tabla13[[#This Row],[COSTO]]*1.19</f>
        <v>278386.10099999997</v>
      </c>
      <c r="I824" s="10"/>
      <c r="J824" s="9"/>
      <c r="K824" s="43">
        <v>233937.9</v>
      </c>
    </row>
    <row r="825" spans="1:17" ht="13.5" x14ac:dyDescent="0.2">
      <c r="A825" s="38" t="s">
        <v>112</v>
      </c>
      <c r="B825" s="49" t="s">
        <v>111</v>
      </c>
      <c r="C825" s="48">
        <f>+Tabla13[[#This Row],[Columna6]]/Tabla13[[#This Row],[Columna5]]</f>
        <v>472239.46</v>
      </c>
      <c r="D825" s="48">
        <f>+Tabla13[[#This Row],[PRECIO INSTALADOR (IVA INCLUIDO)]]-F825</f>
        <v>448627.48700000002</v>
      </c>
      <c r="E825" s="48">
        <f>+Tabla13[[#This Row],[PRECIO INSTALADOR (IVA INCLUIDO)]]/0.7</f>
        <v>674627.8</v>
      </c>
      <c r="F825" s="47">
        <f>+Tabla13[[#This Row],[PRECIO INSTALADOR (IVA INCLUIDO)]]*5%</f>
        <v>23611.973000000002</v>
      </c>
      <c r="G825" s="12">
        <v>0.85</v>
      </c>
      <c r="H825" s="11">
        <f>Tabla13[[#This Row],[COSTO]]*1.19</f>
        <v>401403.54100000003</v>
      </c>
      <c r="I825" s="10"/>
      <c r="J825" s="9"/>
      <c r="K825" s="43">
        <v>337313.9</v>
      </c>
    </row>
    <row r="826" spans="1:17" ht="12.75" x14ac:dyDescent="0.2">
      <c r="A826" s="46"/>
      <c r="B826" s="46" t="s">
        <v>110</v>
      </c>
      <c r="C826" s="45"/>
      <c r="D826" s="45"/>
      <c r="E826" s="45"/>
      <c r="F826" s="44">
        <f>+Tabla13[[#This Row],[PRECIO INSTALADOR (IVA INCLUIDO)]]*5%</f>
        <v>0</v>
      </c>
      <c r="G826" s="12">
        <v>0.85</v>
      </c>
      <c r="H826" s="11"/>
      <c r="I826" s="10"/>
      <c r="J826" s="9"/>
      <c r="K826" s="43"/>
    </row>
    <row r="827" spans="1:17" ht="12.75" customHeight="1" x14ac:dyDescent="0.25">
      <c r="A827" s="39"/>
      <c r="B827" s="32" t="s">
        <v>109</v>
      </c>
      <c r="C827" s="31"/>
      <c r="D827" s="31"/>
      <c r="E827" s="31"/>
      <c r="F827" s="30">
        <f>+Tabla13[[#This Row],[PRECIO INSTALADOR (IVA INCLUIDO)]]*5%</f>
        <v>0</v>
      </c>
      <c r="G827" s="12">
        <v>0.85</v>
      </c>
      <c r="H827" s="11">
        <f>Tabla13[[#This Row],[COSTO]]*1.19</f>
        <v>0</v>
      </c>
      <c r="I827" s="10"/>
      <c r="J827" s="9"/>
      <c r="K827" s="29"/>
    </row>
    <row r="828" spans="1:17" ht="13.5" x14ac:dyDescent="0.2">
      <c r="A828" s="38">
        <v>4721</v>
      </c>
      <c r="B828" s="27" t="s">
        <v>108</v>
      </c>
      <c r="C828" s="26">
        <f>+Tabla13[[#This Row],[Columna6]]/Tabla13[[#This Row],[Columna5]]</f>
        <v>147805</v>
      </c>
      <c r="D828" s="26">
        <f>+Tabla13[[#This Row],[PRECIO INSTALADOR (IVA INCLUIDO)]]-F828</f>
        <v>140414.75</v>
      </c>
      <c r="E828" s="26">
        <f>+Tabla13[[#This Row],[PRECIO INSTALADOR (IVA INCLUIDO)]]/0.7</f>
        <v>211150</v>
      </c>
      <c r="F828" s="25">
        <f>+Tabla13[[#This Row],[PRECIO INSTALADOR (IVA INCLUIDO)]]*5%</f>
        <v>7390.25</v>
      </c>
      <c r="G828" s="12">
        <v>0.85</v>
      </c>
      <c r="H828" s="11">
        <f>Tabla13[[#This Row],[COSTO]]*1.19</f>
        <v>125634.25</v>
      </c>
      <c r="I828" s="10"/>
      <c r="J828" s="9"/>
      <c r="K828" s="34">
        <v>105575</v>
      </c>
    </row>
    <row r="829" spans="1:17" ht="13.5" x14ac:dyDescent="0.25">
      <c r="A829" s="39"/>
      <c r="B829" s="32" t="s">
        <v>107</v>
      </c>
      <c r="C829" s="31"/>
      <c r="D829" s="31"/>
      <c r="E829" s="31"/>
      <c r="F829" s="30">
        <f>+Tabla13[[#This Row],[PRECIO INSTALADOR (IVA INCLUIDO)]]*5%</f>
        <v>0</v>
      </c>
      <c r="G829" s="12">
        <v>0.85</v>
      </c>
      <c r="H829" s="11">
        <f>Tabla13[[#This Row],[COSTO]]*1.19</f>
        <v>0</v>
      </c>
      <c r="I829" s="10"/>
      <c r="J829" s="9"/>
      <c r="K829" s="29"/>
    </row>
    <row r="830" spans="1:17" ht="13.5" x14ac:dyDescent="0.2">
      <c r="A830" s="38">
        <v>4722</v>
      </c>
      <c r="B830" s="27" t="s">
        <v>106</v>
      </c>
      <c r="C830" s="26">
        <f>+Tabla13[[#This Row],[Columna6]]/Tabla13[[#This Row],[Columna5]]</f>
        <v>64428</v>
      </c>
      <c r="D830" s="26">
        <f>+Tabla13[[#This Row],[PRECIO INSTALADOR (IVA INCLUIDO)]]-F830</f>
        <v>61206.6</v>
      </c>
      <c r="E830" s="26">
        <f>+Tabla13[[#This Row],[PRECIO INSTALADOR (IVA INCLUIDO)]]/0.7</f>
        <v>92040</v>
      </c>
      <c r="F830" s="25">
        <f>+Tabla13[[#This Row],[PRECIO INSTALADOR (IVA INCLUIDO)]]*5%</f>
        <v>3221.4</v>
      </c>
      <c r="G830" s="12">
        <v>0.85</v>
      </c>
      <c r="H830" s="11">
        <f>Tabla13[[#This Row],[COSTO]]*1.19</f>
        <v>54763.799999999996</v>
      </c>
      <c r="I830" s="10"/>
      <c r="J830" s="9"/>
      <c r="K830" s="34">
        <v>46020</v>
      </c>
    </row>
    <row r="831" spans="1:17" ht="13.5" x14ac:dyDescent="0.2">
      <c r="A831" s="38">
        <v>4723</v>
      </c>
      <c r="B831" s="27" t="s">
        <v>105</v>
      </c>
      <c r="C831" s="26">
        <f>+Tabla13[[#This Row],[Columna6]]/Tabla13[[#This Row],[Columna5]]</f>
        <v>279340.59999999998</v>
      </c>
      <c r="D831" s="26">
        <f>+Tabla13[[#This Row],[PRECIO INSTALADOR (IVA INCLUIDO)]]-F831</f>
        <v>265373.56999999995</v>
      </c>
      <c r="E831" s="26">
        <f>+Tabla13[[#This Row],[PRECIO INSTALADOR (IVA INCLUIDO)]]/0.7</f>
        <v>399058</v>
      </c>
      <c r="F831" s="25">
        <f>+Tabla13[[#This Row],[PRECIO INSTALADOR (IVA INCLUIDO)]]*5%</f>
        <v>13967.029999999999</v>
      </c>
      <c r="G831" s="12">
        <v>0.85</v>
      </c>
      <c r="H831" s="11">
        <f>Tabla13[[#This Row],[COSTO]]*1.19</f>
        <v>237439.50999999998</v>
      </c>
      <c r="I831" s="10"/>
      <c r="J831" s="9"/>
      <c r="K831" s="34">
        <v>199529</v>
      </c>
    </row>
    <row r="832" spans="1:17" ht="13.5" x14ac:dyDescent="0.25">
      <c r="A832" s="39"/>
      <c r="B832" s="32" t="s">
        <v>104</v>
      </c>
      <c r="C832" s="31"/>
      <c r="D832" s="31"/>
      <c r="E832" s="31"/>
      <c r="F832" s="30">
        <f>+Tabla13[[#This Row],[PRECIO INSTALADOR (IVA INCLUIDO)]]*5%</f>
        <v>0</v>
      </c>
      <c r="G832" s="12">
        <v>0.85</v>
      </c>
      <c r="H832" s="11">
        <f>Tabla13[[#This Row],[COSTO]]*1.19</f>
        <v>0</v>
      </c>
      <c r="I832" s="10"/>
      <c r="J832" s="9"/>
      <c r="K832" s="29"/>
    </row>
    <row r="833" spans="1:11" ht="13.5" x14ac:dyDescent="0.2">
      <c r="A833" s="38">
        <v>4724</v>
      </c>
      <c r="B833" s="27" t="s">
        <v>103</v>
      </c>
      <c r="C833" s="26">
        <f>+Tabla13[[#This Row],[Columna6]]/Tabla13[[#This Row],[Columna5]]</f>
        <v>125455.03399098503</v>
      </c>
      <c r="D833" s="26">
        <f>+Tabla13[[#This Row],[PRECIO INSTALADOR (IVA INCLUIDO)]]-F833</f>
        <v>119182.28229143578</v>
      </c>
      <c r="E833" s="26">
        <f>+Tabla13[[#This Row],[PRECIO INSTALADOR (IVA INCLUIDO)]]/0.7</f>
        <v>179221.47712997862</v>
      </c>
      <c r="F833" s="25">
        <f>+Tabla13[[#This Row],[PRECIO INSTALADOR (IVA INCLUIDO)]]*5%</f>
        <v>6272.7516995492515</v>
      </c>
      <c r="G833" s="12">
        <v>0.85</v>
      </c>
      <c r="H833" s="11">
        <f>Tabla13[[#This Row],[COSTO]]*1.19</f>
        <v>106636.77889233727</v>
      </c>
      <c r="I833" s="10"/>
      <c r="J833" s="9"/>
      <c r="K833" s="34">
        <v>89610.738564989311</v>
      </c>
    </row>
    <row r="834" spans="1:11" ht="13.5" x14ac:dyDescent="0.2">
      <c r="A834" s="38">
        <v>4725</v>
      </c>
      <c r="B834" s="27" t="s">
        <v>102</v>
      </c>
      <c r="C834" s="26">
        <f>+Tabla13[[#This Row],[Columna6]]/Tabla13[[#This Row],[Columna5]]</f>
        <v>116998.70000000003</v>
      </c>
      <c r="D834" s="26">
        <f>+Tabla13[[#This Row],[PRECIO INSTALADOR (IVA INCLUIDO)]]-F834</f>
        <v>111148.76500000003</v>
      </c>
      <c r="E834" s="26">
        <f>+Tabla13[[#This Row],[PRECIO INSTALADOR (IVA INCLUIDO)]]/0.7</f>
        <v>167141.00000000006</v>
      </c>
      <c r="F834" s="25">
        <f>+Tabla13[[#This Row],[PRECIO INSTALADOR (IVA INCLUIDO)]]*5%</f>
        <v>5849.9350000000013</v>
      </c>
      <c r="G834" s="12">
        <v>0.85</v>
      </c>
      <c r="H834" s="11">
        <f>Tabla13[[#This Row],[COSTO]]*1.19</f>
        <v>99448.895000000019</v>
      </c>
      <c r="I834" s="10"/>
      <c r="J834" s="9"/>
      <c r="K834" s="34">
        <v>83570.500000000015</v>
      </c>
    </row>
    <row r="835" spans="1:11" ht="13.5" x14ac:dyDescent="0.2">
      <c r="A835" s="38">
        <v>5691</v>
      </c>
      <c r="B835" s="27" t="s">
        <v>101</v>
      </c>
      <c r="C835" s="26">
        <f>+Tabla13[[#This Row],[Columna6]]/Tabla13[[#This Row],[Columna5]]</f>
        <v>55384.000000000015</v>
      </c>
      <c r="D835" s="26">
        <f>+Tabla13[[#This Row],[PRECIO INSTALADOR (IVA INCLUIDO)]]-F835</f>
        <v>52614.800000000017</v>
      </c>
      <c r="E835" s="26">
        <f>+Tabla13[[#This Row],[PRECIO INSTALADOR (IVA INCLUIDO)]]/0.7</f>
        <v>79120.000000000029</v>
      </c>
      <c r="F835" s="25">
        <f>+Tabla13[[#This Row],[PRECIO INSTALADOR (IVA INCLUIDO)]]*5%</f>
        <v>2769.2000000000007</v>
      </c>
      <c r="G835" s="12">
        <v>0.85</v>
      </c>
      <c r="H835" s="11">
        <f>Tabla13[[#This Row],[COSTO]]*1.19</f>
        <v>47076.400000000009</v>
      </c>
      <c r="I835" s="10"/>
      <c r="J835" s="9"/>
      <c r="K835" s="34">
        <v>39560.000000000007</v>
      </c>
    </row>
    <row r="836" spans="1:11" ht="13.5" x14ac:dyDescent="0.2">
      <c r="A836" s="38">
        <v>8354</v>
      </c>
      <c r="B836" s="27" t="s">
        <v>100</v>
      </c>
      <c r="C836" s="26">
        <f>+Tabla13[[#This Row],[Columna6]]/Tabla13[[#This Row],[Columna5]]</f>
        <v>146594.52500000005</v>
      </c>
      <c r="D836" s="26">
        <f>+Tabla13[[#This Row],[PRECIO INSTALADOR (IVA INCLUIDO)]]-F836</f>
        <v>139264.79875000005</v>
      </c>
      <c r="E836" s="26">
        <f>+Tabla13[[#This Row],[PRECIO INSTALADOR (IVA INCLUIDO)]]/0.7</f>
        <v>209420.75000000009</v>
      </c>
      <c r="F836" s="25">
        <f>+Tabla13[[#This Row],[PRECIO INSTALADOR (IVA INCLUIDO)]]*5%</f>
        <v>7329.7262500000033</v>
      </c>
      <c r="G836" s="12">
        <v>0.85</v>
      </c>
      <c r="H836" s="11">
        <f>Tabla13[[#This Row],[COSTO]]*1.19</f>
        <v>124605.34625000003</v>
      </c>
      <c r="I836" s="10"/>
      <c r="J836" s="9"/>
      <c r="K836" s="34">
        <v>104710.37500000003</v>
      </c>
    </row>
    <row r="837" spans="1:11" ht="13.5" x14ac:dyDescent="0.2">
      <c r="A837" s="38">
        <v>8353</v>
      </c>
      <c r="B837" s="27" t="s">
        <v>99</v>
      </c>
      <c r="C837" s="26">
        <f>+Tabla13[[#This Row],[Columna6]]/Tabla13[[#This Row],[Columna5]]</f>
        <v>11076.800000000001</v>
      </c>
      <c r="D837" s="26">
        <f>+Tabla13[[#This Row],[PRECIO INSTALADOR (IVA INCLUIDO)]]-F837</f>
        <v>10522.960000000001</v>
      </c>
      <c r="E837" s="26">
        <f>+Tabla13[[#This Row],[PRECIO INSTALADOR (IVA INCLUIDO)]]/0.7</f>
        <v>15824.000000000002</v>
      </c>
      <c r="F837" s="25">
        <f>+Tabla13[[#This Row],[PRECIO INSTALADOR (IVA INCLUIDO)]]*5%</f>
        <v>553.84</v>
      </c>
      <c r="G837" s="12">
        <v>0.85</v>
      </c>
      <c r="H837" s="11">
        <f>Tabla13[[#This Row],[COSTO]]*1.19</f>
        <v>9415.2800000000007</v>
      </c>
      <c r="I837" s="10"/>
      <c r="J837" s="9"/>
      <c r="K837" s="34">
        <v>7912.0000000000009</v>
      </c>
    </row>
    <row r="838" spans="1:11" ht="13.5" x14ac:dyDescent="0.25">
      <c r="A838" s="39"/>
      <c r="B838" s="32" t="s">
        <v>98</v>
      </c>
      <c r="C838" s="31"/>
      <c r="D838" s="31"/>
      <c r="E838" s="31"/>
      <c r="F838" s="30">
        <f>+Tabla13[[#This Row],[PRECIO INSTALADOR (IVA INCLUIDO)]]*5%</f>
        <v>0</v>
      </c>
      <c r="G838" s="12">
        <v>0.85</v>
      </c>
      <c r="H838" s="11">
        <f>Tabla13[[#This Row],[COSTO]]*1.19</f>
        <v>0</v>
      </c>
      <c r="I838" s="10"/>
      <c r="J838" s="9"/>
      <c r="K838" s="29"/>
    </row>
    <row r="839" spans="1:11" ht="13.5" x14ac:dyDescent="0.2">
      <c r="A839" s="38">
        <v>4726</v>
      </c>
      <c r="B839" s="27" t="s">
        <v>97</v>
      </c>
      <c r="C839" s="26">
        <f>+Tabla13[[#This Row],[Columna6]]/Tabla13[[#This Row],[Columna5]]</f>
        <v>89825.924999999988</v>
      </c>
      <c r="D839" s="26">
        <f>+Tabla13[[#This Row],[PRECIO INSTALADOR (IVA INCLUIDO)]]-F839</f>
        <v>85334.628749999989</v>
      </c>
      <c r="E839" s="26">
        <f>+Tabla13[[#This Row],[PRECIO INSTALADOR (IVA INCLUIDO)]]/0.7</f>
        <v>128322.74999999999</v>
      </c>
      <c r="F839" s="25">
        <f>+Tabla13[[#This Row],[PRECIO INSTALADOR (IVA INCLUIDO)]]*5%</f>
        <v>4491.2962499999994</v>
      </c>
      <c r="G839" s="12">
        <v>0.85</v>
      </c>
      <c r="H839" s="11">
        <f>Tabla13[[#This Row],[COSTO]]*1.19</f>
        <v>76352.03624999999</v>
      </c>
      <c r="I839" s="10"/>
      <c r="J839" s="9"/>
      <c r="K839" s="34">
        <v>64161.374999999993</v>
      </c>
    </row>
    <row r="840" spans="1:11" ht="13.5" x14ac:dyDescent="0.2">
      <c r="A840" s="38">
        <v>8364</v>
      </c>
      <c r="B840" s="27" t="s">
        <v>96</v>
      </c>
      <c r="C840" s="26">
        <f>+Tabla13[[#This Row],[Columna6]]/Tabla13[[#This Row],[Columna5]]</f>
        <v>119940.97499999998</v>
      </c>
      <c r="D840" s="26">
        <f>+Tabla13[[#This Row],[PRECIO INSTALADOR (IVA INCLUIDO)]]-F840</f>
        <v>113943.92624999997</v>
      </c>
      <c r="E840" s="26">
        <f>+Tabla13[[#This Row],[PRECIO INSTALADOR (IVA INCLUIDO)]]/0.7</f>
        <v>171344.24999999997</v>
      </c>
      <c r="F840" s="25">
        <f>+Tabla13[[#This Row],[PRECIO INSTALADOR (IVA INCLUIDO)]]*5%</f>
        <v>5997.048749999999</v>
      </c>
      <c r="G840" s="12">
        <v>0.85</v>
      </c>
      <c r="H840" s="11">
        <f>Tabla13[[#This Row],[COSTO]]*1.19</f>
        <v>101949.82874999997</v>
      </c>
      <c r="I840" s="10"/>
      <c r="J840" s="9"/>
      <c r="K840" s="34">
        <v>85672.124999999985</v>
      </c>
    </row>
    <row r="841" spans="1:11" ht="13.5" x14ac:dyDescent="0.2">
      <c r="A841" s="38">
        <v>8365</v>
      </c>
      <c r="B841" s="27" t="s">
        <v>95</v>
      </c>
      <c r="C841" s="26">
        <f>+Tabla13[[#This Row],[Columna6]]/Tabla13[[#This Row],[Columna5]]</f>
        <v>170305.79999999996</v>
      </c>
      <c r="D841" s="26">
        <f>+Tabla13[[#This Row],[PRECIO INSTALADOR (IVA INCLUIDO)]]-F841</f>
        <v>161790.50999999995</v>
      </c>
      <c r="E841" s="26">
        <f>+Tabla13[[#This Row],[PRECIO INSTALADOR (IVA INCLUIDO)]]/0.7</f>
        <v>243293.99999999997</v>
      </c>
      <c r="F841" s="25">
        <f>+Tabla13[[#This Row],[PRECIO INSTALADOR (IVA INCLUIDO)]]*5%</f>
        <v>8515.2899999999991</v>
      </c>
      <c r="G841" s="12">
        <v>0.85</v>
      </c>
      <c r="H841" s="11">
        <f>Tabla13[[#This Row],[COSTO]]*1.19</f>
        <v>144759.92999999996</v>
      </c>
      <c r="I841" s="10"/>
      <c r="J841" s="9"/>
      <c r="K841" s="34">
        <v>121646.99999999999</v>
      </c>
    </row>
    <row r="842" spans="1:11" ht="13.5" x14ac:dyDescent="0.2">
      <c r="A842" s="38">
        <v>8358</v>
      </c>
      <c r="B842" s="27" t="s">
        <v>94</v>
      </c>
      <c r="C842" s="26">
        <f>+Tabla13[[#This Row],[Columna6]]/Tabla13[[#This Row],[Columna5]]</f>
        <v>55383.999999999985</v>
      </c>
      <c r="D842" s="26">
        <f>+Tabla13[[#This Row],[PRECIO INSTALADOR (IVA INCLUIDO)]]-F842</f>
        <v>52614.799999999988</v>
      </c>
      <c r="E842" s="26">
        <f>+Tabla13[[#This Row],[PRECIO INSTALADOR (IVA INCLUIDO)]]/0.7</f>
        <v>79119.999999999985</v>
      </c>
      <c r="F842" s="25">
        <f>+Tabla13[[#This Row],[PRECIO INSTALADOR (IVA INCLUIDO)]]*5%</f>
        <v>2769.1999999999994</v>
      </c>
      <c r="G842" s="12">
        <v>0.85</v>
      </c>
      <c r="H842" s="11">
        <f>Tabla13[[#This Row],[COSTO]]*1.19</f>
        <v>47076.399999999987</v>
      </c>
      <c r="I842" s="10"/>
      <c r="J842" s="9"/>
      <c r="K842" s="34">
        <v>39559.999999999993</v>
      </c>
    </row>
    <row r="843" spans="1:11" ht="13.5" x14ac:dyDescent="0.2">
      <c r="A843" s="38">
        <v>8357</v>
      </c>
      <c r="B843" s="27" t="s">
        <v>93</v>
      </c>
      <c r="C843" s="26">
        <f>+Tabla13[[#This Row],[Columna6]]/Tabla13[[#This Row],[Columna5]]</f>
        <v>78229.899999999994</v>
      </c>
      <c r="D843" s="26">
        <f>+Tabla13[[#This Row],[PRECIO INSTALADOR (IVA INCLUIDO)]]-F843</f>
        <v>74318.404999999999</v>
      </c>
      <c r="E843" s="26">
        <f>+Tabla13[[#This Row],[PRECIO INSTALADOR (IVA INCLUIDO)]]/0.7</f>
        <v>111757</v>
      </c>
      <c r="F843" s="25">
        <f>+Tabla13[[#This Row],[PRECIO INSTALADOR (IVA INCLUIDO)]]*5%</f>
        <v>3911.4949999999999</v>
      </c>
      <c r="G843" s="12">
        <v>0.85</v>
      </c>
      <c r="H843" s="11">
        <f>Tabla13[[#This Row],[COSTO]]*1.19</f>
        <v>66495.414999999994</v>
      </c>
      <c r="I843" s="10"/>
      <c r="J843" s="9"/>
      <c r="K843" s="34">
        <v>55878.499999999993</v>
      </c>
    </row>
    <row r="844" spans="1:11" ht="13.5" x14ac:dyDescent="0.2">
      <c r="A844" s="38">
        <v>8360</v>
      </c>
      <c r="B844" s="27" t="s">
        <v>92</v>
      </c>
      <c r="C844" s="26">
        <f>+Tabla13[[#This Row],[Columna6]]/Tabla13[[#This Row],[Columna5]]</f>
        <v>32191.949999999993</v>
      </c>
      <c r="D844" s="26">
        <f>+Tabla13[[#This Row],[PRECIO INSTALADOR (IVA INCLUIDO)]]-F844</f>
        <v>30582.352499999994</v>
      </c>
      <c r="E844" s="26">
        <f>+Tabla13[[#This Row],[PRECIO INSTALADOR (IVA INCLUIDO)]]/0.7</f>
        <v>45988.499999999993</v>
      </c>
      <c r="F844" s="25">
        <f>+Tabla13[[#This Row],[PRECIO INSTALADOR (IVA INCLUIDO)]]*5%</f>
        <v>1609.5974999999999</v>
      </c>
      <c r="G844" s="12">
        <v>0.85</v>
      </c>
      <c r="H844" s="11">
        <f>Tabla13[[#This Row],[COSTO]]*1.19</f>
        <v>27363.157499999994</v>
      </c>
      <c r="I844" s="10"/>
      <c r="J844" s="9"/>
      <c r="K844" s="34">
        <v>22994.249999999996</v>
      </c>
    </row>
    <row r="845" spans="1:11" ht="13.5" x14ac:dyDescent="0.2">
      <c r="A845" s="38">
        <v>8359</v>
      </c>
      <c r="B845" s="27" t="s">
        <v>91</v>
      </c>
      <c r="C845" s="26">
        <f>+Tabla13[[#This Row],[Columna6]]/Tabla13[[#This Row],[Columna5]]</f>
        <v>35999.599999999999</v>
      </c>
      <c r="D845" s="26">
        <f>+Tabla13[[#This Row],[PRECIO INSTALADOR (IVA INCLUIDO)]]-F845</f>
        <v>34199.619999999995</v>
      </c>
      <c r="E845" s="26">
        <f>+Tabla13[[#This Row],[PRECIO INSTALADOR (IVA INCLUIDO)]]/0.7</f>
        <v>51428</v>
      </c>
      <c r="F845" s="25">
        <f>+Tabla13[[#This Row],[PRECIO INSTALADOR (IVA INCLUIDO)]]*5%</f>
        <v>1799.98</v>
      </c>
      <c r="G845" s="12">
        <v>0.85</v>
      </c>
      <c r="H845" s="11">
        <f>Tabla13[[#This Row],[COSTO]]*1.19</f>
        <v>30599.66</v>
      </c>
      <c r="I845" s="10"/>
      <c r="J845" s="9"/>
      <c r="K845" s="34">
        <v>25714</v>
      </c>
    </row>
    <row r="846" spans="1:11" ht="13.5" x14ac:dyDescent="0.2">
      <c r="A846" s="38">
        <v>4728</v>
      </c>
      <c r="B846" s="27" t="s">
        <v>90</v>
      </c>
      <c r="C846" s="26">
        <f>+Tabla13[[#This Row],[Columna6]]/Tabla13[[#This Row],[Columna5]]</f>
        <v>311535</v>
      </c>
      <c r="D846" s="26">
        <f>+Tabla13[[#This Row],[PRECIO INSTALADOR (IVA INCLUIDO)]]-F846</f>
        <v>295958.25</v>
      </c>
      <c r="E846" s="26">
        <f>+Tabla13[[#This Row],[PRECIO INSTALADOR (IVA INCLUIDO)]]/0.7</f>
        <v>445050</v>
      </c>
      <c r="F846" s="25">
        <f>+Tabla13[[#This Row],[PRECIO INSTALADOR (IVA INCLUIDO)]]*5%</f>
        <v>15576.75</v>
      </c>
      <c r="G846" s="12">
        <v>0.85</v>
      </c>
      <c r="H846" s="11">
        <f>Tabla13[[#This Row],[COSTO]]*1.19</f>
        <v>264804.75</v>
      </c>
      <c r="I846" s="10"/>
      <c r="J846" s="9"/>
      <c r="K846" s="34">
        <v>222525</v>
      </c>
    </row>
    <row r="847" spans="1:11" ht="13.5" x14ac:dyDescent="0.25">
      <c r="A847" s="39"/>
      <c r="B847" s="32" t="s">
        <v>89</v>
      </c>
      <c r="C847" s="31"/>
      <c r="D847" s="31"/>
      <c r="E847" s="31"/>
      <c r="F847" s="30">
        <f>+Tabla13[[#This Row],[PRECIO INSTALADOR (IVA INCLUIDO)]]*5%</f>
        <v>0</v>
      </c>
      <c r="G847" s="12">
        <v>0.85</v>
      </c>
      <c r="H847" s="11">
        <f>Tabla13[[#This Row],[COSTO]]*1.19</f>
        <v>0</v>
      </c>
      <c r="I847" s="10"/>
      <c r="J847" s="9"/>
      <c r="K847" s="29"/>
    </row>
    <row r="848" spans="1:11" ht="13.5" x14ac:dyDescent="0.2">
      <c r="A848" s="38" t="s">
        <v>88</v>
      </c>
      <c r="B848" s="27" t="s">
        <v>87</v>
      </c>
      <c r="C848" s="26">
        <f>+Tabla13[[#This Row],[Columna6]]/Tabla13[[#This Row],[Columna5]]</f>
        <v>1668671.2</v>
      </c>
      <c r="D848" s="26">
        <f>+Tabla13[[#This Row],[PRECIO INSTALADOR (IVA INCLUIDO)]]-F848</f>
        <v>1585237.64</v>
      </c>
      <c r="E848" s="26">
        <f>+Tabla13[[#This Row],[PRECIO INSTALADOR (IVA INCLUIDO)]]/0.7</f>
        <v>2383816</v>
      </c>
      <c r="F848" s="25">
        <f>+Tabla13[[#This Row],[PRECIO INSTALADOR (IVA INCLUIDO)]]*5%</f>
        <v>83433.56</v>
      </c>
      <c r="G848" s="12">
        <v>0.85</v>
      </c>
      <c r="H848" s="11">
        <f>Tabla13[[#This Row],[COSTO]]*1.19</f>
        <v>1418370.52</v>
      </c>
      <c r="I848" s="10"/>
      <c r="J848" s="9"/>
      <c r="K848" s="34">
        <v>1191908</v>
      </c>
    </row>
    <row r="849" spans="1:11" ht="13.5" x14ac:dyDescent="0.2">
      <c r="A849" s="38" t="s">
        <v>86</v>
      </c>
      <c r="B849" s="27" t="s">
        <v>85</v>
      </c>
      <c r="C849" s="26">
        <f>+Tabla13[[#This Row],[Columna6]]/Tabla13[[#This Row],[Columna5]]</f>
        <v>198244.2</v>
      </c>
      <c r="D849" s="26">
        <f>+Tabla13[[#This Row],[PRECIO INSTALADOR (IVA INCLUIDO)]]-F849</f>
        <v>188331.99000000002</v>
      </c>
      <c r="E849" s="26">
        <f>+Tabla13[[#This Row],[PRECIO INSTALADOR (IVA INCLUIDO)]]/0.7</f>
        <v>283206.00000000006</v>
      </c>
      <c r="F849" s="25">
        <f>+Tabla13[[#This Row],[PRECIO INSTALADOR (IVA INCLUIDO)]]*5%</f>
        <v>9912.2100000000009</v>
      </c>
      <c r="G849" s="12">
        <v>0.85</v>
      </c>
      <c r="H849" s="11">
        <f>Tabla13[[#This Row],[COSTO]]*1.19</f>
        <v>168507.57</v>
      </c>
      <c r="I849" s="10"/>
      <c r="J849" s="9"/>
      <c r="K849" s="34">
        <v>141603</v>
      </c>
    </row>
    <row r="850" spans="1:11" x14ac:dyDescent="0.2">
      <c r="A850" s="38" t="s">
        <v>84</v>
      </c>
      <c r="B850" s="42" t="s">
        <v>83</v>
      </c>
      <c r="C850" s="41">
        <f>+Tabla13[[#This Row],[Columna6]]/Tabla13[[#This Row],[Columna5]]</f>
        <v>5051411.2907115938</v>
      </c>
      <c r="D850" s="41">
        <f>+Tabla13[[#This Row],[PRECIO INSTALADOR (IVA INCLUIDO)]]-F850</f>
        <v>4798840.7261760142</v>
      </c>
      <c r="E850" s="41">
        <f>+Tabla13[[#This Row],[PRECIO INSTALADOR (IVA INCLUIDO)]]/0.7</f>
        <v>7216301.8438737057</v>
      </c>
      <c r="F850" s="40">
        <f>+Tabla13[[#This Row],[PRECIO INSTALADOR (IVA INCLUIDO)]]*5%</f>
        <v>252570.5645355797</v>
      </c>
      <c r="G850" s="12">
        <v>0.85</v>
      </c>
      <c r="H850" s="11">
        <f>Tabla13[[#This Row],[COSTO]]*1.19</f>
        <v>4293699.5971048549</v>
      </c>
      <c r="I850" s="10"/>
      <c r="J850" s="9"/>
      <c r="K850" s="34">
        <v>3608150.9219368529</v>
      </c>
    </row>
    <row r="851" spans="1:11" x14ac:dyDescent="0.2">
      <c r="A851" s="38" t="s">
        <v>82</v>
      </c>
      <c r="B851" s="42" t="s">
        <v>81</v>
      </c>
      <c r="C851" s="41">
        <f>+Tabla13[[#This Row],[Columna6]]/Tabla13[[#This Row],[Columna5]]</f>
        <v>811968.99999999988</v>
      </c>
      <c r="D851" s="41">
        <f>+Tabla13[[#This Row],[PRECIO INSTALADOR (IVA INCLUIDO)]]-F851</f>
        <v>771370.54999999993</v>
      </c>
      <c r="E851" s="41">
        <f>+Tabla13[[#This Row],[PRECIO INSTALADOR (IVA INCLUIDO)]]/0.7</f>
        <v>1159955.7142857141</v>
      </c>
      <c r="F851" s="40">
        <f>+Tabla13[[#This Row],[PRECIO INSTALADOR (IVA INCLUIDO)]]*5%</f>
        <v>40598.449999999997</v>
      </c>
      <c r="G851" s="12">
        <v>0.85</v>
      </c>
      <c r="H851" s="11">
        <f>Tabla13[[#This Row],[COSTO]]*1.19</f>
        <v>690173.64999999991</v>
      </c>
      <c r="I851" s="10"/>
      <c r="J851" s="9"/>
      <c r="K851" s="34">
        <v>579977.85714285704</v>
      </c>
    </row>
    <row r="852" spans="1:11" x14ac:dyDescent="0.2">
      <c r="A852" s="38" t="s">
        <v>80</v>
      </c>
      <c r="B852" s="42" t="s">
        <v>79</v>
      </c>
      <c r="C852" s="41">
        <f>+Tabla13[[#This Row],[Columna6]]/Tabla13[[#This Row],[Columna5]]</f>
        <v>811968.99999999988</v>
      </c>
      <c r="D852" s="41">
        <f>+Tabla13[[#This Row],[PRECIO INSTALADOR (IVA INCLUIDO)]]-F852</f>
        <v>771370.54999999993</v>
      </c>
      <c r="E852" s="41">
        <f>+Tabla13[[#This Row],[PRECIO INSTALADOR (IVA INCLUIDO)]]/0.7</f>
        <v>1159955.7142857141</v>
      </c>
      <c r="F852" s="40">
        <f>+Tabla13[[#This Row],[PRECIO INSTALADOR (IVA INCLUIDO)]]*5%</f>
        <v>40598.449999999997</v>
      </c>
      <c r="G852" s="12">
        <v>0.85</v>
      </c>
      <c r="H852" s="11">
        <f>Tabla13[[#This Row],[COSTO]]*1.19</f>
        <v>690173.64999999991</v>
      </c>
      <c r="I852" s="10"/>
      <c r="J852" s="9"/>
      <c r="K852" s="34">
        <v>579977.85714285704</v>
      </c>
    </row>
    <row r="853" spans="1:11" ht="13.5" x14ac:dyDescent="0.25">
      <c r="A853" s="39"/>
      <c r="B853" s="32" t="s">
        <v>78</v>
      </c>
      <c r="C853" s="31"/>
      <c r="D853" s="31"/>
      <c r="E853" s="31"/>
      <c r="F853" s="30">
        <f>+Tabla13[[#This Row],[PRECIO INSTALADOR (IVA INCLUIDO)]]*5%</f>
        <v>0</v>
      </c>
      <c r="G853" s="12">
        <v>0.85</v>
      </c>
      <c r="H853" s="11">
        <f>Tabla13[[#This Row],[COSTO]]*1.19</f>
        <v>0</v>
      </c>
      <c r="I853" s="10"/>
      <c r="J853" s="9"/>
      <c r="K853" s="29"/>
    </row>
    <row r="854" spans="1:11" ht="13.5" x14ac:dyDescent="0.2">
      <c r="A854" s="38" t="s">
        <v>77</v>
      </c>
      <c r="B854" s="27" t="s">
        <v>76</v>
      </c>
      <c r="C854" s="26">
        <f>+Tabla13[[#This Row],[Columna6]]/Tabla13[[#This Row],[Columna5]]</f>
        <v>1557.6750000000004</v>
      </c>
      <c r="D854" s="26">
        <f>+Tabla13[[#This Row],[PRECIO INSTALADOR (IVA INCLUIDO)]]-F854</f>
        <v>1479.7912500000004</v>
      </c>
      <c r="E854" s="26">
        <f>+Tabla13[[#This Row],[PRECIO INSTALADOR (IVA INCLUIDO)]]/0.7</f>
        <v>2225.2500000000009</v>
      </c>
      <c r="F854" s="25">
        <f>+Tabla13[[#This Row],[PRECIO INSTALADOR (IVA INCLUIDO)]]*5%</f>
        <v>77.88375000000002</v>
      </c>
      <c r="G854" s="12">
        <v>0.85</v>
      </c>
      <c r="H854" s="11">
        <f>Tabla13[[#This Row],[COSTO]]*1.19</f>
        <v>1324.0237500000003</v>
      </c>
      <c r="I854" s="10"/>
      <c r="J854" s="9"/>
      <c r="K854" s="34">
        <v>1112.6250000000002</v>
      </c>
    </row>
    <row r="855" spans="1:11" ht="13.5" x14ac:dyDescent="0.2">
      <c r="A855" s="38" t="s">
        <v>75</v>
      </c>
      <c r="B855" s="27" t="s">
        <v>74</v>
      </c>
      <c r="C855" s="26">
        <f>+Tabla13[[#This Row],[Columna6]]/Tabla13[[#This Row],[Columna5]]</f>
        <v>1211.5250000000003</v>
      </c>
      <c r="D855" s="26">
        <f>+Tabla13[[#This Row],[PRECIO INSTALADOR (IVA INCLUIDO)]]-F855</f>
        <v>1150.9487500000002</v>
      </c>
      <c r="E855" s="26">
        <f>+Tabla13[[#This Row],[PRECIO INSTALADOR (IVA INCLUIDO)]]/0.7</f>
        <v>1730.7500000000005</v>
      </c>
      <c r="F855" s="25">
        <f>+Tabla13[[#This Row],[PRECIO INSTALADOR (IVA INCLUIDO)]]*5%</f>
        <v>60.576250000000016</v>
      </c>
      <c r="G855" s="12">
        <v>0.85</v>
      </c>
      <c r="H855" s="11">
        <f>Tabla13[[#This Row],[COSTO]]*1.19</f>
        <v>1029.7962500000003</v>
      </c>
      <c r="I855" s="10"/>
      <c r="J855" s="9"/>
      <c r="K855" s="34">
        <v>865.37500000000023</v>
      </c>
    </row>
    <row r="856" spans="1:11" ht="13.5" x14ac:dyDescent="0.2">
      <c r="A856" s="38" t="s">
        <v>73</v>
      </c>
      <c r="B856" s="27" t="s">
        <v>72</v>
      </c>
      <c r="C856" s="26">
        <f>+Tabla13[[#This Row],[Columna6]]/Tabla13[[#This Row],[Columna5]]</f>
        <v>4326.8750000000009</v>
      </c>
      <c r="D856" s="26">
        <f>+Tabla13[[#This Row],[PRECIO INSTALADOR (IVA INCLUIDO)]]-F856</f>
        <v>4110.5312500000009</v>
      </c>
      <c r="E856" s="26">
        <f>+Tabla13[[#This Row],[PRECIO INSTALADOR (IVA INCLUIDO)]]/0.7</f>
        <v>6181.2500000000018</v>
      </c>
      <c r="F856" s="25">
        <f>+Tabla13[[#This Row],[PRECIO INSTALADOR (IVA INCLUIDO)]]*5%</f>
        <v>216.34375000000006</v>
      </c>
      <c r="G856" s="12">
        <v>0.85</v>
      </c>
      <c r="H856" s="11">
        <f>Tabla13[[#This Row],[COSTO]]*1.19</f>
        <v>3677.8437500000009</v>
      </c>
      <c r="I856" s="10"/>
      <c r="J856" s="9"/>
      <c r="K856" s="34">
        <v>3090.6250000000009</v>
      </c>
    </row>
    <row r="857" spans="1:11" x14ac:dyDescent="0.2">
      <c r="A857" s="28" t="s">
        <v>71</v>
      </c>
      <c r="B857" s="27" t="s">
        <v>70</v>
      </c>
      <c r="C857" s="26">
        <f>+Tabla13[[#This Row],[Columna6]]/Tabla13[[#This Row],[Columna5]]</f>
        <v>3807.6500000000015</v>
      </c>
      <c r="D857" s="26">
        <f>+Tabla13[[#This Row],[PRECIO INSTALADOR (IVA INCLUIDO)]]-F857</f>
        <v>3617.2675000000013</v>
      </c>
      <c r="E857" s="26">
        <f>+Tabla13[[#This Row],[PRECIO INSTALADOR (IVA INCLUIDO)]]/0.7</f>
        <v>5439.5000000000027</v>
      </c>
      <c r="F857" s="25">
        <f>+Tabla13[[#This Row],[PRECIO INSTALADOR (IVA INCLUIDO)]]*5%</f>
        <v>190.38250000000008</v>
      </c>
      <c r="G857" s="12">
        <v>0.85</v>
      </c>
      <c r="H857" s="37">
        <f>Tabla13[[#This Row],[COSTO]]*1.19</f>
        <v>3236.502500000001</v>
      </c>
      <c r="I857" s="36"/>
      <c r="J857" s="35"/>
      <c r="K857" s="34">
        <v>2719.7500000000009</v>
      </c>
    </row>
    <row r="858" spans="1:11" ht="14.25" thickBot="1" x14ac:dyDescent="0.3">
      <c r="A858" s="33"/>
      <c r="B858" s="32" t="s">
        <v>69</v>
      </c>
      <c r="C858" s="31"/>
      <c r="D858" s="31"/>
      <c r="E858" s="31"/>
      <c r="F858" s="30">
        <f>+Tabla13[[#This Row],[PRECIO INSTALADOR (IVA INCLUIDO)]]*5%</f>
        <v>0</v>
      </c>
      <c r="G858" s="12"/>
      <c r="H858" s="11">
        <f>Tabla13[[#This Row],[COSTO]]*1.19</f>
        <v>0</v>
      </c>
      <c r="I858" s="10"/>
      <c r="J858" s="9"/>
      <c r="K858" s="29"/>
    </row>
    <row r="859" spans="1:11" ht="94.5" x14ac:dyDescent="0.2">
      <c r="A859" s="28" t="s">
        <v>68</v>
      </c>
      <c r="B859" s="27" t="s">
        <v>67</v>
      </c>
      <c r="C859" s="26">
        <f>+Tabla13[[#This Row],[Columna6]]/Tabla13[[#This Row],[Columna5]]</f>
        <v>985948.6</v>
      </c>
      <c r="D859" s="26">
        <f>+Tabla13[[#This Row],[PRECIO INSTALADOR (IVA INCLUIDO)]]-F859</f>
        <v>936651.16999999993</v>
      </c>
      <c r="E859" s="26">
        <f>+Tabla13[[#This Row],[PRECIO INSTALADOR (IVA INCLUIDO)]]/0.7</f>
        <v>1408498</v>
      </c>
      <c r="F859" s="25">
        <f>+Tabla13[[#This Row],[PRECIO INSTALADOR (IVA INCLUIDO)]]*5%</f>
        <v>49297.43</v>
      </c>
      <c r="G859" s="12">
        <v>0.85</v>
      </c>
      <c r="H859" s="24">
        <f>Tabla13[[#This Row],[COSTO]]*1.19</f>
        <v>838056.30999999994</v>
      </c>
      <c r="I859" s="10"/>
      <c r="J859" s="9"/>
      <c r="K859" s="23">
        <v>704249</v>
      </c>
    </row>
    <row r="860" spans="1:11" x14ac:dyDescent="0.25">
      <c r="A860" s="22"/>
      <c r="B860" s="21" t="s">
        <v>66</v>
      </c>
      <c r="C860" s="20"/>
      <c r="D860" s="20"/>
      <c r="E860" s="20"/>
      <c r="F860" s="19">
        <f>+Tabla13[[#This Row],[PRECIO INSTALADOR (IVA INCLUIDO)]]*5%</f>
        <v>0</v>
      </c>
      <c r="G860" s="12"/>
      <c r="H860" s="11">
        <f>Tabla13[[#This Row],[COSTO]]*1.19</f>
        <v>0</v>
      </c>
      <c r="I860" s="10"/>
      <c r="J860" s="9"/>
      <c r="K860" s="8"/>
    </row>
    <row r="861" spans="1:11" ht="12.75" customHeight="1" x14ac:dyDescent="0.25">
      <c r="A861" s="18"/>
      <c r="B861" s="18" t="s">
        <v>65</v>
      </c>
      <c r="C861" s="17"/>
      <c r="D861" s="17"/>
      <c r="E861" s="17"/>
      <c r="F861" s="16">
        <f>+Tabla13[[#This Row],[PRECIO INSTALADOR (IVA INCLUIDO)]]*5%</f>
        <v>0</v>
      </c>
      <c r="G861" s="12">
        <v>0.85</v>
      </c>
      <c r="H861" s="11">
        <f>Tabla13[[#This Row],[COSTO]]*1.19</f>
        <v>0</v>
      </c>
      <c r="I861" s="10"/>
      <c r="J861" s="9"/>
      <c r="K861" s="8"/>
    </row>
    <row r="862" spans="1:11" x14ac:dyDescent="0.25">
      <c r="A862" s="15" t="s">
        <v>64</v>
      </c>
      <c r="B862" s="15" t="s">
        <v>63</v>
      </c>
      <c r="C862" s="14">
        <f>+Tabla13[[#This Row],[Columna6]]/Tabla13[[#This Row],[Columna5]]</f>
        <v>3173351.9999999995</v>
      </c>
      <c r="D862" s="14">
        <f>+Tabla13[[#This Row],[PRECIO INSTALADOR (IVA INCLUIDO)]]-F862</f>
        <v>3014684.3999999994</v>
      </c>
      <c r="E862" s="14">
        <f>+Tabla13[[#This Row],[PRECIO INSTALADOR (IVA INCLUIDO)]]/0.7</f>
        <v>4533360</v>
      </c>
      <c r="F862" s="13">
        <f>+Tabla13[[#This Row],[PRECIO INSTALADOR (IVA INCLUIDO)]]*5%</f>
        <v>158667.59999999998</v>
      </c>
      <c r="G862" s="12">
        <v>0.85</v>
      </c>
      <c r="H862" s="11">
        <f>Tabla13[[#This Row],[COSTO]]*1.19</f>
        <v>2697349.1999999997</v>
      </c>
      <c r="I862" s="10"/>
      <c r="J862" s="9"/>
      <c r="K862" s="8">
        <v>2266680</v>
      </c>
    </row>
    <row r="863" spans="1:11" x14ac:dyDescent="0.25">
      <c r="A863" s="15" t="s">
        <v>62</v>
      </c>
      <c r="B863" s="15" t="s">
        <v>61</v>
      </c>
      <c r="C863" s="14">
        <f>+Tabla13[[#This Row],[Columna6]]/Tabla13[[#This Row],[Columna5]]</f>
        <v>1166648</v>
      </c>
      <c r="D863" s="14">
        <f>+Tabla13[[#This Row],[PRECIO INSTALADOR (IVA INCLUIDO)]]-F863</f>
        <v>1108315.6000000001</v>
      </c>
      <c r="E863" s="14">
        <f>+Tabla13[[#This Row],[PRECIO INSTALADOR (IVA INCLUIDO)]]/0.7</f>
        <v>1666640</v>
      </c>
      <c r="F863" s="13">
        <f>+Tabla13[[#This Row],[PRECIO INSTALADOR (IVA INCLUIDO)]]*5%</f>
        <v>58332.4</v>
      </c>
      <c r="G863" s="12">
        <v>0.85</v>
      </c>
      <c r="H863" s="11">
        <f>Tabla13[[#This Row],[COSTO]]*1.19</f>
        <v>991650.79999999993</v>
      </c>
      <c r="I863" s="10"/>
      <c r="J863" s="9"/>
      <c r="K863" s="8">
        <v>833320</v>
      </c>
    </row>
    <row r="864" spans="1:11" x14ac:dyDescent="0.25">
      <c r="A864" s="15" t="s">
        <v>60</v>
      </c>
      <c r="B864" s="15" t="s">
        <v>59</v>
      </c>
      <c r="C864" s="14">
        <f>+Tabla13[[#This Row],[Columna6]]/Tabla13[[#This Row],[Columna5]]</f>
        <v>840000</v>
      </c>
      <c r="D864" s="14">
        <f>+Tabla13[[#This Row],[PRECIO INSTALADOR (IVA INCLUIDO)]]-F864</f>
        <v>798000</v>
      </c>
      <c r="E864" s="14">
        <f>+Tabla13[[#This Row],[PRECIO INSTALADOR (IVA INCLUIDO)]]/0.7</f>
        <v>1200000</v>
      </c>
      <c r="F864" s="13">
        <f>+Tabla13[[#This Row],[PRECIO INSTALADOR (IVA INCLUIDO)]]*5%</f>
        <v>42000</v>
      </c>
      <c r="G864" s="12">
        <v>0.85</v>
      </c>
      <c r="H864" s="11">
        <f>Tabla13[[#This Row],[COSTO]]*1.19</f>
        <v>714000</v>
      </c>
      <c r="I864" s="10"/>
      <c r="J864" s="9"/>
      <c r="K864" s="8">
        <v>600000</v>
      </c>
    </row>
    <row r="865" spans="1:11" x14ac:dyDescent="0.25">
      <c r="A865" s="15" t="s">
        <v>58</v>
      </c>
      <c r="B865" s="15" t="s">
        <v>57</v>
      </c>
      <c r="C865" s="14">
        <f>+Tabla13[[#This Row],[Columna6]]/Tabla13[[#This Row],[Columna5]]</f>
        <v>1026648</v>
      </c>
      <c r="D865" s="14">
        <f>+Tabla13[[#This Row],[PRECIO INSTALADOR (IVA INCLUIDO)]]-F865</f>
        <v>975315.6</v>
      </c>
      <c r="E865" s="14">
        <f>+Tabla13[[#This Row],[PRECIO INSTALADOR (IVA INCLUIDO)]]/0.7</f>
        <v>1466640</v>
      </c>
      <c r="F865" s="13">
        <f>+Tabla13[[#This Row],[PRECIO INSTALADOR (IVA INCLUIDO)]]*5%</f>
        <v>51332.4</v>
      </c>
      <c r="G865" s="12">
        <v>0.85</v>
      </c>
      <c r="H865" s="11">
        <f>Tabla13[[#This Row],[COSTO]]*1.19</f>
        <v>872650.79999999993</v>
      </c>
      <c r="I865" s="10"/>
      <c r="J865" s="9"/>
      <c r="K865" s="8">
        <v>733320</v>
      </c>
    </row>
    <row r="866" spans="1:11" x14ac:dyDescent="0.25">
      <c r="A866" s="15" t="s">
        <v>56</v>
      </c>
      <c r="B866" s="15" t="s">
        <v>55</v>
      </c>
      <c r="C866" s="14">
        <f>+Tabla13[[#This Row],[Columna6]]/Tabla13[[#This Row],[Columna5]]</f>
        <v>143248</v>
      </c>
      <c r="D866" s="14">
        <f>+Tabla13[[#This Row],[PRECIO INSTALADOR (IVA INCLUIDO)]]-F866</f>
        <v>136085.6</v>
      </c>
      <c r="E866" s="14">
        <f>+Tabla13[[#This Row],[PRECIO INSTALADOR (IVA INCLUIDO)]]/0.7</f>
        <v>204640</v>
      </c>
      <c r="F866" s="13">
        <f>+Tabla13[[#This Row],[PRECIO INSTALADOR (IVA INCLUIDO)]]*5%</f>
        <v>7162.4000000000005</v>
      </c>
      <c r="G866" s="12">
        <v>0.85</v>
      </c>
      <c r="H866" s="11">
        <f>Tabla13[[#This Row],[COSTO]]*1.19</f>
        <v>121760.79999999999</v>
      </c>
      <c r="I866" s="10"/>
      <c r="J866" s="9"/>
      <c r="K866" s="8">
        <v>102320</v>
      </c>
    </row>
    <row r="867" spans="1:11" x14ac:dyDescent="0.25">
      <c r="A867" s="15" t="s">
        <v>54</v>
      </c>
      <c r="B867" s="15" t="s">
        <v>53</v>
      </c>
      <c r="C867" s="14">
        <f>+Tabla13[[#This Row],[Columna6]]/Tabla13[[#This Row],[Columna5]]</f>
        <v>429743.99999999994</v>
      </c>
      <c r="D867" s="14">
        <f>+Tabla13[[#This Row],[PRECIO INSTALADOR (IVA INCLUIDO)]]-F867</f>
        <v>408256.79999999993</v>
      </c>
      <c r="E867" s="14">
        <f>+Tabla13[[#This Row],[PRECIO INSTALADOR (IVA INCLUIDO)]]/0.7</f>
        <v>613920</v>
      </c>
      <c r="F867" s="13">
        <f>+Tabla13[[#This Row],[PRECIO INSTALADOR (IVA INCLUIDO)]]*5%</f>
        <v>21487.199999999997</v>
      </c>
      <c r="G867" s="12">
        <v>0.85</v>
      </c>
      <c r="H867" s="11">
        <f>Tabla13[[#This Row],[COSTO]]*1.19</f>
        <v>365282.39999999997</v>
      </c>
      <c r="I867" s="10"/>
      <c r="J867" s="9"/>
      <c r="K867" s="8">
        <v>306960</v>
      </c>
    </row>
    <row r="868" spans="1:11" x14ac:dyDescent="0.25">
      <c r="A868" s="15" t="s">
        <v>52</v>
      </c>
      <c r="B868" s="15" t="s">
        <v>51</v>
      </c>
      <c r="C868" s="14">
        <f>+Tabla13[[#This Row],[Columna6]]/Tabla13[[#This Row],[Columna5]]</f>
        <v>162120</v>
      </c>
      <c r="D868" s="14">
        <f>+Tabla13[[#This Row],[PRECIO INSTALADOR (IVA INCLUIDO)]]-F868</f>
        <v>154014</v>
      </c>
      <c r="E868" s="14">
        <f>+Tabla13[[#This Row],[PRECIO INSTALADOR (IVA INCLUIDO)]]/0.7</f>
        <v>231600.00000000003</v>
      </c>
      <c r="F868" s="13">
        <f>+Tabla13[[#This Row],[PRECIO INSTALADOR (IVA INCLUIDO)]]*5%</f>
        <v>8106</v>
      </c>
      <c r="G868" s="12">
        <v>0.85</v>
      </c>
      <c r="H868" s="11">
        <f>Tabla13[[#This Row],[COSTO]]*1.19</f>
        <v>137802</v>
      </c>
      <c r="I868" s="10"/>
      <c r="J868" s="9"/>
      <c r="K868" s="8">
        <v>115800</v>
      </c>
    </row>
    <row r="869" spans="1:11" x14ac:dyDescent="0.25">
      <c r="A869" s="15" t="s">
        <v>50</v>
      </c>
      <c r="B869" s="15" t="s">
        <v>49</v>
      </c>
      <c r="C869" s="14">
        <f>+Tabla13[[#This Row],[Columna6]]/Tabla13[[#This Row],[Columna5]]</f>
        <v>2827551.9999999995</v>
      </c>
      <c r="D869" s="14">
        <f>+Tabla13[[#This Row],[PRECIO INSTALADOR (IVA INCLUIDO)]]-F869</f>
        <v>2686174.3999999994</v>
      </c>
      <c r="E869" s="14">
        <f>+Tabla13[[#This Row],[PRECIO INSTALADOR (IVA INCLUIDO)]]/0.7</f>
        <v>4039359.9999999995</v>
      </c>
      <c r="F869" s="13">
        <f>+Tabla13[[#This Row],[PRECIO INSTALADOR (IVA INCLUIDO)]]*5%</f>
        <v>141377.59999999998</v>
      </c>
      <c r="G869" s="12">
        <v>0.85</v>
      </c>
      <c r="H869" s="11">
        <f>Tabla13[[#This Row],[COSTO]]*1.19</f>
        <v>2403419.1999999997</v>
      </c>
      <c r="I869" s="10"/>
      <c r="J869" s="9"/>
      <c r="K869" s="8">
        <v>2019680</v>
      </c>
    </row>
    <row r="870" spans="1:11" x14ac:dyDescent="0.25">
      <c r="A870" s="15" t="s">
        <v>48</v>
      </c>
      <c r="B870" s="15" t="s">
        <v>47</v>
      </c>
      <c r="C870" s="14">
        <f>+Tabla13[[#This Row],[Columna6]]/Tabla13[[#This Row],[Columna5]]</f>
        <v>2655184</v>
      </c>
      <c r="D870" s="14">
        <f>+Tabla13[[#This Row],[PRECIO INSTALADOR (IVA INCLUIDO)]]-F870</f>
        <v>2522424.7999999998</v>
      </c>
      <c r="E870" s="14">
        <f>+Tabla13[[#This Row],[PRECIO INSTALADOR (IVA INCLUIDO)]]/0.7</f>
        <v>3793120.0000000005</v>
      </c>
      <c r="F870" s="13">
        <f>+Tabla13[[#This Row],[PRECIO INSTALADOR (IVA INCLUIDO)]]*5%</f>
        <v>132759.20000000001</v>
      </c>
      <c r="G870" s="12">
        <v>0.85</v>
      </c>
      <c r="H870" s="11">
        <f>Tabla13[[#This Row],[COSTO]]*1.19</f>
        <v>2256906.4</v>
      </c>
      <c r="I870" s="10"/>
      <c r="J870" s="9"/>
      <c r="K870" s="8">
        <v>1896560</v>
      </c>
    </row>
    <row r="871" spans="1:11" x14ac:dyDescent="0.25">
      <c r="A871" s="15" t="s">
        <v>46</v>
      </c>
      <c r="B871" s="15" t="s">
        <v>45</v>
      </c>
      <c r="C871" s="14">
        <f>+Tabla13[[#This Row],[Columna6]]/Tabla13[[#This Row],[Columna5]]</f>
        <v>342216</v>
      </c>
      <c r="D871" s="14">
        <f>+Tabla13[[#This Row],[PRECIO INSTALADOR (IVA INCLUIDO)]]-F871</f>
        <v>325105.2</v>
      </c>
      <c r="E871" s="14">
        <f>+Tabla13[[#This Row],[PRECIO INSTALADOR (IVA INCLUIDO)]]/0.7</f>
        <v>488880.00000000006</v>
      </c>
      <c r="F871" s="13">
        <f>+Tabla13[[#This Row],[PRECIO INSTALADOR (IVA INCLUIDO)]]*5%</f>
        <v>17110.8</v>
      </c>
      <c r="G871" s="12">
        <v>0.85</v>
      </c>
      <c r="H871" s="11">
        <f>Tabla13[[#This Row],[COSTO]]*1.19</f>
        <v>290883.59999999998</v>
      </c>
      <c r="I871" s="10"/>
      <c r="J871" s="9"/>
      <c r="K871" s="8">
        <v>244440</v>
      </c>
    </row>
    <row r="872" spans="1:11" x14ac:dyDescent="0.25">
      <c r="A872" s="18"/>
      <c r="B872" s="18" t="s">
        <v>44</v>
      </c>
      <c r="C872" s="17"/>
      <c r="D872" s="17"/>
      <c r="E872" s="17"/>
      <c r="F872" s="16">
        <f>+Tabla13[[#This Row],[PRECIO INSTALADOR (IVA INCLUIDO)]]*5%</f>
        <v>0</v>
      </c>
      <c r="G872" s="12"/>
      <c r="H872" s="11">
        <f>Tabla13[[#This Row],[COSTO]]*1.19</f>
        <v>0</v>
      </c>
      <c r="I872" s="10"/>
      <c r="J872" s="9"/>
      <c r="K872" s="8">
        <v>0</v>
      </c>
    </row>
    <row r="873" spans="1:11" x14ac:dyDescent="0.25">
      <c r="A873" s="15" t="s">
        <v>43</v>
      </c>
      <c r="B873" s="15" t="s">
        <v>42</v>
      </c>
      <c r="C873" s="14">
        <f>+Tabla13[[#This Row],[Columna6]]/Tabla13[[#This Row],[Columna5]]</f>
        <v>1995616</v>
      </c>
      <c r="D873" s="14">
        <f>+Tabla13[[#This Row],[PRECIO INSTALADOR (IVA INCLUIDO)]]-F873</f>
        <v>1895835.2</v>
      </c>
      <c r="E873" s="14">
        <f>+Tabla13[[#This Row],[PRECIO INSTALADOR (IVA INCLUIDO)]]/0.7</f>
        <v>2850880</v>
      </c>
      <c r="F873" s="13">
        <f>+Tabla13[[#This Row],[PRECIO INSTALADOR (IVA INCLUIDO)]]*5%</f>
        <v>99780.800000000003</v>
      </c>
      <c r="G873" s="12">
        <v>0.85</v>
      </c>
      <c r="H873" s="11">
        <f>Tabla13[[#This Row],[COSTO]]*1.19</f>
        <v>1696273.5999999999</v>
      </c>
      <c r="I873" s="10"/>
      <c r="J873" s="9"/>
      <c r="K873" s="8">
        <v>1425440</v>
      </c>
    </row>
    <row r="874" spans="1:11" x14ac:dyDescent="0.25">
      <c r="A874" s="15" t="s">
        <v>41</v>
      </c>
      <c r="B874" s="15" t="s">
        <v>40</v>
      </c>
      <c r="C874" s="14">
        <f>+Tabla13[[#This Row],[Columna6]]/Tabla13[[#This Row],[Columna5]]</f>
        <v>4154192</v>
      </c>
      <c r="D874" s="14">
        <f>+Tabla13[[#This Row],[PRECIO INSTALADOR (IVA INCLUIDO)]]-F874</f>
        <v>3946482.4</v>
      </c>
      <c r="E874" s="14">
        <f>+Tabla13[[#This Row],[PRECIO INSTALADOR (IVA INCLUIDO)]]/0.7</f>
        <v>5934560</v>
      </c>
      <c r="F874" s="13">
        <f>+Tabla13[[#This Row],[PRECIO INSTALADOR (IVA INCLUIDO)]]*5%</f>
        <v>207709.6</v>
      </c>
      <c r="G874" s="12">
        <v>0.85</v>
      </c>
      <c r="H874" s="11">
        <f>Tabla13[[#This Row],[COSTO]]*1.19</f>
        <v>3531063.1999999997</v>
      </c>
      <c r="I874" s="10"/>
      <c r="J874" s="9"/>
      <c r="K874" s="8">
        <v>2967280</v>
      </c>
    </row>
    <row r="875" spans="1:11" x14ac:dyDescent="0.25">
      <c r="A875" s="18"/>
      <c r="B875" s="18" t="s">
        <v>39</v>
      </c>
      <c r="C875" s="17"/>
      <c r="D875" s="17"/>
      <c r="E875" s="17"/>
      <c r="F875" s="16">
        <f>+Tabla13[[#This Row],[PRECIO INSTALADOR (IVA INCLUIDO)]]*5%</f>
        <v>0</v>
      </c>
      <c r="G875" s="12"/>
      <c r="H875" s="11">
        <f>Tabla13[[#This Row],[COSTO]]*1.19</f>
        <v>0</v>
      </c>
      <c r="I875" s="10"/>
      <c r="J875" s="9"/>
      <c r="K875" s="8">
        <v>0</v>
      </c>
    </row>
    <row r="876" spans="1:11" x14ac:dyDescent="0.25">
      <c r="A876" s="15" t="s">
        <v>38</v>
      </c>
      <c r="B876" s="15" t="s">
        <v>37</v>
      </c>
      <c r="C876" s="14">
        <f>+Tabla13[[#This Row],[Columna6]]/Tabla13[[#This Row],[Columna5]]</f>
        <v>610904</v>
      </c>
      <c r="D876" s="14">
        <f>+Tabla13[[#This Row],[PRECIO INSTALADOR (IVA INCLUIDO)]]-F876</f>
        <v>580358.80000000005</v>
      </c>
      <c r="E876" s="14">
        <f>+Tabla13[[#This Row],[PRECIO INSTALADOR (IVA INCLUIDO)]]/0.7</f>
        <v>872720</v>
      </c>
      <c r="F876" s="13">
        <f>+Tabla13[[#This Row],[PRECIO INSTALADOR (IVA INCLUIDO)]]*5%</f>
        <v>30545.200000000001</v>
      </c>
      <c r="G876" s="12">
        <v>0.85</v>
      </c>
      <c r="H876" s="11">
        <f>Tabla13[[#This Row],[COSTO]]*1.19</f>
        <v>519268.39999999997</v>
      </c>
      <c r="I876" s="10"/>
      <c r="J876" s="9"/>
      <c r="K876" s="8">
        <v>436360</v>
      </c>
    </row>
    <row r="877" spans="1:11" x14ac:dyDescent="0.25">
      <c r="A877" s="15" t="s">
        <v>36</v>
      </c>
      <c r="B877" s="15" t="s">
        <v>35</v>
      </c>
      <c r="C877" s="14">
        <f>+Tabla13[[#This Row],[Columna6]]/Tabla13[[#This Row],[Columna5]]</f>
        <v>855287.99999999988</v>
      </c>
      <c r="D877" s="14">
        <f>+Tabla13[[#This Row],[PRECIO INSTALADOR (IVA INCLUIDO)]]-F877</f>
        <v>812523.59999999986</v>
      </c>
      <c r="E877" s="14">
        <f>+Tabla13[[#This Row],[PRECIO INSTALADOR (IVA INCLUIDO)]]/0.7</f>
        <v>1221840</v>
      </c>
      <c r="F877" s="13">
        <f>+Tabla13[[#This Row],[PRECIO INSTALADOR (IVA INCLUIDO)]]*5%</f>
        <v>42764.399999999994</v>
      </c>
      <c r="G877" s="12">
        <v>0.85</v>
      </c>
      <c r="H877" s="11">
        <f>Tabla13[[#This Row],[COSTO]]*1.19</f>
        <v>726994.79999999993</v>
      </c>
      <c r="I877" s="10"/>
      <c r="J877" s="9"/>
      <c r="K877" s="8">
        <v>610920</v>
      </c>
    </row>
    <row r="878" spans="1:11" x14ac:dyDescent="0.25">
      <c r="A878" s="15" t="s">
        <v>34</v>
      </c>
      <c r="B878" s="15" t="s">
        <v>33</v>
      </c>
      <c r="C878" s="14">
        <f>+Tabla13[[#This Row],[Columna6]]/Tabla13[[#This Row],[Columna5]]</f>
        <v>1466192</v>
      </c>
      <c r="D878" s="14">
        <f>+Tabla13[[#This Row],[PRECIO INSTALADOR (IVA INCLUIDO)]]-F878</f>
        <v>1392882.4</v>
      </c>
      <c r="E878" s="14">
        <f>+Tabla13[[#This Row],[PRECIO INSTALADOR (IVA INCLUIDO)]]/0.7</f>
        <v>2094560.0000000002</v>
      </c>
      <c r="F878" s="13">
        <f>+Tabla13[[#This Row],[PRECIO INSTALADOR (IVA INCLUIDO)]]*5%</f>
        <v>73309.600000000006</v>
      </c>
      <c r="G878" s="12">
        <v>0.85</v>
      </c>
      <c r="H878" s="11">
        <f>Tabla13[[#This Row],[COSTO]]*1.19</f>
        <v>1246263.2</v>
      </c>
      <c r="I878" s="10"/>
      <c r="J878" s="9"/>
      <c r="K878" s="8">
        <v>1047280</v>
      </c>
    </row>
    <row r="879" spans="1:11" x14ac:dyDescent="0.25">
      <c r="A879" s="18"/>
      <c r="B879" s="18" t="s">
        <v>32</v>
      </c>
      <c r="C879" s="17"/>
      <c r="D879" s="17"/>
      <c r="E879" s="17"/>
      <c r="F879" s="16">
        <f>+Tabla13[[#This Row],[PRECIO INSTALADOR (IVA INCLUIDO)]]*5%</f>
        <v>0</v>
      </c>
      <c r="G879" s="12"/>
      <c r="H879" s="11">
        <f>Tabla13[[#This Row],[COSTO]]*1.19</f>
        <v>0</v>
      </c>
      <c r="I879" s="10"/>
      <c r="J879" s="9"/>
      <c r="K879" s="8">
        <v>0</v>
      </c>
    </row>
    <row r="880" spans="1:11" x14ac:dyDescent="0.25">
      <c r="A880" s="15" t="s">
        <v>31</v>
      </c>
      <c r="B880" s="15" t="s">
        <v>30</v>
      </c>
      <c r="C880" s="14">
        <f>+Tabla13[[#This Row],[Columna6]]/Tabla13[[#This Row],[Columna5]]</f>
        <v>0</v>
      </c>
      <c r="D880" s="14">
        <f>+Tabla13[[#This Row],[PRECIO INSTALADOR (IVA INCLUIDO)]]-F880</f>
        <v>0</v>
      </c>
      <c r="E880" s="14">
        <f>+Tabla13[[#This Row],[PRECIO INSTALADOR (IVA INCLUIDO)]]/0.7</f>
        <v>0</v>
      </c>
      <c r="F880" s="13">
        <f>+Tabla13[[#This Row],[PRECIO INSTALADOR (IVA INCLUIDO)]]*5%</f>
        <v>0</v>
      </c>
      <c r="G880" s="12">
        <v>0.85</v>
      </c>
      <c r="H880" s="11">
        <f>Tabla13[[#This Row],[COSTO]]*1.19</f>
        <v>0</v>
      </c>
      <c r="I880" s="10"/>
      <c r="J880" s="9"/>
      <c r="K880" s="8">
        <v>0</v>
      </c>
    </row>
    <row r="881" spans="1:11" x14ac:dyDescent="0.25">
      <c r="A881" s="15" t="s">
        <v>29</v>
      </c>
      <c r="B881" s="15" t="s">
        <v>28</v>
      </c>
      <c r="C881" s="14">
        <f>+Tabla13[[#This Row],[Columna6]]/Tabla13[[#This Row],[Columna5]]</f>
        <v>244384</v>
      </c>
      <c r="D881" s="14">
        <f>+Tabla13[[#This Row],[PRECIO INSTALADOR (IVA INCLUIDO)]]-F881</f>
        <v>232164.8</v>
      </c>
      <c r="E881" s="14">
        <f>+Tabla13[[#This Row],[PRECIO INSTALADOR (IVA INCLUIDO)]]/0.7</f>
        <v>349120</v>
      </c>
      <c r="F881" s="13">
        <f>+Tabla13[[#This Row],[PRECIO INSTALADOR (IVA INCLUIDO)]]*5%</f>
        <v>12219.2</v>
      </c>
      <c r="G881" s="12">
        <v>0.85</v>
      </c>
      <c r="H881" s="11">
        <f>Tabla13[[#This Row],[COSTO]]*1.19</f>
        <v>207726.4</v>
      </c>
      <c r="I881" s="10"/>
      <c r="J881" s="9"/>
      <c r="K881" s="8">
        <v>174560</v>
      </c>
    </row>
    <row r="882" spans="1:11" x14ac:dyDescent="0.25">
      <c r="A882" s="15" t="s">
        <v>27</v>
      </c>
      <c r="B882" s="15" t="s">
        <v>26</v>
      </c>
      <c r="C882" s="14">
        <f>+Tabla13[[#This Row],[Columna6]]/Tabla13[[#This Row],[Columna5]]</f>
        <v>244384</v>
      </c>
      <c r="D882" s="14">
        <f>+Tabla13[[#This Row],[PRECIO INSTALADOR (IVA INCLUIDO)]]-F882</f>
        <v>232164.8</v>
      </c>
      <c r="E882" s="14">
        <f>+Tabla13[[#This Row],[PRECIO INSTALADOR (IVA INCLUIDO)]]/0.7</f>
        <v>349120</v>
      </c>
      <c r="F882" s="13">
        <f>+Tabla13[[#This Row],[PRECIO INSTALADOR (IVA INCLUIDO)]]*5%</f>
        <v>12219.2</v>
      </c>
      <c r="G882" s="12">
        <v>0.85</v>
      </c>
      <c r="H882" s="11">
        <f>Tabla13[[#This Row],[COSTO]]*1.19</f>
        <v>207726.4</v>
      </c>
      <c r="I882" s="10"/>
      <c r="J882" s="9"/>
      <c r="K882" s="8">
        <v>174560</v>
      </c>
    </row>
    <row r="883" spans="1:11" x14ac:dyDescent="0.25">
      <c r="A883" s="18"/>
      <c r="B883" s="18" t="s">
        <v>25</v>
      </c>
      <c r="C883" s="17"/>
      <c r="D883" s="17"/>
      <c r="E883" s="17"/>
      <c r="F883" s="16">
        <f>+Tabla13[[#This Row],[PRECIO INSTALADOR (IVA INCLUIDO)]]*5%</f>
        <v>0</v>
      </c>
      <c r="G883" s="12"/>
      <c r="H883" s="11">
        <f>Tabla13[[#This Row],[COSTO]]*1.19</f>
        <v>0</v>
      </c>
      <c r="I883" s="10"/>
      <c r="J883" s="9"/>
      <c r="K883" s="8">
        <v>0</v>
      </c>
    </row>
    <row r="884" spans="1:11" x14ac:dyDescent="0.25">
      <c r="A884" s="15" t="s">
        <v>24</v>
      </c>
      <c r="B884" s="15" t="s">
        <v>23</v>
      </c>
      <c r="C884" s="14">
        <f>+Tabla13[[#This Row],[Columna6]]/Tabla13[[#This Row],[Columna5]]</f>
        <v>4072712</v>
      </c>
      <c r="D884" s="14">
        <f>+Tabla13[[#This Row],[PRECIO INSTALADOR (IVA INCLUIDO)]]-F884</f>
        <v>3869076.4</v>
      </c>
      <c r="E884" s="14">
        <f>+Tabla13[[#This Row],[PRECIO INSTALADOR (IVA INCLUIDO)]]/0.7</f>
        <v>5818160</v>
      </c>
      <c r="F884" s="13">
        <f>+Tabla13[[#This Row],[PRECIO INSTALADOR (IVA INCLUIDO)]]*5%</f>
        <v>203635.6</v>
      </c>
      <c r="G884" s="12">
        <v>0.85</v>
      </c>
      <c r="H884" s="11">
        <f>Tabla13[[#This Row],[COSTO]]*1.19</f>
        <v>3461805.1999999997</v>
      </c>
      <c r="I884" s="10"/>
      <c r="J884" s="9"/>
      <c r="K884" s="8">
        <v>2909080</v>
      </c>
    </row>
    <row r="885" spans="1:11" x14ac:dyDescent="0.25">
      <c r="A885" s="15" t="s">
        <v>22</v>
      </c>
      <c r="B885" s="15" t="s">
        <v>21</v>
      </c>
      <c r="C885" s="14">
        <f>+Tabla13[[#This Row],[Columna6]]/Tabla13[[#This Row],[Columna5]]</f>
        <v>244384</v>
      </c>
      <c r="D885" s="14">
        <f>+Tabla13[[#This Row],[PRECIO INSTALADOR (IVA INCLUIDO)]]-F885</f>
        <v>232164.8</v>
      </c>
      <c r="E885" s="14">
        <f>+Tabla13[[#This Row],[PRECIO INSTALADOR (IVA INCLUIDO)]]/0.7</f>
        <v>349120</v>
      </c>
      <c r="F885" s="13">
        <f>+Tabla13[[#This Row],[PRECIO INSTALADOR (IVA INCLUIDO)]]*5%</f>
        <v>12219.2</v>
      </c>
      <c r="G885" s="12">
        <v>0.85</v>
      </c>
      <c r="H885" s="11">
        <f>Tabla13[[#This Row],[COSTO]]*1.19</f>
        <v>207726.4</v>
      </c>
      <c r="I885" s="10"/>
      <c r="J885" s="9"/>
      <c r="K885" s="8">
        <v>174560</v>
      </c>
    </row>
    <row r="886" spans="1:11" x14ac:dyDescent="0.25">
      <c r="A886" s="15" t="s">
        <v>20</v>
      </c>
      <c r="B886" s="15" t="s">
        <v>19</v>
      </c>
      <c r="C886" s="14">
        <f>+Tabla13[[#This Row],[Columna6]]/Tabla13[[#This Row],[Columna5]]</f>
        <v>244384</v>
      </c>
      <c r="D886" s="14">
        <f>+Tabla13[[#This Row],[PRECIO INSTALADOR (IVA INCLUIDO)]]-F886</f>
        <v>232164.8</v>
      </c>
      <c r="E886" s="14">
        <f>+Tabla13[[#This Row],[PRECIO INSTALADOR (IVA INCLUIDO)]]/0.7</f>
        <v>349120</v>
      </c>
      <c r="F886" s="13">
        <f>+Tabla13[[#This Row],[PRECIO INSTALADOR (IVA INCLUIDO)]]*5%</f>
        <v>12219.2</v>
      </c>
      <c r="G886" s="12">
        <v>0.85</v>
      </c>
      <c r="H886" s="11">
        <f>Tabla13[[#This Row],[COSTO]]*1.19</f>
        <v>207726.4</v>
      </c>
      <c r="I886" s="10"/>
      <c r="J886" s="9"/>
      <c r="K886" s="8">
        <v>174560</v>
      </c>
    </row>
    <row r="887" spans="1:11" x14ac:dyDescent="0.25">
      <c r="A887" s="18"/>
      <c r="B887" s="18" t="s">
        <v>18</v>
      </c>
      <c r="C887" s="17"/>
      <c r="D887" s="17"/>
      <c r="E887" s="17"/>
      <c r="F887" s="16">
        <f>+Tabla13[[#This Row],[PRECIO INSTALADOR (IVA INCLUIDO)]]*5%</f>
        <v>0</v>
      </c>
      <c r="G887" s="12"/>
      <c r="H887" s="11">
        <f>Tabla13[[#This Row],[COSTO]]*1.19</f>
        <v>0</v>
      </c>
      <c r="I887" s="10"/>
      <c r="J887" s="9"/>
      <c r="K887" s="8">
        <v>0</v>
      </c>
    </row>
    <row r="888" spans="1:11" x14ac:dyDescent="0.25">
      <c r="A888" s="15" t="s">
        <v>17</v>
      </c>
      <c r="B888" s="15" t="s">
        <v>16</v>
      </c>
      <c r="C888" s="14">
        <f>+Tabla13[[#This Row],[Columna6]]/Tabla13[[#This Row],[Columna5]]</f>
        <v>1563912</v>
      </c>
      <c r="D888" s="14">
        <f>+Tabla13[[#This Row],[PRECIO INSTALADOR (IVA INCLUIDO)]]-F888</f>
        <v>1485716.4</v>
      </c>
      <c r="E888" s="14">
        <f>+Tabla13[[#This Row],[PRECIO INSTALADOR (IVA INCLUIDO)]]/0.7</f>
        <v>2234160</v>
      </c>
      <c r="F888" s="13">
        <f>+Tabla13[[#This Row],[PRECIO INSTALADOR (IVA INCLUIDO)]]*5%</f>
        <v>78195.600000000006</v>
      </c>
      <c r="G888" s="12">
        <v>0.85</v>
      </c>
      <c r="H888" s="11">
        <f>Tabla13[[#This Row],[COSTO]]*1.19</f>
        <v>1329325.2</v>
      </c>
      <c r="I888" s="10"/>
      <c r="J888" s="9"/>
      <c r="K888" s="8">
        <v>1117080</v>
      </c>
    </row>
    <row r="889" spans="1:11" x14ac:dyDescent="0.25">
      <c r="A889" s="15" t="s">
        <v>15</v>
      </c>
      <c r="B889" s="15" t="s">
        <v>14</v>
      </c>
      <c r="C889" s="14">
        <f>+Tabla13[[#This Row],[Columna6]]/Tabla13[[#This Row],[Columna5]]</f>
        <v>610904</v>
      </c>
      <c r="D889" s="14">
        <f>+Tabla13[[#This Row],[PRECIO INSTALADOR (IVA INCLUIDO)]]-F889</f>
        <v>580358.80000000005</v>
      </c>
      <c r="E889" s="14">
        <f>+Tabla13[[#This Row],[PRECIO INSTALADOR (IVA INCLUIDO)]]/0.7</f>
        <v>872720</v>
      </c>
      <c r="F889" s="13">
        <f>+Tabla13[[#This Row],[PRECIO INSTALADOR (IVA INCLUIDO)]]*5%</f>
        <v>30545.200000000001</v>
      </c>
      <c r="G889" s="12">
        <v>0.85</v>
      </c>
      <c r="H889" s="11">
        <f>Tabla13[[#This Row],[COSTO]]*1.19</f>
        <v>519268.39999999997</v>
      </c>
      <c r="I889" s="10"/>
      <c r="J889" s="9"/>
      <c r="K889" s="8">
        <v>436360</v>
      </c>
    </row>
    <row r="890" spans="1:11" x14ac:dyDescent="0.25">
      <c r="A890" s="15" t="s">
        <v>13</v>
      </c>
      <c r="B890" s="15" t="s">
        <v>12</v>
      </c>
      <c r="C890" s="14">
        <f>+Tabla13[[#This Row],[Columna6]]/Tabla13[[#This Row],[Columna5]]</f>
        <v>977480</v>
      </c>
      <c r="D890" s="14">
        <f>+Tabla13[[#This Row],[PRECIO INSTALADOR (IVA INCLUIDO)]]-F890</f>
        <v>928606</v>
      </c>
      <c r="E890" s="14">
        <f>+Tabla13[[#This Row],[PRECIO INSTALADOR (IVA INCLUIDO)]]/0.7</f>
        <v>1396400</v>
      </c>
      <c r="F890" s="13">
        <f>+Tabla13[[#This Row],[PRECIO INSTALADOR (IVA INCLUIDO)]]*5%</f>
        <v>48874</v>
      </c>
      <c r="G890" s="12">
        <v>0.85</v>
      </c>
      <c r="H890" s="11">
        <f>Tabla13[[#This Row],[COSTO]]*1.19</f>
        <v>830858</v>
      </c>
      <c r="I890" s="10"/>
      <c r="J890" s="9"/>
      <c r="K890" s="8">
        <v>698200</v>
      </c>
    </row>
    <row r="891" spans="1:11" x14ac:dyDescent="0.25">
      <c r="A891" s="18"/>
      <c r="B891" s="18" t="s">
        <v>11</v>
      </c>
      <c r="C891" s="17"/>
      <c r="D891" s="17"/>
      <c r="E891" s="17"/>
      <c r="F891" s="16">
        <f>+Tabla13[[#This Row],[PRECIO INSTALADOR (IVA INCLUIDO)]]*5%</f>
        <v>0</v>
      </c>
      <c r="G891" s="12"/>
      <c r="H891" s="11">
        <f>Tabla13[[#This Row],[COSTO]]*1.19</f>
        <v>0</v>
      </c>
      <c r="I891" s="10"/>
      <c r="J891" s="9"/>
      <c r="K891" s="8">
        <v>0</v>
      </c>
    </row>
    <row r="892" spans="1:11" x14ac:dyDescent="0.25">
      <c r="A892" s="15" t="s">
        <v>10</v>
      </c>
      <c r="B892" s="15" t="s">
        <v>9</v>
      </c>
      <c r="C892" s="14">
        <f>+Tabla13[[#This Row],[Columna6]]/Tabla13[[#This Row],[Columna5]]</f>
        <v>1954904</v>
      </c>
      <c r="D892" s="14">
        <f>+Tabla13[[#This Row],[PRECIO INSTALADOR (IVA INCLUIDO)]]-F892</f>
        <v>1857158.8</v>
      </c>
      <c r="E892" s="14">
        <f>+Tabla13[[#This Row],[PRECIO INSTALADOR (IVA INCLUIDO)]]/0.7</f>
        <v>2792720</v>
      </c>
      <c r="F892" s="13">
        <f>+Tabla13[[#This Row],[PRECIO INSTALADOR (IVA INCLUIDO)]]*5%</f>
        <v>97745.200000000012</v>
      </c>
      <c r="G892" s="12">
        <v>0.85</v>
      </c>
      <c r="H892" s="11">
        <f>Tabla13[[#This Row],[COSTO]]*1.19</f>
        <v>1661668.4</v>
      </c>
      <c r="I892" s="10"/>
      <c r="J892" s="9"/>
      <c r="K892" s="8">
        <v>1396360</v>
      </c>
    </row>
    <row r="893" spans="1:11" x14ac:dyDescent="0.25">
      <c r="A893" s="15" t="s">
        <v>8</v>
      </c>
      <c r="B893" s="15" t="s">
        <v>7</v>
      </c>
      <c r="C893" s="14">
        <f>+Tabla13[[#This Row],[Columna6]]/Tabla13[[#This Row],[Columna5]]</f>
        <v>1466192</v>
      </c>
      <c r="D893" s="14">
        <f>+Tabla13[[#This Row],[PRECIO INSTALADOR (IVA INCLUIDO)]]-F893</f>
        <v>1392882.4</v>
      </c>
      <c r="E893" s="14">
        <f>+Tabla13[[#This Row],[PRECIO INSTALADOR (IVA INCLUIDO)]]/0.7</f>
        <v>2094560.0000000002</v>
      </c>
      <c r="F893" s="13">
        <f>+Tabla13[[#This Row],[PRECIO INSTALADOR (IVA INCLUIDO)]]*5%</f>
        <v>73309.600000000006</v>
      </c>
      <c r="G893" s="12">
        <v>0.85</v>
      </c>
      <c r="H893" s="11">
        <f>Tabla13[[#This Row],[COSTO]]*1.19</f>
        <v>1246263.2</v>
      </c>
      <c r="I893" s="10"/>
      <c r="J893" s="9"/>
      <c r="K893" s="8">
        <v>1047280</v>
      </c>
    </row>
    <row r="894" spans="1:11" x14ac:dyDescent="0.25">
      <c r="A894" s="15" t="s">
        <v>6</v>
      </c>
      <c r="B894" s="15" t="s">
        <v>5</v>
      </c>
      <c r="C894" s="14">
        <f>+Tabla13[[#This Row],[Columna6]]/Tabla13[[#This Row],[Columna5]]</f>
        <v>48887.999999999993</v>
      </c>
      <c r="D894" s="14">
        <f>+Tabla13[[#This Row],[PRECIO INSTALADOR (IVA INCLUIDO)]]-F894</f>
        <v>46443.599999999991</v>
      </c>
      <c r="E894" s="14">
        <f>+Tabla13[[#This Row],[PRECIO INSTALADOR (IVA INCLUIDO)]]/0.7</f>
        <v>69840</v>
      </c>
      <c r="F894" s="13">
        <f>+Tabla13[[#This Row],[PRECIO INSTALADOR (IVA INCLUIDO)]]*5%</f>
        <v>2444.3999999999996</v>
      </c>
      <c r="G894" s="12">
        <v>0.85</v>
      </c>
      <c r="H894" s="11">
        <f>Tabla13[[#This Row],[COSTO]]*1.19</f>
        <v>41554.799999999996</v>
      </c>
      <c r="I894" s="10"/>
      <c r="J894" s="9"/>
      <c r="K894" s="8">
        <v>34920</v>
      </c>
    </row>
    <row r="895" spans="1:11" x14ac:dyDescent="0.25">
      <c r="A895" s="15" t="s">
        <v>4</v>
      </c>
      <c r="B895" s="15" t="s">
        <v>3</v>
      </c>
      <c r="C895" s="14">
        <f>+Tabla13[[#This Row],[Columna6]]/Tabla13[[#This Row],[Columna5]]</f>
        <v>146608</v>
      </c>
      <c r="D895" s="14">
        <f>+Tabla13[[#This Row],[PRECIO INSTALADOR (IVA INCLUIDO)]]-F895</f>
        <v>139277.6</v>
      </c>
      <c r="E895" s="14">
        <f>+Tabla13[[#This Row],[PRECIO INSTALADOR (IVA INCLUIDO)]]/0.7</f>
        <v>209440</v>
      </c>
      <c r="F895" s="13">
        <f>+Tabla13[[#This Row],[PRECIO INSTALADOR (IVA INCLUIDO)]]*5%</f>
        <v>7330.4000000000005</v>
      </c>
      <c r="G895" s="12">
        <v>0.85</v>
      </c>
      <c r="H895" s="11">
        <f>Tabla13[[#This Row],[COSTO]]*1.19</f>
        <v>124616.79999999999</v>
      </c>
      <c r="I895" s="10"/>
      <c r="J895" s="9"/>
      <c r="K895" s="8">
        <v>104720</v>
      </c>
    </row>
    <row r="896" spans="1:11" x14ac:dyDescent="0.25">
      <c r="A896" s="18"/>
      <c r="B896" s="18" t="s">
        <v>2</v>
      </c>
      <c r="C896" s="17"/>
      <c r="D896" s="17"/>
      <c r="E896" s="17"/>
      <c r="F896" s="16">
        <f>+Tabla13[[#This Row],[PRECIO INSTALADOR (IVA INCLUIDO)]]*5%</f>
        <v>0</v>
      </c>
      <c r="G896" s="12"/>
      <c r="H896" s="11">
        <f>Tabla13[[#This Row],[COSTO]]*1.19</f>
        <v>0</v>
      </c>
      <c r="I896" s="10"/>
      <c r="J896" s="9"/>
      <c r="K896" s="8">
        <v>0</v>
      </c>
    </row>
    <row r="897" spans="1:11" x14ac:dyDescent="0.25">
      <c r="A897" s="15" t="s">
        <v>1</v>
      </c>
      <c r="B897" s="15" t="s">
        <v>0</v>
      </c>
      <c r="C897" s="14">
        <f>+Tabla13[[#This Row],[Columna6]]/Tabla13[[#This Row],[Columna5]]</f>
        <v>18373432</v>
      </c>
      <c r="D897" s="14">
        <f>+Tabla13[[#This Row],[PRECIO INSTALADOR (IVA INCLUIDO)]]-F897</f>
        <v>17454760.399999999</v>
      </c>
      <c r="E897" s="14">
        <f>+Tabla13[[#This Row],[PRECIO INSTALADOR (IVA INCLUIDO)]]/0.7</f>
        <v>26247760</v>
      </c>
      <c r="F897" s="13">
        <f>+Tabla13[[#This Row],[PRECIO INSTALADOR (IVA INCLUIDO)]]*5%</f>
        <v>918671.60000000009</v>
      </c>
      <c r="G897" s="12">
        <v>0.85</v>
      </c>
      <c r="H897" s="11">
        <f>Tabla13[[#This Row],[COSTO]]*1.19</f>
        <v>15617417.199999999</v>
      </c>
      <c r="I897" s="10"/>
      <c r="J897" s="9"/>
      <c r="K897" s="8">
        <v>13123880</v>
      </c>
    </row>
  </sheetData>
  <mergeCells count="1">
    <mergeCell ref="O820:Q820"/>
  </mergeCells>
  <conditionalFormatting sqref="A3">
    <cfRule type="duplicateValues" dxfId="2" priority="1"/>
  </conditionalFormatting>
  <conditionalFormatting sqref="A827:A897 A2 A4:A825">
    <cfRule type="duplicateValues" dxfId="1" priority="3"/>
  </conditionalFormatting>
  <conditionalFormatting sqref="A827:A1048576 A1:A2 A4:A825">
    <cfRule type="duplicateValues" dxfId="0" priority="2"/>
  </conditionalFormatting>
  <hyperlinks>
    <hyperlink ref="B9" r:id="rId1" display="https://www.syscomcolombia.com/producto/ACCESSRIMMOTOR-ACCESSPRO-176565.html" xr:uid="{300D393B-7EE9-43FB-83CB-94B17C2A315A}"/>
  </hyperlinks>
  <pageMargins left="0.74791666666666667" right="0.74791666666666667" top="0.98402777777777772" bottom="0.98402777777777772" header="0.51180555555555551" footer="0.51180555555555551"/>
  <pageSetup scale="35" firstPageNumber="0" orientation="portrait" horizontalDpi="300" verticalDpi="300" r:id="rId2"/>
  <headerFooter alignWithMargins="0"/>
  <colBreaks count="1" manualBreakCount="1">
    <brk id="5" max="896" man="1"/>
  </colBreaks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DE ACCESO VARIOS</vt:lpstr>
      <vt:lpstr>'CONTROL DE ACCESO VARIOS'!Área_de_impresión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dcterms:created xsi:type="dcterms:W3CDTF">2026-09-24T22:15:15Z</dcterms:created>
  <dcterms:modified xsi:type="dcterms:W3CDTF">2026-09-24T22:17:05Z</dcterms:modified>
</cp:coreProperties>
</file>