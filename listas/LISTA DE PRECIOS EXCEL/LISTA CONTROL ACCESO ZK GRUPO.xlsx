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 Compras\OneDrive\Documents\Desktop\LISTAS DE PRECIOS\listados grupo nuevo con formulas\LISTA PROVISIONAL DAÑO PLATAFORMA\LISTAS EMPRESA GRUPO\EXCEL\"/>
    </mc:Choice>
  </mc:AlternateContent>
  <xr:revisionPtr revIDLastSave="0" documentId="13_ncr:1_{DDE3A55A-7CF8-415B-A428-E081BDB937C5}" xr6:coauthVersionLast="47" xr6:coauthVersionMax="47" xr10:uidLastSave="{00000000-0000-0000-0000-000000000000}"/>
  <bookViews>
    <workbookView xWindow="23880" yWindow="-120" windowWidth="21840" windowHeight="13140" xr2:uid="{DA1DBE54-82F2-4C3D-B27B-236E2D448FFC}"/>
  </bookViews>
  <sheets>
    <sheet name="CONTROL DE ACCESO ZK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v" hidden="1">{"'ADV&amp;DP'!$A$4:$C$25"}</definedName>
    <definedName name="_??" hidden="1">{"'?????10.27??????'!$Q$16"}</definedName>
    <definedName name="_????" hidden="1">{"'?????10.27??????'!$Q$16"}</definedName>
    <definedName name="_?????" hidden="1">{"DCF-???",#N/A,TRUE,"???";"DCF-??",#N/A,TRUE,"??";"DCF-??",#N/A,TRUE,"??";"DCF-??",#N/A,TRUE,"??";"DCF-??",#N/A,TRUE,"??";"DCF-??",#N/A,TRUE,"??";"DCF-??",#N/A,TRUE,"??";"DCF-??",#N/A,TRUE,"??";"DCF-??",#N/A,TRUE,"??"}</definedName>
    <definedName name="_??????" hidden="1">{"'?????10.27??????'!$Q$16"}</definedName>
    <definedName name="_??06" hidden="1">{"'?????10.27??????'!$Q$16"}</definedName>
    <definedName name="_?16??" hidden="1">{"'????'!$A$1:$C$37"}</definedName>
    <definedName name="__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__DF4" hidden="1">#REF!</definedName>
    <definedName name="______DF4" hidden="1">#REF!</definedName>
    <definedName name="_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_DF4" hidden="1">#REF!</definedName>
    <definedName name="_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DF4" hidden="1">#REF!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DF4" hidden="1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123Graph_A" hidden="1">[1]Pub!$H$13:$H$83</definedName>
    <definedName name="__123Graph_B" hidden="1">[1]Pub!$I$13:$I$83</definedName>
    <definedName name="__123Graph_C" hidden="1">[1]Pub!$J$13:$J$83</definedName>
    <definedName name="__123Graph_D" hidden="1">[1]Pub!$K$13:$K$83</definedName>
    <definedName name="__123Graph_E" hidden="1">[1]Pub!#REF!</definedName>
    <definedName name="__123Graph_F" hidden="1">[1]Pub!$L$13:$L$83</definedName>
    <definedName name="__123Graph_X" hidden="1">[1]Pub!$G$13:$G$83</definedName>
    <definedName name="__DF4" hidden="1">#REF!</definedName>
    <definedName name="__FDS_HYPERLINK_TOGGLE_STATE__" hidden="1">"ON"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1____123Graph_AMOF_NB" hidden="1">[2]計算過程シート!#REF!</definedName>
    <definedName name="_1__123Graph_ACHART_1" hidden="1">'[3]Historical IS'!#REF!</definedName>
    <definedName name="_1__123Graph_AIRR_IRR" hidden="1">#REF!</definedName>
    <definedName name="_10___123Graph_XIRR_IRR" hidden="1">#REF!</definedName>
    <definedName name="_10__123Graph_ACHART_16" hidden="1">[4]engineering!$Q$49:$S$49</definedName>
    <definedName name="_10__123Graph_CCHART_3" hidden="1">'[3]Historical IS'!#REF!</definedName>
    <definedName name="_103__123Graph_Cｸﾞﾗﾌ_1" hidden="1">#REF!</definedName>
    <definedName name="_104__123Graph_Dｸﾞﾗﾌ_1" hidden="1">#REF!</definedName>
    <definedName name="_105__123Graph_XIRR_IRR" hidden="1">#REF!</definedName>
    <definedName name="_106__123Graph_XMOF_NB" hidden="1">#REF!</definedName>
    <definedName name="_11___123Graph_XMOF_NB" hidden="1">#REF!</definedName>
    <definedName name="_11__123Graph_ACHART_17" hidden="1">[4]revenue!$P$77:$R$77</definedName>
    <definedName name="_11__123Graph_CCHART_8" hidden="1">'[3]Historical IS'!#REF!</definedName>
    <definedName name="_12__123Graph_ACHART_18" hidden="1">[4]revenue!$P$82:$R$82</definedName>
    <definedName name="_12__123Graph_AIRR_IRR" hidden="1">#REF!</definedName>
    <definedName name="_12__123Graph_DCHART_1" hidden="1">'[3]Historical IS'!#REF!</definedName>
    <definedName name="_13__123Graph_ACHART_19" hidden="1">[4]sga!$P$7:$R$7</definedName>
    <definedName name="_13__123Graph_AMOF_NB" hidden="1">[2]計算過程シート!#REF!</definedName>
    <definedName name="_13__123Graph_DCHART_8" hidden="1">'[3]Historical IS'!#REF!</definedName>
    <definedName name="_131__123Graph_Xｸﾞﾗﾌ_1" hidden="1">#REF!</definedName>
    <definedName name="_14__123Graph_A????_1" hidden="1">#REF!</definedName>
    <definedName name="_14__123Graph_ACHART_2" hidden="1">#REF!</definedName>
    <definedName name="_14__123Graph_Aｸﾞﾗﾌ_1" hidden="1">#REF!</definedName>
    <definedName name="_14__123Graph_LBL_ACHART_3" hidden="1">'[3]Historical IS'!#REF!</definedName>
    <definedName name="_15__123Graph_ACHART_20" hidden="1">[4]sga!$P$10:$R$10</definedName>
    <definedName name="_15__123Graph_BIRR_IRR" hidden="1">#REF!</definedName>
    <definedName name="_15__123Graph_LBL_ACHART_4" hidden="1">'[3]Historical IS'!#REF!</definedName>
    <definedName name="_16__123Graph_ACHART_3" hidden="1">#REF!</definedName>
    <definedName name="_16__123Graph_BMOF_NB" hidden="1">#REF!</definedName>
    <definedName name="_16__123Graph_LBL_BCHART_3" hidden="1">'[3]Historical IS'!#REF!</definedName>
    <definedName name="_17__123Graph_ACHART_4" hidden="1">#REF!</definedName>
    <definedName name="_17__123Graph_B????_1" hidden="1">#REF!</definedName>
    <definedName name="_17__123Graph_Bｸﾞﾗﾌ_1" hidden="1">#REF!</definedName>
    <definedName name="_17__123Graph_LBL_BCHART_4" hidden="1">'[3]Historical IS'!#REF!</definedName>
    <definedName name="_18__123Graph_ACHART_5" hidden="1">#REF!</definedName>
    <definedName name="_18__123Graph_C????_1" hidden="1">#REF!</definedName>
    <definedName name="_18__123Graph_Cｸﾞﾗﾌ_1" hidden="1">#REF!</definedName>
    <definedName name="_18__123Graph_LBL_CCHART_3" hidden="1">'[3]Historical IS'!#REF!</definedName>
    <definedName name="_19__123Graph_ACHART_6" hidden="1">#REF!</definedName>
    <definedName name="_19__123Graph_D????_1" hidden="1">#REF!</definedName>
    <definedName name="_19__123Graph_Dｸﾞﾗﾌ_1" hidden="1">#REF!</definedName>
    <definedName name="_19__123Graph_XCHART_1" hidden="1">'[3]Historical IS'!#REF!</definedName>
    <definedName name="_2_??" hidden="1">{"'?????10.27??????'!$Q$16"}</definedName>
    <definedName name="_2____123Graph_A????_1" hidden="1">#REF!</definedName>
    <definedName name="_2____123Graph_Aｸﾞﾗﾌ_1" hidden="1">#REF!</definedName>
    <definedName name="_2__123Graph_ACHART_3" hidden="1">'[3]Historical IS'!#REF!</definedName>
    <definedName name="_20__123Graph_ACHART_7" hidden="1">#REF!</definedName>
    <definedName name="_20__123Graph_XCHART_3" hidden="1">'[3]Historical IS'!#REF!</definedName>
    <definedName name="_20__123Graph_XIRR_IRR" hidden="1">#REF!</definedName>
    <definedName name="_21__123Graph_ACHART_8" hidden="1">#REF!</definedName>
    <definedName name="_21__123Graph_XCHART_4" hidden="1">'[3]Historical IS'!#REF!</definedName>
    <definedName name="_21__123Graph_XMOF_NB" hidden="1">#REF!</definedName>
    <definedName name="_22__123Graph_ACHART_9" hidden="1">#REF!</definedName>
    <definedName name="_22__123Graph_X????_1" hidden="1">#REF!</definedName>
    <definedName name="_22__123Graph_XCHART_8" hidden="1">'[3]Historical IS'!#REF!</definedName>
    <definedName name="_22__123Graph_Xｸﾞﾗﾌ_1" hidden="1">#REF!</definedName>
    <definedName name="_23__123Graph_BCHART_1" hidden="1">#REF!</definedName>
    <definedName name="_24__123Graph_BCHART_11" hidden="1">#REF!</definedName>
    <definedName name="_25__123Graph_BCHART_12" hidden="1">#REF!</definedName>
    <definedName name="_26__123Graph_AMOF_NB" hidden="1">[2]計算過程シート!#REF!</definedName>
    <definedName name="_26__123Graph_BCHART_13" hidden="1">[4]engineering!$Q$42:$W$42</definedName>
    <definedName name="_27__123Graph_BCHART_14" hidden="1">[4]engineering!$Q$46:$W$46</definedName>
    <definedName name="_28__123Graph_BCHART_15" hidden="1">#REF!</definedName>
    <definedName name="_29__123Graph_BCHART_16" hidden="1">[4]engineering!$Q$50:$S$50</definedName>
    <definedName name="_3____123Graph_B????_1" hidden="1">#REF!</definedName>
    <definedName name="_3____123Graph_Bｸﾞﾗﾌ_1" hidden="1">#REF!</definedName>
    <definedName name="_3__123Graph_ACHART_1" hidden="1">#REF!</definedName>
    <definedName name="_3__123Graph_ACHART_4" hidden="1">'[3]Historical IS'!#REF!</definedName>
    <definedName name="_30__123Graph_BCHART_17" hidden="1">[4]revenue!$P$78:$R$78</definedName>
    <definedName name="_31__123Graph_BCHART_2" hidden="1">#REF!</definedName>
    <definedName name="_32__123Graph_BCHART_20" hidden="1">[4]sga!$P$11:$R$11</definedName>
    <definedName name="_33__123Graph_BCHART_3" hidden="1">[4]revenue!$P$10:$R$10</definedName>
    <definedName name="_34__123Graph_BCHART_6" hidden="1">#REF!</definedName>
    <definedName name="_35__123Graph_BCHART_7" hidden="1">[4]revenue!$P$45:$R$45</definedName>
    <definedName name="_36_??06" hidden="1">{"'?????10.27??????'!$Q$16"}</definedName>
    <definedName name="_36__123Graph_BCHART_8" hidden="1">#REF!</definedName>
    <definedName name="_37__123Graph_BCHART_9" hidden="1">[4]engineering!$P$7:$T$7</definedName>
    <definedName name="_38__123Graph_CCHART_1" hidden="1">#REF!</definedName>
    <definedName name="_39__123Graph_CCHART_11" hidden="1">[4]engineering!$P$16:$T$16</definedName>
    <definedName name="_4____123Graph_C????_1" hidden="1">#REF!</definedName>
    <definedName name="_4____123Graph_Cｸﾞﾗﾌ_1" hidden="1">#REF!</definedName>
    <definedName name="_4__123Graph_ACHART_10" hidden="1">#REF!</definedName>
    <definedName name="_4__123Graph_ACHART_8" hidden="1">'[3]Historical IS'!#REF!</definedName>
    <definedName name="_40__123Graph_CCHART_12" hidden="1">#REF!</definedName>
    <definedName name="_41__123Graph_CCHART_2" hidden="1">#REF!</definedName>
    <definedName name="_42__123Graph_CCHART_20" hidden="1">[4]sga!$P$12:$R$12</definedName>
    <definedName name="_43__123Graph_CCHART_7" hidden="1">[4]revenue!$P$46:$R$46</definedName>
    <definedName name="_44__123Graph_CCHART_8" hidden="1">#REF!</definedName>
    <definedName name="_45__123Graph_DCHART_1" hidden="1">#REF!</definedName>
    <definedName name="_46__123Graph_DCHART_12" hidden="1">#REF!</definedName>
    <definedName name="_47__123Graph_DCHART_2" hidden="1">#REF!</definedName>
    <definedName name="_48__123Graph_DCHART_8" hidden="1">#REF!</definedName>
    <definedName name="_49__123Graph_ECHART_12" hidden="1">#REF!</definedName>
    <definedName name="_5____123Graph_X????_1" hidden="1">#REF!</definedName>
    <definedName name="_5____123Graph_Xｸﾞﾗﾌ_1" hidden="1">#REF!</definedName>
    <definedName name="_5__123Graph_ACHART_11" hidden="1">#REF!</definedName>
    <definedName name="_5__123Graph_BCHART_1" hidden="1">'[3]Historical IS'!#REF!</definedName>
    <definedName name="_50__123Graph_ECHART_2" hidden="1">#REF!</definedName>
    <definedName name="_51__123Graph_Aｸﾞﾗﾌ_1" hidden="1">#REF!</definedName>
    <definedName name="_51__123Graph_ECHART_8" hidden="1">#REF!</definedName>
    <definedName name="_52__123Graph_BIRR_IRR" hidden="1">#REF!</definedName>
    <definedName name="_52__123Graph_FCHART_1" hidden="1">#REF!</definedName>
    <definedName name="_53__123Graph_BMOF_NB" hidden="1">#REF!</definedName>
    <definedName name="_53__123Graph_XCHART_10" hidden="1">#REF!</definedName>
    <definedName name="_54__123Graph_XCHART_11" hidden="1">#REF!</definedName>
    <definedName name="_55__123Graph_XCHART_12" hidden="1">#REF!</definedName>
    <definedName name="_56__123Graph_XCHART_13" hidden="1">#REF!</definedName>
    <definedName name="_57__123Graph_XCHART_14" hidden="1">#REF!</definedName>
    <definedName name="_58__123Graph_XCHART_15" hidden="1">#REF!</definedName>
    <definedName name="_59__123Graph_XCHART_16" hidden="1">[4]engineering!$Q$48:$S$48</definedName>
    <definedName name="_6___123Graph_AIRR_IRR" hidden="1">#REF!</definedName>
    <definedName name="_6__123Graph_ACHART_12" hidden="1">#REF!</definedName>
    <definedName name="_6__123Graph_BCHART_3" hidden="1">'[3]Historical IS'!#REF!</definedName>
    <definedName name="_60__123Graph_XCHART_18" hidden="1">[4]revenue!$P$81:$R$81</definedName>
    <definedName name="_61__123Graph_XCHART_2" hidden="1">#REF!</definedName>
    <definedName name="_62__123Graph_XCHART_20" hidden="1">[4]sga!$P$9:$R$9</definedName>
    <definedName name="_63__123Graph_XCHART_3" hidden="1">#REF!</definedName>
    <definedName name="_64__123Graph_XCHART_4" hidden="1">#REF!</definedName>
    <definedName name="_65__123Graph_XCHART_5" hidden="1">#REF!</definedName>
    <definedName name="_66__123Graph_XCHART_6" hidden="1">#REF!</definedName>
    <definedName name="_67__123Graph_XCHART_7" hidden="1">#REF!</definedName>
    <definedName name="_68_?16??" hidden="1">{"'????'!$A$1:$C$37"}</definedName>
    <definedName name="_68__123Graph_XCHART_8" hidden="1">#REF!</definedName>
    <definedName name="_69__123Graph_XCHART_9" hidden="1">#REF!</definedName>
    <definedName name="_7_????" hidden="1">{"'?????10.27??????'!$Q$16"}</definedName>
    <definedName name="_7___123Graph_BIRR_IRR" hidden="1">#REF!</definedName>
    <definedName name="_7__123Graph_ACHART_13" hidden="1">#REF!</definedName>
    <definedName name="_7__123Graph_BCHART_4" hidden="1">'[3]Historical IS'!#REF!</definedName>
    <definedName name="_78__123Graph_Bｸﾞﾗﾌ_1" hidden="1">#REF!</definedName>
    <definedName name="_8_?????" hidden="1">{"DCF-???",#N/A,TRUE,"???";"DCF-??",#N/A,TRUE,"??";"DCF-??",#N/A,TRUE,"??";"DCF-??",#N/A,TRUE,"??";"DCF-??",#N/A,TRUE,"??";"DCF-??",#N/A,TRUE,"??";"DCF-??",#N/A,TRUE,"??";"DCF-??",#N/A,TRUE,"??";"DCF-??",#N/A,TRUE,"??"}</definedName>
    <definedName name="_8___123Graph_BMOF_NB" hidden="1">#REF!</definedName>
    <definedName name="_8__123Graph_ACHART_14" hidden="1">#REF!</definedName>
    <definedName name="_8__123Graph_BCHART_8" hidden="1">'[3]Historical IS'!#REF!</definedName>
    <definedName name="_9_??????" hidden="1">{"'?????10.27??????'!$Q$16"}</definedName>
    <definedName name="_9___123Graph_D????_1" hidden="1">#REF!</definedName>
    <definedName name="_9___123Graph_Dｸﾞﾗﾌ_1" hidden="1">#REF!</definedName>
    <definedName name="_9__123Graph_ACHART_15" hidden="1">#REF!</definedName>
    <definedName name="_9__123Graph_CCHART_1" hidden="1">'[3]Historical IS'!#REF!</definedName>
    <definedName name="_DF4" hidden="1">#REF!</definedName>
    <definedName name="_Fill" hidden="1">#REF!</definedName>
    <definedName name="_xlnm._FilterDatabase" hidden="1">'[5]46W9'!#REF!</definedName>
    <definedName name="_Key2" hidden="1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rder1" hidden="1">255</definedName>
    <definedName name="_Order2" hidden="1">255</definedName>
    <definedName name="a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ando" hidden="1">{"'下期集計（10.27迄・速報値）'!$Q$16"}</definedName>
    <definedName name="anscount" hidden="1">3</definedName>
    <definedName name="_xlnm.Print_Area" localSheetId="0">Tabla119[[#All],[REFERENCIA]:[PRECIO CLIENTE FINAL (CON IVA)]]</definedName>
    <definedName name="AS2DocOpenMode" hidden="1">"AS2DocumentEdit"</definedName>
    <definedName name="AS2HasNoAutoHeaderFooter" hidden="1">" "</definedName>
    <definedName name="asdf" hidden="1">{"'年間台数'!$A$1:$K$20","'中古車登録台数'!$A$1:$I$39"}</definedName>
    <definedName name="BLPH1" hidden="1">'[6]Data sheet'!$A$4</definedName>
    <definedName name="BLPH10" hidden="1">'[6]Data sheet'!$AB$4</definedName>
    <definedName name="BLPH11" hidden="1">'[6]Data sheet'!$AE$4</definedName>
    <definedName name="BLPH12" hidden="1">'[6]Data sheet'!$AH$4</definedName>
    <definedName name="BLPH2" hidden="1">'[6]Data sheet'!$D$4</definedName>
    <definedName name="BLPH3" hidden="1">'[6]Data sheet'!$G$4</definedName>
    <definedName name="BLPH4" hidden="1">'[6]Data sheet'!$J$4</definedName>
    <definedName name="BLPH5" hidden="1">'[6]Data sheet'!$M$4</definedName>
    <definedName name="BLPH6" hidden="1">'[6]Data sheet'!$P$4</definedName>
    <definedName name="BLPH7" hidden="1">'[6]Data sheet'!$S$4</definedName>
    <definedName name="BLPH8" hidden="1">'[6]Data sheet'!$V$4</definedName>
    <definedName name="BLPH9" hidden="1">'[6]Data sheet'!$Y$4</definedName>
    <definedName name="Bridge" hidden="1">{"'Highlights'!$A$1:$M$123"}</definedName>
    <definedName name="CARLOS" hidden="1">{#N/A,#N/A,TRUE,"A"}</definedName>
    <definedName name="cb_sChartE2218BA_opts" hidden="1">"1, 4, 1, False, 2, False, False, , 0, False, True, 1, 1"</definedName>
    <definedName name="cb_sChartE221ADA_opts" hidden="1">"1, 5, 1, False, 2, False, False, , 0, False, False, 1, 1"</definedName>
    <definedName name="CBWorkbookPriority" hidden="1">-61538533</definedName>
    <definedName name="chiho" hidden="1">{"'下期集計（10.27迄・速報値）'!$Q$16"}</definedName>
    <definedName name="cover" hidden="1">#REF!</definedName>
    <definedName name="efg" hidden="1">{#N/A,#N/A,TRUE,"A"}</definedName>
    <definedName name="fds" hidden="1">{"'下期集計（10.27迄・速報値）'!$Q$16"}</definedName>
    <definedName name="ｇ" hidden="1">{"'下期集計（10.27迄・速報値）'!$Q$16"}</definedName>
    <definedName name="gd" hidden="1">{"'下期集計（10.27迄・速報値）'!$Q$16"}</definedName>
    <definedName name="gda" hidden="1">{"'下期集計（10.27迄・速報値）'!$Q$16"}</definedName>
    <definedName name="gdsa" hidden="1">{"'下期集計（10.27迄・速報値）'!$Q$16"}</definedName>
    <definedName name="gh" hidden="1">{"'Highlights'!$A$1:$M$123"}</definedName>
    <definedName name="ｈ" hidden="1">{"'下期集計（10.27迄・速報値）'!$Q$16"}</definedName>
    <definedName name="H16?1??" hidden="1">{"'????'!$A$1:$C$37"}</definedName>
    <definedName name="Ｈ16・１" hidden="1">{"'コメント'!$A$1:$C$37"}</definedName>
    <definedName name="H16･1速報" hidden="1">{"'コメント'!$A$1:$C$37"}</definedName>
    <definedName name="HTM_Control" hidden="1">{"'下期集計（10.27迄・速報値）'!$Q$16"}</definedName>
    <definedName name="ＨＴＭＬ" hidden="1">{"'コメント'!$A$1:$C$37"}</definedName>
    <definedName name="HTML_CodePage" hidden="1">1252</definedName>
    <definedName name="HTML_Control" hidden="1">{"'Highlights'!$A$1:$M$123"}</definedName>
    <definedName name="HTML_Description" hidden="1">""</definedName>
    <definedName name="HTML_Email" hidden="1">"scottt@phx.mcd.mot.com"</definedName>
    <definedName name="HTML_Header" hidden="1">"Highlights"</definedName>
    <definedName name="HTML_LastUpdate" hidden="1">"6/24/97"</definedName>
    <definedName name="HTML_LineAfter" hidden="1">FALSE</definedName>
    <definedName name="HTML_LineBefore" hidden="1">TRUE</definedName>
    <definedName name="HTML_Name" hidden="1">"Scott Traasdahl"</definedName>
    <definedName name="HTML_OBDlg2" hidden="1">TRUE</definedName>
    <definedName name="HTML_OBDlg4" hidden="1">TRUE</definedName>
    <definedName name="HTML_OS" hidden="1">0</definedName>
    <definedName name="HTML_PathFile" hidden="1">"H:\scottt\Analysis\Ops Review\MyHTML.htm"</definedName>
    <definedName name="HTML_Title" hidden="1">"97JunOpsRvw"</definedName>
    <definedName name="hyousi" hidden="1">#REF!</definedName>
    <definedName name="INDICADOR_COLUMNAS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GW_ACT_OR_EST" hidden="1">"c4306"</definedName>
    <definedName name="IQ_EBIT_INT" hidden="1">"c360"</definedName>
    <definedName name="IQ_EBIT_MARGIN" hidden="1">"c359"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DJ_ACT_OR_EST" hidden="1">"c4435"</definedName>
    <definedName name="IQ_FFO_PAYOUT_RATIO" hidden="1">"c3492"</definedName>
    <definedName name="IQ_FFO_SHARE_ACT_OR_EST" hidden="1">"c4446"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40809.7705439815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GW_ACT_OR_EST" hidden="1">"c4478"</definedName>
    <definedName name="IQ_NI_SFAS" hidden="1">"c795"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39482.4188773148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i" hidden="1">{"'Highlights'!$A$1:$M$123"}</definedName>
    <definedName name="k" hidden="1">{"'下期集計（10.27迄・速報値）'!$Q$16"}</definedName>
    <definedName name="kjh" hidden="1">{#N/A,#N/A,TRUE,"A"}</definedName>
    <definedName name="kjl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kk" hidden="1">{"'下期集計（10.27迄・速報値）'!$Q$16"}</definedName>
    <definedName name="kkk" hidden="1">{"'下期集計（10.27迄・速報値）'!$Q$16"}</definedName>
    <definedName name="lio" hidden="1">{#N/A,#N/A,TRUE,"A"}</definedName>
    <definedName name="LISTA">#REF!</definedName>
    <definedName name="ListOffset" hidden="1">1</definedName>
    <definedName name="MBAS" hidden="1">{"'ADV&amp;DP'!$A$4:$C$25"}</definedName>
    <definedName name="mbs" hidden="1">{"'ADV&amp;DP'!$A$4:$C$25"}</definedName>
    <definedName name="MKK" hidden="1">{"'下期集計（10.27迄・速報値）'!$Q$16"}</definedName>
    <definedName name="mmm" hidden="1">{"'ADV&amp;DP'!$A$4:$C$25"}</definedName>
    <definedName name="MOBILE" hidden="1">{"'ADV&amp;DP'!$A$4:$C$25"}</definedName>
    <definedName name="n" hidden="1">{"'下期集計（10.27迄・速報値）'!$Q$16"}</definedName>
    <definedName name="new" hidden="1">{"'Highlights'!$A$1:$M$123"}</definedName>
    <definedName name="nm" hidden="1">{#N/A,#N/A,TRUE,"A"}</definedName>
    <definedName name="ñlo" hidden="1">{#N/A,#N/A,TRUE,"A"}</definedName>
    <definedName name="ñp" hidden="1">{#N/A,#N/A,TRUE,"A"}</definedName>
    <definedName name="oi" hidden="1">{#N/A,#N/A,TRUE,"A"}</definedName>
    <definedName name="ok" hidden="1">{"'Highlights'!$A$1:$M$123"}</definedName>
    <definedName name="PANELES">#REF!</definedName>
    <definedName name="piu" hidden="1">{#N/A,#N/A,TRUE,"A"}</definedName>
    <definedName name="plo" hidden="1">{#N/A,#N/A,TRUE,"A"}</definedName>
    <definedName name="po" hidden="1">{#N/A,#N/A,TRUE,"A"}</definedName>
    <definedName name="PTSB" hidden="1">{"'Highlights'!$A$1:$M$123"}</definedName>
    <definedName name="Q2Fcst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qw" hidden="1">{"'下期集計（10.27迄・速報値）'!$Q$16"}</definedName>
    <definedName name="ＲＡＲＯＡ" hidden="1">{"'下期集計（10.27迄・速報値）'!$Q$16"}</definedName>
    <definedName name="RETENCION">'[7]Cálculo LPVta Cambium'!$AA$4</definedName>
    <definedName name="rfg" hidden="1">{#N/A,#N/A,TRUE,"A"}</definedName>
    <definedName name="SAPBEXdnldView" hidden="1">"4X7PHJJ3EF70UJ33CI6YVQIOV"</definedName>
    <definedName name="SAPBEXsysID" hidden="1">"PBK"</definedName>
    <definedName name="SCOG" hidden="1">{"'ADV&amp;DP'!$A$4:$C$25"}</definedName>
    <definedName name="sencount" hidden="1">1</definedName>
    <definedName name="sfgasd" hidden="1">{0,0,0,0;0,0,0,0;0,0,0,0;0,0,0,0;0,0,0,0;0,0,0,0;0,0,2,0;2,3,3,0;FALSE,FALSE,FALSE,FALSE;TRUE,FALSE,TRUE,TRUE;FALSE,FALSE,TRUE,TRUE;FALSE,0,2.78134444564786E-308,4.45015196281921E-308;7.78776275135711E-308,1.33504516457612E-307,2.22507555776164E-307,3.56012157274209E-307}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0.6</definedName>
    <definedName name="stp">[8]Resumen_Inv!$I$66</definedName>
    <definedName name="t" hidden="1">{"'下期集計（10.27迄・速報値）'!$Q$16"}</definedName>
    <definedName name="tyh" hidden="1">{#N/A,#N/A,TRUE,"A"}</definedName>
    <definedName name="v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vbn" hidden="1">{#N/A,#N/A,TRUE,"A"}</definedName>
    <definedName name="w" hidden="1">{"'下期集計（10.27迄・速報値）'!$Q$16"}</definedName>
    <definedName name="wrn.???." hidden="1">{"DCF-???",#N/A,TRUE,"???";"FS-???",#N/A,TRUE,"?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;"DCF-??",#N/A,TRUE,"??";"FS-??",#N/A,TRUE,"??"}</definedName>
    <definedName name="wrn.Aging._.and._.Trend._.Analysis." hidden="1">{#N/A,#N/A,FALSE,"Aging Summary";#N/A,#N/A,FALSE,"Ratio Analysis";#N/A,#N/A,FALSE,"Test 120 Day Accts";#N/A,#N/A,FALSE,"Tickmarks"}</definedName>
    <definedName name="wrn.All._.Sheets." hidden="1">{#N/A,#N/A,FALSE,"1997 WW (Short)";#N/A,#N/A,FALSE,"1997 RF Mfg";#N/A,#N/A,FALSE,"Ancillary-CSM";#N/A,#N/A,FALSE,"1997 Service"}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CIPG._.All._.Sheets." hidden="1">{#N/A,#N/A,FALSE,"Cover";#N/A,#N/A,FALSE,"Commentary";#N/A,#N/A,FALSE,"key ind";#N/A,#N/A,FALSE,"CIG RSB";#N/A,#N/A,FALSE,"4-up charts p.1";#N/A,#N/A,FALSE,"4-up charts p.2";#N/A,#N/A,FALSE,"Q1 Markets";#N/A,#N/A,FALSE,"Annual Mkts";#N/A,#N/A,FALSE," rate of ? qtr";#N/A,#N/A,FALSE,"Detail Rel rate of ? ";#N/A,#N/A,FALSE,"Q1 Products";#N/A,#N/A,FALSE,"Annual Products";#N/A,#N/A,FALSE,"SMUG";#N/A,#N/A,FALSE,"IDL Budgets";#N/A,#N/A,FALSE,"HC Trend";#N/A,#N/A,FALSE,"Functional HC ";#N/A,#N/A,FALSE,"Capital Expd";#N/A,#N/A,FALSE,"Capital CO";#N/A,#N/A,FALSE,"Inventory"}</definedName>
    <definedName name="wrn.CIPG._.Black._.and._.White." hidden="1">{#N/A,#N/A,FALSE,"Cover";#N/A,#N/A,FALSE,"Commentary";#N/A,#N/A,FALSE,"key ind";#N/A,#N/A,FALSE,"CIG RSB";#N/A,#N/A,FALSE,"Q1 Markets";#N/A,#N/A,FALSE,"Annual Mkts";#N/A,#N/A,FALSE,"Q1 Products";#N/A,#N/A,FALSE,"Annual Products";#N/A,#N/A,FALSE,"SMUG";#N/A,#N/A,FALSE,"IDL Budgets";#N/A,#N/A,FALSE,"HC Trend";#N/A,#N/A,FALSE,"Functional HC ";#N/A,#N/A,FALSE,"Capital Expd";#N/A,#N/A,FALSE,"Capital CO"}</definedName>
    <definedName name="wrn.CIPG._.Color._.Charts." hidden="1">{#N/A,#N/A,FALSE,"4-up charts p.1";#N/A,#N/A,FALSE,"4-up charts p.2";#N/A,#N/A,FALSE," rate of ? qtr";#N/A,#N/A,FALSE,"Detail Rel rate of ? ";#N/A,#N/A,FALSE,"Inventory"}</definedName>
    <definedName name="wrn.DCF????." hidden="1">{"DCF-???",#N/A,TRUE,"???";"DCF-??",#N/A,TRUE,"??";"DCF-??",#N/A,TRUE,"??";"DCF-??",#N/A,TRUE,"??";"DCF-??",#N/A,TRUE,"??";"DCF-??",#N/A,TRUE,"??";"DCF-??",#N/A,TRUE,"??";"DCF-??",#N/A,TRUE,"??";"DCF-??",#N/A,TRUE,"??"}</definedName>
    <definedName name="wrn.DCF一括印刷.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wrn.EAN2." hidden="1">{#N/A,#N/A,TRUE,"A"}</definedName>
    <definedName name="wrn.EAN3" hidden="1">{#N/A,#N/A,TRUE,"A"}</definedName>
    <definedName name="wrn.FS????." hidden="1">{"FS-???",#N/A,TRUE,"???";"FS-??",#N/A,TRUE,"??";"FS-??",#N/A,TRUE,"??";"FS-??",#N/A,TRUE,"??";"FS-??",#N/A,TRUE,"??";"FS-??",#N/A,TRUE,"??";"FS-??",#N/A,TRUE,"??";"FS-??",#N/A,TRUE,"??";"FS-??",#N/A,TRUE,"??"}</definedName>
    <definedName name="wrn.FS一括印刷." hidden="1">{"FS-北海道",#N/A,TRUE,"北海道";"FS-東北",#N/A,TRUE,"東北";"FS-東海",#N/A,TRUE,"東海";"FS-北陸",#N/A,TRUE,"北陸";"FS-関西",#N/A,TRUE,"関西";"FS-中国",#N/A,TRUE,"中国";"FS-四国",#N/A,TRUE,"四国";"FS-九州",#N/A,TRUE,"九州";"FS-連結",#N/A,TRUE,"連結"}</definedName>
    <definedName name="wrn.Outlook._.Report." hidden="1">{#N/A,#N/A,FALSE,"Outlook for Month ";#N/A,#N/A,FALSE,"Risk for Month ";#N/A,#N/A,FALSE,"Upside for Month"}</definedName>
    <definedName name="wrn.RPT.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全印刷." hidden="1">{"DCF-北海道",#N/A,TRUE,"北海道";"FS-北海道",#N/A,TRUE,"北海道";"DCF-東北",#N/A,TRUE,"東北";"FS-東北",#N/A,TRUE,"東北";"DCF-東海",#N/A,TRUE,"東海";"FS-東海",#N/A,TRUE,"東海";"DCF-北陸",#N/A,TRUE,"北陸";"FS-北陸",#N/A,TRUE,"北陸";"DCF-関西",#N/A,TRUE,"関西";"FS-関西",#N/A,TRUE,"関西";"DCF-中国",#N/A,TRUE,"中国";"FS-中国",#N/A,TRUE,"中国";"DCF-四国",#N/A,TRUE,"四国";"FS-四国",#N/A,TRUE,"四国";"DCF-九州",#N/A,TRUE,"九州";"FS-九州",#N/A,TRUE,"九州";"DCF-連結",#N/A,TRUE,"連結";"FS-連結",#N/A,TRUE,"連結"}</definedName>
    <definedName name="ws" hidden="1">{#N/A,#N/A,TRUE,"A"}</definedName>
    <definedName name="yhu" hidden="1">{#N/A,#N/A,TRUE,"A"}</definedName>
    <definedName name="ｚ" hidden="1">{"'下期集計（10.27迄・速報値）'!$Q$16"}</definedName>
    <definedName name="Z_086A872D_15DF_436A_8459_CE22F6819FF4_.wvu.Rows" hidden="1">[5]Presentacion!#REF!</definedName>
    <definedName name="Z_D55C8B2E_861A_459E_9D09_3AF38A1DE99E_.wvu.Rows" hidden="1">[5]Presentacion!#REF!</definedName>
    <definedName name="Z_F540D718_D9AA_403F_AE49_60D937FD77E5_.wvu.Rows" hidden="1">[5]Presentacion!#REF!</definedName>
    <definedName name="zz" hidden="1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ぁ" hidden="1">{"'下期集計（10.27迄・速報値）'!$Q$16"}</definedName>
    <definedName name="あ" hidden="1">{"'下期集計（10.27迄・速報値）'!$Q$16"}</definedName>
    <definedName name="あああ" hidden="1">{"'下期集計（10.27迄・速報値）'!$Q$16"}</definedName>
    <definedName name="ｼｰﾄ" hidden="1">[9]計算過程シート!#REF!</definedName>
    <definedName name="なんで" hidden="1">{"'下期集計（10.27迄・速報値）'!$Q$16"}</definedName>
    <definedName name="なんなの" hidden="1">{"'下期集計（10.27迄・速報値）'!$Q$16"}</definedName>
    <definedName name="一括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印刷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年間収支買掛" hidden="1">{"'下期集計（10.27迄・速報値）'!$Q$16"}</definedName>
    <definedName name="年間資金収支あ" hidden="1">{"'下期集計（10.27迄・速報値）'!$Q$16"}</definedName>
    <definedName name="日繰06" hidden="1">{"'下期集計（10.27迄・速報値）'!$Q$16"}</definedName>
    <definedName name="系統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系統外出資金" hidden="1">{"DCF-北海道",#N/A,TRUE,"北海道";"DCF-東北",#N/A,TRUE,"東北";"DCF-東海",#N/A,TRUE,"東海";"DCF-北陸",#N/A,TRUE,"北陸";"DCF-関西",#N/A,TRUE,"関西";"DCF-中国",#N/A,TRUE,"中国";"DCF-四国",#N/A,TRUE,"四国";"DCF-九州",#N/A,TRUE,"九州";"DCF-連結",#N/A,TRUE,"連結"}</definedName>
    <definedName name="要処理資産②" hidden="1">{"'下期集計（10.27迄・速報値）'!$Q$16"}</definedName>
    <definedName name="評価対象" hidden="1">[9]計算過程シート!#REF!</definedName>
    <definedName name="資金" hidden="1">{"'下期集計（10.27迄・速報値）'!$Q$16"}</definedName>
    <definedName name="金利体系" hidden="1">{"'下期集計（10.27迄・速報値）'!$Q$16"}</definedName>
    <definedName name="関連" hidden="1">{"'下期集計（10.27迄・速報値）'!$Q$16"}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H146" i="1"/>
  <c r="C146" i="1"/>
  <c r="H3" i="1"/>
  <c r="C3" i="1"/>
  <c r="F3" i="1"/>
  <c r="D3" i="1" s="1"/>
  <c r="H4" i="1"/>
  <c r="C4" i="1"/>
  <c r="H2" i="1"/>
  <c r="H77" i="1"/>
  <c r="C77" i="1" s="1"/>
  <c r="F77" i="1" s="1"/>
  <c r="D77" i="1" s="1"/>
  <c r="H78" i="1"/>
  <c r="C78" i="1" s="1"/>
  <c r="F78" i="1" s="1"/>
  <c r="D78" i="1" s="1"/>
  <c r="H79" i="1"/>
  <c r="C79" i="1" s="1"/>
  <c r="F79" i="1" s="1"/>
  <c r="D79" i="1" s="1"/>
  <c r="H80" i="1"/>
  <c r="C80" i="1" s="1"/>
  <c r="F80" i="1" s="1"/>
  <c r="D80" i="1" s="1"/>
  <c r="H81" i="1"/>
  <c r="C81" i="1" s="1"/>
  <c r="F81" i="1" s="1"/>
  <c r="D81" i="1" s="1"/>
  <c r="H82" i="1"/>
  <c r="C82" i="1" s="1"/>
  <c r="F82" i="1" s="1"/>
  <c r="D82" i="1" s="1"/>
  <c r="H83" i="1"/>
  <c r="C83" i="1" s="1"/>
  <c r="F83" i="1" s="1"/>
  <c r="D83" i="1" s="1"/>
  <c r="H84" i="1"/>
  <c r="C84" i="1" s="1"/>
  <c r="F84" i="1" s="1"/>
  <c r="D84" i="1" s="1"/>
  <c r="H85" i="1"/>
  <c r="C85" i="1" s="1"/>
  <c r="F85" i="1" s="1"/>
  <c r="D85" i="1" s="1"/>
  <c r="H86" i="1"/>
  <c r="C86" i="1" s="1"/>
  <c r="F86" i="1" s="1"/>
  <c r="D86" i="1" s="1"/>
  <c r="H87" i="1"/>
  <c r="C87" i="1" s="1"/>
  <c r="F87" i="1" s="1"/>
  <c r="D87" i="1" s="1"/>
  <c r="H88" i="1"/>
  <c r="C88" i="1" s="1"/>
  <c r="F88" i="1" s="1"/>
  <c r="D88" i="1" s="1"/>
  <c r="H89" i="1"/>
  <c r="C89" i="1" s="1"/>
  <c r="F89" i="1" s="1"/>
  <c r="D89" i="1" s="1"/>
  <c r="H90" i="1"/>
  <c r="C90" i="1" s="1"/>
  <c r="F90" i="1" s="1"/>
  <c r="D90" i="1" s="1"/>
  <c r="H91" i="1"/>
  <c r="C91" i="1" s="1"/>
  <c r="F91" i="1" s="1"/>
  <c r="D91" i="1" s="1"/>
  <c r="H92" i="1"/>
  <c r="C92" i="1" s="1"/>
  <c r="F92" i="1" s="1"/>
  <c r="D92" i="1" s="1"/>
  <c r="H93" i="1"/>
  <c r="C93" i="1" s="1"/>
  <c r="F93" i="1" s="1"/>
  <c r="D93" i="1" s="1"/>
  <c r="H94" i="1"/>
  <c r="C94" i="1" s="1"/>
  <c r="F94" i="1" s="1"/>
  <c r="D94" i="1" s="1"/>
  <c r="H95" i="1"/>
  <c r="C95" i="1" s="1"/>
  <c r="F95" i="1" s="1"/>
  <c r="D95" i="1" s="1"/>
  <c r="H96" i="1"/>
  <c r="C96" i="1" s="1"/>
  <c r="F96" i="1" s="1"/>
  <c r="D96" i="1" s="1"/>
  <c r="H97" i="1"/>
  <c r="C97" i="1" s="1"/>
  <c r="F97" i="1" s="1"/>
  <c r="D97" i="1" s="1"/>
  <c r="H98" i="1"/>
  <c r="C98" i="1" s="1"/>
  <c r="F98" i="1" s="1"/>
  <c r="D98" i="1" s="1"/>
  <c r="H99" i="1"/>
  <c r="C99" i="1" s="1"/>
  <c r="F99" i="1" s="1"/>
  <c r="D99" i="1" s="1"/>
  <c r="H100" i="1"/>
  <c r="C100" i="1" s="1"/>
  <c r="F100" i="1" s="1"/>
  <c r="D100" i="1" s="1"/>
  <c r="H101" i="1"/>
  <c r="C101" i="1" s="1"/>
  <c r="F101" i="1" s="1"/>
  <c r="D101" i="1" s="1"/>
  <c r="H102" i="1"/>
  <c r="C102" i="1" s="1"/>
  <c r="F102" i="1" s="1"/>
  <c r="D102" i="1" s="1"/>
  <c r="H103" i="1"/>
  <c r="C103" i="1" s="1"/>
  <c r="F103" i="1" s="1"/>
  <c r="D103" i="1" s="1"/>
  <c r="H104" i="1"/>
  <c r="C104" i="1" s="1"/>
  <c r="F104" i="1" s="1"/>
  <c r="D104" i="1" s="1"/>
  <c r="H105" i="1"/>
  <c r="C105" i="1" s="1"/>
  <c r="F105" i="1" s="1"/>
  <c r="D105" i="1" s="1"/>
  <c r="H106" i="1"/>
  <c r="C106" i="1" s="1"/>
  <c r="F106" i="1" s="1"/>
  <c r="D106" i="1" s="1"/>
  <c r="H107" i="1"/>
  <c r="C107" i="1" s="1"/>
  <c r="F107" i="1" s="1"/>
  <c r="D107" i="1" s="1"/>
  <c r="H108" i="1"/>
  <c r="C108" i="1" s="1"/>
  <c r="F108" i="1" s="1"/>
  <c r="D108" i="1" s="1"/>
  <c r="H109" i="1"/>
  <c r="C109" i="1" s="1"/>
  <c r="F109" i="1" s="1"/>
  <c r="D109" i="1" s="1"/>
  <c r="H110" i="1"/>
  <c r="C110" i="1" s="1"/>
  <c r="F110" i="1" s="1"/>
  <c r="D110" i="1" s="1"/>
  <c r="H111" i="1"/>
  <c r="C111" i="1" s="1"/>
  <c r="F111" i="1" s="1"/>
  <c r="D111" i="1" s="1"/>
  <c r="H112" i="1"/>
  <c r="C112" i="1" s="1"/>
  <c r="F112" i="1" s="1"/>
  <c r="D112" i="1" s="1"/>
  <c r="H113" i="1"/>
  <c r="C113" i="1" s="1"/>
  <c r="F113" i="1" s="1"/>
  <c r="D113" i="1" s="1"/>
  <c r="H114" i="1"/>
  <c r="C114" i="1" s="1"/>
  <c r="H115" i="1"/>
  <c r="C115" i="1" s="1"/>
  <c r="F115" i="1" s="1"/>
  <c r="D115" i="1" s="1"/>
  <c r="H116" i="1"/>
  <c r="C116" i="1" s="1"/>
  <c r="F116" i="1" s="1"/>
  <c r="D116" i="1" s="1"/>
  <c r="H117" i="1"/>
  <c r="C117" i="1" s="1"/>
  <c r="F117" i="1" s="1"/>
  <c r="D117" i="1" s="1"/>
  <c r="H118" i="1"/>
  <c r="C118" i="1" s="1"/>
  <c r="F118" i="1" s="1"/>
  <c r="D118" i="1" s="1"/>
  <c r="H119" i="1"/>
  <c r="C119" i="1" s="1"/>
  <c r="F119" i="1" s="1"/>
  <c r="D119" i="1" s="1"/>
  <c r="H120" i="1"/>
  <c r="C120" i="1" s="1"/>
  <c r="F120" i="1" s="1"/>
  <c r="D120" i="1" s="1"/>
  <c r="H121" i="1"/>
  <c r="C121" i="1" s="1"/>
  <c r="F121" i="1" s="1"/>
  <c r="D121" i="1" s="1"/>
  <c r="H122" i="1"/>
  <c r="C122" i="1" s="1"/>
  <c r="F122" i="1" s="1"/>
  <c r="D122" i="1" s="1"/>
  <c r="H123" i="1"/>
  <c r="C123" i="1" s="1"/>
  <c r="F123" i="1" s="1"/>
  <c r="D123" i="1" s="1"/>
  <c r="H124" i="1"/>
  <c r="C124" i="1" s="1"/>
  <c r="F124" i="1" s="1"/>
  <c r="D124" i="1" s="1"/>
  <c r="H125" i="1"/>
  <c r="C125" i="1" s="1"/>
  <c r="F125" i="1" s="1"/>
  <c r="D125" i="1" s="1"/>
  <c r="H126" i="1"/>
  <c r="C126" i="1" s="1"/>
  <c r="F126" i="1" s="1"/>
  <c r="D126" i="1" s="1"/>
  <c r="H127" i="1"/>
  <c r="C127" i="1" s="1"/>
  <c r="F127" i="1" s="1"/>
  <c r="D127" i="1" s="1"/>
  <c r="H128" i="1"/>
  <c r="C128" i="1" s="1"/>
  <c r="F128" i="1" s="1"/>
  <c r="D128" i="1" s="1"/>
  <c r="H129" i="1"/>
  <c r="C129" i="1" s="1"/>
  <c r="F129" i="1" s="1"/>
  <c r="D129" i="1" s="1"/>
  <c r="H130" i="1"/>
  <c r="C130" i="1" s="1"/>
  <c r="F130" i="1" s="1"/>
  <c r="D130" i="1" s="1"/>
  <c r="H131" i="1"/>
  <c r="C131" i="1" s="1"/>
  <c r="F131" i="1" s="1"/>
  <c r="D131" i="1" s="1"/>
  <c r="H132" i="1"/>
  <c r="C132" i="1" s="1"/>
  <c r="F132" i="1" s="1"/>
  <c r="D132" i="1" s="1"/>
  <c r="H133" i="1"/>
  <c r="C133" i="1" s="1"/>
  <c r="F133" i="1" s="1"/>
  <c r="D133" i="1" s="1"/>
  <c r="H134" i="1"/>
  <c r="C134" i="1" s="1"/>
  <c r="F134" i="1" s="1"/>
  <c r="D134" i="1" s="1"/>
  <c r="H135" i="1"/>
  <c r="C135" i="1" s="1"/>
  <c r="F135" i="1" s="1"/>
  <c r="D135" i="1" s="1"/>
  <c r="H136" i="1"/>
  <c r="C136" i="1" s="1"/>
  <c r="F136" i="1" s="1"/>
  <c r="D136" i="1" s="1"/>
  <c r="H137" i="1"/>
  <c r="C137" i="1" s="1"/>
  <c r="F137" i="1" s="1"/>
  <c r="D137" i="1" s="1"/>
  <c r="H138" i="1"/>
  <c r="C138" i="1" s="1"/>
  <c r="F138" i="1" s="1"/>
  <c r="D138" i="1" s="1"/>
  <c r="H139" i="1"/>
  <c r="C139" i="1" s="1"/>
  <c r="F139" i="1" s="1"/>
  <c r="D139" i="1" s="1"/>
  <c r="H140" i="1"/>
  <c r="C140" i="1" s="1"/>
  <c r="F140" i="1" s="1"/>
  <c r="D140" i="1" s="1"/>
  <c r="H141" i="1"/>
  <c r="C141" i="1" s="1"/>
  <c r="F141" i="1" s="1"/>
  <c r="D141" i="1" s="1"/>
  <c r="H142" i="1"/>
  <c r="C142" i="1" s="1"/>
  <c r="F142" i="1" s="1"/>
  <c r="D142" i="1" s="1"/>
  <c r="H143" i="1"/>
  <c r="C143" i="1" s="1"/>
  <c r="F143" i="1" s="1"/>
  <c r="D143" i="1" s="1"/>
  <c r="H144" i="1"/>
  <c r="C144" i="1" s="1"/>
  <c r="F144" i="1" s="1"/>
  <c r="D144" i="1" s="1"/>
  <c r="H145" i="1"/>
  <c r="C145" i="1" s="1"/>
  <c r="F145" i="1" s="1"/>
  <c r="D145" i="1" s="1"/>
  <c r="H147" i="1"/>
  <c r="C147" i="1" s="1"/>
  <c r="F147" i="1" s="1"/>
  <c r="D147" i="1" s="1"/>
  <c r="H148" i="1"/>
  <c r="C148" i="1" s="1"/>
  <c r="H149" i="1"/>
  <c r="C149" i="1" s="1"/>
  <c r="H150" i="1"/>
  <c r="C150" i="1" s="1"/>
  <c r="H151" i="1"/>
  <c r="C151" i="1" s="1"/>
  <c r="H152" i="1"/>
  <c r="C152" i="1" s="1"/>
  <c r="H153" i="1"/>
  <c r="C153" i="1" s="1"/>
  <c r="H154" i="1"/>
  <c r="C154" i="1" s="1"/>
  <c r="H155" i="1"/>
  <c r="C155" i="1" s="1"/>
  <c r="H156" i="1"/>
  <c r="C156" i="1" s="1"/>
  <c r="H157" i="1"/>
  <c r="C157" i="1" s="1"/>
  <c r="H158" i="1"/>
  <c r="C158" i="1" s="1"/>
  <c r="H159" i="1"/>
  <c r="C159" i="1" s="1"/>
  <c r="H5" i="1"/>
  <c r="C5" i="1" s="1"/>
  <c r="H6" i="1"/>
  <c r="C6" i="1" s="1"/>
  <c r="H7" i="1"/>
  <c r="C7" i="1" s="1"/>
  <c r="H8" i="1"/>
  <c r="C8" i="1" s="1"/>
  <c r="H9" i="1"/>
  <c r="C9" i="1" s="1"/>
  <c r="H10" i="1"/>
  <c r="C10" i="1" s="1"/>
  <c r="H11" i="1"/>
  <c r="C11" i="1" s="1"/>
  <c r="H12" i="1"/>
  <c r="C12" i="1" s="1"/>
  <c r="H13" i="1"/>
  <c r="C13" i="1" s="1"/>
  <c r="H14" i="1"/>
  <c r="C14" i="1" s="1"/>
  <c r="H15" i="1"/>
  <c r="C15" i="1" s="1"/>
  <c r="H16" i="1"/>
  <c r="C16" i="1" s="1"/>
  <c r="H17" i="1"/>
  <c r="C17" i="1" s="1"/>
  <c r="H18" i="1"/>
  <c r="C18" i="1" s="1"/>
  <c r="H19" i="1"/>
  <c r="C19" i="1" s="1"/>
  <c r="H20" i="1"/>
  <c r="C20" i="1" s="1"/>
  <c r="H21" i="1"/>
  <c r="C21" i="1" s="1"/>
  <c r="H22" i="1"/>
  <c r="C22" i="1" s="1"/>
  <c r="H23" i="1"/>
  <c r="C23" i="1" s="1"/>
  <c r="H24" i="1"/>
  <c r="C24" i="1" s="1"/>
  <c r="H25" i="1"/>
  <c r="C25" i="1" s="1"/>
  <c r="H26" i="1"/>
  <c r="C26" i="1" s="1"/>
  <c r="F26" i="1" s="1"/>
  <c r="D26" i="1" s="1"/>
  <c r="H27" i="1"/>
  <c r="C27" i="1" s="1"/>
  <c r="H28" i="1"/>
  <c r="C28" i="1" s="1"/>
  <c r="H29" i="1"/>
  <c r="C29" i="1" s="1"/>
  <c r="H30" i="1"/>
  <c r="C30" i="1" s="1"/>
  <c r="H31" i="1"/>
  <c r="C31" i="1" s="1"/>
  <c r="H32" i="1"/>
  <c r="C32" i="1" s="1"/>
  <c r="H33" i="1"/>
  <c r="C33" i="1" s="1"/>
  <c r="H34" i="1"/>
  <c r="C34" i="1" s="1"/>
  <c r="H35" i="1"/>
  <c r="C35" i="1" s="1"/>
  <c r="H36" i="1"/>
  <c r="C36" i="1" s="1"/>
  <c r="H37" i="1"/>
  <c r="C37" i="1" s="1"/>
  <c r="H38" i="1"/>
  <c r="C38" i="1" s="1"/>
  <c r="H39" i="1"/>
  <c r="C39" i="1" s="1"/>
  <c r="H40" i="1"/>
  <c r="C40" i="1" s="1"/>
  <c r="H41" i="1"/>
  <c r="C41" i="1" s="1"/>
  <c r="H42" i="1"/>
  <c r="C42" i="1" s="1"/>
  <c r="H43" i="1"/>
  <c r="C43" i="1" s="1"/>
  <c r="H44" i="1"/>
  <c r="C44" i="1" s="1"/>
  <c r="H45" i="1"/>
  <c r="C45" i="1" s="1"/>
  <c r="H46" i="1"/>
  <c r="C46" i="1" s="1"/>
  <c r="H47" i="1"/>
  <c r="C47" i="1" s="1"/>
  <c r="H48" i="1"/>
  <c r="C48" i="1" s="1"/>
  <c r="H49" i="1"/>
  <c r="C49" i="1" s="1"/>
  <c r="F49" i="1" s="1"/>
  <c r="D49" i="1" s="1"/>
  <c r="H50" i="1"/>
  <c r="C50" i="1" s="1"/>
  <c r="H51" i="1"/>
  <c r="C51" i="1" s="1"/>
  <c r="H52" i="1"/>
  <c r="C52" i="1" s="1"/>
  <c r="H53" i="1"/>
  <c r="C53" i="1" s="1"/>
  <c r="H54" i="1"/>
  <c r="C54" i="1" s="1"/>
  <c r="H55" i="1"/>
  <c r="C55" i="1" s="1"/>
  <c r="H56" i="1"/>
  <c r="C56" i="1" s="1"/>
  <c r="H57" i="1"/>
  <c r="C57" i="1" s="1"/>
  <c r="H58" i="1"/>
  <c r="C58" i="1" s="1"/>
  <c r="H59" i="1"/>
  <c r="C59" i="1" s="1"/>
  <c r="H60" i="1"/>
  <c r="C60" i="1" s="1"/>
  <c r="H61" i="1"/>
  <c r="C61" i="1" s="1"/>
  <c r="H62" i="1"/>
  <c r="C62" i="1" s="1"/>
  <c r="H63" i="1"/>
  <c r="C63" i="1" s="1"/>
  <c r="H64" i="1"/>
  <c r="C64" i="1" s="1"/>
  <c r="H65" i="1"/>
  <c r="C65" i="1" s="1"/>
  <c r="H66" i="1"/>
  <c r="C66" i="1" s="1"/>
  <c r="H67" i="1"/>
  <c r="C67" i="1" s="1"/>
  <c r="H68" i="1"/>
  <c r="C68" i="1" s="1"/>
  <c r="H69" i="1"/>
  <c r="C69" i="1" s="1"/>
  <c r="H70" i="1"/>
  <c r="C70" i="1" s="1"/>
  <c r="H71" i="1"/>
  <c r="C71" i="1" s="1"/>
  <c r="H72" i="1"/>
  <c r="C72" i="1" s="1"/>
  <c r="H73" i="1"/>
  <c r="C73" i="1" s="1"/>
  <c r="H74" i="1"/>
  <c r="C74" i="1" s="1"/>
  <c r="H75" i="1"/>
  <c r="C75" i="1" s="1"/>
  <c r="H76" i="1"/>
  <c r="C76" i="1" s="1"/>
  <c r="E2" i="1" l="1"/>
  <c r="F2" i="1"/>
  <c r="D2" i="1"/>
  <c r="F114" i="1"/>
  <c r="D114" i="1"/>
  <c r="F146" i="1"/>
  <c r="D146" i="1"/>
  <c r="F4" i="1"/>
  <c r="D4" i="1" s="1"/>
  <c r="F148" i="1"/>
  <c r="D148" i="1" s="1"/>
  <c r="F149" i="1"/>
  <c r="D149" i="1" s="1"/>
  <c r="F150" i="1"/>
  <c r="D150" i="1"/>
  <c r="F151" i="1"/>
  <c r="D151" i="1" s="1"/>
  <c r="F152" i="1"/>
  <c r="D152" i="1" s="1"/>
  <c r="F153" i="1"/>
  <c r="D153" i="1" s="1"/>
  <c r="F154" i="1"/>
  <c r="D154" i="1" s="1"/>
  <c r="F155" i="1"/>
  <c r="D155" i="1"/>
  <c r="F156" i="1"/>
  <c r="D156" i="1" s="1"/>
  <c r="F157" i="1"/>
  <c r="D157" i="1"/>
  <c r="F158" i="1"/>
  <c r="D158" i="1" s="1"/>
  <c r="F159" i="1"/>
  <c r="D159" i="1" s="1"/>
  <c r="F5" i="1"/>
  <c r="D5" i="1" s="1"/>
  <c r="F6" i="1"/>
  <c r="D6" i="1" s="1"/>
  <c r="F7" i="1"/>
  <c r="D7" i="1"/>
  <c r="F8" i="1"/>
  <c r="D8" i="1" s="1"/>
  <c r="F9" i="1"/>
  <c r="D9" i="1"/>
  <c r="F10" i="1"/>
  <c r="D10" i="1" s="1"/>
  <c r="F11" i="1"/>
  <c r="D11" i="1" s="1"/>
  <c r="F12" i="1"/>
  <c r="D12" i="1"/>
  <c r="F13" i="1"/>
  <c r="D13" i="1" s="1"/>
  <c r="F14" i="1"/>
  <c r="D14" i="1" s="1"/>
  <c r="F15" i="1"/>
  <c r="D15" i="1"/>
  <c r="F16" i="1"/>
  <c r="D16" i="1"/>
  <c r="F17" i="1"/>
  <c r="D17" i="1"/>
  <c r="F18" i="1"/>
  <c r="D18" i="1"/>
  <c r="F19" i="1"/>
  <c r="D19" i="1" s="1"/>
  <c r="F20" i="1"/>
  <c r="D20" i="1" s="1"/>
  <c r="F21" i="1"/>
  <c r="D21" i="1"/>
  <c r="F22" i="1"/>
  <c r="D22" i="1"/>
  <c r="F23" i="1"/>
  <c r="D23" i="1"/>
  <c r="F24" i="1"/>
  <c r="D24" i="1"/>
  <c r="F25" i="1"/>
  <c r="D25" i="1"/>
  <c r="F27" i="1"/>
  <c r="D27" i="1"/>
  <c r="F28" i="1"/>
  <c r="D28" i="1" s="1"/>
  <c r="F29" i="1"/>
  <c r="D29" i="1" s="1"/>
  <c r="F30" i="1"/>
  <c r="D30" i="1" s="1"/>
  <c r="F31" i="1"/>
  <c r="D31" i="1" s="1"/>
  <c r="F32" i="1"/>
  <c r="D32" i="1" s="1"/>
  <c r="F33" i="1"/>
  <c r="D33" i="1" s="1"/>
  <c r="F34" i="1"/>
  <c r="D34" i="1"/>
  <c r="F35" i="1"/>
  <c r="D35" i="1"/>
  <c r="F36" i="1"/>
  <c r="D36" i="1" s="1"/>
  <c r="F37" i="1"/>
  <c r="D37" i="1"/>
  <c r="F38" i="1"/>
  <c r="D38" i="1"/>
  <c r="F39" i="1"/>
  <c r="D39" i="1"/>
  <c r="F40" i="1"/>
  <c r="D40" i="1"/>
  <c r="F41" i="1"/>
  <c r="D41" i="1"/>
  <c r="F42" i="1"/>
  <c r="D42" i="1" s="1"/>
  <c r="F43" i="1"/>
  <c r="D43" i="1"/>
  <c r="F44" i="1"/>
  <c r="D44" i="1"/>
  <c r="F45" i="1"/>
  <c r="D45" i="1"/>
  <c r="F46" i="1"/>
  <c r="D46" i="1" s="1"/>
  <c r="F47" i="1"/>
  <c r="D47" i="1"/>
  <c r="F48" i="1"/>
  <c r="D48" i="1"/>
  <c r="F50" i="1"/>
  <c r="D50" i="1"/>
  <c r="F51" i="1"/>
  <c r="D51" i="1"/>
  <c r="F52" i="1"/>
  <c r="D52" i="1"/>
  <c r="F53" i="1"/>
  <c r="D53" i="1"/>
  <c r="F54" i="1"/>
  <c r="D54" i="1" s="1"/>
  <c r="F55" i="1"/>
  <c r="D55" i="1" s="1"/>
  <c r="F56" i="1"/>
  <c r="D56" i="1"/>
  <c r="F57" i="1"/>
  <c r="D57" i="1" s="1"/>
  <c r="F58" i="1"/>
  <c r="D58" i="1" s="1"/>
  <c r="F59" i="1"/>
  <c r="D59" i="1"/>
  <c r="F60" i="1"/>
  <c r="D60" i="1" s="1"/>
  <c r="F61" i="1"/>
  <c r="D61" i="1" s="1"/>
  <c r="F62" i="1"/>
  <c r="D62" i="1"/>
  <c r="F63" i="1"/>
  <c r="D63" i="1"/>
  <c r="F64" i="1"/>
  <c r="D64" i="1" s="1"/>
  <c r="F65" i="1"/>
  <c r="D65" i="1"/>
  <c r="F66" i="1"/>
  <c r="D66" i="1"/>
  <c r="F67" i="1"/>
  <c r="D67" i="1"/>
  <c r="F68" i="1"/>
  <c r="D68" i="1"/>
  <c r="F69" i="1"/>
  <c r="D69" i="1" s="1"/>
  <c r="F70" i="1"/>
  <c r="D70" i="1" s="1"/>
  <c r="F71" i="1"/>
  <c r="D71" i="1"/>
  <c r="F72" i="1"/>
  <c r="D72" i="1" s="1"/>
  <c r="F73" i="1"/>
  <c r="D73" i="1"/>
  <c r="F74" i="1"/>
  <c r="D74" i="1" s="1"/>
  <c r="F75" i="1"/>
  <c r="D75" i="1"/>
  <c r="F76" i="1"/>
  <c r="D76" i="1" s="1"/>
</calcChain>
</file>

<file path=xl/sharedStrings.xml><?xml version="1.0" encoding="utf-8"?>
<sst xmlns="http://schemas.openxmlformats.org/spreadsheetml/2006/main" count="327" uniqueCount="324">
  <si>
    <t>MFTAGN</t>
  </si>
  <si>
    <t>TAG03G</t>
  </si>
  <si>
    <t>TARJETA DE PROXIMIDAD EM 125Khz GRUESA PARA CONTROL DE ACCESO CON CODIGO IMPRESO</t>
  </si>
  <si>
    <t>IDTHICKCARD</t>
  </si>
  <si>
    <t>SOPORTE VIAJANTE PARA ELECTROCERRADURA PARA INSTALACION EN PUERTA DE VIDRIO SIN MARCO</t>
  </si>
  <si>
    <t>LBB2</t>
  </si>
  <si>
    <t>TSA56 LAMINA DE ACERO PARA REFERENCIA A34090097</t>
  </si>
  <si>
    <t>A34090214</t>
  </si>
  <si>
    <t>TARJETA DUAL UHF+ID FRECUENCIA 25KHZ WIEGAND 34</t>
  </si>
  <si>
    <t>DF01-CARD</t>
  </si>
  <si>
    <t>TARJETA MIFARE FRECUENCIA 13.56MHZ MEMORIA 4KB</t>
  </si>
  <si>
    <t>MF1S70</t>
  </si>
  <si>
    <t>SOPORTE FIJO DE ELECTROCERRADURA PARA PUERTA DE VIDRIO COMPATIBLE CON LB35</t>
  </si>
  <si>
    <t>UBB1</t>
  </si>
  <si>
    <t>CONVERSOR RS485 A WIEGAND PARA C2-260</t>
  </si>
  <si>
    <t>WR485</t>
  </si>
  <si>
    <t>BOTON LIBERADOR TIPO HONGO CON CONTACTOS NO/NC/COM COLOR VERDE (115L*70W*35HMM)</t>
  </si>
  <si>
    <t>EB103-G</t>
  </si>
  <si>
    <t>CONTROL REMOTO PARA BOTON LIBERADOR TLEB102-R/TLEB101-R 10MTS DE ALCANCE</t>
  </si>
  <si>
    <t>RM-100</t>
  </si>
  <si>
    <t>LECTOR DE TARJETAS EM 125KHZ IP65 COLOR NEGRO SALIDA WIEGAND AJUSTABLE DE 26 O 34 BITS</t>
  </si>
  <si>
    <t>PROID10BE</t>
  </si>
  <si>
    <t>TSA52 BLOQUE PARA BRAZO TORNIQUETES TS2000 Y TS2022</t>
  </si>
  <si>
    <t>A34090097</t>
  </si>
  <si>
    <t>LECTOR DE TARJETAS EM 125KHZ IP65 COLOR NEGRO SALIDA WIEGAND DE 26 O 34 BITS CON TECLADO LED</t>
  </si>
  <si>
    <t>PROID30BE</t>
  </si>
  <si>
    <t>LECTOR DE TARJETAS MIFARE 13.56 MHZ IP65 COLOR NEGRO SALIDA WIEGAND DE 26 O 34 BITS CON TECLADO LED</t>
  </si>
  <si>
    <t>PROID30BM</t>
  </si>
  <si>
    <t>ENROLADOR DE TARJETAS  EM 125 KHz . DIMENSIONES:68*18*115mm.</t>
  </si>
  <si>
    <t>CR20E</t>
  </si>
  <si>
    <t>REPUESTO BRAZO PARA TORNIQUETE TS2000</t>
  </si>
  <si>
    <t>TSA20</t>
  </si>
  <si>
    <t>LECTOR DE TARJETAS EM 125HZ SALIDA RS485 COLOR NEGRO IP65</t>
  </si>
  <si>
    <t>PROID20BE-RS</t>
  </si>
  <si>
    <t>BOTON LIBERADOR SIN CONTACTO CON CONTROL REMOTO PARA ELECTROCERRADURAS 115*70MM SALIDAS NO/COM/NC</t>
  </si>
  <si>
    <t>TLEB102-R</t>
  </si>
  <si>
    <t>DC80120L</t>
  </si>
  <si>
    <t>LECTOR DE TARJETAS MIFARE 13.56MHZ SALIDA RS485 COLOR NEGRO IP65</t>
  </si>
  <si>
    <t>PROID20BM-RS</t>
  </si>
  <si>
    <t>EXPANSORA PARA 1 PUERTA DE C2-260, WIEGAND(LECTOR-LECTOR Ó LECTOR-BOTÓN) AUX IN-OUT RS485 CASCADA</t>
  </si>
  <si>
    <t>DM10</t>
  </si>
  <si>
    <t>LECTOR DE TARJETAS EM 125KHZ IP65 COLOR NEGRO SALIDA RS485 DE 26 O 34 BITS CON TECLADO LED</t>
  </si>
  <si>
    <t>PROID30BE-RS</t>
  </si>
  <si>
    <t>ENROLADORA DE TARJETAS MIFARE 13.56MHZ INTERFAZ USB</t>
  </si>
  <si>
    <t>CR20M</t>
  </si>
  <si>
    <t>TPM005B</t>
  </si>
  <si>
    <t>SOPORTE PARA INSTALAR LECTOR DE CEDULA EN TORNIQUETES</t>
  </si>
  <si>
    <t>SCN2BRACKET</t>
  </si>
  <si>
    <t>ENROLADORA PARA LEER Y ESCRIBIR TARJETAS MIFARE USO CON SOLUCION DE HOTEL</t>
  </si>
  <si>
    <t>CR60W</t>
  </si>
  <si>
    <t>CONTROLADOR DE ACCESO 2 PUERTAS EXPANDIBLE A 10 CON DM10 LECTORES EN PLACA RS485 Ó WIEGAND CON WR485</t>
  </si>
  <si>
    <t>MODULO DE EXTENSION DE 16 RELEVOS PARA EC10 COMUNICACION POR RS485</t>
  </si>
  <si>
    <t>EX16</t>
  </si>
  <si>
    <t>LECTORA HUELLAS SENSOR SILKID Y TARJETAS EM INTERFAZ RS485 CARCASA EN ACERO INOXIDABLE IP65</t>
  </si>
  <si>
    <t>FR1500S</t>
  </si>
  <si>
    <t>LECTORA HUELLAS SENSOR SILKID Y TARJETAS MIFARE INTERFAZ RS485 CARCASA EN ACERO INOXIDABLE IP65</t>
  </si>
  <si>
    <t>FR1500SMF</t>
  </si>
  <si>
    <t>SF400ID-ACCESS</t>
  </si>
  <si>
    <t>DISPOSITIVO T&amp;A Y CONTROL ACCESO FACIAL VISIBLE LIGHT 500 ROSTROS 1000 TARJETAS ADMS, ID CON BATERIA</t>
  </si>
  <si>
    <t>EFACE-10BATTERY</t>
  </si>
  <si>
    <t>TIEMPO Y ASISTENCIA 6000 HUELLAS 200.000 REGISTROS PANTALLA LCD TCP-IP BATERIA RESPALDO WIFI</t>
  </si>
  <si>
    <t>ZpadID</t>
  </si>
  <si>
    <t>DISPOSITIVO T&amp;A Y CONTROL DE ACCESO 1200 ROSTROS 1500 HUELLAS 100K EVENTOS INCLUYE ADMS</t>
  </si>
  <si>
    <t>MB160IDADMS</t>
  </si>
  <si>
    <t>ENROLADOR USB PARA TAGS UHF 915MHZ SOLO LECTURA</t>
  </si>
  <si>
    <t>UR20RW-F</t>
  </si>
  <si>
    <t>CONTROL ACCESO 1 PUERTA 20000 HUELLAS 60000 TARJETAS SOPORTA 2 LECT. WEIGAND 26BITS Y 2 RS485 TCP/IP</t>
  </si>
  <si>
    <t>INBIO160PRO</t>
  </si>
  <si>
    <t>RADAR DETECCION SOLUCION VEHICULAR RANGO 0-6MTS AUTOREFLEX SOLO INSTALA 1 DISPOSITIVO IP67 BLUETOOTH</t>
  </si>
  <si>
    <t>VR10PRO</t>
  </si>
  <si>
    <t>TERMINAL TIEMPO Y ASISTENCIA 5000 HUELLAS 15000 TARJETAS EM 100000 EVENTOS TCP/IP WDMS 5VDC</t>
  </si>
  <si>
    <t>G1</t>
  </si>
  <si>
    <t>DISPOSITIVO T&amp;A Y CONTROL DE ACCESO VISIBLE LIGHT 3000 ROSTROS 3000 HUELLAS 10K TARJETAS ADMS WIFI</t>
  </si>
  <si>
    <t>MB560ID-VL</t>
  </si>
  <si>
    <t>CONTROL ACCESO 2 PUERTAS 20000 HUELLAS 60000 TARJETAS WEIGAND 26 BITS TCP/IP 9.6 - 14.4 VCD</t>
  </si>
  <si>
    <t>INBIO260PRO</t>
  </si>
  <si>
    <t>UHF5FPRO</t>
  </si>
  <si>
    <t>SPEEDFACEV5L-RFID-WIFI</t>
  </si>
  <si>
    <t>UHF10FPRO</t>
  </si>
  <si>
    <t>CONTROL DE ACCESO PARA ELEVADORES 10 RELEVOS 3000 HUELLAS 30000 TARJETAS SOPORTA HASTA 3 EX16</t>
  </si>
  <si>
    <t>EC10</t>
  </si>
  <si>
    <t>CONTROL ACCESO 4 PUERTAS 20000 HUELLAS 60000 TARJETAS WEIGAND 26 BITS TCP/IP 9.6 - 14.4 VCD</t>
  </si>
  <si>
    <t>INBIO460PRO</t>
  </si>
  <si>
    <t>CONTROL ACCESO 4 PUERTAS 20000 HUELLAS 60000 TARJETAS WEIGAND 26 BITS TCP/IP 9.6 - 14.4 VCD+GABINETE</t>
  </si>
  <si>
    <t>INBIO460PROBOX</t>
  </si>
  <si>
    <t>TERMINAL T&amp;A VISIBLE LIGHT 6000 ROSTROS WIFI BLUET 4G BATERIA DE RESPALDO (INALAMBRICO)</t>
  </si>
  <si>
    <t>HORUSE1</t>
  </si>
  <si>
    <t>TERMINAL CONTROL DE ACCESO HASTA 1500 HUELLAS Y VENAS Y 2000 TARJETAS EM</t>
  </si>
  <si>
    <t>INPULSEPLUS</t>
  </si>
  <si>
    <t>CAMARA IP DE MANO TERMICA 80X60 PX MEDICION TEMP 30 A 45°C PANTALLA 2.8" BATERIA RECARGABLE MICRO SD</t>
  </si>
  <si>
    <t>ZK-178S</t>
  </si>
  <si>
    <t>ARCO DETECTOR DE METALES 18 ZONAS 2.2M(H)X0.84M(W)X0.58M(L) 100-240VAC</t>
  </si>
  <si>
    <t>ZK-D2180</t>
  </si>
  <si>
    <t>CAMARA 1080P PARA RECONOCIMIENTO DE PLACAS IP65 SALIDAS: 2 RELEVOS WIEGAND RS485</t>
  </si>
  <si>
    <t>LPRC300</t>
  </si>
  <si>
    <t>DISPOSITIVO INTEGRADO PANTALLA-VOZ Y CAMARA LPR. LECTURA 3.5 A 4MTS 2 RELEVOS 2 RS485 WIEGAND TCP/IP</t>
  </si>
  <si>
    <t>LPRS1000</t>
  </si>
  <si>
    <t>IDTHINCARD</t>
  </si>
  <si>
    <t>TAG03A</t>
  </si>
  <si>
    <t>UHF1TAG9</t>
  </si>
  <si>
    <t>TAG UHF PARA INSTALAR EN PARABRISA ALCANCE 6M CON ANTENA UHF10F DIMENSIONES 100X26MM</t>
  </si>
  <si>
    <t>UHFPARKINGTAG</t>
  </si>
  <si>
    <t>TARJETA DUAL UHF+MIFARE FRECUENCIA 13.56MHZ WIEGAND 34</t>
  </si>
  <si>
    <t>SOPORTE EN U PARA ELECTROIMAN LM1802</t>
  </si>
  <si>
    <t>LMB180U</t>
  </si>
  <si>
    <t>SOPORTE EN L PARA ELECTROIMAN LM1802</t>
  </si>
  <si>
    <t>LMB180L</t>
  </si>
  <si>
    <t>SOPORTE EN U PARA ELECTROIMAN LM2802</t>
  </si>
  <si>
    <t>LMB280U</t>
  </si>
  <si>
    <t>SOPORTE EN L PARA ELECTROIMAN LM2802</t>
  </si>
  <si>
    <t>LMB280L</t>
  </si>
  <si>
    <t>SOPORTE EN Z PARA ELECTROIMAN LM1802</t>
  </si>
  <si>
    <t>LMB180Z</t>
  </si>
  <si>
    <t>SOPORTE EN Z PARA ELECTROIMAN LM2802</t>
  </si>
  <si>
    <t>LMB280Z</t>
  </si>
  <si>
    <t>CONVERSOR RS485 A 4 ENTRADAS AUXILIARES PARA C2-260</t>
  </si>
  <si>
    <t>AUX485</t>
  </si>
  <si>
    <t>BOTON LIBERADOR SIN CONTACTO PARA ELECTROCERRADURAS DIMENSIONES 115*70*39MM SALIDAS NO/NC</t>
  </si>
  <si>
    <t>TLEB102</t>
  </si>
  <si>
    <t>GATO PARA PUERTAS DE 40 - 65 KG Y ANCHO MENOR A 950MM DIMENSIONES 182*60.5*40.5MM</t>
  </si>
  <si>
    <t>DC4065L</t>
  </si>
  <si>
    <t>ELECTROIMAN FUERZA DE RETENCION 180KG DIMENSIONES: CERRADURA 170*38.5*21MM PLACA 130*33*11MM</t>
  </si>
  <si>
    <t>LM1802</t>
  </si>
  <si>
    <t>GATO PARA PUERTAS DE 60 - 85 KG Y ANCHO MENOR A 1100MM DIMENSIONES 188*70*53.9MM</t>
  </si>
  <si>
    <t>DC6085L</t>
  </si>
  <si>
    <t>ELECTROIMAN FUERZA DE RETENCION 280KG DIMENSIONES: CERRADURA 250*47*25.5MM PLACA 180*38*11MM</t>
  </si>
  <si>
    <t>LM2802</t>
  </si>
  <si>
    <t>DETECTOR DE METAL PORTABLE ALARMA DE SONIDO (75DBA) VIBRACION Y LUZ IP31 INCLUYE BATERIA Y CARGADOR</t>
  </si>
  <si>
    <t>ZKD100S</t>
  </si>
  <si>
    <t>ENROLADOR USB PARA HUELLAS</t>
  </si>
  <si>
    <t>ZK9500</t>
  </si>
  <si>
    <t>TIEMPO Y ASISTENCIA SENSOR SILKID 3000 HUELLAS 10000 TARJETAS TCP/IP  5V DC INCLUYE ADMS</t>
  </si>
  <si>
    <t>SILKFP100TA</t>
  </si>
  <si>
    <t>COSTO</t>
  </si>
  <si>
    <t>Columna8</t>
  </si>
  <si>
    <t>Columna7</t>
  </si>
  <si>
    <t>COSTO +IVA</t>
  </si>
  <si>
    <t>Columna5</t>
  </si>
  <si>
    <t>Columna2</t>
  </si>
  <si>
    <t>PRECIO CLIENTE FINAL (CON IVA)</t>
  </si>
  <si>
    <t>PRECIO TIENDA (CON IVA)</t>
  </si>
  <si>
    <t>PRECIO INSTALLER (CON IVA)</t>
  </si>
  <si>
    <t>DESCRIPCION</t>
  </si>
  <si>
    <t>REFERENCIA</t>
  </si>
  <si>
    <t>TERMINAL CONTROL DE ACCESO PANTALLA TOUCH LCD 2.8" 1500 HUELLAS 5000 TARJETAS CON FUENTE CONPATIBLE CON ZK BIOACCESS</t>
  </si>
  <si>
    <t>X8S</t>
  </si>
  <si>
    <t>CONTROL DE ACCESO STAND ALONE TECLADO TACTIL 500 HUELLAS Y TARJETAS, 2.200 REGISTRO ENTRADA AUXILIAR CON FUENTE</t>
  </si>
  <si>
    <t>SPEEDFACE-M4WIFI</t>
  </si>
  <si>
    <t>TERMINAL VISIBLE LIGHT CONTROL DE ACCESO Y T&amp;A 6000 ROSTROS 3000 PALMAS 10000 TARJETAS EXT IP66 WIFI</t>
  </si>
  <si>
    <t>SPEEDFACEV5LWIFI</t>
  </si>
  <si>
    <t>TERMINAL CONTROL DE ACCESO LINUX T&amp;A / AC FACIAL 6000 ROSTROS, 10000 HUELLAS WIFI</t>
  </si>
  <si>
    <t>PROFACE-XWIFI</t>
  </si>
  <si>
    <t>DISPOSITIVO CONTROL DE ACCESO FACIAL 30000 ROSTROS RS485 RS232 WIFI WIEGAND IP68 IK04 PANTALLA 8"</t>
  </si>
  <si>
    <t>M1BFP-IDWIFI</t>
  </si>
  <si>
    <t>DISPOSITIVO T&amp;A 500 HUELLAS, 500 TARJETAS ID 125KHZ Y CONTRASEÑAS, 100000 EVENTOS, PANTALA 2,8" WIFI , USB. 5V DC 2A. PROTOCOLO BEST. SOFTWARE: BIOTIME CLOUD Y ZKLINK. M SERIES</t>
  </si>
  <si>
    <t>M2FPRO-LR-B-BATTERY</t>
  </si>
  <si>
    <t>DISPOSITIVO T&amp;A 500 ROSTROS, 1000 HUELLAS, 1000 ID 125 KHZ Y CONTRASEÑAS, 150000 EVENTOS, CONTROL PUERTA PANTALA 2,8" WIFI, ETHERNET, USB, BATERIA, BIOTIME CLOUD Y BIOTIME COLOMBIA</t>
  </si>
  <si>
    <t>SPEEDFACEV3L-ID</t>
  </si>
  <si>
    <t>TERMINAL DE CONTROL DE ACCESO VISIBLE LIGHT 2,4" LCD 500ROSTROS 3000HUELLAS 3000TARJETAS 125KHZ IP65 RESISTENTE A SALPICADURAS</t>
  </si>
  <si>
    <t>TERMINAL DE CONTROL DE ACCESO T&amp;A 5" LCD, 10000 ROSTROS 3000 PALMAS 10000 TARJETAS ID 125KHZ WIFI</t>
  </si>
  <si>
    <t>SPEEDFACEV5L-QR-RFID-WIFI</t>
  </si>
  <si>
    <t>TERMINAL CONTROL DE ACCESO 5" LCD, 6000 ROSTROS 3000 PALMAS 10000 TARJETAS ID 125KHZ LECTOR QR WIFI</t>
  </si>
  <si>
    <t>SPEEDFACEV5LWIFI-MF</t>
  </si>
  <si>
    <t>TERMINAL CONTROL DE ACCESO LINUX TA FACIAL 6000 ROSTROS 10000 TARJETAS MIFARE 10000 HUELLAS WIFI</t>
  </si>
  <si>
    <t>HB510-B-NFC</t>
  </si>
  <si>
    <t xml:space="preserve"> ** Existencia Única **
TERMINAL MANO PORTABLE PANTALLA DE 5" LECTOR DE CODIGO QR, PDF417, NFC. GPS WIFI 4G Y BT, OS ANDROID</t>
  </si>
  <si>
    <t>R-SILKFP100TA</t>
  </si>
  <si>
    <t>N-MB10-VL-ID</t>
  </si>
  <si>
    <t>DISPOSITIVO T&amp;A-FUNCIONES DE ACCESO VISIBLE LIGHT 100 ROSTROS 500 HUELLAS 500 TARJETAS ID 125KHZADMS</t>
  </si>
  <si>
    <t>MB10-VL-ID</t>
  </si>
  <si>
    <t>LH4000R</t>
  </si>
  <si>
    <t>CERRADURA PARA HOTEL CROMO CON LECTOR PARA TARJETAS MIFARE PUERTAS DE 35-55MM 5 PESTILLOS DERECHA</t>
  </si>
  <si>
    <t>TSA12</t>
  </si>
  <si>
    <t>TS414MODULO DE INSTALACION LECTOR DE CODIGOS QR PARA SERIE TS2000</t>
  </si>
  <si>
    <t>QR600-HM</t>
  </si>
  <si>
    <t>LECTOR CODIGOS QR Y TARJETAS MIFARE S50/S70 NFC WIEGAND - RS485 IP65</t>
  </si>
  <si>
    <t>PROID30WE</t>
  </si>
  <si>
    <t>LECTOR DE TARJETAS EM 125KHZ IP65 COLOR BLANCO SALIDA WIEGAND DE 26 O 34 BITS CON TECLADO LED</t>
  </si>
  <si>
    <t>PROID20BE</t>
  </si>
  <si>
    <t>LECTOR DE TARJETAS EM 125HZ CONEXION WIEGAND</t>
  </si>
  <si>
    <t>KR600E</t>
  </si>
  <si>
    <t>LECTOR ESCLAVO RFID TARJETAS EM WIEGAND IP65 DIMENSIONES 116 x 75 x 16MM RANGO DE LECTURA 0 A 10CM</t>
  </si>
  <si>
    <t>PROID10BM</t>
  </si>
  <si>
    <t>LECTOR DE TARJETAS MIFARE 13.56MHZ SALIDA WIEGAND AJUSTABLE DE 26 O 34 BITS</t>
  </si>
  <si>
    <t>LECTORA UHF 915-928MHZ HASTA 4M INTERFACES WIEGAND Y RS485 CARCASA ALUMINIO, INDICADORES LED IP66</t>
  </si>
  <si>
    <t>LECTORA UHF 915-928MHZ HASTA 8M INTERFACES WIEGAND Y RS485 CARCASA ALUMINIO, INDICADORES LED, IP66</t>
  </si>
  <si>
    <t>AL100PF</t>
  </si>
  <si>
    <t>SOPORTE PARA ELECTROMAGNETICA DE PERNO PARA PUERTAS DE VIDRIO PARA INSTALACION DEL PISTON</t>
  </si>
  <si>
    <t>AL500PL</t>
  </si>
  <si>
    <t>SOPORTE EN L PARA AL500</t>
  </si>
  <si>
    <t>AL500PZ</t>
  </si>
  <si>
    <t>SOPORTE EN Z PARA ELECTROIMAN AL500 (1,200Lbs)</t>
  </si>
  <si>
    <t>AL500PU</t>
  </si>
  <si>
    <t>SOPORTE EN U PARA ELECTROIMAN AL500 (1,200LBS)</t>
  </si>
  <si>
    <t>GATO PARA PUERTAS DE 80 - 120KG Y ANCHO MENOR A 1200MM DIMENSIONES 208*74*41.8MM</t>
  </si>
  <si>
    <t>DEMOKITB</t>
  </si>
  <si>
    <t xml:space="preserve"> ** Existencia Única **
DEMO KIT PANEL DE CONTROL DE ACCESO CONTROL DE ELEVADORES Y TERMINAL STANDALONE (PROCAPTURE-X)</t>
  </si>
  <si>
    <t>TARJETA DE PROXIMIDAD DELGADA EM 125KHZ PARA CONTROL DE ACCESO CON CODIGO IMPRESO</t>
  </si>
  <si>
    <t>TAG UHF ENCRIPTADA TIPO TARJETA FRECUENCIA 902~928MHZ DIMENSIONES 85 X 54 X 0.8MM SIN CODIGO IMPRESO</t>
  </si>
  <si>
    <t>MF1S50</t>
  </si>
  <si>
    <t>TARJETA MIFARE FRECUENCIA 13.56MHZ MEMORIA 1KB</t>
  </si>
  <si>
    <t>DF02-CARD</t>
  </si>
  <si>
    <t>SBTA05</t>
  </si>
  <si>
    <t xml:space="preserve"> ** Existencia Única **
BARRERA EN ACERO INOXIDABLE PARA SBT1000S</t>
  </si>
  <si>
    <t>SBTL5222</t>
  </si>
  <si>
    <t xml:space="preserve"> ** Existencia Única **
BARRERA ABATIBLE PARA UN CARRIL ADICIONAL CON INBIO260PRO Y 2 LECTORES DE HUELLA Y RFID FR1500</t>
  </si>
  <si>
    <t>TSA75</t>
  </si>
  <si>
    <t>TSA75 REPUESTO TORNILLO DE AJUSTE BRAZO PARA TORNIQUETE TS2000</t>
  </si>
  <si>
    <t>TS2200PRO</t>
  </si>
  <si>
    <t>TORNIQUETE DOBLE BRAZO BIDIRECCIONAL ABATIBLE SIN LECTORAS NI CONTROLADORA</t>
  </si>
  <si>
    <t>TS1022PRO</t>
  </si>
  <si>
    <t>TORNIQUETE BIDIRECCIONAL SENCILLO ACERO INOXIDABLE INBIO260PRO 2 FR1500 IP54 110V</t>
  </si>
  <si>
    <t>TS2022PRO</t>
  </si>
  <si>
    <t>TORNIQUETE BIDIRECCIONAL SENCILLO ACERO INOXIDABLE BRAZO ABATIBLE IP54 CON INBIO260PRO 2 FR1500 110V</t>
  </si>
  <si>
    <t>SATURN-T1000</t>
  </si>
  <si>
    <t>TORNIQUETE BIDIRECCIONAL SENCILLO ACERO INOXIDABLE, PARTE SUPERIOR EN POLICARBONATO Y VIDRIO TEMPLADO, ABATIBLE, IPX4, SIN CONTROLADORAS NI LECTORAS, 110V CE, FCC</t>
  </si>
  <si>
    <t>TS1000PRO</t>
  </si>
  <si>
    <t>TORNIQUETE BIDIRECCIONAL SENCILLO ACERO INOXIDABLE ABATIBLE IP54 SIN CONTROLADORAS NI LECTORAS 110V</t>
  </si>
  <si>
    <t>TS2000PRO</t>
  </si>
  <si>
    <t>TS2022PROCOLECTOR</t>
  </si>
  <si>
    <t>TORNIQUETE BIDIRECCIONAL SENCILLO CON INBIO460PRO 2 LECTORES FR1500 COLECTOR DE TARJETA A LA SALIDA</t>
  </si>
  <si>
    <t>SBT2000S-AB</t>
  </si>
  <si>
    <t>BARRERA ABATIBLE UNA LINEA DE ACCESO BRAZO VIDRIO 110/220VAC SIN LECTORAS NI CONTROLADORA</t>
  </si>
  <si>
    <t>SBT2000S-SB</t>
  </si>
  <si>
    <t xml:space="preserve"> ** Existencia Única **
BARRERA ABATIBLE UNA LINEA DE ACCESO ACERO INOXIDABLE 110/220VAC SIN LECTORAS NI CONTROLADORA</t>
  </si>
  <si>
    <t>MARS-B1200</t>
  </si>
  <si>
    <t>PASILLO MOTORIZADO CENTRAL DE FLUJO ALTO 6 PARES DE SENSORES 3M DE CICLOS/NO INCLUYE LECTORES/ NECESITA MARS B1000</t>
  </si>
  <si>
    <t>MARS-B1000</t>
  </si>
  <si>
    <t>PASILLO MOTORIZADO DE FLUJO ALTO 6 PARES DE SENSORES 3M DE CICLOS/NO INCLUYE LECTORES/ 65CM DE CARRIL</t>
  </si>
  <si>
    <t>PSA51</t>
  </si>
  <si>
    <t xml:space="preserve"> ** Existencia Única **
BRAZO DE REPUESTO 6M PARA BARRERA PB4060</t>
  </si>
  <si>
    <t>PROBG-BOOM-160</t>
  </si>
  <si>
    <t xml:space="preserve"> ** Existencia Única **
BRAZO DE REPUESTO 6M PARA BARRERA PROBG3060 SIN LED</t>
  </si>
  <si>
    <t>PSA53</t>
  </si>
  <si>
    <t>BRAZO DE REPUESTO ARTICULADO 3M PARA BARRERA PB4130</t>
  </si>
  <si>
    <t>BOOM-230-LED</t>
  </si>
  <si>
    <t>BRAZO ARTICULADO DE REPUESTO CON LED 3M PARA BARRERA PROBG3130LRLED</t>
  </si>
  <si>
    <t>BOOM-160-LED</t>
  </si>
  <si>
    <t>BRAZO DE REPUESTO 6M CON LED PARA BARRERA PROBG3060LRLED</t>
  </si>
  <si>
    <t>BGM1060R</t>
  </si>
  <si>
    <t>BARRERA VEHICULAR DERECHA, ALTO DESEMPEÑO, BRAZO 6MT, MOTOR DC GABINETE ILUMINADO IP54 INTERIOR, MODULO WIFI, COMPATIBLE CON APP ZKBARRIER NO INCLUYE ACCESORIOS</t>
  </si>
  <si>
    <t>BGM1060L</t>
  </si>
  <si>
    <t>BARRERA VEHICULAR IZQUIERDA, ALTO DESEMPEÑO, BRAZO 6MT, MOTOR DC GABINETE ILUMINADO IP54 INTERIOR, MODULO WIFI, COMPATIBLE CON APP ZKBARRIER NO INCLUYE ACCESORIOS</t>
  </si>
  <si>
    <t>BGM1030R</t>
  </si>
  <si>
    <t>BARRERA VEHICULAR DERECHA, ALTO DESEMPEÑO, BRAZO 3MT, MOTOR DC GABINETE ILUMINADO IP54 INTERIOR, MODULO WIFI, COMPATIBLE CON APP ZKBARRIER NO INCLUYE ACCESORIOS</t>
  </si>
  <si>
    <t>BGM1030L</t>
  </si>
  <si>
    <t>BARRERA VEHICULAR IZQUIERDA, ALTO DESEMPEÑO, BRAZO 3MT, MOTOR DC GABINETE ILUMINADO IP54 INTERIOR, MODULO WIFI, COMPATIBLE CON APP ZKBARRIER. NO INCLUYE ACCESORIOS</t>
  </si>
  <si>
    <t>BOL1168-R</t>
  </si>
  <si>
    <t>BOLARDO EXTRAIBLE DIAMETRO 168 MM ALTURA DESDE EL SUELO 600MM INCLUYE BOL1168-R y CLAVE</t>
  </si>
  <si>
    <t>BGM1145R</t>
  </si>
  <si>
    <t xml:space="preserve"> ** Existencia Única **
BARRERA VEHICULAR DERECHA, ALTO DESEMPEÑO, BRAZO ARTICULADO 4.5MT, MOTOR DC GABINETE ILUMINADO IP54 INTERIOR, MODULO WIFI, COMPATIBLE CON APP ZKBARRIER NO INCLUYE ACCESORIOS</t>
  </si>
  <si>
    <t>PROBG3060R-LED</t>
  </si>
  <si>
    <t>BARRERA VEHICULAR DERECHA, ALTO DESEMPEÑO, CHASIS CON LED, BRAZO 6MT CON LED, DETECTOR DE MASA-LAZO IP65</t>
  </si>
  <si>
    <t>PROBG3060L-LED</t>
  </si>
  <si>
    <t>BARRERA VEHICULAR IZQUIERDA, ALTO DESEMPEÑO, CHASIS CON LED, BRAZO 6MT CON LED, DETECTOR DE MASA-LAZO IP65</t>
  </si>
  <si>
    <t>PROBG3060L</t>
  </si>
  <si>
    <t>BARRERA VEHICULAR IZQUIERDA, ALTO DESEMPEÑO, BRAZO 6MT, GABINETE ILIMINADO, DETECTOR DE MASA-LAZO IP65</t>
  </si>
  <si>
    <t>PROBG3030R-LED</t>
  </si>
  <si>
    <t>BARRERA VEHICULAR DERECHA, ALTO DESEMPEÑO, CHASIS CON LED, BRAZO 3MT CON LED, DETECTOR DE MASA-LAZO IP65</t>
  </si>
  <si>
    <t>PROBG3030L-LED</t>
  </si>
  <si>
    <t>BARRERA VEHICULAR IZQUIERDA, ALTO DESEMPEÑO, CHASIS CON LED, BRAZO 3MT CON LED, DETECTOR DE MASA-LAZO IP65</t>
  </si>
  <si>
    <t>PROBG3130L-LED</t>
  </si>
  <si>
    <t>BARRERA VEHICULAR ALTO RENDIMIENTO BRAZO ARTICULADO 3MT CON LED DETECTOR MASA-LAZO SENTIDO IZQUIERDO</t>
  </si>
  <si>
    <t>PROBG3130R-LED</t>
  </si>
  <si>
    <t>BARRERA VEHICULAR ALTO RENDIMIENTO BRAZO ARTICULADO 3MT CON LED DETECTOR MASA-LAZO SENTIDO DERECHO</t>
  </si>
  <si>
    <t>ZK-TK500-15</t>
  </si>
  <si>
    <t>PONCHA LLANTAS MEDIDAS L=1500MM W=550MM H=85MM INCLUYE 2 CONTROLES REMOTOS 1 ESTACION DE PULSADOR</t>
  </si>
  <si>
    <t>ZK-TK500-25</t>
  </si>
  <si>
    <t>PONCHA LLANTAS MEDIDAS L=2500MM W=550MM H=85MM INCLUYE 2 CONTROLES REMOTOS 1 ESTACION DE PULSADOR</t>
  </si>
  <si>
    <t>ZKD3180</t>
  </si>
  <si>
    <t>ARCO DETECTOR DE METALES 18 ZONAS. CONTADOR LCD 7" 2.2M(H)X0.8M(W)X0.58M(L) 100-240VAC 500 NIVELES SENSIBILIDAD, PUERTO TCP/IP SOFTWARE ZKBIOSIS</t>
  </si>
  <si>
    <t>ZKD4330</t>
  </si>
  <si>
    <t>ARCO DETECTOR DE METALES 33 ZONAS VOLTAJE 15 VDC PANTALLA HD 7"</t>
  </si>
  <si>
    <t>SLK20R</t>
  </si>
  <si>
    <t>ENROLADOR DE HUELLA SOLO USB SENSOR SILKID SOPORTA WIN7/8/10</t>
  </si>
  <si>
    <t>TAG DE PROXIMIDAD PARA CONTROL DE ACCESO TIPO LLAVERO COLOR AZUL 125KHZ</t>
  </si>
  <si>
    <t>TAG DE PROXIMIDAD PARA CONTROL DE ACCESO TIPO LLAVERO COLOR GRIS 125KHZ</t>
  </si>
  <si>
    <t>TAG03N</t>
  </si>
  <si>
    <t>TAG DE PROXIMIDAD PARA CONTROL DE ACCESO TIPO LLAVERO COLOR NEGRO 125KHZ</t>
  </si>
  <si>
    <t>TAG DE PROXIMIDAD PARA CONTROL DE ACCESO TIPO LLAVERO COLOR NEGRO 13.56MHZ</t>
  </si>
  <si>
    <t>BL-852Q38A-LP</t>
  </si>
  <si>
    <t>CAMARA IP TIPO BALA 2MP@25FPS LENTE MOTORIZADO 3,35-10,05MM LPR RECONOCIMIENTO DE PLACAS TWDR ALGORITMO NEURAL LABS IP67</t>
  </si>
  <si>
    <t>PB4000-PSA63</t>
  </si>
  <si>
    <t>A80073203 RESORTE PARA BARRERA VEHICULAR SERIE PB4000 DIAMETRO 4.5MM LARGO 400MM</t>
  </si>
  <si>
    <t>A80160093</t>
  </si>
  <si>
    <t>SENSOR DE POSICION PARA TS2222</t>
  </si>
  <si>
    <t>ZKBCVS-AC-P10</t>
  </si>
  <si>
    <t xml:space="preserve"> ** Existencia Única **
LICENCIA ZKBIO CVSECURITY CONTROL DE ACCESO HASTA 10 PUERTAS MAX. 10000 PERSONAS 200 AREAS</t>
  </si>
  <si>
    <t>ZKBCVS-PARK-UPDATE</t>
  </si>
  <si>
    <t xml:space="preserve"> ** Existencia Única **
ACTUALIZACION LICENCIA ZKBIO CVSECURITY DE 2 A 4 CAMARAS LPR</t>
  </si>
  <si>
    <t>ZKBCVS-PARK-P4</t>
  </si>
  <si>
    <t>LICENCIA ZKBIO CVSECURITY PARA MODULO LPR HASTA 4 CAMARAS MAX. 10000 PLACAS Y 1000 DEPARTAMENTOS</t>
  </si>
  <si>
    <t>ZKADMS</t>
  </si>
  <si>
    <t>ACTUALIZACION ADMS PARA DISPOSITIVOS</t>
  </si>
  <si>
    <t>ZKBS-AC-P25</t>
  </si>
  <si>
    <t>ZKBT-ACT</t>
  </si>
  <si>
    <t xml:space="preserve"> ** Existencia Única **
RENOVACION DE LICENCIA BIOTIME COLOMBIA</t>
  </si>
  <si>
    <t>ZKNET30500</t>
  </si>
  <si>
    <t>LICENCIA DE CONTROL DE TIEMPO Y ASISTENCIA PARA 50 DISPOSITIVOS Y 500 USUARIOS VIGENCIA 3 ANOS</t>
  </si>
  <si>
    <t>ZKWDMS</t>
  </si>
  <si>
    <t xml:space="preserve"> ** Existencia Única **
LICENCIA ZK WDMS PARA 50 DISPOSITIVOS 3 ANOS INCLUYE  ZKTime.Net 3.0</t>
  </si>
  <si>
    <t>ROTS-02PACKAGE</t>
  </si>
  <si>
    <t>SOPORTE PARA INSTALAR LECTORES SPEEDFACEV5L Y PROFACE EN TORNIQUETES</t>
  </si>
  <si>
    <t>SENSEFACE2A-IDWIFI</t>
  </si>
  <si>
    <t>DISPOSITIVO CONTROL DE ACCESO, SENSE FACE SERIES ROSTROS 1500, 3000 HUELLAS, 3000 ID 125KHZ, CONTRASEÑA, 150000 EVENTOS, PANTALLA 2,4", WIFI, USB, INCLUYE FUENTE, VIDEOINTERCOM Y DOORBELL OPCIONAL</t>
  </si>
  <si>
    <t>SPEEDFACEV3L-MF</t>
  </si>
  <si>
    <t>TERMINAL DE CONTROL DE ACCESO VISIBLE LIGHT 2,4" LCD 500ROSTROS 3000HUELLAS 3000TARJETAS MIFARE IP65 EXTERIOR</t>
  </si>
  <si>
    <t>SENSEFACE4A-ID-FPWIFI</t>
  </si>
  <si>
    <t>DISPOSITIVO CONTROL DE ACCESO SENSE FACE SERIES 6000 ROSTROS, 8000 HUELLAS, 8000 ID 125KHZ, 200000 EVENTOS, ETHERNET, WIFI, USB, IP65 EXTERIOR, ONVIF, PROTOCOLO SIP VIDEOINTERCOM, INCLUYE FUENTE</t>
  </si>
  <si>
    <t>SENSEFACE7A-ID-FPWIFI</t>
  </si>
  <si>
    <t>DISPOSITIVO CONTROL DE ACCESO SENSE FACE SERIES, 10000 ROSTROS, 10000 HUELLAS, 50000 ID 125KHZ, 300000 EVENTOS, ETHERNET, WIFI, USB, IP65 EXTERIOR, ONVIF, PROTOCOLO SIP VIDEOINTERCOM, INCLUYE FUENTE</t>
  </si>
  <si>
    <t>BOOM-BGM-160</t>
  </si>
  <si>
    <t>BRAZO DE REPUESTO 6M SIN LED PARA BARRERA BG Y BGM</t>
  </si>
  <si>
    <t>FUENTE DE ALIMENTACION ENTRADA 110-240V CA SALIDA 13.8V 5A</t>
  </si>
  <si>
    <t>ZKBT-DEV-P2-E5-1Y</t>
  </si>
  <si>
    <t xml:space="preserve"> ** Existencia Única **
LICENCIA BIOTIME COLOMBIA HASTA 2 DISPOSITIVOS 50 EMPLEADOS Y 5 APP POR 1 AÑO</t>
  </si>
  <si>
    <t>F7-C</t>
  </si>
  <si>
    <t>TERMINAL DE CONTROL DE ACCESO HUELLA Y TARJETA</t>
  </si>
  <si>
    <t xml:space="preserve">	KR503ERS</t>
  </si>
  <si>
    <t>LECTORA DE TARJERA RFID 125KHZ</t>
  </si>
  <si>
    <t xml:space="preserve">	QR600-H</t>
  </si>
  <si>
    <t>LECTOR TECLADO RFIS 125KHZ-QR</t>
  </si>
  <si>
    <t xml:space="preserve">
LICENCIA ZKBIOSECURITY CONTROL DE ACCESO HASTA 25 PUERTAS MAX. 4000 PERSONAS 500 AREAS</t>
  </si>
  <si>
    <t>C2-260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</si>
</sst>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</cellStyleXfs>
  <cellXfs count="41">
    <xf numFmtId="0" fontId="0" fillId="0" borderId="0" xfId="0"/>
    <xf numFmtId="0" fontId="2" fillId="0" borderId="0" xfId="2"/>
    <xf numFmtId="164" fontId="0" fillId="0" borderId="0" xfId="3" applyNumberFormat="1" applyFont="1" applyFill="1"/>
    <xf numFmtId="1" fontId="3" fillId="0" borderId="0" xfId="2" applyNumberFormat="1" applyFont="1" applyAlignment="1">
      <alignment wrapText="1"/>
    </xf>
    <xf numFmtId="164" fontId="3" fillId="0" borderId="0" xfId="3" applyNumberFormat="1" applyFont="1" applyFill="1" applyAlignment="1">
      <alignment wrapText="1"/>
    </xf>
    <xf numFmtId="164" fontId="2" fillId="0" borderId="0" xfId="1" applyNumberFormat="1" applyFont="1" applyAlignment="1">
      <alignment horizontal="right" wrapText="1"/>
    </xf>
    <xf numFmtId="0" fontId="2" fillId="0" borderId="0" xfId="2" applyAlignment="1">
      <alignment wrapText="1"/>
    </xf>
    <xf numFmtId="164" fontId="0" fillId="0" borderId="1" xfId="1" applyNumberFormat="1" applyFont="1" applyFill="1" applyBorder="1" applyAlignment="1">
      <alignment vertical="center"/>
    </xf>
    <xf numFmtId="1" fontId="3" fillId="0" borderId="2" xfId="2" applyNumberFormat="1" applyFont="1" applyBorder="1" applyAlignment="1">
      <alignment vertical="center"/>
    </xf>
    <xf numFmtId="164" fontId="3" fillId="0" borderId="2" xfId="1" applyNumberFormat="1" applyFont="1" applyFill="1" applyBorder="1" applyAlignment="1">
      <alignment vertical="center"/>
    </xf>
    <xf numFmtId="164" fontId="2" fillId="0" borderId="2" xfId="1" applyNumberFormat="1" applyFont="1" applyFill="1" applyBorder="1" applyAlignment="1">
      <alignment horizontal="right" vertical="center" wrapText="1"/>
    </xf>
    <xf numFmtId="0" fontId="2" fillId="0" borderId="2" xfId="2" applyBorder="1" applyAlignment="1">
      <alignment vertical="center" wrapText="1"/>
    </xf>
    <xf numFmtId="164" fontId="0" fillId="0" borderId="3" xfId="3" applyNumberFormat="1" applyFont="1" applyFill="1" applyBorder="1" applyAlignment="1">
      <alignment vertical="center"/>
    </xf>
    <xf numFmtId="1" fontId="2" fillId="0" borderId="4" xfId="2" applyNumberFormat="1" applyBorder="1" applyAlignment="1">
      <alignment vertical="center"/>
    </xf>
    <xf numFmtId="164" fontId="0" fillId="0" borderId="4" xfId="3" applyNumberFormat="1" applyFont="1" applyFill="1" applyBorder="1" applyAlignment="1">
      <alignment vertical="center"/>
    </xf>
    <xf numFmtId="2" fontId="2" fillId="0" borderId="4" xfId="2" applyNumberFormat="1" applyBorder="1" applyAlignment="1">
      <alignment vertical="center"/>
    </xf>
    <xf numFmtId="164" fontId="2" fillId="0" borderId="4" xfId="1" applyNumberFormat="1" applyFont="1" applyBorder="1" applyAlignment="1">
      <alignment horizontal="right" vertical="center" wrapText="1"/>
    </xf>
    <xf numFmtId="0" fontId="2" fillId="0" borderId="4" xfId="2" applyBorder="1" applyAlignment="1">
      <alignment vertical="center" wrapText="1"/>
    </xf>
    <xf numFmtId="0" fontId="2" fillId="0" borderId="4" xfId="2" applyBorder="1"/>
    <xf numFmtId="164" fontId="4" fillId="0" borderId="3" xfId="3" applyNumberFormat="1" applyFont="1" applyFill="1" applyBorder="1" applyAlignment="1">
      <alignment vertical="center"/>
    </xf>
    <xf numFmtId="1" fontId="3" fillId="0" borderId="4" xfId="2" applyNumberFormat="1" applyFont="1" applyBorder="1" applyAlignment="1">
      <alignment vertical="center"/>
    </xf>
    <xf numFmtId="164" fontId="3" fillId="0" borderId="4" xfId="3" applyNumberFormat="1" applyFont="1" applyFill="1" applyBorder="1" applyAlignment="1">
      <alignment vertical="center"/>
    </xf>
    <xf numFmtId="164" fontId="2" fillId="0" borderId="4" xfId="1" applyNumberFormat="1" applyFont="1" applyBorder="1" applyAlignment="1">
      <alignment horizontal="right" vertical="top" wrapText="1"/>
    </xf>
    <xf numFmtId="0" fontId="2" fillId="0" borderId="4" xfId="2" applyBorder="1" applyAlignment="1">
      <alignment horizontal="left" vertical="top" wrapText="1"/>
    </xf>
    <xf numFmtId="164" fontId="0" fillId="0" borderId="5" xfId="3" applyNumberFormat="1" applyFont="1" applyFill="1" applyBorder="1" applyAlignment="1">
      <alignment vertical="center"/>
    </xf>
    <xf numFmtId="1" fontId="2" fillId="0" borderId="6" xfId="2" applyNumberFormat="1" applyBorder="1" applyAlignment="1">
      <alignment vertical="center"/>
    </xf>
    <xf numFmtId="164" fontId="0" fillId="0" borderId="6" xfId="3" applyNumberFormat="1" applyFont="1" applyFill="1" applyBorder="1" applyAlignment="1">
      <alignment vertical="center"/>
    </xf>
    <xf numFmtId="164" fontId="2" fillId="0" borderId="6" xfId="1" applyNumberFormat="1" applyFont="1" applyBorder="1" applyAlignment="1">
      <alignment horizontal="center" vertical="center" wrapText="1"/>
    </xf>
    <xf numFmtId="164" fontId="5" fillId="0" borderId="6" xfId="1" applyNumberFormat="1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/>
    </xf>
    <xf numFmtId="164" fontId="3" fillId="0" borderId="4" xfId="1" applyNumberFormat="1" applyFont="1" applyFill="1" applyBorder="1" applyAlignment="1">
      <alignment vertical="center"/>
    </xf>
    <xf numFmtId="164" fontId="0" fillId="0" borderId="3" xfId="1" applyNumberFormat="1" applyFont="1" applyFill="1" applyBorder="1" applyAlignment="1">
      <alignment vertical="center"/>
    </xf>
    <xf numFmtId="2" fontId="2" fillId="2" borderId="4" xfId="2" applyNumberFormat="1" applyFill="1" applyBorder="1" applyAlignment="1">
      <alignment vertical="center"/>
    </xf>
    <xf numFmtId="0" fontId="6" fillId="0" borderId="4" xfId="2" applyFont="1" applyBorder="1"/>
    <xf numFmtId="2" fontId="3" fillId="0" borderId="4" xfId="2" applyNumberFormat="1" applyFont="1" applyBorder="1" applyAlignment="1">
      <alignment vertical="center"/>
    </xf>
    <xf numFmtId="2" fontId="3" fillId="2" borderId="4" xfId="2" applyNumberFormat="1" applyFont="1" applyFill="1" applyBorder="1" applyAlignment="1">
      <alignment vertical="center"/>
    </xf>
    <xf numFmtId="2" fontId="2" fillId="0" borderId="6" xfId="2" applyNumberFormat="1" applyBorder="1" applyAlignment="1">
      <alignment vertical="center"/>
    </xf>
    <xf numFmtId="2" fontId="3" fillId="0" borderId="0" xfId="2" applyNumberFormat="1" applyFont="1" applyAlignment="1">
      <alignment wrapText="1"/>
    </xf>
    <xf numFmtId="2" fontId="3" fillId="2" borderId="2" xfId="2" applyNumberFormat="1" applyFont="1" applyFill="1" applyBorder="1" applyAlignment="1">
      <alignment vertical="center"/>
    </xf>
    <xf numFmtId="2" fontId="0" fillId="2" borderId="0" xfId="0" applyNumberFormat="1" applyFill="1"/>
  </cellXfs>
  <cellStyles count="5">
    <cellStyle name="Moneda" xfId="1" builtinId="4"/>
    <cellStyle name="Moneda 2" xfId="3" xr:uid="{2CEEFFB6-A4F1-4C6D-944F-148BDC6C049B}"/>
    <cellStyle name="Normal" xfId="0" builtinId="0"/>
    <cellStyle name="Normal 2" xfId="2" xr:uid="{DB972AAF-A3DB-4E57-842E-B17727FA31C5}"/>
    <cellStyle name="Normal 3" xfId="4" xr:uid="{1683E62B-6F6D-4527-92DF-4696EE64991B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-&quot;$&quot;\ * #,##0_-;\-&quot;$&quot;\ * #,##0_-;_-&quot;$&quot;\ * &quot;-&quot;??_-;_-@_-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&quot;$&quot;\ * #,##0_-;\-&quot;$&quot;\ * #,##0_-;_-&quot;$&quot;\ * &quot;-&quot;??_-;_-@_-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FF0000"/>
      </font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jpe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26" Type="http://schemas.openxmlformats.org/officeDocument/2006/relationships/image" Target="../media/image226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16" Type="http://schemas.openxmlformats.org/officeDocument/2006/relationships/image" Target="../media/image216.png"/><Relationship Id="rId237" Type="http://schemas.openxmlformats.org/officeDocument/2006/relationships/image" Target="../media/image237.jpe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27" Type="http://schemas.openxmlformats.org/officeDocument/2006/relationships/image" Target="../media/image227.png"/><Relationship Id="rId248" Type="http://schemas.openxmlformats.org/officeDocument/2006/relationships/image" Target="../media/image248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45" Type="http://schemas.openxmlformats.org/officeDocument/2006/relationships/image" Target="../media/image145.png"/><Relationship Id="rId161" Type="http://schemas.openxmlformats.org/officeDocument/2006/relationships/image" Target="../media/image161.png"/><Relationship Id="rId166" Type="http://schemas.openxmlformats.org/officeDocument/2006/relationships/image" Target="../media/image166.png"/><Relationship Id="rId182" Type="http://schemas.openxmlformats.org/officeDocument/2006/relationships/image" Target="../media/image182.png"/><Relationship Id="rId187" Type="http://schemas.openxmlformats.org/officeDocument/2006/relationships/image" Target="../media/image187.png"/><Relationship Id="rId217" Type="http://schemas.openxmlformats.org/officeDocument/2006/relationships/image" Target="../media/image21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38" Type="http://schemas.openxmlformats.org/officeDocument/2006/relationships/image" Target="../media/image238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51" Type="http://schemas.openxmlformats.org/officeDocument/2006/relationships/image" Target="../media/image151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2" Type="http://schemas.openxmlformats.org/officeDocument/2006/relationships/image" Target="../media/image202.png"/><Relationship Id="rId207" Type="http://schemas.openxmlformats.org/officeDocument/2006/relationships/image" Target="../media/image207.png"/><Relationship Id="rId223" Type="http://schemas.openxmlformats.org/officeDocument/2006/relationships/image" Target="../media/image223.png"/><Relationship Id="rId228" Type="http://schemas.openxmlformats.org/officeDocument/2006/relationships/image" Target="../media/image228.png"/><Relationship Id="rId244" Type="http://schemas.openxmlformats.org/officeDocument/2006/relationships/image" Target="../media/image244.pn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13" Type="http://schemas.openxmlformats.org/officeDocument/2006/relationships/image" Target="../media/image213.png"/><Relationship Id="rId218" Type="http://schemas.openxmlformats.org/officeDocument/2006/relationships/image" Target="../media/image218.png"/><Relationship Id="rId234" Type="http://schemas.openxmlformats.org/officeDocument/2006/relationships/image" Target="../media/image234.jpeg"/><Relationship Id="rId239" Type="http://schemas.openxmlformats.org/officeDocument/2006/relationships/image" Target="../media/image239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0" Type="http://schemas.openxmlformats.org/officeDocument/2006/relationships/image" Target="../media/image250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208" Type="http://schemas.openxmlformats.org/officeDocument/2006/relationships/image" Target="../media/image208.png"/><Relationship Id="rId229" Type="http://schemas.openxmlformats.org/officeDocument/2006/relationships/image" Target="../media/image229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0" Type="http://schemas.openxmlformats.org/officeDocument/2006/relationships/image" Target="../media/image240.png"/><Relationship Id="rId245" Type="http://schemas.openxmlformats.org/officeDocument/2006/relationships/image" Target="../media/image245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189" Type="http://schemas.openxmlformats.org/officeDocument/2006/relationships/image" Target="../media/image189.png"/><Relationship Id="rId219" Type="http://schemas.openxmlformats.org/officeDocument/2006/relationships/image" Target="../media/image21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0" Type="http://schemas.openxmlformats.org/officeDocument/2006/relationships/image" Target="../media/image230.png"/><Relationship Id="rId235" Type="http://schemas.openxmlformats.org/officeDocument/2006/relationships/image" Target="../media/image235.png"/><Relationship Id="rId251" Type="http://schemas.openxmlformats.org/officeDocument/2006/relationships/image" Target="../media/image251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0" Type="http://schemas.openxmlformats.org/officeDocument/2006/relationships/image" Target="../media/image220.png"/><Relationship Id="rId225" Type="http://schemas.openxmlformats.org/officeDocument/2006/relationships/image" Target="../media/image225.png"/><Relationship Id="rId241" Type="http://schemas.openxmlformats.org/officeDocument/2006/relationships/image" Target="../media/image241.png"/><Relationship Id="rId246" Type="http://schemas.openxmlformats.org/officeDocument/2006/relationships/image" Target="../media/image246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jpe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10" Type="http://schemas.openxmlformats.org/officeDocument/2006/relationships/image" Target="../media/image21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0</xdr:rowOff>
    </xdr:from>
    <xdr:to>
      <xdr:col>0</xdr:col>
      <xdr:colOff>19050</xdr:colOff>
      <xdr:row>32</xdr:row>
      <xdr:rowOff>9525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9844B8F5-A90C-4647-AD5B-AC6ADF56A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19050</xdr:colOff>
      <xdr:row>30</xdr:row>
      <xdr:rowOff>9525</xdr:rowOff>
    </xdr:to>
    <xdr:pic>
      <xdr:nvPicPr>
        <xdr:cNvPr id="3" name="Picture 8">
          <a:extLst>
            <a:ext uri="{FF2B5EF4-FFF2-40B4-BE49-F238E27FC236}">
              <a16:creationId xmlns:a16="http://schemas.microsoft.com/office/drawing/2014/main" id="{D0169C5D-F18B-4C6C-98E8-5AB663F20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19050</xdr:colOff>
      <xdr:row>29</xdr:row>
      <xdr:rowOff>19050</xdr:rowOff>
    </xdr:to>
    <xdr:pic>
      <xdr:nvPicPr>
        <xdr:cNvPr id="5" name="Picture 18">
          <a:extLst>
            <a:ext uri="{FF2B5EF4-FFF2-40B4-BE49-F238E27FC236}">
              <a16:creationId xmlns:a16="http://schemas.microsoft.com/office/drawing/2014/main" id="{94313F58-4F8C-4074-8ABD-4153BAF20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19050</xdr:colOff>
      <xdr:row>8</xdr:row>
      <xdr:rowOff>0</xdr:rowOff>
    </xdr:to>
    <xdr:pic>
      <xdr:nvPicPr>
        <xdr:cNvPr id="6" name="Picture 19">
          <a:extLst>
            <a:ext uri="{FF2B5EF4-FFF2-40B4-BE49-F238E27FC236}">
              <a16:creationId xmlns:a16="http://schemas.microsoft.com/office/drawing/2014/main" id="{BEDF820E-87FB-426F-ABD6-4777E407B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19050</xdr:colOff>
      <xdr:row>27</xdr:row>
      <xdr:rowOff>9525</xdr:rowOff>
    </xdr:to>
    <xdr:pic>
      <xdr:nvPicPr>
        <xdr:cNvPr id="7" name="Picture 52">
          <a:extLst>
            <a:ext uri="{FF2B5EF4-FFF2-40B4-BE49-F238E27FC236}">
              <a16:creationId xmlns:a16="http://schemas.microsoft.com/office/drawing/2014/main" id="{642BE9EF-910B-4D68-BDC3-7D57C27F3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19050</xdr:colOff>
      <xdr:row>46</xdr:row>
      <xdr:rowOff>9525</xdr:rowOff>
    </xdr:to>
    <xdr:pic>
      <xdr:nvPicPr>
        <xdr:cNvPr id="8" name="Picture 67">
          <a:extLst>
            <a:ext uri="{FF2B5EF4-FFF2-40B4-BE49-F238E27FC236}">
              <a16:creationId xmlns:a16="http://schemas.microsoft.com/office/drawing/2014/main" id="{1398899A-E061-4637-96B9-2CE5CD7E7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65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19050</xdr:colOff>
      <xdr:row>9</xdr:row>
      <xdr:rowOff>0</xdr:rowOff>
    </xdr:to>
    <xdr:pic>
      <xdr:nvPicPr>
        <xdr:cNvPr id="11" name="Picture 74">
          <a:extLst>
            <a:ext uri="{FF2B5EF4-FFF2-40B4-BE49-F238E27FC236}">
              <a16:creationId xmlns:a16="http://schemas.microsoft.com/office/drawing/2014/main" id="{417AB014-4CA7-4C9C-A89B-089599115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19050</xdr:colOff>
      <xdr:row>36</xdr:row>
      <xdr:rowOff>9525</xdr:rowOff>
    </xdr:to>
    <xdr:pic>
      <xdr:nvPicPr>
        <xdr:cNvPr id="12" name="Picture 77">
          <a:extLst>
            <a:ext uri="{FF2B5EF4-FFF2-40B4-BE49-F238E27FC236}">
              <a16:creationId xmlns:a16="http://schemas.microsoft.com/office/drawing/2014/main" id="{2E27781F-DEED-4F94-988F-BB4D3FA78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15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19050</xdr:colOff>
      <xdr:row>10</xdr:row>
      <xdr:rowOff>0</xdr:rowOff>
    </xdr:to>
    <xdr:pic>
      <xdr:nvPicPr>
        <xdr:cNvPr id="13" name="Picture 82">
          <a:extLst>
            <a:ext uri="{FF2B5EF4-FFF2-40B4-BE49-F238E27FC236}">
              <a16:creationId xmlns:a16="http://schemas.microsoft.com/office/drawing/2014/main" id="{78FB3A8E-4C33-4721-87A4-A0B3BF6D1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19050</xdr:colOff>
      <xdr:row>54</xdr:row>
      <xdr:rowOff>9525</xdr:rowOff>
    </xdr:to>
    <xdr:pic>
      <xdr:nvPicPr>
        <xdr:cNvPr id="14" name="Picture 84">
          <a:extLst>
            <a:ext uri="{FF2B5EF4-FFF2-40B4-BE49-F238E27FC236}">
              <a16:creationId xmlns:a16="http://schemas.microsoft.com/office/drawing/2014/main" id="{6CC80161-6300-45B5-ACE1-D0558F37E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110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19050</xdr:colOff>
      <xdr:row>40</xdr:row>
      <xdr:rowOff>19050</xdr:rowOff>
    </xdr:to>
    <xdr:pic>
      <xdr:nvPicPr>
        <xdr:cNvPr id="15" name="Picture 90">
          <a:extLst>
            <a:ext uri="{FF2B5EF4-FFF2-40B4-BE49-F238E27FC236}">
              <a16:creationId xmlns:a16="http://schemas.microsoft.com/office/drawing/2014/main" id="{154E659D-0F04-447D-A01E-9ADC643FB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3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19050</xdr:colOff>
      <xdr:row>34</xdr:row>
      <xdr:rowOff>9525</xdr:rowOff>
    </xdr:to>
    <xdr:pic>
      <xdr:nvPicPr>
        <xdr:cNvPr id="16" name="Picture 94">
          <a:extLst>
            <a:ext uri="{FF2B5EF4-FFF2-40B4-BE49-F238E27FC236}">
              <a16:creationId xmlns:a16="http://schemas.microsoft.com/office/drawing/2014/main" id="{62F7748F-C915-49B1-8022-9CB765EF4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19050</xdr:colOff>
      <xdr:row>11</xdr:row>
      <xdr:rowOff>0</xdr:rowOff>
    </xdr:to>
    <xdr:pic>
      <xdr:nvPicPr>
        <xdr:cNvPr id="17" name="Picture 95">
          <a:extLst>
            <a:ext uri="{FF2B5EF4-FFF2-40B4-BE49-F238E27FC236}">
              <a16:creationId xmlns:a16="http://schemas.microsoft.com/office/drawing/2014/main" id="{0B2E65E4-5BFD-4A44-92B6-C42565116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19050</xdr:colOff>
      <xdr:row>43</xdr:row>
      <xdr:rowOff>19050</xdr:rowOff>
    </xdr:to>
    <xdr:pic>
      <xdr:nvPicPr>
        <xdr:cNvPr id="18" name="Picture 99">
          <a:extLst>
            <a:ext uri="{FF2B5EF4-FFF2-40B4-BE49-F238E27FC236}">
              <a16:creationId xmlns:a16="http://schemas.microsoft.com/office/drawing/2014/main" id="{92129B56-86C2-4D79-B587-ACC9272E4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19050</xdr:colOff>
      <xdr:row>41</xdr:row>
      <xdr:rowOff>9525</xdr:rowOff>
    </xdr:to>
    <xdr:pic>
      <xdr:nvPicPr>
        <xdr:cNvPr id="19" name="Picture 102">
          <a:extLst>
            <a:ext uri="{FF2B5EF4-FFF2-40B4-BE49-F238E27FC236}">
              <a16:creationId xmlns:a16="http://schemas.microsoft.com/office/drawing/2014/main" id="{20AAF8F3-74B2-468B-94A2-55785DEF3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19050</xdr:colOff>
      <xdr:row>38</xdr:row>
      <xdr:rowOff>19050</xdr:rowOff>
    </xdr:to>
    <xdr:pic>
      <xdr:nvPicPr>
        <xdr:cNvPr id="20" name="Picture 105">
          <a:extLst>
            <a:ext uri="{FF2B5EF4-FFF2-40B4-BE49-F238E27FC236}">
              <a16:creationId xmlns:a16="http://schemas.microsoft.com/office/drawing/2014/main" id="{9EB91294-DAA6-4CF4-8A30-368D713E9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19050</xdr:colOff>
      <xdr:row>12</xdr:row>
      <xdr:rowOff>0</xdr:rowOff>
    </xdr:to>
    <xdr:pic>
      <xdr:nvPicPr>
        <xdr:cNvPr id="21" name="Picture 106">
          <a:extLst>
            <a:ext uri="{FF2B5EF4-FFF2-40B4-BE49-F238E27FC236}">
              <a16:creationId xmlns:a16="http://schemas.microsoft.com/office/drawing/2014/main" id="{ED90429E-41F3-4731-BA08-92042045D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19050</xdr:colOff>
      <xdr:row>13</xdr:row>
      <xdr:rowOff>0</xdr:rowOff>
    </xdr:to>
    <xdr:pic>
      <xdr:nvPicPr>
        <xdr:cNvPr id="22" name="Picture 107">
          <a:extLst>
            <a:ext uri="{FF2B5EF4-FFF2-40B4-BE49-F238E27FC236}">
              <a16:creationId xmlns:a16="http://schemas.microsoft.com/office/drawing/2014/main" id="{73563CAB-EEEC-4B07-900F-66285EAC9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19050</xdr:colOff>
      <xdr:row>33</xdr:row>
      <xdr:rowOff>9525</xdr:rowOff>
    </xdr:to>
    <xdr:pic>
      <xdr:nvPicPr>
        <xdr:cNvPr id="23" name="Picture 109">
          <a:extLst>
            <a:ext uri="{FF2B5EF4-FFF2-40B4-BE49-F238E27FC236}">
              <a16:creationId xmlns:a16="http://schemas.microsoft.com/office/drawing/2014/main" id="{185C06B8-2C1E-4D25-8CF0-EF1372EE2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13</xdr:row>
      <xdr:rowOff>161925</xdr:rowOff>
    </xdr:from>
    <xdr:to>
      <xdr:col>0</xdr:col>
      <xdr:colOff>19050</xdr:colOff>
      <xdr:row>14</xdr:row>
      <xdr:rowOff>0</xdr:rowOff>
    </xdr:to>
    <xdr:pic>
      <xdr:nvPicPr>
        <xdr:cNvPr id="24" name="Picture 110">
          <a:extLst>
            <a:ext uri="{FF2B5EF4-FFF2-40B4-BE49-F238E27FC236}">
              <a16:creationId xmlns:a16="http://schemas.microsoft.com/office/drawing/2014/main" id="{1D8C5047-1C74-4183-98C6-C63802714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38425"/>
          <a:ext cx="19050" cy="285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19050</xdr:colOff>
      <xdr:row>15</xdr:row>
      <xdr:rowOff>0</xdr:rowOff>
    </xdr:to>
    <xdr:pic>
      <xdr:nvPicPr>
        <xdr:cNvPr id="25" name="Picture 112">
          <a:extLst>
            <a:ext uri="{FF2B5EF4-FFF2-40B4-BE49-F238E27FC236}">
              <a16:creationId xmlns:a16="http://schemas.microsoft.com/office/drawing/2014/main" id="{B4D58A92-7716-40EE-9AF0-BD31077FB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19050</xdr:colOff>
      <xdr:row>17</xdr:row>
      <xdr:rowOff>0</xdr:rowOff>
    </xdr:to>
    <xdr:pic>
      <xdr:nvPicPr>
        <xdr:cNvPr id="26" name="Picture 115">
          <a:extLst>
            <a:ext uri="{FF2B5EF4-FFF2-40B4-BE49-F238E27FC236}">
              <a16:creationId xmlns:a16="http://schemas.microsoft.com/office/drawing/2014/main" id="{AF6EDF83-AFBD-4AFE-9154-08A6B347B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19050</xdr:colOff>
      <xdr:row>18</xdr:row>
      <xdr:rowOff>0</xdr:rowOff>
    </xdr:to>
    <xdr:pic>
      <xdr:nvPicPr>
        <xdr:cNvPr id="27" name="Picture 116">
          <a:extLst>
            <a:ext uri="{FF2B5EF4-FFF2-40B4-BE49-F238E27FC236}">
              <a16:creationId xmlns:a16="http://schemas.microsoft.com/office/drawing/2014/main" id="{53D800B5-F839-4459-AFF1-939347BA9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18</xdr:row>
      <xdr:rowOff>161925</xdr:rowOff>
    </xdr:from>
    <xdr:to>
      <xdr:col>0</xdr:col>
      <xdr:colOff>19050</xdr:colOff>
      <xdr:row>19</xdr:row>
      <xdr:rowOff>0</xdr:rowOff>
    </xdr:to>
    <xdr:pic>
      <xdr:nvPicPr>
        <xdr:cNvPr id="30" name="Picture 125">
          <a:extLst>
            <a:ext uri="{FF2B5EF4-FFF2-40B4-BE49-F238E27FC236}">
              <a16:creationId xmlns:a16="http://schemas.microsoft.com/office/drawing/2014/main" id="{DCEA2AB1-A55F-4804-BCA7-B6DFEE238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71925"/>
          <a:ext cx="19050" cy="285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19050</xdr:colOff>
      <xdr:row>21</xdr:row>
      <xdr:rowOff>0</xdr:rowOff>
    </xdr:to>
    <xdr:pic>
      <xdr:nvPicPr>
        <xdr:cNvPr id="31" name="Picture 138">
          <a:extLst>
            <a:ext uri="{FF2B5EF4-FFF2-40B4-BE49-F238E27FC236}">
              <a16:creationId xmlns:a16="http://schemas.microsoft.com/office/drawing/2014/main" id="{8CBFD950-E1C4-45AC-8ABB-3A09C0E6C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19050</xdr:colOff>
      <xdr:row>22</xdr:row>
      <xdr:rowOff>0</xdr:rowOff>
    </xdr:to>
    <xdr:pic>
      <xdr:nvPicPr>
        <xdr:cNvPr id="32" name="Picture 141">
          <a:extLst>
            <a:ext uri="{FF2B5EF4-FFF2-40B4-BE49-F238E27FC236}">
              <a16:creationId xmlns:a16="http://schemas.microsoft.com/office/drawing/2014/main" id="{B8A479DE-0657-4434-AA5B-7B3941112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19050</xdr:colOff>
      <xdr:row>48</xdr:row>
      <xdr:rowOff>19050</xdr:rowOff>
    </xdr:to>
    <xdr:pic>
      <xdr:nvPicPr>
        <xdr:cNvPr id="33" name="Picture 145">
          <a:extLst>
            <a:ext uri="{FF2B5EF4-FFF2-40B4-BE49-F238E27FC236}">
              <a16:creationId xmlns:a16="http://schemas.microsoft.com/office/drawing/2014/main" id="{0B4C05AC-27DB-4781-90BD-A89CC7B47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8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19050</xdr:colOff>
      <xdr:row>23</xdr:row>
      <xdr:rowOff>0</xdr:rowOff>
    </xdr:to>
    <xdr:pic>
      <xdr:nvPicPr>
        <xdr:cNvPr id="34" name="Picture 146">
          <a:extLst>
            <a:ext uri="{FF2B5EF4-FFF2-40B4-BE49-F238E27FC236}">
              <a16:creationId xmlns:a16="http://schemas.microsoft.com/office/drawing/2014/main" id="{624F80D3-DC1A-431D-90EC-DFDCECDA0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19050</xdr:colOff>
      <xdr:row>24</xdr:row>
      <xdr:rowOff>0</xdr:rowOff>
    </xdr:to>
    <xdr:pic>
      <xdr:nvPicPr>
        <xdr:cNvPr id="36" name="Picture 156">
          <a:extLst>
            <a:ext uri="{FF2B5EF4-FFF2-40B4-BE49-F238E27FC236}">
              <a16:creationId xmlns:a16="http://schemas.microsoft.com/office/drawing/2014/main" id="{65050806-37D1-44C1-8009-867DA429D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19050</xdr:colOff>
      <xdr:row>25</xdr:row>
      <xdr:rowOff>0</xdr:rowOff>
    </xdr:to>
    <xdr:pic>
      <xdr:nvPicPr>
        <xdr:cNvPr id="38" name="Picture 168">
          <a:extLst>
            <a:ext uri="{FF2B5EF4-FFF2-40B4-BE49-F238E27FC236}">
              <a16:creationId xmlns:a16="http://schemas.microsoft.com/office/drawing/2014/main" id="{76D2A971-909D-4EF6-B434-ADDA7CAC4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19050</xdr:colOff>
      <xdr:row>26</xdr:row>
      <xdr:rowOff>0</xdr:rowOff>
    </xdr:to>
    <xdr:pic>
      <xdr:nvPicPr>
        <xdr:cNvPr id="39" name="Picture 170">
          <a:extLst>
            <a:ext uri="{FF2B5EF4-FFF2-40B4-BE49-F238E27FC236}">
              <a16:creationId xmlns:a16="http://schemas.microsoft.com/office/drawing/2014/main" id="{D2B22BF2-2CD7-470F-9CFE-230745DC7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19050</xdr:colOff>
      <xdr:row>27</xdr:row>
      <xdr:rowOff>0</xdr:rowOff>
    </xdr:to>
    <xdr:pic>
      <xdr:nvPicPr>
        <xdr:cNvPr id="40" name="Picture 173">
          <a:extLst>
            <a:ext uri="{FF2B5EF4-FFF2-40B4-BE49-F238E27FC236}">
              <a16:creationId xmlns:a16="http://schemas.microsoft.com/office/drawing/2014/main" id="{377AAE69-2A58-49C7-AD22-3F4138073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19050</xdr:colOff>
      <xdr:row>28</xdr:row>
      <xdr:rowOff>0</xdr:rowOff>
    </xdr:to>
    <xdr:pic>
      <xdr:nvPicPr>
        <xdr:cNvPr id="41" name="Picture 175">
          <a:extLst>
            <a:ext uri="{FF2B5EF4-FFF2-40B4-BE49-F238E27FC236}">
              <a16:creationId xmlns:a16="http://schemas.microsoft.com/office/drawing/2014/main" id="{A5FC2E45-C106-4082-B61B-0768D17DB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19050</xdr:colOff>
      <xdr:row>29</xdr:row>
      <xdr:rowOff>0</xdr:rowOff>
    </xdr:to>
    <xdr:pic>
      <xdr:nvPicPr>
        <xdr:cNvPr id="42" name="Picture 179">
          <a:extLst>
            <a:ext uri="{FF2B5EF4-FFF2-40B4-BE49-F238E27FC236}">
              <a16:creationId xmlns:a16="http://schemas.microsoft.com/office/drawing/2014/main" id="{191521CA-8A9A-4B58-A196-D61FA2551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19050</xdr:colOff>
      <xdr:row>30</xdr:row>
      <xdr:rowOff>0</xdr:rowOff>
    </xdr:to>
    <xdr:pic>
      <xdr:nvPicPr>
        <xdr:cNvPr id="43" name="Picture 181">
          <a:extLst>
            <a:ext uri="{FF2B5EF4-FFF2-40B4-BE49-F238E27FC236}">
              <a16:creationId xmlns:a16="http://schemas.microsoft.com/office/drawing/2014/main" id="{6381642F-022A-4B7A-809F-A7367E50A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19050</xdr:colOff>
      <xdr:row>44</xdr:row>
      <xdr:rowOff>19050</xdr:rowOff>
    </xdr:to>
    <xdr:pic>
      <xdr:nvPicPr>
        <xdr:cNvPr id="44" name="Picture 184">
          <a:extLst>
            <a:ext uri="{FF2B5EF4-FFF2-40B4-BE49-F238E27FC236}">
              <a16:creationId xmlns:a16="http://schemas.microsoft.com/office/drawing/2014/main" id="{64FD97E3-5674-4968-9F4C-1F75A546E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19050</xdr:colOff>
      <xdr:row>31</xdr:row>
      <xdr:rowOff>0</xdr:rowOff>
    </xdr:to>
    <xdr:pic>
      <xdr:nvPicPr>
        <xdr:cNvPr id="48" name="Picture 202">
          <a:extLst>
            <a:ext uri="{FF2B5EF4-FFF2-40B4-BE49-F238E27FC236}">
              <a16:creationId xmlns:a16="http://schemas.microsoft.com/office/drawing/2014/main" id="{C7071B4B-8D3A-4D01-8908-6207BA6C6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19050</xdr:colOff>
      <xdr:row>63</xdr:row>
      <xdr:rowOff>9525</xdr:rowOff>
    </xdr:to>
    <xdr:pic>
      <xdr:nvPicPr>
        <xdr:cNvPr id="49" name="Picture 206">
          <a:extLst>
            <a:ext uri="{FF2B5EF4-FFF2-40B4-BE49-F238E27FC236}">
              <a16:creationId xmlns:a16="http://schemas.microsoft.com/office/drawing/2014/main" id="{D8E9851F-5C31-41A0-8D30-34FC36057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60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19050</xdr:colOff>
      <xdr:row>33</xdr:row>
      <xdr:rowOff>0</xdr:rowOff>
    </xdr:to>
    <xdr:pic>
      <xdr:nvPicPr>
        <xdr:cNvPr id="50" name="Picture 207">
          <a:extLst>
            <a:ext uri="{FF2B5EF4-FFF2-40B4-BE49-F238E27FC236}">
              <a16:creationId xmlns:a16="http://schemas.microsoft.com/office/drawing/2014/main" id="{61A50006-3D25-4AC0-B1E2-D5299A5DC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19050</xdr:colOff>
      <xdr:row>34</xdr:row>
      <xdr:rowOff>0</xdr:rowOff>
    </xdr:to>
    <xdr:pic>
      <xdr:nvPicPr>
        <xdr:cNvPr id="51" name="Picture 210">
          <a:extLst>
            <a:ext uri="{FF2B5EF4-FFF2-40B4-BE49-F238E27FC236}">
              <a16:creationId xmlns:a16="http://schemas.microsoft.com/office/drawing/2014/main" id="{4DEF9AF3-8183-43D7-8885-DDC4C12A1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19050</xdr:colOff>
      <xdr:row>57</xdr:row>
      <xdr:rowOff>9525</xdr:rowOff>
    </xdr:to>
    <xdr:pic>
      <xdr:nvPicPr>
        <xdr:cNvPr id="52" name="Picture 211">
          <a:extLst>
            <a:ext uri="{FF2B5EF4-FFF2-40B4-BE49-F238E27FC236}">
              <a16:creationId xmlns:a16="http://schemas.microsoft.com/office/drawing/2014/main" id="{8A4A93D3-B462-48B2-BA0A-C43C48DDF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730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19050</xdr:colOff>
      <xdr:row>53</xdr:row>
      <xdr:rowOff>9525</xdr:rowOff>
    </xdr:to>
    <xdr:pic>
      <xdr:nvPicPr>
        <xdr:cNvPr id="53" name="Picture 212">
          <a:extLst>
            <a:ext uri="{FF2B5EF4-FFF2-40B4-BE49-F238E27FC236}">
              <a16:creationId xmlns:a16="http://schemas.microsoft.com/office/drawing/2014/main" id="{B4ECD3F3-17BD-4064-930F-0E3F14174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205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19050</xdr:colOff>
      <xdr:row>37</xdr:row>
      <xdr:rowOff>0</xdr:rowOff>
    </xdr:to>
    <xdr:pic>
      <xdr:nvPicPr>
        <xdr:cNvPr id="54" name="Picture 217">
          <a:extLst>
            <a:ext uri="{FF2B5EF4-FFF2-40B4-BE49-F238E27FC236}">
              <a16:creationId xmlns:a16="http://schemas.microsoft.com/office/drawing/2014/main" id="{161191A0-EE04-45E8-B8D3-122C08F08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1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19050</xdr:colOff>
      <xdr:row>38</xdr:row>
      <xdr:rowOff>0</xdr:rowOff>
    </xdr:to>
    <xdr:pic>
      <xdr:nvPicPr>
        <xdr:cNvPr id="55" name="Picture 218">
          <a:extLst>
            <a:ext uri="{FF2B5EF4-FFF2-40B4-BE49-F238E27FC236}">
              <a16:creationId xmlns:a16="http://schemas.microsoft.com/office/drawing/2014/main" id="{9CDE1A10-BA60-4ED6-9276-D229A3033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19050</xdr:colOff>
      <xdr:row>45</xdr:row>
      <xdr:rowOff>9525</xdr:rowOff>
    </xdr:to>
    <xdr:pic>
      <xdr:nvPicPr>
        <xdr:cNvPr id="56" name="Picture 221">
          <a:extLst>
            <a:ext uri="{FF2B5EF4-FFF2-40B4-BE49-F238E27FC236}">
              <a16:creationId xmlns:a16="http://schemas.microsoft.com/office/drawing/2014/main" id="{7C876970-F739-4F24-AF6C-9ED5646BF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19050</xdr:colOff>
      <xdr:row>42</xdr:row>
      <xdr:rowOff>0</xdr:rowOff>
    </xdr:to>
    <xdr:pic>
      <xdr:nvPicPr>
        <xdr:cNvPr id="57" name="Picture 225">
          <a:extLst>
            <a:ext uri="{FF2B5EF4-FFF2-40B4-BE49-F238E27FC236}">
              <a16:creationId xmlns:a16="http://schemas.microsoft.com/office/drawing/2014/main" id="{281826E9-D62E-48DF-B9A2-442E41BD2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19050</xdr:colOff>
      <xdr:row>31</xdr:row>
      <xdr:rowOff>9525</xdr:rowOff>
    </xdr:to>
    <xdr:pic>
      <xdr:nvPicPr>
        <xdr:cNvPr id="58" name="Picture 263">
          <a:extLst>
            <a:ext uri="{FF2B5EF4-FFF2-40B4-BE49-F238E27FC236}">
              <a16:creationId xmlns:a16="http://schemas.microsoft.com/office/drawing/2014/main" id="{AF369368-1A6E-4291-BFC1-978EDE699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19050</xdr:colOff>
      <xdr:row>45</xdr:row>
      <xdr:rowOff>0</xdr:rowOff>
    </xdr:to>
    <xdr:pic>
      <xdr:nvPicPr>
        <xdr:cNvPr id="59" name="Picture 264">
          <a:extLst>
            <a:ext uri="{FF2B5EF4-FFF2-40B4-BE49-F238E27FC236}">
              <a16:creationId xmlns:a16="http://schemas.microsoft.com/office/drawing/2014/main" id="{C584D10E-BE0B-40A7-87B9-8D40E7479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oneCellAnchor>
    <xdr:from>
      <xdr:col>0</xdr:col>
      <xdr:colOff>0</xdr:colOff>
      <xdr:row>18</xdr:row>
      <xdr:rowOff>0</xdr:rowOff>
    </xdr:from>
    <xdr:ext cx="571500" cy="388454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69ED5366-D316-4449-9B41-CF3FD370D50C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571500" cy="388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s-CO"/>
        </a:p>
      </xdr:txBody>
    </xdr:sp>
    <xdr:clientData/>
  </xdr:oneCellAnchor>
  <xdr:oneCellAnchor>
    <xdr:from>
      <xdr:col>0</xdr:col>
      <xdr:colOff>0</xdr:colOff>
      <xdr:row>18</xdr:row>
      <xdr:rowOff>0</xdr:rowOff>
    </xdr:from>
    <xdr:ext cx="571500" cy="388454"/>
    <xdr:sp macro="" textlink="">
      <xdr:nvSpPr>
        <xdr:cNvPr id="61" name="AutoShape 4">
          <a:extLst>
            <a:ext uri="{FF2B5EF4-FFF2-40B4-BE49-F238E27FC236}">
              <a16:creationId xmlns:a16="http://schemas.microsoft.com/office/drawing/2014/main" id="{EDD206CC-1F47-4F29-9FE2-3E638F66C293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571500" cy="3884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0</xdr:col>
      <xdr:colOff>0</xdr:colOff>
      <xdr:row>30</xdr:row>
      <xdr:rowOff>0</xdr:rowOff>
    </xdr:from>
    <xdr:to>
      <xdr:col>0</xdr:col>
      <xdr:colOff>19050</xdr:colOff>
      <xdr:row>30</xdr:row>
      <xdr:rowOff>9525</xdr:rowOff>
    </xdr:to>
    <xdr:pic>
      <xdr:nvPicPr>
        <xdr:cNvPr id="62" name="Picture 8">
          <a:extLst>
            <a:ext uri="{FF2B5EF4-FFF2-40B4-BE49-F238E27FC236}">
              <a16:creationId xmlns:a16="http://schemas.microsoft.com/office/drawing/2014/main" id="{620DC92E-B25E-425B-9DC3-A1068D0BE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19050</xdr:colOff>
      <xdr:row>29</xdr:row>
      <xdr:rowOff>19050</xdr:rowOff>
    </xdr:to>
    <xdr:pic>
      <xdr:nvPicPr>
        <xdr:cNvPr id="64" name="Picture 20">
          <a:extLst>
            <a:ext uri="{FF2B5EF4-FFF2-40B4-BE49-F238E27FC236}">
              <a16:creationId xmlns:a16="http://schemas.microsoft.com/office/drawing/2014/main" id="{3384C667-ED3B-46B4-9ECA-860742F06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19050</xdr:colOff>
      <xdr:row>8</xdr:row>
      <xdr:rowOff>0</xdr:rowOff>
    </xdr:to>
    <xdr:pic>
      <xdr:nvPicPr>
        <xdr:cNvPr id="65" name="Picture 21">
          <a:extLst>
            <a:ext uri="{FF2B5EF4-FFF2-40B4-BE49-F238E27FC236}">
              <a16:creationId xmlns:a16="http://schemas.microsoft.com/office/drawing/2014/main" id="{F468817C-31D4-4D33-B4EA-BF95D016C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19050</xdr:colOff>
      <xdr:row>27</xdr:row>
      <xdr:rowOff>19050</xdr:rowOff>
    </xdr:to>
    <xdr:pic>
      <xdr:nvPicPr>
        <xdr:cNvPr id="66" name="Picture 53">
          <a:extLst>
            <a:ext uri="{FF2B5EF4-FFF2-40B4-BE49-F238E27FC236}">
              <a16:creationId xmlns:a16="http://schemas.microsoft.com/office/drawing/2014/main" id="{4DCF5441-297B-41D6-B51A-608A1553F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19050</xdr:colOff>
      <xdr:row>26</xdr:row>
      <xdr:rowOff>19050</xdr:rowOff>
    </xdr:to>
    <xdr:pic>
      <xdr:nvPicPr>
        <xdr:cNvPr id="67" name="Picture 75">
          <a:extLst>
            <a:ext uri="{FF2B5EF4-FFF2-40B4-BE49-F238E27FC236}">
              <a16:creationId xmlns:a16="http://schemas.microsoft.com/office/drawing/2014/main" id="{2CF3320C-3F04-4DB5-B49F-B86962EF9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19050</xdr:colOff>
      <xdr:row>9</xdr:row>
      <xdr:rowOff>0</xdr:rowOff>
    </xdr:to>
    <xdr:pic>
      <xdr:nvPicPr>
        <xdr:cNvPr id="68" name="Picture 76">
          <a:extLst>
            <a:ext uri="{FF2B5EF4-FFF2-40B4-BE49-F238E27FC236}">
              <a16:creationId xmlns:a16="http://schemas.microsoft.com/office/drawing/2014/main" id="{5A7A1712-53AB-46F6-9985-E9ED58753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19050</xdr:colOff>
      <xdr:row>10</xdr:row>
      <xdr:rowOff>0</xdr:rowOff>
    </xdr:to>
    <xdr:pic>
      <xdr:nvPicPr>
        <xdr:cNvPr id="70" name="Picture 82">
          <a:extLst>
            <a:ext uri="{FF2B5EF4-FFF2-40B4-BE49-F238E27FC236}">
              <a16:creationId xmlns:a16="http://schemas.microsoft.com/office/drawing/2014/main" id="{F0E1DF9C-45D9-428A-9739-D1A772B3D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19050</xdr:colOff>
      <xdr:row>54</xdr:row>
      <xdr:rowOff>19050</xdr:rowOff>
    </xdr:to>
    <xdr:pic>
      <xdr:nvPicPr>
        <xdr:cNvPr id="71" name="Picture 84">
          <a:extLst>
            <a:ext uri="{FF2B5EF4-FFF2-40B4-BE49-F238E27FC236}">
              <a16:creationId xmlns:a16="http://schemas.microsoft.com/office/drawing/2014/main" id="{04F6DC26-417D-49E6-9273-4E44C3B92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11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19050</xdr:colOff>
      <xdr:row>39</xdr:row>
      <xdr:rowOff>19050</xdr:rowOff>
    </xdr:to>
    <xdr:pic>
      <xdr:nvPicPr>
        <xdr:cNvPr id="72" name="Picture 88">
          <a:extLst>
            <a:ext uri="{FF2B5EF4-FFF2-40B4-BE49-F238E27FC236}">
              <a16:creationId xmlns:a16="http://schemas.microsoft.com/office/drawing/2014/main" id="{60968A14-F283-4F82-BFF9-349029DA4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19050</xdr:colOff>
      <xdr:row>40</xdr:row>
      <xdr:rowOff>19050</xdr:rowOff>
    </xdr:to>
    <xdr:pic>
      <xdr:nvPicPr>
        <xdr:cNvPr id="73" name="Picture 90">
          <a:extLst>
            <a:ext uri="{FF2B5EF4-FFF2-40B4-BE49-F238E27FC236}">
              <a16:creationId xmlns:a16="http://schemas.microsoft.com/office/drawing/2014/main" id="{9C3CEEE2-5033-4126-B903-4AC693926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3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19050</xdr:colOff>
      <xdr:row>47</xdr:row>
      <xdr:rowOff>19050</xdr:rowOff>
    </xdr:to>
    <xdr:pic>
      <xdr:nvPicPr>
        <xdr:cNvPr id="74" name="Picture 95">
          <a:extLst>
            <a:ext uri="{FF2B5EF4-FFF2-40B4-BE49-F238E27FC236}">
              <a16:creationId xmlns:a16="http://schemas.microsoft.com/office/drawing/2014/main" id="{4736E00B-B17D-4DEB-B1C2-474DF52CF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87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19050</xdr:colOff>
      <xdr:row>11</xdr:row>
      <xdr:rowOff>0</xdr:rowOff>
    </xdr:to>
    <xdr:pic>
      <xdr:nvPicPr>
        <xdr:cNvPr id="75" name="Picture 96">
          <a:extLst>
            <a:ext uri="{FF2B5EF4-FFF2-40B4-BE49-F238E27FC236}">
              <a16:creationId xmlns:a16="http://schemas.microsoft.com/office/drawing/2014/main" id="{22AB94E7-F7E9-41A7-9C82-1219A51DB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19050</xdr:colOff>
      <xdr:row>43</xdr:row>
      <xdr:rowOff>19050</xdr:rowOff>
    </xdr:to>
    <xdr:pic>
      <xdr:nvPicPr>
        <xdr:cNvPr id="77" name="Picture 100">
          <a:extLst>
            <a:ext uri="{FF2B5EF4-FFF2-40B4-BE49-F238E27FC236}">
              <a16:creationId xmlns:a16="http://schemas.microsoft.com/office/drawing/2014/main" id="{B58F018C-0E87-4585-9109-0F03CC9D1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19050</xdr:colOff>
      <xdr:row>41</xdr:row>
      <xdr:rowOff>19050</xdr:rowOff>
    </xdr:to>
    <xdr:pic>
      <xdr:nvPicPr>
        <xdr:cNvPr id="78" name="Picture 102">
          <a:extLst>
            <a:ext uri="{FF2B5EF4-FFF2-40B4-BE49-F238E27FC236}">
              <a16:creationId xmlns:a16="http://schemas.microsoft.com/office/drawing/2014/main" id="{48AEF7C3-C266-4722-B412-87062A70B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19050</xdr:colOff>
      <xdr:row>12</xdr:row>
      <xdr:rowOff>0</xdr:rowOff>
    </xdr:to>
    <xdr:pic>
      <xdr:nvPicPr>
        <xdr:cNvPr id="79" name="Picture 106">
          <a:extLst>
            <a:ext uri="{FF2B5EF4-FFF2-40B4-BE49-F238E27FC236}">
              <a16:creationId xmlns:a16="http://schemas.microsoft.com/office/drawing/2014/main" id="{AAF01D69-4C34-4672-95FE-141BB2954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19050</xdr:colOff>
      <xdr:row>13</xdr:row>
      <xdr:rowOff>0</xdr:rowOff>
    </xdr:to>
    <xdr:pic>
      <xdr:nvPicPr>
        <xdr:cNvPr id="80" name="Picture 108">
          <a:extLst>
            <a:ext uri="{FF2B5EF4-FFF2-40B4-BE49-F238E27FC236}">
              <a16:creationId xmlns:a16="http://schemas.microsoft.com/office/drawing/2014/main" id="{B2A14CCB-2448-417F-97BE-313CE2FBA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19050</xdr:colOff>
      <xdr:row>33</xdr:row>
      <xdr:rowOff>9525</xdr:rowOff>
    </xdr:to>
    <xdr:pic>
      <xdr:nvPicPr>
        <xdr:cNvPr id="81" name="Picture 110">
          <a:extLst>
            <a:ext uri="{FF2B5EF4-FFF2-40B4-BE49-F238E27FC236}">
              <a16:creationId xmlns:a16="http://schemas.microsoft.com/office/drawing/2014/main" id="{E0F81910-4CA5-4F5B-B76A-3FBF6CD81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19050</xdr:colOff>
      <xdr:row>16</xdr:row>
      <xdr:rowOff>0</xdr:rowOff>
    </xdr:to>
    <xdr:pic>
      <xdr:nvPicPr>
        <xdr:cNvPr id="82" name="Picture 114">
          <a:extLst>
            <a:ext uri="{FF2B5EF4-FFF2-40B4-BE49-F238E27FC236}">
              <a16:creationId xmlns:a16="http://schemas.microsoft.com/office/drawing/2014/main" id="{59F04BA5-3B5C-4EE3-A1C5-844688802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16</xdr:row>
      <xdr:rowOff>161925</xdr:rowOff>
    </xdr:from>
    <xdr:to>
      <xdr:col>0</xdr:col>
      <xdr:colOff>19050</xdr:colOff>
      <xdr:row>17</xdr:row>
      <xdr:rowOff>9525</xdr:rowOff>
    </xdr:to>
    <xdr:pic>
      <xdr:nvPicPr>
        <xdr:cNvPr id="83" name="Picture 117">
          <a:extLst>
            <a:ext uri="{FF2B5EF4-FFF2-40B4-BE49-F238E27FC236}">
              <a16:creationId xmlns:a16="http://schemas.microsoft.com/office/drawing/2014/main" id="{2A81B9A2-86E8-4F3C-B308-C715F72F0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09925"/>
          <a:ext cx="19050" cy="38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19050</xdr:colOff>
      <xdr:row>19</xdr:row>
      <xdr:rowOff>0</xdr:rowOff>
    </xdr:to>
    <xdr:pic>
      <xdr:nvPicPr>
        <xdr:cNvPr id="85" name="Picture 125">
          <a:extLst>
            <a:ext uri="{FF2B5EF4-FFF2-40B4-BE49-F238E27FC236}">
              <a16:creationId xmlns:a16="http://schemas.microsoft.com/office/drawing/2014/main" id="{CC49DEA1-1017-4358-A88A-E67EF9379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19050</xdr:colOff>
      <xdr:row>20</xdr:row>
      <xdr:rowOff>0</xdr:rowOff>
    </xdr:to>
    <xdr:pic>
      <xdr:nvPicPr>
        <xdr:cNvPr id="86" name="Picture 135">
          <a:extLst>
            <a:ext uri="{FF2B5EF4-FFF2-40B4-BE49-F238E27FC236}">
              <a16:creationId xmlns:a16="http://schemas.microsoft.com/office/drawing/2014/main" id="{79434651-C48D-4A6A-A2FB-0C631DD3F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19050</xdr:colOff>
      <xdr:row>21</xdr:row>
      <xdr:rowOff>0</xdr:rowOff>
    </xdr:to>
    <xdr:pic>
      <xdr:nvPicPr>
        <xdr:cNvPr id="87" name="Picture 138">
          <a:extLst>
            <a:ext uri="{FF2B5EF4-FFF2-40B4-BE49-F238E27FC236}">
              <a16:creationId xmlns:a16="http://schemas.microsoft.com/office/drawing/2014/main" id="{DA6ACC26-CF2E-43BC-9CA8-3A6069E9F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19050</xdr:colOff>
      <xdr:row>22</xdr:row>
      <xdr:rowOff>0</xdr:rowOff>
    </xdr:to>
    <xdr:pic>
      <xdr:nvPicPr>
        <xdr:cNvPr id="88" name="Picture 141">
          <a:extLst>
            <a:ext uri="{FF2B5EF4-FFF2-40B4-BE49-F238E27FC236}">
              <a16:creationId xmlns:a16="http://schemas.microsoft.com/office/drawing/2014/main" id="{08AA8DFB-6A89-40CC-B767-776B11E87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19050</xdr:colOff>
      <xdr:row>48</xdr:row>
      <xdr:rowOff>19050</xdr:rowOff>
    </xdr:to>
    <xdr:pic>
      <xdr:nvPicPr>
        <xdr:cNvPr id="89" name="Picture 144">
          <a:extLst>
            <a:ext uri="{FF2B5EF4-FFF2-40B4-BE49-F238E27FC236}">
              <a16:creationId xmlns:a16="http://schemas.microsoft.com/office/drawing/2014/main" id="{F3CB0E43-56EA-4FBF-81E7-5702C1AFB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8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19050</xdr:colOff>
      <xdr:row>23</xdr:row>
      <xdr:rowOff>0</xdr:rowOff>
    </xdr:to>
    <xdr:pic>
      <xdr:nvPicPr>
        <xdr:cNvPr id="90" name="Picture 145">
          <a:extLst>
            <a:ext uri="{FF2B5EF4-FFF2-40B4-BE49-F238E27FC236}">
              <a16:creationId xmlns:a16="http://schemas.microsoft.com/office/drawing/2014/main" id="{876A72AD-4252-409A-AFC3-F4E74C416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19050</xdr:colOff>
      <xdr:row>24</xdr:row>
      <xdr:rowOff>0</xdr:rowOff>
    </xdr:to>
    <xdr:pic>
      <xdr:nvPicPr>
        <xdr:cNvPr id="92" name="Picture 156">
          <a:extLst>
            <a:ext uri="{FF2B5EF4-FFF2-40B4-BE49-F238E27FC236}">
              <a16:creationId xmlns:a16="http://schemas.microsoft.com/office/drawing/2014/main" id="{C6655F81-CA67-41B8-9A92-BEEAD8770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19050</xdr:colOff>
      <xdr:row>25</xdr:row>
      <xdr:rowOff>0</xdr:rowOff>
    </xdr:to>
    <xdr:pic>
      <xdr:nvPicPr>
        <xdr:cNvPr id="94" name="Picture 167">
          <a:extLst>
            <a:ext uri="{FF2B5EF4-FFF2-40B4-BE49-F238E27FC236}">
              <a16:creationId xmlns:a16="http://schemas.microsoft.com/office/drawing/2014/main" id="{9205620B-BF0C-47B5-9DF4-A9709248D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447675</xdr:rowOff>
    </xdr:from>
    <xdr:to>
      <xdr:col>0</xdr:col>
      <xdr:colOff>19050</xdr:colOff>
      <xdr:row>25</xdr:row>
      <xdr:rowOff>19050</xdr:rowOff>
    </xdr:to>
    <xdr:pic>
      <xdr:nvPicPr>
        <xdr:cNvPr id="95" name="Picture 168">
          <a:extLst>
            <a:ext uri="{FF2B5EF4-FFF2-40B4-BE49-F238E27FC236}">
              <a16:creationId xmlns:a16="http://schemas.microsoft.com/office/drawing/2014/main" id="{911A0C26-F533-4EE9-8C6E-4594C071D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19050</xdr:colOff>
      <xdr:row>26</xdr:row>
      <xdr:rowOff>0</xdr:rowOff>
    </xdr:to>
    <xdr:pic>
      <xdr:nvPicPr>
        <xdr:cNvPr id="96" name="Picture 169">
          <a:extLst>
            <a:ext uri="{FF2B5EF4-FFF2-40B4-BE49-F238E27FC236}">
              <a16:creationId xmlns:a16="http://schemas.microsoft.com/office/drawing/2014/main" id="{3932B01D-5A71-41A1-BDBD-3D0998E10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19050</xdr:colOff>
      <xdr:row>27</xdr:row>
      <xdr:rowOff>0</xdr:rowOff>
    </xdr:to>
    <xdr:pic>
      <xdr:nvPicPr>
        <xdr:cNvPr id="97" name="Picture 172">
          <a:extLst>
            <a:ext uri="{FF2B5EF4-FFF2-40B4-BE49-F238E27FC236}">
              <a16:creationId xmlns:a16="http://schemas.microsoft.com/office/drawing/2014/main" id="{70A95E12-9F2A-4F7B-A450-2C47F671B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19050</xdr:colOff>
      <xdr:row>28</xdr:row>
      <xdr:rowOff>0</xdr:rowOff>
    </xdr:to>
    <xdr:pic>
      <xdr:nvPicPr>
        <xdr:cNvPr id="98" name="Picture 174">
          <a:extLst>
            <a:ext uri="{FF2B5EF4-FFF2-40B4-BE49-F238E27FC236}">
              <a16:creationId xmlns:a16="http://schemas.microsoft.com/office/drawing/2014/main" id="{5AA54C60-3BBA-4F85-A337-13A7CB579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19050</xdr:colOff>
      <xdr:row>29</xdr:row>
      <xdr:rowOff>0</xdr:rowOff>
    </xdr:to>
    <xdr:pic>
      <xdr:nvPicPr>
        <xdr:cNvPr id="99" name="Picture 178">
          <a:extLst>
            <a:ext uri="{FF2B5EF4-FFF2-40B4-BE49-F238E27FC236}">
              <a16:creationId xmlns:a16="http://schemas.microsoft.com/office/drawing/2014/main" id="{3E586AF7-E04E-4641-8CD1-9C46D3EF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19050</xdr:colOff>
      <xdr:row>30</xdr:row>
      <xdr:rowOff>0</xdr:rowOff>
    </xdr:to>
    <xdr:pic>
      <xdr:nvPicPr>
        <xdr:cNvPr id="100" name="Picture 180">
          <a:extLst>
            <a:ext uri="{FF2B5EF4-FFF2-40B4-BE49-F238E27FC236}">
              <a16:creationId xmlns:a16="http://schemas.microsoft.com/office/drawing/2014/main" id="{AA0CFF6C-62D2-4C2B-9889-5E204FD22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19050</xdr:colOff>
      <xdr:row>44</xdr:row>
      <xdr:rowOff>19050</xdr:rowOff>
    </xdr:to>
    <xdr:pic>
      <xdr:nvPicPr>
        <xdr:cNvPr id="101" name="Picture 183">
          <a:extLst>
            <a:ext uri="{FF2B5EF4-FFF2-40B4-BE49-F238E27FC236}">
              <a16:creationId xmlns:a16="http://schemas.microsoft.com/office/drawing/2014/main" id="{D1691BF3-8F45-4690-98C9-6239D1706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19050</xdr:colOff>
      <xdr:row>50</xdr:row>
      <xdr:rowOff>9525</xdr:rowOff>
    </xdr:to>
    <xdr:pic>
      <xdr:nvPicPr>
        <xdr:cNvPr id="103" name="Picture 191">
          <a:extLst>
            <a:ext uri="{FF2B5EF4-FFF2-40B4-BE49-F238E27FC236}">
              <a16:creationId xmlns:a16="http://schemas.microsoft.com/office/drawing/2014/main" id="{BD5FF568-D8A8-4C54-90D2-90B7E44EC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19050</xdr:colOff>
      <xdr:row>31</xdr:row>
      <xdr:rowOff>0</xdr:rowOff>
    </xdr:to>
    <xdr:pic>
      <xdr:nvPicPr>
        <xdr:cNvPr id="104" name="Picture 202">
          <a:extLst>
            <a:ext uri="{FF2B5EF4-FFF2-40B4-BE49-F238E27FC236}">
              <a16:creationId xmlns:a16="http://schemas.microsoft.com/office/drawing/2014/main" id="{21D298DE-D344-4E78-96BF-BE82A8D32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19050</xdr:colOff>
      <xdr:row>63</xdr:row>
      <xdr:rowOff>19050</xdr:rowOff>
    </xdr:to>
    <xdr:pic>
      <xdr:nvPicPr>
        <xdr:cNvPr id="105" name="Picture 204">
          <a:extLst>
            <a:ext uri="{FF2B5EF4-FFF2-40B4-BE49-F238E27FC236}">
              <a16:creationId xmlns:a16="http://schemas.microsoft.com/office/drawing/2014/main" id="{6A2A4EBF-C5F0-4394-A0AB-0B87CFF64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6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19050</xdr:colOff>
      <xdr:row>32</xdr:row>
      <xdr:rowOff>9525</xdr:rowOff>
    </xdr:to>
    <xdr:pic>
      <xdr:nvPicPr>
        <xdr:cNvPr id="106" name="Picture 205">
          <a:extLst>
            <a:ext uri="{FF2B5EF4-FFF2-40B4-BE49-F238E27FC236}">
              <a16:creationId xmlns:a16="http://schemas.microsoft.com/office/drawing/2014/main" id="{A533DFA2-596D-48C2-85C8-1FAF004CF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905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19050</xdr:colOff>
      <xdr:row>34</xdr:row>
      <xdr:rowOff>0</xdr:rowOff>
    </xdr:to>
    <xdr:pic>
      <xdr:nvPicPr>
        <xdr:cNvPr id="107" name="Picture 208">
          <a:extLst>
            <a:ext uri="{FF2B5EF4-FFF2-40B4-BE49-F238E27FC236}">
              <a16:creationId xmlns:a16="http://schemas.microsoft.com/office/drawing/2014/main" id="{C36274E3-01C1-4EFC-91A8-4DAF715A7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19050</xdr:colOff>
      <xdr:row>57</xdr:row>
      <xdr:rowOff>19050</xdr:rowOff>
    </xdr:to>
    <xdr:pic>
      <xdr:nvPicPr>
        <xdr:cNvPr id="108" name="Picture 209">
          <a:extLst>
            <a:ext uri="{FF2B5EF4-FFF2-40B4-BE49-F238E27FC236}">
              <a16:creationId xmlns:a16="http://schemas.microsoft.com/office/drawing/2014/main" id="{D575D25B-5E09-4951-89DA-73D0AD35D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73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19050</xdr:colOff>
      <xdr:row>35</xdr:row>
      <xdr:rowOff>0</xdr:rowOff>
    </xdr:to>
    <xdr:pic>
      <xdr:nvPicPr>
        <xdr:cNvPr id="109" name="Picture 210">
          <a:extLst>
            <a:ext uri="{FF2B5EF4-FFF2-40B4-BE49-F238E27FC236}">
              <a16:creationId xmlns:a16="http://schemas.microsoft.com/office/drawing/2014/main" id="{9DC039AE-951E-4403-8761-55A7ADEC5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19050</xdr:colOff>
      <xdr:row>53</xdr:row>
      <xdr:rowOff>19050</xdr:rowOff>
    </xdr:to>
    <xdr:pic>
      <xdr:nvPicPr>
        <xdr:cNvPr id="110" name="Picture 211">
          <a:extLst>
            <a:ext uri="{FF2B5EF4-FFF2-40B4-BE49-F238E27FC236}">
              <a16:creationId xmlns:a16="http://schemas.microsoft.com/office/drawing/2014/main" id="{1E10FCAE-4B11-48D5-9DCE-2496F94DC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20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19050</xdr:colOff>
      <xdr:row>36</xdr:row>
      <xdr:rowOff>0</xdr:rowOff>
    </xdr:to>
    <xdr:pic>
      <xdr:nvPicPr>
        <xdr:cNvPr id="111" name="Picture 212">
          <a:extLst>
            <a:ext uri="{FF2B5EF4-FFF2-40B4-BE49-F238E27FC236}">
              <a16:creationId xmlns:a16="http://schemas.microsoft.com/office/drawing/2014/main" id="{2A9A432C-058F-4A1A-9ADC-843061A43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1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19050</xdr:colOff>
      <xdr:row>45</xdr:row>
      <xdr:rowOff>19050</xdr:rowOff>
    </xdr:to>
    <xdr:pic>
      <xdr:nvPicPr>
        <xdr:cNvPr id="112" name="Picture 220">
          <a:extLst>
            <a:ext uri="{FF2B5EF4-FFF2-40B4-BE49-F238E27FC236}">
              <a16:creationId xmlns:a16="http://schemas.microsoft.com/office/drawing/2014/main" id="{62634B4E-F358-4722-B3B0-884829E5D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19050</xdr:colOff>
      <xdr:row>40</xdr:row>
      <xdr:rowOff>0</xdr:rowOff>
    </xdr:to>
    <xdr:pic>
      <xdr:nvPicPr>
        <xdr:cNvPr id="113" name="Picture 221">
          <a:extLst>
            <a:ext uri="{FF2B5EF4-FFF2-40B4-BE49-F238E27FC236}">
              <a16:creationId xmlns:a16="http://schemas.microsoft.com/office/drawing/2014/main" id="{AA38980B-ED47-4205-A6A4-FAD3BD399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19050</xdr:colOff>
      <xdr:row>41</xdr:row>
      <xdr:rowOff>0</xdr:rowOff>
    </xdr:to>
    <xdr:pic>
      <xdr:nvPicPr>
        <xdr:cNvPr id="114" name="Picture 223">
          <a:extLst>
            <a:ext uri="{FF2B5EF4-FFF2-40B4-BE49-F238E27FC236}">
              <a16:creationId xmlns:a16="http://schemas.microsoft.com/office/drawing/2014/main" id="{178C5E71-855B-483D-809B-471E9820D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3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19050</xdr:colOff>
      <xdr:row>42</xdr:row>
      <xdr:rowOff>0</xdr:rowOff>
    </xdr:to>
    <xdr:pic>
      <xdr:nvPicPr>
        <xdr:cNvPr id="115" name="Picture 225">
          <a:extLst>
            <a:ext uri="{FF2B5EF4-FFF2-40B4-BE49-F238E27FC236}">
              <a16:creationId xmlns:a16="http://schemas.microsoft.com/office/drawing/2014/main" id="{CDE30F66-DF2F-4809-AF73-A3019B038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19050</xdr:colOff>
      <xdr:row>43</xdr:row>
      <xdr:rowOff>0</xdr:rowOff>
    </xdr:to>
    <xdr:pic>
      <xdr:nvPicPr>
        <xdr:cNvPr id="116" name="Picture 228">
          <a:extLst>
            <a:ext uri="{FF2B5EF4-FFF2-40B4-BE49-F238E27FC236}">
              <a16:creationId xmlns:a16="http://schemas.microsoft.com/office/drawing/2014/main" id="{F914BFB8-773F-467E-9756-C809042CC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4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19050</xdr:colOff>
      <xdr:row>44</xdr:row>
      <xdr:rowOff>0</xdr:rowOff>
    </xdr:to>
    <xdr:pic>
      <xdr:nvPicPr>
        <xdr:cNvPr id="118" name="Picture 239">
          <a:extLst>
            <a:ext uri="{FF2B5EF4-FFF2-40B4-BE49-F238E27FC236}">
              <a16:creationId xmlns:a16="http://schemas.microsoft.com/office/drawing/2014/main" id="{1D22F97D-F694-4BEC-817B-20D345201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19050</xdr:colOff>
      <xdr:row>45</xdr:row>
      <xdr:rowOff>0</xdr:rowOff>
    </xdr:to>
    <xdr:pic>
      <xdr:nvPicPr>
        <xdr:cNvPr id="119" name="Picture 262">
          <a:extLst>
            <a:ext uri="{FF2B5EF4-FFF2-40B4-BE49-F238E27FC236}">
              <a16:creationId xmlns:a16="http://schemas.microsoft.com/office/drawing/2014/main" id="{7A7920BB-A2AC-4DCC-B2EC-8831E44B0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19050</xdr:colOff>
      <xdr:row>48</xdr:row>
      <xdr:rowOff>0</xdr:rowOff>
    </xdr:to>
    <xdr:pic>
      <xdr:nvPicPr>
        <xdr:cNvPr id="120" name="Picture 264">
          <a:extLst>
            <a:ext uri="{FF2B5EF4-FFF2-40B4-BE49-F238E27FC236}">
              <a16:creationId xmlns:a16="http://schemas.microsoft.com/office/drawing/2014/main" id="{FCD2E186-E955-4A7B-B53B-C0ABF21FA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9050" cy="762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oneCellAnchor>
    <xdr:from>
      <xdr:col>0</xdr:col>
      <xdr:colOff>0</xdr:colOff>
      <xdr:row>18</xdr:row>
      <xdr:rowOff>0</xdr:rowOff>
    </xdr:from>
    <xdr:ext cx="571500" cy="516006"/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856C8FE0-C62C-4B58-85E4-F28CA23985FF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571500" cy="5160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571500" cy="455129"/>
    <xdr:sp macro="" textlink="">
      <xdr:nvSpPr>
        <xdr:cNvPr id="122" name="AutoShape 2">
          <a:extLst>
            <a:ext uri="{FF2B5EF4-FFF2-40B4-BE49-F238E27FC236}">
              <a16:creationId xmlns:a16="http://schemas.microsoft.com/office/drawing/2014/main" id="{1464EDDE-8319-42E9-B918-7A659B6168F8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571500" cy="4551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571500" cy="407504"/>
    <xdr:sp macro="" textlink="">
      <xdr:nvSpPr>
        <xdr:cNvPr id="123" name="AutoShape 3">
          <a:extLst>
            <a:ext uri="{FF2B5EF4-FFF2-40B4-BE49-F238E27FC236}">
              <a16:creationId xmlns:a16="http://schemas.microsoft.com/office/drawing/2014/main" id="{AA0A9091-97D6-4D0B-91C4-2246B22EE6AC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571500" cy="4075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0</xdr:col>
      <xdr:colOff>0</xdr:colOff>
      <xdr:row>30</xdr:row>
      <xdr:rowOff>0</xdr:rowOff>
    </xdr:from>
    <xdr:to>
      <xdr:col>0</xdr:col>
      <xdr:colOff>19050</xdr:colOff>
      <xdr:row>30</xdr:row>
      <xdr:rowOff>19050</xdr:rowOff>
    </xdr:to>
    <xdr:pic>
      <xdr:nvPicPr>
        <xdr:cNvPr id="124" name="Picture 8">
          <a:extLst>
            <a:ext uri="{FF2B5EF4-FFF2-40B4-BE49-F238E27FC236}">
              <a16:creationId xmlns:a16="http://schemas.microsoft.com/office/drawing/2014/main" id="{78BC4764-C471-4E8B-8C29-15B6F96E7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19050</xdr:colOff>
      <xdr:row>7</xdr:row>
      <xdr:rowOff>0</xdr:rowOff>
    </xdr:to>
    <xdr:pic>
      <xdr:nvPicPr>
        <xdr:cNvPr id="125" name="Picture 9">
          <a:extLst>
            <a:ext uri="{FF2B5EF4-FFF2-40B4-BE49-F238E27FC236}">
              <a16:creationId xmlns:a16="http://schemas.microsoft.com/office/drawing/2014/main" id="{6B1CEC20-264A-4E97-A425-150DDB349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19050</xdr:colOff>
      <xdr:row>29</xdr:row>
      <xdr:rowOff>19050</xdr:rowOff>
    </xdr:to>
    <xdr:pic>
      <xdr:nvPicPr>
        <xdr:cNvPr id="128" name="Picture 18">
          <a:extLst>
            <a:ext uri="{FF2B5EF4-FFF2-40B4-BE49-F238E27FC236}">
              <a16:creationId xmlns:a16="http://schemas.microsoft.com/office/drawing/2014/main" id="{6F1F648D-F85F-4FEE-B668-AEAA11C22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19050</xdr:colOff>
      <xdr:row>8</xdr:row>
      <xdr:rowOff>0</xdr:rowOff>
    </xdr:to>
    <xdr:pic>
      <xdr:nvPicPr>
        <xdr:cNvPr id="129" name="Picture 19">
          <a:extLst>
            <a:ext uri="{FF2B5EF4-FFF2-40B4-BE49-F238E27FC236}">
              <a16:creationId xmlns:a16="http://schemas.microsoft.com/office/drawing/2014/main" id="{426202BA-FA96-4E27-A275-1EFF81BE7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19050</xdr:colOff>
      <xdr:row>27</xdr:row>
      <xdr:rowOff>19050</xdr:rowOff>
    </xdr:to>
    <xdr:pic>
      <xdr:nvPicPr>
        <xdr:cNvPr id="130" name="Picture 43">
          <a:extLst>
            <a:ext uri="{FF2B5EF4-FFF2-40B4-BE49-F238E27FC236}">
              <a16:creationId xmlns:a16="http://schemas.microsoft.com/office/drawing/2014/main" id="{9EAD31ED-85C7-4FD6-B113-7D1ED3546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19050</xdr:colOff>
      <xdr:row>26</xdr:row>
      <xdr:rowOff>19050</xdr:rowOff>
    </xdr:to>
    <xdr:pic>
      <xdr:nvPicPr>
        <xdr:cNvPr id="132" name="Picture 68">
          <a:extLst>
            <a:ext uri="{FF2B5EF4-FFF2-40B4-BE49-F238E27FC236}">
              <a16:creationId xmlns:a16="http://schemas.microsoft.com/office/drawing/2014/main" id="{3D0301A6-C33A-4973-A977-2A3C6131E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19050</xdr:colOff>
      <xdr:row>9</xdr:row>
      <xdr:rowOff>0</xdr:rowOff>
    </xdr:to>
    <xdr:pic>
      <xdr:nvPicPr>
        <xdr:cNvPr id="133" name="Picture 69">
          <a:extLst>
            <a:ext uri="{FF2B5EF4-FFF2-40B4-BE49-F238E27FC236}">
              <a16:creationId xmlns:a16="http://schemas.microsoft.com/office/drawing/2014/main" id="{BD0B3141-1F46-4340-A763-B9DAA1E08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19050</xdr:colOff>
      <xdr:row>10</xdr:row>
      <xdr:rowOff>0</xdr:rowOff>
    </xdr:to>
    <xdr:pic>
      <xdr:nvPicPr>
        <xdr:cNvPr id="135" name="Picture 75">
          <a:extLst>
            <a:ext uri="{FF2B5EF4-FFF2-40B4-BE49-F238E27FC236}">
              <a16:creationId xmlns:a16="http://schemas.microsoft.com/office/drawing/2014/main" id="{70B70A37-AFB3-476F-801B-48B866A66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19050</xdr:colOff>
      <xdr:row>40</xdr:row>
      <xdr:rowOff>19050</xdr:rowOff>
    </xdr:to>
    <xdr:pic>
      <xdr:nvPicPr>
        <xdr:cNvPr id="136" name="Picture 82">
          <a:extLst>
            <a:ext uri="{FF2B5EF4-FFF2-40B4-BE49-F238E27FC236}">
              <a16:creationId xmlns:a16="http://schemas.microsoft.com/office/drawing/2014/main" id="{FE1D89BE-7718-4B3A-AAF5-2DB8571E5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3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19050</xdr:colOff>
      <xdr:row>47</xdr:row>
      <xdr:rowOff>19050</xdr:rowOff>
    </xdr:to>
    <xdr:pic>
      <xdr:nvPicPr>
        <xdr:cNvPr id="137" name="Picture 87">
          <a:extLst>
            <a:ext uri="{FF2B5EF4-FFF2-40B4-BE49-F238E27FC236}">
              <a16:creationId xmlns:a16="http://schemas.microsoft.com/office/drawing/2014/main" id="{9CCC564D-5FFB-4629-8D91-9AE2E354B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87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19050</xdr:colOff>
      <xdr:row>11</xdr:row>
      <xdr:rowOff>0</xdr:rowOff>
    </xdr:to>
    <xdr:pic>
      <xdr:nvPicPr>
        <xdr:cNvPr id="138" name="Picture 88">
          <a:extLst>
            <a:ext uri="{FF2B5EF4-FFF2-40B4-BE49-F238E27FC236}">
              <a16:creationId xmlns:a16="http://schemas.microsoft.com/office/drawing/2014/main" id="{316C6FE5-E766-4017-B1CA-BEE5683E6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19050</xdr:colOff>
      <xdr:row>38</xdr:row>
      <xdr:rowOff>19050</xdr:rowOff>
    </xdr:to>
    <xdr:pic>
      <xdr:nvPicPr>
        <xdr:cNvPr id="140" name="Picture 97">
          <a:extLst>
            <a:ext uri="{FF2B5EF4-FFF2-40B4-BE49-F238E27FC236}">
              <a16:creationId xmlns:a16="http://schemas.microsoft.com/office/drawing/2014/main" id="{4551E7DD-9ED6-4E20-A4AF-D6D0701C7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19050</xdr:colOff>
      <xdr:row>12</xdr:row>
      <xdr:rowOff>0</xdr:rowOff>
    </xdr:to>
    <xdr:pic>
      <xdr:nvPicPr>
        <xdr:cNvPr id="141" name="Picture 98">
          <a:extLst>
            <a:ext uri="{FF2B5EF4-FFF2-40B4-BE49-F238E27FC236}">
              <a16:creationId xmlns:a16="http://schemas.microsoft.com/office/drawing/2014/main" id="{5FF7D2A9-E8CB-4F0B-91C7-A7CB64847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19050</xdr:colOff>
      <xdr:row>13</xdr:row>
      <xdr:rowOff>0</xdr:rowOff>
    </xdr:to>
    <xdr:pic>
      <xdr:nvPicPr>
        <xdr:cNvPr id="142" name="Picture 100">
          <a:extLst>
            <a:ext uri="{FF2B5EF4-FFF2-40B4-BE49-F238E27FC236}">
              <a16:creationId xmlns:a16="http://schemas.microsoft.com/office/drawing/2014/main" id="{3D04F846-79DB-4820-B497-6005E0989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19050</xdr:colOff>
      <xdr:row>33</xdr:row>
      <xdr:rowOff>19050</xdr:rowOff>
    </xdr:to>
    <xdr:pic>
      <xdr:nvPicPr>
        <xdr:cNvPr id="143" name="Picture 102">
          <a:extLst>
            <a:ext uri="{FF2B5EF4-FFF2-40B4-BE49-F238E27FC236}">
              <a16:creationId xmlns:a16="http://schemas.microsoft.com/office/drawing/2014/main" id="{BD7F4C13-D929-42CE-B59E-FB50267EB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19050</xdr:colOff>
      <xdr:row>14</xdr:row>
      <xdr:rowOff>0</xdr:rowOff>
    </xdr:to>
    <xdr:pic>
      <xdr:nvPicPr>
        <xdr:cNvPr id="144" name="Picture 103">
          <a:extLst>
            <a:ext uri="{FF2B5EF4-FFF2-40B4-BE49-F238E27FC236}">
              <a16:creationId xmlns:a16="http://schemas.microsoft.com/office/drawing/2014/main" id="{A1FBB14A-82BD-4BB7-9D87-A08351C26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19050</xdr:colOff>
      <xdr:row>15</xdr:row>
      <xdr:rowOff>0</xdr:rowOff>
    </xdr:to>
    <xdr:pic>
      <xdr:nvPicPr>
        <xdr:cNvPr id="145" name="Picture 105">
          <a:extLst>
            <a:ext uri="{FF2B5EF4-FFF2-40B4-BE49-F238E27FC236}">
              <a16:creationId xmlns:a16="http://schemas.microsoft.com/office/drawing/2014/main" id="{55217F14-5073-4972-B20C-9AEC7A314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19050</xdr:colOff>
      <xdr:row>16</xdr:row>
      <xdr:rowOff>0</xdr:rowOff>
    </xdr:to>
    <xdr:pic>
      <xdr:nvPicPr>
        <xdr:cNvPr id="146" name="Picture 106">
          <a:extLst>
            <a:ext uri="{FF2B5EF4-FFF2-40B4-BE49-F238E27FC236}">
              <a16:creationId xmlns:a16="http://schemas.microsoft.com/office/drawing/2014/main" id="{630964AA-77A8-4027-A6CD-AF7C64F96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19050</xdr:colOff>
      <xdr:row>17</xdr:row>
      <xdr:rowOff>0</xdr:rowOff>
    </xdr:to>
    <xdr:pic>
      <xdr:nvPicPr>
        <xdr:cNvPr id="147" name="Picture 108">
          <a:extLst>
            <a:ext uri="{FF2B5EF4-FFF2-40B4-BE49-F238E27FC236}">
              <a16:creationId xmlns:a16="http://schemas.microsoft.com/office/drawing/2014/main" id="{37D34918-6AE2-40ED-82B9-3E1A042CB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19050</xdr:colOff>
      <xdr:row>4</xdr:row>
      <xdr:rowOff>19050</xdr:rowOff>
    </xdr:to>
    <xdr:pic>
      <xdr:nvPicPr>
        <xdr:cNvPr id="148" name="Picture 109">
          <a:extLst>
            <a:ext uri="{FF2B5EF4-FFF2-40B4-BE49-F238E27FC236}">
              <a16:creationId xmlns:a16="http://schemas.microsoft.com/office/drawing/2014/main" id="{3AC19EC4-71EC-4179-867E-8C852EF1A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19050</xdr:colOff>
      <xdr:row>18</xdr:row>
      <xdr:rowOff>0</xdr:rowOff>
    </xdr:to>
    <xdr:pic>
      <xdr:nvPicPr>
        <xdr:cNvPr id="149" name="Picture 110">
          <a:extLst>
            <a:ext uri="{FF2B5EF4-FFF2-40B4-BE49-F238E27FC236}">
              <a16:creationId xmlns:a16="http://schemas.microsoft.com/office/drawing/2014/main" id="{08CF2AEA-36B5-4A55-B8C8-4CDB8304D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19050</xdr:colOff>
      <xdr:row>19</xdr:row>
      <xdr:rowOff>0</xdr:rowOff>
    </xdr:to>
    <xdr:pic>
      <xdr:nvPicPr>
        <xdr:cNvPr id="153" name="Picture 118">
          <a:extLst>
            <a:ext uri="{FF2B5EF4-FFF2-40B4-BE49-F238E27FC236}">
              <a16:creationId xmlns:a16="http://schemas.microsoft.com/office/drawing/2014/main" id="{4F121D62-9CF8-4F2D-8152-01D40D300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19050</xdr:colOff>
      <xdr:row>20</xdr:row>
      <xdr:rowOff>0</xdr:rowOff>
    </xdr:to>
    <xdr:pic>
      <xdr:nvPicPr>
        <xdr:cNvPr id="154" name="Picture 126">
          <a:extLst>
            <a:ext uri="{FF2B5EF4-FFF2-40B4-BE49-F238E27FC236}">
              <a16:creationId xmlns:a16="http://schemas.microsoft.com/office/drawing/2014/main" id="{79A54D72-F8A1-4483-8CCE-12061B454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19050</xdr:colOff>
      <xdr:row>21</xdr:row>
      <xdr:rowOff>0</xdr:rowOff>
    </xdr:to>
    <xdr:pic>
      <xdr:nvPicPr>
        <xdr:cNvPr id="155" name="Picture 129">
          <a:extLst>
            <a:ext uri="{FF2B5EF4-FFF2-40B4-BE49-F238E27FC236}">
              <a16:creationId xmlns:a16="http://schemas.microsoft.com/office/drawing/2014/main" id="{4DD98936-692F-4F32-969A-22D054918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19050</xdr:colOff>
      <xdr:row>22</xdr:row>
      <xdr:rowOff>0</xdr:rowOff>
    </xdr:to>
    <xdr:pic>
      <xdr:nvPicPr>
        <xdr:cNvPr id="156" name="Picture 132">
          <a:extLst>
            <a:ext uri="{FF2B5EF4-FFF2-40B4-BE49-F238E27FC236}">
              <a16:creationId xmlns:a16="http://schemas.microsoft.com/office/drawing/2014/main" id="{EFCBA6BC-32C1-4FC9-82D1-E4EC26361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19050</xdr:colOff>
      <xdr:row>48</xdr:row>
      <xdr:rowOff>19050</xdr:rowOff>
    </xdr:to>
    <xdr:pic>
      <xdr:nvPicPr>
        <xdr:cNvPr id="157" name="Picture 135">
          <a:extLst>
            <a:ext uri="{FF2B5EF4-FFF2-40B4-BE49-F238E27FC236}">
              <a16:creationId xmlns:a16="http://schemas.microsoft.com/office/drawing/2014/main" id="{74EF6A60-E81A-47F1-AEA6-A83CF0E95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8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19050</xdr:colOff>
      <xdr:row>23</xdr:row>
      <xdr:rowOff>0</xdr:rowOff>
    </xdr:to>
    <xdr:pic>
      <xdr:nvPicPr>
        <xdr:cNvPr id="158" name="Picture 136">
          <a:extLst>
            <a:ext uri="{FF2B5EF4-FFF2-40B4-BE49-F238E27FC236}">
              <a16:creationId xmlns:a16="http://schemas.microsoft.com/office/drawing/2014/main" id="{54DB28DD-4FA8-4E2A-9C99-CA86D8F6B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19050</xdr:colOff>
      <xdr:row>24</xdr:row>
      <xdr:rowOff>0</xdr:rowOff>
    </xdr:to>
    <xdr:pic>
      <xdr:nvPicPr>
        <xdr:cNvPr id="160" name="Picture 146">
          <a:extLst>
            <a:ext uri="{FF2B5EF4-FFF2-40B4-BE49-F238E27FC236}">
              <a16:creationId xmlns:a16="http://schemas.microsoft.com/office/drawing/2014/main" id="{6829231E-9666-4E44-A74E-56A431EE7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19050</xdr:colOff>
      <xdr:row>25</xdr:row>
      <xdr:rowOff>0</xdr:rowOff>
    </xdr:to>
    <xdr:pic>
      <xdr:nvPicPr>
        <xdr:cNvPr id="162" name="Picture 157">
          <a:extLst>
            <a:ext uri="{FF2B5EF4-FFF2-40B4-BE49-F238E27FC236}">
              <a16:creationId xmlns:a16="http://schemas.microsoft.com/office/drawing/2014/main" id="{D07786BE-E9ED-4C92-9D29-5D6EEE477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19050</xdr:colOff>
      <xdr:row>26</xdr:row>
      <xdr:rowOff>0</xdr:rowOff>
    </xdr:to>
    <xdr:pic>
      <xdr:nvPicPr>
        <xdr:cNvPr id="163" name="Picture 159">
          <a:extLst>
            <a:ext uri="{FF2B5EF4-FFF2-40B4-BE49-F238E27FC236}">
              <a16:creationId xmlns:a16="http://schemas.microsoft.com/office/drawing/2014/main" id="{90F2D6AD-1554-4AE9-A9C9-55CC20CEA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19050</xdr:colOff>
      <xdr:row>27</xdr:row>
      <xdr:rowOff>0</xdr:rowOff>
    </xdr:to>
    <xdr:pic>
      <xdr:nvPicPr>
        <xdr:cNvPr id="164" name="Picture 162">
          <a:extLst>
            <a:ext uri="{FF2B5EF4-FFF2-40B4-BE49-F238E27FC236}">
              <a16:creationId xmlns:a16="http://schemas.microsoft.com/office/drawing/2014/main" id="{88428B69-1E94-4229-875B-FA666E6A4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19050</xdr:colOff>
      <xdr:row>28</xdr:row>
      <xdr:rowOff>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02FC2F88-679A-4C7F-AA5B-DDCE46496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19050</xdr:colOff>
      <xdr:row>29</xdr:row>
      <xdr:rowOff>0</xdr:rowOff>
    </xdr:to>
    <xdr:pic>
      <xdr:nvPicPr>
        <xdr:cNvPr id="166" name="Picture 168">
          <a:extLst>
            <a:ext uri="{FF2B5EF4-FFF2-40B4-BE49-F238E27FC236}">
              <a16:creationId xmlns:a16="http://schemas.microsoft.com/office/drawing/2014/main" id="{F845EE16-A153-4E9A-9E6E-9D836752E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19050</xdr:colOff>
      <xdr:row>30</xdr:row>
      <xdr:rowOff>0</xdr:rowOff>
    </xdr:to>
    <xdr:pic>
      <xdr:nvPicPr>
        <xdr:cNvPr id="167" name="Picture 170">
          <a:extLst>
            <a:ext uri="{FF2B5EF4-FFF2-40B4-BE49-F238E27FC236}">
              <a16:creationId xmlns:a16="http://schemas.microsoft.com/office/drawing/2014/main" id="{14A616D4-9742-44B4-8E4F-EFEA1EF14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19050</xdr:colOff>
      <xdr:row>44</xdr:row>
      <xdr:rowOff>19050</xdr:rowOff>
    </xdr:to>
    <xdr:pic>
      <xdr:nvPicPr>
        <xdr:cNvPr id="168" name="Picture 173">
          <a:extLst>
            <a:ext uri="{FF2B5EF4-FFF2-40B4-BE49-F238E27FC236}">
              <a16:creationId xmlns:a16="http://schemas.microsoft.com/office/drawing/2014/main" id="{D78D7591-2A1D-46B7-A2F6-35ADAAF3B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19050</xdr:colOff>
      <xdr:row>50</xdr:row>
      <xdr:rowOff>19050</xdr:rowOff>
    </xdr:to>
    <xdr:pic>
      <xdr:nvPicPr>
        <xdr:cNvPr id="170" name="Picture 181">
          <a:extLst>
            <a:ext uri="{FF2B5EF4-FFF2-40B4-BE49-F238E27FC236}">
              <a16:creationId xmlns:a16="http://schemas.microsoft.com/office/drawing/2014/main" id="{5628D51D-405D-41CD-8D54-85D4C32A2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19050</xdr:colOff>
      <xdr:row>31</xdr:row>
      <xdr:rowOff>0</xdr:rowOff>
    </xdr:to>
    <xdr:pic>
      <xdr:nvPicPr>
        <xdr:cNvPr id="173" name="Picture 192">
          <a:extLst>
            <a:ext uri="{FF2B5EF4-FFF2-40B4-BE49-F238E27FC236}">
              <a16:creationId xmlns:a16="http://schemas.microsoft.com/office/drawing/2014/main" id="{89156CAE-7F12-4703-ACD0-5F7717A47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19050</xdr:colOff>
      <xdr:row>32</xdr:row>
      <xdr:rowOff>19050</xdr:rowOff>
    </xdr:to>
    <xdr:pic>
      <xdr:nvPicPr>
        <xdr:cNvPr id="174" name="Picture 195">
          <a:extLst>
            <a:ext uri="{FF2B5EF4-FFF2-40B4-BE49-F238E27FC236}">
              <a16:creationId xmlns:a16="http://schemas.microsoft.com/office/drawing/2014/main" id="{8C486A30-AA7C-41BC-8BF1-CAEB88538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9050" cy="209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19050</xdr:colOff>
      <xdr:row>33</xdr:row>
      <xdr:rowOff>0</xdr:rowOff>
    </xdr:to>
    <xdr:pic>
      <xdr:nvPicPr>
        <xdr:cNvPr id="175" name="Picture 196">
          <a:extLst>
            <a:ext uri="{FF2B5EF4-FFF2-40B4-BE49-F238E27FC236}">
              <a16:creationId xmlns:a16="http://schemas.microsoft.com/office/drawing/2014/main" id="{D7507F50-AECC-4AA1-B368-972C52EE7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19050</xdr:colOff>
      <xdr:row>34</xdr:row>
      <xdr:rowOff>0</xdr:rowOff>
    </xdr:to>
    <xdr:pic>
      <xdr:nvPicPr>
        <xdr:cNvPr id="176" name="Picture 198">
          <a:extLst>
            <a:ext uri="{FF2B5EF4-FFF2-40B4-BE49-F238E27FC236}">
              <a16:creationId xmlns:a16="http://schemas.microsoft.com/office/drawing/2014/main" id="{0E2540D2-30F0-49E7-9078-2ED67E4A1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19050</xdr:colOff>
      <xdr:row>35</xdr:row>
      <xdr:rowOff>0</xdr:rowOff>
    </xdr:to>
    <xdr:pic>
      <xdr:nvPicPr>
        <xdr:cNvPr id="177" name="Picture 200">
          <a:extLst>
            <a:ext uri="{FF2B5EF4-FFF2-40B4-BE49-F238E27FC236}">
              <a16:creationId xmlns:a16="http://schemas.microsoft.com/office/drawing/2014/main" id="{D638F557-A865-4EDB-AA79-382B85D5F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19050</xdr:colOff>
      <xdr:row>53</xdr:row>
      <xdr:rowOff>19050</xdr:rowOff>
    </xdr:to>
    <xdr:pic>
      <xdr:nvPicPr>
        <xdr:cNvPr id="178" name="Picture 201">
          <a:extLst>
            <a:ext uri="{FF2B5EF4-FFF2-40B4-BE49-F238E27FC236}">
              <a16:creationId xmlns:a16="http://schemas.microsoft.com/office/drawing/2014/main" id="{6BDD41C1-FAF9-4D3D-86A5-711368FF0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20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19050</xdr:colOff>
      <xdr:row>36</xdr:row>
      <xdr:rowOff>0</xdr:rowOff>
    </xdr:to>
    <xdr:pic>
      <xdr:nvPicPr>
        <xdr:cNvPr id="179" name="Picture 202">
          <a:extLst>
            <a:ext uri="{FF2B5EF4-FFF2-40B4-BE49-F238E27FC236}">
              <a16:creationId xmlns:a16="http://schemas.microsoft.com/office/drawing/2014/main" id="{E56EB4B8-461A-4E9D-9338-4C45776D7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1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19050</xdr:colOff>
      <xdr:row>37</xdr:row>
      <xdr:rowOff>0</xdr:rowOff>
    </xdr:to>
    <xdr:pic>
      <xdr:nvPicPr>
        <xdr:cNvPr id="180" name="Picture 205">
          <a:extLst>
            <a:ext uri="{FF2B5EF4-FFF2-40B4-BE49-F238E27FC236}">
              <a16:creationId xmlns:a16="http://schemas.microsoft.com/office/drawing/2014/main" id="{3E124C08-AC5A-470C-AA3A-4C3C0E8C1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1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19050</xdr:colOff>
      <xdr:row>38</xdr:row>
      <xdr:rowOff>0</xdr:rowOff>
    </xdr:to>
    <xdr:pic>
      <xdr:nvPicPr>
        <xdr:cNvPr id="181" name="Picture 206">
          <a:extLst>
            <a:ext uri="{FF2B5EF4-FFF2-40B4-BE49-F238E27FC236}">
              <a16:creationId xmlns:a16="http://schemas.microsoft.com/office/drawing/2014/main" id="{DD34C63D-D985-49BA-8E71-7D7748F46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19050</xdr:colOff>
      <xdr:row>39</xdr:row>
      <xdr:rowOff>0</xdr:rowOff>
    </xdr:to>
    <xdr:pic>
      <xdr:nvPicPr>
        <xdr:cNvPr id="182" name="Picture 207">
          <a:extLst>
            <a:ext uri="{FF2B5EF4-FFF2-40B4-BE49-F238E27FC236}">
              <a16:creationId xmlns:a16="http://schemas.microsoft.com/office/drawing/2014/main" id="{142FDB24-7251-4B0B-8C17-685CCF4ED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19050</xdr:colOff>
      <xdr:row>41</xdr:row>
      <xdr:rowOff>0</xdr:rowOff>
    </xdr:to>
    <xdr:pic>
      <xdr:nvPicPr>
        <xdr:cNvPr id="183" name="Picture 213">
          <a:extLst>
            <a:ext uri="{FF2B5EF4-FFF2-40B4-BE49-F238E27FC236}">
              <a16:creationId xmlns:a16="http://schemas.microsoft.com/office/drawing/2014/main" id="{B0518E79-1796-4DBD-8419-EE0BF4072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3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19050</xdr:colOff>
      <xdr:row>43</xdr:row>
      <xdr:rowOff>0</xdr:rowOff>
    </xdr:to>
    <xdr:pic>
      <xdr:nvPicPr>
        <xdr:cNvPr id="184" name="Picture 217">
          <a:extLst>
            <a:ext uri="{FF2B5EF4-FFF2-40B4-BE49-F238E27FC236}">
              <a16:creationId xmlns:a16="http://schemas.microsoft.com/office/drawing/2014/main" id="{60835CAE-B35B-45F0-89E4-1485DA419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4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19050</xdr:colOff>
      <xdr:row>44</xdr:row>
      <xdr:rowOff>0</xdr:rowOff>
    </xdr:to>
    <xdr:pic>
      <xdr:nvPicPr>
        <xdr:cNvPr id="185" name="Picture 222">
          <a:extLst>
            <a:ext uri="{FF2B5EF4-FFF2-40B4-BE49-F238E27FC236}">
              <a16:creationId xmlns:a16="http://schemas.microsoft.com/office/drawing/2014/main" id="{F7CA60F2-8649-4B1F-972A-343DCA5E2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19050</xdr:colOff>
      <xdr:row>44</xdr:row>
      <xdr:rowOff>19050</xdr:rowOff>
    </xdr:to>
    <xdr:pic>
      <xdr:nvPicPr>
        <xdr:cNvPr id="186" name="Picture 225">
          <a:extLst>
            <a:ext uri="{FF2B5EF4-FFF2-40B4-BE49-F238E27FC236}">
              <a16:creationId xmlns:a16="http://schemas.microsoft.com/office/drawing/2014/main" id="{6B196600-0E59-4B2D-9EEB-CA4644E63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9050" cy="19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19050</xdr:colOff>
      <xdr:row>45</xdr:row>
      <xdr:rowOff>0</xdr:rowOff>
    </xdr:to>
    <xdr:pic>
      <xdr:nvPicPr>
        <xdr:cNvPr id="187" name="Picture 226">
          <a:extLst>
            <a:ext uri="{FF2B5EF4-FFF2-40B4-BE49-F238E27FC236}">
              <a16:creationId xmlns:a16="http://schemas.microsoft.com/office/drawing/2014/main" id="{374AAF3A-EFC2-4804-A2DD-5FB2B1C6E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12700</xdr:colOff>
      <xdr:row>32</xdr:row>
      <xdr:rowOff>12700</xdr:rowOff>
    </xdr:to>
    <xdr:pic>
      <xdr:nvPicPr>
        <xdr:cNvPr id="188" name="Picture 5">
          <a:extLst>
            <a:ext uri="{FF2B5EF4-FFF2-40B4-BE49-F238E27FC236}">
              <a16:creationId xmlns:a16="http://schemas.microsoft.com/office/drawing/2014/main" id="{DC91F634-901B-4142-A7D0-258999E2D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12700</xdr:colOff>
      <xdr:row>29</xdr:row>
      <xdr:rowOff>12700</xdr:rowOff>
    </xdr:to>
    <xdr:pic>
      <xdr:nvPicPr>
        <xdr:cNvPr id="190" name="Picture 12">
          <a:extLst>
            <a:ext uri="{FF2B5EF4-FFF2-40B4-BE49-F238E27FC236}">
              <a16:creationId xmlns:a16="http://schemas.microsoft.com/office/drawing/2014/main" id="{F03A21FA-1C52-4B22-92C2-DB0AC9C7C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12700</xdr:colOff>
      <xdr:row>8</xdr:row>
      <xdr:rowOff>0</xdr:rowOff>
    </xdr:to>
    <xdr:pic>
      <xdr:nvPicPr>
        <xdr:cNvPr id="191" name="Picture 13">
          <a:extLst>
            <a:ext uri="{FF2B5EF4-FFF2-40B4-BE49-F238E27FC236}">
              <a16:creationId xmlns:a16="http://schemas.microsoft.com/office/drawing/2014/main" id="{96979749-52F2-49C0-8497-25848D77F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12700</xdr:colOff>
      <xdr:row>46</xdr:row>
      <xdr:rowOff>12700</xdr:rowOff>
    </xdr:to>
    <xdr:pic>
      <xdr:nvPicPr>
        <xdr:cNvPr id="192" name="Picture 43">
          <a:extLst>
            <a:ext uri="{FF2B5EF4-FFF2-40B4-BE49-F238E27FC236}">
              <a16:creationId xmlns:a16="http://schemas.microsoft.com/office/drawing/2014/main" id="{64C7601F-E322-46BF-BADB-D4A35E815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6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12700</xdr:colOff>
      <xdr:row>26</xdr:row>
      <xdr:rowOff>12700</xdr:rowOff>
    </xdr:to>
    <xdr:pic>
      <xdr:nvPicPr>
        <xdr:cNvPr id="193" name="Picture 50">
          <a:extLst>
            <a:ext uri="{FF2B5EF4-FFF2-40B4-BE49-F238E27FC236}">
              <a16:creationId xmlns:a16="http://schemas.microsoft.com/office/drawing/2014/main" id="{9F754E3B-D8DE-4C33-9013-920387FE9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12700</xdr:colOff>
      <xdr:row>36</xdr:row>
      <xdr:rowOff>12700</xdr:rowOff>
    </xdr:to>
    <xdr:pic>
      <xdr:nvPicPr>
        <xdr:cNvPr id="194" name="Picture 52">
          <a:extLst>
            <a:ext uri="{FF2B5EF4-FFF2-40B4-BE49-F238E27FC236}">
              <a16:creationId xmlns:a16="http://schemas.microsoft.com/office/drawing/2014/main" id="{395B099D-A8DC-4ED7-9ED8-E94A9FA70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1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12700</xdr:colOff>
      <xdr:row>10</xdr:row>
      <xdr:rowOff>0</xdr:rowOff>
    </xdr:to>
    <xdr:pic>
      <xdr:nvPicPr>
        <xdr:cNvPr id="196" name="Picture 55">
          <a:extLst>
            <a:ext uri="{FF2B5EF4-FFF2-40B4-BE49-F238E27FC236}">
              <a16:creationId xmlns:a16="http://schemas.microsoft.com/office/drawing/2014/main" id="{1DDA3871-A1E3-41F6-8176-56A7275CA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9</xdr:row>
      <xdr:rowOff>444500</xdr:rowOff>
    </xdr:from>
    <xdr:to>
      <xdr:col>0</xdr:col>
      <xdr:colOff>12700</xdr:colOff>
      <xdr:row>10</xdr:row>
      <xdr:rowOff>0</xdr:rowOff>
    </xdr:to>
    <xdr:pic>
      <xdr:nvPicPr>
        <xdr:cNvPr id="197" name="Picture 56">
          <a:extLst>
            <a:ext uri="{FF2B5EF4-FFF2-40B4-BE49-F238E27FC236}">
              <a16:creationId xmlns:a16="http://schemas.microsoft.com/office/drawing/2014/main" id="{C89E9D50-70E4-4C71-BBCB-52C366E94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1325"/>
          <a:ext cx="12700" cy="3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12700</xdr:colOff>
      <xdr:row>40</xdr:row>
      <xdr:rowOff>12700</xdr:rowOff>
    </xdr:to>
    <xdr:pic>
      <xdr:nvPicPr>
        <xdr:cNvPr id="198" name="Picture 60">
          <a:extLst>
            <a:ext uri="{FF2B5EF4-FFF2-40B4-BE49-F238E27FC236}">
              <a16:creationId xmlns:a16="http://schemas.microsoft.com/office/drawing/2014/main" id="{D33969FD-D32B-46D4-9BF0-8843AFCD1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3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12700</xdr:colOff>
      <xdr:row>47</xdr:row>
      <xdr:rowOff>12700</xdr:rowOff>
    </xdr:to>
    <xdr:pic>
      <xdr:nvPicPr>
        <xdr:cNvPr id="199" name="Picture 64">
          <a:extLst>
            <a:ext uri="{FF2B5EF4-FFF2-40B4-BE49-F238E27FC236}">
              <a16:creationId xmlns:a16="http://schemas.microsoft.com/office/drawing/2014/main" id="{824BE849-7741-4889-8F82-C9DB87973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87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12700</xdr:colOff>
      <xdr:row>11</xdr:row>
      <xdr:rowOff>0</xdr:rowOff>
    </xdr:to>
    <xdr:pic>
      <xdr:nvPicPr>
        <xdr:cNvPr id="200" name="Picture 65">
          <a:extLst>
            <a:ext uri="{FF2B5EF4-FFF2-40B4-BE49-F238E27FC236}">
              <a16:creationId xmlns:a16="http://schemas.microsoft.com/office/drawing/2014/main" id="{DB01CD49-0045-4788-8561-8089725B3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12</xdr:row>
      <xdr:rowOff>0</xdr:rowOff>
    </xdr:to>
    <xdr:pic>
      <xdr:nvPicPr>
        <xdr:cNvPr id="202" name="Picture 71">
          <a:extLst>
            <a:ext uri="{FF2B5EF4-FFF2-40B4-BE49-F238E27FC236}">
              <a16:creationId xmlns:a16="http://schemas.microsoft.com/office/drawing/2014/main" id="{0DB75387-1ED0-4C37-BEB4-A0CE17A99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12700</xdr:colOff>
      <xdr:row>13</xdr:row>
      <xdr:rowOff>0</xdr:rowOff>
    </xdr:to>
    <xdr:pic>
      <xdr:nvPicPr>
        <xdr:cNvPr id="203" name="Picture 72">
          <a:extLst>
            <a:ext uri="{FF2B5EF4-FFF2-40B4-BE49-F238E27FC236}">
              <a16:creationId xmlns:a16="http://schemas.microsoft.com/office/drawing/2014/main" id="{8F2D0C3F-996A-4A15-9490-ACF7D5062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12</xdr:row>
      <xdr:rowOff>444500</xdr:rowOff>
    </xdr:from>
    <xdr:to>
      <xdr:col>0</xdr:col>
      <xdr:colOff>12700</xdr:colOff>
      <xdr:row>13</xdr:row>
      <xdr:rowOff>0</xdr:rowOff>
    </xdr:to>
    <xdr:pic>
      <xdr:nvPicPr>
        <xdr:cNvPr id="204" name="Picture 73">
          <a:extLst>
            <a:ext uri="{FF2B5EF4-FFF2-40B4-BE49-F238E27FC236}">
              <a16:creationId xmlns:a16="http://schemas.microsoft.com/office/drawing/2014/main" id="{A64D2D8B-AD41-4D93-8663-B8C9F6983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3325"/>
          <a:ext cx="12700" cy="3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12700</xdr:colOff>
      <xdr:row>14</xdr:row>
      <xdr:rowOff>0</xdr:rowOff>
    </xdr:to>
    <xdr:pic>
      <xdr:nvPicPr>
        <xdr:cNvPr id="205" name="Picture 74">
          <a:extLst>
            <a:ext uri="{FF2B5EF4-FFF2-40B4-BE49-F238E27FC236}">
              <a16:creationId xmlns:a16="http://schemas.microsoft.com/office/drawing/2014/main" id="{CC716AF1-540D-4752-B9A8-DB3B0F807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12700</xdr:colOff>
      <xdr:row>15</xdr:row>
      <xdr:rowOff>12700</xdr:rowOff>
    </xdr:to>
    <xdr:pic>
      <xdr:nvPicPr>
        <xdr:cNvPr id="206" name="Picture 75">
          <a:extLst>
            <a:ext uri="{FF2B5EF4-FFF2-40B4-BE49-F238E27FC236}">
              <a16:creationId xmlns:a16="http://schemas.microsoft.com/office/drawing/2014/main" id="{8D116C33-C559-478F-AD75-33B5B7A76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12700</xdr:colOff>
      <xdr:row>16</xdr:row>
      <xdr:rowOff>0</xdr:rowOff>
    </xdr:to>
    <xdr:pic>
      <xdr:nvPicPr>
        <xdr:cNvPr id="207" name="Picture 76">
          <a:extLst>
            <a:ext uri="{FF2B5EF4-FFF2-40B4-BE49-F238E27FC236}">
              <a16:creationId xmlns:a16="http://schemas.microsoft.com/office/drawing/2014/main" id="{CFB6DA84-4000-4D2F-AD11-EE5F75698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12700</xdr:colOff>
      <xdr:row>17</xdr:row>
      <xdr:rowOff>0</xdr:rowOff>
    </xdr:to>
    <xdr:pic>
      <xdr:nvPicPr>
        <xdr:cNvPr id="208" name="Picture 77">
          <a:extLst>
            <a:ext uri="{FF2B5EF4-FFF2-40B4-BE49-F238E27FC236}">
              <a16:creationId xmlns:a16="http://schemas.microsoft.com/office/drawing/2014/main" id="{BF5AB208-CF82-4C7E-82A5-D8299B517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12700</xdr:colOff>
      <xdr:row>4</xdr:row>
      <xdr:rowOff>12700</xdr:rowOff>
    </xdr:to>
    <xdr:pic>
      <xdr:nvPicPr>
        <xdr:cNvPr id="209" name="Picture 78">
          <a:extLst>
            <a:ext uri="{FF2B5EF4-FFF2-40B4-BE49-F238E27FC236}">
              <a16:creationId xmlns:a16="http://schemas.microsoft.com/office/drawing/2014/main" id="{3DCC729D-8CA9-447C-9D7A-18C9E4FB3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12700</xdr:colOff>
      <xdr:row>18</xdr:row>
      <xdr:rowOff>0</xdr:rowOff>
    </xdr:to>
    <xdr:pic>
      <xdr:nvPicPr>
        <xdr:cNvPr id="210" name="Picture 79">
          <a:extLst>
            <a:ext uri="{FF2B5EF4-FFF2-40B4-BE49-F238E27FC236}">
              <a16:creationId xmlns:a16="http://schemas.microsoft.com/office/drawing/2014/main" id="{814DD33C-30D5-47E2-A284-50968B441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12700</xdr:colOff>
      <xdr:row>19</xdr:row>
      <xdr:rowOff>0</xdr:rowOff>
    </xdr:to>
    <xdr:pic>
      <xdr:nvPicPr>
        <xdr:cNvPr id="213" name="Picture 85">
          <a:extLst>
            <a:ext uri="{FF2B5EF4-FFF2-40B4-BE49-F238E27FC236}">
              <a16:creationId xmlns:a16="http://schemas.microsoft.com/office/drawing/2014/main" id="{95AFC72A-0A1D-4665-AC6E-79743064B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12700</xdr:colOff>
      <xdr:row>19</xdr:row>
      <xdr:rowOff>12700</xdr:rowOff>
    </xdr:to>
    <xdr:pic>
      <xdr:nvPicPr>
        <xdr:cNvPr id="214" name="Picture 90">
          <a:extLst>
            <a:ext uri="{FF2B5EF4-FFF2-40B4-BE49-F238E27FC236}">
              <a16:creationId xmlns:a16="http://schemas.microsoft.com/office/drawing/2014/main" id="{994FDD38-1C4D-4171-BDBB-256E3CB80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12700</xdr:colOff>
      <xdr:row>20</xdr:row>
      <xdr:rowOff>0</xdr:rowOff>
    </xdr:to>
    <xdr:pic>
      <xdr:nvPicPr>
        <xdr:cNvPr id="215" name="Picture 91">
          <a:extLst>
            <a:ext uri="{FF2B5EF4-FFF2-40B4-BE49-F238E27FC236}">
              <a16:creationId xmlns:a16="http://schemas.microsoft.com/office/drawing/2014/main" id="{2F0E3E97-4EE3-49E7-B7F7-EF5E99C96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12700</xdr:colOff>
      <xdr:row>21</xdr:row>
      <xdr:rowOff>0</xdr:rowOff>
    </xdr:to>
    <xdr:pic>
      <xdr:nvPicPr>
        <xdr:cNvPr id="216" name="Picture 93">
          <a:extLst>
            <a:ext uri="{FF2B5EF4-FFF2-40B4-BE49-F238E27FC236}">
              <a16:creationId xmlns:a16="http://schemas.microsoft.com/office/drawing/2014/main" id="{1C587B76-2869-49BE-8E0F-A2C696BE4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12700</xdr:colOff>
      <xdr:row>22</xdr:row>
      <xdr:rowOff>0</xdr:rowOff>
    </xdr:to>
    <xdr:pic>
      <xdr:nvPicPr>
        <xdr:cNvPr id="217" name="Picture 95">
          <a:extLst>
            <a:ext uri="{FF2B5EF4-FFF2-40B4-BE49-F238E27FC236}">
              <a16:creationId xmlns:a16="http://schemas.microsoft.com/office/drawing/2014/main" id="{59C7157D-83B8-4A12-80DC-E747BD6FF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12700</xdr:colOff>
      <xdr:row>23</xdr:row>
      <xdr:rowOff>0</xdr:rowOff>
    </xdr:to>
    <xdr:pic>
      <xdr:nvPicPr>
        <xdr:cNvPr id="218" name="Picture 98">
          <a:extLst>
            <a:ext uri="{FF2B5EF4-FFF2-40B4-BE49-F238E27FC236}">
              <a16:creationId xmlns:a16="http://schemas.microsoft.com/office/drawing/2014/main" id="{DD616F59-5648-4B80-9E69-CEDB4E836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444500</xdr:rowOff>
    </xdr:from>
    <xdr:to>
      <xdr:col>0</xdr:col>
      <xdr:colOff>12700</xdr:colOff>
      <xdr:row>23</xdr:row>
      <xdr:rowOff>0</xdr:rowOff>
    </xdr:to>
    <xdr:pic>
      <xdr:nvPicPr>
        <xdr:cNvPr id="219" name="Picture 99">
          <a:extLst>
            <a:ext uri="{FF2B5EF4-FFF2-40B4-BE49-F238E27FC236}">
              <a16:creationId xmlns:a16="http://schemas.microsoft.com/office/drawing/2014/main" id="{F58ADF91-C46E-4157-847B-BDE58B64B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59325"/>
          <a:ext cx="12700" cy="3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12700</xdr:colOff>
      <xdr:row>23</xdr:row>
      <xdr:rowOff>12700</xdr:rowOff>
    </xdr:to>
    <xdr:pic>
      <xdr:nvPicPr>
        <xdr:cNvPr id="220" name="Picture 103">
          <a:extLst>
            <a:ext uri="{FF2B5EF4-FFF2-40B4-BE49-F238E27FC236}">
              <a16:creationId xmlns:a16="http://schemas.microsoft.com/office/drawing/2014/main" id="{0A6E5AEA-D875-43ED-A569-C4B7ED749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12700</xdr:colOff>
      <xdr:row>24</xdr:row>
      <xdr:rowOff>0</xdr:rowOff>
    </xdr:to>
    <xdr:pic>
      <xdr:nvPicPr>
        <xdr:cNvPr id="221" name="Picture 104">
          <a:extLst>
            <a:ext uri="{FF2B5EF4-FFF2-40B4-BE49-F238E27FC236}">
              <a16:creationId xmlns:a16="http://schemas.microsoft.com/office/drawing/2014/main" id="{E6A67E81-A539-41EB-9A0F-6AE01F507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12700</xdr:colOff>
      <xdr:row>25</xdr:row>
      <xdr:rowOff>0</xdr:rowOff>
    </xdr:to>
    <xdr:pic>
      <xdr:nvPicPr>
        <xdr:cNvPr id="223" name="Picture 110">
          <a:extLst>
            <a:ext uri="{FF2B5EF4-FFF2-40B4-BE49-F238E27FC236}">
              <a16:creationId xmlns:a16="http://schemas.microsoft.com/office/drawing/2014/main" id="{A837D512-3A43-4AEC-B661-767C39CE1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12700</xdr:colOff>
      <xdr:row>26</xdr:row>
      <xdr:rowOff>0</xdr:rowOff>
    </xdr:to>
    <xdr:pic>
      <xdr:nvPicPr>
        <xdr:cNvPr id="224" name="Picture 111">
          <a:extLst>
            <a:ext uri="{FF2B5EF4-FFF2-40B4-BE49-F238E27FC236}">
              <a16:creationId xmlns:a16="http://schemas.microsoft.com/office/drawing/2014/main" id="{C7305C7D-845E-4103-B2B5-4750989EE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12700</xdr:colOff>
      <xdr:row>27</xdr:row>
      <xdr:rowOff>0</xdr:rowOff>
    </xdr:to>
    <xdr:pic>
      <xdr:nvPicPr>
        <xdr:cNvPr id="225" name="Picture 113">
          <a:extLst>
            <a:ext uri="{FF2B5EF4-FFF2-40B4-BE49-F238E27FC236}">
              <a16:creationId xmlns:a16="http://schemas.microsoft.com/office/drawing/2014/main" id="{D5E85728-10D3-4F08-BEF7-1ECCBB72C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12700</xdr:colOff>
      <xdr:row>28</xdr:row>
      <xdr:rowOff>0</xdr:rowOff>
    </xdr:to>
    <xdr:pic>
      <xdr:nvPicPr>
        <xdr:cNvPr id="226" name="Picture 115">
          <a:extLst>
            <a:ext uri="{FF2B5EF4-FFF2-40B4-BE49-F238E27FC236}">
              <a16:creationId xmlns:a16="http://schemas.microsoft.com/office/drawing/2014/main" id="{A8125299-4783-4930-A4CE-627C5C95E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12700</xdr:colOff>
      <xdr:row>29</xdr:row>
      <xdr:rowOff>0</xdr:rowOff>
    </xdr:to>
    <xdr:pic>
      <xdr:nvPicPr>
        <xdr:cNvPr id="227" name="Picture 117">
          <a:extLst>
            <a:ext uri="{FF2B5EF4-FFF2-40B4-BE49-F238E27FC236}">
              <a16:creationId xmlns:a16="http://schemas.microsoft.com/office/drawing/2014/main" id="{C7C6019C-BCF1-44AE-82EE-98C73BAD2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12700</xdr:colOff>
      <xdr:row>30</xdr:row>
      <xdr:rowOff>0</xdr:rowOff>
    </xdr:to>
    <xdr:pic>
      <xdr:nvPicPr>
        <xdr:cNvPr id="228" name="Picture 119">
          <a:extLst>
            <a:ext uri="{FF2B5EF4-FFF2-40B4-BE49-F238E27FC236}">
              <a16:creationId xmlns:a16="http://schemas.microsoft.com/office/drawing/2014/main" id="{1F633E5B-4643-4E49-991B-3D3CBC13D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444500</xdr:rowOff>
    </xdr:from>
    <xdr:to>
      <xdr:col>0</xdr:col>
      <xdr:colOff>12700</xdr:colOff>
      <xdr:row>30</xdr:row>
      <xdr:rowOff>0</xdr:rowOff>
    </xdr:to>
    <xdr:pic>
      <xdr:nvPicPr>
        <xdr:cNvPr id="229" name="Picture 120">
          <a:extLst>
            <a:ext uri="{FF2B5EF4-FFF2-40B4-BE49-F238E27FC236}">
              <a16:creationId xmlns:a16="http://schemas.microsoft.com/office/drawing/2014/main" id="{516FB0E7-EECA-4A67-8C99-DCF357B06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3325"/>
          <a:ext cx="12700" cy="3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12700</xdr:colOff>
      <xdr:row>44</xdr:row>
      <xdr:rowOff>12700</xdr:rowOff>
    </xdr:to>
    <xdr:pic>
      <xdr:nvPicPr>
        <xdr:cNvPr id="230" name="Picture 121">
          <a:extLst>
            <a:ext uri="{FF2B5EF4-FFF2-40B4-BE49-F238E27FC236}">
              <a16:creationId xmlns:a16="http://schemas.microsoft.com/office/drawing/2014/main" id="{457852BF-1441-4FCC-8AAA-9C532893F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12700</xdr:colOff>
      <xdr:row>50</xdr:row>
      <xdr:rowOff>12700</xdr:rowOff>
    </xdr:to>
    <xdr:pic>
      <xdr:nvPicPr>
        <xdr:cNvPr id="232" name="Picture 126">
          <a:extLst>
            <a:ext uri="{FF2B5EF4-FFF2-40B4-BE49-F238E27FC236}">
              <a16:creationId xmlns:a16="http://schemas.microsoft.com/office/drawing/2014/main" id="{B7BC4E79-8CD3-4C4F-ADB7-07F7C93DF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12700</xdr:colOff>
      <xdr:row>60</xdr:row>
      <xdr:rowOff>12700</xdr:rowOff>
    </xdr:to>
    <xdr:pic>
      <xdr:nvPicPr>
        <xdr:cNvPr id="235" name="Picture 130">
          <a:extLst>
            <a:ext uri="{FF2B5EF4-FFF2-40B4-BE49-F238E27FC236}">
              <a16:creationId xmlns:a16="http://schemas.microsoft.com/office/drawing/2014/main" id="{8F1472BA-A3AB-4872-97F7-7867EE8FD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44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12700</xdr:colOff>
      <xdr:row>31</xdr:row>
      <xdr:rowOff>0</xdr:rowOff>
    </xdr:to>
    <xdr:pic>
      <xdr:nvPicPr>
        <xdr:cNvPr id="236" name="Picture 133">
          <a:extLst>
            <a:ext uri="{FF2B5EF4-FFF2-40B4-BE49-F238E27FC236}">
              <a16:creationId xmlns:a16="http://schemas.microsoft.com/office/drawing/2014/main" id="{268F2C82-28EF-46C2-B6E9-EA8E624BC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444500</xdr:rowOff>
    </xdr:from>
    <xdr:to>
      <xdr:col>0</xdr:col>
      <xdr:colOff>12700</xdr:colOff>
      <xdr:row>31</xdr:row>
      <xdr:rowOff>0</xdr:rowOff>
    </xdr:to>
    <xdr:pic>
      <xdr:nvPicPr>
        <xdr:cNvPr id="237" name="Picture 134">
          <a:extLst>
            <a:ext uri="{FF2B5EF4-FFF2-40B4-BE49-F238E27FC236}">
              <a16:creationId xmlns:a16="http://schemas.microsoft.com/office/drawing/2014/main" id="{07B0EB2F-01E3-4328-94D7-390B09752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5825"/>
          <a:ext cx="12700" cy="3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12700</xdr:colOff>
      <xdr:row>63</xdr:row>
      <xdr:rowOff>12700</xdr:rowOff>
    </xdr:to>
    <xdr:pic>
      <xdr:nvPicPr>
        <xdr:cNvPr id="238" name="Picture 135">
          <a:extLst>
            <a:ext uri="{FF2B5EF4-FFF2-40B4-BE49-F238E27FC236}">
              <a16:creationId xmlns:a16="http://schemas.microsoft.com/office/drawing/2014/main" id="{B5AA3C25-DEC7-43BC-85AD-104334DD3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6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12700</xdr:colOff>
      <xdr:row>32</xdr:row>
      <xdr:rowOff>12700</xdr:rowOff>
    </xdr:to>
    <xdr:pic>
      <xdr:nvPicPr>
        <xdr:cNvPr id="239" name="Picture 136">
          <a:extLst>
            <a:ext uri="{FF2B5EF4-FFF2-40B4-BE49-F238E27FC236}">
              <a16:creationId xmlns:a16="http://schemas.microsoft.com/office/drawing/2014/main" id="{A539CBB8-844D-4F92-AC10-BB4B6F37D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12700</xdr:colOff>
      <xdr:row>33</xdr:row>
      <xdr:rowOff>0</xdr:rowOff>
    </xdr:to>
    <xdr:pic>
      <xdr:nvPicPr>
        <xdr:cNvPr id="240" name="Picture 137">
          <a:extLst>
            <a:ext uri="{FF2B5EF4-FFF2-40B4-BE49-F238E27FC236}">
              <a16:creationId xmlns:a16="http://schemas.microsoft.com/office/drawing/2014/main" id="{0E820BC8-0E22-4292-AE93-BA1D25D40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12700</xdr:colOff>
      <xdr:row>34</xdr:row>
      <xdr:rowOff>0</xdr:rowOff>
    </xdr:to>
    <xdr:pic>
      <xdr:nvPicPr>
        <xdr:cNvPr id="241" name="Picture 138">
          <a:extLst>
            <a:ext uri="{FF2B5EF4-FFF2-40B4-BE49-F238E27FC236}">
              <a16:creationId xmlns:a16="http://schemas.microsoft.com/office/drawing/2014/main" id="{CF8BA4AA-C53B-42AC-BE0A-DD4684BE4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12700</xdr:colOff>
      <xdr:row>35</xdr:row>
      <xdr:rowOff>0</xdr:rowOff>
    </xdr:to>
    <xdr:pic>
      <xdr:nvPicPr>
        <xdr:cNvPr id="242" name="Picture 139">
          <a:extLst>
            <a:ext uri="{FF2B5EF4-FFF2-40B4-BE49-F238E27FC236}">
              <a16:creationId xmlns:a16="http://schemas.microsoft.com/office/drawing/2014/main" id="{E77F1985-893D-4C05-959B-451FDCB6B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12700</xdr:colOff>
      <xdr:row>36</xdr:row>
      <xdr:rowOff>0</xdr:rowOff>
    </xdr:to>
    <xdr:pic>
      <xdr:nvPicPr>
        <xdr:cNvPr id="243" name="Picture 140">
          <a:extLst>
            <a:ext uri="{FF2B5EF4-FFF2-40B4-BE49-F238E27FC236}">
              <a16:creationId xmlns:a16="http://schemas.microsoft.com/office/drawing/2014/main" id="{68DBE748-B7AA-433F-B0F1-6D1C889EA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1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12700</xdr:colOff>
      <xdr:row>37</xdr:row>
      <xdr:rowOff>12700</xdr:rowOff>
    </xdr:to>
    <xdr:pic>
      <xdr:nvPicPr>
        <xdr:cNvPr id="244" name="Picture 142">
          <a:extLst>
            <a:ext uri="{FF2B5EF4-FFF2-40B4-BE49-F238E27FC236}">
              <a16:creationId xmlns:a16="http://schemas.microsoft.com/office/drawing/2014/main" id="{6BE81108-CDDF-400C-9C21-A41839CFC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1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36</xdr:row>
      <xdr:rowOff>444500</xdr:rowOff>
    </xdr:from>
    <xdr:to>
      <xdr:col>0</xdr:col>
      <xdr:colOff>12700</xdr:colOff>
      <xdr:row>38</xdr:row>
      <xdr:rowOff>12700</xdr:rowOff>
    </xdr:to>
    <xdr:pic>
      <xdr:nvPicPr>
        <xdr:cNvPr id="245" name="Picture 143">
          <a:extLst>
            <a:ext uri="{FF2B5EF4-FFF2-40B4-BE49-F238E27FC236}">
              <a16:creationId xmlns:a16="http://schemas.microsoft.com/office/drawing/2014/main" id="{B72B313B-F3A4-4A7E-A6E3-A024A4AE1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78825"/>
          <a:ext cx="12700" cy="2063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12700</xdr:colOff>
      <xdr:row>39</xdr:row>
      <xdr:rowOff>0</xdr:rowOff>
    </xdr:to>
    <xdr:pic>
      <xdr:nvPicPr>
        <xdr:cNvPr id="246" name="Picture 144">
          <a:extLst>
            <a:ext uri="{FF2B5EF4-FFF2-40B4-BE49-F238E27FC236}">
              <a16:creationId xmlns:a16="http://schemas.microsoft.com/office/drawing/2014/main" id="{9984BD86-058D-4939-AC46-BC79D2E2C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12700</xdr:colOff>
      <xdr:row>45</xdr:row>
      <xdr:rowOff>12700</xdr:rowOff>
    </xdr:to>
    <xdr:pic>
      <xdr:nvPicPr>
        <xdr:cNvPr id="247" name="Picture 146">
          <a:extLst>
            <a:ext uri="{FF2B5EF4-FFF2-40B4-BE49-F238E27FC236}">
              <a16:creationId xmlns:a16="http://schemas.microsoft.com/office/drawing/2014/main" id="{49A0CBE1-FE2F-4008-A680-631171486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12700</xdr:colOff>
      <xdr:row>40</xdr:row>
      <xdr:rowOff>0</xdr:rowOff>
    </xdr:to>
    <xdr:pic>
      <xdr:nvPicPr>
        <xdr:cNvPr id="248" name="Picture 147">
          <a:extLst>
            <a:ext uri="{FF2B5EF4-FFF2-40B4-BE49-F238E27FC236}">
              <a16:creationId xmlns:a16="http://schemas.microsoft.com/office/drawing/2014/main" id="{27DA4AE2-F011-4E08-ACF3-463E8E1DF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12700</xdr:colOff>
      <xdr:row>41</xdr:row>
      <xdr:rowOff>0</xdr:rowOff>
    </xdr:to>
    <xdr:pic>
      <xdr:nvPicPr>
        <xdr:cNvPr id="249" name="Picture 148">
          <a:extLst>
            <a:ext uri="{FF2B5EF4-FFF2-40B4-BE49-F238E27FC236}">
              <a16:creationId xmlns:a16="http://schemas.microsoft.com/office/drawing/2014/main" id="{E7791BCA-1301-4EFB-917A-99FF0989E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3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12700</xdr:colOff>
      <xdr:row>42</xdr:row>
      <xdr:rowOff>0</xdr:rowOff>
    </xdr:to>
    <xdr:pic>
      <xdr:nvPicPr>
        <xdr:cNvPr id="250" name="Picture 150">
          <a:extLst>
            <a:ext uri="{FF2B5EF4-FFF2-40B4-BE49-F238E27FC236}">
              <a16:creationId xmlns:a16="http://schemas.microsoft.com/office/drawing/2014/main" id="{38528DF8-B485-4CC5-97E5-C6F339984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12700</xdr:colOff>
      <xdr:row>43</xdr:row>
      <xdr:rowOff>0</xdr:rowOff>
    </xdr:to>
    <xdr:pic>
      <xdr:nvPicPr>
        <xdr:cNvPr id="251" name="Picture 151">
          <a:extLst>
            <a:ext uri="{FF2B5EF4-FFF2-40B4-BE49-F238E27FC236}">
              <a16:creationId xmlns:a16="http://schemas.microsoft.com/office/drawing/2014/main" id="{5509F333-94C2-4708-93BA-F11E2545F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4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12700</xdr:colOff>
      <xdr:row>44</xdr:row>
      <xdr:rowOff>0</xdr:rowOff>
    </xdr:to>
    <xdr:pic>
      <xdr:nvPicPr>
        <xdr:cNvPr id="252" name="Picture 153">
          <a:extLst>
            <a:ext uri="{FF2B5EF4-FFF2-40B4-BE49-F238E27FC236}">
              <a16:creationId xmlns:a16="http://schemas.microsoft.com/office/drawing/2014/main" id="{76C8E602-A09F-451E-A5DA-011055016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12700</xdr:colOff>
      <xdr:row>31</xdr:row>
      <xdr:rowOff>12700</xdr:rowOff>
    </xdr:to>
    <xdr:pic>
      <xdr:nvPicPr>
        <xdr:cNvPr id="253" name="Picture 154">
          <a:extLst>
            <a:ext uri="{FF2B5EF4-FFF2-40B4-BE49-F238E27FC236}">
              <a16:creationId xmlns:a16="http://schemas.microsoft.com/office/drawing/2014/main" id="{1622C66E-9A52-47C1-B472-0E0310C2D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12700</xdr:colOff>
      <xdr:row>44</xdr:row>
      <xdr:rowOff>12700</xdr:rowOff>
    </xdr:to>
    <xdr:pic>
      <xdr:nvPicPr>
        <xdr:cNvPr id="254" name="Picture 155">
          <a:extLst>
            <a:ext uri="{FF2B5EF4-FFF2-40B4-BE49-F238E27FC236}">
              <a16:creationId xmlns:a16="http://schemas.microsoft.com/office/drawing/2014/main" id="{89E52084-0236-4A83-9D19-6690A5A98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12700</xdr:colOff>
      <xdr:row>45</xdr:row>
      <xdr:rowOff>0</xdr:rowOff>
    </xdr:to>
    <xdr:pic>
      <xdr:nvPicPr>
        <xdr:cNvPr id="255" name="Picture 156">
          <a:extLst>
            <a:ext uri="{FF2B5EF4-FFF2-40B4-BE49-F238E27FC236}">
              <a16:creationId xmlns:a16="http://schemas.microsoft.com/office/drawing/2014/main" id="{2B5B719C-4128-43B7-88B0-4259B3166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12700</xdr:colOff>
      <xdr:row>64</xdr:row>
      <xdr:rowOff>12700</xdr:rowOff>
    </xdr:to>
    <xdr:pic>
      <xdr:nvPicPr>
        <xdr:cNvPr id="256" name="Picture 157">
          <a:extLst>
            <a:ext uri="{FF2B5EF4-FFF2-40B4-BE49-F238E27FC236}">
              <a16:creationId xmlns:a16="http://schemas.microsoft.com/office/drawing/2014/main" id="{F15D282C-981D-408E-BF28-C4BEB1629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06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12700</xdr:colOff>
      <xdr:row>46</xdr:row>
      <xdr:rowOff>12700</xdr:rowOff>
    </xdr:to>
    <xdr:pic>
      <xdr:nvPicPr>
        <xdr:cNvPr id="257" name="Picture 158">
          <a:extLst>
            <a:ext uri="{FF2B5EF4-FFF2-40B4-BE49-F238E27FC236}">
              <a16:creationId xmlns:a16="http://schemas.microsoft.com/office/drawing/2014/main" id="{0C17FCDC-0497-4768-9A5A-EAAA00100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12700</xdr:colOff>
      <xdr:row>47</xdr:row>
      <xdr:rowOff>12700</xdr:rowOff>
    </xdr:to>
    <xdr:pic>
      <xdr:nvPicPr>
        <xdr:cNvPr id="258" name="Picture 159">
          <a:extLst>
            <a:ext uri="{FF2B5EF4-FFF2-40B4-BE49-F238E27FC236}">
              <a16:creationId xmlns:a16="http://schemas.microsoft.com/office/drawing/2014/main" id="{5D36416A-BAEA-4AB8-954A-5427AE998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6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12700</xdr:colOff>
      <xdr:row>48</xdr:row>
      <xdr:rowOff>0</xdr:rowOff>
    </xdr:to>
    <xdr:pic>
      <xdr:nvPicPr>
        <xdr:cNvPr id="259" name="Picture 160">
          <a:extLst>
            <a:ext uri="{FF2B5EF4-FFF2-40B4-BE49-F238E27FC236}">
              <a16:creationId xmlns:a16="http://schemas.microsoft.com/office/drawing/2014/main" id="{B9A5A8E2-8DB7-495D-A1F2-8997C1ACB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87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12700</xdr:colOff>
      <xdr:row>48</xdr:row>
      <xdr:rowOff>12700</xdr:rowOff>
    </xdr:to>
    <xdr:pic>
      <xdr:nvPicPr>
        <xdr:cNvPr id="261" name="Picture 162">
          <a:extLst>
            <a:ext uri="{FF2B5EF4-FFF2-40B4-BE49-F238E27FC236}">
              <a16:creationId xmlns:a16="http://schemas.microsoft.com/office/drawing/2014/main" id="{69226454-B675-4C80-BBED-3AF0158C8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77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12700</xdr:colOff>
      <xdr:row>49</xdr:row>
      <xdr:rowOff>12700</xdr:rowOff>
    </xdr:to>
    <xdr:pic>
      <xdr:nvPicPr>
        <xdr:cNvPr id="262" name="Picture 163">
          <a:extLst>
            <a:ext uri="{FF2B5EF4-FFF2-40B4-BE49-F238E27FC236}">
              <a16:creationId xmlns:a16="http://schemas.microsoft.com/office/drawing/2014/main" id="{A30C80A6-4E7A-4445-A674-A9AC21213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8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12700</xdr:colOff>
      <xdr:row>50</xdr:row>
      <xdr:rowOff>12700</xdr:rowOff>
    </xdr:to>
    <xdr:pic>
      <xdr:nvPicPr>
        <xdr:cNvPr id="263" name="Picture 164">
          <a:extLst>
            <a:ext uri="{FF2B5EF4-FFF2-40B4-BE49-F238E27FC236}">
              <a16:creationId xmlns:a16="http://schemas.microsoft.com/office/drawing/2014/main" id="{F79BF8C7-84CB-4351-91AE-F15F0E476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58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12700</xdr:colOff>
      <xdr:row>51</xdr:row>
      <xdr:rowOff>0</xdr:rowOff>
    </xdr:to>
    <xdr:pic>
      <xdr:nvPicPr>
        <xdr:cNvPr id="264" name="Picture 165">
          <a:extLst>
            <a:ext uri="{FF2B5EF4-FFF2-40B4-BE49-F238E27FC236}">
              <a16:creationId xmlns:a16="http://schemas.microsoft.com/office/drawing/2014/main" id="{E8B8B22D-C705-48F1-8432-6F0D13848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12700</xdr:colOff>
      <xdr:row>52</xdr:row>
      <xdr:rowOff>12700</xdr:rowOff>
    </xdr:to>
    <xdr:pic>
      <xdr:nvPicPr>
        <xdr:cNvPr id="265" name="Picture 167">
          <a:extLst>
            <a:ext uri="{FF2B5EF4-FFF2-40B4-BE49-F238E27FC236}">
              <a16:creationId xmlns:a16="http://schemas.microsoft.com/office/drawing/2014/main" id="{BC81D984-3D59-4EF9-B0B8-8BAE7B864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39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51</xdr:row>
      <xdr:rowOff>444500</xdr:rowOff>
    </xdr:from>
    <xdr:to>
      <xdr:col>0</xdr:col>
      <xdr:colOff>12700</xdr:colOff>
      <xdr:row>53</xdr:row>
      <xdr:rowOff>12700</xdr:rowOff>
    </xdr:to>
    <xdr:pic>
      <xdr:nvPicPr>
        <xdr:cNvPr id="266" name="Picture 168">
          <a:extLst>
            <a:ext uri="{FF2B5EF4-FFF2-40B4-BE49-F238E27FC236}">
              <a16:creationId xmlns:a16="http://schemas.microsoft.com/office/drawing/2014/main" id="{19D79772-8C66-42D8-9550-163F07920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26825"/>
          <a:ext cx="12700" cy="2063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12700</xdr:colOff>
      <xdr:row>54</xdr:row>
      <xdr:rowOff>12700</xdr:rowOff>
    </xdr:to>
    <xdr:pic>
      <xdr:nvPicPr>
        <xdr:cNvPr id="267" name="Picture 169">
          <a:extLst>
            <a:ext uri="{FF2B5EF4-FFF2-40B4-BE49-F238E27FC236}">
              <a16:creationId xmlns:a16="http://schemas.microsoft.com/office/drawing/2014/main" id="{A883865D-AF53-4693-AE24-42E894A96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20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12700</xdr:colOff>
      <xdr:row>55</xdr:row>
      <xdr:rowOff>0</xdr:rowOff>
    </xdr:to>
    <xdr:pic>
      <xdr:nvPicPr>
        <xdr:cNvPr id="268" name="Picture 170">
          <a:extLst>
            <a:ext uri="{FF2B5EF4-FFF2-40B4-BE49-F238E27FC236}">
              <a16:creationId xmlns:a16="http://schemas.microsoft.com/office/drawing/2014/main" id="{2AA956BB-B4F6-4864-B277-5BD7444F4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11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54</xdr:row>
      <xdr:rowOff>444500</xdr:rowOff>
    </xdr:from>
    <xdr:to>
      <xdr:col>0</xdr:col>
      <xdr:colOff>12700</xdr:colOff>
      <xdr:row>55</xdr:row>
      <xdr:rowOff>0</xdr:rowOff>
    </xdr:to>
    <xdr:pic>
      <xdr:nvPicPr>
        <xdr:cNvPr id="269" name="Picture 171">
          <a:extLst>
            <a:ext uri="{FF2B5EF4-FFF2-40B4-BE49-F238E27FC236}">
              <a16:creationId xmlns:a16="http://schemas.microsoft.com/office/drawing/2014/main" id="{7CACB158-FB07-4D43-A02A-EC2C33B19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98325"/>
          <a:ext cx="12700" cy="15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12700</xdr:colOff>
      <xdr:row>56</xdr:row>
      <xdr:rowOff>0</xdr:rowOff>
    </xdr:to>
    <xdr:pic>
      <xdr:nvPicPr>
        <xdr:cNvPr id="271" name="Picture 174">
          <a:extLst>
            <a:ext uri="{FF2B5EF4-FFF2-40B4-BE49-F238E27FC236}">
              <a16:creationId xmlns:a16="http://schemas.microsoft.com/office/drawing/2014/main" id="{2D825AD0-72F3-4B1F-A39C-FABA9C0A9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92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12700</xdr:colOff>
      <xdr:row>16</xdr:row>
      <xdr:rowOff>12700</xdr:rowOff>
    </xdr:to>
    <xdr:pic>
      <xdr:nvPicPr>
        <xdr:cNvPr id="272" name="Picture 175">
          <a:extLst>
            <a:ext uri="{FF2B5EF4-FFF2-40B4-BE49-F238E27FC236}">
              <a16:creationId xmlns:a16="http://schemas.microsoft.com/office/drawing/2014/main" id="{11A7BEC1-4C69-415C-A956-1FFC8E012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12700</xdr:colOff>
      <xdr:row>57</xdr:row>
      <xdr:rowOff>0</xdr:rowOff>
    </xdr:to>
    <xdr:pic>
      <xdr:nvPicPr>
        <xdr:cNvPr id="273" name="Picture 177">
          <a:extLst>
            <a:ext uri="{FF2B5EF4-FFF2-40B4-BE49-F238E27FC236}">
              <a16:creationId xmlns:a16="http://schemas.microsoft.com/office/drawing/2014/main" id="{751C1874-4015-4BA4-9BF8-2BD6ABBAF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12700</xdr:colOff>
      <xdr:row>58</xdr:row>
      <xdr:rowOff>0</xdr:rowOff>
    </xdr:to>
    <xdr:pic>
      <xdr:nvPicPr>
        <xdr:cNvPr id="274" name="Picture 178">
          <a:extLst>
            <a:ext uri="{FF2B5EF4-FFF2-40B4-BE49-F238E27FC236}">
              <a16:creationId xmlns:a16="http://schemas.microsoft.com/office/drawing/2014/main" id="{35BE96D7-691B-442B-BDA5-ADB4B8BAB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73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12700</xdr:colOff>
      <xdr:row>59</xdr:row>
      <xdr:rowOff>0</xdr:rowOff>
    </xdr:to>
    <xdr:pic>
      <xdr:nvPicPr>
        <xdr:cNvPr id="275" name="Picture 179">
          <a:extLst>
            <a:ext uri="{FF2B5EF4-FFF2-40B4-BE49-F238E27FC236}">
              <a16:creationId xmlns:a16="http://schemas.microsoft.com/office/drawing/2014/main" id="{50151B91-3E21-4311-9B1B-0D49C5484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63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12700</xdr:colOff>
      <xdr:row>60</xdr:row>
      <xdr:rowOff>0</xdr:rowOff>
    </xdr:to>
    <xdr:pic>
      <xdr:nvPicPr>
        <xdr:cNvPr id="276" name="Picture 181">
          <a:extLst>
            <a:ext uri="{FF2B5EF4-FFF2-40B4-BE49-F238E27FC236}">
              <a16:creationId xmlns:a16="http://schemas.microsoft.com/office/drawing/2014/main" id="{7AC5DDDC-1612-4E84-B27E-9D48F67BD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54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12700</xdr:colOff>
      <xdr:row>61</xdr:row>
      <xdr:rowOff>0</xdr:rowOff>
    </xdr:to>
    <xdr:pic>
      <xdr:nvPicPr>
        <xdr:cNvPr id="277" name="Picture 184">
          <a:extLst>
            <a:ext uri="{FF2B5EF4-FFF2-40B4-BE49-F238E27FC236}">
              <a16:creationId xmlns:a16="http://schemas.microsoft.com/office/drawing/2014/main" id="{2E16A9BF-69D6-4E38-BE5D-FF992A197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44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60</xdr:row>
      <xdr:rowOff>444500</xdr:rowOff>
    </xdr:from>
    <xdr:to>
      <xdr:col>0</xdr:col>
      <xdr:colOff>12700</xdr:colOff>
      <xdr:row>61</xdr:row>
      <xdr:rowOff>0</xdr:rowOff>
    </xdr:to>
    <xdr:pic>
      <xdr:nvPicPr>
        <xdr:cNvPr id="278" name="Picture 185">
          <a:extLst>
            <a:ext uri="{FF2B5EF4-FFF2-40B4-BE49-F238E27FC236}">
              <a16:creationId xmlns:a16="http://schemas.microsoft.com/office/drawing/2014/main" id="{7050D298-BF27-4C3D-AED2-B1238E4A3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1825"/>
          <a:ext cx="12700" cy="3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12700</xdr:colOff>
      <xdr:row>61</xdr:row>
      <xdr:rowOff>12700</xdr:rowOff>
    </xdr:to>
    <xdr:pic>
      <xdr:nvPicPr>
        <xdr:cNvPr id="279" name="Picture 186">
          <a:extLst>
            <a:ext uri="{FF2B5EF4-FFF2-40B4-BE49-F238E27FC236}">
              <a16:creationId xmlns:a16="http://schemas.microsoft.com/office/drawing/2014/main" id="{1AA11ABD-6D2E-478F-9E5D-D1620FDAD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12700</xdr:colOff>
      <xdr:row>62</xdr:row>
      <xdr:rowOff>0</xdr:rowOff>
    </xdr:to>
    <xdr:pic>
      <xdr:nvPicPr>
        <xdr:cNvPr id="280" name="Picture 187">
          <a:extLst>
            <a:ext uri="{FF2B5EF4-FFF2-40B4-BE49-F238E27FC236}">
              <a16:creationId xmlns:a16="http://schemas.microsoft.com/office/drawing/2014/main" id="{A410C8DF-5D1C-46BA-B611-C47C7B757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12700</xdr:colOff>
      <xdr:row>69</xdr:row>
      <xdr:rowOff>12700</xdr:rowOff>
    </xdr:to>
    <xdr:pic>
      <xdr:nvPicPr>
        <xdr:cNvPr id="281" name="Picture 189">
          <a:extLst>
            <a:ext uri="{FF2B5EF4-FFF2-40B4-BE49-F238E27FC236}">
              <a16:creationId xmlns:a16="http://schemas.microsoft.com/office/drawing/2014/main" id="{B2776E91-BC8D-4545-ABEA-7F3967E94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59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12700</xdr:colOff>
      <xdr:row>63</xdr:row>
      <xdr:rowOff>0</xdr:rowOff>
    </xdr:to>
    <xdr:pic>
      <xdr:nvPicPr>
        <xdr:cNvPr id="282" name="Picture 190">
          <a:extLst>
            <a:ext uri="{FF2B5EF4-FFF2-40B4-BE49-F238E27FC236}">
              <a16:creationId xmlns:a16="http://schemas.microsoft.com/office/drawing/2014/main" id="{CEDF8AB9-E097-49B2-87D8-CFF2E23CA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25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12700</xdr:colOff>
      <xdr:row>64</xdr:row>
      <xdr:rowOff>0</xdr:rowOff>
    </xdr:to>
    <xdr:pic>
      <xdr:nvPicPr>
        <xdr:cNvPr id="283" name="Picture 191">
          <a:extLst>
            <a:ext uri="{FF2B5EF4-FFF2-40B4-BE49-F238E27FC236}">
              <a16:creationId xmlns:a16="http://schemas.microsoft.com/office/drawing/2014/main" id="{D2BE3902-0C73-417E-913E-43098EB7A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6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12700</xdr:colOff>
      <xdr:row>65</xdr:row>
      <xdr:rowOff>0</xdr:rowOff>
    </xdr:to>
    <xdr:pic>
      <xdr:nvPicPr>
        <xdr:cNvPr id="284" name="Picture 193">
          <a:extLst>
            <a:ext uri="{FF2B5EF4-FFF2-40B4-BE49-F238E27FC236}">
              <a16:creationId xmlns:a16="http://schemas.microsoft.com/office/drawing/2014/main" id="{9F131129-27C0-45DC-A316-7F759606B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06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12700</xdr:colOff>
      <xdr:row>66</xdr:row>
      <xdr:rowOff>12700</xdr:rowOff>
    </xdr:to>
    <xdr:pic>
      <xdr:nvPicPr>
        <xdr:cNvPr id="285" name="Picture 196">
          <a:extLst>
            <a:ext uri="{FF2B5EF4-FFF2-40B4-BE49-F238E27FC236}">
              <a16:creationId xmlns:a16="http://schemas.microsoft.com/office/drawing/2014/main" id="{3044D5DA-6538-42D8-909C-8A81D58E2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97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12700</xdr:colOff>
      <xdr:row>67</xdr:row>
      <xdr:rowOff>0</xdr:rowOff>
    </xdr:to>
    <xdr:pic>
      <xdr:nvPicPr>
        <xdr:cNvPr id="286" name="Picture 197">
          <a:extLst>
            <a:ext uri="{FF2B5EF4-FFF2-40B4-BE49-F238E27FC236}">
              <a16:creationId xmlns:a16="http://schemas.microsoft.com/office/drawing/2014/main" id="{2BB9788E-D44B-41A1-A35D-BBF666A5C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87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12700</xdr:colOff>
      <xdr:row>68</xdr:row>
      <xdr:rowOff>0</xdr:rowOff>
    </xdr:to>
    <xdr:pic>
      <xdr:nvPicPr>
        <xdr:cNvPr id="287" name="Picture 198">
          <a:extLst>
            <a:ext uri="{FF2B5EF4-FFF2-40B4-BE49-F238E27FC236}">
              <a16:creationId xmlns:a16="http://schemas.microsoft.com/office/drawing/2014/main" id="{B4EAEB65-878B-4E40-AE89-2AC50DABD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78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12700</xdr:colOff>
      <xdr:row>69</xdr:row>
      <xdr:rowOff>0</xdr:rowOff>
    </xdr:to>
    <xdr:pic>
      <xdr:nvPicPr>
        <xdr:cNvPr id="288" name="Picture 199">
          <a:extLst>
            <a:ext uri="{FF2B5EF4-FFF2-40B4-BE49-F238E27FC236}">
              <a16:creationId xmlns:a16="http://schemas.microsoft.com/office/drawing/2014/main" id="{A81570A8-4E0E-48EC-B2E1-505F8BF7D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68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12700</xdr:colOff>
      <xdr:row>72</xdr:row>
      <xdr:rowOff>12700</xdr:rowOff>
    </xdr:to>
    <xdr:pic>
      <xdr:nvPicPr>
        <xdr:cNvPr id="289" name="Picture 201">
          <a:extLst>
            <a:ext uri="{FF2B5EF4-FFF2-40B4-BE49-F238E27FC236}">
              <a16:creationId xmlns:a16="http://schemas.microsoft.com/office/drawing/2014/main" id="{C73EB006-BF7E-49B5-B665-C128F1899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30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12700</xdr:colOff>
      <xdr:row>70</xdr:row>
      <xdr:rowOff>12700</xdr:rowOff>
    </xdr:to>
    <xdr:pic>
      <xdr:nvPicPr>
        <xdr:cNvPr id="290" name="Picture 202">
          <a:extLst>
            <a:ext uri="{FF2B5EF4-FFF2-40B4-BE49-F238E27FC236}">
              <a16:creationId xmlns:a16="http://schemas.microsoft.com/office/drawing/2014/main" id="{A9E372B4-F4B0-4289-BAE1-A1635ACDD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59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12700</xdr:colOff>
      <xdr:row>71</xdr:row>
      <xdr:rowOff>0</xdr:rowOff>
    </xdr:to>
    <xdr:pic>
      <xdr:nvPicPr>
        <xdr:cNvPr id="291" name="Picture 203">
          <a:extLst>
            <a:ext uri="{FF2B5EF4-FFF2-40B4-BE49-F238E27FC236}">
              <a16:creationId xmlns:a16="http://schemas.microsoft.com/office/drawing/2014/main" id="{4FF04A80-379E-4D29-B274-E5DB46858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49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12700</xdr:colOff>
      <xdr:row>72</xdr:row>
      <xdr:rowOff>0</xdr:rowOff>
    </xdr:to>
    <xdr:pic>
      <xdr:nvPicPr>
        <xdr:cNvPr id="292" name="Picture 205">
          <a:extLst>
            <a:ext uri="{FF2B5EF4-FFF2-40B4-BE49-F238E27FC236}">
              <a16:creationId xmlns:a16="http://schemas.microsoft.com/office/drawing/2014/main" id="{A60A17D4-D035-4A88-B03D-88F306432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12700</xdr:colOff>
      <xdr:row>73</xdr:row>
      <xdr:rowOff>0</xdr:rowOff>
    </xdr:to>
    <xdr:pic>
      <xdr:nvPicPr>
        <xdr:cNvPr id="293" name="Picture 207">
          <a:extLst>
            <a:ext uri="{FF2B5EF4-FFF2-40B4-BE49-F238E27FC236}">
              <a16:creationId xmlns:a16="http://schemas.microsoft.com/office/drawing/2014/main" id="{E77FCE25-CC73-4CBF-827A-D0FA032A2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30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12700</xdr:colOff>
      <xdr:row>74</xdr:row>
      <xdr:rowOff>0</xdr:rowOff>
    </xdr:to>
    <xdr:pic>
      <xdr:nvPicPr>
        <xdr:cNvPr id="294" name="Picture 213">
          <a:extLst>
            <a:ext uri="{FF2B5EF4-FFF2-40B4-BE49-F238E27FC236}">
              <a16:creationId xmlns:a16="http://schemas.microsoft.com/office/drawing/2014/main" id="{95A4D078-6D3E-44F2-8906-FFA0F74C8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21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12700</xdr:colOff>
      <xdr:row>75</xdr:row>
      <xdr:rowOff>0</xdr:rowOff>
    </xdr:to>
    <xdr:pic>
      <xdr:nvPicPr>
        <xdr:cNvPr id="295" name="Picture 214">
          <a:extLst>
            <a:ext uri="{FF2B5EF4-FFF2-40B4-BE49-F238E27FC236}">
              <a16:creationId xmlns:a16="http://schemas.microsoft.com/office/drawing/2014/main" id="{2352178B-B9F7-4D42-874B-92039E3FD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11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12700</xdr:colOff>
      <xdr:row>8</xdr:row>
      <xdr:rowOff>0</xdr:rowOff>
    </xdr:to>
    <xdr:pic>
      <xdr:nvPicPr>
        <xdr:cNvPr id="298" name="Picture 8">
          <a:extLst>
            <a:ext uri="{FF2B5EF4-FFF2-40B4-BE49-F238E27FC236}">
              <a16:creationId xmlns:a16="http://schemas.microsoft.com/office/drawing/2014/main" id="{2C197BF6-56BD-4443-B59A-11C79F174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12700</xdr:colOff>
      <xdr:row>46</xdr:row>
      <xdr:rowOff>12700</xdr:rowOff>
    </xdr:to>
    <xdr:pic>
      <xdr:nvPicPr>
        <xdr:cNvPr id="299" name="Picture 25">
          <a:extLst>
            <a:ext uri="{FF2B5EF4-FFF2-40B4-BE49-F238E27FC236}">
              <a16:creationId xmlns:a16="http://schemas.microsoft.com/office/drawing/2014/main" id="{647E7067-58F1-40A1-8B09-BCCD0EC7D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6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12700</xdr:colOff>
      <xdr:row>36</xdr:row>
      <xdr:rowOff>12700</xdr:rowOff>
    </xdr:to>
    <xdr:pic>
      <xdr:nvPicPr>
        <xdr:cNvPr id="300" name="Picture 31">
          <a:extLst>
            <a:ext uri="{FF2B5EF4-FFF2-40B4-BE49-F238E27FC236}">
              <a16:creationId xmlns:a16="http://schemas.microsoft.com/office/drawing/2014/main" id="{98011F0B-EDE8-4D01-A4C5-9C5954387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1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12700</xdr:colOff>
      <xdr:row>10</xdr:row>
      <xdr:rowOff>0</xdr:rowOff>
    </xdr:to>
    <xdr:pic>
      <xdr:nvPicPr>
        <xdr:cNvPr id="302" name="Picture 34">
          <a:extLst>
            <a:ext uri="{FF2B5EF4-FFF2-40B4-BE49-F238E27FC236}">
              <a16:creationId xmlns:a16="http://schemas.microsoft.com/office/drawing/2014/main" id="{74AAEF04-8C93-4878-AD3D-ADEB6C758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12700</xdr:colOff>
      <xdr:row>40</xdr:row>
      <xdr:rowOff>12700</xdr:rowOff>
    </xdr:to>
    <xdr:pic>
      <xdr:nvPicPr>
        <xdr:cNvPr id="303" name="Picture 38">
          <a:extLst>
            <a:ext uri="{FF2B5EF4-FFF2-40B4-BE49-F238E27FC236}">
              <a16:creationId xmlns:a16="http://schemas.microsoft.com/office/drawing/2014/main" id="{05F82A43-FCA6-4CF4-B426-DBA7B6577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3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12700</xdr:colOff>
      <xdr:row>34</xdr:row>
      <xdr:rowOff>12700</xdr:rowOff>
    </xdr:to>
    <xdr:pic>
      <xdr:nvPicPr>
        <xdr:cNvPr id="304" name="Picture 40">
          <a:extLst>
            <a:ext uri="{FF2B5EF4-FFF2-40B4-BE49-F238E27FC236}">
              <a16:creationId xmlns:a16="http://schemas.microsoft.com/office/drawing/2014/main" id="{E18562AD-148E-44CA-B355-9BC663636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12700</xdr:colOff>
      <xdr:row>47</xdr:row>
      <xdr:rowOff>12700</xdr:rowOff>
    </xdr:to>
    <xdr:pic>
      <xdr:nvPicPr>
        <xdr:cNvPr id="305" name="Picture 42">
          <a:extLst>
            <a:ext uri="{FF2B5EF4-FFF2-40B4-BE49-F238E27FC236}">
              <a16:creationId xmlns:a16="http://schemas.microsoft.com/office/drawing/2014/main" id="{91067DAC-E341-4153-ACE8-A131C9E64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87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12700</xdr:colOff>
      <xdr:row>11</xdr:row>
      <xdr:rowOff>0</xdr:rowOff>
    </xdr:to>
    <xdr:pic>
      <xdr:nvPicPr>
        <xdr:cNvPr id="306" name="Picture 43">
          <a:extLst>
            <a:ext uri="{FF2B5EF4-FFF2-40B4-BE49-F238E27FC236}">
              <a16:creationId xmlns:a16="http://schemas.microsoft.com/office/drawing/2014/main" id="{05ED74C4-D238-4AC4-8ADB-07511AC4E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12</xdr:row>
      <xdr:rowOff>12700</xdr:rowOff>
    </xdr:to>
    <xdr:pic>
      <xdr:nvPicPr>
        <xdr:cNvPr id="308" name="Picture 49">
          <a:extLst>
            <a:ext uri="{FF2B5EF4-FFF2-40B4-BE49-F238E27FC236}">
              <a16:creationId xmlns:a16="http://schemas.microsoft.com/office/drawing/2014/main" id="{7E59F87E-6287-42E8-9206-2C8281A91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12700</xdr:colOff>
      <xdr:row>13</xdr:row>
      <xdr:rowOff>0</xdr:rowOff>
    </xdr:to>
    <xdr:pic>
      <xdr:nvPicPr>
        <xdr:cNvPr id="309" name="Picture 50">
          <a:extLst>
            <a:ext uri="{FF2B5EF4-FFF2-40B4-BE49-F238E27FC236}">
              <a16:creationId xmlns:a16="http://schemas.microsoft.com/office/drawing/2014/main" id="{07CF4D2E-BE2B-42C1-AB56-5394A052B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6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12</xdr:row>
      <xdr:rowOff>444500</xdr:rowOff>
    </xdr:from>
    <xdr:to>
      <xdr:col>0</xdr:col>
      <xdr:colOff>12700</xdr:colOff>
      <xdr:row>13</xdr:row>
      <xdr:rowOff>0</xdr:rowOff>
    </xdr:to>
    <xdr:pic>
      <xdr:nvPicPr>
        <xdr:cNvPr id="310" name="Picture 51">
          <a:extLst>
            <a:ext uri="{FF2B5EF4-FFF2-40B4-BE49-F238E27FC236}">
              <a16:creationId xmlns:a16="http://schemas.microsoft.com/office/drawing/2014/main" id="{6FDE8AFD-2869-42B2-A27D-D2498613A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3325"/>
          <a:ext cx="12700" cy="3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12700</xdr:colOff>
      <xdr:row>16</xdr:row>
      <xdr:rowOff>0</xdr:rowOff>
    </xdr:to>
    <xdr:pic>
      <xdr:nvPicPr>
        <xdr:cNvPr id="311" name="Picture 53">
          <a:extLst>
            <a:ext uri="{FF2B5EF4-FFF2-40B4-BE49-F238E27FC236}">
              <a16:creationId xmlns:a16="http://schemas.microsoft.com/office/drawing/2014/main" id="{E4E572C8-DD52-4B5C-BFF2-18128061D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12700</xdr:colOff>
      <xdr:row>4</xdr:row>
      <xdr:rowOff>12700</xdr:rowOff>
    </xdr:to>
    <xdr:pic>
      <xdr:nvPicPr>
        <xdr:cNvPr id="312" name="Picture 54">
          <a:extLst>
            <a:ext uri="{FF2B5EF4-FFF2-40B4-BE49-F238E27FC236}">
              <a16:creationId xmlns:a16="http://schemas.microsoft.com/office/drawing/2014/main" id="{840A413B-91DC-4D0B-AF18-2DC38E8CE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12700</xdr:colOff>
      <xdr:row>19</xdr:row>
      <xdr:rowOff>0</xdr:rowOff>
    </xdr:to>
    <xdr:pic>
      <xdr:nvPicPr>
        <xdr:cNvPr id="315" name="Picture 59">
          <a:extLst>
            <a:ext uri="{FF2B5EF4-FFF2-40B4-BE49-F238E27FC236}">
              <a16:creationId xmlns:a16="http://schemas.microsoft.com/office/drawing/2014/main" id="{1BAD2463-EA8D-45B5-8E86-BD94085DD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12700</xdr:colOff>
      <xdr:row>19</xdr:row>
      <xdr:rowOff>12700</xdr:rowOff>
    </xdr:to>
    <xdr:pic>
      <xdr:nvPicPr>
        <xdr:cNvPr id="316" name="Picture 63">
          <a:extLst>
            <a:ext uri="{FF2B5EF4-FFF2-40B4-BE49-F238E27FC236}">
              <a16:creationId xmlns:a16="http://schemas.microsoft.com/office/drawing/2014/main" id="{A4286378-5A69-4EB7-8AAF-F9C5788B5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12700</xdr:colOff>
      <xdr:row>20</xdr:row>
      <xdr:rowOff>0</xdr:rowOff>
    </xdr:to>
    <xdr:pic>
      <xdr:nvPicPr>
        <xdr:cNvPr id="317" name="Picture 64">
          <a:extLst>
            <a:ext uri="{FF2B5EF4-FFF2-40B4-BE49-F238E27FC236}">
              <a16:creationId xmlns:a16="http://schemas.microsoft.com/office/drawing/2014/main" id="{D09A0B12-F929-443C-98A6-11903C332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12700</xdr:colOff>
      <xdr:row>21</xdr:row>
      <xdr:rowOff>0</xdr:rowOff>
    </xdr:to>
    <xdr:pic>
      <xdr:nvPicPr>
        <xdr:cNvPr id="318" name="Picture 65">
          <a:extLst>
            <a:ext uri="{FF2B5EF4-FFF2-40B4-BE49-F238E27FC236}">
              <a16:creationId xmlns:a16="http://schemas.microsoft.com/office/drawing/2014/main" id="{47B12D76-32B1-44A0-B8A5-7ECF1CAEE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12700</xdr:colOff>
      <xdr:row>22</xdr:row>
      <xdr:rowOff>0</xdr:rowOff>
    </xdr:to>
    <xdr:pic>
      <xdr:nvPicPr>
        <xdr:cNvPr id="319" name="Picture 66">
          <a:extLst>
            <a:ext uri="{FF2B5EF4-FFF2-40B4-BE49-F238E27FC236}">
              <a16:creationId xmlns:a16="http://schemas.microsoft.com/office/drawing/2014/main" id="{C9A0E96C-3FAF-4EDE-A210-F94C238F3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12700</xdr:colOff>
      <xdr:row>23</xdr:row>
      <xdr:rowOff>0</xdr:rowOff>
    </xdr:to>
    <xdr:pic>
      <xdr:nvPicPr>
        <xdr:cNvPr id="320" name="Picture 68">
          <a:extLst>
            <a:ext uri="{FF2B5EF4-FFF2-40B4-BE49-F238E27FC236}">
              <a16:creationId xmlns:a16="http://schemas.microsoft.com/office/drawing/2014/main" id="{1A326EC1-F13F-44EB-A881-5E6E32737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12700</xdr:colOff>
      <xdr:row>4</xdr:row>
      <xdr:rowOff>12700</xdr:rowOff>
    </xdr:to>
    <xdr:pic>
      <xdr:nvPicPr>
        <xdr:cNvPr id="321" name="Picture 70">
          <a:extLst>
            <a:ext uri="{FF2B5EF4-FFF2-40B4-BE49-F238E27FC236}">
              <a16:creationId xmlns:a16="http://schemas.microsoft.com/office/drawing/2014/main" id="{35C2E2B8-85BB-4C76-8CAD-FE7601CBB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12700</xdr:colOff>
      <xdr:row>25</xdr:row>
      <xdr:rowOff>12700</xdr:rowOff>
    </xdr:to>
    <xdr:pic>
      <xdr:nvPicPr>
        <xdr:cNvPr id="323" name="Picture 75">
          <a:extLst>
            <a:ext uri="{FF2B5EF4-FFF2-40B4-BE49-F238E27FC236}">
              <a16:creationId xmlns:a16="http://schemas.microsoft.com/office/drawing/2014/main" id="{A4AA931C-3EE4-4672-893F-582E8D7BB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12700</xdr:colOff>
      <xdr:row>26</xdr:row>
      <xdr:rowOff>0</xdr:rowOff>
    </xdr:to>
    <xdr:pic>
      <xdr:nvPicPr>
        <xdr:cNvPr id="324" name="Picture 76">
          <a:extLst>
            <a:ext uri="{FF2B5EF4-FFF2-40B4-BE49-F238E27FC236}">
              <a16:creationId xmlns:a16="http://schemas.microsoft.com/office/drawing/2014/main" id="{B040FD75-F4BB-482E-8504-B1952FCC9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12700</xdr:colOff>
      <xdr:row>27</xdr:row>
      <xdr:rowOff>0</xdr:rowOff>
    </xdr:to>
    <xdr:pic>
      <xdr:nvPicPr>
        <xdr:cNvPr id="325" name="Picture 78">
          <a:extLst>
            <a:ext uri="{FF2B5EF4-FFF2-40B4-BE49-F238E27FC236}">
              <a16:creationId xmlns:a16="http://schemas.microsoft.com/office/drawing/2014/main" id="{F7ACEBA2-A1D8-4B87-9C97-30371124F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12700</xdr:colOff>
      <xdr:row>28</xdr:row>
      <xdr:rowOff>0</xdr:rowOff>
    </xdr:to>
    <xdr:pic>
      <xdr:nvPicPr>
        <xdr:cNvPr id="326" name="Picture 79">
          <a:extLst>
            <a:ext uri="{FF2B5EF4-FFF2-40B4-BE49-F238E27FC236}">
              <a16:creationId xmlns:a16="http://schemas.microsoft.com/office/drawing/2014/main" id="{3D411AE0-6B6D-40AF-B13E-1F7B630AB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12700</xdr:colOff>
      <xdr:row>29</xdr:row>
      <xdr:rowOff>0</xdr:rowOff>
    </xdr:to>
    <xdr:pic>
      <xdr:nvPicPr>
        <xdr:cNvPr id="327" name="Picture 81">
          <a:extLst>
            <a:ext uri="{FF2B5EF4-FFF2-40B4-BE49-F238E27FC236}">
              <a16:creationId xmlns:a16="http://schemas.microsoft.com/office/drawing/2014/main" id="{E0CF430E-1E54-4476-AFFF-02497EAC4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12700</xdr:colOff>
      <xdr:row>30</xdr:row>
      <xdr:rowOff>0</xdr:rowOff>
    </xdr:to>
    <xdr:pic>
      <xdr:nvPicPr>
        <xdr:cNvPr id="328" name="Picture 82">
          <a:extLst>
            <a:ext uri="{FF2B5EF4-FFF2-40B4-BE49-F238E27FC236}">
              <a16:creationId xmlns:a16="http://schemas.microsoft.com/office/drawing/2014/main" id="{02165708-6204-4264-B17D-C01A1D40E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12700</xdr:colOff>
      <xdr:row>60</xdr:row>
      <xdr:rowOff>12700</xdr:rowOff>
    </xdr:to>
    <xdr:pic>
      <xdr:nvPicPr>
        <xdr:cNvPr id="331" name="Picture 90">
          <a:extLst>
            <a:ext uri="{FF2B5EF4-FFF2-40B4-BE49-F238E27FC236}">
              <a16:creationId xmlns:a16="http://schemas.microsoft.com/office/drawing/2014/main" id="{D370F89B-4336-4767-BF37-B45B5DD76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44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12700</xdr:colOff>
      <xdr:row>31</xdr:row>
      <xdr:rowOff>0</xdr:rowOff>
    </xdr:to>
    <xdr:pic>
      <xdr:nvPicPr>
        <xdr:cNvPr id="332" name="Picture 92">
          <a:extLst>
            <a:ext uri="{FF2B5EF4-FFF2-40B4-BE49-F238E27FC236}">
              <a16:creationId xmlns:a16="http://schemas.microsoft.com/office/drawing/2014/main" id="{B9D1931C-08EA-4FD1-8CDA-4550D70D5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12700</xdr:colOff>
      <xdr:row>63</xdr:row>
      <xdr:rowOff>12700</xdr:rowOff>
    </xdr:to>
    <xdr:pic>
      <xdr:nvPicPr>
        <xdr:cNvPr id="333" name="Picture 94">
          <a:extLst>
            <a:ext uri="{FF2B5EF4-FFF2-40B4-BE49-F238E27FC236}">
              <a16:creationId xmlns:a16="http://schemas.microsoft.com/office/drawing/2014/main" id="{907352F5-2508-405D-8814-8143510C38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6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12700</xdr:colOff>
      <xdr:row>32</xdr:row>
      <xdr:rowOff>12700</xdr:rowOff>
    </xdr:to>
    <xdr:pic>
      <xdr:nvPicPr>
        <xdr:cNvPr id="334" name="Picture 95">
          <a:extLst>
            <a:ext uri="{FF2B5EF4-FFF2-40B4-BE49-F238E27FC236}">
              <a16:creationId xmlns:a16="http://schemas.microsoft.com/office/drawing/2014/main" id="{1CC814D3-6AB4-495E-A2A3-76170AB39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39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12700</xdr:colOff>
      <xdr:row>34</xdr:row>
      <xdr:rowOff>12700</xdr:rowOff>
    </xdr:to>
    <xdr:pic>
      <xdr:nvPicPr>
        <xdr:cNvPr id="335" name="Picture 96">
          <a:extLst>
            <a:ext uri="{FF2B5EF4-FFF2-40B4-BE49-F238E27FC236}">
              <a16:creationId xmlns:a16="http://schemas.microsoft.com/office/drawing/2014/main" id="{70207C91-839A-433D-98A1-DE08F9E1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12700</xdr:colOff>
      <xdr:row>35</xdr:row>
      <xdr:rowOff>12700</xdr:rowOff>
    </xdr:to>
    <xdr:pic>
      <xdr:nvPicPr>
        <xdr:cNvPr id="336" name="Picture 97">
          <a:extLst>
            <a:ext uri="{FF2B5EF4-FFF2-40B4-BE49-F238E27FC236}">
              <a16:creationId xmlns:a16="http://schemas.microsoft.com/office/drawing/2014/main" id="{3F3BC056-67B1-4D2D-ACF9-2E8EDAF75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12700</xdr:colOff>
      <xdr:row>36</xdr:row>
      <xdr:rowOff>12700</xdr:rowOff>
    </xdr:to>
    <xdr:pic>
      <xdr:nvPicPr>
        <xdr:cNvPr id="337" name="Picture 98">
          <a:extLst>
            <a:ext uri="{FF2B5EF4-FFF2-40B4-BE49-F238E27FC236}">
              <a16:creationId xmlns:a16="http://schemas.microsoft.com/office/drawing/2014/main" id="{33FEA31A-0E12-41C1-B13A-90423CE52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1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12700</xdr:colOff>
      <xdr:row>37</xdr:row>
      <xdr:rowOff>12700</xdr:rowOff>
    </xdr:to>
    <xdr:pic>
      <xdr:nvPicPr>
        <xdr:cNvPr id="338" name="Picture 99">
          <a:extLst>
            <a:ext uri="{FF2B5EF4-FFF2-40B4-BE49-F238E27FC236}">
              <a16:creationId xmlns:a16="http://schemas.microsoft.com/office/drawing/2014/main" id="{B8587B87-01AB-4008-A139-2717F57D9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1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12700</xdr:colOff>
      <xdr:row>39</xdr:row>
      <xdr:rowOff>0</xdr:rowOff>
    </xdr:to>
    <xdr:pic>
      <xdr:nvPicPr>
        <xdr:cNvPr id="339" name="Picture 100">
          <a:extLst>
            <a:ext uri="{FF2B5EF4-FFF2-40B4-BE49-F238E27FC236}">
              <a16:creationId xmlns:a16="http://schemas.microsoft.com/office/drawing/2014/main" id="{53EDDF53-04DB-4CA0-8C2A-1F622072E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12700</xdr:colOff>
      <xdr:row>45</xdr:row>
      <xdr:rowOff>12700</xdr:rowOff>
    </xdr:to>
    <xdr:pic>
      <xdr:nvPicPr>
        <xdr:cNvPr id="340" name="Picture 101">
          <a:extLst>
            <a:ext uri="{FF2B5EF4-FFF2-40B4-BE49-F238E27FC236}">
              <a16:creationId xmlns:a16="http://schemas.microsoft.com/office/drawing/2014/main" id="{BC447322-2E43-43C5-A8A2-A31020C02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12700</xdr:colOff>
      <xdr:row>40</xdr:row>
      <xdr:rowOff>12700</xdr:rowOff>
    </xdr:to>
    <xdr:pic>
      <xdr:nvPicPr>
        <xdr:cNvPr id="341" name="Picture 102">
          <a:extLst>
            <a:ext uri="{FF2B5EF4-FFF2-40B4-BE49-F238E27FC236}">
              <a16:creationId xmlns:a16="http://schemas.microsoft.com/office/drawing/2014/main" id="{C6B79B6B-9750-4516-B691-67407C352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12700</xdr:colOff>
      <xdr:row>42</xdr:row>
      <xdr:rowOff>12700</xdr:rowOff>
    </xdr:to>
    <xdr:pic>
      <xdr:nvPicPr>
        <xdr:cNvPr id="342" name="Picture 104">
          <a:extLst>
            <a:ext uri="{FF2B5EF4-FFF2-40B4-BE49-F238E27FC236}">
              <a16:creationId xmlns:a16="http://schemas.microsoft.com/office/drawing/2014/main" id="{DC7C14EE-110D-47A6-BDEC-B78108D8D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12700</xdr:colOff>
      <xdr:row>43</xdr:row>
      <xdr:rowOff>0</xdr:rowOff>
    </xdr:to>
    <xdr:pic>
      <xdr:nvPicPr>
        <xdr:cNvPr id="343" name="Picture 105">
          <a:extLst>
            <a:ext uri="{FF2B5EF4-FFF2-40B4-BE49-F238E27FC236}">
              <a16:creationId xmlns:a16="http://schemas.microsoft.com/office/drawing/2014/main" id="{7BCEDFC6-D961-4268-88E9-0696B9656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4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12700</xdr:colOff>
      <xdr:row>45</xdr:row>
      <xdr:rowOff>0</xdr:rowOff>
    </xdr:to>
    <xdr:pic>
      <xdr:nvPicPr>
        <xdr:cNvPr id="344" name="Picture 108">
          <a:extLst>
            <a:ext uri="{FF2B5EF4-FFF2-40B4-BE49-F238E27FC236}">
              <a16:creationId xmlns:a16="http://schemas.microsoft.com/office/drawing/2014/main" id="{BB03B90E-A116-4368-99D1-8CB8EDDDE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12700</xdr:colOff>
      <xdr:row>46</xdr:row>
      <xdr:rowOff>12700</xdr:rowOff>
    </xdr:to>
    <xdr:pic>
      <xdr:nvPicPr>
        <xdr:cNvPr id="345" name="Picture 109">
          <a:extLst>
            <a:ext uri="{FF2B5EF4-FFF2-40B4-BE49-F238E27FC236}">
              <a16:creationId xmlns:a16="http://schemas.microsoft.com/office/drawing/2014/main" id="{FFEB7DCD-7C60-4D01-9A03-CBCCC7BA8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45</xdr:row>
      <xdr:rowOff>444500</xdr:rowOff>
    </xdr:from>
    <xdr:to>
      <xdr:col>0</xdr:col>
      <xdr:colOff>12700</xdr:colOff>
      <xdr:row>47</xdr:row>
      <xdr:rowOff>0</xdr:rowOff>
    </xdr:to>
    <xdr:pic>
      <xdr:nvPicPr>
        <xdr:cNvPr id="346" name="Picture 110">
          <a:extLst>
            <a:ext uri="{FF2B5EF4-FFF2-40B4-BE49-F238E27FC236}">
              <a16:creationId xmlns:a16="http://schemas.microsoft.com/office/drawing/2014/main" id="{E3CBFA54-2CF0-4B35-A8CF-96504E71B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3325"/>
          <a:ext cx="12700" cy="1936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12700</xdr:colOff>
      <xdr:row>48</xdr:row>
      <xdr:rowOff>12700</xdr:rowOff>
    </xdr:to>
    <xdr:pic>
      <xdr:nvPicPr>
        <xdr:cNvPr id="348" name="Picture 112">
          <a:extLst>
            <a:ext uri="{FF2B5EF4-FFF2-40B4-BE49-F238E27FC236}">
              <a16:creationId xmlns:a16="http://schemas.microsoft.com/office/drawing/2014/main" id="{70C5079B-F3E8-480B-8472-8C1D358BB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77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12700</xdr:colOff>
      <xdr:row>49</xdr:row>
      <xdr:rowOff>12700</xdr:rowOff>
    </xdr:to>
    <xdr:pic>
      <xdr:nvPicPr>
        <xdr:cNvPr id="349" name="Picture 113">
          <a:extLst>
            <a:ext uri="{FF2B5EF4-FFF2-40B4-BE49-F238E27FC236}">
              <a16:creationId xmlns:a16="http://schemas.microsoft.com/office/drawing/2014/main" id="{B03104AE-6673-475A-8E67-9138C60CB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8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12700</xdr:colOff>
      <xdr:row>51</xdr:row>
      <xdr:rowOff>0</xdr:rowOff>
    </xdr:to>
    <xdr:pic>
      <xdr:nvPicPr>
        <xdr:cNvPr id="350" name="Picture 114">
          <a:extLst>
            <a:ext uri="{FF2B5EF4-FFF2-40B4-BE49-F238E27FC236}">
              <a16:creationId xmlns:a16="http://schemas.microsoft.com/office/drawing/2014/main" id="{AC4FF7F5-528F-4086-93A4-9DAEC8FB7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12700</xdr:colOff>
      <xdr:row>52</xdr:row>
      <xdr:rowOff>12700</xdr:rowOff>
    </xdr:to>
    <xdr:pic>
      <xdr:nvPicPr>
        <xdr:cNvPr id="351" name="Picture 115">
          <a:extLst>
            <a:ext uri="{FF2B5EF4-FFF2-40B4-BE49-F238E27FC236}">
              <a16:creationId xmlns:a16="http://schemas.microsoft.com/office/drawing/2014/main" id="{744019D5-BAFE-4BF4-9210-08543E241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39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12700</xdr:colOff>
      <xdr:row>53</xdr:row>
      <xdr:rowOff>12700</xdr:rowOff>
    </xdr:to>
    <xdr:pic>
      <xdr:nvPicPr>
        <xdr:cNvPr id="352" name="Picture 116">
          <a:extLst>
            <a:ext uri="{FF2B5EF4-FFF2-40B4-BE49-F238E27FC236}">
              <a16:creationId xmlns:a16="http://schemas.microsoft.com/office/drawing/2014/main" id="{770BEBF1-63A5-4CDC-BCDF-EBD3E2ADB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52</xdr:row>
      <xdr:rowOff>444500</xdr:rowOff>
    </xdr:from>
    <xdr:to>
      <xdr:col>0</xdr:col>
      <xdr:colOff>12700</xdr:colOff>
      <xdr:row>54</xdr:row>
      <xdr:rowOff>12700</xdr:rowOff>
    </xdr:to>
    <xdr:pic>
      <xdr:nvPicPr>
        <xdr:cNvPr id="353" name="Picture 117">
          <a:extLst>
            <a:ext uri="{FF2B5EF4-FFF2-40B4-BE49-F238E27FC236}">
              <a16:creationId xmlns:a16="http://schemas.microsoft.com/office/drawing/2014/main" id="{8825FE24-CC83-4052-ADBA-7FD83580C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17325"/>
          <a:ext cx="12700" cy="2063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12700</xdr:colOff>
      <xdr:row>55</xdr:row>
      <xdr:rowOff>0</xdr:rowOff>
    </xdr:to>
    <xdr:pic>
      <xdr:nvPicPr>
        <xdr:cNvPr id="354" name="Picture 118">
          <a:extLst>
            <a:ext uri="{FF2B5EF4-FFF2-40B4-BE49-F238E27FC236}">
              <a16:creationId xmlns:a16="http://schemas.microsoft.com/office/drawing/2014/main" id="{1F4F8646-59A4-4578-9B60-FEFC09C12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11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12700</xdr:colOff>
      <xdr:row>56</xdr:row>
      <xdr:rowOff>0</xdr:rowOff>
    </xdr:to>
    <xdr:pic>
      <xdr:nvPicPr>
        <xdr:cNvPr id="355" name="Picture 121">
          <a:extLst>
            <a:ext uri="{FF2B5EF4-FFF2-40B4-BE49-F238E27FC236}">
              <a16:creationId xmlns:a16="http://schemas.microsoft.com/office/drawing/2014/main" id="{FC6A0302-2B35-45CE-882B-1D17F27E9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92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12700</xdr:colOff>
      <xdr:row>43</xdr:row>
      <xdr:rowOff>12700</xdr:rowOff>
    </xdr:to>
    <xdr:pic>
      <xdr:nvPicPr>
        <xdr:cNvPr id="356" name="Picture 122">
          <a:extLst>
            <a:ext uri="{FF2B5EF4-FFF2-40B4-BE49-F238E27FC236}">
              <a16:creationId xmlns:a16="http://schemas.microsoft.com/office/drawing/2014/main" id="{028C21F0-1528-47DC-BF1D-C657280AF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12700</xdr:colOff>
      <xdr:row>58</xdr:row>
      <xdr:rowOff>12700</xdr:rowOff>
    </xdr:to>
    <xdr:pic>
      <xdr:nvPicPr>
        <xdr:cNvPr id="357" name="Picture 123">
          <a:extLst>
            <a:ext uri="{FF2B5EF4-FFF2-40B4-BE49-F238E27FC236}">
              <a16:creationId xmlns:a16="http://schemas.microsoft.com/office/drawing/2014/main" id="{31404027-39FE-4269-BE64-AA75060DD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73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12700</xdr:colOff>
      <xdr:row>59</xdr:row>
      <xdr:rowOff>0</xdr:rowOff>
    </xdr:to>
    <xdr:pic>
      <xdr:nvPicPr>
        <xdr:cNvPr id="358" name="Picture 124">
          <a:extLst>
            <a:ext uri="{FF2B5EF4-FFF2-40B4-BE49-F238E27FC236}">
              <a16:creationId xmlns:a16="http://schemas.microsoft.com/office/drawing/2014/main" id="{62EBE16A-FFD6-4995-B841-FC127DCDD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63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12700</xdr:colOff>
      <xdr:row>60</xdr:row>
      <xdr:rowOff>0</xdr:rowOff>
    </xdr:to>
    <xdr:pic>
      <xdr:nvPicPr>
        <xdr:cNvPr id="359" name="Picture 125">
          <a:extLst>
            <a:ext uri="{FF2B5EF4-FFF2-40B4-BE49-F238E27FC236}">
              <a16:creationId xmlns:a16="http://schemas.microsoft.com/office/drawing/2014/main" id="{9C9DCDCF-44EA-48A1-A220-88181ADC2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54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12700</xdr:colOff>
      <xdr:row>61</xdr:row>
      <xdr:rowOff>0</xdr:rowOff>
    </xdr:to>
    <xdr:pic>
      <xdr:nvPicPr>
        <xdr:cNvPr id="360" name="Picture 126">
          <a:extLst>
            <a:ext uri="{FF2B5EF4-FFF2-40B4-BE49-F238E27FC236}">
              <a16:creationId xmlns:a16="http://schemas.microsoft.com/office/drawing/2014/main" id="{AF25CFD2-2B02-4805-B067-70AA703BB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44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12700</xdr:colOff>
      <xdr:row>61</xdr:row>
      <xdr:rowOff>12700</xdr:rowOff>
    </xdr:to>
    <xdr:pic>
      <xdr:nvPicPr>
        <xdr:cNvPr id="361" name="Picture 127">
          <a:extLst>
            <a:ext uri="{FF2B5EF4-FFF2-40B4-BE49-F238E27FC236}">
              <a16:creationId xmlns:a16="http://schemas.microsoft.com/office/drawing/2014/main" id="{0FE5A2F9-3F23-4C03-B842-2479B8898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12700</xdr:colOff>
      <xdr:row>62</xdr:row>
      <xdr:rowOff>0</xdr:rowOff>
    </xdr:to>
    <xdr:pic>
      <xdr:nvPicPr>
        <xdr:cNvPr id="362" name="Picture 128">
          <a:extLst>
            <a:ext uri="{FF2B5EF4-FFF2-40B4-BE49-F238E27FC236}">
              <a16:creationId xmlns:a16="http://schemas.microsoft.com/office/drawing/2014/main" id="{EA00E16B-4845-4617-B8EA-316010B27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12700</xdr:colOff>
      <xdr:row>63</xdr:row>
      <xdr:rowOff>12700</xdr:rowOff>
    </xdr:to>
    <xdr:pic>
      <xdr:nvPicPr>
        <xdr:cNvPr id="363" name="Picture 130">
          <a:extLst>
            <a:ext uri="{FF2B5EF4-FFF2-40B4-BE49-F238E27FC236}">
              <a16:creationId xmlns:a16="http://schemas.microsoft.com/office/drawing/2014/main" id="{F338AE64-C569-4AC4-8E6C-E482D5EE9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25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12700</xdr:colOff>
      <xdr:row>64</xdr:row>
      <xdr:rowOff>0</xdr:rowOff>
    </xdr:to>
    <xdr:pic>
      <xdr:nvPicPr>
        <xdr:cNvPr id="364" name="Picture 131">
          <a:extLst>
            <a:ext uri="{FF2B5EF4-FFF2-40B4-BE49-F238E27FC236}">
              <a16:creationId xmlns:a16="http://schemas.microsoft.com/office/drawing/2014/main" id="{C3C6F170-3B67-4812-BC75-BEBC9E9A2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6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12700</xdr:colOff>
      <xdr:row>65</xdr:row>
      <xdr:rowOff>0</xdr:rowOff>
    </xdr:to>
    <xdr:pic>
      <xdr:nvPicPr>
        <xdr:cNvPr id="365" name="Picture 133">
          <a:extLst>
            <a:ext uri="{FF2B5EF4-FFF2-40B4-BE49-F238E27FC236}">
              <a16:creationId xmlns:a16="http://schemas.microsoft.com/office/drawing/2014/main" id="{B2228D69-36FD-42CC-870C-A4447A437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06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12700</xdr:colOff>
      <xdr:row>66</xdr:row>
      <xdr:rowOff>0</xdr:rowOff>
    </xdr:to>
    <xdr:pic>
      <xdr:nvPicPr>
        <xdr:cNvPr id="366" name="Picture 135">
          <a:extLst>
            <a:ext uri="{FF2B5EF4-FFF2-40B4-BE49-F238E27FC236}">
              <a16:creationId xmlns:a16="http://schemas.microsoft.com/office/drawing/2014/main" id="{9C4F5D62-9376-41BC-8139-0640322BE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97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12700</xdr:colOff>
      <xdr:row>68</xdr:row>
      <xdr:rowOff>12700</xdr:rowOff>
    </xdr:to>
    <xdr:pic>
      <xdr:nvPicPr>
        <xdr:cNvPr id="367" name="Picture 136">
          <a:extLst>
            <a:ext uri="{FF2B5EF4-FFF2-40B4-BE49-F238E27FC236}">
              <a16:creationId xmlns:a16="http://schemas.microsoft.com/office/drawing/2014/main" id="{CACCC901-22F2-4FDB-BD1D-6F27FF0F9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78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12700</xdr:colOff>
      <xdr:row>70</xdr:row>
      <xdr:rowOff>12700</xdr:rowOff>
    </xdr:to>
    <xdr:pic>
      <xdr:nvPicPr>
        <xdr:cNvPr id="368" name="Picture 138">
          <a:extLst>
            <a:ext uri="{FF2B5EF4-FFF2-40B4-BE49-F238E27FC236}">
              <a16:creationId xmlns:a16="http://schemas.microsoft.com/office/drawing/2014/main" id="{79C6CCD5-1B78-4750-A52B-8B9E2CBA3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59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12700</xdr:colOff>
      <xdr:row>71</xdr:row>
      <xdr:rowOff>0</xdr:rowOff>
    </xdr:to>
    <xdr:pic>
      <xdr:nvPicPr>
        <xdr:cNvPr id="369" name="Picture 139">
          <a:extLst>
            <a:ext uri="{FF2B5EF4-FFF2-40B4-BE49-F238E27FC236}">
              <a16:creationId xmlns:a16="http://schemas.microsoft.com/office/drawing/2014/main" id="{0F790421-7D57-4BE3-A629-3D7E56BD7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49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12700</xdr:colOff>
      <xdr:row>72</xdr:row>
      <xdr:rowOff>0</xdr:rowOff>
    </xdr:to>
    <xdr:pic>
      <xdr:nvPicPr>
        <xdr:cNvPr id="370" name="Picture 141">
          <a:extLst>
            <a:ext uri="{FF2B5EF4-FFF2-40B4-BE49-F238E27FC236}">
              <a16:creationId xmlns:a16="http://schemas.microsoft.com/office/drawing/2014/main" id="{C2EB72D2-78BE-461A-B5A0-15B90B10B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12700</xdr:colOff>
      <xdr:row>73</xdr:row>
      <xdr:rowOff>0</xdr:rowOff>
    </xdr:to>
    <xdr:pic>
      <xdr:nvPicPr>
        <xdr:cNvPr id="371" name="Picture 142">
          <a:extLst>
            <a:ext uri="{FF2B5EF4-FFF2-40B4-BE49-F238E27FC236}">
              <a16:creationId xmlns:a16="http://schemas.microsoft.com/office/drawing/2014/main" id="{D1496FB1-00F3-46AE-B028-21BEEBC0A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30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72</xdr:row>
      <xdr:rowOff>444500</xdr:rowOff>
    </xdr:from>
    <xdr:to>
      <xdr:col>0</xdr:col>
      <xdr:colOff>12700</xdr:colOff>
      <xdr:row>73</xdr:row>
      <xdr:rowOff>0</xdr:rowOff>
    </xdr:to>
    <xdr:pic>
      <xdr:nvPicPr>
        <xdr:cNvPr id="372" name="Picture 143">
          <a:extLst>
            <a:ext uri="{FF2B5EF4-FFF2-40B4-BE49-F238E27FC236}">
              <a16:creationId xmlns:a16="http://schemas.microsoft.com/office/drawing/2014/main" id="{2F4B0199-90A4-485A-BF05-F4DEBDA5E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17825"/>
          <a:ext cx="12700" cy="3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12700</xdr:colOff>
      <xdr:row>18</xdr:row>
      <xdr:rowOff>12700</xdr:rowOff>
    </xdr:to>
    <xdr:pic>
      <xdr:nvPicPr>
        <xdr:cNvPr id="373" name="Picture 145">
          <a:extLst>
            <a:ext uri="{FF2B5EF4-FFF2-40B4-BE49-F238E27FC236}">
              <a16:creationId xmlns:a16="http://schemas.microsoft.com/office/drawing/2014/main" id="{B1C48015-58C1-416B-8B69-3E99A0A39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12700</xdr:colOff>
      <xdr:row>74</xdr:row>
      <xdr:rowOff>12700</xdr:rowOff>
    </xdr:to>
    <xdr:pic>
      <xdr:nvPicPr>
        <xdr:cNvPr id="374" name="Picture 146">
          <a:extLst>
            <a:ext uri="{FF2B5EF4-FFF2-40B4-BE49-F238E27FC236}">
              <a16:creationId xmlns:a16="http://schemas.microsoft.com/office/drawing/2014/main" id="{30661AA3-2CB4-4D3D-85E8-4E17F9C44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21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12700</xdr:colOff>
      <xdr:row>75</xdr:row>
      <xdr:rowOff>0</xdr:rowOff>
    </xdr:to>
    <xdr:pic>
      <xdr:nvPicPr>
        <xdr:cNvPr id="375" name="Picture 147">
          <a:extLst>
            <a:ext uri="{FF2B5EF4-FFF2-40B4-BE49-F238E27FC236}">
              <a16:creationId xmlns:a16="http://schemas.microsoft.com/office/drawing/2014/main" id="{8B7301E1-B324-4C49-B044-B95A6C5A5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11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74</xdr:row>
      <xdr:rowOff>444500</xdr:rowOff>
    </xdr:from>
    <xdr:to>
      <xdr:col>0</xdr:col>
      <xdr:colOff>12700</xdr:colOff>
      <xdr:row>75</xdr:row>
      <xdr:rowOff>0</xdr:rowOff>
    </xdr:to>
    <xdr:pic>
      <xdr:nvPicPr>
        <xdr:cNvPr id="376" name="Picture 148">
          <a:extLst>
            <a:ext uri="{FF2B5EF4-FFF2-40B4-BE49-F238E27FC236}">
              <a16:creationId xmlns:a16="http://schemas.microsoft.com/office/drawing/2014/main" id="{FCF2629A-E349-493B-B5EA-384DC0F04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98825"/>
          <a:ext cx="12700" cy="3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12700</xdr:colOff>
      <xdr:row>71</xdr:row>
      <xdr:rowOff>12700</xdr:rowOff>
    </xdr:to>
    <xdr:pic>
      <xdr:nvPicPr>
        <xdr:cNvPr id="377" name="Picture 151">
          <a:extLst>
            <a:ext uri="{FF2B5EF4-FFF2-40B4-BE49-F238E27FC236}">
              <a16:creationId xmlns:a16="http://schemas.microsoft.com/office/drawing/2014/main" id="{02731C4D-35B5-4F33-B21F-17CBB262E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12700</xdr:colOff>
      <xdr:row>67</xdr:row>
      <xdr:rowOff>12700</xdr:rowOff>
    </xdr:to>
    <xdr:pic>
      <xdr:nvPicPr>
        <xdr:cNvPr id="378" name="Picture 165">
          <a:extLst>
            <a:ext uri="{FF2B5EF4-FFF2-40B4-BE49-F238E27FC236}">
              <a16:creationId xmlns:a16="http://schemas.microsoft.com/office/drawing/2014/main" id="{78E4179B-A4F3-49D1-8F7A-407789C1D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78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12700</xdr:colOff>
      <xdr:row>24</xdr:row>
      <xdr:rowOff>12700</xdr:rowOff>
    </xdr:to>
    <xdr:pic>
      <xdr:nvPicPr>
        <xdr:cNvPr id="379" name="Picture 183">
          <a:extLst>
            <a:ext uri="{FF2B5EF4-FFF2-40B4-BE49-F238E27FC236}">
              <a16:creationId xmlns:a16="http://schemas.microsoft.com/office/drawing/2014/main" id="{4FF16C76-97B6-4523-8CC7-5D2B4E7DA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12700</xdr:colOff>
      <xdr:row>7</xdr:row>
      <xdr:rowOff>12700</xdr:rowOff>
    </xdr:to>
    <xdr:pic>
      <xdr:nvPicPr>
        <xdr:cNvPr id="380" name="Picture 185">
          <a:extLst>
            <a:ext uri="{FF2B5EF4-FFF2-40B4-BE49-F238E27FC236}">
              <a16:creationId xmlns:a16="http://schemas.microsoft.com/office/drawing/2014/main" id="{100D0B09-B253-40EB-A3D6-990B45BCE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12700</xdr:colOff>
      <xdr:row>59</xdr:row>
      <xdr:rowOff>12700</xdr:rowOff>
    </xdr:to>
    <xdr:pic>
      <xdr:nvPicPr>
        <xdr:cNvPr id="381" name="Picture 188">
          <a:extLst>
            <a:ext uri="{FF2B5EF4-FFF2-40B4-BE49-F238E27FC236}">
              <a16:creationId xmlns:a16="http://schemas.microsoft.com/office/drawing/2014/main" id="{D58C0151-AA09-4E47-8B21-E6D05E236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54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12700</xdr:colOff>
      <xdr:row>52</xdr:row>
      <xdr:rowOff>12700</xdr:rowOff>
    </xdr:to>
    <xdr:pic>
      <xdr:nvPicPr>
        <xdr:cNvPr id="382" name="Picture 190">
          <a:extLst>
            <a:ext uri="{FF2B5EF4-FFF2-40B4-BE49-F238E27FC236}">
              <a16:creationId xmlns:a16="http://schemas.microsoft.com/office/drawing/2014/main" id="{43923921-76DF-44DF-9206-BB1179556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12700</xdr:colOff>
      <xdr:row>37</xdr:row>
      <xdr:rowOff>12700</xdr:rowOff>
    </xdr:to>
    <xdr:pic>
      <xdr:nvPicPr>
        <xdr:cNvPr id="383" name="Picture 193">
          <a:extLst>
            <a:ext uri="{FF2B5EF4-FFF2-40B4-BE49-F238E27FC236}">
              <a16:creationId xmlns:a16="http://schemas.microsoft.com/office/drawing/2014/main" id="{C1A873CD-65FB-4DFA-889A-04826AA28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12700</xdr:colOff>
      <xdr:row>21</xdr:row>
      <xdr:rowOff>12700</xdr:rowOff>
    </xdr:to>
    <xdr:pic>
      <xdr:nvPicPr>
        <xdr:cNvPr id="384" name="Picture 194">
          <a:extLst>
            <a:ext uri="{FF2B5EF4-FFF2-40B4-BE49-F238E27FC236}">
              <a16:creationId xmlns:a16="http://schemas.microsoft.com/office/drawing/2014/main" id="{67DA0A5E-EB9D-49A6-AA35-2B2849396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12700</xdr:colOff>
      <xdr:row>19</xdr:row>
      <xdr:rowOff>12700</xdr:rowOff>
    </xdr:to>
    <xdr:pic>
      <xdr:nvPicPr>
        <xdr:cNvPr id="385" name="Picture 196">
          <a:extLst>
            <a:ext uri="{FF2B5EF4-FFF2-40B4-BE49-F238E27FC236}">
              <a16:creationId xmlns:a16="http://schemas.microsoft.com/office/drawing/2014/main" id="{EF3135CA-FAF7-420B-964A-EBE4E0F53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12700</xdr:colOff>
      <xdr:row>8</xdr:row>
      <xdr:rowOff>0</xdr:rowOff>
    </xdr:to>
    <xdr:pic>
      <xdr:nvPicPr>
        <xdr:cNvPr id="388" name="Picture 7">
          <a:extLst>
            <a:ext uri="{FF2B5EF4-FFF2-40B4-BE49-F238E27FC236}">
              <a16:creationId xmlns:a16="http://schemas.microsoft.com/office/drawing/2014/main" id="{7CE63D53-F331-4712-BFA9-32578DCBC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12700</xdr:colOff>
      <xdr:row>46</xdr:row>
      <xdr:rowOff>12700</xdr:rowOff>
    </xdr:to>
    <xdr:pic>
      <xdr:nvPicPr>
        <xdr:cNvPr id="389" name="Picture 22">
          <a:extLst>
            <a:ext uri="{FF2B5EF4-FFF2-40B4-BE49-F238E27FC236}">
              <a16:creationId xmlns:a16="http://schemas.microsoft.com/office/drawing/2014/main" id="{ACED656A-B541-4FBB-80E9-074984802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6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12700</xdr:colOff>
      <xdr:row>26</xdr:row>
      <xdr:rowOff>12700</xdr:rowOff>
    </xdr:to>
    <xdr:pic>
      <xdr:nvPicPr>
        <xdr:cNvPr id="390" name="Picture 25">
          <a:extLst>
            <a:ext uri="{FF2B5EF4-FFF2-40B4-BE49-F238E27FC236}">
              <a16:creationId xmlns:a16="http://schemas.microsoft.com/office/drawing/2014/main" id="{24F03E56-5734-42E3-81CC-57C209B3E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8</xdr:row>
      <xdr:rowOff>444500</xdr:rowOff>
    </xdr:from>
    <xdr:to>
      <xdr:col>0</xdr:col>
      <xdr:colOff>12700</xdr:colOff>
      <xdr:row>9</xdr:row>
      <xdr:rowOff>0</xdr:rowOff>
    </xdr:to>
    <xdr:pic>
      <xdr:nvPicPr>
        <xdr:cNvPr id="391" name="Picture 27">
          <a:extLst>
            <a:ext uri="{FF2B5EF4-FFF2-40B4-BE49-F238E27FC236}">
              <a16:creationId xmlns:a16="http://schemas.microsoft.com/office/drawing/2014/main" id="{C2BA09F9-2E2E-4A0B-9429-F55736AEE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0325"/>
          <a:ext cx="12700" cy="3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12700</xdr:colOff>
      <xdr:row>40</xdr:row>
      <xdr:rowOff>12700</xdr:rowOff>
    </xdr:to>
    <xdr:pic>
      <xdr:nvPicPr>
        <xdr:cNvPr id="392" name="Picture 34">
          <a:extLst>
            <a:ext uri="{FF2B5EF4-FFF2-40B4-BE49-F238E27FC236}">
              <a16:creationId xmlns:a16="http://schemas.microsoft.com/office/drawing/2014/main" id="{9808943D-A60F-4E69-8CE7-A865D8516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3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12700</xdr:colOff>
      <xdr:row>34</xdr:row>
      <xdr:rowOff>12700</xdr:rowOff>
    </xdr:to>
    <xdr:pic>
      <xdr:nvPicPr>
        <xdr:cNvPr id="393" name="Picture 36">
          <a:extLst>
            <a:ext uri="{FF2B5EF4-FFF2-40B4-BE49-F238E27FC236}">
              <a16:creationId xmlns:a16="http://schemas.microsoft.com/office/drawing/2014/main" id="{EAD3ED3A-0DD2-4C38-8E02-5D70BF700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0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12700</xdr:colOff>
      <xdr:row>47</xdr:row>
      <xdr:rowOff>12700</xdr:rowOff>
    </xdr:to>
    <xdr:pic>
      <xdr:nvPicPr>
        <xdr:cNvPr id="394" name="Picture 37">
          <a:extLst>
            <a:ext uri="{FF2B5EF4-FFF2-40B4-BE49-F238E27FC236}">
              <a16:creationId xmlns:a16="http://schemas.microsoft.com/office/drawing/2014/main" id="{74AA464A-3848-4536-B075-B442A1175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87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12700</xdr:colOff>
      <xdr:row>43</xdr:row>
      <xdr:rowOff>12700</xdr:rowOff>
    </xdr:to>
    <xdr:pic>
      <xdr:nvPicPr>
        <xdr:cNvPr id="396" name="Picture 41">
          <a:extLst>
            <a:ext uri="{FF2B5EF4-FFF2-40B4-BE49-F238E27FC236}">
              <a16:creationId xmlns:a16="http://schemas.microsoft.com/office/drawing/2014/main" id="{503E9395-3C22-4E2D-84A3-88D00082F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12</xdr:row>
      <xdr:rowOff>0</xdr:rowOff>
    </xdr:to>
    <xdr:pic>
      <xdr:nvPicPr>
        <xdr:cNvPr id="397" name="Picture 45">
          <a:extLst>
            <a:ext uri="{FF2B5EF4-FFF2-40B4-BE49-F238E27FC236}">
              <a16:creationId xmlns:a16="http://schemas.microsoft.com/office/drawing/2014/main" id="{D34AF90B-E4AA-4BBF-B0F6-6BD1315BE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12700</xdr:colOff>
      <xdr:row>33</xdr:row>
      <xdr:rowOff>12700</xdr:rowOff>
    </xdr:to>
    <xdr:pic>
      <xdr:nvPicPr>
        <xdr:cNvPr id="398" name="Picture 46">
          <a:extLst>
            <a:ext uri="{FF2B5EF4-FFF2-40B4-BE49-F238E27FC236}">
              <a16:creationId xmlns:a16="http://schemas.microsoft.com/office/drawing/2014/main" id="{3E34C108-3269-4565-9F0E-78D07E1FE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12700</xdr:colOff>
      <xdr:row>17</xdr:row>
      <xdr:rowOff>0</xdr:rowOff>
    </xdr:to>
    <xdr:pic>
      <xdr:nvPicPr>
        <xdr:cNvPr id="399" name="Picture 49">
          <a:extLst>
            <a:ext uri="{FF2B5EF4-FFF2-40B4-BE49-F238E27FC236}">
              <a16:creationId xmlns:a16="http://schemas.microsoft.com/office/drawing/2014/main" id="{1431B757-2D07-4AF1-ABD5-0D39854B6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12700</xdr:colOff>
      <xdr:row>4</xdr:row>
      <xdr:rowOff>12700</xdr:rowOff>
    </xdr:to>
    <xdr:pic>
      <xdr:nvPicPr>
        <xdr:cNvPr id="400" name="Picture 50">
          <a:extLst>
            <a:ext uri="{FF2B5EF4-FFF2-40B4-BE49-F238E27FC236}">
              <a16:creationId xmlns:a16="http://schemas.microsoft.com/office/drawing/2014/main" id="{63C65605-49C7-46B3-9D86-008D29E42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12700</xdr:colOff>
      <xdr:row>20</xdr:row>
      <xdr:rowOff>12700</xdr:rowOff>
    </xdr:to>
    <xdr:pic>
      <xdr:nvPicPr>
        <xdr:cNvPr id="402" name="Picture 57">
          <a:extLst>
            <a:ext uri="{FF2B5EF4-FFF2-40B4-BE49-F238E27FC236}">
              <a16:creationId xmlns:a16="http://schemas.microsoft.com/office/drawing/2014/main" id="{400A8339-88A9-48F8-ADDF-7B3B1D3B2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12700</xdr:colOff>
      <xdr:row>22</xdr:row>
      <xdr:rowOff>0</xdr:rowOff>
    </xdr:to>
    <xdr:pic>
      <xdr:nvPicPr>
        <xdr:cNvPr id="403" name="Picture 58">
          <a:extLst>
            <a:ext uri="{FF2B5EF4-FFF2-40B4-BE49-F238E27FC236}">
              <a16:creationId xmlns:a16="http://schemas.microsoft.com/office/drawing/2014/main" id="{276B5982-78B6-4F63-A6AA-D03752E9C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1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12700</xdr:colOff>
      <xdr:row>23</xdr:row>
      <xdr:rowOff>0</xdr:rowOff>
    </xdr:to>
    <xdr:pic>
      <xdr:nvPicPr>
        <xdr:cNvPr id="404" name="Picture 60">
          <a:extLst>
            <a:ext uri="{FF2B5EF4-FFF2-40B4-BE49-F238E27FC236}">
              <a16:creationId xmlns:a16="http://schemas.microsoft.com/office/drawing/2014/main" id="{EDB0B671-2D77-44BE-BB04-EBD8D691B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12700</xdr:colOff>
      <xdr:row>23</xdr:row>
      <xdr:rowOff>12700</xdr:rowOff>
    </xdr:to>
    <xdr:pic>
      <xdr:nvPicPr>
        <xdr:cNvPr id="405" name="Picture 62">
          <a:extLst>
            <a:ext uri="{FF2B5EF4-FFF2-40B4-BE49-F238E27FC236}">
              <a16:creationId xmlns:a16="http://schemas.microsoft.com/office/drawing/2014/main" id="{30038219-8458-424E-8366-CA5F7B7E4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12700</xdr:colOff>
      <xdr:row>24</xdr:row>
      <xdr:rowOff>0</xdr:rowOff>
    </xdr:to>
    <xdr:pic>
      <xdr:nvPicPr>
        <xdr:cNvPr id="406" name="Picture 63">
          <a:extLst>
            <a:ext uri="{FF2B5EF4-FFF2-40B4-BE49-F238E27FC236}">
              <a16:creationId xmlns:a16="http://schemas.microsoft.com/office/drawing/2014/main" id="{17D0402B-DB87-46AA-BFD8-0E264EAAE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62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12700</xdr:colOff>
      <xdr:row>25</xdr:row>
      <xdr:rowOff>12700</xdr:rowOff>
    </xdr:to>
    <xdr:pic>
      <xdr:nvPicPr>
        <xdr:cNvPr id="408" name="Picture 65">
          <a:extLst>
            <a:ext uri="{FF2B5EF4-FFF2-40B4-BE49-F238E27FC236}">
              <a16:creationId xmlns:a16="http://schemas.microsoft.com/office/drawing/2014/main" id="{176C5099-798C-4AE8-856B-F33FD4571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12700</xdr:colOff>
      <xdr:row>26</xdr:row>
      <xdr:rowOff>0</xdr:rowOff>
    </xdr:to>
    <xdr:pic>
      <xdr:nvPicPr>
        <xdr:cNvPr id="409" name="Picture 66">
          <a:extLst>
            <a:ext uri="{FF2B5EF4-FFF2-40B4-BE49-F238E27FC236}">
              <a16:creationId xmlns:a16="http://schemas.microsoft.com/office/drawing/2014/main" id="{1E7F1FFE-6A37-45A0-ACDD-EC7AEB2D3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12700</xdr:colOff>
      <xdr:row>27</xdr:row>
      <xdr:rowOff>0</xdr:rowOff>
    </xdr:to>
    <xdr:pic>
      <xdr:nvPicPr>
        <xdr:cNvPr id="410" name="Picture 67">
          <a:extLst>
            <a:ext uri="{FF2B5EF4-FFF2-40B4-BE49-F238E27FC236}">
              <a16:creationId xmlns:a16="http://schemas.microsoft.com/office/drawing/2014/main" id="{31C5F8F9-FC70-4735-9021-8962C1FDD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24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12700</xdr:colOff>
      <xdr:row>30</xdr:row>
      <xdr:rowOff>0</xdr:rowOff>
    </xdr:to>
    <xdr:pic>
      <xdr:nvPicPr>
        <xdr:cNvPr id="411" name="Picture 70">
          <a:extLst>
            <a:ext uri="{FF2B5EF4-FFF2-40B4-BE49-F238E27FC236}">
              <a16:creationId xmlns:a16="http://schemas.microsoft.com/office/drawing/2014/main" id="{D83C9477-E6EB-44EF-AD34-69E007F38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12700</xdr:colOff>
      <xdr:row>44</xdr:row>
      <xdr:rowOff>12700</xdr:rowOff>
    </xdr:to>
    <xdr:pic>
      <xdr:nvPicPr>
        <xdr:cNvPr id="412" name="Picture 71">
          <a:extLst>
            <a:ext uri="{FF2B5EF4-FFF2-40B4-BE49-F238E27FC236}">
              <a16:creationId xmlns:a16="http://schemas.microsoft.com/office/drawing/2014/main" id="{F9985672-351B-49B6-8455-6FCF246CA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12700</xdr:colOff>
      <xdr:row>60</xdr:row>
      <xdr:rowOff>12700</xdr:rowOff>
    </xdr:to>
    <xdr:pic>
      <xdr:nvPicPr>
        <xdr:cNvPr id="415" name="Picture 76">
          <a:extLst>
            <a:ext uri="{FF2B5EF4-FFF2-40B4-BE49-F238E27FC236}">
              <a16:creationId xmlns:a16="http://schemas.microsoft.com/office/drawing/2014/main" id="{97EA70B3-6636-486E-879C-9EE420D2B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44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12700</xdr:colOff>
      <xdr:row>31</xdr:row>
      <xdr:rowOff>0</xdr:rowOff>
    </xdr:to>
    <xdr:pic>
      <xdr:nvPicPr>
        <xdr:cNvPr id="416" name="Picture 78">
          <a:extLst>
            <a:ext uri="{FF2B5EF4-FFF2-40B4-BE49-F238E27FC236}">
              <a16:creationId xmlns:a16="http://schemas.microsoft.com/office/drawing/2014/main" id="{A9C7EE1A-439E-4BF0-A40F-B35D94F53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12700</xdr:colOff>
      <xdr:row>33</xdr:row>
      <xdr:rowOff>12700</xdr:rowOff>
    </xdr:to>
    <xdr:pic>
      <xdr:nvPicPr>
        <xdr:cNvPr id="417" name="Picture 81">
          <a:extLst>
            <a:ext uri="{FF2B5EF4-FFF2-40B4-BE49-F238E27FC236}">
              <a16:creationId xmlns:a16="http://schemas.microsoft.com/office/drawing/2014/main" id="{A549B5C6-D2C0-4CD6-B9A9-017565289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29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12700</xdr:colOff>
      <xdr:row>34</xdr:row>
      <xdr:rowOff>0</xdr:rowOff>
    </xdr:to>
    <xdr:pic>
      <xdr:nvPicPr>
        <xdr:cNvPr id="418" name="Picture 82">
          <a:extLst>
            <a:ext uri="{FF2B5EF4-FFF2-40B4-BE49-F238E27FC236}">
              <a16:creationId xmlns:a16="http://schemas.microsoft.com/office/drawing/2014/main" id="{BFB07511-49EF-4583-9E3E-99B57E29F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12700</xdr:colOff>
      <xdr:row>36</xdr:row>
      <xdr:rowOff>0</xdr:rowOff>
    </xdr:to>
    <xdr:pic>
      <xdr:nvPicPr>
        <xdr:cNvPr id="419" name="Picture 83">
          <a:extLst>
            <a:ext uri="{FF2B5EF4-FFF2-40B4-BE49-F238E27FC236}">
              <a16:creationId xmlns:a16="http://schemas.microsoft.com/office/drawing/2014/main" id="{226A2E80-5509-49FA-8B67-D06E28B77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1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35</xdr:row>
      <xdr:rowOff>444500</xdr:rowOff>
    </xdr:from>
    <xdr:to>
      <xdr:col>0</xdr:col>
      <xdr:colOff>12700</xdr:colOff>
      <xdr:row>36</xdr:row>
      <xdr:rowOff>12700</xdr:rowOff>
    </xdr:to>
    <xdr:pic>
      <xdr:nvPicPr>
        <xdr:cNvPr id="420" name="Picture 84">
          <a:extLst>
            <a:ext uri="{FF2B5EF4-FFF2-40B4-BE49-F238E27FC236}">
              <a16:creationId xmlns:a16="http://schemas.microsoft.com/office/drawing/2014/main" id="{7A280F92-1FB9-46C1-B8AA-7C4876203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88325"/>
          <a:ext cx="12700" cy="15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12700</xdr:colOff>
      <xdr:row>37</xdr:row>
      <xdr:rowOff>12700</xdr:rowOff>
    </xdr:to>
    <xdr:pic>
      <xdr:nvPicPr>
        <xdr:cNvPr id="421" name="Picture 85">
          <a:extLst>
            <a:ext uri="{FF2B5EF4-FFF2-40B4-BE49-F238E27FC236}">
              <a16:creationId xmlns:a16="http://schemas.microsoft.com/office/drawing/2014/main" id="{597A893C-D4A3-4BBD-B8B6-3AAF75C09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1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12700</xdr:colOff>
      <xdr:row>39</xdr:row>
      <xdr:rowOff>0</xdr:rowOff>
    </xdr:to>
    <xdr:pic>
      <xdr:nvPicPr>
        <xdr:cNvPr id="422" name="Picture 86">
          <a:extLst>
            <a:ext uri="{FF2B5EF4-FFF2-40B4-BE49-F238E27FC236}">
              <a16:creationId xmlns:a16="http://schemas.microsoft.com/office/drawing/2014/main" id="{1F03324A-5042-44E5-AD11-33254071B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12700</xdr:colOff>
      <xdr:row>45</xdr:row>
      <xdr:rowOff>12700</xdr:rowOff>
    </xdr:to>
    <xdr:pic>
      <xdr:nvPicPr>
        <xdr:cNvPr id="423" name="Picture 87">
          <a:extLst>
            <a:ext uri="{FF2B5EF4-FFF2-40B4-BE49-F238E27FC236}">
              <a16:creationId xmlns:a16="http://schemas.microsoft.com/office/drawing/2014/main" id="{8B62425F-54D4-409E-B47C-702351E0D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12700</xdr:colOff>
      <xdr:row>41</xdr:row>
      <xdr:rowOff>0</xdr:rowOff>
    </xdr:to>
    <xdr:pic>
      <xdr:nvPicPr>
        <xdr:cNvPr id="424" name="Picture 88">
          <a:extLst>
            <a:ext uri="{FF2B5EF4-FFF2-40B4-BE49-F238E27FC236}">
              <a16:creationId xmlns:a16="http://schemas.microsoft.com/office/drawing/2014/main" id="{3522C030-E977-45CB-999D-1E0DDAD36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53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12700</xdr:colOff>
      <xdr:row>43</xdr:row>
      <xdr:rowOff>0</xdr:rowOff>
    </xdr:to>
    <xdr:pic>
      <xdr:nvPicPr>
        <xdr:cNvPr id="425" name="Picture 90">
          <a:extLst>
            <a:ext uri="{FF2B5EF4-FFF2-40B4-BE49-F238E27FC236}">
              <a16:creationId xmlns:a16="http://schemas.microsoft.com/office/drawing/2014/main" id="{DE79C195-C41E-4778-81AD-458A8B740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4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12700</xdr:colOff>
      <xdr:row>44</xdr:row>
      <xdr:rowOff>0</xdr:rowOff>
    </xdr:to>
    <xdr:pic>
      <xdr:nvPicPr>
        <xdr:cNvPr id="426" name="Picture 92">
          <a:extLst>
            <a:ext uri="{FF2B5EF4-FFF2-40B4-BE49-F238E27FC236}">
              <a16:creationId xmlns:a16="http://schemas.microsoft.com/office/drawing/2014/main" id="{EAAB82D4-A7BC-47C1-8375-6EA912D4D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12700</xdr:colOff>
      <xdr:row>45</xdr:row>
      <xdr:rowOff>0</xdr:rowOff>
    </xdr:to>
    <xdr:pic>
      <xdr:nvPicPr>
        <xdr:cNvPr id="427" name="Picture 94">
          <a:extLst>
            <a:ext uri="{FF2B5EF4-FFF2-40B4-BE49-F238E27FC236}">
              <a16:creationId xmlns:a16="http://schemas.microsoft.com/office/drawing/2014/main" id="{41D75470-6B63-4F27-AA57-47E47E0A0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12700</xdr:colOff>
      <xdr:row>64</xdr:row>
      <xdr:rowOff>12700</xdr:rowOff>
    </xdr:to>
    <xdr:pic>
      <xdr:nvPicPr>
        <xdr:cNvPr id="428" name="Picture 95">
          <a:extLst>
            <a:ext uri="{FF2B5EF4-FFF2-40B4-BE49-F238E27FC236}">
              <a16:creationId xmlns:a16="http://schemas.microsoft.com/office/drawing/2014/main" id="{B422EF45-56A5-4C42-9A3E-C86C40526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06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12700</xdr:colOff>
      <xdr:row>46</xdr:row>
      <xdr:rowOff>12700</xdr:rowOff>
    </xdr:to>
    <xdr:pic>
      <xdr:nvPicPr>
        <xdr:cNvPr id="429" name="Picture 96">
          <a:extLst>
            <a:ext uri="{FF2B5EF4-FFF2-40B4-BE49-F238E27FC236}">
              <a16:creationId xmlns:a16="http://schemas.microsoft.com/office/drawing/2014/main" id="{A54EDFB2-F6DD-479B-9135-118CB6845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12700</xdr:colOff>
      <xdr:row>47</xdr:row>
      <xdr:rowOff>0</xdr:rowOff>
    </xdr:to>
    <xdr:pic>
      <xdr:nvPicPr>
        <xdr:cNvPr id="430" name="Picture 97">
          <a:extLst>
            <a:ext uri="{FF2B5EF4-FFF2-40B4-BE49-F238E27FC236}">
              <a16:creationId xmlns:a16="http://schemas.microsoft.com/office/drawing/2014/main" id="{3A21589E-AC61-4398-9D73-F0F3863A4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96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12700</xdr:colOff>
      <xdr:row>49</xdr:row>
      <xdr:rowOff>12700</xdr:rowOff>
    </xdr:to>
    <xdr:pic>
      <xdr:nvPicPr>
        <xdr:cNvPr id="431" name="Picture 99">
          <a:extLst>
            <a:ext uri="{FF2B5EF4-FFF2-40B4-BE49-F238E27FC236}">
              <a16:creationId xmlns:a16="http://schemas.microsoft.com/office/drawing/2014/main" id="{F5AB0BA9-E133-48E1-9CF0-E63479630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68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12700</xdr:colOff>
      <xdr:row>51</xdr:row>
      <xdr:rowOff>0</xdr:rowOff>
    </xdr:to>
    <xdr:pic>
      <xdr:nvPicPr>
        <xdr:cNvPr id="432" name="Picture 100">
          <a:extLst>
            <a:ext uri="{FF2B5EF4-FFF2-40B4-BE49-F238E27FC236}">
              <a16:creationId xmlns:a16="http://schemas.microsoft.com/office/drawing/2014/main" id="{F3A4C08B-9656-4E02-93EB-E2534BE3C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12700</xdr:colOff>
      <xdr:row>52</xdr:row>
      <xdr:rowOff>12700</xdr:rowOff>
    </xdr:to>
    <xdr:pic>
      <xdr:nvPicPr>
        <xdr:cNvPr id="433" name="Picture 102">
          <a:extLst>
            <a:ext uri="{FF2B5EF4-FFF2-40B4-BE49-F238E27FC236}">
              <a16:creationId xmlns:a16="http://schemas.microsoft.com/office/drawing/2014/main" id="{5DA481A7-138F-44F3-9C0A-E9F9791C2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39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12700</xdr:colOff>
      <xdr:row>53</xdr:row>
      <xdr:rowOff>12700</xdr:rowOff>
    </xdr:to>
    <xdr:pic>
      <xdr:nvPicPr>
        <xdr:cNvPr id="434" name="Picture 103">
          <a:extLst>
            <a:ext uri="{FF2B5EF4-FFF2-40B4-BE49-F238E27FC236}">
              <a16:creationId xmlns:a16="http://schemas.microsoft.com/office/drawing/2014/main" id="{19EE266C-C338-4372-BEE6-4A57A5F3E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30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12700</xdr:colOff>
      <xdr:row>55</xdr:row>
      <xdr:rowOff>0</xdr:rowOff>
    </xdr:to>
    <xdr:pic>
      <xdr:nvPicPr>
        <xdr:cNvPr id="435" name="Picture 104">
          <a:extLst>
            <a:ext uri="{FF2B5EF4-FFF2-40B4-BE49-F238E27FC236}">
              <a16:creationId xmlns:a16="http://schemas.microsoft.com/office/drawing/2014/main" id="{9141413F-C742-43C9-B9ED-5D80A27DE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11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12700</xdr:colOff>
      <xdr:row>56</xdr:row>
      <xdr:rowOff>0</xdr:rowOff>
    </xdr:to>
    <xdr:pic>
      <xdr:nvPicPr>
        <xdr:cNvPr id="437" name="Picture 106">
          <a:extLst>
            <a:ext uri="{FF2B5EF4-FFF2-40B4-BE49-F238E27FC236}">
              <a16:creationId xmlns:a16="http://schemas.microsoft.com/office/drawing/2014/main" id="{095706A6-EF17-4CCA-A90D-7D4A2B638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92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12700</xdr:colOff>
      <xdr:row>57</xdr:row>
      <xdr:rowOff>12700</xdr:rowOff>
    </xdr:to>
    <xdr:pic>
      <xdr:nvPicPr>
        <xdr:cNvPr id="438" name="Picture 108">
          <a:extLst>
            <a:ext uri="{FF2B5EF4-FFF2-40B4-BE49-F238E27FC236}">
              <a16:creationId xmlns:a16="http://schemas.microsoft.com/office/drawing/2014/main" id="{EAA4612D-9711-4CA4-8C63-E0FE9D332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82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12700</xdr:colOff>
      <xdr:row>58</xdr:row>
      <xdr:rowOff>12700</xdr:rowOff>
    </xdr:to>
    <xdr:pic>
      <xdr:nvPicPr>
        <xdr:cNvPr id="439" name="Picture 109">
          <a:extLst>
            <a:ext uri="{FF2B5EF4-FFF2-40B4-BE49-F238E27FC236}">
              <a16:creationId xmlns:a16="http://schemas.microsoft.com/office/drawing/2014/main" id="{C6FD4124-687A-4E71-90B8-A99E254CB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73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12700</xdr:colOff>
      <xdr:row>59</xdr:row>
      <xdr:rowOff>0</xdr:rowOff>
    </xdr:to>
    <xdr:pic>
      <xdr:nvPicPr>
        <xdr:cNvPr id="440" name="Picture 110">
          <a:extLst>
            <a:ext uri="{FF2B5EF4-FFF2-40B4-BE49-F238E27FC236}">
              <a16:creationId xmlns:a16="http://schemas.microsoft.com/office/drawing/2014/main" id="{7E154158-DFF4-4793-B717-A7DB10372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63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12700</xdr:colOff>
      <xdr:row>60</xdr:row>
      <xdr:rowOff>0</xdr:rowOff>
    </xdr:to>
    <xdr:pic>
      <xdr:nvPicPr>
        <xdr:cNvPr id="441" name="Picture 111">
          <a:extLst>
            <a:ext uri="{FF2B5EF4-FFF2-40B4-BE49-F238E27FC236}">
              <a16:creationId xmlns:a16="http://schemas.microsoft.com/office/drawing/2014/main" id="{CD989171-C259-46BB-84BF-F19DA665F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54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12700</xdr:colOff>
      <xdr:row>61</xdr:row>
      <xdr:rowOff>0</xdr:rowOff>
    </xdr:to>
    <xdr:pic>
      <xdr:nvPicPr>
        <xdr:cNvPr id="442" name="Picture 112">
          <a:extLst>
            <a:ext uri="{FF2B5EF4-FFF2-40B4-BE49-F238E27FC236}">
              <a16:creationId xmlns:a16="http://schemas.microsoft.com/office/drawing/2014/main" id="{34D5A309-35C6-4A39-B437-3FD29649C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44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12700</xdr:colOff>
      <xdr:row>61</xdr:row>
      <xdr:rowOff>12700</xdr:rowOff>
    </xdr:to>
    <xdr:pic>
      <xdr:nvPicPr>
        <xdr:cNvPr id="443" name="Picture 114">
          <a:extLst>
            <a:ext uri="{FF2B5EF4-FFF2-40B4-BE49-F238E27FC236}">
              <a16:creationId xmlns:a16="http://schemas.microsoft.com/office/drawing/2014/main" id="{04C76DC2-95E5-43B7-AD4C-CF0E5CDC2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12700</xdr:colOff>
      <xdr:row>62</xdr:row>
      <xdr:rowOff>0</xdr:rowOff>
    </xdr:to>
    <xdr:pic>
      <xdr:nvPicPr>
        <xdr:cNvPr id="444" name="Picture 115">
          <a:extLst>
            <a:ext uri="{FF2B5EF4-FFF2-40B4-BE49-F238E27FC236}">
              <a16:creationId xmlns:a16="http://schemas.microsoft.com/office/drawing/2014/main" id="{3F06A471-1C1E-4CE5-A7CD-756DBC52B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12700</xdr:colOff>
      <xdr:row>63</xdr:row>
      <xdr:rowOff>12700</xdr:rowOff>
    </xdr:to>
    <xdr:pic>
      <xdr:nvPicPr>
        <xdr:cNvPr id="445" name="Picture 117">
          <a:extLst>
            <a:ext uri="{FF2B5EF4-FFF2-40B4-BE49-F238E27FC236}">
              <a16:creationId xmlns:a16="http://schemas.microsoft.com/office/drawing/2014/main" id="{F869EA32-A515-415A-800A-1ADEFCC75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25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12700</xdr:colOff>
      <xdr:row>64</xdr:row>
      <xdr:rowOff>0</xdr:rowOff>
    </xdr:to>
    <xdr:pic>
      <xdr:nvPicPr>
        <xdr:cNvPr id="446" name="Picture 118">
          <a:extLst>
            <a:ext uri="{FF2B5EF4-FFF2-40B4-BE49-F238E27FC236}">
              <a16:creationId xmlns:a16="http://schemas.microsoft.com/office/drawing/2014/main" id="{81C6652B-92C1-4265-BD46-B66850A7B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6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12700</xdr:colOff>
      <xdr:row>65</xdr:row>
      <xdr:rowOff>0</xdr:rowOff>
    </xdr:to>
    <xdr:pic>
      <xdr:nvPicPr>
        <xdr:cNvPr id="447" name="Picture 119">
          <a:extLst>
            <a:ext uri="{FF2B5EF4-FFF2-40B4-BE49-F238E27FC236}">
              <a16:creationId xmlns:a16="http://schemas.microsoft.com/office/drawing/2014/main" id="{3DB84587-02E4-4964-9A6F-5F3E96315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06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12700</xdr:colOff>
      <xdr:row>66</xdr:row>
      <xdr:rowOff>0</xdr:rowOff>
    </xdr:to>
    <xdr:pic>
      <xdr:nvPicPr>
        <xdr:cNvPr id="448" name="Picture 121">
          <a:extLst>
            <a:ext uri="{FF2B5EF4-FFF2-40B4-BE49-F238E27FC236}">
              <a16:creationId xmlns:a16="http://schemas.microsoft.com/office/drawing/2014/main" id="{2ACEDC15-74E1-454F-9311-FB97CEB43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97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12700</xdr:colOff>
      <xdr:row>68</xdr:row>
      <xdr:rowOff>12700</xdr:rowOff>
    </xdr:to>
    <xdr:pic>
      <xdr:nvPicPr>
        <xdr:cNvPr id="449" name="Picture 122">
          <a:extLst>
            <a:ext uri="{FF2B5EF4-FFF2-40B4-BE49-F238E27FC236}">
              <a16:creationId xmlns:a16="http://schemas.microsoft.com/office/drawing/2014/main" id="{295F24EA-69E9-4971-B85C-CE53F0668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78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12700</xdr:colOff>
      <xdr:row>71</xdr:row>
      <xdr:rowOff>0</xdr:rowOff>
    </xdr:to>
    <xdr:pic>
      <xdr:nvPicPr>
        <xdr:cNvPr id="450" name="Picture 125">
          <a:extLst>
            <a:ext uri="{FF2B5EF4-FFF2-40B4-BE49-F238E27FC236}">
              <a16:creationId xmlns:a16="http://schemas.microsoft.com/office/drawing/2014/main" id="{BBDFFC2C-460D-48A7-A48A-495085D88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49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12700</xdr:colOff>
      <xdr:row>72</xdr:row>
      <xdr:rowOff>0</xdr:rowOff>
    </xdr:to>
    <xdr:pic>
      <xdr:nvPicPr>
        <xdr:cNvPr id="451" name="Picture 127">
          <a:extLst>
            <a:ext uri="{FF2B5EF4-FFF2-40B4-BE49-F238E27FC236}">
              <a16:creationId xmlns:a16="http://schemas.microsoft.com/office/drawing/2014/main" id="{7BF8EC40-15B1-4ED2-AA03-7C47D3174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12700</xdr:colOff>
      <xdr:row>73</xdr:row>
      <xdr:rowOff>0</xdr:rowOff>
    </xdr:to>
    <xdr:pic>
      <xdr:nvPicPr>
        <xdr:cNvPr id="452" name="Picture 128">
          <a:extLst>
            <a:ext uri="{FF2B5EF4-FFF2-40B4-BE49-F238E27FC236}">
              <a16:creationId xmlns:a16="http://schemas.microsoft.com/office/drawing/2014/main" id="{FD54FCFA-16BE-45DD-ADD1-E63FDBC2A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30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12700</xdr:colOff>
      <xdr:row>20</xdr:row>
      <xdr:rowOff>12700</xdr:rowOff>
    </xdr:to>
    <xdr:pic>
      <xdr:nvPicPr>
        <xdr:cNvPr id="453" name="Picture 130">
          <a:extLst>
            <a:ext uri="{FF2B5EF4-FFF2-40B4-BE49-F238E27FC236}">
              <a16:creationId xmlns:a16="http://schemas.microsoft.com/office/drawing/2014/main" id="{6FEFC8A0-A834-4F14-8B18-D30A17AF3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12700</xdr:colOff>
      <xdr:row>75</xdr:row>
      <xdr:rowOff>0</xdr:rowOff>
    </xdr:to>
    <xdr:pic>
      <xdr:nvPicPr>
        <xdr:cNvPr id="454" name="Picture 133">
          <a:extLst>
            <a:ext uri="{FF2B5EF4-FFF2-40B4-BE49-F238E27FC236}">
              <a16:creationId xmlns:a16="http://schemas.microsoft.com/office/drawing/2014/main" id="{7916DB55-BF3B-4646-BC99-062E0F5A6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11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12700</xdr:colOff>
      <xdr:row>67</xdr:row>
      <xdr:rowOff>12700</xdr:rowOff>
    </xdr:to>
    <xdr:pic>
      <xdr:nvPicPr>
        <xdr:cNvPr id="455" name="Picture 147">
          <a:extLst>
            <a:ext uri="{FF2B5EF4-FFF2-40B4-BE49-F238E27FC236}">
              <a16:creationId xmlns:a16="http://schemas.microsoft.com/office/drawing/2014/main" id="{6C928F85-BA72-4647-9947-4AAB8A33CA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478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12700</xdr:colOff>
      <xdr:row>24</xdr:row>
      <xdr:rowOff>12700</xdr:rowOff>
    </xdr:to>
    <xdr:pic>
      <xdr:nvPicPr>
        <xdr:cNvPr id="456" name="Picture 170">
          <a:extLst>
            <a:ext uri="{FF2B5EF4-FFF2-40B4-BE49-F238E27FC236}">
              <a16:creationId xmlns:a16="http://schemas.microsoft.com/office/drawing/2014/main" id="{B1E810CF-9D91-4CEE-9313-0C84FCB88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12700</xdr:colOff>
      <xdr:row>19</xdr:row>
      <xdr:rowOff>12700</xdr:rowOff>
    </xdr:to>
    <xdr:pic>
      <xdr:nvPicPr>
        <xdr:cNvPr id="457" name="Picture 181">
          <a:extLst>
            <a:ext uri="{FF2B5EF4-FFF2-40B4-BE49-F238E27FC236}">
              <a16:creationId xmlns:a16="http://schemas.microsoft.com/office/drawing/2014/main" id="{AFA236FA-AA54-45E6-BC7B-3DC3FEE3E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12700</xdr:colOff>
      <xdr:row>44</xdr:row>
      <xdr:rowOff>12700</xdr:rowOff>
    </xdr:to>
    <xdr:pic>
      <xdr:nvPicPr>
        <xdr:cNvPr id="458" name="Picture 74">
          <a:extLst>
            <a:ext uri="{FF2B5EF4-FFF2-40B4-BE49-F238E27FC236}">
              <a16:creationId xmlns:a16="http://schemas.microsoft.com/office/drawing/2014/main" id="{A4DDBB92-2401-4411-ADE0-777914D4A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15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19050</xdr:colOff>
      <xdr:row>36</xdr:row>
      <xdr:rowOff>9525</xdr:rowOff>
    </xdr:to>
    <xdr:pic>
      <xdr:nvPicPr>
        <xdr:cNvPr id="459" name="Picture 77">
          <a:extLst>
            <a:ext uri="{FF2B5EF4-FFF2-40B4-BE49-F238E27FC236}">
              <a16:creationId xmlns:a16="http://schemas.microsoft.com/office/drawing/2014/main" id="{79DC39B7-5879-4D1D-88E1-CB54EB6CA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1500"/>
          <a:ext cx="19050" cy="9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19050</xdr:colOff>
      <xdr:row>21</xdr:row>
      <xdr:rowOff>0</xdr:rowOff>
    </xdr:to>
    <xdr:pic>
      <xdr:nvPicPr>
        <xdr:cNvPr id="460" name="Picture 138">
          <a:extLst>
            <a:ext uri="{FF2B5EF4-FFF2-40B4-BE49-F238E27FC236}">
              <a16:creationId xmlns:a16="http://schemas.microsoft.com/office/drawing/2014/main" id="{E1E6F41B-032D-49CC-A2E9-7D3CD795D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19050</xdr:colOff>
      <xdr:row>21</xdr:row>
      <xdr:rowOff>0</xdr:rowOff>
    </xdr:to>
    <xdr:pic>
      <xdr:nvPicPr>
        <xdr:cNvPr id="461" name="Picture 138">
          <a:extLst>
            <a:ext uri="{FF2B5EF4-FFF2-40B4-BE49-F238E27FC236}">
              <a16:creationId xmlns:a16="http://schemas.microsoft.com/office/drawing/2014/main" id="{1898BA52-44D8-45CC-B8E9-F7ADA8F9B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19050</xdr:colOff>
      <xdr:row>21</xdr:row>
      <xdr:rowOff>0</xdr:rowOff>
    </xdr:to>
    <xdr:pic>
      <xdr:nvPicPr>
        <xdr:cNvPr id="462" name="Picture 129">
          <a:extLst>
            <a:ext uri="{FF2B5EF4-FFF2-40B4-BE49-F238E27FC236}">
              <a16:creationId xmlns:a16="http://schemas.microsoft.com/office/drawing/2014/main" id="{05004F9E-DE5D-4108-B841-22505DDC2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12700</xdr:colOff>
      <xdr:row>36</xdr:row>
      <xdr:rowOff>12700</xdr:rowOff>
    </xdr:to>
    <xdr:pic>
      <xdr:nvPicPr>
        <xdr:cNvPr id="463" name="Picture 52">
          <a:extLst>
            <a:ext uri="{FF2B5EF4-FFF2-40B4-BE49-F238E27FC236}">
              <a16:creationId xmlns:a16="http://schemas.microsoft.com/office/drawing/2014/main" id="{E8E15ED0-EF9B-41CB-9189-43F7DD6D1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1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12700</xdr:colOff>
      <xdr:row>21</xdr:row>
      <xdr:rowOff>0</xdr:rowOff>
    </xdr:to>
    <xdr:pic>
      <xdr:nvPicPr>
        <xdr:cNvPr id="464" name="Picture 93">
          <a:extLst>
            <a:ext uri="{FF2B5EF4-FFF2-40B4-BE49-F238E27FC236}">
              <a16:creationId xmlns:a16="http://schemas.microsoft.com/office/drawing/2014/main" id="{FA9C9008-EBAF-415E-B18F-28BC84EC8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12700</xdr:colOff>
      <xdr:row>36</xdr:row>
      <xdr:rowOff>12700</xdr:rowOff>
    </xdr:to>
    <xdr:pic>
      <xdr:nvPicPr>
        <xdr:cNvPr id="465" name="Picture 31">
          <a:extLst>
            <a:ext uri="{FF2B5EF4-FFF2-40B4-BE49-F238E27FC236}">
              <a16:creationId xmlns:a16="http://schemas.microsoft.com/office/drawing/2014/main" id="{D594D072-B218-4C1E-A355-C2F3B8A37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15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12700</xdr:colOff>
      <xdr:row>21</xdr:row>
      <xdr:rowOff>0</xdr:rowOff>
    </xdr:to>
    <xdr:pic>
      <xdr:nvPicPr>
        <xdr:cNvPr id="466" name="Picture 65">
          <a:extLst>
            <a:ext uri="{FF2B5EF4-FFF2-40B4-BE49-F238E27FC236}">
              <a16:creationId xmlns:a16="http://schemas.microsoft.com/office/drawing/2014/main" id="{31DE278F-C25A-4C96-9959-170F0BADA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91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12700</xdr:colOff>
      <xdr:row>20</xdr:row>
      <xdr:rowOff>12700</xdr:rowOff>
    </xdr:to>
    <xdr:pic>
      <xdr:nvPicPr>
        <xdr:cNvPr id="467" name="Picture 57">
          <a:extLst>
            <a:ext uri="{FF2B5EF4-FFF2-40B4-BE49-F238E27FC236}">
              <a16:creationId xmlns:a16="http://schemas.microsoft.com/office/drawing/2014/main" id="{A034D1ED-E174-4EAA-B190-ECA167A5E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05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19050</xdr:colOff>
      <xdr:row>40</xdr:row>
      <xdr:rowOff>0</xdr:rowOff>
    </xdr:to>
    <xdr:pic>
      <xdr:nvPicPr>
        <xdr:cNvPr id="468" name="Picture 221">
          <a:extLst>
            <a:ext uri="{FF2B5EF4-FFF2-40B4-BE49-F238E27FC236}">
              <a16:creationId xmlns:a16="http://schemas.microsoft.com/office/drawing/2014/main" id="{2C53C68C-5091-47B4-8AA8-2F25E11F8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1905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12700</xdr:colOff>
      <xdr:row>40</xdr:row>
      <xdr:rowOff>0</xdr:rowOff>
    </xdr:to>
    <xdr:pic>
      <xdr:nvPicPr>
        <xdr:cNvPr id="469" name="Picture 147">
          <a:extLst>
            <a:ext uri="{FF2B5EF4-FFF2-40B4-BE49-F238E27FC236}">
              <a16:creationId xmlns:a16="http://schemas.microsoft.com/office/drawing/2014/main" id="{181AD8CD-F664-4721-8061-289D3CF4A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12700</xdr:colOff>
      <xdr:row>40</xdr:row>
      <xdr:rowOff>12700</xdr:rowOff>
    </xdr:to>
    <xdr:pic>
      <xdr:nvPicPr>
        <xdr:cNvPr id="470" name="Picture 102">
          <a:extLst>
            <a:ext uri="{FF2B5EF4-FFF2-40B4-BE49-F238E27FC236}">
              <a16:creationId xmlns:a16="http://schemas.microsoft.com/office/drawing/2014/main" id="{6928828E-E114-4C57-BD98-AEB865CDF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63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12700</xdr:colOff>
      <xdr:row>66</xdr:row>
      <xdr:rowOff>12700</xdr:rowOff>
    </xdr:to>
    <xdr:pic>
      <xdr:nvPicPr>
        <xdr:cNvPr id="471" name="Picture 196">
          <a:extLst>
            <a:ext uri="{FF2B5EF4-FFF2-40B4-BE49-F238E27FC236}">
              <a16:creationId xmlns:a16="http://schemas.microsoft.com/office/drawing/2014/main" id="{F600E072-ED69-43D6-8906-D0B4D323B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97000"/>
          <a:ext cx="12700" cy="203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12700</xdr:colOff>
      <xdr:row>67</xdr:row>
      <xdr:rowOff>0</xdr:rowOff>
    </xdr:to>
    <xdr:pic>
      <xdr:nvPicPr>
        <xdr:cNvPr id="472" name="Picture 197">
          <a:extLst>
            <a:ext uri="{FF2B5EF4-FFF2-40B4-BE49-F238E27FC236}">
              <a16:creationId xmlns:a16="http://schemas.microsoft.com/office/drawing/2014/main" id="{D7DC6B9E-281F-4550-A0A8-E76AAD59C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875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12700</xdr:colOff>
      <xdr:row>66</xdr:row>
      <xdr:rowOff>0</xdr:rowOff>
    </xdr:to>
    <xdr:pic>
      <xdr:nvPicPr>
        <xdr:cNvPr id="473" name="Picture 194">
          <a:extLst>
            <a:ext uri="{FF2B5EF4-FFF2-40B4-BE49-F238E27FC236}">
              <a16:creationId xmlns:a16="http://schemas.microsoft.com/office/drawing/2014/main" id="{4643F8DC-CBDB-4555-A635-2C8C1C279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97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12700</xdr:colOff>
      <xdr:row>18</xdr:row>
      <xdr:rowOff>12700</xdr:rowOff>
    </xdr:to>
    <xdr:pic>
      <xdr:nvPicPr>
        <xdr:cNvPr id="474" name="Picture 133">
          <a:extLst>
            <a:ext uri="{FF2B5EF4-FFF2-40B4-BE49-F238E27FC236}">
              <a16:creationId xmlns:a16="http://schemas.microsoft.com/office/drawing/2014/main" id="{62DD4BAF-5C70-4E26-9A69-8F76AE2FE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2700" cy="127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12700</xdr:colOff>
      <xdr:row>66</xdr:row>
      <xdr:rowOff>0</xdr:rowOff>
    </xdr:to>
    <xdr:pic>
      <xdr:nvPicPr>
        <xdr:cNvPr id="475" name="Picture 134">
          <a:extLst>
            <a:ext uri="{FF2B5EF4-FFF2-40B4-BE49-F238E27FC236}">
              <a16:creationId xmlns:a16="http://schemas.microsoft.com/office/drawing/2014/main" id="{46A9783E-A63A-45E3-B405-120C63C2F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97000"/>
          <a:ext cx="12700" cy="190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st.uic.asso.fr/d_stats/online/synth2000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cambiumnetworks.sharepoint.com/Users/mgl010/Documents/-%20Docs/Services/%20Services%20P&amp;L/%20-%202017%20Planning/I:/&#20491;&#21029;&#12499;&#12523;&#35413;&#20385;/&#26087;&#35413;&#20385;&#65404;&#65405;&#65411;&#65425;/0911&#25913;&#33391;&#26087;12&#24180;&#35413;&#20385;&#12471;&#12473;&#12486;&#12512;/H14&#24180;&#24230;/&#35336;&#31639;/user2/&#26087;&#35413;&#20385;&#65404;&#65405;&#65411;&#65425;/0911&#25913;&#33391;&#26087;12&#24180;&#35413;&#20385;&#12471;&#12473;&#12486;&#12512;/My%20Documents/12&#24180;&#25913;&#33391;&#20491;&#21029;&#35413;&#20385;&#12471;&#12473;&#12486;&#12512;/'0422/&#32207;&#21512;&#65288;&#22235;&#26376;&#21313;&#20108;&#26085;&#65289;.xls?274218D3" TargetMode="External"/><Relationship Id="rId1" Type="http://schemas.openxmlformats.org/officeDocument/2006/relationships/externalLinkPath" Target="file:///\\274218D3\&#32207;&#21512;&#65288;&#22235;&#26376;&#21313;&#20108;&#26085;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ma0531f13\SYS1\Documents%20and%20Settings\bjagoe\My%20Documents\Data\First%20Reserve\Tri%20Tool\Tri%20Tool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RPPLAN\1999\99PLAN\JAN7SUM.WK4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Documents%20and%20Settings/crendon.HMV/Local%20Settings/Temporary%20Internet%20Files/OLK3/8599.xls" TargetMode="External"/><Relationship Id="rId1" Type="http://schemas.openxmlformats.org/officeDocument/2006/relationships/externalLinkPath" Target="/Documents%20and%20Settings/crendon.HMV/Local%20Settings/Temporary%20Internet%20Files/OLK3/859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tyofsr50\KPMG\FAS\Users\TS\Non_Management\tshima\43%20Milky%20way\%3f%3f%3f%3f\grumpus\grumpus_1\Grampus%20Templa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Lista%20de%20Precios%20-%20Cto\Internacionales\Cambium%20Networks\Vigente\C&#225;lculo%20LP%20Vta%20Cambium%20Networks%20(Noviembre%2010-2020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nalisis%20Semanal%20Cuadros\Informe%20de%20Inventarios\2019\Octubre\INFORME%20INVENTARIOS%20Octubre%2018-2019%20%20-%20Proyecto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pmg_server\c%20drive\aroyc\korea\templates-excel\jinroindust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Pays"/>
      <sheetName val="Data_CF"/>
      <sheetName val="Pub"/>
      <sheetName val="rapport annuel"/>
      <sheetName val="miles conversions"/>
      <sheetName val="DataGraph"/>
      <sheetName val="Graph vertical"/>
      <sheetName val="Graph  Edition  Sti"/>
      <sheetName val="添付用"/>
      <sheetName val="添付用_所有"/>
      <sheetName val="synth2000"/>
      <sheetName val="List"/>
    </sheetNames>
    <sheetDataSet>
      <sheetData sheetId="0" refreshError="1"/>
      <sheetData sheetId="1" refreshError="1"/>
      <sheetData sheetId="2" refreshError="1">
        <row r="13">
          <cell r="H13" t="str">
            <v>AAE</v>
          </cell>
          <cell r="I13" t="str">
            <v xml:space="preserve">            "   </v>
          </cell>
          <cell r="J13" t="str">
            <v xml:space="preserve">        "   </v>
          </cell>
          <cell r="K13" t="str">
            <v xml:space="preserve">            "   </v>
          </cell>
          <cell r="L13">
            <v>10</v>
          </cell>
        </row>
        <row r="14">
          <cell r="H14" t="str">
            <v>GVG</v>
          </cell>
          <cell r="I14" t="str">
            <v xml:space="preserve">            "   </v>
          </cell>
          <cell r="J14" t="str">
            <v xml:space="preserve">        "   </v>
          </cell>
          <cell r="K14" t="str">
            <v xml:space="preserve">            "   </v>
          </cell>
          <cell r="L14">
            <v>0</v>
          </cell>
        </row>
        <row r="15">
          <cell r="H15" t="str">
            <v>KEG</v>
          </cell>
          <cell r="I15" t="str">
            <v xml:space="preserve">            "   </v>
          </cell>
          <cell r="J15" t="str">
            <v xml:space="preserve">        "   </v>
          </cell>
          <cell r="K15" t="str">
            <v xml:space="preserve">            "   </v>
          </cell>
          <cell r="L15">
            <v>54</v>
          </cell>
        </row>
        <row r="16">
          <cell r="H16" t="str">
            <v>ÖBB</v>
          </cell>
          <cell r="I16">
            <v>83.858999999999995</v>
          </cell>
          <cell r="J16">
            <v>8.2110000000000003</v>
          </cell>
          <cell r="K16">
            <v>97.914356240832831</v>
          </cell>
          <cell r="L16">
            <v>5683</v>
          </cell>
        </row>
        <row r="17">
          <cell r="H17" t="str">
            <v>GKE</v>
          </cell>
          <cell r="I17" t="str">
            <v xml:space="preserve">            "   </v>
          </cell>
          <cell r="J17" t="str">
            <v xml:space="preserve">        "   </v>
          </cell>
          <cell r="K17" t="str">
            <v xml:space="preserve">            "   </v>
          </cell>
          <cell r="L17">
            <v>97.486999999999995</v>
          </cell>
        </row>
        <row r="18">
          <cell r="H18" t="str">
            <v>SNCB/NMBS</v>
          </cell>
          <cell r="I18">
            <v>30.513999999999999</v>
          </cell>
          <cell r="J18">
            <v>10.161</v>
          </cell>
          <cell r="K18">
            <v>332.99469096152586</v>
          </cell>
          <cell r="L18">
            <v>3471</v>
          </cell>
        </row>
        <row r="19">
          <cell r="H19" t="str">
            <v>DSB</v>
          </cell>
          <cell r="I19">
            <v>43.093000000000004</v>
          </cell>
          <cell r="J19">
            <v>5.2930000000000001</v>
          </cell>
          <cell r="K19">
            <v>122.82737335530132</v>
          </cell>
          <cell r="L19">
            <v>0</v>
          </cell>
        </row>
        <row r="20">
          <cell r="H20" t="str">
            <v>BS</v>
          </cell>
          <cell r="I20" t="str">
            <v xml:space="preserve">            "   </v>
          </cell>
          <cell r="J20" t="str">
            <v xml:space="preserve">        "   </v>
          </cell>
          <cell r="K20" t="str">
            <v xml:space="preserve">            "   </v>
          </cell>
          <cell r="L20">
            <v>2047</v>
          </cell>
        </row>
        <row r="21">
          <cell r="H21" t="str">
            <v>RENFE</v>
          </cell>
          <cell r="I21">
            <v>504.78199999999998</v>
          </cell>
          <cell r="J21">
            <v>39.630000000000003</v>
          </cell>
          <cell r="K21">
            <v>78.50913859844448</v>
          </cell>
          <cell r="L21">
            <v>12310</v>
          </cell>
        </row>
        <row r="22">
          <cell r="H22" t="str">
            <v>Euskotren</v>
          </cell>
          <cell r="I22" t="str">
            <v xml:space="preserve">            "   </v>
          </cell>
          <cell r="J22" t="str">
            <v xml:space="preserve">        "   </v>
          </cell>
          <cell r="K22" t="str">
            <v xml:space="preserve">            "   </v>
          </cell>
          <cell r="L22">
            <v>178</v>
          </cell>
        </row>
        <row r="23">
          <cell r="H23" t="str">
            <v>FEVE</v>
          </cell>
          <cell r="I23" t="str">
            <v xml:space="preserve">            "   </v>
          </cell>
          <cell r="J23" t="str">
            <v xml:space="preserve">        "   </v>
          </cell>
          <cell r="K23" t="str">
            <v xml:space="preserve">            "   </v>
          </cell>
          <cell r="L23">
            <v>1194.0999999999999</v>
          </cell>
        </row>
        <row r="24">
          <cell r="H24" t="str">
            <v>FGC</v>
          </cell>
          <cell r="I24" t="str">
            <v xml:space="preserve">            "   </v>
          </cell>
          <cell r="J24" t="str">
            <v xml:space="preserve">        "   </v>
          </cell>
          <cell r="K24" t="str">
            <v xml:space="preserve">            "   </v>
          </cell>
          <cell r="L24">
            <v>184</v>
          </cell>
        </row>
        <row r="25">
          <cell r="H25" t="str">
            <v>VR</v>
          </cell>
          <cell r="I25">
            <v>338.14499999999998</v>
          </cell>
          <cell r="J25">
            <v>5.1760000000000002</v>
          </cell>
          <cell r="K25">
            <v>15.307042836652917</v>
          </cell>
          <cell r="L25">
            <v>0</v>
          </cell>
        </row>
        <row r="26">
          <cell r="H26" t="str">
            <v>RHK</v>
          </cell>
          <cell r="I26" t="str">
            <v xml:space="preserve">            "   </v>
          </cell>
          <cell r="J26" t="str">
            <v xml:space="preserve">        "   </v>
          </cell>
          <cell r="K26" t="str">
            <v xml:space="preserve">            "   </v>
          </cell>
          <cell r="L26">
            <v>5854</v>
          </cell>
        </row>
        <row r="27">
          <cell r="H27" t="str">
            <v>SNCF</v>
          </cell>
          <cell r="I27">
            <v>547.02599999999995</v>
          </cell>
          <cell r="J27">
            <v>59.08</v>
          </cell>
          <cell r="K27">
            <v>108.00217905547451</v>
          </cell>
          <cell r="L27">
            <v>0</v>
          </cell>
        </row>
        <row r="28">
          <cell r="H28" t="str">
            <v>RFF</v>
          </cell>
          <cell r="I28" t="str">
            <v xml:space="preserve">            "   </v>
          </cell>
          <cell r="J28" t="str">
            <v xml:space="preserve">        "   </v>
          </cell>
          <cell r="K28" t="str">
            <v xml:space="preserve">            "   </v>
          </cell>
          <cell r="L28">
            <v>32515</v>
          </cell>
        </row>
        <row r="29">
          <cell r="H29" t="str">
            <v>CH</v>
          </cell>
          <cell r="I29">
            <v>131.95699999999999</v>
          </cell>
          <cell r="J29">
            <v>10.645</v>
          </cell>
          <cell r="K29">
            <v>80.670218328697985</v>
          </cell>
          <cell r="L29">
            <v>2299</v>
          </cell>
        </row>
        <row r="30">
          <cell r="H30" t="str">
            <v>CIE</v>
          </cell>
          <cell r="I30">
            <v>70.283000000000001</v>
          </cell>
          <cell r="J30">
            <v>3.73</v>
          </cell>
          <cell r="K30">
            <v>53.071155186887296</v>
          </cell>
          <cell r="L30">
            <v>1915</v>
          </cell>
        </row>
        <row r="31">
          <cell r="H31" t="str">
            <v>FNME</v>
          </cell>
          <cell r="I31">
            <v>301.22500000000002</v>
          </cell>
          <cell r="J31">
            <v>57.298000000000002</v>
          </cell>
          <cell r="K31">
            <v>190.21661548676238</v>
          </cell>
          <cell r="L31">
            <v>321</v>
          </cell>
        </row>
        <row r="32">
          <cell r="H32" t="str">
            <v>FS SpA</v>
          </cell>
          <cell r="I32" t="str">
            <v xml:space="preserve">            "   </v>
          </cell>
          <cell r="J32" t="str">
            <v xml:space="preserve">        "   </v>
          </cell>
          <cell r="K32" t="str">
            <v xml:space="preserve">            "   </v>
          </cell>
          <cell r="L32">
            <v>16178</v>
          </cell>
        </row>
        <row r="33">
          <cell r="H33" t="str">
            <v>CFL</v>
          </cell>
          <cell r="I33">
            <v>2.5859999999999999</v>
          </cell>
          <cell r="J33">
            <v>0.43099999999999999</v>
          </cell>
          <cell r="K33">
            <v>166.66666666666669</v>
          </cell>
          <cell r="L33">
            <v>274</v>
          </cell>
        </row>
        <row r="34">
          <cell r="H34" t="str">
            <v>NS N.V.</v>
          </cell>
          <cell r="I34">
            <v>41.527999999999999</v>
          </cell>
          <cell r="J34">
            <v>15.786</v>
          </cell>
          <cell r="K34">
            <v>380.12906954344055</v>
          </cell>
          <cell r="L34">
            <v>0</v>
          </cell>
        </row>
        <row r="35">
          <cell r="H35" t="str">
            <v>Railion</v>
          </cell>
          <cell r="I35" t="str">
            <v xml:space="preserve">            "   </v>
          </cell>
          <cell r="J35" t="str">
            <v xml:space="preserve">        "   </v>
          </cell>
          <cell r="K35" t="str">
            <v xml:space="preserve">            "   </v>
          </cell>
          <cell r="L35">
            <v>0</v>
          </cell>
        </row>
        <row r="36">
          <cell r="H36" t="str">
            <v>RIM</v>
          </cell>
          <cell r="I36" t="str">
            <v xml:space="preserve">            "   </v>
          </cell>
          <cell r="J36" t="str">
            <v xml:space="preserve">        "   </v>
          </cell>
          <cell r="K36" t="str">
            <v xml:space="preserve">            "   </v>
          </cell>
          <cell r="L36">
            <v>2802</v>
          </cell>
        </row>
        <row r="37">
          <cell r="H37" t="str">
            <v>CP</v>
          </cell>
          <cell r="I37">
            <v>92.081999999999994</v>
          </cell>
          <cell r="J37">
            <v>9.875</v>
          </cell>
          <cell r="K37">
            <v>107.24137182076845</v>
          </cell>
          <cell r="L37">
            <v>0</v>
          </cell>
        </row>
        <row r="38">
          <cell r="H38" t="str">
            <v>REFER</v>
          </cell>
          <cell r="I38" t="str">
            <v xml:space="preserve">            "   </v>
          </cell>
          <cell r="J38" t="str">
            <v xml:space="preserve">        "   </v>
          </cell>
          <cell r="K38" t="str">
            <v xml:space="preserve">            "   </v>
          </cell>
          <cell r="L38">
            <v>2814</v>
          </cell>
        </row>
        <row r="39">
          <cell r="H39" t="str">
            <v>ATOC</v>
          </cell>
          <cell r="I39">
            <v>244.04599999999999</v>
          </cell>
          <cell r="J39">
            <v>58.83</v>
          </cell>
          <cell r="K39">
            <v>241.0611114298124</v>
          </cell>
          <cell r="L39">
            <v>0</v>
          </cell>
        </row>
        <row r="40">
          <cell r="H40" t="str">
            <v>Total freight operators</v>
          </cell>
          <cell r="I40" t="str">
            <v xml:space="preserve">            "   </v>
          </cell>
          <cell r="J40" t="str">
            <v xml:space="preserve">        "   </v>
          </cell>
          <cell r="K40" t="str">
            <v xml:space="preserve">            "   </v>
          </cell>
          <cell r="L40">
            <v>0</v>
          </cell>
        </row>
        <row r="41">
          <cell r="H41" t="str">
            <v>Eurotunnel</v>
          </cell>
          <cell r="I41" t="str">
            <v xml:space="preserve">            "   </v>
          </cell>
          <cell r="J41" t="str">
            <v xml:space="preserve">        "   </v>
          </cell>
          <cell r="K41" t="str">
            <v xml:space="preserve">            "   </v>
          </cell>
          <cell r="L41">
            <v>58</v>
          </cell>
        </row>
        <row r="42">
          <cell r="H42" t="str">
            <v>NIR</v>
          </cell>
          <cell r="I42" t="str">
            <v xml:space="preserve">            "   </v>
          </cell>
          <cell r="J42" t="str">
            <v xml:space="preserve">        "   </v>
          </cell>
          <cell r="K42" t="str">
            <v xml:space="preserve">            "   </v>
          </cell>
          <cell r="L42">
            <v>357</v>
          </cell>
        </row>
        <row r="43">
          <cell r="H43" t="str">
            <v>Railtrack</v>
          </cell>
          <cell r="I43" t="str">
            <v xml:space="preserve">            "   </v>
          </cell>
          <cell r="J43" t="str">
            <v xml:space="preserve">        "   </v>
          </cell>
          <cell r="K43" t="str">
            <v xml:space="preserve">            "   </v>
          </cell>
          <cell r="L43">
            <v>16652</v>
          </cell>
        </row>
        <row r="44">
          <cell r="G44" t="str">
            <v>2)</v>
          </cell>
          <cell r="H44" t="str">
            <v>SJ</v>
          </cell>
          <cell r="I44">
            <v>449.964</v>
          </cell>
          <cell r="J44">
            <v>8.91</v>
          </cell>
          <cell r="K44">
            <v>19.801584126730138</v>
          </cell>
          <cell r="L44">
            <v>0</v>
          </cell>
        </row>
        <row r="45">
          <cell r="H45" t="str">
            <v>MTAB</v>
          </cell>
          <cell r="I45" t="str">
            <v xml:space="preserve">            "   </v>
          </cell>
          <cell r="J45" t="str">
            <v xml:space="preserve">        "   </v>
          </cell>
          <cell r="K45" t="str">
            <v xml:space="preserve">            "   </v>
          </cell>
          <cell r="L45">
            <v>0</v>
          </cell>
        </row>
        <row r="46">
          <cell r="H46" t="str">
            <v>BV</v>
          </cell>
          <cell r="I46" t="str">
            <v xml:space="preserve">            "   </v>
          </cell>
          <cell r="J46" t="str">
            <v xml:space="preserve">        "   </v>
          </cell>
          <cell r="K46" t="str">
            <v xml:space="preserve">            "   </v>
          </cell>
          <cell r="L46">
            <v>9946</v>
          </cell>
        </row>
        <row r="47">
          <cell r="H47" t="str">
            <v>BK</v>
          </cell>
          <cell r="I47" t="str">
            <v xml:space="preserve">            "   </v>
          </cell>
          <cell r="J47" t="str">
            <v xml:space="preserve">        "   </v>
          </cell>
          <cell r="K47" t="str">
            <v xml:space="preserve">            "   </v>
          </cell>
          <cell r="L47">
            <v>0</v>
          </cell>
        </row>
        <row r="48">
          <cell r="I48">
            <v>3238.0489999999986</v>
          </cell>
          <cell r="J48">
            <v>375.27600000000001</v>
          </cell>
          <cell r="K48">
            <v>115.89571374614781</v>
          </cell>
          <cell r="L48">
            <v>153801.587</v>
          </cell>
        </row>
        <row r="49">
          <cell r="H49" t="str">
            <v>NSB BA</v>
          </cell>
          <cell r="I49">
            <v>386.95800000000003</v>
          </cell>
          <cell r="J49">
            <v>4.4649999999999999</v>
          </cell>
          <cell r="K49">
            <v>11.538719964440585</v>
          </cell>
          <cell r="L49">
            <v>0</v>
          </cell>
        </row>
        <row r="50">
          <cell r="H50" t="str">
            <v>MTAS</v>
          </cell>
          <cell r="I50" t="str">
            <v xml:space="preserve">            "   </v>
          </cell>
          <cell r="J50" t="str">
            <v xml:space="preserve">        "   </v>
          </cell>
          <cell r="K50" t="str">
            <v xml:space="preserve">            "   </v>
          </cell>
          <cell r="L50">
            <v>0</v>
          </cell>
        </row>
        <row r="51">
          <cell r="H51" t="str">
            <v>JBV</v>
          </cell>
          <cell r="I51" t="str">
            <v xml:space="preserve">            "   </v>
          </cell>
          <cell r="J51" t="str">
            <v xml:space="preserve">        "   </v>
          </cell>
          <cell r="K51" t="str">
            <v xml:space="preserve">            "   </v>
          </cell>
          <cell r="L51">
            <v>4179</v>
          </cell>
        </row>
        <row r="52">
          <cell r="H52" t="str">
            <v>BLS</v>
          </cell>
          <cell r="I52">
            <v>41.283999999999999</v>
          </cell>
          <cell r="J52">
            <v>7.3860000000000001</v>
          </cell>
          <cell r="K52">
            <v>178.90708264703034</v>
          </cell>
          <cell r="L52">
            <v>241</v>
          </cell>
        </row>
        <row r="53">
          <cell r="H53" t="str">
            <v>CFF/SBB/FFS</v>
          </cell>
          <cell r="I53" t="str">
            <v xml:space="preserve">            "   </v>
          </cell>
          <cell r="J53" t="str">
            <v xml:space="preserve">        "   </v>
          </cell>
          <cell r="K53" t="str">
            <v xml:space="preserve">            "   </v>
          </cell>
          <cell r="L53">
            <v>2902</v>
          </cell>
        </row>
        <row r="54">
          <cell r="I54">
            <v>3666.2909999999988</v>
          </cell>
          <cell r="J54">
            <v>387.12700000000001</v>
          </cell>
          <cell r="K54">
            <v>105.59090917769488</v>
          </cell>
          <cell r="L54">
            <v>161123.587</v>
          </cell>
        </row>
        <row r="55">
          <cell r="H55" t="str">
            <v>HSh</v>
          </cell>
          <cell r="I55">
            <v>28.748000000000001</v>
          </cell>
          <cell r="J55">
            <v>3.113</v>
          </cell>
          <cell r="K55">
            <v>108.28579379435091</v>
          </cell>
          <cell r="L55">
            <v>440</v>
          </cell>
        </row>
        <row r="56">
          <cell r="H56" t="str">
            <v>ZBH</v>
          </cell>
          <cell r="I56">
            <v>51.128999999999998</v>
          </cell>
          <cell r="J56">
            <v>3.972</v>
          </cell>
          <cell r="K56">
            <v>77.685853429560524</v>
          </cell>
          <cell r="L56">
            <v>608.495</v>
          </cell>
        </row>
        <row r="57">
          <cell r="H57" t="str">
            <v>ZRS</v>
          </cell>
          <cell r="I57" t="str">
            <v xml:space="preserve">            "   </v>
          </cell>
          <cell r="J57" t="str">
            <v xml:space="preserve">        "   </v>
          </cell>
          <cell r="K57" t="str">
            <v xml:space="preserve">            "   </v>
          </cell>
          <cell r="L57">
            <v>424</v>
          </cell>
        </row>
        <row r="58">
          <cell r="H58" t="str">
            <v>BDZ</v>
          </cell>
          <cell r="I58">
            <v>110.91200000000001</v>
          </cell>
          <cell r="J58">
            <v>8.2249999999999996</v>
          </cell>
          <cell r="K58">
            <v>74.157890940565494</v>
          </cell>
          <cell r="L58">
            <v>4320</v>
          </cell>
        </row>
        <row r="59">
          <cell r="H59" t="str">
            <v>HZ</v>
          </cell>
          <cell r="I59">
            <v>56.537999999999997</v>
          </cell>
          <cell r="J59">
            <v>4.4729999999999999</v>
          </cell>
          <cell r="K59">
            <v>79.114931550461634</v>
          </cell>
          <cell r="L59">
            <v>2726.8</v>
          </cell>
        </row>
        <row r="60">
          <cell r="H60" t="str">
            <v>GYSEV/RÖEE</v>
          </cell>
          <cell r="I60">
            <v>93.03</v>
          </cell>
          <cell r="J60">
            <v>10.036</v>
          </cell>
          <cell r="K60">
            <v>107.87917875953993</v>
          </cell>
          <cell r="L60">
            <v>220</v>
          </cell>
        </row>
        <row r="61">
          <cell r="H61" t="str">
            <v>MÁV Rt.</v>
          </cell>
          <cell r="I61" t="str">
            <v xml:space="preserve">            "   </v>
          </cell>
          <cell r="J61" t="str">
            <v xml:space="preserve">        "   </v>
          </cell>
          <cell r="K61" t="str">
            <v xml:space="preserve">            "   </v>
          </cell>
          <cell r="L61">
            <v>7784</v>
          </cell>
        </row>
        <row r="62">
          <cell r="H62" t="str">
            <v>CFARYM</v>
          </cell>
          <cell r="I62">
            <v>25.713000000000001</v>
          </cell>
          <cell r="J62">
            <v>2.024</v>
          </cell>
          <cell r="K62">
            <v>78.715046863454276</v>
          </cell>
          <cell r="L62">
            <v>699</v>
          </cell>
        </row>
        <row r="63">
          <cell r="H63" t="str">
            <v>PKP</v>
          </cell>
          <cell r="I63">
            <v>312.685</v>
          </cell>
          <cell r="J63">
            <v>38.765000000000001</v>
          </cell>
          <cell r="K63">
            <v>123.97460703263668</v>
          </cell>
          <cell r="L63">
            <v>22560</v>
          </cell>
        </row>
        <row r="64">
          <cell r="H64" t="str">
            <v>CFR</v>
          </cell>
          <cell r="I64">
            <v>238.39099999999999</v>
          </cell>
          <cell r="J64">
            <v>22.327000000000002</v>
          </cell>
          <cell r="K64">
            <v>93.657059201060449</v>
          </cell>
          <cell r="L64">
            <v>11364</v>
          </cell>
        </row>
        <row r="65">
          <cell r="H65" t="str">
            <v>ZSR</v>
          </cell>
          <cell r="I65">
            <v>49</v>
          </cell>
          <cell r="J65">
            <v>5.3869999999999996</v>
          </cell>
          <cell r="K65">
            <v>109.93877551020408</v>
          </cell>
          <cell r="L65">
            <v>3662</v>
          </cell>
        </row>
        <row r="66">
          <cell r="H66" t="str">
            <v>SZ</v>
          </cell>
          <cell r="I66">
            <v>20.256</v>
          </cell>
          <cell r="J66">
            <v>1.986</v>
          </cell>
          <cell r="K66">
            <v>98.045023696682463</v>
          </cell>
          <cell r="L66">
            <v>1201.5</v>
          </cell>
        </row>
        <row r="67">
          <cell r="H67" t="str">
            <v>CD</v>
          </cell>
          <cell r="I67">
            <v>78.864000000000004</v>
          </cell>
          <cell r="J67">
            <v>10.244</v>
          </cell>
          <cell r="K67">
            <v>129.89450192736862</v>
          </cell>
          <cell r="L67">
            <v>9365</v>
          </cell>
        </row>
        <row r="68">
          <cell r="H68" t="str">
            <v>JZ</v>
          </cell>
          <cell r="I68">
            <v>102.173</v>
          </cell>
          <cell r="J68">
            <v>10.64</v>
          </cell>
          <cell r="K68">
            <v>104.13710079962416</v>
          </cell>
          <cell r="L68">
            <v>4057.7</v>
          </cell>
        </row>
        <row r="69">
          <cell r="I69">
            <v>1167.4389999999999</v>
          </cell>
          <cell r="J69">
            <v>121.19200000000001</v>
          </cell>
          <cell r="K69">
            <v>103.81013483359732</v>
          </cell>
          <cell r="L69">
            <v>69432.494999999995</v>
          </cell>
        </row>
        <row r="71">
          <cell r="H71" t="str">
            <v>BC</v>
          </cell>
          <cell r="I71">
            <v>207.6</v>
          </cell>
          <cell r="J71">
            <v>10.236000000000001</v>
          </cell>
          <cell r="K71">
            <v>49.306358381502896</v>
          </cell>
          <cell r="L71">
            <v>5512</v>
          </cell>
        </row>
        <row r="72">
          <cell r="H72" t="str">
            <v>EVR</v>
          </cell>
          <cell r="I72">
            <v>45.225999999999999</v>
          </cell>
          <cell r="J72">
            <v>1.3959999999999999</v>
          </cell>
          <cell r="K72">
            <v>30.867200283023038</v>
          </cell>
          <cell r="L72">
            <v>968</v>
          </cell>
        </row>
        <row r="73">
          <cell r="H73" t="str">
            <v>LDZ</v>
          </cell>
          <cell r="I73">
            <v>64.616</v>
          </cell>
          <cell r="J73">
            <v>2.3570000000000002</v>
          </cell>
          <cell r="K73">
            <v>36.477033552061407</v>
          </cell>
          <cell r="L73">
            <v>2331</v>
          </cell>
        </row>
        <row r="74">
          <cell r="H74" t="str">
            <v>LG</v>
          </cell>
          <cell r="I74">
            <v>65.3</v>
          </cell>
          <cell r="J74">
            <v>3.67</v>
          </cell>
          <cell r="K74">
            <v>56.202143950995413</v>
          </cell>
          <cell r="L74">
            <v>1905</v>
          </cell>
        </row>
        <row r="75">
          <cell r="H75" t="str">
            <v>CFM (E)</v>
          </cell>
          <cell r="I75">
            <v>33.76</v>
          </cell>
          <cell r="J75">
            <v>4.38</v>
          </cell>
          <cell r="K75">
            <v>129.739336492891</v>
          </cell>
          <cell r="L75">
            <v>1139</v>
          </cell>
        </row>
        <row r="76">
          <cell r="H76" t="str">
            <v>RZD</v>
          </cell>
          <cell r="I76">
            <v>17075.400000000001</v>
          </cell>
          <cell r="J76">
            <v>146.934</v>
          </cell>
          <cell r="K76">
            <v>8.6050107171720711</v>
          </cell>
          <cell r="L76">
            <v>86075</v>
          </cell>
        </row>
        <row r="77">
          <cell r="H77" t="str">
            <v>UZ</v>
          </cell>
          <cell r="I77">
            <v>603.70000000000005</v>
          </cell>
          <cell r="J77">
            <v>50.456000000000003</v>
          </cell>
          <cell r="K77">
            <v>83.577936060957427</v>
          </cell>
          <cell r="L77">
            <v>22302</v>
          </cell>
        </row>
        <row r="78">
          <cell r="I78">
            <v>18095.602000000003</v>
          </cell>
          <cell r="J78">
            <v>219.42899999999997</v>
          </cell>
          <cell r="K78">
            <v>12.126095611519304</v>
          </cell>
          <cell r="L78">
            <v>120232</v>
          </cell>
        </row>
        <row r="79">
          <cell r="H79" t="str">
            <v>TCDD</v>
          </cell>
          <cell r="I79">
            <v>779.452</v>
          </cell>
          <cell r="J79">
            <v>66.590999999999994</v>
          </cell>
          <cell r="K79">
            <v>85.433099151711716</v>
          </cell>
          <cell r="L79">
            <v>8671</v>
          </cell>
        </row>
        <row r="80">
          <cell r="I80">
            <v>23708.784000000003</v>
          </cell>
          <cell r="J80">
            <v>794.33900000000006</v>
          </cell>
          <cell r="K80">
            <v>33.503995818596181</v>
          </cell>
          <cell r="L80">
            <v>359459.08199999999</v>
          </cell>
        </row>
        <row r="81">
          <cell r="I81" t="str">
            <v>Tausend</v>
          </cell>
          <cell r="J81" t="str">
            <v>Millionen</v>
          </cell>
          <cell r="K81" t="str">
            <v>Einwohner</v>
          </cell>
          <cell r="L81" t="str">
            <v>in Kilometer</v>
          </cell>
        </row>
        <row r="82">
          <cell r="I82" t="str">
            <v>km²</v>
          </cell>
          <cell r="K82" t="str">
            <v>/km²</v>
          </cell>
          <cell r="L82" t="str">
            <v>Gesamt-</v>
          </cell>
        </row>
        <row r="83">
          <cell r="I83" t="str">
            <v>Fläche des</v>
          </cell>
          <cell r="J83" t="str">
            <v>Bevölke-</v>
          </cell>
          <cell r="K83" t="str">
            <v>Bevölke-</v>
          </cell>
          <cell r="L83" t="str">
            <v>summe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計算過程シート"/>
      <sheetName val="メイン"/>
      <sheetName val="BS"/>
      <sheetName val="土地賃貸借契約の概要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lines"/>
      <sheetName val="To do"/>
      <sheetName val="Issues"/>
      <sheetName val="Requests"/>
      <sheetName val="Questions2"/>
      <sheetName val="Questions1"/>
      <sheetName val="Non op ex"/>
      <sheetName val="Summary IS"/>
      <sheetName val="A"/>
      <sheetName val="Historical IS"/>
      <sheetName val="Hist sales GM"/>
      <sheetName val="EBITDA"/>
      <sheetName val="R&amp;D Rpt"/>
      <sheetName val="R&amp;D"/>
      <sheetName val="Selling Rpt"/>
      <sheetName val="Selling"/>
      <sheetName val="G&amp;A rpt"/>
      <sheetName val="G&amp;A"/>
      <sheetName val="Hdct"/>
      <sheetName val="Other op ex"/>
      <sheetName val="Notes"/>
      <sheetName val="Sheet1"/>
      <sheetName val="DSO"/>
      <sheetName val="NWC graph"/>
      <sheetName val="Income Statement"/>
      <sheetName val="Controls"/>
      <sheetName val="D&amp;A"/>
      <sheetName val="graphs"/>
      <sheetName val="PIA Identifiers"/>
      <sheetName val="Fund Managers"/>
      <sheetName val="Long-Term Care Comps"/>
      <sheetName val="Football"/>
      <sheetName val="LBO Valuation Analysis"/>
      <sheetName val="Sheet1 (2)"/>
      <sheetName val="Sheet3"/>
      <sheetName val="Buy"/>
      <sheetName val="Summary"/>
      <sheetName val="Spin 1"/>
      <sheetName val="Sec Equity"/>
      <sheetName val="GRAPH &amp; SOURCE DATA"/>
      <sheetName val="Projections"/>
      <sheetName val="LBO Assumptions"/>
      <sheetName val="Sale"/>
      <sheetName val="Split"/>
      <sheetName val="TargetDCF"/>
      <sheetName val="Contents"/>
      <sheetName val="model"/>
      <sheetName val="Over"/>
      <sheetName val="P&amp;L"/>
      <sheetName val="Shipping"/>
      <sheetName val="NWCG"/>
      <sheetName val="Valuation Characteristics"/>
      <sheetName val="2010 Liquidity"/>
      <sheetName val="Sheet2"/>
      <sheetName val="Tri Tool Template"/>
      <sheetName val="Input"/>
      <sheetName val="Herramientas para análisis-VBA"/>
      <sheetName val="Valuation Comments"/>
      <sheetName val="Exemption Codes"/>
      <sheetName val="Income Codes"/>
      <sheetName val="Recipient and WHA Status Codes"/>
      <sheetName val="Other drop down options"/>
      <sheetName val="Pivot Unbilled Rev"/>
      <sheetName val="Variance Details"/>
      <sheetName val="Invoices thru Sep"/>
      <sheetName val="Invoices through October"/>
      <sheetName val="103.02 H2O Unbilled Rev GL Dtl"/>
      <sheetName val="Cynthia Rev Sch_Oct as of 11-30"/>
      <sheetName val="Pivot Unbilled PTEs"/>
      <sheetName val="103.03 H2O Unbilled PTEs GL Dtl"/>
      <sheetName val="lookups"/>
      <sheetName val="Ranpak"/>
      <sheetName val="To_do"/>
      <sheetName val="Non_op_ex"/>
      <sheetName val="Summary_IS"/>
      <sheetName val="Historical_IS"/>
      <sheetName val="Hist_sales_GM"/>
      <sheetName val="R&amp;D_Rpt"/>
      <sheetName val="Selling_Rpt"/>
      <sheetName val="G&amp;A_rpt"/>
      <sheetName val="Other_op_ex"/>
      <sheetName val="NWC_grap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dec3 sum"/>
      <sheetName val="asp"/>
      <sheetName val="sap"/>
      <sheetName val="assumptions"/>
      <sheetName val="F"/>
      <sheetName val="cost bonus"/>
      <sheetName val="cost bonus2"/>
      <sheetName val="bod opex"/>
      <sheetName val="chrono"/>
      <sheetName val="revenue"/>
      <sheetName val="units"/>
      <sheetName val="highlights"/>
      <sheetName val="engineering"/>
      <sheetName val="cost file"/>
      <sheetName val="sga"/>
      <sheetName val="sga2"/>
      <sheetName val="Historical IS"/>
      <sheetName val="添付用"/>
      <sheetName val="添付用_所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P10">
            <v>91.7</v>
          </cell>
          <cell r="Q10">
            <v>109.1</v>
          </cell>
          <cell r="R10">
            <v>120.8</v>
          </cell>
        </row>
        <row r="45">
          <cell r="P45">
            <v>148.1</v>
          </cell>
          <cell r="Q45">
            <v>177</v>
          </cell>
          <cell r="R45">
            <v>217.70000000000002</v>
          </cell>
        </row>
        <row r="46">
          <cell r="P46">
            <v>152.30000000000001</v>
          </cell>
          <cell r="Q46">
            <v>188.4</v>
          </cell>
          <cell r="R46">
            <v>213.9</v>
          </cell>
        </row>
        <row r="77">
          <cell r="P77">
            <v>371.2</v>
          </cell>
          <cell r="Q77">
            <v>432</v>
          </cell>
          <cell r="R77">
            <v>468.30000000000007</v>
          </cell>
        </row>
        <row r="78">
          <cell r="P78">
            <v>0</v>
          </cell>
          <cell r="Q78">
            <v>0</v>
          </cell>
          <cell r="R78">
            <v>97.9</v>
          </cell>
        </row>
        <row r="81">
          <cell r="P81" t="str">
            <v xml:space="preserve">1996 </v>
          </cell>
          <cell r="Q81" t="str">
            <v xml:space="preserve">1997 </v>
          </cell>
          <cell r="R81" t="str">
            <v xml:space="preserve">1998 </v>
          </cell>
        </row>
        <row r="82">
          <cell r="P82">
            <v>267.2</v>
          </cell>
          <cell r="Q82">
            <v>326</v>
          </cell>
          <cell r="R82">
            <v>368.1</v>
          </cell>
        </row>
      </sheetData>
      <sheetData sheetId="11" refreshError="1"/>
      <sheetData sheetId="12" refreshError="1"/>
      <sheetData sheetId="13" refreshError="1">
        <row r="7">
          <cell r="P7">
            <v>14.247999999999999</v>
          </cell>
          <cell r="Q7">
            <v>15.250999999999999</v>
          </cell>
          <cell r="R7">
            <v>15.183999999999999</v>
          </cell>
          <cell r="S7">
            <v>14.958</v>
          </cell>
          <cell r="T7">
            <v>26.911000000000001</v>
          </cell>
        </row>
        <row r="16">
          <cell r="P16">
            <v>4.2850000000000001</v>
          </cell>
          <cell r="Q16">
            <v>5.1609999999999996</v>
          </cell>
          <cell r="R16">
            <v>3.298</v>
          </cell>
          <cell r="S16">
            <v>1.7840000000000007</v>
          </cell>
          <cell r="T16">
            <v>10.664000000000001</v>
          </cell>
        </row>
        <row r="42">
          <cell r="Q42">
            <v>14.349999999999998</v>
          </cell>
          <cell r="R42">
            <v>16.510999999999999</v>
          </cell>
          <cell r="S42">
            <v>21.537000000000003</v>
          </cell>
          <cell r="U42">
            <v>17.942999999999998</v>
          </cell>
          <cell r="V42">
            <v>20.970999999999997</v>
          </cell>
          <cell r="W42">
            <v>26.556000000000004</v>
          </cell>
        </row>
        <row r="46">
          <cell r="Q46">
            <v>4.51</v>
          </cell>
          <cell r="R46">
            <v>10.840999999999999</v>
          </cell>
          <cell r="S46">
            <v>14.196999999999999</v>
          </cell>
          <cell r="U46">
            <v>2.0550000000000002</v>
          </cell>
          <cell r="V46">
            <v>2.6640000000000001</v>
          </cell>
          <cell r="W46">
            <v>1.796</v>
          </cell>
        </row>
        <row r="48">
          <cell r="Q48" t="str">
            <v xml:space="preserve">1996 </v>
          </cell>
          <cell r="R48" t="str">
            <v xml:space="preserve">1997 </v>
          </cell>
          <cell r="S48" t="str">
            <v xml:space="preserve">1998 </v>
          </cell>
        </row>
        <row r="49">
          <cell r="Q49">
            <v>2.2290000000000001</v>
          </cell>
          <cell r="R49">
            <v>1</v>
          </cell>
          <cell r="S49">
            <v>1.8</v>
          </cell>
        </row>
        <row r="50">
          <cell r="Q50">
            <v>0</v>
          </cell>
          <cell r="R50">
            <v>0</v>
          </cell>
          <cell r="S50">
            <v>0</v>
          </cell>
        </row>
      </sheetData>
      <sheetData sheetId="14" refreshError="1"/>
      <sheetData sheetId="15" refreshError="1">
        <row r="7">
          <cell r="P7">
            <v>149.6</v>
          </cell>
          <cell r="Q7">
            <v>165.2</v>
          </cell>
          <cell r="R7">
            <v>192</v>
          </cell>
        </row>
        <row r="9">
          <cell r="P9" t="str">
            <v xml:space="preserve">1996 </v>
          </cell>
          <cell r="Q9" t="str">
            <v xml:space="preserve">1997 </v>
          </cell>
          <cell r="R9" t="str">
            <v xml:space="preserve">1998 </v>
          </cell>
        </row>
        <row r="10">
          <cell r="P10">
            <v>22.780569514237854</v>
          </cell>
          <cell r="Q10">
            <v>21.338155515370701</v>
          </cell>
          <cell r="R10">
            <v>20.210695447398745</v>
          </cell>
        </row>
        <row r="11">
          <cell r="P11">
            <v>22.780569514237854</v>
          </cell>
          <cell r="Q11">
            <v>21.338155515370701</v>
          </cell>
          <cell r="R11">
            <v>19.7207855179179</v>
          </cell>
        </row>
        <row r="12">
          <cell r="P12">
            <v>22.780569514237854</v>
          </cell>
          <cell r="Q12">
            <v>21.338155515370701</v>
          </cell>
          <cell r="R12">
            <v>21.925515939079265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sentacion"/>
      <sheetName val="Ejecutivo"/>
      <sheetName val="Resumen_Real"/>
      <sheetName val="TablasDinamicas"/>
      <sheetName val="HorasDetalladas"/>
      <sheetName val="46W9"/>
      <sheetName val="46W9_Hoja1"/>
      <sheetName val="46W9_Cuadro de costos"/>
      <sheetName val="46W9_Bases"/>
      <sheetName val="46W9_ASPECTOS ELECTRICOS"/>
      <sheetName val="46W9_OBRAS CIVILES"/>
      <sheetName val="46W9_Costo directos"/>
      <sheetName val="46W9_Resumen Costos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総括"/>
      <sheetName val="重要総括事項"/>
      <sheetName val="実態分析"/>
      <sheetName val="関係会社投融資評価"/>
      <sheetName val="BS・PL・CF"/>
      <sheetName val="10年"/>
      <sheetName val="デュポン"/>
      <sheetName val="部門別"/>
      <sheetName val="円"/>
      <sheetName val="棒"/>
      <sheetName val="バブル"/>
      <sheetName val="損益"/>
      <sheetName val="人員推移"/>
      <sheetName val="運転資金"/>
      <sheetName val="余剰資産"/>
      <sheetName val="売上債権"/>
      <sheetName val="売上債権 (2)"/>
      <sheetName val="売上債権 (3)"/>
      <sheetName val="貸倒実績"/>
      <sheetName val="棚卸資産"/>
      <sheetName val="棚卸資産 (2)"/>
      <sheetName val="その他流動資産"/>
      <sheetName val="有形・無形固定資産"/>
      <sheetName val="有形・無形固定資産 (減価償却費)"/>
      <sheetName val="有形・無形固定資産 (償却率)"/>
      <sheetName val="有形・無形固定資産 (設備投資)"/>
      <sheetName val="リース債務"/>
      <sheetName val="投資有価証券・貸付金"/>
      <sheetName val="その他投資等"/>
      <sheetName val="仕入債務"/>
      <sheetName val="仕入債務 (2)"/>
      <sheetName val="社債・借入金・現金預金"/>
      <sheetName val="借入金返済スケジュール"/>
      <sheetName val="その他負債"/>
      <sheetName val="退職給付引当金"/>
      <sheetName val="退職給付引当金 (3)"/>
      <sheetName val="資本の部"/>
      <sheetName val="売上高(得意先別）"/>
      <sheetName val="売上高(部門別)"/>
      <sheetName val="売上原価"/>
      <sheetName val="販管費 (本社その他)"/>
      <sheetName val="販管費"/>
      <sheetName val="物流費"/>
      <sheetName val="販売費"/>
      <sheetName val="人件費"/>
      <sheetName val="管理費"/>
      <sheetName val="営業外損益"/>
      <sheetName val="特別損益"/>
      <sheetName val="税金関係"/>
      <sheetName val="税効果"/>
      <sheetName val="不使用（担保提供資産）"/>
      <sheetName val="税金関係 (2)"/>
      <sheetName val="保証債務 "/>
      <sheetName val="関係会社取引"/>
      <sheetName val="03bs"/>
      <sheetName val="02bs"/>
      <sheetName val="01bs"/>
      <sheetName val="03pl"/>
      <sheetName val="02pl"/>
      <sheetName val="01pl"/>
      <sheetName val="Compdata"/>
      <sheetName val="Billto"/>
      <sheetName val="Com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P VTA LAIRD"/>
      <sheetName val="LP VTA CAMBIUM"/>
      <sheetName val="Cálculo LPVta Laird"/>
      <sheetName val="Cálculo LPVta Cambium"/>
      <sheetName val="STOCK"/>
      <sheetName val="EPMP "/>
      <sheetName val="CnPilot"/>
      <sheetName val="CORE"/>
    </sheetNames>
    <sheetDataSet>
      <sheetData sheetId="0"/>
      <sheetData sheetId="1"/>
      <sheetData sheetId="2"/>
      <sheetData sheetId="3">
        <row r="4">
          <cell r="AA4">
            <v>0.2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 Total Proyectos"/>
      <sheetName val="AXIS Octubre 21-19"/>
      <sheetName val="KANTECH Octubre 21-19"/>
      <sheetName val="FURUKAWA Octubre 21-19"/>
      <sheetName val="TRENDnet Octubre 21-19"/>
      <sheetName val="Bod (01-06-Sat) Proyectos"/>
      <sheetName val="Outlet Proyectos"/>
      <sheetName val="Bazar Proyectos"/>
      <sheetName val="Resumen_I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6">
          <cell r="I66">
            <v>3630216739.0694995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Borrower&amp;Loan Basics"/>
      <sheetName val="Credit Review&amp;Bus Desc"/>
      <sheetName val="Repayment Terms"/>
      <sheetName val="BS &amp; Cap"/>
      <sheetName val="Financials"/>
      <sheetName val="JIN Fin"/>
      <sheetName val="bus-valuation"/>
      <sheetName val="JIN B-S &amp; Cap"/>
      <sheetName val="JIN- Valuation"/>
      <sheetName val="Valuation"/>
      <sheetName val="JIN- PX"/>
      <sheetName val="Comps"/>
      <sheetName val="JIN Sales"/>
      <sheetName val="DEBTS"/>
      <sheetName val="Assets"/>
      <sheetName val="JIN Affilates"/>
      <sheetName val="#REF"/>
      <sheetName val="jinroindustries"/>
      <sheetName val="Keibai"/>
      <sheetName val="計算過程シート"/>
      <sheetName val="部門別(売上-EBITD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32C74C-689C-4A0D-B18E-A400798C5495}" name="Tabla119" displayName="Tabla119" ref="A1:K159" totalsRowShown="0" headerRowDxfId="19" dataDxfId="17" headerRowBorderDxfId="18" tableBorderDxfId="16" totalsRowBorderDxfId="15">
  <autoFilter ref="A1:K159" xr:uid="{00000000-0009-0000-0100-000001000000}"/>
  <sortState xmlns:xlrd2="http://schemas.microsoft.com/office/spreadsheetml/2017/richdata2" ref="A2:K75">
    <sortCondition sortBy="fontColor" ref="A1:A75" dxfId="14"/>
  </sortState>
  <tableColumns count="11">
    <tableColumn id="3" xr3:uid="{380AEAF5-CC4D-4DC0-B941-B18375D9281F}" name="REFERENCIA" dataDxfId="13"/>
    <tableColumn id="4" xr3:uid="{0546217E-56AC-40A2-84B2-D39B903696DE}" name="DESCRIPCION" dataDxfId="12"/>
    <tableColumn id="1" xr3:uid="{7326E1B8-31EE-4454-BCB8-266901AF9003}" name="PRECIO INSTALLER (CON IVA)" dataDxfId="11" dataCellStyle="Moneda">
      <calculatedColumnFormula>+Tabla119[[#This Row],[COSTO +IVA]]/Tabla119[[#This Row],[Columna5]]</calculatedColumnFormula>
    </tableColumn>
    <tableColumn id="10" xr3:uid="{42FF3B8B-DC0B-4E6A-8660-73D5C9E92B8E}" name="PRECIO TIENDA (CON IVA)" dataDxfId="10" dataCellStyle="Moneda">
      <calculatedColumnFormula>+Tabla119[[#This Row],[PRECIO INSTALLER (CON IVA)]]-Tabla119[[#This Row],[Columna2]]</calculatedColumnFormula>
    </tableColumn>
    <tableColumn id="11" xr3:uid="{CD9AE8A7-79C9-413E-982B-2417DE3740E1}" name="PRECIO CLIENTE FINAL (CON IVA)" dataDxfId="0" dataCellStyle="Moneda">
      <calculatedColumnFormula>+Tabla119[[#This Row],[PRECIO INSTALLER (CON IVA)]]/0.7</calculatedColumnFormula>
    </tableColumn>
    <tableColumn id="2" xr3:uid="{00A271CA-4E73-4BD2-A4A9-8DF3846D40E3}" name="Columna2" dataDxfId="9" dataCellStyle="Moneda">
      <calculatedColumnFormula>+Tabla119[[#This Row],[PRECIO INSTALLER (CON IVA)]]*5%</calculatedColumnFormula>
    </tableColumn>
    <tableColumn id="5" xr3:uid="{A4CF59BA-DF4C-433E-98D5-175AF69B3C40}" name="Columna5" dataDxfId="8"/>
    <tableColumn id="6" xr3:uid="{C53A85D6-E108-448F-AEF8-703611641EA1}" name="COSTO +IVA" dataDxfId="7" dataCellStyle="Moneda">
      <calculatedColumnFormula>Tabla119[[#This Row],[COSTO]]*1.19</calculatedColumnFormula>
    </tableColumn>
    <tableColumn id="7" xr3:uid="{D68FB3FB-40AD-40A4-96CB-1935C0F00642}" name="Columna7" dataDxfId="6"/>
    <tableColumn id="8" xr3:uid="{27F5C76F-78B8-41DC-86FF-18498BDB3745}" name="Columna8" dataDxfId="5"/>
    <tableColumn id="9" xr3:uid="{8B2670C4-953D-404D-9D0D-E792C9E88DF8}" name="COSTO" dataDxfId="4" dataCellStyle="Moned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AB1F9-E1E4-411C-9952-91B6DD6A53D7}">
  <dimension ref="A1:K159"/>
  <sheetViews>
    <sheetView tabSelected="1" view="pageBreakPreview" zoomScale="60" zoomScaleNormal="115" workbookViewId="0">
      <pane ySplit="1" topLeftCell="A2" activePane="bottomLeft" state="frozen"/>
      <selection pane="bottomLeft" activeCell="B6" sqref="B6"/>
    </sheetView>
  </sheetViews>
  <sheetFormatPr baseColWidth="10" defaultRowHeight="15" x14ac:dyDescent="0.25"/>
  <cols>
    <col min="1" max="1" width="21.5703125" style="1" customWidth="1"/>
    <col min="2" max="2" width="38.5703125" style="6" customWidth="1"/>
    <col min="3" max="3" width="19.28515625" style="5" customWidth="1"/>
    <col min="4" max="4" width="16.42578125" style="5" customWidth="1"/>
    <col min="5" max="5" width="17.5703125" style="5" customWidth="1"/>
    <col min="6" max="6" width="14.85546875" style="5" customWidth="1"/>
    <col min="7" max="7" width="6.28515625" style="38" customWidth="1"/>
    <col min="8" max="8" width="15.7109375" style="4" customWidth="1"/>
    <col min="9" max="9" width="2.5703125" style="3" customWidth="1"/>
    <col min="10" max="10" width="1.85546875" style="3" customWidth="1"/>
    <col min="11" max="11" width="14" style="2" customWidth="1"/>
    <col min="12" max="256" width="9.140625" style="1" customWidth="1"/>
    <col min="257" max="16384" width="11.42578125" style="1"/>
  </cols>
  <sheetData>
    <row r="1" spans="1:11" ht="41.25" customHeight="1" x14ac:dyDescent="0.2">
      <c r="A1" s="30" t="s">
        <v>143</v>
      </c>
      <c r="B1" s="29" t="s">
        <v>142</v>
      </c>
      <c r="C1" s="28" t="s">
        <v>141</v>
      </c>
      <c r="D1" s="28" t="s">
        <v>140</v>
      </c>
      <c r="E1" s="28" t="s">
        <v>139</v>
      </c>
      <c r="F1" s="27" t="s">
        <v>138</v>
      </c>
      <c r="G1" s="37" t="s">
        <v>137</v>
      </c>
      <c r="H1" s="26" t="s">
        <v>136</v>
      </c>
      <c r="I1" s="25" t="s">
        <v>135</v>
      </c>
      <c r="J1" s="25" t="s">
        <v>134</v>
      </c>
      <c r="K1" s="24" t="s">
        <v>133</v>
      </c>
    </row>
    <row r="2" spans="1:11" customFormat="1" ht="41.25" customHeight="1" x14ac:dyDescent="0.25">
      <c r="A2" s="34" t="s">
        <v>316</v>
      </c>
      <c r="B2" s="17" t="s">
        <v>317</v>
      </c>
      <c r="C2" s="22">
        <f>+Tabla119[[#This Row],[COSTO +IVA]]/Tabla119[[#This Row],[Columna5]]</f>
        <v>99999.2</v>
      </c>
      <c r="D2" s="22">
        <f>+Tabla119[[#This Row],[PRECIO INSTALLER (CON IVA)]]-Tabla119[[#This Row],[Columna2]]</f>
        <v>94999.239999999991</v>
      </c>
      <c r="E2" s="22">
        <f>+Tabla119[[#This Row],[PRECIO INSTALLER (CON IVA)]]/0.7</f>
        <v>142856</v>
      </c>
      <c r="F2" s="22">
        <f>+Tabla119[[#This Row],[PRECIO INSTALLER (CON IVA)]]*5%</f>
        <v>4999.96</v>
      </c>
      <c r="G2" s="33">
        <v>0.85</v>
      </c>
      <c r="H2" s="21">
        <f>Tabla119[[#This Row],[COSTO]]*1.19</f>
        <v>84999.319999999992</v>
      </c>
      <c r="K2">
        <v>71428</v>
      </c>
    </row>
    <row r="3" spans="1:11" customFormat="1" ht="41.25" customHeight="1" x14ac:dyDescent="0.25">
      <c r="A3" s="34" t="s">
        <v>320</v>
      </c>
      <c r="B3" s="17" t="s">
        <v>321</v>
      </c>
      <c r="C3" s="22">
        <f>+Tabla119[[#This Row],[COSTO +IVA]]/Tabla119[[#This Row],[Columna5]]</f>
        <v>149998.79999999999</v>
      </c>
      <c r="D3" s="22">
        <f>+Tabla119[[#This Row],[PRECIO INSTALLER (CON IVA)]]-Tabla119[[#This Row],[Columna2]]</f>
        <v>142498.85999999999</v>
      </c>
      <c r="E3" s="22">
        <f>+Tabla119[[#This Row],[PRECIO INSTALLER (CON IVA)]]/0.7</f>
        <v>214284</v>
      </c>
      <c r="F3" s="22">
        <f>+Tabla119[[#This Row],[PRECIO INSTALLER (CON IVA)]]*5%</f>
        <v>7499.94</v>
      </c>
      <c r="G3" s="40">
        <v>0.85</v>
      </c>
      <c r="H3" s="21">
        <f>Tabla119[[#This Row],[COSTO]]*1.19</f>
        <v>127498.98</v>
      </c>
      <c r="K3">
        <v>107142</v>
      </c>
    </row>
    <row r="4" spans="1:11" customFormat="1" ht="41.25" customHeight="1" x14ac:dyDescent="0.25">
      <c r="A4" s="34" t="s">
        <v>318</v>
      </c>
      <c r="B4" s="17" t="s">
        <v>319</v>
      </c>
      <c r="C4" s="22">
        <f>+Tabla119[[#This Row],[COSTO +IVA]]/Tabla119[[#This Row],[Columna5]]</f>
        <v>49999.6</v>
      </c>
      <c r="D4" s="22">
        <f>+Tabla119[[#This Row],[PRECIO INSTALLER (CON IVA)]]-Tabla119[[#This Row],[Columna2]]</f>
        <v>47499.619999999995</v>
      </c>
      <c r="E4" s="22">
        <f>+Tabla119[[#This Row],[PRECIO INSTALLER (CON IVA)]]/0.7</f>
        <v>71428</v>
      </c>
      <c r="F4" s="22">
        <f>+Tabla119[[#This Row],[PRECIO INSTALLER (CON IVA)]]*5%</f>
        <v>2499.98</v>
      </c>
      <c r="G4" s="33">
        <v>0.85</v>
      </c>
      <c r="H4" s="21">
        <f>Tabla119[[#This Row],[COSTO]]*1.19</f>
        <v>42499.659999999996</v>
      </c>
      <c r="K4">
        <v>35714</v>
      </c>
    </row>
    <row r="5" spans="1:11" ht="51" x14ac:dyDescent="0.2">
      <c r="A5" s="18" t="s">
        <v>57</v>
      </c>
      <c r="B5" s="17" t="s">
        <v>144</v>
      </c>
      <c r="C5" s="16">
        <f>+Tabla119[[#This Row],[COSTO +IVA]]/Tabla119[[#This Row],[Columna5]]</f>
        <v>384390.88829787239</v>
      </c>
      <c r="D5" s="16">
        <f>+Tabla119[[#This Row],[PRECIO INSTALLER (CON IVA)]]-Tabla119[[#This Row],[Columna2]]</f>
        <v>365171.34388297878</v>
      </c>
      <c r="E5" s="16">
        <f>+Tabla119[[#This Row],[PRECIO INSTALLER (CON IVA)]]/0.7</f>
        <v>549129.84042553196</v>
      </c>
      <c r="F5" s="16">
        <f>+Tabla119[[#This Row],[PRECIO INSTALLER (CON IVA)]]*5%</f>
        <v>19219.544414893619</v>
      </c>
      <c r="G5" s="15">
        <v>0.94</v>
      </c>
      <c r="H5" s="14">
        <f>Tabla119[[#This Row],[COSTO]]*1.19</f>
        <v>361327.435</v>
      </c>
      <c r="I5" s="15"/>
      <c r="J5" s="15"/>
      <c r="K5" s="19">
        <v>303636.5</v>
      </c>
    </row>
    <row r="6" spans="1:11" ht="38.25" x14ac:dyDescent="0.2">
      <c r="A6" s="18" t="s">
        <v>75</v>
      </c>
      <c r="B6" s="23" t="s">
        <v>74</v>
      </c>
      <c r="C6" s="22">
        <f>+Tabla119[[#This Row],[COSTO +IVA]]/Tabla119[[#This Row],[Columna5]]</f>
        <v>771131.53571428568</v>
      </c>
      <c r="D6" s="22">
        <f>+Tabla119[[#This Row],[PRECIO INSTALLER (CON IVA)]]-Tabla119[[#This Row],[Columna2]]</f>
        <v>732574.95892857143</v>
      </c>
      <c r="E6" s="22">
        <f>+Tabla119[[#This Row],[PRECIO INSTALLER (CON IVA)]]/0.7</f>
        <v>1101616.4795918367</v>
      </c>
      <c r="F6" s="22">
        <f>+Tabla119[[#This Row],[PRECIO INSTALLER (CON IVA)]]*5%</f>
        <v>38556.576785714286</v>
      </c>
      <c r="G6" s="33">
        <v>0.98</v>
      </c>
      <c r="H6" s="21">
        <f>Tabla119[[#This Row],[COSTO]]*1.19</f>
        <v>755708.90499999991</v>
      </c>
      <c r="I6" s="20"/>
      <c r="J6" s="20"/>
      <c r="K6" s="19">
        <v>635049.5</v>
      </c>
    </row>
    <row r="7" spans="1:11" ht="38.25" x14ac:dyDescent="0.2">
      <c r="A7" s="18" t="s">
        <v>82</v>
      </c>
      <c r="B7" s="17" t="s">
        <v>81</v>
      </c>
      <c r="C7" s="16">
        <f>+Tabla119[[#This Row],[COSTO +IVA]]/Tabla119[[#This Row],[Columna5]]</f>
        <v>1093608.2149999999</v>
      </c>
      <c r="D7" s="16">
        <f>+Tabla119[[#This Row],[PRECIO INSTALLER (CON IVA)]]-Tabla119[[#This Row],[Columna2]]</f>
        <v>1038927.8042499998</v>
      </c>
      <c r="E7" s="16">
        <f>+Tabla119[[#This Row],[PRECIO INSTALLER (CON IVA)]]/0.7</f>
        <v>1562297.45</v>
      </c>
      <c r="F7" s="16">
        <f>+Tabla119[[#This Row],[PRECIO INSTALLER (CON IVA)]]*5%</f>
        <v>54680.410749999995</v>
      </c>
      <c r="G7" s="33">
        <v>1</v>
      </c>
      <c r="H7" s="14">
        <f>Tabla119[[#This Row],[COSTO]]*1.19</f>
        <v>1093608.2149999999</v>
      </c>
      <c r="I7" s="13"/>
      <c r="J7" s="13"/>
      <c r="K7" s="12">
        <v>918998.5</v>
      </c>
    </row>
    <row r="8" spans="1:11" ht="38.25" x14ac:dyDescent="0.2">
      <c r="A8" s="18" t="s">
        <v>84</v>
      </c>
      <c r="B8" s="17" t="s">
        <v>83</v>
      </c>
      <c r="C8" s="16">
        <f>+Tabla119[[#This Row],[COSTO +IVA]]/Tabla119[[#This Row],[Columna5]]</f>
        <v>1164531.6199999999</v>
      </c>
      <c r="D8" s="16">
        <f>+Tabla119[[#This Row],[PRECIO INSTALLER (CON IVA)]]-Tabla119[[#This Row],[Columna2]]</f>
        <v>1106305.0389999999</v>
      </c>
      <c r="E8" s="16">
        <f>+Tabla119[[#This Row],[PRECIO INSTALLER (CON IVA)]]/0.7</f>
        <v>1663616.5999999999</v>
      </c>
      <c r="F8" s="16">
        <f>+Tabla119[[#This Row],[PRECIO INSTALLER (CON IVA)]]*5%</f>
        <v>58226.580999999998</v>
      </c>
      <c r="G8" s="33">
        <v>1</v>
      </c>
      <c r="H8" s="14">
        <f>Tabla119[[#This Row],[COSTO]]*1.19</f>
        <v>1164531.6199999999</v>
      </c>
      <c r="I8" s="13"/>
      <c r="J8" s="13"/>
      <c r="K8" s="19">
        <v>978598</v>
      </c>
    </row>
    <row r="9" spans="1:11" ht="51" x14ac:dyDescent="0.2">
      <c r="A9" s="18" t="s">
        <v>145</v>
      </c>
      <c r="B9" s="17" t="s">
        <v>146</v>
      </c>
      <c r="C9" s="16">
        <f>+Tabla119[[#This Row],[COSTO +IVA]]/Tabla119[[#This Row],[Columna5]]</f>
        <v>231201.82142857145</v>
      </c>
      <c r="D9" s="16">
        <f>+Tabla119[[#This Row],[PRECIO INSTALLER (CON IVA)]]-Tabla119[[#This Row],[Columna2]]</f>
        <v>219641.73035714286</v>
      </c>
      <c r="E9" s="16">
        <f>+Tabla119[[#This Row],[PRECIO INSTALLER (CON IVA)]]/0.7</f>
        <v>330288.31632653065</v>
      </c>
      <c r="F9" s="16">
        <f>+Tabla119[[#This Row],[PRECIO INSTALLER (CON IVA)]]*5%</f>
        <v>11560.091071428573</v>
      </c>
      <c r="G9" s="33">
        <v>0.98</v>
      </c>
      <c r="H9" s="14">
        <f>Tabla119[[#This Row],[COSTO]]*1.19</f>
        <v>226577.785</v>
      </c>
      <c r="I9" s="13"/>
      <c r="J9" s="13"/>
      <c r="K9" s="19">
        <v>190401.5</v>
      </c>
    </row>
    <row r="10" spans="1:11" ht="38.25" x14ac:dyDescent="0.2">
      <c r="A10" s="18" t="s">
        <v>147</v>
      </c>
      <c r="B10" s="23" t="s">
        <v>148</v>
      </c>
      <c r="C10" s="22">
        <f>+Tabla119[[#This Row],[COSTO +IVA]]/Tabla119[[#This Row],[Columna5]]</f>
        <v>1176777.7777777778</v>
      </c>
      <c r="D10" s="22">
        <f>+Tabla119[[#This Row],[PRECIO INSTALLER (CON IVA)]]-Tabla119[[#This Row],[Columna2]]</f>
        <v>1117938.8888888888</v>
      </c>
      <c r="E10" s="22">
        <f>+Tabla119[[#This Row],[PRECIO INSTALLER (CON IVA)]]/0.7</f>
        <v>1681111.1111111112</v>
      </c>
      <c r="F10" s="22">
        <f>+Tabla119[[#This Row],[PRECIO INSTALLER (CON IVA)]]*5%</f>
        <v>58838.888888888891</v>
      </c>
      <c r="G10" s="33">
        <v>0.9</v>
      </c>
      <c r="H10" s="21">
        <f>Tabla119[[#This Row],[COSTO]]*1.19</f>
        <v>1059100</v>
      </c>
      <c r="I10" s="20"/>
      <c r="J10" s="20"/>
      <c r="K10" s="19">
        <v>890000</v>
      </c>
    </row>
    <row r="11" spans="1:11" ht="38.25" x14ac:dyDescent="0.2">
      <c r="A11" s="18" t="s">
        <v>149</v>
      </c>
      <c r="B11" s="17" t="s">
        <v>150</v>
      </c>
      <c r="C11" s="16">
        <f>+Tabla119[[#This Row],[COSTO +IVA]]/Tabla119[[#This Row],[Columna5]]</f>
        <v>1181009.55</v>
      </c>
      <c r="D11" s="16">
        <f>+Tabla119[[#This Row],[PRECIO INSTALLER (CON IVA)]]-Tabla119[[#This Row],[Columna2]]</f>
        <v>1121959.0725</v>
      </c>
      <c r="E11" s="16">
        <f>+Tabla119[[#This Row],[PRECIO INSTALLER (CON IVA)]]/0.7</f>
        <v>1687156.5000000002</v>
      </c>
      <c r="F11" s="16">
        <f>+Tabla119[[#This Row],[PRECIO INSTALLER (CON IVA)]]*5%</f>
        <v>59050.477500000008</v>
      </c>
      <c r="G11" s="15">
        <v>0.9</v>
      </c>
      <c r="H11" s="14">
        <f>Tabla119[[#This Row],[COSTO]]*1.19</f>
        <v>1062908.595</v>
      </c>
      <c r="I11" s="13"/>
      <c r="J11" s="13"/>
      <c r="K11" s="19">
        <v>893200.5</v>
      </c>
    </row>
    <row r="12" spans="1:11" ht="38.25" x14ac:dyDescent="0.2">
      <c r="A12" s="18" t="s">
        <v>151</v>
      </c>
      <c r="B12" s="17" t="s">
        <v>152</v>
      </c>
      <c r="C12" s="16">
        <f>+Tabla119[[#This Row],[COSTO +IVA]]/Tabla119[[#This Row],[Columna5]]</f>
        <v>2613429.3181818179</v>
      </c>
      <c r="D12" s="16">
        <f>+Tabla119[[#This Row],[PRECIO INSTALLER (CON IVA)]]-Tabla119[[#This Row],[Columna2]]</f>
        <v>2482757.8522727271</v>
      </c>
      <c r="E12" s="16">
        <f>+Tabla119[[#This Row],[PRECIO INSTALLER (CON IVA)]]/0.7</f>
        <v>3733470.4545454546</v>
      </c>
      <c r="F12" s="16">
        <f>+Tabla119[[#This Row],[PRECIO INSTALLER (CON IVA)]]*5%</f>
        <v>130671.4659090909</v>
      </c>
      <c r="G12" s="33">
        <v>0.99</v>
      </c>
      <c r="H12" s="14">
        <f>Tabla119[[#This Row],[COSTO]]*1.19</f>
        <v>2587295.0249999999</v>
      </c>
      <c r="I12" s="13"/>
      <c r="J12" s="13"/>
      <c r="K12" s="19">
        <v>2174197.5</v>
      </c>
    </row>
    <row r="13" spans="1:11" ht="76.5" x14ac:dyDescent="0.2">
      <c r="A13" s="18" t="s">
        <v>153</v>
      </c>
      <c r="B13" s="17" t="s">
        <v>154</v>
      </c>
      <c r="C13" s="16">
        <f>+Tabla119[[#This Row],[COSTO +IVA]]/Tabla119[[#This Row],[Columna5]]</f>
        <v>178314.22777777776</v>
      </c>
      <c r="D13" s="16">
        <f>+Tabla119[[#This Row],[PRECIO INSTALLER (CON IVA)]]-Tabla119[[#This Row],[Columna2]]</f>
        <v>169398.51638888888</v>
      </c>
      <c r="E13" s="16">
        <f>+Tabla119[[#This Row],[PRECIO INSTALLER (CON IVA)]]/0.7</f>
        <v>254734.61111111109</v>
      </c>
      <c r="F13" s="16">
        <f>+Tabla119[[#This Row],[PRECIO INSTALLER (CON IVA)]]*5%</f>
        <v>8915.7113888888889</v>
      </c>
      <c r="G13" s="15">
        <v>0.9</v>
      </c>
      <c r="H13" s="14">
        <f>Tabla119[[#This Row],[COSTO]]*1.19</f>
        <v>160482.80499999999</v>
      </c>
      <c r="I13" s="13"/>
      <c r="J13" s="13"/>
      <c r="K13" s="19">
        <v>134859.5</v>
      </c>
    </row>
    <row r="14" spans="1:11" ht="25.5" x14ac:dyDescent="0.2">
      <c r="A14" s="18" t="s">
        <v>52</v>
      </c>
      <c r="B14" s="17" t="s">
        <v>51</v>
      </c>
      <c r="C14" s="16">
        <f>+Tabla119[[#This Row],[COSTO +IVA]]/Tabla119[[#This Row],[Columna5]]</f>
        <v>273023.48499999999</v>
      </c>
      <c r="D14" s="16">
        <f>+Tabla119[[#This Row],[PRECIO INSTALLER (CON IVA)]]-Tabla119[[#This Row],[Columna2]]</f>
        <v>259372.31074999998</v>
      </c>
      <c r="E14" s="16">
        <f>+Tabla119[[#This Row],[PRECIO INSTALLER (CON IVA)]]/0.7</f>
        <v>390033.55</v>
      </c>
      <c r="F14" s="16">
        <f>+Tabla119[[#This Row],[PRECIO INSTALLER (CON IVA)]]*5%</f>
        <v>13651.17425</v>
      </c>
      <c r="G14" s="33">
        <v>1</v>
      </c>
      <c r="H14" s="14">
        <f>Tabla119[[#This Row],[COSTO]]*1.19</f>
        <v>273023.48499999999</v>
      </c>
      <c r="I14" s="13"/>
      <c r="J14" s="13"/>
      <c r="K14" s="19">
        <v>229431.5</v>
      </c>
    </row>
    <row r="15" spans="1:11" ht="51" x14ac:dyDescent="0.2">
      <c r="A15" s="18" t="s">
        <v>80</v>
      </c>
      <c r="B15" s="17" t="s">
        <v>79</v>
      </c>
      <c r="C15" s="16">
        <f>+Tabla119[[#This Row],[COSTO +IVA]]/Tabla119[[#This Row],[Columna5]]</f>
        <v>1030637.9646464646</v>
      </c>
      <c r="D15" s="16">
        <f>+Tabla119[[#This Row],[PRECIO INSTALLER (CON IVA)]]-Tabla119[[#This Row],[Columna2]]</f>
        <v>979106.06641414133</v>
      </c>
      <c r="E15" s="16">
        <f>+Tabla119[[#This Row],[PRECIO INSTALLER (CON IVA)]]/0.7</f>
        <v>1472339.9494949495</v>
      </c>
      <c r="F15" s="16">
        <f>+Tabla119[[#This Row],[PRECIO INSTALLER (CON IVA)]]*5%</f>
        <v>51531.898232323234</v>
      </c>
      <c r="G15" s="33">
        <v>0.99</v>
      </c>
      <c r="H15" s="14">
        <f>Tabla119[[#This Row],[COSTO]]*1.19</f>
        <v>1020331.585</v>
      </c>
      <c r="I15" s="13"/>
      <c r="J15" s="13"/>
      <c r="K15" s="19">
        <v>857421.5</v>
      </c>
    </row>
    <row r="16" spans="1:11" ht="76.5" x14ac:dyDescent="0.2">
      <c r="A16" s="18" t="s">
        <v>155</v>
      </c>
      <c r="B16" s="17" t="s">
        <v>156</v>
      </c>
      <c r="C16" s="16">
        <f>+Tabla119[[#This Row],[COSTO +IVA]]/Tabla119[[#This Row],[Columna5]]</f>
        <v>419633.66666666663</v>
      </c>
      <c r="D16" s="16">
        <f>+Tabla119[[#This Row],[PRECIO INSTALLER (CON IVA)]]-Tabla119[[#This Row],[Columna2]]</f>
        <v>398651.98333333328</v>
      </c>
      <c r="E16" s="16">
        <f>+Tabla119[[#This Row],[PRECIO INSTALLER (CON IVA)]]/0.7</f>
        <v>599476.66666666663</v>
      </c>
      <c r="F16" s="16">
        <f>+Tabla119[[#This Row],[PRECIO INSTALLER (CON IVA)]]*5%</f>
        <v>20981.683333333334</v>
      </c>
      <c r="G16" s="15">
        <v>0.9</v>
      </c>
      <c r="H16" s="14">
        <f>Tabla119[[#This Row],[COSTO]]*1.19</f>
        <v>377670.3</v>
      </c>
      <c r="I16" s="13"/>
      <c r="J16" s="13"/>
      <c r="K16" s="19">
        <v>317370</v>
      </c>
    </row>
    <row r="17" spans="1:11" ht="51" x14ac:dyDescent="0.2">
      <c r="A17" s="18" t="s">
        <v>157</v>
      </c>
      <c r="B17" s="17" t="s">
        <v>158</v>
      </c>
      <c r="C17" s="16">
        <f>+Tabla119[[#This Row],[COSTO +IVA]]/Tabla119[[#This Row],[Columna5]]</f>
        <v>645868.02150537632</v>
      </c>
      <c r="D17" s="16">
        <f>+Tabla119[[#This Row],[PRECIO INSTALLER (CON IVA)]]-Tabla119[[#This Row],[Columna2]]</f>
        <v>613574.62043010746</v>
      </c>
      <c r="E17" s="16">
        <f>+Tabla119[[#This Row],[PRECIO INSTALLER (CON IVA)]]/0.7</f>
        <v>922668.60215053766</v>
      </c>
      <c r="F17" s="16">
        <f>+Tabla119[[#This Row],[PRECIO INSTALLER (CON IVA)]]*5%</f>
        <v>32293.401075268819</v>
      </c>
      <c r="G17" s="33">
        <v>0.93</v>
      </c>
      <c r="H17" s="14">
        <f>Tabla119[[#This Row],[COSTO]]*1.19</f>
        <v>600657.26</v>
      </c>
      <c r="I17" s="13"/>
      <c r="J17" s="13"/>
      <c r="K17" s="19">
        <v>504754</v>
      </c>
    </row>
    <row r="18" spans="1:11" ht="38.25" x14ac:dyDescent="0.2">
      <c r="A18" s="18" t="s">
        <v>77</v>
      </c>
      <c r="B18" s="17" t="s">
        <v>159</v>
      </c>
      <c r="C18" s="16">
        <f>+Tabla119[[#This Row],[COSTO +IVA]]/Tabla119[[#This Row],[Columna5]]</f>
        <v>999282.00555555546</v>
      </c>
      <c r="D18" s="16">
        <f>+Tabla119[[#This Row],[PRECIO INSTALLER (CON IVA)]]-Tabla119[[#This Row],[Columna2]]</f>
        <v>949317.9052777777</v>
      </c>
      <c r="E18" s="16">
        <f>+Tabla119[[#This Row],[PRECIO INSTALLER (CON IVA)]]/0.7</f>
        <v>1427545.7222222222</v>
      </c>
      <c r="F18" s="16">
        <f>+Tabla119[[#This Row],[PRECIO INSTALLER (CON IVA)]]*5%</f>
        <v>49964.100277777776</v>
      </c>
      <c r="G18" s="15">
        <v>0.9</v>
      </c>
      <c r="H18" s="14">
        <f>Tabla119[[#This Row],[COSTO]]*1.19</f>
        <v>899353.80499999993</v>
      </c>
      <c r="I18" s="13"/>
      <c r="J18" s="13"/>
      <c r="K18" s="19">
        <v>755759.5</v>
      </c>
    </row>
    <row r="19" spans="1:11" ht="38.25" x14ac:dyDescent="0.2">
      <c r="A19" s="18" t="s">
        <v>160</v>
      </c>
      <c r="B19" s="17" t="s">
        <v>161</v>
      </c>
      <c r="C19" s="16">
        <f>+Tabla119[[#This Row],[COSTO +IVA]]/Tabla119[[#This Row],[Columna5]]</f>
        <v>1215650.45</v>
      </c>
      <c r="D19" s="16">
        <f>+Tabla119[[#This Row],[PRECIO INSTALLER (CON IVA)]]-Tabla119[[#This Row],[Columna2]]</f>
        <v>1154867.9275</v>
      </c>
      <c r="E19" s="16">
        <f>+Tabla119[[#This Row],[PRECIO INSTALLER (CON IVA)]]/0.7</f>
        <v>1736643.5</v>
      </c>
      <c r="F19" s="16">
        <f>+Tabla119[[#This Row],[PRECIO INSTALLER (CON IVA)]]*5%</f>
        <v>60782.522499999999</v>
      </c>
      <c r="G19" s="15">
        <v>0.9</v>
      </c>
      <c r="H19" s="14">
        <f>Tabla119[[#This Row],[COSTO]]*1.19</f>
        <v>1094085.405</v>
      </c>
      <c r="I19" s="13"/>
      <c r="J19" s="13"/>
      <c r="K19" s="19">
        <v>919399.5</v>
      </c>
    </row>
    <row r="20" spans="1:11" ht="38.25" x14ac:dyDescent="0.2">
      <c r="A20" s="18" t="s">
        <v>88</v>
      </c>
      <c r="B20" s="17" t="s">
        <v>87</v>
      </c>
      <c r="C20" s="16">
        <f>+Tabla119[[#This Row],[COSTO +IVA]]/Tabla119[[#This Row],[Columna5]]</f>
        <v>1327846.9878048783</v>
      </c>
      <c r="D20" s="16">
        <f>+Tabla119[[#This Row],[PRECIO INSTALLER (CON IVA)]]-Tabla119[[#This Row],[Columna2]]</f>
        <v>1261454.6384146344</v>
      </c>
      <c r="E20" s="16">
        <f>+Tabla119[[#This Row],[PRECIO INSTALLER (CON IVA)]]/0.7</f>
        <v>1896924.2682926834</v>
      </c>
      <c r="F20" s="16">
        <f>+Tabla119[[#This Row],[PRECIO INSTALLER (CON IVA)]]*5%</f>
        <v>66392.349390243922</v>
      </c>
      <c r="G20" s="33">
        <v>0.82</v>
      </c>
      <c r="H20" s="14">
        <f>Tabla119[[#This Row],[COSTO]]*1.19</f>
        <v>1088834.53</v>
      </c>
      <c r="I20" s="13"/>
      <c r="J20" s="13"/>
      <c r="K20" s="19">
        <v>914987</v>
      </c>
    </row>
    <row r="21" spans="1:11" ht="38.25" x14ac:dyDescent="0.2">
      <c r="A21" s="18" t="s">
        <v>162</v>
      </c>
      <c r="B21" s="17" t="s">
        <v>163</v>
      </c>
      <c r="C21" s="16">
        <f>+Tabla119[[#This Row],[COSTO +IVA]]/Tabla119[[#This Row],[Columna5]]</f>
        <v>1304022.4944444443</v>
      </c>
      <c r="D21" s="16">
        <f>+Tabla119[[#This Row],[PRECIO INSTALLER (CON IVA)]]-Tabla119[[#This Row],[Columna2]]</f>
        <v>1238821.369722222</v>
      </c>
      <c r="E21" s="16">
        <f>+Tabla119[[#This Row],[PRECIO INSTALLER (CON IVA)]]/0.7</f>
        <v>1862889.2777777778</v>
      </c>
      <c r="F21" s="16">
        <f>+Tabla119[[#This Row],[PRECIO INSTALLER (CON IVA)]]*5%</f>
        <v>65201.124722222215</v>
      </c>
      <c r="G21" s="15">
        <v>0.9</v>
      </c>
      <c r="H21" s="14">
        <f>Tabla119[[#This Row],[COSTO]]*1.19</f>
        <v>1173620.2449999999</v>
      </c>
      <c r="I21" s="13"/>
      <c r="J21" s="13"/>
      <c r="K21" s="12">
        <v>986235.5</v>
      </c>
    </row>
    <row r="22" spans="1:11" ht="38.25" x14ac:dyDescent="0.2">
      <c r="A22" s="18" t="s">
        <v>67</v>
      </c>
      <c r="B22" s="17" t="s">
        <v>66</v>
      </c>
      <c r="C22" s="16">
        <f>+Tabla119[[#This Row],[COSTO +IVA]]/Tabla119[[#This Row],[Columna5]]</f>
        <v>487247.88</v>
      </c>
      <c r="D22" s="16">
        <f>+Tabla119[[#This Row],[PRECIO INSTALLER (CON IVA)]]-Tabla119[[#This Row],[Columna2]]</f>
        <v>462885.48600000003</v>
      </c>
      <c r="E22" s="16">
        <f>+Tabla119[[#This Row],[PRECIO INSTALLER (CON IVA)]]/0.7</f>
        <v>696068.4</v>
      </c>
      <c r="F22" s="16">
        <f>+Tabla119[[#This Row],[PRECIO INSTALLER (CON IVA)]]*5%</f>
        <v>24362.394</v>
      </c>
      <c r="G22" s="33">
        <v>1</v>
      </c>
      <c r="H22" s="14">
        <f>Tabla119[[#This Row],[COSTO]]*1.19</f>
        <v>487247.88</v>
      </c>
      <c r="I22" s="13"/>
      <c r="J22" s="13"/>
      <c r="K22" s="19">
        <v>409452</v>
      </c>
    </row>
    <row r="23" spans="1:11" ht="25.5" x14ac:dyDescent="0.2">
      <c r="A23" s="18" t="s">
        <v>116</v>
      </c>
      <c r="B23" s="17" t="s">
        <v>115</v>
      </c>
      <c r="C23" s="16">
        <f>+Tabla119[[#This Row],[COSTO +IVA]]/Tabla119[[#This Row],[Columna5]]</f>
        <v>35930.018292682929</v>
      </c>
      <c r="D23" s="16">
        <f>+Tabla119[[#This Row],[PRECIO INSTALLER (CON IVA)]]-Tabla119[[#This Row],[Columna2]]</f>
        <v>34133.517378048782</v>
      </c>
      <c r="E23" s="16">
        <f>+Tabla119[[#This Row],[PRECIO INSTALLER (CON IVA)]]/0.7</f>
        <v>51328.597560975613</v>
      </c>
      <c r="F23" s="16">
        <f>+Tabla119[[#This Row],[PRECIO INSTALLER (CON IVA)]]*5%</f>
        <v>1796.5009146341465</v>
      </c>
      <c r="G23" s="33">
        <v>0.82</v>
      </c>
      <c r="H23" s="14">
        <f>Tabla119[[#This Row],[COSTO]]*1.19</f>
        <v>29462.614999999998</v>
      </c>
      <c r="I23" s="13"/>
      <c r="J23" s="13"/>
      <c r="K23" s="19">
        <v>24758.5</v>
      </c>
    </row>
    <row r="24" spans="1:11" ht="25.5" x14ac:dyDescent="0.2">
      <c r="A24" s="18" t="s">
        <v>15</v>
      </c>
      <c r="B24" s="17" t="s">
        <v>14</v>
      </c>
      <c r="C24" s="16">
        <f>+Tabla119[[#This Row],[COSTO +IVA]]/Tabla119[[#This Row],[Columna5]]</f>
        <v>30428.3</v>
      </c>
      <c r="D24" s="16">
        <f>+Tabla119[[#This Row],[PRECIO INSTALLER (CON IVA)]]-Tabla119[[#This Row],[Columna2]]</f>
        <v>28906.884999999998</v>
      </c>
      <c r="E24" s="16">
        <f>+Tabla119[[#This Row],[PRECIO INSTALLER (CON IVA)]]/0.7</f>
        <v>43469</v>
      </c>
      <c r="F24" s="16">
        <f>+Tabla119[[#This Row],[PRECIO INSTALLER (CON IVA)]]*5%</f>
        <v>1521.415</v>
      </c>
      <c r="G24" s="33">
        <v>1</v>
      </c>
      <c r="H24" s="14">
        <f>Tabla119[[#This Row],[COSTO]]*1.19</f>
        <v>30428.3</v>
      </c>
      <c r="I24" s="13"/>
      <c r="J24" s="13"/>
      <c r="K24" s="12">
        <v>25570</v>
      </c>
    </row>
    <row r="25" spans="1:11" ht="38.25" x14ac:dyDescent="0.2">
      <c r="A25" s="18" t="s">
        <v>40</v>
      </c>
      <c r="B25" s="17" t="s">
        <v>39</v>
      </c>
      <c r="C25" s="16">
        <f>+Tabla119[[#This Row],[COSTO +IVA]]/Tabla119[[#This Row],[Columna5]]</f>
        <v>86753.37999999999</v>
      </c>
      <c r="D25" s="16">
        <f>+Tabla119[[#This Row],[PRECIO INSTALLER (CON IVA)]]-Tabla119[[#This Row],[Columna2]]</f>
        <v>82415.710999999996</v>
      </c>
      <c r="E25" s="16">
        <f>+Tabla119[[#This Row],[PRECIO INSTALLER (CON IVA)]]/0.7</f>
        <v>123933.4</v>
      </c>
      <c r="F25" s="16">
        <f>+Tabla119[[#This Row],[PRECIO INSTALLER (CON IVA)]]*5%</f>
        <v>4337.6689999999999</v>
      </c>
      <c r="G25" s="33">
        <v>1</v>
      </c>
      <c r="H25" s="14">
        <f>Tabla119[[#This Row],[COSTO]]*1.19</f>
        <v>86753.37999999999</v>
      </c>
      <c r="I25" s="13"/>
      <c r="J25" s="13"/>
      <c r="K25" s="12">
        <v>72902</v>
      </c>
    </row>
    <row r="26" spans="1:11" ht="51" x14ac:dyDescent="0.2">
      <c r="A26" s="18" t="s">
        <v>323</v>
      </c>
      <c r="B26" s="17" t="s">
        <v>50</v>
      </c>
      <c r="C26" s="16">
        <f>+Tabla119[[#This Row],[COSTO +IVA]]/Tabla119[[#This Row],[Columna5]]</f>
        <v>294535.03614457831</v>
      </c>
      <c r="D26" s="16">
        <f>+Tabla119[[#This Row],[PRECIO INSTALLER (CON IVA)]]-Tabla119[[#This Row],[Columna2]]</f>
        <v>279808.28433734941</v>
      </c>
      <c r="E26" s="16">
        <f>+Tabla119[[#This Row],[PRECIO INSTALLER (CON IVA)]]/0.7</f>
        <v>420764.3373493976</v>
      </c>
      <c r="F26" s="16">
        <f>+Tabla119[[#This Row],[PRECIO INSTALLER (CON IVA)]]*5%</f>
        <v>14726.751807228917</v>
      </c>
      <c r="G26" s="33">
        <v>0.83</v>
      </c>
      <c r="H26" s="14">
        <f>Tabla119[[#This Row],[COSTO]]*1.19</f>
        <v>244464.08</v>
      </c>
      <c r="I26" s="15"/>
      <c r="J26" s="15"/>
      <c r="K26" s="12">
        <v>205432</v>
      </c>
    </row>
    <row r="27" spans="1:11" ht="38.25" x14ac:dyDescent="0.2">
      <c r="A27" s="18" t="s">
        <v>61</v>
      </c>
      <c r="B27" s="17" t="s">
        <v>60</v>
      </c>
      <c r="C27" s="16">
        <f>+Tabla119[[#This Row],[COSTO +IVA]]/Tabla119[[#This Row],[Columna5]]</f>
        <v>915066.27108433738</v>
      </c>
      <c r="D27" s="16">
        <f>+Tabla119[[#This Row],[PRECIO INSTALLER (CON IVA)]]-Tabla119[[#This Row],[Columna2]]</f>
        <v>869312.9575301205</v>
      </c>
      <c r="E27" s="16">
        <f>+Tabla119[[#This Row],[PRECIO INSTALLER (CON IVA)]]/0.7</f>
        <v>1307237.530120482</v>
      </c>
      <c r="F27" s="16">
        <f>+Tabla119[[#This Row],[PRECIO INSTALLER (CON IVA)]]*5%</f>
        <v>45753.313554216875</v>
      </c>
      <c r="G27" s="33">
        <v>0.83</v>
      </c>
      <c r="H27" s="14">
        <f>Tabla119[[#This Row],[COSTO]]*1.19</f>
        <v>759505.005</v>
      </c>
      <c r="I27" s="15"/>
      <c r="J27" s="15"/>
      <c r="K27" s="12">
        <v>638239.5</v>
      </c>
    </row>
    <row r="28" spans="1:11" ht="38.25" x14ac:dyDescent="0.2">
      <c r="A28" s="18" t="s">
        <v>71</v>
      </c>
      <c r="B28" s="17" t="s">
        <v>70</v>
      </c>
      <c r="C28" s="16">
        <f>+Tabla119[[#This Row],[COSTO +IVA]]/Tabla119[[#This Row],[Columna5]]</f>
        <v>634587.81707317068</v>
      </c>
      <c r="D28" s="16">
        <f>+Tabla119[[#This Row],[PRECIO INSTALLER (CON IVA)]]-Tabla119[[#This Row],[Columna2]]</f>
        <v>602858.42621951213</v>
      </c>
      <c r="E28" s="16">
        <f>+Tabla119[[#This Row],[PRECIO INSTALLER (CON IVA)]]/0.7</f>
        <v>906554.02439024393</v>
      </c>
      <c r="F28" s="16">
        <f>+Tabla119[[#This Row],[PRECIO INSTALLER (CON IVA)]]*5%</f>
        <v>31729.390853658537</v>
      </c>
      <c r="G28" s="33">
        <v>0.82</v>
      </c>
      <c r="H28" s="14">
        <f>Tabla119[[#This Row],[COSTO]]*1.19</f>
        <v>520362.00999999995</v>
      </c>
      <c r="I28" s="13"/>
      <c r="J28" s="13"/>
      <c r="K28" s="12">
        <v>437279</v>
      </c>
    </row>
    <row r="29" spans="1:11" ht="38.25" x14ac:dyDescent="0.2">
      <c r="A29" s="18" t="s">
        <v>59</v>
      </c>
      <c r="B29" s="17" t="s">
        <v>58</v>
      </c>
      <c r="C29" s="16">
        <f>+Tabla119[[#This Row],[COSTO +IVA]]/Tabla119[[#This Row],[Columna5]]</f>
        <v>326951.90499999997</v>
      </c>
      <c r="D29" s="16">
        <f>+Tabla119[[#This Row],[PRECIO INSTALLER (CON IVA)]]-Tabla119[[#This Row],[Columna2]]</f>
        <v>310604.30974999996</v>
      </c>
      <c r="E29" s="16">
        <f>+Tabla119[[#This Row],[PRECIO INSTALLER (CON IVA)]]/0.7</f>
        <v>467074.14999999997</v>
      </c>
      <c r="F29" s="16">
        <f>+Tabla119[[#This Row],[PRECIO INSTALLER (CON IVA)]]*5%</f>
        <v>16347.595249999998</v>
      </c>
      <c r="G29" s="33">
        <v>1</v>
      </c>
      <c r="H29" s="14">
        <f>Tabla119[[#This Row],[COSTO]]*1.19</f>
        <v>326951.90499999997</v>
      </c>
      <c r="I29" s="13"/>
      <c r="J29" s="13"/>
      <c r="K29" s="12">
        <v>274749.5</v>
      </c>
    </row>
    <row r="30" spans="1:11" ht="38.25" x14ac:dyDescent="0.2">
      <c r="A30" s="18" t="s">
        <v>63</v>
      </c>
      <c r="B30" s="17" t="s">
        <v>62</v>
      </c>
      <c r="C30" s="16">
        <f>+Tabla119[[#This Row],[COSTO +IVA]]/Tabla119[[#This Row],[Columna5]]</f>
        <v>6083551.055555555</v>
      </c>
      <c r="D30" s="16">
        <f>+Tabla119[[#This Row],[PRECIO INSTALLER (CON IVA)]]-Tabla119[[#This Row],[Columna2]]</f>
        <v>5779373.5027777776</v>
      </c>
      <c r="E30" s="16">
        <f>+Tabla119[[#This Row],[PRECIO INSTALLER (CON IVA)]]/0.7</f>
        <v>8690787.222222222</v>
      </c>
      <c r="F30" s="16">
        <f>+Tabla119[[#This Row],[PRECIO INSTALLER (CON IVA)]]*5%</f>
        <v>304177.55277777778</v>
      </c>
      <c r="G30" s="15">
        <v>0.09</v>
      </c>
      <c r="H30" s="14">
        <f>Tabla119[[#This Row],[COSTO]]*1.19</f>
        <v>547519.59499999997</v>
      </c>
      <c r="I30" s="13"/>
      <c r="J30" s="13"/>
      <c r="K30" s="12">
        <v>460100.5</v>
      </c>
    </row>
    <row r="31" spans="1:11" ht="51" x14ac:dyDescent="0.2">
      <c r="A31" s="18" t="s">
        <v>164</v>
      </c>
      <c r="B31" s="17" t="s">
        <v>165</v>
      </c>
      <c r="C31" s="16">
        <f>+Tabla119[[#This Row],[COSTO +IVA]]/Tabla119[[#This Row],[Columna5]]</f>
        <v>2976140.4166666665</v>
      </c>
      <c r="D31" s="16">
        <f>+Tabla119[[#This Row],[PRECIO INSTALLER (CON IVA)]]-Tabla119[[#This Row],[Columna2]]</f>
        <v>2827333.395833333</v>
      </c>
      <c r="E31" s="16">
        <f>+Tabla119[[#This Row],[PRECIO INSTALLER (CON IVA)]]/0.7</f>
        <v>4251629.166666667</v>
      </c>
      <c r="F31" s="16">
        <f>+Tabla119[[#This Row],[PRECIO INSTALLER (CON IVA)]]*5%</f>
        <v>148807.02083333334</v>
      </c>
      <c r="G31" s="15">
        <v>0.9</v>
      </c>
      <c r="H31" s="14">
        <f>Tabla119[[#This Row],[COSTO]]*1.19</f>
        <v>2678526.375</v>
      </c>
      <c r="I31" s="15"/>
      <c r="J31" s="13"/>
      <c r="K31" s="12">
        <v>2250862.5</v>
      </c>
    </row>
    <row r="32" spans="1:11" ht="38.25" x14ac:dyDescent="0.2">
      <c r="A32" s="18" t="s">
        <v>166</v>
      </c>
      <c r="B32" s="17" t="s">
        <v>131</v>
      </c>
      <c r="C32" s="16">
        <f>+Tabla119[[#This Row],[COSTO +IVA]]/Tabla119[[#This Row],[Columna5]]</f>
        <v>53550</v>
      </c>
      <c r="D32" s="16">
        <f>+Tabla119[[#This Row],[PRECIO INSTALLER (CON IVA)]]-Tabla119[[#This Row],[Columna2]]</f>
        <v>50872.5</v>
      </c>
      <c r="E32" s="16">
        <f>+Tabla119[[#This Row],[PRECIO INSTALLER (CON IVA)]]/0.7</f>
        <v>76500</v>
      </c>
      <c r="F32" s="16">
        <f>+Tabla119[[#This Row],[PRECIO INSTALLER (CON IVA)]]*5%</f>
        <v>2677.5</v>
      </c>
      <c r="G32" s="33">
        <v>1</v>
      </c>
      <c r="H32" s="14">
        <f>Tabla119[[#This Row],[COSTO]]*1.19</f>
        <v>53550</v>
      </c>
      <c r="I32" s="13"/>
      <c r="J32" s="13"/>
      <c r="K32" s="12">
        <v>45000</v>
      </c>
    </row>
    <row r="33" spans="1:11" ht="38.25" x14ac:dyDescent="0.2">
      <c r="A33" s="18" t="s">
        <v>132</v>
      </c>
      <c r="B33" s="17" t="s">
        <v>131</v>
      </c>
      <c r="C33" s="16">
        <f>+Tabla119[[#This Row],[COSTO +IVA]]/Tabla119[[#This Row],[Columna5]]</f>
        <v>689022.56111111108</v>
      </c>
      <c r="D33" s="16">
        <f>+Tabla119[[#This Row],[PRECIO INSTALLER (CON IVA)]]-Tabla119[[#This Row],[Columna2]]</f>
        <v>654571.43305555556</v>
      </c>
      <c r="E33" s="16">
        <f>+Tabla119[[#This Row],[PRECIO INSTALLER (CON IVA)]]/0.7</f>
        <v>984317.9444444445</v>
      </c>
      <c r="F33" s="16">
        <f>+Tabla119[[#This Row],[PRECIO INSTALLER (CON IVA)]]*5%</f>
        <v>34451.128055555557</v>
      </c>
      <c r="G33" s="15">
        <v>0.9</v>
      </c>
      <c r="H33" s="14">
        <f>Tabla119[[#This Row],[COSTO]]*1.19</f>
        <v>620120.30499999993</v>
      </c>
      <c r="I33" s="13"/>
      <c r="J33" s="13"/>
      <c r="K33" s="12">
        <v>521109.5</v>
      </c>
    </row>
    <row r="34" spans="1:11" ht="51" x14ac:dyDescent="0.2">
      <c r="A34" s="18" t="s">
        <v>167</v>
      </c>
      <c r="B34" s="17" t="s">
        <v>168</v>
      </c>
      <c r="C34" s="16">
        <f>+Tabla119[[#This Row],[COSTO +IVA]]/Tabla119[[#This Row],[Columna5]]</f>
        <v>366391.74444444443</v>
      </c>
      <c r="D34" s="16">
        <f>+Tabla119[[#This Row],[PRECIO INSTALLER (CON IVA)]]-Tabla119[[#This Row],[Columna2]]</f>
        <v>348072.15722222219</v>
      </c>
      <c r="E34" s="16">
        <f>+Tabla119[[#This Row],[PRECIO INSTALLER (CON IVA)]]/0.7</f>
        <v>523416.77777777781</v>
      </c>
      <c r="F34" s="16">
        <f>+Tabla119[[#This Row],[PRECIO INSTALLER (CON IVA)]]*5%</f>
        <v>18319.587222222221</v>
      </c>
      <c r="G34" s="15">
        <v>0.9</v>
      </c>
      <c r="H34" s="14">
        <f>Tabla119[[#This Row],[COSTO]]*1.19</f>
        <v>329752.57</v>
      </c>
      <c r="I34" s="13"/>
      <c r="J34" s="13"/>
      <c r="K34" s="12">
        <v>277103</v>
      </c>
    </row>
    <row r="35" spans="1:11" ht="51" x14ac:dyDescent="0.2">
      <c r="A35" s="18" t="s">
        <v>169</v>
      </c>
      <c r="B35" s="17" t="s">
        <v>168</v>
      </c>
      <c r="C35" s="16">
        <f>+Tabla119[[#This Row],[COSTO +IVA]]/Tabla119[[#This Row],[Columna5]]</f>
        <v>370964.64999999997</v>
      </c>
      <c r="D35" s="16">
        <f>+Tabla119[[#This Row],[PRECIO INSTALLER (CON IVA)]]-Tabla119[[#This Row],[Columna2]]</f>
        <v>352416.41749999998</v>
      </c>
      <c r="E35" s="16">
        <f>+Tabla119[[#This Row],[PRECIO INSTALLER (CON IVA)]]/0.7</f>
        <v>529949.5</v>
      </c>
      <c r="F35" s="16">
        <f>+Tabla119[[#This Row],[PRECIO INSTALLER (CON IVA)]]*5%</f>
        <v>18548.232499999998</v>
      </c>
      <c r="G35" s="15">
        <v>0.9</v>
      </c>
      <c r="H35" s="14">
        <f>Tabla119[[#This Row],[COSTO]]*1.19</f>
        <v>333868.185</v>
      </c>
      <c r="I35" s="15"/>
      <c r="J35" s="15"/>
      <c r="K35" s="12">
        <v>280561.5</v>
      </c>
    </row>
    <row r="36" spans="1:11" ht="51" x14ac:dyDescent="0.2">
      <c r="A36" s="18" t="s">
        <v>170</v>
      </c>
      <c r="B36" s="17" t="s">
        <v>171</v>
      </c>
      <c r="C36" s="16">
        <f>+Tabla119[[#This Row],[COSTO +IVA]]/Tabla119[[#This Row],[Columna5]]</f>
        <v>267388.04166666669</v>
      </c>
      <c r="D36" s="16">
        <f>+Tabla119[[#This Row],[PRECIO INSTALLER (CON IVA)]]-Tabla119[[#This Row],[Columna2]]</f>
        <v>254018.63958333334</v>
      </c>
      <c r="E36" s="16">
        <f>+Tabla119[[#This Row],[PRECIO INSTALLER (CON IVA)]]/0.7</f>
        <v>381982.91666666674</v>
      </c>
      <c r="F36" s="16">
        <f>+Tabla119[[#This Row],[PRECIO INSTALLER (CON IVA)]]*5%</f>
        <v>13369.402083333334</v>
      </c>
      <c r="G36" s="33">
        <v>0.96</v>
      </c>
      <c r="H36" s="14">
        <f>Tabla119[[#This Row],[COSTO]]*1.19</f>
        <v>256692.52</v>
      </c>
      <c r="I36" s="15"/>
      <c r="J36" s="15"/>
      <c r="K36" s="12">
        <v>215708</v>
      </c>
    </row>
    <row r="37" spans="1:11" ht="38.25" x14ac:dyDescent="0.2">
      <c r="A37" s="18" t="s">
        <v>56</v>
      </c>
      <c r="B37" s="17" t="s">
        <v>55</v>
      </c>
      <c r="C37" s="16">
        <f>+Tabla119[[#This Row],[COSTO +IVA]]/Tabla119[[#This Row],[Columna5]]</f>
        <v>317579.390625</v>
      </c>
      <c r="D37" s="16">
        <f>+Tabla119[[#This Row],[PRECIO INSTALLER (CON IVA)]]-Tabla119[[#This Row],[Columna2]]</f>
        <v>301700.42109374999</v>
      </c>
      <c r="E37" s="16">
        <f>+Tabla119[[#This Row],[PRECIO INSTALLER (CON IVA)]]/0.7</f>
        <v>453684.84375</v>
      </c>
      <c r="F37" s="16">
        <f>+Tabla119[[#This Row],[PRECIO INSTALLER (CON IVA)]]*5%</f>
        <v>15878.969531250001</v>
      </c>
      <c r="G37" s="33">
        <v>0.96</v>
      </c>
      <c r="H37" s="14">
        <f>Tabla119[[#This Row],[COSTO]]*1.19</f>
        <v>304876.21499999997</v>
      </c>
      <c r="I37" s="13"/>
      <c r="J37" s="13"/>
      <c r="K37" s="12">
        <v>256198.5</v>
      </c>
    </row>
    <row r="38" spans="1:11" ht="25.5" x14ac:dyDescent="0.2">
      <c r="A38" s="18" t="s">
        <v>47</v>
      </c>
      <c r="B38" s="17" t="s">
        <v>46</v>
      </c>
      <c r="C38" s="16">
        <f>+Tabla119[[#This Row],[COSTO +IVA]]/Tabla119[[#This Row],[Columna5]]</f>
        <v>415847.88</v>
      </c>
      <c r="D38" s="16">
        <f>+Tabla119[[#This Row],[PRECIO INSTALLER (CON IVA)]]-Tabla119[[#This Row],[Columna2]]</f>
        <v>395055.48600000003</v>
      </c>
      <c r="E38" s="16">
        <f>+Tabla119[[#This Row],[PRECIO INSTALLER (CON IVA)]]/0.7</f>
        <v>594068.4</v>
      </c>
      <c r="F38" s="16">
        <f>+Tabla119[[#This Row],[PRECIO INSTALLER (CON IVA)]]*5%</f>
        <v>20792.394</v>
      </c>
      <c r="G38" s="33">
        <v>1</v>
      </c>
      <c r="H38" s="14">
        <f>Tabla119[[#This Row],[COSTO]]*1.19</f>
        <v>415847.88</v>
      </c>
      <c r="I38" s="13"/>
      <c r="J38" s="13"/>
      <c r="K38" s="12">
        <v>349452</v>
      </c>
    </row>
    <row r="39" spans="1:11" ht="51" x14ac:dyDescent="0.2">
      <c r="A39" s="18" t="s">
        <v>27</v>
      </c>
      <c r="B39" s="17" t="s">
        <v>26</v>
      </c>
      <c r="C39" s="16">
        <f>+Tabla119[[#This Row],[COSTO +IVA]]/Tabla119[[#This Row],[Columna5]]</f>
        <v>64192.566666666666</v>
      </c>
      <c r="D39" s="16">
        <f>+Tabla119[[#This Row],[PRECIO INSTALLER (CON IVA)]]-Tabla119[[#This Row],[Columna2]]</f>
        <v>60982.938333333332</v>
      </c>
      <c r="E39" s="16">
        <f>+Tabla119[[#This Row],[PRECIO INSTALLER (CON IVA)]]/0.7</f>
        <v>91703.666666666672</v>
      </c>
      <c r="F39" s="16">
        <f>+Tabla119[[#This Row],[PRECIO INSTALLER (CON IVA)]]*5%</f>
        <v>3209.6283333333336</v>
      </c>
      <c r="G39" s="15">
        <v>0.9</v>
      </c>
      <c r="H39" s="14">
        <f>Tabla119[[#This Row],[COSTO]]*1.19</f>
        <v>57773.31</v>
      </c>
      <c r="I39" s="13"/>
      <c r="J39" s="13"/>
      <c r="K39" s="12">
        <v>48549</v>
      </c>
    </row>
    <row r="40" spans="1:11" ht="25.5" x14ac:dyDescent="0.2">
      <c r="A40" s="18" t="s">
        <v>172</v>
      </c>
      <c r="B40" s="17" t="s">
        <v>173</v>
      </c>
      <c r="C40" s="16">
        <f>+Tabla119[[#This Row],[COSTO +IVA]]/Tabla119[[#This Row],[Columna5]]</f>
        <v>134204.89444444445</v>
      </c>
      <c r="D40" s="16">
        <f>+Tabla119[[#This Row],[PRECIO INSTALLER (CON IVA)]]-Tabla119[[#This Row],[Columna2]]</f>
        <v>127494.64972222222</v>
      </c>
      <c r="E40" s="16">
        <f>+Tabla119[[#This Row],[PRECIO INSTALLER (CON IVA)]]/0.7</f>
        <v>191721.27777777781</v>
      </c>
      <c r="F40" s="16">
        <f>+Tabla119[[#This Row],[PRECIO INSTALLER (CON IVA)]]*5%</f>
        <v>6710.2447222222227</v>
      </c>
      <c r="G40" s="15">
        <v>0.9</v>
      </c>
      <c r="H40" s="14">
        <f>Tabla119[[#This Row],[COSTO]]*1.19</f>
        <v>120784.405</v>
      </c>
      <c r="I40" s="13"/>
      <c r="J40" s="13"/>
      <c r="K40" s="12">
        <v>101499.5</v>
      </c>
    </row>
    <row r="41" spans="1:11" ht="38.25" x14ac:dyDescent="0.2">
      <c r="A41" s="18" t="s">
        <v>174</v>
      </c>
      <c r="B41" s="17" t="s">
        <v>175</v>
      </c>
      <c r="C41" s="16">
        <f>+Tabla119[[#This Row],[COSTO +IVA]]/Tabla119[[#This Row],[Columna5]]</f>
        <v>400764.23333333334</v>
      </c>
      <c r="D41" s="16">
        <f>+Tabla119[[#This Row],[PRECIO INSTALLER (CON IVA)]]-Tabla119[[#This Row],[Columna2]]</f>
        <v>380726.02166666667</v>
      </c>
      <c r="E41" s="16">
        <f>+Tabla119[[#This Row],[PRECIO INSTALLER (CON IVA)]]/0.7</f>
        <v>572520.33333333337</v>
      </c>
      <c r="F41" s="16">
        <f>+Tabla119[[#This Row],[PRECIO INSTALLER (CON IVA)]]*5%</f>
        <v>20038.21166666667</v>
      </c>
      <c r="G41" s="15">
        <v>0.9</v>
      </c>
      <c r="H41" s="14">
        <f>Tabla119[[#This Row],[COSTO]]*1.19</f>
        <v>360687.81</v>
      </c>
      <c r="I41" s="13"/>
      <c r="J41" s="13"/>
      <c r="K41" s="12">
        <v>303099</v>
      </c>
    </row>
    <row r="42" spans="1:11" ht="38.25" x14ac:dyDescent="0.2">
      <c r="A42" s="18" t="s">
        <v>176</v>
      </c>
      <c r="B42" s="17" t="s">
        <v>177</v>
      </c>
      <c r="C42" s="16">
        <f>+Tabla119[[#This Row],[COSTO +IVA]]/Tabla119[[#This Row],[Columna5]]</f>
        <v>45872.516666666663</v>
      </c>
      <c r="D42" s="16">
        <f>+Tabla119[[#This Row],[PRECIO INSTALLER (CON IVA)]]-Tabla119[[#This Row],[Columna2]]</f>
        <v>43578.890833333331</v>
      </c>
      <c r="E42" s="16">
        <f>+Tabla119[[#This Row],[PRECIO INSTALLER (CON IVA)]]/0.7</f>
        <v>65532.166666666664</v>
      </c>
      <c r="F42" s="16">
        <f>+Tabla119[[#This Row],[PRECIO INSTALLER (CON IVA)]]*5%</f>
        <v>2293.625833333333</v>
      </c>
      <c r="G42" s="15">
        <v>0.9</v>
      </c>
      <c r="H42" s="14">
        <f>Tabla119[[#This Row],[COSTO]]*1.19</f>
        <v>41285.264999999999</v>
      </c>
      <c r="I42" s="13"/>
      <c r="J42" s="13"/>
      <c r="K42" s="12">
        <v>34693.5</v>
      </c>
    </row>
    <row r="43" spans="1:11" ht="38.25" x14ac:dyDescent="0.2">
      <c r="A43" s="18" t="s">
        <v>21</v>
      </c>
      <c r="B43" s="17" t="s">
        <v>20</v>
      </c>
      <c r="C43" s="16">
        <f>+Tabla119[[#This Row],[COSTO +IVA]]/Tabla119[[#This Row],[Columna5]]</f>
        <v>51404.694444444438</v>
      </c>
      <c r="D43" s="16">
        <f>+Tabla119[[#This Row],[PRECIO INSTALLER (CON IVA)]]-Tabla119[[#This Row],[Columna2]]</f>
        <v>48834.459722222215</v>
      </c>
      <c r="E43" s="16">
        <f>+Tabla119[[#This Row],[PRECIO INSTALLER (CON IVA)]]/0.7</f>
        <v>73435.277777777766</v>
      </c>
      <c r="F43" s="16">
        <f>+Tabla119[[#This Row],[PRECIO INSTALLER (CON IVA)]]*5%</f>
        <v>2570.234722222222</v>
      </c>
      <c r="G43" s="15">
        <v>0.9</v>
      </c>
      <c r="H43" s="14">
        <f>Tabla119[[#This Row],[COSTO]]*1.19</f>
        <v>46264.224999999999</v>
      </c>
      <c r="I43" s="13"/>
      <c r="J43" s="13"/>
      <c r="K43" s="12">
        <v>38877.5</v>
      </c>
    </row>
    <row r="44" spans="1:11" ht="25.5" x14ac:dyDescent="0.2">
      <c r="A44" s="18" t="s">
        <v>178</v>
      </c>
      <c r="B44" s="17" t="s">
        <v>179</v>
      </c>
      <c r="C44" s="16">
        <f>+Tabla119[[#This Row],[COSTO +IVA]]/Tabla119[[#This Row],[Columna5]]</f>
        <v>54804.788888888885</v>
      </c>
      <c r="D44" s="16">
        <f>+Tabla119[[#This Row],[PRECIO INSTALLER (CON IVA)]]-Tabla119[[#This Row],[Columna2]]</f>
        <v>52064.549444444441</v>
      </c>
      <c r="E44" s="16">
        <f>+Tabla119[[#This Row],[PRECIO INSTALLER (CON IVA)]]/0.7</f>
        <v>78292.555555555547</v>
      </c>
      <c r="F44" s="16">
        <f>+Tabla119[[#This Row],[PRECIO INSTALLER (CON IVA)]]*5%</f>
        <v>2740.2394444444444</v>
      </c>
      <c r="G44" s="15">
        <v>0.9</v>
      </c>
      <c r="H44" s="14">
        <f>Tabla119[[#This Row],[COSTO]]*1.19</f>
        <v>49324.31</v>
      </c>
      <c r="I44" s="13"/>
      <c r="J44" s="13"/>
      <c r="K44" s="12">
        <v>41449</v>
      </c>
    </row>
    <row r="45" spans="1:11" ht="38.25" x14ac:dyDescent="0.2">
      <c r="A45" s="18" t="s">
        <v>25</v>
      </c>
      <c r="B45" s="17" t="s">
        <v>24</v>
      </c>
      <c r="C45" s="16">
        <f>+Tabla119[[#This Row],[COSTO +IVA]]/Tabla119[[#This Row],[Columna5]]</f>
        <v>55200.133333333324</v>
      </c>
      <c r="D45" s="16">
        <f>+Tabla119[[#This Row],[PRECIO INSTALLER (CON IVA)]]-Tabla119[[#This Row],[Columna2]]</f>
        <v>52440.126666666656</v>
      </c>
      <c r="E45" s="16">
        <f>+Tabla119[[#This Row],[PRECIO INSTALLER (CON IVA)]]/0.7</f>
        <v>78857.333333333328</v>
      </c>
      <c r="F45" s="16">
        <f>+Tabla119[[#This Row],[PRECIO INSTALLER (CON IVA)]]*5%</f>
        <v>2760.0066666666662</v>
      </c>
      <c r="G45" s="15">
        <v>0.9</v>
      </c>
      <c r="H45" s="14">
        <f>Tabla119[[#This Row],[COSTO]]*1.19</f>
        <v>49680.119999999995</v>
      </c>
      <c r="I45" s="13"/>
      <c r="J45" s="13"/>
      <c r="K45" s="12">
        <v>41748</v>
      </c>
    </row>
    <row r="46" spans="1:11" ht="25.5" x14ac:dyDescent="0.2">
      <c r="A46" s="18" t="s">
        <v>33</v>
      </c>
      <c r="B46" s="17" t="s">
        <v>32</v>
      </c>
      <c r="C46" s="16">
        <f>+Tabla119[[#This Row],[COSTO +IVA]]/Tabla119[[#This Row],[Columna5]]</f>
        <v>83551.222222222204</v>
      </c>
      <c r="D46" s="16">
        <f>+Tabla119[[#This Row],[PRECIO INSTALLER (CON IVA)]]-Tabla119[[#This Row],[Columna2]]</f>
        <v>79373.661111111098</v>
      </c>
      <c r="E46" s="16">
        <f>+Tabla119[[#This Row],[PRECIO INSTALLER (CON IVA)]]/0.7</f>
        <v>119358.88888888888</v>
      </c>
      <c r="F46" s="16">
        <f>+Tabla119[[#This Row],[PRECIO INSTALLER (CON IVA)]]*5%</f>
        <v>4177.5611111111102</v>
      </c>
      <c r="G46" s="15">
        <v>0.9</v>
      </c>
      <c r="H46" s="14">
        <f>Tabla119[[#This Row],[COSTO]]*1.19</f>
        <v>75196.099999999991</v>
      </c>
      <c r="I46" s="13"/>
      <c r="J46" s="13"/>
      <c r="K46" s="12">
        <v>63190</v>
      </c>
    </row>
    <row r="47" spans="1:11" ht="38.25" x14ac:dyDescent="0.2">
      <c r="A47" s="18" t="s">
        <v>42</v>
      </c>
      <c r="B47" s="17" t="s">
        <v>41</v>
      </c>
      <c r="C47" s="16">
        <f>+Tabla119[[#This Row],[COSTO +IVA]]/Tabla119[[#This Row],[Columna5]]</f>
        <v>87862.988888888896</v>
      </c>
      <c r="D47" s="16">
        <f>+Tabla119[[#This Row],[PRECIO INSTALLER (CON IVA)]]-Tabla119[[#This Row],[Columna2]]</f>
        <v>83469.839444444457</v>
      </c>
      <c r="E47" s="16">
        <f>+Tabla119[[#This Row],[PRECIO INSTALLER (CON IVA)]]/0.7</f>
        <v>125518.55555555558</v>
      </c>
      <c r="F47" s="16">
        <f>+Tabla119[[#This Row],[PRECIO INSTALLER (CON IVA)]]*5%</f>
        <v>4393.1494444444452</v>
      </c>
      <c r="G47" s="15">
        <v>0.9</v>
      </c>
      <c r="H47" s="14">
        <f>Tabla119[[#This Row],[COSTO]]*1.19</f>
        <v>79076.69</v>
      </c>
      <c r="I47" s="13"/>
      <c r="J47" s="13"/>
      <c r="K47" s="12">
        <v>66451</v>
      </c>
    </row>
    <row r="48" spans="1:11" ht="38.25" x14ac:dyDescent="0.2">
      <c r="A48" s="18" t="s">
        <v>180</v>
      </c>
      <c r="B48" s="17" t="s">
        <v>181</v>
      </c>
      <c r="C48" s="16">
        <f>+Tabla119[[#This Row],[COSTO +IVA]]/Tabla119[[#This Row],[Columna5]]</f>
        <v>36004.639999999999</v>
      </c>
      <c r="D48" s="16">
        <f>+Tabla119[[#This Row],[PRECIO INSTALLER (CON IVA)]]-Tabla119[[#This Row],[Columna2]]</f>
        <v>34204.407999999996</v>
      </c>
      <c r="E48" s="16">
        <f>+Tabla119[[#This Row],[PRECIO INSTALLER (CON IVA)]]/0.7</f>
        <v>51435.200000000004</v>
      </c>
      <c r="F48" s="16">
        <f>+Tabla119[[#This Row],[PRECIO INSTALLER (CON IVA)]]*5%</f>
        <v>1800.232</v>
      </c>
      <c r="G48" s="33">
        <v>1</v>
      </c>
      <c r="H48" s="14">
        <f>Tabla119[[#This Row],[COSTO]]*1.19</f>
        <v>36004.639999999999</v>
      </c>
      <c r="I48" s="13"/>
      <c r="J48" s="13"/>
      <c r="K48" s="12">
        <v>30256</v>
      </c>
    </row>
    <row r="49" spans="1:11" ht="38.25" x14ac:dyDescent="0.2">
      <c r="A49" s="18" t="s">
        <v>54</v>
      </c>
      <c r="B49" s="17" t="s">
        <v>53</v>
      </c>
      <c r="C49" s="16">
        <f>+Tabla119[[#This Row],[COSTO +IVA]]/Tabla119[[#This Row],[Columna5]]</f>
        <v>276113.32</v>
      </c>
      <c r="D49" s="16">
        <f>+Tabla119[[#This Row],[PRECIO INSTALLER (CON IVA)]]-Tabla119[[#This Row],[Columna2]]</f>
        <v>262307.65399999998</v>
      </c>
      <c r="E49" s="16">
        <f>+Tabla119[[#This Row],[PRECIO INSTALLER (CON IVA)]]/0.7</f>
        <v>394447.60000000003</v>
      </c>
      <c r="F49" s="16">
        <f>+Tabla119[[#This Row],[PRECIO INSTALLER (CON IVA)]]*5%</f>
        <v>13805.666000000001</v>
      </c>
      <c r="G49" s="33">
        <v>1</v>
      </c>
      <c r="H49" s="14">
        <f>Tabla119[[#This Row],[COSTO]]*1.19</f>
        <v>276113.32</v>
      </c>
      <c r="I49" s="13"/>
      <c r="J49" s="13"/>
      <c r="K49" s="12">
        <v>232028</v>
      </c>
    </row>
    <row r="50" spans="1:11" ht="38.25" x14ac:dyDescent="0.2">
      <c r="A50" s="18" t="s">
        <v>182</v>
      </c>
      <c r="B50" s="17" t="s">
        <v>183</v>
      </c>
      <c r="C50" s="16">
        <f>+Tabla119[[#This Row],[COSTO +IVA]]/Tabla119[[#This Row],[Columna5]]</f>
        <v>55313.844444444439</v>
      </c>
      <c r="D50" s="16">
        <f>+Tabla119[[#This Row],[PRECIO INSTALLER (CON IVA)]]-Tabla119[[#This Row],[Columna2]]</f>
        <v>52548.152222222219</v>
      </c>
      <c r="E50" s="16">
        <f>+Tabla119[[#This Row],[PRECIO INSTALLER (CON IVA)]]/0.7</f>
        <v>79019.777777777781</v>
      </c>
      <c r="F50" s="16">
        <f>+Tabla119[[#This Row],[PRECIO INSTALLER (CON IVA)]]*5%</f>
        <v>2765.692222222222</v>
      </c>
      <c r="G50" s="15">
        <v>0.9</v>
      </c>
      <c r="H50" s="14">
        <f>Tabla119[[#This Row],[COSTO]]*1.19</f>
        <v>49782.46</v>
      </c>
      <c r="I50" s="13"/>
      <c r="J50" s="13"/>
      <c r="K50" s="12">
        <v>41834</v>
      </c>
    </row>
    <row r="51" spans="1:11" ht="25.5" x14ac:dyDescent="0.2">
      <c r="A51" s="18" t="s">
        <v>38</v>
      </c>
      <c r="B51" s="17" t="s">
        <v>37</v>
      </c>
      <c r="C51" s="16">
        <f>+Tabla119[[#This Row],[COSTO +IVA]]/Tabla119[[#This Row],[Columna5]]</f>
        <v>89250.661111111112</v>
      </c>
      <c r="D51" s="16">
        <f>+Tabla119[[#This Row],[PRECIO INSTALLER (CON IVA)]]-Tabla119[[#This Row],[Columna2]]</f>
        <v>84788.128055555557</v>
      </c>
      <c r="E51" s="16">
        <f>+Tabla119[[#This Row],[PRECIO INSTALLER (CON IVA)]]/0.7</f>
        <v>127500.94444444445</v>
      </c>
      <c r="F51" s="16">
        <f>+Tabla119[[#This Row],[PRECIO INSTALLER (CON IVA)]]*5%</f>
        <v>4462.5330555555556</v>
      </c>
      <c r="G51" s="15">
        <v>0.9</v>
      </c>
      <c r="H51" s="14">
        <f>Tabla119[[#This Row],[COSTO]]*1.19</f>
        <v>80325.595000000001</v>
      </c>
      <c r="I51" s="13"/>
      <c r="J51" s="13"/>
      <c r="K51" s="12">
        <v>67500.5</v>
      </c>
    </row>
    <row r="52" spans="1:11" ht="51" x14ac:dyDescent="0.2">
      <c r="A52" s="18" t="s">
        <v>76</v>
      </c>
      <c r="B52" s="17" t="s">
        <v>184</v>
      </c>
      <c r="C52" s="16">
        <f>+Tabla119[[#This Row],[COSTO +IVA]]/Tabla119[[#This Row],[Columna5]]</f>
        <v>934864</v>
      </c>
      <c r="D52" s="16">
        <f>+Tabla119[[#This Row],[PRECIO INSTALLER (CON IVA)]]-Tabla119[[#This Row],[Columna2]]</f>
        <v>888120.8</v>
      </c>
      <c r="E52" s="16">
        <f>+Tabla119[[#This Row],[PRECIO INSTALLER (CON IVA)]]/0.7</f>
        <v>1335520</v>
      </c>
      <c r="F52" s="16">
        <f>+Tabla119[[#This Row],[PRECIO INSTALLER (CON IVA)]]*5%</f>
        <v>46743.200000000004</v>
      </c>
      <c r="G52" s="33">
        <v>0.83</v>
      </c>
      <c r="H52" s="14">
        <f>Tabla119[[#This Row],[COSTO]]*1.19</f>
        <v>775937.12</v>
      </c>
      <c r="I52" s="13"/>
      <c r="J52" s="13"/>
      <c r="K52" s="12">
        <v>652048</v>
      </c>
    </row>
    <row r="53" spans="1:11" ht="51" x14ac:dyDescent="0.2">
      <c r="A53" s="18" t="s">
        <v>78</v>
      </c>
      <c r="B53" s="17" t="s">
        <v>185</v>
      </c>
      <c r="C53" s="16">
        <f>+Tabla119[[#This Row],[COSTO +IVA]]/Tabla119[[#This Row],[Columna5]]</f>
        <v>1037221.3541666667</v>
      </c>
      <c r="D53" s="16">
        <f>+Tabla119[[#This Row],[PRECIO INSTALLER (CON IVA)]]-Tabla119[[#This Row],[Columna2]]</f>
        <v>985360.28645833337</v>
      </c>
      <c r="E53" s="16">
        <f>+Tabla119[[#This Row],[PRECIO INSTALLER (CON IVA)]]/0.7</f>
        <v>1481744.791666667</v>
      </c>
      <c r="F53" s="16">
        <f>+Tabla119[[#This Row],[PRECIO INSTALLER (CON IVA)]]*5%</f>
        <v>51861.067708333343</v>
      </c>
      <c r="G53" s="15">
        <v>0.96</v>
      </c>
      <c r="H53" s="14">
        <f>Tabla119[[#This Row],[COSTO]]*1.19</f>
        <v>995732.5</v>
      </c>
      <c r="I53" s="15"/>
      <c r="J53" s="15"/>
      <c r="K53" s="12">
        <v>836750</v>
      </c>
    </row>
    <row r="54" spans="1:11" ht="38.25" x14ac:dyDescent="0.2">
      <c r="A54" s="18" t="s">
        <v>19</v>
      </c>
      <c r="B54" s="17" t="s">
        <v>18</v>
      </c>
      <c r="C54" s="16">
        <f>+Tabla119[[#This Row],[COSTO +IVA]]/Tabla119[[#This Row],[Columna5]]</f>
        <v>41131.688888888886</v>
      </c>
      <c r="D54" s="16">
        <f>+Tabla119[[#This Row],[PRECIO INSTALLER (CON IVA)]]-Tabla119[[#This Row],[Columna2]]</f>
        <v>39075.104444444441</v>
      </c>
      <c r="E54" s="16">
        <f>+Tabla119[[#This Row],[PRECIO INSTALLER (CON IVA)]]/0.7</f>
        <v>58759.555555555555</v>
      </c>
      <c r="F54" s="16">
        <f>+Tabla119[[#This Row],[PRECIO INSTALLER (CON IVA)]]*5%</f>
        <v>2056.5844444444442</v>
      </c>
      <c r="G54" s="15">
        <v>0.9</v>
      </c>
      <c r="H54" s="14">
        <f>Tabla119[[#This Row],[COSTO]]*1.19</f>
        <v>37018.519999999997</v>
      </c>
      <c r="I54" s="13"/>
      <c r="J54" s="13"/>
      <c r="K54" s="12">
        <v>31108</v>
      </c>
    </row>
    <row r="55" spans="1:11" ht="51" x14ac:dyDescent="0.2">
      <c r="A55" s="18" t="s">
        <v>118</v>
      </c>
      <c r="B55" s="17" t="s">
        <v>117</v>
      </c>
      <c r="C55" s="16">
        <f>+Tabla119[[#This Row],[COSTO +IVA]]/Tabla119[[#This Row],[Columna5]]</f>
        <v>39306.661616161618</v>
      </c>
      <c r="D55" s="16">
        <f>+Tabla119[[#This Row],[PRECIO INSTALLER (CON IVA)]]-Tabla119[[#This Row],[Columna2]]</f>
        <v>37341.328535353539</v>
      </c>
      <c r="E55" s="16">
        <f>+Tabla119[[#This Row],[PRECIO INSTALLER (CON IVA)]]/0.7</f>
        <v>56152.373737373746</v>
      </c>
      <c r="F55" s="16">
        <f>+Tabla119[[#This Row],[PRECIO INSTALLER (CON IVA)]]*5%</f>
        <v>1965.3330808080809</v>
      </c>
      <c r="G55" s="33">
        <v>0.99</v>
      </c>
      <c r="H55" s="14">
        <f>Tabla119[[#This Row],[COSTO]]*1.19</f>
        <v>38913.595000000001</v>
      </c>
      <c r="I55" s="13"/>
      <c r="J55" s="13"/>
      <c r="K55" s="12">
        <v>32700.5</v>
      </c>
    </row>
    <row r="56" spans="1:11" ht="51" x14ac:dyDescent="0.2">
      <c r="A56" s="18" t="s">
        <v>35</v>
      </c>
      <c r="B56" s="17" t="s">
        <v>34</v>
      </c>
      <c r="C56" s="16">
        <f>+Tabla119[[#This Row],[COSTO +IVA]]/Tabla119[[#This Row],[Columna5]]</f>
        <v>75927.578125</v>
      </c>
      <c r="D56" s="16">
        <f>+Tabla119[[#This Row],[PRECIO INSTALLER (CON IVA)]]-Tabla119[[#This Row],[Columna2]]</f>
        <v>72131.19921875</v>
      </c>
      <c r="E56" s="16">
        <f>+Tabla119[[#This Row],[PRECIO INSTALLER (CON IVA)]]/0.7</f>
        <v>108467.96875</v>
      </c>
      <c r="F56" s="16">
        <f>+Tabla119[[#This Row],[PRECIO INSTALLER (CON IVA)]]*5%</f>
        <v>3796.37890625</v>
      </c>
      <c r="G56" s="33">
        <v>0.96</v>
      </c>
      <c r="H56" s="14">
        <f>Tabla119[[#This Row],[COSTO]]*1.19</f>
        <v>72890.474999999991</v>
      </c>
      <c r="I56" s="13"/>
      <c r="J56" s="13"/>
      <c r="K56" s="12">
        <v>61252.5</v>
      </c>
    </row>
    <row r="57" spans="1:11" ht="25.5" x14ac:dyDescent="0.2">
      <c r="A57" s="18" t="s">
        <v>104</v>
      </c>
      <c r="B57" s="17" t="s">
        <v>103</v>
      </c>
      <c r="C57" s="16">
        <f>+Tabla119[[#This Row],[COSTO +IVA]]/Tabla119[[#This Row],[Columna5]]</f>
        <v>19843.857142857141</v>
      </c>
      <c r="D57" s="16">
        <f>+Tabla119[[#This Row],[PRECIO INSTALLER (CON IVA)]]-Tabla119[[#This Row],[Columna2]]</f>
        <v>18851.664285714283</v>
      </c>
      <c r="E57" s="16">
        <f>+Tabla119[[#This Row],[PRECIO INSTALLER (CON IVA)]]/0.7</f>
        <v>28348.367346938776</v>
      </c>
      <c r="F57" s="16">
        <f>+Tabla119[[#This Row],[PRECIO INSTALLER (CON IVA)]]*5%</f>
        <v>992.19285714285706</v>
      </c>
      <c r="G57" s="33">
        <v>0.98</v>
      </c>
      <c r="H57" s="14">
        <f>Tabla119[[#This Row],[COSTO]]*1.19</f>
        <v>19446.98</v>
      </c>
      <c r="I57" s="13"/>
      <c r="J57" s="13"/>
      <c r="K57" s="12">
        <v>16342</v>
      </c>
    </row>
    <row r="58" spans="1:11" ht="25.5" x14ac:dyDescent="0.2">
      <c r="A58" s="18" t="s">
        <v>106</v>
      </c>
      <c r="B58" s="17" t="s">
        <v>105</v>
      </c>
      <c r="C58" s="16">
        <f>+Tabla119[[#This Row],[COSTO +IVA]]/Tabla119[[#This Row],[Columna5]]</f>
        <v>15929.885416666666</v>
      </c>
      <c r="D58" s="16">
        <f>+Tabla119[[#This Row],[PRECIO INSTALLER (CON IVA)]]-Tabla119[[#This Row],[Columna2]]</f>
        <v>15133.391145833333</v>
      </c>
      <c r="E58" s="16">
        <f>+Tabla119[[#This Row],[PRECIO INSTALLER (CON IVA)]]/0.7</f>
        <v>22756.979166666668</v>
      </c>
      <c r="F58" s="16">
        <f>+Tabla119[[#This Row],[PRECIO INSTALLER (CON IVA)]]*5%</f>
        <v>796.4942708333333</v>
      </c>
      <c r="G58" s="33">
        <v>0.96</v>
      </c>
      <c r="H58" s="14">
        <f>Tabla119[[#This Row],[COSTO]]*1.19</f>
        <v>15292.689999999999</v>
      </c>
      <c r="I58" s="13"/>
      <c r="J58" s="13"/>
      <c r="K58" s="12">
        <v>12851</v>
      </c>
    </row>
    <row r="59" spans="1:11" ht="25.5" x14ac:dyDescent="0.2">
      <c r="A59" s="18" t="s">
        <v>112</v>
      </c>
      <c r="B59" s="17" t="s">
        <v>111</v>
      </c>
      <c r="C59" s="16">
        <f>+Tabla119[[#This Row],[COSTO +IVA]]/Tabla119[[#This Row],[Columna5]]</f>
        <v>22191.020833333332</v>
      </c>
      <c r="D59" s="16">
        <f>+Tabla119[[#This Row],[PRECIO INSTALLER (CON IVA)]]-Tabla119[[#This Row],[Columna2]]</f>
        <v>21081.469791666666</v>
      </c>
      <c r="E59" s="16">
        <f>+Tabla119[[#This Row],[PRECIO INSTALLER (CON IVA)]]/0.7</f>
        <v>31701.458333333332</v>
      </c>
      <c r="F59" s="16">
        <f>+Tabla119[[#This Row],[PRECIO INSTALLER (CON IVA)]]*5%</f>
        <v>1109.5510416666666</v>
      </c>
      <c r="G59" s="33">
        <v>0.96</v>
      </c>
      <c r="H59" s="14">
        <f>Tabla119[[#This Row],[COSTO]]*1.19</f>
        <v>21303.379999999997</v>
      </c>
      <c r="I59" s="13"/>
      <c r="J59" s="13"/>
      <c r="K59" s="12">
        <v>17902</v>
      </c>
    </row>
    <row r="60" spans="1:11" ht="38.25" x14ac:dyDescent="0.2">
      <c r="A60" s="18" t="s">
        <v>122</v>
      </c>
      <c r="B60" s="17" t="s">
        <v>121</v>
      </c>
      <c r="C60" s="16">
        <f>+Tabla119[[#This Row],[COSTO +IVA]]/Tabla119[[#This Row],[Columna5]]</f>
        <v>59936.729999999996</v>
      </c>
      <c r="D60" s="16">
        <f>+Tabla119[[#This Row],[PRECIO INSTALLER (CON IVA)]]-Tabla119[[#This Row],[Columna2]]</f>
        <v>56939.893499999998</v>
      </c>
      <c r="E60" s="16">
        <f>+Tabla119[[#This Row],[PRECIO INSTALLER (CON IVA)]]/0.7</f>
        <v>85623.9</v>
      </c>
      <c r="F60" s="16">
        <f>+Tabla119[[#This Row],[PRECIO INSTALLER (CON IVA)]]*5%</f>
        <v>2996.8364999999999</v>
      </c>
      <c r="G60" s="33">
        <v>1</v>
      </c>
      <c r="H60" s="14">
        <f>Tabla119[[#This Row],[COSTO]]*1.19</f>
        <v>59936.729999999996</v>
      </c>
      <c r="I60" s="13"/>
      <c r="J60" s="13"/>
      <c r="K60" s="12">
        <v>50367</v>
      </c>
    </row>
    <row r="61" spans="1:11" ht="25.5" x14ac:dyDescent="0.2">
      <c r="A61" s="18" t="s">
        <v>110</v>
      </c>
      <c r="B61" s="17" t="s">
        <v>109</v>
      </c>
      <c r="C61" s="16">
        <f>+Tabla119[[#This Row],[COSTO +IVA]]/Tabla119[[#This Row],[Columna5]]</f>
        <v>19248.869791666668</v>
      </c>
      <c r="D61" s="16">
        <f>+Tabla119[[#This Row],[PRECIO INSTALLER (CON IVA)]]-Tabla119[[#This Row],[Columna2]]</f>
        <v>18286.426302083335</v>
      </c>
      <c r="E61" s="16">
        <f>+Tabla119[[#This Row],[PRECIO INSTALLER (CON IVA)]]/0.7</f>
        <v>27498.385416666672</v>
      </c>
      <c r="F61" s="16">
        <f>+Tabla119[[#This Row],[PRECIO INSTALLER (CON IVA)]]*5%</f>
        <v>962.44348958333342</v>
      </c>
      <c r="G61" s="33">
        <v>0.96</v>
      </c>
      <c r="H61" s="14">
        <f>Tabla119[[#This Row],[COSTO]]*1.19</f>
        <v>18478.915000000001</v>
      </c>
      <c r="I61" s="13"/>
      <c r="J61" s="13"/>
      <c r="K61" s="12">
        <v>15528.5</v>
      </c>
    </row>
    <row r="62" spans="1:11" ht="25.5" x14ac:dyDescent="0.2">
      <c r="A62" s="18" t="s">
        <v>108</v>
      </c>
      <c r="B62" s="17" t="s">
        <v>107</v>
      </c>
      <c r="C62" s="16">
        <f>+Tabla119[[#This Row],[COSTO +IVA]]/Tabla119[[#This Row],[Columna5]]</f>
        <v>19976.821428571428</v>
      </c>
      <c r="D62" s="16">
        <f>+Tabla119[[#This Row],[PRECIO INSTALLER (CON IVA)]]-Tabla119[[#This Row],[Columna2]]</f>
        <v>18977.980357142857</v>
      </c>
      <c r="E62" s="16">
        <f>+Tabla119[[#This Row],[PRECIO INSTALLER (CON IVA)]]/0.7</f>
        <v>28538.316326530614</v>
      </c>
      <c r="F62" s="16">
        <f>+Tabla119[[#This Row],[PRECIO INSTALLER (CON IVA)]]*5%</f>
        <v>998.84107142857147</v>
      </c>
      <c r="G62" s="33">
        <v>0.98</v>
      </c>
      <c r="H62" s="14">
        <f>Tabla119[[#This Row],[COSTO]]*1.19</f>
        <v>19577.285</v>
      </c>
      <c r="I62" s="13"/>
      <c r="J62" s="13"/>
      <c r="K62" s="12">
        <v>16451.5</v>
      </c>
    </row>
    <row r="63" spans="1:11" ht="25.5" x14ac:dyDescent="0.2">
      <c r="A63" s="18" t="s">
        <v>114</v>
      </c>
      <c r="B63" s="17" t="s">
        <v>113</v>
      </c>
      <c r="C63" s="16">
        <f>+Tabla119[[#This Row],[COSTO +IVA]]/Tabla119[[#This Row],[Columna5]]</f>
        <v>29934.571428571428</v>
      </c>
      <c r="D63" s="16">
        <f>+Tabla119[[#This Row],[PRECIO INSTALLER (CON IVA)]]-Tabla119[[#This Row],[Columna2]]</f>
        <v>28437.842857142856</v>
      </c>
      <c r="E63" s="16">
        <f>+Tabla119[[#This Row],[PRECIO INSTALLER (CON IVA)]]/0.7</f>
        <v>42763.673469387759</v>
      </c>
      <c r="F63" s="16">
        <f>+Tabla119[[#This Row],[PRECIO INSTALLER (CON IVA)]]*5%</f>
        <v>1496.7285714285715</v>
      </c>
      <c r="G63" s="33">
        <v>0.98</v>
      </c>
      <c r="H63" s="14">
        <f>Tabla119[[#This Row],[COSTO]]*1.19</f>
        <v>29335.879999999997</v>
      </c>
      <c r="I63" s="13"/>
      <c r="J63" s="13"/>
      <c r="K63" s="12">
        <v>24652</v>
      </c>
    </row>
    <row r="64" spans="1:11" ht="38.25" x14ac:dyDescent="0.2">
      <c r="A64" s="18" t="s">
        <v>126</v>
      </c>
      <c r="B64" s="17" t="s">
        <v>125</v>
      </c>
      <c r="C64" s="16">
        <f>+Tabla119[[#This Row],[COSTO +IVA]]/Tabla119[[#This Row],[Columna5]]</f>
        <v>78215.848958333328</v>
      </c>
      <c r="D64" s="16">
        <f>+Tabla119[[#This Row],[PRECIO INSTALLER (CON IVA)]]-Tabla119[[#This Row],[Columna2]]</f>
        <v>74305.05651041666</v>
      </c>
      <c r="E64" s="16">
        <f>+Tabla119[[#This Row],[PRECIO INSTALLER (CON IVA)]]/0.7</f>
        <v>111736.92708333333</v>
      </c>
      <c r="F64" s="16">
        <f>+Tabla119[[#This Row],[PRECIO INSTALLER (CON IVA)]]*5%</f>
        <v>3910.7924479166668</v>
      </c>
      <c r="G64" s="33">
        <v>0.96</v>
      </c>
      <c r="H64" s="14">
        <f>Tabla119[[#This Row],[COSTO]]*1.19</f>
        <v>75087.214999999997</v>
      </c>
      <c r="I64" s="13"/>
      <c r="J64" s="13"/>
      <c r="K64" s="12">
        <v>63098.5</v>
      </c>
    </row>
    <row r="65" spans="1:11" ht="38.25" x14ac:dyDescent="0.2">
      <c r="A65" s="18" t="s">
        <v>186</v>
      </c>
      <c r="B65" s="17" t="s">
        <v>187</v>
      </c>
      <c r="C65" s="16">
        <f>+Tabla119[[#This Row],[COSTO +IVA]]/Tabla119[[#This Row],[Columna5]]</f>
        <v>23681.594999999998</v>
      </c>
      <c r="D65" s="16">
        <f>+Tabla119[[#This Row],[PRECIO INSTALLER (CON IVA)]]-Tabla119[[#This Row],[Columna2]]</f>
        <v>22497.515249999997</v>
      </c>
      <c r="E65" s="16">
        <f>+Tabla119[[#This Row],[PRECIO INSTALLER (CON IVA)]]/0.7</f>
        <v>33830.85</v>
      </c>
      <c r="F65" s="16">
        <f>+Tabla119[[#This Row],[PRECIO INSTALLER (CON IVA)]]*5%</f>
        <v>1184.0797499999999</v>
      </c>
      <c r="G65" s="33">
        <v>1</v>
      </c>
      <c r="H65" s="14">
        <f>Tabla119[[#This Row],[COSTO]]*1.19</f>
        <v>23681.594999999998</v>
      </c>
      <c r="I65" s="13"/>
      <c r="J65" s="13"/>
      <c r="K65" s="12">
        <v>19900.5</v>
      </c>
    </row>
    <row r="66" spans="1:11" x14ac:dyDescent="0.2">
      <c r="A66" s="18" t="s">
        <v>188</v>
      </c>
      <c r="B66" s="17" t="s">
        <v>189</v>
      </c>
      <c r="C66" s="16">
        <f>+Tabla119[[#This Row],[COSTO +IVA]]/Tabla119[[#This Row],[Columna5]]</f>
        <v>41299.611111111109</v>
      </c>
      <c r="D66" s="16">
        <f>+Tabla119[[#This Row],[PRECIO INSTALLER (CON IVA)]]-Tabla119[[#This Row],[Columna2]]</f>
        <v>39234.630555555552</v>
      </c>
      <c r="E66" s="16">
        <f>+Tabla119[[#This Row],[PRECIO INSTALLER (CON IVA)]]/0.7</f>
        <v>58999.444444444445</v>
      </c>
      <c r="F66" s="16">
        <f>+Tabla119[[#This Row],[PRECIO INSTALLER (CON IVA)]]*5%</f>
        <v>2064.9805555555554</v>
      </c>
      <c r="G66" s="15">
        <v>0.9</v>
      </c>
      <c r="H66" s="14">
        <f>Tabla119[[#This Row],[COSTO]]*1.19</f>
        <v>37169.65</v>
      </c>
      <c r="I66" s="13"/>
      <c r="J66" s="13"/>
      <c r="K66" s="12">
        <v>31235</v>
      </c>
    </row>
    <row r="67" spans="1:11" ht="25.5" x14ac:dyDescent="0.2">
      <c r="A67" s="18" t="s">
        <v>190</v>
      </c>
      <c r="B67" s="17" t="s">
        <v>191</v>
      </c>
      <c r="C67" s="16">
        <f>+Tabla119[[#This Row],[COSTO +IVA]]/Tabla119[[#This Row],[Columna5]]</f>
        <v>53711.311111111107</v>
      </c>
      <c r="D67" s="16">
        <f>+Tabla119[[#This Row],[PRECIO INSTALLER (CON IVA)]]-Tabla119[[#This Row],[Columna2]]</f>
        <v>51025.74555555555</v>
      </c>
      <c r="E67" s="16">
        <f>+Tabla119[[#This Row],[PRECIO INSTALLER (CON IVA)]]/0.7</f>
        <v>76730.444444444438</v>
      </c>
      <c r="F67" s="16">
        <f>+Tabla119[[#This Row],[PRECIO INSTALLER (CON IVA)]]*5%</f>
        <v>2685.5655555555554</v>
      </c>
      <c r="G67" s="15">
        <v>0.9</v>
      </c>
      <c r="H67" s="14">
        <f>Tabla119[[#This Row],[COSTO]]*1.19</f>
        <v>48340.18</v>
      </c>
      <c r="I67" s="13"/>
      <c r="J67" s="13"/>
      <c r="K67" s="12">
        <v>40622</v>
      </c>
    </row>
    <row r="68" spans="1:11" ht="25.5" x14ac:dyDescent="0.2">
      <c r="A68" s="18" t="s">
        <v>192</v>
      </c>
      <c r="B68" s="17" t="s">
        <v>193</v>
      </c>
      <c r="C68" s="16">
        <f>+Tabla119[[#This Row],[COSTO +IVA]]/Tabla119[[#This Row],[Columna5]]</f>
        <v>55448.049999999996</v>
      </c>
      <c r="D68" s="16">
        <f>+Tabla119[[#This Row],[PRECIO INSTALLER (CON IVA)]]-Tabla119[[#This Row],[Columna2]]</f>
        <v>52675.647499999992</v>
      </c>
      <c r="E68" s="16">
        <f>+Tabla119[[#This Row],[PRECIO INSTALLER (CON IVA)]]/0.7</f>
        <v>79211.5</v>
      </c>
      <c r="F68" s="16">
        <f>+Tabla119[[#This Row],[PRECIO INSTALLER (CON IVA)]]*5%</f>
        <v>2772.4025000000001</v>
      </c>
      <c r="G68" s="15">
        <v>0.9</v>
      </c>
      <c r="H68" s="14">
        <f>Tabla119[[#This Row],[COSTO]]*1.19</f>
        <v>49903.244999999995</v>
      </c>
      <c r="I68" s="13"/>
      <c r="J68" s="13"/>
      <c r="K68" s="12">
        <v>41935.5</v>
      </c>
    </row>
    <row r="69" spans="1:11" ht="38.25" x14ac:dyDescent="0.2">
      <c r="A69" s="18" t="s">
        <v>17</v>
      </c>
      <c r="B69" s="17" t="s">
        <v>16</v>
      </c>
      <c r="C69" s="16">
        <f>+Tabla119[[#This Row],[COSTO +IVA]]/Tabla119[[#This Row],[Columna5]]</f>
        <v>37052.385416666672</v>
      </c>
      <c r="D69" s="16">
        <f>+Tabla119[[#This Row],[PRECIO INSTALLER (CON IVA)]]-Tabla119[[#This Row],[Columna2]]</f>
        <v>35199.766145833339</v>
      </c>
      <c r="E69" s="16">
        <f>+Tabla119[[#This Row],[PRECIO INSTALLER (CON IVA)]]/0.7</f>
        <v>52931.979166666679</v>
      </c>
      <c r="F69" s="16">
        <f>+Tabla119[[#This Row],[PRECIO INSTALLER (CON IVA)]]*5%</f>
        <v>1852.6192708333338</v>
      </c>
      <c r="G69" s="33">
        <v>0.96</v>
      </c>
      <c r="H69" s="14">
        <f>Tabla119[[#This Row],[COSTO]]*1.19</f>
        <v>35570.29</v>
      </c>
      <c r="I69" s="13"/>
      <c r="J69" s="13"/>
      <c r="K69" s="12">
        <v>29891</v>
      </c>
    </row>
    <row r="70" spans="1:11" ht="38.25" x14ac:dyDescent="0.2">
      <c r="A70" s="18" t="s">
        <v>120</v>
      </c>
      <c r="B70" s="17" t="s">
        <v>119</v>
      </c>
      <c r="C70" s="16">
        <f>+Tabla119[[#This Row],[COSTO +IVA]]/Tabla119[[#This Row],[Columna5]]</f>
        <v>48871.192708333336</v>
      </c>
      <c r="D70" s="16">
        <f>+Tabla119[[#This Row],[PRECIO INSTALLER (CON IVA)]]-Tabla119[[#This Row],[Columna2]]</f>
        <v>46427.633072916666</v>
      </c>
      <c r="E70" s="16">
        <f>+Tabla119[[#This Row],[PRECIO INSTALLER (CON IVA)]]/0.7</f>
        <v>69815.989583333343</v>
      </c>
      <c r="F70" s="16">
        <f>+Tabla119[[#This Row],[PRECIO INSTALLER (CON IVA)]]*5%</f>
        <v>2443.5596354166669</v>
      </c>
      <c r="G70" s="33">
        <v>0.96</v>
      </c>
      <c r="H70" s="14">
        <f>Tabla119[[#This Row],[COSTO]]*1.19</f>
        <v>46916.345000000001</v>
      </c>
      <c r="I70" s="13"/>
      <c r="J70" s="13"/>
      <c r="K70" s="12">
        <v>39425.5</v>
      </c>
    </row>
    <row r="71" spans="1:11" ht="38.25" x14ac:dyDescent="0.2">
      <c r="A71" s="18" t="s">
        <v>124</v>
      </c>
      <c r="B71" s="17" t="s">
        <v>123</v>
      </c>
      <c r="C71" s="16">
        <f>+Tabla119[[#This Row],[COSTO +IVA]]/Tabla119[[#This Row],[Columna5]]</f>
        <v>65510.71428571429</v>
      </c>
      <c r="D71" s="16">
        <f>+Tabla119[[#This Row],[PRECIO INSTALLER (CON IVA)]]-Tabla119[[#This Row],[Columna2]]</f>
        <v>62235.178571428572</v>
      </c>
      <c r="E71" s="16">
        <f>+Tabla119[[#This Row],[PRECIO INSTALLER (CON IVA)]]/0.7</f>
        <v>93586.734693877559</v>
      </c>
      <c r="F71" s="16">
        <f>+Tabla119[[#This Row],[PRECIO INSTALLER (CON IVA)]]*5%</f>
        <v>3275.5357142857147</v>
      </c>
      <c r="G71" s="33">
        <v>0.98</v>
      </c>
      <c r="H71" s="14">
        <f>Tabla119[[#This Row],[COSTO]]*1.19</f>
        <v>64200.5</v>
      </c>
      <c r="I71" s="13"/>
      <c r="J71" s="13"/>
      <c r="K71" s="12">
        <v>53950</v>
      </c>
    </row>
    <row r="72" spans="1:11" ht="38.25" x14ac:dyDescent="0.2">
      <c r="A72" s="18" t="s">
        <v>36</v>
      </c>
      <c r="B72" s="17" t="s">
        <v>194</v>
      </c>
      <c r="C72" s="16">
        <f>+Tabla119[[#This Row],[COSTO +IVA]]/Tabla119[[#This Row],[Columna5]]</f>
        <v>74255.392857142855</v>
      </c>
      <c r="D72" s="16">
        <f>+Tabla119[[#This Row],[PRECIO INSTALLER (CON IVA)]]-Tabla119[[#This Row],[Columna2]]</f>
        <v>70542.623214285719</v>
      </c>
      <c r="E72" s="16">
        <f>+Tabla119[[#This Row],[PRECIO INSTALLER (CON IVA)]]/0.7</f>
        <v>106079.13265306123</v>
      </c>
      <c r="F72" s="16">
        <f>+Tabla119[[#This Row],[PRECIO INSTALLER (CON IVA)]]*5%</f>
        <v>3712.769642857143</v>
      </c>
      <c r="G72" s="33">
        <v>0.98</v>
      </c>
      <c r="H72" s="14">
        <f>Tabla119[[#This Row],[COSTO]]*1.19</f>
        <v>72770.285000000003</v>
      </c>
      <c r="I72" s="13"/>
      <c r="J72" s="13"/>
      <c r="K72" s="12">
        <v>61151.5</v>
      </c>
    </row>
    <row r="73" spans="1:11" ht="51" x14ac:dyDescent="0.2">
      <c r="A73" s="18" t="s">
        <v>5</v>
      </c>
      <c r="B73" s="17" t="s">
        <v>4</v>
      </c>
      <c r="C73" s="16">
        <f>+Tabla119[[#This Row],[COSTO +IVA]]/Tabla119[[#This Row],[Columna5]]</f>
        <v>14152.074999999999</v>
      </c>
      <c r="D73" s="16">
        <f>+Tabla119[[#This Row],[PRECIO INSTALLER (CON IVA)]]-Tabla119[[#This Row],[Columna2]]</f>
        <v>13444.471249999999</v>
      </c>
      <c r="E73" s="16">
        <f>+Tabla119[[#This Row],[PRECIO INSTALLER (CON IVA)]]/0.7</f>
        <v>20217.25</v>
      </c>
      <c r="F73" s="16">
        <f>+Tabla119[[#This Row],[PRECIO INSTALLER (CON IVA)]]*5%</f>
        <v>707.60374999999999</v>
      </c>
      <c r="G73" s="33">
        <v>1</v>
      </c>
      <c r="H73" s="14">
        <f>Tabla119[[#This Row],[COSTO]]*1.19</f>
        <v>14152.074999999999</v>
      </c>
      <c r="I73" s="13"/>
      <c r="J73" s="13"/>
      <c r="K73" s="12">
        <v>11892.5</v>
      </c>
    </row>
    <row r="74" spans="1:11" ht="38.25" x14ac:dyDescent="0.2">
      <c r="A74" s="18" t="s">
        <v>13</v>
      </c>
      <c r="B74" s="17" t="s">
        <v>12</v>
      </c>
      <c r="C74" s="16">
        <f>+Tabla119[[#This Row],[COSTO +IVA]]/Tabla119[[#This Row],[Columna5]]</f>
        <v>24646.684999999998</v>
      </c>
      <c r="D74" s="16">
        <f>+Tabla119[[#This Row],[PRECIO INSTALLER (CON IVA)]]-Tabla119[[#This Row],[Columna2]]</f>
        <v>23414.350749999998</v>
      </c>
      <c r="E74" s="16">
        <f>+Tabla119[[#This Row],[PRECIO INSTALLER (CON IVA)]]/0.7</f>
        <v>35209.549999999996</v>
      </c>
      <c r="F74" s="16">
        <f>+Tabla119[[#This Row],[PRECIO INSTALLER (CON IVA)]]*5%</f>
        <v>1232.3342499999999</v>
      </c>
      <c r="G74" s="33">
        <v>1</v>
      </c>
      <c r="H74" s="14">
        <f>Tabla119[[#This Row],[COSTO]]*1.19</f>
        <v>24646.684999999998</v>
      </c>
      <c r="I74" s="13"/>
      <c r="J74" s="13"/>
      <c r="K74" s="12">
        <v>20711.5</v>
      </c>
    </row>
    <row r="75" spans="1:11" ht="63.75" x14ac:dyDescent="0.2">
      <c r="A75" s="18" t="s">
        <v>195</v>
      </c>
      <c r="B75" s="17" t="s">
        <v>196</v>
      </c>
      <c r="C75" s="16">
        <f>+Tabla119[[#This Row],[COSTO +IVA]]/Tabla119[[#This Row],[Columna5]]</f>
        <v>3512644.6444444442</v>
      </c>
      <c r="D75" s="16">
        <f>+Tabla119[[#This Row],[PRECIO INSTALLER (CON IVA)]]-Tabla119[[#This Row],[Columna2]]</f>
        <v>3337012.412222222</v>
      </c>
      <c r="E75" s="16">
        <f>+Tabla119[[#This Row],[PRECIO INSTALLER (CON IVA)]]/0.7</f>
        <v>5018063.777777778</v>
      </c>
      <c r="F75" s="16">
        <f>+Tabla119[[#This Row],[PRECIO INSTALLER (CON IVA)]]*5%</f>
        <v>175632.23222222223</v>
      </c>
      <c r="G75" s="15">
        <v>0.9</v>
      </c>
      <c r="H75" s="14">
        <f>Tabla119[[#This Row],[COSTO]]*1.19</f>
        <v>3161380.1799999997</v>
      </c>
      <c r="I75" s="13"/>
      <c r="J75" s="13"/>
      <c r="K75" s="12">
        <v>2656622</v>
      </c>
    </row>
    <row r="76" spans="1:11" ht="38.25" x14ac:dyDescent="0.2">
      <c r="A76" s="18" t="s">
        <v>97</v>
      </c>
      <c r="B76" s="11" t="s">
        <v>197</v>
      </c>
      <c r="C76" s="10">
        <f>+Tabla119[[#This Row],[COSTO +IVA]]/Tabla119[[#This Row],[Columna5]]</f>
        <v>651.52499999999998</v>
      </c>
      <c r="D76" s="10">
        <f>+Tabla119[[#This Row],[PRECIO INSTALLER (CON IVA)]]-Tabla119[[#This Row],[Columna2]]</f>
        <v>618.94875000000002</v>
      </c>
      <c r="E76" s="10">
        <f>+Tabla119[[#This Row],[PRECIO INSTALLER (CON IVA)]]/0.7</f>
        <v>930.75</v>
      </c>
      <c r="F76" s="10">
        <f>+Tabla119[[#This Row],[PRECIO INSTALLER (CON IVA)]]*5%</f>
        <v>32.576250000000002</v>
      </c>
      <c r="G76" s="39">
        <v>1</v>
      </c>
      <c r="H76" s="9">
        <f>Tabla119[[#This Row],[COSTO]]*1.19</f>
        <v>651.52499999999998</v>
      </c>
      <c r="I76" s="8"/>
      <c r="J76" s="8"/>
      <c r="K76" s="7">
        <v>547.5</v>
      </c>
    </row>
    <row r="77" spans="1:11" ht="38.25" x14ac:dyDescent="0.2">
      <c r="A77" s="18" t="s">
        <v>3</v>
      </c>
      <c r="B77" s="17" t="s">
        <v>2</v>
      </c>
      <c r="C77" s="16">
        <f>+Tabla119[[#This Row],[COSTO +IVA]]/Tabla119[[#This Row],[Columna5]]</f>
        <v>779.44999999999993</v>
      </c>
      <c r="D77" s="16">
        <f>+Tabla119[[#This Row],[PRECIO INSTALLER (CON IVA)]]-Tabla119[[#This Row],[Columna2]]</f>
        <v>740.47749999999996</v>
      </c>
      <c r="E77" s="16">
        <f>+Tabla119[[#This Row],[PRECIO INSTALLER (CON IVA)]]/0.7</f>
        <v>1113.5</v>
      </c>
      <c r="F77" s="16">
        <f>+Tabla119[[#This Row],[PRECIO INSTALLER (CON IVA)]]*5%</f>
        <v>38.972499999999997</v>
      </c>
      <c r="G77" s="36">
        <v>1</v>
      </c>
      <c r="H77" s="31">
        <f>Tabla119[[#This Row],[COSTO]]*1.19</f>
        <v>779.44999999999993</v>
      </c>
      <c r="I77" s="20"/>
      <c r="J77" s="20"/>
      <c r="K77" s="32">
        <v>655</v>
      </c>
    </row>
    <row r="78" spans="1:11" ht="38.25" x14ac:dyDescent="0.2">
      <c r="A78" s="18" t="s">
        <v>99</v>
      </c>
      <c r="B78" s="17" t="s">
        <v>198</v>
      </c>
      <c r="C78" s="16">
        <f>+Tabla119[[#This Row],[COSTO +IVA]]/Tabla119[[#This Row],[Columna5]]</f>
        <v>2414</v>
      </c>
      <c r="D78" s="16">
        <f>+Tabla119[[#This Row],[PRECIO INSTALLER (CON IVA)]]-Tabla119[[#This Row],[Columna2]]</f>
        <v>2293.3000000000002</v>
      </c>
      <c r="E78" s="16">
        <f>+Tabla119[[#This Row],[PRECIO INSTALLER (CON IVA)]]/0.7</f>
        <v>3448.5714285714289</v>
      </c>
      <c r="F78" s="16">
        <f>+Tabla119[[#This Row],[PRECIO INSTALLER (CON IVA)]]*5%</f>
        <v>120.7</v>
      </c>
      <c r="G78" s="36">
        <v>0.98</v>
      </c>
      <c r="H78" s="31">
        <f>Tabla119[[#This Row],[COSTO]]*1.19</f>
        <v>2365.7199999999998</v>
      </c>
      <c r="I78" s="20"/>
      <c r="J78" s="20"/>
      <c r="K78" s="32">
        <v>1988</v>
      </c>
    </row>
    <row r="79" spans="1:11" ht="25.5" x14ac:dyDescent="0.2">
      <c r="A79" s="18" t="s">
        <v>9</v>
      </c>
      <c r="B79" s="17" t="s">
        <v>8</v>
      </c>
      <c r="C79" s="16">
        <f>+Tabla119[[#This Row],[COSTO +IVA]]/Tabla119[[#This Row],[Columna5]]</f>
        <v>4612.4642857142862</v>
      </c>
      <c r="D79" s="16">
        <f>+Tabla119[[#This Row],[PRECIO INSTALLER (CON IVA)]]-Tabla119[[#This Row],[Columna2]]</f>
        <v>4381.8410714285719</v>
      </c>
      <c r="E79" s="16">
        <f>+Tabla119[[#This Row],[PRECIO INSTALLER (CON IVA)]]/0.7</f>
        <v>6589.2346938775518</v>
      </c>
      <c r="F79" s="16">
        <f>+Tabla119[[#This Row],[PRECIO INSTALLER (CON IVA)]]*5%</f>
        <v>230.62321428571431</v>
      </c>
      <c r="G79" s="36">
        <v>0.98</v>
      </c>
      <c r="H79" s="31">
        <f>Tabla119[[#This Row],[COSTO]]*1.19</f>
        <v>4520.2150000000001</v>
      </c>
      <c r="I79" s="20"/>
      <c r="J79" s="20"/>
      <c r="K79" s="32">
        <v>3798.5</v>
      </c>
    </row>
    <row r="80" spans="1:11" ht="25.5" x14ac:dyDescent="0.2">
      <c r="A80" s="18" t="s">
        <v>199</v>
      </c>
      <c r="B80" s="17" t="s">
        <v>200</v>
      </c>
      <c r="C80" s="16">
        <f>+Tabla119[[#This Row],[COSTO +IVA]]/Tabla119[[#This Row],[Columna5]]</f>
        <v>651.52499999999998</v>
      </c>
      <c r="D80" s="16">
        <f>+Tabla119[[#This Row],[PRECIO INSTALLER (CON IVA)]]-Tabla119[[#This Row],[Columna2]]</f>
        <v>618.94875000000002</v>
      </c>
      <c r="E80" s="16">
        <f>+Tabla119[[#This Row],[PRECIO INSTALLER (CON IVA)]]/0.7</f>
        <v>930.75</v>
      </c>
      <c r="F80" s="16">
        <f>+Tabla119[[#This Row],[PRECIO INSTALLER (CON IVA)]]*5%</f>
        <v>32.576250000000002</v>
      </c>
      <c r="G80" s="36">
        <v>1</v>
      </c>
      <c r="H80" s="31">
        <f>Tabla119[[#This Row],[COSTO]]*1.19</f>
        <v>651.52499999999998</v>
      </c>
      <c r="I80" s="20"/>
      <c r="J80" s="20"/>
      <c r="K80" s="32">
        <v>547.5</v>
      </c>
    </row>
    <row r="81" spans="1:11" ht="25.5" x14ac:dyDescent="0.2">
      <c r="A81" s="18" t="s">
        <v>201</v>
      </c>
      <c r="B81" s="17" t="s">
        <v>102</v>
      </c>
      <c r="C81" s="16">
        <f>+Tabla119[[#This Row],[COSTO +IVA]]/Tabla119[[#This Row],[Columna5]]</f>
        <v>3460.7142857142858</v>
      </c>
      <c r="D81" s="16">
        <f>+Tabla119[[#This Row],[PRECIO INSTALLER (CON IVA)]]-Tabla119[[#This Row],[Columna2]]</f>
        <v>3287.6785714285716</v>
      </c>
      <c r="E81" s="16">
        <f>+Tabla119[[#This Row],[PRECIO INSTALLER (CON IVA)]]/0.7</f>
        <v>4943.8775510204086</v>
      </c>
      <c r="F81" s="16">
        <f>+Tabla119[[#This Row],[PRECIO INSTALLER (CON IVA)]]*5%</f>
        <v>173.03571428571431</v>
      </c>
      <c r="G81" s="36">
        <v>0.98</v>
      </c>
      <c r="H81" s="31">
        <f>Tabla119[[#This Row],[COSTO]]*1.19</f>
        <v>3391.5</v>
      </c>
      <c r="I81" s="20"/>
      <c r="J81" s="20"/>
      <c r="K81" s="32">
        <v>2850</v>
      </c>
    </row>
    <row r="82" spans="1:11" ht="25.5" x14ac:dyDescent="0.2">
      <c r="A82" s="18" t="s">
        <v>11</v>
      </c>
      <c r="B82" s="17" t="s">
        <v>10</v>
      </c>
      <c r="C82" s="16">
        <f>+Tabla119[[#This Row],[COSTO +IVA]]/Tabla119[[#This Row],[Columna5]]</f>
        <v>4686.5357142857138</v>
      </c>
      <c r="D82" s="16">
        <f>+Tabla119[[#This Row],[PRECIO INSTALLER (CON IVA)]]-Tabla119[[#This Row],[Columna2]]</f>
        <v>4452.2089285714283</v>
      </c>
      <c r="E82" s="16">
        <f>+Tabla119[[#This Row],[PRECIO INSTALLER (CON IVA)]]/0.7</f>
        <v>6695.0510204081629</v>
      </c>
      <c r="F82" s="16">
        <f>+Tabla119[[#This Row],[PRECIO INSTALLER (CON IVA)]]*5%</f>
        <v>234.32678571428571</v>
      </c>
      <c r="G82" s="36">
        <v>0.98</v>
      </c>
      <c r="H82" s="31">
        <f>Tabla119[[#This Row],[COSTO]]*1.19</f>
        <v>4592.8049999999994</v>
      </c>
      <c r="I82" s="20"/>
      <c r="J82" s="20"/>
      <c r="K82" s="32">
        <v>3859.5</v>
      </c>
    </row>
    <row r="83" spans="1:11" ht="38.25" x14ac:dyDescent="0.2">
      <c r="A83" s="18" t="s">
        <v>202</v>
      </c>
      <c r="B83" s="17" t="s">
        <v>203</v>
      </c>
      <c r="C83" s="16">
        <f>+Tabla119[[#This Row],[COSTO +IVA]]/Tabla119[[#This Row],[Columna5]]</f>
        <v>261328.62777777776</v>
      </c>
      <c r="D83" s="16">
        <f>+Tabla119[[#This Row],[PRECIO INSTALLER (CON IVA)]]-Tabla119[[#This Row],[Columna2]]</f>
        <v>248262.19638888887</v>
      </c>
      <c r="E83" s="16">
        <f>+Tabla119[[#This Row],[PRECIO INSTALLER (CON IVA)]]/0.7</f>
        <v>373326.61111111112</v>
      </c>
      <c r="F83" s="16">
        <f>+Tabla119[[#This Row],[PRECIO INSTALLER (CON IVA)]]*5%</f>
        <v>13066.431388888888</v>
      </c>
      <c r="G83" s="35">
        <v>0.9</v>
      </c>
      <c r="H83" s="31">
        <f>Tabla119[[#This Row],[COSTO]]*1.19</f>
        <v>235195.76499999998</v>
      </c>
      <c r="I83" s="20"/>
      <c r="J83" s="20"/>
      <c r="K83" s="32">
        <v>197643.5</v>
      </c>
    </row>
    <row r="84" spans="1:11" ht="51" x14ac:dyDescent="0.2">
      <c r="A84" s="18" t="s">
        <v>204</v>
      </c>
      <c r="B84" s="17" t="s">
        <v>205</v>
      </c>
      <c r="C84" s="16">
        <f>+Tabla119[[#This Row],[COSTO +IVA]]/Tabla119[[#This Row],[Columna5]]</f>
        <v>13647991.661111109</v>
      </c>
      <c r="D84" s="16">
        <f>+Tabla119[[#This Row],[PRECIO INSTALLER (CON IVA)]]-Tabla119[[#This Row],[Columna2]]</f>
        <v>12965592.078055553</v>
      </c>
      <c r="E84" s="16">
        <f>+Tabla119[[#This Row],[PRECIO INSTALLER (CON IVA)]]/0.7</f>
        <v>19497130.944444444</v>
      </c>
      <c r="F84" s="16">
        <f>+Tabla119[[#This Row],[PRECIO INSTALLER (CON IVA)]]*5%</f>
        <v>682399.58305555547</v>
      </c>
      <c r="G84" s="35">
        <v>0.9</v>
      </c>
      <c r="H84" s="31">
        <f>Tabla119[[#This Row],[COSTO]]*1.19</f>
        <v>12283192.494999999</v>
      </c>
      <c r="I84" s="20"/>
      <c r="J84" s="20"/>
      <c r="K84" s="32">
        <v>10322010.5</v>
      </c>
    </row>
    <row r="85" spans="1:11" ht="25.5" x14ac:dyDescent="0.2">
      <c r="A85" s="18" t="s">
        <v>7</v>
      </c>
      <c r="B85" s="17" t="s">
        <v>6</v>
      </c>
      <c r="C85" s="16">
        <f>+Tabla119[[#This Row],[COSTO +IVA]]/Tabla119[[#This Row],[Columna5]]</f>
        <v>2970.3722222222223</v>
      </c>
      <c r="D85" s="16">
        <f>+Tabla119[[#This Row],[PRECIO INSTALLER (CON IVA)]]-Tabla119[[#This Row],[Columna2]]</f>
        <v>2821.8536111111111</v>
      </c>
      <c r="E85" s="16">
        <f>+Tabla119[[#This Row],[PRECIO INSTALLER (CON IVA)]]/0.7</f>
        <v>4243.3888888888896</v>
      </c>
      <c r="F85" s="16">
        <f>+Tabla119[[#This Row],[PRECIO INSTALLER (CON IVA)]]*5%</f>
        <v>148.51861111111111</v>
      </c>
      <c r="G85" s="36">
        <v>0.9</v>
      </c>
      <c r="H85" s="31">
        <f>Tabla119[[#This Row],[COSTO]]*1.19</f>
        <v>2673.335</v>
      </c>
      <c r="I85" s="20"/>
      <c r="J85" s="20"/>
      <c r="K85" s="32">
        <v>2246.5</v>
      </c>
    </row>
    <row r="86" spans="1:11" ht="25.5" x14ac:dyDescent="0.2">
      <c r="A86" s="18" t="s">
        <v>206</v>
      </c>
      <c r="B86" s="17" t="s">
        <v>207</v>
      </c>
      <c r="C86" s="16">
        <f>+Tabla119[[#This Row],[COSTO +IVA]]/Tabla119[[#This Row],[Columna5]]</f>
        <v>44726.149999999994</v>
      </c>
      <c r="D86" s="16">
        <f>+Tabla119[[#This Row],[PRECIO INSTALLER (CON IVA)]]-Tabla119[[#This Row],[Columna2]]</f>
        <v>42489.842499999992</v>
      </c>
      <c r="E86" s="16">
        <f>+Tabla119[[#This Row],[PRECIO INSTALLER (CON IVA)]]/0.7</f>
        <v>63894.499999999993</v>
      </c>
      <c r="F86" s="16">
        <f>+Tabla119[[#This Row],[PRECIO INSTALLER (CON IVA)]]*5%</f>
        <v>2236.3074999999999</v>
      </c>
      <c r="G86" s="36">
        <v>0.9</v>
      </c>
      <c r="H86" s="31">
        <f>Tabla119[[#This Row],[COSTO]]*1.19</f>
        <v>40253.534999999996</v>
      </c>
      <c r="I86" s="20"/>
      <c r="J86" s="20"/>
      <c r="K86" s="32">
        <v>33826.5</v>
      </c>
    </row>
    <row r="87" spans="1:11" ht="25.5" x14ac:dyDescent="0.2">
      <c r="A87" s="18" t="s">
        <v>23</v>
      </c>
      <c r="B87" s="17" t="s">
        <v>22</v>
      </c>
      <c r="C87" s="16">
        <f>+Tabla119[[#This Row],[COSTO +IVA]]/Tabla119[[#This Row],[Columna5]]</f>
        <v>48460.766666666663</v>
      </c>
      <c r="D87" s="16">
        <f>+Tabla119[[#This Row],[PRECIO INSTALLER (CON IVA)]]-Tabla119[[#This Row],[Columna2]]</f>
        <v>46037.728333333333</v>
      </c>
      <c r="E87" s="16">
        <f>+Tabla119[[#This Row],[PRECIO INSTALLER (CON IVA)]]/0.7</f>
        <v>69229.666666666672</v>
      </c>
      <c r="F87" s="16">
        <f>+Tabla119[[#This Row],[PRECIO INSTALLER (CON IVA)]]*5%</f>
        <v>2423.0383333333334</v>
      </c>
      <c r="G87" s="35">
        <v>0.9</v>
      </c>
      <c r="H87" s="31">
        <f>Tabla119[[#This Row],[COSTO]]*1.19</f>
        <v>43614.689999999995</v>
      </c>
      <c r="I87" s="20"/>
      <c r="J87" s="20"/>
      <c r="K87" s="32">
        <v>36651</v>
      </c>
    </row>
    <row r="88" spans="1:11" ht="25.5" x14ac:dyDescent="0.2">
      <c r="A88" s="18" t="s">
        <v>31</v>
      </c>
      <c r="B88" s="17" t="s">
        <v>30</v>
      </c>
      <c r="C88" s="16">
        <f>+Tabla119[[#This Row],[COSTO +IVA]]/Tabla119[[#This Row],[Columna5]]</f>
        <v>70079.761111111104</v>
      </c>
      <c r="D88" s="16">
        <f>+Tabla119[[#This Row],[PRECIO INSTALLER (CON IVA)]]-Tabla119[[#This Row],[Columna2]]</f>
        <v>66575.773055555546</v>
      </c>
      <c r="E88" s="16">
        <f>+Tabla119[[#This Row],[PRECIO INSTALLER (CON IVA)]]/0.7</f>
        <v>100113.94444444444</v>
      </c>
      <c r="F88" s="16">
        <f>+Tabla119[[#This Row],[PRECIO INSTALLER (CON IVA)]]*5%</f>
        <v>3503.9880555555555</v>
      </c>
      <c r="G88" s="36">
        <v>0.9</v>
      </c>
      <c r="H88" s="31">
        <f>Tabla119[[#This Row],[COSTO]]*1.19</f>
        <v>63071.784999999996</v>
      </c>
      <c r="I88" s="20"/>
      <c r="J88" s="20"/>
      <c r="K88" s="32">
        <v>53001.5</v>
      </c>
    </row>
    <row r="89" spans="1:11" ht="38.25" x14ac:dyDescent="0.2">
      <c r="A89" s="18" t="s">
        <v>208</v>
      </c>
      <c r="B89" s="17" t="s">
        <v>209</v>
      </c>
      <c r="C89" s="16">
        <f>+Tabla119[[#This Row],[COSTO +IVA]]/Tabla119[[#This Row],[Columna5]]</f>
        <v>7282743.1444444442</v>
      </c>
      <c r="D89" s="16">
        <f>+Tabla119[[#This Row],[PRECIO INSTALLER (CON IVA)]]-Tabla119[[#This Row],[Columna2]]</f>
        <v>6918605.9872222217</v>
      </c>
      <c r="E89" s="16">
        <f>+Tabla119[[#This Row],[PRECIO INSTALLER (CON IVA)]]/0.7</f>
        <v>10403918.777777778</v>
      </c>
      <c r="F89" s="16">
        <f>+Tabla119[[#This Row],[PRECIO INSTALLER (CON IVA)]]*5%</f>
        <v>364137.15722222225</v>
      </c>
      <c r="G89" s="36">
        <v>0.9</v>
      </c>
      <c r="H89" s="31">
        <f>Tabla119[[#This Row],[COSTO]]*1.19</f>
        <v>6554468.8300000001</v>
      </c>
      <c r="I89" s="20"/>
      <c r="J89" s="20"/>
      <c r="K89" s="32">
        <v>5507957</v>
      </c>
    </row>
    <row r="90" spans="1:11" ht="38.25" x14ac:dyDescent="0.2">
      <c r="A90" s="18" t="s">
        <v>210</v>
      </c>
      <c r="B90" s="17" t="s">
        <v>211</v>
      </c>
      <c r="C90" s="16">
        <f>+Tabla119[[#This Row],[COSTO +IVA]]/Tabla119[[#This Row],[Columna5]]</f>
        <v>3475219.0591397844</v>
      </c>
      <c r="D90" s="16">
        <f>+Tabla119[[#This Row],[PRECIO INSTALLER (CON IVA)]]-Tabla119[[#This Row],[Columna2]]</f>
        <v>3301458.106182795</v>
      </c>
      <c r="E90" s="16">
        <f>+Tabla119[[#This Row],[PRECIO INSTALLER (CON IVA)]]/0.7</f>
        <v>4964598.6559139779</v>
      </c>
      <c r="F90" s="16">
        <f>+Tabla119[[#This Row],[PRECIO INSTALLER (CON IVA)]]*5%</f>
        <v>173760.95295698923</v>
      </c>
      <c r="G90" s="36">
        <v>0.93</v>
      </c>
      <c r="H90" s="31">
        <f>Tabla119[[#This Row],[COSTO]]*1.19</f>
        <v>3231953.7249999996</v>
      </c>
      <c r="I90" s="20"/>
      <c r="J90" s="20"/>
      <c r="K90" s="32">
        <v>2715927.5</v>
      </c>
    </row>
    <row r="91" spans="1:11" ht="38.25" x14ac:dyDescent="0.2">
      <c r="A91" s="18" t="s">
        <v>212</v>
      </c>
      <c r="B91" s="17" t="s">
        <v>213</v>
      </c>
      <c r="C91" s="16">
        <f>+Tabla119[[#This Row],[COSTO +IVA]]/Tabla119[[#This Row],[Columna5]]</f>
        <v>3918092.1888888883</v>
      </c>
      <c r="D91" s="16">
        <f>+Tabla119[[#This Row],[PRECIO INSTALLER (CON IVA)]]-Tabla119[[#This Row],[Columna2]]</f>
        <v>3722187.5794444438</v>
      </c>
      <c r="E91" s="16">
        <f>+Tabla119[[#This Row],[PRECIO INSTALLER (CON IVA)]]/0.7</f>
        <v>5597274.555555555</v>
      </c>
      <c r="F91" s="16">
        <f>+Tabla119[[#This Row],[PRECIO INSTALLER (CON IVA)]]*5%</f>
        <v>195904.60944444442</v>
      </c>
      <c r="G91" s="35">
        <v>0.9</v>
      </c>
      <c r="H91" s="31">
        <f>Tabla119[[#This Row],[COSTO]]*1.19</f>
        <v>3526282.9699999997</v>
      </c>
      <c r="I91" s="20"/>
      <c r="J91" s="20"/>
      <c r="K91" s="32">
        <v>2963263</v>
      </c>
    </row>
    <row r="92" spans="1:11" ht="76.5" x14ac:dyDescent="0.2">
      <c r="A92" s="18" t="s">
        <v>214</v>
      </c>
      <c r="B92" s="17" t="s">
        <v>215</v>
      </c>
      <c r="C92" s="16">
        <f>+Tabla119[[#This Row],[COSTO +IVA]]/Tabla119[[#This Row],[Columna5]]</f>
        <v>1646663.1611111111</v>
      </c>
      <c r="D92" s="16">
        <f>+Tabla119[[#This Row],[PRECIO INSTALLER (CON IVA)]]-Tabla119[[#This Row],[Columna2]]</f>
        <v>1564330.0030555555</v>
      </c>
      <c r="E92" s="16">
        <f>+Tabla119[[#This Row],[PRECIO INSTALLER (CON IVA)]]/0.7</f>
        <v>2352375.9444444445</v>
      </c>
      <c r="F92" s="16">
        <f>+Tabla119[[#This Row],[PRECIO INSTALLER (CON IVA)]]*5%</f>
        <v>82333.158055555556</v>
      </c>
      <c r="G92" s="35">
        <v>0.9</v>
      </c>
      <c r="H92" s="31">
        <f>Tabla119[[#This Row],[COSTO]]*1.19</f>
        <v>1481996.845</v>
      </c>
      <c r="I92" s="20"/>
      <c r="J92" s="20"/>
      <c r="K92" s="32">
        <v>1245375.5</v>
      </c>
    </row>
    <row r="93" spans="1:11" ht="38.25" x14ac:dyDescent="0.2">
      <c r="A93" s="18" t="s">
        <v>216</v>
      </c>
      <c r="B93" s="17" t="s">
        <v>217</v>
      </c>
      <c r="C93" s="16">
        <f>+Tabla119[[#This Row],[COSTO +IVA]]/Tabla119[[#This Row],[Columna5]]</f>
        <v>2281364.2055555554</v>
      </c>
      <c r="D93" s="16">
        <f>+Tabla119[[#This Row],[PRECIO INSTALLER (CON IVA)]]-Tabla119[[#This Row],[Columna2]]</f>
        <v>2167295.9952777778</v>
      </c>
      <c r="E93" s="16">
        <f>+Tabla119[[#This Row],[PRECIO INSTALLER (CON IVA)]]/0.7</f>
        <v>3259091.722222222</v>
      </c>
      <c r="F93" s="16">
        <f>+Tabla119[[#This Row],[PRECIO INSTALLER (CON IVA)]]*5%</f>
        <v>114068.21027777778</v>
      </c>
      <c r="G93" s="36">
        <v>0.9</v>
      </c>
      <c r="H93" s="31">
        <f>Tabla119[[#This Row],[COSTO]]*1.19</f>
        <v>2053227.7849999999</v>
      </c>
      <c r="I93" s="20"/>
      <c r="J93" s="20"/>
      <c r="K93" s="32">
        <v>1725401.5</v>
      </c>
    </row>
    <row r="94" spans="1:11" ht="38.25" x14ac:dyDescent="0.2">
      <c r="A94" s="18" t="s">
        <v>218</v>
      </c>
      <c r="B94" s="17" t="s">
        <v>217</v>
      </c>
      <c r="C94" s="16">
        <f>+Tabla119[[#This Row],[COSTO +IVA]]/Tabla119[[#This Row],[Columna5]]</f>
        <v>2804430.6888888888</v>
      </c>
      <c r="D94" s="16">
        <f>+Tabla119[[#This Row],[PRECIO INSTALLER (CON IVA)]]-Tabla119[[#This Row],[Columna2]]</f>
        <v>2664209.1544444445</v>
      </c>
      <c r="E94" s="16">
        <f>+Tabla119[[#This Row],[PRECIO INSTALLER (CON IVA)]]/0.7</f>
        <v>4006329.5555555555</v>
      </c>
      <c r="F94" s="16">
        <f>+Tabla119[[#This Row],[PRECIO INSTALLER (CON IVA)]]*5%</f>
        <v>140221.53444444443</v>
      </c>
      <c r="G94" s="36">
        <v>0.9</v>
      </c>
      <c r="H94" s="31">
        <f>Tabla119[[#This Row],[COSTO]]*1.19</f>
        <v>2523987.62</v>
      </c>
      <c r="I94" s="20"/>
      <c r="J94" s="20"/>
      <c r="K94" s="32">
        <v>2120998</v>
      </c>
    </row>
    <row r="95" spans="1:11" ht="38.25" x14ac:dyDescent="0.2">
      <c r="A95" s="18" t="s">
        <v>219</v>
      </c>
      <c r="B95" s="17" t="s">
        <v>220</v>
      </c>
      <c r="C95" s="16">
        <f>+Tabla119[[#This Row],[COSTO +IVA]]/Tabla119[[#This Row],[Columna5]]</f>
        <v>4685905.2258064505</v>
      </c>
      <c r="D95" s="16">
        <f>+Tabla119[[#This Row],[PRECIO INSTALLER (CON IVA)]]-Tabla119[[#This Row],[Columna2]]</f>
        <v>4451609.9645161275</v>
      </c>
      <c r="E95" s="16">
        <f>+Tabla119[[#This Row],[PRECIO INSTALLER (CON IVA)]]/0.7</f>
        <v>6694150.3225806439</v>
      </c>
      <c r="F95" s="16">
        <f>+Tabla119[[#This Row],[PRECIO INSTALLER (CON IVA)]]*5%</f>
        <v>234295.26129032252</v>
      </c>
      <c r="G95" s="36">
        <v>0.93</v>
      </c>
      <c r="H95" s="31">
        <f>Tabla119[[#This Row],[COSTO]]*1.19</f>
        <v>4357891.8599999994</v>
      </c>
      <c r="I95" s="20"/>
      <c r="J95" s="20"/>
      <c r="K95" s="32">
        <v>3662094</v>
      </c>
    </row>
    <row r="96" spans="1:11" ht="38.25" x14ac:dyDescent="0.2">
      <c r="A96" s="18" t="s">
        <v>221</v>
      </c>
      <c r="B96" s="17" t="s">
        <v>222</v>
      </c>
      <c r="C96" s="16">
        <f>+Tabla119[[#This Row],[COSTO +IVA]]/Tabla119[[#This Row],[Columna5]]</f>
        <v>3852308.3277777773</v>
      </c>
      <c r="D96" s="16">
        <f>+Tabla119[[#This Row],[PRECIO INSTALLER (CON IVA)]]-Tabla119[[#This Row],[Columna2]]</f>
        <v>3659692.9113888885</v>
      </c>
      <c r="E96" s="16">
        <f>+Tabla119[[#This Row],[PRECIO INSTALLER (CON IVA)]]/0.7</f>
        <v>5503297.611111111</v>
      </c>
      <c r="F96" s="16">
        <f>+Tabla119[[#This Row],[PRECIO INSTALLER (CON IVA)]]*5%</f>
        <v>192615.41638888887</v>
      </c>
      <c r="G96" s="35">
        <v>0.9</v>
      </c>
      <c r="H96" s="31">
        <f>Tabla119[[#This Row],[COSTO]]*1.19</f>
        <v>3467077.4949999996</v>
      </c>
      <c r="I96" s="20"/>
      <c r="J96" s="20"/>
      <c r="K96" s="32">
        <v>2913510.5</v>
      </c>
    </row>
    <row r="97" spans="1:11" ht="63.75" x14ac:dyDescent="0.2">
      <c r="A97" s="18" t="s">
        <v>223</v>
      </c>
      <c r="B97" s="17" t="s">
        <v>224</v>
      </c>
      <c r="C97" s="16">
        <f>+Tabla119[[#This Row],[COSTO +IVA]]/Tabla119[[#This Row],[Columna5]]</f>
        <v>4012128.6333333333</v>
      </c>
      <c r="D97" s="16">
        <f>+Tabla119[[#This Row],[PRECIO INSTALLER (CON IVA)]]-Tabla119[[#This Row],[Columna2]]</f>
        <v>3811522.2016666667</v>
      </c>
      <c r="E97" s="16">
        <f>+Tabla119[[#This Row],[PRECIO INSTALLER (CON IVA)]]/0.7</f>
        <v>5731612.333333334</v>
      </c>
      <c r="F97" s="16">
        <f>+Tabla119[[#This Row],[PRECIO INSTALLER (CON IVA)]]*5%</f>
        <v>200606.43166666667</v>
      </c>
      <c r="G97" s="35">
        <v>0.9</v>
      </c>
      <c r="H97" s="31">
        <f>Tabla119[[#This Row],[COSTO]]*1.19</f>
        <v>3610915.77</v>
      </c>
      <c r="I97" s="20"/>
      <c r="J97" s="20"/>
      <c r="K97" s="32">
        <v>3034383</v>
      </c>
    </row>
    <row r="98" spans="1:11" ht="51" x14ac:dyDescent="0.2">
      <c r="A98" s="18" t="s">
        <v>225</v>
      </c>
      <c r="B98" s="17" t="s">
        <v>226</v>
      </c>
      <c r="C98" s="16">
        <f>+Tabla119[[#This Row],[COSTO +IVA]]/Tabla119[[#This Row],[Columna5]]</f>
        <v>9233060.5888888873</v>
      </c>
      <c r="D98" s="16">
        <f>+Tabla119[[#This Row],[PRECIO INSTALLER (CON IVA)]]-Tabla119[[#This Row],[Columna2]]</f>
        <v>8771407.5594444424</v>
      </c>
      <c r="E98" s="16">
        <f>+Tabla119[[#This Row],[PRECIO INSTALLER (CON IVA)]]/0.7</f>
        <v>13190086.555555554</v>
      </c>
      <c r="F98" s="16">
        <f>+Tabla119[[#This Row],[PRECIO INSTALLER (CON IVA)]]*5%</f>
        <v>461653.0294444444</v>
      </c>
      <c r="G98" s="35">
        <v>0.9</v>
      </c>
      <c r="H98" s="31">
        <f>Tabla119[[#This Row],[COSTO]]*1.19</f>
        <v>8309754.5299999993</v>
      </c>
      <c r="I98" s="20"/>
      <c r="J98" s="20"/>
      <c r="K98" s="32">
        <v>6982987</v>
      </c>
    </row>
    <row r="99" spans="1:11" ht="51" x14ac:dyDescent="0.2">
      <c r="A99" s="18" t="s">
        <v>227</v>
      </c>
      <c r="B99" s="17" t="s">
        <v>228</v>
      </c>
      <c r="C99" s="16">
        <f>+Tabla119[[#This Row],[COSTO +IVA]]/Tabla119[[#This Row],[Columna5]]</f>
        <v>11303923.711111112</v>
      </c>
      <c r="D99" s="16">
        <f>+Tabla119[[#This Row],[PRECIO INSTALLER (CON IVA)]]-Tabla119[[#This Row],[Columna2]]</f>
        <v>10738727.525555557</v>
      </c>
      <c r="E99" s="16">
        <f>+Tabla119[[#This Row],[PRECIO INSTALLER (CON IVA)]]/0.7</f>
        <v>16148462.444444446</v>
      </c>
      <c r="F99" s="16">
        <f>+Tabla119[[#This Row],[PRECIO INSTALLER (CON IVA)]]*5%</f>
        <v>565196.18555555562</v>
      </c>
      <c r="G99" s="35">
        <v>0.9</v>
      </c>
      <c r="H99" s="31">
        <f>Tabla119[[#This Row],[COSTO]]*1.19</f>
        <v>10173531.34</v>
      </c>
      <c r="I99" s="20"/>
      <c r="J99" s="20"/>
      <c r="K99" s="32">
        <v>8549186</v>
      </c>
    </row>
    <row r="100" spans="1:11" ht="38.25" x14ac:dyDescent="0.2">
      <c r="A100" s="18" t="s">
        <v>229</v>
      </c>
      <c r="B100" s="17" t="s">
        <v>230</v>
      </c>
      <c r="C100" s="16">
        <f>+Tabla119[[#This Row],[COSTO +IVA]]/Tabla119[[#This Row],[Columna5]]</f>
        <v>265010.35555555555</v>
      </c>
      <c r="D100" s="16">
        <f>+Tabla119[[#This Row],[PRECIO INSTALLER (CON IVA)]]-Tabla119[[#This Row],[Columna2]]</f>
        <v>251759.83777777778</v>
      </c>
      <c r="E100" s="16">
        <f>+Tabla119[[#This Row],[PRECIO INSTALLER (CON IVA)]]/0.7</f>
        <v>378586.22222222225</v>
      </c>
      <c r="F100" s="16">
        <f>+Tabla119[[#This Row],[PRECIO INSTALLER (CON IVA)]]*5%</f>
        <v>13250.517777777779</v>
      </c>
      <c r="G100" s="35">
        <v>0.9</v>
      </c>
      <c r="H100" s="31">
        <f>Tabla119[[#This Row],[COSTO]]*1.19</f>
        <v>238509.31999999998</v>
      </c>
      <c r="I100" s="20"/>
      <c r="J100" s="20"/>
      <c r="K100" s="32">
        <v>200428</v>
      </c>
    </row>
    <row r="101" spans="1:11" ht="25.5" x14ac:dyDescent="0.2">
      <c r="A101" s="18" t="s">
        <v>233</v>
      </c>
      <c r="B101" s="17" t="s">
        <v>234</v>
      </c>
      <c r="C101" s="16">
        <f>+Tabla119[[#This Row],[COSTO +IVA]]/Tabla119[[#This Row],[Columna5]]</f>
        <v>457748.04444444441</v>
      </c>
      <c r="D101" s="16">
        <f>+Tabla119[[#This Row],[PRECIO INSTALLER (CON IVA)]]-Tabla119[[#This Row],[Columna2]]</f>
        <v>434860.64222222217</v>
      </c>
      <c r="E101" s="16">
        <f>+Tabla119[[#This Row],[PRECIO INSTALLER (CON IVA)]]/0.7</f>
        <v>653925.77777777775</v>
      </c>
      <c r="F101" s="16">
        <f>+Tabla119[[#This Row],[PRECIO INSTALLER (CON IVA)]]*5%</f>
        <v>22887.402222222223</v>
      </c>
      <c r="G101" s="35">
        <v>0.9</v>
      </c>
      <c r="H101" s="31">
        <f>Tabla119[[#This Row],[COSTO]]*1.19</f>
        <v>411973.24</v>
      </c>
      <c r="I101" s="20"/>
      <c r="J101" s="20"/>
      <c r="K101" s="32">
        <v>346196</v>
      </c>
    </row>
    <row r="102" spans="1:11" ht="38.25" x14ac:dyDescent="0.2">
      <c r="A102" s="18" t="s">
        <v>235</v>
      </c>
      <c r="B102" s="17" t="s">
        <v>236</v>
      </c>
      <c r="C102" s="16">
        <f>+Tabla119[[#This Row],[COSTO +IVA]]/Tabla119[[#This Row],[Columna5]]</f>
        <v>801146.3444444444</v>
      </c>
      <c r="D102" s="16">
        <f>+Tabla119[[#This Row],[PRECIO INSTALLER (CON IVA)]]-Tabla119[[#This Row],[Columna2]]</f>
        <v>761089.02722222218</v>
      </c>
      <c r="E102" s="16">
        <f>+Tabla119[[#This Row],[PRECIO INSTALLER (CON IVA)]]/0.7</f>
        <v>1144494.7777777778</v>
      </c>
      <c r="F102" s="16">
        <f>+Tabla119[[#This Row],[PRECIO INSTALLER (CON IVA)]]*5%</f>
        <v>40057.31722222222</v>
      </c>
      <c r="G102" s="35">
        <v>0.9</v>
      </c>
      <c r="H102" s="31">
        <f>Tabla119[[#This Row],[COSTO]]*1.19</f>
        <v>721031.71</v>
      </c>
      <c r="I102" s="20"/>
      <c r="J102" s="20"/>
      <c r="K102" s="32">
        <v>605909</v>
      </c>
    </row>
    <row r="103" spans="1:11" ht="25.5" x14ac:dyDescent="0.2">
      <c r="A103" s="18" t="s">
        <v>237</v>
      </c>
      <c r="B103" s="17" t="s">
        <v>238</v>
      </c>
      <c r="C103" s="16">
        <f>+Tabla119[[#This Row],[COSTO +IVA]]/Tabla119[[#This Row],[Columna5]]</f>
        <v>916083.76829268294</v>
      </c>
      <c r="D103" s="16">
        <f>+Tabla119[[#This Row],[PRECIO INSTALLER (CON IVA)]]-Tabla119[[#This Row],[Columna2]]</f>
        <v>870279.57987804874</v>
      </c>
      <c r="E103" s="16">
        <f>+Tabla119[[#This Row],[PRECIO INSTALLER (CON IVA)]]/0.7</f>
        <v>1308691.0975609757</v>
      </c>
      <c r="F103" s="16">
        <f>+Tabla119[[#This Row],[PRECIO INSTALLER (CON IVA)]]*5%</f>
        <v>45804.188414634147</v>
      </c>
      <c r="G103" s="36">
        <v>0.82</v>
      </c>
      <c r="H103" s="31">
        <f>Tabla119[[#This Row],[COSTO]]*1.19</f>
        <v>751188.69</v>
      </c>
      <c r="I103" s="20"/>
      <c r="J103" s="20"/>
      <c r="K103" s="32">
        <v>631251</v>
      </c>
    </row>
    <row r="104" spans="1:11" ht="63.75" x14ac:dyDescent="0.2">
      <c r="A104" s="18" t="s">
        <v>239</v>
      </c>
      <c r="B104" s="17" t="s">
        <v>240</v>
      </c>
      <c r="C104" s="16">
        <f>+Tabla119[[#This Row],[COSTO +IVA]]/Tabla119[[#This Row],[Columna5]]</f>
        <v>2529845.4611111111</v>
      </c>
      <c r="D104" s="16">
        <f>+Tabla119[[#This Row],[PRECIO INSTALLER (CON IVA)]]-Tabla119[[#This Row],[Columna2]]</f>
        <v>2403353.1880555553</v>
      </c>
      <c r="E104" s="16">
        <f>+Tabla119[[#This Row],[PRECIO INSTALLER (CON IVA)]]/0.7</f>
        <v>3614064.9444444445</v>
      </c>
      <c r="F104" s="16">
        <f>+Tabla119[[#This Row],[PRECIO INSTALLER (CON IVA)]]*5%</f>
        <v>126492.27305555556</v>
      </c>
      <c r="G104" s="35">
        <v>0.9</v>
      </c>
      <c r="H104" s="31">
        <f>Tabla119[[#This Row],[COSTO]]*1.19</f>
        <v>2276860.915</v>
      </c>
      <c r="I104" s="20"/>
      <c r="J104" s="20"/>
      <c r="K104" s="32">
        <v>1913328.5</v>
      </c>
    </row>
    <row r="105" spans="1:11" ht="63.75" x14ac:dyDescent="0.2">
      <c r="A105" s="18" t="s">
        <v>241</v>
      </c>
      <c r="B105" s="17" t="s">
        <v>242</v>
      </c>
      <c r="C105" s="16">
        <f>+Tabla119[[#This Row],[COSTO +IVA]]/Tabla119[[#This Row],[Columna5]]</f>
        <v>2529845.4611111111</v>
      </c>
      <c r="D105" s="16">
        <f>+Tabla119[[#This Row],[PRECIO INSTALLER (CON IVA)]]-Tabla119[[#This Row],[Columna2]]</f>
        <v>2403353.1880555553</v>
      </c>
      <c r="E105" s="16">
        <f>+Tabla119[[#This Row],[PRECIO INSTALLER (CON IVA)]]/0.7</f>
        <v>3614064.9444444445</v>
      </c>
      <c r="F105" s="16">
        <f>+Tabla119[[#This Row],[PRECIO INSTALLER (CON IVA)]]*5%</f>
        <v>126492.27305555556</v>
      </c>
      <c r="G105" s="36">
        <v>0.9</v>
      </c>
      <c r="H105" s="31">
        <f>Tabla119[[#This Row],[COSTO]]*1.19</f>
        <v>2276860.915</v>
      </c>
      <c r="I105" s="20"/>
      <c r="J105" s="20"/>
      <c r="K105" s="32">
        <v>1913328.5</v>
      </c>
    </row>
    <row r="106" spans="1:11" ht="63.75" x14ac:dyDescent="0.2">
      <c r="A106" s="18" t="s">
        <v>243</v>
      </c>
      <c r="B106" s="17" t="s">
        <v>244</v>
      </c>
      <c r="C106" s="16">
        <f>+Tabla119[[#This Row],[COSTO +IVA]]/Tabla119[[#This Row],[Columna5]]</f>
        <v>2633021.1055555558</v>
      </c>
      <c r="D106" s="16">
        <f>+Tabla119[[#This Row],[PRECIO INSTALLER (CON IVA)]]-Tabla119[[#This Row],[Columna2]]</f>
        <v>2501370.0502777779</v>
      </c>
      <c r="E106" s="16">
        <f>+Tabla119[[#This Row],[PRECIO INSTALLER (CON IVA)]]/0.7</f>
        <v>3761458.7222222229</v>
      </c>
      <c r="F106" s="16">
        <f>+Tabla119[[#This Row],[PRECIO INSTALLER (CON IVA)]]*5%</f>
        <v>131651.05527777781</v>
      </c>
      <c r="G106" s="35">
        <v>0.9</v>
      </c>
      <c r="H106" s="31">
        <f>Tabla119[[#This Row],[COSTO]]*1.19</f>
        <v>2369718.9950000001</v>
      </c>
      <c r="I106" s="20"/>
      <c r="J106" s="20"/>
      <c r="K106" s="32">
        <v>1991360.5</v>
      </c>
    </row>
    <row r="107" spans="1:11" ht="63.75" x14ac:dyDescent="0.2">
      <c r="A107" s="18" t="s">
        <v>245</v>
      </c>
      <c r="B107" s="17" t="s">
        <v>246</v>
      </c>
      <c r="C107" s="16">
        <f>+Tabla119[[#This Row],[COSTO +IVA]]/Tabla119[[#This Row],[Columna5]]</f>
        <v>2633021.1055555558</v>
      </c>
      <c r="D107" s="16">
        <f>+Tabla119[[#This Row],[PRECIO INSTALLER (CON IVA)]]-Tabla119[[#This Row],[Columna2]]</f>
        <v>2501370.0502777779</v>
      </c>
      <c r="E107" s="16">
        <f>+Tabla119[[#This Row],[PRECIO INSTALLER (CON IVA)]]/0.7</f>
        <v>3761458.7222222229</v>
      </c>
      <c r="F107" s="16">
        <f>+Tabla119[[#This Row],[PRECIO INSTALLER (CON IVA)]]*5%</f>
        <v>131651.05527777781</v>
      </c>
      <c r="G107" s="35">
        <v>0.9</v>
      </c>
      <c r="H107" s="31">
        <f>Tabla119[[#This Row],[COSTO]]*1.19</f>
        <v>2369718.9950000001</v>
      </c>
      <c r="I107" s="20"/>
      <c r="J107" s="20"/>
      <c r="K107" s="32">
        <v>1991360.5</v>
      </c>
    </row>
    <row r="108" spans="1:11" ht="38.25" x14ac:dyDescent="0.2">
      <c r="A108" s="18" t="s">
        <v>247</v>
      </c>
      <c r="B108" s="17" t="s">
        <v>248</v>
      </c>
      <c r="C108" s="16">
        <f>+Tabla119[[#This Row],[COSTO +IVA]]/Tabla119[[#This Row],[Columna5]]</f>
        <v>2720503.9555555554</v>
      </c>
      <c r="D108" s="16">
        <f>+Tabla119[[#This Row],[PRECIO INSTALLER (CON IVA)]]-Tabla119[[#This Row],[Columna2]]</f>
        <v>2584478.7577777775</v>
      </c>
      <c r="E108" s="16">
        <f>+Tabla119[[#This Row],[PRECIO INSTALLER (CON IVA)]]/0.7</f>
        <v>3886434.2222222225</v>
      </c>
      <c r="F108" s="16">
        <f>+Tabla119[[#This Row],[PRECIO INSTALLER (CON IVA)]]*5%</f>
        <v>136025.19777777776</v>
      </c>
      <c r="G108" s="35">
        <v>0.9</v>
      </c>
      <c r="H108" s="31">
        <f>Tabla119[[#This Row],[COSTO]]*1.19</f>
        <v>2448453.56</v>
      </c>
      <c r="I108" s="20"/>
      <c r="J108" s="20"/>
      <c r="K108" s="32">
        <v>2057524</v>
      </c>
    </row>
    <row r="109" spans="1:11" ht="89.25" x14ac:dyDescent="0.2">
      <c r="A109" s="18" t="s">
        <v>249</v>
      </c>
      <c r="B109" s="17" t="s">
        <v>250</v>
      </c>
      <c r="C109" s="16">
        <f>+Tabla119[[#This Row],[COSTO +IVA]]/Tabla119[[#This Row],[Columna5]]</f>
        <v>2967597.5388888884</v>
      </c>
      <c r="D109" s="16">
        <f>+Tabla119[[#This Row],[PRECIO INSTALLER (CON IVA)]]-Tabla119[[#This Row],[Columna2]]</f>
        <v>2819217.6619444438</v>
      </c>
      <c r="E109" s="16">
        <f>+Tabla119[[#This Row],[PRECIO INSTALLER (CON IVA)]]/0.7</f>
        <v>4239425.055555555</v>
      </c>
      <c r="F109" s="16">
        <f>+Tabla119[[#This Row],[PRECIO INSTALLER (CON IVA)]]*5%</f>
        <v>148379.87694444443</v>
      </c>
      <c r="G109" s="35">
        <v>0.9</v>
      </c>
      <c r="H109" s="31">
        <f>Tabla119[[#This Row],[COSTO]]*1.19</f>
        <v>2670837.7849999997</v>
      </c>
      <c r="I109" s="20"/>
      <c r="J109" s="20"/>
      <c r="K109" s="32">
        <v>2244401.5</v>
      </c>
    </row>
    <row r="110" spans="1:11" ht="51" x14ac:dyDescent="0.2">
      <c r="A110" s="18" t="s">
        <v>251</v>
      </c>
      <c r="B110" s="17" t="s">
        <v>252</v>
      </c>
      <c r="C110" s="16">
        <f>+Tabla119[[#This Row],[COSTO +IVA]]/Tabla119[[#This Row],[Columna5]]</f>
        <v>4773618.2277777782</v>
      </c>
      <c r="D110" s="16">
        <f>+Tabla119[[#This Row],[PRECIO INSTALLER (CON IVA)]]-Tabla119[[#This Row],[Columna2]]</f>
        <v>4534937.3163888892</v>
      </c>
      <c r="E110" s="16">
        <f>+Tabla119[[#This Row],[PRECIO INSTALLER (CON IVA)]]/0.7</f>
        <v>6819454.6111111119</v>
      </c>
      <c r="F110" s="16">
        <f>+Tabla119[[#This Row],[PRECIO INSTALLER (CON IVA)]]*5%</f>
        <v>238680.91138888893</v>
      </c>
      <c r="G110" s="36">
        <v>0.9</v>
      </c>
      <c r="H110" s="31">
        <f>Tabla119[[#This Row],[COSTO]]*1.19</f>
        <v>4296256.4050000003</v>
      </c>
      <c r="I110" s="20"/>
      <c r="J110" s="20"/>
      <c r="K110" s="32">
        <v>3610299.5</v>
      </c>
    </row>
    <row r="111" spans="1:11" ht="51" x14ac:dyDescent="0.2">
      <c r="A111" s="18" t="s">
        <v>253</v>
      </c>
      <c r="B111" s="17" t="s">
        <v>254</v>
      </c>
      <c r="C111" s="16">
        <f>+Tabla119[[#This Row],[COSTO +IVA]]/Tabla119[[#This Row],[Columna5]]</f>
        <v>4773618.2277777782</v>
      </c>
      <c r="D111" s="16">
        <f>+Tabla119[[#This Row],[PRECIO INSTALLER (CON IVA)]]-Tabla119[[#This Row],[Columna2]]</f>
        <v>4534937.3163888892</v>
      </c>
      <c r="E111" s="16">
        <f>+Tabla119[[#This Row],[PRECIO INSTALLER (CON IVA)]]/0.7</f>
        <v>6819454.6111111119</v>
      </c>
      <c r="F111" s="16">
        <f>+Tabla119[[#This Row],[PRECIO INSTALLER (CON IVA)]]*5%</f>
        <v>238680.91138888893</v>
      </c>
      <c r="G111" s="36">
        <v>0.9</v>
      </c>
      <c r="H111" s="31">
        <f>Tabla119[[#This Row],[COSTO]]*1.19</f>
        <v>4296256.4050000003</v>
      </c>
      <c r="I111" s="20"/>
      <c r="J111" s="20"/>
      <c r="K111" s="32">
        <v>3610299.5</v>
      </c>
    </row>
    <row r="112" spans="1:11" ht="51" x14ac:dyDescent="0.2">
      <c r="A112" s="18" t="s">
        <v>255</v>
      </c>
      <c r="B112" s="17" t="s">
        <v>256</v>
      </c>
      <c r="C112" s="16">
        <f>+Tabla119[[#This Row],[COSTO +IVA]]/Tabla119[[#This Row],[Columna5]]</f>
        <v>4777386.5611111112</v>
      </c>
      <c r="D112" s="16">
        <f>+Tabla119[[#This Row],[PRECIO INSTALLER (CON IVA)]]-Tabla119[[#This Row],[Columna2]]</f>
        <v>4538517.2330555553</v>
      </c>
      <c r="E112" s="16">
        <f>+Tabla119[[#This Row],[PRECIO INSTALLER (CON IVA)]]/0.7</f>
        <v>6824837.944444445</v>
      </c>
      <c r="F112" s="16">
        <f>+Tabla119[[#This Row],[PRECIO INSTALLER (CON IVA)]]*5%</f>
        <v>238869.32805555558</v>
      </c>
      <c r="G112" s="36">
        <v>0.9</v>
      </c>
      <c r="H112" s="31">
        <f>Tabla119[[#This Row],[COSTO]]*1.19</f>
        <v>4299647.9050000003</v>
      </c>
      <c r="I112" s="20"/>
      <c r="J112" s="20"/>
      <c r="K112" s="32">
        <v>3613149.5</v>
      </c>
    </row>
    <row r="113" spans="1:11" ht="51" x14ac:dyDescent="0.2">
      <c r="A113" s="18" t="s">
        <v>257</v>
      </c>
      <c r="B113" s="17" t="s">
        <v>258</v>
      </c>
      <c r="C113" s="16">
        <f>+Tabla119[[#This Row],[COSTO +IVA]]/Tabla119[[#This Row],[Columna5]]</f>
        <v>4650250.6505376333</v>
      </c>
      <c r="D113" s="16">
        <f>+Tabla119[[#This Row],[PRECIO INSTALLER (CON IVA)]]-Tabla119[[#This Row],[Columna2]]</f>
        <v>4417738.1180107519</v>
      </c>
      <c r="E113" s="16">
        <f>+Tabla119[[#This Row],[PRECIO INSTALLER (CON IVA)]]/0.7</f>
        <v>6643215.2150537623</v>
      </c>
      <c r="F113" s="16">
        <f>+Tabla119[[#This Row],[PRECIO INSTALLER (CON IVA)]]*5%</f>
        <v>232512.53252688167</v>
      </c>
      <c r="G113" s="36">
        <v>0.93</v>
      </c>
      <c r="H113" s="31">
        <f>Tabla119[[#This Row],[COSTO]]*1.19</f>
        <v>4324733.1049999995</v>
      </c>
      <c r="I113" s="20"/>
      <c r="J113" s="20"/>
      <c r="K113" s="32">
        <v>3634229.5</v>
      </c>
    </row>
    <row r="114" spans="1:11" ht="51" x14ac:dyDescent="0.2">
      <c r="A114" s="18" t="s">
        <v>259</v>
      </c>
      <c r="B114" s="17" t="s">
        <v>260</v>
      </c>
      <c r="C114" s="16">
        <f>+Tabla119[[#This Row],[COSTO +IVA]]/Tabla119[[#This Row],[Columna5]]</f>
        <v>4650250.6505376333</v>
      </c>
      <c r="D114" s="16">
        <f>+Tabla119[[#This Row],[PRECIO INSTALLER (CON IVA)]]-Tabla119[[#This Row],[Columna2]]</f>
        <v>4417738.1180107519</v>
      </c>
      <c r="E114" s="16">
        <f>+Tabla119[[#This Row],[PRECIO INSTALLER (CON IVA)]]/0.7</f>
        <v>6643215.2150537623</v>
      </c>
      <c r="F114" s="16">
        <f>+Tabla119[[#This Row],[PRECIO INSTALLER (CON IVA)]]*5%</f>
        <v>232512.53252688167</v>
      </c>
      <c r="G114" s="36">
        <v>0.93</v>
      </c>
      <c r="H114" s="31">
        <f>Tabla119[[#This Row],[COSTO]]*1.19</f>
        <v>4324733.1049999995</v>
      </c>
      <c r="I114" s="20"/>
      <c r="J114" s="20"/>
      <c r="K114" s="32">
        <v>3634229.5</v>
      </c>
    </row>
    <row r="115" spans="1:11" ht="51" x14ac:dyDescent="0.2">
      <c r="A115" s="18" t="s">
        <v>261</v>
      </c>
      <c r="B115" s="17" t="s">
        <v>262</v>
      </c>
      <c r="C115" s="16">
        <f>+Tabla119[[#This Row],[COSTO +IVA]]/Tabla119[[#This Row],[Columna5]]</f>
        <v>4998790.6888888888</v>
      </c>
      <c r="D115" s="16">
        <f>+Tabla119[[#This Row],[PRECIO INSTALLER (CON IVA)]]-Tabla119[[#This Row],[Columna2]]</f>
        <v>4748851.154444444</v>
      </c>
      <c r="E115" s="16">
        <f>+Tabla119[[#This Row],[PRECIO INSTALLER (CON IVA)]]/0.7</f>
        <v>7141129.555555556</v>
      </c>
      <c r="F115" s="16">
        <f>+Tabla119[[#This Row],[PRECIO INSTALLER (CON IVA)]]*5%</f>
        <v>249939.53444444446</v>
      </c>
      <c r="G115" s="36">
        <v>0.9</v>
      </c>
      <c r="H115" s="31">
        <f>Tabla119[[#This Row],[COSTO]]*1.19</f>
        <v>4498911.62</v>
      </c>
      <c r="I115" s="20"/>
      <c r="J115" s="20"/>
      <c r="K115" s="32">
        <v>3780598</v>
      </c>
    </row>
    <row r="116" spans="1:11" ht="51" x14ac:dyDescent="0.2">
      <c r="A116" s="18" t="s">
        <v>263</v>
      </c>
      <c r="B116" s="17" t="s">
        <v>264</v>
      </c>
      <c r="C116" s="16">
        <f>+Tabla119[[#This Row],[COSTO +IVA]]/Tabla119[[#This Row],[Columna5]]</f>
        <v>4998790.6888888888</v>
      </c>
      <c r="D116" s="16">
        <f>+Tabla119[[#This Row],[PRECIO INSTALLER (CON IVA)]]-Tabla119[[#This Row],[Columna2]]</f>
        <v>4748851.154444444</v>
      </c>
      <c r="E116" s="16">
        <f>+Tabla119[[#This Row],[PRECIO INSTALLER (CON IVA)]]/0.7</f>
        <v>7141129.555555556</v>
      </c>
      <c r="F116" s="16">
        <f>+Tabla119[[#This Row],[PRECIO INSTALLER (CON IVA)]]*5%</f>
        <v>249939.53444444446</v>
      </c>
      <c r="G116" s="35">
        <v>0.9</v>
      </c>
      <c r="H116" s="31">
        <f>Tabla119[[#This Row],[COSTO]]*1.19</f>
        <v>4498911.62</v>
      </c>
      <c r="I116" s="20"/>
      <c r="J116" s="20"/>
      <c r="K116" s="32">
        <v>3780598</v>
      </c>
    </row>
    <row r="117" spans="1:11" ht="51" x14ac:dyDescent="0.2">
      <c r="A117" s="18" t="s">
        <v>265</v>
      </c>
      <c r="B117" s="17" t="s">
        <v>266</v>
      </c>
      <c r="C117" s="16">
        <f>+Tabla119[[#This Row],[COSTO +IVA]]/Tabla119[[#This Row],[Columna5]]</f>
        <v>6905058.9611111106</v>
      </c>
      <c r="D117" s="16">
        <f>+Tabla119[[#This Row],[PRECIO INSTALLER (CON IVA)]]-Tabla119[[#This Row],[Columna2]]</f>
        <v>6559806.0130555555</v>
      </c>
      <c r="E117" s="16">
        <f>+Tabla119[[#This Row],[PRECIO INSTALLER (CON IVA)]]/0.7</f>
        <v>9864369.944444444</v>
      </c>
      <c r="F117" s="16">
        <f>+Tabla119[[#This Row],[PRECIO INSTALLER (CON IVA)]]*5%</f>
        <v>345252.94805555558</v>
      </c>
      <c r="G117" s="35">
        <v>0.9</v>
      </c>
      <c r="H117" s="31">
        <f>Tabla119[[#This Row],[COSTO]]*1.19</f>
        <v>6214553.0649999995</v>
      </c>
      <c r="I117" s="20"/>
      <c r="J117" s="20"/>
      <c r="K117" s="32">
        <v>5222313.5</v>
      </c>
    </row>
    <row r="118" spans="1:11" ht="51" x14ac:dyDescent="0.2">
      <c r="A118" s="18" t="s">
        <v>267</v>
      </c>
      <c r="B118" s="17" t="s">
        <v>268</v>
      </c>
      <c r="C118" s="16">
        <f>+Tabla119[[#This Row],[COSTO +IVA]]/Tabla119[[#This Row],[Columna5]]</f>
        <v>11148522.272222223</v>
      </c>
      <c r="D118" s="16">
        <f>+Tabla119[[#This Row],[PRECIO INSTALLER (CON IVA)]]-Tabla119[[#This Row],[Columna2]]</f>
        <v>10591096.158611111</v>
      </c>
      <c r="E118" s="16">
        <f>+Tabla119[[#This Row],[PRECIO INSTALLER (CON IVA)]]/0.7</f>
        <v>15926460.38888889</v>
      </c>
      <c r="F118" s="16">
        <f>+Tabla119[[#This Row],[PRECIO INSTALLER (CON IVA)]]*5%</f>
        <v>557426.11361111118</v>
      </c>
      <c r="G118" s="35">
        <v>0.9</v>
      </c>
      <c r="H118" s="31">
        <f>Tabla119[[#This Row],[COSTO]]*1.19</f>
        <v>10033670.045</v>
      </c>
      <c r="I118" s="20"/>
      <c r="J118" s="20"/>
      <c r="K118" s="32">
        <v>8431655.5</v>
      </c>
    </row>
    <row r="119" spans="1:11" ht="38.25" x14ac:dyDescent="0.2">
      <c r="A119" s="18" t="s">
        <v>92</v>
      </c>
      <c r="B119" s="17" t="s">
        <v>91</v>
      </c>
      <c r="C119" s="16">
        <f>+Tabla119[[#This Row],[COSTO +IVA]]/Tabla119[[#This Row],[Columna5]]</f>
        <v>2244899.2999999998</v>
      </c>
      <c r="D119" s="16">
        <f>+Tabla119[[#This Row],[PRECIO INSTALLER (CON IVA)]]-Tabla119[[#This Row],[Columna2]]</f>
        <v>2132654.335</v>
      </c>
      <c r="E119" s="16">
        <f>+Tabla119[[#This Row],[PRECIO INSTALLER (CON IVA)]]/0.7</f>
        <v>3206999</v>
      </c>
      <c r="F119" s="16">
        <f>+Tabla119[[#This Row],[PRECIO INSTALLER (CON IVA)]]*5%</f>
        <v>112244.965</v>
      </c>
      <c r="G119" s="35">
        <v>0.9</v>
      </c>
      <c r="H119" s="31">
        <f>Tabla119[[#This Row],[COSTO]]*1.19</f>
        <v>2020409.3699999999</v>
      </c>
      <c r="I119" s="20"/>
      <c r="J119" s="20"/>
      <c r="K119" s="32">
        <v>1697823</v>
      </c>
    </row>
    <row r="120" spans="1:11" ht="63.75" x14ac:dyDescent="0.2">
      <c r="A120" s="18" t="s">
        <v>269</v>
      </c>
      <c r="B120" s="17" t="s">
        <v>270</v>
      </c>
      <c r="C120" s="16">
        <f>+Tabla119[[#This Row],[COSTO +IVA]]/Tabla119[[#This Row],[Columna5]]</f>
        <v>3040319.1</v>
      </c>
      <c r="D120" s="16">
        <f>+Tabla119[[#This Row],[PRECIO INSTALLER (CON IVA)]]-Tabla119[[#This Row],[Columna2]]</f>
        <v>2888303.145</v>
      </c>
      <c r="E120" s="16">
        <f>+Tabla119[[#This Row],[PRECIO INSTALLER (CON IVA)]]/0.7</f>
        <v>4343313</v>
      </c>
      <c r="F120" s="16">
        <f>+Tabla119[[#This Row],[PRECIO INSTALLER (CON IVA)]]*5%</f>
        <v>152015.95500000002</v>
      </c>
      <c r="G120" s="35">
        <v>0.9</v>
      </c>
      <c r="H120" s="31">
        <f>Tabla119[[#This Row],[COSTO]]*1.19</f>
        <v>2736287.19</v>
      </c>
      <c r="I120" s="20"/>
      <c r="J120" s="20"/>
      <c r="K120" s="32">
        <v>2299401</v>
      </c>
    </row>
    <row r="121" spans="1:11" ht="38.25" x14ac:dyDescent="0.2">
      <c r="A121" s="18" t="s">
        <v>271</v>
      </c>
      <c r="B121" s="17" t="s">
        <v>272</v>
      </c>
      <c r="C121" s="16">
        <f>+Tabla119[[#This Row],[COSTO +IVA]]/Tabla119[[#This Row],[Columna5]]</f>
        <v>7798702.0222222209</v>
      </c>
      <c r="D121" s="16">
        <f>+Tabla119[[#This Row],[PRECIO INSTALLER (CON IVA)]]-Tabla119[[#This Row],[Columna2]]</f>
        <v>7408766.9211111097</v>
      </c>
      <c r="E121" s="16">
        <f>+Tabla119[[#This Row],[PRECIO INSTALLER (CON IVA)]]/0.7</f>
        <v>11141002.888888888</v>
      </c>
      <c r="F121" s="16">
        <f>+Tabla119[[#This Row],[PRECIO INSTALLER (CON IVA)]]*5%</f>
        <v>389935.10111111106</v>
      </c>
      <c r="G121" s="35">
        <v>0.9</v>
      </c>
      <c r="H121" s="31">
        <f>Tabla119[[#This Row],[COSTO]]*1.19</f>
        <v>7018831.8199999994</v>
      </c>
      <c r="I121" s="20"/>
      <c r="J121" s="20"/>
      <c r="K121" s="32">
        <v>5898178</v>
      </c>
    </row>
    <row r="122" spans="1:11" ht="51" x14ac:dyDescent="0.2">
      <c r="A122" s="18" t="s">
        <v>128</v>
      </c>
      <c r="B122" s="17" t="s">
        <v>127</v>
      </c>
      <c r="C122" s="16">
        <f>+Tabla119[[#This Row],[COSTO +IVA]]/Tabla119[[#This Row],[Columna5]]</f>
        <v>131212.97</v>
      </c>
      <c r="D122" s="16">
        <f>+Tabla119[[#This Row],[PRECIO INSTALLER (CON IVA)]]-Tabla119[[#This Row],[Columna2]]</f>
        <v>124652.32150000001</v>
      </c>
      <c r="E122" s="16">
        <f>+Tabla119[[#This Row],[PRECIO INSTALLER (CON IVA)]]/0.7</f>
        <v>187447.1</v>
      </c>
      <c r="F122" s="16">
        <f>+Tabla119[[#This Row],[PRECIO INSTALLER (CON IVA)]]*5%</f>
        <v>6560.6485000000002</v>
      </c>
      <c r="G122" s="36">
        <v>1</v>
      </c>
      <c r="H122" s="31">
        <f>Tabla119[[#This Row],[COSTO]]*1.19</f>
        <v>131212.97</v>
      </c>
      <c r="I122" s="20"/>
      <c r="J122" s="20"/>
      <c r="K122" s="32">
        <v>110263</v>
      </c>
    </row>
    <row r="123" spans="1:11" x14ac:dyDescent="0.2">
      <c r="A123" s="18" t="s">
        <v>130</v>
      </c>
      <c r="B123" s="17" t="s">
        <v>129</v>
      </c>
      <c r="C123" s="16">
        <f>+Tabla119[[#This Row],[COSTO +IVA]]/Tabla119[[#This Row],[Columna5]]</f>
        <v>192522.78645833334</v>
      </c>
      <c r="D123" s="16">
        <f>+Tabla119[[#This Row],[PRECIO INSTALLER (CON IVA)]]-Tabla119[[#This Row],[Columna2]]</f>
        <v>182896.64713541669</v>
      </c>
      <c r="E123" s="16">
        <f>+Tabla119[[#This Row],[PRECIO INSTALLER (CON IVA)]]/0.7</f>
        <v>275032.55208333337</v>
      </c>
      <c r="F123" s="16">
        <f>+Tabla119[[#This Row],[PRECIO INSTALLER (CON IVA)]]*5%</f>
        <v>9626.1393229166679</v>
      </c>
      <c r="G123" s="35">
        <v>0.96</v>
      </c>
      <c r="H123" s="31">
        <f>Tabla119[[#This Row],[COSTO]]*1.19</f>
        <v>184821.875</v>
      </c>
      <c r="I123" s="20"/>
      <c r="J123" s="20"/>
      <c r="K123" s="32">
        <v>155312.5</v>
      </c>
    </row>
    <row r="124" spans="1:11" ht="25.5" x14ac:dyDescent="0.2">
      <c r="A124" s="18" t="s">
        <v>29</v>
      </c>
      <c r="B124" s="17" t="s">
        <v>28</v>
      </c>
      <c r="C124" s="16">
        <f>+Tabla119[[#This Row],[COSTO +IVA]]/Tabla119[[#This Row],[Columna5]]</f>
        <v>60331.81</v>
      </c>
      <c r="D124" s="16">
        <f>+Tabla119[[#This Row],[PRECIO INSTALLER (CON IVA)]]-Tabla119[[#This Row],[Columna2]]</f>
        <v>57315.219499999999</v>
      </c>
      <c r="E124" s="16">
        <f>+Tabla119[[#This Row],[PRECIO INSTALLER (CON IVA)]]/0.7</f>
        <v>86188.3</v>
      </c>
      <c r="F124" s="16">
        <f>+Tabla119[[#This Row],[PRECIO INSTALLER (CON IVA)]]*5%</f>
        <v>3016.5905000000002</v>
      </c>
      <c r="G124" s="36">
        <v>1</v>
      </c>
      <c r="H124" s="31">
        <f>Tabla119[[#This Row],[COSTO]]*1.19</f>
        <v>60331.81</v>
      </c>
      <c r="I124" s="20"/>
      <c r="J124" s="20"/>
      <c r="K124" s="32">
        <v>50699</v>
      </c>
    </row>
    <row r="125" spans="1:11" ht="25.5" x14ac:dyDescent="0.2">
      <c r="A125" s="18" t="s">
        <v>273</v>
      </c>
      <c r="B125" s="17" t="s">
        <v>274</v>
      </c>
      <c r="C125" s="16">
        <f>+Tabla119[[#This Row],[COSTO +IVA]]/Tabla119[[#This Row],[Columna5]]</f>
        <v>319673.66666666663</v>
      </c>
      <c r="D125" s="16">
        <f>+Tabla119[[#This Row],[PRECIO INSTALLER (CON IVA)]]-Tabla119[[#This Row],[Columna2]]</f>
        <v>303689.98333333328</v>
      </c>
      <c r="E125" s="16">
        <f>+Tabla119[[#This Row],[PRECIO INSTALLER (CON IVA)]]/0.7</f>
        <v>456676.66666666663</v>
      </c>
      <c r="F125" s="16">
        <f>+Tabla119[[#This Row],[PRECIO INSTALLER (CON IVA)]]*5%</f>
        <v>15983.683333333332</v>
      </c>
      <c r="G125" s="35">
        <v>0.9</v>
      </c>
      <c r="H125" s="31">
        <f>Tabla119[[#This Row],[COSTO]]*1.19</f>
        <v>287706.3</v>
      </c>
      <c r="I125" s="20"/>
      <c r="J125" s="20"/>
      <c r="K125" s="32">
        <v>241770</v>
      </c>
    </row>
    <row r="126" spans="1:11" ht="25.5" x14ac:dyDescent="0.2">
      <c r="A126" s="18" t="s">
        <v>44</v>
      </c>
      <c r="B126" s="17" t="s">
        <v>43</v>
      </c>
      <c r="C126" s="16">
        <f>+Tabla119[[#This Row],[COSTO +IVA]]/Tabla119[[#This Row],[Columna5]]</f>
        <v>101776.73333333332</v>
      </c>
      <c r="D126" s="16">
        <f>+Tabla119[[#This Row],[PRECIO INSTALLER (CON IVA)]]-Tabla119[[#This Row],[Columna2]]</f>
        <v>96687.896666666653</v>
      </c>
      <c r="E126" s="16">
        <f>+Tabla119[[#This Row],[PRECIO INSTALLER (CON IVA)]]/0.7</f>
        <v>145395.33333333331</v>
      </c>
      <c r="F126" s="16">
        <f>+Tabla119[[#This Row],[PRECIO INSTALLER (CON IVA)]]*5%</f>
        <v>5088.8366666666661</v>
      </c>
      <c r="G126" s="35">
        <v>0.9</v>
      </c>
      <c r="H126" s="31">
        <f>Tabla119[[#This Row],[COSTO]]*1.19</f>
        <v>91599.06</v>
      </c>
      <c r="I126" s="20"/>
      <c r="J126" s="20"/>
      <c r="K126" s="32">
        <v>76974</v>
      </c>
    </row>
    <row r="127" spans="1:11" ht="38.25" x14ac:dyDescent="0.2">
      <c r="A127" s="18" t="s">
        <v>49</v>
      </c>
      <c r="B127" s="17" t="s">
        <v>48</v>
      </c>
      <c r="C127" s="16">
        <f>+Tabla119[[#This Row],[COSTO +IVA]]/Tabla119[[#This Row],[Columna5]]</f>
        <v>217635.79444444444</v>
      </c>
      <c r="D127" s="16">
        <f>+Tabla119[[#This Row],[PRECIO INSTALLER (CON IVA)]]-Tabla119[[#This Row],[Columna2]]</f>
        <v>206754.00472222222</v>
      </c>
      <c r="E127" s="16">
        <f>+Tabla119[[#This Row],[PRECIO INSTALLER (CON IVA)]]/0.7</f>
        <v>310908.27777777781</v>
      </c>
      <c r="F127" s="16">
        <f>+Tabla119[[#This Row],[PRECIO INSTALLER (CON IVA)]]*5%</f>
        <v>10881.789722222224</v>
      </c>
      <c r="G127" s="35">
        <v>0.9</v>
      </c>
      <c r="H127" s="31">
        <f>Tabla119[[#This Row],[COSTO]]*1.19</f>
        <v>195872.215</v>
      </c>
      <c r="I127" s="20"/>
      <c r="J127" s="20"/>
      <c r="K127" s="32">
        <v>164598.5</v>
      </c>
    </row>
    <row r="128" spans="1:11" ht="25.5" x14ac:dyDescent="0.2">
      <c r="A128" s="18" t="s">
        <v>65</v>
      </c>
      <c r="B128" s="17" t="s">
        <v>64</v>
      </c>
      <c r="C128" s="16">
        <f>+Tabla119[[#This Row],[COSTO +IVA]]/Tabla119[[#This Row],[Columna5]]</f>
        <v>559296.69444444438</v>
      </c>
      <c r="D128" s="16">
        <f>+Tabla119[[#This Row],[PRECIO INSTALLER (CON IVA)]]-Tabla119[[#This Row],[Columna2]]</f>
        <v>531331.8597222222</v>
      </c>
      <c r="E128" s="16">
        <f>+Tabla119[[#This Row],[PRECIO INSTALLER (CON IVA)]]/0.7</f>
        <v>798995.27777777775</v>
      </c>
      <c r="F128" s="16">
        <f>+Tabla119[[#This Row],[PRECIO INSTALLER (CON IVA)]]*5%</f>
        <v>27964.834722222222</v>
      </c>
      <c r="G128" s="35">
        <v>0.9</v>
      </c>
      <c r="H128" s="31">
        <f>Tabla119[[#This Row],[COSTO]]*1.19</f>
        <v>503367.02499999997</v>
      </c>
      <c r="I128" s="20"/>
      <c r="J128" s="20"/>
      <c r="K128" s="32">
        <v>422997.5</v>
      </c>
    </row>
    <row r="129" spans="1:11" ht="38.25" x14ac:dyDescent="0.2">
      <c r="A129" s="18" t="s">
        <v>98</v>
      </c>
      <c r="B129" s="17" t="s">
        <v>275</v>
      </c>
      <c r="C129" s="16">
        <f>+Tabla119[[#This Row],[COSTO +IVA]]/Tabla119[[#This Row],[Columna5]]</f>
        <v>759.67676767676755</v>
      </c>
      <c r="D129" s="16">
        <f>+Tabla119[[#This Row],[PRECIO INSTALLER (CON IVA)]]-Tabla119[[#This Row],[Columna2]]</f>
        <v>721.69292929292919</v>
      </c>
      <c r="E129" s="16">
        <f>+Tabla119[[#This Row],[PRECIO INSTALLER (CON IVA)]]/0.7</f>
        <v>1085.2525252525252</v>
      </c>
      <c r="F129" s="16">
        <f>+Tabla119[[#This Row],[PRECIO INSTALLER (CON IVA)]]*5%</f>
        <v>37.983838383838382</v>
      </c>
      <c r="G129" s="36">
        <v>0.99</v>
      </c>
      <c r="H129" s="31">
        <f>Tabla119[[#This Row],[COSTO]]*1.19</f>
        <v>752.07999999999993</v>
      </c>
      <c r="I129" s="20"/>
      <c r="J129" s="20"/>
      <c r="K129" s="32">
        <v>632</v>
      </c>
    </row>
    <row r="130" spans="1:11" ht="38.25" x14ac:dyDescent="0.2">
      <c r="A130" s="18" t="s">
        <v>1</v>
      </c>
      <c r="B130" s="17" t="s">
        <v>276</v>
      </c>
      <c r="C130" s="16">
        <f>+Tabla119[[#This Row],[COSTO +IVA]]/Tabla119[[#This Row],[Columna5]]</f>
        <v>756.07070707070704</v>
      </c>
      <c r="D130" s="16">
        <f>+Tabla119[[#This Row],[PRECIO INSTALLER (CON IVA)]]-Tabla119[[#This Row],[Columna2]]</f>
        <v>718.26717171717166</v>
      </c>
      <c r="E130" s="16">
        <f>+Tabla119[[#This Row],[PRECIO INSTALLER (CON IVA)]]/0.7</f>
        <v>1080.1010101010102</v>
      </c>
      <c r="F130" s="16">
        <f>+Tabla119[[#This Row],[PRECIO INSTALLER (CON IVA)]]*5%</f>
        <v>37.803535353535352</v>
      </c>
      <c r="G130" s="36">
        <v>0.99</v>
      </c>
      <c r="H130" s="31">
        <f>Tabla119[[#This Row],[COSTO]]*1.19</f>
        <v>748.51</v>
      </c>
      <c r="I130" s="20"/>
      <c r="J130" s="20"/>
      <c r="K130" s="32">
        <v>629</v>
      </c>
    </row>
    <row r="131" spans="1:11" ht="38.25" x14ac:dyDescent="0.2">
      <c r="A131" s="18" t="s">
        <v>277</v>
      </c>
      <c r="B131" s="17" t="s">
        <v>278</v>
      </c>
      <c r="C131" s="16">
        <f>+Tabla119[[#This Row],[COSTO +IVA]]/Tabla119[[#This Row],[Columna5]]</f>
        <v>756.07070707070704</v>
      </c>
      <c r="D131" s="16">
        <f>+Tabla119[[#This Row],[PRECIO INSTALLER (CON IVA)]]-Tabla119[[#This Row],[Columna2]]</f>
        <v>718.26717171717166</v>
      </c>
      <c r="E131" s="16">
        <f>+Tabla119[[#This Row],[PRECIO INSTALLER (CON IVA)]]/0.7</f>
        <v>1080.1010101010102</v>
      </c>
      <c r="F131" s="16">
        <f>+Tabla119[[#This Row],[PRECIO INSTALLER (CON IVA)]]*5%</f>
        <v>37.803535353535352</v>
      </c>
      <c r="G131" s="36">
        <v>0.99</v>
      </c>
      <c r="H131" s="31">
        <f>Tabla119[[#This Row],[COSTO]]*1.19</f>
        <v>748.51</v>
      </c>
      <c r="I131" s="20"/>
      <c r="J131" s="20"/>
      <c r="K131" s="32">
        <v>629</v>
      </c>
    </row>
    <row r="132" spans="1:11" ht="38.25" x14ac:dyDescent="0.2">
      <c r="A132" s="18" t="s">
        <v>0</v>
      </c>
      <c r="B132" s="17" t="s">
        <v>279</v>
      </c>
      <c r="C132" s="16">
        <f>+Tabla119[[#This Row],[COSTO +IVA]]/Tabla119[[#This Row],[Columna5]]</f>
        <v>2419.8649999999998</v>
      </c>
      <c r="D132" s="16">
        <f>+Tabla119[[#This Row],[PRECIO INSTALLER (CON IVA)]]-Tabla119[[#This Row],[Columna2]]</f>
        <v>2298.8717499999998</v>
      </c>
      <c r="E132" s="16">
        <f>+Tabla119[[#This Row],[PRECIO INSTALLER (CON IVA)]]/0.7</f>
        <v>3456.95</v>
      </c>
      <c r="F132" s="16">
        <f>+Tabla119[[#This Row],[PRECIO INSTALLER (CON IVA)]]*5%</f>
        <v>120.99324999999999</v>
      </c>
      <c r="G132" s="36">
        <v>1</v>
      </c>
      <c r="H132" s="31">
        <f>Tabla119[[#This Row],[COSTO]]*1.19</f>
        <v>2419.8649999999998</v>
      </c>
      <c r="I132" s="20"/>
      <c r="J132" s="20"/>
      <c r="K132" s="32">
        <v>2033.5</v>
      </c>
    </row>
    <row r="133" spans="1:11" ht="38.25" x14ac:dyDescent="0.2">
      <c r="A133" s="18" t="s">
        <v>101</v>
      </c>
      <c r="B133" s="17" t="s">
        <v>100</v>
      </c>
      <c r="C133" s="16">
        <f>+Tabla119[[#This Row],[COSTO +IVA]]/Tabla119[[#This Row],[Columna5]]</f>
        <v>3452.19</v>
      </c>
      <c r="D133" s="16">
        <f>+Tabla119[[#This Row],[PRECIO INSTALLER (CON IVA)]]-Tabla119[[#This Row],[Columna2]]</f>
        <v>3279.5805</v>
      </c>
      <c r="E133" s="16">
        <f>+Tabla119[[#This Row],[PRECIO INSTALLER (CON IVA)]]/0.7</f>
        <v>4931.7000000000007</v>
      </c>
      <c r="F133" s="16">
        <f>+Tabla119[[#This Row],[PRECIO INSTALLER (CON IVA)]]*5%</f>
        <v>172.60950000000003</v>
      </c>
      <c r="G133" s="36">
        <v>1</v>
      </c>
      <c r="H133" s="31">
        <f>Tabla119[[#This Row],[COSTO]]*1.19</f>
        <v>3452.19</v>
      </c>
      <c r="I133" s="20"/>
      <c r="J133" s="20"/>
      <c r="K133" s="32">
        <v>2901</v>
      </c>
    </row>
    <row r="134" spans="1:11" ht="51" x14ac:dyDescent="0.2">
      <c r="A134" s="18" t="s">
        <v>280</v>
      </c>
      <c r="B134" s="17" t="s">
        <v>281</v>
      </c>
      <c r="C134" s="16">
        <f>+Tabla119[[#This Row],[COSTO +IVA]]/Tabla119[[#This Row],[Columna5]]</f>
        <v>2313479.6263157898</v>
      </c>
      <c r="D134" s="16">
        <f>+Tabla119[[#This Row],[PRECIO INSTALLER (CON IVA)]]-Tabla119[[#This Row],[Columna2]]</f>
        <v>2197805.6450000005</v>
      </c>
      <c r="E134" s="16">
        <f>+Tabla119[[#This Row],[PRECIO INSTALLER (CON IVA)]]/0.7</f>
        <v>3304970.8947368427</v>
      </c>
      <c r="F134" s="16">
        <f>+Tabla119[[#This Row],[PRECIO INSTALLER (CON IVA)]]*5%</f>
        <v>115673.9813157895</v>
      </c>
      <c r="G134" s="36">
        <v>0.95</v>
      </c>
      <c r="H134" s="31">
        <f>Tabla119[[#This Row],[COSTO]]*1.19</f>
        <v>2197805.645</v>
      </c>
      <c r="I134" s="20"/>
      <c r="J134" s="20"/>
      <c r="K134" s="32">
        <v>1846895.5</v>
      </c>
    </row>
    <row r="135" spans="1:11" ht="38.25" x14ac:dyDescent="0.2">
      <c r="A135" s="18" t="s">
        <v>94</v>
      </c>
      <c r="B135" s="17" t="s">
        <v>93</v>
      </c>
      <c r="C135" s="16">
        <f>+Tabla119[[#This Row],[COSTO +IVA]]/Tabla119[[#This Row],[Columna5]]</f>
        <v>2579459.4947916665</v>
      </c>
      <c r="D135" s="16">
        <f>+Tabla119[[#This Row],[PRECIO INSTALLER (CON IVA)]]-Tabla119[[#This Row],[Columna2]]</f>
        <v>2450486.5200520833</v>
      </c>
      <c r="E135" s="16">
        <f>+Tabla119[[#This Row],[PRECIO INSTALLER (CON IVA)]]/0.7</f>
        <v>3684942.1354166665</v>
      </c>
      <c r="F135" s="16">
        <f>+Tabla119[[#This Row],[PRECIO INSTALLER (CON IVA)]]*5%</f>
        <v>128972.97473958333</v>
      </c>
      <c r="G135" s="36">
        <v>0.96</v>
      </c>
      <c r="H135" s="31">
        <f>Tabla119[[#This Row],[COSTO]]*1.19</f>
        <v>2476281.1149999998</v>
      </c>
      <c r="I135" s="20"/>
      <c r="J135" s="20"/>
      <c r="K135" s="32">
        <v>2080908.5</v>
      </c>
    </row>
    <row r="136" spans="1:11" ht="51" x14ac:dyDescent="0.2">
      <c r="A136" s="18" t="s">
        <v>96</v>
      </c>
      <c r="B136" s="17" t="s">
        <v>95</v>
      </c>
      <c r="C136" s="16">
        <f>+Tabla119[[#This Row],[COSTO +IVA]]/Tabla119[[#This Row],[Columna5]]</f>
        <v>4232993.005208333</v>
      </c>
      <c r="D136" s="16">
        <f>+Tabla119[[#This Row],[PRECIO INSTALLER (CON IVA)]]-Tabla119[[#This Row],[Columna2]]</f>
        <v>4021343.3549479162</v>
      </c>
      <c r="E136" s="16">
        <f>+Tabla119[[#This Row],[PRECIO INSTALLER (CON IVA)]]/0.7</f>
        <v>6047132.864583333</v>
      </c>
      <c r="F136" s="16">
        <f>+Tabla119[[#This Row],[PRECIO INSTALLER (CON IVA)]]*5%</f>
        <v>211649.65026041667</v>
      </c>
      <c r="G136" s="36">
        <v>0.96</v>
      </c>
      <c r="H136" s="31">
        <f>Tabla119[[#This Row],[COSTO]]*1.19</f>
        <v>4063673.2849999997</v>
      </c>
      <c r="I136" s="20"/>
      <c r="J136" s="20"/>
      <c r="K136" s="32">
        <v>3414851.5</v>
      </c>
    </row>
    <row r="137" spans="1:11" ht="38.25" x14ac:dyDescent="0.2">
      <c r="A137" s="18" t="s">
        <v>282</v>
      </c>
      <c r="B137" s="17" t="s">
        <v>283</v>
      </c>
      <c r="C137" s="16">
        <f>+Tabla119[[#This Row],[COSTO +IVA]]/Tabla119[[#This Row],[Columna5]]</f>
        <v>64433.87222222222</v>
      </c>
      <c r="D137" s="16">
        <f>+Tabla119[[#This Row],[PRECIO INSTALLER (CON IVA)]]-Tabla119[[#This Row],[Columna2]]</f>
        <v>61212.178611111107</v>
      </c>
      <c r="E137" s="16">
        <f>+Tabla119[[#This Row],[PRECIO INSTALLER (CON IVA)]]/0.7</f>
        <v>92048.388888888891</v>
      </c>
      <c r="F137" s="16">
        <f>+Tabla119[[#This Row],[PRECIO INSTALLER (CON IVA)]]*5%</f>
        <v>3221.6936111111113</v>
      </c>
      <c r="G137" s="35">
        <v>0.9</v>
      </c>
      <c r="H137" s="31">
        <f>Tabla119[[#This Row],[COSTO]]*1.19</f>
        <v>57990.485000000001</v>
      </c>
      <c r="I137" s="20"/>
      <c r="J137" s="20"/>
      <c r="K137" s="32">
        <v>48731.5</v>
      </c>
    </row>
    <row r="138" spans="1:11" x14ac:dyDescent="0.2">
      <c r="A138" s="18" t="s">
        <v>284</v>
      </c>
      <c r="B138" s="17" t="s">
        <v>285</v>
      </c>
      <c r="C138" s="16">
        <f>+Tabla119[[#This Row],[COSTO +IVA]]/Tabla119[[#This Row],[Columna5]]</f>
        <v>69704.25</v>
      </c>
      <c r="D138" s="16">
        <f>+Tabla119[[#This Row],[PRECIO INSTALLER (CON IVA)]]-Tabla119[[#This Row],[Columna2]]</f>
        <v>66219.037500000006</v>
      </c>
      <c r="E138" s="16">
        <f>+Tabla119[[#This Row],[PRECIO INSTALLER (CON IVA)]]/0.7</f>
        <v>99577.5</v>
      </c>
      <c r="F138" s="16">
        <f>+Tabla119[[#This Row],[PRECIO INSTALLER (CON IVA)]]*5%</f>
        <v>3485.2125000000001</v>
      </c>
      <c r="G138" s="35">
        <v>0.9</v>
      </c>
      <c r="H138" s="31">
        <f>Tabla119[[#This Row],[COSTO]]*1.19</f>
        <v>62733.824999999997</v>
      </c>
      <c r="I138" s="20"/>
      <c r="J138" s="20"/>
      <c r="K138" s="32">
        <v>52717.5</v>
      </c>
    </row>
    <row r="139" spans="1:11" ht="51" x14ac:dyDescent="0.2">
      <c r="A139" s="18" t="s">
        <v>286</v>
      </c>
      <c r="B139" s="17" t="s">
        <v>287</v>
      </c>
      <c r="C139" s="16">
        <f>+Tabla119[[#This Row],[COSTO +IVA]]/Tabla119[[#This Row],[Columna5]]</f>
        <v>605894.32065217395</v>
      </c>
      <c r="D139" s="16">
        <f>+Tabla119[[#This Row],[PRECIO INSTALLER (CON IVA)]]-Tabla119[[#This Row],[Columna2]]</f>
        <v>575599.6046195653</v>
      </c>
      <c r="E139" s="16">
        <f>+Tabla119[[#This Row],[PRECIO INSTALLER (CON IVA)]]/0.7</f>
        <v>865563.31521739135</v>
      </c>
      <c r="F139" s="16">
        <f>+Tabla119[[#This Row],[PRECIO INSTALLER (CON IVA)]]*5%</f>
        <v>30294.7160326087</v>
      </c>
      <c r="G139" s="36">
        <v>0.92</v>
      </c>
      <c r="H139" s="31">
        <f>Tabla119[[#This Row],[COSTO]]*1.19</f>
        <v>557422.77500000002</v>
      </c>
      <c r="I139" s="20"/>
      <c r="J139" s="20"/>
      <c r="K139" s="32">
        <v>468422.5</v>
      </c>
    </row>
    <row r="140" spans="1:11" ht="38.25" x14ac:dyDescent="0.2">
      <c r="A140" s="18" t="s">
        <v>288</v>
      </c>
      <c r="B140" s="17" t="s">
        <v>289</v>
      </c>
      <c r="C140" s="16">
        <f>+Tabla119[[#This Row],[COSTO +IVA]]/Tabla119[[#This Row],[Columna5]]</f>
        <v>1836772.1141304346</v>
      </c>
      <c r="D140" s="16">
        <f>+Tabla119[[#This Row],[PRECIO INSTALLER (CON IVA)]]-Tabla119[[#This Row],[Columna2]]</f>
        <v>1744933.5084239128</v>
      </c>
      <c r="E140" s="16">
        <f>+Tabla119[[#This Row],[PRECIO INSTALLER (CON IVA)]]/0.7</f>
        <v>2623960.163043478</v>
      </c>
      <c r="F140" s="16">
        <f>+Tabla119[[#This Row],[PRECIO INSTALLER (CON IVA)]]*5%</f>
        <v>91838.605706521732</v>
      </c>
      <c r="G140" s="36">
        <v>0.92</v>
      </c>
      <c r="H140" s="31">
        <f>Tabla119[[#This Row],[COSTO]]*1.19</f>
        <v>1689830.345</v>
      </c>
      <c r="I140" s="20"/>
      <c r="J140" s="20"/>
      <c r="K140" s="32">
        <v>1420025.5</v>
      </c>
    </row>
    <row r="141" spans="1:11" ht="38.25" x14ac:dyDescent="0.2">
      <c r="A141" s="18" t="s">
        <v>290</v>
      </c>
      <c r="B141" s="17" t="s">
        <v>291</v>
      </c>
      <c r="C141" s="16">
        <f>+Tabla119[[#This Row],[COSTO +IVA]]/Tabla119[[#This Row],[Columna5]]</f>
        <v>2914230.4510869561</v>
      </c>
      <c r="D141" s="16">
        <f>+Tabla119[[#This Row],[PRECIO INSTALLER (CON IVA)]]-Tabla119[[#This Row],[Columna2]]</f>
        <v>2768518.9285326083</v>
      </c>
      <c r="E141" s="16">
        <f>+Tabla119[[#This Row],[PRECIO INSTALLER (CON IVA)]]/0.7</f>
        <v>4163186.3586956519</v>
      </c>
      <c r="F141" s="16">
        <f>+Tabla119[[#This Row],[PRECIO INSTALLER (CON IVA)]]*5%</f>
        <v>145711.52255434782</v>
      </c>
      <c r="G141" s="36">
        <v>0.92</v>
      </c>
      <c r="H141" s="31">
        <f>Tabla119[[#This Row],[COSTO]]*1.19</f>
        <v>2681092.0149999997</v>
      </c>
      <c r="I141" s="20"/>
      <c r="J141" s="20"/>
      <c r="K141" s="32">
        <v>2253018.5</v>
      </c>
    </row>
    <row r="142" spans="1:11" ht="25.5" x14ac:dyDescent="0.2">
      <c r="A142" s="18" t="s">
        <v>292</v>
      </c>
      <c r="B142" s="17" t="s">
        <v>293</v>
      </c>
      <c r="C142" s="16">
        <f>+Tabla119[[#This Row],[COSTO +IVA]]/Tabla119[[#This Row],[Columna5]]</f>
        <v>76001.548913043473</v>
      </c>
      <c r="D142" s="16">
        <f>+Tabla119[[#This Row],[PRECIO INSTALLER (CON IVA)]]-Tabla119[[#This Row],[Columna2]]</f>
        <v>72201.471467391297</v>
      </c>
      <c r="E142" s="16">
        <f>+Tabla119[[#This Row],[PRECIO INSTALLER (CON IVA)]]/0.7</f>
        <v>108573.64130434782</v>
      </c>
      <c r="F142" s="16">
        <f>+Tabla119[[#This Row],[PRECIO INSTALLER (CON IVA)]]*5%</f>
        <v>3800.077445652174</v>
      </c>
      <c r="G142" s="36">
        <v>0.92</v>
      </c>
      <c r="H142" s="31">
        <f>Tabla119[[#This Row],[COSTO]]*1.19</f>
        <v>69921.425000000003</v>
      </c>
      <c r="I142" s="20"/>
      <c r="J142" s="20"/>
      <c r="K142" s="32">
        <v>58757.5</v>
      </c>
    </row>
    <row r="143" spans="1:11" ht="51" x14ac:dyDescent="0.2">
      <c r="A143" s="18" t="s">
        <v>294</v>
      </c>
      <c r="B143" s="17" t="s">
        <v>322</v>
      </c>
      <c r="C143" s="16">
        <f>+Tabla119[[#This Row],[COSTO +IVA]]/Tabla119[[#This Row],[Columna5]]</f>
        <v>1242960.8206521736</v>
      </c>
      <c r="D143" s="16">
        <f>+Tabla119[[#This Row],[PRECIO INSTALLER (CON IVA)]]-Tabla119[[#This Row],[Columna2]]</f>
        <v>1180812.779619565</v>
      </c>
      <c r="E143" s="16">
        <f>+Tabla119[[#This Row],[PRECIO INSTALLER (CON IVA)]]/0.7</f>
        <v>1775658.3152173909</v>
      </c>
      <c r="F143" s="16">
        <f>+Tabla119[[#This Row],[PRECIO INSTALLER (CON IVA)]]*5%</f>
        <v>62148.041032608686</v>
      </c>
      <c r="G143" s="36">
        <v>0.92</v>
      </c>
      <c r="H143" s="31">
        <f>Tabla119[[#This Row],[COSTO]]*1.19</f>
        <v>1143523.9549999998</v>
      </c>
      <c r="I143" s="20"/>
      <c r="J143" s="20"/>
      <c r="K143" s="32">
        <v>960944.5</v>
      </c>
    </row>
    <row r="144" spans="1:11" ht="38.25" x14ac:dyDescent="0.2">
      <c r="A144" s="18" t="s">
        <v>295</v>
      </c>
      <c r="B144" s="17" t="s">
        <v>296</v>
      </c>
      <c r="C144" s="16">
        <f>+Tabla119[[#This Row],[COSTO +IVA]]/Tabla119[[#This Row],[Columna5]]</f>
        <v>186297.73369565213</v>
      </c>
      <c r="D144" s="16">
        <f>+Tabla119[[#This Row],[PRECIO INSTALLER (CON IVA)]]-Tabla119[[#This Row],[Columna2]]</f>
        <v>176982.84701086953</v>
      </c>
      <c r="E144" s="16">
        <f>+Tabla119[[#This Row],[PRECIO INSTALLER (CON IVA)]]/0.7</f>
        <v>266139.61956521735</v>
      </c>
      <c r="F144" s="16">
        <f>+Tabla119[[#This Row],[PRECIO INSTALLER (CON IVA)]]*5%</f>
        <v>9314.8866847826066</v>
      </c>
      <c r="G144" s="36">
        <v>0.92</v>
      </c>
      <c r="H144" s="31">
        <f>Tabla119[[#This Row],[COSTO]]*1.19</f>
        <v>171393.91499999998</v>
      </c>
      <c r="I144" s="20"/>
      <c r="J144" s="20"/>
      <c r="K144" s="32">
        <v>144028.5</v>
      </c>
    </row>
    <row r="145" spans="1:11" ht="38.25" x14ac:dyDescent="0.2">
      <c r="A145" s="18" t="s">
        <v>297</v>
      </c>
      <c r="B145" s="17" t="s">
        <v>298</v>
      </c>
      <c r="C145" s="16">
        <f>+Tabla119[[#This Row],[COSTO +IVA]]/Tabla119[[#This Row],[Columna5]]</f>
        <v>315256.86956521741</v>
      </c>
      <c r="D145" s="16">
        <f>+Tabla119[[#This Row],[PRECIO INSTALLER (CON IVA)]]-Tabla119[[#This Row],[Columna2]]</f>
        <v>299494.02608695655</v>
      </c>
      <c r="E145" s="16">
        <f>+Tabla119[[#This Row],[PRECIO INSTALLER (CON IVA)]]/0.7</f>
        <v>450366.95652173919</v>
      </c>
      <c r="F145" s="16">
        <f>+Tabla119[[#This Row],[PRECIO INSTALLER (CON IVA)]]*5%</f>
        <v>15762.843478260871</v>
      </c>
      <c r="G145" s="36">
        <v>0.92</v>
      </c>
      <c r="H145" s="31">
        <f>Tabla119[[#This Row],[COSTO]]*1.19</f>
        <v>290036.32</v>
      </c>
      <c r="I145" s="20"/>
      <c r="J145" s="20"/>
      <c r="K145" s="32">
        <v>243728</v>
      </c>
    </row>
    <row r="146" spans="1:11" ht="51" x14ac:dyDescent="0.2">
      <c r="A146" s="18" t="s">
        <v>314</v>
      </c>
      <c r="B146" s="17" t="s">
        <v>315</v>
      </c>
      <c r="C146" s="16">
        <f>+Tabla119[[#This Row],[COSTO +IVA]]/Tabla119[[#This Row],[Columna5]]</f>
        <v>178570.49456521738</v>
      </c>
      <c r="D146" s="16">
        <f>+Tabla119[[#This Row],[PRECIO INSTALLER (CON IVA)]]-Tabla119[[#This Row],[Columna2]]</f>
        <v>169641.9698369565</v>
      </c>
      <c r="E146" s="16">
        <f>+Tabla119[[#This Row],[PRECIO INSTALLER (CON IVA)]]/0.7</f>
        <v>255100.70652173914</v>
      </c>
      <c r="F146" s="16">
        <f>+Tabla119[[#This Row],[PRECIO INSTALLER (CON IVA)]]*5%</f>
        <v>8928.5247282608689</v>
      </c>
      <c r="G146" s="36">
        <v>0.92</v>
      </c>
      <c r="H146" s="31">
        <f>Tabla119[[#This Row],[COSTO]]*1.19</f>
        <v>164284.85499999998</v>
      </c>
      <c r="I146" s="20"/>
      <c r="J146" s="20"/>
      <c r="K146" s="32">
        <v>138054.5</v>
      </c>
    </row>
    <row r="147" spans="1:11" ht="51" x14ac:dyDescent="0.2">
      <c r="A147" s="18" t="s">
        <v>299</v>
      </c>
      <c r="B147" s="17" t="s">
        <v>300</v>
      </c>
      <c r="C147" s="16">
        <f>+Tabla119[[#This Row],[COSTO +IVA]]/Tabla119[[#This Row],[Columna5]]</f>
        <v>882015.43888888892</v>
      </c>
      <c r="D147" s="16">
        <f>+Tabla119[[#This Row],[PRECIO INSTALLER (CON IVA)]]-Tabla119[[#This Row],[Columna2]]</f>
        <v>837914.66694444441</v>
      </c>
      <c r="E147" s="16">
        <f>+Tabla119[[#This Row],[PRECIO INSTALLER (CON IVA)]]/0.7</f>
        <v>1260022.0555555557</v>
      </c>
      <c r="F147" s="16">
        <f>+Tabla119[[#This Row],[PRECIO INSTALLER (CON IVA)]]*5%</f>
        <v>44100.771944444452</v>
      </c>
      <c r="G147" s="35">
        <v>0.9</v>
      </c>
      <c r="H147" s="31">
        <f>Tabla119[[#This Row],[COSTO]]*1.19</f>
        <v>793813.89500000002</v>
      </c>
      <c r="I147" s="20"/>
      <c r="J147" s="20"/>
      <c r="K147" s="32">
        <v>667070.5</v>
      </c>
    </row>
    <row r="148" spans="1:11" ht="38.25" x14ac:dyDescent="0.2">
      <c r="A148" s="18" t="s">
        <v>301</v>
      </c>
      <c r="B148" s="17" t="s">
        <v>302</v>
      </c>
      <c r="C148" s="16">
        <f>+Tabla119[[#This Row],[COSTO +IVA]]/Tabla119[[#This Row],[Columna5]]</f>
        <v>149158.56666666665</v>
      </c>
      <c r="D148" s="16">
        <f>+Tabla119[[#This Row],[PRECIO INSTALLER (CON IVA)]]-Tabla119[[#This Row],[Columna2]]</f>
        <v>141700.63833333331</v>
      </c>
      <c r="E148" s="16">
        <f>+Tabla119[[#This Row],[PRECIO INSTALLER (CON IVA)]]/0.7</f>
        <v>213083.66666666666</v>
      </c>
      <c r="F148" s="16">
        <f>+Tabla119[[#This Row],[PRECIO INSTALLER (CON IVA)]]*5%</f>
        <v>7457.9283333333333</v>
      </c>
      <c r="G148" s="35">
        <v>0.9</v>
      </c>
      <c r="H148" s="31">
        <f>Tabla119[[#This Row],[COSTO]]*1.19</f>
        <v>134242.71</v>
      </c>
      <c r="I148" s="20"/>
      <c r="J148" s="20"/>
      <c r="K148" s="32">
        <v>112809</v>
      </c>
    </row>
    <row r="149" spans="1:11" ht="89.25" x14ac:dyDescent="0.2">
      <c r="A149" s="18" t="s">
        <v>303</v>
      </c>
      <c r="B149" s="17" t="s">
        <v>304</v>
      </c>
      <c r="C149" s="16">
        <f>+Tabla119[[#This Row],[COSTO +IVA]]/Tabla119[[#This Row],[Columna5]]</f>
        <v>369612.78571428568</v>
      </c>
      <c r="D149" s="16">
        <f>+Tabla119[[#This Row],[PRECIO INSTALLER (CON IVA)]]-Tabla119[[#This Row],[Columna2]]</f>
        <v>351132.14642857137</v>
      </c>
      <c r="E149" s="16">
        <f>+Tabla119[[#This Row],[PRECIO INSTALLER (CON IVA)]]/0.7</f>
        <v>528018.26530612248</v>
      </c>
      <c r="F149" s="16">
        <f>+Tabla119[[#This Row],[PRECIO INSTALLER (CON IVA)]]*5%</f>
        <v>18480.639285714286</v>
      </c>
      <c r="G149" s="36">
        <v>0.98</v>
      </c>
      <c r="H149" s="31">
        <f>Tabla119[[#This Row],[COSTO]]*1.19</f>
        <v>362220.52999999997</v>
      </c>
      <c r="I149" s="20"/>
      <c r="J149" s="20"/>
      <c r="K149" s="32">
        <v>304387</v>
      </c>
    </row>
    <row r="150" spans="1:11" ht="51" x14ac:dyDescent="0.2">
      <c r="A150" s="18" t="s">
        <v>305</v>
      </c>
      <c r="B150" s="17" t="s">
        <v>306</v>
      </c>
      <c r="C150" s="16">
        <f>+Tabla119[[#This Row],[COSTO +IVA]]/Tabla119[[#This Row],[Columna5]]</f>
        <v>613973.88888888888</v>
      </c>
      <c r="D150" s="16">
        <f>+Tabla119[[#This Row],[PRECIO INSTALLER (CON IVA)]]-Tabla119[[#This Row],[Columna2]]</f>
        <v>583275.19444444438</v>
      </c>
      <c r="E150" s="16">
        <f>+Tabla119[[#This Row],[PRECIO INSTALLER (CON IVA)]]/0.7</f>
        <v>877105.55555555562</v>
      </c>
      <c r="F150" s="16">
        <f>+Tabla119[[#This Row],[PRECIO INSTALLER (CON IVA)]]*5%</f>
        <v>30698.694444444445</v>
      </c>
      <c r="G150" s="35">
        <v>0.9</v>
      </c>
      <c r="H150" s="31">
        <f>Tabla119[[#This Row],[COSTO]]*1.19</f>
        <v>552576.5</v>
      </c>
      <c r="I150" s="20"/>
      <c r="J150" s="20"/>
      <c r="K150" s="32">
        <v>464350</v>
      </c>
    </row>
    <row r="151" spans="1:11" ht="76.5" x14ac:dyDescent="0.2">
      <c r="A151" s="18" t="s">
        <v>307</v>
      </c>
      <c r="B151" s="17" t="s">
        <v>308</v>
      </c>
      <c r="C151" s="16">
        <f>+Tabla119[[#This Row],[COSTO +IVA]]/Tabla119[[#This Row],[Columna5]]</f>
        <v>787789.10714285716</v>
      </c>
      <c r="D151" s="16">
        <f>+Tabla119[[#This Row],[PRECIO INSTALLER (CON IVA)]]-Tabla119[[#This Row],[Columna2]]</f>
        <v>748399.65178571432</v>
      </c>
      <c r="E151" s="16">
        <f>+Tabla119[[#This Row],[PRECIO INSTALLER (CON IVA)]]/0.7</f>
        <v>1125413.0102040817</v>
      </c>
      <c r="F151" s="16">
        <f>+Tabla119[[#This Row],[PRECIO INSTALLER (CON IVA)]]*5%</f>
        <v>39389.455357142862</v>
      </c>
      <c r="G151" s="36">
        <v>0.98</v>
      </c>
      <c r="H151" s="31">
        <f>Tabla119[[#This Row],[COSTO]]*1.19</f>
        <v>772033.32499999995</v>
      </c>
      <c r="I151" s="20"/>
      <c r="J151" s="20"/>
      <c r="K151" s="32">
        <v>648767.5</v>
      </c>
    </row>
    <row r="152" spans="1:11" ht="76.5" x14ac:dyDescent="0.2">
      <c r="A152" s="18" t="s">
        <v>309</v>
      </c>
      <c r="B152" s="17" t="s">
        <v>310</v>
      </c>
      <c r="C152" s="16">
        <f>+Tabla119[[#This Row],[COSTO +IVA]]/Tabla119[[#This Row],[Columna5]]</f>
        <v>1043598.9277777777</v>
      </c>
      <c r="D152" s="16">
        <f>+Tabla119[[#This Row],[PRECIO INSTALLER (CON IVA)]]-Tabla119[[#This Row],[Columna2]]</f>
        <v>991418.98138888879</v>
      </c>
      <c r="E152" s="16">
        <f>+Tabla119[[#This Row],[PRECIO INSTALLER (CON IVA)]]/0.7</f>
        <v>1490855.611111111</v>
      </c>
      <c r="F152" s="16">
        <f>+Tabla119[[#This Row],[PRECIO INSTALLER (CON IVA)]]*5%</f>
        <v>52179.946388888886</v>
      </c>
      <c r="G152" s="35">
        <v>0.9</v>
      </c>
      <c r="H152" s="31">
        <f>Tabla119[[#This Row],[COSTO]]*1.19</f>
        <v>939239.03499999992</v>
      </c>
      <c r="I152" s="20"/>
      <c r="J152" s="20"/>
      <c r="K152" s="32">
        <v>789276.5</v>
      </c>
    </row>
    <row r="153" spans="1:11" ht="51" x14ac:dyDescent="0.2">
      <c r="A153" s="18" t="s">
        <v>73</v>
      </c>
      <c r="B153" s="17" t="s">
        <v>72</v>
      </c>
      <c r="C153" s="16">
        <f>+Tabla119[[#This Row],[COSTO +IVA]]/Tabla119[[#This Row],[Columna5]]</f>
        <v>722736.88383838383</v>
      </c>
      <c r="D153" s="16">
        <f>+Tabla119[[#This Row],[PRECIO INSTALLER (CON IVA)]]-Tabla119[[#This Row],[Columna2]]</f>
        <v>686600.03964646463</v>
      </c>
      <c r="E153" s="16">
        <f>+Tabla119[[#This Row],[PRECIO INSTALLER (CON IVA)]]/0.7</f>
        <v>1032481.2626262627</v>
      </c>
      <c r="F153" s="16">
        <f>+Tabla119[[#This Row],[PRECIO INSTALLER (CON IVA)]]*5%</f>
        <v>36136.84419191919</v>
      </c>
      <c r="G153" s="36">
        <v>0.99</v>
      </c>
      <c r="H153" s="31">
        <f>Tabla119[[#This Row],[COSTO]]*1.19</f>
        <v>715509.51500000001</v>
      </c>
      <c r="I153" s="20"/>
      <c r="J153" s="20"/>
      <c r="K153" s="32">
        <v>601268.5</v>
      </c>
    </row>
    <row r="154" spans="1:11" ht="38.25" x14ac:dyDescent="0.2">
      <c r="A154" s="18" t="s">
        <v>86</v>
      </c>
      <c r="B154" s="17" t="s">
        <v>85</v>
      </c>
      <c r="C154" s="16">
        <f>+Tabla119[[#This Row],[COSTO +IVA]]/Tabla119[[#This Row],[Columna5]]</f>
        <v>1229505.5208333335</v>
      </c>
      <c r="D154" s="16">
        <f>+Tabla119[[#This Row],[PRECIO INSTALLER (CON IVA)]]-Tabla119[[#This Row],[Columna2]]</f>
        <v>1168030.2447916667</v>
      </c>
      <c r="E154" s="16">
        <f>+Tabla119[[#This Row],[PRECIO INSTALLER (CON IVA)]]/0.7</f>
        <v>1756436.4583333337</v>
      </c>
      <c r="F154" s="16">
        <f>+Tabla119[[#This Row],[PRECIO INSTALLER (CON IVA)]]*5%</f>
        <v>61475.276041666679</v>
      </c>
      <c r="G154" s="36">
        <v>0.96</v>
      </c>
      <c r="H154" s="31">
        <f>Tabla119[[#This Row],[COSTO]]*1.19</f>
        <v>1180325.3</v>
      </c>
      <c r="I154" s="20"/>
      <c r="J154" s="20"/>
      <c r="K154" s="32">
        <v>991870</v>
      </c>
    </row>
    <row r="155" spans="1:11" ht="25.5" x14ac:dyDescent="0.2">
      <c r="A155" s="18" t="s">
        <v>311</v>
      </c>
      <c r="B155" s="17" t="s">
        <v>312</v>
      </c>
      <c r="C155" s="16">
        <f>+Tabla119[[#This Row],[COSTO +IVA]]/Tabla119[[#This Row],[Columna5]]</f>
        <v>232615.91111111108</v>
      </c>
      <c r="D155" s="16">
        <f>+Tabla119[[#This Row],[PRECIO INSTALLER (CON IVA)]]-Tabla119[[#This Row],[Columna2]]</f>
        <v>220985.11555555553</v>
      </c>
      <c r="E155" s="16">
        <f>+Tabla119[[#This Row],[PRECIO INSTALLER (CON IVA)]]/0.7</f>
        <v>332308.44444444444</v>
      </c>
      <c r="F155" s="16">
        <f>+Tabla119[[#This Row],[PRECIO INSTALLER (CON IVA)]]*5%</f>
        <v>11630.795555555555</v>
      </c>
      <c r="G155" s="35">
        <v>0.9</v>
      </c>
      <c r="H155" s="31">
        <f>Tabla119[[#This Row],[COSTO]]*1.19</f>
        <v>209354.31999999998</v>
      </c>
      <c r="I155" s="20"/>
      <c r="J155" s="20"/>
      <c r="K155" s="32">
        <v>175928</v>
      </c>
    </row>
    <row r="156" spans="1:11" ht="38.25" x14ac:dyDescent="0.2">
      <c r="A156" s="18" t="s">
        <v>231</v>
      </c>
      <c r="B156" s="17" t="s">
        <v>232</v>
      </c>
      <c r="C156" s="16">
        <f>+Tabla119[[#This Row],[COSTO +IVA]]/Tabla119[[#This Row],[Columna5]]</f>
        <v>318828.76666666666</v>
      </c>
      <c r="D156" s="16">
        <f>+Tabla119[[#This Row],[PRECIO INSTALLER (CON IVA)]]-Tabla119[[#This Row],[Columna2]]</f>
        <v>302887.32833333331</v>
      </c>
      <c r="E156" s="16">
        <f>+Tabla119[[#This Row],[PRECIO INSTALLER (CON IVA)]]/0.7</f>
        <v>455469.66666666669</v>
      </c>
      <c r="F156" s="16">
        <f>+Tabla119[[#This Row],[PRECIO INSTALLER (CON IVA)]]*5%</f>
        <v>15941.438333333334</v>
      </c>
      <c r="G156" s="35">
        <v>0.9</v>
      </c>
      <c r="H156" s="31">
        <f>Tabla119[[#This Row],[COSTO]]*1.19</f>
        <v>286945.89</v>
      </c>
      <c r="I156" s="20"/>
      <c r="J156" s="20"/>
      <c r="K156" s="32">
        <v>241131</v>
      </c>
    </row>
    <row r="157" spans="1:11" ht="38.25" x14ac:dyDescent="0.2">
      <c r="A157" s="18" t="s">
        <v>90</v>
      </c>
      <c r="B157" s="17" t="s">
        <v>89</v>
      </c>
      <c r="C157" s="16">
        <f>+Tabla119[[#This Row],[COSTO +IVA]]/Tabla119[[#This Row],[Columna5]]</f>
        <v>1887554.7949999999</v>
      </c>
      <c r="D157" s="16">
        <f>+Tabla119[[#This Row],[PRECIO INSTALLER (CON IVA)]]-Tabla119[[#This Row],[Columna2]]</f>
        <v>1793177.05525</v>
      </c>
      <c r="E157" s="16">
        <f>+Tabla119[[#This Row],[PRECIO INSTALLER (CON IVA)]]/0.7</f>
        <v>2696506.85</v>
      </c>
      <c r="F157" s="16">
        <f>+Tabla119[[#This Row],[PRECIO INSTALLER (CON IVA)]]*5%</f>
        <v>94377.739750000008</v>
      </c>
      <c r="G157" s="36">
        <v>1</v>
      </c>
      <c r="H157" s="31">
        <f>Tabla119[[#This Row],[COSTO]]*1.19</f>
        <v>1887554.7949999999</v>
      </c>
      <c r="I157" s="20"/>
      <c r="J157" s="20"/>
      <c r="K157" s="32">
        <v>1586180.5</v>
      </c>
    </row>
    <row r="158" spans="1:11" ht="51" x14ac:dyDescent="0.2">
      <c r="A158" s="18" t="s">
        <v>69</v>
      </c>
      <c r="B158" s="17" t="s">
        <v>68</v>
      </c>
      <c r="C158" s="16">
        <f>+Tabla119[[#This Row],[COSTO +IVA]]/Tabla119[[#This Row],[Columna5]]</f>
        <v>561808.296875</v>
      </c>
      <c r="D158" s="16">
        <f>+Tabla119[[#This Row],[PRECIO INSTALLER (CON IVA)]]-Tabla119[[#This Row],[Columna2]]</f>
        <v>533717.88203125005</v>
      </c>
      <c r="E158" s="16">
        <f>+Tabla119[[#This Row],[PRECIO INSTALLER (CON IVA)]]/0.7</f>
        <v>802583.28125</v>
      </c>
      <c r="F158" s="16">
        <f>+Tabla119[[#This Row],[PRECIO INSTALLER (CON IVA)]]*5%</f>
        <v>28090.414843750001</v>
      </c>
      <c r="G158" s="35">
        <v>0.96</v>
      </c>
      <c r="H158" s="31">
        <f>Tabla119[[#This Row],[COSTO]]*1.19</f>
        <v>539335.96499999997</v>
      </c>
      <c r="I158" s="20"/>
      <c r="J158" s="20"/>
      <c r="K158" s="32">
        <v>453223.5</v>
      </c>
    </row>
    <row r="159" spans="1:11" ht="25.5" x14ac:dyDescent="0.2">
      <c r="A159" s="18" t="s">
        <v>45</v>
      </c>
      <c r="B159" s="17" t="s">
        <v>313</v>
      </c>
      <c r="C159" s="16">
        <f>+Tabla119[[#This Row],[COSTO +IVA]]/Tabla119[[#This Row],[Columna5]]</f>
        <v>119191.515625</v>
      </c>
      <c r="D159" s="16">
        <f>+Tabla119[[#This Row],[PRECIO INSTALLER (CON IVA)]]-Tabla119[[#This Row],[Columna2]]</f>
        <v>113231.93984375001</v>
      </c>
      <c r="E159" s="16">
        <f>+Tabla119[[#This Row],[PRECIO INSTALLER (CON IVA)]]/0.7</f>
        <v>170273.59375</v>
      </c>
      <c r="F159" s="16">
        <f>+Tabla119[[#This Row],[PRECIO INSTALLER (CON IVA)]]*5%</f>
        <v>5959.5757812500005</v>
      </c>
      <c r="G159" s="36">
        <v>0.96</v>
      </c>
      <c r="H159" s="31">
        <f>Tabla119[[#This Row],[COSTO]]*1.19</f>
        <v>114423.855</v>
      </c>
      <c r="I159" s="20"/>
      <c r="J159" s="20"/>
      <c r="K159" s="32">
        <v>96154.5</v>
      </c>
    </row>
  </sheetData>
  <conditionalFormatting sqref="A1:A1048576">
    <cfRule type="duplicateValues" dxfId="3" priority="3"/>
  </conditionalFormatting>
  <conditionalFormatting sqref="A76">
    <cfRule type="duplicateValues" dxfId="2" priority="1"/>
    <cfRule type="duplicateValues" dxfId="1" priority="2"/>
  </conditionalFormatting>
  <pageMargins left="0.74803149606299213" right="0.74803149606299213" top="0.98425196850393704" bottom="0.98425196850393704" header="0.51181102362204722" footer="0.51181102362204722"/>
  <pageSetup scale="45" firstPageNumber="0" orientation="portrait" horizontalDpi="300" verticalDpi="300" r:id="rId1"/>
  <headerFooter alignWithMargins="0"/>
  <rowBreaks count="1" manualBreakCount="1">
    <brk id="129" max="4" man="1"/>
  </rowBreak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CONTROL DE ACCESO ZK</vt:lpstr>
      <vt:lpstr>'CONTROL DE ACCESO ZK'!Área_de_impresión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Jenifer Loaiza</dc:creator>
  <cp:lastModifiedBy>Jenifer Loaiza</cp:lastModifiedBy>
  <cp:lastPrinted>2026-10-07T19:08:53Z</cp:lastPrinted>
  <dcterms:created xsi:type="dcterms:W3CDTF">2026-10-06T18:15:28Z</dcterms:created>
  <dcterms:modified xsi:type="dcterms:W3CDTF">2026-10-07T19:13:22Z</dcterms:modified>
</cp:coreProperties>
</file>