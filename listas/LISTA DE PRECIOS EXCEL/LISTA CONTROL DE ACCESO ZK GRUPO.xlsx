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8_{48CA7AE7-7CDF-4546-BA36-125AA3F51901}" xr6:coauthVersionLast="47" xr6:coauthVersionMax="47" xr10:uidLastSave="{00000000-0000-0000-0000-000000000000}"/>
  <bookViews>
    <workbookView xWindow="-120" yWindow="-120" windowWidth="24240" windowHeight="13140" xr2:uid="{55AF5E57-A9B6-4BD6-BC1D-BD74B1E8CED8}"/>
  </bookViews>
  <sheets>
    <sheet name="CONTROL DE ACCESO ZK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[2]Pub!$H$13:$H$83</definedName>
    <definedName name="__123Graph_B" hidden="1">[2]Pub!$I$13:$I$83</definedName>
    <definedName name="__123Graph_C" hidden="1">[2]Pub!$J$13:$J$83</definedName>
    <definedName name="__123Graph_D" hidden="1">[2]Pub!$K$13:$K$83</definedName>
    <definedName name="__123Graph_E" hidden="1">[2]Pub!#REF!</definedName>
    <definedName name="__123Graph_F" hidden="1">[2]Pub!$L$13:$L$83</definedName>
    <definedName name="__123Graph_X" hidden="1">[2]Pub!$G$13:$G$83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[3]計算過程シート!#REF!</definedName>
    <definedName name="_1__123Graph_ACHART_1" hidden="1">'[4]Historical IS'!#REF!</definedName>
    <definedName name="_1__123Graph_AIRR_IRR" hidden="1">#REF!</definedName>
    <definedName name="_10___123Graph_XIRR_IRR" hidden="1">#REF!</definedName>
    <definedName name="_10__123Graph_ACHART_16" hidden="1">[5]engineering!$Q$49:$S$49</definedName>
    <definedName name="_10__123Graph_CCHART_3" hidden="1">'[4]Historical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[5]revenue!$P$77:$R$77</definedName>
    <definedName name="_11__123Graph_CCHART_8" hidden="1">'[4]Historical IS'!#REF!</definedName>
    <definedName name="_12__123Graph_ACHART_18" hidden="1">[5]revenue!$P$82:$R$82</definedName>
    <definedName name="_12__123Graph_AIRR_IRR" hidden="1">#REF!</definedName>
    <definedName name="_12__123Graph_DCHART_1" hidden="1">'[4]Historical IS'!#REF!</definedName>
    <definedName name="_13__123Graph_ACHART_19" hidden="1">[5]sga!$P$7:$R$7</definedName>
    <definedName name="_13__123Graph_AMOF_NB" hidden="1">[3]計算過程シート!#REF!</definedName>
    <definedName name="_13__123Graph_DCHART_8" hidden="1">'[4]Historical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'[4]Historical IS'!#REF!</definedName>
    <definedName name="_15__123Graph_ACHART_20" hidden="1">[5]sga!$P$10:$R$10</definedName>
    <definedName name="_15__123Graph_BIRR_IRR" hidden="1">#REF!</definedName>
    <definedName name="_15__123Graph_LBL_ACHART_4" hidden="1">'[4]Historical IS'!#REF!</definedName>
    <definedName name="_16__123Graph_ACHART_3" hidden="1">#REF!</definedName>
    <definedName name="_16__123Graph_BMOF_NB" hidden="1">#REF!</definedName>
    <definedName name="_16__123Graph_LBL_BCHART_3" hidden="1">'[4]Historical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'[4]Historical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'[4]Historical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'[4]Historical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'[4]Historical IS'!#REF!</definedName>
    <definedName name="_20__123Graph_ACHART_7" hidden="1">#REF!</definedName>
    <definedName name="_20__123Graph_XCHART_3" hidden="1">'[4]Historical IS'!#REF!</definedName>
    <definedName name="_20__123Graph_XIRR_IRR" hidden="1">#REF!</definedName>
    <definedName name="_21__123Graph_ACHART_8" hidden="1">#REF!</definedName>
    <definedName name="_21__123Graph_XCHART_4" hidden="1">'[4]Historical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'[4]Historical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[3]計算過程シート!#REF!</definedName>
    <definedName name="_26__123Graph_BCHART_13" hidden="1">[5]engineering!$Q$42:$W$42</definedName>
    <definedName name="_27__123Graph_BCHART_14" hidden="1">[5]engineering!$Q$46:$W$46</definedName>
    <definedName name="_28__123Graph_BCHART_15" hidden="1">#REF!</definedName>
    <definedName name="_29__123Graph_BCHART_16" hidden="1">[5]engineering!$Q$50:$S$50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'[4]Historical IS'!#REF!</definedName>
    <definedName name="_30__123Graph_BCHART_17" hidden="1">[5]revenue!$P$78:$R$78</definedName>
    <definedName name="_31__123Graph_BCHART_2" hidden="1">#REF!</definedName>
    <definedName name="_32__123Graph_BCHART_20" hidden="1">[5]sga!$P$11:$R$11</definedName>
    <definedName name="_33__123Graph_BCHART_3" hidden="1">[5]revenue!$P$10:$R$10</definedName>
    <definedName name="_34__123Graph_BCHART_6" hidden="1">#REF!</definedName>
    <definedName name="_35__123Graph_BCHART_7" hidden="1">[5]revenue!$P$45:$R$45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[5]engineering!$P$7:$T$7</definedName>
    <definedName name="_38__123Graph_CCHART_1" hidden="1">#REF!</definedName>
    <definedName name="_39__123Graph_CCHART_11" hidden="1">[5]engineering!$P$16:$T$16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'[4]Historical IS'!#REF!</definedName>
    <definedName name="_40__123Graph_CCHART_12" hidden="1">#REF!</definedName>
    <definedName name="_41__123Graph_CCHART_2" hidden="1">#REF!</definedName>
    <definedName name="_42__123Graph_CCHART_20" hidden="1">[5]sga!$P$12:$R$12</definedName>
    <definedName name="_43__123Graph_CCHART_7" hidden="1">[5]revenue!$P$46:$R$46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'[4]Historical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[5]engineering!$Q$48:$S$48</definedName>
    <definedName name="_6___123Graph_AIRR_IRR" hidden="1">#REF!</definedName>
    <definedName name="_6__123Graph_ACHART_12" hidden="1">#REF!</definedName>
    <definedName name="_6__123Graph_BCHART_3" hidden="1">'[4]Historical IS'!#REF!</definedName>
    <definedName name="_60__123Graph_XCHART_18" hidden="1">[5]revenue!$P$81:$R$81</definedName>
    <definedName name="_61__123Graph_XCHART_2" hidden="1">#REF!</definedName>
    <definedName name="_62__123Graph_XCHART_20" hidden="1">[5]sga!$P$9:$R$9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'[4]Historical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'[4]Historical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'[4]Historical IS'!#REF!</definedName>
    <definedName name="_DF4" hidden="1">#REF!</definedName>
    <definedName name="_Fill" hidden="1">#REF!</definedName>
    <definedName name="_xlnm._FilterDatabase" hidden="1">'[6]46W9'!#REF!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'[7]Data sheet'!$A$4</definedName>
    <definedName name="BLPH10" hidden="1">'[7]Data sheet'!$AB$4</definedName>
    <definedName name="BLPH11" hidden="1">'[7]Data sheet'!$AE$4</definedName>
    <definedName name="BLPH12" hidden="1">'[7]Data sheet'!$AH$4</definedName>
    <definedName name="BLPH2" hidden="1">'[7]Data sheet'!$D$4</definedName>
    <definedName name="BLPH3" hidden="1">'[7]Data sheet'!$G$4</definedName>
    <definedName name="BLPH4" hidden="1">'[7]Data sheet'!$J$4</definedName>
    <definedName name="BLPH5" hidden="1">'[7]Data sheet'!$M$4</definedName>
    <definedName name="BLPH6" hidden="1">'[7]Data sheet'!$P$4</definedName>
    <definedName name="BLPH7" hidden="1">'[7]Data sheet'!$S$4</definedName>
    <definedName name="BLPH8" hidden="1">'[7]Data sheet'!$V$4</definedName>
    <definedName name="BLPH9" hidden="1">'[7]Data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'[8]Cálculo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[9]Resumen_Inv!$I$66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[6]Presentacion!#REF!</definedName>
    <definedName name="Z_D55C8B2E_861A_459E_9D09_3AF38A1DE99E_.wvu.Rows" hidden="1">[6]Presentacion!#REF!</definedName>
    <definedName name="Z_F540D718_D9AA_403F_AE49_60D937FD77E5_.wvu.Rows" hidden="1">[6]Presentacion!#REF!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[10]計算過程シート!#REF!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[10]計算過程シート!#REF!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C2" i="1" s="1"/>
  <c r="H3" i="1"/>
  <c r="C3" i="1" s="1"/>
  <c r="H4" i="1"/>
  <c r="C4" i="1" s="1"/>
  <c r="H5" i="1"/>
  <c r="C5" i="1" s="1"/>
  <c r="H6" i="1"/>
  <c r="C6" i="1" s="1"/>
  <c r="H7" i="1"/>
  <c r="C7" i="1" s="1"/>
  <c r="H8" i="1"/>
  <c r="C8" i="1" s="1"/>
  <c r="H9" i="1"/>
  <c r="C9" i="1" s="1"/>
  <c r="H10" i="1"/>
  <c r="C10" i="1" s="1"/>
  <c r="H11" i="1"/>
  <c r="C11" i="1" s="1"/>
  <c r="H12" i="1"/>
  <c r="C12" i="1" s="1"/>
  <c r="H13" i="1"/>
  <c r="C13" i="1" s="1"/>
  <c r="H14" i="1"/>
  <c r="C14" i="1" s="1"/>
  <c r="H15" i="1"/>
  <c r="C15" i="1" s="1"/>
  <c r="H16" i="1"/>
  <c r="C16" i="1" s="1"/>
  <c r="H17" i="1"/>
  <c r="C17" i="1" s="1"/>
  <c r="H18" i="1"/>
  <c r="C18" i="1" s="1"/>
  <c r="H19" i="1"/>
  <c r="C19" i="1" s="1"/>
  <c r="H20" i="1"/>
  <c r="C20" i="1" s="1"/>
  <c r="H21" i="1"/>
  <c r="C21" i="1" s="1"/>
  <c r="H22" i="1"/>
  <c r="C22" i="1" s="1"/>
  <c r="H23" i="1"/>
  <c r="C23" i="1" s="1"/>
  <c r="H24" i="1"/>
  <c r="C24" i="1" s="1"/>
  <c r="H25" i="1"/>
  <c r="C25" i="1" s="1"/>
  <c r="H26" i="1"/>
  <c r="C26" i="1" s="1"/>
  <c r="H27" i="1"/>
  <c r="C27" i="1" s="1"/>
  <c r="H28" i="1"/>
  <c r="C28" i="1" s="1"/>
  <c r="H29" i="1"/>
  <c r="C29" i="1" s="1"/>
  <c r="H30" i="1"/>
  <c r="C30" i="1" s="1"/>
  <c r="C31" i="1"/>
  <c r="E31" i="1"/>
  <c r="H31" i="1"/>
  <c r="H32" i="1"/>
  <c r="C32" i="1" s="1"/>
  <c r="H33" i="1"/>
  <c r="C33" i="1" s="1"/>
  <c r="H34" i="1"/>
  <c r="C34" i="1" s="1"/>
  <c r="H35" i="1"/>
  <c r="C35" i="1" s="1"/>
  <c r="H36" i="1"/>
  <c r="C36" i="1" s="1"/>
  <c r="H37" i="1"/>
  <c r="C37" i="1" s="1"/>
  <c r="H38" i="1"/>
  <c r="C38" i="1" s="1"/>
  <c r="H39" i="1"/>
  <c r="C39" i="1" s="1"/>
  <c r="H40" i="1"/>
  <c r="C40" i="1" s="1"/>
  <c r="H41" i="1"/>
  <c r="C41" i="1" s="1"/>
  <c r="H42" i="1"/>
  <c r="C42" i="1" s="1"/>
  <c r="H43" i="1"/>
  <c r="C43" i="1" s="1"/>
  <c r="H44" i="1"/>
  <c r="C44" i="1" s="1"/>
  <c r="H45" i="1"/>
  <c r="C45" i="1" s="1"/>
  <c r="H46" i="1"/>
  <c r="C46" i="1" s="1"/>
  <c r="H47" i="1"/>
  <c r="C47" i="1" s="1"/>
  <c r="H48" i="1"/>
  <c r="C48" i="1" s="1"/>
  <c r="H49" i="1"/>
  <c r="C49" i="1" s="1"/>
  <c r="H50" i="1"/>
  <c r="C50" i="1" s="1"/>
  <c r="H51" i="1"/>
  <c r="C51" i="1" s="1"/>
  <c r="H52" i="1"/>
  <c r="C52" i="1" s="1"/>
  <c r="H53" i="1"/>
  <c r="C53" i="1" s="1"/>
  <c r="H54" i="1"/>
  <c r="C54" i="1" s="1"/>
  <c r="H55" i="1"/>
  <c r="C55" i="1" s="1"/>
  <c r="H56" i="1"/>
  <c r="C56" i="1" s="1"/>
  <c r="H57" i="1"/>
  <c r="C57" i="1" s="1"/>
  <c r="H58" i="1"/>
  <c r="C58" i="1" s="1"/>
  <c r="H59" i="1"/>
  <c r="C59" i="1" s="1"/>
  <c r="H60" i="1"/>
  <c r="C60" i="1" s="1"/>
  <c r="C61" i="1"/>
  <c r="H61" i="1"/>
  <c r="H62" i="1"/>
  <c r="C62" i="1" s="1"/>
  <c r="H63" i="1"/>
  <c r="C63" i="1" s="1"/>
  <c r="H64" i="1"/>
  <c r="C64" i="1" s="1"/>
  <c r="H65" i="1"/>
  <c r="C65" i="1" s="1"/>
  <c r="H66" i="1"/>
  <c r="C66" i="1" s="1"/>
  <c r="H67" i="1"/>
  <c r="C67" i="1" s="1"/>
  <c r="H68" i="1"/>
  <c r="C68" i="1" s="1"/>
  <c r="H69" i="1"/>
  <c r="C69" i="1" s="1"/>
  <c r="H70" i="1"/>
  <c r="C70" i="1" s="1"/>
  <c r="H71" i="1"/>
  <c r="C71" i="1" s="1"/>
  <c r="H72" i="1"/>
  <c r="C72" i="1" s="1"/>
  <c r="H73" i="1"/>
  <c r="C73" i="1" s="1"/>
  <c r="H74" i="1"/>
  <c r="C74" i="1" s="1"/>
  <c r="H75" i="1"/>
  <c r="C75" i="1" s="1"/>
  <c r="H76" i="1"/>
  <c r="C76" i="1" s="1"/>
  <c r="H77" i="1"/>
  <c r="C77" i="1" s="1"/>
  <c r="H78" i="1"/>
  <c r="C78" i="1" s="1"/>
  <c r="H79" i="1"/>
  <c r="C79" i="1" s="1"/>
  <c r="H80" i="1"/>
  <c r="C80" i="1" s="1"/>
  <c r="H81" i="1"/>
  <c r="C81" i="1" s="1"/>
  <c r="H82" i="1"/>
  <c r="C82" i="1" s="1"/>
  <c r="C83" i="1"/>
  <c r="H83" i="1"/>
  <c r="H84" i="1"/>
  <c r="C84" i="1" s="1"/>
  <c r="H85" i="1"/>
  <c r="C85" i="1" s="1"/>
  <c r="F2" i="1" l="1"/>
  <c r="D2" i="1"/>
  <c r="E2" i="1"/>
  <c r="F3" i="1"/>
  <c r="E3" i="1"/>
  <c r="D3" i="1"/>
  <c r="F4" i="1"/>
  <c r="D4" i="1" s="1"/>
  <c r="E4" i="1"/>
  <c r="E5" i="1"/>
  <c r="F5" i="1"/>
  <c r="D5" i="1" s="1"/>
  <c r="E6" i="1"/>
  <c r="F6" i="1"/>
  <c r="D6" i="1" s="1"/>
  <c r="F7" i="1"/>
  <c r="D7" i="1"/>
  <c r="E7" i="1"/>
  <c r="F8" i="1"/>
  <c r="D8" i="1"/>
  <c r="E8" i="1"/>
  <c r="F9" i="1"/>
  <c r="D9" i="1" s="1"/>
  <c r="E9" i="1"/>
  <c r="E10" i="1"/>
  <c r="F10" i="1"/>
  <c r="D10" i="1" s="1"/>
  <c r="F11" i="1"/>
  <c r="D11" i="1"/>
  <c r="E11" i="1"/>
  <c r="F12" i="1"/>
  <c r="D12" i="1"/>
  <c r="E12" i="1"/>
  <c r="F13" i="1"/>
  <c r="D13" i="1"/>
  <c r="E13" i="1"/>
  <c r="F14" i="1"/>
  <c r="D14" i="1"/>
  <c r="E14" i="1"/>
  <c r="F15" i="1"/>
  <c r="D15" i="1"/>
  <c r="E15" i="1"/>
  <c r="F16" i="1"/>
  <c r="D16" i="1"/>
  <c r="E16" i="1"/>
  <c r="E17" i="1"/>
  <c r="F17" i="1"/>
  <c r="D17" i="1" s="1"/>
  <c r="F18" i="1"/>
  <c r="D18" i="1"/>
  <c r="E18" i="1"/>
  <c r="F19" i="1"/>
  <c r="D19" i="1"/>
  <c r="E19" i="1"/>
  <c r="F20" i="1"/>
  <c r="D20" i="1" s="1"/>
  <c r="E20" i="1"/>
  <c r="F21" i="1"/>
  <c r="D21" i="1"/>
  <c r="E21" i="1"/>
  <c r="F22" i="1"/>
  <c r="D22" i="1"/>
  <c r="E22" i="1"/>
  <c r="F23" i="1"/>
  <c r="D23" i="1"/>
  <c r="E23" i="1"/>
  <c r="E24" i="1"/>
  <c r="D24" i="1"/>
  <c r="F24" i="1"/>
  <c r="F25" i="1"/>
  <c r="D25" i="1"/>
  <c r="E25" i="1"/>
  <c r="F26" i="1"/>
  <c r="D26" i="1"/>
  <c r="E26" i="1"/>
  <c r="F27" i="1"/>
  <c r="D27" i="1"/>
  <c r="E27" i="1"/>
  <c r="F28" i="1"/>
  <c r="D28" i="1"/>
  <c r="E28" i="1"/>
  <c r="F29" i="1"/>
  <c r="D29" i="1"/>
  <c r="E29" i="1"/>
  <c r="F30" i="1"/>
  <c r="D30" i="1"/>
  <c r="E30" i="1"/>
  <c r="F31" i="1"/>
  <c r="D31" i="1"/>
  <c r="F32" i="1"/>
  <c r="E32" i="1"/>
  <c r="D32" i="1"/>
  <c r="F33" i="1"/>
  <c r="E33" i="1"/>
  <c r="D33" i="1"/>
  <c r="F34" i="1"/>
  <c r="E34" i="1"/>
  <c r="D34" i="1"/>
  <c r="F35" i="1"/>
  <c r="E35" i="1"/>
  <c r="D35" i="1"/>
  <c r="F36" i="1"/>
  <c r="E36" i="1"/>
  <c r="D36" i="1"/>
  <c r="F37" i="1"/>
  <c r="E37" i="1"/>
  <c r="D37" i="1"/>
  <c r="F38" i="1"/>
  <c r="E38" i="1"/>
  <c r="D38" i="1"/>
  <c r="F39" i="1"/>
  <c r="E39" i="1"/>
  <c r="D39" i="1"/>
  <c r="F40" i="1"/>
  <c r="E40" i="1"/>
  <c r="D40" i="1"/>
  <c r="F41" i="1"/>
  <c r="E41" i="1"/>
  <c r="D41" i="1"/>
  <c r="F42" i="1"/>
  <c r="E42" i="1"/>
  <c r="D42" i="1"/>
  <c r="F43" i="1"/>
  <c r="E43" i="1"/>
  <c r="D43" i="1"/>
  <c r="F44" i="1"/>
  <c r="E44" i="1"/>
  <c r="D44" i="1"/>
  <c r="F45" i="1"/>
  <c r="E45" i="1"/>
  <c r="D45" i="1"/>
  <c r="F46" i="1"/>
  <c r="E46" i="1"/>
  <c r="D46" i="1"/>
  <c r="F47" i="1"/>
  <c r="E47" i="1"/>
  <c r="D47" i="1"/>
  <c r="F48" i="1"/>
  <c r="D48" i="1"/>
  <c r="E48" i="1"/>
  <c r="E49" i="1"/>
  <c r="F49" i="1"/>
  <c r="D49" i="1" s="1"/>
  <c r="E50" i="1"/>
  <c r="F50" i="1"/>
  <c r="D50" i="1" s="1"/>
  <c r="E51" i="1"/>
  <c r="F51" i="1"/>
  <c r="D51" i="1" s="1"/>
  <c r="E52" i="1"/>
  <c r="F52" i="1"/>
  <c r="D52" i="1" s="1"/>
  <c r="F53" i="1"/>
  <c r="D53" i="1"/>
  <c r="E53" i="1"/>
  <c r="E54" i="1"/>
  <c r="F54" i="1"/>
  <c r="D54" i="1" s="1"/>
  <c r="E55" i="1"/>
  <c r="F55" i="1"/>
  <c r="D55" i="1" s="1"/>
  <c r="E56" i="1"/>
  <c r="F56" i="1"/>
  <c r="D56" i="1" s="1"/>
  <c r="E57" i="1"/>
  <c r="F57" i="1"/>
  <c r="D57" i="1" s="1"/>
  <c r="F58" i="1"/>
  <c r="D58" i="1"/>
  <c r="E58" i="1"/>
  <c r="E59" i="1"/>
  <c r="F59" i="1"/>
  <c r="D59" i="1" s="1"/>
  <c r="E60" i="1"/>
  <c r="F60" i="1"/>
  <c r="D60" i="1" s="1"/>
  <c r="E61" i="1"/>
  <c r="F61" i="1"/>
  <c r="D61" i="1" s="1"/>
  <c r="F62" i="1"/>
  <c r="E62" i="1"/>
  <c r="D62" i="1"/>
  <c r="F63" i="1"/>
  <c r="E63" i="1"/>
  <c r="D63" i="1"/>
  <c r="F64" i="1"/>
  <c r="E64" i="1"/>
  <c r="D64" i="1"/>
  <c r="F65" i="1"/>
  <c r="E65" i="1"/>
  <c r="D65" i="1"/>
  <c r="F66" i="1"/>
  <c r="E66" i="1"/>
  <c r="D66" i="1"/>
  <c r="F67" i="1"/>
  <c r="E67" i="1"/>
  <c r="D67" i="1"/>
  <c r="F68" i="1"/>
  <c r="E68" i="1"/>
  <c r="D68" i="1"/>
  <c r="F69" i="1"/>
  <c r="E69" i="1"/>
  <c r="D69" i="1"/>
  <c r="F70" i="1"/>
  <c r="E70" i="1"/>
  <c r="D70" i="1"/>
  <c r="F71" i="1"/>
  <c r="E71" i="1"/>
  <c r="D71" i="1"/>
  <c r="F72" i="1"/>
  <c r="E72" i="1"/>
  <c r="D72" i="1"/>
  <c r="F73" i="1"/>
  <c r="E73" i="1"/>
  <c r="D73" i="1"/>
  <c r="F74" i="1"/>
  <c r="E74" i="1"/>
  <c r="D74" i="1"/>
  <c r="F75" i="1"/>
  <c r="E75" i="1"/>
  <c r="D75" i="1"/>
  <c r="F76" i="1"/>
  <c r="E76" i="1"/>
  <c r="D76" i="1"/>
  <c r="F77" i="1"/>
  <c r="E77" i="1"/>
  <c r="D77" i="1"/>
  <c r="F78" i="1"/>
  <c r="E78" i="1"/>
  <c r="D78" i="1"/>
  <c r="F79" i="1"/>
  <c r="E79" i="1"/>
  <c r="D79" i="1"/>
  <c r="F80" i="1"/>
  <c r="E80" i="1"/>
  <c r="D80" i="1"/>
  <c r="F81" i="1"/>
  <c r="E81" i="1"/>
  <c r="D81" i="1"/>
  <c r="E82" i="1"/>
  <c r="F82" i="1"/>
  <c r="D82" i="1" s="1"/>
  <c r="E83" i="1"/>
  <c r="F83" i="1"/>
  <c r="D83" i="1" s="1"/>
  <c r="F84" i="1"/>
  <c r="D84" i="1"/>
  <c r="E84" i="1"/>
  <c r="F85" i="1"/>
  <c r="D85" i="1"/>
  <c r="E85" i="1"/>
</calcChain>
</file>

<file path=xl/sharedStrings.xml><?xml version="1.0" encoding="utf-8"?>
<sst xmlns="http://schemas.openxmlformats.org/spreadsheetml/2006/main" count="179" uniqueCount="179">
  <si>
    <t xml:space="preserve">TAG DE PROXIMIDAD PARA CONTROL DE ACCESO TIPO LLAVERO COLOR NEGRO 1356MHZ	</t>
  </si>
  <si>
    <t>MFTAGN</t>
  </si>
  <si>
    <t>TARJETA DE PROXIMIDAD PARA CONTRO DE ACCESO TIPO LLAVERO COLOR GRIS 125Khz</t>
  </si>
  <si>
    <t>TAG03G</t>
  </si>
  <si>
    <t>TARJETA DE PROXIMIDAD EM 125Khz GRUESA PARA CONTROL DE ACCESO CON CODIGO IMPRESO</t>
  </si>
  <si>
    <t>IDTHICKCARD</t>
  </si>
  <si>
    <t>SOPORTE VIAJANTE PARA ELECTROCERRADURA PARA INSTALACION EN PUERTA DE VIDRIO SIN MARCO</t>
  </si>
  <si>
    <t>LBB2</t>
  </si>
  <si>
    <t>TSA56 LAMINA DE ACERO PARA REFERENCIA A34090097</t>
  </si>
  <si>
    <t>A34090214</t>
  </si>
  <si>
    <t>TARJETA DUAL UHF+ID FRECUENCIA 25KHZ WIEGAND 34</t>
  </si>
  <si>
    <t>DF01-CARD</t>
  </si>
  <si>
    <t>TARJETA MIFARE FRECUENCIA 13.56MHZ MEMORIA 4KB</t>
  </si>
  <si>
    <t>MF1S70</t>
  </si>
  <si>
    <t>SOPORTE FIJO DE ELECTROCERRADURA PARA PUERTA DE VIDRIO COMPATIBLE CON LB35</t>
  </si>
  <si>
    <t>UBB1</t>
  </si>
  <si>
    <t>CONTRACHAPA PARA PUERTAS DE MADERA COMPATIBLE CON SOPORTE PARA PUERTA DE VIDRIO UBB1</t>
  </si>
  <si>
    <t>LB35</t>
  </si>
  <si>
    <t>CONVERSOR RS485 A WIEGAND PARA C2-260</t>
  </si>
  <si>
    <t>WR485</t>
  </si>
  <si>
    <t>BOTON LIBERADOR TIPO HONGO CON CONTACTOS NO/NC/COM COLOR VERDE (115L*70W*35HMM)</t>
  </si>
  <si>
    <t>EB103-G</t>
  </si>
  <si>
    <t>CONTROL REMOTO PARA BOTON LIBERADOR TLEB102-R/TLEB101-R 10MTS DE ALCANCE</t>
  </si>
  <si>
    <t>RM-100</t>
  </si>
  <si>
    <t>LECTOR DE TARJETAS EM 125KHZ IP65 COLOR NEGRO SALIDA WIEGAND AJUSTABLE DE 26 O 34 BITS</t>
  </si>
  <si>
    <t>PROID10BE</t>
  </si>
  <si>
    <t>TSA52 BLOQUE PARA BRAZO TORNIQUETES TS2000 Y TS2022</t>
  </si>
  <si>
    <t>A34090097</t>
  </si>
  <si>
    <t>LECTOR DE TARJETAS EM 125KHZ IP65 COLOR NEGRO SALIDA WIEGAND DE 26 O 34 BITS CON TECLADO LED</t>
  </si>
  <si>
    <t>PROID30BE</t>
  </si>
  <si>
    <t>LECTOR DE TARJETAS MIFARE 13.56 MHZ IP65 COLOR NEGRO SALIDA WIEGAND DE 26 O 34 BITS CON TECLADO LED</t>
  </si>
  <si>
    <t>PROID30BM</t>
  </si>
  <si>
    <t>ENROLADOR DE TARJETAS  EM 125 KHz . DIMENSIONES:68*18*115mm.</t>
  </si>
  <si>
    <t>CR20E</t>
  </si>
  <si>
    <t>REPUESTO BRAZO PARA TORNIQUETE TS2000</t>
  </si>
  <si>
    <t>TSA20</t>
  </si>
  <si>
    <t>LECTOR DE TARJETAS EM 125HZ SALIDA RS485 COLOR NEGRO IP65</t>
  </si>
  <si>
    <t>PROID20BE-RS</t>
  </si>
  <si>
    <t>BOTON LIBERADOR SIN CONTACTO CON CONTROL REMOTO PARA ELECTROCERRADURAS 115*70MM SALIDAS NO/COM/NC</t>
  </si>
  <si>
    <t>TLEB102-R</t>
  </si>
  <si>
    <t>GATO PARA PUERTAS DE 80 -  120KG Y ANCHO MENOR A 1200MM DIMENSIONES 226*72*44.5MM</t>
  </si>
  <si>
    <t>DC80120L</t>
  </si>
  <si>
    <t>LECTOR DE TARJETAS MIFARE 13.56MHZ SALIDA RS485 COLOR NEGRO IP65</t>
  </si>
  <si>
    <t>PROID20BM-RS</t>
  </si>
  <si>
    <t>EXPANSORA PARA 1 PUERTA DE C2-260, WIEGAND(LECTOR-LECTOR Ó LECTOR-BOTÓN) AUX IN-OUT RS485 CASCADA</t>
  </si>
  <si>
    <t>DM10</t>
  </si>
  <si>
    <t>LECTOR DE TARJETAS EM 125KHZ IP65 COLOR NEGRO SALIDA RS485 DE 26 O 34 BITS CON TECLADO LED</t>
  </si>
  <si>
    <t>PROID30BE-RS</t>
  </si>
  <si>
    <t>ENROLADORA DE TARJETAS MIFARE 13.56MHZ INTERFAZ USB</t>
  </si>
  <si>
    <t>CR20M</t>
  </si>
  <si>
    <t>FUENTE DE ALIMENTACION ENTRADA 110-240V CA SALIDA 13.8V 5A  1A</t>
  </si>
  <si>
    <t>TPM005B</t>
  </si>
  <si>
    <t>SOPORTE PARA INSTALAR LECTOR DE CEDULA EN TORNIQUETES</t>
  </si>
  <si>
    <t>SCN2BRACKET</t>
  </si>
  <si>
    <t>ENROLADORA PARA LEER Y ESCRIBIR TARJETAS MIFARE USO CON SOLUCION DE HOTEL</t>
  </si>
  <si>
    <t>CR60W</t>
  </si>
  <si>
    <t>CERRADURA PARA HOTEL PLATEADA CON LECTOR PARA TARJETAS MIFARE 5 PESTILLOS SENTIDO IZQUIERDO</t>
  </si>
  <si>
    <t>LH1000L</t>
  </si>
  <si>
    <t>CERRADURA PARA HOTEL PLATEADA CON LECTOR PARA TARJETAS MIFARE 5 PESTILLOS SENTIDO DERECHO</t>
  </si>
  <si>
    <t>LH1000R</t>
  </si>
  <si>
    <t>CONTROLADOR DE ACCESO 2 PUERTAS EXPANDIBLE A 10 CON DM10 LECTORES EN PLACA RS485 Ó WIEGAND CON WR485</t>
  </si>
  <si>
    <t>C2-260</t>
  </si>
  <si>
    <t>MODULO DE EXTENSION DE 16 RELEVOS PARA EC10 COMUNICACION POR RS485</t>
  </si>
  <si>
    <t>EX16</t>
  </si>
  <si>
    <t>LECTORA HUELLAS SENSOR SILKID Y TARJETAS EM INTERFAZ RS485 CARCASA EN ACERO INOXIDABLE IP65</t>
  </si>
  <si>
    <t>FR1500S</t>
  </si>
  <si>
    <t>LECTORA HUELLAS SENSOR SILKID Y TARJETAS MIFARE INTERFAZ RS485 CARCASA EN ACERO INOXIDABLE IP65</t>
  </si>
  <si>
    <t>FR1500SMF</t>
  </si>
  <si>
    <t>DISPOSITIVO T&amp;A-FUNCIONES DE ACCESO VISIBLE LIGHT 100 ROSTROS 500 HUELLAS</t>
  </si>
  <si>
    <t>MB10-VL</t>
  </si>
  <si>
    <t>TERMINAL CONTROL DE ACCESO PANTALLA TOUCH LCD 2.8" 1500 HUELLAS 5000 TARJETAS CON FUENTE</t>
  </si>
  <si>
    <t>SF400ID-ACCESS</t>
  </si>
  <si>
    <t>DISPOSITIVO T&amp;A Y CONTROL ACCESO FACIAL VISIBLE LIGHT 500 ROSTROS 1000 TARJETAS ADMS, ID CON BATERIA</t>
  </si>
  <si>
    <t>EFACE-10BATTERY</t>
  </si>
  <si>
    <t>TIEMPO Y ASISTENCIA 6000 HUELLAS 200.000 REGISTROS PANTALLA LCD TCP-IP BATERIA RESPALDO WIFI</t>
  </si>
  <si>
    <t>ZpadID</t>
  </si>
  <si>
    <t>CONTROLADOR ACCESO 2 PUERTAS EXPAN A 10 PUERTAS CON DM10. INCLUYE AUX485 GABINETE Y FUENTE</t>
  </si>
  <si>
    <t>C2-260 PACKAGE</t>
  </si>
  <si>
    <t>DISPOSITIVO T&amp;A Y CONTROL DE ACCESO 1200 ROSTROS 1500 HUELLAS 100K EVENTOS INCLUYE ADMS</t>
  </si>
  <si>
    <t>MB160IDADMS</t>
  </si>
  <si>
    <t>ENROLADOR USB PARA TAGS UHF 915MHZ SOLO LECTURA</t>
  </si>
  <si>
    <t>UR20RW-F</t>
  </si>
  <si>
    <t>CONTROL ACCESO 1 PUERTA 20000 HUELLAS 60000 TARJETAS SOPORTA 2 LECT. WEIGAND 26BITS Y 2 RS485 TCP/IP</t>
  </si>
  <si>
    <t>INBIO160PRO</t>
  </si>
  <si>
    <t>RADAR DETECCION SOLUCION VEHICULAR RANGO 0-6MTS AUTOREFLEX SOLO INSTALA 1 DISPOSITIVO IP67 BLUETOOTH</t>
  </si>
  <si>
    <t>VR10PRO</t>
  </si>
  <si>
    <t>TERMINAL TIEMPO Y ASISTENCIA 5000 HUELLAS 15000 TARJETAS EM 100000 EVENTOS TCP/IP WDMS 5VDC</t>
  </si>
  <si>
    <t>G1</t>
  </si>
  <si>
    <t>DISPOSITIVO T&amp;A Y CONTROL DE ACCESO VISIBLE LIGHT 3000 ROSTROS 3000 HUELLAS 10K TARJETAS ADMS WIFI</t>
  </si>
  <si>
    <t>MB560ID-VL</t>
  </si>
  <si>
    <t>CONTROL ACCESO 2 PUERTAS 20000 HUELLAS 60000 TARJETAS WEIGAND 26 BITS TCP/IP 9.6 - 14.4 VCD</t>
  </si>
  <si>
    <t>INBIO260PRO</t>
  </si>
  <si>
    <t>LECTORA UHF 902-928MHZ HASTA 4M INTERFACES WIEGAND Y RS485 CARCASA ALUMINIO IP66</t>
  </si>
  <si>
    <t>UHF5FPRO</t>
  </si>
  <si>
    <t>PACKAGEB - CONTROL ACCESO 2 PUERTAS 20000 HUELLAS 60000 TARJETAS WEIGAND 26 BITS TCP/IP+GABINETE</t>
  </si>
  <si>
    <t>INBIO260PROBOX</t>
  </si>
  <si>
    <t>TERMINAL DE CONTROL DE ACCESO T&amp;A 5" LCD, 6000 ROSTROS 3000 PALMAS 10000 TARJETAS ID 125KHZ WIFI</t>
  </si>
  <si>
    <t>SPEEDFACEV5L-RFID-WIFI</t>
  </si>
  <si>
    <t>LECTORA UHF 902-928MHZ HASTA 8M INTERFACES WIEGAND Y RS485 CARCASA ALUMINIO IP66</t>
  </si>
  <si>
    <t>UHF10FPRO</t>
  </si>
  <si>
    <t>CONTROL DE ACCESO PARA ELEVADORES 10 RELEVOS 3000 HUELLAS 30000 TARJETAS SOPORTA HASTA 3 EX16</t>
  </si>
  <si>
    <t>EC10</t>
  </si>
  <si>
    <t>CONTROL ACCESO 4 PUERTAS 20000 HUELLAS 60000 TARJETAS WEIGAND 26 BITS TCP/IP 9.6 - 14.4 VCD</t>
  </si>
  <si>
    <t>INBIO460PRO</t>
  </si>
  <si>
    <t>CONTROL ACCESO 4 PUERTAS 20000 HUELLAS 60000 TARJETAS WEIGAND 26 BITS TCP/IP 9.6 - 14.4 VCD+GABINETE</t>
  </si>
  <si>
    <t>INBIO460PROBOX</t>
  </si>
  <si>
    <t>TERMINAL T&amp;A VISIBLE LIGHT 6000 ROSTROS WIFI BLUET 4G BATERIA DE RESPALDO (INALAMBRICO)</t>
  </si>
  <si>
    <t>HORUSE1</t>
  </si>
  <si>
    <t>TERMINAL VISIBLE LIGHT CONTROL DE ACCESO Y T&amp;A 6000 ROSTROS 3000 PALMAS 10000 TARJETAS EXT IP66</t>
  </si>
  <si>
    <t>SPEEDFACE-M4</t>
  </si>
  <si>
    <t>TERMINAL CONTROL DE ACCESO HASTA 1500 HUELLAS Y VENAS Y 2000 TARJETAS EM</t>
  </si>
  <si>
    <t>INPULSEPLUS</t>
  </si>
  <si>
    <t>CAMARA IP DE MANO TERMICA 80X60 PX MEDICION TEMP 30 A 45°C PANTALLA 2.8" BATERIA RECARGABLE MICRO SD</t>
  </si>
  <si>
    <t>ZK-178S</t>
  </si>
  <si>
    <t>ARCO DETECTOR DE METALES 18 ZONAS 2.2M(H)X0.84M(W)X0.58M(L) 100-240VAC</t>
  </si>
  <si>
    <t>ZK-D2180</t>
  </si>
  <si>
    <t>CAMARA 1080P PARA RECONOCIMIENTO DE PLACAS IP65 SALIDAS: 2 RELEVOS WIEGAND RS485</t>
  </si>
  <si>
    <t>LPRC300</t>
  </si>
  <si>
    <t>DISPOSITIVO INTEGRADO PANTALLA-VOZ Y CAMARA LPR. LECTURA 3.5 A 4MTS 2 RELEVOS 2 RS485 WIEGAND TCP/IP</t>
  </si>
  <si>
    <t>LPRS1000</t>
  </si>
  <si>
    <t>TARJETA DE PROXIMIDAD DELGADAEM 125Khz PARA CONTROL DE ACCESO CON CODIGO IMPRESO</t>
  </si>
  <si>
    <t>IDTHINCARD</t>
  </si>
  <si>
    <t>TARJETA DE PROXIMIDAD PARA CONTRO DE ACCESO TIPO LLAVERO COLOR AZUL 125Khz</t>
  </si>
  <si>
    <t>TAG03A</t>
  </si>
  <si>
    <t>TAG UHF ENCRIPTADA TIPO TARJETA FRECUENCIA 902~928MHZ DIMENSIONES 85 X 54 X 0.8MM</t>
  </si>
  <si>
    <t>UHF1TAG9</t>
  </si>
  <si>
    <t>TAG UHF PARA INSTALAR EN PARABRISA ALCANCE 6M CON ANTENA UHF10F DIMENSIONES 100X26MM</t>
  </si>
  <si>
    <t>UHFPARKINGTAG</t>
  </si>
  <si>
    <t>TARJETA DUAL UHF+MIFARE FRECUENCIA 13.56MHZ WIEGAND 34</t>
  </si>
  <si>
    <t>UHFWATERPTAG</t>
  </si>
  <si>
    <t>SOPORTE EN U PARA ELECTROIMAN LM1802</t>
  </si>
  <si>
    <t>LMB180U</t>
  </si>
  <si>
    <t>SOPORTE EN L PARA ELECTROIMAN LM1802</t>
  </si>
  <si>
    <t>LMB180L</t>
  </si>
  <si>
    <t>SOPORTE EN U PARA ELECTROIMAN LM2802</t>
  </si>
  <si>
    <t>LMB280U</t>
  </si>
  <si>
    <t>SOPORTE EN L PARA ELECTROIMAN LM2802</t>
  </si>
  <si>
    <t>LMB280L</t>
  </si>
  <si>
    <t>SOPORTE EN Z PARA ELECTROIMAN LM1802</t>
  </si>
  <si>
    <t>LMB180Z</t>
  </si>
  <si>
    <t>SOPORTE EN Z PARA ELECTROIMAN LM2802</t>
  </si>
  <si>
    <t>LMB280Z</t>
  </si>
  <si>
    <t>CONVERSOR RS485 A 4 ENTRADAS AUXILIARES PARA C2-260</t>
  </si>
  <si>
    <t>AUX485</t>
  </si>
  <si>
    <t>BOTON LIBERADOR SIN CONTACTO PARA ELECTROCERRADURAS DIMENSIONES 115*70*39MM SALIDAS NO/NC</t>
  </si>
  <si>
    <t>TLEB102</t>
  </si>
  <si>
    <t>GATO PARA PUERTAS DE 40 - 65 KG Y ANCHO MENOR A 950MM DIMENSIONES 182*60.5*40.5MM</t>
  </si>
  <si>
    <t>DC4065L</t>
  </si>
  <si>
    <t>ELECTROIMAN FUERZA DE RETENCION 180KG DIMENSIONES: CERRADURA 170*38.5*21MM PLACA 130*33*11MM</t>
  </si>
  <si>
    <t>LM1802</t>
  </si>
  <si>
    <t>GATO PARA PUERTAS DE 60 - 85 KG Y ANCHO MENOR A 1100MM DIMENSIONES 188*70*53.9MM</t>
  </si>
  <si>
    <t>DC6085L</t>
  </si>
  <si>
    <t>LECTORA DE TARJERA RFID 125KHZ</t>
  </si>
  <si>
    <t>KR503ERS</t>
  </si>
  <si>
    <t>BOTON NO TOUCH CON CONTROL REMOTO</t>
  </si>
  <si>
    <t>K2</t>
  </si>
  <si>
    <t>ELECTROIMAN FUERZA DE RETENCION 280KG DIMENSIONES: CERRADURA 250*47*25.5MM PLACA 180*38*11MM</t>
  </si>
  <si>
    <t>LM2802</t>
  </si>
  <si>
    <t>DETECTOR DE METAL PORTABLE ALARMA DE SONIDO (75DBA) VIBRACION Y LUZ IP31 INCLUYE BATERIA Y CARGADOR</t>
  </si>
  <si>
    <t>ZKD100S</t>
  </si>
  <si>
    <t>MODULO DE VOZ EXTERNO</t>
  </si>
  <si>
    <t>VDMP3</t>
  </si>
  <si>
    <t>ENROLADOR USB PARA HUELLAS</t>
  </si>
  <si>
    <t>ZK9500</t>
  </si>
  <si>
    <t>TERMINAL DE CONTROL DE ACCESO HUELLA Y TARJETA</t>
  </si>
  <si>
    <t>F7-C</t>
  </si>
  <si>
    <t>TIEMPO Y ASISTENCIA SENSOR SILKID 3000 HUELLAS 10000 TARJETAS TCP/IP  5V DC INCLUYE ADMS</t>
  </si>
  <si>
    <t>SILKFP100TA</t>
  </si>
  <si>
    <t>COSTO</t>
  </si>
  <si>
    <t>Columna8</t>
  </si>
  <si>
    <t>Columna7</t>
  </si>
  <si>
    <t>COSTO +IVA</t>
  </si>
  <si>
    <t>Columna5</t>
  </si>
  <si>
    <t>Columna2</t>
  </si>
  <si>
    <t>PRECIO CLIENTE FINAL (CON IVA)</t>
  </si>
  <si>
    <t>PRECIO TIENDA (CON IVA)</t>
  </si>
  <si>
    <t>PRECIO INSTALLER (CON IVA)</t>
  </si>
  <si>
    <t>DESCRIPCION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</si>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</sst>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rgb="FFFF000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0" xfId="2"/>
    <xf numFmtId="164" fontId="0" fillId="0" borderId="0" xfId="3" applyNumberFormat="1" applyFont="1" applyFill="1"/>
    <xf numFmtId="1" fontId="3" fillId="0" borderId="0" xfId="2" applyNumberFormat="1" applyFont="1" applyAlignment="1">
      <alignment wrapText="1"/>
    </xf>
    <xf numFmtId="164" fontId="3" fillId="0" borderId="0" xfId="3" applyNumberFormat="1" applyFont="1" applyFill="1" applyAlignment="1">
      <alignment wrapText="1"/>
    </xf>
    <xf numFmtId="164" fontId="2" fillId="0" borderId="0" xfId="1" applyNumberFormat="1" applyFont="1" applyAlignment="1">
      <alignment horizontal="right" wrapText="1"/>
    </xf>
    <xf numFmtId="0" fontId="2" fillId="0" borderId="0" xfId="2" applyAlignment="1">
      <alignment wrapText="1"/>
    </xf>
    <xf numFmtId="164" fontId="0" fillId="0" borderId="1" xfId="1" applyNumberFormat="1" applyFont="1" applyFill="1" applyBorder="1" applyAlignment="1">
      <alignment vertical="center"/>
    </xf>
    <xf numFmtId="1" fontId="3" fillId="0" borderId="2" xfId="2" applyNumberFormat="1" applyFont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2" fontId="3" fillId="0" borderId="2" xfId="2" applyNumberFormat="1" applyFont="1" applyBorder="1" applyAlignment="1">
      <alignment vertical="center"/>
    </xf>
    <xf numFmtId="164" fontId="2" fillId="0" borderId="2" xfId="1" applyNumberFormat="1" applyFont="1" applyFill="1" applyBorder="1" applyAlignment="1">
      <alignment horizontal="right" vertical="center" wrapText="1"/>
    </xf>
    <xf numFmtId="0" fontId="2" fillId="0" borderId="2" xfId="2" applyBorder="1" applyAlignment="1">
      <alignment vertical="center" wrapText="1"/>
    </xf>
    <xf numFmtId="49" fontId="4" fillId="0" borderId="2" xfId="4" applyNumberFormat="1" applyFont="1" applyBorder="1" applyAlignment="1">
      <alignment vertical="center"/>
    </xf>
    <xf numFmtId="164" fontId="0" fillId="0" borderId="3" xfId="3" applyNumberFormat="1" applyFont="1" applyFill="1" applyBorder="1" applyAlignment="1">
      <alignment vertical="center"/>
    </xf>
    <xf numFmtId="1" fontId="2" fillId="0" borderId="4" xfId="2" applyNumberFormat="1" applyBorder="1" applyAlignment="1">
      <alignment vertical="center"/>
    </xf>
    <xf numFmtId="164" fontId="0" fillId="0" borderId="4" xfId="3" applyNumberFormat="1" applyFont="1" applyFill="1" applyBorder="1" applyAlignment="1">
      <alignment vertical="center"/>
    </xf>
    <xf numFmtId="2" fontId="2" fillId="0" borderId="4" xfId="2" applyNumberFormat="1" applyBorder="1" applyAlignment="1">
      <alignment vertical="center"/>
    </xf>
    <xf numFmtId="164" fontId="2" fillId="0" borderId="4" xfId="1" applyNumberFormat="1" applyFont="1" applyBorder="1" applyAlignment="1">
      <alignment horizontal="right" vertical="center" wrapText="1"/>
    </xf>
    <xf numFmtId="0" fontId="2" fillId="0" borderId="4" xfId="2" applyBorder="1" applyAlignment="1">
      <alignment vertical="center" wrapText="1"/>
    </xf>
    <xf numFmtId="0" fontId="2" fillId="0" borderId="4" xfId="2" applyBorder="1"/>
    <xf numFmtId="164" fontId="5" fillId="0" borderId="3" xfId="3" applyNumberFormat="1" applyFont="1" applyFill="1" applyBorder="1" applyAlignment="1">
      <alignment vertical="center"/>
    </xf>
    <xf numFmtId="1" fontId="3" fillId="0" borderId="4" xfId="2" applyNumberFormat="1" applyFont="1" applyBorder="1" applyAlignment="1">
      <alignment vertical="center"/>
    </xf>
    <xf numFmtId="164" fontId="3" fillId="0" borderId="4" xfId="3" applyNumberFormat="1" applyFont="1" applyFill="1" applyBorder="1" applyAlignment="1">
      <alignment vertical="center"/>
    </xf>
    <xf numFmtId="164" fontId="2" fillId="0" borderId="4" xfId="1" applyNumberFormat="1" applyFont="1" applyBorder="1" applyAlignment="1">
      <alignment horizontal="right" vertical="top" wrapText="1"/>
    </xf>
    <xf numFmtId="0" fontId="2" fillId="0" borderId="4" xfId="2" applyBorder="1" applyAlignment="1">
      <alignment horizontal="left" vertical="top" wrapText="1"/>
    </xf>
    <xf numFmtId="164" fontId="0" fillId="0" borderId="5" xfId="3" applyNumberFormat="1" applyFont="1" applyFill="1" applyBorder="1" applyAlignment="1">
      <alignment vertical="center"/>
    </xf>
    <xf numFmtId="1" fontId="2" fillId="0" borderId="6" xfId="2" applyNumberFormat="1" applyBorder="1" applyAlignment="1">
      <alignment vertical="center"/>
    </xf>
    <xf numFmtId="164" fontId="0" fillId="0" borderId="6" xfId="3" applyNumberFormat="1" applyFont="1" applyFill="1" applyBorder="1" applyAlignment="1">
      <alignment vertical="center"/>
    </xf>
    <xf numFmtId="164" fontId="2" fillId="0" borderId="6" xfId="1" applyNumberFormat="1" applyFont="1" applyBorder="1" applyAlignment="1">
      <alignment horizontal="center" vertical="center" wrapText="1"/>
    </xf>
    <xf numFmtId="164" fontId="6" fillId="0" borderId="6" xfId="1" applyNumberFormat="1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/>
    </xf>
  </cellXfs>
  <cellStyles count="5">
    <cellStyle name="Moneda" xfId="1" builtinId="4"/>
    <cellStyle name="Moneda 2" xfId="3" xr:uid="{D185EE4D-5E24-4931-A48A-20C6FAA2CA21}"/>
    <cellStyle name="Normal" xfId="0" builtinId="0"/>
    <cellStyle name="Normal 2" xfId="2" xr:uid="{6DC8B6BA-9D51-4FA5-9ED7-306EA76FA6AD}"/>
    <cellStyle name="Normal 3" xfId="4" xr:uid="{041A76C3-DE4A-4AF7-8D96-58C219547AFD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68" Type="http://schemas.openxmlformats.org/officeDocument/2006/relationships/image" Target="../media/image268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jpe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2" Type="http://schemas.openxmlformats.org/officeDocument/2006/relationships/image" Target="../media/image202.png"/><Relationship Id="rId207" Type="http://schemas.openxmlformats.org/officeDocument/2006/relationships/image" Target="../media/image207.png"/><Relationship Id="rId223" Type="http://schemas.openxmlformats.org/officeDocument/2006/relationships/image" Target="../media/image223.png"/><Relationship Id="rId228" Type="http://schemas.openxmlformats.org/officeDocument/2006/relationships/image" Target="../media/image228.png"/><Relationship Id="rId244" Type="http://schemas.openxmlformats.org/officeDocument/2006/relationships/image" Target="../media/image244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265" Type="http://schemas.openxmlformats.org/officeDocument/2006/relationships/image" Target="../media/image265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3" Type="http://schemas.openxmlformats.org/officeDocument/2006/relationships/image" Target="../media/image213.png"/><Relationship Id="rId218" Type="http://schemas.openxmlformats.org/officeDocument/2006/relationships/image" Target="../media/image218.png"/><Relationship Id="rId234" Type="http://schemas.openxmlformats.org/officeDocument/2006/relationships/image" Target="../media/image234.png"/><Relationship Id="rId239" Type="http://schemas.openxmlformats.org/officeDocument/2006/relationships/image" Target="../media/image239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0" Type="http://schemas.openxmlformats.org/officeDocument/2006/relationships/image" Target="../media/image250.png"/><Relationship Id="rId255" Type="http://schemas.openxmlformats.org/officeDocument/2006/relationships/image" Target="../media/image255.png"/><Relationship Id="rId271" Type="http://schemas.openxmlformats.org/officeDocument/2006/relationships/image" Target="../media/image271.png"/><Relationship Id="rId276" Type="http://schemas.openxmlformats.org/officeDocument/2006/relationships/image" Target="../media/image276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0" Type="http://schemas.openxmlformats.org/officeDocument/2006/relationships/image" Target="../media/image240.png"/><Relationship Id="rId245" Type="http://schemas.openxmlformats.org/officeDocument/2006/relationships/image" Target="../media/image245.png"/><Relationship Id="rId261" Type="http://schemas.openxmlformats.org/officeDocument/2006/relationships/image" Target="../media/image261.jpeg"/><Relationship Id="rId266" Type="http://schemas.openxmlformats.org/officeDocument/2006/relationships/image" Target="../media/image266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0" Type="http://schemas.openxmlformats.org/officeDocument/2006/relationships/image" Target="../media/image230.png"/><Relationship Id="rId235" Type="http://schemas.openxmlformats.org/officeDocument/2006/relationships/image" Target="../media/image235.png"/><Relationship Id="rId251" Type="http://schemas.openxmlformats.org/officeDocument/2006/relationships/image" Target="../media/image251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72" Type="http://schemas.openxmlformats.org/officeDocument/2006/relationships/image" Target="../media/image272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241" Type="http://schemas.openxmlformats.org/officeDocument/2006/relationships/image" Target="../media/image241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262" Type="http://schemas.openxmlformats.org/officeDocument/2006/relationships/image" Target="../media/image262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jpe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jpe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0</xdr:col>
      <xdr:colOff>19050</xdr:colOff>
      <xdr:row>39</xdr:row>
      <xdr:rowOff>9525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1F637542-3610-457F-9EF3-885AC98BF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19050</xdr:colOff>
      <xdr:row>37</xdr:row>
      <xdr:rowOff>9525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86DFCF1A-19C8-40DD-BB3F-242D4B00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19050</xdr:colOff>
      <xdr:row>5</xdr:row>
      <xdr:rowOff>0</xdr:rowOff>
    </xdr:to>
    <xdr:pic>
      <xdr:nvPicPr>
        <xdr:cNvPr id="4" name="Picture 12">
          <a:extLst>
            <a:ext uri="{FF2B5EF4-FFF2-40B4-BE49-F238E27FC236}">
              <a16:creationId xmlns:a16="http://schemas.microsoft.com/office/drawing/2014/main" id="{3622B110-1FB9-478A-BCCF-F7642C75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32</xdr:row>
      <xdr:rowOff>19050</xdr:rowOff>
    </xdr:to>
    <xdr:pic>
      <xdr:nvPicPr>
        <xdr:cNvPr id="5" name="Picture 18">
          <a:extLst>
            <a:ext uri="{FF2B5EF4-FFF2-40B4-BE49-F238E27FC236}">
              <a16:creationId xmlns:a16="http://schemas.microsoft.com/office/drawing/2014/main" id="{1E91974D-60C3-4D8D-B3F6-486C34F26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6</xdr:row>
      <xdr:rowOff>0</xdr:rowOff>
    </xdr:to>
    <xdr:pic>
      <xdr:nvPicPr>
        <xdr:cNvPr id="6" name="Picture 19">
          <a:extLst>
            <a:ext uri="{FF2B5EF4-FFF2-40B4-BE49-F238E27FC236}">
              <a16:creationId xmlns:a16="http://schemas.microsoft.com/office/drawing/2014/main" id="{D244CB8A-D382-4C73-A75A-DD3F29A4D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30</xdr:row>
      <xdr:rowOff>9525</xdr:rowOff>
    </xdr:to>
    <xdr:pic>
      <xdr:nvPicPr>
        <xdr:cNvPr id="7" name="Picture 52">
          <a:extLst>
            <a:ext uri="{FF2B5EF4-FFF2-40B4-BE49-F238E27FC236}">
              <a16:creationId xmlns:a16="http://schemas.microsoft.com/office/drawing/2014/main" id="{DB29E539-D69D-4229-A151-EFB02745D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19050</xdr:colOff>
      <xdr:row>53</xdr:row>
      <xdr:rowOff>9525</xdr:rowOff>
    </xdr:to>
    <xdr:pic>
      <xdr:nvPicPr>
        <xdr:cNvPr id="8" name="Picture 67">
          <a:extLst>
            <a:ext uri="{FF2B5EF4-FFF2-40B4-BE49-F238E27FC236}">
              <a16:creationId xmlns:a16="http://schemas.microsoft.com/office/drawing/2014/main" id="{F5740CC4-EBA7-44D0-AFE6-1FEC1F9B0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19050</xdr:colOff>
      <xdr:row>34</xdr:row>
      <xdr:rowOff>9525</xdr:rowOff>
    </xdr:to>
    <xdr:pic>
      <xdr:nvPicPr>
        <xdr:cNvPr id="9" name="Picture 68">
          <a:extLst>
            <a:ext uri="{FF2B5EF4-FFF2-40B4-BE49-F238E27FC236}">
              <a16:creationId xmlns:a16="http://schemas.microsoft.com/office/drawing/2014/main" id="{3DC8F737-9D54-479F-A8A8-E1FA42F2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19050</xdr:colOff>
      <xdr:row>36</xdr:row>
      <xdr:rowOff>9525</xdr:rowOff>
    </xdr:to>
    <xdr:pic>
      <xdr:nvPicPr>
        <xdr:cNvPr id="10" name="Picture 72">
          <a:extLst>
            <a:ext uri="{FF2B5EF4-FFF2-40B4-BE49-F238E27FC236}">
              <a16:creationId xmlns:a16="http://schemas.microsoft.com/office/drawing/2014/main" id="{EB5A87DC-C7C1-43F1-A137-583F7111B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19050</xdr:colOff>
      <xdr:row>7</xdr:row>
      <xdr:rowOff>0</xdr:rowOff>
    </xdr:to>
    <xdr:pic>
      <xdr:nvPicPr>
        <xdr:cNvPr id="11" name="Picture 74">
          <a:extLst>
            <a:ext uri="{FF2B5EF4-FFF2-40B4-BE49-F238E27FC236}">
              <a16:creationId xmlns:a16="http://schemas.microsoft.com/office/drawing/2014/main" id="{9365ABB4-0725-4BD8-A3CC-8D5FA4839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19050</xdr:colOff>
      <xdr:row>43</xdr:row>
      <xdr:rowOff>9525</xdr:rowOff>
    </xdr:to>
    <xdr:pic>
      <xdr:nvPicPr>
        <xdr:cNvPr id="12" name="Picture 77">
          <a:extLst>
            <a:ext uri="{FF2B5EF4-FFF2-40B4-BE49-F238E27FC236}">
              <a16:creationId xmlns:a16="http://schemas.microsoft.com/office/drawing/2014/main" id="{26D768A5-C6EE-4780-A08A-F0C120F80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19050</xdr:colOff>
      <xdr:row>9</xdr:row>
      <xdr:rowOff>0</xdr:rowOff>
    </xdr:to>
    <xdr:pic>
      <xdr:nvPicPr>
        <xdr:cNvPr id="13" name="Picture 82">
          <a:extLst>
            <a:ext uri="{FF2B5EF4-FFF2-40B4-BE49-F238E27FC236}">
              <a16:creationId xmlns:a16="http://schemas.microsoft.com/office/drawing/2014/main" id="{7136C458-C019-4B5D-9A0E-3A20F63FC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19050</xdr:colOff>
      <xdr:row>62</xdr:row>
      <xdr:rowOff>9525</xdr:rowOff>
    </xdr:to>
    <xdr:pic>
      <xdr:nvPicPr>
        <xdr:cNvPr id="14" name="Picture 84">
          <a:extLst>
            <a:ext uri="{FF2B5EF4-FFF2-40B4-BE49-F238E27FC236}">
              <a16:creationId xmlns:a16="http://schemas.microsoft.com/office/drawing/2014/main" id="{4BD660E9-6CFF-4D2B-9349-286167799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19050</xdr:colOff>
      <xdr:row>47</xdr:row>
      <xdr:rowOff>19050</xdr:rowOff>
    </xdr:to>
    <xdr:pic>
      <xdr:nvPicPr>
        <xdr:cNvPr id="15" name="Picture 90">
          <a:extLst>
            <a:ext uri="{FF2B5EF4-FFF2-40B4-BE49-F238E27FC236}">
              <a16:creationId xmlns:a16="http://schemas.microsoft.com/office/drawing/2014/main" id="{FADA9CBF-1029-4112-8C5E-0A9246B01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19050</xdr:colOff>
      <xdr:row>41</xdr:row>
      <xdr:rowOff>9525</xdr:rowOff>
    </xdr:to>
    <xdr:pic>
      <xdr:nvPicPr>
        <xdr:cNvPr id="16" name="Picture 94">
          <a:extLst>
            <a:ext uri="{FF2B5EF4-FFF2-40B4-BE49-F238E27FC236}">
              <a16:creationId xmlns:a16="http://schemas.microsoft.com/office/drawing/2014/main" id="{2DD57FF8-4543-4237-8FED-D97BB86E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19050</xdr:colOff>
      <xdr:row>10</xdr:row>
      <xdr:rowOff>0</xdr:rowOff>
    </xdr:to>
    <xdr:pic>
      <xdr:nvPicPr>
        <xdr:cNvPr id="17" name="Picture 95">
          <a:extLst>
            <a:ext uri="{FF2B5EF4-FFF2-40B4-BE49-F238E27FC236}">
              <a16:creationId xmlns:a16="http://schemas.microsoft.com/office/drawing/2014/main" id="{6BC92782-DA68-4A53-A3A3-7D72B7F6F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19050</xdr:colOff>
      <xdr:row>50</xdr:row>
      <xdr:rowOff>19050</xdr:rowOff>
    </xdr:to>
    <xdr:pic>
      <xdr:nvPicPr>
        <xdr:cNvPr id="18" name="Picture 99">
          <a:extLst>
            <a:ext uri="{FF2B5EF4-FFF2-40B4-BE49-F238E27FC236}">
              <a16:creationId xmlns:a16="http://schemas.microsoft.com/office/drawing/2014/main" id="{FEE8CE77-7598-45C7-91E7-C46BCF69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19050</xdr:colOff>
      <xdr:row>48</xdr:row>
      <xdr:rowOff>9525</xdr:rowOff>
    </xdr:to>
    <xdr:pic>
      <xdr:nvPicPr>
        <xdr:cNvPr id="19" name="Picture 102">
          <a:extLst>
            <a:ext uri="{FF2B5EF4-FFF2-40B4-BE49-F238E27FC236}">
              <a16:creationId xmlns:a16="http://schemas.microsoft.com/office/drawing/2014/main" id="{363F78F8-9AA7-4678-B543-0D8406CD2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19050</xdr:colOff>
      <xdr:row>45</xdr:row>
      <xdr:rowOff>19050</xdr:rowOff>
    </xdr:to>
    <xdr:pic>
      <xdr:nvPicPr>
        <xdr:cNvPr id="20" name="Picture 105">
          <a:extLst>
            <a:ext uri="{FF2B5EF4-FFF2-40B4-BE49-F238E27FC236}">
              <a16:creationId xmlns:a16="http://schemas.microsoft.com/office/drawing/2014/main" id="{3C56A92F-D808-4093-93C4-F754B98A8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19050</xdr:colOff>
      <xdr:row>12</xdr:row>
      <xdr:rowOff>0</xdr:rowOff>
    </xdr:to>
    <xdr:pic>
      <xdr:nvPicPr>
        <xdr:cNvPr id="21" name="Picture 106">
          <a:extLst>
            <a:ext uri="{FF2B5EF4-FFF2-40B4-BE49-F238E27FC236}">
              <a16:creationId xmlns:a16="http://schemas.microsoft.com/office/drawing/2014/main" id="{A0AC3306-1A54-47D4-B479-251B2D6C5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19050</xdr:colOff>
      <xdr:row>13</xdr:row>
      <xdr:rowOff>0</xdr:rowOff>
    </xdr:to>
    <xdr:pic>
      <xdr:nvPicPr>
        <xdr:cNvPr id="22" name="Picture 107">
          <a:extLst>
            <a:ext uri="{FF2B5EF4-FFF2-40B4-BE49-F238E27FC236}">
              <a16:creationId xmlns:a16="http://schemas.microsoft.com/office/drawing/2014/main" id="{E782B657-A543-443F-9FDF-BA74752B8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40</xdr:row>
      <xdr:rowOff>9525</xdr:rowOff>
    </xdr:to>
    <xdr:pic>
      <xdr:nvPicPr>
        <xdr:cNvPr id="23" name="Picture 109">
          <a:extLst>
            <a:ext uri="{FF2B5EF4-FFF2-40B4-BE49-F238E27FC236}">
              <a16:creationId xmlns:a16="http://schemas.microsoft.com/office/drawing/2014/main" id="{6975FE5F-21D5-4AFE-8BC0-A5402879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161925</xdr:rowOff>
    </xdr:from>
    <xdr:to>
      <xdr:col>0</xdr:col>
      <xdr:colOff>19050</xdr:colOff>
      <xdr:row>14</xdr:row>
      <xdr:rowOff>0</xdr:rowOff>
    </xdr:to>
    <xdr:pic>
      <xdr:nvPicPr>
        <xdr:cNvPr id="24" name="Picture 110">
          <a:extLst>
            <a:ext uri="{FF2B5EF4-FFF2-40B4-BE49-F238E27FC236}">
              <a16:creationId xmlns:a16="http://schemas.microsoft.com/office/drawing/2014/main" id="{6FFD3C6D-CD0B-4A5D-AF58-12AF19067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8425"/>
          <a:ext cx="19050" cy="28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19050</xdr:colOff>
      <xdr:row>15</xdr:row>
      <xdr:rowOff>0</xdr:rowOff>
    </xdr:to>
    <xdr:pic>
      <xdr:nvPicPr>
        <xdr:cNvPr id="25" name="Picture 112">
          <a:extLst>
            <a:ext uri="{FF2B5EF4-FFF2-40B4-BE49-F238E27FC236}">
              <a16:creationId xmlns:a16="http://schemas.microsoft.com/office/drawing/2014/main" id="{F05BECF1-B988-4577-B5F9-8D23B86C3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19050</xdr:colOff>
      <xdr:row>17</xdr:row>
      <xdr:rowOff>0</xdr:rowOff>
    </xdr:to>
    <xdr:pic>
      <xdr:nvPicPr>
        <xdr:cNvPr id="26" name="Picture 115">
          <a:extLst>
            <a:ext uri="{FF2B5EF4-FFF2-40B4-BE49-F238E27FC236}">
              <a16:creationId xmlns:a16="http://schemas.microsoft.com/office/drawing/2014/main" id="{E3EE1A98-2FC5-48AD-BB65-BBE4D371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19050</xdr:colOff>
      <xdr:row>18</xdr:row>
      <xdr:rowOff>0</xdr:rowOff>
    </xdr:to>
    <xdr:pic>
      <xdr:nvPicPr>
        <xdr:cNvPr id="27" name="Picture 116">
          <a:extLst>
            <a:ext uri="{FF2B5EF4-FFF2-40B4-BE49-F238E27FC236}">
              <a16:creationId xmlns:a16="http://schemas.microsoft.com/office/drawing/2014/main" id="{4438DD6B-90D3-4562-9083-E648E3B22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19050</xdr:colOff>
      <xdr:row>19</xdr:row>
      <xdr:rowOff>0</xdr:rowOff>
    </xdr:to>
    <xdr:pic>
      <xdr:nvPicPr>
        <xdr:cNvPr id="28" name="Picture 120">
          <a:extLst>
            <a:ext uri="{FF2B5EF4-FFF2-40B4-BE49-F238E27FC236}">
              <a16:creationId xmlns:a16="http://schemas.microsoft.com/office/drawing/2014/main" id="{DC53B7CA-CC16-436A-A8F2-F97E66EA6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19050</xdr:colOff>
      <xdr:row>20</xdr:row>
      <xdr:rowOff>0</xdr:rowOff>
    </xdr:to>
    <xdr:pic>
      <xdr:nvPicPr>
        <xdr:cNvPr id="29" name="Picture 121">
          <a:extLst>
            <a:ext uri="{FF2B5EF4-FFF2-40B4-BE49-F238E27FC236}">
              <a16:creationId xmlns:a16="http://schemas.microsoft.com/office/drawing/2014/main" id="{3E199891-7F02-4C21-B85A-D0BFEBDD5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161925</xdr:rowOff>
    </xdr:from>
    <xdr:to>
      <xdr:col>0</xdr:col>
      <xdr:colOff>19050</xdr:colOff>
      <xdr:row>21</xdr:row>
      <xdr:rowOff>0</xdr:rowOff>
    </xdr:to>
    <xdr:pic>
      <xdr:nvPicPr>
        <xdr:cNvPr id="30" name="Picture 125">
          <a:extLst>
            <a:ext uri="{FF2B5EF4-FFF2-40B4-BE49-F238E27FC236}">
              <a16:creationId xmlns:a16="http://schemas.microsoft.com/office/drawing/2014/main" id="{79869F9B-B946-4AAA-A467-F03FD65DC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1925"/>
          <a:ext cx="19050" cy="28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31" name="Picture 138">
          <a:extLst>
            <a:ext uri="{FF2B5EF4-FFF2-40B4-BE49-F238E27FC236}">
              <a16:creationId xmlns:a16="http://schemas.microsoft.com/office/drawing/2014/main" id="{1AD22A1D-4D13-4895-90E1-5AEBADB6A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24</xdr:row>
      <xdr:rowOff>0</xdr:rowOff>
    </xdr:to>
    <xdr:pic>
      <xdr:nvPicPr>
        <xdr:cNvPr id="32" name="Picture 141">
          <a:extLst>
            <a:ext uri="{FF2B5EF4-FFF2-40B4-BE49-F238E27FC236}">
              <a16:creationId xmlns:a16="http://schemas.microsoft.com/office/drawing/2014/main" id="{B3A7DB35-8453-4A48-9DE5-84E7C29D7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19050</xdr:colOff>
      <xdr:row>56</xdr:row>
      <xdr:rowOff>19050</xdr:rowOff>
    </xdr:to>
    <xdr:pic>
      <xdr:nvPicPr>
        <xdr:cNvPr id="33" name="Picture 145">
          <a:extLst>
            <a:ext uri="{FF2B5EF4-FFF2-40B4-BE49-F238E27FC236}">
              <a16:creationId xmlns:a16="http://schemas.microsoft.com/office/drawing/2014/main" id="{B711E048-F028-46B9-8576-FEC51C389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25</xdr:row>
      <xdr:rowOff>0</xdr:rowOff>
    </xdr:to>
    <xdr:pic>
      <xdr:nvPicPr>
        <xdr:cNvPr id="34" name="Picture 146">
          <a:extLst>
            <a:ext uri="{FF2B5EF4-FFF2-40B4-BE49-F238E27FC236}">
              <a16:creationId xmlns:a16="http://schemas.microsoft.com/office/drawing/2014/main" id="{D98D84E1-7FBB-47EC-A03B-0FD491CCA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19050</xdr:colOff>
      <xdr:row>55</xdr:row>
      <xdr:rowOff>19050</xdr:rowOff>
    </xdr:to>
    <xdr:pic>
      <xdr:nvPicPr>
        <xdr:cNvPr id="35" name="Picture 149">
          <a:extLst>
            <a:ext uri="{FF2B5EF4-FFF2-40B4-BE49-F238E27FC236}">
              <a16:creationId xmlns:a16="http://schemas.microsoft.com/office/drawing/2014/main" id="{85D53F68-798E-43D8-84A6-AD7DE4FC5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19050</xdr:colOff>
      <xdr:row>26</xdr:row>
      <xdr:rowOff>0</xdr:rowOff>
    </xdr:to>
    <xdr:pic>
      <xdr:nvPicPr>
        <xdr:cNvPr id="36" name="Picture 156">
          <a:extLst>
            <a:ext uri="{FF2B5EF4-FFF2-40B4-BE49-F238E27FC236}">
              <a16:creationId xmlns:a16="http://schemas.microsoft.com/office/drawing/2014/main" id="{3DE35D6E-0854-42F7-A1AE-53977DDDC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27</xdr:row>
      <xdr:rowOff>0</xdr:rowOff>
    </xdr:to>
    <xdr:pic>
      <xdr:nvPicPr>
        <xdr:cNvPr id="37" name="Picture 161">
          <a:extLst>
            <a:ext uri="{FF2B5EF4-FFF2-40B4-BE49-F238E27FC236}">
              <a16:creationId xmlns:a16="http://schemas.microsoft.com/office/drawing/2014/main" id="{43E77B1D-C7B0-4609-B62A-29FA1973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28</xdr:row>
      <xdr:rowOff>0</xdr:rowOff>
    </xdr:to>
    <xdr:pic>
      <xdr:nvPicPr>
        <xdr:cNvPr id="38" name="Picture 168">
          <a:extLst>
            <a:ext uri="{FF2B5EF4-FFF2-40B4-BE49-F238E27FC236}">
              <a16:creationId xmlns:a16="http://schemas.microsoft.com/office/drawing/2014/main" id="{AA2F34EA-9C38-46C3-88A6-FD351A31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29</xdr:row>
      <xdr:rowOff>0</xdr:rowOff>
    </xdr:to>
    <xdr:pic>
      <xdr:nvPicPr>
        <xdr:cNvPr id="39" name="Picture 170">
          <a:extLst>
            <a:ext uri="{FF2B5EF4-FFF2-40B4-BE49-F238E27FC236}">
              <a16:creationId xmlns:a16="http://schemas.microsoft.com/office/drawing/2014/main" id="{68CF11BF-FB0E-4E8D-9D93-9EEE64AD8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30</xdr:row>
      <xdr:rowOff>0</xdr:rowOff>
    </xdr:to>
    <xdr:pic>
      <xdr:nvPicPr>
        <xdr:cNvPr id="40" name="Picture 173">
          <a:extLst>
            <a:ext uri="{FF2B5EF4-FFF2-40B4-BE49-F238E27FC236}">
              <a16:creationId xmlns:a16="http://schemas.microsoft.com/office/drawing/2014/main" id="{4B75A687-E982-4450-ABA6-30EE124D6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31</xdr:row>
      <xdr:rowOff>0</xdr:rowOff>
    </xdr:to>
    <xdr:pic>
      <xdr:nvPicPr>
        <xdr:cNvPr id="41" name="Picture 175">
          <a:extLst>
            <a:ext uri="{FF2B5EF4-FFF2-40B4-BE49-F238E27FC236}">
              <a16:creationId xmlns:a16="http://schemas.microsoft.com/office/drawing/2014/main" id="{68717731-AA2A-43B7-AA95-65CA521B4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19050</xdr:colOff>
      <xdr:row>32</xdr:row>
      <xdr:rowOff>0</xdr:rowOff>
    </xdr:to>
    <xdr:pic>
      <xdr:nvPicPr>
        <xdr:cNvPr id="42" name="Picture 179">
          <a:extLst>
            <a:ext uri="{FF2B5EF4-FFF2-40B4-BE49-F238E27FC236}">
              <a16:creationId xmlns:a16="http://schemas.microsoft.com/office/drawing/2014/main" id="{3C50969D-3DF4-44F2-B953-7CEA7241E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33</xdr:row>
      <xdr:rowOff>0</xdr:rowOff>
    </xdr:to>
    <xdr:pic>
      <xdr:nvPicPr>
        <xdr:cNvPr id="43" name="Picture 181">
          <a:extLst>
            <a:ext uri="{FF2B5EF4-FFF2-40B4-BE49-F238E27FC236}">
              <a16:creationId xmlns:a16="http://schemas.microsoft.com/office/drawing/2014/main" id="{F3D85AD4-6601-4CB4-B953-F143D3FEE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19050</xdr:colOff>
      <xdr:row>51</xdr:row>
      <xdr:rowOff>19050</xdr:rowOff>
    </xdr:to>
    <xdr:pic>
      <xdr:nvPicPr>
        <xdr:cNvPr id="44" name="Picture 184">
          <a:extLst>
            <a:ext uri="{FF2B5EF4-FFF2-40B4-BE49-F238E27FC236}">
              <a16:creationId xmlns:a16="http://schemas.microsoft.com/office/drawing/2014/main" id="{6492C204-1906-4112-B2FF-CFF490B60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34</xdr:row>
      <xdr:rowOff>0</xdr:rowOff>
    </xdr:to>
    <xdr:pic>
      <xdr:nvPicPr>
        <xdr:cNvPr id="45" name="Picture 185">
          <a:extLst>
            <a:ext uri="{FF2B5EF4-FFF2-40B4-BE49-F238E27FC236}">
              <a16:creationId xmlns:a16="http://schemas.microsoft.com/office/drawing/2014/main" id="{C5105A69-6F11-43A6-A64C-EB0361203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19050</xdr:colOff>
      <xdr:row>35</xdr:row>
      <xdr:rowOff>0</xdr:rowOff>
    </xdr:to>
    <xdr:pic>
      <xdr:nvPicPr>
        <xdr:cNvPr id="46" name="Picture 192">
          <a:extLst>
            <a:ext uri="{FF2B5EF4-FFF2-40B4-BE49-F238E27FC236}">
              <a16:creationId xmlns:a16="http://schemas.microsoft.com/office/drawing/2014/main" id="{C77CBC7A-6DA3-439A-9547-1880EDE80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19050</xdr:colOff>
      <xdr:row>37</xdr:row>
      <xdr:rowOff>0</xdr:rowOff>
    </xdr:to>
    <xdr:pic>
      <xdr:nvPicPr>
        <xdr:cNvPr id="47" name="Picture 194">
          <a:extLst>
            <a:ext uri="{FF2B5EF4-FFF2-40B4-BE49-F238E27FC236}">
              <a16:creationId xmlns:a16="http://schemas.microsoft.com/office/drawing/2014/main" id="{327E4693-ED6A-42A4-A5E0-E68B28FCB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19050</xdr:colOff>
      <xdr:row>38</xdr:row>
      <xdr:rowOff>0</xdr:rowOff>
    </xdr:to>
    <xdr:pic>
      <xdr:nvPicPr>
        <xdr:cNvPr id="48" name="Picture 202">
          <a:extLst>
            <a:ext uri="{FF2B5EF4-FFF2-40B4-BE49-F238E27FC236}">
              <a16:creationId xmlns:a16="http://schemas.microsoft.com/office/drawing/2014/main" id="{B8994166-5648-44A1-8140-5869FCC3E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19050</xdr:colOff>
      <xdr:row>72</xdr:row>
      <xdr:rowOff>9525</xdr:rowOff>
    </xdr:to>
    <xdr:pic>
      <xdr:nvPicPr>
        <xdr:cNvPr id="49" name="Picture 206">
          <a:extLst>
            <a:ext uri="{FF2B5EF4-FFF2-40B4-BE49-F238E27FC236}">
              <a16:creationId xmlns:a16="http://schemas.microsoft.com/office/drawing/2014/main" id="{FE3BBF40-463F-4958-954D-4C25CB10E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19050</xdr:colOff>
      <xdr:row>40</xdr:row>
      <xdr:rowOff>0</xdr:rowOff>
    </xdr:to>
    <xdr:pic>
      <xdr:nvPicPr>
        <xdr:cNvPr id="50" name="Picture 207">
          <a:extLst>
            <a:ext uri="{FF2B5EF4-FFF2-40B4-BE49-F238E27FC236}">
              <a16:creationId xmlns:a16="http://schemas.microsoft.com/office/drawing/2014/main" id="{10E8BD1B-1F41-4D85-B65A-2D78EFBD2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41</xdr:row>
      <xdr:rowOff>0</xdr:rowOff>
    </xdr:to>
    <xdr:pic>
      <xdr:nvPicPr>
        <xdr:cNvPr id="51" name="Picture 210">
          <a:extLst>
            <a:ext uri="{FF2B5EF4-FFF2-40B4-BE49-F238E27FC236}">
              <a16:creationId xmlns:a16="http://schemas.microsoft.com/office/drawing/2014/main" id="{35E9BA03-EA46-4BD9-82A1-67558AC69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19050</xdr:colOff>
      <xdr:row>66</xdr:row>
      <xdr:rowOff>9525</xdr:rowOff>
    </xdr:to>
    <xdr:pic>
      <xdr:nvPicPr>
        <xdr:cNvPr id="52" name="Picture 211">
          <a:extLst>
            <a:ext uri="{FF2B5EF4-FFF2-40B4-BE49-F238E27FC236}">
              <a16:creationId xmlns:a16="http://schemas.microsoft.com/office/drawing/2014/main" id="{AC52B3C1-FED9-465A-BEE7-698BAEAAB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19050</xdr:colOff>
      <xdr:row>61</xdr:row>
      <xdr:rowOff>9525</xdr:rowOff>
    </xdr:to>
    <xdr:pic>
      <xdr:nvPicPr>
        <xdr:cNvPr id="53" name="Picture 212">
          <a:extLst>
            <a:ext uri="{FF2B5EF4-FFF2-40B4-BE49-F238E27FC236}">
              <a16:creationId xmlns:a16="http://schemas.microsoft.com/office/drawing/2014/main" id="{5BDDC824-1A8A-4F05-801E-E9972E9F7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19050</xdr:colOff>
      <xdr:row>44</xdr:row>
      <xdr:rowOff>0</xdr:rowOff>
    </xdr:to>
    <xdr:pic>
      <xdr:nvPicPr>
        <xdr:cNvPr id="54" name="Picture 217">
          <a:extLst>
            <a:ext uri="{FF2B5EF4-FFF2-40B4-BE49-F238E27FC236}">
              <a16:creationId xmlns:a16="http://schemas.microsoft.com/office/drawing/2014/main" id="{C54DED30-6B51-4F5C-B05C-A87F0D1E8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19050</xdr:colOff>
      <xdr:row>45</xdr:row>
      <xdr:rowOff>0</xdr:rowOff>
    </xdr:to>
    <xdr:pic>
      <xdr:nvPicPr>
        <xdr:cNvPr id="55" name="Picture 218">
          <a:extLst>
            <a:ext uri="{FF2B5EF4-FFF2-40B4-BE49-F238E27FC236}">
              <a16:creationId xmlns:a16="http://schemas.microsoft.com/office/drawing/2014/main" id="{4BA6015A-D636-413C-85B4-B188033CB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19050</xdr:colOff>
      <xdr:row>52</xdr:row>
      <xdr:rowOff>9525</xdr:rowOff>
    </xdr:to>
    <xdr:pic>
      <xdr:nvPicPr>
        <xdr:cNvPr id="56" name="Picture 221">
          <a:extLst>
            <a:ext uri="{FF2B5EF4-FFF2-40B4-BE49-F238E27FC236}">
              <a16:creationId xmlns:a16="http://schemas.microsoft.com/office/drawing/2014/main" id="{97DFE292-0E36-4DD8-9FCE-60DAF5D5E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19050</xdr:colOff>
      <xdr:row>49</xdr:row>
      <xdr:rowOff>0</xdr:rowOff>
    </xdr:to>
    <xdr:pic>
      <xdr:nvPicPr>
        <xdr:cNvPr id="57" name="Picture 225">
          <a:extLst>
            <a:ext uri="{FF2B5EF4-FFF2-40B4-BE49-F238E27FC236}">
              <a16:creationId xmlns:a16="http://schemas.microsoft.com/office/drawing/2014/main" id="{F89A5FAA-F984-46ED-9645-3B88103B3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19050</xdr:colOff>
      <xdr:row>38</xdr:row>
      <xdr:rowOff>9525</xdr:rowOff>
    </xdr:to>
    <xdr:pic>
      <xdr:nvPicPr>
        <xdr:cNvPr id="58" name="Picture 263">
          <a:extLst>
            <a:ext uri="{FF2B5EF4-FFF2-40B4-BE49-F238E27FC236}">
              <a16:creationId xmlns:a16="http://schemas.microsoft.com/office/drawing/2014/main" id="{525DA025-CD93-4F1D-8984-690B39ED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19050</xdr:colOff>
      <xdr:row>52</xdr:row>
      <xdr:rowOff>0</xdr:rowOff>
    </xdr:to>
    <xdr:pic>
      <xdr:nvPicPr>
        <xdr:cNvPr id="59" name="Picture 264">
          <a:extLst>
            <a:ext uri="{FF2B5EF4-FFF2-40B4-BE49-F238E27FC236}">
              <a16:creationId xmlns:a16="http://schemas.microsoft.com/office/drawing/2014/main" id="{2B622B76-C6EC-40C8-B090-D596E56C2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0</xdr:col>
      <xdr:colOff>0</xdr:colOff>
      <xdr:row>19</xdr:row>
      <xdr:rowOff>0</xdr:rowOff>
    </xdr:from>
    <xdr:ext cx="571500" cy="388454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666EDE0F-642B-496E-9693-CD6E8DE65C91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571500" cy="388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19</xdr:row>
      <xdr:rowOff>0</xdr:rowOff>
    </xdr:from>
    <xdr:ext cx="571500" cy="388454"/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F212618F-B8EE-4F5B-8155-8F3F8386CEAB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571500" cy="388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0</xdr:colOff>
      <xdr:row>37</xdr:row>
      <xdr:rowOff>0</xdr:rowOff>
    </xdr:from>
    <xdr:to>
      <xdr:col>0</xdr:col>
      <xdr:colOff>19050</xdr:colOff>
      <xdr:row>37</xdr:row>
      <xdr:rowOff>9525</xdr:rowOff>
    </xdr:to>
    <xdr:pic>
      <xdr:nvPicPr>
        <xdr:cNvPr id="62" name="Picture 8">
          <a:extLst>
            <a:ext uri="{FF2B5EF4-FFF2-40B4-BE49-F238E27FC236}">
              <a16:creationId xmlns:a16="http://schemas.microsoft.com/office/drawing/2014/main" id="{4294DCEC-8BEA-4BB7-94FF-8788E81BA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33</xdr:row>
      <xdr:rowOff>9525</xdr:rowOff>
    </xdr:to>
    <xdr:pic>
      <xdr:nvPicPr>
        <xdr:cNvPr id="63" name="Picture 12">
          <a:extLst>
            <a:ext uri="{FF2B5EF4-FFF2-40B4-BE49-F238E27FC236}">
              <a16:creationId xmlns:a16="http://schemas.microsoft.com/office/drawing/2014/main" id="{736C0F99-904C-4A22-89C6-3FF0A93F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32</xdr:row>
      <xdr:rowOff>19050</xdr:rowOff>
    </xdr:to>
    <xdr:pic>
      <xdr:nvPicPr>
        <xdr:cNvPr id="64" name="Picture 20">
          <a:extLst>
            <a:ext uri="{FF2B5EF4-FFF2-40B4-BE49-F238E27FC236}">
              <a16:creationId xmlns:a16="http://schemas.microsoft.com/office/drawing/2014/main" id="{6F1B0B24-8288-4551-97A6-1E54FEFC0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6</xdr:row>
      <xdr:rowOff>0</xdr:rowOff>
    </xdr:to>
    <xdr:pic>
      <xdr:nvPicPr>
        <xdr:cNvPr id="65" name="Picture 21">
          <a:extLst>
            <a:ext uri="{FF2B5EF4-FFF2-40B4-BE49-F238E27FC236}">
              <a16:creationId xmlns:a16="http://schemas.microsoft.com/office/drawing/2014/main" id="{4BD2AC97-A3FD-46E9-87E8-592A497A9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30</xdr:row>
      <xdr:rowOff>19050</xdr:rowOff>
    </xdr:to>
    <xdr:pic>
      <xdr:nvPicPr>
        <xdr:cNvPr id="66" name="Picture 53">
          <a:extLst>
            <a:ext uri="{FF2B5EF4-FFF2-40B4-BE49-F238E27FC236}">
              <a16:creationId xmlns:a16="http://schemas.microsoft.com/office/drawing/2014/main" id="{0B1D4BBC-B761-4A8B-810D-CC9A649C6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19050</xdr:rowOff>
    </xdr:to>
    <xdr:pic>
      <xdr:nvPicPr>
        <xdr:cNvPr id="67" name="Picture 75">
          <a:extLst>
            <a:ext uri="{FF2B5EF4-FFF2-40B4-BE49-F238E27FC236}">
              <a16:creationId xmlns:a16="http://schemas.microsoft.com/office/drawing/2014/main" id="{64E73417-A257-4A79-AFBF-E694E7E3F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19050</xdr:colOff>
      <xdr:row>7</xdr:row>
      <xdr:rowOff>0</xdr:rowOff>
    </xdr:to>
    <xdr:pic>
      <xdr:nvPicPr>
        <xdr:cNvPr id="68" name="Picture 76">
          <a:extLst>
            <a:ext uri="{FF2B5EF4-FFF2-40B4-BE49-F238E27FC236}">
              <a16:creationId xmlns:a16="http://schemas.microsoft.com/office/drawing/2014/main" id="{EBD64709-62E3-462D-8164-489D1F05B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19050</xdr:colOff>
      <xdr:row>8</xdr:row>
      <xdr:rowOff>0</xdr:rowOff>
    </xdr:to>
    <xdr:pic>
      <xdr:nvPicPr>
        <xdr:cNvPr id="69" name="Picture 78">
          <a:extLst>
            <a:ext uri="{FF2B5EF4-FFF2-40B4-BE49-F238E27FC236}">
              <a16:creationId xmlns:a16="http://schemas.microsoft.com/office/drawing/2014/main" id="{C0651998-1FBB-44A4-B0F7-C2610ED63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19050</xdr:colOff>
      <xdr:row>9</xdr:row>
      <xdr:rowOff>0</xdr:rowOff>
    </xdr:to>
    <xdr:pic>
      <xdr:nvPicPr>
        <xdr:cNvPr id="70" name="Picture 82">
          <a:extLst>
            <a:ext uri="{FF2B5EF4-FFF2-40B4-BE49-F238E27FC236}">
              <a16:creationId xmlns:a16="http://schemas.microsoft.com/office/drawing/2014/main" id="{C64281D0-A0FA-4FA9-BA87-38F0A3C35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19050</xdr:colOff>
      <xdr:row>62</xdr:row>
      <xdr:rowOff>19050</xdr:rowOff>
    </xdr:to>
    <xdr:pic>
      <xdr:nvPicPr>
        <xdr:cNvPr id="71" name="Picture 84">
          <a:extLst>
            <a:ext uri="{FF2B5EF4-FFF2-40B4-BE49-F238E27FC236}">
              <a16:creationId xmlns:a16="http://schemas.microsoft.com/office/drawing/2014/main" id="{D6B1D4F3-3D8C-4086-B4A5-C9C274AB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19050</xdr:colOff>
      <xdr:row>46</xdr:row>
      <xdr:rowOff>19050</xdr:rowOff>
    </xdr:to>
    <xdr:pic>
      <xdr:nvPicPr>
        <xdr:cNvPr id="72" name="Picture 88">
          <a:extLst>
            <a:ext uri="{FF2B5EF4-FFF2-40B4-BE49-F238E27FC236}">
              <a16:creationId xmlns:a16="http://schemas.microsoft.com/office/drawing/2014/main" id="{F64A6DFD-DCCA-47B4-8531-A69615F29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19050</xdr:colOff>
      <xdr:row>47</xdr:row>
      <xdr:rowOff>19050</xdr:rowOff>
    </xdr:to>
    <xdr:pic>
      <xdr:nvPicPr>
        <xdr:cNvPr id="73" name="Picture 90">
          <a:extLst>
            <a:ext uri="{FF2B5EF4-FFF2-40B4-BE49-F238E27FC236}">
              <a16:creationId xmlns:a16="http://schemas.microsoft.com/office/drawing/2014/main" id="{FB8655A0-F683-4396-8CA0-7D310B55E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19050</xdr:colOff>
      <xdr:row>54</xdr:row>
      <xdr:rowOff>19050</xdr:rowOff>
    </xdr:to>
    <xdr:pic>
      <xdr:nvPicPr>
        <xdr:cNvPr id="74" name="Picture 95">
          <a:extLst>
            <a:ext uri="{FF2B5EF4-FFF2-40B4-BE49-F238E27FC236}">
              <a16:creationId xmlns:a16="http://schemas.microsoft.com/office/drawing/2014/main" id="{DABCF71D-1EA3-4AAF-97D3-904093230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19050</xdr:colOff>
      <xdr:row>10</xdr:row>
      <xdr:rowOff>0</xdr:rowOff>
    </xdr:to>
    <xdr:pic>
      <xdr:nvPicPr>
        <xdr:cNvPr id="75" name="Picture 96">
          <a:extLst>
            <a:ext uri="{FF2B5EF4-FFF2-40B4-BE49-F238E27FC236}">
              <a16:creationId xmlns:a16="http://schemas.microsoft.com/office/drawing/2014/main" id="{9ADAAA33-080C-4177-BA8F-B47B482E6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19050</xdr:colOff>
      <xdr:row>11</xdr:row>
      <xdr:rowOff>0</xdr:rowOff>
    </xdr:to>
    <xdr:pic>
      <xdr:nvPicPr>
        <xdr:cNvPr id="76" name="Picture 98">
          <a:extLst>
            <a:ext uri="{FF2B5EF4-FFF2-40B4-BE49-F238E27FC236}">
              <a16:creationId xmlns:a16="http://schemas.microsoft.com/office/drawing/2014/main" id="{00D8ED66-230A-4DA6-B018-FDCDEF086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19050</xdr:colOff>
      <xdr:row>50</xdr:row>
      <xdr:rowOff>19050</xdr:rowOff>
    </xdr:to>
    <xdr:pic>
      <xdr:nvPicPr>
        <xdr:cNvPr id="77" name="Picture 100">
          <a:extLst>
            <a:ext uri="{FF2B5EF4-FFF2-40B4-BE49-F238E27FC236}">
              <a16:creationId xmlns:a16="http://schemas.microsoft.com/office/drawing/2014/main" id="{0AB9A41E-8F18-4666-A5E9-C3C798C4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19050</xdr:colOff>
      <xdr:row>48</xdr:row>
      <xdr:rowOff>19050</xdr:rowOff>
    </xdr:to>
    <xdr:pic>
      <xdr:nvPicPr>
        <xdr:cNvPr id="78" name="Picture 102">
          <a:extLst>
            <a:ext uri="{FF2B5EF4-FFF2-40B4-BE49-F238E27FC236}">
              <a16:creationId xmlns:a16="http://schemas.microsoft.com/office/drawing/2014/main" id="{23C2DA28-8F6E-4158-9AD2-B6A42C390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19050</xdr:colOff>
      <xdr:row>12</xdr:row>
      <xdr:rowOff>0</xdr:rowOff>
    </xdr:to>
    <xdr:pic>
      <xdr:nvPicPr>
        <xdr:cNvPr id="79" name="Picture 106">
          <a:extLst>
            <a:ext uri="{FF2B5EF4-FFF2-40B4-BE49-F238E27FC236}">
              <a16:creationId xmlns:a16="http://schemas.microsoft.com/office/drawing/2014/main" id="{9B8D62EB-41EC-43E7-8021-4D6097947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19050</xdr:colOff>
      <xdr:row>13</xdr:row>
      <xdr:rowOff>0</xdr:rowOff>
    </xdr:to>
    <xdr:pic>
      <xdr:nvPicPr>
        <xdr:cNvPr id="80" name="Picture 108">
          <a:extLst>
            <a:ext uri="{FF2B5EF4-FFF2-40B4-BE49-F238E27FC236}">
              <a16:creationId xmlns:a16="http://schemas.microsoft.com/office/drawing/2014/main" id="{51FE460F-9841-48AC-8B00-5DAFB89A2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40</xdr:row>
      <xdr:rowOff>9525</xdr:rowOff>
    </xdr:to>
    <xdr:pic>
      <xdr:nvPicPr>
        <xdr:cNvPr id="81" name="Picture 110">
          <a:extLst>
            <a:ext uri="{FF2B5EF4-FFF2-40B4-BE49-F238E27FC236}">
              <a16:creationId xmlns:a16="http://schemas.microsoft.com/office/drawing/2014/main" id="{4329FD6F-E156-4BA7-9F9E-B8FAAB4B1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</xdr:colOff>
      <xdr:row>16</xdr:row>
      <xdr:rowOff>0</xdr:rowOff>
    </xdr:to>
    <xdr:pic>
      <xdr:nvPicPr>
        <xdr:cNvPr id="82" name="Picture 114">
          <a:extLst>
            <a:ext uri="{FF2B5EF4-FFF2-40B4-BE49-F238E27FC236}">
              <a16:creationId xmlns:a16="http://schemas.microsoft.com/office/drawing/2014/main" id="{6E6A48B2-ADF5-4528-8AEB-6F56E8EB9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161925</xdr:rowOff>
    </xdr:from>
    <xdr:to>
      <xdr:col>0</xdr:col>
      <xdr:colOff>19050</xdr:colOff>
      <xdr:row>17</xdr:row>
      <xdr:rowOff>9525</xdr:rowOff>
    </xdr:to>
    <xdr:pic>
      <xdr:nvPicPr>
        <xdr:cNvPr id="83" name="Picture 117">
          <a:extLst>
            <a:ext uri="{FF2B5EF4-FFF2-40B4-BE49-F238E27FC236}">
              <a16:creationId xmlns:a16="http://schemas.microsoft.com/office/drawing/2014/main" id="{4A2F7140-A9AE-4787-B985-CEA6C2FE0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9925"/>
          <a:ext cx="1905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19050</xdr:colOff>
      <xdr:row>20</xdr:row>
      <xdr:rowOff>0</xdr:rowOff>
    </xdr:to>
    <xdr:pic>
      <xdr:nvPicPr>
        <xdr:cNvPr id="84" name="Picture 122">
          <a:extLst>
            <a:ext uri="{FF2B5EF4-FFF2-40B4-BE49-F238E27FC236}">
              <a16:creationId xmlns:a16="http://schemas.microsoft.com/office/drawing/2014/main" id="{ACF03807-E22C-41CE-866A-54285B218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21</xdr:row>
      <xdr:rowOff>0</xdr:rowOff>
    </xdr:to>
    <xdr:pic>
      <xdr:nvPicPr>
        <xdr:cNvPr id="85" name="Picture 125">
          <a:extLst>
            <a:ext uri="{FF2B5EF4-FFF2-40B4-BE49-F238E27FC236}">
              <a16:creationId xmlns:a16="http://schemas.microsoft.com/office/drawing/2014/main" id="{0D54E5F4-9DFD-42C2-BDD1-3F3FFF4D9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19050</xdr:colOff>
      <xdr:row>22</xdr:row>
      <xdr:rowOff>0</xdr:rowOff>
    </xdr:to>
    <xdr:pic>
      <xdr:nvPicPr>
        <xdr:cNvPr id="86" name="Picture 135">
          <a:extLst>
            <a:ext uri="{FF2B5EF4-FFF2-40B4-BE49-F238E27FC236}">
              <a16:creationId xmlns:a16="http://schemas.microsoft.com/office/drawing/2014/main" id="{9B8E0713-C694-42B7-BDB4-4EFBB8608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87" name="Picture 138">
          <a:extLst>
            <a:ext uri="{FF2B5EF4-FFF2-40B4-BE49-F238E27FC236}">
              <a16:creationId xmlns:a16="http://schemas.microsoft.com/office/drawing/2014/main" id="{D3441F48-DD61-4539-8463-58521B88E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24</xdr:row>
      <xdr:rowOff>0</xdr:rowOff>
    </xdr:to>
    <xdr:pic>
      <xdr:nvPicPr>
        <xdr:cNvPr id="88" name="Picture 141">
          <a:extLst>
            <a:ext uri="{FF2B5EF4-FFF2-40B4-BE49-F238E27FC236}">
              <a16:creationId xmlns:a16="http://schemas.microsoft.com/office/drawing/2014/main" id="{76EEDB97-CC0E-4AF2-A675-003573275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19050</xdr:colOff>
      <xdr:row>56</xdr:row>
      <xdr:rowOff>19050</xdr:rowOff>
    </xdr:to>
    <xdr:pic>
      <xdr:nvPicPr>
        <xdr:cNvPr id="89" name="Picture 144">
          <a:extLst>
            <a:ext uri="{FF2B5EF4-FFF2-40B4-BE49-F238E27FC236}">
              <a16:creationId xmlns:a16="http://schemas.microsoft.com/office/drawing/2014/main" id="{0B8D8A3D-56BC-437A-AF87-BCB51D053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25</xdr:row>
      <xdr:rowOff>0</xdr:rowOff>
    </xdr:to>
    <xdr:pic>
      <xdr:nvPicPr>
        <xdr:cNvPr id="90" name="Picture 145">
          <a:extLst>
            <a:ext uri="{FF2B5EF4-FFF2-40B4-BE49-F238E27FC236}">
              <a16:creationId xmlns:a16="http://schemas.microsoft.com/office/drawing/2014/main" id="{04E7DECF-D0D2-45DF-9951-D36A44E1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19050</xdr:colOff>
      <xdr:row>55</xdr:row>
      <xdr:rowOff>9525</xdr:rowOff>
    </xdr:to>
    <xdr:pic>
      <xdr:nvPicPr>
        <xdr:cNvPr id="91" name="Picture 150">
          <a:extLst>
            <a:ext uri="{FF2B5EF4-FFF2-40B4-BE49-F238E27FC236}">
              <a16:creationId xmlns:a16="http://schemas.microsoft.com/office/drawing/2014/main" id="{8F5625D9-BA51-4999-AACD-5F8C2B92D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19050</xdr:colOff>
      <xdr:row>26</xdr:row>
      <xdr:rowOff>0</xdr:rowOff>
    </xdr:to>
    <xdr:pic>
      <xdr:nvPicPr>
        <xdr:cNvPr id="92" name="Picture 156">
          <a:extLst>
            <a:ext uri="{FF2B5EF4-FFF2-40B4-BE49-F238E27FC236}">
              <a16:creationId xmlns:a16="http://schemas.microsoft.com/office/drawing/2014/main" id="{A0E34BE6-D71D-41F1-BAB7-FDB1A2210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27</xdr:row>
      <xdr:rowOff>0</xdr:rowOff>
    </xdr:to>
    <xdr:pic>
      <xdr:nvPicPr>
        <xdr:cNvPr id="93" name="Picture 161">
          <a:extLst>
            <a:ext uri="{FF2B5EF4-FFF2-40B4-BE49-F238E27FC236}">
              <a16:creationId xmlns:a16="http://schemas.microsoft.com/office/drawing/2014/main" id="{6F6E6E19-C066-4025-8D1E-3E32065FB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28</xdr:row>
      <xdr:rowOff>0</xdr:rowOff>
    </xdr:to>
    <xdr:pic>
      <xdr:nvPicPr>
        <xdr:cNvPr id="94" name="Picture 167">
          <a:extLst>
            <a:ext uri="{FF2B5EF4-FFF2-40B4-BE49-F238E27FC236}">
              <a16:creationId xmlns:a16="http://schemas.microsoft.com/office/drawing/2014/main" id="{0F3DC89B-4CAC-44D1-8CD5-F580FC12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447675</xdr:rowOff>
    </xdr:from>
    <xdr:to>
      <xdr:col>0</xdr:col>
      <xdr:colOff>19050</xdr:colOff>
      <xdr:row>28</xdr:row>
      <xdr:rowOff>19050</xdr:rowOff>
    </xdr:to>
    <xdr:pic>
      <xdr:nvPicPr>
        <xdr:cNvPr id="95" name="Picture 168">
          <a:extLst>
            <a:ext uri="{FF2B5EF4-FFF2-40B4-BE49-F238E27FC236}">
              <a16:creationId xmlns:a16="http://schemas.microsoft.com/office/drawing/2014/main" id="{94EF41F4-E6A0-4EA8-B5EA-573A1A80A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29</xdr:row>
      <xdr:rowOff>0</xdr:rowOff>
    </xdr:to>
    <xdr:pic>
      <xdr:nvPicPr>
        <xdr:cNvPr id="96" name="Picture 169">
          <a:extLst>
            <a:ext uri="{FF2B5EF4-FFF2-40B4-BE49-F238E27FC236}">
              <a16:creationId xmlns:a16="http://schemas.microsoft.com/office/drawing/2014/main" id="{973101F7-6A30-4FB1-A8AC-227C96AD2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30</xdr:row>
      <xdr:rowOff>0</xdr:rowOff>
    </xdr:to>
    <xdr:pic>
      <xdr:nvPicPr>
        <xdr:cNvPr id="97" name="Picture 172">
          <a:extLst>
            <a:ext uri="{FF2B5EF4-FFF2-40B4-BE49-F238E27FC236}">
              <a16:creationId xmlns:a16="http://schemas.microsoft.com/office/drawing/2014/main" id="{89970692-D328-4ABE-910D-F2D1E3B8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31</xdr:row>
      <xdr:rowOff>0</xdr:rowOff>
    </xdr:to>
    <xdr:pic>
      <xdr:nvPicPr>
        <xdr:cNvPr id="98" name="Picture 174">
          <a:extLst>
            <a:ext uri="{FF2B5EF4-FFF2-40B4-BE49-F238E27FC236}">
              <a16:creationId xmlns:a16="http://schemas.microsoft.com/office/drawing/2014/main" id="{2165F0F0-CB24-40DA-AAFC-8A8594FB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19050</xdr:colOff>
      <xdr:row>32</xdr:row>
      <xdr:rowOff>0</xdr:rowOff>
    </xdr:to>
    <xdr:pic>
      <xdr:nvPicPr>
        <xdr:cNvPr id="99" name="Picture 178">
          <a:extLst>
            <a:ext uri="{FF2B5EF4-FFF2-40B4-BE49-F238E27FC236}">
              <a16:creationId xmlns:a16="http://schemas.microsoft.com/office/drawing/2014/main" id="{3E0DF22E-2062-42C3-AB33-832B3471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33</xdr:row>
      <xdr:rowOff>0</xdr:rowOff>
    </xdr:to>
    <xdr:pic>
      <xdr:nvPicPr>
        <xdr:cNvPr id="100" name="Picture 180">
          <a:extLst>
            <a:ext uri="{FF2B5EF4-FFF2-40B4-BE49-F238E27FC236}">
              <a16:creationId xmlns:a16="http://schemas.microsoft.com/office/drawing/2014/main" id="{B8211F3D-735A-4F73-828E-101A9857B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19050</xdr:colOff>
      <xdr:row>51</xdr:row>
      <xdr:rowOff>19050</xdr:rowOff>
    </xdr:to>
    <xdr:pic>
      <xdr:nvPicPr>
        <xdr:cNvPr id="101" name="Picture 183">
          <a:extLst>
            <a:ext uri="{FF2B5EF4-FFF2-40B4-BE49-F238E27FC236}">
              <a16:creationId xmlns:a16="http://schemas.microsoft.com/office/drawing/2014/main" id="{17FF7EA1-C1FE-4EE0-9A42-AB3F28928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34</xdr:row>
      <xdr:rowOff>0</xdr:rowOff>
    </xdr:to>
    <xdr:pic>
      <xdr:nvPicPr>
        <xdr:cNvPr id="102" name="Picture 184">
          <a:extLst>
            <a:ext uri="{FF2B5EF4-FFF2-40B4-BE49-F238E27FC236}">
              <a16:creationId xmlns:a16="http://schemas.microsoft.com/office/drawing/2014/main" id="{566EA3FB-EC49-4E64-8B42-A0263AD87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19050</xdr:colOff>
      <xdr:row>58</xdr:row>
      <xdr:rowOff>9525</xdr:rowOff>
    </xdr:to>
    <xdr:pic>
      <xdr:nvPicPr>
        <xdr:cNvPr id="103" name="Picture 191">
          <a:extLst>
            <a:ext uri="{FF2B5EF4-FFF2-40B4-BE49-F238E27FC236}">
              <a16:creationId xmlns:a16="http://schemas.microsoft.com/office/drawing/2014/main" id="{10AF1BDA-D681-48ED-BB63-D0C1657E1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19050</xdr:colOff>
      <xdr:row>38</xdr:row>
      <xdr:rowOff>0</xdr:rowOff>
    </xdr:to>
    <xdr:pic>
      <xdr:nvPicPr>
        <xdr:cNvPr id="104" name="Picture 202">
          <a:extLst>
            <a:ext uri="{FF2B5EF4-FFF2-40B4-BE49-F238E27FC236}">
              <a16:creationId xmlns:a16="http://schemas.microsoft.com/office/drawing/2014/main" id="{9AE5590F-8E0B-41D0-85F8-D0D4ACCB8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19050</xdr:colOff>
      <xdr:row>72</xdr:row>
      <xdr:rowOff>19050</xdr:rowOff>
    </xdr:to>
    <xdr:pic>
      <xdr:nvPicPr>
        <xdr:cNvPr id="105" name="Picture 204">
          <a:extLst>
            <a:ext uri="{FF2B5EF4-FFF2-40B4-BE49-F238E27FC236}">
              <a16:creationId xmlns:a16="http://schemas.microsoft.com/office/drawing/2014/main" id="{1F985E61-7EAB-4C49-8C0F-1998DDBE5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19050</xdr:colOff>
      <xdr:row>39</xdr:row>
      <xdr:rowOff>9525</xdr:rowOff>
    </xdr:to>
    <xdr:pic>
      <xdr:nvPicPr>
        <xdr:cNvPr id="106" name="Picture 205">
          <a:extLst>
            <a:ext uri="{FF2B5EF4-FFF2-40B4-BE49-F238E27FC236}">
              <a16:creationId xmlns:a16="http://schemas.microsoft.com/office/drawing/2014/main" id="{D3771B21-A10A-4629-B793-1463E810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905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41</xdr:row>
      <xdr:rowOff>0</xdr:rowOff>
    </xdr:to>
    <xdr:pic>
      <xdr:nvPicPr>
        <xdr:cNvPr id="107" name="Picture 208">
          <a:extLst>
            <a:ext uri="{FF2B5EF4-FFF2-40B4-BE49-F238E27FC236}">
              <a16:creationId xmlns:a16="http://schemas.microsoft.com/office/drawing/2014/main" id="{55B3631F-EF5A-403F-BF2E-D9CDF4185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19050</xdr:colOff>
      <xdr:row>66</xdr:row>
      <xdr:rowOff>19050</xdr:rowOff>
    </xdr:to>
    <xdr:pic>
      <xdr:nvPicPr>
        <xdr:cNvPr id="108" name="Picture 209">
          <a:extLst>
            <a:ext uri="{FF2B5EF4-FFF2-40B4-BE49-F238E27FC236}">
              <a16:creationId xmlns:a16="http://schemas.microsoft.com/office/drawing/2014/main" id="{E9C247AA-4771-4B30-A93E-58676C231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19050</xdr:colOff>
      <xdr:row>42</xdr:row>
      <xdr:rowOff>0</xdr:rowOff>
    </xdr:to>
    <xdr:pic>
      <xdr:nvPicPr>
        <xdr:cNvPr id="109" name="Picture 210">
          <a:extLst>
            <a:ext uri="{FF2B5EF4-FFF2-40B4-BE49-F238E27FC236}">
              <a16:creationId xmlns:a16="http://schemas.microsoft.com/office/drawing/2014/main" id="{2BDABA66-499D-4901-9FD2-7681D05B1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19050</xdr:colOff>
      <xdr:row>61</xdr:row>
      <xdr:rowOff>19050</xdr:rowOff>
    </xdr:to>
    <xdr:pic>
      <xdr:nvPicPr>
        <xdr:cNvPr id="110" name="Picture 211">
          <a:extLst>
            <a:ext uri="{FF2B5EF4-FFF2-40B4-BE49-F238E27FC236}">
              <a16:creationId xmlns:a16="http://schemas.microsoft.com/office/drawing/2014/main" id="{4BC321F9-80B8-4CE8-B4B2-5A065E3F9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19050</xdr:colOff>
      <xdr:row>43</xdr:row>
      <xdr:rowOff>0</xdr:rowOff>
    </xdr:to>
    <xdr:pic>
      <xdr:nvPicPr>
        <xdr:cNvPr id="111" name="Picture 212">
          <a:extLst>
            <a:ext uri="{FF2B5EF4-FFF2-40B4-BE49-F238E27FC236}">
              <a16:creationId xmlns:a16="http://schemas.microsoft.com/office/drawing/2014/main" id="{E2BB9DEA-410E-415B-9466-165233F75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19050</xdr:colOff>
      <xdr:row>52</xdr:row>
      <xdr:rowOff>19050</xdr:rowOff>
    </xdr:to>
    <xdr:pic>
      <xdr:nvPicPr>
        <xdr:cNvPr id="112" name="Picture 220">
          <a:extLst>
            <a:ext uri="{FF2B5EF4-FFF2-40B4-BE49-F238E27FC236}">
              <a16:creationId xmlns:a16="http://schemas.microsoft.com/office/drawing/2014/main" id="{C92D298F-38AE-450B-B0A7-2B4BB8CC0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19050</xdr:colOff>
      <xdr:row>47</xdr:row>
      <xdr:rowOff>0</xdr:rowOff>
    </xdr:to>
    <xdr:pic>
      <xdr:nvPicPr>
        <xdr:cNvPr id="113" name="Picture 221">
          <a:extLst>
            <a:ext uri="{FF2B5EF4-FFF2-40B4-BE49-F238E27FC236}">
              <a16:creationId xmlns:a16="http://schemas.microsoft.com/office/drawing/2014/main" id="{664F3FCE-5953-498B-9C57-B0116EB55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19050</xdr:colOff>
      <xdr:row>48</xdr:row>
      <xdr:rowOff>0</xdr:rowOff>
    </xdr:to>
    <xdr:pic>
      <xdr:nvPicPr>
        <xdr:cNvPr id="114" name="Picture 223">
          <a:extLst>
            <a:ext uri="{FF2B5EF4-FFF2-40B4-BE49-F238E27FC236}">
              <a16:creationId xmlns:a16="http://schemas.microsoft.com/office/drawing/2014/main" id="{1CA19E90-9569-4E78-BA5A-135057D5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19050</xdr:colOff>
      <xdr:row>49</xdr:row>
      <xdr:rowOff>0</xdr:rowOff>
    </xdr:to>
    <xdr:pic>
      <xdr:nvPicPr>
        <xdr:cNvPr id="115" name="Picture 225">
          <a:extLst>
            <a:ext uri="{FF2B5EF4-FFF2-40B4-BE49-F238E27FC236}">
              <a16:creationId xmlns:a16="http://schemas.microsoft.com/office/drawing/2014/main" id="{ED17C9CD-842B-4911-88D1-9281A1859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19050</xdr:colOff>
      <xdr:row>50</xdr:row>
      <xdr:rowOff>0</xdr:rowOff>
    </xdr:to>
    <xdr:pic>
      <xdr:nvPicPr>
        <xdr:cNvPr id="116" name="Picture 228">
          <a:extLst>
            <a:ext uri="{FF2B5EF4-FFF2-40B4-BE49-F238E27FC236}">
              <a16:creationId xmlns:a16="http://schemas.microsoft.com/office/drawing/2014/main" id="{D23B3737-6B76-4C98-BA6E-BDF12F5BC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19050</xdr:colOff>
      <xdr:row>63</xdr:row>
      <xdr:rowOff>9525</xdr:rowOff>
    </xdr:to>
    <xdr:pic>
      <xdr:nvPicPr>
        <xdr:cNvPr id="117" name="Picture 230">
          <a:extLst>
            <a:ext uri="{FF2B5EF4-FFF2-40B4-BE49-F238E27FC236}">
              <a16:creationId xmlns:a16="http://schemas.microsoft.com/office/drawing/2014/main" id="{D0FB9EB5-3267-46AB-AC99-330C112F2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19050</xdr:colOff>
      <xdr:row>51</xdr:row>
      <xdr:rowOff>0</xdr:rowOff>
    </xdr:to>
    <xdr:pic>
      <xdr:nvPicPr>
        <xdr:cNvPr id="118" name="Picture 239">
          <a:extLst>
            <a:ext uri="{FF2B5EF4-FFF2-40B4-BE49-F238E27FC236}">
              <a16:creationId xmlns:a16="http://schemas.microsoft.com/office/drawing/2014/main" id="{20AB17EE-C6E6-429C-A76F-4AA2BB2FB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19050</xdr:colOff>
      <xdr:row>52</xdr:row>
      <xdr:rowOff>0</xdr:rowOff>
    </xdr:to>
    <xdr:pic>
      <xdr:nvPicPr>
        <xdr:cNvPr id="119" name="Picture 262">
          <a:extLst>
            <a:ext uri="{FF2B5EF4-FFF2-40B4-BE49-F238E27FC236}">
              <a16:creationId xmlns:a16="http://schemas.microsoft.com/office/drawing/2014/main" id="{D8E5F354-40E8-402C-9898-668AE1799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19050</xdr:colOff>
      <xdr:row>56</xdr:row>
      <xdr:rowOff>0</xdr:rowOff>
    </xdr:to>
    <xdr:pic>
      <xdr:nvPicPr>
        <xdr:cNvPr id="120" name="Picture 264">
          <a:extLst>
            <a:ext uri="{FF2B5EF4-FFF2-40B4-BE49-F238E27FC236}">
              <a16:creationId xmlns:a16="http://schemas.microsoft.com/office/drawing/2014/main" id="{EAF564E0-EC22-4F43-97C3-A2DAB3B31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9050" cy="762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0</xdr:col>
      <xdr:colOff>0</xdr:colOff>
      <xdr:row>19</xdr:row>
      <xdr:rowOff>0</xdr:rowOff>
    </xdr:from>
    <xdr:ext cx="571500" cy="516006"/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A80F39FB-55DD-4355-8FAB-95748184CE5C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571500" cy="516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571500" cy="455129"/>
    <xdr:sp macro="" textlink="">
      <xdr:nvSpPr>
        <xdr:cNvPr id="122" name="AutoShape 2">
          <a:extLst>
            <a:ext uri="{FF2B5EF4-FFF2-40B4-BE49-F238E27FC236}">
              <a16:creationId xmlns:a16="http://schemas.microsoft.com/office/drawing/2014/main" id="{02ABF1A4-D100-445B-8D60-1A0F1DCB5DBD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571500" cy="455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571500" cy="407504"/>
    <xdr:sp macro="" textlink="">
      <xdr:nvSpPr>
        <xdr:cNvPr id="123" name="AutoShape 3">
          <a:extLst>
            <a:ext uri="{FF2B5EF4-FFF2-40B4-BE49-F238E27FC236}">
              <a16:creationId xmlns:a16="http://schemas.microsoft.com/office/drawing/2014/main" id="{06BDB56C-5867-4F5D-8435-28FC725305C2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571500" cy="407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0</xdr:colOff>
      <xdr:row>37</xdr:row>
      <xdr:rowOff>0</xdr:rowOff>
    </xdr:from>
    <xdr:to>
      <xdr:col>0</xdr:col>
      <xdr:colOff>19050</xdr:colOff>
      <xdr:row>37</xdr:row>
      <xdr:rowOff>19050</xdr:rowOff>
    </xdr:to>
    <xdr:pic>
      <xdr:nvPicPr>
        <xdr:cNvPr id="124" name="Picture 8">
          <a:extLst>
            <a:ext uri="{FF2B5EF4-FFF2-40B4-BE49-F238E27FC236}">
              <a16:creationId xmlns:a16="http://schemas.microsoft.com/office/drawing/2014/main" id="{6CEE3353-19F2-40F9-8AD6-82368911A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4</xdr:row>
      <xdr:rowOff>0</xdr:rowOff>
    </xdr:to>
    <xdr:pic>
      <xdr:nvPicPr>
        <xdr:cNvPr id="125" name="Picture 9">
          <a:extLst>
            <a:ext uri="{FF2B5EF4-FFF2-40B4-BE49-F238E27FC236}">
              <a16:creationId xmlns:a16="http://schemas.microsoft.com/office/drawing/2014/main" id="{3998A485-3B65-4167-A544-CE7E61AA6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33</xdr:row>
      <xdr:rowOff>19050</xdr:rowOff>
    </xdr:to>
    <xdr:pic>
      <xdr:nvPicPr>
        <xdr:cNvPr id="126" name="Picture 12">
          <a:extLst>
            <a:ext uri="{FF2B5EF4-FFF2-40B4-BE49-F238E27FC236}">
              <a16:creationId xmlns:a16="http://schemas.microsoft.com/office/drawing/2014/main" id="{FB7AB5A3-EE45-4D7F-BB7C-E7692BC5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19050</xdr:colOff>
      <xdr:row>5</xdr:row>
      <xdr:rowOff>0</xdr:rowOff>
    </xdr:to>
    <xdr:pic>
      <xdr:nvPicPr>
        <xdr:cNvPr id="127" name="Picture 13">
          <a:extLst>
            <a:ext uri="{FF2B5EF4-FFF2-40B4-BE49-F238E27FC236}">
              <a16:creationId xmlns:a16="http://schemas.microsoft.com/office/drawing/2014/main" id="{0358A20B-AF66-42E3-961E-CF9D9110C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32</xdr:row>
      <xdr:rowOff>19050</xdr:rowOff>
    </xdr:to>
    <xdr:pic>
      <xdr:nvPicPr>
        <xdr:cNvPr id="128" name="Picture 18">
          <a:extLst>
            <a:ext uri="{FF2B5EF4-FFF2-40B4-BE49-F238E27FC236}">
              <a16:creationId xmlns:a16="http://schemas.microsoft.com/office/drawing/2014/main" id="{8E5B1C94-B188-421D-8270-400A46BF6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6</xdr:row>
      <xdr:rowOff>0</xdr:rowOff>
    </xdr:to>
    <xdr:pic>
      <xdr:nvPicPr>
        <xdr:cNvPr id="129" name="Picture 19">
          <a:extLst>
            <a:ext uri="{FF2B5EF4-FFF2-40B4-BE49-F238E27FC236}">
              <a16:creationId xmlns:a16="http://schemas.microsoft.com/office/drawing/2014/main" id="{E29817D1-3D4E-40D7-A136-0CE927788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30</xdr:row>
      <xdr:rowOff>19050</xdr:rowOff>
    </xdr:to>
    <xdr:pic>
      <xdr:nvPicPr>
        <xdr:cNvPr id="130" name="Picture 43">
          <a:extLst>
            <a:ext uri="{FF2B5EF4-FFF2-40B4-BE49-F238E27FC236}">
              <a16:creationId xmlns:a16="http://schemas.microsoft.com/office/drawing/2014/main" id="{6388E932-0EAC-4A0C-B1D9-0726D0783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19050</xdr:colOff>
      <xdr:row>36</xdr:row>
      <xdr:rowOff>19050</xdr:rowOff>
    </xdr:to>
    <xdr:pic>
      <xdr:nvPicPr>
        <xdr:cNvPr id="131" name="Picture 66">
          <a:extLst>
            <a:ext uri="{FF2B5EF4-FFF2-40B4-BE49-F238E27FC236}">
              <a16:creationId xmlns:a16="http://schemas.microsoft.com/office/drawing/2014/main" id="{47E7C157-94BB-4174-956F-10BA0796D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19050</xdr:rowOff>
    </xdr:to>
    <xdr:pic>
      <xdr:nvPicPr>
        <xdr:cNvPr id="132" name="Picture 68">
          <a:extLst>
            <a:ext uri="{FF2B5EF4-FFF2-40B4-BE49-F238E27FC236}">
              <a16:creationId xmlns:a16="http://schemas.microsoft.com/office/drawing/2014/main" id="{0ECD6C55-09A8-4279-A921-DF4871540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19050</xdr:colOff>
      <xdr:row>7</xdr:row>
      <xdr:rowOff>0</xdr:rowOff>
    </xdr:to>
    <xdr:pic>
      <xdr:nvPicPr>
        <xdr:cNvPr id="133" name="Picture 69">
          <a:extLst>
            <a:ext uri="{FF2B5EF4-FFF2-40B4-BE49-F238E27FC236}">
              <a16:creationId xmlns:a16="http://schemas.microsoft.com/office/drawing/2014/main" id="{B088BD68-35B4-4FBA-BC23-CFCBA674F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19050</xdr:colOff>
      <xdr:row>8</xdr:row>
      <xdr:rowOff>0</xdr:rowOff>
    </xdr:to>
    <xdr:pic>
      <xdr:nvPicPr>
        <xdr:cNvPr id="134" name="Picture 71">
          <a:extLst>
            <a:ext uri="{FF2B5EF4-FFF2-40B4-BE49-F238E27FC236}">
              <a16:creationId xmlns:a16="http://schemas.microsoft.com/office/drawing/2014/main" id="{8A8A0635-37FB-4A3D-BCF4-10B3C9D62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19050</xdr:colOff>
      <xdr:row>9</xdr:row>
      <xdr:rowOff>0</xdr:rowOff>
    </xdr:to>
    <xdr:pic>
      <xdr:nvPicPr>
        <xdr:cNvPr id="135" name="Picture 75">
          <a:extLst>
            <a:ext uri="{FF2B5EF4-FFF2-40B4-BE49-F238E27FC236}">
              <a16:creationId xmlns:a16="http://schemas.microsoft.com/office/drawing/2014/main" id="{00F150FC-8323-4BFA-9A71-6E18AB80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19050</xdr:colOff>
      <xdr:row>47</xdr:row>
      <xdr:rowOff>19050</xdr:rowOff>
    </xdr:to>
    <xdr:pic>
      <xdr:nvPicPr>
        <xdr:cNvPr id="136" name="Picture 82">
          <a:extLst>
            <a:ext uri="{FF2B5EF4-FFF2-40B4-BE49-F238E27FC236}">
              <a16:creationId xmlns:a16="http://schemas.microsoft.com/office/drawing/2014/main" id="{5AD7401D-BB53-475D-9636-AEAF0EBB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19050</xdr:colOff>
      <xdr:row>54</xdr:row>
      <xdr:rowOff>19050</xdr:rowOff>
    </xdr:to>
    <xdr:pic>
      <xdr:nvPicPr>
        <xdr:cNvPr id="137" name="Picture 87">
          <a:extLst>
            <a:ext uri="{FF2B5EF4-FFF2-40B4-BE49-F238E27FC236}">
              <a16:creationId xmlns:a16="http://schemas.microsoft.com/office/drawing/2014/main" id="{D51D33F2-CAE9-437F-AB33-018AC1852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19050</xdr:colOff>
      <xdr:row>10</xdr:row>
      <xdr:rowOff>0</xdr:rowOff>
    </xdr:to>
    <xdr:pic>
      <xdr:nvPicPr>
        <xdr:cNvPr id="138" name="Picture 88">
          <a:extLst>
            <a:ext uri="{FF2B5EF4-FFF2-40B4-BE49-F238E27FC236}">
              <a16:creationId xmlns:a16="http://schemas.microsoft.com/office/drawing/2014/main" id="{F4EA560B-AA29-4961-85FA-7F5AD84A5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19050</xdr:colOff>
      <xdr:row>11</xdr:row>
      <xdr:rowOff>0</xdr:rowOff>
    </xdr:to>
    <xdr:pic>
      <xdr:nvPicPr>
        <xdr:cNvPr id="139" name="Picture 90">
          <a:extLst>
            <a:ext uri="{FF2B5EF4-FFF2-40B4-BE49-F238E27FC236}">
              <a16:creationId xmlns:a16="http://schemas.microsoft.com/office/drawing/2014/main" id="{8F47EA8F-88E2-4739-9FFE-1116E2791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19050</xdr:colOff>
      <xdr:row>45</xdr:row>
      <xdr:rowOff>19050</xdr:rowOff>
    </xdr:to>
    <xdr:pic>
      <xdr:nvPicPr>
        <xdr:cNvPr id="140" name="Picture 97">
          <a:extLst>
            <a:ext uri="{FF2B5EF4-FFF2-40B4-BE49-F238E27FC236}">
              <a16:creationId xmlns:a16="http://schemas.microsoft.com/office/drawing/2014/main" id="{7364EA9E-817B-4237-8712-D19FFCA87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19050</xdr:colOff>
      <xdr:row>12</xdr:row>
      <xdr:rowOff>0</xdr:rowOff>
    </xdr:to>
    <xdr:pic>
      <xdr:nvPicPr>
        <xdr:cNvPr id="141" name="Picture 98">
          <a:extLst>
            <a:ext uri="{FF2B5EF4-FFF2-40B4-BE49-F238E27FC236}">
              <a16:creationId xmlns:a16="http://schemas.microsoft.com/office/drawing/2014/main" id="{F228E70A-034E-44F4-AE86-DDEFF99A2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19050</xdr:colOff>
      <xdr:row>13</xdr:row>
      <xdr:rowOff>0</xdr:rowOff>
    </xdr:to>
    <xdr:pic>
      <xdr:nvPicPr>
        <xdr:cNvPr id="142" name="Picture 100">
          <a:extLst>
            <a:ext uri="{FF2B5EF4-FFF2-40B4-BE49-F238E27FC236}">
              <a16:creationId xmlns:a16="http://schemas.microsoft.com/office/drawing/2014/main" id="{3941C6A1-FAC9-46DB-9282-9383099BF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40</xdr:row>
      <xdr:rowOff>19050</xdr:rowOff>
    </xdr:to>
    <xdr:pic>
      <xdr:nvPicPr>
        <xdr:cNvPr id="143" name="Picture 102">
          <a:extLst>
            <a:ext uri="{FF2B5EF4-FFF2-40B4-BE49-F238E27FC236}">
              <a16:creationId xmlns:a16="http://schemas.microsoft.com/office/drawing/2014/main" id="{DABD2DCA-A526-41BD-BEB4-C8E1A1B8F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14</xdr:row>
      <xdr:rowOff>0</xdr:rowOff>
    </xdr:to>
    <xdr:pic>
      <xdr:nvPicPr>
        <xdr:cNvPr id="144" name="Picture 103">
          <a:extLst>
            <a:ext uri="{FF2B5EF4-FFF2-40B4-BE49-F238E27FC236}">
              <a16:creationId xmlns:a16="http://schemas.microsoft.com/office/drawing/2014/main" id="{DDBB1EE5-CEE8-4B6F-9733-C083DA733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19050</xdr:colOff>
      <xdr:row>15</xdr:row>
      <xdr:rowOff>0</xdr:rowOff>
    </xdr:to>
    <xdr:pic>
      <xdr:nvPicPr>
        <xdr:cNvPr id="145" name="Picture 105">
          <a:extLst>
            <a:ext uri="{FF2B5EF4-FFF2-40B4-BE49-F238E27FC236}">
              <a16:creationId xmlns:a16="http://schemas.microsoft.com/office/drawing/2014/main" id="{B0425026-10B8-437D-87C2-DEDEC0450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</xdr:colOff>
      <xdr:row>16</xdr:row>
      <xdr:rowOff>0</xdr:rowOff>
    </xdr:to>
    <xdr:pic>
      <xdr:nvPicPr>
        <xdr:cNvPr id="146" name="Picture 106">
          <a:extLst>
            <a:ext uri="{FF2B5EF4-FFF2-40B4-BE49-F238E27FC236}">
              <a16:creationId xmlns:a16="http://schemas.microsoft.com/office/drawing/2014/main" id="{15B25A7C-94EF-4501-99A0-BB5A767E4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19050</xdr:colOff>
      <xdr:row>17</xdr:row>
      <xdr:rowOff>0</xdr:rowOff>
    </xdr:to>
    <xdr:pic>
      <xdr:nvPicPr>
        <xdr:cNvPr id="147" name="Picture 108">
          <a:extLst>
            <a:ext uri="{FF2B5EF4-FFF2-40B4-BE49-F238E27FC236}">
              <a16:creationId xmlns:a16="http://schemas.microsoft.com/office/drawing/2014/main" id="{BF401553-7144-4246-9A11-064B9D31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19050</xdr:colOff>
      <xdr:row>1</xdr:row>
      <xdr:rowOff>19050</xdr:rowOff>
    </xdr:to>
    <xdr:pic>
      <xdr:nvPicPr>
        <xdr:cNvPr id="148" name="Picture 109">
          <a:extLst>
            <a:ext uri="{FF2B5EF4-FFF2-40B4-BE49-F238E27FC236}">
              <a16:creationId xmlns:a16="http://schemas.microsoft.com/office/drawing/2014/main" id="{EC618D2A-868E-49D9-9D49-B210AA31C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19050</xdr:colOff>
      <xdr:row>18</xdr:row>
      <xdr:rowOff>0</xdr:rowOff>
    </xdr:to>
    <xdr:pic>
      <xdr:nvPicPr>
        <xdr:cNvPr id="149" name="Picture 110">
          <a:extLst>
            <a:ext uri="{FF2B5EF4-FFF2-40B4-BE49-F238E27FC236}">
              <a16:creationId xmlns:a16="http://schemas.microsoft.com/office/drawing/2014/main" id="{91032C5B-94ED-44B3-A6CF-167867AAD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19050</xdr:colOff>
      <xdr:row>19</xdr:row>
      <xdr:rowOff>0</xdr:rowOff>
    </xdr:to>
    <xdr:pic>
      <xdr:nvPicPr>
        <xdr:cNvPr id="150" name="Picture 113">
          <a:extLst>
            <a:ext uri="{FF2B5EF4-FFF2-40B4-BE49-F238E27FC236}">
              <a16:creationId xmlns:a16="http://schemas.microsoft.com/office/drawing/2014/main" id="{47334AF8-F2E4-4FE5-A42C-E965DA86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19050</xdr:colOff>
      <xdr:row>20</xdr:row>
      <xdr:rowOff>0</xdr:rowOff>
    </xdr:to>
    <xdr:pic>
      <xdr:nvPicPr>
        <xdr:cNvPr id="151" name="Picture 114">
          <a:extLst>
            <a:ext uri="{FF2B5EF4-FFF2-40B4-BE49-F238E27FC236}">
              <a16:creationId xmlns:a16="http://schemas.microsoft.com/office/drawing/2014/main" id="{9497BFCD-0264-491E-8569-31CAEB8D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447675</xdr:rowOff>
    </xdr:from>
    <xdr:to>
      <xdr:col>0</xdr:col>
      <xdr:colOff>19050</xdr:colOff>
      <xdr:row>20</xdr:row>
      <xdr:rowOff>0</xdr:rowOff>
    </xdr:to>
    <xdr:pic>
      <xdr:nvPicPr>
        <xdr:cNvPr id="152" name="Picture 115">
          <a:extLst>
            <a:ext uri="{FF2B5EF4-FFF2-40B4-BE49-F238E27FC236}">
              <a16:creationId xmlns:a16="http://schemas.microsoft.com/office/drawing/2014/main" id="{E46A9CD7-4A36-4BC9-9F3B-2C385BB7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905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21</xdr:row>
      <xdr:rowOff>0</xdr:rowOff>
    </xdr:to>
    <xdr:pic>
      <xdr:nvPicPr>
        <xdr:cNvPr id="153" name="Picture 118">
          <a:extLst>
            <a:ext uri="{FF2B5EF4-FFF2-40B4-BE49-F238E27FC236}">
              <a16:creationId xmlns:a16="http://schemas.microsoft.com/office/drawing/2014/main" id="{7DFF5302-7C04-4663-919E-CF80B6066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19050</xdr:colOff>
      <xdr:row>22</xdr:row>
      <xdr:rowOff>0</xdr:rowOff>
    </xdr:to>
    <xdr:pic>
      <xdr:nvPicPr>
        <xdr:cNvPr id="154" name="Picture 126">
          <a:extLst>
            <a:ext uri="{FF2B5EF4-FFF2-40B4-BE49-F238E27FC236}">
              <a16:creationId xmlns:a16="http://schemas.microsoft.com/office/drawing/2014/main" id="{E7E30517-6FA9-40DF-BB2F-1FA869C78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155" name="Picture 129">
          <a:extLst>
            <a:ext uri="{FF2B5EF4-FFF2-40B4-BE49-F238E27FC236}">
              <a16:creationId xmlns:a16="http://schemas.microsoft.com/office/drawing/2014/main" id="{7018DB0A-21A9-4C41-8589-B8645AE2A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24</xdr:row>
      <xdr:rowOff>0</xdr:rowOff>
    </xdr:to>
    <xdr:pic>
      <xdr:nvPicPr>
        <xdr:cNvPr id="156" name="Picture 132">
          <a:extLst>
            <a:ext uri="{FF2B5EF4-FFF2-40B4-BE49-F238E27FC236}">
              <a16:creationId xmlns:a16="http://schemas.microsoft.com/office/drawing/2014/main" id="{5B04AD1B-36F1-4C13-9372-96ED5E843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19050</xdr:colOff>
      <xdr:row>56</xdr:row>
      <xdr:rowOff>19050</xdr:rowOff>
    </xdr:to>
    <xdr:pic>
      <xdr:nvPicPr>
        <xdr:cNvPr id="157" name="Picture 135">
          <a:extLst>
            <a:ext uri="{FF2B5EF4-FFF2-40B4-BE49-F238E27FC236}">
              <a16:creationId xmlns:a16="http://schemas.microsoft.com/office/drawing/2014/main" id="{C144AFB7-70FF-4D16-8FC3-B1728CF8A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25</xdr:row>
      <xdr:rowOff>0</xdr:rowOff>
    </xdr:to>
    <xdr:pic>
      <xdr:nvPicPr>
        <xdr:cNvPr id="158" name="Picture 136">
          <a:extLst>
            <a:ext uri="{FF2B5EF4-FFF2-40B4-BE49-F238E27FC236}">
              <a16:creationId xmlns:a16="http://schemas.microsoft.com/office/drawing/2014/main" id="{C9F8CBE7-BE6C-4761-A5D0-371B30BB1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19050</xdr:colOff>
      <xdr:row>55</xdr:row>
      <xdr:rowOff>19050</xdr:rowOff>
    </xdr:to>
    <xdr:pic>
      <xdr:nvPicPr>
        <xdr:cNvPr id="159" name="Picture 140">
          <a:extLst>
            <a:ext uri="{FF2B5EF4-FFF2-40B4-BE49-F238E27FC236}">
              <a16:creationId xmlns:a16="http://schemas.microsoft.com/office/drawing/2014/main" id="{9D05CDD8-2A87-4262-8953-37734127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19050</xdr:colOff>
      <xdr:row>26</xdr:row>
      <xdr:rowOff>0</xdr:rowOff>
    </xdr:to>
    <xdr:pic>
      <xdr:nvPicPr>
        <xdr:cNvPr id="160" name="Picture 146">
          <a:extLst>
            <a:ext uri="{FF2B5EF4-FFF2-40B4-BE49-F238E27FC236}">
              <a16:creationId xmlns:a16="http://schemas.microsoft.com/office/drawing/2014/main" id="{B018E41C-F865-455B-89F7-423B2577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27</xdr:row>
      <xdr:rowOff>0</xdr:rowOff>
    </xdr:to>
    <xdr:pic>
      <xdr:nvPicPr>
        <xdr:cNvPr id="161" name="Picture 151">
          <a:extLst>
            <a:ext uri="{FF2B5EF4-FFF2-40B4-BE49-F238E27FC236}">
              <a16:creationId xmlns:a16="http://schemas.microsoft.com/office/drawing/2014/main" id="{DFD987C9-C487-44C1-9D36-12A6A2889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28</xdr:row>
      <xdr:rowOff>0</xdr:rowOff>
    </xdr:to>
    <xdr:pic>
      <xdr:nvPicPr>
        <xdr:cNvPr id="162" name="Picture 157">
          <a:extLst>
            <a:ext uri="{FF2B5EF4-FFF2-40B4-BE49-F238E27FC236}">
              <a16:creationId xmlns:a16="http://schemas.microsoft.com/office/drawing/2014/main" id="{74BCD7AA-FB1E-44A0-9642-37E35030C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29</xdr:row>
      <xdr:rowOff>0</xdr:rowOff>
    </xdr:to>
    <xdr:pic>
      <xdr:nvPicPr>
        <xdr:cNvPr id="163" name="Picture 159">
          <a:extLst>
            <a:ext uri="{FF2B5EF4-FFF2-40B4-BE49-F238E27FC236}">
              <a16:creationId xmlns:a16="http://schemas.microsoft.com/office/drawing/2014/main" id="{9CF5FC63-AE79-477A-9D51-C30B521B0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30</xdr:row>
      <xdr:rowOff>0</xdr:rowOff>
    </xdr:to>
    <xdr:pic>
      <xdr:nvPicPr>
        <xdr:cNvPr id="164" name="Picture 162">
          <a:extLst>
            <a:ext uri="{FF2B5EF4-FFF2-40B4-BE49-F238E27FC236}">
              <a16:creationId xmlns:a16="http://schemas.microsoft.com/office/drawing/2014/main" id="{4283CD1A-D49E-419C-855B-1610F8254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31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484A7057-1A4F-4D45-8E68-62B7597E5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19050</xdr:colOff>
      <xdr:row>32</xdr:row>
      <xdr:rowOff>0</xdr:rowOff>
    </xdr:to>
    <xdr:pic>
      <xdr:nvPicPr>
        <xdr:cNvPr id="166" name="Picture 168">
          <a:extLst>
            <a:ext uri="{FF2B5EF4-FFF2-40B4-BE49-F238E27FC236}">
              <a16:creationId xmlns:a16="http://schemas.microsoft.com/office/drawing/2014/main" id="{7E08B055-3AE6-4DB0-A914-93EE101D1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33</xdr:row>
      <xdr:rowOff>0</xdr:rowOff>
    </xdr:to>
    <xdr:pic>
      <xdr:nvPicPr>
        <xdr:cNvPr id="167" name="Picture 170">
          <a:extLst>
            <a:ext uri="{FF2B5EF4-FFF2-40B4-BE49-F238E27FC236}">
              <a16:creationId xmlns:a16="http://schemas.microsoft.com/office/drawing/2014/main" id="{BB4D301E-66BA-4019-A45F-A7B8898C8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19050</xdr:colOff>
      <xdr:row>51</xdr:row>
      <xdr:rowOff>19050</xdr:rowOff>
    </xdr:to>
    <xdr:pic>
      <xdr:nvPicPr>
        <xdr:cNvPr id="168" name="Picture 173">
          <a:extLst>
            <a:ext uri="{FF2B5EF4-FFF2-40B4-BE49-F238E27FC236}">
              <a16:creationId xmlns:a16="http://schemas.microsoft.com/office/drawing/2014/main" id="{A1C479D0-B0D8-481D-BD0F-D29F78E98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34</xdr:row>
      <xdr:rowOff>0</xdr:rowOff>
    </xdr:to>
    <xdr:pic>
      <xdr:nvPicPr>
        <xdr:cNvPr id="169" name="Picture 174">
          <a:extLst>
            <a:ext uri="{FF2B5EF4-FFF2-40B4-BE49-F238E27FC236}">
              <a16:creationId xmlns:a16="http://schemas.microsoft.com/office/drawing/2014/main" id="{F760ED1F-5199-42FA-898C-2B834E292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19050</xdr:colOff>
      <xdr:row>58</xdr:row>
      <xdr:rowOff>19050</xdr:rowOff>
    </xdr:to>
    <xdr:pic>
      <xdr:nvPicPr>
        <xdr:cNvPr id="170" name="Picture 181">
          <a:extLst>
            <a:ext uri="{FF2B5EF4-FFF2-40B4-BE49-F238E27FC236}">
              <a16:creationId xmlns:a16="http://schemas.microsoft.com/office/drawing/2014/main" id="{EDAB15CC-663E-450C-A74D-EB5B5497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19050</xdr:colOff>
      <xdr:row>35</xdr:row>
      <xdr:rowOff>0</xdr:rowOff>
    </xdr:to>
    <xdr:pic>
      <xdr:nvPicPr>
        <xdr:cNvPr id="171" name="Picture 182">
          <a:extLst>
            <a:ext uri="{FF2B5EF4-FFF2-40B4-BE49-F238E27FC236}">
              <a16:creationId xmlns:a16="http://schemas.microsoft.com/office/drawing/2014/main" id="{8788FE6A-124B-426A-9122-586BE37E2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19050</xdr:colOff>
      <xdr:row>37</xdr:row>
      <xdr:rowOff>0</xdr:rowOff>
    </xdr:to>
    <xdr:pic>
      <xdr:nvPicPr>
        <xdr:cNvPr id="172" name="Picture 184">
          <a:extLst>
            <a:ext uri="{FF2B5EF4-FFF2-40B4-BE49-F238E27FC236}">
              <a16:creationId xmlns:a16="http://schemas.microsoft.com/office/drawing/2014/main" id="{C2C7D3C0-628E-4563-999B-A4A6CC9F0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19050</xdr:colOff>
      <xdr:row>38</xdr:row>
      <xdr:rowOff>0</xdr:rowOff>
    </xdr:to>
    <xdr:pic>
      <xdr:nvPicPr>
        <xdr:cNvPr id="173" name="Picture 192">
          <a:extLst>
            <a:ext uri="{FF2B5EF4-FFF2-40B4-BE49-F238E27FC236}">
              <a16:creationId xmlns:a16="http://schemas.microsoft.com/office/drawing/2014/main" id="{9BAEB0C4-5472-43A7-9D3D-31F51BE97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19050</xdr:colOff>
      <xdr:row>39</xdr:row>
      <xdr:rowOff>19050</xdr:rowOff>
    </xdr:to>
    <xdr:pic>
      <xdr:nvPicPr>
        <xdr:cNvPr id="174" name="Picture 195">
          <a:extLst>
            <a:ext uri="{FF2B5EF4-FFF2-40B4-BE49-F238E27FC236}">
              <a16:creationId xmlns:a16="http://schemas.microsoft.com/office/drawing/2014/main" id="{D535EA63-8D66-42A9-8CF3-304A4300D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19050</xdr:colOff>
      <xdr:row>40</xdr:row>
      <xdr:rowOff>0</xdr:rowOff>
    </xdr:to>
    <xdr:pic>
      <xdr:nvPicPr>
        <xdr:cNvPr id="175" name="Picture 196">
          <a:extLst>
            <a:ext uri="{FF2B5EF4-FFF2-40B4-BE49-F238E27FC236}">
              <a16:creationId xmlns:a16="http://schemas.microsoft.com/office/drawing/2014/main" id="{EA713A16-5689-4B86-947F-D8181BC6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41</xdr:row>
      <xdr:rowOff>0</xdr:rowOff>
    </xdr:to>
    <xdr:pic>
      <xdr:nvPicPr>
        <xdr:cNvPr id="176" name="Picture 198">
          <a:extLst>
            <a:ext uri="{FF2B5EF4-FFF2-40B4-BE49-F238E27FC236}">
              <a16:creationId xmlns:a16="http://schemas.microsoft.com/office/drawing/2014/main" id="{12FFA753-5D56-4CD8-977F-399E4495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19050</xdr:colOff>
      <xdr:row>42</xdr:row>
      <xdr:rowOff>0</xdr:rowOff>
    </xdr:to>
    <xdr:pic>
      <xdr:nvPicPr>
        <xdr:cNvPr id="177" name="Picture 200">
          <a:extLst>
            <a:ext uri="{FF2B5EF4-FFF2-40B4-BE49-F238E27FC236}">
              <a16:creationId xmlns:a16="http://schemas.microsoft.com/office/drawing/2014/main" id="{90E250ED-BD1C-4366-A4C8-F491405DA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19050</xdr:colOff>
      <xdr:row>61</xdr:row>
      <xdr:rowOff>19050</xdr:rowOff>
    </xdr:to>
    <xdr:pic>
      <xdr:nvPicPr>
        <xdr:cNvPr id="178" name="Picture 201">
          <a:extLst>
            <a:ext uri="{FF2B5EF4-FFF2-40B4-BE49-F238E27FC236}">
              <a16:creationId xmlns:a16="http://schemas.microsoft.com/office/drawing/2014/main" id="{D8A5808E-8742-46D6-BCA0-66FB5574C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19050</xdr:colOff>
      <xdr:row>43</xdr:row>
      <xdr:rowOff>0</xdr:rowOff>
    </xdr:to>
    <xdr:pic>
      <xdr:nvPicPr>
        <xdr:cNvPr id="179" name="Picture 202">
          <a:extLst>
            <a:ext uri="{FF2B5EF4-FFF2-40B4-BE49-F238E27FC236}">
              <a16:creationId xmlns:a16="http://schemas.microsoft.com/office/drawing/2014/main" id="{B727AAD2-623C-40B9-BC43-96863FB3E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19050</xdr:colOff>
      <xdr:row>44</xdr:row>
      <xdr:rowOff>0</xdr:rowOff>
    </xdr:to>
    <xdr:pic>
      <xdr:nvPicPr>
        <xdr:cNvPr id="180" name="Picture 205">
          <a:extLst>
            <a:ext uri="{FF2B5EF4-FFF2-40B4-BE49-F238E27FC236}">
              <a16:creationId xmlns:a16="http://schemas.microsoft.com/office/drawing/2014/main" id="{F9CA24B4-9E45-48AA-BAC3-A16B0754C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19050</xdr:colOff>
      <xdr:row>45</xdr:row>
      <xdr:rowOff>0</xdr:rowOff>
    </xdr:to>
    <xdr:pic>
      <xdr:nvPicPr>
        <xdr:cNvPr id="181" name="Picture 206">
          <a:extLst>
            <a:ext uri="{FF2B5EF4-FFF2-40B4-BE49-F238E27FC236}">
              <a16:creationId xmlns:a16="http://schemas.microsoft.com/office/drawing/2014/main" id="{24977A69-E2A8-4F36-B64E-5A9119C74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19050</xdr:colOff>
      <xdr:row>46</xdr:row>
      <xdr:rowOff>0</xdr:rowOff>
    </xdr:to>
    <xdr:pic>
      <xdr:nvPicPr>
        <xdr:cNvPr id="182" name="Picture 207">
          <a:extLst>
            <a:ext uri="{FF2B5EF4-FFF2-40B4-BE49-F238E27FC236}">
              <a16:creationId xmlns:a16="http://schemas.microsoft.com/office/drawing/2014/main" id="{F06021E8-DBCD-48C8-B8E2-959BC8E66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19050</xdr:colOff>
      <xdr:row>48</xdr:row>
      <xdr:rowOff>0</xdr:rowOff>
    </xdr:to>
    <xdr:pic>
      <xdr:nvPicPr>
        <xdr:cNvPr id="183" name="Picture 213">
          <a:extLst>
            <a:ext uri="{FF2B5EF4-FFF2-40B4-BE49-F238E27FC236}">
              <a16:creationId xmlns:a16="http://schemas.microsoft.com/office/drawing/2014/main" id="{7048347E-26FA-427B-B5DD-5B5BAEB5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19050</xdr:colOff>
      <xdr:row>50</xdr:row>
      <xdr:rowOff>0</xdr:rowOff>
    </xdr:to>
    <xdr:pic>
      <xdr:nvPicPr>
        <xdr:cNvPr id="184" name="Picture 217">
          <a:extLst>
            <a:ext uri="{FF2B5EF4-FFF2-40B4-BE49-F238E27FC236}">
              <a16:creationId xmlns:a16="http://schemas.microsoft.com/office/drawing/2014/main" id="{701EFA38-CA37-4C23-B2B2-9B2257E1A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19050</xdr:colOff>
      <xdr:row>51</xdr:row>
      <xdr:rowOff>0</xdr:rowOff>
    </xdr:to>
    <xdr:pic>
      <xdr:nvPicPr>
        <xdr:cNvPr id="185" name="Picture 222">
          <a:extLst>
            <a:ext uri="{FF2B5EF4-FFF2-40B4-BE49-F238E27FC236}">
              <a16:creationId xmlns:a16="http://schemas.microsoft.com/office/drawing/2014/main" id="{D0024ADB-65F0-4A11-8029-51FB2B6A7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19050</xdr:colOff>
      <xdr:row>51</xdr:row>
      <xdr:rowOff>19050</xdr:rowOff>
    </xdr:to>
    <xdr:pic>
      <xdr:nvPicPr>
        <xdr:cNvPr id="186" name="Picture 225">
          <a:extLst>
            <a:ext uri="{FF2B5EF4-FFF2-40B4-BE49-F238E27FC236}">
              <a16:creationId xmlns:a16="http://schemas.microsoft.com/office/drawing/2014/main" id="{1A2B98EC-2CE7-43A1-85FD-6735BC119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19050</xdr:colOff>
      <xdr:row>52</xdr:row>
      <xdr:rowOff>0</xdr:rowOff>
    </xdr:to>
    <xdr:pic>
      <xdr:nvPicPr>
        <xdr:cNvPr id="187" name="Picture 226">
          <a:extLst>
            <a:ext uri="{FF2B5EF4-FFF2-40B4-BE49-F238E27FC236}">
              <a16:creationId xmlns:a16="http://schemas.microsoft.com/office/drawing/2014/main" id="{14DDBA0A-58CE-48FA-BDCC-DD25A037A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39</xdr:row>
      <xdr:rowOff>12700</xdr:rowOff>
    </xdr:to>
    <xdr:pic>
      <xdr:nvPicPr>
        <xdr:cNvPr id="188" name="Picture 5">
          <a:extLst>
            <a:ext uri="{FF2B5EF4-FFF2-40B4-BE49-F238E27FC236}">
              <a16:creationId xmlns:a16="http://schemas.microsoft.com/office/drawing/2014/main" id="{F4E554B1-3AA9-4D7D-9823-CDDEA0B4C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5</xdr:row>
      <xdr:rowOff>0</xdr:rowOff>
    </xdr:to>
    <xdr:pic>
      <xdr:nvPicPr>
        <xdr:cNvPr id="189" name="Picture 9">
          <a:extLst>
            <a:ext uri="{FF2B5EF4-FFF2-40B4-BE49-F238E27FC236}">
              <a16:creationId xmlns:a16="http://schemas.microsoft.com/office/drawing/2014/main" id="{85851CB3-AC11-4B74-A9CB-565B8D1C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32</xdr:row>
      <xdr:rowOff>12700</xdr:rowOff>
    </xdr:to>
    <xdr:pic>
      <xdr:nvPicPr>
        <xdr:cNvPr id="190" name="Picture 12">
          <a:extLst>
            <a:ext uri="{FF2B5EF4-FFF2-40B4-BE49-F238E27FC236}">
              <a16:creationId xmlns:a16="http://schemas.microsoft.com/office/drawing/2014/main" id="{E7E58FE2-9B5D-44EA-94E0-2FE2BDF0D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6</xdr:row>
      <xdr:rowOff>0</xdr:rowOff>
    </xdr:to>
    <xdr:pic>
      <xdr:nvPicPr>
        <xdr:cNvPr id="191" name="Picture 13">
          <a:extLst>
            <a:ext uri="{FF2B5EF4-FFF2-40B4-BE49-F238E27FC236}">
              <a16:creationId xmlns:a16="http://schemas.microsoft.com/office/drawing/2014/main" id="{4E9784D6-E4C8-4685-9541-0579A2C83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12700</xdr:colOff>
      <xdr:row>53</xdr:row>
      <xdr:rowOff>12700</xdr:rowOff>
    </xdr:to>
    <xdr:pic>
      <xdr:nvPicPr>
        <xdr:cNvPr id="192" name="Picture 43">
          <a:extLst>
            <a:ext uri="{FF2B5EF4-FFF2-40B4-BE49-F238E27FC236}">
              <a16:creationId xmlns:a16="http://schemas.microsoft.com/office/drawing/2014/main" id="{5F3C7247-7B80-4AF6-8899-4C84602FA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29</xdr:row>
      <xdr:rowOff>12700</xdr:rowOff>
    </xdr:to>
    <xdr:pic>
      <xdr:nvPicPr>
        <xdr:cNvPr id="193" name="Picture 50">
          <a:extLst>
            <a:ext uri="{FF2B5EF4-FFF2-40B4-BE49-F238E27FC236}">
              <a16:creationId xmlns:a16="http://schemas.microsoft.com/office/drawing/2014/main" id="{1CBAE5A9-8AF2-43DD-A1ED-103B04519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43</xdr:row>
      <xdr:rowOff>12700</xdr:rowOff>
    </xdr:to>
    <xdr:pic>
      <xdr:nvPicPr>
        <xdr:cNvPr id="194" name="Picture 52">
          <a:extLst>
            <a:ext uri="{FF2B5EF4-FFF2-40B4-BE49-F238E27FC236}">
              <a16:creationId xmlns:a16="http://schemas.microsoft.com/office/drawing/2014/main" id="{C094E7BA-B13B-4D6B-9EEC-FFFF8FD4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12700</xdr:colOff>
      <xdr:row>8</xdr:row>
      <xdr:rowOff>0</xdr:rowOff>
    </xdr:to>
    <xdr:pic>
      <xdr:nvPicPr>
        <xdr:cNvPr id="195" name="Picture 53">
          <a:extLst>
            <a:ext uri="{FF2B5EF4-FFF2-40B4-BE49-F238E27FC236}">
              <a16:creationId xmlns:a16="http://schemas.microsoft.com/office/drawing/2014/main" id="{44837CBE-F9F8-458D-A33B-F1DF01B7B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12700</xdr:colOff>
      <xdr:row>9</xdr:row>
      <xdr:rowOff>0</xdr:rowOff>
    </xdr:to>
    <xdr:pic>
      <xdr:nvPicPr>
        <xdr:cNvPr id="196" name="Picture 55">
          <a:extLst>
            <a:ext uri="{FF2B5EF4-FFF2-40B4-BE49-F238E27FC236}">
              <a16:creationId xmlns:a16="http://schemas.microsoft.com/office/drawing/2014/main" id="{5EDE3811-18FB-4645-A7E0-3E4D56135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444500</xdr:rowOff>
    </xdr:from>
    <xdr:to>
      <xdr:col>0</xdr:col>
      <xdr:colOff>12700</xdr:colOff>
      <xdr:row>9</xdr:row>
      <xdr:rowOff>0</xdr:rowOff>
    </xdr:to>
    <xdr:pic>
      <xdr:nvPicPr>
        <xdr:cNvPr id="197" name="Picture 56">
          <a:extLst>
            <a:ext uri="{FF2B5EF4-FFF2-40B4-BE49-F238E27FC236}">
              <a16:creationId xmlns:a16="http://schemas.microsoft.com/office/drawing/2014/main" id="{A4F0721A-B0F0-4FCB-B47D-D2E409AD6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1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12700</xdr:colOff>
      <xdr:row>47</xdr:row>
      <xdr:rowOff>12700</xdr:rowOff>
    </xdr:to>
    <xdr:pic>
      <xdr:nvPicPr>
        <xdr:cNvPr id="198" name="Picture 60">
          <a:extLst>
            <a:ext uri="{FF2B5EF4-FFF2-40B4-BE49-F238E27FC236}">
              <a16:creationId xmlns:a16="http://schemas.microsoft.com/office/drawing/2014/main" id="{1445D390-3A84-47EB-87B7-513257F75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12700</xdr:colOff>
      <xdr:row>54</xdr:row>
      <xdr:rowOff>12700</xdr:rowOff>
    </xdr:to>
    <xdr:pic>
      <xdr:nvPicPr>
        <xdr:cNvPr id="199" name="Picture 64">
          <a:extLst>
            <a:ext uri="{FF2B5EF4-FFF2-40B4-BE49-F238E27FC236}">
              <a16:creationId xmlns:a16="http://schemas.microsoft.com/office/drawing/2014/main" id="{AF864A72-E232-41A2-A4F2-41A59F5CB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12700</xdr:colOff>
      <xdr:row>10</xdr:row>
      <xdr:rowOff>0</xdr:rowOff>
    </xdr:to>
    <xdr:pic>
      <xdr:nvPicPr>
        <xdr:cNvPr id="200" name="Picture 65">
          <a:extLst>
            <a:ext uri="{FF2B5EF4-FFF2-40B4-BE49-F238E27FC236}">
              <a16:creationId xmlns:a16="http://schemas.microsoft.com/office/drawing/2014/main" id="{8B6F687B-54ED-4898-8D6B-5A4BE9165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11</xdr:row>
      <xdr:rowOff>0</xdr:rowOff>
    </xdr:to>
    <xdr:pic>
      <xdr:nvPicPr>
        <xdr:cNvPr id="201" name="Picture 66">
          <a:extLst>
            <a:ext uri="{FF2B5EF4-FFF2-40B4-BE49-F238E27FC236}">
              <a16:creationId xmlns:a16="http://schemas.microsoft.com/office/drawing/2014/main" id="{5082EA48-0E21-4D17-8C33-A97F82F3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12</xdr:row>
      <xdr:rowOff>0</xdr:rowOff>
    </xdr:to>
    <xdr:pic>
      <xdr:nvPicPr>
        <xdr:cNvPr id="202" name="Picture 71">
          <a:extLst>
            <a:ext uri="{FF2B5EF4-FFF2-40B4-BE49-F238E27FC236}">
              <a16:creationId xmlns:a16="http://schemas.microsoft.com/office/drawing/2014/main" id="{7378480C-C852-4AE9-BC9F-9D12E223E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12700</xdr:colOff>
      <xdr:row>13</xdr:row>
      <xdr:rowOff>0</xdr:rowOff>
    </xdr:to>
    <xdr:pic>
      <xdr:nvPicPr>
        <xdr:cNvPr id="203" name="Picture 72">
          <a:extLst>
            <a:ext uri="{FF2B5EF4-FFF2-40B4-BE49-F238E27FC236}">
              <a16:creationId xmlns:a16="http://schemas.microsoft.com/office/drawing/2014/main" id="{0C2F5EF2-CF17-4658-809D-B07D78704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444500</xdr:rowOff>
    </xdr:from>
    <xdr:to>
      <xdr:col>0</xdr:col>
      <xdr:colOff>12700</xdr:colOff>
      <xdr:row>13</xdr:row>
      <xdr:rowOff>0</xdr:rowOff>
    </xdr:to>
    <xdr:pic>
      <xdr:nvPicPr>
        <xdr:cNvPr id="204" name="Picture 73">
          <a:extLst>
            <a:ext uri="{FF2B5EF4-FFF2-40B4-BE49-F238E27FC236}">
              <a16:creationId xmlns:a16="http://schemas.microsoft.com/office/drawing/2014/main" id="{473BFE96-4BC4-458F-AB25-424110D92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3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12700</xdr:colOff>
      <xdr:row>14</xdr:row>
      <xdr:rowOff>0</xdr:rowOff>
    </xdr:to>
    <xdr:pic>
      <xdr:nvPicPr>
        <xdr:cNvPr id="205" name="Picture 74">
          <a:extLst>
            <a:ext uri="{FF2B5EF4-FFF2-40B4-BE49-F238E27FC236}">
              <a16:creationId xmlns:a16="http://schemas.microsoft.com/office/drawing/2014/main" id="{2ABF07FA-A5AC-467B-8A90-9D2913E0B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12700</xdr:colOff>
      <xdr:row>15</xdr:row>
      <xdr:rowOff>12700</xdr:rowOff>
    </xdr:to>
    <xdr:pic>
      <xdr:nvPicPr>
        <xdr:cNvPr id="206" name="Picture 75">
          <a:extLst>
            <a:ext uri="{FF2B5EF4-FFF2-40B4-BE49-F238E27FC236}">
              <a16:creationId xmlns:a16="http://schemas.microsoft.com/office/drawing/2014/main" id="{6178A9CF-1068-4F8D-8F62-455AC55F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16</xdr:row>
      <xdr:rowOff>0</xdr:rowOff>
    </xdr:to>
    <xdr:pic>
      <xdr:nvPicPr>
        <xdr:cNvPr id="207" name="Picture 76">
          <a:extLst>
            <a:ext uri="{FF2B5EF4-FFF2-40B4-BE49-F238E27FC236}">
              <a16:creationId xmlns:a16="http://schemas.microsoft.com/office/drawing/2014/main" id="{C2937402-A006-46A8-910C-F1A5C2D6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17</xdr:row>
      <xdr:rowOff>0</xdr:rowOff>
    </xdr:to>
    <xdr:pic>
      <xdr:nvPicPr>
        <xdr:cNvPr id="208" name="Picture 77">
          <a:extLst>
            <a:ext uri="{FF2B5EF4-FFF2-40B4-BE49-F238E27FC236}">
              <a16:creationId xmlns:a16="http://schemas.microsoft.com/office/drawing/2014/main" id="{CBBCF670-6291-4710-A1A2-2F337B865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12700</xdr:colOff>
      <xdr:row>1</xdr:row>
      <xdr:rowOff>12700</xdr:rowOff>
    </xdr:to>
    <xdr:pic>
      <xdr:nvPicPr>
        <xdr:cNvPr id="209" name="Picture 78">
          <a:extLst>
            <a:ext uri="{FF2B5EF4-FFF2-40B4-BE49-F238E27FC236}">
              <a16:creationId xmlns:a16="http://schemas.microsoft.com/office/drawing/2014/main" id="{345E38F4-2197-404C-9C2D-3159DFD5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12700</xdr:colOff>
      <xdr:row>18</xdr:row>
      <xdr:rowOff>0</xdr:rowOff>
    </xdr:to>
    <xdr:pic>
      <xdr:nvPicPr>
        <xdr:cNvPr id="210" name="Picture 79">
          <a:extLst>
            <a:ext uri="{FF2B5EF4-FFF2-40B4-BE49-F238E27FC236}">
              <a16:creationId xmlns:a16="http://schemas.microsoft.com/office/drawing/2014/main" id="{5758437F-8F33-4C0D-9421-3208DEC66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19</xdr:row>
      <xdr:rowOff>12700</xdr:rowOff>
    </xdr:to>
    <xdr:pic>
      <xdr:nvPicPr>
        <xdr:cNvPr id="211" name="Picture 81">
          <a:extLst>
            <a:ext uri="{FF2B5EF4-FFF2-40B4-BE49-F238E27FC236}">
              <a16:creationId xmlns:a16="http://schemas.microsoft.com/office/drawing/2014/main" id="{A1769FA9-7C80-4016-B856-51991C2FB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0</xdr:rowOff>
    </xdr:to>
    <xdr:pic>
      <xdr:nvPicPr>
        <xdr:cNvPr id="212" name="Picture 82">
          <a:extLst>
            <a:ext uri="{FF2B5EF4-FFF2-40B4-BE49-F238E27FC236}">
              <a16:creationId xmlns:a16="http://schemas.microsoft.com/office/drawing/2014/main" id="{1511C971-F9F8-4482-BE7A-BEEF1405F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0</xdr:rowOff>
    </xdr:to>
    <xdr:pic>
      <xdr:nvPicPr>
        <xdr:cNvPr id="213" name="Picture 85">
          <a:extLst>
            <a:ext uri="{FF2B5EF4-FFF2-40B4-BE49-F238E27FC236}">
              <a16:creationId xmlns:a16="http://schemas.microsoft.com/office/drawing/2014/main" id="{A23368AB-3BF7-49DE-9DF9-0D8BDE438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21</xdr:row>
      <xdr:rowOff>12700</xdr:rowOff>
    </xdr:to>
    <xdr:pic>
      <xdr:nvPicPr>
        <xdr:cNvPr id="214" name="Picture 90">
          <a:extLst>
            <a:ext uri="{FF2B5EF4-FFF2-40B4-BE49-F238E27FC236}">
              <a16:creationId xmlns:a16="http://schemas.microsoft.com/office/drawing/2014/main" id="{5576CBC6-D800-41BD-862A-635BC9CB4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0</xdr:rowOff>
    </xdr:to>
    <xdr:pic>
      <xdr:nvPicPr>
        <xdr:cNvPr id="215" name="Picture 91">
          <a:extLst>
            <a:ext uri="{FF2B5EF4-FFF2-40B4-BE49-F238E27FC236}">
              <a16:creationId xmlns:a16="http://schemas.microsoft.com/office/drawing/2014/main" id="{B1DC2943-678A-4B93-93D7-022237B6E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216" name="Picture 93">
          <a:extLst>
            <a:ext uri="{FF2B5EF4-FFF2-40B4-BE49-F238E27FC236}">
              <a16:creationId xmlns:a16="http://schemas.microsoft.com/office/drawing/2014/main" id="{A6DB81F0-1F4B-4C2B-BD60-DB82BB12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0</xdr:rowOff>
    </xdr:to>
    <xdr:pic>
      <xdr:nvPicPr>
        <xdr:cNvPr id="217" name="Picture 95">
          <a:extLst>
            <a:ext uri="{FF2B5EF4-FFF2-40B4-BE49-F238E27FC236}">
              <a16:creationId xmlns:a16="http://schemas.microsoft.com/office/drawing/2014/main" id="{A763A46B-218D-4D0B-860A-0EDFC64FD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0</xdr:rowOff>
    </xdr:to>
    <xdr:pic>
      <xdr:nvPicPr>
        <xdr:cNvPr id="218" name="Picture 98">
          <a:extLst>
            <a:ext uri="{FF2B5EF4-FFF2-40B4-BE49-F238E27FC236}">
              <a16:creationId xmlns:a16="http://schemas.microsoft.com/office/drawing/2014/main" id="{040862EC-8D20-42A4-91A8-87A6415E8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444500</xdr:rowOff>
    </xdr:from>
    <xdr:to>
      <xdr:col>0</xdr:col>
      <xdr:colOff>12700</xdr:colOff>
      <xdr:row>25</xdr:row>
      <xdr:rowOff>0</xdr:rowOff>
    </xdr:to>
    <xdr:pic>
      <xdr:nvPicPr>
        <xdr:cNvPr id="219" name="Picture 99">
          <a:extLst>
            <a:ext uri="{FF2B5EF4-FFF2-40B4-BE49-F238E27FC236}">
              <a16:creationId xmlns:a16="http://schemas.microsoft.com/office/drawing/2014/main" id="{D3E1DC23-DE45-438B-80F8-9EA1F2123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9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25</xdr:row>
      <xdr:rowOff>12700</xdr:rowOff>
    </xdr:to>
    <xdr:pic>
      <xdr:nvPicPr>
        <xdr:cNvPr id="220" name="Picture 103">
          <a:extLst>
            <a:ext uri="{FF2B5EF4-FFF2-40B4-BE49-F238E27FC236}">
              <a16:creationId xmlns:a16="http://schemas.microsoft.com/office/drawing/2014/main" id="{37A15631-78DA-4C30-BDC7-C284011A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0</xdr:rowOff>
    </xdr:to>
    <xdr:pic>
      <xdr:nvPicPr>
        <xdr:cNvPr id="221" name="Picture 104">
          <a:extLst>
            <a:ext uri="{FF2B5EF4-FFF2-40B4-BE49-F238E27FC236}">
              <a16:creationId xmlns:a16="http://schemas.microsoft.com/office/drawing/2014/main" id="{1DEB2EE9-09A9-44C1-998C-4415133D2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222" name="Picture 107">
          <a:extLst>
            <a:ext uri="{FF2B5EF4-FFF2-40B4-BE49-F238E27FC236}">
              <a16:creationId xmlns:a16="http://schemas.microsoft.com/office/drawing/2014/main" id="{6D89D35E-4BE7-4E85-B0C3-614B14A52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28</xdr:row>
      <xdr:rowOff>0</xdr:rowOff>
    </xdr:to>
    <xdr:pic>
      <xdr:nvPicPr>
        <xdr:cNvPr id="223" name="Picture 110">
          <a:extLst>
            <a:ext uri="{FF2B5EF4-FFF2-40B4-BE49-F238E27FC236}">
              <a16:creationId xmlns:a16="http://schemas.microsoft.com/office/drawing/2014/main" id="{0A5A0A1A-5E5A-4EF5-809C-5B0F747AB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0</xdr:rowOff>
    </xdr:to>
    <xdr:pic>
      <xdr:nvPicPr>
        <xdr:cNvPr id="224" name="Picture 111">
          <a:extLst>
            <a:ext uri="{FF2B5EF4-FFF2-40B4-BE49-F238E27FC236}">
              <a16:creationId xmlns:a16="http://schemas.microsoft.com/office/drawing/2014/main" id="{7CB08D10-ACA9-4EC5-95DA-9B28E3395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225" name="Picture 113">
          <a:extLst>
            <a:ext uri="{FF2B5EF4-FFF2-40B4-BE49-F238E27FC236}">
              <a16:creationId xmlns:a16="http://schemas.microsoft.com/office/drawing/2014/main" id="{EB728390-8A50-44CF-B972-EF17D29CC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226" name="Picture 115">
          <a:extLst>
            <a:ext uri="{FF2B5EF4-FFF2-40B4-BE49-F238E27FC236}">
              <a16:creationId xmlns:a16="http://schemas.microsoft.com/office/drawing/2014/main" id="{70110E8C-3C1D-4C70-AF5D-DECCA664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0</xdr:rowOff>
    </xdr:to>
    <xdr:pic>
      <xdr:nvPicPr>
        <xdr:cNvPr id="227" name="Picture 117">
          <a:extLst>
            <a:ext uri="{FF2B5EF4-FFF2-40B4-BE49-F238E27FC236}">
              <a16:creationId xmlns:a16="http://schemas.microsoft.com/office/drawing/2014/main" id="{A774CCAA-0FF1-4E5A-9314-14B023171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0</xdr:rowOff>
    </xdr:to>
    <xdr:pic>
      <xdr:nvPicPr>
        <xdr:cNvPr id="228" name="Picture 119">
          <a:extLst>
            <a:ext uri="{FF2B5EF4-FFF2-40B4-BE49-F238E27FC236}">
              <a16:creationId xmlns:a16="http://schemas.microsoft.com/office/drawing/2014/main" id="{97493C6C-F337-4A39-A47F-0F6419E0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444500</xdr:rowOff>
    </xdr:from>
    <xdr:to>
      <xdr:col>0</xdr:col>
      <xdr:colOff>12700</xdr:colOff>
      <xdr:row>33</xdr:row>
      <xdr:rowOff>0</xdr:rowOff>
    </xdr:to>
    <xdr:pic>
      <xdr:nvPicPr>
        <xdr:cNvPr id="229" name="Picture 120">
          <a:extLst>
            <a:ext uri="{FF2B5EF4-FFF2-40B4-BE49-F238E27FC236}">
              <a16:creationId xmlns:a16="http://schemas.microsoft.com/office/drawing/2014/main" id="{2C089D04-AB67-4D25-8EAB-3F5719044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3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51</xdr:row>
      <xdr:rowOff>12700</xdr:rowOff>
    </xdr:to>
    <xdr:pic>
      <xdr:nvPicPr>
        <xdr:cNvPr id="230" name="Picture 121">
          <a:extLst>
            <a:ext uri="{FF2B5EF4-FFF2-40B4-BE49-F238E27FC236}">
              <a16:creationId xmlns:a16="http://schemas.microsoft.com/office/drawing/2014/main" id="{A2B6D8FB-7E50-43E6-84EE-7CB66BEF6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231" name="Picture 122">
          <a:extLst>
            <a:ext uri="{FF2B5EF4-FFF2-40B4-BE49-F238E27FC236}">
              <a16:creationId xmlns:a16="http://schemas.microsoft.com/office/drawing/2014/main" id="{3CB9AF7D-5E56-4761-8A29-B68DC3E7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58</xdr:row>
      <xdr:rowOff>12700</xdr:rowOff>
    </xdr:to>
    <xdr:pic>
      <xdr:nvPicPr>
        <xdr:cNvPr id="232" name="Picture 126">
          <a:extLst>
            <a:ext uri="{FF2B5EF4-FFF2-40B4-BE49-F238E27FC236}">
              <a16:creationId xmlns:a16="http://schemas.microsoft.com/office/drawing/2014/main" id="{545E461D-143C-4B22-AB88-0AE8E040B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35</xdr:row>
      <xdr:rowOff>0</xdr:rowOff>
    </xdr:to>
    <xdr:pic>
      <xdr:nvPicPr>
        <xdr:cNvPr id="233" name="Picture 127">
          <a:extLst>
            <a:ext uri="{FF2B5EF4-FFF2-40B4-BE49-F238E27FC236}">
              <a16:creationId xmlns:a16="http://schemas.microsoft.com/office/drawing/2014/main" id="{D693EA91-94AB-475D-BDC1-D95F8C57B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37</xdr:row>
      <xdr:rowOff>0</xdr:rowOff>
    </xdr:to>
    <xdr:pic>
      <xdr:nvPicPr>
        <xdr:cNvPr id="234" name="Picture 128">
          <a:extLst>
            <a:ext uri="{FF2B5EF4-FFF2-40B4-BE49-F238E27FC236}">
              <a16:creationId xmlns:a16="http://schemas.microsoft.com/office/drawing/2014/main" id="{4E5928D5-1CEF-4588-8323-9EFABE035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12700</xdr:colOff>
      <xdr:row>69</xdr:row>
      <xdr:rowOff>12700</xdr:rowOff>
    </xdr:to>
    <xdr:pic>
      <xdr:nvPicPr>
        <xdr:cNvPr id="235" name="Picture 130">
          <a:extLst>
            <a:ext uri="{FF2B5EF4-FFF2-40B4-BE49-F238E27FC236}">
              <a16:creationId xmlns:a16="http://schemas.microsoft.com/office/drawing/2014/main" id="{6C9C249E-6FBC-403E-9B04-44BC9A356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12700</xdr:colOff>
      <xdr:row>38</xdr:row>
      <xdr:rowOff>0</xdr:rowOff>
    </xdr:to>
    <xdr:pic>
      <xdr:nvPicPr>
        <xdr:cNvPr id="236" name="Picture 133">
          <a:extLst>
            <a:ext uri="{FF2B5EF4-FFF2-40B4-BE49-F238E27FC236}">
              <a16:creationId xmlns:a16="http://schemas.microsoft.com/office/drawing/2014/main" id="{C6187994-BFA7-483A-B235-CB9BB96D4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444500</xdr:rowOff>
    </xdr:from>
    <xdr:to>
      <xdr:col>0</xdr:col>
      <xdr:colOff>12700</xdr:colOff>
      <xdr:row>38</xdr:row>
      <xdr:rowOff>0</xdr:rowOff>
    </xdr:to>
    <xdr:pic>
      <xdr:nvPicPr>
        <xdr:cNvPr id="237" name="Picture 134">
          <a:extLst>
            <a:ext uri="{FF2B5EF4-FFF2-40B4-BE49-F238E27FC236}">
              <a16:creationId xmlns:a16="http://schemas.microsoft.com/office/drawing/2014/main" id="{19CBCF5B-CD0C-410B-9221-1C7851B8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58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12700</xdr:colOff>
      <xdr:row>72</xdr:row>
      <xdr:rowOff>12700</xdr:rowOff>
    </xdr:to>
    <xdr:pic>
      <xdr:nvPicPr>
        <xdr:cNvPr id="238" name="Picture 135">
          <a:extLst>
            <a:ext uri="{FF2B5EF4-FFF2-40B4-BE49-F238E27FC236}">
              <a16:creationId xmlns:a16="http://schemas.microsoft.com/office/drawing/2014/main" id="{EAD772E1-C902-4AC6-B5EA-5F33BF5B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39</xdr:row>
      <xdr:rowOff>12700</xdr:rowOff>
    </xdr:to>
    <xdr:pic>
      <xdr:nvPicPr>
        <xdr:cNvPr id="239" name="Picture 136">
          <a:extLst>
            <a:ext uri="{FF2B5EF4-FFF2-40B4-BE49-F238E27FC236}">
              <a16:creationId xmlns:a16="http://schemas.microsoft.com/office/drawing/2014/main" id="{37A03A30-ED4C-483A-8E2A-C177A5C3D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40</xdr:row>
      <xdr:rowOff>0</xdr:rowOff>
    </xdr:to>
    <xdr:pic>
      <xdr:nvPicPr>
        <xdr:cNvPr id="240" name="Picture 137">
          <a:extLst>
            <a:ext uri="{FF2B5EF4-FFF2-40B4-BE49-F238E27FC236}">
              <a16:creationId xmlns:a16="http://schemas.microsoft.com/office/drawing/2014/main" id="{3677C093-513F-47A3-85E1-C0E63355C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41</xdr:row>
      <xdr:rowOff>0</xdr:rowOff>
    </xdr:to>
    <xdr:pic>
      <xdr:nvPicPr>
        <xdr:cNvPr id="241" name="Picture 138">
          <a:extLst>
            <a:ext uri="{FF2B5EF4-FFF2-40B4-BE49-F238E27FC236}">
              <a16:creationId xmlns:a16="http://schemas.microsoft.com/office/drawing/2014/main" id="{FE9AE81A-D78C-4B77-BCE0-C837DD8B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42</xdr:row>
      <xdr:rowOff>0</xdr:rowOff>
    </xdr:to>
    <xdr:pic>
      <xdr:nvPicPr>
        <xdr:cNvPr id="242" name="Picture 139">
          <a:extLst>
            <a:ext uri="{FF2B5EF4-FFF2-40B4-BE49-F238E27FC236}">
              <a16:creationId xmlns:a16="http://schemas.microsoft.com/office/drawing/2014/main" id="{49514E64-1E6D-45DD-9187-A9E174C6E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43</xdr:row>
      <xdr:rowOff>0</xdr:rowOff>
    </xdr:to>
    <xdr:pic>
      <xdr:nvPicPr>
        <xdr:cNvPr id="243" name="Picture 140">
          <a:extLst>
            <a:ext uri="{FF2B5EF4-FFF2-40B4-BE49-F238E27FC236}">
              <a16:creationId xmlns:a16="http://schemas.microsoft.com/office/drawing/2014/main" id="{E8CAB186-9353-4DC9-B140-D8626044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44</xdr:row>
      <xdr:rowOff>12700</xdr:rowOff>
    </xdr:to>
    <xdr:pic>
      <xdr:nvPicPr>
        <xdr:cNvPr id="244" name="Picture 142">
          <a:extLst>
            <a:ext uri="{FF2B5EF4-FFF2-40B4-BE49-F238E27FC236}">
              <a16:creationId xmlns:a16="http://schemas.microsoft.com/office/drawing/2014/main" id="{32C02180-8188-46B9-A2D5-1C6ADF25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444500</xdr:rowOff>
    </xdr:from>
    <xdr:to>
      <xdr:col>0</xdr:col>
      <xdr:colOff>12700</xdr:colOff>
      <xdr:row>45</xdr:row>
      <xdr:rowOff>12700</xdr:rowOff>
    </xdr:to>
    <xdr:pic>
      <xdr:nvPicPr>
        <xdr:cNvPr id="245" name="Picture 143">
          <a:extLst>
            <a:ext uri="{FF2B5EF4-FFF2-40B4-BE49-F238E27FC236}">
              <a16:creationId xmlns:a16="http://schemas.microsoft.com/office/drawing/2014/main" id="{7AB8BB31-C9A1-497B-9A01-5819CCDC8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8825"/>
          <a:ext cx="12700" cy="206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46</xdr:row>
      <xdr:rowOff>0</xdr:rowOff>
    </xdr:to>
    <xdr:pic>
      <xdr:nvPicPr>
        <xdr:cNvPr id="246" name="Picture 144">
          <a:extLst>
            <a:ext uri="{FF2B5EF4-FFF2-40B4-BE49-F238E27FC236}">
              <a16:creationId xmlns:a16="http://schemas.microsoft.com/office/drawing/2014/main" id="{78381E17-ED1A-4BF4-82B0-3C05190EB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52</xdr:row>
      <xdr:rowOff>12700</xdr:rowOff>
    </xdr:to>
    <xdr:pic>
      <xdr:nvPicPr>
        <xdr:cNvPr id="247" name="Picture 146">
          <a:extLst>
            <a:ext uri="{FF2B5EF4-FFF2-40B4-BE49-F238E27FC236}">
              <a16:creationId xmlns:a16="http://schemas.microsoft.com/office/drawing/2014/main" id="{BE74C8E0-4CCE-4697-AB97-875DAD0A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47</xdr:row>
      <xdr:rowOff>0</xdr:rowOff>
    </xdr:to>
    <xdr:pic>
      <xdr:nvPicPr>
        <xdr:cNvPr id="248" name="Picture 147">
          <a:extLst>
            <a:ext uri="{FF2B5EF4-FFF2-40B4-BE49-F238E27FC236}">
              <a16:creationId xmlns:a16="http://schemas.microsoft.com/office/drawing/2014/main" id="{AEA52639-8123-4A69-ABB6-B6C1D0E9F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12700</xdr:colOff>
      <xdr:row>48</xdr:row>
      <xdr:rowOff>0</xdr:rowOff>
    </xdr:to>
    <xdr:pic>
      <xdr:nvPicPr>
        <xdr:cNvPr id="249" name="Picture 148">
          <a:extLst>
            <a:ext uri="{FF2B5EF4-FFF2-40B4-BE49-F238E27FC236}">
              <a16:creationId xmlns:a16="http://schemas.microsoft.com/office/drawing/2014/main" id="{173B310C-D5D8-4941-99EA-9FDEDBEF1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12700</xdr:colOff>
      <xdr:row>49</xdr:row>
      <xdr:rowOff>0</xdr:rowOff>
    </xdr:to>
    <xdr:pic>
      <xdr:nvPicPr>
        <xdr:cNvPr id="250" name="Picture 150">
          <a:extLst>
            <a:ext uri="{FF2B5EF4-FFF2-40B4-BE49-F238E27FC236}">
              <a16:creationId xmlns:a16="http://schemas.microsoft.com/office/drawing/2014/main" id="{5F1AC240-9DE8-42EB-8B54-4DB35B90B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12700</xdr:colOff>
      <xdr:row>50</xdr:row>
      <xdr:rowOff>0</xdr:rowOff>
    </xdr:to>
    <xdr:pic>
      <xdr:nvPicPr>
        <xdr:cNvPr id="251" name="Picture 151">
          <a:extLst>
            <a:ext uri="{FF2B5EF4-FFF2-40B4-BE49-F238E27FC236}">
              <a16:creationId xmlns:a16="http://schemas.microsoft.com/office/drawing/2014/main" id="{F91A284A-F33A-4F3E-A898-C39AA24B8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51</xdr:row>
      <xdr:rowOff>0</xdr:rowOff>
    </xdr:to>
    <xdr:pic>
      <xdr:nvPicPr>
        <xdr:cNvPr id="252" name="Picture 153">
          <a:extLst>
            <a:ext uri="{FF2B5EF4-FFF2-40B4-BE49-F238E27FC236}">
              <a16:creationId xmlns:a16="http://schemas.microsoft.com/office/drawing/2014/main" id="{9E6519BC-C666-423E-BEE1-E06D6844F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38</xdr:row>
      <xdr:rowOff>12700</xdr:rowOff>
    </xdr:to>
    <xdr:pic>
      <xdr:nvPicPr>
        <xdr:cNvPr id="253" name="Picture 154">
          <a:extLst>
            <a:ext uri="{FF2B5EF4-FFF2-40B4-BE49-F238E27FC236}">
              <a16:creationId xmlns:a16="http://schemas.microsoft.com/office/drawing/2014/main" id="{E484D758-D900-4409-8630-A6308B1B1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51</xdr:row>
      <xdr:rowOff>12700</xdr:rowOff>
    </xdr:to>
    <xdr:pic>
      <xdr:nvPicPr>
        <xdr:cNvPr id="254" name="Picture 155">
          <a:extLst>
            <a:ext uri="{FF2B5EF4-FFF2-40B4-BE49-F238E27FC236}">
              <a16:creationId xmlns:a16="http://schemas.microsoft.com/office/drawing/2014/main" id="{CC705A66-906D-4EF6-95DE-6C2EB945E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52</xdr:row>
      <xdr:rowOff>0</xdr:rowOff>
    </xdr:to>
    <xdr:pic>
      <xdr:nvPicPr>
        <xdr:cNvPr id="255" name="Picture 156">
          <a:extLst>
            <a:ext uri="{FF2B5EF4-FFF2-40B4-BE49-F238E27FC236}">
              <a16:creationId xmlns:a16="http://schemas.microsoft.com/office/drawing/2014/main" id="{613F1F82-3612-48C0-B58E-DB64736AA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12700</xdr:colOff>
      <xdr:row>73</xdr:row>
      <xdr:rowOff>12700</xdr:rowOff>
    </xdr:to>
    <xdr:pic>
      <xdr:nvPicPr>
        <xdr:cNvPr id="256" name="Picture 157">
          <a:extLst>
            <a:ext uri="{FF2B5EF4-FFF2-40B4-BE49-F238E27FC236}">
              <a16:creationId xmlns:a16="http://schemas.microsoft.com/office/drawing/2014/main" id="{17E318EA-E6E0-4882-B065-144EF71C3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53</xdr:row>
      <xdr:rowOff>12700</xdr:rowOff>
    </xdr:to>
    <xdr:pic>
      <xdr:nvPicPr>
        <xdr:cNvPr id="257" name="Picture 158">
          <a:extLst>
            <a:ext uri="{FF2B5EF4-FFF2-40B4-BE49-F238E27FC236}">
              <a16:creationId xmlns:a16="http://schemas.microsoft.com/office/drawing/2014/main" id="{8DD5B9E9-838A-4314-981B-89B48CE6E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12700</xdr:colOff>
      <xdr:row>54</xdr:row>
      <xdr:rowOff>12700</xdr:rowOff>
    </xdr:to>
    <xdr:pic>
      <xdr:nvPicPr>
        <xdr:cNvPr id="258" name="Picture 159">
          <a:extLst>
            <a:ext uri="{FF2B5EF4-FFF2-40B4-BE49-F238E27FC236}">
              <a16:creationId xmlns:a16="http://schemas.microsoft.com/office/drawing/2014/main" id="{9EDD5322-CA2E-4B05-87F9-9A963C37A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12700</xdr:colOff>
      <xdr:row>55</xdr:row>
      <xdr:rowOff>0</xdr:rowOff>
    </xdr:to>
    <xdr:pic>
      <xdr:nvPicPr>
        <xdr:cNvPr id="259" name="Picture 160">
          <a:extLst>
            <a:ext uri="{FF2B5EF4-FFF2-40B4-BE49-F238E27FC236}">
              <a16:creationId xmlns:a16="http://schemas.microsoft.com/office/drawing/2014/main" id="{9EBB1D52-0621-422E-A224-146B17236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260" name="Picture 161">
          <a:extLst>
            <a:ext uri="{FF2B5EF4-FFF2-40B4-BE49-F238E27FC236}">
              <a16:creationId xmlns:a16="http://schemas.microsoft.com/office/drawing/2014/main" id="{59B40EE6-1629-48F6-9D0D-4717496AA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12700</xdr:colOff>
      <xdr:row>56</xdr:row>
      <xdr:rowOff>12700</xdr:rowOff>
    </xdr:to>
    <xdr:pic>
      <xdr:nvPicPr>
        <xdr:cNvPr id="261" name="Picture 162">
          <a:extLst>
            <a:ext uri="{FF2B5EF4-FFF2-40B4-BE49-F238E27FC236}">
              <a16:creationId xmlns:a16="http://schemas.microsoft.com/office/drawing/2014/main" id="{9F756916-1F0A-4A8F-8F25-38E5EEAD1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12700</xdr:colOff>
      <xdr:row>57</xdr:row>
      <xdr:rowOff>12700</xdr:rowOff>
    </xdr:to>
    <xdr:pic>
      <xdr:nvPicPr>
        <xdr:cNvPr id="262" name="Picture 163">
          <a:extLst>
            <a:ext uri="{FF2B5EF4-FFF2-40B4-BE49-F238E27FC236}">
              <a16:creationId xmlns:a16="http://schemas.microsoft.com/office/drawing/2014/main" id="{45D6115F-B77D-43DC-BF8F-C7EE956C5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12700</xdr:colOff>
      <xdr:row>58</xdr:row>
      <xdr:rowOff>12700</xdr:rowOff>
    </xdr:to>
    <xdr:pic>
      <xdr:nvPicPr>
        <xdr:cNvPr id="263" name="Picture 164">
          <a:extLst>
            <a:ext uri="{FF2B5EF4-FFF2-40B4-BE49-F238E27FC236}">
              <a16:creationId xmlns:a16="http://schemas.microsoft.com/office/drawing/2014/main" id="{A6518744-350B-4212-B2FD-DC422B59E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59</xdr:row>
      <xdr:rowOff>0</xdr:rowOff>
    </xdr:to>
    <xdr:pic>
      <xdr:nvPicPr>
        <xdr:cNvPr id="264" name="Picture 165">
          <a:extLst>
            <a:ext uri="{FF2B5EF4-FFF2-40B4-BE49-F238E27FC236}">
              <a16:creationId xmlns:a16="http://schemas.microsoft.com/office/drawing/2014/main" id="{FE639DDD-9450-4E74-9C44-B49339E59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12700</xdr:colOff>
      <xdr:row>60</xdr:row>
      <xdr:rowOff>12700</xdr:rowOff>
    </xdr:to>
    <xdr:pic>
      <xdr:nvPicPr>
        <xdr:cNvPr id="265" name="Picture 167">
          <a:extLst>
            <a:ext uri="{FF2B5EF4-FFF2-40B4-BE49-F238E27FC236}">
              <a16:creationId xmlns:a16="http://schemas.microsoft.com/office/drawing/2014/main" id="{7C03EF9A-AE40-409C-A61E-1147A4ED3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59</xdr:row>
      <xdr:rowOff>444500</xdr:rowOff>
    </xdr:from>
    <xdr:to>
      <xdr:col>0</xdr:col>
      <xdr:colOff>12700</xdr:colOff>
      <xdr:row>61</xdr:row>
      <xdr:rowOff>12700</xdr:rowOff>
    </xdr:to>
    <xdr:pic>
      <xdr:nvPicPr>
        <xdr:cNvPr id="266" name="Picture 168">
          <a:extLst>
            <a:ext uri="{FF2B5EF4-FFF2-40B4-BE49-F238E27FC236}">
              <a16:creationId xmlns:a16="http://schemas.microsoft.com/office/drawing/2014/main" id="{4619CC28-EFB9-48F2-A76A-E3164A1E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26825"/>
          <a:ext cx="12700" cy="206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12700</xdr:colOff>
      <xdr:row>62</xdr:row>
      <xdr:rowOff>12700</xdr:rowOff>
    </xdr:to>
    <xdr:pic>
      <xdr:nvPicPr>
        <xdr:cNvPr id="267" name="Picture 169">
          <a:extLst>
            <a:ext uri="{FF2B5EF4-FFF2-40B4-BE49-F238E27FC236}">
              <a16:creationId xmlns:a16="http://schemas.microsoft.com/office/drawing/2014/main" id="{0C7DF1E9-D91D-46E2-B243-C26694CB4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12700</xdr:colOff>
      <xdr:row>63</xdr:row>
      <xdr:rowOff>0</xdr:rowOff>
    </xdr:to>
    <xdr:pic>
      <xdr:nvPicPr>
        <xdr:cNvPr id="268" name="Picture 170">
          <a:extLst>
            <a:ext uri="{FF2B5EF4-FFF2-40B4-BE49-F238E27FC236}">
              <a16:creationId xmlns:a16="http://schemas.microsoft.com/office/drawing/2014/main" id="{C8B1B215-6B83-4836-A886-AD3A59C18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62</xdr:row>
      <xdr:rowOff>444500</xdr:rowOff>
    </xdr:from>
    <xdr:to>
      <xdr:col>0</xdr:col>
      <xdr:colOff>12700</xdr:colOff>
      <xdr:row>63</xdr:row>
      <xdr:rowOff>12700</xdr:rowOff>
    </xdr:to>
    <xdr:pic>
      <xdr:nvPicPr>
        <xdr:cNvPr id="269" name="Picture 171">
          <a:extLst>
            <a:ext uri="{FF2B5EF4-FFF2-40B4-BE49-F238E27FC236}">
              <a16:creationId xmlns:a16="http://schemas.microsoft.com/office/drawing/2014/main" id="{17348407-8DD5-4E42-B6A2-323E3A5B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98325"/>
          <a:ext cx="12700" cy="15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12700</xdr:colOff>
      <xdr:row>64</xdr:row>
      <xdr:rowOff>0</xdr:rowOff>
    </xdr:to>
    <xdr:pic>
      <xdr:nvPicPr>
        <xdr:cNvPr id="270" name="Picture 172">
          <a:extLst>
            <a:ext uri="{FF2B5EF4-FFF2-40B4-BE49-F238E27FC236}">
              <a16:creationId xmlns:a16="http://schemas.microsoft.com/office/drawing/2014/main" id="{2916BDAF-3A39-4A2D-A282-27BCDECE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12700</xdr:colOff>
      <xdr:row>65</xdr:row>
      <xdr:rowOff>0</xdr:rowOff>
    </xdr:to>
    <xdr:pic>
      <xdr:nvPicPr>
        <xdr:cNvPr id="271" name="Picture 174">
          <a:extLst>
            <a:ext uri="{FF2B5EF4-FFF2-40B4-BE49-F238E27FC236}">
              <a16:creationId xmlns:a16="http://schemas.microsoft.com/office/drawing/2014/main" id="{7F2D172C-DC60-4200-81BE-A21F79EE4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16</xdr:row>
      <xdr:rowOff>12700</xdr:rowOff>
    </xdr:to>
    <xdr:pic>
      <xdr:nvPicPr>
        <xdr:cNvPr id="272" name="Picture 175">
          <a:extLst>
            <a:ext uri="{FF2B5EF4-FFF2-40B4-BE49-F238E27FC236}">
              <a16:creationId xmlns:a16="http://schemas.microsoft.com/office/drawing/2014/main" id="{1B3AC121-D35D-4F7F-9441-C89C6BEB6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12700</xdr:colOff>
      <xdr:row>66</xdr:row>
      <xdr:rowOff>0</xdr:rowOff>
    </xdr:to>
    <xdr:pic>
      <xdr:nvPicPr>
        <xdr:cNvPr id="273" name="Picture 177">
          <a:extLst>
            <a:ext uri="{FF2B5EF4-FFF2-40B4-BE49-F238E27FC236}">
              <a16:creationId xmlns:a16="http://schemas.microsoft.com/office/drawing/2014/main" id="{906CA451-F62E-4F59-9A3B-13ECEBB59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12700</xdr:colOff>
      <xdr:row>67</xdr:row>
      <xdr:rowOff>0</xdr:rowOff>
    </xdr:to>
    <xdr:pic>
      <xdr:nvPicPr>
        <xdr:cNvPr id="274" name="Picture 178">
          <a:extLst>
            <a:ext uri="{FF2B5EF4-FFF2-40B4-BE49-F238E27FC236}">
              <a16:creationId xmlns:a16="http://schemas.microsoft.com/office/drawing/2014/main" id="{D54E424A-823C-43E8-9946-150A4A123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12700</xdr:colOff>
      <xdr:row>68</xdr:row>
      <xdr:rowOff>0</xdr:rowOff>
    </xdr:to>
    <xdr:pic>
      <xdr:nvPicPr>
        <xdr:cNvPr id="275" name="Picture 179">
          <a:extLst>
            <a:ext uri="{FF2B5EF4-FFF2-40B4-BE49-F238E27FC236}">
              <a16:creationId xmlns:a16="http://schemas.microsoft.com/office/drawing/2014/main" id="{8FC129CE-6180-4B70-9278-3D572DC82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12700</xdr:colOff>
      <xdr:row>69</xdr:row>
      <xdr:rowOff>0</xdr:rowOff>
    </xdr:to>
    <xdr:pic>
      <xdr:nvPicPr>
        <xdr:cNvPr id="276" name="Picture 181">
          <a:extLst>
            <a:ext uri="{FF2B5EF4-FFF2-40B4-BE49-F238E27FC236}">
              <a16:creationId xmlns:a16="http://schemas.microsoft.com/office/drawing/2014/main" id="{42CE3537-20E6-444C-9173-DE2040833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12700</xdr:colOff>
      <xdr:row>70</xdr:row>
      <xdr:rowOff>0</xdr:rowOff>
    </xdr:to>
    <xdr:pic>
      <xdr:nvPicPr>
        <xdr:cNvPr id="277" name="Picture 184">
          <a:extLst>
            <a:ext uri="{FF2B5EF4-FFF2-40B4-BE49-F238E27FC236}">
              <a16:creationId xmlns:a16="http://schemas.microsoft.com/office/drawing/2014/main" id="{647172FF-7B40-4342-BD2D-FD40DA583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444500</xdr:rowOff>
    </xdr:from>
    <xdr:to>
      <xdr:col>0</xdr:col>
      <xdr:colOff>12700</xdr:colOff>
      <xdr:row>70</xdr:row>
      <xdr:rowOff>0</xdr:rowOff>
    </xdr:to>
    <xdr:pic>
      <xdr:nvPicPr>
        <xdr:cNvPr id="278" name="Picture 185">
          <a:extLst>
            <a:ext uri="{FF2B5EF4-FFF2-40B4-BE49-F238E27FC236}">
              <a16:creationId xmlns:a16="http://schemas.microsoft.com/office/drawing/2014/main" id="{2602E243-2F12-4B5D-86F0-29861136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18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12700</xdr:colOff>
      <xdr:row>70</xdr:row>
      <xdr:rowOff>12700</xdr:rowOff>
    </xdr:to>
    <xdr:pic>
      <xdr:nvPicPr>
        <xdr:cNvPr id="279" name="Picture 186">
          <a:extLst>
            <a:ext uri="{FF2B5EF4-FFF2-40B4-BE49-F238E27FC236}">
              <a16:creationId xmlns:a16="http://schemas.microsoft.com/office/drawing/2014/main" id="{AC65E273-CCDE-42A3-B938-2C556BD0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12700</xdr:colOff>
      <xdr:row>71</xdr:row>
      <xdr:rowOff>0</xdr:rowOff>
    </xdr:to>
    <xdr:pic>
      <xdr:nvPicPr>
        <xdr:cNvPr id="280" name="Picture 187">
          <a:extLst>
            <a:ext uri="{FF2B5EF4-FFF2-40B4-BE49-F238E27FC236}">
              <a16:creationId xmlns:a16="http://schemas.microsoft.com/office/drawing/2014/main" id="{42460B56-18F5-4A80-A471-E225A078B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12700</xdr:colOff>
      <xdr:row>78</xdr:row>
      <xdr:rowOff>12700</xdr:rowOff>
    </xdr:to>
    <xdr:pic>
      <xdr:nvPicPr>
        <xdr:cNvPr id="281" name="Picture 189">
          <a:extLst>
            <a:ext uri="{FF2B5EF4-FFF2-40B4-BE49-F238E27FC236}">
              <a16:creationId xmlns:a16="http://schemas.microsoft.com/office/drawing/2014/main" id="{F9748F1F-4F31-4CAB-97B8-E42DF803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12700</xdr:colOff>
      <xdr:row>72</xdr:row>
      <xdr:rowOff>0</xdr:rowOff>
    </xdr:to>
    <xdr:pic>
      <xdr:nvPicPr>
        <xdr:cNvPr id="282" name="Picture 190">
          <a:extLst>
            <a:ext uri="{FF2B5EF4-FFF2-40B4-BE49-F238E27FC236}">
              <a16:creationId xmlns:a16="http://schemas.microsoft.com/office/drawing/2014/main" id="{4D673455-60DB-414C-95AA-25A9A10EF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12700</xdr:colOff>
      <xdr:row>73</xdr:row>
      <xdr:rowOff>0</xdr:rowOff>
    </xdr:to>
    <xdr:pic>
      <xdr:nvPicPr>
        <xdr:cNvPr id="283" name="Picture 191">
          <a:extLst>
            <a:ext uri="{FF2B5EF4-FFF2-40B4-BE49-F238E27FC236}">
              <a16:creationId xmlns:a16="http://schemas.microsoft.com/office/drawing/2014/main" id="{F8B89F9B-EC49-4310-B847-A30B1EEEA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12700</xdr:colOff>
      <xdr:row>74</xdr:row>
      <xdr:rowOff>0</xdr:rowOff>
    </xdr:to>
    <xdr:pic>
      <xdr:nvPicPr>
        <xdr:cNvPr id="284" name="Picture 193">
          <a:extLst>
            <a:ext uri="{FF2B5EF4-FFF2-40B4-BE49-F238E27FC236}">
              <a16:creationId xmlns:a16="http://schemas.microsoft.com/office/drawing/2014/main" id="{4BC0C773-F666-451E-AD35-89E9FA252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12700</xdr:colOff>
      <xdr:row>75</xdr:row>
      <xdr:rowOff>12700</xdr:rowOff>
    </xdr:to>
    <xdr:pic>
      <xdr:nvPicPr>
        <xdr:cNvPr id="285" name="Picture 196">
          <a:extLst>
            <a:ext uri="{FF2B5EF4-FFF2-40B4-BE49-F238E27FC236}">
              <a16:creationId xmlns:a16="http://schemas.microsoft.com/office/drawing/2014/main" id="{9A074D33-B57C-453E-81E6-1E300F2BF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12700</xdr:colOff>
      <xdr:row>76</xdr:row>
      <xdr:rowOff>0</xdr:rowOff>
    </xdr:to>
    <xdr:pic>
      <xdr:nvPicPr>
        <xdr:cNvPr id="286" name="Picture 197">
          <a:extLst>
            <a:ext uri="{FF2B5EF4-FFF2-40B4-BE49-F238E27FC236}">
              <a16:creationId xmlns:a16="http://schemas.microsoft.com/office/drawing/2014/main" id="{185B247A-3354-42AC-8270-545B56362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12700</xdr:colOff>
      <xdr:row>77</xdr:row>
      <xdr:rowOff>0</xdr:rowOff>
    </xdr:to>
    <xdr:pic>
      <xdr:nvPicPr>
        <xdr:cNvPr id="287" name="Picture 198">
          <a:extLst>
            <a:ext uri="{FF2B5EF4-FFF2-40B4-BE49-F238E27FC236}">
              <a16:creationId xmlns:a16="http://schemas.microsoft.com/office/drawing/2014/main" id="{A78CF4B0-6A64-45A4-ACF2-7F5B148BC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12700</xdr:colOff>
      <xdr:row>78</xdr:row>
      <xdr:rowOff>0</xdr:rowOff>
    </xdr:to>
    <xdr:pic>
      <xdr:nvPicPr>
        <xdr:cNvPr id="288" name="Picture 199">
          <a:extLst>
            <a:ext uri="{FF2B5EF4-FFF2-40B4-BE49-F238E27FC236}">
              <a16:creationId xmlns:a16="http://schemas.microsoft.com/office/drawing/2014/main" id="{E6560C2F-4FCD-4F6E-8C6C-26EBBCE9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12700</xdr:colOff>
      <xdr:row>81</xdr:row>
      <xdr:rowOff>12700</xdr:rowOff>
    </xdr:to>
    <xdr:pic>
      <xdr:nvPicPr>
        <xdr:cNvPr id="289" name="Picture 201">
          <a:extLst>
            <a:ext uri="{FF2B5EF4-FFF2-40B4-BE49-F238E27FC236}">
              <a16:creationId xmlns:a16="http://schemas.microsoft.com/office/drawing/2014/main" id="{9D140B72-9DF3-4E58-96D6-951939C29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12700</xdr:colOff>
      <xdr:row>79</xdr:row>
      <xdr:rowOff>12700</xdr:rowOff>
    </xdr:to>
    <xdr:pic>
      <xdr:nvPicPr>
        <xdr:cNvPr id="290" name="Picture 202">
          <a:extLst>
            <a:ext uri="{FF2B5EF4-FFF2-40B4-BE49-F238E27FC236}">
              <a16:creationId xmlns:a16="http://schemas.microsoft.com/office/drawing/2014/main" id="{7F2C0BEA-9E9F-406B-9676-119ADA233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12700</xdr:colOff>
      <xdr:row>80</xdr:row>
      <xdr:rowOff>0</xdr:rowOff>
    </xdr:to>
    <xdr:pic>
      <xdr:nvPicPr>
        <xdr:cNvPr id="291" name="Picture 203">
          <a:extLst>
            <a:ext uri="{FF2B5EF4-FFF2-40B4-BE49-F238E27FC236}">
              <a16:creationId xmlns:a16="http://schemas.microsoft.com/office/drawing/2014/main" id="{FC890A04-B322-485F-9ABB-8861C2598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12700</xdr:colOff>
      <xdr:row>81</xdr:row>
      <xdr:rowOff>0</xdr:rowOff>
    </xdr:to>
    <xdr:pic>
      <xdr:nvPicPr>
        <xdr:cNvPr id="292" name="Picture 205">
          <a:extLst>
            <a:ext uri="{FF2B5EF4-FFF2-40B4-BE49-F238E27FC236}">
              <a16:creationId xmlns:a16="http://schemas.microsoft.com/office/drawing/2014/main" id="{5734A9B0-C015-4967-892E-0DC354B16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12700</xdr:colOff>
      <xdr:row>82</xdr:row>
      <xdr:rowOff>0</xdr:rowOff>
    </xdr:to>
    <xdr:pic>
      <xdr:nvPicPr>
        <xdr:cNvPr id="293" name="Picture 207">
          <a:extLst>
            <a:ext uri="{FF2B5EF4-FFF2-40B4-BE49-F238E27FC236}">
              <a16:creationId xmlns:a16="http://schemas.microsoft.com/office/drawing/2014/main" id="{23D526EB-A02F-4E4D-9D68-141CAA262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12700</xdr:colOff>
      <xdr:row>83</xdr:row>
      <xdr:rowOff>0</xdr:rowOff>
    </xdr:to>
    <xdr:pic>
      <xdr:nvPicPr>
        <xdr:cNvPr id="294" name="Picture 213">
          <a:extLst>
            <a:ext uri="{FF2B5EF4-FFF2-40B4-BE49-F238E27FC236}">
              <a16:creationId xmlns:a16="http://schemas.microsoft.com/office/drawing/2014/main" id="{14C5195C-6A70-47A6-9EE7-EF16F00ED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12700</xdr:colOff>
      <xdr:row>84</xdr:row>
      <xdr:rowOff>0</xdr:rowOff>
    </xdr:to>
    <xdr:pic>
      <xdr:nvPicPr>
        <xdr:cNvPr id="295" name="Picture 214">
          <a:extLst>
            <a:ext uri="{FF2B5EF4-FFF2-40B4-BE49-F238E27FC236}">
              <a16:creationId xmlns:a16="http://schemas.microsoft.com/office/drawing/2014/main" id="{4D492008-87F9-4A49-8D97-439FCB103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33</xdr:row>
      <xdr:rowOff>12700</xdr:rowOff>
    </xdr:to>
    <xdr:pic>
      <xdr:nvPicPr>
        <xdr:cNvPr id="296" name="Picture 5">
          <a:extLst>
            <a:ext uri="{FF2B5EF4-FFF2-40B4-BE49-F238E27FC236}">
              <a16:creationId xmlns:a16="http://schemas.microsoft.com/office/drawing/2014/main" id="{329942CC-44E4-48B9-B534-242382F96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5</xdr:row>
      <xdr:rowOff>0</xdr:rowOff>
    </xdr:to>
    <xdr:pic>
      <xdr:nvPicPr>
        <xdr:cNvPr id="297" name="Picture 6">
          <a:extLst>
            <a:ext uri="{FF2B5EF4-FFF2-40B4-BE49-F238E27FC236}">
              <a16:creationId xmlns:a16="http://schemas.microsoft.com/office/drawing/2014/main" id="{12ABF7B1-CD54-4539-9671-8140B61E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6</xdr:row>
      <xdr:rowOff>0</xdr:rowOff>
    </xdr:to>
    <xdr:pic>
      <xdr:nvPicPr>
        <xdr:cNvPr id="298" name="Picture 8">
          <a:extLst>
            <a:ext uri="{FF2B5EF4-FFF2-40B4-BE49-F238E27FC236}">
              <a16:creationId xmlns:a16="http://schemas.microsoft.com/office/drawing/2014/main" id="{48346B34-66C1-4143-8523-9AC5A1945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12700</xdr:colOff>
      <xdr:row>53</xdr:row>
      <xdr:rowOff>12700</xdr:rowOff>
    </xdr:to>
    <xdr:pic>
      <xdr:nvPicPr>
        <xdr:cNvPr id="299" name="Picture 25">
          <a:extLst>
            <a:ext uri="{FF2B5EF4-FFF2-40B4-BE49-F238E27FC236}">
              <a16:creationId xmlns:a16="http://schemas.microsoft.com/office/drawing/2014/main" id="{5D249ED4-CEE1-4278-AAC7-A2C6BC274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43</xdr:row>
      <xdr:rowOff>12700</xdr:rowOff>
    </xdr:to>
    <xdr:pic>
      <xdr:nvPicPr>
        <xdr:cNvPr id="300" name="Picture 31">
          <a:extLst>
            <a:ext uri="{FF2B5EF4-FFF2-40B4-BE49-F238E27FC236}">
              <a16:creationId xmlns:a16="http://schemas.microsoft.com/office/drawing/2014/main" id="{E10A13FA-BBFF-43AF-AA2B-B4ABB9FF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12700</xdr:colOff>
      <xdr:row>8</xdr:row>
      <xdr:rowOff>0</xdr:rowOff>
    </xdr:to>
    <xdr:pic>
      <xdr:nvPicPr>
        <xdr:cNvPr id="301" name="Picture 33">
          <a:extLst>
            <a:ext uri="{FF2B5EF4-FFF2-40B4-BE49-F238E27FC236}">
              <a16:creationId xmlns:a16="http://schemas.microsoft.com/office/drawing/2014/main" id="{8CD6E9B7-4AD2-43F5-B486-43723DDBD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12700</xdr:colOff>
      <xdr:row>9</xdr:row>
      <xdr:rowOff>0</xdr:rowOff>
    </xdr:to>
    <xdr:pic>
      <xdr:nvPicPr>
        <xdr:cNvPr id="302" name="Picture 34">
          <a:extLst>
            <a:ext uri="{FF2B5EF4-FFF2-40B4-BE49-F238E27FC236}">
              <a16:creationId xmlns:a16="http://schemas.microsoft.com/office/drawing/2014/main" id="{D0026FAD-D534-43B0-9EC2-65CC566C8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12700</xdr:colOff>
      <xdr:row>47</xdr:row>
      <xdr:rowOff>12700</xdr:rowOff>
    </xdr:to>
    <xdr:pic>
      <xdr:nvPicPr>
        <xdr:cNvPr id="303" name="Picture 38">
          <a:extLst>
            <a:ext uri="{FF2B5EF4-FFF2-40B4-BE49-F238E27FC236}">
              <a16:creationId xmlns:a16="http://schemas.microsoft.com/office/drawing/2014/main" id="{EADC2E3E-9447-4B99-BC3D-B441B93E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41</xdr:row>
      <xdr:rowOff>12700</xdr:rowOff>
    </xdr:to>
    <xdr:pic>
      <xdr:nvPicPr>
        <xdr:cNvPr id="304" name="Picture 40">
          <a:extLst>
            <a:ext uri="{FF2B5EF4-FFF2-40B4-BE49-F238E27FC236}">
              <a16:creationId xmlns:a16="http://schemas.microsoft.com/office/drawing/2014/main" id="{AE7F9DC8-C93B-4DD3-ABBB-73B7A5A40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12700</xdr:colOff>
      <xdr:row>54</xdr:row>
      <xdr:rowOff>12700</xdr:rowOff>
    </xdr:to>
    <xdr:pic>
      <xdr:nvPicPr>
        <xdr:cNvPr id="305" name="Picture 42">
          <a:extLst>
            <a:ext uri="{FF2B5EF4-FFF2-40B4-BE49-F238E27FC236}">
              <a16:creationId xmlns:a16="http://schemas.microsoft.com/office/drawing/2014/main" id="{F40ECADB-9D75-44CC-9C74-9F0BE7CD3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12700</xdr:colOff>
      <xdr:row>10</xdr:row>
      <xdr:rowOff>12700</xdr:rowOff>
    </xdr:to>
    <xdr:pic>
      <xdr:nvPicPr>
        <xdr:cNvPr id="306" name="Picture 43">
          <a:extLst>
            <a:ext uri="{FF2B5EF4-FFF2-40B4-BE49-F238E27FC236}">
              <a16:creationId xmlns:a16="http://schemas.microsoft.com/office/drawing/2014/main" id="{873286FD-8D8B-4328-8DD6-9565DD7E0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11</xdr:row>
      <xdr:rowOff>0</xdr:rowOff>
    </xdr:to>
    <xdr:pic>
      <xdr:nvPicPr>
        <xdr:cNvPr id="307" name="Picture 44">
          <a:extLst>
            <a:ext uri="{FF2B5EF4-FFF2-40B4-BE49-F238E27FC236}">
              <a16:creationId xmlns:a16="http://schemas.microsoft.com/office/drawing/2014/main" id="{172BB178-8594-4D03-B782-BF43CA2A4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12</xdr:row>
      <xdr:rowOff>12700</xdr:rowOff>
    </xdr:to>
    <xdr:pic>
      <xdr:nvPicPr>
        <xdr:cNvPr id="308" name="Picture 49">
          <a:extLst>
            <a:ext uri="{FF2B5EF4-FFF2-40B4-BE49-F238E27FC236}">
              <a16:creationId xmlns:a16="http://schemas.microsoft.com/office/drawing/2014/main" id="{3D481EF0-C32D-4D1D-BFB6-E75A2B52B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12700</xdr:colOff>
      <xdr:row>13</xdr:row>
      <xdr:rowOff>0</xdr:rowOff>
    </xdr:to>
    <xdr:pic>
      <xdr:nvPicPr>
        <xdr:cNvPr id="309" name="Picture 50">
          <a:extLst>
            <a:ext uri="{FF2B5EF4-FFF2-40B4-BE49-F238E27FC236}">
              <a16:creationId xmlns:a16="http://schemas.microsoft.com/office/drawing/2014/main" id="{B380C0E1-653F-4E57-8B6D-A8A74E334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444500</xdr:rowOff>
    </xdr:from>
    <xdr:to>
      <xdr:col>0</xdr:col>
      <xdr:colOff>12700</xdr:colOff>
      <xdr:row>13</xdr:row>
      <xdr:rowOff>0</xdr:rowOff>
    </xdr:to>
    <xdr:pic>
      <xdr:nvPicPr>
        <xdr:cNvPr id="310" name="Picture 51">
          <a:extLst>
            <a:ext uri="{FF2B5EF4-FFF2-40B4-BE49-F238E27FC236}">
              <a16:creationId xmlns:a16="http://schemas.microsoft.com/office/drawing/2014/main" id="{2B795D51-6C75-41A9-975B-10D4F077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3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16</xdr:row>
      <xdr:rowOff>0</xdr:rowOff>
    </xdr:to>
    <xdr:pic>
      <xdr:nvPicPr>
        <xdr:cNvPr id="311" name="Picture 53">
          <a:extLst>
            <a:ext uri="{FF2B5EF4-FFF2-40B4-BE49-F238E27FC236}">
              <a16:creationId xmlns:a16="http://schemas.microsoft.com/office/drawing/2014/main" id="{3148C760-A9A4-439A-9F45-53593F576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12700</xdr:colOff>
      <xdr:row>1</xdr:row>
      <xdr:rowOff>12700</xdr:rowOff>
    </xdr:to>
    <xdr:pic>
      <xdr:nvPicPr>
        <xdr:cNvPr id="312" name="Picture 54">
          <a:extLst>
            <a:ext uri="{FF2B5EF4-FFF2-40B4-BE49-F238E27FC236}">
              <a16:creationId xmlns:a16="http://schemas.microsoft.com/office/drawing/2014/main" id="{FFEC6263-F642-401F-A605-D0180256C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19</xdr:row>
      <xdr:rowOff>0</xdr:rowOff>
    </xdr:to>
    <xdr:pic>
      <xdr:nvPicPr>
        <xdr:cNvPr id="313" name="Picture 57">
          <a:extLst>
            <a:ext uri="{FF2B5EF4-FFF2-40B4-BE49-F238E27FC236}">
              <a16:creationId xmlns:a16="http://schemas.microsoft.com/office/drawing/2014/main" id="{F3963B3D-76FC-4247-96E1-0FE9349F8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165100</xdr:rowOff>
    </xdr:from>
    <xdr:to>
      <xdr:col>0</xdr:col>
      <xdr:colOff>12700</xdr:colOff>
      <xdr:row>20</xdr:row>
      <xdr:rowOff>0</xdr:rowOff>
    </xdr:to>
    <xdr:pic>
      <xdr:nvPicPr>
        <xdr:cNvPr id="314" name="Picture 58">
          <a:extLst>
            <a:ext uri="{FF2B5EF4-FFF2-40B4-BE49-F238E27FC236}">
              <a16:creationId xmlns:a16="http://schemas.microsoft.com/office/drawing/2014/main" id="{00C93DA3-B3F2-4C93-963B-03C9071ED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4600"/>
          <a:ext cx="12700" cy="25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0</xdr:rowOff>
    </xdr:to>
    <xdr:pic>
      <xdr:nvPicPr>
        <xdr:cNvPr id="315" name="Picture 59">
          <a:extLst>
            <a:ext uri="{FF2B5EF4-FFF2-40B4-BE49-F238E27FC236}">
              <a16:creationId xmlns:a16="http://schemas.microsoft.com/office/drawing/2014/main" id="{745DA3E8-A552-4193-8BAC-3BE7705E8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21</xdr:row>
      <xdr:rowOff>12700</xdr:rowOff>
    </xdr:to>
    <xdr:pic>
      <xdr:nvPicPr>
        <xdr:cNvPr id="316" name="Picture 63">
          <a:extLst>
            <a:ext uri="{FF2B5EF4-FFF2-40B4-BE49-F238E27FC236}">
              <a16:creationId xmlns:a16="http://schemas.microsoft.com/office/drawing/2014/main" id="{24704AF8-7B50-4FE4-8302-4D6054DC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0</xdr:rowOff>
    </xdr:to>
    <xdr:pic>
      <xdr:nvPicPr>
        <xdr:cNvPr id="317" name="Picture 64">
          <a:extLst>
            <a:ext uri="{FF2B5EF4-FFF2-40B4-BE49-F238E27FC236}">
              <a16:creationId xmlns:a16="http://schemas.microsoft.com/office/drawing/2014/main" id="{66F4663D-5856-4664-BEA3-F89AAF4E7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318" name="Picture 65">
          <a:extLst>
            <a:ext uri="{FF2B5EF4-FFF2-40B4-BE49-F238E27FC236}">
              <a16:creationId xmlns:a16="http://schemas.microsoft.com/office/drawing/2014/main" id="{E43238FD-D82A-4D3D-82D5-627D5AF87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0</xdr:rowOff>
    </xdr:to>
    <xdr:pic>
      <xdr:nvPicPr>
        <xdr:cNvPr id="319" name="Picture 66">
          <a:extLst>
            <a:ext uri="{FF2B5EF4-FFF2-40B4-BE49-F238E27FC236}">
              <a16:creationId xmlns:a16="http://schemas.microsoft.com/office/drawing/2014/main" id="{75174A53-25EC-429D-88FE-910525801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0</xdr:rowOff>
    </xdr:to>
    <xdr:pic>
      <xdr:nvPicPr>
        <xdr:cNvPr id="320" name="Picture 68">
          <a:extLst>
            <a:ext uri="{FF2B5EF4-FFF2-40B4-BE49-F238E27FC236}">
              <a16:creationId xmlns:a16="http://schemas.microsoft.com/office/drawing/2014/main" id="{9180F4A2-A160-47F8-AC81-4F8F56270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12700</xdr:colOff>
      <xdr:row>1</xdr:row>
      <xdr:rowOff>12700</xdr:rowOff>
    </xdr:to>
    <xdr:pic>
      <xdr:nvPicPr>
        <xdr:cNvPr id="321" name="Picture 70">
          <a:extLst>
            <a:ext uri="{FF2B5EF4-FFF2-40B4-BE49-F238E27FC236}">
              <a16:creationId xmlns:a16="http://schemas.microsoft.com/office/drawing/2014/main" id="{81AA6077-7D47-412B-9618-C9F97D5F6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322" name="Picture 73">
          <a:extLst>
            <a:ext uri="{FF2B5EF4-FFF2-40B4-BE49-F238E27FC236}">
              <a16:creationId xmlns:a16="http://schemas.microsoft.com/office/drawing/2014/main" id="{65CDE2BA-74C7-47E5-B3D1-A5510FF4B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28</xdr:row>
      <xdr:rowOff>12700</xdr:rowOff>
    </xdr:to>
    <xdr:pic>
      <xdr:nvPicPr>
        <xdr:cNvPr id="323" name="Picture 75">
          <a:extLst>
            <a:ext uri="{FF2B5EF4-FFF2-40B4-BE49-F238E27FC236}">
              <a16:creationId xmlns:a16="http://schemas.microsoft.com/office/drawing/2014/main" id="{D1222F03-0B98-4EA6-93ED-A31AA764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0</xdr:rowOff>
    </xdr:to>
    <xdr:pic>
      <xdr:nvPicPr>
        <xdr:cNvPr id="324" name="Picture 76">
          <a:extLst>
            <a:ext uri="{FF2B5EF4-FFF2-40B4-BE49-F238E27FC236}">
              <a16:creationId xmlns:a16="http://schemas.microsoft.com/office/drawing/2014/main" id="{E89A6F03-9B00-467D-810F-2C0DBCE1C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325" name="Picture 78">
          <a:extLst>
            <a:ext uri="{FF2B5EF4-FFF2-40B4-BE49-F238E27FC236}">
              <a16:creationId xmlns:a16="http://schemas.microsoft.com/office/drawing/2014/main" id="{B27C9D5C-C849-46C3-96D7-A0EED5480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326" name="Picture 79">
          <a:extLst>
            <a:ext uri="{FF2B5EF4-FFF2-40B4-BE49-F238E27FC236}">
              <a16:creationId xmlns:a16="http://schemas.microsoft.com/office/drawing/2014/main" id="{F19B652B-60D6-47C8-BABC-677FAF4F6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0</xdr:rowOff>
    </xdr:to>
    <xdr:pic>
      <xdr:nvPicPr>
        <xdr:cNvPr id="327" name="Picture 81">
          <a:extLst>
            <a:ext uri="{FF2B5EF4-FFF2-40B4-BE49-F238E27FC236}">
              <a16:creationId xmlns:a16="http://schemas.microsoft.com/office/drawing/2014/main" id="{ED6EF70B-6722-4AD7-B0FC-2E5B7191A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0</xdr:rowOff>
    </xdr:to>
    <xdr:pic>
      <xdr:nvPicPr>
        <xdr:cNvPr id="328" name="Picture 82">
          <a:extLst>
            <a:ext uri="{FF2B5EF4-FFF2-40B4-BE49-F238E27FC236}">
              <a16:creationId xmlns:a16="http://schemas.microsoft.com/office/drawing/2014/main" id="{A91DEF5C-5D8A-4F40-AF32-C171A851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36</xdr:row>
      <xdr:rowOff>12700</xdr:rowOff>
    </xdr:to>
    <xdr:pic>
      <xdr:nvPicPr>
        <xdr:cNvPr id="329" name="Picture 88">
          <a:extLst>
            <a:ext uri="{FF2B5EF4-FFF2-40B4-BE49-F238E27FC236}">
              <a16:creationId xmlns:a16="http://schemas.microsoft.com/office/drawing/2014/main" id="{2669296C-0703-43D4-8CDD-5987B927E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2700" cy="393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444500</xdr:rowOff>
    </xdr:from>
    <xdr:to>
      <xdr:col>0</xdr:col>
      <xdr:colOff>12700</xdr:colOff>
      <xdr:row>37</xdr:row>
      <xdr:rowOff>0</xdr:rowOff>
    </xdr:to>
    <xdr:pic>
      <xdr:nvPicPr>
        <xdr:cNvPr id="330" name="Picture 89">
          <a:extLst>
            <a:ext uri="{FF2B5EF4-FFF2-40B4-BE49-F238E27FC236}">
              <a16:creationId xmlns:a16="http://schemas.microsoft.com/office/drawing/2014/main" id="{1495A18E-B418-440E-A415-EF0139285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4325"/>
          <a:ext cx="12700" cy="384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12700</xdr:colOff>
      <xdr:row>69</xdr:row>
      <xdr:rowOff>12700</xdr:rowOff>
    </xdr:to>
    <xdr:pic>
      <xdr:nvPicPr>
        <xdr:cNvPr id="331" name="Picture 90">
          <a:extLst>
            <a:ext uri="{FF2B5EF4-FFF2-40B4-BE49-F238E27FC236}">
              <a16:creationId xmlns:a16="http://schemas.microsoft.com/office/drawing/2014/main" id="{F0F24070-F4E5-4E71-9616-44F02BFC3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12700</xdr:colOff>
      <xdr:row>38</xdr:row>
      <xdr:rowOff>0</xdr:rowOff>
    </xdr:to>
    <xdr:pic>
      <xdr:nvPicPr>
        <xdr:cNvPr id="332" name="Picture 92">
          <a:extLst>
            <a:ext uri="{FF2B5EF4-FFF2-40B4-BE49-F238E27FC236}">
              <a16:creationId xmlns:a16="http://schemas.microsoft.com/office/drawing/2014/main" id="{AD3BE87A-D424-42EE-86E0-A9D60E630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12700</xdr:colOff>
      <xdr:row>72</xdr:row>
      <xdr:rowOff>12700</xdr:rowOff>
    </xdr:to>
    <xdr:pic>
      <xdr:nvPicPr>
        <xdr:cNvPr id="333" name="Picture 94">
          <a:extLst>
            <a:ext uri="{FF2B5EF4-FFF2-40B4-BE49-F238E27FC236}">
              <a16:creationId xmlns:a16="http://schemas.microsoft.com/office/drawing/2014/main" id="{6E224EF3-5444-4617-AC4A-3808BEF7B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39</xdr:row>
      <xdr:rowOff>12700</xdr:rowOff>
    </xdr:to>
    <xdr:pic>
      <xdr:nvPicPr>
        <xdr:cNvPr id="334" name="Picture 95">
          <a:extLst>
            <a:ext uri="{FF2B5EF4-FFF2-40B4-BE49-F238E27FC236}">
              <a16:creationId xmlns:a16="http://schemas.microsoft.com/office/drawing/2014/main" id="{C579E822-08D4-4F03-8D60-C36B9143B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41</xdr:row>
      <xdr:rowOff>12700</xdr:rowOff>
    </xdr:to>
    <xdr:pic>
      <xdr:nvPicPr>
        <xdr:cNvPr id="335" name="Picture 96">
          <a:extLst>
            <a:ext uri="{FF2B5EF4-FFF2-40B4-BE49-F238E27FC236}">
              <a16:creationId xmlns:a16="http://schemas.microsoft.com/office/drawing/2014/main" id="{92730A97-28E4-4A63-9AE0-640C4F74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42</xdr:row>
      <xdr:rowOff>12700</xdr:rowOff>
    </xdr:to>
    <xdr:pic>
      <xdr:nvPicPr>
        <xdr:cNvPr id="336" name="Picture 97">
          <a:extLst>
            <a:ext uri="{FF2B5EF4-FFF2-40B4-BE49-F238E27FC236}">
              <a16:creationId xmlns:a16="http://schemas.microsoft.com/office/drawing/2014/main" id="{6471F492-2DC4-4624-8295-76735DA5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43</xdr:row>
      <xdr:rowOff>12700</xdr:rowOff>
    </xdr:to>
    <xdr:pic>
      <xdr:nvPicPr>
        <xdr:cNvPr id="337" name="Picture 98">
          <a:extLst>
            <a:ext uri="{FF2B5EF4-FFF2-40B4-BE49-F238E27FC236}">
              <a16:creationId xmlns:a16="http://schemas.microsoft.com/office/drawing/2014/main" id="{21BC2AE0-1CD1-421E-806B-BD247BC41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44</xdr:row>
      <xdr:rowOff>12700</xdr:rowOff>
    </xdr:to>
    <xdr:pic>
      <xdr:nvPicPr>
        <xdr:cNvPr id="338" name="Picture 99">
          <a:extLst>
            <a:ext uri="{FF2B5EF4-FFF2-40B4-BE49-F238E27FC236}">
              <a16:creationId xmlns:a16="http://schemas.microsoft.com/office/drawing/2014/main" id="{E4656649-1E7A-419D-92C3-F2CB89995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46</xdr:row>
      <xdr:rowOff>0</xdr:rowOff>
    </xdr:to>
    <xdr:pic>
      <xdr:nvPicPr>
        <xdr:cNvPr id="339" name="Picture 100">
          <a:extLst>
            <a:ext uri="{FF2B5EF4-FFF2-40B4-BE49-F238E27FC236}">
              <a16:creationId xmlns:a16="http://schemas.microsoft.com/office/drawing/2014/main" id="{D018917C-962A-40E4-89A0-FB82EE226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52</xdr:row>
      <xdr:rowOff>12700</xdr:rowOff>
    </xdr:to>
    <xdr:pic>
      <xdr:nvPicPr>
        <xdr:cNvPr id="340" name="Picture 101">
          <a:extLst>
            <a:ext uri="{FF2B5EF4-FFF2-40B4-BE49-F238E27FC236}">
              <a16:creationId xmlns:a16="http://schemas.microsoft.com/office/drawing/2014/main" id="{2348A31A-2F5E-4E9B-A071-FAD862BBF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47</xdr:row>
      <xdr:rowOff>12700</xdr:rowOff>
    </xdr:to>
    <xdr:pic>
      <xdr:nvPicPr>
        <xdr:cNvPr id="341" name="Picture 102">
          <a:extLst>
            <a:ext uri="{FF2B5EF4-FFF2-40B4-BE49-F238E27FC236}">
              <a16:creationId xmlns:a16="http://schemas.microsoft.com/office/drawing/2014/main" id="{852D0A61-7ED3-4614-B5FD-3DDEB419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12700</xdr:colOff>
      <xdr:row>49</xdr:row>
      <xdr:rowOff>12700</xdr:rowOff>
    </xdr:to>
    <xdr:pic>
      <xdr:nvPicPr>
        <xdr:cNvPr id="342" name="Picture 104">
          <a:extLst>
            <a:ext uri="{FF2B5EF4-FFF2-40B4-BE49-F238E27FC236}">
              <a16:creationId xmlns:a16="http://schemas.microsoft.com/office/drawing/2014/main" id="{68B899B5-3344-4022-AED8-C2CECAD90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12700</xdr:colOff>
      <xdr:row>50</xdr:row>
      <xdr:rowOff>0</xdr:rowOff>
    </xdr:to>
    <xdr:pic>
      <xdr:nvPicPr>
        <xdr:cNvPr id="343" name="Picture 105">
          <a:extLst>
            <a:ext uri="{FF2B5EF4-FFF2-40B4-BE49-F238E27FC236}">
              <a16:creationId xmlns:a16="http://schemas.microsoft.com/office/drawing/2014/main" id="{D995817E-BF40-4DC1-A79D-D38E5E67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52</xdr:row>
      <xdr:rowOff>0</xdr:rowOff>
    </xdr:to>
    <xdr:pic>
      <xdr:nvPicPr>
        <xdr:cNvPr id="344" name="Picture 108">
          <a:extLst>
            <a:ext uri="{FF2B5EF4-FFF2-40B4-BE49-F238E27FC236}">
              <a16:creationId xmlns:a16="http://schemas.microsoft.com/office/drawing/2014/main" id="{A6BF87D9-E431-4C9E-86D1-C776BDBC4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53</xdr:row>
      <xdr:rowOff>12700</xdr:rowOff>
    </xdr:to>
    <xdr:pic>
      <xdr:nvPicPr>
        <xdr:cNvPr id="345" name="Picture 109">
          <a:extLst>
            <a:ext uri="{FF2B5EF4-FFF2-40B4-BE49-F238E27FC236}">
              <a16:creationId xmlns:a16="http://schemas.microsoft.com/office/drawing/2014/main" id="{280547A2-DA1B-41E3-A257-970874A2F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444500</xdr:rowOff>
    </xdr:from>
    <xdr:to>
      <xdr:col>0</xdr:col>
      <xdr:colOff>12700</xdr:colOff>
      <xdr:row>54</xdr:row>
      <xdr:rowOff>0</xdr:rowOff>
    </xdr:to>
    <xdr:pic>
      <xdr:nvPicPr>
        <xdr:cNvPr id="346" name="Picture 110">
          <a:extLst>
            <a:ext uri="{FF2B5EF4-FFF2-40B4-BE49-F238E27FC236}">
              <a16:creationId xmlns:a16="http://schemas.microsoft.com/office/drawing/2014/main" id="{69FA8EE2-7C2E-448C-9CDF-CCE4DEF0B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3325"/>
          <a:ext cx="12700" cy="193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347" name="Picture 111">
          <a:extLst>
            <a:ext uri="{FF2B5EF4-FFF2-40B4-BE49-F238E27FC236}">
              <a16:creationId xmlns:a16="http://schemas.microsoft.com/office/drawing/2014/main" id="{6EF0CFF1-12A3-4051-A6F1-52C5B5656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12700</xdr:colOff>
      <xdr:row>56</xdr:row>
      <xdr:rowOff>12700</xdr:rowOff>
    </xdr:to>
    <xdr:pic>
      <xdr:nvPicPr>
        <xdr:cNvPr id="348" name="Picture 112">
          <a:extLst>
            <a:ext uri="{FF2B5EF4-FFF2-40B4-BE49-F238E27FC236}">
              <a16:creationId xmlns:a16="http://schemas.microsoft.com/office/drawing/2014/main" id="{396A2897-431A-4DBE-A672-53015EE40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12700</xdr:colOff>
      <xdr:row>57</xdr:row>
      <xdr:rowOff>12700</xdr:rowOff>
    </xdr:to>
    <xdr:pic>
      <xdr:nvPicPr>
        <xdr:cNvPr id="349" name="Picture 113">
          <a:extLst>
            <a:ext uri="{FF2B5EF4-FFF2-40B4-BE49-F238E27FC236}">
              <a16:creationId xmlns:a16="http://schemas.microsoft.com/office/drawing/2014/main" id="{51DD962E-D1A1-4910-80C5-DED8F337E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59</xdr:row>
      <xdr:rowOff>0</xdr:rowOff>
    </xdr:to>
    <xdr:pic>
      <xdr:nvPicPr>
        <xdr:cNvPr id="350" name="Picture 114">
          <a:extLst>
            <a:ext uri="{FF2B5EF4-FFF2-40B4-BE49-F238E27FC236}">
              <a16:creationId xmlns:a16="http://schemas.microsoft.com/office/drawing/2014/main" id="{89ABB78E-30C2-4C29-9231-185FFC63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12700</xdr:colOff>
      <xdr:row>60</xdr:row>
      <xdr:rowOff>12700</xdr:rowOff>
    </xdr:to>
    <xdr:pic>
      <xdr:nvPicPr>
        <xdr:cNvPr id="351" name="Picture 115">
          <a:extLst>
            <a:ext uri="{FF2B5EF4-FFF2-40B4-BE49-F238E27FC236}">
              <a16:creationId xmlns:a16="http://schemas.microsoft.com/office/drawing/2014/main" id="{CF19364C-F6D0-4427-99F9-B2F3B2730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12700</xdr:colOff>
      <xdr:row>61</xdr:row>
      <xdr:rowOff>12700</xdr:rowOff>
    </xdr:to>
    <xdr:pic>
      <xdr:nvPicPr>
        <xdr:cNvPr id="352" name="Picture 116">
          <a:extLst>
            <a:ext uri="{FF2B5EF4-FFF2-40B4-BE49-F238E27FC236}">
              <a16:creationId xmlns:a16="http://schemas.microsoft.com/office/drawing/2014/main" id="{55E61319-D540-42FA-9D12-5BCD1D9E4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444500</xdr:rowOff>
    </xdr:from>
    <xdr:to>
      <xdr:col>0</xdr:col>
      <xdr:colOff>12700</xdr:colOff>
      <xdr:row>62</xdr:row>
      <xdr:rowOff>12700</xdr:rowOff>
    </xdr:to>
    <xdr:pic>
      <xdr:nvPicPr>
        <xdr:cNvPr id="353" name="Picture 117">
          <a:extLst>
            <a:ext uri="{FF2B5EF4-FFF2-40B4-BE49-F238E27FC236}">
              <a16:creationId xmlns:a16="http://schemas.microsoft.com/office/drawing/2014/main" id="{FAC3F8DD-F175-4CCE-9598-945C76BD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17325"/>
          <a:ext cx="12700" cy="206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12700</xdr:colOff>
      <xdr:row>63</xdr:row>
      <xdr:rowOff>0</xdr:rowOff>
    </xdr:to>
    <xdr:pic>
      <xdr:nvPicPr>
        <xdr:cNvPr id="354" name="Picture 118">
          <a:extLst>
            <a:ext uri="{FF2B5EF4-FFF2-40B4-BE49-F238E27FC236}">
              <a16:creationId xmlns:a16="http://schemas.microsoft.com/office/drawing/2014/main" id="{3AD930DD-5F18-4740-A3A1-F31FD87A8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12700</xdr:colOff>
      <xdr:row>65</xdr:row>
      <xdr:rowOff>0</xdr:rowOff>
    </xdr:to>
    <xdr:pic>
      <xdr:nvPicPr>
        <xdr:cNvPr id="355" name="Picture 121">
          <a:extLst>
            <a:ext uri="{FF2B5EF4-FFF2-40B4-BE49-F238E27FC236}">
              <a16:creationId xmlns:a16="http://schemas.microsoft.com/office/drawing/2014/main" id="{F650784F-EDA1-42AA-8A70-14D1524E4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50</xdr:row>
      <xdr:rowOff>12700</xdr:rowOff>
    </xdr:to>
    <xdr:pic>
      <xdr:nvPicPr>
        <xdr:cNvPr id="356" name="Picture 122">
          <a:extLst>
            <a:ext uri="{FF2B5EF4-FFF2-40B4-BE49-F238E27FC236}">
              <a16:creationId xmlns:a16="http://schemas.microsoft.com/office/drawing/2014/main" id="{7B7BE2CF-73BA-4A17-8647-BFB6BB410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12700</xdr:colOff>
      <xdr:row>67</xdr:row>
      <xdr:rowOff>12700</xdr:rowOff>
    </xdr:to>
    <xdr:pic>
      <xdr:nvPicPr>
        <xdr:cNvPr id="357" name="Picture 123">
          <a:extLst>
            <a:ext uri="{FF2B5EF4-FFF2-40B4-BE49-F238E27FC236}">
              <a16:creationId xmlns:a16="http://schemas.microsoft.com/office/drawing/2014/main" id="{A640311F-09BA-4D19-ACFF-0215A10E5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12700</xdr:colOff>
      <xdr:row>68</xdr:row>
      <xdr:rowOff>0</xdr:rowOff>
    </xdr:to>
    <xdr:pic>
      <xdr:nvPicPr>
        <xdr:cNvPr id="358" name="Picture 124">
          <a:extLst>
            <a:ext uri="{FF2B5EF4-FFF2-40B4-BE49-F238E27FC236}">
              <a16:creationId xmlns:a16="http://schemas.microsoft.com/office/drawing/2014/main" id="{CD2E018D-098F-4170-B509-5FFD64F76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12700</xdr:colOff>
      <xdr:row>69</xdr:row>
      <xdr:rowOff>0</xdr:rowOff>
    </xdr:to>
    <xdr:pic>
      <xdr:nvPicPr>
        <xdr:cNvPr id="359" name="Picture 125">
          <a:extLst>
            <a:ext uri="{FF2B5EF4-FFF2-40B4-BE49-F238E27FC236}">
              <a16:creationId xmlns:a16="http://schemas.microsoft.com/office/drawing/2014/main" id="{804CC063-84CF-4D44-8467-8B44D0666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12700</xdr:colOff>
      <xdr:row>70</xdr:row>
      <xdr:rowOff>0</xdr:rowOff>
    </xdr:to>
    <xdr:pic>
      <xdr:nvPicPr>
        <xdr:cNvPr id="360" name="Picture 126">
          <a:extLst>
            <a:ext uri="{FF2B5EF4-FFF2-40B4-BE49-F238E27FC236}">
              <a16:creationId xmlns:a16="http://schemas.microsoft.com/office/drawing/2014/main" id="{B3B39130-FE2D-42A4-9D23-3B96BAC30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12700</xdr:colOff>
      <xdr:row>70</xdr:row>
      <xdr:rowOff>12700</xdr:rowOff>
    </xdr:to>
    <xdr:pic>
      <xdr:nvPicPr>
        <xdr:cNvPr id="361" name="Picture 127">
          <a:extLst>
            <a:ext uri="{FF2B5EF4-FFF2-40B4-BE49-F238E27FC236}">
              <a16:creationId xmlns:a16="http://schemas.microsoft.com/office/drawing/2014/main" id="{170A1D53-3E47-4DFF-B954-FF3B2D0CD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12700</xdr:colOff>
      <xdr:row>71</xdr:row>
      <xdr:rowOff>0</xdr:rowOff>
    </xdr:to>
    <xdr:pic>
      <xdr:nvPicPr>
        <xdr:cNvPr id="362" name="Picture 128">
          <a:extLst>
            <a:ext uri="{FF2B5EF4-FFF2-40B4-BE49-F238E27FC236}">
              <a16:creationId xmlns:a16="http://schemas.microsoft.com/office/drawing/2014/main" id="{FE0D108D-DA8F-4ECE-89F9-0E4AC4FED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12700</xdr:colOff>
      <xdr:row>72</xdr:row>
      <xdr:rowOff>12700</xdr:rowOff>
    </xdr:to>
    <xdr:pic>
      <xdr:nvPicPr>
        <xdr:cNvPr id="363" name="Picture 130">
          <a:extLst>
            <a:ext uri="{FF2B5EF4-FFF2-40B4-BE49-F238E27FC236}">
              <a16:creationId xmlns:a16="http://schemas.microsoft.com/office/drawing/2014/main" id="{893DA9B8-2E90-408A-B22F-38D775736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12700</xdr:colOff>
      <xdr:row>73</xdr:row>
      <xdr:rowOff>0</xdr:rowOff>
    </xdr:to>
    <xdr:pic>
      <xdr:nvPicPr>
        <xdr:cNvPr id="364" name="Picture 131">
          <a:extLst>
            <a:ext uri="{FF2B5EF4-FFF2-40B4-BE49-F238E27FC236}">
              <a16:creationId xmlns:a16="http://schemas.microsoft.com/office/drawing/2014/main" id="{05D70B9E-A4EF-4870-99EB-AA7D924B1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12700</xdr:colOff>
      <xdr:row>74</xdr:row>
      <xdr:rowOff>0</xdr:rowOff>
    </xdr:to>
    <xdr:pic>
      <xdr:nvPicPr>
        <xdr:cNvPr id="365" name="Picture 133">
          <a:extLst>
            <a:ext uri="{FF2B5EF4-FFF2-40B4-BE49-F238E27FC236}">
              <a16:creationId xmlns:a16="http://schemas.microsoft.com/office/drawing/2014/main" id="{FD454728-5B13-47AC-8C12-C7888827A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12700</xdr:colOff>
      <xdr:row>75</xdr:row>
      <xdr:rowOff>0</xdr:rowOff>
    </xdr:to>
    <xdr:pic>
      <xdr:nvPicPr>
        <xdr:cNvPr id="366" name="Picture 135">
          <a:extLst>
            <a:ext uri="{FF2B5EF4-FFF2-40B4-BE49-F238E27FC236}">
              <a16:creationId xmlns:a16="http://schemas.microsoft.com/office/drawing/2014/main" id="{84920BBA-C33B-480C-950E-661451C6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12700</xdr:colOff>
      <xdr:row>77</xdr:row>
      <xdr:rowOff>12700</xdr:rowOff>
    </xdr:to>
    <xdr:pic>
      <xdr:nvPicPr>
        <xdr:cNvPr id="367" name="Picture 136">
          <a:extLst>
            <a:ext uri="{FF2B5EF4-FFF2-40B4-BE49-F238E27FC236}">
              <a16:creationId xmlns:a16="http://schemas.microsoft.com/office/drawing/2014/main" id="{C709AB91-9359-4EC8-A34F-24083AAE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12700</xdr:colOff>
      <xdr:row>79</xdr:row>
      <xdr:rowOff>12700</xdr:rowOff>
    </xdr:to>
    <xdr:pic>
      <xdr:nvPicPr>
        <xdr:cNvPr id="368" name="Picture 138">
          <a:extLst>
            <a:ext uri="{FF2B5EF4-FFF2-40B4-BE49-F238E27FC236}">
              <a16:creationId xmlns:a16="http://schemas.microsoft.com/office/drawing/2014/main" id="{55D7F12A-AA08-4C02-8F59-A66FC0BFF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12700</xdr:colOff>
      <xdr:row>80</xdr:row>
      <xdr:rowOff>0</xdr:rowOff>
    </xdr:to>
    <xdr:pic>
      <xdr:nvPicPr>
        <xdr:cNvPr id="369" name="Picture 139">
          <a:extLst>
            <a:ext uri="{FF2B5EF4-FFF2-40B4-BE49-F238E27FC236}">
              <a16:creationId xmlns:a16="http://schemas.microsoft.com/office/drawing/2014/main" id="{88EC7BE3-8187-4C2D-ABB4-C2F28C02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12700</xdr:colOff>
      <xdr:row>81</xdr:row>
      <xdr:rowOff>0</xdr:rowOff>
    </xdr:to>
    <xdr:pic>
      <xdr:nvPicPr>
        <xdr:cNvPr id="370" name="Picture 141">
          <a:extLst>
            <a:ext uri="{FF2B5EF4-FFF2-40B4-BE49-F238E27FC236}">
              <a16:creationId xmlns:a16="http://schemas.microsoft.com/office/drawing/2014/main" id="{FA140828-10DE-4986-950E-2A332A9DA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12700</xdr:colOff>
      <xdr:row>82</xdr:row>
      <xdr:rowOff>0</xdr:rowOff>
    </xdr:to>
    <xdr:pic>
      <xdr:nvPicPr>
        <xdr:cNvPr id="371" name="Picture 142">
          <a:extLst>
            <a:ext uri="{FF2B5EF4-FFF2-40B4-BE49-F238E27FC236}">
              <a16:creationId xmlns:a16="http://schemas.microsoft.com/office/drawing/2014/main" id="{FB16FDD8-C0D8-4CDC-9FFD-FA230787C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81</xdr:row>
      <xdr:rowOff>444500</xdr:rowOff>
    </xdr:from>
    <xdr:to>
      <xdr:col>0</xdr:col>
      <xdr:colOff>12700</xdr:colOff>
      <xdr:row>82</xdr:row>
      <xdr:rowOff>0</xdr:rowOff>
    </xdr:to>
    <xdr:pic>
      <xdr:nvPicPr>
        <xdr:cNvPr id="372" name="Picture 143">
          <a:extLst>
            <a:ext uri="{FF2B5EF4-FFF2-40B4-BE49-F238E27FC236}">
              <a16:creationId xmlns:a16="http://schemas.microsoft.com/office/drawing/2014/main" id="{A66E647E-58E7-4A0C-9CF7-D7283A5CA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78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373" name="Picture 145">
          <a:extLst>
            <a:ext uri="{FF2B5EF4-FFF2-40B4-BE49-F238E27FC236}">
              <a16:creationId xmlns:a16="http://schemas.microsoft.com/office/drawing/2014/main" id="{F4EF6793-0DFD-47E8-88FE-6DC6F5E7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12700</xdr:colOff>
      <xdr:row>83</xdr:row>
      <xdr:rowOff>12700</xdr:rowOff>
    </xdr:to>
    <xdr:pic>
      <xdr:nvPicPr>
        <xdr:cNvPr id="374" name="Picture 146">
          <a:extLst>
            <a:ext uri="{FF2B5EF4-FFF2-40B4-BE49-F238E27FC236}">
              <a16:creationId xmlns:a16="http://schemas.microsoft.com/office/drawing/2014/main" id="{8D3A89DD-4F2B-408F-AAE6-1951380D2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12700</xdr:colOff>
      <xdr:row>84</xdr:row>
      <xdr:rowOff>0</xdr:rowOff>
    </xdr:to>
    <xdr:pic>
      <xdr:nvPicPr>
        <xdr:cNvPr id="375" name="Picture 147">
          <a:extLst>
            <a:ext uri="{FF2B5EF4-FFF2-40B4-BE49-F238E27FC236}">
              <a16:creationId xmlns:a16="http://schemas.microsoft.com/office/drawing/2014/main" id="{127CABE8-E84B-4F91-8925-7087E9B9E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83</xdr:row>
      <xdr:rowOff>444500</xdr:rowOff>
    </xdr:from>
    <xdr:to>
      <xdr:col>0</xdr:col>
      <xdr:colOff>12700</xdr:colOff>
      <xdr:row>84</xdr:row>
      <xdr:rowOff>0</xdr:rowOff>
    </xdr:to>
    <xdr:pic>
      <xdr:nvPicPr>
        <xdr:cNvPr id="376" name="Picture 148">
          <a:extLst>
            <a:ext uri="{FF2B5EF4-FFF2-40B4-BE49-F238E27FC236}">
              <a16:creationId xmlns:a16="http://schemas.microsoft.com/office/drawing/2014/main" id="{472702D9-4397-4FD9-8F16-6784544E8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988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12700</xdr:colOff>
      <xdr:row>80</xdr:row>
      <xdr:rowOff>12700</xdr:rowOff>
    </xdr:to>
    <xdr:pic>
      <xdr:nvPicPr>
        <xdr:cNvPr id="377" name="Picture 151">
          <a:extLst>
            <a:ext uri="{FF2B5EF4-FFF2-40B4-BE49-F238E27FC236}">
              <a16:creationId xmlns:a16="http://schemas.microsoft.com/office/drawing/2014/main" id="{8E3FD8AC-7DD2-458E-9841-74EFB1C79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12700</xdr:colOff>
      <xdr:row>76</xdr:row>
      <xdr:rowOff>12700</xdr:rowOff>
    </xdr:to>
    <xdr:pic>
      <xdr:nvPicPr>
        <xdr:cNvPr id="378" name="Picture 165">
          <a:extLst>
            <a:ext uri="{FF2B5EF4-FFF2-40B4-BE49-F238E27FC236}">
              <a16:creationId xmlns:a16="http://schemas.microsoft.com/office/drawing/2014/main" id="{0029D84A-638A-47D6-AFC4-BC1187E9F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27</xdr:row>
      <xdr:rowOff>12700</xdr:rowOff>
    </xdr:to>
    <xdr:pic>
      <xdr:nvPicPr>
        <xdr:cNvPr id="379" name="Picture 183">
          <a:extLst>
            <a:ext uri="{FF2B5EF4-FFF2-40B4-BE49-F238E27FC236}">
              <a16:creationId xmlns:a16="http://schemas.microsoft.com/office/drawing/2014/main" id="{BE738995-0A6B-4F7E-8C4D-D94F17BB7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380" name="Picture 185">
          <a:extLst>
            <a:ext uri="{FF2B5EF4-FFF2-40B4-BE49-F238E27FC236}">
              <a16:creationId xmlns:a16="http://schemas.microsoft.com/office/drawing/2014/main" id="{502060E5-28D7-4852-81BF-7521ECC00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12700</xdr:colOff>
      <xdr:row>68</xdr:row>
      <xdr:rowOff>12700</xdr:rowOff>
    </xdr:to>
    <xdr:pic>
      <xdr:nvPicPr>
        <xdr:cNvPr id="381" name="Picture 188">
          <a:extLst>
            <a:ext uri="{FF2B5EF4-FFF2-40B4-BE49-F238E27FC236}">
              <a16:creationId xmlns:a16="http://schemas.microsoft.com/office/drawing/2014/main" id="{D5B46A96-CD11-478F-8AAD-B469358E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12700</xdr:colOff>
      <xdr:row>60</xdr:row>
      <xdr:rowOff>12700</xdr:rowOff>
    </xdr:to>
    <xdr:pic>
      <xdr:nvPicPr>
        <xdr:cNvPr id="382" name="Picture 190">
          <a:extLst>
            <a:ext uri="{FF2B5EF4-FFF2-40B4-BE49-F238E27FC236}">
              <a16:creationId xmlns:a16="http://schemas.microsoft.com/office/drawing/2014/main" id="{679B7F63-34BF-4829-8D35-F32FDA0EE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12700</xdr:colOff>
      <xdr:row>44</xdr:row>
      <xdr:rowOff>12700</xdr:rowOff>
    </xdr:to>
    <xdr:pic>
      <xdr:nvPicPr>
        <xdr:cNvPr id="383" name="Picture 193">
          <a:extLst>
            <a:ext uri="{FF2B5EF4-FFF2-40B4-BE49-F238E27FC236}">
              <a16:creationId xmlns:a16="http://schemas.microsoft.com/office/drawing/2014/main" id="{0874AE64-D634-4223-94CB-69262AAF1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23</xdr:row>
      <xdr:rowOff>12700</xdr:rowOff>
    </xdr:to>
    <xdr:pic>
      <xdr:nvPicPr>
        <xdr:cNvPr id="384" name="Picture 194">
          <a:extLst>
            <a:ext uri="{FF2B5EF4-FFF2-40B4-BE49-F238E27FC236}">
              <a16:creationId xmlns:a16="http://schemas.microsoft.com/office/drawing/2014/main" id="{413B8BB4-E315-4195-BE20-1C63A6EE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21</xdr:row>
      <xdr:rowOff>12700</xdr:rowOff>
    </xdr:to>
    <xdr:pic>
      <xdr:nvPicPr>
        <xdr:cNvPr id="385" name="Picture 196">
          <a:extLst>
            <a:ext uri="{FF2B5EF4-FFF2-40B4-BE49-F238E27FC236}">
              <a16:creationId xmlns:a16="http://schemas.microsoft.com/office/drawing/2014/main" id="{4F4780EA-984B-4DCD-AAB4-B1E40145B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33</xdr:row>
      <xdr:rowOff>12700</xdr:rowOff>
    </xdr:to>
    <xdr:pic>
      <xdr:nvPicPr>
        <xdr:cNvPr id="386" name="Picture 5">
          <a:extLst>
            <a:ext uri="{FF2B5EF4-FFF2-40B4-BE49-F238E27FC236}">
              <a16:creationId xmlns:a16="http://schemas.microsoft.com/office/drawing/2014/main" id="{17CEEE9B-D2C0-4703-BB70-49F8B187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5</xdr:row>
      <xdr:rowOff>0</xdr:rowOff>
    </xdr:to>
    <xdr:pic>
      <xdr:nvPicPr>
        <xdr:cNvPr id="387" name="Picture 6">
          <a:extLst>
            <a:ext uri="{FF2B5EF4-FFF2-40B4-BE49-F238E27FC236}">
              <a16:creationId xmlns:a16="http://schemas.microsoft.com/office/drawing/2014/main" id="{1A269286-681D-414D-9D57-095F8C5D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6</xdr:row>
      <xdr:rowOff>0</xdr:rowOff>
    </xdr:to>
    <xdr:pic>
      <xdr:nvPicPr>
        <xdr:cNvPr id="388" name="Picture 7">
          <a:extLst>
            <a:ext uri="{FF2B5EF4-FFF2-40B4-BE49-F238E27FC236}">
              <a16:creationId xmlns:a16="http://schemas.microsoft.com/office/drawing/2014/main" id="{E972B6DB-F741-47B8-921A-90556745C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12700</xdr:colOff>
      <xdr:row>53</xdr:row>
      <xdr:rowOff>12700</xdr:rowOff>
    </xdr:to>
    <xdr:pic>
      <xdr:nvPicPr>
        <xdr:cNvPr id="389" name="Picture 22">
          <a:extLst>
            <a:ext uri="{FF2B5EF4-FFF2-40B4-BE49-F238E27FC236}">
              <a16:creationId xmlns:a16="http://schemas.microsoft.com/office/drawing/2014/main" id="{E12E5B28-2B29-420C-942C-B37A50502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29</xdr:row>
      <xdr:rowOff>12700</xdr:rowOff>
    </xdr:to>
    <xdr:pic>
      <xdr:nvPicPr>
        <xdr:cNvPr id="390" name="Picture 25">
          <a:extLst>
            <a:ext uri="{FF2B5EF4-FFF2-40B4-BE49-F238E27FC236}">
              <a16:creationId xmlns:a16="http://schemas.microsoft.com/office/drawing/2014/main" id="{560E0E90-6ADB-4A7C-B37D-B54ED1437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444500</xdr:rowOff>
    </xdr:from>
    <xdr:to>
      <xdr:col>0</xdr:col>
      <xdr:colOff>12700</xdr:colOff>
      <xdr:row>7</xdr:row>
      <xdr:rowOff>0</xdr:rowOff>
    </xdr:to>
    <xdr:pic>
      <xdr:nvPicPr>
        <xdr:cNvPr id="391" name="Picture 27">
          <a:extLst>
            <a:ext uri="{FF2B5EF4-FFF2-40B4-BE49-F238E27FC236}">
              <a16:creationId xmlns:a16="http://schemas.microsoft.com/office/drawing/2014/main" id="{2757ED0E-EF23-409C-9196-3C2F80E6D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0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12700</xdr:colOff>
      <xdr:row>47</xdr:row>
      <xdr:rowOff>12700</xdr:rowOff>
    </xdr:to>
    <xdr:pic>
      <xdr:nvPicPr>
        <xdr:cNvPr id="392" name="Picture 34">
          <a:extLst>
            <a:ext uri="{FF2B5EF4-FFF2-40B4-BE49-F238E27FC236}">
              <a16:creationId xmlns:a16="http://schemas.microsoft.com/office/drawing/2014/main" id="{B6CEECD0-ED4C-4ADF-9AB0-FC45D91A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41</xdr:row>
      <xdr:rowOff>12700</xdr:rowOff>
    </xdr:to>
    <xdr:pic>
      <xdr:nvPicPr>
        <xdr:cNvPr id="393" name="Picture 36">
          <a:extLst>
            <a:ext uri="{FF2B5EF4-FFF2-40B4-BE49-F238E27FC236}">
              <a16:creationId xmlns:a16="http://schemas.microsoft.com/office/drawing/2014/main" id="{08B194BC-D036-4036-B9F7-6B3BFA4E4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12700</xdr:colOff>
      <xdr:row>54</xdr:row>
      <xdr:rowOff>12700</xdr:rowOff>
    </xdr:to>
    <xdr:pic>
      <xdr:nvPicPr>
        <xdr:cNvPr id="394" name="Picture 37">
          <a:extLst>
            <a:ext uri="{FF2B5EF4-FFF2-40B4-BE49-F238E27FC236}">
              <a16:creationId xmlns:a16="http://schemas.microsoft.com/office/drawing/2014/main" id="{5C5E83FE-2A12-48FB-8558-2BB128DCE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11</xdr:row>
      <xdr:rowOff>0</xdr:rowOff>
    </xdr:to>
    <xdr:pic>
      <xdr:nvPicPr>
        <xdr:cNvPr id="395" name="Picture 39">
          <a:extLst>
            <a:ext uri="{FF2B5EF4-FFF2-40B4-BE49-F238E27FC236}">
              <a16:creationId xmlns:a16="http://schemas.microsoft.com/office/drawing/2014/main" id="{36FC3A72-3BC3-4175-9A7C-BFD72F19C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50</xdr:row>
      <xdr:rowOff>12700</xdr:rowOff>
    </xdr:to>
    <xdr:pic>
      <xdr:nvPicPr>
        <xdr:cNvPr id="396" name="Picture 41">
          <a:extLst>
            <a:ext uri="{FF2B5EF4-FFF2-40B4-BE49-F238E27FC236}">
              <a16:creationId xmlns:a16="http://schemas.microsoft.com/office/drawing/2014/main" id="{BE5FF008-896F-4540-8FB1-E01482605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12</xdr:row>
      <xdr:rowOff>0</xdr:rowOff>
    </xdr:to>
    <xdr:pic>
      <xdr:nvPicPr>
        <xdr:cNvPr id="397" name="Picture 45">
          <a:extLst>
            <a:ext uri="{FF2B5EF4-FFF2-40B4-BE49-F238E27FC236}">
              <a16:creationId xmlns:a16="http://schemas.microsoft.com/office/drawing/2014/main" id="{432C7647-D237-4075-B2E6-F8718A1D4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40</xdr:row>
      <xdr:rowOff>12700</xdr:rowOff>
    </xdr:to>
    <xdr:pic>
      <xdr:nvPicPr>
        <xdr:cNvPr id="398" name="Picture 46">
          <a:extLst>
            <a:ext uri="{FF2B5EF4-FFF2-40B4-BE49-F238E27FC236}">
              <a16:creationId xmlns:a16="http://schemas.microsoft.com/office/drawing/2014/main" id="{138E7D20-59B3-4D9F-8185-0E94BFE3A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17</xdr:row>
      <xdr:rowOff>0</xdr:rowOff>
    </xdr:to>
    <xdr:pic>
      <xdr:nvPicPr>
        <xdr:cNvPr id="399" name="Picture 49">
          <a:extLst>
            <a:ext uri="{FF2B5EF4-FFF2-40B4-BE49-F238E27FC236}">
              <a16:creationId xmlns:a16="http://schemas.microsoft.com/office/drawing/2014/main" id="{916EE7C7-DA97-45CC-9DC6-98E14DF68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12700</xdr:colOff>
      <xdr:row>1</xdr:row>
      <xdr:rowOff>12700</xdr:rowOff>
    </xdr:to>
    <xdr:pic>
      <xdr:nvPicPr>
        <xdr:cNvPr id="400" name="Picture 50">
          <a:extLst>
            <a:ext uri="{FF2B5EF4-FFF2-40B4-BE49-F238E27FC236}">
              <a16:creationId xmlns:a16="http://schemas.microsoft.com/office/drawing/2014/main" id="{514CCFCC-28C1-4BE1-80CE-F2E6BB88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19</xdr:row>
      <xdr:rowOff>0</xdr:rowOff>
    </xdr:to>
    <xdr:pic>
      <xdr:nvPicPr>
        <xdr:cNvPr id="401" name="Picture 52">
          <a:extLst>
            <a:ext uri="{FF2B5EF4-FFF2-40B4-BE49-F238E27FC236}">
              <a16:creationId xmlns:a16="http://schemas.microsoft.com/office/drawing/2014/main" id="{F51536FE-E7BB-454C-B02A-9D0C9C224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12700</xdr:rowOff>
    </xdr:to>
    <xdr:pic>
      <xdr:nvPicPr>
        <xdr:cNvPr id="402" name="Picture 57">
          <a:extLst>
            <a:ext uri="{FF2B5EF4-FFF2-40B4-BE49-F238E27FC236}">
              <a16:creationId xmlns:a16="http://schemas.microsoft.com/office/drawing/2014/main" id="{E1621842-D402-4973-9D3E-AACA446D2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0</xdr:rowOff>
    </xdr:to>
    <xdr:pic>
      <xdr:nvPicPr>
        <xdr:cNvPr id="403" name="Picture 58">
          <a:extLst>
            <a:ext uri="{FF2B5EF4-FFF2-40B4-BE49-F238E27FC236}">
              <a16:creationId xmlns:a16="http://schemas.microsoft.com/office/drawing/2014/main" id="{686CD412-01EC-491D-80C8-E20FEFE4A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0</xdr:rowOff>
    </xdr:to>
    <xdr:pic>
      <xdr:nvPicPr>
        <xdr:cNvPr id="404" name="Picture 60">
          <a:extLst>
            <a:ext uri="{FF2B5EF4-FFF2-40B4-BE49-F238E27FC236}">
              <a16:creationId xmlns:a16="http://schemas.microsoft.com/office/drawing/2014/main" id="{FDCF2B9C-CB2A-40CC-8916-29EBDA8A8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25</xdr:row>
      <xdr:rowOff>12700</xdr:rowOff>
    </xdr:to>
    <xdr:pic>
      <xdr:nvPicPr>
        <xdr:cNvPr id="405" name="Picture 62">
          <a:extLst>
            <a:ext uri="{FF2B5EF4-FFF2-40B4-BE49-F238E27FC236}">
              <a16:creationId xmlns:a16="http://schemas.microsoft.com/office/drawing/2014/main" id="{99B2B86B-CC19-4078-8D0E-7D3157B76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0</xdr:rowOff>
    </xdr:to>
    <xdr:pic>
      <xdr:nvPicPr>
        <xdr:cNvPr id="406" name="Picture 63">
          <a:extLst>
            <a:ext uri="{FF2B5EF4-FFF2-40B4-BE49-F238E27FC236}">
              <a16:creationId xmlns:a16="http://schemas.microsoft.com/office/drawing/2014/main" id="{34CFC253-C725-4E74-89B8-C2F81E411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407" name="Picture 64">
          <a:extLst>
            <a:ext uri="{FF2B5EF4-FFF2-40B4-BE49-F238E27FC236}">
              <a16:creationId xmlns:a16="http://schemas.microsoft.com/office/drawing/2014/main" id="{E5A022FE-5A84-43CE-9F5B-D7D747592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28</xdr:row>
      <xdr:rowOff>12700</xdr:rowOff>
    </xdr:to>
    <xdr:pic>
      <xdr:nvPicPr>
        <xdr:cNvPr id="408" name="Picture 65">
          <a:extLst>
            <a:ext uri="{FF2B5EF4-FFF2-40B4-BE49-F238E27FC236}">
              <a16:creationId xmlns:a16="http://schemas.microsoft.com/office/drawing/2014/main" id="{1CEA7337-44DC-49E3-9644-C38AF1C00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0</xdr:rowOff>
    </xdr:to>
    <xdr:pic>
      <xdr:nvPicPr>
        <xdr:cNvPr id="409" name="Picture 66">
          <a:extLst>
            <a:ext uri="{FF2B5EF4-FFF2-40B4-BE49-F238E27FC236}">
              <a16:creationId xmlns:a16="http://schemas.microsoft.com/office/drawing/2014/main" id="{D4B019A5-CD51-489B-A71B-EB41A9DF8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410" name="Picture 67">
          <a:extLst>
            <a:ext uri="{FF2B5EF4-FFF2-40B4-BE49-F238E27FC236}">
              <a16:creationId xmlns:a16="http://schemas.microsoft.com/office/drawing/2014/main" id="{A5EC4972-AC42-49F7-B521-F5CE348C6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0</xdr:rowOff>
    </xdr:to>
    <xdr:pic>
      <xdr:nvPicPr>
        <xdr:cNvPr id="411" name="Picture 70">
          <a:extLst>
            <a:ext uri="{FF2B5EF4-FFF2-40B4-BE49-F238E27FC236}">
              <a16:creationId xmlns:a16="http://schemas.microsoft.com/office/drawing/2014/main" id="{1DFB63E2-B89F-466A-B272-D9C0EFA2F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51</xdr:row>
      <xdr:rowOff>12700</xdr:rowOff>
    </xdr:to>
    <xdr:pic>
      <xdr:nvPicPr>
        <xdr:cNvPr id="412" name="Picture 71">
          <a:extLst>
            <a:ext uri="{FF2B5EF4-FFF2-40B4-BE49-F238E27FC236}">
              <a16:creationId xmlns:a16="http://schemas.microsoft.com/office/drawing/2014/main" id="{BA4267AF-6DAB-4295-B84D-143E90A2B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36</xdr:row>
      <xdr:rowOff>12700</xdr:rowOff>
    </xdr:to>
    <xdr:pic>
      <xdr:nvPicPr>
        <xdr:cNvPr id="413" name="Picture 74">
          <a:extLst>
            <a:ext uri="{FF2B5EF4-FFF2-40B4-BE49-F238E27FC236}">
              <a16:creationId xmlns:a16="http://schemas.microsoft.com/office/drawing/2014/main" id="{0418AE39-8450-4D7A-9F98-B770BAD40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2700" cy="393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37</xdr:row>
      <xdr:rowOff>0</xdr:rowOff>
    </xdr:to>
    <xdr:pic>
      <xdr:nvPicPr>
        <xdr:cNvPr id="414" name="Picture 75">
          <a:extLst>
            <a:ext uri="{FF2B5EF4-FFF2-40B4-BE49-F238E27FC236}">
              <a16:creationId xmlns:a16="http://schemas.microsoft.com/office/drawing/2014/main" id="{51A7A2DA-4832-4016-8ED7-ED80639BF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12700</xdr:colOff>
      <xdr:row>69</xdr:row>
      <xdr:rowOff>12700</xdr:rowOff>
    </xdr:to>
    <xdr:pic>
      <xdr:nvPicPr>
        <xdr:cNvPr id="415" name="Picture 76">
          <a:extLst>
            <a:ext uri="{FF2B5EF4-FFF2-40B4-BE49-F238E27FC236}">
              <a16:creationId xmlns:a16="http://schemas.microsoft.com/office/drawing/2014/main" id="{4F75C24D-5833-4EC2-AF7F-8BAEC3C8D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12700</xdr:colOff>
      <xdr:row>38</xdr:row>
      <xdr:rowOff>0</xdr:rowOff>
    </xdr:to>
    <xdr:pic>
      <xdr:nvPicPr>
        <xdr:cNvPr id="416" name="Picture 78">
          <a:extLst>
            <a:ext uri="{FF2B5EF4-FFF2-40B4-BE49-F238E27FC236}">
              <a16:creationId xmlns:a16="http://schemas.microsoft.com/office/drawing/2014/main" id="{F3C066AC-5670-4E40-858D-98E7D2C8E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40</xdr:row>
      <xdr:rowOff>12700</xdr:rowOff>
    </xdr:to>
    <xdr:pic>
      <xdr:nvPicPr>
        <xdr:cNvPr id="417" name="Picture 81">
          <a:extLst>
            <a:ext uri="{FF2B5EF4-FFF2-40B4-BE49-F238E27FC236}">
              <a16:creationId xmlns:a16="http://schemas.microsoft.com/office/drawing/2014/main" id="{9786DE71-8F99-4951-9379-BAAF8C20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41</xdr:row>
      <xdr:rowOff>0</xdr:rowOff>
    </xdr:to>
    <xdr:pic>
      <xdr:nvPicPr>
        <xdr:cNvPr id="418" name="Picture 82">
          <a:extLst>
            <a:ext uri="{FF2B5EF4-FFF2-40B4-BE49-F238E27FC236}">
              <a16:creationId xmlns:a16="http://schemas.microsoft.com/office/drawing/2014/main" id="{B4EC4875-6498-4188-9DAB-33350B883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43</xdr:row>
      <xdr:rowOff>0</xdr:rowOff>
    </xdr:to>
    <xdr:pic>
      <xdr:nvPicPr>
        <xdr:cNvPr id="419" name="Picture 83">
          <a:extLst>
            <a:ext uri="{FF2B5EF4-FFF2-40B4-BE49-F238E27FC236}">
              <a16:creationId xmlns:a16="http://schemas.microsoft.com/office/drawing/2014/main" id="{2C0525F1-C2BC-48C3-8122-D7CA82B76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444500</xdr:rowOff>
    </xdr:from>
    <xdr:to>
      <xdr:col>0</xdr:col>
      <xdr:colOff>12700</xdr:colOff>
      <xdr:row>43</xdr:row>
      <xdr:rowOff>12700</xdr:rowOff>
    </xdr:to>
    <xdr:pic>
      <xdr:nvPicPr>
        <xdr:cNvPr id="420" name="Picture 84">
          <a:extLst>
            <a:ext uri="{FF2B5EF4-FFF2-40B4-BE49-F238E27FC236}">
              <a16:creationId xmlns:a16="http://schemas.microsoft.com/office/drawing/2014/main" id="{E9DF9F8F-D3FA-4128-AADF-3E7445B4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8325"/>
          <a:ext cx="12700" cy="15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44</xdr:row>
      <xdr:rowOff>12700</xdr:rowOff>
    </xdr:to>
    <xdr:pic>
      <xdr:nvPicPr>
        <xdr:cNvPr id="421" name="Picture 85">
          <a:extLst>
            <a:ext uri="{FF2B5EF4-FFF2-40B4-BE49-F238E27FC236}">
              <a16:creationId xmlns:a16="http://schemas.microsoft.com/office/drawing/2014/main" id="{0EC9E972-E77E-4417-A0FE-C79CAD4C2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46</xdr:row>
      <xdr:rowOff>0</xdr:rowOff>
    </xdr:to>
    <xdr:pic>
      <xdr:nvPicPr>
        <xdr:cNvPr id="422" name="Picture 86">
          <a:extLst>
            <a:ext uri="{FF2B5EF4-FFF2-40B4-BE49-F238E27FC236}">
              <a16:creationId xmlns:a16="http://schemas.microsoft.com/office/drawing/2014/main" id="{0C9FF1E7-782F-4487-9D8B-78A27A037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52</xdr:row>
      <xdr:rowOff>12700</xdr:rowOff>
    </xdr:to>
    <xdr:pic>
      <xdr:nvPicPr>
        <xdr:cNvPr id="423" name="Picture 87">
          <a:extLst>
            <a:ext uri="{FF2B5EF4-FFF2-40B4-BE49-F238E27FC236}">
              <a16:creationId xmlns:a16="http://schemas.microsoft.com/office/drawing/2014/main" id="{C125B6F7-D37B-49E6-BA83-65C6A45EB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12700</xdr:colOff>
      <xdr:row>48</xdr:row>
      <xdr:rowOff>0</xdr:rowOff>
    </xdr:to>
    <xdr:pic>
      <xdr:nvPicPr>
        <xdr:cNvPr id="424" name="Picture 88">
          <a:extLst>
            <a:ext uri="{FF2B5EF4-FFF2-40B4-BE49-F238E27FC236}">
              <a16:creationId xmlns:a16="http://schemas.microsoft.com/office/drawing/2014/main" id="{44632D1B-0F84-47C7-9180-17CEE4B9D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12700</xdr:colOff>
      <xdr:row>50</xdr:row>
      <xdr:rowOff>0</xdr:rowOff>
    </xdr:to>
    <xdr:pic>
      <xdr:nvPicPr>
        <xdr:cNvPr id="425" name="Picture 90">
          <a:extLst>
            <a:ext uri="{FF2B5EF4-FFF2-40B4-BE49-F238E27FC236}">
              <a16:creationId xmlns:a16="http://schemas.microsoft.com/office/drawing/2014/main" id="{3B827980-B553-4FA3-920B-C1C51FE0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51</xdr:row>
      <xdr:rowOff>0</xdr:rowOff>
    </xdr:to>
    <xdr:pic>
      <xdr:nvPicPr>
        <xdr:cNvPr id="426" name="Picture 92">
          <a:extLst>
            <a:ext uri="{FF2B5EF4-FFF2-40B4-BE49-F238E27FC236}">
              <a16:creationId xmlns:a16="http://schemas.microsoft.com/office/drawing/2014/main" id="{BE42CA6D-7EED-48EC-8C73-18D488F4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52</xdr:row>
      <xdr:rowOff>0</xdr:rowOff>
    </xdr:to>
    <xdr:pic>
      <xdr:nvPicPr>
        <xdr:cNvPr id="427" name="Picture 94">
          <a:extLst>
            <a:ext uri="{FF2B5EF4-FFF2-40B4-BE49-F238E27FC236}">
              <a16:creationId xmlns:a16="http://schemas.microsoft.com/office/drawing/2014/main" id="{EB127D14-C988-4D52-A08D-5FCB3D02C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12700</xdr:colOff>
      <xdr:row>73</xdr:row>
      <xdr:rowOff>12700</xdr:rowOff>
    </xdr:to>
    <xdr:pic>
      <xdr:nvPicPr>
        <xdr:cNvPr id="428" name="Picture 95">
          <a:extLst>
            <a:ext uri="{FF2B5EF4-FFF2-40B4-BE49-F238E27FC236}">
              <a16:creationId xmlns:a16="http://schemas.microsoft.com/office/drawing/2014/main" id="{5CE5AB7B-1483-490C-A60A-9892E9D10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53</xdr:row>
      <xdr:rowOff>12700</xdr:rowOff>
    </xdr:to>
    <xdr:pic>
      <xdr:nvPicPr>
        <xdr:cNvPr id="429" name="Picture 96">
          <a:extLst>
            <a:ext uri="{FF2B5EF4-FFF2-40B4-BE49-F238E27FC236}">
              <a16:creationId xmlns:a16="http://schemas.microsoft.com/office/drawing/2014/main" id="{28053F53-562C-415D-A033-61644BC35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12700</xdr:colOff>
      <xdr:row>54</xdr:row>
      <xdr:rowOff>0</xdr:rowOff>
    </xdr:to>
    <xdr:pic>
      <xdr:nvPicPr>
        <xdr:cNvPr id="430" name="Picture 97">
          <a:extLst>
            <a:ext uri="{FF2B5EF4-FFF2-40B4-BE49-F238E27FC236}">
              <a16:creationId xmlns:a16="http://schemas.microsoft.com/office/drawing/2014/main" id="{2853E769-91FC-4391-81B4-35CB5E6B8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12700</xdr:colOff>
      <xdr:row>57</xdr:row>
      <xdr:rowOff>12700</xdr:rowOff>
    </xdr:to>
    <xdr:pic>
      <xdr:nvPicPr>
        <xdr:cNvPr id="431" name="Picture 99">
          <a:extLst>
            <a:ext uri="{FF2B5EF4-FFF2-40B4-BE49-F238E27FC236}">
              <a16:creationId xmlns:a16="http://schemas.microsoft.com/office/drawing/2014/main" id="{78A6D790-1608-4D1B-BCBC-8A83B9A47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59</xdr:row>
      <xdr:rowOff>0</xdr:rowOff>
    </xdr:to>
    <xdr:pic>
      <xdr:nvPicPr>
        <xdr:cNvPr id="432" name="Picture 100">
          <a:extLst>
            <a:ext uri="{FF2B5EF4-FFF2-40B4-BE49-F238E27FC236}">
              <a16:creationId xmlns:a16="http://schemas.microsoft.com/office/drawing/2014/main" id="{E8CAC3DC-C148-4A30-B115-FE71C1C11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12700</xdr:colOff>
      <xdr:row>60</xdr:row>
      <xdr:rowOff>12700</xdr:rowOff>
    </xdr:to>
    <xdr:pic>
      <xdr:nvPicPr>
        <xdr:cNvPr id="433" name="Picture 102">
          <a:extLst>
            <a:ext uri="{FF2B5EF4-FFF2-40B4-BE49-F238E27FC236}">
              <a16:creationId xmlns:a16="http://schemas.microsoft.com/office/drawing/2014/main" id="{909C5C6D-9E40-4D87-AAA4-10055DCA3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12700</xdr:colOff>
      <xdr:row>61</xdr:row>
      <xdr:rowOff>12700</xdr:rowOff>
    </xdr:to>
    <xdr:pic>
      <xdr:nvPicPr>
        <xdr:cNvPr id="434" name="Picture 103">
          <a:extLst>
            <a:ext uri="{FF2B5EF4-FFF2-40B4-BE49-F238E27FC236}">
              <a16:creationId xmlns:a16="http://schemas.microsoft.com/office/drawing/2014/main" id="{FEE5DA04-F0D3-43AF-8258-99C98FEEE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12700</xdr:colOff>
      <xdr:row>63</xdr:row>
      <xdr:rowOff>0</xdr:rowOff>
    </xdr:to>
    <xdr:pic>
      <xdr:nvPicPr>
        <xdr:cNvPr id="435" name="Picture 104">
          <a:extLst>
            <a:ext uri="{FF2B5EF4-FFF2-40B4-BE49-F238E27FC236}">
              <a16:creationId xmlns:a16="http://schemas.microsoft.com/office/drawing/2014/main" id="{010011DB-826F-4206-9EE8-11D25C3F8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12700</xdr:colOff>
      <xdr:row>64</xdr:row>
      <xdr:rowOff>0</xdr:rowOff>
    </xdr:to>
    <xdr:pic>
      <xdr:nvPicPr>
        <xdr:cNvPr id="436" name="Picture 105">
          <a:extLst>
            <a:ext uri="{FF2B5EF4-FFF2-40B4-BE49-F238E27FC236}">
              <a16:creationId xmlns:a16="http://schemas.microsoft.com/office/drawing/2014/main" id="{BD353E29-D247-4D9F-B804-F8D937A9B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12700</xdr:colOff>
      <xdr:row>65</xdr:row>
      <xdr:rowOff>0</xdr:rowOff>
    </xdr:to>
    <xdr:pic>
      <xdr:nvPicPr>
        <xdr:cNvPr id="437" name="Picture 106">
          <a:extLst>
            <a:ext uri="{FF2B5EF4-FFF2-40B4-BE49-F238E27FC236}">
              <a16:creationId xmlns:a16="http://schemas.microsoft.com/office/drawing/2014/main" id="{F5EA1CB3-7606-4BFA-B3FC-3515D2BD0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12700</xdr:colOff>
      <xdr:row>66</xdr:row>
      <xdr:rowOff>12700</xdr:rowOff>
    </xdr:to>
    <xdr:pic>
      <xdr:nvPicPr>
        <xdr:cNvPr id="438" name="Picture 108">
          <a:extLst>
            <a:ext uri="{FF2B5EF4-FFF2-40B4-BE49-F238E27FC236}">
              <a16:creationId xmlns:a16="http://schemas.microsoft.com/office/drawing/2014/main" id="{765FA082-31D2-4C1C-B47B-1A55EBFB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12700</xdr:colOff>
      <xdr:row>67</xdr:row>
      <xdr:rowOff>12700</xdr:rowOff>
    </xdr:to>
    <xdr:pic>
      <xdr:nvPicPr>
        <xdr:cNvPr id="439" name="Picture 109">
          <a:extLst>
            <a:ext uri="{FF2B5EF4-FFF2-40B4-BE49-F238E27FC236}">
              <a16:creationId xmlns:a16="http://schemas.microsoft.com/office/drawing/2014/main" id="{16930DD4-0067-496F-B8D6-BE339281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12700</xdr:colOff>
      <xdr:row>68</xdr:row>
      <xdr:rowOff>0</xdr:rowOff>
    </xdr:to>
    <xdr:pic>
      <xdr:nvPicPr>
        <xdr:cNvPr id="440" name="Picture 110">
          <a:extLst>
            <a:ext uri="{FF2B5EF4-FFF2-40B4-BE49-F238E27FC236}">
              <a16:creationId xmlns:a16="http://schemas.microsoft.com/office/drawing/2014/main" id="{AE3E89ED-C5F5-4312-9821-21759A7D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12700</xdr:colOff>
      <xdr:row>69</xdr:row>
      <xdr:rowOff>0</xdr:rowOff>
    </xdr:to>
    <xdr:pic>
      <xdr:nvPicPr>
        <xdr:cNvPr id="441" name="Picture 111">
          <a:extLst>
            <a:ext uri="{FF2B5EF4-FFF2-40B4-BE49-F238E27FC236}">
              <a16:creationId xmlns:a16="http://schemas.microsoft.com/office/drawing/2014/main" id="{BE3FB528-885E-4BF7-85CA-3FB6C9C7D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12700</xdr:colOff>
      <xdr:row>70</xdr:row>
      <xdr:rowOff>0</xdr:rowOff>
    </xdr:to>
    <xdr:pic>
      <xdr:nvPicPr>
        <xdr:cNvPr id="442" name="Picture 112">
          <a:extLst>
            <a:ext uri="{FF2B5EF4-FFF2-40B4-BE49-F238E27FC236}">
              <a16:creationId xmlns:a16="http://schemas.microsoft.com/office/drawing/2014/main" id="{E95B0857-F180-41F3-ACAB-4D5BEAD80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12700</xdr:colOff>
      <xdr:row>70</xdr:row>
      <xdr:rowOff>12700</xdr:rowOff>
    </xdr:to>
    <xdr:pic>
      <xdr:nvPicPr>
        <xdr:cNvPr id="443" name="Picture 114">
          <a:extLst>
            <a:ext uri="{FF2B5EF4-FFF2-40B4-BE49-F238E27FC236}">
              <a16:creationId xmlns:a16="http://schemas.microsoft.com/office/drawing/2014/main" id="{835397EC-A9BF-45E0-A674-B1F2223F1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12700</xdr:colOff>
      <xdr:row>71</xdr:row>
      <xdr:rowOff>0</xdr:rowOff>
    </xdr:to>
    <xdr:pic>
      <xdr:nvPicPr>
        <xdr:cNvPr id="444" name="Picture 115">
          <a:extLst>
            <a:ext uri="{FF2B5EF4-FFF2-40B4-BE49-F238E27FC236}">
              <a16:creationId xmlns:a16="http://schemas.microsoft.com/office/drawing/2014/main" id="{F62D12E9-B52F-48D2-BC34-CBF51E1D8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12700</xdr:colOff>
      <xdr:row>72</xdr:row>
      <xdr:rowOff>12700</xdr:rowOff>
    </xdr:to>
    <xdr:pic>
      <xdr:nvPicPr>
        <xdr:cNvPr id="445" name="Picture 117">
          <a:extLst>
            <a:ext uri="{FF2B5EF4-FFF2-40B4-BE49-F238E27FC236}">
              <a16:creationId xmlns:a16="http://schemas.microsoft.com/office/drawing/2014/main" id="{2712E804-5EDE-44FD-8FE2-4E31A0A82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12700</xdr:colOff>
      <xdr:row>73</xdr:row>
      <xdr:rowOff>0</xdr:rowOff>
    </xdr:to>
    <xdr:pic>
      <xdr:nvPicPr>
        <xdr:cNvPr id="446" name="Picture 118">
          <a:extLst>
            <a:ext uri="{FF2B5EF4-FFF2-40B4-BE49-F238E27FC236}">
              <a16:creationId xmlns:a16="http://schemas.microsoft.com/office/drawing/2014/main" id="{36C18989-EC2D-49EB-BBBF-05F0CC433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12700</xdr:colOff>
      <xdr:row>74</xdr:row>
      <xdr:rowOff>0</xdr:rowOff>
    </xdr:to>
    <xdr:pic>
      <xdr:nvPicPr>
        <xdr:cNvPr id="447" name="Picture 119">
          <a:extLst>
            <a:ext uri="{FF2B5EF4-FFF2-40B4-BE49-F238E27FC236}">
              <a16:creationId xmlns:a16="http://schemas.microsoft.com/office/drawing/2014/main" id="{55A3BAB0-3997-43AC-99CD-6A379B195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12700</xdr:colOff>
      <xdr:row>75</xdr:row>
      <xdr:rowOff>0</xdr:rowOff>
    </xdr:to>
    <xdr:pic>
      <xdr:nvPicPr>
        <xdr:cNvPr id="448" name="Picture 121">
          <a:extLst>
            <a:ext uri="{FF2B5EF4-FFF2-40B4-BE49-F238E27FC236}">
              <a16:creationId xmlns:a16="http://schemas.microsoft.com/office/drawing/2014/main" id="{8EDE30AD-56CA-4E59-81DC-FA0BC0643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12700</xdr:colOff>
      <xdr:row>77</xdr:row>
      <xdr:rowOff>12700</xdr:rowOff>
    </xdr:to>
    <xdr:pic>
      <xdr:nvPicPr>
        <xdr:cNvPr id="449" name="Picture 122">
          <a:extLst>
            <a:ext uri="{FF2B5EF4-FFF2-40B4-BE49-F238E27FC236}">
              <a16:creationId xmlns:a16="http://schemas.microsoft.com/office/drawing/2014/main" id="{5456AA03-EFDB-48DF-9A57-18280BCE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12700</xdr:colOff>
      <xdr:row>80</xdr:row>
      <xdr:rowOff>0</xdr:rowOff>
    </xdr:to>
    <xdr:pic>
      <xdr:nvPicPr>
        <xdr:cNvPr id="450" name="Picture 125">
          <a:extLst>
            <a:ext uri="{FF2B5EF4-FFF2-40B4-BE49-F238E27FC236}">
              <a16:creationId xmlns:a16="http://schemas.microsoft.com/office/drawing/2014/main" id="{73BF10E6-46FB-43D4-99AD-F130924FE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12700</xdr:colOff>
      <xdr:row>81</xdr:row>
      <xdr:rowOff>0</xdr:rowOff>
    </xdr:to>
    <xdr:pic>
      <xdr:nvPicPr>
        <xdr:cNvPr id="451" name="Picture 127">
          <a:extLst>
            <a:ext uri="{FF2B5EF4-FFF2-40B4-BE49-F238E27FC236}">
              <a16:creationId xmlns:a16="http://schemas.microsoft.com/office/drawing/2014/main" id="{5CC31236-CDC3-4BD2-AE91-24F2A6BA7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12700</xdr:colOff>
      <xdr:row>82</xdr:row>
      <xdr:rowOff>0</xdr:rowOff>
    </xdr:to>
    <xdr:pic>
      <xdr:nvPicPr>
        <xdr:cNvPr id="452" name="Picture 128">
          <a:extLst>
            <a:ext uri="{FF2B5EF4-FFF2-40B4-BE49-F238E27FC236}">
              <a16:creationId xmlns:a16="http://schemas.microsoft.com/office/drawing/2014/main" id="{D83DEA18-1588-4C7A-96B9-D5507BDDA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22</xdr:row>
      <xdr:rowOff>12700</xdr:rowOff>
    </xdr:to>
    <xdr:pic>
      <xdr:nvPicPr>
        <xdr:cNvPr id="453" name="Picture 130">
          <a:extLst>
            <a:ext uri="{FF2B5EF4-FFF2-40B4-BE49-F238E27FC236}">
              <a16:creationId xmlns:a16="http://schemas.microsoft.com/office/drawing/2014/main" id="{C4E5DE37-38A4-425E-846C-EF9DAEDC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12700</xdr:colOff>
      <xdr:row>84</xdr:row>
      <xdr:rowOff>0</xdr:rowOff>
    </xdr:to>
    <xdr:pic>
      <xdr:nvPicPr>
        <xdr:cNvPr id="454" name="Picture 133">
          <a:extLst>
            <a:ext uri="{FF2B5EF4-FFF2-40B4-BE49-F238E27FC236}">
              <a16:creationId xmlns:a16="http://schemas.microsoft.com/office/drawing/2014/main" id="{C6AE735B-A91E-4FDB-9661-9BE0CB299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12700</xdr:colOff>
      <xdr:row>76</xdr:row>
      <xdr:rowOff>12700</xdr:rowOff>
    </xdr:to>
    <xdr:pic>
      <xdr:nvPicPr>
        <xdr:cNvPr id="455" name="Picture 147">
          <a:extLst>
            <a:ext uri="{FF2B5EF4-FFF2-40B4-BE49-F238E27FC236}">
              <a16:creationId xmlns:a16="http://schemas.microsoft.com/office/drawing/2014/main" id="{58720670-F836-4322-92B9-23C717016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27</xdr:row>
      <xdr:rowOff>12700</xdr:rowOff>
    </xdr:to>
    <xdr:pic>
      <xdr:nvPicPr>
        <xdr:cNvPr id="456" name="Picture 170">
          <a:extLst>
            <a:ext uri="{FF2B5EF4-FFF2-40B4-BE49-F238E27FC236}">
              <a16:creationId xmlns:a16="http://schemas.microsoft.com/office/drawing/2014/main" id="{FEBB900C-C138-4A5E-938F-9789E209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21</xdr:row>
      <xdr:rowOff>12700</xdr:rowOff>
    </xdr:to>
    <xdr:pic>
      <xdr:nvPicPr>
        <xdr:cNvPr id="457" name="Picture 181">
          <a:extLst>
            <a:ext uri="{FF2B5EF4-FFF2-40B4-BE49-F238E27FC236}">
              <a16:creationId xmlns:a16="http://schemas.microsoft.com/office/drawing/2014/main" id="{7FD1186E-54B8-45E0-A743-DB034C18C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51</xdr:row>
      <xdr:rowOff>12700</xdr:rowOff>
    </xdr:to>
    <xdr:pic>
      <xdr:nvPicPr>
        <xdr:cNvPr id="458" name="Picture 74">
          <a:extLst>
            <a:ext uri="{FF2B5EF4-FFF2-40B4-BE49-F238E27FC236}">
              <a16:creationId xmlns:a16="http://schemas.microsoft.com/office/drawing/2014/main" id="{0B2C3B24-1867-4675-AF83-4AA9DA864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19050</xdr:colOff>
      <xdr:row>43</xdr:row>
      <xdr:rowOff>9525</xdr:rowOff>
    </xdr:to>
    <xdr:pic>
      <xdr:nvPicPr>
        <xdr:cNvPr id="459" name="Picture 77">
          <a:extLst>
            <a:ext uri="{FF2B5EF4-FFF2-40B4-BE49-F238E27FC236}">
              <a16:creationId xmlns:a16="http://schemas.microsoft.com/office/drawing/2014/main" id="{620045A1-0BF7-40F8-BCB0-C15DC68F9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460" name="Picture 138">
          <a:extLst>
            <a:ext uri="{FF2B5EF4-FFF2-40B4-BE49-F238E27FC236}">
              <a16:creationId xmlns:a16="http://schemas.microsoft.com/office/drawing/2014/main" id="{4809135D-FC98-4E47-9FB1-3624BFF64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461" name="Picture 138">
          <a:extLst>
            <a:ext uri="{FF2B5EF4-FFF2-40B4-BE49-F238E27FC236}">
              <a16:creationId xmlns:a16="http://schemas.microsoft.com/office/drawing/2014/main" id="{297EC611-F1E1-4A58-9AE4-C8745766B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462" name="Picture 129">
          <a:extLst>
            <a:ext uri="{FF2B5EF4-FFF2-40B4-BE49-F238E27FC236}">
              <a16:creationId xmlns:a16="http://schemas.microsoft.com/office/drawing/2014/main" id="{60A91698-7E4B-4C29-AA91-D1C9C72A6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43</xdr:row>
      <xdr:rowOff>12700</xdr:rowOff>
    </xdr:to>
    <xdr:pic>
      <xdr:nvPicPr>
        <xdr:cNvPr id="463" name="Picture 52">
          <a:extLst>
            <a:ext uri="{FF2B5EF4-FFF2-40B4-BE49-F238E27FC236}">
              <a16:creationId xmlns:a16="http://schemas.microsoft.com/office/drawing/2014/main" id="{0DA3816E-CAFA-4F9B-A88F-00629D840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464" name="Picture 93">
          <a:extLst>
            <a:ext uri="{FF2B5EF4-FFF2-40B4-BE49-F238E27FC236}">
              <a16:creationId xmlns:a16="http://schemas.microsoft.com/office/drawing/2014/main" id="{AAEE0E68-FD5B-431C-83C9-43791C91E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43</xdr:row>
      <xdr:rowOff>12700</xdr:rowOff>
    </xdr:to>
    <xdr:pic>
      <xdr:nvPicPr>
        <xdr:cNvPr id="465" name="Picture 31">
          <a:extLst>
            <a:ext uri="{FF2B5EF4-FFF2-40B4-BE49-F238E27FC236}">
              <a16:creationId xmlns:a16="http://schemas.microsoft.com/office/drawing/2014/main" id="{DC752691-760D-4734-85F7-03BF2CF26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466" name="Picture 65">
          <a:extLst>
            <a:ext uri="{FF2B5EF4-FFF2-40B4-BE49-F238E27FC236}">
              <a16:creationId xmlns:a16="http://schemas.microsoft.com/office/drawing/2014/main" id="{662D140E-2726-4E6D-93A6-4E82FB133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12700</xdr:rowOff>
    </xdr:to>
    <xdr:pic>
      <xdr:nvPicPr>
        <xdr:cNvPr id="467" name="Picture 57">
          <a:extLst>
            <a:ext uri="{FF2B5EF4-FFF2-40B4-BE49-F238E27FC236}">
              <a16:creationId xmlns:a16="http://schemas.microsoft.com/office/drawing/2014/main" id="{F588EA0B-A0E0-49FA-B64C-001EAC5FD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19050</xdr:colOff>
      <xdr:row>47</xdr:row>
      <xdr:rowOff>0</xdr:rowOff>
    </xdr:to>
    <xdr:pic>
      <xdr:nvPicPr>
        <xdr:cNvPr id="468" name="Picture 221">
          <a:extLst>
            <a:ext uri="{FF2B5EF4-FFF2-40B4-BE49-F238E27FC236}">
              <a16:creationId xmlns:a16="http://schemas.microsoft.com/office/drawing/2014/main" id="{CB7EBE37-BC9D-4FBF-837A-6FDD92C41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47</xdr:row>
      <xdr:rowOff>0</xdr:rowOff>
    </xdr:to>
    <xdr:pic>
      <xdr:nvPicPr>
        <xdr:cNvPr id="469" name="Picture 147">
          <a:extLst>
            <a:ext uri="{FF2B5EF4-FFF2-40B4-BE49-F238E27FC236}">
              <a16:creationId xmlns:a16="http://schemas.microsoft.com/office/drawing/2014/main" id="{B53E1B1B-78E1-47CC-A8BE-363FB07F5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47</xdr:row>
      <xdr:rowOff>12700</xdr:rowOff>
    </xdr:to>
    <xdr:pic>
      <xdr:nvPicPr>
        <xdr:cNvPr id="470" name="Picture 102">
          <a:extLst>
            <a:ext uri="{FF2B5EF4-FFF2-40B4-BE49-F238E27FC236}">
              <a16:creationId xmlns:a16="http://schemas.microsoft.com/office/drawing/2014/main" id="{AACC9D0E-E0DF-4246-9BDF-DD5C3DF17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12700</xdr:colOff>
      <xdr:row>75</xdr:row>
      <xdr:rowOff>12700</xdr:rowOff>
    </xdr:to>
    <xdr:pic>
      <xdr:nvPicPr>
        <xdr:cNvPr id="471" name="Picture 196">
          <a:extLst>
            <a:ext uri="{FF2B5EF4-FFF2-40B4-BE49-F238E27FC236}">
              <a16:creationId xmlns:a16="http://schemas.microsoft.com/office/drawing/2014/main" id="{8317CD61-54DA-445C-9A5B-DC89E5A57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12700</xdr:colOff>
      <xdr:row>76</xdr:row>
      <xdr:rowOff>0</xdr:rowOff>
    </xdr:to>
    <xdr:pic>
      <xdr:nvPicPr>
        <xdr:cNvPr id="472" name="Picture 197">
          <a:extLst>
            <a:ext uri="{FF2B5EF4-FFF2-40B4-BE49-F238E27FC236}">
              <a16:creationId xmlns:a16="http://schemas.microsoft.com/office/drawing/2014/main" id="{023A2FCB-A292-4461-85AC-42EDB91F1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12700</xdr:colOff>
      <xdr:row>75</xdr:row>
      <xdr:rowOff>0</xdr:rowOff>
    </xdr:to>
    <xdr:pic>
      <xdr:nvPicPr>
        <xdr:cNvPr id="473" name="Picture 194">
          <a:extLst>
            <a:ext uri="{FF2B5EF4-FFF2-40B4-BE49-F238E27FC236}">
              <a16:creationId xmlns:a16="http://schemas.microsoft.com/office/drawing/2014/main" id="{72423191-8177-4FEA-B374-36C3D4824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474" name="Picture 133">
          <a:extLst>
            <a:ext uri="{FF2B5EF4-FFF2-40B4-BE49-F238E27FC236}">
              <a16:creationId xmlns:a16="http://schemas.microsoft.com/office/drawing/2014/main" id="{E7EA567A-DA5D-4A1E-A799-03E9F096B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12700</xdr:colOff>
      <xdr:row>75</xdr:row>
      <xdr:rowOff>0</xdr:rowOff>
    </xdr:to>
    <xdr:pic>
      <xdr:nvPicPr>
        <xdr:cNvPr id="475" name="Picture 134">
          <a:extLst>
            <a:ext uri="{FF2B5EF4-FFF2-40B4-BE49-F238E27FC236}">
              <a16:creationId xmlns:a16="http://schemas.microsoft.com/office/drawing/2014/main" id="{16666F15-0749-4897-A5F3-2588AD394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fe%20Compras\OneDrive\Documents\Desktop\LISTAS%20DE%20PRECIOS\listados%20grupo%20nuevo%20con%20formulas\LISTA%20PROVISIONAL%20DA&#209;O%20PLATAFORMA\LISTAS%20EMPRESA%20GRUPO\LISTA%20CONTROL%20ACCESO%20E%20INTERCOM%20GRUPO.xlsx" TargetMode="External"/><Relationship Id="rId1" Type="http://schemas.openxmlformats.org/officeDocument/2006/relationships/externalLinkPath" Target="LISTA%20CONTROL%20ACCESO%20E%20INTERCOM%20GRUP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 ACCESO HIKVISION"/>
      <sheetName val="CONTROL DE ACCESO VARIOS"/>
      <sheetName val="COMMAX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FAF84-BC7B-42E7-A89F-626F60DE7B68}" name="Tabla119" displayName="Tabla119" ref="A1:K85" totalsRowShown="0" headerRowDxfId="19" dataDxfId="18" headerRowBorderDxfId="16" tableBorderDxfId="17" totalsRowBorderDxfId="15">
  <autoFilter ref="A1:K85" xr:uid="{00000000-0009-0000-0100-000001000000}"/>
  <sortState xmlns:xlrd2="http://schemas.microsoft.com/office/spreadsheetml/2017/richdata2" ref="A2:K84">
    <sortCondition sortBy="fontColor" ref="A1:A84" dxfId="14"/>
  </sortState>
  <tableColumns count="11">
    <tableColumn id="3" xr3:uid="{380AEAF5-CC4D-4DC0-B941-B18375D9281F}" name="REFERENCIA" dataDxfId="13"/>
    <tableColumn id="4" xr3:uid="{0546217E-56AC-40A2-84B2-D39B903696DE}" name="DESCRIPCION" dataDxfId="12"/>
    <tableColumn id="1" xr3:uid="{7326E1B8-31EE-4454-BCB8-266901AF9003}" name="PRECIO INSTALLER (CON IVA)" dataDxfId="11" dataCellStyle="Moneda">
      <calculatedColumnFormula>+Tabla119[[#This Row],[COSTO +IVA]]/Tabla119[[#This Row],[Columna5]]</calculatedColumnFormula>
    </tableColumn>
    <tableColumn id="10" xr3:uid="{42FF3B8B-DC0B-4E6A-8660-73D5C9E92B8E}" name="PRECIO TIENDA (CON IVA)" dataDxfId="10" dataCellStyle="Moneda">
      <calculatedColumnFormula>+Tabla119[[#This Row],[PRECIO INSTALLER (CON IVA)]]-Tabla119[[#This Row],[Columna2]]</calculatedColumnFormula>
    </tableColumn>
    <tableColumn id="11" xr3:uid="{CD9AE8A7-79C9-413E-982B-2417DE3740E1}" name="PRECIO CLIENTE FINAL (CON IVA)" dataDxfId="9" dataCellStyle="Moneda">
      <calculatedColumnFormula>+Tabla119[[#This Row],[PRECIO INSTALLER (CON IVA)]]/0.7</calculatedColumnFormula>
    </tableColumn>
    <tableColumn id="2" xr3:uid="{00A271CA-4E73-4BD2-A4A9-8DF3846D40E3}" name="Columna2" dataDxfId="8" dataCellStyle="Moneda">
      <calculatedColumnFormula>+Tabla119[[#This Row],[PRECIO INSTALLER (CON IVA)]]*5%</calculatedColumnFormula>
    </tableColumn>
    <tableColumn id="5" xr3:uid="{A4CF59BA-DF4C-433E-98D5-175AF69B3C40}" name="Columna5" dataDxfId="7"/>
    <tableColumn id="6" xr3:uid="{C53A85D6-E108-448F-AEF8-703611641EA1}" name="COSTO +IVA" dataDxfId="6" dataCellStyle="Moneda">
      <calculatedColumnFormula>Tabla119[[#This Row],[COSTO]]*1.19</calculatedColumnFormula>
    </tableColumn>
    <tableColumn id="7" xr3:uid="{D68FB3FB-40AD-40A4-96CB-1935C0F00642}" name="Columna7" dataDxfId="5"/>
    <tableColumn id="8" xr3:uid="{27F5C76F-78B8-41DC-86FF-18498BDB3745}" name="Columna8" dataDxfId="4"/>
    <tableColumn id="9" xr3:uid="{8B2670C4-953D-404D-9D0D-E792C9E88DF8}" name="COSTO" dataDxfId="3" dataCellStyle="Mon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D588-E972-4015-9E53-B8012F0ED024}">
  <dimension ref="A1:K85"/>
  <sheetViews>
    <sheetView tabSelected="1" view="pageBreakPreview" zoomScale="60" zoomScaleNormal="115" workbookViewId="0">
      <pane ySplit="1" topLeftCell="A61" activePane="bottomLeft" state="frozen"/>
      <selection pane="bottomLeft" activeCell="L5" sqref="L5"/>
    </sheetView>
  </sheetViews>
  <sheetFormatPr baseColWidth="10" defaultRowHeight="15" x14ac:dyDescent="0.25"/>
  <cols>
    <col min="1" max="1" width="40.5703125" style="1" customWidth="1"/>
    <col min="2" max="2" width="116.5703125" style="6" customWidth="1"/>
    <col min="3" max="3" width="21.7109375" style="5" customWidth="1"/>
    <col min="4" max="4" width="19.28515625" style="5" customWidth="1"/>
    <col min="5" max="5" width="20.42578125" style="5" customWidth="1"/>
    <col min="6" max="6" width="38.5703125" style="5" hidden="1" customWidth="1"/>
    <col min="7" max="7" width="6.28515625" style="3" hidden="1" customWidth="1"/>
    <col min="8" max="8" width="15.7109375" style="4" hidden="1" customWidth="1"/>
    <col min="9" max="9" width="2.5703125" style="3" hidden="1" customWidth="1"/>
    <col min="10" max="10" width="1.85546875" style="3" hidden="1" customWidth="1"/>
    <col min="11" max="11" width="14" style="2" hidden="1" customWidth="1"/>
    <col min="12" max="256" width="9.140625" style="1" customWidth="1"/>
    <col min="257" max="16384" width="11.42578125" style="1"/>
  </cols>
  <sheetData>
    <row r="1" spans="1:11" ht="41.25" customHeight="1" x14ac:dyDescent="0.2">
      <c r="A1" s="32" t="s">
        <v>178</v>
      </c>
      <c r="B1" s="31" t="s">
        <v>177</v>
      </c>
      <c r="C1" s="30" t="s">
        <v>176</v>
      </c>
      <c r="D1" s="30" t="s">
        <v>175</v>
      </c>
      <c r="E1" s="30" t="s">
        <v>174</v>
      </c>
      <c r="F1" s="29" t="s">
        <v>173</v>
      </c>
      <c r="G1" s="27" t="s">
        <v>172</v>
      </c>
      <c r="H1" s="28" t="s">
        <v>171</v>
      </c>
      <c r="I1" s="27" t="s">
        <v>170</v>
      </c>
      <c r="J1" s="27" t="s">
        <v>169</v>
      </c>
      <c r="K1" s="26" t="s">
        <v>168</v>
      </c>
    </row>
    <row r="2" spans="1:11" x14ac:dyDescent="0.2">
      <c r="A2" s="20" t="s">
        <v>167</v>
      </c>
      <c r="B2" s="19" t="s">
        <v>166</v>
      </c>
      <c r="C2" s="18">
        <f>+Tabla119[[#This Row],[COSTO +IVA]]/Tabla119[[#This Row],[Columna5]]</f>
        <v>402934</v>
      </c>
      <c r="D2" s="18">
        <f>+Tabla119[[#This Row],[PRECIO INSTALLER (CON IVA)]]-Tabla119[[#This Row],[Columna2]]</f>
        <v>382787.3</v>
      </c>
      <c r="E2" s="18">
        <f>+Tabla119[[#This Row],[PRECIO INSTALLER (CON IVA)]]/0.7</f>
        <v>575620</v>
      </c>
      <c r="F2" s="18">
        <f>+Tabla119[[#This Row],[PRECIO INSTALLER (CON IVA)]]*5%</f>
        <v>20146.7</v>
      </c>
      <c r="G2" s="17">
        <v>1</v>
      </c>
      <c r="H2" s="16">
        <f>Tabla119[[#This Row],[COSTO]]*1.19</f>
        <v>402934</v>
      </c>
      <c r="I2" s="17"/>
      <c r="J2" s="17"/>
      <c r="K2" s="21">
        <v>338600</v>
      </c>
    </row>
    <row r="3" spans="1:11" ht="12.75" x14ac:dyDescent="0.2">
      <c r="A3" s="20" t="s">
        <v>165</v>
      </c>
      <c r="B3" s="25" t="s">
        <v>164</v>
      </c>
      <c r="C3" s="24">
        <f>+Tabla119[[#This Row],[COSTO +IVA]]/Tabla119[[#This Row],[Columna5]]</f>
        <v>274890</v>
      </c>
      <c r="D3" s="24">
        <f>+Tabla119[[#This Row],[PRECIO INSTALLER (CON IVA)]]-Tabla119[[#This Row],[Columna2]]</f>
        <v>261145.5</v>
      </c>
      <c r="E3" s="24">
        <f>+Tabla119[[#This Row],[PRECIO INSTALLER (CON IVA)]]/0.7</f>
        <v>392700</v>
      </c>
      <c r="F3" s="24">
        <f>+Tabla119[[#This Row],[PRECIO INSTALLER (CON IVA)]]*5%</f>
        <v>13744.5</v>
      </c>
      <c r="G3" s="17">
        <v>1</v>
      </c>
      <c r="H3" s="23">
        <f>Tabla119[[#This Row],[COSTO]]*1.19</f>
        <v>274890</v>
      </c>
      <c r="I3" s="22"/>
      <c r="J3" s="22"/>
      <c r="K3" s="21">
        <v>231000</v>
      </c>
    </row>
    <row r="4" spans="1:11" x14ac:dyDescent="0.2">
      <c r="A4" s="20" t="s">
        <v>163</v>
      </c>
      <c r="B4" s="19" t="s">
        <v>162</v>
      </c>
      <c r="C4" s="18">
        <f>+Tabla119[[#This Row],[COSTO +IVA]]/Tabla119[[#This Row],[Columna5]]</f>
        <v>222515.66265060243</v>
      </c>
      <c r="D4" s="18">
        <f>+Tabla119[[#This Row],[PRECIO INSTALLER (CON IVA)]]-Tabla119[[#This Row],[Columna2]]</f>
        <v>211389.8795180723</v>
      </c>
      <c r="E4" s="18">
        <f>+Tabla119[[#This Row],[PRECIO INSTALLER (CON IVA)]]/0.7</f>
        <v>317879.51807228918</v>
      </c>
      <c r="F4" s="18">
        <f>+Tabla119[[#This Row],[PRECIO INSTALLER (CON IVA)]]*5%</f>
        <v>11125.783132530123</v>
      </c>
      <c r="G4" s="17">
        <v>0.83</v>
      </c>
      <c r="H4" s="16">
        <f>Tabla119[[#This Row],[COSTO]]*1.19</f>
        <v>184688</v>
      </c>
      <c r="I4" s="15"/>
      <c r="J4" s="15"/>
      <c r="K4" s="14">
        <v>155200</v>
      </c>
    </row>
    <row r="5" spans="1:11" ht="12.75" x14ac:dyDescent="0.2">
      <c r="A5" s="20" t="s">
        <v>161</v>
      </c>
      <c r="B5" s="25" t="s">
        <v>160</v>
      </c>
      <c r="C5" s="24">
        <f>+Tabla119[[#This Row],[COSTO +IVA]]/Tabla119[[#This Row],[Columna5]]</f>
        <v>184951.80722891568</v>
      </c>
      <c r="D5" s="24">
        <f>+Tabla119[[#This Row],[PRECIO INSTALLER (CON IVA)]]-Tabla119[[#This Row],[Columna2]]</f>
        <v>175704.21686746989</v>
      </c>
      <c r="E5" s="24">
        <f>+Tabla119[[#This Row],[PRECIO INSTALLER (CON IVA)]]/0.7</f>
        <v>264216.86746987957</v>
      </c>
      <c r="F5" s="24">
        <f>+Tabla119[[#This Row],[PRECIO INSTALLER (CON IVA)]]*5%</f>
        <v>9247.5903614457839</v>
      </c>
      <c r="G5" s="17">
        <v>0.83</v>
      </c>
      <c r="H5" s="23">
        <f>Tabla119[[#This Row],[COSTO]]*1.19</f>
        <v>153510</v>
      </c>
      <c r="I5" s="22"/>
      <c r="J5" s="22"/>
      <c r="K5" s="21">
        <v>129000</v>
      </c>
    </row>
    <row r="6" spans="1:11" x14ac:dyDescent="0.2">
      <c r="A6" s="20" t="s">
        <v>159</v>
      </c>
      <c r="B6" s="19" t="s">
        <v>158</v>
      </c>
      <c r="C6" s="18">
        <f>+Tabla119[[#This Row],[COSTO +IVA]]/Tabla119[[#This Row],[Columna5]]</f>
        <v>123923.95555555556</v>
      </c>
      <c r="D6" s="18">
        <f>+Tabla119[[#This Row],[PRECIO INSTALLER (CON IVA)]]-Tabla119[[#This Row],[Columna2]]</f>
        <v>117727.75777777778</v>
      </c>
      <c r="E6" s="18">
        <f>+Tabla119[[#This Row],[PRECIO INSTALLER (CON IVA)]]/0.7</f>
        <v>177034.22222222225</v>
      </c>
      <c r="F6" s="18">
        <f>+Tabla119[[#This Row],[PRECIO INSTALLER (CON IVA)]]*5%</f>
        <v>6196.1977777777784</v>
      </c>
      <c r="G6" s="17">
        <v>0.9</v>
      </c>
      <c r="H6" s="16">
        <f>Tabla119[[#This Row],[COSTO]]*1.19</f>
        <v>111531.56</v>
      </c>
      <c r="I6" s="15"/>
      <c r="J6" s="15"/>
      <c r="K6" s="21">
        <v>93724</v>
      </c>
    </row>
    <row r="7" spans="1:11" x14ac:dyDescent="0.2">
      <c r="A7" s="20" t="s">
        <v>157</v>
      </c>
      <c r="B7" s="19" t="s">
        <v>156</v>
      </c>
      <c r="C7" s="18">
        <f>+Tabla119[[#This Row],[COSTO +IVA]]/Tabla119[[#This Row],[Columna5]]</f>
        <v>87171.084337349399</v>
      </c>
      <c r="D7" s="18">
        <f>+Tabla119[[#This Row],[PRECIO INSTALLER (CON IVA)]]-Tabla119[[#This Row],[Columna2]]</f>
        <v>82812.530120481926</v>
      </c>
      <c r="E7" s="18">
        <f>+Tabla119[[#This Row],[PRECIO INSTALLER (CON IVA)]]/0.7</f>
        <v>124530.12048192772</v>
      </c>
      <c r="F7" s="18">
        <f>+Tabla119[[#This Row],[PRECIO INSTALLER (CON IVA)]]*5%</f>
        <v>4358.5542168674701</v>
      </c>
      <c r="G7" s="17">
        <v>0.83</v>
      </c>
      <c r="H7" s="16">
        <f>Tabla119[[#This Row],[COSTO]]*1.19</f>
        <v>72352</v>
      </c>
      <c r="I7" s="15"/>
      <c r="J7" s="15"/>
      <c r="K7" s="21">
        <v>60800</v>
      </c>
    </row>
    <row r="8" spans="1:11" ht="12.75" x14ac:dyDescent="0.2">
      <c r="A8" s="20" t="s">
        <v>155</v>
      </c>
      <c r="B8" s="25" t="s">
        <v>154</v>
      </c>
      <c r="C8" s="24">
        <f>+Tabla119[[#This Row],[COSTO +IVA]]/Tabla119[[#This Row],[Columna5]]</f>
        <v>71737.959999999992</v>
      </c>
      <c r="D8" s="24">
        <f>+Tabla119[[#This Row],[PRECIO INSTALLER (CON IVA)]]-Tabla119[[#This Row],[Columna2]]</f>
        <v>68151.061999999991</v>
      </c>
      <c r="E8" s="24">
        <f>+Tabla119[[#This Row],[PRECIO INSTALLER (CON IVA)]]/0.7</f>
        <v>102482.79999999999</v>
      </c>
      <c r="F8" s="24">
        <f>+Tabla119[[#This Row],[PRECIO INSTALLER (CON IVA)]]*5%</f>
        <v>3586.8979999999997</v>
      </c>
      <c r="G8" s="17">
        <v>1</v>
      </c>
      <c r="H8" s="23">
        <f>Tabla119[[#This Row],[COSTO]]*1.19</f>
        <v>71737.959999999992</v>
      </c>
      <c r="I8" s="22"/>
      <c r="J8" s="22"/>
      <c r="K8" s="21">
        <v>60284</v>
      </c>
    </row>
    <row r="9" spans="1:11" ht="12.75" x14ac:dyDescent="0.2">
      <c r="A9" s="20" t="s">
        <v>153</v>
      </c>
      <c r="B9" s="25" t="s">
        <v>152</v>
      </c>
      <c r="C9" s="24">
        <f>+Tabla119[[#This Row],[COSTO +IVA]]/Tabla119[[#This Row],[Columna5]]</f>
        <v>77278.313253012049</v>
      </c>
      <c r="D9" s="24">
        <f>+Tabla119[[#This Row],[PRECIO INSTALLER (CON IVA)]]-Tabla119[[#This Row],[Columna2]]</f>
        <v>73414.397590361448</v>
      </c>
      <c r="E9" s="24">
        <f>+Tabla119[[#This Row],[PRECIO INSTALLER (CON IVA)]]/0.7</f>
        <v>110397.59036144579</v>
      </c>
      <c r="F9" s="24">
        <f>+Tabla119[[#This Row],[PRECIO INSTALLER (CON IVA)]]*5%</f>
        <v>3863.9156626506028</v>
      </c>
      <c r="G9" s="17">
        <v>0.83</v>
      </c>
      <c r="H9" s="23">
        <f>Tabla119[[#This Row],[COSTO]]*1.19</f>
        <v>64141</v>
      </c>
      <c r="I9" s="22"/>
      <c r="J9" s="22"/>
      <c r="K9" s="21">
        <v>53900</v>
      </c>
    </row>
    <row r="10" spans="1:11" x14ac:dyDescent="0.2">
      <c r="A10" s="20" t="s">
        <v>151</v>
      </c>
      <c r="B10" s="19" t="s">
        <v>150</v>
      </c>
      <c r="C10" s="18">
        <f>+Tabla119[[#This Row],[COSTO +IVA]]/Tabla119[[#This Row],[Columna5]]</f>
        <v>72403.614457831325</v>
      </c>
      <c r="D10" s="18">
        <f>+Tabla119[[#This Row],[PRECIO INSTALLER (CON IVA)]]-Tabla119[[#This Row],[Columna2]]</f>
        <v>68783.433734939754</v>
      </c>
      <c r="E10" s="18">
        <f>+Tabla119[[#This Row],[PRECIO INSTALLER (CON IVA)]]/0.7</f>
        <v>103433.73493975904</v>
      </c>
      <c r="F10" s="18">
        <f>+Tabla119[[#This Row],[PRECIO INSTALLER (CON IVA)]]*5%</f>
        <v>3620.1807228915663</v>
      </c>
      <c r="G10" s="17">
        <v>0.83</v>
      </c>
      <c r="H10" s="16">
        <f>Tabla119[[#This Row],[COSTO]]*1.19</f>
        <v>60095</v>
      </c>
      <c r="I10" s="15"/>
      <c r="J10" s="15"/>
      <c r="K10" s="21">
        <v>50500</v>
      </c>
    </row>
    <row r="11" spans="1:11" x14ac:dyDescent="0.2">
      <c r="A11" s="20" t="s">
        <v>149</v>
      </c>
      <c r="B11" s="19" t="s">
        <v>148</v>
      </c>
      <c r="C11" s="18">
        <f>+Tabla119[[#This Row],[COSTO +IVA]]/Tabla119[[#This Row],[Columna5]]</f>
        <v>63944.578313253012</v>
      </c>
      <c r="D11" s="18">
        <f>+Tabla119[[#This Row],[PRECIO INSTALLER (CON IVA)]]-Tabla119[[#This Row],[Columna2]]</f>
        <v>60747.349397590362</v>
      </c>
      <c r="E11" s="18">
        <f>+Tabla119[[#This Row],[PRECIO INSTALLER (CON IVA)]]/0.7</f>
        <v>91349.397590361448</v>
      </c>
      <c r="F11" s="18">
        <f>+Tabla119[[#This Row],[PRECIO INSTALLER (CON IVA)]]*5%</f>
        <v>3197.2289156626507</v>
      </c>
      <c r="G11" s="17">
        <v>0.83</v>
      </c>
      <c r="H11" s="16">
        <f>Tabla119[[#This Row],[COSTO]]*1.19</f>
        <v>53074</v>
      </c>
      <c r="I11" s="15"/>
      <c r="J11" s="15"/>
      <c r="K11" s="21">
        <v>44600</v>
      </c>
    </row>
    <row r="12" spans="1:11" x14ac:dyDescent="0.2">
      <c r="A12" s="20" t="s">
        <v>147</v>
      </c>
      <c r="B12" s="19" t="s">
        <v>146</v>
      </c>
      <c r="C12" s="18">
        <f>+Tabla119[[#This Row],[COSTO +IVA]]/Tabla119[[#This Row],[Columna5]]</f>
        <v>55628.915662650608</v>
      </c>
      <c r="D12" s="18">
        <f>+Tabla119[[#This Row],[PRECIO INSTALLER (CON IVA)]]-Tabla119[[#This Row],[Columna2]]</f>
        <v>52847.469879518074</v>
      </c>
      <c r="E12" s="18">
        <f>+Tabla119[[#This Row],[PRECIO INSTALLER (CON IVA)]]/0.7</f>
        <v>79469.879518072295</v>
      </c>
      <c r="F12" s="18">
        <f>+Tabla119[[#This Row],[PRECIO INSTALLER (CON IVA)]]*5%</f>
        <v>2781.4457831325308</v>
      </c>
      <c r="G12" s="17">
        <v>0.83</v>
      </c>
      <c r="H12" s="16">
        <f>Tabla119[[#This Row],[COSTO]]*1.19</f>
        <v>46172</v>
      </c>
      <c r="I12" s="15"/>
      <c r="J12" s="15"/>
      <c r="K12" s="21">
        <v>38800</v>
      </c>
    </row>
    <row r="13" spans="1:11" x14ac:dyDescent="0.2">
      <c r="A13" s="20" t="s">
        <v>145</v>
      </c>
      <c r="B13" s="19" t="s">
        <v>144</v>
      </c>
      <c r="C13" s="18">
        <f>+Tabla119[[#This Row],[COSTO +IVA]]/Tabla119[[#This Row],[Columna5]]</f>
        <v>42725.301204819276</v>
      </c>
      <c r="D13" s="18">
        <f>+Tabla119[[#This Row],[PRECIO INSTALLER (CON IVA)]]-Tabla119[[#This Row],[Columna2]]</f>
        <v>40589.036144578313</v>
      </c>
      <c r="E13" s="18">
        <f>+Tabla119[[#This Row],[PRECIO INSTALLER (CON IVA)]]/0.7</f>
        <v>61036.144578313259</v>
      </c>
      <c r="F13" s="18">
        <f>+Tabla119[[#This Row],[PRECIO INSTALLER (CON IVA)]]*5%</f>
        <v>2136.265060240964</v>
      </c>
      <c r="G13" s="17">
        <v>0.83</v>
      </c>
      <c r="H13" s="16">
        <f>Tabla119[[#This Row],[COSTO]]*1.19</f>
        <v>35462</v>
      </c>
      <c r="I13" s="15"/>
      <c r="J13" s="15"/>
      <c r="K13" s="21">
        <v>29800</v>
      </c>
    </row>
    <row r="14" spans="1:11" x14ac:dyDescent="0.2">
      <c r="A14" s="20" t="s">
        <v>143</v>
      </c>
      <c r="B14" s="19" t="s">
        <v>142</v>
      </c>
      <c r="C14" s="18">
        <f>+Tabla119[[#This Row],[COSTO +IVA]]/Tabla119[[#This Row],[Columna5]]</f>
        <v>39140.963855421687</v>
      </c>
      <c r="D14" s="18">
        <f>+Tabla119[[#This Row],[PRECIO INSTALLER (CON IVA)]]-Tabla119[[#This Row],[Columna2]]</f>
        <v>37183.915662650601</v>
      </c>
      <c r="E14" s="18">
        <f>+Tabla119[[#This Row],[PRECIO INSTALLER (CON IVA)]]/0.7</f>
        <v>55915.662650602411</v>
      </c>
      <c r="F14" s="18">
        <f>+Tabla119[[#This Row],[PRECIO INSTALLER (CON IVA)]]*5%</f>
        <v>1957.0481927710844</v>
      </c>
      <c r="G14" s="17">
        <v>0.83</v>
      </c>
      <c r="H14" s="16">
        <f>Tabla119[[#This Row],[COSTO]]*1.19</f>
        <v>32487</v>
      </c>
      <c r="I14" s="15"/>
      <c r="J14" s="15"/>
      <c r="K14" s="21">
        <v>27300</v>
      </c>
    </row>
    <row r="15" spans="1:11" x14ac:dyDescent="0.2">
      <c r="A15" s="20" t="s">
        <v>141</v>
      </c>
      <c r="B15" s="19" t="s">
        <v>140</v>
      </c>
      <c r="C15" s="18">
        <f>+Tabla119[[#This Row],[COSTO +IVA]]/Tabla119[[#This Row],[Columna5]]</f>
        <v>32402.409638554218</v>
      </c>
      <c r="D15" s="18">
        <f>+Tabla119[[#This Row],[PRECIO INSTALLER (CON IVA)]]-Tabla119[[#This Row],[Columna2]]</f>
        <v>30782.289156626506</v>
      </c>
      <c r="E15" s="18">
        <f>+Tabla119[[#This Row],[PRECIO INSTALLER (CON IVA)]]/0.7</f>
        <v>46289.156626506032</v>
      </c>
      <c r="F15" s="18">
        <f>+Tabla119[[#This Row],[PRECIO INSTALLER (CON IVA)]]*5%</f>
        <v>1620.1204819277109</v>
      </c>
      <c r="G15" s="17">
        <v>0.83</v>
      </c>
      <c r="H15" s="16">
        <f>Tabla119[[#This Row],[COSTO]]*1.19</f>
        <v>26894</v>
      </c>
      <c r="I15" s="15"/>
      <c r="J15" s="15"/>
      <c r="K15" s="21">
        <v>22600</v>
      </c>
    </row>
    <row r="16" spans="1:11" x14ac:dyDescent="0.2">
      <c r="A16" s="20" t="s">
        <v>139</v>
      </c>
      <c r="B16" s="19" t="s">
        <v>138</v>
      </c>
      <c r="C16" s="18">
        <f>+Tabla119[[#This Row],[COSTO +IVA]]/Tabla119[[#This Row],[Columna5]]</f>
        <v>24803.614457831325</v>
      </c>
      <c r="D16" s="18">
        <f>+Tabla119[[#This Row],[PRECIO INSTALLER (CON IVA)]]-Tabla119[[#This Row],[Columna2]]</f>
        <v>23563.433734939757</v>
      </c>
      <c r="E16" s="18">
        <f>+Tabla119[[#This Row],[PRECIO INSTALLER (CON IVA)]]/0.7</f>
        <v>35433.734939759037</v>
      </c>
      <c r="F16" s="18">
        <f>+Tabla119[[#This Row],[PRECIO INSTALLER (CON IVA)]]*5%</f>
        <v>1240.1807228915663</v>
      </c>
      <c r="G16" s="17">
        <v>0.83</v>
      </c>
      <c r="H16" s="16">
        <f>Tabla119[[#This Row],[COSTO]]*1.19</f>
        <v>20587</v>
      </c>
      <c r="I16" s="15"/>
      <c r="J16" s="15"/>
      <c r="K16" s="21">
        <v>17300</v>
      </c>
    </row>
    <row r="17" spans="1:11" x14ac:dyDescent="0.2">
      <c r="A17" s="20" t="s">
        <v>137</v>
      </c>
      <c r="B17" s="19" t="s">
        <v>136</v>
      </c>
      <c r="C17" s="18">
        <f>+Tabla119[[#This Row],[COSTO +IVA]]/Tabla119[[#This Row],[Columna5]]</f>
        <v>22653.012048192773</v>
      </c>
      <c r="D17" s="18">
        <f>+Tabla119[[#This Row],[PRECIO INSTALLER (CON IVA)]]-Tabla119[[#This Row],[Columna2]]</f>
        <v>21520.361445783135</v>
      </c>
      <c r="E17" s="18">
        <f>+Tabla119[[#This Row],[PRECIO INSTALLER (CON IVA)]]/0.7</f>
        <v>32361.445783132534</v>
      </c>
      <c r="F17" s="18">
        <f>+Tabla119[[#This Row],[PRECIO INSTALLER (CON IVA)]]*5%</f>
        <v>1132.6506024096386</v>
      </c>
      <c r="G17" s="17">
        <v>0.83</v>
      </c>
      <c r="H17" s="16">
        <f>Tabla119[[#This Row],[COSTO]]*1.19</f>
        <v>18802</v>
      </c>
      <c r="I17" s="15"/>
      <c r="J17" s="15"/>
      <c r="K17" s="21">
        <v>15800</v>
      </c>
    </row>
    <row r="18" spans="1:11" x14ac:dyDescent="0.2">
      <c r="A18" s="20" t="s">
        <v>135</v>
      </c>
      <c r="B18" s="19" t="s">
        <v>134</v>
      </c>
      <c r="C18" s="18">
        <f>+Tabla119[[#This Row],[COSTO +IVA]]/Tabla119[[#This Row],[Columna5]]</f>
        <v>24803.614457831325</v>
      </c>
      <c r="D18" s="18">
        <f>+Tabla119[[#This Row],[PRECIO INSTALLER (CON IVA)]]-Tabla119[[#This Row],[Columna2]]</f>
        <v>23563.433734939757</v>
      </c>
      <c r="E18" s="18">
        <f>+Tabla119[[#This Row],[PRECIO INSTALLER (CON IVA)]]/0.7</f>
        <v>35433.734939759037</v>
      </c>
      <c r="F18" s="18">
        <f>+Tabla119[[#This Row],[PRECIO INSTALLER (CON IVA)]]*5%</f>
        <v>1240.1807228915663</v>
      </c>
      <c r="G18" s="17">
        <v>0.83</v>
      </c>
      <c r="H18" s="16">
        <f>Tabla119[[#This Row],[COSTO]]*1.19</f>
        <v>20587</v>
      </c>
      <c r="I18" s="15"/>
      <c r="J18" s="15"/>
      <c r="K18" s="21">
        <v>17300</v>
      </c>
    </row>
    <row r="19" spans="1:11" x14ac:dyDescent="0.2">
      <c r="A19" s="20" t="s">
        <v>133</v>
      </c>
      <c r="B19" s="19" t="s">
        <v>132</v>
      </c>
      <c r="C19" s="18">
        <f>+Tabla119[[#This Row],[COSTO +IVA]]/Tabla119[[#This Row],[Columna5]]</f>
        <v>18208.433734939761</v>
      </c>
      <c r="D19" s="18">
        <f>+Tabla119[[#This Row],[PRECIO INSTALLER (CON IVA)]]-Tabla119[[#This Row],[Columna2]]</f>
        <v>17298.012048192773</v>
      </c>
      <c r="E19" s="18">
        <f>+Tabla119[[#This Row],[PRECIO INSTALLER (CON IVA)]]/0.7</f>
        <v>26012.04819277109</v>
      </c>
      <c r="F19" s="18">
        <f>+Tabla119[[#This Row],[PRECIO INSTALLER (CON IVA)]]*5%</f>
        <v>910.42168674698814</v>
      </c>
      <c r="G19" s="17">
        <v>0.83</v>
      </c>
      <c r="H19" s="16">
        <f>Tabla119[[#This Row],[COSTO]]*1.19</f>
        <v>15113</v>
      </c>
      <c r="I19" s="15"/>
      <c r="J19" s="15"/>
      <c r="K19" s="21">
        <v>12700</v>
      </c>
    </row>
    <row r="20" spans="1:11" x14ac:dyDescent="0.2">
      <c r="A20" s="20" t="s">
        <v>131</v>
      </c>
      <c r="B20" s="19" t="s">
        <v>130</v>
      </c>
      <c r="C20" s="18">
        <f>+Tabla119[[#This Row],[COSTO +IVA]]/Tabla119[[#This Row],[Columna5]]</f>
        <v>19928.915662650605</v>
      </c>
      <c r="D20" s="18">
        <f>+Tabla119[[#This Row],[PRECIO INSTALLER (CON IVA)]]-Tabla119[[#This Row],[Columna2]]</f>
        <v>18932.469879518074</v>
      </c>
      <c r="E20" s="18">
        <f>+Tabla119[[#This Row],[PRECIO INSTALLER (CON IVA)]]/0.7</f>
        <v>28469.879518072295</v>
      </c>
      <c r="F20" s="18">
        <f>+Tabla119[[#This Row],[PRECIO INSTALLER (CON IVA)]]*5%</f>
        <v>996.44578313253032</v>
      </c>
      <c r="G20" s="17">
        <v>0.83</v>
      </c>
      <c r="H20" s="16">
        <f>Tabla119[[#This Row],[COSTO]]*1.19</f>
        <v>16541</v>
      </c>
      <c r="I20" s="15"/>
      <c r="J20" s="15"/>
      <c r="K20" s="21">
        <v>13900</v>
      </c>
    </row>
    <row r="21" spans="1:11" x14ac:dyDescent="0.2">
      <c r="A21" s="20" t="s">
        <v>129</v>
      </c>
      <c r="B21" s="19" t="s">
        <v>128</v>
      </c>
      <c r="C21" s="18">
        <f>+Tabla119[[#This Row],[COSTO +IVA]]/Tabla119[[#This Row],[Columna5]]</f>
        <v>4731.3253012048199</v>
      </c>
      <c r="D21" s="18">
        <f>+Tabla119[[#This Row],[PRECIO INSTALLER (CON IVA)]]-Tabla119[[#This Row],[Columna2]]</f>
        <v>4494.7590361445791</v>
      </c>
      <c r="E21" s="18">
        <f>+Tabla119[[#This Row],[PRECIO INSTALLER (CON IVA)]]/0.7</f>
        <v>6759.0361445783146</v>
      </c>
      <c r="F21" s="18">
        <f>+Tabla119[[#This Row],[PRECIO INSTALLER (CON IVA)]]*5%</f>
        <v>236.56626506024099</v>
      </c>
      <c r="G21" s="17">
        <v>0.83</v>
      </c>
      <c r="H21" s="16">
        <f>Tabla119[[#This Row],[COSTO]]*1.19</f>
        <v>3927</v>
      </c>
      <c r="I21" s="15"/>
      <c r="J21" s="15"/>
      <c r="K21" s="21">
        <v>3300</v>
      </c>
    </row>
    <row r="22" spans="1:11" x14ac:dyDescent="0.2">
      <c r="A22" s="20" t="s">
        <v>127</v>
      </c>
      <c r="B22" s="19" t="s">
        <v>126</v>
      </c>
      <c r="C22" s="18">
        <f>+Tabla119[[#This Row],[COSTO +IVA]]/Tabla119[[#This Row],[Columna5]]</f>
        <v>4301.204819277109</v>
      </c>
      <c r="D22" s="18">
        <f>+Tabla119[[#This Row],[PRECIO INSTALLER (CON IVA)]]-Tabla119[[#This Row],[Columna2]]</f>
        <v>4086.1445783132535</v>
      </c>
      <c r="E22" s="18">
        <f>+Tabla119[[#This Row],[PRECIO INSTALLER (CON IVA)]]/0.7</f>
        <v>6144.5783132530132</v>
      </c>
      <c r="F22" s="18">
        <f>+Tabla119[[#This Row],[PRECIO INSTALLER (CON IVA)]]*5%</f>
        <v>215.06024096385545</v>
      </c>
      <c r="G22" s="17">
        <v>0.83</v>
      </c>
      <c r="H22" s="16">
        <f>Tabla119[[#This Row],[COSTO]]*1.19</f>
        <v>3570</v>
      </c>
      <c r="I22" s="15"/>
      <c r="J22" s="15"/>
      <c r="K22" s="21">
        <v>3000</v>
      </c>
    </row>
    <row r="23" spans="1:11" x14ac:dyDescent="0.2">
      <c r="A23" s="20" t="s">
        <v>125</v>
      </c>
      <c r="B23" s="19" t="s">
        <v>124</v>
      </c>
      <c r="C23" s="18">
        <f>+Tabla119[[#This Row],[COSTO +IVA]]/Tabla119[[#This Row],[Columna5]]</f>
        <v>3010.8433734939758</v>
      </c>
      <c r="D23" s="18">
        <f>+Tabla119[[#This Row],[PRECIO INSTALLER (CON IVA)]]-Tabla119[[#This Row],[Columna2]]</f>
        <v>2860.3012048192772</v>
      </c>
      <c r="E23" s="18">
        <f>+Tabla119[[#This Row],[PRECIO INSTALLER (CON IVA)]]/0.7</f>
        <v>4301.204819277109</v>
      </c>
      <c r="F23" s="18">
        <f>+Tabla119[[#This Row],[PRECIO INSTALLER (CON IVA)]]*5%</f>
        <v>150.54216867469879</v>
      </c>
      <c r="G23" s="17">
        <v>0.83</v>
      </c>
      <c r="H23" s="16">
        <f>Tabla119[[#This Row],[COSTO]]*1.19</f>
        <v>2499</v>
      </c>
      <c r="I23" s="15"/>
      <c r="J23" s="15"/>
      <c r="K23" s="14">
        <v>2100</v>
      </c>
    </row>
    <row r="24" spans="1:11" x14ac:dyDescent="0.2">
      <c r="A24" s="20" t="s">
        <v>123</v>
      </c>
      <c r="B24" s="19" t="s">
        <v>122</v>
      </c>
      <c r="C24" s="18">
        <f>+Tabla119[[#This Row],[COSTO +IVA]]/Tabla119[[#This Row],[Columna5]]</f>
        <v>1433.7349397590363</v>
      </c>
      <c r="D24" s="18">
        <f>+Tabla119[[#This Row],[PRECIO INSTALLER (CON IVA)]]-Tabla119[[#This Row],[Columna2]]</f>
        <v>1362.0481927710844</v>
      </c>
      <c r="E24" s="18">
        <f>+Tabla119[[#This Row],[PRECIO INSTALLER (CON IVA)]]/0.7</f>
        <v>2048.1927710843374</v>
      </c>
      <c r="F24" s="18">
        <f>+Tabla119[[#This Row],[PRECIO INSTALLER (CON IVA)]]*5%</f>
        <v>71.686746987951821</v>
      </c>
      <c r="G24" s="17">
        <v>0.83</v>
      </c>
      <c r="H24" s="16">
        <f>Tabla119[[#This Row],[COSTO]]*1.19</f>
        <v>1190</v>
      </c>
      <c r="I24" s="15"/>
      <c r="J24" s="15"/>
      <c r="K24" s="21">
        <v>1000</v>
      </c>
    </row>
    <row r="25" spans="1:11" x14ac:dyDescent="0.2">
      <c r="A25" s="20" t="s">
        <v>121</v>
      </c>
      <c r="B25" s="19" t="s">
        <v>120</v>
      </c>
      <c r="C25" s="18">
        <f>+Tabla119[[#This Row],[COSTO +IVA]]/Tabla119[[#This Row],[Columna5]]</f>
        <v>1433.7349397590363</v>
      </c>
      <c r="D25" s="18">
        <f>+Tabla119[[#This Row],[PRECIO INSTALLER (CON IVA)]]-Tabla119[[#This Row],[Columna2]]</f>
        <v>1362.0481927710844</v>
      </c>
      <c r="E25" s="18">
        <f>+Tabla119[[#This Row],[PRECIO INSTALLER (CON IVA)]]/0.7</f>
        <v>2048.1927710843374</v>
      </c>
      <c r="F25" s="18">
        <f>+Tabla119[[#This Row],[PRECIO INSTALLER (CON IVA)]]*5%</f>
        <v>71.686746987951821</v>
      </c>
      <c r="G25" s="17">
        <v>0.83</v>
      </c>
      <c r="H25" s="16">
        <f>Tabla119[[#This Row],[COSTO]]*1.19</f>
        <v>1190</v>
      </c>
      <c r="I25" s="15"/>
      <c r="J25" s="15"/>
      <c r="K25" s="21">
        <v>1000</v>
      </c>
    </row>
    <row r="26" spans="1:11" x14ac:dyDescent="0.2">
      <c r="A26" s="20" t="s">
        <v>119</v>
      </c>
      <c r="B26" s="19" t="s">
        <v>118</v>
      </c>
      <c r="C26" s="18">
        <f>+Tabla119[[#This Row],[COSTO +IVA]]/Tabla119[[#This Row],[Columna5]]</f>
        <v>4600855.4216867471</v>
      </c>
      <c r="D26" s="18">
        <f>+Tabla119[[#This Row],[PRECIO INSTALLER (CON IVA)]]-Tabla119[[#This Row],[Columna2]]</f>
        <v>4370812.6506024096</v>
      </c>
      <c r="E26" s="18">
        <f>+Tabla119[[#This Row],[PRECIO INSTALLER (CON IVA)]]/0.7</f>
        <v>6572650.6024096394</v>
      </c>
      <c r="F26" s="18">
        <f>+Tabla119[[#This Row],[PRECIO INSTALLER (CON IVA)]]*5%</f>
        <v>230042.77108433738</v>
      </c>
      <c r="G26" s="17">
        <v>0.83</v>
      </c>
      <c r="H26" s="16">
        <f>Tabla119[[#This Row],[COSTO]]*1.19</f>
        <v>3818710</v>
      </c>
      <c r="I26" s="15"/>
      <c r="J26" s="15"/>
      <c r="K26" s="14">
        <v>3209000</v>
      </c>
    </row>
    <row r="27" spans="1:11" x14ac:dyDescent="0.2">
      <c r="A27" s="20" t="s">
        <v>117</v>
      </c>
      <c r="B27" s="19" t="s">
        <v>116</v>
      </c>
      <c r="C27" s="18">
        <f>+Tabla119[[#This Row],[COSTO +IVA]]/Tabla119[[#This Row],[Columna5]]</f>
        <v>2716354.2168674702</v>
      </c>
      <c r="D27" s="18">
        <f>+Tabla119[[#This Row],[PRECIO INSTALLER (CON IVA)]]-Tabla119[[#This Row],[Columna2]]</f>
        <v>2580536.5060240966</v>
      </c>
      <c r="E27" s="18">
        <f>+Tabla119[[#This Row],[PRECIO INSTALLER (CON IVA)]]/0.7</f>
        <v>3880506.024096386</v>
      </c>
      <c r="F27" s="18">
        <f>+Tabla119[[#This Row],[PRECIO INSTALLER (CON IVA)]]*5%</f>
        <v>135817.71084337353</v>
      </c>
      <c r="G27" s="17">
        <v>0.83</v>
      </c>
      <c r="H27" s="16">
        <f>Tabla119[[#This Row],[COSTO]]*1.19</f>
        <v>2254574</v>
      </c>
      <c r="I27" s="15"/>
      <c r="J27" s="15"/>
      <c r="K27" s="14">
        <v>1894600</v>
      </c>
    </row>
    <row r="28" spans="1:11" x14ac:dyDescent="0.2">
      <c r="A28" s="20" t="s">
        <v>115</v>
      </c>
      <c r="B28" s="19" t="s">
        <v>114</v>
      </c>
      <c r="C28" s="18">
        <f>+Tabla119[[#This Row],[COSTO +IVA]]/Tabla119[[#This Row],[Columna5]]</f>
        <v>2358493.9759036144</v>
      </c>
      <c r="D28" s="18">
        <f>+Tabla119[[#This Row],[PRECIO INSTALLER (CON IVA)]]-Tabla119[[#This Row],[Columna2]]</f>
        <v>2240569.2771084337</v>
      </c>
      <c r="E28" s="18">
        <f>+Tabla119[[#This Row],[PRECIO INSTALLER (CON IVA)]]/0.7</f>
        <v>3369277.1084337351</v>
      </c>
      <c r="F28" s="18">
        <f>+Tabla119[[#This Row],[PRECIO INSTALLER (CON IVA)]]*5%</f>
        <v>117924.69879518072</v>
      </c>
      <c r="G28" s="17">
        <v>0.83</v>
      </c>
      <c r="H28" s="16">
        <f>Tabla119[[#This Row],[COSTO]]*1.19</f>
        <v>1957550</v>
      </c>
      <c r="I28" s="15"/>
      <c r="J28" s="15"/>
      <c r="K28" s="14">
        <v>1645000</v>
      </c>
    </row>
    <row r="29" spans="1:11" x14ac:dyDescent="0.2">
      <c r="A29" s="20" t="s">
        <v>113</v>
      </c>
      <c r="B29" s="19" t="s">
        <v>112</v>
      </c>
      <c r="C29" s="18">
        <f>+Tabla119[[#This Row],[COSTO +IVA]]/Tabla119[[#This Row],[Columna5]]</f>
        <v>2004361.4457831327</v>
      </c>
      <c r="D29" s="18">
        <f>+Tabla119[[#This Row],[PRECIO INSTALLER (CON IVA)]]-Tabla119[[#This Row],[Columna2]]</f>
        <v>1904143.373493976</v>
      </c>
      <c r="E29" s="18">
        <f>+Tabla119[[#This Row],[PRECIO INSTALLER (CON IVA)]]/0.7</f>
        <v>2863373.4939759038</v>
      </c>
      <c r="F29" s="18">
        <f>+Tabla119[[#This Row],[PRECIO INSTALLER (CON IVA)]]*5%</f>
        <v>100218.07228915664</v>
      </c>
      <c r="G29" s="17">
        <v>0.83</v>
      </c>
      <c r="H29" s="16">
        <f>Tabla119[[#This Row],[COSTO]]*1.19</f>
        <v>1663620</v>
      </c>
      <c r="I29" s="17"/>
      <c r="J29" s="17"/>
      <c r="K29" s="14">
        <v>1398000</v>
      </c>
    </row>
    <row r="30" spans="1:11" x14ac:dyDescent="0.2">
      <c r="A30" s="20" t="s">
        <v>111</v>
      </c>
      <c r="B30" s="19" t="s">
        <v>110</v>
      </c>
      <c r="C30" s="18">
        <f>+Tabla119[[#This Row],[COSTO +IVA]]/Tabla119[[#This Row],[Columna5]]</f>
        <v>1445204.8192771084</v>
      </c>
      <c r="D30" s="18">
        <f>+Tabla119[[#This Row],[PRECIO INSTALLER (CON IVA)]]-Tabla119[[#This Row],[Columna2]]</f>
        <v>1372944.5783132529</v>
      </c>
      <c r="E30" s="18">
        <f>+Tabla119[[#This Row],[PRECIO INSTALLER (CON IVA)]]/0.7</f>
        <v>2064578.3132530123</v>
      </c>
      <c r="F30" s="18">
        <f>+Tabla119[[#This Row],[PRECIO INSTALLER (CON IVA)]]*5%</f>
        <v>72260.240963855424</v>
      </c>
      <c r="G30" s="17">
        <v>0.83</v>
      </c>
      <c r="H30" s="16">
        <f>Tabla119[[#This Row],[COSTO]]*1.19</f>
        <v>1199520</v>
      </c>
      <c r="I30" s="17"/>
      <c r="J30" s="17"/>
      <c r="K30" s="14">
        <v>1008000</v>
      </c>
    </row>
    <row r="31" spans="1:11" x14ac:dyDescent="0.2">
      <c r="A31" s="20" t="s">
        <v>109</v>
      </c>
      <c r="B31" s="19" t="s">
        <v>108</v>
      </c>
      <c r="C31" s="18">
        <f>+Tabla119[[#This Row],[COSTO +IVA]]/Tabla119[[#This Row],[Columna5]]</f>
        <v>1291078.313253012</v>
      </c>
      <c r="D31" s="18">
        <f>+Tabla119[[#This Row],[PRECIO INSTALLER (CON IVA)]]-Tabla119[[#This Row],[Columna2]]</f>
        <v>1226524.3975903615</v>
      </c>
      <c r="E31" s="18">
        <f>+Tabla119[[#This Row],[PRECIO INSTALLER (CON IVA)]]/0.7</f>
        <v>1844397.5903614459</v>
      </c>
      <c r="F31" s="18">
        <f>+Tabla119[[#This Row],[PRECIO INSTALLER (CON IVA)]]*5%</f>
        <v>64553.915662650601</v>
      </c>
      <c r="G31" s="17">
        <v>0.83</v>
      </c>
      <c r="H31" s="16">
        <f>Tabla119[[#This Row],[COSTO]]*1.19</f>
        <v>1071595</v>
      </c>
      <c r="I31" s="15"/>
      <c r="J31" s="15"/>
      <c r="K31" s="14">
        <v>900500</v>
      </c>
    </row>
    <row r="32" spans="1:11" x14ac:dyDescent="0.2">
      <c r="A32" s="20" t="s">
        <v>107</v>
      </c>
      <c r="B32" s="19" t="s">
        <v>106</v>
      </c>
      <c r="C32" s="18">
        <f>+Tabla119[[#This Row],[COSTO +IVA]]/Tabla119[[#This Row],[Columna5]]</f>
        <v>1346563.8554216868</v>
      </c>
      <c r="D32" s="18">
        <f>+Tabla119[[#This Row],[PRECIO INSTALLER (CON IVA)]]-Tabla119[[#This Row],[Columna2]]</f>
        <v>1279235.6626506024</v>
      </c>
      <c r="E32" s="18">
        <f>+Tabla119[[#This Row],[PRECIO INSTALLER (CON IVA)]]/0.7</f>
        <v>1923662.6506024098</v>
      </c>
      <c r="F32" s="18">
        <f>+Tabla119[[#This Row],[PRECIO INSTALLER (CON IVA)]]*5%</f>
        <v>67328.192771084345</v>
      </c>
      <c r="G32" s="17">
        <v>0.83</v>
      </c>
      <c r="H32" s="16">
        <f>Tabla119[[#This Row],[COSTO]]*1.19</f>
        <v>1117648</v>
      </c>
      <c r="I32" s="15"/>
      <c r="J32" s="15"/>
      <c r="K32" s="14">
        <v>939200</v>
      </c>
    </row>
    <row r="33" spans="1:11" x14ac:dyDescent="0.2">
      <c r="A33" s="20" t="s">
        <v>105</v>
      </c>
      <c r="B33" s="19" t="s">
        <v>104</v>
      </c>
      <c r="C33" s="18">
        <f>+Tabla119[[#This Row],[COSTO +IVA]]/Tabla119[[#This Row],[Columna5]]</f>
        <v>1271722.8915662651</v>
      </c>
      <c r="D33" s="18">
        <f>+Tabla119[[#This Row],[PRECIO INSTALLER (CON IVA)]]-Tabla119[[#This Row],[Columna2]]</f>
        <v>1208136.7469879519</v>
      </c>
      <c r="E33" s="18">
        <f>+Tabla119[[#This Row],[PRECIO INSTALLER (CON IVA)]]/0.7</f>
        <v>1816746.9879518074</v>
      </c>
      <c r="F33" s="18">
        <f>+Tabla119[[#This Row],[PRECIO INSTALLER (CON IVA)]]*5%</f>
        <v>63586.144578313259</v>
      </c>
      <c r="G33" s="17">
        <v>0.83</v>
      </c>
      <c r="H33" s="16">
        <f>Tabla119[[#This Row],[COSTO]]*1.19</f>
        <v>1055530</v>
      </c>
      <c r="I33" s="15"/>
      <c r="J33" s="15"/>
      <c r="K33" s="14">
        <v>887000</v>
      </c>
    </row>
    <row r="34" spans="1:11" x14ac:dyDescent="0.2">
      <c r="A34" s="20" t="s">
        <v>103</v>
      </c>
      <c r="B34" s="19" t="s">
        <v>102</v>
      </c>
      <c r="C34" s="18">
        <f>+Tabla119[[#This Row],[COSTO +IVA]]/Tabla119[[#This Row],[Columna5]]</f>
        <v>1118026.5060240964</v>
      </c>
      <c r="D34" s="18">
        <f>+Tabla119[[#This Row],[PRECIO INSTALLER (CON IVA)]]-Tabla119[[#This Row],[Columna2]]</f>
        <v>1062125.1807228916</v>
      </c>
      <c r="E34" s="18">
        <f>+Tabla119[[#This Row],[PRECIO INSTALLER (CON IVA)]]/0.7</f>
        <v>1597180.7228915663</v>
      </c>
      <c r="F34" s="18">
        <f>+Tabla119[[#This Row],[PRECIO INSTALLER (CON IVA)]]*5%</f>
        <v>55901.325301204823</v>
      </c>
      <c r="G34" s="17">
        <v>0.83</v>
      </c>
      <c r="H34" s="16">
        <f>Tabla119[[#This Row],[COSTO]]*1.19</f>
        <v>927962</v>
      </c>
      <c r="I34" s="15"/>
      <c r="J34" s="15"/>
      <c r="K34" s="14">
        <v>779800</v>
      </c>
    </row>
    <row r="35" spans="1:11" x14ac:dyDescent="0.2">
      <c r="A35" s="20" t="s">
        <v>101</v>
      </c>
      <c r="B35" s="19" t="s">
        <v>100</v>
      </c>
      <c r="C35" s="18">
        <f>+Tabla119[[#This Row],[COSTO +IVA]]/Tabla119[[#This Row],[Columna5]]</f>
        <v>1164192.7710843375</v>
      </c>
      <c r="D35" s="18">
        <f>+Tabla119[[#This Row],[PRECIO INSTALLER (CON IVA)]]-Tabla119[[#This Row],[Columna2]]</f>
        <v>1105983.1325301207</v>
      </c>
      <c r="E35" s="18">
        <f>+Tabla119[[#This Row],[PRECIO INSTALLER (CON IVA)]]/0.7</f>
        <v>1663132.5301204822</v>
      </c>
      <c r="F35" s="18">
        <f>+Tabla119[[#This Row],[PRECIO INSTALLER (CON IVA)]]*5%</f>
        <v>58209.638554216879</v>
      </c>
      <c r="G35" s="17">
        <v>0.83</v>
      </c>
      <c r="H35" s="16">
        <f>Tabla119[[#This Row],[COSTO]]*1.19</f>
        <v>966280</v>
      </c>
      <c r="I35" s="15"/>
      <c r="J35" s="15"/>
      <c r="K35" s="14">
        <v>812000</v>
      </c>
    </row>
    <row r="36" spans="1:11" x14ac:dyDescent="0.2">
      <c r="A36" s="20" t="s">
        <v>99</v>
      </c>
      <c r="B36" s="19" t="s">
        <v>98</v>
      </c>
      <c r="C36" s="18">
        <f>+Tabla119[[#This Row],[COSTO +IVA]]/Tabla119[[#This Row],[Columna5]]</f>
        <v>1096377.1084337351</v>
      </c>
      <c r="D36" s="18">
        <f>+Tabla119[[#This Row],[PRECIO INSTALLER (CON IVA)]]-Tabla119[[#This Row],[Columna2]]</f>
        <v>1041558.2530120483</v>
      </c>
      <c r="E36" s="18">
        <f>+Tabla119[[#This Row],[PRECIO INSTALLER (CON IVA)]]/0.7</f>
        <v>1566253.012048193</v>
      </c>
      <c r="F36" s="18">
        <f>+Tabla119[[#This Row],[PRECIO INSTALLER (CON IVA)]]*5%</f>
        <v>54818.855421686756</v>
      </c>
      <c r="G36" s="17">
        <v>0.83</v>
      </c>
      <c r="H36" s="16">
        <f>Tabla119[[#This Row],[COSTO]]*1.19</f>
        <v>909993</v>
      </c>
      <c r="I36" s="15"/>
      <c r="J36" s="15"/>
      <c r="K36" s="14">
        <v>764700</v>
      </c>
    </row>
    <row r="37" spans="1:11" x14ac:dyDescent="0.2">
      <c r="A37" s="20" t="s">
        <v>97</v>
      </c>
      <c r="B37" s="19" t="s">
        <v>96</v>
      </c>
      <c r="C37" s="18">
        <f>+Tabla119[[#This Row],[COSTO +IVA]]/Tabla119[[#This Row],[Columna5]]</f>
        <v>990137.34939759038</v>
      </c>
      <c r="D37" s="18">
        <f>+Tabla119[[#This Row],[PRECIO INSTALLER (CON IVA)]]-Tabla119[[#This Row],[Columna2]]</f>
        <v>940630.48192771082</v>
      </c>
      <c r="E37" s="18">
        <f>+Tabla119[[#This Row],[PRECIO INSTALLER (CON IVA)]]/0.7</f>
        <v>1414481.9277108435</v>
      </c>
      <c r="F37" s="18">
        <f>+Tabla119[[#This Row],[PRECIO INSTALLER (CON IVA)]]*5%</f>
        <v>49506.867469879522</v>
      </c>
      <c r="G37" s="17">
        <v>0.83</v>
      </c>
      <c r="H37" s="16">
        <f>Tabla119[[#This Row],[COSTO]]*1.19</f>
        <v>821814</v>
      </c>
      <c r="I37" s="15"/>
      <c r="J37" s="15"/>
      <c r="K37" s="14">
        <v>690600</v>
      </c>
    </row>
    <row r="38" spans="1:11" x14ac:dyDescent="0.2">
      <c r="A38" s="20" t="s">
        <v>95</v>
      </c>
      <c r="B38" s="19" t="s">
        <v>94</v>
      </c>
      <c r="C38" s="18">
        <f>+Tabla119[[#This Row],[COSTO +IVA]]/Tabla119[[#This Row],[Columna5]]</f>
        <v>1033722.8915662651</v>
      </c>
      <c r="D38" s="18">
        <f>+Tabla119[[#This Row],[PRECIO INSTALLER (CON IVA)]]-Tabla119[[#This Row],[Columna2]]</f>
        <v>982036.74698795192</v>
      </c>
      <c r="E38" s="18">
        <f>+Tabla119[[#This Row],[PRECIO INSTALLER (CON IVA)]]/0.7</f>
        <v>1476746.9879518074</v>
      </c>
      <c r="F38" s="18">
        <f>+Tabla119[[#This Row],[PRECIO INSTALLER (CON IVA)]]*5%</f>
        <v>51686.144578313259</v>
      </c>
      <c r="G38" s="17">
        <v>0.83</v>
      </c>
      <c r="H38" s="16">
        <f>Tabla119[[#This Row],[COSTO]]*1.19</f>
        <v>857990</v>
      </c>
      <c r="I38" s="17"/>
      <c r="J38" s="15"/>
      <c r="K38" s="14">
        <v>721000</v>
      </c>
    </row>
    <row r="39" spans="1:11" x14ac:dyDescent="0.2">
      <c r="A39" s="20" t="s">
        <v>93</v>
      </c>
      <c r="B39" s="19" t="s">
        <v>92</v>
      </c>
      <c r="C39" s="18">
        <f>+Tabla119[[#This Row],[COSTO +IVA]]/Tabla119[[#This Row],[Columna5]]</f>
        <v>953433.73493975913</v>
      </c>
      <c r="D39" s="18">
        <f>+Tabla119[[#This Row],[PRECIO INSTALLER (CON IVA)]]-Tabla119[[#This Row],[Columna2]]</f>
        <v>905762.04819277115</v>
      </c>
      <c r="E39" s="18">
        <f>+Tabla119[[#This Row],[PRECIO INSTALLER (CON IVA)]]/0.7</f>
        <v>1362048.1927710846</v>
      </c>
      <c r="F39" s="18">
        <f>+Tabla119[[#This Row],[PRECIO INSTALLER (CON IVA)]]*5%</f>
        <v>47671.686746987958</v>
      </c>
      <c r="G39" s="17">
        <v>0.83</v>
      </c>
      <c r="H39" s="16">
        <f>Tabla119[[#This Row],[COSTO]]*1.19</f>
        <v>791350</v>
      </c>
      <c r="I39" s="15"/>
      <c r="J39" s="15"/>
      <c r="K39" s="14">
        <v>665000</v>
      </c>
    </row>
    <row r="40" spans="1:11" x14ac:dyDescent="0.2">
      <c r="A40" s="20" t="s">
        <v>91</v>
      </c>
      <c r="B40" s="19" t="s">
        <v>90</v>
      </c>
      <c r="C40" s="18">
        <f>+Tabla119[[#This Row],[COSTO +IVA]]/Tabla119[[#This Row],[Columna5]]</f>
        <v>840742.1686746988</v>
      </c>
      <c r="D40" s="18">
        <f>+Tabla119[[#This Row],[PRECIO INSTALLER (CON IVA)]]-Tabla119[[#This Row],[Columna2]]</f>
        <v>798705.06024096382</v>
      </c>
      <c r="E40" s="18">
        <f>+Tabla119[[#This Row],[PRECIO INSTALLER (CON IVA)]]/0.7</f>
        <v>1201060.2409638555</v>
      </c>
      <c r="F40" s="18">
        <f>+Tabla119[[#This Row],[PRECIO INSTALLER (CON IVA)]]*5%</f>
        <v>42037.108433734946</v>
      </c>
      <c r="G40" s="17">
        <v>0.83</v>
      </c>
      <c r="H40" s="16">
        <f>Tabla119[[#This Row],[COSTO]]*1.19</f>
        <v>697816</v>
      </c>
      <c r="I40" s="15"/>
      <c r="J40" s="15"/>
      <c r="K40" s="14">
        <v>586400</v>
      </c>
    </row>
    <row r="41" spans="1:11" x14ac:dyDescent="0.2">
      <c r="A41" s="20" t="s">
        <v>89</v>
      </c>
      <c r="B41" s="19" t="s">
        <v>88</v>
      </c>
      <c r="C41" s="18">
        <f>+Tabla119[[#This Row],[COSTO +IVA]]/Tabla119[[#This Row],[Columna5]]</f>
        <v>817228.9156626506</v>
      </c>
      <c r="D41" s="18">
        <f>+Tabla119[[#This Row],[PRECIO INSTALLER (CON IVA)]]-Tabla119[[#This Row],[Columna2]]</f>
        <v>776367.46987951803</v>
      </c>
      <c r="E41" s="18">
        <f>+Tabla119[[#This Row],[PRECIO INSTALLER (CON IVA)]]/0.7</f>
        <v>1167469.8795180724</v>
      </c>
      <c r="F41" s="18">
        <f>+Tabla119[[#This Row],[PRECIO INSTALLER (CON IVA)]]*5%</f>
        <v>40861.445783132534</v>
      </c>
      <c r="G41" s="17">
        <v>0.83</v>
      </c>
      <c r="H41" s="16">
        <f>Tabla119[[#This Row],[COSTO]]*1.19</f>
        <v>678300</v>
      </c>
      <c r="I41" s="15"/>
      <c r="J41" s="15"/>
      <c r="K41" s="14">
        <v>570000</v>
      </c>
    </row>
    <row r="42" spans="1:11" x14ac:dyDescent="0.2">
      <c r="A42" s="20" t="s">
        <v>87</v>
      </c>
      <c r="B42" s="19" t="s">
        <v>86</v>
      </c>
      <c r="C42" s="18">
        <f>+Tabla119[[#This Row],[COSTO +IVA]]/Tabla119[[#This Row],[Columna5]]</f>
        <v>691060.24096385541</v>
      </c>
      <c r="D42" s="18">
        <f>+Tabla119[[#This Row],[PRECIO INSTALLER (CON IVA)]]-Tabla119[[#This Row],[Columna2]]</f>
        <v>656507.22891566262</v>
      </c>
      <c r="E42" s="18">
        <f>+Tabla119[[#This Row],[PRECIO INSTALLER (CON IVA)]]/0.7</f>
        <v>987228.9156626506</v>
      </c>
      <c r="F42" s="18">
        <f>+Tabla119[[#This Row],[PRECIO INSTALLER (CON IVA)]]*5%</f>
        <v>34553.012048192773</v>
      </c>
      <c r="G42" s="17">
        <v>0.83</v>
      </c>
      <c r="H42" s="16">
        <f>Tabla119[[#This Row],[COSTO]]*1.19</f>
        <v>573580</v>
      </c>
      <c r="I42" s="17"/>
      <c r="J42" s="17"/>
      <c r="K42" s="14">
        <v>482000</v>
      </c>
    </row>
    <row r="43" spans="1:11" x14ac:dyDescent="0.2">
      <c r="A43" s="20" t="s">
        <v>85</v>
      </c>
      <c r="B43" s="19" t="s">
        <v>84</v>
      </c>
      <c r="C43" s="18">
        <f>+Tabla119[[#This Row],[COSTO +IVA]]/Tabla119[[#This Row],[Columna5]]</f>
        <v>629696.38554216875</v>
      </c>
      <c r="D43" s="18">
        <f>+Tabla119[[#This Row],[PRECIO INSTALLER (CON IVA)]]-Tabla119[[#This Row],[Columna2]]</f>
        <v>598211.56626506033</v>
      </c>
      <c r="E43" s="18">
        <f>+Tabla119[[#This Row],[PRECIO INSTALLER (CON IVA)]]/0.7</f>
        <v>899566.2650602411</v>
      </c>
      <c r="F43" s="18">
        <f>+Tabla119[[#This Row],[PRECIO INSTALLER (CON IVA)]]*5%</f>
        <v>31484.81927710844</v>
      </c>
      <c r="G43" s="17">
        <v>0.83</v>
      </c>
      <c r="H43" s="16">
        <f>Tabla119[[#This Row],[COSTO]]*1.19</f>
        <v>522648</v>
      </c>
      <c r="I43" s="17"/>
      <c r="J43" s="17"/>
      <c r="K43" s="14">
        <v>439200</v>
      </c>
    </row>
    <row r="44" spans="1:11" x14ac:dyDescent="0.2">
      <c r="A44" s="20" t="s">
        <v>83</v>
      </c>
      <c r="B44" s="19" t="s">
        <v>82</v>
      </c>
      <c r="C44" s="18">
        <f>+Tabla119[[#This Row],[COSTO +IVA]]/Tabla119[[#This Row],[Columna5]]</f>
        <v>577795.18072289159</v>
      </c>
      <c r="D44" s="18">
        <f>+Tabla119[[#This Row],[PRECIO INSTALLER (CON IVA)]]-Tabla119[[#This Row],[Columna2]]</f>
        <v>548905.42168674699</v>
      </c>
      <c r="E44" s="18">
        <f>+Tabla119[[#This Row],[PRECIO INSTALLER (CON IVA)]]/0.7</f>
        <v>825421.68674698798</v>
      </c>
      <c r="F44" s="18">
        <f>+Tabla119[[#This Row],[PRECIO INSTALLER (CON IVA)]]*5%</f>
        <v>28889.75903614458</v>
      </c>
      <c r="G44" s="17">
        <v>0.83</v>
      </c>
      <c r="H44" s="16">
        <f>Tabla119[[#This Row],[COSTO]]*1.19</f>
        <v>479570</v>
      </c>
      <c r="I44" s="15"/>
      <c r="J44" s="15"/>
      <c r="K44" s="14">
        <v>403000</v>
      </c>
    </row>
    <row r="45" spans="1:11" x14ac:dyDescent="0.2">
      <c r="A45" s="20" t="s">
        <v>81</v>
      </c>
      <c r="B45" s="19" t="s">
        <v>80</v>
      </c>
      <c r="C45" s="18">
        <f>+Tabla119[[#This Row],[COSTO +IVA]]/Tabla119[[#This Row],[Columna5]]</f>
        <v>572633.73493975902</v>
      </c>
      <c r="D45" s="18">
        <f>+Tabla119[[#This Row],[PRECIO INSTALLER (CON IVA)]]-Tabla119[[#This Row],[Columna2]]</f>
        <v>544002.04819277104</v>
      </c>
      <c r="E45" s="18">
        <f>+Tabla119[[#This Row],[PRECIO INSTALLER (CON IVA)]]/0.7</f>
        <v>818048.19277108437</v>
      </c>
      <c r="F45" s="18">
        <f>+Tabla119[[#This Row],[PRECIO INSTALLER (CON IVA)]]*5%</f>
        <v>28631.686746987951</v>
      </c>
      <c r="G45" s="17">
        <v>0.83</v>
      </c>
      <c r="H45" s="16">
        <f>Tabla119[[#This Row],[COSTO]]*1.19</f>
        <v>475286</v>
      </c>
      <c r="I45" s="15"/>
      <c r="J45" s="15"/>
      <c r="K45" s="14">
        <v>399400</v>
      </c>
    </row>
    <row r="46" spans="1:11" x14ac:dyDescent="0.2">
      <c r="A46" s="20" t="s">
        <v>79</v>
      </c>
      <c r="B46" s="19" t="s">
        <v>78</v>
      </c>
      <c r="C46" s="18">
        <f>+Tabla119[[#This Row],[COSTO +IVA]]/Tabla119[[#This Row],[Columna5]]</f>
        <v>559156.62650602416</v>
      </c>
      <c r="D46" s="18">
        <f>+Tabla119[[#This Row],[PRECIO INSTALLER (CON IVA)]]-Tabla119[[#This Row],[Columna2]]</f>
        <v>531198.79518072295</v>
      </c>
      <c r="E46" s="18">
        <f>+Tabla119[[#This Row],[PRECIO INSTALLER (CON IVA)]]/0.7</f>
        <v>798795.1807228917</v>
      </c>
      <c r="F46" s="18">
        <f>+Tabla119[[#This Row],[PRECIO INSTALLER (CON IVA)]]*5%</f>
        <v>27957.831325301209</v>
      </c>
      <c r="G46" s="17">
        <v>0.83</v>
      </c>
      <c r="H46" s="16">
        <f>Tabla119[[#This Row],[COSTO]]*1.19</f>
        <v>464100</v>
      </c>
      <c r="I46" s="15"/>
      <c r="J46" s="15"/>
      <c r="K46" s="14">
        <v>390000</v>
      </c>
    </row>
    <row r="47" spans="1:11" x14ac:dyDescent="0.2">
      <c r="A47" s="20" t="s">
        <v>77</v>
      </c>
      <c r="B47" s="19" t="s">
        <v>76</v>
      </c>
      <c r="C47" s="18">
        <f>+Tabla119[[#This Row],[COSTO +IVA]]/Tabla119[[#This Row],[Columna5]]</f>
        <v>601738.55421686755</v>
      </c>
      <c r="D47" s="18">
        <f>+Tabla119[[#This Row],[PRECIO INSTALLER (CON IVA)]]-Tabla119[[#This Row],[Columna2]]</f>
        <v>571651.62650602416</v>
      </c>
      <c r="E47" s="18">
        <f>+Tabla119[[#This Row],[PRECIO INSTALLER (CON IVA)]]/0.7</f>
        <v>859626.50602409651</v>
      </c>
      <c r="F47" s="18">
        <f>+Tabla119[[#This Row],[PRECIO INSTALLER (CON IVA)]]*5%</f>
        <v>30086.927710843378</v>
      </c>
      <c r="G47" s="17">
        <v>0.83</v>
      </c>
      <c r="H47" s="16">
        <f>Tabla119[[#This Row],[COSTO]]*1.19</f>
        <v>499443</v>
      </c>
      <c r="I47" s="15"/>
      <c r="J47" s="15"/>
      <c r="K47" s="14">
        <v>419700</v>
      </c>
    </row>
    <row r="48" spans="1:11" x14ac:dyDescent="0.2">
      <c r="A48" s="20" t="s">
        <v>75</v>
      </c>
      <c r="B48" s="19" t="s">
        <v>74</v>
      </c>
      <c r="C48" s="18">
        <f>+Tabla119[[#This Row],[COSTO +IVA]]/Tabla119[[#This Row],[Columna5]]</f>
        <v>584963.85542168678</v>
      </c>
      <c r="D48" s="18">
        <f>+Tabla119[[#This Row],[PRECIO INSTALLER (CON IVA)]]-Tabla119[[#This Row],[Columna2]]</f>
        <v>555715.6626506024</v>
      </c>
      <c r="E48" s="18">
        <f>+Tabla119[[#This Row],[PRECIO INSTALLER (CON IVA)]]/0.7</f>
        <v>835662.65060240973</v>
      </c>
      <c r="F48" s="18">
        <f>+Tabla119[[#This Row],[PRECIO INSTALLER (CON IVA)]]*5%</f>
        <v>29248.192771084341</v>
      </c>
      <c r="G48" s="17">
        <v>0.83</v>
      </c>
      <c r="H48" s="16">
        <f>Tabla119[[#This Row],[COSTO]]*1.19</f>
        <v>485520</v>
      </c>
      <c r="I48" s="15"/>
      <c r="J48" s="15"/>
      <c r="K48" s="14">
        <v>408000</v>
      </c>
    </row>
    <row r="49" spans="1:11" x14ac:dyDescent="0.2">
      <c r="A49" s="20" t="s">
        <v>73</v>
      </c>
      <c r="B49" s="19" t="s">
        <v>72</v>
      </c>
      <c r="C49" s="18">
        <f>+Tabla119[[#This Row],[COSTO +IVA]]/Tabla119[[#This Row],[Columna5]]</f>
        <v>433704.81927710847</v>
      </c>
      <c r="D49" s="18">
        <f>+Tabla119[[#This Row],[PRECIO INSTALLER (CON IVA)]]-Tabla119[[#This Row],[Columna2]]</f>
        <v>412019.57831325306</v>
      </c>
      <c r="E49" s="18">
        <f>+Tabla119[[#This Row],[PRECIO INSTALLER (CON IVA)]]/0.7</f>
        <v>619578.31325301214</v>
      </c>
      <c r="F49" s="18">
        <f>+Tabla119[[#This Row],[PRECIO INSTALLER (CON IVA)]]*5%</f>
        <v>21685.240963855424</v>
      </c>
      <c r="G49" s="17">
        <v>0.83</v>
      </c>
      <c r="H49" s="16">
        <f>Tabla119[[#This Row],[COSTO]]*1.19</f>
        <v>359975</v>
      </c>
      <c r="I49" s="15"/>
      <c r="J49" s="15"/>
      <c r="K49" s="14">
        <v>302500</v>
      </c>
    </row>
    <row r="50" spans="1:11" x14ac:dyDescent="0.2">
      <c r="A50" s="20" t="s">
        <v>71</v>
      </c>
      <c r="B50" s="19" t="s">
        <v>70</v>
      </c>
      <c r="C50" s="18">
        <f>+Tabla119[[#This Row],[COSTO +IVA]]/Tabla119[[#This Row],[Columna5]]</f>
        <v>412915.6626506024</v>
      </c>
      <c r="D50" s="18">
        <f>+Tabla119[[#This Row],[PRECIO INSTALLER (CON IVA)]]-Tabla119[[#This Row],[Columna2]]</f>
        <v>392269.8795180723</v>
      </c>
      <c r="E50" s="18">
        <f>+Tabla119[[#This Row],[PRECIO INSTALLER (CON IVA)]]/0.7</f>
        <v>589879.51807228918</v>
      </c>
      <c r="F50" s="18">
        <f>+Tabla119[[#This Row],[PRECIO INSTALLER (CON IVA)]]*5%</f>
        <v>20645.783132530123</v>
      </c>
      <c r="G50" s="17">
        <v>0.83</v>
      </c>
      <c r="H50" s="16">
        <f>Tabla119[[#This Row],[COSTO]]*1.19</f>
        <v>342720</v>
      </c>
      <c r="I50" s="15"/>
      <c r="J50" s="15"/>
      <c r="K50" s="14">
        <v>288000</v>
      </c>
    </row>
    <row r="51" spans="1:11" x14ac:dyDescent="0.2">
      <c r="A51" s="20" t="s">
        <v>69</v>
      </c>
      <c r="B51" s="19" t="s">
        <v>68</v>
      </c>
      <c r="C51" s="18">
        <f>+Tabla119[[#This Row],[COSTO +IVA]]/Tabla119[[#This Row],[Columna5]]</f>
        <v>384240.96385542169</v>
      </c>
      <c r="D51" s="18">
        <f>+Tabla119[[#This Row],[PRECIO INSTALLER (CON IVA)]]-Tabla119[[#This Row],[Columna2]]</f>
        <v>365028.9156626506</v>
      </c>
      <c r="E51" s="18">
        <f>+Tabla119[[#This Row],[PRECIO INSTALLER (CON IVA)]]/0.7</f>
        <v>548915.6626506024</v>
      </c>
      <c r="F51" s="18">
        <f>+Tabla119[[#This Row],[PRECIO INSTALLER (CON IVA)]]*5%</f>
        <v>19212.048192771086</v>
      </c>
      <c r="G51" s="17">
        <v>0.83</v>
      </c>
      <c r="H51" s="16">
        <f>Tabla119[[#This Row],[COSTO]]*1.19</f>
        <v>318920</v>
      </c>
      <c r="I51" s="15"/>
      <c r="J51" s="15"/>
      <c r="K51" s="14">
        <v>268000</v>
      </c>
    </row>
    <row r="52" spans="1:11" x14ac:dyDescent="0.2">
      <c r="A52" s="20" t="s">
        <v>67</v>
      </c>
      <c r="B52" s="19" t="s">
        <v>66</v>
      </c>
      <c r="C52" s="18">
        <f>+Tabla119[[#This Row],[COSTO +IVA]]/Tabla119[[#This Row],[Columna5]]</f>
        <v>342662.65060240967</v>
      </c>
      <c r="D52" s="18">
        <f>+Tabla119[[#This Row],[PRECIO INSTALLER (CON IVA)]]-Tabla119[[#This Row],[Columna2]]</f>
        <v>325529.51807228918</v>
      </c>
      <c r="E52" s="18">
        <f>+Tabla119[[#This Row],[PRECIO INSTALLER (CON IVA)]]/0.7</f>
        <v>489518.07228915673</v>
      </c>
      <c r="F52" s="18">
        <f>+Tabla119[[#This Row],[PRECIO INSTALLER (CON IVA)]]*5%</f>
        <v>17133.132530120485</v>
      </c>
      <c r="G52" s="17">
        <v>0.83</v>
      </c>
      <c r="H52" s="16">
        <f>Tabla119[[#This Row],[COSTO]]*1.19</f>
        <v>284410</v>
      </c>
      <c r="I52" s="15"/>
      <c r="J52" s="15"/>
      <c r="K52" s="14">
        <v>239000</v>
      </c>
    </row>
    <row r="53" spans="1:11" x14ac:dyDescent="0.2">
      <c r="A53" s="20" t="s">
        <v>65</v>
      </c>
      <c r="B53" s="19" t="s">
        <v>64</v>
      </c>
      <c r="C53" s="18">
        <f>+Tabla119[[#This Row],[COSTO +IVA]]/Tabla119[[#This Row],[Columna5]]</f>
        <v>315421.68674698798</v>
      </c>
      <c r="D53" s="18">
        <f>+Tabla119[[#This Row],[PRECIO INSTALLER (CON IVA)]]-Tabla119[[#This Row],[Columna2]]</f>
        <v>299650.60240963858</v>
      </c>
      <c r="E53" s="18">
        <f>+Tabla119[[#This Row],[PRECIO INSTALLER (CON IVA)]]/0.7</f>
        <v>450602.40963855427</v>
      </c>
      <c r="F53" s="18">
        <f>+Tabla119[[#This Row],[PRECIO INSTALLER (CON IVA)]]*5%</f>
        <v>15771.084337349399</v>
      </c>
      <c r="G53" s="17">
        <v>0.83</v>
      </c>
      <c r="H53" s="16">
        <f>Tabla119[[#This Row],[COSTO]]*1.19</f>
        <v>261800</v>
      </c>
      <c r="I53" s="15"/>
      <c r="J53" s="15"/>
      <c r="K53" s="14">
        <v>220000</v>
      </c>
    </row>
    <row r="54" spans="1:11" x14ac:dyDescent="0.2">
      <c r="A54" s="20" t="s">
        <v>63</v>
      </c>
      <c r="B54" s="19" t="s">
        <v>62</v>
      </c>
      <c r="C54" s="18">
        <f>+Tabla119[[#This Row],[COSTO +IVA]]/Tabla119[[#This Row],[Columna5]]</f>
        <v>312554.21686746989</v>
      </c>
      <c r="D54" s="18">
        <f>+Tabla119[[#This Row],[PRECIO INSTALLER (CON IVA)]]-Tabla119[[#This Row],[Columna2]]</f>
        <v>296926.50602409639</v>
      </c>
      <c r="E54" s="18">
        <f>+Tabla119[[#This Row],[PRECIO INSTALLER (CON IVA)]]/0.7</f>
        <v>446506.02409638558</v>
      </c>
      <c r="F54" s="18">
        <f>+Tabla119[[#This Row],[PRECIO INSTALLER (CON IVA)]]*5%</f>
        <v>15627.710843373496</v>
      </c>
      <c r="G54" s="17">
        <v>0.83</v>
      </c>
      <c r="H54" s="16">
        <f>Tabla119[[#This Row],[COSTO]]*1.19</f>
        <v>259420</v>
      </c>
      <c r="I54" s="15"/>
      <c r="J54" s="15"/>
      <c r="K54" s="14">
        <v>218000</v>
      </c>
    </row>
    <row r="55" spans="1:11" x14ac:dyDescent="0.2">
      <c r="A55" s="20" t="s">
        <v>61</v>
      </c>
      <c r="B55" s="19" t="s">
        <v>60</v>
      </c>
      <c r="C55" s="18">
        <f>+Tabla119[[#This Row],[COSTO +IVA]]/Tabla119[[#This Row],[Columna5]]</f>
        <v>281012.04819277109</v>
      </c>
      <c r="D55" s="18">
        <f>+Tabla119[[#This Row],[PRECIO INSTALLER (CON IVA)]]-Tabla119[[#This Row],[Columna2]]</f>
        <v>266961.44578313251</v>
      </c>
      <c r="E55" s="18">
        <f>+Tabla119[[#This Row],[PRECIO INSTALLER (CON IVA)]]/0.7</f>
        <v>401445.78313253017</v>
      </c>
      <c r="F55" s="18">
        <f>+Tabla119[[#This Row],[PRECIO INSTALLER (CON IVA)]]*5%</f>
        <v>14050.602409638555</v>
      </c>
      <c r="G55" s="17">
        <v>0.83</v>
      </c>
      <c r="H55" s="16">
        <f>Tabla119[[#This Row],[COSTO]]*1.19</f>
        <v>233240</v>
      </c>
      <c r="I55" s="15"/>
      <c r="J55" s="15"/>
      <c r="K55" s="14">
        <v>196000</v>
      </c>
    </row>
    <row r="56" spans="1:11" x14ac:dyDescent="0.2">
      <c r="A56" s="20" t="s">
        <v>59</v>
      </c>
      <c r="B56" s="19" t="s">
        <v>58</v>
      </c>
      <c r="C56" s="18">
        <f>+Tabla119[[#This Row],[COSTO +IVA]]/Tabla119[[#This Row],[Columna5]]</f>
        <v>233698.7951807229</v>
      </c>
      <c r="D56" s="18">
        <f>+Tabla119[[#This Row],[PRECIO INSTALLER (CON IVA)]]-Tabla119[[#This Row],[Columna2]]</f>
        <v>222013.85542168675</v>
      </c>
      <c r="E56" s="18">
        <f>+Tabla119[[#This Row],[PRECIO INSTALLER (CON IVA)]]/0.7</f>
        <v>333855.42168674699</v>
      </c>
      <c r="F56" s="18">
        <f>+Tabla119[[#This Row],[PRECIO INSTALLER (CON IVA)]]*5%</f>
        <v>11684.939759036146</v>
      </c>
      <c r="G56" s="17">
        <v>0.83</v>
      </c>
      <c r="H56" s="16">
        <f>Tabla119[[#This Row],[COSTO]]*1.19</f>
        <v>193970</v>
      </c>
      <c r="I56" s="15"/>
      <c r="J56" s="15"/>
      <c r="K56" s="14">
        <v>163000</v>
      </c>
    </row>
    <row r="57" spans="1:11" x14ac:dyDescent="0.2">
      <c r="A57" s="20" t="s">
        <v>57</v>
      </c>
      <c r="B57" s="19" t="s">
        <v>56</v>
      </c>
      <c r="C57" s="18">
        <f>+Tabla119[[#This Row],[COSTO +IVA]]/Tabla119[[#This Row],[Columna5]]</f>
        <v>233698.7951807229</v>
      </c>
      <c r="D57" s="18">
        <f>+Tabla119[[#This Row],[PRECIO INSTALLER (CON IVA)]]-Tabla119[[#This Row],[Columna2]]</f>
        <v>222013.85542168675</v>
      </c>
      <c r="E57" s="18">
        <f>+Tabla119[[#This Row],[PRECIO INSTALLER (CON IVA)]]/0.7</f>
        <v>333855.42168674699</v>
      </c>
      <c r="F57" s="18">
        <f>+Tabla119[[#This Row],[PRECIO INSTALLER (CON IVA)]]*5%</f>
        <v>11684.939759036146</v>
      </c>
      <c r="G57" s="17">
        <v>0.83</v>
      </c>
      <c r="H57" s="16">
        <f>Tabla119[[#This Row],[COSTO]]*1.19</f>
        <v>193970</v>
      </c>
      <c r="I57" s="15"/>
      <c r="J57" s="15"/>
      <c r="K57" s="14">
        <v>163000</v>
      </c>
    </row>
    <row r="58" spans="1:11" x14ac:dyDescent="0.2">
      <c r="A58" s="20" t="s">
        <v>55</v>
      </c>
      <c r="B58" s="19" t="s">
        <v>54</v>
      </c>
      <c r="C58" s="18">
        <f>+Tabla119[[#This Row],[COSTO +IVA]]/Tabla119[[#This Row],[Columna5]]</f>
        <v>212192.77108433735</v>
      </c>
      <c r="D58" s="18">
        <f>+Tabla119[[#This Row],[PRECIO INSTALLER (CON IVA)]]-Tabla119[[#This Row],[Columna2]]</f>
        <v>201583.13253012049</v>
      </c>
      <c r="E58" s="18">
        <f>+Tabla119[[#This Row],[PRECIO INSTALLER (CON IVA)]]/0.7</f>
        <v>303132.53012048197</v>
      </c>
      <c r="F58" s="18">
        <f>+Tabla119[[#This Row],[PRECIO INSTALLER (CON IVA)]]*5%</f>
        <v>10609.638554216868</v>
      </c>
      <c r="G58" s="17">
        <v>0.83</v>
      </c>
      <c r="H58" s="16">
        <f>Tabla119[[#This Row],[COSTO]]*1.19</f>
        <v>176120</v>
      </c>
      <c r="I58" s="15"/>
      <c r="J58" s="15"/>
      <c r="K58" s="14">
        <v>148000</v>
      </c>
    </row>
    <row r="59" spans="1:11" x14ac:dyDescent="0.2">
      <c r="A59" s="20" t="s">
        <v>53</v>
      </c>
      <c r="B59" s="19" t="s">
        <v>52</v>
      </c>
      <c r="C59" s="18">
        <f>+Tabla119[[#This Row],[COSTO +IVA]]/Tabla119[[#This Row],[Columna5]]</f>
        <v>130469.8795180723</v>
      </c>
      <c r="D59" s="18">
        <f>+Tabla119[[#This Row],[PRECIO INSTALLER (CON IVA)]]-Tabla119[[#This Row],[Columna2]]</f>
        <v>123946.38554216867</v>
      </c>
      <c r="E59" s="18">
        <f>+Tabla119[[#This Row],[PRECIO INSTALLER (CON IVA)]]/0.7</f>
        <v>186385.54216867473</v>
      </c>
      <c r="F59" s="18">
        <f>+Tabla119[[#This Row],[PRECIO INSTALLER (CON IVA)]]*5%</f>
        <v>6523.4939759036151</v>
      </c>
      <c r="G59" s="17">
        <v>0.83</v>
      </c>
      <c r="H59" s="16">
        <f>Tabla119[[#This Row],[COSTO]]*1.19</f>
        <v>108290</v>
      </c>
      <c r="I59" s="15"/>
      <c r="J59" s="15"/>
      <c r="K59" s="14">
        <v>91000</v>
      </c>
    </row>
    <row r="60" spans="1:11" x14ac:dyDescent="0.2">
      <c r="A60" s="20" t="s">
        <v>51</v>
      </c>
      <c r="B60" s="19" t="s">
        <v>50</v>
      </c>
      <c r="C60" s="18">
        <f>+Tabla119[[#This Row],[COSTO +IVA]]/Tabla119[[#This Row],[Columna5]]</f>
        <v>121867.46987951807</v>
      </c>
      <c r="D60" s="18">
        <f>+Tabla119[[#This Row],[PRECIO INSTALLER (CON IVA)]]-Tabla119[[#This Row],[Columna2]]</f>
        <v>115774.09638554217</v>
      </c>
      <c r="E60" s="18">
        <f>+Tabla119[[#This Row],[PRECIO INSTALLER (CON IVA)]]/0.7</f>
        <v>174096.38554216869</v>
      </c>
      <c r="F60" s="18">
        <f>+Tabla119[[#This Row],[PRECIO INSTALLER (CON IVA)]]*5%</f>
        <v>6093.3734939759042</v>
      </c>
      <c r="G60" s="17">
        <v>0.83</v>
      </c>
      <c r="H60" s="16">
        <f>Tabla119[[#This Row],[COSTO]]*1.19</f>
        <v>101150</v>
      </c>
      <c r="I60" s="15"/>
      <c r="J60" s="15"/>
      <c r="K60" s="14">
        <v>85000</v>
      </c>
    </row>
    <row r="61" spans="1:11" x14ac:dyDescent="0.2">
      <c r="A61" s="20" t="s">
        <v>49</v>
      </c>
      <c r="B61" s="19" t="s">
        <v>48</v>
      </c>
      <c r="C61" s="18">
        <f>+Tabla119[[#This Row],[COSTO +IVA]]/Tabla119[[#This Row],[Columna5]]</f>
        <v>104519.27710843374</v>
      </c>
      <c r="D61" s="18">
        <f>+Tabla119[[#This Row],[PRECIO INSTALLER (CON IVA)]]-Tabla119[[#This Row],[Columna2]]</f>
        <v>99293.313253012049</v>
      </c>
      <c r="E61" s="18">
        <f>+Tabla119[[#This Row],[PRECIO INSTALLER (CON IVA)]]/0.7</f>
        <v>149313.25301204823</v>
      </c>
      <c r="F61" s="18">
        <f>+Tabla119[[#This Row],[PRECIO INSTALLER (CON IVA)]]*5%</f>
        <v>5225.9638554216872</v>
      </c>
      <c r="G61" s="17">
        <v>0.83</v>
      </c>
      <c r="H61" s="16">
        <f>Tabla119[[#This Row],[COSTO]]*1.19</f>
        <v>86751</v>
      </c>
      <c r="I61" s="17"/>
      <c r="J61" s="17"/>
      <c r="K61" s="14">
        <v>72900</v>
      </c>
    </row>
    <row r="62" spans="1:11" x14ac:dyDescent="0.2">
      <c r="A62" s="20" t="s">
        <v>47</v>
      </c>
      <c r="B62" s="19" t="s">
        <v>46</v>
      </c>
      <c r="C62" s="18">
        <f>+Tabla119[[#This Row],[COSTO +IVA]]/Tabla119[[#This Row],[Columna5]]</f>
        <v>88604.819277108443</v>
      </c>
      <c r="D62" s="18">
        <f>+Tabla119[[#This Row],[PRECIO INSTALLER (CON IVA)]]-Tabla119[[#This Row],[Columna2]]</f>
        <v>84174.57831325302</v>
      </c>
      <c r="E62" s="18">
        <f>+Tabla119[[#This Row],[PRECIO INSTALLER (CON IVA)]]/0.7</f>
        <v>126578.31325301206</v>
      </c>
      <c r="F62" s="18">
        <f>+Tabla119[[#This Row],[PRECIO INSTALLER (CON IVA)]]*5%</f>
        <v>4430.2409638554227</v>
      </c>
      <c r="G62" s="17">
        <v>0.83</v>
      </c>
      <c r="H62" s="16">
        <f>Tabla119[[#This Row],[COSTO]]*1.19</f>
        <v>73542</v>
      </c>
      <c r="I62" s="15"/>
      <c r="J62" s="15"/>
      <c r="K62" s="14">
        <v>61800</v>
      </c>
    </row>
    <row r="63" spans="1:11" x14ac:dyDescent="0.2">
      <c r="A63" s="20" t="s">
        <v>45</v>
      </c>
      <c r="B63" s="19" t="s">
        <v>44</v>
      </c>
      <c r="C63" s="18">
        <f>+Tabla119[[#This Row],[COSTO +IVA]]/Tabla119[[#This Row],[Columna5]]</f>
        <v>85593.975903614468</v>
      </c>
      <c r="D63" s="18">
        <f>+Tabla119[[#This Row],[PRECIO INSTALLER (CON IVA)]]-Tabla119[[#This Row],[Columna2]]</f>
        <v>81314.277108433744</v>
      </c>
      <c r="E63" s="18">
        <f>+Tabla119[[#This Row],[PRECIO INSTALLER (CON IVA)]]/0.7</f>
        <v>122277.10843373496</v>
      </c>
      <c r="F63" s="18">
        <f>+Tabla119[[#This Row],[PRECIO INSTALLER (CON IVA)]]*5%</f>
        <v>4279.6987951807232</v>
      </c>
      <c r="G63" s="17">
        <v>0.83</v>
      </c>
      <c r="H63" s="16">
        <f>Tabla119[[#This Row],[COSTO]]*1.19</f>
        <v>71043</v>
      </c>
      <c r="I63" s="15"/>
      <c r="J63" s="15"/>
      <c r="K63" s="14">
        <v>59700</v>
      </c>
    </row>
    <row r="64" spans="1:11" x14ac:dyDescent="0.2">
      <c r="A64" s="20" t="s">
        <v>43</v>
      </c>
      <c r="B64" s="19" t="s">
        <v>42</v>
      </c>
      <c r="C64" s="18">
        <f>+Tabla119[[#This Row],[COSTO +IVA]]/Tabla119[[#This Row],[Columna5]]</f>
        <v>90038.554216867473</v>
      </c>
      <c r="D64" s="18">
        <f>+Tabla119[[#This Row],[PRECIO INSTALLER (CON IVA)]]-Tabla119[[#This Row],[Columna2]]</f>
        <v>85536.626506024098</v>
      </c>
      <c r="E64" s="18">
        <f>+Tabla119[[#This Row],[PRECIO INSTALLER (CON IVA)]]/0.7</f>
        <v>128626.50602409639</v>
      </c>
      <c r="F64" s="18">
        <f>+Tabla119[[#This Row],[PRECIO INSTALLER (CON IVA)]]*5%</f>
        <v>4501.9277108433735</v>
      </c>
      <c r="G64" s="17">
        <v>0.83</v>
      </c>
      <c r="H64" s="16">
        <f>Tabla119[[#This Row],[COSTO]]*1.19</f>
        <v>74732</v>
      </c>
      <c r="I64" s="15"/>
      <c r="J64" s="15"/>
      <c r="K64" s="14">
        <v>62800</v>
      </c>
    </row>
    <row r="65" spans="1:11" x14ac:dyDescent="0.2">
      <c r="A65" s="20" t="s">
        <v>41</v>
      </c>
      <c r="B65" s="19" t="s">
        <v>40</v>
      </c>
      <c r="C65" s="18">
        <f>+Tabla119[[#This Row],[COSTO +IVA]]/Tabla119[[#This Row],[Columna5]]</f>
        <v>79285.542168674699</v>
      </c>
      <c r="D65" s="18">
        <f>+Tabla119[[#This Row],[PRECIO INSTALLER (CON IVA)]]-Tabla119[[#This Row],[Columna2]]</f>
        <v>75321.26506024097</v>
      </c>
      <c r="E65" s="18">
        <f>+Tabla119[[#This Row],[PRECIO INSTALLER (CON IVA)]]/0.7</f>
        <v>113265.06024096387</v>
      </c>
      <c r="F65" s="18">
        <f>+Tabla119[[#This Row],[PRECIO INSTALLER (CON IVA)]]*5%</f>
        <v>3964.2771084337351</v>
      </c>
      <c r="G65" s="17">
        <v>0.83</v>
      </c>
      <c r="H65" s="16">
        <f>Tabla119[[#This Row],[COSTO]]*1.19</f>
        <v>65807</v>
      </c>
      <c r="I65" s="15"/>
      <c r="J65" s="15"/>
      <c r="K65" s="14">
        <v>55300</v>
      </c>
    </row>
    <row r="66" spans="1:11" x14ac:dyDescent="0.2">
      <c r="A66" s="20" t="s">
        <v>39</v>
      </c>
      <c r="B66" s="19" t="s">
        <v>38</v>
      </c>
      <c r="C66" s="18">
        <f>+Tabla119[[#This Row],[COSTO +IVA]]/Tabla119[[#This Row],[Columna5]]</f>
        <v>83156.626506024098</v>
      </c>
      <c r="D66" s="18">
        <f>+Tabla119[[#This Row],[PRECIO INSTALLER (CON IVA)]]-Tabla119[[#This Row],[Columna2]]</f>
        <v>78998.795180722896</v>
      </c>
      <c r="E66" s="18">
        <f>+Tabla119[[#This Row],[PRECIO INSTALLER (CON IVA)]]/0.7</f>
        <v>118795.18072289157</v>
      </c>
      <c r="F66" s="18">
        <f>+Tabla119[[#This Row],[PRECIO INSTALLER (CON IVA)]]*5%</f>
        <v>4157.8313253012047</v>
      </c>
      <c r="G66" s="17">
        <v>0.83</v>
      </c>
      <c r="H66" s="16">
        <f>Tabla119[[#This Row],[COSTO]]*1.19</f>
        <v>69020</v>
      </c>
      <c r="I66" s="15"/>
      <c r="J66" s="15"/>
      <c r="K66" s="14">
        <v>58000</v>
      </c>
    </row>
    <row r="67" spans="1:11" x14ac:dyDescent="0.2">
      <c r="A67" s="20" t="s">
        <v>37</v>
      </c>
      <c r="B67" s="19" t="s">
        <v>36</v>
      </c>
      <c r="C67" s="18">
        <f>+Tabla119[[#This Row],[COSTO +IVA]]/Tabla119[[#This Row],[Columna5]]</f>
        <v>82009.638554216872</v>
      </c>
      <c r="D67" s="18">
        <f>+Tabla119[[#This Row],[PRECIO INSTALLER (CON IVA)]]-Tabla119[[#This Row],[Columna2]]</f>
        <v>77909.156626506025</v>
      </c>
      <c r="E67" s="18">
        <f>+Tabla119[[#This Row],[PRECIO INSTALLER (CON IVA)]]/0.7</f>
        <v>117156.62650602411</v>
      </c>
      <c r="F67" s="18">
        <f>+Tabla119[[#This Row],[PRECIO INSTALLER (CON IVA)]]*5%</f>
        <v>4100.4819277108436</v>
      </c>
      <c r="G67" s="17">
        <v>0.83</v>
      </c>
      <c r="H67" s="16">
        <f>Tabla119[[#This Row],[COSTO]]*1.19</f>
        <v>68068</v>
      </c>
      <c r="I67" s="15"/>
      <c r="J67" s="15"/>
      <c r="K67" s="14">
        <v>57200</v>
      </c>
    </row>
    <row r="68" spans="1:11" x14ac:dyDescent="0.2">
      <c r="A68" s="20" t="s">
        <v>35</v>
      </c>
      <c r="B68" s="19" t="s">
        <v>34</v>
      </c>
      <c r="C68" s="18">
        <f>+Tabla119[[#This Row],[COSTO +IVA]]/Tabla119[[#This Row],[Columna5]]</f>
        <v>79572.289156626517</v>
      </c>
      <c r="D68" s="18">
        <f>+Tabla119[[#This Row],[PRECIO INSTALLER (CON IVA)]]-Tabla119[[#This Row],[Columna2]]</f>
        <v>75593.674698795192</v>
      </c>
      <c r="E68" s="18">
        <f>+Tabla119[[#This Row],[PRECIO INSTALLER (CON IVA)]]/0.7</f>
        <v>113674.69879518074</v>
      </c>
      <c r="F68" s="18">
        <f>+Tabla119[[#This Row],[PRECIO INSTALLER (CON IVA)]]*5%</f>
        <v>3978.614457831326</v>
      </c>
      <c r="G68" s="17">
        <v>0.83</v>
      </c>
      <c r="H68" s="16">
        <f>Tabla119[[#This Row],[COSTO]]*1.19</f>
        <v>66045</v>
      </c>
      <c r="I68" s="15"/>
      <c r="J68" s="15"/>
      <c r="K68" s="14">
        <v>55500</v>
      </c>
    </row>
    <row r="69" spans="1:11" x14ac:dyDescent="0.2">
      <c r="A69" s="20" t="s">
        <v>33</v>
      </c>
      <c r="B69" s="19" t="s">
        <v>32</v>
      </c>
      <c r="C69" s="18">
        <f>+Tabla119[[#This Row],[COSTO +IVA]]/Tabla119[[#This Row],[Columna5]]</f>
        <v>71686.746987951818</v>
      </c>
      <c r="D69" s="18">
        <f>+Tabla119[[#This Row],[PRECIO INSTALLER (CON IVA)]]-Tabla119[[#This Row],[Columna2]]</f>
        <v>68102.409638554222</v>
      </c>
      <c r="E69" s="18">
        <f>+Tabla119[[#This Row],[PRECIO INSTALLER (CON IVA)]]/0.7</f>
        <v>102409.63855421689</v>
      </c>
      <c r="F69" s="18">
        <f>+Tabla119[[#This Row],[PRECIO INSTALLER (CON IVA)]]*5%</f>
        <v>3584.337349397591</v>
      </c>
      <c r="G69" s="17">
        <v>0.83</v>
      </c>
      <c r="H69" s="16">
        <f>Tabla119[[#This Row],[COSTO]]*1.19</f>
        <v>59500</v>
      </c>
      <c r="I69" s="15"/>
      <c r="J69" s="15"/>
      <c r="K69" s="14">
        <v>50000</v>
      </c>
    </row>
    <row r="70" spans="1:11" x14ac:dyDescent="0.2">
      <c r="A70" s="20" t="s">
        <v>31</v>
      </c>
      <c r="B70" s="19" t="s">
        <v>30</v>
      </c>
      <c r="C70" s="18">
        <f>+Tabla119[[#This Row],[COSTO +IVA]]/Tabla119[[#This Row],[Columna5]]</f>
        <v>67528.915662650601</v>
      </c>
      <c r="D70" s="18">
        <f>+Tabla119[[#This Row],[PRECIO INSTALLER (CON IVA)]]-Tabla119[[#This Row],[Columna2]]</f>
        <v>64152.469879518074</v>
      </c>
      <c r="E70" s="18">
        <f>+Tabla119[[#This Row],[PRECIO INSTALLER (CON IVA)]]/0.7</f>
        <v>96469.879518072295</v>
      </c>
      <c r="F70" s="18">
        <f>+Tabla119[[#This Row],[PRECIO INSTALLER (CON IVA)]]*5%</f>
        <v>3376.4457831325303</v>
      </c>
      <c r="G70" s="17">
        <v>0.83</v>
      </c>
      <c r="H70" s="16">
        <f>Tabla119[[#This Row],[COSTO]]*1.19</f>
        <v>56049</v>
      </c>
      <c r="I70" s="15"/>
      <c r="J70" s="15"/>
      <c r="K70" s="14">
        <v>47100</v>
      </c>
    </row>
    <row r="71" spans="1:11" x14ac:dyDescent="0.2">
      <c r="A71" s="20" t="s">
        <v>29</v>
      </c>
      <c r="B71" s="19" t="s">
        <v>28</v>
      </c>
      <c r="C71" s="18">
        <f>+Tabla119[[#This Row],[COSTO +IVA]]/Tabla119[[#This Row],[Columna5]]</f>
        <v>56202.409638554222</v>
      </c>
      <c r="D71" s="18">
        <f>+Tabla119[[#This Row],[PRECIO INSTALLER (CON IVA)]]-Tabla119[[#This Row],[Columna2]]</f>
        <v>53392.28915662651</v>
      </c>
      <c r="E71" s="18">
        <f>+Tabla119[[#This Row],[PRECIO INSTALLER (CON IVA)]]/0.7</f>
        <v>80289.156626506039</v>
      </c>
      <c r="F71" s="18">
        <f>+Tabla119[[#This Row],[PRECIO INSTALLER (CON IVA)]]*5%</f>
        <v>2810.1204819277114</v>
      </c>
      <c r="G71" s="17">
        <v>0.83</v>
      </c>
      <c r="H71" s="16">
        <f>Tabla119[[#This Row],[COSTO]]*1.19</f>
        <v>46648</v>
      </c>
      <c r="I71" s="15"/>
      <c r="J71" s="15"/>
      <c r="K71" s="14">
        <v>39200</v>
      </c>
    </row>
    <row r="72" spans="1:11" x14ac:dyDescent="0.2">
      <c r="A72" s="20" t="s">
        <v>27</v>
      </c>
      <c r="B72" s="19" t="s">
        <v>26</v>
      </c>
      <c r="C72" s="18">
        <f>+Tabla119[[#This Row],[COSTO +IVA]]/Tabla119[[#This Row],[Columna5]]</f>
        <v>56489.156626506025</v>
      </c>
      <c r="D72" s="18">
        <f>+Tabla119[[#This Row],[PRECIO INSTALLER (CON IVA)]]-Tabla119[[#This Row],[Columna2]]</f>
        <v>53664.698795180724</v>
      </c>
      <c r="E72" s="18">
        <f>+Tabla119[[#This Row],[PRECIO INSTALLER (CON IVA)]]/0.7</f>
        <v>80698.795180722896</v>
      </c>
      <c r="F72" s="18">
        <f>+Tabla119[[#This Row],[PRECIO INSTALLER (CON IVA)]]*5%</f>
        <v>2824.4578313253014</v>
      </c>
      <c r="G72" s="17">
        <v>0.83</v>
      </c>
      <c r="H72" s="16">
        <f>Tabla119[[#This Row],[COSTO]]*1.19</f>
        <v>46886</v>
      </c>
      <c r="I72" s="15"/>
      <c r="J72" s="15"/>
      <c r="K72" s="14">
        <v>39400</v>
      </c>
    </row>
    <row r="73" spans="1:11" x14ac:dyDescent="0.2">
      <c r="A73" s="20" t="s">
        <v>25</v>
      </c>
      <c r="B73" s="19" t="s">
        <v>24</v>
      </c>
      <c r="C73" s="18">
        <f>+Tabla119[[#This Row],[COSTO +IVA]]/Tabla119[[#This Row],[Columna5]]</f>
        <v>54338.554216867473</v>
      </c>
      <c r="D73" s="18">
        <f>+Tabla119[[#This Row],[PRECIO INSTALLER (CON IVA)]]-Tabla119[[#This Row],[Columna2]]</f>
        <v>51621.626506024098</v>
      </c>
      <c r="E73" s="18">
        <f>+Tabla119[[#This Row],[PRECIO INSTALLER (CON IVA)]]/0.7</f>
        <v>77626.506024096394</v>
      </c>
      <c r="F73" s="18">
        <f>+Tabla119[[#This Row],[PRECIO INSTALLER (CON IVA)]]*5%</f>
        <v>2716.9277108433739</v>
      </c>
      <c r="G73" s="17">
        <v>0.83</v>
      </c>
      <c r="H73" s="16">
        <f>Tabla119[[#This Row],[COSTO]]*1.19</f>
        <v>45101</v>
      </c>
      <c r="I73" s="15"/>
      <c r="J73" s="15"/>
      <c r="K73" s="14">
        <v>37900</v>
      </c>
    </row>
    <row r="74" spans="1:11" x14ac:dyDescent="0.2">
      <c r="A74" s="20" t="s">
        <v>23</v>
      </c>
      <c r="B74" s="19" t="s">
        <v>22</v>
      </c>
      <c r="C74" s="18">
        <f>+Tabla119[[#This Row],[COSTO +IVA]]/Tabla119[[#This Row],[Columna5]]</f>
        <v>44015.662650602411</v>
      </c>
      <c r="D74" s="18">
        <f>+Tabla119[[#This Row],[PRECIO INSTALLER (CON IVA)]]-Tabla119[[#This Row],[Columna2]]</f>
        <v>41814.879518072288</v>
      </c>
      <c r="E74" s="18">
        <f>+Tabla119[[#This Row],[PRECIO INSTALLER (CON IVA)]]/0.7</f>
        <v>62879.51807228916</v>
      </c>
      <c r="F74" s="18">
        <f>+Tabla119[[#This Row],[PRECIO INSTALLER (CON IVA)]]*5%</f>
        <v>2200.7831325301208</v>
      </c>
      <c r="G74" s="17">
        <v>0.83</v>
      </c>
      <c r="H74" s="16">
        <f>Tabla119[[#This Row],[COSTO]]*1.19</f>
        <v>36533</v>
      </c>
      <c r="I74" s="15"/>
      <c r="J74" s="15"/>
      <c r="K74" s="14">
        <v>30700</v>
      </c>
    </row>
    <row r="75" spans="1:11" x14ac:dyDescent="0.2">
      <c r="A75" s="20" t="s">
        <v>21</v>
      </c>
      <c r="B75" s="19" t="s">
        <v>20</v>
      </c>
      <c r="C75" s="18">
        <f>+Tabla119[[#This Row],[COSTO +IVA]]/Tabla119[[#This Row],[Columna5]]</f>
        <v>43298.795180722896</v>
      </c>
      <c r="D75" s="18">
        <f>+Tabla119[[#This Row],[PRECIO INSTALLER (CON IVA)]]-Tabla119[[#This Row],[Columna2]]</f>
        <v>41133.855421686749</v>
      </c>
      <c r="E75" s="18">
        <f>+Tabla119[[#This Row],[PRECIO INSTALLER (CON IVA)]]/0.7</f>
        <v>61855.421686747002</v>
      </c>
      <c r="F75" s="18">
        <f>+Tabla119[[#This Row],[PRECIO INSTALLER (CON IVA)]]*5%</f>
        <v>2164.939759036145</v>
      </c>
      <c r="G75" s="17">
        <v>0.83</v>
      </c>
      <c r="H75" s="16">
        <f>Tabla119[[#This Row],[COSTO]]*1.19</f>
        <v>35938</v>
      </c>
      <c r="I75" s="15"/>
      <c r="J75" s="15"/>
      <c r="K75" s="14">
        <v>30200</v>
      </c>
    </row>
    <row r="76" spans="1:11" x14ac:dyDescent="0.2">
      <c r="A76" s="20" t="s">
        <v>19</v>
      </c>
      <c r="B76" s="19" t="s">
        <v>18</v>
      </c>
      <c r="C76" s="18">
        <f>+Tabla119[[#This Row],[COSTO +IVA]]/Tabla119[[#This Row],[Columna5]]</f>
        <v>36130.120481927712</v>
      </c>
      <c r="D76" s="18">
        <f>+Tabla119[[#This Row],[PRECIO INSTALLER (CON IVA)]]-Tabla119[[#This Row],[Columna2]]</f>
        <v>34323.614457831325</v>
      </c>
      <c r="E76" s="18">
        <f>+Tabla119[[#This Row],[PRECIO INSTALLER (CON IVA)]]/0.7</f>
        <v>51614.457831325308</v>
      </c>
      <c r="F76" s="18">
        <f>+Tabla119[[#This Row],[PRECIO INSTALLER (CON IVA)]]*5%</f>
        <v>1806.5060240963858</v>
      </c>
      <c r="G76" s="17">
        <v>0.83</v>
      </c>
      <c r="H76" s="16">
        <f>Tabla119[[#This Row],[COSTO]]*1.19</f>
        <v>29988</v>
      </c>
      <c r="I76" s="15"/>
      <c r="J76" s="15"/>
      <c r="K76" s="14">
        <v>25200</v>
      </c>
    </row>
    <row r="77" spans="1:11" x14ac:dyDescent="0.2">
      <c r="A77" s="20" t="s">
        <v>17</v>
      </c>
      <c r="B77" s="19" t="s">
        <v>16</v>
      </c>
      <c r="C77" s="18">
        <f>+Tabla119[[#This Row],[COSTO +IVA]]/Tabla119[[#This Row],[Columna5]]</f>
        <v>15627.710843373494</v>
      </c>
      <c r="D77" s="18">
        <f>+Tabla119[[#This Row],[PRECIO INSTALLER (CON IVA)]]-Tabla119[[#This Row],[Columna2]]</f>
        <v>14846.325301204819</v>
      </c>
      <c r="E77" s="18">
        <f>+Tabla119[[#This Row],[PRECIO INSTALLER (CON IVA)]]/0.7</f>
        <v>22325.30120481928</v>
      </c>
      <c r="F77" s="18">
        <f>+Tabla119[[#This Row],[PRECIO INSTALLER (CON IVA)]]*5%</f>
        <v>781.38554216867476</v>
      </c>
      <c r="G77" s="17">
        <v>0.83</v>
      </c>
      <c r="H77" s="16">
        <f>Tabla119[[#This Row],[COSTO]]*1.19</f>
        <v>12971</v>
      </c>
      <c r="I77" s="15"/>
      <c r="J77" s="15"/>
      <c r="K77" s="14">
        <v>10900</v>
      </c>
    </row>
    <row r="78" spans="1:11" x14ac:dyDescent="0.2">
      <c r="A78" s="20" t="s">
        <v>15</v>
      </c>
      <c r="B78" s="19" t="s">
        <v>14</v>
      </c>
      <c r="C78" s="18">
        <f>+Tabla119[[#This Row],[COSTO +IVA]]/Tabla119[[#This Row],[Columna5]]</f>
        <v>16201.204819277109</v>
      </c>
      <c r="D78" s="18">
        <f>+Tabla119[[#This Row],[PRECIO INSTALLER (CON IVA)]]-Tabla119[[#This Row],[Columna2]]</f>
        <v>15391.144578313253</v>
      </c>
      <c r="E78" s="18">
        <f>+Tabla119[[#This Row],[PRECIO INSTALLER (CON IVA)]]/0.7</f>
        <v>23144.578313253016</v>
      </c>
      <c r="F78" s="18">
        <f>+Tabla119[[#This Row],[PRECIO INSTALLER (CON IVA)]]*5%</f>
        <v>810.06024096385545</v>
      </c>
      <c r="G78" s="17">
        <v>0.83</v>
      </c>
      <c r="H78" s="16">
        <f>Tabla119[[#This Row],[COSTO]]*1.19</f>
        <v>13447</v>
      </c>
      <c r="I78" s="15"/>
      <c r="J78" s="15"/>
      <c r="K78" s="14">
        <v>11300</v>
      </c>
    </row>
    <row r="79" spans="1:11" x14ac:dyDescent="0.2">
      <c r="A79" s="20" t="s">
        <v>13</v>
      </c>
      <c r="B79" s="19" t="s">
        <v>12</v>
      </c>
      <c r="C79" s="18">
        <f>+Tabla119[[#This Row],[COSTO +IVA]]/Tabla119[[#This Row],[Columna5]]</f>
        <v>5448.1927710843374</v>
      </c>
      <c r="D79" s="18">
        <f>+Tabla119[[#This Row],[PRECIO INSTALLER (CON IVA)]]-Tabla119[[#This Row],[Columna2]]</f>
        <v>5175.7831325301204</v>
      </c>
      <c r="E79" s="18">
        <f>+Tabla119[[#This Row],[PRECIO INSTALLER (CON IVA)]]/0.7</f>
        <v>7783.1325301204824</v>
      </c>
      <c r="F79" s="18">
        <f>+Tabla119[[#This Row],[PRECIO INSTALLER (CON IVA)]]*5%</f>
        <v>272.40963855421688</v>
      </c>
      <c r="G79" s="17">
        <v>0.83</v>
      </c>
      <c r="H79" s="16">
        <f>Tabla119[[#This Row],[COSTO]]*1.19</f>
        <v>4522</v>
      </c>
      <c r="I79" s="15"/>
      <c r="J79" s="15"/>
      <c r="K79" s="14">
        <v>3800</v>
      </c>
    </row>
    <row r="80" spans="1:11" x14ac:dyDescent="0.2">
      <c r="A80" s="20" t="s">
        <v>11</v>
      </c>
      <c r="B80" s="19" t="s">
        <v>10</v>
      </c>
      <c r="C80" s="18">
        <f>+Tabla119[[#This Row],[COSTO +IVA]]/Tabla119[[#This Row],[Columna5]]</f>
        <v>5304.8192771084341</v>
      </c>
      <c r="D80" s="18">
        <f>+Tabla119[[#This Row],[PRECIO INSTALLER (CON IVA)]]-Tabla119[[#This Row],[Columna2]]</f>
        <v>5039.5783132530123</v>
      </c>
      <c r="E80" s="18">
        <f>+Tabla119[[#This Row],[PRECIO INSTALLER (CON IVA)]]/0.7</f>
        <v>7578.3132530120492</v>
      </c>
      <c r="F80" s="18">
        <f>+Tabla119[[#This Row],[PRECIO INSTALLER (CON IVA)]]*5%</f>
        <v>265.24096385542174</v>
      </c>
      <c r="G80" s="17">
        <v>0.83</v>
      </c>
      <c r="H80" s="16">
        <f>Tabla119[[#This Row],[COSTO]]*1.19</f>
        <v>4403</v>
      </c>
      <c r="I80" s="15"/>
      <c r="J80" s="15"/>
      <c r="K80" s="14">
        <v>3700</v>
      </c>
    </row>
    <row r="81" spans="1:11" x14ac:dyDescent="0.2">
      <c r="A81" s="20" t="s">
        <v>9</v>
      </c>
      <c r="B81" s="19" t="s">
        <v>8</v>
      </c>
      <c r="C81" s="18">
        <f>+Tabla119[[#This Row],[COSTO +IVA]]/Tabla119[[#This Row],[Columna5]]</f>
        <v>3584.3373493975905</v>
      </c>
      <c r="D81" s="18">
        <f>+Tabla119[[#This Row],[PRECIO INSTALLER (CON IVA)]]-Tabla119[[#This Row],[Columna2]]</f>
        <v>3405.1204819277109</v>
      </c>
      <c r="E81" s="18">
        <f>+Tabla119[[#This Row],[PRECIO INSTALLER (CON IVA)]]/0.7</f>
        <v>5120.4819277108436</v>
      </c>
      <c r="F81" s="18">
        <f>+Tabla119[[#This Row],[PRECIO INSTALLER (CON IVA)]]*5%</f>
        <v>179.21686746987953</v>
      </c>
      <c r="G81" s="17">
        <v>0.83</v>
      </c>
      <c r="H81" s="16">
        <f>Tabla119[[#This Row],[COSTO]]*1.19</f>
        <v>2975</v>
      </c>
      <c r="I81" s="15"/>
      <c r="J81" s="15"/>
      <c r="K81" s="14">
        <v>2500</v>
      </c>
    </row>
    <row r="82" spans="1:11" x14ac:dyDescent="0.2">
      <c r="A82" s="20" t="s">
        <v>7</v>
      </c>
      <c r="B82" s="19" t="s">
        <v>6</v>
      </c>
      <c r="C82" s="18">
        <f>+Tabla119[[#This Row],[COSTO +IVA]]/Tabla119[[#This Row],[Columna5]]</f>
        <v>2867.4698795180725</v>
      </c>
      <c r="D82" s="18">
        <f>+Tabla119[[#This Row],[PRECIO INSTALLER (CON IVA)]]-Tabla119[[#This Row],[Columna2]]</f>
        <v>2724.0963855421687</v>
      </c>
      <c r="E82" s="18">
        <f>+Tabla119[[#This Row],[PRECIO INSTALLER (CON IVA)]]/0.7</f>
        <v>4096.3855421686749</v>
      </c>
      <c r="F82" s="18">
        <f>+Tabla119[[#This Row],[PRECIO INSTALLER (CON IVA)]]*5%</f>
        <v>143.37349397590364</v>
      </c>
      <c r="G82" s="17">
        <v>0.83</v>
      </c>
      <c r="H82" s="16">
        <f>Tabla119[[#This Row],[COSTO]]*1.19</f>
        <v>2380</v>
      </c>
      <c r="I82" s="15"/>
      <c r="J82" s="15"/>
      <c r="K82" s="14">
        <v>2000</v>
      </c>
    </row>
    <row r="83" spans="1:11" x14ac:dyDescent="0.2">
      <c r="A83" s="20" t="s">
        <v>5</v>
      </c>
      <c r="B83" s="19" t="s">
        <v>4</v>
      </c>
      <c r="C83" s="18">
        <f>+Tabla119[[#This Row],[COSTO +IVA]]/Tabla119[[#This Row],[Columna5]]</f>
        <v>1433.7349397590363</v>
      </c>
      <c r="D83" s="18">
        <f>+Tabla119[[#This Row],[PRECIO INSTALLER (CON IVA)]]-Tabla119[[#This Row],[Columna2]]</f>
        <v>1362.0481927710844</v>
      </c>
      <c r="E83" s="18">
        <f>+Tabla119[[#This Row],[PRECIO INSTALLER (CON IVA)]]/0.7</f>
        <v>2048.1927710843374</v>
      </c>
      <c r="F83" s="18">
        <f>+Tabla119[[#This Row],[PRECIO INSTALLER (CON IVA)]]*5%</f>
        <v>71.686746987951821</v>
      </c>
      <c r="G83" s="17">
        <v>0.83</v>
      </c>
      <c r="H83" s="16">
        <f>Tabla119[[#This Row],[COSTO]]*1.19</f>
        <v>1190</v>
      </c>
      <c r="I83" s="15"/>
      <c r="J83" s="15"/>
      <c r="K83" s="14">
        <v>1000</v>
      </c>
    </row>
    <row r="84" spans="1:11" x14ac:dyDescent="0.2">
      <c r="A84" s="20" t="s">
        <v>3</v>
      </c>
      <c r="B84" s="19" t="s">
        <v>2</v>
      </c>
      <c r="C84" s="18">
        <f>+Tabla119[[#This Row],[COSTO +IVA]]/Tabla119[[#This Row],[Columna5]]</f>
        <v>1433.7349397590363</v>
      </c>
      <c r="D84" s="18">
        <f>+Tabla119[[#This Row],[PRECIO INSTALLER (CON IVA)]]-Tabla119[[#This Row],[Columna2]]</f>
        <v>1362.0481927710844</v>
      </c>
      <c r="E84" s="18">
        <f>+Tabla119[[#This Row],[PRECIO INSTALLER (CON IVA)]]/0.7</f>
        <v>2048.1927710843374</v>
      </c>
      <c r="F84" s="18">
        <f>+Tabla119[[#This Row],[PRECIO INSTALLER (CON IVA)]]*5%</f>
        <v>71.686746987951821</v>
      </c>
      <c r="G84" s="17">
        <v>0.83</v>
      </c>
      <c r="H84" s="16">
        <f>Tabla119[[#This Row],[COSTO]]*1.19</f>
        <v>1190</v>
      </c>
      <c r="I84" s="15"/>
      <c r="J84" s="15"/>
      <c r="K84" s="14">
        <v>1000</v>
      </c>
    </row>
    <row r="85" spans="1:11" x14ac:dyDescent="0.2">
      <c r="A85" s="13" t="s">
        <v>1</v>
      </c>
      <c r="B85" s="12" t="s">
        <v>0</v>
      </c>
      <c r="C85" s="11">
        <f>+Tabla119[[#This Row],[COSTO +IVA]]/Tabla119[[#This Row],[Columna5]]</f>
        <v>2600.7951807228915</v>
      </c>
      <c r="D85" s="11">
        <f>+Tabla119[[#This Row],[PRECIO INSTALLER (CON IVA)]]-Tabla119[[#This Row],[Columna2]]</f>
        <v>2470.755421686747</v>
      </c>
      <c r="E85" s="11">
        <f>+Tabla119[[#This Row],[PRECIO INSTALLER (CON IVA)]]/0.7</f>
        <v>3715.4216867469881</v>
      </c>
      <c r="F85" s="11">
        <f>+Tabla119[[#This Row],[PRECIO INSTALLER (CON IVA)]]*5%</f>
        <v>130.03975903614457</v>
      </c>
      <c r="G85" s="10">
        <v>0.83</v>
      </c>
      <c r="H85" s="9">
        <f>Tabla119[[#This Row],[COSTO]]*1.19</f>
        <v>2158.66</v>
      </c>
      <c r="I85" s="8"/>
      <c r="J85" s="8"/>
      <c r="K85" s="7">
        <v>1814</v>
      </c>
    </row>
  </sheetData>
  <conditionalFormatting sqref="A1:A1048576">
    <cfRule type="duplicateValues" dxfId="2" priority="3"/>
  </conditionalFormatting>
  <conditionalFormatting sqref="A85">
    <cfRule type="duplicateValues" dxfId="1" priority="1"/>
    <cfRule type="duplicateValues" dxfId="0" priority="2"/>
  </conditionalFormatting>
  <pageMargins left="0.74791666666666667" right="0.74791666666666667" top="0.98402777777777772" bottom="0.98402777777777772" header="0.51180555555555551" footer="0.51180555555555551"/>
  <pageSetup scale="39" firstPageNumber="0" orientation="portrait" horizontalDpi="300" verticalDpi="300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ACCESO ZK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dcterms:created xsi:type="dcterms:W3CDTF">2026-09-24T22:13:01Z</dcterms:created>
  <dcterms:modified xsi:type="dcterms:W3CDTF">2026-09-24T22:13:37Z</dcterms:modified>
</cp:coreProperties>
</file>