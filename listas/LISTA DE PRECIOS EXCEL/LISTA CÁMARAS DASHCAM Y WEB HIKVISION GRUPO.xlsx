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435E3BF8-5302-4332-90BA-0FF700481869}" xr6:coauthVersionLast="47" xr6:coauthVersionMax="47" xr10:uidLastSave="{00000000-0000-0000-0000-000000000000}"/>
  <bookViews>
    <workbookView xWindow="-120" yWindow="-120" windowWidth="24240" windowHeight="13140" xr2:uid="{9FE2A91E-8D98-45BA-A937-A78A94FE47A0}"/>
  </bookViews>
  <sheets>
    <sheet name="DASH CAM Y WEB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'DASH CAM Y WEB'!$A$1:$I$20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Tabla111[[#All],[REFERENCIA]:[PRECIO CLIENTE FINAL ( CON  IVA)]]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1" i="7" l="1"/>
  <c r="O12" i="7"/>
  <c r="O13" i="7"/>
  <c r="O14" i="7"/>
  <c r="O15" i="7"/>
  <c r="O16" i="7"/>
  <c r="O17" i="7"/>
  <c r="O18" i="7"/>
  <c r="O19" i="7"/>
  <c r="O20" i="7"/>
  <c r="R11" i="7"/>
  <c r="R12" i="7"/>
  <c r="R13" i="7"/>
  <c r="R14" i="7"/>
  <c r="R15" i="7"/>
  <c r="R16" i="7"/>
  <c r="R17" i="7"/>
  <c r="R18" i="7"/>
  <c r="R19" i="7"/>
  <c r="R20" i="7"/>
  <c r="O2" i="7"/>
  <c r="N2" i="7" s="1"/>
  <c r="I2" i="7" s="1"/>
  <c r="R2" i="7"/>
  <c r="C2" i="7" s="1"/>
  <c r="O3" i="7"/>
  <c r="N3" i="7" s="1"/>
  <c r="I3" i="7" s="1"/>
  <c r="R3" i="7"/>
  <c r="C3" i="7" s="1"/>
  <c r="O4" i="7"/>
  <c r="N4" i="7" s="1"/>
  <c r="I4" i="7" s="1"/>
  <c r="R4" i="7"/>
  <c r="C4" i="7" s="1"/>
  <c r="O5" i="7"/>
  <c r="N5" i="7" s="1"/>
  <c r="I5" i="7" s="1"/>
  <c r="R5" i="7"/>
  <c r="C5" i="7" s="1"/>
  <c r="O6" i="7"/>
  <c r="N6" i="7" s="1"/>
  <c r="I6" i="7" s="1"/>
  <c r="R6" i="7"/>
  <c r="C6" i="7" s="1"/>
  <c r="O7" i="7"/>
  <c r="N7" i="7" s="1"/>
  <c r="I7" i="7" s="1"/>
  <c r="R7" i="7"/>
  <c r="C7" i="7" s="1"/>
  <c r="O8" i="7"/>
  <c r="N8" i="7" s="1"/>
  <c r="I8" i="7" s="1"/>
  <c r="R8" i="7"/>
  <c r="C8" i="7" s="1"/>
  <c r="O9" i="7"/>
  <c r="N9" i="7" s="1"/>
  <c r="I9" i="7" s="1"/>
  <c r="R9" i="7"/>
  <c r="C9" i="7" s="1"/>
  <c r="O10" i="7"/>
  <c r="N10" i="7" s="1"/>
  <c r="I10" i="7" s="1"/>
  <c r="R10" i="7"/>
  <c r="C10" i="7" s="1"/>
  <c r="N11" i="7" l="1"/>
  <c r="I11" i="7" s="1"/>
  <c r="E11" i="7"/>
  <c r="M11" i="7"/>
  <c r="L11" i="7" s="1"/>
  <c r="M12" i="7"/>
  <c r="N12" i="7"/>
  <c r="I12" i="7" s="1"/>
  <c r="E12" i="7"/>
  <c r="L12" i="7"/>
  <c r="E13" i="7"/>
  <c r="N13" i="7"/>
  <c r="I13" i="7" s="1"/>
  <c r="M13" i="7"/>
  <c r="L13" i="7"/>
  <c r="E14" i="7"/>
  <c r="M14" i="7"/>
  <c r="N14" i="7"/>
  <c r="I14" i="7" s="1"/>
  <c r="L14" i="7"/>
  <c r="E15" i="7"/>
  <c r="N15" i="7"/>
  <c r="I15" i="7" s="1"/>
  <c r="M15" i="7"/>
  <c r="L15" i="7" s="1"/>
  <c r="E16" i="7"/>
  <c r="M16" i="7"/>
  <c r="L16" i="7" s="1"/>
  <c r="N16" i="7"/>
  <c r="I16" i="7" s="1"/>
  <c r="M17" i="7"/>
  <c r="N17" i="7"/>
  <c r="I17" i="7" s="1"/>
  <c r="L17" i="7"/>
  <c r="E17" i="7"/>
  <c r="M18" i="7"/>
  <c r="L18" i="7" s="1"/>
  <c r="E18" i="7"/>
  <c r="N18" i="7"/>
  <c r="I18" i="7" s="1"/>
  <c r="E19" i="7"/>
  <c r="M19" i="7"/>
  <c r="L19" i="7" s="1"/>
  <c r="N19" i="7"/>
  <c r="I19" i="7" s="1"/>
  <c r="M20" i="7"/>
  <c r="L20" i="7" s="1"/>
  <c r="N20" i="7"/>
  <c r="I20" i="7" s="1"/>
  <c r="E20" i="7"/>
  <c r="P11" i="7"/>
  <c r="H11" i="7" s="1"/>
  <c r="C11" i="7"/>
  <c r="Q11" i="7"/>
  <c r="C12" i="7"/>
  <c r="Q12" i="7"/>
  <c r="P12" i="7"/>
  <c r="H12" i="7" s="1"/>
  <c r="P13" i="7"/>
  <c r="H13" i="7" s="1"/>
  <c r="Q13" i="7"/>
  <c r="C13" i="7"/>
  <c r="C14" i="7"/>
  <c r="P14" i="7"/>
  <c r="H14" i="7" s="1"/>
  <c r="Q14" i="7"/>
  <c r="C15" i="7"/>
  <c r="P15" i="7"/>
  <c r="H15" i="7" s="1"/>
  <c r="Q15" i="7"/>
  <c r="C16" i="7"/>
  <c r="Q16" i="7"/>
  <c r="P16" i="7"/>
  <c r="H16" i="7" s="1"/>
  <c r="C17" i="7"/>
  <c r="P17" i="7"/>
  <c r="H17" i="7" s="1"/>
  <c r="Q17" i="7"/>
  <c r="Q18" i="7"/>
  <c r="C18" i="7"/>
  <c r="P18" i="7"/>
  <c r="H18" i="7" s="1"/>
  <c r="C19" i="7"/>
  <c r="Q19" i="7"/>
  <c r="P19" i="7"/>
  <c r="H19" i="7" s="1"/>
  <c r="C20" i="7"/>
  <c r="P20" i="7"/>
  <c r="H20" i="7" s="1"/>
  <c r="Q20" i="7"/>
  <c r="G10" i="7"/>
  <c r="G6" i="7"/>
  <c r="G2" i="7"/>
  <c r="G9" i="7"/>
  <c r="G7" i="7"/>
  <c r="G3" i="7"/>
  <c r="G5" i="7"/>
  <c r="G8" i="7"/>
  <c r="G4" i="7"/>
  <c r="Q10" i="7"/>
  <c r="D10" i="7" s="1"/>
  <c r="M10" i="7"/>
  <c r="L10" i="7" s="1"/>
  <c r="E10" i="7"/>
  <c r="Q9" i="7"/>
  <c r="D9" i="7" s="1"/>
  <c r="M9" i="7"/>
  <c r="L9" i="7" s="1"/>
  <c r="E9" i="7"/>
  <c r="Q8" i="7"/>
  <c r="D8" i="7" s="1"/>
  <c r="M8" i="7"/>
  <c r="L8" i="7" s="1"/>
  <c r="E8" i="7"/>
  <c r="Q7" i="7"/>
  <c r="D7" i="7" s="1"/>
  <c r="M7" i="7"/>
  <c r="L7" i="7" s="1"/>
  <c r="E7" i="7"/>
  <c r="Q6" i="7"/>
  <c r="D6" i="7" s="1"/>
  <c r="M6" i="7"/>
  <c r="L6" i="7" s="1"/>
  <c r="E6" i="7"/>
  <c r="Q5" i="7"/>
  <c r="D5" i="7" s="1"/>
  <c r="M5" i="7"/>
  <c r="L5" i="7" s="1"/>
  <c r="E5" i="7"/>
  <c r="Q4" i="7"/>
  <c r="D4" i="7" s="1"/>
  <c r="M4" i="7"/>
  <c r="L4" i="7" s="1"/>
  <c r="E4" i="7"/>
  <c r="Q3" i="7"/>
  <c r="D3" i="7" s="1"/>
  <c r="M3" i="7"/>
  <c r="L3" i="7" s="1"/>
  <c r="E3" i="7"/>
  <c r="Q2" i="7"/>
  <c r="D2" i="7" s="1"/>
  <c r="M2" i="7"/>
  <c r="L2" i="7" s="1"/>
  <c r="E2" i="7"/>
  <c r="P10" i="7"/>
  <c r="H10" i="7" s="1"/>
  <c r="P9" i="7"/>
  <c r="H9" i="7" s="1"/>
  <c r="P8" i="7"/>
  <c r="H8" i="7" s="1"/>
  <c r="P7" i="7"/>
  <c r="H7" i="7" s="1"/>
  <c r="P6" i="7"/>
  <c r="H6" i="7" s="1"/>
  <c r="P5" i="7"/>
  <c r="H5" i="7" s="1"/>
  <c r="P4" i="7"/>
  <c r="H4" i="7" s="1"/>
  <c r="P3" i="7"/>
  <c r="H3" i="7" s="1"/>
  <c r="P2" i="7"/>
  <c r="H2" i="7" s="1"/>
  <c r="F11" i="7" l="1"/>
  <c r="K11" i="7"/>
  <c r="J11" i="7" s="1"/>
  <c r="K12" i="7"/>
  <c r="J12" i="7" s="1"/>
  <c r="F12" i="7"/>
  <c r="K13" i="7"/>
  <c r="J13" i="7" s="1"/>
  <c r="F13" i="7"/>
  <c r="K14" i="7"/>
  <c r="J14" i="7" s="1"/>
  <c r="F14" i="7"/>
  <c r="F15" i="7"/>
  <c r="K15" i="7"/>
  <c r="J15" i="7" s="1"/>
  <c r="F16" i="7"/>
  <c r="K16" i="7"/>
  <c r="J16" i="7" s="1"/>
  <c r="K17" i="7"/>
  <c r="J17" i="7" s="1"/>
  <c r="F17" i="7"/>
  <c r="F18" i="7"/>
  <c r="K18" i="7"/>
  <c r="J18" i="7" s="1"/>
  <c r="F19" i="7"/>
  <c r="K19" i="7"/>
  <c r="J19" i="7" s="1"/>
  <c r="F20" i="7"/>
  <c r="K20" i="7"/>
  <c r="J20" i="7" s="1"/>
  <c r="D11" i="7"/>
  <c r="G11" i="7"/>
  <c r="G12" i="7"/>
  <c r="D12" i="7"/>
  <c r="G13" i="7"/>
  <c r="D13" i="7"/>
  <c r="G14" i="7"/>
  <c r="D14" i="7"/>
  <c r="D15" i="7"/>
  <c r="G15" i="7"/>
  <c r="D16" i="7"/>
  <c r="G16" i="7"/>
  <c r="D17" i="7"/>
  <c r="G17" i="7"/>
  <c r="D18" i="7"/>
  <c r="G18" i="7"/>
  <c r="D19" i="7"/>
  <c r="G19" i="7"/>
  <c r="G20" i="7"/>
  <c r="D20" i="7"/>
  <c r="K4" i="7"/>
  <c r="J4" i="7" s="1"/>
  <c r="F4" i="7"/>
  <c r="K8" i="7"/>
  <c r="J8" i="7" s="1"/>
  <c r="F8" i="7"/>
  <c r="K3" i="7"/>
  <c r="J3" i="7" s="1"/>
  <c r="F3" i="7"/>
  <c r="K7" i="7"/>
  <c r="J7" i="7" s="1"/>
  <c r="F7" i="7"/>
  <c r="K5" i="7"/>
  <c r="J5" i="7" s="1"/>
  <c r="F5" i="7"/>
  <c r="K9" i="7"/>
  <c r="J9" i="7" s="1"/>
  <c r="F9" i="7"/>
  <c r="K2" i="7"/>
  <c r="J2" i="7" s="1"/>
  <c r="F2" i="7"/>
  <c r="K10" i="7"/>
  <c r="J10" i="7" s="1"/>
  <c r="F10" i="7"/>
  <c r="K6" i="7"/>
  <c r="J6" i="7" s="1"/>
  <c r="F6" i="7"/>
</calcChain>
</file>

<file path=xl/sharedStrings.xml><?xml version="1.0" encoding="utf-8"?>
<sst xmlns="http://schemas.openxmlformats.org/spreadsheetml/2006/main" count="58" uniqueCount="57">
  <si>
    <t>REFERENCIA</t>
  </si>
  <si>
    <t xml:space="preserve">DESCRIPCIÓN </t>
  </si>
  <si>
    <t>PRECIO  INSTALADOR
( CON  IVA)</t>
  </si>
  <si>
    <t>PRECIO TIENDA ( CON  IVA)</t>
  </si>
  <si>
    <t>PRECIO DPP ORO ( CON  IVA)</t>
  </si>
  <si>
    <t>PRECIO DPP PLATINO ( CON  IVA)</t>
  </si>
  <si>
    <t>PRECIO CLIENTE FINAL ( CON  IVA)</t>
  </si>
  <si>
    <t>Columna3</t>
  </si>
  <si>
    <t>Columna6</t>
  </si>
  <si>
    <t>Columna8</t>
  </si>
  <si>
    <t>PRECIO SUGERIDO INSTALADOR</t>
  </si>
  <si>
    <t>PRECIO SUGERIDO INSTALADOR
( CON  IVA)</t>
  </si>
  <si>
    <t xml:space="preserve"> ORO</t>
  </si>
  <si>
    <t>PLATINO</t>
  </si>
  <si>
    <t>ORO SIN IVA</t>
  </si>
  <si>
    <t>INSTALLER SIN IVA</t>
  </si>
  <si>
    <t>DPP ORO</t>
  </si>
  <si>
    <t>DPP PLATINO</t>
  </si>
  <si>
    <t>Columna9</t>
  </si>
  <si>
    <t>PLARTINO</t>
  </si>
  <si>
    <t>iDS-UVC-X28</t>
  </si>
  <si>
    <t xml:space="preserve">CAMARA INTELIGENTE PARA CONFERENCIAS / USB / PLUG AND PLAY / AUTOENFOQUE / SEGUIMIENTO AL HABLANTE </t>
  </si>
  <si>
    <t>DS-U102</t>
  </si>
  <si>
    <t>CAMARA WEB PTZ ALTA DEFINICION 1080P PARA SALAS DE JUNTAS / GRAN ANGULAR / MICROFONO INTEGRADO / FACIL DE INSTALAR</t>
  </si>
  <si>
    <t>DS-U02</t>
  </si>
  <si>
    <t>CAMARA WEB 2 MP 30 FPS 0.1 LUX MICRÓFONO INTERNO USB 2.0</t>
  </si>
  <si>
    <t>DS-UL4</t>
  </si>
  <si>
    <t>CAMARA WEB 4 MP 30 FPS 0.1 LUX MICRÓFONO INTERNO USB 2.0 LUZ SUPLEMENTARIA INCORPORADA</t>
  </si>
  <si>
    <t>DS-UVC-X12</t>
  </si>
  <si>
    <t>CAMARA DE VIDEOCONFERENCIAS PORTATIL RESOLUCIÓN DE 2MP 4 MICROFONOS ALTAVOZ 5W</t>
  </si>
  <si>
    <t>AE-DC2015-B1</t>
  </si>
  <si>
    <t>DASHCAM VIDEO 1080p FOV 160° MAX 128 GB SD WI-FI SENSOR G MICROFONO Y BOCINA INTEGRADO CONECTOR USB</t>
  </si>
  <si>
    <t>AE-DC2018-K2</t>
  </si>
  <si>
    <t>DASHCAM VIDEO 1080p F2.0 128 GB SD WI-FI SENSOR G MICROFONO Y BOCINA INTEGRADO CONECTOR USB</t>
  </si>
  <si>
    <t>AE-DC5313-C6PRO GPS</t>
  </si>
  <si>
    <t>DASHCAM VIDEO 1600P FOV 130° MAX 256 GB SD WI-FI SENSOR G AUDIO, MICROFONO Y ALTAVOZ CONECTOR USB</t>
  </si>
  <si>
    <t>AE-DC5013-F6 (+GPS)</t>
  </si>
  <si>
    <t>DASHCAM VIDEO PARA VEHICULOS ADAS MICROFONO Y BOCINA INTEGRADO CONECTOR USB SENSOR G GPS</t>
  </si>
  <si>
    <t>AE-DC5013-F6</t>
  </si>
  <si>
    <t>DASHCAM 1600P / ÁNGULO D 130° H 109° / F1.6 / MICRO+ALTAVOZ / WIFI / GPS / G‑SENSOR / MICROS D/HASTA 128 GB</t>
  </si>
  <si>
    <t>AE-DC5313-C6PRO</t>
  </si>
  <si>
    <t>DASHCAM 1600P / ÁNGULO D 130° / F1.6 / PANTALLA 4″ / MICRO+ALTAVOZ / WIFI / GPS / G‑SENSOR / ADAS / MICROS D/HASTA 128 GB</t>
  </si>
  <si>
    <t>AE-DI2032-G40(Overseas)</t>
  </si>
  <si>
    <t>CÁMARA PARA VEHÍCULO / DASHCAM INDUSTRIAL 1080p / GPS+SPEED OVERLAY / WIFI+4G / 3 CAN VIDEO 1 AUDIO</t>
  </si>
  <si>
    <t>AE-MC0201-L(O-NEU)</t>
  </si>
  <si>
    <t>CABLE EXTENSIÓN 4 PIN AVIACIÓN MÓVIL / 10 M / CONDUCTOR DE COBRE TWISTED / AISLAMIENTO PVC</t>
  </si>
  <si>
    <t>AE-MC0708-9.5(BM4_M to BM4_F)(O-NEU)</t>
  </si>
  <si>
    <t>CABLE EXTENSIÓN ANALÓGICO BM4 M→BM4 F / 9.5 M / AISLAMIENTO PVC / CONDUCTOR TC / IP5X</t>
  </si>
  <si>
    <t>AE-MC0708-L(O-NEU)</t>
  </si>
  <si>
    <t>CABLE EXTENSIÓN ANALÓGICO BM4 M→BM4 F / LONGITUD VARIAS (5.5‑20 M) / IP5X / PVC / −40 °C a 105 °C</t>
  </si>
  <si>
    <t>AE-MD5043-SD/GLF(Lite)(KIT)(US)</t>
  </si>
  <si>
    <t>DVR MÓVIL 4 CANALES TVI 1080p / H.264‑H.265 / 2 SD 512 GB / GPS / 4G+WIFI / SUPERCAPACITOR</t>
  </si>
  <si>
    <t>AE-VC143T-ITS</t>
  </si>
  <si>
    <t>CÁMARA VEHÍCULAR ANALÓGICA 720p / CMOS PROGRESSIVO / IR 5 M / 0.1 LUX / MICRÓFONO INTEGRADO / RESISTENTE A IMPACTOS</t>
  </si>
  <si>
    <t>AE-VC154T-IT</t>
  </si>
  <si>
    <t>CÁMARA VEHÍCULAR ANALÓGICA 720p / CMOS PROGRESSIVO / IR 2 M / 0.1 LUX / MICRÓFONO / CONECTOR 4‑PIN / RESISTENTE A IMPACTOS</t>
  </si>
  <si>
    <t>AE-VC154T-IT(6mm)/O-STD/BMW/dashcam/2.5m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</si>
</sst>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164" fontId="2" fillId="0" borderId="1" xfId="1" applyNumberFormat="1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164" fontId="0" fillId="0" borderId="1" xfId="0" applyNumberFormat="1" applyBorder="1"/>
    <xf numFmtId="164" fontId="4" fillId="0" borderId="1" xfId="1" applyNumberFormat="1" applyFont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5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0" fillId="0" borderId="2" xfId="1" applyNumberFormat="1" applyFont="1" applyFill="1" applyBorder="1"/>
    <xf numFmtId="164" fontId="0" fillId="0" borderId="1" xfId="1" applyNumberFormat="1" applyFont="1" applyFill="1" applyBorder="1"/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4" fillId="0" borderId="1" xfId="1" applyNumberFormat="1" applyFont="1" applyBorder="1" applyAlignment="1" applyProtection="1">
      <alignment horizontal="right" vertical="center" wrapText="1"/>
      <protection hidden="1"/>
    </xf>
    <xf numFmtId="164" fontId="2" fillId="0" borderId="2" xfId="1" applyNumberFormat="1" applyFont="1" applyBorder="1" applyAlignment="1" applyProtection="1">
      <alignment vertical="center" wrapText="1"/>
      <protection hidden="1"/>
    </xf>
    <xf numFmtId="164" fontId="2" fillId="6" borderId="3" xfId="1" applyNumberFormat="1" applyFont="1" applyFill="1" applyBorder="1" applyAlignment="1" applyProtection="1">
      <alignment vertical="center" wrapText="1"/>
      <protection hidden="1"/>
    </xf>
    <xf numFmtId="164" fontId="2" fillId="7" borderId="4" xfId="1" applyNumberFormat="1" applyFont="1" applyFill="1" applyBorder="1" applyAlignment="1" applyProtection="1">
      <alignment vertical="center" wrapText="1"/>
      <protection hidden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4" xfId="1" applyNumberFormat="1" applyFont="1" applyBorder="1" applyAlignment="1" applyProtection="1">
      <alignment vertical="center" wrapText="1"/>
      <protection hidden="1"/>
    </xf>
    <xf numFmtId="164" fontId="3" fillId="3" borderId="4" xfId="1" applyNumberFormat="1" applyFont="1" applyFill="1" applyBorder="1" applyAlignment="1">
      <alignment horizontal="center" vertical="center" wrapText="1"/>
    </xf>
    <xf numFmtId="164" fontId="3" fillId="0" borderId="4" xfId="1" applyNumberFormat="1" applyFont="1" applyBorder="1" applyAlignment="1" applyProtection="1">
      <alignment horizontal="center" vertical="center" wrapText="1"/>
      <protection locked="0" hidden="1"/>
    </xf>
    <xf numFmtId="49" fontId="3" fillId="8" borderId="1" xfId="0" applyNumberFormat="1" applyFont="1" applyFill="1" applyBorder="1" applyAlignment="1" applyProtection="1">
      <alignment horizontal="center" vertical="center" wrapText="1"/>
      <protection hidden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 applyProtection="1">
      <alignment horizontal="center" vertical="center" wrapText="1"/>
      <protection hidden="1"/>
    </xf>
    <xf numFmtId="164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1" applyNumberFormat="1" applyFont="1" applyFill="1" applyBorder="1" applyAlignment="1" applyProtection="1">
      <alignment horizontal="center" vertical="center" wrapText="1"/>
      <protection hidden="1"/>
    </xf>
  </cellXfs>
  <cellStyles count="3">
    <cellStyle name="Moneda" xfId="1" builtinId="4"/>
    <cellStyle name="Normal" xfId="0" builtinId="0"/>
    <cellStyle name="Normal 2" xfId="2" xr:uid="{FBA33C15-37D6-4D10-8FF4-9F7B29ABB83A}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123705" cy="0"/>
    <xdr:pic>
      <xdr:nvPicPr>
        <xdr:cNvPr id="2" name="Imagen 1">
          <a:extLst>
            <a:ext uri="{FF2B5EF4-FFF2-40B4-BE49-F238E27FC236}">
              <a16:creationId xmlns:a16="http://schemas.microsoft.com/office/drawing/2014/main" id="{E2213D2B-5F0A-4F48-808E-32F651238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1123705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080118" cy="0"/>
    <xdr:pic>
      <xdr:nvPicPr>
        <xdr:cNvPr id="3" name="Imagen 2">
          <a:extLst>
            <a:ext uri="{FF2B5EF4-FFF2-40B4-BE49-F238E27FC236}">
              <a16:creationId xmlns:a16="http://schemas.microsoft.com/office/drawing/2014/main" id="{2461B9DD-F238-4ED1-9786-9251B97A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0"/>
          <a:ext cx="1080118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75267</xdr:rowOff>
    </xdr:from>
    <xdr:to>
      <xdr:col>0</xdr:col>
      <xdr:colOff>0</xdr:colOff>
      <xdr:row>8</xdr:row>
      <xdr:rowOff>1123764</xdr:rowOff>
    </xdr:to>
    <xdr:pic>
      <xdr:nvPicPr>
        <xdr:cNvPr id="4" name="Imagen 57">
          <a:extLst>
            <a:ext uri="{FF2B5EF4-FFF2-40B4-BE49-F238E27FC236}">
              <a16:creationId xmlns:a16="http://schemas.microsoft.com/office/drawing/2014/main" id="{E314F9F7-D100-4808-93DD-6C11B2245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9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75267</xdr:rowOff>
    </xdr:from>
    <xdr:to>
      <xdr:col>0</xdr:col>
      <xdr:colOff>0</xdr:colOff>
      <xdr:row>8</xdr:row>
      <xdr:rowOff>1123764</xdr:rowOff>
    </xdr:to>
    <xdr:pic>
      <xdr:nvPicPr>
        <xdr:cNvPr id="5" name="Imagen 67">
          <a:extLst>
            <a:ext uri="{FF2B5EF4-FFF2-40B4-BE49-F238E27FC236}">
              <a16:creationId xmlns:a16="http://schemas.microsoft.com/office/drawing/2014/main" id="{8D81A8BA-539B-421A-A664-BBF39CBF7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9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6" name="图片 29">
          <a:extLst>
            <a:ext uri="{FF2B5EF4-FFF2-40B4-BE49-F238E27FC236}">
              <a16:creationId xmlns:a16="http://schemas.microsoft.com/office/drawing/2014/main" id="{CE888F96-DE70-4F9B-BEB0-CA4875249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5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7" name="图片 29">
          <a:extLst>
            <a:ext uri="{FF2B5EF4-FFF2-40B4-BE49-F238E27FC236}">
              <a16:creationId xmlns:a16="http://schemas.microsoft.com/office/drawing/2014/main" id="{613BB07F-AD57-4AE9-99FC-66C08C94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5440"/>
          <a:ext cx="0" cy="7842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9</xdr:row>
      <xdr:rowOff>0</xdr:rowOff>
    </xdr:from>
    <xdr:ext cx="1123705" cy="0"/>
    <xdr:pic>
      <xdr:nvPicPr>
        <xdr:cNvPr id="8" name="Imagen 7">
          <a:extLst>
            <a:ext uri="{FF2B5EF4-FFF2-40B4-BE49-F238E27FC236}">
              <a16:creationId xmlns:a16="http://schemas.microsoft.com/office/drawing/2014/main" id="{911F1CD3-1239-4DEB-BB8E-9EDBE0946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7334250"/>
          <a:ext cx="1123705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080118" cy="0"/>
    <xdr:pic>
      <xdr:nvPicPr>
        <xdr:cNvPr id="9" name="Imagen 8">
          <a:extLst>
            <a:ext uri="{FF2B5EF4-FFF2-40B4-BE49-F238E27FC236}">
              <a16:creationId xmlns:a16="http://schemas.microsoft.com/office/drawing/2014/main" id="{9ABF4F8C-2B18-4C40-AEA3-DFBB657E5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7334250"/>
          <a:ext cx="1080118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7502D1-91B2-400A-A3DB-26B6794AD059}" name="Tabla111" displayName="Tabla111" ref="A1:T20" totalsRowShown="0" headerRowDxfId="105" headerRowBorderDxfId="104" tableBorderDxfId="103" totalsRowBorderDxfId="102">
  <autoFilter ref="A1:T20" xr:uid="{C34C2694-7347-46C0-8473-0F220A5F904B}"/>
  <tableColumns count="20">
    <tableColumn id="3" xr3:uid="{E673501F-8CE0-4DA6-946C-FC8BE9C31C8B}" name="REFERENCIA" dataDxfId="101"/>
    <tableColumn id="4" xr3:uid="{72841246-E2B3-40BE-BA8E-785D5276198C}" name="DESCRIPCIÓN " dataDxfId="100"/>
    <tableColumn id="5" xr3:uid="{A149C6DC-FC33-498F-8D4F-2033B839FAEF}" name="PRECIO  INSTALADOR_x000a_( CON  IVA)" dataDxfId="99" dataCellStyle="Moneda">
      <calculatedColumnFormula>+Tabla111[[#This Row],[PRECIO SUGERIDO INSTALADOR]]</calculatedColumnFormula>
    </tableColumn>
    <tableColumn id="1" xr3:uid="{885FB296-B6E0-4EE3-8A66-5980A304C139}" name="PRECIO TIENDA ( CON  IVA)" dataDxfId="98" dataCellStyle="Moneda">
      <calculatedColumnFormula>+Tabla111[[#This Row],[PRECIO  INSTALADOR
( CON  IVA)]]-Tabla111[[#This Row],[Columna9]]</calculatedColumnFormula>
    </tableColumn>
    <tableColumn id="18" xr3:uid="{63611152-3AEF-4770-A4D2-67B8A6951292}" name="PRECIO DPP ORO ( CON  IVA)" dataDxfId="97" dataCellStyle="Moneda">
      <calculatedColumnFormula>+Tabla111[[#This Row],[DPP ORO]]</calculatedColumnFormula>
    </tableColumn>
    <tableColumn id="19" xr3:uid="{C76A1A81-ABA7-4FE8-A6D5-12914A8C5073}" name="PRECIO DPP PLATINO ( CON  IVA)" dataDxfId="96" dataCellStyle="Moneda">
      <calculatedColumnFormula>+Tabla111[[#This Row],[PLARTINO]]</calculatedColumnFormula>
    </tableColumn>
    <tableColumn id="20" xr3:uid="{EAA88730-DB51-4528-8809-0293AE33AD82}" name="PRECIO CLIENTE FINAL ( CON  IVA)" dataDxfId="95" dataCellStyle="Moneda">
      <calculatedColumnFormula>+Tabla111[[#This Row],[PRECIO  INSTALADOR
( CON  IVA)]]/0.7</calculatedColumnFormula>
    </tableColumn>
    <tableColumn id="6" xr3:uid="{66E37BBF-EABA-4EE9-B4C9-2D8E963877A2}" name="PRECIO SUGERIDO INSTALADOR_x000a_( CON  IVA)" dataDxfId="94" dataCellStyle="Moneda">
      <calculatedColumnFormula>+P2</calculatedColumnFormula>
    </tableColumn>
    <tableColumn id="7" xr3:uid="{DD6157FF-ED44-47E4-A2CB-E1BD8FC4DE64}" name=" ORO" dataDxfId="93" dataCellStyle="Moneda">
      <calculatedColumnFormula>+N2</calculatedColumnFormula>
    </tableColumn>
    <tableColumn id="8" xr3:uid="{E927791D-5222-4742-AA7D-080D17609BD1}" name="PLATINO" dataDxfId="92" dataCellStyle="Moneda">
      <calculatedColumnFormula>+K2</calculatedColumnFormula>
    </tableColumn>
    <tableColumn id="9" xr3:uid="{A6C2E985-9F49-4C35-9D2B-8017444F1F55}" name="Columna3" dataDxfId="91" dataCellStyle="Moneda">
      <calculatedColumnFormula>+L2/#REF!</calculatedColumnFormula>
    </tableColumn>
    <tableColumn id="10" xr3:uid="{AA446FA5-6D65-48F3-B58A-296662AD0A35}" name="PLARTINO" dataDxfId="90" dataCellStyle="Moneda">
      <calculatedColumnFormula>+O2-M2</calculatedColumnFormula>
    </tableColumn>
    <tableColumn id="11" xr3:uid="{FF08503C-D85F-45A4-92FA-85C2BD9F57B0}" name="DPP PLATINO" dataDxfId="89" dataCellStyle="Moneda">
      <calculatedColumnFormula>+O2*1%</calculatedColumnFormula>
    </tableColumn>
    <tableColumn id="12" xr3:uid="{02499F2D-4054-46CD-839F-AC4BD111D6D4}" name="Columna6" dataDxfId="88" dataCellStyle="Moneda">
      <calculatedColumnFormula>+O2/#REF!</calculatedColumnFormula>
    </tableColumn>
    <tableColumn id="13" xr3:uid="{22C48436-36B8-4358-B01E-1968FF199B59}" name="DPP ORO" dataDxfId="87">
      <calculatedColumnFormula>Tabla111[[#This Row],[ORO SIN IVA]]*1.19</calculatedColumnFormula>
    </tableColumn>
    <tableColumn id="14" xr3:uid="{48B2275C-3399-4D04-A7CF-D30DE60C2587}" name="Columna8" dataDxfId="86" dataCellStyle="Moneda">
      <calculatedColumnFormula>+R2/#REF!</calculatedColumnFormula>
    </tableColumn>
    <tableColumn id="2" xr3:uid="{9F614109-3F19-4652-BBFA-3E55B58FE684}" name="Columna9" dataDxfId="85" dataCellStyle="Moneda">
      <calculatedColumnFormula>+Tabla111[[#This Row],[PRECIO SUGERIDO INSTALADOR]]*5%</calculatedColumnFormula>
    </tableColumn>
    <tableColumn id="15" xr3:uid="{8235EC15-49D8-4536-8770-11230C6969A0}" name="PRECIO SUGERIDO INSTALADOR" dataDxfId="84">
      <calculatedColumnFormula>Tabla111[[#This Row],[INSTALLER SIN IVA]]*1.19</calculatedColumnFormula>
    </tableColumn>
    <tableColumn id="16" xr3:uid="{F8F0A912-B32C-4DED-B65B-E2108583A59B}" name="ORO SIN IVA" dataDxfId="83" dataCellStyle="Moneda"/>
    <tableColumn id="17" xr3:uid="{3F20138F-DD71-4D01-9D20-31BC9F14E7D4}" name="INSTALLER SIN IVA" dataDxfId="82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A331-6713-408A-8D51-D8E3769B0A6A}">
  <sheetPr>
    <pageSetUpPr fitToPage="1"/>
  </sheetPr>
  <dimension ref="A1:T22"/>
  <sheetViews>
    <sheetView showGridLines="0" tabSelected="1" view="pageBreakPreview" zoomScale="60" zoomScaleNormal="91" workbookViewId="0">
      <pane xSplit="1" ySplit="1" topLeftCell="B7" activePane="bottomRight" state="frozen"/>
      <selection pane="topRight"/>
      <selection pane="bottomLeft"/>
      <selection pane="bottomRight" activeCell="X10" sqref="X10"/>
    </sheetView>
  </sheetViews>
  <sheetFormatPr baseColWidth="10" defaultColWidth="10.5703125" defaultRowHeight="13.5" x14ac:dyDescent="0.25"/>
  <cols>
    <col min="1" max="2" width="39.5703125" style="8" customWidth="1"/>
    <col min="3" max="3" width="15.140625" style="9" bestFit="1" customWidth="1"/>
    <col min="4" max="4" width="13.85546875" style="9" bestFit="1" customWidth="1"/>
    <col min="5" max="5" width="14" style="9" customWidth="1"/>
    <col min="6" max="6" width="15" style="9" bestFit="1" customWidth="1"/>
    <col min="7" max="7" width="14.28515625" style="9" customWidth="1"/>
    <col min="8" max="8" width="3.5703125" style="4" customWidth="1"/>
    <col min="9" max="9" width="2.42578125" style="5" customWidth="1"/>
    <col min="10" max="10" width="3.28515625" style="5" customWidth="1"/>
    <col min="11" max="11" width="1.5703125" style="5" customWidth="1"/>
    <col min="12" max="12" width="8.85546875" style="5" customWidth="1"/>
    <col min="13" max="13" width="3.5703125" style="5" customWidth="1"/>
    <col min="14" max="14" width="2.140625" style="4" customWidth="1"/>
    <col min="15" max="15" width="12.140625" style="4" customWidth="1"/>
    <col min="16" max="16" width="2.28515625" style="4" customWidth="1"/>
    <col min="17" max="17" width="11.5703125" style="4" customWidth="1"/>
    <col min="18" max="18" width="11.42578125" style="4" customWidth="1"/>
    <col min="19" max="19" width="16.42578125" style="4" customWidth="1"/>
    <col min="20" max="20" width="16" style="4" customWidth="1"/>
    <col min="21" max="16384" width="10.5703125" style="2"/>
  </cols>
  <sheetData>
    <row r="1" spans="1:20" ht="81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19" t="s">
        <v>11</v>
      </c>
      <c r="I1" s="20" t="s">
        <v>12</v>
      </c>
      <c r="J1" s="22" t="s">
        <v>13</v>
      </c>
      <c r="K1" s="23" t="s">
        <v>7</v>
      </c>
      <c r="L1" s="23" t="s">
        <v>19</v>
      </c>
      <c r="M1" s="22" t="s">
        <v>17</v>
      </c>
      <c r="N1" s="21" t="s">
        <v>8</v>
      </c>
      <c r="O1" s="20" t="s">
        <v>16</v>
      </c>
      <c r="P1" s="19" t="s">
        <v>9</v>
      </c>
      <c r="Q1" s="19" t="s">
        <v>18</v>
      </c>
      <c r="R1" s="19" t="s">
        <v>10</v>
      </c>
      <c r="S1" s="18" t="s">
        <v>14</v>
      </c>
      <c r="T1" s="17" t="s">
        <v>15</v>
      </c>
    </row>
    <row r="2" spans="1:20" ht="40.5" x14ac:dyDescent="0.25">
      <c r="A2" s="25" t="s">
        <v>20</v>
      </c>
      <c r="B2" s="26" t="s">
        <v>21</v>
      </c>
      <c r="C2" s="11">
        <f>+Tabla111[[#This Row],[PRECIO SUGERIDO INSTALADOR]]</f>
        <v>4831937.88</v>
      </c>
      <c r="D2" s="11">
        <f>+Tabla111[[#This Row],[PRECIO  INSTALADOR
( CON  IVA)]]-Tabla111[[#This Row],[Columna9]]</f>
        <v>4590340.9859999996</v>
      </c>
      <c r="E2" s="11">
        <f>+Tabla111[[#This Row],[DPP ORO]]</f>
        <v>4601994.18</v>
      </c>
      <c r="F2" s="11">
        <f>+Tabla111[[#This Row],[PLARTINO]]</f>
        <v>4555974.2381999996</v>
      </c>
      <c r="G2" s="11">
        <f>+Tabla111[[#This Row],[PRECIO  INSTALADOR
( CON  IVA)]]/0.7</f>
        <v>6902768.4000000004</v>
      </c>
      <c r="H2" s="14" t="e">
        <f t="shared" ref="H2:H10" si="0">+P2</f>
        <v>#REF!</v>
      </c>
      <c r="I2" s="14" t="e">
        <f t="shared" ref="I2:I10" si="1">+N2</f>
        <v>#REF!</v>
      </c>
      <c r="J2" s="15" t="e">
        <f t="shared" ref="J2:J10" si="2">+K2</f>
        <v>#REF!</v>
      </c>
      <c r="K2" s="15" t="e">
        <f>+L2/#REF!</f>
        <v>#REF!</v>
      </c>
      <c r="L2" s="15">
        <f t="shared" ref="L2:L10" si="3">+O2-M2</f>
        <v>4555974.2381999996</v>
      </c>
      <c r="M2" s="7">
        <f t="shared" ref="M2:M10" si="4">+O2*1%</f>
        <v>46019.941800000001</v>
      </c>
      <c r="N2" s="1" t="e">
        <f>+O2/#REF!</f>
        <v>#REF!</v>
      </c>
      <c r="O2" s="6">
        <f>Tabla111[[#This Row],[ORO SIN IVA]]*1.19</f>
        <v>4601994.18</v>
      </c>
      <c r="P2" s="14" t="e">
        <f>+R2/#REF!</f>
        <v>#REF!</v>
      </c>
      <c r="Q2" s="14">
        <f>+Tabla111[[#This Row],[PRECIO SUGERIDO INSTALADOR]]*5%</f>
        <v>241596.894</v>
      </c>
      <c r="R2" s="6">
        <f>Tabla111[[#This Row],[INSTALLER SIN IVA]]*1.19</f>
        <v>4831937.88</v>
      </c>
      <c r="S2" s="1">
        <v>3867222</v>
      </c>
      <c r="T2" s="16">
        <v>4060452</v>
      </c>
    </row>
    <row r="3" spans="1:20" ht="40.5" x14ac:dyDescent="0.25">
      <c r="A3" s="25" t="s">
        <v>22</v>
      </c>
      <c r="B3" s="26" t="s">
        <v>23</v>
      </c>
      <c r="C3" s="11">
        <f>+Tabla111[[#This Row],[PRECIO SUGERIDO INSTALADOR]]</f>
        <v>1667804.04</v>
      </c>
      <c r="D3" s="11">
        <f>+Tabla111[[#This Row],[PRECIO  INSTALADOR
( CON  IVA)]]-Tabla111[[#This Row],[Columna9]]</f>
        <v>1584413.838</v>
      </c>
      <c r="E3" s="11">
        <f>+Tabla111[[#This Row],[DPP ORO]]</f>
        <v>1521833.88</v>
      </c>
      <c r="F3" s="11">
        <f>+Tabla111[[#This Row],[PLARTINO]]</f>
        <v>1506615.5411999999</v>
      </c>
      <c r="G3" s="11">
        <f>+Tabla111[[#This Row],[PRECIO  INSTALADOR
( CON  IVA)]]/0.7</f>
        <v>2382577.2000000002</v>
      </c>
      <c r="H3" s="14" t="e">
        <f t="shared" si="0"/>
        <v>#REF!</v>
      </c>
      <c r="I3" s="14" t="e">
        <f t="shared" si="1"/>
        <v>#REF!</v>
      </c>
      <c r="J3" s="15" t="e">
        <f t="shared" si="2"/>
        <v>#REF!</v>
      </c>
      <c r="K3" s="15" t="e">
        <f>+L3/#REF!</f>
        <v>#REF!</v>
      </c>
      <c r="L3" s="15">
        <f t="shared" si="3"/>
        <v>1506615.5411999999</v>
      </c>
      <c r="M3" s="7">
        <f t="shared" si="4"/>
        <v>15218.3388</v>
      </c>
      <c r="N3" s="1" t="e">
        <f>+O3/#REF!</f>
        <v>#REF!</v>
      </c>
      <c r="O3" s="6">
        <f>Tabla111[[#This Row],[ORO SIN IVA]]*1.19</f>
        <v>1521833.88</v>
      </c>
      <c r="P3" s="14" t="e">
        <f>+R3/#REF!</f>
        <v>#REF!</v>
      </c>
      <c r="Q3" s="14">
        <f>+Tabla111[[#This Row],[PRECIO SUGERIDO INSTALADOR]]*5%</f>
        <v>83390.202000000005</v>
      </c>
      <c r="R3" s="6">
        <f>Tabla111[[#This Row],[INSTALLER SIN IVA]]*1.19</f>
        <v>1667804.04</v>
      </c>
      <c r="S3" s="1">
        <v>1278852</v>
      </c>
      <c r="T3" s="16">
        <v>1401516</v>
      </c>
    </row>
    <row r="4" spans="1:20" ht="27" x14ac:dyDescent="0.25">
      <c r="A4" s="25" t="s">
        <v>24</v>
      </c>
      <c r="B4" s="26" t="s">
        <v>25</v>
      </c>
      <c r="C4" s="11">
        <f>+Tabla111[[#This Row],[PRECIO SUGERIDO INSTALADOR]]</f>
        <v>103508.58</v>
      </c>
      <c r="D4" s="11">
        <f>+Tabla111[[#This Row],[PRECIO  INSTALADOR
( CON  IVA)]]-Tabla111[[#This Row],[Columna9]]</f>
        <v>98333.150999999998</v>
      </c>
      <c r="E4" s="11">
        <f>+Tabla111[[#This Row],[DPP ORO]]</f>
        <v>94464.58</v>
      </c>
      <c r="F4" s="11">
        <f>+Tabla111[[#This Row],[PLARTINO]]</f>
        <v>93519.934200000003</v>
      </c>
      <c r="G4" s="11">
        <f>+Tabla111[[#This Row],[PRECIO  INSTALADOR
( CON  IVA)]]/0.7</f>
        <v>147869.40000000002</v>
      </c>
      <c r="H4" s="14" t="e">
        <f t="shared" si="0"/>
        <v>#REF!</v>
      </c>
      <c r="I4" s="14" t="e">
        <f t="shared" si="1"/>
        <v>#REF!</v>
      </c>
      <c r="J4" s="15" t="e">
        <f t="shared" si="2"/>
        <v>#REF!</v>
      </c>
      <c r="K4" s="15" t="e">
        <f>+L4/#REF!</f>
        <v>#REF!</v>
      </c>
      <c r="L4" s="15">
        <f t="shared" si="3"/>
        <v>93519.934200000003</v>
      </c>
      <c r="M4" s="7">
        <f t="shared" si="4"/>
        <v>944.64580000000001</v>
      </c>
      <c r="N4" s="1" t="e">
        <f>+O4/#REF!</f>
        <v>#REF!</v>
      </c>
      <c r="O4" s="6">
        <f>Tabla111[[#This Row],[ORO SIN IVA]]*1.19</f>
        <v>94464.58</v>
      </c>
      <c r="P4" s="14" t="e">
        <f>+R4/#REF!</f>
        <v>#REF!</v>
      </c>
      <c r="Q4" s="14">
        <f>+Tabla111[[#This Row],[PRECIO SUGERIDO INSTALADOR]]*5%</f>
        <v>5175.4290000000001</v>
      </c>
      <c r="R4" s="6">
        <f>Tabla111[[#This Row],[INSTALLER SIN IVA]]*1.19</f>
        <v>103508.58</v>
      </c>
      <c r="S4" s="1">
        <v>79382</v>
      </c>
      <c r="T4" s="16">
        <v>86982</v>
      </c>
    </row>
    <row r="5" spans="1:20" ht="40.5" x14ac:dyDescent="0.25">
      <c r="A5" s="25" t="s">
        <v>26</v>
      </c>
      <c r="B5" s="26" t="s">
        <v>27</v>
      </c>
      <c r="C5" s="11">
        <f>+Tabla111[[#This Row],[PRECIO SUGERIDO INSTALADOR]]</f>
        <v>476166.6</v>
      </c>
      <c r="D5" s="11">
        <f>+Tabla111[[#This Row],[PRECIO  INSTALADOR
( CON  IVA)]]-Tabla111[[#This Row],[Columna9]]</f>
        <v>452358.26999999996</v>
      </c>
      <c r="E5" s="11">
        <f>+Tabla111[[#This Row],[DPP ORO]]</f>
        <v>434518.98</v>
      </c>
      <c r="F5" s="11">
        <f>+Tabla111[[#This Row],[PLARTINO]]</f>
        <v>430173.79019999999</v>
      </c>
      <c r="G5" s="11">
        <f>+Tabla111[[#This Row],[PRECIO  INSTALADOR
( CON  IVA)]]/0.7</f>
        <v>680238</v>
      </c>
      <c r="H5" s="14" t="e">
        <f t="shared" si="0"/>
        <v>#REF!</v>
      </c>
      <c r="I5" s="14" t="e">
        <f t="shared" si="1"/>
        <v>#REF!</v>
      </c>
      <c r="J5" s="15" t="e">
        <f t="shared" si="2"/>
        <v>#REF!</v>
      </c>
      <c r="K5" s="15" t="e">
        <f>+L5/#REF!</f>
        <v>#REF!</v>
      </c>
      <c r="L5" s="15">
        <f t="shared" si="3"/>
        <v>430173.79019999999</v>
      </c>
      <c r="M5" s="7">
        <f t="shared" si="4"/>
        <v>4345.1898000000001</v>
      </c>
      <c r="N5" s="1" t="e">
        <f>+O5/#REF!</f>
        <v>#REF!</v>
      </c>
      <c r="O5" s="6">
        <f>Tabla111[[#This Row],[ORO SIN IVA]]*1.19</f>
        <v>434518.98</v>
      </c>
      <c r="P5" s="14" t="e">
        <f>+R5/#REF!</f>
        <v>#REF!</v>
      </c>
      <c r="Q5" s="14">
        <f>+Tabla111[[#This Row],[PRECIO SUGERIDO INSTALADOR]]*5%</f>
        <v>23808.33</v>
      </c>
      <c r="R5" s="6">
        <f>Tabla111[[#This Row],[INSTALLER SIN IVA]]*1.19</f>
        <v>476166.6</v>
      </c>
      <c r="S5" s="1">
        <v>365142</v>
      </c>
      <c r="T5" s="16">
        <v>400140</v>
      </c>
    </row>
    <row r="6" spans="1:20" ht="40.5" x14ac:dyDescent="0.25">
      <c r="A6" s="25" t="s">
        <v>28</v>
      </c>
      <c r="B6" s="26" t="s">
        <v>29</v>
      </c>
      <c r="C6" s="11">
        <f>+Tabla111[[#This Row],[PRECIO SUGERIDO INSTALADOR]]</f>
        <v>1288543.8999999999</v>
      </c>
      <c r="D6" s="11">
        <f>+Tabla111[[#This Row],[PRECIO  INSTALADOR
( CON  IVA)]]-Tabla111[[#This Row],[Columna9]]</f>
        <v>1224116.7049999998</v>
      </c>
      <c r="E6" s="11">
        <f>+Tabla111[[#This Row],[DPP ORO]]</f>
        <v>1149808.94</v>
      </c>
      <c r="F6" s="11">
        <f>+Tabla111[[#This Row],[PLARTINO]]</f>
        <v>1138310.8506</v>
      </c>
      <c r="G6" s="11">
        <f>+Tabla111[[#This Row],[PRECIO  INSTALADOR
( CON  IVA)]]/0.7</f>
        <v>1840777</v>
      </c>
      <c r="H6" s="14" t="e">
        <f t="shared" si="0"/>
        <v>#REF!</v>
      </c>
      <c r="I6" s="14" t="e">
        <f t="shared" si="1"/>
        <v>#REF!</v>
      </c>
      <c r="J6" s="15" t="e">
        <f t="shared" si="2"/>
        <v>#REF!</v>
      </c>
      <c r="K6" s="15" t="e">
        <f>+L6/#REF!</f>
        <v>#REF!</v>
      </c>
      <c r="L6" s="15">
        <f t="shared" si="3"/>
        <v>1138310.8506</v>
      </c>
      <c r="M6" s="7">
        <f t="shared" si="4"/>
        <v>11498.089399999999</v>
      </c>
      <c r="N6" s="1" t="e">
        <f>+O6/#REF!</f>
        <v>#REF!</v>
      </c>
      <c r="O6" s="6">
        <f>Tabla111[[#This Row],[ORO SIN IVA]]*1.19</f>
        <v>1149808.94</v>
      </c>
      <c r="P6" s="14" t="e">
        <f>+R6/#REF!</f>
        <v>#REF!</v>
      </c>
      <c r="Q6" s="14">
        <f>+Tabla111[[#This Row],[PRECIO SUGERIDO INSTALADOR]]*5%</f>
        <v>64427.195</v>
      </c>
      <c r="R6" s="6">
        <f>Tabla111[[#This Row],[INSTALLER SIN IVA]]*1.19</f>
        <v>1288543.8999999999</v>
      </c>
      <c r="S6" s="1">
        <v>966226</v>
      </c>
      <c r="T6" s="16">
        <v>1082810</v>
      </c>
    </row>
    <row r="7" spans="1:20" ht="40.5" x14ac:dyDescent="0.25">
      <c r="A7" s="25" t="s">
        <v>30</v>
      </c>
      <c r="B7" s="26" t="s">
        <v>31</v>
      </c>
      <c r="C7" s="11">
        <f>+Tabla111[[#This Row],[PRECIO SUGERIDO INSTALADOR]]</f>
        <v>268380.7</v>
      </c>
      <c r="D7" s="11">
        <f>+Tabla111[[#This Row],[PRECIO  INSTALADOR
( CON  IVA)]]-Tabla111[[#This Row],[Columna9]]</f>
        <v>254961.66500000001</v>
      </c>
      <c r="E7" s="11">
        <f>+Tabla111[[#This Row],[DPP ORO]]</f>
        <v>215518.52</v>
      </c>
      <c r="F7" s="11">
        <f>+Tabla111[[#This Row],[PLARTINO]]</f>
        <v>213363.33479999998</v>
      </c>
      <c r="G7" s="11">
        <f>+Tabla111[[#This Row],[PRECIO  INSTALADOR
( CON  IVA)]]/0.7</f>
        <v>383401.00000000006</v>
      </c>
      <c r="H7" s="14" t="e">
        <f t="shared" si="0"/>
        <v>#REF!</v>
      </c>
      <c r="I7" s="14" t="e">
        <f t="shared" si="1"/>
        <v>#REF!</v>
      </c>
      <c r="J7" s="15" t="e">
        <f t="shared" si="2"/>
        <v>#REF!</v>
      </c>
      <c r="K7" s="15" t="e">
        <f>+L7/#REF!</f>
        <v>#REF!</v>
      </c>
      <c r="L7" s="15">
        <f t="shared" si="3"/>
        <v>213363.33479999998</v>
      </c>
      <c r="M7" s="7">
        <f t="shared" si="4"/>
        <v>2155.1851999999999</v>
      </c>
      <c r="N7" s="1" t="e">
        <f>+O7/#REF!</f>
        <v>#REF!</v>
      </c>
      <c r="O7" s="6">
        <f>Tabla111[[#This Row],[ORO SIN IVA]]*1.19</f>
        <v>215518.52</v>
      </c>
      <c r="P7" s="14" t="e">
        <f>+R7/#REF!</f>
        <v>#REF!</v>
      </c>
      <c r="Q7" s="14">
        <f>+Tabla111[[#This Row],[PRECIO SUGERIDO INSTALADOR]]*5%</f>
        <v>13419.035000000002</v>
      </c>
      <c r="R7" s="6">
        <f>Tabla111[[#This Row],[INSTALLER SIN IVA]]*1.19</f>
        <v>268380.7</v>
      </c>
      <c r="S7" s="13">
        <v>181108</v>
      </c>
      <c r="T7" s="12">
        <v>225530</v>
      </c>
    </row>
    <row r="8" spans="1:20" ht="40.5" x14ac:dyDescent="0.25">
      <c r="A8" s="25" t="s">
        <v>32</v>
      </c>
      <c r="B8" s="26" t="s">
        <v>33</v>
      </c>
      <c r="C8" s="11">
        <f>+Tabla111[[#This Row],[PRECIO SUGERIDO INSTALADOR]]</f>
        <v>212036.58</v>
      </c>
      <c r="D8" s="11">
        <f>+Tabla111[[#This Row],[PRECIO  INSTALADOR
( CON  IVA)]]-Tabla111[[#This Row],[Columna9]]</f>
        <v>201434.75099999999</v>
      </c>
      <c r="E8" s="11">
        <f>+Tabla111[[#This Row],[DPP ORO]]</f>
        <v>170253.3</v>
      </c>
      <c r="F8" s="11">
        <f>+Tabla111[[#This Row],[PLARTINO]]</f>
        <v>168550.76699999999</v>
      </c>
      <c r="G8" s="11">
        <f>+Tabla111[[#This Row],[PRECIO  INSTALADOR
( CON  IVA)]]/0.7</f>
        <v>302909.40000000002</v>
      </c>
      <c r="H8" s="14" t="e">
        <f t="shared" si="0"/>
        <v>#REF!</v>
      </c>
      <c r="I8" s="14" t="e">
        <f t="shared" si="1"/>
        <v>#REF!</v>
      </c>
      <c r="J8" s="15" t="e">
        <f t="shared" si="2"/>
        <v>#REF!</v>
      </c>
      <c r="K8" s="15" t="e">
        <f>+L8/#REF!</f>
        <v>#REF!</v>
      </c>
      <c r="L8" s="15">
        <f t="shared" si="3"/>
        <v>168550.76699999999</v>
      </c>
      <c r="M8" s="7">
        <f t="shared" si="4"/>
        <v>1702.5329999999999</v>
      </c>
      <c r="N8" s="1" t="e">
        <f>+O8/#REF!</f>
        <v>#REF!</v>
      </c>
      <c r="O8" s="6">
        <f>Tabla111[[#This Row],[ORO SIN IVA]]*1.19</f>
        <v>170253.3</v>
      </c>
      <c r="P8" s="14" t="e">
        <f>+R8/#REF!</f>
        <v>#REF!</v>
      </c>
      <c r="Q8" s="14">
        <f>+Tabla111[[#This Row],[PRECIO SUGERIDO INSTALADOR]]*5%</f>
        <v>10601.829</v>
      </c>
      <c r="R8" s="6">
        <f>Tabla111[[#This Row],[INSTALLER SIN IVA]]*1.19</f>
        <v>212036.58</v>
      </c>
      <c r="S8" s="13">
        <v>143070</v>
      </c>
      <c r="T8" s="12">
        <v>178182</v>
      </c>
    </row>
    <row r="9" spans="1:20" ht="40.5" x14ac:dyDescent="0.25">
      <c r="A9" s="25" t="s">
        <v>34</v>
      </c>
      <c r="B9" s="26" t="s">
        <v>35</v>
      </c>
      <c r="C9" s="11">
        <f>+Tabla111[[#This Row],[PRECIO SUGERIDO INSTALADOR]]</f>
        <v>574520.1</v>
      </c>
      <c r="D9" s="11">
        <f>+Tabla111[[#This Row],[PRECIO  INSTALADOR
( CON  IVA)]]-Tabla111[[#This Row],[Columna9]]</f>
        <v>545794.09499999997</v>
      </c>
      <c r="E9" s="11">
        <f>+Tabla111[[#This Row],[DPP ORO]]</f>
        <v>463821.54</v>
      </c>
      <c r="F9" s="11">
        <f>+Tabla111[[#This Row],[PLARTINO]]</f>
        <v>459183.32459999999</v>
      </c>
      <c r="G9" s="11">
        <f>+Tabla111[[#This Row],[PRECIO  INSTALADOR
( CON  IVA)]]/0.7</f>
        <v>820743</v>
      </c>
      <c r="H9" s="14" t="e">
        <f t="shared" si="0"/>
        <v>#REF!</v>
      </c>
      <c r="I9" s="14" t="e">
        <f t="shared" si="1"/>
        <v>#REF!</v>
      </c>
      <c r="J9" s="15" t="e">
        <f t="shared" si="2"/>
        <v>#REF!</v>
      </c>
      <c r="K9" s="15" t="e">
        <f>+L9/#REF!</f>
        <v>#REF!</v>
      </c>
      <c r="L9" s="15">
        <f t="shared" si="3"/>
        <v>459183.32459999999</v>
      </c>
      <c r="M9" s="7">
        <f t="shared" si="4"/>
        <v>4638.2154</v>
      </c>
      <c r="N9" s="1" t="e">
        <f>+O9/#REF!</f>
        <v>#REF!</v>
      </c>
      <c r="O9" s="6">
        <f>Tabla111[[#This Row],[ORO SIN IVA]]*1.19</f>
        <v>463821.54</v>
      </c>
      <c r="P9" s="14" t="e">
        <f>+R9/#REF!</f>
        <v>#REF!</v>
      </c>
      <c r="Q9" s="14">
        <f>+Tabla111[[#This Row],[PRECIO SUGERIDO INSTALADOR]]*5%</f>
        <v>28726.005000000001</v>
      </c>
      <c r="R9" s="6">
        <f>Tabla111[[#This Row],[INSTALLER SIN IVA]]*1.19</f>
        <v>574520.1</v>
      </c>
      <c r="S9" s="13">
        <v>389766</v>
      </c>
      <c r="T9" s="12">
        <v>482790</v>
      </c>
    </row>
    <row r="10" spans="1:20" ht="40.5" x14ac:dyDescent="0.25">
      <c r="A10" s="25" t="s">
        <v>36</v>
      </c>
      <c r="B10" s="26" t="s">
        <v>37</v>
      </c>
      <c r="C10" s="11">
        <f>+Tabla111[[#This Row],[PRECIO SUGERIDO INSTALADOR]]</f>
        <v>525501.62</v>
      </c>
      <c r="D10" s="11">
        <f>+Tabla111[[#This Row],[PRECIO  INSTALADOR
( CON  IVA)]]-Tabla111[[#This Row],[Columna9]]</f>
        <v>499226.53899999999</v>
      </c>
      <c r="E10" s="11">
        <f>+Tabla111[[#This Row],[DPP ORO]]</f>
        <v>424254.04</v>
      </c>
      <c r="F10" s="11">
        <f>+Tabla111[[#This Row],[PLARTINO]]</f>
        <v>420011.49959999998</v>
      </c>
      <c r="G10" s="11">
        <f>+Tabla111[[#This Row],[PRECIO  INSTALADOR
( CON  IVA)]]/0.7</f>
        <v>750716.60000000009</v>
      </c>
      <c r="H10" s="14" t="e">
        <f t="shared" si="0"/>
        <v>#REF!</v>
      </c>
      <c r="I10" s="14" t="e">
        <f t="shared" si="1"/>
        <v>#REF!</v>
      </c>
      <c r="J10" s="15" t="e">
        <f t="shared" si="2"/>
        <v>#REF!</v>
      </c>
      <c r="K10" s="15" t="e">
        <f>+L10/#REF!</f>
        <v>#REF!</v>
      </c>
      <c r="L10" s="15">
        <f t="shared" si="3"/>
        <v>420011.49959999998</v>
      </c>
      <c r="M10" s="7">
        <f t="shared" si="4"/>
        <v>4242.5403999999999</v>
      </c>
      <c r="N10" s="1" t="e">
        <f>+O10/#REF!</f>
        <v>#REF!</v>
      </c>
      <c r="O10" s="1">
        <f>Tabla111[[#This Row],[ORO SIN IVA]]*1.19</f>
        <v>424254.04</v>
      </c>
      <c r="P10" s="14" t="e">
        <f>+R10/#REF!</f>
        <v>#REF!</v>
      </c>
      <c r="Q10" s="14">
        <f>+Tabla111[[#This Row],[PRECIO SUGERIDO INSTALADOR]]*5%</f>
        <v>26275.081000000002</v>
      </c>
      <c r="R10" s="1">
        <f>Tabla111[[#This Row],[INSTALLER SIN IVA]]*1.19</f>
        <v>525501.62</v>
      </c>
      <c r="S10" s="13">
        <v>356516</v>
      </c>
      <c r="T10" s="12">
        <v>441598</v>
      </c>
    </row>
    <row r="11" spans="1:20" ht="40.5" x14ac:dyDescent="0.25">
      <c r="A11" s="25" t="s">
        <v>38</v>
      </c>
      <c r="B11" s="26" t="s">
        <v>39</v>
      </c>
      <c r="C11" s="27">
        <f>+Tabla111[[#This Row],[PRECIO SUGERIDO INSTALADOR]]</f>
        <v>525501.62</v>
      </c>
      <c r="D11" s="27">
        <f>+Tabla111[[#This Row],[PRECIO  INSTALADOR
( CON  IVA)]]-Tabla111[[#This Row],[Columna9]]</f>
        <v>499226.53899999999</v>
      </c>
      <c r="E11" s="27">
        <f>+Tabla111[[#This Row],[DPP ORO]]</f>
        <v>424254.04</v>
      </c>
      <c r="F11" s="27">
        <f>+Tabla111[[#This Row],[PLARTINO]]</f>
        <v>420011.49959999998</v>
      </c>
      <c r="G11" s="28">
        <f>+Tabla111[[#This Row],[PRECIO  INSTALADOR
( CON  IVA)]]/0.7</f>
        <v>750716.60000000009</v>
      </c>
      <c r="H11" s="14" t="e">
        <f t="shared" ref="H11:H20" si="5">+P11</f>
        <v>#REF!</v>
      </c>
      <c r="I11" s="14" t="e">
        <f t="shared" ref="I11:I20" si="6">+N11</f>
        <v>#REF!</v>
      </c>
      <c r="J11" s="15" t="e">
        <f t="shared" ref="J11:J20" si="7">+K11</f>
        <v>#REF!</v>
      </c>
      <c r="K11" s="15" t="e">
        <f>+L11/#REF!</f>
        <v>#REF!</v>
      </c>
      <c r="L11" s="15">
        <f t="shared" ref="L11:L20" si="8">+O11-M11</f>
        <v>420011.49959999998</v>
      </c>
      <c r="M11" s="7">
        <f t="shared" ref="M11:M20" si="9">+O11*1%</f>
        <v>4242.5403999999999</v>
      </c>
      <c r="N11" s="1" t="e">
        <f>+O11/#REF!</f>
        <v>#REF!</v>
      </c>
      <c r="O11" s="1">
        <f>Tabla111[[#This Row],[ORO SIN IVA]]*1.19</f>
        <v>424254.04</v>
      </c>
      <c r="P11" s="14" t="e">
        <f>+R11/#REF!</f>
        <v>#REF!</v>
      </c>
      <c r="Q11" s="14">
        <f>+Tabla111[[#This Row],[PRECIO SUGERIDO INSTALADOR]]*5%</f>
        <v>26275.081000000002</v>
      </c>
      <c r="R11" s="1">
        <f>Tabla111[[#This Row],[INSTALLER SIN IVA]]*1.19</f>
        <v>525501.62</v>
      </c>
      <c r="S11" s="1">
        <v>356516</v>
      </c>
      <c r="T11" s="16">
        <v>441598</v>
      </c>
    </row>
    <row r="12" spans="1:20" ht="40.5" x14ac:dyDescent="0.25">
      <c r="A12" s="25" t="s">
        <v>40</v>
      </c>
      <c r="B12" s="26" t="s">
        <v>41</v>
      </c>
      <c r="C12" s="27">
        <f>+Tabla111[[#This Row],[PRECIO SUGERIDO INSTALADOR]]</f>
        <v>574520.1</v>
      </c>
      <c r="D12" s="27">
        <f>+Tabla111[[#This Row],[PRECIO  INSTALADOR
( CON  IVA)]]-Tabla111[[#This Row],[Columna9]]</f>
        <v>545794.09499999997</v>
      </c>
      <c r="E12" s="27">
        <f>+Tabla111[[#This Row],[DPP ORO]]</f>
        <v>463821.54</v>
      </c>
      <c r="F12" s="27">
        <f>+Tabla111[[#This Row],[PLARTINO]]</f>
        <v>459183.32459999999</v>
      </c>
      <c r="G12" s="28">
        <f>+Tabla111[[#This Row],[PRECIO  INSTALADOR
( CON  IVA)]]/0.7</f>
        <v>820743</v>
      </c>
      <c r="H12" s="14" t="e">
        <f t="shared" si="5"/>
        <v>#REF!</v>
      </c>
      <c r="I12" s="14" t="e">
        <f t="shared" si="6"/>
        <v>#REF!</v>
      </c>
      <c r="J12" s="15" t="e">
        <f t="shared" si="7"/>
        <v>#REF!</v>
      </c>
      <c r="K12" s="15" t="e">
        <f>+L12/#REF!</f>
        <v>#REF!</v>
      </c>
      <c r="L12" s="15">
        <f t="shared" si="8"/>
        <v>459183.32459999999</v>
      </c>
      <c r="M12" s="7">
        <f t="shared" si="9"/>
        <v>4638.2154</v>
      </c>
      <c r="N12" s="1" t="e">
        <f>+O12/#REF!</f>
        <v>#REF!</v>
      </c>
      <c r="O12" s="1">
        <f>Tabla111[[#This Row],[ORO SIN IVA]]*1.19</f>
        <v>463821.54</v>
      </c>
      <c r="P12" s="14" t="e">
        <f>+R12/#REF!</f>
        <v>#REF!</v>
      </c>
      <c r="Q12" s="14">
        <f>+Tabla111[[#This Row],[PRECIO SUGERIDO INSTALADOR]]*5%</f>
        <v>28726.005000000001</v>
      </c>
      <c r="R12" s="1">
        <f>Tabla111[[#This Row],[INSTALLER SIN IVA]]*1.19</f>
        <v>574520.1</v>
      </c>
      <c r="S12" s="1">
        <v>389766</v>
      </c>
      <c r="T12" s="16">
        <v>482790</v>
      </c>
    </row>
    <row r="13" spans="1:20" ht="40.5" x14ac:dyDescent="0.25">
      <c r="A13" s="25" t="s">
        <v>42</v>
      </c>
      <c r="B13" s="26" t="s">
        <v>43</v>
      </c>
      <c r="C13" s="27">
        <f>+Tabla111[[#This Row],[PRECIO SUGERIDO INSTALADOR]]</f>
        <v>899787.55999999994</v>
      </c>
      <c r="D13" s="27">
        <f>+Tabla111[[#This Row],[PRECIO  INSTALADOR
( CON  IVA)]]-Tabla111[[#This Row],[Columna9]]</f>
        <v>854798.18199999991</v>
      </c>
      <c r="E13" s="27">
        <f>+Tabla111[[#This Row],[DPP ORO]]</f>
        <v>838017.03999999992</v>
      </c>
      <c r="F13" s="27">
        <f>+Tabla111[[#This Row],[PLARTINO]]</f>
        <v>829636.86959999998</v>
      </c>
      <c r="G13" s="28">
        <f>+Tabla111[[#This Row],[PRECIO  INSTALADOR
( CON  IVA)]]/0.7</f>
        <v>1285410.8</v>
      </c>
      <c r="H13" s="14" t="e">
        <f t="shared" si="5"/>
        <v>#REF!</v>
      </c>
      <c r="I13" s="14" t="e">
        <f t="shared" si="6"/>
        <v>#REF!</v>
      </c>
      <c r="J13" s="15" t="e">
        <f t="shared" si="7"/>
        <v>#REF!</v>
      </c>
      <c r="K13" s="15" t="e">
        <f>+L13/#REF!</f>
        <v>#REF!</v>
      </c>
      <c r="L13" s="15">
        <f t="shared" si="8"/>
        <v>829636.86959999998</v>
      </c>
      <c r="M13" s="7">
        <f t="shared" si="9"/>
        <v>8380.1703999999991</v>
      </c>
      <c r="N13" s="1" t="e">
        <f>+O13/#REF!</f>
        <v>#REF!</v>
      </c>
      <c r="O13" s="1">
        <f>Tabla111[[#This Row],[ORO SIN IVA]]*1.19</f>
        <v>838017.03999999992</v>
      </c>
      <c r="P13" s="14" t="e">
        <f>+R13/#REF!</f>
        <v>#REF!</v>
      </c>
      <c r="Q13" s="14">
        <f>+Tabla111[[#This Row],[PRECIO SUGERIDO INSTALADOR]]*5%</f>
        <v>44989.377999999997</v>
      </c>
      <c r="R13" s="1">
        <f>Tabla111[[#This Row],[INSTALLER SIN IVA]]*1.19</f>
        <v>899787.55999999994</v>
      </c>
      <c r="S13" s="1">
        <v>704216</v>
      </c>
      <c r="T13" s="16">
        <v>756124</v>
      </c>
    </row>
    <row r="14" spans="1:20" ht="40.5" x14ac:dyDescent="0.25">
      <c r="A14" s="25" t="s">
        <v>44</v>
      </c>
      <c r="B14" s="26" t="s">
        <v>45</v>
      </c>
      <c r="C14" s="27">
        <f>+Tabla111[[#This Row],[PRECIO SUGERIDO INSTALADOR]]</f>
        <v>222663.28</v>
      </c>
      <c r="D14" s="27">
        <f>+Tabla111[[#This Row],[PRECIO  INSTALADOR
( CON  IVA)]]-Tabla111[[#This Row],[Columna9]]</f>
        <v>211530.11600000001</v>
      </c>
      <c r="E14" s="27">
        <f>+Tabla111[[#This Row],[DPP ORO]]</f>
        <v>173100.97</v>
      </c>
      <c r="F14" s="27">
        <f>+Tabla111[[#This Row],[PLARTINO]]</f>
        <v>171369.96030000001</v>
      </c>
      <c r="G14" s="28">
        <f>+Tabla111[[#This Row],[PRECIO  INSTALADOR
( CON  IVA)]]/0.7</f>
        <v>318090.40000000002</v>
      </c>
      <c r="H14" s="14" t="e">
        <f t="shared" si="5"/>
        <v>#REF!</v>
      </c>
      <c r="I14" s="14" t="e">
        <f t="shared" si="6"/>
        <v>#REF!</v>
      </c>
      <c r="J14" s="15" t="e">
        <f t="shared" si="7"/>
        <v>#REF!</v>
      </c>
      <c r="K14" s="15" t="e">
        <f>+L14/#REF!</f>
        <v>#REF!</v>
      </c>
      <c r="L14" s="15">
        <f t="shared" si="8"/>
        <v>171369.96030000001</v>
      </c>
      <c r="M14" s="7">
        <f t="shared" si="9"/>
        <v>1731.0097000000001</v>
      </c>
      <c r="N14" s="1" t="e">
        <f>+O14/#REF!</f>
        <v>#REF!</v>
      </c>
      <c r="O14" s="1">
        <f>Tabla111[[#This Row],[ORO SIN IVA]]*1.19</f>
        <v>173100.97</v>
      </c>
      <c r="P14" s="14" t="e">
        <f>+R14/#REF!</f>
        <v>#REF!</v>
      </c>
      <c r="Q14" s="14">
        <f>+Tabla111[[#This Row],[PRECIO SUGERIDO INSTALADOR]]*5%</f>
        <v>11133.164000000001</v>
      </c>
      <c r="R14" s="1">
        <f>Tabla111[[#This Row],[INSTALLER SIN IVA]]*1.19</f>
        <v>222663.28</v>
      </c>
      <c r="S14" s="1">
        <v>145463</v>
      </c>
      <c r="T14" s="16">
        <v>187112</v>
      </c>
    </row>
    <row r="15" spans="1:20" ht="27" x14ac:dyDescent="0.25">
      <c r="A15" s="25" t="s">
        <v>46</v>
      </c>
      <c r="B15" s="26" t="s">
        <v>47</v>
      </c>
      <c r="C15" s="27">
        <f>+Tabla111[[#This Row],[PRECIO SUGERIDO INSTALADOR]]</f>
        <v>196435.68</v>
      </c>
      <c r="D15" s="27">
        <f>+Tabla111[[#This Row],[PRECIO  INSTALADOR
( CON  IVA)]]-Tabla111[[#This Row],[Columna9]]</f>
        <v>186613.89600000001</v>
      </c>
      <c r="E15" s="27">
        <f>+Tabla111[[#This Row],[DPP ORO]]</f>
        <v>160304.9</v>
      </c>
      <c r="F15" s="27">
        <f>+Tabla111[[#This Row],[PLARTINO]]</f>
        <v>158701.851</v>
      </c>
      <c r="G15" s="28">
        <f>+Tabla111[[#This Row],[PRECIO  INSTALADOR
( CON  IVA)]]/0.7</f>
        <v>280622.40000000002</v>
      </c>
      <c r="H15" s="14" t="e">
        <f t="shared" si="5"/>
        <v>#REF!</v>
      </c>
      <c r="I15" s="14" t="e">
        <f t="shared" si="6"/>
        <v>#REF!</v>
      </c>
      <c r="J15" s="15" t="e">
        <f t="shared" si="7"/>
        <v>#REF!</v>
      </c>
      <c r="K15" s="15" t="e">
        <f>+L15/#REF!</f>
        <v>#REF!</v>
      </c>
      <c r="L15" s="15">
        <f t="shared" si="8"/>
        <v>158701.851</v>
      </c>
      <c r="M15" s="7">
        <f t="shared" si="9"/>
        <v>1603.049</v>
      </c>
      <c r="N15" s="1" t="e">
        <f>+O15/#REF!</f>
        <v>#REF!</v>
      </c>
      <c r="O15" s="1">
        <f>Tabla111[[#This Row],[ORO SIN IVA]]*1.19</f>
        <v>160304.9</v>
      </c>
      <c r="P15" s="14" t="e">
        <f>+R15/#REF!</f>
        <v>#REF!</v>
      </c>
      <c r="Q15" s="14">
        <f>+Tabla111[[#This Row],[PRECIO SUGERIDO INSTALADOR]]*5%</f>
        <v>9821.7839999999997</v>
      </c>
      <c r="R15" s="1">
        <f>Tabla111[[#This Row],[INSTALLER SIN IVA]]*1.19</f>
        <v>196435.68</v>
      </c>
      <c r="S15" s="1">
        <v>134710</v>
      </c>
      <c r="T15" s="16">
        <v>165072</v>
      </c>
    </row>
    <row r="16" spans="1:20" ht="40.5" x14ac:dyDescent="0.25">
      <c r="A16" s="25" t="s">
        <v>48</v>
      </c>
      <c r="B16" s="26" t="s">
        <v>49</v>
      </c>
      <c r="C16" s="27">
        <f>+Tabla111[[#This Row],[PRECIO SUGERIDO INSTALADOR]]</f>
        <v>140317.66</v>
      </c>
      <c r="D16" s="27">
        <f>+Tabla111[[#This Row],[PRECIO  INSTALADOR
( CON  IVA)]]-Tabla111[[#This Row],[Columna9]]</f>
        <v>133301.777</v>
      </c>
      <c r="E16" s="27">
        <f>+Tabla111[[#This Row],[DPP ORO]]</f>
        <v>109024.23</v>
      </c>
      <c r="F16" s="27">
        <f>+Tabla111[[#This Row],[PLARTINO]]</f>
        <v>107933.9877</v>
      </c>
      <c r="G16" s="28">
        <f>+Tabla111[[#This Row],[PRECIO  INSTALADOR
( CON  IVA)]]/0.7</f>
        <v>200453.80000000002</v>
      </c>
      <c r="H16" s="14" t="e">
        <f t="shared" si="5"/>
        <v>#REF!</v>
      </c>
      <c r="I16" s="14" t="e">
        <f t="shared" si="6"/>
        <v>#REF!</v>
      </c>
      <c r="J16" s="15" t="e">
        <f t="shared" si="7"/>
        <v>#REF!</v>
      </c>
      <c r="K16" s="15" t="e">
        <f>+L16/#REF!</f>
        <v>#REF!</v>
      </c>
      <c r="L16" s="15">
        <f t="shared" si="8"/>
        <v>107933.9877</v>
      </c>
      <c r="M16" s="7">
        <f t="shared" si="9"/>
        <v>1090.2422999999999</v>
      </c>
      <c r="N16" s="1" t="e">
        <f>+O16/#REF!</f>
        <v>#REF!</v>
      </c>
      <c r="O16" s="1">
        <f>Tabla111[[#This Row],[ORO SIN IVA]]*1.19</f>
        <v>109024.23</v>
      </c>
      <c r="P16" s="14" t="e">
        <f>+R16/#REF!</f>
        <v>#REF!</v>
      </c>
      <c r="Q16" s="14">
        <f>+Tabla111[[#This Row],[PRECIO SUGERIDO INSTALADOR]]*5%</f>
        <v>7015.8830000000007</v>
      </c>
      <c r="R16" s="1">
        <f>Tabla111[[#This Row],[INSTALLER SIN IVA]]*1.19</f>
        <v>140317.66</v>
      </c>
      <c r="S16" s="1">
        <v>91617</v>
      </c>
      <c r="T16" s="16">
        <v>117914.00000000001</v>
      </c>
    </row>
    <row r="17" spans="1:20" ht="27" x14ac:dyDescent="0.25">
      <c r="A17" s="25" t="s">
        <v>50</v>
      </c>
      <c r="B17" s="26" t="s">
        <v>51</v>
      </c>
      <c r="C17" s="27">
        <f>+Tabla111[[#This Row],[PRECIO SUGERIDO INSTALADOR]]</f>
        <v>1619102.0999999999</v>
      </c>
      <c r="D17" s="27">
        <f>+Tabla111[[#This Row],[PRECIO  INSTALADOR
( CON  IVA)]]-Tabla111[[#This Row],[Columna9]]</f>
        <v>1538146.9949999999</v>
      </c>
      <c r="E17" s="27">
        <f>+Tabla111[[#This Row],[DPP ORO]]</f>
        <v>1300346.3199999998</v>
      </c>
      <c r="F17" s="27">
        <f>+Tabla111[[#This Row],[PLARTINO]]</f>
        <v>1287342.8567999997</v>
      </c>
      <c r="G17" s="28">
        <f>+Tabla111[[#This Row],[PRECIO  INSTALADOR
( CON  IVA)]]/0.7</f>
        <v>2313003</v>
      </c>
      <c r="H17" s="14" t="e">
        <f t="shared" si="5"/>
        <v>#REF!</v>
      </c>
      <c r="I17" s="14" t="e">
        <f t="shared" si="6"/>
        <v>#REF!</v>
      </c>
      <c r="J17" s="15" t="e">
        <f t="shared" si="7"/>
        <v>#REF!</v>
      </c>
      <c r="K17" s="15" t="e">
        <f>+L17/#REF!</f>
        <v>#REF!</v>
      </c>
      <c r="L17" s="15">
        <f t="shared" si="8"/>
        <v>1287342.8567999997</v>
      </c>
      <c r="M17" s="7">
        <f t="shared" si="9"/>
        <v>13003.463199999998</v>
      </c>
      <c r="N17" s="1" t="e">
        <f>+O17/#REF!</f>
        <v>#REF!</v>
      </c>
      <c r="O17" s="1">
        <f>Tabla111[[#This Row],[ORO SIN IVA]]*1.19</f>
        <v>1300346.3199999998</v>
      </c>
      <c r="P17" s="14" t="e">
        <f>+R17/#REF!</f>
        <v>#REF!</v>
      </c>
      <c r="Q17" s="14">
        <f>+Tabla111[[#This Row],[PRECIO SUGERIDO INSTALADOR]]*5%</f>
        <v>80955.104999999996</v>
      </c>
      <c r="R17" s="1">
        <f>Tabla111[[#This Row],[INSTALLER SIN IVA]]*1.19</f>
        <v>1619102.0999999999</v>
      </c>
      <c r="S17" s="1">
        <v>1092728</v>
      </c>
      <c r="T17" s="16">
        <v>1360590</v>
      </c>
    </row>
    <row r="18" spans="1:20" ht="40.5" x14ac:dyDescent="0.25">
      <c r="A18" s="25" t="s">
        <v>52</v>
      </c>
      <c r="B18" s="26" t="s">
        <v>53</v>
      </c>
      <c r="C18" s="27">
        <f>+Tabla111[[#This Row],[PRECIO SUGERIDO INSTALADOR]]</f>
        <v>169801.1</v>
      </c>
      <c r="D18" s="27">
        <f>+Tabla111[[#This Row],[PRECIO  INSTALADOR
( CON  IVA)]]-Tabla111[[#This Row],[Columna9]]</f>
        <v>161311.04500000001</v>
      </c>
      <c r="E18" s="27">
        <f>+Tabla111[[#This Row],[DPP ORO]]</f>
        <v>140317.66</v>
      </c>
      <c r="F18" s="27">
        <f>+Tabla111[[#This Row],[PLARTINO]]</f>
        <v>138914.4834</v>
      </c>
      <c r="G18" s="28">
        <f>+Tabla111[[#This Row],[PRECIO  INSTALADOR
( CON  IVA)]]/0.7</f>
        <v>242573.00000000003</v>
      </c>
      <c r="H18" s="14" t="e">
        <f t="shared" si="5"/>
        <v>#REF!</v>
      </c>
      <c r="I18" s="14" t="e">
        <f t="shared" si="6"/>
        <v>#REF!</v>
      </c>
      <c r="J18" s="15" t="e">
        <f t="shared" si="7"/>
        <v>#REF!</v>
      </c>
      <c r="K18" s="15" t="e">
        <f>+L18/#REF!</f>
        <v>#REF!</v>
      </c>
      <c r="L18" s="15">
        <f t="shared" si="8"/>
        <v>138914.4834</v>
      </c>
      <c r="M18" s="7">
        <f t="shared" si="9"/>
        <v>1403.1766</v>
      </c>
      <c r="N18" s="1" t="e">
        <f>+O18/#REF!</f>
        <v>#REF!</v>
      </c>
      <c r="O18" s="1">
        <f>Tabla111[[#This Row],[ORO SIN IVA]]*1.19</f>
        <v>140317.66</v>
      </c>
      <c r="P18" s="14" t="e">
        <f>+R18/#REF!</f>
        <v>#REF!</v>
      </c>
      <c r="Q18" s="14">
        <f>+Tabla111[[#This Row],[PRECIO SUGERIDO INSTALADOR]]*5%</f>
        <v>8490.0550000000003</v>
      </c>
      <c r="R18" s="1">
        <f>Tabla111[[#This Row],[INSTALLER SIN IVA]]*1.19</f>
        <v>169801.1</v>
      </c>
      <c r="S18" s="1">
        <v>117914</v>
      </c>
      <c r="T18" s="16">
        <v>142690</v>
      </c>
    </row>
    <row r="19" spans="1:20" ht="40.5" x14ac:dyDescent="0.25">
      <c r="A19" s="25" t="s">
        <v>54</v>
      </c>
      <c r="B19" s="26" t="s">
        <v>55</v>
      </c>
      <c r="C19" s="27">
        <f>+Tabla111[[#This Row],[PRECIO SUGERIDO INSTALADOR]]</f>
        <v>243419.25999999998</v>
      </c>
      <c r="D19" s="27">
        <f>+Tabla111[[#This Row],[PRECIO  INSTALADOR
( CON  IVA)]]-Tabla111[[#This Row],[Columna9]]</f>
        <v>231248.29699999999</v>
      </c>
      <c r="E19" s="27">
        <f>+Tabla111[[#This Row],[DPP ORO]]</f>
        <v>196480.9</v>
      </c>
      <c r="F19" s="27">
        <f>+Tabla111[[#This Row],[PLARTINO]]</f>
        <v>194516.09099999999</v>
      </c>
      <c r="G19" s="28">
        <f>+Tabla111[[#This Row],[PRECIO  INSTALADOR
( CON  IVA)]]/0.7</f>
        <v>347741.8</v>
      </c>
      <c r="H19" s="14" t="e">
        <f t="shared" si="5"/>
        <v>#REF!</v>
      </c>
      <c r="I19" s="14" t="e">
        <f t="shared" si="6"/>
        <v>#REF!</v>
      </c>
      <c r="J19" s="15" t="e">
        <f t="shared" si="7"/>
        <v>#REF!</v>
      </c>
      <c r="K19" s="15" t="e">
        <f>+L19/#REF!</f>
        <v>#REF!</v>
      </c>
      <c r="L19" s="15">
        <f t="shared" si="8"/>
        <v>194516.09099999999</v>
      </c>
      <c r="M19" s="7">
        <f t="shared" si="9"/>
        <v>1964.809</v>
      </c>
      <c r="N19" s="1" t="e">
        <f>+O19/#REF!</f>
        <v>#REF!</v>
      </c>
      <c r="O19" s="1">
        <f>Tabla111[[#This Row],[ORO SIN IVA]]*1.19</f>
        <v>196480.9</v>
      </c>
      <c r="P19" s="14" t="e">
        <f>+R19/#REF!</f>
        <v>#REF!</v>
      </c>
      <c r="Q19" s="14">
        <f>+Tabla111[[#This Row],[PRECIO SUGERIDO INSTALADOR]]*5%</f>
        <v>12170.963</v>
      </c>
      <c r="R19" s="1">
        <f>Tabla111[[#This Row],[INSTALLER SIN IVA]]*1.19</f>
        <v>243419.25999999998</v>
      </c>
      <c r="S19" s="1">
        <v>165110</v>
      </c>
      <c r="T19" s="16">
        <v>204554</v>
      </c>
    </row>
    <row r="20" spans="1:20" ht="40.5" x14ac:dyDescent="0.25">
      <c r="A20" s="25" t="s">
        <v>56</v>
      </c>
      <c r="B20" s="26" t="s">
        <v>55</v>
      </c>
      <c r="C20" s="27">
        <f>+Tabla111[[#This Row],[PRECIO SUGERIDO INSTALADOR]]</f>
        <v>220809.25999999998</v>
      </c>
      <c r="D20" s="27">
        <f>+Tabla111[[#This Row],[PRECIO  INSTALADOR
( CON  IVA)]]-Tabla111[[#This Row],[Columna9]]</f>
        <v>209768.79699999999</v>
      </c>
      <c r="E20" s="27">
        <f>+Tabla111[[#This Row],[DPP ORO]]</f>
        <v>182462.69999999998</v>
      </c>
      <c r="F20" s="27">
        <f>+Tabla111[[#This Row],[PLARTINO]]</f>
        <v>180638.07299999997</v>
      </c>
      <c r="G20" s="28">
        <f>+Tabla111[[#This Row],[PRECIO  INSTALADOR
( CON  IVA)]]/0.7</f>
        <v>315441.8</v>
      </c>
      <c r="H20" s="14" t="e">
        <f t="shared" si="5"/>
        <v>#REF!</v>
      </c>
      <c r="I20" s="14" t="e">
        <f t="shared" si="6"/>
        <v>#REF!</v>
      </c>
      <c r="J20" s="15" t="e">
        <f t="shared" si="7"/>
        <v>#REF!</v>
      </c>
      <c r="K20" s="15" t="e">
        <f>+L20/#REF!</f>
        <v>#REF!</v>
      </c>
      <c r="L20" s="15">
        <f t="shared" si="8"/>
        <v>180638.07299999997</v>
      </c>
      <c r="M20" s="7">
        <f t="shared" si="9"/>
        <v>1824.627</v>
      </c>
      <c r="N20" s="1" t="e">
        <f>+O20/#REF!</f>
        <v>#REF!</v>
      </c>
      <c r="O20" s="1">
        <f>Tabla111[[#This Row],[ORO SIN IVA]]*1.19</f>
        <v>182462.69999999998</v>
      </c>
      <c r="P20" s="14" t="e">
        <f>+R20/#REF!</f>
        <v>#REF!</v>
      </c>
      <c r="Q20" s="14">
        <f>+Tabla111[[#This Row],[PRECIO SUGERIDO INSTALADOR]]*5%</f>
        <v>11040.463</v>
      </c>
      <c r="R20" s="1">
        <f>Tabla111[[#This Row],[INSTALLER SIN IVA]]*1.19</f>
        <v>220809.25999999998</v>
      </c>
      <c r="S20" s="1">
        <v>153330</v>
      </c>
      <c r="T20" s="16">
        <v>185554</v>
      </c>
    </row>
    <row r="21" spans="1:20" x14ac:dyDescent="0.25">
      <c r="A21" s="3"/>
      <c r="B21" s="3"/>
      <c r="C21" s="10"/>
      <c r="D21" s="10"/>
      <c r="E21" s="10"/>
      <c r="F21" s="10"/>
      <c r="G21" s="10"/>
    </row>
    <row r="22" spans="1:20" x14ac:dyDescent="0.25">
      <c r="A22" s="3"/>
      <c r="B22" s="3"/>
      <c r="C22" s="10"/>
      <c r="D22" s="10"/>
      <c r="E22" s="10"/>
      <c r="F22" s="10"/>
      <c r="G22" s="10"/>
    </row>
  </sheetData>
  <sheetProtection selectLockedCells="1"/>
  <conditionalFormatting sqref="A2:A20">
    <cfRule type="duplicateValues" dxfId="81" priority="1"/>
  </conditionalFormatting>
  <conditionalFormatting sqref="B2:B3">
    <cfRule type="duplicateValues" dxfId="80" priority="2"/>
    <cfRule type="duplicateValues" dxfId="79" priority="3"/>
  </conditionalFormatting>
  <conditionalFormatting sqref="B6">
    <cfRule type="duplicateValues" dxfId="78" priority="82"/>
    <cfRule type="duplicateValues" dxfId="77" priority="75"/>
    <cfRule type="duplicateValues" dxfId="76" priority="76"/>
    <cfRule type="duplicateValues" dxfId="75" priority="77"/>
    <cfRule type="duplicateValues" dxfId="74" priority="78"/>
    <cfRule type="duplicateValues" dxfId="73" priority="79"/>
    <cfRule type="duplicateValues" dxfId="72" priority="80"/>
    <cfRule type="duplicateValues" dxfId="71" priority="81"/>
  </conditionalFormatting>
  <conditionalFormatting sqref="B10">
    <cfRule type="duplicateValues" dxfId="70" priority="50"/>
    <cfRule type="duplicateValues" dxfId="69" priority="49"/>
    <cfRule type="duplicateValues" dxfId="68" priority="48"/>
    <cfRule type="duplicateValues" dxfId="67" priority="47"/>
    <cfRule type="duplicateValues" dxfId="66" priority="46"/>
    <cfRule type="duplicateValues" dxfId="65" priority="45"/>
    <cfRule type="duplicateValues" dxfId="64" priority="44"/>
    <cfRule type="duplicateValues" dxfId="63" priority="52"/>
    <cfRule type="duplicateValues" dxfId="62" priority="33"/>
    <cfRule type="duplicateValues" dxfId="61" priority="34"/>
    <cfRule type="duplicateValues" dxfId="60" priority="35"/>
    <cfRule type="duplicateValues" dxfId="59" priority="36"/>
    <cfRule type="duplicateValues" dxfId="58" priority="37"/>
    <cfRule type="duplicateValues" dxfId="57" priority="38"/>
    <cfRule type="duplicateValues" dxfId="56" priority="39"/>
    <cfRule type="duplicateValues" dxfId="55" priority="40"/>
    <cfRule type="duplicateValues" dxfId="54" priority="41"/>
    <cfRule type="duplicateValues" dxfId="53" priority="43"/>
    <cfRule type="duplicateValues" dxfId="52" priority="42"/>
    <cfRule type="duplicateValues" dxfId="51" priority="51"/>
    <cfRule type="duplicateValues" dxfId="50" priority="53"/>
  </conditionalFormatting>
  <conditionalFormatting sqref="B11">
    <cfRule type="duplicateValues" dxfId="49" priority="23"/>
    <cfRule type="duplicateValues" dxfId="48" priority="24"/>
    <cfRule type="duplicateValues" dxfId="47" priority="25"/>
    <cfRule type="duplicateValues" dxfId="46" priority="26"/>
    <cfRule type="duplicateValues" dxfId="45" priority="27"/>
    <cfRule type="duplicateValues" dxfId="44" priority="28"/>
    <cfRule type="duplicateValues" dxfId="43" priority="29"/>
    <cfRule type="duplicateValues" dxfId="42" priority="30"/>
    <cfRule type="duplicateValues" dxfId="41" priority="31"/>
    <cfRule type="duplicateValues" dxfId="40" priority="21"/>
    <cfRule type="duplicateValues" dxfId="39" priority="12"/>
    <cfRule type="duplicateValues" dxfId="38" priority="32"/>
    <cfRule type="duplicateValues" dxfId="37" priority="13"/>
    <cfRule type="duplicateValues" dxfId="36" priority="14"/>
    <cfRule type="duplicateValues" dxfId="35" priority="15"/>
    <cfRule type="duplicateValues" dxfId="34" priority="16"/>
    <cfRule type="duplicateValues" dxfId="33" priority="17"/>
    <cfRule type="duplicateValues" dxfId="32" priority="18"/>
    <cfRule type="duplicateValues" dxfId="31" priority="19"/>
    <cfRule type="duplicateValues" dxfId="30" priority="20"/>
    <cfRule type="duplicateValues" dxfId="29" priority="22"/>
  </conditionalFormatting>
  <conditionalFormatting sqref="B12 B9">
    <cfRule type="duplicateValues" dxfId="28" priority="65"/>
    <cfRule type="duplicateValues" dxfId="27" priority="66"/>
    <cfRule type="duplicateValues" dxfId="26" priority="67"/>
    <cfRule type="duplicateValues" dxfId="25" priority="68"/>
    <cfRule type="duplicateValues" dxfId="24" priority="69"/>
    <cfRule type="duplicateValues" dxfId="23" priority="70"/>
    <cfRule type="duplicateValues" dxfId="22" priority="71"/>
    <cfRule type="duplicateValues" dxfId="21" priority="72"/>
    <cfRule type="duplicateValues" dxfId="20" priority="73"/>
    <cfRule type="duplicateValues" dxfId="19" priority="74"/>
  </conditionalFormatting>
  <conditionalFormatting sqref="B12">
    <cfRule type="duplicateValues" dxfId="18" priority="54"/>
    <cfRule type="duplicateValues" dxfId="17" priority="55"/>
    <cfRule type="duplicateValues" dxfId="16" priority="56"/>
    <cfRule type="duplicateValues" dxfId="15" priority="57"/>
    <cfRule type="duplicateValues" dxfId="14" priority="58"/>
    <cfRule type="duplicateValues" dxfId="13" priority="59"/>
    <cfRule type="duplicateValues" dxfId="12" priority="60"/>
    <cfRule type="duplicateValues" dxfId="11" priority="61"/>
    <cfRule type="duplicateValues" dxfId="10" priority="63"/>
    <cfRule type="duplicateValues" dxfId="9" priority="64"/>
    <cfRule type="duplicateValues" dxfId="8" priority="62"/>
  </conditionalFormatting>
  <conditionalFormatting sqref="B13">
    <cfRule type="duplicateValues" dxfId="7" priority="5"/>
  </conditionalFormatting>
  <conditionalFormatting sqref="B14">
    <cfRule type="duplicateValues" dxfId="6" priority="7"/>
  </conditionalFormatting>
  <conditionalFormatting sqref="B15">
    <cfRule type="duplicateValues" dxfId="5" priority="6"/>
  </conditionalFormatting>
  <conditionalFormatting sqref="B16">
    <cfRule type="duplicateValues" dxfId="4" priority="9"/>
  </conditionalFormatting>
  <conditionalFormatting sqref="B17">
    <cfRule type="duplicateValues" dxfId="3" priority="8"/>
  </conditionalFormatting>
  <conditionalFormatting sqref="B18">
    <cfRule type="duplicateValues" dxfId="2" priority="10"/>
  </conditionalFormatting>
  <conditionalFormatting sqref="B19">
    <cfRule type="duplicateValues" dxfId="1" priority="11"/>
  </conditionalFormatting>
  <conditionalFormatting sqref="B20">
    <cfRule type="duplicateValues" dxfId="0" priority="4"/>
  </conditionalFormatting>
  <pageMargins left="0.7" right="0.7" top="0.75" bottom="0.75" header="0.3" footer="0.3"/>
  <pageSetup paperSize="9" scale="57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DASH CAM Y WEB</vt:lpstr>
      <vt:lpstr>'DASH CAM Y WEB'!Área_de_impresión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2026-09-28T19:47:24Z</cp:lastPrinted>
  <dcterms:created xsi:type="dcterms:W3CDTF">2026-05-12T21:21:34Z</dcterms:created>
  <dcterms:modified xsi:type="dcterms:W3CDTF">2026-09-28T19:54:37Z</dcterms:modified>
</cp:coreProperties>
</file>