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96D82484-5B46-4BF7-A333-9E95DE3A7857}" xr6:coauthVersionLast="47" xr6:coauthVersionMax="47" xr10:uidLastSave="{00000000-0000-0000-0000-000000000000}"/>
  <bookViews>
    <workbookView xWindow="-120" yWindow="-120" windowWidth="24240" windowHeight="13140" xr2:uid="{421E1B74-5512-438F-AF6C-9117049024DE}"/>
  </bookViews>
  <sheets>
    <sheet name="DSC NE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Tabla122[#All]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2" i="1"/>
  <c r="E15" i="1" l="1"/>
  <c r="E16" i="1"/>
  <c r="E17" i="1"/>
  <c r="E45" i="1"/>
  <c r="E20" i="1"/>
  <c r="E5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7" i="1"/>
  <c r="E58" i="1"/>
</calcChain>
</file>

<file path=xl/sharedStrings.xml><?xml version="1.0" encoding="utf-8"?>
<sst xmlns="http://schemas.openxmlformats.org/spreadsheetml/2006/main" count="129" uniqueCount="128">
  <si>
    <t>DETECTOR DE MOVIMIENTO EXTERIOR INALÁMBRICO POWERG DE 915MHZ.</t>
  </si>
  <si>
    <t>PG9994</t>
  </si>
  <si>
    <t xml:space="preserve">DETECTOR DE MOVIMIENTO INALÁMBRICO, DOBLE TECNOLOGÍA, ANTIMASCOTAS, POWERG NEO, </t>
  </si>
  <si>
    <t>PG9984P</t>
  </si>
  <si>
    <t>CONTACTO INALAMBRICO PUERTA/VENTANA POWERG 915MHZ</t>
  </si>
  <si>
    <t>PG9309</t>
  </si>
  <si>
    <t>LLAVE INALÁMBRICA DE 4 BOTONES POWERG DE 915 MHZ.</t>
  </si>
  <si>
    <t>PG9939</t>
  </si>
  <si>
    <t>PULSADOR DE PÁNICO INALÁMBRICO POWERG DE 915MHZ.</t>
  </si>
  <si>
    <t>PG9938</t>
  </si>
  <si>
    <t>DETECTOR DE HUMO Y TEMPERATURA INALÁMBRICO POWERG DE 915MHZ.</t>
  </si>
  <si>
    <t>PG9936</t>
  </si>
  <si>
    <t>Sensor de choque inalámbrico PowerG Neo 915 MHz</t>
  </si>
  <si>
    <t>PG9935</t>
  </si>
  <si>
    <t>Detector de rotura de cristal inalambrico POWERG NEO</t>
  </si>
  <si>
    <t>PG9922</t>
  </si>
  <si>
    <t>Repetidor inalámbrico PowerG de 915 MHz.</t>
  </si>
  <si>
    <t>PG9920</t>
  </si>
  <si>
    <t>SIRENA EXTERIOR INALÁMBRICA POWERG DE 915MHZ</t>
  </si>
  <si>
    <t>PG9911B BATT</t>
  </si>
  <si>
    <t>DETECTOR DE MONOXIDO DE CARBANO(CO) POWER G</t>
  </si>
  <si>
    <t>PG9933</t>
  </si>
  <si>
    <t>SIRENA INTERIOR INALÁMBRICA POWERG DE 915MHZ</t>
  </si>
  <si>
    <t>PG9901 BATT</t>
  </si>
  <si>
    <t>TL2803G COMUNICADOR DE ALARMA NEO DE DOBLE VÍNCULO VÍA INTERNET Y HSPA (3G)</t>
  </si>
  <si>
    <t>TL2803GE-LAT</t>
  </si>
  <si>
    <t>COMUNICADOR DE ALARMA NEO VÍA CELULAR</t>
  </si>
  <si>
    <t>3G2080E-LAT</t>
  </si>
  <si>
    <t>COMUNICADOR ALARM.COM DE DOBLE VÍNCULO 3G/INTERNET PARA POWERSERIES NEO, AT&amp;T</t>
  </si>
  <si>
    <t>TL880LEAT-LAT N</t>
  </si>
  <si>
    <t>COMUNICADOR DE ALARMAS NEO VÍA INTERNET CON INTERFACE PARA INTEGRACIÓN CON KANTECH</t>
  </si>
  <si>
    <t>TL280RE</t>
  </si>
  <si>
    <t>MÓDULO EXPANSOR DE 8 ZONAS CABLEADAS NEO.  COMPATIBLE CON PANELES DE CONTROL HS2032, HS2064 Y HS2128</t>
  </si>
  <si>
    <t>HSM2108</t>
  </si>
  <si>
    <t>TECLADO DE PANTALLA TÁCTIL CON PROXIMIDAD PARA ALARMA. INCLUYE 1 TAGS DE PROXIMIDAD.</t>
  </si>
  <si>
    <t>HS2TCHP N</t>
  </si>
  <si>
    <t>TECLADO INALÁMBRICO LCD ALFANUMÉRICO - 915MHZ</t>
  </si>
  <si>
    <t>HS2LCDWF9 N</t>
  </si>
  <si>
    <t>TECLADO CABLEADO LCD ALFANUMÉRICO CON TRANSCEPTOR 915MHZ</t>
  </si>
  <si>
    <t>HS2LCDRF9 N</t>
  </si>
  <si>
    <t>PANEL PRINCIPAL NEO HS2128 (8 - 128 ZONAS).  MANUALES EN ESPAÑOL. SIN GABINETE</t>
  </si>
  <si>
    <t>HS2128PCBSPA</t>
  </si>
  <si>
    <t>PANEL PRINCIPAL NEO HS2064 (8 - 64 ZONAS).  MANUALES EN ESPAÑOL. SIN GABINETE</t>
  </si>
  <si>
    <t>HS2064PCBSPA</t>
  </si>
  <si>
    <t>COMUNICADOR CELULAR PARA LATINOAMÉRICA PARA POWERSERIES NEO PRO</t>
  </si>
  <si>
    <t>3G9080-LAT</t>
  </si>
  <si>
    <t>MÓDULO FUENTE DE ALIMENTACIÓN SUPERVISADA, INCL. FUENTE HS65WPS</t>
  </si>
  <si>
    <t>HSM3350I</t>
  </si>
  <si>
    <t>MODULO AMPLIFICADOR DE BUS CON 4 SALIDAS DE RELE PROGRAMABLES Y FUENTE 2A. COMPATAIBLE CON PANELES HS3032, HS3128</t>
  </si>
  <si>
    <t>HSM3204CXI</t>
  </si>
  <si>
    <t>GABINETE METÁLICO PARA POWER SERIES PRO</t>
  </si>
  <si>
    <t>HSC3020C</t>
  </si>
  <si>
    <t>TECLADO LCD ALFANUMERICO PRO. COMPATIBLE CON PANELES HS3032,HS3128</t>
  </si>
  <si>
    <t>HS2LCDPRO</t>
  </si>
  <si>
    <t>PANEL PRINCIPAL POWER SERIES PRO HS3248(8-248 ZONAS), NO INCLUYE FUENTE</t>
  </si>
  <si>
    <t>HS3248PCB</t>
  </si>
  <si>
    <t>PANEL PRINCIPAL POWER SERIES PRO HS3128(8-248 ZONAS), COMUNICADOR IP EMBEBIDO, INCL. FUENTE HS65WPSNA, SIN GAB, MANUAL EN ESPAÑOL</t>
  </si>
  <si>
    <t>HS3248BASESPA</t>
  </si>
  <si>
    <t>PANEL PRINCIPAL POWER SERIES PRO HS3032(8-32 ZONAS), COMUNICADOR IP EMBEBIDO, INCL. FUENTE HS65WPSNA, SIN GAB, MANUAL EN ESPAÑOL</t>
  </si>
  <si>
    <t>HS3032BASESPA</t>
  </si>
  <si>
    <t>COMUNICADOR 4G-LTE UNIVERSAL, PUERTO DE RED, COMPATIBLE CON APP CONNECT ALARM</t>
  </si>
  <si>
    <t>TL405LE−LAT</t>
  </si>
  <si>
    <t>TECLADO TOUCH NEO 7  NEGRO  INGLES/FRANCES/ESPA¥OL</t>
  </si>
  <si>
    <t>HS2TCHPBLK N</t>
  </si>
  <si>
    <t>DETECTOR PIR INALAMBRICO DE LARGO ALCANCE, 360 ​​°  PARA MONTAJE EN TECHO</t>
  </si>
  <si>
    <t>PG9872</t>
  </si>
  <si>
    <t>CONTACTO MAGNETICO INALÁMBRICO DE EMPOTRAR POWER G</t>
  </si>
  <si>
    <t>PG9307</t>
  </si>
  <si>
    <t>DETECTOR DE MOVIMIENTO EXTERIOR PIR CON CÁMARA INTEGRADA</t>
  </si>
  <si>
    <t>PG9944</t>
  </si>
  <si>
    <t>DETECTOR INALAMBRICO DE TEMPERATURA POWERG NEO 915 MHz, COMPATIBLE CON SONDA PGTEMP-PROBE (SONDA NO INCLUIDA)</t>
  </si>
  <si>
    <t>PG9905</t>
  </si>
  <si>
    <t>TARJETA DE LINEA PSTN PARA SYSTEMV</t>
  </si>
  <si>
    <t>SG-DRL5</t>
  </si>
  <si>
    <t>BATERIA RECARGABLE 12V-1.2AH</t>
  </si>
  <si>
    <t>BD1.2-12</t>
  </si>
  <si>
    <t>DETECTOR DUAL (PIR + MW) CABLEA</t>
  </si>
  <si>
    <t>LC-204</t>
  </si>
  <si>
    <t>CONTACTO INALAMBRICO PUERTA/VENTANA ULTRADELGADO POWERG 915MHZ</t>
  </si>
  <si>
    <t>PG9303</t>
  </si>
  <si>
    <t>CONTACTO INALÁMBRICO DE PUERTA/VENTANA CON ENTRADA AUXILIAR POWERG DE 915 MHZ.</t>
  </si>
  <si>
    <t>PG9945</t>
  </si>
  <si>
    <t>DETECTOR DE MOVIMIENTO INALAMBRICO POWERG 915MHZ, ANTIMASCOTAS DE HASTA 38KG</t>
  </si>
  <si>
    <t>PG9914</t>
  </si>
  <si>
    <t xml:space="preserve">COMUNICADOR DE ALARMAS NEO VÍA INTERNET </t>
  </si>
  <si>
    <t>TL280E</t>
  </si>
  <si>
    <t>TECLADO CABLEADO LCD ALFANUMÉRICO. COMPATIBLE CON PANELES DE CONTROL HS2032, HS2064 Y HS2128</t>
  </si>
  <si>
    <t>HS2LCD N</t>
  </si>
  <si>
    <t>TECLADO DE ÍCONOS FIJOS POWERSERIES NEO TRANSCEPTOR 915MHZ. COMPATIBLE CON PANELES DE CONTROL HS2032, HS2064 Y HS2128</t>
  </si>
  <si>
    <t>HS2ICNRF9</t>
  </si>
  <si>
    <t>TECLADO DE ÍCONOS FIJOS CABLEADO NEO.  COMPATIBLE CON PANELES DE CONTROL HS2032, HS2064 Y HS2128</t>
  </si>
  <si>
    <t>HS2ICN</t>
  </si>
  <si>
    <t>PANEL PRINCIPAL NEO HS2032 (8 - 32 ZONAS).  MANUALES EN ESPAÑOL. SIN GABINETE</t>
  </si>
  <si>
    <t>HS2032PCBSPA</t>
  </si>
  <si>
    <t>PANEL NEO HS2032 + TEC ICONOS HS2ICN (SIN GAB)</t>
  </si>
  <si>
    <t>HS2032CLC2SPA</t>
  </si>
  <si>
    <t>ADAPTADOR DE CORRIENTE 65W CON ENCHUFE</t>
  </si>
  <si>
    <t>HS65WPSNA</t>
  </si>
  <si>
    <t>EXPANSOR DE 8 ZONAS CON TERMINALES REMOVIBLES</t>
  </si>
  <si>
    <t>HSM3408</t>
  </si>
  <si>
    <t>costo</t>
  </si>
  <si>
    <t>Columna4</t>
  </si>
  <si>
    <t>Columna3</t>
  </si>
  <si>
    <t>costo con iva</t>
  </si>
  <si>
    <t>CANTIDAD MÍNIMA DE PEDIDO</t>
  </si>
  <si>
    <t>Columna6</t>
  </si>
  <si>
    <t>PRECIO CLIENTE FINAL (CON IVA)</t>
  </si>
  <si>
    <t>PRECIO TIENDA (CON IVA)</t>
  </si>
  <si>
    <t>PRECIO SUGERIDO INSTALADOR
( CON  IVA)</t>
  </si>
  <si>
    <t>DESCRIPCIÓN</t>
  </si>
  <si>
    <t>REFERENCIA</t>
  </si>
  <si>
    <t>DETECTOR DE RUPTURA DE VIDRIO ANALOGO</t>
  </si>
  <si>
    <t>DG-50AU</t>
  </si>
  <si>
    <t>DETECTOR CABLEADO PARA EXTERIORES CON ÓPTICA DE ESPEJO Y ANTI-MASCARAMIENTO</t>
  </si>
  <si>
    <t>LC-181</t>
  </si>
  <si>
    <t>Columna1</t>
  </si>
  <si>
    <t>PGPHOST9</t>
  </si>
  <si>
    <t>Módulo Transceptor Power G función de Host soporta 128 zonas inalámbricas compatible con panel NEO, PRO</t>
  </si>
  <si>
    <t>-</t>
  </si>
  <si>
    <t>Columna2</t>
  </si>
  <si>
    <t>PGP9945E</t>
  </si>
  <si>
    <t>POWERG+ WLS DOOR/WIND AUX 915 EXT RANGE</t>
  </si>
  <si>
    <t>TL280LE-LAT</t>
  </si>
  <si>
    <t>NEO LTE/3G CELLULAR AND ETHERNET COMMUNICATOR</t>
  </si>
  <si>
    <t>LC-200</t>
  </si>
  <si>
    <t xml:space="preserve">	Detector Digital de Pir, 15Mt, 100°, Comunidad de Mascotas 15Kg, Lodiff	</t>
  </si>
  <si>
    <t>LC-200S</t>
  </si>
  <si>
    <t>SENSOR DE MOVIMIENTO PIR INFRARROJO 12 MTRS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</si>
</sst>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AED]\ #,##0.00;\([$AED]\ 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/>
  </cellStyleXfs>
  <cellXfs count="25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2" xfId="1" applyNumberFormat="1" applyFont="1" applyBorder="1" applyAlignment="1">
      <alignment vertical="center"/>
    </xf>
    <xf numFmtId="165" fontId="0" fillId="0" borderId="2" xfId="3" applyFont="1" applyBorder="1" applyAlignment="1">
      <alignment vertical="center" wrapText="1"/>
    </xf>
    <xf numFmtId="165" fontId="1" fillId="0" borderId="2" xfId="3" applyBorder="1" applyAlignment="1">
      <alignment horizontal="center" vertical="center"/>
    </xf>
    <xf numFmtId="42" fontId="1" fillId="0" borderId="1" xfId="2" applyBorder="1" applyAlignment="1">
      <alignment horizontal="center" vertical="center"/>
    </xf>
    <xf numFmtId="164" fontId="1" fillId="0" borderId="1" xfId="2" applyNumberFormat="1" applyFont="1" applyBorder="1" applyAlignment="1">
      <alignment horizontal="right" vertical="center"/>
    </xf>
    <xf numFmtId="0" fontId="1" fillId="0" borderId="1" xfId="3" applyNumberFormat="1" applyBorder="1" applyAlignment="1">
      <alignment horizontal="center" vertical="center"/>
    </xf>
    <xf numFmtId="164" fontId="0" fillId="0" borderId="3" xfId="1" applyNumberFormat="1" applyFont="1" applyBorder="1" applyAlignment="1">
      <alignment vertical="center"/>
    </xf>
    <xf numFmtId="165" fontId="0" fillId="0" borderId="2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1" fillId="0" borderId="2" xfId="3" applyBorder="1" applyAlignment="1">
      <alignment vertical="center" wrapText="1"/>
    </xf>
    <xf numFmtId="42" fontId="1" fillId="0" borderId="1" xfId="2" applyFont="1" applyBorder="1" applyAlignment="1">
      <alignment horizontal="center" vertical="center"/>
    </xf>
    <xf numFmtId="164" fontId="2" fillId="0" borderId="1" xfId="1" applyNumberFormat="1" applyFont="1" applyBorder="1"/>
    <xf numFmtId="0" fontId="0" fillId="0" borderId="2" xfId="0" applyBorder="1" applyAlignment="1">
      <alignment wrapText="1"/>
    </xf>
    <xf numFmtId="42" fontId="2" fillId="0" borderId="1" xfId="2" applyFont="1" applyBorder="1" applyAlignment="1">
      <alignment horizontal="center" vertical="center"/>
    </xf>
    <xf numFmtId="42" fontId="3" fillId="2" borderId="1" xfId="2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0" fontId="3" fillId="2" borderId="1" xfId="3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 wrapText="1"/>
    </xf>
    <xf numFmtId="165" fontId="3" fillId="3" borderId="2" xfId="3" applyFont="1" applyFill="1" applyBorder="1" applyAlignment="1">
      <alignment horizontal="center" vertical="center" wrapText="1"/>
    </xf>
  </cellXfs>
  <cellStyles count="4">
    <cellStyle name="Moneda" xfId="1" builtinId="4"/>
    <cellStyle name="Moneda [0]" xfId="2" builtinId="7"/>
    <cellStyle name="Normal" xfId="0" builtinId="0"/>
    <cellStyle name="Normal 2 58" xfId="3" xr:uid="{8C525B4E-7F3C-459F-8659-5CD5EB52FCFA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0" indent="0" justifyLastLine="0" shrinkToFit="0" readingOrder="0"/>
    </dxf>
    <dxf>
      <numFmt numFmtId="164" formatCode="_-&quot;$&quot;\ * #,##0_-;\-&quot;$&quot;\ * #,##0_-;_-&quot;$&quot;\ * &quot;-&quot;??_-;_-@_-"/>
    </dxf>
    <dxf>
      <alignment textRotation="0" wrapText="1" indent="0" justifyLastLine="0" shrinkToFit="0" readingOrder="0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654F0-9CA7-4C45-9A41-715B41F3247D}" name="Tabla122" displayName="Tabla122" ref="A1:E58" totalsRowShown="0">
  <autoFilter ref="A1:E58" xr:uid="{6BBDAC81-1F0A-409A-961E-AC9E948FB045}"/>
  <sortState xmlns:xlrd2="http://schemas.microsoft.com/office/spreadsheetml/2017/richdata2" ref="A2:K58">
    <sortCondition sortBy="fontColor" ref="A1:A58" dxfId="11"/>
  </sortState>
  <tableColumns count="5">
    <tableColumn id="3" xr3:uid="{AC5D7D76-1B6B-4186-BECD-77D79B99CDCE}" name="REFERENCIA"/>
    <tableColumn id="4" xr3:uid="{4994F82E-A1AC-4991-BCAA-1A8D06318CE2}" name="DESCRIPCIÓN" dataDxfId="10"/>
    <tableColumn id="11" xr3:uid="{09C8673C-1B7C-429E-A2A6-C8FFDDF35860}" name="PRECIO SUGERIDO INSTALADOR_x000a_( CON  IVA)" dataDxfId="9" dataCellStyle="Moneda">
      <calculatedColumnFormula>+H2/G2</calculatedColumnFormula>
    </tableColumn>
    <tableColumn id="13" xr3:uid="{7A54E89B-8CE2-4A69-936A-23C644B42C7C}" name="PRECIO TIENDA (CON IVA)" dataDxfId="0" dataCellStyle="Moneda">
      <calculatedColumnFormula>+Tabla122[[#This Row],[PRECIO SUGERIDO INSTALADOR
( CON  IVA)]]-F2</calculatedColumnFormula>
    </tableColumn>
    <tableColumn id="10" xr3:uid="{F0AC2968-0D0B-448A-A61B-5EA826FA57E9}" name="PRECIO CLIENTE FINAL (CON IVA)" dataDxfId="8" dataCellStyle="Moneda">
      <calculatedColumnFormula>+Tabla122[[#This Row],[PRECIO SUGERIDO INSTALADOR
( CON  IVA)]]/0.7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470C-16FB-41A3-B281-170AE6C42C02}">
  <sheetPr>
    <pageSetUpPr fitToPage="1"/>
  </sheetPr>
  <dimension ref="A1:M58"/>
  <sheetViews>
    <sheetView tabSelected="1" view="pageBreakPreview" zoomScale="60" zoomScaleNormal="100" workbookViewId="0">
      <pane ySplit="1" topLeftCell="A45" activePane="bottomLeft" state="frozen"/>
      <selection pane="bottomLeft" activeCell="B7" sqref="B7"/>
    </sheetView>
  </sheetViews>
  <sheetFormatPr baseColWidth="10" defaultRowHeight="15" x14ac:dyDescent="0.25"/>
  <cols>
    <col min="1" max="1" width="19.7109375" customWidth="1"/>
    <col min="2" max="2" width="35.85546875" style="4" customWidth="1"/>
    <col min="3" max="3" width="20" style="3" customWidth="1"/>
    <col min="4" max="6" width="16.140625" style="3" customWidth="1"/>
    <col min="7" max="7" width="14.7109375" style="2" customWidth="1"/>
    <col min="8" max="8" width="19.7109375" style="1" customWidth="1"/>
    <col min="9" max="9" width="6.28515625" customWidth="1"/>
    <col min="10" max="10" width="4.7109375" customWidth="1"/>
    <col min="11" max="11" width="13.140625" customWidth="1"/>
    <col min="12" max="20" width="11.42578125" customWidth="1"/>
  </cols>
  <sheetData>
    <row r="1" spans="1:13" ht="45" x14ac:dyDescent="0.25">
      <c r="A1" s="24" t="s">
        <v>110</v>
      </c>
      <c r="B1" s="24" t="s">
        <v>109</v>
      </c>
      <c r="C1" s="23" t="s">
        <v>108</v>
      </c>
      <c r="D1" s="23" t="s">
        <v>107</v>
      </c>
      <c r="E1" s="23" t="s">
        <v>106</v>
      </c>
      <c r="F1" s="22" t="s">
        <v>105</v>
      </c>
      <c r="G1" s="21" t="s">
        <v>104</v>
      </c>
      <c r="H1" s="20" t="s">
        <v>103</v>
      </c>
      <c r="I1" s="2" t="s">
        <v>102</v>
      </c>
      <c r="J1" t="s">
        <v>101</v>
      </c>
      <c r="K1" s="19" t="s">
        <v>100</v>
      </c>
      <c r="L1" t="s">
        <v>115</v>
      </c>
      <c r="M1" t="s">
        <v>119</v>
      </c>
    </row>
    <row r="2" spans="1:13" ht="30" x14ac:dyDescent="0.25">
      <c r="A2" s="12" t="s">
        <v>99</v>
      </c>
      <c r="B2" s="6" t="s">
        <v>98</v>
      </c>
      <c r="C2" s="5">
        <f t="shared" ref="C2:C33" si="0">+H2/G2</f>
        <v>194600</v>
      </c>
      <c r="D2" s="5">
        <f>+Tabla122[[#This Row],[PRECIO SUGERIDO INSTALADOR
( CON  IVA)]]-F2</f>
        <v>184870</v>
      </c>
      <c r="E2" s="5">
        <f>+Tabla122[[#This Row],[PRECIO SUGERIDO INSTALADOR
( CON  IVA)]]/0.7</f>
        <v>278000</v>
      </c>
      <c r="F2" s="11">
        <f>+Tabla122[[#This Row],[PRECIO SUGERIDO INSTALADOR
( CON  IVA)]]*5%</f>
        <v>9730</v>
      </c>
      <c r="G2" s="10">
        <v>0.85</v>
      </c>
      <c r="H2" s="9">
        <f>+K2*1.19</f>
        <v>165410</v>
      </c>
      <c r="I2" s="2"/>
      <c r="K2" s="18">
        <v>139000</v>
      </c>
    </row>
    <row r="3" spans="1:13" ht="30" x14ac:dyDescent="0.25">
      <c r="A3" s="12" t="s">
        <v>97</v>
      </c>
      <c r="B3" s="6" t="s">
        <v>96</v>
      </c>
      <c r="C3" s="5">
        <f t="shared" si="0"/>
        <v>200200</v>
      </c>
      <c r="D3" s="5">
        <f>+Tabla122[[#This Row],[PRECIO SUGERIDO INSTALADOR
( CON  IVA)]]-F3</f>
        <v>190190</v>
      </c>
      <c r="E3" s="5">
        <f>+Tabla122[[#This Row],[PRECIO SUGERIDO INSTALADOR
( CON  IVA)]]/0.7</f>
        <v>286000</v>
      </c>
      <c r="F3" s="11">
        <f>+Tabla122[[#This Row],[PRECIO SUGERIDO INSTALADOR
( CON  IVA)]]*5%</f>
        <v>10010</v>
      </c>
      <c r="G3" s="10">
        <v>0.85</v>
      </c>
      <c r="H3" s="9">
        <f t="shared" ref="H3:H58" si="1">+K3*1.19</f>
        <v>170170</v>
      </c>
      <c r="I3" s="2"/>
      <c r="K3" s="18">
        <v>143000</v>
      </c>
    </row>
    <row r="4" spans="1:13" ht="30" x14ac:dyDescent="0.25">
      <c r="A4" s="12" t="s">
        <v>95</v>
      </c>
      <c r="B4" s="6" t="s">
        <v>94</v>
      </c>
      <c r="C4" s="5">
        <f t="shared" si="0"/>
        <v>407898.39999999997</v>
      </c>
      <c r="D4" s="5">
        <f>+Tabla122[[#This Row],[PRECIO SUGERIDO INSTALADOR
( CON  IVA)]]-F4</f>
        <v>387503.48</v>
      </c>
      <c r="E4" s="5">
        <f>+Tabla122[[#This Row],[PRECIO SUGERIDO INSTALADOR
( CON  IVA)]]/0.7</f>
        <v>582712</v>
      </c>
      <c r="F4" s="11">
        <f>+Tabla122[[#This Row],[PRECIO SUGERIDO INSTALADOR
( CON  IVA)]]*5%</f>
        <v>20394.919999999998</v>
      </c>
      <c r="G4" s="10">
        <v>0.85</v>
      </c>
      <c r="H4" s="9">
        <f t="shared" si="1"/>
        <v>346713.63999999996</v>
      </c>
      <c r="I4" s="2"/>
      <c r="K4" s="18">
        <v>291356</v>
      </c>
    </row>
    <row r="5" spans="1:13" ht="45" x14ac:dyDescent="0.25">
      <c r="A5" s="12" t="s">
        <v>93</v>
      </c>
      <c r="B5" s="6" t="s">
        <v>92</v>
      </c>
      <c r="C5" s="5">
        <f t="shared" si="0"/>
        <v>243530</v>
      </c>
      <c r="D5" s="5">
        <f>+Tabla122[[#This Row],[PRECIO SUGERIDO INSTALADOR
( CON  IVA)]]-F5</f>
        <v>231353.5</v>
      </c>
      <c r="E5" s="5">
        <f>+Tabla122[[#This Row],[PRECIO SUGERIDO INSTALADOR
( CON  IVA)]]/0.7</f>
        <v>347900</v>
      </c>
      <c r="F5" s="11">
        <f>+Tabla122[[#This Row],[PRECIO SUGERIDO INSTALADOR
( CON  IVA)]]*5%</f>
        <v>12176.5</v>
      </c>
      <c r="G5" s="10">
        <v>0.85</v>
      </c>
      <c r="H5" s="9">
        <f t="shared" si="1"/>
        <v>207000.5</v>
      </c>
      <c r="I5" s="2"/>
      <c r="K5" s="18">
        <v>173950</v>
      </c>
    </row>
    <row r="6" spans="1:13" ht="45" x14ac:dyDescent="0.25">
      <c r="A6" s="12" t="s">
        <v>91</v>
      </c>
      <c r="B6" s="6" t="s">
        <v>90</v>
      </c>
      <c r="C6" s="5">
        <f t="shared" si="0"/>
        <v>204888.88</v>
      </c>
      <c r="D6" s="5">
        <f>+Tabla122[[#This Row],[PRECIO SUGERIDO INSTALADOR
( CON  IVA)]]-F6</f>
        <v>194644.43600000002</v>
      </c>
      <c r="E6" s="5">
        <f>+Tabla122[[#This Row],[PRECIO SUGERIDO INSTALADOR
( CON  IVA)]]/0.7</f>
        <v>292698.40000000002</v>
      </c>
      <c r="F6" s="11">
        <f>+Tabla122[[#This Row],[PRECIO SUGERIDO INSTALADOR
( CON  IVA)]]*5%</f>
        <v>10244.444000000001</v>
      </c>
      <c r="G6" s="10">
        <v>0.85</v>
      </c>
      <c r="H6" s="9">
        <f t="shared" si="1"/>
        <v>174155.54800000001</v>
      </c>
      <c r="I6" s="2"/>
      <c r="K6" s="18">
        <v>146349.20000000001</v>
      </c>
    </row>
    <row r="7" spans="1:13" ht="60" x14ac:dyDescent="0.25">
      <c r="A7" s="12" t="s">
        <v>89</v>
      </c>
      <c r="B7" s="6" t="s">
        <v>88</v>
      </c>
      <c r="C7" s="5">
        <f t="shared" si="0"/>
        <v>413000</v>
      </c>
      <c r="D7" s="5">
        <f>+Tabla122[[#This Row],[PRECIO SUGERIDO INSTALADOR
( CON  IVA)]]-F7</f>
        <v>392350</v>
      </c>
      <c r="E7" s="5">
        <f>+Tabla122[[#This Row],[PRECIO SUGERIDO INSTALADOR
( CON  IVA)]]/0.7</f>
        <v>590000</v>
      </c>
      <c r="F7" s="11">
        <f>+Tabla122[[#This Row],[PRECIO SUGERIDO INSTALADOR
( CON  IVA)]]*5%</f>
        <v>20650</v>
      </c>
      <c r="G7" s="10">
        <v>0.85</v>
      </c>
      <c r="H7" s="9">
        <f t="shared" si="1"/>
        <v>351050</v>
      </c>
      <c r="I7" s="2"/>
      <c r="K7" s="18">
        <v>295000</v>
      </c>
    </row>
    <row r="8" spans="1:13" ht="60" x14ac:dyDescent="0.25">
      <c r="A8" s="12" t="s">
        <v>87</v>
      </c>
      <c r="B8" s="6" t="s">
        <v>86</v>
      </c>
      <c r="C8" s="5">
        <f t="shared" si="0"/>
        <v>282800</v>
      </c>
      <c r="D8" s="5">
        <f>+Tabla122[[#This Row],[PRECIO SUGERIDO INSTALADOR
( CON  IVA)]]-F8</f>
        <v>268660</v>
      </c>
      <c r="E8" s="5">
        <f>+Tabla122[[#This Row],[PRECIO SUGERIDO INSTALADOR
( CON  IVA)]]/0.7</f>
        <v>404000</v>
      </c>
      <c r="F8" s="11">
        <f>+Tabla122[[#This Row],[PRECIO SUGERIDO INSTALADOR
( CON  IVA)]]*5%</f>
        <v>14140</v>
      </c>
      <c r="G8" s="10">
        <v>0.85</v>
      </c>
      <c r="H8" s="9">
        <f t="shared" si="1"/>
        <v>240380</v>
      </c>
      <c r="I8" s="2"/>
      <c r="K8" s="18">
        <v>202000</v>
      </c>
    </row>
    <row r="9" spans="1:13" ht="60" x14ac:dyDescent="0.25">
      <c r="A9" s="12" t="s">
        <v>116</v>
      </c>
      <c r="B9" s="6" t="s">
        <v>117</v>
      </c>
      <c r="C9" s="5">
        <f t="shared" si="0"/>
        <v>343000</v>
      </c>
      <c r="D9" s="5">
        <f>+Tabla122[[#This Row],[PRECIO SUGERIDO INSTALADOR
( CON  IVA)]]-F9</f>
        <v>325850</v>
      </c>
      <c r="E9" s="5">
        <f>+Tabla122[[#This Row],[PRECIO SUGERIDO INSTALADOR
( CON  IVA)]]/0.7</f>
        <v>490000.00000000006</v>
      </c>
      <c r="F9" s="11">
        <f>+Tabla122[[#This Row],[PRECIO SUGERIDO INSTALADOR
( CON  IVA)]]*5%</f>
        <v>17150</v>
      </c>
      <c r="G9" s="10">
        <v>0.85</v>
      </c>
      <c r="H9" s="9">
        <f t="shared" si="1"/>
        <v>291550</v>
      </c>
      <c r="I9" s="2"/>
      <c r="K9" s="18">
        <v>245000</v>
      </c>
    </row>
    <row r="10" spans="1:13" ht="30" x14ac:dyDescent="0.25">
      <c r="A10" s="12" t="s">
        <v>85</v>
      </c>
      <c r="B10" s="6" t="s">
        <v>84</v>
      </c>
      <c r="C10" s="5">
        <f t="shared" si="0"/>
        <v>380800</v>
      </c>
      <c r="D10" s="5">
        <f>+Tabla122[[#This Row],[PRECIO SUGERIDO INSTALADOR
( CON  IVA)]]-F10</f>
        <v>361760</v>
      </c>
      <c r="E10" s="5">
        <f>+Tabla122[[#This Row],[PRECIO SUGERIDO INSTALADOR
( CON  IVA)]]/0.7</f>
        <v>544000</v>
      </c>
      <c r="F10" s="11">
        <f>+Tabla122[[#This Row],[PRECIO SUGERIDO INSTALADOR
( CON  IVA)]]*5%</f>
        <v>19040</v>
      </c>
      <c r="G10" s="10">
        <v>0.85</v>
      </c>
      <c r="H10" s="9">
        <f t="shared" si="1"/>
        <v>323680</v>
      </c>
      <c r="I10" s="2"/>
      <c r="K10" s="18">
        <v>272000</v>
      </c>
    </row>
    <row r="11" spans="1:13" ht="45" x14ac:dyDescent="0.25">
      <c r="A11" s="12" t="s">
        <v>83</v>
      </c>
      <c r="B11" s="6" t="s">
        <v>82</v>
      </c>
      <c r="C11" s="5">
        <f t="shared" si="0"/>
        <v>129760.4</v>
      </c>
      <c r="D11" s="5">
        <f>+Tabla122[[#This Row],[PRECIO SUGERIDO INSTALADOR
( CON  IVA)]]-F11</f>
        <v>123272.37999999999</v>
      </c>
      <c r="E11" s="5">
        <f>+Tabla122[[#This Row],[PRECIO SUGERIDO INSTALADOR
( CON  IVA)]]/0.7</f>
        <v>185372</v>
      </c>
      <c r="F11" s="11">
        <f>+Tabla122[[#This Row],[PRECIO SUGERIDO INSTALADOR
( CON  IVA)]]*5%</f>
        <v>6488.02</v>
      </c>
      <c r="G11" s="10">
        <v>0.85</v>
      </c>
      <c r="H11" s="9">
        <f t="shared" si="1"/>
        <v>110296.34</v>
      </c>
      <c r="I11" s="2"/>
      <c r="K11" s="18">
        <v>92686</v>
      </c>
    </row>
    <row r="12" spans="1:13" ht="45" x14ac:dyDescent="0.25">
      <c r="A12" s="12" t="s">
        <v>81</v>
      </c>
      <c r="B12" s="6" t="s">
        <v>80</v>
      </c>
      <c r="C12" s="5">
        <f t="shared" si="0"/>
        <v>170800</v>
      </c>
      <c r="D12" s="5">
        <f>+Tabla122[[#This Row],[PRECIO SUGERIDO INSTALADOR
( CON  IVA)]]-F12</f>
        <v>162260</v>
      </c>
      <c r="E12" s="5">
        <f>+Tabla122[[#This Row],[PRECIO SUGERIDO INSTALADOR
( CON  IVA)]]/0.7</f>
        <v>244000.00000000003</v>
      </c>
      <c r="F12" s="11">
        <f>+Tabla122[[#This Row],[PRECIO SUGERIDO INSTALADOR
( CON  IVA)]]*5%</f>
        <v>8540</v>
      </c>
      <c r="G12" s="10">
        <v>0.85</v>
      </c>
      <c r="H12" s="9">
        <f t="shared" si="1"/>
        <v>145180</v>
      </c>
      <c r="I12" s="2"/>
      <c r="K12" s="18">
        <v>122000</v>
      </c>
    </row>
    <row r="13" spans="1:13" ht="45" x14ac:dyDescent="0.25">
      <c r="A13" s="12" t="s">
        <v>79</v>
      </c>
      <c r="B13" s="6" t="s">
        <v>78</v>
      </c>
      <c r="C13" s="5">
        <f t="shared" si="0"/>
        <v>91000</v>
      </c>
      <c r="D13" s="5">
        <f>+Tabla122[[#This Row],[PRECIO SUGERIDO INSTALADOR
( CON  IVA)]]-F13</f>
        <v>86450</v>
      </c>
      <c r="E13" s="5">
        <f>+Tabla122[[#This Row],[PRECIO SUGERIDO INSTALADOR
( CON  IVA)]]/0.7</f>
        <v>130000.00000000001</v>
      </c>
      <c r="F13" s="11">
        <f>+Tabla122[[#This Row],[PRECIO SUGERIDO INSTALADOR
( CON  IVA)]]*5%</f>
        <v>4550</v>
      </c>
      <c r="G13" s="10">
        <v>0.85</v>
      </c>
      <c r="H13" s="9">
        <f t="shared" si="1"/>
        <v>77350</v>
      </c>
      <c r="K13" s="18">
        <v>65000</v>
      </c>
    </row>
    <row r="14" spans="1:13" x14ac:dyDescent="0.25">
      <c r="A14" s="12" t="s">
        <v>77</v>
      </c>
      <c r="B14" s="17" t="s">
        <v>76</v>
      </c>
      <c r="C14" s="5">
        <f t="shared" si="0"/>
        <v>114501.21951219512</v>
      </c>
      <c r="D14" s="5">
        <f>+Tabla122[[#This Row],[PRECIO SUGERIDO INSTALADOR
( CON  IVA)]]-F14</f>
        <v>108776.15853658537</v>
      </c>
      <c r="E14" s="5">
        <f>+Tabla122[[#This Row],[PRECIO SUGERIDO INSTALADOR
( CON  IVA)]]/0.7</f>
        <v>163573.17073170733</v>
      </c>
      <c r="F14" s="11">
        <f>+Tabla122[[#This Row],[PRECIO SUGERIDO INSTALADOR
( CON  IVA)]]*5%</f>
        <v>5725.0609756097565</v>
      </c>
      <c r="G14" s="10">
        <v>0.82</v>
      </c>
      <c r="H14" s="9">
        <f t="shared" si="1"/>
        <v>93891</v>
      </c>
      <c r="K14" s="16">
        <v>78900</v>
      </c>
    </row>
    <row r="15" spans="1:13" ht="30" x14ac:dyDescent="0.25">
      <c r="A15" s="12" t="s">
        <v>124</v>
      </c>
      <c r="B15" s="17" t="s">
        <v>125</v>
      </c>
      <c r="C15" s="5">
        <f t="shared" si="0"/>
        <v>39908.536585365859</v>
      </c>
      <c r="D15" s="5">
        <f>+Tabla122[[#This Row],[PRECIO SUGERIDO INSTALADOR
( CON  IVA)]]-F15</f>
        <v>37913.109756097569</v>
      </c>
      <c r="E15" s="5">
        <f>+Tabla122[[#This Row],[PRECIO SUGERIDO INSTALADOR
( CON  IVA)]]/0.7</f>
        <v>57012.195121951227</v>
      </c>
      <c r="F15" s="11">
        <f>+Tabla122[[#This Row],[PRECIO SUGERIDO INSTALADOR
( CON  IVA)]]*5%</f>
        <v>1995.426829268293</v>
      </c>
      <c r="G15" s="10">
        <v>0.82</v>
      </c>
      <c r="H15" s="9">
        <f t="shared" si="1"/>
        <v>32725</v>
      </c>
      <c r="K15" s="16">
        <v>27500</v>
      </c>
    </row>
    <row r="16" spans="1:13" ht="30" x14ac:dyDescent="0.25">
      <c r="A16" s="12" t="s">
        <v>126</v>
      </c>
      <c r="B16" s="17" t="s">
        <v>127</v>
      </c>
      <c r="C16" s="5">
        <f t="shared" si="0"/>
        <v>36860.975609756097</v>
      </c>
      <c r="D16" s="5">
        <f>+Tabla122[[#This Row],[PRECIO SUGERIDO INSTALADOR
( CON  IVA)]]-F16</f>
        <v>35017.92682926829</v>
      </c>
      <c r="E16" s="5">
        <f>+Tabla122[[#This Row],[PRECIO SUGERIDO INSTALADOR
( CON  IVA)]]/0.7</f>
        <v>52658.536585365859</v>
      </c>
      <c r="F16" s="11">
        <f>+Tabla122[[#This Row],[PRECIO SUGERIDO INSTALADOR
( CON  IVA)]]*5%</f>
        <v>1843.0487804878048</v>
      </c>
      <c r="G16" s="10">
        <v>0.82</v>
      </c>
      <c r="H16" s="9">
        <f t="shared" si="1"/>
        <v>30226</v>
      </c>
      <c r="K16" s="16">
        <v>25400</v>
      </c>
    </row>
    <row r="17" spans="1:11" ht="45" x14ac:dyDescent="0.25">
      <c r="A17" s="12" t="s">
        <v>114</v>
      </c>
      <c r="B17" s="17" t="s">
        <v>113</v>
      </c>
      <c r="C17" s="5">
        <f t="shared" si="0"/>
        <v>507926.8292682927</v>
      </c>
      <c r="D17" s="5">
        <f>+Tabla122[[#This Row],[PRECIO SUGERIDO INSTALADOR
( CON  IVA)]]-F17</f>
        <v>482530.48780487804</v>
      </c>
      <c r="E17" s="5">
        <f>+Tabla122[[#This Row],[PRECIO SUGERIDO INSTALADOR
( CON  IVA)]]/0.7</f>
        <v>725609.7560975611</v>
      </c>
      <c r="F17" s="11">
        <f>+Tabla122[[#This Row],[PRECIO SUGERIDO INSTALADOR
( CON  IVA)]]*5%</f>
        <v>25396.341463414636</v>
      </c>
      <c r="G17" s="10">
        <v>0.82</v>
      </c>
      <c r="H17" s="9">
        <f t="shared" si="1"/>
        <v>416500</v>
      </c>
      <c r="K17" s="16">
        <v>350000</v>
      </c>
    </row>
    <row r="18" spans="1:11" x14ac:dyDescent="0.25">
      <c r="A18" s="12" t="s">
        <v>75</v>
      </c>
      <c r="B18" s="6" t="s">
        <v>74</v>
      </c>
      <c r="C18" s="5">
        <f t="shared" si="0"/>
        <v>21420</v>
      </c>
      <c r="D18" s="5">
        <f>+Tabla122[[#This Row],[PRECIO SUGERIDO INSTALADOR
( CON  IVA)]]-F18</f>
        <v>20349</v>
      </c>
      <c r="E18" s="5">
        <f>+Tabla122[[#This Row],[PRECIO SUGERIDO INSTALADOR
( CON  IVA)]]/0.7</f>
        <v>30600.000000000004</v>
      </c>
      <c r="F18" s="11">
        <f>+Tabla122[[#This Row],[PRECIO SUGERIDO INSTALADOR
( CON  IVA)]]*5%</f>
        <v>1071</v>
      </c>
      <c r="G18" s="10">
        <v>0.85</v>
      </c>
      <c r="H18" s="9">
        <f t="shared" si="1"/>
        <v>18207</v>
      </c>
      <c r="I18" s="2"/>
      <c r="K18" s="15">
        <v>15300</v>
      </c>
    </row>
    <row r="19" spans="1:11" x14ac:dyDescent="0.25">
      <c r="A19" s="12" t="s">
        <v>73</v>
      </c>
      <c r="B19" s="6" t="s">
        <v>72</v>
      </c>
      <c r="C19" s="5">
        <f t="shared" si="0"/>
        <v>4466000</v>
      </c>
      <c r="D19" s="5">
        <f>+Tabla122[[#This Row],[PRECIO SUGERIDO INSTALADOR
( CON  IVA)]]-F19</f>
        <v>4242700</v>
      </c>
      <c r="E19" s="5">
        <f>+Tabla122[[#This Row],[PRECIO SUGERIDO INSTALADOR
( CON  IVA)]]/0.7</f>
        <v>6380000</v>
      </c>
      <c r="F19" s="11">
        <f>+Tabla122[[#This Row],[PRECIO SUGERIDO INSTALADOR
( CON  IVA)]]*5%</f>
        <v>223300</v>
      </c>
      <c r="G19" s="10">
        <v>0.85</v>
      </c>
      <c r="H19" s="9">
        <f t="shared" si="1"/>
        <v>3796100</v>
      </c>
      <c r="I19" s="2"/>
      <c r="K19" s="15">
        <v>3190000</v>
      </c>
    </row>
    <row r="20" spans="1:11" ht="30" x14ac:dyDescent="0.25">
      <c r="A20" s="12" t="s">
        <v>112</v>
      </c>
      <c r="B20" s="6" t="s">
        <v>111</v>
      </c>
      <c r="C20" s="5">
        <f t="shared" si="0"/>
        <v>72560.975609756104</v>
      </c>
      <c r="D20" s="5">
        <f>+Tabla122[[#This Row],[PRECIO SUGERIDO INSTALADOR
( CON  IVA)]]-F20</f>
        <v>68932.926829268297</v>
      </c>
      <c r="E20" s="5">
        <f>+Tabla122[[#This Row],[PRECIO SUGERIDO INSTALADOR
( CON  IVA)]]/0.7</f>
        <v>103658.53658536587</v>
      </c>
      <c r="F20" s="11">
        <f>+Tabla122[[#This Row],[PRECIO SUGERIDO INSTALADOR
( CON  IVA)]]*5%</f>
        <v>3628.0487804878053</v>
      </c>
      <c r="G20" s="10">
        <v>0.82</v>
      </c>
      <c r="H20" s="9">
        <f t="shared" si="1"/>
        <v>59500</v>
      </c>
      <c r="I20" s="2"/>
      <c r="K20" s="15">
        <v>50000</v>
      </c>
    </row>
    <row r="21" spans="1:11" ht="60" x14ac:dyDescent="0.25">
      <c r="A21" s="12" t="s">
        <v>71</v>
      </c>
      <c r="B21" s="6" t="s">
        <v>70</v>
      </c>
      <c r="C21" s="5">
        <f t="shared" si="0"/>
        <v>232400</v>
      </c>
      <c r="D21" s="5">
        <f>+Tabla122[[#This Row],[PRECIO SUGERIDO INSTALADOR
( CON  IVA)]]-F21</f>
        <v>220780</v>
      </c>
      <c r="E21" s="5">
        <f>+Tabla122[[#This Row],[PRECIO SUGERIDO INSTALADOR
( CON  IVA)]]/0.7</f>
        <v>332000</v>
      </c>
      <c r="F21" s="11">
        <f>+Tabla122[[#This Row],[PRECIO SUGERIDO INSTALADOR
( CON  IVA)]]*5%</f>
        <v>11620</v>
      </c>
      <c r="G21" s="10">
        <v>0.85</v>
      </c>
      <c r="H21" s="9">
        <f t="shared" si="1"/>
        <v>197540</v>
      </c>
      <c r="I21" s="2"/>
      <c r="K21" s="15">
        <v>166000</v>
      </c>
    </row>
    <row r="22" spans="1:11" ht="30" x14ac:dyDescent="0.25">
      <c r="A22" s="12" t="s">
        <v>69</v>
      </c>
      <c r="B22" s="6" t="s">
        <v>68</v>
      </c>
      <c r="C22" s="5">
        <f t="shared" si="0"/>
        <v>1430800</v>
      </c>
      <c r="D22" s="5">
        <f>+Tabla122[[#This Row],[PRECIO SUGERIDO INSTALADOR
( CON  IVA)]]-F22</f>
        <v>1359260</v>
      </c>
      <c r="E22" s="5">
        <f>+Tabla122[[#This Row],[PRECIO SUGERIDO INSTALADOR
( CON  IVA)]]/0.7</f>
        <v>2044000.0000000002</v>
      </c>
      <c r="F22" s="11">
        <f>+Tabla122[[#This Row],[PRECIO SUGERIDO INSTALADOR
( CON  IVA)]]*5%</f>
        <v>71540</v>
      </c>
      <c r="G22" s="10">
        <v>0.85</v>
      </c>
      <c r="H22" s="9">
        <f t="shared" si="1"/>
        <v>1216180</v>
      </c>
      <c r="I22" s="2"/>
      <c r="K22" s="15">
        <v>1022000</v>
      </c>
    </row>
    <row r="23" spans="1:11" ht="30" x14ac:dyDescent="0.25">
      <c r="A23" s="12" t="s">
        <v>67</v>
      </c>
      <c r="B23" s="6" t="s">
        <v>66</v>
      </c>
      <c r="C23" s="5">
        <f t="shared" si="0"/>
        <v>162400</v>
      </c>
      <c r="D23" s="5">
        <f>+Tabla122[[#This Row],[PRECIO SUGERIDO INSTALADOR
( CON  IVA)]]-F23</f>
        <v>154280</v>
      </c>
      <c r="E23" s="5">
        <f>+Tabla122[[#This Row],[PRECIO SUGERIDO INSTALADOR
( CON  IVA)]]/0.7</f>
        <v>232000.00000000003</v>
      </c>
      <c r="F23" s="11">
        <f>+Tabla122[[#This Row],[PRECIO SUGERIDO INSTALADOR
( CON  IVA)]]*5%</f>
        <v>8120</v>
      </c>
      <c r="G23" s="10">
        <v>0.85</v>
      </c>
      <c r="H23" s="9">
        <f t="shared" si="1"/>
        <v>138040</v>
      </c>
      <c r="I23" s="2"/>
      <c r="K23" s="15">
        <v>116000</v>
      </c>
    </row>
    <row r="24" spans="1:11" ht="45" x14ac:dyDescent="0.25">
      <c r="A24" s="12" t="s">
        <v>65</v>
      </c>
      <c r="B24" s="6" t="s">
        <v>64</v>
      </c>
      <c r="C24" s="5">
        <f t="shared" si="0"/>
        <v>407400</v>
      </c>
      <c r="D24" s="5">
        <f>+Tabla122[[#This Row],[PRECIO SUGERIDO INSTALADOR
( CON  IVA)]]-F24</f>
        <v>387030</v>
      </c>
      <c r="E24" s="5">
        <f>+Tabla122[[#This Row],[PRECIO SUGERIDO INSTALADOR
( CON  IVA)]]/0.7</f>
        <v>582000</v>
      </c>
      <c r="F24" s="11">
        <f>+Tabla122[[#This Row],[PRECIO SUGERIDO INSTALADOR
( CON  IVA)]]*5%</f>
        <v>20370</v>
      </c>
      <c r="G24" s="10">
        <v>0.85</v>
      </c>
      <c r="H24" s="9">
        <f t="shared" si="1"/>
        <v>346290</v>
      </c>
      <c r="I24" s="2"/>
      <c r="K24" s="15">
        <v>291000</v>
      </c>
    </row>
    <row r="25" spans="1:11" ht="30" x14ac:dyDescent="0.25">
      <c r="A25" s="12" t="s">
        <v>63</v>
      </c>
      <c r="B25" s="6" t="s">
        <v>62</v>
      </c>
      <c r="C25" s="5">
        <f t="shared" si="0"/>
        <v>1584240</v>
      </c>
      <c r="D25" s="5">
        <f>+Tabla122[[#This Row],[PRECIO SUGERIDO INSTALADOR
( CON  IVA)]]-F25</f>
        <v>1505028</v>
      </c>
      <c r="E25" s="5">
        <f>+Tabla122[[#This Row],[PRECIO SUGERIDO INSTALADOR
( CON  IVA)]]/0.7</f>
        <v>2263200</v>
      </c>
      <c r="F25" s="11">
        <f>+Tabla122[[#This Row],[PRECIO SUGERIDO INSTALADOR
( CON  IVA)]]*5%</f>
        <v>79212</v>
      </c>
      <c r="G25" s="10">
        <v>0.85</v>
      </c>
      <c r="H25" s="9">
        <f t="shared" si="1"/>
        <v>1346604</v>
      </c>
      <c r="I25" s="2"/>
      <c r="K25" s="15">
        <v>1131600</v>
      </c>
    </row>
    <row r="26" spans="1:11" ht="45" x14ac:dyDescent="0.25">
      <c r="A26" s="12" t="s">
        <v>61</v>
      </c>
      <c r="B26" s="6" t="s">
        <v>60</v>
      </c>
      <c r="C26" s="5">
        <f t="shared" si="0"/>
        <v>770000</v>
      </c>
      <c r="D26" s="5">
        <f>+Tabla122[[#This Row],[PRECIO SUGERIDO INSTALADOR
( CON  IVA)]]-F26</f>
        <v>731500</v>
      </c>
      <c r="E26" s="5">
        <f>+Tabla122[[#This Row],[PRECIO SUGERIDO INSTALADOR
( CON  IVA)]]/0.7</f>
        <v>1100000</v>
      </c>
      <c r="F26" s="11">
        <f>+Tabla122[[#This Row],[PRECIO SUGERIDO INSTALADOR
( CON  IVA)]]*5%</f>
        <v>38500</v>
      </c>
      <c r="G26" s="10">
        <v>0.85</v>
      </c>
      <c r="H26" s="9">
        <f t="shared" si="1"/>
        <v>654500</v>
      </c>
      <c r="I26" s="2"/>
      <c r="K26" s="15">
        <v>550000</v>
      </c>
    </row>
    <row r="27" spans="1:11" ht="75" x14ac:dyDescent="0.25">
      <c r="A27" s="12" t="s">
        <v>59</v>
      </c>
      <c r="B27" s="6" t="s">
        <v>58</v>
      </c>
      <c r="C27" s="5">
        <f t="shared" si="0"/>
        <v>772973.6</v>
      </c>
      <c r="D27" s="5">
        <f>+Tabla122[[#This Row],[PRECIO SUGERIDO INSTALADOR
( CON  IVA)]]-F27</f>
        <v>734324.91999999993</v>
      </c>
      <c r="E27" s="5">
        <f>+Tabla122[[#This Row],[PRECIO SUGERIDO INSTALADOR
( CON  IVA)]]/0.7</f>
        <v>1104248</v>
      </c>
      <c r="F27" s="11">
        <f>+Tabla122[[#This Row],[PRECIO SUGERIDO INSTALADOR
( CON  IVA)]]*5%</f>
        <v>38648.68</v>
      </c>
      <c r="G27" s="10">
        <v>0.85</v>
      </c>
      <c r="H27" s="9">
        <f t="shared" si="1"/>
        <v>657027.55999999994</v>
      </c>
      <c r="I27" s="2"/>
      <c r="K27" s="8">
        <v>552124</v>
      </c>
    </row>
    <row r="28" spans="1:11" ht="75" x14ac:dyDescent="0.25">
      <c r="A28" s="12" t="s">
        <v>57</v>
      </c>
      <c r="B28" s="6" t="s">
        <v>56</v>
      </c>
      <c r="C28" s="5">
        <f t="shared" si="0"/>
        <v>1416181.2</v>
      </c>
      <c r="D28" s="5">
        <f>+Tabla122[[#This Row],[PRECIO SUGERIDO INSTALADOR
( CON  IVA)]]-F28</f>
        <v>1345372.14</v>
      </c>
      <c r="E28" s="5">
        <f>+Tabla122[[#This Row],[PRECIO SUGERIDO INSTALADOR
( CON  IVA)]]/0.7</f>
        <v>2023116</v>
      </c>
      <c r="F28" s="11">
        <f>+Tabla122[[#This Row],[PRECIO SUGERIDO INSTALADOR
( CON  IVA)]]*5%</f>
        <v>70809.06</v>
      </c>
      <c r="G28" s="10">
        <v>0.85</v>
      </c>
      <c r="H28" s="9">
        <f t="shared" si="1"/>
        <v>1203754.02</v>
      </c>
      <c r="I28" s="2"/>
      <c r="K28" s="8">
        <v>1011558</v>
      </c>
    </row>
    <row r="29" spans="1:11" ht="45" x14ac:dyDescent="0.25">
      <c r="A29" s="12" t="s">
        <v>55</v>
      </c>
      <c r="B29" s="6" t="s">
        <v>54</v>
      </c>
      <c r="C29" s="5">
        <f t="shared" si="0"/>
        <v>1869560</v>
      </c>
      <c r="D29" s="5">
        <f>+Tabla122[[#This Row],[PRECIO SUGERIDO INSTALADOR
( CON  IVA)]]-F29</f>
        <v>1776082</v>
      </c>
      <c r="E29" s="5">
        <f>+Tabla122[[#This Row],[PRECIO SUGERIDO INSTALADOR
( CON  IVA)]]/0.7</f>
        <v>2670800</v>
      </c>
      <c r="F29" s="11">
        <f>+Tabla122[[#This Row],[PRECIO SUGERIDO INSTALADOR
( CON  IVA)]]*5%</f>
        <v>93478</v>
      </c>
      <c r="G29" s="10">
        <v>0.85</v>
      </c>
      <c r="H29" s="9">
        <f t="shared" si="1"/>
        <v>1589126</v>
      </c>
      <c r="I29" s="2"/>
      <c r="K29" s="8">
        <v>1335400</v>
      </c>
    </row>
    <row r="30" spans="1:11" ht="45" x14ac:dyDescent="0.25">
      <c r="A30" s="12" t="s">
        <v>53</v>
      </c>
      <c r="B30" s="6" t="s">
        <v>52</v>
      </c>
      <c r="C30" s="5">
        <f t="shared" si="0"/>
        <v>359183.99999999994</v>
      </c>
      <c r="D30" s="5">
        <f>+Tabla122[[#This Row],[PRECIO SUGERIDO INSTALADOR
( CON  IVA)]]-F30</f>
        <v>341224.79999999993</v>
      </c>
      <c r="E30" s="5">
        <f>+Tabla122[[#This Row],[PRECIO SUGERIDO INSTALADOR
( CON  IVA)]]/0.7</f>
        <v>513119.99999999994</v>
      </c>
      <c r="F30" s="11">
        <f>+Tabla122[[#This Row],[PRECIO SUGERIDO INSTALADOR
( CON  IVA)]]*5%</f>
        <v>17959.199999999997</v>
      </c>
      <c r="G30" s="10">
        <v>0.85</v>
      </c>
      <c r="H30" s="9">
        <f t="shared" si="1"/>
        <v>305306.39999999997</v>
      </c>
      <c r="I30" s="2"/>
      <c r="K30" s="8">
        <v>256560</v>
      </c>
    </row>
    <row r="31" spans="1:11" ht="30" x14ac:dyDescent="0.25">
      <c r="A31" s="12" t="s">
        <v>51</v>
      </c>
      <c r="B31" s="6" t="s">
        <v>50</v>
      </c>
      <c r="C31" s="5">
        <f t="shared" si="0"/>
        <v>759220</v>
      </c>
      <c r="D31" s="5">
        <f>+Tabla122[[#This Row],[PRECIO SUGERIDO INSTALADOR
( CON  IVA)]]-F31</f>
        <v>721259</v>
      </c>
      <c r="E31" s="5">
        <f>+Tabla122[[#This Row],[PRECIO SUGERIDO INSTALADOR
( CON  IVA)]]/0.7</f>
        <v>1084600</v>
      </c>
      <c r="F31" s="11">
        <f>+Tabla122[[#This Row],[PRECIO SUGERIDO INSTALADOR
( CON  IVA)]]*5%</f>
        <v>37961</v>
      </c>
      <c r="G31" s="10">
        <v>0.85</v>
      </c>
      <c r="H31" s="9">
        <f t="shared" si="1"/>
        <v>645337</v>
      </c>
      <c r="I31" s="2"/>
      <c r="K31" s="8">
        <v>542300</v>
      </c>
    </row>
    <row r="32" spans="1:11" ht="60" x14ac:dyDescent="0.25">
      <c r="A32" s="12" t="s">
        <v>49</v>
      </c>
      <c r="B32" s="6" t="s">
        <v>48</v>
      </c>
      <c r="C32" s="5">
        <f t="shared" si="0"/>
        <v>402904.6</v>
      </c>
      <c r="D32" s="5">
        <f>+Tabla122[[#This Row],[PRECIO SUGERIDO INSTALADOR
( CON  IVA)]]-F32</f>
        <v>382759.37</v>
      </c>
      <c r="E32" s="5">
        <f>+Tabla122[[#This Row],[PRECIO SUGERIDO INSTALADOR
( CON  IVA)]]/0.7</f>
        <v>575578</v>
      </c>
      <c r="F32" s="11">
        <f>+Tabla122[[#This Row],[PRECIO SUGERIDO INSTALADOR
( CON  IVA)]]*5%</f>
        <v>20145.23</v>
      </c>
      <c r="G32" s="10">
        <v>0.85</v>
      </c>
      <c r="H32" s="9">
        <f t="shared" si="1"/>
        <v>342468.91</v>
      </c>
      <c r="I32" s="2"/>
      <c r="K32" s="8">
        <v>287789</v>
      </c>
    </row>
    <row r="33" spans="1:13" ht="30" x14ac:dyDescent="0.25">
      <c r="A33" s="12" t="s">
        <v>47</v>
      </c>
      <c r="B33" s="6" t="s">
        <v>46</v>
      </c>
      <c r="C33" s="5">
        <f t="shared" si="0"/>
        <v>539000</v>
      </c>
      <c r="D33" s="5">
        <f>+Tabla122[[#This Row],[PRECIO SUGERIDO INSTALADOR
( CON  IVA)]]-F33</f>
        <v>512050</v>
      </c>
      <c r="E33" s="5">
        <f>+Tabla122[[#This Row],[PRECIO SUGERIDO INSTALADOR
( CON  IVA)]]/0.7</f>
        <v>770000</v>
      </c>
      <c r="F33" s="11">
        <f>+Tabla122[[#This Row],[PRECIO SUGERIDO INSTALADOR
( CON  IVA)]]*5%</f>
        <v>26950</v>
      </c>
      <c r="G33" s="10">
        <v>0.85</v>
      </c>
      <c r="H33" s="9">
        <f t="shared" si="1"/>
        <v>458150</v>
      </c>
      <c r="I33" s="2"/>
      <c r="K33" s="8">
        <v>385000</v>
      </c>
    </row>
    <row r="34" spans="1:13" ht="45" x14ac:dyDescent="0.25">
      <c r="A34" s="12" t="s">
        <v>45</v>
      </c>
      <c r="B34" s="14" t="s">
        <v>44</v>
      </c>
      <c r="C34" s="5">
        <f t="shared" ref="C34:C58" si="2">+H34/G34</f>
        <v>459200</v>
      </c>
      <c r="D34" s="5">
        <f>+Tabla122[[#This Row],[PRECIO SUGERIDO INSTALADOR
( CON  IVA)]]-F34</f>
        <v>436240</v>
      </c>
      <c r="E34" s="5">
        <f>+Tabla122[[#This Row],[PRECIO SUGERIDO INSTALADOR
( CON  IVA)]]/0.7</f>
        <v>656000</v>
      </c>
      <c r="F34" s="11">
        <f>+Tabla122[[#This Row],[PRECIO SUGERIDO INSTALADOR
( CON  IVA)]]*5%</f>
        <v>22960</v>
      </c>
      <c r="G34" s="10">
        <v>0.85</v>
      </c>
      <c r="H34" s="9">
        <f t="shared" si="1"/>
        <v>390320</v>
      </c>
      <c r="I34" s="2"/>
      <c r="K34" s="8">
        <v>328000</v>
      </c>
    </row>
    <row r="35" spans="1:13" ht="45" x14ac:dyDescent="0.25">
      <c r="A35" s="12" t="s">
        <v>43</v>
      </c>
      <c r="B35" s="6" t="s">
        <v>42</v>
      </c>
      <c r="C35" s="5">
        <f t="shared" si="2"/>
        <v>301000</v>
      </c>
      <c r="D35" s="5">
        <f>+Tabla122[[#This Row],[PRECIO SUGERIDO INSTALADOR
( CON  IVA)]]-F35</f>
        <v>285950</v>
      </c>
      <c r="E35" s="5">
        <f>+Tabla122[[#This Row],[PRECIO SUGERIDO INSTALADOR
( CON  IVA)]]/0.7</f>
        <v>430000</v>
      </c>
      <c r="F35" s="11">
        <f>+Tabla122[[#This Row],[PRECIO SUGERIDO INSTALADOR
( CON  IVA)]]*5%</f>
        <v>15050</v>
      </c>
      <c r="G35" s="10">
        <v>0.85</v>
      </c>
      <c r="H35" s="9">
        <f t="shared" si="1"/>
        <v>255850</v>
      </c>
      <c r="I35" s="2"/>
      <c r="K35" s="8">
        <v>215000</v>
      </c>
      <c r="M35" t="s">
        <v>118</v>
      </c>
    </row>
    <row r="36" spans="1:13" ht="45" x14ac:dyDescent="0.25">
      <c r="A36" s="12" t="s">
        <v>41</v>
      </c>
      <c r="B36" s="6" t="s">
        <v>40</v>
      </c>
      <c r="C36" s="5">
        <f t="shared" si="2"/>
        <v>856809.79999999993</v>
      </c>
      <c r="D36" s="5">
        <f>+Tabla122[[#This Row],[PRECIO SUGERIDO INSTALADOR
( CON  IVA)]]-F36</f>
        <v>813969.30999999994</v>
      </c>
      <c r="E36" s="5">
        <f>+Tabla122[[#This Row],[PRECIO SUGERIDO INSTALADOR
( CON  IVA)]]/0.7</f>
        <v>1224014</v>
      </c>
      <c r="F36" s="11">
        <f>+Tabla122[[#This Row],[PRECIO SUGERIDO INSTALADOR
( CON  IVA)]]*5%</f>
        <v>42840.49</v>
      </c>
      <c r="G36" s="10">
        <v>0.85</v>
      </c>
      <c r="H36" s="9">
        <f t="shared" si="1"/>
        <v>728288.33</v>
      </c>
      <c r="I36" s="2"/>
      <c r="K36" s="8">
        <v>612007</v>
      </c>
    </row>
    <row r="37" spans="1:13" ht="45" x14ac:dyDescent="0.25">
      <c r="A37" s="12" t="s">
        <v>39</v>
      </c>
      <c r="B37" s="6" t="s">
        <v>38</v>
      </c>
      <c r="C37" s="5">
        <f t="shared" si="2"/>
        <v>357000</v>
      </c>
      <c r="D37" s="5">
        <f>+Tabla122[[#This Row],[PRECIO SUGERIDO INSTALADOR
( CON  IVA)]]-F37</f>
        <v>339150</v>
      </c>
      <c r="E37" s="5">
        <f>+Tabla122[[#This Row],[PRECIO SUGERIDO INSTALADOR
( CON  IVA)]]/0.7</f>
        <v>510000.00000000006</v>
      </c>
      <c r="F37" s="11">
        <f>+Tabla122[[#This Row],[PRECIO SUGERIDO INSTALADOR
( CON  IVA)]]*5%</f>
        <v>17850</v>
      </c>
      <c r="G37" s="10">
        <v>0.85</v>
      </c>
      <c r="H37" s="9">
        <f t="shared" si="1"/>
        <v>303450</v>
      </c>
      <c r="I37" s="2"/>
      <c r="K37" s="8">
        <v>255000</v>
      </c>
    </row>
    <row r="38" spans="1:13" ht="30" x14ac:dyDescent="0.25">
      <c r="A38" s="12" t="s">
        <v>37</v>
      </c>
      <c r="B38" s="6" t="s">
        <v>36</v>
      </c>
      <c r="C38" s="5">
        <f t="shared" si="2"/>
        <v>832440</v>
      </c>
      <c r="D38" s="5">
        <f>+Tabla122[[#This Row],[PRECIO SUGERIDO INSTALADOR
( CON  IVA)]]-F38</f>
        <v>790818</v>
      </c>
      <c r="E38" s="5">
        <f>+Tabla122[[#This Row],[PRECIO SUGERIDO INSTALADOR
( CON  IVA)]]/0.7</f>
        <v>1189200</v>
      </c>
      <c r="F38" s="11">
        <f>+Tabla122[[#This Row],[PRECIO SUGERIDO INSTALADOR
( CON  IVA)]]*5%</f>
        <v>41622</v>
      </c>
      <c r="G38" s="10">
        <v>0.85</v>
      </c>
      <c r="H38" s="9">
        <f t="shared" si="1"/>
        <v>707574</v>
      </c>
      <c r="I38" s="2"/>
      <c r="K38" s="8">
        <v>594600</v>
      </c>
    </row>
    <row r="39" spans="1:13" ht="45" x14ac:dyDescent="0.25">
      <c r="A39" s="12" t="s">
        <v>35</v>
      </c>
      <c r="B39" s="6" t="s">
        <v>34</v>
      </c>
      <c r="C39" s="5">
        <f t="shared" si="2"/>
        <v>1119449.8</v>
      </c>
      <c r="D39" s="5">
        <f>+Tabla122[[#This Row],[PRECIO SUGERIDO INSTALADOR
( CON  IVA)]]-F39</f>
        <v>1063477.31</v>
      </c>
      <c r="E39" s="5">
        <f>+Tabla122[[#This Row],[PRECIO SUGERIDO INSTALADOR
( CON  IVA)]]/0.7</f>
        <v>1599214.0000000002</v>
      </c>
      <c r="F39" s="11">
        <f>+Tabla122[[#This Row],[PRECIO SUGERIDO INSTALADOR
( CON  IVA)]]*5%</f>
        <v>55972.490000000005</v>
      </c>
      <c r="G39" s="10">
        <v>0.85</v>
      </c>
      <c r="H39" s="9">
        <f t="shared" si="1"/>
        <v>951532.33</v>
      </c>
      <c r="I39" s="2"/>
      <c r="K39" s="8">
        <v>799607</v>
      </c>
    </row>
    <row r="40" spans="1:13" ht="60" x14ac:dyDescent="0.25">
      <c r="A40" s="12" t="s">
        <v>33</v>
      </c>
      <c r="B40" s="6" t="s">
        <v>32</v>
      </c>
      <c r="C40" s="5">
        <f t="shared" si="2"/>
        <v>109200</v>
      </c>
      <c r="D40" s="5">
        <f>+Tabla122[[#This Row],[PRECIO SUGERIDO INSTALADOR
( CON  IVA)]]-F40</f>
        <v>103740</v>
      </c>
      <c r="E40" s="5">
        <f>+Tabla122[[#This Row],[PRECIO SUGERIDO INSTALADOR
( CON  IVA)]]/0.7</f>
        <v>156000</v>
      </c>
      <c r="F40" s="11">
        <f>+Tabla122[[#This Row],[PRECIO SUGERIDO INSTALADOR
( CON  IVA)]]*5%</f>
        <v>5460</v>
      </c>
      <c r="G40" s="10">
        <v>0.85</v>
      </c>
      <c r="H40" s="9">
        <f t="shared" si="1"/>
        <v>92820</v>
      </c>
      <c r="I40" s="2"/>
      <c r="K40" s="8">
        <v>78000</v>
      </c>
    </row>
    <row r="41" spans="1:13" ht="45" x14ac:dyDescent="0.25">
      <c r="A41" s="12" t="s">
        <v>31</v>
      </c>
      <c r="B41" s="6" t="s">
        <v>30</v>
      </c>
      <c r="C41" s="5">
        <f t="shared" si="2"/>
        <v>682500</v>
      </c>
      <c r="D41" s="5">
        <f>+Tabla122[[#This Row],[PRECIO SUGERIDO INSTALADOR
( CON  IVA)]]-F41</f>
        <v>648375</v>
      </c>
      <c r="E41" s="5">
        <f>+Tabla122[[#This Row],[PRECIO SUGERIDO INSTALADOR
( CON  IVA)]]/0.7</f>
        <v>975000.00000000012</v>
      </c>
      <c r="F41" s="11">
        <f>+Tabla122[[#This Row],[PRECIO SUGERIDO INSTALADOR
( CON  IVA)]]*5%</f>
        <v>34125</v>
      </c>
      <c r="G41" s="10">
        <v>0.85</v>
      </c>
      <c r="H41" s="9">
        <f t="shared" si="1"/>
        <v>580125</v>
      </c>
      <c r="I41" s="2"/>
      <c r="K41" s="8">
        <v>487500</v>
      </c>
    </row>
    <row r="42" spans="1:13" ht="45" x14ac:dyDescent="0.25">
      <c r="A42" s="13" t="s">
        <v>29</v>
      </c>
      <c r="B42" s="6" t="s">
        <v>28</v>
      </c>
      <c r="C42" s="5">
        <f t="shared" si="2"/>
        <v>1197420</v>
      </c>
      <c r="D42" s="5">
        <f>+Tabla122[[#This Row],[PRECIO SUGERIDO INSTALADOR
( CON  IVA)]]-F42</f>
        <v>1137549</v>
      </c>
      <c r="E42" s="5">
        <f>+Tabla122[[#This Row],[PRECIO SUGERIDO INSTALADOR
( CON  IVA)]]/0.7</f>
        <v>1710600</v>
      </c>
      <c r="F42" s="11">
        <f>+Tabla122[[#This Row],[PRECIO SUGERIDO INSTALADOR
( CON  IVA)]]*5%</f>
        <v>59871</v>
      </c>
      <c r="G42" s="10">
        <v>0.85</v>
      </c>
      <c r="H42" s="9">
        <f t="shared" si="1"/>
        <v>1017807</v>
      </c>
      <c r="I42" s="2"/>
      <c r="K42" s="8">
        <v>855300</v>
      </c>
      <c r="M42" t="s">
        <v>118</v>
      </c>
    </row>
    <row r="43" spans="1:13" ht="30" x14ac:dyDescent="0.25">
      <c r="A43" s="12" t="s">
        <v>27</v>
      </c>
      <c r="B43" s="6" t="s">
        <v>26</v>
      </c>
      <c r="C43" s="5">
        <f t="shared" si="2"/>
        <v>878220</v>
      </c>
      <c r="D43" s="5">
        <f>+Tabla122[[#This Row],[PRECIO SUGERIDO INSTALADOR
( CON  IVA)]]-F43</f>
        <v>834309</v>
      </c>
      <c r="E43" s="5">
        <f>+Tabla122[[#This Row],[PRECIO SUGERIDO INSTALADOR
( CON  IVA)]]/0.7</f>
        <v>1254600</v>
      </c>
      <c r="F43" s="11">
        <f>+Tabla122[[#This Row],[PRECIO SUGERIDO INSTALADOR
( CON  IVA)]]*5%</f>
        <v>43911</v>
      </c>
      <c r="G43" s="10">
        <v>0.85</v>
      </c>
      <c r="H43" s="9">
        <f t="shared" si="1"/>
        <v>746487</v>
      </c>
      <c r="I43" s="2"/>
      <c r="K43" s="8">
        <v>627300</v>
      </c>
    </row>
    <row r="44" spans="1:13" ht="45" x14ac:dyDescent="0.25">
      <c r="A44" s="12" t="s">
        <v>25</v>
      </c>
      <c r="B44" s="6" t="s">
        <v>24</v>
      </c>
      <c r="C44" s="5">
        <f t="shared" si="2"/>
        <v>670600</v>
      </c>
      <c r="D44" s="5">
        <f>+Tabla122[[#This Row],[PRECIO SUGERIDO INSTALADOR
( CON  IVA)]]-F44</f>
        <v>637070</v>
      </c>
      <c r="E44" s="5">
        <f>+Tabla122[[#This Row],[PRECIO SUGERIDO INSTALADOR
( CON  IVA)]]/0.7</f>
        <v>958000.00000000012</v>
      </c>
      <c r="F44" s="11">
        <f>+Tabla122[[#This Row],[PRECIO SUGERIDO INSTALADOR
( CON  IVA)]]*5%</f>
        <v>33530</v>
      </c>
      <c r="G44" s="10">
        <v>0.85</v>
      </c>
      <c r="H44" s="9">
        <f t="shared" si="1"/>
        <v>570010</v>
      </c>
      <c r="I44" s="2"/>
      <c r="K44" s="8">
        <v>479000</v>
      </c>
    </row>
    <row r="45" spans="1:13" ht="30" x14ac:dyDescent="0.25">
      <c r="A45" s="12" t="s">
        <v>122</v>
      </c>
      <c r="B45" s="6" t="s">
        <v>123</v>
      </c>
      <c r="C45" s="5">
        <f t="shared" si="2"/>
        <v>486158.53658536589</v>
      </c>
      <c r="D45" s="5">
        <f>+Tabla122[[#This Row],[PRECIO SUGERIDO INSTALADOR
( CON  IVA)]]-F45</f>
        <v>461850.6097560976</v>
      </c>
      <c r="E45" s="5">
        <f>+Tabla122[[#This Row],[PRECIO SUGERIDO INSTALADOR
( CON  IVA)]]/0.7</f>
        <v>694512.19512195128</v>
      </c>
      <c r="F45" s="11">
        <f>+Tabla122[[#This Row],[PRECIO SUGERIDO INSTALADOR
( CON  IVA)]]*5%</f>
        <v>24307.926829268297</v>
      </c>
      <c r="G45" s="10">
        <v>0.82</v>
      </c>
      <c r="H45" s="9">
        <f t="shared" si="1"/>
        <v>398650</v>
      </c>
      <c r="I45" s="2"/>
      <c r="K45" s="8">
        <v>335000</v>
      </c>
    </row>
    <row r="46" spans="1:13" ht="30" x14ac:dyDescent="0.25">
      <c r="A46" s="12" t="s">
        <v>23</v>
      </c>
      <c r="B46" s="6" t="s">
        <v>22</v>
      </c>
      <c r="C46" s="5">
        <f t="shared" si="2"/>
        <v>502600</v>
      </c>
      <c r="D46" s="5">
        <f>+Tabla122[[#This Row],[PRECIO SUGERIDO INSTALADOR
( CON  IVA)]]-F46</f>
        <v>477470</v>
      </c>
      <c r="E46" s="5">
        <f>+Tabla122[[#This Row],[PRECIO SUGERIDO INSTALADOR
( CON  IVA)]]/0.7</f>
        <v>718000</v>
      </c>
      <c r="F46" s="11">
        <f>+Tabla122[[#This Row],[PRECIO SUGERIDO INSTALADOR
( CON  IVA)]]*5%</f>
        <v>25130</v>
      </c>
      <c r="G46" s="10">
        <v>0.85</v>
      </c>
      <c r="H46" s="9">
        <f t="shared" si="1"/>
        <v>427210</v>
      </c>
      <c r="I46" s="2"/>
      <c r="K46" s="8">
        <v>359000</v>
      </c>
    </row>
    <row r="47" spans="1:13" ht="30" x14ac:dyDescent="0.25">
      <c r="A47" s="12" t="s">
        <v>21</v>
      </c>
      <c r="B47" s="6" t="s">
        <v>20</v>
      </c>
      <c r="C47" s="5">
        <f t="shared" si="2"/>
        <v>344400</v>
      </c>
      <c r="D47" s="5">
        <f>+Tabla122[[#This Row],[PRECIO SUGERIDO INSTALADOR
( CON  IVA)]]-F47</f>
        <v>327180</v>
      </c>
      <c r="E47" s="5">
        <f>+Tabla122[[#This Row],[PRECIO SUGERIDO INSTALADOR
( CON  IVA)]]/0.7</f>
        <v>492000.00000000006</v>
      </c>
      <c r="F47" s="11">
        <f>+Tabla122[[#This Row],[PRECIO SUGERIDO INSTALADOR
( CON  IVA)]]*5%</f>
        <v>17220</v>
      </c>
      <c r="G47" s="10">
        <v>0.85</v>
      </c>
      <c r="H47" s="9">
        <f t="shared" si="1"/>
        <v>292740</v>
      </c>
      <c r="I47" s="2"/>
      <c r="K47" s="8">
        <v>246000</v>
      </c>
    </row>
    <row r="48" spans="1:13" ht="30" x14ac:dyDescent="0.25">
      <c r="A48" s="12" t="s">
        <v>19</v>
      </c>
      <c r="B48" s="6" t="s">
        <v>18</v>
      </c>
      <c r="C48" s="5">
        <f t="shared" si="2"/>
        <v>517300</v>
      </c>
      <c r="D48" s="5">
        <f>+Tabla122[[#This Row],[PRECIO SUGERIDO INSTALADOR
( CON  IVA)]]-F48</f>
        <v>491435</v>
      </c>
      <c r="E48" s="5">
        <f>+Tabla122[[#This Row],[PRECIO SUGERIDO INSTALADOR
( CON  IVA)]]/0.7</f>
        <v>739000</v>
      </c>
      <c r="F48" s="11">
        <f>+Tabla122[[#This Row],[PRECIO SUGERIDO INSTALADOR
( CON  IVA)]]*5%</f>
        <v>25865</v>
      </c>
      <c r="G48" s="10">
        <v>0.85</v>
      </c>
      <c r="H48" s="9">
        <f t="shared" si="1"/>
        <v>439705</v>
      </c>
      <c r="I48" s="2"/>
      <c r="K48" s="8">
        <v>369500</v>
      </c>
    </row>
    <row r="49" spans="1:11" ht="30" x14ac:dyDescent="0.25">
      <c r="A49" s="12" t="s">
        <v>17</v>
      </c>
      <c r="B49" s="6" t="s">
        <v>16</v>
      </c>
      <c r="C49" s="5">
        <f t="shared" si="2"/>
        <v>336000</v>
      </c>
      <c r="D49" s="5">
        <f>+Tabla122[[#This Row],[PRECIO SUGERIDO INSTALADOR
( CON  IVA)]]-F49</f>
        <v>319200</v>
      </c>
      <c r="E49" s="5">
        <f>+Tabla122[[#This Row],[PRECIO SUGERIDO INSTALADOR
( CON  IVA)]]/0.7</f>
        <v>480000.00000000006</v>
      </c>
      <c r="F49" s="11">
        <f>+Tabla122[[#This Row],[PRECIO SUGERIDO INSTALADOR
( CON  IVA)]]*5%</f>
        <v>16800</v>
      </c>
      <c r="G49" s="10">
        <v>0.85</v>
      </c>
      <c r="H49" s="9">
        <f t="shared" si="1"/>
        <v>285600</v>
      </c>
      <c r="I49" s="2"/>
      <c r="K49" s="8">
        <v>240000</v>
      </c>
    </row>
    <row r="50" spans="1:11" ht="30" x14ac:dyDescent="0.25">
      <c r="A50" s="12" t="s">
        <v>15</v>
      </c>
      <c r="B50" s="6" t="s">
        <v>14</v>
      </c>
      <c r="C50" s="5">
        <f t="shared" si="2"/>
        <v>257600</v>
      </c>
      <c r="D50" s="5">
        <f>+Tabla122[[#This Row],[PRECIO SUGERIDO INSTALADOR
( CON  IVA)]]-F50</f>
        <v>244720</v>
      </c>
      <c r="E50" s="5">
        <f>+Tabla122[[#This Row],[PRECIO SUGERIDO INSTALADOR
( CON  IVA)]]/0.7</f>
        <v>368000</v>
      </c>
      <c r="F50" s="11">
        <f>+Tabla122[[#This Row],[PRECIO SUGERIDO INSTALADOR
( CON  IVA)]]*5%</f>
        <v>12880</v>
      </c>
      <c r="G50" s="10">
        <v>0.85</v>
      </c>
      <c r="H50" s="9">
        <f t="shared" si="1"/>
        <v>218960</v>
      </c>
      <c r="I50" s="2"/>
      <c r="K50" s="8">
        <v>184000</v>
      </c>
    </row>
    <row r="51" spans="1:11" ht="30" x14ac:dyDescent="0.25">
      <c r="A51" s="12" t="s">
        <v>13</v>
      </c>
      <c r="B51" s="6" t="s">
        <v>12</v>
      </c>
      <c r="C51" s="5">
        <f t="shared" si="2"/>
        <v>217000</v>
      </c>
      <c r="D51" s="5">
        <f>+Tabla122[[#This Row],[PRECIO SUGERIDO INSTALADOR
( CON  IVA)]]-F51</f>
        <v>206150</v>
      </c>
      <c r="E51" s="5">
        <f>+Tabla122[[#This Row],[PRECIO SUGERIDO INSTALADOR
( CON  IVA)]]/0.7</f>
        <v>310000</v>
      </c>
      <c r="F51" s="11">
        <f>+Tabla122[[#This Row],[PRECIO SUGERIDO INSTALADOR
( CON  IVA)]]*5%</f>
        <v>10850</v>
      </c>
      <c r="G51" s="10">
        <v>0.85</v>
      </c>
      <c r="H51" s="9">
        <f t="shared" si="1"/>
        <v>184450</v>
      </c>
      <c r="I51" s="2"/>
      <c r="K51" s="8">
        <v>155000</v>
      </c>
    </row>
    <row r="52" spans="1:11" ht="30" x14ac:dyDescent="0.25">
      <c r="A52" s="12" t="s">
        <v>11</v>
      </c>
      <c r="B52" s="6" t="s">
        <v>10</v>
      </c>
      <c r="C52" s="5">
        <f t="shared" si="2"/>
        <v>312200</v>
      </c>
      <c r="D52" s="5">
        <f>+Tabla122[[#This Row],[PRECIO SUGERIDO INSTALADOR
( CON  IVA)]]-F52</f>
        <v>296590</v>
      </c>
      <c r="E52" s="5">
        <f>+Tabla122[[#This Row],[PRECIO SUGERIDO INSTALADOR
( CON  IVA)]]/0.7</f>
        <v>446000</v>
      </c>
      <c r="F52" s="11">
        <f>+Tabla122[[#This Row],[PRECIO SUGERIDO INSTALADOR
( CON  IVA)]]*5%</f>
        <v>15610</v>
      </c>
      <c r="G52" s="10">
        <v>0.85</v>
      </c>
      <c r="H52" s="9">
        <f t="shared" si="1"/>
        <v>265370</v>
      </c>
      <c r="I52" s="2"/>
      <c r="K52" s="8">
        <v>223000</v>
      </c>
    </row>
    <row r="53" spans="1:11" ht="30" x14ac:dyDescent="0.25">
      <c r="A53" s="12" t="s">
        <v>9</v>
      </c>
      <c r="B53" s="6" t="s">
        <v>8</v>
      </c>
      <c r="C53" s="5">
        <f t="shared" si="2"/>
        <v>121800</v>
      </c>
      <c r="D53" s="5">
        <f>+Tabla122[[#This Row],[PRECIO SUGERIDO INSTALADOR
( CON  IVA)]]-F53</f>
        <v>115710</v>
      </c>
      <c r="E53" s="5">
        <f>+Tabla122[[#This Row],[PRECIO SUGERIDO INSTALADOR
( CON  IVA)]]/0.7</f>
        <v>174000</v>
      </c>
      <c r="F53" s="11">
        <f>+Tabla122[[#This Row],[PRECIO SUGERIDO INSTALADOR
( CON  IVA)]]*5%</f>
        <v>6090</v>
      </c>
      <c r="G53" s="10">
        <v>0.85</v>
      </c>
      <c r="H53" s="9">
        <f t="shared" si="1"/>
        <v>103530</v>
      </c>
      <c r="I53" s="2"/>
      <c r="K53" s="8">
        <v>87000</v>
      </c>
    </row>
    <row r="54" spans="1:11" ht="30" x14ac:dyDescent="0.25">
      <c r="A54" s="12" t="s">
        <v>7</v>
      </c>
      <c r="B54" s="6" t="s">
        <v>6</v>
      </c>
      <c r="C54" s="5">
        <f t="shared" si="2"/>
        <v>117600</v>
      </c>
      <c r="D54" s="5">
        <f>+Tabla122[[#This Row],[PRECIO SUGERIDO INSTALADOR
( CON  IVA)]]-F54</f>
        <v>111720</v>
      </c>
      <c r="E54" s="5">
        <f>+Tabla122[[#This Row],[PRECIO SUGERIDO INSTALADOR
( CON  IVA)]]/0.7</f>
        <v>168000</v>
      </c>
      <c r="F54" s="11">
        <f>+Tabla122[[#This Row],[PRECIO SUGERIDO INSTALADOR
( CON  IVA)]]*5%</f>
        <v>5880</v>
      </c>
      <c r="G54" s="10">
        <v>0.85</v>
      </c>
      <c r="H54" s="9">
        <f t="shared" si="1"/>
        <v>99960</v>
      </c>
      <c r="I54" s="2"/>
      <c r="K54" s="8">
        <v>84000</v>
      </c>
    </row>
    <row r="55" spans="1:11" ht="30" x14ac:dyDescent="0.25">
      <c r="A55" s="12" t="s">
        <v>5</v>
      </c>
      <c r="B55" s="6" t="s">
        <v>4</v>
      </c>
      <c r="C55" s="5">
        <f t="shared" si="2"/>
        <v>210560</v>
      </c>
      <c r="D55" s="5">
        <f>+Tabla122[[#This Row],[PRECIO SUGERIDO INSTALADOR
( CON  IVA)]]-F55</f>
        <v>200032</v>
      </c>
      <c r="E55" s="5">
        <f>+Tabla122[[#This Row],[PRECIO SUGERIDO INSTALADOR
( CON  IVA)]]/0.7</f>
        <v>300800</v>
      </c>
      <c r="F55" s="11">
        <f>+Tabla122[[#This Row],[PRECIO SUGERIDO INSTALADOR
( CON  IVA)]]*5%</f>
        <v>10528</v>
      </c>
      <c r="G55" s="10">
        <v>0.85</v>
      </c>
      <c r="H55" s="9">
        <f t="shared" si="1"/>
        <v>178976</v>
      </c>
      <c r="K55" s="8">
        <v>150400</v>
      </c>
    </row>
    <row r="56" spans="1:11" ht="30" x14ac:dyDescent="0.25">
      <c r="A56" s="12" t="s">
        <v>120</v>
      </c>
      <c r="B56" s="6" t="s">
        <v>121</v>
      </c>
      <c r="C56" s="5">
        <f t="shared" si="2"/>
        <v>117600</v>
      </c>
      <c r="D56" s="5">
        <f>+Tabla122[[#This Row],[PRECIO SUGERIDO INSTALADOR
( CON  IVA)]]-F56</f>
        <v>111720</v>
      </c>
      <c r="E56" s="5">
        <f>+Tabla122[[#This Row],[PRECIO SUGERIDO INSTALADOR
( CON  IVA)]]/0.7</f>
        <v>168000</v>
      </c>
      <c r="F56" s="11">
        <f>+Tabla122[[#This Row],[PRECIO SUGERIDO INSTALADOR
( CON  IVA)]]*5%</f>
        <v>5880</v>
      </c>
      <c r="G56" s="10">
        <v>0.85</v>
      </c>
      <c r="H56" s="9">
        <f t="shared" si="1"/>
        <v>99960</v>
      </c>
      <c r="K56" s="8">
        <v>84000</v>
      </c>
    </row>
    <row r="57" spans="1:11" ht="45" x14ac:dyDescent="0.25">
      <c r="A57" s="12" t="s">
        <v>3</v>
      </c>
      <c r="B57" s="6" t="s">
        <v>2</v>
      </c>
      <c r="C57" s="5">
        <f t="shared" si="2"/>
        <v>333200</v>
      </c>
      <c r="D57" s="5">
        <f>+Tabla122[[#This Row],[PRECIO SUGERIDO INSTALADOR
( CON  IVA)]]-F57</f>
        <v>316540</v>
      </c>
      <c r="E57" s="5">
        <f>+Tabla122[[#This Row],[PRECIO SUGERIDO INSTALADOR
( CON  IVA)]]/0.7</f>
        <v>476000.00000000006</v>
      </c>
      <c r="F57" s="11">
        <f>+Tabla122[[#This Row],[PRECIO SUGERIDO INSTALADOR
( CON  IVA)]]*5%</f>
        <v>16660</v>
      </c>
      <c r="G57" s="10">
        <v>0.85</v>
      </c>
      <c r="H57" s="9">
        <f t="shared" si="1"/>
        <v>283220</v>
      </c>
      <c r="K57" s="8">
        <v>238000</v>
      </c>
    </row>
    <row r="58" spans="1:11" ht="30" x14ac:dyDescent="0.25">
      <c r="A58" s="7" t="s">
        <v>1</v>
      </c>
      <c r="B58" s="6" t="s">
        <v>0</v>
      </c>
      <c r="C58" s="5">
        <f t="shared" si="2"/>
        <v>789600</v>
      </c>
      <c r="D58" s="5">
        <f>+Tabla122[[#This Row],[PRECIO SUGERIDO INSTALADOR
( CON  IVA)]]-F58</f>
        <v>750120</v>
      </c>
      <c r="E58" s="5">
        <f>+Tabla122[[#This Row],[PRECIO SUGERIDO INSTALADOR
( CON  IVA)]]/0.7</f>
        <v>1128000</v>
      </c>
      <c r="F58" s="11">
        <f>+Tabla122[[#This Row],[PRECIO SUGERIDO INSTALADOR
( CON  IVA)]]*5%</f>
        <v>39480</v>
      </c>
      <c r="G58" s="10">
        <v>0.85</v>
      </c>
      <c r="H58" s="9">
        <f t="shared" si="1"/>
        <v>671160</v>
      </c>
      <c r="K58" s="8">
        <v>564000</v>
      </c>
    </row>
  </sheetData>
  <phoneticPr fontId="4" type="noConversion"/>
  <conditionalFormatting sqref="A22:A58">
    <cfRule type="duplicateValues" dxfId="7" priority="25"/>
  </conditionalFormatting>
  <conditionalFormatting sqref="A1:H1 G2:H58 B14:B40 K14:K58">
    <cfRule type="containsErrors" dxfId="6" priority="9">
      <formula>ISERROR(A1)</formula>
    </cfRule>
  </conditionalFormatting>
  <conditionalFormatting sqref="K1">
    <cfRule type="containsErrors" dxfId="5" priority="8">
      <formula>ISERROR(K1)</formula>
    </cfRule>
  </conditionalFormatting>
  <conditionalFormatting sqref="K2:K13">
    <cfRule type="cellIs" dxfId="4" priority="4" operator="equal">
      <formula>"NA"</formula>
    </cfRule>
    <cfRule type="cellIs" dxfId="3" priority="5" operator="equal">
      <formula>0</formula>
    </cfRule>
    <cfRule type="cellIs" dxfId="2" priority="6" operator="equal">
      <formula>0</formula>
    </cfRule>
    <cfRule type="cellIs" dxfId="1" priority="7" operator="equal">
      <formula>""""""</formula>
    </cfRule>
  </conditionalFormatting>
  <pageMargins left="0.7" right="0.7" top="0.75" bottom="0.75" header="0.3" footer="0.3"/>
  <pageSetup scale="83" fitToHeight="0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DSC NEO</vt:lpstr>
      <vt:lpstr>'DSC NEO'!Área_de_impresión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2026-09-23T22:54:10Z</cp:lastPrinted>
  <dcterms:created xsi:type="dcterms:W3CDTF">2026-09-07T22:22:41Z</dcterms:created>
  <dcterms:modified xsi:type="dcterms:W3CDTF">2026-10-05T14:28:48Z</dcterms:modified>
</cp:coreProperties>
</file>