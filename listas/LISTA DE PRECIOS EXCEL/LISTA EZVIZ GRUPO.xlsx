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Jefe Compras\OneDrive\Documents\Desktop\LISTAS DE PRECIOS\listados grupo nuevo con formulas\LISTA PROVISIONAL DAÑO PLATAFORMA\LISTAS EMPRESA GRUPO\EXCEL\"/>
    </mc:Choice>
  </mc:AlternateContent>
  <xr:revisionPtr revIDLastSave="0" documentId="13_ncr:1_{657A289E-C1FD-4074-9809-0AEF95B4968F}" xr6:coauthVersionLast="47" xr6:coauthVersionMax="47" xr10:uidLastSave="{00000000-0000-0000-0000-000000000000}"/>
  <bookViews>
    <workbookView xWindow="23880" yWindow="-120" windowWidth="21840" windowHeight="13140" xr2:uid="{A0F6E61E-ABD2-49F5-B49D-7D5CD8CBC100}"/>
  </bookViews>
  <sheets>
    <sheet name="EZVIZ"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s>
  <definedNames>
    <definedName name="\v" hidden="1">{"'ADV&amp;DP'!$A$4:$C$25"}</definedName>
    <definedName name="_??" hidden="1">{"'?????10.27??????'!$Q$16"}</definedName>
    <definedName name="_????" hidden="1">{"'?????10.27??????'!$Q$16"}</definedName>
    <definedName name="_?????" hidden="1">{"DCF-???",#N/A,TRUE,"???";"DCF-??",#N/A,TRUE,"??";"DCF-??",#N/A,TRUE,"??";"DCF-??",#N/A,TRUE,"??";"DCF-??",#N/A,TRUE,"??";"DCF-??",#N/A,TRUE,"??";"DCF-??",#N/A,TRUE,"??";"DCF-??",#N/A,TRUE,"??";"DCF-??",#N/A,TRUE,"??"}</definedName>
    <definedName name="_??????" hidden="1">{"'?????10.27??????'!$Q$16"}</definedName>
    <definedName name="_??06" hidden="1">{"'?????10.27??????'!$Q$16"}</definedName>
    <definedName name="_?16??" hidden="1">{"'????'!$A$1:$C$37"}</definedName>
    <definedName name="________o1" hidden="1">{#N/A,#N/A,FALSE,"SUMMARY";#N/A,#N/A,FALSE,"mcsh";#N/A,#N/A,FALSE,"vol&amp;rev";#N/A,#N/A,FALSE,"wkgcap";#N/A,#N/A,FALSE,"DEPR&amp;DT";#N/A,#N/A,FALSE,"ASSETS";#N/A,#N/A,FALSE,"NI&amp;OTH&amp;DIV";#N/A,#N/A,FALSE,"CASHFLOW";#N/A,#N/A,FALSE,"CAPEMPL";#N/A,#N/A,FALSE,"ROCE"}</definedName>
    <definedName name="_______DF4" hidden="1">#REF!</definedName>
    <definedName name="______DF4" hidden="1">#REF!</definedName>
    <definedName name="______o1" hidden="1">{#N/A,#N/A,FALSE,"SUMMARY";#N/A,#N/A,FALSE,"mcsh";#N/A,#N/A,FALSE,"vol&amp;rev";#N/A,#N/A,FALSE,"wkgcap";#N/A,#N/A,FALSE,"DEPR&amp;DT";#N/A,#N/A,FALSE,"ASSETS";#N/A,#N/A,FALSE,"NI&amp;OTH&amp;DIV";#N/A,#N/A,FALSE,"CASHFLOW";#N/A,#N/A,FALSE,"CAPEMPL";#N/A,#N/A,FALSE,"ROCE"}</definedName>
    <definedName name="_____DF4" hidden="1">#REF!</definedName>
    <definedName name="_____o1" hidden="1">{#N/A,#N/A,FALSE,"SUMMARY";#N/A,#N/A,FALSE,"mcsh";#N/A,#N/A,FALSE,"vol&amp;rev";#N/A,#N/A,FALSE,"wkgcap";#N/A,#N/A,FALSE,"DEPR&amp;DT";#N/A,#N/A,FALSE,"ASSETS";#N/A,#N/A,FALSE,"NI&amp;OTH&amp;DIV";#N/A,#N/A,FALSE,"CASHFLOW";#N/A,#N/A,FALSE,"CAPEMPL";#N/A,#N/A,FALSE,"ROCE"}</definedName>
    <definedName name="____DF4" hidden="1">#REF!</definedName>
    <definedName name="____o1" hidden="1">{#N/A,#N/A,FALSE,"SUMMARY";#N/A,#N/A,FALSE,"mcsh";#N/A,#N/A,FALSE,"vol&amp;rev";#N/A,#N/A,FALSE,"wkgcap";#N/A,#N/A,FALSE,"DEPR&amp;DT";#N/A,#N/A,FALSE,"ASSETS";#N/A,#N/A,FALSE,"NI&amp;OTH&amp;DIV";#N/A,#N/A,FALSE,"CASHFLOW";#N/A,#N/A,FALSE,"CAPEMPL";#N/A,#N/A,FALSE,"ROCE"}</definedName>
    <definedName name="___DF4" hidden="1">#REF!</definedName>
    <definedName name="___o1" hidden="1">{#N/A,#N/A,FALSE,"SUMMARY";#N/A,#N/A,FALSE,"mcsh";#N/A,#N/A,FALSE,"vol&amp;rev";#N/A,#N/A,FALSE,"wkgcap";#N/A,#N/A,FALSE,"DEPR&amp;DT";#N/A,#N/A,FALSE,"ASSETS";#N/A,#N/A,FALSE,"NI&amp;OTH&amp;DIV";#N/A,#N/A,FALSE,"CASHFLOW";#N/A,#N/A,FALSE,"CAPEMPL";#N/A,#N/A,FALSE,"ROCE"}</definedName>
    <definedName name="__123Graph_A" hidden="1">[1]Pub!$H$13:$H$83</definedName>
    <definedName name="__123Graph_B" hidden="1">[1]Pub!$I$13:$I$83</definedName>
    <definedName name="__123Graph_C" hidden="1">[1]Pub!$J$13:$J$83</definedName>
    <definedName name="__123Graph_D" hidden="1">[1]Pub!$K$13:$K$83</definedName>
    <definedName name="__123Graph_E" hidden="1">[1]Pub!#REF!</definedName>
    <definedName name="__123Graph_F" hidden="1">[1]Pub!$L$13:$L$83</definedName>
    <definedName name="__123Graph_X" hidden="1">[1]Pub!$G$13:$G$83</definedName>
    <definedName name="__DF4" hidden="1">#REF!</definedName>
    <definedName name="__FDS_HYPERLINK_TOGGLE_STATE__" hidden="1">"ON"</definedName>
    <definedName name="__o1" hidden="1">{#N/A,#N/A,FALSE,"SUMMARY";#N/A,#N/A,FALSE,"mcsh";#N/A,#N/A,FALSE,"vol&amp;rev";#N/A,#N/A,FALSE,"wkgcap";#N/A,#N/A,FALSE,"DEPR&amp;DT";#N/A,#N/A,FALSE,"ASSETS";#N/A,#N/A,FALSE,"NI&amp;OTH&amp;DIV";#N/A,#N/A,FALSE,"CASHFLOW";#N/A,#N/A,FALSE,"CAPEMPL";#N/A,#N/A,FALSE,"ROCE"}</definedName>
    <definedName name="_1____123Graph_AMOF_NB" hidden="1">[2]計算過程シート!#REF!</definedName>
    <definedName name="_1__123Graph_ACHART_1" hidden="1">'[3]Historical IS'!#REF!</definedName>
    <definedName name="_1__123Graph_AIRR_IRR" hidden="1">#REF!</definedName>
    <definedName name="_10___123Graph_XIRR_IRR" hidden="1">#REF!</definedName>
    <definedName name="_10__123Graph_ACHART_16" hidden="1">[4]engineering!$Q$49:$S$49</definedName>
    <definedName name="_10__123Graph_CCHART_3" hidden="1">'[3]Historical IS'!#REF!</definedName>
    <definedName name="_103__123Graph_Cｸﾞﾗﾌ_1" hidden="1">#REF!</definedName>
    <definedName name="_104__123Graph_Dｸﾞﾗﾌ_1" hidden="1">#REF!</definedName>
    <definedName name="_105__123Graph_XIRR_IRR" hidden="1">#REF!</definedName>
    <definedName name="_106__123Graph_XMOF_NB" hidden="1">#REF!</definedName>
    <definedName name="_11___123Graph_XMOF_NB" hidden="1">#REF!</definedName>
    <definedName name="_11__123Graph_ACHART_17" hidden="1">[4]revenue!$P$77:$R$77</definedName>
    <definedName name="_11__123Graph_CCHART_8" hidden="1">'[3]Historical IS'!#REF!</definedName>
    <definedName name="_12__123Graph_ACHART_18" hidden="1">[4]revenue!$P$82:$R$82</definedName>
    <definedName name="_12__123Graph_AIRR_IRR" hidden="1">#REF!</definedName>
    <definedName name="_12__123Graph_DCHART_1" hidden="1">'[3]Historical IS'!#REF!</definedName>
    <definedName name="_13__123Graph_ACHART_19" hidden="1">[4]sga!$P$7:$R$7</definedName>
    <definedName name="_13__123Graph_AMOF_NB" hidden="1">[2]計算過程シート!#REF!</definedName>
    <definedName name="_13__123Graph_DCHART_8" hidden="1">'[3]Historical IS'!#REF!</definedName>
    <definedName name="_131__123Graph_Xｸﾞﾗﾌ_1" hidden="1">#REF!</definedName>
    <definedName name="_14__123Graph_A????_1" hidden="1">#REF!</definedName>
    <definedName name="_14__123Graph_ACHART_2" hidden="1">#REF!</definedName>
    <definedName name="_14__123Graph_Aｸﾞﾗﾌ_1" hidden="1">#REF!</definedName>
    <definedName name="_14__123Graph_LBL_ACHART_3" hidden="1">'[3]Historical IS'!#REF!</definedName>
    <definedName name="_15__123Graph_ACHART_20" hidden="1">[4]sga!$P$10:$R$10</definedName>
    <definedName name="_15__123Graph_BIRR_IRR" hidden="1">#REF!</definedName>
    <definedName name="_15__123Graph_LBL_ACHART_4" hidden="1">'[3]Historical IS'!#REF!</definedName>
    <definedName name="_16__123Graph_ACHART_3" hidden="1">#REF!</definedName>
    <definedName name="_16__123Graph_BMOF_NB" hidden="1">#REF!</definedName>
    <definedName name="_16__123Graph_LBL_BCHART_3" hidden="1">'[3]Historical IS'!#REF!</definedName>
    <definedName name="_17__123Graph_ACHART_4" hidden="1">#REF!</definedName>
    <definedName name="_17__123Graph_B????_1" hidden="1">#REF!</definedName>
    <definedName name="_17__123Graph_Bｸﾞﾗﾌ_1" hidden="1">#REF!</definedName>
    <definedName name="_17__123Graph_LBL_BCHART_4" hidden="1">'[3]Historical IS'!#REF!</definedName>
    <definedName name="_18__123Graph_ACHART_5" hidden="1">#REF!</definedName>
    <definedName name="_18__123Graph_C????_1" hidden="1">#REF!</definedName>
    <definedName name="_18__123Graph_Cｸﾞﾗﾌ_1" hidden="1">#REF!</definedName>
    <definedName name="_18__123Graph_LBL_CCHART_3" hidden="1">'[3]Historical IS'!#REF!</definedName>
    <definedName name="_19__123Graph_ACHART_6" hidden="1">#REF!</definedName>
    <definedName name="_19__123Graph_D????_1" hidden="1">#REF!</definedName>
    <definedName name="_19__123Graph_Dｸﾞﾗﾌ_1" hidden="1">#REF!</definedName>
    <definedName name="_19__123Graph_XCHART_1" hidden="1">'[3]Historical IS'!#REF!</definedName>
    <definedName name="_2_??" hidden="1">{"'?????10.27??????'!$Q$16"}</definedName>
    <definedName name="_2____123Graph_A????_1" hidden="1">#REF!</definedName>
    <definedName name="_2____123Graph_Aｸﾞﾗﾌ_1" hidden="1">#REF!</definedName>
    <definedName name="_2__123Graph_ACHART_3" hidden="1">'[3]Historical IS'!#REF!</definedName>
    <definedName name="_20__123Graph_ACHART_7" hidden="1">#REF!</definedName>
    <definedName name="_20__123Graph_XCHART_3" hidden="1">'[3]Historical IS'!#REF!</definedName>
    <definedName name="_20__123Graph_XIRR_IRR" hidden="1">#REF!</definedName>
    <definedName name="_21__123Graph_ACHART_8" hidden="1">#REF!</definedName>
    <definedName name="_21__123Graph_XCHART_4" hidden="1">'[3]Historical IS'!#REF!</definedName>
    <definedName name="_21__123Graph_XMOF_NB" hidden="1">#REF!</definedName>
    <definedName name="_22__123Graph_ACHART_9" hidden="1">#REF!</definedName>
    <definedName name="_22__123Graph_X????_1" hidden="1">#REF!</definedName>
    <definedName name="_22__123Graph_XCHART_8" hidden="1">'[3]Historical IS'!#REF!</definedName>
    <definedName name="_22__123Graph_Xｸﾞﾗﾌ_1" hidden="1">#REF!</definedName>
    <definedName name="_23__123Graph_BCHART_1" hidden="1">#REF!</definedName>
    <definedName name="_24__123Graph_BCHART_11" hidden="1">#REF!</definedName>
    <definedName name="_25__123Graph_BCHART_12" hidden="1">#REF!</definedName>
    <definedName name="_26__123Graph_AMOF_NB" hidden="1">[2]計算過程シート!#REF!</definedName>
    <definedName name="_26__123Graph_BCHART_13" hidden="1">[4]engineering!$Q$42:$W$42</definedName>
    <definedName name="_27__123Graph_BCHART_14" hidden="1">[4]engineering!$Q$46:$W$46</definedName>
    <definedName name="_28__123Graph_BCHART_15" hidden="1">#REF!</definedName>
    <definedName name="_29__123Graph_BCHART_16" hidden="1">[4]engineering!$Q$50:$S$50</definedName>
    <definedName name="_3____123Graph_B????_1" hidden="1">#REF!</definedName>
    <definedName name="_3____123Graph_Bｸﾞﾗﾌ_1" hidden="1">#REF!</definedName>
    <definedName name="_3__123Graph_ACHART_1" hidden="1">#REF!</definedName>
    <definedName name="_3__123Graph_ACHART_4" hidden="1">'[3]Historical IS'!#REF!</definedName>
    <definedName name="_30__123Graph_BCHART_17" hidden="1">[4]revenue!$P$78:$R$78</definedName>
    <definedName name="_31__123Graph_BCHART_2" hidden="1">#REF!</definedName>
    <definedName name="_32__123Graph_BCHART_20" hidden="1">[4]sga!$P$11:$R$11</definedName>
    <definedName name="_33__123Graph_BCHART_3" hidden="1">[4]revenue!$P$10:$R$10</definedName>
    <definedName name="_34__123Graph_BCHART_6" hidden="1">#REF!</definedName>
    <definedName name="_35__123Graph_BCHART_7" hidden="1">[4]revenue!$P$45:$R$45</definedName>
    <definedName name="_36_??06" hidden="1">{"'?????10.27??????'!$Q$16"}</definedName>
    <definedName name="_36__123Graph_BCHART_8" hidden="1">#REF!</definedName>
    <definedName name="_37__123Graph_BCHART_9" hidden="1">[4]engineering!$P$7:$T$7</definedName>
    <definedName name="_38__123Graph_CCHART_1" hidden="1">#REF!</definedName>
    <definedName name="_39__123Graph_CCHART_11" hidden="1">[4]engineering!$P$16:$T$16</definedName>
    <definedName name="_4____123Graph_C????_1" hidden="1">#REF!</definedName>
    <definedName name="_4____123Graph_Cｸﾞﾗﾌ_1" hidden="1">#REF!</definedName>
    <definedName name="_4__123Graph_ACHART_10" hidden="1">#REF!</definedName>
    <definedName name="_4__123Graph_ACHART_8" hidden="1">'[3]Historical IS'!#REF!</definedName>
    <definedName name="_40__123Graph_CCHART_12" hidden="1">#REF!</definedName>
    <definedName name="_41__123Graph_CCHART_2" hidden="1">#REF!</definedName>
    <definedName name="_42__123Graph_CCHART_20" hidden="1">[4]sga!$P$12:$R$12</definedName>
    <definedName name="_43__123Graph_CCHART_7" hidden="1">[4]revenue!$P$46:$R$46</definedName>
    <definedName name="_44__123Graph_CCHART_8" hidden="1">#REF!</definedName>
    <definedName name="_45__123Graph_DCHART_1" hidden="1">#REF!</definedName>
    <definedName name="_46__123Graph_DCHART_12" hidden="1">#REF!</definedName>
    <definedName name="_47__123Graph_DCHART_2" hidden="1">#REF!</definedName>
    <definedName name="_48__123Graph_DCHART_8" hidden="1">#REF!</definedName>
    <definedName name="_49__123Graph_ECHART_12" hidden="1">#REF!</definedName>
    <definedName name="_5____123Graph_X????_1" hidden="1">#REF!</definedName>
    <definedName name="_5____123Graph_Xｸﾞﾗﾌ_1" hidden="1">#REF!</definedName>
    <definedName name="_5__123Graph_ACHART_11" hidden="1">#REF!</definedName>
    <definedName name="_5__123Graph_BCHART_1" hidden="1">'[3]Historical IS'!#REF!</definedName>
    <definedName name="_50__123Graph_ECHART_2" hidden="1">#REF!</definedName>
    <definedName name="_51__123Graph_Aｸﾞﾗﾌ_1" hidden="1">#REF!</definedName>
    <definedName name="_51__123Graph_ECHART_8" hidden="1">#REF!</definedName>
    <definedName name="_52__123Graph_BIRR_IRR" hidden="1">#REF!</definedName>
    <definedName name="_52__123Graph_FCHART_1" hidden="1">#REF!</definedName>
    <definedName name="_53__123Graph_BMOF_NB" hidden="1">#REF!</definedName>
    <definedName name="_53__123Graph_XCHART_10" hidden="1">#REF!</definedName>
    <definedName name="_54__123Graph_XCHART_11" hidden="1">#REF!</definedName>
    <definedName name="_55__123Graph_XCHART_12" hidden="1">#REF!</definedName>
    <definedName name="_56__123Graph_XCHART_13" hidden="1">#REF!</definedName>
    <definedName name="_57__123Graph_XCHART_14" hidden="1">#REF!</definedName>
    <definedName name="_58__123Graph_XCHART_15" hidden="1">#REF!</definedName>
    <definedName name="_59__123Graph_XCHART_16" hidden="1">[4]engineering!$Q$48:$S$48</definedName>
    <definedName name="_6___123Graph_AIRR_IRR" hidden="1">#REF!</definedName>
    <definedName name="_6__123Graph_ACHART_12" hidden="1">#REF!</definedName>
    <definedName name="_6__123Graph_BCHART_3" hidden="1">'[3]Historical IS'!#REF!</definedName>
    <definedName name="_60__123Graph_XCHART_18" hidden="1">[4]revenue!$P$81:$R$81</definedName>
    <definedName name="_61__123Graph_XCHART_2" hidden="1">#REF!</definedName>
    <definedName name="_62__123Graph_XCHART_20" hidden="1">[4]sga!$P$9:$R$9</definedName>
    <definedName name="_63__123Graph_XCHART_3" hidden="1">#REF!</definedName>
    <definedName name="_64__123Graph_XCHART_4" hidden="1">#REF!</definedName>
    <definedName name="_65__123Graph_XCHART_5" hidden="1">#REF!</definedName>
    <definedName name="_66__123Graph_XCHART_6" hidden="1">#REF!</definedName>
    <definedName name="_67__123Graph_XCHART_7" hidden="1">#REF!</definedName>
    <definedName name="_68_?16??" hidden="1">{"'????'!$A$1:$C$37"}</definedName>
    <definedName name="_68__123Graph_XCHART_8" hidden="1">#REF!</definedName>
    <definedName name="_69__123Graph_XCHART_9" hidden="1">#REF!</definedName>
    <definedName name="_7_????" hidden="1">{"'?????10.27??????'!$Q$16"}</definedName>
    <definedName name="_7___123Graph_BIRR_IRR" hidden="1">#REF!</definedName>
    <definedName name="_7__123Graph_ACHART_13" hidden="1">#REF!</definedName>
    <definedName name="_7__123Graph_BCHART_4" hidden="1">'[3]Historical IS'!#REF!</definedName>
    <definedName name="_78__123Graph_Bｸﾞﾗﾌ_1" hidden="1">#REF!</definedName>
    <definedName name="_8_?????" hidden="1">{"DCF-???",#N/A,TRUE,"???";"DCF-??",#N/A,TRUE,"??";"DCF-??",#N/A,TRUE,"??";"DCF-??",#N/A,TRUE,"??";"DCF-??",#N/A,TRUE,"??";"DCF-??",#N/A,TRUE,"??";"DCF-??",#N/A,TRUE,"??";"DCF-??",#N/A,TRUE,"??";"DCF-??",#N/A,TRUE,"??"}</definedName>
    <definedName name="_8___123Graph_BMOF_NB" hidden="1">#REF!</definedName>
    <definedName name="_8__123Graph_ACHART_14" hidden="1">#REF!</definedName>
    <definedName name="_8__123Graph_BCHART_8" hidden="1">'[3]Historical IS'!#REF!</definedName>
    <definedName name="_9_??????" hidden="1">{"'?????10.27??????'!$Q$16"}</definedName>
    <definedName name="_9___123Graph_D????_1" hidden="1">#REF!</definedName>
    <definedName name="_9___123Graph_Dｸﾞﾗﾌ_1" hidden="1">#REF!</definedName>
    <definedName name="_9__123Graph_ACHART_15" hidden="1">#REF!</definedName>
    <definedName name="_9__123Graph_CCHART_1" hidden="1">'[3]Historical IS'!#REF!</definedName>
    <definedName name="_DF4" hidden="1">#REF!</definedName>
    <definedName name="_Fill" hidden="1">#REF!</definedName>
    <definedName name="_xlnm._FilterDatabase" hidden="1">'[5]46W9'!#REF!</definedName>
    <definedName name="_Key2" hidden="1">#REF!</definedName>
    <definedName name="_o1" hidden="1">{#N/A,#N/A,FALSE,"SUMMARY";#N/A,#N/A,FALSE,"mcsh";#N/A,#N/A,FALSE,"vol&amp;rev";#N/A,#N/A,FALSE,"wkgcap";#N/A,#N/A,FALSE,"DEPR&amp;DT";#N/A,#N/A,FALSE,"ASSETS";#N/A,#N/A,FALSE,"NI&amp;OTH&amp;DIV";#N/A,#N/A,FALSE,"CASHFLOW";#N/A,#N/A,FALSE,"CAPEMPL";#N/A,#N/A,FALSE,"ROCE"}</definedName>
    <definedName name="_Order1" hidden="1">255</definedName>
    <definedName name="_Order2" hidden="1">255</definedName>
    <definedName name="a" hidden="1">{#N/A,#N/A,FALSE,"TOTFINAL";#N/A,#N/A,FALSE,"FINPLAN";#N/A,#N/A,FALSE,"TOTMOTADJ";#N/A,#N/A,FALSE,"tieEQ";#N/A,#N/A,FALSE,"G";#N/A,#N/A,FALSE,"ELIMS";#N/A,#N/A,FALSE,"NEXTEL ADJ";#N/A,#N/A,FALSE,"MIMS";#N/A,#N/A,FALSE,"LMPS";#N/A,#N/A,FALSE,"CNSS";#N/A,#N/A,FALSE,"CSS";#N/A,#N/A,FALSE,"MCG";#N/A,#N/A,FALSE,"AECS";#N/A,#N/A,FALSE,"SPS";#N/A,#N/A,FALSE,"CORP"}</definedName>
    <definedName name="ando" hidden="1">{"'下期集計（10.27迄・速報値）'!$Q$16"}</definedName>
    <definedName name="anscount" hidden="1">3</definedName>
    <definedName name="_xlnm.Print_Area" localSheetId="0">Tabla1[[#All],[REFERENCIA]:[Columna6]]</definedName>
    <definedName name="AS2DocOpenMode" hidden="1">"AS2DocumentEdit"</definedName>
    <definedName name="AS2HasNoAutoHeaderFooter" hidden="1">" "</definedName>
    <definedName name="asdf" hidden="1">{"'年間台数'!$A$1:$K$20","'中古車登録台数'!$A$1:$I$39"}</definedName>
    <definedName name="BLPH1" hidden="1">'[6]Data sheet'!$A$4</definedName>
    <definedName name="BLPH10" hidden="1">'[6]Data sheet'!$AB$4</definedName>
    <definedName name="BLPH11" hidden="1">'[6]Data sheet'!$AE$4</definedName>
    <definedName name="BLPH12" hidden="1">'[6]Data sheet'!$AH$4</definedName>
    <definedName name="BLPH2" hidden="1">'[6]Data sheet'!$D$4</definedName>
    <definedName name="BLPH3" hidden="1">'[6]Data sheet'!$G$4</definedName>
    <definedName name="BLPH4" hidden="1">'[6]Data sheet'!$J$4</definedName>
    <definedName name="BLPH5" hidden="1">'[6]Data sheet'!$M$4</definedName>
    <definedName name="BLPH6" hidden="1">'[6]Data sheet'!$P$4</definedName>
    <definedName name="BLPH7" hidden="1">'[6]Data sheet'!$S$4</definedName>
    <definedName name="BLPH8" hidden="1">'[6]Data sheet'!$V$4</definedName>
    <definedName name="BLPH9" hidden="1">'[6]Data sheet'!$Y$4</definedName>
    <definedName name="Bridge" hidden="1">{"'Highlights'!$A$1:$M$123"}</definedName>
    <definedName name="CARLOS" hidden="1">{#N/A,#N/A,TRUE,"A"}</definedName>
    <definedName name="cb_sChartE2218BA_opts" hidden="1">"1, 4, 1, False, 2, False, False, , 0, False, True, 1, 1"</definedName>
    <definedName name="cb_sChartE221ADA_opts" hidden="1">"1, 5, 1, False, 2, False, False, , 0, False, False, 1, 1"</definedName>
    <definedName name="CBWorkbookPriority" hidden="1">-61538533</definedName>
    <definedName name="chiho" hidden="1">{"'下期集計（10.27迄・速報値）'!$Q$16"}</definedName>
    <definedName name="cover" hidden="1">#REF!</definedName>
    <definedName name="efg" hidden="1">{#N/A,#N/A,TRUE,"A"}</definedName>
    <definedName name="fds" hidden="1">{"'下期集計（10.27迄・速報値）'!$Q$16"}</definedName>
    <definedName name="ｇ" hidden="1">{"'下期集計（10.27迄・速報値）'!$Q$16"}</definedName>
    <definedName name="gd" hidden="1">{"'下期集計（10.27迄・速報値）'!$Q$16"}</definedName>
    <definedName name="gda" hidden="1">{"'下期集計（10.27迄・速報値）'!$Q$16"}</definedName>
    <definedName name="gdsa" hidden="1">{"'下期集計（10.27迄・速報値）'!$Q$16"}</definedName>
    <definedName name="gh" hidden="1">{"'Highlights'!$A$1:$M$123"}</definedName>
    <definedName name="ｈ" hidden="1">{"'下期集計（10.27迄・速報値）'!$Q$16"}</definedName>
    <definedName name="H16?1??" hidden="1">{"'????'!$A$1:$C$37"}</definedName>
    <definedName name="Ｈ16・１" hidden="1">{"'コメント'!$A$1:$C$37"}</definedName>
    <definedName name="H16･1速報" hidden="1">{"'コメント'!$A$1:$C$37"}</definedName>
    <definedName name="HTM_Control" hidden="1">{"'下期集計（10.27迄・速報値）'!$Q$16"}</definedName>
    <definedName name="ＨＴＭＬ" hidden="1">{"'コメント'!$A$1:$C$37"}</definedName>
    <definedName name="HTML_CodePage" hidden="1">1252</definedName>
    <definedName name="HTML_Control" hidden="1">{"'Highlights'!$A$1:$M$123"}</definedName>
    <definedName name="HTML_Description" hidden="1">""</definedName>
    <definedName name="HTML_Email" hidden="1">"scottt@phx.mcd.mot.com"</definedName>
    <definedName name="HTML_Header" hidden="1">"Highlights"</definedName>
    <definedName name="HTML_LastUpdate" hidden="1">"6/24/97"</definedName>
    <definedName name="HTML_LineAfter" hidden="1">FALSE</definedName>
    <definedName name="HTML_LineBefore" hidden="1">TRUE</definedName>
    <definedName name="HTML_Name" hidden="1">"Scott Traasdahl"</definedName>
    <definedName name="HTML_OBDlg2" hidden="1">TRUE</definedName>
    <definedName name="HTML_OBDlg4" hidden="1">TRUE</definedName>
    <definedName name="HTML_OS" hidden="1">0</definedName>
    <definedName name="HTML_PathFile" hidden="1">"H:\scottt\Analysis\Ops Review\MyHTML.htm"</definedName>
    <definedName name="HTML_Title" hidden="1">"97JunOpsRvw"</definedName>
    <definedName name="hyousi" hidden="1">#REF!</definedName>
    <definedName name="INDICADOR_COLUMNAS">#REF!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INDUSTRY_REC" hidden="1">"c4455"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FLOW_ACT_OR_EST" hidden="1">"c4154"</definedName>
    <definedName name="IQ_CASH_INTEREST" hidden="1">"c120"</definedName>
    <definedName name="IQ_CASH_INVEST" hidden="1">"c121"</definedName>
    <definedName name="IQ_CASH_OPER" hidden="1">"c122"</definedName>
    <definedName name="IQ_CASH_OPER_ACT_OR_EST" hidden="1">"c4164"</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OSITS_INTEREST_SECURITIES" hidden="1">"c5509"</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PAYOUT" hidden="1">"c3005"</definedName>
    <definedName name="IQ_DISTRIBUTABLE_CASH_SHARE" hidden="1">"c3003"</definedName>
    <definedName name="IQ_DISTRIBUTABLE_CASH_SHARE_ACT_OR_EST" hidden="1">"c4286"</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EQ_INC" hidden="1">"c3498"</definedName>
    <definedName name="IQ_EBIT_EQ_INC_EXCL_SBC" hidden="1">"c3502"</definedName>
    <definedName name="IQ_EBIT_EXCL_SBC" hidden="1">"c3082"</definedName>
    <definedName name="IQ_EBIT_GW_ACT_OR_EST" hidden="1">"c4306"</definedName>
    <definedName name="IQ_EBIT_INT" hidden="1">"c360"</definedName>
    <definedName name="IQ_EBIT_MARGIN" hidden="1">"c359"</definedName>
    <definedName name="IQ_EBIT_OVER_IE" hidden="1">"c1369"</definedName>
    <definedName name="IQ_EBIT_SBC_ACT_OR_EST" hidden="1">"c4316"</definedName>
    <definedName name="IQ_EBIT_SBC_GW_ACT_OR_EST" hidden="1">"c4320"</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SBC_ACT_OR_EST" hidden="1">"c4350"</definedName>
    <definedName name="IQ_EBT_SBC_GW_ACT_OR_EST" hidden="1">"c4354"</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EST_REUT" hidden="1">"c5453"</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UM_EST" hidden="1">"c402"</definedName>
    <definedName name="IQ_EPS_NUM_EST_REUT" hidden="1">"c5451"</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CURRENCY_REUT" hidden="1">"c5437"</definedName>
    <definedName name="IQ_EST_DATE" hidden="1">"c1634"</definedName>
    <definedName name="IQ_EST_DATE_REUT" hidden="1">"c5438"</definedName>
    <definedName name="IQ_EST_EPS_DIFF" hidden="1">"c1864"</definedName>
    <definedName name="IQ_EST_EPS_GROWTH_1YR" hidden="1">"c1636"</definedName>
    <definedName name="IQ_EST_EPS_GROWTH_1YR_REUT" hidden="1">"c3646"</definedName>
    <definedName name="IQ_EST_EPS_GROWTH_5YR" hidden="1">"c1655"</definedName>
    <definedName name="IQ_EST_EPS_GROWTH_5YR_REUT" hidden="1">"c3633"</definedName>
    <definedName name="IQ_EST_EPS_GROWTH_Q_1YR" hidden="1">"c1641"</definedName>
    <definedName name="IQ_EST_EPS_GROWTH_Q_1YR_REUT" hidden="1">"c5410"</definedName>
    <definedName name="IQ_EST_VENDOR" hidden="1">"c5564"</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DJ_ACT_OR_EST" hidden="1">"c4435"</definedName>
    <definedName name="IQ_FFO_PAYOUT_RATIO" hidden="1">"c3492"</definedName>
    <definedName name="IQ_FFO_SHARE_ACT_OR_EST" hidden="1">"c4446"</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_DIV_ST_DEBT_TOTAL" hidden="1">"c5527"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_TARGET_PRICE_REUT" hidden="1">"c5317"</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_SECURITY_SUPPL" hidden="1">"c5511"</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AMES_REVISION_DATE_" hidden="1">40809.7705439815</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BC_ACT_OR_EST" hidden="1">"c4474"</definedName>
    <definedName name="IQ_NI_SBC_GW_ACT_OR_EST" hidden="1">"c4478"</definedName>
    <definedName name="IQ_NI_SFAS" hidden="1">"c795"</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MORT" hidden="1">"c5563"</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_TARGET_REUT" hidden="1">"c3631"</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CURRING_PROFIT_ACT_OR_EST" hidden="1">"c4507"</definedName>
    <definedName name="IQ_RECURRING_PROFIT_SHARE_ACT_OR_EST" hidden="1">"c4508"</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ENUE" hidden="1">"c1422"</definedName>
    <definedName name="IQ_REVENUE_ACT_OR_EST" hidden="1">"c2214"</definedName>
    <definedName name="IQ_REVENUE_EST" hidden="1">"c1126"</definedName>
    <definedName name="IQ_REVENUE_EST_REUT" hidden="1">"c3634"</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39482.4188773148</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ji" hidden="1">{"'Highlights'!$A$1:$M$123"}</definedName>
    <definedName name="k" hidden="1">{"'下期集計（10.27迄・速報値）'!$Q$16"}</definedName>
    <definedName name="kjh" hidden="1">{#N/A,#N/A,TRUE,"A"}</definedName>
    <definedName name="kjl" hidden="1">{#N/A,#N/A,FALSE,"TOTFINAL";#N/A,#N/A,FALSE,"FINPLAN";#N/A,#N/A,FALSE,"TOTMOTADJ";#N/A,#N/A,FALSE,"tieEQ";#N/A,#N/A,FALSE,"G";#N/A,#N/A,FALSE,"ELIMS";#N/A,#N/A,FALSE,"NEXTEL ADJ";#N/A,#N/A,FALSE,"MIMS";#N/A,#N/A,FALSE,"LMPS";#N/A,#N/A,FALSE,"CNSS";#N/A,#N/A,FALSE,"CSS";#N/A,#N/A,FALSE,"MCG";#N/A,#N/A,FALSE,"AECS";#N/A,#N/A,FALSE,"SPS";#N/A,#N/A,FALSE,"CORP"}</definedName>
    <definedName name="kk" hidden="1">{"'下期集計（10.27迄・速報値）'!$Q$16"}</definedName>
    <definedName name="kkk" hidden="1">{"'下期集計（10.27迄・速報値）'!$Q$16"}</definedName>
    <definedName name="lio" hidden="1">{#N/A,#N/A,TRUE,"A"}</definedName>
    <definedName name="LISTA">#REF!</definedName>
    <definedName name="ListOffset" hidden="1">1</definedName>
    <definedName name="MBAS" hidden="1">{"'ADV&amp;DP'!$A$4:$C$25"}</definedName>
    <definedName name="mbs" hidden="1">{"'ADV&amp;DP'!$A$4:$C$25"}</definedName>
    <definedName name="MKK" hidden="1">{"'下期集計（10.27迄・速報値）'!$Q$16"}</definedName>
    <definedName name="mmm" hidden="1">{"'ADV&amp;DP'!$A$4:$C$25"}</definedName>
    <definedName name="MOBILE" hidden="1">{"'ADV&amp;DP'!$A$4:$C$25"}</definedName>
    <definedName name="n" hidden="1">{"'下期集計（10.27迄・速報値）'!$Q$16"}</definedName>
    <definedName name="new" hidden="1">{"'Highlights'!$A$1:$M$123"}</definedName>
    <definedName name="nm" hidden="1">{#N/A,#N/A,TRUE,"A"}</definedName>
    <definedName name="ñlo" hidden="1">{#N/A,#N/A,TRUE,"A"}</definedName>
    <definedName name="ñp" hidden="1">{#N/A,#N/A,TRUE,"A"}</definedName>
    <definedName name="oi" hidden="1">{#N/A,#N/A,TRUE,"A"}</definedName>
    <definedName name="ok" hidden="1">{"'Highlights'!$A$1:$M$123"}</definedName>
    <definedName name="PANELES">#REF!</definedName>
    <definedName name="piu" hidden="1">{#N/A,#N/A,TRUE,"A"}</definedName>
    <definedName name="plo" hidden="1">{#N/A,#N/A,TRUE,"A"}</definedName>
    <definedName name="po" hidden="1">{#N/A,#N/A,TRUE,"A"}</definedName>
    <definedName name="PTSB" hidden="1">{"'Highlights'!$A$1:$M$123"}</definedName>
    <definedName name="Q2Fcst" hidden="1">{#N/A,#N/A,FALSE,"TOTFINAL";#N/A,#N/A,FALSE,"FINPLAN";#N/A,#N/A,FALSE,"TOTMOTADJ";#N/A,#N/A,FALSE,"tieEQ";#N/A,#N/A,FALSE,"G";#N/A,#N/A,FALSE,"ELIMS";#N/A,#N/A,FALSE,"NEXTEL ADJ";#N/A,#N/A,FALSE,"MIMS";#N/A,#N/A,FALSE,"LMPS";#N/A,#N/A,FALSE,"CNSS";#N/A,#N/A,FALSE,"CSS";#N/A,#N/A,FALSE,"MCG";#N/A,#N/A,FALSE,"AECS";#N/A,#N/A,FALSE,"SPS";#N/A,#N/A,FALSE,"CORP"}</definedName>
    <definedName name="qw" hidden="1">{"'下期集計（10.27迄・速報値）'!$Q$16"}</definedName>
    <definedName name="ＲＡＲＯＡ" hidden="1">{"'下期集計（10.27迄・速報値）'!$Q$16"}</definedName>
    <definedName name="RETENCION">'[7]Cálculo LPVta Cambium'!$AA$4</definedName>
    <definedName name="rfg" hidden="1">{#N/A,#N/A,TRUE,"A"}</definedName>
    <definedName name="SAPBEXdnldView" hidden="1">"4X7PHJJ3EF70UJ33CI6YVQIOV"</definedName>
    <definedName name="SAPBEXsysID" hidden="1">"PBK"</definedName>
    <definedName name="SCOG" hidden="1">{"'ADV&amp;DP'!$A$4:$C$25"}</definedName>
    <definedName name="sencount" hidden="1">1</definedName>
    <definedName name="sfgasd" hidden="1">{0,0,0,0;0,0,0,0;0,0,0,0;0,0,0,0;0,0,0,0;0,0,0,0;0,0,2,0;2,3,3,0;FALSE,FALSE,FALSE,FALSE;TRUE,FALSE,TRUE,TRUE;FALSE,FALSE,TRUE,TRUE;FALSE,0,2.78134444564786E-308,4.45015196281921E-308;7.78776275135711E-308,1.33504516457612E-307,2.22507555776164E-307,3.56012157274209E-307}</definedName>
    <definedName name="solver_adj" hidden="1">#REF!</definedName>
    <definedName name="solver_lin" hidden="1">0</definedName>
    <definedName name="solver_num" hidden="1">0</definedName>
    <definedName name="solver_opt" hidden="1">#REF!</definedName>
    <definedName name="solver_typ" hidden="1">3</definedName>
    <definedName name="solver_val" hidden="1">0.6</definedName>
    <definedName name="stp">[8]Resumen_Inv!$I$66</definedName>
    <definedName name="t" hidden="1">{"'下期集計（10.27迄・速報値）'!$Q$16"}</definedName>
    <definedName name="tyh" hidden="1">{#N/A,#N/A,TRUE,"A"}</definedName>
    <definedName name="v" hidden="1">{#N/A,#N/A,FALSE,"TOTFINAL";#N/A,#N/A,FALSE,"FINPLAN";#N/A,#N/A,FALSE,"TOTMOTADJ";#N/A,#N/A,FALSE,"tieEQ";#N/A,#N/A,FALSE,"G";#N/A,#N/A,FALSE,"ELIMS";#N/A,#N/A,FALSE,"NEXTEL ADJ";#N/A,#N/A,FALSE,"MIMS";#N/A,#N/A,FALSE,"LMPS";#N/A,#N/A,FALSE,"CNSS";#N/A,#N/A,FALSE,"CSS";#N/A,#N/A,FALSE,"MCG";#N/A,#N/A,FALSE,"AECS";#N/A,#N/A,FALSE,"SPS";#N/A,#N/A,FALSE,"CORP"}</definedName>
    <definedName name="vbn" hidden="1">{#N/A,#N/A,TRUE,"A"}</definedName>
    <definedName name="w" hidden="1">{"'下期集計（10.27迄・速報値）'!$Q$16"}</definedName>
    <definedName name="wrn.???." hidden="1">{"DCF-???",#N/A,TRUE,"???";"FS-???",#N/A,TRUE,"???";"DCF-??",#N/A,TRUE,"??";"FS-??",#N/A,TRUE,"??";"DCF-??",#N/A,TRUE,"??";"FS-??",#N/A,TRUE,"??";"DCF-??",#N/A,TRUE,"??";"FS-??",#N/A,TRUE,"??";"DCF-??",#N/A,TRUE,"??";"FS-??",#N/A,TRUE,"??";"DCF-??",#N/A,TRUE,"??";"FS-??",#N/A,TRUE,"??";"DCF-??",#N/A,TRUE,"??";"FS-??",#N/A,TRUE,"??";"DCF-??",#N/A,TRUE,"??";"FS-??",#N/A,TRUE,"??";"DCF-??",#N/A,TRUE,"??";"FS-??",#N/A,TRUE,"??"}</definedName>
    <definedName name="wrn.Aging._.and._.Trend._.Analysis." hidden="1">{#N/A,#N/A,FALSE,"Aging Summary";#N/A,#N/A,FALSE,"Ratio Analysis";#N/A,#N/A,FALSE,"Test 120 Day Accts";#N/A,#N/A,FALSE,"Tickmarks"}</definedName>
    <definedName name="wrn.All._.Sheets." hidden="1">{#N/A,#N/A,FALSE,"1997 WW (Short)";#N/A,#N/A,FALSE,"1997 RF Mfg";#N/A,#N/A,FALSE,"Ancillary-CSM";#N/A,#N/A,FALSE,"1997 Service"}</definedName>
    <definedName name="wrn.AR._.Meeting._.Schedules."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CIPG._.All._.Sheets." hidden="1">{#N/A,#N/A,FALSE,"Cover";#N/A,#N/A,FALSE,"Commentary";#N/A,#N/A,FALSE,"key ind";#N/A,#N/A,FALSE,"CIG RSB";#N/A,#N/A,FALSE,"4-up charts p.1";#N/A,#N/A,FALSE,"4-up charts p.2";#N/A,#N/A,FALSE,"Q1 Markets";#N/A,#N/A,FALSE,"Annual Mkts";#N/A,#N/A,FALSE," rate of ? qtr";#N/A,#N/A,FALSE,"Detail Rel rate of ? ";#N/A,#N/A,FALSE,"Q1 Products";#N/A,#N/A,FALSE,"Annual Products";#N/A,#N/A,FALSE,"SMUG";#N/A,#N/A,FALSE,"IDL Budgets";#N/A,#N/A,FALSE,"HC Trend";#N/A,#N/A,FALSE,"Functional HC ";#N/A,#N/A,FALSE,"Capital Expd";#N/A,#N/A,FALSE,"Capital CO";#N/A,#N/A,FALSE,"Inventory"}</definedName>
    <definedName name="wrn.CIPG._.Black._.and._.White." hidden="1">{#N/A,#N/A,FALSE,"Cover";#N/A,#N/A,FALSE,"Commentary";#N/A,#N/A,FALSE,"key ind";#N/A,#N/A,FALSE,"CIG RSB";#N/A,#N/A,FALSE,"Q1 Markets";#N/A,#N/A,FALSE,"Annual Mkts";#N/A,#N/A,FALSE,"Q1 Products";#N/A,#N/A,FALSE,"Annual Products";#N/A,#N/A,FALSE,"SMUG";#N/A,#N/A,FALSE,"IDL Budgets";#N/A,#N/A,FALSE,"HC Trend";#N/A,#N/A,FALSE,"Functional HC ";#N/A,#N/A,FALSE,"Capital Expd";#N/A,#N/A,FALSE,"Capital CO"}</definedName>
    <definedName name="wrn.CIPG._.Color._.Charts." hidden="1">{#N/A,#N/A,FALSE,"4-up charts p.1";#N/A,#N/A,FALSE,"4-up charts p.2";#N/A,#N/A,FALSE," rate of ? qtr";#N/A,#N/A,FALSE,"Detail Rel rate of ? ";#N/A,#N/A,FALSE,"Inventory"}</definedName>
    <definedName name="wrn.DCF????." hidden="1">{"DCF-???",#N/A,TRUE,"???";"DCF-??",#N/A,TRUE,"??";"DCF-??",#N/A,TRUE,"??";"DCF-??",#N/A,TRUE,"??";"DCF-??",#N/A,TRUE,"??";"DCF-??",#N/A,TRUE,"??";"DCF-??",#N/A,TRUE,"??";"DCF-??",#N/A,TRUE,"??";"DCF-??",#N/A,TRUE,"??"}</definedName>
    <definedName name="wrn.DCF一括印刷." hidden="1">{"DCF-北海道",#N/A,TRUE,"北海道";"DCF-東北",#N/A,TRUE,"東北";"DCF-東海",#N/A,TRUE,"東海";"DCF-北陸",#N/A,TRUE,"北陸";"DCF-関西",#N/A,TRUE,"関西";"DCF-中国",#N/A,TRUE,"中国";"DCF-四国",#N/A,TRUE,"四国";"DCF-九州",#N/A,TRUE,"九州";"DCF-連結",#N/A,TRUE,"連結"}</definedName>
    <definedName name="wrn.EAN2." hidden="1">{#N/A,#N/A,TRUE,"A"}</definedName>
    <definedName name="wrn.EAN3" hidden="1">{#N/A,#N/A,TRUE,"A"}</definedName>
    <definedName name="wrn.FS????." hidden="1">{"FS-???",#N/A,TRUE,"???";"FS-??",#N/A,TRUE,"??";"FS-??",#N/A,TRUE,"??";"FS-??",#N/A,TRUE,"??";"FS-??",#N/A,TRUE,"??";"FS-??",#N/A,TRUE,"??";"FS-??",#N/A,TRUE,"??";"FS-??",#N/A,TRUE,"??";"FS-??",#N/A,TRUE,"??"}</definedName>
    <definedName name="wrn.FS一括印刷." hidden="1">{"FS-北海道",#N/A,TRUE,"北海道";"FS-東北",#N/A,TRUE,"東北";"FS-東海",#N/A,TRUE,"東海";"FS-北陸",#N/A,TRUE,"北陸";"FS-関西",#N/A,TRUE,"関西";"FS-中国",#N/A,TRUE,"中国";"FS-四国",#N/A,TRUE,"四国";"FS-九州",#N/A,TRUE,"九州";"FS-連結",#N/A,TRUE,"連結"}</definedName>
    <definedName name="wrn.Outlook._.Report." hidden="1">{#N/A,#N/A,FALSE,"Outlook for Month ";#N/A,#N/A,FALSE,"Risk for Month ";#N/A,#N/A,FALSE,"Upside for Month"}</definedName>
    <definedName name="wrn.RPT." hidden="1">{#N/A,#N/A,FALSE,"TOTFINAL";#N/A,#N/A,FALSE,"FINPLAN";#N/A,#N/A,FALSE,"TOTMOTADJ";#N/A,#N/A,FALSE,"tieEQ";#N/A,#N/A,FALSE,"G";#N/A,#N/A,FALSE,"ELIMS";#N/A,#N/A,FALSE,"NEXTEL ADJ";#N/A,#N/A,FALSE,"MIMS";#N/A,#N/A,FALSE,"LMPS";#N/A,#N/A,FALSE,"CNSS";#N/A,#N/A,FALSE,"CSS";#N/A,#N/A,FALSE,"MCG";#N/A,#N/A,FALSE,"AECS";#N/A,#N/A,FALSE,"SPS";#N/A,#N/A,FALSE,"CORP"}</definedName>
    <definedName name="wrn.全印刷." hidden="1">{"DCF-北海道",#N/A,TRUE,"北海道";"FS-北海道",#N/A,TRUE,"北海道";"DCF-東北",#N/A,TRUE,"東北";"FS-東北",#N/A,TRUE,"東北";"DCF-東海",#N/A,TRUE,"東海";"FS-東海",#N/A,TRUE,"東海";"DCF-北陸",#N/A,TRUE,"北陸";"FS-北陸",#N/A,TRUE,"北陸";"DCF-関西",#N/A,TRUE,"関西";"FS-関西",#N/A,TRUE,"関西";"DCF-中国",#N/A,TRUE,"中国";"FS-中国",#N/A,TRUE,"中国";"DCF-四国",#N/A,TRUE,"四国";"FS-四国",#N/A,TRUE,"四国";"DCF-九州",#N/A,TRUE,"九州";"FS-九州",#N/A,TRUE,"九州";"DCF-連結",#N/A,TRUE,"連結";"FS-連結",#N/A,TRUE,"連結"}</definedName>
    <definedName name="ws" hidden="1">{#N/A,#N/A,TRUE,"A"}</definedName>
    <definedName name="yhu" hidden="1">{#N/A,#N/A,TRUE,"A"}</definedName>
    <definedName name="ｚ" hidden="1">{"'下期集計（10.27迄・速報値）'!$Q$16"}</definedName>
    <definedName name="Z_086A872D_15DF_436A_8459_CE22F6819FF4_.wvu.Rows" hidden="1">[5]Presentacion!#REF!</definedName>
    <definedName name="Z_D55C8B2E_861A_459E_9D09_3AF38A1DE99E_.wvu.Rows" hidden="1">[5]Presentacion!#REF!</definedName>
    <definedName name="Z_F540D718_D9AA_403F_AE49_60D937FD77E5_.wvu.Rows" hidden="1">[5]Presentacion!#REF!</definedName>
    <definedName name="zz" hidden="1">{#N/A,#N/A,FALSE,"TOTFINAL";#N/A,#N/A,FALSE,"FINPLAN";#N/A,#N/A,FALSE,"TOTMOTADJ";#N/A,#N/A,FALSE,"tieEQ";#N/A,#N/A,FALSE,"G";#N/A,#N/A,FALSE,"ELIMS";#N/A,#N/A,FALSE,"NEXTEL ADJ";#N/A,#N/A,FALSE,"MIMS";#N/A,#N/A,FALSE,"LMPS";#N/A,#N/A,FALSE,"CNSS";#N/A,#N/A,FALSE,"CSS";#N/A,#N/A,FALSE,"MCG";#N/A,#N/A,FALSE,"AECS";#N/A,#N/A,FALSE,"SPS";#N/A,#N/A,FALSE,"CORP"}</definedName>
    <definedName name="ぁ" hidden="1">{"'下期集計（10.27迄・速報値）'!$Q$16"}</definedName>
    <definedName name="あ" hidden="1">{"'下期集計（10.27迄・速報値）'!$Q$16"}</definedName>
    <definedName name="あああ" hidden="1">{"'下期集計（10.27迄・速報値）'!$Q$16"}</definedName>
    <definedName name="ｼｰﾄ" hidden="1">[9]計算過程シート!#REF!</definedName>
    <definedName name="なんで" hidden="1">{"'下期集計（10.27迄・速報値）'!$Q$16"}</definedName>
    <definedName name="なんなの" hidden="1">{"'下期集計（10.27迄・速報値）'!$Q$16"}</definedName>
    <definedName name="一括" hidden="1">{"DCF-北海道",#N/A,TRUE,"北海道";"DCF-東北",#N/A,TRUE,"東北";"DCF-東海",#N/A,TRUE,"東海";"DCF-北陸",#N/A,TRUE,"北陸";"DCF-関西",#N/A,TRUE,"関西";"DCF-中国",#N/A,TRUE,"中国";"DCF-四国",#N/A,TRUE,"四国";"DCF-九州",#N/A,TRUE,"九州";"DCF-連結",#N/A,TRUE,"連結"}</definedName>
    <definedName name="印刷" hidden="1">{"DCF-北海道",#N/A,TRUE,"北海道";"DCF-東北",#N/A,TRUE,"東北";"DCF-東海",#N/A,TRUE,"東海";"DCF-北陸",#N/A,TRUE,"北陸";"DCF-関西",#N/A,TRUE,"関西";"DCF-中国",#N/A,TRUE,"中国";"DCF-四国",#N/A,TRUE,"四国";"DCF-九州",#N/A,TRUE,"九州";"DCF-連結",#N/A,TRUE,"連結"}</definedName>
    <definedName name="年間収支買掛" hidden="1">{"'下期集計（10.27迄・速報値）'!$Q$16"}</definedName>
    <definedName name="年間資金収支あ" hidden="1">{"'下期集計（10.27迄・速報値）'!$Q$16"}</definedName>
    <definedName name="日繰06" hidden="1">{"'下期集計（10.27迄・速報値）'!$Q$16"}</definedName>
    <definedName name="系統出資金" hidden="1">{"DCF-北海道",#N/A,TRUE,"北海道";"DCF-東北",#N/A,TRUE,"東北";"DCF-東海",#N/A,TRUE,"東海";"DCF-北陸",#N/A,TRUE,"北陸";"DCF-関西",#N/A,TRUE,"関西";"DCF-中国",#N/A,TRUE,"中国";"DCF-四国",#N/A,TRUE,"四国";"DCF-九州",#N/A,TRUE,"九州";"DCF-連結",#N/A,TRUE,"連結"}</definedName>
    <definedName name="系統外出資金" hidden="1">{"DCF-北海道",#N/A,TRUE,"北海道";"DCF-東北",#N/A,TRUE,"東北";"DCF-東海",#N/A,TRUE,"東海";"DCF-北陸",#N/A,TRUE,"北陸";"DCF-関西",#N/A,TRUE,"関西";"DCF-中国",#N/A,TRUE,"中国";"DCF-四国",#N/A,TRUE,"四国";"DCF-九州",#N/A,TRUE,"九州";"DCF-連結",#N/A,TRUE,"連結"}</definedName>
    <definedName name="要処理資産②" hidden="1">{"'下期集計（10.27迄・速報値）'!$Q$16"}</definedName>
    <definedName name="評価対象" hidden="1">[9]計算過程シート!#REF!</definedName>
    <definedName name="資金" hidden="1">{"'下期集計（10.27迄・速報値）'!$Q$16"}</definedName>
    <definedName name="金利体系" hidden="1">{"'下期集計（10.27迄・速報値）'!$Q$16"}</definedName>
    <definedName name="関連" hidden="1">{"'下期集計（10.27迄・速報値）'!$Q$16"}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6" i="1" l="1"/>
  <c r="Q6" i="1"/>
  <c r="L4" i="1"/>
  <c r="E4" i="1" s="1"/>
  <c r="Q4" i="1"/>
  <c r="C4" i="1" s="1"/>
  <c r="L12" i="1"/>
  <c r="Q12" i="1"/>
  <c r="L91" i="1"/>
  <c r="L92" i="1"/>
  <c r="Q91" i="1"/>
  <c r="Q92" i="1"/>
  <c r="L3" i="1"/>
  <c r="Q3" i="1"/>
  <c r="L5" i="1"/>
  <c r="Q5" i="1"/>
  <c r="L7" i="1"/>
  <c r="Q7" i="1"/>
  <c r="L8" i="1"/>
  <c r="Q8" i="1"/>
  <c r="L9" i="1"/>
  <c r="Q9" i="1"/>
  <c r="L10" i="1"/>
  <c r="Q10" i="1"/>
  <c r="L11" i="1"/>
  <c r="Q11" i="1"/>
  <c r="L13" i="1"/>
  <c r="Q13" i="1"/>
  <c r="L14" i="1"/>
  <c r="Q14" i="1"/>
  <c r="L15" i="1"/>
  <c r="Q15" i="1"/>
  <c r="L16" i="1"/>
  <c r="Q16" i="1"/>
  <c r="L17" i="1"/>
  <c r="Q17" i="1"/>
  <c r="L18" i="1"/>
  <c r="Q18" i="1"/>
  <c r="L19" i="1"/>
  <c r="Q19" i="1"/>
  <c r="L20" i="1"/>
  <c r="Q20" i="1"/>
  <c r="L21" i="1"/>
  <c r="Q21" i="1"/>
  <c r="L22" i="1"/>
  <c r="Q22" i="1"/>
  <c r="L23" i="1"/>
  <c r="Q23" i="1"/>
  <c r="L24" i="1"/>
  <c r="Q24" i="1"/>
  <c r="L25" i="1"/>
  <c r="Q25" i="1"/>
  <c r="L26" i="1"/>
  <c r="Q26" i="1"/>
  <c r="L27" i="1"/>
  <c r="Q27" i="1"/>
  <c r="L28" i="1"/>
  <c r="Q28" i="1"/>
  <c r="L29" i="1"/>
  <c r="Q29" i="1"/>
  <c r="L30" i="1"/>
  <c r="J30" i="1" s="1"/>
  <c r="Q30" i="1"/>
  <c r="L31" i="1"/>
  <c r="Q31" i="1"/>
  <c r="L32" i="1"/>
  <c r="Q32" i="1"/>
  <c r="L33" i="1"/>
  <c r="Q33" i="1"/>
  <c r="L34" i="1"/>
  <c r="Q34" i="1"/>
  <c r="L35" i="1"/>
  <c r="Q35" i="1"/>
  <c r="L36" i="1"/>
  <c r="Q36" i="1"/>
  <c r="L37" i="1"/>
  <c r="Q37" i="1"/>
  <c r="L38" i="1"/>
  <c r="Q38" i="1"/>
  <c r="L39" i="1"/>
  <c r="Q39" i="1"/>
  <c r="L40" i="1"/>
  <c r="Q40" i="1"/>
  <c r="L41" i="1"/>
  <c r="Q41" i="1"/>
  <c r="L42" i="1"/>
  <c r="Q42" i="1"/>
  <c r="L43" i="1"/>
  <c r="Q43" i="1"/>
  <c r="L44" i="1"/>
  <c r="Q44" i="1"/>
  <c r="L45" i="1"/>
  <c r="Q45" i="1"/>
  <c r="L46" i="1"/>
  <c r="Q46" i="1"/>
  <c r="L47" i="1"/>
  <c r="Q47" i="1"/>
  <c r="L48" i="1"/>
  <c r="Q48" i="1"/>
  <c r="L49" i="1"/>
  <c r="Q49" i="1"/>
  <c r="L50" i="1"/>
  <c r="Q50" i="1"/>
  <c r="L51" i="1"/>
  <c r="Q51" i="1"/>
  <c r="L52" i="1"/>
  <c r="Q52" i="1"/>
  <c r="L53" i="1"/>
  <c r="Q53" i="1"/>
  <c r="L54" i="1"/>
  <c r="Q54" i="1"/>
  <c r="L55" i="1"/>
  <c r="Q55" i="1"/>
  <c r="L56" i="1"/>
  <c r="Q56" i="1"/>
  <c r="L57" i="1"/>
  <c r="Q57" i="1"/>
  <c r="L58" i="1"/>
  <c r="Q58" i="1"/>
  <c r="L59" i="1"/>
  <c r="Q59" i="1"/>
  <c r="L60" i="1"/>
  <c r="Q60" i="1"/>
  <c r="L61" i="1"/>
  <c r="Q61" i="1"/>
  <c r="L62" i="1"/>
  <c r="Q62" i="1"/>
  <c r="L63" i="1"/>
  <c r="Q63" i="1"/>
  <c r="L64" i="1"/>
  <c r="Q64" i="1"/>
  <c r="L65" i="1"/>
  <c r="Q65" i="1"/>
  <c r="L66" i="1"/>
  <c r="Q66" i="1"/>
  <c r="L67" i="1"/>
  <c r="Q67" i="1"/>
  <c r="L68" i="1"/>
  <c r="Q68" i="1"/>
  <c r="L69" i="1"/>
  <c r="Q69" i="1"/>
  <c r="L70" i="1"/>
  <c r="Q70" i="1"/>
  <c r="L71" i="1"/>
  <c r="Q71" i="1"/>
  <c r="L72" i="1"/>
  <c r="Q72" i="1"/>
  <c r="L73" i="1"/>
  <c r="Q73" i="1"/>
  <c r="L74" i="1"/>
  <c r="Q74" i="1"/>
  <c r="L75" i="1"/>
  <c r="Q75" i="1"/>
  <c r="L76" i="1"/>
  <c r="Q76" i="1"/>
  <c r="L77" i="1"/>
  <c r="Q77" i="1"/>
  <c r="L78" i="1"/>
  <c r="Q78" i="1"/>
  <c r="L79" i="1"/>
  <c r="Q79" i="1"/>
  <c r="M79" i="1" s="1"/>
  <c r="L80" i="1"/>
  <c r="Q80" i="1"/>
  <c r="L81" i="1"/>
  <c r="Q81" i="1"/>
  <c r="L82" i="1"/>
  <c r="Q82" i="1"/>
  <c r="L83" i="1"/>
  <c r="Q83" i="1"/>
  <c r="L84" i="1"/>
  <c r="Q84" i="1"/>
  <c r="L85" i="1"/>
  <c r="Q85" i="1"/>
  <c r="L86" i="1"/>
  <c r="Q86" i="1"/>
  <c r="L87" i="1"/>
  <c r="Q87" i="1"/>
  <c r="L88" i="1"/>
  <c r="Q88" i="1"/>
  <c r="L89" i="1"/>
  <c r="Q89" i="1"/>
  <c r="L90" i="1"/>
  <c r="Q90" i="1"/>
  <c r="J6" i="1" l="1"/>
  <c r="K6" i="1"/>
  <c r="E6" i="1"/>
  <c r="I6" i="1"/>
  <c r="C6" i="1"/>
  <c r="O6" i="1"/>
  <c r="P6" i="1" s="1"/>
  <c r="D6" i="1" s="1"/>
  <c r="M6" i="1"/>
  <c r="N6" i="1"/>
  <c r="G6" i="1" s="1"/>
  <c r="K4" i="1"/>
  <c r="J4" i="1"/>
  <c r="I4" i="1" s="1"/>
  <c r="M4" i="1"/>
  <c r="N4" i="1"/>
  <c r="G4" i="1" s="1"/>
  <c r="O4" i="1"/>
  <c r="P4" i="1" s="1"/>
  <c r="D4" i="1" s="1"/>
  <c r="E12" i="1"/>
  <c r="J12" i="1"/>
  <c r="I12" i="1" s="1"/>
  <c r="K12" i="1"/>
  <c r="M12" i="1"/>
  <c r="N12" i="1"/>
  <c r="G12" i="1" s="1"/>
  <c r="O12" i="1"/>
  <c r="P12" i="1" s="1"/>
  <c r="D12" i="1" s="1"/>
  <c r="E91" i="1"/>
  <c r="K91" i="1"/>
  <c r="J91" i="1"/>
  <c r="I91" i="1" s="1"/>
  <c r="E92" i="1"/>
  <c r="J92" i="1"/>
  <c r="I92" i="1" s="1"/>
  <c r="K92" i="1"/>
  <c r="C91" i="1"/>
  <c r="N91" i="1"/>
  <c r="G91" i="1" s="1"/>
  <c r="M91" i="1"/>
  <c r="O91" i="1"/>
  <c r="P91" i="1" s="1"/>
  <c r="D91" i="1" s="1"/>
  <c r="C92" i="1"/>
  <c r="N92" i="1"/>
  <c r="G92" i="1" s="1"/>
  <c r="O92" i="1"/>
  <c r="M92" i="1"/>
  <c r="P92" i="1"/>
  <c r="D92" i="1" s="1"/>
  <c r="C34" i="1"/>
  <c r="M34" i="1"/>
  <c r="O34" i="1"/>
  <c r="P34" i="1" s="1"/>
  <c r="D34" i="1" s="1"/>
  <c r="N34" i="1"/>
  <c r="G34" i="1" s="1"/>
  <c r="E3" i="1"/>
  <c r="J3" i="1"/>
  <c r="K3" i="1"/>
  <c r="I3" i="1"/>
  <c r="C3" i="1"/>
  <c r="N3" i="1"/>
  <c r="G3" i="1" s="1"/>
  <c r="M3" i="1"/>
  <c r="O3" i="1"/>
  <c r="P3" i="1" s="1"/>
  <c r="D3" i="1" s="1"/>
  <c r="E5" i="1"/>
  <c r="J5" i="1"/>
  <c r="I5" i="1" s="1"/>
  <c r="K5" i="1"/>
  <c r="C5" i="1"/>
  <c r="O5" i="1"/>
  <c r="N5" i="1"/>
  <c r="G5" i="1" s="1"/>
  <c r="M5" i="1"/>
  <c r="P5" i="1"/>
  <c r="D5" i="1" s="1"/>
  <c r="J7" i="1"/>
  <c r="I7" i="1" s="1"/>
  <c r="K7" i="1"/>
  <c r="E7" i="1"/>
  <c r="O7" i="1"/>
  <c r="P7" i="1"/>
  <c r="D7" i="1" s="1"/>
  <c r="N7" i="1"/>
  <c r="G7" i="1" s="1"/>
  <c r="M7" i="1"/>
  <c r="C7" i="1"/>
  <c r="J8" i="1"/>
  <c r="K8" i="1"/>
  <c r="I8" i="1"/>
  <c r="E8" i="1"/>
  <c r="O8" i="1"/>
  <c r="P8" i="1"/>
  <c r="D8" i="1" s="1"/>
  <c r="N8" i="1"/>
  <c r="G8" i="1" s="1"/>
  <c r="M8" i="1"/>
  <c r="C8" i="1"/>
  <c r="J9" i="1"/>
  <c r="K9" i="1"/>
  <c r="I9" i="1"/>
  <c r="E9" i="1"/>
  <c r="O9" i="1"/>
  <c r="N9" i="1"/>
  <c r="G9" i="1" s="1"/>
  <c r="M9" i="1"/>
  <c r="C9" i="1"/>
  <c r="P9" i="1"/>
  <c r="D9" i="1" s="1"/>
  <c r="K10" i="1"/>
  <c r="J10" i="1"/>
  <c r="E10" i="1"/>
  <c r="I10" i="1"/>
  <c r="N10" i="1"/>
  <c r="G10" i="1" s="1"/>
  <c r="M10" i="1"/>
  <c r="C10" i="1"/>
  <c r="O10" i="1"/>
  <c r="P10" i="1" s="1"/>
  <c r="D10" i="1" s="1"/>
  <c r="K11" i="1"/>
  <c r="J11" i="1"/>
  <c r="I11" i="1" s="1"/>
  <c r="E11" i="1"/>
  <c r="M11" i="1"/>
  <c r="N11" i="1"/>
  <c r="G11" i="1" s="1"/>
  <c r="O11" i="1"/>
  <c r="P11" i="1" s="1"/>
  <c r="D11" i="1" s="1"/>
  <c r="C11" i="1"/>
  <c r="E13" i="1"/>
  <c r="J13" i="1"/>
  <c r="K13" i="1"/>
  <c r="I13" i="1"/>
  <c r="C13" i="1"/>
  <c r="M13" i="1"/>
  <c r="N13" i="1"/>
  <c r="G13" i="1" s="1"/>
  <c r="O13" i="1"/>
  <c r="P13" i="1" s="1"/>
  <c r="D13" i="1" s="1"/>
  <c r="J14" i="1"/>
  <c r="K14" i="1"/>
  <c r="I14" i="1"/>
  <c r="E14" i="1"/>
  <c r="N14" i="1"/>
  <c r="G14" i="1" s="1"/>
  <c r="O14" i="1"/>
  <c r="P14" i="1" s="1"/>
  <c r="D14" i="1" s="1"/>
  <c r="M14" i="1"/>
  <c r="C14" i="1"/>
  <c r="K15" i="1"/>
  <c r="E15" i="1"/>
  <c r="J15" i="1"/>
  <c r="I15" i="1" s="1"/>
  <c r="C15" i="1"/>
  <c r="M15" i="1"/>
  <c r="O15" i="1"/>
  <c r="P15" i="1" s="1"/>
  <c r="D15" i="1" s="1"/>
  <c r="N15" i="1"/>
  <c r="G15" i="1" s="1"/>
  <c r="J16" i="1"/>
  <c r="E16" i="1"/>
  <c r="I16" i="1"/>
  <c r="K16" i="1"/>
  <c r="C16" i="1"/>
  <c r="O16" i="1"/>
  <c r="P16" i="1" s="1"/>
  <c r="D16" i="1" s="1"/>
  <c r="M16" i="1"/>
  <c r="N16" i="1"/>
  <c r="G16" i="1" s="1"/>
  <c r="K17" i="1"/>
  <c r="J17" i="1"/>
  <c r="I17" i="1" s="1"/>
  <c r="E17" i="1"/>
  <c r="N17" i="1"/>
  <c r="G17" i="1" s="1"/>
  <c r="M17" i="1"/>
  <c r="C17" i="1"/>
  <c r="O17" i="1"/>
  <c r="P17" i="1" s="1"/>
  <c r="D17" i="1" s="1"/>
  <c r="J18" i="1"/>
  <c r="I18" i="1" s="1"/>
  <c r="E18" i="1"/>
  <c r="K18" i="1"/>
  <c r="O18" i="1"/>
  <c r="P18" i="1"/>
  <c r="D18" i="1" s="1"/>
  <c r="N18" i="1"/>
  <c r="G18" i="1" s="1"/>
  <c r="M18" i="1"/>
  <c r="C18" i="1"/>
  <c r="E19" i="1"/>
  <c r="J19" i="1"/>
  <c r="I19" i="1" s="1"/>
  <c r="K19" i="1"/>
  <c r="C19" i="1"/>
  <c r="M19" i="1"/>
  <c r="N19" i="1"/>
  <c r="G19" i="1" s="1"/>
  <c r="O19" i="1"/>
  <c r="P19" i="1"/>
  <c r="D19" i="1" s="1"/>
  <c r="J20" i="1"/>
  <c r="I20" i="1"/>
  <c r="K20" i="1"/>
  <c r="E20" i="1"/>
  <c r="O20" i="1"/>
  <c r="C20" i="1"/>
  <c r="M20" i="1"/>
  <c r="N20" i="1"/>
  <c r="G20" i="1" s="1"/>
  <c r="P20" i="1"/>
  <c r="D20" i="1" s="1"/>
  <c r="J21" i="1"/>
  <c r="I21" i="1"/>
  <c r="K21" i="1"/>
  <c r="E21" i="1"/>
  <c r="O21" i="1"/>
  <c r="M21" i="1"/>
  <c r="N21" i="1"/>
  <c r="G21" i="1" s="1"/>
  <c r="P21" i="1"/>
  <c r="D21" i="1" s="1"/>
  <c r="C21" i="1"/>
  <c r="J22" i="1"/>
  <c r="I22" i="1" s="1"/>
  <c r="E22" i="1"/>
  <c r="K22" i="1"/>
  <c r="O22" i="1"/>
  <c r="P22" i="1"/>
  <c r="D22" i="1" s="1"/>
  <c r="N22" i="1"/>
  <c r="G22" i="1" s="1"/>
  <c r="M22" i="1"/>
  <c r="C22" i="1"/>
  <c r="J23" i="1"/>
  <c r="E23" i="1"/>
  <c r="K23" i="1"/>
  <c r="I23" i="1"/>
  <c r="N23" i="1"/>
  <c r="G23" i="1" s="1"/>
  <c r="C23" i="1"/>
  <c r="O23" i="1"/>
  <c r="P23" i="1" s="1"/>
  <c r="D23" i="1" s="1"/>
  <c r="M23" i="1"/>
  <c r="E24" i="1"/>
  <c r="J24" i="1"/>
  <c r="K24" i="1"/>
  <c r="I24" i="1"/>
  <c r="O24" i="1"/>
  <c r="P24" i="1"/>
  <c r="D24" i="1" s="1"/>
  <c r="N24" i="1"/>
  <c r="G24" i="1" s="1"/>
  <c r="M24" i="1"/>
  <c r="C24" i="1"/>
  <c r="K25" i="1"/>
  <c r="E25" i="1"/>
  <c r="J25" i="1"/>
  <c r="I25" i="1" s="1"/>
  <c r="C25" i="1"/>
  <c r="O25" i="1"/>
  <c r="M25" i="1"/>
  <c r="P25" i="1"/>
  <c r="D25" i="1" s="1"/>
  <c r="N25" i="1"/>
  <c r="G25" i="1" s="1"/>
  <c r="E26" i="1"/>
  <c r="K26" i="1"/>
  <c r="J26" i="1"/>
  <c r="I26" i="1" s="1"/>
  <c r="C26" i="1"/>
  <c r="M26" i="1"/>
  <c r="N26" i="1"/>
  <c r="G26" i="1" s="1"/>
  <c r="O26" i="1"/>
  <c r="P26" i="1" s="1"/>
  <c r="D26" i="1" s="1"/>
  <c r="J27" i="1"/>
  <c r="K27" i="1"/>
  <c r="I27" i="1"/>
  <c r="E27" i="1"/>
  <c r="O27" i="1"/>
  <c r="P27" i="1"/>
  <c r="D27" i="1" s="1"/>
  <c r="N27" i="1"/>
  <c r="G27" i="1" s="1"/>
  <c r="M27" i="1"/>
  <c r="C27" i="1"/>
  <c r="J28" i="1"/>
  <c r="I28" i="1" s="1"/>
  <c r="E28" i="1"/>
  <c r="K28" i="1"/>
  <c r="O28" i="1"/>
  <c r="C28" i="1"/>
  <c r="N28" i="1"/>
  <c r="G28" i="1" s="1"/>
  <c r="P28" i="1"/>
  <c r="D28" i="1" s="1"/>
  <c r="M28" i="1"/>
  <c r="J29" i="1"/>
  <c r="E29" i="1"/>
  <c r="I29" i="1"/>
  <c r="K29" i="1"/>
  <c r="C29" i="1"/>
  <c r="N29" i="1"/>
  <c r="G29" i="1" s="1"/>
  <c r="M29" i="1"/>
  <c r="O29" i="1"/>
  <c r="P29" i="1" s="1"/>
  <c r="D29" i="1" s="1"/>
  <c r="E30" i="1"/>
  <c r="K30" i="1"/>
  <c r="I30" i="1"/>
  <c r="N30" i="1"/>
  <c r="G30" i="1" s="1"/>
  <c r="M30" i="1"/>
  <c r="O30" i="1"/>
  <c r="P30" i="1" s="1"/>
  <c r="D30" i="1" s="1"/>
  <c r="C30" i="1"/>
  <c r="E31" i="1"/>
  <c r="J31" i="1"/>
  <c r="K31" i="1"/>
  <c r="I31" i="1"/>
  <c r="C31" i="1"/>
  <c r="M31" i="1"/>
  <c r="N31" i="1"/>
  <c r="G31" i="1" s="1"/>
  <c r="O31" i="1"/>
  <c r="P31" i="1" s="1"/>
  <c r="D31" i="1" s="1"/>
  <c r="J32" i="1"/>
  <c r="I32" i="1" s="1"/>
  <c r="E32" i="1"/>
  <c r="K32" i="1"/>
  <c r="C32" i="1"/>
  <c r="N32" i="1"/>
  <c r="G32" i="1" s="1"/>
  <c r="O32" i="1"/>
  <c r="P32" i="1" s="1"/>
  <c r="D32" i="1" s="1"/>
  <c r="M32" i="1"/>
  <c r="J33" i="1"/>
  <c r="E33" i="1"/>
  <c r="I33" i="1"/>
  <c r="K33" i="1"/>
  <c r="O33" i="1"/>
  <c r="C33" i="1"/>
  <c r="M33" i="1"/>
  <c r="N33" i="1"/>
  <c r="G33" i="1" s="1"/>
  <c r="P33" i="1"/>
  <c r="D33" i="1" s="1"/>
  <c r="J34" i="1"/>
  <c r="K34" i="1"/>
  <c r="E34" i="1"/>
  <c r="I34" i="1"/>
  <c r="E35" i="1"/>
  <c r="J35" i="1"/>
  <c r="I35" i="1" s="1"/>
  <c r="K35" i="1"/>
  <c r="N35" i="1"/>
  <c r="G35" i="1" s="1"/>
  <c r="C35" i="1"/>
  <c r="M35" i="1"/>
  <c r="O35" i="1"/>
  <c r="P35" i="1" s="1"/>
  <c r="D35" i="1" s="1"/>
  <c r="K36" i="1"/>
  <c r="J36" i="1"/>
  <c r="I36" i="1" s="1"/>
  <c r="E36" i="1"/>
  <c r="M36" i="1"/>
  <c r="N36" i="1"/>
  <c r="G36" i="1" s="1"/>
  <c r="O36" i="1"/>
  <c r="P36" i="1"/>
  <c r="D36" i="1" s="1"/>
  <c r="C36" i="1"/>
  <c r="E37" i="1"/>
  <c r="J37" i="1"/>
  <c r="I37" i="1" s="1"/>
  <c r="K37" i="1"/>
  <c r="C37" i="1"/>
  <c r="M37" i="1"/>
  <c r="N37" i="1"/>
  <c r="G37" i="1" s="1"/>
  <c r="O37" i="1"/>
  <c r="P37" i="1"/>
  <c r="D37" i="1" s="1"/>
  <c r="J38" i="1"/>
  <c r="I38" i="1"/>
  <c r="E38" i="1"/>
  <c r="K38" i="1"/>
  <c r="O38" i="1"/>
  <c r="P38" i="1"/>
  <c r="D38" i="1" s="1"/>
  <c r="M38" i="1"/>
  <c r="C38" i="1"/>
  <c r="N38" i="1"/>
  <c r="G38" i="1" s="1"/>
  <c r="E39" i="1"/>
  <c r="J39" i="1"/>
  <c r="I39" i="1" s="1"/>
  <c r="K39" i="1"/>
  <c r="M39" i="1"/>
  <c r="O39" i="1"/>
  <c r="P39" i="1"/>
  <c r="D39" i="1" s="1"/>
  <c r="N39" i="1"/>
  <c r="G39" i="1" s="1"/>
  <c r="C39" i="1"/>
  <c r="E40" i="1"/>
  <c r="J40" i="1"/>
  <c r="I40" i="1" s="1"/>
  <c r="K40" i="1"/>
  <c r="C40" i="1"/>
  <c r="M40" i="1"/>
  <c r="N40" i="1"/>
  <c r="G40" i="1" s="1"/>
  <c r="O40" i="1"/>
  <c r="P40" i="1"/>
  <c r="D40" i="1" s="1"/>
  <c r="E41" i="1"/>
  <c r="J41" i="1"/>
  <c r="I41" i="1" s="1"/>
  <c r="K41" i="1"/>
  <c r="C41" i="1"/>
  <c r="M41" i="1"/>
  <c r="N41" i="1"/>
  <c r="G41" i="1" s="1"/>
  <c r="O41" i="1"/>
  <c r="P41" i="1"/>
  <c r="D41" i="1" s="1"/>
  <c r="J42" i="1"/>
  <c r="I42" i="1" s="1"/>
  <c r="K42" i="1"/>
  <c r="E42" i="1"/>
  <c r="C42" i="1"/>
  <c r="M42" i="1"/>
  <c r="N42" i="1"/>
  <c r="G42" i="1" s="1"/>
  <c r="O42" i="1"/>
  <c r="P42" i="1"/>
  <c r="D42" i="1" s="1"/>
  <c r="E43" i="1"/>
  <c r="J43" i="1"/>
  <c r="I43" i="1" s="1"/>
  <c r="K43" i="1"/>
  <c r="C43" i="1"/>
  <c r="O43" i="1"/>
  <c r="M43" i="1"/>
  <c r="N43" i="1"/>
  <c r="G43" i="1" s="1"/>
  <c r="P43" i="1"/>
  <c r="D43" i="1" s="1"/>
  <c r="K44" i="1"/>
  <c r="E44" i="1"/>
  <c r="J44" i="1"/>
  <c r="I44" i="1" s="1"/>
  <c r="M44" i="1"/>
  <c r="N44" i="1"/>
  <c r="G44" i="1" s="1"/>
  <c r="O44" i="1"/>
  <c r="P44" i="1"/>
  <c r="D44" i="1" s="1"/>
  <c r="C44" i="1"/>
  <c r="E45" i="1"/>
  <c r="J45" i="1"/>
  <c r="I45" i="1" s="1"/>
  <c r="K45" i="1"/>
  <c r="M45" i="1"/>
  <c r="N45" i="1"/>
  <c r="G45" i="1" s="1"/>
  <c r="O45" i="1"/>
  <c r="P45" i="1"/>
  <c r="D45" i="1" s="1"/>
  <c r="C45" i="1"/>
  <c r="E46" i="1"/>
  <c r="J46" i="1"/>
  <c r="I46" i="1" s="1"/>
  <c r="K46" i="1"/>
  <c r="C46" i="1"/>
  <c r="N46" i="1"/>
  <c r="G46" i="1" s="1"/>
  <c r="O46" i="1"/>
  <c r="P46" i="1"/>
  <c r="D46" i="1" s="1"/>
  <c r="M46" i="1"/>
  <c r="E47" i="1"/>
  <c r="J47" i="1"/>
  <c r="I47" i="1" s="1"/>
  <c r="K47" i="1"/>
  <c r="C47" i="1"/>
  <c r="M47" i="1"/>
  <c r="N47" i="1"/>
  <c r="G47" i="1" s="1"/>
  <c r="O47" i="1"/>
  <c r="P47" i="1"/>
  <c r="D47" i="1" s="1"/>
  <c r="K48" i="1"/>
  <c r="E48" i="1"/>
  <c r="J48" i="1"/>
  <c r="I48" i="1" s="1"/>
  <c r="M48" i="1"/>
  <c r="O48" i="1"/>
  <c r="P48" i="1"/>
  <c r="D48" i="1" s="1"/>
  <c r="N48" i="1"/>
  <c r="G48" i="1" s="1"/>
  <c r="C48" i="1"/>
  <c r="E49" i="1"/>
  <c r="J49" i="1"/>
  <c r="I49" i="1" s="1"/>
  <c r="K49" i="1"/>
  <c r="C49" i="1"/>
  <c r="M49" i="1"/>
  <c r="N49" i="1"/>
  <c r="G49" i="1" s="1"/>
  <c r="O49" i="1"/>
  <c r="P49" i="1" s="1"/>
  <c r="D49" i="1" s="1"/>
  <c r="K50" i="1"/>
  <c r="J50" i="1"/>
  <c r="I50" i="1"/>
  <c r="E50" i="1"/>
  <c r="O50" i="1"/>
  <c r="P50" i="1" s="1"/>
  <c r="D50" i="1" s="1"/>
  <c r="N50" i="1"/>
  <c r="G50" i="1" s="1"/>
  <c r="M50" i="1"/>
  <c r="C50" i="1"/>
  <c r="E51" i="1"/>
  <c r="J51" i="1"/>
  <c r="I51" i="1" s="1"/>
  <c r="K51" i="1"/>
  <c r="C51" i="1"/>
  <c r="M51" i="1"/>
  <c r="N51" i="1"/>
  <c r="G51" i="1" s="1"/>
  <c r="O51" i="1"/>
  <c r="P51" i="1"/>
  <c r="D51" i="1" s="1"/>
  <c r="E52" i="1"/>
  <c r="J52" i="1"/>
  <c r="I52" i="1" s="1"/>
  <c r="K52" i="1"/>
  <c r="C52" i="1"/>
  <c r="N52" i="1"/>
  <c r="G52" i="1" s="1"/>
  <c r="M52" i="1"/>
  <c r="O52" i="1"/>
  <c r="P52" i="1" s="1"/>
  <c r="D52" i="1" s="1"/>
  <c r="E53" i="1"/>
  <c r="K53" i="1"/>
  <c r="J53" i="1"/>
  <c r="I53" i="1" s="1"/>
  <c r="M53" i="1"/>
  <c r="O53" i="1"/>
  <c r="C53" i="1"/>
  <c r="N53" i="1"/>
  <c r="G53" i="1" s="1"/>
  <c r="P53" i="1"/>
  <c r="D53" i="1" s="1"/>
  <c r="K54" i="1"/>
  <c r="E54" i="1"/>
  <c r="J54" i="1"/>
  <c r="I54" i="1" s="1"/>
  <c r="C54" i="1"/>
  <c r="M54" i="1"/>
  <c r="N54" i="1"/>
  <c r="G54" i="1" s="1"/>
  <c r="O54" i="1"/>
  <c r="P54" i="1" s="1"/>
  <c r="D54" i="1" s="1"/>
  <c r="J55" i="1"/>
  <c r="I55" i="1" s="1"/>
  <c r="E55" i="1"/>
  <c r="K55" i="1"/>
  <c r="M55" i="1"/>
  <c r="N55" i="1"/>
  <c r="G55" i="1" s="1"/>
  <c r="O55" i="1"/>
  <c r="C55" i="1"/>
  <c r="P55" i="1"/>
  <c r="D55" i="1" s="1"/>
  <c r="J56" i="1"/>
  <c r="I56" i="1" s="1"/>
  <c r="E56" i="1"/>
  <c r="K56" i="1"/>
  <c r="O56" i="1"/>
  <c r="C56" i="1"/>
  <c r="P56" i="1"/>
  <c r="D56" i="1" s="1"/>
  <c r="N56" i="1"/>
  <c r="G56" i="1" s="1"/>
  <c r="M56" i="1"/>
  <c r="E57" i="1"/>
  <c r="K57" i="1"/>
  <c r="J57" i="1"/>
  <c r="I57" i="1" s="1"/>
  <c r="N57" i="1"/>
  <c r="G57" i="1" s="1"/>
  <c r="O57" i="1"/>
  <c r="M57" i="1"/>
  <c r="C57" i="1"/>
  <c r="P57" i="1"/>
  <c r="D57" i="1" s="1"/>
  <c r="E58" i="1"/>
  <c r="K58" i="1"/>
  <c r="J58" i="1"/>
  <c r="I58" i="1" s="1"/>
  <c r="N58" i="1"/>
  <c r="G58" i="1" s="1"/>
  <c r="C58" i="1"/>
  <c r="O58" i="1"/>
  <c r="P58" i="1" s="1"/>
  <c r="D58" i="1" s="1"/>
  <c r="M58" i="1"/>
  <c r="E59" i="1"/>
  <c r="K59" i="1"/>
  <c r="J59" i="1"/>
  <c r="I59" i="1" s="1"/>
  <c r="C59" i="1"/>
  <c r="O59" i="1"/>
  <c r="P59" i="1" s="1"/>
  <c r="D59" i="1" s="1"/>
  <c r="M59" i="1"/>
  <c r="N59" i="1"/>
  <c r="G59" i="1" s="1"/>
  <c r="J60" i="1"/>
  <c r="I60" i="1" s="1"/>
  <c r="K60" i="1"/>
  <c r="E60" i="1"/>
  <c r="O60" i="1"/>
  <c r="P60" i="1" s="1"/>
  <c r="D60" i="1" s="1"/>
  <c r="M60" i="1"/>
  <c r="C60" i="1"/>
  <c r="N60" i="1"/>
  <c r="G60" i="1" s="1"/>
  <c r="K61" i="1"/>
  <c r="E61" i="1"/>
  <c r="J61" i="1"/>
  <c r="I61" i="1" s="1"/>
  <c r="N61" i="1"/>
  <c r="G61" i="1" s="1"/>
  <c r="C61" i="1"/>
  <c r="O61" i="1"/>
  <c r="P61" i="1" s="1"/>
  <c r="D61" i="1" s="1"/>
  <c r="M61" i="1"/>
  <c r="K62" i="1"/>
  <c r="J62" i="1"/>
  <c r="I62" i="1" s="1"/>
  <c r="E62" i="1"/>
  <c r="O62" i="1"/>
  <c r="N62" i="1"/>
  <c r="G62" i="1" s="1"/>
  <c r="C62" i="1"/>
  <c r="M62" i="1"/>
  <c r="P62" i="1"/>
  <c r="D62" i="1" s="1"/>
  <c r="K63" i="1"/>
  <c r="E63" i="1"/>
  <c r="J63" i="1"/>
  <c r="I63" i="1" s="1"/>
  <c r="C63" i="1"/>
  <c r="O63" i="1"/>
  <c r="P63" i="1" s="1"/>
  <c r="D63" i="1" s="1"/>
  <c r="N63" i="1"/>
  <c r="G63" i="1" s="1"/>
  <c r="M63" i="1"/>
  <c r="E64" i="1"/>
  <c r="K64" i="1"/>
  <c r="J64" i="1"/>
  <c r="I64" i="1" s="1"/>
  <c r="O64" i="1"/>
  <c r="N64" i="1"/>
  <c r="G64" i="1" s="1"/>
  <c r="M64" i="1"/>
  <c r="P64" i="1"/>
  <c r="D64" i="1" s="1"/>
  <c r="C64" i="1"/>
  <c r="J65" i="1"/>
  <c r="E65" i="1"/>
  <c r="I65" i="1"/>
  <c r="K65" i="1"/>
  <c r="C65" i="1"/>
  <c r="O65" i="1"/>
  <c r="M65" i="1"/>
  <c r="P65" i="1"/>
  <c r="D65" i="1" s="1"/>
  <c r="N65" i="1"/>
  <c r="G65" i="1" s="1"/>
  <c r="E66" i="1"/>
  <c r="J66" i="1"/>
  <c r="I66" i="1" s="1"/>
  <c r="K66" i="1"/>
  <c r="C66" i="1"/>
  <c r="N66" i="1"/>
  <c r="G66" i="1" s="1"/>
  <c r="O66" i="1"/>
  <c r="M66" i="1"/>
  <c r="P66" i="1"/>
  <c r="D66" i="1" s="1"/>
  <c r="K67" i="1"/>
  <c r="E67" i="1"/>
  <c r="J67" i="1"/>
  <c r="I67" i="1" s="1"/>
  <c r="N67" i="1"/>
  <c r="G67" i="1" s="1"/>
  <c r="O67" i="1"/>
  <c r="P67" i="1"/>
  <c r="D67" i="1" s="1"/>
  <c r="M67" i="1"/>
  <c r="C67" i="1"/>
  <c r="J68" i="1"/>
  <c r="I68" i="1"/>
  <c r="E68" i="1"/>
  <c r="K68" i="1"/>
  <c r="M68" i="1"/>
  <c r="O68" i="1"/>
  <c r="C68" i="1"/>
  <c r="N68" i="1"/>
  <c r="G68" i="1" s="1"/>
  <c r="P68" i="1"/>
  <c r="D68" i="1" s="1"/>
  <c r="J69" i="1"/>
  <c r="I69" i="1" s="1"/>
  <c r="E69" i="1"/>
  <c r="K69" i="1"/>
  <c r="N69" i="1"/>
  <c r="G69" i="1" s="1"/>
  <c r="O69" i="1"/>
  <c r="C69" i="1"/>
  <c r="M69" i="1"/>
  <c r="P69" i="1"/>
  <c r="D69" i="1" s="1"/>
  <c r="E70" i="1"/>
  <c r="K70" i="1"/>
  <c r="J70" i="1"/>
  <c r="I70" i="1" s="1"/>
  <c r="C70" i="1"/>
  <c r="M70" i="1"/>
  <c r="O70" i="1"/>
  <c r="P70" i="1" s="1"/>
  <c r="D70" i="1" s="1"/>
  <c r="N70" i="1"/>
  <c r="G70" i="1" s="1"/>
  <c r="K71" i="1"/>
  <c r="E71" i="1"/>
  <c r="J71" i="1"/>
  <c r="I71" i="1" s="1"/>
  <c r="C71" i="1"/>
  <c r="O71" i="1"/>
  <c r="P71" i="1" s="1"/>
  <c r="D71" i="1" s="1"/>
  <c r="M71" i="1"/>
  <c r="N71" i="1"/>
  <c r="G71" i="1" s="1"/>
  <c r="J72" i="1"/>
  <c r="K72" i="1"/>
  <c r="E72" i="1"/>
  <c r="I72" i="1"/>
  <c r="N72" i="1"/>
  <c r="G72" i="1" s="1"/>
  <c r="O72" i="1"/>
  <c r="P72" i="1" s="1"/>
  <c r="D72" i="1" s="1"/>
  <c r="M72" i="1"/>
  <c r="C72" i="1"/>
  <c r="J73" i="1"/>
  <c r="K73" i="1"/>
  <c r="E73" i="1"/>
  <c r="I73" i="1"/>
  <c r="N73" i="1"/>
  <c r="G73" i="1" s="1"/>
  <c r="O73" i="1"/>
  <c r="P73" i="1" s="1"/>
  <c r="D73" i="1" s="1"/>
  <c r="M73" i="1"/>
  <c r="C73" i="1"/>
  <c r="K74" i="1"/>
  <c r="E74" i="1"/>
  <c r="J74" i="1"/>
  <c r="I74" i="1" s="1"/>
  <c r="N74" i="1"/>
  <c r="G74" i="1" s="1"/>
  <c r="C74" i="1"/>
  <c r="M74" i="1"/>
  <c r="O74" i="1"/>
  <c r="P74" i="1" s="1"/>
  <c r="D74" i="1" s="1"/>
  <c r="J75" i="1"/>
  <c r="E75" i="1"/>
  <c r="K75" i="1"/>
  <c r="I75" i="1"/>
  <c r="N75" i="1"/>
  <c r="G75" i="1" s="1"/>
  <c r="M75" i="1"/>
  <c r="C75" i="1"/>
  <c r="O75" i="1"/>
  <c r="P75" i="1" s="1"/>
  <c r="D75" i="1" s="1"/>
  <c r="K76" i="1"/>
  <c r="E76" i="1"/>
  <c r="J76" i="1"/>
  <c r="I76" i="1" s="1"/>
  <c r="O76" i="1"/>
  <c r="P76" i="1"/>
  <c r="D76" i="1" s="1"/>
  <c r="M76" i="1"/>
  <c r="C76" i="1"/>
  <c r="N76" i="1"/>
  <c r="G76" i="1" s="1"/>
  <c r="K77" i="1"/>
  <c r="E77" i="1"/>
  <c r="J77" i="1"/>
  <c r="I77" i="1"/>
  <c r="C77" i="1"/>
  <c r="N77" i="1"/>
  <c r="G77" i="1" s="1"/>
  <c r="M77" i="1"/>
  <c r="O77" i="1"/>
  <c r="P77" i="1" s="1"/>
  <c r="D77" i="1" s="1"/>
  <c r="J78" i="1"/>
  <c r="K78" i="1"/>
  <c r="E78" i="1"/>
  <c r="I78" i="1"/>
  <c r="M78" i="1"/>
  <c r="C78" i="1"/>
  <c r="N78" i="1"/>
  <c r="G78" i="1" s="1"/>
  <c r="O78" i="1"/>
  <c r="P78" i="1" s="1"/>
  <c r="D78" i="1" s="1"/>
  <c r="J79" i="1"/>
  <c r="I79" i="1" s="1"/>
  <c r="K79" i="1"/>
  <c r="E79" i="1"/>
  <c r="C79" i="1"/>
  <c r="O79" i="1"/>
  <c r="N79" i="1"/>
  <c r="G79" i="1" s="1"/>
  <c r="P79" i="1"/>
  <c r="D79" i="1" s="1"/>
  <c r="E80" i="1"/>
  <c r="K80" i="1"/>
  <c r="J80" i="1"/>
  <c r="I80" i="1" s="1"/>
  <c r="C80" i="1"/>
  <c r="O80" i="1"/>
  <c r="M80" i="1"/>
  <c r="N80" i="1"/>
  <c r="G80" i="1" s="1"/>
  <c r="P80" i="1"/>
  <c r="D80" i="1" s="1"/>
  <c r="E81" i="1"/>
  <c r="K81" i="1"/>
  <c r="J81" i="1"/>
  <c r="I81" i="1" s="1"/>
  <c r="M81" i="1"/>
  <c r="N81" i="1"/>
  <c r="G81" i="1" s="1"/>
  <c r="O81" i="1"/>
  <c r="P81" i="1" s="1"/>
  <c r="D81" i="1" s="1"/>
  <c r="C81" i="1"/>
  <c r="J82" i="1"/>
  <c r="E82" i="1"/>
  <c r="I82" i="1"/>
  <c r="K82" i="1"/>
  <c r="C82" i="1"/>
  <c r="O82" i="1"/>
  <c r="M82" i="1"/>
  <c r="N82" i="1"/>
  <c r="G82" i="1" s="1"/>
  <c r="P82" i="1"/>
  <c r="D82" i="1" s="1"/>
  <c r="E83" i="1"/>
  <c r="J83" i="1"/>
  <c r="I83" i="1" s="1"/>
  <c r="K83" i="1"/>
  <c r="M83" i="1"/>
  <c r="O83" i="1"/>
  <c r="P83" i="1" s="1"/>
  <c r="D83" i="1" s="1"/>
  <c r="C83" i="1"/>
  <c r="N83" i="1"/>
  <c r="G83" i="1" s="1"/>
  <c r="K84" i="1"/>
  <c r="J84" i="1"/>
  <c r="I84" i="1" s="1"/>
  <c r="E84" i="1"/>
  <c r="M84" i="1"/>
  <c r="N84" i="1"/>
  <c r="G84" i="1" s="1"/>
  <c r="O84" i="1"/>
  <c r="P84" i="1" s="1"/>
  <c r="D84" i="1" s="1"/>
  <c r="C84" i="1"/>
  <c r="J85" i="1"/>
  <c r="K85" i="1"/>
  <c r="I85" i="1"/>
  <c r="E85" i="1"/>
  <c r="O85" i="1"/>
  <c r="P85" i="1" s="1"/>
  <c r="D85" i="1" s="1"/>
  <c r="N85" i="1"/>
  <c r="G85" i="1" s="1"/>
  <c r="M85" i="1"/>
  <c r="C85" i="1"/>
  <c r="K86" i="1"/>
  <c r="E86" i="1"/>
  <c r="J86" i="1"/>
  <c r="I86" i="1"/>
  <c r="C86" i="1"/>
  <c r="M86" i="1"/>
  <c r="N86" i="1"/>
  <c r="G86" i="1" s="1"/>
  <c r="O86" i="1"/>
  <c r="P86" i="1" s="1"/>
  <c r="D86" i="1" s="1"/>
  <c r="K87" i="1"/>
  <c r="J87" i="1"/>
  <c r="I87" i="1" s="1"/>
  <c r="E87" i="1"/>
  <c r="N87" i="1"/>
  <c r="G87" i="1" s="1"/>
  <c r="O87" i="1"/>
  <c r="P87" i="1" s="1"/>
  <c r="D87" i="1" s="1"/>
  <c r="C87" i="1"/>
  <c r="M87" i="1"/>
  <c r="K88" i="1"/>
  <c r="E88" i="1"/>
  <c r="J88" i="1"/>
  <c r="I88" i="1" s="1"/>
  <c r="N88" i="1"/>
  <c r="G88" i="1" s="1"/>
  <c r="M88" i="1"/>
  <c r="C88" i="1"/>
  <c r="O88" i="1"/>
  <c r="P88" i="1" s="1"/>
  <c r="D88" i="1" s="1"/>
  <c r="J89" i="1"/>
  <c r="I89" i="1"/>
  <c r="K89" i="1"/>
  <c r="E89" i="1"/>
  <c r="M89" i="1"/>
  <c r="N89" i="1"/>
  <c r="G89" i="1" s="1"/>
  <c r="O89" i="1"/>
  <c r="P89" i="1" s="1"/>
  <c r="D89" i="1" s="1"/>
  <c r="C89" i="1"/>
  <c r="J90" i="1"/>
  <c r="I90" i="1" s="1"/>
  <c r="K90" i="1"/>
  <c r="E90" i="1"/>
  <c r="C90" i="1"/>
  <c r="M90" i="1"/>
  <c r="N90" i="1"/>
  <c r="G90" i="1" s="1"/>
  <c r="O90" i="1"/>
  <c r="P90" i="1" s="1"/>
  <c r="D90" i="1" s="1"/>
  <c r="F6" i="1" l="1"/>
  <c r="H6" i="1"/>
  <c r="H4" i="1"/>
  <c r="F4" i="1"/>
  <c r="H12" i="1"/>
  <c r="F12" i="1"/>
  <c r="F91" i="1"/>
  <c r="H91" i="1"/>
  <c r="F92" i="1"/>
  <c r="H92" i="1"/>
  <c r="F3" i="1"/>
  <c r="H3" i="1"/>
  <c r="H5" i="1"/>
  <c r="F5" i="1"/>
  <c r="H7" i="1"/>
  <c r="F7" i="1"/>
  <c r="H8" i="1"/>
  <c r="F8" i="1"/>
  <c r="H9" i="1"/>
  <c r="F9" i="1"/>
  <c r="H10" i="1"/>
  <c r="F10" i="1"/>
  <c r="H11" i="1"/>
  <c r="F11" i="1"/>
  <c r="H13" i="1"/>
  <c r="F13" i="1"/>
  <c r="H14" i="1"/>
  <c r="F14" i="1"/>
  <c r="H15" i="1"/>
  <c r="F15" i="1"/>
  <c r="H16" i="1"/>
  <c r="F16" i="1"/>
  <c r="H17" i="1"/>
  <c r="F17" i="1"/>
  <c r="H18" i="1"/>
  <c r="F18" i="1"/>
  <c r="H19" i="1"/>
  <c r="F19" i="1"/>
  <c r="F20" i="1"/>
  <c r="H20" i="1"/>
  <c r="H21" i="1"/>
  <c r="F21" i="1"/>
  <c r="H22" i="1"/>
  <c r="F22" i="1"/>
  <c r="H23" i="1"/>
  <c r="F23" i="1"/>
  <c r="H24" i="1"/>
  <c r="F24" i="1"/>
  <c r="H25" i="1"/>
  <c r="F25" i="1"/>
  <c r="H26" i="1"/>
  <c r="F26" i="1"/>
  <c r="H27" i="1"/>
  <c r="F27" i="1"/>
  <c r="H28" i="1"/>
  <c r="F28" i="1"/>
  <c r="H29" i="1"/>
  <c r="F29" i="1"/>
  <c r="H30" i="1"/>
  <c r="F30" i="1"/>
  <c r="H31" i="1"/>
  <c r="F31" i="1"/>
  <c r="H32" i="1"/>
  <c r="F32" i="1"/>
  <c r="H33" i="1"/>
  <c r="F33" i="1"/>
  <c r="H34" i="1"/>
  <c r="F34" i="1"/>
  <c r="H35" i="1"/>
  <c r="F35" i="1"/>
  <c r="H36" i="1"/>
  <c r="F36" i="1"/>
  <c r="H37" i="1"/>
  <c r="F37" i="1"/>
  <c r="H38" i="1"/>
  <c r="F38" i="1"/>
  <c r="H39" i="1"/>
  <c r="F39" i="1"/>
  <c r="H40" i="1"/>
  <c r="F40" i="1"/>
  <c r="H41" i="1"/>
  <c r="F41" i="1"/>
  <c r="H42" i="1"/>
  <c r="F42" i="1"/>
  <c r="H43" i="1"/>
  <c r="F43" i="1"/>
  <c r="H44" i="1"/>
  <c r="F44" i="1"/>
  <c r="H45" i="1"/>
  <c r="F45" i="1"/>
  <c r="H46" i="1"/>
  <c r="F46" i="1"/>
  <c r="H47" i="1"/>
  <c r="F47" i="1"/>
  <c r="H48" i="1"/>
  <c r="F48" i="1"/>
  <c r="H49" i="1"/>
  <c r="F49" i="1"/>
  <c r="H50" i="1"/>
  <c r="F50" i="1"/>
  <c r="H51" i="1"/>
  <c r="F51" i="1"/>
  <c r="H52" i="1"/>
  <c r="F52" i="1"/>
  <c r="F53" i="1"/>
  <c r="H53" i="1"/>
  <c r="F54" i="1"/>
  <c r="H54" i="1"/>
  <c r="F55" i="1"/>
  <c r="H55" i="1"/>
  <c r="H56" i="1"/>
  <c r="F56" i="1"/>
  <c r="H57" i="1"/>
  <c r="F57" i="1"/>
  <c r="F58" i="1"/>
  <c r="H58" i="1"/>
  <c r="H59" i="1"/>
  <c r="F59" i="1"/>
  <c r="F60" i="1"/>
  <c r="H60" i="1"/>
  <c r="F61" i="1"/>
  <c r="H61" i="1"/>
  <c r="H62" i="1"/>
  <c r="F62" i="1"/>
  <c r="H63" i="1"/>
  <c r="F63" i="1"/>
  <c r="F64" i="1"/>
  <c r="H64" i="1"/>
  <c r="H65" i="1"/>
  <c r="F65" i="1"/>
  <c r="H66" i="1"/>
  <c r="F66" i="1"/>
  <c r="F67" i="1"/>
  <c r="H67" i="1"/>
  <c r="H68" i="1"/>
  <c r="F68" i="1"/>
  <c r="F69" i="1"/>
  <c r="H69" i="1"/>
  <c r="F70" i="1"/>
  <c r="H70" i="1"/>
  <c r="F71" i="1"/>
  <c r="H71" i="1"/>
  <c r="F72" i="1"/>
  <c r="H72" i="1"/>
  <c r="F73" i="1"/>
  <c r="H73" i="1"/>
  <c r="F74" i="1"/>
  <c r="H74" i="1"/>
  <c r="F75" i="1"/>
  <c r="H75" i="1"/>
  <c r="H76" i="1"/>
  <c r="F76" i="1"/>
  <c r="F77" i="1"/>
  <c r="H77" i="1"/>
  <c r="F78" i="1"/>
  <c r="H78" i="1"/>
  <c r="F79" i="1"/>
  <c r="H79" i="1"/>
  <c r="H80" i="1"/>
  <c r="F80" i="1"/>
  <c r="H81" i="1"/>
  <c r="F81" i="1"/>
  <c r="H82" i="1"/>
  <c r="F82" i="1"/>
  <c r="H83" i="1"/>
  <c r="F83" i="1"/>
  <c r="F84" i="1"/>
  <c r="H84" i="1"/>
  <c r="H85" i="1"/>
  <c r="F85" i="1"/>
  <c r="H86" i="1"/>
  <c r="F86" i="1"/>
  <c r="H87" i="1"/>
  <c r="F87" i="1"/>
  <c r="H88" i="1"/>
  <c r="F88" i="1"/>
  <c r="F89" i="1"/>
  <c r="H89" i="1"/>
  <c r="H90" i="1"/>
  <c r="F90" i="1"/>
</calcChain>
</file>

<file path=xl/sharedStrings.xml><?xml version="1.0" encoding="utf-8"?>
<sst xmlns="http://schemas.openxmlformats.org/spreadsheetml/2006/main" count="250" uniqueCount="195">
  <si>
    <t/>
  </si>
  <si>
    <t>Aspiradora, Potencia de succión de hasta 4000 Pa,Planificación de rutas y navegación con sensor de distancia láser LDS LiDAR, Prevención de obstáculos,Tecnología de detección de caídas,Detección de alfombras, 3 modos de limpieza,Autorretorno y recarga en la base de carga,Control remoto de aplicaciones y personalización de mapas,Tecnología de Bajo Ruido,ntegración Inteligente con Google Assistant y Amazon Alexa¹</t>
  </si>
  <si>
    <t xml:space="preserve">CS-RE4-PWT2(欧洲标配) </t>
  </si>
  <si>
    <t>Soporta hasta 16 A, 2Nodos o canales , Control inalámbrico,Fácil control a través de la aplicación EZVIZ,Diferentes diseños de seguridad, control de Horario,Integración inteligente con el Asistente de Google y Alexa de Amazon¹, Frecuencia 2,4Ghz</t>
  </si>
  <si>
    <t>T36</t>
  </si>
  <si>
    <t>Soporta hasta 10 A, 1 Nodo o canal , Control inalámbrico,Fácil control a través de la aplicación EZVIZ,Diferentes diseños de seguridad, control de Horario,Integración inteligente con el Asistente de Google y Alexa de Amazon¹, Frecuencia 2,4Ghz</t>
  </si>
  <si>
    <t>T35</t>
  </si>
  <si>
    <t>Sonido de alarma ajustable de 90~105 Db,Duración de alarma ajustable de 5~180 s,Alarma de manipulación,Alarma antimovimiento,Diseño resistente a la intemperie,Alertas instantáneas a través de la aplicación EZVIZ,Diseño de bajo consumo con batería de larga duración,Integración inteligente con las cámaras EZVIZ²</t>
  </si>
  <si>
    <t>T9C</t>
  </si>
  <si>
    <t xml:space="preserve">Sensor de temperatura y humedad . Requiere la Puerta de Enlace para el Hogar EZVIZ A3¹ para las funciones de la aplicación EZVIZ. Control de la temperatura y la humedad en tiempo real. Pantalla grande de 1,8 pulgadas. Diseño para ahorro de energía con larga duración de la batería
</t>
  </si>
  <si>
    <t>T51C</t>
  </si>
  <si>
    <t>CONDICIONES DE OPERACION -10 °C to 55 °C (14 °F to 131 °F),
humidity 95% or less (non-condensing)，Storage Temperature -20 °C to 60 °C (-4 °F to 140 °F)，Working Voltage 3 VDC
Working Current Static State ≤ 10 μA, up to 25 mA
Dimension Φ 49 mm × 11.5 mm (1.9 × 0.5 inch)
Product: 17.44 g (0.61 oz)</t>
  </si>
  <si>
    <t>T10 C</t>
  </si>
  <si>
    <t xml:space="preserve"> BOTON DE PANICO RECORDATORIO DE BATERÍA BAJA, ALARMA DE MANIPULACIÓN, PROTOCOLO ZIGBEE 3.0,FRECUENCIA INALÁMBRICA 2. 4 GHZ,DISTANCIA DE COMUNICACIÓN &gt; 250M (ENTORNO ABIERTO), CONDICIONES DE FUNCIONAMIENTO -10°C ~ 55°C ( 14°F A 131 °F ), HUMEDAD 95% O MENOS (SIN CONDENSACIÓN),</t>
  </si>
  <si>
    <t>T3C
(smart button)</t>
  </si>
  <si>
    <t>SENSOR DE APERTURA Y CIERRE DISTANCIA DE ACTIVACIÓN PUERTA DE MADERA: 25MM±5MM, PUERTA DE HIERRO: 15MM±5MM, RECORDATORIO DE BATERÍA BAJA, ALARMA DE SABOTAJE, PROTOCOLO ZIGBEE 3.0, FRECUENCIA INALÁMBRICA 2.4 GHZ, DISTANCIA DE COMUNICACIÓN &gt; 250M (ENTORNO ABIERTO)</t>
  </si>
  <si>
    <t>T2C
(open/close sensor)</t>
  </si>
  <si>
    <t>DETECTOR CON INFRAROJO PASIVO , 7 METROS DE DETECCION, ANGULO DE DETECCION 90° HORIZONTAL 90° VERTICAL , BATERIA DE CELDA CR2450</t>
  </si>
  <si>
    <t>T1C
（PIR sensor）</t>
  </si>
  <si>
    <t xml:space="preserve">	CS-A3-A0-W, Soporta conexión a Internet por cable y Wi-Fi, 20 sonidos de alarma disponibles, Alertas instantáneas al teléfono móvil, Conecta hasta 64 dispositivos EZVIZ¹
</t>
  </si>
  <si>
    <t>A3
（gateway）</t>
  </si>
  <si>
    <t xml:space="preserve">KIT DE ALARMA INALAMBRICO EZVIZ SEGUNDA GENERACION HUB CONCENTRADOR A3 + SENSOR PIR T1C  + ESCUDO PARA MASCOTAS  T1C + SENSOR DE APERTURA / CIERRE T2C + BOTON INTELIGENTE T3C 
</t>
  </si>
  <si>
    <t>CS-B1-A0-A34</t>
  </si>
  <si>
    <t>Nuevo Modelo Control remoto por infrarrojos inteligente, Soportes 8.000+
marcas y operadores principales, Cobertura de infrarrojos de 360°, Controles Automáticos con Horarios, Integración inteligente con el Asistente de Google y Amazon Alexa</t>
  </si>
  <si>
    <t>CS-T33</t>
  </si>
  <si>
    <t xml:space="preserve">MIRILLA DIGITAL INTELIGENTE  2 MP ,WIFI ,SENSOR DE MOVIMIENTO PIR, AUDIO BIDIRECCIONAL, ENLACE CON LA APLICACIÓN EZVIZ APP, PANTALLA  DE 4,3" NO TACTIL , BATERIA LITIO RECARGABLE 4600 MaH, TONOS INCORPORADOS , VISION NOCTURNA 5 METROS , CARCASA DE ZINC, SLOT ALMACENAMIENTO 256GB </t>
  </si>
  <si>
    <t>CS-DP2C-A0-6E2WPFBS</t>
  </si>
  <si>
    <t>CS-HP7-R400-1W2TFD(Pro)(AM-STD)(KIT)</t>
  </si>
  <si>
    <t>VIDEO PORTERO INTELIGENTE HP7, RESOLUCION DE 3MP, PANTALLA TACTIL FULL HD DE 7 PULGADAS, DESBLOUEO REMOTO PUERTA/PORTON, 2 HILOS, DETECCION INTELIGENTE DE PERSONAS, ADMITE SD 512GB, AUDIO BIDIRECCIONAL, COMPATIBLE CON WIFI 2,4 / 5 GHz, TIMBRE INCORPORADO, DISEÑO PARA EXTERIORES</t>
  </si>
  <si>
    <t>CS-HP7-R101-1W2TFC</t>
  </si>
  <si>
    <t>MONITOR TACTIL INTELIGENTE SD7, PANTALLA DE 7 PULGADAS FULL HD BATERIA DE LOTIO RECARGABLE 4.600 mAh (carga Tipo-C), COMUNICACIÓN BIDIRECCIONAL, ADMITE TODAS LAS CAMARAS EZVIZ, CERRADURA INTELIGENTE, VIDEO PORTERO HP7, TIMBRES Y MIRILLAS INTELIGENTES</t>
  </si>
  <si>
    <t>CS-SD7-R100-1WTC(美洲标配)</t>
  </si>
  <si>
    <t>NUEVA MIRILLA DIGITAL HP4 INTELIGENTE  2 MP ,WIFI  AUDIO BIDIRECCIONAL, ENLACE CON LA APLICACIÓN EZVIZ APP, PANTALLA  DE 4,3" NO TACTIL , BATERIA LITIO RECARGABLE 4600 MaH, TONOS INCORPORADOS , VISION NOCTURNA 5 METROS , CARCASA DE ZINC, S</t>
  </si>
  <si>
    <t>CS-HP4-R100-6E2WPFBS</t>
  </si>
  <si>
    <t>CS-HP2-R100-6E2WB-GR(美洲标配)(冰河银)</t>
  </si>
  <si>
    <t>TAG COMPATIBLE CON CERRADURAS DL05, L2S Y VIDEOPORTERO HP7 DE LA MARCA EZVI 4 UNIDADES POR CAJA</t>
  </si>
  <si>
    <t>CS-DL-IC-CPU-R200-GR(海外标配)</t>
  </si>
  <si>
    <t xml:space="preserve">NUEVA CERROJO DL03 DIGITAL EZVIZ 4 METODOS DE APERTURA CODIGOS, LLAVE MECANICA, APP EZVIZ Y BLUETOOTH , BLOQUEO AUTOMATICO, BLOQUEO ANTINIÑOS, ALARMA ANTIDOMPER, IP65 EXTERIOR </t>
  </si>
  <si>
    <t>CS-DL03-R100-WP-BK(海外标配)</t>
  </si>
  <si>
    <t xml:space="preserve">NUEVA CERROJO DL03 PRO EZVIZ 6 METODOS DE APERTURA, HUELLAS, TARJETAS DE PROXIMIDAD, CODIGOS, LLAVE MECANICA, APP EZVIZ Y BLUETOOTH , BLOQUEO AUTOMATICO, BLOQUEO ANTINIÑOS, ALARMA ANTIDOMPER, IP65 EXTERIOR </t>
  </si>
  <si>
    <t>CS-DL03-R100-WBCP-GR(O-STD)</t>
  </si>
  <si>
    <t xml:space="preserve">NUEVA CERROJO DL04 DIGITAL EZVIZ 4 METODOS DE APERTURA CODIGOS, LLAVE MECANICA, APP EZVIZ Y BLUETOOTH , BLOQUEO AUTOMATICO, BLOQUEO ANTINIÑOS, ALARMA ANTIDOMPER, IP65 EXTERIOR </t>
  </si>
  <si>
    <t>CS-DL04-R100-WBCP-GR(M)(O-STD)</t>
  </si>
  <si>
    <t xml:space="preserve">NUEVA CERROJO DL04 PRO EZVIZ 6 METODOS DE APERTURA, HUELLAS, TARJETAS DE PROXIMIDAD, CODIGOS, LLAVE MECANICA, APP EZVIZ Y BLUETOOTH , BLOQUEO AUTOMATICO, BLOQUEO ANTINIÑOS, ALARMA ANTIDOMPER, IP65 EXTERIOR </t>
  </si>
  <si>
    <t>CS-DL04-R100-WP-GR(M)(O-STD)</t>
  </si>
  <si>
    <t xml:space="preserve">NUEVA CERRADURA DL05 EZVIZ 6 METODOS DE APERTURA, HUELLAS, TARJETAS DE PROXIMIDAD, CODIGOS, LLAVE MECANICA, APP EZVIZ Y BLUETOOTH , BLOQUEO AUTOMATICO, BLOQUEO ANTINIÑOS, ALARMA ANTIDOMPER, IP65 EXTERIOR </t>
  </si>
  <si>
    <t>CS-DL05-R201-WBCP-GR(6068)(O-STD)</t>
  </si>
  <si>
    <t>CS-DL20FVS-R201-WBP-GR(6068)(O-STD)</t>
  </si>
  <si>
    <t>CS-DL50FVS</t>
  </si>
  <si>
    <t>1. 4/ 8 channels 3K IPC Access Capability,Wi-Fi Range up to 100m ,Supports ONVIF Conformant Camera, Up to 8TB Storage, HDMI/VGA Output,  H.265 Video Technology</t>
  </si>
  <si>
    <t>CS-X5S-R100-8W(海外标配)</t>
  </si>
  <si>
    <t>CS-X5S-R100-4W(海外标配)</t>
  </si>
  <si>
    <t>Connects up to 8 EZVIZ Security Cameras, All-Day Video History Playback, Supports Local Hard Disk Storage (Up to 8TB), Remote Control via EZVIZ App &amp; HIKBOX App, Automatic Backup, High-Performance Design for a Longer Lifespan, Supports SAMBA, AFP, DLNA File Sharing Protocols, DIY Installation</t>
  </si>
  <si>
    <t>CS-R5C-R100-8F</t>
  </si>
  <si>
    <t xml:space="preserve">CAMARA WIFI EZVIZ BM1 2MP  MONITOR VIGILABEBÉS CON BATERÍA , DETECCIÓN DE LLANTOS, DETECCIÓN DE LA ACTIVIDAD DEL BEBÉ (CON UN ALGORITMO DE FORMAS HUMANAS), REPRODUCCIÓN AUTOMÁTICA DE MÚSICA RELAJANTE, BATERIA DE LITHIO 2000 MAH , IR , AUDIO BIDIRECCIONAL, SLOT MICRO SD HASTA 256GB 
</t>
  </si>
  <si>
    <t>CS-BM1-R100-2D2WF-Be</t>
  </si>
  <si>
    <t>CS-BM1-R100-2D2WF-Ra</t>
  </si>
  <si>
    <t>La CB1 es la nueva cámara de batería para interiores flexible y confiable de EZVIZ que básicamente puede ir a cualquier lugar dentro de su hogar. Gracias al diseño inalámbrico y soporte magnético ajustable podrás encontrar fácilmente el lugar perfecto para aprovechar todas las áreas de tu hogar. Esta cámara también viene con varias características esenciales, que incluyen gran calidad de video y visión nocturna, detección de movimiento humano, comunicación bidireccional, modo de suspensión y más.</t>
  </si>
  <si>
    <t>CS-CB1-R100-1K2WF(AM-STD)</t>
  </si>
  <si>
    <t>No importa dónde necesites un ojo que vigile, la CB2 4G está lista para ayudarte. Diseñada para ser increíblemente ligera y compacta, este genial dispositivo puede proteger prácticamente cualquier espacio interior con una instalación extremadamente sencilla, ya sea un sótano fuera del alcance de tu red doméstica, una vivienda renovada sin energía eléctrica o una casa rodante en movimiento con Wi-Fi inestable. Equipada con el exclusivo modo de Video Siempre Activo de EZVIZ, la CB2 4G ofrece imágenes continuas y nítidas incluso en condiciones desafiantes, para que no te pierdas ningún momento importante.</t>
  </si>
  <si>
    <t>CS-CB2-R105-1K3F4GA-BK(AM-STD)</t>
  </si>
  <si>
    <t>CS-CB2-R100-2D2WF-BK(AM-STD)</t>
  </si>
  <si>
    <t>CAMARA WIFI  EB3  INTELIGENTE EXTERIOR  TIPO BALA 3MP, COLOR NIHT VISION , AUDIO BIDIRECCIONAL , ALERTAS DE VOZ PERSONALIZABLES , COMPRESION H265, DETECCION DE MOVIMIENTO TECNOGIA DE INTELIGENCIA ARTIFICIAL, SLOT ALMACENAMIENTO HASTA DE 256GB ,  BATERIA LITIO 5200 MaH RECARGABLE  IP 65,  *SE LE PUEDE INCORPORAR PANEL SOLAR, SE VENDE POR SEPARADO*</t>
  </si>
  <si>
    <t>CS-EB3-R100-2C3WFL</t>
  </si>
  <si>
    <t>CS-CMT-SolarPanel-E(Type-C 6W)</t>
  </si>
  <si>
    <t>CS-CMT-Solar Panel-C</t>
  </si>
  <si>
    <t>CAMARA WIFI  BC1C  INTELIGENTE EXTERIOR  TIPO BALA 2MP, COLOR NIHT VISION , AUDIO BIDIRECCIONAL , ALERTAS DE VOZ PERSONALIZABLES , COMPRESION H265, DETECCION DE MOVIMIENTO TECNOGIA DE INTELIGENCIA ARTIFICIAL, ALMACENAMIENTO INTERNO INCLUIDO DE 32 GB SMMC ,  BATERIA LITIO 7800 MaH RECARGABLE  IP 66,  *SE LE PUEDE INCORPORAR PANEL SOLAR, SE VENDE POR SEPARADO*</t>
  </si>
  <si>
    <t>CS-BC1C-B0-2C2WPBDL</t>
  </si>
  <si>
    <t>CS-BC1C-A0-2C2WPBDL</t>
  </si>
  <si>
    <t>CS-HB8-R100-2C4WDL</t>
  </si>
  <si>
    <t>KIT de CAMARA WIFI  EB8  INTELIGENTE EXTERIOR  TIPO PT 3MP 2K, Conectividad 4G, Visualización de ubicación GPS del dispositivo²,Visión panorámica y nocturna a Color,Detección Inteligente de Movimiento de Personas,Defensa activa con sirena y luz estroboscópica, Admite tarjeta MicroSD (hasta 512 GB) y almacenamiento EZVIZ CloudPlay⁵</t>
  </si>
  <si>
    <t>CS-EB8/SP-R100(3MP Type-C)</t>
  </si>
  <si>
    <t>CAMARA WIFI  EB8  INTELIGENTE EXTERIOR  TIPO PT 3MP 2K, Conectividad 4G, Visualización de ubicación GPS del dispositivo²,Visión panorámica y nocturna a Color,Detección Inteligente de Movimiento de Personas,Defensa activa con sirena y luz estroboscópica, Admite tarjeta MicroSD (hasta 512 GB) y almacenamiento EZVIZ CloudPlay⁵</t>
  </si>
  <si>
    <t>CS-EB8-R100-1K3FL4GA-LA</t>
  </si>
  <si>
    <t>HB8c/SP (4MP,W4GA)</t>
  </si>
  <si>
    <t>CS-HB8c/SP-R100(4MP)(AM-STD)(Kit)</t>
  </si>
  <si>
    <t>CS-EB3/SP-R200(3MP)(AM-STD)(Kit)</t>
  </si>
  <si>
    <t>CS-HB8/SP-R200(4K)(AM-STD)(Kit)</t>
  </si>
  <si>
    <t>CS-HB90/SP-R100(4MP+4MP)(AM-STD)(Kit)</t>
  </si>
  <si>
    <t>CS-EB8-R200-1M8W4GA, CS-EB8 (4K,W4GA)</t>
  </si>
  <si>
    <t>CS-HB90x/SP-R100 (4MP+4MP W4GA</t>
  </si>
  <si>
    <t>CS-LC3-A0-8B4WDL(2.0mm)</t>
  </si>
  <si>
    <t>CS-LC1C-A0-1F2WPFRL(2.8mm)</t>
  </si>
  <si>
    <t xml:space="preserve">NUEVO MODELO CAMARA WIFI  H8C  8MP PT INTELIGENTE EXTERIOR ,COBERTURA DE 360° MOTORIZADA  PRESET CONFIGURABLES ,8 MP FULL COLOR NIGHT VISION hasta 20M,   IR 30m AUDIOS BIDIRECCIONALES , DEFENSA ACTIVA ,   DETECCION DE PERSONAS,  TECNOLOGIA IA,  ALMACENAMIENTO MICRO SD 512GB/ IP65 COMPRESION H 265 </t>
  </si>
  <si>
    <t xml:space="preserve">CAMARA WIFI  H8C  PT INTELIGENTE EXTERIOR ,COBERTURA DE 360° MOTORIZADA  PRESET CONFIGURABLES ,4 MP FULL COLOR NIGHT VISION hasta 20M,   IR 30m AUDIOS BIDIRECCIONALES , DEFENSA ACTIVA ,   DETECCION DE PERSONAS,  TECNOLOGIA IA,  ALMACENAMIENTO MICRO SD 512GB/ IP65 COMPRESION H 265 </t>
  </si>
  <si>
    <t>CS-H8c-R100-1J4WKFL</t>
  </si>
  <si>
    <t>CS-H8c-R200-1K3EKFL(4mm)(美洲标配)(多语音)</t>
  </si>
  <si>
    <t>CS-H8c-R200-1K3WKFL(4mm)(AM-STD)(Mul)</t>
  </si>
  <si>
    <t>La nueva incorporación a la aclamada serie PT de EZVIZ, la H9c 2K (3MP + 3MP) de doble lente demuestra el futuro de la automatización de la seguridad con múltiples tecnologías únicas. Sus dos lentes funcionan de forma interactiva para proteger zonas más amplias de una manera más sencilla, logrando resultados comparables a los de un sistema multicámara. Alerta de eventos importantes, sigue las actividades en curso y patrulla lugares clave cada cierto tiempo, todo ello de forma automática.</t>
  </si>
  <si>
    <t>CS-H9c-R100-8H33WKFL(US-STD)(Mul)</t>
  </si>
  <si>
    <t>CAMARA WIFI DOBLE LENTE H9C PT 5MP , LENTE FIJO GRAN ANGULAR 5 MP, DEFENSA ACTIVA, AUDIO BIDIRECCIONAL, MULTILENGUAJE, COMPRESION H.265, DETECCION DE PERSONAS Y VEHICULOS VISION NOCTURNA A COLOR, PATRULLAJE AUTOMATICO, SEGUIMIENTO AUTOMATICO</t>
  </si>
  <si>
    <t>CS-H90-R100-8H44WKFL</t>
  </si>
  <si>
    <t>CS-H80f-R100-8G444WKFL(AM-STD)(Mul)</t>
  </si>
  <si>
    <t>CAMARA WIFI INTELIGENTE EXTERIOR 3 MP H3C  VISION NOCTURNA A COLOR    IR 30m  AUDIOS BIDIRECCIONALES  ALERTAS DE VOZ PERSONALIZABLES LLAMADA BIDIRECCIONAL,  DEFENSA ACTIVA EN LUZ Y SONIDO DETECCION DE PERSONAS CON IA    ALMACENAMIENTO MICRO SD 512GB/ IP67 COMPRESION H265</t>
  </si>
  <si>
    <t>CAMARA WIFI INTELIGENTE EXTERIOR 2 MP H3C COLOR VISION NOCTURNA A COLOR  IR 30m RECEPCION DE AUDIO DETECCION DE PERSONAS    LUCES    ALMACENAMIENTO MICRO SD 256GB/ IP67 COMPRESION H265</t>
  </si>
  <si>
    <t>CS-H3c-R100-1K2WFL(4mm)</t>
  </si>
  <si>
    <t>EL H3C 3K, UN GUARDIÁN VERSÁTIL ADECUADO PARA LA MAYORÍA DE HOGARES Y EDIFICIOS, PUEDE CAPTURAR CADA DETALLE EN ENTORNOS AMPLIOS CON UNA CLARIDAD IMPRESIONANTE EN 3K, PROPORCIONANDO PROTECCIÓN AUTOMÁTICA LAS 24 HORAS DEL DÍA, LOS 7 DÍAS DE LA SEMANA, CON ÚTILES FUNCIONES DE DETECCIÓN IMPULSADAS POR INTELIGENCIA ARTIFICIAL Y DEFENSA ACTIVA. PUEDE DISTINGUIR INTELIGENTEMENTE ENTRE PERSONAS Y VEHÍCULOS DE OTROS OBJETOS, ALERTÁNDOTE DE MANERA REMOTA Y PROPORCIONANDO SEGURIDAD EN EL LUGAR CON LUCES Y SIRENA. FABRICADO DE MANERA CONFIABLE EN MÚLTIPLES NIVELES, GARANTIZA UNA INSTALACIÓN SENCILLA PERO UN RENDIMIENTO DURADERO.</t>
  </si>
  <si>
    <t>CS-H3c-R100-1J5WKFL(2.8mm)(M)(AM-STD)</t>
  </si>
  <si>
    <t xml:space="preserve"> CAMARA WIFI INTELIGENTE EXTERIOR 4 MP H3C  VISION NOCTURNA A COLOR    IR 30m  AUDIOS BIDIRECCIONALES  ALERTAS DE VOZ PERSONALIZABLES LLAMADO POR GESTO DE MANO  DEFENSA ACTIVA EN LUZ Y SONIDO DETECCION DE PERSONAS CON IA    ALMACENAMIENTO MICRO SD 512GB/ IP67 COMPRESION H265</t>
  </si>
  <si>
    <t>CS-H3c-R100-1J4WKFL(2.8mm)</t>
  </si>
  <si>
    <t>CS-H3-R100-1J5WKFL(2.8mm)</t>
  </si>
  <si>
    <t>Micro-SD Card 128GB</t>
  </si>
  <si>
    <t>Micro-SD Card 64GB</t>
  </si>
  <si>
    <t xml:space="preserve">Wall Mount ( PT + Turret)  Compatible con la serie C6 y H6 de EZVIZ ( Contenido de la caja	Soporte y juego de tornillos) </t>
  </si>
  <si>
    <t>CS-CMT- Bracket-Wall Mount</t>
  </si>
  <si>
    <t>CS-H6c-R200-8H8WFL(AM-STD)(Mul)</t>
  </si>
  <si>
    <t>CS-H6c-R200-1Q5WFL(AM-STD)(Mul)</t>
  </si>
  <si>
    <t>CS-H6c-R105-1L3WF</t>
  </si>
  <si>
    <t>CAMARA WIFI DOBLE LENTE H7C PT 4MP , LENTE FIJO GRAN ANGULAR 4 MP, CONEXIÓN TIPO C, AUDIO BIDIRECCIONAL, MULTILENGUAJE, COMPRESION H.265, Admite Wi-Fi 6 (2.4 / 5 GHz), VISION NOCTURNA A COLOR, PATRULLAJE AUTOMATICO, BOTON DE LLAMADA</t>
  </si>
  <si>
    <t>CS-H7c-R100-8G44WF</t>
  </si>
  <si>
    <t xml:space="preserve">CAMARA WIFI H1C 2 MP CONEXIÓN TIPO C AUDIO BIDIRECCIONAL, MULTILENGUAJE, COMPRESION H.265,BASE MAGNETICA FACIL INSTALACION ,SLOT MICRO SD HASTA 512GB, INFRAROJO 10 MTS, 2,4GHZ , 135° ANGULAR </t>
  </si>
  <si>
    <t>instalador sin IVA</t>
  </si>
  <si>
    <t>oro sin IVA</t>
  </si>
  <si>
    <t>PRECIO SUGERIDO INSTALADOR</t>
  </si>
  <si>
    <t>TIENDA</t>
  </si>
  <si>
    <t>Columna1</t>
  </si>
  <si>
    <t>CLIENTE FINAL</t>
  </si>
  <si>
    <t>Columna8</t>
  </si>
  <si>
    <t>DPP ORO7</t>
  </si>
  <si>
    <t>Columna6</t>
  </si>
  <si>
    <t>DPP PLATINO2</t>
  </si>
  <si>
    <t>Columna4</t>
  </si>
  <si>
    <t>Columna3</t>
  </si>
  <si>
    <t>PRECIO CLIENTE FINAL ( CON  IVA)</t>
  </si>
  <si>
    <t>PRECIO DPP PLATINO ( CON  IVA)</t>
  </si>
  <si>
    <t>PRECIO DPP ORO ( CON  IVA)</t>
  </si>
  <si>
    <t>PRECIO TIENDA ( CON  IVA)</t>
  </si>
  <si>
    <t>PRECIO  INSTALADOR
( CON  IVA)</t>
  </si>
  <si>
    <t xml:space="preserve">DESCRIPCIÓN </t>
  </si>
  <si>
    <t>REFERENCIA</t>
  </si>
  <si>
    <t>CS-H1c-R101-1G2WR(AM-STD)(Mul-Languages)</t>
  </si>
  <si>
    <t>CS-H7c-R101-8H44WF(AM-STD)(Mul)</t>
  </si>
  <si>
    <t>CS-H6c-R101-1G2WF</t>
  </si>
  <si>
    <t>CAMARA HOGAR  WIFI  H6C PT 2MP WIFI 360° ALARMA  10mIR AUDIO BIDIRECCIONAL  SEGUIMIENTO INTELIGENTE PUERTO DE RED SLOT MICRO SD 512 GB, BOTON DE LLAMADAS, VISION NOCTURNA A COLOR</t>
  </si>
  <si>
    <t xml:space="preserve"> PT H6C PRO CAMARA HOGAR  WIFI  H6C PT 3MP WIFI 360° ALARMA  10mIR AUDIO BIDIRECCIONAL  SEGUIMIENTO INTELIGENTE PUERTO DE RED SLOT MICRO SD 512 GB, BOTON DE LLAMADAS, VISION NOCTURNA A COLOR</t>
  </si>
  <si>
    <t>CS-H6C-R100-8B4WF</t>
  </si>
  <si>
    <t xml:space="preserve">CAMARA HOGAR  WIFI  H6C PT 4MP WIFI 360° ALARMA  10mIR AUDIO BIDIRECCIONAL  SEGUIMIENTO INTELIGENTE PUERTO DE RED SLOT MICRO SD 256 GB EZVIZ COMPRESION H265 </t>
  </si>
  <si>
    <t>PT H6C PRO CAMARA HOGAR  WIFI  H6C PT 5MP WIFI 360° ALARMA  10mIR AUDIO BIDIRECCIONAL  SEGUIMIENTO INTELIGENTE PUERTO DE RED SLOT MICRO SD 512 GB, BOTON DE LLAMADAS, VISION NOCTURNA A COLOR, DOBLE BANDA (2.4 / 5 GHz)</t>
  </si>
  <si>
    <r>
      <rPr>
        <sz val="10"/>
        <color rgb="FFFF0000"/>
        <rFont val="Aptos Narrow"/>
        <family val="2"/>
        <scheme val="minor"/>
      </rPr>
      <t xml:space="preserve">NUEVA PT H6C PRO 8mp </t>
    </r>
    <r>
      <rPr>
        <sz val="10"/>
        <rFont val="Aptos Narrow"/>
        <family val="2"/>
        <scheme val="minor"/>
      </rPr>
      <t>La última H6c Pro hace que la seguridad interior sea más fácil, más inteligente y con menos complicaciones. Para garantizar que no quede nada atrás, la cámara gira automáticamente para cubrir más detalles con su lente 4K. Con una capacidad de respuesta inigualable ante el movimiento humano y el ruido fuerte, la cámara da un paso adelante hacia el futuro de la automatización. Además de la funcionalidad de seguridad avanzada, también presenta de manera innovadora un botón de llamada táctil para mantenerlo conectado con su familia.</t>
    </r>
  </si>
  <si>
    <t>CS-E4p-R100-8C6WKF(AM-STD)(Mul)</t>
  </si>
  <si>
    <r>
      <rPr>
        <b/>
        <sz val="10"/>
        <color rgb="FFFF0000"/>
        <rFont val="Aptos Narrow"/>
        <family val="2"/>
        <scheme val="minor"/>
      </rPr>
      <t>NUEVO MODELO Camara Ojo de PEZ E4P</t>
    </r>
    <r>
      <rPr>
        <sz val="10"/>
        <rFont val="Aptos Narrow"/>
        <family val="2"/>
        <scheme val="minor"/>
      </rPr>
      <t xml:space="preserve"> resolucion 6 MP,</t>
    </r>
    <r>
      <rPr>
        <b/>
        <sz val="10"/>
        <rFont val="Aptos Narrow"/>
        <family val="2"/>
        <scheme val="minor"/>
      </rPr>
      <t xml:space="preserve"> </t>
    </r>
    <r>
      <rPr>
        <sz val="10"/>
        <rFont val="Aptos Narrow"/>
        <family val="2"/>
        <scheme val="minor"/>
      </rPr>
      <t>Vista Panorámica 360°, Múltiples Modos de Visualización en Pantalla Dividida, Detección de Ruidos Fuertes, Detección de Forma Humana por Inteligencia Artificial, Comunicación Bidireccional</t>
    </r>
  </si>
  <si>
    <t>CMT-R100-Bracket</t>
  </si>
  <si>
    <r>
      <rPr>
        <b/>
        <sz val="10"/>
        <color rgb="FFFF0000"/>
        <rFont val="Aptos Narrow"/>
        <family val="2"/>
        <scheme val="minor"/>
      </rPr>
      <t xml:space="preserve">NUEVO MODELO </t>
    </r>
    <r>
      <rPr>
        <sz val="10"/>
        <rFont val="Aptos Narrow"/>
        <family val="2"/>
        <scheme val="minor"/>
      </rPr>
      <t xml:space="preserve"> Wall Mount ( PT + Turret)  Compatible con la serie H6C, H7C, H6, TY1, TY7, CP1  de EZVIZ ( Contenido de la caja	Soporte y juego de tornillos) </t>
    </r>
  </si>
  <si>
    <t>PAP12-R100-012UL-U1</t>
  </si>
  <si>
    <r>
      <rPr>
        <b/>
        <sz val="10"/>
        <color rgb="FFFF0000"/>
        <rFont val="Aptos Narrow"/>
        <family val="2"/>
        <scheme val="minor"/>
      </rPr>
      <t>NUEVO MODELO Mini UPS</t>
    </r>
    <r>
      <rPr>
        <sz val="10"/>
        <rFont val="Aptos Narrow"/>
        <family val="2"/>
        <scheme val="minor"/>
      </rPr>
      <t xml:space="preserve"> Batería integrada de gran capacidad de 18,5 Wh y salida de potencia estable de 12 V/1,2 A, Compatible con la mayoria de las camaras EZVIZ, Facil instalacion</t>
    </r>
  </si>
  <si>
    <r>
      <t>CS-CMT-CARDT64G(</t>
    </r>
    <r>
      <rPr>
        <sz val="11"/>
        <color rgb="FF000000"/>
        <rFont val="SimSun"/>
      </rPr>
      <t>标配</t>
    </r>
    <r>
      <rPr>
        <sz val="11"/>
        <color rgb="FF000000"/>
        <rFont val="Calibri"/>
        <family val="2"/>
      </rPr>
      <t>)</t>
    </r>
  </si>
  <si>
    <r>
      <t>CS-CMT-CARDT128G(</t>
    </r>
    <r>
      <rPr>
        <sz val="11"/>
        <color rgb="FF000000"/>
        <rFont val="SimSun"/>
      </rPr>
      <t>标配</t>
    </r>
    <r>
      <rPr>
        <sz val="11"/>
        <color rgb="FF000000"/>
        <rFont val="Calibri"/>
        <family val="2"/>
      </rPr>
      <t>)</t>
    </r>
  </si>
  <si>
    <r>
      <rPr>
        <sz val="10"/>
        <color rgb="FFFF0000"/>
        <rFont val="Aptos Narrow"/>
        <family val="2"/>
        <scheme val="minor"/>
      </rPr>
      <t xml:space="preserve"> </t>
    </r>
    <r>
      <rPr>
        <sz val="10"/>
        <rFont val="Aptos Narrow"/>
        <family val="2"/>
        <scheme val="minor"/>
      </rPr>
      <t>CAMARA WIFI INTELIGENTE EXTERIOR 5 MP H3 3K VISION NOCTURNA A COLOR 20M,  IR 30m , AUDIO BIDIRECCIONAL DETECCION DE PERSONAS Y VEHICULOS CON TECNOLOGIA IA  ALERTAS DE VOZ PERSONALIZABLE  CARCASA DE ALEACION DE ALUMINIO LLAMADA POR RECONOCIMIENTO Y CONTROL DE MOVIENTO DE MANO   ALARTA DE SIRENA Y LUCES    ALMACENAMIENTO MICRO SD 512GB/ IP67 COMPRESION H265</t>
    </r>
  </si>
  <si>
    <t>CS-H3c-R100-1K3WKFL(2.8mm)(M)(AM-STD)</t>
  </si>
  <si>
    <t xml:space="preserve"> CAMARA WIFI INTELIGENTE EXTERIOR 3 MP H3C  VISION NOCTURNA A COLOR    IR 30m  AUDIOS BIDIRECCIONALES  ALERTAS DE VOZ PERSONALIZABLES, DEFENSA ACTIVA EN LUZ Y SONIDO DETECCION DE PERSONAS CON IA    ALMACENAMIENTO MICRO SD 512GB/ IP67 COMPRESION H265</t>
  </si>
  <si>
    <t>CS-H4-R201-1H3WKFL</t>
    <phoneticPr fontId="8" type="noConversion"/>
  </si>
  <si>
    <t>Triple Lenses with 12x Mix Zoom, 2K+ Resolution, AI-Powered Human / Vehicle De tectio, Color Night Vision, Auto-Zoom Tracking on Person / 
Vehicle Activit, Two-Way Talk, Double Snapshots for Person / Ve hicle Detection
IP67 Weatherproof Design,Active Defense with Siren and 
Strobe Light
Supports MicroSD Card (up to 512 
GB)</t>
    <phoneticPr fontId="8" type="noConversion"/>
  </si>
  <si>
    <t xml:space="preserve"> CAMARA WIFI DOBLE LENTE MOTORIZADO H90 2K+ y 2K+ DETECCION DE PERSONAS, DOBLE ROTACION PARA VISUALIZACION ULTAFLEXIBLE, DETECCION DE VEHICULOS, VISTA PANORAMICA 360, AUDIO BIDIRECCIONAL, DOS MODOS DE PATRULLAS, DEFENSA ACTIVA, ESTRUCTURA IMPERMEABLE, ADMITE SD HASTA 512 GB</t>
  </si>
  <si>
    <t>CS-H80x-R100-8G82WKFL(美洲标配)(多语音)</t>
    <phoneticPr fontId="8" type="noConversion"/>
  </si>
  <si>
    <t xml:space="preserve"> CAMARA COLOR FULL H80X DUAL 4K, LENTE DUAL INTELIGENTE, VISION NOCTURNA A COLORFULL BAJO LUZ ULTA BAJA, VISTA PANORAMICA 360, DETECCION DE PERSONAS/ VEHICULOS CON IA AUTO ZOOM TRACKING, MODO DE PATRULLA, DEFENSA ACTIVA, AUDIO DOBLE VIA, DISEÑO PARA EXTERIORES SOPORTA SD HASTA 512G</t>
  </si>
  <si>
    <t>CS-H8x-R100-8H4WKFL(美洲标配)(多语音)</t>
    <phoneticPr fontId="8" type="noConversion"/>
  </si>
  <si>
    <t xml:space="preserve"> CAMARA COLOR FULL H8X DUAL 2K+, WIFI INTELIGENTE, VISION NOCTURNA A COLORFULL BAJO LUZ ULTA BAJA, VISTA PANORAMICA 360, DETECCION DE PERSONAS/ VEHICULOS CON IA AUTO ZOOM TRACKING, MODO DE PATRULLA, DEFENSA ACTIVA, AUDIO DOBLE VIA, DISEÑO PARA EXTERIORES SOPORTA SD HASTA 512G</t>
  </si>
  <si>
    <t>CS-H9c-R105-8H55WFL(US-STD)(Mul)</t>
  </si>
  <si>
    <t>CS-H9c-R105-8H55WFL4GA(US-STD)(Mul)</t>
  </si>
  <si>
    <t>NUEVA CAMARA 4G DOBLE LENTE H9C PT 5MP , LENTE FIJO GRAN ANGULAR 5 MP, DEFENSA ACTIVA, AUDIO BIDIRECCIONAL, MULTILENGUAJE, COMPRESION H.265, DETECCION DE PERSONAS Y VEHICULOS VISION NOCTURNA A COLOR, PATRULLAJE AUTOMATICO, SEGUIMIENTO AUTOMATICO</t>
  </si>
  <si>
    <t>CS-H8c-R200-1K3KFL4GA(4mm)</t>
    <phoneticPr fontId="8" type="noConversion"/>
  </si>
  <si>
    <t xml:space="preserve">CAMARA 4G  H8C PT INTELIGENTE EXTERIOR, SLOG DE SIM CARD, PUERTO DE RED, COBERTURA DE 360° MOTORIZADA  PRESET CONFIGURABLES ,3 MP FULL COLOR NIGHT VISION hasta 20M,   IR 30m AUDIOS BIDIRECCIONALES , DEFENSA ACTIVA ,   DETECCION DE PERSONAS,  TECNOLOGIA IA,  ALMACENAMIENTO MICRO SD 512GB/ IP65 COMPRESION H 265 </t>
  </si>
  <si>
    <r>
      <t>CAMARA POE</t>
    </r>
    <r>
      <rPr>
        <sz val="10"/>
        <color rgb="FFFF0000"/>
        <rFont val="Aptos Narrow"/>
        <family val="2"/>
        <scheme val="minor"/>
      </rPr>
      <t xml:space="preserve"> </t>
    </r>
    <r>
      <rPr>
        <sz val="10"/>
        <rFont val="Aptos Narrow"/>
        <family val="2"/>
        <scheme val="minor"/>
      </rPr>
      <t xml:space="preserve"> H8C PT INTELIGENTE EXTERIOR, PUERTO DE RED, COBERTURA DE 360° MOTORIZADA  PRESET CONFIGURABLES ,3 MP FULL COLOR NIGHT VISION hasta 20M,   IR 30m AUDIOS BIDIRECCIONALES , DEFENSA ACTIVA ,   DETECCION DE PERSONAS,  TECNOLOGIA IA,  ALMACENAMIENTO MICRO SD 512GB/ IP65 COMPRESION H 265 </t>
    </r>
  </si>
  <si>
    <t>CS-H8c-R100-1K2WKFL(4mm)</t>
  </si>
  <si>
    <t xml:space="preserve">CAMARA WIFI  H8C  PT INTELIGENTE EXTERIOR ,COBERTURA DE 360° MOTORIZADA  PRESET CONFIGURABLES ,2 MP FULL COLOR NIGHT VISION hasta 20M,   IR 30m AUDIOS BIDIRECCIONALES , DEFENSA ACTIVA ,   DETECCION DE PERSONAS,  TECNOLOGIA IA,  ALMACENAMIENTO MICRO SD 512GB/ IP65 COMPRESION H 265 </t>
  </si>
  <si>
    <r>
      <rPr>
        <sz val="10"/>
        <color rgb="FFFF0000"/>
        <rFont val="Aptos Narrow"/>
        <family val="2"/>
        <scheme val="minor"/>
      </rPr>
      <t>NUEVO MODELO</t>
    </r>
    <r>
      <rPr>
        <sz val="10"/>
        <rFont val="Aptos Narrow"/>
        <family val="2"/>
        <scheme val="minor"/>
      </rPr>
      <t xml:space="preserve"> CAMARA WIFI  H8C  PT INTELIGENTE EXTERIOR ,COBERTURA DE 360° MOTORIZADA  PRESET CONFIGURABLES ,3 MP FULL COLOR NIGHT VISION hasta 20M,   IR 30m AUDIOS BIDIRECCIONALES , DEFENSA ACTIVA ,   DETECCION DE PERSONAS,  TECNOLOGIA IA,  ALMACENAMIENTO MICRO SD 512GB/ IP65 COMPRESION H 265 </t>
    </r>
  </si>
  <si>
    <t>CS-H8c-R200-1J5WKFL(4mm)</t>
    <phoneticPr fontId="8" type="noConversion"/>
  </si>
  <si>
    <r>
      <rPr>
        <sz val="10"/>
        <color theme="1"/>
        <rFont val="Aptos Narrow"/>
        <family val="3"/>
        <charset val="134"/>
        <scheme val="minor"/>
      </rPr>
      <t xml:space="preserve">NUEVO MODELO CAMARA WIFI  H8C 5MP  PT INTELIGENTE EXTERIOR ,COBERTURA DE 360° MOTORIZADA  PRESET CONFIGURABLES ,5 MP FULL COLOR NIGHT VISION hasta 20M,   IR 30m AUDIOS BIDIRECCIONALES , DEFENSA ACTIVA ,   DETECCION DE PERSONAS,  TECNOLOGIA IA,  ALMACENAMIENTO MICRO SD 512GB/ IP65 COMPRESION H 265 </t>
    </r>
  </si>
  <si>
    <t>CS-H8c-R200-8H8WKFL(4mm)(美洲标配)(多语音)</t>
    <phoneticPr fontId="8" type="noConversion"/>
  </si>
  <si>
    <t>CS-H8-R100-1J5WKFL(4mm)</t>
  </si>
  <si>
    <t xml:space="preserve"> CAMARA WIFI  H8  PT INTELIGENTE EXTERIOR ,COBERTURA DE 360° MOTORIZADA  PRESET CONFIGURABLES ,5 MP , LLAMADA A CAMARA MEDIANTE UN MOVIEMIENTO DE MANO , FULL COLOR NIGHT VISION hasta 20M,   IR 30m AUDIOS BIDIRECCIONALES , DEFENSA ACTIVA EN LUZ Y SONIDO  ,   DETECCION DE PERSONAS, DETECCION DE VEHICULOS CON   TECNOLOGIA IA,  ALMACENAMIENTO MICRO SD 512GB,  COMPRESION H 265 </t>
  </si>
  <si>
    <t>CS-C8PF-A0-6E22WFR(2.8mm)(12mm)</t>
  </si>
  <si>
    <t xml:space="preserve"> CAMARA WIFI  C8PF  PT INTELIGENTE EXTERIOR ,DOBLE LENTE INTELIGENTE , COBERTURA DE 360° MOTORIZADA ,  2 MP ,   IR 30m RECEPCION DE AUDIO , DEFENSA ACTIVA ,   DETECCION DE PERSONAS,  TECNOLOGIA IA,  ALMACENAMIENTO MICRO SD 512GB/ IP65 COMPRESION H 265 </t>
  </si>
  <si>
    <r>
      <rPr>
        <sz val="10"/>
        <color rgb="FFFF0000"/>
        <rFont val="Aptos Narrow"/>
        <family val="2"/>
        <scheme val="minor"/>
      </rPr>
      <t xml:space="preserve"> </t>
    </r>
    <r>
      <rPr>
        <sz val="10"/>
        <rFont val="Aptos Narrow"/>
        <family val="2"/>
        <scheme val="minor"/>
      </rPr>
      <t xml:space="preserve">CAMARA WIFI  LC1C  INTELIGENTE EXTERIOR , 2 PROYECTORES DE LUZ DE 2000 LUMENS AJUSTABLES DE MANERA MANUAL  , 2 MP FULL COLOR NIGHT VISION, AUDIO BIDIRECCIONAL ,IR25M, DEFENSA ACTIVA, SIRENA INTEGRADA  ,   DETECCION DE MOVIMIENTO + DETECCION PIR,      ALMACENAMIENTO MICRO SD 256GB/ IP65 COMPRESION H 265 </t>
    </r>
  </si>
  <si>
    <r>
      <rPr>
        <sz val="10"/>
        <color rgb="FFFF0000"/>
        <rFont val="Aptos Narrow"/>
        <family val="2"/>
        <scheme val="minor"/>
      </rPr>
      <t xml:space="preserve"> </t>
    </r>
    <r>
      <rPr>
        <sz val="10"/>
        <rFont val="Aptos Narrow"/>
        <family val="2"/>
        <scheme val="minor"/>
      </rPr>
      <t xml:space="preserve">CAMARA WIFI  LC3  INTELIGENTE EXTERIOR ,  4 MP FULL COLOR NIGHT VISION, AUDIO BIDIRECCIONAL ,DEFENSA ACTIVA EN LUZ Y SONIDO , SIRENA INTEGRADA  ,   DETECCION DE PERSONAS MEDIANTE INTELIGENCIA ARTIFICAL ,      ALMACENAMIENTO INTERNO CON MEMORIA EMMC DE 32 GB / IP65 COMPRESION H 265 </t>
    </r>
  </si>
  <si>
    <r>
      <rPr>
        <b/>
        <sz val="10"/>
        <color rgb="FFFF0000"/>
        <rFont val="Aptos Narrow"/>
        <family val="2"/>
        <scheme val="minor"/>
      </rPr>
      <t>NUEVO MODELO HB90X KIT 4G / Wif</t>
    </r>
    <r>
      <rPr>
        <sz val="10"/>
        <color theme="1"/>
        <rFont val="Aptos Narrow"/>
        <family val="2"/>
        <scheme val="minor"/>
      </rPr>
      <t>i  Resolucion 4MP + 4MP, Conectividad dual con 4G y Wifi 6, Doble rotación para una visión ultraflexible, deteccion de Personas y Vehiculos, Seguimiento inteligente, Bateria de litio recargable, Co-detección para seguimiento automático inteligente, Batería de litio recargable de 10.400 mAh, Modo de vídeo siempre activo 2.0</t>
    </r>
  </si>
  <si>
    <r>
      <rPr>
        <b/>
        <sz val="10"/>
        <color rgb="FFFF0000"/>
        <rFont val="Aptos Narrow"/>
        <family val="2"/>
        <scheme val="minor"/>
      </rPr>
      <t>NUEVO MODELO EB8 PRO KIT 4G / Wifi</t>
    </r>
    <r>
      <rPr>
        <sz val="10"/>
        <color theme="1"/>
        <rFont val="Aptos Narrow"/>
        <family val="2"/>
        <scheme val="minor"/>
      </rPr>
      <t xml:space="preserve">  Resolucion 8 MP, Conectividad dual con 4G y Wifi 6, Detección de animales salvajes, deteccion de Personas y Vehiculos, Seguimiento inteligente, Bateria de litio recargable, Modo de vídeo siempre activo 2.0</t>
    </r>
  </si>
  <si>
    <t xml:space="preserve">2K+&amp;2K+ Dual Lenses
Rotations for Ultra-Flexible Vision
Always-On Video Mode 2.0
8W High-Efficiency Solar Panel Included, 10,400 mAh Rechargeable Lithium Battery
AI-Powered Human / Vehicle Shape Detection
Co-Detection for Auto Smart Tracking
One-Tap Control for Linked View Change
Balanced Image Exposure with Smart Light, olor Night Vision
Two-Way Talk
Active Defense with Siren &amp; Strobe Light
Supports Wi-Fi 6 Network (2.4 GHz)
Weatherproof Design
Smart Integration with Google Assistant &amp; Amazon Alexa
Supports MicroSD Card (Up to 512 GB) &amp; EZVIZ CloudPlay Stora
</t>
    <phoneticPr fontId="8" type="noConversion"/>
  </si>
  <si>
    <t>4K, Always-On
Video Mode 2.0, 10,400 mAh, AI-Powered
Human / Vehicle
Shape Detection, Smart Tracking, Color
Night Vision, Balanced Image
Exposure
with Smart Lights, Two-Way Talk, Active Defense
with Siren
&amp; Strobe Light, Supports Wi-Fi 6
Network (2.4 GHz), Weatherproof
Design, Supports MicroSD
Card (Up to 512 GB) &amp; 
EZVIZ CloudPlay Storage4                                                                     Panel Solar: High Charging
Efficiency
(Up to 5W), High Light Absorption
with Monocrystalline
Silicon Cells, Weatherproof
Design</t>
    <phoneticPr fontId="8" type="noConversion"/>
  </si>
  <si>
    <t>2K
Resolution, Always-On 
Protection 
Mode, Up to 120 Days 
of Battery Life¹ 
(5200 mAh), AI-Powered 
Human/Vehicle 
Shape Detection, Active 
Defense, Color 
Night Vision, Two-Way 
Talk, Customizable 
Voice Alerts, Supports 
Wi-Fi 6 Network, Supports 
2.4GHz Wi-F, Works with 
EZVIZ Solar Panels 
(Type-C versions) 
for Green Powe, Supports MicroSD 
Card (Up to 512 GB) 
&amp; EZVIZ CloudPlay 
Storag</t>
    <phoneticPr fontId="8" type="noConversion"/>
  </si>
  <si>
    <r>
      <rPr>
        <b/>
        <sz val="10"/>
        <color rgb="FFFF0000"/>
        <rFont val="Aptos Narrow"/>
        <family val="2"/>
        <scheme val="minor"/>
      </rPr>
      <t xml:space="preserve">NUEVO MODELO HB8c 4G / Wifi  </t>
    </r>
    <r>
      <rPr>
        <sz val="10"/>
        <rFont val="Aptos Narrow"/>
        <family val="2"/>
        <scheme val="minor"/>
      </rPr>
      <t>Resolucion 3 MP, Conectividad dual con 4G y Wifi 6, deteccion de Personas y Vehiculos, Seguimiento inteligente, Bateria de litio recargable, comunicación bidireccional, vision nocturna a color</t>
    </r>
    <r>
      <rPr>
        <sz val="10"/>
        <color theme="1"/>
        <rFont val="Aptos Narrow"/>
        <family val="2"/>
        <scheme val="minor"/>
      </rPr>
      <t>, Compatible con tarjetas microSD (de hasta 512 GB) y el almacenamiento EZVIZ CloudPlay³</t>
    </r>
  </si>
  <si>
    <t>2K+
Resolution, Always-On 
Protection 
Mode, Up to 120 Days 
of Battery Life¹ 
(5200 mAh), AI-Powered 
Human/Vehicle 
Shape Detection, Active 
Defense, Color 
Night Vision, Two-Way 
Talk, Customizable 
Voice Alerts, Supports 
Wi-Fi 6 Network, Supports 
2.4GHz Wi-F, Works with 
EZVIZ Solar Panels 
(Type-C versions) 
for Green Powe, Supports MicroSD 
Card (Up to 512 GB) 
&amp; EZVIZ CloudPlay 
Storag</t>
    <phoneticPr fontId="8" type="noConversion"/>
  </si>
  <si>
    <r>
      <t xml:space="preserve"> CAMARA WIFI  HB8  INTELIGENTE EXTERIOR  TIPO PT 4MP 2K , COLOR NIHT VISION , AUDIO BIDIRECCIONAL , ALERTAS DE VOZ PERSONALIZABLES , COMPRESION H265, DETECCION DE MOVIMIENTO  SEGUIMIENTO AUTOMATICO ALMACENAMIENTO INTERNO DE 32 GB EMMC BATERIA LITIO 10400 MaH IP 65, </t>
    </r>
    <r>
      <rPr>
        <b/>
        <sz val="10"/>
        <rFont val="Aptos Narrow"/>
        <family val="2"/>
        <scheme val="minor"/>
      </rPr>
      <t xml:space="preserve"> FUNCIONA CON PANELES SOLARES DE EZVIZ </t>
    </r>
  </si>
  <si>
    <r>
      <t xml:space="preserve">Power Voltage 6V ±5%, Max. Power Current 1030mA ±5%, </t>
    </r>
    <r>
      <rPr>
        <sz val="10"/>
        <color rgb="FFFF0000"/>
        <rFont val="Calibri"/>
        <family val="2"/>
      </rPr>
      <t>Max. Power 6.18W</t>
    </r>
    <r>
      <rPr>
        <sz val="10"/>
        <color theme="1"/>
        <rFont val="Calibri"/>
        <family val="2"/>
      </rPr>
      <t>, Solar Cell Efficiency 21.6%, Operation Temperature -20</t>
    </r>
    <r>
      <rPr>
        <sz val="10"/>
        <color theme="1"/>
        <rFont val="宋体"/>
        <family val="3"/>
        <charset val="134"/>
      </rPr>
      <t>℃</t>
    </r>
    <r>
      <rPr>
        <sz val="10"/>
        <color theme="1"/>
        <rFont val="Calibri"/>
        <family val="2"/>
      </rPr>
      <t xml:space="preserve"> ~60</t>
    </r>
    <r>
      <rPr>
        <sz val="10"/>
        <color theme="1"/>
        <rFont val="宋体"/>
        <family val="3"/>
        <charset val="134"/>
      </rPr>
      <t>℃</t>
    </r>
    <r>
      <rPr>
        <sz val="10"/>
        <color theme="1"/>
        <rFont val="Calibri"/>
        <family val="2"/>
      </rPr>
      <t>(-4</t>
    </r>
    <r>
      <rPr>
        <sz val="10"/>
        <color theme="1"/>
        <rFont val="宋体"/>
        <family val="3"/>
        <charset val="134"/>
      </rPr>
      <t>℉</t>
    </r>
    <r>
      <rPr>
        <sz val="10"/>
        <color theme="1"/>
        <rFont val="Calibri"/>
        <family val="2"/>
      </rPr>
      <t>~140</t>
    </r>
    <r>
      <rPr>
        <sz val="10"/>
        <color theme="1"/>
        <rFont val="宋体"/>
        <family val="3"/>
        <charset val="134"/>
      </rPr>
      <t>℉</t>
    </r>
    <r>
      <rPr>
        <sz val="10"/>
        <color theme="1"/>
        <rFont val="Calibri"/>
        <family val="2"/>
      </rPr>
      <t>)Humidity 90% or less (non-condensing), IP65, Product Dimensions 292.3mm x 194.3mm x 6.3mm, Packaging Dimensions 299mm x 202.5mm x 78mm , 1045kg.</t>
    </r>
  </si>
  <si>
    <r>
      <t xml:space="preserve">Type C,  Power Voltage 6V ±5%, Max. Power Current 1030mA ±5%, </t>
    </r>
    <r>
      <rPr>
        <sz val="10"/>
        <color rgb="FFFF0000"/>
        <rFont val="Calibri"/>
        <family val="2"/>
      </rPr>
      <t>Max. Power 6.18W</t>
    </r>
    <r>
      <rPr>
        <sz val="10"/>
        <color theme="1"/>
        <rFont val="Calibri"/>
        <family val="2"/>
      </rPr>
      <t>, Solar Cell Efficiency 21.6%, Operation Temperature -20</t>
    </r>
    <r>
      <rPr>
        <sz val="10"/>
        <color theme="1"/>
        <rFont val="宋体"/>
        <family val="3"/>
        <charset val="134"/>
      </rPr>
      <t>℃</t>
    </r>
    <r>
      <rPr>
        <sz val="10"/>
        <color theme="1"/>
        <rFont val="Calibri"/>
        <family val="2"/>
      </rPr>
      <t xml:space="preserve"> ~60</t>
    </r>
    <r>
      <rPr>
        <sz val="10"/>
        <color theme="1"/>
        <rFont val="宋体"/>
        <family val="3"/>
        <charset val="134"/>
      </rPr>
      <t>℃</t>
    </r>
    <r>
      <rPr>
        <sz val="10"/>
        <color theme="1"/>
        <rFont val="Calibri"/>
        <family val="2"/>
      </rPr>
      <t>(-4</t>
    </r>
    <r>
      <rPr>
        <sz val="10"/>
        <color theme="1"/>
        <rFont val="宋体"/>
        <family val="3"/>
        <charset val="134"/>
      </rPr>
      <t>℉</t>
    </r>
    <r>
      <rPr>
        <sz val="10"/>
        <color theme="1"/>
        <rFont val="Calibri"/>
        <family val="2"/>
      </rPr>
      <t>~140</t>
    </r>
    <r>
      <rPr>
        <sz val="10"/>
        <color theme="1"/>
        <rFont val="宋体"/>
        <family val="3"/>
        <charset val="134"/>
      </rPr>
      <t>℉</t>
    </r>
    <r>
      <rPr>
        <sz val="10"/>
        <color theme="1"/>
        <rFont val="Calibri"/>
        <family val="2"/>
      </rPr>
      <t>)Humidity 90% or less (non-condensing), IP65, Product Dimensions 292.3mm x 194.3mm x 6.3mm, Packaging Dimensions 299mm x 202.5mm x 78mm , 1045kg.</t>
    </r>
  </si>
  <si>
    <t xml:space="preserve">CAMARA WIFI CB2   INTELIGENTE INTERIOR   TIPO FIJA  2MP  , AUDIO BIDIRECCIONAL,  COMPRESION H.265,BASE MAGNETICA FACIL INSTALACION , BATERIA LITIO 2000 Mah RECARGABLE  SLOT MICRO SD HASTA 512GB, INFRAROJO 5 MTS, 2,4GHZ </t>
  </si>
  <si>
    <r>
      <rPr>
        <b/>
        <sz val="10"/>
        <color rgb="FFFF0000"/>
        <rFont val="Aptos Narrow"/>
        <family val="2"/>
        <scheme val="minor"/>
      </rPr>
      <t>NUEVA CERRADURA DL50FVS</t>
    </r>
    <r>
      <rPr>
        <sz val="10"/>
        <rFont val="Aptos Narrow"/>
        <family val="2"/>
        <scheme val="minor"/>
      </rPr>
      <t xml:space="preserve"> DESBLOQUEO DE LA PALMA DE LA MANO, DESBLOQUEO FACIAL 3D,  HUELLAS, TARJETAS DE PROXIMIDAD, CODIGOS, APP EZVIZ Y BLUETOOTH , PANTALLA INTERIOR INTEGRADA DE 4 PULGADAS, LLAMADA VIDIRECCIONAL, BATERIA DE LITIO 5.000 MAH, , ALARMA ANTIDOMPER, IP51</t>
    </r>
  </si>
  <si>
    <r>
      <rPr>
        <b/>
        <sz val="10"/>
        <color rgb="FFFF0000"/>
        <rFont val="Aptos Narrow"/>
        <family val="2"/>
        <scheme val="minor"/>
      </rPr>
      <t>NUEVA CERRADURA DL20FVS</t>
    </r>
    <r>
      <rPr>
        <sz val="10"/>
        <rFont val="Aptos Narrow"/>
        <family val="2"/>
        <scheme val="minor"/>
      </rPr>
      <t xml:space="preserve"> DESBLOQUEO DE LA PALMA DE LA MANO, DESBLOQUEO FACIAL 3D,  HUELLAS, TARJETAS DE PROXIMIDAD, CODIGOS, APP EZVIZ Y BLUETOOTH , PANTALLA INTERIOR INTEGRADA DE 4 PULGADAS, LLAMADA VIDIRECCIONAL, BATERIA DE LITIO 5.000 MAH, , ALARMA ANTIDOMPER, IP52</t>
    </r>
  </si>
  <si>
    <r>
      <rPr>
        <sz val="10"/>
        <color rgb="FFFF0000"/>
        <rFont val="Aptos Narrow"/>
        <family val="2"/>
        <scheme val="minor"/>
      </rPr>
      <t>NUEVA MIRILLA DIGITAL HP2</t>
    </r>
    <r>
      <rPr>
        <sz val="10"/>
        <rFont val="Aptos Narrow"/>
        <family val="2"/>
        <scheme val="minor"/>
      </rPr>
      <t xml:space="preserve"> INTELIGENTE  2 MP ,WIFI  AUDIO BIDIRECCIONAL, ENLACE CON LA APLICACIÓN EZVIZ APP, PANTALLA  DE 4,3" NO TACTIL , BATERIA LITIO RECARGABLE 2200 MaH, TONOS INCORPORADOS , VISION NOCTURNA 5 METROS , CARCASA DE ZINC, S</t>
    </r>
  </si>
  <si>
    <r>
      <rPr>
        <sz val="10"/>
        <color rgb="FFFF0000"/>
        <rFont val="Aptos Narrow"/>
        <family val="2"/>
        <scheme val="minor"/>
      </rPr>
      <t xml:space="preserve">NUEVO MODELO  </t>
    </r>
    <r>
      <rPr>
        <sz val="10"/>
        <rFont val="Aptos Narrow"/>
        <family val="2"/>
        <scheme val="minor"/>
      </rPr>
      <t xml:space="preserve">VIDEO PORTERO INTELIGENTE </t>
    </r>
    <r>
      <rPr>
        <sz val="10"/>
        <color rgb="FFFF0000"/>
        <rFont val="Aptos Narrow"/>
        <family val="2"/>
        <scheme val="minor"/>
      </rPr>
      <t>HP7 PRO</t>
    </r>
    <r>
      <rPr>
        <sz val="10"/>
        <rFont val="Aptos Narrow"/>
        <family val="2"/>
        <scheme val="minor"/>
      </rPr>
      <t xml:space="preserve"> PALM, RESOLUCION DE 4K, PANTALLA TACTIL FULL HD DE 8 PULGADAS, DESBLOUEO REMOTO PUERTA/PORTON, DESBLOQUEO DE LA PALMA DE LA MANO , DESBLOQUO POR RECONOCIMIENTO FACIAL, DESBLOQUEO CON CODIGO QR, 2 HILOS, DETECCION INTELIGENTE DE PERSONAS, ADMITE SD 512GB, AUDIO BIDIRECCIONAL, COMPATIBLE CON WIFI 2,4 / 5 GHz, TIMBRE INCORPORADO, DISEÑO PARA EXTERIORES</t>
    </r>
  </si>
  <si>
    <t>CS-C3W-A0-1F4WFL(2.8mm)</t>
  </si>
  <si>
    <t>CAMARA WIFI INTELIGENTE EXTERIOR 4 MP C3W</t>
  </si>
  <si>
    <t xml:space="preserve">	H7c Dual 2K¿ &amp; 2K¿ Dual-Lens Pan &amp; Tilt Wi-Fi Camera</t>
  </si>
  <si>
    <t xml:space="preserve">CS-TY1-R105-1L3WF	</t>
  </si>
  <si>
    <t>CÁMARA WIFI 3MP 360° CON DETECCIÓN DE MOVIMIENTO INTELIGENTE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</si>
</sst>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 #,##0;[Red]\-&quot;$&quot;\ #,##0"/>
    <numFmt numFmtId="42" formatCode="_-&quot;$&quot;\ * #,##0_-;\-&quot;$&quot;\ * #,##0_-;_-&quot;$&quot;\ * &quot;-&quot;_-;_-@_-"/>
    <numFmt numFmtId="44" formatCode="_-&quot;$&quot;\ * #,##0.00_-;\-&quot;$&quot;\ * #,##0.00_-;_-&quot;$&quot;\ * &quot;-&quot;??_-;_-@_-"/>
    <numFmt numFmtId="164" formatCode="_-&quot;$&quot;\ * #,##0_-;\-&quot;$&quot;\ * #,##0_-;_-&quot;$&quot;\ * &quot;-&quot;??_-;_-@_-"/>
    <numFmt numFmtId="165" formatCode="_-[$$-240A]\ * #,##0_-;\-[$$-240A]\ * #,##0_-;_-[$$-240A]\ * &quot;-&quot;??_-;_-@_-"/>
    <numFmt numFmtId="166" formatCode="_-\$* #,##0.00_ ;_-\$* \-#,##0.00\ ;_-\$* &quot;-&quot;??_ ;_-@_ "/>
  </numFmts>
  <fonts count="17">
    <font>
      <sz val="11"/>
      <color theme="1"/>
      <name val="Aptos Narrow"/>
      <family val="2"/>
      <scheme val="minor"/>
    </font>
    <font>
      <sz val="11"/>
      <color theme="1"/>
      <name val="Aptos Narrow"/>
      <family val="2"/>
      <scheme val="minor"/>
    </font>
    <font>
      <sz val="10"/>
      <color theme="1"/>
      <name val="Aptos Narrow"/>
      <family val="2"/>
      <scheme val="minor"/>
    </font>
    <font>
      <sz val="10"/>
      <name val="Aptos Narrow"/>
      <family val="2"/>
      <scheme val="minor"/>
    </font>
    <font>
      <sz val="10"/>
      <color rgb="FFFF0000"/>
      <name val="Aptos Narrow"/>
      <family val="2"/>
      <scheme val="minor"/>
    </font>
    <font>
      <b/>
      <sz val="10"/>
      <name val="Aptos Narrow"/>
      <family val="2"/>
      <scheme val="minor"/>
    </font>
    <font>
      <b/>
      <sz val="10"/>
      <color theme="0"/>
      <name val="Aptos Narrow"/>
      <family val="2"/>
      <scheme val="minor"/>
    </font>
    <font>
      <b/>
      <sz val="10"/>
      <color indexed="8"/>
      <name val="Aptos Narrow"/>
      <family val="2"/>
      <scheme val="minor"/>
    </font>
    <font>
      <b/>
      <sz val="11"/>
      <color rgb="FFFA7D00"/>
      <name val="Aptos Narrow"/>
      <family val="2"/>
      <scheme val="minor"/>
    </font>
    <font>
      <b/>
      <sz val="10"/>
      <color rgb="FFFF0000"/>
      <name val="Aptos Narrow"/>
      <family val="2"/>
      <scheme val="minor"/>
    </font>
    <font>
      <sz val="11"/>
      <color rgb="FF000000"/>
      <name val="SimSun"/>
    </font>
    <font>
      <sz val="11"/>
      <color rgb="FF000000"/>
      <name val="Calibri"/>
      <family val="2"/>
    </font>
    <font>
      <sz val="10"/>
      <color theme="1"/>
      <name val="Aptos Narrow"/>
      <family val="3"/>
      <charset val="134"/>
      <scheme val="minor"/>
    </font>
    <font>
      <sz val="10"/>
      <color rgb="FFFF0000"/>
      <name val="Calibri"/>
      <family val="2"/>
    </font>
    <font>
      <sz val="10"/>
      <color theme="1"/>
      <name val="Calibri"/>
      <family val="2"/>
    </font>
    <font>
      <sz val="10"/>
      <color theme="1"/>
      <name val="宋体"/>
      <family val="3"/>
      <charset val="134"/>
    </font>
    <font>
      <sz val="9"/>
      <color rgb="FF21293B"/>
      <name val="Segoe UI"/>
      <family val="2"/>
    </font>
  </fonts>
  <fills count="8">
    <fill>
      <patternFill patternType="none"/>
    </fill>
    <fill>
      <patternFill patternType="gray125"/>
    </fill>
    <fill>
      <patternFill patternType="solid">
        <fgColor rgb="FFFFFF00"/>
        <bgColor indexed="64"/>
      </patternFill>
    </fill>
    <fill>
      <patternFill patternType="solid">
        <fgColor rgb="FFFFFF00"/>
        <bgColor rgb="FF000000"/>
      </patternFill>
    </fill>
    <fill>
      <patternFill patternType="solid">
        <fgColor rgb="FFC00000"/>
        <bgColor rgb="FF000000"/>
      </patternFill>
    </fill>
    <fill>
      <patternFill patternType="solid">
        <fgColor theme="0" tint="-0.14999847407452621"/>
        <bgColor rgb="FF000000"/>
      </patternFill>
    </fill>
    <fill>
      <patternFill patternType="solid">
        <fgColor theme="0"/>
        <bgColor indexed="64"/>
      </patternFill>
    </fill>
    <fill>
      <patternFill patternType="solid">
        <fgColor theme="5" tint="0.39997558519241921"/>
        <bgColor rgb="FF000000"/>
      </patternFill>
    </fill>
  </fills>
  <borders count="12">
    <border>
      <left/>
      <right/>
      <top/>
      <bottom/>
      <diagonal/>
    </border>
    <border>
      <left style="thin">
        <color theme="1"/>
      </left>
      <right/>
      <top style="thin">
        <color theme="1"/>
      </top>
      <bottom style="thin">
        <color theme="1"/>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42" fontId="1" fillId="0" borderId="0" applyFont="0" applyFill="0" applyBorder="0" applyAlignment="0" applyProtection="0"/>
  </cellStyleXfs>
  <cellXfs count="62">
    <xf numFmtId="0" fontId="0" fillId="0" borderId="0" xfId="0"/>
    <xf numFmtId="0" fontId="2" fillId="0" borderId="0" xfId="0" applyFont="1" applyAlignment="1" applyProtection="1">
      <alignment vertical="center" wrapText="1"/>
      <protection hidden="1"/>
    </xf>
    <xf numFmtId="164" fontId="2" fillId="0" borderId="0" xfId="1" applyNumberFormat="1" applyFont="1" applyAlignment="1" applyProtection="1">
      <alignment vertical="center" wrapText="1"/>
      <protection hidden="1"/>
    </xf>
    <xf numFmtId="164" fontId="2" fillId="0" borderId="1" xfId="1" applyNumberFormat="1" applyFont="1" applyBorder="1" applyAlignment="1" applyProtection="1">
      <alignment vertical="center" wrapText="1"/>
      <protection hidden="1"/>
    </xf>
    <xf numFmtId="164" fontId="2" fillId="0" borderId="2" xfId="1" applyNumberFormat="1" applyFont="1" applyBorder="1" applyAlignment="1" applyProtection="1">
      <alignment vertical="center" wrapText="1"/>
      <protection hidden="1"/>
    </xf>
    <xf numFmtId="164" fontId="2" fillId="0" borderId="2" xfId="1" applyNumberFormat="1" applyFont="1" applyBorder="1" applyAlignment="1" applyProtection="1">
      <alignment horizontal="center" vertical="center" wrapText="1"/>
      <protection locked="0" hidden="1"/>
    </xf>
    <xf numFmtId="0" fontId="2" fillId="0" borderId="2" xfId="0" applyFont="1" applyBorder="1" applyAlignment="1" applyProtection="1">
      <alignment vertical="center" wrapText="1"/>
      <protection hidden="1"/>
    </xf>
    <xf numFmtId="0" fontId="2" fillId="0" borderId="2" xfId="0" applyFont="1" applyBorder="1" applyAlignment="1" applyProtection="1">
      <alignment horizontal="left" vertical="center" wrapText="1"/>
      <protection hidden="1"/>
    </xf>
    <xf numFmtId="164" fontId="2" fillId="0" borderId="0" xfId="1" applyNumberFormat="1" applyFont="1" applyBorder="1" applyAlignment="1" applyProtection="1">
      <alignment vertical="center" wrapText="1"/>
      <protection hidden="1"/>
    </xf>
    <xf numFmtId="164" fontId="2" fillId="0" borderId="0" xfId="1" applyNumberFormat="1" applyFont="1" applyBorder="1" applyAlignment="1" applyProtection="1">
      <alignment horizontal="center" vertical="center" wrapText="1"/>
      <protection locked="0" hidden="1"/>
    </xf>
    <xf numFmtId="0" fontId="2" fillId="0" borderId="0" xfId="0" applyFont="1" applyAlignment="1" applyProtection="1">
      <alignment horizontal="left" vertical="center" wrapText="1"/>
      <protection hidden="1"/>
    </xf>
    <xf numFmtId="0" fontId="3" fillId="0" borderId="0" xfId="0" applyFont="1" applyAlignment="1" applyProtection="1">
      <alignment vertical="center" wrapText="1"/>
      <protection hidden="1"/>
    </xf>
    <xf numFmtId="164" fontId="3" fillId="0" borderId="0" xfId="0" applyNumberFormat="1" applyFont="1" applyAlignment="1" applyProtection="1">
      <alignment vertical="center" wrapText="1"/>
      <protection hidden="1"/>
    </xf>
    <xf numFmtId="164" fontId="3" fillId="0" borderId="0" xfId="1" applyNumberFormat="1" applyFont="1" applyFill="1" applyBorder="1" applyAlignment="1" applyProtection="1">
      <alignment vertical="center" wrapText="1"/>
      <protection hidden="1"/>
    </xf>
    <xf numFmtId="164" fontId="3" fillId="0" borderId="0" xfId="1" applyNumberFormat="1" applyFont="1" applyFill="1" applyAlignment="1" applyProtection="1">
      <alignment vertical="center" wrapText="1"/>
      <protection hidden="1"/>
    </xf>
    <xf numFmtId="164" fontId="3" fillId="0" borderId="3" xfId="1" applyNumberFormat="1" applyFont="1" applyFill="1" applyBorder="1" applyAlignment="1" applyProtection="1">
      <alignment vertical="center" wrapText="1"/>
      <protection hidden="1"/>
    </xf>
    <xf numFmtId="6" fontId="3" fillId="0" borderId="3" xfId="1" applyNumberFormat="1" applyFont="1" applyFill="1" applyBorder="1" applyAlignment="1" applyProtection="1">
      <alignment horizontal="center" vertical="center" wrapText="1"/>
      <protection hidden="1"/>
    </xf>
    <xf numFmtId="6" fontId="3" fillId="0" borderId="3" xfId="1" applyNumberFormat="1" applyFont="1" applyFill="1" applyBorder="1" applyAlignment="1" applyProtection="1">
      <alignment vertical="center" wrapText="1"/>
      <protection hidden="1"/>
    </xf>
    <xf numFmtId="164" fontId="3" fillId="0" borderId="3" xfId="1" applyNumberFormat="1" applyFont="1" applyFill="1" applyBorder="1" applyAlignment="1" applyProtection="1">
      <alignment horizontal="right" vertical="center" wrapText="1"/>
      <protection hidden="1"/>
    </xf>
    <xf numFmtId="164" fontId="3" fillId="0" borderId="4" xfId="1" applyNumberFormat="1" applyFont="1" applyFill="1" applyBorder="1" applyAlignment="1" applyProtection="1">
      <alignment vertical="center" wrapText="1"/>
      <protection hidden="1"/>
    </xf>
    <xf numFmtId="6" fontId="3" fillId="0" borderId="4" xfId="1" applyNumberFormat="1" applyFont="1" applyFill="1" applyBorder="1" applyAlignment="1" applyProtection="1">
      <alignment horizontal="center" vertical="center" wrapText="1"/>
      <protection hidden="1"/>
    </xf>
    <xf numFmtId="6" fontId="3" fillId="0" borderId="4" xfId="1" applyNumberFormat="1" applyFont="1" applyFill="1" applyBorder="1" applyAlignment="1" applyProtection="1">
      <alignment vertical="center" wrapText="1"/>
      <protection hidden="1"/>
    </xf>
    <xf numFmtId="164" fontId="3" fillId="0" borderId="4" xfId="1" applyNumberFormat="1" applyFont="1" applyFill="1" applyBorder="1" applyAlignment="1" applyProtection="1">
      <alignment horizontal="center" vertical="center" wrapText="1"/>
      <protection hidden="1"/>
    </xf>
    <xf numFmtId="164" fontId="3" fillId="0" borderId="4" xfId="1" applyNumberFormat="1" applyFont="1" applyFill="1" applyBorder="1" applyAlignment="1" applyProtection="1">
      <alignment horizontal="right" vertical="center" wrapText="1"/>
      <protection hidden="1"/>
    </xf>
    <xf numFmtId="6" fontId="3" fillId="0" borderId="4" xfId="0" applyNumberFormat="1" applyFont="1" applyBorder="1" applyAlignment="1">
      <alignment horizontal="center" vertical="center" wrapText="1"/>
    </xf>
    <xf numFmtId="164" fontId="3" fillId="0" borderId="4" xfId="0" applyNumberFormat="1" applyFont="1" applyBorder="1" applyAlignment="1">
      <alignment horizontal="center" vertical="center" wrapText="1"/>
    </xf>
    <xf numFmtId="164" fontId="3" fillId="0" borderId="4" xfId="1" applyNumberFormat="1" applyFont="1" applyFill="1" applyBorder="1" applyAlignment="1" applyProtection="1">
      <alignment horizontal="center" vertical="center" wrapText="1"/>
      <protection locked="0" hidden="1"/>
    </xf>
    <xf numFmtId="164" fontId="4" fillId="0" borderId="4" xfId="1" applyNumberFormat="1" applyFont="1" applyFill="1" applyBorder="1" applyAlignment="1" applyProtection="1">
      <alignment vertical="center" wrapText="1"/>
      <protection hidden="1"/>
    </xf>
    <xf numFmtId="6" fontId="4" fillId="0" borderId="4" xfId="0" applyNumberFormat="1" applyFont="1" applyBorder="1" applyAlignment="1">
      <alignment horizontal="center" vertical="center" wrapText="1"/>
    </xf>
    <xf numFmtId="164" fontId="4" fillId="0" borderId="4" xfId="0" applyNumberFormat="1" applyFont="1" applyBorder="1" applyAlignment="1">
      <alignment horizontal="center" vertical="center" wrapText="1"/>
    </xf>
    <xf numFmtId="164" fontId="4" fillId="0" borderId="4" xfId="1" applyNumberFormat="1" applyFont="1" applyFill="1" applyBorder="1" applyAlignment="1" applyProtection="1">
      <alignment horizontal="center" vertical="center" wrapText="1"/>
      <protection hidden="1"/>
    </xf>
    <xf numFmtId="164" fontId="4" fillId="0" borderId="4" xfId="1" applyNumberFormat="1" applyFont="1" applyFill="1" applyBorder="1" applyAlignment="1" applyProtection="1">
      <alignment horizontal="right" vertical="center" wrapText="1"/>
      <protection hidden="1"/>
    </xf>
    <xf numFmtId="49" fontId="3" fillId="0" borderId="4" xfId="0" applyNumberFormat="1" applyFont="1" applyBorder="1" applyAlignment="1" applyProtection="1">
      <alignment horizontal="left" vertical="center" wrapText="1"/>
      <protection locked="0"/>
    </xf>
    <xf numFmtId="6" fontId="4" fillId="0" borderId="4" xfId="1" applyNumberFormat="1" applyFont="1" applyFill="1" applyBorder="1" applyAlignment="1" applyProtection="1">
      <alignment horizontal="center" vertical="center" wrapText="1"/>
      <protection hidden="1"/>
    </xf>
    <xf numFmtId="6" fontId="4" fillId="0" borderId="4" xfId="1" applyNumberFormat="1" applyFont="1" applyFill="1" applyBorder="1" applyAlignment="1" applyProtection="1">
      <alignment vertical="center" wrapText="1"/>
      <protection hidden="1"/>
    </xf>
    <xf numFmtId="164" fontId="3" fillId="2" borderId="0" xfId="1" applyNumberFormat="1" applyFont="1" applyFill="1" applyAlignment="1" applyProtection="1">
      <alignment vertical="center" wrapText="1"/>
      <protection hidden="1"/>
    </xf>
    <xf numFmtId="164" fontId="3" fillId="0" borderId="3" xfId="1" applyNumberFormat="1" applyFont="1" applyFill="1" applyBorder="1" applyAlignment="1" applyProtection="1">
      <alignment horizontal="center" vertical="center" wrapText="1"/>
      <protection locked="0" hidden="1"/>
    </xf>
    <xf numFmtId="165" fontId="2" fillId="0" borderId="0" xfId="2" applyNumberFormat="1" applyFont="1" applyFill="1" applyBorder="1" applyAlignment="1" applyProtection="1">
      <alignment horizontal="center" vertical="center" wrapText="1"/>
    </xf>
    <xf numFmtId="164" fontId="7" fillId="0" borderId="3" xfId="1" applyNumberFormat="1" applyFont="1" applyBorder="1" applyAlignment="1" applyProtection="1">
      <alignment vertical="center" wrapText="1"/>
      <protection hidden="1"/>
    </xf>
    <xf numFmtId="164" fontId="7" fillId="0" borderId="3" xfId="1" applyNumberFormat="1" applyFont="1" applyBorder="1" applyAlignment="1" applyProtection="1">
      <alignment horizontal="center" vertical="center" wrapText="1"/>
      <protection locked="0" hidden="1"/>
    </xf>
    <xf numFmtId="164" fontId="2" fillId="0" borderId="3" xfId="1" applyNumberFormat="1" applyFont="1" applyBorder="1" applyAlignment="1" applyProtection="1">
      <alignment vertical="center" wrapText="1"/>
      <protection hidden="1"/>
    </xf>
    <xf numFmtId="164" fontId="6" fillId="0" borderId="6" xfId="1" applyNumberFormat="1" applyFont="1" applyBorder="1" applyAlignment="1" applyProtection="1">
      <alignment horizontal="center" vertical="center" wrapText="1"/>
      <protection locked="0" hidden="1"/>
    </xf>
    <xf numFmtId="164" fontId="6" fillId="5" borderId="6" xfId="1" applyNumberFormat="1" applyFont="1" applyFill="1" applyBorder="1" applyAlignment="1">
      <alignment horizontal="center" vertical="center" wrapText="1"/>
    </xf>
    <xf numFmtId="164" fontId="2" fillId="0" borderId="6" xfId="1" applyNumberFormat="1" applyFont="1" applyBorder="1" applyAlignment="1" applyProtection="1">
      <alignment vertical="center" wrapText="1"/>
      <protection hidden="1"/>
    </xf>
    <xf numFmtId="164" fontId="6" fillId="4" borderId="6" xfId="1" applyNumberFormat="1" applyFont="1" applyFill="1" applyBorder="1" applyAlignment="1" applyProtection="1">
      <alignment horizontal="center" vertical="center" wrapText="1"/>
      <protection hidden="1"/>
    </xf>
    <xf numFmtId="164" fontId="6" fillId="0" borderId="6" xfId="1" applyNumberFormat="1" applyFont="1" applyFill="1" applyBorder="1" applyAlignment="1">
      <alignment horizontal="center" vertical="center" wrapText="1"/>
    </xf>
    <xf numFmtId="164" fontId="6" fillId="4" borderId="6" xfId="1" applyNumberFormat="1" applyFont="1" applyFill="1" applyBorder="1" applyAlignment="1">
      <alignment horizontal="center" vertical="center" wrapText="1"/>
    </xf>
    <xf numFmtId="164" fontId="5" fillId="3" borderId="6" xfId="1" applyNumberFormat="1" applyFont="1" applyFill="1" applyBorder="1" applyAlignment="1">
      <alignment horizontal="center" vertical="center" wrapText="1"/>
    </xf>
    <xf numFmtId="164" fontId="5" fillId="2" borderId="7" xfId="1" applyNumberFormat="1" applyFont="1" applyFill="1" applyBorder="1" applyAlignment="1">
      <alignment horizontal="center" vertical="center" wrapText="1"/>
    </xf>
    <xf numFmtId="49" fontId="3" fillId="0" borderId="8" xfId="0" applyNumberFormat="1" applyFont="1" applyBorder="1" applyAlignment="1" applyProtection="1">
      <alignment horizontal="left" vertical="center"/>
      <protection locked="0"/>
    </xf>
    <xf numFmtId="49" fontId="3" fillId="0" borderId="9" xfId="0" applyNumberFormat="1" applyFont="1" applyBorder="1" applyAlignment="1" applyProtection="1">
      <alignment horizontal="left" vertical="center"/>
      <protection locked="0"/>
    </xf>
    <xf numFmtId="49" fontId="3" fillId="0" borderId="3" xfId="0" applyNumberFormat="1" applyFont="1" applyBorder="1" applyAlignment="1" applyProtection="1">
      <alignment horizontal="left" vertical="center" wrapText="1"/>
      <protection locked="0"/>
    </xf>
    <xf numFmtId="166" fontId="2" fillId="0" borderId="11" xfId="1" applyNumberFormat="1" applyFont="1" applyFill="1" applyBorder="1" applyAlignment="1" applyProtection="1">
      <alignment horizontal="center" vertical="center" wrapText="1"/>
      <protection hidden="1"/>
    </xf>
    <xf numFmtId="166" fontId="2" fillId="0" borderId="4" xfId="1" applyNumberFormat="1" applyFont="1" applyFill="1" applyBorder="1" applyAlignment="1" applyProtection="1">
      <alignment horizontal="center" vertical="center" wrapText="1"/>
      <protection hidden="1"/>
    </xf>
    <xf numFmtId="0" fontId="0" fillId="0" borderId="8" xfId="0" applyBorder="1"/>
    <xf numFmtId="0" fontId="16" fillId="0" borderId="8" xfId="0" applyFont="1" applyBorder="1"/>
    <xf numFmtId="166" fontId="2" fillId="6" borderId="11" xfId="1" applyNumberFormat="1" applyFont="1" applyFill="1" applyBorder="1" applyAlignment="1" applyProtection="1">
      <alignment horizontal="center" vertical="center" wrapText="1"/>
      <protection hidden="1"/>
    </xf>
    <xf numFmtId="166" fontId="2" fillId="0" borderId="3" xfId="1" applyNumberFormat="1" applyFont="1" applyFill="1" applyBorder="1" applyAlignment="1" applyProtection="1">
      <alignment horizontal="center" vertical="center" wrapText="1"/>
      <protection hidden="1"/>
    </xf>
    <xf numFmtId="166" fontId="2" fillId="0" borderId="10" xfId="1" applyNumberFormat="1" applyFont="1" applyFill="1" applyBorder="1" applyAlignment="1" applyProtection="1">
      <alignment horizontal="center" vertical="center" wrapText="1"/>
      <protection hidden="1"/>
    </xf>
    <xf numFmtId="0" fontId="7" fillId="0" borderId="3" xfId="0" applyFont="1" applyBorder="1" applyAlignment="1" applyProtection="1">
      <alignment horizontal="left" vertical="center" wrapText="1"/>
      <protection hidden="1"/>
    </xf>
    <xf numFmtId="49" fontId="6" fillId="7" borderId="5" xfId="0" applyNumberFormat="1" applyFont="1" applyFill="1" applyBorder="1" applyAlignment="1" applyProtection="1">
      <alignment horizontal="center" vertical="center" wrapText="1"/>
      <protection hidden="1"/>
    </xf>
    <xf numFmtId="49" fontId="6" fillId="7" borderId="6" xfId="0" applyNumberFormat="1" applyFont="1" applyFill="1" applyBorder="1" applyAlignment="1" applyProtection="1">
      <alignment horizontal="center" vertical="center" wrapText="1"/>
      <protection hidden="1"/>
    </xf>
  </cellXfs>
  <cellStyles count="3">
    <cellStyle name="Moneda" xfId="1" builtinId="4"/>
    <cellStyle name="Moneda [0]" xfId="2" builtinId="7"/>
    <cellStyle name="Normal" xfId="0" builtinId="0"/>
  </cellStyles>
  <dxfs count="24">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fgColor indexed="64"/>
          <bgColor auto="1"/>
        </patternFill>
      </fill>
      <alignment horizontal="general"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0"/>
        <color auto="1"/>
        <name val="Aptos Narrow"/>
        <family val="2"/>
        <scheme val="minor"/>
      </font>
      <numFmt numFmtId="10" formatCode="&quot;$&quot;\ #,##0;[Red]\-&quot;$&quot;\ #,##0"/>
      <fill>
        <patternFill patternType="none">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ptos Narrow"/>
        <family val="2"/>
        <scheme val="minor"/>
      </font>
      <numFmt numFmtId="10" formatCode="&quot;$&quot;\ #,##0;[Red]\-&quot;$&quot;\ #,##0"/>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0"/>
        <color auto="1"/>
        <name val="Aptos Narrow"/>
        <family val="2"/>
        <scheme val="minor"/>
      </font>
      <numFmt numFmtId="10" formatCode="&quot;$&quot;\ #,##0;[Red]\-&quot;$&quot;\ #,##0"/>
      <fill>
        <patternFill patternType="none">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fgColor indexed="64"/>
          <bgColor indexed="65"/>
        </patternFill>
      </fill>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0"/>
        <color auto="1"/>
        <name val="Aptos Narrow"/>
        <family val="2"/>
        <scheme val="minor"/>
      </font>
      <numFmt numFmtId="30" formatCode="@"/>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0"/>
        <color auto="1"/>
        <name val="Aptos Narrow"/>
        <family val="2"/>
        <scheme val="minor"/>
      </font>
      <fill>
        <patternFill patternType="none">
          <fgColor indexed="64"/>
          <bgColor auto="1"/>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1" hidden="1"/>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ptos Narrow"/>
        <family val="2"/>
        <scheme val="minor"/>
      </font>
      <fill>
        <patternFill patternType="none">
          <bgColor auto="1"/>
        </patternFill>
      </fill>
      <alignment horizontal="general" vertical="center" textRotation="0" wrapText="1" indent="0" justifyLastLine="0" shrinkToFit="0" readingOrder="0"/>
      <protection locked="1" hidden="1"/>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theme" Target="theme/theme1.xml"/><Relationship Id="rId5" Type="http://schemas.openxmlformats.org/officeDocument/2006/relationships/externalLink" Target="externalLinks/externalLink4.xml"/><Relationship Id="rId10" Type="http://schemas.openxmlformats.org/officeDocument/2006/relationships/externalLink" Target="externalLinks/externalLink9.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83</xdr:row>
      <xdr:rowOff>82177</xdr:rowOff>
    </xdr:from>
    <xdr:to>
      <xdr:col>0</xdr:col>
      <xdr:colOff>2063</xdr:colOff>
      <xdr:row>83</xdr:row>
      <xdr:rowOff>736414</xdr:rowOff>
    </xdr:to>
    <xdr:pic>
      <xdr:nvPicPr>
        <xdr:cNvPr id="2" name="Imagen 1">
          <a:extLst>
            <a:ext uri="{FF2B5EF4-FFF2-40B4-BE49-F238E27FC236}">
              <a16:creationId xmlns:a16="http://schemas.microsoft.com/office/drawing/2014/main" id="{821BA857-5019-4BC7-98E0-68946B1F8F54}"/>
            </a:ext>
          </a:extLst>
        </xdr:cNvPr>
        <xdr:cNvPicPr>
          <a:picLocks noChangeAspect="1"/>
        </xdr:cNvPicPr>
      </xdr:nvPicPr>
      <xdr:blipFill>
        <a:blip xmlns:r="http://schemas.openxmlformats.org/officeDocument/2006/relationships" r:embed="rId1"/>
        <a:stretch>
          <a:fillRect/>
        </a:stretch>
      </xdr:blipFill>
      <xdr:spPr>
        <a:xfrm>
          <a:off x="0" y="101571052"/>
          <a:ext cx="1154588" cy="654237"/>
        </a:xfrm>
        <a:prstGeom prst="rect">
          <a:avLst/>
        </a:prstGeom>
      </xdr:spPr>
    </xdr:pic>
    <xdr:clientData/>
  </xdr:twoCellAnchor>
  <xdr:twoCellAnchor>
    <xdr:from>
      <xdr:col>0</xdr:col>
      <xdr:colOff>0</xdr:colOff>
      <xdr:row>82</xdr:row>
      <xdr:rowOff>317500</xdr:rowOff>
    </xdr:from>
    <xdr:to>
      <xdr:col>0</xdr:col>
      <xdr:colOff>9525</xdr:colOff>
      <xdr:row>82</xdr:row>
      <xdr:rowOff>774700</xdr:rowOff>
    </xdr:to>
    <xdr:pic>
      <xdr:nvPicPr>
        <xdr:cNvPr id="4" name="Imagen 29" descr="立体图">
          <a:extLst>
            <a:ext uri="{FF2B5EF4-FFF2-40B4-BE49-F238E27FC236}">
              <a16:creationId xmlns:a16="http://schemas.microsoft.com/office/drawing/2014/main" id="{79A53B21-7AA9-46ED-BDAA-218296B913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0615750"/>
          <a:ext cx="11620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26</xdr:row>
      <xdr:rowOff>63500</xdr:rowOff>
    </xdr:from>
    <xdr:to>
      <xdr:col>0</xdr:col>
      <xdr:colOff>115819</xdr:colOff>
      <xdr:row>26</xdr:row>
      <xdr:rowOff>1170214</xdr:rowOff>
    </xdr:to>
    <xdr:pic>
      <xdr:nvPicPr>
        <xdr:cNvPr id="5" name="图片 3" descr="image001">
          <a:extLst>
            <a:ext uri="{FF2B5EF4-FFF2-40B4-BE49-F238E27FC236}">
              <a16:creationId xmlns:a16="http://schemas.microsoft.com/office/drawing/2014/main" id="{96E416CA-184E-44BC-ABC3-651F631F27E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0" y="26095325"/>
          <a:ext cx="1268344" cy="11067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test.uic.asso.fr/d_stats/online/synth2000.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cambiumnetworks.sharepoint.com/Users/mgl010/Documents/-%20Docs/Services/%20Services%20P&amp;L/%20-%202017%20Planning/I:/&#20491;&#21029;&#12499;&#12523;&#35413;&#20385;/&#26087;&#35413;&#20385;&#65404;&#65405;&#65411;&#65425;/0911&#25913;&#33391;&#26087;12&#24180;&#35413;&#20385;&#12471;&#12473;&#12486;&#12512;/H14&#24180;&#24230;/&#35336;&#31639;/user2/&#26087;&#35413;&#20385;&#65404;&#65405;&#65411;&#65425;/0911&#25913;&#33391;&#26087;12&#24180;&#35413;&#20385;&#12471;&#12473;&#12486;&#12512;/My%20Documents/12&#24180;&#25913;&#33391;&#20491;&#21029;&#35413;&#20385;&#12471;&#12473;&#12486;&#12512;/'0422/&#32207;&#21512;&#65288;&#22235;&#26376;&#21313;&#20108;&#26085;&#65289;.xls?274218D3" TargetMode="External"/><Relationship Id="rId1" Type="http://schemas.openxmlformats.org/officeDocument/2006/relationships/externalLinkPath" Target="file:///\\274218D3\&#32207;&#21512;&#65288;&#22235;&#26376;&#21313;&#20108;&#26085;&#6528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ma0531f13\SYS1\Documents%20and%20Settings\bjagoe\My%20Documents\Data\First%20Reserve\Tri%20Tool\Tri%20Tool%20Templat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CORPPLAN\1999\99PLAN\JAN7SUM.WK4"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Documents%20and%20Settings/crendon.HMV/Local%20Settings/Temporary%20Internet%20Files/OLK3/8599.xls" TargetMode="External"/><Relationship Id="rId1" Type="http://schemas.openxmlformats.org/officeDocument/2006/relationships/externalLinkPath" Target="/Documents%20and%20Settings/crendon.HMV/Local%20Settings/Temporary%20Internet%20Files/OLK3/859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Jptyofsr50\KPMG\FAS\Users\TS\Non_Management\tshima\43%20Milky%20way\%3f%3f%3f%3f\grumpus\grumpus_1\Grampus%20Template.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M:\Lista%20de%20Precios%20-%20Cto\Internacionales\Cambium%20Networks\Vigente\C&#225;lculo%20LP%20Vta%20Cambium%20Networks%20(Noviembre%2010-202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Y:\Analisis%20Semanal%20Cuadros\Informe%20de%20Inventarios\2019\Octubre\INFORME%20INVENTARIOS%20Octubre%2018-2019%20%20-%20Proyectos.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Kpmg_server\c%20drive\aroyc\korea\templates-excel\jinroindustri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Pays"/>
      <sheetName val="Data_CF"/>
      <sheetName val="Pub"/>
      <sheetName val="rapport annuel"/>
      <sheetName val="miles conversions"/>
      <sheetName val="DataGraph"/>
      <sheetName val="Graph vertical"/>
      <sheetName val="Graph  Edition  Sti"/>
      <sheetName val="添付用"/>
      <sheetName val="添付用_所有"/>
      <sheetName val="synth2000"/>
      <sheetName val="List"/>
    </sheetNames>
    <sheetDataSet>
      <sheetData sheetId="0" refreshError="1"/>
      <sheetData sheetId="1" refreshError="1"/>
      <sheetData sheetId="2" refreshError="1">
        <row r="13">
          <cell r="H13" t="str">
            <v>AAE</v>
          </cell>
          <cell r="I13" t="str">
            <v xml:space="preserve">            "   </v>
          </cell>
          <cell r="J13" t="str">
            <v xml:space="preserve">        "   </v>
          </cell>
          <cell r="K13" t="str">
            <v xml:space="preserve">            "   </v>
          </cell>
          <cell r="L13">
            <v>10</v>
          </cell>
        </row>
        <row r="14">
          <cell r="H14" t="str">
            <v>GVG</v>
          </cell>
          <cell r="I14" t="str">
            <v xml:space="preserve">            "   </v>
          </cell>
          <cell r="J14" t="str">
            <v xml:space="preserve">        "   </v>
          </cell>
          <cell r="K14" t="str">
            <v xml:space="preserve">            "   </v>
          </cell>
          <cell r="L14">
            <v>0</v>
          </cell>
        </row>
        <row r="15">
          <cell r="H15" t="str">
            <v>KEG</v>
          </cell>
          <cell r="I15" t="str">
            <v xml:space="preserve">            "   </v>
          </cell>
          <cell r="J15" t="str">
            <v xml:space="preserve">        "   </v>
          </cell>
          <cell r="K15" t="str">
            <v xml:space="preserve">            "   </v>
          </cell>
          <cell r="L15">
            <v>54</v>
          </cell>
        </row>
        <row r="16">
          <cell r="H16" t="str">
            <v>ÖBB</v>
          </cell>
          <cell r="I16">
            <v>83.858999999999995</v>
          </cell>
          <cell r="J16">
            <v>8.2110000000000003</v>
          </cell>
          <cell r="K16">
            <v>97.914356240832831</v>
          </cell>
          <cell r="L16">
            <v>5683</v>
          </cell>
        </row>
        <row r="17">
          <cell r="H17" t="str">
            <v>GKE</v>
          </cell>
          <cell r="I17" t="str">
            <v xml:space="preserve">            "   </v>
          </cell>
          <cell r="J17" t="str">
            <v xml:space="preserve">        "   </v>
          </cell>
          <cell r="K17" t="str">
            <v xml:space="preserve">            "   </v>
          </cell>
          <cell r="L17">
            <v>97.486999999999995</v>
          </cell>
        </row>
        <row r="18">
          <cell r="H18" t="str">
            <v>SNCB/NMBS</v>
          </cell>
          <cell r="I18">
            <v>30.513999999999999</v>
          </cell>
          <cell r="J18">
            <v>10.161</v>
          </cell>
          <cell r="K18">
            <v>332.99469096152586</v>
          </cell>
          <cell r="L18">
            <v>3471</v>
          </cell>
        </row>
        <row r="19">
          <cell r="H19" t="str">
            <v>DSB</v>
          </cell>
          <cell r="I19">
            <v>43.093000000000004</v>
          </cell>
          <cell r="J19">
            <v>5.2930000000000001</v>
          </cell>
          <cell r="K19">
            <v>122.82737335530132</v>
          </cell>
          <cell r="L19">
            <v>0</v>
          </cell>
        </row>
        <row r="20">
          <cell r="H20" t="str">
            <v>BS</v>
          </cell>
          <cell r="I20" t="str">
            <v xml:space="preserve">            "   </v>
          </cell>
          <cell r="J20" t="str">
            <v xml:space="preserve">        "   </v>
          </cell>
          <cell r="K20" t="str">
            <v xml:space="preserve">            "   </v>
          </cell>
          <cell r="L20">
            <v>2047</v>
          </cell>
        </row>
        <row r="21">
          <cell r="H21" t="str">
            <v>RENFE</v>
          </cell>
          <cell r="I21">
            <v>504.78199999999998</v>
          </cell>
          <cell r="J21">
            <v>39.630000000000003</v>
          </cell>
          <cell r="K21">
            <v>78.50913859844448</v>
          </cell>
          <cell r="L21">
            <v>12310</v>
          </cell>
        </row>
        <row r="22">
          <cell r="H22" t="str">
            <v>Euskotren</v>
          </cell>
          <cell r="I22" t="str">
            <v xml:space="preserve">            "   </v>
          </cell>
          <cell r="J22" t="str">
            <v xml:space="preserve">        "   </v>
          </cell>
          <cell r="K22" t="str">
            <v xml:space="preserve">            "   </v>
          </cell>
          <cell r="L22">
            <v>178</v>
          </cell>
        </row>
        <row r="23">
          <cell r="H23" t="str">
            <v>FEVE</v>
          </cell>
          <cell r="I23" t="str">
            <v xml:space="preserve">            "   </v>
          </cell>
          <cell r="J23" t="str">
            <v xml:space="preserve">        "   </v>
          </cell>
          <cell r="K23" t="str">
            <v xml:space="preserve">            "   </v>
          </cell>
          <cell r="L23">
            <v>1194.0999999999999</v>
          </cell>
        </row>
        <row r="24">
          <cell r="H24" t="str">
            <v>FGC</v>
          </cell>
          <cell r="I24" t="str">
            <v xml:space="preserve">            "   </v>
          </cell>
          <cell r="J24" t="str">
            <v xml:space="preserve">        "   </v>
          </cell>
          <cell r="K24" t="str">
            <v xml:space="preserve">            "   </v>
          </cell>
          <cell r="L24">
            <v>184</v>
          </cell>
        </row>
        <row r="25">
          <cell r="H25" t="str">
            <v>VR</v>
          </cell>
          <cell r="I25">
            <v>338.14499999999998</v>
          </cell>
          <cell r="J25">
            <v>5.1760000000000002</v>
          </cell>
          <cell r="K25">
            <v>15.307042836652917</v>
          </cell>
          <cell r="L25">
            <v>0</v>
          </cell>
        </row>
        <row r="26">
          <cell r="H26" t="str">
            <v>RHK</v>
          </cell>
          <cell r="I26" t="str">
            <v xml:space="preserve">            "   </v>
          </cell>
          <cell r="J26" t="str">
            <v xml:space="preserve">        "   </v>
          </cell>
          <cell r="K26" t="str">
            <v xml:space="preserve">            "   </v>
          </cell>
          <cell r="L26">
            <v>5854</v>
          </cell>
        </row>
        <row r="27">
          <cell r="H27" t="str">
            <v>SNCF</v>
          </cell>
          <cell r="I27">
            <v>547.02599999999995</v>
          </cell>
          <cell r="J27">
            <v>59.08</v>
          </cell>
          <cell r="K27">
            <v>108.00217905547451</v>
          </cell>
          <cell r="L27">
            <v>0</v>
          </cell>
        </row>
        <row r="28">
          <cell r="H28" t="str">
            <v>RFF</v>
          </cell>
          <cell r="I28" t="str">
            <v xml:space="preserve">            "   </v>
          </cell>
          <cell r="J28" t="str">
            <v xml:space="preserve">        "   </v>
          </cell>
          <cell r="K28" t="str">
            <v xml:space="preserve">            "   </v>
          </cell>
          <cell r="L28">
            <v>32515</v>
          </cell>
        </row>
        <row r="29">
          <cell r="H29" t="str">
            <v>CH</v>
          </cell>
          <cell r="I29">
            <v>131.95699999999999</v>
          </cell>
          <cell r="J29">
            <v>10.645</v>
          </cell>
          <cell r="K29">
            <v>80.670218328697985</v>
          </cell>
          <cell r="L29">
            <v>2299</v>
          </cell>
        </row>
        <row r="30">
          <cell r="H30" t="str">
            <v>CIE</v>
          </cell>
          <cell r="I30">
            <v>70.283000000000001</v>
          </cell>
          <cell r="J30">
            <v>3.73</v>
          </cell>
          <cell r="K30">
            <v>53.071155186887296</v>
          </cell>
          <cell r="L30">
            <v>1915</v>
          </cell>
        </row>
        <row r="31">
          <cell r="H31" t="str">
            <v>FNME</v>
          </cell>
          <cell r="I31">
            <v>301.22500000000002</v>
          </cell>
          <cell r="J31">
            <v>57.298000000000002</v>
          </cell>
          <cell r="K31">
            <v>190.21661548676238</v>
          </cell>
          <cell r="L31">
            <v>321</v>
          </cell>
        </row>
        <row r="32">
          <cell r="H32" t="str">
            <v>FS SpA</v>
          </cell>
          <cell r="I32" t="str">
            <v xml:space="preserve">            "   </v>
          </cell>
          <cell r="J32" t="str">
            <v xml:space="preserve">        "   </v>
          </cell>
          <cell r="K32" t="str">
            <v xml:space="preserve">            "   </v>
          </cell>
          <cell r="L32">
            <v>16178</v>
          </cell>
        </row>
        <row r="33">
          <cell r="H33" t="str">
            <v>CFL</v>
          </cell>
          <cell r="I33">
            <v>2.5859999999999999</v>
          </cell>
          <cell r="J33">
            <v>0.43099999999999999</v>
          </cell>
          <cell r="K33">
            <v>166.66666666666669</v>
          </cell>
          <cell r="L33">
            <v>274</v>
          </cell>
        </row>
        <row r="34">
          <cell r="H34" t="str">
            <v>NS N.V.</v>
          </cell>
          <cell r="I34">
            <v>41.527999999999999</v>
          </cell>
          <cell r="J34">
            <v>15.786</v>
          </cell>
          <cell r="K34">
            <v>380.12906954344055</v>
          </cell>
          <cell r="L34">
            <v>0</v>
          </cell>
        </row>
        <row r="35">
          <cell r="H35" t="str">
            <v>Railion</v>
          </cell>
          <cell r="I35" t="str">
            <v xml:space="preserve">            "   </v>
          </cell>
          <cell r="J35" t="str">
            <v xml:space="preserve">        "   </v>
          </cell>
          <cell r="K35" t="str">
            <v xml:space="preserve">            "   </v>
          </cell>
          <cell r="L35">
            <v>0</v>
          </cell>
        </row>
        <row r="36">
          <cell r="H36" t="str">
            <v>RIM</v>
          </cell>
          <cell r="I36" t="str">
            <v xml:space="preserve">            "   </v>
          </cell>
          <cell r="J36" t="str">
            <v xml:space="preserve">        "   </v>
          </cell>
          <cell r="K36" t="str">
            <v xml:space="preserve">            "   </v>
          </cell>
          <cell r="L36">
            <v>2802</v>
          </cell>
        </row>
        <row r="37">
          <cell r="H37" t="str">
            <v>CP</v>
          </cell>
          <cell r="I37">
            <v>92.081999999999994</v>
          </cell>
          <cell r="J37">
            <v>9.875</v>
          </cell>
          <cell r="K37">
            <v>107.24137182076845</v>
          </cell>
          <cell r="L37">
            <v>0</v>
          </cell>
        </row>
        <row r="38">
          <cell r="H38" t="str">
            <v>REFER</v>
          </cell>
          <cell r="I38" t="str">
            <v xml:space="preserve">            "   </v>
          </cell>
          <cell r="J38" t="str">
            <v xml:space="preserve">        "   </v>
          </cell>
          <cell r="K38" t="str">
            <v xml:space="preserve">            "   </v>
          </cell>
          <cell r="L38">
            <v>2814</v>
          </cell>
        </row>
        <row r="39">
          <cell r="H39" t="str">
            <v>ATOC</v>
          </cell>
          <cell r="I39">
            <v>244.04599999999999</v>
          </cell>
          <cell r="J39">
            <v>58.83</v>
          </cell>
          <cell r="K39">
            <v>241.0611114298124</v>
          </cell>
          <cell r="L39">
            <v>0</v>
          </cell>
        </row>
        <row r="40">
          <cell r="H40" t="str">
            <v>Total freight operators</v>
          </cell>
          <cell r="I40" t="str">
            <v xml:space="preserve">            "   </v>
          </cell>
          <cell r="J40" t="str">
            <v xml:space="preserve">        "   </v>
          </cell>
          <cell r="K40" t="str">
            <v xml:space="preserve">            "   </v>
          </cell>
          <cell r="L40">
            <v>0</v>
          </cell>
        </row>
        <row r="41">
          <cell r="H41" t="str">
            <v>Eurotunnel</v>
          </cell>
          <cell r="I41" t="str">
            <v xml:space="preserve">            "   </v>
          </cell>
          <cell r="J41" t="str">
            <v xml:space="preserve">        "   </v>
          </cell>
          <cell r="K41" t="str">
            <v xml:space="preserve">            "   </v>
          </cell>
          <cell r="L41">
            <v>58</v>
          </cell>
        </row>
        <row r="42">
          <cell r="H42" t="str">
            <v>NIR</v>
          </cell>
          <cell r="I42" t="str">
            <v xml:space="preserve">            "   </v>
          </cell>
          <cell r="J42" t="str">
            <v xml:space="preserve">        "   </v>
          </cell>
          <cell r="K42" t="str">
            <v xml:space="preserve">            "   </v>
          </cell>
          <cell r="L42">
            <v>357</v>
          </cell>
        </row>
        <row r="43">
          <cell r="H43" t="str">
            <v>Railtrack</v>
          </cell>
          <cell r="I43" t="str">
            <v xml:space="preserve">            "   </v>
          </cell>
          <cell r="J43" t="str">
            <v xml:space="preserve">        "   </v>
          </cell>
          <cell r="K43" t="str">
            <v xml:space="preserve">            "   </v>
          </cell>
          <cell r="L43">
            <v>16652</v>
          </cell>
        </row>
        <row r="44">
          <cell r="G44" t="str">
            <v>2)</v>
          </cell>
          <cell r="H44" t="str">
            <v>SJ</v>
          </cell>
          <cell r="I44">
            <v>449.964</v>
          </cell>
          <cell r="J44">
            <v>8.91</v>
          </cell>
          <cell r="K44">
            <v>19.801584126730138</v>
          </cell>
          <cell r="L44">
            <v>0</v>
          </cell>
        </row>
        <row r="45">
          <cell r="H45" t="str">
            <v>MTAB</v>
          </cell>
          <cell r="I45" t="str">
            <v xml:space="preserve">            "   </v>
          </cell>
          <cell r="J45" t="str">
            <v xml:space="preserve">        "   </v>
          </cell>
          <cell r="K45" t="str">
            <v xml:space="preserve">            "   </v>
          </cell>
          <cell r="L45">
            <v>0</v>
          </cell>
        </row>
        <row r="46">
          <cell r="H46" t="str">
            <v>BV</v>
          </cell>
          <cell r="I46" t="str">
            <v xml:space="preserve">            "   </v>
          </cell>
          <cell r="J46" t="str">
            <v xml:space="preserve">        "   </v>
          </cell>
          <cell r="K46" t="str">
            <v xml:space="preserve">            "   </v>
          </cell>
          <cell r="L46">
            <v>9946</v>
          </cell>
        </row>
        <row r="47">
          <cell r="H47" t="str">
            <v>BK</v>
          </cell>
          <cell r="I47" t="str">
            <v xml:space="preserve">            "   </v>
          </cell>
          <cell r="J47" t="str">
            <v xml:space="preserve">        "   </v>
          </cell>
          <cell r="K47" t="str">
            <v xml:space="preserve">            "   </v>
          </cell>
          <cell r="L47">
            <v>0</v>
          </cell>
        </row>
        <row r="48">
          <cell r="I48">
            <v>3238.0489999999986</v>
          </cell>
          <cell r="J48">
            <v>375.27600000000001</v>
          </cell>
          <cell r="K48">
            <v>115.89571374614781</v>
          </cell>
          <cell r="L48">
            <v>153801.587</v>
          </cell>
        </row>
        <row r="49">
          <cell r="H49" t="str">
            <v>NSB BA</v>
          </cell>
          <cell r="I49">
            <v>386.95800000000003</v>
          </cell>
          <cell r="J49">
            <v>4.4649999999999999</v>
          </cell>
          <cell r="K49">
            <v>11.538719964440585</v>
          </cell>
          <cell r="L49">
            <v>0</v>
          </cell>
        </row>
        <row r="50">
          <cell r="H50" t="str">
            <v>MTAS</v>
          </cell>
          <cell r="I50" t="str">
            <v xml:space="preserve">            "   </v>
          </cell>
          <cell r="J50" t="str">
            <v xml:space="preserve">        "   </v>
          </cell>
          <cell r="K50" t="str">
            <v xml:space="preserve">            "   </v>
          </cell>
          <cell r="L50">
            <v>0</v>
          </cell>
        </row>
        <row r="51">
          <cell r="H51" t="str">
            <v>JBV</v>
          </cell>
          <cell r="I51" t="str">
            <v xml:space="preserve">            "   </v>
          </cell>
          <cell r="J51" t="str">
            <v xml:space="preserve">        "   </v>
          </cell>
          <cell r="K51" t="str">
            <v xml:space="preserve">            "   </v>
          </cell>
          <cell r="L51">
            <v>4179</v>
          </cell>
        </row>
        <row r="52">
          <cell r="H52" t="str">
            <v>BLS</v>
          </cell>
          <cell r="I52">
            <v>41.283999999999999</v>
          </cell>
          <cell r="J52">
            <v>7.3860000000000001</v>
          </cell>
          <cell r="K52">
            <v>178.90708264703034</v>
          </cell>
          <cell r="L52">
            <v>241</v>
          </cell>
        </row>
        <row r="53">
          <cell r="H53" t="str">
            <v>CFF/SBB/FFS</v>
          </cell>
          <cell r="I53" t="str">
            <v xml:space="preserve">            "   </v>
          </cell>
          <cell r="J53" t="str">
            <v xml:space="preserve">        "   </v>
          </cell>
          <cell r="K53" t="str">
            <v xml:space="preserve">            "   </v>
          </cell>
          <cell r="L53">
            <v>2902</v>
          </cell>
        </row>
        <row r="54">
          <cell r="I54">
            <v>3666.2909999999988</v>
          </cell>
          <cell r="J54">
            <v>387.12700000000001</v>
          </cell>
          <cell r="K54">
            <v>105.59090917769488</v>
          </cell>
          <cell r="L54">
            <v>161123.587</v>
          </cell>
        </row>
        <row r="55">
          <cell r="H55" t="str">
            <v>HSh</v>
          </cell>
          <cell r="I55">
            <v>28.748000000000001</v>
          </cell>
          <cell r="J55">
            <v>3.113</v>
          </cell>
          <cell r="K55">
            <v>108.28579379435091</v>
          </cell>
          <cell r="L55">
            <v>440</v>
          </cell>
        </row>
        <row r="56">
          <cell r="H56" t="str">
            <v>ZBH</v>
          </cell>
          <cell r="I56">
            <v>51.128999999999998</v>
          </cell>
          <cell r="J56">
            <v>3.972</v>
          </cell>
          <cell r="K56">
            <v>77.685853429560524</v>
          </cell>
          <cell r="L56">
            <v>608.495</v>
          </cell>
        </row>
        <row r="57">
          <cell r="H57" t="str">
            <v>ZRS</v>
          </cell>
          <cell r="I57" t="str">
            <v xml:space="preserve">            "   </v>
          </cell>
          <cell r="J57" t="str">
            <v xml:space="preserve">        "   </v>
          </cell>
          <cell r="K57" t="str">
            <v xml:space="preserve">            "   </v>
          </cell>
          <cell r="L57">
            <v>424</v>
          </cell>
        </row>
        <row r="58">
          <cell r="H58" t="str">
            <v>BDZ</v>
          </cell>
          <cell r="I58">
            <v>110.91200000000001</v>
          </cell>
          <cell r="J58">
            <v>8.2249999999999996</v>
          </cell>
          <cell r="K58">
            <v>74.157890940565494</v>
          </cell>
          <cell r="L58">
            <v>4320</v>
          </cell>
        </row>
        <row r="59">
          <cell r="H59" t="str">
            <v>HZ</v>
          </cell>
          <cell r="I59">
            <v>56.537999999999997</v>
          </cell>
          <cell r="J59">
            <v>4.4729999999999999</v>
          </cell>
          <cell r="K59">
            <v>79.114931550461634</v>
          </cell>
          <cell r="L59">
            <v>2726.8</v>
          </cell>
        </row>
        <row r="60">
          <cell r="H60" t="str">
            <v>GYSEV/RÖEE</v>
          </cell>
          <cell r="I60">
            <v>93.03</v>
          </cell>
          <cell r="J60">
            <v>10.036</v>
          </cell>
          <cell r="K60">
            <v>107.87917875953993</v>
          </cell>
          <cell r="L60">
            <v>220</v>
          </cell>
        </row>
        <row r="61">
          <cell r="H61" t="str">
            <v>MÁV Rt.</v>
          </cell>
          <cell r="I61" t="str">
            <v xml:space="preserve">            "   </v>
          </cell>
          <cell r="J61" t="str">
            <v xml:space="preserve">        "   </v>
          </cell>
          <cell r="K61" t="str">
            <v xml:space="preserve">            "   </v>
          </cell>
          <cell r="L61">
            <v>7784</v>
          </cell>
        </row>
        <row r="62">
          <cell r="H62" t="str">
            <v>CFARYM</v>
          </cell>
          <cell r="I62">
            <v>25.713000000000001</v>
          </cell>
          <cell r="J62">
            <v>2.024</v>
          </cell>
          <cell r="K62">
            <v>78.715046863454276</v>
          </cell>
          <cell r="L62">
            <v>699</v>
          </cell>
        </row>
        <row r="63">
          <cell r="H63" t="str">
            <v>PKP</v>
          </cell>
          <cell r="I63">
            <v>312.685</v>
          </cell>
          <cell r="J63">
            <v>38.765000000000001</v>
          </cell>
          <cell r="K63">
            <v>123.97460703263668</v>
          </cell>
          <cell r="L63">
            <v>22560</v>
          </cell>
        </row>
        <row r="64">
          <cell r="H64" t="str">
            <v>CFR</v>
          </cell>
          <cell r="I64">
            <v>238.39099999999999</v>
          </cell>
          <cell r="J64">
            <v>22.327000000000002</v>
          </cell>
          <cell r="K64">
            <v>93.657059201060449</v>
          </cell>
          <cell r="L64">
            <v>11364</v>
          </cell>
        </row>
        <row r="65">
          <cell r="H65" t="str">
            <v>ZSR</v>
          </cell>
          <cell r="I65">
            <v>49</v>
          </cell>
          <cell r="J65">
            <v>5.3869999999999996</v>
          </cell>
          <cell r="K65">
            <v>109.93877551020408</v>
          </cell>
          <cell r="L65">
            <v>3662</v>
          </cell>
        </row>
        <row r="66">
          <cell r="H66" t="str">
            <v>SZ</v>
          </cell>
          <cell r="I66">
            <v>20.256</v>
          </cell>
          <cell r="J66">
            <v>1.986</v>
          </cell>
          <cell r="K66">
            <v>98.045023696682463</v>
          </cell>
          <cell r="L66">
            <v>1201.5</v>
          </cell>
        </row>
        <row r="67">
          <cell r="H67" t="str">
            <v>CD</v>
          </cell>
          <cell r="I67">
            <v>78.864000000000004</v>
          </cell>
          <cell r="J67">
            <v>10.244</v>
          </cell>
          <cell r="K67">
            <v>129.89450192736862</v>
          </cell>
          <cell r="L67">
            <v>9365</v>
          </cell>
        </row>
        <row r="68">
          <cell r="H68" t="str">
            <v>JZ</v>
          </cell>
          <cell r="I68">
            <v>102.173</v>
          </cell>
          <cell r="J68">
            <v>10.64</v>
          </cell>
          <cell r="K68">
            <v>104.13710079962416</v>
          </cell>
          <cell r="L68">
            <v>4057.7</v>
          </cell>
        </row>
        <row r="69">
          <cell r="I69">
            <v>1167.4389999999999</v>
          </cell>
          <cell r="J69">
            <v>121.19200000000001</v>
          </cell>
          <cell r="K69">
            <v>103.81013483359732</v>
          </cell>
          <cell r="L69">
            <v>69432.494999999995</v>
          </cell>
        </row>
        <row r="71">
          <cell r="H71" t="str">
            <v>BC</v>
          </cell>
          <cell r="I71">
            <v>207.6</v>
          </cell>
          <cell r="J71">
            <v>10.236000000000001</v>
          </cell>
          <cell r="K71">
            <v>49.306358381502896</v>
          </cell>
          <cell r="L71">
            <v>5512</v>
          </cell>
        </row>
        <row r="72">
          <cell r="H72" t="str">
            <v>EVR</v>
          </cell>
          <cell r="I72">
            <v>45.225999999999999</v>
          </cell>
          <cell r="J72">
            <v>1.3959999999999999</v>
          </cell>
          <cell r="K72">
            <v>30.867200283023038</v>
          </cell>
          <cell r="L72">
            <v>968</v>
          </cell>
        </row>
        <row r="73">
          <cell r="H73" t="str">
            <v>LDZ</v>
          </cell>
          <cell r="I73">
            <v>64.616</v>
          </cell>
          <cell r="J73">
            <v>2.3570000000000002</v>
          </cell>
          <cell r="K73">
            <v>36.477033552061407</v>
          </cell>
          <cell r="L73">
            <v>2331</v>
          </cell>
        </row>
        <row r="74">
          <cell r="H74" t="str">
            <v>LG</v>
          </cell>
          <cell r="I74">
            <v>65.3</v>
          </cell>
          <cell r="J74">
            <v>3.67</v>
          </cell>
          <cell r="K74">
            <v>56.202143950995413</v>
          </cell>
          <cell r="L74">
            <v>1905</v>
          </cell>
        </row>
        <row r="75">
          <cell r="H75" t="str">
            <v>CFM (E)</v>
          </cell>
          <cell r="I75">
            <v>33.76</v>
          </cell>
          <cell r="J75">
            <v>4.38</v>
          </cell>
          <cell r="K75">
            <v>129.739336492891</v>
          </cell>
          <cell r="L75">
            <v>1139</v>
          </cell>
        </row>
        <row r="76">
          <cell r="H76" t="str">
            <v>RZD</v>
          </cell>
          <cell r="I76">
            <v>17075.400000000001</v>
          </cell>
          <cell r="J76">
            <v>146.934</v>
          </cell>
          <cell r="K76">
            <v>8.6050107171720711</v>
          </cell>
          <cell r="L76">
            <v>86075</v>
          </cell>
        </row>
        <row r="77">
          <cell r="H77" t="str">
            <v>UZ</v>
          </cell>
          <cell r="I77">
            <v>603.70000000000005</v>
          </cell>
          <cell r="J77">
            <v>50.456000000000003</v>
          </cell>
          <cell r="K77">
            <v>83.577936060957427</v>
          </cell>
          <cell r="L77">
            <v>22302</v>
          </cell>
        </row>
        <row r="78">
          <cell r="I78">
            <v>18095.602000000003</v>
          </cell>
          <cell r="J78">
            <v>219.42899999999997</v>
          </cell>
          <cell r="K78">
            <v>12.126095611519304</v>
          </cell>
          <cell r="L78">
            <v>120232</v>
          </cell>
        </row>
        <row r="79">
          <cell r="H79" t="str">
            <v>TCDD</v>
          </cell>
          <cell r="I79">
            <v>779.452</v>
          </cell>
          <cell r="J79">
            <v>66.590999999999994</v>
          </cell>
          <cell r="K79">
            <v>85.433099151711716</v>
          </cell>
          <cell r="L79">
            <v>8671</v>
          </cell>
        </row>
        <row r="80">
          <cell r="I80">
            <v>23708.784000000003</v>
          </cell>
          <cell r="J80">
            <v>794.33900000000006</v>
          </cell>
          <cell r="K80">
            <v>33.503995818596181</v>
          </cell>
          <cell r="L80">
            <v>359459.08199999999</v>
          </cell>
        </row>
        <row r="81">
          <cell r="I81" t="str">
            <v>Tausend</v>
          </cell>
          <cell r="J81" t="str">
            <v>Millionen</v>
          </cell>
          <cell r="K81" t="str">
            <v>Einwohner</v>
          </cell>
          <cell r="L81" t="str">
            <v>in Kilometer</v>
          </cell>
        </row>
        <row r="82">
          <cell r="I82" t="str">
            <v>km²</v>
          </cell>
          <cell r="K82" t="str">
            <v>/km²</v>
          </cell>
          <cell r="L82" t="str">
            <v>Gesamt-</v>
          </cell>
        </row>
        <row r="83">
          <cell r="I83" t="str">
            <v>Fläche des</v>
          </cell>
          <cell r="J83" t="str">
            <v>Bevölke-</v>
          </cell>
          <cell r="K83" t="str">
            <v>Bevölke-</v>
          </cell>
          <cell r="L83" t="str">
            <v>summe</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計算過程シート"/>
      <sheetName val="メイン"/>
      <sheetName val="BS"/>
      <sheetName val="土地賃貸借契約の概要"/>
    </sheetNames>
    <sheetDataSet>
      <sheetData sheetId="0" refreshError="1"/>
      <sheetData sheetId="1" refreshError="1"/>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lines"/>
      <sheetName val="To do"/>
      <sheetName val="Issues"/>
      <sheetName val="Requests"/>
      <sheetName val="Questions2"/>
      <sheetName val="Questions1"/>
      <sheetName val="Non op ex"/>
      <sheetName val="Summary IS"/>
      <sheetName val="A"/>
      <sheetName val="Historical IS"/>
      <sheetName val="Hist sales GM"/>
      <sheetName val="EBITDA"/>
      <sheetName val="R&amp;D Rpt"/>
      <sheetName val="R&amp;D"/>
      <sheetName val="Selling Rpt"/>
      <sheetName val="Selling"/>
      <sheetName val="G&amp;A rpt"/>
      <sheetName val="G&amp;A"/>
      <sheetName val="Hdct"/>
      <sheetName val="Other op ex"/>
      <sheetName val="Notes"/>
      <sheetName val="Sheet1"/>
      <sheetName val="DSO"/>
      <sheetName val="NWC graph"/>
      <sheetName val="Income Statement"/>
      <sheetName val="Controls"/>
      <sheetName val="D&amp;A"/>
      <sheetName val="graphs"/>
      <sheetName val="PIA Identifiers"/>
      <sheetName val="Fund Managers"/>
      <sheetName val="Long-Term Care Comps"/>
      <sheetName val="Football"/>
      <sheetName val="LBO Valuation Analysis"/>
      <sheetName val="Sheet1 (2)"/>
      <sheetName val="Sheet3"/>
      <sheetName val="Buy"/>
      <sheetName val="Summary"/>
      <sheetName val="Spin 1"/>
      <sheetName val="Sec Equity"/>
      <sheetName val="GRAPH &amp; SOURCE DATA"/>
      <sheetName val="Projections"/>
      <sheetName val="LBO Assumptions"/>
      <sheetName val="Sale"/>
      <sheetName val="Split"/>
      <sheetName val="TargetDCF"/>
      <sheetName val="Contents"/>
      <sheetName val="model"/>
      <sheetName val="Over"/>
      <sheetName val="P&amp;L"/>
      <sheetName val="Shipping"/>
      <sheetName val="NWCG"/>
      <sheetName val="Valuation Characteristics"/>
      <sheetName val="2010 Liquidity"/>
      <sheetName val="Sheet2"/>
      <sheetName val="Tri Tool Template"/>
      <sheetName val="Input"/>
      <sheetName val="Herramientas para análisis-VBA"/>
      <sheetName val="Valuation Comments"/>
      <sheetName val="Exemption Codes"/>
      <sheetName val="Income Codes"/>
      <sheetName val="Recipient and WHA Status Codes"/>
      <sheetName val="Other drop down options"/>
      <sheetName val="Pivot Unbilled Rev"/>
      <sheetName val="Variance Details"/>
      <sheetName val="Invoices thru Sep"/>
      <sheetName val="Invoices through October"/>
      <sheetName val="103.02 H2O Unbilled Rev GL Dtl"/>
      <sheetName val="Cynthia Rev Sch_Oct as of 11-30"/>
      <sheetName val="Pivot Unbilled PTEs"/>
      <sheetName val="103.03 H2O Unbilled PTEs GL Dtl"/>
      <sheetName val="lookups"/>
      <sheetName val="Ranpak"/>
      <sheetName val="To_do"/>
      <sheetName val="Non_op_ex"/>
      <sheetName val="Summary_IS"/>
      <sheetName val="Historical_IS"/>
      <sheetName val="Hist_sales_GM"/>
      <sheetName val="R&amp;D_Rpt"/>
      <sheetName val="Selling_Rpt"/>
      <sheetName val="G&amp;A_rpt"/>
      <sheetName val="Other_op_ex"/>
      <sheetName val="NWC_grap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refreshError="1"/>
      <sheetData sheetId="71" refreshError="1"/>
      <sheetData sheetId="72"/>
      <sheetData sheetId="73"/>
      <sheetData sheetId="74"/>
      <sheetData sheetId="75"/>
      <sheetData sheetId="76"/>
      <sheetData sheetId="77"/>
      <sheetData sheetId="78"/>
      <sheetData sheetId="79"/>
      <sheetData sheetId="80"/>
      <sheetData sheetId="8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dec3 sum"/>
      <sheetName val="asp"/>
      <sheetName val="sap"/>
      <sheetName val="assumptions"/>
      <sheetName val="F"/>
      <sheetName val="cost bonus"/>
      <sheetName val="cost bonus2"/>
      <sheetName val="bod opex"/>
      <sheetName val="chrono"/>
      <sheetName val="revenue"/>
      <sheetName val="units"/>
      <sheetName val="highlights"/>
      <sheetName val="engineering"/>
      <sheetName val="cost file"/>
      <sheetName val="sga"/>
      <sheetName val="sga2"/>
      <sheetName val="Historical IS"/>
      <sheetName val="添付用"/>
      <sheetName val="添付用_所有"/>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0">
          <cell r="P10">
            <v>91.7</v>
          </cell>
          <cell r="Q10">
            <v>109.1</v>
          </cell>
          <cell r="R10">
            <v>120.8</v>
          </cell>
        </row>
        <row r="45">
          <cell r="P45">
            <v>148.1</v>
          </cell>
          <cell r="Q45">
            <v>177</v>
          </cell>
          <cell r="R45">
            <v>217.70000000000002</v>
          </cell>
        </row>
        <row r="46">
          <cell r="P46">
            <v>152.30000000000001</v>
          </cell>
          <cell r="Q46">
            <v>188.4</v>
          </cell>
          <cell r="R46">
            <v>213.9</v>
          </cell>
        </row>
        <row r="77">
          <cell r="P77">
            <v>371.2</v>
          </cell>
          <cell r="Q77">
            <v>432</v>
          </cell>
          <cell r="R77">
            <v>468.30000000000007</v>
          </cell>
        </row>
        <row r="78">
          <cell r="P78">
            <v>0</v>
          </cell>
          <cell r="Q78">
            <v>0</v>
          </cell>
          <cell r="R78">
            <v>97.9</v>
          </cell>
        </row>
        <row r="81">
          <cell r="P81" t="str">
            <v xml:space="preserve">1996 </v>
          </cell>
          <cell r="Q81" t="str">
            <v xml:space="preserve">1997 </v>
          </cell>
          <cell r="R81" t="str">
            <v xml:space="preserve">1998 </v>
          </cell>
        </row>
        <row r="82">
          <cell r="P82">
            <v>267.2</v>
          </cell>
          <cell r="Q82">
            <v>326</v>
          </cell>
          <cell r="R82">
            <v>368.1</v>
          </cell>
        </row>
      </sheetData>
      <sheetData sheetId="11" refreshError="1"/>
      <sheetData sheetId="12" refreshError="1"/>
      <sheetData sheetId="13" refreshError="1">
        <row r="7">
          <cell r="P7">
            <v>14.247999999999999</v>
          </cell>
          <cell r="Q7">
            <v>15.250999999999999</v>
          </cell>
          <cell r="R7">
            <v>15.183999999999999</v>
          </cell>
          <cell r="S7">
            <v>14.958</v>
          </cell>
          <cell r="T7">
            <v>26.911000000000001</v>
          </cell>
        </row>
        <row r="16">
          <cell r="P16">
            <v>4.2850000000000001</v>
          </cell>
          <cell r="Q16">
            <v>5.1609999999999996</v>
          </cell>
          <cell r="R16">
            <v>3.298</v>
          </cell>
          <cell r="S16">
            <v>1.7840000000000007</v>
          </cell>
          <cell r="T16">
            <v>10.664000000000001</v>
          </cell>
        </row>
        <row r="42">
          <cell r="Q42">
            <v>14.349999999999998</v>
          </cell>
          <cell r="R42">
            <v>16.510999999999999</v>
          </cell>
          <cell r="S42">
            <v>21.537000000000003</v>
          </cell>
          <cell r="U42">
            <v>17.942999999999998</v>
          </cell>
          <cell r="V42">
            <v>20.970999999999997</v>
          </cell>
          <cell r="W42">
            <v>26.556000000000004</v>
          </cell>
        </row>
        <row r="46">
          <cell r="Q46">
            <v>4.51</v>
          </cell>
          <cell r="R46">
            <v>10.840999999999999</v>
          </cell>
          <cell r="S46">
            <v>14.196999999999999</v>
          </cell>
          <cell r="U46">
            <v>2.0550000000000002</v>
          </cell>
          <cell r="V46">
            <v>2.6640000000000001</v>
          </cell>
          <cell r="W46">
            <v>1.796</v>
          </cell>
        </row>
        <row r="48">
          <cell r="Q48" t="str">
            <v xml:space="preserve">1996 </v>
          </cell>
          <cell r="R48" t="str">
            <v xml:space="preserve">1997 </v>
          </cell>
          <cell r="S48" t="str">
            <v xml:space="preserve">1998 </v>
          </cell>
        </row>
        <row r="49">
          <cell r="Q49">
            <v>2.2290000000000001</v>
          </cell>
          <cell r="R49">
            <v>1</v>
          </cell>
          <cell r="S49">
            <v>1.8</v>
          </cell>
        </row>
        <row r="50">
          <cell r="Q50">
            <v>0</v>
          </cell>
          <cell r="R50">
            <v>0</v>
          </cell>
          <cell r="S50">
            <v>0</v>
          </cell>
        </row>
      </sheetData>
      <sheetData sheetId="14" refreshError="1"/>
      <sheetData sheetId="15" refreshError="1">
        <row r="7">
          <cell r="P7">
            <v>149.6</v>
          </cell>
          <cell r="Q7">
            <v>165.2</v>
          </cell>
          <cell r="R7">
            <v>192</v>
          </cell>
        </row>
        <row r="9">
          <cell r="P9" t="str">
            <v xml:space="preserve">1996 </v>
          </cell>
          <cell r="Q9" t="str">
            <v xml:space="preserve">1997 </v>
          </cell>
          <cell r="R9" t="str">
            <v xml:space="preserve">1998 </v>
          </cell>
        </row>
        <row r="10">
          <cell r="P10">
            <v>22.780569514237854</v>
          </cell>
          <cell r="Q10">
            <v>21.338155515370701</v>
          </cell>
          <cell r="R10">
            <v>20.210695447398745</v>
          </cell>
        </row>
        <row r="11">
          <cell r="P11">
            <v>22.780569514237854</v>
          </cell>
          <cell r="Q11">
            <v>21.338155515370701</v>
          </cell>
          <cell r="R11">
            <v>19.7207855179179</v>
          </cell>
        </row>
        <row r="12">
          <cell r="P12">
            <v>22.780569514237854</v>
          </cell>
          <cell r="Q12">
            <v>21.338155515370701</v>
          </cell>
          <cell r="R12">
            <v>21.925515939079265</v>
          </cell>
        </row>
      </sheetData>
      <sheetData sheetId="16" refreshError="1"/>
      <sheetData sheetId="17" refreshError="1"/>
      <sheetData sheetId="18" refreshError="1"/>
      <sheetData sheetId="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esentacion"/>
      <sheetName val="Ejecutivo"/>
      <sheetName val="Resumen_Real"/>
      <sheetName val="TablasDinamicas"/>
      <sheetName val="HorasDetalladas"/>
      <sheetName val="46W9"/>
      <sheetName val="46W9_Hoja1"/>
      <sheetName val="46W9_Cuadro de costos"/>
      <sheetName val="46W9_Bases"/>
      <sheetName val="46W9_ASPECTOS ELECTRICOS"/>
      <sheetName val="46W9_OBRAS CIVILES"/>
      <sheetName val="46W9_Costo directos"/>
      <sheetName val="46W9_Resumen Costos"/>
    </sheetNames>
    <sheetDataSet>
      <sheetData sheetId="0"/>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総括"/>
      <sheetName val="重要総括事項"/>
      <sheetName val="実態分析"/>
      <sheetName val="関係会社投融資評価"/>
      <sheetName val="BS・PL・CF"/>
      <sheetName val="10年"/>
      <sheetName val="デュポン"/>
      <sheetName val="部門別"/>
      <sheetName val="円"/>
      <sheetName val="棒"/>
      <sheetName val="バブル"/>
      <sheetName val="損益"/>
      <sheetName val="人員推移"/>
      <sheetName val="運転資金"/>
      <sheetName val="余剰資産"/>
      <sheetName val="売上債権"/>
      <sheetName val="売上債権 (2)"/>
      <sheetName val="売上債権 (3)"/>
      <sheetName val="貸倒実績"/>
      <sheetName val="棚卸資産"/>
      <sheetName val="棚卸資産 (2)"/>
      <sheetName val="その他流動資産"/>
      <sheetName val="有形・無形固定資産"/>
      <sheetName val="有形・無形固定資産 (減価償却費)"/>
      <sheetName val="有形・無形固定資産 (償却率)"/>
      <sheetName val="有形・無形固定資産 (設備投資)"/>
      <sheetName val="リース債務"/>
      <sheetName val="投資有価証券・貸付金"/>
      <sheetName val="その他投資等"/>
      <sheetName val="仕入債務"/>
      <sheetName val="仕入債務 (2)"/>
      <sheetName val="社債・借入金・現金預金"/>
      <sheetName val="借入金返済スケジュール"/>
      <sheetName val="その他負債"/>
      <sheetName val="退職給付引当金"/>
      <sheetName val="退職給付引当金 (3)"/>
      <sheetName val="資本の部"/>
      <sheetName val="売上高(得意先別）"/>
      <sheetName val="売上高(部門別)"/>
      <sheetName val="売上原価"/>
      <sheetName val="販管費 (本社その他)"/>
      <sheetName val="販管費"/>
      <sheetName val="物流費"/>
      <sheetName val="販売費"/>
      <sheetName val="人件費"/>
      <sheetName val="管理費"/>
      <sheetName val="営業外損益"/>
      <sheetName val="特別損益"/>
      <sheetName val="税金関係"/>
      <sheetName val="税効果"/>
      <sheetName val="不使用（担保提供資産）"/>
      <sheetName val="税金関係 (2)"/>
      <sheetName val="保証債務 "/>
      <sheetName val="関係会社取引"/>
      <sheetName val="03bs"/>
      <sheetName val="02bs"/>
      <sheetName val="01bs"/>
      <sheetName val="03pl"/>
      <sheetName val="02pl"/>
      <sheetName val="01pl"/>
      <sheetName val="Compdata"/>
      <sheetName val="Billto"/>
      <sheetName val="Com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P VTA LAIRD"/>
      <sheetName val="LP VTA CAMBIUM"/>
      <sheetName val="Cálculo LPVta Laird"/>
      <sheetName val="Cálculo LPVta Cambium"/>
      <sheetName val="STOCK"/>
      <sheetName val="EPMP "/>
      <sheetName val="CnPilot"/>
      <sheetName val="CORE"/>
    </sheetNames>
    <sheetDataSet>
      <sheetData sheetId="0"/>
      <sheetData sheetId="1"/>
      <sheetData sheetId="2"/>
      <sheetData sheetId="3">
        <row r="4">
          <cell r="AA4">
            <v>0.2</v>
          </cell>
        </row>
      </sheetData>
      <sheetData sheetId="4"/>
      <sheetData sheetId="5"/>
      <sheetData sheetId="6"/>
      <sheetData sheetId="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ck Total Proyectos"/>
      <sheetName val="AXIS Octubre 21-19"/>
      <sheetName val="KANTECH Octubre 21-19"/>
      <sheetName val="FURUKAWA Octubre 21-19"/>
      <sheetName val="TRENDnet Octubre 21-19"/>
      <sheetName val="Bod (01-06-Sat) Proyectos"/>
      <sheetName val="Outlet Proyectos"/>
      <sheetName val="Bazar Proyectos"/>
      <sheetName val="Resumen_Inv"/>
    </sheetNames>
    <sheetDataSet>
      <sheetData sheetId="0"/>
      <sheetData sheetId="1"/>
      <sheetData sheetId="2"/>
      <sheetData sheetId="3"/>
      <sheetData sheetId="4"/>
      <sheetData sheetId="5"/>
      <sheetData sheetId="6"/>
      <sheetData sheetId="7"/>
      <sheetData sheetId="8">
        <row r="66">
          <cell r="I66">
            <v>3630216739.0694995</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Borrower&amp;Loan Basics"/>
      <sheetName val="Credit Review&amp;Bus Desc"/>
      <sheetName val="Repayment Terms"/>
      <sheetName val="BS &amp; Cap"/>
      <sheetName val="Financials"/>
      <sheetName val="JIN Fin"/>
      <sheetName val="bus-valuation"/>
      <sheetName val="JIN B-S &amp; Cap"/>
      <sheetName val="JIN- Valuation"/>
      <sheetName val="Valuation"/>
      <sheetName val="JIN- PX"/>
      <sheetName val="Comps"/>
      <sheetName val="JIN Sales"/>
      <sheetName val="DEBTS"/>
      <sheetName val="Assets"/>
      <sheetName val="JIN Affilates"/>
      <sheetName val="#REF"/>
      <sheetName val="jinroindustries"/>
      <sheetName val="Keibai"/>
      <sheetName val="計算過程シート"/>
      <sheetName val="部門別(売上-EBITD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072283-D989-414B-8DA0-E2FD7377BDCB}" name="Tabla1" displayName="Tabla1" ref="A2:S92" totalsRowShown="0" headerRowDxfId="23" dataDxfId="21" headerRowBorderDxfId="22" tableBorderDxfId="20" totalsRowBorderDxfId="19" dataCellStyle="Moneda">
  <autoFilter ref="A2:S92" xr:uid="{00000000-000C-0000-FFFF-FFFF00000000}"/>
  <tableColumns count="19">
    <tableColumn id="3" xr3:uid="{49E31481-EA9F-4F91-99EB-1F80685D8814}" name="REFERENCIA" dataDxfId="18"/>
    <tableColumn id="4" xr3:uid="{808C30F3-AAE0-450F-8334-1E1B3E020700}" name="DESCRIPCIÓN " dataDxfId="17"/>
    <tableColumn id="6" xr3:uid="{F40D744A-6960-4FDD-B4E7-259399E6C1A0}" name="PRECIO  INSTALADOR_x000a_( CON  IVA)" dataDxfId="16" dataCellStyle="Moneda">
      <calculatedColumnFormula>+Tabla1[[#This Row],[PRECIO SUGERIDO INSTALADOR]]</calculatedColumnFormula>
    </tableColumn>
    <tableColumn id="23" xr3:uid="{B3B2E21C-D205-4F60-AF9C-0D93D5C61506}" name="PRECIO TIENDA ( CON  IVA)" dataDxfId="15" dataCellStyle="Moneda">
      <calculatedColumnFormula>+Tabla1[[#This Row],[TIENDA]]</calculatedColumnFormula>
    </tableColumn>
    <tableColumn id="7" xr3:uid="{1D82E5C5-7520-49EF-B109-60070E269A09}" name="PRECIO DPP ORO ( CON  IVA)" dataDxfId="14" dataCellStyle="Moneda">
      <calculatedColumnFormula>+Tabla1[[#This Row],[DPP ORO7]]</calculatedColumnFormula>
    </tableColumn>
    <tableColumn id="8" xr3:uid="{8F1156DC-94E8-49D2-B70D-97679713214E}" name="PRECIO DPP PLATINO ( CON  IVA)" dataDxfId="13" dataCellStyle="Moneda">
      <calculatedColumnFormula>+Tabla1[[#This Row],[Columna4]]</calculatedColumnFormula>
    </tableColumn>
    <tableColumn id="19" xr3:uid="{194C2835-3C7F-47C4-B9F7-BF63A8CA35B0}" name="PRECIO CLIENTE FINAL ( CON  IVA)" dataDxfId="12" dataCellStyle="Moneda">
      <calculatedColumnFormula>+Tabla1[[#This Row],[CLIENTE FINAL]]</calculatedColumnFormula>
    </tableColumn>
    <tableColumn id="9" xr3:uid="{D33AC788-F98C-4D96-BF28-3474DF873E75}" name="Columna3" dataDxfId="11" dataCellStyle="Moneda">
      <calculatedColumnFormula>+I3/$L$1</calculatedColumnFormula>
    </tableColumn>
    <tableColumn id="10" xr3:uid="{2FE46DEE-26AD-439F-89D7-529DCB4736FC}" name="Columna4" dataDxfId="10" dataCellStyle="Moneda">
      <calculatedColumnFormula>+L3-J3</calculatedColumnFormula>
    </tableColumn>
    <tableColumn id="11" xr3:uid="{D365B9AB-5E0B-459D-9AA6-50E47DFD5B7B}" name="DPP PLATINO2" dataDxfId="9" dataCellStyle="Moneda">
      <calculatedColumnFormula>+L3*1%</calculatedColumnFormula>
    </tableColumn>
    <tableColumn id="12" xr3:uid="{C2448E93-D422-48AE-B0D7-F26050B1CCBA}" name="Columna6" dataDxfId="8" dataCellStyle="Moneda">
      <calculatedColumnFormula>+L3/$L$1</calculatedColumnFormula>
    </tableColumn>
    <tableColumn id="13" xr3:uid="{8854D721-FD7B-49C3-BF35-02C400BFE841}" name="DPP ORO7" dataDxfId="7" dataCellStyle="Moneda">
      <calculatedColumnFormula>Tabla1[[#This Row],[oro sin IVA]]*1.19</calculatedColumnFormula>
    </tableColumn>
    <tableColumn id="14" xr3:uid="{B02BFD68-91B4-4D46-AFBC-3D1B67B47105}" name="Columna8" dataDxfId="6" dataCellStyle="Moneda">
      <calculatedColumnFormula>+Q3/$L$1</calculatedColumnFormula>
    </tableColumn>
    <tableColumn id="21" xr3:uid="{ED2A314A-4634-47EE-865E-CAF6844C872E}" name="CLIENTE FINAL" dataDxfId="5" dataCellStyle="Moneda">
      <calculatedColumnFormula>+Tabla1[[#This Row],[PRECIO SUGERIDO INSTALADOR]]/0.7</calculatedColumnFormula>
    </tableColumn>
    <tableColumn id="24" xr3:uid="{0409955B-3E91-4197-B98D-8EFD67ADCA8D}" name="Columna1" dataDxfId="4" dataCellStyle="Moneda">
      <calculatedColumnFormula>+Tabla1[[#This Row],[PRECIO SUGERIDO INSTALADOR]]*5%</calculatedColumnFormula>
    </tableColumn>
    <tableColumn id="22" xr3:uid="{395C0AD1-3950-439F-8CB7-C3E6E2C49570}" name="TIENDA" dataDxfId="3" dataCellStyle="Moneda">
      <calculatedColumnFormula>+Tabla1[[#This Row],[PRECIO SUGERIDO INSTALADOR]]-Tabla1[[#This Row],[Columna1]]</calculatedColumnFormula>
    </tableColumn>
    <tableColumn id="15" xr3:uid="{0BE15FAC-2A2C-4EF7-9691-0CDAF08A0D60}" name="PRECIO SUGERIDO INSTALADOR" dataDxfId="2" dataCellStyle="Moneda">
      <calculatedColumnFormula>Tabla1[[#This Row],[instalador sin IVA]]*1.19</calculatedColumnFormula>
    </tableColumn>
    <tableColumn id="18" xr3:uid="{E9AB7985-D75D-4778-8225-2B3454F029ED}" name="oro sin IVA" dataDxfId="1"/>
    <tableColumn id="17" xr3:uid="{9B1E3BEF-35AC-419E-A1DD-1B0BF4064818}" name="instalador sin IVA" dataDxfId="0" dataCellStyle="Moneda"/>
  </tableColumns>
  <tableStyleInfo name="TableStyleMedium10"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CF858-944E-41FC-95F5-1E2D024B038B}">
  <dimension ref="A1:V351"/>
  <sheetViews>
    <sheetView showGridLines="0" tabSelected="1" zoomScaleNormal="100" workbookViewId="0">
      <pane xSplit="1" ySplit="2" topLeftCell="B79" activePane="bottomRight" state="frozen"/>
      <selection pane="topRight"/>
      <selection pane="bottomLeft"/>
      <selection pane="bottomRight" activeCell="B79" sqref="B79"/>
    </sheetView>
  </sheetViews>
  <sheetFormatPr baseColWidth="10" defaultColWidth="10.5703125" defaultRowHeight="13.5"/>
  <cols>
    <col min="1" max="1" width="40.7109375" style="7" bestFit="1" customWidth="1"/>
    <col min="2" max="2" width="53.42578125" style="6" customWidth="1"/>
    <col min="3" max="3" width="13.42578125" style="4" bestFit="1" customWidth="1"/>
    <col min="4" max="4" width="13.42578125" style="4" customWidth="1"/>
    <col min="5" max="5" width="13.5703125" style="5" customWidth="1"/>
    <col min="6" max="6" width="15" style="5" customWidth="1"/>
    <col min="7" max="7" width="16.28515625" style="5" customWidth="1"/>
    <col min="8" max="8" width="7.5703125" style="5" hidden="1" customWidth="1"/>
    <col min="9" max="9" width="11.140625" style="5" hidden="1" customWidth="1"/>
    <col min="10" max="10" width="8.7109375" style="5" hidden="1" customWidth="1"/>
    <col min="11" max="11" width="6.28515625" style="4" hidden="1" customWidth="1"/>
    <col min="12" max="12" width="10.28515625" style="4" hidden="1" customWidth="1"/>
    <col min="13" max="13" width="7.5703125" style="4" hidden="1" customWidth="1"/>
    <col min="14" max="16" width="11.5703125" style="3" hidden="1" customWidth="1"/>
    <col min="17" max="17" width="11.140625" style="3" hidden="1" customWidth="1"/>
    <col min="18" max="18" width="12.28515625" style="3" hidden="1" customWidth="1"/>
    <col min="19" max="19" width="12.7109375" style="3" hidden="1" customWidth="1"/>
    <col min="20" max="20" width="13" style="2" hidden="1" customWidth="1"/>
    <col min="21" max="21" width="12.140625" style="1" hidden="1" customWidth="1"/>
    <col min="22" max="24" width="10.5703125" style="1" customWidth="1"/>
    <col min="25" max="16384" width="10.5703125" style="1"/>
  </cols>
  <sheetData>
    <row r="1" spans="1:22" ht="13.35" customHeight="1">
      <c r="A1" s="59"/>
      <c r="B1" s="59"/>
      <c r="C1" s="38"/>
      <c r="D1" s="38"/>
      <c r="E1" s="39"/>
      <c r="F1" s="39"/>
      <c r="G1" s="39"/>
      <c r="H1" s="39"/>
      <c r="I1" s="39"/>
      <c r="J1" s="39"/>
      <c r="K1" s="40"/>
      <c r="L1" s="40">
        <v>4850</v>
      </c>
      <c r="M1" s="40"/>
      <c r="N1" s="40"/>
      <c r="O1" s="40"/>
      <c r="P1" s="40"/>
      <c r="Q1" s="40"/>
      <c r="R1" s="40"/>
      <c r="S1" s="40"/>
    </row>
    <row r="2" spans="1:22" ht="81" customHeight="1">
      <c r="A2" s="60" t="s">
        <v>129</v>
      </c>
      <c r="B2" s="61" t="s">
        <v>128</v>
      </c>
      <c r="C2" s="61" t="s">
        <v>127</v>
      </c>
      <c r="D2" s="61" t="s">
        <v>126</v>
      </c>
      <c r="E2" s="61" t="s">
        <v>125</v>
      </c>
      <c r="F2" s="61" t="s">
        <v>124</v>
      </c>
      <c r="G2" s="61" t="s">
        <v>123</v>
      </c>
      <c r="H2" s="41" t="s">
        <v>122</v>
      </c>
      <c r="I2" s="41" t="s">
        <v>121</v>
      </c>
      <c r="J2" s="42" t="s">
        <v>120</v>
      </c>
      <c r="K2" s="43" t="s">
        <v>119</v>
      </c>
      <c r="L2" s="44" t="s">
        <v>118</v>
      </c>
      <c r="M2" s="45" t="s">
        <v>117</v>
      </c>
      <c r="N2" s="45" t="s">
        <v>116</v>
      </c>
      <c r="O2" s="45" t="s">
        <v>115</v>
      </c>
      <c r="P2" s="45" t="s">
        <v>114</v>
      </c>
      <c r="Q2" s="46" t="s">
        <v>113</v>
      </c>
      <c r="R2" s="47" t="s">
        <v>112</v>
      </c>
      <c r="S2" s="48" t="s">
        <v>111</v>
      </c>
    </row>
    <row r="3" spans="1:22" s="11" customFormat="1" ht="54">
      <c r="A3" s="49" t="s">
        <v>130</v>
      </c>
      <c r="B3" s="32" t="s">
        <v>110</v>
      </c>
      <c r="C3" s="19">
        <f>+Tabla1[[#This Row],[PRECIO SUGERIDO INSTALADOR]]</f>
        <v>85713.319999999992</v>
      </c>
      <c r="D3" s="19">
        <f>+Tabla1[[#This Row],[TIENDA]]</f>
        <v>81427.653999999995</v>
      </c>
      <c r="E3" s="19">
        <f>+Tabla1[[#This Row],[DPP ORO7]]</f>
        <v>79190.929999999993</v>
      </c>
      <c r="F3" s="23">
        <f>+Tabla1[[#This Row],[Columna4]]</f>
        <v>78399.020699999994</v>
      </c>
      <c r="G3" s="23">
        <f>+Tabla1[[#This Row],[CLIENTE FINAL]]</f>
        <v>122447.59999999999</v>
      </c>
      <c r="H3" s="31">
        <f t="shared" ref="H3:H37" si="0">+I3/$L$1</f>
        <v>16.164746536082472</v>
      </c>
      <c r="I3" s="31">
        <f t="shared" ref="I3:I37" si="1">+L3-J3</f>
        <v>78399.020699999994</v>
      </c>
      <c r="J3" s="30">
        <f t="shared" ref="J3:J37" si="2">+L3*1%</f>
        <v>791.90929999999992</v>
      </c>
      <c r="K3" s="27">
        <f t="shared" ref="K3:K37" si="3">+L3/$L$1</f>
        <v>16.328026804123709</v>
      </c>
      <c r="L3" s="28">
        <f>Tabla1[[#This Row],[oro sin IVA]]*1.19</f>
        <v>79190.929999999993</v>
      </c>
      <c r="M3" s="27">
        <f t="shared" ref="M3:M37" si="4">+Q3/$L$1</f>
        <v>17.67284948453608</v>
      </c>
      <c r="N3" s="27">
        <f>+Tabla1[[#This Row],[PRECIO SUGERIDO INSTALADOR]]/0.7</f>
        <v>122447.59999999999</v>
      </c>
      <c r="O3" s="27">
        <f>+Tabla1[[#This Row],[PRECIO SUGERIDO INSTALADOR]]*5%</f>
        <v>4285.6660000000002</v>
      </c>
      <c r="P3" s="27">
        <f>+Tabla1[[#This Row],[PRECIO SUGERIDO INSTALADOR]]-Tabla1[[#This Row],[Columna1]]</f>
        <v>81427.653999999995</v>
      </c>
      <c r="Q3" s="29">
        <f>Tabla1[[#This Row],[instalador sin IVA]]*1.19</f>
        <v>85713.319999999992</v>
      </c>
      <c r="R3" s="29">
        <v>66547</v>
      </c>
      <c r="S3" s="52">
        <v>72028</v>
      </c>
      <c r="T3" s="14">
        <v>58439.888500000001</v>
      </c>
      <c r="U3" s="13">
        <v>66114.680851063837</v>
      </c>
      <c r="V3" s="12"/>
    </row>
    <row r="4" spans="1:22" customFormat="1" ht="15">
      <c r="A4" s="49" t="s">
        <v>109</v>
      </c>
      <c r="B4" s="32" t="s">
        <v>192</v>
      </c>
      <c r="C4" s="19">
        <f>+Tabla1[[#This Row],[PRECIO SUGERIDO INSTALADOR]]</f>
        <v>225844.42273042278</v>
      </c>
      <c r="D4" s="19">
        <f>+Tabla1[[#This Row],[TIENDA]]</f>
        <v>214552.20159390164</v>
      </c>
      <c r="E4" s="19">
        <f>+Tabla1[[#This Row],[DPP ORO7]]</f>
        <v>207386.774</v>
      </c>
      <c r="F4" s="23">
        <f>+Tabla1[[#This Row],[Columna4]]</f>
        <v>205312.90626000002</v>
      </c>
      <c r="G4" s="23">
        <f>+Tabla1[[#This Row],[CLIENTE FINAL]]</f>
        <v>322634.88961488969</v>
      </c>
      <c r="H4" s="31">
        <f t="shared" si="0"/>
        <v>42.33255799175258</v>
      </c>
      <c r="I4" s="31">
        <f t="shared" ref="I4" si="5">+L4-J4</f>
        <v>205312.90626000002</v>
      </c>
      <c r="J4" s="30">
        <f t="shared" ref="J4" si="6">+L4*1%</f>
        <v>2073.8677400000001</v>
      </c>
      <c r="K4" s="27">
        <f t="shared" si="3"/>
        <v>42.76015958762887</v>
      </c>
      <c r="L4" s="28">
        <f>Tabla1[[#This Row],[oro sin IVA]]*1.19</f>
        <v>207386.774</v>
      </c>
      <c r="M4" s="27">
        <f t="shared" ref="M4" si="7">+Q4/$L$1</f>
        <v>46.5658603567882</v>
      </c>
      <c r="N4" s="27">
        <f>+Tabla1[[#This Row],[PRECIO SUGERIDO INSTALADOR]]/0.7</f>
        <v>322634.88961488969</v>
      </c>
      <c r="O4" s="27">
        <f>+Tabla1[[#This Row],[PRECIO SUGERIDO INSTALADOR]]*5%</f>
        <v>11292.221136521141</v>
      </c>
      <c r="P4" s="27">
        <f>+Tabla1[[#This Row],[PRECIO SUGERIDO INSTALADOR]]-Tabla1[[#This Row],[Columna1]]</f>
        <v>214552.20159390164</v>
      </c>
      <c r="Q4" s="29">
        <f>Tabla1[[#This Row],[instalador sin IVA]]*1.19</f>
        <v>225844.42273042278</v>
      </c>
      <c r="R4" s="53">
        <v>174274.6</v>
      </c>
      <c r="S4" s="52">
        <v>189785.22918522923</v>
      </c>
    </row>
    <row r="5" spans="1:22" s="11" customFormat="1" ht="67.5">
      <c r="A5" s="49" t="s">
        <v>131</v>
      </c>
      <c r="B5" s="32" t="s">
        <v>108</v>
      </c>
      <c r="C5" s="19">
        <f>+Tabla1[[#This Row],[PRECIO SUGERIDO INSTALADOR]]</f>
        <v>225844.42273042278</v>
      </c>
      <c r="D5" s="19">
        <f>+Tabla1[[#This Row],[TIENDA]]</f>
        <v>214552.20159390164</v>
      </c>
      <c r="E5" s="19">
        <f>+Tabla1[[#This Row],[DPP ORO7]]</f>
        <v>207386.774</v>
      </c>
      <c r="F5" s="23">
        <f>+Tabla1[[#This Row],[Columna4]]</f>
        <v>205312.90626000002</v>
      </c>
      <c r="G5" s="23">
        <f>+Tabla1[[#This Row],[CLIENTE FINAL]]</f>
        <v>322634.88961488969</v>
      </c>
      <c r="H5" s="31">
        <f t="shared" si="0"/>
        <v>42.33255799175258</v>
      </c>
      <c r="I5" s="31">
        <f t="shared" si="1"/>
        <v>205312.90626000002</v>
      </c>
      <c r="J5" s="30">
        <f t="shared" si="2"/>
        <v>2073.8677400000001</v>
      </c>
      <c r="K5" s="27">
        <f t="shared" si="3"/>
        <v>42.76015958762887</v>
      </c>
      <c r="L5" s="28">
        <f>Tabla1[[#This Row],[oro sin IVA]]*1.19</f>
        <v>207386.774</v>
      </c>
      <c r="M5" s="27">
        <f t="shared" si="4"/>
        <v>46.5658603567882</v>
      </c>
      <c r="N5" s="27">
        <f>+Tabla1[[#This Row],[PRECIO SUGERIDO INSTALADOR]]/0.7</f>
        <v>322634.88961488969</v>
      </c>
      <c r="O5" s="27">
        <f>+Tabla1[[#This Row],[PRECIO SUGERIDO INSTALADOR]]*5%</f>
        <v>11292.221136521141</v>
      </c>
      <c r="P5" s="27">
        <f>+Tabla1[[#This Row],[PRECIO SUGERIDO INSTALADOR]]-Tabla1[[#This Row],[Columna1]]</f>
        <v>214552.20159390164</v>
      </c>
      <c r="Q5" s="29">
        <f>Tabla1[[#This Row],[instalador sin IVA]]*1.19</f>
        <v>225844.42273042278</v>
      </c>
      <c r="R5" s="53">
        <v>174274.6</v>
      </c>
      <c r="S5" s="52">
        <v>189785.22918522923</v>
      </c>
      <c r="T5" s="14">
        <v>159706.9031</v>
      </c>
      <c r="U5" s="13">
        <v>155734.74893617022</v>
      </c>
      <c r="V5" s="12"/>
    </row>
    <row r="6" spans="1:22" customFormat="1" ht="27">
      <c r="A6" s="54" t="s">
        <v>193</v>
      </c>
      <c r="B6" s="32" t="s">
        <v>194</v>
      </c>
      <c r="C6" s="19">
        <f>+Tabla1[[#This Row],[PRECIO SUGERIDO INSTALADOR]]</f>
        <v>107100</v>
      </c>
      <c r="D6" s="19">
        <f>+Tabla1[[#This Row],[TIENDA]]</f>
        <v>101745</v>
      </c>
      <c r="E6" s="19">
        <f>+Tabla1[[#This Row],[DPP ORO7]]</f>
        <v>100674</v>
      </c>
      <c r="F6" s="23">
        <f>+Tabla1[[#This Row],[Columna4]]</f>
        <v>99667.26</v>
      </c>
      <c r="G6" s="23">
        <f>+Tabla1[[#This Row],[CLIENTE FINAL]]</f>
        <v>153000</v>
      </c>
      <c r="H6" s="31">
        <f t="shared" si="0"/>
        <v>20.549950515463916</v>
      </c>
      <c r="I6" s="31">
        <f t="shared" ref="I6" si="8">+L6-J6</f>
        <v>99667.26</v>
      </c>
      <c r="J6" s="30">
        <f t="shared" ref="J6" si="9">+L6*1%</f>
        <v>1006.74</v>
      </c>
      <c r="K6" s="27">
        <f t="shared" si="3"/>
        <v>20.757525773195876</v>
      </c>
      <c r="L6" s="28">
        <f>Tabla1[[#This Row],[oro sin IVA]]*1.19</f>
        <v>100674</v>
      </c>
      <c r="M6" s="27">
        <f t="shared" ref="M6" si="10">+Q6/$L$1</f>
        <v>22.082474226804123</v>
      </c>
      <c r="N6" s="27">
        <f>+Tabla1[[#This Row],[PRECIO SUGERIDO INSTALADOR]]/0.7</f>
        <v>153000</v>
      </c>
      <c r="O6" s="27">
        <f>+Tabla1[[#This Row],[PRECIO SUGERIDO INSTALADOR]]*5%</f>
        <v>5355</v>
      </c>
      <c r="P6" s="27">
        <f>+Tabla1[[#This Row],[PRECIO SUGERIDO INSTALADOR]]-Tabla1[[#This Row],[Columna1]]</f>
        <v>101745</v>
      </c>
      <c r="Q6" s="29">
        <f>Tabla1[[#This Row],[instalador sin IVA]]*1.19</f>
        <v>107100</v>
      </c>
      <c r="R6" s="53">
        <v>84600</v>
      </c>
      <c r="S6" s="52">
        <v>90000</v>
      </c>
    </row>
    <row r="7" spans="1:22" s="11" customFormat="1" ht="54">
      <c r="A7" s="49" t="s">
        <v>132</v>
      </c>
      <c r="B7" s="32" t="s">
        <v>133</v>
      </c>
      <c r="C7" s="19">
        <f>+Tabla1[[#This Row],[PRECIO SUGERIDO INSTALADOR]]</f>
        <v>100800.54573804575</v>
      </c>
      <c r="D7" s="19">
        <f>+Tabla1[[#This Row],[TIENDA]]</f>
        <v>95760.518451143464</v>
      </c>
      <c r="E7" s="19">
        <f>+Tabla1[[#This Row],[DPP ORO7]]</f>
        <v>92562.39204545453</v>
      </c>
      <c r="F7" s="23">
        <f>+Tabla1[[#This Row],[Columna4]]</f>
        <v>91636.768124999988</v>
      </c>
      <c r="G7" s="23">
        <f>+Tabla1[[#This Row],[CLIENTE FINAL]]</f>
        <v>144000.77962577966</v>
      </c>
      <c r="H7" s="31">
        <f t="shared" si="0"/>
        <v>18.894178994845358</v>
      </c>
      <c r="I7" s="31">
        <f t="shared" si="1"/>
        <v>91636.768124999988</v>
      </c>
      <c r="J7" s="30">
        <f t="shared" si="2"/>
        <v>925.62392045454533</v>
      </c>
      <c r="K7" s="27">
        <f t="shared" si="3"/>
        <v>19.085029287722584</v>
      </c>
      <c r="L7" s="28">
        <f>Tabla1[[#This Row],[oro sin IVA]]*1.19</f>
        <v>92562.39204545453</v>
      </c>
      <c r="M7" s="27">
        <f t="shared" si="4"/>
        <v>20.783617677947579</v>
      </c>
      <c r="N7" s="27">
        <f>+Tabla1[[#This Row],[PRECIO SUGERIDO INSTALADOR]]/0.7</f>
        <v>144000.77962577966</v>
      </c>
      <c r="O7" s="27">
        <f>+Tabla1[[#This Row],[PRECIO SUGERIDO INSTALADOR]]*5%</f>
        <v>5040.0272869022883</v>
      </c>
      <c r="P7" s="27">
        <f>+Tabla1[[#This Row],[PRECIO SUGERIDO INSTALADOR]]-Tabla1[[#This Row],[Columna1]]</f>
        <v>95760.518451143464</v>
      </c>
      <c r="Q7" s="29">
        <f>Tabla1[[#This Row],[instalador sin IVA]]*1.19</f>
        <v>100800.54573804575</v>
      </c>
      <c r="R7" s="53">
        <v>77783.522727272721</v>
      </c>
      <c r="S7" s="52">
        <v>84706.340956340966</v>
      </c>
      <c r="T7" s="14">
        <v>73236.587599999999</v>
      </c>
      <c r="U7" s="13">
        <v>80100.47872340426</v>
      </c>
      <c r="V7" s="12"/>
    </row>
    <row r="8" spans="1:22" s="11" customFormat="1" ht="54">
      <c r="A8" s="49" t="s">
        <v>107</v>
      </c>
      <c r="B8" s="32" t="s">
        <v>134</v>
      </c>
      <c r="C8" s="19">
        <f>+Tabla1[[#This Row],[PRECIO SUGERIDO INSTALADOR]]</f>
        <v>110880.60031185031</v>
      </c>
      <c r="D8" s="19">
        <f>+Tabla1[[#This Row],[TIENDA]]</f>
        <v>105336.57029625779</v>
      </c>
      <c r="E8" s="19">
        <f>+Tabla1[[#This Row],[DPP ORO7]]</f>
        <v>101818.63124999999</v>
      </c>
      <c r="F8" s="23">
        <f>+Tabla1[[#This Row],[Columna4]]</f>
        <v>100800.4449375</v>
      </c>
      <c r="G8" s="23">
        <f>+Tabla1[[#This Row],[CLIENTE FINAL]]</f>
        <v>158400.85758835761</v>
      </c>
      <c r="H8" s="31">
        <f t="shared" si="0"/>
        <v>20.783596894329897</v>
      </c>
      <c r="I8" s="31">
        <f t="shared" si="1"/>
        <v>100800.4449375</v>
      </c>
      <c r="J8" s="22">
        <f t="shared" si="2"/>
        <v>1018.1863125</v>
      </c>
      <c r="K8" s="27">
        <f t="shared" si="3"/>
        <v>20.993532216494845</v>
      </c>
      <c r="L8" s="34">
        <f>Tabla1[[#This Row],[oro sin IVA]]*1.19</f>
        <v>101818.63124999999</v>
      </c>
      <c r="M8" s="27">
        <f t="shared" si="4"/>
        <v>22.861979445742332</v>
      </c>
      <c r="N8" s="27">
        <f>+Tabla1[[#This Row],[PRECIO SUGERIDO INSTALADOR]]/0.7</f>
        <v>158400.85758835761</v>
      </c>
      <c r="O8" s="27">
        <f>+Tabla1[[#This Row],[PRECIO SUGERIDO INSTALADOR]]*5%</f>
        <v>5544.0300155925161</v>
      </c>
      <c r="P8" s="27">
        <f>+Tabla1[[#This Row],[PRECIO SUGERIDO INSTALADOR]]-Tabla1[[#This Row],[Columna1]]</f>
        <v>105336.57029625779</v>
      </c>
      <c r="Q8" s="33">
        <f>Tabla1[[#This Row],[instalador sin IVA]]*1.19</f>
        <v>110880.60031185031</v>
      </c>
      <c r="R8" s="53">
        <v>85561.875</v>
      </c>
      <c r="S8" s="52">
        <v>93176.975051975052</v>
      </c>
      <c r="T8" s="14">
        <v>97858.849700000006</v>
      </c>
      <c r="U8" s="37">
        <v>101714</v>
      </c>
      <c r="V8" s="12"/>
    </row>
    <row r="9" spans="1:22" s="11" customFormat="1" ht="40.5">
      <c r="A9" s="49" t="s">
        <v>135</v>
      </c>
      <c r="B9" s="32" t="s">
        <v>136</v>
      </c>
      <c r="C9" s="19">
        <f>+Tabla1[[#This Row],[PRECIO SUGERIDO INSTALADOR]]</f>
        <v>134400.72765072764</v>
      </c>
      <c r="D9" s="19">
        <f>+Tabla1[[#This Row],[TIENDA]]</f>
        <v>127680.69126819127</v>
      </c>
      <c r="E9" s="19">
        <f>+Tabla1[[#This Row],[DPP ORO7]]</f>
        <v>123416.52272727272</v>
      </c>
      <c r="F9" s="23">
        <f>+Tabla1[[#This Row],[Columna4]]</f>
        <v>122182.3575</v>
      </c>
      <c r="G9" s="23">
        <f>+Tabla1[[#This Row],[CLIENTE FINAL]]</f>
        <v>192001.03950103949</v>
      </c>
      <c r="H9" s="31">
        <f t="shared" si="0"/>
        <v>25.192238659793816</v>
      </c>
      <c r="I9" s="31">
        <f t="shared" si="1"/>
        <v>122182.3575</v>
      </c>
      <c r="J9" s="22">
        <f t="shared" si="2"/>
        <v>1234.1652272727272</v>
      </c>
      <c r="K9" s="27">
        <f t="shared" si="3"/>
        <v>25.446705716963447</v>
      </c>
      <c r="L9" s="21">
        <f>Tabla1[[#This Row],[oro sin IVA]]*1.19</f>
        <v>123416.52272727272</v>
      </c>
      <c r="M9" s="27">
        <f t="shared" si="4"/>
        <v>27.71149023726343</v>
      </c>
      <c r="N9" s="27">
        <f>+Tabla1[[#This Row],[PRECIO SUGERIDO INSTALADOR]]/0.7</f>
        <v>192001.03950103949</v>
      </c>
      <c r="O9" s="27">
        <f>+Tabla1[[#This Row],[PRECIO SUGERIDO INSTALADOR]]*5%</f>
        <v>6720.036382536382</v>
      </c>
      <c r="P9" s="27">
        <f>+Tabla1[[#This Row],[PRECIO SUGERIDO INSTALADOR]]-Tabla1[[#This Row],[Columna1]]</f>
        <v>127680.69126819127</v>
      </c>
      <c r="Q9" s="20">
        <f>Tabla1[[#This Row],[instalador sin IVA]]*1.19</f>
        <v>134400.72765072764</v>
      </c>
      <c r="R9" s="53">
        <v>103711.36363636363</v>
      </c>
      <c r="S9" s="52">
        <v>112941.78794178794</v>
      </c>
      <c r="T9" s="2">
        <v>72000</v>
      </c>
      <c r="U9" s="37"/>
      <c r="V9" s="12"/>
    </row>
    <row r="10" spans="1:22" s="11" customFormat="1" ht="54">
      <c r="A10" s="49" t="s">
        <v>106</v>
      </c>
      <c r="B10" s="32" t="s">
        <v>137</v>
      </c>
      <c r="C10" s="19">
        <f>+Tabla1[[#This Row],[PRECIO SUGERIDO INSTALADOR]]</f>
        <v>140800.76230076229</v>
      </c>
      <c r="D10" s="19">
        <f>+Tabla1[[#This Row],[TIENDA]]</f>
        <v>133760.72418572416</v>
      </c>
      <c r="E10" s="19">
        <f>+Tabla1[[#This Row],[DPP ORO7]]</f>
        <v>129293.5</v>
      </c>
      <c r="F10" s="23">
        <f>+Tabla1[[#This Row],[Columna4]]</f>
        <v>128000.565</v>
      </c>
      <c r="G10" s="23">
        <f>+Tabla1[[#This Row],[CLIENTE FINAL]]</f>
        <v>201143.94614394614</v>
      </c>
      <c r="H10" s="23">
        <f t="shared" si="0"/>
        <v>26.391869072164948</v>
      </c>
      <c r="I10" s="23">
        <f t="shared" si="1"/>
        <v>128000.565</v>
      </c>
      <c r="J10" s="22">
        <f t="shared" si="2"/>
        <v>1292.9349999999999</v>
      </c>
      <c r="K10" s="19">
        <f t="shared" si="3"/>
        <v>26.658453608247424</v>
      </c>
      <c r="L10" s="24">
        <f>Tabla1[[#This Row],[oro sin IVA]]*1.19</f>
        <v>129293.5</v>
      </c>
      <c r="M10" s="19">
        <f t="shared" si="4"/>
        <v>29.031085010466452</v>
      </c>
      <c r="N10" s="19">
        <f>+Tabla1[[#This Row],[PRECIO SUGERIDO INSTALADOR]]/0.7</f>
        <v>201143.94614394614</v>
      </c>
      <c r="O10" s="19">
        <f>+Tabla1[[#This Row],[PRECIO SUGERIDO INSTALADOR]]*5%</f>
        <v>7040.0381150381145</v>
      </c>
      <c r="P10" s="19">
        <f>+Tabla1[[#This Row],[PRECIO SUGERIDO INSTALADOR]]-Tabla1[[#This Row],[Columna1]]</f>
        <v>133760.72418572416</v>
      </c>
      <c r="Q10" s="25">
        <f>Tabla1[[#This Row],[instalador sin IVA]]*1.19</f>
        <v>140800.76230076229</v>
      </c>
      <c r="R10" s="53">
        <v>108650</v>
      </c>
      <c r="S10" s="52">
        <v>118319.96831996831</v>
      </c>
      <c r="T10" s="14">
        <v>129939.3959</v>
      </c>
      <c r="U10" s="13">
        <v>147486.59574468088</v>
      </c>
      <c r="V10" s="12"/>
    </row>
    <row r="11" spans="1:22" s="11" customFormat="1" ht="121.5">
      <c r="A11" s="49" t="s">
        <v>105</v>
      </c>
      <c r="B11" s="32" t="s">
        <v>138</v>
      </c>
      <c r="C11" s="19">
        <f>+Tabla1[[#This Row],[PRECIO SUGERIDO INSTALADOR]]</f>
        <v>204161.10533610536</v>
      </c>
      <c r="D11" s="19">
        <f>+Tabla1[[#This Row],[TIENDA]]</f>
        <v>193953.05006930011</v>
      </c>
      <c r="E11" s="19">
        <f>+Tabla1[[#This Row],[DPP ORO7]]</f>
        <v>187475.57500000004</v>
      </c>
      <c r="F11" s="23">
        <f>+Tabla1[[#This Row],[Columna4]]</f>
        <v>185600.81925000003</v>
      </c>
      <c r="G11" s="23">
        <f>+Tabla1[[#This Row],[CLIENTE FINAL]]</f>
        <v>291658.72190872196</v>
      </c>
      <c r="H11" s="23">
        <f t="shared" si="0"/>
        <v>38.268210154639185</v>
      </c>
      <c r="I11" s="23">
        <f t="shared" si="1"/>
        <v>185600.81925000003</v>
      </c>
      <c r="J11" s="22">
        <f t="shared" si="2"/>
        <v>1874.7557500000005</v>
      </c>
      <c r="K11" s="19">
        <f t="shared" si="3"/>
        <v>38.654757731958775</v>
      </c>
      <c r="L11" s="24">
        <f>Tabla1[[#This Row],[oro sin IVA]]*1.19</f>
        <v>187475.57500000004</v>
      </c>
      <c r="M11" s="19">
        <f t="shared" si="4"/>
        <v>42.09507326517636</v>
      </c>
      <c r="N11" s="19">
        <f>+Tabla1[[#This Row],[PRECIO SUGERIDO INSTALADOR]]/0.7</f>
        <v>291658.72190872196</v>
      </c>
      <c r="O11" s="19">
        <f>+Tabla1[[#This Row],[PRECIO SUGERIDO INSTALADOR]]*5%</f>
        <v>10208.05526680527</v>
      </c>
      <c r="P11" s="19">
        <f>+Tabla1[[#This Row],[PRECIO SUGERIDO INSTALADOR]]-Tabla1[[#This Row],[Columna1]]</f>
        <v>193953.05006930011</v>
      </c>
      <c r="Q11" s="25">
        <f>Tabla1[[#This Row],[instalador sin IVA]]*1.19</f>
        <v>204161.10533610536</v>
      </c>
      <c r="R11" s="53">
        <v>157542.50000000003</v>
      </c>
      <c r="S11" s="52">
        <v>171563.95406395409</v>
      </c>
      <c r="T11" s="14" t="s">
        <v>0</v>
      </c>
      <c r="U11" s="13">
        <v>14240.08510638298</v>
      </c>
      <c r="V11" s="12"/>
    </row>
    <row r="12" spans="1:22" s="11" customFormat="1">
      <c r="A12" s="55" t="s">
        <v>190</v>
      </c>
      <c r="B12" s="32" t="s">
        <v>191</v>
      </c>
      <c r="C12" s="19"/>
      <c r="D12" s="19">
        <f>+Tabla1[[#This Row],[TIENDA]]</f>
        <v>281093.17249999999</v>
      </c>
      <c r="E12" s="19">
        <f>+Tabla1[[#This Row],[DPP ORO7]]</f>
        <v>295887.55</v>
      </c>
      <c r="F12" s="23">
        <f>+Tabla1[[#This Row],[Columna4]]</f>
        <v>292928.67449999996</v>
      </c>
      <c r="G12" s="23">
        <f>+Tabla1[[#This Row],[CLIENTE FINAL]]</f>
        <v>422696.5</v>
      </c>
      <c r="H12" s="23">
        <f>+I12/$L$1</f>
        <v>60.397664845360815</v>
      </c>
      <c r="I12" s="23">
        <f>+L12-J12</f>
        <v>292928.67449999996</v>
      </c>
      <c r="J12" s="22">
        <f>+L12*1%</f>
        <v>2958.8755000000001</v>
      </c>
      <c r="K12" s="19">
        <f>+L12/$L$1</f>
        <v>61.007742268041234</v>
      </c>
      <c r="L12" s="24">
        <f>Tabla1[[#This Row],[oro sin IVA]]*1.19</f>
        <v>295887.55</v>
      </c>
      <c r="M12" s="19">
        <f>+Q12/$L$1</f>
        <v>61.007742268041234</v>
      </c>
      <c r="N12" s="19">
        <f>+Tabla1[[#This Row],[PRECIO SUGERIDO INSTALADOR]]/0.7</f>
        <v>422696.5</v>
      </c>
      <c r="O12" s="19">
        <f>+Tabla1[[#This Row],[PRECIO SUGERIDO INSTALADOR]]*5%</f>
        <v>14794.377500000001</v>
      </c>
      <c r="P12" s="19">
        <f>+Tabla1[[#This Row],[PRECIO SUGERIDO INSTALADOR]]-Tabla1[[#This Row],[Columna1]]</f>
        <v>281093.17249999999</v>
      </c>
      <c r="Q12" s="25">
        <f>Tabla1[[#This Row],[instalador sin IVA]]*1.19</f>
        <v>295887.55</v>
      </c>
      <c r="R12" s="53">
        <v>248645</v>
      </c>
      <c r="S12" s="52">
        <v>248645</v>
      </c>
      <c r="T12" s="14"/>
      <c r="U12" s="13"/>
      <c r="V12" s="12"/>
    </row>
    <row r="13" spans="1:22" s="11" customFormat="1" ht="54">
      <c r="A13" s="49" t="s">
        <v>139</v>
      </c>
      <c r="B13" s="32" t="s">
        <v>140</v>
      </c>
      <c r="C13" s="19">
        <f>+Tabla1[[#This Row],[PRECIO SUGERIDO INSTALADOR]]</f>
        <v>352001.90575190575</v>
      </c>
      <c r="D13" s="19">
        <f>+Tabla1[[#This Row],[TIENDA]]</f>
        <v>334401.81046431046</v>
      </c>
      <c r="E13" s="19">
        <f>+Tabla1[[#This Row],[DPP ORO7]]</f>
        <v>323233.75000000006</v>
      </c>
      <c r="F13" s="23">
        <f>+Tabla1[[#This Row],[Columna4]]</f>
        <v>320001.41250000003</v>
      </c>
      <c r="G13" s="23">
        <f>+Tabla1[[#This Row],[CLIENTE FINAL]]</f>
        <v>502859.86535986542</v>
      </c>
      <c r="H13" s="23">
        <f t="shared" si="0"/>
        <v>65.979672680412378</v>
      </c>
      <c r="I13" s="23">
        <f t="shared" si="1"/>
        <v>320001.41250000003</v>
      </c>
      <c r="J13" s="22">
        <f t="shared" si="2"/>
        <v>3232.3375000000005</v>
      </c>
      <c r="K13" s="19">
        <f t="shared" si="3"/>
        <v>66.646134020618575</v>
      </c>
      <c r="L13" s="24">
        <f>Tabla1[[#This Row],[oro sin IVA]]*1.19</f>
        <v>323233.75000000006</v>
      </c>
      <c r="M13" s="19">
        <f t="shared" si="4"/>
        <v>72.577712526166138</v>
      </c>
      <c r="N13" s="19">
        <f>+Tabla1[[#This Row],[PRECIO SUGERIDO INSTALADOR]]/0.7</f>
        <v>502859.86535986542</v>
      </c>
      <c r="O13" s="19">
        <f>+Tabla1[[#This Row],[PRECIO SUGERIDO INSTALADOR]]*5%</f>
        <v>17600.09528759529</v>
      </c>
      <c r="P13" s="19">
        <f>+Tabla1[[#This Row],[PRECIO SUGERIDO INSTALADOR]]-Tabla1[[#This Row],[Columna1]]</f>
        <v>334401.81046431046</v>
      </c>
      <c r="Q13" s="25">
        <f>Tabla1[[#This Row],[instalador sin IVA]]*1.19</f>
        <v>352001.90575190575</v>
      </c>
      <c r="R13" s="53">
        <v>271625.00000000006</v>
      </c>
      <c r="S13" s="52">
        <v>295799.9207999208</v>
      </c>
      <c r="T13" s="14"/>
      <c r="U13" s="13">
        <v>42548</v>
      </c>
      <c r="V13" s="12"/>
    </row>
    <row r="14" spans="1:22" s="11" customFormat="1" ht="27">
      <c r="A14" s="49" t="s">
        <v>104</v>
      </c>
      <c r="B14" s="32" t="s">
        <v>103</v>
      </c>
      <c r="C14" s="19">
        <f>+Tabla1[[#This Row],[PRECIO SUGERIDO INSTALADOR]]</f>
        <v>19712.106722106724</v>
      </c>
      <c r="D14" s="19">
        <f>+Tabla1[[#This Row],[TIENDA]]</f>
        <v>18726.50138600139</v>
      </c>
      <c r="E14" s="19">
        <f>+Tabla1[[#This Row],[DPP ORO7]]</f>
        <v>18101.09</v>
      </c>
      <c r="F14" s="23">
        <f>+Tabla1[[#This Row],[Columna4]]</f>
        <v>17920.079099999999</v>
      </c>
      <c r="G14" s="23">
        <f>+Tabla1[[#This Row],[CLIENTE FINAL]]</f>
        <v>28160.152460152465</v>
      </c>
      <c r="H14" s="23">
        <f t="shared" si="0"/>
        <v>3.6948616701030925</v>
      </c>
      <c r="I14" s="23">
        <f t="shared" si="1"/>
        <v>17920.079099999999</v>
      </c>
      <c r="J14" s="22">
        <f t="shared" si="2"/>
        <v>181.01089999999999</v>
      </c>
      <c r="K14" s="19">
        <f t="shared" si="3"/>
        <v>3.732183505154639</v>
      </c>
      <c r="L14" s="24">
        <f>Tabla1[[#This Row],[oro sin IVA]]*1.19</f>
        <v>18101.09</v>
      </c>
      <c r="M14" s="19">
        <f t="shared" si="4"/>
        <v>4.0643519014653036</v>
      </c>
      <c r="N14" s="19">
        <f>+Tabla1[[#This Row],[PRECIO SUGERIDO INSTALADOR]]/0.7</f>
        <v>28160.152460152465</v>
      </c>
      <c r="O14" s="19">
        <f>+Tabla1[[#This Row],[PRECIO SUGERIDO INSTALADOR]]*5%</f>
        <v>985.60533610533628</v>
      </c>
      <c r="P14" s="19">
        <f>+Tabla1[[#This Row],[PRECIO SUGERIDO INSTALADOR]]-Tabla1[[#This Row],[Columna1]]</f>
        <v>18726.50138600139</v>
      </c>
      <c r="Q14" s="25">
        <f>Tabla1[[#This Row],[instalador sin IVA]]*1.19</f>
        <v>19712.106722106724</v>
      </c>
      <c r="R14" s="53">
        <v>15211</v>
      </c>
      <c r="S14" s="52">
        <v>16564.795564795568</v>
      </c>
      <c r="T14" s="14" t="s">
        <v>0</v>
      </c>
      <c r="U14" s="13">
        <v>27564.736170212775</v>
      </c>
      <c r="V14" s="12"/>
    </row>
    <row r="15" spans="1:22" s="11" customFormat="1" ht="40.5">
      <c r="A15" s="49" t="s">
        <v>141</v>
      </c>
      <c r="B15" s="32" t="s">
        <v>142</v>
      </c>
      <c r="C15" s="19">
        <f>+Tabla1[[#This Row],[PRECIO SUGERIDO INSTALADOR]]</f>
        <v>9897.5895859320863</v>
      </c>
      <c r="D15" s="19">
        <f>+Tabla1[[#This Row],[TIENDA]]</f>
        <v>9402.7101066354826</v>
      </c>
      <c r="E15" s="19">
        <f>+Tabla1[[#This Row],[DPP ORO7]]</f>
        <v>9088.6865825000004</v>
      </c>
      <c r="F15" s="23">
        <f>+Tabla1[[#This Row],[Columna4]]</f>
        <v>8997.799716675001</v>
      </c>
      <c r="G15" s="23">
        <f>+Tabla1[[#This Row],[CLIENTE FINAL]]</f>
        <v>14139.413694188695</v>
      </c>
      <c r="H15" s="23">
        <f t="shared" si="0"/>
        <v>1.8552164364278352</v>
      </c>
      <c r="I15" s="23">
        <f t="shared" si="1"/>
        <v>8997.799716675001</v>
      </c>
      <c r="J15" s="22">
        <f t="shared" si="2"/>
        <v>90.886865825000001</v>
      </c>
      <c r="K15" s="19">
        <f t="shared" si="3"/>
        <v>1.8739559963917527</v>
      </c>
      <c r="L15" s="24">
        <f>Tabla1[[#This Row],[oro sin IVA]]*1.19</f>
        <v>9088.6865825000004</v>
      </c>
      <c r="M15" s="19">
        <f t="shared" si="4"/>
        <v>2.0407401208107396</v>
      </c>
      <c r="N15" s="19">
        <f>+Tabla1[[#This Row],[PRECIO SUGERIDO INSTALADOR]]/0.7</f>
        <v>14139.413694188695</v>
      </c>
      <c r="O15" s="19">
        <f>+Tabla1[[#This Row],[PRECIO SUGERIDO INSTALADOR]]*5%</f>
        <v>494.87947929660436</v>
      </c>
      <c r="P15" s="19">
        <f>+Tabla1[[#This Row],[PRECIO SUGERIDO INSTALADOR]]-Tabla1[[#This Row],[Columna1]]</f>
        <v>9402.7101066354826</v>
      </c>
      <c r="Q15" s="25">
        <f>Tabla1[[#This Row],[instalador sin IVA]]*1.19</f>
        <v>9897.5895859320863</v>
      </c>
      <c r="R15" s="53">
        <v>7637.5517500000014</v>
      </c>
      <c r="S15" s="52">
        <v>8317.3021730521741</v>
      </c>
      <c r="T15" s="14" t="s">
        <v>0</v>
      </c>
      <c r="U15" s="13">
        <v>48545.744680851065</v>
      </c>
      <c r="V15" s="12"/>
    </row>
    <row r="16" spans="1:22" s="11" customFormat="1" ht="40.5">
      <c r="A16" s="49" t="s">
        <v>143</v>
      </c>
      <c r="B16" s="32" t="s">
        <v>144</v>
      </c>
      <c r="C16" s="19">
        <f>+Tabla1[[#This Row],[PRECIO SUGERIDO INSTALADOR]]</f>
        <v>58898.014876126123</v>
      </c>
      <c r="D16" s="19">
        <f>+Tabla1[[#This Row],[TIENDA]]</f>
        <v>55953.114132319817</v>
      </c>
      <c r="E16" s="19">
        <f>+Tabla1[[#This Row],[DPP ORO7]]</f>
        <v>54084.440751249997</v>
      </c>
      <c r="F16" s="23">
        <f>+Tabla1[[#This Row],[Columna4]]</f>
        <v>53543.596343737496</v>
      </c>
      <c r="G16" s="23">
        <f>+Tabla1[[#This Row],[CLIENTE FINAL]]</f>
        <v>84140.021251608749</v>
      </c>
      <c r="H16" s="23">
        <f t="shared" si="0"/>
        <v>11.039916771904638</v>
      </c>
      <c r="I16" s="23">
        <f t="shared" si="1"/>
        <v>53543.596343737496</v>
      </c>
      <c r="J16" s="22">
        <f t="shared" si="2"/>
        <v>540.84440751249997</v>
      </c>
      <c r="K16" s="19">
        <f t="shared" si="3"/>
        <v>11.151431082731959</v>
      </c>
      <c r="L16" s="24">
        <f>Tabla1[[#This Row],[oro sin IVA]]*1.19</f>
        <v>54084.440751249997</v>
      </c>
      <c r="M16" s="19">
        <f t="shared" si="4"/>
        <v>12.143920593015695</v>
      </c>
      <c r="N16" s="19">
        <f>+Tabla1[[#This Row],[PRECIO SUGERIDO INSTALADOR]]/0.7</f>
        <v>84140.021251608749</v>
      </c>
      <c r="O16" s="19">
        <f>+Tabla1[[#This Row],[PRECIO SUGERIDO INSTALADOR]]*5%</f>
        <v>2944.9007438063063</v>
      </c>
      <c r="P16" s="19">
        <f>+Tabla1[[#This Row],[PRECIO SUGERIDO INSTALADOR]]-Tabla1[[#This Row],[Columna1]]</f>
        <v>55953.114132319817</v>
      </c>
      <c r="Q16" s="25">
        <f>Tabla1[[#This Row],[instalador sin IVA]]*1.19</f>
        <v>58898.014876126123</v>
      </c>
      <c r="R16" s="53">
        <v>45449.109875000002</v>
      </c>
      <c r="S16" s="52">
        <v>49494.130148005148</v>
      </c>
      <c r="T16" s="14">
        <v>203429</v>
      </c>
      <c r="U16" s="13">
        <v>208515.53191489363</v>
      </c>
      <c r="V16" s="12"/>
    </row>
    <row r="17" spans="1:22" s="11" customFormat="1" ht="15">
      <c r="A17" s="49" t="s">
        <v>145</v>
      </c>
      <c r="B17" s="32" t="s">
        <v>102</v>
      </c>
      <c r="C17" s="19">
        <f>+Tabla1[[#This Row],[PRECIO SUGERIDO INSTALADOR]]</f>
        <v>38157.006583506583</v>
      </c>
      <c r="D17" s="19">
        <f>+Tabla1[[#This Row],[TIENDA]]</f>
        <v>36249.156254331254</v>
      </c>
      <c r="E17" s="19">
        <f>+Tabla1[[#This Row],[DPP ORO7]]</f>
        <v>35038.53850000001</v>
      </c>
      <c r="F17" s="23">
        <f>+Tabla1[[#This Row],[Columna4]]</f>
        <v>34688.153115000008</v>
      </c>
      <c r="G17" s="23">
        <f>+Tabla1[[#This Row],[CLIENTE FINAL]]</f>
        <v>54510.009405009405</v>
      </c>
      <c r="H17" s="23">
        <f t="shared" si="0"/>
        <v>7.1521965185567025</v>
      </c>
      <c r="I17" s="23">
        <f t="shared" si="1"/>
        <v>34688.153115000008</v>
      </c>
      <c r="J17" s="22">
        <f t="shared" si="2"/>
        <v>350.3853850000001</v>
      </c>
      <c r="K17" s="19">
        <f t="shared" si="3"/>
        <v>7.2244409278350536</v>
      </c>
      <c r="L17" s="24">
        <f>Tabla1[[#This Row],[oro sin IVA]]*1.19</f>
        <v>35038.53850000001</v>
      </c>
      <c r="M17" s="19">
        <f t="shared" si="4"/>
        <v>7.8674240378364093</v>
      </c>
      <c r="N17" s="19">
        <f>+Tabla1[[#This Row],[PRECIO SUGERIDO INSTALADOR]]/0.7</f>
        <v>54510.009405009405</v>
      </c>
      <c r="O17" s="19">
        <f>+Tabla1[[#This Row],[PRECIO SUGERIDO INSTALADOR]]*5%</f>
        <v>1907.8503291753293</v>
      </c>
      <c r="P17" s="19">
        <f>+Tabla1[[#This Row],[PRECIO SUGERIDO INSTALADOR]]-Tabla1[[#This Row],[Columna1]]</f>
        <v>36249.156254331254</v>
      </c>
      <c r="Q17" s="25">
        <f>Tabla1[[#This Row],[instalador sin IVA]]*1.19</f>
        <v>38157.006583506583</v>
      </c>
      <c r="R17" s="53">
        <v>29444.150000000009</v>
      </c>
      <c r="S17" s="52">
        <v>32064.711414711419</v>
      </c>
      <c r="T17" s="14">
        <v>138129.1127</v>
      </c>
      <c r="U17" s="13">
        <v>135928.08510638302</v>
      </c>
      <c r="V17" s="12"/>
    </row>
    <row r="18" spans="1:22" s="11" customFormat="1" ht="15">
      <c r="A18" s="49" t="s">
        <v>146</v>
      </c>
      <c r="B18" s="32" t="s">
        <v>101</v>
      </c>
      <c r="C18" s="19">
        <f>+Tabla1[[#This Row],[PRECIO SUGERIDO INSTALADOR]]</f>
        <v>67200.36382536382</v>
      </c>
      <c r="D18" s="19">
        <f>+Tabla1[[#This Row],[TIENDA]]</f>
        <v>63840.345634095633</v>
      </c>
      <c r="E18" s="19">
        <f>+Tabla1[[#This Row],[DPP ORO7]]</f>
        <v>61708.26136363636</v>
      </c>
      <c r="F18" s="23">
        <f>+Tabla1[[#This Row],[Columna4]]</f>
        <v>61091.178749999999</v>
      </c>
      <c r="G18" s="23">
        <f>+Tabla1[[#This Row],[CLIENTE FINAL]]</f>
        <v>96000.519750519743</v>
      </c>
      <c r="H18" s="23">
        <f t="shared" si="0"/>
        <v>12.596119329896908</v>
      </c>
      <c r="I18" s="23">
        <f t="shared" si="1"/>
        <v>61091.178749999999</v>
      </c>
      <c r="J18" s="22">
        <f t="shared" si="2"/>
        <v>617.08261363636359</v>
      </c>
      <c r="K18" s="19">
        <f t="shared" si="3"/>
        <v>12.723352858481723</v>
      </c>
      <c r="L18" s="24">
        <f>Tabla1[[#This Row],[oro sin IVA]]*1.19</f>
        <v>61708.26136363636</v>
      </c>
      <c r="M18" s="19">
        <f t="shared" si="4"/>
        <v>13.855745118631715</v>
      </c>
      <c r="N18" s="19">
        <f>+Tabla1[[#This Row],[PRECIO SUGERIDO INSTALADOR]]/0.7</f>
        <v>96000.519750519743</v>
      </c>
      <c r="O18" s="19">
        <f>+Tabla1[[#This Row],[PRECIO SUGERIDO INSTALADOR]]*5%</f>
        <v>3360.018191268191</v>
      </c>
      <c r="P18" s="19">
        <f>+Tabla1[[#This Row],[PRECIO SUGERIDO INSTALADOR]]-Tabla1[[#This Row],[Columna1]]</f>
        <v>63840.345634095633</v>
      </c>
      <c r="Q18" s="25">
        <f>Tabla1[[#This Row],[instalador sin IVA]]*1.19</f>
        <v>67200.36382536382</v>
      </c>
      <c r="R18" s="53">
        <v>51855.681818181816</v>
      </c>
      <c r="S18" s="52">
        <v>56470.893970893972</v>
      </c>
      <c r="T18" s="14" t="s">
        <v>0</v>
      </c>
      <c r="U18" s="13">
        <v>115585.10638297873</v>
      </c>
      <c r="V18" s="12"/>
    </row>
    <row r="19" spans="1:22" s="11" customFormat="1" ht="94.5">
      <c r="A19" s="49" t="s">
        <v>100</v>
      </c>
      <c r="B19" s="32" t="s">
        <v>147</v>
      </c>
      <c r="C19" s="19">
        <f>+Tabla1[[#This Row],[PRECIO SUGERIDO INSTALADOR]]</f>
        <v>288641.56271656271</v>
      </c>
      <c r="D19" s="19">
        <f>+Tabla1[[#This Row],[TIENDA]]</f>
        <v>274209.48458073457</v>
      </c>
      <c r="E19" s="19">
        <f>+Tabla1[[#This Row],[DPP ORO7]]</f>
        <v>265051.67499999999</v>
      </c>
      <c r="F19" s="23">
        <f>+Tabla1[[#This Row],[Columna4]]</f>
        <v>262401.15824999998</v>
      </c>
      <c r="G19" s="23">
        <f>+Tabla1[[#This Row],[CLIENTE FINAL]]</f>
        <v>412345.08959508961</v>
      </c>
      <c r="H19" s="23">
        <f t="shared" si="0"/>
        <v>54.103331597938137</v>
      </c>
      <c r="I19" s="23">
        <f t="shared" si="1"/>
        <v>262401.15824999998</v>
      </c>
      <c r="J19" s="22">
        <f t="shared" si="2"/>
        <v>2650.5167499999998</v>
      </c>
      <c r="K19" s="19">
        <f t="shared" si="3"/>
        <v>54.649829896907214</v>
      </c>
      <c r="L19" s="24">
        <f>Tabla1[[#This Row],[oro sin IVA]]*1.19</f>
        <v>265051.67499999999</v>
      </c>
      <c r="M19" s="19">
        <f t="shared" si="4"/>
        <v>59.513724271456226</v>
      </c>
      <c r="N19" s="19">
        <f>+Tabla1[[#This Row],[PRECIO SUGERIDO INSTALADOR]]/0.7</f>
        <v>412345.08959508961</v>
      </c>
      <c r="O19" s="19">
        <f>+Tabla1[[#This Row],[PRECIO SUGERIDO INSTALADOR]]*5%</f>
        <v>14432.078135828137</v>
      </c>
      <c r="P19" s="19">
        <f>+Tabla1[[#This Row],[PRECIO SUGERIDO INSTALADOR]]-Tabla1[[#This Row],[Columna1]]</f>
        <v>274209.48458073457</v>
      </c>
      <c r="Q19" s="25">
        <f>Tabla1[[#This Row],[instalador sin IVA]]*1.19</f>
        <v>288641.56271656271</v>
      </c>
      <c r="R19" s="53">
        <v>222732.5</v>
      </c>
      <c r="S19" s="52">
        <v>242555.93505593506</v>
      </c>
      <c r="T19" s="14">
        <v>133327.4523</v>
      </c>
      <c r="U19" s="13">
        <v>138702.12765957447</v>
      </c>
      <c r="V19" s="12"/>
    </row>
    <row r="20" spans="1:22" s="11" customFormat="1" ht="67.5">
      <c r="A20" s="49" t="s">
        <v>99</v>
      </c>
      <c r="B20" s="32" t="s">
        <v>98</v>
      </c>
      <c r="C20" s="19">
        <f>+Tabla1[[#This Row],[PRECIO SUGERIDO INSTALADOR]]</f>
        <v>188161.01871101873</v>
      </c>
      <c r="D20" s="19">
        <f>+Tabla1[[#This Row],[TIENDA]]</f>
        <v>178752.96777546778</v>
      </c>
      <c r="E20" s="19">
        <f>+Tabla1[[#This Row],[DPP ORO7]]</f>
        <v>172783.13181818184</v>
      </c>
      <c r="F20" s="23">
        <f>+Tabla1[[#This Row],[Columna4]]</f>
        <v>171055.30050000001</v>
      </c>
      <c r="G20" s="23">
        <f>+Tabla1[[#This Row],[CLIENTE FINAL]]</f>
        <v>268801.45530145534</v>
      </c>
      <c r="H20" s="23">
        <f t="shared" si="0"/>
        <v>35.269134123711339</v>
      </c>
      <c r="I20" s="23">
        <f t="shared" si="1"/>
        <v>171055.30050000001</v>
      </c>
      <c r="J20" s="22">
        <f t="shared" si="2"/>
        <v>1727.8313181818185</v>
      </c>
      <c r="K20" s="19">
        <f t="shared" si="3"/>
        <v>35.625388003748832</v>
      </c>
      <c r="L20" s="24">
        <f>Tabla1[[#This Row],[oro sin IVA]]*1.19</f>
        <v>172783.13181818184</v>
      </c>
      <c r="M20" s="19">
        <f t="shared" si="4"/>
        <v>38.796086332168812</v>
      </c>
      <c r="N20" s="19">
        <f>+Tabla1[[#This Row],[PRECIO SUGERIDO INSTALADOR]]/0.7</f>
        <v>268801.45530145534</v>
      </c>
      <c r="O20" s="19">
        <f>+Tabla1[[#This Row],[PRECIO SUGERIDO INSTALADOR]]*5%</f>
        <v>9408.0509355509366</v>
      </c>
      <c r="P20" s="19">
        <f>+Tabla1[[#This Row],[PRECIO SUGERIDO INSTALADOR]]-Tabla1[[#This Row],[Columna1]]</f>
        <v>178752.96777546778</v>
      </c>
      <c r="Q20" s="25">
        <f>Tabla1[[#This Row],[instalador sin IVA]]*1.19</f>
        <v>188161.01871101873</v>
      </c>
      <c r="R20" s="53">
        <v>145195.90909090912</v>
      </c>
      <c r="S20" s="52">
        <v>158118.50311850314</v>
      </c>
      <c r="T20" s="14">
        <v>93320.967600000004</v>
      </c>
      <c r="U20" s="13">
        <v>101800.42659574469</v>
      </c>
      <c r="V20" s="12"/>
    </row>
    <row r="21" spans="1:22" s="11" customFormat="1" ht="67.5">
      <c r="A21" s="49" t="s">
        <v>148</v>
      </c>
      <c r="B21" s="32" t="s">
        <v>149</v>
      </c>
      <c r="C21" s="19">
        <f>+Tabla1[[#This Row],[PRECIO SUGERIDO INSTALADOR]]</f>
        <v>160000.86625086627</v>
      </c>
      <c r="D21" s="19">
        <f>+Tabla1[[#This Row],[TIENDA]]</f>
        <v>152000.82293832296</v>
      </c>
      <c r="E21" s="19">
        <f>+Tabla1[[#This Row],[DPP ORO7]]</f>
        <v>146924.43181818179</v>
      </c>
      <c r="F21" s="23">
        <f>+Tabla1[[#This Row],[Columna4]]</f>
        <v>145455.18749999997</v>
      </c>
      <c r="G21" s="23">
        <f>+Tabla1[[#This Row],[CLIENTE FINAL]]</f>
        <v>228572.66607266612</v>
      </c>
      <c r="H21" s="23">
        <f t="shared" si="0"/>
        <v>29.990760309278343</v>
      </c>
      <c r="I21" s="23">
        <f t="shared" si="1"/>
        <v>145455.18749999997</v>
      </c>
      <c r="J21" s="22">
        <f t="shared" si="2"/>
        <v>1469.244318181818</v>
      </c>
      <c r="K21" s="19">
        <f t="shared" si="3"/>
        <v>30.293697282099338</v>
      </c>
      <c r="L21" s="24">
        <f>Tabla1[[#This Row],[oro sin IVA]]*1.19</f>
        <v>146924.43181818179</v>
      </c>
      <c r="M21" s="19">
        <f t="shared" si="4"/>
        <v>32.989869330075521</v>
      </c>
      <c r="N21" s="19">
        <f>+Tabla1[[#This Row],[PRECIO SUGERIDO INSTALADOR]]/0.7</f>
        <v>228572.66607266612</v>
      </c>
      <c r="O21" s="19">
        <f>+Tabla1[[#This Row],[PRECIO SUGERIDO INSTALADOR]]*5%</f>
        <v>8000.0433125433137</v>
      </c>
      <c r="P21" s="19">
        <f>+Tabla1[[#This Row],[PRECIO SUGERIDO INSTALADOR]]-Tabla1[[#This Row],[Columna1]]</f>
        <v>152000.82293832296</v>
      </c>
      <c r="Q21" s="25">
        <f>Tabla1[[#This Row],[instalador sin IVA]]*1.19</f>
        <v>160000.86625086627</v>
      </c>
      <c r="R21" s="53">
        <v>123465.90909090909</v>
      </c>
      <c r="S21" s="52">
        <v>134454.50945450948</v>
      </c>
      <c r="T21" s="14" t="s">
        <v>0</v>
      </c>
      <c r="U21" s="13">
        <v>123722.29787234045</v>
      </c>
      <c r="V21" s="12"/>
    </row>
    <row r="22" spans="1:22" s="11" customFormat="1" ht="162">
      <c r="A22" s="49" t="s">
        <v>97</v>
      </c>
      <c r="B22" s="32" t="s">
        <v>96</v>
      </c>
      <c r="C22" s="19">
        <f>+Tabla1[[#This Row],[PRECIO SUGERIDO INSTALADOR]]</f>
        <v>192001.03950103952</v>
      </c>
      <c r="D22" s="19">
        <f>+Tabla1[[#This Row],[TIENDA]]</f>
        <v>182400.98752598753</v>
      </c>
      <c r="E22" s="26">
        <f>+Tabla1[[#This Row],[DPP ORO7]]</f>
        <v>176309.31818181818</v>
      </c>
      <c r="F22" s="23">
        <f>+Tabla1[[#This Row],[Columna4]]</f>
        <v>174546.22500000001</v>
      </c>
      <c r="G22" s="26">
        <f>+Tabla1[[#This Row],[CLIENTE FINAL]]</f>
        <v>274287.1992871993</v>
      </c>
      <c r="H22" s="26">
        <f t="shared" si="0"/>
        <v>35.98891237113402</v>
      </c>
      <c r="I22" s="26">
        <f t="shared" si="1"/>
        <v>174546.22500000001</v>
      </c>
      <c r="J22" s="26">
        <f t="shared" si="2"/>
        <v>1763.0931818181818</v>
      </c>
      <c r="K22" s="19">
        <f t="shared" si="3"/>
        <v>36.352436738519209</v>
      </c>
      <c r="L22" s="21">
        <f>Tabla1[[#This Row],[oro sin IVA]]*1.19</f>
        <v>176309.31818181818</v>
      </c>
      <c r="M22" s="19">
        <f t="shared" si="4"/>
        <v>39.587843196090624</v>
      </c>
      <c r="N22" s="19">
        <f>+Tabla1[[#This Row],[PRECIO SUGERIDO INSTALADOR]]/0.7</f>
        <v>274287.1992871993</v>
      </c>
      <c r="O22" s="19">
        <f>+Tabla1[[#This Row],[PRECIO SUGERIDO INSTALADOR]]*5%</f>
        <v>9600.0519750519761</v>
      </c>
      <c r="P22" s="19">
        <f>+Tabla1[[#This Row],[PRECIO SUGERIDO INSTALADOR]]-Tabla1[[#This Row],[Columna1]]</f>
        <v>182400.98752598753</v>
      </c>
      <c r="Q22" s="20">
        <f>Tabla1[[#This Row],[instalador sin IVA]]*1.19</f>
        <v>192001.03950103952</v>
      </c>
      <c r="R22" s="53">
        <v>148159.09090909091</v>
      </c>
      <c r="S22" s="52">
        <v>161345.41134541135</v>
      </c>
      <c r="T22" s="14"/>
      <c r="U22" s="13">
        <v>305144</v>
      </c>
      <c r="V22" s="12"/>
    </row>
    <row r="23" spans="1:22" s="11" customFormat="1" ht="54">
      <c r="A23" s="49" t="s">
        <v>95</v>
      </c>
      <c r="B23" s="32" t="s">
        <v>94</v>
      </c>
      <c r="C23" s="19">
        <f>+Tabla1[[#This Row],[PRECIO SUGERIDO INSTALADOR]]</f>
        <v>147629.59927234927</v>
      </c>
      <c r="D23" s="19">
        <f>+Tabla1[[#This Row],[TIENDA]]</f>
        <v>140248.11930873181</v>
      </c>
      <c r="E23" s="19">
        <f>+Tabla1[[#This Row],[DPP ORO7]]</f>
        <v>135564.23474999997</v>
      </c>
      <c r="F23" s="23">
        <f>+Tabla1[[#This Row],[Columna4]]</f>
        <v>134208.59240249998</v>
      </c>
      <c r="G23" s="23">
        <f>+Tabla1[[#This Row],[CLIENTE FINAL]]</f>
        <v>210899.42753192753</v>
      </c>
      <c r="H23" s="31">
        <f t="shared" si="0"/>
        <v>27.671874722164944</v>
      </c>
      <c r="I23" s="31">
        <f t="shared" si="1"/>
        <v>134208.59240249998</v>
      </c>
      <c r="J23" s="30">
        <f t="shared" si="2"/>
        <v>1355.6423474999997</v>
      </c>
      <c r="K23" s="27">
        <f t="shared" si="3"/>
        <v>27.951388608247417</v>
      </c>
      <c r="L23" s="28">
        <f>Tabla1[[#This Row],[oro sin IVA]]*1.19</f>
        <v>135564.23474999997</v>
      </c>
      <c r="M23" s="27">
        <f t="shared" si="4"/>
        <v>30.439092633474075</v>
      </c>
      <c r="N23" s="27">
        <f>+Tabla1[[#This Row],[PRECIO SUGERIDO INSTALADOR]]/0.7</f>
        <v>210899.42753192753</v>
      </c>
      <c r="O23" s="27">
        <f>+Tabla1[[#This Row],[PRECIO SUGERIDO INSTALADOR]]*5%</f>
        <v>7381.4799636174639</v>
      </c>
      <c r="P23" s="27">
        <f>+Tabla1[[#This Row],[PRECIO SUGERIDO INSTALADOR]]-Tabla1[[#This Row],[Columna1]]</f>
        <v>140248.11930873181</v>
      </c>
      <c r="Q23" s="29">
        <f>Tabla1[[#This Row],[instalador sin IVA]]*1.19</f>
        <v>147629.59927234927</v>
      </c>
      <c r="R23" s="53">
        <v>113919.52499999999</v>
      </c>
      <c r="S23" s="52">
        <v>124058.48678348678</v>
      </c>
      <c r="T23" s="14">
        <v>221923</v>
      </c>
      <c r="U23" s="13">
        <v>254287.23404255326</v>
      </c>
      <c r="V23" s="12"/>
    </row>
    <row r="24" spans="1:22" s="11" customFormat="1" ht="67.5">
      <c r="A24" s="49" t="s">
        <v>150</v>
      </c>
      <c r="B24" s="32" t="s">
        <v>93</v>
      </c>
      <c r="C24" s="19">
        <f>+Tabla1[[#This Row],[PRECIO SUGERIDO INSTALADOR]]</f>
        <v>171264.92723492722</v>
      </c>
      <c r="D24" s="19">
        <f>+Tabla1[[#This Row],[TIENDA]]</f>
        <v>162701.68087318086</v>
      </c>
      <c r="E24" s="19">
        <f>+Tabla1[[#This Row],[DPP ORO7]]</f>
        <v>157267.91181818183</v>
      </c>
      <c r="F24" s="23">
        <f>+Tabla1[[#This Row],[Columna4]]</f>
        <v>155695.23270000002</v>
      </c>
      <c r="G24" s="23">
        <f>+Tabla1[[#This Row],[CLIENTE FINAL]]</f>
        <v>244664.18176418176</v>
      </c>
      <c r="H24" s="31">
        <f t="shared" si="0"/>
        <v>32.10210983505155</v>
      </c>
      <c r="I24" s="31">
        <f t="shared" si="1"/>
        <v>155695.23270000002</v>
      </c>
      <c r="J24" s="30">
        <f t="shared" si="2"/>
        <v>1572.6791181818185</v>
      </c>
      <c r="K24" s="27">
        <f t="shared" si="3"/>
        <v>32.426373570759139</v>
      </c>
      <c r="L24" s="28">
        <f>Tabla1[[#This Row],[oro sin IVA]]*1.19</f>
        <v>157267.91181818183</v>
      </c>
      <c r="M24" s="27">
        <f t="shared" si="4"/>
        <v>35.312356130912832</v>
      </c>
      <c r="N24" s="27">
        <f>+Tabla1[[#This Row],[PRECIO SUGERIDO INSTALADOR]]/0.7</f>
        <v>244664.18176418176</v>
      </c>
      <c r="O24" s="27">
        <f>+Tabla1[[#This Row],[PRECIO SUGERIDO INSTALADOR]]*5%</f>
        <v>8563.2463617463618</v>
      </c>
      <c r="P24" s="27">
        <f>+Tabla1[[#This Row],[PRECIO SUGERIDO INSTALADOR]]-Tabla1[[#This Row],[Columna1]]</f>
        <v>162701.68087318086</v>
      </c>
      <c r="Q24" s="29">
        <f>Tabla1[[#This Row],[instalador sin IVA]]*1.19</f>
        <v>171264.92723492722</v>
      </c>
      <c r="R24" s="53">
        <v>132157.90909090912</v>
      </c>
      <c r="S24" s="52">
        <v>143920.10692010692</v>
      </c>
      <c r="T24" s="14">
        <v>290173.47129999998</v>
      </c>
      <c r="U24" s="13">
        <v>279715.95744680858</v>
      </c>
      <c r="V24" s="12"/>
    </row>
    <row r="25" spans="1:22" s="11" customFormat="1" ht="121.5">
      <c r="A25" s="49" t="s">
        <v>92</v>
      </c>
      <c r="B25" s="32" t="s">
        <v>151</v>
      </c>
      <c r="C25" s="19">
        <f>+Tabla1[[#This Row],[PRECIO SUGERIDO INSTALADOR]]</f>
        <v>426668.55</v>
      </c>
      <c r="D25" s="19">
        <f>+Tabla1[[#This Row],[TIENDA]]</f>
        <v>405335.1225</v>
      </c>
      <c r="E25" s="19">
        <f>+Tabla1[[#This Row],[DPP ORO7]]</f>
        <v>387880.50000000006</v>
      </c>
      <c r="F25" s="23">
        <f>+Tabla1[[#This Row],[Columna4]]</f>
        <v>384001.69500000007</v>
      </c>
      <c r="G25" s="23">
        <f>+Tabla1[[#This Row],[CLIENTE FINAL]]</f>
        <v>609526.5</v>
      </c>
      <c r="H25" s="31">
        <f t="shared" si="0"/>
        <v>79.175607216494853</v>
      </c>
      <c r="I25" s="31">
        <f t="shared" si="1"/>
        <v>384001.69500000007</v>
      </c>
      <c r="J25" s="30">
        <f t="shared" si="2"/>
        <v>3878.8050000000007</v>
      </c>
      <c r="K25" s="27">
        <f t="shared" si="3"/>
        <v>79.975360824742282</v>
      </c>
      <c r="L25" s="28">
        <f>Tabla1[[#This Row],[oro sin IVA]]*1.19</f>
        <v>387880.50000000006</v>
      </c>
      <c r="M25" s="27">
        <f t="shared" si="4"/>
        <v>87.972896907216494</v>
      </c>
      <c r="N25" s="27">
        <f>+Tabla1[[#This Row],[PRECIO SUGERIDO INSTALADOR]]/0.7</f>
        <v>609526.5</v>
      </c>
      <c r="O25" s="27">
        <f>+Tabla1[[#This Row],[PRECIO SUGERIDO INSTALADOR]]*5%</f>
        <v>21333.427500000002</v>
      </c>
      <c r="P25" s="27">
        <f>+Tabla1[[#This Row],[PRECIO SUGERIDO INSTALADOR]]-Tabla1[[#This Row],[Columna1]]</f>
        <v>405335.1225</v>
      </c>
      <c r="Q25" s="29">
        <f>Tabla1[[#This Row],[instalador sin IVA]]*1.19</f>
        <v>426668.55</v>
      </c>
      <c r="R25" s="53">
        <v>325950.00000000006</v>
      </c>
      <c r="S25" s="52">
        <v>358545</v>
      </c>
      <c r="T25" s="14">
        <v>297702</v>
      </c>
      <c r="U25" s="13">
        <v>254287.23404255326</v>
      </c>
      <c r="V25" s="12"/>
    </row>
    <row r="26" spans="1:22" s="11" customFormat="1" ht="67.5">
      <c r="A26" s="49" t="s">
        <v>91</v>
      </c>
      <c r="B26" s="32" t="s">
        <v>152</v>
      </c>
      <c r="C26" s="19">
        <f>+Tabla1[[#This Row],[PRECIO SUGERIDO INSTALADOR]]</f>
        <v>352001.90575190581</v>
      </c>
      <c r="D26" s="19">
        <f>+Tabla1[[#This Row],[TIENDA]]</f>
        <v>334401.81046431052</v>
      </c>
      <c r="E26" s="19">
        <f>+Tabla1[[#This Row],[DPP ORO7]]</f>
        <v>323233.75000000006</v>
      </c>
      <c r="F26" s="23">
        <f>+Tabla1[[#This Row],[Columna4]]</f>
        <v>320001.41250000003</v>
      </c>
      <c r="G26" s="23">
        <f>+Tabla1[[#This Row],[CLIENTE FINAL]]</f>
        <v>502859.86535986548</v>
      </c>
      <c r="H26" s="31">
        <f t="shared" si="0"/>
        <v>65.979672680412378</v>
      </c>
      <c r="I26" s="31">
        <f t="shared" si="1"/>
        <v>320001.41250000003</v>
      </c>
      <c r="J26" s="30">
        <f t="shared" si="2"/>
        <v>3232.3375000000005</v>
      </c>
      <c r="K26" s="27">
        <f t="shared" si="3"/>
        <v>66.646134020618575</v>
      </c>
      <c r="L26" s="28">
        <f>Tabla1[[#This Row],[oro sin IVA]]*1.19</f>
        <v>323233.75000000006</v>
      </c>
      <c r="M26" s="27">
        <f t="shared" si="4"/>
        <v>72.577712526166152</v>
      </c>
      <c r="N26" s="27">
        <f>+Tabla1[[#This Row],[PRECIO SUGERIDO INSTALADOR]]/0.7</f>
        <v>502859.86535986548</v>
      </c>
      <c r="O26" s="27">
        <f>+Tabla1[[#This Row],[PRECIO SUGERIDO INSTALADOR]]*5%</f>
        <v>17600.09528759529</v>
      </c>
      <c r="P26" s="27">
        <f>+Tabla1[[#This Row],[PRECIO SUGERIDO INSTALADOR]]-Tabla1[[#This Row],[Columna1]]</f>
        <v>334401.81046431052</v>
      </c>
      <c r="Q26" s="29">
        <f>Tabla1[[#This Row],[instalador sin IVA]]*1.19</f>
        <v>352001.90575190581</v>
      </c>
      <c r="R26" s="53">
        <v>271625.00000000006</v>
      </c>
      <c r="S26" s="52">
        <v>295799.92079992086</v>
      </c>
      <c r="T26" s="14" t="s">
        <v>0</v>
      </c>
      <c r="U26" s="13">
        <v>241806.35425531919</v>
      </c>
      <c r="V26" s="12"/>
    </row>
    <row r="27" spans="1:22" s="11" customFormat="1" ht="81">
      <c r="A27" s="49" t="s">
        <v>153</v>
      </c>
      <c r="B27" s="32" t="s">
        <v>154</v>
      </c>
      <c r="C27" s="19">
        <f>+Tabla1[[#This Row],[PRECIO SUGERIDO INSTALADOR]]</f>
        <v>387202.09632709634</v>
      </c>
      <c r="D27" s="19">
        <f>+Tabla1[[#This Row],[TIENDA]]</f>
        <v>367841.99151074153</v>
      </c>
      <c r="E27" s="19">
        <f>+Tabla1[[#This Row],[DPP ORO7]]</f>
        <v>355557.12500000006</v>
      </c>
      <c r="F27" s="23">
        <f>+Tabla1[[#This Row],[Columna4]]</f>
        <v>352001.55375000008</v>
      </c>
      <c r="G27" s="23">
        <f>+Tabla1[[#This Row],[CLIENTE FINAL]]</f>
        <v>553145.8518958519</v>
      </c>
      <c r="H27" s="23">
        <f t="shared" si="0"/>
        <v>72.577639948453623</v>
      </c>
      <c r="I27" s="23">
        <f t="shared" si="1"/>
        <v>352001.55375000008</v>
      </c>
      <c r="J27" s="22">
        <f t="shared" si="2"/>
        <v>3555.5712500000009</v>
      </c>
      <c r="K27" s="19">
        <f t="shared" si="3"/>
        <v>73.310747422680421</v>
      </c>
      <c r="L27" s="24">
        <f>Tabla1[[#This Row],[oro sin IVA]]*1.19</f>
        <v>355557.12500000006</v>
      </c>
      <c r="M27" s="19">
        <f t="shared" si="4"/>
        <v>79.835483778782745</v>
      </c>
      <c r="N27" s="19">
        <f>+Tabla1[[#This Row],[PRECIO SUGERIDO INSTALADOR]]/0.7</f>
        <v>553145.8518958519</v>
      </c>
      <c r="O27" s="19">
        <f>+Tabla1[[#This Row],[PRECIO SUGERIDO INSTALADOR]]*5%</f>
        <v>19360.104816354818</v>
      </c>
      <c r="P27" s="19">
        <f>+Tabla1[[#This Row],[PRECIO SUGERIDO INSTALADOR]]-Tabla1[[#This Row],[Columna1]]</f>
        <v>367841.99151074153</v>
      </c>
      <c r="Q27" s="25">
        <f>Tabla1[[#This Row],[instalador sin IVA]]*1.19</f>
        <v>387202.09632709634</v>
      </c>
      <c r="R27" s="53">
        <v>298787.50000000006</v>
      </c>
      <c r="S27" s="52">
        <v>325379.91287991288</v>
      </c>
      <c r="T27" s="14">
        <v>186415</v>
      </c>
      <c r="U27" s="13">
        <v>203892.1276595745</v>
      </c>
      <c r="V27" s="12"/>
    </row>
    <row r="28" spans="1:22" s="11" customFormat="1" ht="67.5">
      <c r="A28" s="49" t="s">
        <v>155</v>
      </c>
      <c r="B28" s="32" t="s">
        <v>156</v>
      </c>
      <c r="C28" s="19">
        <f>+Tabla1[[#This Row],[PRECIO SUGERIDO INSTALADOR]]</f>
        <v>352001.90575190581</v>
      </c>
      <c r="D28" s="19">
        <f>+Tabla1[[#This Row],[TIENDA]]</f>
        <v>334401.81046431052</v>
      </c>
      <c r="E28" s="19">
        <f>+Tabla1[[#This Row],[DPP ORO7]]</f>
        <v>323233.75000000006</v>
      </c>
      <c r="F28" s="23">
        <f>+Tabla1[[#This Row],[Columna4]]</f>
        <v>320001.41250000003</v>
      </c>
      <c r="G28" s="23">
        <f>+Tabla1[[#This Row],[CLIENTE FINAL]]</f>
        <v>502859.86535986548</v>
      </c>
      <c r="H28" s="31">
        <f t="shared" si="0"/>
        <v>65.979672680412378</v>
      </c>
      <c r="I28" s="31">
        <f t="shared" si="1"/>
        <v>320001.41250000003</v>
      </c>
      <c r="J28" s="30">
        <f t="shared" si="2"/>
        <v>3232.3375000000005</v>
      </c>
      <c r="K28" s="27">
        <f t="shared" si="3"/>
        <v>66.646134020618575</v>
      </c>
      <c r="L28" s="28">
        <f>Tabla1[[#This Row],[oro sin IVA]]*1.19</f>
        <v>323233.75000000006</v>
      </c>
      <c r="M28" s="27">
        <f t="shared" si="4"/>
        <v>72.577712526166152</v>
      </c>
      <c r="N28" s="27">
        <f>+Tabla1[[#This Row],[PRECIO SUGERIDO INSTALADOR]]/0.7</f>
        <v>502859.86535986548</v>
      </c>
      <c r="O28" s="27">
        <f>+Tabla1[[#This Row],[PRECIO SUGERIDO INSTALADOR]]*5%</f>
        <v>17600.09528759529</v>
      </c>
      <c r="P28" s="27">
        <f>+Tabla1[[#This Row],[PRECIO SUGERIDO INSTALADOR]]-Tabla1[[#This Row],[Columna1]]</f>
        <v>334401.81046431052</v>
      </c>
      <c r="Q28" s="29">
        <f>Tabla1[[#This Row],[instalador sin IVA]]*1.19</f>
        <v>352001.90575190581</v>
      </c>
      <c r="R28" s="53">
        <v>271625.00000000006</v>
      </c>
      <c r="S28" s="52">
        <v>295799.92079992086</v>
      </c>
      <c r="T28" s="14">
        <v>151817.24350000001</v>
      </c>
      <c r="U28" s="13">
        <v>156964.57446808513</v>
      </c>
      <c r="V28" s="12"/>
    </row>
    <row r="29" spans="1:22" s="11" customFormat="1" ht="67.5">
      <c r="A29" s="49" t="s">
        <v>157</v>
      </c>
      <c r="B29" s="32" t="s">
        <v>90</v>
      </c>
      <c r="C29" s="19">
        <f>+Tabla1[[#This Row],[PRECIO SUGERIDO INSTALADOR]]</f>
        <v>350664.29851004854</v>
      </c>
      <c r="D29" s="19">
        <f>+Tabla1[[#This Row],[TIENDA]]</f>
        <v>333131.08358454611</v>
      </c>
      <c r="E29" s="26">
        <f>+Tabla1[[#This Row],[DPP ORO7]]</f>
        <v>322005.46175000002</v>
      </c>
      <c r="F29" s="23">
        <f>+Tabla1[[#This Row],[Columna4]]</f>
        <v>318785.40713250003</v>
      </c>
      <c r="G29" s="26">
        <f>+Tabla1[[#This Row],[CLIENTE FINAL]]</f>
        <v>500948.99787149794</v>
      </c>
      <c r="H29" s="26">
        <f t="shared" si="0"/>
        <v>65.728949924226811</v>
      </c>
      <c r="I29" s="26">
        <f t="shared" si="1"/>
        <v>318785.40713250003</v>
      </c>
      <c r="J29" s="26">
        <f t="shared" si="2"/>
        <v>3220.0546175000004</v>
      </c>
      <c r="K29" s="19">
        <f t="shared" si="3"/>
        <v>66.392878711340217</v>
      </c>
      <c r="L29" s="21">
        <f>Tabla1[[#This Row],[oro sin IVA]]*1.19</f>
        <v>322005.46175000002</v>
      </c>
      <c r="M29" s="19">
        <f t="shared" si="4"/>
        <v>72.301917218566714</v>
      </c>
      <c r="N29" s="19">
        <f>+Tabla1[[#This Row],[PRECIO SUGERIDO INSTALADOR]]/0.7</f>
        <v>500948.99787149794</v>
      </c>
      <c r="O29" s="19">
        <f>+Tabla1[[#This Row],[PRECIO SUGERIDO INSTALADOR]]*5%</f>
        <v>17533.214925502427</v>
      </c>
      <c r="P29" s="19">
        <f>+Tabla1[[#This Row],[PRECIO SUGERIDO INSTALADOR]]-Tabla1[[#This Row],[Columna1]]</f>
        <v>333131.08358454611</v>
      </c>
      <c r="Q29" s="20">
        <f>Tabla1[[#This Row],[instalador sin IVA]]*1.19</f>
        <v>350664.29851004854</v>
      </c>
      <c r="R29" s="53">
        <v>270592.82500000001</v>
      </c>
      <c r="S29" s="52">
        <v>294675.88110088115</v>
      </c>
      <c r="T29" s="2"/>
      <c r="U29" s="13">
        <v>138702</v>
      </c>
      <c r="V29" s="12"/>
    </row>
    <row r="30" spans="1:22" s="11" customFormat="1" ht="108">
      <c r="A30" s="49" t="s">
        <v>89</v>
      </c>
      <c r="B30" s="32" t="s">
        <v>88</v>
      </c>
      <c r="C30" s="19">
        <f>+Tabla1[[#This Row],[PRECIO SUGERIDO INSTALADOR]]</f>
        <v>282241.52806652803</v>
      </c>
      <c r="D30" s="19">
        <f>+Tabla1[[#This Row],[TIENDA]]</f>
        <v>268129.45166320162</v>
      </c>
      <c r="E30" s="19">
        <f>+Tabla1[[#This Row],[DPP ORO7]]</f>
        <v>259174.69772727272</v>
      </c>
      <c r="F30" s="23">
        <f>+Tabla1[[#This Row],[Columna4]]</f>
        <v>256582.95074999999</v>
      </c>
      <c r="G30" s="23">
        <f>+Tabla1[[#This Row],[CLIENTE FINAL]]</f>
        <v>403202.18295218295</v>
      </c>
      <c r="H30" s="31">
        <f t="shared" si="0"/>
        <v>52.903701185567009</v>
      </c>
      <c r="I30" s="31">
        <f t="shared" si="1"/>
        <v>256582.95074999999</v>
      </c>
      <c r="J30" s="30">
        <f t="shared" si="2"/>
        <v>2591.7469772727272</v>
      </c>
      <c r="K30" s="27">
        <f t="shared" si="3"/>
        <v>53.438082005623244</v>
      </c>
      <c r="L30" s="28">
        <f>Tabla1[[#This Row],[oro sin IVA]]*1.19</f>
        <v>259174.69772727272</v>
      </c>
      <c r="M30" s="27">
        <f t="shared" si="4"/>
        <v>58.194129498253204</v>
      </c>
      <c r="N30" s="27">
        <f>+Tabla1[[#This Row],[PRECIO SUGERIDO INSTALADOR]]/0.7</f>
        <v>403202.18295218295</v>
      </c>
      <c r="O30" s="27">
        <f>+Tabla1[[#This Row],[PRECIO SUGERIDO INSTALADOR]]*5%</f>
        <v>14112.076403326402</v>
      </c>
      <c r="P30" s="27">
        <f>+Tabla1[[#This Row],[PRECIO SUGERIDO INSTALADOR]]-Tabla1[[#This Row],[Columna1]]</f>
        <v>268129.45166320162</v>
      </c>
      <c r="Q30" s="29">
        <f>Tabla1[[#This Row],[instalador sin IVA]]*1.19</f>
        <v>282241.52806652803</v>
      </c>
      <c r="R30" s="53">
        <v>217793.86363636365</v>
      </c>
      <c r="S30" s="52">
        <v>237177.75467775468</v>
      </c>
      <c r="T30" s="14">
        <v>138147.93086666666</v>
      </c>
      <c r="U30" s="13">
        <v>143325.53191489363</v>
      </c>
      <c r="V30" s="12"/>
    </row>
    <row r="31" spans="1:22" s="11" customFormat="1" ht="67.5">
      <c r="A31" s="49" t="s">
        <v>158</v>
      </c>
      <c r="B31" s="32" t="s">
        <v>159</v>
      </c>
      <c r="C31" s="19">
        <f>+Tabla1[[#This Row],[PRECIO SUGERIDO INSTALADOR]]</f>
        <v>342401.85377685376</v>
      </c>
      <c r="D31" s="19">
        <f>+Tabla1[[#This Row],[TIENDA]]</f>
        <v>325281.76108801109</v>
      </c>
      <c r="E31" s="19">
        <f>+Tabla1[[#This Row],[DPP ORO7]]</f>
        <v>314418.28409090912</v>
      </c>
      <c r="F31" s="23">
        <f>+Tabla1[[#This Row],[Columna4]]</f>
        <v>311274.10125000001</v>
      </c>
      <c r="G31" s="23">
        <f>+Tabla1[[#This Row],[CLIENTE FINAL]]</f>
        <v>489145.5053955054</v>
      </c>
      <c r="H31" s="31">
        <f t="shared" si="0"/>
        <v>64.180227061855675</v>
      </c>
      <c r="I31" s="31">
        <f t="shared" si="1"/>
        <v>311274.10125000001</v>
      </c>
      <c r="J31" s="30">
        <f t="shared" si="2"/>
        <v>3144.1828409090913</v>
      </c>
      <c r="K31" s="27">
        <f t="shared" si="3"/>
        <v>64.828512183692595</v>
      </c>
      <c r="L31" s="28">
        <f>Tabla1[[#This Row],[oro sin IVA]]*1.19</f>
        <v>314418.28409090912</v>
      </c>
      <c r="M31" s="27">
        <f t="shared" si="4"/>
        <v>70.598320366361605</v>
      </c>
      <c r="N31" s="27">
        <f>+Tabla1[[#This Row],[PRECIO SUGERIDO INSTALADOR]]/0.7</f>
        <v>489145.5053955054</v>
      </c>
      <c r="O31" s="27">
        <f>+Tabla1[[#This Row],[PRECIO SUGERIDO INSTALADOR]]*5%</f>
        <v>17120.092688842687</v>
      </c>
      <c r="P31" s="27">
        <f>+Tabla1[[#This Row],[PRECIO SUGERIDO INSTALADOR]]-Tabla1[[#This Row],[Columna1]]</f>
        <v>325281.76108801109</v>
      </c>
      <c r="Q31" s="29">
        <f>Tabla1[[#This Row],[instalador sin IVA]]*1.19</f>
        <v>342401.85377685376</v>
      </c>
      <c r="R31" s="53">
        <v>264217.04545454547</v>
      </c>
      <c r="S31" s="52">
        <v>287732.65023265022</v>
      </c>
      <c r="T31" s="14">
        <v>133279.75779999999</v>
      </c>
      <c r="U31" s="13" t="s">
        <v>0</v>
      </c>
      <c r="V31" s="12"/>
    </row>
    <row r="32" spans="1:22" s="11" customFormat="1" ht="81">
      <c r="A32" s="49" t="s">
        <v>160</v>
      </c>
      <c r="B32" s="32" t="s">
        <v>161</v>
      </c>
      <c r="C32" s="19">
        <f>+Tabla1[[#This Row],[PRECIO SUGERIDO INSTALADOR]]</f>
        <v>217281.17636867636</v>
      </c>
      <c r="D32" s="19">
        <f>+Tabla1[[#This Row],[TIENDA]]</f>
        <v>206417.11755024255</v>
      </c>
      <c r="E32" s="19">
        <f>+Tabla1[[#This Row],[DPP ORO7]]</f>
        <v>199523.37840909092</v>
      </c>
      <c r="F32" s="23">
        <f>+Tabla1[[#This Row],[Columna4]]</f>
        <v>197528.14462500002</v>
      </c>
      <c r="G32" s="23">
        <f>+Tabla1[[#This Row],[CLIENTE FINAL]]</f>
        <v>310401.68052668055</v>
      </c>
      <c r="H32" s="31">
        <f t="shared" si="0"/>
        <v>40.727452500000005</v>
      </c>
      <c r="I32" s="31">
        <f t="shared" si="1"/>
        <v>197528.14462500002</v>
      </c>
      <c r="J32" s="30">
        <f t="shared" si="2"/>
        <v>1995.2337840909092</v>
      </c>
      <c r="K32" s="27">
        <f t="shared" si="3"/>
        <v>41.138840909090909</v>
      </c>
      <c r="L32" s="28">
        <f>Tabla1[[#This Row],[oro sin IVA]]*1.19</f>
        <v>199523.37840909092</v>
      </c>
      <c r="M32" s="27">
        <f t="shared" si="4"/>
        <v>44.800242550242551</v>
      </c>
      <c r="N32" s="27">
        <f>+Tabla1[[#This Row],[PRECIO SUGERIDO INSTALADOR]]/0.7</f>
        <v>310401.68052668055</v>
      </c>
      <c r="O32" s="27">
        <f>+Tabla1[[#This Row],[PRECIO SUGERIDO INSTALADOR]]*5%</f>
        <v>10864.058818433819</v>
      </c>
      <c r="P32" s="27">
        <f>+Tabla1[[#This Row],[PRECIO SUGERIDO INSTALADOR]]-Tabla1[[#This Row],[Columna1]]</f>
        <v>206417.11755024255</v>
      </c>
      <c r="Q32" s="29">
        <f>Tabla1[[#This Row],[instalador sin IVA]]*1.19</f>
        <v>217281.17636867636</v>
      </c>
      <c r="R32" s="53">
        <v>167666.70454545456</v>
      </c>
      <c r="S32" s="52">
        <v>182589.22383922385</v>
      </c>
      <c r="T32" s="14">
        <v>170121.19949999999</v>
      </c>
      <c r="U32" s="13">
        <v>162743.82978723408</v>
      </c>
      <c r="V32" s="12"/>
    </row>
    <row r="33" spans="1:22" s="11" customFormat="1" ht="81">
      <c r="A33" s="49" t="s">
        <v>86</v>
      </c>
      <c r="B33" s="32" t="s">
        <v>162</v>
      </c>
      <c r="C33" s="19">
        <f>+Tabla1[[#This Row],[PRECIO SUGERIDO INSTALADOR]]</f>
        <v>198401.07415107411</v>
      </c>
      <c r="D33" s="19">
        <f>+Tabla1[[#This Row],[TIENDA]]</f>
        <v>188481.02044352039</v>
      </c>
      <c r="E33" s="19">
        <f>+Tabla1[[#This Row],[DPP ORO7]]</f>
        <v>182186.29545454544</v>
      </c>
      <c r="F33" s="23">
        <f>+Tabla1[[#This Row],[Columna4]]</f>
        <v>180364.4325</v>
      </c>
      <c r="G33" s="23">
        <f>+Tabla1[[#This Row],[CLIENTE FINAL]]</f>
        <v>283430.1059301059</v>
      </c>
      <c r="H33" s="31">
        <f t="shared" si="0"/>
        <v>37.188542783505156</v>
      </c>
      <c r="I33" s="31">
        <f t="shared" si="1"/>
        <v>180364.4325</v>
      </c>
      <c r="J33" s="30">
        <f t="shared" si="2"/>
        <v>1821.8629545454544</v>
      </c>
      <c r="K33" s="27">
        <f t="shared" si="3"/>
        <v>37.564184629803187</v>
      </c>
      <c r="L33" s="28">
        <f>Tabla1[[#This Row],[oro sin IVA]]*1.19</f>
        <v>182186.29545454544</v>
      </c>
      <c r="M33" s="27">
        <f t="shared" si="4"/>
        <v>40.907437969293632</v>
      </c>
      <c r="N33" s="27">
        <f>+Tabla1[[#This Row],[PRECIO SUGERIDO INSTALADOR]]/0.7</f>
        <v>283430.1059301059</v>
      </c>
      <c r="O33" s="27">
        <f>+Tabla1[[#This Row],[PRECIO SUGERIDO INSTALADOR]]*5%</f>
        <v>9920.0537075537068</v>
      </c>
      <c r="P33" s="27">
        <f>+Tabla1[[#This Row],[PRECIO SUGERIDO INSTALADOR]]-Tabla1[[#This Row],[Columna1]]</f>
        <v>188481.02044352039</v>
      </c>
      <c r="Q33" s="29">
        <f>Tabla1[[#This Row],[instalador sin IVA]]*1.19</f>
        <v>198401.07415107411</v>
      </c>
      <c r="R33" s="53">
        <v>153097.72727272726</v>
      </c>
      <c r="S33" s="52">
        <v>166723.5917235917</v>
      </c>
      <c r="T33" s="14">
        <v>160125.2746</v>
      </c>
      <c r="U33" s="13">
        <v>166442.55319148939</v>
      </c>
      <c r="V33" s="12"/>
    </row>
    <row r="34" spans="1:22" s="11" customFormat="1" ht="67.5">
      <c r="A34" s="49" t="s">
        <v>163</v>
      </c>
      <c r="B34" s="32" t="s">
        <v>164</v>
      </c>
      <c r="C34" s="19">
        <f>+Tabla1[[#This Row],[PRECIO SUGERIDO INSTALADOR]]</f>
        <v>197121.06722106723</v>
      </c>
      <c r="D34" s="19">
        <f>+Tabla1[[#This Row],[TIENDA]]</f>
        <v>187265.01386001386</v>
      </c>
      <c r="E34" s="19">
        <f>+Tabla1[[#This Row],[DPP ORO7]]</f>
        <v>181010.90000000002</v>
      </c>
      <c r="F34" s="23">
        <f>+Tabla1[[#This Row],[Columna4]]</f>
        <v>179200.79100000003</v>
      </c>
      <c r="G34" s="23">
        <f>+Tabla1[[#This Row],[CLIENTE FINAL]]</f>
        <v>281601.52460152464</v>
      </c>
      <c r="H34" s="23">
        <f t="shared" si="0"/>
        <v>36.948616701030936</v>
      </c>
      <c r="I34" s="23">
        <f t="shared" si="1"/>
        <v>179200.79100000003</v>
      </c>
      <c r="J34" s="22">
        <f t="shared" si="2"/>
        <v>1810.1090000000004</v>
      </c>
      <c r="K34" s="19">
        <f t="shared" si="3"/>
        <v>37.321835051546394</v>
      </c>
      <c r="L34" s="24">
        <f>Tabla1[[#This Row],[oro sin IVA]]*1.19</f>
        <v>181010.90000000002</v>
      </c>
      <c r="M34" s="19">
        <f t="shared" si="4"/>
        <v>40.643519014653037</v>
      </c>
      <c r="N34" s="19">
        <f>+Tabla1[[#This Row],[PRECIO SUGERIDO INSTALADOR]]/0.7</f>
        <v>281601.52460152464</v>
      </c>
      <c r="O34" s="19">
        <f>+Tabla1[[#This Row],[PRECIO SUGERIDO INSTALADOR]]*5%</f>
        <v>9856.0533610533621</v>
      </c>
      <c r="P34" s="19">
        <f>+Tabla1[[#This Row],[PRECIO SUGERIDO INSTALADOR]]-Tabla1[[#This Row],[Columna1]]</f>
        <v>187265.01386001386</v>
      </c>
      <c r="Q34" s="25">
        <f>Tabla1[[#This Row],[instalador sin IVA]]*1.19</f>
        <v>197121.06722106723</v>
      </c>
      <c r="R34" s="53">
        <v>152110.00000000003</v>
      </c>
      <c r="S34" s="52">
        <v>165647.95564795568</v>
      </c>
      <c r="T34" s="14" t="s">
        <v>0</v>
      </c>
      <c r="U34" s="13">
        <v>228858.51063829794</v>
      </c>
      <c r="V34" s="12"/>
    </row>
    <row r="35" spans="1:22" s="11" customFormat="1" ht="81">
      <c r="A35" s="49" t="s">
        <v>87</v>
      </c>
      <c r="B35" s="32" t="s">
        <v>165</v>
      </c>
      <c r="C35" s="19">
        <f>+Tabla1[[#This Row],[PRECIO SUGERIDO INSTALADOR]]</f>
        <v>192001.03950103952</v>
      </c>
      <c r="D35" s="19">
        <f>+Tabla1[[#This Row],[TIENDA]]</f>
        <v>182400.98752598753</v>
      </c>
      <c r="E35" s="19">
        <f>+Tabla1[[#This Row],[DPP ORO7]]</f>
        <v>176309.31818181818</v>
      </c>
      <c r="F35" s="23">
        <f>+Tabla1[[#This Row],[Columna4]]</f>
        <v>174546.22500000001</v>
      </c>
      <c r="G35" s="23">
        <f>+Tabla1[[#This Row],[CLIENTE FINAL]]</f>
        <v>274287.1992871993</v>
      </c>
      <c r="H35" s="23">
        <f t="shared" si="0"/>
        <v>35.98891237113402</v>
      </c>
      <c r="I35" s="23">
        <f t="shared" si="1"/>
        <v>174546.22500000001</v>
      </c>
      <c r="J35" s="22">
        <f t="shared" si="2"/>
        <v>1763.0931818181818</v>
      </c>
      <c r="K35" s="19">
        <f t="shared" si="3"/>
        <v>36.352436738519209</v>
      </c>
      <c r="L35" s="24">
        <f>Tabla1[[#This Row],[oro sin IVA]]*1.19</f>
        <v>176309.31818181818</v>
      </c>
      <c r="M35" s="19">
        <f t="shared" si="4"/>
        <v>39.587843196090624</v>
      </c>
      <c r="N35" s="19">
        <f>+Tabla1[[#This Row],[PRECIO SUGERIDO INSTALADOR]]/0.7</f>
        <v>274287.1992871993</v>
      </c>
      <c r="O35" s="19">
        <f>+Tabla1[[#This Row],[PRECIO SUGERIDO INSTALADOR]]*5%</f>
        <v>9600.0519750519761</v>
      </c>
      <c r="P35" s="19">
        <f>+Tabla1[[#This Row],[PRECIO SUGERIDO INSTALADOR]]-Tabla1[[#This Row],[Columna1]]</f>
        <v>182400.98752598753</v>
      </c>
      <c r="Q35" s="25">
        <f>Tabla1[[#This Row],[instalador sin IVA]]*1.19</f>
        <v>192001.03950103952</v>
      </c>
      <c r="R35" s="53">
        <v>148159.09090909091</v>
      </c>
      <c r="S35" s="52">
        <v>161345.41134541135</v>
      </c>
      <c r="T35" s="14" t="s">
        <v>0</v>
      </c>
      <c r="U35" s="13">
        <v>583843.48936170223</v>
      </c>
      <c r="V35" s="12"/>
    </row>
    <row r="36" spans="1:22" s="11" customFormat="1" ht="67.5">
      <c r="A36" s="49" t="s">
        <v>85</v>
      </c>
      <c r="B36" s="32" t="s">
        <v>84</v>
      </c>
      <c r="C36" s="19">
        <f>+Tabla1[[#This Row],[PRECIO SUGERIDO INSTALADOR]]</f>
        <v>215041.16424116425</v>
      </c>
      <c r="D36" s="19">
        <f>+Tabla1[[#This Row],[TIENDA]]</f>
        <v>204289.10602910604</v>
      </c>
      <c r="E36" s="19">
        <f>+Tabla1[[#This Row],[DPP ORO7]]</f>
        <v>197466.4363636364</v>
      </c>
      <c r="F36" s="23">
        <f>+Tabla1[[#This Row],[Columna4]]</f>
        <v>195491.77200000003</v>
      </c>
      <c r="G36" s="23">
        <f>+Tabla1[[#This Row],[CLIENTE FINAL]]</f>
        <v>307201.66320166324</v>
      </c>
      <c r="H36" s="23">
        <f t="shared" si="0"/>
        <v>40.307581855670108</v>
      </c>
      <c r="I36" s="23">
        <f t="shared" si="1"/>
        <v>195491.77200000003</v>
      </c>
      <c r="J36" s="22">
        <f t="shared" si="2"/>
        <v>1974.664363636364</v>
      </c>
      <c r="K36" s="19">
        <f t="shared" si="3"/>
        <v>40.714729147141526</v>
      </c>
      <c r="L36" s="24">
        <f>Tabla1[[#This Row],[oro sin IVA]]*1.19</f>
        <v>197466.4363636364</v>
      </c>
      <c r="M36" s="19">
        <f t="shared" si="4"/>
        <v>44.338384379621495</v>
      </c>
      <c r="N36" s="19">
        <f>+Tabla1[[#This Row],[PRECIO SUGERIDO INSTALADOR]]/0.7</f>
        <v>307201.66320166324</v>
      </c>
      <c r="O36" s="19">
        <f>+Tabla1[[#This Row],[PRECIO SUGERIDO INSTALADOR]]*5%</f>
        <v>10752.058212058213</v>
      </c>
      <c r="P36" s="19">
        <f>+Tabla1[[#This Row],[PRECIO SUGERIDO INSTALADOR]]-Tabla1[[#This Row],[Columna1]]</f>
        <v>204289.10602910604</v>
      </c>
      <c r="Q36" s="25">
        <f>Tabla1[[#This Row],[instalador sin IVA]]*1.19</f>
        <v>215041.16424116425</v>
      </c>
      <c r="R36" s="53">
        <v>165938.18181818185</v>
      </c>
      <c r="S36" s="52">
        <v>180706.86070686072</v>
      </c>
      <c r="T36" s="14" t="s">
        <v>0</v>
      </c>
      <c r="U36" s="13">
        <v>583843.48936170223</v>
      </c>
      <c r="V36" s="12"/>
    </row>
    <row r="37" spans="1:22" s="11" customFormat="1" ht="84">
      <c r="A37" s="49" t="s">
        <v>166</v>
      </c>
      <c r="B37" s="32" t="s">
        <v>167</v>
      </c>
      <c r="C37" s="19">
        <f>+Tabla1[[#This Row],[PRECIO SUGERIDO INSTALADOR]]</f>
        <v>230401.24740124738</v>
      </c>
      <c r="D37" s="19">
        <f>+Tabla1[[#This Row],[TIENDA]]</f>
        <v>218881.18503118501</v>
      </c>
      <c r="E37" s="19">
        <f>+Tabla1[[#This Row],[DPP ORO7]]</f>
        <v>211571.18181818185</v>
      </c>
      <c r="F37" s="23">
        <f>+Tabla1[[#This Row],[Columna4]]</f>
        <v>209455.47000000003</v>
      </c>
      <c r="G37" s="23">
        <f>+Tabla1[[#This Row],[CLIENTE FINAL]]</f>
        <v>329144.63914463914</v>
      </c>
      <c r="H37" s="23">
        <f t="shared" si="0"/>
        <v>43.186694845360833</v>
      </c>
      <c r="I37" s="23">
        <f t="shared" si="1"/>
        <v>209455.47000000003</v>
      </c>
      <c r="J37" s="22">
        <f t="shared" si="2"/>
        <v>2115.7118181818187</v>
      </c>
      <c r="K37" s="19">
        <f t="shared" si="3"/>
        <v>43.622924086223065</v>
      </c>
      <c r="L37" s="24">
        <f>Tabla1[[#This Row],[oro sin IVA]]*1.19</f>
        <v>211571.18181818185</v>
      </c>
      <c r="M37" s="19">
        <f t="shared" si="4"/>
        <v>47.505411835308742</v>
      </c>
      <c r="N37" s="19">
        <f>+Tabla1[[#This Row],[PRECIO SUGERIDO INSTALADOR]]/0.7</f>
        <v>329144.63914463914</v>
      </c>
      <c r="O37" s="19">
        <f>+Tabla1[[#This Row],[PRECIO SUGERIDO INSTALADOR]]*5%</f>
        <v>11520.062370062369</v>
      </c>
      <c r="P37" s="19">
        <f>+Tabla1[[#This Row],[PRECIO SUGERIDO INSTALADOR]]-Tabla1[[#This Row],[Columna1]]</f>
        <v>218881.18503118501</v>
      </c>
      <c r="Q37" s="25">
        <f>Tabla1[[#This Row],[instalador sin IVA]]*1.19</f>
        <v>230401.24740124738</v>
      </c>
      <c r="R37" s="53">
        <v>177790.90909090912</v>
      </c>
      <c r="S37" s="52">
        <v>193614.49361449361</v>
      </c>
      <c r="T37" s="14" t="s">
        <v>0</v>
      </c>
      <c r="U37" s="13">
        <v>321788.93617021275</v>
      </c>
      <c r="V37" s="12"/>
    </row>
    <row r="38" spans="1:22" s="11" customFormat="1" ht="81">
      <c r="A38" s="49" t="s">
        <v>168</v>
      </c>
      <c r="B38" s="32" t="s">
        <v>83</v>
      </c>
      <c r="C38" s="19">
        <f>+Tabla1[[#This Row],[PRECIO SUGERIDO INSTALADOR]]</f>
        <v>316801.71517671522</v>
      </c>
      <c r="D38" s="19">
        <f>+Tabla1[[#This Row],[TIENDA]]</f>
        <v>300961.62941787945</v>
      </c>
      <c r="E38" s="26">
        <f>+Tabla1[[#This Row],[DPP ORO7]]</f>
        <v>290910.37500000006</v>
      </c>
      <c r="F38" s="23">
        <f>+Tabla1[[#This Row],[Columna4]]</f>
        <v>288001.27125000005</v>
      </c>
      <c r="G38" s="26">
        <f>+Tabla1[[#This Row],[CLIENTE FINAL]]</f>
        <v>452573.87882387894</v>
      </c>
      <c r="H38" s="26">
        <f t="shared" ref="H38:H69" si="11">+I38/$L$1</f>
        <v>59.381705412371147</v>
      </c>
      <c r="I38" s="26">
        <f t="shared" ref="I38:I69" si="12">+L38-J38</f>
        <v>288001.27125000005</v>
      </c>
      <c r="J38" s="26">
        <f t="shared" ref="J38:J69" si="13">+L38*1%</f>
        <v>2909.1037500000007</v>
      </c>
      <c r="K38" s="19">
        <f t="shared" ref="K38:K69" si="14">+L38/$L$1</f>
        <v>59.981520618556715</v>
      </c>
      <c r="L38" s="21">
        <f>Tabla1[[#This Row],[oro sin IVA]]*1.19</f>
        <v>290910.37500000006</v>
      </c>
      <c r="M38" s="19">
        <f t="shared" ref="M38:M69" si="15">+Q38/$L$1</f>
        <v>65.319941273549532</v>
      </c>
      <c r="N38" s="19">
        <f>+Tabla1[[#This Row],[PRECIO SUGERIDO INSTALADOR]]/0.7</f>
        <v>452573.87882387894</v>
      </c>
      <c r="O38" s="19">
        <f>+Tabla1[[#This Row],[PRECIO SUGERIDO INSTALADOR]]*5%</f>
        <v>15840.085758835761</v>
      </c>
      <c r="P38" s="19">
        <f>+Tabla1[[#This Row],[PRECIO SUGERIDO INSTALADOR]]-Tabla1[[#This Row],[Columna1]]</f>
        <v>300961.62941787945</v>
      </c>
      <c r="Q38" s="20">
        <f>Tabla1[[#This Row],[instalador sin IVA]]*1.19</f>
        <v>316801.71517671522</v>
      </c>
      <c r="R38" s="53">
        <v>244462.50000000006</v>
      </c>
      <c r="S38" s="52">
        <v>266219.92871992878</v>
      </c>
      <c r="T38" s="14"/>
      <c r="U38" s="13">
        <v>669723</v>
      </c>
      <c r="V38" s="12"/>
    </row>
    <row r="39" spans="1:22" s="11" customFormat="1" ht="94.5">
      <c r="A39" s="49" t="s">
        <v>169</v>
      </c>
      <c r="B39" s="32" t="s">
        <v>170</v>
      </c>
      <c r="C39" s="19">
        <f>+Tabla1[[#This Row],[PRECIO SUGERIDO INSTALADOR]]</f>
        <v>464642.51559251564</v>
      </c>
      <c r="D39" s="19">
        <f>+Tabla1[[#This Row],[TIENDA]]</f>
        <v>441410.38981288986</v>
      </c>
      <c r="E39" s="26">
        <f>+Tabla1[[#This Row],[DPP ORO7]]</f>
        <v>426668.5500000001</v>
      </c>
      <c r="F39" s="23">
        <f>+Tabla1[[#This Row],[Columna4]]</f>
        <v>422401.86450000008</v>
      </c>
      <c r="G39" s="26">
        <f>+Tabla1[[#This Row],[CLIENTE FINAL]]</f>
        <v>663775.02227502235</v>
      </c>
      <c r="H39" s="26">
        <f t="shared" si="11"/>
        <v>87.093167938144347</v>
      </c>
      <c r="I39" s="26">
        <f t="shared" si="12"/>
        <v>422401.86450000008</v>
      </c>
      <c r="J39" s="26">
        <f t="shared" si="13"/>
        <v>4266.6855000000014</v>
      </c>
      <c r="K39" s="19">
        <f t="shared" si="14"/>
        <v>87.972896907216523</v>
      </c>
      <c r="L39" s="21">
        <f>Tabla1[[#This Row],[oro sin IVA]]*1.19</f>
        <v>426668.5500000001</v>
      </c>
      <c r="M39" s="19">
        <f t="shared" si="15"/>
        <v>95.802580534539302</v>
      </c>
      <c r="N39" s="19">
        <f>+Tabla1[[#This Row],[PRECIO SUGERIDO INSTALADOR]]/0.7</f>
        <v>663775.02227502235</v>
      </c>
      <c r="O39" s="19">
        <f>+Tabla1[[#This Row],[PRECIO SUGERIDO INSTALADOR]]*5%</f>
        <v>23232.125779625785</v>
      </c>
      <c r="P39" s="19">
        <f>+Tabla1[[#This Row],[PRECIO SUGERIDO INSTALADOR]]-Tabla1[[#This Row],[Columna1]]</f>
        <v>441410.38981288986</v>
      </c>
      <c r="Q39" s="20">
        <f>Tabla1[[#This Row],[instalador sin IVA]]*1.19</f>
        <v>464642.51559251564</v>
      </c>
      <c r="R39" s="53">
        <v>358545.00000000012</v>
      </c>
      <c r="S39" s="52">
        <v>390455.89545589552</v>
      </c>
      <c r="T39" s="14"/>
      <c r="U39" s="13">
        <v>590348</v>
      </c>
      <c r="V39" s="12"/>
    </row>
    <row r="40" spans="1:22" s="11" customFormat="1" ht="67.5">
      <c r="A40" s="49" t="s">
        <v>171</v>
      </c>
      <c r="B40" s="32" t="s">
        <v>172</v>
      </c>
      <c r="C40" s="19">
        <f>+Tabla1[[#This Row],[PRECIO SUGERIDO INSTALADOR]]</f>
        <v>436482.36313236307</v>
      </c>
      <c r="D40" s="19">
        <f>+Tabla1[[#This Row],[TIENDA]]</f>
        <v>414658.24497574492</v>
      </c>
      <c r="E40" s="19">
        <f>+Tabla1[[#This Row],[DPP ORO7]]</f>
        <v>400809.85</v>
      </c>
      <c r="F40" s="23">
        <f>+Tabla1[[#This Row],[Columna4]]</f>
        <v>396801.75149999995</v>
      </c>
      <c r="G40" s="23">
        <f>+Tabla1[[#This Row],[CLIENTE FINAL]]</f>
        <v>623546.23304623296</v>
      </c>
      <c r="H40" s="23">
        <f t="shared" si="11"/>
        <v>81.814794123711337</v>
      </c>
      <c r="I40" s="23">
        <f t="shared" si="12"/>
        <v>396801.75149999995</v>
      </c>
      <c r="J40" s="22">
        <f t="shared" si="13"/>
        <v>4008.0985000000001</v>
      </c>
      <c r="K40" s="19">
        <f t="shared" si="14"/>
        <v>82.641206185567</v>
      </c>
      <c r="L40" s="24">
        <f>Tabla1[[#This Row],[oro sin IVA]]*1.19</f>
        <v>400809.85</v>
      </c>
      <c r="M40" s="19">
        <f t="shared" si="15"/>
        <v>89.996363532445997</v>
      </c>
      <c r="N40" s="19">
        <f>+Tabla1[[#This Row],[PRECIO SUGERIDO INSTALADOR]]/0.7</f>
        <v>623546.23304623296</v>
      </c>
      <c r="O40" s="19">
        <f>+Tabla1[[#This Row],[PRECIO SUGERIDO INSTALADOR]]*5%</f>
        <v>21824.118156618155</v>
      </c>
      <c r="P40" s="19">
        <f>+Tabla1[[#This Row],[PRECIO SUGERIDO INSTALADOR]]-Tabla1[[#This Row],[Columna1]]</f>
        <v>414658.24497574492</v>
      </c>
      <c r="Q40" s="25">
        <f>Tabla1[[#This Row],[instalador sin IVA]]*1.19</f>
        <v>436482.36313236307</v>
      </c>
      <c r="R40" s="53">
        <v>336815</v>
      </c>
      <c r="S40" s="52">
        <v>366791.90179190174</v>
      </c>
      <c r="T40" s="14" t="s">
        <v>0</v>
      </c>
      <c r="U40" s="13">
        <v>485457.44680851075</v>
      </c>
      <c r="V40" s="12"/>
    </row>
    <row r="41" spans="1:22" s="11" customFormat="1" ht="81">
      <c r="A41" s="49" t="s">
        <v>82</v>
      </c>
      <c r="B41" s="32" t="s">
        <v>173</v>
      </c>
      <c r="C41" s="19">
        <f>+Tabla1[[#This Row],[PRECIO SUGERIDO INSTALADOR]]</f>
        <v>816359.1590000001</v>
      </c>
      <c r="D41" s="19">
        <f>+Tabla1[[#This Row],[TIENDA]]</f>
        <v>775541.20105000003</v>
      </c>
      <c r="E41" s="19">
        <f>+Tabla1[[#This Row],[DPP ORO7]]</f>
        <v>742144.69000000006</v>
      </c>
      <c r="F41" s="23">
        <f>+Tabla1[[#This Row],[Columna4]]</f>
        <v>734723.24310000008</v>
      </c>
      <c r="G41" s="23">
        <f>+Tabla1[[#This Row],[CLIENTE FINAL]]</f>
        <v>1166227.3700000001</v>
      </c>
      <c r="H41" s="23">
        <f t="shared" si="11"/>
        <v>151.48932847422682</v>
      </c>
      <c r="I41" s="23">
        <f t="shared" si="12"/>
        <v>734723.24310000008</v>
      </c>
      <c r="J41" s="22">
        <f t="shared" si="13"/>
        <v>7421.4469000000008</v>
      </c>
      <c r="K41" s="19">
        <f t="shared" si="14"/>
        <v>153.01952371134021</v>
      </c>
      <c r="L41" s="24">
        <f>Tabla1[[#This Row],[oro sin IVA]]*1.19</f>
        <v>742144.69000000006</v>
      </c>
      <c r="M41" s="19">
        <f t="shared" si="15"/>
        <v>168.32147608247425</v>
      </c>
      <c r="N41" s="19">
        <f>+Tabla1[[#This Row],[PRECIO SUGERIDO INSTALADOR]]/0.7</f>
        <v>1166227.3700000001</v>
      </c>
      <c r="O41" s="19">
        <f>+Tabla1[[#This Row],[PRECIO SUGERIDO INSTALADOR]]*5%</f>
        <v>40817.957950000011</v>
      </c>
      <c r="P41" s="19">
        <f>+Tabla1[[#This Row],[PRECIO SUGERIDO INSTALADOR]]-Tabla1[[#This Row],[Columna1]]</f>
        <v>775541.20105000003</v>
      </c>
      <c r="Q41" s="25">
        <f>Tabla1[[#This Row],[instalador sin IVA]]*1.19</f>
        <v>816359.1590000001</v>
      </c>
      <c r="R41" s="53">
        <v>623651.00000000012</v>
      </c>
      <c r="S41" s="52">
        <v>686016.10000000009</v>
      </c>
      <c r="T41" s="14" t="s">
        <v>0</v>
      </c>
      <c r="U41" s="13">
        <v>439223.40425531915</v>
      </c>
      <c r="V41" s="12"/>
    </row>
    <row r="42" spans="1:22" s="11" customFormat="1" ht="81">
      <c r="A42" s="49" t="s">
        <v>82</v>
      </c>
      <c r="B42" s="32" t="s">
        <v>173</v>
      </c>
      <c r="C42" s="19">
        <f>+Tabla1[[#This Row],[PRECIO SUGERIDO INSTALADOR]]</f>
        <v>742144.68999999983</v>
      </c>
      <c r="D42" s="19">
        <f>+Tabla1[[#This Row],[TIENDA]]</f>
        <v>705037.45549999981</v>
      </c>
      <c r="E42" s="19">
        <f>+Tabla1[[#This Row],[DPP ORO7]]</f>
        <v>674676.99090909085</v>
      </c>
      <c r="F42" s="23">
        <f>+Tabla1[[#This Row],[Columna4]]</f>
        <v>667930.2209999999</v>
      </c>
      <c r="G42" s="23">
        <f>+Tabla1[[#This Row],[CLIENTE FINAL]]</f>
        <v>1060206.6999999997</v>
      </c>
      <c r="H42" s="31">
        <f t="shared" si="11"/>
        <v>137.71757134020618</v>
      </c>
      <c r="I42" s="31">
        <f t="shared" si="12"/>
        <v>667930.2209999999</v>
      </c>
      <c r="J42" s="30">
        <f t="shared" si="13"/>
        <v>6746.7699090909082</v>
      </c>
      <c r="K42" s="27">
        <f t="shared" si="14"/>
        <v>139.10865791940017</v>
      </c>
      <c r="L42" s="28">
        <f>Tabla1[[#This Row],[oro sin IVA]]*1.19</f>
        <v>674676.99090909085</v>
      </c>
      <c r="M42" s="27">
        <f t="shared" si="15"/>
        <v>153.01952371134018</v>
      </c>
      <c r="N42" s="27">
        <f>+Tabla1[[#This Row],[PRECIO SUGERIDO INSTALADOR]]/0.7</f>
        <v>1060206.6999999997</v>
      </c>
      <c r="O42" s="27">
        <f>+Tabla1[[#This Row],[PRECIO SUGERIDO INSTALADOR]]*5%</f>
        <v>37107.234499999991</v>
      </c>
      <c r="P42" s="27">
        <f>+Tabla1[[#This Row],[PRECIO SUGERIDO INSTALADOR]]-Tabla1[[#This Row],[Columna1]]</f>
        <v>705037.45549999981</v>
      </c>
      <c r="Q42" s="29">
        <f>Tabla1[[#This Row],[instalador sin IVA]]*1.19</f>
        <v>742144.68999999983</v>
      </c>
      <c r="R42" s="53">
        <v>566955.45454545447</v>
      </c>
      <c r="S42" s="52">
        <v>623650.99999999988</v>
      </c>
      <c r="T42" s="14">
        <v>237689</v>
      </c>
      <c r="U42" s="13">
        <v>254842.04255319151</v>
      </c>
      <c r="V42" s="12"/>
    </row>
    <row r="43" spans="1:22" s="11" customFormat="1" ht="67.5">
      <c r="A43" s="49" t="s">
        <v>81</v>
      </c>
      <c r="B43" s="32" t="s">
        <v>174</v>
      </c>
      <c r="C43" s="19">
        <f>+Tabla1[[#This Row],[PRECIO SUGERIDO INSTALADOR]]</f>
        <v>449941.37999999989</v>
      </c>
      <c r="D43" s="19">
        <f>+Tabla1[[#This Row],[TIENDA]]</f>
        <v>427444.31099999987</v>
      </c>
      <c r="E43" s="19">
        <f>+Tabla1[[#This Row],[DPP ORO7]]</f>
        <v>409037.61818181811</v>
      </c>
      <c r="F43" s="23">
        <f>+Tabla1[[#This Row],[Columna4]]</f>
        <v>404947.24199999991</v>
      </c>
      <c r="G43" s="23">
        <f>+Tabla1[[#This Row],[CLIENTE FINAL]]</f>
        <v>642773.39999999991</v>
      </c>
      <c r="H43" s="23">
        <f t="shared" si="11"/>
        <v>83.494276701030913</v>
      </c>
      <c r="I43" s="23">
        <f t="shared" si="12"/>
        <v>404947.24199999991</v>
      </c>
      <c r="J43" s="22">
        <f t="shared" si="13"/>
        <v>4090.3761818181811</v>
      </c>
      <c r="K43" s="19">
        <f t="shared" si="14"/>
        <v>84.337653233364563</v>
      </c>
      <c r="L43" s="24">
        <f>Tabla1[[#This Row],[oro sin IVA]]*1.19</f>
        <v>409037.61818181811</v>
      </c>
      <c r="M43" s="19">
        <f t="shared" si="15"/>
        <v>92.771418556701008</v>
      </c>
      <c r="N43" s="19">
        <f>+Tabla1[[#This Row],[PRECIO SUGERIDO INSTALADOR]]/0.7</f>
        <v>642773.39999999991</v>
      </c>
      <c r="O43" s="19">
        <f>+Tabla1[[#This Row],[PRECIO SUGERIDO INSTALADOR]]*5%</f>
        <v>22497.068999999996</v>
      </c>
      <c r="P43" s="19">
        <f>+Tabla1[[#This Row],[PRECIO SUGERIDO INSTALADOR]]-Tabla1[[#This Row],[Columna1]]</f>
        <v>427444.31099999987</v>
      </c>
      <c r="Q43" s="25">
        <f>Tabla1[[#This Row],[instalador sin IVA]]*1.19</f>
        <v>449941.37999999989</v>
      </c>
      <c r="R43" s="53">
        <v>343729.09090909088</v>
      </c>
      <c r="S43" s="52">
        <v>378101.99999999994</v>
      </c>
      <c r="T43" s="35">
        <v>278051</v>
      </c>
      <c r="U43" s="13">
        <v>298117.10638297885</v>
      </c>
      <c r="V43" s="12"/>
    </row>
    <row r="44" spans="1:22" s="11" customFormat="1" ht="81">
      <c r="A44" s="49" t="s">
        <v>80</v>
      </c>
      <c r="B44" s="32" t="s">
        <v>175</v>
      </c>
      <c r="C44" s="19">
        <f>+Tabla1[[#This Row],[PRECIO SUGERIDO INSTALADOR]]</f>
        <v>960004.23749999993</v>
      </c>
      <c r="D44" s="19">
        <f>+Tabla1[[#This Row],[TIENDA]]</f>
        <v>912004.02562499989</v>
      </c>
      <c r="E44" s="19">
        <f>+Tabla1[[#This Row],[DPP ORO7]]</f>
        <v>872731.125</v>
      </c>
      <c r="F44" s="23">
        <f>+Tabla1[[#This Row],[Columna4]]</f>
        <v>864003.81374999997</v>
      </c>
      <c r="G44" s="23">
        <f>+Tabla1[[#This Row],[CLIENTE FINAL]]</f>
        <v>1371434.625</v>
      </c>
      <c r="H44" s="31">
        <f t="shared" si="11"/>
        <v>178.1451162371134</v>
      </c>
      <c r="I44" s="31">
        <f t="shared" si="12"/>
        <v>864003.81374999997</v>
      </c>
      <c r="J44" s="30">
        <f t="shared" si="13"/>
        <v>8727.3112500000007</v>
      </c>
      <c r="K44" s="27">
        <f t="shared" si="14"/>
        <v>179.94456185567012</v>
      </c>
      <c r="L44" s="28">
        <f>Tabla1[[#This Row],[oro sin IVA]]*1.19</f>
        <v>872731.125</v>
      </c>
      <c r="M44" s="27">
        <f t="shared" si="15"/>
        <v>197.93901804123709</v>
      </c>
      <c r="N44" s="27">
        <f>+Tabla1[[#This Row],[PRECIO SUGERIDO INSTALADOR]]/0.7</f>
        <v>1371434.625</v>
      </c>
      <c r="O44" s="27">
        <f>+Tabla1[[#This Row],[PRECIO SUGERIDO INSTALADOR]]*5%</f>
        <v>48000.211875000001</v>
      </c>
      <c r="P44" s="27">
        <f>+Tabla1[[#This Row],[PRECIO SUGERIDO INSTALADOR]]-Tabla1[[#This Row],[Columna1]]</f>
        <v>912004.02562499989</v>
      </c>
      <c r="Q44" s="29">
        <f>Tabla1[[#This Row],[instalador sin IVA]]*1.19</f>
        <v>960004.23749999993</v>
      </c>
      <c r="R44" s="53">
        <v>733387.5</v>
      </c>
      <c r="S44" s="52">
        <v>806726.25</v>
      </c>
      <c r="T44" s="14">
        <v>350638.24920000002</v>
      </c>
      <c r="U44" s="13">
        <v>401773.82978723408</v>
      </c>
      <c r="V44" s="12"/>
    </row>
    <row r="45" spans="1:22" s="11" customFormat="1" ht="54">
      <c r="A45" s="49" t="s">
        <v>79</v>
      </c>
      <c r="B45" s="32" t="s">
        <v>176</v>
      </c>
      <c r="C45" s="19">
        <f>+Tabla1[[#This Row],[PRECIO SUGERIDO INSTALADOR]]</f>
        <v>930848.55324999988</v>
      </c>
      <c r="D45" s="19">
        <f>+Tabla1[[#This Row],[TIENDA]]</f>
        <v>884306.12558749993</v>
      </c>
      <c r="E45" s="19">
        <f>+Tabla1[[#This Row],[DPP ORO7]]</f>
        <v>846225.95750000002</v>
      </c>
      <c r="F45" s="23">
        <f>+Tabla1[[#This Row],[Columna4]]</f>
        <v>837763.69792499999</v>
      </c>
      <c r="G45" s="23">
        <f>+Tabla1[[#This Row],[CLIENTE FINAL]]</f>
        <v>1329783.6475</v>
      </c>
      <c r="H45" s="23">
        <f t="shared" si="11"/>
        <v>172.73478307731958</v>
      </c>
      <c r="I45" s="23">
        <f t="shared" si="12"/>
        <v>837763.69792499999</v>
      </c>
      <c r="J45" s="22">
        <f t="shared" si="13"/>
        <v>8462.259575</v>
      </c>
      <c r="K45" s="19">
        <f t="shared" si="14"/>
        <v>174.47957886597939</v>
      </c>
      <c r="L45" s="24">
        <f>Tabla1[[#This Row],[oro sin IVA]]*1.19</f>
        <v>846225.95750000002</v>
      </c>
      <c r="M45" s="19">
        <f t="shared" si="15"/>
        <v>191.92753675257728</v>
      </c>
      <c r="N45" s="19">
        <f>+Tabla1[[#This Row],[PRECIO SUGERIDO INSTALADOR]]/0.7</f>
        <v>1329783.6475</v>
      </c>
      <c r="O45" s="19">
        <f>+Tabla1[[#This Row],[PRECIO SUGERIDO INSTALADOR]]*5%</f>
        <v>46542.427662499998</v>
      </c>
      <c r="P45" s="19">
        <f>+Tabla1[[#This Row],[PRECIO SUGERIDO INSTALADOR]]-Tabla1[[#This Row],[Columna1]]</f>
        <v>884306.12558749993</v>
      </c>
      <c r="Q45" s="25">
        <f>Tabla1[[#This Row],[instalador sin IVA]]*1.19</f>
        <v>930848.55324999988</v>
      </c>
      <c r="R45" s="53">
        <v>711114.25</v>
      </c>
      <c r="S45" s="52">
        <v>782225.67499999993</v>
      </c>
      <c r="T45" s="14" t="s">
        <v>0</v>
      </c>
      <c r="U45" s="13">
        <v>429976.5957446809</v>
      </c>
      <c r="V45" s="12"/>
    </row>
    <row r="46" spans="1:22" s="11" customFormat="1" ht="229.5">
      <c r="A46" s="49" t="s">
        <v>78</v>
      </c>
      <c r="B46" s="32" t="s">
        <v>177</v>
      </c>
      <c r="C46" s="19">
        <f>+Tabla1[[#This Row],[PRECIO SUGERIDO INSTALADOR]]</f>
        <v>678790.875</v>
      </c>
      <c r="D46" s="19">
        <f>+Tabla1[[#This Row],[TIENDA]]</f>
        <v>644851.33125000005</v>
      </c>
      <c r="E46" s="19">
        <f>+Tabla1[[#This Row],[DPP ORO7]]</f>
        <v>617082.61363636365</v>
      </c>
      <c r="F46" s="23">
        <f>+Tabla1[[#This Row],[Columna4]]</f>
        <v>610911.78749999998</v>
      </c>
      <c r="G46" s="23">
        <f>+Tabla1[[#This Row],[CLIENTE FINAL]]</f>
        <v>969701.25000000012</v>
      </c>
      <c r="H46" s="31">
        <f t="shared" si="11"/>
        <v>125.96119329896906</v>
      </c>
      <c r="I46" s="31">
        <f t="shared" si="12"/>
        <v>610911.78749999998</v>
      </c>
      <c r="J46" s="30">
        <f t="shared" si="13"/>
        <v>6170.8261363636366</v>
      </c>
      <c r="K46" s="27">
        <f t="shared" si="14"/>
        <v>127.23352858481725</v>
      </c>
      <c r="L46" s="28">
        <f>Tabla1[[#This Row],[oro sin IVA]]*1.19</f>
        <v>617082.61363636365</v>
      </c>
      <c r="M46" s="27">
        <f t="shared" si="15"/>
        <v>139.95688144329898</v>
      </c>
      <c r="N46" s="27">
        <f>+Tabla1[[#This Row],[PRECIO SUGERIDO INSTALADOR]]/0.7</f>
        <v>969701.25000000012</v>
      </c>
      <c r="O46" s="27">
        <f>+Tabla1[[#This Row],[PRECIO SUGERIDO INSTALADOR]]*5%</f>
        <v>33939.543750000004</v>
      </c>
      <c r="P46" s="27">
        <f>+Tabla1[[#This Row],[PRECIO SUGERIDO INSTALADOR]]-Tabla1[[#This Row],[Columna1]]</f>
        <v>644851.33125000005</v>
      </c>
      <c r="Q46" s="29">
        <f>Tabla1[[#This Row],[instalador sin IVA]]*1.19</f>
        <v>678790.875</v>
      </c>
      <c r="R46" s="53">
        <v>518556.81818181823</v>
      </c>
      <c r="S46" s="52">
        <v>570412.5</v>
      </c>
      <c r="T46" s="14">
        <v>497707.76130000001</v>
      </c>
      <c r="U46" s="13">
        <v>549260.42553191492</v>
      </c>
      <c r="V46" s="12"/>
    </row>
    <row r="47" spans="1:22" s="11" customFormat="1" ht="256.5">
      <c r="A47" s="49" t="s">
        <v>77</v>
      </c>
      <c r="B47" s="32" t="s">
        <v>178</v>
      </c>
      <c r="C47" s="19">
        <f>+Tabla1[[#This Row],[PRECIO SUGERIDO INSTALADOR]]</f>
        <v>614144.125</v>
      </c>
      <c r="D47" s="19">
        <f>+Tabla1[[#This Row],[TIENDA]]</f>
        <v>583436.91874999995</v>
      </c>
      <c r="E47" s="19">
        <f>+Tabla1[[#This Row],[DPP ORO7]]</f>
        <v>558312.84090909082</v>
      </c>
      <c r="F47" s="23">
        <f>+Tabla1[[#This Row],[Columna4]]</f>
        <v>552729.71249999991</v>
      </c>
      <c r="G47" s="23">
        <f>+Tabla1[[#This Row],[CLIENTE FINAL]]</f>
        <v>877348.75</v>
      </c>
      <c r="H47" s="23">
        <f t="shared" si="11"/>
        <v>113.96488917525771</v>
      </c>
      <c r="I47" s="23">
        <f t="shared" si="12"/>
        <v>552729.71249999991</v>
      </c>
      <c r="J47" s="22">
        <f t="shared" si="13"/>
        <v>5583.1284090909085</v>
      </c>
      <c r="K47" s="19">
        <f t="shared" si="14"/>
        <v>115.11604967197749</v>
      </c>
      <c r="L47" s="24">
        <f>Tabla1[[#This Row],[oro sin IVA]]*1.19</f>
        <v>558312.84090909082</v>
      </c>
      <c r="M47" s="19">
        <f t="shared" si="15"/>
        <v>126.62765463917526</v>
      </c>
      <c r="N47" s="19">
        <f>+Tabla1[[#This Row],[PRECIO SUGERIDO INSTALADOR]]/0.7</f>
        <v>877348.75</v>
      </c>
      <c r="O47" s="19">
        <f>+Tabla1[[#This Row],[PRECIO SUGERIDO INSTALADOR]]*5%</f>
        <v>30707.206250000003</v>
      </c>
      <c r="P47" s="19">
        <f>+Tabla1[[#This Row],[PRECIO SUGERIDO INSTALADOR]]-Tabla1[[#This Row],[Columna1]]</f>
        <v>583436.91874999995</v>
      </c>
      <c r="Q47" s="25">
        <f>Tabla1[[#This Row],[instalador sin IVA]]*1.19</f>
        <v>614144.125</v>
      </c>
      <c r="R47" s="53">
        <v>469170.45454545453</v>
      </c>
      <c r="S47" s="52">
        <v>516087.5</v>
      </c>
      <c r="T47" s="14" t="s">
        <v>0</v>
      </c>
      <c r="U47" s="13">
        <v>439223.40425531915</v>
      </c>
      <c r="V47" s="12"/>
    </row>
    <row r="48" spans="1:22" s="11" customFormat="1" ht="270">
      <c r="A48" s="49" t="s">
        <v>76</v>
      </c>
      <c r="B48" s="32" t="s">
        <v>179</v>
      </c>
      <c r="C48" s="19">
        <f>+Tabla1[[#This Row],[PRECIO SUGERIDO INSTALADOR]]</f>
        <v>342627.77499999997</v>
      </c>
      <c r="D48" s="19">
        <f>+Tabla1[[#This Row],[TIENDA]]</f>
        <v>325496.38624999998</v>
      </c>
      <c r="E48" s="19">
        <f>+Tabla1[[#This Row],[DPP ORO7]]</f>
        <v>311479.79545454541</v>
      </c>
      <c r="F48" s="23">
        <f>+Tabla1[[#This Row],[Columna4]]</f>
        <v>308364.99749999994</v>
      </c>
      <c r="G48" s="23">
        <f>+Tabla1[[#This Row],[CLIENTE FINAL]]</f>
        <v>489468.25</v>
      </c>
      <c r="H48" s="31">
        <f t="shared" si="11"/>
        <v>63.580411855670093</v>
      </c>
      <c r="I48" s="31">
        <f t="shared" si="12"/>
        <v>308364.99749999994</v>
      </c>
      <c r="J48" s="30">
        <f t="shared" si="13"/>
        <v>3114.7979545454541</v>
      </c>
      <c r="K48" s="27">
        <f t="shared" si="14"/>
        <v>64.222638238050607</v>
      </c>
      <c r="L48" s="28">
        <f>Tabla1[[#This Row],[oro sin IVA]]*1.19</f>
        <v>311479.79545454541</v>
      </c>
      <c r="M48" s="27">
        <f t="shared" si="15"/>
        <v>70.64490206185566</v>
      </c>
      <c r="N48" s="27">
        <f>+Tabla1[[#This Row],[PRECIO SUGERIDO INSTALADOR]]/0.7</f>
        <v>489468.25</v>
      </c>
      <c r="O48" s="27">
        <f>+Tabla1[[#This Row],[PRECIO SUGERIDO INSTALADOR]]*5%</f>
        <v>17131.388749999998</v>
      </c>
      <c r="P48" s="27">
        <f>+Tabla1[[#This Row],[PRECIO SUGERIDO INSTALADOR]]-Tabla1[[#This Row],[Columna1]]</f>
        <v>325496.38624999998</v>
      </c>
      <c r="Q48" s="29">
        <f>Tabla1[[#This Row],[instalador sin IVA]]*1.19</f>
        <v>342627.77499999997</v>
      </c>
      <c r="R48" s="53">
        <v>261747.72727272726</v>
      </c>
      <c r="S48" s="52">
        <v>287922.5</v>
      </c>
      <c r="T48" s="14">
        <v>363001</v>
      </c>
      <c r="U48" s="13">
        <v>346755.31914893619</v>
      </c>
      <c r="V48" s="12"/>
    </row>
    <row r="49" spans="1:22" s="11" customFormat="1" ht="67.5">
      <c r="A49" s="49" t="s">
        <v>74</v>
      </c>
      <c r="B49" s="32" t="s">
        <v>180</v>
      </c>
      <c r="C49" s="19">
        <f>+Tabla1[[#This Row],[PRECIO SUGERIDO INSTALADOR]]</f>
        <v>561780.25749999995</v>
      </c>
      <c r="D49" s="19">
        <f>+Tabla1[[#This Row],[TIENDA]]</f>
        <v>533691.24462499993</v>
      </c>
      <c r="E49" s="19">
        <f>+Tabla1[[#This Row],[DPP ORO7]]</f>
        <v>510709.32499999995</v>
      </c>
      <c r="F49" s="23">
        <f>+Tabla1[[#This Row],[Columna4]]</f>
        <v>505602.23174999998</v>
      </c>
      <c r="G49" s="23">
        <f>+Tabla1[[#This Row],[CLIENTE FINAL]]</f>
        <v>802543.22499999998</v>
      </c>
      <c r="H49" s="23">
        <f t="shared" si="11"/>
        <v>104.24788283505154</v>
      </c>
      <c r="I49" s="23">
        <f t="shared" si="12"/>
        <v>505602.23174999998</v>
      </c>
      <c r="J49" s="22">
        <f t="shared" si="13"/>
        <v>5107.0932499999999</v>
      </c>
      <c r="K49" s="19">
        <f t="shared" si="14"/>
        <v>105.30089175257731</v>
      </c>
      <c r="L49" s="24">
        <f>Tabla1[[#This Row],[oro sin IVA]]*1.19</f>
        <v>510709.32499999995</v>
      </c>
      <c r="M49" s="19">
        <f t="shared" si="15"/>
        <v>115.83098092783504</v>
      </c>
      <c r="N49" s="19">
        <f>+Tabla1[[#This Row],[PRECIO SUGERIDO INSTALADOR]]/0.7</f>
        <v>802543.22499999998</v>
      </c>
      <c r="O49" s="19">
        <f>+Tabla1[[#This Row],[PRECIO SUGERIDO INSTALADOR]]*5%</f>
        <v>28089.012875</v>
      </c>
      <c r="P49" s="19">
        <f>+Tabla1[[#This Row],[PRECIO SUGERIDO INSTALADOR]]-Tabla1[[#This Row],[Columna1]]</f>
        <v>533691.24462499993</v>
      </c>
      <c r="Q49" s="25">
        <f>Tabla1[[#This Row],[instalador sin IVA]]*1.19</f>
        <v>561780.25749999995</v>
      </c>
      <c r="R49" s="53">
        <v>429167.5</v>
      </c>
      <c r="S49" s="52">
        <v>472084.25</v>
      </c>
      <c r="T49" s="14" t="s">
        <v>0</v>
      </c>
      <c r="U49" s="13">
        <v>346755.31914893619</v>
      </c>
      <c r="V49" s="12"/>
    </row>
    <row r="50" spans="1:22" s="11" customFormat="1" ht="270">
      <c r="A50" s="49" t="s">
        <v>75</v>
      </c>
      <c r="B50" s="32" t="s">
        <v>181</v>
      </c>
      <c r="C50" s="19">
        <f>+Tabla1[[#This Row],[PRECIO SUGERIDO INSTALADOR]]</f>
        <v>400809.84999999992</v>
      </c>
      <c r="D50" s="19">
        <f>+Tabla1[[#This Row],[TIENDA]]</f>
        <v>380769.35749999993</v>
      </c>
      <c r="E50" s="19">
        <f>+Tabla1[[#This Row],[DPP ORO7]]</f>
        <v>364372.59090909088</v>
      </c>
      <c r="F50" s="23">
        <f>+Tabla1[[#This Row],[Columna4]]</f>
        <v>360728.86499999999</v>
      </c>
      <c r="G50" s="23">
        <f>+Tabla1[[#This Row],[CLIENTE FINAL]]</f>
        <v>572585.49999999988</v>
      </c>
      <c r="H50" s="23">
        <f t="shared" si="11"/>
        <v>74.377085567010312</v>
      </c>
      <c r="I50" s="23">
        <f t="shared" si="12"/>
        <v>360728.86499999999</v>
      </c>
      <c r="J50" s="22">
        <f t="shared" si="13"/>
        <v>3643.7259090909088</v>
      </c>
      <c r="K50" s="19">
        <f t="shared" si="14"/>
        <v>75.128369259606373</v>
      </c>
      <c r="L50" s="24">
        <f>Tabla1[[#This Row],[oro sin IVA]]*1.19</f>
        <v>364372.59090909088</v>
      </c>
      <c r="M50" s="19">
        <f t="shared" si="15"/>
        <v>82.641206185567</v>
      </c>
      <c r="N50" s="19">
        <f>+Tabla1[[#This Row],[PRECIO SUGERIDO INSTALADOR]]/0.7</f>
        <v>572585.49999999988</v>
      </c>
      <c r="O50" s="19">
        <f>+Tabla1[[#This Row],[PRECIO SUGERIDO INSTALADOR]]*5%</f>
        <v>20040.492499999997</v>
      </c>
      <c r="P50" s="19">
        <f>+Tabla1[[#This Row],[PRECIO SUGERIDO INSTALADOR]]-Tabla1[[#This Row],[Columna1]]</f>
        <v>380769.35749999993</v>
      </c>
      <c r="Q50" s="25">
        <f>Tabla1[[#This Row],[instalador sin IVA]]*1.19</f>
        <v>400809.84999999992</v>
      </c>
      <c r="R50" s="53">
        <v>306195.45454545453</v>
      </c>
      <c r="S50" s="56">
        <v>336814.99999999994</v>
      </c>
      <c r="T50" s="14">
        <v>74425</v>
      </c>
      <c r="U50" s="13">
        <v>69351.063829787236</v>
      </c>
      <c r="V50" s="12"/>
    </row>
    <row r="51" spans="1:22" s="11" customFormat="1" ht="81">
      <c r="A51" s="49" t="s">
        <v>73</v>
      </c>
      <c r="B51" s="32" t="s">
        <v>72</v>
      </c>
      <c r="C51" s="19">
        <f>+Tabla1[[#This Row],[PRECIO SUGERIDO INSTALADOR]]</f>
        <v>601214.77500000002</v>
      </c>
      <c r="D51" s="19">
        <f>+Tabla1[[#This Row],[TIENDA]]</f>
        <v>571154.03625</v>
      </c>
      <c r="E51" s="19">
        <f>+Tabla1[[#This Row],[DPP ORO7]]</f>
        <v>546558.88636363635</v>
      </c>
      <c r="F51" s="23">
        <f>+Tabla1[[#This Row],[Columna4]]</f>
        <v>541093.29749999999</v>
      </c>
      <c r="G51" s="23">
        <f>+Tabla1[[#This Row],[CLIENTE FINAL]]</f>
        <v>858878.25000000012</v>
      </c>
      <c r="H51" s="23">
        <f t="shared" si="11"/>
        <v>111.56562835051547</v>
      </c>
      <c r="I51" s="23">
        <f t="shared" si="12"/>
        <v>541093.29749999999</v>
      </c>
      <c r="J51" s="22">
        <f t="shared" si="13"/>
        <v>5465.5888636363634</v>
      </c>
      <c r="K51" s="19">
        <f t="shared" si="14"/>
        <v>112.69255388940955</v>
      </c>
      <c r="L51" s="24">
        <f>Tabla1[[#This Row],[oro sin IVA]]*1.19</f>
        <v>546558.88636363635</v>
      </c>
      <c r="M51" s="19">
        <f t="shared" si="15"/>
        <v>123.96180927835051</v>
      </c>
      <c r="N51" s="19">
        <f>+Tabla1[[#This Row],[PRECIO SUGERIDO INSTALADOR]]/0.7</f>
        <v>858878.25000000012</v>
      </c>
      <c r="O51" s="19">
        <f>+Tabla1[[#This Row],[PRECIO SUGERIDO INSTALADOR]]*5%</f>
        <v>30060.738750000004</v>
      </c>
      <c r="P51" s="19">
        <f>+Tabla1[[#This Row],[PRECIO SUGERIDO INSTALADOR]]-Tabla1[[#This Row],[Columna1]]</f>
        <v>571154.03625</v>
      </c>
      <c r="Q51" s="25">
        <f>Tabla1[[#This Row],[instalador sin IVA]]*1.19</f>
        <v>601214.77500000002</v>
      </c>
      <c r="R51" s="53">
        <v>459293.18181818182</v>
      </c>
      <c r="S51" s="52">
        <v>505222.5</v>
      </c>
      <c r="T51" s="14" t="s">
        <v>0</v>
      </c>
      <c r="U51" s="13">
        <v>69351.063829787236</v>
      </c>
      <c r="V51" s="12"/>
    </row>
    <row r="52" spans="1:22" s="11" customFormat="1" ht="81">
      <c r="A52" s="49" t="s">
        <v>71</v>
      </c>
      <c r="B52" s="32" t="s">
        <v>70</v>
      </c>
      <c r="C52" s="19">
        <f>+Tabla1[[#This Row],[PRECIO SUGERIDO INSTALADOR]]</f>
        <v>768003.39</v>
      </c>
      <c r="D52" s="19">
        <f>+Tabla1[[#This Row],[TIENDA]]</f>
        <v>729603.22050000005</v>
      </c>
      <c r="E52" s="19">
        <f>+Tabla1[[#This Row],[DPP ORO7]]</f>
        <v>698184.9</v>
      </c>
      <c r="F52" s="23">
        <f>+Tabla1[[#This Row],[Columna4]]</f>
        <v>691203.05099999998</v>
      </c>
      <c r="G52" s="23">
        <f>+Tabla1[[#This Row],[CLIENTE FINAL]]</f>
        <v>1097147.7000000002</v>
      </c>
      <c r="H52" s="23">
        <f t="shared" si="11"/>
        <v>142.51609298969072</v>
      </c>
      <c r="I52" s="23">
        <f t="shared" si="12"/>
        <v>691203.05099999998</v>
      </c>
      <c r="J52" s="22">
        <f t="shared" si="13"/>
        <v>6981.8490000000002</v>
      </c>
      <c r="K52" s="19">
        <f t="shared" si="14"/>
        <v>143.95564948453608</v>
      </c>
      <c r="L52" s="24">
        <f>Tabla1[[#This Row],[oro sin IVA]]*1.19</f>
        <v>698184.9</v>
      </c>
      <c r="M52" s="19">
        <f t="shared" si="15"/>
        <v>158.35121443298971</v>
      </c>
      <c r="N52" s="19">
        <f>+Tabla1[[#This Row],[PRECIO SUGERIDO INSTALADOR]]/0.7</f>
        <v>1097147.7000000002</v>
      </c>
      <c r="O52" s="19">
        <f>+Tabla1[[#This Row],[PRECIO SUGERIDO INSTALADOR]]*5%</f>
        <v>38400.169500000004</v>
      </c>
      <c r="P52" s="19">
        <f>+Tabla1[[#This Row],[PRECIO SUGERIDO INSTALADOR]]-Tabla1[[#This Row],[Columna1]]</f>
        <v>729603.22050000005</v>
      </c>
      <c r="Q52" s="25">
        <f>Tabla1[[#This Row],[instalador sin IVA]]*1.19</f>
        <v>768003.39</v>
      </c>
      <c r="R52" s="53">
        <v>586710</v>
      </c>
      <c r="S52" s="52">
        <v>645381</v>
      </c>
      <c r="T52" s="14" t="s">
        <v>0</v>
      </c>
      <c r="U52" s="13">
        <v>300521.27659574471</v>
      </c>
      <c r="V52" s="12"/>
    </row>
    <row r="53" spans="1:22" s="11" customFormat="1" ht="81">
      <c r="A53" s="49" t="s">
        <v>69</v>
      </c>
      <c r="B53" s="32" t="s">
        <v>182</v>
      </c>
      <c r="C53" s="19">
        <f>+Tabla1[[#This Row],[PRECIO SUGERIDO INSTALADOR]]</f>
        <v>614144.125</v>
      </c>
      <c r="D53" s="19">
        <f>+Tabla1[[#This Row],[TIENDA]]</f>
        <v>583436.91874999995</v>
      </c>
      <c r="E53" s="19">
        <f>+Tabla1[[#This Row],[DPP ORO7]]</f>
        <v>558312.84090909082</v>
      </c>
      <c r="F53" s="23">
        <f>+Tabla1[[#This Row],[Columna4]]</f>
        <v>552729.71249999991</v>
      </c>
      <c r="G53" s="23">
        <f>+Tabla1[[#This Row],[CLIENTE FINAL]]</f>
        <v>877348.75</v>
      </c>
      <c r="H53" s="23">
        <f t="shared" si="11"/>
        <v>113.96488917525771</v>
      </c>
      <c r="I53" s="23">
        <f t="shared" si="12"/>
        <v>552729.71249999991</v>
      </c>
      <c r="J53" s="22">
        <f t="shared" si="13"/>
        <v>5583.1284090909085</v>
      </c>
      <c r="K53" s="19">
        <f t="shared" si="14"/>
        <v>115.11604967197749</v>
      </c>
      <c r="L53" s="24">
        <f>Tabla1[[#This Row],[oro sin IVA]]*1.19</f>
        <v>558312.84090909082</v>
      </c>
      <c r="M53" s="19">
        <f t="shared" si="15"/>
        <v>126.62765463917526</v>
      </c>
      <c r="N53" s="19">
        <f>+Tabla1[[#This Row],[PRECIO SUGERIDO INSTALADOR]]/0.7</f>
        <v>877348.75</v>
      </c>
      <c r="O53" s="19">
        <f>+Tabla1[[#This Row],[PRECIO SUGERIDO INSTALADOR]]*5%</f>
        <v>30707.206250000003</v>
      </c>
      <c r="P53" s="19">
        <f>+Tabla1[[#This Row],[PRECIO SUGERIDO INSTALADOR]]-Tabla1[[#This Row],[Columna1]]</f>
        <v>583436.91874999995</v>
      </c>
      <c r="Q53" s="25">
        <f>Tabla1[[#This Row],[instalador sin IVA]]*1.19</f>
        <v>614144.125</v>
      </c>
      <c r="R53" s="53">
        <v>469170.45454545453</v>
      </c>
      <c r="S53" s="52">
        <v>516087.5</v>
      </c>
      <c r="T53" s="14">
        <v>197511</v>
      </c>
      <c r="U53" s="13">
        <v>213971.14893617024</v>
      </c>
      <c r="V53" s="12"/>
    </row>
    <row r="54" spans="1:22" s="11" customFormat="1" ht="94.5">
      <c r="A54" s="49" t="s">
        <v>68</v>
      </c>
      <c r="B54" s="32" t="s">
        <v>66</v>
      </c>
      <c r="C54" s="19">
        <f>+Tabla1[[#This Row],[PRECIO SUGERIDO INSTALADOR]]</f>
        <v>484850.625</v>
      </c>
      <c r="D54" s="19">
        <f>+Tabla1[[#This Row],[TIENDA]]</f>
        <v>460608.09375</v>
      </c>
      <c r="E54" s="19">
        <f>+Tabla1[[#This Row],[DPP ORO7]]</f>
        <v>440773.29545454547</v>
      </c>
      <c r="F54" s="23">
        <f>+Tabla1[[#This Row],[Columna4]]</f>
        <v>436365.5625</v>
      </c>
      <c r="G54" s="23">
        <f>+Tabla1[[#This Row],[CLIENTE FINAL]]</f>
        <v>692643.75</v>
      </c>
      <c r="H54" s="23">
        <f t="shared" si="11"/>
        <v>89.972280927835058</v>
      </c>
      <c r="I54" s="23">
        <f t="shared" si="12"/>
        <v>436365.5625</v>
      </c>
      <c r="J54" s="22">
        <f t="shared" si="13"/>
        <v>4407.732954545455</v>
      </c>
      <c r="K54" s="19">
        <f t="shared" si="14"/>
        <v>90.881091846298034</v>
      </c>
      <c r="L54" s="24">
        <f>Tabla1[[#This Row],[oro sin IVA]]*1.19</f>
        <v>440773.29545454547</v>
      </c>
      <c r="M54" s="19">
        <f t="shared" si="15"/>
        <v>99.969201030927834</v>
      </c>
      <c r="N54" s="19">
        <f>+Tabla1[[#This Row],[PRECIO SUGERIDO INSTALADOR]]/0.7</f>
        <v>692643.75</v>
      </c>
      <c r="O54" s="19">
        <f>+Tabla1[[#This Row],[PRECIO SUGERIDO INSTALADOR]]*5%</f>
        <v>24242.53125</v>
      </c>
      <c r="P54" s="19">
        <f>+Tabla1[[#This Row],[PRECIO SUGERIDO INSTALADOR]]-Tabla1[[#This Row],[Columna1]]</f>
        <v>460608.09375</v>
      </c>
      <c r="Q54" s="25">
        <f>Tabla1[[#This Row],[instalador sin IVA]]*1.19</f>
        <v>484850.625</v>
      </c>
      <c r="R54" s="53">
        <v>370397.72727272729</v>
      </c>
      <c r="S54" s="52">
        <v>407437.5</v>
      </c>
      <c r="T54" s="14" t="s">
        <v>0</v>
      </c>
      <c r="U54" s="13">
        <v>240417.0212765958</v>
      </c>
      <c r="V54" s="12"/>
    </row>
    <row r="55" spans="1:22" s="11" customFormat="1" ht="94.5">
      <c r="A55" s="49" t="s">
        <v>67</v>
      </c>
      <c r="B55" s="32" t="s">
        <v>66</v>
      </c>
      <c r="C55" s="19">
        <f>+Tabla1[[#This Row],[PRECIO SUGERIDO INSTALADOR]]</f>
        <v>484850.625</v>
      </c>
      <c r="D55" s="19">
        <f>+Tabla1[[#This Row],[TIENDA]]</f>
        <v>460608.09375</v>
      </c>
      <c r="E55" s="19">
        <f>+Tabla1[[#This Row],[DPP ORO7]]</f>
        <v>440773.29545454547</v>
      </c>
      <c r="F55" s="23">
        <f>+Tabla1[[#This Row],[Columna4]]</f>
        <v>436365.5625</v>
      </c>
      <c r="G55" s="23">
        <f>+Tabla1[[#This Row],[CLIENTE FINAL]]</f>
        <v>692643.75</v>
      </c>
      <c r="H55" s="23">
        <f t="shared" si="11"/>
        <v>89.972280927835058</v>
      </c>
      <c r="I55" s="23">
        <f t="shared" si="12"/>
        <v>436365.5625</v>
      </c>
      <c r="J55" s="22">
        <f t="shared" si="13"/>
        <v>4407.732954545455</v>
      </c>
      <c r="K55" s="19">
        <f t="shared" si="14"/>
        <v>90.881091846298034</v>
      </c>
      <c r="L55" s="24">
        <f>Tabla1[[#This Row],[oro sin IVA]]*1.19</f>
        <v>440773.29545454547</v>
      </c>
      <c r="M55" s="19">
        <f t="shared" si="15"/>
        <v>99.969201030927834</v>
      </c>
      <c r="N55" s="19">
        <f>+Tabla1[[#This Row],[PRECIO SUGERIDO INSTALADOR]]/0.7</f>
        <v>692643.75</v>
      </c>
      <c r="O55" s="19">
        <f>+Tabla1[[#This Row],[PRECIO SUGERIDO INSTALADOR]]*5%</f>
        <v>24242.53125</v>
      </c>
      <c r="P55" s="19">
        <f>+Tabla1[[#This Row],[PRECIO SUGERIDO INSTALADOR]]-Tabla1[[#This Row],[Columna1]]</f>
        <v>460608.09375</v>
      </c>
      <c r="Q55" s="25">
        <f>Tabla1[[#This Row],[instalador sin IVA]]*1.19</f>
        <v>484850.625</v>
      </c>
      <c r="R55" s="53">
        <v>370397.72727272729</v>
      </c>
      <c r="S55" s="52">
        <v>407437.5</v>
      </c>
      <c r="T55" s="14" t="s">
        <v>0</v>
      </c>
      <c r="U55" s="13">
        <v>144250.21276595746</v>
      </c>
      <c r="V55" s="12"/>
    </row>
    <row r="56" spans="1:22" s="11" customFormat="1" ht="64.5">
      <c r="A56" s="49" t="s">
        <v>65</v>
      </c>
      <c r="B56" s="32" t="s">
        <v>183</v>
      </c>
      <c r="C56" s="19">
        <f>+Tabla1[[#This Row],[PRECIO SUGERIDO INSTALADOR]]</f>
        <v>96000.519750519758</v>
      </c>
      <c r="D56" s="19">
        <f>+Tabla1[[#This Row],[TIENDA]]</f>
        <v>91200.493762993763</v>
      </c>
      <c r="E56" s="19">
        <f>+Tabla1[[#This Row],[DPP ORO7]]</f>
        <v>88154.659090909088</v>
      </c>
      <c r="F56" s="23">
        <f>+Tabla1[[#This Row],[Columna4]]</f>
        <v>87273.112500000003</v>
      </c>
      <c r="G56" s="23">
        <f>+Tabla1[[#This Row],[CLIENTE FINAL]]</f>
        <v>137143.59964359965</v>
      </c>
      <c r="H56" s="23">
        <f t="shared" si="11"/>
        <v>17.99445618556701</v>
      </c>
      <c r="I56" s="23">
        <f t="shared" si="12"/>
        <v>87273.112500000003</v>
      </c>
      <c r="J56" s="22">
        <f t="shared" si="13"/>
        <v>881.54659090909092</v>
      </c>
      <c r="K56" s="19">
        <f t="shared" si="14"/>
        <v>18.176218369259605</v>
      </c>
      <c r="L56" s="24">
        <f>Tabla1[[#This Row],[oro sin IVA]]*1.19</f>
        <v>88154.659090909088</v>
      </c>
      <c r="M56" s="19">
        <f t="shared" si="15"/>
        <v>19.793921598045312</v>
      </c>
      <c r="N56" s="19">
        <f>+Tabla1[[#This Row],[PRECIO SUGERIDO INSTALADOR]]/0.7</f>
        <v>137143.59964359965</v>
      </c>
      <c r="O56" s="19">
        <f>+Tabla1[[#This Row],[PRECIO SUGERIDO INSTALADOR]]*5%</f>
        <v>4800.0259875259881</v>
      </c>
      <c r="P56" s="19">
        <f>+Tabla1[[#This Row],[PRECIO SUGERIDO INSTALADOR]]-Tabla1[[#This Row],[Columna1]]</f>
        <v>91200.493762993763</v>
      </c>
      <c r="Q56" s="25">
        <f>Tabla1[[#This Row],[instalador sin IVA]]*1.19</f>
        <v>96000.519750519758</v>
      </c>
      <c r="R56" s="53">
        <v>74079.545454545456</v>
      </c>
      <c r="S56" s="52">
        <v>80672.705672705677</v>
      </c>
      <c r="T56" s="14" t="s">
        <v>0</v>
      </c>
      <c r="U56" s="13">
        <v>221183.65957446815</v>
      </c>
      <c r="V56" s="12"/>
    </row>
    <row r="57" spans="1:22" s="11" customFormat="1" ht="77.25">
      <c r="A57" s="49" t="s">
        <v>64</v>
      </c>
      <c r="B57" s="32" t="s">
        <v>184</v>
      </c>
      <c r="C57" s="19">
        <f>+Tabla1[[#This Row],[PRECIO SUGERIDO INSTALADOR]]</f>
        <v>96000.519750519758</v>
      </c>
      <c r="D57" s="19">
        <f>+Tabla1[[#This Row],[TIENDA]]</f>
        <v>91200.493762993763</v>
      </c>
      <c r="E57" s="19">
        <f>+Tabla1[[#This Row],[DPP ORO7]]</f>
        <v>88154.659090909088</v>
      </c>
      <c r="F57" s="23">
        <f>+Tabla1[[#This Row],[Columna4]]</f>
        <v>87273.112500000003</v>
      </c>
      <c r="G57" s="23">
        <f>+Tabla1[[#This Row],[CLIENTE FINAL]]</f>
        <v>137143.59964359965</v>
      </c>
      <c r="H57" s="23">
        <f t="shared" si="11"/>
        <v>17.99445618556701</v>
      </c>
      <c r="I57" s="23">
        <f t="shared" si="12"/>
        <v>87273.112500000003</v>
      </c>
      <c r="J57" s="22">
        <f t="shared" si="13"/>
        <v>881.54659090909092</v>
      </c>
      <c r="K57" s="19">
        <f t="shared" si="14"/>
        <v>18.176218369259605</v>
      </c>
      <c r="L57" s="24">
        <f>Tabla1[[#This Row],[oro sin IVA]]*1.19</f>
        <v>88154.659090909088</v>
      </c>
      <c r="M57" s="19">
        <f t="shared" si="15"/>
        <v>19.793921598045312</v>
      </c>
      <c r="N57" s="19">
        <f>+Tabla1[[#This Row],[PRECIO SUGERIDO INSTALADOR]]/0.7</f>
        <v>137143.59964359965</v>
      </c>
      <c r="O57" s="19">
        <f>+Tabla1[[#This Row],[PRECIO SUGERIDO INSTALADOR]]*5%</f>
        <v>4800.0259875259881</v>
      </c>
      <c r="P57" s="19">
        <f>+Tabla1[[#This Row],[PRECIO SUGERIDO INSTALADOR]]-Tabla1[[#This Row],[Columna1]]</f>
        <v>91200.493762993763</v>
      </c>
      <c r="Q57" s="25">
        <f>Tabla1[[#This Row],[instalador sin IVA]]*1.19</f>
        <v>96000.519750519758</v>
      </c>
      <c r="R57" s="53">
        <v>74079.545454545456</v>
      </c>
      <c r="S57" s="52">
        <v>80672.705672705677</v>
      </c>
      <c r="T57" s="14" t="s">
        <v>0</v>
      </c>
      <c r="U57" s="13">
        <v>221183.65957446815</v>
      </c>
      <c r="V57" s="12"/>
    </row>
    <row r="58" spans="1:22" s="11" customFormat="1" ht="94.5">
      <c r="A58" s="49" t="s">
        <v>63</v>
      </c>
      <c r="B58" s="32" t="s">
        <v>62</v>
      </c>
      <c r="C58" s="19">
        <f>+Tabla1[[#This Row],[PRECIO SUGERIDO INSTALADOR]]</f>
        <v>416002.25225225225</v>
      </c>
      <c r="D58" s="19">
        <f>+Tabla1[[#This Row],[TIENDA]]</f>
        <v>395202.13963963964</v>
      </c>
      <c r="E58" s="19">
        <f>+Tabla1[[#This Row],[DPP ORO7]]</f>
        <v>382003.52272727271</v>
      </c>
      <c r="F58" s="23">
        <f>+Tabla1[[#This Row],[Columna4]]</f>
        <v>378183.48749999999</v>
      </c>
      <c r="G58" s="23">
        <f>+Tabla1[[#This Row],[CLIENTE FINAL]]</f>
        <v>594288.93178893183</v>
      </c>
      <c r="H58" s="23">
        <f t="shared" si="11"/>
        <v>77.975976804123704</v>
      </c>
      <c r="I58" s="23">
        <f t="shared" si="12"/>
        <v>378183.48749999999</v>
      </c>
      <c r="J58" s="22">
        <f t="shared" si="13"/>
        <v>3820.0352272727273</v>
      </c>
      <c r="K58" s="19">
        <f t="shared" si="14"/>
        <v>78.76361293345829</v>
      </c>
      <c r="L58" s="24">
        <f>Tabla1[[#This Row],[oro sin IVA]]*1.19</f>
        <v>382003.52272727271</v>
      </c>
      <c r="M58" s="19">
        <f t="shared" si="15"/>
        <v>85.773660258196344</v>
      </c>
      <c r="N58" s="19">
        <f>+Tabla1[[#This Row],[PRECIO SUGERIDO INSTALADOR]]/0.7</f>
        <v>594288.93178893183</v>
      </c>
      <c r="O58" s="19">
        <f>+Tabla1[[#This Row],[PRECIO SUGERIDO INSTALADOR]]*5%</f>
        <v>20800.112612612615</v>
      </c>
      <c r="P58" s="19">
        <f>+Tabla1[[#This Row],[PRECIO SUGERIDO INSTALADOR]]-Tabla1[[#This Row],[Columna1]]</f>
        <v>395202.13963963964</v>
      </c>
      <c r="Q58" s="25">
        <f>Tabla1[[#This Row],[instalador sin IVA]]*1.19</f>
        <v>416002.25225225225</v>
      </c>
      <c r="R58" s="53">
        <v>321011.36363636365</v>
      </c>
      <c r="S58" s="52">
        <v>349581.72458172461</v>
      </c>
      <c r="T58" s="14" t="s">
        <v>0</v>
      </c>
      <c r="U58" s="13">
        <v>206926.23670212767</v>
      </c>
      <c r="V58" s="12"/>
    </row>
    <row r="59" spans="1:22" s="11" customFormat="1" ht="54">
      <c r="A59" s="49" t="s">
        <v>61</v>
      </c>
      <c r="B59" s="32" t="s">
        <v>185</v>
      </c>
      <c r="C59" s="19">
        <f>+Tabla1[[#This Row],[PRECIO SUGERIDO INSTALADOR]]</f>
        <v>295054.39743589744</v>
      </c>
      <c r="D59" s="19">
        <f>+Tabla1[[#This Row],[TIENDA]]</f>
        <v>280301.67756410257</v>
      </c>
      <c r="E59" s="19">
        <f>+Tabla1[[#This Row],[DPP ORO7]]</f>
        <v>270940.4062272727</v>
      </c>
      <c r="F59" s="23">
        <f>+Tabla1[[#This Row],[Columna4]]</f>
        <v>268231.00216499995</v>
      </c>
      <c r="G59" s="23">
        <f>+Tabla1[[#This Row],[CLIENTE FINAL]]</f>
        <v>421506.28205128206</v>
      </c>
      <c r="H59" s="31">
        <f t="shared" si="11"/>
        <v>55.305361271134011</v>
      </c>
      <c r="I59" s="31">
        <f t="shared" si="12"/>
        <v>268231.00216499995</v>
      </c>
      <c r="J59" s="30">
        <f t="shared" si="13"/>
        <v>2709.4040622727271</v>
      </c>
      <c r="K59" s="27">
        <f t="shared" si="14"/>
        <v>55.864001283973757</v>
      </c>
      <c r="L59" s="28">
        <f>Tabla1[[#This Row],[oro sin IVA]]*1.19</f>
        <v>270940.4062272727</v>
      </c>
      <c r="M59" s="27">
        <f t="shared" si="15"/>
        <v>60.835958234205656</v>
      </c>
      <c r="N59" s="27">
        <f>+Tabla1[[#This Row],[PRECIO SUGERIDO INSTALADOR]]/0.7</f>
        <v>421506.28205128206</v>
      </c>
      <c r="O59" s="27">
        <f>+Tabla1[[#This Row],[PRECIO SUGERIDO INSTALADOR]]*5%</f>
        <v>14752.719871794872</v>
      </c>
      <c r="P59" s="27">
        <f>+Tabla1[[#This Row],[PRECIO SUGERIDO INSTALADOR]]-Tabla1[[#This Row],[Columna1]]</f>
        <v>280301.67756410257</v>
      </c>
      <c r="Q59" s="29">
        <f>Tabla1[[#This Row],[instalador sin IVA]]*1.19</f>
        <v>295054.39743589744</v>
      </c>
      <c r="R59" s="53">
        <v>227681.01363636364</v>
      </c>
      <c r="S59" s="52">
        <v>247944.87179487181</v>
      </c>
      <c r="T59" s="14" t="s">
        <v>0</v>
      </c>
      <c r="U59" s="13">
        <v>152572.34042553196</v>
      </c>
      <c r="V59" s="12"/>
    </row>
    <row r="60" spans="1:22" s="11" customFormat="1" ht="135">
      <c r="A60" s="49" t="s">
        <v>60</v>
      </c>
      <c r="B60" s="32" t="s">
        <v>59</v>
      </c>
      <c r="C60" s="19">
        <f>+Tabla1[[#This Row],[PRECIO SUGERIDO INSTALADOR]]</f>
        <v>331521.79487179487</v>
      </c>
      <c r="D60" s="19">
        <f>+Tabla1[[#This Row],[TIENDA]]</f>
        <v>314945.70512820513</v>
      </c>
      <c r="E60" s="19">
        <f>+Tabla1[[#This Row],[DPP ORO7]]</f>
        <v>304427.42272727279</v>
      </c>
      <c r="F60" s="23">
        <f>+Tabla1[[#This Row],[Columna4]]</f>
        <v>301383.14850000007</v>
      </c>
      <c r="G60" s="23">
        <f>+Tabla1[[#This Row],[CLIENTE FINAL]]</f>
        <v>473602.56410256412</v>
      </c>
      <c r="H60" s="23">
        <f t="shared" si="11"/>
        <v>62.140855360824759</v>
      </c>
      <c r="I60" s="23">
        <f t="shared" si="12"/>
        <v>301383.14850000007</v>
      </c>
      <c r="J60" s="22">
        <f t="shared" si="13"/>
        <v>3044.2742272727278</v>
      </c>
      <c r="K60" s="19">
        <f t="shared" si="14"/>
        <v>62.768540768509851</v>
      </c>
      <c r="L60" s="24">
        <f>Tabla1[[#This Row],[oro sin IVA]]*1.19</f>
        <v>304427.42272727279</v>
      </c>
      <c r="M60" s="19">
        <f t="shared" si="15"/>
        <v>68.355009251916471</v>
      </c>
      <c r="N60" s="19">
        <f>+Tabla1[[#This Row],[PRECIO SUGERIDO INSTALADOR]]/0.7</f>
        <v>473602.56410256412</v>
      </c>
      <c r="O60" s="19">
        <f>+Tabla1[[#This Row],[PRECIO SUGERIDO INSTALADOR]]*5%</f>
        <v>16576.089743589746</v>
      </c>
      <c r="P60" s="19">
        <f>+Tabla1[[#This Row],[PRECIO SUGERIDO INSTALADOR]]-Tabla1[[#This Row],[Columna1]]</f>
        <v>314945.70512820513</v>
      </c>
      <c r="Q60" s="25">
        <f>Tabla1[[#This Row],[instalador sin IVA]]*1.19</f>
        <v>331521.79487179487</v>
      </c>
      <c r="R60" s="53">
        <v>255821.36363636368</v>
      </c>
      <c r="S60" s="52">
        <v>278589.74358974362</v>
      </c>
      <c r="T60" s="14" t="s">
        <v>0</v>
      </c>
      <c r="U60" s="13">
        <v>172915.31914893619</v>
      </c>
      <c r="V60" s="12"/>
    </row>
    <row r="61" spans="1:22" s="11" customFormat="1" ht="108">
      <c r="A61" s="49" t="s">
        <v>58</v>
      </c>
      <c r="B61" s="32" t="s">
        <v>57</v>
      </c>
      <c r="C61" s="19">
        <f>+Tabla1[[#This Row],[PRECIO SUGERIDO INSTALADOR]]</f>
        <v>198913.07692307691</v>
      </c>
      <c r="D61" s="19">
        <f>+Tabla1[[#This Row],[TIENDA]]</f>
        <v>188967.42307692306</v>
      </c>
      <c r="E61" s="19">
        <f>+Tabla1[[#This Row],[DPP ORO7]]</f>
        <v>182656.45363636361</v>
      </c>
      <c r="F61" s="23">
        <f>+Tabla1[[#This Row],[Columna4]]</f>
        <v>180829.88909999997</v>
      </c>
      <c r="G61" s="23">
        <f>+Tabla1[[#This Row],[CLIENTE FINAL]]</f>
        <v>284161.53846153844</v>
      </c>
      <c r="H61" s="23">
        <f t="shared" si="11"/>
        <v>37.284513216494837</v>
      </c>
      <c r="I61" s="23">
        <f t="shared" si="12"/>
        <v>180829.88909999997</v>
      </c>
      <c r="J61" s="22">
        <f t="shared" si="13"/>
        <v>1826.5645363636361</v>
      </c>
      <c r="K61" s="19">
        <f t="shared" si="14"/>
        <v>37.661124461105899</v>
      </c>
      <c r="L61" s="24">
        <f>Tabla1[[#This Row],[oro sin IVA]]*1.19</f>
        <v>182656.45363636361</v>
      </c>
      <c r="M61" s="19">
        <f t="shared" si="15"/>
        <v>41.013005551149881</v>
      </c>
      <c r="N61" s="19">
        <f>+Tabla1[[#This Row],[PRECIO SUGERIDO INSTALADOR]]/0.7</f>
        <v>284161.53846153844</v>
      </c>
      <c r="O61" s="19">
        <f>+Tabla1[[#This Row],[PRECIO SUGERIDO INSTALADOR]]*5%</f>
        <v>9945.6538461538457</v>
      </c>
      <c r="P61" s="19">
        <f>+Tabla1[[#This Row],[PRECIO SUGERIDO INSTALADOR]]-Tabla1[[#This Row],[Columna1]]</f>
        <v>188967.42307692306</v>
      </c>
      <c r="Q61" s="25">
        <f>Tabla1[[#This Row],[instalador sin IVA]]*1.19</f>
        <v>198913.07692307691</v>
      </c>
      <c r="R61" s="53">
        <v>153492.81818181818</v>
      </c>
      <c r="S61" s="52">
        <v>167153.84615384616</v>
      </c>
      <c r="T61" s="14"/>
      <c r="U61" s="13">
        <v>575757</v>
      </c>
      <c r="V61" s="12"/>
    </row>
    <row r="62" spans="1:22" s="11" customFormat="1" ht="81">
      <c r="A62" s="49" t="s">
        <v>56</v>
      </c>
      <c r="B62" s="32" t="s">
        <v>54</v>
      </c>
      <c r="C62" s="19">
        <f>+Tabla1[[#This Row],[PRECIO SUGERIDO INSTALADOR]]</f>
        <v>305000.05128205125</v>
      </c>
      <c r="D62" s="19">
        <f>+Tabla1[[#This Row],[TIENDA]]</f>
        <v>289750.04871794867</v>
      </c>
      <c r="E62" s="19">
        <f>+Tabla1[[#This Row],[DPP ORO7]]</f>
        <v>280073.22890909092</v>
      </c>
      <c r="F62" s="23">
        <f>+Tabla1[[#This Row],[Columna4]]</f>
        <v>277272.49661999999</v>
      </c>
      <c r="G62" s="23">
        <f>+Tabla1[[#This Row],[CLIENTE FINAL]]</f>
        <v>435714.35897435894</v>
      </c>
      <c r="H62" s="23">
        <f t="shared" si="11"/>
        <v>57.169586931958762</v>
      </c>
      <c r="I62" s="23">
        <f t="shared" si="12"/>
        <v>277272.49661999999</v>
      </c>
      <c r="J62" s="22">
        <f t="shared" si="13"/>
        <v>2800.732289090909</v>
      </c>
      <c r="K62" s="19">
        <f t="shared" si="14"/>
        <v>57.747057507029055</v>
      </c>
      <c r="L62" s="24">
        <f>Tabla1[[#This Row],[oro sin IVA]]*1.19</f>
        <v>280073.22890909092</v>
      </c>
      <c r="M62" s="19">
        <f t="shared" si="15"/>
        <v>62.886608511763143</v>
      </c>
      <c r="N62" s="19">
        <f>+Tabla1[[#This Row],[PRECIO SUGERIDO INSTALADOR]]/0.7</f>
        <v>435714.35897435894</v>
      </c>
      <c r="O62" s="19">
        <f>+Tabla1[[#This Row],[PRECIO SUGERIDO INSTALADOR]]*5%</f>
        <v>15250.002564102564</v>
      </c>
      <c r="P62" s="19">
        <f>+Tabla1[[#This Row],[PRECIO SUGERIDO INSTALADOR]]-Tabla1[[#This Row],[Columna1]]</f>
        <v>289750.04871794867</v>
      </c>
      <c r="Q62" s="25">
        <f>Tabla1[[#This Row],[instalador sin IVA]]*1.19</f>
        <v>305000.05128205125</v>
      </c>
      <c r="R62" s="53">
        <v>235355.65454545454</v>
      </c>
      <c r="S62" s="52">
        <v>256302.56410256409</v>
      </c>
      <c r="T62" s="14"/>
      <c r="U62" s="13">
        <v>719683</v>
      </c>
      <c r="V62" s="12"/>
    </row>
    <row r="63" spans="1:22" s="11" customFormat="1" ht="81">
      <c r="A63" s="49" t="s">
        <v>55</v>
      </c>
      <c r="B63" s="32" t="s">
        <v>54</v>
      </c>
      <c r="C63" s="19">
        <f>+Tabla1[[#This Row],[PRECIO SUGERIDO INSTALADOR]]</f>
        <v>305000.05128205125</v>
      </c>
      <c r="D63" s="19">
        <f>+Tabla1[[#This Row],[TIENDA]]</f>
        <v>289750.04871794867</v>
      </c>
      <c r="E63" s="19">
        <f>+Tabla1[[#This Row],[DPP ORO7]]</f>
        <v>280073.22890909092</v>
      </c>
      <c r="F63" s="23">
        <f>+Tabla1[[#This Row],[Columna4]]</f>
        <v>277272.49661999999</v>
      </c>
      <c r="G63" s="23">
        <f>+Tabla1[[#This Row],[CLIENTE FINAL]]</f>
        <v>435714.35897435894</v>
      </c>
      <c r="H63" s="23">
        <f t="shared" si="11"/>
        <v>57.169586931958762</v>
      </c>
      <c r="I63" s="23">
        <f t="shared" si="12"/>
        <v>277272.49661999999</v>
      </c>
      <c r="J63" s="22">
        <f t="shared" si="13"/>
        <v>2800.732289090909</v>
      </c>
      <c r="K63" s="19">
        <f t="shared" si="14"/>
        <v>57.747057507029055</v>
      </c>
      <c r="L63" s="24">
        <f>Tabla1[[#This Row],[oro sin IVA]]*1.19</f>
        <v>280073.22890909092</v>
      </c>
      <c r="M63" s="19">
        <f t="shared" si="15"/>
        <v>62.886608511763143</v>
      </c>
      <c r="N63" s="19">
        <f>+Tabla1[[#This Row],[PRECIO SUGERIDO INSTALADOR]]/0.7</f>
        <v>435714.35897435894</v>
      </c>
      <c r="O63" s="19">
        <f>+Tabla1[[#This Row],[PRECIO SUGERIDO INSTALADOR]]*5%</f>
        <v>15250.002564102564</v>
      </c>
      <c r="P63" s="19">
        <f>+Tabla1[[#This Row],[PRECIO SUGERIDO INSTALADOR]]-Tabla1[[#This Row],[Columna1]]</f>
        <v>289750.04871794867</v>
      </c>
      <c r="Q63" s="25">
        <f>Tabla1[[#This Row],[instalador sin IVA]]*1.19</f>
        <v>305000.05128205125</v>
      </c>
      <c r="R63" s="53">
        <v>235355.65454545454</v>
      </c>
      <c r="S63" s="52">
        <v>256302.56410256409</v>
      </c>
      <c r="T63" s="14" t="s">
        <v>0</v>
      </c>
      <c r="U63" s="13">
        <v>422015.09361702134</v>
      </c>
      <c r="V63" s="12"/>
    </row>
    <row r="64" spans="1:22" s="11" customFormat="1" ht="67.5">
      <c r="A64" s="49" t="s">
        <v>53</v>
      </c>
      <c r="B64" s="32" t="s">
        <v>52</v>
      </c>
      <c r="C64" s="19">
        <f>+Tabla1[[#This Row],[PRECIO SUGERIDO INSTALADOR]]</f>
        <v>286441.55080561328</v>
      </c>
      <c r="D64" s="19">
        <f>+Tabla1[[#This Row],[TIENDA]]</f>
        <v>272119.47326533264</v>
      </c>
      <c r="E64" s="19">
        <f>+Tabla1[[#This Row],[DPP ORO7]]</f>
        <v>263031.46406249999</v>
      </c>
      <c r="F64" s="23">
        <f>+Tabla1[[#This Row],[Columna4]]</f>
        <v>260401.14942187499</v>
      </c>
      <c r="G64" s="23">
        <f>+Tabla1[[#This Row],[CLIENTE FINAL]]</f>
        <v>409202.21543659043</v>
      </c>
      <c r="H64" s="23">
        <f t="shared" si="11"/>
        <v>53.690958643685562</v>
      </c>
      <c r="I64" s="23">
        <f t="shared" si="12"/>
        <v>260401.14942187499</v>
      </c>
      <c r="J64" s="22">
        <f t="shared" si="13"/>
        <v>2630.3146406249998</v>
      </c>
      <c r="K64" s="19">
        <f t="shared" si="14"/>
        <v>54.233291559278349</v>
      </c>
      <c r="L64" s="24">
        <f>Tabla1[[#This Row],[oro sin IVA]]*1.19</f>
        <v>263031.46406249999</v>
      </c>
      <c r="M64" s="19">
        <f t="shared" si="15"/>
        <v>59.060113568167687</v>
      </c>
      <c r="N64" s="19">
        <f>+Tabla1[[#This Row],[PRECIO SUGERIDO INSTALADOR]]/0.7</f>
        <v>409202.21543659043</v>
      </c>
      <c r="O64" s="19">
        <f>+Tabla1[[#This Row],[PRECIO SUGERIDO INSTALADOR]]*5%</f>
        <v>14322.077540280665</v>
      </c>
      <c r="P64" s="19">
        <f>+Tabla1[[#This Row],[PRECIO SUGERIDO INSTALADOR]]-Tabla1[[#This Row],[Columna1]]</f>
        <v>272119.47326533264</v>
      </c>
      <c r="Q64" s="25">
        <f>Tabla1[[#This Row],[instalador sin IVA]]*1.19</f>
        <v>286441.55080561328</v>
      </c>
      <c r="R64" s="53">
        <v>221034.84375</v>
      </c>
      <c r="S64" s="52">
        <v>240707.18555093554</v>
      </c>
      <c r="T64" s="14" t="s">
        <v>0</v>
      </c>
      <c r="U64" s="13">
        <v>890467.65957446827</v>
      </c>
      <c r="V64" s="12"/>
    </row>
    <row r="65" spans="1:22" s="11" customFormat="1" ht="40.5">
      <c r="A65" s="49" t="s">
        <v>51</v>
      </c>
      <c r="B65" s="32" t="s">
        <v>49</v>
      </c>
      <c r="C65" s="19">
        <f>+Tabla1[[#This Row],[PRECIO SUGERIDO INSTALADOR]]</f>
        <v>211201.14345114346</v>
      </c>
      <c r="D65" s="19">
        <f>+Tabla1[[#This Row],[TIENDA]]</f>
        <v>200641.0862785863</v>
      </c>
      <c r="E65" s="19">
        <f>+Tabla1[[#This Row],[DPP ORO7]]</f>
        <v>193940.25000000003</v>
      </c>
      <c r="F65" s="23">
        <f>+Tabla1[[#This Row],[Columna4]]</f>
        <v>192000.84750000003</v>
      </c>
      <c r="G65" s="23">
        <f>+Tabla1[[#This Row],[CLIENTE FINAL]]</f>
        <v>301715.91921591928</v>
      </c>
      <c r="H65" s="23">
        <f t="shared" si="11"/>
        <v>39.587803608247427</v>
      </c>
      <c r="I65" s="23">
        <f t="shared" si="12"/>
        <v>192000.84750000003</v>
      </c>
      <c r="J65" s="22">
        <f t="shared" si="13"/>
        <v>1939.4025000000004</v>
      </c>
      <c r="K65" s="19">
        <f t="shared" si="14"/>
        <v>39.987680412371141</v>
      </c>
      <c r="L65" s="24">
        <f>Tabla1[[#This Row],[oro sin IVA]]*1.19</f>
        <v>193940.25000000003</v>
      </c>
      <c r="M65" s="19">
        <f t="shared" si="15"/>
        <v>43.546627515699683</v>
      </c>
      <c r="N65" s="19">
        <f>+Tabla1[[#This Row],[PRECIO SUGERIDO INSTALADOR]]/0.7</f>
        <v>301715.91921591928</v>
      </c>
      <c r="O65" s="19">
        <f>+Tabla1[[#This Row],[PRECIO SUGERIDO INSTALADOR]]*5%</f>
        <v>10560.057172557174</v>
      </c>
      <c r="P65" s="19">
        <f>+Tabla1[[#This Row],[PRECIO SUGERIDO INSTALADOR]]-Tabla1[[#This Row],[Columna1]]</f>
        <v>200641.0862785863</v>
      </c>
      <c r="Q65" s="25">
        <f>Tabla1[[#This Row],[instalador sin IVA]]*1.19</f>
        <v>211201.14345114346</v>
      </c>
      <c r="R65" s="53">
        <v>162975.00000000003</v>
      </c>
      <c r="S65" s="52">
        <v>177479.95247995251</v>
      </c>
      <c r="T65" s="14" t="s">
        <v>0</v>
      </c>
      <c r="U65" s="13">
        <v>728186.17021276616</v>
      </c>
      <c r="V65" s="12"/>
    </row>
    <row r="66" spans="1:22" s="11" customFormat="1" ht="40.5">
      <c r="A66" s="49" t="s">
        <v>50</v>
      </c>
      <c r="B66" s="32" t="s">
        <v>49</v>
      </c>
      <c r="C66" s="19">
        <f>+Tabla1[[#This Row],[PRECIO SUGERIDO INSTALADOR]]</f>
        <v>239361.29591129595</v>
      </c>
      <c r="D66" s="19">
        <f>+Tabla1[[#This Row],[TIENDA]]</f>
        <v>227393.23111573115</v>
      </c>
      <c r="E66" s="19">
        <f>+Tabla1[[#This Row],[DPP ORO7]]</f>
        <v>219798.95</v>
      </c>
      <c r="F66" s="23">
        <f>+Tabla1[[#This Row],[Columna4]]</f>
        <v>217600.96050000002</v>
      </c>
      <c r="G66" s="23">
        <f>+Tabla1[[#This Row],[CLIENTE FINAL]]</f>
        <v>341944.70844470855</v>
      </c>
      <c r="H66" s="31">
        <f t="shared" si="11"/>
        <v>44.866177422680416</v>
      </c>
      <c r="I66" s="31">
        <f t="shared" si="12"/>
        <v>217600.96050000002</v>
      </c>
      <c r="J66" s="22">
        <f t="shared" si="13"/>
        <v>2197.9895000000001</v>
      </c>
      <c r="K66" s="27">
        <f t="shared" si="14"/>
        <v>45.319371134020621</v>
      </c>
      <c r="L66" s="34">
        <f>Tabla1[[#This Row],[oro sin IVA]]*1.19</f>
        <v>219798.95</v>
      </c>
      <c r="M66" s="27">
        <f t="shared" si="15"/>
        <v>49.352844517792981</v>
      </c>
      <c r="N66" s="27">
        <f>+Tabla1[[#This Row],[PRECIO SUGERIDO INSTALADOR]]/0.7</f>
        <v>341944.70844470855</v>
      </c>
      <c r="O66" s="27">
        <f>+Tabla1[[#This Row],[PRECIO SUGERIDO INSTALADOR]]*5%</f>
        <v>11968.064795564798</v>
      </c>
      <c r="P66" s="27">
        <f>+Tabla1[[#This Row],[PRECIO SUGERIDO INSTALADOR]]-Tabla1[[#This Row],[Columna1]]</f>
        <v>227393.23111573115</v>
      </c>
      <c r="Q66" s="33">
        <f>Tabla1[[#This Row],[instalador sin IVA]]*1.19</f>
        <v>239361.29591129595</v>
      </c>
      <c r="R66" s="53">
        <v>184705.00000000003</v>
      </c>
      <c r="S66" s="52">
        <v>201143.94614394617</v>
      </c>
      <c r="T66" s="2">
        <v>336352</v>
      </c>
      <c r="U66" s="13">
        <v>364093.08510638308</v>
      </c>
      <c r="V66" s="12"/>
    </row>
    <row r="67" spans="1:22" s="11" customFormat="1" ht="67.5">
      <c r="A67" s="49" t="s">
        <v>48</v>
      </c>
      <c r="B67" s="32" t="s">
        <v>186</v>
      </c>
      <c r="C67" s="19">
        <f>+Tabla1[[#This Row],[PRECIO SUGERIDO INSTALADOR]]</f>
        <v>1280005.6499999999</v>
      </c>
      <c r="D67" s="19">
        <f>+Tabla1[[#This Row],[TIENDA]]</f>
        <v>1216005.3674999999</v>
      </c>
      <c r="E67" s="19">
        <f>+Tabla1[[#This Row],[DPP ORO7]]</f>
        <v>1163641.5000000002</v>
      </c>
      <c r="F67" s="23">
        <f>+Tabla1[[#This Row],[Columna4]]</f>
        <v>1152005.0850000002</v>
      </c>
      <c r="G67" s="23">
        <f>+Tabla1[[#This Row],[CLIENTE FINAL]]</f>
        <v>1828579.5</v>
      </c>
      <c r="H67" s="23">
        <f t="shared" si="11"/>
        <v>237.52682164948459</v>
      </c>
      <c r="I67" s="23">
        <f t="shared" si="12"/>
        <v>1152005.0850000002</v>
      </c>
      <c r="J67" s="22">
        <f t="shared" si="13"/>
        <v>11636.415000000003</v>
      </c>
      <c r="K67" s="19">
        <f t="shared" si="14"/>
        <v>239.92608247422686</v>
      </c>
      <c r="L67" s="24">
        <f>Tabla1[[#This Row],[oro sin IVA]]*1.19</f>
        <v>1163641.5000000002</v>
      </c>
      <c r="M67" s="19">
        <f t="shared" si="15"/>
        <v>263.91869072164945</v>
      </c>
      <c r="N67" s="19">
        <f>+Tabla1[[#This Row],[PRECIO SUGERIDO INSTALADOR]]/0.7</f>
        <v>1828579.5</v>
      </c>
      <c r="O67" s="19">
        <f>+Tabla1[[#This Row],[PRECIO SUGERIDO INSTALADOR]]*5%</f>
        <v>64000.282500000001</v>
      </c>
      <c r="P67" s="19">
        <f>+Tabla1[[#This Row],[PRECIO SUGERIDO INSTALADOR]]-Tabla1[[#This Row],[Columna1]]</f>
        <v>1216005.3674999999</v>
      </c>
      <c r="Q67" s="25">
        <f>Tabla1[[#This Row],[instalador sin IVA]]*1.19</f>
        <v>1280005.6499999999</v>
      </c>
      <c r="R67" s="53">
        <v>977850.00000000023</v>
      </c>
      <c r="S67" s="52">
        <v>1075635</v>
      </c>
      <c r="T67" s="14" t="s">
        <v>0</v>
      </c>
      <c r="U67" s="13">
        <v>339820.21276595752</v>
      </c>
      <c r="V67" s="12"/>
    </row>
    <row r="68" spans="1:22" s="11" customFormat="1" ht="67.5">
      <c r="A68" s="49" t="s">
        <v>47</v>
      </c>
      <c r="B68" s="32" t="s">
        <v>187</v>
      </c>
      <c r="C68" s="19">
        <f>+Tabla1[[#This Row],[PRECIO SUGERIDO INSTALADOR]]</f>
        <v>1018186.3125</v>
      </c>
      <c r="D68" s="19">
        <f>+Tabla1[[#This Row],[TIENDA]]</f>
        <v>967276.99687499995</v>
      </c>
      <c r="E68" s="19">
        <f>+Tabla1[[#This Row],[DPP ORO7]]</f>
        <v>925623.92045454553</v>
      </c>
      <c r="F68" s="23">
        <f>+Tabla1[[#This Row],[Columna4]]</f>
        <v>916367.68125000002</v>
      </c>
      <c r="G68" s="23">
        <f>+Tabla1[[#This Row],[CLIENTE FINAL]]</f>
        <v>1454551.875</v>
      </c>
      <c r="H68" s="23">
        <f t="shared" si="11"/>
        <v>188.94178994845362</v>
      </c>
      <c r="I68" s="23">
        <f t="shared" si="12"/>
        <v>916367.68125000002</v>
      </c>
      <c r="J68" s="22">
        <f t="shared" si="13"/>
        <v>9256.2392045454562</v>
      </c>
      <c r="K68" s="19">
        <f t="shared" si="14"/>
        <v>190.85029287722588</v>
      </c>
      <c r="L68" s="24">
        <f>Tabla1[[#This Row],[oro sin IVA]]*1.19</f>
        <v>925623.92045454553</v>
      </c>
      <c r="M68" s="19">
        <f t="shared" si="15"/>
        <v>209.93532216494845</v>
      </c>
      <c r="N68" s="19">
        <f>+Tabla1[[#This Row],[PRECIO SUGERIDO INSTALADOR]]/0.7</f>
        <v>1454551.875</v>
      </c>
      <c r="O68" s="19">
        <f>+Tabla1[[#This Row],[PRECIO SUGERIDO INSTALADOR]]*5%</f>
        <v>50909.315625000003</v>
      </c>
      <c r="P68" s="19">
        <f>+Tabla1[[#This Row],[PRECIO SUGERIDO INSTALADOR]]-Tabla1[[#This Row],[Columna1]]</f>
        <v>967276.99687499995</v>
      </c>
      <c r="Q68" s="25">
        <f>Tabla1[[#This Row],[instalador sin IVA]]*1.19</f>
        <v>1018186.3125</v>
      </c>
      <c r="R68" s="53">
        <v>777835.22727272741</v>
      </c>
      <c r="S68" s="52">
        <v>855618.75</v>
      </c>
      <c r="T68" s="14" t="s">
        <v>0</v>
      </c>
      <c r="U68" s="13">
        <v>267001.59574468085</v>
      </c>
      <c r="V68" s="12"/>
    </row>
    <row r="69" spans="1:22" s="11" customFormat="1" ht="54">
      <c r="A69" s="49" t="s">
        <v>46</v>
      </c>
      <c r="B69" s="32" t="s">
        <v>45</v>
      </c>
      <c r="C69" s="19">
        <f>+Tabla1[[#This Row],[PRECIO SUGERIDO INSTALADOR]]</f>
        <v>509093.15625</v>
      </c>
      <c r="D69" s="19">
        <f>+Tabla1[[#This Row],[TIENDA]]</f>
        <v>483638.49843749998</v>
      </c>
      <c r="E69" s="19">
        <f>+Tabla1[[#This Row],[DPP ORO7]]</f>
        <v>462811.96022727276</v>
      </c>
      <c r="F69" s="23">
        <f>+Tabla1[[#This Row],[Columna4]]</f>
        <v>458183.84062500001</v>
      </c>
      <c r="G69" s="23">
        <f>+Tabla1[[#This Row],[CLIENTE FINAL]]</f>
        <v>727275.9375</v>
      </c>
      <c r="H69" s="23">
        <f t="shared" si="11"/>
        <v>94.470894974226809</v>
      </c>
      <c r="I69" s="23">
        <f t="shared" si="12"/>
        <v>458183.84062500001</v>
      </c>
      <c r="J69" s="22">
        <f t="shared" si="13"/>
        <v>4628.1196022727281</v>
      </c>
      <c r="K69" s="19">
        <f t="shared" si="14"/>
        <v>95.425146438612941</v>
      </c>
      <c r="L69" s="24">
        <f>Tabla1[[#This Row],[oro sin IVA]]*1.19</f>
        <v>462811.96022727276</v>
      </c>
      <c r="M69" s="19">
        <f t="shared" si="15"/>
        <v>104.96766108247422</v>
      </c>
      <c r="N69" s="19">
        <f>+Tabla1[[#This Row],[PRECIO SUGERIDO INSTALADOR]]/0.7</f>
        <v>727275.9375</v>
      </c>
      <c r="O69" s="19">
        <f>+Tabla1[[#This Row],[PRECIO SUGERIDO INSTALADOR]]*5%</f>
        <v>25454.657812500001</v>
      </c>
      <c r="P69" s="19">
        <f>+Tabla1[[#This Row],[PRECIO SUGERIDO INSTALADOR]]-Tabla1[[#This Row],[Columna1]]</f>
        <v>483638.49843749998</v>
      </c>
      <c r="Q69" s="25">
        <f>Tabla1[[#This Row],[instalador sin IVA]]*1.19</f>
        <v>509093.15625</v>
      </c>
      <c r="R69" s="53">
        <v>388917.61363636371</v>
      </c>
      <c r="S69" s="52">
        <v>427809.375</v>
      </c>
      <c r="T69" s="14" t="s">
        <v>0</v>
      </c>
      <c r="U69" s="13">
        <v>315547.3404255319</v>
      </c>
      <c r="V69" s="12"/>
    </row>
    <row r="70" spans="1:22" s="11" customFormat="1" ht="54">
      <c r="A70" s="49" t="s">
        <v>42</v>
      </c>
      <c r="B70" s="32" t="s">
        <v>43</v>
      </c>
      <c r="C70" s="19">
        <f>+Tabla1[[#This Row],[PRECIO SUGERIDO INSTALADOR]]</f>
        <v>475153.61249999999</v>
      </c>
      <c r="D70" s="19">
        <f>+Tabla1[[#This Row],[TIENDA]]</f>
        <v>451395.93187500001</v>
      </c>
      <c r="E70" s="19">
        <f>+Tabla1[[#This Row],[DPP ORO7]]</f>
        <v>431957.82954545459</v>
      </c>
      <c r="F70" s="23">
        <f>+Tabla1[[#This Row],[Columna4]]</f>
        <v>427638.25125000003</v>
      </c>
      <c r="G70" s="23">
        <f>+Tabla1[[#This Row],[CLIENTE FINAL]]</f>
        <v>678790.875</v>
      </c>
      <c r="H70" s="23">
        <f t="shared" ref="H70:H90" si="16">+I70/$L$1</f>
        <v>88.172835309278355</v>
      </c>
      <c r="I70" s="23">
        <f t="shared" ref="I70:I90" si="17">+L70-J70</f>
        <v>427638.25125000003</v>
      </c>
      <c r="J70" s="22">
        <f t="shared" ref="J70:J90" si="18">+L70*1%</f>
        <v>4319.5782954545457</v>
      </c>
      <c r="K70" s="19">
        <f t="shared" ref="K70:K90" si="19">+L70/$L$1</f>
        <v>89.063470009372082</v>
      </c>
      <c r="L70" s="24">
        <f>Tabla1[[#This Row],[oro sin IVA]]*1.19</f>
        <v>431957.82954545459</v>
      </c>
      <c r="M70" s="19">
        <f t="shared" ref="M70:M90" si="20">+Q70/$L$1</f>
        <v>97.969817010309271</v>
      </c>
      <c r="N70" s="19">
        <f>+Tabla1[[#This Row],[PRECIO SUGERIDO INSTALADOR]]/0.7</f>
        <v>678790.875</v>
      </c>
      <c r="O70" s="19">
        <f>+Tabla1[[#This Row],[PRECIO SUGERIDO INSTALADOR]]*5%</f>
        <v>23757.680625000001</v>
      </c>
      <c r="P70" s="19">
        <f>+Tabla1[[#This Row],[PRECIO SUGERIDO INSTALADOR]]-Tabla1[[#This Row],[Columna1]]</f>
        <v>451395.93187500001</v>
      </c>
      <c r="Q70" s="25">
        <f>Tabla1[[#This Row],[instalador sin IVA]]*1.19</f>
        <v>475153.61249999999</v>
      </c>
      <c r="R70" s="53">
        <v>362989.77272727276</v>
      </c>
      <c r="S70" s="52">
        <v>399288.75</v>
      </c>
      <c r="T70" s="14" t="s">
        <v>0</v>
      </c>
      <c r="U70" s="13">
        <v>218455.85106382979</v>
      </c>
      <c r="V70" s="12"/>
    </row>
    <row r="71" spans="1:22" s="11" customFormat="1" ht="54">
      <c r="A71" s="49" t="s">
        <v>44</v>
      </c>
      <c r="B71" s="32" t="s">
        <v>41</v>
      </c>
      <c r="C71" s="19">
        <f>+Tabla1[[#This Row],[PRECIO SUGERIDO INSTALADOR]]</f>
        <v>373334.98125000001</v>
      </c>
      <c r="D71" s="19">
        <f>+Tabla1[[#This Row],[TIENDA]]</f>
        <v>354668.23218749999</v>
      </c>
      <c r="E71" s="19">
        <f>+Tabla1[[#This Row],[DPP ORO7]]</f>
        <v>339395.4375</v>
      </c>
      <c r="F71" s="23">
        <f>+Tabla1[[#This Row],[Columna4]]</f>
        <v>336001.48312500003</v>
      </c>
      <c r="G71" s="23">
        <f>+Tabla1[[#This Row],[CLIENTE FINAL]]</f>
        <v>533335.6875</v>
      </c>
      <c r="H71" s="23">
        <f t="shared" si="16"/>
        <v>69.278656314432993</v>
      </c>
      <c r="I71" s="23">
        <f t="shared" si="17"/>
        <v>336001.48312500003</v>
      </c>
      <c r="J71" s="22">
        <f t="shared" si="18"/>
        <v>3393.9543750000003</v>
      </c>
      <c r="K71" s="19">
        <f t="shared" si="19"/>
        <v>69.978440721649491</v>
      </c>
      <c r="L71" s="24">
        <f>Tabla1[[#This Row],[oro sin IVA]]*1.19</f>
        <v>339395.4375</v>
      </c>
      <c r="M71" s="19">
        <f t="shared" si="20"/>
        <v>76.976284793814429</v>
      </c>
      <c r="N71" s="19">
        <f>+Tabla1[[#This Row],[PRECIO SUGERIDO INSTALADOR]]/0.7</f>
        <v>533335.6875</v>
      </c>
      <c r="O71" s="19">
        <f>+Tabla1[[#This Row],[PRECIO SUGERIDO INSTALADOR]]*5%</f>
        <v>18666.749062500003</v>
      </c>
      <c r="P71" s="19">
        <f>+Tabla1[[#This Row],[PRECIO SUGERIDO INSTALADOR]]-Tabla1[[#This Row],[Columna1]]</f>
        <v>354668.23218749999</v>
      </c>
      <c r="Q71" s="25">
        <f>Tabla1[[#This Row],[instalador sin IVA]]*1.19</f>
        <v>373334.98125000001</v>
      </c>
      <c r="R71" s="53">
        <v>285206.25</v>
      </c>
      <c r="S71" s="52">
        <v>313726.875</v>
      </c>
      <c r="T71" s="14" t="s">
        <v>0</v>
      </c>
      <c r="U71" s="13">
        <v>27056.161702127669</v>
      </c>
      <c r="V71" s="12"/>
    </row>
    <row r="72" spans="1:22" s="11" customFormat="1" ht="54">
      <c r="A72" s="49" t="s">
        <v>40</v>
      </c>
      <c r="B72" s="32" t="s">
        <v>39</v>
      </c>
      <c r="C72" s="19">
        <f>+Tabla1[[#This Row],[PRECIO SUGERIDO INSTALADOR]]</f>
        <v>441214.06874999992</v>
      </c>
      <c r="D72" s="19">
        <f>+Tabla1[[#This Row],[TIENDA]]</f>
        <v>419153.36531249993</v>
      </c>
      <c r="E72" s="19">
        <f>+Tabla1[[#This Row],[DPP ORO7]]</f>
        <v>401103.69886363635</v>
      </c>
      <c r="F72" s="23">
        <f>+Tabla1[[#This Row],[Columna4]]</f>
        <v>397092.66187499999</v>
      </c>
      <c r="G72" s="23">
        <f>+Tabla1[[#This Row],[CLIENTE FINAL]]</f>
        <v>630305.81249999988</v>
      </c>
      <c r="H72" s="23">
        <f t="shared" si="16"/>
        <v>81.874775644329901</v>
      </c>
      <c r="I72" s="23">
        <f t="shared" si="17"/>
        <v>397092.66187499999</v>
      </c>
      <c r="J72" s="22">
        <f t="shared" si="18"/>
        <v>4011.0369886363637</v>
      </c>
      <c r="K72" s="19">
        <f t="shared" si="19"/>
        <v>82.701793580131209</v>
      </c>
      <c r="L72" s="24">
        <f>Tabla1[[#This Row],[oro sin IVA]]*1.19</f>
        <v>401103.69886363635</v>
      </c>
      <c r="M72" s="19">
        <f t="shared" si="20"/>
        <v>90.971972938144319</v>
      </c>
      <c r="N72" s="19">
        <f>+Tabla1[[#This Row],[PRECIO SUGERIDO INSTALADOR]]/0.7</f>
        <v>630305.81249999988</v>
      </c>
      <c r="O72" s="19">
        <f>+Tabla1[[#This Row],[PRECIO SUGERIDO INSTALADOR]]*5%</f>
        <v>22060.703437499997</v>
      </c>
      <c r="P72" s="19">
        <f>+Tabla1[[#This Row],[PRECIO SUGERIDO INSTALADOR]]-Tabla1[[#This Row],[Columna1]]</f>
        <v>419153.36531249993</v>
      </c>
      <c r="Q72" s="25">
        <f>Tabla1[[#This Row],[instalador sin IVA]]*1.19</f>
        <v>441214.06874999992</v>
      </c>
      <c r="R72" s="53">
        <v>337061.93181818182</v>
      </c>
      <c r="S72" s="52">
        <v>370768.12499999994</v>
      </c>
      <c r="T72" s="14" t="s">
        <v>0</v>
      </c>
      <c r="U72" s="13">
        <v>203429.78723404257</v>
      </c>
      <c r="V72" s="12"/>
    </row>
    <row r="73" spans="1:22" s="11" customFormat="1" ht="54">
      <c r="A73" s="49" t="s">
        <v>38</v>
      </c>
      <c r="B73" s="32" t="s">
        <v>37</v>
      </c>
      <c r="C73" s="19">
        <f>+Tabla1[[#This Row],[PRECIO SUGERIDO INSTALADOR]]</f>
        <v>305455.89374999993</v>
      </c>
      <c r="D73" s="19">
        <f>+Tabla1[[#This Row],[TIENDA]]</f>
        <v>290183.09906249994</v>
      </c>
      <c r="E73" s="19">
        <f>+Tabla1[[#This Row],[DPP ORO7]]</f>
        <v>277687.17613636359</v>
      </c>
      <c r="F73" s="23">
        <f>+Tabla1[[#This Row],[Columna4]]</f>
        <v>274910.30437499995</v>
      </c>
      <c r="G73" s="23">
        <f>+Tabla1[[#This Row],[CLIENTE FINAL]]</f>
        <v>436365.56249999994</v>
      </c>
      <c r="H73" s="23">
        <f t="shared" si="16"/>
        <v>56.682536984536071</v>
      </c>
      <c r="I73" s="23">
        <f t="shared" si="17"/>
        <v>274910.30437499995</v>
      </c>
      <c r="J73" s="22">
        <f t="shared" si="18"/>
        <v>2776.8717613636359</v>
      </c>
      <c r="K73" s="19">
        <f t="shared" si="19"/>
        <v>57.255087863167752</v>
      </c>
      <c r="L73" s="24">
        <f>Tabla1[[#This Row],[oro sin IVA]]*1.19</f>
        <v>277687.17613636359</v>
      </c>
      <c r="M73" s="19">
        <f t="shared" si="20"/>
        <v>62.980596649484525</v>
      </c>
      <c r="N73" s="19">
        <f>+Tabla1[[#This Row],[PRECIO SUGERIDO INSTALADOR]]/0.7</f>
        <v>436365.56249999994</v>
      </c>
      <c r="O73" s="19">
        <f>+Tabla1[[#This Row],[PRECIO SUGERIDO INSTALADOR]]*5%</f>
        <v>15272.794687499998</v>
      </c>
      <c r="P73" s="19">
        <f>+Tabla1[[#This Row],[PRECIO SUGERIDO INSTALADOR]]-Tabla1[[#This Row],[Columna1]]</f>
        <v>290183.09906249994</v>
      </c>
      <c r="Q73" s="25">
        <f>Tabla1[[#This Row],[instalador sin IVA]]*1.19</f>
        <v>305455.89374999993</v>
      </c>
      <c r="R73" s="53">
        <v>233350.56818181818</v>
      </c>
      <c r="S73" s="52">
        <v>256685.62499999997</v>
      </c>
      <c r="T73" s="14" t="s">
        <v>0</v>
      </c>
      <c r="U73" s="13">
        <v>258671.14595744686</v>
      </c>
      <c r="V73" s="12"/>
    </row>
    <row r="74" spans="1:22" s="11" customFormat="1" ht="27">
      <c r="A74" s="49" t="s">
        <v>36</v>
      </c>
      <c r="B74" s="32" t="s">
        <v>35</v>
      </c>
      <c r="C74" s="19">
        <f>+Tabla1[[#This Row],[PRECIO SUGERIDO INSTALADOR]]</f>
        <v>37453.002772002779</v>
      </c>
      <c r="D74" s="19">
        <f>+Tabla1[[#This Row],[TIENDA]]</f>
        <v>35580.352633402639</v>
      </c>
      <c r="E74" s="19">
        <f>+Tabla1[[#This Row],[DPP ORO7]]</f>
        <v>34392.071000000011</v>
      </c>
      <c r="F74" s="23">
        <f>+Tabla1[[#This Row],[Columna4]]</f>
        <v>34048.150290000012</v>
      </c>
      <c r="G74" s="23">
        <f>+Tabla1[[#This Row],[CLIENTE FINAL]]</f>
        <v>53504.289674289685</v>
      </c>
      <c r="H74" s="23">
        <f t="shared" si="16"/>
        <v>7.0202371731958788</v>
      </c>
      <c r="I74" s="23">
        <f t="shared" si="17"/>
        <v>34048.150290000012</v>
      </c>
      <c r="J74" s="22">
        <f t="shared" si="18"/>
        <v>343.9207100000001</v>
      </c>
      <c r="K74" s="19">
        <f t="shared" si="19"/>
        <v>7.0911486597938165</v>
      </c>
      <c r="L74" s="24">
        <f>Tabla1[[#This Row],[oro sin IVA]]*1.19</f>
        <v>34392.071000000011</v>
      </c>
      <c r="M74" s="19">
        <f t="shared" si="20"/>
        <v>7.7222686127840783</v>
      </c>
      <c r="N74" s="19">
        <f>+Tabla1[[#This Row],[PRECIO SUGERIDO INSTALADOR]]/0.7</f>
        <v>53504.289674289685</v>
      </c>
      <c r="O74" s="19">
        <f>+Tabla1[[#This Row],[PRECIO SUGERIDO INSTALADOR]]*5%</f>
        <v>1872.6501386001391</v>
      </c>
      <c r="P74" s="19">
        <f>+Tabla1[[#This Row],[PRECIO SUGERIDO INSTALADOR]]-Tabla1[[#This Row],[Columna1]]</f>
        <v>35580.352633402639</v>
      </c>
      <c r="Q74" s="25">
        <f>Tabla1[[#This Row],[instalador sin IVA]]*1.19</f>
        <v>37453.002772002779</v>
      </c>
      <c r="R74" s="53">
        <v>28900.900000000009</v>
      </c>
      <c r="S74" s="52">
        <v>31473.111573111582</v>
      </c>
      <c r="T74" s="14" t="s">
        <v>0</v>
      </c>
      <c r="U74" s="13">
        <v>287876.26595744683</v>
      </c>
      <c r="V74" s="12"/>
    </row>
    <row r="75" spans="1:22" s="11" customFormat="1" ht="67.5">
      <c r="A75" s="49" t="s">
        <v>34</v>
      </c>
      <c r="B75" s="32" t="s">
        <v>188</v>
      </c>
      <c r="C75" s="19">
        <f>+Tabla1[[#This Row],[PRECIO SUGERIDO INSTALADOR]]</f>
        <v>284445.7</v>
      </c>
      <c r="D75" s="19">
        <f>+Tabla1[[#This Row],[TIENDA]]</f>
        <v>270223.41500000004</v>
      </c>
      <c r="E75" s="19">
        <f>+Tabla1[[#This Row],[DPP ORO7]]</f>
        <v>258587</v>
      </c>
      <c r="F75" s="23">
        <f>+Tabla1[[#This Row],[Columna4]]</f>
        <v>256001.13</v>
      </c>
      <c r="G75" s="23">
        <f>+Tabla1[[#This Row],[CLIENTE FINAL]]</f>
        <v>406351.00000000006</v>
      </c>
      <c r="H75" s="31">
        <f t="shared" si="16"/>
        <v>52.783738144329895</v>
      </c>
      <c r="I75" s="31">
        <f t="shared" si="17"/>
        <v>256001.13</v>
      </c>
      <c r="J75" s="30">
        <f t="shared" si="18"/>
        <v>2585.87</v>
      </c>
      <c r="K75" s="27">
        <f t="shared" si="19"/>
        <v>53.316907216494847</v>
      </c>
      <c r="L75" s="28">
        <f>Tabla1[[#This Row],[oro sin IVA]]*1.19</f>
        <v>258587</v>
      </c>
      <c r="M75" s="27">
        <f t="shared" si="20"/>
        <v>58.648597938144334</v>
      </c>
      <c r="N75" s="27">
        <f>+Tabla1[[#This Row],[PRECIO SUGERIDO INSTALADOR]]/0.7</f>
        <v>406351.00000000006</v>
      </c>
      <c r="O75" s="27">
        <f>+Tabla1[[#This Row],[PRECIO SUGERIDO INSTALADOR]]*5%</f>
        <v>14222.285000000002</v>
      </c>
      <c r="P75" s="27">
        <f>+Tabla1[[#This Row],[PRECIO SUGERIDO INSTALADOR]]-Tabla1[[#This Row],[Columna1]]</f>
        <v>270223.41500000004</v>
      </c>
      <c r="Q75" s="29">
        <f>Tabla1[[#This Row],[instalador sin IVA]]*1.19</f>
        <v>284445.7</v>
      </c>
      <c r="R75" s="53">
        <v>217300</v>
      </c>
      <c r="S75" s="52">
        <v>239030</v>
      </c>
      <c r="T75" s="14" t="s">
        <v>0</v>
      </c>
      <c r="U75" s="13">
        <v>493486.91297872353</v>
      </c>
      <c r="V75" s="12"/>
    </row>
    <row r="76" spans="1:22" s="11" customFormat="1" ht="67.5">
      <c r="A76" s="49" t="s">
        <v>33</v>
      </c>
      <c r="B76" s="32" t="s">
        <v>32</v>
      </c>
      <c r="C76" s="19">
        <f>+Tabla1[[#This Row],[PRECIO SUGERIDO INSTALADOR]]</f>
        <v>361686.92983499996</v>
      </c>
      <c r="D76" s="19">
        <f>+Tabla1[[#This Row],[TIENDA]]</f>
        <v>343602.58334324998</v>
      </c>
      <c r="E76" s="19">
        <f>+Tabla1[[#This Row],[DPP ORO7]]</f>
        <v>328806.29985000007</v>
      </c>
      <c r="F76" s="23">
        <f>+Tabla1[[#This Row],[Columna4]]</f>
        <v>325518.23685150006</v>
      </c>
      <c r="G76" s="23">
        <f>+Tabla1[[#This Row],[CLIENTE FINAL]]</f>
        <v>516695.61404999997</v>
      </c>
      <c r="H76" s="23">
        <f t="shared" si="16"/>
        <v>67.11716223742269</v>
      </c>
      <c r="I76" s="23">
        <f t="shared" si="17"/>
        <v>325518.23685150006</v>
      </c>
      <c r="J76" s="22">
        <f t="shared" si="18"/>
        <v>3288.062998500001</v>
      </c>
      <c r="K76" s="19">
        <f t="shared" si="19"/>
        <v>67.795113371134036</v>
      </c>
      <c r="L76" s="24">
        <f>Tabla1[[#This Row],[oro sin IVA]]*1.19</f>
        <v>328806.29985000007</v>
      </c>
      <c r="M76" s="19">
        <f t="shared" si="20"/>
        <v>74.574624708247413</v>
      </c>
      <c r="N76" s="19">
        <f>+Tabla1[[#This Row],[PRECIO SUGERIDO INSTALADOR]]/0.7</f>
        <v>516695.61404999997</v>
      </c>
      <c r="O76" s="19">
        <f>+Tabla1[[#This Row],[PRECIO SUGERIDO INSTALADOR]]*5%</f>
        <v>18084.346491749999</v>
      </c>
      <c r="P76" s="19">
        <f>+Tabla1[[#This Row],[PRECIO SUGERIDO INSTALADOR]]-Tabla1[[#This Row],[Columna1]]</f>
        <v>343602.58334324998</v>
      </c>
      <c r="Q76" s="25">
        <f>Tabla1[[#This Row],[instalador sin IVA]]*1.19</f>
        <v>361686.92983499996</v>
      </c>
      <c r="R76" s="53">
        <v>276307.81500000006</v>
      </c>
      <c r="S76" s="52">
        <v>303938.59649999999</v>
      </c>
      <c r="T76" s="14" t="s">
        <v>0</v>
      </c>
      <c r="U76" s="13">
        <v>966291.48936170246</v>
      </c>
      <c r="V76" s="12"/>
    </row>
    <row r="77" spans="1:22" s="11" customFormat="1" ht="67.5">
      <c r="A77" s="49" t="s">
        <v>31</v>
      </c>
      <c r="B77" s="32" t="s">
        <v>30</v>
      </c>
      <c r="C77" s="19">
        <f>+Tabla1[[#This Row],[PRECIO SUGERIDO INSTALADOR]]</f>
        <v>402522.98887499998</v>
      </c>
      <c r="D77" s="19">
        <f>+Tabla1[[#This Row],[TIENDA]]</f>
        <v>382396.83943125</v>
      </c>
      <c r="E77" s="19">
        <f>+Tabla1[[#This Row],[DPP ORO7]]</f>
        <v>365929.98988636362</v>
      </c>
      <c r="F77" s="23">
        <f>+Tabla1[[#This Row],[Columna4]]</f>
        <v>362270.68998749997</v>
      </c>
      <c r="G77" s="23">
        <f>+Tabla1[[#This Row],[CLIENTE FINAL]]</f>
        <v>575032.84125000006</v>
      </c>
      <c r="H77" s="23">
        <f t="shared" si="16"/>
        <v>74.694987626288651</v>
      </c>
      <c r="I77" s="23">
        <f t="shared" si="17"/>
        <v>362270.68998749997</v>
      </c>
      <c r="J77" s="22">
        <f t="shared" si="18"/>
        <v>3659.2998988636364</v>
      </c>
      <c r="K77" s="19">
        <f t="shared" si="19"/>
        <v>75.449482450796623</v>
      </c>
      <c r="L77" s="24">
        <f>Tabla1[[#This Row],[oro sin IVA]]*1.19</f>
        <v>365929.98988636362</v>
      </c>
      <c r="M77" s="19">
        <f t="shared" si="20"/>
        <v>82.994430695876289</v>
      </c>
      <c r="N77" s="19">
        <f>+Tabla1[[#This Row],[PRECIO SUGERIDO INSTALADOR]]/0.7</f>
        <v>575032.84125000006</v>
      </c>
      <c r="O77" s="19">
        <f>+Tabla1[[#This Row],[PRECIO SUGERIDO INSTALADOR]]*5%</f>
        <v>20126.149443750001</v>
      </c>
      <c r="P77" s="19">
        <f>+Tabla1[[#This Row],[PRECIO SUGERIDO INSTALADOR]]-Tabla1[[#This Row],[Columna1]]</f>
        <v>382396.83943125</v>
      </c>
      <c r="Q77" s="25">
        <f>Tabla1[[#This Row],[instalador sin IVA]]*1.19</f>
        <v>402522.98887499998</v>
      </c>
      <c r="R77" s="53">
        <v>307504.19318181818</v>
      </c>
      <c r="S77" s="52">
        <v>338254.61249999999</v>
      </c>
      <c r="T77" s="14" t="s">
        <v>0</v>
      </c>
      <c r="U77" s="13">
        <v>383465.14893617027</v>
      </c>
      <c r="V77" s="12"/>
    </row>
    <row r="78" spans="1:22" s="11" customFormat="1" ht="81">
      <c r="A78" s="49" t="s">
        <v>29</v>
      </c>
      <c r="B78" s="32" t="s">
        <v>28</v>
      </c>
      <c r="C78" s="19">
        <f>+Tabla1[[#This Row],[PRECIO SUGERIDO INSTALADOR]]</f>
        <v>690018.07607250009</v>
      </c>
      <c r="D78" s="19">
        <f>+Tabla1[[#This Row],[TIENDA]]</f>
        <v>655517.17226887506</v>
      </c>
      <c r="E78" s="19">
        <f>+Tabla1[[#This Row],[DPP ORO7]]</f>
        <v>627289.16006590915</v>
      </c>
      <c r="F78" s="23">
        <f>+Tabla1[[#This Row],[Columna4]]</f>
        <v>621016.26846525003</v>
      </c>
      <c r="G78" s="23">
        <f>+Tabla1[[#This Row],[CLIENTE FINAL]]</f>
        <v>985740.10867500014</v>
      </c>
      <c r="H78" s="23">
        <f t="shared" si="16"/>
        <v>128.04459143613403</v>
      </c>
      <c r="I78" s="23">
        <f t="shared" si="17"/>
        <v>621016.26846525003</v>
      </c>
      <c r="J78" s="22">
        <f t="shared" si="18"/>
        <v>6272.8916006590916</v>
      </c>
      <c r="K78" s="19">
        <f t="shared" si="19"/>
        <v>129.33797114761015</v>
      </c>
      <c r="L78" s="24">
        <f>Tabla1[[#This Row],[oro sin IVA]]*1.19</f>
        <v>627289.16006590915</v>
      </c>
      <c r="M78" s="19">
        <f t="shared" si="20"/>
        <v>142.27176826237115</v>
      </c>
      <c r="N78" s="19">
        <f>+Tabla1[[#This Row],[PRECIO SUGERIDO INSTALADOR]]/0.7</f>
        <v>985740.10867500014</v>
      </c>
      <c r="O78" s="19">
        <f>+Tabla1[[#This Row],[PRECIO SUGERIDO INSTALADOR]]*5%</f>
        <v>34500.903803625006</v>
      </c>
      <c r="P78" s="19">
        <f>+Tabla1[[#This Row],[PRECIO SUGERIDO INSTALADOR]]-Tabla1[[#This Row],[Columna1]]</f>
        <v>655517.17226887506</v>
      </c>
      <c r="Q78" s="25">
        <f>Tabla1[[#This Row],[instalador sin IVA]]*1.19</f>
        <v>690018.07607250009</v>
      </c>
      <c r="R78" s="53">
        <v>527133.74795454554</v>
      </c>
      <c r="S78" s="52">
        <v>579847.1227500001</v>
      </c>
      <c r="T78" s="14" t="s">
        <v>0</v>
      </c>
      <c r="U78" s="13">
        <v>317859.04255319148</v>
      </c>
      <c r="V78" s="12"/>
    </row>
    <row r="79" spans="1:22" s="11" customFormat="1" ht="108">
      <c r="A79" s="49" t="s">
        <v>27</v>
      </c>
      <c r="B79" s="32" t="s">
        <v>189</v>
      </c>
      <c r="C79" s="19">
        <f>+Tabla1[[#This Row],[PRECIO SUGERIDO INSTALADOR]]</f>
        <v>1351117.0750000002</v>
      </c>
      <c r="D79" s="19">
        <f>+Tabla1[[#This Row],[TIENDA]]</f>
        <v>1283561.2212500002</v>
      </c>
      <c r="E79" s="26">
        <f>+Tabla1[[#This Row],[DPP ORO7]]</f>
        <v>1228288.2500000002</v>
      </c>
      <c r="F79" s="23">
        <f>+Tabla1[[#This Row],[Columna4]]</f>
        <v>1216005.3675000002</v>
      </c>
      <c r="G79" s="26">
        <f>+Tabla1[[#This Row],[CLIENTE FINAL]]</f>
        <v>1930167.2500000005</v>
      </c>
      <c r="H79" s="26">
        <f t="shared" si="16"/>
        <v>250.72275618556705</v>
      </c>
      <c r="I79" s="26">
        <f t="shared" si="17"/>
        <v>1216005.3675000002</v>
      </c>
      <c r="J79" s="26">
        <f t="shared" si="18"/>
        <v>12282.882500000003</v>
      </c>
      <c r="K79" s="19">
        <f t="shared" si="19"/>
        <v>253.25530927835055</v>
      </c>
      <c r="L79" s="21">
        <f>Tabla1[[#This Row],[oro sin IVA]]*1.19</f>
        <v>1228288.2500000002</v>
      </c>
      <c r="M79" s="19">
        <f t="shared" si="20"/>
        <v>278.5808402061856</v>
      </c>
      <c r="N79" s="19">
        <f>+Tabla1[[#This Row],[PRECIO SUGERIDO INSTALADOR]]/0.7</f>
        <v>1930167.2500000005</v>
      </c>
      <c r="O79" s="19">
        <f>+Tabla1[[#This Row],[PRECIO SUGERIDO INSTALADOR]]*5%</f>
        <v>67555.853750000009</v>
      </c>
      <c r="P79" s="19">
        <f>+Tabla1[[#This Row],[PRECIO SUGERIDO INSTALADOR]]-Tabla1[[#This Row],[Columna1]]</f>
        <v>1283561.2212500002</v>
      </c>
      <c r="Q79" s="20">
        <f>Tabla1[[#This Row],[instalador sin IVA]]*1.19</f>
        <v>1351117.0750000002</v>
      </c>
      <c r="R79" s="53">
        <v>1032175.0000000002</v>
      </c>
      <c r="S79" s="52">
        <v>1135392.5000000002</v>
      </c>
      <c r="T79" s="14"/>
      <c r="U79" s="13">
        <v>65917</v>
      </c>
      <c r="V79" s="12"/>
    </row>
    <row r="80" spans="1:22" s="11" customFormat="1" ht="67.5">
      <c r="A80" s="49" t="s">
        <v>26</v>
      </c>
      <c r="B80" s="32" t="s">
        <v>25</v>
      </c>
      <c r="C80" s="19">
        <f>+Tabla1[[#This Row],[PRECIO SUGERIDO INSTALADOR]]</f>
        <v>536180.14450000005</v>
      </c>
      <c r="D80" s="19">
        <f>+Tabla1[[#This Row],[TIENDA]]</f>
        <v>509371.13727500004</v>
      </c>
      <c r="E80" s="19">
        <f>+Tabla1[[#This Row],[DPP ORO7]]</f>
        <v>487436.49500000005</v>
      </c>
      <c r="F80" s="23">
        <f>+Tabla1[[#This Row],[Columna4]]</f>
        <v>482562.13005000004</v>
      </c>
      <c r="G80" s="23">
        <f>+Tabla1[[#This Row],[CLIENTE FINAL]]</f>
        <v>765971.63500000013</v>
      </c>
      <c r="H80" s="23">
        <f t="shared" si="16"/>
        <v>99.497346402061865</v>
      </c>
      <c r="I80" s="23">
        <f t="shared" si="17"/>
        <v>482562.13005000004</v>
      </c>
      <c r="J80" s="22">
        <f t="shared" si="18"/>
        <v>4874.364950000001</v>
      </c>
      <c r="K80" s="19">
        <f t="shared" si="19"/>
        <v>100.5023701030928</v>
      </c>
      <c r="L80" s="24">
        <f>Tabla1[[#This Row],[oro sin IVA]]*1.19</f>
        <v>487436.49500000005</v>
      </c>
      <c r="M80" s="19">
        <f t="shared" si="20"/>
        <v>110.55260711340208</v>
      </c>
      <c r="N80" s="19">
        <f>+Tabla1[[#This Row],[PRECIO SUGERIDO INSTALADOR]]/0.7</f>
        <v>765971.63500000013</v>
      </c>
      <c r="O80" s="19">
        <f>+Tabla1[[#This Row],[PRECIO SUGERIDO INSTALADOR]]*5%</f>
        <v>26809.007225000005</v>
      </c>
      <c r="P80" s="19">
        <f>+Tabla1[[#This Row],[PRECIO SUGERIDO INSTALADOR]]-Tabla1[[#This Row],[Columna1]]</f>
        <v>509371.13727500004</v>
      </c>
      <c r="Q80" s="25">
        <f>Tabla1[[#This Row],[instalador sin IVA]]*1.19</f>
        <v>536180.14450000005</v>
      </c>
      <c r="R80" s="53">
        <v>409610.50000000006</v>
      </c>
      <c r="S80" s="52">
        <v>450571.55000000005</v>
      </c>
      <c r="T80" s="14" t="s">
        <v>0</v>
      </c>
      <c r="U80" s="13">
        <v>228858.51063829794</v>
      </c>
      <c r="V80" s="12"/>
    </row>
    <row r="81" spans="1:22" s="11" customFormat="1" ht="67.5">
      <c r="A81" s="49" t="s">
        <v>24</v>
      </c>
      <c r="B81" s="32" t="s">
        <v>23</v>
      </c>
      <c r="C81" s="19">
        <f>+Tabla1[[#This Row],[PRECIO SUGERIDO INSTALADOR]]</f>
        <v>91322.670424462936</v>
      </c>
      <c r="D81" s="19">
        <f>+Tabla1[[#This Row],[TIENDA]]</f>
        <v>86756.536903239787</v>
      </c>
      <c r="E81" s="19">
        <f>+Tabla1[[#This Row],[DPP ORO7]]</f>
        <v>83859.117632500012</v>
      </c>
      <c r="F81" s="23">
        <f>+Tabla1[[#This Row],[Columna4]]</f>
        <v>83020.526456175008</v>
      </c>
      <c r="G81" s="23">
        <f>+Tabla1[[#This Row],[CLIENTE FINAL]]</f>
        <v>130460.95774923278</v>
      </c>
      <c r="H81" s="23">
        <f t="shared" si="16"/>
        <v>17.117634320860827</v>
      </c>
      <c r="I81" s="23">
        <f t="shared" si="17"/>
        <v>83020.526456175008</v>
      </c>
      <c r="J81" s="22">
        <f t="shared" si="18"/>
        <v>838.59117632500011</v>
      </c>
      <c r="K81" s="19">
        <f t="shared" si="19"/>
        <v>17.290539718041238</v>
      </c>
      <c r="L81" s="24">
        <f>Tabla1[[#This Row],[oro sin IVA]]*1.19</f>
        <v>83859.117632500012</v>
      </c>
      <c r="M81" s="19">
        <f t="shared" si="20"/>
        <v>18.829416582363493</v>
      </c>
      <c r="N81" s="19">
        <f>+Tabla1[[#This Row],[PRECIO SUGERIDO INSTALADOR]]/0.7</f>
        <v>130460.95774923278</v>
      </c>
      <c r="O81" s="19">
        <f>+Tabla1[[#This Row],[PRECIO SUGERIDO INSTALADOR]]*5%</f>
        <v>4566.133521223147</v>
      </c>
      <c r="P81" s="19">
        <f>+Tabla1[[#This Row],[PRECIO SUGERIDO INSTALADOR]]-Tabla1[[#This Row],[Columna1]]</f>
        <v>86756.536903239787</v>
      </c>
      <c r="Q81" s="25">
        <f>Tabla1[[#This Row],[instalador sin IVA]]*1.19</f>
        <v>91322.670424462936</v>
      </c>
      <c r="R81" s="53">
        <v>70469.846750000012</v>
      </c>
      <c r="S81" s="52">
        <v>76741.73985248986</v>
      </c>
      <c r="T81" s="14" t="s">
        <v>0</v>
      </c>
      <c r="U81" s="13">
        <v>270561.61702127667</v>
      </c>
      <c r="V81" s="12"/>
    </row>
    <row r="82" spans="1:22" s="11" customFormat="1" ht="67.5">
      <c r="A82" s="49" t="s">
        <v>22</v>
      </c>
      <c r="B82" s="32" t="s">
        <v>21</v>
      </c>
      <c r="C82" s="19">
        <f>+Tabla1[[#This Row],[PRECIO SUGERIDO INSTALADOR]]</f>
        <v>316801.71517671522</v>
      </c>
      <c r="D82" s="19">
        <f>+Tabla1[[#This Row],[TIENDA]]</f>
        <v>300961.62941787945</v>
      </c>
      <c r="E82" s="19">
        <f>+Tabla1[[#This Row],[DPP ORO7]]</f>
        <v>290910.37500000006</v>
      </c>
      <c r="F82" s="23">
        <f>+Tabla1[[#This Row],[Columna4]]</f>
        <v>288001.27125000005</v>
      </c>
      <c r="G82" s="23">
        <f>+Tabla1[[#This Row],[CLIENTE FINAL]]</f>
        <v>452573.87882387894</v>
      </c>
      <c r="H82" s="23">
        <f t="shared" si="16"/>
        <v>59.381705412371147</v>
      </c>
      <c r="I82" s="23">
        <f t="shared" si="17"/>
        <v>288001.27125000005</v>
      </c>
      <c r="J82" s="22">
        <f t="shared" si="18"/>
        <v>2909.1037500000007</v>
      </c>
      <c r="K82" s="19">
        <f t="shared" si="19"/>
        <v>59.981520618556715</v>
      </c>
      <c r="L82" s="24">
        <f>Tabla1[[#This Row],[oro sin IVA]]*1.19</f>
        <v>290910.37500000006</v>
      </c>
      <c r="M82" s="19">
        <f t="shared" si="20"/>
        <v>65.319941273549532</v>
      </c>
      <c r="N82" s="19">
        <f>+Tabla1[[#This Row],[PRECIO SUGERIDO INSTALADOR]]/0.7</f>
        <v>452573.87882387894</v>
      </c>
      <c r="O82" s="19">
        <f>+Tabla1[[#This Row],[PRECIO SUGERIDO INSTALADOR]]*5%</f>
        <v>15840.085758835761</v>
      </c>
      <c r="P82" s="19">
        <f>+Tabla1[[#This Row],[PRECIO SUGERIDO INSTALADOR]]-Tabla1[[#This Row],[Columna1]]</f>
        <v>300961.62941787945</v>
      </c>
      <c r="Q82" s="25">
        <f>Tabla1[[#This Row],[instalador sin IVA]]*1.19</f>
        <v>316801.71517671522</v>
      </c>
      <c r="R82" s="53">
        <v>244462.50000000006</v>
      </c>
      <c r="S82" s="52">
        <v>266219.92871992878</v>
      </c>
      <c r="T82" s="14" t="s">
        <v>0</v>
      </c>
      <c r="U82" s="13">
        <v>45771.702127659584</v>
      </c>
      <c r="V82" s="12"/>
    </row>
    <row r="83" spans="1:22" s="11" customFormat="1" ht="54">
      <c r="A83" s="49" t="s">
        <v>20</v>
      </c>
      <c r="B83" s="32" t="s">
        <v>19</v>
      </c>
      <c r="C83" s="19">
        <f>+Tabla1[[#This Row],[PRECIO SUGERIDO INSTALADOR]]</f>
        <v>374530.02772002778</v>
      </c>
      <c r="D83" s="19">
        <f>+Tabla1[[#This Row],[TIENDA]]</f>
        <v>355803.52633402636</v>
      </c>
      <c r="E83" s="19">
        <f>+Tabla1[[#This Row],[DPP ORO7]]</f>
        <v>343920.71000000008</v>
      </c>
      <c r="F83" s="23">
        <f>+Tabla1[[#This Row],[Columna4]]</f>
        <v>340481.50290000008</v>
      </c>
      <c r="G83" s="23">
        <f>+Tabla1[[#This Row],[CLIENTE FINAL]]</f>
        <v>535042.89674289688</v>
      </c>
      <c r="H83" s="23">
        <f t="shared" si="16"/>
        <v>70.202371731958777</v>
      </c>
      <c r="I83" s="23">
        <f t="shared" si="17"/>
        <v>340481.50290000008</v>
      </c>
      <c r="J83" s="22">
        <f t="shared" si="18"/>
        <v>3439.207100000001</v>
      </c>
      <c r="K83" s="19">
        <f t="shared" si="19"/>
        <v>70.911486597938165</v>
      </c>
      <c r="L83" s="24">
        <f>Tabla1[[#This Row],[oro sin IVA]]*1.19</f>
        <v>343920.71000000008</v>
      </c>
      <c r="M83" s="19">
        <f t="shared" si="20"/>
        <v>77.222686127840774</v>
      </c>
      <c r="N83" s="19">
        <f>+Tabla1[[#This Row],[PRECIO SUGERIDO INSTALADOR]]/0.7</f>
        <v>535042.89674289688</v>
      </c>
      <c r="O83" s="19">
        <f>+Tabla1[[#This Row],[PRECIO SUGERIDO INSTALADOR]]*5%</f>
        <v>18726.50138600139</v>
      </c>
      <c r="P83" s="19">
        <f>+Tabla1[[#This Row],[PRECIO SUGERIDO INSTALADOR]]-Tabla1[[#This Row],[Columna1]]</f>
        <v>355803.52633402636</v>
      </c>
      <c r="Q83" s="25">
        <f>Tabla1[[#This Row],[instalador sin IVA]]*1.19</f>
        <v>374530.02772002778</v>
      </c>
      <c r="R83" s="53">
        <v>289009.00000000006</v>
      </c>
      <c r="S83" s="52">
        <v>314731.1157311158</v>
      </c>
      <c r="T83" s="14" t="s">
        <v>0</v>
      </c>
      <c r="U83" s="13">
        <v>35600.212765957454</v>
      </c>
      <c r="V83" s="12"/>
    </row>
    <row r="84" spans="1:22" s="11" customFormat="1" ht="40.5">
      <c r="A84" s="49" t="s">
        <v>18</v>
      </c>
      <c r="B84" s="32" t="s">
        <v>17</v>
      </c>
      <c r="C84" s="19">
        <f>+Tabla1[[#This Row],[PRECIO SUGERIDO INSTALADOR]]</f>
        <v>63360.343035343045</v>
      </c>
      <c r="D84" s="19">
        <f>+Tabla1[[#This Row],[TIENDA]]</f>
        <v>60192.32588357589</v>
      </c>
      <c r="E84" s="19">
        <f>+Tabla1[[#This Row],[DPP ORO7]]</f>
        <v>58182.075000000004</v>
      </c>
      <c r="F84" s="23">
        <f>+Tabla1[[#This Row],[Columna4]]</f>
        <v>57600.254250000005</v>
      </c>
      <c r="G84" s="23">
        <f>+Tabla1[[#This Row],[CLIENTE FINAL]]</f>
        <v>90514.775764775783</v>
      </c>
      <c r="H84" s="23">
        <f t="shared" si="16"/>
        <v>11.876341082474228</v>
      </c>
      <c r="I84" s="23">
        <f t="shared" si="17"/>
        <v>57600.254250000005</v>
      </c>
      <c r="J84" s="22">
        <f t="shared" si="18"/>
        <v>581.82075000000009</v>
      </c>
      <c r="K84" s="19">
        <f t="shared" si="19"/>
        <v>11.996304123711342</v>
      </c>
      <c r="L84" s="24">
        <f>Tabla1[[#This Row],[oro sin IVA]]*1.19</f>
        <v>58182.075000000004</v>
      </c>
      <c r="M84" s="19">
        <f t="shared" si="20"/>
        <v>13.063988254709907</v>
      </c>
      <c r="N84" s="19">
        <f>+Tabla1[[#This Row],[PRECIO SUGERIDO INSTALADOR]]/0.7</f>
        <v>90514.775764775783</v>
      </c>
      <c r="O84" s="19">
        <f>+Tabla1[[#This Row],[PRECIO SUGERIDO INSTALADOR]]*5%</f>
        <v>3168.0171517671524</v>
      </c>
      <c r="P84" s="19">
        <f>+Tabla1[[#This Row],[PRECIO SUGERIDO INSTALADOR]]-Tabla1[[#This Row],[Columna1]]</f>
        <v>60192.32588357589</v>
      </c>
      <c r="Q84" s="25">
        <f>Tabla1[[#This Row],[instalador sin IVA]]*1.19</f>
        <v>63360.343035343045</v>
      </c>
      <c r="R84" s="53">
        <v>48892.500000000007</v>
      </c>
      <c r="S84" s="52">
        <v>53243.985743985751</v>
      </c>
      <c r="T84" s="14" t="s">
        <v>0</v>
      </c>
      <c r="U84" s="13">
        <v>40685.957446808519</v>
      </c>
      <c r="V84" s="12"/>
    </row>
    <row r="85" spans="1:22" s="11" customFormat="1" ht="67.5">
      <c r="A85" s="49" t="s">
        <v>16</v>
      </c>
      <c r="B85" s="32" t="s">
        <v>15</v>
      </c>
      <c r="C85" s="19">
        <f>+Tabla1[[#This Row],[PRECIO SUGERIDO INSTALADOR]]</f>
        <v>49280.266805266809</v>
      </c>
      <c r="D85" s="19">
        <f>+Tabla1[[#This Row],[TIENDA]]</f>
        <v>46816.253465003465</v>
      </c>
      <c r="E85" s="19">
        <f>+Tabla1[[#This Row],[DPP ORO7]]</f>
        <v>45252.725000000006</v>
      </c>
      <c r="F85" s="23">
        <f>+Tabla1[[#This Row],[Columna4]]</f>
        <v>44800.197750000007</v>
      </c>
      <c r="G85" s="23">
        <f>+Tabla1[[#This Row],[CLIENTE FINAL]]</f>
        <v>70400.381150381159</v>
      </c>
      <c r="H85" s="23">
        <f t="shared" si="16"/>
        <v>9.237154175257734</v>
      </c>
      <c r="I85" s="23">
        <f t="shared" si="17"/>
        <v>44800.197750000007</v>
      </c>
      <c r="J85" s="22">
        <f t="shared" si="18"/>
        <v>452.52725000000009</v>
      </c>
      <c r="K85" s="19">
        <f t="shared" si="19"/>
        <v>9.3304587628865985</v>
      </c>
      <c r="L85" s="24">
        <f>Tabla1[[#This Row],[oro sin IVA]]*1.19</f>
        <v>45252.725000000006</v>
      </c>
      <c r="M85" s="19">
        <f t="shared" si="20"/>
        <v>10.160879753663259</v>
      </c>
      <c r="N85" s="19">
        <f>+Tabla1[[#This Row],[PRECIO SUGERIDO INSTALADOR]]/0.7</f>
        <v>70400.381150381159</v>
      </c>
      <c r="O85" s="19">
        <f>+Tabla1[[#This Row],[PRECIO SUGERIDO INSTALADOR]]*5%</f>
        <v>2464.0133402633405</v>
      </c>
      <c r="P85" s="19">
        <f>+Tabla1[[#This Row],[PRECIO SUGERIDO INSTALADOR]]-Tabla1[[#This Row],[Columna1]]</f>
        <v>46816.253465003465</v>
      </c>
      <c r="Q85" s="25">
        <f>Tabla1[[#This Row],[instalador sin IVA]]*1.19</f>
        <v>49280.266805266809</v>
      </c>
      <c r="R85" s="53">
        <v>38027.500000000007</v>
      </c>
      <c r="S85" s="52">
        <v>41411.988911988919</v>
      </c>
      <c r="T85" s="14" t="s">
        <v>0</v>
      </c>
      <c r="U85" s="13">
        <v>35600.212765957454</v>
      </c>
      <c r="V85" s="12"/>
    </row>
    <row r="86" spans="1:22" s="11" customFormat="1" ht="81">
      <c r="A86" s="49" t="s">
        <v>14</v>
      </c>
      <c r="B86" s="32" t="s">
        <v>13</v>
      </c>
      <c r="C86" s="19">
        <f>+Tabla1[[#This Row],[PRECIO SUGERIDO INSTALADOR]]</f>
        <v>56320.304920304916</v>
      </c>
      <c r="D86" s="19">
        <f>+Tabla1[[#This Row],[TIENDA]]</f>
        <v>53504.28967428967</v>
      </c>
      <c r="E86" s="19">
        <f>+Tabla1[[#This Row],[DPP ORO7]]</f>
        <v>51717.399999999994</v>
      </c>
      <c r="F86" s="23">
        <f>+Tabla1[[#This Row],[Columna4]]</f>
        <v>51200.225999999995</v>
      </c>
      <c r="G86" s="23">
        <f>+Tabla1[[#This Row],[CLIENTE FINAL]]</f>
        <v>80457.578457578449</v>
      </c>
      <c r="H86" s="23">
        <f t="shared" si="16"/>
        <v>10.556747628865978</v>
      </c>
      <c r="I86" s="23">
        <f t="shared" si="17"/>
        <v>51200.225999999995</v>
      </c>
      <c r="J86" s="22">
        <f t="shared" si="18"/>
        <v>517.17399999999998</v>
      </c>
      <c r="K86" s="19">
        <f t="shared" si="19"/>
        <v>10.663381443298968</v>
      </c>
      <c r="L86" s="21">
        <f>Tabla1[[#This Row],[oro sin IVA]]*1.19</f>
        <v>51717.399999999994</v>
      </c>
      <c r="M86" s="19">
        <f t="shared" si="20"/>
        <v>11.61243400418658</v>
      </c>
      <c r="N86" s="19">
        <f>+Tabla1[[#This Row],[PRECIO SUGERIDO INSTALADOR]]/0.7</f>
        <v>80457.578457578449</v>
      </c>
      <c r="O86" s="19">
        <f>+Tabla1[[#This Row],[PRECIO SUGERIDO INSTALADOR]]*5%</f>
        <v>2816.0152460152458</v>
      </c>
      <c r="P86" s="19">
        <f>+Tabla1[[#This Row],[PRECIO SUGERIDO INSTALADOR]]-Tabla1[[#This Row],[Columna1]]</f>
        <v>53504.28967428967</v>
      </c>
      <c r="Q86" s="20">
        <f>Tabla1[[#This Row],[instalador sin IVA]]*1.19</f>
        <v>56320.304920304916</v>
      </c>
      <c r="R86" s="53">
        <v>43460</v>
      </c>
      <c r="S86" s="52">
        <v>47327.987327987328</v>
      </c>
      <c r="T86" s="14" t="s">
        <v>0</v>
      </c>
      <c r="U86" s="13">
        <v>61028.936170212779</v>
      </c>
      <c r="V86" s="12"/>
    </row>
    <row r="87" spans="1:22" s="11" customFormat="1" ht="81">
      <c r="A87" s="49" t="s">
        <v>12</v>
      </c>
      <c r="B87" s="32" t="s">
        <v>11</v>
      </c>
      <c r="C87" s="19">
        <f>+Tabla1[[#This Row],[PRECIO SUGERIDO INSTALADOR]]</f>
        <v>49280.266805266809</v>
      </c>
      <c r="D87" s="19">
        <f>+Tabla1[[#This Row],[TIENDA]]</f>
        <v>46816.253465003465</v>
      </c>
      <c r="E87" s="19">
        <f>+Tabla1[[#This Row],[DPP ORO7]]</f>
        <v>45252.725000000006</v>
      </c>
      <c r="F87" s="23">
        <f>+Tabla1[[#This Row],[Columna4]]</f>
        <v>44800.197750000007</v>
      </c>
      <c r="G87" s="23">
        <f>+Tabla1[[#This Row],[CLIENTE FINAL]]</f>
        <v>70400.381150381159</v>
      </c>
      <c r="H87" s="23">
        <f t="shared" si="16"/>
        <v>9.237154175257734</v>
      </c>
      <c r="I87" s="23">
        <f t="shared" si="17"/>
        <v>44800.197750000007</v>
      </c>
      <c r="J87" s="22">
        <f t="shared" si="18"/>
        <v>452.52725000000009</v>
      </c>
      <c r="K87" s="19">
        <f t="shared" si="19"/>
        <v>9.3304587628865985</v>
      </c>
      <c r="L87" s="21">
        <f>Tabla1[[#This Row],[oro sin IVA]]*1.19</f>
        <v>45252.725000000006</v>
      </c>
      <c r="M87" s="19">
        <f t="shared" si="20"/>
        <v>10.160879753663259</v>
      </c>
      <c r="N87" s="19">
        <f>+Tabla1[[#This Row],[PRECIO SUGERIDO INSTALADOR]]/0.7</f>
        <v>70400.381150381159</v>
      </c>
      <c r="O87" s="19">
        <f>+Tabla1[[#This Row],[PRECIO SUGERIDO INSTALADOR]]*5%</f>
        <v>2464.0133402633405</v>
      </c>
      <c r="P87" s="19">
        <f>+Tabla1[[#This Row],[PRECIO SUGERIDO INSTALADOR]]-Tabla1[[#This Row],[Columna1]]</f>
        <v>46816.253465003465</v>
      </c>
      <c r="Q87" s="20">
        <f>Tabla1[[#This Row],[instalador sin IVA]]*1.19</f>
        <v>49280.266805266809</v>
      </c>
      <c r="R87" s="53">
        <v>38027.500000000007</v>
      </c>
      <c r="S87" s="52">
        <v>41411.988911988919</v>
      </c>
      <c r="T87" s="14" t="s">
        <v>0</v>
      </c>
      <c r="U87" s="13">
        <v>137315.10638297873</v>
      </c>
      <c r="V87" s="12"/>
    </row>
    <row r="88" spans="1:22" s="11" customFormat="1" ht="81">
      <c r="A88" s="49" t="s">
        <v>10</v>
      </c>
      <c r="B88" s="32" t="s">
        <v>9</v>
      </c>
      <c r="C88" s="19">
        <f>+Tabla1[[#This Row],[PRECIO SUGERIDO INSTALADOR]]</f>
        <v>84480.457380457388</v>
      </c>
      <c r="D88" s="19">
        <f>+Tabla1[[#This Row],[TIENDA]]</f>
        <v>80256.43451143452</v>
      </c>
      <c r="E88" s="19">
        <f>+Tabla1[[#This Row],[DPP ORO7]]</f>
        <v>77576.10000000002</v>
      </c>
      <c r="F88" s="23">
        <f>+Tabla1[[#This Row],[Columna4]]</f>
        <v>76800.339000000022</v>
      </c>
      <c r="G88" s="23">
        <f>+Tabla1[[#This Row],[CLIENTE FINAL]]</f>
        <v>120686.36768636771</v>
      </c>
      <c r="H88" s="23">
        <f t="shared" si="16"/>
        <v>15.835121443298974</v>
      </c>
      <c r="I88" s="23">
        <f t="shared" si="17"/>
        <v>76800.339000000022</v>
      </c>
      <c r="J88" s="22">
        <f t="shared" si="18"/>
        <v>775.76100000000019</v>
      </c>
      <c r="K88" s="19">
        <f t="shared" si="19"/>
        <v>15.995072164948457</v>
      </c>
      <c r="L88" s="21">
        <f>Tabla1[[#This Row],[oro sin IVA]]*1.19</f>
        <v>77576.10000000002</v>
      </c>
      <c r="M88" s="19">
        <f t="shared" si="20"/>
        <v>17.418651006279873</v>
      </c>
      <c r="N88" s="19">
        <f>+Tabla1[[#This Row],[PRECIO SUGERIDO INSTALADOR]]/0.7</f>
        <v>120686.36768636771</v>
      </c>
      <c r="O88" s="19">
        <f>+Tabla1[[#This Row],[PRECIO SUGERIDO INSTALADOR]]*5%</f>
        <v>4224.0228690228696</v>
      </c>
      <c r="P88" s="19">
        <f>+Tabla1[[#This Row],[PRECIO SUGERIDO INSTALADOR]]-Tabla1[[#This Row],[Columna1]]</f>
        <v>80256.43451143452</v>
      </c>
      <c r="Q88" s="20">
        <f>Tabla1[[#This Row],[instalador sin IVA]]*1.19</f>
        <v>84480.457380457388</v>
      </c>
      <c r="R88" s="53">
        <v>65190.000000000015</v>
      </c>
      <c r="S88" s="52">
        <v>70991.980991981007</v>
      </c>
      <c r="T88" s="14" t="s">
        <v>0</v>
      </c>
      <c r="U88" s="13">
        <v>44601.980851063832</v>
      </c>
      <c r="V88" s="12"/>
    </row>
    <row r="89" spans="1:22" s="11" customFormat="1" ht="81">
      <c r="A89" s="49" t="s">
        <v>8</v>
      </c>
      <c r="B89" s="32" t="s">
        <v>7</v>
      </c>
      <c r="C89" s="19">
        <f>+Tabla1[[#This Row],[PRECIO SUGERIDO INSTALADOR]]</f>
        <v>190081.02910602911</v>
      </c>
      <c r="D89" s="19">
        <f>+Tabla1[[#This Row],[TIENDA]]</f>
        <v>180576.97765072764</v>
      </c>
      <c r="E89" s="19">
        <f>+Tabla1[[#This Row],[DPP ORO7]]</f>
        <v>174546.22500000001</v>
      </c>
      <c r="F89" s="23">
        <f>+Tabla1[[#This Row],[Columna4]]</f>
        <v>172800.76274999999</v>
      </c>
      <c r="G89" s="23">
        <f>+Tabla1[[#This Row],[CLIENTE FINAL]]</f>
        <v>271544.32729432732</v>
      </c>
      <c r="H89" s="23">
        <f t="shared" si="16"/>
        <v>35.62902324742268</v>
      </c>
      <c r="I89" s="23">
        <f t="shared" si="17"/>
        <v>172800.76274999999</v>
      </c>
      <c r="J89" s="22">
        <f t="shared" si="18"/>
        <v>1745.46225</v>
      </c>
      <c r="K89" s="19">
        <f t="shared" si="19"/>
        <v>35.98891237113402</v>
      </c>
      <c r="L89" s="21">
        <f>Tabla1[[#This Row],[oro sin IVA]]*1.19</f>
        <v>174546.22500000001</v>
      </c>
      <c r="M89" s="19">
        <f t="shared" si="20"/>
        <v>39.191964764129715</v>
      </c>
      <c r="N89" s="19">
        <f>+Tabla1[[#This Row],[PRECIO SUGERIDO INSTALADOR]]/0.7</f>
        <v>271544.32729432732</v>
      </c>
      <c r="O89" s="19">
        <f>+Tabla1[[#This Row],[PRECIO SUGERIDO INSTALADOR]]*5%</f>
        <v>9504.0514553014564</v>
      </c>
      <c r="P89" s="19">
        <f>+Tabla1[[#This Row],[PRECIO SUGERIDO INSTALADOR]]-Tabla1[[#This Row],[Columna1]]</f>
        <v>180576.97765072764</v>
      </c>
      <c r="Q89" s="20">
        <f>Tabla1[[#This Row],[instalador sin IVA]]*1.19</f>
        <v>190081.02910602911</v>
      </c>
      <c r="R89" s="53">
        <v>146677.5</v>
      </c>
      <c r="S89" s="52">
        <v>159731.95723195723</v>
      </c>
      <c r="T89" s="14" t="s">
        <v>0</v>
      </c>
      <c r="U89" s="13">
        <v>57367.200000000012</v>
      </c>
      <c r="V89" s="12"/>
    </row>
    <row r="90" spans="1:22" s="11" customFormat="1" ht="54">
      <c r="A90" s="49" t="s">
        <v>6</v>
      </c>
      <c r="B90" s="32" t="s">
        <v>5</v>
      </c>
      <c r="C90" s="19">
        <f>+Tabla1[[#This Row],[PRECIO SUGERIDO INSTALADOR]]</f>
        <v>61741.134268884271</v>
      </c>
      <c r="D90" s="19">
        <f>+Tabla1[[#This Row],[TIENDA]]</f>
        <v>58654.077555440061</v>
      </c>
      <c r="E90" s="19">
        <f>+Tabla1[[#This Row],[DPP ORO7]]</f>
        <v>56695.19975</v>
      </c>
      <c r="F90" s="23">
        <f>+Tabla1[[#This Row],[Columna4]]</f>
        <v>56128.247752499999</v>
      </c>
      <c r="G90" s="23">
        <f>+Tabla1[[#This Row],[CLIENTE FINAL]]</f>
        <v>88201.620384120397</v>
      </c>
      <c r="H90" s="23">
        <f t="shared" si="16"/>
        <v>11.57283458814433</v>
      </c>
      <c r="I90" s="23">
        <f t="shared" si="17"/>
        <v>56128.247752499999</v>
      </c>
      <c r="J90" s="22">
        <f t="shared" si="18"/>
        <v>566.95199750000006</v>
      </c>
      <c r="K90" s="19">
        <f t="shared" si="19"/>
        <v>11.689731907216494</v>
      </c>
      <c r="L90" s="21">
        <f>Tabla1[[#This Row],[oro sin IVA]]*1.19</f>
        <v>56695.19975</v>
      </c>
      <c r="M90" s="19">
        <f t="shared" si="20"/>
        <v>12.73013077708954</v>
      </c>
      <c r="N90" s="19">
        <f>+Tabla1[[#This Row],[PRECIO SUGERIDO INSTALADOR]]/0.7</f>
        <v>88201.620384120397</v>
      </c>
      <c r="O90" s="19">
        <f>+Tabla1[[#This Row],[PRECIO SUGERIDO INSTALADOR]]*5%</f>
        <v>3087.0567134442135</v>
      </c>
      <c r="P90" s="19">
        <f>+Tabla1[[#This Row],[PRECIO SUGERIDO INSTALADOR]]-Tabla1[[#This Row],[Columna1]]</f>
        <v>58654.077555440061</v>
      </c>
      <c r="Q90" s="20">
        <f>Tabla1[[#This Row],[instalador sin IVA]]*1.19</f>
        <v>61741.134268884271</v>
      </c>
      <c r="R90" s="53">
        <v>47643.025000000001</v>
      </c>
      <c r="S90" s="52">
        <v>51883.306108306111</v>
      </c>
      <c r="T90" s="14" t="s">
        <v>0</v>
      </c>
      <c r="U90" s="13">
        <v>752690.21276595758</v>
      </c>
      <c r="V90" s="12"/>
    </row>
    <row r="91" spans="1:22" ht="54">
      <c r="A91" s="49" t="s">
        <v>4</v>
      </c>
      <c r="B91" s="32" t="s">
        <v>3</v>
      </c>
      <c r="C91" s="19">
        <f>+Tabla1[[#This Row],[PRECIO SUGERIDO INSTALADOR]]</f>
        <v>79411.629937629928</v>
      </c>
      <c r="D91" s="19">
        <f>+Tabla1[[#This Row],[TIENDA]]</f>
        <v>75441.048440748433</v>
      </c>
      <c r="E91" s="26">
        <f>+Tabla1[[#This Row],[DPP ORO7]]</f>
        <v>72921.534</v>
      </c>
      <c r="F91" s="26">
        <f>+Tabla1[[#This Row],[Columna4]]</f>
        <v>72192.318660000004</v>
      </c>
      <c r="G91" s="23">
        <f>+Tabla1[[#This Row],[CLIENTE FINAL]]</f>
        <v>113445.18562518562</v>
      </c>
      <c r="H91" s="26">
        <f t="shared" ref="H91:H92" si="21">+I91/$L$1</f>
        <v>14.885014156701033</v>
      </c>
      <c r="I91" s="26">
        <f t="shared" ref="I91:I92" si="22">+L91-J91</f>
        <v>72192.318660000004</v>
      </c>
      <c r="J91" s="26">
        <f t="shared" ref="J91:J92" si="23">+L91*1%</f>
        <v>729.21533999999997</v>
      </c>
      <c r="K91" s="19">
        <f t="shared" ref="K91:K92" si="24">+L91/$L$1</f>
        <v>15.035367835051547</v>
      </c>
      <c r="L91" s="21">
        <f>Tabla1[[#This Row],[oro sin IVA]]*1.19</f>
        <v>72921.534</v>
      </c>
      <c r="M91" s="19">
        <f t="shared" ref="M91:M92" si="25">+Q91/$L$1</f>
        <v>16.373531945903078</v>
      </c>
      <c r="N91" s="19">
        <f>+Tabla1[[#This Row],[PRECIO SUGERIDO INSTALADOR]]/0.7</f>
        <v>113445.18562518562</v>
      </c>
      <c r="O91" s="19">
        <f>+Tabla1[[#This Row],[PRECIO SUGERIDO INSTALADOR]]*5%</f>
        <v>3970.5814968814966</v>
      </c>
      <c r="P91" s="19">
        <f>+Tabla1[[#This Row],[PRECIO SUGERIDO INSTALADOR]]-Tabla1[[#This Row],[Columna1]]</f>
        <v>75441.048440748433</v>
      </c>
      <c r="Q91" s="20">
        <f>Tabla1[[#This Row],[instalador sin IVA]]*1.19</f>
        <v>79411.629937629928</v>
      </c>
      <c r="R91" s="53">
        <v>61278.600000000006</v>
      </c>
      <c r="S91" s="52">
        <v>66732.462132462126</v>
      </c>
      <c r="T91" s="8"/>
    </row>
    <row r="92" spans="1:22" ht="94.5">
      <c r="A92" s="50" t="s">
        <v>2</v>
      </c>
      <c r="B92" s="51" t="s">
        <v>1</v>
      </c>
      <c r="C92" s="15">
        <f>+Tabla1[[#This Row],[PRECIO SUGERIDO INSTALADOR]]</f>
        <v>1052449.0899999999</v>
      </c>
      <c r="D92" s="15">
        <f>+Tabla1[[#This Row],[TIENDA]]</f>
        <v>999826.63549999986</v>
      </c>
      <c r="E92" s="36">
        <f>+Tabla1[[#This Row],[DPP ORO7]]</f>
        <v>956771.89999999991</v>
      </c>
      <c r="F92" s="36">
        <f>+Tabla1[[#This Row],[Columna4]]</f>
        <v>947204.18099999987</v>
      </c>
      <c r="G92" s="18">
        <f>+Tabla1[[#This Row],[CLIENTE FINAL]]</f>
        <v>1503498.7</v>
      </c>
      <c r="H92" s="36">
        <f t="shared" si="21"/>
        <v>195.29983113402059</v>
      </c>
      <c r="I92" s="36">
        <f t="shared" si="22"/>
        <v>947204.18099999987</v>
      </c>
      <c r="J92" s="36">
        <f t="shared" si="23"/>
        <v>9567.7189999999991</v>
      </c>
      <c r="K92" s="15">
        <f t="shared" si="24"/>
        <v>197.27255670103091</v>
      </c>
      <c r="L92" s="17">
        <f>Tabla1[[#This Row],[oro sin IVA]]*1.19</f>
        <v>956771.89999999991</v>
      </c>
      <c r="M92" s="15">
        <f t="shared" si="25"/>
        <v>216.999812371134</v>
      </c>
      <c r="N92" s="15">
        <f>+Tabla1[[#This Row],[PRECIO SUGERIDO INSTALADOR]]/0.7</f>
        <v>1503498.7</v>
      </c>
      <c r="O92" s="15">
        <f>+Tabla1[[#This Row],[PRECIO SUGERIDO INSTALADOR]]*5%</f>
        <v>52622.454499999993</v>
      </c>
      <c r="P92" s="15">
        <f>+Tabla1[[#This Row],[PRECIO SUGERIDO INSTALADOR]]-Tabla1[[#This Row],[Columna1]]</f>
        <v>999826.63549999986</v>
      </c>
      <c r="Q92" s="16">
        <f>Tabla1[[#This Row],[instalador sin IVA]]*1.19</f>
        <v>1052449.0899999999</v>
      </c>
      <c r="R92" s="57">
        <v>804010</v>
      </c>
      <c r="S92" s="58">
        <v>884411</v>
      </c>
      <c r="T92" s="8"/>
    </row>
    <row r="93" spans="1:22">
      <c r="A93" s="10"/>
      <c r="B93" s="1"/>
      <c r="C93" s="8"/>
      <c r="D93" s="8"/>
      <c r="E93" s="9"/>
      <c r="F93" s="9"/>
      <c r="G93" s="9"/>
      <c r="H93" s="9"/>
      <c r="I93" s="9"/>
      <c r="J93" s="9"/>
      <c r="K93" s="8"/>
      <c r="L93" s="8"/>
      <c r="M93" s="8"/>
      <c r="N93" s="8"/>
      <c r="O93" s="8"/>
      <c r="P93" s="8"/>
      <c r="Q93" s="8"/>
      <c r="R93" s="8"/>
      <c r="S93" s="8"/>
      <c r="T93" s="8"/>
    </row>
    <row r="94" spans="1:22">
      <c r="A94" s="10"/>
      <c r="B94" s="1"/>
      <c r="C94" s="8"/>
      <c r="D94" s="8"/>
      <c r="E94" s="9"/>
      <c r="F94" s="9"/>
      <c r="G94" s="9"/>
      <c r="H94" s="9"/>
      <c r="I94" s="9"/>
      <c r="J94" s="9"/>
      <c r="K94" s="8"/>
      <c r="L94" s="8"/>
      <c r="M94" s="8"/>
      <c r="N94" s="8"/>
      <c r="O94" s="8"/>
      <c r="P94" s="8"/>
      <c r="Q94" s="8"/>
      <c r="R94" s="8"/>
      <c r="S94" s="8"/>
      <c r="T94" s="8"/>
    </row>
    <row r="95" spans="1:22">
      <c r="A95" s="10"/>
      <c r="B95" s="1"/>
      <c r="C95" s="8"/>
      <c r="D95" s="8"/>
      <c r="E95" s="9"/>
      <c r="F95" s="9"/>
      <c r="G95" s="9"/>
      <c r="H95" s="9"/>
      <c r="I95" s="9"/>
      <c r="J95" s="9"/>
      <c r="K95" s="8"/>
      <c r="L95" s="8"/>
      <c r="M95" s="8"/>
      <c r="N95" s="8"/>
      <c r="O95" s="8"/>
      <c r="P95" s="8"/>
      <c r="Q95" s="8"/>
      <c r="R95" s="8"/>
      <c r="S95" s="8"/>
      <c r="T95" s="8"/>
    </row>
    <row r="96" spans="1:22">
      <c r="A96" s="10"/>
      <c r="B96" s="1"/>
      <c r="C96" s="8"/>
      <c r="D96" s="8"/>
      <c r="E96" s="9"/>
      <c r="F96" s="9"/>
      <c r="G96" s="9"/>
      <c r="H96" s="9"/>
      <c r="I96" s="9"/>
      <c r="J96" s="9"/>
      <c r="K96" s="8"/>
      <c r="L96" s="8"/>
      <c r="M96" s="8"/>
      <c r="N96" s="8"/>
      <c r="O96" s="8"/>
      <c r="P96" s="8"/>
      <c r="Q96" s="8"/>
      <c r="R96" s="8"/>
      <c r="S96" s="8"/>
      <c r="T96" s="8"/>
    </row>
    <row r="97" spans="1:20">
      <c r="A97" s="10"/>
      <c r="B97" s="1"/>
      <c r="C97" s="8"/>
      <c r="D97" s="8"/>
      <c r="E97" s="9"/>
      <c r="F97" s="9"/>
      <c r="G97" s="9"/>
      <c r="H97" s="9"/>
      <c r="I97" s="9"/>
      <c r="J97" s="9"/>
      <c r="K97" s="8"/>
      <c r="L97" s="8"/>
      <c r="M97" s="8"/>
      <c r="N97" s="8"/>
      <c r="O97" s="8"/>
      <c r="P97" s="8"/>
      <c r="Q97" s="8"/>
      <c r="R97" s="8"/>
      <c r="S97" s="8"/>
      <c r="T97" s="8"/>
    </row>
    <row r="98" spans="1:20">
      <c r="A98" s="10"/>
      <c r="B98" s="1"/>
      <c r="C98" s="8"/>
      <c r="D98" s="8"/>
      <c r="E98" s="9"/>
      <c r="F98" s="9"/>
      <c r="G98" s="9"/>
      <c r="H98" s="9"/>
      <c r="I98" s="9"/>
      <c r="J98" s="9"/>
      <c r="K98" s="8"/>
      <c r="L98" s="8"/>
      <c r="M98" s="8"/>
      <c r="N98" s="8"/>
      <c r="O98" s="8"/>
      <c r="P98" s="8"/>
      <c r="Q98" s="8"/>
      <c r="R98" s="8"/>
      <c r="S98" s="8"/>
      <c r="T98" s="8"/>
    </row>
    <row r="99" spans="1:20">
      <c r="A99" s="10"/>
      <c r="B99" s="1"/>
      <c r="C99" s="8"/>
      <c r="D99" s="8"/>
      <c r="E99" s="9"/>
      <c r="F99" s="9"/>
      <c r="G99" s="9"/>
      <c r="H99" s="9"/>
      <c r="I99" s="9"/>
      <c r="J99" s="9"/>
      <c r="K99" s="8"/>
      <c r="L99" s="8"/>
      <c r="M99" s="8"/>
      <c r="N99" s="8"/>
      <c r="O99" s="8"/>
      <c r="P99" s="8"/>
      <c r="Q99" s="8"/>
      <c r="R99" s="8"/>
      <c r="S99" s="8"/>
      <c r="T99" s="8"/>
    </row>
    <row r="100" spans="1:20">
      <c r="A100" s="10"/>
      <c r="B100" s="1"/>
      <c r="C100" s="8"/>
      <c r="D100" s="8"/>
      <c r="E100" s="9"/>
      <c r="F100" s="9"/>
      <c r="G100" s="9"/>
      <c r="H100" s="9"/>
      <c r="I100" s="9"/>
      <c r="J100" s="9"/>
      <c r="K100" s="8"/>
      <c r="L100" s="8"/>
      <c r="M100" s="8"/>
      <c r="N100" s="8"/>
      <c r="O100" s="8"/>
      <c r="P100" s="8"/>
      <c r="Q100" s="8"/>
      <c r="R100" s="8"/>
      <c r="S100" s="8"/>
      <c r="T100" s="8"/>
    </row>
    <row r="101" spans="1:20">
      <c r="A101" s="10"/>
      <c r="B101" s="1"/>
      <c r="C101" s="8"/>
      <c r="D101" s="8"/>
      <c r="E101" s="9"/>
      <c r="F101" s="9"/>
      <c r="G101" s="9"/>
      <c r="H101" s="9"/>
      <c r="I101" s="9"/>
      <c r="J101" s="9"/>
      <c r="K101" s="8"/>
      <c r="L101" s="8"/>
      <c r="M101" s="8"/>
      <c r="N101" s="8"/>
      <c r="O101" s="8"/>
      <c r="P101" s="8"/>
      <c r="Q101" s="8"/>
      <c r="R101" s="8"/>
      <c r="S101" s="8"/>
      <c r="T101" s="8"/>
    </row>
    <row r="102" spans="1:20">
      <c r="A102" s="10"/>
      <c r="B102" s="1"/>
      <c r="C102" s="8"/>
      <c r="D102" s="8"/>
      <c r="E102" s="9"/>
      <c r="F102" s="9"/>
      <c r="G102" s="9"/>
      <c r="H102" s="9"/>
      <c r="I102" s="9"/>
      <c r="J102" s="9"/>
      <c r="K102" s="8"/>
      <c r="L102" s="8"/>
      <c r="M102" s="8"/>
      <c r="N102" s="8"/>
      <c r="O102" s="8"/>
      <c r="P102" s="8"/>
      <c r="Q102" s="8"/>
      <c r="R102" s="8"/>
      <c r="S102" s="8"/>
      <c r="T102" s="8"/>
    </row>
    <row r="103" spans="1:20">
      <c r="A103" s="10"/>
      <c r="B103" s="1"/>
      <c r="C103" s="8"/>
      <c r="D103" s="8"/>
      <c r="E103" s="9"/>
      <c r="F103" s="9"/>
      <c r="G103" s="9"/>
      <c r="H103" s="9"/>
      <c r="I103" s="9"/>
      <c r="J103" s="9"/>
      <c r="K103" s="8"/>
      <c r="L103" s="8"/>
      <c r="M103" s="8"/>
      <c r="N103" s="8"/>
      <c r="O103" s="8"/>
      <c r="P103" s="8"/>
      <c r="Q103" s="8"/>
      <c r="R103" s="8"/>
      <c r="S103" s="8"/>
      <c r="T103" s="8"/>
    </row>
    <row r="104" spans="1:20">
      <c r="A104" s="10"/>
      <c r="B104" s="1"/>
      <c r="C104" s="8"/>
      <c r="D104" s="8"/>
      <c r="E104" s="9"/>
      <c r="F104" s="9"/>
      <c r="G104" s="9"/>
      <c r="H104" s="9"/>
      <c r="I104" s="9"/>
      <c r="J104" s="9"/>
      <c r="K104" s="8"/>
      <c r="L104" s="8"/>
      <c r="M104" s="8"/>
      <c r="N104" s="8"/>
      <c r="O104" s="8"/>
      <c r="P104" s="8"/>
      <c r="Q104" s="8"/>
      <c r="R104" s="8"/>
      <c r="S104" s="8"/>
      <c r="T104" s="8"/>
    </row>
    <row r="105" spans="1:20">
      <c r="A105" s="10"/>
      <c r="B105" s="1"/>
      <c r="C105" s="8"/>
      <c r="D105" s="8"/>
      <c r="E105" s="9"/>
      <c r="F105" s="9"/>
      <c r="G105" s="9"/>
      <c r="H105" s="9"/>
      <c r="I105" s="9"/>
      <c r="J105" s="9"/>
      <c r="K105" s="8"/>
      <c r="L105" s="8"/>
      <c r="M105" s="8"/>
      <c r="N105" s="8"/>
      <c r="O105" s="8"/>
      <c r="P105" s="8"/>
      <c r="Q105" s="8"/>
      <c r="R105" s="8"/>
      <c r="S105" s="8"/>
      <c r="T105" s="8"/>
    </row>
    <row r="106" spans="1:20">
      <c r="A106" s="10"/>
      <c r="B106" s="1"/>
      <c r="C106" s="8"/>
      <c r="D106" s="8"/>
      <c r="E106" s="9"/>
      <c r="F106" s="9"/>
      <c r="G106" s="9"/>
      <c r="H106" s="9"/>
      <c r="I106" s="9"/>
      <c r="J106" s="9"/>
      <c r="K106" s="8"/>
      <c r="L106" s="8"/>
      <c r="M106" s="8"/>
      <c r="N106" s="8"/>
      <c r="O106" s="8"/>
      <c r="P106" s="8"/>
      <c r="Q106" s="8"/>
      <c r="R106" s="8"/>
      <c r="S106" s="8"/>
      <c r="T106" s="8"/>
    </row>
    <row r="107" spans="1:20">
      <c r="A107" s="10"/>
      <c r="B107" s="1"/>
      <c r="C107" s="8"/>
      <c r="D107" s="8"/>
      <c r="E107" s="9"/>
      <c r="F107" s="9"/>
      <c r="G107" s="9"/>
      <c r="H107" s="9"/>
      <c r="I107" s="9"/>
      <c r="J107" s="9"/>
      <c r="K107" s="8"/>
      <c r="L107" s="8"/>
      <c r="M107" s="8"/>
      <c r="N107" s="8"/>
      <c r="O107" s="8"/>
      <c r="P107" s="8"/>
      <c r="Q107" s="8"/>
      <c r="R107" s="8"/>
      <c r="S107" s="8"/>
      <c r="T107" s="8"/>
    </row>
    <row r="108" spans="1:20">
      <c r="A108" s="10"/>
      <c r="B108" s="1"/>
      <c r="C108" s="8"/>
      <c r="D108" s="8"/>
      <c r="E108" s="9"/>
      <c r="F108" s="9"/>
      <c r="G108" s="9"/>
      <c r="H108" s="9"/>
      <c r="I108" s="9"/>
      <c r="J108" s="9"/>
      <c r="K108" s="8"/>
      <c r="L108" s="8"/>
      <c r="M108" s="8"/>
      <c r="N108" s="8"/>
      <c r="O108" s="8"/>
      <c r="P108" s="8"/>
      <c r="Q108" s="8"/>
      <c r="R108" s="8"/>
      <c r="S108" s="8"/>
      <c r="T108" s="8"/>
    </row>
    <row r="109" spans="1:20">
      <c r="A109" s="10"/>
      <c r="B109" s="1"/>
      <c r="C109" s="8"/>
      <c r="D109" s="8"/>
      <c r="E109" s="9"/>
      <c r="F109" s="9"/>
      <c r="G109" s="9"/>
      <c r="H109" s="9"/>
      <c r="I109" s="9"/>
      <c r="J109" s="9"/>
      <c r="K109" s="8"/>
      <c r="L109" s="8"/>
      <c r="M109" s="8"/>
      <c r="N109" s="8"/>
      <c r="O109" s="8"/>
      <c r="P109" s="8"/>
      <c r="Q109" s="8"/>
      <c r="R109" s="8"/>
      <c r="S109" s="8"/>
      <c r="T109" s="8"/>
    </row>
    <row r="110" spans="1:20">
      <c r="A110" s="10"/>
      <c r="B110" s="1"/>
      <c r="C110" s="8"/>
      <c r="D110" s="8"/>
      <c r="E110" s="9"/>
      <c r="F110" s="9"/>
      <c r="G110" s="9"/>
      <c r="H110" s="9"/>
      <c r="I110" s="9"/>
      <c r="J110" s="9"/>
      <c r="K110" s="8"/>
      <c r="L110" s="8"/>
      <c r="M110" s="8"/>
      <c r="N110" s="8"/>
      <c r="O110" s="8"/>
      <c r="P110" s="8"/>
      <c r="Q110" s="8"/>
      <c r="R110" s="8"/>
      <c r="S110" s="8"/>
      <c r="T110" s="8"/>
    </row>
    <row r="111" spans="1:20">
      <c r="A111" s="10"/>
      <c r="B111" s="1"/>
      <c r="C111" s="8"/>
      <c r="D111" s="8"/>
      <c r="E111" s="9"/>
      <c r="F111" s="9"/>
      <c r="G111" s="9"/>
      <c r="H111" s="9"/>
      <c r="I111" s="9"/>
      <c r="J111" s="9"/>
      <c r="K111" s="8"/>
      <c r="L111" s="8"/>
      <c r="M111" s="8"/>
      <c r="N111" s="8"/>
      <c r="O111" s="8"/>
      <c r="P111" s="8"/>
      <c r="Q111" s="8"/>
      <c r="R111" s="8"/>
      <c r="S111" s="8"/>
      <c r="T111" s="8"/>
    </row>
    <row r="112" spans="1:20">
      <c r="A112" s="10"/>
      <c r="B112" s="1"/>
      <c r="C112" s="8"/>
      <c r="D112" s="8"/>
      <c r="E112" s="9"/>
      <c r="F112" s="9"/>
      <c r="G112" s="9"/>
      <c r="H112" s="9"/>
      <c r="I112" s="9"/>
      <c r="J112" s="9"/>
      <c r="K112" s="8"/>
      <c r="L112" s="8"/>
      <c r="M112" s="8"/>
      <c r="N112" s="8"/>
      <c r="O112" s="8"/>
      <c r="P112" s="8"/>
      <c r="Q112" s="8"/>
      <c r="R112" s="8"/>
      <c r="S112" s="8"/>
      <c r="T112" s="8"/>
    </row>
    <row r="113" spans="1:20">
      <c r="A113" s="10"/>
      <c r="B113" s="1"/>
      <c r="C113" s="8"/>
      <c r="D113" s="8"/>
      <c r="E113" s="9"/>
      <c r="F113" s="9"/>
      <c r="G113" s="9"/>
      <c r="H113" s="9"/>
      <c r="I113" s="9"/>
      <c r="J113" s="9"/>
      <c r="K113" s="8"/>
      <c r="L113" s="8"/>
      <c r="M113" s="8"/>
      <c r="N113" s="8"/>
      <c r="O113" s="8"/>
      <c r="P113" s="8"/>
      <c r="Q113" s="8"/>
      <c r="R113" s="8"/>
      <c r="S113" s="8"/>
      <c r="T113" s="8"/>
    </row>
    <row r="114" spans="1:20">
      <c r="A114" s="10"/>
      <c r="B114" s="1"/>
      <c r="C114" s="8"/>
      <c r="D114" s="8"/>
      <c r="E114" s="9"/>
      <c r="F114" s="9"/>
      <c r="G114" s="9"/>
      <c r="H114" s="9"/>
      <c r="I114" s="9"/>
      <c r="J114" s="9"/>
      <c r="K114" s="8"/>
      <c r="L114" s="8"/>
      <c r="M114" s="8"/>
      <c r="N114" s="8"/>
      <c r="O114" s="8"/>
      <c r="P114" s="8"/>
      <c r="Q114" s="8"/>
      <c r="R114" s="8"/>
      <c r="S114" s="8"/>
      <c r="T114" s="8"/>
    </row>
    <row r="115" spans="1:20">
      <c r="A115" s="10"/>
      <c r="B115" s="1"/>
      <c r="C115" s="8"/>
      <c r="D115" s="8"/>
      <c r="E115" s="9"/>
      <c r="F115" s="9"/>
      <c r="G115" s="9"/>
      <c r="H115" s="9"/>
      <c r="I115" s="9"/>
      <c r="J115" s="9"/>
      <c r="K115" s="8"/>
      <c r="L115" s="8"/>
      <c r="M115" s="8"/>
      <c r="N115" s="8"/>
      <c r="O115" s="8"/>
      <c r="P115" s="8"/>
      <c r="Q115" s="8"/>
      <c r="R115" s="8"/>
      <c r="S115" s="8"/>
      <c r="T115" s="8"/>
    </row>
    <row r="116" spans="1:20">
      <c r="A116" s="10"/>
      <c r="B116" s="1"/>
      <c r="C116" s="8"/>
      <c r="D116" s="8"/>
      <c r="E116" s="9"/>
      <c r="F116" s="9"/>
      <c r="G116" s="9"/>
      <c r="H116" s="9"/>
      <c r="I116" s="9"/>
      <c r="J116" s="9"/>
      <c r="K116" s="8"/>
      <c r="L116" s="8"/>
      <c r="M116" s="8"/>
      <c r="N116" s="8"/>
      <c r="O116" s="8"/>
      <c r="P116" s="8"/>
      <c r="Q116" s="8"/>
      <c r="R116" s="8"/>
      <c r="S116" s="8"/>
      <c r="T116" s="8"/>
    </row>
    <row r="117" spans="1:20">
      <c r="A117" s="10"/>
      <c r="B117" s="1"/>
      <c r="C117" s="8"/>
      <c r="D117" s="8"/>
      <c r="E117" s="9"/>
      <c r="F117" s="9"/>
      <c r="G117" s="9"/>
      <c r="H117" s="9"/>
      <c r="I117" s="9"/>
      <c r="J117" s="9"/>
      <c r="K117" s="8"/>
      <c r="L117" s="8"/>
      <c r="M117" s="8"/>
      <c r="N117" s="8"/>
      <c r="O117" s="8"/>
      <c r="P117" s="8"/>
      <c r="Q117" s="8"/>
      <c r="R117" s="8"/>
      <c r="S117" s="8"/>
      <c r="T117" s="8"/>
    </row>
    <row r="118" spans="1:20">
      <c r="A118" s="10"/>
      <c r="B118" s="1"/>
      <c r="C118" s="8"/>
      <c r="D118" s="8"/>
      <c r="E118" s="9"/>
      <c r="F118" s="9"/>
      <c r="G118" s="9"/>
      <c r="H118" s="9"/>
      <c r="I118" s="9"/>
      <c r="J118" s="9"/>
      <c r="K118" s="8"/>
      <c r="L118" s="8"/>
      <c r="M118" s="8"/>
      <c r="N118" s="8"/>
      <c r="O118" s="8"/>
      <c r="P118" s="8"/>
      <c r="Q118" s="8"/>
      <c r="R118" s="8"/>
      <c r="S118" s="8"/>
      <c r="T118" s="8"/>
    </row>
    <row r="119" spans="1:20">
      <c r="A119" s="10"/>
      <c r="B119" s="1"/>
      <c r="C119" s="8"/>
      <c r="D119" s="8"/>
      <c r="E119" s="9"/>
      <c r="F119" s="9"/>
      <c r="G119" s="9"/>
      <c r="H119" s="9"/>
      <c r="I119" s="9"/>
      <c r="J119" s="9"/>
      <c r="K119" s="8"/>
      <c r="L119" s="8"/>
      <c r="M119" s="8"/>
      <c r="N119" s="8"/>
      <c r="O119" s="8"/>
      <c r="P119" s="8"/>
      <c r="Q119" s="8"/>
      <c r="R119" s="8"/>
      <c r="S119" s="8"/>
      <c r="T119" s="8"/>
    </row>
    <row r="120" spans="1:20">
      <c r="A120" s="10"/>
      <c r="B120" s="1"/>
      <c r="C120" s="8"/>
      <c r="D120" s="8"/>
      <c r="E120" s="9"/>
      <c r="F120" s="9"/>
      <c r="G120" s="9"/>
      <c r="H120" s="9"/>
      <c r="I120" s="9"/>
      <c r="J120" s="9"/>
      <c r="K120" s="8"/>
      <c r="L120" s="8"/>
      <c r="M120" s="8"/>
      <c r="N120" s="8"/>
      <c r="O120" s="8"/>
      <c r="P120" s="8"/>
      <c r="Q120" s="8"/>
      <c r="R120" s="8"/>
      <c r="S120" s="8"/>
      <c r="T120" s="8"/>
    </row>
    <row r="121" spans="1:20">
      <c r="A121" s="10"/>
      <c r="B121" s="1"/>
      <c r="C121" s="8"/>
      <c r="D121" s="8"/>
      <c r="E121" s="9"/>
      <c r="F121" s="9"/>
      <c r="G121" s="9"/>
      <c r="H121" s="9"/>
      <c r="I121" s="9"/>
      <c r="J121" s="9"/>
      <c r="K121" s="8"/>
      <c r="L121" s="8"/>
      <c r="M121" s="8"/>
      <c r="N121" s="8"/>
      <c r="O121" s="8"/>
      <c r="P121" s="8"/>
      <c r="Q121" s="8"/>
      <c r="R121" s="8"/>
      <c r="S121" s="8"/>
      <c r="T121" s="8"/>
    </row>
    <row r="122" spans="1:20">
      <c r="A122" s="10"/>
      <c r="B122" s="1"/>
      <c r="C122" s="8"/>
      <c r="D122" s="8"/>
      <c r="E122" s="9"/>
      <c r="F122" s="9"/>
      <c r="G122" s="9"/>
      <c r="H122" s="9"/>
      <c r="I122" s="9"/>
      <c r="J122" s="9"/>
      <c r="K122" s="8"/>
      <c r="L122" s="8"/>
      <c r="M122" s="8"/>
      <c r="N122" s="8"/>
      <c r="O122" s="8"/>
      <c r="P122" s="8"/>
      <c r="Q122" s="8"/>
      <c r="R122" s="8"/>
      <c r="S122" s="8"/>
      <c r="T122" s="8"/>
    </row>
    <row r="123" spans="1:20">
      <c r="A123" s="10"/>
      <c r="B123" s="1"/>
      <c r="C123" s="8"/>
      <c r="D123" s="8"/>
      <c r="E123" s="9"/>
      <c r="F123" s="9"/>
      <c r="G123" s="9"/>
      <c r="H123" s="9"/>
      <c r="I123" s="9"/>
      <c r="J123" s="9"/>
      <c r="K123" s="8"/>
      <c r="L123" s="8"/>
      <c r="M123" s="8"/>
      <c r="N123" s="8"/>
      <c r="O123" s="8"/>
      <c r="P123" s="8"/>
      <c r="Q123" s="8"/>
      <c r="R123" s="8"/>
      <c r="S123" s="8"/>
      <c r="T123" s="8"/>
    </row>
    <row r="124" spans="1:20">
      <c r="A124" s="10"/>
      <c r="B124" s="1"/>
      <c r="C124" s="8"/>
      <c r="D124" s="8"/>
      <c r="E124" s="9"/>
      <c r="F124" s="9"/>
      <c r="G124" s="9"/>
      <c r="H124" s="9"/>
      <c r="I124" s="9"/>
      <c r="J124" s="9"/>
      <c r="K124" s="8"/>
      <c r="L124" s="8"/>
      <c r="M124" s="8"/>
      <c r="N124" s="8"/>
      <c r="O124" s="8"/>
      <c r="P124" s="8"/>
      <c r="Q124" s="8"/>
      <c r="R124" s="8"/>
      <c r="S124" s="8"/>
      <c r="T124" s="8"/>
    </row>
    <row r="125" spans="1:20">
      <c r="A125" s="10"/>
      <c r="B125" s="1"/>
      <c r="C125" s="8"/>
      <c r="D125" s="8"/>
      <c r="E125" s="9"/>
      <c r="F125" s="9"/>
      <c r="G125" s="9"/>
      <c r="H125" s="9"/>
      <c r="I125" s="9"/>
      <c r="J125" s="9"/>
      <c r="K125" s="8"/>
      <c r="L125" s="8"/>
      <c r="M125" s="8"/>
      <c r="N125" s="8"/>
      <c r="O125" s="8"/>
      <c r="P125" s="8"/>
      <c r="Q125" s="8"/>
      <c r="R125" s="8"/>
      <c r="S125" s="8"/>
      <c r="T125" s="8"/>
    </row>
    <row r="126" spans="1:20">
      <c r="A126" s="10"/>
      <c r="B126" s="1"/>
      <c r="C126" s="8"/>
      <c r="D126" s="8"/>
      <c r="E126" s="9"/>
      <c r="F126" s="9"/>
      <c r="G126" s="9"/>
      <c r="H126" s="9"/>
      <c r="I126" s="9"/>
      <c r="J126" s="9"/>
      <c r="K126" s="8"/>
      <c r="L126" s="8"/>
      <c r="M126" s="8"/>
      <c r="N126" s="8"/>
      <c r="O126" s="8"/>
      <c r="P126" s="8"/>
      <c r="Q126" s="8"/>
      <c r="R126" s="8"/>
      <c r="S126" s="8"/>
      <c r="T126" s="8"/>
    </row>
    <row r="127" spans="1:20">
      <c r="A127" s="10"/>
      <c r="B127" s="1"/>
      <c r="C127" s="8"/>
      <c r="D127" s="8"/>
      <c r="E127" s="9"/>
      <c r="F127" s="9"/>
      <c r="G127" s="9"/>
      <c r="H127" s="9"/>
      <c r="I127" s="9"/>
      <c r="J127" s="9"/>
      <c r="K127" s="8"/>
      <c r="L127" s="8"/>
      <c r="M127" s="8"/>
      <c r="N127" s="8"/>
      <c r="O127" s="8"/>
      <c r="P127" s="8"/>
      <c r="Q127" s="8"/>
      <c r="R127" s="8"/>
      <c r="S127" s="8"/>
      <c r="T127" s="8"/>
    </row>
    <row r="128" spans="1:20">
      <c r="A128" s="10"/>
      <c r="B128" s="1"/>
      <c r="C128" s="8"/>
      <c r="D128" s="8"/>
      <c r="E128" s="9"/>
      <c r="F128" s="9"/>
      <c r="G128" s="9"/>
      <c r="H128" s="9"/>
      <c r="I128" s="9"/>
      <c r="J128" s="9"/>
      <c r="K128" s="8"/>
      <c r="L128" s="8"/>
      <c r="M128" s="8"/>
      <c r="N128" s="8"/>
      <c r="O128" s="8"/>
      <c r="P128" s="8"/>
      <c r="Q128" s="8"/>
      <c r="R128" s="8"/>
      <c r="S128" s="8"/>
      <c r="T128" s="8"/>
    </row>
    <row r="129" spans="1:20">
      <c r="A129" s="10"/>
      <c r="B129" s="1"/>
      <c r="C129" s="8"/>
      <c r="D129" s="8"/>
      <c r="E129" s="9"/>
      <c r="F129" s="9"/>
      <c r="G129" s="9"/>
      <c r="H129" s="9"/>
      <c r="I129" s="9"/>
      <c r="J129" s="9"/>
      <c r="K129" s="8"/>
      <c r="L129" s="8"/>
      <c r="M129" s="8"/>
      <c r="N129" s="8"/>
      <c r="O129" s="8"/>
      <c r="P129" s="8"/>
      <c r="Q129" s="8"/>
      <c r="R129" s="8"/>
      <c r="S129" s="8"/>
      <c r="T129" s="8"/>
    </row>
    <row r="130" spans="1:20">
      <c r="A130" s="10"/>
      <c r="B130" s="1"/>
      <c r="C130" s="8"/>
      <c r="D130" s="8"/>
      <c r="E130" s="9"/>
      <c r="F130" s="9"/>
      <c r="G130" s="9"/>
      <c r="H130" s="9"/>
      <c r="I130" s="9"/>
      <c r="J130" s="9"/>
      <c r="K130" s="8"/>
      <c r="L130" s="8"/>
      <c r="M130" s="8"/>
      <c r="N130" s="8"/>
      <c r="O130" s="8"/>
      <c r="P130" s="8"/>
      <c r="Q130" s="8"/>
      <c r="R130" s="8"/>
      <c r="S130" s="8"/>
      <c r="T130" s="8"/>
    </row>
    <row r="131" spans="1:20">
      <c r="A131" s="10"/>
      <c r="B131" s="1"/>
      <c r="C131" s="8"/>
      <c r="D131" s="8"/>
      <c r="E131" s="9"/>
      <c r="F131" s="9"/>
      <c r="G131" s="9"/>
      <c r="H131" s="9"/>
      <c r="I131" s="9"/>
      <c r="J131" s="9"/>
      <c r="K131" s="8"/>
      <c r="L131" s="8"/>
      <c r="M131" s="8"/>
      <c r="N131" s="8"/>
      <c r="O131" s="8"/>
      <c r="P131" s="8"/>
      <c r="Q131" s="8"/>
      <c r="R131" s="8"/>
      <c r="S131" s="8"/>
      <c r="T131" s="8"/>
    </row>
    <row r="132" spans="1:20">
      <c r="A132" s="10"/>
      <c r="B132" s="1"/>
      <c r="C132" s="8"/>
      <c r="D132" s="8"/>
      <c r="E132" s="9"/>
      <c r="F132" s="9"/>
      <c r="G132" s="9"/>
      <c r="H132" s="9"/>
      <c r="I132" s="9"/>
      <c r="J132" s="9"/>
      <c r="K132" s="8"/>
      <c r="L132" s="8"/>
      <c r="M132" s="8"/>
      <c r="N132" s="8"/>
      <c r="O132" s="8"/>
      <c r="P132" s="8"/>
      <c r="Q132" s="8"/>
      <c r="R132" s="8"/>
      <c r="S132" s="8"/>
      <c r="T132" s="8"/>
    </row>
    <row r="133" spans="1:20">
      <c r="A133" s="10"/>
      <c r="B133" s="1"/>
      <c r="C133" s="8"/>
      <c r="D133" s="8"/>
      <c r="E133" s="9"/>
      <c r="F133" s="9"/>
      <c r="G133" s="9"/>
      <c r="H133" s="9"/>
      <c r="I133" s="9"/>
      <c r="J133" s="9"/>
      <c r="K133" s="8"/>
      <c r="L133" s="8"/>
      <c r="M133" s="8"/>
      <c r="N133" s="8"/>
      <c r="O133" s="8"/>
      <c r="P133" s="8"/>
      <c r="Q133" s="8"/>
      <c r="R133" s="8"/>
      <c r="S133" s="8"/>
      <c r="T133" s="8"/>
    </row>
    <row r="134" spans="1:20">
      <c r="A134" s="10"/>
      <c r="B134" s="1"/>
      <c r="C134" s="8"/>
      <c r="D134" s="8"/>
      <c r="E134" s="9"/>
      <c r="F134" s="9"/>
      <c r="G134" s="9"/>
      <c r="H134" s="9"/>
      <c r="I134" s="9"/>
      <c r="J134" s="9"/>
      <c r="K134" s="8"/>
      <c r="L134" s="8"/>
      <c r="M134" s="8"/>
      <c r="N134" s="8"/>
      <c r="O134" s="8"/>
      <c r="P134" s="8"/>
      <c r="Q134" s="8"/>
      <c r="R134" s="8"/>
      <c r="S134" s="8"/>
      <c r="T134" s="8"/>
    </row>
    <row r="135" spans="1:20">
      <c r="A135" s="10"/>
      <c r="B135" s="1"/>
      <c r="C135" s="8"/>
      <c r="D135" s="8"/>
      <c r="E135" s="9"/>
      <c r="F135" s="9"/>
      <c r="G135" s="9"/>
      <c r="H135" s="9"/>
      <c r="I135" s="9"/>
      <c r="J135" s="9"/>
      <c r="K135" s="8"/>
      <c r="L135" s="8"/>
      <c r="M135" s="8"/>
      <c r="N135" s="8"/>
      <c r="O135" s="8"/>
      <c r="P135" s="8"/>
      <c r="Q135" s="8"/>
      <c r="R135" s="8"/>
      <c r="S135" s="8"/>
      <c r="T135" s="8"/>
    </row>
    <row r="136" spans="1:20">
      <c r="A136" s="10"/>
      <c r="B136" s="1"/>
      <c r="C136" s="8"/>
      <c r="D136" s="8"/>
      <c r="E136" s="9"/>
      <c r="F136" s="9"/>
      <c r="G136" s="9"/>
      <c r="H136" s="9"/>
      <c r="I136" s="9"/>
      <c r="J136" s="9"/>
      <c r="K136" s="8"/>
      <c r="L136" s="8"/>
      <c r="M136" s="8"/>
      <c r="N136" s="8"/>
      <c r="O136" s="8"/>
      <c r="P136" s="8"/>
      <c r="Q136" s="8"/>
      <c r="R136" s="8"/>
      <c r="S136" s="8"/>
      <c r="T136" s="8"/>
    </row>
    <row r="137" spans="1:20">
      <c r="A137" s="10"/>
      <c r="B137" s="1"/>
      <c r="C137" s="8"/>
      <c r="D137" s="8"/>
      <c r="E137" s="9"/>
      <c r="F137" s="9"/>
      <c r="G137" s="9"/>
      <c r="H137" s="9"/>
      <c r="I137" s="9"/>
      <c r="J137" s="9"/>
      <c r="K137" s="8"/>
      <c r="L137" s="8"/>
      <c r="M137" s="8"/>
      <c r="N137" s="8"/>
      <c r="O137" s="8"/>
      <c r="P137" s="8"/>
      <c r="Q137" s="8"/>
      <c r="R137" s="8"/>
      <c r="S137" s="8"/>
      <c r="T137" s="8"/>
    </row>
    <row r="138" spans="1:20">
      <c r="A138" s="10"/>
      <c r="B138" s="1"/>
      <c r="C138" s="8"/>
      <c r="D138" s="8"/>
      <c r="E138" s="9"/>
      <c r="F138" s="9"/>
      <c r="G138" s="9"/>
      <c r="H138" s="9"/>
      <c r="I138" s="9"/>
      <c r="J138" s="9"/>
      <c r="K138" s="8"/>
      <c r="L138" s="8"/>
      <c r="M138" s="8"/>
      <c r="N138" s="8"/>
      <c r="O138" s="8"/>
      <c r="P138" s="8"/>
      <c r="Q138" s="8"/>
      <c r="R138" s="8"/>
      <c r="S138" s="8"/>
      <c r="T138" s="8"/>
    </row>
    <row r="139" spans="1:20">
      <c r="A139" s="10"/>
      <c r="B139" s="1"/>
      <c r="C139" s="8"/>
      <c r="D139" s="8"/>
      <c r="E139" s="9"/>
      <c r="F139" s="9"/>
      <c r="G139" s="9"/>
      <c r="H139" s="9"/>
      <c r="I139" s="9"/>
      <c r="J139" s="9"/>
      <c r="K139" s="8"/>
      <c r="L139" s="8"/>
      <c r="M139" s="8"/>
      <c r="N139" s="8"/>
      <c r="O139" s="8"/>
      <c r="P139" s="8"/>
      <c r="Q139" s="8"/>
      <c r="R139" s="8"/>
      <c r="S139" s="8"/>
      <c r="T139" s="8"/>
    </row>
    <row r="140" spans="1:20">
      <c r="A140" s="10"/>
      <c r="B140" s="1"/>
      <c r="C140" s="8"/>
      <c r="D140" s="8"/>
      <c r="E140" s="9"/>
      <c r="F140" s="9"/>
      <c r="G140" s="9"/>
      <c r="H140" s="9"/>
      <c r="I140" s="9"/>
      <c r="J140" s="9"/>
      <c r="K140" s="8"/>
      <c r="L140" s="8"/>
      <c r="M140" s="8"/>
      <c r="N140" s="8"/>
      <c r="O140" s="8"/>
      <c r="P140" s="8"/>
      <c r="Q140" s="8"/>
      <c r="R140" s="8"/>
      <c r="S140" s="8"/>
      <c r="T140" s="8"/>
    </row>
    <row r="141" spans="1:20">
      <c r="A141" s="10"/>
      <c r="B141" s="1"/>
      <c r="C141" s="8"/>
      <c r="D141" s="8"/>
      <c r="E141" s="9"/>
      <c r="F141" s="9"/>
      <c r="G141" s="9"/>
      <c r="H141" s="9"/>
      <c r="I141" s="9"/>
      <c r="J141" s="9"/>
      <c r="K141" s="8"/>
      <c r="L141" s="8"/>
      <c r="M141" s="8"/>
      <c r="N141" s="8"/>
      <c r="O141" s="8"/>
      <c r="P141" s="8"/>
      <c r="Q141" s="8"/>
      <c r="R141" s="8"/>
      <c r="S141" s="8"/>
      <c r="T141" s="8"/>
    </row>
    <row r="142" spans="1:20">
      <c r="A142" s="10"/>
      <c r="B142" s="1"/>
      <c r="C142" s="8"/>
      <c r="D142" s="8"/>
      <c r="E142" s="9"/>
      <c r="F142" s="9"/>
      <c r="G142" s="9"/>
      <c r="H142" s="9"/>
      <c r="I142" s="9"/>
      <c r="J142" s="9"/>
      <c r="K142" s="8"/>
      <c r="L142" s="8"/>
      <c r="M142" s="8"/>
      <c r="N142" s="8"/>
      <c r="O142" s="8"/>
      <c r="P142" s="8"/>
      <c r="Q142" s="8"/>
      <c r="R142" s="8"/>
      <c r="S142" s="8"/>
      <c r="T142" s="8"/>
    </row>
    <row r="143" spans="1:20">
      <c r="A143" s="10"/>
      <c r="B143" s="1"/>
      <c r="C143" s="8"/>
      <c r="D143" s="8"/>
      <c r="E143" s="9"/>
      <c r="F143" s="9"/>
      <c r="G143" s="9"/>
      <c r="H143" s="9"/>
      <c r="I143" s="9"/>
      <c r="J143" s="9"/>
      <c r="K143" s="8"/>
      <c r="L143" s="8"/>
      <c r="M143" s="8"/>
      <c r="N143" s="8"/>
      <c r="O143" s="8"/>
      <c r="P143" s="8"/>
      <c r="Q143" s="8"/>
      <c r="R143" s="8"/>
      <c r="S143" s="8"/>
      <c r="T143" s="8"/>
    </row>
    <row r="144" spans="1:20">
      <c r="A144" s="10"/>
      <c r="B144" s="1"/>
      <c r="C144" s="8"/>
      <c r="D144" s="8"/>
      <c r="E144" s="9"/>
      <c r="F144" s="9"/>
      <c r="G144" s="9"/>
      <c r="H144" s="9"/>
      <c r="I144" s="9"/>
      <c r="J144" s="9"/>
      <c r="K144" s="8"/>
      <c r="L144" s="8"/>
      <c r="M144" s="8"/>
      <c r="N144" s="8"/>
      <c r="O144" s="8"/>
      <c r="P144" s="8"/>
      <c r="Q144" s="8"/>
      <c r="R144" s="8"/>
      <c r="S144" s="8"/>
      <c r="T144" s="8"/>
    </row>
    <row r="145" spans="1:20">
      <c r="A145" s="10"/>
      <c r="B145" s="1"/>
      <c r="C145" s="8"/>
      <c r="D145" s="8"/>
      <c r="E145" s="9"/>
      <c r="F145" s="9"/>
      <c r="G145" s="9"/>
      <c r="H145" s="9"/>
      <c r="I145" s="9"/>
      <c r="J145" s="9"/>
      <c r="K145" s="8"/>
      <c r="L145" s="8"/>
      <c r="M145" s="8"/>
      <c r="N145" s="8"/>
      <c r="O145" s="8"/>
      <c r="P145" s="8"/>
      <c r="Q145" s="8"/>
      <c r="R145" s="8"/>
      <c r="S145" s="8"/>
      <c r="T145" s="8"/>
    </row>
    <row r="146" spans="1:20">
      <c r="A146" s="10"/>
      <c r="B146" s="1"/>
      <c r="C146" s="8"/>
      <c r="D146" s="8"/>
      <c r="E146" s="9"/>
      <c r="F146" s="9"/>
      <c r="G146" s="9"/>
      <c r="H146" s="9"/>
      <c r="I146" s="9"/>
      <c r="J146" s="9"/>
      <c r="K146" s="8"/>
      <c r="L146" s="8"/>
      <c r="M146" s="8"/>
      <c r="N146" s="8"/>
      <c r="O146" s="8"/>
      <c r="P146" s="8"/>
      <c r="Q146" s="8"/>
      <c r="R146" s="8"/>
      <c r="S146" s="8"/>
      <c r="T146" s="8"/>
    </row>
    <row r="147" spans="1:20">
      <c r="A147" s="10"/>
      <c r="B147" s="1"/>
      <c r="C147" s="8"/>
      <c r="D147" s="8"/>
      <c r="E147" s="9"/>
      <c r="F147" s="9"/>
      <c r="G147" s="9"/>
      <c r="H147" s="9"/>
      <c r="I147" s="9"/>
      <c r="J147" s="9"/>
      <c r="K147" s="8"/>
      <c r="L147" s="8"/>
      <c r="M147" s="8"/>
      <c r="N147" s="8"/>
      <c r="O147" s="8"/>
      <c r="P147" s="8"/>
      <c r="Q147" s="8"/>
      <c r="R147" s="8"/>
      <c r="S147" s="8"/>
      <c r="T147" s="8"/>
    </row>
    <row r="148" spans="1:20">
      <c r="A148" s="10"/>
      <c r="B148" s="1"/>
      <c r="C148" s="8"/>
      <c r="D148" s="8"/>
      <c r="E148" s="9"/>
      <c r="F148" s="9"/>
      <c r="G148" s="9"/>
      <c r="H148" s="9"/>
      <c r="I148" s="9"/>
      <c r="J148" s="9"/>
      <c r="K148" s="8"/>
      <c r="L148" s="8"/>
      <c r="M148" s="8"/>
      <c r="N148" s="8"/>
      <c r="O148" s="8"/>
      <c r="P148" s="8"/>
      <c r="Q148" s="8"/>
      <c r="R148" s="8"/>
      <c r="S148" s="8"/>
      <c r="T148" s="8"/>
    </row>
    <row r="149" spans="1:20">
      <c r="A149" s="10"/>
      <c r="B149" s="1"/>
      <c r="C149" s="8"/>
      <c r="D149" s="8"/>
      <c r="E149" s="9"/>
      <c r="F149" s="9"/>
      <c r="G149" s="9"/>
      <c r="H149" s="9"/>
      <c r="I149" s="9"/>
      <c r="J149" s="9"/>
      <c r="K149" s="8"/>
      <c r="L149" s="8"/>
      <c r="M149" s="8"/>
      <c r="N149" s="8"/>
      <c r="O149" s="8"/>
      <c r="P149" s="8"/>
      <c r="Q149" s="8"/>
      <c r="R149" s="8"/>
      <c r="S149" s="8"/>
      <c r="T149" s="8"/>
    </row>
    <row r="150" spans="1:20">
      <c r="A150" s="10"/>
      <c r="B150" s="1"/>
      <c r="C150" s="8"/>
      <c r="D150" s="8"/>
      <c r="E150" s="9"/>
      <c r="F150" s="9"/>
      <c r="G150" s="9"/>
      <c r="H150" s="9"/>
      <c r="I150" s="9"/>
      <c r="J150" s="9"/>
      <c r="K150" s="8"/>
      <c r="L150" s="8"/>
      <c r="M150" s="8"/>
      <c r="N150" s="8"/>
      <c r="O150" s="8"/>
      <c r="P150" s="8"/>
      <c r="Q150" s="8"/>
      <c r="R150" s="8"/>
      <c r="S150" s="8"/>
      <c r="T150" s="8"/>
    </row>
    <row r="151" spans="1:20">
      <c r="A151" s="10"/>
      <c r="B151" s="1"/>
      <c r="C151" s="8"/>
      <c r="D151" s="8"/>
      <c r="E151" s="9"/>
      <c r="F151" s="9"/>
      <c r="G151" s="9"/>
      <c r="H151" s="9"/>
      <c r="I151" s="9"/>
      <c r="J151" s="9"/>
      <c r="K151" s="8"/>
      <c r="L151" s="8"/>
      <c r="M151" s="8"/>
      <c r="N151" s="8"/>
      <c r="O151" s="8"/>
      <c r="P151" s="8"/>
      <c r="Q151" s="8"/>
      <c r="R151" s="8"/>
      <c r="S151" s="8"/>
      <c r="T151" s="8"/>
    </row>
    <row r="152" spans="1:20">
      <c r="A152" s="10"/>
      <c r="B152" s="1"/>
      <c r="C152" s="8"/>
      <c r="D152" s="8"/>
      <c r="E152" s="9"/>
      <c r="F152" s="9"/>
      <c r="G152" s="9"/>
      <c r="H152" s="9"/>
      <c r="I152" s="9"/>
      <c r="J152" s="9"/>
      <c r="K152" s="8"/>
      <c r="L152" s="8"/>
      <c r="M152" s="8"/>
      <c r="N152" s="8"/>
      <c r="O152" s="8"/>
      <c r="P152" s="8"/>
      <c r="Q152" s="8"/>
      <c r="R152" s="8"/>
      <c r="S152" s="8"/>
      <c r="T152" s="8"/>
    </row>
    <row r="153" spans="1:20">
      <c r="A153" s="10"/>
      <c r="B153" s="1"/>
      <c r="C153" s="8"/>
      <c r="D153" s="8"/>
      <c r="E153" s="9"/>
      <c r="F153" s="9"/>
      <c r="G153" s="9"/>
      <c r="H153" s="9"/>
      <c r="I153" s="9"/>
      <c r="J153" s="9"/>
      <c r="K153" s="8"/>
      <c r="L153" s="8"/>
      <c r="M153" s="8"/>
      <c r="N153" s="8"/>
      <c r="O153" s="8"/>
      <c r="P153" s="8"/>
      <c r="Q153" s="8"/>
      <c r="R153" s="8"/>
      <c r="S153" s="8"/>
      <c r="T153" s="8"/>
    </row>
    <row r="154" spans="1:20">
      <c r="A154" s="10"/>
      <c r="B154" s="1"/>
      <c r="C154" s="8"/>
      <c r="D154" s="8"/>
      <c r="E154" s="9"/>
      <c r="F154" s="9"/>
      <c r="G154" s="9"/>
      <c r="H154" s="9"/>
      <c r="I154" s="9"/>
      <c r="J154" s="9"/>
      <c r="K154" s="8"/>
      <c r="L154" s="8"/>
      <c r="M154" s="8"/>
      <c r="N154" s="8"/>
      <c r="O154" s="8"/>
      <c r="P154" s="8"/>
      <c r="Q154" s="8"/>
      <c r="R154" s="8"/>
      <c r="S154" s="8"/>
      <c r="T154" s="8"/>
    </row>
    <row r="155" spans="1:20">
      <c r="A155" s="10"/>
      <c r="B155" s="1"/>
      <c r="C155" s="8"/>
      <c r="D155" s="8"/>
      <c r="E155" s="9"/>
      <c r="F155" s="9"/>
      <c r="G155" s="9"/>
      <c r="H155" s="9"/>
      <c r="I155" s="9"/>
      <c r="J155" s="9"/>
      <c r="K155" s="8"/>
      <c r="L155" s="8"/>
      <c r="M155" s="8"/>
      <c r="N155" s="8"/>
      <c r="O155" s="8"/>
      <c r="P155" s="8"/>
      <c r="Q155" s="8"/>
      <c r="R155" s="8"/>
      <c r="S155" s="8"/>
      <c r="T155" s="8"/>
    </row>
    <row r="156" spans="1:20">
      <c r="A156" s="10"/>
      <c r="B156" s="1"/>
      <c r="C156" s="8"/>
      <c r="D156" s="8"/>
      <c r="E156" s="9"/>
      <c r="F156" s="9"/>
      <c r="G156" s="9"/>
      <c r="H156" s="9"/>
      <c r="I156" s="9"/>
      <c r="J156" s="9"/>
      <c r="K156" s="8"/>
      <c r="L156" s="8"/>
      <c r="M156" s="8"/>
      <c r="N156" s="8"/>
      <c r="O156" s="8"/>
      <c r="P156" s="8"/>
      <c r="Q156" s="8"/>
      <c r="R156" s="8"/>
      <c r="S156" s="8"/>
      <c r="T156" s="8"/>
    </row>
    <row r="157" spans="1:20">
      <c r="A157" s="10"/>
      <c r="B157" s="1"/>
      <c r="C157" s="8"/>
      <c r="D157" s="8"/>
      <c r="E157" s="9"/>
      <c r="F157" s="9"/>
      <c r="G157" s="9"/>
      <c r="H157" s="9"/>
      <c r="I157" s="9"/>
      <c r="J157" s="9"/>
      <c r="K157" s="8"/>
      <c r="L157" s="8"/>
      <c r="M157" s="8"/>
      <c r="N157" s="8"/>
      <c r="O157" s="8"/>
      <c r="P157" s="8"/>
      <c r="Q157" s="8"/>
      <c r="R157" s="8"/>
      <c r="S157" s="8"/>
      <c r="T157" s="8"/>
    </row>
    <row r="158" spans="1:20">
      <c r="A158" s="10"/>
      <c r="B158" s="1"/>
      <c r="C158" s="8"/>
      <c r="D158" s="8"/>
      <c r="E158" s="9"/>
      <c r="F158" s="9"/>
      <c r="G158" s="9"/>
      <c r="H158" s="9"/>
      <c r="I158" s="9"/>
      <c r="J158" s="9"/>
      <c r="K158" s="8"/>
      <c r="L158" s="8"/>
      <c r="M158" s="8"/>
      <c r="N158" s="8"/>
      <c r="O158" s="8"/>
      <c r="P158" s="8"/>
      <c r="Q158" s="8"/>
      <c r="R158" s="8"/>
      <c r="S158" s="8"/>
      <c r="T158" s="8"/>
    </row>
    <row r="159" spans="1:20">
      <c r="A159" s="10"/>
      <c r="B159" s="1"/>
      <c r="C159" s="8"/>
      <c r="D159" s="8"/>
      <c r="E159" s="9"/>
      <c r="F159" s="9"/>
      <c r="G159" s="9"/>
      <c r="H159" s="9"/>
      <c r="I159" s="9"/>
      <c r="J159" s="9"/>
      <c r="K159" s="8"/>
      <c r="L159" s="8"/>
      <c r="M159" s="8"/>
      <c r="N159" s="8"/>
      <c r="O159" s="8"/>
      <c r="P159" s="8"/>
      <c r="Q159" s="8"/>
      <c r="R159" s="8"/>
      <c r="S159" s="8"/>
      <c r="T159" s="8"/>
    </row>
    <row r="160" spans="1:20">
      <c r="A160" s="10"/>
      <c r="B160" s="1"/>
      <c r="C160" s="8"/>
      <c r="D160" s="8"/>
      <c r="E160" s="9"/>
      <c r="F160" s="9"/>
      <c r="G160" s="9"/>
      <c r="H160" s="9"/>
      <c r="I160" s="9"/>
      <c r="J160" s="9"/>
      <c r="K160" s="8"/>
      <c r="L160" s="8"/>
      <c r="M160" s="8"/>
      <c r="N160" s="8"/>
      <c r="O160" s="8"/>
      <c r="P160" s="8"/>
      <c r="Q160" s="8"/>
      <c r="R160" s="8"/>
      <c r="S160" s="8"/>
      <c r="T160" s="8"/>
    </row>
    <row r="161" spans="1:20">
      <c r="A161" s="10"/>
      <c r="B161" s="1"/>
      <c r="C161" s="8"/>
      <c r="D161" s="8"/>
      <c r="E161" s="9"/>
      <c r="F161" s="9"/>
      <c r="G161" s="9"/>
      <c r="H161" s="9"/>
      <c r="I161" s="9"/>
      <c r="J161" s="9"/>
      <c r="K161" s="8"/>
      <c r="L161" s="8"/>
      <c r="M161" s="8"/>
      <c r="N161" s="8"/>
      <c r="O161" s="8"/>
      <c r="P161" s="8"/>
      <c r="Q161" s="8"/>
      <c r="R161" s="8"/>
      <c r="S161" s="8"/>
      <c r="T161" s="8"/>
    </row>
    <row r="162" spans="1:20">
      <c r="A162" s="10"/>
      <c r="B162" s="1"/>
      <c r="C162" s="8"/>
      <c r="D162" s="8"/>
      <c r="E162" s="9"/>
      <c r="F162" s="9"/>
      <c r="G162" s="9"/>
      <c r="H162" s="9"/>
      <c r="I162" s="9"/>
      <c r="J162" s="9"/>
      <c r="K162" s="8"/>
      <c r="L162" s="8"/>
      <c r="M162" s="8"/>
      <c r="N162" s="8"/>
      <c r="O162" s="8"/>
      <c r="P162" s="8"/>
      <c r="Q162" s="8"/>
      <c r="R162" s="8"/>
      <c r="S162" s="8"/>
      <c r="T162" s="8"/>
    </row>
    <row r="163" spans="1:20">
      <c r="A163" s="10"/>
      <c r="B163" s="1"/>
      <c r="C163" s="8"/>
      <c r="D163" s="8"/>
      <c r="E163" s="9"/>
      <c r="F163" s="9"/>
      <c r="G163" s="9"/>
      <c r="H163" s="9"/>
      <c r="I163" s="9"/>
      <c r="J163" s="9"/>
      <c r="K163" s="8"/>
      <c r="L163" s="8"/>
      <c r="M163" s="8"/>
      <c r="N163" s="8"/>
      <c r="O163" s="8"/>
      <c r="P163" s="8"/>
      <c r="Q163" s="8"/>
      <c r="R163" s="8"/>
      <c r="S163" s="8"/>
      <c r="T163" s="8"/>
    </row>
    <row r="164" spans="1:20">
      <c r="A164" s="10"/>
      <c r="B164" s="1"/>
      <c r="C164" s="8"/>
      <c r="D164" s="8"/>
      <c r="E164" s="9"/>
      <c r="F164" s="9"/>
      <c r="G164" s="9"/>
      <c r="H164" s="9"/>
      <c r="I164" s="9"/>
      <c r="J164" s="9"/>
      <c r="K164" s="8"/>
      <c r="L164" s="8"/>
      <c r="M164" s="8"/>
      <c r="N164" s="8"/>
      <c r="O164" s="8"/>
      <c r="P164" s="8"/>
      <c r="Q164" s="8"/>
      <c r="R164" s="8"/>
      <c r="S164" s="8"/>
      <c r="T164" s="8"/>
    </row>
    <row r="165" spans="1:20">
      <c r="A165" s="10"/>
      <c r="B165" s="1"/>
      <c r="C165" s="8"/>
      <c r="D165" s="8"/>
      <c r="E165" s="9"/>
      <c r="F165" s="9"/>
      <c r="G165" s="9"/>
      <c r="H165" s="9"/>
      <c r="I165" s="9"/>
      <c r="J165" s="9"/>
      <c r="K165" s="8"/>
      <c r="L165" s="8"/>
      <c r="M165" s="8"/>
      <c r="N165" s="8"/>
      <c r="O165" s="8"/>
      <c r="P165" s="8"/>
      <c r="Q165" s="8"/>
      <c r="R165" s="8"/>
      <c r="S165" s="8"/>
      <c r="T165" s="8"/>
    </row>
    <row r="166" spans="1:20">
      <c r="A166" s="10"/>
      <c r="B166" s="1"/>
      <c r="C166" s="8"/>
      <c r="D166" s="8"/>
      <c r="E166" s="9"/>
      <c r="F166" s="9"/>
      <c r="G166" s="9"/>
      <c r="H166" s="9"/>
      <c r="I166" s="9"/>
      <c r="J166" s="9"/>
      <c r="K166" s="8"/>
      <c r="L166" s="8"/>
      <c r="M166" s="8"/>
      <c r="N166" s="8"/>
      <c r="O166" s="8"/>
      <c r="P166" s="8"/>
      <c r="Q166" s="8"/>
      <c r="R166" s="8"/>
      <c r="S166" s="8"/>
      <c r="T166" s="8"/>
    </row>
    <row r="167" spans="1:20">
      <c r="A167" s="10"/>
      <c r="B167" s="1"/>
      <c r="C167" s="8"/>
      <c r="D167" s="8"/>
      <c r="E167" s="9"/>
      <c r="F167" s="9"/>
      <c r="G167" s="9"/>
      <c r="H167" s="9"/>
      <c r="I167" s="9"/>
      <c r="J167" s="9"/>
      <c r="K167" s="8"/>
      <c r="L167" s="8"/>
      <c r="M167" s="8"/>
      <c r="N167" s="8"/>
      <c r="O167" s="8"/>
      <c r="P167" s="8"/>
      <c r="Q167" s="8"/>
      <c r="R167" s="8"/>
      <c r="S167" s="8"/>
      <c r="T167" s="8"/>
    </row>
    <row r="168" spans="1:20">
      <c r="A168" s="10"/>
      <c r="B168" s="1"/>
      <c r="C168" s="8"/>
      <c r="D168" s="8"/>
      <c r="E168" s="9"/>
      <c r="F168" s="9"/>
      <c r="G168" s="9"/>
      <c r="H168" s="9"/>
      <c r="I168" s="9"/>
      <c r="J168" s="9"/>
      <c r="K168" s="8"/>
      <c r="L168" s="8"/>
      <c r="M168" s="8"/>
      <c r="N168" s="8"/>
      <c r="O168" s="8"/>
      <c r="P168" s="8"/>
      <c r="Q168" s="8"/>
      <c r="R168" s="8"/>
      <c r="S168" s="8"/>
      <c r="T168" s="8"/>
    </row>
    <row r="169" spans="1:20">
      <c r="A169" s="10"/>
      <c r="B169" s="1"/>
      <c r="C169" s="8"/>
      <c r="D169" s="8"/>
      <c r="E169" s="9"/>
      <c r="F169" s="9"/>
      <c r="G169" s="9"/>
      <c r="H169" s="9"/>
      <c r="I169" s="9"/>
      <c r="J169" s="9"/>
      <c r="K169" s="8"/>
      <c r="L169" s="8"/>
      <c r="M169" s="8"/>
      <c r="N169" s="8"/>
      <c r="O169" s="8"/>
      <c r="P169" s="8"/>
      <c r="Q169" s="8"/>
      <c r="R169" s="8"/>
      <c r="S169" s="8"/>
      <c r="T169" s="8"/>
    </row>
    <row r="170" spans="1:20">
      <c r="A170" s="10"/>
      <c r="B170" s="1"/>
      <c r="C170" s="8"/>
      <c r="D170" s="8"/>
      <c r="E170" s="9"/>
      <c r="F170" s="9"/>
      <c r="G170" s="9"/>
      <c r="H170" s="9"/>
      <c r="I170" s="9"/>
      <c r="J170" s="9"/>
      <c r="K170" s="8"/>
      <c r="L170" s="8"/>
      <c r="M170" s="8"/>
      <c r="N170" s="8"/>
      <c r="O170" s="8"/>
      <c r="P170" s="8"/>
      <c r="Q170" s="8"/>
      <c r="R170" s="8"/>
      <c r="S170" s="8"/>
      <c r="T170" s="8"/>
    </row>
    <row r="171" spans="1:20">
      <c r="A171" s="10"/>
      <c r="B171" s="1"/>
      <c r="C171" s="8"/>
      <c r="D171" s="8"/>
      <c r="E171" s="9"/>
      <c r="F171" s="9"/>
      <c r="G171" s="9"/>
      <c r="H171" s="9"/>
      <c r="I171" s="9"/>
      <c r="J171" s="9"/>
      <c r="K171" s="8"/>
      <c r="L171" s="8"/>
      <c r="M171" s="8"/>
      <c r="N171" s="8"/>
      <c r="O171" s="8"/>
      <c r="P171" s="8"/>
      <c r="Q171" s="8"/>
      <c r="R171" s="8"/>
      <c r="S171" s="8"/>
      <c r="T171" s="8"/>
    </row>
    <row r="172" spans="1:20">
      <c r="A172" s="10"/>
      <c r="B172" s="1"/>
      <c r="C172" s="8"/>
      <c r="D172" s="8"/>
      <c r="E172" s="9"/>
      <c r="F172" s="9"/>
      <c r="G172" s="9"/>
      <c r="H172" s="9"/>
      <c r="I172" s="9"/>
      <c r="J172" s="9"/>
      <c r="K172" s="8"/>
      <c r="L172" s="8"/>
      <c r="M172" s="8"/>
      <c r="N172" s="8"/>
      <c r="O172" s="8"/>
      <c r="P172" s="8"/>
      <c r="Q172" s="8"/>
      <c r="R172" s="8"/>
      <c r="S172" s="8"/>
      <c r="T172" s="8"/>
    </row>
    <row r="173" spans="1:20">
      <c r="A173" s="10"/>
      <c r="B173" s="1"/>
      <c r="C173" s="8"/>
      <c r="D173" s="8"/>
      <c r="E173" s="9"/>
      <c r="F173" s="9"/>
      <c r="G173" s="9"/>
      <c r="H173" s="9"/>
      <c r="I173" s="9"/>
      <c r="J173" s="9"/>
      <c r="K173" s="8"/>
      <c r="L173" s="8"/>
      <c r="M173" s="8"/>
      <c r="N173" s="8"/>
      <c r="O173" s="8"/>
      <c r="P173" s="8"/>
      <c r="Q173" s="8"/>
      <c r="R173" s="8"/>
      <c r="S173" s="8"/>
      <c r="T173" s="8"/>
    </row>
    <row r="174" spans="1:20">
      <c r="A174" s="10"/>
      <c r="B174" s="1"/>
      <c r="C174" s="8"/>
      <c r="D174" s="8"/>
      <c r="E174" s="9"/>
      <c r="F174" s="9"/>
      <c r="G174" s="9"/>
      <c r="H174" s="9"/>
      <c r="I174" s="9"/>
      <c r="J174" s="9"/>
      <c r="K174" s="8"/>
      <c r="L174" s="8"/>
      <c r="M174" s="8"/>
      <c r="N174" s="8"/>
      <c r="O174" s="8"/>
      <c r="P174" s="8"/>
      <c r="Q174" s="8"/>
      <c r="R174" s="8"/>
      <c r="S174" s="8"/>
      <c r="T174" s="8"/>
    </row>
    <row r="175" spans="1:20">
      <c r="A175" s="10"/>
      <c r="B175" s="1"/>
      <c r="C175" s="8"/>
      <c r="D175" s="8"/>
      <c r="E175" s="9"/>
      <c r="F175" s="9"/>
      <c r="G175" s="9"/>
      <c r="H175" s="9"/>
      <c r="I175" s="9"/>
      <c r="J175" s="9"/>
      <c r="K175" s="8"/>
      <c r="L175" s="8"/>
      <c r="M175" s="8"/>
      <c r="N175" s="8"/>
      <c r="O175" s="8"/>
      <c r="P175" s="8"/>
      <c r="Q175" s="8"/>
      <c r="R175" s="8"/>
      <c r="S175" s="8"/>
      <c r="T175" s="8"/>
    </row>
    <row r="176" spans="1:20">
      <c r="A176" s="10"/>
      <c r="B176" s="1"/>
      <c r="C176" s="8"/>
      <c r="D176" s="8"/>
      <c r="E176" s="9"/>
      <c r="F176" s="9"/>
      <c r="G176" s="9"/>
      <c r="H176" s="9"/>
      <c r="I176" s="9"/>
      <c r="J176" s="9"/>
      <c r="K176" s="8"/>
      <c r="L176" s="8"/>
      <c r="M176" s="8"/>
      <c r="N176" s="8"/>
      <c r="O176" s="8"/>
      <c r="P176" s="8"/>
      <c r="Q176" s="8"/>
      <c r="R176" s="8"/>
      <c r="S176" s="8"/>
      <c r="T176" s="8"/>
    </row>
    <row r="177" spans="1:20">
      <c r="A177" s="10"/>
      <c r="B177" s="1"/>
      <c r="C177" s="8"/>
      <c r="D177" s="8"/>
      <c r="E177" s="9"/>
      <c r="F177" s="9"/>
      <c r="G177" s="9"/>
      <c r="H177" s="9"/>
      <c r="I177" s="9"/>
      <c r="J177" s="9"/>
      <c r="K177" s="8"/>
      <c r="L177" s="8"/>
      <c r="M177" s="8"/>
      <c r="N177" s="8"/>
      <c r="O177" s="8"/>
      <c r="P177" s="8"/>
      <c r="Q177" s="8"/>
      <c r="R177" s="8"/>
      <c r="S177" s="8"/>
      <c r="T177" s="8"/>
    </row>
    <row r="178" spans="1:20">
      <c r="A178" s="10"/>
      <c r="B178" s="1"/>
      <c r="C178" s="8"/>
      <c r="D178" s="8"/>
      <c r="E178" s="9"/>
      <c r="F178" s="9"/>
      <c r="G178" s="9"/>
      <c r="H178" s="9"/>
      <c r="I178" s="9"/>
      <c r="J178" s="9"/>
      <c r="K178" s="8"/>
      <c r="L178" s="8"/>
      <c r="M178" s="8"/>
      <c r="N178" s="8"/>
      <c r="O178" s="8"/>
      <c r="P178" s="8"/>
      <c r="Q178" s="8"/>
      <c r="R178" s="8"/>
      <c r="S178" s="8"/>
      <c r="T178" s="8"/>
    </row>
    <row r="179" spans="1:20">
      <c r="A179" s="10"/>
      <c r="B179" s="1"/>
      <c r="C179" s="8"/>
      <c r="D179" s="8"/>
      <c r="E179" s="9"/>
      <c r="F179" s="9"/>
      <c r="G179" s="9"/>
      <c r="H179" s="9"/>
      <c r="I179" s="9"/>
      <c r="J179" s="9"/>
      <c r="K179" s="8"/>
      <c r="L179" s="8"/>
      <c r="M179" s="8"/>
      <c r="N179" s="8"/>
      <c r="O179" s="8"/>
      <c r="P179" s="8"/>
      <c r="Q179" s="8"/>
      <c r="R179" s="8"/>
      <c r="S179" s="8"/>
      <c r="T179" s="8"/>
    </row>
    <row r="180" spans="1:20">
      <c r="A180" s="10"/>
      <c r="B180" s="1"/>
      <c r="C180" s="8"/>
      <c r="D180" s="8"/>
      <c r="E180" s="9"/>
      <c r="F180" s="9"/>
      <c r="G180" s="9"/>
      <c r="H180" s="9"/>
      <c r="I180" s="9"/>
      <c r="J180" s="9"/>
      <c r="K180" s="8"/>
      <c r="L180" s="8"/>
      <c r="M180" s="8"/>
      <c r="N180" s="8"/>
      <c r="O180" s="8"/>
      <c r="P180" s="8"/>
      <c r="Q180" s="8"/>
      <c r="R180" s="8"/>
      <c r="S180" s="8"/>
      <c r="T180" s="8"/>
    </row>
    <row r="181" spans="1:20">
      <c r="A181" s="10"/>
      <c r="B181" s="1"/>
      <c r="C181" s="8"/>
      <c r="D181" s="8"/>
      <c r="E181" s="9"/>
      <c r="F181" s="9"/>
      <c r="G181" s="9"/>
      <c r="H181" s="9"/>
      <c r="I181" s="9"/>
      <c r="J181" s="9"/>
      <c r="K181" s="8"/>
      <c r="L181" s="8"/>
      <c r="M181" s="8"/>
      <c r="N181" s="8"/>
      <c r="O181" s="8"/>
      <c r="P181" s="8"/>
      <c r="Q181" s="8"/>
      <c r="R181" s="8"/>
      <c r="S181" s="8"/>
      <c r="T181" s="8"/>
    </row>
    <row r="182" spans="1:20">
      <c r="A182" s="10"/>
      <c r="B182" s="1"/>
      <c r="C182" s="8"/>
      <c r="D182" s="8"/>
      <c r="E182" s="9"/>
      <c r="F182" s="9"/>
      <c r="G182" s="9"/>
      <c r="H182" s="9"/>
      <c r="I182" s="9"/>
      <c r="J182" s="9"/>
      <c r="K182" s="8"/>
      <c r="L182" s="8"/>
      <c r="M182" s="8"/>
      <c r="N182" s="8"/>
      <c r="O182" s="8"/>
      <c r="P182" s="8"/>
      <c r="Q182" s="8"/>
      <c r="R182" s="8"/>
      <c r="S182" s="8"/>
      <c r="T182" s="8"/>
    </row>
    <row r="183" spans="1:20">
      <c r="A183" s="10"/>
      <c r="B183" s="1"/>
      <c r="C183" s="8"/>
      <c r="D183" s="8"/>
      <c r="E183" s="9"/>
      <c r="F183" s="9"/>
      <c r="G183" s="9"/>
      <c r="H183" s="9"/>
      <c r="I183" s="9"/>
      <c r="J183" s="9"/>
      <c r="K183" s="8"/>
      <c r="L183" s="8"/>
      <c r="M183" s="8"/>
      <c r="N183" s="8"/>
      <c r="O183" s="8"/>
      <c r="P183" s="8"/>
      <c r="Q183" s="8"/>
      <c r="R183" s="8"/>
      <c r="S183" s="8"/>
      <c r="T183" s="8"/>
    </row>
    <row r="184" spans="1:20">
      <c r="A184" s="10"/>
      <c r="B184" s="1"/>
      <c r="C184" s="8"/>
      <c r="D184" s="8"/>
      <c r="E184" s="9"/>
      <c r="F184" s="9"/>
      <c r="G184" s="9"/>
      <c r="H184" s="9"/>
      <c r="I184" s="9"/>
      <c r="J184" s="9"/>
      <c r="K184" s="8"/>
      <c r="L184" s="8"/>
      <c r="M184" s="8"/>
      <c r="N184" s="8"/>
      <c r="O184" s="8"/>
      <c r="P184" s="8"/>
      <c r="Q184" s="8"/>
      <c r="R184" s="8"/>
      <c r="S184" s="8"/>
      <c r="T184" s="8"/>
    </row>
    <row r="185" spans="1:20">
      <c r="A185" s="10"/>
      <c r="B185" s="1"/>
      <c r="C185" s="8"/>
      <c r="D185" s="8"/>
      <c r="E185" s="9"/>
      <c r="F185" s="9"/>
      <c r="G185" s="9"/>
      <c r="H185" s="9"/>
      <c r="I185" s="9"/>
      <c r="J185" s="9"/>
      <c r="K185" s="8"/>
      <c r="L185" s="8"/>
      <c r="M185" s="8"/>
      <c r="N185" s="8"/>
      <c r="O185" s="8"/>
      <c r="P185" s="8"/>
      <c r="Q185" s="8"/>
      <c r="R185" s="8"/>
      <c r="S185" s="8"/>
      <c r="T185" s="8"/>
    </row>
    <row r="186" spans="1:20">
      <c r="A186" s="10"/>
      <c r="B186" s="1"/>
      <c r="C186" s="8"/>
      <c r="D186" s="8"/>
      <c r="E186" s="9"/>
      <c r="F186" s="9"/>
      <c r="G186" s="9"/>
      <c r="H186" s="9"/>
      <c r="I186" s="9"/>
      <c r="J186" s="9"/>
      <c r="K186" s="8"/>
      <c r="L186" s="8"/>
      <c r="M186" s="8"/>
      <c r="N186" s="8"/>
      <c r="O186" s="8"/>
      <c r="P186" s="8"/>
      <c r="Q186" s="8"/>
      <c r="R186" s="8"/>
      <c r="S186" s="8"/>
      <c r="T186" s="8"/>
    </row>
    <row r="187" spans="1:20">
      <c r="A187" s="10"/>
      <c r="B187" s="1"/>
      <c r="C187" s="8"/>
      <c r="D187" s="8"/>
      <c r="E187" s="9"/>
      <c r="F187" s="9"/>
      <c r="G187" s="9"/>
      <c r="H187" s="9"/>
      <c r="I187" s="9"/>
      <c r="J187" s="9"/>
      <c r="K187" s="8"/>
      <c r="L187" s="8"/>
      <c r="M187" s="8"/>
      <c r="N187" s="8"/>
      <c r="O187" s="8"/>
      <c r="P187" s="8"/>
      <c r="Q187" s="8"/>
      <c r="R187" s="8"/>
      <c r="S187" s="8"/>
      <c r="T187" s="8"/>
    </row>
    <row r="188" spans="1:20">
      <c r="A188" s="10"/>
      <c r="B188" s="1"/>
      <c r="C188" s="8"/>
      <c r="D188" s="8"/>
      <c r="E188" s="9"/>
      <c r="F188" s="9"/>
      <c r="G188" s="9"/>
      <c r="H188" s="9"/>
      <c r="I188" s="9"/>
      <c r="J188" s="9"/>
      <c r="K188" s="8"/>
      <c r="L188" s="8"/>
      <c r="M188" s="8"/>
      <c r="N188" s="8"/>
      <c r="O188" s="8"/>
      <c r="P188" s="8"/>
      <c r="Q188" s="8"/>
      <c r="R188" s="8"/>
      <c r="S188" s="8"/>
      <c r="T188" s="8"/>
    </row>
    <row r="189" spans="1:20">
      <c r="A189" s="10"/>
      <c r="B189" s="1"/>
      <c r="C189" s="8"/>
      <c r="D189" s="8"/>
      <c r="E189" s="9"/>
      <c r="F189" s="9"/>
      <c r="G189" s="9"/>
      <c r="H189" s="9"/>
      <c r="I189" s="9"/>
      <c r="J189" s="9"/>
      <c r="K189" s="8"/>
      <c r="L189" s="8"/>
      <c r="M189" s="8"/>
      <c r="N189" s="8"/>
      <c r="O189" s="8"/>
      <c r="P189" s="8"/>
      <c r="Q189" s="8"/>
      <c r="R189" s="8"/>
      <c r="S189" s="8"/>
      <c r="T189" s="8"/>
    </row>
    <row r="190" spans="1:20">
      <c r="A190" s="10"/>
      <c r="B190" s="1"/>
      <c r="C190" s="8"/>
      <c r="D190" s="8"/>
      <c r="E190" s="9"/>
      <c r="F190" s="9"/>
      <c r="G190" s="9"/>
      <c r="H190" s="9"/>
      <c r="I190" s="9"/>
      <c r="J190" s="9"/>
      <c r="K190" s="8"/>
      <c r="L190" s="8"/>
      <c r="M190" s="8"/>
      <c r="N190" s="8"/>
      <c r="O190" s="8"/>
      <c r="P190" s="8"/>
      <c r="Q190" s="8"/>
      <c r="R190" s="8"/>
      <c r="S190" s="8"/>
      <c r="T190" s="8"/>
    </row>
    <row r="191" spans="1:20">
      <c r="A191" s="10"/>
      <c r="B191" s="1"/>
      <c r="C191" s="8"/>
      <c r="D191" s="8"/>
      <c r="E191" s="9"/>
      <c r="F191" s="9"/>
      <c r="G191" s="9"/>
      <c r="H191" s="9"/>
      <c r="I191" s="9"/>
      <c r="J191" s="9"/>
      <c r="K191" s="8"/>
      <c r="L191" s="8"/>
      <c r="M191" s="8"/>
      <c r="N191" s="8"/>
      <c r="O191" s="8"/>
      <c r="P191" s="8"/>
      <c r="Q191" s="8"/>
      <c r="R191" s="8"/>
      <c r="S191" s="8"/>
      <c r="T191" s="8"/>
    </row>
    <row r="192" spans="1:20">
      <c r="A192" s="10"/>
      <c r="B192" s="1"/>
      <c r="C192" s="8"/>
      <c r="D192" s="8"/>
      <c r="E192" s="9"/>
      <c r="F192" s="9"/>
      <c r="G192" s="9"/>
      <c r="H192" s="9"/>
      <c r="I192" s="9"/>
      <c r="J192" s="9"/>
      <c r="K192" s="8"/>
      <c r="L192" s="8"/>
      <c r="M192" s="8"/>
      <c r="N192" s="8"/>
      <c r="O192" s="8"/>
      <c r="P192" s="8"/>
      <c r="Q192" s="8"/>
      <c r="R192" s="8"/>
      <c r="S192" s="8"/>
      <c r="T192" s="8"/>
    </row>
    <row r="193" spans="1:20">
      <c r="A193" s="10"/>
      <c r="B193" s="1"/>
      <c r="C193" s="8"/>
      <c r="D193" s="8"/>
      <c r="E193" s="9"/>
      <c r="F193" s="9"/>
      <c r="G193" s="9"/>
      <c r="H193" s="9"/>
      <c r="I193" s="9"/>
      <c r="J193" s="9"/>
      <c r="K193" s="8"/>
      <c r="L193" s="8"/>
      <c r="M193" s="8"/>
      <c r="N193" s="8"/>
      <c r="O193" s="8"/>
      <c r="P193" s="8"/>
      <c r="Q193" s="8"/>
      <c r="R193" s="8"/>
      <c r="S193" s="8"/>
      <c r="T193" s="8"/>
    </row>
    <row r="194" spans="1:20">
      <c r="A194" s="10"/>
      <c r="B194" s="1"/>
      <c r="C194" s="8"/>
      <c r="D194" s="8"/>
      <c r="E194" s="9"/>
      <c r="F194" s="9"/>
      <c r="G194" s="9"/>
      <c r="H194" s="9"/>
      <c r="I194" s="9"/>
      <c r="J194" s="9"/>
      <c r="K194" s="8"/>
      <c r="L194" s="8"/>
      <c r="M194" s="8"/>
      <c r="N194" s="8"/>
      <c r="O194" s="8"/>
      <c r="P194" s="8"/>
      <c r="Q194" s="8"/>
      <c r="R194" s="8"/>
      <c r="S194" s="8"/>
      <c r="T194" s="8"/>
    </row>
    <row r="195" spans="1:20">
      <c r="A195" s="10"/>
      <c r="B195" s="1"/>
      <c r="C195" s="8"/>
      <c r="D195" s="8"/>
      <c r="E195" s="9"/>
      <c r="F195" s="9"/>
      <c r="G195" s="9"/>
      <c r="H195" s="9"/>
      <c r="I195" s="9"/>
      <c r="J195" s="9"/>
      <c r="K195" s="8"/>
      <c r="L195" s="8"/>
      <c r="M195" s="8"/>
      <c r="N195" s="8"/>
      <c r="O195" s="8"/>
      <c r="P195" s="8"/>
      <c r="Q195" s="8"/>
      <c r="R195" s="8"/>
      <c r="S195" s="8"/>
      <c r="T195" s="8"/>
    </row>
    <row r="196" spans="1:20">
      <c r="A196" s="10"/>
      <c r="B196" s="1"/>
      <c r="C196" s="8"/>
      <c r="D196" s="8"/>
      <c r="E196" s="9"/>
      <c r="F196" s="9"/>
      <c r="G196" s="9"/>
      <c r="H196" s="9"/>
      <c r="I196" s="9"/>
      <c r="J196" s="9"/>
      <c r="K196" s="8"/>
      <c r="L196" s="8"/>
      <c r="M196" s="8"/>
      <c r="N196" s="8"/>
      <c r="O196" s="8"/>
      <c r="P196" s="8"/>
      <c r="Q196" s="8"/>
      <c r="R196" s="8"/>
      <c r="S196" s="8"/>
      <c r="T196" s="8"/>
    </row>
    <row r="197" spans="1:20">
      <c r="A197" s="10"/>
      <c r="B197" s="1"/>
      <c r="C197" s="8"/>
      <c r="D197" s="8"/>
      <c r="E197" s="9"/>
      <c r="F197" s="9"/>
      <c r="G197" s="9"/>
      <c r="H197" s="9"/>
      <c r="I197" s="9"/>
      <c r="J197" s="9"/>
      <c r="K197" s="8"/>
      <c r="L197" s="8"/>
      <c r="M197" s="8"/>
      <c r="N197" s="8"/>
      <c r="O197" s="8"/>
      <c r="P197" s="8"/>
      <c r="Q197" s="8"/>
      <c r="R197" s="8"/>
      <c r="S197" s="8"/>
      <c r="T197" s="8"/>
    </row>
    <row r="198" spans="1:20">
      <c r="A198" s="10"/>
      <c r="B198" s="1"/>
      <c r="C198" s="8"/>
      <c r="D198" s="8"/>
      <c r="E198" s="9"/>
      <c r="F198" s="9"/>
      <c r="G198" s="9"/>
      <c r="H198" s="9"/>
      <c r="I198" s="9"/>
      <c r="J198" s="9"/>
      <c r="K198" s="8"/>
      <c r="L198" s="8"/>
      <c r="M198" s="8"/>
      <c r="N198" s="8"/>
      <c r="O198" s="8"/>
      <c r="P198" s="8"/>
      <c r="Q198" s="8"/>
      <c r="R198" s="8"/>
      <c r="S198" s="8"/>
      <c r="T198" s="8"/>
    </row>
    <row r="199" spans="1:20">
      <c r="A199" s="10"/>
      <c r="B199" s="1"/>
      <c r="C199" s="8"/>
      <c r="D199" s="8"/>
      <c r="E199" s="9"/>
      <c r="F199" s="9"/>
      <c r="G199" s="9"/>
      <c r="H199" s="9"/>
      <c r="I199" s="9"/>
      <c r="J199" s="9"/>
      <c r="K199" s="8"/>
      <c r="L199" s="8"/>
      <c r="M199" s="8"/>
      <c r="N199" s="8"/>
      <c r="O199" s="8"/>
      <c r="P199" s="8"/>
      <c r="Q199" s="8"/>
      <c r="R199" s="8"/>
      <c r="S199" s="8"/>
      <c r="T199" s="8"/>
    </row>
    <row r="200" spans="1:20">
      <c r="A200" s="10"/>
      <c r="B200" s="1"/>
      <c r="C200" s="8"/>
      <c r="D200" s="8"/>
      <c r="E200" s="9"/>
      <c r="F200" s="9"/>
      <c r="G200" s="9"/>
      <c r="H200" s="9"/>
      <c r="I200" s="9"/>
      <c r="J200" s="9"/>
      <c r="K200" s="8"/>
      <c r="L200" s="8"/>
      <c r="M200" s="8"/>
      <c r="N200" s="8"/>
      <c r="O200" s="8"/>
      <c r="P200" s="8"/>
      <c r="Q200" s="8"/>
      <c r="R200" s="8"/>
      <c r="S200" s="8"/>
      <c r="T200" s="8"/>
    </row>
    <row r="201" spans="1:20">
      <c r="A201" s="10"/>
      <c r="B201" s="1"/>
      <c r="C201" s="8"/>
      <c r="D201" s="8"/>
      <c r="E201" s="9"/>
      <c r="F201" s="9"/>
      <c r="G201" s="9"/>
      <c r="H201" s="9"/>
      <c r="I201" s="9"/>
      <c r="J201" s="9"/>
      <c r="K201" s="8"/>
      <c r="L201" s="8"/>
      <c r="M201" s="8"/>
      <c r="N201" s="8"/>
      <c r="O201" s="8"/>
      <c r="P201" s="8"/>
      <c r="Q201" s="8"/>
      <c r="R201" s="8"/>
      <c r="S201" s="8"/>
      <c r="T201" s="8"/>
    </row>
    <row r="202" spans="1:20">
      <c r="A202" s="10"/>
      <c r="B202" s="1"/>
      <c r="C202" s="8"/>
      <c r="D202" s="8"/>
      <c r="E202" s="9"/>
      <c r="F202" s="9"/>
      <c r="G202" s="9"/>
      <c r="H202" s="9"/>
      <c r="I202" s="9"/>
      <c r="J202" s="9"/>
      <c r="K202" s="8"/>
      <c r="L202" s="8"/>
      <c r="M202" s="8"/>
      <c r="N202" s="8"/>
      <c r="O202" s="8"/>
      <c r="P202" s="8"/>
      <c r="Q202" s="8"/>
      <c r="R202" s="8"/>
      <c r="S202" s="8"/>
      <c r="T202" s="8"/>
    </row>
    <row r="203" spans="1:20">
      <c r="A203" s="10"/>
      <c r="B203" s="1"/>
      <c r="C203" s="8"/>
      <c r="D203" s="8"/>
      <c r="E203" s="9"/>
      <c r="F203" s="9"/>
      <c r="G203" s="9"/>
      <c r="H203" s="9"/>
      <c r="I203" s="9"/>
      <c r="J203" s="9"/>
      <c r="K203" s="8"/>
      <c r="L203" s="8"/>
      <c r="M203" s="8"/>
      <c r="N203" s="8"/>
      <c r="O203" s="8"/>
      <c r="P203" s="8"/>
      <c r="Q203" s="8"/>
      <c r="R203" s="8"/>
      <c r="S203" s="8"/>
      <c r="T203" s="8"/>
    </row>
    <row r="204" spans="1:20">
      <c r="A204" s="10"/>
      <c r="B204" s="1"/>
      <c r="C204" s="8"/>
      <c r="D204" s="8"/>
      <c r="E204" s="9"/>
      <c r="F204" s="9"/>
      <c r="G204" s="9"/>
      <c r="H204" s="9"/>
      <c r="I204" s="9"/>
      <c r="J204" s="9"/>
      <c r="K204" s="8"/>
      <c r="L204" s="8"/>
      <c r="M204" s="8"/>
      <c r="N204" s="8"/>
      <c r="O204" s="8"/>
      <c r="P204" s="8"/>
      <c r="Q204" s="8"/>
      <c r="R204" s="8"/>
      <c r="S204" s="8"/>
      <c r="T204" s="8"/>
    </row>
    <row r="205" spans="1:20">
      <c r="A205" s="10"/>
      <c r="B205" s="1"/>
      <c r="C205" s="8"/>
      <c r="D205" s="8"/>
      <c r="E205" s="9"/>
      <c r="F205" s="9"/>
      <c r="G205" s="9"/>
      <c r="H205" s="9"/>
      <c r="I205" s="9"/>
      <c r="J205" s="9"/>
      <c r="K205" s="8"/>
      <c r="L205" s="8"/>
      <c r="M205" s="8"/>
      <c r="N205" s="8"/>
      <c r="O205" s="8"/>
      <c r="P205" s="8"/>
      <c r="Q205" s="8"/>
      <c r="R205" s="8"/>
      <c r="S205" s="8"/>
      <c r="T205" s="8"/>
    </row>
    <row r="206" spans="1:20">
      <c r="A206" s="10"/>
      <c r="B206" s="1"/>
      <c r="C206" s="8"/>
      <c r="D206" s="8"/>
      <c r="E206" s="9"/>
      <c r="F206" s="9"/>
      <c r="G206" s="9"/>
      <c r="H206" s="9"/>
      <c r="I206" s="9"/>
      <c r="J206" s="9"/>
      <c r="K206" s="8"/>
      <c r="L206" s="8"/>
      <c r="M206" s="8"/>
      <c r="N206" s="8"/>
      <c r="O206" s="8"/>
      <c r="P206" s="8"/>
      <c r="Q206" s="8"/>
      <c r="R206" s="8"/>
      <c r="S206" s="8"/>
      <c r="T206" s="8"/>
    </row>
    <row r="207" spans="1:20">
      <c r="A207" s="10"/>
      <c r="B207" s="1"/>
      <c r="C207" s="8"/>
      <c r="D207" s="8"/>
      <c r="E207" s="9"/>
      <c r="F207" s="9"/>
      <c r="G207" s="9"/>
      <c r="H207" s="9"/>
      <c r="I207" s="9"/>
      <c r="J207" s="9"/>
      <c r="K207" s="8"/>
      <c r="L207" s="8"/>
      <c r="M207" s="8"/>
      <c r="N207" s="8"/>
      <c r="O207" s="8"/>
      <c r="P207" s="8"/>
      <c r="Q207" s="8"/>
      <c r="R207" s="8"/>
      <c r="S207" s="8"/>
      <c r="T207" s="8"/>
    </row>
    <row r="208" spans="1:20">
      <c r="A208" s="10"/>
      <c r="B208" s="1"/>
      <c r="C208" s="8"/>
      <c r="D208" s="8"/>
      <c r="E208" s="9"/>
      <c r="F208" s="9"/>
      <c r="G208" s="9"/>
      <c r="H208" s="9"/>
      <c r="I208" s="9"/>
      <c r="J208" s="9"/>
      <c r="K208" s="8"/>
      <c r="L208" s="8"/>
      <c r="M208" s="8"/>
      <c r="N208" s="8"/>
      <c r="O208" s="8"/>
      <c r="P208" s="8"/>
      <c r="Q208" s="8"/>
      <c r="R208" s="8"/>
      <c r="S208" s="8"/>
      <c r="T208" s="8"/>
    </row>
    <row r="209" spans="1:20">
      <c r="A209" s="10"/>
      <c r="B209" s="1"/>
      <c r="C209" s="8"/>
      <c r="D209" s="8"/>
      <c r="E209" s="9"/>
      <c r="F209" s="9"/>
      <c r="G209" s="9"/>
      <c r="H209" s="9"/>
      <c r="I209" s="9"/>
      <c r="J209" s="9"/>
      <c r="K209" s="8"/>
      <c r="L209" s="8"/>
      <c r="M209" s="8"/>
      <c r="N209" s="8"/>
      <c r="O209" s="8"/>
      <c r="P209" s="8"/>
      <c r="Q209" s="8"/>
      <c r="R209" s="8"/>
      <c r="S209" s="8"/>
      <c r="T209" s="8"/>
    </row>
    <row r="210" spans="1:20">
      <c r="A210" s="10"/>
      <c r="B210" s="1"/>
      <c r="C210" s="8"/>
      <c r="D210" s="8"/>
      <c r="E210" s="9"/>
      <c r="F210" s="9"/>
      <c r="G210" s="9"/>
      <c r="H210" s="9"/>
      <c r="I210" s="9"/>
      <c r="J210" s="9"/>
      <c r="K210" s="8"/>
      <c r="L210" s="8"/>
      <c r="M210" s="8"/>
      <c r="N210" s="8"/>
      <c r="O210" s="8"/>
      <c r="P210" s="8"/>
      <c r="Q210" s="8"/>
      <c r="R210" s="8"/>
      <c r="S210" s="8"/>
      <c r="T210" s="8"/>
    </row>
    <row r="211" spans="1:20">
      <c r="A211" s="10"/>
      <c r="B211" s="1"/>
      <c r="C211" s="8"/>
      <c r="D211" s="8"/>
      <c r="E211" s="9"/>
      <c r="F211" s="9"/>
      <c r="G211" s="9"/>
      <c r="H211" s="9"/>
      <c r="I211" s="9"/>
      <c r="J211" s="9"/>
      <c r="K211" s="8"/>
      <c r="L211" s="8"/>
      <c r="M211" s="8"/>
      <c r="N211" s="8"/>
      <c r="O211" s="8"/>
      <c r="P211" s="8"/>
      <c r="Q211" s="8"/>
      <c r="R211" s="8"/>
      <c r="S211" s="8"/>
      <c r="T211" s="8"/>
    </row>
    <row r="212" spans="1:20">
      <c r="A212" s="10"/>
      <c r="B212" s="1"/>
      <c r="C212" s="8"/>
      <c r="D212" s="8"/>
      <c r="E212" s="9"/>
      <c r="F212" s="9"/>
      <c r="G212" s="9"/>
      <c r="H212" s="9"/>
      <c r="I212" s="9"/>
      <c r="J212" s="9"/>
      <c r="K212" s="8"/>
      <c r="L212" s="8"/>
      <c r="M212" s="8"/>
      <c r="N212" s="8"/>
      <c r="O212" s="8"/>
      <c r="P212" s="8"/>
      <c r="Q212" s="8"/>
      <c r="R212" s="8"/>
      <c r="S212" s="8"/>
      <c r="T212" s="8"/>
    </row>
    <row r="213" spans="1:20">
      <c r="A213" s="10"/>
      <c r="B213" s="1"/>
      <c r="C213" s="8"/>
      <c r="D213" s="8"/>
      <c r="E213" s="9"/>
      <c r="F213" s="9"/>
      <c r="G213" s="9"/>
      <c r="H213" s="9"/>
      <c r="I213" s="9"/>
      <c r="J213" s="9"/>
      <c r="K213" s="8"/>
      <c r="L213" s="8"/>
      <c r="M213" s="8"/>
      <c r="N213" s="8"/>
      <c r="O213" s="8"/>
      <c r="P213" s="8"/>
      <c r="Q213" s="8"/>
      <c r="R213" s="8"/>
      <c r="S213" s="8"/>
      <c r="T213" s="8"/>
    </row>
    <row r="214" spans="1:20">
      <c r="A214" s="10"/>
      <c r="B214" s="1"/>
      <c r="C214" s="8"/>
      <c r="D214" s="8"/>
      <c r="E214" s="9"/>
      <c r="F214" s="9"/>
      <c r="G214" s="9"/>
      <c r="H214" s="9"/>
      <c r="I214" s="9"/>
      <c r="J214" s="9"/>
      <c r="K214" s="8"/>
      <c r="L214" s="8"/>
      <c r="M214" s="8"/>
      <c r="N214" s="8"/>
      <c r="O214" s="8"/>
      <c r="P214" s="8"/>
      <c r="Q214" s="8"/>
      <c r="R214" s="8"/>
      <c r="S214" s="8"/>
      <c r="T214" s="8"/>
    </row>
    <row r="215" spans="1:20">
      <c r="A215" s="10"/>
      <c r="B215" s="1"/>
      <c r="C215" s="8"/>
      <c r="D215" s="8"/>
      <c r="E215" s="9"/>
      <c r="F215" s="9"/>
      <c r="G215" s="9"/>
      <c r="H215" s="9"/>
      <c r="I215" s="9"/>
      <c r="J215" s="9"/>
      <c r="K215" s="8"/>
      <c r="L215" s="8"/>
      <c r="M215" s="8"/>
      <c r="N215" s="8"/>
      <c r="O215" s="8"/>
      <c r="P215" s="8"/>
      <c r="Q215" s="8"/>
      <c r="R215" s="8"/>
      <c r="S215" s="8"/>
      <c r="T215" s="8"/>
    </row>
    <row r="216" spans="1:20">
      <c r="A216" s="10"/>
      <c r="B216" s="1"/>
      <c r="C216" s="8"/>
      <c r="D216" s="8"/>
      <c r="E216" s="9"/>
      <c r="F216" s="9"/>
      <c r="G216" s="9"/>
      <c r="H216" s="9"/>
      <c r="I216" s="9"/>
      <c r="J216" s="9"/>
      <c r="K216" s="8"/>
      <c r="L216" s="8"/>
      <c r="M216" s="8"/>
      <c r="N216" s="8"/>
      <c r="O216" s="8"/>
      <c r="P216" s="8"/>
      <c r="Q216" s="8"/>
      <c r="R216" s="8"/>
      <c r="S216" s="8"/>
      <c r="T216" s="8"/>
    </row>
    <row r="217" spans="1:20">
      <c r="A217" s="10"/>
      <c r="B217" s="1"/>
      <c r="C217" s="8"/>
      <c r="D217" s="8"/>
      <c r="E217" s="9"/>
      <c r="F217" s="9"/>
      <c r="G217" s="9"/>
      <c r="H217" s="9"/>
      <c r="I217" s="9"/>
      <c r="J217" s="9"/>
      <c r="K217" s="8"/>
      <c r="L217" s="8"/>
      <c r="M217" s="8"/>
      <c r="N217" s="8"/>
      <c r="O217" s="8"/>
      <c r="P217" s="8"/>
      <c r="Q217" s="8"/>
      <c r="R217" s="8"/>
      <c r="S217" s="8"/>
      <c r="T217" s="8"/>
    </row>
    <row r="218" spans="1:20">
      <c r="A218" s="10"/>
      <c r="B218" s="1"/>
      <c r="C218" s="8"/>
      <c r="D218" s="8"/>
      <c r="E218" s="9"/>
      <c r="F218" s="9"/>
      <c r="G218" s="9"/>
      <c r="H218" s="9"/>
      <c r="I218" s="9"/>
      <c r="J218" s="9"/>
      <c r="K218" s="8"/>
      <c r="L218" s="8"/>
      <c r="M218" s="8"/>
      <c r="N218" s="8"/>
      <c r="O218" s="8"/>
      <c r="P218" s="8"/>
      <c r="Q218" s="8"/>
      <c r="R218" s="8"/>
      <c r="S218" s="8"/>
      <c r="T218" s="8"/>
    </row>
    <row r="219" spans="1:20">
      <c r="A219" s="10"/>
      <c r="B219" s="1"/>
      <c r="C219" s="8"/>
      <c r="D219" s="8"/>
      <c r="E219" s="9"/>
      <c r="F219" s="9"/>
      <c r="G219" s="9"/>
      <c r="H219" s="9"/>
      <c r="I219" s="9"/>
      <c r="J219" s="9"/>
      <c r="K219" s="8"/>
      <c r="L219" s="8"/>
      <c r="M219" s="8"/>
      <c r="N219" s="8"/>
      <c r="O219" s="8"/>
      <c r="P219" s="8"/>
      <c r="Q219" s="8"/>
      <c r="R219" s="8"/>
      <c r="S219" s="8"/>
      <c r="T219" s="8"/>
    </row>
    <row r="220" spans="1:20">
      <c r="A220" s="10"/>
      <c r="B220" s="1"/>
      <c r="C220" s="8"/>
      <c r="D220" s="8"/>
      <c r="E220" s="9"/>
      <c r="F220" s="9"/>
      <c r="G220" s="9"/>
      <c r="H220" s="9"/>
      <c r="I220" s="9"/>
      <c r="J220" s="9"/>
      <c r="K220" s="8"/>
      <c r="L220" s="8"/>
      <c r="M220" s="8"/>
      <c r="N220" s="8"/>
      <c r="O220" s="8"/>
      <c r="P220" s="8"/>
      <c r="Q220" s="8"/>
      <c r="R220" s="8"/>
      <c r="S220" s="8"/>
      <c r="T220" s="8"/>
    </row>
    <row r="221" spans="1:20">
      <c r="A221" s="10"/>
      <c r="B221" s="1"/>
      <c r="C221" s="8"/>
      <c r="D221" s="8"/>
      <c r="E221" s="9"/>
      <c r="F221" s="9"/>
      <c r="G221" s="9"/>
      <c r="H221" s="9"/>
      <c r="I221" s="9"/>
      <c r="J221" s="9"/>
      <c r="K221" s="8"/>
      <c r="L221" s="8"/>
      <c r="M221" s="8"/>
      <c r="N221" s="8"/>
      <c r="O221" s="8"/>
      <c r="P221" s="8"/>
      <c r="Q221" s="8"/>
      <c r="R221" s="8"/>
      <c r="S221" s="8"/>
      <c r="T221" s="8"/>
    </row>
    <row r="222" spans="1:20">
      <c r="A222" s="10"/>
      <c r="B222" s="1"/>
      <c r="C222" s="8"/>
      <c r="D222" s="8"/>
      <c r="E222" s="9"/>
      <c r="F222" s="9"/>
      <c r="G222" s="9"/>
      <c r="H222" s="9"/>
      <c r="I222" s="9"/>
      <c r="J222" s="9"/>
      <c r="K222" s="8"/>
      <c r="L222" s="8"/>
      <c r="M222" s="8"/>
      <c r="N222" s="8"/>
      <c r="O222" s="8"/>
      <c r="P222" s="8"/>
      <c r="Q222" s="8"/>
      <c r="R222" s="8"/>
      <c r="S222" s="8"/>
      <c r="T222" s="8"/>
    </row>
    <row r="223" spans="1:20">
      <c r="A223" s="10"/>
      <c r="B223" s="1"/>
      <c r="C223" s="8"/>
      <c r="D223" s="8"/>
      <c r="E223" s="9"/>
      <c r="F223" s="9"/>
      <c r="G223" s="9"/>
      <c r="H223" s="9"/>
      <c r="I223" s="9"/>
      <c r="J223" s="9"/>
      <c r="K223" s="8"/>
      <c r="L223" s="8"/>
      <c r="M223" s="8"/>
      <c r="N223" s="8"/>
      <c r="O223" s="8"/>
      <c r="P223" s="8"/>
      <c r="Q223" s="8"/>
      <c r="R223" s="8"/>
      <c r="S223" s="8"/>
      <c r="T223" s="8"/>
    </row>
    <row r="224" spans="1:20">
      <c r="A224" s="10"/>
      <c r="B224" s="1"/>
      <c r="C224" s="8"/>
      <c r="D224" s="8"/>
      <c r="E224" s="9"/>
      <c r="F224" s="9"/>
      <c r="G224" s="9"/>
      <c r="H224" s="9"/>
      <c r="I224" s="9"/>
      <c r="J224" s="9"/>
      <c r="K224" s="8"/>
      <c r="L224" s="8"/>
      <c r="M224" s="8"/>
      <c r="N224" s="8"/>
      <c r="O224" s="8"/>
      <c r="P224" s="8"/>
      <c r="Q224" s="8"/>
      <c r="R224" s="8"/>
      <c r="S224" s="8"/>
      <c r="T224" s="8"/>
    </row>
    <row r="225" spans="1:20">
      <c r="A225" s="10"/>
      <c r="B225" s="1"/>
      <c r="C225" s="8"/>
      <c r="D225" s="8"/>
      <c r="E225" s="9"/>
      <c r="F225" s="9"/>
      <c r="G225" s="9"/>
      <c r="H225" s="9"/>
      <c r="I225" s="9"/>
      <c r="J225" s="9"/>
      <c r="K225" s="8"/>
      <c r="L225" s="8"/>
      <c r="M225" s="8"/>
      <c r="N225" s="8"/>
      <c r="O225" s="8"/>
      <c r="P225" s="8"/>
      <c r="Q225" s="8"/>
      <c r="R225" s="8"/>
      <c r="S225" s="8"/>
      <c r="T225" s="8"/>
    </row>
    <row r="226" spans="1:20">
      <c r="A226" s="10"/>
      <c r="B226" s="1"/>
      <c r="C226" s="8"/>
      <c r="D226" s="8"/>
      <c r="E226" s="9"/>
      <c r="F226" s="9"/>
      <c r="G226" s="9"/>
      <c r="H226" s="9"/>
      <c r="I226" s="9"/>
      <c r="J226" s="9"/>
      <c r="K226" s="8"/>
      <c r="L226" s="8"/>
      <c r="M226" s="8"/>
      <c r="N226" s="8"/>
      <c r="O226" s="8"/>
      <c r="P226" s="8"/>
      <c r="Q226" s="8"/>
      <c r="R226" s="8"/>
      <c r="S226" s="8"/>
      <c r="T226" s="8"/>
    </row>
    <row r="227" spans="1:20">
      <c r="A227" s="10"/>
      <c r="B227" s="1"/>
      <c r="C227" s="8"/>
      <c r="D227" s="8"/>
      <c r="E227" s="9"/>
      <c r="F227" s="9"/>
      <c r="G227" s="9"/>
      <c r="H227" s="9"/>
      <c r="I227" s="9"/>
      <c r="J227" s="9"/>
      <c r="K227" s="8"/>
      <c r="L227" s="8"/>
      <c r="M227" s="8"/>
      <c r="N227" s="8"/>
      <c r="O227" s="8"/>
      <c r="P227" s="8"/>
      <c r="Q227" s="8"/>
      <c r="R227" s="8"/>
      <c r="S227" s="8"/>
      <c r="T227" s="8"/>
    </row>
    <row r="228" spans="1:20">
      <c r="A228" s="10"/>
      <c r="B228" s="1"/>
      <c r="C228" s="8"/>
      <c r="D228" s="8"/>
      <c r="E228" s="9"/>
      <c r="F228" s="9"/>
      <c r="G228" s="9"/>
      <c r="H228" s="9"/>
      <c r="I228" s="9"/>
      <c r="J228" s="9"/>
      <c r="K228" s="8"/>
      <c r="L228" s="8"/>
      <c r="M228" s="8"/>
      <c r="N228" s="8"/>
      <c r="O228" s="8"/>
      <c r="P228" s="8"/>
      <c r="Q228" s="8"/>
      <c r="R228" s="8"/>
      <c r="S228" s="8"/>
      <c r="T228" s="8"/>
    </row>
    <row r="229" spans="1:20">
      <c r="A229" s="10"/>
      <c r="B229" s="1"/>
      <c r="C229" s="8"/>
      <c r="D229" s="8"/>
      <c r="E229" s="9"/>
      <c r="F229" s="9"/>
      <c r="G229" s="9"/>
      <c r="H229" s="9"/>
      <c r="I229" s="9"/>
      <c r="J229" s="9"/>
      <c r="K229" s="8"/>
      <c r="L229" s="8"/>
      <c r="M229" s="8"/>
      <c r="N229" s="8"/>
      <c r="O229" s="8"/>
      <c r="P229" s="8"/>
      <c r="Q229" s="8"/>
      <c r="R229" s="8"/>
      <c r="S229" s="8"/>
      <c r="T229" s="8"/>
    </row>
    <row r="230" spans="1:20">
      <c r="A230" s="10"/>
      <c r="B230" s="1"/>
      <c r="C230" s="8"/>
      <c r="D230" s="8"/>
      <c r="E230" s="9"/>
      <c r="F230" s="9"/>
      <c r="G230" s="9"/>
      <c r="H230" s="9"/>
      <c r="I230" s="9"/>
      <c r="J230" s="9"/>
      <c r="K230" s="8"/>
      <c r="L230" s="8"/>
      <c r="M230" s="8"/>
      <c r="N230" s="8"/>
      <c r="O230" s="8"/>
      <c r="P230" s="8"/>
      <c r="Q230" s="8"/>
      <c r="R230" s="8"/>
      <c r="S230" s="8"/>
      <c r="T230" s="8"/>
    </row>
    <row r="231" spans="1:20">
      <c r="A231" s="10"/>
      <c r="B231" s="1"/>
      <c r="C231" s="8"/>
      <c r="D231" s="8"/>
      <c r="E231" s="9"/>
      <c r="F231" s="9"/>
      <c r="G231" s="9"/>
      <c r="H231" s="9"/>
      <c r="I231" s="9"/>
      <c r="J231" s="9"/>
      <c r="K231" s="8"/>
      <c r="L231" s="8"/>
      <c r="M231" s="8"/>
      <c r="N231" s="8"/>
      <c r="O231" s="8"/>
      <c r="P231" s="8"/>
      <c r="Q231" s="8"/>
      <c r="R231" s="8"/>
      <c r="S231" s="8"/>
      <c r="T231" s="8"/>
    </row>
    <row r="232" spans="1:20">
      <c r="A232" s="10"/>
      <c r="B232" s="1"/>
      <c r="C232" s="8"/>
      <c r="D232" s="8"/>
      <c r="E232" s="9"/>
      <c r="F232" s="9"/>
      <c r="G232" s="9"/>
      <c r="H232" s="9"/>
      <c r="I232" s="9"/>
      <c r="J232" s="9"/>
      <c r="K232" s="8"/>
      <c r="L232" s="8"/>
      <c r="M232" s="8"/>
      <c r="N232" s="8"/>
      <c r="O232" s="8"/>
      <c r="P232" s="8"/>
      <c r="Q232" s="8"/>
      <c r="R232" s="8"/>
      <c r="S232" s="8"/>
      <c r="T232" s="8"/>
    </row>
    <row r="233" spans="1:20">
      <c r="A233" s="10"/>
      <c r="B233" s="1"/>
      <c r="C233" s="8"/>
      <c r="D233" s="8"/>
      <c r="E233" s="9"/>
      <c r="F233" s="9"/>
      <c r="G233" s="9"/>
      <c r="H233" s="9"/>
      <c r="I233" s="9"/>
      <c r="J233" s="9"/>
      <c r="K233" s="8"/>
      <c r="L233" s="8"/>
      <c r="M233" s="8"/>
      <c r="N233" s="8"/>
      <c r="O233" s="8"/>
      <c r="P233" s="8"/>
      <c r="Q233" s="8"/>
      <c r="R233" s="8"/>
      <c r="S233" s="8"/>
      <c r="T233" s="8"/>
    </row>
    <row r="234" spans="1:20">
      <c r="A234" s="10"/>
      <c r="B234" s="1"/>
      <c r="C234" s="8"/>
      <c r="D234" s="8"/>
      <c r="E234" s="9"/>
      <c r="F234" s="9"/>
      <c r="G234" s="9"/>
      <c r="H234" s="9"/>
      <c r="I234" s="9"/>
      <c r="J234" s="9"/>
      <c r="K234" s="8"/>
      <c r="L234" s="8"/>
      <c r="M234" s="8"/>
      <c r="N234" s="8"/>
      <c r="O234" s="8"/>
      <c r="P234" s="8"/>
      <c r="Q234" s="8"/>
      <c r="R234" s="8"/>
      <c r="S234" s="8"/>
      <c r="T234" s="8"/>
    </row>
    <row r="235" spans="1:20">
      <c r="A235" s="10"/>
      <c r="B235" s="1"/>
      <c r="C235" s="8"/>
      <c r="D235" s="8"/>
      <c r="E235" s="9"/>
      <c r="F235" s="9"/>
      <c r="G235" s="9"/>
      <c r="H235" s="9"/>
      <c r="I235" s="9"/>
      <c r="J235" s="9"/>
      <c r="K235" s="8"/>
      <c r="L235" s="8"/>
      <c r="M235" s="8"/>
      <c r="N235" s="8"/>
      <c r="O235" s="8"/>
      <c r="P235" s="8"/>
      <c r="Q235" s="8"/>
      <c r="R235" s="8"/>
      <c r="S235" s="8"/>
      <c r="T235" s="8"/>
    </row>
    <row r="236" spans="1:20">
      <c r="A236" s="10"/>
      <c r="B236" s="1"/>
      <c r="C236" s="8"/>
      <c r="D236" s="8"/>
      <c r="E236" s="9"/>
      <c r="F236" s="9"/>
      <c r="G236" s="9"/>
      <c r="H236" s="9"/>
      <c r="I236" s="9"/>
      <c r="J236" s="9"/>
      <c r="K236" s="8"/>
      <c r="L236" s="8"/>
      <c r="M236" s="8"/>
      <c r="N236" s="8"/>
      <c r="O236" s="8"/>
      <c r="P236" s="8"/>
      <c r="Q236" s="8"/>
      <c r="R236" s="8"/>
      <c r="S236" s="8"/>
      <c r="T236" s="8"/>
    </row>
    <row r="237" spans="1:20">
      <c r="A237" s="10"/>
      <c r="B237" s="1"/>
      <c r="C237" s="8"/>
      <c r="D237" s="8"/>
      <c r="E237" s="9"/>
      <c r="F237" s="9"/>
      <c r="G237" s="9"/>
      <c r="H237" s="9"/>
      <c r="I237" s="9"/>
      <c r="J237" s="9"/>
      <c r="K237" s="8"/>
      <c r="L237" s="8"/>
      <c r="M237" s="8"/>
      <c r="N237" s="8"/>
      <c r="O237" s="8"/>
      <c r="P237" s="8"/>
      <c r="Q237" s="8"/>
      <c r="R237" s="8"/>
      <c r="S237" s="8"/>
      <c r="T237" s="8"/>
    </row>
    <row r="238" spans="1:20">
      <c r="A238" s="10"/>
      <c r="B238" s="1"/>
      <c r="C238" s="8"/>
      <c r="D238" s="8"/>
      <c r="E238" s="9"/>
      <c r="F238" s="9"/>
      <c r="G238" s="9"/>
      <c r="H238" s="9"/>
      <c r="I238" s="9"/>
      <c r="J238" s="9"/>
      <c r="K238" s="8"/>
      <c r="L238" s="8"/>
      <c r="M238" s="8"/>
      <c r="N238" s="8"/>
      <c r="O238" s="8"/>
      <c r="P238" s="8"/>
      <c r="Q238" s="8"/>
      <c r="R238" s="8"/>
      <c r="S238" s="8"/>
      <c r="T238" s="8"/>
    </row>
    <row r="239" spans="1:20">
      <c r="A239" s="10"/>
      <c r="B239" s="1"/>
      <c r="C239" s="8"/>
      <c r="D239" s="8"/>
      <c r="E239" s="9"/>
      <c r="F239" s="9"/>
      <c r="G239" s="9"/>
      <c r="H239" s="9"/>
      <c r="I239" s="9"/>
      <c r="J239" s="9"/>
      <c r="K239" s="8"/>
      <c r="L239" s="8"/>
      <c r="M239" s="8"/>
      <c r="N239" s="8"/>
      <c r="O239" s="8"/>
      <c r="P239" s="8"/>
      <c r="Q239" s="8"/>
      <c r="R239" s="8"/>
      <c r="S239" s="8"/>
      <c r="T239" s="8"/>
    </row>
    <row r="240" spans="1:20">
      <c r="A240" s="10"/>
      <c r="B240" s="1"/>
      <c r="C240" s="8"/>
      <c r="D240" s="8"/>
      <c r="E240" s="9"/>
      <c r="F240" s="9"/>
      <c r="G240" s="9"/>
      <c r="H240" s="9"/>
      <c r="I240" s="9"/>
      <c r="J240" s="9"/>
      <c r="K240" s="8"/>
      <c r="L240" s="8"/>
      <c r="M240" s="8"/>
      <c r="N240" s="8"/>
      <c r="O240" s="8"/>
      <c r="P240" s="8"/>
      <c r="Q240" s="8"/>
      <c r="R240" s="8"/>
      <c r="S240" s="8"/>
      <c r="T240" s="8"/>
    </row>
    <row r="241" spans="1:20">
      <c r="A241" s="10"/>
      <c r="B241" s="1"/>
      <c r="C241" s="8"/>
      <c r="D241" s="8"/>
      <c r="E241" s="9"/>
      <c r="F241" s="9"/>
      <c r="G241" s="9"/>
      <c r="H241" s="9"/>
      <c r="I241" s="9"/>
      <c r="J241" s="9"/>
      <c r="K241" s="8"/>
      <c r="L241" s="8"/>
      <c r="M241" s="8"/>
      <c r="N241" s="8"/>
      <c r="O241" s="8"/>
      <c r="P241" s="8"/>
      <c r="Q241" s="8"/>
      <c r="R241" s="8"/>
      <c r="S241" s="8"/>
      <c r="T241" s="8"/>
    </row>
    <row r="242" spans="1:20">
      <c r="A242" s="10"/>
      <c r="B242" s="1"/>
      <c r="C242" s="8"/>
      <c r="D242" s="8"/>
      <c r="E242" s="9"/>
      <c r="F242" s="9"/>
      <c r="G242" s="9"/>
      <c r="H242" s="9"/>
      <c r="I242" s="9"/>
      <c r="J242" s="9"/>
      <c r="K242" s="8"/>
      <c r="L242" s="8"/>
      <c r="M242" s="8"/>
      <c r="N242" s="8"/>
      <c r="O242" s="8"/>
      <c r="P242" s="8"/>
      <c r="Q242" s="8"/>
      <c r="R242" s="8"/>
      <c r="S242" s="8"/>
      <c r="T242" s="8"/>
    </row>
    <row r="243" spans="1:20">
      <c r="A243" s="10"/>
      <c r="B243" s="1"/>
      <c r="C243" s="8"/>
      <c r="D243" s="8"/>
      <c r="E243" s="9"/>
      <c r="F243" s="9"/>
      <c r="G243" s="9"/>
      <c r="H243" s="9"/>
      <c r="I243" s="9"/>
      <c r="J243" s="9"/>
      <c r="K243" s="8"/>
      <c r="L243" s="8"/>
      <c r="M243" s="8"/>
      <c r="N243" s="8"/>
      <c r="O243" s="8"/>
      <c r="P243" s="8"/>
      <c r="Q243" s="8"/>
      <c r="R243" s="8"/>
      <c r="S243" s="8"/>
      <c r="T243" s="8"/>
    </row>
    <row r="244" spans="1:20">
      <c r="A244" s="10"/>
      <c r="B244" s="1"/>
      <c r="C244" s="8"/>
      <c r="D244" s="8"/>
      <c r="E244" s="9"/>
      <c r="F244" s="9"/>
      <c r="G244" s="9"/>
      <c r="H244" s="9"/>
      <c r="I244" s="9"/>
      <c r="J244" s="9"/>
      <c r="K244" s="8"/>
      <c r="L244" s="8"/>
      <c r="M244" s="8"/>
      <c r="N244" s="8"/>
      <c r="O244" s="8"/>
      <c r="P244" s="8"/>
      <c r="Q244" s="8"/>
      <c r="R244" s="8"/>
      <c r="S244" s="8"/>
      <c r="T244" s="8"/>
    </row>
    <row r="245" spans="1:20">
      <c r="A245" s="10"/>
      <c r="B245" s="1"/>
      <c r="C245" s="8"/>
      <c r="D245" s="8"/>
      <c r="E245" s="9"/>
      <c r="F245" s="9"/>
      <c r="G245" s="9"/>
      <c r="H245" s="9"/>
      <c r="I245" s="9"/>
      <c r="J245" s="9"/>
      <c r="K245" s="8"/>
      <c r="L245" s="8"/>
      <c r="M245" s="8"/>
      <c r="N245" s="8"/>
      <c r="O245" s="8"/>
      <c r="P245" s="8"/>
      <c r="Q245" s="8"/>
      <c r="R245" s="8"/>
      <c r="S245" s="8"/>
      <c r="T245" s="8"/>
    </row>
    <row r="246" spans="1:20">
      <c r="A246" s="10"/>
      <c r="B246" s="1"/>
      <c r="C246" s="8"/>
      <c r="D246" s="8"/>
      <c r="E246" s="9"/>
      <c r="F246" s="9"/>
      <c r="G246" s="9"/>
      <c r="H246" s="9"/>
      <c r="I246" s="9"/>
      <c r="J246" s="9"/>
      <c r="K246" s="8"/>
      <c r="L246" s="8"/>
      <c r="M246" s="8"/>
      <c r="N246" s="8"/>
      <c r="O246" s="8"/>
      <c r="P246" s="8"/>
      <c r="Q246" s="8"/>
      <c r="R246" s="8"/>
      <c r="S246" s="8"/>
      <c r="T246" s="8"/>
    </row>
    <row r="247" spans="1:20">
      <c r="A247" s="10"/>
      <c r="B247" s="1"/>
      <c r="C247" s="8"/>
      <c r="D247" s="8"/>
      <c r="E247" s="9"/>
      <c r="F247" s="9"/>
      <c r="G247" s="9"/>
      <c r="H247" s="9"/>
      <c r="I247" s="9"/>
      <c r="J247" s="9"/>
      <c r="K247" s="8"/>
      <c r="L247" s="8"/>
      <c r="M247" s="8"/>
      <c r="N247" s="8"/>
      <c r="O247" s="8"/>
      <c r="P247" s="8"/>
      <c r="Q247" s="8"/>
      <c r="R247" s="8"/>
      <c r="S247" s="8"/>
      <c r="T247" s="8"/>
    </row>
    <row r="248" spans="1:20">
      <c r="A248" s="10"/>
      <c r="B248" s="1"/>
      <c r="C248" s="8"/>
      <c r="D248" s="8"/>
      <c r="E248" s="9"/>
      <c r="F248" s="9"/>
      <c r="G248" s="9"/>
      <c r="H248" s="9"/>
      <c r="I248" s="9"/>
      <c r="J248" s="9"/>
      <c r="K248" s="8"/>
      <c r="L248" s="8"/>
      <c r="M248" s="8"/>
      <c r="N248" s="8"/>
      <c r="O248" s="8"/>
      <c r="P248" s="8"/>
      <c r="Q248" s="8"/>
      <c r="R248" s="8"/>
      <c r="S248" s="8"/>
      <c r="T248" s="8"/>
    </row>
    <row r="249" spans="1:20">
      <c r="A249" s="10"/>
      <c r="B249" s="1"/>
      <c r="C249" s="8"/>
      <c r="D249" s="8"/>
      <c r="E249" s="9"/>
      <c r="F249" s="9"/>
      <c r="G249" s="9"/>
      <c r="H249" s="9"/>
      <c r="I249" s="9"/>
      <c r="J249" s="9"/>
      <c r="K249" s="8"/>
      <c r="L249" s="8"/>
      <c r="M249" s="8"/>
      <c r="N249" s="8"/>
      <c r="O249" s="8"/>
      <c r="P249" s="8"/>
      <c r="Q249" s="8"/>
      <c r="R249" s="8"/>
      <c r="S249" s="8"/>
      <c r="T249" s="8"/>
    </row>
    <row r="250" spans="1:20">
      <c r="A250" s="10"/>
      <c r="B250" s="1"/>
      <c r="C250" s="8"/>
      <c r="D250" s="8"/>
      <c r="E250" s="9"/>
      <c r="F250" s="9"/>
      <c r="G250" s="9"/>
      <c r="H250" s="9"/>
      <c r="I250" s="9"/>
      <c r="J250" s="9"/>
      <c r="K250" s="8"/>
      <c r="L250" s="8"/>
      <c r="M250" s="8"/>
      <c r="N250" s="8"/>
      <c r="O250" s="8"/>
      <c r="P250" s="8"/>
      <c r="Q250" s="8"/>
      <c r="R250" s="8"/>
      <c r="S250" s="8"/>
      <c r="T250" s="8"/>
    </row>
    <row r="251" spans="1:20">
      <c r="A251" s="10"/>
      <c r="B251" s="1"/>
      <c r="C251" s="8"/>
      <c r="D251" s="8"/>
      <c r="E251" s="9"/>
      <c r="F251" s="9"/>
      <c r="G251" s="9"/>
      <c r="H251" s="9"/>
      <c r="I251" s="9"/>
      <c r="J251" s="9"/>
      <c r="K251" s="8"/>
      <c r="L251" s="8"/>
      <c r="M251" s="8"/>
      <c r="N251" s="8"/>
      <c r="O251" s="8"/>
      <c r="P251" s="8"/>
      <c r="Q251" s="8"/>
      <c r="R251" s="8"/>
      <c r="S251" s="8"/>
      <c r="T251" s="8"/>
    </row>
    <row r="252" spans="1:20">
      <c r="A252" s="10"/>
      <c r="B252" s="1"/>
      <c r="C252" s="8"/>
      <c r="D252" s="8"/>
      <c r="E252" s="9"/>
      <c r="F252" s="9"/>
      <c r="G252" s="9"/>
      <c r="H252" s="9"/>
      <c r="I252" s="9"/>
      <c r="J252" s="9"/>
      <c r="K252" s="8"/>
      <c r="L252" s="8"/>
      <c r="M252" s="8"/>
      <c r="N252" s="8"/>
      <c r="O252" s="8"/>
      <c r="P252" s="8"/>
      <c r="Q252" s="8"/>
      <c r="R252" s="8"/>
      <c r="S252" s="8"/>
      <c r="T252" s="8"/>
    </row>
    <row r="253" spans="1:20">
      <c r="A253" s="10"/>
      <c r="B253" s="1"/>
      <c r="C253" s="8"/>
      <c r="D253" s="8"/>
      <c r="E253" s="9"/>
      <c r="F253" s="9"/>
      <c r="G253" s="9"/>
      <c r="H253" s="9"/>
      <c r="I253" s="9"/>
      <c r="J253" s="9"/>
      <c r="K253" s="8"/>
      <c r="L253" s="8"/>
      <c r="M253" s="8"/>
      <c r="N253" s="8"/>
      <c r="O253" s="8"/>
      <c r="P253" s="8"/>
      <c r="Q253" s="8"/>
      <c r="R253" s="8"/>
      <c r="S253" s="8"/>
      <c r="T253" s="8"/>
    </row>
    <row r="254" spans="1:20">
      <c r="A254" s="10"/>
      <c r="B254" s="1"/>
      <c r="C254" s="8"/>
      <c r="D254" s="8"/>
      <c r="E254" s="9"/>
      <c r="F254" s="9"/>
      <c r="G254" s="9"/>
      <c r="H254" s="9"/>
      <c r="I254" s="9"/>
      <c r="J254" s="9"/>
      <c r="K254" s="8"/>
      <c r="L254" s="8"/>
      <c r="M254" s="8"/>
      <c r="N254" s="8"/>
      <c r="O254" s="8"/>
      <c r="P254" s="8"/>
      <c r="Q254" s="8"/>
      <c r="R254" s="8"/>
      <c r="S254" s="8"/>
      <c r="T254" s="8"/>
    </row>
    <row r="255" spans="1:20">
      <c r="A255" s="10"/>
      <c r="B255" s="1"/>
      <c r="C255" s="8"/>
      <c r="D255" s="8"/>
      <c r="E255" s="9"/>
      <c r="F255" s="9"/>
      <c r="G255" s="9"/>
      <c r="H255" s="9"/>
      <c r="I255" s="9"/>
      <c r="J255" s="9"/>
      <c r="K255" s="8"/>
      <c r="L255" s="8"/>
      <c r="M255" s="8"/>
      <c r="N255" s="8"/>
      <c r="O255" s="8"/>
      <c r="P255" s="8"/>
      <c r="Q255" s="8"/>
      <c r="R255" s="8"/>
      <c r="S255" s="8"/>
      <c r="T255" s="8"/>
    </row>
    <row r="256" spans="1:20">
      <c r="A256" s="10"/>
      <c r="B256" s="1"/>
      <c r="C256" s="8"/>
      <c r="D256" s="8"/>
      <c r="E256" s="9"/>
      <c r="F256" s="9"/>
      <c r="G256" s="9"/>
      <c r="H256" s="9"/>
      <c r="I256" s="9"/>
      <c r="J256" s="9"/>
      <c r="K256" s="8"/>
      <c r="L256" s="8"/>
      <c r="M256" s="8"/>
      <c r="N256" s="8"/>
      <c r="O256" s="8"/>
      <c r="P256" s="8"/>
      <c r="Q256" s="8"/>
      <c r="R256" s="8"/>
      <c r="S256" s="8"/>
      <c r="T256" s="8"/>
    </row>
    <row r="257" spans="1:20">
      <c r="A257" s="10"/>
      <c r="B257" s="1"/>
      <c r="C257" s="8"/>
      <c r="D257" s="8"/>
      <c r="E257" s="9"/>
      <c r="F257" s="9"/>
      <c r="G257" s="9"/>
      <c r="H257" s="9"/>
      <c r="I257" s="9"/>
      <c r="J257" s="9"/>
      <c r="K257" s="8"/>
      <c r="L257" s="8"/>
      <c r="M257" s="8"/>
      <c r="N257" s="8"/>
      <c r="O257" s="8"/>
      <c r="P257" s="8"/>
      <c r="Q257" s="8"/>
      <c r="R257" s="8"/>
      <c r="S257" s="8"/>
      <c r="T257" s="8"/>
    </row>
    <row r="258" spans="1:20">
      <c r="A258" s="10"/>
      <c r="B258" s="1"/>
      <c r="C258" s="8"/>
      <c r="D258" s="8"/>
      <c r="E258" s="9"/>
      <c r="F258" s="9"/>
      <c r="G258" s="9"/>
      <c r="H258" s="9"/>
      <c r="I258" s="9"/>
      <c r="J258" s="9"/>
      <c r="K258" s="8"/>
      <c r="L258" s="8"/>
      <c r="M258" s="8"/>
      <c r="N258" s="8"/>
      <c r="O258" s="8"/>
      <c r="P258" s="8"/>
      <c r="Q258" s="8"/>
      <c r="R258" s="8"/>
      <c r="S258" s="8"/>
      <c r="T258" s="8"/>
    </row>
    <row r="259" spans="1:20">
      <c r="A259" s="10"/>
      <c r="B259" s="1"/>
      <c r="C259" s="8"/>
      <c r="D259" s="8"/>
      <c r="E259" s="9"/>
      <c r="F259" s="9"/>
      <c r="G259" s="9"/>
      <c r="H259" s="9"/>
      <c r="I259" s="9"/>
      <c r="J259" s="9"/>
      <c r="K259" s="8"/>
      <c r="L259" s="8"/>
      <c r="M259" s="8"/>
      <c r="N259" s="8"/>
      <c r="O259" s="8"/>
      <c r="P259" s="8"/>
      <c r="Q259" s="8"/>
      <c r="R259" s="8"/>
      <c r="S259" s="8"/>
      <c r="T259" s="8"/>
    </row>
    <row r="260" spans="1:20">
      <c r="A260" s="10"/>
      <c r="B260" s="1"/>
      <c r="C260" s="8"/>
      <c r="D260" s="8"/>
      <c r="E260" s="9"/>
      <c r="F260" s="9"/>
      <c r="G260" s="9"/>
      <c r="H260" s="9"/>
      <c r="I260" s="9"/>
      <c r="J260" s="9"/>
      <c r="K260" s="8"/>
      <c r="L260" s="8"/>
      <c r="M260" s="8"/>
      <c r="N260" s="8"/>
      <c r="O260" s="8"/>
      <c r="P260" s="8"/>
      <c r="Q260" s="8"/>
      <c r="R260" s="8"/>
      <c r="S260" s="8"/>
      <c r="T260" s="8"/>
    </row>
    <row r="261" spans="1:20">
      <c r="A261" s="10"/>
      <c r="B261" s="1"/>
      <c r="C261" s="8"/>
      <c r="D261" s="8"/>
      <c r="E261" s="9"/>
      <c r="F261" s="9"/>
      <c r="G261" s="9"/>
      <c r="H261" s="9"/>
      <c r="I261" s="9"/>
      <c r="J261" s="9"/>
      <c r="K261" s="8"/>
      <c r="L261" s="8"/>
      <c r="M261" s="8"/>
      <c r="N261" s="8"/>
      <c r="O261" s="8"/>
      <c r="P261" s="8"/>
      <c r="Q261" s="8"/>
      <c r="R261" s="8"/>
      <c r="S261" s="8"/>
      <c r="T261" s="8"/>
    </row>
    <row r="262" spans="1:20">
      <c r="A262" s="10"/>
      <c r="B262" s="1"/>
      <c r="C262" s="8"/>
      <c r="D262" s="8"/>
      <c r="E262" s="9"/>
      <c r="F262" s="9"/>
      <c r="G262" s="9"/>
      <c r="H262" s="9"/>
      <c r="I262" s="9"/>
      <c r="J262" s="9"/>
      <c r="K262" s="8"/>
      <c r="L262" s="8"/>
      <c r="M262" s="8"/>
      <c r="N262" s="8"/>
      <c r="O262" s="8"/>
      <c r="P262" s="8"/>
      <c r="Q262" s="8"/>
      <c r="R262" s="8"/>
      <c r="S262" s="8"/>
      <c r="T262" s="8"/>
    </row>
    <row r="263" spans="1:20">
      <c r="A263" s="10"/>
      <c r="B263" s="1"/>
      <c r="C263" s="8"/>
      <c r="D263" s="8"/>
      <c r="E263" s="9"/>
      <c r="F263" s="9"/>
      <c r="G263" s="9"/>
      <c r="H263" s="9"/>
      <c r="I263" s="9"/>
      <c r="J263" s="9"/>
      <c r="K263" s="8"/>
      <c r="L263" s="8"/>
      <c r="M263" s="8"/>
      <c r="N263" s="8"/>
      <c r="O263" s="8"/>
      <c r="P263" s="8"/>
      <c r="Q263" s="8"/>
      <c r="R263" s="8"/>
      <c r="S263" s="8"/>
      <c r="T263" s="8"/>
    </row>
    <row r="264" spans="1:20">
      <c r="A264" s="10"/>
      <c r="B264" s="1"/>
      <c r="C264" s="8"/>
      <c r="D264" s="8"/>
      <c r="E264" s="9"/>
      <c r="F264" s="9"/>
      <c r="G264" s="9"/>
      <c r="H264" s="9"/>
      <c r="I264" s="9"/>
      <c r="J264" s="9"/>
      <c r="K264" s="8"/>
      <c r="L264" s="8"/>
      <c r="M264" s="8"/>
      <c r="N264" s="8"/>
      <c r="O264" s="8"/>
      <c r="P264" s="8"/>
      <c r="Q264" s="8"/>
      <c r="R264" s="8"/>
      <c r="S264" s="8"/>
      <c r="T264" s="8"/>
    </row>
    <row r="265" spans="1:20">
      <c r="A265" s="10"/>
      <c r="B265" s="1"/>
      <c r="C265" s="8"/>
      <c r="D265" s="8"/>
      <c r="E265" s="9"/>
      <c r="F265" s="9"/>
      <c r="G265" s="9"/>
      <c r="H265" s="9"/>
      <c r="I265" s="9"/>
      <c r="J265" s="9"/>
      <c r="K265" s="8"/>
      <c r="L265" s="8"/>
      <c r="M265" s="8"/>
      <c r="N265" s="8"/>
      <c r="O265" s="8"/>
      <c r="P265" s="8"/>
      <c r="Q265" s="8"/>
      <c r="R265" s="8"/>
      <c r="S265" s="8"/>
      <c r="T265" s="8"/>
    </row>
    <row r="266" spans="1:20">
      <c r="A266" s="10"/>
      <c r="B266" s="1"/>
      <c r="C266" s="8"/>
      <c r="D266" s="8"/>
      <c r="E266" s="9"/>
      <c r="F266" s="9"/>
      <c r="G266" s="9"/>
      <c r="H266" s="9"/>
      <c r="I266" s="9"/>
      <c r="J266" s="9"/>
      <c r="K266" s="8"/>
      <c r="L266" s="8"/>
      <c r="M266" s="8"/>
      <c r="N266" s="8"/>
      <c r="O266" s="8"/>
      <c r="P266" s="8"/>
      <c r="Q266" s="8"/>
      <c r="R266" s="8"/>
      <c r="S266" s="8"/>
      <c r="T266" s="8"/>
    </row>
    <row r="267" spans="1:20">
      <c r="A267" s="10"/>
      <c r="B267" s="1"/>
      <c r="C267" s="8"/>
      <c r="D267" s="8"/>
      <c r="E267" s="9"/>
      <c r="F267" s="9"/>
      <c r="G267" s="9"/>
      <c r="H267" s="9"/>
      <c r="I267" s="9"/>
      <c r="J267" s="9"/>
      <c r="K267" s="8"/>
      <c r="L267" s="8"/>
      <c r="M267" s="8"/>
      <c r="N267" s="8"/>
      <c r="O267" s="8"/>
      <c r="P267" s="8"/>
      <c r="Q267" s="8"/>
      <c r="R267" s="8"/>
      <c r="S267" s="8"/>
      <c r="T267" s="8"/>
    </row>
    <row r="268" spans="1:20">
      <c r="A268" s="10"/>
      <c r="B268" s="1"/>
      <c r="C268" s="8"/>
      <c r="D268" s="8"/>
      <c r="E268" s="9"/>
      <c r="F268" s="9"/>
      <c r="G268" s="9"/>
      <c r="H268" s="9"/>
      <c r="I268" s="9"/>
      <c r="J268" s="9"/>
      <c r="K268" s="8"/>
      <c r="L268" s="8"/>
      <c r="M268" s="8"/>
      <c r="N268" s="8"/>
      <c r="O268" s="8"/>
      <c r="P268" s="8"/>
      <c r="Q268" s="8"/>
      <c r="R268" s="8"/>
      <c r="S268" s="8"/>
      <c r="T268" s="8"/>
    </row>
    <row r="269" spans="1:20">
      <c r="A269" s="10"/>
      <c r="B269" s="1"/>
      <c r="C269" s="8"/>
      <c r="D269" s="8"/>
      <c r="E269" s="9"/>
      <c r="F269" s="9"/>
      <c r="G269" s="9"/>
      <c r="H269" s="9"/>
      <c r="I269" s="9"/>
      <c r="J269" s="9"/>
      <c r="K269" s="8"/>
      <c r="L269" s="8"/>
      <c r="M269" s="8"/>
      <c r="N269" s="8"/>
      <c r="O269" s="8"/>
      <c r="P269" s="8"/>
      <c r="Q269" s="8"/>
      <c r="R269" s="8"/>
      <c r="S269" s="8"/>
      <c r="T269" s="8"/>
    </row>
    <row r="270" spans="1:20">
      <c r="A270" s="10"/>
      <c r="B270" s="1"/>
      <c r="C270" s="8"/>
      <c r="D270" s="8"/>
      <c r="E270" s="9"/>
      <c r="F270" s="9"/>
      <c r="G270" s="9"/>
      <c r="H270" s="9"/>
      <c r="I270" s="9"/>
      <c r="J270" s="9"/>
      <c r="K270" s="8"/>
      <c r="L270" s="8"/>
      <c r="M270" s="8"/>
      <c r="N270" s="8"/>
      <c r="O270" s="8"/>
      <c r="P270" s="8"/>
      <c r="Q270" s="8"/>
      <c r="R270" s="8"/>
      <c r="S270" s="8"/>
      <c r="T270" s="8"/>
    </row>
    <row r="271" spans="1:20">
      <c r="A271" s="10"/>
      <c r="B271" s="1"/>
      <c r="C271" s="8"/>
      <c r="D271" s="8"/>
      <c r="E271" s="9"/>
      <c r="F271" s="9"/>
      <c r="G271" s="9"/>
      <c r="H271" s="9"/>
      <c r="I271" s="9"/>
      <c r="J271" s="9"/>
      <c r="K271" s="8"/>
      <c r="L271" s="8"/>
      <c r="M271" s="8"/>
      <c r="N271" s="8"/>
      <c r="O271" s="8"/>
      <c r="P271" s="8"/>
      <c r="Q271" s="8"/>
      <c r="R271" s="8"/>
      <c r="S271" s="8"/>
      <c r="T271" s="8"/>
    </row>
    <row r="272" spans="1:20">
      <c r="A272" s="10"/>
      <c r="B272" s="1"/>
      <c r="C272" s="8"/>
      <c r="D272" s="8"/>
      <c r="E272" s="9"/>
      <c r="F272" s="9"/>
      <c r="G272" s="9"/>
      <c r="H272" s="9"/>
      <c r="I272" s="9"/>
      <c r="J272" s="9"/>
      <c r="K272" s="8"/>
      <c r="L272" s="8"/>
      <c r="M272" s="8"/>
      <c r="N272" s="8"/>
      <c r="O272" s="8"/>
      <c r="P272" s="8"/>
      <c r="Q272" s="8"/>
      <c r="R272" s="8"/>
      <c r="S272" s="8"/>
      <c r="T272" s="8"/>
    </row>
    <row r="273" spans="1:20">
      <c r="A273" s="10"/>
      <c r="B273" s="1"/>
      <c r="C273" s="8"/>
      <c r="D273" s="8"/>
      <c r="E273" s="9"/>
      <c r="F273" s="9"/>
      <c r="G273" s="9"/>
      <c r="H273" s="9"/>
      <c r="I273" s="9"/>
      <c r="J273" s="9"/>
      <c r="K273" s="8"/>
      <c r="L273" s="8"/>
      <c r="M273" s="8"/>
      <c r="N273" s="8"/>
      <c r="O273" s="8"/>
      <c r="P273" s="8"/>
      <c r="Q273" s="8"/>
      <c r="R273" s="8"/>
      <c r="S273" s="8"/>
      <c r="T273" s="8"/>
    </row>
    <row r="274" spans="1:20">
      <c r="A274" s="10"/>
      <c r="B274" s="1"/>
      <c r="C274" s="8"/>
      <c r="D274" s="8"/>
      <c r="E274" s="9"/>
      <c r="F274" s="9"/>
      <c r="G274" s="9"/>
      <c r="H274" s="9"/>
      <c r="I274" s="9"/>
      <c r="J274" s="9"/>
      <c r="K274" s="8"/>
      <c r="L274" s="8"/>
      <c r="M274" s="8"/>
      <c r="N274" s="8"/>
      <c r="O274" s="8"/>
      <c r="P274" s="8"/>
      <c r="Q274" s="8"/>
      <c r="R274" s="8"/>
      <c r="S274" s="8"/>
      <c r="T274" s="8"/>
    </row>
    <row r="275" spans="1:20">
      <c r="A275" s="10"/>
      <c r="B275" s="1"/>
      <c r="C275" s="8"/>
      <c r="D275" s="8"/>
      <c r="E275" s="9"/>
      <c r="F275" s="9"/>
      <c r="G275" s="9"/>
      <c r="H275" s="9"/>
      <c r="I275" s="9"/>
      <c r="J275" s="9"/>
      <c r="K275" s="8"/>
      <c r="L275" s="8"/>
      <c r="M275" s="8"/>
      <c r="N275" s="8"/>
      <c r="O275" s="8"/>
      <c r="P275" s="8"/>
      <c r="Q275" s="8"/>
      <c r="R275" s="8"/>
      <c r="S275" s="8"/>
      <c r="T275" s="8"/>
    </row>
    <row r="276" spans="1:20">
      <c r="A276" s="10"/>
      <c r="B276" s="1"/>
      <c r="C276" s="8"/>
      <c r="D276" s="8"/>
      <c r="E276" s="9"/>
      <c r="F276" s="9"/>
      <c r="G276" s="9"/>
      <c r="H276" s="9"/>
      <c r="I276" s="9"/>
      <c r="J276" s="9"/>
      <c r="K276" s="8"/>
      <c r="L276" s="8"/>
      <c r="M276" s="8"/>
      <c r="N276" s="8"/>
      <c r="O276" s="8"/>
      <c r="P276" s="8"/>
      <c r="Q276" s="8"/>
      <c r="R276" s="8"/>
      <c r="S276" s="8"/>
      <c r="T276" s="8"/>
    </row>
    <row r="277" spans="1:20">
      <c r="A277" s="10"/>
      <c r="B277" s="1"/>
      <c r="C277" s="8"/>
      <c r="D277" s="8"/>
      <c r="E277" s="9"/>
      <c r="F277" s="9"/>
      <c r="G277" s="9"/>
      <c r="H277" s="9"/>
      <c r="I277" s="9"/>
      <c r="J277" s="9"/>
      <c r="K277" s="8"/>
      <c r="L277" s="8"/>
      <c r="M277" s="8"/>
      <c r="N277" s="8"/>
      <c r="O277" s="8"/>
      <c r="P277" s="8"/>
      <c r="Q277" s="8"/>
      <c r="R277" s="8"/>
      <c r="S277" s="8"/>
      <c r="T277" s="8"/>
    </row>
    <row r="278" spans="1:20">
      <c r="A278" s="10"/>
      <c r="B278" s="1"/>
      <c r="C278" s="8"/>
      <c r="D278" s="8"/>
      <c r="E278" s="9"/>
      <c r="F278" s="9"/>
      <c r="G278" s="9"/>
      <c r="H278" s="9"/>
      <c r="I278" s="9"/>
      <c r="J278" s="9"/>
      <c r="K278" s="8"/>
      <c r="L278" s="8"/>
      <c r="M278" s="8"/>
      <c r="N278" s="8"/>
      <c r="O278" s="8"/>
      <c r="P278" s="8"/>
      <c r="Q278" s="8"/>
      <c r="R278" s="8"/>
      <c r="S278" s="8"/>
      <c r="T278" s="8"/>
    </row>
    <row r="279" spans="1:20">
      <c r="A279" s="10"/>
      <c r="B279" s="1"/>
      <c r="C279" s="8"/>
      <c r="D279" s="8"/>
      <c r="E279" s="9"/>
      <c r="F279" s="9"/>
      <c r="G279" s="9"/>
      <c r="H279" s="9"/>
      <c r="I279" s="9"/>
      <c r="J279" s="9"/>
      <c r="K279" s="8"/>
      <c r="L279" s="8"/>
      <c r="M279" s="8"/>
      <c r="N279" s="8"/>
      <c r="O279" s="8"/>
      <c r="P279" s="8"/>
      <c r="Q279" s="8"/>
      <c r="R279" s="8"/>
      <c r="S279" s="8"/>
      <c r="T279" s="8"/>
    </row>
    <row r="280" spans="1:20">
      <c r="A280" s="10"/>
      <c r="B280" s="1"/>
      <c r="C280" s="8"/>
      <c r="D280" s="8"/>
      <c r="E280" s="9"/>
      <c r="F280" s="9"/>
      <c r="G280" s="9"/>
      <c r="H280" s="9"/>
      <c r="I280" s="9"/>
      <c r="J280" s="9"/>
      <c r="K280" s="8"/>
      <c r="L280" s="8"/>
      <c r="M280" s="8"/>
      <c r="N280" s="8"/>
      <c r="O280" s="8"/>
      <c r="P280" s="8"/>
      <c r="Q280" s="8"/>
      <c r="R280" s="8"/>
      <c r="S280" s="8"/>
      <c r="T280" s="8"/>
    </row>
    <row r="281" spans="1:20">
      <c r="A281" s="10"/>
      <c r="B281" s="1"/>
      <c r="C281" s="8"/>
      <c r="D281" s="8"/>
      <c r="E281" s="9"/>
      <c r="F281" s="9"/>
      <c r="G281" s="9"/>
      <c r="H281" s="9"/>
      <c r="I281" s="9"/>
      <c r="J281" s="9"/>
      <c r="K281" s="8"/>
      <c r="L281" s="8"/>
      <c r="M281" s="8"/>
      <c r="N281" s="8"/>
      <c r="O281" s="8"/>
      <c r="P281" s="8"/>
      <c r="Q281" s="8"/>
      <c r="R281" s="8"/>
      <c r="S281" s="8"/>
      <c r="T281" s="8"/>
    </row>
    <row r="282" spans="1:20">
      <c r="A282" s="10"/>
      <c r="B282" s="1"/>
      <c r="C282" s="8"/>
      <c r="D282" s="8"/>
      <c r="E282" s="9"/>
      <c r="F282" s="9"/>
      <c r="G282" s="9"/>
      <c r="H282" s="9"/>
      <c r="I282" s="9"/>
      <c r="J282" s="9"/>
      <c r="K282" s="8"/>
      <c r="L282" s="8"/>
      <c r="M282" s="8"/>
      <c r="N282" s="8"/>
      <c r="O282" s="8"/>
      <c r="P282" s="8"/>
      <c r="Q282" s="8"/>
      <c r="R282" s="8"/>
      <c r="S282" s="8"/>
      <c r="T282" s="8"/>
    </row>
    <row r="283" spans="1:20">
      <c r="A283" s="10"/>
      <c r="B283" s="1"/>
      <c r="C283" s="8"/>
      <c r="D283" s="8"/>
      <c r="E283" s="9"/>
      <c r="F283" s="9"/>
      <c r="G283" s="9"/>
      <c r="H283" s="9"/>
      <c r="I283" s="9"/>
      <c r="J283" s="9"/>
      <c r="K283" s="8"/>
      <c r="L283" s="8"/>
      <c r="M283" s="8"/>
      <c r="N283" s="8"/>
      <c r="O283" s="8"/>
      <c r="P283" s="8"/>
      <c r="Q283" s="8"/>
      <c r="R283" s="8"/>
      <c r="S283" s="8"/>
      <c r="T283" s="8"/>
    </row>
    <row r="284" spans="1:20">
      <c r="A284" s="10"/>
      <c r="B284" s="1"/>
      <c r="C284" s="8"/>
      <c r="D284" s="8"/>
      <c r="E284" s="9"/>
      <c r="F284" s="9"/>
      <c r="G284" s="9"/>
      <c r="H284" s="9"/>
      <c r="I284" s="9"/>
      <c r="J284" s="9"/>
      <c r="K284" s="8"/>
      <c r="L284" s="8"/>
      <c r="M284" s="8"/>
      <c r="N284" s="8"/>
      <c r="O284" s="8"/>
      <c r="P284" s="8"/>
      <c r="Q284" s="8"/>
      <c r="R284" s="8"/>
      <c r="S284" s="8"/>
      <c r="T284" s="8"/>
    </row>
    <row r="285" spans="1:20">
      <c r="A285" s="10"/>
      <c r="B285" s="1"/>
      <c r="C285" s="8"/>
      <c r="D285" s="8"/>
      <c r="E285" s="9"/>
      <c r="F285" s="9"/>
      <c r="G285" s="9"/>
      <c r="H285" s="9"/>
      <c r="I285" s="9"/>
      <c r="J285" s="9"/>
      <c r="K285" s="8"/>
      <c r="L285" s="8"/>
      <c r="M285" s="8"/>
      <c r="N285" s="8"/>
      <c r="O285" s="8"/>
      <c r="P285" s="8"/>
      <c r="Q285" s="8"/>
      <c r="R285" s="8"/>
      <c r="S285" s="8"/>
      <c r="T285" s="8"/>
    </row>
    <row r="286" spans="1:20">
      <c r="A286" s="10"/>
      <c r="B286" s="1"/>
      <c r="C286" s="8"/>
      <c r="D286" s="8"/>
      <c r="E286" s="9"/>
      <c r="F286" s="9"/>
      <c r="G286" s="9"/>
      <c r="H286" s="9"/>
      <c r="I286" s="9"/>
      <c r="J286" s="9"/>
      <c r="K286" s="8"/>
      <c r="L286" s="8"/>
      <c r="M286" s="8"/>
      <c r="N286" s="8"/>
      <c r="O286" s="8"/>
      <c r="P286" s="8"/>
      <c r="Q286" s="8"/>
      <c r="R286" s="8"/>
      <c r="S286" s="8"/>
      <c r="T286" s="8"/>
    </row>
    <row r="287" spans="1:20">
      <c r="A287" s="10"/>
      <c r="B287" s="1"/>
      <c r="C287" s="8"/>
      <c r="D287" s="8"/>
      <c r="E287" s="9"/>
      <c r="F287" s="9"/>
      <c r="G287" s="9"/>
      <c r="H287" s="9"/>
      <c r="I287" s="9"/>
      <c r="J287" s="9"/>
      <c r="K287" s="8"/>
      <c r="L287" s="8"/>
      <c r="M287" s="8"/>
      <c r="N287" s="8"/>
      <c r="O287" s="8"/>
      <c r="P287" s="8"/>
      <c r="Q287" s="8"/>
      <c r="R287" s="8"/>
      <c r="S287" s="8"/>
      <c r="T287" s="8"/>
    </row>
    <row r="288" spans="1:20">
      <c r="A288" s="10"/>
      <c r="B288" s="1"/>
      <c r="C288" s="8"/>
      <c r="D288" s="8"/>
      <c r="E288" s="9"/>
      <c r="F288" s="9"/>
      <c r="G288" s="9"/>
      <c r="H288" s="9"/>
      <c r="I288" s="9"/>
      <c r="J288" s="9"/>
      <c r="K288" s="8"/>
      <c r="L288" s="8"/>
      <c r="M288" s="8"/>
      <c r="N288" s="8"/>
      <c r="O288" s="8"/>
      <c r="P288" s="8"/>
      <c r="Q288" s="8"/>
      <c r="R288" s="8"/>
      <c r="S288" s="8"/>
      <c r="T288" s="8"/>
    </row>
    <row r="289" spans="1:20">
      <c r="A289" s="10"/>
      <c r="B289" s="1"/>
      <c r="C289" s="8"/>
      <c r="D289" s="8"/>
      <c r="E289" s="9"/>
      <c r="F289" s="9"/>
      <c r="G289" s="9"/>
      <c r="H289" s="9"/>
      <c r="I289" s="9"/>
      <c r="J289" s="9"/>
      <c r="K289" s="8"/>
      <c r="L289" s="8"/>
      <c r="M289" s="8"/>
      <c r="N289" s="8"/>
      <c r="O289" s="8"/>
      <c r="P289" s="8"/>
      <c r="Q289" s="8"/>
      <c r="R289" s="8"/>
      <c r="S289" s="8"/>
      <c r="T289" s="8"/>
    </row>
    <row r="290" spans="1:20">
      <c r="A290" s="10"/>
      <c r="B290" s="1"/>
      <c r="C290" s="8"/>
      <c r="D290" s="8"/>
      <c r="E290" s="9"/>
      <c r="F290" s="9"/>
      <c r="G290" s="9"/>
      <c r="H290" s="9"/>
      <c r="I290" s="9"/>
      <c r="J290" s="9"/>
      <c r="K290" s="8"/>
      <c r="L290" s="8"/>
      <c r="M290" s="8"/>
      <c r="N290" s="8"/>
      <c r="O290" s="8"/>
      <c r="P290" s="8"/>
      <c r="Q290" s="8"/>
      <c r="R290" s="8"/>
      <c r="S290" s="8"/>
      <c r="T290" s="8"/>
    </row>
    <row r="291" spans="1:20">
      <c r="A291" s="10"/>
      <c r="B291" s="1"/>
      <c r="C291" s="8"/>
      <c r="D291" s="8"/>
      <c r="E291" s="9"/>
      <c r="F291" s="9"/>
      <c r="G291" s="9"/>
      <c r="H291" s="9"/>
      <c r="I291" s="9"/>
      <c r="J291" s="9"/>
      <c r="K291" s="8"/>
      <c r="L291" s="8"/>
      <c r="M291" s="8"/>
      <c r="N291" s="8"/>
      <c r="O291" s="8"/>
      <c r="P291" s="8"/>
      <c r="Q291" s="8"/>
      <c r="R291" s="8"/>
      <c r="S291" s="8"/>
      <c r="T291" s="8"/>
    </row>
    <row r="292" spans="1:20">
      <c r="A292" s="10"/>
      <c r="B292" s="1"/>
      <c r="C292" s="8"/>
      <c r="D292" s="8"/>
      <c r="E292" s="9"/>
      <c r="F292" s="9"/>
      <c r="G292" s="9"/>
      <c r="H292" s="9"/>
      <c r="I292" s="9"/>
      <c r="J292" s="9"/>
      <c r="K292" s="8"/>
      <c r="L292" s="8"/>
      <c r="M292" s="8"/>
      <c r="N292" s="8"/>
      <c r="O292" s="8"/>
      <c r="P292" s="8"/>
      <c r="Q292" s="8"/>
      <c r="R292" s="8"/>
      <c r="S292" s="8"/>
      <c r="T292" s="8"/>
    </row>
    <row r="293" spans="1:20">
      <c r="A293" s="10"/>
      <c r="B293" s="1"/>
      <c r="C293" s="8"/>
      <c r="D293" s="8"/>
      <c r="E293" s="9"/>
      <c r="F293" s="9"/>
      <c r="G293" s="9"/>
      <c r="H293" s="9"/>
      <c r="I293" s="9"/>
      <c r="J293" s="9"/>
      <c r="K293" s="8"/>
      <c r="L293" s="8"/>
      <c r="M293" s="8"/>
      <c r="N293" s="8"/>
      <c r="O293" s="8"/>
      <c r="P293" s="8"/>
      <c r="Q293" s="8"/>
      <c r="R293" s="8"/>
      <c r="S293" s="8"/>
      <c r="T293" s="8"/>
    </row>
    <row r="294" spans="1:20">
      <c r="A294" s="10"/>
      <c r="B294" s="1"/>
      <c r="C294" s="8"/>
      <c r="D294" s="8"/>
      <c r="E294" s="9"/>
      <c r="F294" s="9"/>
      <c r="G294" s="9"/>
      <c r="H294" s="9"/>
      <c r="I294" s="9"/>
      <c r="J294" s="9"/>
      <c r="K294" s="8"/>
      <c r="L294" s="8"/>
      <c r="M294" s="8"/>
      <c r="N294" s="8"/>
      <c r="O294" s="8"/>
      <c r="P294" s="8"/>
      <c r="Q294" s="8"/>
      <c r="R294" s="8"/>
      <c r="S294" s="8"/>
      <c r="T294" s="8"/>
    </row>
    <row r="295" spans="1:20">
      <c r="A295" s="10"/>
      <c r="B295" s="1"/>
      <c r="C295" s="8"/>
      <c r="D295" s="8"/>
      <c r="E295" s="9"/>
      <c r="F295" s="9"/>
      <c r="G295" s="9"/>
      <c r="H295" s="9"/>
      <c r="I295" s="9"/>
      <c r="J295" s="9"/>
      <c r="K295" s="8"/>
      <c r="L295" s="8"/>
      <c r="M295" s="8"/>
      <c r="N295" s="8"/>
      <c r="O295" s="8"/>
      <c r="P295" s="8"/>
      <c r="Q295" s="8"/>
      <c r="R295" s="8"/>
      <c r="S295" s="8"/>
      <c r="T295" s="8"/>
    </row>
    <row r="296" spans="1:20">
      <c r="A296" s="10"/>
      <c r="B296" s="1"/>
      <c r="C296" s="8"/>
      <c r="D296" s="8"/>
      <c r="E296" s="9"/>
      <c r="F296" s="9"/>
      <c r="G296" s="9"/>
      <c r="H296" s="9"/>
      <c r="I296" s="9"/>
      <c r="J296" s="9"/>
      <c r="K296" s="8"/>
      <c r="L296" s="8"/>
      <c r="M296" s="8"/>
      <c r="N296" s="8"/>
      <c r="O296" s="8"/>
      <c r="P296" s="8"/>
      <c r="Q296" s="8"/>
      <c r="R296" s="8"/>
      <c r="S296" s="8"/>
      <c r="T296" s="8"/>
    </row>
    <row r="297" spans="1:20">
      <c r="A297" s="10"/>
      <c r="B297" s="1"/>
      <c r="C297" s="8"/>
      <c r="D297" s="8"/>
      <c r="E297" s="9"/>
      <c r="F297" s="9"/>
      <c r="G297" s="9"/>
      <c r="H297" s="9"/>
      <c r="I297" s="9"/>
      <c r="J297" s="9"/>
      <c r="K297" s="8"/>
      <c r="L297" s="8"/>
      <c r="M297" s="8"/>
      <c r="N297" s="8"/>
      <c r="O297" s="8"/>
      <c r="P297" s="8"/>
      <c r="Q297" s="8"/>
      <c r="R297" s="8"/>
      <c r="S297" s="8"/>
      <c r="T297" s="8"/>
    </row>
    <row r="298" spans="1:20">
      <c r="A298" s="10"/>
      <c r="B298" s="1"/>
      <c r="C298" s="8"/>
      <c r="D298" s="8"/>
      <c r="E298" s="9"/>
      <c r="F298" s="9"/>
      <c r="G298" s="9"/>
      <c r="H298" s="9"/>
      <c r="I298" s="9"/>
      <c r="J298" s="9"/>
      <c r="K298" s="8"/>
      <c r="L298" s="8"/>
      <c r="M298" s="8"/>
      <c r="N298" s="8"/>
      <c r="O298" s="8"/>
      <c r="P298" s="8"/>
      <c r="Q298" s="8"/>
      <c r="R298" s="8"/>
      <c r="S298" s="8"/>
      <c r="T298" s="8"/>
    </row>
    <row r="299" spans="1:20">
      <c r="A299" s="10"/>
      <c r="B299" s="1"/>
      <c r="C299" s="8"/>
      <c r="D299" s="8"/>
      <c r="E299" s="9"/>
      <c r="F299" s="9"/>
      <c r="G299" s="9"/>
      <c r="H299" s="9"/>
      <c r="I299" s="9"/>
      <c r="J299" s="9"/>
      <c r="K299" s="8"/>
      <c r="L299" s="8"/>
      <c r="M299" s="8"/>
      <c r="N299" s="8"/>
      <c r="O299" s="8"/>
      <c r="P299" s="8"/>
      <c r="Q299" s="8"/>
      <c r="R299" s="8"/>
      <c r="S299" s="8"/>
      <c r="T299" s="8"/>
    </row>
    <row r="300" spans="1:20">
      <c r="A300" s="10"/>
      <c r="B300" s="1"/>
      <c r="C300" s="8"/>
      <c r="D300" s="8"/>
      <c r="E300" s="9"/>
      <c r="F300" s="9"/>
      <c r="G300" s="9"/>
      <c r="H300" s="9"/>
      <c r="I300" s="9"/>
      <c r="J300" s="9"/>
      <c r="K300" s="8"/>
      <c r="L300" s="8"/>
      <c r="M300" s="8"/>
      <c r="N300" s="8"/>
      <c r="O300" s="8"/>
      <c r="P300" s="8"/>
      <c r="Q300" s="8"/>
      <c r="R300" s="8"/>
      <c r="S300" s="8"/>
      <c r="T300" s="8"/>
    </row>
    <row r="301" spans="1:20">
      <c r="A301" s="10"/>
      <c r="B301" s="1"/>
      <c r="C301" s="8"/>
      <c r="D301" s="8"/>
      <c r="E301" s="9"/>
      <c r="F301" s="9"/>
      <c r="G301" s="9"/>
      <c r="H301" s="9"/>
      <c r="I301" s="9"/>
      <c r="J301" s="9"/>
      <c r="K301" s="8"/>
      <c r="L301" s="8"/>
      <c r="M301" s="8"/>
      <c r="N301" s="8"/>
      <c r="O301" s="8"/>
      <c r="P301" s="8"/>
      <c r="Q301" s="8"/>
      <c r="R301" s="8"/>
      <c r="S301" s="8"/>
      <c r="T301" s="8"/>
    </row>
    <row r="302" spans="1:20">
      <c r="A302" s="10"/>
      <c r="B302" s="1"/>
      <c r="C302" s="8"/>
      <c r="D302" s="8"/>
      <c r="E302" s="9"/>
      <c r="F302" s="9"/>
      <c r="G302" s="9"/>
      <c r="H302" s="9"/>
      <c r="I302" s="9"/>
      <c r="J302" s="9"/>
      <c r="K302" s="8"/>
      <c r="L302" s="8"/>
      <c r="M302" s="8"/>
      <c r="N302" s="8"/>
      <c r="O302" s="8"/>
      <c r="P302" s="8"/>
      <c r="Q302" s="8"/>
      <c r="R302" s="8"/>
      <c r="S302" s="8"/>
      <c r="T302" s="8"/>
    </row>
    <row r="303" spans="1:20">
      <c r="A303" s="10"/>
      <c r="B303" s="1"/>
      <c r="C303" s="8"/>
      <c r="D303" s="8"/>
      <c r="E303" s="9"/>
      <c r="F303" s="9"/>
      <c r="G303" s="9"/>
      <c r="H303" s="9"/>
      <c r="I303" s="9"/>
      <c r="J303" s="9"/>
      <c r="K303" s="8"/>
      <c r="L303" s="8"/>
      <c r="M303" s="8"/>
      <c r="N303" s="8"/>
      <c r="O303" s="8"/>
      <c r="P303" s="8"/>
      <c r="Q303" s="8"/>
      <c r="R303" s="8"/>
      <c r="S303" s="8"/>
      <c r="T303" s="8"/>
    </row>
    <row r="304" spans="1:20">
      <c r="A304" s="10"/>
      <c r="B304" s="1"/>
      <c r="C304" s="8"/>
      <c r="D304" s="8"/>
      <c r="E304" s="9"/>
      <c r="F304" s="9"/>
      <c r="G304" s="9"/>
      <c r="H304" s="9"/>
      <c r="I304" s="9"/>
      <c r="J304" s="9"/>
      <c r="K304" s="8"/>
      <c r="L304" s="8"/>
      <c r="M304" s="8"/>
      <c r="N304" s="8"/>
      <c r="O304" s="8"/>
      <c r="P304" s="8"/>
      <c r="Q304" s="8"/>
      <c r="R304" s="8"/>
      <c r="S304" s="8"/>
      <c r="T304" s="8"/>
    </row>
    <row r="305" spans="1:20">
      <c r="A305" s="10"/>
      <c r="B305" s="1"/>
      <c r="C305" s="8"/>
      <c r="D305" s="8"/>
      <c r="E305" s="9"/>
      <c r="F305" s="9"/>
      <c r="G305" s="9"/>
      <c r="H305" s="9"/>
      <c r="I305" s="9"/>
      <c r="J305" s="9"/>
      <c r="K305" s="8"/>
      <c r="L305" s="8"/>
      <c r="M305" s="8"/>
      <c r="N305" s="8"/>
      <c r="O305" s="8"/>
      <c r="P305" s="8"/>
      <c r="Q305" s="8"/>
      <c r="R305" s="8"/>
      <c r="S305" s="8"/>
      <c r="T305" s="8"/>
    </row>
    <row r="306" spans="1:20">
      <c r="A306" s="10"/>
      <c r="B306" s="1"/>
      <c r="C306" s="8"/>
      <c r="D306" s="8"/>
      <c r="E306" s="9"/>
      <c r="F306" s="9"/>
      <c r="G306" s="9"/>
      <c r="H306" s="9"/>
      <c r="I306" s="9"/>
      <c r="J306" s="9"/>
      <c r="K306" s="8"/>
      <c r="L306" s="8"/>
      <c r="M306" s="8"/>
      <c r="N306" s="8"/>
      <c r="O306" s="8"/>
      <c r="P306" s="8"/>
      <c r="Q306" s="8"/>
      <c r="R306" s="8"/>
      <c r="S306" s="8"/>
      <c r="T306" s="8"/>
    </row>
    <row r="307" spans="1:20">
      <c r="A307" s="10"/>
      <c r="B307" s="1"/>
      <c r="C307" s="8"/>
      <c r="D307" s="8"/>
      <c r="E307" s="9"/>
      <c r="F307" s="9"/>
      <c r="G307" s="9"/>
      <c r="H307" s="9"/>
      <c r="I307" s="9"/>
      <c r="J307" s="9"/>
      <c r="K307" s="8"/>
      <c r="L307" s="8"/>
      <c r="M307" s="8"/>
      <c r="N307" s="8"/>
      <c r="O307" s="8"/>
      <c r="P307" s="8"/>
      <c r="Q307" s="8"/>
      <c r="R307" s="8"/>
      <c r="S307" s="8"/>
      <c r="T307" s="8"/>
    </row>
    <row r="308" spans="1:20">
      <c r="A308" s="10"/>
      <c r="B308" s="1"/>
      <c r="C308" s="8"/>
      <c r="D308" s="8"/>
      <c r="E308" s="9"/>
      <c r="F308" s="9"/>
      <c r="G308" s="9"/>
      <c r="H308" s="9"/>
      <c r="I308" s="9"/>
      <c r="J308" s="9"/>
      <c r="K308" s="8"/>
      <c r="L308" s="8"/>
      <c r="M308" s="8"/>
      <c r="N308" s="8"/>
      <c r="O308" s="8"/>
      <c r="P308" s="8"/>
      <c r="Q308" s="8"/>
      <c r="R308" s="8"/>
      <c r="S308" s="8"/>
      <c r="T308" s="8"/>
    </row>
    <row r="309" spans="1:20">
      <c r="A309" s="10"/>
      <c r="B309" s="1"/>
      <c r="C309" s="8"/>
      <c r="D309" s="8"/>
      <c r="E309" s="9"/>
      <c r="F309" s="9"/>
      <c r="G309" s="9"/>
      <c r="H309" s="9"/>
      <c r="I309" s="9"/>
      <c r="J309" s="9"/>
      <c r="K309" s="8"/>
      <c r="L309" s="8"/>
      <c r="M309" s="8"/>
      <c r="N309" s="8"/>
      <c r="O309" s="8"/>
      <c r="P309" s="8"/>
      <c r="Q309" s="8"/>
      <c r="R309" s="8"/>
      <c r="S309" s="8"/>
      <c r="T309" s="8"/>
    </row>
    <row r="310" spans="1:20">
      <c r="A310" s="10"/>
      <c r="B310" s="1"/>
      <c r="C310" s="8"/>
      <c r="D310" s="8"/>
      <c r="E310" s="9"/>
      <c r="F310" s="9"/>
      <c r="G310" s="9"/>
      <c r="H310" s="9"/>
      <c r="I310" s="9"/>
      <c r="J310" s="9"/>
      <c r="K310" s="8"/>
      <c r="L310" s="8"/>
      <c r="M310" s="8"/>
      <c r="N310" s="8"/>
      <c r="O310" s="8"/>
      <c r="P310" s="8"/>
      <c r="Q310" s="8"/>
      <c r="R310" s="8"/>
      <c r="S310" s="8"/>
      <c r="T310" s="8"/>
    </row>
    <row r="311" spans="1:20">
      <c r="A311" s="10"/>
      <c r="B311" s="1"/>
      <c r="C311" s="8"/>
      <c r="D311" s="8"/>
      <c r="E311" s="9"/>
      <c r="F311" s="9"/>
      <c r="G311" s="9"/>
      <c r="H311" s="9"/>
      <c r="I311" s="9"/>
      <c r="J311" s="9"/>
      <c r="K311" s="8"/>
      <c r="L311" s="8"/>
      <c r="M311" s="8"/>
      <c r="N311" s="8"/>
      <c r="O311" s="8"/>
      <c r="P311" s="8"/>
      <c r="Q311" s="8"/>
      <c r="R311" s="8"/>
      <c r="S311" s="8"/>
      <c r="T311" s="8"/>
    </row>
    <row r="312" spans="1:20">
      <c r="A312" s="10"/>
      <c r="B312" s="1"/>
      <c r="C312" s="8"/>
      <c r="D312" s="8"/>
      <c r="E312" s="9"/>
      <c r="F312" s="9"/>
      <c r="G312" s="9"/>
      <c r="H312" s="9"/>
      <c r="I312" s="9"/>
      <c r="J312" s="9"/>
      <c r="K312" s="8"/>
      <c r="L312" s="8"/>
      <c r="M312" s="8"/>
      <c r="N312" s="8"/>
      <c r="O312" s="8"/>
      <c r="P312" s="8"/>
      <c r="Q312" s="8"/>
      <c r="R312" s="8"/>
      <c r="S312" s="8"/>
      <c r="T312" s="8"/>
    </row>
    <row r="313" spans="1:20">
      <c r="A313" s="10"/>
      <c r="B313" s="1"/>
      <c r="C313" s="8"/>
      <c r="D313" s="8"/>
      <c r="E313" s="9"/>
      <c r="F313" s="9"/>
      <c r="G313" s="9"/>
      <c r="H313" s="9"/>
      <c r="I313" s="9"/>
      <c r="J313" s="9"/>
      <c r="K313" s="8"/>
      <c r="L313" s="8"/>
      <c r="M313" s="8"/>
      <c r="N313" s="8"/>
      <c r="O313" s="8"/>
      <c r="P313" s="8"/>
      <c r="Q313" s="8"/>
      <c r="R313" s="8"/>
      <c r="S313" s="8"/>
      <c r="T313" s="8"/>
    </row>
    <row r="314" spans="1:20">
      <c r="A314" s="10"/>
      <c r="B314" s="1"/>
      <c r="C314" s="8"/>
      <c r="D314" s="8"/>
      <c r="E314" s="9"/>
      <c r="F314" s="9"/>
      <c r="G314" s="9"/>
      <c r="H314" s="9"/>
      <c r="I314" s="9"/>
      <c r="J314" s="9"/>
      <c r="K314" s="8"/>
      <c r="L314" s="8"/>
      <c r="M314" s="8"/>
      <c r="N314" s="8"/>
      <c r="O314" s="8"/>
      <c r="P314" s="8"/>
      <c r="Q314" s="8"/>
      <c r="R314" s="8"/>
      <c r="S314" s="8"/>
      <c r="T314" s="8"/>
    </row>
    <row r="315" spans="1:20">
      <c r="A315" s="10"/>
      <c r="B315" s="1"/>
      <c r="C315" s="8"/>
      <c r="D315" s="8"/>
      <c r="E315" s="9"/>
      <c r="F315" s="9"/>
      <c r="G315" s="9"/>
      <c r="H315" s="9"/>
      <c r="I315" s="9"/>
      <c r="J315" s="9"/>
      <c r="K315" s="8"/>
      <c r="L315" s="8"/>
      <c r="M315" s="8"/>
      <c r="N315" s="8"/>
      <c r="O315" s="8"/>
      <c r="P315" s="8"/>
      <c r="Q315" s="8"/>
      <c r="R315" s="8"/>
      <c r="S315" s="8"/>
      <c r="T315" s="8"/>
    </row>
    <row r="316" spans="1:20">
      <c r="A316" s="10"/>
      <c r="B316" s="1"/>
      <c r="C316" s="8"/>
      <c r="D316" s="8"/>
      <c r="E316" s="9"/>
      <c r="F316" s="9"/>
      <c r="G316" s="9"/>
      <c r="H316" s="9"/>
      <c r="I316" s="9"/>
      <c r="J316" s="9"/>
      <c r="K316" s="8"/>
      <c r="L316" s="8"/>
      <c r="M316" s="8"/>
      <c r="N316" s="8"/>
      <c r="O316" s="8"/>
      <c r="P316" s="8"/>
      <c r="Q316" s="8"/>
      <c r="R316" s="8"/>
      <c r="S316" s="8"/>
      <c r="T316" s="8"/>
    </row>
    <row r="317" spans="1:20">
      <c r="A317" s="10"/>
      <c r="B317" s="1"/>
      <c r="C317" s="8"/>
      <c r="D317" s="8"/>
      <c r="E317" s="9"/>
      <c r="F317" s="9"/>
      <c r="G317" s="9"/>
      <c r="H317" s="9"/>
      <c r="I317" s="9"/>
      <c r="J317" s="9"/>
      <c r="K317" s="8"/>
      <c r="L317" s="8"/>
      <c r="M317" s="8"/>
      <c r="N317" s="8"/>
      <c r="O317" s="8"/>
      <c r="P317" s="8"/>
      <c r="Q317" s="8"/>
      <c r="R317" s="8"/>
      <c r="S317" s="8"/>
      <c r="T317" s="8"/>
    </row>
    <row r="318" spans="1:20">
      <c r="A318" s="10"/>
      <c r="B318" s="1"/>
      <c r="C318" s="8"/>
      <c r="D318" s="8"/>
      <c r="E318" s="9"/>
      <c r="F318" s="9"/>
      <c r="G318" s="9"/>
      <c r="H318" s="9"/>
      <c r="I318" s="9"/>
      <c r="J318" s="9"/>
      <c r="K318" s="8"/>
      <c r="L318" s="8"/>
      <c r="M318" s="8"/>
      <c r="N318" s="8"/>
      <c r="O318" s="8"/>
      <c r="P318" s="8"/>
      <c r="Q318" s="8"/>
      <c r="R318" s="8"/>
      <c r="S318" s="8"/>
      <c r="T318" s="8"/>
    </row>
    <row r="319" spans="1:20">
      <c r="A319" s="10"/>
      <c r="B319" s="1"/>
      <c r="C319" s="8"/>
      <c r="D319" s="8"/>
      <c r="E319" s="9"/>
      <c r="F319" s="9"/>
      <c r="G319" s="9"/>
      <c r="H319" s="9"/>
      <c r="I319" s="9"/>
      <c r="J319" s="9"/>
      <c r="K319" s="8"/>
      <c r="L319" s="8"/>
      <c r="M319" s="8"/>
      <c r="N319" s="8"/>
      <c r="O319" s="8"/>
      <c r="P319" s="8"/>
      <c r="Q319" s="8"/>
      <c r="R319" s="8"/>
      <c r="S319" s="8"/>
      <c r="T319" s="8"/>
    </row>
    <row r="320" spans="1:20">
      <c r="A320" s="10"/>
      <c r="B320" s="1"/>
      <c r="C320" s="8"/>
      <c r="D320" s="8"/>
      <c r="E320" s="9"/>
      <c r="F320" s="9"/>
      <c r="G320" s="9"/>
      <c r="H320" s="9"/>
      <c r="I320" s="9"/>
      <c r="J320" s="9"/>
      <c r="K320" s="8"/>
      <c r="L320" s="8"/>
      <c r="M320" s="8"/>
      <c r="N320" s="8"/>
      <c r="O320" s="8"/>
      <c r="P320" s="8"/>
      <c r="Q320" s="8"/>
      <c r="R320" s="8"/>
      <c r="S320" s="8"/>
      <c r="T320" s="8"/>
    </row>
    <row r="321" spans="1:20">
      <c r="A321" s="10"/>
      <c r="B321" s="1"/>
      <c r="C321" s="8"/>
      <c r="D321" s="8"/>
      <c r="E321" s="9"/>
      <c r="F321" s="9"/>
      <c r="G321" s="9"/>
      <c r="H321" s="9"/>
      <c r="I321" s="9"/>
      <c r="J321" s="9"/>
      <c r="K321" s="8"/>
      <c r="L321" s="8"/>
      <c r="M321" s="8"/>
      <c r="N321" s="8"/>
      <c r="O321" s="8"/>
      <c r="P321" s="8"/>
      <c r="Q321" s="8"/>
      <c r="R321" s="8"/>
      <c r="S321" s="8"/>
      <c r="T321" s="8"/>
    </row>
    <row r="322" spans="1:20">
      <c r="A322" s="10"/>
      <c r="B322" s="1"/>
      <c r="C322" s="8"/>
      <c r="D322" s="8"/>
      <c r="E322" s="9"/>
      <c r="F322" s="9"/>
      <c r="G322" s="9"/>
      <c r="H322" s="9"/>
      <c r="I322" s="9"/>
      <c r="J322" s="9"/>
      <c r="K322" s="8"/>
      <c r="L322" s="8"/>
      <c r="M322" s="8"/>
      <c r="N322" s="8"/>
      <c r="O322" s="8"/>
      <c r="P322" s="8"/>
      <c r="Q322" s="8"/>
      <c r="R322" s="8"/>
      <c r="S322" s="8"/>
      <c r="T322" s="8"/>
    </row>
    <row r="323" spans="1:20">
      <c r="A323" s="10"/>
      <c r="B323" s="1"/>
      <c r="C323" s="8"/>
      <c r="D323" s="8"/>
      <c r="E323" s="9"/>
      <c r="F323" s="9"/>
      <c r="G323" s="9"/>
      <c r="H323" s="9"/>
      <c r="I323" s="9"/>
      <c r="J323" s="9"/>
      <c r="K323" s="8"/>
      <c r="L323" s="8"/>
      <c r="M323" s="8"/>
      <c r="N323" s="8"/>
      <c r="O323" s="8"/>
      <c r="P323" s="8"/>
      <c r="Q323" s="8"/>
      <c r="R323" s="8"/>
      <c r="S323" s="8"/>
      <c r="T323" s="8"/>
    </row>
    <row r="324" spans="1:20">
      <c r="A324" s="10"/>
      <c r="B324" s="1"/>
      <c r="C324" s="8"/>
      <c r="D324" s="8"/>
      <c r="E324" s="9"/>
      <c r="F324" s="9"/>
      <c r="G324" s="9"/>
      <c r="H324" s="9"/>
      <c r="I324" s="9"/>
      <c r="J324" s="9"/>
      <c r="K324" s="8"/>
      <c r="L324" s="8"/>
      <c r="M324" s="8"/>
      <c r="N324" s="8"/>
      <c r="O324" s="8"/>
      <c r="P324" s="8"/>
      <c r="Q324" s="8"/>
      <c r="R324" s="8"/>
      <c r="S324" s="8"/>
      <c r="T324" s="8"/>
    </row>
    <row r="325" spans="1:20">
      <c r="A325" s="10"/>
      <c r="B325" s="1"/>
      <c r="C325" s="8"/>
      <c r="D325" s="8"/>
      <c r="E325" s="9"/>
      <c r="F325" s="9"/>
      <c r="G325" s="9"/>
      <c r="H325" s="9"/>
      <c r="I325" s="9"/>
      <c r="J325" s="9"/>
      <c r="K325" s="8"/>
      <c r="L325" s="8"/>
      <c r="M325" s="8"/>
      <c r="N325" s="8"/>
      <c r="O325" s="8"/>
      <c r="P325" s="8"/>
      <c r="Q325" s="8"/>
      <c r="R325" s="8"/>
      <c r="S325" s="8"/>
      <c r="T325" s="8"/>
    </row>
    <row r="326" spans="1:20">
      <c r="A326" s="10"/>
      <c r="B326" s="1"/>
      <c r="C326" s="8"/>
      <c r="D326" s="8"/>
      <c r="E326" s="9"/>
      <c r="F326" s="9"/>
      <c r="G326" s="9"/>
      <c r="H326" s="9"/>
      <c r="I326" s="9"/>
      <c r="J326" s="9"/>
      <c r="K326" s="8"/>
      <c r="L326" s="8"/>
      <c r="M326" s="8"/>
      <c r="N326" s="8"/>
      <c r="O326" s="8"/>
      <c r="P326" s="8"/>
      <c r="Q326" s="8"/>
      <c r="R326" s="8"/>
      <c r="S326" s="8"/>
      <c r="T326" s="8"/>
    </row>
    <row r="327" spans="1:20">
      <c r="A327" s="10"/>
      <c r="B327" s="1"/>
      <c r="C327" s="8"/>
      <c r="D327" s="8"/>
      <c r="E327" s="9"/>
      <c r="F327" s="9"/>
      <c r="G327" s="9"/>
      <c r="H327" s="9"/>
      <c r="I327" s="9"/>
      <c r="J327" s="9"/>
      <c r="K327" s="8"/>
      <c r="L327" s="8"/>
      <c r="M327" s="8"/>
      <c r="N327" s="8"/>
      <c r="O327" s="8"/>
      <c r="P327" s="8"/>
      <c r="Q327" s="8"/>
      <c r="R327" s="8"/>
      <c r="S327" s="8"/>
      <c r="T327" s="8"/>
    </row>
    <row r="328" spans="1:20">
      <c r="A328" s="10"/>
      <c r="B328" s="1"/>
      <c r="C328" s="8"/>
      <c r="D328" s="8"/>
      <c r="E328" s="9"/>
      <c r="F328" s="9"/>
      <c r="G328" s="9"/>
      <c r="H328" s="9"/>
      <c r="I328" s="9"/>
      <c r="J328" s="9"/>
      <c r="K328" s="8"/>
      <c r="L328" s="8"/>
      <c r="M328" s="8"/>
      <c r="N328" s="8"/>
      <c r="O328" s="8"/>
      <c r="P328" s="8"/>
      <c r="Q328" s="8"/>
      <c r="R328" s="8"/>
      <c r="S328" s="8"/>
      <c r="T328" s="8"/>
    </row>
    <row r="329" spans="1:20">
      <c r="A329" s="10"/>
      <c r="B329" s="1"/>
      <c r="C329" s="8"/>
      <c r="D329" s="8"/>
      <c r="E329" s="9"/>
      <c r="F329" s="9"/>
      <c r="G329" s="9"/>
      <c r="H329" s="9"/>
      <c r="I329" s="9"/>
      <c r="J329" s="9"/>
      <c r="K329" s="8"/>
      <c r="L329" s="8"/>
      <c r="M329" s="8"/>
      <c r="N329" s="8"/>
      <c r="O329" s="8"/>
      <c r="P329" s="8"/>
      <c r="Q329" s="8"/>
      <c r="R329" s="8"/>
      <c r="S329" s="8"/>
      <c r="T329" s="8"/>
    </row>
    <row r="330" spans="1:20">
      <c r="A330" s="10"/>
      <c r="B330" s="1"/>
      <c r="C330" s="8"/>
      <c r="D330" s="8"/>
      <c r="E330" s="9"/>
      <c r="F330" s="9"/>
      <c r="G330" s="9"/>
      <c r="H330" s="9"/>
      <c r="I330" s="9"/>
      <c r="J330" s="9"/>
      <c r="K330" s="8"/>
      <c r="L330" s="8"/>
      <c r="M330" s="8"/>
      <c r="N330" s="8"/>
      <c r="O330" s="8"/>
      <c r="P330" s="8"/>
      <c r="Q330" s="8"/>
      <c r="R330" s="8"/>
      <c r="S330" s="8"/>
      <c r="T330" s="8"/>
    </row>
    <row r="331" spans="1:20">
      <c r="A331" s="10"/>
      <c r="B331" s="1"/>
      <c r="C331" s="8"/>
      <c r="D331" s="8"/>
      <c r="E331" s="9"/>
      <c r="F331" s="9"/>
      <c r="G331" s="9"/>
      <c r="H331" s="9"/>
      <c r="I331" s="9"/>
      <c r="J331" s="9"/>
      <c r="K331" s="8"/>
      <c r="L331" s="8"/>
      <c r="M331" s="8"/>
      <c r="N331" s="8"/>
      <c r="O331" s="8"/>
      <c r="P331" s="8"/>
      <c r="Q331" s="8"/>
      <c r="R331" s="8"/>
      <c r="S331" s="8"/>
      <c r="T331" s="8"/>
    </row>
    <row r="332" spans="1:20">
      <c r="A332" s="10"/>
      <c r="B332" s="1"/>
      <c r="C332" s="8"/>
      <c r="D332" s="8"/>
      <c r="E332" s="9"/>
      <c r="F332" s="9"/>
      <c r="G332" s="9"/>
      <c r="H332" s="9"/>
      <c r="I332" s="9"/>
      <c r="J332" s="9"/>
      <c r="K332" s="8"/>
      <c r="L332" s="8"/>
      <c r="M332" s="8"/>
      <c r="N332" s="8"/>
      <c r="O332" s="8"/>
      <c r="P332" s="8"/>
      <c r="Q332" s="8"/>
      <c r="R332" s="8"/>
      <c r="S332" s="8"/>
      <c r="T332" s="8"/>
    </row>
    <row r="333" spans="1:20">
      <c r="A333" s="10"/>
      <c r="B333" s="1"/>
      <c r="C333" s="8"/>
      <c r="D333" s="8"/>
      <c r="E333" s="9"/>
      <c r="F333" s="9"/>
      <c r="G333" s="9"/>
      <c r="H333" s="9"/>
      <c r="I333" s="9"/>
      <c r="J333" s="9"/>
      <c r="K333" s="8"/>
      <c r="L333" s="8"/>
      <c r="M333" s="8"/>
      <c r="N333" s="8"/>
      <c r="O333" s="8"/>
      <c r="P333" s="8"/>
      <c r="Q333" s="8"/>
      <c r="R333" s="8"/>
      <c r="S333" s="8"/>
      <c r="T333" s="8"/>
    </row>
    <row r="334" spans="1:20">
      <c r="A334" s="10"/>
      <c r="B334" s="1"/>
      <c r="C334" s="8"/>
      <c r="D334" s="8"/>
      <c r="E334" s="9"/>
      <c r="F334" s="9"/>
      <c r="G334" s="9"/>
      <c r="H334" s="9"/>
      <c r="I334" s="9"/>
      <c r="J334" s="9"/>
      <c r="K334" s="8"/>
      <c r="L334" s="8"/>
      <c r="M334" s="8"/>
      <c r="N334" s="8"/>
      <c r="O334" s="8"/>
      <c r="P334" s="8"/>
      <c r="Q334" s="8"/>
      <c r="R334" s="8"/>
      <c r="S334" s="8"/>
      <c r="T334" s="8"/>
    </row>
    <row r="335" spans="1:20">
      <c r="A335" s="10"/>
      <c r="B335" s="1"/>
      <c r="C335" s="8"/>
      <c r="D335" s="8"/>
      <c r="E335" s="9"/>
      <c r="F335" s="9"/>
      <c r="G335" s="9"/>
      <c r="H335" s="9"/>
      <c r="I335" s="9"/>
      <c r="J335" s="9"/>
      <c r="K335" s="8"/>
      <c r="L335" s="8"/>
      <c r="M335" s="8"/>
      <c r="N335" s="8"/>
      <c r="O335" s="8"/>
      <c r="P335" s="8"/>
      <c r="Q335" s="8"/>
      <c r="R335" s="8"/>
      <c r="S335" s="8"/>
      <c r="T335" s="8"/>
    </row>
    <row r="336" spans="1:20">
      <c r="A336" s="10"/>
      <c r="B336" s="1"/>
      <c r="C336" s="8"/>
      <c r="D336" s="8"/>
      <c r="E336" s="9"/>
      <c r="F336" s="9"/>
      <c r="G336" s="9"/>
      <c r="H336" s="9"/>
      <c r="I336" s="9"/>
      <c r="J336" s="9"/>
      <c r="K336" s="8"/>
      <c r="L336" s="8"/>
      <c r="M336" s="8"/>
      <c r="N336" s="8"/>
      <c r="O336" s="8"/>
      <c r="P336" s="8"/>
      <c r="Q336" s="8"/>
      <c r="R336" s="8"/>
      <c r="S336" s="8"/>
      <c r="T336" s="8"/>
    </row>
    <row r="337" spans="1:20">
      <c r="A337" s="10"/>
      <c r="B337" s="1"/>
      <c r="C337" s="8"/>
      <c r="D337" s="8"/>
      <c r="E337" s="9"/>
      <c r="F337" s="9"/>
      <c r="G337" s="9"/>
      <c r="H337" s="9"/>
      <c r="I337" s="9"/>
      <c r="J337" s="9"/>
      <c r="K337" s="8"/>
      <c r="L337" s="8"/>
      <c r="M337" s="8"/>
      <c r="N337" s="8"/>
      <c r="O337" s="8"/>
      <c r="P337" s="8"/>
      <c r="Q337" s="8"/>
      <c r="R337" s="8"/>
      <c r="S337" s="8"/>
      <c r="T337" s="8"/>
    </row>
    <row r="338" spans="1:20">
      <c r="A338" s="10"/>
      <c r="B338" s="1"/>
      <c r="C338" s="8"/>
      <c r="D338" s="8"/>
      <c r="E338" s="9"/>
      <c r="F338" s="9"/>
      <c r="G338" s="9"/>
      <c r="H338" s="9"/>
      <c r="I338" s="9"/>
      <c r="J338" s="9"/>
      <c r="K338" s="8"/>
      <c r="L338" s="8"/>
      <c r="M338" s="8"/>
      <c r="N338" s="8"/>
      <c r="O338" s="8"/>
      <c r="P338" s="8"/>
      <c r="Q338" s="8"/>
      <c r="R338" s="8"/>
      <c r="S338" s="8"/>
      <c r="T338" s="8"/>
    </row>
    <row r="339" spans="1:20">
      <c r="A339" s="10"/>
      <c r="B339" s="1"/>
      <c r="C339" s="8"/>
      <c r="D339" s="8"/>
      <c r="E339" s="9"/>
      <c r="F339" s="9"/>
      <c r="G339" s="9"/>
      <c r="H339" s="9"/>
      <c r="I339" s="9"/>
      <c r="J339" s="9"/>
      <c r="K339" s="8"/>
      <c r="L339" s="8"/>
      <c r="M339" s="8"/>
      <c r="N339" s="8"/>
      <c r="O339" s="8"/>
      <c r="P339" s="8"/>
      <c r="Q339" s="8"/>
      <c r="R339" s="8"/>
      <c r="S339" s="8"/>
      <c r="T339" s="8"/>
    </row>
    <row r="340" spans="1:20">
      <c r="A340" s="10"/>
      <c r="B340" s="1"/>
      <c r="C340" s="8"/>
      <c r="D340" s="8"/>
      <c r="E340" s="9"/>
      <c r="F340" s="9"/>
      <c r="G340" s="9"/>
      <c r="H340" s="9"/>
      <c r="I340" s="9"/>
      <c r="J340" s="9"/>
      <c r="K340" s="8"/>
      <c r="L340" s="8"/>
      <c r="M340" s="8"/>
      <c r="N340" s="8"/>
      <c r="O340" s="8"/>
      <c r="P340" s="8"/>
      <c r="Q340" s="8"/>
      <c r="R340" s="8"/>
      <c r="S340" s="8"/>
      <c r="T340" s="8"/>
    </row>
    <row r="341" spans="1:20">
      <c r="A341" s="10"/>
      <c r="B341" s="1"/>
      <c r="C341" s="8"/>
      <c r="D341" s="8"/>
      <c r="E341" s="9"/>
      <c r="F341" s="9"/>
      <c r="G341" s="9"/>
      <c r="H341" s="9"/>
      <c r="I341" s="9"/>
      <c r="J341" s="9"/>
      <c r="K341" s="8"/>
      <c r="L341" s="8"/>
      <c r="M341" s="8"/>
      <c r="N341" s="8"/>
      <c r="O341" s="8"/>
      <c r="P341" s="8"/>
      <c r="Q341" s="8"/>
      <c r="R341" s="8"/>
      <c r="S341" s="8"/>
      <c r="T341" s="8"/>
    </row>
    <row r="342" spans="1:20">
      <c r="A342" s="10"/>
      <c r="B342" s="1"/>
      <c r="C342" s="8"/>
      <c r="D342" s="8"/>
      <c r="E342" s="9"/>
      <c r="F342" s="9"/>
      <c r="G342" s="9"/>
      <c r="H342" s="9"/>
      <c r="I342" s="9"/>
      <c r="J342" s="9"/>
      <c r="K342" s="8"/>
      <c r="L342" s="8"/>
      <c r="M342" s="8"/>
      <c r="N342" s="8"/>
      <c r="O342" s="8"/>
      <c r="P342" s="8"/>
      <c r="Q342" s="8"/>
      <c r="R342" s="8"/>
      <c r="S342" s="8"/>
      <c r="T342" s="8"/>
    </row>
    <row r="343" spans="1:20">
      <c r="A343" s="10"/>
      <c r="B343" s="1"/>
      <c r="C343" s="8"/>
      <c r="D343" s="8"/>
      <c r="E343" s="9"/>
      <c r="F343" s="9"/>
      <c r="G343" s="9"/>
      <c r="H343" s="9"/>
      <c r="I343" s="9"/>
      <c r="J343" s="9"/>
      <c r="K343" s="8"/>
      <c r="L343" s="8"/>
      <c r="M343" s="8"/>
      <c r="N343" s="8"/>
      <c r="O343" s="8"/>
      <c r="P343" s="8"/>
      <c r="Q343" s="8"/>
      <c r="R343" s="8"/>
      <c r="S343" s="8"/>
      <c r="T343" s="8"/>
    </row>
    <row r="344" spans="1:20">
      <c r="A344" s="10"/>
      <c r="B344" s="1"/>
      <c r="C344" s="8"/>
      <c r="D344" s="8"/>
      <c r="E344" s="9"/>
      <c r="F344" s="9"/>
      <c r="G344" s="9"/>
      <c r="H344" s="9"/>
      <c r="I344" s="9"/>
      <c r="J344" s="9"/>
      <c r="K344" s="8"/>
      <c r="L344" s="8"/>
      <c r="M344" s="8"/>
      <c r="N344" s="8"/>
      <c r="O344" s="8"/>
      <c r="P344" s="8"/>
      <c r="Q344" s="8"/>
      <c r="R344" s="8"/>
      <c r="S344" s="8"/>
      <c r="T344" s="8"/>
    </row>
    <row r="345" spans="1:20">
      <c r="A345" s="10"/>
      <c r="B345" s="1"/>
      <c r="C345" s="8"/>
      <c r="D345" s="8"/>
      <c r="E345" s="9"/>
      <c r="F345" s="9"/>
      <c r="G345" s="9"/>
      <c r="H345" s="9"/>
      <c r="I345" s="9"/>
      <c r="J345" s="9"/>
      <c r="K345" s="8"/>
      <c r="L345" s="8"/>
      <c r="M345" s="8"/>
      <c r="N345" s="8"/>
      <c r="O345" s="8"/>
      <c r="P345" s="8"/>
      <c r="Q345" s="8"/>
      <c r="R345" s="8"/>
      <c r="S345" s="8"/>
      <c r="T345" s="8"/>
    </row>
    <row r="346" spans="1:20">
      <c r="A346" s="10"/>
      <c r="B346" s="1"/>
      <c r="C346" s="8"/>
      <c r="D346" s="8"/>
      <c r="E346" s="9"/>
      <c r="F346" s="9"/>
      <c r="G346" s="9"/>
      <c r="H346" s="9"/>
      <c r="I346" s="9"/>
      <c r="J346" s="9"/>
      <c r="K346" s="8"/>
      <c r="L346" s="8"/>
      <c r="M346" s="8"/>
      <c r="N346" s="8"/>
      <c r="O346" s="8"/>
      <c r="P346" s="8"/>
      <c r="Q346" s="8"/>
      <c r="R346" s="8"/>
      <c r="S346" s="8"/>
      <c r="T346" s="8"/>
    </row>
    <row r="347" spans="1:20">
      <c r="A347" s="10"/>
      <c r="B347" s="1"/>
      <c r="C347" s="8"/>
      <c r="D347" s="8"/>
      <c r="E347" s="9"/>
      <c r="F347" s="9"/>
      <c r="G347" s="9"/>
      <c r="H347" s="9"/>
      <c r="I347" s="9"/>
      <c r="J347" s="9"/>
      <c r="K347" s="8"/>
      <c r="L347" s="8"/>
      <c r="M347" s="8"/>
      <c r="N347" s="8"/>
      <c r="O347" s="8"/>
      <c r="P347" s="8"/>
      <c r="Q347" s="8"/>
      <c r="R347" s="8"/>
      <c r="S347" s="8"/>
      <c r="T347" s="8"/>
    </row>
    <row r="348" spans="1:20">
      <c r="A348" s="10"/>
      <c r="B348" s="1"/>
      <c r="C348" s="8"/>
      <c r="D348" s="8"/>
      <c r="E348" s="9"/>
      <c r="F348" s="9"/>
      <c r="G348" s="9"/>
      <c r="H348" s="9"/>
      <c r="I348" s="9"/>
      <c r="J348" s="9"/>
      <c r="K348" s="8"/>
      <c r="L348" s="8"/>
      <c r="M348" s="8"/>
      <c r="N348" s="8"/>
      <c r="O348" s="8"/>
      <c r="P348" s="8"/>
      <c r="Q348" s="8"/>
      <c r="R348" s="8"/>
      <c r="S348" s="8"/>
      <c r="T348" s="8"/>
    </row>
    <row r="349" spans="1:20">
      <c r="A349" s="10"/>
      <c r="B349" s="1"/>
      <c r="C349" s="8"/>
      <c r="D349" s="8"/>
      <c r="E349" s="9"/>
      <c r="F349" s="9"/>
      <c r="G349" s="9"/>
      <c r="H349" s="9"/>
      <c r="I349" s="9"/>
      <c r="J349" s="9"/>
      <c r="K349" s="8"/>
      <c r="L349" s="8"/>
      <c r="M349" s="8"/>
      <c r="N349" s="8"/>
      <c r="O349" s="8"/>
      <c r="P349" s="8"/>
      <c r="Q349" s="8"/>
      <c r="R349" s="8"/>
      <c r="S349" s="8"/>
      <c r="T349" s="8"/>
    </row>
    <row r="350" spans="1:20">
      <c r="A350" s="10"/>
      <c r="B350" s="1"/>
      <c r="C350" s="8"/>
      <c r="D350" s="8"/>
      <c r="E350" s="9"/>
      <c r="F350" s="9"/>
      <c r="G350" s="9"/>
      <c r="H350" s="9"/>
      <c r="I350" s="9"/>
      <c r="J350" s="9"/>
      <c r="K350" s="8"/>
      <c r="L350" s="8"/>
      <c r="M350" s="8"/>
      <c r="N350" s="8"/>
      <c r="O350" s="8"/>
      <c r="P350" s="8"/>
      <c r="Q350" s="8"/>
      <c r="R350" s="8"/>
      <c r="S350" s="8"/>
      <c r="T350" s="8"/>
    </row>
    <row r="351" spans="1:20">
      <c r="A351" s="10"/>
      <c r="B351" s="1"/>
      <c r="C351" s="8"/>
      <c r="D351" s="8"/>
      <c r="E351" s="9"/>
      <c r="F351" s="9"/>
      <c r="G351" s="9"/>
      <c r="H351" s="9"/>
      <c r="I351" s="9"/>
      <c r="J351" s="9"/>
      <c r="K351" s="8"/>
      <c r="L351" s="8"/>
      <c r="M351" s="8"/>
      <c r="N351" s="8"/>
      <c r="O351" s="8"/>
      <c r="P351" s="8"/>
      <c r="Q351" s="8"/>
      <c r="R351" s="8"/>
      <c r="S351" s="8"/>
      <c r="T351" s="8"/>
    </row>
  </sheetData>
  <sheetProtection selectLockedCells="1"/>
  <mergeCells count="1">
    <mergeCell ref="A1:B1"/>
  </mergeCells>
  <pageMargins left="0.74803149606299213" right="0.74803149606299213" top="0.98425196850393704" bottom="0.98425196850393704" header="0.51181102362204722" footer="0.51181102362204722"/>
  <pageSetup paperSize="9" scale="74" fitToHeight="2" orientation="landscape"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EZVIZ</vt:lpstr>
      <vt:lpstr>EZVIZ!Área_de_impresión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Jenifer Loaiza</dc:creator>
  <cp:lastModifiedBy>Jenifer Loaiza</cp:lastModifiedBy>
  <cp:lastPrinted>2026-08-18T17:49:19Z</cp:lastPrinted>
  <dcterms:created xsi:type="dcterms:W3CDTF">2026-08-06T20:02:59Z</dcterms:created>
  <dcterms:modified xsi:type="dcterms:W3CDTF">2026-09-29T17:18:26Z</dcterms:modified>
</cp:coreProperties>
</file>