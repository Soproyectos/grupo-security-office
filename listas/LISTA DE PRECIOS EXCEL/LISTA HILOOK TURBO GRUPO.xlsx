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48DB4118-A94F-4445-B38F-AA4D636F1985}" xr6:coauthVersionLast="47" xr6:coauthVersionMax="47" xr10:uidLastSave="{00000000-0000-0000-0000-000000000000}"/>
  <bookViews>
    <workbookView xWindow="-120" yWindow="-120" windowWidth="24240" windowHeight="13140" xr2:uid="{30756661-B4DE-45FC-B2EA-9A66458D577F}"/>
  </bookViews>
  <sheets>
    <sheet name="HILOOK TURB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localSheetId="0" hidden="1">'HILOOK TURBO'!$A$1:$G$33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Tabla112[[#All],[REFERENCIA]:[PRECIO CLIENTE FINAL ( CON  IVA)]]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E3" i="1"/>
  <c r="E4" i="1"/>
  <c r="E6" i="1"/>
  <c r="E7" i="1"/>
  <c r="E8" i="1"/>
  <c r="E9" i="1"/>
  <c r="E10" i="1"/>
  <c r="E11" i="1"/>
  <c r="E12" i="1"/>
  <c r="E13" i="1"/>
  <c r="E14" i="1"/>
  <c r="E15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2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E35" i="1" s="1"/>
  <c r="J34" i="1"/>
  <c r="E34" i="1" s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E16" i="1" s="1"/>
  <c r="J15" i="1"/>
  <c r="J14" i="1"/>
  <c r="J13" i="1"/>
  <c r="J12" i="1"/>
  <c r="J11" i="1"/>
  <c r="J10" i="1"/>
  <c r="J9" i="1"/>
  <c r="J8" i="1"/>
  <c r="J7" i="1"/>
  <c r="J6" i="1"/>
  <c r="J5" i="1"/>
  <c r="E5" i="1" s="1"/>
  <c r="J4" i="1"/>
  <c r="J3" i="1"/>
  <c r="J2" i="1"/>
  <c r="I11" i="1"/>
  <c r="L16" i="1"/>
  <c r="L39" i="1"/>
  <c r="L29" i="1"/>
  <c r="L26" i="1"/>
  <c r="L21" i="1"/>
  <c r="L6" i="1"/>
  <c r="L12" i="1"/>
  <c r="L11" i="1"/>
  <c r="L43" i="1"/>
  <c r="L2" i="1"/>
  <c r="L13" i="1"/>
  <c r="L18" i="1"/>
  <c r="L20" i="1"/>
  <c r="L24" i="1"/>
  <c r="L27" i="1"/>
  <c r="L28" i="1"/>
  <c r="L30" i="1"/>
  <c r="L31" i="1"/>
  <c r="L32" i="1"/>
  <c r="L34" i="1"/>
  <c r="L40" i="1"/>
  <c r="L41" i="1"/>
  <c r="L42" i="1"/>
  <c r="L44" i="1"/>
  <c r="L47" i="1"/>
  <c r="L3" i="1"/>
  <c r="C3" i="1" s="1"/>
  <c r="L5" i="1"/>
  <c r="C5" i="1" s="1"/>
  <c r="L7" i="1"/>
  <c r="L8" i="1"/>
  <c r="L33" i="1"/>
  <c r="L35" i="1"/>
  <c r="L38" i="1"/>
  <c r="L45" i="1"/>
  <c r="L46" i="1"/>
  <c r="L48" i="1"/>
  <c r="L23" i="1"/>
  <c r="L4" i="1"/>
  <c r="C4" i="1" s="1"/>
  <c r="L9" i="1"/>
  <c r="L10" i="1"/>
  <c r="L14" i="1"/>
  <c r="L15" i="1"/>
  <c r="L17" i="1"/>
  <c r="L19" i="1"/>
  <c r="L22" i="1"/>
  <c r="L25" i="1"/>
  <c r="L36" i="1"/>
  <c r="L37" i="1"/>
  <c r="L49" i="1"/>
  <c r="L50" i="1"/>
  <c r="I2" i="1" l="1"/>
  <c r="F2" i="1" s="1"/>
  <c r="K21" i="1"/>
  <c r="D21" i="1"/>
  <c r="K2" i="1"/>
  <c r="C2" i="1"/>
  <c r="G2" i="1"/>
  <c r="D2" i="1"/>
  <c r="I29" i="1"/>
  <c r="I12" i="1"/>
  <c r="I39" i="1"/>
  <c r="K39" i="1"/>
  <c r="D39" i="1" s="1"/>
  <c r="F29" i="1"/>
  <c r="K29" i="1"/>
  <c r="D29" i="1" s="1"/>
  <c r="I26" i="1"/>
  <c r="K26" i="1"/>
  <c r="D26" i="1" s="1"/>
  <c r="I43" i="1"/>
  <c r="I21" i="1"/>
  <c r="G21" i="1"/>
  <c r="I6" i="1"/>
  <c r="K6" i="1"/>
  <c r="D6" i="1" s="1"/>
  <c r="G6" i="1"/>
  <c r="F6" i="1"/>
  <c r="F12" i="1"/>
  <c r="K12" i="1"/>
  <c r="D12" i="1" s="1"/>
  <c r="F11" i="1"/>
  <c r="K11" i="1"/>
  <c r="D11" i="1" s="1"/>
  <c r="F43" i="1"/>
  <c r="K43" i="1"/>
  <c r="D43" i="1" s="1"/>
  <c r="I13" i="1"/>
  <c r="F13" i="1" s="1"/>
  <c r="I16" i="1"/>
  <c r="I18" i="1"/>
  <c r="I20" i="1"/>
  <c r="I24" i="1"/>
  <c r="I27" i="1"/>
  <c r="I28" i="1"/>
  <c r="I30" i="1"/>
  <c r="I31" i="1"/>
  <c r="I32" i="1"/>
  <c r="I34" i="1"/>
  <c r="I40" i="1"/>
  <c r="I41" i="1"/>
  <c r="I42" i="1"/>
  <c r="I44" i="1"/>
  <c r="I47" i="1"/>
  <c r="I3" i="1"/>
  <c r="I5" i="1"/>
  <c r="I7" i="1"/>
  <c r="I8" i="1"/>
  <c r="F8" i="1" s="1"/>
  <c r="I33" i="1"/>
  <c r="I35" i="1"/>
  <c r="I38" i="1"/>
  <c r="I45" i="1"/>
  <c r="I46" i="1"/>
  <c r="I48" i="1"/>
  <c r="I23" i="1"/>
  <c r="I4" i="1"/>
  <c r="I9" i="1"/>
  <c r="I10" i="1"/>
  <c r="I14" i="1"/>
  <c r="I15" i="1"/>
  <c r="I17" i="1"/>
  <c r="I19" i="1"/>
  <c r="I22" i="1"/>
  <c r="I25" i="1"/>
  <c r="I36" i="1"/>
  <c r="I37" i="1"/>
  <c r="I49" i="1"/>
  <c r="I50" i="1"/>
  <c r="K42" i="1"/>
  <c r="D42" i="1" s="1"/>
  <c r="G7" i="1"/>
  <c r="G25" i="1"/>
  <c r="K7" i="1"/>
  <c r="D7" i="1" s="1"/>
  <c r="K8" i="1"/>
  <c r="D8" i="1" s="1"/>
  <c r="K33" i="1"/>
  <c r="D33" i="1" s="1"/>
  <c r="K35" i="1"/>
  <c r="D35" i="1" s="1"/>
  <c r="K38" i="1"/>
  <c r="D38" i="1" s="1"/>
  <c r="K45" i="1"/>
  <c r="D45" i="1" s="1"/>
  <c r="K46" i="1"/>
  <c r="D46" i="1" s="1"/>
  <c r="K48" i="1"/>
  <c r="D48" i="1" s="1"/>
  <c r="K23" i="1"/>
  <c r="D23" i="1" s="1"/>
  <c r="K4" i="1"/>
  <c r="D4" i="1" s="1"/>
  <c r="K9" i="1"/>
  <c r="D9" i="1" s="1"/>
  <c r="K10" i="1"/>
  <c r="D10" i="1" s="1"/>
  <c r="K14" i="1"/>
  <c r="D14" i="1" s="1"/>
  <c r="K15" i="1"/>
  <c r="D15" i="1" s="1"/>
  <c r="K17" i="1"/>
  <c r="D17" i="1" s="1"/>
  <c r="K19" i="1"/>
  <c r="D19" i="1" s="1"/>
  <c r="K25" i="1"/>
  <c r="D25" i="1" s="1"/>
  <c r="K36" i="1"/>
  <c r="D36" i="1" s="1"/>
  <c r="K37" i="1"/>
  <c r="D37" i="1" s="1"/>
  <c r="K49" i="1"/>
  <c r="D49" i="1" s="1"/>
  <c r="K50" i="1"/>
  <c r="D50" i="1" s="1"/>
  <c r="K13" i="1"/>
  <c r="D13" i="1" s="1"/>
  <c r="K16" i="1"/>
  <c r="D16" i="1" s="1"/>
  <c r="K18" i="1"/>
  <c r="D18" i="1" s="1"/>
  <c r="K20" i="1"/>
  <c r="D20" i="1" s="1"/>
  <c r="K24" i="1"/>
  <c r="D24" i="1" s="1"/>
  <c r="K27" i="1"/>
  <c r="D27" i="1" s="1"/>
  <c r="K28" i="1"/>
  <c r="D28" i="1" s="1"/>
  <c r="K30" i="1"/>
  <c r="D30" i="1" s="1"/>
  <c r="K31" i="1"/>
  <c r="D31" i="1" s="1"/>
  <c r="K32" i="1"/>
  <c r="D32" i="1" s="1"/>
  <c r="K34" i="1"/>
  <c r="D34" i="1" s="1"/>
  <c r="K40" i="1"/>
  <c r="D40" i="1" s="1"/>
  <c r="K41" i="1"/>
  <c r="D41" i="1" s="1"/>
  <c r="K44" i="1"/>
  <c r="D44" i="1" s="1"/>
  <c r="K47" i="1"/>
  <c r="D47" i="1" s="1"/>
  <c r="K3" i="1"/>
  <c r="D3" i="1" s="1"/>
  <c r="K5" i="1"/>
  <c r="D5" i="1" s="1"/>
  <c r="K22" i="1"/>
  <c r="D22" i="1" s="1"/>
  <c r="F39" i="1" l="1"/>
  <c r="G39" i="1"/>
  <c r="G29" i="1"/>
  <c r="G26" i="1"/>
  <c r="F26" i="1"/>
  <c r="F21" i="1"/>
  <c r="G12" i="1"/>
  <c r="G11" i="1"/>
  <c r="G43" i="1"/>
  <c r="F16" i="1"/>
  <c r="F18" i="1"/>
  <c r="F20" i="1"/>
  <c r="F24" i="1"/>
  <c r="F27" i="1"/>
  <c r="F28" i="1"/>
  <c r="F30" i="1"/>
  <c r="F31" i="1"/>
  <c r="F32" i="1"/>
  <c r="F34" i="1"/>
  <c r="F40" i="1"/>
  <c r="F41" i="1"/>
  <c r="F42" i="1"/>
  <c r="F44" i="1"/>
  <c r="F47" i="1"/>
  <c r="F3" i="1"/>
  <c r="F5" i="1"/>
  <c r="F7" i="1"/>
  <c r="F33" i="1"/>
  <c r="F35" i="1"/>
  <c r="F38" i="1"/>
  <c r="F45" i="1"/>
  <c r="F46" i="1"/>
  <c r="F48" i="1"/>
  <c r="F23" i="1"/>
  <c r="F4" i="1"/>
  <c r="F9" i="1"/>
  <c r="F10" i="1"/>
  <c r="F14" i="1"/>
  <c r="F15" i="1"/>
  <c r="F17" i="1"/>
  <c r="F19" i="1"/>
  <c r="F22" i="1"/>
  <c r="F25" i="1"/>
  <c r="F36" i="1"/>
  <c r="F37" i="1"/>
  <c r="F49" i="1"/>
  <c r="F50" i="1"/>
  <c r="G42" i="1"/>
  <c r="G8" i="1"/>
  <c r="G33" i="1"/>
  <c r="G35" i="1"/>
  <c r="G38" i="1"/>
  <c r="G45" i="1"/>
  <c r="G46" i="1"/>
  <c r="G48" i="1"/>
  <c r="G23" i="1"/>
  <c r="G4" i="1"/>
  <c r="G9" i="1"/>
  <c r="G10" i="1"/>
  <c r="G14" i="1"/>
  <c r="G15" i="1"/>
  <c r="G22" i="1"/>
  <c r="G36" i="1"/>
  <c r="G37" i="1"/>
  <c r="G49" i="1"/>
  <c r="G50" i="1"/>
  <c r="G3" i="1"/>
  <c r="G17" i="1"/>
  <c r="G13" i="1"/>
  <c r="G16" i="1"/>
  <c r="G18" i="1"/>
  <c r="G20" i="1"/>
  <c r="G24" i="1"/>
  <c r="G27" i="1"/>
  <c r="G28" i="1"/>
  <c r="G30" i="1"/>
  <c r="G31" i="1"/>
  <c r="G32" i="1"/>
  <c r="G34" i="1"/>
  <c r="G40" i="1"/>
  <c r="G41" i="1"/>
  <c r="G44" i="1"/>
  <c r="G47" i="1"/>
  <c r="G5" i="1"/>
  <c r="G19" i="1"/>
</calcChain>
</file>

<file path=xl/sharedStrings.xml><?xml version="1.0" encoding="utf-8"?>
<sst xmlns="http://schemas.openxmlformats.org/spreadsheetml/2006/main" count="112" uniqueCount="109">
  <si>
    <t>CAMARA TURBO 1080P EXT TURRET 0.01LUXF3.6  EXIR IR40m IP66 PLASTICA HILOOK</t>
  </si>
  <si>
    <t>THC-T159-MS(2.8mm)</t>
  </si>
  <si>
    <t>CAMARA TURBO 1080P EXT BALA IR40M IP66 METAL HIKVISION</t>
  </si>
  <si>
    <t>THC-B220-M(2.8mm)</t>
  </si>
  <si>
    <t>THC-B159-MS(2.8mm)</t>
  </si>
  <si>
    <t>CAMARA PTZ TURBO 1080P 25XZOOM 120DB IR150m 24Vac WDR 120dB IP66 HILOOK</t>
  </si>
  <si>
    <t>DVR-232Q-M2</t>
  </si>
  <si>
    <t>DVR 8CH TURBO HASTA 4MP lite 1BAHIA/10TB CADA BAHIA H.265+ 4CH IP 30FPS HDMI/VGA HILOOK</t>
  </si>
  <si>
    <t>DVR 4CH TURBO 8MP 1BAHIA/10 TB H265+ 30FPS HDMI/VGA HILOOK</t>
  </si>
  <si>
    <t>DVR-204Q-M1(C)/LA AcuSense</t>
  </si>
  <si>
    <t>CAMARA PTZ TURBO 1080P 15XZOOM 120DB IR100m 12Vdc DWDR  IP66 HILOOK</t>
  </si>
  <si>
    <t>CAMARA TURBO 1080P EXT TURRET VARIFOCAL D/NF2.8-12 EXIR IR40m IP66 SEMIMETAL HILOOK</t>
  </si>
  <si>
    <t>CAMARA TURBO 5MP INT TURRET 2.8MM EXIR IR20m IP66 PLASTICA HILOOK</t>
  </si>
  <si>
    <t>CAMARA TURBO 5MP INT MINI BALA 2.8MM IR20m IP66 PLASTICO HILOOK</t>
  </si>
  <si>
    <t>DVR 4CH TURBO HASTA 4MP lite  1BAHIA/10TB CADA BAHIA H.265+ 2CH IP 30FPS HDMI/VGA HILOOK</t>
  </si>
  <si>
    <t>DVR-108G-M1(C)</t>
  </si>
  <si>
    <t>CAMARA TURBO 5MP INT TURRET D/NF2.8 EXIR IR20m IP66 METALICA HILOOK</t>
  </si>
  <si>
    <t>CAMARA TURBO 1080P INT TURRET 0.02LUXF2.8  EXIR IR20m PLASTICA HILOOK</t>
  </si>
  <si>
    <t>THC-T127-LPS(2.8mm)</t>
  </si>
  <si>
    <t>CAMARA TURBO 1080P INT TURRET 0.01LUXF2.8  EXIR IR20m METAL  HILOOK</t>
  </si>
  <si>
    <t>CAMARA TURBO 1080P EXT BALA VARIFOCAL D/NF2.8-12 EXIR IR40M IP66 SEMIMETAL HILOOK</t>
  </si>
  <si>
    <t>CAMARA TURBO 5MP INT MINI BALA D/NF2.8 EXIR IR20m IP66 METALICA HILOOK</t>
  </si>
  <si>
    <t>CAMARA TURBO 1080  MINI BALA 0.02 LUX EXIR IR20m IP66 PLASTICA HILOOK</t>
  </si>
  <si>
    <t>CAMARA TURBO 1080P EXT BALA 0.02LUX F2.8 EXIR IR20m IP66 METALICA HILOOK</t>
  </si>
  <si>
    <t>CAMARA TURBO 1080P EXT BALA 0.01LUXF2.8 EXIR IR20m IP66 METAL HILOOK</t>
  </si>
  <si>
    <t xml:space="preserve">CAMARA PTZ TURBO 1080P 25XZOOM 120DB IR100m 12Vdc WDR 120dB IP66 HILOOK </t>
  </si>
  <si>
    <t>DVR-216Q-M1</t>
  </si>
  <si>
    <t>DVR-104G-M1(C)</t>
  </si>
  <si>
    <t>DCTO TIENDA</t>
  </si>
  <si>
    <t>Columna3</t>
  </si>
  <si>
    <t>PRECIO CLIENTE FINAL ( CON  IVA)</t>
  </si>
  <si>
    <t>PRECIO DPP PLATINO ( CON  IVA)</t>
  </si>
  <si>
    <t>PRECIO DPP ORO ( CON  IVA)</t>
  </si>
  <si>
    <t>PRECIO TIENDA ( CON  IVA)</t>
  </si>
  <si>
    <t>PRECIO  INSTALADOR
( CON  IVA)</t>
  </si>
  <si>
    <t xml:space="preserve">DESCRIPCIÓN </t>
  </si>
  <si>
    <t>REFERENCIA</t>
  </si>
  <si>
    <t>PTZ-T4225I-D</t>
  </si>
  <si>
    <t>THC-B120-M (2.8mm)</t>
  </si>
  <si>
    <t>THC-B120-MC (2.8mm)</t>
  </si>
  <si>
    <t>THC-B120-PC (2.8mm)</t>
  </si>
  <si>
    <t>THC-B127-LPS (2.8mm)</t>
  </si>
  <si>
    <t>THC-B129-M (2.8mm)</t>
  </si>
  <si>
    <t>THC-B320-VF (2.8-12mm)</t>
  </si>
  <si>
    <t>THC-T120-M (2.8mm)</t>
  </si>
  <si>
    <t>THC-T120-PC (2.8mm)</t>
  </si>
  <si>
    <t>THC-T220-P (2.8mm)</t>
  </si>
  <si>
    <t>DVR-116G-M1</t>
  </si>
  <si>
    <t>DVR-204G-M1</t>
  </si>
  <si>
    <t>DVR-204Q-K1</t>
  </si>
  <si>
    <t>THC-B129-P (2.8mm)</t>
  </si>
  <si>
    <t>THC-B150-P (2.8mm)</t>
  </si>
  <si>
    <t>THC-T129-M (2.8mm)</t>
  </si>
  <si>
    <t>THC-B229-M (2.8mm)</t>
  </si>
  <si>
    <t>THC-T129-P (2.8mm)</t>
  </si>
  <si>
    <t>THC-T150-P (2.8mm)</t>
  </si>
  <si>
    <t>THC-T320-VF (2.8-12mm)</t>
  </si>
  <si>
    <t>PTZ-T4215I-D</t>
  </si>
  <si>
    <t>DVR-204U-K1</t>
  </si>
  <si>
    <t>DVR-208Q-K1</t>
  </si>
  <si>
    <t>DVR-208Q-M1(C)/LA AcuSense</t>
  </si>
  <si>
    <t>PTZ-T5225I-A</t>
  </si>
  <si>
    <t>THC-T220-P(3.6mm)</t>
  </si>
  <si>
    <t>DVR-216G-M1 (E)</t>
  </si>
  <si>
    <t>DVR-204U-M1</t>
  </si>
  <si>
    <t>DVR-216U-M2(C)/LA AcuSense</t>
  </si>
  <si>
    <t>DVR-204G-F1</t>
  </si>
  <si>
    <t>DVR-208U-M1</t>
  </si>
  <si>
    <t>THC-B110-P(28mm)(B)</t>
  </si>
  <si>
    <t>THC-B340-VF</t>
  </si>
  <si>
    <t>BALA PLASTICA EXIR 720P 2.8 mm</t>
  </si>
  <si>
    <t>THC-B120-PS(2.8mm)</t>
  </si>
  <si>
    <t>CAMARA TURBO 1080 MINI BALA 0.02 LUX EXIR IR20m IP66 MICROFONO PLASTICA</t>
  </si>
  <si>
    <t>CAMARA TURBO 4MP EXT BALA VARIFOCAL D/NF28-12 EXIR IR40m IP66 SEMIMETAL</t>
  </si>
  <si>
    <t>DOMO TURRET 4MP 28MM 40MTR IR EXIT IP66</t>
  </si>
  <si>
    <r>
      <t xml:space="preserve">CAMARA TURBO 1080P  TURRET F2.8mm 0.001 LUX F1.0 24/7 </t>
    </r>
    <r>
      <rPr>
        <b/>
        <sz val="10"/>
        <color rgb="FFFF0000"/>
        <rFont val="Aptos Narrow"/>
        <family val="2"/>
        <scheme val="minor"/>
      </rPr>
      <t>COLORVU</t>
    </r>
    <r>
      <rPr>
        <sz val="10"/>
        <rFont val="Aptos Narrow"/>
        <family val="2"/>
        <scheme val="minor"/>
      </rPr>
      <t xml:space="preserve">   3D DNR WDR RANGO DE LUZ BLANCA 20M IP66 PLASTICA HILOOK</t>
    </r>
  </si>
  <si>
    <r>
      <t xml:space="preserve">CAMARA TURBO 1080P  TURRET F2.8mm 0.001 LUX F1.0 24/7 </t>
    </r>
    <r>
      <rPr>
        <b/>
        <sz val="10"/>
        <color rgb="FFFF0000"/>
        <rFont val="Aptos Narrow"/>
        <family val="2"/>
        <scheme val="minor"/>
      </rPr>
      <t>COLORVU</t>
    </r>
    <r>
      <rPr>
        <sz val="10"/>
        <rFont val="Aptos Narrow"/>
        <family val="2"/>
        <scheme val="minor"/>
      </rPr>
      <t xml:space="preserve">   3D DNR WDR RANGO DE LUZ BLANCA 20M IP66 METALICA HILOOK</t>
    </r>
  </si>
  <si>
    <t>THC-T150-M (2.8MM)</t>
  </si>
  <si>
    <r>
      <t xml:space="preserve">CÁMARA TIPO TURRET / LENTE FIJO 2.8 mm / LENTE 3K (2960 × 1665) / COLOR 24/7 CON APERTURA F1.0 / AUDIO INTEGRADO SOBRE CABLE COAXIAL / DISTANCIA DE ILUMINACIÓN 20 m / SALIDA DE VIDEO TVI/AHD/CVI/CVBS / PROTECCIÓN IP66 / SENSOR CMOS / ALIMENTACIÓN 12 VDC / MENÚ OSD POR COAXIAL </t>
    </r>
    <r>
      <rPr>
        <sz val="10"/>
        <color rgb="FFFF0000"/>
        <rFont val="Aptos Narrow"/>
        <family val="2"/>
        <scheme val="minor"/>
      </rPr>
      <t>COLORVU</t>
    </r>
  </si>
  <si>
    <r>
      <t xml:space="preserve">CAMARA TURBO 1080P  BALA F2.8mm 0.001 LUX F1.0 24/7 </t>
    </r>
    <r>
      <rPr>
        <b/>
        <sz val="10"/>
        <color rgb="FFFF0000"/>
        <rFont val="Aptos Narrow"/>
        <family val="2"/>
        <scheme val="minor"/>
      </rPr>
      <t>COLORVU</t>
    </r>
    <r>
      <rPr>
        <sz val="10"/>
        <rFont val="Aptos Narrow"/>
        <family val="2"/>
        <scheme val="minor"/>
      </rPr>
      <t xml:space="preserve">   3D DNR WDR RANGO DE LUZ BLANCA 20M IP66 PLASTICA HILOOK</t>
    </r>
  </si>
  <si>
    <t>CÁMARA BULLET MINI / LENTE FIJO 2.8 mm / RESOLUCIÓN 3K (2960 × 1665) / COLOR 24/7 CON F1.0 / AUDIO INTEGRADO / ILUMINACIÓN HASTA 20 m / SALIDA TVI/AHD/CVI/CVBS / PROTECCIÓN IP66 / ALIMENTACIÓN 12 VDC</t>
  </si>
  <si>
    <r>
      <t xml:space="preserve">CAMARA TURBO 1080P  BALA F2.8mm 0.001 LUX F1.0 24/7 </t>
    </r>
    <r>
      <rPr>
        <b/>
        <sz val="10"/>
        <color rgb="FFFF0000"/>
        <rFont val="Aptos Narrow"/>
        <family val="2"/>
        <scheme val="minor"/>
      </rPr>
      <t>COLORVU</t>
    </r>
    <r>
      <rPr>
        <sz val="10"/>
        <rFont val="Aptos Narrow"/>
        <family val="2"/>
        <scheme val="minor"/>
      </rPr>
      <t xml:space="preserve">   3D DNR WDR RANGO DE LUZ BLANCA 20M IP66 METALICA HILOOK</t>
    </r>
  </si>
  <si>
    <r>
      <t xml:space="preserve">CAMARA TURBO 1080P BALA 2.8mm 0.001 LUX F1.0 24/7 </t>
    </r>
    <r>
      <rPr>
        <b/>
        <sz val="10"/>
        <color rgb="FFFF0000"/>
        <rFont val="Aptos Narrow"/>
        <family val="2"/>
        <scheme val="minor"/>
      </rPr>
      <t>COLORVU</t>
    </r>
    <r>
      <rPr>
        <sz val="10"/>
        <rFont val="Aptos Narrow"/>
        <family val="2"/>
        <scheme val="minor"/>
      </rPr>
      <t xml:space="preserve"> 3D DNR RANGO DE LUZ BLANCA 40M IP66 METALICA HILOOK</t>
    </r>
  </si>
  <si>
    <t>CÁMARA TIPO TURRET / LENTE FIJO 3.6 mm / LENTE 2 MP / VISIÓN NOCTURNA EXIR HASTA 40 m / SALIDA DE VIDEO TVI/AHD/CVI/CVBS / PROTECCIÓN IP66 / SENSOR CMOS / SENSIBILIDAD 0.01 Lux @ F1.2 / FUNCIONES: SMART IR, DNR, MENÚ OSD POR COAXIAL / ALIMENTACIÓN 12 VDC</t>
  </si>
  <si>
    <t>THC-T240-M(2.8mm)</t>
  </si>
  <si>
    <t>THC-B150-M (2.8MM)</t>
  </si>
  <si>
    <t>DVR 16 CANALES 1080P LITE / H.265 PRO+ / DETECCIÓN HUM‑VEH 2.0 / 16 CH ANALÓG + 2 IP / HDMI+VGA / HASTA 10 TB / ACUSENSE</t>
  </si>
  <si>
    <t>DVR-116G-M1(STD)(F)</t>
  </si>
  <si>
    <r>
      <t xml:space="preserve">MINI DVR 4CH TURBO HD 1080P LITE 4TB H265+ IP HDMI/VGA HILOOK </t>
    </r>
    <r>
      <rPr>
        <b/>
        <sz val="10"/>
        <color rgb="FFFF0000"/>
        <rFont val="Aptos Narrow"/>
        <family val="2"/>
        <scheme val="minor"/>
      </rPr>
      <t>AcuSense</t>
    </r>
  </si>
  <si>
    <r>
      <t xml:space="preserve">MINI DVR 8CH TURBO HD1080P LITE 4TB H265+ 10CH HDMI/VGA HILOOK </t>
    </r>
    <r>
      <rPr>
        <b/>
        <sz val="10"/>
        <color rgb="FFFF0000"/>
        <rFont val="Aptos Narrow"/>
        <family val="2"/>
        <scheme val="minor"/>
      </rPr>
      <t>AcuSense</t>
    </r>
  </si>
  <si>
    <t xml:space="preserve">DVR 4CH TURBO 1080P lite 1BAHIA/4TB H.265+ 2CH IP 30FPS HDMI/VGA HILOOK </t>
  </si>
  <si>
    <r>
      <t xml:space="preserve">DVR 4CH TURBO 1080P lite 1BAHIA/4TB H.265+ 2CH IP 30FPS HDMI/VGA HILOOK </t>
    </r>
    <r>
      <rPr>
        <b/>
        <sz val="10"/>
        <color rgb="FFFF0000"/>
        <rFont val="Aptos Narrow"/>
        <family val="2"/>
        <scheme val="minor"/>
      </rPr>
      <t>AcuSense</t>
    </r>
  </si>
  <si>
    <t>DVR-208G-M1</t>
  </si>
  <si>
    <r>
      <t xml:space="preserve">DVR 8CH TURBO 1080P lite 1BAHIA/4TB H.265+ 2CH IP 15FPS HDMI/VGA HILOOK </t>
    </r>
    <r>
      <rPr>
        <b/>
        <sz val="10"/>
        <color rgb="FFFF0000"/>
        <rFont val="Aptos Narrow"/>
        <family val="2"/>
        <scheme val="minor"/>
      </rPr>
      <t>AcuSense</t>
    </r>
  </si>
  <si>
    <t>DVR-216G-M1(STD)(F)</t>
  </si>
  <si>
    <r>
      <t>DVR 16 CANALES 1080P LITE / H.265 PRO+ / DETECCIÓN HUM‑VEH 2.0 / 16 CH ANALÓG + 2 IP / HDMI+VGA / HASTA 10 TB /</t>
    </r>
    <r>
      <rPr>
        <sz val="10"/>
        <color rgb="FFFF0000"/>
        <rFont val="Aptos Narrow"/>
        <family val="2"/>
        <scheme val="minor"/>
      </rPr>
      <t xml:space="preserve"> ACUSENSE</t>
    </r>
  </si>
  <si>
    <r>
      <t xml:space="preserve">DVR 16CH TURBO 1080P lite 1BAHIA/10TBH.265+ 2CH IP 30FPS HDMI/VGA HILOOK </t>
    </r>
    <r>
      <rPr>
        <b/>
        <sz val="10"/>
        <color rgb="FFFF0000"/>
        <rFont val="Aptos Narrow"/>
        <family val="2"/>
        <scheme val="minor"/>
      </rPr>
      <t>AcuSense</t>
    </r>
  </si>
  <si>
    <r>
      <t xml:space="preserve">DVR 4CH TURBO 1080P HASTA 6 CANALES 15FPS HDMI/VGA HILOOK </t>
    </r>
    <r>
      <rPr>
        <b/>
        <sz val="10"/>
        <color rgb="FFFF0000"/>
        <rFont val="Aptos Narrow"/>
        <family val="2"/>
        <scheme val="minor"/>
      </rPr>
      <t>AcuSense</t>
    </r>
  </si>
  <si>
    <r>
      <t xml:space="preserve">DVR 8CH TURBO HASTA 6MP LITE 10TB H265+ 15FPS HDMI/VGA HILOOK </t>
    </r>
    <r>
      <rPr>
        <b/>
        <sz val="10"/>
        <color rgb="FFFF0000"/>
        <rFont val="Aptos Narrow"/>
        <family val="2"/>
        <scheme val="minor"/>
      </rPr>
      <t>AcuSense</t>
    </r>
  </si>
  <si>
    <r>
      <t xml:space="preserve">DVR 16CH TURBO HASTA 4MP LITE 1BAHIA/10TB CADA BAHIA H.265+ 4CH IP 15FPS HDMI/VGA HILOOK </t>
    </r>
    <r>
      <rPr>
        <b/>
        <sz val="10"/>
        <color rgb="FFFF0000"/>
        <rFont val="Aptos Narrow"/>
        <family val="2"/>
        <scheme val="minor"/>
      </rPr>
      <t>AcuSense</t>
    </r>
  </si>
  <si>
    <r>
      <t xml:space="preserve">DVR 32CH TURBO HASTA 4MP LITE  2BAHIA/10TB POR CADA BAHIA H.265+ 2CH IP 15FPS 4K HDMI HILOOK </t>
    </r>
    <r>
      <rPr>
        <b/>
        <sz val="10"/>
        <color rgb="FFFF0000"/>
        <rFont val="Aptos Narrow"/>
        <family val="2"/>
        <scheme val="minor"/>
      </rPr>
      <t>AcuSense</t>
    </r>
  </si>
  <si>
    <t>DVR 8 CANALES 5 MP/8 MP / H.265 Pro+ / 4 CH IP (8→16) / HDMI 4K+VGA / AUDIO SOBRE COAX / ALMACENA 1 DISCO ≤ 10 TB / ACUSENSE</t>
  </si>
  <si>
    <r>
      <t xml:space="preserve">DVR 4CH TURBO 5MP 1BAHIA/10TB H265+ 8FPS HDMI/VGA HILOOK </t>
    </r>
    <r>
      <rPr>
        <b/>
        <sz val="10"/>
        <color rgb="FFFF0000"/>
        <rFont val="Aptos Narrow"/>
        <family val="2"/>
        <scheme val="minor"/>
      </rPr>
      <t>AcuSense</t>
    </r>
  </si>
  <si>
    <r>
      <t xml:space="preserve">DVR 16CH TURBO 8MP 10TB H265+ 8FPS HDMI/VGA HILOOK </t>
    </r>
    <r>
      <rPr>
        <b/>
        <sz val="10"/>
        <color rgb="FFFF0000"/>
        <rFont val="Aptos Narrow"/>
        <family val="2"/>
        <scheme val="minor"/>
      </rPr>
      <t>AcuSense</t>
    </r>
  </si>
  <si>
    <t>INSTALLER + IVA</t>
  </si>
  <si>
    <t>ORO + IVA</t>
  </si>
  <si>
    <t>PRECIO SUGERIDO INSTALADOR CON IVA</t>
  </si>
  <si>
    <t>PRECIO SUGERIDO ORO CON IVA2</t>
  </si>
  <si>
    <t>PLATINO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</si>
</sst>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8" tint="0.5999938962981048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164" fontId="2" fillId="0" borderId="1" xfId="1" applyNumberFormat="1" applyFont="1" applyBorder="1" applyAlignment="1" applyProtection="1">
      <alignment vertical="center" wrapText="1"/>
      <protection hidden="1"/>
    </xf>
    <xf numFmtId="164" fontId="2" fillId="0" borderId="2" xfId="1" applyNumberFormat="1" applyFont="1" applyBorder="1" applyAlignment="1" applyProtection="1">
      <alignment vertical="center" wrapText="1"/>
      <protection hidden="1"/>
    </xf>
    <xf numFmtId="164" fontId="2" fillId="0" borderId="2" xfId="1" applyNumberFormat="1" applyFont="1" applyBorder="1" applyAlignment="1" applyProtection="1">
      <alignment horizontal="center" vertical="center" wrapText="1"/>
      <protection hidden="1"/>
    </xf>
    <xf numFmtId="164" fontId="2" fillId="0" borderId="2" xfId="1" applyNumberFormat="1" applyFont="1" applyFill="1" applyBorder="1" applyAlignment="1" applyProtection="1">
      <alignment vertical="center" wrapText="1"/>
      <protection hidden="1"/>
    </xf>
    <xf numFmtId="164" fontId="2" fillId="0" borderId="2" xfId="1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3" borderId="3" xfId="1" applyNumberFormat="1" applyFont="1" applyFill="1" applyBorder="1" applyAlignment="1" applyProtection="1">
      <alignment horizontal="center" vertical="center" wrapText="1"/>
      <protection hidden="1"/>
    </xf>
    <xf numFmtId="164" fontId="2" fillId="3" borderId="4" xfId="1" applyNumberFormat="1" applyFont="1" applyFill="1" applyBorder="1" applyAlignment="1" applyProtection="1">
      <alignment horizontal="center" vertical="center" wrapText="1"/>
      <protection hidden="1"/>
    </xf>
    <xf numFmtId="164" fontId="3" fillId="4" borderId="4" xfId="1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 applyProtection="1">
      <alignment horizontal="center" vertical="center" wrapText="1"/>
      <protection hidden="1"/>
    </xf>
    <xf numFmtId="49" fontId="4" fillId="5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0" borderId="2" xfId="0" applyNumberFormat="1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pic>
      <xdr:nvPicPr>
        <xdr:cNvPr id="2" name="图片 45">
          <a:extLst>
            <a:ext uri="{FF2B5EF4-FFF2-40B4-BE49-F238E27FC236}">
              <a16:creationId xmlns:a16="http://schemas.microsoft.com/office/drawing/2014/main" id="{C365D254-2DFC-41F4-B88E-4A300D61D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62113"/>
          <a:ext cx="0" cy="2847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0</xdr:colOff>
      <xdr:row>32</xdr:row>
      <xdr:rowOff>0</xdr:rowOff>
    </xdr:to>
    <xdr:pic>
      <xdr:nvPicPr>
        <xdr:cNvPr id="3" name="图片 40">
          <a:extLst>
            <a:ext uri="{FF2B5EF4-FFF2-40B4-BE49-F238E27FC236}">
              <a16:creationId xmlns:a16="http://schemas.microsoft.com/office/drawing/2014/main" id="{9CF737AE-7DC3-4979-8C0C-4550774A8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815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34636</xdr:rowOff>
    </xdr:from>
    <xdr:to>
      <xdr:col>0</xdr:col>
      <xdr:colOff>0</xdr:colOff>
      <xdr:row>29</xdr:row>
      <xdr:rowOff>1141065</xdr:rowOff>
    </xdr:to>
    <xdr:pic>
      <xdr:nvPicPr>
        <xdr:cNvPr id="4" name="Imagen 17">
          <a:extLst>
            <a:ext uri="{FF2B5EF4-FFF2-40B4-BE49-F238E27FC236}">
              <a16:creationId xmlns:a16="http://schemas.microsoft.com/office/drawing/2014/main" id="{39B8C6ED-81F1-477D-8814-AC18115B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39636"/>
          <a:ext cx="0" cy="15392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295108</xdr:rowOff>
    </xdr:from>
    <xdr:to>
      <xdr:col>0</xdr:col>
      <xdr:colOff>5530</xdr:colOff>
      <xdr:row>36</xdr:row>
      <xdr:rowOff>906729</xdr:rowOff>
    </xdr:to>
    <xdr:pic>
      <xdr:nvPicPr>
        <xdr:cNvPr id="5" name="Imagen 18">
          <a:extLst>
            <a:ext uri="{FF2B5EF4-FFF2-40B4-BE49-F238E27FC236}">
              <a16:creationId xmlns:a16="http://schemas.microsoft.com/office/drawing/2014/main" id="{548CEFF8-3715-4658-A1F0-EAD09FAAF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572333"/>
          <a:ext cx="5530" cy="20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149412</xdr:rowOff>
    </xdr:from>
    <xdr:to>
      <xdr:col>0</xdr:col>
      <xdr:colOff>0</xdr:colOff>
      <xdr:row>35</xdr:row>
      <xdr:rowOff>1198469</xdr:rowOff>
    </xdr:to>
    <xdr:pic>
      <xdr:nvPicPr>
        <xdr:cNvPr id="6" name="Imagen 39">
          <a:extLst>
            <a:ext uri="{FF2B5EF4-FFF2-40B4-BE49-F238E27FC236}">
              <a16:creationId xmlns:a16="http://schemas.microsoft.com/office/drawing/2014/main" id="{5B488860-E01A-4996-8960-FC63E0C09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340912"/>
          <a:ext cx="0" cy="394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pic>
      <xdr:nvPicPr>
        <xdr:cNvPr id="7" name="Imagen 42">
          <a:extLst>
            <a:ext uri="{FF2B5EF4-FFF2-40B4-BE49-F238E27FC236}">
              <a16:creationId xmlns:a16="http://schemas.microsoft.com/office/drawing/2014/main" id="{60B225BF-7DB2-498C-AA13-7C245706D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762093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45358</xdr:rowOff>
    </xdr:from>
    <xdr:to>
      <xdr:col>0</xdr:col>
      <xdr:colOff>0</xdr:colOff>
      <xdr:row>41</xdr:row>
      <xdr:rowOff>1262912</xdr:rowOff>
    </xdr:to>
    <xdr:pic>
      <xdr:nvPicPr>
        <xdr:cNvPr id="8" name="图片 41">
          <a:extLst>
            <a:ext uri="{FF2B5EF4-FFF2-40B4-BE49-F238E27FC236}">
              <a16:creationId xmlns:a16="http://schemas.microsoft.com/office/drawing/2014/main" id="{4F4F9EA2-C532-4B41-859B-61C670E20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0" y="3093358"/>
          <a:ext cx="0" cy="1412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51614</xdr:rowOff>
    </xdr:from>
    <xdr:to>
      <xdr:col>0</xdr:col>
      <xdr:colOff>0</xdr:colOff>
      <xdr:row>42</xdr:row>
      <xdr:rowOff>1178465</xdr:rowOff>
    </xdr:to>
    <xdr:pic>
      <xdr:nvPicPr>
        <xdr:cNvPr id="9" name="图片 42">
          <a:extLst>
            <a:ext uri="{FF2B5EF4-FFF2-40B4-BE49-F238E27FC236}">
              <a16:creationId xmlns:a16="http://schemas.microsoft.com/office/drawing/2014/main" id="{4E60E1CE-5242-4E99-8D6D-F35550D84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4614"/>
          <a:ext cx="0" cy="13625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114516</xdr:rowOff>
    </xdr:from>
    <xdr:to>
      <xdr:col>0</xdr:col>
      <xdr:colOff>0</xdr:colOff>
      <xdr:row>39</xdr:row>
      <xdr:rowOff>1242786</xdr:rowOff>
    </xdr:to>
    <xdr:pic>
      <xdr:nvPicPr>
        <xdr:cNvPr id="10" name="图片 4">
          <a:extLst>
            <a:ext uri="{FF2B5EF4-FFF2-40B4-BE49-F238E27FC236}">
              <a16:creationId xmlns:a16="http://schemas.microsoft.com/office/drawing/2014/main" id="{6CE0DE2C-7780-4533-9A43-638486C69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2781516"/>
          <a:ext cx="0" cy="805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357910</xdr:rowOff>
    </xdr:from>
    <xdr:to>
      <xdr:col>0</xdr:col>
      <xdr:colOff>0</xdr:colOff>
      <xdr:row>37</xdr:row>
      <xdr:rowOff>1004456</xdr:rowOff>
    </xdr:to>
    <xdr:pic>
      <xdr:nvPicPr>
        <xdr:cNvPr id="11" name="Imagen 50">
          <a:extLst>
            <a:ext uri="{FF2B5EF4-FFF2-40B4-BE49-F238E27FC236}">
              <a16:creationId xmlns:a16="http://schemas.microsoft.com/office/drawing/2014/main" id="{7E270808-85B3-469D-BBAE-FD6400FAE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948960"/>
          <a:ext cx="0" cy="837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12" name="Imagen 51">
          <a:extLst>
            <a:ext uri="{FF2B5EF4-FFF2-40B4-BE49-F238E27FC236}">
              <a16:creationId xmlns:a16="http://schemas.microsoft.com/office/drawing/2014/main" id="{55EC5CE3-F931-4C49-AFF9-A51B3B4A9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76200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17929</xdr:rowOff>
    </xdr:from>
    <xdr:to>
      <xdr:col>0</xdr:col>
      <xdr:colOff>0</xdr:colOff>
      <xdr:row>22</xdr:row>
      <xdr:rowOff>1117400</xdr:rowOff>
    </xdr:to>
    <xdr:pic>
      <xdr:nvPicPr>
        <xdr:cNvPr id="13" name="Imagen 53">
          <a:extLst>
            <a:ext uri="{FF2B5EF4-FFF2-40B4-BE49-F238E27FC236}">
              <a16:creationId xmlns:a16="http://schemas.microsoft.com/office/drawing/2014/main" id="{AB1ABBE4-32B8-4F45-9157-FA45EA8D4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7329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14380</xdr:rowOff>
    </xdr:from>
    <xdr:to>
      <xdr:col>0</xdr:col>
      <xdr:colOff>0</xdr:colOff>
      <xdr:row>26</xdr:row>
      <xdr:rowOff>958849</xdr:rowOff>
    </xdr:to>
    <xdr:pic>
      <xdr:nvPicPr>
        <xdr:cNvPr id="14" name="Imagen 55">
          <a:extLst>
            <a:ext uri="{FF2B5EF4-FFF2-40B4-BE49-F238E27FC236}">
              <a16:creationId xmlns:a16="http://schemas.microsoft.com/office/drawing/2014/main" id="{87BC5DFF-433C-4B0A-9D0D-962B1DA5B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38380"/>
          <a:ext cx="0" cy="1729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75267</xdr:rowOff>
    </xdr:from>
    <xdr:to>
      <xdr:col>0</xdr:col>
      <xdr:colOff>0</xdr:colOff>
      <xdr:row>9</xdr:row>
      <xdr:rowOff>1123764</xdr:rowOff>
    </xdr:to>
    <xdr:pic>
      <xdr:nvPicPr>
        <xdr:cNvPr id="15" name="Imagen 57">
          <a:extLst>
            <a:ext uri="{FF2B5EF4-FFF2-40B4-BE49-F238E27FC236}">
              <a16:creationId xmlns:a16="http://schemas.microsoft.com/office/drawing/2014/main" id="{25DA67F4-28C5-4C9C-A5E3-65B73CB7F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3617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75267</xdr:rowOff>
    </xdr:from>
    <xdr:to>
      <xdr:col>0</xdr:col>
      <xdr:colOff>0</xdr:colOff>
      <xdr:row>9</xdr:row>
      <xdr:rowOff>1123764</xdr:rowOff>
    </xdr:to>
    <xdr:pic>
      <xdr:nvPicPr>
        <xdr:cNvPr id="16" name="Imagen 67">
          <a:extLst>
            <a:ext uri="{FF2B5EF4-FFF2-40B4-BE49-F238E27FC236}">
              <a16:creationId xmlns:a16="http://schemas.microsoft.com/office/drawing/2014/main" id="{B5D99453-2C1B-41DC-B703-6C5CCDFFF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3617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159873</xdr:rowOff>
    </xdr:from>
    <xdr:to>
      <xdr:col>0</xdr:col>
      <xdr:colOff>0</xdr:colOff>
      <xdr:row>40</xdr:row>
      <xdr:rowOff>1288143</xdr:rowOff>
    </xdr:to>
    <xdr:pic>
      <xdr:nvPicPr>
        <xdr:cNvPr id="17" name="图片 4">
          <a:extLst>
            <a:ext uri="{FF2B5EF4-FFF2-40B4-BE49-F238E27FC236}">
              <a16:creationId xmlns:a16="http://schemas.microsoft.com/office/drawing/2014/main" id="{A445D41C-FE31-4EA8-926D-21FA19256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3017373"/>
          <a:ext cx="0" cy="328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pic>
      <xdr:nvPicPr>
        <xdr:cNvPr id="18" name="Imagen 45">
          <a:extLst>
            <a:ext uri="{FF2B5EF4-FFF2-40B4-BE49-F238E27FC236}">
              <a16:creationId xmlns:a16="http://schemas.microsoft.com/office/drawing/2014/main" id="{80498341-D10A-4CE8-8E37-27ED1AD2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7630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19" name="图片 2">
          <a:extLst>
            <a:ext uri="{FF2B5EF4-FFF2-40B4-BE49-F238E27FC236}">
              <a16:creationId xmlns:a16="http://schemas.microsoft.com/office/drawing/2014/main" id="{8C7F608C-958C-4609-9BA6-474B6D8BB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8441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0</xdr:colOff>
      <xdr:row>12</xdr:row>
      <xdr:rowOff>1133929</xdr:rowOff>
    </xdr:to>
    <xdr:pic>
      <xdr:nvPicPr>
        <xdr:cNvPr id="20" name="图片 2">
          <a:extLst>
            <a:ext uri="{FF2B5EF4-FFF2-40B4-BE49-F238E27FC236}">
              <a16:creationId xmlns:a16="http://schemas.microsoft.com/office/drawing/2014/main" id="{A2A721C7-6C0D-4364-854C-5003D4813F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571500"/>
          <a:ext cx="0" cy="19095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112940</xdr:rowOff>
    </xdr:from>
    <xdr:to>
      <xdr:col>0</xdr:col>
      <xdr:colOff>0</xdr:colOff>
      <xdr:row>4</xdr:row>
      <xdr:rowOff>743816</xdr:rowOff>
    </xdr:to>
    <xdr:pic>
      <xdr:nvPicPr>
        <xdr:cNvPr id="21" name="图片 29">
          <a:extLst>
            <a:ext uri="{FF2B5EF4-FFF2-40B4-BE49-F238E27FC236}">
              <a16:creationId xmlns:a16="http://schemas.microsoft.com/office/drawing/2014/main" id="{9C4E7ABE-96A0-43F7-B136-07BD1B852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39229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112940</xdr:rowOff>
    </xdr:from>
    <xdr:to>
      <xdr:col>0</xdr:col>
      <xdr:colOff>0</xdr:colOff>
      <xdr:row>4</xdr:row>
      <xdr:rowOff>743816</xdr:rowOff>
    </xdr:to>
    <xdr:pic>
      <xdr:nvPicPr>
        <xdr:cNvPr id="22" name="图片 29">
          <a:extLst>
            <a:ext uri="{FF2B5EF4-FFF2-40B4-BE49-F238E27FC236}">
              <a16:creationId xmlns:a16="http://schemas.microsoft.com/office/drawing/2014/main" id="{D7BEACA5-599D-4B96-A013-F89AA90ED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39229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17929</xdr:rowOff>
    </xdr:from>
    <xdr:to>
      <xdr:col>0</xdr:col>
      <xdr:colOff>0</xdr:colOff>
      <xdr:row>23</xdr:row>
      <xdr:rowOff>1117400</xdr:rowOff>
    </xdr:to>
    <xdr:pic>
      <xdr:nvPicPr>
        <xdr:cNvPr id="23" name="Imagen 53">
          <a:extLst>
            <a:ext uri="{FF2B5EF4-FFF2-40B4-BE49-F238E27FC236}">
              <a16:creationId xmlns:a16="http://schemas.microsoft.com/office/drawing/2014/main" id="{32AB5FB8-B814-47F6-901D-3CB37A684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514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pic>
      <xdr:nvPicPr>
        <xdr:cNvPr id="24" name="Imagen 51">
          <a:extLst>
            <a:ext uri="{FF2B5EF4-FFF2-40B4-BE49-F238E27FC236}">
              <a16:creationId xmlns:a16="http://schemas.microsoft.com/office/drawing/2014/main" id="{B3F0E2FE-C3A3-4A58-802D-2D8B890F5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9525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17146</xdr:rowOff>
    </xdr:from>
    <xdr:to>
      <xdr:col>0</xdr:col>
      <xdr:colOff>0</xdr:colOff>
      <xdr:row>27</xdr:row>
      <xdr:rowOff>1179288</xdr:rowOff>
    </xdr:to>
    <xdr:pic>
      <xdr:nvPicPr>
        <xdr:cNvPr id="25" name="Imagen 27">
          <a:extLst>
            <a:ext uri="{FF2B5EF4-FFF2-40B4-BE49-F238E27FC236}">
              <a16:creationId xmlns:a16="http://schemas.microsoft.com/office/drawing/2014/main" id="{C9D3AAF5-DE15-48D8-942A-517664B06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731646"/>
          <a:ext cx="0" cy="1715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8CBCB-9754-41C1-989B-E2FCE4B70828}" name="Tabla112" displayName="Tabla112" ref="A1:N50" totalsRowShown="0" headerRowDxfId="19" dataDxfId="17" headerRowBorderDxfId="18" tableBorderDxfId="16" totalsRowBorderDxfId="15">
  <autoFilter ref="A1:N50" xr:uid="{568EA219-1CF6-4D4E-BEF7-296B6F1B857A}"/>
  <sortState xmlns:xlrd2="http://schemas.microsoft.com/office/spreadsheetml/2017/richdata2" ref="A2:N50">
    <sortCondition ref="A2:A50"/>
  </sortState>
  <tableColumns count="14">
    <tableColumn id="3" xr3:uid="{B27A9F44-573B-407C-9969-9FED372DC1EB}" name="REFERENCIA" dataDxfId="14"/>
    <tableColumn id="4" xr3:uid="{74F67010-A920-4A46-B107-747DA3FA17AA}" name="DESCRIPCIÓN " dataDxfId="13"/>
    <tableColumn id="5" xr3:uid="{72B05829-F59B-40D7-97BF-0E5CB2A28EBF}" name="PRECIO  INSTALADOR_x000a_( CON  IVA)" dataDxfId="12" dataCellStyle="Moneda">
      <calculatedColumnFormula>+Tabla112[[#This Row],[PRECIO SUGERIDO INSTALADOR CON IVA]]</calculatedColumnFormula>
    </tableColumn>
    <tableColumn id="2" xr3:uid="{5C094129-76AA-4CA3-8410-797177AE064A}" name="PRECIO TIENDA ( CON  IVA)" dataDxfId="11" dataCellStyle="Moneda">
      <calculatedColumnFormula>+Tabla112[[#This Row],[PRECIO  INSTALADOR
( CON  IVA)]]-Tabla112[[#This Row],[DCTO TIENDA]]</calculatedColumnFormula>
    </tableColumn>
    <tableColumn id="18" xr3:uid="{6D096978-2A90-4D3A-9BB3-9A0342CBD1A4}" name="PRECIO DPP ORO ( CON  IVA)" dataDxfId="10" dataCellStyle="Moneda">
      <calculatedColumnFormula>+Tabla112[[#This Row],[PRECIO SUGERIDO ORO CON IVA2]]</calculatedColumnFormula>
    </tableColumn>
    <tableColumn id="19" xr3:uid="{C32139C5-0CF7-49D7-A07D-BB2363C8960B}" name="PRECIO DPP PLATINO ( CON  IVA)" dataDxfId="9" dataCellStyle="Moneda">
      <calculatedColumnFormula>+Tabla112[[#This Row],[PRECIO DPP ORO ( CON  IVA)]]-Tabla112[[#This Row],[PLATINO]]</calculatedColumnFormula>
    </tableColumn>
    <tableColumn id="20" xr3:uid="{F9AB091F-C2DD-424C-A3CB-DDF26A9053B5}" name="PRECIO CLIENTE FINAL ( CON  IVA)" dataDxfId="8" dataCellStyle="Moneda">
      <calculatedColumnFormula>+Tabla112[[#This Row],[PRECIO  INSTALADOR
( CON  IVA)]]/0.7</calculatedColumnFormula>
    </tableColumn>
    <tableColumn id="8" xr3:uid="{48EEAE0C-E426-497D-939D-48A36A6A4F86}" name="Columna3" dataDxfId="7" dataCellStyle="Moneda"/>
    <tableColumn id="6" xr3:uid="{2D60824D-F126-4226-A468-6B59F2FBF481}" name="PLATINO" dataDxfId="6" dataCellStyle="Moneda">
      <calculatedColumnFormula>+Tabla112[[#This Row],[PRECIO DPP ORO ( CON  IVA)]]*1%</calculatedColumnFormula>
    </tableColumn>
    <tableColumn id="9" xr3:uid="{47164C16-359B-49EE-9FB4-674611FDA7C4}" name="PRECIO SUGERIDO ORO CON IVA2" dataDxfId="5" dataCellStyle="Moneda">
      <calculatedColumnFormula>+Tabla112[[#This Row],[ORO + IVA]]*1.19</calculatedColumnFormula>
    </tableColumn>
    <tableColumn id="1" xr3:uid="{8867D898-1C45-4365-96F5-5D7BFCF10DDC}" name="DCTO TIENDA" dataDxfId="4" dataCellStyle="Moneda">
      <calculatedColumnFormula>+Tabla112[[#This Row],[PRECIO SUGERIDO INSTALADOR CON IVA]]*5%</calculatedColumnFormula>
    </tableColumn>
    <tableColumn id="15" xr3:uid="{55A92765-A478-404C-ACBF-98B29B0A14BC}" name="PRECIO SUGERIDO INSTALADOR CON IVA" dataDxfId="3">
      <calculatedColumnFormula>Tabla112[[#This Row],[INSTALLER + IVA]]*1.19</calculatedColumnFormula>
    </tableColumn>
    <tableColumn id="16" xr3:uid="{6EA2B854-72C4-4C9F-A760-D2C43D422BAB}" name="ORO + IVA" dataDxfId="2" dataCellStyle="Moneda"/>
    <tableColumn id="17" xr3:uid="{92F43558-DE76-4988-8AB4-4F5069264B13}" name="INSTALLER + IVA" dataDxfId="1" dataCellStyle="Moned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44BC-8491-45A6-A95F-7808B54E93A7}">
  <sheetPr>
    <pageSetUpPr fitToPage="1"/>
  </sheetPr>
  <dimension ref="A1:N50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 activeCell="M6" sqref="M6"/>
    </sheetView>
  </sheetViews>
  <sheetFormatPr baseColWidth="10" defaultColWidth="10.5703125" defaultRowHeight="13.5" x14ac:dyDescent="0.25"/>
  <cols>
    <col min="1" max="1" width="29" style="3" customWidth="1"/>
    <col min="2" max="2" width="44.42578125" style="3" customWidth="1"/>
    <col min="3" max="10" width="12.5703125" style="3" customWidth="1"/>
    <col min="11" max="11" width="9.140625" style="2" customWidth="1"/>
    <col min="12" max="12" width="11.5703125" style="2" customWidth="1"/>
    <col min="13" max="13" width="14.28515625" style="2" customWidth="1"/>
    <col min="14" max="14" width="13.28515625" style="2" customWidth="1"/>
    <col min="15" max="17" width="10.5703125" style="1" customWidth="1"/>
    <col min="18" max="16384" width="10.5703125" style="1"/>
  </cols>
  <sheetData>
    <row r="1" spans="1:14" ht="81" customHeight="1" x14ac:dyDescent="0.25">
      <c r="A1" s="14" t="s">
        <v>36</v>
      </c>
      <c r="B1" s="14" t="s">
        <v>35</v>
      </c>
      <c r="C1" s="14" t="s">
        <v>34</v>
      </c>
      <c r="D1" s="14" t="s">
        <v>33</v>
      </c>
      <c r="E1" s="14" t="s">
        <v>32</v>
      </c>
      <c r="F1" s="14" t="s">
        <v>31</v>
      </c>
      <c r="G1" s="14" t="s">
        <v>30</v>
      </c>
      <c r="H1" s="13" t="s">
        <v>29</v>
      </c>
      <c r="I1" s="13" t="s">
        <v>108</v>
      </c>
      <c r="J1" s="12" t="s">
        <v>107</v>
      </c>
      <c r="K1" s="12" t="s">
        <v>28</v>
      </c>
      <c r="L1" s="12" t="s">
        <v>106</v>
      </c>
      <c r="M1" s="11" t="s">
        <v>105</v>
      </c>
      <c r="N1" s="10" t="s">
        <v>104</v>
      </c>
    </row>
    <row r="2" spans="1:14" x14ac:dyDescent="0.25">
      <c r="A2" s="15" t="s">
        <v>68</v>
      </c>
      <c r="B2" s="15" t="s">
        <v>70</v>
      </c>
      <c r="C2" s="8">
        <f>+Tabla112[[#This Row],[PRECIO SUGERIDO INSTALADOR CON IVA]]</f>
        <v>34977.67</v>
      </c>
      <c r="D2" s="8">
        <f>+Tabla112[[#This Row],[PRECIO  INSTALADOR
( CON  IVA)]]-Tabla112[[#This Row],[DCTO TIENDA]]</f>
        <v>33228.786500000002</v>
      </c>
      <c r="E2" s="8">
        <f>+Tabla112[[#This Row],[PRECIO SUGERIDO ORO CON IVA2]]</f>
        <v>30392.6</v>
      </c>
      <c r="F2" s="8">
        <f>+Tabla112[[#This Row],[PRECIO DPP ORO ( CON  IVA)]]-Tabla112[[#This Row],[PLATINO]]</f>
        <v>30088.673999999999</v>
      </c>
      <c r="G2" s="8">
        <f>+Tabla112[[#This Row],[PRECIO  INSTALADOR
( CON  IVA)]]/0.7</f>
        <v>49968.1</v>
      </c>
      <c r="H2" s="8"/>
      <c r="I2" s="8">
        <f>+Tabla112[[#This Row],[PRECIO DPP ORO ( CON  IVA)]]*1%</f>
        <v>303.92599999999999</v>
      </c>
      <c r="J2" s="8">
        <f>+Tabla112[[#This Row],[ORO + IVA]]*1.19</f>
        <v>30392.6</v>
      </c>
      <c r="K2" s="7">
        <f>+Tabla112[[#This Row],[PRECIO SUGERIDO INSTALADOR CON IVA]]*5%</f>
        <v>1748.8834999999999</v>
      </c>
      <c r="L2" s="9">
        <f>Tabla112[[#This Row],[INSTALLER + IVA]]*1.19</f>
        <v>34977.67</v>
      </c>
      <c r="M2" s="5">
        <v>25540</v>
      </c>
      <c r="N2" s="4">
        <v>29393</v>
      </c>
    </row>
    <row r="3" spans="1:14" ht="27" x14ac:dyDescent="0.25">
      <c r="A3" s="15" t="s">
        <v>18</v>
      </c>
      <c r="B3" s="15" t="s">
        <v>17</v>
      </c>
      <c r="C3" s="8">
        <f>+Tabla112[[#This Row],[PRECIO SUGERIDO INSTALADOR CON IVA]]</f>
        <v>58605.119999999995</v>
      </c>
      <c r="D3" s="8">
        <f>+Tabla112[[#This Row],[PRECIO  INSTALADOR
( CON  IVA)]]-Tabla112[[#This Row],[DCTO TIENDA]]</f>
        <v>55674.863999999994</v>
      </c>
      <c r="E3" s="8">
        <f>+Tabla112[[#This Row],[PRECIO SUGERIDO ORO CON IVA2]]</f>
        <v>55493.27</v>
      </c>
      <c r="F3" s="8">
        <f>+Tabla112[[#This Row],[PRECIO DPP ORO ( CON  IVA)]]-Tabla112[[#This Row],[PLATINO]]</f>
        <v>54938.337299999999</v>
      </c>
      <c r="G3" s="8">
        <f>+Tabla112[[#This Row],[PRECIO  INSTALADOR
( CON  IVA)]]/0.7</f>
        <v>83721.600000000006</v>
      </c>
      <c r="H3" s="8"/>
      <c r="I3" s="8">
        <f>+Tabla112[[#This Row],[PRECIO DPP ORO ( CON  IVA)]]*1%</f>
        <v>554.93269999999995</v>
      </c>
      <c r="J3" s="8">
        <f>+Tabla112[[#This Row],[ORO + IVA]]*1.19</f>
        <v>55493.27</v>
      </c>
      <c r="K3" s="7">
        <f>+Tabla112[[#This Row],[PRECIO SUGERIDO INSTALADOR CON IVA]]*5%</f>
        <v>2930.2559999999999</v>
      </c>
      <c r="L3" s="9">
        <f>Tabla112[[#This Row],[INSTALLER + IVA]]*1.19</f>
        <v>58605.119999999995</v>
      </c>
      <c r="M3" s="5">
        <v>46633</v>
      </c>
      <c r="N3" s="4">
        <v>49248</v>
      </c>
    </row>
    <row r="4" spans="1:14" ht="27" x14ac:dyDescent="0.25">
      <c r="A4" s="15" t="s">
        <v>41</v>
      </c>
      <c r="B4" s="15" t="s">
        <v>17</v>
      </c>
      <c r="C4" s="8">
        <f>+Tabla112[[#This Row],[PRECIO SUGERIDO INSTALADOR CON IVA]]</f>
        <v>71094.17</v>
      </c>
      <c r="D4" s="8">
        <f>+Tabla112[[#This Row],[PRECIO  INSTALADOR
( CON  IVA)]]-Tabla112[[#This Row],[DCTO TIENDA]]</f>
        <v>67539.461500000005</v>
      </c>
      <c r="E4" s="8">
        <f>+Tabla112[[#This Row],[PRECIO SUGERIDO ORO CON IVA2]]</f>
        <v>65684.429999999993</v>
      </c>
      <c r="F4" s="8">
        <f>+Tabla112[[#This Row],[PRECIO DPP ORO ( CON  IVA)]]-Tabla112[[#This Row],[PLATINO]]</f>
        <v>65027.585699999996</v>
      </c>
      <c r="G4" s="8">
        <f>+Tabla112[[#This Row],[PRECIO  INSTALADOR
( CON  IVA)]]/0.7</f>
        <v>101563.1</v>
      </c>
      <c r="H4" s="8"/>
      <c r="I4" s="8">
        <f>+Tabla112[[#This Row],[PRECIO DPP ORO ( CON  IVA)]]*1%</f>
        <v>656.84429999999998</v>
      </c>
      <c r="J4" s="8">
        <f>+Tabla112[[#This Row],[ORO + IVA]]*1.19</f>
        <v>65684.429999999993</v>
      </c>
      <c r="K4" s="7">
        <f>+Tabla112[[#This Row],[PRECIO SUGERIDO INSTALADOR CON IVA]]*5%</f>
        <v>3554.7085000000002</v>
      </c>
      <c r="L4" s="9">
        <f>Tabla112[[#This Row],[INSTALLER + IVA]]*1.19</f>
        <v>71094.17</v>
      </c>
      <c r="M4" s="5">
        <v>55197</v>
      </c>
      <c r="N4" s="4">
        <v>59743</v>
      </c>
    </row>
    <row r="5" spans="1:14" ht="27" x14ac:dyDescent="0.25">
      <c r="A5" s="15" t="s">
        <v>45</v>
      </c>
      <c r="B5" s="15" t="s">
        <v>17</v>
      </c>
      <c r="C5" s="8">
        <f>+Tabla112[[#This Row],[PRECIO SUGERIDO INSTALADOR CON IVA]]</f>
        <v>42399.7</v>
      </c>
      <c r="D5" s="8">
        <f>+Tabla112[[#This Row],[PRECIO  INSTALADOR
( CON  IVA)]]-Tabla112[[#This Row],[DCTO TIENDA]]</f>
        <v>40279.714999999997</v>
      </c>
      <c r="E5" s="8">
        <f>+Tabla112[[#This Row],[PRECIO SUGERIDO ORO CON IVA2]]</f>
        <v>37918.159999999996</v>
      </c>
      <c r="F5" s="8">
        <f>+Tabla112[[#This Row],[PRECIO DPP ORO ( CON  IVA)]]-Tabla112[[#This Row],[PLATINO]]</f>
        <v>37538.978399999993</v>
      </c>
      <c r="G5" s="8">
        <f>+Tabla112[[#This Row],[PRECIO  INSTALADOR
( CON  IVA)]]/0.7</f>
        <v>60571</v>
      </c>
      <c r="H5" s="8"/>
      <c r="I5" s="8">
        <f>+Tabla112[[#This Row],[PRECIO DPP ORO ( CON  IVA)]]*1%</f>
        <v>379.18159999999995</v>
      </c>
      <c r="J5" s="8">
        <f>+Tabla112[[#This Row],[ORO + IVA]]*1.19</f>
        <v>37918.159999999996</v>
      </c>
      <c r="K5" s="7">
        <f>+Tabla112[[#This Row],[PRECIO SUGERIDO INSTALADOR CON IVA]]*5%</f>
        <v>2119.9850000000001</v>
      </c>
      <c r="L5" s="9">
        <f>Tabla112[[#This Row],[INSTALLER + IVA]]*1.19</f>
        <v>42399.7</v>
      </c>
      <c r="M5" s="5">
        <v>31864</v>
      </c>
      <c r="N5" s="4">
        <v>35630</v>
      </c>
    </row>
    <row r="6" spans="1:14" ht="40.5" x14ac:dyDescent="0.25">
      <c r="A6" s="15" t="s">
        <v>54</v>
      </c>
      <c r="B6" s="15" t="s">
        <v>75</v>
      </c>
      <c r="C6" s="8">
        <f>+Tabla112[[#This Row],[PRECIO SUGERIDO INSTALADOR CON IVA]]</f>
        <v>61047</v>
      </c>
      <c r="D6" s="8">
        <f>+Tabla112[[#This Row],[PRECIO  INSTALADOR
( CON  IVA)]]-Tabla112[[#This Row],[DCTO TIENDA]]</f>
        <v>57994.65</v>
      </c>
      <c r="E6" s="8">
        <f>+Tabla112[[#This Row],[PRECIO SUGERIDO ORO CON IVA2]]</f>
        <v>54670.979999999996</v>
      </c>
      <c r="F6" s="8">
        <f>+Tabla112[[#This Row],[PRECIO DPP ORO ( CON  IVA)]]-Tabla112[[#This Row],[PLATINO]]</f>
        <v>54124.270199999999</v>
      </c>
      <c r="G6" s="8">
        <f>+Tabla112[[#This Row],[PRECIO  INSTALADOR
( CON  IVA)]]/0.7</f>
        <v>87210</v>
      </c>
      <c r="H6" s="8"/>
      <c r="I6" s="8">
        <f>+Tabla112[[#This Row],[PRECIO DPP ORO ( CON  IVA)]]*1%</f>
        <v>546.70979999999997</v>
      </c>
      <c r="J6" s="8">
        <f>+Tabla112[[#This Row],[ORO + IVA]]*1.19</f>
        <v>54670.979999999996</v>
      </c>
      <c r="K6" s="7">
        <f>+Tabla112[[#This Row],[PRECIO SUGERIDO INSTALADOR CON IVA]]*5%</f>
        <v>3052.3500000000004</v>
      </c>
      <c r="L6" s="9">
        <f>Tabla112[[#This Row],[INSTALLER + IVA]]*1.19</f>
        <v>61047</v>
      </c>
      <c r="M6" s="5">
        <v>45942</v>
      </c>
      <c r="N6" s="4">
        <v>51300</v>
      </c>
    </row>
    <row r="7" spans="1:14" ht="27" x14ac:dyDescent="0.25">
      <c r="A7" s="15" t="s">
        <v>44</v>
      </c>
      <c r="B7" s="15" t="s">
        <v>19</v>
      </c>
      <c r="C7" s="8">
        <f>+Tabla112[[#This Row],[PRECIO SUGERIDO INSTALADOR CON IVA]]</f>
        <v>59192.979999999996</v>
      </c>
      <c r="D7" s="8">
        <f>+Tabla112[[#This Row],[PRECIO  INSTALADOR
( CON  IVA)]]-Tabla112[[#This Row],[DCTO TIENDA]]</f>
        <v>56233.330999999998</v>
      </c>
      <c r="E7" s="8">
        <f>+Tabla112[[#This Row],[PRECIO SUGERIDO ORO CON IVA2]]</f>
        <v>52907.399999999994</v>
      </c>
      <c r="F7" s="8">
        <f>+Tabla112[[#This Row],[PRECIO DPP ORO ( CON  IVA)]]-Tabla112[[#This Row],[PLATINO]]</f>
        <v>52378.325999999994</v>
      </c>
      <c r="G7" s="8">
        <f>+Tabla112[[#This Row],[PRECIO  INSTALADOR
( CON  IVA)]]/0.7</f>
        <v>84561.4</v>
      </c>
      <c r="H7" s="8"/>
      <c r="I7" s="8">
        <f>+Tabla112[[#This Row],[PRECIO DPP ORO ( CON  IVA)]]*1%</f>
        <v>529.07399999999996</v>
      </c>
      <c r="J7" s="8">
        <f>+Tabla112[[#This Row],[ORO + IVA]]*1.19</f>
        <v>52907.399999999994</v>
      </c>
      <c r="K7" s="7">
        <f>+Tabla112[[#This Row],[PRECIO SUGERIDO INSTALADOR CON IVA]]*5%</f>
        <v>2959.6489999999999</v>
      </c>
      <c r="L7" s="9">
        <f>Tabla112[[#This Row],[INSTALLER + IVA]]*1.19</f>
        <v>59192.979999999996</v>
      </c>
      <c r="M7" s="5">
        <v>44460</v>
      </c>
      <c r="N7" s="4">
        <v>49742</v>
      </c>
    </row>
    <row r="8" spans="1:14" ht="27" x14ac:dyDescent="0.25">
      <c r="A8" s="15" t="s">
        <v>46</v>
      </c>
      <c r="B8" s="15" t="s">
        <v>0</v>
      </c>
      <c r="C8" s="8">
        <f>+Tabla112[[#This Row],[PRECIO SUGERIDO INSTALADOR CON IVA]]</f>
        <v>73482.5</v>
      </c>
      <c r="D8" s="8">
        <f>+Tabla112[[#This Row],[PRECIO  INSTALADOR
( CON  IVA)]]-Tabla112[[#This Row],[DCTO TIENDA]]</f>
        <v>69808.375</v>
      </c>
      <c r="E8" s="8">
        <f>+Tabla112[[#This Row],[PRECIO SUGERIDO ORO CON IVA2]]</f>
        <v>65749.87999999999</v>
      </c>
      <c r="F8" s="8">
        <f>+Tabla112[[#This Row],[PRECIO DPP ORO ( CON  IVA)]]-Tabla112[[#This Row],[PLATINO]]</f>
        <v>65092.381199999989</v>
      </c>
      <c r="G8" s="8">
        <f>+Tabla112[[#This Row],[PRECIO  INSTALADOR
( CON  IVA)]]/0.7</f>
        <v>104975</v>
      </c>
      <c r="H8" s="8"/>
      <c r="I8" s="8">
        <f>+Tabla112[[#This Row],[PRECIO DPP ORO ( CON  IVA)]]*1%</f>
        <v>657.49879999999996</v>
      </c>
      <c r="J8" s="8">
        <f>+Tabla112[[#This Row],[ORO + IVA]]*1.19</f>
        <v>65749.87999999999</v>
      </c>
      <c r="K8" s="7">
        <f>+Tabla112[[#This Row],[PRECIO SUGERIDO INSTALADOR CON IVA]]*5%</f>
        <v>3674.125</v>
      </c>
      <c r="L8" s="9">
        <f>Tabla112[[#This Row],[INSTALLER + IVA]]*1.19</f>
        <v>73482.5</v>
      </c>
      <c r="M8" s="5">
        <v>55251.999999999993</v>
      </c>
      <c r="N8" s="4">
        <v>61750</v>
      </c>
    </row>
    <row r="9" spans="1:14" ht="40.5" x14ac:dyDescent="0.25">
      <c r="A9" s="15" t="s">
        <v>52</v>
      </c>
      <c r="B9" s="15" t="s">
        <v>76</v>
      </c>
      <c r="C9" s="8">
        <f>+Tabla112[[#This Row],[PRECIO SUGERIDO INSTALADOR CON IVA]]</f>
        <v>75472.179999999993</v>
      </c>
      <c r="D9" s="8">
        <f>+Tabla112[[#This Row],[PRECIO  INSTALADOR
( CON  IVA)]]-Tabla112[[#This Row],[DCTO TIENDA]]</f>
        <v>71698.570999999996</v>
      </c>
      <c r="E9" s="8">
        <f>+Tabla112[[#This Row],[PRECIO SUGERIDO ORO CON IVA2]]</f>
        <v>67603.899999999994</v>
      </c>
      <c r="F9" s="8">
        <f>+Tabla112[[#This Row],[PRECIO DPP ORO ( CON  IVA)]]-Tabla112[[#This Row],[PLATINO]]</f>
        <v>66927.86099999999</v>
      </c>
      <c r="G9" s="8">
        <f>+Tabla112[[#This Row],[PRECIO  INSTALADOR
( CON  IVA)]]/0.7</f>
        <v>107817.4</v>
      </c>
      <c r="H9" s="8"/>
      <c r="I9" s="8">
        <f>+Tabla112[[#This Row],[PRECIO DPP ORO ( CON  IVA)]]*1%</f>
        <v>676.03899999999999</v>
      </c>
      <c r="J9" s="8">
        <f>+Tabla112[[#This Row],[ORO + IVA]]*1.19</f>
        <v>67603.899999999994</v>
      </c>
      <c r="K9" s="7">
        <f>+Tabla112[[#This Row],[PRECIO SUGERIDO INSTALADOR CON IVA]]*5%</f>
        <v>3773.6089999999999</v>
      </c>
      <c r="L9" s="9">
        <f>Tabla112[[#This Row],[INSTALLER + IVA]]*1.19</f>
        <v>75472.179999999993</v>
      </c>
      <c r="M9" s="5">
        <v>56810</v>
      </c>
      <c r="N9" s="4">
        <v>63422</v>
      </c>
    </row>
    <row r="10" spans="1:14" ht="27" x14ac:dyDescent="0.25">
      <c r="A10" s="15" t="s">
        <v>55</v>
      </c>
      <c r="B10" s="15" t="s">
        <v>12</v>
      </c>
      <c r="C10" s="8">
        <f>+Tabla112[[#This Row],[PRECIO SUGERIDO INSTALADOR CON IVA]]</f>
        <v>60052.159999999996</v>
      </c>
      <c r="D10" s="8">
        <f>+Tabla112[[#This Row],[PRECIO  INSTALADOR
( CON  IVA)]]-Tabla112[[#This Row],[DCTO TIENDA]]</f>
        <v>57049.551999999996</v>
      </c>
      <c r="E10" s="8">
        <f>+Tabla112[[#This Row],[PRECIO SUGERIDO ORO CON IVA2]]</f>
        <v>50239.42</v>
      </c>
      <c r="F10" s="8">
        <f>+Tabla112[[#This Row],[PRECIO DPP ORO ( CON  IVA)]]-Tabla112[[#This Row],[PLATINO]]</f>
        <v>49737.025799999996</v>
      </c>
      <c r="G10" s="8">
        <f>+Tabla112[[#This Row],[PRECIO  INSTALADOR
( CON  IVA)]]/0.7</f>
        <v>85788.800000000003</v>
      </c>
      <c r="H10" s="8"/>
      <c r="I10" s="8">
        <f>+Tabla112[[#This Row],[PRECIO DPP ORO ( CON  IVA)]]*1%</f>
        <v>502.39420000000001</v>
      </c>
      <c r="J10" s="8">
        <f>+Tabla112[[#This Row],[ORO + IVA]]*1.19</f>
        <v>50239.42</v>
      </c>
      <c r="K10" s="7">
        <f>+Tabla112[[#This Row],[PRECIO SUGERIDO INSTALADOR CON IVA]]*5%</f>
        <v>3002.6080000000002</v>
      </c>
      <c r="L10" s="9">
        <f>Tabla112[[#This Row],[INSTALLER + IVA]]*1.19</f>
        <v>60052.159999999996</v>
      </c>
      <c r="M10" s="5">
        <v>42218</v>
      </c>
      <c r="N10" s="4">
        <v>50464</v>
      </c>
    </row>
    <row r="11" spans="1:14" ht="27" x14ac:dyDescent="0.25">
      <c r="A11" s="15" t="s">
        <v>77</v>
      </c>
      <c r="B11" s="15" t="s">
        <v>16</v>
      </c>
      <c r="C11" s="8">
        <f>+Tabla112[[#This Row],[PRECIO SUGERIDO INSTALADOR CON IVA]]</f>
        <v>70045.78</v>
      </c>
      <c r="D11" s="8">
        <f>+Tabla112[[#This Row],[PRECIO  INSTALADOR
( CON  IVA)]]-Tabla112[[#This Row],[DCTO TIENDA]]</f>
        <v>66543.490999999995</v>
      </c>
      <c r="E11" s="8">
        <f>+Tabla112[[#This Row],[PRECIO SUGERIDO ORO CON IVA2]]</f>
        <v>58650.34</v>
      </c>
      <c r="F11" s="8">
        <f>+Tabla112[[#This Row],[PRECIO DPP ORO ( CON  IVA)]]-Tabla112[[#This Row],[PLATINO]]</f>
        <v>58063.836599999995</v>
      </c>
      <c r="G11" s="8">
        <f>+Tabla112[[#This Row],[PRECIO  INSTALADOR
( CON  IVA)]]/0.7</f>
        <v>100065.40000000001</v>
      </c>
      <c r="H11" s="8"/>
      <c r="I11" s="8">
        <f>+Tabla112[[#This Row],[PRECIO DPP ORO ( CON  IVA)]]*1%</f>
        <v>586.50339999999994</v>
      </c>
      <c r="J11" s="8">
        <f>+Tabla112[[#This Row],[ORO + IVA]]*1.19</f>
        <v>58650.34</v>
      </c>
      <c r="K11" s="7">
        <f>+Tabla112[[#This Row],[PRECIO SUGERIDO INSTALADOR CON IVA]]*5%</f>
        <v>3502.2890000000002</v>
      </c>
      <c r="L11" s="9">
        <f>Tabla112[[#This Row],[INSTALLER + IVA]]*1.19</f>
        <v>70045.78</v>
      </c>
      <c r="M11" s="5">
        <v>49286</v>
      </c>
      <c r="N11" s="4">
        <v>58862</v>
      </c>
    </row>
    <row r="12" spans="1:14" ht="94.5" x14ac:dyDescent="0.25">
      <c r="A12" s="15" t="s">
        <v>1</v>
      </c>
      <c r="B12" s="15" t="s">
        <v>78</v>
      </c>
      <c r="C12" s="8">
        <f>+Tabla112[[#This Row],[PRECIO SUGERIDO INSTALADOR CON IVA]]</f>
        <v>100207.51999999999</v>
      </c>
      <c r="D12" s="8">
        <f>+Tabla112[[#This Row],[PRECIO  INSTALADOR
( CON  IVA)]]-Tabla112[[#This Row],[DCTO TIENDA]]</f>
        <v>95197.143999999986</v>
      </c>
      <c r="E12" s="8">
        <f>+Tabla112[[#This Row],[PRECIO SUGERIDO ORO CON IVA2]]</f>
        <v>83837.87999999999</v>
      </c>
      <c r="F12" s="8">
        <f>+Tabla112[[#This Row],[PRECIO DPP ORO ( CON  IVA)]]-Tabla112[[#This Row],[PLATINO]]</f>
        <v>82999.501199999984</v>
      </c>
      <c r="G12" s="8">
        <f>+Tabla112[[#This Row],[PRECIO  INSTALADOR
( CON  IVA)]]/0.7</f>
        <v>143153.60000000001</v>
      </c>
      <c r="H12" s="8"/>
      <c r="I12" s="8">
        <f>+Tabla112[[#This Row],[PRECIO DPP ORO ( CON  IVA)]]*1%</f>
        <v>838.37879999999996</v>
      </c>
      <c r="J12" s="8">
        <f>+Tabla112[[#This Row],[ORO + IVA]]*1.19</f>
        <v>83837.87999999999</v>
      </c>
      <c r="K12" s="7">
        <f>+Tabla112[[#This Row],[PRECIO SUGERIDO INSTALADOR CON IVA]]*5%</f>
        <v>5010.3760000000002</v>
      </c>
      <c r="L12" s="9">
        <f>Tabla112[[#This Row],[INSTALLER + IVA]]*1.19</f>
        <v>100207.51999999999</v>
      </c>
      <c r="M12" s="5">
        <v>70452</v>
      </c>
      <c r="N12" s="4">
        <v>84208</v>
      </c>
    </row>
    <row r="13" spans="1:14" ht="27" x14ac:dyDescent="0.25">
      <c r="A13" s="15" t="s">
        <v>56</v>
      </c>
      <c r="B13" s="15" t="s">
        <v>11</v>
      </c>
      <c r="C13" s="8">
        <f>+Tabla112[[#This Row],[PRECIO SUGERIDO INSTALADOR CON IVA]]</f>
        <v>100976.26</v>
      </c>
      <c r="D13" s="8">
        <f>+Tabla112[[#This Row],[PRECIO  INSTALADOR
( CON  IVA)]]-Tabla112[[#This Row],[DCTO TIENDA]]</f>
        <v>95927.447</v>
      </c>
      <c r="E13" s="8">
        <f>+Tabla112[[#This Row],[PRECIO SUGERIDO ORO CON IVA2]]</f>
        <v>90349.56</v>
      </c>
      <c r="F13" s="8">
        <f>+Tabla112[[#This Row],[PRECIO DPP ORO ( CON  IVA)]]-Tabla112[[#This Row],[PLATINO]]</f>
        <v>89446.064400000003</v>
      </c>
      <c r="G13" s="8">
        <f>+Tabla112[[#This Row],[PRECIO  INSTALADOR
( CON  IVA)]]/0.7</f>
        <v>144251.79999999999</v>
      </c>
      <c r="H13" s="8"/>
      <c r="I13" s="8">
        <f>+Tabla112[[#This Row],[PRECIO DPP ORO ( CON  IVA)]]*1%</f>
        <v>903.49559999999997</v>
      </c>
      <c r="J13" s="8">
        <f>+Tabla112[[#This Row],[ORO + IVA]]*1.19</f>
        <v>90349.56</v>
      </c>
      <c r="K13" s="7">
        <f>+Tabla112[[#This Row],[PRECIO SUGERIDO INSTALADOR CON IVA]]*5%</f>
        <v>5048.8130000000001</v>
      </c>
      <c r="L13" s="9">
        <f>Tabla112[[#This Row],[INSTALLER + IVA]]*1.19</f>
        <v>100976.26</v>
      </c>
      <c r="M13" s="5">
        <v>75924</v>
      </c>
      <c r="N13" s="4">
        <v>84854</v>
      </c>
    </row>
    <row r="14" spans="1:14" ht="27" x14ac:dyDescent="0.25">
      <c r="A14" s="15" t="s">
        <v>43</v>
      </c>
      <c r="B14" s="15" t="s">
        <v>20</v>
      </c>
      <c r="C14" s="8">
        <f>+Tabla112[[#This Row],[PRECIO SUGERIDO INSTALADOR CON IVA]]</f>
        <v>118838.15999999999</v>
      </c>
      <c r="D14" s="8">
        <f>+Tabla112[[#This Row],[PRECIO  INSTALADOR
( CON  IVA)]]-Tabla112[[#This Row],[DCTO TIENDA]]</f>
        <v>112896.25199999999</v>
      </c>
      <c r="E14" s="8">
        <f>+Tabla112[[#This Row],[PRECIO SUGERIDO ORO CON IVA2]]</f>
        <v>106402.65999999999</v>
      </c>
      <c r="F14" s="8">
        <f>+Tabla112[[#This Row],[PRECIO DPP ORO ( CON  IVA)]]-Tabla112[[#This Row],[PLATINO]]</f>
        <v>105338.63339999999</v>
      </c>
      <c r="G14" s="8">
        <f>+Tabla112[[#This Row],[PRECIO  INSTALADOR
( CON  IVA)]]/0.7</f>
        <v>169768.8</v>
      </c>
      <c r="H14" s="8"/>
      <c r="I14" s="8">
        <f>+Tabla112[[#This Row],[PRECIO DPP ORO ( CON  IVA)]]*1%</f>
        <v>1064.0265999999999</v>
      </c>
      <c r="J14" s="8">
        <f>+Tabla112[[#This Row],[ORO + IVA]]*1.19</f>
        <v>106402.65999999999</v>
      </c>
      <c r="K14" s="7">
        <f>+Tabla112[[#This Row],[PRECIO SUGERIDO INSTALADOR CON IVA]]*5%</f>
        <v>5941.9079999999994</v>
      </c>
      <c r="L14" s="9">
        <f>Tabla112[[#This Row],[INSTALLER + IVA]]*1.19</f>
        <v>118838.15999999999</v>
      </c>
      <c r="M14" s="5">
        <v>89414</v>
      </c>
      <c r="N14" s="4">
        <v>99864</v>
      </c>
    </row>
    <row r="15" spans="1:14" ht="27" x14ac:dyDescent="0.25">
      <c r="A15" s="15" t="s">
        <v>69</v>
      </c>
      <c r="B15" s="15" t="s">
        <v>73</v>
      </c>
      <c r="C15" s="8">
        <f>+Tabla112[[#This Row],[PRECIO SUGERIDO INSTALADOR CON IVA]]</f>
        <v>202618.91999999998</v>
      </c>
      <c r="D15" s="8">
        <f>+Tabla112[[#This Row],[PRECIO  INSTALADOR
( CON  IVA)]]-Tabla112[[#This Row],[DCTO TIENDA]]</f>
        <v>192487.97399999999</v>
      </c>
      <c r="E15" s="8">
        <f>+Tabla112[[#This Row],[PRECIO SUGERIDO ORO CON IVA2]]</f>
        <v>187202.47</v>
      </c>
      <c r="F15" s="8">
        <f>+Tabla112[[#This Row],[PRECIO DPP ORO ( CON  IVA)]]-Tabla112[[#This Row],[PLATINO]]</f>
        <v>185330.44529999999</v>
      </c>
      <c r="G15" s="8">
        <f>+Tabla112[[#This Row],[PRECIO  INSTALADOR
( CON  IVA)]]/0.7</f>
        <v>289455.59999999998</v>
      </c>
      <c r="H15" s="8"/>
      <c r="I15" s="8">
        <f>+Tabla112[[#This Row],[PRECIO DPP ORO ( CON  IVA)]]*1%</f>
        <v>1872.0246999999999</v>
      </c>
      <c r="J15" s="8">
        <f>+Tabla112[[#This Row],[ORO + IVA]]*1.19</f>
        <v>187202.47</v>
      </c>
      <c r="K15" s="7">
        <f>+Tabla112[[#This Row],[PRECIO SUGERIDO INSTALADOR CON IVA]]*5%</f>
        <v>10130.946</v>
      </c>
      <c r="L15" s="9">
        <f>Tabla112[[#This Row],[INSTALLER + IVA]]*1.19</f>
        <v>202618.91999999998</v>
      </c>
      <c r="M15" s="5">
        <v>157313</v>
      </c>
      <c r="N15" s="4">
        <v>170268</v>
      </c>
    </row>
    <row r="16" spans="1:14" ht="27" x14ac:dyDescent="0.25">
      <c r="A16" s="15" t="s">
        <v>40</v>
      </c>
      <c r="B16" s="15" t="s">
        <v>22</v>
      </c>
      <c r="C16" s="8">
        <f>+Tabla112[[#This Row],[PRECIO SUGERIDO INSTALADOR CON IVA]]</f>
        <v>44778.509999999995</v>
      </c>
      <c r="D16" s="8">
        <f>+Tabla112[[#This Row],[PRECIO  INSTALADOR
( CON  IVA)]]-Tabla112[[#This Row],[DCTO TIENDA]]</f>
        <v>42539.584499999997</v>
      </c>
      <c r="E16" s="8">
        <f>+Tabla112[[#This Row],[PRECIO SUGERIDO ORO CON IVA2]]</f>
        <v>40780.11</v>
      </c>
      <c r="F16" s="8">
        <f>+Tabla112[[#This Row],[PRECIO DPP ORO ( CON  IVA)]]-Tabla112[[#This Row],[PLATINO]]</f>
        <v>40372.308900000004</v>
      </c>
      <c r="G16" s="8">
        <f>+Tabla112[[#This Row],[PRECIO  INSTALADOR
( CON  IVA)]]/0.7</f>
        <v>63969.299999999996</v>
      </c>
      <c r="H16" s="8"/>
      <c r="I16" s="8">
        <f>+Tabla112[[#This Row],[PRECIO DPP ORO ( CON  IVA)]]*1%</f>
        <v>407.80110000000002</v>
      </c>
      <c r="J16" s="8">
        <f>+Tabla112[[#This Row],[ORO + IVA]]*1.19</f>
        <v>40780.11</v>
      </c>
      <c r="K16" s="7">
        <f>+Tabla112[[#This Row],[PRECIO SUGERIDO INSTALADOR CON IVA]]*5%</f>
        <v>2238.9254999999998</v>
      </c>
      <c r="L16" s="9">
        <f>Tabla112[[#This Row],[INSTALLER + IVA]]*1.19</f>
        <v>44778.509999999995</v>
      </c>
      <c r="M16" s="5">
        <v>34269</v>
      </c>
      <c r="N16" s="4">
        <v>37629</v>
      </c>
    </row>
    <row r="17" spans="1:14" ht="27" x14ac:dyDescent="0.25">
      <c r="A17" s="15" t="s">
        <v>71</v>
      </c>
      <c r="B17" s="15" t="s">
        <v>72</v>
      </c>
      <c r="C17" s="8">
        <f>+Tabla112[[#This Row],[PRECIO SUGERIDO INSTALADOR CON IVA]]</f>
        <v>70376.599999999991</v>
      </c>
      <c r="D17" s="8">
        <f>+Tabla112[[#This Row],[PRECIO  INSTALADOR
( CON  IVA)]]-Tabla112[[#This Row],[DCTO TIENDA]]</f>
        <v>66857.76999999999</v>
      </c>
      <c r="E17" s="8">
        <f>+Tabla112[[#This Row],[PRECIO SUGERIDO ORO CON IVA2]]</f>
        <v>65021.599999999999</v>
      </c>
      <c r="F17" s="8">
        <f>+Tabla112[[#This Row],[PRECIO DPP ORO ( CON  IVA)]]-Tabla112[[#This Row],[PLATINO]]</f>
        <v>64371.383999999998</v>
      </c>
      <c r="G17" s="8">
        <f>+Tabla112[[#This Row],[PRECIO  INSTALADOR
( CON  IVA)]]/0.7</f>
        <v>100538</v>
      </c>
      <c r="H17" s="8"/>
      <c r="I17" s="8">
        <f>+Tabla112[[#This Row],[PRECIO DPP ORO ( CON  IVA)]]*1%</f>
        <v>650.21600000000001</v>
      </c>
      <c r="J17" s="8">
        <f>+Tabla112[[#This Row],[ORO + IVA]]*1.19</f>
        <v>65021.599999999999</v>
      </c>
      <c r="K17" s="7">
        <f>+Tabla112[[#This Row],[PRECIO SUGERIDO INSTALADOR CON IVA]]*5%</f>
        <v>3518.83</v>
      </c>
      <c r="L17" s="9">
        <f>Tabla112[[#This Row],[INSTALLER + IVA]]*1.19</f>
        <v>70376.599999999991</v>
      </c>
      <c r="M17" s="5">
        <v>54640</v>
      </c>
      <c r="N17" s="4">
        <v>59140</v>
      </c>
    </row>
    <row r="18" spans="1:14" ht="27" x14ac:dyDescent="0.25">
      <c r="A18" s="15" t="s">
        <v>38</v>
      </c>
      <c r="B18" s="15" t="s">
        <v>24</v>
      </c>
      <c r="C18" s="8">
        <f>+Tabla112[[#This Row],[PRECIO SUGERIDO INSTALADOR CON IVA]]</f>
        <v>58243.360000000001</v>
      </c>
      <c r="D18" s="8">
        <f>+Tabla112[[#This Row],[PRECIO  INSTALADOR
( CON  IVA)]]-Tabla112[[#This Row],[DCTO TIENDA]]</f>
        <v>55331.192000000003</v>
      </c>
      <c r="E18" s="8">
        <f>+Tabla112[[#This Row],[PRECIO SUGERIDO ORO CON IVA2]]</f>
        <v>52138.659999999996</v>
      </c>
      <c r="F18" s="8">
        <f>+Tabla112[[#This Row],[PRECIO DPP ORO ( CON  IVA)]]-Tabla112[[#This Row],[PLATINO]]</f>
        <v>51617.273399999998</v>
      </c>
      <c r="G18" s="8">
        <f>+Tabla112[[#This Row],[PRECIO  INSTALADOR
( CON  IVA)]]/0.7</f>
        <v>83204.800000000003</v>
      </c>
      <c r="H18" s="8"/>
      <c r="I18" s="8">
        <f>+Tabla112[[#This Row],[PRECIO DPP ORO ( CON  IVA)]]*1%</f>
        <v>521.38659999999993</v>
      </c>
      <c r="J18" s="8">
        <f>+Tabla112[[#This Row],[ORO + IVA]]*1.19</f>
        <v>52138.659999999996</v>
      </c>
      <c r="K18" s="7">
        <f>+Tabla112[[#This Row],[PRECIO SUGERIDO INSTALADOR CON IVA]]*5%</f>
        <v>2912.1680000000001</v>
      </c>
      <c r="L18" s="9">
        <f>Tabla112[[#This Row],[INSTALLER + IVA]]*1.19</f>
        <v>58243.360000000001</v>
      </c>
      <c r="M18" s="5">
        <v>43814</v>
      </c>
      <c r="N18" s="4">
        <v>48944</v>
      </c>
    </row>
    <row r="19" spans="1:14" ht="27" x14ac:dyDescent="0.25">
      <c r="A19" s="15" t="s">
        <v>39</v>
      </c>
      <c r="B19" s="15" t="s">
        <v>23</v>
      </c>
      <c r="C19" s="8">
        <f>+Tabla112[[#This Row],[PRECIO SUGERIDO INSTALADOR CON IVA]]</f>
        <v>58243.360000000001</v>
      </c>
      <c r="D19" s="8">
        <f>+Tabla112[[#This Row],[PRECIO  INSTALADOR
( CON  IVA)]]-Tabla112[[#This Row],[DCTO TIENDA]]</f>
        <v>55331.192000000003</v>
      </c>
      <c r="E19" s="8">
        <f>+Tabla112[[#This Row],[PRECIO SUGERIDO ORO CON IVA2]]</f>
        <v>52138.659999999996</v>
      </c>
      <c r="F19" s="8">
        <f>+Tabla112[[#This Row],[PRECIO DPP ORO ( CON  IVA)]]-Tabla112[[#This Row],[PLATINO]]</f>
        <v>51617.273399999998</v>
      </c>
      <c r="G19" s="8">
        <f>+Tabla112[[#This Row],[PRECIO  INSTALADOR
( CON  IVA)]]/0.7</f>
        <v>83204.800000000003</v>
      </c>
      <c r="H19" s="8"/>
      <c r="I19" s="8">
        <f>+Tabla112[[#This Row],[PRECIO DPP ORO ( CON  IVA)]]*1%</f>
        <v>521.38659999999993</v>
      </c>
      <c r="J19" s="8">
        <f>+Tabla112[[#This Row],[ORO + IVA]]*1.19</f>
        <v>52138.659999999996</v>
      </c>
      <c r="K19" s="7">
        <f>+Tabla112[[#This Row],[PRECIO SUGERIDO INSTALADOR CON IVA]]*5%</f>
        <v>2912.1680000000001</v>
      </c>
      <c r="L19" s="9">
        <f>Tabla112[[#This Row],[INSTALLER + IVA]]*1.19</f>
        <v>58243.360000000001</v>
      </c>
      <c r="M19" s="5">
        <v>43814</v>
      </c>
      <c r="N19" s="4">
        <v>48944</v>
      </c>
    </row>
    <row r="20" spans="1:14" ht="40.5" x14ac:dyDescent="0.25">
      <c r="A20" s="15" t="s">
        <v>50</v>
      </c>
      <c r="B20" s="15" t="s">
        <v>79</v>
      </c>
      <c r="C20" s="8">
        <f>+Tabla112[[#This Row],[PRECIO SUGERIDO INSTALADOR CON IVA]]</f>
        <v>69457.919999999998</v>
      </c>
      <c r="D20" s="8">
        <f>+Tabla112[[#This Row],[PRECIO  INSTALADOR
( CON  IVA)]]-Tabla112[[#This Row],[DCTO TIENDA]]</f>
        <v>65985.024000000005</v>
      </c>
      <c r="E20" s="8">
        <f>+Tabla112[[#This Row],[PRECIO SUGERIDO ORO CON IVA2]]</f>
        <v>62177.5</v>
      </c>
      <c r="F20" s="8">
        <f>+Tabla112[[#This Row],[PRECIO DPP ORO ( CON  IVA)]]-Tabla112[[#This Row],[PLATINO]]</f>
        <v>61555.724999999999</v>
      </c>
      <c r="G20" s="8">
        <f>+Tabla112[[#This Row],[PRECIO  INSTALADOR
( CON  IVA)]]/0.7</f>
        <v>99225.600000000006</v>
      </c>
      <c r="H20" s="8"/>
      <c r="I20" s="8">
        <f>+Tabla112[[#This Row],[PRECIO DPP ORO ( CON  IVA)]]*1%</f>
        <v>621.77499999999998</v>
      </c>
      <c r="J20" s="8">
        <f>+Tabla112[[#This Row],[ORO + IVA]]*1.19</f>
        <v>62177.5</v>
      </c>
      <c r="K20" s="7">
        <f>+Tabla112[[#This Row],[PRECIO SUGERIDO INSTALADOR CON IVA]]*5%</f>
        <v>3472.8960000000002</v>
      </c>
      <c r="L20" s="9">
        <f>Tabla112[[#This Row],[INSTALLER + IVA]]*1.19</f>
        <v>69457.919999999998</v>
      </c>
      <c r="M20" s="5">
        <v>52250</v>
      </c>
      <c r="N20" s="4">
        <v>58368</v>
      </c>
    </row>
    <row r="21" spans="1:14" ht="67.5" x14ac:dyDescent="0.25">
      <c r="A21" s="15" t="s">
        <v>4</v>
      </c>
      <c r="B21" s="15" t="s">
        <v>80</v>
      </c>
      <c r="C21" s="8">
        <f>+Tabla112[[#This Row],[PRECIO SUGERIDO INSTALADOR CON IVA]]</f>
        <v>100207.51999999999</v>
      </c>
      <c r="D21" s="8">
        <f>+Tabla112[[#This Row],[PRECIO  INSTALADOR
( CON  IVA)]]-Tabla112[[#This Row],[DCTO TIENDA]]</f>
        <v>95197.143999999986</v>
      </c>
      <c r="E21" s="8">
        <f>+Tabla112[[#This Row],[PRECIO SUGERIDO ORO CON IVA2]]</f>
        <v>83837.87999999999</v>
      </c>
      <c r="F21" s="8">
        <f>+Tabla112[[#This Row],[PRECIO DPP ORO ( CON  IVA)]]-Tabla112[[#This Row],[PLATINO]]</f>
        <v>82999.501199999984</v>
      </c>
      <c r="G21" s="8">
        <f>+Tabla112[[#This Row],[PRECIO  INSTALADOR
( CON  IVA)]]/0.7</f>
        <v>143153.60000000001</v>
      </c>
      <c r="H21" s="8"/>
      <c r="I21" s="8">
        <f>+Tabla112[[#This Row],[PRECIO DPP ORO ( CON  IVA)]]*1%</f>
        <v>838.37879999999996</v>
      </c>
      <c r="J21" s="8">
        <f>+Tabla112[[#This Row],[ORO + IVA]]*1.19</f>
        <v>83837.87999999999</v>
      </c>
      <c r="K21" s="7">
        <f>+Tabla112[[#This Row],[PRECIO SUGERIDO INSTALADOR CON IVA]]*5%</f>
        <v>5010.3760000000002</v>
      </c>
      <c r="L21" s="9">
        <f>Tabla112[[#This Row],[INSTALLER + IVA]]*1.19</f>
        <v>100207.51999999999</v>
      </c>
      <c r="M21" s="5">
        <v>70452</v>
      </c>
      <c r="N21" s="4">
        <v>84208</v>
      </c>
    </row>
    <row r="22" spans="1:14" ht="40.5" x14ac:dyDescent="0.25">
      <c r="A22" s="15" t="s">
        <v>42</v>
      </c>
      <c r="B22" s="15" t="s">
        <v>81</v>
      </c>
      <c r="C22" s="8">
        <f>+Tabla112[[#This Row],[PRECIO SUGERIDO INSTALADOR CON IVA]]</f>
        <v>77009.66</v>
      </c>
      <c r="D22" s="8">
        <f>+Tabla112[[#This Row],[PRECIO  INSTALADOR
( CON  IVA)]]-Tabla112[[#This Row],[DCTO TIENDA]]</f>
        <v>73159.176999999996</v>
      </c>
      <c r="E22" s="8">
        <f>+Tabla112[[#This Row],[PRECIO SUGERIDO ORO CON IVA2]]</f>
        <v>68915.28</v>
      </c>
      <c r="F22" s="8">
        <f>+Tabla112[[#This Row],[PRECIO DPP ORO ( CON  IVA)]]-Tabla112[[#This Row],[PLATINO]]</f>
        <v>68226.127200000003</v>
      </c>
      <c r="G22" s="8">
        <f>+Tabla112[[#This Row],[PRECIO  INSTALADOR
( CON  IVA)]]/0.7</f>
        <v>110013.80000000002</v>
      </c>
      <c r="H22" s="8"/>
      <c r="I22" s="8">
        <f>+Tabla112[[#This Row],[PRECIO DPP ORO ( CON  IVA)]]*1%</f>
        <v>689.15279999999996</v>
      </c>
      <c r="J22" s="8">
        <f>+Tabla112[[#This Row],[ORO + IVA]]*1.19</f>
        <v>68915.28</v>
      </c>
      <c r="K22" s="7">
        <f>+Tabla112[[#This Row],[PRECIO SUGERIDO INSTALADOR CON IVA]]*5%</f>
        <v>3850.4830000000002</v>
      </c>
      <c r="L22" s="9">
        <f>Tabla112[[#This Row],[INSTALLER + IVA]]*1.19</f>
        <v>77009.66</v>
      </c>
      <c r="M22" s="5">
        <v>57912</v>
      </c>
      <c r="N22" s="4">
        <v>64714.000000000007</v>
      </c>
    </row>
    <row r="23" spans="1:14" ht="27" x14ac:dyDescent="0.25">
      <c r="A23" s="15" t="s">
        <v>3</v>
      </c>
      <c r="B23" s="15" t="s">
        <v>2</v>
      </c>
      <c r="C23" s="8">
        <f>+Tabla112[[#This Row],[PRECIO SUGERIDO INSTALADOR CON IVA]]</f>
        <v>84063.98</v>
      </c>
      <c r="D23" s="8">
        <f>+Tabla112[[#This Row],[PRECIO  INSTALADOR
( CON  IVA)]]-Tabla112[[#This Row],[DCTO TIENDA]]</f>
        <v>79860.781000000003</v>
      </c>
      <c r="E23" s="8">
        <f>+Tabla112[[#This Row],[PRECIO SUGERIDO ORO CON IVA2]]</f>
        <v>75291.3</v>
      </c>
      <c r="F23" s="8">
        <f>+Tabla112[[#This Row],[PRECIO DPP ORO ( CON  IVA)]]-Tabla112[[#This Row],[PLATINO]]</f>
        <v>74538.387000000002</v>
      </c>
      <c r="G23" s="8">
        <f>+Tabla112[[#This Row],[PRECIO  INSTALADOR
( CON  IVA)]]/0.7</f>
        <v>120091.40000000001</v>
      </c>
      <c r="H23" s="8"/>
      <c r="I23" s="8">
        <f>+Tabla112[[#This Row],[PRECIO DPP ORO ( CON  IVA)]]*1%</f>
        <v>752.91300000000001</v>
      </c>
      <c r="J23" s="8">
        <f>+Tabla112[[#This Row],[ORO + IVA]]*1.19</f>
        <v>75291.3</v>
      </c>
      <c r="K23" s="7">
        <f>+Tabla112[[#This Row],[PRECIO SUGERIDO INSTALADOR CON IVA]]*5%</f>
        <v>4203.1989999999996</v>
      </c>
      <c r="L23" s="9">
        <f>Tabla112[[#This Row],[INSTALLER + IVA]]*1.19</f>
        <v>84063.98</v>
      </c>
      <c r="M23" s="5">
        <v>63270.000000000007</v>
      </c>
      <c r="N23" s="4">
        <v>70642</v>
      </c>
    </row>
    <row r="24" spans="1:14" ht="40.5" x14ac:dyDescent="0.25">
      <c r="A24" s="15" t="s">
        <v>53</v>
      </c>
      <c r="B24" s="15" t="s">
        <v>82</v>
      </c>
      <c r="C24" s="8">
        <f>+Tabla112[[#This Row],[PRECIO SUGERIDO INSTALADOR CON IVA]]</f>
        <v>90711.319999999992</v>
      </c>
      <c r="D24" s="8">
        <f>+Tabla112[[#This Row],[PRECIO  INSTALADOR
( CON  IVA)]]-Tabla112[[#This Row],[DCTO TIENDA]]</f>
        <v>86175.753999999986</v>
      </c>
      <c r="E24" s="8">
        <f>+Tabla112[[#This Row],[PRECIO SUGERIDO ORO CON IVA2]]</f>
        <v>81215.12</v>
      </c>
      <c r="F24" s="8">
        <f>+Tabla112[[#This Row],[PRECIO DPP ORO ( CON  IVA)]]-Tabla112[[#This Row],[PLATINO]]</f>
        <v>80402.968800000002</v>
      </c>
      <c r="G24" s="8">
        <f>+Tabla112[[#This Row],[PRECIO  INSTALADOR
( CON  IVA)]]/0.7</f>
        <v>129587.59999999999</v>
      </c>
      <c r="H24" s="8"/>
      <c r="I24" s="8">
        <f>+Tabla112[[#This Row],[PRECIO DPP ORO ( CON  IVA)]]*1%</f>
        <v>812.15120000000002</v>
      </c>
      <c r="J24" s="8">
        <f>+Tabla112[[#This Row],[ORO + IVA]]*1.19</f>
        <v>81215.12</v>
      </c>
      <c r="K24" s="7">
        <f>+Tabla112[[#This Row],[PRECIO SUGERIDO INSTALADOR CON IVA]]*5%</f>
        <v>4535.5659999999998</v>
      </c>
      <c r="L24" s="9">
        <f>Tabla112[[#This Row],[INSTALLER + IVA]]*1.19</f>
        <v>90711.319999999992</v>
      </c>
      <c r="M24" s="5">
        <v>68248</v>
      </c>
      <c r="N24" s="4">
        <v>76228</v>
      </c>
    </row>
    <row r="25" spans="1:14" ht="67.5" x14ac:dyDescent="0.25">
      <c r="A25" s="15" t="s">
        <v>62</v>
      </c>
      <c r="B25" s="15" t="s">
        <v>83</v>
      </c>
      <c r="C25" s="8">
        <f>+Tabla112[[#This Row],[PRECIO SUGERIDO INSTALADOR CON IVA]]</f>
        <v>73482.5</v>
      </c>
      <c r="D25" s="8">
        <f>+Tabla112[[#This Row],[PRECIO  INSTALADOR
( CON  IVA)]]-Tabla112[[#This Row],[DCTO TIENDA]]</f>
        <v>69808.375</v>
      </c>
      <c r="E25" s="8">
        <f>+Tabla112[[#This Row],[PRECIO SUGERIDO ORO CON IVA2]]</f>
        <v>65749.87999999999</v>
      </c>
      <c r="F25" s="8">
        <f>+Tabla112[[#This Row],[PRECIO DPP ORO ( CON  IVA)]]-Tabla112[[#This Row],[PLATINO]]</f>
        <v>65092.381199999989</v>
      </c>
      <c r="G25" s="8">
        <f>+Tabla112[[#This Row],[PRECIO  INSTALADOR
( CON  IVA)]]/0.7</f>
        <v>104975</v>
      </c>
      <c r="H25" s="8"/>
      <c r="I25" s="8">
        <f>+Tabla112[[#This Row],[PRECIO DPP ORO ( CON  IVA)]]*1%</f>
        <v>657.49879999999996</v>
      </c>
      <c r="J25" s="8">
        <f>+Tabla112[[#This Row],[ORO + IVA]]*1.19</f>
        <v>65749.87999999999</v>
      </c>
      <c r="K25" s="7">
        <f>+Tabla112[[#This Row],[PRECIO SUGERIDO INSTALADOR CON IVA]]*5%</f>
        <v>3674.125</v>
      </c>
      <c r="L25" s="9">
        <f>Tabla112[[#This Row],[INSTALLER + IVA]]*1.19</f>
        <v>73482.5</v>
      </c>
      <c r="M25" s="5">
        <v>55251.999999999993</v>
      </c>
      <c r="N25" s="4">
        <v>61750</v>
      </c>
    </row>
    <row r="26" spans="1:14" x14ac:dyDescent="0.25">
      <c r="A26" s="15" t="s">
        <v>84</v>
      </c>
      <c r="B26" s="15" t="s">
        <v>74</v>
      </c>
      <c r="C26" s="8">
        <f>+Tabla112[[#This Row],[PRECIO SUGERIDO INSTALADOR CON IVA]]</f>
        <v>106515.70999999999</v>
      </c>
      <c r="D26" s="8">
        <f>+Tabla112[[#This Row],[PRECIO  INSTALADOR
( CON  IVA)]]-Tabla112[[#This Row],[DCTO TIENDA]]</f>
        <v>101189.92449999999</v>
      </c>
      <c r="E26" s="8">
        <f>+Tabla112[[#This Row],[PRECIO SUGERIDO ORO CON IVA2]]</f>
        <v>98410.62</v>
      </c>
      <c r="F26" s="8">
        <f>+Tabla112[[#This Row],[PRECIO DPP ORO ( CON  IVA)]]-Tabla112[[#This Row],[PLATINO]]</f>
        <v>97426.513800000001</v>
      </c>
      <c r="G26" s="8">
        <f>+Tabla112[[#This Row],[PRECIO  INSTALADOR
( CON  IVA)]]/0.7</f>
        <v>152165.29999999999</v>
      </c>
      <c r="H26" s="8"/>
      <c r="I26" s="8">
        <f>+Tabla112[[#This Row],[PRECIO DPP ORO ( CON  IVA)]]*1%</f>
        <v>984.10619999999994</v>
      </c>
      <c r="J26" s="8">
        <f>+Tabla112[[#This Row],[ORO + IVA]]*1.19</f>
        <v>98410.62</v>
      </c>
      <c r="K26" s="7">
        <f>+Tabla112[[#This Row],[PRECIO SUGERIDO INSTALADOR CON IVA]]*5%</f>
        <v>5325.7855</v>
      </c>
      <c r="L26" s="9">
        <f>Tabla112[[#This Row],[INSTALLER + IVA]]*1.19</f>
        <v>106515.70999999999</v>
      </c>
      <c r="M26" s="5">
        <v>82698</v>
      </c>
      <c r="N26" s="4">
        <v>89509</v>
      </c>
    </row>
    <row r="27" spans="1:14" ht="27" x14ac:dyDescent="0.25">
      <c r="A27" s="15" t="s">
        <v>51</v>
      </c>
      <c r="B27" s="15" t="s">
        <v>13</v>
      </c>
      <c r="C27" s="8">
        <f>+Tabla112[[#This Row],[PRECIO SUGERIDO INSTALADOR CON IVA]]</f>
        <v>68870.06</v>
      </c>
      <c r="D27" s="8">
        <f>+Tabla112[[#This Row],[PRECIO  INSTALADOR
( CON  IVA)]]-Tabla112[[#This Row],[DCTO TIENDA]]</f>
        <v>65426.557000000001</v>
      </c>
      <c r="E27" s="8">
        <f>+Tabla112[[#This Row],[PRECIO SUGERIDO ORO CON IVA2]]</f>
        <v>57565.06</v>
      </c>
      <c r="F27" s="8">
        <f>+Tabla112[[#This Row],[PRECIO DPP ORO ( CON  IVA)]]-Tabla112[[#This Row],[PLATINO]]</f>
        <v>56989.409399999997</v>
      </c>
      <c r="G27" s="8">
        <f>+Tabla112[[#This Row],[PRECIO  INSTALADOR
( CON  IVA)]]/0.7</f>
        <v>98385.8</v>
      </c>
      <c r="H27" s="8"/>
      <c r="I27" s="8">
        <f>+Tabla112[[#This Row],[PRECIO DPP ORO ( CON  IVA)]]*1%</f>
        <v>575.65059999999994</v>
      </c>
      <c r="J27" s="8">
        <f>+Tabla112[[#This Row],[ORO + IVA]]*1.19</f>
        <v>57565.06</v>
      </c>
      <c r="K27" s="7">
        <f>+Tabla112[[#This Row],[PRECIO SUGERIDO INSTALADOR CON IVA]]*5%</f>
        <v>3443.5030000000002</v>
      </c>
      <c r="L27" s="9">
        <f>Tabla112[[#This Row],[INSTALLER + IVA]]*1.19</f>
        <v>68870.06</v>
      </c>
      <c r="M27" s="5">
        <v>48374</v>
      </c>
      <c r="N27" s="4">
        <v>57874</v>
      </c>
    </row>
    <row r="28" spans="1:14" ht="27" x14ac:dyDescent="0.25">
      <c r="A28" s="15" t="s">
        <v>85</v>
      </c>
      <c r="B28" s="15" t="s">
        <v>21</v>
      </c>
      <c r="C28" s="8">
        <f>+Tabla112[[#This Row],[PRECIO SUGERIDO INSTALADOR CON IVA]]</f>
        <v>70045.78</v>
      </c>
      <c r="D28" s="8">
        <f>+Tabla112[[#This Row],[PRECIO  INSTALADOR
( CON  IVA)]]-Tabla112[[#This Row],[DCTO TIENDA]]</f>
        <v>66543.490999999995</v>
      </c>
      <c r="E28" s="8">
        <f>+Tabla112[[#This Row],[PRECIO SUGERIDO ORO CON IVA2]]</f>
        <v>58695.56</v>
      </c>
      <c r="F28" s="8">
        <f>+Tabla112[[#This Row],[PRECIO DPP ORO ( CON  IVA)]]-Tabla112[[#This Row],[PLATINO]]</f>
        <v>58108.604399999997</v>
      </c>
      <c r="G28" s="8">
        <f>+Tabla112[[#This Row],[PRECIO  INSTALADOR
( CON  IVA)]]/0.7</f>
        <v>100065.40000000001</v>
      </c>
      <c r="H28" s="8"/>
      <c r="I28" s="8">
        <f>+Tabla112[[#This Row],[PRECIO DPP ORO ( CON  IVA)]]*1%</f>
        <v>586.9556</v>
      </c>
      <c r="J28" s="8">
        <f>+Tabla112[[#This Row],[ORO + IVA]]*1.19</f>
        <v>58695.56</v>
      </c>
      <c r="K28" s="7">
        <f>+Tabla112[[#This Row],[PRECIO SUGERIDO INSTALADOR CON IVA]]*5%</f>
        <v>3502.2890000000002</v>
      </c>
      <c r="L28" s="9">
        <f>Tabla112[[#This Row],[INSTALLER + IVA]]*1.19</f>
        <v>70045.78</v>
      </c>
      <c r="M28" s="5">
        <v>49324</v>
      </c>
      <c r="N28" s="4">
        <v>58862</v>
      </c>
    </row>
    <row r="29" spans="1:14" ht="27" x14ac:dyDescent="0.25">
      <c r="A29" s="15" t="s">
        <v>57</v>
      </c>
      <c r="B29" s="15" t="s">
        <v>10</v>
      </c>
      <c r="C29" s="8">
        <f>+Tabla112[[#This Row],[PRECIO SUGERIDO INSTALADOR CON IVA]]</f>
        <v>815361.82</v>
      </c>
      <c r="D29" s="8">
        <f>+Tabla112[[#This Row],[PRECIO  INSTALADOR
( CON  IVA)]]-Tabla112[[#This Row],[DCTO TIENDA]]</f>
        <v>774593.72899999993</v>
      </c>
      <c r="E29" s="8">
        <f>+Tabla112[[#This Row],[PRECIO SUGERIDO ORO CON IVA2]]</f>
        <v>682008.03999999992</v>
      </c>
      <c r="F29" s="8">
        <f>+Tabla112[[#This Row],[PRECIO DPP ORO ( CON  IVA)]]-Tabla112[[#This Row],[PLATINO]]</f>
        <v>675187.95959999994</v>
      </c>
      <c r="G29" s="8">
        <f>+Tabla112[[#This Row],[PRECIO  INSTALADOR
( CON  IVA)]]/0.7</f>
        <v>1164802.6000000001</v>
      </c>
      <c r="H29" s="8"/>
      <c r="I29" s="8">
        <f>+Tabla112[[#This Row],[PRECIO DPP ORO ( CON  IVA)]]*1%</f>
        <v>6820.0803999999989</v>
      </c>
      <c r="J29" s="8">
        <f>+Tabla112[[#This Row],[ORO + IVA]]*1.19</f>
        <v>682008.03999999992</v>
      </c>
      <c r="K29" s="7">
        <f>+Tabla112[[#This Row],[PRECIO SUGERIDO INSTALADOR CON IVA]]*5%</f>
        <v>40768.091</v>
      </c>
      <c r="L29" s="9">
        <f>Tabla112[[#This Row],[INSTALLER + IVA]]*1.19</f>
        <v>815361.82</v>
      </c>
      <c r="M29" s="5">
        <v>573116</v>
      </c>
      <c r="N29" s="4">
        <v>685178</v>
      </c>
    </row>
    <row r="30" spans="1:14" ht="27" x14ac:dyDescent="0.25">
      <c r="A30" s="15" t="s">
        <v>37</v>
      </c>
      <c r="B30" s="15" t="s">
        <v>25</v>
      </c>
      <c r="C30" s="8">
        <f>+Tabla112[[#This Row],[PRECIO SUGERIDO INSTALADOR CON IVA]]</f>
        <v>993845.15999999992</v>
      </c>
      <c r="D30" s="8">
        <f>+Tabla112[[#This Row],[PRECIO  INSTALADOR
( CON  IVA)]]-Tabla112[[#This Row],[DCTO TIENDA]]</f>
        <v>944152.90199999989</v>
      </c>
      <c r="E30" s="8">
        <f>+Tabla112[[#This Row],[PRECIO SUGERIDO ORO CON IVA2]]</f>
        <v>831369.7</v>
      </c>
      <c r="F30" s="8">
        <f>+Tabla112[[#This Row],[PRECIO DPP ORO ( CON  IVA)]]-Tabla112[[#This Row],[PLATINO]]</f>
        <v>823056.00299999991</v>
      </c>
      <c r="G30" s="8">
        <f>+Tabla112[[#This Row],[PRECIO  INSTALADOR
( CON  IVA)]]/0.7</f>
        <v>1419778.8</v>
      </c>
      <c r="H30" s="8"/>
      <c r="I30" s="8">
        <f>+Tabla112[[#This Row],[PRECIO DPP ORO ( CON  IVA)]]*1%</f>
        <v>8313.6970000000001</v>
      </c>
      <c r="J30" s="8">
        <f>+Tabla112[[#This Row],[ORO + IVA]]*1.19</f>
        <v>831369.7</v>
      </c>
      <c r="K30" s="7">
        <f>+Tabla112[[#This Row],[PRECIO SUGERIDO INSTALADOR CON IVA]]*5%</f>
        <v>49692.258000000002</v>
      </c>
      <c r="L30" s="9">
        <f>Tabla112[[#This Row],[INSTALLER + IVA]]*1.19</f>
        <v>993845.15999999992</v>
      </c>
      <c r="M30" s="5">
        <v>698630</v>
      </c>
      <c r="N30" s="4">
        <v>835164</v>
      </c>
    </row>
    <row r="31" spans="1:14" ht="27" x14ac:dyDescent="0.25">
      <c r="A31" s="15" t="s">
        <v>61</v>
      </c>
      <c r="B31" s="15" t="s">
        <v>5</v>
      </c>
      <c r="C31" s="8">
        <f>+Tabla112[[#This Row],[PRECIO SUGERIDO INSTALADOR CON IVA]]</f>
        <v>1179970.68</v>
      </c>
      <c r="D31" s="8">
        <f>+Tabla112[[#This Row],[PRECIO  INSTALADOR
( CON  IVA)]]-Tabla112[[#This Row],[DCTO TIENDA]]</f>
        <v>1120972.1459999999</v>
      </c>
      <c r="E31" s="8">
        <f>+Tabla112[[#This Row],[PRECIO SUGERIDO ORO CON IVA2]]</f>
        <v>986971.72</v>
      </c>
      <c r="F31" s="8">
        <f>+Tabla112[[#This Row],[PRECIO DPP ORO ( CON  IVA)]]-Tabla112[[#This Row],[PLATINO]]</f>
        <v>977102.00280000002</v>
      </c>
      <c r="G31" s="8">
        <f>+Tabla112[[#This Row],[PRECIO  INSTALADOR
( CON  IVA)]]/0.7</f>
        <v>1685672.4</v>
      </c>
      <c r="H31" s="8"/>
      <c r="I31" s="8">
        <f>+Tabla112[[#This Row],[PRECIO DPP ORO ( CON  IVA)]]*1%</f>
        <v>9869.7171999999991</v>
      </c>
      <c r="J31" s="8">
        <f>+Tabla112[[#This Row],[ORO + IVA]]*1.19</f>
        <v>986971.72</v>
      </c>
      <c r="K31" s="7">
        <f>+Tabla112[[#This Row],[PRECIO SUGERIDO INSTALADOR CON IVA]]*5%</f>
        <v>58998.534</v>
      </c>
      <c r="L31" s="9">
        <f>Tabla112[[#This Row],[INSTALLER + IVA]]*1.19</f>
        <v>1179970.68</v>
      </c>
      <c r="M31" s="5">
        <v>829388</v>
      </c>
      <c r="N31" s="4">
        <v>991572</v>
      </c>
    </row>
    <row r="32" spans="1:14" ht="40.5" x14ac:dyDescent="0.25">
      <c r="A32" s="15" t="s">
        <v>47</v>
      </c>
      <c r="B32" s="15" t="s">
        <v>86</v>
      </c>
      <c r="C32" s="8">
        <f>+Tabla112[[#This Row],[PRECIO SUGERIDO INSTALADOR CON IVA]]</f>
        <v>325719.65999999997</v>
      </c>
      <c r="D32" s="8">
        <f>+Tabla112[[#This Row],[PRECIO  INSTALADOR
( CON  IVA)]]-Tabla112[[#This Row],[DCTO TIENDA]]</f>
        <v>309433.67699999997</v>
      </c>
      <c r="E32" s="8">
        <f>+Tabla112[[#This Row],[PRECIO SUGERIDO ORO CON IVA2]]</f>
        <v>291804.65999999997</v>
      </c>
      <c r="F32" s="8">
        <f>+Tabla112[[#This Row],[PRECIO DPP ORO ( CON  IVA)]]-Tabla112[[#This Row],[PLATINO]]</f>
        <v>288886.61339999997</v>
      </c>
      <c r="G32" s="8">
        <f>+Tabla112[[#This Row],[PRECIO  INSTALADOR
( CON  IVA)]]/0.7</f>
        <v>465313.8</v>
      </c>
      <c r="H32" s="8"/>
      <c r="I32" s="8">
        <f>+Tabla112[[#This Row],[PRECIO DPP ORO ( CON  IVA)]]*1%</f>
        <v>2918.0465999999997</v>
      </c>
      <c r="J32" s="8">
        <f>+Tabla112[[#This Row],[ORO + IVA]]*1.19</f>
        <v>291804.65999999997</v>
      </c>
      <c r="K32" s="7">
        <f>+Tabla112[[#This Row],[PRECIO SUGERIDO INSTALADOR CON IVA]]*5%</f>
        <v>16285.983</v>
      </c>
      <c r="L32" s="9">
        <f>Tabla112[[#This Row],[INSTALLER + IVA]]*1.19</f>
        <v>325719.65999999997</v>
      </c>
      <c r="M32" s="5">
        <v>245214</v>
      </c>
      <c r="N32" s="4">
        <v>273714</v>
      </c>
    </row>
    <row r="33" spans="1:14" ht="40.5" x14ac:dyDescent="0.25">
      <c r="A33" s="15" t="s">
        <v>87</v>
      </c>
      <c r="B33" s="15" t="s">
        <v>86</v>
      </c>
      <c r="C33" s="8">
        <f>+Tabla112[[#This Row],[PRECIO SUGERIDO INSTALADOR CON IVA]]</f>
        <v>284614.68</v>
      </c>
      <c r="D33" s="8">
        <f>+Tabla112[[#This Row],[PRECIO  INSTALADOR
( CON  IVA)]]-Tabla112[[#This Row],[DCTO TIENDA]]</f>
        <v>270383.946</v>
      </c>
      <c r="E33" s="8">
        <f>+Tabla112[[#This Row],[PRECIO SUGERIDO ORO CON IVA2]]</f>
        <v>271404.49</v>
      </c>
      <c r="F33" s="8">
        <f>+Tabla112[[#This Row],[PRECIO DPP ORO ( CON  IVA)]]-Tabla112[[#This Row],[PLATINO]]</f>
        <v>268690.44510000001</v>
      </c>
      <c r="G33" s="8">
        <f>+Tabla112[[#This Row],[PRECIO  INSTALADOR
( CON  IVA)]]/0.7</f>
        <v>406592.4</v>
      </c>
      <c r="H33" s="8"/>
      <c r="I33" s="8">
        <f>+Tabla112[[#This Row],[PRECIO DPP ORO ( CON  IVA)]]*1%</f>
        <v>2714.0448999999999</v>
      </c>
      <c r="J33" s="8">
        <f>+Tabla112[[#This Row],[ORO + IVA]]*1.19</f>
        <v>271404.49</v>
      </c>
      <c r="K33" s="7">
        <f>+Tabla112[[#This Row],[PRECIO SUGERIDO INSTALADOR CON IVA]]*5%</f>
        <v>14230.734</v>
      </c>
      <c r="L33" s="9">
        <f>Tabla112[[#This Row],[INSTALLER + IVA]]*1.19</f>
        <v>284614.68</v>
      </c>
      <c r="M33" s="5">
        <v>228071</v>
      </c>
      <c r="N33" s="4">
        <v>239172</v>
      </c>
    </row>
    <row r="34" spans="1:14" ht="27" x14ac:dyDescent="0.25">
      <c r="A34" s="15" t="s">
        <v>27</v>
      </c>
      <c r="B34" s="15" t="s">
        <v>88</v>
      </c>
      <c r="C34" s="8">
        <f>+Tabla112[[#This Row],[PRECIO SUGERIDO INSTALADOR CON IVA]]</f>
        <v>132901.57999999999</v>
      </c>
      <c r="D34" s="8">
        <f>+Tabla112[[#This Row],[PRECIO  INSTALADOR
( CON  IVA)]]-Tabla112[[#This Row],[DCTO TIENDA]]</f>
        <v>126256.50099999999</v>
      </c>
      <c r="E34" s="8">
        <f>+Tabla112[[#This Row],[PRECIO SUGERIDO ORO CON IVA2]]</f>
        <v>125564.04</v>
      </c>
      <c r="F34" s="8">
        <f>+Tabla112[[#This Row],[PRECIO DPP ORO ( CON  IVA)]]-Tabla112[[#This Row],[PLATINO]]</f>
        <v>124308.39959999999</v>
      </c>
      <c r="G34" s="8">
        <f>+Tabla112[[#This Row],[PRECIO  INSTALADOR
( CON  IVA)]]/0.7</f>
        <v>189859.4</v>
      </c>
      <c r="H34" s="8"/>
      <c r="I34" s="8">
        <f>+Tabla112[[#This Row],[PRECIO DPP ORO ( CON  IVA)]]*1%</f>
        <v>1255.6404</v>
      </c>
      <c r="J34" s="8">
        <f>+Tabla112[[#This Row],[ORO + IVA]]*1.19</f>
        <v>125564.04</v>
      </c>
      <c r="K34" s="7">
        <f>+Tabla112[[#This Row],[PRECIO SUGERIDO INSTALADOR CON IVA]]*5%</f>
        <v>6645.0789999999997</v>
      </c>
      <c r="L34" s="9">
        <f>Tabla112[[#This Row],[INSTALLER + IVA]]*1.19</f>
        <v>132901.57999999999</v>
      </c>
      <c r="M34" s="5">
        <v>105516</v>
      </c>
      <c r="N34" s="4">
        <v>111682</v>
      </c>
    </row>
    <row r="35" spans="1:14" ht="27" x14ac:dyDescent="0.25">
      <c r="A35" s="15" t="s">
        <v>15</v>
      </c>
      <c r="B35" s="15" t="s">
        <v>89</v>
      </c>
      <c r="C35" s="8">
        <f>+Tabla112[[#This Row],[PRECIO SUGERIDO INSTALADOR CON IVA]]</f>
        <v>170841.16</v>
      </c>
      <c r="D35" s="8">
        <f>+Tabla112[[#This Row],[PRECIO  INSTALADOR
( CON  IVA)]]-Tabla112[[#This Row],[DCTO TIENDA]]</f>
        <v>162299.10200000001</v>
      </c>
      <c r="E35" s="8">
        <f>+Tabla112[[#This Row],[PRECIO SUGERIDO ORO CON IVA2]]</f>
        <v>160852.29999999999</v>
      </c>
      <c r="F35" s="8">
        <f>+Tabla112[[#This Row],[PRECIO DPP ORO ( CON  IVA)]]-Tabla112[[#This Row],[PLATINO]]</f>
        <v>159243.777</v>
      </c>
      <c r="G35" s="8">
        <f>+Tabla112[[#This Row],[PRECIO  INSTALADOR
( CON  IVA)]]/0.7</f>
        <v>244058.80000000002</v>
      </c>
      <c r="H35" s="8"/>
      <c r="I35" s="8">
        <f>+Tabla112[[#This Row],[PRECIO DPP ORO ( CON  IVA)]]*1%</f>
        <v>1608.5229999999999</v>
      </c>
      <c r="J35" s="8">
        <f>+Tabla112[[#This Row],[ORO + IVA]]*1.19</f>
        <v>160852.29999999999</v>
      </c>
      <c r="K35" s="7">
        <f>+Tabla112[[#This Row],[PRECIO SUGERIDO INSTALADOR CON IVA]]*5%</f>
        <v>8542.0580000000009</v>
      </c>
      <c r="L35" s="9">
        <f>Tabla112[[#This Row],[INSTALLER + IVA]]*1.19</f>
        <v>170841.16</v>
      </c>
      <c r="M35" s="5">
        <v>135170</v>
      </c>
      <c r="N35" s="4">
        <v>143564</v>
      </c>
    </row>
    <row r="36" spans="1:14" ht="27" x14ac:dyDescent="0.25">
      <c r="A36" s="15" t="s">
        <v>66</v>
      </c>
      <c r="B36" s="15" t="s">
        <v>90</v>
      </c>
      <c r="C36" s="8">
        <f>+Tabla112[[#This Row],[PRECIO SUGERIDO INSTALADOR CON IVA]]</f>
        <v>137423.57999999999</v>
      </c>
      <c r="D36" s="8">
        <f>+Tabla112[[#This Row],[PRECIO  INSTALADOR
( CON  IVA)]]-Tabla112[[#This Row],[DCTO TIENDA]]</f>
        <v>130552.40099999998</v>
      </c>
      <c r="E36" s="8">
        <f>+Tabla112[[#This Row],[PRECIO SUGERIDO ORO CON IVA2]]</f>
        <v>123134.06</v>
      </c>
      <c r="F36" s="8">
        <f>+Tabla112[[#This Row],[PRECIO DPP ORO ( CON  IVA)]]-Tabla112[[#This Row],[PLATINO]]</f>
        <v>121902.7194</v>
      </c>
      <c r="G36" s="8">
        <f>+Tabla112[[#This Row],[PRECIO  INSTALADOR
( CON  IVA)]]/0.7</f>
        <v>196319.4</v>
      </c>
      <c r="H36" s="8"/>
      <c r="I36" s="8">
        <f>+Tabla112[[#This Row],[PRECIO DPP ORO ( CON  IVA)]]*1%</f>
        <v>1231.3406</v>
      </c>
      <c r="J36" s="8">
        <f>+Tabla112[[#This Row],[ORO + IVA]]*1.19</f>
        <v>123134.06</v>
      </c>
      <c r="K36" s="7">
        <f>+Tabla112[[#This Row],[PRECIO SUGERIDO INSTALADOR CON IVA]]*5%</f>
        <v>6871.1790000000001</v>
      </c>
      <c r="L36" s="9">
        <f>Tabla112[[#This Row],[INSTALLER + IVA]]*1.19</f>
        <v>137423.57999999999</v>
      </c>
      <c r="M36" s="5">
        <v>103474</v>
      </c>
      <c r="N36" s="4">
        <v>115482</v>
      </c>
    </row>
    <row r="37" spans="1:14" ht="27" x14ac:dyDescent="0.25">
      <c r="A37" s="15" t="s">
        <v>48</v>
      </c>
      <c r="B37" s="15" t="s">
        <v>91</v>
      </c>
      <c r="C37" s="8">
        <f>+Tabla112[[#This Row],[PRECIO SUGERIDO INSTALADOR CON IVA]]</f>
        <v>147044.72999999998</v>
      </c>
      <c r="D37" s="8">
        <f>+Tabla112[[#This Row],[PRECIO  INSTALADOR
( CON  IVA)]]-Tabla112[[#This Row],[DCTO TIENDA]]</f>
        <v>139692.49349999998</v>
      </c>
      <c r="E37" s="8">
        <f>+Tabla112[[#This Row],[PRECIO SUGERIDO ORO CON IVA2]]</f>
        <v>135856.35</v>
      </c>
      <c r="F37" s="8">
        <f>+Tabla112[[#This Row],[PRECIO DPP ORO ( CON  IVA)]]-Tabla112[[#This Row],[PLATINO]]</f>
        <v>134497.78650000002</v>
      </c>
      <c r="G37" s="8">
        <f>+Tabla112[[#This Row],[PRECIO  INSTALADOR
( CON  IVA)]]/0.7</f>
        <v>210063.9</v>
      </c>
      <c r="H37" s="8"/>
      <c r="I37" s="8">
        <f>+Tabla112[[#This Row],[PRECIO DPP ORO ( CON  IVA)]]*1%</f>
        <v>1358.5635</v>
      </c>
      <c r="J37" s="8">
        <f>+Tabla112[[#This Row],[ORO + IVA]]*1.19</f>
        <v>135856.35</v>
      </c>
      <c r="K37" s="7">
        <f>+Tabla112[[#This Row],[PRECIO SUGERIDO INSTALADOR CON IVA]]*5%</f>
        <v>7352.2364999999991</v>
      </c>
      <c r="L37" s="9">
        <f>Tabla112[[#This Row],[INSTALLER + IVA]]*1.19</f>
        <v>147044.72999999998</v>
      </c>
      <c r="M37" s="5">
        <v>114165</v>
      </c>
      <c r="N37" s="4">
        <v>123567</v>
      </c>
    </row>
    <row r="38" spans="1:14" ht="27" x14ac:dyDescent="0.25">
      <c r="A38" s="15" t="s">
        <v>92</v>
      </c>
      <c r="B38" s="15" t="s">
        <v>93</v>
      </c>
      <c r="C38" s="8">
        <f>+Tabla112[[#This Row],[PRECIO SUGERIDO INSTALADOR CON IVA]]</f>
        <v>181689.19999999998</v>
      </c>
      <c r="D38" s="8">
        <f>+Tabla112[[#This Row],[PRECIO  INSTALADOR
( CON  IVA)]]-Tabla112[[#This Row],[DCTO TIENDA]]</f>
        <v>172604.74</v>
      </c>
      <c r="E38" s="8">
        <f>+Tabla112[[#This Row],[PRECIO SUGERIDO ORO CON IVA2]]</f>
        <v>167864.97</v>
      </c>
      <c r="F38" s="8">
        <f>+Tabla112[[#This Row],[PRECIO DPP ORO ( CON  IVA)]]-Tabla112[[#This Row],[PLATINO]]</f>
        <v>166186.32029999999</v>
      </c>
      <c r="G38" s="8">
        <f>+Tabla112[[#This Row],[PRECIO  INSTALADOR
( CON  IVA)]]/0.7</f>
        <v>259556</v>
      </c>
      <c r="H38" s="8"/>
      <c r="I38" s="8">
        <f>+Tabla112[[#This Row],[PRECIO DPP ORO ( CON  IVA)]]*1%</f>
        <v>1678.6496999999999</v>
      </c>
      <c r="J38" s="8">
        <f>+Tabla112[[#This Row],[ORO + IVA]]*1.19</f>
        <v>167864.97</v>
      </c>
      <c r="K38" s="7">
        <f>+Tabla112[[#This Row],[PRECIO SUGERIDO INSTALADOR CON IVA]]*5%</f>
        <v>9084.4599999999991</v>
      </c>
      <c r="L38" s="9">
        <f>Tabla112[[#This Row],[INSTALLER + IVA]]*1.19</f>
        <v>181689.19999999998</v>
      </c>
      <c r="M38" s="5">
        <v>141063</v>
      </c>
      <c r="N38" s="4">
        <v>152680</v>
      </c>
    </row>
    <row r="39" spans="1:14" ht="40.5" x14ac:dyDescent="0.25">
      <c r="A39" s="15" t="s">
        <v>94</v>
      </c>
      <c r="B39" s="15" t="s">
        <v>95</v>
      </c>
      <c r="C39" s="8">
        <f>+Tabla112[[#This Row],[PRECIO SUGERIDO INSTALADOR CON IVA]]</f>
        <v>291578.56</v>
      </c>
      <c r="D39" s="8">
        <f>+Tabla112[[#This Row],[PRECIO  INSTALADOR
( CON  IVA)]]-Tabla112[[#This Row],[DCTO TIENDA]]</f>
        <v>276999.63199999998</v>
      </c>
      <c r="E39" s="8">
        <f>+Tabla112[[#This Row],[PRECIO SUGERIDO ORO CON IVA2]]</f>
        <v>261235.94</v>
      </c>
      <c r="F39" s="8">
        <f>+Tabla112[[#This Row],[PRECIO DPP ORO ( CON  IVA)]]-Tabla112[[#This Row],[PLATINO]]</f>
        <v>258623.58060000002</v>
      </c>
      <c r="G39" s="8">
        <f>+Tabla112[[#This Row],[PRECIO  INSTALADOR
( CON  IVA)]]/0.7</f>
        <v>416540.80000000005</v>
      </c>
      <c r="H39" s="8"/>
      <c r="I39" s="8">
        <f>+Tabla112[[#This Row],[PRECIO DPP ORO ( CON  IVA)]]*1%</f>
        <v>2612.3594000000003</v>
      </c>
      <c r="J39" s="8">
        <f>+Tabla112[[#This Row],[ORO + IVA]]*1.19</f>
        <v>261235.94</v>
      </c>
      <c r="K39" s="7">
        <f>+Tabla112[[#This Row],[PRECIO SUGERIDO INSTALADOR CON IVA]]*5%</f>
        <v>14578.928</v>
      </c>
      <c r="L39" s="9">
        <f>Tabla112[[#This Row],[INSTALLER + IVA]]*1.19</f>
        <v>291578.56</v>
      </c>
      <c r="M39" s="5">
        <v>219526</v>
      </c>
      <c r="N39" s="4">
        <v>245024</v>
      </c>
    </row>
    <row r="40" spans="1:14" ht="27" x14ac:dyDescent="0.25">
      <c r="A40" s="15" t="s">
        <v>63</v>
      </c>
      <c r="B40" s="15" t="s">
        <v>96</v>
      </c>
      <c r="C40" s="8">
        <f>+Tabla112[[#This Row],[PRECIO SUGERIDO INSTALADOR CON IVA]]</f>
        <v>291578.56</v>
      </c>
      <c r="D40" s="8">
        <f>+Tabla112[[#This Row],[PRECIO  INSTALADOR
( CON  IVA)]]-Tabla112[[#This Row],[DCTO TIENDA]]</f>
        <v>276999.63199999998</v>
      </c>
      <c r="E40" s="8">
        <f>+Tabla112[[#This Row],[PRECIO SUGERIDO ORO CON IVA2]]</f>
        <v>261235.94</v>
      </c>
      <c r="F40" s="8">
        <f>+Tabla112[[#This Row],[PRECIO DPP ORO ( CON  IVA)]]-Tabla112[[#This Row],[PLATINO]]</f>
        <v>258623.58060000002</v>
      </c>
      <c r="G40" s="8">
        <f>+Tabla112[[#This Row],[PRECIO  INSTALADOR
( CON  IVA)]]/0.7</f>
        <v>416540.80000000005</v>
      </c>
      <c r="H40" s="8"/>
      <c r="I40" s="8">
        <f>+Tabla112[[#This Row],[PRECIO DPP ORO ( CON  IVA)]]*1%</f>
        <v>2612.3594000000003</v>
      </c>
      <c r="J40" s="8">
        <f>+Tabla112[[#This Row],[ORO + IVA]]*1.19</f>
        <v>261235.94</v>
      </c>
      <c r="K40" s="7">
        <f>+Tabla112[[#This Row],[PRECIO SUGERIDO INSTALADOR CON IVA]]*5%</f>
        <v>14578.928</v>
      </c>
      <c r="L40" s="9">
        <f>Tabla112[[#This Row],[INSTALLER + IVA]]*1.19</f>
        <v>291578.56</v>
      </c>
      <c r="M40" s="5">
        <v>219526</v>
      </c>
      <c r="N40" s="4">
        <v>245024</v>
      </c>
    </row>
    <row r="41" spans="1:14" ht="27" x14ac:dyDescent="0.25">
      <c r="A41" s="15" t="s">
        <v>49</v>
      </c>
      <c r="B41" s="15" t="s">
        <v>14</v>
      </c>
      <c r="C41" s="8">
        <f>+Tabla112[[#This Row],[PRECIO SUGERIDO INSTALADOR CON IVA]]</f>
        <v>233244.75999999998</v>
      </c>
      <c r="D41" s="8">
        <f>+Tabla112[[#This Row],[PRECIO  INSTALADOR
( CON  IVA)]]-Tabla112[[#This Row],[DCTO TIENDA]]</f>
        <v>221582.52199999997</v>
      </c>
      <c r="E41" s="8">
        <f>+Tabla112[[#This Row],[PRECIO SUGERIDO ORO CON IVA2]]</f>
        <v>209097.28</v>
      </c>
      <c r="F41" s="8">
        <f>+Tabla112[[#This Row],[PRECIO DPP ORO ( CON  IVA)]]-Tabla112[[#This Row],[PLATINO]]</f>
        <v>207006.30720000001</v>
      </c>
      <c r="G41" s="8">
        <f>+Tabla112[[#This Row],[PRECIO  INSTALADOR
( CON  IVA)]]/0.7</f>
        <v>333206.8</v>
      </c>
      <c r="H41" s="8"/>
      <c r="I41" s="8">
        <f>+Tabla112[[#This Row],[PRECIO DPP ORO ( CON  IVA)]]*1%</f>
        <v>2090.9728</v>
      </c>
      <c r="J41" s="8">
        <f>+Tabla112[[#This Row],[ORO + IVA]]*1.19</f>
        <v>209097.28</v>
      </c>
      <c r="K41" s="7">
        <f>+Tabla112[[#This Row],[PRECIO SUGERIDO INSTALADOR CON IVA]]*5%</f>
        <v>11662.237999999999</v>
      </c>
      <c r="L41" s="9">
        <f>Tabla112[[#This Row],[INSTALLER + IVA]]*1.19</f>
        <v>233244.75999999998</v>
      </c>
      <c r="M41" s="5">
        <v>175712</v>
      </c>
      <c r="N41" s="4">
        <v>196004</v>
      </c>
    </row>
    <row r="42" spans="1:14" ht="27" x14ac:dyDescent="0.25">
      <c r="A42" s="15" t="s">
        <v>9</v>
      </c>
      <c r="B42" s="15" t="s">
        <v>97</v>
      </c>
      <c r="C42" s="8">
        <f>+Tabla112[[#This Row],[PRECIO SUGERIDO INSTALADOR CON IVA]]</f>
        <v>205479.67999999999</v>
      </c>
      <c r="D42" s="8">
        <f>+Tabla112[[#This Row],[PRECIO  INSTALADOR
( CON  IVA)]]-Tabla112[[#This Row],[DCTO TIENDA]]</f>
        <v>195205.696</v>
      </c>
      <c r="E42" s="8">
        <f>+Tabla112[[#This Row],[PRECIO SUGERIDO ORO CON IVA2]]</f>
        <v>184181.06</v>
      </c>
      <c r="F42" s="8">
        <f>+Tabla112[[#This Row],[PRECIO DPP ORO ( CON  IVA)]]-Tabla112[[#This Row],[PLATINO]]</f>
        <v>182339.2494</v>
      </c>
      <c r="G42" s="8">
        <f>+Tabla112[[#This Row],[PRECIO  INSTALADOR
( CON  IVA)]]/0.7</f>
        <v>293542.40000000002</v>
      </c>
      <c r="H42" s="8"/>
      <c r="I42" s="8">
        <f>+Tabla112[[#This Row],[PRECIO DPP ORO ( CON  IVA)]]*1%</f>
        <v>1841.8106</v>
      </c>
      <c r="J42" s="8">
        <f>+Tabla112[[#This Row],[ORO + IVA]]*1.19</f>
        <v>184181.06</v>
      </c>
      <c r="K42" s="7">
        <f>+Tabla112[[#This Row],[PRECIO SUGERIDO INSTALADOR CON IVA]]*5%</f>
        <v>10273.984</v>
      </c>
      <c r="L42" s="9">
        <f>Tabla112[[#This Row],[INSTALLER + IVA]]*1.19</f>
        <v>205479.67999999999</v>
      </c>
      <c r="M42" s="5">
        <v>154774</v>
      </c>
      <c r="N42" s="4">
        <v>172672</v>
      </c>
    </row>
    <row r="43" spans="1:14" ht="27" x14ac:dyDescent="0.25">
      <c r="A43" s="15" t="s">
        <v>59</v>
      </c>
      <c r="B43" s="15" t="s">
        <v>7</v>
      </c>
      <c r="C43" s="8">
        <f>+Tabla112[[#This Row],[PRECIO SUGERIDO INSTALADOR CON IVA]]</f>
        <v>354163.04</v>
      </c>
      <c r="D43" s="8">
        <f>+Tabla112[[#This Row],[PRECIO  INSTALADOR
( CON  IVA)]]-Tabla112[[#This Row],[DCTO TIENDA]]</f>
        <v>336454.88799999998</v>
      </c>
      <c r="E43" s="8">
        <f>+Tabla112[[#This Row],[PRECIO SUGERIDO ORO CON IVA2]]</f>
        <v>317308.74</v>
      </c>
      <c r="F43" s="8">
        <f>+Tabla112[[#This Row],[PRECIO DPP ORO ( CON  IVA)]]-Tabla112[[#This Row],[PLATINO]]</f>
        <v>314135.65259999997</v>
      </c>
      <c r="G43" s="8">
        <f>+Tabla112[[#This Row],[PRECIO  INSTALADOR
( CON  IVA)]]/0.7</f>
        <v>505947.2</v>
      </c>
      <c r="H43" s="8"/>
      <c r="I43" s="8">
        <f>+Tabla112[[#This Row],[PRECIO DPP ORO ( CON  IVA)]]*1%</f>
        <v>3173.0873999999999</v>
      </c>
      <c r="J43" s="8">
        <f>+Tabla112[[#This Row],[ORO + IVA]]*1.19</f>
        <v>317308.74</v>
      </c>
      <c r="K43" s="7">
        <f>+Tabla112[[#This Row],[PRECIO SUGERIDO INSTALADOR CON IVA]]*5%</f>
        <v>17708.151999999998</v>
      </c>
      <c r="L43" s="9">
        <f>Tabla112[[#This Row],[INSTALLER + IVA]]*1.19</f>
        <v>354163.04</v>
      </c>
      <c r="M43" s="5">
        <v>266646</v>
      </c>
      <c r="N43" s="4">
        <v>297616</v>
      </c>
    </row>
    <row r="44" spans="1:14" ht="27" x14ac:dyDescent="0.25">
      <c r="A44" s="15" t="s">
        <v>60</v>
      </c>
      <c r="B44" s="15" t="s">
        <v>98</v>
      </c>
      <c r="C44" s="8">
        <f>+Tabla112[[#This Row],[PRECIO SUGERIDO INSTALADOR CON IVA]]</f>
        <v>311882.33999999997</v>
      </c>
      <c r="D44" s="8">
        <f>+Tabla112[[#This Row],[PRECIO  INSTALADOR
( CON  IVA)]]-Tabla112[[#This Row],[DCTO TIENDA]]</f>
        <v>296288.223</v>
      </c>
      <c r="E44" s="8">
        <f>+Tabla112[[#This Row],[PRECIO SUGERIDO ORO CON IVA2]]</f>
        <v>279459.59999999998</v>
      </c>
      <c r="F44" s="8">
        <f>+Tabla112[[#This Row],[PRECIO DPP ORO ( CON  IVA)]]-Tabla112[[#This Row],[PLATINO]]</f>
        <v>276665.00399999996</v>
      </c>
      <c r="G44" s="8">
        <f>+Tabla112[[#This Row],[PRECIO  INSTALADOR
( CON  IVA)]]/0.7</f>
        <v>445546.19999999995</v>
      </c>
      <c r="H44" s="8"/>
      <c r="I44" s="8">
        <f>+Tabla112[[#This Row],[PRECIO DPP ORO ( CON  IVA)]]*1%</f>
        <v>2794.596</v>
      </c>
      <c r="J44" s="8">
        <f>+Tabla112[[#This Row],[ORO + IVA]]*1.19</f>
        <v>279459.59999999998</v>
      </c>
      <c r="K44" s="7">
        <f>+Tabla112[[#This Row],[PRECIO SUGERIDO INSTALADOR CON IVA]]*5%</f>
        <v>15594.116999999998</v>
      </c>
      <c r="L44" s="9">
        <f>Tabla112[[#This Row],[INSTALLER + IVA]]*1.19</f>
        <v>311882.33999999997</v>
      </c>
      <c r="M44" s="5">
        <v>234840</v>
      </c>
      <c r="N44" s="4">
        <v>262085.99999999997</v>
      </c>
    </row>
    <row r="45" spans="1:14" customFormat="1" ht="40.5" x14ac:dyDescent="0.25">
      <c r="A45" s="15" t="s">
        <v>26</v>
      </c>
      <c r="B45" s="15" t="s">
        <v>99</v>
      </c>
      <c r="C45" s="8">
        <f>+Tabla112[[#This Row],[PRECIO SUGERIDO INSTALADOR CON IVA]]</f>
        <v>506780.54</v>
      </c>
      <c r="D45" s="8">
        <f>+Tabla112[[#This Row],[PRECIO  INSTALADOR
( CON  IVA)]]-Tabla112[[#This Row],[DCTO TIENDA]]</f>
        <v>481441.51299999998</v>
      </c>
      <c r="E45" s="8">
        <f>+Tabla112[[#This Row],[PRECIO SUGERIDO ORO CON IVA2]]</f>
        <v>454054.01999999996</v>
      </c>
      <c r="F45" s="8">
        <f>+Tabla112[[#This Row],[PRECIO DPP ORO ( CON  IVA)]]-Tabla112[[#This Row],[PLATINO]]</f>
        <v>449513.47979999997</v>
      </c>
      <c r="G45" s="8">
        <f>+Tabla112[[#This Row],[PRECIO  INSTALADOR
( CON  IVA)]]/0.7</f>
        <v>723972.20000000007</v>
      </c>
      <c r="H45" s="8"/>
      <c r="I45" s="8">
        <f>+Tabla112[[#This Row],[PRECIO DPP ORO ( CON  IVA)]]*1%</f>
        <v>4540.5401999999995</v>
      </c>
      <c r="J45" s="8">
        <f>+Tabla112[[#This Row],[ORO + IVA]]*1.19</f>
        <v>454054.01999999996</v>
      </c>
      <c r="K45" s="7">
        <f>+Tabla112[[#This Row],[PRECIO SUGERIDO INSTALADOR CON IVA]]*5%</f>
        <v>25339.027000000002</v>
      </c>
      <c r="L45" s="9">
        <f>Tabla112[[#This Row],[INSTALLER + IVA]]*1.19</f>
        <v>506780.54</v>
      </c>
      <c r="M45" s="5">
        <v>381558</v>
      </c>
      <c r="N45" s="4">
        <v>425866</v>
      </c>
    </row>
    <row r="46" spans="1:14" ht="40.5" x14ac:dyDescent="0.25">
      <c r="A46" s="15" t="s">
        <v>6</v>
      </c>
      <c r="B46" s="15" t="s">
        <v>100</v>
      </c>
      <c r="C46" s="8">
        <f>+Tabla112[[#This Row],[PRECIO SUGERIDO INSTALADOR CON IVA]]</f>
        <v>1307581.52</v>
      </c>
      <c r="D46" s="8">
        <f>+Tabla112[[#This Row],[PRECIO  INSTALADOR
( CON  IVA)]]-Tabla112[[#This Row],[DCTO TIENDA]]</f>
        <v>1242202.4440000001</v>
      </c>
      <c r="E46" s="8">
        <f>+Tabla112[[#This Row],[PRECIO SUGERIDO ORO CON IVA2]]</f>
        <v>1171740.6399999999</v>
      </c>
      <c r="F46" s="8">
        <f>+Tabla112[[#This Row],[PRECIO DPP ORO ( CON  IVA)]]-Tabla112[[#This Row],[PLATINO]]</f>
        <v>1160023.2335999999</v>
      </c>
      <c r="G46" s="8">
        <f>+Tabla112[[#This Row],[PRECIO  INSTALADOR
( CON  IVA)]]/0.7</f>
        <v>1867973.6</v>
      </c>
      <c r="H46" s="8"/>
      <c r="I46" s="8">
        <f>+Tabla112[[#This Row],[PRECIO DPP ORO ( CON  IVA)]]*1%</f>
        <v>11717.4064</v>
      </c>
      <c r="J46" s="8">
        <f>+Tabla112[[#This Row],[ORO + IVA]]*1.19</f>
        <v>1171740.6399999999</v>
      </c>
      <c r="K46" s="7">
        <f>+Tabla112[[#This Row],[PRECIO SUGERIDO INSTALADOR CON IVA]]*5%</f>
        <v>65379.076000000001</v>
      </c>
      <c r="L46" s="9">
        <f>Tabla112[[#This Row],[INSTALLER + IVA]]*1.19</f>
        <v>1307581.52</v>
      </c>
      <c r="M46" s="5">
        <v>984656</v>
      </c>
      <c r="N46" s="4">
        <v>1098808</v>
      </c>
    </row>
    <row r="47" spans="1:14" ht="40.5" x14ac:dyDescent="0.25">
      <c r="A47" s="15" t="s">
        <v>67</v>
      </c>
      <c r="B47" s="15" t="s">
        <v>101</v>
      </c>
      <c r="C47" s="8">
        <f>+Tabla112[[#This Row],[PRECIO SUGERIDO INSTALADOR CON IVA]]</f>
        <v>616710.36</v>
      </c>
      <c r="D47" s="8">
        <f>+Tabla112[[#This Row],[PRECIO  INSTALADOR
( CON  IVA)]]-Tabla112[[#This Row],[DCTO TIENDA]]</f>
        <v>585874.84199999995</v>
      </c>
      <c r="E47" s="8">
        <f>+Tabla112[[#This Row],[PRECIO SUGERIDO ORO CON IVA2]]</f>
        <v>519728.93</v>
      </c>
      <c r="F47" s="8">
        <f>+Tabla112[[#This Row],[PRECIO DPP ORO ( CON  IVA)]]-Tabla112[[#This Row],[PLATINO]]</f>
        <v>514531.64069999999</v>
      </c>
      <c r="G47" s="8">
        <f>+Tabla112[[#This Row],[PRECIO  INSTALADOR
( CON  IVA)]]/0.7</f>
        <v>881014.8</v>
      </c>
      <c r="H47" s="8"/>
      <c r="I47" s="8">
        <f>+Tabla112[[#This Row],[PRECIO DPP ORO ( CON  IVA)]]*1%</f>
        <v>5197.2893000000004</v>
      </c>
      <c r="J47" s="8">
        <f>+Tabla112[[#This Row],[ORO + IVA]]*1.19</f>
        <v>519728.93</v>
      </c>
      <c r="K47" s="7">
        <f>+Tabla112[[#This Row],[PRECIO SUGERIDO INSTALADOR CON IVA]]*5%</f>
        <v>30835.518</v>
      </c>
      <c r="L47" s="9">
        <f>Tabla112[[#This Row],[INSTALLER + IVA]]*1.19</f>
        <v>616710.36</v>
      </c>
      <c r="M47" s="5">
        <v>436747</v>
      </c>
      <c r="N47" s="4">
        <v>518244</v>
      </c>
    </row>
    <row r="48" spans="1:14" ht="27" x14ac:dyDescent="0.25">
      <c r="A48" s="15" t="s">
        <v>58</v>
      </c>
      <c r="B48" s="15" t="s">
        <v>8</v>
      </c>
      <c r="C48" s="8">
        <f>+Tabla112[[#This Row],[PRECIO SUGERIDO INSTALADOR CON IVA]]</f>
        <v>337459.01</v>
      </c>
      <c r="D48" s="8">
        <f>+Tabla112[[#This Row],[PRECIO  INSTALADOR
( CON  IVA)]]-Tabla112[[#This Row],[DCTO TIENDA]]</f>
        <v>320586.05950000003</v>
      </c>
      <c r="E48" s="8">
        <f>+Tabla112[[#This Row],[PRECIO SUGERIDO ORO CON IVA2]]</f>
        <v>311782.38</v>
      </c>
      <c r="F48" s="8">
        <f>+Tabla112[[#This Row],[PRECIO DPP ORO ( CON  IVA)]]-Tabla112[[#This Row],[PLATINO]]</f>
        <v>308664.55619999999</v>
      </c>
      <c r="G48" s="8">
        <f>+Tabla112[[#This Row],[PRECIO  INSTALADOR
( CON  IVA)]]/0.7</f>
        <v>482084.30000000005</v>
      </c>
      <c r="H48" s="8"/>
      <c r="I48" s="8">
        <f>+Tabla112[[#This Row],[PRECIO DPP ORO ( CON  IVA)]]*1%</f>
        <v>3117.8238000000001</v>
      </c>
      <c r="J48" s="8">
        <f>+Tabla112[[#This Row],[ORO + IVA]]*1.19</f>
        <v>311782.38</v>
      </c>
      <c r="K48" s="7">
        <f>+Tabla112[[#This Row],[PRECIO SUGERIDO INSTALADOR CON IVA]]*5%</f>
        <v>16872.950500000003</v>
      </c>
      <c r="L48" s="9">
        <f>Tabla112[[#This Row],[INSTALLER + IVA]]*1.19</f>
        <v>337459.01</v>
      </c>
      <c r="M48" s="5">
        <v>262002</v>
      </c>
      <c r="N48" s="4">
        <v>283579</v>
      </c>
    </row>
    <row r="49" spans="1:14" ht="27" x14ac:dyDescent="0.25">
      <c r="A49" s="15" t="s">
        <v>64</v>
      </c>
      <c r="B49" s="15" t="s">
        <v>102</v>
      </c>
      <c r="C49" s="8">
        <f>+Tabla112[[#This Row],[PRECIO SUGERIDO INSTALADOR CON IVA]]</f>
        <v>386450.12</v>
      </c>
      <c r="D49" s="8">
        <f>+Tabla112[[#This Row],[PRECIO  INSTALADOR
( CON  IVA)]]-Tabla112[[#This Row],[DCTO TIENDA]]</f>
        <v>367127.614</v>
      </c>
      <c r="E49" s="8">
        <f>+Tabla112[[#This Row],[PRECIO SUGERIDO ORO CON IVA2]]</f>
        <v>332095.68</v>
      </c>
      <c r="F49" s="8">
        <f>+Tabla112[[#This Row],[PRECIO DPP ORO ( CON  IVA)]]-Tabla112[[#This Row],[PLATINO]]</f>
        <v>328774.72320000001</v>
      </c>
      <c r="G49" s="8">
        <f>+Tabla112[[#This Row],[PRECIO  INSTALADOR
( CON  IVA)]]/0.7</f>
        <v>552071.6</v>
      </c>
      <c r="H49" s="8"/>
      <c r="I49" s="8">
        <f>+Tabla112[[#This Row],[PRECIO DPP ORO ( CON  IVA)]]*1%</f>
        <v>3320.9567999999999</v>
      </c>
      <c r="J49" s="8">
        <f>+Tabla112[[#This Row],[ORO + IVA]]*1.19</f>
        <v>332095.68</v>
      </c>
      <c r="K49" s="7">
        <f>+Tabla112[[#This Row],[PRECIO SUGERIDO INSTALADOR CON IVA]]*5%</f>
        <v>19322.506000000001</v>
      </c>
      <c r="L49" s="6">
        <f>Tabla112[[#This Row],[INSTALLER + IVA]]*1.19</f>
        <v>386450.12</v>
      </c>
      <c r="M49" s="5">
        <v>279072</v>
      </c>
      <c r="N49" s="4">
        <v>324748</v>
      </c>
    </row>
    <row r="50" spans="1:14" ht="27" x14ac:dyDescent="0.25">
      <c r="A50" s="15" t="s">
        <v>65</v>
      </c>
      <c r="B50" s="15" t="s">
        <v>103</v>
      </c>
      <c r="C50" s="8">
        <f>+Tabla112[[#This Row],[PRECIO SUGERIDO INSTALADOR CON IVA]]</f>
        <v>1228446.52</v>
      </c>
      <c r="D50" s="8">
        <f>+Tabla112[[#This Row],[PRECIO  INSTALADOR
( CON  IVA)]]-Tabla112[[#This Row],[DCTO TIENDA]]</f>
        <v>1167024.1940000001</v>
      </c>
      <c r="E50" s="8">
        <f>+Tabla112[[#This Row],[PRECIO SUGERIDO ORO CON IVA2]]</f>
        <v>1028348.0199999999</v>
      </c>
      <c r="F50" s="8">
        <f>+Tabla112[[#This Row],[PRECIO DPP ORO ( CON  IVA)]]-Tabla112[[#This Row],[PLATINO]]</f>
        <v>1018064.5397999999</v>
      </c>
      <c r="G50" s="8">
        <f>+Tabla112[[#This Row],[PRECIO  INSTALADOR
( CON  IVA)]]/0.7</f>
        <v>1754923.6</v>
      </c>
      <c r="H50" s="8"/>
      <c r="I50" s="8">
        <f>+Tabla112[[#This Row],[PRECIO DPP ORO ( CON  IVA)]]*1%</f>
        <v>10283.4802</v>
      </c>
      <c r="J50" s="8">
        <f>+Tabla112[[#This Row],[ORO + IVA]]*1.19</f>
        <v>1028348.0199999999</v>
      </c>
      <c r="K50" s="7">
        <f>+Tabla112[[#This Row],[PRECIO SUGERIDO INSTALADOR CON IVA]]*5%</f>
        <v>61422.326000000001</v>
      </c>
      <c r="L50" s="6">
        <f>Tabla112[[#This Row],[INSTALLER + IVA]]*1.19</f>
        <v>1228446.52</v>
      </c>
      <c r="M50" s="5">
        <v>864158</v>
      </c>
      <c r="N50" s="4">
        <v>1032308.0000000001</v>
      </c>
    </row>
  </sheetData>
  <sheetProtection selectLockedCells="1"/>
  <phoneticPr fontId="7" type="noConversion"/>
  <conditionalFormatting sqref="A2:A50">
    <cfRule type="duplicateValues" dxfId="0" priority="1"/>
  </conditionalFormatting>
  <pageMargins left="0.7" right="0.7" top="0.75" bottom="0.75" header="0.3" footer="0.3"/>
  <pageSetup paperSize="9" scale="64" fitToHeight="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HILOOK TURBO</vt:lpstr>
      <vt:lpstr>'HILOOK TURBO'!Área_de_impresión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2026-06-20T17:26:36Z</cp:lastPrinted>
  <dcterms:created xsi:type="dcterms:W3CDTF">2026-06-19T21:11:07Z</dcterms:created>
  <dcterms:modified xsi:type="dcterms:W3CDTF">2026-10-09T18:41:31Z</dcterms:modified>
</cp:coreProperties>
</file>