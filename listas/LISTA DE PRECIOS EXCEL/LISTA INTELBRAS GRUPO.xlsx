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3CF9FDAE-1002-4992-B758-09782C68093D}" xr6:coauthVersionLast="47" xr6:coauthVersionMax="47" xr10:uidLastSave="{00000000-0000-0000-0000-000000000000}"/>
  <bookViews>
    <workbookView xWindow="23880" yWindow="-120" windowWidth="21840" windowHeight="13140" xr2:uid="{352FC93F-D114-4ED5-BC4B-C5F690E21613}"/>
  </bookViews>
  <sheets>
    <sheet name="INTELBR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2" i="1" l="1"/>
  <c r="C82" i="1" s="1"/>
  <c r="H81" i="1"/>
  <c r="C81" i="1" s="1"/>
  <c r="H73" i="1"/>
  <c r="H47" i="1"/>
  <c r="H49" i="1"/>
  <c r="H76" i="1"/>
  <c r="H77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C46" i="1" s="1"/>
  <c r="H48" i="1"/>
  <c r="C48" i="1" s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C72" i="1" s="1"/>
  <c r="H74" i="1"/>
  <c r="H75" i="1"/>
  <c r="C75" i="1" s="1"/>
  <c r="H78" i="1"/>
  <c r="H79" i="1"/>
  <c r="H80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C113" i="1" s="1"/>
  <c r="F82" i="1" l="1"/>
  <c r="D82" i="1" s="1"/>
  <c r="E82" i="1"/>
  <c r="F81" i="1"/>
  <c r="E81" i="1"/>
  <c r="D81" i="1"/>
  <c r="C136" i="1"/>
  <c r="C73" i="1"/>
  <c r="C47" i="1"/>
  <c r="C49" i="1"/>
  <c r="C76" i="1"/>
  <c r="C77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E32" i="1" s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4" i="1"/>
  <c r="C78" i="1"/>
  <c r="C79" i="1"/>
  <c r="C80" i="1"/>
  <c r="C83" i="1"/>
  <c r="C84" i="1"/>
  <c r="E84" i="1" s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F108" i="1" s="1"/>
  <c r="C109" i="1"/>
  <c r="E109" i="1" s="1"/>
  <c r="C110" i="1"/>
  <c r="C111" i="1"/>
  <c r="E111" i="1" s="1"/>
  <c r="C112" i="1"/>
  <c r="F112" i="1" s="1"/>
  <c r="E46" i="1"/>
  <c r="F46" i="1"/>
  <c r="D46" i="1" s="1"/>
  <c r="E113" i="1"/>
  <c r="E72" i="1"/>
  <c r="F72" i="1"/>
  <c r="D72" i="1" s="1"/>
  <c r="F48" i="1"/>
  <c r="D48" i="1" s="1"/>
  <c r="E48" i="1"/>
  <c r="E75" i="1"/>
  <c r="F75" i="1"/>
  <c r="D75" i="1" s="1"/>
  <c r="F136" i="1" l="1"/>
  <c r="D136" i="1" s="1"/>
  <c r="E136" i="1"/>
  <c r="F73" i="1"/>
  <c r="E73" i="1"/>
  <c r="F47" i="1"/>
  <c r="D47" i="1" s="1"/>
  <c r="E47" i="1"/>
  <c r="F49" i="1"/>
  <c r="D49" i="1" s="1"/>
  <c r="E49" i="1"/>
  <c r="F76" i="1"/>
  <c r="E76" i="1"/>
  <c r="D76" i="1"/>
  <c r="F77" i="1"/>
  <c r="E77" i="1"/>
  <c r="F114" i="1"/>
  <c r="D114" i="1" s="1"/>
  <c r="E114" i="1"/>
  <c r="F115" i="1"/>
  <c r="D115" i="1" s="1"/>
  <c r="E115" i="1"/>
  <c r="F116" i="1"/>
  <c r="D116" i="1" s="1"/>
  <c r="E116" i="1"/>
  <c r="F117" i="1"/>
  <c r="D117" i="1" s="1"/>
  <c r="E117" i="1"/>
  <c r="F118" i="1"/>
  <c r="E118" i="1"/>
  <c r="F119" i="1"/>
  <c r="D118" i="1" s="1"/>
  <c r="E119" i="1"/>
  <c r="D119" i="1"/>
  <c r="F120" i="1"/>
  <c r="E120" i="1"/>
  <c r="F2" i="1"/>
  <c r="D2" i="1" s="1"/>
  <c r="E2" i="1"/>
  <c r="F3" i="1"/>
  <c r="D3" i="1" s="1"/>
  <c r="E3" i="1"/>
  <c r="E4" i="1"/>
  <c r="F4" i="1"/>
  <c r="D4" i="1" s="1"/>
  <c r="E5" i="1"/>
  <c r="F5" i="1"/>
  <c r="D5" i="1" s="1"/>
  <c r="E6" i="1"/>
  <c r="F6" i="1"/>
  <c r="D6" i="1" s="1"/>
  <c r="E7" i="1"/>
  <c r="F7" i="1"/>
  <c r="D7" i="1" s="1"/>
  <c r="E9" i="1"/>
  <c r="F9" i="1"/>
  <c r="D9" i="1" s="1"/>
  <c r="E10" i="1"/>
  <c r="F10" i="1"/>
  <c r="F11" i="1"/>
  <c r="D10" i="1" s="1"/>
  <c r="D11" i="1"/>
  <c r="E11" i="1"/>
  <c r="F13" i="1"/>
  <c r="D13" i="1" s="1"/>
  <c r="E13" i="1"/>
  <c r="E14" i="1"/>
  <c r="F14" i="1"/>
  <c r="D14" i="1" s="1"/>
  <c r="F15" i="1"/>
  <c r="D15" i="1" s="1"/>
  <c r="E15" i="1"/>
  <c r="E17" i="1"/>
  <c r="F17" i="1"/>
  <c r="D17" i="1" s="1"/>
  <c r="E18" i="1"/>
  <c r="F18" i="1"/>
  <c r="E19" i="1"/>
  <c r="F19" i="1"/>
  <c r="E20" i="1"/>
  <c r="F20" i="1"/>
  <c r="D20" i="1" s="1"/>
  <c r="E21" i="1"/>
  <c r="F21" i="1"/>
  <c r="D21" i="1"/>
  <c r="F23" i="1"/>
  <c r="D23" i="1" s="1"/>
  <c r="E23" i="1"/>
  <c r="F24" i="1"/>
  <c r="D24" i="1" s="1"/>
  <c r="E24" i="1"/>
  <c r="E25" i="1"/>
  <c r="F25" i="1"/>
  <c r="D25" i="1" s="1"/>
  <c r="F26" i="1"/>
  <c r="D26" i="1" s="1"/>
  <c r="E26" i="1"/>
  <c r="E27" i="1"/>
  <c r="F27" i="1"/>
  <c r="D27" i="1" s="1"/>
  <c r="E28" i="1"/>
  <c r="F28" i="1"/>
  <c r="D28" i="1" s="1"/>
  <c r="F30" i="1"/>
  <c r="E30" i="1"/>
  <c r="E31" i="1"/>
  <c r="F31" i="1"/>
  <c r="D31" i="1" s="1"/>
  <c r="F34" i="1"/>
  <c r="D34" i="1" s="1"/>
  <c r="E34" i="1"/>
  <c r="E36" i="1"/>
  <c r="F36" i="1"/>
  <c r="E38" i="1"/>
  <c r="F38" i="1"/>
  <c r="D38" i="1" s="1"/>
  <c r="E80" i="1"/>
  <c r="F80" i="1"/>
  <c r="F83" i="1"/>
  <c r="E83" i="1"/>
  <c r="F85" i="1"/>
  <c r="E85" i="1"/>
  <c r="E86" i="1"/>
  <c r="F86" i="1"/>
  <c r="E88" i="1"/>
  <c r="F88" i="1"/>
  <c r="D88" i="1" s="1"/>
  <c r="F91" i="1"/>
  <c r="E91" i="1"/>
  <c r="D91" i="1"/>
  <c r="E93" i="1"/>
  <c r="F93" i="1"/>
  <c r="D93" i="1" s="1"/>
  <c r="F94" i="1"/>
  <c r="E94" i="1"/>
  <c r="D94" i="1"/>
  <c r="F95" i="1"/>
  <c r="D95" i="1"/>
  <c r="E95" i="1"/>
  <c r="F96" i="1"/>
  <c r="D96" i="1"/>
  <c r="E96" i="1"/>
  <c r="F97" i="1"/>
  <c r="D97" i="1"/>
  <c r="E97" i="1"/>
  <c r="F98" i="1"/>
  <c r="E98" i="1"/>
  <c r="D98" i="1"/>
  <c r="F99" i="1"/>
  <c r="E99" i="1"/>
  <c r="D99" i="1"/>
  <c r="F101" i="1"/>
  <c r="E101" i="1"/>
  <c r="D101" i="1"/>
  <c r="F103" i="1"/>
  <c r="E103" i="1"/>
  <c r="F121" i="1"/>
  <c r="E121" i="1"/>
  <c r="F122" i="1"/>
  <c r="D121" i="1" s="1"/>
  <c r="E122" i="1"/>
  <c r="D122" i="1"/>
  <c r="F123" i="1"/>
  <c r="E123" i="1"/>
  <c r="F124" i="1"/>
  <c r="D123" i="1" s="1"/>
  <c r="E124" i="1"/>
  <c r="F125" i="1"/>
  <c r="D124" i="1" s="1"/>
  <c r="E125" i="1"/>
  <c r="F126" i="1"/>
  <c r="D125" i="1" s="1"/>
  <c r="E126" i="1"/>
  <c r="F127" i="1"/>
  <c r="D126" i="1" s="1"/>
  <c r="E127" i="1"/>
  <c r="F128" i="1"/>
  <c r="D127" i="1" s="1"/>
  <c r="E128" i="1"/>
  <c r="F129" i="1"/>
  <c r="D128" i="1" s="1"/>
  <c r="E129" i="1"/>
  <c r="F130" i="1"/>
  <c r="D129" i="1" s="1"/>
  <c r="E130" i="1"/>
  <c r="F131" i="1"/>
  <c r="D130" i="1" s="1"/>
  <c r="E131" i="1"/>
  <c r="F132" i="1"/>
  <c r="D131" i="1" s="1"/>
  <c r="E132" i="1"/>
  <c r="F133" i="1"/>
  <c r="D132" i="1" s="1"/>
  <c r="E133" i="1"/>
  <c r="F134" i="1"/>
  <c r="D133" i="1" s="1"/>
  <c r="E134" i="1"/>
  <c r="F100" i="1"/>
  <c r="D100" i="1"/>
  <c r="E100" i="1"/>
  <c r="E102" i="1"/>
  <c r="F102" i="1"/>
  <c r="D102" i="1" s="1"/>
  <c r="E104" i="1"/>
  <c r="F104" i="1"/>
  <c r="D104" i="1" s="1"/>
  <c r="F105" i="1"/>
  <c r="E105" i="1"/>
  <c r="F107" i="1"/>
  <c r="D107" i="1" s="1"/>
  <c r="E107" i="1"/>
  <c r="F135" i="1"/>
  <c r="E135" i="1"/>
  <c r="E8" i="1"/>
  <c r="F8" i="1"/>
  <c r="D8" i="1" s="1"/>
  <c r="E12" i="1"/>
  <c r="F12" i="1"/>
  <c r="D12" i="1" s="1"/>
  <c r="E16" i="1"/>
  <c r="F16" i="1"/>
  <c r="D16" i="1" s="1"/>
  <c r="E22" i="1"/>
  <c r="F22" i="1"/>
  <c r="D22" i="1" s="1"/>
  <c r="E29" i="1"/>
  <c r="F29" i="1"/>
  <c r="D29" i="1" s="1"/>
  <c r="F32" i="1"/>
  <c r="D32" i="1" s="1"/>
  <c r="E33" i="1"/>
  <c r="F33" i="1"/>
  <c r="D33" i="1" s="1"/>
  <c r="E35" i="1"/>
  <c r="F35" i="1"/>
  <c r="E37" i="1"/>
  <c r="F37" i="1"/>
  <c r="D37" i="1" s="1"/>
  <c r="F39" i="1"/>
  <c r="E39" i="1"/>
  <c r="D39" i="1"/>
  <c r="E40" i="1"/>
  <c r="F40" i="1"/>
  <c r="D40" i="1" s="1"/>
  <c r="E41" i="1"/>
  <c r="F41" i="1"/>
  <c r="D41" i="1" s="1"/>
  <c r="E42" i="1"/>
  <c r="F42" i="1"/>
  <c r="D42" i="1" s="1"/>
  <c r="E43" i="1"/>
  <c r="F43" i="1"/>
  <c r="D43" i="1" s="1"/>
  <c r="E44" i="1"/>
  <c r="F44" i="1"/>
  <c r="D44" i="1" s="1"/>
  <c r="E45" i="1"/>
  <c r="F45" i="1"/>
  <c r="D45" i="1" s="1"/>
  <c r="E50" i="1"/>
  <c r="F50" i="1"/>
  <c r="D50" i="1" s="1"/>
  <c r="E51" i="1"/>
  <c r="F51" i="1"/>
  <c r="D51" i="1" s="1"/>
  <c r="E52" i="1"/>
  <c r="F52" i="1"/>
  <c r="D52" i="1" s="1"/>
  <c r="E53" i="1"/>
  <c r="F53" i="1"/>
  <c r="D53" i="1" s="1"/>
  <c r="E54" i="1"/>
  <c r="F54" i="1"/>
  <c r="D54" i="1" s="1"/>
  <c r="F55" i="1"/>
  <c r="D55" i="1" s="1"/>
  <c r="E55" i="1"/>
  <c r="E56" i="1"/>
  <c r="F56" i="1"/>
  <c r="D56" i="1" s="1"/>
  <c r="E57" i="1"/>
  <c r="F57" i="1"/>
  <c r="D57" i="1" s="1"/>
  <c r="F58" i="1"/>
  <c r="D58" i="1" s="1"/>
  <c r="E58" i="1"/>
  <c r="E59" i="1"/>
  <c r="F59" i="1"/>
  <c r="D59" i="1" s="1"/>
  <c r="F60" i="1"/>
  <c r="D60" i="1" s="1"/>
  <c r="E60" i="1"/>
  <c r="E61" i="1"/>
  <c r="F61" i="1"/>
  <c r="D61" i="1" s="1"/>
  <c r="E62" i="1"/>
  <c r="F62" i="1"/>
  <c r="D62" i="1" s="1"/>
  <c r="E63" i="1"/>
  <c r="F63" i="1"/>
  <c r="D63" i="1" s="1"/>
  <c r="E64" i="1"/>
  <c r="F64" i="1"/>
  <c r="D64" i="1" s="1"/>
  <c r="E65" i="1"/>
  <c r="F65" i="1"/>
  <c r="D65" i="1" s="1"/>
  <c r="E66" i="1"/>
  <c r="F66" i="1"/>
  <c r="D66" i="1" s="1"/>
  <c r="E67" i="1"/>
  <c r="F67" i="1"/>
  <c r="D67" i="1" s="1"/>
  <c r="F68" i="1"/>
  <c r="D68" i="1" s="1"/>
  <c r="E68" i="1"/>
  <c r="F69" i="1"/>
  <c r="D69" i="1" s="1"/>
  <c r="E69" i="1"/>
  <c r="E70" i="1"/>
  <c r="F70" i="1"/>
  <c r="D70" i="1" s="1"/>
  <c r="E71" i="1"/>
  <c r="F71" i="1"/>
  <c r="D71" i="1" s="1"/>
  <c r="E74" i="1"/>
  <c r="F74" i="1"/>
  <c r="F78" i="1"/>
  <c r="E78" i="1"/>
  <c r="F79" i="1"/>
  <c r="E79" i="1"/>
  <c r="D79" i="1"/>
  <c r="E110" i="1"/>
  <c r="F110" i="1"/>
  <c r="F84" i="1"/>
  <c r="D84" i="1" s="1"/>
  <c r="F106" i="1"/>
  <c r="F111" i="1"/>
  <c r="D111" i="1" s="1"/>
  <c r="D110" i="1"/>
  <c r="D83" i="1"/>
  <c r="D30" i="1"/>
  <c r="D80" i="1"/>
  <c r="D74" i="1"/>
  <c r="D103" i="1"/>
  <c r="F87" i="1"/>
  <c r="E87" i="1"/>
  <c r="D87" i="1"/>
  <c r="F89" i="1"/>
  <c r="D89" i="1" s="1"/>
  <c r="E89" i="1"/>
  <c r="F90" i="1"/>
  <c r="D90" i="1" s="1"/>
  <c r="E90" i="1"/>
  <c r="F92" i="1"/>
  <c r="E92" i="1"/>
  <c r="D92" i="1"/>
  <c r="D106" i="1"/>
  <c r="E106" i="1"/>
  <c r="F109" i="1"/>
  <c r="E108" i="1"/>
  <c r="E112" i="1"/>
  <c r="F113" i="1"/>
  <c r="D86" i="1"/>
  <c r="D85" i="1"/>
  <c r="D78" i="1"/>
  <c r="D77" i="1"/>
  <c r="D36" i="1"/>
  <c r="D35" i="1"/>
  <c r="D120" i="1" l="1"/>
  <c r="D73" i="1"/>
  <c r="D18" i="1"/>
  <c r="D19" i="1"/>
  <c r="D105" i="1"/>
  <c r="D134" i="1"/>
  <c r="D135" i="1"/>
  <c r="D108" i="1"/>
  <c r="D109" i="1"/>
  <c r="D112" i="1"/>
  <c r="D113" i="1"/>
</calcChain>
</file>

<file path=xl/sharedStrings.xml><?xml version="1.0" encoding="utf-8"?>
<sst xmlns="http://schemas.openxmlformats.org/spreadsheetml/2006/main" count="277" uniqueCount="274">
  <si>
    <t>TH 2000 MF</t>
  </si>
  <si>
    <t>VBOX 1100</t>
  </si>
  <si>
    <t>VBOX 1100 E. VBOX 1100 E, CAJA DE PASO PARA EXTERIORES 12X12X6 CM,IP 66, MONTAJE PARED O TECHO</t>
  </si>
  <si>
    <t>VBOX 1100 E</t>
  </si>
  <si>
    <t>XTR 1004</t>
  </si>
  <si>
    <t>SIR 2000</t>
  </si>
  <si>
    <t>AMC 421</t>
  </si>
  <si>
    <t>SAV 420C</t>
  </si>
  <si>
    <t>DFC 421</t>
  </si>
  <si>
    <t>XAS SOBREPOR</t>
  </si>
  <si>
    <t>XEP 4004 SMART</t>
  </si>
  <si>
    <t>DTC 421</t>
  </si>
  <si>
    <t>MDI 521</t>
  </si>
  <si>
    <t>XAR 3060 UN</t>
  </si>
  <si>
    <t>DTE 521</t>
  </si>
  <si>
    <t>AME566</t>
  </si>
  <si>
    <t>MIO 521</t>
  </si>
  <si>
    <t>IVP 8000 PET</t>
  </si>
  <si>
    <t>XAT 4000 LCD</t>
  </si>
  <si>
    <t>IVA 3070 X</t>
  </si>
  <si>
    <t>GW 521</t>
  </si>
  <si>
    <t>IVP 9000 MW MASK</t>
  </si>
  <si>
    <t>IVP 7000 MW EX</t>
  </si>
  <si>
    <t>IVA 7100 QUAD</t>
  </si>
  <si>
    <t>IVP 8000 EX</t>
  </si>
  <si>
    <t>XAT 8000 EXP</t>
  </si>
  <si>
    <t>XG 4G</t>
  </si>
  <si>
    <t>IVA 7100 HEXA</t>
  </si>
  <si>
    <t>COMUNIC 16</t>
  </si>
  <si>
    <t>XPE1013 PLUS ID</t>
  </si>
  <si>
    <t>AMT 2018 E SMART</t>
  </si>
  <si>
    <t>COLLECTIVE 4I</t>
  </si>
  <si>
    <t>COLLECTIVE 8I</t>
  </si>
  <si>
    <t>ITC 5100</t>
  </si>
  <si>
    <t>MIP 1000 IP</t>
  </si>
  <si>
    <t>AMT 8000 PRO</t>
  </si>
  <si>
    <t>COLLECTIVE 16I</t>
  </si>
  <si>
    <t>FNA520</t>
  </si>
  <si>
    <t>TVIP 3000 WIFI</t>
  </si>
  <si>
    <t>XPE 1013 BIO</t>
  </si>
  <si>
    <t>COLLECTIVE 24I</t>
  </si>
  <si>
    <t>REMOTE</t>
  </si>
  <si>
    <t>KIT-AMT 2018 E SMART 4G</t>
  </si>
  <si>
    <t>DFL 3100</t>
  </si>
  <si>
    <t>XPE 3200 PLUS IP</t>
  </si>
  <si>
    <t>CIE 1250</t>
  </si>
  <si>
    <t>UNNITI 1000</t>
  </si>
  <si>
    <t>AMT 1000 SMART. CENTRAL DE ALARMA 24 ZONAS INALÁMBRICAS Y 8 ZONAS CABLEADAS EN PLACA</t>
  </si>
  <si>
    <t>AME 521</t>
  </si>
  <si>
    <t>SAV 521E</t>
  </si>
  <si>
    <t>CIE1060</t>
  </si>
  <si>
    <t>XAC 4003 SMART</t>
  </si>
  <si>
    <t>TH 1000 MF</t>
  </si>
  <si>
    <t xml:space="preserve">XTR 1000 </t>
  </si>
  <si>
    <t>TX 8000</t>
  </si>
  <si>
    <t>PGM 8000</t>
  </si>
  <si>
    <t>PP 200</t>
  </si>
  <si>
    <t>IVP 3011 TETO</t>
  </si>
  <si>
    <t>CP 352</t>
  </si>
  <si>
    <t>Módulo de comunicación Ethernet. Compatible con panel AMT-4010.</t>
  </si>
  <si>
    <t>XID 1000</t>
  </si>
  <si>
    <t>SIR 1000</t>
  </si>
  <si>
    <t>CONTROL REMOTO 3 BOTONES, COMPATIBLE CON CERCOS ELÉCTRICOS, PANELES AMT 1000, AMT 2018, AMT 4010</t>
  </si>
  <si>
    <t>XAC 4000 SMART</t>
  </si>
  <si>
    <t>IVP 1000 PET</t>
  </si>
  <si>
    <t>TX 4020 SMART</t>
  </si>
  <si>
    <t>XAS SMART</t>
  </si>
  <si>
    <t>XAC 8000 EXP</t>
  </si>
  <si>
    <t>TDMI 300</t>
  </si>
  <si>
    <t>XAS 8000</t>
  </si>
  <si>
    <t>IVP 1000 PET SMART</t>
  </si>
  <si>
    <t>XAR 4000 SMART</t>
  </si>
  <si>
    <t>IPR 8010</t>
  </si>
  <si>
    <t>XSS 8000</t>
  </si>
  <si>
    <t>XG 3G</t>
  </si>
  <si>
    <t>16 RM CP 48/112 BAL</t>
  </si>
  <si>
    <t>ANM 24 NET</t>
  </si>
  <si>
    <t>CIC 06L</t>
  </si>
  <si>
    <t>COLLECTIVE 12I</t>
  </si>
  <si>
    <t>KIT-AMT 1000 SMART 4G</t>
  </si>
  <si>
    <t>CIE 1125</t>
  </si>
  <si>
    <t>COSTO</t>
  </si>
  <si>
    <t>Columna8</t>
  </si>
  <si>
    <t>Columna7</t>
  </si>
  <si>
    <t>COSTO +IVA</t>
  </si>
  <si>
    <t>Columna5</t>
  </si>
  <si>
    <t>Columna2</t>
  </si>
  <si>
    <t>PRECIO CLIENTE FINAL (CON IVA)</t>
  </si>
  <si>
    <t>PRECIO TIENDA (CON IVA)</t>
  </si>
  <si>
    <t>PRECIO INSTALLER (CON IVA)</t>
  </si>
  <si>
    <t>DESCRIPCIÓN</t>
  </si>
  <si>
    <t>REFERENCIA</t>
  </si>
  <si>
    <t>CENTRAL DE ALARMA DE INCENDIO CONVENCIONAL DE 6 LAZOS, 120 DISPOSITIVOS. TEMPORIZACIÓN PARA DISPARO DE LA ALARMA GENERAL, 2 SALIDAS AUXILIARES DE CONTACTO SECO (FALLA Y ALARMA), MONITOREO DE LAZO Y SIRENA, ALIMENTACIÓN 100 - 240 VAC, INCLUYE 2 BATERÍAS 12VDC - 1.2AH.</t>
  </si>
  <si>
    <t>DETECTOR DE HUMO CONVENCIONAL</t>
  </si>
  <si>
    <t>DTC 421 - DETECTOR DE TEMPERATURA CONVENCIONAL UNIVERSAL</t>
  </si>
  <si>
    <t>ACCIONADOR MANUAL CONVENCIONAL</t>
  </si>
  <si>
    <t>AMC 466</t>
  </si>
  <si>
    <t>ACCIONADOR MANUAL CONVENCIONAL PARA EXTERIOR IP66, INCLUYE STOPPER.</t>
  </si>
  <si>
    <t>SEÑALIZADOR AUDIO VISUAL CONVENCIONAL</t>
  </si>
  <si>
    <t>CENTRAL DE ALARMA DE INCENDIO DIRECCIONABLE DE 1 LAZO, 60 DISPOSITIVOS. ALIMENTACIÓN 120-240VAC. INCLUYE 2 BATERÍAS 12VDC-2.3AH. CONFIGURACIÓN Y NOTIFICACIÓN A TRAVÉS DE APLICATIVO MÓVIL GRATUITO. CONFIGURACIÓN VÍA WIFI</t>
  </si>
  <si>
    <t>CENTRAL DE ALARMA DE INCENDIO DIRECCIONABLE DE 1 LAZO, 125 DISPOSITIVOS. PERMITE LA AGRUPACIÓN DE SENSORES HASTA 250 ZONAS Y CREACIÓN DE HASTA 100 REGLAS DE ACCIONAMIENTO, SOPORTA CONEXIÓN CON HASTA 4 REPETIDORES, ALIMENTACIÓN 100 - 240 VAC, INTERCONEXIÓN CON HASTA 16 PANELES DE LA LÍNEA CIE, INCLUYE 2 BATERÍAS 12VDC - 2.3AH.</t>
  </si>
  <si>
    <t>CENTRAL DE ALARMA DE INCENDIO DIRECCIONABLE DE 1 LAZO, 250 DISPOSITIVOS. PERMITE LA AGRUPACIÓN DE SENSORES HASTA 250 ZONAS Y CREACIÓN DE HASTA 100 REGLAS DE ACCIONAMIENTO, SOPORTA CONEXIÓN CON HASTA 4 REPETIDORES, ALIMENTACIÓN 100 - 240 VAC, INTERCONEXIÓN CON HASTA 16 PANELES DE LA LÍNEA CIE, INCLUYE 2 BATERÍAS 12VDC - 2.3AH.</t>
  </si>
  <si>
    <t>CIE 2500</t>
  </si>
  <si>
    <t>CENTRAL DE ALARMA DE INCENDIO DIRECCIONABLE DE 2 LAZOS, CADA LAZO DE 250 DISPOSITIVOS, (500 DISPOSITIVOS EN TOTAL).  PERMITE LA AGRUPACIÓN DE SENSORES HASTA 250 ZONAS Y CREACIÓN DE HASTA 100 REGLAS DE ACCIONAMIENTO, SOPORTA CONEXIÓN CON HASTA 4 REPETIDORES, ALIMENTACIÓN 100 - 240 VAC, INTERCONEXIÓN CON HASTA 16 PANELES DE LA LÍNEA CIE, INCLUYE 2 BATERÍAS 12VDC - 2.3AH.</t>
  </si>
  <si>
    <t>DFE 521</t>
  </si>
  <si>
    <t>DETECTOR DE HUMO DIRECCIONABLE</t>
  </si>
  <si>
    <t>DETECTOR DE TEMPERATURA DIRECCIONABLE</t>
  </si>
  <si>
    <t>ACCIONADOR MANUAL DIRECCIONABLE</t>
  </si>
  <si>
    <t xml:space="preserve">	
AME 566. PROPULSOR MANUAL DIRECCIONABLE PARA EXTERIOR IP66, INCLUYE STOPPER
	</t>
  </si>
  <si>
    <t>SEÑALIZADOR AUDIOVISUAL DIRECCIONABLE</t>
  </si>
  <si>
    <t>MÓDULO DE ENTRADA DIRECCIONABLE (ENTRADA DE CONTACTO SECO)</t>
  </si>
  <si>
    <t>MÓDULO DIRECCIONABLE DE ENTRADA Y/O SALIDA</t>
  </si>
  <si>
    <t>MODULO GATEWAY, PERMITE COMUNICACIÓN MODBUS TCP Y CONTAC ID PARA AUTOMATIZACIÓN,  GESTIÓN Y TRANSMISIÓN DE SEÑALES A LA CENTRAL DE MONITOREO. COMPATIBLE CON LAS CENTRALES DIRECCIONABLES: CIE 1125/1250/2500</t>
  </si>
  <si>
    <t>FUENTE DE ALIMENTACIÓN AUXILIAR, PERMITE LA ALIMENTACIÓN DE SIRENAS CONVENCIONALES, DIRECCIONABLES Y MÓDULOS DE SALIDA, CON MONITOREO CONTRA CORTOCIRCUITO.</t>
  </si>
  <si>
    <t>BARRERA DE HUMO CONVENCIONAL, DISTANCIA DE DETECCIÓN GRADUABLE ENTRE 8M-60MTS.  PARA LOGRAR ALCANCE DE HASTA 100 MTS, SE DEBE ADICIONAR EL CONJUNTO DE ESPEJOS REF. 4610026.REQUIERE MÓDULO MIO 521 (ALARMAS) Y MDI 521 (FALLAS). VOLTAJE DE OPERACIÓN 20V-28V. PARA LOGRAR ALCANCE DE HASTA 100 MTS, SE DEBE ADICIONAR EL CONJUNTO DE ESPEJOS REF. 4610026</t>
  </si>
  <si>
    <t>CONJUNTO DE 4 ESPEJOS REFLECTORES BEAM PARA USO CON DFL 3100, PARA LOGRAR UN ALCANCE DE HASTA 100MTS</t>
  </si>
  <si>
    <t>LLAVE PARA ACCIONADOR/PROPULSOR DE INCENDIO (CONVENCIONAL Y DIRECCIONABLE)</t>
  </si>
  <si>
    <t>03NTON-3012V03A</t>
  </si>
  <si>
    <t>BATERIA NEITON PEQUEÑA SLM12V/2,3 AH</t>
  </si>
  <si>
    <t>KIT INCENDIO CIC06L</t>
  </si>
  <si>
    <t>KIT INCENDIO CIC 06L. INCLUYE: DFC 421 X5, AMC 421 X2, SAV 420C X2, MIO 521 X2, LLAVE-EST X5</t>
  </si>
  <si>
    <t>KIT INCENDIO CIE1060</t>
  </si>
  <si>
    <t>KIT BÁSICO INCENDIO CIE 1060. INCL PANEL, DETECTOR DE HUMO, DETECTOR DE TEMPERATURA, SIRENA, ESTACIÓN MANUAL</t>
  </si>
  <si>
    <t>KIT INCENDIO CIE1125</t>
  </si>
  <si>
    <t>KIT BÁSICO INCENDIO CIE 1125. INCL PANEL (1), DETECTOR DE HUMO (2), DETECTOR DE TEMPERATURA (1), SIRENA (2), ESTACIÓN MANUAL (2), MODULO DE ENTRADA</t>
  </si>
  <si>
    <t>KIT INCENDIO CIE1250</t>
  </si>
  <si>
    <t>KIT INCENDIO CIE 1250. INCLUYE: DFE 521 X5, DTE 521 X5, AME 521 X2, AME 566 X2, SAV 521E X2, MIO 521 X2, LLAVE-EST X5</t>
  </si>
  <si>
    <t>ELC 6012 EXP</t>
  </si>
  <si>
    <t>ELECTRIFICADOR PARA CERCA ELÉCTRICA DE 7KM LINEALES, 20.000 VOLTIOS, , SOPORTA OCHO ZONAS; SIETE INALÁMBRICAS Y UNA CABLEADA&lt;0,7 JOULES.AJUSTE SE SENSIBILIDAD</t>
  </si>
  <si>
    <t>ELC 6012 NET EXP</t>
  </si>
  <si>
    <t>ELECTRIFICADOR PARA CERCA ELÉCTRICA DE 7KM LINEALES, 20.000 VOLTIOS, SOPORTA WIFI PARA CONECTIVIDAD A TRAVÉS DE APLICATIVO MÓVIL, SOPORTA OCHO ZONAS; SIETE INALÁMBRICAS Y UNA CABLEADA&lt;0,7 JOULES.</t>
  </si>
  <si>
    <t>KIT DE ALARMA INALÁMBRICO CON CONEXIÓN VÍA NUBE QUE PERMITE CONFIGURACIÓN E INTERACCIÓN POR APLICACIÓN. POSEE 24 ZONAS, SIENDO 4 CABLEADAS Y 20 INALÁMBRICAS. INCLUYE 1 CENTRAL DE ALARMA ANM24 NET, 1 SIRENA SIR 1000 BLANCA, 2 CONTROL REMOTO XAC 4000 SMART, 2 SENSORES MAGNÉTICOS XAS 4010 SMART, 1 SENSOR DE MOVIMIENTO IVP 1000 PET SMART. (APPS AMT REMOTO MOBILE Y AMT MOBILE V3). COMPATIBLE CON SENSORES INALÁMBRICOS SERIE 4000</t>
  </si>
  <si>
    <t>AMT 1000 SMART EXP</t>
  </si>
  <si>
    <r>
      <t>PANEL DE ALARMA MONITOREADO DE HASTA 36 ZONAS, MÁXIMO 24 ZONAS INALÁMBRICAS.</t>
    </r>
    <r>
      <rPr>
        <b/>
        <sz val="10"/>
        <rFont val="Century Gothic"/>
        <family val="2"/>
      </rPr>
      <t xml:space="preserve"> INCLUYE FUENTE Y RECEPTOR INALÁMBRICO</t>
    </r>
    <r>
      <rPr>
        <sz val="10"/>
        <rFont val="Century Gothic"/>
        <family val="2"/>
      </rPr>
      <t xml:space="preserve">
COMPATIBLE CON BATERÍAS 12V/7A (NO INCLUIDA). PROTOCOLO DE COMUNICACIÓN CONTAC ID.</t>
    </r>
  </si>
  <si>
    <r>
      <t xml:space="preserve">PANEL DE ALARMA MONITOREADO DE HASTA 48 ZONAS, MÁXIMO 24 ZONAS INALÁMBRICAS. </t>
    </r>
    <r>
      <rPr>
        <b/>
        <sz val="10"/>
        <rFont val="Century Gothic"/>
        <family val="2"/>
      </rPr>
      <t>INCLUYE FUENTE, RECEPTOR INALÁMBRICO Y TECLADO.</t>
    </r>
    <r>
      <rPr>
        <sz val="10"/>
        <rFont val="Century Gothic"/>
        <family val="2"/>
      </rPr>
      <t xml:space="preserve">
COMPATIBLE CON BATERÍAS 12V/7A (NO INCLUIDA). PROTOCOLO DE COMUNICACIÓN CONTAC ID.</t>
    </r>
  </si>
  <si>
    <t>AMT-4010 SMART</t>
  </si>
  <si>
    <r>
      <t xml:space="preserve">PANEL DE ALARMA, SOPORTA 64 ZONAS, 8 CABLEADAS. </t>
    </r>
    <r>
      <rPr>
        <b/>
        <sz val="10"/>
        <rFont val="Century Gothic"/>
        <family val="2"/>
      </rPr>
      <t>INCLUYE TECLADO</t>
    </r>
    <r>
      <rPr>
        <sz val="10"/>
        <rFont val="Century Gothic"/>
        <family val="2"/>
      </rPr>
      <t>, ALIMENTACIÓN A 110VAC, COMPATIBLE CON BATERÍAS 12V/4A O 12V/7A (NO INCLUIDA). PROTOCOLO DE COMUNICACIÓN CONTAC ID. NECESITA RECEPTOR INALÁMBRICO XAR 4000 SMART.</t>
    </r>
  </si>
  <si>
    <t>RECEPTOR INALÁMBRICO COMPATIBLE CON PANELES AMT 1000, AMT 2018, AMT-4010, CONEXIÓN POR RS485</t>
  </si>
  <si>
    <t>XEZ 4108 SMART</t>
  </si>
  <si>
    <t xml:space="preserve">MÓDULO DE EXPANSIÓN DE ZONAS COMPATIBLE CON LAS CENTRALES DE ALARMA AMT 4010 SMART Y AMT 4010 SMART NET </t>
  </si>
  <si>
    <t>EXPANSOR DE PGM COMPATIBLE CON PANEL AMT 4010</t>
  </si>
  <si>
    <t>TECLADO CABLEADO LCD COMPATIBLE CON PANELES AMT 1000, AMT 2018, AMT 4010</t>
  </si>
  <si>
    <t>CONTACTO MAGNÉTICO INALÁMBRICO. COMPATIBLE CON ANM 24 NET, AMT 1000, AMT 2018, AMT-4010</t>
  </si>
  <si>
    <t>SENSOR DE MOVIMIENTO INFRARROJO PASIVO INALÁMBRICO ANTI MASCOTA DE HASTA 20KG, USO INTERIOR. COMPATIBLE CON ANM 24 NET, AMT 1000, AMT 2018, AMT-4010</t>
  </si>
  <si>
    <t>IVP 5000 SMART LD</t>
  </si>
  <si>
    <t>SENSOR DE MOVIMIENTO INFRARROJO PASIVO INALÁMBRICO ANTIMASCOTA DE HASTA 15KG, USO INTERIOR, COMPATIBLE CON ANM 24 NET, AMT 1000, AMT 2018, AMT-4010</t>
  </si>
  <si>
    <t>IVP 7000 SMART EX</t>
  </si>
  <si>
    <t>SENSOR DE MOVIMIENTO INALÁMBRICO DE DOBLE PIR CON TECNOLOGÍA SMART, ANTIMASCOTA DE HASTA 30KG, USO INTERIOR O EXTERIOR (IP54)</t>
  </si>
  <si>
    <t>TRANSMISOR INALÁMBRICO UNIVERSAL DISEÑADO PARA BRINDAR A LOS SENSORES CON CABLE LA FACILIDAD DE TENER UNA COMUNICACIÓN INALÁMBRICA. COMPATIBLE CON ANM 24 NET, AMT 1000, AMT 2018, AMT-4010</t>
  </si>
  <si>
    <t xml:space="preserve">RECEPTOR UNIVERSAL INALÁMBRICO, 2 SALIDAS INDEPENDIENTES DE FORMA C, 2 MODOS DE OPERACIÓN (PULSO O RETENCIÓN), CAPACIDAD PARA 60 DISPOSITIVOS INALÁMBRICOS. </t>
  </si>
  <si>
    <t>XAC 4003 SMART. LLAVERO INALAMBRICO 3 BOTONES, COMPATIBLE CON CERCOS ELÉCTRICOS, PANELES AMT 1000, AMT 2018, AMT 4010</t>
  </si>
  <si>
    <t>XAC 4004 SMART</t>
  </si>
  <si>
    <t>XAC 4004 SMART. LLAVERO INALAMBRICO 4 BOTONES, COMPATIBLE CON CERCOS ELÉCTRICOS, PANELES AMT 1000, AMT 2018, AMT 4011</t>
  </si>
  <si>
    <t>SENSOR DE MOVIMIENTO INFRARROJO PASIVO ANTI MASCOTA DE HASTA 20KG, USO INTERIOR. COMPATIBLE CON PANELES CABLEADOS INTELBRAS Y OTRAS MARCAS.</t>
  </si>
  <si>
    <t>SENSOR DE MOVIMIENTO PIR DE 360° PARA TECHO.</t>
  </si>
  <si>
    <t>IVP 5000 LD</t>
  </si>
  <si>
    <t>SENSOR DE MOVIMIENTO INFRARROJO PASIVO ANTIMASCOTA DE HASTA 15KG, USO INTERIOR, COMPATIBLE CON PANELES CABLEADOS INTELBRAS Y OTRAS MARCAS</t>
  </si>
  <si>
    <t>IVP 5000 MW LD</t>
  </si>
  <si>
    <t>SENSOR DE MOVIMIENTO DOBLE TECNOLOGIA CON MICROONDAS CABLEADO COMPATIBLE CON PANELES CABLEADOS INTELBRAS Y OTRAS MARCAS</t>
  </si>
  <si>
    <t>IVP 7000 MW MASK LD</t>
  </si>
  <si>
    <t>SENSOR DE MOVIMIENTO DOBLE TECNOLOGÍA (PIR - MICROONDAS), ANTIMASCOTA DE HASTA 20KG, USO INTERIOR O EXTERIOR</t>
  </si>
  <si>
    <t>SENSOR DE MOVIMIENTO DOBLE TECNOLOGÍA (PIR - MICROONDAS), ANTI MASCOTA DE HASTA 30KG, USO INTERIOR O EXTERIOR (IP54)</t>
  </si>
  <si>
    <t>SENSOR DE MOVIMIENTO MICROONDAS CON ANTI CAMUFLAJE, ANTI-MASKING, ANTI-MANIPULACIÓN, COMPENSACIÓN DE TEMPERATURA AUTOMÁTICA, INMUNIDAD RFI/EMI, ALCANCE 18M, ANTI MASCOTAS DE HASTA 10K, TAMPER Y ACELERÓMETRO.</t>
  </si>
  <si>
    <t>MINI SENSOR MAGNÉTICO CABLEADO, IDEAL PARA TAMPER CON EL PANEL AMT 1000 Y AMT 2018 (PAQUETE DE 5 UNIDADES)</t>
  </si>
  <si>
    <t xml:space="preserve">SIRENA CABLEADA DE 1 TONO, 105 DB. ALIMENTACIÓN 9 ~ 15 VDC, CONSUMO DE CORRIENTE 0,2 A. </t>
  </si>
  <si>
    <t xml:space="preserve">SIRENA CABLEADA DE 1 TONO, 115 DB. ALIMENTACIÓN 9 ~ 15 VDC, CONSUMO DE CORRIENTE 1 A. </t>
  </si>
  <si>
    <t>AMT-8000 LITE</t>
  </si>
  <si>
    <t xml:space="preserve">PANEL DE ALARMA INALÁMBRICO DE 64 ZONAS, INCLUYE COMUNICADOR ETHERNET, BATERÍAS, FUENTE DE PODER Y SIRENA. </t>
  </si>
  <si>
    <t>PANEL DE ALARMA, 64 ZONAS INALÁMBRICAS, INCLUYE SIRENA, FUENTE DE PODER Y COMUNICADOR ETHERNET Y WIFI</t>
  </si>
  <si>
    <t>BATERIA 18650  3.7V</t>
  </si>
  <si>
    <t>BATERIA RECARGABLE PARA PANELES SERIE 8000  3,7V CON CONECTOR UNIVERSAL</t>
  </si>
  <si>
    <t>TECLADO INALAMBRICO PARA PANEL DE ALARMA AMT-8000, HASTA 16 TECLADOS. MAXIMO 600 METROS LINEA DE VISTA O 1200 METROS LINEA DE VISTA USANDO REPETIDOR.</t>
  </si>
  <si>
    <t>SENSOR PASIVO INALÁMBRICO PARA INTERIOR, ANTI MASCOTA DE HASTA 20KG. COMPATIBLE CON PANELES SERIE 8000</t>
  </si>
  <si>
    <t>SENSOR PASIVO INALÁMBRICO PARA EXTERIOR, INCORPORA DOS CANALES PIR Y FUNCIÓN PET HASTA 30KG. COMUNICACIÓN BIDIRECCIONAL CON FUNCIÓN ANTI SABOTAJE POR INCLINACIÓN. COMPATIBLE CON PANELES SERIE 8000</t>
  </si>
  <si>
    <t>REP 8000</t>
  </si>
  <si>
    <t>REPETIDOR INALÁMBRICO, MÁXIMO 4 POR PANEL, CONEXIÓN INALÁMBRICA AL PANEL. EXTIENDE LA SEÑAL INALÁMBRICA 600 METROS LÍNEA DE VISTA. COMPATIBLE CON PANELES SERIE 8000</t>
  </si>
  <si>
    <t>LLAVERO INALAMBRICO. ALCANCE DE HASTA 200M LÍNEA DE VISTA. MÁXIMO 98 CONTROLES POR PANEL. COMPATIBLE CON PANEL AMT 8000</t>
  </si>
  <si>
    <t>SENSOR MAGNÉTICO INALÁMBRICO. COMPATIBLE CON PANEL AMT 8000</t>
  </si>
  <si>
    <t>XSS 8000. SIRENA INALAMBRICA PARA PANEL DE ALARMA AMT-8000, USA BATERÍA ER 34615M (INCLUIDA), HASTA 1000 METROS LINEA DE VISTA</t>
  </si>
  <si>
    <t>BATERIA ER 34615 3,6V</t>
  </si>
  <si>
    <t>BATERIA NO RECARGABLE PARA SIRENAS INALAMBRICAS XSS 8000  3,6V CON CONECTOR UNIVERSAL</t>
  </si>
  <si>
    <t>TRANSMISOR UNIVERSAL, ENTRADA DE CONTACTO SECO NC PARA SENSORES CABLEADOS. COMPATIBLE CON PANELES SERIE 8000</t>
  </si>
  <si>
    <t>MODULO EXPANSOR DE PGM INALÁMBRICO, EXPANSIÓN DE 1 SALIDA PGM (SALIDA CONTACTO SECO), BATERÍA DE ENERGÍA RF EN CASO DE FALLA DE ENERGÍA.</t>
  </si>
  <si>
    <t>MÓDULO DE COMUNICACIÓN 4G COMPATIBLE CON AMT 1000 SMART, AMT 2018 E SMART, AMT 8000 LITE AMT 8000 PRO . SOPORTA DOBLE SIMCARD DE CUALQUIER OPERADOR. COMPATIBLE CON RECEPTOR DE EVENTOS INTELBRAS Y SOFTWARE DE MONITOREO HOMOLOGADOS. INCLUYE ANTENA.</t>
  </si>
  <si>
    <t>KIT-AMT 1000 SMART CON CAJA</t>
  </si>
  <si>
    <t>KIT ALARMA INALÁMBRICA 24 ZONAS. INCLUYE. AMT 1000 SMART X1, XAC 4003 SMART X1, IVP 1000 PET SMART X1, XAS SMART X1, SIR 1000 X1,CAJA TIPO MALETIN X1.</t>
  </si>
  <si>
    <t>KIT AMT 1000 SMART</t>
  </si>
  <si>
    <t>KIT ALARMA INALÁMBRICA 24 ZONAS. INCL. AMT 1000 SMART X1,XAS SMART X1,IVP 1000 PET SMART X1,XAC 4003 SMART X1,SIR 2000 X1, BATERIA 12/7 X1.</t>
  </si>
  <si>
    <t>KIT AMT 2018 E SMART</t>
  </si>
  <si>
    <t>KIT ALARMA AMT INALÁMBRICA  INCLUYE AMT 2018 E SMART X1, SIR 2000 X1, XAS SMART X1, XAC 4003 SMART X1, IVP 1000 PET SMART X1, BATERIA 12V-7A X1.</t>
  </si>
  <si>
    <t>KIT ALARMA AMT INALÁMBRICA  INCLUYE AMT 2018 E SMART X1, SIR 2000 X1, XAS SMART X1, XAC 4003 SMART X1, IVP 1000 PET SMART X1, XG 4G X1, BATERIA 12V-7A X1.</t>
  </si>
  <si>
    <t>KIT-AMT 2018 E SMART 4G LD</t>
  </si>
  <si>
    <t>KIT ALARMA AMT INALÁMBRICA  INCLUYE AMT 2018 E SMART X1, SIR 2000 X1, XAS SMART X1, XAC 4003 SMART X1, IVP 5000 SMART LD X1, XG 4G X1, BATERIA 12V-7A X1.</t>
  </si>
  <si>
    <t>KIT-OR-INTELBRAS</t>
  </si>
  <si>
    <t>KIT OPERADOR REMOTO INCLUYE XAR 3060 UN X, XAC 4003 SMART, 2 Modos de Programación, Admite hasta 60 Controles.</t>
  </si>
  <si>
    <t>IVA 5015 DIGITAL</t>
  </si>
  <si>
    <t>BARRERA FOTOELÉCTRICA DE 1 HAS, 30M EXTERIOR, 15M INTERIOR, GRADO DE PROTECCIÓN IP55</t>
  </si>
  <si>
    <t>BARRERA FOTOELÉCTRICA DE 2 HACES, 70M EXTERIOR, 190M INTERIOR, GRADO DE PROTECCIÓN IP54.</t>
  </si>
  <si>
    <t>BARRERA FOTOELÉCTRICA DE 4 HACES, 100M CON CABLE SINC - 60 METROS SIN CABLE SINC, ARTICULACIÓN HORIZONTAL DE 360°,  2 CANALES DE FRECUENCIA PARA APILAMIENTO, GRADO DE PROTECCIÓN IP65.</t>
  </si>
  <si>
    <t>BARRERA FOTOELÉCTRICA DE 6 HACES, 100M CON CABLE SINC - 60 METROS SIN CABLE SINC, ARTICULACIÓN HORIZONTAL DE 360°,  2 CANALES DE FRECUENCIA PARA APILAMIENTO, GRADO DE PROTECCIÓN IP65</t>
  </si>
  <si>
    <t>IVA 7100 OCTA</t>
  </si>
  <si>
    <t>BARRERA FOTOELÉCTRICA DE 8 HACES, 100M CON CABLE SINC - 60 METROS SIN CABLE SINC, ARTICULACIÓN HORIZONTAL DE 360°,  2 CANALES DE FRECUENCIA PARA APILAMIENTO, GRADO DE PROTECCIÓN IP65</t>
  </si>
  <si>
    <t>IVA 8040 AT</t>
  </si>
  <si>
    <t>BARRERA FOTOELÉCTRICA INALAMBRICA DE 2 HACES CON SOPORTE ARTICULADO QUE SE ADAPTA A CUALQUIER INSTALACION, 40M EXT, 60M INT, GRADO DE PROTECCIÓN IP55, COMPATIBLE AMT-8000/AMT-8000 LITE/AMT-8000 PRO</t>
  </si>
  <si>
    <t>CITÓFONO RESIDENCIAL, CITÓFONO (EXTERNO) + TELÉFONO (INTERNO), ABRE HASTA 2 CERRADURAS ELÉCTRICAS (12 V) Y RELÉ (NA O NC), INSTALACIÓN CON SÓLO 2 CABLES ENTRE MÓDULO EXTERNO Y MÓDULO INTERNO. SOPORTA UN TOTAL DE 3 TELÉFONOS INTERNOS IPR 8000 IN.</t>
  </si>
  <si>
    <t>CENTRAL DE CITOFONÍA COLECTIVA, 4 BOTONES PARA COMUNICACIÓN DIRECTA CON LOS MÓDULOS INTERNOS (EXTENSIONES), LECTOR DE PROXIMIDAD RFID (MIFARE) PARA APERTURA DE CERRADURA, INSTALACIÓN DIRECTA A LA RED AC (100 – 240 V AUTOMÁTICO), ALTAVOZ HALF DÚPLEX, LLAMADAS ENTRE EXTENSIONES. COMPATIBLE CON TERMINAL TDMI 300  Y TP 2000</t>
  </si>
  <si>
    <t>CENTRAL DE CITOFONÍA COLECTIVA, 8 BOTONES PARA COMUNICACIÓN DIRECTA CON LOS MÓDULOS INTERNOS (EXTENSIONES), LECTOR DE PROXIMIDAD RFID (MIFARE) PARA APERTURA DE CERRADURA, INSTALACIÓN DIRECTA A LA RED AC (100 – 240 V AUTOMÁTICO), ALTAVOZ HALF DÚPLEX, LLAMADAS ENTRE EXTENSIONES. COMPATIBLE CON TERMINAL TDMI 300  Y TP 2000</t>
  </si>
  <si>
    <t>CENTRAL DE CITOFONÍA COLECTIVA, 12 BOTONES PARA COMUNICACIÓN DIRECTA CON LOS MÓDULOS INTERNOS (EXTENSIONES), LECTOR DE PROXIMIDAD RFID (MIFARE) PARA APERTURA DE CERRADURA, INSTALACIÓN DIRECTA A LA RED AC (100 – 240 V AUTOMÁTICO), ALTAVOZ HALF DÚPLEX, LLAMADAS ENTRE EXTENSIONES. COMPATIBLE CON TERMINAL TDMI 300  Y TP 2000</t>
  </si>
  <si>
    <t>CENTRAL DE CITOFONÍA COLECTIVA, 16 BOTONES PARA COMUNICACIÓN DIRECTA CON LOS MÓDULOS INTERNOS (EXTENSIONES), LECTOR DE PROXIMIDAD RFID (MIFARE) PARA APERTURA DE CERRADURA, INSTALACIÓN DIRECTA A LA RED AC (100 – 240 V AUTOMÁTICO), ALTAVOZ HALF DÚPLEX, LLAMADAS ENTRE EXTENSIONES. COMPATIBLE CON TERMINAL TDMI 300  Y TP 2000</t>
  </si>
  <si>
    <t>CENTRAL DE CITOFONÍA COLECTIVA, 24 BOTONES PARA COMUNICACIÓN DIRECTA CON LOS MÓDULOS INTERNOS (EXTENSIONES), LECTOR DE PROXIMIDAD RFID (MIFARE) PARA APERTURA DE CERRADURA, INSTALACIÓN DIRECTA A LA RED AC (100 – 240 V AUTOMÁTICO), ALTAVOZ HALF DÚPLEX, LLAMADAS ENTRE EXTENSIONES. COMPATIBLE CON TERMINAL TDMI 300  Y TP 2000</t>
  </si>
  <si>
    <t xml:space="preserve">CENTRAL DE CITOFONÍA. HASTA 16 EXTENSIONES (APTOS), ALIMENTACIÓN A 110VAC,CON CAPACIDAD HASTA 2 TARJETAS BALANCEADAS O DESBALANCEADAS DE 8 EXTENSIONES C/U (NO INCLUIDAS). </t>
  </si>
  <si>
    <t>8 RM CM 16/48 DESBAL</t>
  </si>
  <si>
    <t>TARJETA DESBALANCEADA DE 8 EXTENSIONES COMPATIBLE ÚNICAMENTE PARA COMUNIC 16 Y 48. USAR CUANDO LA DISTANCIA ENTRE LA CENTRAL TELEFÓNICA Y TERMINALES ES MENOR A 250 METROS.</t>
  </si>
  <si>
    <t>TARJETA BALANCEADA DE 16 EXTENSIONES COMPATIBLE ÚNICAMENTE PARA CP 112., USAR CUANDO LA DISTANCIA ENTRE LA CENTRAL TELEFÓNICA Y TERMINALES ES MENOR A 2500 METROS.</t>
  </si>
  <si>
    <t>TARJETA DE FUENTE CONMUTADA CP 48/CP 112 (CON EMB)</t>
  </si>
  <si>
    <t xml:space="preserve">CENTRAL DE CITOFONÍA. HASTA 356 EXTENSIONES (APTOS), ALIMENTACIÓN A 110VAC, CON CAPACIDAD HASTA 11 TARJETAS BALANCEADAS O DESBALANCEADAS DE 32 EXTENSIONES C/U (NO INCLUIDAS). </t>
  </si>
  <si>
    <t>TELÉFONO PARA CENTRAL DE CITOFONÍA BLANCO, CON TECLA DE MARCACIÓN RÁPIDA PARA REALIZAR LLAMADAS DIRECTAS AL PORTERO EN LA CASETA DE VIGILANCIA Y BOTÓN DE APERTURA RÁPIDA DE PUERTA.COMPATIBLE CON LAS LÍNEAS COLLECTIVE, COMUNIC Y CP. NO REQUIERE ALIMENTACIÓN EXTERNA.</t>
  </si>
  <si>
    <t>TDMI 300 PRETO</t>
  </si>
  <si>
    <t>TELÉFONO PARA CENTRAL DE CITOFONÍA NEGRO, CON TECLA DE MARCACIÓN RÁPIDA PARA REALIZAR LLAMADAS DIRECTAS AL PORTERO EN LA CASETA DE VIGILANCIA Y BOTÓN DE APERTURA RÁPIDA DE PUERTA.COMPATIBLE CON LAS LÍNEAS COLLECTIVE, COMUNIC Y CP. NO REQUIERE ALIMENTACIÓN EXTERNA.</t>
  </si>
  <si>
    <t>KIT-CITOFONIA COLLECTIVE 4</t>
  </si>
  <si>
    <t>KIT CITOFONIA CENTRAL TELEFONICA COLLECTIVE 4i  + TDMI 300 X 4 +TH 2000 MF X 8</t>
  </si>
  <si>
    <t>KIT-CITOFONIA COLLECTIVE 8</t>
  </si>
  <si>
    <t>KIT CITOFONIA CENTRAL TELEFONICA COLLECTIVE 8i  + TDMI 300 X 8 +TH 2000 MF X 16</t>
  </si>
  <si>
    <t>KIT-CITOFONIA COLLECTIVE 12</t>
  </si>
  <si>
    <t>KIT CITOFONIA CENTRAL TELEFONICA COLLECTIVE 12i  + TDMI 300 X 12 +TH 2000 MF X 24</t>
  </si>
  <si>
    <t>KIT-CITOFONIA COLLECTIVE 16</t>
  </si>
  <si>
    <t>KIT CITOFONIA CENTRAL TELEFONICA COLLECTIVE 16i  + TDMI 300 X 16 +TH 2000 MF X 32</t>
  </si>
  <si>
    <t>KIT-CITOFONIA COLLECTIVE 20</t>
  </si>
  <si>
    <t>KIT CITOFONIA CENTRAL TELEFONICA COLLECTIVE 20i  + TDMI 300 X 20 +TH 2000 MF X 40</t>
  </si>
  <si>
    <t>KIT-CITOFONIA COLLECTIVE 24</t>
  </si>
  <si>
    <t>KIT CITOFONIA CENTRAL TELEFONICA COLLECTIVE 24i  + TDMI 300 X 24 +TH 2000 MF X 48</t>
  </si>
  <si>
    <t xml:space="preserve"> XPE1013 FIT ID</t>
  </si>
  <si>
    <t>FRENTE DE CALLE ANALOGO DE 13 TECLAS, CON LECTOR RFID Y/O CONTRASEÑA, COMPATIBLE CON CENTRALES COMUNIC,CP Y CON MIP1000.</t>
  </si>
  <si>
    <t>FRENTE DE CALLE ANALOGO DE 13 TECLAS, COMPATIBLE CON LA LÍNEA COMUNIC, CP, IAD 100, UNNITI 1000. ALIMENTACIÓN EXTERNA 110VAC. CONTROL DE ESCLUSA DE HASTA DOS PUERTAS.</t>
  </si>
  <si>
    <t>FRENTE DE CALLE ANALOGO 13 TECLAS CON BIOMETRIA DIGITAL INTEGRADA, APERTURA MEDIANTE HUELLA, LLAVEROS O TAG, CONTRASEÑA COMPATIBLE CON CENTRALES COMUNIC Y CP.</t>
  </si>
  <si>
    <t>CENTRAL TELEFÓNICA HIBRIDA, SIENDO 30 LÍNEAS DIGITALES, 50 LÍNEAS IP,¹ 6 LÍNEAS ANALÓGICAS, 2 LÍNEAS GSM, 32 EXTENSIONES TDM Y 250 EXTENSIONES IP. INCLUYE 30 LÍNEAS IP, 2 NIVELES DISA, 10 TRONCALES IP GRATUITAS. COMPATIBLE CON FRENTE DE CALLE IP XPE 3101 IP Y MONITOR TVIP 3000 WIFI, TERMINALES ANALOGOS</t>
  </si>
  <si>
    <t xml:space="preserve">PLACA 2 TRONCOS ANALÓGICOS UNNITI 1000                      </t>
  </si>
  <si>
    <t>MONITOR DE VIDEO PORTERO IP WIFI, REGISTRO DE LLAMADAS, SIP 2.0, SOPORTA 8 ZONAS DE ALARMA, PANTALLA TÁCTIL LCD DE 7",MEMORIA INTERNA DE 64GB,ALIMENTACIÓN POE / 12VCD(NO INCLUYE FUENTE)</t>
  </si>
  <si>
    <t>VIDEO PORTERO CONDOMINIAL FACIAL PARA EXTERIOR CON CAPACIDAD PARA 1000 FACE,CAMARA INTEGRADA PARA INTERFONIA DE VIDEO</t>
  </si>
  <si>
    <t>SS 3541 MF LITE</t>
  </si>
  <si>
    <t>SS 3541 MF LITE, CONTROLADOR DE ACCESO RECONOCIMIENTO FACIAL , PANTALLA 4,3", LECTOR RFID 13.56 MHz, BIOMETRIA, WIFI</t>
  </si>
  <si>
    <t>SS 3542 MF</t>
  </si>
  <si>
    <t>CONTROLADOR DE ACCESO FACIAL, HUELLA Y TAG MIFARE 13,56MHZ, , PROTECCIÓN IP55, CONEXIÓN AL MIP 1000 IP VÍA RS485. ALIMENTACIÓN 12V FUENTE NO INCLUIDA.</t>
  </si>
  <si>
    <t>SS 3542 MF W</t>
  </si>
  <si>
    <t>MODULO INTELIGENTE DE PORTERÍA MIP 1000 IP, MODULO DE USO EN PORTERÍA PERMITE LA INTEGRACIÓN DE SISTEMAS DE CONTROL DE ACCESO ANÁLOGOS E IP AL SOFTWARE SCA 1000. HASTA 24 DISPOSITIVOS DE CONTROL DE ACCESO.</t>
  </si>
  <si>
    <t>INTERFAZ DE COMUNICACIÓN REMOTA IP, PERMITE INTEGRAR EL SISTEMA DE CONTROL DE ACCESO MÁS TELEFONÍA ANÁLOGA, TRASMITE EVENTOS Y LLAMADAS A CENTRAL DE GESTIÓN A TRAVÉS DE PROTOCOLO IP.</t>
  </si>
  <si>
    <t>XRE 1000 PLUS</t>
  </si>
  <si>
    <t>RECEPTOR DE CONTROL XRE 1000 PLUS, OPERADOR REMOTO CON DOS RELEVOS 10A. CONEXIÓN POR RS485 A MIP 1000 IP
COMPATIBLE CON CONTROLES XTR 1000.</t>
  </si>
  <si>
    <t>XTR 1000. LLAVERO INALAMBRICO ANTICLONADO 900MHZ, 3 FUNCIONES PERSONALIZABLES, COMPATIBLE CON XRE 1000 PLUS</t>
  </si>
  <si>
    <t>XTR 1004. LLAVERO INALAMBRICO CUATRO BOTONES, BLANCO/NEGRO</t>
  </si>
  <si>
    <t>LE 1110 MF</t>
  </si>
  <si>
    <t>LECTOR DE TARJETA DE PROXIMIDAD RFID 13.56 MHz</t>
  </si>
  <si>
    <t>TH 3010</t>
  </si>
  <si>
    <t xml:space="preserve">ETIQUETA DE ACTIVACIÓN RFID DE 900 MHZ. IDENTIFICA VEHÍCULOS A UNA DISTANCIA DE HASTA 6 M Y CONTROLA EL ACCESO. </t>
  </si>
  <si>
    <t>TAG RFID DE PROXIMIDAD RFID 13,56 MHZ.</t>
  </si>
  <si>
    <t>TARJETA DE PROXIMIDAD RFID 13,56 MHZ.</t>
  </si>
  <si>
    <t>TARJETA DE INTERTRAVAMENTO (5.0)</t>
  </si>
  <si>
    <t>TARJETA DE INTERTRAVAMENTO (5.0). PLACA DE BLOQUEO, SE REQUIERE UNA POR PUERTA</t>
  </si>
  <si>
    <t>LLAVERO RFID MIFARE. FRECUENCIA 13.56 MHZ, FUNCIÓN ANTI CLONACIÓN.</t>
  </si>
  <si>
    <t>CONVIERTE TU TELÉFONO ANÁLOGO EN CELULAR, COMPATIBLE CON CUALQUIER OPERADOR MÓVIL. COMPATIBLE CON XPE 1013 PLUS ID PARA MARCAR A APARTAMENTOS. REQUIERE SIMCARD, INCLUYE FUENTE Y ANTENA.</t>
  </si>
  <si>
    <t>AUTOMATIZADOR DE PUERTAS PIVOTANTES PARA PUERTAS HASTA 140 KG Y 180 CM ANCHO</t>
  </si>
  <si>
    <t>XFE 1000</t>
  </si>
  <si>
    <t>MODULO ACCIONAMIENTO,COMPATIBLE XPE 1001 BIO, XPE 1013 BIO y XPE 3200 PLUS CON FUNCION DE ENCLAVAMIENTO XFE 1000</t>
  </si>
  <si>
    <t>FX 1500 NEGRA</t>
  </si>
  <si>
    <t>FX 1500 NEGRA. CERRADURA ELÉCTRICA</t>
  </si>
  <si>
    <t>FX 2000 UN</t>
  </si>
  <si>
    <t>FX 2000 UN CERRADURA ELÉCTRICA DE CILINDRO FIJO NEGRO</t>
  </si>
  <si>
    <t>CAJA DE PASO 10X10X5 CM. MONTAJE PARED O TECHO</t>
  </si>
  <si>
    <t>AMT 1000 SMART</t>
  </si>
  <si>
    <t xml:space="preserve">	KIT ALARMA INALÁMBRICA 24 ZONAS. INCLUYE. AMT1000 SMART X1, XAC 4000 X1, XG 4G X1, IVP 1000 X1, XAS 4010 SMART X1, SIR 2000, BATERIA 12V-7A X1.</t>
  </si>
  <si>
    <t xml:space="preserve">XE 4000 SMART	</t>
  </si>
  <si>
    <t xml:space="preserve">MÓDULO COMUNICADOR 3G PARA PANEL AMT 2018 E SMART Y AMT 8000 LITE	</t>
  </si>
  <si>
    <t xml:space="preserve">KIT-AMT 8000 LITE 2 </t>
  </si>
  <si>
    <t>KIT ALARMA INALÁMBRICO 64 ZONAS. INCLUYE: AMT 8000 LITE X1, IVP 8000 PET X1, XAS 8000 X1, XAC 8000 X1, XG 4G X1.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</si>
</sst>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_(&quot;$&quot;\ * #,##0.00_);_(&quot;$&quot;\ * \(#,##0.00\);_(&quot;$&quot;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Times New Roman"/>
      <family val="1"/>
    </font>
    <font>
      <sz val="10"/>
      <color theme="1"/>
      <name val="Century Gothic"/>
      <family val="2"/>
    </font>
    <font>
      <b/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7" fillId="0" borderId="0"/>
    <xf numFmtId="166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vertical="center" wrapText="1"/>
    </xf>
    <xf numFmtId="164" fontId="2" fillId="0" borderId="0" xfId="1" applyNumberFormat="1" applyFont="1" applyFill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wrapText="1"/>
    </xf>
    <xf numFmtId="164" fontId="2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0" borderId="0" xfId="2" applyNumberFormat="1" applyFont="1" applyAlignment="1">
      <alignment vertical="center" wrapText="1"/>
    </xf>
    <xf numFmtId="2" fontId="2" fillId="0" borderId="1" xfId="1" applyNumberFormat="1" applyFont="1" applyBorder="1" applyAlignment="1">
      <alignment horizontal="center" wrapText="1"/>
    </xf>
    <xf numFmtId="164" fontId="2" fillId="0" borderId="0" xfId="1" applyNumberFormat="1" applyFont="1" applyAlignment="1">
      <alignment horizontal="left" vertical="center"/>
    </xf>
    <xf numFmtId="164" fontId="2" fillId="0" borderId="2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65" fontId="2" fillId="0" borderId="0" xfId="2" applyNumberFormat="1" applyFont="1" applyAlignment="1">
      <alignment vertical="center"/>
    </xf>
    <xf numFmtId="2" fontId="2" fillId="0" borderId="0" xfId="1" applyNumberFormat="1" applyFont="1" applyBorder="1" applyAlignment="1">
      <alignment horizontal="center"/>
    </xf>
    <xf numFmtId="2" fontId="2" fillId="0" borderId="0" xfId="1" applyNumberFormat="1" applyFont="1" applyBorder="1" applyAlignment="1">
      <alignment horizontal="center" wrapText="1"/>
    </xf>
    <xf numFmtId="165" fontId="2" fillId="0" borderId="0" xfId="2" applyNumberFormat="1" applyFont="1" applyFill="1" applyAlignment="1">
      <alignment vertical="center" wrapText="1"/>
    </xf>
    <xf numFmtId="2" fontId="2" fillId="0" borderId="0" xfId="1" applyNumberFormat="1" applyFont="1" applyFill="1" applyBorder="1" applyAlignment="1">
      <alignment horizontal="center" wrapText="1"/>
    </xf>
    <xf numFmtId="2" fontId="2" fillId="0" borderId="0" xfId="0" applyNumberFormat="1" applyFont="1" applyAlignment="1">
      <alignment horizontal="center"/>
    </xf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" fontId="2" fillId="0" borderId="1" xfId="1" applyNumberFormat="1" applyFont="1" applyBorder="1" applyAlignment="1">
      <alignment horizontal="center" wrapText="1"/>
    </xf>
    <xf numFmtId="2" fontId="2" fillId="0" borderId="1" xfId="1" applyNumberFormat="1" applyFont="1" applyBorder="1" applyAlignment="1">
      <alignment wrapText="1"/>
    </xf>
    <xf numFmtId="164" fontId="2" fillId="0" borderId="3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wrapText="1"/>
    </xf>
    <xf numFmtId="0" fontId="5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1" fontId="5" fillId="0" borderId="2" xfId="3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 shrinkToFit="1"/>
    </xf>
  </cellXfs>
  <cellStyles count="5">
    <cellStyle name="Moneda" xfId="1" builtinId="4"/>
    <cellStyle name="Moneda [0]" xfId="2" builtinId="7"/>
    <cellStyle name="Moneda 2 2" xfId="4" xr:uid="{1D69E2B3-DDA9-417C-B8A7-27CFC8381C94}"/>
    <cellStyle name="Normal" xfId="0" builtinId="0"/>
    <cellStyle name="Normal 2 55" xfId="3" xr:uid="{E399D34D-A9BF-4D7C-9D66-3F4FDF8341B8}"/>
  </cellStyles>
  <dxfs count="16">
    <dxf>
      <font>
        <color rgb="FFFF0000"/>
      </font>
    </dxf>
    <dxf>
      <font>
        <color rgb="FFFF0000"/>
      </font>
      <fill>
        <patternFill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&quot;$&quot;\ 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&quot;$&quot;\ #,##0"/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D7B34C-5D35-4253-94C4-474E3D152F2D}" name="Tabla120" displayName="Tabla120" ref="A1:K136" totalsRowShown="0" headerRowDxfId="15" dataDxfId="14">
  <autoFilter ref="A1:K136" xr:uid="{00000000-0009-0000-0100-000001000000}"/>
  <sortState xmlns:xlrd2="http://schemas.microsoft.com/office/spreadsheetml/2017/richdata2" ref="A2:K113">
    <sortCondition sortBy="fontColor" ref="A1:A113" dxfId="13"/>
  </sortState>
  <tableColumns count="11">
    <tableColumn id="3" xr3:uid="{79217EFE-EF07-4869-8B66-BAAD8BBD71BD}" name="REFERENCIA" dataDxfId="12"/>
    <tableColumn id="4" xr3:uid="{8D416056-E608-46C4-BB3A-8AF067E8AD3B}" name="DESCRIPCIÓN" dataDxfId="11"/>
    <tableColumn id="1" xr3:uid="{4C092E89-73AA-4E50-B3FB-B7AB6EAAFB07}" name="PRECIO INSTALLER (CON IVA)" dataDxfId="10" dataCellStyle="Moneda">
      <calculatedColumnFormula>+Tabla120[[#This Row],[COSTO +IVA]]/Tabla120[[#This Row],[Columna5]]</calculatedColumnFormula>
    </tableColumn>
    <tableColumn id="10" xr3:uid="{1749FE70-A2C8-423A-8BB8-4A59F5F78292}" name="PRECIO TIENDA (CON IVA)" dataDxfId="9" dataCellStyle="Moneda">
      <calculatedColumnFormula>+Tabla120[[#This Row],[PRECIO INSTALLER (CON IVA)]]-Tabla120[[#This Row],[Columna2]]</calculatedColumnFormula>
    </tableColumn>
    <tableColumn id="11" xr3:uid="{DAFD8CF9-3786-41A4-B908-D7B31ABC528A}" name="PRECIO CLIENTE FINAL (CON IVA)" dataDxfId="8" dataCellStyle="Moneda">
      <calculatedColumnFormula>+Tabla120[[#This Row],[PRECIO INSTALLER (CON IVA)]]/0.7</calculatedColumnFormula>
    </tableColumn>
    <tableColumn id="2" xr3:uid="{E716D926-15FD-44C0-AF06-55F38430F15B}" name="Columna2" dataDxfId="7" dataCellStyle="Moneda">
      <calculatedColumnFormula>+Tabla120[[#This Row],[PRECIO INSTALLER (CON IVA)]]*5%</calculatedColumnFormula>
    </tableColumn>
    <tableColumn id="5" xr3:uid="{B3E1902F-0188-422D-866B-6A94553F89C3}" name="Columna5" dataDxfId="6"/>
    <tableColumn id="6" xr3:uid="{BF0999E0-B9C8-46A7-83D1-F935E5DFD5A1}" name="COSTO +IVA" dataDxfId="5">
      <calculatedColumnFormula>K2*1.19</calculatedColumnFormula>
    </tableColumn>
    <tableColumn id="7" xr3:uid="{477F86C8-FC45-41E4-807C-65D2771D56C2}" name="Columna7" dataDxfId="4"/>
    <tableColumn id="8" xr3:uid="{6A72886F-BC31-4E13-BB9E-D66EBCD4B564}" name="Columna8" dataDxfId="3"/>
    <tableColumn id="9" xr3:uid="{81EBE82A-7833-4349-A446-9AD56983E59A}" name="COSTO" dataDxfId="2" dataCellStyle="Mon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DFB0-8D2A-4AA1-8408-A810B2C41454}">
  <dimension ref="A1:M136"/>
  <sheetViews>
    <sheetView tabSelected="1" zoomScaleNormal="100" workbookViewId="0">
      <pane ySplit="1" topLeftCell="A76" activePane="bottomLeft" state="frozen"/>
      <selection pane="bottomLeft" activeCell="F1" sqref="F1:L1048576"/>
    </sheetView>
  </sheetViews>
  <sheetFormatPr baseColWidth="10" defaultRowHeight="14.25" x14ac:dyDescent="0.2"/>
  <cols>
    <col min="1" max="1" width="33.42578125" style="6" bestFit="1" customWidth="1"/>
    <col min="2" max="2" width="44.28515625" style="1" customWidth="1"/>
    <col min="3" max="5" width="20.7109375" style="5" customWidth="1"/>
    <col min="6" max="6" width="20.7109375" style="5" hidden="1" customWidth="1"/>
    <col min="7" max="7" width="8.28515625" style="4" hidden="1" customWidth="1"/>
    <col min="8" max="8" width="15.28515625" style="3" hidden="1" customWidth="1"/>
    <col min="9" max="9" width="2.42578125" style="1" hidden="1" customWidth="1"/>
    <col min="10" max="10" width="2.140625" style="1" hidden="1" customWidth="1"/>
    <col min="11" max="11" width="17.85546875" style="2" hidden="1" customWidth="1"/>
    <col min="12" max="12" width="0" style="1" hidden="1" customWidth="1"/>
    <col min="13" max="16384" width="11.42578125" style="1"/>
  </cols>
  <sheetData>
    <row r="1" spans="1:13" ht="49.5" customHeight="1" x14ac:dyDescent="0.2">
      <c r="A1" s="29" t="s">
        <v>91</v>
      </c>
      <c r="B1" s="28" t="s">
        <v>90</v>
      </c>
      <c r="C1" s="27" t="s">
        <v>89</v>
      </c>
      <c r="D1" s="27" t="s">
        <v>88</v>
      </c>
      <c r="E1" s="27" t="s">
        <v>87</v>
      </c>
      <c r="F1" s="26" t="s">
        <v>86</v>
      </c>
      <c r="G1" s="25" t="s">
        <v>85</v>
      </c>
      <c r="H1" s="7" t="s">
        <v>84</v>
      </c>
      <c r="I1" s="1" t="s">
        <v>83</v>
      </c>
      <c r="J1" s="1" t="s">
        <v>82</v>
      </c>
      <c r="K1" s="18" t="s">
        <v>81</v>
      </c>
    </row>
    <row r="2" spans="1:13" ht="108" x14ac:dyDescent="0.2">
      <c r="A2" s="31" t="s">
        <v>77</v>
      </c>
      <c r="B2" s="32" t="s">
        <v>92</v>
      </c>
      <c r="C2" s="10">
        <f>+Tabla120[[#This Row],[COSTO +IVA]]/Tabla120[[#This Row],[Columna5]]</f>
        <v>368371.11111111112</v>
      </c>
      <c r="D2" s="10">
        <f>+Tabla120[[#This Row],[PRECIO INSTALLER (CON IVA)]]-Tabla120[[#This Row],[Columna2]]</f>
        <v>349952.55555555556</v>
      </c>
      <c r="E2" s="10">
        <f>+Tabla120[[#This Row],[PRECIO INSTALLER (CON IVA)]]/0.7</f>
        <v>526244.4444444445</v>
      </c>
      <c r="F2" s="19">
        <f>+Tabla120[[#This Row],[PRECIO INSTALLER (CON IVA)]]*5%</f>
        <v>18418.555555555558</v>
      </c>
      <c r="G2" s="24">
        <v>0.9</v>
      </c>
      <c r="H2" s="7">
        <f t="shared" ref="H2:H29" si="0">K2*1.19</f>
        <v>331534</v>
      </c>
      <c r="K2" s="37">
        <v>278600</v>
      </c>
    </row>
    <row r="3" spans="1:13" x14ac:dyDescent="0.2">
      <c r="A3" s="31" t="s">
        <v>8</v>
      </c>
      <c r="B3" s="32" t="s">
        <v>93</v>
      </c>
      <c r="C3" s="10">
        <f>+Tabla120[[#This Row],[COSTO +IVA]]/Tabla120[[#This Row],[Columna5]]</f>
        <v>49583.333333333328</v>
      </c>
      <c r="D3" s="10">
        <f>+Tabla120[[#This Row],[PRECIO INSTALLER (CON IVA)]]-Tabla120[[#This Row],[Columna2]]</f>
        <v>47104.166666666664</v>
      </c>
      <c r="E3" s="10">
        <f>+Tabla120[[#This Row],[PRECIO INSTALLER (CON IVA)]]/0.7</f>
        <v>70833.333333333328</v>
      </c>
      <c r="F3" s="19">
        <f>+Tabla120[[#This Row],[PRECIO INSTALLER (CON IVA)]]*5%</f>
        <v>2479.1666666666665</v>
      </c>
      <c r="G3" s="8">
        <v>0.9</v>
      </c>
      <c r="H3" s="7">
        <f t="shared" si="0"/>
        <v>44625</v>
      </c>
      <c r="K3" s="37">
        <v>37500</v>
      </c>
      <c r="M3" s="11"/>
    </row>
    <row r="4" spans="1:13" ht="27" x14ac:dyDescent="0.2">
      <c r="A4" s="31" t="s">
        <v>11</v>
      </c>
      <c r="B4" s="32" t="s">
        <v>94</v>
      </c>
      <c r="C4" s="10">
        <f>+Tabla120[[#This Row],[COSTO +IVA]]/Tabla120[[#This Row],[Columna5]]</f>
        <v>44387</v>
      </c>
      <c r="D4" s="10">
        <f>+Tabla120[[#This Row],[PRECIO INSTALLER (CON IVA)]]-Tabla120[[#This Row],[Columna2]]</f>
        <v>42167.65</v>
      </c>
      <c r="E4" s="10">
        <f>+Tabla120[[#This Row],[PRECIO INSTALLER (CON IVA)]]/0.7</f>
        <v>63410.000000000007</v>
      </c>
      <c r="F4" s="19">
        <f>+Tabla120[[#This Row],[PRECIO INSTALLER (CON IVA)]]*5%</f>
        <v>2219.35</v>
      </c>
      <c r="G4" s="24">
        <v>1</v>
      </c>
      <c r="H4" s="7">
        <f t="shared" si="0"/>
        <v>44387</v>
      </c>
      <c r="K4" s="37">
        <v>37300</v>
      </c>
    </row>
    <row r="5" spans="1:13" x14ac:dyDescent="0.2">
      <c r="A5" s="31" t="s">
        <v>6</v>
      </c>
      <c r="B5" s="32" t="s">
        <v>95</v>
      </c>
      <c r="C5" s="10">
        <f>+Tabla120[[#This Row],[COSTO +IVA]]/Tabla120[[#This Row],[Columna5]]</f>
        <v>40698</v>
      </c>
      <c r="D5" s="10">
        <f>+Tabla120[[#This Row],[PRECIO INSTALLER (CON IVA)]]-Tabla120[[#This Row],[Columna2]]</f>
        <v>38663.1</v>
      </c>
      <c r="E5" s="10">
        <f>+Tabla120[[#This Row],[PRECIO INSTALLER (CON IVA)]]/0.7</f>
        <v>58140.000000000007</v>
      </c>
      <c r="F5" s="19">
        <f>+Tabla120[[#This Row],[PRECIO INSTALLER (CON IVA)]]*5%</f>
        <v>2034.9</v>
      </c>
      <c r="G5" s="24">
        <v>1</v>
      </c>
      <c r="H5" s="7">
        <f t="shared" si="0"/>
        <v>40698</v>
      </c>
      <c r="K5" s="37">
        <v>34200</v>
      </c>
    </row>
    <row r="6" spans="1:13" ht="27" x14ac:dyDescent="0.2">
      <c r="A6" s="31" t="s">
        <v>96</v>
      </c>
      <c r="B6" s="32" t="s">
        <v>97</v>
      </c>
      <c r="C6" s="10">
        <f>+Tabla120[[#This Row],[COSTO +IVA]]/Tabla120[[#This Row],[Columna5]]</f>
        <v>82600</v>
      </c>
      <c r="D6" s="10">
        <f>+Tabla120[[#This Row],[PRECIO INSTALLER (CON IVA)]]-Tabla120[[#This Row],[Columna2]]</f>
        <v>78470</v>
      </c>
      <c r="E6" s="10">
        <f>+Tabla120[[#This Row],[PRECIO INSTALLER (CON IVA)]]/0.7</f>
        <v>118000.00000000001</v>
      </c>
      <c r="F6" s="19">
        <f>+Tabla120[[#This Row],[PRECIO INSTALLER (CON IVA)]]*5%</f>
        <v>4130</v>
      </c>
      <c r="G6" s="8">
        <v>0.85</v>
      </c>
      <c r="H6" s="7">
        <f t="shared" si="0"/>
        <v>70210</v>
      </c>
      <c r="K6" s="37">
        <v>59000</v>
      </c>
    </row>
    <row r="7" spans="1:13" x14ac:dyDescent="0.2">
      <c r="A7" s="31" t="s">
        <v>7</v>
      </c>
      <c r="B7" s="32" t="s">
        <v>98</v>
      </c>
      <c r="C7" s="10">
        <f>+Tabla120[[#This Row],[COSTO +IVA]]/Tabla120[[#This Row],[Columna5]]</f>
        <v>45577</v>
      </c>
      <c r="D7" s="10">
        <f>+Tabla120[[#This Row],[PRECIO INSTALLER (CON IVA)]]-Tabla120[[#This Row],[Columna2]]</f>
        <v>43298.15</v>
      </c>
      <c r="E7" s="10">
        <f>+Tabla120[[#This Row],[PRECIO INSTALLER (CON IVA)]]/0.7</f>
        <v>65110.000000000007</v>
      </c>
      <c r="F7" s="19">
        <f>+Tabla120[[#This Row],[PRECIO INSTALLER (CON IVA)]]*5%</f>
        <v>2278.85</v>
      </c>
      <c r="G7" s="8">
        <v>1</v>
      </c>
      <c r="H7" s="7">
        <f t="shared" si="0"/>
        <v>45577</v>
      </c>
      <c r="K7" s="37">
        <v>38300</v>
      </c>
    </row>
    <row r="8" spans="1:13" ht="81" x14ac:dyDescent="0.2">
      <c r="A8" s="33" t="s">
        <v>50</v>
      </c>
      <c r="B8" s="32" t="s">
        <v>99</v>
      </c>
      <c r="C8" s="10">
        <f>+Tabla120[[#This Row],[COSTO +IVA]]/Tabla120[[#This Row],[Columna5]]</f>
        <v>569481.11111111112</v>
      </c>
      <c r="D8" s="10">
        <f>+Tabla120[[#This Row],[PRECIO INSTALLER (CON IVA)]]-Tabla120[[#This Row],[Columna2]]</f>
        <v>541007.05555555562</v>
      </c>
      <c r="E8" s="10">
        <f>+Tabla120[[#This Row],[PRECIO INSTALLER (CON IVA)]]/0.7</f>
        <v>813544.4444444445</v>
      </c>
      <c r="F8" s="19">
        <f>+Tabla120[[#This Row],[PRECIO INSTALLER (CON IVA)]]*5%</f>
        <v>28474.055555555558</v>
      </c>
      <c r="G8" s="8">
        <v>0.9</v>
      </c>
      <c r="H8" s="12">
        <f t="shared" si="0"/>
        <v>512533</v>
      </c>
      <c r="I8" s="11"/>
      <c r="J8" s="11"/>
      <c r="K8" s="37">
        <v>430700</v>
      </c>
    </row>
    <row r="9" spans="1:13" ht="121.5" x14ac:dyDescent="0.2">
      <c r="A9" s="31" t="s">
        <v>80</v>
      </c>
      <c r="B9" s="32" t="s">
        <v>100</v>
      </c>
      <c r="C9" s="10">
        <f>+Tabla120[[#This Row],[COSTO +IVA]]/Tabla120[[#This Row],[Columna5]]</f>
        <v>958664</v>
      </c>
      <c r="D9" s="10">
        <f>+Tabla120[[#This Row],[PRECIO INSTALLER (CON IVA)]]-Tabla120[[#This Row],[Columna2]]</f>
        <v>910730.8</v>
      </c>
      <c r="E9" s="10">
        <f>+Tabla120[[#This Row],[PRECIO INSTALLER (CON IVA)]]/0.7</f>
        <v>1369520</v>
      </c>
      <c r="F9" s="19">
        <f>+Tabla120[[#This Row],[PRECIO INSTALLER (CON IVA)]]*5%</f>
        <v>47933.200000000004</v>
      </c>
      <c r="G9" s="24">
        <v>1</v>
      </c>
      <c r="H9" s="7">
        <f t="shared" si="0"/>
        <v>958664</v>
      </c>
      <c r="K9" s="37">
        <v>805600</v>
      </c>
    </row>
    <row r="10" spans="1:13" ht="121.5" x14ac:dyDescent="0.2">
      <c r="A10" s="31" t="s">
        <v>45</v>
      </c>
      <c r="B10" s="32" t="s">
        <v>101</v>
      </c>
      <c r="C10" s="10">
        <f>+Tabla120[[#This Row],[COSTO +IVA]]/Tabla120[[#This Row],[Columna5]]</f>
        <v>1687420</v>
      </c>
      <c r="D10" s="10">
        <f>+Tabla120[[#This Row],[PRECIO INSTALLER (CON IVA)]]-Tabla120[[#This Row],[Columna2]]</f>
        <v>1603049</v>
      </c>
      <c r="E10" s="10">
        <f>+Tabla120[[#This Row],[PRECIO INSTALLER (CON IVA)]]/0.7</f>
        <v>2410600</v>
      </c>
      <c r="F10" s="19">
        <f>+Tabla120[[#This Row],[PRECIO INSTALLER (CON IVA)]]*5%</f>
        <v>84371</v>
      </c>
      <c r="G10" s="24">
        <v>1</v>
      </c>
      <c r="H10" s="7">
        <f t="shared" si="0"/>
        <v>1687420</v>
      </c>
      <c r="K10" s="37">
        <v>1418000</v>
      </c>
    </row>
    <row r="11" spans="1:13" ht="135" x14ac:dyDescent="0.2">
      <c r="A11" s="34" t="s">
        <v>102</v>
      </c>
      <c r="B11" s="32" t="s">
        <v>103</v>
      </c>
      <c r="C11" s="10">
        <f>+Tabla120[[#This Row],[COSTO +IVA]]/Tabla120[[#This Row],[Columna5]]</f>
        <v>3136700</v>
      </c>
      <c r="D11" s="10">
        <f>+Tabla120[[#This Row],[PRECIO INSTALLER (CON IVA)]]-Tabla120[[#This Row],[Columna2]]</f>
        <v>2979865</v>
      </c>
      <c r="E11" s="10">
        <f>+Tabla120[[#This Row],[PRECIO INSTALLER (CON IVA)]]/0.7</f>
        <v>4481000</v>
      </c>
      <c r="F11" s="19">
        <f>+Tabla120[[#This Row],[PRECIO INSTALLER (CON IVA)]]*5%</f>
        <v>156835</v>
      </c>
      <c r="G11" s="8">
        <v>0.85</v>
      </c>
      <c r="H11" s="7">
        <f t="shared" si="0"/>
        <v>2666195</v>
      </c>
      <c r="K11" s="37">
        <v>2240500</v>
      </c>
    </row>
    <row r="12" spans="1:13" x14ac:dyDescent="0.2">
      <c r="A12" s="31" t="s">
        <v>104</v>
      </c>
      <c r="B12" s="32" t="s">
        <v>105</v>
      </c>
      <c r="C12" s="10">
        <f>+Tabla120[[#This Row],[COSTO +IVA]]/Tabla120[[#This Row],[Columna5]]</f>
        <v>60557.777777777774</v>
      </c>
      <c r="D12" s="10">
        <f>+Tabla120[[#This Row],[PRECIO INSTALLER (CON IVA)]]-Tabla120[[#This Row],[Columna2]]</f>
        <v>57529.888888888883</v>
      </c>
      <c r="E12" s="10">
        <f>+Tabla120[[#This Row],[PRECIO INSTALLER (CON IVA)]]/0.7</f>
        <v>86511.111111111109</v>
      </c>
      <c r="F12" s="19">
        <f>+Tabla120[[#This Row],[PRECIO INSTALLER (CON IVA)]]*5%</f>
        <v>3027.8888888888887</v>
      </c>
      <c r="G12" s="8">
        <v>0.9</v>
      </c>
      <c r="H12" s="7">
        <f t="shared" si="0"/>
        <v>54502</v>
      </c>
      <c r="K12" s="37">
        <v>45800</v>
      </c>
    </row>
    <row r="13" spans="1:13" x14ac:dyDescent="0.2">
      <c r="A13" s="31" t="s">
        <v>14</v>
      </c>
      <c r="B13" s="32" t="s">
        <v>106</v>
      </c>
      <c r="C13" s="10">
        <f>+Tabla120[[#This Row],[COSTO +IVA]]/Tabla120[[#This Row],[Columna5]]</f>
        <v>107380</v>
      </c>
      <c r="D13" s="10">
        <f>+Tabla120[[#This Row],[PRECIO INSTALLER (CON IVA)]]-Tabla120[[#This Row],[Columna2]]</f>
        <v>102011</v>
      </c>
      <c r="E13" s="10">
        <f>+Tabla120[[#This Row],[PRECIO INSTALLER (CON IVA)]]/0.7</f>
        <v>153400</v>
      </c>
      <c r="F13" s="19">
        <f>+Tabla120[[#This Row],[PRECIO INSTALLER (CON IVA)]]*5%</f>
        <v>5369</v>
      </c>
      <c r="G13" s="8">
        <v>0.85</v>
      </c>
      <c r="H13" s="7">
        <f t="shared" si="0"/>
        <v>91273</v>
      </c>
      <c r="K13" s="37">
        <v>76700</v>
      </c>
    </row>
    <row r="14" spans="1:13" x14ac:dyDescent="0.2">
      <c r="A14" s="31" t="s">
        <v>48</v>
      </c>
      <c r="B14" s="32" t="s">
        <v>107</v>
      </c>
      <c r="C14" s="10">
        <f>+Tabla120[[#This Row],[COSTO +IVA]]/Tabla120[[#This Row],[Columna5]]</f>
        <v>52598</v>
      </c>
      <c r="D14" s="10">
        <f>+Tabla120[[#This Row],[PRECIO INSTALLER (CON IVA)]]-Tabla120[[#This Row],[Columna2]]</f>
        <v>49968.1</v>
      </c>
      <c r="E14" s="10">
        <f>+Tabla120[[#This Row],[PRECIO INSTALLER (CON IVA)]]/0.7</f>
        <v>75140</v>
      </c>
      <c r="F14" s="19">
        <f>+Tabla120[[#This Row],[PRECIO INSTALLER (CON IVA)]]*5%</f>
        <v>2629.9</v>
      </c>
      <c r="G14" s="24">
        <v>1</v>
      </c>
      <c r="H14" s="7">
        <f t="shared" si="0"/>
        <v>52598</v>
      </c>
      <c r="K14" s="37">
        <v>44200</v>
      </c>
    </row>
    <row r="15" spans="1:13" ht="94.5" x14ac:dyDescent="0.2">
      <c r="A15" s="31" t="s">
        <v>15</v>
      </c>
      <c r="B15" s="32" t="s">
        <v>108</v>
      </c>
      <c r="C15" s="10">
        <f>+Tabla120[[#This Row],[COSTO +IVA]]/Tabla120[[#This Row],[Columna5]]</f>
        <v>116200</v>
      </c>
      <c r="D15" s="10">
        <f>+Tabla120[[#This Row],[PRECIO INSTALLER (CON IVA)]]-Tabla120[[#This Row],[Columna2]]</f>
        <v>110390</v>
      </c>
      <c r="E15" s="10">
        <f>+Tabla120[[#This Row],[PRECIO INSTALLER (CON IVA)]]/0.7</f>
        <v>166000</v>
      </c>
      <c r="F15" s="19">
        <f>+Tabla120[[#This Row],[PRECIO INSTALLER (CON IVA)]]*5%</f>
        <v>5810</v>
      </c>
      <c r="G15" s="8">
        <v>0.85</v>
      </c>
      <c r="H15" s="7">
        <f t="shared" si="0"/>
        <v>98770</v>
      </c>
      <c r="K15" s="37">
        <v>83000</v>
      </c>
    </row>
    <row r="16" spans="1:13" x14ac:dyDescent="0.2">
      <c r="A16" s="31" t="s">
        <v>49</v>
      </c>
      <c r="B16" s="32" t="s">
        <v>109</v>
      </c>
      <c r="C16" s="10">
        <f>+Tabla120[[#This Row],[COSTO +IVA]]/Tabla120[[#This Row],[Columna5]]</f>
        <v>112911.62790697675</v>
      </c>
      <c r="D16" s="10">
        <f>+Tabla120[[#This Row],[PRECIO INSTALLER (CON IVA)]]-Tabla120[[#This Row],[Columna2]]</f>
        <v>107266.04651162791</v>
      </c>
      <c r="E16" s="10">
        <f>+Tabla120[[#This Row],[PRECIO INSTALLER (CON IVA)]]/0.7</f>
        <v>161302.32558139536</v>
      </c>
      <c r="F16" s="19">
        <f>+Tabla120[[#This Row],[PRECIO INSTALLER (CON IVA)]]*5%</f>
        <v>5645.5813953488378</v>
      </c>
      <c r="G16" s="8">
        <v>0.86</v>
      </c>
      <c r="H16" s="7">
        <f t="shared" si="0"/>
        <v>97104</v>
      </c>
      <c r="K16" s="37">
        <v>81600</v>
      </c>
    </row>
    <row r="17" spans="1:11" ht="27" x14ac:dyDescent="0.2">
      <c r="A17" s="31" t="s">
        <v>12</v>
      </c>
      <c r="B17" s="32" t="s">
        <v>110</v>
      </c>
      <c r="C17" s="10">
        <f>+Tabla120[[#This Row],[COSTO +IVA]]/Tabla120[[#This Row],[Columna5]]</f>
        <v>86660</v>
      </c>
      <c r="D17" s="10">
        <f>+Tabla120[[#This Row],[PRECIO INSTALLER (CON IVA)]]-Tabla120[[#This Row],[Columna2]]</f>
        <v>82327</v>
      </c>
      <c r="E17" s="10">
        <f>+Tabla120[[#This Row],[PRECIO INSTALLER (CON IVA)]]/0.7</f>
        <v>123800.00000000001</v>
      </c>
      <c r="F17" s="19">
        <f>+Tabla120[[#This Row],[PRECIO INSTALLER (CON IVA)]]*5%</f>
        <v>4333</v>
      </c>
      <c r="G17" s="8">
        <v>0.85</v>
      </c>
      <c r="H17" s="7">
        <f t="shared" si="0"/>
        <v>73661</v>
      </c>
      <c r="K17" s="37">
        <v>61900</v>
      </c>
    </row>
    <row r="18" spans="1:11" ht="27" x14ac:dyDescent="0.2">
      <c r="A18" s="31" t="s">
        <v>12</v>
      </c>
      <c r="B18" s="32" t="s">
        <v>110</v>
      </c>
      <c r="C18" s="10">
        <f>+Tabla120[[#This Row],[COSTO +IVA]]/Tabla120[[#This Row],[Columna5]]</f>
        <v>81845.555555555547</v>
      </c>
      <c r="D18" s="10">
        <f>+Tabla120[[#This Row],[PRECIO INSTALLER (CON IVA)]]-Tabla120[[#This Row],[Columna2]]</f>
        <v>77753.277777777766</v>
      </c>
      <c r="E18" s="10">
        <f>+Tabla120[[#This Row],[PRECIO INSTALLER (CON IVA)]]/0.7</f>
        <v>116922.22222222222</v>
      </c>
      <c r="F18" s="19">
        <f>+Tabla120[[#This Row],[PRECIO INSTALLER (CON IVA)]]*5%</f>
        <v>4092.2777777777774</v>
      </c>
      <c r="G18" s="8">
        <v>0.9</v>
      </c>
      <c r="H18" s="7">
        <f t="shared" si="0"/>
        <v>73661</v>
      </c>
      <c r="K18" s="37">
        <v>61900</v>
      </c>
    </row>
    <row r="19" spans="1:11" ht="27" x14ac:dyDescent="0.2">
      <c r="A19" s="31" t="s">
        <v>16</v>
      </c>
      <c r="B19" s="32" t="s">
        <v>111</v>
      </c>
      <c r="C19" s="10">
        <f>+Tabla120[[#This Row],[COSTO +IVA]]/Tabla120[[#This Row],[Columna5]]</f>
        <v>131740</v>
      </c>
      <c r="D19" s="10">
        <f>+Tabla120[[#This Row],[PRECIO INSTALLER (CON IVA)]]-Tabla120[[#This Row],[Columna2]]</f>
        <v>125153</v>
      </c>
      <c r="E19" s="10">
        <f>+Tabla120[[#This Row],[PRECIO INSTALLER (CON IVA)]]/0.7</f>
        <v>188200</v>
      </c>
      <c r="F19" s="19">
        <f>+Tabla120[[#This Row],[PRECIO INSTALLER (CON IVA)]]*5%</f>
        <v>6587</v>
      </c>
      <c r="G19" s="8">
        <v>0.85</v>
      </c>
      <c r="H19" s="7">
        <f t="shared" si="0"/>
        <v>111979</v>
      </c>
      <c r="K19" s="37">
        <v>94100</v>
      </c>
    </row>
    <row r="20" spans="1:11" ht="81" x14ac:dyDescent="0.2">
      <c r="A20" s="31" t="s">
        <v>20</v>
      </c>
      <c r="B20" s="32" t="s">
        <v>112</v>
      </c>
      <c r="C20" s="10">
        <f>+Tabla120[[#This Row],[COSTO +IVA]]/Tabla120[[#This Row],[Columna5]]</f>
        <v>194922</v>
      </c>
      <c r="D20" s="10">
        <f>+Tabla120[[#This Row],[PRECIO INSTALLER (CON IVA)]]-Tabla120[[#This Row],[Columna2]]</f>
        <v>185175.9</v>
      </c>
      <c r="E20" s="10">
        <f>+Tabla120[[#This Row],[PRECIO INSTALLER (CON IVA)]]/0.7</f>
        <v>278460</v>
      </c>
      <c r="F20" s="19">
        <f>+Tabla120[[#This Row],[PRECIO INSTALLER (CON IVA)]]*5%</f>
        <v>9746.1</v>
      </c>
      <c r="G20" s="24">
        <v>1</v>
      </c>
      <c r="H20" s="7">
        <f t="shared" si="0"/>
        <v>194922</v>
      </c>
      <c r="K20" s="37">
        <v>163800</v>
      </c>
    </row>
    <row r="21" spans="1:11" ht="67.5" x14ac:dyDescent="0.2">
      <c r="A21" s="31" t="s">
        <v>37</v>
      </c>
      <c r="B21" s="32" t="s">
        <v>113</v>
      </c>
      <c r="C21" s="10">
        <f>+Tabla120[[#This Row],[COSTO +IVA]]/Tabla120[[#This Row],[Columna5]]</f>
        <v>590002</v>
      </c>
      <c r="D21" s="10">
        <f>+Tabla120[[#This Row],[PRECIO INSTALLER (CON IVA)]]-Tabla120[[#This Row],[Columna2]]</f>
        <v>560501.9</v>
      </c>
      <c r="E21" s="10">
        <f>+Tabla120[[#This Row],[PRECIO INSTALLER (CON IVA)]]/0.7</f>
        <v>842860</v>
      </c>
      <c r="F21" s="19">
        <f>+Tabla120[[#This Row],[PRECIO INSTALLER (CON IVA)]]*5%</f>
        <v>29500.100000000002</v>
      </c>
      <c r="G21" s="24">
        <v>1</v>
      </c>
      <c r="H21" s="7">
        <f t="shared" si="0"/>
        <v>590002</v>
      </c>
      <c r="K21" s="37">
        <v>495800</v>
      </c>
    </row>
    <row r="22" spans="1:11" ht="135" x14ac:dyDescent="0.2">
      <c r="A22" s="31" t="s">
        <v>43</v>
      </c>
      <c r="B22" s="32" t="s">
        <v>114</v>
      </c>
      <c r="C22" s="10">
        <f>+Tabla120[[#This Row],[COSTO +IVA]]/Tabla120[[#This Row],[Columna5]]</f>
        <v>1378860</v>
      </c>
      <c r="D22" s="10">
        <f>+Tabla120[[#This Row],[PRECIO INSTALLER (CON IVA)]]-Tabla120[[#This Row],[Columna2]]</f>
        <v>1309917</v>
      </c>
      <c r="E22" s="10">
        <f>+Tabla120[[#This Row],[PRECIO INSTALLER (CON IVA)]]/0.7</f>
        <v>1969800.0000000002</v>
      </c>
      <c r="F22" s="19">
        <f>+Tabla120[[#This Row],[PRECIO INSTALLER (CON IVA)]]*5%</f>
        <v>68943</v>
      </c>
      <c r="G22" s="8">
        <v>0.85</v>
      </c>
      <c r="H22" s="7">
        <f t="shared" si="0"/>
        <v>1172031</v>
      </c>
      <c r="K22" s="37">
        <v>984900</v>
      </c>
    </row>
    <row r="23" spans="1:11" ht="40.5" x14ac:dyDescent="0.2">
      <c r="A23" s="31">
        <v>4610026</v>
      </c>
      <c r="B23" s="32" t="s">
        <v>115</v>
      </c>
      <c r="C23" s="10">
        <f>+Tabla120[[#This Row],[COSTO +IVA]]/Tabla120[[#This Row],[Columna5]]</f>
        <v>242060</v>
      </c>
      <c r="D23" s="10">
        <f>+Tabla120[[#This Row],[PRECIO INSTALLER (CON IVA)]]-Tabla120[[#This Row],[Columna2]]</f>
        <v>229957</v>
      </c>
      <c r="E23" s="10">
        <f>+Tabla120[[#This Row],[PRECIO INSTALLER (CON IVA)]]/0.7</f>
        <v>345800</v>
      </c>
      <c r="F23" s="19">
        <f>+Tabla120[[#This Row],[PRECIO INSTALLER (CON IVA)]]*5%</f>
        <v>12103</v>
      </c>
      <c r="G23" s="20">
        <v>0.85</v>
      </c>
      <c r="H23" s="12">
        <f t="shared" si="0"/>
        <v>205751</v>
      </c>
      <c r="I23" s="11"/>
      <c r="J23" s="11"/>
      <c r="K23" s="37">
        <v>172900</v>
      </c>
    </row>
    <row r="24" spans="1:11" ht="40.5" x14ac:dyDescent="0.2">
      <c r="A24" s="31">
        <v>2031550</v>
      </c>
      <c r="B24" s="32" t="s">
        <v>116</v>
      </c>
      <c r="C24" s="10">
        <f>+Tabla120[[#This Row],[COSTO +IVA]]/Tabla120[[#This Row],[Columna5]]</f>
        <v>560</v>
      </c>
      <c r="D24" s="10">
        <f>+Tabla120[[#This Row],[PRECIO INSTALLER (CON IVA)]]-Tabla120[[#This Row],[Columna2]]</f>
        <v>532</v>
      </c>
      <c r="E24" s="10">
        <f>+Tabla120[[#This Row],[PRECIO INSTALLER (CON IVA)]]/0.7</f>
        <v>800</v>
      </c>
      <c r="F24" s="19">
        <f>+Tabla120[[#This Row],[PRECIO INSTALLER (CON IVA)]]*5%</f>
        <v>28</v>
      </c>
      <c r="G24" s="21">
        <v>0.85</v>
      </c>
      <c r="H24" s="12">
        <f t="shared" si="0"/>
        <v>476</v>
      </c>
      <c r="I24" s="11"/>
      <c r="J24" s="11"/>
      <c r="K24" s="37">
        <v>400</v>
      </c>
    </row>
    <row r="25" spans="1:11" x14ac:dyDescent="0.2">
      <c r="A25" s="31" t="s">
        <v>117</v>
      </c>
      <c r="B25" s="32" t="s">
        <v>118</v>
      </c>
      <c r="C25" s="10">
        <f>+Tabla120[[#This Row],[COSTO +IVA]]/Tabla120[[#This Row],[Columna5]]</f>
        <v>61880</v>
      </c>
      <c r="D25" s="10">
        <f>+Tabla120[[#This Row],[PRECIO INSTALLER (CON IVA)]]-Tabla120[[#This Row],[Columna2]]</f>
        <v>58786</v>
      </c>
      <c r="E25" s="10">
        <f>+Tabla120[[#This Row],[PRECIO INSTALLER (CON IVA)]]/0.7</f>
        <v>88400</v>
      </c>
      <c r="F25" s="19">
        <f>+Tabla120[[#This Row],[PRECIO INSTALLER (CON IVA)]]*5%</f>
        <v>3094</v>
      </c>
      <c r="G25" s="8">
        <v>0.85</v>
      </c>
      <c r="H25" s="7">
        <f t="shared" si="0"/>
        <v>52598</v>
      </c>
      <c r="K25" s="37">
        <v>44200</v>
      </c>
    </row>
    <row r="26" spans="1:11" ht="40.5" x14ac:dyDescent="0.2">
      <c r="A26" s="31" t="s">
        <v>119</v>
      </c>
      <c r="B26" s="32" t="s">
        <v>120</v>
      </c>
      <c r="C26" s="10">
        <f>+Tabla120[[#This Row],[COSTO +IVA]]/Tabla120[[#This Row],[Columna5]]</f>
        <v>1009680</v>
      </c>
      <c r="D26" s="10">
        <f>+Tabla120[[#This Row],[PRECIO INSTALLER (CON IVA)]]-Tabla120[[#This Row],[Columna2]]</f>
        <v>959196</v>
      </c>
      <c r="E26" s="10">
        <f>+Tabla120[[#This Row],[PRECIO INSTALLER (CON IVA)]]/0.7</f>
        <v>1442400</v>
      </c>
      <c r="F26" s="19">
        <f>+Tabla120[[#This Row],[PRECIO INSTALLER (CON IVA)]]*5%</f>
        <v>50484</v>
      </c>
      <c r="G26" s="21">
        <v>0.85</v>
      </c>
      <c r="H26" s="12">
        <f t="shared" si="0"/>
        <v>858228</v>
      </c>
      <c r="I26" s="11"/>
      <c r="J26" s="11"/>
      <c r="K26" s="37">
        <v>721200</v>
      </c>
    </row>
    <row r="27" spans="1:11" ht="40.5" x14ac:dyDescent="0.2">
      <c r="A27" s="31" t="s">
        <v>121</v>
      </c>
      <c r="B27" s="32" t="s">
        <v>122</v>
      </c>
      <c r="C27" s="10">
        <f>+Tabla120[[#This Row],[COSTO +IVA]]/Tabla120[[#This Row],[Columna5]]</f>
        <v>1843240</v>
      </c>
      <c r="D27" s="10">
        <f>+Tabla120[[#This Row],[PRECIO INSTALLER (CON IVA)]]-Tabla120[[#This Row],[Columna2]]</f>
        <v>1751078</v>
      </c>
      <c r="E27" s="10">
        <f>+Tabla120[[#This Row],[PRECIO INSTALLER (CON IVA)]]/0.7</f>
        <v>2633200</v>
      </c>
      <c r="F27" s="19">
        <f>+Tabla120[[#This Row],[PRECIO INSTALLER (CON IVA)]]*5%</f>
        <v>92162</v>
      </c>
      <c r="G27" s="21">
        <v>0.85</v>
      </c>
      <c r="H27" s="12">
        <f t="shared" si="0"/>
        <v>1566754</v>
      </c>
      <c r="I27" s="11"/>
      <c r="J27" s="11"/>
      <c r="K27" s="37">
        <v>1316600</v>
      </c>
    </row>
    <row r="28" spans="1:11" ht="54" x14ac:dyDescent="0.2">
      <c r="A28" s="31" t="s">
        <v>123</v>
      </c>
      <c r="B28" s="32" t="s">
        <v>124</v>
      </c>
      <c r="C28" s="10">
        <f>+Tabla120[[#This Row],[COSTO +IVA]]/Tabla120[[#This Row],[Columna5]]</f>
        <v>2552760</v>
      </c>
      <c r="D28" s="10">
        <f>+Tabla120[[#This Row],[PRECIO INSTALLER (CON IVA)]]-Tabla120[[#This Row],[Columna2]]</f>
        <v>2425122</v>
      </c>
      <c r="E28" s="10">
        <f>+Tabla120[[#This Row],[PRECIO INSTALLER (CON IVA)]]/0.7</f>
        <v>3646800</v>
      </c>
      <c r="F28" s="19">
        <f>+Tabla120[[#This Row],[PRECIO INSTALLER (CON IVA)]]*5%</f>
        <v>127638</v>
      </c>
      <c r="G28" s="8">
        <v>0.85</v>
      </c>
      <c r="H28" s="7">
        <f t="shared" si="0"/>
        <v>2169846</v>
      </c>
      <c r="K28" s="37">
        <v>1823400</v>
      </c>
    </row>
    <row r="29" spans="1:11" ht="40.5" x14ac:dyDescent="0.2">
      <c r="A29" s="31" t="s">
        <v>125</v>
      </c>
      <c r="B29" s="32" t="s">
        <v>126</v>
      </c>
      <c r="C29" s="10">
        <f>+Tabla120[[#This Row],[COSTO +IVA]]/Tabla120[[#This Row],[Columna5]]</f>
        <v>3324300</v>
      </c>
      <c r="D29" s="10">
        <f>+Tabla120[[#This Row],[PRECIO INSTALLER (CON IVA)]]-Tabla120[[#This Row],[Columna2]]</f>
        <v>3158085</v>
      </c>
      <c r="E29" s="10">
        <f>+Tabla120[[#This Row],[PRECIO INSTALLER (CON IVA)]]/0.7</f>
        <v>4749000</v>
      </c>
      <c r="F29" s="19">
        <f>+Tabla120[[#This Row],[PRECIO INSTALLER (CON IVA)]]*5%</f>
        <v>166215</v>
      </c>
      <c r="G29" s="8">
        <v>0.85</v>
      </c>
      <c r="H29" s="7">
        <f t="shared" si="0"/>
        <v>2825655</v>
      </c>
      <c r="K29" s="37">
        <v>2374500</v>
      </c>
    </row>
    <row r="30" spans="1:11" ht="54" x14ac:dyDescent="0.2">
      <c r="A30" s="31" t="s">
        <v>127</v>
      </c>
      <c r="B30" s="32" t="s">
        <v>128</v>
      </c>
      <c r="C30" s="10">
        <f>+Tabla120[[#This Row],[COSTO +IVA]]/Tabla120[[#This Row],[Columna5]]</f>
        <v>174720</v>
      </c>
      <c r="D30" s="10">
        <f>+Tabla120[[#This Row],[PRECIO INSTALLER (CON IVA)]]-Tabla120[[#This Row],[Columna2]]</f>
        <v>165984</v>
      </c>
      <c r="E30" s="10">
        <f>+Tabla120[[#This Row],[PRECIO INSTALLER (CON IVA)]]/0.7</f>
        <v>249600.00000000003</v>
      </c>
      <c r="F30" s="19">
        <f>+Tabla120[[#This Row],[PRECIO INSTALLER (CON IVA)]]*5%</f>
        <v>8736</v>
      </c>
      <c r="G30" s="20">
        <v>0.85</v>
      </c>
      <c r="H30" s="12">
        <f t="shared" ref="H30:H55" si="1">K30*1.19</f>
        <v>148512</v>
      </c>
      <c r="I30" s="11"/>
      <c r="J30" s="11"/>
      <c r="K30" s="37">
        <v>124800</v>
      </c>
    </row>
    <row r="31" spans="1:11" ht="67.5" x14ac:dyDescent="0.2">
      <c r="A31" s="31" t="s">
        <v>129</v>
      </c>
      <c r="B31" s="32" t="s">
        <v>130</v>
      </c>
      <c r="C31" s="10">
        <f>+Tabla120[[#This Row],[COSTO +IVA]]/Tabla120[[#This Row],[Columna5]]</f>
        <v>258720</v>
      </c>
      <c r="D31" s="10">
        <f>+Tabla120[[#This Row],[PRECIO INSTALLER (CON IVA)]]-Tabla120[[#This Row],[Columna2]]</f>
        <v>245784</v>
      </c>
      <c r="E31" s="10">
        <f>+Tabla120[[#This Row],[PRECIO INSTALLER (CON IVA)]]/0.7</f>
        <v>369600</v>
      </c>
      <c r="F31" s="19">
        <f>+Tabla120[[#This Row],[PRECIO INSTALLER (CON IVA)]]*5%</f>
        <v>12936</v>
      </c>
      <c r="G31" s="8">
        <v>0.85</v>
      </c>
      <c r="H31" s="7">
        <f t="shared" si="1"/>
        <v>219912</v>
      </c>
      <c r="K31" s="37">
        <v>184800</v>
      </c>
    </row>
    <row r="32" spans="1:11" ht="162" x14ac:dyDescent="0.2">
      <c r="A32" s="31" t="s">
        <v>76</v>
      </c>
      <c r="B32" s="32" t="s">
        <v>131</v>
      </c>
      <c r="C32" s="10">
        <f>+Tabla120[[#This Row],[COSTO +IVA]]/Tabla120[[#This Row],[Columna5]]</f>
        <v>393400</v>
      </c>
      <c r="D32" s="10">
        <f>+Tabla120[[#This Row],[PRECIO INSTALLER (CON IVA)]]-Tabla120[[#This Row],[Columna2]]</f>
        <v>373730</v>
      </c>
      <c r="E32" s="10">
        <f>+Tabla120[[#This Row],[PRECIO INSTALLER (CON IVA)]]/0.7</f>
        <v>562000</v>
      </c>
      <c r="F32" s="19">
        <f>+Tabla120[[#This Row],[PRECIO INSTALLER (CON IVA)]]*5%</f>
        <v>19670</v>
      </c>
      <c r="G32" s="8">
        <v>0.85</v>
      </c>
      <c r="H32" s="7">
        <f t="shared" si="1"/>
        <v>334390</v>
      </c>
      <c r="K32" s="37">
        <v>281000</v>
      </c>
    </row>
    <row r="33" spans="1:11" ht="81" x14ac:dyDescent="0.2">
      <c r="A33" s="33" t="s">
        <v>132</v>
      </c>
      <c r="B33" s="32" t="s">
        <v>133</v>
      </c>
      <c r="C33" s="10">
        <f>+Tabla120[[#This Row],[COSTO +IVA]]/Tabla120[[#This Row],[Columna5]]</f>
        <v>316120</v>
      </c>
      <c r="D33" s="10">
        <f>+Tabla120[[#This Row],[PRECIO INSTALLER (CON IVA)]]-Tabla120[[#This Row],[Columna2]]</f>
        <v>300314</v>
      </c>
      <c r="E33" s="10">
        <f>+Tabla120[[#This Row],[PRECIO INSTALLER (CON IVA)]]/0.7</f>
        <v>451600</v>
      </c>
      <c r="F33" s="19">
        <f>+Tabla120[[#This Row],[PRECIO INSTALLER (CON IVA)]]*5%</f>
        <v>15806</v>
      </c>
      <c r="G33" s="21">
        <v>0.85</v>
      </c>
      <c r="H33" s="12">
        <f t="shared" si="1"/>
        <v>268702</v>
      </c>
      <c r="I33" s="11"/>
      <c r="J33" s="11"/>
      <c r="K33" s="37">
        <v>225800</v>
      </c>
    </row>
    <row r="34" spans="1:11" ht="93.75" x14ac:dyDescent="0.2">
      <c r="A34" s="33" t="s">
        <v>30</v>
      </c>
      <c r="B34" s="32" t="s">
        <v>134</v>
      </c>
      <c r="C34" s="10">
        <f>+Tabla120[[#This Row],[COSTO +IVA]]/Tabla120[[#This Row],[Columna5]]</f>
        <v>413280</v>
      </c>
      <c r="D34" s="10">
        <f>+Tabla120[[#This Row],[PRECIO INSTALLER (CON IVA)]]-Tabla120[[#This Row],[Columna2]]</f>
        <v>392616</v>
      </c>
      <c r="E34" s="10">
        <f>+Tabla120[[#This Row],[PRECIO INSTALLER (CON IVA)]]/0.7</f>
        <v>590400</v>
      </c>
      <c r="F34" s="19">
        <f>+Tabla120[[#This Row],[PRECIO INSTALLER (CON IVA)]]*5%</f>
        <v>20664</v>
      </c>
      <c r="G34" s="8">
        <v>0.85</v>
      </c>
      <c r="H34" s="7">
        <f t="shared" si="1"/>
        <v>351288</v>
      </c>
      <c r="K34" s="37">
        <v>295200</v>
      </c>
    </row>
    <row r="35" spans="1:11" ht="94.5" x14ac:dyDescent="0.2">
      <c r="A35" s="31" t="s">
        <v>135</v>
      </c>
      <c r="B35" s="32" t="s">
        <v>136</v>
      </c>
      <c r="C35" s="10">
        <f>+Tabla120[[#This Row],[COSTO +IVA]]/Tabla120[[#This Row],[Columna5]]</f>
        <v>457660</v>
      </c>
      <c r="D35" s="10">
        <f>+Tabla120[[#This Row],[PRECIO INSTALLER (CON IVA)]]-Tabla120[[#This Row],[Columna2]]</f>
        <v>434777</v>
      </c>
      <c r="E35" s="10">
        <f>+Tabla120[[#This Row],[PRECIO INSTALLER (CON IVA)]]/0.7</f>
        <v>653800</v>
      </c>
      <c r="F35" s="19">
        <f>+Tabla120[[#This Row],[PRECIO INSTALLER (CON IVA)]]*5%</f>
        <v>22883</v>
      </c>
      <c r="G35" s="20">
        <v>0.85</v>
      </c>
      <c r="H35" s="12">
        <f t="shared" si="1"/>
        <v>389011</v>
      </c>
      <c r="I35" s="11"/>
      <c r="J35" s="11"/>
      <c r="K35" s="37">
        <v>326900</v>
      </c>
    </row>
    <row r="36" spans="1:11" ht="40.5" x14ac:dyDescent="0.2">
      <c r="A36" s="31" t="s">
        <v>71</v>
      </c>
      <c r="B36" s="32" t="s">
        <v>137</v>
      </c>
      <c r="C36" s="10">
        <f>+Tabla120[[#This Row],[COSTO +IVA]]/Tabla120[[#This Row],[Columna5]]</f>
        <v>76666.8</v>
      </c>
      <c r="D36" s="10">
        <f>+Tabla120[[#This Row],[PRECIO INSTALLER (CON IVA)]]-Tabla120[[#This Row],[Columna2]]</f>
        <v>72833.460000000006</v>
      </c>
      <c r="E36" s="10">
        <f>+Tabla120[[#This Row],[PRECIO INSTALLER (CON IVA)]]/0.7</f>
        <v>109524.00000000001</v>
      </c>
      <c r="F36" s="19">
        <f>+Tabla120[[#This Row],[PRECIO INSTALLER (CON IVA)]]*5%</f>
        <v>3833.34</v>
      </c>
      <c r="G36" s="8">
        <v>0.85</v>
      </c>
      <c r="H36" s="7">
        <f t="shared" si="1"/>
        <v>65166.78</v>
      </c>
      <c r="K36" s="37">
        <v>54762</v>
      </c>
    </row>
    <row r="37" spans="1:11" s="11" customFormat="1" ht="40.5" x14ac:dyDescent="0.2">
      <c r="A37" s="31" t="s">
        <v>138</v>
      </c>
      <c r="B37" s="32" t="s">
        <v>139</v>
      </c>
      <c r="C37" s="10">
        <f>+Tabla120[[#This Row],[COSTO +IVA]]/Tabla120[[#This Row],[Columna5]]</f>
        <v>184240</v>
      </c>
      <c r="D37" s="10">
        <f>+Tabla120[[#This Row],[PRECIO INSTALLER (CON IVA)]]-Tabla120[[#This Row],[Columna2]]</f>
        <v>175028</v>
      </c>
      <c r="E37" s="10">
        <f>+Tabla120[[#This Row],[PRECIO INSTALLER (CON IVA)]]/0.7</f>
        <v>263200</v>
      </c>
      <c r="F37" s="19">
        <f>+Tabla120[[#This Row],[PRECIO INSTALLER (CON IVA)]]*5%</f>
        <v>9212</v>
      </c>
      <c r="G37" s="8">
        <v>0.85</v>
      </c>
      <c r="H37" s="7">
        <f t="shared" si="1"/>
        <v>156604</v>
      </c>
      <c r="I37" s="1"/>
      <c r="J37" s="1"/>
      <c r="K37" s="37">
        <v>131600</v>
      </c>
    </row>
    <row r="38" spans="1:11" ht="27" x14ac:dyDescent="0.2">
      <c r="A38" s="31" t="s">
        <v>10</v>
      </c>
      <c r="B38" s="32" t="s">
        <v>140</v>
      </c>
      <c r="C38" s="10">
        <f>+Tabla120[[#This Row],[COSTO +IVA]]/Tabla120[[#This Row],[Columna5]]</f>
        <v>85960</v>
      </c>
      <c r="D38" s="10">
        <f>+Tabla120[[#This Row],[PRECIO INSTALLER (CON IVA)]]-Tabla120[[#This Row],[Columna2]]</f>
        <v>81662</v>
      </c>
      <c r="E38" s="10">
        <f>+Tabla120[[#This Row],[PRECIO INSTALLER (CON IVA)]]/0.7</f>
        <v>122800.00000000001</v>
      </c>
      <c r="F38" s="19">
        <f>+Tabla120[[#This Row],[PRECIO INSTALLER (CON IVA)]]*5%</f>
        <v>4298</v>
      </c>
      <c r="G38" s="21">
        <v>0.85</v>
      </c>
      <c r="H38" s="12">
        <f t="shared" si="1"/>
        <v>73066</v>
      </c>
      <c r="I38" s="11"/>
      <c r="J38" s="11"/>
      <c r="K38" s="37">
        <v>61400</v>
      </c>
    </row>
    <row r="39" spans="1:11" ht="27" x14ac:dyDescent="0.2">
      <c r="A39" s="31" t="s">
        <v>18</v>
      </c>
      <c r="B39" s="32" t="s">
        <v>141</v>
      </c>
      <c r="C39" s="10">
        <f>+Tabla120[[#This Row],[COSTO +IVA]]/Tabla120[[#This Row],[Columna5]]</f>
        <v>141680</v>
      </c>
      <c r="D39" s="10">
        <f>+Tabla120[[#This Row],[PRECIO INSTALLER (CON IVA)]]-Tabla120[[#This Row],[Columna2]]</f>
        <v>134596</v>
      </c>
      <c r="E39" s="10">
        <f>+Tabla120[[#This Row],[PRECIO INSTALLER (CON IVA)]]/0.7</f>
        <v>202400</v>
      </c>
      <c r="F39" s="19">
        <f>+Tabla120[[#This Row],[PRECIO INSTALLER (CON IVA)]]*5%</f>
        <v>7084</v>
      </c>
      <c r="G39" s="21">
        <v>0.85</v>
      </c>
      <c r="H39" s="12">
        <f t="shared" si="1"/>
        <v>120428</v>
      </c>
      <c r="I39" s="11"/>
      <c r="J39" s="11"/>
      <c r="K39" s="37">
        <v>101200</v>
      </c>
    </row>
    <row r="40" spans="1:11" ht="40.5" x14ac:dyDescent="0.2">
      <c r="A40" s="31" t="s">
        <v>66</v>
      </c>
      <c r="B40" s="32" t="s">
        <v>142</v>
      </c>
      <c r="C40" s="10">
        <f>+Tabla120[[#This Row],[COSTO +IVA]]/Tabla120[[#This Row],[Columna5]]</f>
        <v>41300</v>
      </c>
      <c r="D40" s="10">
        <f>+Tabla120[[#This Row],[PRECIO INSTALLER (CON IVA)]]-Tabla120[[#This Row],[Columna2]]</f>
        <v>39235</v>
      </c>
      <c r="E40" s="10">
        <f>+Tabla120[[#This Row],[PRECIO INSTALLER (CON IVA)]]/0.7</f>
        <v>59000.000000000007</v>
      </c>
      <c r="F40" s="19">
        <f>+Tabla120[[#This Row],[PRECIO INSTALLER (CON IVA)]]*5%</f>
        <v>2065</v>
      </c>
      <c r="G40" s="8">
        <v>0.85</v>
      </c>
      <c r="H40" s="7">
        <f t="shared" si="1"/>
        <v>35105</v>
      </c>
      <c r="K40" s="37">
        <v>29500</v>
      </c>
    </row>
    <row r="41" spans="1:11" ht="54" x14ac:dyDescent="0.2">
      <c r="A41" s="31" t="s">
        <v>70</v>
      </c>
      <c r="B41" s="32" t="s">
        <v>143</v>
      </c>
      <c r="C41" s="10">
        <f>+Tabla120[[#This Row],[COSTO +IVA]]/Tabla120[[#This Row],[Columna5]]</f>
        <v>70263.199999999997</v>
      </c>
      <c r="D41" s="10">
        <f>+Tabla120[[#This Row],[PRECIO INSTALLER (CON IVA)]]-Tabla120[[#This Row],[Columna2]]</f>
        <v>66750.039999999994</v>
      </c>
      <c r="E41" s="10">
        <f>+Tabla120[[#This Row],[PRECIO INSTALLER (CON IVA)]]/0.7</f>
        <v>100376</v>
      </c>
      <c r="F41" s="19">
        <f>+Tabla120[[#This Row],[PRECIO INSTALLER (CON IVA)]]*5%</f>
        <v>3513.16</v>
      </c>
      <c r="G41" s="8">
        <v>0.85</v>
      </c>
      <c r="H41" s="7">
        <f t="shared" si="1"/>
        <v>59723.719999999994</v>
      </c>
      <c r="K41" s="37">
        <v>50188</v>
      </c>
    </row>
    <row r="42" spans="1:11" ht="54" x14ac:dyDescent="0.2">
      <c r="A42" s="31" t="s">
        <v>144</v>
      </c>
      <c r="B42" s="32" t="s">
        <v>145</v>
      </c>
      <c r="C42" s="10">
        <f>+Tabla120[[#This Row],[COSTO +IVA]]/Tabla120[[#This Row],[Columna5]]</f>
        <v>98140</v>
      </c>
      <c r="D42" s="10">
        <f>+Tabla120[[#This Row],[PRECIO INSTALLER (CON IVA)]]-Tabla120[[#This Row],[Columna2]]</f>
        <v>93233</v>
      </c>
      <c r="E42" s="10">
        <f>+Tabla120[[#This Row],[PRECIO INSTALLER (CON IVA)]]/0.7</f>
        <v>140200</v>
      </c>
      <c r="F42" s="19">
        <f>+Tabla120[[#This Row],[PRECIO INSTALLER (CON IVA)]]*5%</f>
        <v>4907</v>
      </c>
      <c r="G42" s="8">
        <v>0.85</v>
      </c>
      <c r="H42" s="7">
        <f t="shared" si="1"/>
        <v>83419</v>
      </c>
      <c r="K42" s="37">
        <v>70100</v>
      </c>
    </row>
    <row r="43" spans="1:11" ht="54" x14ac:dyDescent="0.2">
      <c r="A43" s="31" t="s">
        <v>146</v>
      </c>
      <c r="B43" s="32" t="s">
        <v>147</v>
      </c>
      <c r="C43" s="10">
        <f>+Tabla120[[#This Row],[COSTO +IVA]]/Tabla120[[#This Row],[Columna5]]</f>
        <v>257040</v>
      </c>
      <c r="D43" s="10">
        <f>+Tabla120[[#This Row],[PRECIO INSTALLER (CON IVA)]]-Tabla120[[#This Row],[Columna2]]</f>
        <v>244188</v>
      </c>
      <c r="E43" s="10">
        <f>+Tabla120[[#This Row],[PRECIO INSTALLER (CON IVA)]]/0.7</f>
        <v>367200</v>
      </c>
      <c r="F43" s="19">
        <f>+Tabla120[[#This Row],[PRECIO INSTALLER (CON IVA)]]*5%</f>
        <v>12852</v>
      </c>
      <c r="G43" s="21">
        <v>0.85</v>
      </c>
      <c r="H43" s="12">
        <f t="shared" si="1"/>
        <v>218484</v>
      </c>
      <c r="I43" s="11"/>
      <c r="J43" s="11"/>
      <c r="K43" s="37">
        <v>183600</v>
      </c>
    </row>
    <row r="44" spans="1:11" ht="81" x14ac:dyDescent="0.2">
      <c r="A44" s="31" t="s">
        <v>65</v>
      </c>
      <c r="B44" s="32" t="s">
        <v>148</v>
      </c>
      <c r="C44" s="10">
        <f>+Tabla120[[#This Row],[COSTO +IVA]]/Tabla120[[#This Row],[Columna5]]</f>
        <v>33600</v>
      </c>
      <c r="D44" s="10">
        <f>+Tabla120[[#This Row],[PRECIO INSTALLER (CON IVA)]]-Tabla120[[#This Row],[Columna2]]</f>
        <v>31920</v>
      </c>
      <c r="E44" s="10">
        <f>+Tabla120[[#This Row],[PRECIO INSTALLER (CON IVA)]]/0.7</f>
        <v>48000</v>
      </c>
      <c r="F44" s="19">
        <f>+Tabla120[[#This Row],[PRECIO INSTALLER (CON IVA)]]*5%</f>
        <v>1680</v>
      </c>
      <c r="G44" s="21">
        <v>0.85</v>
      </c>
      <c r="H44" s="12">
        <f t="shared" si="1"/>
        <v>28560</v>
      </c>
      <c r="I44" s="11"/>
      <c r="J44" s="11"/>
      <c r="K44" s="37">
        <v>24000</v>
      </c>
    </row>
    <row r="45" spans="1:11" ht="67.5" x14ac:dyDescent="0.2">
      <c r="A45" s="31" t="s">
        <v>13</v>
      </c>
      <c r="B45" s="32" t="s">
        <v>149</v>
      </c>
      <c r="C45" s="10">
        <f>+Tabla120[[#This Row],[COSTO +IVA]]/Tabla120[[#This Row],[Columna5]]</f>
        <v>78960</v>
      </c>
      <c r="D45" s="10">
        <f>+Tabla120[[#This Row],[PRECIO INSTALLER (CON IVA)]]-Tabla120[[#This Row],[Columna2]]</f>
        <v>75012</v>
      </c>
      <c r="E45" s="10">
        <f>+Tabla120[[#This Row],[PRECIO INSTALLER (CON IVA)]]/0.7</f>
        <v>112800</v>
      </c>
      <c r="F45" s="19">
        <f>+Tabla120[[#This Row],[PRECIO INSTALLER (CON IVA)]]*5%</f>
        <v>3948</v>
      </c>
      <c r="G45" s="21">
        <v>0.85</v>
      </c>
      <c r="H45" s="12">
        <f t="shared" si="1"/>
        <v>67116</v>
      </c>
      <c r="I45" s="11"/>
      <c r="J45" s="11"/>
      <c r="K45" s="37">
        <v>56400</v>
      </c>
    </row>
    <row r="46" spans="1:11" ht="54" x14ac:dyDescent="0.2">
      <c r="A46" s="31" t="s">
        <v>51</v>
      </c>
      <c r="B46" s="32" t="s">
        <v>150</v>
      </c>
      <c r="C46" s="10">
        <f>+Tabla120[[#This Row],[COSTO +IVA]]/Tabla120[[#This Row],[Columna5]]</f>
        <v>22302</v>
      </c>
      <c r="D46" s="10">
        <f>+Tabla120[[#This Row],[PRECIO INSTALLER (CON IVA)]]-Tabla120[[#This Row],[Columna2]]</f>
        <v>21186.9</v>
      </c>
      <c r="E46" s="10">
        <f>+Tabla120[[#This Row],[PRECIO INSTALLER (CON IVA)]]/0.7</f>
        <v>31860.000000000004</v>
      </c>
      <c r="F46" s="19">
        <f>+Tabla120[[#This Row],[PRECIO INSTALLER (CON IVA)]]*5%</f>
        <v>1115.1000000000001</v>
      </c>
      <c r="G46" s="20">
        <v>0.85</v>
      </c>
      <c r="H46" s="12">
        <f t="shared" si="1"/>
        <v>18956.7</v>
      </c>
      <c r="I46" s="11"/>
      <c r="J46" s="11"/>
      <c r="K46" s="37">
        <v>15930</v>
      </c>
    </row>
    <row r="47" spans="1:11" ht="40.5" x14ac:dyDescent="0.2">
      <c r="A47" s="31" t="s">
        <v>63</v>
      </c>
      <c r="B47" s="32" t="s">
        <v>62</v>
      </c>
      <c r="C47" s="10">
        <f>+Tabla120[[#This Row],[COSTO +IVA]]/Tabla120[[#This Row],[Columna5]]</f>
        <v>20653.111111111109</v>
      </c>
      <c r="D47" s="10">
        <f>+Tabla120[[#This Row],[PRECIO INSTALLER (CON IVA)]]-Tabla120[[#This Row],[Columna2]]</f>
        <v>19620.455555555553</v>
      </c>
      <c r="E47" s="10">
        <f>+Tabla120[[#This Row],[PRECIO INSTALLER (CON IVA)]]/0.7</f>
        <v>29504.444444444445</v>
      </c>
      <c r="F47" s="19">
        <f>+Tabla120[[#This Row],[PRECIO INSTALLER (CON IVA)]]*5%</f>
        <v>1032.6555555555556</v>
      </c>
      <c r="G47" s="20">
        <v>0.9</v>
      </c>
      <c r="H47" s="12">
        <f>K47*1.19</f>
        <v>18587.8</v>
      </c>
      <c r="I47" s="11"/>
      <c r="J47" s="11"/>
      <c r="K47" s="37">
        <v>15620</v>
      </c>
    </row>
    <row r="48" spans="1:11" ht="54" x14ac:dyDescent="0.2">
      <c r="A48" s="31" t="s">
        <v>151</v>
      </c>
      <c r="B48" s="32" t="s">
        <v>152</v>
      </c>
      <c r="C48" s="10">
        <f>+Tabla120[[#This Row],[COSTO +IVA]]/Tabla120[[#This Row],[Columna5]]</f>
        <v>26740</v>
      </c>
      <c r="D48" s="10">
        <f>+Tabla120[[#This Row],[PRECIO INSTALLER (CON IVA)]]-Tabla120[[#This Row],[Columna2]]</f>
        <v>25403</v>
      </c>
      <c r="E48" s="10">
        <f>+Tabla120[[#This Row],[PRECIO INSTALLER (CON IVA)]]/0.7</f>
        <v>38200</v>
      </c>
      <c r="F48" s="19">
        <f>+Tabla120[[#This Row],[PRECIO INSTALLER (CON IVA)]]*5%</f>
        <v>1337</v>
      </c>
      <c r="G48" s="8">
        <v>0.85</v>
      </c>
      <c r="H48" s="7">
        <f t="shared" si="1"/>
        <v>22729</v>
      </c>
      <c r="K48" s="37">
        <v>19100</v>
      </c>
    </row>
    <row r="49" spans="1:11" ht="27" x14ac:dyDescent="0.2">
      <c r="A49" s="31" t="s">
        <v>270</v>
      </c>
      <c r="B49" s="32" t="s">
        <v>59</v>
      </c>
      <c r="C49" s="10">
        <f>+Tabla120[[#This Row],[COSTO +IVA]]/Tabla120[[#This Row],[Columna5]]</f>
        <v>158555.6</v>
      </c>
      <c r="D49" s="10">
        <f>+Tabla120[[#This Row],[PRECIO INSTALLER (CON IVA)]]-Tabla120[[#This Row],[Columna2]]</f>
        <v>150627.82</v>
      </c>
      <c r="E49" s="10">
        <f>+Tabla120[[#This Row],[PRECIO INSTALLER (CON IVA)]]/0.7</f>
        <v>226508.00000000003</v>
      </c>
      <c r="F49" s="19">
        <f>+Tabla120[[#This Row],[PRECIO INSTALLER (CON IVA)]]*5%</f>
        <v>7927.7800000000007</v>
      </c>
      <c r="G49" s="8">
        <v>0.9</v>
      </c>
      <c r="H49" s="7">
        <f>K49*1.19</f>
        <v>142700.04</v>
      </c>
      <c r="K49" s="37">
        <v>119916</v>
      </c>
    </row>
    <row r="50" spans="1:11" ht="54" x14ac:dyDescent="0.2">
      <c r="A50" s="31" t="s">
        <v>64</v>
      </c>
      <c r="B50" s="32" t="s">
        <v>153</v>
      </c>
      <c r="C50" s="10">
        <f>+Tabla120[[#This Row],[COSTO +IVA]]/Tabla120[[#This Row],[Columna5]]</f>
        <v>33597.199999999997</v>
      </c>
      <c r="D50" s="10">
        <f>+Tabla120[[#This Row],[PRECIO INSTALLER (CON IVA)]]-Tabla120[[#This Row],[Columna2]]</f>
        <v>31917.339999999997</v>
      </c>
      <c r="E50" s="10">
        <f>+Tabla120[[#This Row],[PRECIO INSTALLER (CON IVA)]]/0.7</f>
        <v>47996</v>
      </c>
      <c r="F50" s="19">
        <f>+Tabla120[[#This Row],[PRECIO INSTALLER (CON IVA)]]*5%</f>
        <v>1679.86</v>
      </c>
      <c r="G50" s="8">
        <v>0.85</v>
      </c>
      <c r="H50" s="7">
        <f t="shared" si="1"/>
        <v>28557.62</v>
      </c>
      <c r="K50" s="37">
        <v>23998</v>
      </c>
    </row>
    <row r="51" spans="1:11" ht="27" x14ac:dyDescent="0.2">
      <c r="A51" s="31" t="s">
        <v>57</v>
      </c>
      <c r="B51" s="32" t="s">
        <v>154</v>
      </c>
      <c r="C51" s="23">
        <f>+Tabla120[[#This Row],[COSTO +IVA]]/Tabla120[[#This Row],[Columna5]]</f>
        <v>89180</v>
      </c>
      <c r="D51" s="23">
        <f>+Tabla120[[#This Row],[PRECIO INSTALLER (CON IVA)]]-Tabla120[[#This Row],[Columna2]]</f>
        <v>84721</v>
      </c>
      <c r="E51" s="23">
        <f>+Tabla120[[#This Row],[PRECIO INSTALLER (CON IVA)]]/0.7</f>
        <v>127400.00000000001</v>
      </c>
      <c r="F51" s="22">
        <f>+Tabla120[[#This Row],[PRECIO INSTALLER (CON IVA)]]*5%</f>
        <v>4459</v>
      </c>
      <c r="G51" s="8">
        <v>0.85</v>
      </c>
      <c r="H51" s="7">
        <f t="shared" si="1"/>
        <v>75803</v>
      </c>
      <c r="K51" s="37">
        <v>63700</v>
      </c>
    </row>
    <row r="52" spans="1:11" ht="13.5" customHeight="1" x14ac:dyDescent="0.2">
      <c r="A52" s="31" t="s">
        <v>155</v>
      </c>
      <c r="B52" s="32" t="s">
        <v>156</v>
      </c>
      <c r="C52" s="10">
        <f>+Tabla120[[#This Row],[COSTO +IVA]]/Tabla120[[#This Row],[Columna5]]</f>
        <v>44380</v>
      </c>
      <c r="D52" s="10">
        <f>+Tabla120[[#This Row],[PRECIO INSTALLER (CON IVA)]]-Tabla120[[#This Row],[Columna2]]</f>
        <v>42161</v>
      </c>
      <c r="E52" s="10">
        <f>+Tabla120[[#This Row],[PRECIO INSTALLER (CON IVA)]]/0.7</f>
        <v>63400.000000000007</v>
      </c>
      <c r="F52" s="19">
        <f>+Tabla120[[#This Row],[PRECIO INSTALLER (CON IVA)]]*5%</f>
        <v>2219</v>
      </c>
      <c r="G52" s="8">
        <v>0.85</v>
      </c>
      <c r="H52" s="7">
        <f t="shared" si="1"/>
        <v>37723</v>
      </c>
      <c r="K52" s="37">
        <v>31700</v>
      </c>
    </row>
    <row r="53" spans="1:11" ht="54" x14ac:dyDescent="0.2">
      <c r="A53" s="31" t="s">
        <v>157</v>
      </c>
      <c r="B53" s="32" t="s">
        <v>158</v>
      </c>
      <c r="C53" s="10">
        <f>+Tabla120[[#This Row],[COSTO +IVA]]/Tabla120[[#This Row],[Columna5]]</f>
        <v>127680</v>
      </c>
      <c r="D53" s="10">
        <f>+Tabla120[[#This Row],[PRECIO INSTALLER (CON IVA)]]-Tabla120[[#This Row],[Columna2]]</f>
        <v>121296</v>
      </c>
      <c r="E53" s="10">
        <f>+Tabla120[[#This Row],[PRECIO INSTALLER (CON IVA)]]/0.7</f>
        <v>182400</v>
      </c>
      <c r="F53" s="19">
        <f>+Tabla120[[#This Row],[PRECIO INSTALLER (CON IVA)]]*5%</f>
        <v>6384</v>
      </c>
      <c r="G53" s="8">
        <v>0.85</v>
      </c>
      <c r="H53" s="7">
        <f t="shared" si="1"/>
        <v>108528</v>
      </c>
      <c r="K53" s="37">
        <v>91200</v>
      </c>
    </row>
    <row r="54" spans="1:11" ht="40.5" x14ac:dyDescent="0.2">
      <c r="A54" s="31" t="s">
        <v>159</v>
      </c>
      <c r="B54" s="32" t="s">
        <v>160</v>
      </c>
      <c r="C54" s="10">
        <f>+Tabla120[[#This Row],[COSTO +IVA]]/Tabla120[[#This Row],[Columna5]]</f>
        <v>149380</v>
      </c>
      <c r="D54" s="10">
        <f>+Tabla120[[#This Row],[PRECIO INSTALLER (CON IVA)]]-Tabla120[[#This Row],[Columna2]]</f>
        <v>141911</v>
      </c>
      <c r="E54" s="10">
        <f>+Tabla120[[#This Row],[PRECIO INSTALLER (CON IVA)]]/0.7</f>
        <v>213400</v>
      </c>
      <c r="F54" s="19">
        <f>+Tabla120[[#This Row],[PRECIO INSTALLER (CON IVA)]]*5%</f>
        <v>7469</v>
      </c>
      <c r="G54" s="8">
        <v>0.85</v>
      </c>
      <c r="H54" s="7">
        <f t="shared" si="1"/>
        <v>126973</v>
      </c>
      <c r="K54" s="37">
        <v>106700</v>
      </c>
    </row>
    <row r="55" spans="1:11" ht="40.5" x14ac:dyDescent="0.2">
      <c r="A55" s="31" t="s">
        <v>22</v>
      </c>
      <c r="B55" s="32" t="s">
        <v>161</v>
      </c>
      <c r="C55" s="10">
        <f>+Tabla120[[#This Row],[COSTO +IVA]]/Tabla120[[#This Row],[Columna5]]</f>
        <v>236600</v>
      </c>
      <c r="D55" s="10">
        <f>+Tabla120[[#This Row],[PRECIO INSTALLER (CON IVA)]]-Tabla120[[#This Row],[Columna2]]</f>
        <v>224770</v>
      </c>
      <c r="E55" s="10">
        <f>+Tabla120[[#This Row],[PRECIO INSTALLER (CON IVA)]]/0.7</f>
        <v>338000</v>
      </c>
      <c r="F55" s="19">
        <f>+Tabla120[[#This Row],[PRECIO INSTALLER (CON IVA)]]*5%</f>
        <v>11830</v>
      </c>
      <c r="G55" s="8">
        <v>0.85</v>
      </c>
      <c r="H55" s="7">
        <f t="shared" si="1"/>
        <v>201110</v>
      </c>
      <c r="K55" s="37">
        <v>169000</v>
      </c>
    </row>
    <row r="56" spans="1:11" ht="81" x14ac:dyDescent="0.2">
      <c r="A56" s="31" t="s">
        <v>21</v>
      </c>
      <c r="B56" s="32" t="s">
        <v>162</v>
      </c>
      <c r="C56" s="10">
        <f>+Tabla120[[#This Row],[COSTO +IVA]]/Tabla120[[#This Row],[Columna5]]</f>
        <v>285600</v>
      </c>
      <c r="D56" s="10">
        <f>+Tabla120[[#This Row],[PRECIO INSTALLER (CON IVA)]]-Tabla120[[#This Row],[Columna2]]</f>
        <v>271320</v>
      </c>
      <c r="E56" s="10">
        <f>+Tabla120[[#This Row],[PRECIO INSTALLER (CON IVA)]]/0.7</f>
        <v>408000</v>
      </c>
      <c r="F56" s="19">
        <f>+Tabla120[[#This Row],[PRECIO INSTALLER (CON IVA)]]*5%</f>
        <v>14280</v>
      </c>
      <c r="G56" s="20">
        <v>0.85</v>
      </c>
      <c r="H56" s="12">
        <f t="shared" ref="H56:H81" si="2">K56*1.19</f>
        <v>242760</v>
      </c>
      <c r="I56" s="11"/>
      <c r="J56" s="11"/>
      <c r="K56" s="37">
        <v>204000</v>
      </c>
    </row>
    <row r="57" spans="1:11" ht="40.5" x14ac:dyDescent="0.2">
      <c r="A57" s="33" t="s">
        <v>9</v>
      </c>
      <c r="B57" s="32" t="s">
        <v>163</v>
      </c>
      <c r="C57" s="10">
        <f>+Tabla120[[#This Row],[COSTO +IVA]]/Tabla120[[#This Row],[Columna5]]</f>
        <v>61040</v>
      </c>
      <c r="D57" s="10">
        <f>+Tabla120[[#This Row],[PRECIO INSTALLER (CON IVA)]]-Tabla120[[#This Row],[Columna2]]</f>
        <v>57988</v>
      </c>
      <c r="E57" s="10">
        <f>+Tabla120[[#This Row],[PRECIO INSTALLER (CON IVA)]]/0.7</f>
        <v>87200</v>
      </c>
      <c r="F57" s="19">
        <f>+Tabla120[[#This Row],[PRECIO INSTALLER (CON IVA)]]*5%</f>
        <v>3052</v>
      </c>
      <c r="G57" s="21">
        <v>0.85</v>
      </c>
      <c r="H57" s="12">
        <f t="shared" si="2"/>
        <v>51884</v>
      </c>
      <c r="I57" s="11"/>
      <c r="J57" s="11"/>
      <c r="K57" s="37">
        <v>43600</v>
      </c>
    </row>
    <row r="58" spans="1:11" ht="40.5" x14ac:dyDescent="0.2">
      <c r="A58" s="31" t="s">
        <v>61</v>
      </c>
      <c r="B58" s="32" t="s">
        <v>164</v>
      </c>
      <c r="C58" s="10">
        <f>+Tabla120[[#This Row],[COSTO +IVA]]/Tabla120[[#This Row],[Columna5]]</f>
        <v>21700</v>
      </c>
      <c r="D58" s="10">
        <f>+Tabla120[[#This Row],[PRECIO INSTALLER (CON IVA)]]-Tabla120[[#This Row],[Columna2]]</f>
        <v>20615</v>
      </c>
      <c r="E58" s="10">
        <f>+Tabla120[[#This Row],[PRECIO INSTALLER (CON IVA)]]/0.7</f>
        <v>31000.000000000004</v>
      </c>
      <c r="F58" s="19">
        <f>+Tabla120[[#This Row],[PRECIO INSTALLER (CON IVA)]]*5%</f>
        <v>1085</v>
      </c>
      <c r="G58" s="8">
        <v>0.85</v>
      </c>
      <c r="H58" s="7">
        <f t="shared" si="2"/>
        <v>18445</v>
      </c>
      <c r="K58" s="37">
        <v>15500</v>
      </c>
    </row>
    <row r="59" spans="1:11" ht="40.5" x14ac:dyDescent="0.2">
      <c r="A59" s="31" t="s">
        <v>5</v>
      </c>
      <c r="B59" s="32" t="s">
        <v>165</v>
      </c>
      <c r="C59" s="10">
        <f>+Tabla120[[#This Row],[COSTO +IVA]]/Tabla120[[#This Row],[Columna5]]</f>
        <v>36820</v>
      </c>
      <c r="D59" s="10">
        <f>+Tabla120[[#This Row],[PRECIO INSTALLER (CON IVA)]]-Tabla120[[#This Row],[Columna2]]</f>
        <v>34979</v>
      </c>
      <c r="E59" s="10">
        <f>+Tabla120[[#This Row],[PRECIO INSTALLER (CON IVA)]]/0.7</f>
        <v>52600</v>
      </c>
      <c r="F59" s="19">
        <f>+Tabla120[[#This Row],[PRECIO INSTALLER (CON IVA)]]*5%</f>
        <v>1841</v>
      </c>
      <c r="G59" s="8">
        <v>0.85</v>
      </c>
      <c r="H59" s="7">
        <f t="shared" si="2"/>
        <v>31297</v>
      </c>
      <c r="K59" s="37">
        <v>26300</v>
      </c>
    </row>
    <row r="60" spans="1:11" s="11" customFormat="1" ht="40.5" x14ac:dyDescent="0.2">
      <c r="A60" s="33" t="s">
        <v>166</v>
      </c>
      <c r="B60" s="32" t="s">
        <v>167</v>
      </c>
      <c r="C60" s="10">
        <f>+Tabla120[[#This Row],[COSTO +IVA]]/Tabla120[[#This Row],[Columna5]]</f>
        <v>433580</v>
      </c>
      <c r="D60" s="10">
        <f>+Tabla120[[#This Row],[PRECIO INSTALLER (CON IVA)]]-Tabla120[[#This Row],[Columna2]]</f>
        <v>411901</v>
      </c>
      <c r="E60" s="10">
        <f>+Tabla120[[#This Row],[PRECIO INSTALLER (CON IVA)]]/0.7</f>
        <v>619400</v>
      </c>
      <c r="F60" s="19">
        <f>+Tabla120[[#This Row],[PRECIO INSTALLER (CON IVA)]]*5%</f>
        <v>21679</v>
      </c>
      <c r="G60" s="21">
        <v>0.85</v>
      </c>
      <c r="H60" s="12">
        <f t="shared" si="2"/>
        <v>368543</v>
      </c>
      <c r="K60" s="37">
        <v>309700</v>
      </c>
    </row>
    <row r="61" spans="1:11" ht="40.5" x14ac:dyDescent="0.2">
      <c r="A61" s="33" t="s">
        <v>35</v>
      </c>
      <c r="B61" s="32" t="s">
        <v>168</v>
      </c>
      <c r="C61" s="10">
        <f>+Tabla120[[#This Row],[COSTO +IVA]]/Tabla120[[#This Row],[Columna5]]</f>
        <v>443240</v>
      </c>
      <c r="D61" s="10">
        <f>+Tabla120[[#This Row],[PRECIO INSTALLER (CON IVA)]]-Tabla120[[#This Row],[Columna2]]</f>
        <v>421078</v>
      </c>
      <c r="E61" s="10">
        <f>+Tabla120[[#This Row],[PRECIO INSTALLER (CON IVA)]]/0.7</f>
        <v>633200</v>
      </c>
      <c r="F61" s="19">
        <f>+Tabla120[[#This Row],[PRECIO INSTALLER (CON IVA)]]*5%</f>
        <v>22162</v>
      </c>
      <c r="G61" s="8">
        <v>0.85</v>
      </c>
      <c r="H61" s="7">
        <f t="shared" si="2"/>
        <v>376754</v>
      </c>
      <c r="K61" s="37">
        <v>316600</v>
      </c>
    </row>
    <row r="62" spans="1:11" ht="27" x14ac:dyDescent="0.2">
      <c r="A62" s="33" t="s">
        <v>169</v>
      </c>
      <c r="B62" s="32" t="s">
        <v>170</v>
      </c>
      <c r="C62" s="10">
        <f>+Tabla120[[#This Row],[COSTO +IVA]]/Tabla120[[#This Row],[Columna5]]</f>
        <v>31360</v>
      </c>
      <c r="D62" s="10">
        <f>+Tabla120[[#This Row],[PRECIO INSTALLER (CON IVA)]]-Tabla120[[#This Row],[Columna2]]</f>
        <v>29792</v>
      </c>
      <c r="E62" s="10">
        <f>+Tabla120[[#This Row],[PRECIO INSTALLER (CON IVA)]]/0.7</f>
        <v>44800</v>
      </c>
      <c r="F62" s="19">
        <f>+Tabla120[[#This Row],[PRECIO INSTALLER (CON IVA)]]*5%</f>
        <v>1568</v>
      </c>
      <c r="G62" s="8">
        <v>0.85</v>
      </c>
      <c r="H62" s="7">
        <f t="shared" si="2"/>
        <v>26656</v>
      </c>
      <c r="K62" s="37">
        <v>22400</v>
      </c>
    </row>
    <row r="63" spans="1:11" ht="54" x14ac:dyDescent="0.2">
      <c r="A63" s="33" t="s">
        <v>25</v>
      </c>
      <c r="B63" s="32" t="s">
        <v>171</v>
      </c>
      <c r="C63" s="10">
        <f>+Tabla120[[#This Row],[COSTO +IVA]]/Tabla120[[#This Row],[Columna5]]</f>
        <v>270760</v>
      </c>
      <c r="D63" s="10">
        <f>+Tabla120[[#This Row],[PRECIO INSTALLER (CON IVA)]]-Tabla120[[#This Row],[Columna2]]</f>
        <v>257222</v>
      </c>
      <c r="E63" s="10">
        <f>+Tabla120[[#This Row],[PRECIO INSTALLER (CON IVA)]]/0.7</f>
        <v>386800</v>
      </c>
      <c r="F63" s="19">
        <f>+Tabla120[[#This Row],[PRECIO INSTALLER (CON IVA)]]*5%</f>
        <v>13538</v>
      </c>
      <c r="G63" s="21">
        <v>0.85</v>
      </c>
      <c r="H63" s="12">
        <f t="shared" si="2"/>
        <v>230146</v>
      </c>
      <c r="I63" s="11"/>
      <c r="J63" s="11"/>
      <c r="K63" s="37">
        <v>193400</v>
      </c>
    </row>
    <row r="64" spans="1:11" ht="40.5" x14ac:dyDescent="0.2">
      <c r="A64" s="33" t="s">
        <v>17</v>
      </c>
      <c r="B64" s="32" t="s">
        <v>172</v>
      </c>
      <c r="C64" s="10">
        <f>+Tabla120[[#This Row],[COSTO +IVA]]/Tabla120[[#This Row],[Columna5]]</f>
        <v>116340</v>
      </c>
      <c r="D64" s="10">
        <f>+Tabla120[[#This Row],[PRECIO INSTALLER (CON IVA)]]-Tabla120[[#This Row],[Columna2]]</f>
        <v>110523</v>
      </c>
      <c r="E64" s="10">
        <f>+Tabla120[[#This Row],[PRECIO INSTALLER (CON IVA)]]/0.7</f>
        <v>166200</v>
      </c>
      <c r="F64" s="19">
        <f>+Tabla120[[#This Row],[PRECIO INSTALLER (CON IVA)]]*5%</f>
        <v>5817</v>
      </c>
      <c r="G64" s="21">
        <v>0.85</v>
      </c>
      <c r="H64" s="12">
        <f t="shared" si="2"/>
        <v>98889</v>
      </c>
      <c r="I64" s="11"/>
      <c r="J64" s="11"/>
      <c r="K64" s="37">
        <v>83100</v>
      </c>
    </row>
    <row r="65" spans="1:11" ht="81" x14ac:dyDescent="0.2">
      <c r="A65" s="33" t="s">
        <v>24</v>
      </c>
      <c r="B65" s="32" t="s">
        <v>173</v>
      </c>
      <c r="C65" s="10">
        <f>+Tabla120[[#This Row],[COSTO +IVA]]/Tabla120[[#This Row],[Columna5]]</f>
        <v>266700</v>
      </c>
      <c r="D65" s="10">
        <f>+Tabla120[[#This Row],[PRECIO INSTALLER (CON IVA)]]-Tabla120[[#This Row],[Columna2]]</f>
        <v>253365</v>
      </c>
      <c r="E65" s="10">
        <f>+Tabla120[[#This Row],[PRECIO INSTALLER (CON IVA)]]/0.7</f>
        <v>381000</v>
      </c>
      <c r="F65" s="19">
        <f>+Tabla120[[#This Row],[PRECIO INSTALLER (CON IVA)]]*5%</f>
        <v>13335</v>
      </c>
      <c r="G65" s="8">
        <v>0.85</v>
      </c>
      <c r="H65" s="7">
        <f t="shared" si="2"/>
        <v>226695</v>
      </c>
      <c r="K65" s="37">
        <v>190500</v>
      </c>
    </row>
    <row r="66" spans="1:11" s="11" customFormat="1" ht="67.5" x14ac:dyDescent="0.2">
      <c r="A66" s="33" t="s">
        <v>174</v>
      </c>
      <c r="B66" s="32" t="s">
        <v>175</v>
      </c>
      <c r="C66" s="10">
        <f>+Tabla120[[#This Row],[COSTO +IVA]]/Tabla120[[#This Row],[Columna5]]</f>
        <v>259000</v>
      </c>
      <c r="D66" s="10">
        <f>+Tabla120[[#This Row],[PRECIO INSTALLER (CON IVA)]]-Tabla120[[#This Row],[Columna2]]</f>
        <v>246050</v>
      </c>
      <c r="E66" s="10">
        <f>+Tabla120[[#This Row],[PRECIO INSTALLER (CON IVA)]]/0.7</f>
        <v>370000</v>
      </c>
      <c r="F66" s="19">
        <f>+Tabla120[[#This Row],[PRECIO INSTALLER (CON IVA)]]*5%</f>
        <v>12950</v>
      </c>
      <c r="G66" s="20">
        <v>0.85</v>
      </c>
      <c r="H66" s="12">
        <f t="shared" si="2"/>
        <v>220150</v>
      </c>
      <c r="K66" s="37">
        <v>185000</v>
      </c>
    </row>
    <row r="67" spans="1:11" ht="54" x14ac:dyDescent="0.2">
      <c r="A67" s="33" t="s">
        <v>67</v>
      </c>
      <c r="B67" s="32" t="s">
        <v>176</v>
      </c>
      <c r="C67" s="10">
        <f>+Tabla120[[#This Row],[COSTO +IVA]]/Tabla120[[#This Row],[Columna5]]</f>
        <v>64260</v>
      </c>
      <c r="D67" s="10">
        <f>+Tabla120[[#This Row],[PRECIO INSTALLER (CON IVA)]]-Tabla120[[#This Row],[Columna2]]</f>
        <v>61047</v>
      </c>
      <c r="E67" s="10">
        <f>+Tabla120[[#This Row],[PRECIO INSTALLER (CON IVA)]]/0.7</f>
        <v>91800</v>
      </c>
      <c r="F67" s="19">
        <f>+Tabla120[[#This Row],[PRECIO INSTALLER (CON IVA)]]*5%</f>
        <v>3213</v>
      </c>
      <c r="G67" s="8">
        <v>0.85</v>
      </c>
      <c r="H67" s="7">
        <f t="shared" si="2"/>
        <v>54621</v>
      </c>
      <c r="K67" s="37">
        <v>45900</v>
      </c>
    </row>
    <row r="68" spans="1:11" ht="27" x14ac:dyDescent="0.2">
      <c r="A68" s="33" t="s">
        <v>69</v>
      </c>
      <c r="B68" s="32" t="s">
        <v>177</v>
      </c>
      <c r="C68" s="10">
        <f>+Tabla120[[#This Row],[COSTO +IVA]]/Tabla120[[#This Row],[Columna5]]</f>
        <v>79240</v>
      </c>
      <c r="D68" s="10">
        <f>+Tabla120[[#This Row],[PRECIO INSTALLER (CON IVA)]]-Tabla120[[#This Row],[Columna2]]</f>
        <v>75278</v>
      </c>
      <c r="E68" s="10">
        <f>+Tabla120[[#This Row],[PRECIO INSTALLER (CON IVA)]]/0.7</f>
        <v>113200</v>
      </c>
      <c r="F68" s="19">
        <f>+Tabla120[[#This Row],[PRECIO INSTALLER (CON IVA)]]*5%</f>
        <v>3962</v>
      </c>
      <c r="G68" s="8">
        <v>0.85</v>
      </c>
      <c r="H68" s="7">
        <f t="shared" si="2"/>
        <v>67354</v>
      </c>
      <c r="K68" s="37">
        <v>56600</v>
      </c>
    </row>
    <row r="69" spans="1:11" ht="40.5" x14ac:dyDescent="0.2">
      <c r="A69" s="33" t="s">
        <v>73</v>
      </c>
      <c r="B69" s="32" t="s">
        <v>178</v>
      </c>
      <c r="C69" s="10">
        <f>+Tabla120[[#This Row],[COSTO +IVA]]/Tabla120[[#This Row],[Columna5]]</f>
        <v>237160</v>
      </c>
      <c r="D69" s="10">
        <f>+Tabla120[[#This Row],[PRECIO INSTALLER (CON IVA)]]-Tabla120[[#This Row],[Columna2]]</f>
        <v>225302</v>
      </c>
      <c r="E69" s="10">
        <f>+Tabla120[[#This Row],[PRECIO INSTALLER (CON IVA)]]/0.7</f>
        <v>338800</v>
      </c>
      <c r="F69" s="19">
        <f>+Tabla120[[#This Row],[PRECIO INSTALLER (CON IVA)]]*5%</f>
        <v>11858</v>
      </c>
      <c r="G69" s="21">
        <v>0.85</v>
      </c>
      <c r="H69" s="12">
        <f t="shared" si="2"/>
        <v>201586</v>
      </c>
      <c r="I69" s="11"/>
      <c r="J69" s="11"/>
      <c r="K69" s="37">
        <v>169400</v>
      </c>
    </row>
    <row r="70" spans="1:11" ht="40.5" x14ac:dyDescent="0.2">
      <c r="A70" s="33" t="s">
        <v>179</v>
      </c>
      <c r="B70" s="32" t="s">
        <v>180</v>
      </c>
      <c r="C70" s="10">
        <f>+Tabla120[[#This Row],[COSTO +IVA]]/Tabla120[[#This Row],[Columna5]]</f>
        <v>163100</v>
      </c>
      <c r="D70" s="10">
        <f>+Tabla120[[#This Row],[PRECIO INSTALLER (CON IVA)]]-Tabla120[[#This Row],[Columna2]]</f>
        <v>154945</v>
      </c>
      <c r="E70" s="10">
        <f>+Tabla120[[#This Row],[PRECIO INSTALLER (CON IVA)]]/0.7</f>
        <v>233000.00000000003</v>
      </c>
      <c r="F70" s="19">
        <f>+Tabla120[[#This Row],[PRECIO INSTALLER (CON IVA)]]*5%</f>
        <v>8155</v>
      </c>
      <c r="G70" s="20">
        <v>0.85</v>
      </c>
      <c r="H70" s="12">
        <f t="shared" si="2"/>
        <v>138635</v>
      </c>
      <c r="I70" s="11"/>
      <c r="J70" s="11"/>
      <c r="K70" s="37">
        <v>116500</v>
      </c>
    </row>
    <row r="71" spans="1:11" ht="54" x14ac:dyDescent="0.2">
      <c r="A71" s="33" t="s">
        <v>54</v>
      </c>
      <c r="B71" s="32" t="s">
        <v>181</v>
      </c>
      <c r="C71" s="10">
        <f>+Tabla120[[#This Row],[COSTO +IVA]]/Tabla120[[#This Row],[Columna5]]</f>
        <v>84980</v>
      </c>
      <c r="D71" s="10">
        <f>+Tabla120[[#This Row],[PRECIO INSTALLER (CON IVA)]]-Tabla120[[#This Row],[Columna2]]</f>
        <v>80731</v>
      </c>
      <c r="E71" s="10">
        <f>+Tabla120[[#This Row],[PRECIO INSTALLER (CON IVA)]]/0.7</f>
        <v>121400.00000000001</v>
      </c>
      <c r="F71" s="19">
        <f>+Tabla120[[#This Row],[PRECIO INSTALLER (CON IVA)]]*5%</f>
        <v>4249</v>
      </c>
      <c r="G71" s="21">
        <v>0.85</v>
      </c>
      <c r="H71" s="12">
        <f t="shared" si="2"/>
        <v>72233</v>
      </c>
      <c r="I71" s="11"/>
      <c r="J71" s="11"/>
      <c r="K71" s="37">
        <v>60700</v>
      </c>
    </row>
    <row r="72" spans="1:11" ht="54" x14ac:dyDescent="0.2">
      <c r="A72" s="33" t="s">
        <v>55</v>
      </c>
      <c r="B72" s="32" t="s">
        <v>182</v>
      </c>
      <c r="C72" s="10">
        <f>+Tabla120[[#This Row],[COSTO +IVA]]/Tabla120[[#This Row],[Columna5]]</f>
        <v>167860</v>
      </c>
      <c r="D72" s="10">
        <f>+Tabla120[[#This Row],[PRECIO INSTALLER (CON IVA)]]-Tabla120[[#This Row],[Columna2]]</f>
        <v>159467</v>
      </c>
      <c r="E72" s="10">
        <f>+Tabla120[[#This Row],[PRECIO INSTALLER (CON IVA)]]/0.7</f>
        <v>239800.00000000003</v>
      </c>
      <c r="F72" s="9">
        <f>+Tabla120[[#This Row],[PRECIO INSTALLER (CON IVA)]]*5%</f>
        <v>8393</v>
      </c>
      <c r="G72" s="21">
        <v>0.85</v>
      </c>
      <c r="H72" s="12">
        <f t="shared" si="2"/>
        <v>142681</v>
      </c>
      <c r="I72" s="11"/>
      <c r="J72" s="11"/>
      <c r="K72" s="37">
        <v>119900</v>
      </c>
    </row>
    <row r="73" spans="1:11" ht="27" x14ac:dyDescent="0.2">
      <c r="A73" s="33" t="s">
        <v>74</v>
      </c>
      <c r="B73" s="32" t="s">
        <v>271</v>
      </c>
      <c r="C73" s="10">
        <f>+Tabla120[[#This Row],[COSTO +IVA]]/Tabla120[[#This Row],[Columna5]]</f>
        <v>173502</v>
      </c>
      <c r="D73" s="10">
        <f>+Tabla120[[#This Row],[PRECIO INSTALLER (CON IVA)]]-Tabla120[[#This Row],[Columna2]]</f>
        <v>164826.9</v>
      </c>
      <c r="E73" s="10">
        <f>+Tabla120[[#This Row],[PRECIO INSTALLER (CON IVA)]]/0.7</f>
        <v>247860.00000000003</v>
      </c>
      <c r="F73" s="19">
        <f>+Tabla120[[#This Row],[PRECIO INSTALLER (CON IVA)]]*5%</f>
        <v>8675.1</v>
      </c>
      <c r="G73" s="20">
        <v>1</v>
      </c>
      <c r="H73" s="12">
        <f>K73*1.19</f>
        <v>173502</v>
      </c>
      <c r="I73" s="11"/>
      <c r="J73" s="11"/>
      <c r="K73" s="37">
        <v>145800</v>
      </c>
    </row>
    <row r="74" spans="1:11" ht="94.5" x14ac:dyDescent="0.2">
      <c r="A74" s="33" t="s">
        <v>26</v>
      </c>
      <c r="B74" s="32" t="s">
        <v>183</v>
      </c>
      <c r="C74" s="10">
        <f>+Tabla120[[#This Row],[COSTO +IVA]]/Tabla120[[#This Row],[Columna5]]</f>
        <v>199640</v>
      </c>
      <c r="D74" s="10">
        <f>+Tabla120[[#This Row],[PRECIO INSTALLER (CON IVA)]]-Tabla120[[#This Row],[Columna2]]</f>
        <v>189658</v>
      </c>
      <c r="E74" s="10">
        <f>+Tabla120[[#This Row],[PRECIO INSTALLER (CON IVA)]]/0.7</f>
        <v>285200</v>
      </c>
      <c r="F74" s="19">
        <f>+Tabla120[[#This Row],[PRECIO INSTALLER (CON IVA)]]*5%</f>
        <v>9982</v>
      </c>
      <c r="G74" s="8">
        <v>0.85</v>
      </c>
      <c r="H74" s="7">
        <f t="shared" si="2"/>
        <v>169694</v>
      </c>
      <c r="K74" s="37">
        <v>142600</v>
      </c>
    </row>
    <row r="75" spans="1:11" ht="40.5" x14ac:dyDescent="0.2">
      <c r="A75" s="33" t="s">
        <v>268</v>
      </c>
      <c r="B75" s="32" t="s">
        <v>47</v>
      </c>
      <c r="C75" s="10">
        <f>+Tabla120[[#This Row],[COSTO +IVA]]/Tabla120[[#This Row],[Columna5]]</f>
        <v>279897.8</v>
      </c>
      <c r="D75" s="10">
        <f>+Tabla120[[#This Row],[PRECIO INSTALLER (CON IVA)]]-Tabla120[[#This Row],[Columna2]]</f>
        <v>265902.90999999997</v>
      </c>
      <c r="E75" s="10">
        <f>+Tabla120[[#This Row],[PRECIO INSTALLER (CON IVA)]]/0.7</f>
        <v>399854</v>
      </c>
      <c r="F75" s="19">
        <f>+Tabla120[[#This Row],[PRECIO INSTALLER (CON IVA)]]*5%</f>
        <v>13994.89</v>
      </c>
      <c r="G75" s="8">
        <v>0.85</v>
      </c>
      <c r="H75" s="7">
        <f t="shared" si="2"/>
        <v>237913.12999999998</v>
      </c>
      <c r="K75" s="37">
        <v>199927</v>
      </c>
    </row>
    <row r="76" spans="1:11" customFormat="1" ht="54" x14ac:dyDescent="0.25">
      <c r="A76" s="33" t="s">
        <v>79</v>
      </c>
      <c r="B76" s="32" t="s">
        <v>269</v>
      </c>
      <c r="C76" s="10">
        <f>+Tabla120[[#This Row],[COSTO +IVA]]/Tabla120[[#This Row],[Columna5]]</f>
        <v>772358.92222222209</v>
      </c>
      <c r="D76" s="10">
        <f>+Tabla120[[#This Row],[PRECIO INSTALLER (CON IVA)]]-Tabla120[[#This Row],[Columna2]]</f>
        <v>733740.976111111</v>
      </c>
      <c r="E76" s="10">
        <f>+Tabla120[[#This Row],[PRECIO INSTALLER (CON IVA)]]/0.7</f>
        <v>1103369.8888888888</v>
      </c>
      <c r="F76" s="19">
        <f>+Tabla120[[#This Row],[PRECIO INSTALLER (CON IVA)]]*5%</f>
        <v>38617.946111111109</v>
      </c>
      <c r="G76" s="8">
        <v>0.9</v>
      </c>
      <c r="H76" s="7">
        <f t="shared" si="2"/>
        <v>695123.02999999991</v>
      </c>
      <c r="K76" s="37">
        <v>584137</v>
      </c>
    </row>
    <row r="77" spans="1:11" s="11" customFormat="1" ht="54" x14ac:dyDescent="0.2">
      <c r="A77" s="35" t="s">
        <v>184</v>
      </c>
      <c r="B77" s="32" t="s">
        <v>185</v>
      </c>
      <c r="C77" s="10">
        <f>+Tabla120[[#This Row],[COSTO +IVA]]/Tabla120[[#This Row],[Columna5]]</f>
        <v>446180</v>
      </c>
      <c r="D77" s="10">
        <f>+Tabla120[[#This Row],[PRECIO INSTALLER (CON IVA)]]-Tabla120[[#This Row],[Columna2]]</f>
        <v>423871</v>
      </c>
      <c r="E77" s="10">
        <f>+Tabla120[[#This Row],[PRECIO INSTALLER (CON IVA)]]/0.7</f>
        <v>637400</v>
      </c>
      <c r="F77" s="19">
        <f>+Tabla120[[#This Row],[PRECIO INSTALLER (CON IVA)]]*5%</f>
        <v>22309</v>
      </c>
      <c r="G77" s="20">
        <v>0.85</v>
      </c>
      <c r="H77" s="7">
        <f t="shared" si="2"/>
        <v>379253</v>
      </c>
      <c r="K77" s="37">
        <v>318700</v>
      </c>
    </row>
    <row r="78" spans="1:11" ht="54" x14ac:dyDescent="0.2">
      <c r="A78" s="33" t="s">
        <v>186</v>
      </c>
      <c r="B78" s="32" t="s">
        <v>187</v>
      </c>
      <c r="C78" s="10">
        <f>+Tabla120[[#This Row],[COSTO +IVA]]/Tabla120[[#This Row],[Columna5]]</f>
        <v>498120</v>
      </c>
      <c r="D78" s="10">
        <f>+Tabla120[[#This Row],[PRECIO INSTALLER (CON IVA)]]-Tabla120[[#This Row],[Columna2]]</f>
        <v>473214</v>
      </c>
      <c r="E78" s="10">
        <f>+Tabla120[[#This Row],[PRECIO INSTALLER (CON IVA)]]/0.7</f>
        <v>711600</v>
      </c>
      <c r="F78" s="19">
        <f>+Tabla120[[#This Row],[PRECIO INSTALLER (CON IVA)]]*5%</f>
        <v>24906</v>
      </c>
      <c r="G78" s="8">
        <v>0.85</v>
      </c>
      <c r="H78" s="7">
        <f t="shared" si="2"/>
        <v>423402</v>
      </c>
      <c r="K78" s="37">
        <v>355800</v>
      </c>
    </row>
    <row r="79" spans="1:11" ht="54" x14ac:dyDescent="0.2">
      <c r="A79" s="33" t="s">
        <v>188</v>
      </c>
      <c r="B79" s="32" t="s">
        <v>189</v>
      </c>
      <c r="C79" s="10">
        <f>+Tabla120[[#This Row],[COSTO +IVA]]/Tabla120[[#This Row],[Columna5]]</f>
        <v>591360</v>
      </c>
      <c r="D79" s="10">
        <f>+Tabla120[[#This Row],[PRECIO INSTALLER (CON IVA)]]-Tabla120[[#This Row],[Columna2]]</f>
        <v>561792</v>
      </c>
      <c r="E79" s="10">
        <f>+Tabla120[[#This Row],[PRECIO INSTALLER (CON IVA)]]/0.7</f>
        <v>844800</v>
      </c>
      <c r="F79" s="19">
        <f>+Tabla120[[#This Row],[PRECIO INSTALLER (CON IVA)]]*5%</f>
        <v>29568</v>
      </c>
      <c r="G79" s="21">
        <v>0.85</v>
      </c>
      <c r="H79" s="12">
        <f t="shared" si="2"/>
        <v>502656</v>
      </c>
      <c r="I79" s="11"/>
      <c r="J79" s="11"/>
      <c r="K79" s="37">
        <v>422400</v>
      </c>
    </row>
    <row r="80" spans="1:11" ht="54" x14ac:dyDescent="0.2">
      <c r="A80" s="33" t="s">
        <v>42</v>
      </c>
      <c r="B80" s="32" t="s">
        <v>190</v>
      </c>
      <c r="C80" s="10">
        <f>+Tabla120[[#This Row],[COSTO +IVA]]/Tabla120[[#This Row],[Columna5]]</f>
        <v>783020</v>
      </c>
      <c r="D80" s="10">
        <f>+Tabla120[[#This Row],[PRECIO INSTALLER (CON IVA)]]-Tabla120[[#This Row],[Columna2]]</f>
        <v>743869</v>
      </c>
      <c r="E80" s="10">
        <f>+Tabla120[[#This Row],[PRECIO INSTALLER (CON IVA)]]/0.7</f>
        <v>1118600</v>
      </c>
      <c r="F80" s="19">
        <f>+Tabla120[[#This Row],[PRECIO INSTALLER (CON IVA)]]*5%</f>
        <v>39151</v>
      </c>
      <c r="G80" s="8">
        <v>0.85</v>
      </c>
      <c r="H80" s="7">
        <f t="shared" si="2"/>
        <v>665567</v>
      </c>
      <c r="K80" s="37">
        <v>559300</v>
      </c>
    </row>
    <row r="81" spans="1:11" s="11" customFormat="1" ht="54" x14ac:dyDescent="0.2">
      <c r="A81" s="33" t="s">
        <v>191</v>
      </c>
      <c r="B81" s="32" t="s">
        <v>192</v>
      </c>
      <c r="C81" s="10">
        <f>+Tabla120[[#This Row],[COSTO +IVA]]/Tabla120[[#This Row],[Columna5]]</f>
        <v>816480</v>
      </c>
      <c r="D81" s="10">
        <f>+Tabla120[[#This Row],[PRECIO INSTALLER (CON IVA)]]-Tabla120[[#This Row],[Columna2]]</f>
        <v>775656</v>
      </c>
      <c r="E81" s="10">
        <f>+Tabla120[[#This Row],[PRECIO INSTALLER (CON IVA)]]/0.7</f>
        <v>1166400</v>
      </c>
      <c r="F81" s="19">
        <f>+Tabla120[[#This Row],[PRECIO INSTALLER (CON IVA)]]*5%</f>
        <v>40824</v>
      </c>
      <c r="G81" s="21">
        <v>0.85</v>
      </c>
      <c r="H81" s="12">
        <f t="shared" si="2"/>
        <v>694008</v>
      </c>
      <c r="K81" s="37">
        <v>583200</v>
      </c>
    </row>
    <row r="82" spans="1:11" s="11" customFormat="1" ht="40.5" x14ac:dyDescent="0.2">
      <c r="A82" s="33" t="s">
        <v>272</v>
      </c>
      <c r="B82" s="32" t="s">
        <v>273</v>
      </c>
      <c r="C82" s="10">
        <f>+Tabla120[[#This Row],[COSTO +IVA]]/Tabla120[[#This Row],[Columna5]]</f>
        <v>945000</v>
      </c>
      <c r="D82" s="10">
        <f>+Tabla120[[#This Row],[PRECIO INSTALLER (CON IVA)]]-Tabla120[[#This Row],[Columna2]]</f>
        <v>897750</v>
      </c>
      <c r="E82" s="10">
        <f>+Tabla120[[#This Row],[PRECIO INSTALLER (CON IVA)]]/0.7</f>
        <v>1350000</v>
      </c>
      <c r="F82" s="19">
        <f>+Tabla120[[#This Row],[PRECIO INSTALLER (CON IVA)]]*5%</f>
        <v>47250</v>
      </c>
      <c r="G82" s="21">
        <v>0.85</v>
      </c>
      <c r="H82" s="12">
        <f>K82*1.19</f>
        <v>803250</v>
      </c>
      <c r="K82" s="37">
        <v>675000</v>
      </c>
    </row>
    <row r="83" spans="1:11" ht="40.5" x14ac:dyDescent="0.2">
      <c r="A83" s="33" t="s">
        <v>193</v>
      </c>
      <c r="B83" s="32" t="s">
        <v>194</v>
      </c>
      <c r="C83" s="10">
        <f>+Tabla120[[#This Row],[COSTO +IVA]]/Tabla120[[#This Row],[Columna5]]</f>
        <v>118720</v>
      </c>
      <c r="D83" s="10">
        <f>+Tabla120[[#This Row],[PRECIO INSTALLER (CON IVA)]]-Tabla120[[#This Row],[Columna2]]</f>
        <v>112784</v>
      </c>
      <c r="E83" s="10">
        <f>+Tabla120[[#This Row],[PRECIO INSTALLER (CON IVA)]]/0.7</f>
        <v>169600</v>
      </c>
      <c r="F83" s="19">
        <f>+Tabla120[[#This Row],[PRECIO INSTALLER (CON IVA)]]*5%</f>
        <v>5936</v>
      </c>
      <c r="G83" s="8">
        <v>0.85</v>
      </c>
      <c r="H83" s="7">
        <f>K83*1.19</f>
        <v>100912</v>
      </c>
      <c r="K83" s="37">
        <v>84800</v>
      </c>
    </row>
    <row r="84" spans="1:11" ht="40.5" x14ac:dyDescent="0.2">
      <c r="A84" s="31" t="s">
        <v>195</v>
      </c>
      <c r="B84" s="32" t="s">
        <v>196</v>
      </c>
      <c r="C84" s="10">
        <f>+Tabla120[[#This Row],[COSTO +IVA]]/Tabla120[[#This Row],[Columna5]]</f>
        <v>68180</v>
      </c>
      <c r="D84" s="10">
        <f>+Tabla120[[#This Row],[PRECIO INSTALLER (CON IVA)]]-Tabla120[[#This Row],[Columna2]]</f>
        <v>64771</v>
      </c>
      <c r="E84" s="10">
        <f>+Tabla120[[#This Row],[PRECIO INSTALLER (CON IVA)]]/0.7</f>
        <v>97400</v>
      </c>
      <c r="F84" s="19">
        <f>+Tabla120[[#This Row],[PRECIO INSTALLER (CON IVA)]]*5%</f>
        <v>3409</v>
      </c>
      <c r="G84" s="21">
        <v>0.85</v>
      </c>
      <c r="H84" s="12">
        <f t="shared" ref="H84:H99" si="3">K84*1.19</f>
        <v>57953</v>
      </c>
      <c r="I84" s="11"/>
      <c r="J84" s="11"/>
      <c r="K84" s="37">
        <v>48700</v>
      </c>
    </row>
    <row r="85" spans="1:11" s="11" customFormat="1" ht="40.5" x14ac:dyDescent="0.2">
      <c r="A85" s="31" t="s">
        <v>19</v>
      </c>
      <c r="B85" s="32" t="s">
        <v>197</v>
      </c>
      <c r="C85" s="10">
        <f>+Tabla120[[#This Row],[COSTO +IVA]]/Tabla120[[#This Row],[Columna5]]</f>
        <v>172200</v>
      </c>
      <c r="D85" s="10">
        <f>+Tabla120[[#This Row],[PRECIO INSTALLER (CON IVA)]]-Tabla120[[#This Row],[Columna2]]</f>
        <v>163590</v>
      </c>
      <c r="E85" s="10">
        <f>+Tabla120[[#This Row],[PRECIO INSTALLER (CON IVA)]]/0.7</f>
        <v>246000.00000000003</v>
      </c>
      <c r="F85" s="19">
        <f>+Tabla120[[#This Row],[PRECIO INSTALLER (CON IVA)]]*5%</f>
        <v>8610</v>
      </c>
      <c r="G85" s="8">
        <v>0.85</v>
      </c>
      <c r="H85" s="7">
        <f t="shared" si="3"/>
        <v>146370</v>
      </c>
      <c r="I85" s="1"/>
      <c r="J85" s="1"/>
      <c r="K85" s="37">
        <v>123000</v>
      </c>
    </row>
    <row r="86" spans="1:11" s="11" customFormat="1" ht="67.5" x14ac:dyDescent="0.2">
      <c r="A86" s="33" t="s">
        <v>23</v>
      </c>
      <c r="B86" s="32" t="s">
        <v>198</v>
      </c>
      <c r="C86" s="10">
        <f>+Tabla120[[#This Row],[COSTO +IVA]]/Tabla120[[#This Row],[Columna5]]</f>
        <v>262500</v>
      </c>
      <c r="D86" s="10">
        <f>+Tabla120[[#This Row],[PRECIO INSTALLER (CON IVA)]]-Tabla120[[#This Row],[Columna2]]</f>
        <v>249375</v>
      </c>
      <c r="E86" s="10">
        <f>+Tabla120[[#This Row],[PRECIO INSTALLER (CON IVA)]]/0.7</f>
        <v>375000</v>
      </c>
      <c r="F86" s="19">
        <f>+Tabla120[[#This Row],[PRECIO INSTALLER (CON IVA)]]*5%</f>
        <v>13125</v>
      </c>
      <c r="G86" s="21">
        <v>0.85</v>
      </c>
      <c r="H86" s="12">
        <f t="shared" si="3"/>
        <v>223125</v>
      </c>
      <c r="K86" s="37">
        <v>187500</v>
      </c>
    </row>
    <row r="87" spans="1:11" s="11" customFormat="1" ht="67.5" x14ac:dyDescent="0.2">
      <c r="A87" s="33" t="s">
        <v>27</v>
      </c>
      <c r="B87" s="32" t="s">
        <v>199</v>
      </c>
      <c r="C87" s="10">
        <f>+Tabla120[[#This Row],[COSTO +IVA]]/Tabla120[[#This Row],[Columna5]]</f>
        <v>378420</v>
      </c>
      <c r="D87" s="10">
        <f>+Tabla120[[#This Row],[PRECIO INSTALLER (CON IVA)]]-Tabla120[[#This Row],[Columna2]]</f>
        <v>359499</v>
      </c>
      <c r="E87" s="10">
        <f>+Tabla120[[#This Row],[PRECIO INSTALLER (CON IVA)]]/0.7</f>
        <v>540600</v>
      </c>
      <c r="F87" s="19">
        <f>+Tabla120[[#This Row],[PRECIO INSTALLER (CON IVA)]]*5%</f>
        <v>18921</v>
      </c>
      <c r="G87" s="21">
        <v>0.85</v>
      </c>
      <c r="H87" s="12">
        <f t="shared" si="3"/>
        <v>321657</v>
      </c>
      <c r="K87" s="37">
        <v>270300</v>
      </c>
    </row>
    <row r="88" spans="1:11" s="11" customFormat="1" ht="67.5" x14ac:dyDescent="0.2">
      <c r="A88" s="33" t="s">
        <v>200</v>
      </c>
      <c r="B88" s="32" t="s">
        <v>201</v>
      </c>
      <c r="C88" s="10">
        <f>+Tabla120[[#This Row],[COSTO +IVA]]/Tabla120[[#This Row],[Columna5]]</f>
        <v>459672.09302325582</v>
      </c>
      <c r="D88" s="10">
        <f>+Tabla120[[#This Row],[PRECIO INSTALLER (CON IVA)]]-Tabla120[[#This Row],[Columna2]]</f>
        <v>436688.48837209301</v>
      </c>
      <c r="E88" s="10">
        <f>+Tabla120[[#This Row],[PRECIO INSTALLER (CON IVA)]]/0.7</f>
        <v>656674.41860465123</v>
      </c>
      <c r="F88" s="19">
        <f>+Tabla120[[#This Row],[PRECIO INSTALLER (CON IVA)]]*5%</f>
        <v>22983.604651162794</v>
      </c>
      <c r="G88" s="8">
        <v>0.86</v>
      </c>
      <c r="H88" s="7">
        <f t="shared" si="3"/>
        <v>395318</v>
      </c>
      <c r="I88" s="1"/>
      <c r="J88" s="1"/>
      <c r="K88" s="37">
        <v>332200</v>
      </c>
    </row>
    <row r="89" spans="1:11" s="11" customFormat="1" ht="81" x14ac:dyDescent="0.2">
      <c r="A89" s="33" t="s">
        <v>202</v>
      </c>
      <c r="B89" s="32" t="s">
        <v>203</v>
      </c>
      <c r="C89" s="10">
        <f>+Tabla120[[#This Row],[COSTO +IVA]]/Tabla120[[#This Row],[Columna5]]</f>
        <v>745220</v>
      </c>
      <c r="D89" s="10">
        <f>+Tabla120[[#This Row],[PRECIO INSTALLER (CON IVA)]]-Tabla120[[#This Row],[Columna2]]</f>
        <v>707959</v>
      </c>
      <c r="E89" s="10">
        <f>+Tabla120[[#This Row],[PRECIO INSTALLER (CON IVA)]]/0.7</f>
        <v>1064600</v>
      </c>
      <c r="F89" s="19">
        <f>+Tabla120[[#This Row],[PRECIO INSTALLER (CON IVA)]]*5%</f>
        <v>37261</v>
      </c>
      <c r="G89" s="8">
        <v>0.85</v>
      </c>
      <c r="H89" s="7">
        <f t="shared" si="3"/>
        <v>633437</v>
      </c>
      <c r="I89" s="1"/>
      <c r="J89" s="1"/>
      <c r="K89" s="37">
        <v>532300</v>
      </c>
    </row>
    <row r="90" spans="1:11" s="11" customFormat="1" ht="94.5" x14ac:dyDescent="0.2">
      <c r="A90" s="33" t="s">
        <v>72</v>
      </c>
      <c r="B90" s="32" t="s">
        <v>204</v>
      </c>
      <c r="C90" s="10">
        <f>+Tabla120[[#This Row],[COSTO +IVA]]/Tabla120[[#This Row],[Columna5]]</f>
        <v>177100</v>
      </c>
      <c r="D90" s="10">
        <f>+Tabla120[[#This Row],[PRECIO INSTALLER (CON IVA)]]-Tabla120[[#This Row],[Columna2]]</f>
        <v>168245</v>
      </c>
      <c r="E90" s="10">
        <f>+Tabla120[[#This Row],[PRECIO INSTALLER (CON IVA)]]/0.7</f>
        <v>253000.00000000003</v>
      </c>
      <c r="F90" s="19">
        <f>+Tabla120[[#This Row],[PRECIO INSTALLER (CON IVA)]]*5%</f>
        <v>8855</v>
      </c>
      <c r="G90" s="21">
        <v>0.85</v>
      </c>
      <c r="H90" s="12">
        <f t="shared" si="3"/>
        <v>150535</v>
      </c>
      <c r="K90" s="37">
        <v>126500</v>
      </c>
    </row>
    <row r="91" spans="1:11" s="11" customFormat="1" ht="121.5" x14ac:dyDescent="0.2">
      <c r="A91" s="33" t="s">
        <v>31</v>
      </c>
      <c r="B91" s="32" t="s">
        <v>205</v>
      </c>
      <c r="C91" s="10">
        <f>+Tabla120[[#This Row],[COSTO +IVA]]/Tabla120[[#This Row],[Columna5]]</f>
        <v>450940</v>
      </c>
      <c r="D91" s="10">
        <f>+Tabla120[[#This Row],[PRECIO INSTALLER (CON IVA)]]-Tabla120[[#This Row],[Columna2]]</f>
        <v>428393</v>
      </c>
      <c r="E91" s="10">
        <f>+Tabla120[[#This Row],[PRECIO INSTALLER (CON IVA)]]/0.7</f>
        <v>644200</v>
      </c>
      <c r="F91" s="19">
        <f>+Tabla120[[#This Row],[PRECIO INSTALLER (CON IVA)]]*5%</f>
        <v>22547</v>
      </c>
      <c r="G91" s="20">
        <v>0.85</v>
      </c>
      <c r="H91" s="12">
        <f t="shared" si="3"/>
        <v>383299</v>
      </c>
      <c r="K91" s="37">
        <v>322100</v>
      </c>
    </row>
    <row r="92" spans="1:11" s="11" customFormat="1" ht="121.5" x14ac:dyDescent="0.2">
      <c r="A92" s="33" t="s">
        <v>32</v>
      </c>
      <c r="B92" s="32" t="s">
        <v>206</v>
      </c>
      <c r="C92" s="10">
        <f>+Tabla120[[#This Row],[COSTO +IVA]]/Tabla120[[#This Row],[Columna5]]</f>
        <v>478940</v>
      </c>
      <c r="D92" s="10">
        <f>+Tabla120[[#This Row],[PRECIO INSTALLER (CON IVA)]]-Tabla120[[#This Row],[Columna2]]</f>
        <v>454993</v>
      </c>
      <c r="E92" s="10">
        <f>+Tabla120[[#This Row],[PRECIO INSTALLER (CON IVA)]]/0.7</f>
        <v>684200</v>
      </c>
      <c r="F92" s="19">
        <f>+Tabla120[[#This Row],[PRECIO INSTALLER (CON IVA)]]*5%</f>
        <v>23947</v>
      </c>
      <c r="G92" s="21">
        <v>0.85</v>
      </c>
      <c r="H92" s="12">
        <f t="shared" si="3"/>
        <v>407099</v>
      </c>
      <c r="K92" s="37">
        <v>342100</v>
      </c>
    </row>
    <row r="93" spans="1:11" s="11" customFormat="1" ht="121.5" x14ac:dyDescent="0.2">
      <c r="A93" s="33" t="s">
        <v>78</v>
      </c>
      <c r="B93" s="32" t="s">
        <v>207</v>
      </c>
      <c r="C93" s="10">
        <f>+Tabla120[[#This Row],[COSTO +IVA]]/Tabla120[[#This Row],[Columna5]]</f>
        <v>439180</v>
      </c>
      <c r="D93" s="10">
        <f>+Tabla120[[#This Row],[PRECIO INSTALLER (CON IVA)]]-Tabla120[[#This Row],[Columna2]]</f>
        <v>417221</v>
      </c>
      <c r="E93" s="10">
        <f>+Tabla120[[#This Row],[PRECIO INSTALLER (CON IVA)]]/0.7</f>
        <v>627400</v>
      </c>
      <c r="F93" s="19">
        <f>+Tabla120[[#This Row],[PRECIO INSTALLER (CON IVA)]]*5%</f>
        <v>21959</v>
      </c>
      <c r="G93" s="8">
        <v>0.85</v>
      </c>
      <c r="H93" s="7">
        <f t="shared" si="3"/>
        <v>373303</v>
      </c>
      <c r="I93" s="1"/>
      <c r="J93" s="1"/>
      <c r="K93" s="37">
        <v>313700</v>
      </c>
    </row>
    <row r="94" spans="1:11" s="11" customFormat="1" ht="121.5" x14ac:dyDescent="0.2">
      <c r="A94" s="33" t="s">
        <v>36</v>
      </c>
      <c r="B94" s="32" t="s">
        <v>208</v>
      </c>
      <c r="C94" s="10">
        <f>+Tabla120[[#This Row],[COSTO +IVA]]/Tabla120[[#This Row],[Columna5]]</f>
        <v>613480</v>
      </c>
      <c r="D94" s="10">
        <f>+Tabla120[[#This Row],[PRECIO INSTALLER (CON IVA)]]-Tabla120[[#This Row],[Columna2]]</f>
        <v>582806</v>
      </c>
      <c r="E94" s="10">
        <f>+Tabla120[[#This Row],[PRECIO INSTALLER (CON IVA)]]/0.7</f>
        <v>876400</v>
      </c>
      <c r="F94" s="19">
        <f>+Tabla120[[#This Row],[PRECIO INSTALLER (CON IVA)]]*5%</f>
        <v>30674</v>
      </c>
      <c r="G94" s="20">
        <v>0.85</v>
      </c>
      <c r="H94" s="12">
        <f t="shared" si="3"/>
        <v>521458</v>
      </c>
      <c r="K94" s="37">
        <v>438200</v>
      </c>
    </row>
    <row r="95" spans="1:11" s="11" customFormat="1" ht="121.5" x14ac:dyDescent="0.2">
      <c r="A95" s="33" t="s">
        <v>40</v>
      </c>
      <c r="B95" s="32" t="s">
        <v>209</v>
      </c>
      <c r="C95" s="10">
        <f>+Tabla120[[#This Row],[COSTO +IVA]]/Tabla120[[#This Row],[Columna5]]</f>
        <v>719740</v>
      </c>
      <c r="D95" s="10">
        <f>+Tabla120[[#This Row],[PRECIO INSTALLER (CON IVA)]]-Tabla120[[#This Row],[Columna2]]</f>
        <v>683753</v>
      </c>
      <c r="E95" s="10">
        <f>+Tabla120[[#This Row],[PRECIO INSTALLER (CON IVA)]]/0.7</f>
        <v>1028200.0000000001</v>
      </c>
      <c r="F95" s="19">
        <f>+Tabla120[[#This Row],[PRECIO INSTALLER (CON IVA)]]*5%</f>
        <v>35987</v>
      </c>
      <c r="G95" s="8">
        <v>0.85</v>
      </c>
      <c r="H95" s="7">
        <f t="shared" si="3"/>
        <v>611779</v>
      </c>
      <c r="I95" s="1"/>
      <c r="J95" s="1"/>
      <c r="K95" s="37">
        <v>514100</v>
      </c>
    </row>
    <row r="96" spans="1:11" s="11" customFormat="1" ht="67.5" x14ac:dyDescent="0.2">
      <c r="A96" s="33" t="s">
        <v>28</v>
      </c>
      <c r="B96" s="32" t="s">
        <v>210</v>
      </c>
      <c r="C96" s="10">
        <f>+Tabla120[[#This Row],[COSTO +IVA]]/Tabla120[[#This Row],[Columna5]]</f>
        <v>336140</v>
      </c>
      <c r="D96" s="10">
        <f>+Tabla120[[#This Row],[PRECIO INSTALLER (CON IVA)]]-Tabla120[[#This Row],[Columna2]]</f>
        <v>319333</v>
      </c>
      <c r="E96" s="10">
        <f>+Tabla120[[#This Row],[PRECIO INSTALLER (CON IVA)]]/0.7</f>
        <v>480200.00000000006</v>
      </c>
      <c r="F96" s="19">
        <f>+Tabla120[[#This Row],[PRECIO INSTALLER (CON IVA)]]*5%</f>
        <v>16807</v>
      </c>
      <c r="G96" s="8">
        <v>0.85</v>
      </c>
      <c r="H96" s="7">
        <f t="shared" si="3"/>
        <v>285719</v>
      </c>
      <c r="I96" s="1"/>
      <c r="J96" s="1"/>
      <c r="K96" s="37">
        <v>240100</v>
      </c>
    </row>
    <row r="97" spans="1:11" s="11" customFormat="1" ht="67.5" x14ac:dyDescent="0.2">
      <c r="A97" s="36" t="s">
        <v>211</v>
      </c>
      <c r="B97" s="32" t="s">
        <v>212</v>
      </c>
      <c r="C97" s="10">
        <f>+Tabla120[[#This Row],[COSTO +IVA]]/Tabla120[[#This Row],[Columna5]]</f>
        <v>104580</v>
      </c>
      <c r="D97" s="10">
        <f>+Tabla120[[#This Row],[PRECIO INSTALLER (CON IVA)]]-Tabla120[[#This Row],[Columna2]]</f>
        <v>99351</v>
      </c>
      <c r="E97" s="10">
        <f>+Tabla120[[#This Row],[PRECIO INSTALLER (CON IVA)]]/0.7</f>
        <v>149400</v>
      </c>
      <c r="F97" s="19">
        <f>+Tabla120[[#This Row],[PRECIO INSTALLER (CON IVA)]]*5%</f>
        <v>5229</v>
      </c>
      <c r="G97" s="8">
        <v>0.85</v>
      </c>
      <c r="H97" s="7">
        <f t="shared" si="3"/>
        <v>88893</v>
      </c>
      <c r="I97" s="1"/>
      <c r="J97" s="1"/>
      <c r="K97" s="37">
        <v>74700</v>
      </c>
    </row>
    <row r="98" spans="1:11" s="11" customFormat="1" ht="67.5" x14ac:dyDescent="0.2">
      <c r="A98" s="36" t="s">
        <v>75</v>
      </c>
      <c r="B98" s="32" t="s">
        <v>213</v>
      </c>
      <c r="C98" s="10">
        <f>+Tabla120[[#This Row],[COSTO +IVA]]/Tabla120[[#This Row],[Columna5]]</f>
        <v>387770.60000000003</v>
      </c>
      <c r="D98" s="10">
        <f>+Tabla120[[#This Row],[PRECIO INSTALLER (CON IVA)]]-Tabla120[[#This Row],[Columna2]]</f>
        <v>368382.07</v>
      </c>
      <c r="E98" s="10">
        <f>+Tabla120[[#This Row],[PRECIO INSTALLER (CON IVA)]]/0.7</f>
        <v>553958.00000000012</v>
      </c>
      <c r="F98" s="19">
        <f>+Tabla120[[#This Row],[PRECIO INSTALLER (CON IVA)]]*5%</f>
        <v>19388.530000000002</v>
      </c>
      <c r="G98" s="21">
        <v>0.85</v>
      </c>
      <c r="H98" s="12">
        <f t="shared" si="3"/>
        <v>329605.01</v>
      </c>
      <c r="K98" s="37">
        <v>276979</v>
      </c>
    </row>
    <row r="99" spans="1:11" s="11" customFormat="1" ht="27" x14ac:dyDescent="0.2">
      <c r="A99" s="36">
        <v>4920442</v>
      </c>
      <c r="B99" s="32" t="s">
        <v>214</v>
      </c>
      <c r="C99" s="10">
        <f>+Tabla120[[#This Row],[COSTO +IVA]]/Tabla120[[#This Row],[Columna5]]</f>
        <v>179620</v>
      </c>
      <c r="D99" s="10">
        <f>+Tabla120[[#This Row],[PRECIO INSTALLER (CON IVA)]]-Tabla120[[#This Row],[Columna2]]</f>
        <v>170639</v>
      </c>
      <c r="E99" s="10">
        <f>+Tabla120[[#This Row],[PRECIO INSTALLER (CON IVA)]]/0.7</f>
        <v>256600.00000000003</v>
      </c>
      <c r="F99" s="19">
        <f>+Tabla120[[#This Row],[PRECIO INSTALLER (CON IVA)]]*5%</f>
        <v>8981</v>
      </c>
      <c r="G99" s="8">
        <v>0.85</v>
      </c>
      <c r="H99" s="7">
        <f t="shared" si="3"/>
        <v>152677</v>
      </c>
      <c r="I99" s="1"/>
      <c r="J99" s="1"/>
      <c r="K99" s="37">
        <v>128300</v>
      </c>
    </row>
    <row r="100" spans="1:11" s="11" customFormat="1" ht="67.5" x14ac:dyDescent="0.2">
      <c r="A100" s="33" t="s">
        <v>58</v>
      </c>
      <c r="B100" s="32" t="s">
        <v>215</v>
      </c>
      <c r="C100" s="10">
        <f>+Tabla120[[#This Row],[COSTO +IVA]]/Tabla120[[#This Row],[Columna5]]</f>
        <v>1541960</v>
      </c>
      <c r="D100" s="10">
        <f>+Tabla120[[#This Row],[PRECIO INSTALLER (CON IVA)]]-Tabla120[[#This Row],[Columna2]]</f>
        <v>1464862</v>
      </c>
      <c r="E100" s="10">
        <f>+Tabla120[[#This Row],[PRECIO INSTALLER (CON IVA)]]/0.7</f>
        <v>2202800</v>
      </c>
      <c r="F100" s="19">
        <f>+Tabla120[[#This Row],[PRECIO INSTALLER (CON IVA)]]*5%</f>
        <v>77098</v>
      </c>
      <c r="G100" s="8">
        <v>0.85</v>
      </c>
      <c r="H100" s="7">
        <f t="shared" ref="H100:H113" si="4">K100*1.19</f>
        <v>1310666</v>
      </c>
      <c r="I100" s="1"/>
      <c r="J100" s="1"/>
      <c r="K100" s="37">
        <v>1101400</v>
      </c>
    </row>
    <row r="101" spans="1:11" s="11" customFormat="1" ht="108" x14ac:dyDescent="0.2">
      <c r="A101" s="33" t="s">
        <v>68</v>
      </c>
      <c r="B101" s="32" t="s">
        <v>216</v>
      </c>
      <c r="C101" s="10">
        <f>+Tabla120[[#This Row],[COSTO +IVA]]/Tabla120[[#This Row],[Columna5]]</f>
        <v>51240</v>
      </c>
      <c r="D101" s="10">
        <f>+Tabla120[[#This Row],[PRECIO INSTALLER (CON IVA)]]-Tabla120[[#This Row],[Columna2]]</f>
        <v>48678</v>
      </c>
      <c r="E101" s="10">
        <f>+Tabla120[[#This Row],[PRECIO INSTALLER (CON IVA)]]/0.7</f>
        <v>73200</v>
      </c>
      <c r="F101" s="19">
        <f>+Tabla120[[#This Row],[PRECIO INSTALLER (CON IVA)]]*5%</f>
        <v>2562</v>
      </c>
      <c r="G101" s="8">
        <v>0.85</v>
      </c>
      <c r="H101" s="7">
        <f t="shared" si="4"/>
        <v>43554</v>
      </c>
      <c r="I101" s="1"/>
      <c r="J101" s="1"/>
      <c r="K101" s="37">
        <v>36600</v>
      </c>
    </row>
    <row r="102" spans="1:11" s="11" customFormat="1" ht="108" x14ac:dyDescent="0.2">
      <c r="A102" s="33" t="s">
        <v>217</v>
      </c>
      <c r="B102" s="32" t="s">
        <v>218</v>
      </c>
      <c r="C102" s="10">
        <f>+Tabla120[[#This Row],[COSTO +IVA]]/Tabla120[[#This Row],[Columna5]]</f>
        <v>56140</v>
      </c>
      <c r="D102" s="10">
        <f>+Tabla120[[#This Row],[PRECIO INSTALLER (CON IVA)]]-Tabla120[[#This Row],[Columna2]]</f>
        <v>53333</v>
      </c>
      <c r="E102" s="10">
        <f>+Tabla120[[#This Row],[PRECIO INSTALLER (CON IVA)]]/0.7</f>
        <v>80200</v>
      </c>
      <c r="F102" s="19">
        <f>+Tabla120[[#This Row],[PRECIO INSTALLER (CON IVA)]]*5%</f>
        <v>2807</v>
      </c>
      <c r="G102" s="8">
        <v>0.85</v>
      </c>
      <c r="H102" s="7">
        <f t="shared" si="4"/>
        <v>47719</v>
      </c>
      <c r="I102" s="1"/>
      <c r="J102" s="1"/>
      <c r="K102" s="37">
        <v>40100</v>
      </c>
    </row>
    <row r="103" spans="1:11" s="11" customFormat="1" ht="27" x14ac:dyDescent="0.2">
      <c r="A103" s="35" t="s">
        <v>219</v>
      </c>
      <c r="B103" s="32" t="s">
        <v>220</v>
      </c>
      <c r="C103" s="10">
        <f>+Tabla120[[#This Row],[COSTO +IVA]]/Tabla120[[#This Row],[Columna5]]</f>
        <v>658700</v>
      </c>
      <c r="D103" s="10">
        <f>+Tabla120[[#This Row],[PRECIO INSTALLER (CON IVA)]]-Tabla120[[#This Row],[Columna2]]</f>
        <v>625765</v>
      </c>
      <c r="E103" s="10">
        <f>+Tabla120[[#This Row],[PRECIO INSTALLER (CON IVA)]]/0.7</f>
        <v>941000.00000000012</v>
      </c>
      <c r="F103" s="9">
        <f>+Tabla120[[#This Row],[PRECIO INSTALLER (CON IVA)]]*5%</f>
        <v>32935</v>
      </c>
      <c r="G103" s="17">
        <v>0.85</v>
      </c>
      <c r="H103" s="12">
        <f t="shared" si="4"/>
        <v>559895</v>
      </c>
      <c r="K103" s="37">
        <v>470500</v>
      </c>
    </row>
    <row r="104" spans="1:11" s="11" customFormat="1" ht="40.5" x14ac:dyDescent="0.2">
      <c r="A104" s="35" t="s">
        <v>221</v>
      </c>
      <c r="B104" s="32" t="s">
        <v>222</v>
      </c>
      <c r="C104" s="10">
        <f>+Tabla120[[#This Row],[COSTO +IVA]]/Tabla120[[#This Row],[Columna5]]</f>
        <v>911400</v>
      </c>
      <c r="D104" s="10">
        <f>+Tabla120[[#This Row],[PRECIO INSTALLER (CON IVA)]]-Tabla120[[#This Row],[Columna2]]</f>
        <v>865830</v>
      </c>
      <c r="E104" s="10">
        <f>+Tabla120[[#This Row],[PRECIO INSTALLER (CON IVA)]]/0.7</f>
        <v>1302000</v>
      </c>
      <c r="F104" s="9">
        <f>+Tabla120[[#This Row],[PRECIO INSTALLER (CON IVA)]]*5%</f>
        <v>45570</v>
      </c>
      <c r="G104" s="13">
        <v>0.85</v>
      </c>
      <c r="H104" s="12">
        <f t="shared" si="4"/>
        <v>774690</v>
      </c>
      <c r="K104" s="37">
        <v>651000</v>
      </c>
    </row>
    <row r="105" spans="1:11" s="11" customFormat="1" ht="40.5" x14ac:dyDescent="0.2">
      <c r="A105" s="35" t="s">
        <v>223</v>
      </c>
      <c r="B105" s="32" t="s">
        <v>224</v>
      </c>
      <c r="C105" s="10">
        <f>+Tabla120[[#This Row],[COSTO +IVA]]/Tabla120[[#This Row],[Columna5]]</f>
        <v>1099000</v>
      </c>
      <c r="D105" s="10">
        <f>+Tabla120[[#This Row],[PRECIO INSTALLER (CON IVA)]]-Tabla120[[#This Row],[Columna2]]</f>
        <v>1044050</v>
      </c>
      <c r="E105" s="10">
        <f>+Tabla120[[#This Row],[PRECIO INSTALLER (CON IVA)]]/0.7</f>
        <v>1570000</v>
      </c>
      <c r="F105" s="9">
        <f>+Tabla120[[#This Row],[PRECIO INSTALLER (CON IVA)]]*5%</f>
        <v>54950</v>
      </c>
      <c r="G105" s="14">
        <v>0.85</v>
      </c>
      <c r="H105" s="7">
        <f t="shared" si="4"/>
        <v>934150</v>
      </c>
      <c r="I105" s="1"/>
      <c r="J105" s="1"/>
      <c r="K105" s="37">
        <v>785000</v>
      </c>
    </row>
    <row r="106" spans="1:11" s="11" customFormat="1" ht="40.5" x14ac:dyDescent="0.2">
      <c r="A106" s="35" t="s">
        <v>225</v>
      </c>
      <c r="B106" s="32" t="s">
        <v>226</v>
      </c>
      <c r="C106" s="10">
        <f>+Tabla120[[#This Row],[COSTO +IVA]]/Tabla120[[#This Row],[Columna5]]</f>
        <v>1492120</v>
      </c>
      <c r="D106" s="10">
        <f>+Tabla120[[#This Row],[PRECIO INSTALLER (CON IVA)]]-Tabla120[[#This Row],[Columna2]]</f>
        <v>1417514</v>
      </c>
      <c r="E106" s="10">
        <f>+Tabla120[[#This Row],[PRECIO INSTALLER (CON IVA)]]/0.7</f>
        <v>2131600</v>
      </c>
      <c r="F106" s="9">
        <f>+Tabla120[[#This Row],[PRECIO INSTALLER (CON IVA)]]*5%</f>
        <v>74606</v>
      </c>
      <c r="G106" s="14">
        <v>0.85</v>
      </c>
      <c r="H106" s="7">
        <f t="shared" si="4"/>
        <v>1268302</v>
      </c>
      <c r="I106" s="1"/>
      <c r="J106" s="1"/>
      <c r="K106" s="37">
        <v>1065800</v>
      </c>
    </row>
    <row r="107" spans="1:11" s="11" customFormat="1" ht="40.5" x14ac:dyDescent="0.2">
      <c r="A107" s="35" t="s">
        <v>227</v>
      </c>
      <c r="B107" s="32" t="s">
        <v>228</v>
      </c>
      <c r="C107" s="10">
        <f>+Tabla120[[#This Row],[COSTO +IVA]]/Tabla120[[#This Row],[Columna5]]</f>
        <v>1185520</v>
      </c>
      <c r="D107" s="10">
        <f>+Tabla120[[#This Row],[PRECIO INSTALLER (CON IVA)]]-Tabla120[[#This Row],[Columna2]]</f>
        <v>1126244</v>
      </c>
      <c r="E107" s="10">
        <f>+Tabla120[[#This Row],[PRECIO INSTALLER (CON IVA)]]/0.7</f>
        <v>1693600</v>
      </c>
      <c r="F107" s="9">
        <f>+Tabla120[[#This Row],[PRECIO INSTALLER (CON IVA)]]*5%</f>
        <v>59276</v>
      </c>
      <c r="G107" s="14">
        <v>0.85</v>
      </c>
      <c r="H107" s="7">
        <f t="shared" si="4"/>
        <v>1007692</v>
      </c>
      <c r="I107" s="1"/>
      <c r="J107" s="1"/>
      <c r="K107" s="37">
        <v>846800</v>
      </c>
    </row>
    <row r="108" spans="1:11" s="11" customFormat="1" ht="40.5" x14ac:dyDescent="0.2">
      <c r="A108" s="35" t="s">
        <v>229</v>
      </c>
      <c r="B108" s="32" t="s">
        <v>230</v>
      </c>
      <c r="C108" s="10">
        <f>+Tabla120[[#This Row],[COSTO +IVA]]/Tabla120[[#This Row],[Columna5]]</f>
        <v>2045820</v>
      </c>
      <c r="D108" s="10">
        <f>+Tabla120[[#This Row],[PRECIO INSTALLER (CON IVA)]]-Tabla120[[#This Row],[Columna2]]</f>
        <v>1943529</v>
      </c>
      <c r="E108" s="10">
        <f>+Tabla120[[#This Row],[PRECIO INSTALLER (CON IVA)]]/0.7</f>
        <v>2922600</v>
      </c>
      <c r="F108" s="9">
        <f>+Tabla120[[#This Row],[PRECIO INSTALLER (CON IVA)]]*5%</f>
        <v>102291</v>
      </c>
      <c r="G108" s="14">
        <v>0.85</v>
      </c>
      <c r="H108" s="7">
        <f t="shared" si="4"/>
        <v>1738947</v>
      </c>
      <c r="I108" s="1"/>
      <c r="J108" s="1"/>
      <c r="K108" s="37">
        <v>1461300</v>
      </c>
    </row>
    <row r="109" spans="1:11" s="11" customFormat="1" ht="54" x14ac:dyDescent="0.2">
      <c r="A109" s="33" t="s">
        <v>231</v>
      </c>
      <c r="B109" s="32" t="s">
        <v>232</v>
      </c>
      <c r="C109" s="10">
        <f>+Tabla120[[#This Row],[COSTO +IVA]]/Tabla120[[#This Row],[Columna5]]</f>
        <v>270200</v>
      </c>
      <c r="D109" s="10">
        <f>+Tabla120[[#This Row],[PRECIO INSTALLER (CON IVA)]]-Tabla120[[#This Row],[Columna2]]</f>
        <v>256690</v>
      </c>
      <c r="E109" s="10">
        <f>+Tabla120[[#This Row],[PRECIO INSTALLER (CON IVA)]]/0.7</f>
        <v>386000</v>
      </c>
      <c r="F109" s="9">
        <f>+Tabla120[[#This Row],[PRECIO INSTALLER (CON IVA)]]*5%</f>
        <v>13510</v>
      </c>
      <c r="G109" s="13">
        <v>0.85</v>
      </c>
      <c r="H109" s="12">
        <f t="shared" si="4"/>
        <v>229670</v>
      </c>
      <c r="K109" s="37">
        <v>193000</v>
      </c>
    </row>
    <row r="110" spans="1:11" s="11" customFormat="1" ht="67.5" x14ac:dyDescent="0.2">
      <c r="A110" s="33" t="s">
        <v>29</v>
      </c>
      <c r="B110" s="32" t="s">
        <v>233</v>
      </c>
      <c r="C110" s="10">
        <f>+Tabla120[[#This Row],[COSTO +IVA]]/Tabla120[[#This Row],[Columna5]]</f>
        <v>354760</v>
      </c>
      <c r="D110" s="10">
        <f>+Tabla120[[#This Row],[PRECIO INSTALLER (CON IVA)]]-Tabla120[[#This Row],[Columna2]]</f>
        <v>337022</v>
      </c>
      <c r="E110" s="10">
        <f>+Tabla120[[#This Row],[PRECIO INSTALLER (CON IVA)]]/0.7</f>
        <v>506800.00000000006</v>
      </c>
      <c r="F110" s="9">
        <f>+Tabla120[[#This Row],[PRECIO INSTALLER (CON IVA)]]*5%</f>
        <v>17738</v>
      </c>
      <c r="G110" s="14">
        <v>0.85</v>
      </c>
      <c r="H110" s="7">
        <f t="shared" si="4"/>
        <v>301546</v>
      </c>
      <c r="I110" s="1"/>
      <c r="J110" s="1"/>
      <c r="K110" s="37">
        <v>253400</v>
      </c>
    </row>
    <row r="111" spans="1:11" s="11" customFormat="1" ht="67.5" x14ac:dyDescent="0.2">
      <c r="A111" s="33" t="s">
        <v>39</v>
      </c>
      <c r="B111" s="32" t="s">
        <v>234</v>
      </c>
      <c r="C111" s="10">
        <f>+Tabla120[[#This Row],[COSTO +IVA]]/Tabla120[[#This Row],[Columna5]]</f>
        <v>698460</v>
      </c>
      <c r="D111" s="10">
        <f>+Tabla120[[#This Row],[PRECIO INSTALLER (CON IVA)]]-Tabla120[[#This Row],[Columna2]]</f>
        <v>663537</v>
      </c>
      <c r="E111" s="10">
        <f>+Tabla120[[#This Row],[PRECIO INSTALLER (CON IVA)]]/0.7</f>
        <v>997800.00000000012</v>
      </c>
      <c r="F111" s="9">
        <f>+Tabla120[[#This Row],[PRECIO INSTALLER (CON IVA)]]*5%</f>
        <v>34923</v>
      </c>
      <c r="G111" s="14">
        <v>0.85</v>
      </c>
      <c r="H111" s="7">
        <f t="shared" si="4"/>
        <v>593691</v>
      </c>
      <c r="I111" s="1"/>
      <c r="J111" s="1"/>
      <c r="K111" s="37">
        <v>498900</v>
      </c>
    </row>
    <row r="112" spans="1:11" s="11" customFormat="1" ht="108" x14ac:dyDescent="0.2">
      <c r="A112" s="33" t="s">
        <v>46</v>
      </c>
      <c r="B112" s="32" t="s">
        <v>235</v>
      </c>
      <c r="C112" s="10">
        <f>+Tabla120[[#This Row],[COSTO +IVA]]/Tabla120[[#This Row],[Columna5]]</f>
        <v>3705240</v>
      </c>
      <c r="D112" s="10">
        <f>+Tabla120[[#This Row],[PRECIO INSTALLER (CON IVA)]]-Tabla120[[#This Row],[Columna2]]</f>
        <v>3519978</v>
      </c>
      <c r="E112" s="10">
        <f>+Tabla120[[#This Row],[PRECIO INSTALLER (CON IVA)]]/0.7</f>
        <v>5293200</v>
      </c>
      <c r="F112" s="9">
        <f>+Tabla120[[#This Row],[PRECIO INSTALLER (CON IVA)]]*5%</f>
        <v>185262</v>
      </c>
      <c r="G112" s="16">
        <v>0.85</v>
      </c>
      <c r="H112" s="15">
        <f t="shared" si="4"/>
        <v>3149454</v>
      </c>
      <c r="I112" s="1"/>
      <c r="J112" s="1"/>
      <c r="K112" s="37">
        <v>2646600</v>
      </c>
    </row>
    <row r="113" spans="1:11" ht="27" x14ac:dyDescent="0.2">
      <c r="A113" s="33">
        <v>4400402</v>
      </c>
      <c r="B113" s="32" t="s">
        <v>236</v>
      </c>
      <c r="C113" s="10">
        <f>+Tabla120[[#This Row],[COSTO +IVA]]/Tabla120[[#This Row],[Columna5]]</f>
        <v>201460</v>
      </c>
      <c r="D113" s="10">
        <f>+Tabla120[[#This Row],[PRECIO INSTALLER (CON IVA)]]-Tabla120[[#This Row],[Columna2]]</f>
        <v>191387</v>
      </c>
      <c r="E113" s="10">
        <f>+Tabla120[[#This Row],[PRECIO INSTALLER (CON IVA)]]/0.7</f>
        <v>287800</v>
      </c>
      <c r="F113" s="9">
        <f>+Tabla120[[#This Row],[PRECIO INSTALLER (CON IVA)]]*5%</f>
        <v>10073</v>
      </c>
      <c r="G113" s="14">
        <v>0.85</v>
      </c>
      <c r="H113" s="7">
        <f t="shared" si="4"/>
        <v>171241</v>
      </c>
      <c r="K113" s="37">
        <v>143900</v>
      </c>
    </row>
    <row r="114" spans="1:11" ht="67.5" x14ac:dyDescent="0.2">
      <c r="A114" s="33" t="s">
        <v>38</v>
      </c>
      <c r="B114" s="32" t="s">
        <v>237</v>
      </c>
      <c r="C114" s="10">
        <f>+Tabla120[[#This Row],[COSTO +IVA]]/Tabla120[[#This Row],[Columna5]]</f>
        <v>829780</v>
      </c>
      <c r="D114" s="10">
        <f>+Tabla120[[#This Row],[PRECIO INSTALLER (CON IVA)]]-Tabla120[[#This Row],[Columna2]]</f>
        <v>788291</v>
      </c>
      <c r="E114" s="10">
        <f>+Tabla120[[#This Row],[PRECIO INSTALLER (CON IVA)]]/0.7</f>
        <v>1185400</v>
      </c>
      <c r="F114" s="9">
        <f>+Tabla120[[#This Row],[PRECIO INSTALLER (CON IVA)]]*5%</f>
        <v>41489</v>
      </c>
      <c r="G114" s="30">
        <v>0.85</v>
      </c>
      <c r="H114" s="3">
        <f t="shared" ref="H114:H136" si="5">K114*1.19</f>
        <v>705313</v>
      </c>
      <c r="K114" s="37">
        <v>592700</v>
      </c>
    </row>
    <row r="115" spans="1:11" ht="54" x14ac:dyDescent="0.2">
      <c r="A115" s="33" t="s">
        <v>44</v>
      </c>
      <c r="B115" s="32" t="s">
        <v>238</v>
      </c>
      <c r="C115" s="10">
        <f>+Tabla120[[#This Row],[COSTO +IVA]]/Tabla120[[#This Row],[Columna5]]</f>
        <v>1528800</v>
      </c>
      <c r="D115" s="10">
        <f>+Tabla120[[#This Row],[PRECIO INSTALLER (CON IVA)]]-Tabla120[[#This Row],[Columna2]]</f>
        <v>1452360</v>
      </c>
      <c r="E115" s="10">
        <f>+Tabla120[[#This Row],[PRECIO INSTALLER (CON IVA)]]/0.7</f>
        <v>2184000</v>
      </c>
      <c r="F115" s="9">
        <f>+Tabla120[[#This Row],[PRECIO INSTALLER (CON IVA)]]*5%</f>
        <v>76440</v>
      </c>
      <c r="G115" s="30">
        <v>0.85</v>
      </c>
      <c r="H115" s="3">
        <f t="shared" si="5"/>
        <v>1299480</v>
      </c>
      <c r="K115" s="37">
        <v>1092000</v>
      </c>
    </row>
    <row r="116" spans="1:11" ht="40.5" x14ac:dyDescent="0.2">
      <c r="A116" s="33" t="s">
        <v>239</v>
      </c>
      <c r="B116" s="32" t="s">
        <v>240</v>
      </c>
      <c r="C116" s="10">
        <f>+Tabla120[[#This Row],[COSTO +IVA]]/Tabla120[[#This Row],[Columna5]]</f>
        <v>889700</v>
      </c>
      <c r="D116" s="10">
        <f>+Tabla120[[#This Row],[PRECIO INSTALLER (CON IVA)]]-Tabla120[[#This Row],[Columna2]]</f>
        <v>845215</v>
      </c>
      <c r="E116" s="10">
        <f>+Tabla120[[#This Row],[PRECIO INSTALLER (CON IVA)]]/0.7</f>
        <v>1271000</v>
      </c>
      <c r="F116" s="9">
        <f>+Tabla120[[#This Row],[PRECIO INSTALLER (CON IVA)]]*5%</f>
        <v>44485</v>
      </c>
      <c r="G116" s="30">
        <v>0.85</v>
      </c>
      <c r="H116" s="3">
        <f t="shared" si="5"/>
        <v>756245</v>
      </c>
      <c r="K116" s="37">
        <v>635500</v>
      </c>
    </row>
    <row r="117" spans="1:11" ht="54" x14ac:dyDescent="0.2">
      <c r="A117" s="33" t="s">
        <v>241</v>
      </c>
      <c r="B117" s="32" t="s">
        <v>242</v>
      </c>
      <c r="C117" s="10">
        <f>+Tabla120[[#This Row],[COSTO +IVA]]/Tabla120[[#This Row],[Columna5]]</f>
        <v>1091440</v>
      </c>
      <c r="D117" s="10">
        <f>+Tabla120[[#This Row],[PRECIO INSTALLER (CON IVA)]]-Tabla120[[#This Row],[Columna2]]</f>
        <v>1036868</v>
      </c>
      <c r="E117" s="10">
        <f>+Tabla120[[#This Row],[PRECIO INSTALLER (CON IVA)]]/0.7</f>
        <v>1559200</v>
      </c>
      <c r="F117" s="9">
        <f>+Tabla120[[#This Row],[PRECIO INSTALLER (CON IVA)]]*5%</f>
        <v>54572</v>
      </c>
      <c r="G117" s="30">
        <v>0.85</v>
      </c>
      <c r="H117" s="3">
        <f t="shared" si="5"/>
        <v>927724</v>
      </c>
      <c r="K117" s="37">
        <v>779600</v>
      </c>
    </row>
    <row r="118" spans="1:11" ht="54" x14ac:dyDescent="0.2">
      <c r="A118" s="33" t="s">
        <v>243</v>
      </c>
      <c r="B118" s="32" t="s">
        <v>242</v>
      </c>
      <c r="C118" s="10">
        <f>+Tabla120[[#This Row],[COSTO +IVA]]/Tabla120[[#This Row],[Columna5]]</f>
        <v>1092000</v>
      </c>
      <c r="D118" s="10">
        <f>+Tabla120[[#This Row],[PRECIO INSTALLER (CON IVA)]]-Tabla120[[#This Row],[Columna2]]</f>
        <v>1037400</v>
      </c>
      <c r="E118" s="10">
        <f>+Tabla120[[#This Row],[PRECIO INSTALLER (CON IVA)]]/0.7</f>
        <v>1560000</v>
      </c>
      <c r="F118" s="9">
        <f>+Tabla120[[#This Row],[PRECIO INSTALLER (CON IVA)]]*5%</f>
        <v>54600</v>
      </c>
      <c r="G118" s="30">
        <v>0.85</v>
      </c>
      <c r="H118" s="3">
        <f t="shared" si="5"/>
        <v>928200</v>
      </c>
      <c r="K118" s="37">
        <v>780000</v>
      </c>
    </row>
    <row r="119" spans="1:11" ht="81" x14ac:dyDescent="0.2">
      <c r="A119" s="33" t="s">
        <v>34</v>
      </c>
      <c r="B119" s="32" t="s">
        <v>244</v>
      </c>
      <c r="C119" s="10">
        <f>+Tabla120[[#This Row],[COSTO +IVA]]/Tabla120[[#This Row],[Columna5]]</f>
        <v>565180</v>
      </c>
      <c r="D119" s="10">
        <f>+Tabla120[[#This Row],[PRECIO INSTALLER (CON IVA)]]-Tabla120[[#This Row],[Columna2]]</f>
        <v>536921</v>
      </c>
      <c r="E119" s="10">
        <f>+Tabla120[[#This Row],[PRECIO INSTALLER (CON IVA)]]/0.7</f>
        <v>807400</v>
      </c>
      <c r="F119" s="9">
        <f>+Tabla120[[#This Row],[PRECIO INSTALLER (CON IVA)]]*5%</f>
        <v>28259</v>
      </c>
      <c r="G119" s="30">
        <v>0.85</v>
      </c>
      <c r="H119" s="3">
        <f t="shared" si="5"/>
        <v>480403</v>
      </c>
      <c r="K119" s="37">
        <v>403700</v>
      </c>
    </row>
    <row r="120" spans="1:11" ht="67.5" x14ac:dyDescent="0.2">
      <c r="A120" s="33" t="s">
        <v>41</v>
      </c>
      <c r="B120" s="32" t="s">
        <v>245</v>
      </c>
      <c r="C120" s="10">
        <f>+Tabla120[[#This Row],[COSTO +IVA]]/Tabla120[[#This Row],[Columna5]]</f>
        <v>795620</v>
      </c>
      <c r="D120" s="10">
        <f>+Tabla120[[#This Row],[PRECIO INSTALLER (CON IVA)]]-Tabla120[[#This Row],[Columna2]]</f>
        <v>755839</v>
      </c>
      <c r="E120" s="10">
        <f>+Tabla120[[#This Row],[PRECIO INSTALLER (CON IVA)]]/0.7</f>
        <v>1136600</v>
      </c>
      <c r="F120" s="9">
        <f>+Tabla120[[#This Row],[PRECIO INSTALLER (CON IVA)]]*5%</f>
        <v>39781</v>
      </c>
      <c r="G120" s="30">
        <v>0.85</v>
      </c>
      <c r="H120" s="3">
        <f t="shared" si="5"/>
        <v>676277</v>
      </c>
      <c r="K120" s="37">
        <v>568300</v>
      </c>
    </row>
    <row r="121" spans="1:11" ht="54" x14ac:dyDescent="0.2">
      <c r="A121" s="33" t="s">
        <v>246</v>
      </c>
      <c r="B121" s="32" t="s">
        <v>247</v>
      </c>
      <c r="C121" s="10">
        <f>+Tabla120[[#This Row],[COSTO +IVA]]/Tabla120[[#This Row],[Columna5]]</f>
        <v>239680</v>
      </c>
      <c r="D121" s="10">
        <f>+Tabla120[[#This Row],[PRECIO INSTALLER (CON IVA)]]-Tabla120[[#This Row],[Columna2]]</f>
        <v>227696</v>
      </c>
      <c r="E121" s="10">
        <f>+Tabla120[[#This Row],[PRECIO INSTALLER (CON IVA)]]/0.7</f>
        <v>342400</v>
      </c>
      <c r="F121" s="9">
        <f>+Tabla120[[#This Row],[PRECIO INSTALLER (CON IVA)]]*5%</f>
        <v>11984</v>
      </c>
      <c r="G121" s="30">
        <v>0.85</v>
      </c>
      <c r="H121" s="3">
        <f t="shared" si="5"/>
        <v>203728</v>
      </c>
      <c r="K121" s="37">
        <v>171200</v>
      </c>
    </row>
    <row r="122" spans="1:11" ht="54" x14ac:dyDescent="0.2">
      <c r="A122" s="33" t="s">
        <v>53</v>
      </c>
      <c r="B122" s="32" t="s">
        <v>248</v>
      </c>
      <c r="C122" s="10">
        <f>+Tabla120[[#This Row],[COSTO +IVA]]/Tabla120[[#This Row],[Columna5]]</f>
        <v>23800</v>
      </c>
      <c r="D122" s="10">
        <f>+Tabla120[[#This Row],[PRECIO INSTALLER (CON IVA)]]-Tabla120[[#This Row],[Columna2]]</f>
        <v>22610</v>
      </c>
      <c r="E122" s="10">
        <f>+Tabla120[[#This Row],[PRECIO INSTALLER (CON IVA)]]/0.7</f>
        <v>34000</v>
      </c>
      <c r="F122" s="9">
        <f>+Tabla120[[#This Row],[PRECIO INSTALLER (CON IVA)]]*5%</f>
        <v>1190</v>
      </c>
      <c r="G122" s="30">
        <v>0.85</v>
      </c>
      <c r="H122" s="3">
        <f t="shared" si="5"/>
        <v>20230</v>
      </c>
      <c r="K122" s="37">
        <v>17000</v>
      </c>
    </row>
    <row r="123" spans="1:11" ht="27" x14ac:dyDescent="0.2">
      <c r="A123" s="33" t="s">
        <v>4</v>
      </c>
      <c r="B123" s="32" t="s">
        <v>249</v>
      </c>
      <c r="C123" s="10">
        <f>+Tabla120[[#This Row],[COSTO +IVA]]/Tabla120[[#This Row],[Columna5]]</f>
        <v>29820</v>
      </c>
      <c r="D123" s="10">
        <f>+Tabla120[[#This Row],[PRECIO INSTALLER (CON IVA)]]-Tabla120[[#This Row],[Columna2]]</f>
        <v>28329</v>
      </c>
      <c r="E123" s="10">
        <f>+Tabla120[[#This Row],[PRECIO INSTALLER (CON IVA)]]/0.7</f>
        <v>42600</v>
      </c>
      <c r="F123" s="9">
        <f>+Tabla120[[#This Row],[PRECIO INSTALLER (CON IVA)]]*5%</f>
        <v>1491</v>
      </c>
      <c r="G123" s="30">
        <v>0.85</v>
      </c>
      <c r="H123" s="3">
        <f t="shared" si="5"/>
        <v>25347</v>
      </c>
      <c r="K123" s="37">
        <v>21300</v>
      </c>
    </row>
    <row r="124" spans="1:11" ht="27" x14ac:dyDescent="0.2">
      <c r="A124" s="33" t="s">
        <v>250</v>
      </c>
      <c r="B124" s="32" t="s">
        <v>251</v>
      </c>
      <c r="C124" s="10">
        <f>+Tabla120[[#This Row],[COSTO +IVA]]/Tabla120[[#This Row],[Columna5]]</f>
        <v>129360</v>
      </c>
      <c r="D124" s="10">
        <f>+Tabla120[[#This Row],[PRECIO INSTALLER (CON IVA)]]-Tabla120[[#This Row],[Columna2]]</f>
        <v>122892</v>
      </c>
      <c r="E124" s="10">
        <f>+Tabla120[[#This Row],[PRECIO INSTALLER (CON IVA)]]/0.7</f>
        <v>184800</v>
      </c>
      <c r="F124" s="9">
        <f>+Tabla120[[#This Row],[PRECIO INSTALLER (CON IVA)]]*5%</f>
        <v>6468</v>
      </c>
      <c r="G124" s="30">
        <v>0.85</v>
      </c>
      <c r="H124" s="3">
        <f t="shared" si="5"/>
        <v>109956</v>
      </c>
      <c r="K124" s="37">
        <v>92400</v>
      </c>
    </row>
    <row r="125" spans="1:11" ht="40.5" x14ac:dyDescent="0.2">
      <c r="A125" s="33" t="s">
        <v>252</v>
      </c>
      <c r="B125" s="32" t="s">
        <v>253</v>
      </c>
      <c r="C125" s="10">
        <f>+Tabla120[[#This Row],[COSTO +IVA]]/Tabla120[[#This Row],[Columna5]]</f>
        <v>2520</v>
      </c>
      <c r="D125" s="10">
        <f>+Tabla120[[#This Row],[PRECIO INSTALLER (CON IVA)]]-Tabla120[[#This Row],[Columna2]]</f>
        <v>2394</v>
      </c>
      <c r="E125" s="10">
        <f>+Tabla120[[#This Row],[PRECIO INSTALLER (CON IVA)]]/0.7</f>
        <v>3600.0000000000005</v>
      </c>
      <c r="F125" s="9">
        <f>+Tabla120[[#This Row],[PRECIO INSTALLER (CON IVA)]]*5%</f>
        <v>126</v>
      </c>
      <c r="G125" s="30">
        <v>0.85</v>
      </c>
      <c r="H125" s="3">
        <f t="shared" si="5"/>
        <v>2142</v>
      </c>
      <c r="K125" s="37">
        <v>1800</v>
      </c>
    </row>
    <row r="126" spans="1:11" x14ac:dyDescent="0.2">
      <c r="A126" s="33" t="s">
        <v>52</v>
      </c>
      <c r="B126" s="32" t="s">
        <v>254</v>
      </c>
      <c r="C126" s="10">
        <f>+Tabla120[[#This Row],[COSTO +IVA]]/Tabla120[[#This Row],[Columna5]]</f>
        <v>2380</v>
      </c>
      <c r="D126" s="10">
        <f>+Tabla120[[#This Row],[PRECIO INSTALLER (CON IVA)]]-Tabla120[[#This Row],[Columna2]]</f>
        <v>2261</v>
      </c>
      <c r="E126" s="10">
        <f>+Tabla120[[#This Row],[PRECIO INSTALLER (CON IVA)]]/0.7</f>
        <v>3400</v>
      </c>
      <c r="F126" s="9">
        <f>+Tabla120[[#This Row],[PRECIO INSTALLER (CON IVA)]]*5%</f>
        <v>119</v>
      </c>
      <c r="G126" s="30">
        <v>0.85</v>
      </c>
      <c r="H126" s="3">
        <f t="shared" si="5"/>
        <v>2023</v>
      </c>
      <c r="K126" s="37">
        <v>1700</v>
      </c>
    </row>
    <row r="127" spans="1:11" x14ac:dyDescent="0.2">
      <c r="A127" s="33" t="s">
        <v>0</v>
      </c>
      <c r="B127" s="32" t="s">
        <v>255</v>
      </c>
      <c r="C127" s="10">
        <f>+Tabla120[[#This Row],[COSTO +IVA]]/Tabla120[[#This Row],[Columna5]]</f>
        <v>3780</v>
      </c>
      <c r="D127" s="10">
        <f>+Tabla120[[#This Row],[PRECIO INSTALLER (CON IVA)]]-Tabla120[[#This Row],[Columna2]]</f>
        <v>3591</v>
      </c>
      <c r="E127" s="10">
        <f>+Tabla120[[#This Row],[PRECIO INSTALLER (CON IVA)]]/0.7</f>
        <v>5400</v>
      </c>
      <c r="F127" s="9">
        <f>+Tabla120[[#This Row],[PRECIO INSTALLER (CON IVA)]]*5%</f>
        <v>189</v>
      </c>
      <c r="G127" s="30">
        <v>0.85</v>
      </c>
      <c r="H127" s="3">
        <f t="shared" si="5"/>
        <v>3213</v>
      </c>
      <c r="K127" s="37">
        <v>2700</v>
      </c>
    </row>
    <row r="128" spans="1:11" ht="27" x14ac:dyDescent="0.2">
      <c r="A128" s="33" t="s">
        <v>256</v>
      </c>
      <c r="B128" s="32" t="s">
        <v>257</v>
      </c>
      <c r="C128" s="10">
        <f>+Tabla120[[#This Row],[COSTO +IVA]]/Tabla120[[#This Row],[Columna5]]</f>
        <v>337120</v>
      </c>
      <c r="D128" s="10">
        <f>+Tabla120[[#This Row],[PRECIO INSTALLER (CON IVA)]]-Tabla120[[#This Row],[Columna2]]</f>
        <v>320264</v>
      </c>
      <c r="E128" s="10">
        <f>+Tabla120[[#This Row],[PRECIO INSTALLER (CON IVA)]]/0.7</f>
        <v>481600.00000000006</v>
      </c>
      <c r="F128" s="9">
        <f>+Tabla120[[#This Row],[PRECIO INSTALLER (CON IVA)]]*5%</f>
        <v>16856</v>
      </c>
      <c r="G128" s="30">
        <v>0.85</v>
      </c>
      <c r="H128" s="3">
        <f t="shared" si="5"/>
        <v>286552</v>
      </c>
      <c r="K128" s="37">
        <v>240800</v>
      </c>
    </row>
    <row r="129" spans="1:11" ht="27" x14ac:dyDescent="0.2">
      <c r="A129" s="33" t="s">
        <v>60</v>
      </c>
      <c r="B129" s="32" t="s">
        <v>258</v>
      </c>
      <c r="C129" s="10">
        <f>+Tabla120[[#This Row],[COSTO +IVA]]/Tabla120[[#This Row],[Columna5]]</f>
        <v>5740</v>
      </c>
      <c r="D129" s="10">
        <f>+Tabla120[[#This Row],[PRECIO INSTALLER (CON IVA)]]-Tabla120[[#This Row],[Columna2]]</f>
        <v>5453</v>
      </c>
      <c r="E129" s="10">
        <f>+Tabla120[[#This Row],[PRECIO INSTALLER (CON IVA)]]/0.7</f>
        <v>8200</v>
      </c>
      <c r="F129" s="9">
        <f>+Tabla120[[#This Row],[PRECIO INSTALLER (CON IVA)]]*5%</f>
        <v>287</v>
      </c>
      <c r="G129" s="30">
        <v>0.85</v>
      </c>
      <c r="H129" s="3">
        <f t="shared" si="5"/>
        <v>4879</v>
      </c>
      <c r="K129" s="37">
        <v>4100</v>
      </c>
    </row>
    <row r="130" spans="1:11" ht="67.5" x14ac:dyDescent="0.2">
      <c r="A130" s="33" t="s">
        <v>33</v>
      </c>
      <c r="B130" s="32" t="s">
        <v>259</v>
      </c>
      <c r="C130" s="10">
        <f>+Tabla120[[#This Row],[COSTO +IVA]]/Tabla120[[#This Row],[Columna5]]</f>
        <v>520940</v>
      </c>
      <c r="D130" s="10">
        <f>+Tabla120[[#This Row],[PRECIO INSTALLER (CON IVA)]]-Tabla120[[#This Row],[Columna2]]</f>
        <v>494893</v>
      </c>
      <c r="E130" s="10">
        <f>+Tabla120[[#This Row],[PRECIO INSTALLER (CON IVA)]]/0.7</f>
        <v>744200</v>
      </c>
      <c r="F130" s="9">
        <f>+Tabla120[[#This Row],[PRECIO INSTALLER (CON IVA)]]*5%</f>
        <v>26047</v>
      </c>
      <c r="G130" s="30">
        <v>0.85</v>
      </c>
      <c r="H130" s="3">
        <f t="shared" si="5"/>
        <v>442799</v>
      </c>
      <c r="K130" s="37">
        <v>372100</v>
      </c>
    </row>
    <row r="131" spans="1:11" ht="27" x14ac:dyDescent="0.2">
      <c r="A131" s="33" t="s">
        <v>56</v>
      </c>
      <c r="B131" s="32" t="s">
        <v>260</v>
      </c>
      <c r="C131" s="10">
        <f>+Tabla120[[#This Row],[COSTO +IVA]]/Tabla120[[#This Row],[Columna5]]</f>
        <v>1698340</v>
      </c>
      <c r="D131" s="10">
        <f>+Tabla120[[#This Row],[PRECIO INSTALLER (CON IVA)]]-Tabla120[[#This Row],[Columna2]]</f>
        <v>1613423</v>
      </c>
      <c r="E131" s="10">
        <f>+Tabla120[[#This Row],[PRECIO INSTALLER (CON IVA)]]/0.7</f>
        <v>2426200</v>
      </c>
      <c r="F131" s="9">
        <f>+Tabla120[[#This Row],[PRECIO INSTALLER (CON IVA)]]*5%</f>
        <v>84917</v>
      </c>
      <c r="G131" s="30">
        <v>0.85</v>
      </c>
      <c r="H131" s="3">
        <f t="shared" si="5"/>
        <v>1443589</v>
      </c>
      <c r="K131" s="37">
        <v>1213100</v>
      </c>
    </row>
    <row r="132" spans="1:11" ht="40.5" x14ac:dyDescent="0.2">
      <c r="A132" s="33" t="s">
        <v>261</v>
      </c>
      <c r="B132" s="32" t="s">
        <v>262</v>
      </c>
      <c r="C132" s="10">
        <f>+Tabla120[[#This Row],[COSTO +IVA]]/Tabla120[[#This Row],[Columna5]]</f>
        <v>97720</v>
      </c>
      <c r="D132" s="10">
        <f>+Tabla120[[#This Row],[PRECIO INSTALLER (CON IVA)]]-Tabla120[[#This Row],[Columna2]]</f>
        <v>92834</v>
      </c>
      <c r="E132" s="10">
        <f>+Tabla120[[#This Row],[PRECIO INSTALLER (CON IVA)]]/0.7</f>
        <v>139600</v>
      </c>
      <c r="F132" s="9">
        <f>+Tabla120[[#This Row],[PRECIO INSTALLER (CON IVA)]]*5%</f>
        <v>4886</v>
      </c>
      <c r="G132" s="30">
        <v>0.85</v>
      </c>
      <c r="H132" s="3">
        <f t="shared" si="5"/>
        <v>83062</v>
      </c>
      <c r="K132" s="37">
        <v>69800</v>
      </c>
    </row>
    <row r="133" spans="1:11" x14ac:dyDescent="0.2">
      <c r="A133" s="33" t="s">
        <v>263</v>
      </c>
      <c r="B133" s="32" t="s">
        <v>264</v>
      </c>
      <c r="C133" s="10">
        <f>+Tabla120[[#This Row],[COSTO +IVA]]/Tabla120[[#This Row],[Columna5]]</f>
        <v>135800</v>
      </c>
      <c r="D133" s="10">
        <f>+Tabla120[[#This Row],[PRECIO INSTALLER (CON IVA)]]-Tabla120[[#This Row],[Columna2]]</f>
        <v>129010</v>
      </c>
      <c r="E133" s="10">
        <f>+Tabla120[[#This Row],[PRECIO INSTALLER (CON IVA)]]/0.7</f>
        <v>194000</v>
      </c>
      <c r="F133" s="9">
        <f>+Tabla120[[#This Row],[PRECIO INSTALLER (CON IVA)]]*5%</f>
        <v>6790</v>
      </c>
      <c r="G133" s="30">
        <v>0.85</v>
      </c>
      <c r="H133" s="3">
        <f t="shared" si="5"/>
        <v>115430</v>
      </c>
      <c r="K133" s="37">
        <v>97000</v>
      </c>
    </row>
    <row r="134" spans="1:11" ht="27" x14ac:dyDescent="0.2">
      <c r="A134" s="33" t="s">
        <v>265</v>
      </c>
      <c r="B134" s="32" t="s">
        <v>266</v>
      </c>
      <c r="C134" s="10">
        <f>+Tabla120[[#This Row],[COSTO +IVA]]/Tabla120[[#This Row],[Columna5]]</f>
        <v>200200</v>
      </c>
      <c r="D134" s="10">
        <f>+Tabla120[[#This Row],[PRECIO INSTALLER (CON IVA)]]-Tabla120[[#This Row],[Columna2]]</f>
        <v>190190</v>
      </c>
      <c r="E134" s="10">
        <f>+Tabla120[[#This Row],[PRECIO INSTALLER (CON IVA)]]/0.7</f>
        <v>286000</v>
      </c>
      <c r="F134" s="9">
        <f>+Tabla120[[#This Row],[PRECIO INSTALLER (CON IVA)]]*5%</f>
        <v>10010</v>
      </c>
      <c r="G134" s="30">
        <v>0.85</v>
      </c>
      <c r="H134" s="3">
        <f t="shared" si="5"/>
        <v>170170</v>
      </c>
      <c r="K134" s="37">
        <v>143000</v>
      </c>
    </row>
    <row r="135" spans="1:11" ht="27" x14ac:dyDescent="0.2">
      <c r="A135" s="33" t="s">
        <v>1</v>
      </c>
      <c r="B135" s="32" t="s">
        <v>267</v>
      </c>
      <c r="C135" s="10">
        <f>+Tabla120[[#This Row],[COSTO +IVA]]/Tabla120[[#This Row],[Columna5]]</f>
        <v>8120</v>
      </c>
      <c r="D135" s="10">
        <f>+Tabla120[[#This Row],[PRECIO INSTALLER (CON IVA)]]-Tabla120[[#This Row],[Columna2]]</f>
        <v>7714</v>
      </c>
      <c r="E135" s="10">
        <f>+Tabla120[[#This Row],[PRECIO INSTALLER (CON IVA)]]/0.7</f>
        <v>11600</v>
      </c>
      <c r="F135" s="9">
        <f>+Tabla120[[#This Row],[PRECIO INSTALLER (CON IVA)]]*5%</f>
        <v>406</v>
      </c>
      <c r="G135" s="30">
        <v>0.85</v>
      </c>
      <c r="H135" s="3">
        <f t="shared" si="5"/>
        <v>6902</v>
      </c>
      <c r="K135" s="37">
        <v>5800</v>
      </c>
    </row>
    <row r="136" spans="1:11" ht="40.5" x14ac:dyDescent="0.2">
      <c r="A136" s="33" t="s">
        <v>3</v>
      </c>
      <c r="B136" s="32" t="s">
        <v>2</v>
      </c>
      <c r="C136" s="10">
        <f>+Tabla120[[#This Row],[COSTO +IVA]]/Tabla120[[#This Row],[Columna5]]</f>
        <v>13020</v>
      </c>
      <c r="D136" s="10">
        <f>+Tabla120[[#This Row],[PRECIO INSTALLER (CON IVA)]]-Tabla120[[#This Row],[Columna2]]</f>
        <v>12369</v>
      </c>
      <c r="E136" s="10">
        <f>+Tabla120[[#This Row],[PRECIO INSTALLER (CON IVA)]]/0.7</f>
        <v>18600</v>
      </c>
      <c r="F136" s="9">
        <f>+Tabla120[[#This Row],[PRECIO INSTALLER (CON IVA)]]*5%</f>
        <v>651</v>
      </c>
      <c r="G136" s="30">
        <v>0.85</v>
      </c>
      <c r="H136" s="3">
        <f t="shared" si="5"/>
        <v>11067</v>
      </c>
      <c r="K136" s="37">
        <v>9300</v>
      </c>
    </row>
  </sheetData>
  <conditionalFormatting sqref="K1">
    <cfRule type="containsErrors" dxfId="1" priority="1">
      <formula>ISERROR(K1)</formula>
    </cfRule>
  </conditionalFormatting>
  <pageMargins left="0.7" right="0.7" top="0.75" bottom="0.75" header="0.3" footer="0.3"/>
  <pageSetup scale="64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INTELBRAS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2026-07-28T20:56:14Z</cp:lastPrinted>
  <dcterms:created xsi:type="dcterms:W3CDTF">2026-05-13T16:41:28Z</dcterms:created>
  <dcterms:modified xsi:type="dcterms:W3CDTF">2026-07-29T16:57:41Z</dcterms:modified>
</cp:coreProperties>
</file>