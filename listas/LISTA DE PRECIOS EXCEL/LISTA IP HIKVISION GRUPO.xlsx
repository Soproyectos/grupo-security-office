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A862B176-0B01-4533-BD1F-D79A3EA21BFE}" xr6:coauthVersionLast="47" xr6:coauthVersionMax="47" xr10:uidLastSave="{00000000-0000-0000-0000-000000000000}"/>
  <bookViews>
    <workbookView xWindow="23880" yWindow="-120" windowWidth="21840" windowHeight="13140" xr2:uid="{C488F155-56C6-48D8-81E7-7293DF177544}"/>
  </bookViews>
  <sheets>
    <sheet name="IP HIKVIS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localSheetId="0" hidden="1">'IP HIKVISION'!$A$1:$J$22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Tabla15[[#All],[REFERENCIA]:[PRECIO CLIENTE FINAL ( CON  IVA)]]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95" i="1" l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P66" i="1"/>
  <c r="R66" i="1"/>
  <c r="P67" i="1"/>
  <c r="R67" i="1"/>
  <c r="P42" i="1"/>
  <c r="R42" i="1"/>
  <c r="P191" i="1"/>
  <c r="E191" i="1" s="1"/>
  <c r="R191" i="1"/>
  <c r="C191" i="1" s="1"/>
  <c r="P190" i="1"/>
  <c r="R190" i="1"/>
  <c r="R49" i="1"/>
  <c r="Q49" i="1" s="1"/>
  <c r="I49" i="1" s="1"/>
  <c r="P49" i="1"/>
  <c r="O49" i="1"/>
  <c r="J49" i="1" s="1"/>
  <c r="N49" i="1"/>
  <c r="M49" i="1" s="1"/>
  <c r="E49" i="1"/>
  <c r="C49" i="1"/>
  <c r="P48" i="1"/>
  <c r="R48" i="1"/>
  <c r="P47" i="1"/>
  <c r="R47" i="1"/>
  <c r="P153" i="1"/>
  <c r="R153" i="1"/>
  <c r="P34" i="1"/>
  <c r="R34" i="1"/>
  <c r="P35" i="1"/>
  <c r="R35" i="1"/>
  <c r="P72" i="1"/>
  <c r="R72" i="1"/>
  <c r="R148" i="1"/>
  <c r="Q148" i="1" s="1"/>
  <c r="I148" i="1" s="1"/>
  <c r="P148" i="1"/>
  <c r="C148" i="1"/>
  <c r="P69" i="1"/>
  <c r="R69" i="1"/>
  <c r="R134" i="1"/>
  <c r="Q134" i="1" s="1"/>
  <c r="I134" i="1" s="1"/>
  <c r="P134" i="1"/>
  <c r="O134" i="1" s="1"/>
  <c r="J134" i="1" s="1"/>
  <c r="N134" i="1"/>
  <c r="M134" i="1" s="1"/>
  <c r="E134" i="1"/>
  <c r="C134" i="1"/>
  <c r="P194" i="1"/>
  <c r="E194" i="1" s="1"/>
  <c r="R194" i="1"/>
  <c r="P89" i="1"/>
  <c r="R89" i="1"/>
  <c r="P87" i="1"/>
  <c r="R87" i="1"/>
  <c r="P2" i="1"/>
  <c r="R2" i="1"/>
  <c r="P3" i="1"/>
  <c r="R3" i="1"/>
  <c r="P4" i="1"/>
  <c r="R4" i="1"/>
  <c r="P5" i="1"/>
  <c r="R5" i="1"/>
  <c r="P6" i="1"/>
  <c r="R6" i="1"/>
  <c r="P7" i="1"/>
  <c r="R7" i="1"/>
  <c r="P8" i="1"/>
  <c r="R8" i="1"/>
  <c r="P9" i="1"/>
  <c r="R9" i="1"/>
  <c r="P10" i="1"/>
  <c r="R10" i="1"/>
  <c r="P11" i="1"/>
  <c r="R11" i="1"/>
  <c r="P12" i="1"/>
  <c r="R12" i="1"/>
  <c r="P13" i="1"/>
  <c r="R13" i="1"/>
  <c r="P14" i="1"/>
  <c r="R14" i="1"/>
  <c r="P15" i="1"/>
  <c r="R15" i="1"/>
  <c r="P16" i="1"/>
  <c r="R16" i="1"/>
  <c r="P17" i="1"/>
  <c r="R17" i="1"/>
  <c r="P18" i="1"/>
  <c r="R18" i="1"/>
  <c r="P19" i="1"/>
  <c r="R19" i="1"/>
  <c r="P20" i="1"/>
  <c r="R20" i="1"/>
  <c r="P21" i="1"/>
  <c r="R21" i="1"/>
  <c r="P22" i="1"/>
  <c r="R22" i="1"/>
  <c r="P23" i="1"/>
  <c r="R23" i="1"/>
  <c r="P24" i="1"/>
  <c r="R24" i="1"/>
  <c r="P25" i="1"/>
  <c r="R25" i="1"/>
  <c r="P26" i="1"/>
  <c r="R26" i="1"/>
  <c r="P27" i="1"/>
  <c r="R27" i="1"/>
  <c r="P28" i="1"/>
  <c r="R28" i="1"/>
  <c r="P29" i="1"/>
  <c r="R29" i="1"/>
  <c r="P30" i="1"/>
  <c r="R30" i="1"/>
  <c r="P31" i="1"/>
  <c r="R31" i="1"/>
  <c r="P32" i="1"/>
  <c r="R32" i="1"/>
  <c r="P33" i="1"/>
  <c r="R33" i="1"/>
  <c r="P36" i="1"/>
  <c r="R36" i="1"/>
  <c r="P37" i="1"/>
  <c r="R37" i="1"/>
  <c r="P38" i="1"/>
  <c r="R38" i="1"/>
  <c r="P39" i="1"/>
  <c r="R39" i="1"/>
  <c r="P40" i="1"/>
  <c r="R40" i="1"/>
  <c r="P41" i="1"/>
  <c r="R41" i="1"/>
  <c r="P43" i="1"/>
  <c r="R43" i="1"/>
  <c r="P44" i="1"/>
  <c r="R44" i="1"/>
  <c r="P45" i="1"/>
  <c r="R45" i="1"/>
  <c r="P46" i="1"/>
  <c r="R46" i="1"/>
  <c r="P50" i="1"/>
  <c r="R50" i="1"/>
  <c r="P51" i="1"/>
  <c r="R51" i="1"/>
  <c r="P52" i="1"/>
  <c r="R52" i="1"/>
  <c r="P53" i="1"/>
  <c r="R53" i="1"/>
  <c r="P54" i="1"/>
  <c r="R54" i="1"/>
  <c r="P55" i="1"/>
  <c r="R55" i="1"/>
  <c r="P56" i="1"/>
  <c r="R56" i="1"/>
  <c r="P57" i="1"/>
  <c r="R57" i="1"/>
  <c r="P58" i="1"/>
  <c r="R58" i="1"/>
  <c r="P59" i="1"/>
  <c r="R59" i="1"/>
  <c r="P60" i="1"/>
  <c r="R60" i="1"/>
  <c r="P61" i="1"/>
  <c r="R61" i="1"/>
  <c r="P62" i="1"/>
  <c r="R62" i="1"/>
  <c r="P63" i="1"/>
  <c r="R63" i="1"/>
  <c r="P64" i="1"/>
  <c r="R64" i="1"/>
  <c r="P65" i="1"/>
  <c r="R65" i="1"/>
  <c r="P68" i="1"/>
  <c r="R68" i="1"/>
  <c r="P70" i="1"/>
  <c r="R70" i="1"/>
  <c r="P71" i="1"/>
  <c r="R71" i="1"/>
  <c r="P73" i="1"/>
  <c r="R73" i="1"/>
  <c r="P74" i="1"/>
  <c r="R74" i="1"/>
  <c r="P75" i="1"/>
  <c r="R75" i="1"/>
  <c r="P76" i="1"/>
  <c r="R76" i="1"/>
  <c r="P77" i="1"/>
  <c r="R77" i="1"/>
  <c r="P78" i="1"/>
  <c r="R78" i="1"/>
  <c r="P79" i="1"/>
  <c r="R79" i="1"/>
  <c r="P80" i="1"/>
  <c r="R80" i="1"/>
  <c r="P81" i="1"/>
  <c r="R81" i="1"/>
  <c r="P82" i="1"/>
  <c r="R82" i="1"/>
  <c r="P83" i="1"/>
  <c r="R83" i="1"/>
  <c r="P84" i="1"/>
  <c r="R84" i="1"/>
  <c r="P85" i="1"/>
  <c r="R85" i="1"/>
  <c r="P86" i="1"/>
  <c r="R86" i="1"/>
  <c r="P88" i="1"/>
  <c r="R88" i="1"/>
  <c r="P90" i="1"/>
  <c r="R90" i="1"/>
  <c r="P91" i="1"/>
  <c r="R91" i="1"/>
  <c r="P92" i="1"/>
  <c r="R92" i="1"/>
  <c r="P93" i="1"/>
  <c r="R93" i="1"/>
  <c r="P94" i="1"/>
  <c r="R94" i="1"/>
  <c r="P95" i="1"/>
  <c r="R95" i="1"/>
  <c r="P96" i="1"/>
  <c r="R96" i="1"/>
  <c r="P97" i="1"/>
  <c r="R97" i="1"/>
  <c r="P98" i="1"/>
  <c r="R98" i="1"/>
  <c r="P99" i="1"/>
  <c r="R99" i="1"/>
  <c r="P100" i="1"/>
  <c r="R100" i="1"/>
  <c r="P101" i="1"/>
  <c r="R101" i="1"/>
  <c r="P102" i="1"/>
  <c r="R102" i="1"/>
  <c r="P103" i="1"/>
  <c r="R103" i="1"/>
  <c r="P104" i="1"/>
  <c r="R104" i="1"/>
  <c r="P105" i="1"/>
  <c r="R105" i="1"/>
  <c r="P106" i="1"/>
  <c r="R106" i="1"/>
  <c r="P107" i="1"/>
  <c r="R107" i="1"/>
  <c r="P108" i="1"/>
  <c r="R108" i="1"/>
  <c r="P109" i="1"/>
  <c r="R109" i="1"/>
  <c r="P110" i="1"/>
  <c r="R110" i="1"/>
  <c r="P111" i="1"/>
  <c r="R111" i="1"/>
  <c r="P112" i="1"/>
  <c r="E112" i="1" s="1"/>
  <c r="R112" i="1"/>
  <c r="P113" i="1"/>
  <c r="R113" i="1"/>
  <c r="P114" i="1"/>
  <c r="R114" i="1"/>
  <c r="P115" i="1"/>
  <c r="R115" i="1"/>
  <c r="P116" i="1"/>
  <c r="R116" i="1"/>
  <c r="P117" i="1"/>
  <c r="R117" i="1"/>
  <c r="P118" i="1"/>
  <c r="R118" i="1"/>
  <c r="P119" i="1"/>
  <c r="R119" i="1"/>
  <c r="P120" i="1"/>
  <c r="R120" i="1"/>
  <c r="P121" i="1"/>
  <c r="R121" i="1"/>
  <c r="P122" i="1"/>
  <c r="R122" i="1"/>
  <c r="P123" i="1"/>
  <c r="R123" i="1"/>
  <c r="P124" i="1"/>
  <c r="R124" i="1"/>
  <c r="P125" i="1"/>
  <c r="R125" i="1"/>
  <c r="P126" i="1"/>
  <c r="R126" i="1"/>
  <c r="P127" i="1"/>
  <c r="R127" i="1"/>
  <c r="P128" i="1"/>
  <c r="R128" i="1"/>
  <c r="P129" i="1"/>
  <c r="R129" i="1"/>
  <c r="P130" i="1"/>
  <c r="R130" i="1"/>
  <c r="P131" i="1"/>
  <c r="R131" i="1"/>
  <c r="P132" i="1"/>
  <c r="R132" i="1"/>
  <c r="P133" i="1"/>
  <c r="R133" i="1"/>
  <c r="P135" i="1"/>
  <c r="R135" i="1"/>
  <c r="P136" i="1"/>
  <c r="R136" i="1"/>
  <c r="P137" i="1"/>
  <c r="R137" i="1"/>
  <c r="P138" i="1"/>
  <c r="R138" i="1"/>
  <c r="P139" i="1"/>
  <c r="R139" i="1"/>
  <c r="P140" i="1"/>
  <c r="R140" i="1"/>
  <c r="P141" i="1"/>
  <c r="R141" i="1"/>
  <c r="P142" i="1"/>
  <c r="R142" i="1"/>
  <c r="P143" i="1"/>
  <c r="R143" i="1"/>
  <c r="P144" i="1"/>
  <c r="R144" i="1"/>
  <c r="P145" i="1"/>
  <c r="R145" i="1"/>
  <c r="P146" i="1"/>
  <c r="R146" i="1"/>
  <c r="P147" i="1"/>
  <c r="R147" i="1"/>
  <c r="P149" i="1"/>
  <c r="R149" i="1"/>
  <c r="P150" i="1"/>
  <c r="R150" i="1"/>
  <c r="P151" i="1"/>
  <c r="R151" i="1"/>
  <c r="P152" i="1"/>
  <c r="R152" i="1"/>
  <c r="P154" i="1"/>
  <c r="R154" i="1"/>
  <c r="P155" i="1"/>
  <c r="R155" i="1"/>
  <c r="P156" i="1"/>
  <c r="R156" i="1"/>
  <c r="P157" i="1"/>
  <c r="R157" i="1"/>
  <c r="P158" i="1"/>
  <c r="R158" i="1"/>
  <c r="P159" i="1"/>
  <c r="R159" i="1"/>
  <c r="P160" i="1"/>
  <c r="R160" i="1"/>
  <c r="P161" i="1"/>
  <c r="R161" i="1"/>
  <c r="P162" i="1"/>
  <c r="R162" i="1"/>
  <c r="P163" i="1"/>
  <c r="R163" i="1"/>
  <c r="P164" i="1"/>
  <c r="R164" i="1"/>
  <c r="P165" i="1"/>
  <c r="R165" i="1"/>
  <c r="P166" i="1"/>
  <c r="R166" i="1"/>
  <c r="P167" i="1"/>
  <c r="R167" i="1"/>
  <c r="P168" i="1"/>
  <c r="R168" i="1"/>
  <c r="P169" i="1"/>
  <c r="R169" i="1"/>
  <c r="P170" i="1"/>
  <c r="R170" i="1"/>
  <c r="P171" i="1"/>
  <c r="R171" i="1"/>
  <c r="P172" i="1"/>
  <c r="R172" i="1"/>
  <c r="P173" i="1"/>
  <c r="R173" i="1"/>
  <c r="P174" i="1"/>
  <c r="R174" i="1"/>
  <c r="P175" i="1"/>
  <c r="R175" i="1"/>
  <c r="P176" i="1"/>
  <c r="R176" i="1"/>
  <c r="P177" i="1"/>
  <c r="R177" i="1"/>
  <c r="P178" i="1"/>
  <c r="R178" i="1"/>
  <c r="P179" i="1"/>
  <c r="R179" i="1"/>
  <c r="P180" i="1"/>
  <c r="R180" i="1"/>
  <c r="P181" i="1"/>
  <c r="R181" i="1"/>
  <c r="P182" i="1"/>
  <c r="R182" i="1"/>
  <c r="P183" i="1"/>
  <c r="R183" i="1"/>
  <c r="P184" i="1"/>
  <c r="R184" i="1"/>
  <c r="P185" i="1"/>
  <c r="R185" i="1"/>
  <c r="P186" i="1"/>
  <c r="R186" i="1"/>
  <c r="P187" i="1"/>
  <c r="R187" i="1"/>
  <c r="P188" i="1"/>
  <c r="R188" i="1"/>
  <c r="P189" i="1"/>
  <c r="R189" i="1"/>
  <c r="P192" i="1"/>
  <c r="E192" i="1" s="1"/>
  <c r="R192" i="1"/>
  <c r="C192" i="1" s="1"/>
  <c r="P193" i="1"/>
  <c r="E193" i="1" s="1"/>
  <c r="R193" i="1"/>
  <c r="O148" i="1" l="1"/>
  <c r="J148" i="1" s="1"/>
  <c r="N148" i="1"/>
  <c r="M148" i="1" s="1"/>
  <c r="E148" i="1"/>
  <c r="N195" i="1"/>
  <c r="M195" i="1"/>
  <c r="E195" i="1"/>
  <c r="O195" i="1"/>
  <c r="J195" i="1" s="1"/>
  <c r="E196" i="1"/>
  <c r="O196" i="1"/>
  <c r="J196" i="1" s="1"/>
  <c r="N196" i="1"/>
  <c r="M196" i="1" s="1"/>
  <c r="E197" i="1"/>
  <c r="N197" i="1"/>
  <c r="M197" i="1" s="1"/>
  <c r="O197" i="1"/>
  <c r="J197" i="1" s="1"/>
  <c r="N198" i="1"/>
  <c r="M198" i="1"/>
  <c r="E198" i="1"/>
  <c r="O198" i="1"/>
  <c r="J198" i="1" s="1"/>
  <c r="E199" i="1"/>
  <c r="N199" i="1"/>
  <c r="M199" i="1" s="1"/>
  <c r="O199" i="1"/>
  <c r="J199" i="1" s="1"/>
  <c r="E200" i="1"/>
  <c r="O200" i="1"/>
  <c r="J200" i="1" s="1"/>
  <c r="N200" i="1"/>
  <c r="M200" i="1" s="1"/>
  <c r="O201" i="1"/>
  <c r="J201" i="1" s="1"/>
  <c r="E201" i="1"/>
  <c r="N201" i="1"/>
  <c r="M201" i="1" s="1"/>
  <c r="N202" i="1"/>
  <c r="M202" i="1" s="1"/>
  <c r="E202" i="1"/>
  <c r="O202" i="1"/>
  <c r="J202" i="1" s="1"/>
  <c r="E203" i="1"/>
  <c r="N203" i="1"/>
  <c r="M203" i="1" s="1"/>
  <c r="O203" i="1"/>
  <c r="J203" i="1" s="1"/>
  <c r="E204" i="1"/>
  <c r="N204" i="1"/>
  <c r="O204" i="1"/>
  <c r="J204" i="1" s="1"/>
  <c r="M204" i="1"/>
  <c r="E205" i="1"/>
  <c r="N205" i="1"/>
  <c r="M205" i="1" s="1"/>
  <c r="O205" i="1"/>
  <c r="J205" i="1" s="1"/>
  <c r="N206" i="1"/>
  <c r="E206" i="1"/>
  <c r="M206" i="1"/>
  <c r="O206" i="1"/>
  <c r="J206" i="1" s="1"/>
  <c r="E207" i="1"/>
  <c r="O207" i="1"/>
  <c r="J207" i="1" s="1"/>
  <c r="N207" i="1"/>
  <c r="M207" i="1" s="1"/>
  <c r="E208" i="1"/>
  <c r="O208" i="1"/>
  <c r="J208" i="1" s="1"/>
  <c r="N208" i="1"/>
  <c r="M208" i="1" s="1"/>
  <c r="E209" i="1"/>
  <c r="O209" i="1"/>
  <c r="J209" i="1" s="1"/>
  <c r="N209" i="1"/>
  <c r="M209" i="1"/>
  <c r="O210" i="1"/>
  <c r="J210" i="1" s="1"/>
  <c r="N210" i="1"/>
  <c r="M210" i="1" s="1"/>
  <c r="E210" i="1"/>
  <c r="O211" i="1"/>
  <c r="J211" i="1" s="1"/>
  <c r="E211" i="1"/>
  <c r="N211" i="1"/>
  <c r="M211" i="1" s="1"/>
  <c r="O212" i="1"/>
  <c r="J212" i="1" s="1"/>
  <c r="N212" i="1"/>
  <c r="E212" i="1"/>
  <c r="M212" i="1"/>
  <c r="E213" i="1"/>
  <c r="O213" i="1"/>
  <c r="J213" i="1" s="1"/>
  <c r="N213" i="1"/>
  <c r="M213" i="1"/>
  <c r="O214" i="1"/>
  <c r="J214" i="1" s="1"/>
  <c r="E214" i="1"/>
  <c r="N214" i="1"/>
  <c r="M214" i="1" s="1"/>
  <c r="N215" i="1"/>
  <c r="E215" i="1"/>
  <c r="O215" i="1"/>
  <c r="J215" i="1" s="1"/>
  <c r="M215" i="1"/>
  <c r="E216" i="1"/>
  <c r="O216" i="1"/>
  <c r="J216" i="1" s="1"/>
  <c r="N216" i="1"/>
  <c r="M216" i="1" s="1"/>
  <c r="N217" i="1"/>
  <c r="E217" i="1"/>
  <c r="M217" i="1"/>
  <c r="O217" i="1"/>
  <c r="J217" i="1" s="1"/>
  <c r="O218" i="1"/>
  <c r="J218" i="1" s="1"/>
  <c r="N218" i="1"/>
  <c r="M218" i="1" s="1"/>
  <c r="E218" i="1"/>
  <c r="N219" i="1"/>
  <c r="O219" i="1"/>
  <c r="J219" i="1" s="1"/>
  <c r="E219" i="1"/>
  <c r="M219" i="1"/>
  <c r="E220" i="1"/>
  <c r="O220" i="1"/>
  <c r="J220" i="1" s="1"/>
  <c r="N220" i="1"/>
  <c r="M220" i="1"/>
  <c r="O221" i="1"/>
  <c r="J221" i="1" s="1"/>
  <c r="N221" i="1"/>
  <c r="M221" i="1" s="1"/>
  <c r="E221" i="1"/>
  <c r="N222" i="1"/>
  <c r="O222" i="1"/>
  <c r="J222" i="1" s="1"/>
  <c r="M222" i="1"/>
  <c r="E222" i="1"/>
  <c r="E223" i="1"/>
  <c r="N223" i="1"/>
  <c r="O223" i="1"/>
  <c r="J223" i="1" s="1"/>
  <c r="M223" i="1"/>
  <c r="N224" i="1"/>
  <c r="O224" i="1"/>
  <c r="J224" i="1" s="1"/>
  <c r="M224" i="1"/>
  <c r="E224" i="1"/>
  <c r="N225" i="1"/>
  <c r="O225" i="1"/>
  <c r="J225" i="1" s="1"/>
  <c r="E225" i="1"/>
  <c r="M225" i="1"/>
  <c r="N226" i="1"/>
  <c r="E226" i="1"/>
  <c r="M226" i="1"/>
  <c r="O226" i="1"/>
  <c r="J226" i="1" s="1"/>
  <c r="E227" i="1"/>
  <c r="N227" i="1"/>
  <c r="O227" i="1"/>
  <c r="J227" i="1" s="1"/>
  <c r="M227" i="1"/>
  <c r="N228" i="1"/>
  <c r="O228" i="1"/>
  <c r="J228" i="1" s="1"/>
  <c r="M228" i="1"/>
  <c r="E228" i="1"/>
  <c r="Q195" i="1"/>
  <c r="I195" i="1" s="1"/>
  <c r="C195" i="1"/>
  <c r="Q196" i="1"/>
  <c r="I196" i="1" s="1"/>
  <c r="C196" i="1"/>
  <c r="C197" i="1"/>
  <c r="Q197" i="1"/>
  <c r="I197" i="1" s="1"/>
  <c r="C198" i="1"/>
  <c r="Q198" i="1"/>
  <c r="I198" i="1" s="1"/>
  <c r="C199" i="1"/>
  <c r="Q199" i="1"/>
  <c r="I199" i="1" s="1"/>
  <c r="C200" i="1"/>
  <c r="Q200" i="1"/>
  <c r="I200" i="1" s="1"/>
  <c r="C201" i="1"/>
  <c r="Q201" i="1"/>
  <c r="I201" i="1" s="1"/>
  <c r="C202" i="1"/>
  <c r="Q202" i="1"/>
  <c r="I202" i="1" s="1"/>
  <c r="Q203" i="1"/>
  <c r="I203" i="1" s="1"/>
  <c r="C203" i="1"/>
  <c r="C204" i="1"/>
  <c r="Q204" i="1"/>
  <c r="I204" i="1" s="1"/>
  <c r="Q205" i="1"/>
  <c r="I205" i="1" s="1"/>
  <c r="C205" i="1"/>
  <c r="C206" i="1"/>
  <c r="Q206" i="1"/>
  <c r="I206" i="1" s="1"/>
  <c r="C207" i="1"/>
  <c r="Q207" i="1"/>
  <c r="I207" i="1" s="1"/>
  <c r="Q208" i="1"/>
  <c r="I208" i="1" s="1"/>
  <c r="C208" i="1"/>
  <c r="Q209" i="1"/>
  <c r="I209" i="1" s="1"/>
  <c r="C209" i="1"/>
  <c r="Q210" i="1"/>
  <c r="I210" i="1" s="1"/>
  <c r="C210" i="1"/>
  <c r="Q211" i="1"/>
  <c r="I211" i="1" s="1"/>
  <c r="C211" i="1"/>
  <c r="Q212" i="1"/>
  <c r="I212" i="1" s="1"/>
  <c r="C212" i="1"/>
  <c r="Q213" i="1"/>
  <c r="I213" i="1" s="1"/>
  <c r="C213" i="1"/>
  <c r="Q214" i="1"/>
  <c r="I214" i="1" s="1"/>
  <c r="C214" i="1"/>
  <c r="Q215" i="1"/>
  <c r="I215" i="1" s="1"/>
  <c r="C215" i="1"/>
  <c r="Q216" i="1"/>
  <c r="I216" i="1" s="1"/>
  <c r="C216" i="1"/>
  <c r="C217" i="1"/>
  <c r="Q217" i="1"/>
  <c r="I217" i="1" s="1"/>
  <c r="Q218" i="1"/>
  <c r="I218" i="1" s="1"/>
  <c r="C218" i="1"/>
  <c r="C219" i="1"/>
  <c r="Q219" i="1"/>
  <c r="I219" i="1" s="1"/>
  <c r="Q220" i="1"/>
  <c r="I220" i="1" s="1"/>
  <c r="C220" i="1"/>
  <c r="C221" i="1"/>
  <c r="Q221" i="1"/>
  <c r="I221" i="1" s="1"/>
  <c r="C222" i="1"/>
  <c r="Q222" i="1"/>
  <c r="I222" i="1" s="1"/>
  <c r="C223" i="1"/>
  <c r="Q223" i="1"/>
  <c r="I223" i="1" s="1"/>
  <c r="C224" i="1"/>
  <c r="Q224" i="1"/>
  <c r="I224" i="1" s="1"/>
  <c r="C225" i="1"/>
  <c r="Q225" i="1"/>
  <c r="I225" i="1" s="1"/>
  <c r="C226" i="1"/>
  <c r="Q226" i="1"/>
  <c r="I226" i="1" s="1"/>
  <c r="C227" i="1"/>
  <c r="Q227" i="1"/>
  <c r="I227" i="1" s="1"/>
  <c r="C228" i="1"/>
  <c r="Q228" i="1"/>
  <c r="I228" i="1" s="1"/>
  <c r="G191" i="1"/>
  <c r="H191" i="1"/>
  <c r="D191" i="1" s="1"/>
  <c r="Q194" i="1"/>
  <c r="I194" i="1" s="1"/>
  <c r="C194" i="1"/>
  <c r="G192" i="1"/>
  <c r="H192" i="1"/>
  <c r="D192" i="1"/>
  <c r="Q193" i="1"/>
  <c r="I193" i="1" s="1"/>
  <c r="C193" i="1"/>
  <c r="E66" i="1"/>
  <c r="N66" i="1"/>
  <c r="M66" i="1" s="1"/>
  <c r="O66" i="1"/>
  <c r="J66" i="1" s="1"/>
  <c r="C66" i="1"/>
  <c r="Q66" i="1"/>
  <c r="I66" i="1" s="1"/>
  <c r="N67" i="1"/>
  <c r="E67" i="1"/>
  <c r="M67" i="1"/>
  <c r="O67" i="1"/>
  <c r="J67" i="1" s="1"/>
  <c r="Q67" i="1"/>
  <c r="I67" i="1" s="1"/>
  <c r="C67" i="1"/>
  <c r="E42" i="1"/>
  <c r="N42" i="1"/>
  <c r="M42" i="1" s="1"/>
  <c r="O42" i="1"/>
  <c r="J42" i="1" s="1"/>
  <c r="C42" i="1"/>
  <c r="Q42" i="1"/>
  <c r="I42" i="1" s="1"/>
  <c r="N191" i="1"/>
  <c r="M191" i="1" s="1"/>
  <c r="F191" i="1" s="1"/>
  <c r="O191" i="1"/>
  <c r="J191" i="1" s="1"/>
  <c r="Q191" i="1"/>
  <c r="I191" i="1" s="1"/>
  <c r="E190" i="1"/>
  <c r="N190" i="1"/>
  <c r="M190" i="1" s="1"/>
  <c r="O190" i="1"/>
  <c r="J190" i="1" s="1"/>
  <c r="C190" i="1"/>
  <c r="Q190" i="1"/>
  <c r="I190" i="1" s="1"/>
  <c r="F49" i="1"/>
  <c r="L49" i="1"/>
  <c r="K49" i="1" s="1"/>
  <c r="H49" i="1"/>
  <c r="G49" i="1"/>
  <c r="D49" i="1"/>
  <c r="E48" i="1"/>
  <c r="N48" i="1"/>
  <c r="M48" i="1" s="1"/>
  <c r="O48" i="1"/>
  <c r="J48" i="1" s="1"/>
  <c r="C48" i="1"/>
  <c r="Q48" i="1"/>
  <c r="I48" i="1" s="1"/>
  <c r="E47" i="1"/>
  <c r="N47" i="1"/>
  <c r="M47" i="1" s="1"/>
  <c r="O47" i="1"/>
  <c r="J47" i="1" s="1"/>
  <c r="C47" i="1"/>
  <c r="Q47" i="1"/>
  <c r="I47" i="1" s="1"/>
  <c r="E153" i="1"/>
  <c r="N153" i="1"/>
  <c r="M153" i="1" s="1"/>
  <c r="O153" i="1"/>
  <c r="J153" i="1" s="1"/>
  <c r="C153" i="1"/>
  <c r="Q153" i="1"/>
  <c r="I153" i="1" s="1"/>
  <c r="E34" i="1"/>
  <c r="N34" i="1"/>
  <c r="M34" i="1" s="1"/>
  <c r="O34" i="1"/>
  <c r="J34" i="1" s="1"/>
  <c r="C34" i="1"/>
  <c r="Q34" i="1"/>
  <c r="I34" i="1" s="1"/>
  <c r="E35" i="1"/>
  <c r="N35" i="1"/>
  <c r="M35" i="1" s="1"/>
  <c r="O35" i="1"/>
  <c r="J35" i="1" s="1"/>
  <c r="C35" i="1"/>
  <c r="Q35" i="1"/>
  <c r="I35" i="1" s="1"/>
  <c r="E72" i="1"/>
  <c r="N72" i="1"/>
  <c r="M72" i="1" s="1"/>
  <c r="O72" i="1"/>
  <c r="J72" i="1" s="1"/>
  <c r="C72" i="1"/>
  <c r="Q72" i="1"/>
  <c r="I72" i="1" s="1"/>
  <c r="L134" i="1"/>
  <c r="K134" i="1" s="1"/>
  <c r="F134" i="1"/>
  <c r="F148" i="1"/>
  <c r="L148" i="1"/>
  <c r="K148" i="1" s="1"/>
  <c r="H148" i="1"/>
  <c r="G148" i="1"/>
  <c r="D148" i="1"/>
  <c r="E69" i="1"/>
  <c r="N69" i="1"/>
  <c r="M69" i="1" s="1"/>
  <c r="O69" i="1"/>
  <c r="J69" i="1" s="1"/>
  <c r="C69" i="1"/>
  <c r="Q69" i="1"/>
  <c r="I69" i="1" s="1"/>
  <c r="H134" i="1"/>
  <c r="D134" i="1" s="1"/>
  <c r="G134" i="1"/>
  <c r="N194" i="1"/>
  <c r="M194" i="1" s="1"/>
  <c r="O194" i="1"/>
  <c r="J194" i="1" s="1"/>
  <c r="E89" i="1"/>
  <c r="N89" i="1"/>
  <c r="M89" i="1" s="1"/>
  <c r="O89" i="1"/>
  <c r="J89" i="1" s="1"/>
  <c r="C89" i="1"/>
  <c r="Q89" i="1"/>
  <c r="I89" i="1" s="1"/>
  <c r="E87" i="1"/>
  <c r="N87" i="1"/>
  <c r="M87" i="1" s="1"/>
  <c r="O87" i="1"/>
  <c r="J87" i="1" s="1"/>
  <c r="C87" i="1"/>
  <c r="Q87" i="1"/>
  <c r="I87" i="1" s="1"/>
  <c r="Q56" i="1"/>
  <c r="I56" i="1" s="1"/>
  <c r="C56" i="1"/>
  <c r="Q112" i="1"/>
  <c r="I112" i="1" s="1"/>
  <c r="C112" i="1"/>
  <c r="E2" i="1"/>
  <c r="N2" i="1"/>
  <c r="M2" i="1" s="1"/>
  <c r="O2" i="1"/>
  <c r="J2" i="1" s="1"/>
  <c r="C2" i="1"/>
  <c r="Q2" i="1"/>
  <c r="I2" i="1" s="1"/>
  <c r="O3" i="1"/>
  <c r="J3" i="1" s="1"/>
  <c r="E3" i="1"/>
  <c r="N3" i="1"/>
  <c r="M3" i="1" s="1"/>
  <c r="C3" i="1"/>
  <c r="Q3" i="1"/>
  <c r="I3" i="1" s="1"/>
  <c r="E4" i="1"/>
  <c r="N4" i="1"/>
  <c r="M4" i="1" s="1"/>
  <c r="O4" i="1"/>
  <c r="J4" i="1" s="1"/>
  <c r="C4" i="1"/>
  <c r="Q4" i="1"/>
  <c r="I4" i="1" s="1"/>
  <c r="E5" i="1"/>
  <c r="N5" i="1"/>
  <c r="M5" i="1" s="1"/>
  <c r="O5" i="1"/>
  <c r="J5" i="1" s="1"/>
  <c r="C5" i="1"/>
  <c r="Q5" i="1"/>
  <c r="I5" i="1" s="1"/>
  <c r="E6" i="1"/>
  <c r="N6" i="1"/>
  <c r="M6" i="1" s="1"/>
  <c r="O6" i="1"/>
  <c r="J6" i="1" s="1"/>
  <c r="C6" i="1"/>
  <c r="Q6" i="1"/>
  <c r="I6" i="1" s="1"/>
  <c r="E7" i="1"/>
  <c r="N7" i="1"/>
  <c r="M7" i="1" s="1"/>
  <c r="O7" i="1"/>
  <c r="J7" i="1" s="1"/>
  <c r="C7" i="1"/>
  <c r="Q7" i="1"/>
  <c r="I7" i="1" s="1"/>
  <c r="E8" i="1"/>
  <c r="N8" i="1"/>
  <c r="M8" i="1" s="1"/>
  <c r="O8" i="1"/>
  <c r="J8" i="1" s="1"/>
  <c r="C8" i="1"/>
  <c r="Q8" i="1"/>
  <c r="I8" i="1" s="1"/>
  <c r="O9" i="1"/>
  <c r="J9" i="1" s="1"/>
  <c r="E9" i="1"/>
  <c r="N9" i="1"/>
  <c r="M9" i="1" s="1"/>
  <c r="C9" i="1"/>
  <c r="Q9" i="1"/>
  <c r="I9" i="1" s="1"/>
  <c r="E10" i="1"/>
  <c r="N10" i="1"/>
  <c r="M10" i="1" s="1"/>
  <c r="O10" i="1"/>
  <c r="J10" i="1" s="1"/>
  <c r="C10" i="1"/>
  <c r="Q10" i="1"/>
  <c r="I10" i="1" s="1"/>
  <c r="E11" i="1"/>
  <c r="N11" i="1"/>
  <c r="M11" i="1" s="1"/>
  <c r="O11" i="1"/>
  <c r="J11" i="1" s="1"/>
  <c r="C11" i="1"/>
  <c r="Q11" i="1"/>
  <c r="I11" i="1" s="1"/>
  <c r="E12" i="1"/>
  <c r="N12" i="1"/>
  <c r="M12" i="1" s="1"/>
  <c r="O12" i="1"/>
  <c r="J12" i="1" s="1"/>
  <c r="C12" i="1"/>
  <c r="Q12" i="1"/>
  <c r="I12" i="1" s="1"/>
  <c r="O13" i="1"/>
  <c r="J13" i="1" s="1"/>
  <c r="E13" i="1"/>
  <c r="N13" i="1"/>
  <c r="M13" i="1" s="1"/>
  <c r="C13" i="1"/>
  <c r="Q13" i="1"/>
  <c r="I13" i="1" s="1"/>
  <c r="E14" i="1"/>
  <c r="N14" i="1"/>
  <c r="M14" i="1" s="1"/>
  <c r="O14" i="1"/>
  <c r="J14" i="1" s="1"/>
  <c r="C14" i="1"/>
  <c r="Q14" i="1"/>
  <c r="I14" i="1" s="1"/>
  <c r="E15" i="1"/>
  <c r="N15" i="1"/>
  <c r="M15" i="1" s="1"/>
  <c r="O15" i="1"/>
  <c r="J15" i="1" s="1"/>
  <c r="C15" i="1"/>
  <c r="Q15" i="1"/>
  <c r="I15" i="1" s="1"/>
  <c r="E16" i="1"/>
  <c r="N16" i="1"/>
  <c r="M16" i="1" s="1"/>
  <c r="O16" i="1"/>
  <c r="J16" i="1" s="1"/>
  <c r="C16" i="1"/>
  <c r="Q16" i="1"/>
  <c r="I16" i="1" s="1"/>
  <c r="E17" i="1"/>
  <c r="N17" i="1"/>
  <c r="M17" i="1" s="1"/>
  <c r="O17" i="1"/>
  <c r="J17" i="1" s="1"/>
  <c r="C17" i="1"/>
  <c r="Q17" i="1"/>
  <c r="I17" i="1" s="1"/>
  <c r="E18" i="1"/>
  <c r="N18" i="1"/>
  <c r="M18" i="1" s="1"/>
  <c r="O18" i="1"/>
  <c r="J18" i="1" s="1"/>
  <c r="C18" i="1"/>
  <c r="Q18" i="1"/>
  <c r="I18" i="1" s="1"/>
  <c r="O19" i="1"/>
  <c r="J19" i="1" s="1"/>
  <c r="E19" i="1"/>
  <c r="N19" i="1"/>
  <c r="M19" i="1" s="1"/>
  <c r="C19" i="1"/>
  <c r="Q19" i="1"/>
  <c r="I19" i="1" s="1"/>
  <c r="E20" i="1"/>
  <c r="N20" i="1"/>
  <c r="M20" i="1" s="1"/>
  <c r="O20" i="1"/>
  <c r="J20" i="1" s="1"/>
  <c r="C20" i="1"/>
  <c r="Q20" i="1"/>
  <c r="I20" i="1" s="1"/>
  <c r="E21" i="1"/>
  <c r="N21" i="1"/>
  <c r="M21" i="1" s="1"/>
  <c r="O21" i="1"/>
  <c r="J21" i="1" s="1"/>
  <c r="C21" i="1"/>
  <c r="Q21" i="1"/>
  <c r="I21" i="1" s="1"/>
  <c r="O22" i="1"/>
  <c r="J22" i="1" s="1"/>
  <c r="E22" i="1"/>
  <c r="N22" i="1"/>
  <c r="M22" i="1" s="1"/>
  <c r="C22" i="1"/>
  <c r="Q22" i="1"/>
  <c r="I22" i="1" s="1"/>
  <c r="E23" i="1"/>
  <c r="N23" i="1"/>
  <c r="M23" i="1" s="1"/>
  <c r="O23" i="1"/>
  <c r="J23" i="1" s="1"/>
  <c r="C23" i="1"/>
  <c r="Q23" i="1"/>
  <c r="I23" i="1" s="1"/>
  <c r="E24" i="1"/>
  <c r="N24" i="1"/>
  <c r="M24" i="1" s="1"/>
  <c r="O24" i="1"/>
  <c r="J24" i="1" s="1"/>
  <c r="C24" i="1"/>
  <c r="Q24" i="1"/>
  <c r="I24" i="1" s="1"/>
  <c r="E25" i="1"/>
  <c r="N25" i="1"/>
  <c r="M25" i="1" s="1"/>
  <c r="O25" i="1"/>
  <c r="J25" i="1" s="1"/>
  <c r="C25" i="1"/>
  <c r="Q25" i="1"/>
  <c r="I25" i="1" s="1"/>
  <c r="E26" i="1"/>
  <c r="N26" i="1"/>
  <c r="M26" i="1" s="1"/>
  <c r="O26" i="1"/>
  <c r="J26" i="1" s="1"/>
  <c r="C26" i="1"/>
  <c r="Q26" i="1"/>
  <c r="I26" i="1" s="1"/>
  <c r="E27" i="1"/>
  <c r="N27" i="1"/>
  <c r="M27" i="1" s="1"/>
  <c r="O27" i="1"/>
  <c r="J27" i="1" s="1"/>
  <c r="C27" i="1"/>
  <c r="Q27" i="1"/>
  <c r="I27" i="1" s="1"/>
  <c r="O28" i="1"/>
  <c r="J28" i="1" s="1"/>
  <c r="E28" i="1"/>
  <c r="N28" i="1"/>
  <c r="M28" i="1" s="1"/>
  <c r="C28" i="1"/>
  <c r="Q28" i="1"/>
  <c r="I28" i="1" s="1"/>
  <c r="E29" i="1"/>
  <c r="N29" i="1"/>
  <c r="M29" i="1" s="1"/>
  <c r="O29" i="1"/>
  <c r="J29" i="1" s="1"/>
  <c r="C29" i="1"/>
  <c r="Q29" i="1"/>
  <c r="I29" i="1" s="1"/>
  <c r="E30" i="1"/>
  <c r="N30" i="1"/>
  <c r="M30" i="1" s="1"/>
  <c r="O30" i="1"/>
  <c r="J30" i="1" s="1"/>
  <c r="C30" i="1"/>
  <c r="Q30" i="1"/>
  <c r="I30" i="1" s="1"/>
  <c r="E31" i="1"/>
  <c r="N31" i="1"/>
  <c r="M31" i="1" s="1"/>
  <c r="O31" i="1"/>
  <c r="J31" i="1" s="1"/>
  <c r="C31" i="1"/>
  <c r="Q31" i="1"/>
  <c r="I31" i="1" s="1"/>
  <c r="E32" i="1"/>
  <c r="N32" i="1"/>
  <c r="M32" i="1" s="1"/>
  <c r="O32" i="1"/>
  <c r="J32" i="1" s="1"/>
  <c r="C32" i="1"/>
  <c r="Q32" i="1"/>
  <c r="I32" i="1" s="1"/>
  <c r="O33" i="1"/>
  <c r="J33" i="1" s="1"/>
  <c r="E33" i="1"/>
  <c r="N33" i="1"/>
  <c r="M33" i="1" s="1"/>
  <c r="C33" i="1"/>
  <c r="Q33" i="1"/>
  <c r="I33" i="1" s="1"/>
  <c r="E36" i="1"/>
  <c r="N36" i="1"/>
  <c r="M36" i="1" s="1"/>
  <c r="O36" i="1"/>
  <c r="J36" i="1" s="1"/>
  <c r="C36" i="1"/>
  <c r="Q36" i="1"/>
  <c r="I36" i="1" s="1"/>
  <c r="E37" i="1"/>
  <c r="N37" i="1"/>
  <c r="M37" i="1" s="1"/>
  <c r="O37" i="1"/>
  <c r="J37" i="1" s="1"/>
  <c r="C37" i="1"/>
  <c r="Q37" i="1"/>
  <c r="I37" i="1" s="1"/>
  <c r="E38" i="1"/>
  <c r="N38" i="1"/>
  <c r="M38" i="1" s="1"/>
  <c r="O38" i="1"/>
  <c r="J38" i="1" s="1"/>
  <c r="C38" i="1"/>
  <c r="Q38" i="1"/>
  <c r="I38" i="1" s="1"/>
  <c r="E39" i="1"/>
  <c r="N39" i="1"/>
  <c r="M39" i="1" s="1"/>
  <c r="O39" i="1"/>
  <c r="J39" i="1" s="1"/>
  <c r="C39" i="1"/>
  <c r="Q39" i="1"/>
  <c r="I39" i="1" s="1"/>
  <c r="E40" i="1"/>
  <c r="N40" i="1"/>
  <c r="M40" i="1" s="1"/>
  <c r="O40" i="1"/>
  <c r="J40" i="1" s="1"/>
  <c r="C40" i="1"/>
  <c r="Q40" i="1"/>
  <c r="I40" i="1" s="1"/>
  <c r="O41" i="1"/>
  <c r="J41" i="1" s="1"/>
  <c r="E41" i="1"/>
  <c r="N41" i="1"/>
  <c r="M41" i="1" s="1"/>
  <c r="C41" i="1"/>
  <c r="Q41" i="1"/>
  <c r="I41" i="1" s="1"/>
  <c r="E43" i="1"/>
  <c r="N43" i="1"/>
  <c r="M43" i="1" s="1"/>
  <c r="O43" i="1"/>
  <c r="J43" i="1" s="1"/>
  <c r="C43" i="1"/>
  <c r="Q43" i="1"/>
  <c r="I43" i="1" s="1"/>
  <c r="E44" i="1"/>
  <c r="N44" i="1"/>
  <c r="M44" i="1" s="1"/>
  <c r="O44" i="1"/>
  <c r="J44" i="1" s="1"/>
  <c r="C44" i="1"/>
  <c r="Q44" i="1"/>
  <c r="I44" i="1" s="1"/>
  <c r="E45" i="1"/>
  <c r="N45" i="1"/>
  <c r="M45" i="1" s="1"/>
  <c r="O45" i="1"/>
  <c r="J45" i="1" s="1"/>
  <c r="C45" i="1"/>
  <c r="Q45" i="1"/>
  <c r="I45" i="1" s="1"/>
  <c r="E46" i="1"/>
  <c r="N46" i="1"/>
  <c r="M46" i="1" s="1"/>
  <c r="O46" i="1"/>
  <c r="J46" i="1" s="1"/>
  <c r="C46" i="1"/>
  <c r="Q46" i="1"/>
  <c r="I46" i="1" s="1"/>
  <c r="O50" i="1"/>
  <c r="J50" i="1" s="1"/>
  <c r="E50" i="1"/>
  <c r="N50" i="1"/>
  <c r="M50" i="1" s="1"/>
  <c r="C50" i="1"/>
  <c r="Q50" i="1"/>
  <c r="I50" i="1" s="1"/>
  <c r="E51" i="1"/>
  <c r="N51" i="1"/>
  <c r="M51" i="1" s="1"/>
  <c r="O51" i="1"/>
  <c r="J51" i="1" s="1"/>
  <c r="C51" i="1"/>
  <c r="Q51" i="1"/>
  <c r="I51" i="1" s="1"/>
  <c r="E52" i="1"/>
  <c r="N52" i="1"/>
  <c r="M52" i="1" s="1"/>
  <c r="O52" i="1"/>
  <c r="J52" i="1" s="1"/>
  <c r="C52" i="1"/>
  <c r="Q52" i="1"/>
  <c r="I52" i="1" s="1"/>
  <c r="E53" i="1"/>
  <c r="N53" i="1"/>
  <c r="M53" i="1" s="1"/>
  <c r="O53" i="1"/>
  <c r="J53" i="1" s="1"/>
  <c r="C53" i="1"/>
  <c r="Q53" i="1"/>
  <c r="I53" i="1" s="1"/>
  <c r="E54" i="1"/>
  <c r="N54" i="1"/>
  <c r="M54" i="1" s="1"/>
  <c r="O54" i="1"/>
  <c r="J54" i="1" s="1"/>
  <c r="C54" i="1"/>
  <c r="Q54" i="1"/>
  <c r="I54" i="1" s="1"/>
  <c r="O55" i="1"/>
  <c r="J55" i="1" s="1"/>
  <c r="E55" i="1"/>
  <c r="N55" i="1"/>
  <c r="M55" i="1" s="1"/>
  <c r="C55" i="1"/>
  <c r="Q55" i="1"/>
  <c r="I55" i="1" s="1"/>
  <c r="N56" i="1"/>
  <c r="M56" i="1" s="1"/>
  <c r="O56" i="1"/>
  <c r="J56" i="1" s="1"/>
  <c r="E56" i="1"/>
  <c r="O57" i="1"/>
  <c r="J57" i="1" s="1"/>
  <c r="N57" i="1"/>
  <c r="M57" i="1" s="1"/>
  <c r="E57" i="1"/>
  <c r="C57" i="1"/>
  <c r="Q57" i="1"/>
  <c r="I57" i="1" s="1"/>
  <c r="N58" i="1"/>
  <c r="M58" i="1" s="1"/>
  <c r="E58" i="1"/>
  <c r="O58" i="1"/>
  <c r="J58" i="1" s="1"/>
  <c r="C58" i="1"/>
  <c r="Q58" i="1"/>
  <c r="I58" i="1" s="1"/>
  <c r="O59" i="1"/>
  <c r="J59" i="1" s="1"/>
  <c r="N59" i="1"/>
  <c r="E59" i="1"/>
  <c r="M59" i="1"/>
  <c r="Q59" i="1"/>
  <c r="I59" i="1" s="1"/>
  <c r="C59" i="1"/>
  <c r="O60" i="1"/>
  <c r="J60" i="1" s="1"/>
  <c r="N60" i="1"/>
  <c r="M60" i="1" s="1"/>
  <c r="E60" i="1"/>
  <c r="Q60" i="1"/>
  <c r="I60" i="1" s="1"/>
  <c r="C60" i="1"/>
  <c r="E61" i="1"/>
  <c r="N61" i="1"/>
  <c r="M61" i="1" s="1"/>
  <c r="O61" i="1"/>
  <c r="J61" i="1" s="1"/>
  <c r="Q61" i="1"/>
  <c r="I61" i="1" s="1"/>
  <c r="C61" i="1"/>
  <c r="E62" i="1"/>
  <c r="N62" i="1"/>
  <c r="M62" i="1" s="1"/>
  <c r="O62" i="1"/>
  <c r="J62" i="1" s="1"/>
  <c r="Q62" i="1"/>
  <c r="I62" i="1" s="1"/>
  <c r="C62" i="1"/>
  <c r="E63" i="1"/>
  <c r="N63" i="1"/>
  <c r="M63" i="1" s="1"/>
  <c r="O63" i="1"/>
  <c r="J63" i="1" s="1"/>
  <c r="C63" i="1"/>
  <c r="Q63" i="1"/>
  <c r="I63" i="1" s="1"/>
  <c r="E64" i="1"/>
  <c r="N64" i="1"/>
  <c r="M64" i="1" s="1"/>
  <c r="O64" i="1"/>
  <c r="J64" i="1" s="1"/>
  <c r="C64" i="1"/>
  <c r="Q64" i="1"/>
  <c r="I64" i="1" s="1"/>
  <c r="E65" i="1"/>
  <c r="N65" i="1"/>
  <c r="M65" i="1" s="1"/>
  <c r="O65" i="1"/>
  <c r="J65" i="1" s="1"/>
  <c r="Q65" i="1"/>
  <c r="I65" i="1" s="1"/>
  <c r="C65" i="1"/>
  <c r="N68" i="1"/>
  <c r="M68" i="1" s="1"/>
  <c r="O68" i="1"/>
  <c r="J68" i="1" s="1"/>
  <c r="E68" i="1"/>
  <c r="C68" i="1"/>
  <c r="Q68" i="1"/>
  <c r="I68" i="1" s="1"/>
  <c r="O70" i="1"/>
  <c r="J70" i="1" s="1"/>
  <c r="N70" i="1"/>
  <c r="M70" i="1" s="1"/>
  <c r="E70" i="1"/>
  <c r="Q70" i="1"/>
  <c r="I70" i="1" s="1"/>
  <c r="C70" i="1"/>
  <c r="E71" i="1"/>
  <c r="O71" i="1"/>
  <c r="J71" i="1" s="1"/>
  <c r="N71" i="1"/>
  <c r="M71" i="1" s="1"/>
  <c r="C71" i="1"/>
  <c r="Q71" i="1"/>
  <c r="I71" i="1" s="1"/>
  <c r="E73" i="1"/>
  <c r="N73" i="1"/>
  <c r="M73" i="1" s="1"/>
  <c r="O73" i="1"/>
  <c r="J73" i="1" s="1"/>
  <c r="C73" i="1"/>
  <c r="Q73" i="1"/>
  <c r="I73" i="1" s="1"/>
  <c r="E74" i="1"/>
  <c r="N74" i="1"/>
  <c r="M74" i="1" s="1"/>
  <c r="O74" i="1"/>
  <c r="J74" i="1" s="1"/>
  <c r="C74" i="1"/>
  <c r="Q74" i="1"/>
  <c r="I74" i="1" s="1"/>
  <c r="O75" i="1"/>
  <c r="J75" i="1" s="1"/>
  <c r="N75" i="1"/>
  <c r="M75" i="1"/>
  <c r="E75" i="1"/>
  <c r="C75" i="1"/>
  <c r="Q75" i="1"/>
  <c r="I75" i="1" s="1"/>
  <c r="E76" i="1"/>
  <c r="N76" i="1"/>
  <c r="M76" i="1" s="1"/>
  <c r="O76" i="1"/>
  <c r="J76" i="1" s="1"/>
  <c r="Q76" i="1"/>
  <c r="I76" i="1" s="1"/>
  <c r="C76" i="1"/>
  <c r="E77" i="1"/>
  <c r="N77" i="1"/>
  <c r="M77" i="1" s="1"/>
  <c r="O77" i="1"/>
  <c r="J77" i="1" s="1"/>
  <c r="C77" i="1"/>
  <c r="Q77" i="1"/>
  <c r="I77" i="1" s="1"/>
  <c r="E78" i="1"/>
  <c r="N78" i="1"/>
  <c r="M78" i="1" s="1"/>
  <c r="O78" i="1"/>
  <c r="J78" i="1" s="1"/>
  <c r="C78" i="1"/>
  <c r="Q78" i="1"/>
  <c r="I78" i="1" s="1"/>
  <c r="O79" i="1"/>
  <c r="J79" i="1" s="1"/>
  <c r="N79" i="1"/>
  <c r="M79" i="1"/>
  <c r="E79" i="1"/>
  <c r="C79" i="1"/>
  <c r="Q79" i="1"/>
  <c r="I79" i="1" s="1"/>
  <c r="N80" i="1"/>
  <c r="O80" i="1"/>
  <c r="J80" i="1" s="1"/>
  <c r="E80" i="1"/>
  <c r="M80" i="1"/>
  <c r="C80" i="1"/>
  <c r="Q80" i="1"/>
  <c r="I80" i="1" s="1"/>
  <c r="E81" i="1"/>
  <c r="N81" i="1"/>
  <c r="M81" i="1" s="1"/>
  <c r="O81" i="1"/>
  <c r="J81" i="1" s="1"/>
  <c r="Q81" i="1"/>
  <c r="I81" i="1" s="1"/>
  <c r="C81" i="1"/>
  <c r="O82" i="1"/>
  <c r="J82" i="1" s="1"/>
  <c r="N82" i="1"/>
  <c r="M82" i="1" s="1"/>
  <c r="E82" i="1"/>
  <c r="C82" i="1"/>
  <c r="Q82" i="1"/>
  <c r="I82" i="1" s="1"/>
  <c r="N83" i="1"/>
  <c r="M83" i="1" s="1"/>
  <c r="O83" i="1"/>
  <c r="J83" i="1" s="1"/>
  <c r="E83" i="1"/>
  <c r="Q83" i="1"/>
  <c r="I83" i="1" s="1"/>
  <c r="C83" i="1"/>
  <c r="O84" i="1"/>
  <c r="J84" i="1" s="1"/>
  <c r="N84" i="1"/>
  <c r="M84" i="1" s="1"/>
  <c r="E84" i="1"/>
  <c r="C84" i="1"/>
  <c r="Q84" i="1"/>
  <c r="I84" i="1" s="1"/>
  <c r="O85" i="1"/>
  <c r="J85" i="1" s="1"/>
  <c r="N85" i="1"/>
  <c r="M85" i="1" s="1"/>
  <c r="E85" i="1"/>
  <c r="Q85" i="1"/>
  <c r="I85" i="1" s="1"/>
  <c r="C85" i="1"/>
  <c r="E86" i="1"/>
  <c r="O86" i="1"/>
  <c r="J86" i="1" s="1"/>
  <c r="N86" i="1"/>
  <c r="M86" i="1" s="1"/>
  <c r="Q86" i="1"/>
  <c r="I86" i="1" s="1"/>
  <c r="C86" i="1"/>
  <c r="E88" i="1"/>
  <c r="N88" i="1"/>
  <c r="M88" i="1" s="1"/>
  <c r="O88" i="1"/>
  <c r="J88" i="1" s="1"/>
  <c r="C88" i="1"/>
  <c r="Q88" i="1"/>
  <c r="I88" i="1" s="1"/>
  <c r="O90" i="1"/>
  <c r="J90" i="1" s="1"/>
  <c r="E90" i="1"/>
  <c r="N90" i="1"/>
  <c r="M90" i="1" s="1"/>
  <c r="Q90" i="1"/>
  <c r="I90" i="1" s="1"/>
  <c r="C90" i="1"/>
  <c r="O91" i="1"/>
  <c r="J91" i="1" s="1"/>
  <c r="N91" i="1"/>
  <c r="M91" i="1" s="1"/>
  <c r="E91" i="1"/>
  <c r="Q91" i="1"/>
  <c r="I91" i="1" s="1"/>
  <c r="C91" i="1"/>
  <c r="O92" i="1"/>
  <c r="J92" i="1" s="1"/>
  <c r="N92" i="1"/>
  <c r="M92" i="1" s="1"/>
  <c r="E92" i="1"/>
  <c r="Q92" i="1"/>
  <c r="I92" i="1" s="1"/>
  <c r="C92" i="1"/>
  <c r="N93" i="1"/>
  <c r="M93" i="1" s="1"/>
  <c r="O93" i="1"/>
  <c r="J93" i="1" s="1"/>
  <c r="E93" i="1"/>
  <c r="Q93" i="1"/>
  <c r="I93" i="1" s="1"/>
  <c r="C93" i="1"/>
  <c r="O94" i="1"/>
  <c r="J94" i="1" s="1"/>
  <c r="N94" i="1"/>
  <c r="M94" i="1" s="1"/>
  <c r="E94" i="1"/>
  <c r="Q94" i="1"/>
  <c r="I94" i="1" s="1"/>
  <c r="C94" i="1"/>
  <c r="O95" i="1"/>
  <c r="J95" i="1" s="1"/>
  <c r="N95" i="1"/>
  <c r="M95" i="1" s="1"/>
  <c r="E95" i="1"/>
  <c r="Q95" i="1"/>
  <c r="I95" i="1" s="1"/>
  <c r="C95" i="1"/>
  <c r="O96" i="1"/>
  <c r="J96" i="1" s="1"/>
  <c r="N96" i="1"/>
  <c r="M96" i="1" s="1"/>
  <c r="E96" i="1"/>
  <c r="Q96" i="1"/>
  <c r="I96" i="1" s="1"/>
  <c r="C96" i="1"/>
  <c r="O97" i="1"/>
  <c r="J97" i="1" s="1"/>
  <c r="N97" i="1"/>
  <c r="M97" i="1" s="1"/>
  <c r="E97" i="1"/>
  <c r="C97" i="1"/>
  <c r="Q97" i="1"/>
  <c r="I97" i="1" s="1"/>
  <c r="N98" i="1"/>
  <c r="M98" i="1" s="1"/>
  <c r="O98" i="1"/>
  <c r="J98" i="1" s="1"/>
  <c r="E98" i="1"/>
  <c r="C98" i="1"/>
  <c r="Q98" i="1"/>
  <c r="I98" i="1" s="1"/>
  <c r="O99" i="1"/>
  <c r="J99" i="1" s="1"/>
  <c r="N99" i="1"/>
  <c r="M99" i="1" s="1"/>
  <c r="E99" i="1"/>
  <c r="Q99" i="1"/>
  <c r="I99" i="1" s="1"/>
  <c r="C99" i="1"/>
  <c r="N100" i="1"/>
  <c r="M100" i="1" s="1"/>
  <c r="O100" i="1"/>
  <c r="J100" i="1" s="1"/>
  <c r="E100" i="1"/>
  <c r="Q100" i="1"/>
  <c r="I100" i="1" s="1"/>
  <c r="C100" i="1"/>
  <c r="E101" i="1"/>
  <c r="N101" i="1"/>
  <c r="M101" i="1" s="1"/>
  <c r="O101" i="1"/>
  <c r="J101" i="1" s="1"/>
  <c r="C101" i="1"/>
  <c r="Q101" i="1"/>
  <c r="I101" i="1" s="1"/>
  <c r="E102" i="1"/>
  <c r="N102" i="1"/>
  <c r="M102" i="1" s="1"/>
  <c r="O102" i="1"/>
  <c r="J102" i="1" s="1"/>
  <c r="C102" i="1"/>
  <c r="Q102" i="1"/>
  <c r="I102" i="1" s="1"/>
  <c r="O103" i="1"/>
  <c r="J103" i="1" s="1"/>
  <c r="N103" i="1"/>
  <c r="M103" i="1" s="1"/>
  <c r="E103" i="1"/>
  <c r="C103" i="1"/>
  <c r="Q103" i="1"/>
  <c r="I103" i="1" s="1"/>
  <c r="E104" i="1"/>
  <c r="N104" i="1"/>
  <c r="M104" i="1" s="1"/>
  <c r="O104" i="1"/>
  <c r="J104" i="1" s="1"/>
  <c r="C104" i="1"/>
  <c r="Q104" i="1"/>
  <c r="I104" i="1" s="1"/>
  <c r="O105" i="1"/>
  <c r="J105" i="1" s="1"/>
  <c r="N105" i="1"/>
  <c r="M105" i="1" s="1"/>
  <c r="E105" i="1"/>
  <c r="C105" i="1"/>
  <c r="Q105" i="1"/>
  <c r="I105" i="1" s="1"/>
  <c r="O106" i="1"/>
  <c r="J106" i="1" s="1"/>
  <c r="N106" i="1"/>
  <c r="M106" i="1"/>
  <c r="E106" i="1"/>
  <c r="Q106" i="1"/>
  <c r="I106" i="1" s="1"/>
  <c r="C106" i="1"/>
  <c r="O107" i="1"/>
  <c r="J107" i="1" s="1"/>
  <c r="N107" i="1"/>
  <c r="M107" i="1" s="1"/>
  <c r="E107" i="1"/>
  <c r="Q107" i="1"/>
  <c r="I107" i="1" s="1"/>
  <c r="C107" i="1"/>
  <c r="O108" i="1"/>
  <c r="J108" i="1" s="1"/>
  <c r="N108" i="1"/>
  <c r="M108" i="1" s="1"/>
  <c r="E108" i="1"/>
  <c r="Q108" i="1"/>
  <c r="I108" i="1" s="1"/>
  <c r="C108" i="1"/>
  <c r="N109" i="1"/>
  <c r="M109" i="1" s="1"/>
  <c r="O109" i="1"/>
  <c r="J109" i="1" s="1"/>
  <c r="E109" i="1"/>
  <c r="Q109" i="1"/>
  <c r="I109" i="1" s="1"/>
  <c r="C109" i="1"/>
  <c r="E110" i="1"/>
  <c r="N110" i="1"/>
  <c r="O110" i="1"/>
  <c r="J110" i="1" s="1"/>
  <c r="M110" i="1"/>
  <c r="Q110" i="1"/>
  <c r="I110" i="1" s="1"/>
  <c r="C110" i="1"/>
  <c r="O111" i="1"/>
  <c r="J111" i="1" s="1"/>
  <c r="N111" i="1"/>
  <c r="M111" i="1" s="1"/>
  <c r="E111" i="1"/>
  <c r="Q111" i="1"/>
  <c r="I111" i="1" s="1"/>
  <c r="C111" i="1"/>
  <c r="O112" i="1"/>
  <c r="J112" i="1" s="1"/>
  <c r="N112" i="1"/>
  <c r="M112" i="1" s="1"/>
  <c r="N113" i="1"/>
  <c r="M113" i="1" s="1"/>
  <c r="O113" i="1"/>
  <c r="J113" i="1" s="1"/>
  <c r="E113" i="1"/>
  <c r="Q113" i="1"/>
  <c r="I113" i="1" s="1"/>
  <c r="C113" i="1"/>
  <c r="O114" i="1"/>
  <c r="J114" i="1" s="1"/>
  <c r="N114" i="1"/>
  <c r="E114" i="1"/>
  <c r="M114" i="1"/>
  <c r="C114" i="1"/>
  <c r="Q114" i="1"/>
  <c r="I114" i="1" s="1"/>
  <c r="E115" i="1"/>
  <c r="N115" i="1"/>
  <c r="M115" i="1" s="1"/>
  <c r="O115" i="1"/>
  <c r="J115" i="1" s="1"/>
  <c r="C115" i="1"/>
  <c r="Q115" i="1"/>
  <c r="I115" i="1" s="1"/>
  <c r="E116" i="1"/>
  <c r="O116" i="1"/>
  <c r="J116" i="1" s="1"/>
  <c r="N116" i="1"/>
  <c r="M116" i="1" s="1"/>
  <c r="Q116" i="1"/>
  <c r="I116" i="1" s="1"/>
  <c r="C116" i="1"/>
  <c r="E117" i="1"/>
  <c r="O117" i="1"/>
  <c r="J117" i="1" s="1"/>
  <c r="N117" i="1"/>
  <c r="M117" i="1" s="1"/>
  <c r="Q117" i="1"/>
  <c r="I117" i="1" s="1"/>
  <c r="C117" i="1"/>
  <c r="E118" i="1"/>
  <c r="N118" i="1"/>
  <c r="M118" i="1" s="1"/>
  <c r="O118" i="1"/>
  <c r="J118" i="1" s="1"/>
  <c r="C118" i="1"/>
  <c r="Q118" i="1"/>
  <c r="I118" i="1" s="1"/>
  <c r="N119" i="1"/>
  <c r="M119" i="1" s="1"/>
  <c r="O119" i="1"/>
  <c r="J119" i="1" s="1"/>
  <c r="E119" i="1"/>
  <c r="Q119" i="1"/>
  <c r="I119" i="1" s="1"/>
  <c r="C119" i="1"/>
  <c r="O120" i="1"/>
  <c r="J120" i="1" s="1"/>
  <c r="N120" i="1"/>
  <c r="M120" i="1" s="1"/>
  <c r="E120" i="1"/>
  <c r="Q120" i="1"/>
  <c r="I120" i="1" s="1"/>
  <c r="C120" i="1"/>
  <c r="O121" i="1"/>
  <c r="J121" i="1" s="1"/>
  <c r="E121" i="1"/>
  <c r="N121" i="1"/>
  <c r="M121" i="1" s="1"/>
  <c r="C121" i="1"/>
  <c r="Q121" i="1"/>
  <c r="I121" i="1" s="1"/>
  <c r="E122" i="1"/>
  <c r="O122" i="1"/>
  <c r="J122" i="1" s="1"/>
  <c r="N122" i="1"/>
  <c r="M122" i="1" s="1"/>
  <c r="Q122" i="1"/>
  <c r="I122" i="1" s="1"/>
  <c r="C122" i="1"/>
  <c r="N123" i="1"/>
  <c r="M123" i="1" s="1"/>
  <c r="E123" i="1"/>
  <c r="O123" i="1"/>
  <c r="J123" i="1" s="1"/>
  <c r="C123" i="1"/>
  <c r="Q123" i="1"/>
  <c r="I123" i="1" s="1"/>
  <c r="N124" i="1"/>
  <c r="O124" i="1"/>
  <c r="J124" i="1" s="1"/>
  <c r="M124" i="1"/>
  <c r="E124" i="1"/>
  <c r="Q124" i="1"/>
  <c r="I124" i="1" s="1"/>
  <c r="C124" i="1"/>
  <c r="E125" i="1"/>
  <c r="N125" i="1"/>
  <c r="O125" i="1"/>
  <c r="J125" i="1" s="1"/>
  <c r="M125" i="1"/>
  <c r="C125" i="1"/>
  <c r="Q125" i="1"/>
  <c r="I125" i="1" s="1"/>
  <c r="O126" i="1"/>
  <c r="J126" i="1" s="1"/>
  <c r="N126" i="1"/>
  <c r="M126" i="1" s="1"/>
  <c r="E126" i="1"/>
  <c r="Q126" i="1"/>
  <c r="I126" i="1" s="1"/>
  <c r="C126" i="1"/>
  <c r="O127" i="1"/>
  <c r="J127" i="1" s="1"/>
  <c r="E127" i="1"/>
  <c r="N127" i="1"/>
  <c r="M127" i="1" s="1"/>
  <c r="Q127" i="1"/>
  <c r="I127" i="1" s="1"/>
  <c r="C127" i="1"/>
  <c r="O128" i="1"/>
  <c r="J128" i="1" s="1"/>
  <c r="N128" i="1"/>
  <c r="M128" i="1" s="1"/>
  <c r="E128" i="1"/>
  <c r="Q128" i="1"/>
  <c r="I128" i="1" s="1"/>
  <c r="C128" i="1"/>
  <c r="N129" i="1"/>
  <c r="M129" i="1" s="1"/>
  <c r="O129" i="1"/>
  <c r="J129" i="1" s="1"/>
  <c r="E129" i="1"/>
  <c r="Q129" i="1"/>
  <c r="I129" i="1" s="1"/>
  <c r="C129" i="1"/>
  <c r="N130" i="1"/>
  <c r="M130" i="1" s="1"/>
  <c r="O130" i="1"/>
  <c r="J130" i="1" s="1"/>
  <c r="E130" i="1"/>
  <c r="C130" i="1"/>
  <c r="Q130" i="1"/>
  <c r="I130" i="1" s="1"/>
  <c r="E131" i="1"/>
  <c r="N131" i="1"/>
  <c r="M131" i="1" s="1"/>
  <c r="O131" i="1"/>
  <c r="J131" i="1" s="1"/>
  <c r="C131" i="1"/>
  <c r="Q131" i="1"/>
  <c r="I131" i="1" s="1"/>
  <c r="E132" i="1"/>
  <c r="N132" i="1"/>
  <c r="M132" i="1" s="1"/>
  <c r="O132" i="1"/>
  <c r="J132" i="1" s="1"/>
  <c r="C132" i="1"/>
  <c r="Q132" i="1"/>
  <c r="I132" i="1" s="1"/>
  <c r="N133" i="1"/>
  <c r="M133" i="1" s="1"/>
  <c r="E133" i="1"/>
  <c r="O133" i="1"/>
  <c r="J133" i="1" s="1"/>
  <c r="Q133" i="1"/>
  <c r="I133" i="1" s="1"/>
  <c r="C133" i="1"/>
  <c r="N135" i="1"/>
  <c r="M135" i="1" s="1"/>
  <c r="E135" i="1"/>
  <c r="O135" i="1"/>
  <c r="J135" i="1" s="1"/>
  <c r="C135" i="1"/>
  <c r="Q135" i="1"/>
  <c r="I135" i="1" s="1"/>
  <c r="O136" i="1"/>
  <c r="J136" i="1" s="1"/>
  <c r="E136" i="1"/>
  <c r="N136" i="1"/>
  <c r="M136" i="1" s="1"/>
  <c r="C136" i="1"/>
  <c r="Q136" i="1"/>
  <c r="I136" i="1" s="1"/>
  <c r="E137" i="1"/>
  <c r="N137" i="1"/>
  <c r="M137" i="1" s="1"/>
  <c r="O137" i="1"/>
  <c r="J137" i="1" s="1"/>
  <c r="C137" i="1"/>
  <c r="Q137" i="1"/>
  <c r="I137" i="1" s="1"/>
  <c r="N138" i="1"/>
  <c r="O138" i="1"/>
  <c r="J138" i="1" s="1"/>
  <c r="E138" i="1"/>
  <c r="M138" i="1"/>
  <c r="Q138" i="1"/>
  <c r="I138" i="1" s="1"/>
  <c r="C138" i="1"/>
  <c r="O139" i="1"/>
  <c r="J139" i="1" s="1"/>
  <c r="N139" i="1"/>
  <c r="M139" i="1" s="1"/>
  <c r="E139" i="1"/>
  <c r="C139" i="1"/>
  <c r="Q139" i="1"/>
  <c r="I139" i="1" s="1"/>
  <c r="N140" i="1"/>
  <c r="O140" i="1"/>
  <c r="J140" i="1" s="1"/>
  <c r="E140" i="1"/>
  <c r="M140" i="1"/>
  <c r="Q140" i="1"/>
  <c r="I140" i="1" s="1"/>
  <c r="C140" i="1"/>
  <c r="N141" i="1"/>
  <c r="M141" i="1" s="1"/>
  <c r="O141" i="1"/>
  <c r="J141" i="1" s="1"/>
  <c r="E141" i="1"/>
  <c r="Q141" i="1"/>
  <c r="I141" i="1" s="1"/>
  <c r="C141" i="1"/>
  <c r="E142" i="1"/>
  <c r="N142" i="1"/>
  <c r="M142" i="1" s="1"/>
  <c r="O142" i="1"/>
  <c r="J142" i="1" s="1"/>
  <c r="C142" i="1"/>
  <c r="Q142" i="1"/>
  <c r="I142" i="1" s="1"/>
  <c r="E143" i="1"/>
  <c r="O143" i="1"/>
  <c r="J143" i="1" s="1"/>
  <c r="N143" i="1"/>
  <c r="M143" i="1" s="1"/>
  <c r="Q143" i="1"/>
  <c r="I143" i="1" s="1"/>
  <c r="C143" i="1"/>
  <c r="O144" i="1"/>
  <c r="J144" i="1" s="1"/>
  <c r="N144" i="1"/>
  <c r="M144" i="1" s="1"/>
  <c r="E144" i="1"/>
  <c r="Q144" i="1"/>
  <c r="I144" i="1" s="1"/>
  <c r="C144" i="1"/>
  <c r="E145" i="1"/>
  <c r="N145" i="1"/>
  <c r="M145" i="1" s="1"/>
  <c r="O145" i="1"/>
  <c r="J145" i="1" s="1"/>
  <c r="C145" i="1"/>
  <c r="Q145" i="1"/>
  <c r="I145" i="1" s="1"/>
  <c r="E146" i="1"/>
  <c r="O146" i="1"/>
  <c r="J146" i="1" s="1"/>
  <c r="N146" i="1"/>
  <c r="M146" i="1" s="1"/>
  <c r="C146" i="1"/>
  <c r="Q146" i="1"/>
  <c r="I146" i="1" s="1"/>
  <c r="E147" i="1"/>
  <c r="N147" i="1"/>
  <c r="M147" i="1" s="1"/>
  <c r="O147" i="1"/>
  <c r="J147" i="1" s="1"/>
  <c r="C147" i="1"/>
  <c r="Q147" i="1"/>
  <c r="I147" i="1" s="1"/>
  <c r="E149" i="1"/>
  <c r="O149" i="1"/>
  <c r="J149" i="1" s="1"/>
  <c r="N149" i="1"/>
  <c r="M149" i="1" s="1"/>
  <c r="Q149" i="1"/>
  <c r="I149" i="1" s="1"/>
  <c r="C149" i="1"/>
  <c r="N150" i="1"/>
  <c r="M150" i="1" s="1"/>
  <c r="E150" i="1"/>
  <c r="O150" i="1"/>
  <c r="J150" i="1" s="1"/>
  <c r="C150" i="1"/>
  <c r="Q150" i="1"/>
  <c r="I150" i="1" s="1"/>
  <c r="O151" i="1"/>
  <c r="J151" i="1" s="1"/>
  <c r="N151" i="1"/>
  <c r="E151" i="1"/>
  <c r="M151" i="1"/>
  <c r="C151" i="1"/>
  <c r="Q151" i="1"/>
  <c r="I151" i="1" s="1"/>
  <c r="E152" i="1"/>
  <c r="N152" i="1"/>
  <c r="M152" i="1" s="1"/>
  <c r="O152" i="1"/>
  <c r="J152" i="1" s="1"/>
  <c r="C152" i="1"/>
  <c r="Q152" i="1"/>
  <c r="I152" i="1" s="1"/>
  <c r="E154" i="1"/>
  <c r="N154" i="1"/>
  <c r="M154" i="1" s="1"/>
  <c r="O154" i="1"/>
  <c r="J154" i="1" s="1"/>
  <c r="C154" i="1"/>
  <c r="Q154" i="1"/>
  <c r="I154" i="1" s="1"/>
  <c r="E155" i="1"/>
  <c r="N155" i="1"/>
  <c r="M155" i="1" s="1"/>
  <c r="O155" i="1"/>
  <c r="J155" i="1" s="1"/>
  <c r="C155" i="1"/>
  <c r="Q155" i="1"/>
  <c r="I155" i="1" s="1"/>
  <c r="E156" i="1"/>
  <c r="N156" i="1"/>
  <c r="M156" i="1" s="1"/>
  <c r="O156" i="1"/>
  <c r="J156" i="1" s="1"/>
  <c r="Q156" i="1"/>
  <c r="I156" i="1" s="1"/>
  <c r="C156" i="1"/>
  <c r="E157" i="1"/>
  <c r="O157" i="1"/>
  <c r="J157" i="1" s="1"/>
  <c r="N157" i="1"/>
  <c r="M157" i="1" s="1"/>
  <c r="C157" i="1"/>
  <c r="Q157" i="1"/>
  <c r="I157" i="1" s="1"/>
  <c r="E158" i="1"/>
  <c r="N158" i="1"/>
  <c r="M158" i="1" s="1"/>
  <c r="O158" i="1"/>
  <c r="J158" i="1" s="1"/>
  <c r="C158" i="1"/>
  <c r="Q158" i="1"/>
  <c r="I158" i="1" s="1"/>
  <c r="E159" i="1"/>
  <c r="N159" i="1"/>
  <c r="M159" i="1" s="1"/>
  <c r="O159" i="1"/>
  <c r="J159" i="1" s="1"/>
  <c r="C159" i="1"/>
  <c r="Q159" i="1"/>
  <c r="I159" i="1" s="1"/>
  <c r="E160" i="1"/>
  <c r="N160" i="1"/>
  <c r="M160" i="1" s="1"/>
  <c r="O160" i="1"/>
  <c r="J160" i="1" s="1"/>
  <c r="C160" i="1"/>
  <c r="Q160" i="1"/>
  <c r="I160" i="1" s="1"/>
  <c r="E161" i="1"/>
  <c r="N161" i="1"/>
  <c r="M161" i="1" s="1"/>
  <c r="O161" i="1"/>
  <c r="J161" i="1" s="1"/>
  <c r="C161" i="1"/>
  <c r="Q161" i="1"/>
  <c r="I161" i="1" s="1"/>
  <c r="O162" i="1"/>
  <c r="J162" i="1" s="1"/>
  <c r="E162" i="1"/>
  <c r="N162" i="1"/>
  <c r="M162" i="1" s="1"/>
  <c r="C162" i="1"/>
  <c r="Q162" i="1"/>
  <c r="I162" i="1" s="1"/>
  <c r="E163" i="1"/>
  <c r="N163" i="1"/>
  <c r="M163" i="1" s="1"/>
  <c r="O163" i="1"/>
  <c r="J163" i="1" s="1"/>
  <c r="C163" i="1"/>
  <c r="Q163" i="1"/>
  <c r="I163" i="1" s="1"/>
  <c r="E164" i="1"/>
  <c r="N164" i="1"/>
  <c r="M164" i="1" s="1"/>
  <c r="O164" i="1"/>
  <c r="J164" i="1" s="1"/>
  <c r="C164" i="1"/>
  <c r="Q164" i="1"/>
  <c r="I164" i="1" s="1"/>
  <c r="O165" i="1"/>
  <c r="J165" i="1" s="1"/>
  <c r="E165" i="1"/>
  <c r="N165" i="1"/>
  <c r="M165" i="1" s="1"/>
  <c r="C165" i="1"/>
  <c r="Q165" i="1"/>
  <c r="I165" i="1" s="1"/>
  <c r="E166" i="1"/>
  <c r="N166" i="1"/>
  <c r="M166" i="1" s="1"/>
  <c r="O166" i="1"/>
  <c r="J166" i="1" s="1"/>
  <c r="C166" i="1"/>
  <c r="Q166" i="1"/>
  <c r="I166" i="1" s="1"/>
  <c r="E167" i="1"/>
  <c r="N167" i="1"/>
  <c r="M167" i="1" s="1"/>
  <c r="O167" i="1"/>
  <c r="J167" i="1" s="1"/>
  <c r="C167" i="1"/>
  <c r="Q167" i="1"/>
  <c r="I167" i="1" s="1"/>
  <c r="E168" i="1"/>
  <c r="N168" i="1"/>
  <c r="M168" i="1" s="1"/>
  <c r="O168" i="1"/>
  <c r="J168" i="1" s="1"/>
  <c r="C168" i="1"/>
  <c r="Q168" i="1"/>
  <c r="I168" i="1" s="1"/>
  <c r="E169" i="1"/>
  <c r="N169" i="1"/>
  <c r="M169" i="1" s="1"/>
  <c r="O169" i="1"/>
  <c r="J169" i="1" s="1"/>
  <c r="C169" i="1"/>
  <c r="Q169" i="1"/>
  <c r="I169" i="1" s="1"/>
  <c r="E170" i="1"/>
  <c r="N170" i="1"/>
  <c r="M170" i="1" s="1"/>
  <c r="O170" i="1"/>
  <c r="J170" i="1" s="1"/>
  <c r="C170" i="1"/>
  <c r="Q170" i="1"/>
  <c r="I170" i="1" s="1"/>
  <c r="E171" i="1"/>
  <c r="N171" i="1"/>
  <c r="M171" i="1" s="1"/>
  <c r="O171" i="1"/>
  <c r="J171" i="1" s="1"/>
  <c r="C171" i="1"/>
  <c r="Q171" i="1"/>
  <c r="I171" i="1" s="1"/>
  <c r="E172" i="1"/>
  <c r="N172" i="1"/>
  <c r="M172" i="1" s="1"/>
  <c r="O172" i="1"/>
  <c r="J172" i="1" s="1"/>
  <c r="C172" i="1"/>
  <c r="Q172" i="1"/>
  <c r="I172" i="1" s="1"/>
  <c r="E173" i="1"/>
  <c r="N173" i="1"/>
  <c r="M173" i="1" s="1"/>
  <c r="O173" i="1"/>
  <c r="J173" i="1" s="1"/>
  <c r="C173" i="1"/>
  <c r="Q173" i="1"/>
  <c r="I173" i="1" s="1"/>
  <c r="N174" i="1"/>
  <c r="M174" i="1" s="1"/>
  <c r="O174" i="1"/>
  <c r="J174" i="1" s="1"/>
  <c r="E174" i="1"/>
  <c r="C174" i="1"/>
  <c r="Q174" i="1"/>
  <c r="I174" i="1" s="1"/>
  <c r="N175" i="1"/>
  <c r="M175" i="1" s="1"/>
  <c r="E175" i="1"/>
  <c r="O175" i="1"/>
  <c r="J175" i="1" s="1"/>
  <c r="Q175" i="1"/>
  <c r="I175" i="1" s="1"/>
  <c r="C175" i="1"/>
  <c r="O176" i="1"/>
  <c r="J176" i="1" s="1"/>
  <c r="N176" i="1"/>
  <c r="M176" i="1" s="1"/>
  <c r="E176" i="1"/>
  <c r="Q176" i="1"/>
  <c r="I176" i="1" s="1"/>
  <c r="C176" i="1"/>
  <c r="E177" i="1"/>
  <c r="O177" i="1"/>
  <c r="J177" i="1" s="1"/>
  <c r="N177" i="1"/>
  <c r="M177" i="1" s="1"/>
  <c r="Q177" i="1"/>
  <c r="I177" i="1" s="1"/>
  <c r="C177" i="1"/>
  <c r="O178" i="1"/>
  <c r="J178" i="1" s="1"/>
  <c r="E178" i="1"/>
  <c r="N178" i="1"/>
  <c r="M178" i="1" s="1"/>
  <c r="Q178" i="1"/>
  <c r="I178" i="1" s="1"/>
  <c r="C178" i="1"/>
  <c r="E179" i="1"/>
  <c r="N179" i="1"/>
  <c r="M179" i="1" s="1"/>
  <c r="O179" i="1"/>
  <c r="J179" i="1" s="1"/>
  <c r="Q179" i="1"/>
  <c r="I179" i="1" s="1"/>
  <c r="C179" i="1"/>
  <c r="N180" i="1"/>
  <c r="M180" i="1" s="1"/>
  <c r="O180" i="1"/>
  <c r="J180" i="1" s="1"/>
  <c r="E180" i="1"/>
  <c r="C180" i="1"/>
  <c r="Q180" i="1"/>
  <c r="I180" i="1" s="1"/>
  <c r="E181" i="1"/>
  <c r="O181" i="1"/>
  <c r="J181" i="1" s="1"/>
  <c r="N181" i="1"/>
  <c r="M181" i="1" s="1"/>
  <c r="C181" i="1"/>
  <c r="Q181" i="1"/>
  <c r="I181" i="1" s="1"/>
  <c r="E182" i="1"/>
  <c r="N182" i="1"/>
  <c r="M182" i="1" s="1"/>
  <c r="O182" i="1"/>
  <c r="J182" i="1" s="1"/>
  <c r="Q182" i="1"/>
  <c r="I182" i="1" s="1"/>
  <c r="C182" i="1"/>
  <c r="N183" i="1"/>
  <c r="M183" i="1" s="1"/>
  <c r="E183" i="1"/>
  <c r="O183" i="1"/>
  <c r="J183" i="1" s="1"/>
  <c r="Q183" i="1"/>
  <c r="I183" i="1" s="1"/>
  <c r="C183" i="1"/>
  <c r="E184" i="1"/>
  <c r="O184" i="1"/>
  <c r="J184" i="1" s="1"/>
  <c r="N184" i="1"/>
  <c r="M184" i="1" s="1"/>
  <c r="C184" i="1"/>
  <c r="Q184" i="1"/>
  <c r="I184" i="1" s="1"/>
  <c r="E185" i="1"/>
  <c r="O185" i="1"/>
  <c r="J185" i="1" s="1"/>
  <c r="N185" i="1"/>
  <c r="M185" i="1" s="1"/>
  <c r="Q185" i="1"/>
  <c r="I185" i="1" s="1"/>
  <c r="C185" i="1"/>
  <c r="O186" i="1"/>
  <c r="J186" i="1" s="1"/>
  <c r="N186" i="1"/>
  <c r="M186" i="1" s="1"/>
  <c r="E186" i="1"/>
  <c r="Q186" i="1"/>
  <c r="I186" i="1" s="1"/>
  <c r="C186" i="1"/>
  <c r="O187" i="1"/>
  <c r="J187" i="1" s="1"/>
  <c r="E187" i="1"/>
  <c r="N187" i="1"/>
  <c r="M187" i="1" s="1"/>
  <c r="C187" i="1"/>
  <c r="Q187" i="1"/>
  <c r="I187" i="1" s="1"/>
  <c r="N188" i="1"/>
  <c r="M188" i="1" s="1"/>
  <c r="O188" i="1"/>
  <c r="J188" i="1" s="1"/>
  <c r="E188" i="1"/>
  <c r="C188" i="1"/>
  <c r="Q188" i="1"/>
  <c r="I188" i="1" s="1"/>
  <c r="N189" i="1"/>
  <c r="M189" i="1" s="1"/>
  <c r="E189" i="1"/>
  <c r="O189" i="1"/>
  <c r="J189" i="1" s="1"/>
  <c r="C189" i="1"/>
  <c r="Q189" i="1"/>
  <c r="I189" i="1" s="1"/>
  <c r="N192" i="1"/>
  <c r="M192" i="1" s="1"/>
  <c r="F192" i="1" s="1"/>
  <c r="O192" i="1"/>
  <c r="J192" i="1" s="1"/>
  <c r="Q192" i="1"/>
  <c r="I192" i="1" s="1"/>
  <c r="N193" i="1"/>
  <c r="M193" i="1" s="1"/>
  <c r="O193" i="1"/>
  <c r="J193" i="1" s="1"/>
  <c r="F195" i="1" l="1"/>
  <c r="L195" i="1"/>
  <c r="K195" i="1" s="1"/>
  <c r="F196" i="1"/>
  <c r="L196" i="1"/>
  <c r="K196" i="1" s="1"/>
  <c r="L197" i="1"/>
  <c r="K197" i="1" s="1"/>
  <c r="F197" i="1"/>
  <c r="L198" i="1"/>
  <c r="K198" i="1" s="1"/>
  <c r="F198" i="1"/>
  <c r="L199" i="1"/>
  <c r="K199" i="1" s="1"/>
  <c r="F199" i="1"/>
  <c r="L200" i="1"/>
  <c r="K200" i="1" s="1"/>
  <c r="F200" i="1"/>
  <c r="L201" i="1"/>
  <c r="K201" i="1" s="1"/>
  <c r="F201" i="1"/>
  <c r="L202" i="1"/>
  <c r="K202" i="1" s="1"/>
  <c r="F202" i="1"/>
  <c r="L203" i="1"/>
  <c r="K203" i="1" s="1"/>
  <c r="F203" i="1"/>
  <c r="L204" i="1"/>
  <c r="K204" i="1" s="1"/>
  <c r="F204" i="1"/>
  <c r="L205" i="1"/>
  <c r="K205" i="1" s="1"/>
  <c r="F205" i="1"/>
  <c r="L206" i="1"/>
  <c r="K206" i="1" s="1"/>
  <c r="F206" i="1"/>
  <c r="L207" i="1"/>
  <c r="K207" i="1" s="1"/>
  <c r="F207" i="1"/>
  <c r="L208" i="1"/>
  <c r="K208" i="1" s="1"/>
  <c r="F208" i="1"/>
  <c r="L209" i="1"/>
  <c r="K209" i="1" s="1"/>
  <c r="F209" i="1"/>
  <c r="L210" i="1"/>
  <c r="K210" i="1" s="1"/>
  <c r="F210" i="1"/>
  <c r="F211" i="1"/>
  <c r="L211" i="1"/>
  <c r="K211" i="1" s="1"/>
  <c r="F212" i="1"/>
  <c r="L212" i="1"/>
  <c r="K212" i="1" s="1"/>
  <c r="L213" i="1"/>
  <c r="K213" i="1" s="1"/>
  <c r="F213" i="1"/>
  <c r="L214" i="1"/>
  <c r="K214" i="1" s="1"/>
  <c r="F214" i="1"/>
  <c r="F215" i="1"/>
  <c r="L215" i="1"/>
  <c r="K215" i="1" s="1"/>
  <c r="F216" i="1"/>
  <c r="L216" i="1"/>
  <c r="K216" i="1" s="1"/>
  <c r="L217" i="1"/>
  <c r="K217" i="1" s="1"/>
  <c r="F217" i="1"/>
  <c r="L218" i="1"/>
  <c r="K218" i="1" s="1"/>
  <c r="F218" i="1"/>
  <c r="L219" i="1"/>
  <c r="K219" i="1" s="1"/>
  <c r="F219" i="1"/>
  <c r="L220" i="1"/>
  <c r="K220" i="1" s="1"/>
  <c r="F220" i="1"/>
  <c r="L221" i="1"/>
  <c r="K221" i="1" s="1"/>
  <c r="F221" i="1"/>
  <c r="L222" i="1"/>
  <c r="K222" i="1" s="1"/>
  <c r="F222" i="1"/>
  <c r="F223" i="1"/>
  <c r="L223" i="1"/>
  <c r="K223" i="1" s="1"/>
  <c r="F224" i="1"/>
  <c r="L224" i="1"/>
  <c r="K224" i="1" s="1"/>
  <c r="F225" i="1"/>
  <c r="L225" i="1"/>
  <c r="K225" i="1" s="1"/>
  <c r="L226" i="1"/>
  <c r="K226" i="1" s="1"/>
  <c r="F226" i="1"/>
  <c r="L227" i="1"/>
  <c r="K227" i="1" s="1"/>
  <c r="F227" i="1"/>
  <c r="L228" i="1"/>
  <c r="K228" i="1" s="1"/>
  <c r="F228" i="1"/>
  <c r="H195" i="1"/>
  <c r="D195" i="1"/>
  <c r="G195" i="1"/>
  <c r="H196" i="1"/>
  <c r="D196" i="1" s="1"/>
  <c r="G196" i="1"/>
  <c r="H197" i="1"/>
  <c r="D197" i="1" s="1"/>
  <c r="G197" i="1"/>
  <c r="G198" i="1"/>
  <c r="H198" i="1"/>
  <c r="D198" i="1"/>
  <c r="G199" i="1"/>
  <c r="H199" i="1"/>
  <c r="D199" i="1" s="1"/>
  <c r="H200" i="1"/>
  <c r="G200" i="1"/>
  <c r="D200" i="1"/>
  <c r="H201" i="1"/>
  <c r="D201" i="1" s="1"/>
  <c r="G201" i="1"/>
  <c r="H202" i="1"/>
  <c r="G202" i="1"/>
  <c r="D202" i="1"/>
  <c r="H203" i="1"/>
  <c r="G203" i="1"/>
  <c r="D203" i="1"/>
  <c r="H204" i="1"/>
  <c r="G204" i="1"/>
  <c r="D204" i="1"/>
  <c r="H205" i="1"/>
  <c r="D205" i="1" s="1"/>
  <c r="G205" i="1"/>
  <c r="H206" i="1"/>
  <c r="D206" i="1" s="1"/>
  <c r="G206" i="1"/>
  <c r="H207" i="1"/>
  <c r="G207" i="1"/>
  <c r="D207" i="1"/>
  <c r="H208" i="1"/>
  <c r="G208" i="1"/>
  <c r="D208" i="1"/>
  <c r="H209" i="1"/>
  <c r="G209" i="1"/>
  <c r="D209" i="1"/>
  <c r="H210" i="1"/>
  <c r="G210" i="1"/>
  <c r="D210" i="1"/>
  <c r="H211" i="1"/>
  <c r="G211" i="1"/>
  <c r="D211" i="1"/>
  <c r="H212" i="1"/>
  <c r="G212" i="1"/>
  <c r="D212" i="1"/>
  <c r="H213" i="1"/>
  <c r="G213" i="1"/>
  <c r="D213" i="1"/>
  <c r="H214" i="1"/>
  <c r="G214" i="1"/>
  <c r="D214" i="1"/>
  <c r="H215" i="1"/>
  <c r="G215" i="1"/>
  <c r="D215" i="1"/>
  <c r="G216" i="1"/>
  <c r="H216" i="1"/>
  <c r="D216" i="1" s="1"/>
  <c r="G217" i="1"/>
  <c r="H217" i="1"/>
  <c r="D217" i="1"/>
  <c r="G218" i="1"/>
  <c r="H218" i="1"/>
  <c r="D218" i="1"/>
  <c r="G219" i="1"/>
  <c r="H219" i="1"/>
  <c r="D219" i="1"/>
  <c r="G220" i="1"/>
  <c r="H220" i="1"/>
  <c r="D220" i="1"/>
  <c r="G221" i="1"/>
  <c r="H221" i="1"/>
  <c r="D221" i="1"/>
  <c r="G222" i="1"/>
  <c r="H222" i="1"/>
  <c r="D222" i="1"/>
  <c r="H223" i="1"/>
  <c r="G223" i="1"/>
  <c r="D223" i="1"/>
  <c r="H224" i="1"/>
  <c r="G224" i="1"/>
  <c r="D224" i="1"/>
  <c r="H225" i="1"/>
  <c r="G225" i="1"/>
  <c r="D225" i="1"/>
  <c r="H226" i="1"/>
  <c r="D226" i="1" s="1"/>
  <c r="G226" i="1"/>
  <c r="H227" i="1"/>
  <c r="D227" i="1" s="1"/>
  <c r="G227" i="1"/>
  <c r="G228" i="1"/>
  <c r="H228" i="1"/>
  <c r="D228" i="1" s="1"/>
  <c r="G194" i="1"/>
  <c r="H194" i="1"/>
  <c r="D194" i="1"/>
  <c r="G193" i="1"/>
  <c r="H193" i="1"/>
  <c r="D193" i="1" s="1"/>
  <c r="L194" i="1"/>
  <c r="K194" i="1" s="1"/>
  <c r="F194" i="1"/>
  <c r="L193" i="1"/>
  <c r="K193" i="1" s="1"/>
  <c r="F193" i="1"/>
  <c r="L66" i="1"/>
  <c r="K66" i="1" s="1"/>
  <c r="F66" i="1"/>
  <c r="H66" i="1"/>
  <c r="G66" i="1"/>
  <c r="D66" i="1"/>
  <c r="L67" i="1"/>
  <c r="K67" i="1" s="1"/>
  <c r="F67" i="1"/>
  <c r="G67" i="1"/>
  <c r="H67" i="1"/>
  <c r="D67" i="1" s="1"/>
  <c r="L42" i="1"/>
  <c r="K42" i="1" s="1"/>
  <c r="F42" i="1"/>
  <c r="H42" i="1"/>
  <c r="D42" i="1" s="1"/>
  <c r="G42" i="1"/>
  <c r="L191" i="1"/>
  <c r="K191" i="1" s="1"/>
  <c r="L190" i="1"/>
  <c r="K190" i="1" s="1"/>
  <c r="F190" i="1"/>
  <c r="H190" i="1"/>
  <c r="D190" i="1" s="1"/>
  <c r="G190" i="1"/>
  <c r="L48" i="1"/>
  <c r="K48" i="1" s="1"/>
  <c r="F48" i="1"/>
  <c r="H48" i="1"/>
  <c r="D48" i="1" s="1"/>
  <c r="G48" i="1"/>
  <c r="L47" i="1"/>
  <c r="K47" i="1" s="1"/>
  <c r="F47" i="1"/>
  <c r="H47" i="1"/>
  <c r="D47" i="1" s="1"/>
  <c r="G47" i="1"/>
  <c r="L153" i="1"/>
  <c r="K153" i="1" s="1"/>
  <c r="F153" i="1"/>
  <c r="H153" i="1"/>
  <c r="G153" i="1"/>
  <c r="D153" i="1"/>
  <c r="L34" i="1"/>
  <c r="K34" i="1" s="1"/>
  <c r="F34" i="1"/>
  <c r="H34" i="1"/>
  <c r="G34" i="1"/>
  <c r="D34" i="1"/>
  <c r="L35" i="1"/>
  <c r="K35" i="1" s="1"/>
  <c r="F35" i="1"/>
  <c r="H35" i="1"/>
  <c r="G35" i="1"/>
  <c r="D35" i="1"/>
  <c r="L72" i="1"/>
  <c r="K72" i="1" s="1"/>
  <c r="F72" i="1"/>
  <c r="H72" i="1"/>
  <c r="G72" i="1"/>
  <c r="D72" i="1"/>
  <c r="L69" i="1"/>
  <c r="K69" i="1" s="1"/>
  <c r="F69" i="1"/>
  <c r="H69" i="1"/>
  <c r="G69" i="1"/>
  <c r="D69" i="1"/>
  <c r="L89" i="1"/>
  <c r="K89" i="1" s="1"/>
  <c r="F89" i="1"/>
  <c r="H89" i="1"/>
  <c r="G89" i="1"/>
  <c r="D89" i="1"/>
  <c r="L87" i="1"/>
  <c r="K87" i="1" s="1"/>
  <c r="F87" i="1"/>
  <c r="H87" i="1"/>
  <c r="G87" i="1"/>
  <c r="D87" i="1"/>
  <c r="H112" i="1"/>
  <c r="D112" i="1" s="1"/>
  <c r="G112" i="1"/>
  <c r="G56" i="1"/>
  <c r="H56" i="1"/>
  <c r="D56" i="1" s="1"/>
  <c r="L2" i="1"/>
  <c r="K2" i="1" s="1"/>
  <c r="F2" i="1"/>
  <c r="H2" i="1"/>
  <c r="G2" i="1"/>
  <c r="D2" i="1"/>
  <c r="L3" i="1"/>
  <c r="K3" i="1" s="1"/>
  <c r="F3" i="1"/>
  <c r="H3" i="1"/>
  <c r="G3" i="1"/>
  <c r="D3" i="1"/>
  <c r="L4" i="1"/>
  <c r="K4" i="1" s="1"/>
  <c r="F4" i="1"/>
  <c r="H4" i="1"/>
  <c r="D4" i="1" s="1"/>
  <c r="G4" i="1"/>
  <c r="L5" i="1"/>
  <c r="K5" i="1" s="1"/>
  <c r="F5" i="1"/>
  <c r="H5" i="1"/>
  <c r="G5" i="1"/>
  <c r="D5" i="1"/>
  <c r="L6" i="1"/>
  <c r="K6" i="1" s="1"/>
  <c r="F6" i="1"/>
  <c r="H6" i="1"/>
  <c r="D6" i="1" s="1"/>
  <c r="G6" i="1"/>
  <c r="L7" i="1"/>
  <c r="K7" i="1" s="1"/>
  <c r="F7" i="1"/>
  <c r="H7" i="1"/>
  <c r="G7" i="1"/>
  <c r="D7" i="1"/>
  <c r="L8" i="1"/>
  <c r="K8" i="1" s="1"/>
  <c r="F8" i="1"/>
  <c r="H8" i="1"/>
  <c r="G8" i="1"/>
  <c r="D8" i="1"/>
  <c r="L9" i="1"/>
  <c r="K9" i="1" s="1"/>
  <c r="F9" i="1"/>
  <c r="H9" i="1"/>
  <c r="G9" i="1"/>
  <c r="D9" i="1"/>
  <c r="L10" i="1"/>
  <c r="K10" i="1" s="1"/>
  <c r="F10" i="1"/>
  <c r="H10" i="1"/>
  <c r="G10" i="1"/>
  <c r="D10" i="1"/>
  <c r="L11" i="1"/>
  <c r="K11" i="1" s="1"/>
  <c r="F11" i="1"/>
  <c r="H11" i="1"/>
  <c r="G11" i="1"/>
  <c r="D11" i="1"/>
  <c r="L12" i="1"/>
  <c r="K12" i="1" s="1"/>
  <c r="F12" i="1"/>
  <c r="H12" i="1"/>
  <c r="D12" i="1" s="1"/>
  <c r="G12" i="1"/>
  <c r="L13" i="1"/>
  <c r="K13" i="1" s="1"/>
  <c r="F13" i="1"/>
  <c r="H13" i="1"/>
  <c r="D13" i="1" s="1"/>
  <c r="G13" i="1"/>
  <c r="L14" i="1"/>
  <c r="K14" i="1" s="1"/>
  <c r="F14" i="1"/>
  <c r="H14" i="1"/>
  <c r="D14" i="1" s="1"/>
  <c r="G14" i="1"/>
  <c r="L15" i="1"/>
  <c r="K15" i="1" s="1"/>
  <c r="F15" i="1"/>
  <c r="H15" i="1"/>
  <c r="D15" i="1" s="1"/>
  <c r="G15" i="1"/>
  <c r="L16" i="1"/>
  <c r="K16" i="1" s="1"/>
  <c r="F16" i="1"/>
  <c r="H16" i="1"/>
  <c r="G16" i="1"/>
  <c r="D16" i="1"/>
  <c r="L17" i="1"/>
  <c r="K17" i="1" s="1"/>
  <c r="F17" i="1"/>
  <c r="H17" i="1"/>
  <c r="G17" i="1"/>
  <c r="D17" i="1"/>
  <c r="L18" i="1"/>
  <c r="K18" i="1" s="1"/>
  <c r="F18" i="1"/>
  <c r="H18" i="1"/>
  <c r="D18" i="1" s="1"/>
  <c r="G18" i="1"/>
  <c r="L19" i="1"/>
  <c r="K19" i="1" s="1"/>
  <c r="F19" i="1"/>
  <c r="H19" i="1"/>
  <c r="G19" i="1"/>
  <c r="D19" i="1"/>
  <c r="L20" i="1"/>
  <c r="K20" i="1" s="1"/>
  <c r="F20" i="1"/>
  <c r="H20" i="1"/>
  <c r="G20" i="1"/>
  <c r="D20" i="1"/>
  <c r="L21" i="1"/>
  <c r="K21" i="1" s="1"/>
  <c r="F21" i="1"/>
  <c r="H21" i="1"/>
  <c r="D21" i="1" s="1"/>
  <c r="G21" i="1"/>
  <c r="L22" i="1"/>
  <c r="K22" i="1" s="1"/>
  <c r="F22" i="1"/>
  <c r="H22" i="1"/>
  <c r="D22" i="1" s="1"/>
  <c r="G22" i="1"/>
  <c r="L23" i="1"/>
  <c r="K23" i="1" s="1"/>
  <c r="F23" i="1"/>
  <c r="H23" i="1"/>
  <c r="D23" i="1" s="1"/>
  <c r="G23" i="1"/>
  <c r="L24" i="1"/>
  <c r="K24" i="1" s="1"/>
  <c r="F24" i="1"/>
  <c r="H24" i="1"/>
  <c r="G24" i="1"/>
  <c r="D24" i="1"/>
  <c r="L25" i="1"/>
  <c r="K25" i="1" s="1"/>
  <c r="F25" i="1"/>
  <c r="H25" i="1"/>
  <c r="G25" i="1"/>
  <c r="D25" i="1"/>
  <c r="L26" i="1"/>
  <c r="K26" i="1" s="1"/>
  <c r="F26" i="1"/>
  <c r="H26" i="1"/>
  <c r="D26" i="1" s="1"/>
  <c r="G26" i="1"/>
  <c r="L27" i="1"/>
  <c r="K27" i="1" s="1"/>
  <c r="F27" i="1"/>
  <c r="H27" i="1"/>
  <c r="D27" i="1" s="1"/>
  <c r="G27" i="1"/>
  <c r="L28" i="1"/>
  <c r="K28" i="1" s="1"/>
  <c r="F28" i="1"/>
  <c r="H28" i="1"/>
  <c r="G28" i="1"/>
  <c r="D28" i="1"/>
  <c r="L29" i="1"/>
  <c r="K29" i="1" s="1"/>
  <c r="F29" i="1"/>
  <c r="H29" i="1"/>
  <c r="D29" i="1" s="1"/>
  <c r="G29" i="1"/>
  <c r="L30" i="1"/>
  <c r="K30" i="1" s="1"/>
  <c r="F30" i="1"/>
  <c r="H30" i="1"/>
  <c r="G30" i="1"/>
  <c r="D30" i="1"/>
  <c r="L31" i="1"/>
  <c r="K31" i="1" s="1"/>
  <c r="F31" i="1"/>
  <c r="H31" i="1"/>
  <c r="D31" i="1" s="1"/>
  <c r="G31" i="1"/>
  <c r="L32" i="1"/>
  <c r="K32" i="1" s="1"/>
  <c r="F32" i="1"/>
  <c r="H32" i="1"/>
  <c r="G32" i="1"/>
  <c r="D32" i="1"/>
  <c r="L33" i="1"/>
  <c r="K33" i="1" s="1"/>
  <c r="F33" i="1"/>
  <c r="H33" i="1"/>
  <c r="D33" i="1" s="1"/>
  <c r="G33" i="1"/>
  <c r="L36" i="1"/>
  <c r="K36" i="1" s="1"/>
  <c r="F36" i="1"/>
  <c r="H36" i="1"/>
  <c r="D36" i="1" s="1"/>
  <c r="G36" i="1"/>
  <c r="L37" i="1"/>
  <c r="K37" i="1" s="1"/>
  <c r="F37" i="1"/>
  <c r="H37" i="1"/>
  <c r="D37" i="1" s="1"/>
  <c r="G37" i="1"/>
  <c r="L38" i="1"/>
  <c r="K38" i="1" s="1"/>
  <c r="F38" i="1"/>
  <c r="H38" i="1"/>
  <c r="G38" i="1"/>
  <c r="D38" i="1"/>
  <c r="L39" i="1"/>
  <c r="K39" i="1" s="1"/>
  <c r="F39" i="1"/>
  <c r="H39" i="1"/>
  <c r="D39" i="1" s="1"/>
  <c r="G39" i="1"/>
  <c r="L40" i="1"/>
  <c r="K40" i="1" s="1"/>
  <c r="F40" i="1"/>
  <c r="H40" i="1"/>
  <c r="D40" i="1" s="1"/>
  <c r="G40" i="1"/>
  <c r="L41" i="1"/>
  <c r="K41" i="1" s="1"/>
  <c r="F41" i="1"/>
  <c r="H41" i="1"/>
  <c r="G41" i="1"/>
  <c r="D41" i="1"/>
  <c r="L43" i="1"/>
  <c r="K43" i="1" s="1"/>
  <c r="F43" i="1"/>
  <c r="H43" i="1"/>
  <c r="D43" i="1" s="1"/>
  <c r="G43" i="1"/>
  <c r="L44" i="1"/>
  <c r="K44" i="1" s="1"/>
  <c r="F44" i="1"/>
  <c r="H44" i="1"/>
  <c r="D44" i="1" s="1"/>
  <c r="G44" i="1"/>
  <c r="L45" i="1"/>
  <c r="K45" i="1" s="1"/>
  <c r="F45" i="1"/>
  <c r="H45" i="1"/>
  <c r="D45" i="1" s="1"/>
  <c r="G45" i="1"/>
  <c r="L46" i="1"/>
  <c r="K46" i="1" s="1"/>
  <c r="F46" i="1"/>
  <c r="H46" i="1"/>
  <c r="G46" i="1"/>
  <c r="D46" i="1"/>
  <c r="L50" i="1"/>
  <c r="K50" i="1" s="1"/>
  <c r="F50" i="1"/>
  <c r="H50" i="1"/>
  <c r="D50" i="1" s="1"/>
  <c r="G50" i="1"/>
  <c r="L51" i="1"/>
  <c r="K51" i="1" s="1"/>
  <c r="F51" i="1"/>
  <c r="H51" i="1"/>
  <c r="G51" i="1"/>
  <c r="D51" i="1"/>
  <c r="L52" i="1"/>
  <c r="K52" i="1" s="1"/>
  <c r="F52" i="1"/>
  <c r="H52" i="1"/>
  <c r="G52" i="1"/>
  <c r="D52" i="1"/>
  <c r="L53" i="1"/>
  <c r="K53" i="1" s="1"/>
  <c r="F53" i="1"/>
  <c r="H53" i="1"/>
  <c r="D53" i="1" s="1"/>
  <c r="G53" i="1"/>
  <c r="L54" i="1"/>
  <c r="K54" i="1" s="1"/>
  <c r="F54" i="1"/>
  <c r="H54" i="1"/>
  <c r="G54" i="1"/>
  <c r="D54" i="1"/>
  <c r="L55" i="1"/>
  <c r="K55" i="1" s="1"/>
  <c r="F55" i="1"/>
  <c r="H55" i="1"/>
  <c r="D55" i="1" s="1"/>
  <c r="G55" i="1"/>
  <c r="L56" i="1"/>
  <c r="K56" i="1" s="1"/>
  <c r="F56" i="1"/>
  <c r="L57" i="1"/>
  <c r="K57" i="1" s="1"/>
  <c r="F57" i="1"/>
  <c r="H57" i="1"/>
  <c r="G57" i="1"/>
  <c r="D57" i="1"/>
  <c r="L58" i="1"/>
  <c r="K58" i="1" s="1"/>
  <c r="F58" i="1"/>
  <c r="H58" i="1"/>
  <c r="D58" i="1" s="1"/>
  <c r="G58" i="1"/>
  <c r="L59" i="1"/>
  <c r="K59" i="1" s="1"/>
  <c r="F59" i="1"/>
  <c r="H59" i="1"/>
  <c r="G59" i="1"/>
  <c r="D59" i="1"/>
  <c r="L60" i="1"/>
  <c r="K60" i="1" s="1"/>
  <c r="F60" i="1"/>
  <c r="H60" i="1"/>
  <c r="G60" i="1"/>
  <c r="D60" i="1"/>
  <c r="L61" i="1"/>
  <c r="K61" i="1" s="1"/>
  <c r="F61" i="1"/>
  <c r="H61" i="1"/>
  <c r="G61" i="1"/>
  <c r="D61" i="1"/>
  <c r="L62" i="1"/>
  <c r="K62" i="1" s="1"/>
  <c r="F62" i="1"/>
  <c r="H62" i="1"/>
  <c r="D62" i="1" s="1"/>
  <c r="G62" i="1"/>
  <c r="L63" i="1"/>
  <c r="K63" i="1" s="1"/>
  <c r="F63" i="1"/>
  <c r="H63" i="1"/>
  <c r="D63" i="1" s="1"/>
  <c r="G63" i="1"/>
  <c r="L64" i="1"/>
  <c r="K64" i="1" s="1"/>
  <c r="F64" i="1"/>
  <c r="H64" i="1"/>
  <c r="D64" i="1" s="1"/>
  <c r="G64" i="1"/>
  <c r="L65" i="1"/>
  <c r="K65" i="1" s="1"/>
  <c r="F65" i="1"/>
  <c r="H65" i="1"/>
  <c r="D65" i="1" s="1"/>
  <c r="G65" i="1"/>
  <c r="L68" i="1"/>
  <c r="K68" i="1" s="1"/>
  <c r="F68" i="1"/>
  <c r="H68" i="1"/>
  <c r="G68" i="1"/>
  <c r="D68" i="1"/>
  <c r="L70" i="1"/>
  <c r="K70" i="1" s="1"/>
  <c r="F70" i="1"/>
  <c r="H70" i="1"/>
  <c r="G70" i="1"/>
  <c r="D70" i="1"/>
  <c r="L71" i="1"/>
  <c r="K71" i="1" s="1"/>
  <c r="F71" i="1"/>
  <c r="H71" i="1"/>
  <c r="G71" i="1"/>
  <c r="D71" i="1"/>
  <c r="L73" i="1"/>
  <c r="K73" i="1" s="1"/>
  <c r="F73" i="1"/>
  <c r="H73" i="1"/>
  <c r="D73" i="1" s="1"/>
  <c r="G73" i="1"/>
  <c r="L74" i="1"/>
  <c r="K74" i="1" s="1"/>
  <c r="F74" i="1"/>
  <c r="H74" i="1"/>
  <c r="D74" i="1" s="1"/>
  <c r="G74" i="1"/>
  <c r="L75" i="1"/>
  <c r="K75" i="1" s="1"/>
  <c r="F75" i="1"/>
  <c r="H75" i="1"/>
  <c r="G75" i="1"/>
  <c r="D75" i="1"/>
  <c r="L76" i="1"/>
  <c r="K76" i="1" s="1"/>
  <c r="F76" i="1"/>
  <c r="H76" i="1"/>
  <c r="G76" i="1"/>
  <c r="D76" i="1"/>
  <c r="L77" i="1"/>
  <c r="K77" i="1" s="1"/>
  <c r="F77" i="1"/>
  <c r="H77" i="1"/>
  <c r="G77" i="1"/>
  <c r="D77" i="1"/>
  <c r="L78" i="1"/>
  <c r="K78" i="1" s="1"/>
  <c r="F78" i="1"/>
  <c r="H78" i="1"/>
  <c r="D78" i="1" s="1"/>
  <c r="G78" i="1"/>
  <c r="L79" i="1"/>
  <c r="K79" i="1" s="1"/>
  <c r="F79" i="1"/>
  <c r="H79" i="1"/>
  <c r="G79" i="1"/>
  <c r="D79" i="1"/>
  <c r="L80" i="1"/>
  <c r="K80" i="1" s="1"/>
  <c r="F80" i="1"/>
  <c r="H80" i="1"/>
  <c r="G80" i="1"/>
  <c r="D80" i="1"/>
  <c r="L81" i="1"/>
  <c r="K81" i="1" s="1"/>
  <c r="F81" i="1"/>
  <c r="H81" i="1"/>
  <c r="G81" i="1"/>
  <c r="D81" i="1"/>
  <c r="L82" i="1"/>
  <c r="K82" i="1" s="1"/>
  <c r="F82" i="1"/>
  <c r="H82" i="1"/>
  <c r="D82" i="1" s="1"/>
  <c r="G82" i="1"/>
  <c r="L83" i="1"/>
  <c r="K83" i="1" s="1"/>
  <c r="F83" i="1"/>
  <c r="H83" i="1"/>
  <c r="D83" i="1" s="1"/>
  <c r="G83" i="1"/>
  <c r="L84" i="1"/>
  <c r="K84" i="1" s="1"/>
  <c r="F84" i="1"/>
  <c r="H84" i="1"/>
  <c r="D84" i="1" s="1"/>
  <c r="G84" i="1"/>
  <c r="L85" i="1"/>
  <c r="K85" i="1" s="1"/>
  <c r="F85" i="1"/>
  <c r="H85" i="1"/>
  <c r="G85" i="1"/>
  <c r="D85" i="1"/>
  <c r="L86" i="1"/>
  <c r="K86" i="1" s="1"/>
  <c r="F86" i="1"/>
  <c r="H86" i="1"/>
  <c r="D86" i="1" s="1"/>
  <c r="G86" i="1"/>
  <c r="L88" i="1"/>
  <c r="K88" i="1" s="1"/>
  <c r="F88" i="1"/>
  <c r="H88" i="1"/>
  <c r="G88" i="1"/>
  <c r="D88" i="1"/>
  <c r="L90" i="1"/>
  <c r="K90" i="1" s="1"/>
  <c r="F90" i="1"/>
  <c r="H90" i="1"/>
  <c r="D90" i="1" s="1"/>
  <c r="G90" i="1"/>
  <c r="L91" i="1"/>
  <c r="K91" i="1" s="1"/>
  <c r="F91" i="1"/>
  <c r="H91" i="1"/>
  <c r="G91" i="1"/>
  <c r="D91" i="1"/>
  <c r="L92" i="1"/>
  <c r="K92" i="1" s="1"/>
  <c r="F92" i="1"/>
  <c r="H92" i="1"/>
  <c r="G92" i="1"/>
  <c r="D92" i="1"/>
  <c r="L93" i="1"/>
  <c r="K93" i="1" s="1"/>
  <c r="F93" i="1"/>
  <c r="H93" i="1"/>
  <c r="G93" i="1"/>
  <c r="D93" i="1"/>
  <c r="L94" i="1"/>
  <c r="K94" i="1" s="1"/>
  <c r="F94" i="1"/>
  <c r="H94" i="1"/>
  <c r="G94" i="1"/>
  <c r="D94" i="1"/>
  <c r="L95" i="1"/>
  <c r="K95" i="1" s="1"/>
  <c r="F95" i="1"/>
  <c r="H95" i="1"/>
  <c r="G95" i="1"/>
  <c r="D95" i="1"/>
  <c r="L96" i="1"/>
  <c r="K96" i="1" s="1"/>
  <c r="F96" i="1"/>
  <c r="H96" i="1"/>
  <c r="G96" i="1"/>
  <c r="D96" i="1"/>
  <c r="L97" i="1"/>
  <c r="K97" i="1" s="1"/>
  <c r="F97" i="1"/>
  <c r="H97" i="1"/>
  <c r="G97" i="1"/>
  <c r="D97" i="1"/>
  <c r="L98" i="1"/>
  <c r="K98" i="1" s="1"/>
  <c r="F98" i="1"/>
  <c r="H98" i="1"/>
  <c r="G98" i="1"/>
  <c r="D98" i="1"/>
  <c r="L99" i="1"/>
  <c r="K99" i="1" s="1"/>
  <c r="F99" i="1"/>
  <c r="H99" i="1"/>
  <c r="G99" i="1"/>
  <c r="D99" i="1"/>
  <c r="L100" i="1"/>
  <c r="K100" i="1" s="1"/>
  <c r="F100" i="1"/>
  <c r="H100" i="1"/>
  <c r="G100" i="1"/>
  <c r="D100" i="1"/>
  <c r="L101" i="1"/>
  <c r="K101" i="1" s="1"/>
  <c r="F101" i="1"/>
  <c r="H101" i="1"/>
  <c r="D101" i="1" s="1"/>
  <c r="G101" i="1"/>
  <c r="L102" i="1"/>
  <c r="K102" i="1" s="1"/>
  <c r="F102" i="1"/>
  <c r="H102" i="1"/>
  <c r="G102" i="1"/>
  <c r="D102" i="1"/>
  <c r="L103" i="1"/>
  <c r="K103" i="1" s="1"/>
  <c r="F103" i="1"/>
  <c r="H103" i="1"/>
  <c r="D103" i="1" s="1"/>
  <c r="G103" i="1"/>
  <c r="L104" i="1"/>
  <c r="K104" i="1" s="1"/>
  <c r="F104" i="1"/>
  <c r="H104" i="1"/>
  <c r="G104" i="1"/>
  <c r="D104" i="1"/>
  <c r="L105" i="1"/>
  <c r="K105" i="1" s="1"/>
  <c r="F105" i="1"/>
  <c r="H105" i="1"/>
  <c r="G105" i="1"/>
  <c r="D105" i="1"/>
  <c r="L106" i="1"/>
  <c r="K106" i="1" s="1"/>
  <c r="F106" i="1"/>
  <c r="H106" i="1"/>
  <c r="D106" i="1" s="1"/>
  <c r="G106" i="1"/>
  <c r="L107" i="1"/>
  <c r="K107" i="1" s="1"/>
  <c r="F107" i="1"/>
  <c r="H107" i="1"/>
  <c r="G107" i="1"/>
  <c r="D107" i="1"/>
  <c r="L108" i="1"/>
  <c r="K108" i="1" s="1"/>
  <c r="F108" i="1"/>
  <c r="H108" i="1"/>
  <c r="G108" i="1"/>
  <c r="D108" i="1"/>
  <c r="L109" i="1"/>
  <c r="K109" i="1" s="1"/>
  <c r="F109" i="1"/>
  <c r="H109" i="1"/>
  <c r="G109" i="1"/>
  <c r="D109" i="1"/>
  <c r="F110" i="1"/>
  <c r="L110" i="1"/>
  <c r="K110" i="1" s="1"/>
  <c r="H110" i="1"/>
  <c r="D110" i="1" s="1"/>
  <c r="G110" i="1"/>
  <c r="L111" i="1"/>
  <c r="K111" i="1" s="1"/>
  <c r="F111" i="1"/>
  <c r="H111" i="1"/>
  <c r="D111" i="1"/>
  <c r="G111" i="1"/>
  <c r="L112" i="1"/>
  <c r="K112" i="1" s="1"/>
  <c r="F112" i="1"/>
  <c r="L113" i="1"/>
  <c r="K113" i="1" s="1"/>
  <c r="F113" i="1"/>
  <c r="H113" i="1"/>
  <c r="G113" i="1"/>
  <c r="D113" i="1"/>
  <c r="L114" i="1"/>
  <c r="K114" i="1" s="1"/>
  <c r="F114" i="1"/>
  <c r="H114" i="1"/>
  <c r="G114" i="1"/>
  <c r="D114" i="1"/>
  <c r="L115" i="1"/>
  <c r="K115" i="1" s="1"/>
  <c r="F115" i="1"/>
  <c r="H115" i="1"/>
  <c r="D115" i="1" s="1"/>
  <c r="G115" i="1"/>
  <c r="L116" i="1"/>
  <c r="K116" i="1" s="1"/>
  <c r="F116" i="1"/>
  <c r="H116" i="1"/>
  <c r="G116" i="1"/>
  <c r="D116" i="1"/>
  <c r="L117" i="1"/>
  <c r="K117" i="1" s="1"/>
  <c r="F117" i="1"/>
  <c r="H117" i="1"/>
  <c r="G117" i="1"/>
  <c r="D117" i="1"/>
  <c r="L118" i="1"/>
  <c r="K118" i="1" s="1"/>
  <c r="F118" i="1"/>
  <c r="H118" i="1"/>
  <c r="G118" i="1"/>
  <c r="D118" i="1"/>
  <c r="L119" i="1"/>
  <c r="K119" i="1" s="1"/>
  <c r="F119" i="1"/>
  <c r="H119" i="1"/>
  <c r="G119" i="1"/>
  <c r="D119" i="1"/>
  <c r="L120" i="1"/>
  <c r="K120" i="1" s="1"/>
  <c r="F120" i="1"/>
  <c r="H120" i="1"/>
  <c r="G120" i="1"/>
  <c r="D120" i="1"/>
  <c r="L121" i="1"/>
  <c r="K121" i="1" s="1"/>
  <c r="F121" i="1"/>
  <c r="H121" i="1"/>
  <c r="G121" i="1"/>
  <c r="D121" i="1"/>
  <c r="L122" i="1"/>
  <c r="K122" i="1" s="1"/>
  <c r="F122" i="1"/>
  <c r="H122" i="1"/>
  <c r="G122" i="1"/>
  <c r="D122" i="1"/>
  <c r="L123" i="1"/>
  <c r="K123" i="1" s="1"/>
  <c r="F123" i="1"/>
  <c r="H123" i="1"/>
  <c r="G123" i="1"/>
  <c r="D123" i="1"/>
  <c r="L124" i="1"/>
  <c r="K124" i="1" s="1"/>
  <c r="F124" i="1"/>
  <c r="H124" i="1"/>
  <c r="G124" i="1"/>
  <c r="D124" i="1"/>
  <c r="L125" i="1"/>
  <c r="K125" i="1" s="1"/>
  <c r="F125" i="1"/>
  <c r="H125" i="1"/>
  <c r="G125" i="1"/>
  <c r="D125" i="1"/>
  <c r="L126" i="1"/>
  <c r="K126" i="1" s="1"/>
  <c r="F126" i="1"/>
  <c r="H126" i="1"/>
  <c r="G126" i="1"/>
  <c r="D126" i="1"/>
  <c r="L127" i="1"/>
  <c r="K127" i="1" s="1"/>
  <c r="F127" i="1"/>
  <c r="H127" i="1"/>
  <c r="G127" i="1"/>
  <c r="D127" i="1"/>
  <c r="L128" i="1"/>
  <c r="K128" i="1" s="1"/>
  <c r="F128" i="1"/>
  <c r="H128" i="1"/>
  <c r="D128" i="1" s="1"/>
  <c r="G128" i="1"/>
  <c r="L129" i="1"/>
  <c r="K129" i="1" s="1"/>
  <c r="F129" i="1"/>
  <c r="H129" i="1"/>
  <c r="D129" i="1" s="1"/>
  <c r="G129" i="1"/>
  <c r="L130" i="1"/>
  <c r="K130" i="1" s="1"/>
  <c r="F130" i="1"/>
  <c r="H130" i="1"/>
  <c r="G130" i="1"/>
  <c r="D130" i="1"/>
  <c r="L131" i="1"/>
  <c r="K131" i="1" s="1"/>
  <c r="F131" i="1"/>
  <c r="H131" i="1"/>
  <c r="D131" i="1" s="1"/>
  <c r="G131" i="1"/>
  <c r="L132" i="1"/>
  <c r="K132" i="1" s="1"/>
  <c r="F132" i="1"/>
  <c r="H132" i="1"/>
  <c r="G132" i="1"/>
  <c r="D132" i="1"/>
  <c r="L133" i="1"/>
  <c r="K133" i="1" s="1"/>
  <c r="F133" i="1"/>
  <c r="H133" i="1"/>
  <c r="G133" i="1"/>
  <c r="D133" i="1"/>
  <c r="L135" i="1"/>
  <c r="K135" i="1" s="1"/>
  <c r="F135" i="1"/>
  <c r="H135" i="1"/>
  <c r="D135" i="1" s="1"/>
  <c r="G135" i="1"/>
  <c r="L136" i="1"/>
  <c r="K136" i="1" s="1"/>
  <c r="F136" i="1"/>
  <c r="H136" i="1"/>
  <c r="D136" i="1" s="1"/>
  <c r="G136" i="1"/>
  <c r="L137" i="1"/>
  <c r="K137" i="1" s="1"/>
  <c r="F137" i="1"/>
  <c r="H137" i="1"/>
  <c r="G137" i="1"/>
  <c r="D137" i="1"/>
  <c r="L138" i="1"/>
  <c r="K138" i="1" s="1"/>
  <c r="F138" i="1"/>
  <c r="H138" i="1"/>
  <c r="G138" i="1"/>
  <c r="D138" i="1"/>
  <c r="L139" i="1"/>
  <c r="K139" i="1" s="1"/>
  <c r="F139" i="1"/>
  <c r="H139" i="1"/>
  <c r="D139" i="1" s="1"/>
  <c r="G139" i="1"/>
  <c r="L140" i="1"/>
  <c r="K140" i="1" s="1"/>
  <c r="F140" i="1"/>
  <c r="H140" i="1"/>
  <c r="D140" i="1" s="1"/>
  <c r="G140" i="1"/>
  <c r="L141" i="1"/>
  <c r="K141" i="1" s="1"/>
  <c r="F141" i="1"/>
  <c r="H141" i="1"/>
  <c r="D141" i="1" s="1"/>
  <c r="G141" i="1"/>
  <c r="L142" i="1"/>
  <c r="K142" i="1" s="1"/>
  <c r="F142" i="1"/>
  <c r="H142" i="1"/>
  <c r="D142" i="1" s="1"/>
  <c r="G142" i="1"/>
  <c r="L143" i="1"/>
  <c r="K143" i="1" s="1"/>
  <c r="F143" i="1"/>
  <c r="H143" i="1"/>
  <c r="D143" i="1" s="1"/>
  <c r="G143" i="1"/>
  <c r="L144" i="1"/>
  <c r="K144" i="1" s="1"/>
  <c r="F144" i="1"/>
  <c r="H144" i="1"/>
  <c r="G144" i="1"/>
  <c r="D144" i="1"/>
  <c r="L145" i="1"/>
  <c r="K145" i="1" s="1"/>
  <c r="F145" i="1"/>
  <c r="H145" i="1"/>
  <c r="G145" i="1"/>
  <c r="D145" i="1"/>
  <c r="L146" i="1"/>
  <c r="K146" i="1" s="1"/>
  <c r="F146" i="1"/>
  <c r="H146" i="1"/>
  <c r="G146" i="1"/>
  <c r="D146" i="1"/>
  <c r="L147" i="1"/>
  <c r="K147" i="1" s="1"/>
  <c r="F147" i="1"/>
  <c r="H147" i="1"/>
  <c r="G147" i="1"/>
  <c r="D147" i="1"/>
  <c r="L149" i="1"/>
  <c r="K149" i="1" s="1"/>
  <c r="F149" i="1"/>
  <c r="H149" i="1"/>
  <c r="D149" i="1" s="1"/>
  <c r="G149" i="1"/>
  <c r="L150" i="1"/>
  <c r="K150" i="1" s="1"/>
  <c r="F150" i="1"/>
  <c r="H150" i="1"/>
  <c r="G150" i="1"/>
  <c r="D150" i="1"/>
  <c r="L151" i="1"/>
  <c r="K151" i="1" s="1"/>
  <c r="F151" i="1"/>
  <c r="H151" i="1"/>
  <c r="G151" i="1"/>
  <c r="D151" i="1"/>
  <c r="L152" i="1"/>
  <c r="K152" i="1" s="1"/>
  <c r="F152" i="1"/>
  <c r="H152" i="1"/>
  <c r="G152" i="1"/>
  <c r="D152" i="1"/>
  <c r="L154" i="1"/>
  <c r="K154" i="1" s="1"/>
  <c r="F154" i="1"/>
  <c r="H154" i="1"/>
  <c r="G154" i="1"/>
  <c r="D154" i="1"/>
  <c r="L155" i="1"/>
  <c r="K155" i="1" s="1"/>
  <c r="F155" i="1"/>
  <c r="H155" i="1"/>
  <c r="G155" i="1"/>
  <c r="D155" i="1"/>
  <c r="L156" i="1"/>
  <c r="K156" i="1" s="1"/>
  <c r="F156" i="1"/>
  <c r="H156" i="1"/>
  <c r="G156" i="1"/>
  <c r="D156" i="1"/>
  <c r="L157" i="1"/>
  <c r="K157" i="1" s="1"/>
  <c r="F157" i="1"/>
  <c r="H157" i="1"/>
  <c r="G157" i="1"/>
  <c r="D157" i="1"/>
  <c r="L158" i="1"/>
  <c r="K158" i="1" s="1"/>
  <c r="F158" i="1"/>
  <c r="H158" i="1"/>
  <c r="G158" i="1"/>
  <c r="D158" i="1"/>
  <c r="L159" i="1"/>
  <c r="K159" i="1" s="1"/>
  <c r="F159" i="1"/>
  <c r="H159" i="1"/>
  <c r="G159" i="1"/>
  <c r="D159" i="1"/>
  <c r="L160" i="1"/>
  <c r="K160" i="1" s="1"/>
  <c r="F160" i="1"/>
  <c r="H160" i="1"/>
  <c r="D160" i="1" s="1"/>
  <c r="G160" i="1"/>
  <c r="L161" i="1"/>
  <c r="K161" i="1" s="1"/>
  <c r="F161" i="1"/>
  <c r="H161" i="1"/>
  <c r="G161" i="1"/>
  <c r="D161" i="1"/>
  <c r="L162" i="1"/>
  <c r="K162" i="1" s="1"/>
  <c r="F162" i="1"/>
  <c r="H162" i="1"/>
  <c r="G162" i="1"/>
  <c r="D162" i="1"/>
  <c r="L163" i="1"/>
  <c r="K163" i="1" s="1"/>
  <c r="F163" i="1"/>
  <c r="H163" i="1"/>
  <c r="D163" i="1" s="1"/>
  <c r="G163" i="1"/>
  <c r="L164" i="1"/>
  <c r="K164" i="1" s="1"/>
  <c r="F164" i="1"/>
  <c r="H164" i="1"/>
  <c r="D164" i="1" s="1"/>
  <c r="G164" i="1"/>
  <c r="L165" i="1"/>
  <c r="K165" i="1" s="1"/>
  <c r="F165" i="1"/>
  <c r="H165" i="1"/>
  <c r="G165" i="1"/>
  <c r="D165" i="1"/>
  <c r="L166" i="1"/>
  <c r="K166" i="1" s="1"/>
  <c r="F166" i="1"/>
  <c r="H166" i="1"/>
  <c r="G166" i="1"/>
  <c r="D166" i="1"/>
  <c r="L167" i="1"/>
  <c r="K167" i="1" s="1"/>
  <c r="F167" i="1"/>
  <c r="H167" i="1"/>
  <c r="G167" i="1"/>
  <c r="D167" i="1"/>
  <c r="L168" i="1"/>
  <c r="K168" i="1" s="1"/>
  <c r="F168" i="1"/>
  <c r="H168" i="1"/>
  <c r="D168" i="1" s="1"/>
  <c r="G168" i="1"/>
  <c r="L169" i="1"/>
  <c r="K169" i="1" s="1"/>
  <c r="F169" i="1"/>
  <c r="H169" i="1"/>
  <c r="G169" i="1"/>
  <c r="D169" i="1"/>
  <c r="L170" i="1"/>
  <c r="K170" i="1" s="1"/>
  <c r="F170" i="1"/>
  <c r="H170" i="1"/>
  <c r="G170" i="1"/>
  <c r="D170" i="1"/>
  <c r="L171" i="1"/>
  <c r="K171" i="1" s="1"/>
  <c r="F171" i="1"/>
  <c r="H171" i="1"/>
  <c r="G171" i="1"/>
  <c r="D171" i="1"/>
  <c r="L172" i="1"/>
  <c r="K172" i="1" s="1"/>
  <c r="F172" i="1"/>
  <c r="H172" i="1"/>
  <c r="D172" i="1" s="1"/>
  <c r="G172" i="1"/>
  <c r="L173" i="1"/>
  <c r="K173" i="1" s="1"/>
  <c r="F173" i="1"/>
  <c r="H173" i="1"/>
  <c r="G173" i="1"/>
  <c r="D173" i="1"/>
  <c r="F174" i="1"/>
  <c r="L174" i="1"/>
  <c r="K174" i="1" s="1"/>
  <c r="G174" i="1"/>
  <c r="H174" i="1"/>
  <c r="D174" i="1"/>
  <c r="F175" i="1"/>
  <c r="L175" i="1"/>
  <c r="K175" i="1" s="1"/>
  <c r="H175" i="1"/>
  <c r="G175" i="1"/>
  <c r="D175" i="1"/>
  <c r="L176" i="1"/>
  <c r="K176" i="1" s="1"/>
  <c r="F176" i="1"/>
  <c r="G176" i="1"/>
  <c r="H176" i="1"/>
  <c r="D176" i="1" s="1"/>
  <c r="L177" i="1"/>
  <c r="K177" i="1" s="1"/>
  <c r="F177" i="1"/>
  <c r="G177" i="1"/>
  <c r="H177" i="1"/>
  <c r="D177" i="1" s="1"/>
  <c r="L178" i="1"/>
  <c r="K178" i="1" s="1"/>
  <c r="F178" i="1"/>
  <c r="H178" i="1"/>
  <c r="D178" i="1" s="1"/>
  <c r="G178" i="1"/>
  <c r="L179" i="1"/>
  <c r="K179" i="1" s="1"/>
  <c r="F179" i="1"/>
  <c r="H179" i="1"/>
  <c r="G179" i="1"/>
  <c r="D179" i="1"/>
  <c r="L180" i="1"/>
  <c r="K180" i="1" s="1"/>
  <c r="F180" i="1"/>
  <c r="H180" i="1"/>
  <c r="G180" i="1"/>
  <c r="D180" i="1"/>
  <c r="F181" i="1"/>
  <c r="L181" i="1"/>
  <c r="K181" i="1" s="1"/>
  <c r="G181" i="1"/>
  <c r="H181" i="1"/>
  <c r="D181" i="1" s="1"/>
  <c r="L182" i="1"/>
  <c r="K182" i="1" s="1"/>
  <c r="F182" i="1"/>
  <c r="G182" i="1"/>
  <c r="H182" i="1"/>
  <c r="D182" i="1" s="1"/>
  <c r="F183" i="1"/>
  <c r="L183" i="1"/>
  <c r="K183" i="1" s="1"/>
  <c r="H183" i="1"/>
  <c r="G183" i="1"/>
  <c r="D183" i="1"/>
  <c r="L184" i="1"/>
  <c r="K184" i="1" s="1"/>
  <c r="F184" i="1"/>
  <c r="H184" i="1"/>
  <c r="G184" i="1"/>
  <c r="D184" i="1"/>
  <c r="F185" i="1"/>
  <c r="L185" i="1"/>
  <c r="K185" i="1" s="1"/>
  <c r="H185" i="1"/>
  <c r="D185" i="1"/>
  <c r="G185" i="1"/>
  <c r="L186" i="1"/>
  <c r="K186" i="1" s="1"/>
  <c r="F186" i="1"/>
  <c r="G186" i="1"/>
  <c r="H186" i="1"/>
  <c r="D186" i="1" s="1"/>
  <c r="F187" i="1"/>
  <c r="L187" i="1"/>
  <c r="K187" i="1" s="1"/>
  <c r="H187" i="1"/>
  <c r="G187" i="1"/>
  <c r="D187" i="1"/>
  <c r="L188" i="1"/>
  <c r="K188" i="1" s="1"/>
  <c r="F188" i="1"/>
  <c r="H188" i="1"/>
  <c r="G188" i="1"/>
  <c r="D188" i="1"/>
  <c r="F189" i="1"/>
  <c r="L189" i="1"/>
  <c r="K189" i="1" s="1"/>
  <c r="H189" i="1"/>
  <c r="D189" i="1" s="1"/>
  <c r="G189" i="1"/>
  <c r="L192" i="1"/>
  <c r="K192" i="1" s="1"/>
</calcChain>
</file>

<file path=xl/sharedStrings.xml><?xml version="1.0" encoding="utf-8"?>
<sst xmlns="http://schemas.openxmlformats.org/spreadsheetml/2006/main" count="474" uniqueCount="474">
  <si>
    <t>Bala IP 2 Megapixel Serie PRO 50 mts IR EXIR / Exterior IP67 / WDR / PoE+ Lente Mot. 2.8 a 12 mm / Videoanaliticos Integrados</t>
  </si>
  <si>
    <t>DS-2CD1723G2-LIZU(2.8-12mm)</t>
  </si>
  <si>
    <t>DS-2SE3C404MWG-E/14(2.8mm)</t>
  </si>
  <si>
    <t>DS-2CD2183G2-LIS2U(2.8mm)</t>
  </si>
  <si>
    <t xml:space="preserve">PTZ IP 2MP / 45X ZOOM / 200 MTS IR / AUTOSEGUIMIENTO / WDR 120 DB </t>
  </si>
  <si>
    <t>DS-2DE7A245IX-AE/S1</t>
  </si>
  <si>
    <t>iDS-7716NXI-I4/X(C)</t>
  </si>
  <si>
    <t>DS-7732NI-M4/16P</t>
  </si>
  <si>
    <t>NVR 8CH POE IP 8MP 2BAHIAS/6TB 80MPSH265+ 30FPS HDMI 4K METAL HIKVISION</t>
  </si>
  <si>
    <t>DS-7608NI-K2/8P</t>
  </si>
  <si>
    <t>DS-7608NXI-K2/8P</t>
  </si>
  <si>
    <t>NVR 8 MP  32 CH  16 CANALES POE+  4BAHIA/6TB Switch PoE 300 mts  HDMI/VGA  H265+ 30FPS</t>
  </si>
  <si>
    <t>DS-7732NI-K4/16P</t>
  </si>
  <si>
    <t>NVR 8 CANALES HD 80MBPS 2BAHIAS/6TB120-220VAC H.265+ HIKVISION</t>
  </si>
  <si>
    <t>DS-7608NI-K2</t>
  </si>
  <si>
    <t xml:space="preserve">NVR 64 CANALES 2U 4K / 32MP / HDMI Y 2 VGA / VISUALIZACION EN VIVO </t>
  </si>
  <si>
    <t>DS-9664NI-M8</t>
  </si>
  <si>
    <t>NVR 32MP / 64 CANALES IP / SOPORTA CAMARAS CON ACUSENSE / 2 TARETAS DE RED / HDMI 8K / DOBLE PODER DE CODIFICACION</t>
  </si>
  <si>
    <t>DS-9664NI-M16</t>
  </si>
  <si>
    <t>NVR 16 CANALES POE 160MBPS 2BAHIAS/6TB120VAC H.265+ 4K VIDEO HIKVISION</t>
  </si>
  <si>
    <t>DS-7616NI-K2/16P</t>
  </si>
  <si>
    <t>NVR 12 Megapixel16 canales IP  AcuSense  Reconocimiento Facial  4 Bahías de Disco Duro</t>
  </si>
  <si>
    <t>DS-7716NXI-K4</t>
  </si>
  <si>
    <t>DS-7608NXI-K2</t>
  </si>
  <si>
    <t xml:space="preserve">NVR  32CH   8MP 4BAHIA/6TB  H265+ 30FPS HDMI/VGA  256MBPS METAL PRO HIKVISION </t>
  </si>
  <si>
    <t>DS-7732NI-K4</t>
  </si>
  <si>
    <t xml:space="preserve">NVR  16CH POE  8MP 4BAHIA/6TB H265+ 30FPS HDMI/VGA  METAL PRO HIKVISION </t>
  </si>
  <si>
    <t>DS-7716NI-Q4/16P</t>
  </si>
  <si>
    <t xml:space="preserve">NVR  16CH  8MP 4BAHIA/6TBH H265+ 30FPS HDMI/VGA  METAL PRO HIKVISION </t>
  </si>
  <si>
    <t>DS-7716NI-Q4</t>
  </si>
  <si>
    <t>DS-2CD2955G0-ISU(1.05mm)</t>
  </si>
  <si>
    <t xml:space="preserve">KIT SOLAR IP ALL IN ONE / CAMARA BALA 4MP / LENTE 4MM / PANEL SOLAR / BATERIA DE RESPALDO DE LITIO / CONEXIÓN 4G / ACCESORIOS DE INSTALACIÓN </t>
  </si>
  <si>
    <t>DS-2XS2T41G1-ID/4G/C05S07(4mm)/LA</t>
  </si>
  <si>
    <t>KIT DE NVS WIFI DE DOS BALAS H.265 DE 2 MP 2 CÁMARAS BALA FIJAS CON RESOLUCIÓN DE 2 MP Y DISTANCIA FOCAL DE 2,8 MM</t>
  </si>
  <si>
    <t>DS-J142I/NKS422W0H</t>
  </si>
  <si>
    <t xml:space="preserve">KIT DE NVS WIFI DE 2 MP, H.265, UNA BALA Y UNA TORRETA INSTALACIÓN INALÁMBRICA FÁCIL Y RÁPIDA </t>
  </si>
  <si>
    <t>DS-J142I/NKS422W02H</t>
  </si>
  <si>
    <t>KIT DE NVS WIFI  2 CÁMARAS BALA FIJAS CON RESOLUCIÓN DE 4 MP Y DISTANCIA FOCAL DE 2,8 MM</t>
  </si>
  <si>
    <t>DS-J142I/NKS424W0H</t>
  </si>
  <si>
    <t>DOMO PTZ IP 4MP / 32X ZOOM / 200MT IR / ACUSENSE / IP66 / ALERTA AUDIBLE / AUTOSEGUIMIENTO 2.0 / MICRO SD</t>
  </si>
  <si>
    <t>DS-2DE7A432IW-AEB(T5)</t>
  </si>
  <si>
    <t xml:space="preserve">DOMO PTZ IP 2MP / 32X ZOOM / 200MT IR / IP66 / ALERTA AUDIBLE / AUTOSEGUIMIENTO 2.0 </t>
  </si>
  <si>
    <t>DS-2DE7A232IW-AEB(T5)</t>
  </si>
  <si>
    <t>DS-2CD1743G2-LIZU(2.8-12mm)</t>
  </si>
  <si>
    <t>CAMARA MINI PTZ 4MP DARKF 4XZOOM H265+ 120DB IR20m EXIR POE IP66 IK10 HIKVISION</t>
  </si>
  <si>
    <t>CAMARA IP OJO DE PESCADO 5MP PANORAMICA 180°-360° EXIR  8m IR 265+  WDR 120 dB</t>
  </si>
  <si>
    <t>DS-2CD2955FWD-I(1.05mm)</t>
  </si>
  <si>
    <t>CÁMARA IP FIJA TIPO CUBO CON MICRÓFONO INCORPORADO ACUSENSE DE 4 MP CONEXIÓN A HIKCONNECT</t>
  </si>
  <si>
    <t>DS-2CD2443G2-IW(2.8mm)(W)</t>
  </si>
  <si>
    <t>CÁMARA IP FIJA TIPO CUBO CON MICRÓFONO INCORPORADO ACUSENSE DE 2 MP CONEXIÓN A HIKCONNECT</t>
  </si>
  <si>
    <t>DS-2CD2423G2-IW(2.8mm)(W)</t>
  </si>
  <si>
    <t>CÁMARA IP DOMO FIJA CON AUDIO PARA EXTERIORES DE 4 MP CONEXIÓN A HIKCONNECT</t>
  </si>
  <si>
    <t>DS-2CV2141G2-IDW(2.8mm)(W)/EU</t>
  </si>
  <si>
    <t>CÁMARA IP DOMO FIJA CON AUDIO PARA EXTERIORES DE 2 MP CONEXIÓN A HIKCONNECT</t>
  </si>
  <si>
    <t>DS-2CV2121G2-IDW(2.8mm)(W)/EU</t>
  </si>
  <si>
    <t>DS-2CD2683G2-IZS(2.8-12mm)</t>
  </si>
  <si>
    <t>CAMARA IP 4MP DOMO MOTORIZADA F1.6 EXIR 30m IR WDR 120 dB H265+  IK10 IP67  CON ENTRADA DE  AUDIO Y ALARMA HIKVISION</t>
  </si>
  <si>
    <t>DS-2CD2743G1-IZS(2.8-12mm)</t>
  </si>
  <si>
    <t>DS-2CD1623G2-LIZU(2.8-12mm)</t>
  </si>
  <si>
    <t>DS-2CD1T23G2-I(4mm)</t>
  </si>
  <si>
    <t>DS-2CD2043G2-I(2.8mm)</t>
  </si>
  <si>
    <t>DS-2CD2783G2-IZS(2.8-12mm)</t>
  </si>
  <si>
    <t>DS-2DE5425IW-AE(T5)</t>
  </si>
  <si>
    <t>DS-2DE4425IW-DE(T5)</t>
  </si>
  <si>
    <t xml:space="preserve">CÁMARA DE RED TIPO BALA FIJA CON WI-FI PARA EXTERIORES DE 2 MP
COMPATIBLE CON WI-FI 6
</t>
  </si>
  <si>
    <t>DS-2CV1023G2-LIDWF(2.8mm)(B)/EU</t>
  </si>
  <si>
    <t xml:space="preserve">CAMARA DE RED MINIDOMO FIJA ACUSENSE DE 2MP CON MICROFONO INCORPORADO </t>
  </si>
  <si>
    <t>DS-2CD2523G2-IS(2.8mm)(D)</t>
  </si>
  <si>
    <t>DS-2CD2047G3-LI2UY/SL(2.8mm)</t>
  </si>
  <si>
    <t>CÁMARA DE RED HÍBRIDA INTELIGENTE PARA EXTERIORES FIJA DE 4 MP CON LUZ LED</t>
  </si>
  <si>
    <t>DS-2DE2C400MWG/W(2.8mm)/EU</t>
  </si>
  <si>
    <t>CAMARA DE RED DE DOMO FIJO OJO DE PEZ DE 5MP / VISTA 180° / WDR 120DB</t>
  </si>
  <si>
    <t xml:space="preserve">CAMARA BALA 4MP PANEL SOLAR BATERIA INCORPORADA 8,4AH 4G MICROSIM HASTA 64GB BATERIA 500 CICLOS </t>
  </si>
  <si>
    <t>DS-2XS2T47G1-LDH/4G/C18S40(4mm)/LA</t>
  </si>
  <si>
    <t>DS-2CD1363G2-LIUF(2.8mm)</t>
  </si>
  <si>
    <t>DS-2CD1163G2-LIUF(2.8mm)</t>
  </si>
  <si>
    <t>DS-2CD1347G2H-LIUF(2.8mm)</t>
  </si>
  <si>
    <t>DS-2CD1347G2H-LIU(2.8mm)</t>
  </si>
  <si>
    <t>DS-2CD1327G2H-LIUF(2.8mm)</t>
  </si>
  <si>
    <t>DS-2CD2083G2-LI2U(2.8mm)</t>
  </si>
  <si>
    <t>DS-2DF8A442IXS-AEL(T5)</t>
  </si>
  <si>
    <t>DS-2CD1323G2-I(2.8mm)</t>
  </si>
  <si>
    <t>DS-2CD2183G2-IU(2.8mm)</t>
  </si>
  <si>
    <t>Domo PTZ IP 4 Megapixel con Cámara Fija 4 Megapixel / 25X Zoom / 100 mts IR / IP66 / ACUSENSE / PoE+ / Entrada-Salida de Audio y Alarma / Ultra Baja Iluminación / Micro SD</t>
  </si>
  <si>
    <t>DS-2SE4C425MWG-E(14F0)</t>
  </si>
  <si>
    <t>CAMARA IP 4MP COLORVU MD 2.0 TURRET H2.65+ IP67 WDR 2.8MM LUZ BLANCA 30M METAL Y PLASTICO</t>
  </si>
  <si>
    <t>DS-2CD1347G2-LUF(2.8mm)</t>
  </si>
  <si>
    <t>DS-7608NXI-I2/8P/Vpro</t>
  </si>
  <si>
    <t>DS-2CV2Q21G1-IDW(4mm)(W)/EU</t>
  </si>
  <si>
    <t>DS-2DE2C400MWG-E(2.8mm)</t>
  </si>
  <si>
    <t>DS-2DE2C600MWG-E(2.8mm)</t>
  </si>
  <si>
    <t>DS-2CD2643G2-LIZS2U(2.8-12mm)</t>
  </si>
  <si>
    <t>iDS-2CD5T47G2/V-XHSY(4mm)</t>
  </si>
  <si>
    <t>iDS-2CD7A46G2/V-XZHSY(2.8-12mm)</t>
  </si>
  <si>
    <t>DS-2CD2143G2-LIS2U(2.8mm)</t>
  </si>
  <si>
    <t>DS-2SE2C400MWG-E/14(2.8/8mm)</t>
  </si>
  <si>
    <t>DS-7732NI-M4</t>
  </si>
  <si>
    <t>DS-7732NXI-K4</t>
  </si>
  <si>
    <t>NVR 8CH POE IP 8MP 2BAHIA/6TB 80MPSH265+ HDMI 4K METAL HIKVISION</t>
  </si>
  <si>
    <t>NVR 8CH POE IP 8MP 1BAHIA/6TB 80MPSH265+ HDMI 4K METAL HIKVISION</t>
  </si>
  <si>
    <t>NVR 8CH POE IP 2MP 1BAHIA/6TB 60MPSH265+ 30FPS HDMI PLASTICO HIKVISION</t>
  </si>
  <si>
    <t>NVR 4CH POE IP 2MP 1BAHIA/6TB 40MPSH265+ 30FPS HDMI PLASTICO HIKVISION</t>
  </si>
  <si>
    <t>NVR 4CH IP 4MP 1BAHIA/6TB 60MPS H265+ 30FPS HDMI PLASTICO HIKVISION</t>
  </si>
  <si>
    <t xml:space="preserve">NVR 32MP 32CH IP DOBLE PODER </t>
  </si>
  <si>
    <t>DS-9632NI-M8</t>
  </si>
  <si>
    <t>DS-7616NXI-K2/16P(D)</t>
  </si>
  <si>
    <t>DS-7716NXI-I4/16P/S(C)</t>
  </si>
  <si>
    <t>DS-7732NXI-K4/16P</t>
  </si>
  <si>
    <t xml:space="preserve">KIT DE NVS WIFI CON UNA CÁMARA TIPO BALA Y UN PTDOME H.265 DE 4 MP AMBAS CON RESOLUCIÓN DE 4 MP Y LONGITUD FOCAL DE 2,8 MM
 </t>
  </si>
  <si>
    <t>DS-J142I/NKS424W03H</t>
  </si>
  <si>
    <t xml:space="preserve">KIT 1 CÁMARA DE TORRETA PT FIJA Y 1 CÁMARA DE BALA FIJA, AMBAS CON RESOLUCIÓN DE 4 MP Y LONGITUD FOCAL DE 2,8 MM
</t>
  </si>
  <si>
    <t>DS-J142I/NKS424W02H</t>
  </si>
  <si>
    <t>CAMARAS IP 4MP / LENTE MOTORIZADO 3.1-6MM / RECONOCIMIENTO Y CAPTURAS DE PLACAS VEHÍCULARES / IP67 / IK10</t>
  </si>
  <si>
    <t>DS-TCG405-E(12V/Poe)</t>
  </si>
  <si>
    <t>CÁMARA PT EXTERIOR DE 4 MP CON AUDIO BIDIRECCIONAL SLOT MICROSD HASTA 512GB CONEXIÓN A HIKCONNECT</t>
  </si>
  <si>
    <t>DS-2DE2C400IWG/W(2.8mm)(W)/EU</t>
  </si>
  <si>
    <t>CÁMARA PT EXTERIOR DE 2 MP CON AUDIO BIDIRECCIONAL SLOT MICROSD HASTA 512GB CONEXIÓN A HIKCONNECT</t>
  </si>
  <si>
    <t>DS-2DE2C200IWG/W(2.8mm)(W)/EU</t>
  </si>
  <si>
    <t>CÁMARA IP TIPO BALA FIJA CON AUDIO PARA EXTERIORES DE 4 MP CONEXIÓN A HIKCONNECT</t>
  </si>
  <si>
    <t>DS-2CV2041G2-IDW(2.8mm)(W)/EU</t>
  </si>
  <si>
    <t>DS-2CD6825G0/C-IVS(2mm)(HIK COL)</t>
  </si>
  <si>
    <t>DS-2CD1T43G2-I(4mm)</t>
  </si>
  <si>
    <t>DS-2CD1327G2-L(2.8mm)</t>
  </si>
  <si>
    <t>DS-2CD2623G1-IZS(2.8-12mm)</t>
  </si>
  <si>
    <t>DS-2DE2C200MWG/W(2.8mm)/EU</t>
  </si>
  <si>
    <t>DS-2CD2043G2-LI2U(2.8mm)</t>
  </si>
  <si>
    <t>DS-2CD1343G2-LIUF(2.8mm)</t>
  </si>
  <si>
    <t>DS-2CD1347G3-LIU(2.8mm)(Latam AcuSense)</t>
  </si>
  <si>
    <t>DS-2CD1327G3-LIU(2.8mm)(Latam AcuSense)</t>
  </si>
  <si>
    <t>DS-2CD1027G3-LIU(2.8mm)(Latam AcuSense)</t>
  </si>
  <si>
    <t>DS-2CD1047G3-LIU(2.8mm)(Latam AcuSense)</t>
  </si>
  <si>
    <t>KIT DE NVS WIFI CON UNA CÁMARA TIPO BALA Y UN PTDOME H.265 DE 2 MP
INSTALACIÓN INALÁMBRICA FÁCIL Y RÁPIDA</t>
  </si>
  <si>
    <t>DS-J142I/NKS422W03H</t>
  </si>
  <si>
    <t>CAMARA MINI PTZ 2MP DARKF 4XZOOM H265+ 120DB IR20M IP66 IK10 HIKVISION</t>
  </si>
  <si>
    <t>DS-2DE2A204IW-DE3(C0)(S6)(C)</t>
  </si>
  <si>
    <t>DS-2CD2643G2-IZS(2.8-12mm)</t>
  </si>
  <si>
    <t>CÁMARA IP TIPO BALA FIJA CON AUDIO PARA EXTERIORES DE 2 MP CONEXIÓN A HIKCONNECT</t>
  </si>
  <si>
    <t>DS-2CV2021G2-IDW(2.8mm)(W)/EU</t>
  </si>
  <si>
    <t>CAMARA IP DOMO HIBRIDA B/N - Color VU 4MP MICROFONO INCORPORADO 0,005 Lux DETECCION DE PERSONAS Y VEHÍCULOS H.265 +, 120dB WDR IR: 30 m, Luz blanca: 20 m IP67</t>
  </si>
  <si>
    <t>DS-2CD1143G2-LIU(2.8mm)</t>
  </si>
  <si>
    <t>CAMARA IP DOMO HIBRIDA B/N - Color VU 2MP MICROFONO INCORPORADO 0,005 Lux DETECCION DE PERSONAS Y VEHÍCULOS H.265 +, 120dB WDR IR: 30 m, Luz blanca: 20 m IP67</t>
  </si>
  <si>
    <t>DS-2CD1123G2-LIU(2.8mm)</t>
  </si>
  <si>
    <t>CAMARA IP BALA HIBRIDA B/N - Color VU 4MP MICROFONO INCORPORADO 0,005 Lux DETECCION DE PERSONAS Y VEHÍCULOS H.265 +, 120dB WDR IR: 30 m, Luz blanca: 20 m IP67</t>
  </si>
  <si>
    <t>DS-2CD1043G2-LIU(2.8mm)</t>
  </si>
  <si>
    <t>CAMARA IP BALA HIBRIDA B/N - Color VU 2MP MICROFONO INCORPORADO 0,005 Lux DETECCION DE PERSONAS Y VEHÍCULOS H.265 +, 120dB WDR IR: 30 m, Luz blanca: 20 m IP67</t>
  </si>
  <si>
    <t>DS-2CD1023G2-LIU(2.8mm)</t>
  </si>
  <si>
    <t>DS-2CD1343G2-I(2.8mm)</t>
  </si>
  <si>
    <t>DS-2CD1347G2-L(2.8mm)</t>
  </si>
  <si>
    <t>DS-2CD1123G2-I(2.8mm)</t>
  </si>
  <si>
    <t>DS-2CD1323G2-LIU(2.8mm)</t>
  </si>
  <si>
    <t>DS-2CD1023G2-I(2.8mm)</t>
  </si>
  <si>
    <t>CAMARA EXT BALA 2MP D/N F2.8MM DWDR H265+ IR30m METAL/PLASTICO HIKVISION</t>
  </si>
  <si>
    <t>DS-2CD2021G1-I(2.8mm)(C)</t>
  </si>
  <si>
    <t>DS-2DE4225IW-DE(T5)</t>
  </si>
  <si>
    <t>DS-2CD1143G2-I(2.8mm)</t>
  </si>
  <si>
    <t>DS-2CD1643G2-LIZU(2.8-12mm)</t>
  </si>
  <si>
    <t>DS-2CD1T63G2P-LIUF/SRB(2.8mm)</t>
  </si>
  <si>
    <t>DS-2CD1063G2-LIUF(2.8mm)</t>
  </si>
  <si>
    <t>DS-2CD1047G2H-LIU(2.8mm)</t>
  </si>
  <si>
    <t>DS-2CD1027G2H-LIU(2.8mm)</t>
  </si>
  <si>
    <t>INSTALLER SIN IVA</t>
  </si>
  <si>
    <t>ORO SIN IVA</t>
  </si>
  <si>
    <t>PRECIO SUGERIDO INSTALADOR</t>
  </si>
  <si>
    <t>Columna8</t>
  </si>
  <si>
    <t>DPP ORO</t>
  </si>
  <si>
    <t>Columna6</t>
  </si>
  <si>
    <t>DPP PLATINO2</t>
  </si>
  <si>
    <t>DPP PLATINO</t>
  </si>
  <si>
    <t>Columna3</t>
  </si>
  <si>
    <t>PLATINO</t>
  </si>
  <si>
    <t>ORO</t>
  </si>
  <si>
    <t>PRECIO SUGERIDO INSTALADOR
( CON  IVA)</t>
  </si>
  <si>
    <t>Columna23</t>
  </si>
  <si>
    <t>PRECIO CLIENTE FINAL ( CON  IVA)</t>
  </si>
  <si>
    <t>PRECIO DPP PLATINO ( CON  IVA)</t>
  </si>
  <si>
    <t>PRECIO DPP ORO ( CON  IVA)</t>
  </si>
  <si>
    <t>PRECIO TIENDA ( CON  IVA)</t>
  </si>
  <si>
    <t>PRECIO INSTALADOR
( CON  IVA)</t>
  </si>
  <si>
    <t xml:space="preserve">DESCRIPCIÓN </t>
  </si>
  <si>
    <t>REFERENCIA</t>
  </si>
  <si>
    <t>DS-2CD1163G2-LIU(2.8mm)</t>
  </si>
  <si>
    <t>Domo IP 6 Mp 2.8 mm IR 30 mts Micrófono Integrado Exterior IP67 H.265 PoE</t>
  </si>
  <si>
    <t>DS-2CD1363G2P-LIUF/SRB(2.8mm)</t>
  </si>
  <si>
    <t>Domo IP 6 Megapixel 2 Lentes de Lente 2.8 mm (Imagen Panorámica 180°) / 40 mts IR / Exterior IP67 / Luz Intermitente y Alerta de Audio / Audio Bidireccional / ACUSENSE / WDR 120 dB / Micro SD / Estrobo Azul y Rojo</t>
  </si>
  <si>
    <t>DS-2CD1T23G0-I</t>
  </si>
  <si>
    <t xml:space="preserve">CAMARA IP 2MP BALA H265+ 120DB IR50m IP67 SEMIMETAL </t>
  </si>
  <si>
    <t>DS-A81024S</t>
  </si>
  <si>
    <t>Servidor de Almacenamiento en Red / Soporta 24 Discos Duros (No Incluye Discos) / Soporta Hasta 512 Canales IP / Controlador Simple</t>
  </si>
  <si>
    <t>DS-2CD2147G3-LIS2UY(2.8mm)</t>
  </si>
  <si>
    <t>DS-7616NXI-K2</t>
  </si>
  <si>
    <t>DS-7732NXI-K4/Vpro</t>
  </si>
  <si>
    <t>iDS-2CD5T47G2/V-XHSY(2.8mm)</t>
  </si>
  <si>
    <t>iDS-2CD5T47G2/V-XS(2.8mm)</t>
  </si>
  <si>
    <t>DS-7608NI-Q2</t>
  </si>
  <si>
    <t>DS-7604NI-Q1/4P</t>
  </si>
  <si>
    <t>DS-7104NI-Q1</t>
  </si>
  <si>
    <t>DS-7104NI-Q1/4P</t>
  </si>
  <si>
    <t>DS-7108NI-Q1</t>
  </si>
  <si>
    <t>DS-7108NI-Q1/8P</t>
  </si>
  <si>
    <t>DS-7608NI-Q1/8P</t>
  </si>
  <si>
    <t>DS-7608NI-Q2/8P</t>
  </si>
  <si>
    <t>DS-7616NI-Q2/16P</t>
  </si>
  <si>
    <t>DS-7616NI-Q2</t>
  </si>
  <si>
    <t>CÁMARA BULLET IP / COLORVU 3.0 CON LUZ HÍBRIDA / LENTE 2 MP / CLASIFICACIÓN DE PERSONAS Y VEHÍCULOS / RANGO IR O LUZ BLANCA HASTA 30 m / MICRÓFONO INTEGRADO / COMPRESIÓN H.265+ / PROTECCIÓN IP67 / ALIMENTACIÓN 12 VDC y PoE / MONITOREO MÓVIL VÍA HIK-CONNECT</t>
  </si>
  <si>
    <t>CÁMARA BULLET IP / COLORVU 3.0 CON LUZ HÍBRIDA /  
LENTE 4 MP / CLASIFICACIÓN DE PERSONAS Y VEHÍCULOS / RANGO IR O LUZ BLANCA HASTA 30 m /  
MICRÓFONO INTEGRADO / COMPRESIÓN H.265+ /  
PROTECCIÓN IP67 / ALIMENTACIÓN 12 VDC y PoE /  
MONITOREO MÓVIL VÍA HIK-CONNECT</t>
  </si>
  <si>
    <t>CÁMARA TURRET IP / COLORVU 3.0 CON LUZ HÍBRIDA /  
LENTE 2 MP / CLASIFICACIÓN DE PERSONAS Y VEHÍCULOS / RANGO IR O LUZ BLANCA HASTA 30 m /  
MICRÓFONO INTEGRADO / COMPRESIÓN H.265+ /  
PROTECCIÓN IP67 / ALIMENTACIÓN 12 VDC y PoE /  
MONITOREO MÓVIL VÍA HIK-CONNECT</t>
  </si>
  <si>
    <t>CÁMARA TURRET IP / COLORVU 3.0 CON LUZ HÍBRIDA /  
LENTE 4 MP / CLASIFICACIÓN DE PERSONAS Y VEHÍCULOS / RANGO IR O LUZ BLANCA HASTA 30 m /  
MICRÓFONO INTEGRADO / COMPRESIÓN H.265+ /  
PROTECCIÓN IP67 / ALIMENTACIÓN 12 VDC y PoE /  
MONITOREO MÓVIL VÍA HIK-CONNECT</t>
  </si>
  <si>
    <t>CÁMARA BULLET IP / COLORVU CON LUZ HÍBRIDA / LENTE 2 MP / DETECCIÓN DE PERSONAS Y VEHÍCULOS / RANGO IR O LUZ BLANCA HASTA 30 m / MICRÓFONO INTEGRADO / COMPRESIÓN H.265+ / RANURA SD HASTA 512 GB (OPCIONAL) / PROTECCIÓN IP67 / ALIMENTACIÓN 12 VDC Y PoE / MONITOREO MÓVIL VÍA HIK-CONNECT</t>
  </si>
  <si>
    <t>CÁMARA BULLET IP / LENTE VARIFOCAL MOTORIZADO 2.8–12 mm / LENTE 2 MP / DETECCIÓN DE PERSONAS Y VEHÍCULOS / TECNOLOGÍA DUAL LIGHT CON ALCANCE DE 50 m / MICRÓFONO INTEGRADO / COMPRESIÓN H.265+ / RANURA SD HASTA 512 GB / PROTECCIÓN IP67 / ALIMENTACIÓN 12 VDC Y PoE / MONITOREO MÓVIL VÍA HIK-CONNECT</t>
  </si>
  <si>
    <t xml:space="preserve">CÁMARA BULLET IP FIJA DE 4 MP CON COLORVU, LUZ HÍBRIDA INTELIGENTE, DETECCIÓN DE PERSONAS Y VEHÍCULOS, MICRÓFONOS DUALES, AUDIO BIDIRECCIONAL, DISEÑO ANTICORROSIÓN, RESISTENTE AL AGUA Y POLVO (IP67), CON LUZ ESTROBOSCÓPICA Y ALARMA SONORA, COMPATIBLE CON HIK-CONNECT </t>
  </si>
  <si>
    <t>DS-2CD2047G3-LI2UY/SRB(2.8mm)</t>
  </si>
  <si>
    <t>CÁMARA BULLET IP FIJA DE 4 MP CON COLORVU, LUZ HÍBRIDA INTELIGENTE, DETECCIÓN DE PERSONAS Y VEHÍCULOS, MICRÓFONOS DUALES, AUDIO BIDIRECCIONAL, DISEÑO ANTICORROSIÓN, RESISTENTE AL AGUA Y POLVO (IP67), CON LUZ ESTROBOSCÓPICA Y ALARMA SONORA, COMPATIBLE CON HIK-CONNECT</t>
  </si>
  <si>
    <t>DS-2CD2347G3-LI2UY(2.8mm)</t>
  </si>
  <si>
    <t>CÁMARA TURRET IP FIJA DE 4 MP CON COLORVU, LUZ HÍBRIDA INTELIGENTE, DETECCIÓN DE PERSONAS Y VEHÍCULOS, MICRÓFONOS DUALES, AUDIO DE ALTA CALIDAD, DISEÑO ANTICORROSIÓN, RESISTENTE AL AGUA Y POLVO (IP67), COMPATIBLE CON HIK-CONNECT</t>
  </si>
  <si>
    <t>DS-2CD2347G3-LIS2UY/SRB(2.8mm)</t>
  </si>
  <si>
    <t>CÁMARA TURRET IP FIJA DE 4 MP CON COLORVU, LUZ HÍBRIDA INTELIGENTE, DETECCIÓN DE PERSONAS Y VEHÍCULOS, MICRÓFONOS DUALES, AUDIO BIDIRECCIONAL, INTERFAZ DE AUDIO Y ALARMA, DISEÑO ANTICORROSIÓN, RESISTENTE AL AGUA Y POLVO (IP67), CON LUZ ESTROBOSCÓPICA Y ALARMA SONORA, COMPATIBLE CON HIK-CONNECT</t>
  </si>
  <si>
    <t>CÁMARA DOMO IP FIJA DE 4 MP PARA INTERIORES Y EXTERIORES CON COLORVU, LUZ HÍBRIDA INTELIGENTE, DETECCIÓN DE PERSONAS Y VEHÍCULOS, MICRÓFONOS DUALES, RESISTENTE A IMPACTOS E INTEMPERIE, COMPATIBLE CON HIK-CONNECT</t>
  </si>
  <si>
    <t>CÁMARA IP FIJA PARA INTERIORES DE 2 MP ADMITE CONEXIÓN WI-FI ADMITE MOTION 2.0, DETECCIÓN HUMANA, MOVIMIENTO PT, CONEXIÓN A HIKCONNECT</t>
  </si>
  <si>
    <t>CÁMARA DE RED HÍBRIDA INTELIGENTE PARA EXTERIORES FIJA DE 2 MP CON LUZ LED</t>
  </si>
  <si>
    <t>DS-J142I/NKS4223WBTH</t>
  </si>
  <si>
    <t>KIT Wi-Fi NVS / 2MP BULLET + 3MP TURRET / H.265 / DETECCIÓN HUM‑VEH / AUDIO BIDIRECCIONAL / HDMI 4K / HASTA 2×512 GB / ACUSENSE</t>
  </si>
  <si>
    <t>DS-J142I/NKS422WBPH</t>
  </si>
  <si>
    <t>KIT Wi-Fi NVS / 2× BULLET 2MP / H.265 / DETECCIÓN HUM‑VEH / AUDIO BIDIRECCIONAL / HDMI / HASTA 2×512 GB / ACUSENSE</t>
  </si>
  <si>
    <t>DS-J142I/NKS422WBH</t>
  </si>
  <si>
    <t>KIT Wi-Fi NVS / 2MP BULLET + 2MP PT DOME / H.265 / DETECCIÓN HUM‑VEH / AUDIO BIDIRECCIONAL / HDMI / HASTA 2×512 GB / ACUSENSE</t>
  </si>
  <si>
    <t>DS-J142I/NKS4245WBTH</t>
  </si>
  <si>
    <t>KIT Wi-Fi NVS / 4MP BULLET + 5MP TURRET / H.265 / DETECCIÓN HUM‑VEH / AUDIO BIDIRECCIONAL / HDMI 4K / HASTA 2×512 GB / ACUSENSE</t>
  </si>
  <si>
    <t>DS-J142I/NKS424WBPH</t>
  </si>
  <si>
    <t>KIT Wi-Fi NVS / 4MP BULLET + 4MP PT DOME / H.265 / DETECCIÓN HUM‑VEH / AUDIO BIDIRECCIONAL / HDMI / HASTA 2×512 GB / ACUSENSE</t>
  </si>
  <si>
    <t>DS-J142I/NKS424WBH</t>
  </si>
  <si>
    <t>KIT Wi-Fi NVS / 2× BULLET 4MP / H.265 / DETECCIÓN HUM‑VEH / AUDIO BIDIRECCIONAL / HDMI / HASTA 2×512 GB / ACUSENSE</t>
  </si>
  <si>
    <t>DS-7104NI-S1/W(STD)</t>
  </si>
  <si>
    <t>MINICÁMARA DE VIGILANCIA CON WIFI DE 4 CANALES HASTA 512 GB</t>
  </si>
  <si>
    <t>DS-2CFW02(2.8mm)(O-STD)/EU</t>
  </si>
  <si>
    <t>CÁMARA BULLET Wi-Fi 6 2 MP / DETECCIÓN HUMANO-VEHÍCULO / AUDIO BIDIRECCIONAL / IR 30 m + LUZ BLANCA 30 m / IP66 RESISTENTE AL AGUA Y POLVO / RENDIMIENTO NOCTURNO OPTIMIZADO</t>
  </si>
  <si>
    <t>DS-2CFW04(2.8mm)(O-STD)/EU</t>
  </si>
  <si>
    <t>CÁMARA BULLET Wi-Fi 6 4 MP / DETECCIÓN HUMANO-VEHÍCULO / AUDIO BIDIRECCIONAL / IR 30 m + LUZ BLANCA 30 m / IP66 RESISTENTE AL AGUA Y POLVO / RENDIMIENTO NOCTURNO OPTIMIZADO</t>
  </si>
  <si>
    <t>DS-2CFWQ3(2.8mm)(O-STD)/EU</t>
  </si>
  <si>
    <t>CÁMARA PT Wi-Fi 6 2K / DETECCIÓN HUMANO-VEHÍCULO / MODO PRIVACIDAD CON UN TOQUE / AUDIO BIDIRECCIONAL / LUZ HÍBRIDA INTELIGENTE / SEGUIMIENTO HUMANO AUTOMÁTICO / RENDIMIENTO NOCTURNO OPTIMIZADO</t>
  </si>
  <si>
    <t>DS-2CFWQ5(2.8mm)(O-STD)/EU</t>
  </si>
  <si>
    <t>CÁMARA PT Wi-Fi 6 3K / DETECCIÓN HUMANO-VEHÍCULO / MODO PRIVACIDAD CON UN TOQUE / AUDIO BIDIRECCIONAL / LUZ HÍBRIDA INTELIGENTE / SEGUIMIENTO HUMANO AUTOMÁTICO / RENDIMIENTO NOCTURNO OPTIMIZADO</t>
  </si>
  <si>
    <t>DS-2CFW06-P(2.8mm)(O-STD)/EU</t>
  </si>
  <si>
    <t>CÁMARA BULLET PANORÁMICA Wi-Fi 6 3K / CAMPO DE VISIÓN 180° / DETECCIÓN HUMANO-VEHÍCULO / AUDIO BIDIRECCIONAL / LUZ HÍBRIDA INTELIGENTE / LUZ ESTROBOSCÓPICA + ALARMA SONORA / IP67 RESISTENTE AL AGUA Y POLVO / RENDIMIENTO NOCTURNO OPTIMIZADO</t>
  </si>
  <si>
    <t>DS-2CFWQ6-D(2.8+4mm)(O-STD)/EU</t>
  </si>
  <si>
    <t>CÁMARA PT Wi-Fi 6 DUAL LENTE 6 MP / VISIÓN 2K+2K PARA MÁS DETALLE / DETECCIÓN HUMANO-VEHÍCULO / MODO PRIVACIDAD CON UN TOQUE / AUDIO BIDIRECCIONAL / LUZ HÍBRIDA INTELIGENTE / SEGUIMIENTO HUMANO AUTOMÁTICO / COBERTURA AMPLIA + DETALLE EN PRIMER PLANO</t>
  </si>
  <si>
    <t>DS-2CD2621G0-IZS(2.8-12mm)(C)(O-STD)</t>
  </si>
  <si>
    <t>CÁMARA BULLET IP / LENTE VARIFOCAL MOTORIZADO 2.8–12 mm / LENTE 2 MP / WDR REAL 120 dB / INTERFAZ DE AUDIO Y ALARMA / COMPRESIÓN H.265+ / RANURA SD (NO INCLUIDA) / VISIÓN NOCTURNA IR HASTA 30 m / PROTECCIÓN IP67 / ESTRUCTURA METÁLICA / ALIMENTACIÓN 12 VDC Y PoE / MONITOREO VÍA HIK-CONNECT</t>
  </si>
  <si>
    <r>
      <t xml:space="preserve">CAMARA IP 2MP BALA H265+ DWDR F2.8 </t>
    </r>
    <r>
      <rPr>
        <b/>
        <sz val="10"/>
        <color rgb="FFFF0000"/>
        <rFont val="Aptos Narrow"/>
        <family val="2"/>
        <scheme val="minor"/>
      </rPr>
      <t>MD 2.0</t>
    </r>
    <r>
      <rPr>
        <sz val="10"/>
        <rFont val="Aptos Narrow"/>
        <family val="2"/>
        <scheme val="minor"/>
      </rPr>
      <t xml:space="preserve"> 30M IP67 METAL Y PLASTICO HIKVISION</t>
    </r>
  </si>
  <si>
    <r>
      <t xml:space="preserve">CAMARA IP 2MP BALA H265+  120DB IR50m IP67 </t>
    </r>
    <r>
      <rPr>
        <b/>
        <sz val="10"/>
        <color rgb="FFFF0000"/>
        <rFont val="Aptos Narrow"/>
        <family val="2"/>
        <scheme val="minor"/>
      </rPr>
      <t>MD 2.0</t>
    </r>
    <r>
      <rPr>
        <sz val="10"/>
        <rFont val="Aptos Narrow"/>
        <family val="2"/>
        <scheme val="minor"/>
      </rPr>
      <t xml:space="preserve"> SEMIMETAL HIKVISION</t>
    </r>
  </si>
  <si>
    <t>DS-2CD2T43G0-I8</t>
  </si>
  <si>
    <t xml:space="preserve">BALA IP 4MP 28MM 80M EXIR IP67 EXT POE	</t>
  </si>
  <si>
    <t>Camara de red tipo bala Hikvision de 4 MPCMOS progresivo de 1/3</t>
  </si>
  <si>
    <t>CÁMARA BALA 4 MP COLORVU SMART HYBRID LIGHT / H.265+ / DETECCIÓN HUM‑VEH / MICRÓFONO / ALMACENAMIENTO SD 512 GB / IP67</t>
  </si>
  <si>
    <r>
      <t xml:space="preserve">CAMARA EXT MINI BALA 4MP 2.8MM 40M120DB </t>
    </r>
    <r>
      <rPr>
        <b/>
        <sz val="10"/>
        <color rgb="FFFF0000"/>
        <rFont val="Aptos Narrow"/>
        <family val="2"/>
        <scheme val="minor"/>
      </rPr>
      <t xml:space="preserve">MD 2.0 </t>
    </r>
    <r>
      <rPr>
        <sz val="10"/>
        <rFont val="Aptos Narrow"/>
        <family val="2"/>
        <scheme val="minor"/>
      </rPr>
      <t xml:space="preserve"> H265+ IP67 HIKVISION </t>
    </r>
    <r>
      <rPr>
        <b/>
        <sz val="10"/>
        <color rgb="FFFF0000"/>
        <rFont val="Aptos Narrow"/>
        <family val="2"/>
        <scheme val="minor"/>
      </rPr>
      <t>AcuSense</t>
    </r>
  </si>
  <si>
    <t>CÁMARA DOMO 2 MP COLORVU SMART HYBRID LIGHT / LENTE FIJO 2.8/4 MM / IR‑BLANCO 30 M / DETECCIÓN HUM‑VEH / H.265+ / MICRÓFONO / SD 512 GB / IP67</t>
  </si>
  <si>
    <t>CÁMARA DOMO 2 MP SMART HYBRID LIGHT / LENTE FIJO 2.8/4 MM / IR‑BLANCO 30 M / DETECCIÓN HUM‑VEH / H.265+ / MICRÓFONO / SD 512 GB / IP67</t>
  </si>
  <si>
    <r>
      <t xml:space="preserve">CAMARA IP 2MP DOMO H265+ WDR </t>
    </r>
    <r>
      <rPr>
        <b/>
        <sz val="10"/>
        <color rgb="FFFF0000"/>
        <rFont val="Aptos Narrow"/>
        <family val="2"/>
        <scheme val="minor"/>
      </rPr>
      <t xml:space="preserve">MD 2.0 </t>
    </r>
    <r>
      <rPr>
        <sz val="10"/>
        <rFont val="Aptos Narrow"/>
        <family val="2"/>
        <scheme val="minor"/>
      </rPr>
      <t>2.8MM 40M IP67  IK10 HIKVISION</t>
    </r>
  </si>
  <si>
    <r>
      <t xml:space="preserve">CAMARA IP 2MP DOMO </t>
    </r>
    <r>
      <rPr>
        <b/>
        <sz val="10"/>
        <color rgb="FFFF0000"/>
        <rFont val="Aptos Narrow"/>
        <family val="2"/>
        <scheme val="minor"/>
      </rPr>
      <t>MD 2.0</t>
    </r>
    <r>
      <rPr>
        <sz val="10"/>
        <rFont val="Aptos Narrow"/>
        <family val="2"/>
        <scheme val="minor"/>
      </rPr>
      <t xml:space="preserve"> H265+ WDR 2.8MM 30M IP67 IK10 METAL Y PLASTICO HIKVISION</t>
    </r>
  </si>
  <si>
    <r>
      <t xml:space="preserve">CAMARA IP 2MP </t>
    </r>
    <r>
      <rPr>
        <b/>
        <sz val="10"/>
        <color rgb="FFFF0000"/>
        <rFont val="Aptos Narrow"/>
        <family val="2"/>
        <scheme val="minor"/>
      </rPr>
      <t>COLORVU MD 2.0</t>
    </r>
    <r>
      <rPr>
        <sz val="10"/>
        <rFont val="Aptos Narrow"/>
        <family val="2"/>
        <scheme val="minor"/>
      </rPr>
      <t xml:space="preserve"> TURRET H2.65+ IP67 WDR 2.8MM LUZ BLANCA 30M METAL Y PLASTICO HIKVISION</t>
    </r>
  </si>
  <si>
    <r>
      <t xml:space="preserve">CAMARA IP 2MP DOMO </t>
    </r>
    <r>
      <rPr>
        <b/>
        <sz val="10"/>
        <color rgb="FFFF0000"/>
        <rFont val="Aptos Narrow"/>
        <family val="2"/>
        <scheme val="minor"/>
      </rPr>
      <t xml:space="preserve">MD 2.0 </t>
    </r>
    <r>
      <rPr>
        <sz val="10"/>
        <rFont val="Aptos Narrow"/>
        <family val="2"/>
        <scheme val="minor"/>
      </rPr>
      <t>H265+ DWDR VF MOTORIZADA IP67 IK10 METAL HIKVISION</t>
    </r>
  </si>
  <si>
    <t>CÁMARA DOMO 4 MP COLORVU SMART HYBRID LIGHT / DETECCIÓN HUM‑VEH / LENTE FIJO 2.8/4 MM / H.265+ / MICRÓFONO / IP67</t>
  </si>
  <si>
    <t>CÁMARA DOMO 4 MP COLORVU SMART HYBRID LIGHT / DETECCIÓN HUM‑VEH / LENTE FIJO 2.8/4 MM / H.265+ / MICRÓFONO / SD‑512 GB / IP67</t>
  </si>
  <si>
    <t>DS-2CD1343G2-LIU(2.8mm)</t>
  </si>
  <si>
    <t>CAMARA IP 4MP DOMO MD 2.0 H265+ 2.8MM IR30M IP67 METAL Y PLASTICO HIKVISION AUDIO SOPORTAN MICRO SD HASTA 256 GB</t>
  </si>
  <si>
    <t>CÁMARA DOMO 4 MP SMART HYBRID LIGHT / DETECCIÓN HUM‑VEH / LENTE FIJO 2.8/4 MM / H.265+ / MICRÓFONO / SD‑512 GB / IP67</t>
  </si>
  <si>
    <t>CÁMARA BALA 4 MP VARIFOCAL 2.8‑12 MM / SMART HYBRID LIGHT / DETECCIÓN HUM‑VEH / H.265+ / MICRÓFONO / SD‑512 GB / IP67</t>
  </si>
  <si>
    <t>BALA 4 MP VARIFOCAL 2.8‑12 MM / SMART HYBRID LIGHT / DETECCIÓN HUM‑VEH / H.265+ / MICRÓFONO / SD‑512 GB / IP67</t>
  </si>
  <si>
    <t>TANDÉMVU PT 4 MP+4 MP / SMART HYBRID LIGHT / DETECCIÓN HUM‑VEH / POE/DC12 V / MIC+ALTAVOZ / SD‑512 GB / IP66</t>
  </si>
  <si>
    <t>PT MINI 4 MP / SMART HYBRID LIGHT / DETECCIÓN HUM‑VEH / POE/DC12 V / MIC+ALTAVOZ / SD‑512 GB / IP66</t>
  </si>
  <si>
    <t>DS-2CD1147G2H-LIU(2.8mm)(O-STD)</t>
  </si>
  <si>
    <r>
      <t xml:space="preserve">CÁMARA IP 4 MP </t>
    </r>
    <r>
      <rPr>
        <b/>
        <sz val="10"/>
        <color rgb="FFFF0000"/>
        <rFont val="Aptos Narrow"/>
        <family val="2"/>
        <scheme val="minor"/>
      </rPr>
      <t>COLORVU</t>
    </r>
    <r>
      <rPr>
        <sz val="10"/>
        <rFont val="Aptos Narrow"/>
        <family val="2"/>
        <scheme val="minor"/>
      </rPr>
      <t xml:space="preserve"> DOMO FIJO H265+ IP67 IK08 DWDR 2.8mm LUZ HÍBRIDA INTELIGENTE 30m MICRÓFONO INTEGRADO
HIKVISION</t>
    </r>
  </si>
  <si>
    <r>
      <t xml:space="preserve">CAMARA IP 4MP </t>
    </r>
    <r>
      <rPr>
        <b/>
        <sz val="10"/>
        <color rgb="FFFF0000"/>
        <rFont val="Aptos Narrow"/>
        <family val="2"/>
        <scheme val="minor"/>
      </rPr>
      <t>COLORVU</t>
    </r>
    <r>
      <rPr>
        <sz val="1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 xml:space="preserve">MD 2.0 </t>
    </r>
    <r>
      <rPr>
        <sz val="10"/>
        <rFont val="Aptos Narrow"/>
        <family val="2"/>
        <scheme val="minor"/>
      </rPr>
      <t>TURRET H2.65+ IP67 WDR 2.8MM LUZ BLANCA 30M METAL Y PLASTICO HIKVISION</t>
    </r>
  </si>
  <si>
    <t>DS-2CD2143G2-I(2.8mm)</t>
  </si>
  <si>
    <t>DOMO IP 4MP / LENTE 2.8MM / 30MTS IR EXIR / EXTERIOR IP67 / IK10 / WDR 120DB / VIDEOANALITICOS</t>
  </si>
  <si>
    <t>DS-2CD2143G2-IS(2.8mm)</t>
  </si>
  <si>
    <r>
      <t xml:space="preserve">CAMARA EXT MINI DOMO 4MP 2.8MM IK10 IR 30M 120DB H265+ 67 </t>
    </r>
    <r>
      <rPr>
        <b/>
        <sz val="10"/>
        <color rgb="FFFF0000"/>
        <rFont val="Aptos Narrow"/>
        <family val="2"/>
        <scheme val="minor"/>
      </rPr>
      <t>AcuSense</t>
    </r>
    <r>
      <rPr>
        <sz val="10"/>
        <rFont val="Aptos Narrow"/>
        <family val="2"/>
        <scheme val="minor"/>
      </rPr>
      <t xml:space="preserve"> HIKVISION</t>
    </r>
  </si>
  <si>
    <r>
      <t xml:space="preserve">CAMARA IP4MP MOTORIZADA F1.6 EXIR 60M WDR 120DB H265+ IP67 ENTRADA DE AUDIO Y ALARMA HIKVISION </t>
    </r>
    <r>
      <rPr>
        <b/>
        <sz val="10"/>
        <color rgb="FFFF0000"/>
        <rFont val="Aptos Narrow"/>
        <family val="2"/>
        <scheme val="minor"/>
      </rPr>
      <t>AcuSense</t>
    </r>
  </si>
  <si>
    <t>Cámara de red domo fija MD2.0 de 4 MP Resistente al agua y al polvo (IP67) y al vandalismo (IK10)  WDR de 120 dB Admite detección de personas y vehículos</t>
  </si>
  <si>
    <t xml:space="preserve">DS-2CD3643G2-LIZSU(2.7-13.5mm)(O-STD) </t>
  </si>
  <si>
    <t>CÁMARA BULLET IP DE 4 MP CON LENTE VARIFOCAL MOTORIZADO, TECNOLOGÍA ACUSENSE PARA CLASIFICACIÓN DE PERSONAS Y VEHÍCULOS, ILUMINACIÓN HÍBRIDA INTELIGENTE, AUDIO DE ALTA CALIDAD CON MICRÓFONOS DUALES, WDR REAL DE 120 DB, PROTECCIÓN IP67 E IK10, INTEGRACIÓN CON HIK-CONNECT</t>
  </si>
  <si>
    <t>CÁMARA BULLET IP VARIFOCAL DE 4 MP CON ACUSENSE, LUZ HÍBRIDA INTELIGENTE, MICRÓFONOS DUALES, WDR DE 120 DB, RESISTENTE A IMPACTOS E INTEMPERIE, COMPATIBLE CON HIK-CONNECT</t>
  </si>
  <si>
    <t xml:space="preserve">DS-2CD3743G2-LIZSU(2.7-13.5mm)(O-STD) </t>
  </si>
  <si>
    <t>CÁMARA DOMO IP VARIFOCAL DE 4 MP CON TECNOLOGÍA ACUSENSE PARA CLASIFICACIÓN DE PERSONAS Y VEHÍCULOS, ILUMINACIÓN HÍBRIDA INTELIGENTE, AUDIO DE ALTA FIDELIDAD CON MICRÓFONOS DUALES, WDR REAL DE 120 DB, COMPRESIÓN H.265+, PROTECCIÓN IP67 E IK10, INTEGRACIÓN CON HIK-CONNECT</t>
  </si>
  <si>
    <r>
      <t xml:space="preserve">CAMARA IP 4MP DOMO </t>
    </r>
    <r>
      <rPr>
        <b/>
        <sz val="10"/>
        <color rgb="FFFF0000"/>
        <rFont val="Aptos Narrow"/>
        <family val="2"/>
        <scheme val="minor"/>
      </rPr>
      <t>MD 2.0</t>
    </r>
    <r>
      <rPr>
        <sz val="10"/>
        <rFont val="Aptos Narrow"/>
        <family val="2"/>
        <scheme val="minor"/>
      </rPr>
      <t xml:space="preserve"> H265+ 2.8MM IR 30M IP67 METAL Y PLASTICO HIKVISION</t>
    </r>
  </si>
  <si>
    <t>DS-2CD2955FWD-I</t>
  </si>
  <si>
    <t>CÁMARA BALA 6 MP SMART HYBRID LIGHT / DETECCIÓN HUM‑VEH / H.265+ / MICRÓFONO / SD 256 GB / IP67</t>
  </si>
  <si>
    <t>CÁMARA TIPO TURRET IP / LENTE FIJO 2.8 mm / LENTE 6 MP / DETECCIÓN DE PERSONAS Y VEHÍCULOS / TECNOLOGÍA SMART HYBRID LIGHT CON ALCANCE DE 30 m / MICRÓFONO INTEGRADO / COMPRESIÓN H.265+ / RANURA SD HASTA 256 GB (OPCIONAL) / PROTECCIÓN IP67 / WDR / ALIMENTACIÓN 12 VDC Y PoE / MONITOREO MÓVIL VÍA HIK-CONNECT</t>
  </si>
  <si>
    <t>CÁMARA DOMO 6 MP SMART HYBRID LIGHT / DETECCIÓN HUM‑VEH / H.265+ / MICRÓFONO / SD 512 GB / IP67 / IK08</t>
  </si>
  <si>
    <t>CÁMARA BALA DUAL‑LENS 6 MP / H.265+ / DETECCIÓN HUM‑VEH / LENTE 2.8 MM PANORÁMICO 180° / IR‑BLANCO 30 M / AUDIO BIDIRECCIONAL / ALARMA ESTROBOSCOPIO / SD 512 GB / IP67</t>
  </si>
  <si>
    <t>PT OUTDOOR 6 MP SMART HYBRID LIGHT / PAN 345° TILT 80° / DETECCIÓN HUM‑AUTOTRACKING / H.265+ / MIC+ALTAVOZ / SD 512 GB / IP66</t>
  </si>
  <si>
    <r>
      <t xml:space="preserve">CAMARA DE RED DE DOMO FIJO CONTRA VANDALISMO ACUSENSE DE 8MP / WDR 120DB / IP67 </t>
    </r>
    <r>
      <rPr>
        <b/>
        <sz val="10"/>
        <color rgb="FFFF0000"/>
        <rFont val="Aptos Narrow"/>
        <family val="2"/>
        <scheme val="minor"/>
      </rPr>
      <t>AcuSense</t>
    </r>
  </si>
  <si>
    <r>
      <t xml:space="preserve">CAMARA IP 8MP MOTORIZADA F1.6 EXIR 60m IR WDR 120 db H265+IP67 ENTRADA DE AUDIO Y ALARMA HIKVISION </t>
    </r>
    <r>
      <rPr>
        <b/>
        <sz val="10"/>
        <color rgb="FFFF0000"/>
        <rFont val="Aptos Narrow"/>
        <family val="2"/>
        <scheme val="minor"/>
      </rPr>
      <t>AcuSense</t>
    </r>
  </si>
  <si>
    <t>DS-2CD2766G2H-IPTRZS2U/SL(2.8-12mm)O-STD</t>
  </si>
  <si>
    <r>
      <t xml:space="preserve">CÁMARA DOMO </t>
    </r>
    <r>
      <rPr>
        <b/>
        <sz val="10"/>
        <color rgb="FFFF0000"/>
        <rFont val="Aptos Narrow"/>
        <family val="2"/>
        <scheme val="minor"/>
      </rPr>
      <t>ACUSENSE</t>
    </r>
    <r>
      <rPr>
        <sz val="10"/>
        <rFont val="Aptos Narrow"/>
        <family val="2"/>
        <scheme val="minor"/>
      </rPr>
      <t xml:space="preserve"> 6 MP / </t>
    </r>
    <r>
      <rPr>
        <b/>
        <sz val="10"/>
        <color rgb="FFFF0000"/>
        <rFont val="Aptos Narrow"/>
        <family val="2"/>
        <scheme val="minor"/>
      </rPr>
      <t>PTRZ</t>
    </r>
    <r>
      <rPr>
        <sz val="10"/>
        <rFont val="Aptos Narrow"/>
        <family val="2"/>
        <scheme val="minor"/>
      </rPr>
      <t xml:space="preserve"> MOTORIZADO / DARKFIGHTER + WDR 120 dB / CLASIFICACIÓN HUMANO-VEHÍCULO / IP66 &amp; IK10 / AUDIO BIDIRECCIONAL / LUZ ESTROBOSCÓPICA + ALARMA / EXIR 40 m</t>
    </r>
  </si>
  <si>
    <r>
      <t xml:space="preserve">CAMARA EXT DOMO 8MP D/N VF 2.8-12mm IR40m 120 DB H265+METAL IP67 HIKVISION </t>
    </r>
    <r>
      <rPr>
        <b/>
        <sz val="10"/>
        <color rgb="FFFF0000"/>
        <rFont val="Aptos Narrow"/>
        <family val="2"/>
        <scheme val="minor"/>
      </rPr>
      <t>AcuSense</t>
    </r>
  </si>
  <si>
    <t>DS-2CFS04/4G(2.8mm)(O-STD)/LA</t>
  </si>
  <si>
    <t>CÁMARA SOLAR 4G 4 MP / GRABACIÓN 24/7 AOV / PANEL SOLAR 8 W + BATERÍA 9000 mAh / TRANSMISIÓN LTE / LUZ HÍBRIDA INTELIGENTE (30 m BLANCA + IR) / DETECCIÓN HUMANO-VEHÍCULO / AUDIO BIDIRECCIONAL / IP66 RESISTENTE AL AGUA Y POLVO</t>
  </si>
  <si>
    <t>DS-2CFSP4/4G(2.8mm)(O-STD)/LA</t>
  </si>
  <si>
    <t>CÁMARA SOLAR 4G PT 4 MP / GRABACIÓN 24/7 AOV / PANEL SOLAR 8 W + BATERÍA 9000 mAh / TRANSMISIÓN LTE / LUZ HÍBRIDA INTELIGENTE (30 m BLANCA + IR) / DETECCIÓN HUMANO-VEHÍCULO / AUDIO BIDIRECCIONAL / IP66 RESISTENTE AL AGUA Y POLVO / SMART TRACKING CON PT MOTORIZADO</t>
  </si>
  <si>
    <t xml:space="preserve">DS-2XC3146G0H-LIS(PA)(2.8mm)(O-STD) </t>
  </si>
  <si>
    <t>CÁMARA DOMO IP PTR DE 4 MP CON TECNOLOGÍA COLORVU PARA IMAGEN A COLOR 24/7, LUZ HÍBRIDA INTELIGENTE, AUDIO BIDIRECCIONAL CON MICRÓFONOS DUALES, WDR REAL DE 130 DB, PROTECCIÓN IP68 E IK10, CARCASA POLIMÉRICA ANTI-CORROSIÓN PARA ENTORNOS AGRESIVOS, COMPATIBLE CON HIK-CONNECT</t>
  </si>
  <si>
    <t xml:space="preserve">DS-2XC3746G0H-LIZS(PA)(2.7-13.5mm)O-STD </t>
  </si>
  <si>
    <t>CÁMARA DOMO IP PTRZ DE 4 MP CON TECNOLOGÍA COLORVU PARA IMAGEN A COLOR 24/7, LUZ HÍBRIDA INTELIGENTE, AUDIO BIDIRECCIONAL CON MICRÓFONOS DUALES, WDR REAL DE 130 DB, PROTECCIÓN IP68 E IK10, CARCASA POLIMÉRICA ANTI-CORROSIÓN PARA ENTORNOS INDUSTRIALES, COMPATIBLE CON HEOP Y HIK-CONNECT</t>
  </si>
  <si>
    <t xml:space="preserve">DS-2XC6646G0/P-IZHRS(2.8-12mm)(O-STD) </t>
  </si>
  <si>
    <t>CÁMARA BULLET IP VARIFOCAL DE 4 MP CON TECNOLOGÍA DARKFIGHTER PARA BAJA LUMINOSIDAD, WDR REAL DE 120 DB, RECONOCIMIENTO DE PLACAS, COMPRESIÓN H.265+, HASTA 5 STREAMS, CARCASA DE ACERO INOXIDABLE 316L ANTI-CORROSIÓN, PROTECCIÓN NEMA 4X E IP67, CON LIMPIADOR INTEGRADO PARA ENTORNOS POLVORIENTOS O HÚMEDOS</t>
  </si>
  <si>
    <t xml:space="preserve">DS-2XC6745G0-IZHS(2.8-12mm)(O-STD) </t>
  </si>
  <si>
    <t>CÁMARA DOMO IP VARIFOCAL DE 4 MP CON TECNOLOGÍA DARKFIGHTER PARA IMAGEN EN BAJA LUMINOSIDAD, WDR REAL DE 120 DB, LENTE MOTORIZADO DE 2.8–12 MM, CARCASA DE ACERO INOXIDABLE 316L ANTI-CORROSIÓN, RESISTENCIA IP68 E IK10, OPERACIÓN SEGURA EN TEMPERATURAS EXTREMAS HASTA -40 °C, COMPATIBLE CON AUDIO/ALARMAS Y ALMACENAMIENTO LOCAL</t>
  </si>
  <si>
    <t>DS-2XC3646G0H-LIZ(S)(U)(PA)</t>
  </si>
  <si>
    <t>ÁMARA BALA 4 MP ANTI‑CORROSIÓN / VARIFOCAL 2.7–13.5 MM / COLORVU SMART HYBRID LIGHT / WDR 130 DB / DOBLE MICRÓFONO / HEOP / IP68/IK10</t>
  </si>
  <si>
    <t>DS-2XC3T46G0H-LI(S)(U)(PA)</t>
  </si>
  <si>
    <t>CÁMARA BALA FIJA 4 MP ANTI‑CORROSIÓN / COLORVU HYBRID LIGHT / WDR 130 DB / MICRÓFONO (SU) / HEOP / IP68/IK10</t>
  </si>
  <si>
    <t>DS-2XS6K01-C36S80</t>
  </si>
  <si>
    <t>KIT SOLAR / PANEL 80 W + BATERÍA 360 Wh LITIO / PROTECCIÓN IP66 / RS‑485 / 2 SALIDAS 9‑12.6 V DC / CICLOS &gt;500</t>
  </si>
  <si>
    <t>ANDEMVU PTZ 4 MP+4 MP / ZOOM 4× ÓPTICO‑16× DIGITAL / HYBRID LIGHT / DETECCIÓN HUM‑VEH / POE+/12 VDC / IP66</t>
  </si>
  <si>
    <t>DS-2DE2A404IWG1-E</t>
  </si>
  <si>
    <r>
      <t xml:space="preserve">CAMARA DOMO PTZ 2MP 25XZOOM H.265+ IR100m IP66 
ADC12 </t>
    </r>
    <r>
      <rPr>
        <b/>
        <sz val="10"/>
        <color rgb="FFFF0000"/>
        <rFont val="Aptos Narrow"/>
        <family val="2"/>
        <scheme val="minor"/>
      </rPr>
      <t>AcuSense</t>
    </r>
  </si>
  <si>
    <t xml:space="preserve">DS-2DE4A425IWG-E(O-STD) </t>
  </si>
  <si>
    <r>
      <t xml:space="preserve">CÁMARA PTZ IP SPEED DOME DE 4 MP CON TECNOLOGÍA DARKFIGHTER PARA RENDIMIENTO EN BAJA LUMINOSIDAD, ZOOM ÓPTICO DE 25X, WDR REAL DE 120 DB, RANGO IR DE HASTA 50 M, CLASIFICACIÓN DE PERSONAS Y VEHÍCULOS CON </t>
    </r>
    <r>
      <rPr>
        <sz val="10"/>
        <color rgb="FFFF0000"/>
        <rFont val="Aptos Narrow"/>
        <family val="2"/>
        <scheme val="minor"/>
      </rPr>
      <t>ACUSENSE</t>
    </r>
    <r>
      <rPr>
        <sz val="10"/>
        <rFont val="Aptos Narrow"/>
        <family val="2"/>
        <scheme val="minor"/>
      </rPr>
      <t>, PROTECCIÓN IP66 PARA USO EN EXTERIORES</t>
    </r>
  </si>
  <si>
    <r>
      <t xml:space="preserve">CAMARA DOMO PTZ 4MP DARKF 25XZOOM H265+ HASTA 5 ROSTROS IR100m EXIR POE IP66 ADC12 </t>
    </r>
    <r>
      <rPr>
        <b/>
        <sz val="10"/>
        <color rgb="FFFF0000"/>
        <rFont val="Aptos Narrow"/>
        <family val="2"/>
        <scheme val="minor"/>
      </rPr>
      <t>AcuSense</t>
    </r>
  </si>
  <si>
    <r>
      <t xml:space="preserve">CAMARA DOMO PTZ 4MP DARKF 25XZOOM H265+ IR150m IP66 </t>
    </r>
    <r>
      <rPr>
        <b/>
        <sz val="10"/>
        <color rgb="FFFF0000"/>
        <rFont val="Aptos Narrow"/>
        <family val="2"/>
        <scheme val="minor"/>
      </rPr>
      <t>AcuSense</t>
    </r>
  </si>
  <si>
    <t>DS-2DE2C400IWG-K/4G/C05S10</t>
  </si>
  <si>
    <t>PTZ SOLAR 4 MP / 4G LTE / PIR+RADAR / LENTE 2.8/4 MM / IR 30 M / AUDIO BIDIRECCIONAL + ALARMA / SD 512 GB / IP66</t>
  </si>
  <si>
    <t>NVR 8 CANALES ACUSENSE 4K / H.265+ / SALIDAS HDMI 4K+VGA / ANCHO 80 Mbps / 2 SATA 20 TB / ANALÍTICA HUM‑VEH</t>
  </si>
  <si>
    <t>NVR 8 CANALES ACUSENSE 4K POE / H.265+ / SALIDAS HDMI 4K+VGA / ANCHO 80 Mbps / 2 SATA 20 TB / AUDIO BIDIRECCIONAL / ANALÍTICA HUM‑VEH</t>
  </si>
  <si>
    <t>NVR 16 CANALES ACUSENSE 4K / H.265+ / SALIDAS HDMI 4K+VGA / ANCHO … / 2 SATA HASTA 20 TB / ANALÍTICA HUM‑VEH</t>
  </si>
  <si>
    <t>NVR 16 CANALES ACUSENSE 4K POE / H.265+ / SALIDAS HDMI 4K+VGA / 2 SATA 20 TB / ANALÍTICA HUM‑VEH</t>
  </si>
  <si>
    <t>DS-7616NXI-K2/Vpro</t>
  </si>
  <si>
    <t>NVR 16 CANALES ACUSEEK VPRO / 4K / H.265+ / PERÍMETRO INTELIGENTE / 160 Mbps / 2 SATA / AUDIO IP / ANALÍTICA HUM‑VEH</t>
  </si>
  <si>
    <t>DS-7616NXI-K2/16P/Vpro</t>
  </si>
  <si>
    <t>NVR 16 CANALES ACUSEEK VPRO / 4K / H.265+ / 16 PoE / PERÍMETRO INTELIGENTE / 160 Mbps / 2 SATA / AUDIO IP / ANALÍTICA HUM‑VEH</t>
  </si>
  <si>
    <t>DS-7732NXI-K4(D)</t>
  </si>
  <si>
    <t>NVR 32 CANALES ACUSENSE 4K / H.265+ / SALIDAS HDMI 4K+VGA / 4 SATA HASTA 20 TB/UD / ANALÍTICA HUM‑VEH</t>
  </si>
  <si>
    <t>DS-7732NXI-K4/16P(D)</t>
  </si>
  <si>
    <t>NVR 32 CANALES ACUSENSE 4K POE / H.265+ / SALIDAS HDMI 4K+VGA / 4 SATA / 16 PUERTOS PoE / ANALÍTICA HUM‑VEH</t>
  </si>
  <si>
    <t>NVR 32 CANALES ACUSEEK VPRO / 4K / H.265+ / PERÍMETRO INTELIGENTE / 256 Mbps / 4 SATA / AUDIO IP / ANALÍTICA HUM‑VEH</t>
  </si>
  <si>
    <t>DS-7732NXI-K4/16P/Vpro</t>
  </si>
  <si>
    <t>NVR 32 CANALES ACUSEEK VPRO / 4K / H.265+ / 16 PoE / PERÍMETRO INTELIGENTE / 256 Mbps / 4 SATA / AUDIO IP / ANALÍTICA HUM‑VEH</t>
  </si>
  <si>
    <t>GRABADOR NVR 8 CANALES / COMPRESIÓN H.265+/H.265/H.264+/H.264 / ENTRADA MÁXIMA 60 Mbps / SALIDA MÁXIMA 60 Mbps / DECODIFICACIÓN HASTA 4 CANALES 1080p / SALIDA HDMI Y VGA SIMULTÁNEA / 1 INTERFAZ SATA / CHASIS MINI 1U PLÁSTICO / PESO NETO 425 g</t>
  </si>
  <si>
    <t>GRABADOR NVR 4 CANALES / COMPRESIÓN H.265+/H.265/H.264+/H.264 / DECODIFICACIÓN HASTA 1 CANAL 8 MP, 3 CANALES 4 MP O 6 CANALES 1080p / ENTRADA MÁXIMA 40 Mbps / 4 PUERTOS PoE INDEPENDIENTES / 1 INTERFAZ SATA / CHASIS 1U / SALIDA 4K /PESO NETO 1170 g</t>
  </si>
  <si>
    <t>GRABADOR NVR 8 CANALES / COMPRESIÓN H.265+/H.265/H.264+/H.264 / DECODIFICACIÓN HASTA 1 CANAL 8 MP, 3 CANALES 4 MP O 6 CANALES 1080p / ENTRADA MÁXIMA 80 Mbps / 2 INTERFACES SATA / CHASIS 1U / SALIDA 4K /  PESO NETO 1590 g</t>
  </si>
  <si>
    <t>DS-7608NXI-I2/8P/S(C)</t>
  </si>
  <si>
    <r>
      <t xml:space="preserve">NVR 8CH POE IP 8MP 80MBPS H265+ 30FPS HDMI 4K HIKVISION </t>
    </r>
    <r>
      <rPr>
        <b/>
        <sz val="10"/>
        <color rgb="FFFF0000"/>
        <rFont val="Aptos Narrow"/>
        <family val="2"/>
        <scheme val="minor"/>
      </rPr>
      <t>AcuSense</t>
    </r>
  </si>
  <si>
    <t>GRABADOR NVR 16 CANALES / COMPRESIÓN H.265+/H.265/H.264+/H.264 / DECODIFICACIÓN HASTA 1 CANAL 8 MP, 3 CANALES 4 MP O 6 CANALES 1080p / ENTRADA MÁXIMA 160 Mbps / 2 INTERFACES SATA / CHASIS 1U / SALIDA 4K /  PESO NETO 1570 g</t>
  </si>
  <si>
    <r>
      <t xml:space="preserve">GRABADOR NVR 16 CANALES / 16 PUERTOS PoE INDEPENDIENTES / COMPRESIÓN H.265+/H.265/H.264+/H.264 / DECODIFICACIÓN HASTA 1 CANAL 8 MP O 5 CANALES 1080p / ENTRADA MÁXIMA 160 Mbps / 2 INTERFACES SATA / CHASIS 1U / SALIDA 4K /PESO NETO 2 425 g </t>
    </r>
    <r>
      <rPr>
        <sz val="10"/>
        <color rgb="FFFF0000"/>
        <rFont val="Aptos Narrow"/>
        <family val="2"/>
        <scheme val="minor"/>
      </rPr>
      <t>AcuSense</t>
    </r>
  </si>
  <si>
    <r>
      <t xml:space="preserve">NVR ACUSENSE 4K DE LA SERIE 1.5UK DE 32 CANALES / H265+ / HASTA 2 CANALES 12MP / HASTA 256MBPS </t>
    </r>
    <r>
      <rPr>
        <b/>
        <sz val="10"/>
        <color rgb="FFFF0000"/>
        <rFont val="Aptos Narrow"/>
        <family val="2"/>
        <scheme val="minor"/>
      </rPr>
      <t>AcuSense</t>
    </r>
  </si>
  <si>
    <r>
      <t xml:space="preserve">NVR 16CH 1.5U HD POE 160MBPS 10TB SOPORTA 4K HIKVISION </t>
    </r>
    <r>
      <rPr>
        <b/>
        <sz val="10"/>
        <color rgb="FFFF0000"/>
        <rFont val="Aptos Narrow"/>
        <family val="2"/>
        <scheme val="minor"/>
      </rPr>
      <t>AcuSense</t>
    </r>
  </si>
  <si>
    <r>
      <t xml:space="preserve">NVR 12MP / 32 CANALES IP / ACUSENSE / RECONOCIMIENTO FACIAL / HDMI EN 4K / ENTRADA Y SALIDA DE ALARMAS </t>
    </r>
    <r>
      <rPr>
        <b/>
        <sz val="10"/>
        <color rgb="FFFF0000"/>
        <rFont val="Aptos Narrow"/>
        <family val="2"/>
        <scheme val="minor"/>
      </rPr>
      <t>AcuSense</t>
    </r>
  </si>
  <si>
    <r>
      <t xml:space="preserve">NVR SERIE I/VPro CON ACUSEEK / 8 CANALES IP / 8 CANALES ACUSEEK &amp; ACUSEARCH / 8 CANALES DE RECONOCIMIENTO FACIAL / DECODIFICACIÓN HASTA 32 CANALES EN 1080p </t>
    </r>
    <r>
      <rPr>
        <sz val="10"/>
        <color rgb="FFFF0000"/>
        <rFont val="Aptos Narrow"/>
        <family val="2"/>
        <scheme val="minor"/>
      </rPr>
      <t xml:space="preserve">PARA REFERENCIAS DS-7632 </t>
    </r>
    <r>
      <rPr>
        <sz val="10"/>
        <rFont val="Aptos Narrow"/>
        <family val="2"/>
        <scheme val="minor"/>
      </rPr>
      <t>/ SOPORTE H.265+/H.265/H.264+/H.264</t>
    </r>
  </si>
  <si>
    <t>DS-7616NXI-I2/16P/Vpro</t>
  </si>
  <si>
    <r>
      <t xml:space="preserve">NVR SERIE I/VPro CON ACUSEEK / 16 CANALES IP / 16 CANALES ACUSEEK &amp; ACUSEARCH / 8 CANALES DE RECONOCIMIENTO FACIAL / DECODIFICACIÓN HASTA 32 CANALES EN 1080p </t>
    </r>
    <r>
      <rPr>
        <sz val="10"/>
        <color rgb="FFFF0000"/>
        <rFont val="Aptos Narrow"/>
        <family val="2"/>
        <scheme val="minor"/>
      </rPr>
      <t xml:space="preserve">PARA REFERENCIAS DS-7632 </t>
    </r>
    <r>
      <rPr>
        <sz val="10"/>
        <rFont val="Aptos Narrow"/>
        <family val="2"/>
        <scheme val="minor"/>
      </rPr>
      <t>/ SOPORTE H.265+/H.265/H.264+/H.264</t>
    </r>
  </si>
  <si>
    <t>DS-7716NXI-I4/16P/Vpro</t>
  </si>
  <si>
    <t>NVR SERIE I/VPro CON ACUSEEK / 16 CANALES IP / 16 CANALES ACUSEEK &amp; ACUSEARCH / 8 CANALES DE RECONOCIMIENTO FACIAL / DECODIFICACIÓN HASTA 32 CANALES EN 1080p / SOPORTE H.265+/H.265/H.264+/H.264</t>
  </si>
  <si>
    <t>DS-7732NXI-I4/Vpro</t>
  </si>
  <si>
    <t>NVR SERIE I/VPro CON ACUSEEK / 32 CANALES IP / 32 CANALES ACUSEEK &amp; ACUSEARCH / 8 CANALES DE RECONOCIMIENTO FACIAL / DECODIFICACIÓN HASTA 32 CANALES EN 1080p / SOPORTE H.265+/H.265/H.264+/H.264</t>
  </si>
  <si>
    <t>iDS-TCD403-BI/0832</t>
  </si>
  <si>
    <t>CÁMARA DE FLUJO VEHICULAR 4 MP / SENSOR CMOS 1/1.8″ / LENTE MOTORIZADO 8–32 mm / ILUMINACIÓN IR 850 nm / COBERTURA BIDIRECCIONAL EN HASTA 6 CARRILES / DETECCIÓN DE MÚLTIPLES OBJETIVOS: CARRIL, VELOCIDAD, DIRECCIÓN / RECOLECCIÓN DE DATOS DE TRÁNSITO: FLUJO, ESTADO, COLA, TIEMPOS Y OCUPACIÓN / SALIDA DE EVALUACIÓN DE TRÁFICO: LONGITUD DE COLA / COLECTORES VIRTUALES CONFIGURABLES POR CARRIL / RESISTENCIA IP67 E IK10 / COMPATIBLE CON SDK, ISAPI Y ONVIF</t>
  </si>
  <si>
    <t>iDS-TCM403-BI(G)/Y/POE/0832</t>
  </si>
  <si>
    <t>CÁMARA INTELIGENTE DE MONITOREO VEHICULAR 4 MP / SENSOR CMOS 1/1.8″ / TECNOLOGÍA DARKFIGHTER ULTRA BAJA ILUMINACIÓN / LENTE MOTORIZADO / ILUMINACIÓN IR 850 nm O BLANCA / RECONOCIMIENTO DE PLACAS (ANPR) Y CLASIFICACIÓN DE VEHÍCULOS / DETECCIÓN DE MOTOCICLETAS, COLOR, DIRECCIÓN, FLUJO, VEHÍCULO DETENIDO, CONGESTIÓN, EXCESO Y BAJA VELOCIDAD / WDR 140 dB / COMPRESIÓN H.265+ / AUDIO 1IN/1OUT, ALARMA 1IN/1OUT, 2 RELÉS, WIEGAND, RS485 / PROTECCIÓN IP67 E IK10</t>
  </si>
  <si>
    <t xml:space="preserve">DS-2DF5232X-AEL(T5) </t>
  </si>
  <si>
    <r>
      <t xml:space="preserve">CÁMARA </t>
    </r>
    <r>
      <rPr>
        <b/>
        <sz val="10"/>
        <color rgb="FFFF0000"/>
        <rFont val="Aptos Narrow"/>
        <family val="2"/>
        <scheme val="minor"/>
      </rPr>
      <t xml:space="preserve">PTZ </t>
    </r>
    <r>
      <rPr>
        <sz val="10"/>
        <rFont val="Aptos Narrow"/>
        <family val="2"/>
        <scheme val="minor"/>
      </rPr>
      <t>IP SPEED DOME DE 2 MP CON TECNOLOGÍA DARKFIGHTER PARA RENDIMIENTO EN BAJA LUMINOSIDAD, ZOOM ÓPTICO DE 32X Y DIGITAL DE 16X, WDR REAL DE 120 DB, IMAGEN NÍTIDA CON 3D DNR, PROTECCIÓN IP66 E IK10 PARA USO EN EXTERIORES</t>
    </r>
  </si>
  <si>
    <t xml:space="preserve">DS-2DF7C445IXR-AEL(T5) </t>
  </si>
  <si>
    <r>
      <t xml:space="preserve">CÁMARA </t>
    </r>
    <r>
      <rPr>
        <b/>
        <sz val="10"/>
        <color rgb="FFFF0000"/>
        <rFont val="Aptos Narrow"/>
        <family val="2"/>
        <scheme val="minor"/>
      </rPr>
      <t>PTZ</t>
    </r>
    <r>
      <rPr>
        <sz val="10"/>
        <rFont val="Aptos Narrow"/>
        <family val="2"/>
        <scheme val="minor"/>
      </rPr>
      <t xml:space="preserve"> IP SPEED DOME DE 4 MP CON TECNOLOGÍA DARKFIGHTER PARA IMAGEN EN BAJA LUMINOSIDAD, ZOOM ÓPTICO DE 45X Y DIGITAL DE 16X, WDR REAL DE 120 DB, SMART IR CON ALCANCE DE HASTA 300 M, ENFOQUE RÁPIDO, PROTECCIÓN IP66 PARA ENTORNOS EXTERIORES EXIGENTES</t>
    </r>
  </si>
  <si>
    <r>
      <t xml:space="preserve">DOMO </t>
    </r>
    <r>
      <rPr>
        <b/>
        <sz val="10"/>
        <color rgb="FFFF0000"/>
        <rFont val="Aptos Narrow"/>
        <family val="2"/>
        <scheme val="minor"/>
      </rPr>
      <t xml:space="preserve">PTZ </t>
    </r>
    <r>
      <rPr>
        <sz val="10"/>
        <rFont val="Aptos Narrow"/>
        <family val="2"/>
        <scheme val="minor"/>
      </rPr>
      <t>IP 4MP / 42X ZOOM / 500MTS IR / AUTOSEGUIMIENTO 3.0 / WDR 140 DB / EXTERIOR IP67 / MICRO SD</t>
    </r>
  </si>
  <si>
    <t xml:space="preserve">DS-2DF8A442IXS-AEL(COLOMBIA)(T5) </t>
  </si>
  <si>
    <r>
      <t xml:space="preserve">CÁMARA </t>
    </r>
    <r>
      <rPr>
        <b/>
        <sz val="10"/>
        <color rgb="FFFF0000"/>
        <rFont val="Aptos Narrow"/>
        <family val="2"/>
        <scheme val="minor"/>
      </rPr>
      <t>PTZ</t>
    </r>
    <r>
      <rPr>
        <sz val="10"/>
        <rFont val="Aptos Narrow"/>
        <family val="2"/>
        <scheme val="minor"/>
      </rPr>
      <t xml:space="preserve"> IP SPEED DOME DE 4 MP CON TECNOLOGÍA DARKFIGHTER PARA IMAGEN EN BAJA LUMINOSIDAD, ZOOM ÓPTICO DE 42X Y DIGITAL DE 16X, VISIÓN NOCTURNA IR DE HASTA 500 M, CAPTURA FACIAL Y DETECCIÓN DE VEHÍCULOS, PROTECCIÓN IP67 E IK10 PARA ENTORNOS EXTERIORES DE ALTO RIESGO</t>
    </r>
  </si>
  <si>
    <t xml:space="preserve">DS-2DP8A440IXG-LF/832(F0)(O-STD)(B) </t>
  </si>
  <si>
    <t>CÁMARA IP PANOVU PTZ DE 32 MP CON COBERTURA PANORÁMICA DE 360°, TECNOLOGÍA DARKFIGHTER PARA BAJA LUMINOSIDAD, ZOOM ÓPTICO DE 40X Y DIGITAL DE 16X, VISIÓN NOCTURNA IR DE HASTA 250 M, SEGUIMIENTO AUTOMÁTICO Y MULTI-OBJETIVO, INTERFACES DE AUDIO Y ALARMA, PROTECCIÓN IP67 E IK10</t>
  </si>
  <si>
    <t>DS-6908UDI(C)(STD)</t>
  </si>
  <si>
    <t>DECODIFICADOR 4K / ENTRADAS HDMI 4K / SALIDAS 8 HDMI + 2 BNC / CAPACIDAD HASTA 128 CANALES</t>
  </si>
  <si>
    <t>DS-6916UDI(B)</t>
  </si>
  <si>
    <t>DECODIFICADOR DE VIDEO DE 16 SALIDAS HDMI 4K / SOPORTA 128 CANALES DE VIDEOS SIMULTANEOS / VIDEOWALL</t>
  </si>
  <si>
    <t>DS-6916UDI(C)(STD)</t>
  </si>
  <si>
    <t>DECODIFICADOR 4K / ENTRADAS HDMI 4K / SALIDAS 16 HDMI + 4 BNC / CAPACIDAD HASTA 256 CANALES</t>
  </si>
  <si>
    <r>
      <t xml:space="preserve">NVR DEEPINMIND 12MP / RECONOCIMIENTO FACIAL / 16 CANALES IP / FILTRO DE FALSAS ALARMAS </t>
    </r>
    <r>
      <rPr>
        <b/>
        <sz val="10"/>
        <color rgb="FFFF0000"/>
        <rFont val="Aptos Narrow"/>
        <family val="2"/>
        <scheme val="minor"/>
      </rPr>
      <t>AcuSense</t>
    </r>
  </si>
  <si>
    <t xml:space="preserve">iDS-7716NXI-M4/X(STD) </t>
  </si>
  <si>
    <t>NVR DEEPINMIND 16CH 1.5U, DECODIFICACIÓN HASTA 8K, ANALÍTICAS DE DEEP LEARNING (PERÍMETRO, FACIAL, VIDEO), SOPORTE 4 HDD DE 14 TB</t>
  </si>
  <si>
    <t xml:space="preserve">iDS-9632NXI-M8/X(STD) </t>
  </si>
  <si>
    <t>NVR DEEPINMIND 32CH 2U 8K, ANALÍTICAS DEEP LEARNING (PERÍMETRO, FACIAL, VIDEO), SOPORTE 8 HDD DE 16 TB, RAID 0/1/5/6/10</t>
  </si>
  <si>
    <t xml:space="preserve">iDS-9664NXI-M16/X(STD) </t>
  </si>
  <si>
    <t>NVR DEEPINMIND 64CH 3U 8K, ANALÍTICAS DEEP LEARNING (PERÍMETRO, FACIAL, VIDEO), SOPORTE 16 HDD DE 16 TB, RAID 0/1/5/6/10</t>
  </si>
  <si>
    <t>DS-2CD6825G0/C-I(2mm)(B)</t>
  </si>
  <si>
    <t xml:space="preserve">CAMARA IP DUAL 2MP / LENTE 2MM / CONTEO DE PERSONAS / EXTERIOR IP67 / 6MTS IR </t>
  </si>
  <si>
    <t xml:space="preserve">DVR DE 32 CANALES 1.5U 8K / HASTA 320 MBPS DE ANCHO DE BANDA </t>
  </si>
  <si>
    <t>DVR DE 32 CANALES 1.5U 16 POE 8K / H165+ / HASTA 320 MBPS</t>
  </si>
  <si>
    <t xml:space="preserve">DS-TCG405-E(S)(12V/Poe)(O-STD) </t>
  </si>
  <si>
    <t>CÁMARA ANPR IP DE 4 MP CON LENTE VARIFOCAL MOTORIZADO, ILUMINACIÓN LED INTEGRADA, RECONOCIMIENTO DE PLACAS Y ATRIBUTOS DE VEHÍCULO, SOPORTE PARA LISTAS DE HASTA 100,000 REGISTROS, CONTROL DE BARRERAS VÍA RELÉ Y FUNCIONAMIENTO OFFLINE CON POE</t>
  </si>
  <si>
    <t>DS-A71024R</t>
  </si>
  <si>
    <t>SERVIDOR DE ALMACENAMIENTO EN RED / SOPORTA 24 DISCOS DUOS / RAID / ISCSI / GRABA 320 CANALES IP</t>
  </si>
  <si>
    <t xml:space="preserve">DS-A80624SI(STD) </t>
  </si>
  <si>
    <t>UNIDAD DE ALMACENAMIENTO CVR DE 24 BAHÍAS CON CONTROLADOR ÚNICO, TECNOLOGÍA VRAID Y TRANSMISIÓN DIRECTA DE VIDEO, DISEÑO MODULAR SIN CABLES, RESPALDO PROGRAMADO DE GRABACIONES, COMPATIBLE CON RTSP Y ONVIF, SOPORTE PARA MÚLTIPLES MODOS DE GRABACIÓN, INTERFAZ B/S AMIGABLE, TECNOLOGÍA ANR PARA INTEGRIDAD DE DATOS, FUENTE DE PODER REDUNDANTE</t>
  </si>
  <si>
    <t>DS-2CD6365G1-IVS</t>
  </si>
  <si>
    <t>CÁMARA IP PANORÁMICA DE 360°, LENTE OJO DE PEZ DE 6 MP, VISIÓN NOCTURNA IR Y ANÁLISIS INTELIGENTE.</t>
  </si>
  <si>
    <t xml:space="preserve">DS-2CD63C5G1-IVS(1.29mm)(O-STD) </t>
  </si>
  <si>
    <t>CÁMARA IP PANORÁMICA FISHEYE DE 12 MP CON TECNOLOGÍA DEEPINVIEW, MAPA DE CALOR BASADO EN DEEP LEARNING, MÚLTIPLES MODOS DE DEWARPING, AUDIO BIDIRECCIONAL CON MICRÓFONO Y ALTAVOZ INTEGRADOS, VISIÓN NOCTURNA IR DE 15 M, LENTE PANOMORPH, PROTECCIÓN IP67 E IK10</t>
  </si>
  <si>
    <t>DS-2PT3326IZ-DE3(2.8-12mm)(2mm)(O-STD)/B</t>
  </si>
  <si>
    <t>CÁMARA PANO-VU MINI PANORÁMICA + PTZ / 3 LENTES PANORÁMICAS + 1 PTZ 4× / 3×1080p + PTZ 1080p / IR 10‑15 M / H.265 / MICRO‑SD 256 GB / AUDIO I/O / POE+, 12 VDC</t>
  </si>
  <si>
    <t>DS-2SR8C432I5XG-LFW/SP/R12/18</t>
  </si>
  <si>
    <t>CÁMARA PANORÁMICA+RADAR TODO‑EN‑UNO / 3 SENSORES CMOS 2 MP / ZOOM DETALLE 32× / RADAR 200 M / IR 200 M / IP67</t>
  </si>
  <si>
    <t>DS-2SR8C440I5XG-LFW/SP/R15/18</t>
  </si>
  <si>
    <t>CÁMARA PANORÁMICA+RADAR TODO‑EN‑UNO / 3 SENSORES 4 MP (detalle 6‑240 mm zoom 40×) / RADAR 500 M PEATÓN / IR PANORAMA 200 M, DETALLE 500 M / PAN 270° DETALLE 360° / IP67</t>
  </si>
  <si>
    <t>iVMS-9000NI-S16R/C1000</t>
  </si>
  <si>
    <t>VMS HARDWARE+SOFTWARE TODO‑EN‑UNO / HIKCENTRAL PREINSTALADO / LICENCIAS 1000 CAMARAS VIDEO + 16 CONTROL ACCESO + 16 ALARMAS / ALMACENA 128 CH / WINDOWS 10 IoT</t>
  </si>
  <si>
    <t>BULLET 4 MP ACUSENSE / SMART HYBRID LIGHT IR+BLANCO 40 M / AUDIO DOBLE MICRÓFONO / WDR 120 dB / IP67</t>
  </si>
  <si>
    <t>DS-2CD2047G3-LI2UY/S(L)(RB)</t>
  </si>
  <si>
    <t>BULLET 4 MP ACUSENSE COLORVU / 40 M IR+BLANCO / DOBLE MIC / PAN360° / WDR POP / IP67</t>
  </si>
  <si>
    <t>BULLET 8 MP ACUSENSE / SMART HYBRID LIGHT IR+BLANCO 40 M / AUDIO DOBLE MICRÓFONO / WDR 120 dB / IP67</t>
  </si>
  <si>
    <t>DOMO 4 MP ACUSENSE / SMART HYBRID LIGHT IR+BLANCO 30 M / AUDIO DOBLE MICRÓFONO / WDR 120 dB / IP67, IK10</t>
  </si>
  <si>
    <t>DOMO FIJO 8 MP ACUSENSE / SMART HYBRID LIGHT IR+BLANCO 30 M / DOBLE MICRÓFONO / WDR 120 dB / IP67/IK10</t>
  </si>
  <si>
    <t>DS-2CD2347G3-LI(2U)Y</t>
  </si>
  <si>
    <t>DOMO 8 MP ACUSENSE / SMART HYBRID LIGHT IR+BLANCO 30 M / DOBLE MICRÓFONO / WDR 120 dB / IP67/IK10</t>
  </si>
  <si>
    <t>DS-2CD2626G2T-IZS</t>
  </si>
  <si>
    <t>BULLET 2 MP ACUSENSE DARKFIGHTER / LENTE MOTORIZADO 2.8‑12 MM / WDR 120 dB / AUDIO I/O / IP67/IK10</t>
  </si>
  <si>
    <t>DS-2CD2646G2T-IZS(2.8-12mm)</t>
  </si>
  <si>
    <t>BULLET 4 MP ACUSENSE DARKFIGHTER / LENTE MOTORIZADO 2.8‑12 MM / WDR 120 dB / AUDIO I/O / IP67/IK10</t>
  </si>
  <si>
    <t>DS-2CD2683G2-LIZS2U</t>
  </si>
  <si>
    <t>BULLET 8 MP ACUSENSE SMART HYBRID LIGHT 60 M / LENTE MOTORIZADO ZOOM / DOBLE MICRÓFONO / WDR 120 dB / IP67/IK10</t>
  </si>
  <si>
    <t>DOMO FISHEYE 5 MP / VISTA 180° / WDR 120 dB / AUDIO I/O / H.265+ / MICRO SD / IP67</t>
  </si>
  <si>
    <t>DS-2CD2T46G2P-ISU/SL</t>
  </si>
  <si>
    <t>BULLET PANORÁMICA 4 MP ACUSENSE / DARKFIGHTER / WDR 120 dB / STROBE + ALARMA AUDIO / AUDIO BIDIRECIONAL / IP67</t>
  </si>
  <si>
    <t>DS-2CD3046G2-IS</t>
  </si>
  <si>
    <t>BULLET 4 MP ACUSENSE / DARKFIGHTER IR 40 M / WDR 140 dB / H.265+ / DOBLE MIC / IP67 / HEOP</t>
  </si>
  <si>
    <t>DS-2CD3046G2-IU/SL</t>
  </si>
  <si>
    <t>BULLET 4 MP ACUSENSE / DARKFIGHTER IR 40 M / WDR 140 dB / H.265+ / MICRÓFONO / LUZ ESTROBOSCÓPICA Y AUDIO DISUASIVO / IP67</t>
  </si>
  <si>
    <t>DS-2CD3146G2-IS(U)</t>
  </si>
  <si>
    <t>DOMO 4 MP ACUSENSE / DARKFIGHTER IR 30 M / WDR 120 dB / H.265+ / MICRÓFONO INTEGRADO / IP67 / IK10</t>
  </si>
  <si>
    <t>DS-2CD3646G2T-IZS(Y)</t>
  </si>
  <si>
    <t>BULLET 4 MP ACUSENSE DARKFIGHTER / ZOOM MOTORIZADO 2.7–13.5 MM / IR 60 M / WDR 120 DB / DOBLE MICRÓFONO / H.265+ / IP67 / IK10</t>
  </si>
  <si>
    <t>DS-2CD3746G2T-IZS(Y)</t>
  </si>
  <si>
    <t>DOMO VARIFOCAL 4 MP ACUSENSE / DARKFIGHTER / HEOP / WDR 120 DB / H.265+ / MOTOR ZOOM / IP67/IK10</t>
  </si>
  <si>
    <t>DS-2CD3766G2T-IZS(Y)</t>
  </si>
  <si>
    <t>DOMO VARIFOCAL 6 MP ACUSENSE / DARKFIGHTER / HEOP / WDR 120 DB / H.265+ / MOTOR ZOOM / IP67/IK10</t>
  </si>
  <si>
    <t>DS-2CD3D46G2T-IZMSU</t>
  </si>
  <si>
    <t>DOMO 4 MP DARKFIGHTER VARIFOCAL 2.8‑12 MM / WDR 140 DB / HEOP / H.265+ / AUDIO I/O / IP67/IK10</t>
  </si>
  <si>
    <t>DS-2CD2D25G1-D/NF</t>
  </si>
  <si>
    <t>CÁMARA SECRETA 2 MP / H.265+ / WDR 120 dB / 3D‑DNR / 2.8‑3.7 MM FIJO / VISTA 93‑109°</t>
  </si>
  <si>
    <t xml:space="preserve">DS-2CD6D44G1H-IZS(2.8-12mm)(O-STD) </t>
  </si>
  <si>
    <t>CÁMARA IP PANORÁMICA MULTISENSOR DE 4 DIRECCIONES CON LENTES AJUSTABLES DE HASTA 4 MP, COBERTURA DE 360° SIN ÁREAS CIEGAS, TECNOLOGÍA WDR REAL DE 120 DB, IMAGEN NÍTIDA CON 3D DNR, INTERFACES DE AUDIO Y ALARMA, PROTECCIÓN IP67 E IK10 PARA USO EN ENTORNOS EXIGENTES</t>
  </si>
  <si>
    <t>CÁMARA DOBLE CUENTA PERSONAS 2 MP / H.265+ / WDR 105 dB / DOBLE LENTE 2 MM 104° / MIC/ALARMA / IP67</t>
  </si>
  <si>
    <t>CÁMARA BULLET DEEPINVIEWX 4 MP LENTE FIJO, DARKFIGHTER 2.0, WDR 120 dB, COMPRESIÓN H.265+, IP67/IK10, CALENTADOR INTEGRADO, AUDIO BIDIRECCIONAL, MODELO AI DE GRAN ESCALA PARA PROTECCIÓN PERIMETRAL (ALCANCE 80 M DÍA / 60 M NOCHE).</t>
  </si>
  <si>
    <t>iDS-2CD5T47G2/V-XS(4mm)</t>
  </si>
  <si>
    <t>CÁMARA BULLET DEEPINVIEWX 4 MP LENTE FIJO 4 MM, DARKFIGHTER 2.0, WDR 120 dB, COMPRESIÓN H.265+, IP67/IK10, AUDIO BIDIRECCIONAL, CALENTADOR INTEGRADO Y MODELO AI DE GRAN ESCALA PARA PROTECCIÓN PERIMETRAL (ALCANCE 80 M DÍA / 60 M NOCHE).</t>
  </si>
  <si>
    <t>CÁMARA BULLET DEEPINVIEWX 4 MP LENTE FIJO 2.8 MM, DARKFIGHTER 2.0, WDR 120 dB, COMPRESIÓN H.265+, IP67/IK10/NEMA 4X, AUDIO BIDIRECCIONAL, CALENTADOR INTEGRADO Y MODELO AI DE GRAN ESCALA PARA PROTECCIÓN PERIMETRAL (ALCANCE 80 M DÍA / 60 M NOCHE)</t>
  </si>
  <si>
    <t>CÁMARA BULLET DEEPINVIEWX 4 MP LENTE FIJO 4 MM, DARKFIGHTER 2.0, WDR 120 dB, COMPRESIÓN H.265+, IP67/IK10/NEMA 4X, AUDIO BIDIRECCIONAL, CALENTADOR INTEGRADO Y MODELO AI DE GRAN ESCALA PARA PROTECCIÓN PERIMETRAL (ALCANCE 80 M DÍA / 60 M NOCHE).</t>
  </si>
  <si>
    <t>iDS-2CD7146G0-IZ(H)S(Y)</t>
  </si>
  <si>
    <t>DOMO VARIFOCAL 4 MP DEEPINVIEW / DARKFIGHTER / WDR 140 dB / H.265+ / 5 STREAMS / IP67/IK10</t>
  </si>
  <si>
    <t xml:space="preserve">iDS-2CD7146G2-IZS(2.8-12mm)(O-STD) </t>
  </si>
  <si>
    <t>CÁMARA DOMO DEEPINVIEW 4 MP CON LENTE VARIFOCAL MOTORIZADO, TECNOLOGÍA DARKFIGHTER 2.0 ULTRA BAJA ILUMINACIÓN, WDR 150 dB, COMPRESIÓN H.265+, 5 STREAMS, IP67/IK10, AUDIO BIDIRECCIONAL (MIC + ALTAVOZ), DETECCIÓN FACIAL Y PERIMETRAL, CONTEO MULTIDIMENSIÓN Y SSD INTEGRADO DE 1 TB (OPCIONAL).</t>
  </si>
  <si>
    <t xml:space="preserve">iDS-2CD7A46G2-IZHSY(2.8-12mm)(O-STD) </t>
  </si>
  <si>
    <t>CÁMARA BULLET DEEPINVIEW 4 MP CON LENTE VARIFOCAL MOTORIZADO, TECNOLOGÍA DARKFIGHTER 2.0 ULTRA BAJA ILUMINACIÓN, WDR 150 dB, COMPRESIÓN H.265+, 5 STREAMS, IP67/IK10/NEMA 4X, CAPTURA DE VEHÍCULOS Y PERSONAS CON SHOTN, DETECCIÓN PERIMETRAL Y FACIAL, CONTADOR DE PERSONAS MULTIDIMENSIÓN Y SSD INTEGRADO DE 1 TB (OPCIONAL /5G).</t>
  </si>
  <si>
    <t>CÁMARA 4 MP CON TECNOLOGÍA DARKFIGHTER, WDR 140 dB, COMPRESIÓN H.265+, IP67/IK10/NEMA 4X, CALENTADOR INTEGRADO, MODELO AI DE GRAN ESCALA PARA PROTECCIÓN PERIMETRAL (REDUCCIÓN DE FALSAS ALARMAS HASTA 90%).</t>
  </si>
  <si>
    <t>iDS-2CD7146G0-IZS(8-32mm)(D)(O-STD)</t>
  </si>
  <si>
    <t>DOMO VARIFOCAL 4 MP DEEPINVIEW / DARKFIGHTER / WDR 140 dB / H.265+ / 5 STREAMS / IP67/IK10</t>
  </si>
  <si>
    <t>iDS-2CD7A46G0-IZHS(Y)</t>
  </si>
  <si>
    <t>BULLET VARIFOCAL 4 MP DEEPINVIEW / DARKFIGHTER / WDR 140 dB / H.265+ / IP67/IK10</t>
  </si>
  <si>
    <t>DS-VD22D-C/HW2(O-NEU)</t>
  </si>
  <si>
    <t>SERVIDOR RACK 2U / XEON 8 C/16H 2.8 GHz / 32 GB RAM (Up a 1 TB) / 2×2 TB HDD + 6×22 TB / 6×1 GbE / iDRAC9 / 800 W / IP20</t>
  </si>
  <si>
    <t>DS-VD22D-D/HW2</t>
  </si>
  <si>
    <t>SERVIDOR RACK 2U / XEON 8C/16H 2.8 GHz / 32 GB RAM / 2×2 TB HDD + 6×22 TB / 6×1 GbE / iDRAC9 / 800 W / IP20</t>
  </si>
  <si>
    <t>DS-VH22-R/HW2(O-STD)</t>
  </si>
  <si>
    <t>SERVIDOR RACKMOUNT DE DOBLE SOCKET, OPTIMIZADO PARA ESCALABILIDAD Y CARGAS EXIGENTES, CON CPU 4410T, 32 GB RAM, 2×2 TB SATA (RAID 1), CONTROL REMOTO COMPLETO, FUNCIONES DE SEGURIDAD (iDRAC9, BIOS SCAN, RECUPERACIÓN RÁPIDA), 6×1 GbE, FUENTE DUAL DE 800 W</t>
  </si>
  <si>
    <t>DS-VP41D-C/HW7L</t>
  </si>
  <si>
    <t>WORKSTATION TOWER SFF / I7‑12700 12C/20H @2.1 GHz / 16 GB DDR5 / 1 TB NVMe + opcional 4 TB HDD / UHD 770 / USB‑C/3×DP+HDMI / 300 W PSU</t>
  </si>
  <si>
    <t>HikCentral-Workstation/HW5L/32Ch(C)</t>
  </si>
  <si>
    <t>WORKSTATION COMPACTA HW5L HIKCENTRAL PREINST / I7‑11700 8C/16H @2.9 GHz / 16 GB RAM / 512 GB SSD / SALIDA TRIPLE VIDEO / 300 W PSU</t>
  </si>
  <si>
    <t>HikCentral-Workstation/HW7L/32Ch(C)</t>
  </si>
  <si>
    <t>WORKSTATION TOWER HW7L CON HIKCENTRAL / I7‑12700 12C/20H / 16 GB DDR5 / 1 TB NVMe + hasta 4 TB HDD / UHD 770 + gráf opcional / USB‑C / 300 W PSU</t>
  </si>
  <si>
    <t>HikCentral-P-VSS/Base</t>
  </si>
  <si>
    <t>SOFTWARE / HIKCENTRAL PROFESSIONAL / VIDEO SURVEILLANCE BASE PACKAGE / INCLUYE FUNCIONES FUNDAMENTALES DE VIDEOVIGILANCIA / COMPATIBLE CON MÓDULOS DE ENTRADA Y SALIDA, UVSS, VIDEO INTERCOM, RECONOCIMIENTO FACIAL / SOPORTE DE 3 AÑOS SUP GRATUITO / ALMACENAMIENTO PRINCIPAL Y AUXILIAR / GESTIÓN DE ALARMAS / GOOGLE MAP / GESTIÓN DE EVIDENCIAS / FUNCIONA EN MÁQUINA VIRTUAL / HASTA 100 USUARIOS SIMULTÁNEOS / MONITORE</t>
  </si>
  <si>
    <t>HikCentral-P-ACS/Base</t>
  </si>
  <si>
    <t>SOFTWARE / HIKCENTRAL PROFESSIONAL / ACCESS CONTROL BASE PACKAGE / INCLUYE FUNCIONES FUNDAMENTALES DE CONTROL DE ACCESO / SOPORTE DE SISTEMA DE ALARMAS Y GESTIÓN DE ALARMAS / GESTIÓN DE PERMISOS DE ACCESO / MONITOREO EN TIEMPO REAL DE ESTADO Y EVENTOS DE PUERTAS / CONTROL AVANZADO DE PUERTAS / COMPATIBLE CON HASTA 64 SERVIDORES DE ALMACENAMIENTO / SOPORTE DE API ABIERTA / MONITOREO DE SALUD / SOPORTE GIS / GESTIÓN DE EVIDENCIAS</t>
  </si>
  <si>
    <t>HikCentral-P-Visitor/Module</t>
  </si>
  <si>
    <t>SOFTWARE / HIKCENTRAL PROFESSIONAL / VISITOR MANAGEMENT MODULE / EXPANSIÓN DEL PAQUETE DE CONTROL DE ACCESO / SOPORTE DE HASTA 32 TERMINALES DE VISITANTES / REGISTRO DE VISITANTES / CHECK-IN / CHECK-OUT / ASIGNACIÓN DE PERMISOS DE ACCESO / BÚSQUEDA DE LOGS DE VISITANTES / REQUIERE PAQUETE BASE DE CONTROL DE ACCESO</t>
  </si>
  <si>
    <t xml:space="preserve"> HikCentral-P-Attendance/Module</t>
  </si>
  <si>
    <t>SOFTWARE / HIKCENTRAL PROFESSIONAL / TIME &amp; ATTENDANCE MODULE / EXPANSIÓN DEL PAQUETE DE CONTROL DE ACCESO / SOPORTE DE REGISTRO DE ASISTENCIA / GESTIÓN DE TURNOS / REPORTES DE ASISTENCIA / REGISTRO Y MANEJO DE ASISTENCIA / SINCRONIZACIÓN DE DATOS CON SISTEMAS DE TERCEROS (DATABASE / OPENAPI / FILE) / SOPORTE DE ASISTENCIA MÓVIL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</si>
</sst>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5" tint="0.39997558519241921"/>
        <bgColor rgb="FF000000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2" xfId="0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horizontal="center" vertical="center" wrapText="1"/>
      <protection locked="0"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horizontal="center" vertical="center" wrapText="1"/>
      <protection locked="0"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vertical="center" wrapText="1"/>
      <protection hidden="1"/>
    </xf>
    <xf numFmtId="0" fontId="2" fillId="0" borderId="4" xfId="0" applyFont="1" applyBorder="1" applyAlignment="1" applyProtection="1">
      <alignment vertical="center" wrapText="1"/>
      <protection hidden="1"/>
    </xf>
    <xf numFmtId="164" fontId="2" fillId="0" borderId="3" xfId="1" applyNumberFormat="1" applyFont="1" applyFill="1" applyBorder="1" applyAlignment="1" applyProtection="1">
      <alignment vertical="center" wrapText="1"/>
      <protection hidden="1"/>
    </xf>
    <xf numFmtId="164" fontId="2" fillId="0" borderId="3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3" xfId="1" applyNumberFormat="1" applyFont="1" applyFill="1" applyBorder="1" applyAlignment="1" applyProtection="1">
      <alignment horizontal="center" vertical="center"/>
      <protection hidden="1"/>
    </xf>
    <xf numFmtId="164" fontId="2" fillId="0" borderId="3" xfId="1" applyNumberFormat="1" applyFont="1" applyFill="1" applyBorder="1" applyAlignment="1" applyProtection="1">
      <alignment horizontal="right" vertical="center" wrapText="1"/>
      <protection hidden="1"/>
    </xf>
    <xf numFmtId="164" fontId="2" fillId="0" borderId="1" xfId="1" applyNumberFormat="1" applyFont="1" applyFill="1" applyBorder="1" applyAlignment="1">
      <alignment vertical="center" wrapText="1"/>
    </xf>
    <xf numFmtId="164" fontId="2" fillId="0" borderId="1" xfId="1" applyNumberFormat="1" applyFont="1" applyFill="1" applyBorder="1" applyAlignment="1" applyProtection="1">
      <alignment horizontal="right" vertical="center" wrapText="1"/>
      <protection hidden="1"/>
    </xf>
    <xf numFmtId="164" fontId="2" fillId="0" borderId="1" xfId="1" applyNumberFormat="1" applyFont="1" applyFill="1" applyBorder="1" applyAlignment="1" applyProtection="1">
      <alignment vertical="center" wrapText="1"/>
      <protection hidden="1"/>
    </xf>
    <xf numFmtId="164" fontId="2" fillId="0" borderId="1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1" xfId="1" applyNumberFormat="1" applyFont="1" applyFill="1" applyBorder="1" applyAlignment="1" applyProtection="1">
      <alignment horizontal="center" vertical="center"/>
      <protection hidden="1"/>
    </xf>
    <xf numFmtId="164" fontId="3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5" xfId="1" applyNumberFormat="1" applyFont="1" applyFill="1" applyBorder="1" applyAlignment="1" applyProtection="1">
      <alignment vertical="center" wrapText="1"/>
      <protection hidden="1"/>
    </xf>
    <xf numFmtId="164" fontId="2" fillId="0" borderId="0" xfId="1" applyNumberFormat="1" applyFont="1" applyFill="1" applyBorder="1" applyAlignment="1">
      <alignment vertical="center" wrapText="1"/>
    </xf>
    <xf numFmtId="164" fontId="3" fillId="0" borderId="6" xfId="1" applyNumberFormat="1" applyFont="1" applyFill="1" applyBorder="1"/>
    <xf numFmtId="164" fontId="3" fillId="0" borderId="7" xfId="1" applyNumberFormat="1" applyFont="1" applyFill="1" applyBorder="1"/>
    <xf numFmtId="164" fontId="2" fillId="0" borderId="2" xfId="1" applyNumberFormat="1" applyFont="1" applyFill="1" applyBorder="1" applyAlignment="1" applyProtection="1">
      <alignment vertical="center" wrapText="1"/>
      <protection hidden="1"/>
    </xf>
    <xf numFmtId="164" fontId="2" fillId="0" borderId="7" xfId="1" applyNumberFormat="1" applyFont="1" applyFill="1" applyBorder="1" applyAlignment="1" applyProtection="1">
      <alignment horizontal="center" vertical="center"/>
      <protection hidden="1"/>
    </xf>
    <xf numFmtId="164" fontId="2" fillId="0" borderId="7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 applyProtection="1">
      <alignment horizontal="center" vertical="center" wrapText="1"/>
      <protection hidden="1"/>
    </xf>
    <xf numFmtId="164" fontId="2" fillId="4" borderId="5" xfId="1" applyNumberFormat="1" applyFont="1" applyFill="1" applyBorder="1" applyAlignment="1" applyProtection="1">
      <alignment horizontal="center" vertical="center" wrapText="1"/>
      <protection hidden="1"/>
    </xf>
    <xf numFmtId="164" fontId="4" fillId="5" borderId="6" xfId="1" applyNumberFormat="1" applyFont="1" applyFill="1" applyBorder="1" applyAlignment="1">
      <alignment horizontal="center" vertical="center" wrapText="1"/>
    </xf>
    <xf numFmtId="164" fontId="4" fillId="6" borderId="8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6" xfId="1" applyNumberFormat="1" applyFont="1" applyBorder="1" applyAlignment="1" applyProtection="1">
      <alignment vertical="center" wrapText="1"/>
      <protection hidden="1"/>
    </xf>
    <xf numFmtId="164" fontId="4" fillId="7" borderId="6" xfId="1" applyNumberFormat="1" applyFont="1" applyFill="1" applyBorder="1" applyAlignment="1">
      <alignment horizontal="center" vertical="center" wrapText="1"/>
    </xf>
    <xf numFmtId="164" fontId="4" fillId="0" borderId="6" xfId="1" applyNumberFormat="1" applyFont="1" applyBorder="1" applyAlignment="1" applyProtection="1">
      <alignment horizontal="center" vertical="center" wrapText="1"/>
      <protection locked="0" hidden="1"/>
    </xf>
    <xf numFmtId="164" fontId="4" fillId="6" borderId="6" xfId="1" applyNumberFormat="1" applyFont="1" applyFill="1" applyBorder="1" applyAlignment="1" applyProtection="1">
      <alignment horizontal="center" vertical="center" wrapText="1"/>
      <protection hidden="1"/>
    </xf>
    <xf numFmtId="49" fontId="5" fillId="5" borderId="0" xfId="0" applyNumberFormat="1" applyFont="1" applyFill="1" applyAlignment="1" applyProtection="1">
      <alignment horizontal="center" vertical="center" wrapText="1"/>
      <protection hidden="1"/>
    </xf>
    <xf numFmtId="164" fontId="2" fillId="0" borderId="0" xfId="1" applyNumberFormat="1" applyFont="1" applyFill="1" applyBorder="1" applyAlignment="1" applyProtection="1">
      <alignment vertical="center" wrapText="1"/>
      <protection hidden="1"/>
    </xf>
    <xf numFmtId="164" fontId="2" fillId="0" borderId="0" xfId="1" applyNumberFormat="1" applyFont="1" applyFill="1" applyBorder="1" applyAlignment="1" applyProtection="1">
      <alignment horizontal="right" vertical="center" wrapText="1"/>
      <protection hidden="1"/>
    </xf>
    <xf numFmtId="164" fontId="2" fillId="0" borderId="0" xfId="1" applyNumberFormat="1" applyFont="1" applyFill="1" applyBorder="1" applyAlignment="1" applyProtection="1">
      <alignment horizontal="center" vertical="center" wrapText="1"/>
      <protection hidden="1"/>
    </xf>
    <xf numFmtId="164" fontId="3" fillId="0" borderId="0" xfId="1" applyNumberFormat="1" applyFont="1" applyFill="1" applyBorder="1"/>
    <xf numFmtId="49" fontId="5" fillId="8" borderId="7" xfId="0" applyNumberFormat="1" applyFont="1" applyFill="1" applyBorder="1" applyAlignment="1" applyProtection="1">
      <alignment horizontal="center" vertical="center" wrapText="1"/>
      <protection hidden="1"/>
    </xf>
    <xf numFmtId="164" fontId="2" fillId="0" borderId="5" xfId="1" applyNumberFormat="1" applyFont="1" applyFill="1" applyBorder="1" applyAlignment="1">
      <alignment vertical="center" wrapText="1"/>
    </xf>
    <xf numFmtId="164" fontId="2" fillId="0" borderId="9" xfId="1" applyNumberFormat="1" applyFont="1" applyFill="1" applyBorder="1" applyAlignment="1" applyProtection="1">
      <alignment vertical="center" wrapText="1"/>
      <protection hidden="1"/>
    </xf>
    <xf numFmtId="49" fontId="2" fillId="0" borderId="7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 applyProtection="1">
      <alignment horizontal="center" vertical="center" wrapText="1"/>
      <protection locked="0"/>
    </xf>
    <xf numFmtId="49" fontId="2" fillId="0" borderId="7" xfId="0" applyNumberFormat="1" applyFont="1" applyBorder="1" applyAlignment="1" applyProtection="1">
      <alignment horizontal="center" vertical="center" wrapText="1"/>
      <protection hidden="1"/>
    </xf>
    <xf numFmtId="164" fontId="2" fillId="0" borderId="9" xfId="1" applyNumberFormat="1" applyFont="1" applyFill="1" applyBorder="1" applyAlignment="1">
      <alignment vertical="center" wrapText="1"/>
    </xf>
    <xf numFmtId="164" fontId="2" fillId="0" borderId="10" xfId="1" applyNumberFormat="1" applyFont="1" applyFill="1" applyBorder="1" applyAlignment="1" applyProtection="1">
      <alignment vertical="center" wrapText="1"/>
      <protection hidden="1"/>
    </xf>
    <xf numFmtId="164" fontId="2" fillId="0" borderId="7" xfId="1" applyNumberFormat="1" applyFont="1" applyFill="1" applyBorder="1" applyAlignment="1">
      <alignment vertical="center" wrapText="1"/>
    </xf>
    <xf numFmtId="164" fontId="2" fillId="0" borderId="7" xfId="1" applyNumberFormat="1" applyFont="1" applyFill="1" applyBorder="1" applyAlignment="1" applyProtection="1">
      <alignment vertical="center" wrapText="1"/>
      <protection hidden="1"/>
    </xf>
  </cellXfs>
  <cellStyles count="2">
    <cellStyle name="Moneda" xfId="1" builtinId="4"/>
    <cellStyle name="Normal" xfId="0" builtinId="0"/>
  </cellStyles>
  <dxfs count="276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color rgb="FFFF0000"/>
      </font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122</xdr:row>
      <xdr:rowOff>82177</xdr:rowOff>
    </xdr:from>
    <xdr:to>
      <xdr:col>0</xdr:col>
      <xdr:colOff>2063</xdr:colOff>
      <xdr:row>122</xdr:row>
      <xdr:rowOff>736414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956ACE-7F29-44EA-88EC-A479F1624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42177"/>
          <a:ext cx="2063" cy="11131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121</xdr:row>
      <xdr:rowOff>317500</xdr:rowOff>
    </xdr:from>
    <xdr:to>
      <xdr:col>0</xdr:col>
      <xdr:colOff>9525</xdr:colOff>
      <xdr:row>121</xdr:row>
      <xdr:rowOff>774700</xdr:rowOff>
    </xdr:to>
    <xdr:pic>
      <xdr:nvPicPr>
        <xdr:cNvPr id="5" name="Imagen 4" descr="立体图">
          <a:extLst>
            <a:ext uri="{FF2B5EF4-FFF2-40B4-BE49-F238E27FC236}">
              <a16:creationId xmlns:a16="http://schemas.microsoft.com/office/drawing/2014/main" id="{12E2E37E-D415-4BA8-8DD2-97EECAC9A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31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0</xdr:colOff>
      <xdr:row>130</xdr:row>
      <xdr:rowOff>0</xdr:rowOff>
    </xdr:to>
    <xdr:pic>
      <xdr:nvPicPr>
        <xdr:cNvPr id="6" name="Imagen 51">
          <a:extLst>
            <a:ext uri="{FF2B5EF4-FFF2-40B4-BE49-F238E27FC236}">
              <a16:creationId xmlns:a16="http://schemas.microsoft.com/office/drawing/2014/main" id="{696E877E-7993-45C6-A216-40B1C51A9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5745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102</xdr:row>
      <xdr:rowOff>161113</xdr:rowOff>
    </xdr:from>
    <xdr:to>
      <xdr:col>0</xdr:col>
      <xdr:colOff>0</xdr:colOff>
      <xdr:row>102</xdr:row>
      <xdr:rowOff>1037317</xdr:rowOff>
    </xdr:to>
    <xdr:pic>
      <xdr:nvPicPr>
        <xdr:cNvPr id="7" name="图片 45">
          <a:extLst>
            <a:ext uri="{FF2B5EF4-FFF2-40B4-BE49-F238E27FC236}">
              <a16:creationId xmlns:a16="http://schemas.microsoft.com/office/drawing/2014/main" id="{58DE5461-D7BD-4070-845C-02203E677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830113"/>
          <a:ext cx="0" cy="2847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</xdr:row>
      <xdr:rowOff>172357</xdr:rowOff>
    </xdr:from>
    <xdr:to>
      <xdr:col>0</xdr:col>
      <xdr:colOff>0</xdr:colOff>
      <xdr:row>78</xdr:row>
      <xdr:rowOff>1036864</xdr:rowOff>
    </xdr:to>
    <xdr:pic>
      <xdr:nvPicPr>
        <xdr:cNvPr id="8" name="图片 40">
          <a:extLst>
            <a:ext uri="{FF2B5EF4-FFF2-40B4-BE49-F238E27FC236}">
              <a16:creationId xmlns:a16="http://schemas.microsoft.com/office/drawing/2014/main" id="{A70A2B9F-72A6-4720-9B09-5DC5B3B19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459857"/>
          <a:ext cx="0" cy="1678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103</xdr:row>
      <xdr:rowOff>34636</xdr:rowOff>
    </xdr:from>
    <xdr:to>
      <xdr:col>0</xdr:col>
      <xdr:colOff>0</xdr:colOff>
      <xdr:row>103</xdr:row>
      <xdr:rowOff>1141065</xdr:rowOff>
    </xdr:to>
    <xdr:pic>
      <xdr:nvPicPr>
        <xdr:cNvPr id="9" name="Imagen 17">
          <a:extLst>
            <a:ext uri="{FF2B5EF4-FFF2-40B4-BE49-F238E27FC236}">
              <a16:creationId xmlns:a16="http://schemas.microsoft.com/office/drawing/2014/main" id="{6A61EA7B-4179-44F0-9320-360D0F08B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894136"/>
          <a:ext cx="0" cy="15392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106</xdr:row>
      <xdr:rowOff>295108</xdr:rowOff>
    </xdr:from>
    <xdr:to>
      <xdr:col>0</xdr:col>
      <xdr:colOff>5530</xdr:colOff>
      <xdr:row>106</xdr:row>
      <xdr:rowOff>906729</xdr:rowOff>
    </xdr:to>
    <xdr:pic>
      <xdr:nvPicPr>
        <xdr:cNvPr id="10" name="Imagen 18">
          <a:extLst>
            <a:ext uri="{FF2B5EF4-FFF2-40B4-BE49-F238E27FC236}">
              <a16:creationId xmlns:a16="http://schemas.microsoft.com/office/drawing/2014/main" id="{E77523F4-1DAA-498B-A9CC-1B1A88878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0002333"/>
          <a:ext cx="5530" cy="20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37812</xdr:rowOff>
    </xdr:from>
    <xdr:to>
      <xdr:col>0</xdr:col>
      <xdr:colOff>0</xdr:colOff>
      <xdr:row>6</xdr:row>
      <xdr:rowOff>885825</xdr:rowOff>
    </xdr:to>
    <xdr:pic>
      <xdr:nvPicPr>
        <xdr:cNvPr id="11" name="Imagen 23">
          <a:extLst>
            <a:ext uri="{FF2B5EF4-FFF2-40B4-BE49-F238E27FC236}">
              <a16:creationId xmlns:a16="http://schemas.microsoft.com/office/drawing/2014/main" id="{D2CDBB34-93B2-4735-AF2A-560BCA36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371312"/>
          <a:ext cx="0" cy="1526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127</xdr:row>
      <xdr:rowOff>187870</xdr:rowOff>
    </xdr:from>
    <xdr:to>
      <xdr:col>0</xdr:col>
      <xdr:colOff>0</xdr:colOff>
      <xdr:row>127</xdr:row>
      <xdr:rowOff>736413</xdr:rowOff>
    </xdr:to>
    <xdr:pic>
      <xdr:nvPicPr>
        <xdr:cNvPr id="12" name="Imagen 32">
          <a:extLst>
            <a:ext uri="{FF2B5EF4-FFF2-40B4-BE49-F238E27FC236}">
              <a16:creationId xmlns:a16="http://schemas.microsoft.com/office/drawing/2014/main" id="{829435FC-D404-4843-9C6D-32A2BC7F5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4190870"/>
          <a:ext cx="0" cy="56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105</xdr:row>
      <xdr:rowOff>149412</xdr:rowOff>
    </xdr:from>
    <xdr:to>
      <xdr:col>0</xdr:col>
      <xdr:colOff>0</xdr:colOff>
      <xdr:row>105</xdr:row>
      <xdr:rowOff>1198469</xdr:rowOff>
    </xdr:to>
    <xdr:pic>
      <xdr:nvPicPr>
        <xdr:cNvPr id="13" name="Imagen 39">
          <a:extLst>
            <a:ext uri="{FF2B5EF4-FFF2-40B4-BE49-F238E27FC236}">
              <a16:creationId xmlns:a16="http://schemas.microsoft.com/office/drawing/2014/main" id="{2DFF6709-3E02-4896-88C4-F1F762237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9770912"/>
          <a:ext cx="0" cy="394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126</xdr:row>
      <xdr:rowOff>246528</xdr:rowOff>
    </xdr:from>
    <xdr:to>
      <xdr:col>0</xdr:col>
      <xdr:colOff>0</xdr:colOff>
      <xdr:row>126</xdr:row>
      <xdr:rowOff>903938</xdr:rowOff>
    </xdr:to>
    <xdr:pic>
      <xdr:nvPicPr>
        <xdr:cNvPr id="14" name="Imagen 41">
          <a:extLst>
            <a:ext uri="{FF2B5EF4-FFF2-40B4-BE49-F238E27FC236}">
              <a16:creationId xmlns:a16="http://schemas.microsoft.com/office/drawing/2014/main" id="{32633DE1-BC32-448C-B4F7-C47CF06EE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4001878"/>
          <a:ext cx="0" cy="1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110</xdr:row>
      <xdr:rowOff>208643</xdr:rowOff>
    </xdr:from>
    <xdr:to>
      <xdr:col>0</xdr:col>
      <xdr:colOff>0</xdr:colOff>
      <xdr:row>110</xdr:row>
      <xdr:rowOff>988784</xdr:rowOff>
    </xdr:to>
    <xdr:pic>
      <xdr:nvPicPr>
        <xdr:cNvPr id="15" name="Imagen 42">
          <a:extLst>
            <a:ext uri="{FF2B5EF4-FFF2-40B4-BE49-F238E27FC236}">
              <a16:creationId xmlns:a16="http://schemas.microsoft.com/office/drawing/2014/main" id="{F34AA927-8036-47A9-A023-AF53B24BF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0763593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112</xdr:row>
      <xdr:rowOff>45358</xdr:rowOff>
    </xdr:from>
    <xdr:to>
      <xdr:col>0</xdr:col>
      <xdr:colOff>0</xdr:colOff>
      <xdr:row>112</xdr:row>
      <xdr:rowOff>1262912</xdr:rowOff>
    </xdr:to>
    <xdr:pic>
      <xdr:nvPicPr>
        <xdr:cNvPr id="16" name="图片 41">
          <a:extLst>
            <a:ext uri="{FF2B5EF4-FFF2-40B4-BE49-F238E27FC236}">
              <a16:creationId xmlns:a16="http://schemas.microsoft.com/office/drawing/2014/main" id="{22703B22-1585-4BB3-87D0-F6DACE879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0" y="21000358"/>
          <a:ext cx="0" cy="1412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113</xdr:row>
      <xdr:rowOff>51614</xdr:rowOff>
    </xdr:from>
    <xdr:to>
      <xdr:col>0</xdr:col>
      <xdr:colOff>0</xdr:colOff>
      <xdr:row>113</xdr:row>
      <xdr:rowOff>1178465</xdr:rowOff>
    </xdr:to>
    <xdr:pic>
      <xdr:nvPicPr>
        <xdr:cNvPr id="17" name="图片 42">
          <a:extLst>
            <a:ext uri="{FF2B5EF4-FFF2-40B4-BE49-F238E27FC236}">
              <a16:creationId xmlns:a16="http://schemas.microsoft.com/office/drawing/2014/main" id="{FFA53277-7246-47CB-B810-A7BCDF3F8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97114"/>
          <a:ext cx="0" cy="13625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108</xdr:row>
      <xdr:rowOff>114516</xdr:rowOff>
    </xdr:from>
    <xdr:to>
      <xdr:col>0</xdr:col>
      <xdr:colOff>0</xdr:colOff>
      <xdr:row>108</xdr:row>
      <xdr:rowOff>1242786</xdr:rowOff>
    </xdr:to>
    <xdr:pic>
      <xdr:nvPicPr>
        <xdr:cNvPr id="18" name="图片 4">
          <a:extLst>
            <a:ext uri="{FF2B5EF4-FFF2-40B4-BE49-F238E27FC236}">
              <a16:creationId xmlns:a16="http://schemas.microsoft.com/office/drawing/2014/main" id="{873C8D55-7C39-4C4E-B1B1-CEC1D0DD9D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20307516"/>
          <a:ext cx="0" cy="805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107</xdr:row>
      <xdr:rowOff>357910</xdr:rowOff>
    </xdr:from>
    <xdr:to>
      <xdr:col>0</xdr:col>
      <xdr:colOff>0</xdr:colOff>
      <xdr:row>107</xdr:row>
      <xdr:rowOff>1004456</xdr:rowOff>
    </xdr:to>
    <xdr:pic>
      <xdr:nvPicPr>
        <xdr:cNvPr id="19" name="Imagen 50">
          <a:extLst>
            <a:ext uri="{FF2B5EF4-FFF2-40B4-BE49-F238E27FC236}">
              <a16:creationId xmlns:a16="http://schemas.microsoft.com/office/drawing/2014/main" id="{4F1E906F-8693-406C-8993-264FB46EB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0188960"/>
          <a:ext cx="0" cy="837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95</xdr:row>
      <xdr:rowOff>166663</xdr:rowOff>
    </xdr:from>
    <xdr:to>
      <xdr:col>0</xdr:col>
      <xdr:colOff>0</xdr:colOff>
      <xdr:row>95</xdr:row>
      <xdr:rowOff>1152072</xdr:rowOff>
    </xdr:to>
    <xdr:pic>
      <xdr:nvPicPr>
        <xdr:cNvPr id="20" name="Imagen 51">
          <a:extLst>
            <a:ext uri="{FF2B5EF4-FFF2-40B4-BE49-F238E27FC236}">
              <a16:creationId xmlns:a16="http://schemas.microsoft.com/office/drawing/2014/main" id="{B4908013-B852-4A7C-8842-F31120870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502163"/>
          <a:ext cx="0" cy="2338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97</xdr:row>
      <xdr:rowOff>17929</xdr:rowOff>
    </xdr:from>
    <xdr:to>
      <xdr:col>0</xdr:col>
      <xdr:colOff>0</xdr:colOff>
      <xdr:row>97</xdr:row>
      <xdr:rowOff>1117400</xdr:rowOff>
    </xdr:to>
    <xdr:pic>
      <xdr:nvPicPr>
        <xdr:cNvPr id="21" name="Imagen 53">
          <a:extLst>
            <a:ext uri="{FF2B5EF4-FFF2-40B4-BE49-F238E27FC236}">
              <a16:creationId xmlns:a16="http://schemas.microsoft.com/office/drawing/2014/main" id="{BB3F3143-B365-444A-9484-D8D156028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7344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100</xdr:row>
      <xdr:rowOff>14380</xdr:rowOff>
    </xdr:from>
    <xdr:to>
      <xdr:col>0</xdr:col>
      <xdr:colOff>0</xdr:colOff>
      <xdr:row>100</xdr:row>
      <xdr:rowOff>958849</xdr:rowOff>
    </xdr:to>
    <xdr:pic>
      <xdr:nvPicPr>
        <xdr:cNvPr id="22" name="Imagen 55">
          <a:extLst>
            <a:ext uri="{FF2B5EF4-FFF2-40B4-BE49-F238E27FC236}">
              <a16:creationId xmlns:a16="http://schemas.microsoft.com/office/drawing/2014/main" id="{74310AFE-6CDA-4FBE-90A5-6F7C58499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8302380"/>
          <a:ext cx="0" cy="1729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87</xdr:row>
      <xdr:rowOff>75267</xdr:rowOff>
    </xdr:from>
    <xdr:to>
      <xdr:col>0</xdr:col>
      <xdr:colOff>0</xdr:colOff>
      <xdr:row>87</xdr:row>
      <xdr:rowOff>1123764</xdr:rowOff>
    </xdr:to>
    <xdr:pic>
      <xdr:nvPicPr>
        <xdr:cNvPr id="23" name="Imagen 57">
          <a:extLst>
            <a:ext uri="{FF2B5EF4-FFF2-40B4-BE49-F238E27FC236}">
              <a16:creationId xmlns:a16="http://schemas.microsoft.com/office/drawing/2014/main" id="{589F1B2D-B2FB-4228-8712-042E75B97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60772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pic>
      <xdr:nvPicPr>
        <xdr:cNvPr id="24" name="Imagen 62">
          <a:extLst>
            <a:ext uri="{FF2B5EF4-FFF2-40B4-BE49-F238E27FC236}">
              <a16:creationId xmlns:a16="http://schemas.microsoft.com/office/drawing/2014/main" id="{803A7331-D1C6-4EC2-B042-FB05585F4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flipH="1">
          <a:off x="0" y="17145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pic>
      <xdr:nvPicPr>
        <xdr:cNvPr id="25" name="图片 2">
          <a:extLst>
            <a:ext uri="{FF2B5EF4-FFF2-40B4-BE49-F238E27FC236}">
              <a16:creationId xmlns:a16="http://schemas.microsoft.com/office/drawing/2014/main" id="{46CFF015-B1FD-4330-8AB6-DC0E9DD182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1714500"/>
          <a:ext cx="0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87</xdr:row>
      <xdr:rowOff>75267</xdr:rowOff>
    </xdr:from>
    <xdr:to>
      <xdr:col>0</xdr:col>
      <xdr:colOff>0</xdr:colOff>
      <xdr:row>87</xdr:row>
      <xdr:rowOff>1123764</xdr:rowOff>
    </xdr:to>
    <xdr:pic>
      <xdr:nvPicPr>
        <xdr:cNvPr id="26" name="Imagen 67">
          <a:extLst>
            <a:ext uri="{FF2B5EF4-FFF2-40B4-BE49-F238E27FC236}">
              <a16:creationId xmlns:a16="http://schemas.microsoft.com/office/drawing/2014/main" id="{32A1B1B8-AC62-41BA-92A5-65CA6E17D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60772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128</xdr:row>
      <xdr:rowOff>317500</xdr:rowOff>
    </xdr:from>
    <xdr:to>
      <xdr:col>0</xdr:col>
      <xdr:colOff>9525</xdr:colOff>
      <xdr:row>128</xdr:row>
      <xdr:rowOff>774700</xdr:rowOff>
    </xdr:to>
    <xdr:pic>
      <xdr:nvPicPr>
        <xdr:cNvPr id="27" name="Imagen 29" descr="立体图">
          <a:extLst>
            <a:ext uri="{FF2B5EF4-FFF2-40B4-BE49-F238E27FC236}">
              <a16:creationId xmlns:a16="http://schemas.microsoft.com/office/drawing/2014/main" id="{79487B0D-F5F0-453D-B6E4-DDAFBAD86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71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109</xdr:row>
      <xdr:rowOff>159873</xdr:rowOff>
    </xdr:from>
    <xdr:to>
      <xdr:col>0</xdr:col>
      <xdr:colOff>0</xdr:colOff>
      <xdr:row>109</xdr:row>
      <xdr:rowOff>1288143</xdr:rowOff>
    </xdr:to>
    <xdr:pic>
      <xdr:nvPicPr>
        <xdr:cNvPr id="28" name="图片 4">
          <a:extLst>
            <a:ext uri="{FF2B5EF4-FFF2-40B4-BE49-F238E27FC236}">
              <a16:creationId xmlns:a16="http://schemas.microsoft.com/office/drawing/2014/main" id="{8DC7411E-38CF-4210-8710-B1E4C13BD5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20543373"/>
          <a:ext cx="0" cy="328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111</xdr:row>
      <xdr:rowOff>127001</xdr:rowOff>
    </xdr:from>
    <xdr:to>
      <xdr:col>0</xdr:col>
      <xdr:colOff>0</xdr:colOff>
      <xdr:row>111</xdr:row>
      <xdr:rowOff>1068295</xdr:rowOff>
    </xdr:to>
    <xdr:pic>
      <xdr:nvPicPr>
        <xdr:cNvPr id="29" name="Imagen 45">
          <a:extLst>
            <a:ext uri="{FF2B5EF4-FFF2-40B4-BE49-F238E27FC236}">
              <a16:creationId xmlns:a16="http://schemas.microsoft.com/office/drawing/2014/main" id="{5A2513CF-0CE6-42ED-9F86-E3942F2A3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20891501"/>
          <a:ext cx="0" cy="6499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93</xdr:row>
      <xdr:rowOff>256116</xdr:rowOff>
    </xdr:from>
    <xdr:to>
      <xdr:col>0</xdr:col>
      <xdr:colOff>0</xdr:colOff>
      <xdr:row>93</xdr:row>
      <xdr:rowOff>1083733</xdr:rowOff>
    </xdr:to>
    <xdr:pic>
      <xdr:nvPicPr>
        <xdr:cNvPr id="30" name="图片 2">
          <a:extLst>
            <a:ext uri="{FF2B5EF4-FFF2-40B4-BE49-F238E27FC236}">
              <a16:creationId xmlns:a16="http://schemas.microsoft.com/office/drawing/2014/main" id="{185625F3-D987-4AE0-BA4E-C70D4AE8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3941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pic>
      <xdr:nvPicPr>
        <xdr:cNvPr id="31" name="图片 2">
          <a:extLst>
            <a:ext uri="{FF2B5EF4-FFF2-40B4-BE49-F238E27FC236}">
              <a16:creationId xmlns:a16="http://schemas.microsoft.com/office/drawing/2014/main" id="{0E0F33FD-6AAA-477A-AFE4-944E27BF9E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1905453"/>
          <a:ext cx="0" cy="190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</xdr:row>
      <xdr:rowOff>112940</xdr:rowOff>
    </xdr:from>
    <xdr:to>
      <xdr:col>0</xdr:col>
      <xdr:colOff>0</xdr:colOff>
      <xdr:row>83</xdr:row>
      <xdr:rowOff>743816</xdr:rowOff>
    </xdr:to>
    <xdr:pic>
      <xdr:nvPicPr>
        <xdr:cNvPr id="32" name="图片 29">
          <a:extLst>
            <a:ext uri="{FF2B5EF4-FFF2-40B4-BE49-F238E27FC236}">
              <a16:creationId xmlns:a16="http://schemas.microsoft.com/office/drawing/2014/main" id="{54DC0A74-4B72-4A88-AA9A-380FCF7F2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5543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</xdr:row>
      <xdr:rowOff>112940</xdr:rowOff>
    </xdr:from>
    <xdr:to>
      <xdr:col>0</xdr:col>
      <xdr:colOff>0</xdr:colOff>
      <xdr:row>83</xdr:row>
      <xdr:rowOff>743816</xdr:rowOff>
    </xdr:to>
    <xdr:pic>
      <xdr:nvPicPr>
        <xdr:cNvPr id="33" name="图片 29">
          <a:extLst>
            <a:ext uri="{FF2B5EF4-FFF2-40B4-BE49-F238E27FC236}">
              <a16:creationId xmlns:a16="http://schemas.microsoft.com/office/drawing/2014/main" id="{8AF66D59-ED79-49A0-A55B-698CADA26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5543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98</xdr:row>
      <xdr:rowOff>17929</xdr:rowOff>
    </xdr:from>
    <xdr:to>
      <xdr:col>0</xdr:col>
      <xdr:colOff>0</xdr:colOff>
      <xdr:row>98</xdr:row>
      <xdr:rowOff>1117400</xdr:rowOff>
    </xdr:to>
    <xdr:pic>
      <xdr:nvPicPr>
        <xdr:cNvPr id="34" name="Imagen 53">
          <a:extLst>
            <a:ext uri="{FF2B5EF4-FFF2-40B4-BE49-F238E27FC236}">
              <a16:creationId xmlns:a16="http://schemas.microsoft.com/office/drawing/2014/main" id="{ED7D49CE-09DD-4B62-A171-055DA0753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9249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0</xdr:colOff>
      <xdr:row>92</xdr:row>
      <xdr:rowOff>0</xdr:rowOff>
    </xdr:to>
    <xdr:pic>
      <xdr:nvPicPr>
        <xdr:cNvPr id="35" name="Imagen 51">
          <a:extLst>
            <a:ext uri="{FF2B5EF4-FFF2-40B4-BE49-F238E27FC236}">
              <a16:creationId xmlns:a16="http://schemas.microsoft.com/office/drawing/2014/main" id="{0778841F-6C24-4969-94BC-8B861AB12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7640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101</xdr:row>
      <xdr:rowOff>17146</xdr:rowOff>
    </xdr:from>
    <xdr:to>
      <xdr:col>0</xdr:col>
      <xdr:colOff>0</xdr:colOff>
      <xdr:row>101</xdr:row>
      <xdr:rowOff>1179288</xdr:rowOff>
    </xdr:to>
    <xdr:pic>
      <xdr:nvPicPr>
        <xdr:cNvPr id="36" name="Imagen 27">
          <a:extLst>
            <a:ext uri="{FF2B5EF4-FFF2-40B4-BE49-F238E27FC236}">
              <a16:creationId xmlns:a16="http://schemas.microsoft.com/office/drawing/2014/main" id="{F2FFBB76-092C-4A50-8BF6-DA57B0935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8495646"/>
          <a:ext cx="0" cy="171542"/>
        </a:xfrm>
        <a:prstGeom prst="rect">
          <a:avLst/>
        </a:prstGeom>
      </xdr:spPr>
    </xdr:pic>
    <xdr:clientData/>
  </xdr:twoCellAnchor>
  <xdr:twoCellAnchor editAs="oneCell">
    <xdr:from>
      <xdr:col>0</xdr:col>
      <xdr:colOff>1069397</xdr:colOff>
      <xdr:row>12</xdr:row>
      <xdr:rowOff>0</xdr:rowOff>
    </xdr:from>
    <xdr:to>
      <xdr:col>0</xdr:col>
      <xdr:colOff>1629052</xdr:colOff>
      <xdr:row>12</xdr:row>
      <xdr:rowOff>0</xdr:rowOff>
    </xdr:to>
    <xdr:pic>
      <xdr:nvPicPr>
        <xdr:cNvPr id="3" name="Imagen 74">
          <a:extLst>
            <a:ext uri="{FF2B5EF4-FFF2-40B4-BE49-F238E27FC236}">
              <a16:creationId xmlns:a16="http://schemas.microsoft.com/office/drawing/2014/main" id="{78DF93BF-604C-4CEA-8D01-D29BF4C4C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74272" y="15573375"/>
          <a:ext cx="559655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3BB455-C4EA-4543-9CFD-9EF7FAE0800A}" name="Tabla15" displayName="Tabla15" ref="A1:T228" totalsRowShown="0" headerRowDxfId="275" dataDxfId="274" tableBorderDxfId="273">
  <autoFilter ref="A1:T228" xr:uid="{37416936-57DC-4B09-AD93-68276AE51D7F}"/>
  <sortState xmlns:xlrd2="http://schemas.microsoft.com/office/spreadsheetml/2017/richdata2" ref="A2:T188">
    <sortCondition sortBy="fontColor" ref="A1:A188" dxfId="272"/>
  </sortState>
  <tableColumns count="20">
    <tableColumn id="3" xr3:uid="{4E408AD0-FDB3-451F-BADA-9E59480C89D0}" name="REFERENCIA" dataDxfId="271"/>
    <tableColumn id="4" xr3:uid="{AA250F76-7259-482A-8E2A-CAEE42541CEC}" name="DESCRIPCIÓN " dataDxfId="270"/>
    <tableColumn id="1" xr3:uid="{DBA412E1-04BE-4628-B714-959BC1F434CD}" name="PRECIO INSTALADOR_x000a_( CON  IVA)" dataDxfId="269" dataCellStyle="Moneda">
      <calculatedColumnFormula>+Tabla15[[#This Row],[PRECIO SUGERIDO INSTALADOR]]</calculatedColumnFormula>
    </tableColumn>
    <tableColumn id="18" xr3:uid="{244D19D3-8A39-40CC-9191-EFA87D6A9BC3}" name="PRECIO TIENDA ( CON  IVA)" dataDxfId="268" dataCellStyle="Moneda">
      <calculatedColumnFormula>+Tabla15[[#This Row],[PRECIO INSTALADOR
( CON  IVA)]]-Tabla15[[#This Row],[Columna23]]</calculatedColumnFormula>
    </tableColumn>
    <tableColumn id="2" xr3:uid="{07DB9388-F4AD-49B0-A71B-B5AF8CD57C41}" name="PRECIO DPP ORO ( CON  IVA)" dataDxfId="267" dataCellStyle="Moneda">
      <calculatedColumnFormula>+Tabla15[[#This Row],[DPP ORO]]</calculatedColumnFormula>
    </tableColumn>
    <tableColumn id="5" xr3:uid="{95C3C87D-1D7C-458F-B5AA-7DB9BE1847E1}" name="PRECIO DPP PLATINO ( CON  IVA)" dataDxfId="266" dataCellStyle="Moneda">
      <calculatedColumnFormula>+Tabla15[[#This Row],[DPP PLATINO]]</calculatedColumnFormula>
    </tableColumn>
    <tableColumn id="19" xr3:uid="{19447A91-7C1B-4803-B17D-F0ECFFBDBD4D}" name="PRECIO CLIENTE FINAL ( CON  IVA)" dataDxfId="265" dataCellStyle="Moneda">
      <calculatedColumnFormula>+Tabla15[[#This Row],[PRECIO INSTALADOR
( CON  IVA)]]/0.7</calculatedColumnFormula>
    </tableColumn>
    <tableColumn id="20" xr3:uid="{4C0300CF-A744-4A3E-B522-58184EDA6FD7}" name="Columna23" dataDxfId="264" dataCellStyle="Moneda">
      <calculatedColumnFormula>+Tabla15[[#This Row],[PRECIO INSTALADOR
( CON  IVA)]]*5%</calculatedColumnFormula>
    </tableColumn>
    <tableColumn id="6" xr3:uid="{5D7945FE-6E97-4D30-B876-C95D944A5EC1}" name="PRECIO SUGERIDO INSTALADOR_x000a_( CON  IVA)" dataDxfId="263" dataCellStyle="Moneda">
      <calculatedColumnFormula>+Q2</calculatedColumnFormula>
    </tableColumn>
    <tableColumn id="7" xr3:uid="{A7247C37-F59C-4179-A406-E5FF68969886}" name="ORO" dataDxfId="262" dataCellStyle="Moneda">
      <calculatedColumnFormula>+O2</calculatedColumnFormula>
    </tableColumn>
    <tableColumn id="8" xr3:uid="{EA7B905D-F715-4D46-948E-AD5A8D732215}" name="PLATINO" dataDxfId="261" dataCellStyle="Moneda">
      <calculatedColumnFormula>+L2</calculatedColumnFormula>
    </tableColumn>
    <tableColumn id="9" xr3:uid="{685AC178-E489-4BD1-ACA7-12830B1B8197}" name="Columna3" dataDxfId="260" dataCellStyle="Moneda">
      <calculatedColumnFormula>+M2/#REF!</calculatedColumnFormula>
    </tableColumn>
    <tableColumn id="10" xr3:uid="{EBD47814-5E5A-4D49-8FEB-35B303D5D691}" name="DPP PLATINO" dataDxfId="259" dataCellStyle="Moneda">
      <calculatedColumnFormula>+P2-N2</calculatedColumnFormula>
    </tableColumn>
    <tableColumn id="11" xr3:uid="{7EFCC492-4F77-4E8C-A5AF-DC866CF3ECFF}" name="DPP PLATINO2" dataDxfId="258" dataCellStyle="Moneda">
      <calculatedColumnFormula>+P2*1%</calculatedColumnFormula>
    </tableColumn>
    <tableColumn id="12" xr3:uid="{1E772FF3-4366-4255-8F20-182C8B3517AA}" name="Columna6" dataDxfId="257" dataCellStyle="Moneda">
      <calculatedColumnFormula>+P2/#REF!</calculatedColumnFormula>
    </tableColumn>
    <tableColumn id="13" xr3:uid="{B4319E94-8E96-489C-959A-D93A5BC097BD}" name="DPP ORO" dataDxfId="256" dataCellStyle="Moneda">
      <calculatedColumnFormula>Tabla15[[#This Row],[ORO SIN IVA]]*1.19</calculatedColumnFormula>
    </tableColumn>
    <tableColumn id="14" xr3:uid="{C09E3D6D-20C9-45B2-8652-FF03E36D3134}" name="Columna8" dataDxfId="255" dataCellStyle="Moneda">
      <calculatedColumnFormula>+R2/#REF!</calculatedColumnFormula>
    </tableColumn>
    <tableColumn id="15" xr3:uid="{BD2C65C7-C869-452E-B4F9-DF580DE9504B}" name="PRECIO SUGERIDO INSTALADOR" dataDxfId="254" dataCellStyle="Moneda">
      <calculatedColumnFormula>Tabla15[[#This Row],[INSTALLER SIN IVA]]*1.19</calculatedColumnFormula>
    </tableColumn>
    <tableColumn id="16" xr3:uid="{A210BF93-8126-47E3-B4C7-E5D9AF9D2DC4}" name="ORO SIN IVA" dataDxfId="253"/>
    <tableColumn id="17" xr3:uid="{83152BE0-D6FE-406A-86F5-1C4F9B0C8DDB}" name="INSTALLER SIN IVA" dataDxfId="25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E3FB-B8FB-403C-B469-484116B27BD9}">
  <sheetPr>
    <pageSetUpPr fitToPage="1"/>
  </sheetPr>
  <dimension ref="A1:CB610"/>
  <sheetViews>
    <sheetView showGridLines="0" tabSelected="1" view="pageBreakPreview" zoomScale="60" zoomScaleNormal="115" workbookViewId="0">
      <pane xSplit="1" ySplit="1" topLeftCell="B2" activePane="bottomRight" state="frozen"/>
      <selection pane="topRight"/>
      <selection pane="bottomLeft"/>
      <selection pane="bottomRight" activeCell="B4" sqref="B4"/>
    </sheetView>
  </sheetViews>
  <sheetFormatPr baseColWidth="10" defaultColWidth="10.5703125" defaultRowHeight="13.5" x14ac:dyDescent="0.25"/>
  <cols>
    <col min="1" max="1" width="29" style="6" customWidth="1"/>
    <col min="2" max="2" width="41" style="6" customWidth="1"/>
    <col min="3" max="8" width="17.5703125" style="6" customWidth="1"/>
    <col min="9" max="9" width="1.140625" style="4" customWidth="1"/>
    <col min="10" max="10" width="1.7109375" style="5" customWidth="1"/>
    <col min="11" max="11" width="1.28515625" style="5" customWidth="1"/>
    <col min="12" max="12" width="1" style="5" customWidth="1"/>
    <col min="13" max="13" width="14" style="5" customWidth="1"/>
    <col min="14" max="14" width="0.5703125" style="5" customWidth="1"/>
    <col min="15" max="15" width="0.5703125" style="4" customWidth="1"/>
    <col min="16" max="16" width="11.140625" style="4" customWidth="1"/>
    <col min="17" max="17" width="0.85546875" style="4" customWidth="1"/>
    <col min="18" max="18" width="11.7109375" style="4" customWidth="1"/>
    <col min="19" max="19" width="13.85546875" style="4" customWidth="1"/>
    <col min="20" max="20" width="15.42578125" style="4" customWidth="1"/>
    <col min="21" max="25" width="10.5703125" style="1" customWidth="1"/>
    <col min="26" max="26" width="10.5703125" style="3" customWidth="1"/>
    <col min="27" max="28" width="10.5703125" style="2" customWidth="1"/>
    <col min="29" max="80" width="10.5703125" style="2"/>
    <col min="81" max="16384" width="10.5703125" style="1"/>
  </cols>
  <sheetData>
    <row r="1" spans="1:20" ht="45" customHeight="1" x14ac:dyDescent="0.25">
      <c r="A1" s="44" t="s">
        <v>179</v>
      </c>
      <c r="B1" s="44" t="s">
        <v>178</v>
      </c>
      <c r="C1" s="44" t="s">
        <v>177</v>
      </c>
      <c r="D1" s="44" t="s">
        <v>176</v>
      </c>
      <c r="E1" s="44" t="s">
        <v>175</v>
      </c>
      <c r="F1" s="44" t="s">
        <v>174</v>
      </c>
      <c r="G1" s="44" t="s">
        <v>173</v>
      </c>
      <c r="H1" s="39" t="s">
        <v>172</v>
      </c>
      <c r="I1" s="33" t="s">
        <v>171</v>
      </c>
      <c r="J1" s="38" t="s">
        <v>170</v>
      </c>
      <c r="K1" s="36" t="s">
        <v>169</v>
      </c>
      <c r="L1" s="37" t="s">
        <v>168</v>
      </c>
      <c r="M1" s="36" t="s">
        <v>167</v>
      </c>
      <c r="N1" s="36" t="s">
        <v>166</v>
      </c>
      <c r="O1" s="35" t="s">
        <v>165</v>
      </c>
      <c r="P1" s="34" t="s">
        <v>164</v>
      </c>
      <c r="Q1" s="33" t="s">
        <v>163</v>
      </c>
      <c r="R1" s="33" t="s">
        <v>162</v>
      </c>
      <c r="S1" s="32" t="s">
        <v>161</v>
      </c>
      <c r="T1" s="31" t="s">
        <v>160</v>
      </c>
    </row>
    <row r="2" spans="1:20" ht="81" x14ac:dyDescent="0.25">
      <c r="A2" s="47" t="s">
        <v>129</v>
      </c>
      <c r="B2" s="47" t="s">
        <v>203</v>
      </c>
      <c r="C2" s="53">
        <f>+Tabla15[[#This Row],[PRECIO SUGERIDO INSTALADOR]]</f>
        <v>249704.84</v>
      </c>
      <c r="D2" s="53">
        <f>+Tabla15[[#This Row],[PRECIO INSTALADOR
( CON  IVA)]]-Tabla15[[#This Row],[Columna23]]</f>
        <v>237219.598</v>
      </c>
      <c r="E2" s="53">
        <f>+Tabla15[[#This Row],[DPP ORO]]</f>
        <v>202585.59999999998</v>
      </c>
      <c r="F2" s="53">
        <f>+Tabla15[[#This Row],[DPP PLATINO]]</f>
        <v>198533.88799999998</v>
      </c>
      <c r="G2" s="53">
        <f>+Tabla15[[#This Row],[PRECIO INSTALADOR
( CON  IVA)]]/0.7</f>
        <v>356721.2</v>
      </c>
      <c r="H2" s="45">
        <f>+Tabla15[[#This Row],[PRECIO INSTALADOR
( CON  IVA)]]*5%</f>
        <v>12485.242</v>
      </c>
      <c r="I2" s="18" t="e">
        <f t="shared" ref="I2:I31" si="0">+Q2</f>
        <v>#REF!</v>
      </c>
      <c r="J2" s="18" t="e">
        <f t="shared" ref="J2:J31" si="1">+O2</f>
        <v>#REF!</v>
      </c>
      <c r="K2" s="17" t="e">
        <f t="shared" ref="K2:K31" si="2">+L2</f>
        <v>#REF!</v>
      </c>
      <c r="L2" s="17" t="e">
        <f>+M2/#REF!</f>
        <v>#REF!</v>
      </c>
      <c r="M2" s="17">
        <f t="shared" ref="M2:M31" si="3">+P2-N2</f>
        <v>198533.88799999998</v>
      </c>
      <c r="N2" s="19">
        <f>+P2*2%</f>
        <v>4051.7119999999995</v>
      </c>
      <c r="O2" s="28" t="e">
        <f>+P2/#REF!</f>
        <v>#REF!</v>
      </c>
      <c r="P2" s="27">
        <f>Tabla15[[#This Row],[ORO SIN IVA]]*1.19</f>
        <v>202585.59999999998</v>
      </c>
      <c r="Q2" s="24" t="e">
        <f>+R2/#REF!</f>
        <v>#REF!</v>
      </c>
      <c r="R2" s="16">
        <f>Tabla15[[#This Row],[INSTALLER SIN IVA]]*1.19</f>
        <v>249704.84</v>
      </c>
      <c r="S2" s="24">
        <v>170240</v>
      </c>
      <c r="T2" s="18">
        <v>209836</v>
      </c>
    </row>
    <row r="3" spans="1:20" ht="94.5" x14ac:dyDescent="0.25">
      <c r="A3" s="47" t="s">
        <v>130</v>
      </c>
      <c r="B3" s="47" t="s">
        <v>204</v>
      </c>
      <c r="C3" s="53">
        <f>+Tabla15[[#This Row],[PRECIO SUGERIDO INSTALADOR]]</f>
        <v>363659.24</v>
      </c>
      <c r="D3" s="53">
        <f>+Tabla15[[#This Row],[PRECIO INSTALADOR
( CON  IVA)]]-Tabla15[[#This Row],[Columna23]]</f>
        <v>345476.27799999999</v>
      </c>
      <c r="E3" s="53">
        <f>+Tabla15[[#This Row],[DPP ORO]]</f>
        <v>295105.71999999997</v>
      </c>
      <c r="F3" s="53">
        <f>+Tabla15[[#This Row],[DPP PLATINO]]</f>
        <v>289203.60559999995</v>
      </c>
      <c r="G3" s="53">
        <f>+Tabla15[[#This Row],[PRECIO INSTALADOR
( CON  IVA)]]/0.7</f>
        <v>519513.2</v>
      </c>
      <c r="H3" s="45">
        <f>+Tabla15[[#This Row],[PRECIO INSTALADOR
( CON  IVA)]]*5%</f>
        <v>18182.962</v>
      </c>
      <c r="I3" s="18" t="e">
        <f t="shared" si="0"/>
        <v>#REF!</v>
      </c>
      <c r="J3" s="18" t="e">
        <f t="shared" si="1"/>
        <v>#REF!</v>
      </c>
      <c r="K3" s="17" t="e">
        <f t="shared" si="2"/>
        <v>#REF!</v>
      </c>
      <c r="L3" s="17" t="e">
        <f>+M3/#REF!</f>
        <v>#REF!</v>
      </c>
      <c r="M3" s="17">
        <f t="shared" si="3"/>
        <v>289203.60559999995</v>
      </c>
      <c r="N3" s="19">
        <f>+P3*2%</f>
        <v>5902.1143999999995</v>
      </c>
      <c r="O3" s="28" t="e">
        <f>+P3/#REF!</f>
        <v>#REF!</v>
      </c>
      <c r="P3" s="27">
        <f>Tabla15[[#This Row],[ORO SIN IVA]]*1.19</f>
        <v>295105.71999999997</v>
      </c>
      <c r="Q3" s="24" t="e">
        <f>+R3/#REF!</f>
        <v>#REF!</v>
      </c>
      <c r="R3" s="16">
        <f>Tabla15[[#This Row],[INSTALLER SIN IVA]]*1.19</f>
        <v>363659.24</v>
      </c>
      <c r="S3" s="24">
        <v>247988</v>
      </c>
      <c r="T3" s="18">
        <v>305596</v>
      </c>
    </row>
    <row r="4" spans="1:20" ht="94.5" x14ac:dyDescent="0.25">
      <c r="A4" s="47" t="s">
        <v>128</v>
      </c>
      <c r="B4" s="47" t="s">
        <v>205</v>
      </c>
      <c r="C4" s="53">
        <f>+Tabla15[[#This Row],[PRECIO SUGERIDO INSTALADOR]]</f>
        <v>249704.84</v>
      </c>
      <c r="D4" s="53">
        <f>+Tabla15[[#This Row],[PRECIO INSTALADOR
( CON  IVA)]]-Tabla15[[#This Row],[Columna23]]</f>
        <v>237219.598</v>
      </c>
      <c r="E4" s="53">
        <f>+Tabla15[[#This Row],[DPP ORO]]</f>
        <v>202585.59999999998</v>
      </c>
      <c r="F4" s="53">
        <f>+Tabla15[[#This Row],[DPP PLATINO]]</f>
        <v>198533.88799999998</v>
      </c>
      <c r="G4" s="53">
        <f>+Tabla15[[#This Row],[PRECIO INSTALADOR
( CON  IVA)]]/0.7</f>
        <v>356721.2</v>
      </c>
      <c r="H4" s="45">
        <f>+Tabla15[[#This Row],[PRECIO INSTALADOR
( CON  IVA)]]*5%</f>
        <v>12485.242</v>
      </c>
      <c r="I4" s="18" t="e">
        <f t="shared" si="0"/>
        <v>#REF!</v>
      </c>
      <c r="J4" s="18" t="e">
        <f t="shared" si="1"/>
        <v>#REF!</v>
      </c>
      <c r="K4" s="17" t="e">
        <f t="shared" si="2"/>
        <v>#REF!</v>
      </c>
      <c r="L4" s="17" t="e">
        <f>+M4/#REF!</f>
        <v>#REF!</v>
      </c>
      <c r="M4" s="17">
        <f t="shared" si="3"/>
        <v>198533.88799999998</v>
      </c>
      <c r="N4" s="19">
        <f>+P4*2%</f>
        <v>4051.7119999999995</v>
      </c>
      <c r="O4" s="28" t="e">
        <f>+P4/#REF!</f>
        <v>#REF!</v>
      </c>
      <c r="P4" s="27">
        <f>Tabla15[[#This Row],[ORO SIN IVA]]*1.19</f>
        <v>202585.59999999998</v>
      </c>
      <c r="Q4" s="24" t="e">
        <f>+R4/#REF!</f>
        <v>#REF!</v>
      </c>
      <c r="R4" s="16">
        <f>Tabla15[[#This Row],[INSTALLER SIN IVA]]*1.19</f>
        <v>249704.84</v>
      </c>
      <c r="S4" s="24">
        <v>170240</v>
      </c>
      <c r="T4" s="18">
        <v>209836</v>
      </c>
    </row>
    <row r="5" spans="1:20" ht="94.5" x14ac:dyDescent="0.25">
      <c r="A5" s="47" t="s">
        <v>127</v>
      </c>
      <c r="B5" s="47" t="s">
        <v>206</v>
      </c>
      <c r="C5" s="53">
        <f>+Tabla15[[#This Row],[PRECIO SUGERIDO INSTALADOR]]</f>
        <v>363659.24</v>
      </c>
      <c r="D5" s="53">
        <f>+Tabla15[[#This Row],[PRECIO INSTALADOR
( CON  IVA)]]-Tabla15[[#This Row],[Columna23]]</f>
        <v>345476.27799999999</v>
      </c>
      <c r="E5" s="53">
        <f>+Tabla15[[#This Row],[DPP ORO]]</f>
        <v>295105.71999999997</v>
      </c>
      <c r="F5" s="53">
        <f>+Tabla15[[#This Row],[DPP PLATINO]]</f>
        <v>292154.66279999999</v>
      </c>
      <c r="G5" s="53">
        <f>+Tabla15[[#This Row],[PRECIO INSTALADOR
( CON  IVA)]]/0.7</f>
        <v>519513.2</v>
      </c>
      <c r="H5" s="45">
        <f>+Tabla15[[#This Row],[PRECIO INSTALADOR
( CON  IVA)]]*5%</f>
        <v>18182.962</v>
      </c>
      <c r="I5" s="18" t="e">
        <f t="shared" si="0"/>
        <v>#REF!</v>
      </c>
      <c r="J5" s="18" t="e">
        <f t="shared" si="1"/>
        <v>#REF!</v>
      </c>
      <c r="K5" s="17" t="e">
        <f t="shared" si="2"/>
        <v>#REF!</v>
      </c>
      <c r="L5" s="17" t="e">
        <f>+M5/#REF!</f>
        <v>#REF!</v>
      </c>
      <c r="M5" s="17">
        <f t="shared" si="3"/>
        <v>292154.66279999999</v>
      </c>
      <c r="N5" s="19">
        <f t="shared" ref="N5:N25" si="4">+P5*1%</f>
        <v>2951.0571999999997</v>
      </c>
      <c r="O5" s="28" t="e">
        <f>+P5/#REF!</f>
        <v>#REF!</v>
      </c>
      <c r="P5" s="27">
        <f>Tabla15[[#This Row],[ORO SIN IVA]]*1.19</f>
        <v>295105.71999999997</v>
      </c>
      <c r="Q5" s="24" t="e">
        <f>+R5/#REF!</f>
        <v>#REF!</v>
      </c>
      <c r="R5" s="16">
        <f>Tabla15[[#This Row],[INSTALLER SIN IVA]]*1.19</f>
        <v>363659.24</v>
      </c>
      <c r="S5" s="24">
        <v>247988</v>
      </c>
      <c r="T5" s="18">
        <v>305596</v>
      </c>
    </row>
    <row r="6" spans="1:20" ht="94.5" x14ac:dyDescent="0.25">
      <c r="A6" s="47" t="s">
        <v>159</v>
      </c>
      <c r="B6" s="47" t="s">
        <v>207</v>
      </c>
      <c r="C6" s="53">
        <f>+Tabla15[[#This Row],[PRECIO SUGERIDO INSTALADOR]]</f>
        <v>226959.18</v>
      </c>
      <c r="D6" s="53">
        <f>+Tabla15[[#This Row],[PRECIO INSTALADOR
( CON  IVA)]]-Tabla15[[#This Row],[Columna23]]</f>
        <v>215611.22099999999</v>
      </c>
      <c r="E6" s="53">
        <f>+Tabla15[[#This Row],[DPP ORO]]</f>
        <v>189064.81999999998</v>
      </c>
      <c r="F6" s="53">
        <f>+Tabla15[[#This Row],[DPP PLATINO]]</f>
        <v>187174.17179999998</v>
      </c>
      <c r="G6" s="53">
        <f>+Tabla15[[#This Row],[PRECIO INSTALADOR
( CON  IVA)]]/0.7</f>
        <v>324227.40000000002</v>
      </c>
      <c r="H6" s="45">
        <f>+Tabla15[[#This Row],[PRECIO INSTALADOR
( CON  IVA)]]*5%</f>
        <v>11347.959000000001</v>
      </c>
      <c r="I6" s="18" t="e">
        <f t="shared" si="0"/>
        <v>#REF!</v>
      </c>
      <c r="J6" s="18" t="e">
        <f t="shared" si="1"/>
        <v>#REF!</v>
      </c>
      <c r="K6" s="17" t="e">
        <f t="shared" si="2"/>
        <v>#REF!</v>
      </c>
      <c r="L6" s="17" t="e">
        <f>+M6/#REF!</f>
        <v>#REF!</v>
      </c>
      <c r="M6" s="17">
        <f t="shared" si="3"/>
        <v>187174.17179999998</v>
      </c>
      <c r="N6" s="19">
        <f t="shared" si="4"/>
        <v>1890.6481999999999</v>
      </c>
      <c r="O6" s="28" t="e">
        <f>+P6/#REF!</f>
        <v>#REF!</v>
      </c>
      <c r="P6" s="27">
        <f>Tabla15[[#This Row],[ORO SIN IVA]]*1.19</f>
        <v>189064.81999999998</v>
      </c>
      <c r="Q6" s="24" t="e">
        <f>+R6/#REF!</f>
        <v>#REF!</v>
      </c>
      <c r="R6" s="16">
        <f>Tabla15[[#This Row],[INSTALLER SIN IVA]]*1.19</f>
        <v>226959.18</v>
      </c>
      <c r="S6" s="24">
        <v>158878</v>
      </c>
      <c r="T6" s="18">
        <v>190722</v>
      </c>
    </row>
    <row r="7" spans="1:20" ht="108" x14ac:dyDescent="0.25">
      <c r="A7" s="47" t="s">
        <v>58</v>
      </c>
      <c r="B7" s="47" t="s">
        <v>208</v>
      </c>
      <c r="C7" s="53">
        <f>+Tabla15[[#This Row],[PRECIO SUGERIDO INSTALADOR]]</f>
        <v>410733.26</v>
      </c>
      <c r="D7" s="53">
        <f>+Tabla15[[#This Row],[PRECIO INSTALADOR
( CON  IVA)]]-Tabla15[[#This Row],[Columna23]]</f>
        <v>390196.59700000001</v>
      </c>
      <c r="E7" s="53">
        <f>+Tabla15[[#This Row],[DPP ORO]]</f>
        <v>333045.3</v>
      </c>
      <c r="F7" s="53">
        <f>+Tabla15[[#This Row],[DPP PLATINO]]</f>
        <v>329714.84700000001</v>
      </c>
      <c r="G7" s="53">
        <f>+Tabla15[[#This Row],[PRECIO INSTALADOR
( CON  IVA)]]/0.7</f>
        <v>586761.80000000005</v>
      </c>
      <c r="H7" s="45">
        <f>+Tabla15[[#This Row],[PRECIO INSTALADOR
( CON  IVA)]]*5%</f>
        <v>20536.663</v>
      </c>
      <c r="I7" s="18" t="e">
        <f t="shared" si="0"/>
        <v>#REF!</v>
      </c>
      <c r="J7" s="18" t="e">
        <f t="shared" si="1"/>
        <v>#REF!</v>
      </c>
      <c r="K7" s="17" t="e">
        <f t="shared" si="2"/>
        <v>#REF!</v>
      </c>
      <c r="L7" s="17" t="e">
        <f>+M7/#REF!</f>
        <v>#REF!</v>
      </c>
      <c r="M7" s="17">
        <f t="shared" si="3"/>
        <v>329714.84700000001</v>
      </c>
      <c r="N7" s="19">
        <f t="shared" si="4"/>
        <v>3330.453</v>
      </c>
      <c r="O7" s="28" t="e">
        <f>+P7/#REF!</f>
        <v>#REF!</v>
      </c>
      <c r="P7" s="27">
        <f>Tabla15[[#This Row],[ORO SIN IVA]]*1.19</f>
        <v>333045.3</v>
      </c>
      <c r="Q7" s="24" t="e">
        <f>+R7/#REF!</f>
        <v>#REF!</v>
      </c>
      <c r="R7" s="16">
        <f>Tabla15[[#This Row],[INSTALLER SIN IVA]]*1.19</f>
        <v>410733.26</v>
      </c>
      <c r="S7" s="24">
        <v>279870</v>
      </c>
      <c r="T7" s="18">
        <v>345154</v>
      </c>
    </row>
    <row r="8" spans="1:20" ht="94.5" x14ac:dyDescent="0.25">
      <c r="A8" s="47" t="s">
        <v>68</v>
      </c>
      <c r="B8" s="47" t="s">
        <v>209</v>
      </c>
      <c r="C8" s="53">
        <f>+Tabla15[[#This Row],[PRECIO SUGERIDO INSTALADOR]]</f>
        <v>904942.64</v>
      </c>
      <c r="D8" s="53">
        <f>+Tabla15[[#This Row],[PRECIO INSTALADOR
( CON  IVA)]]-Tabla15[[#This Row],[Columna23]]</f>
        <v>859695.50800000003</v>
      </c>
      <c r="E8" s="53">
        <f>+Tabla15[[#This Row],[DPP ORO]]</f>
        <v>777241.36</v>
      </c>
      <c r="F8" s="53">
        <f>+Tabla15[[#This Row],[DPP PLATINO]]</f>
        <v>769468.94640000002</v>
      </c>
      <c r="G8" s="53">
        <f>+Tabla15[[#This Row],[PRECIO INSTALADOR
( CON  IVA)]]/0.7</f>
        <v>1292775.2000000002</v>
      </c>
      <c r="H8" s="45">
        <f>+Tabla15[[#This Row],[PRECIO INSTALADOR
( CON  IVA)]]*5%</f>
        <v>45247.132000000005</v>
      </c>
      <c r="I8" s="18" t="e">
        <f t="shared" si="0"/>
        <v>#REF!</v>
      </c>
      <c r="J8" s="18" t="e">
        <f t="shared" si="1"/>
        <v>#REF!</v>
      </c>
      <c r="K8" s="17" t="e">
        <f t="shared" si="2"/>
        <v>#REF!</v>
      </c>
      <c r="L8" s="17" t="e">
        <f>+M8/#REF!</f>
        <v>#REF!</v>
      </c>
      <c r="M8" s="17">
        <f t="shared" si="3"/>
        <v>769468.94640000002</v>
      </c>
      <c r="N8" s="19">
        <f t="shared" si="4"/>
        <v>7772.4135999999999</v>
      </c>
      <c r="O8" s="28" t="e">
        <f>+P8/#REF!</f>
        <v>#REF!</v>
      </c>
      <c r="P8" s="27">
        <f>Tabla15[[#This Row],[ORO SIN IVA]]*1.19</f>
        <v>777241.36</v>
      </c>
      <c r="Q8" s="24" t="e">
        <f>+R8/#REF!</f>
        <v>#REF!</v>
      </c>
      <c r="R8" s="16">
        <f>Tabla15[[#This Row],[INSTALLER SIN IVA]]*1.19</f>
        <v>904942.64</v>
      </c>
      <c r="S8" s="24">
        <v>653144</v>
      </c>
      <c r="T8" s="18">
        <v>760456</v>
      </c>
    </row>
    <row r="9" spans="1:20" ht="94.5" x14ac:dyDescent="0.25">
      <c r="A9" s="47" t="s">
        <v>210</v>
      </c>
      <c r="B9" s="47" t="s">
        <v>211</v>
      </c>
      <c r="C9" s="53">
        <f>+Tabla15[[#This Row],[PRECIO SUGERIDO INSTALADOR]]</f>
        <v>904942.64</v>
      </c>
      <c r="D9" s="53">
        <f>+Tabla15[[#This Row],[PRECIO INSTALADOR
( CON  IVA)]]-Tabla15[[#This Row],[Columna23]]</f>
        <v>859695.50800000003</v>
      </c>
      <c r="E9" s="53">
        <f>+Tabla15[[#This Row],[DPP ORO]]</f>
        <v>777241.36</v>
      </c>
      <c r="F9" s="53">
        <f>+Tabla15[[#This Row],[DPP PLATINO]]</f>
        <v>769468.94640000002</v>
      </c>
      <c r="G9" s="53">
        <f>+Tabla15[[#This Row],[PRECIO INSTALADOR
( CON  IVA)]]/0.7</f>
        <v>1292775.2000000002</v>
      </c>
      <c r="H9" s="45">
        <f>+Tabla15[[#This Row],[PRECIO INSTALADOR
( CON  IVA)]]*5%</f>
        <v>45247.132000000005</v>
      </c>
      <c r="I9" s="18" t="e">
        <f t="shared" si="0"/>
        <v>#REF!</v>
      </c>
      <c r="J9" s="18" t="e">
        <f t="shared" si="1"/>
        <v>#REF!</v>
      </c>
      <c r="K9" s="17" t="e">
        <f t="shared" si="2"/>
        <v>#REF!</v>
      </c>
      <c r="L9" s="17" t="e">
        <f>+M9/#REF!</f>
        <v>#REF!</v>
      </c>
      <c r="M9" s="17">
        <f t="shared" si="3"/>
        <v>769468.94640000002</v>
      </c>
      <c r="N9" s="19">
        <f t="shared" si="4"/>
        <v>7772.4135999999999</v>
      </c>
      <c r="O9" s="28" t="e">
        <f>+P9/#REF!</f>
        <v>#REF!</v>
      </c>
      <c r="P9" s="27">
        <f>Tabla15[[#This Row],[ORO SIN IVA]]*1.19</f>
        <v>777241.36</v>
      </c>
      <c r="Q9" s="24" t="e">
        <f>+R9/#REF!</f>
        <v>#REF!</v>
      </c>
      <c r="R9" s="16">
        <f>Tabla15[[#This Row],[INSTALLER SIN IVA]]*1.19</f>
        <v>904942.64</v>
      </c>
      <c r="S9" s="24">
        <v>653144</v>
      </c>
      <c r="T9" s="18">
        <v>760456</v>
      </c>
    </row>
    <row r="10" spans="1:20" ht="81" x14ac:dyDescent="0.25">
      <c r="A10" s="47" t="s">
        <v>212</v>
      </c>
      <c r="B10" s="47" t="s">
        <v>213</v>
      </c>
      <c r="C10" s="53">
        <f>+Tabla15[[#This Row],[PRECIO SUGERIDO INSTALADOR]]</f>
        <v>966939.26</v>
      </c>
      <c r="D10" s="53">
        <f>+Tabla15[[#This Row],[PRECIO INSTALADOR
( CON  IVA)]]-Tabla15[[#This Row],[Columna23]]</f>
        <v>918592.29700000002</v>
      </c>
      <c r="E10" s="53">
        <f>+Tabla15[[#This Row],[DPP ORO]]</f>
        <v>830555.74</v>
      </c>
      <c r="F10" s="53">
        <f>+Tabla15[[#This Row],[DPP PLATINO]]</f>
        <v>822250.18259999994</v>
      </c>
      <c r="G10" s="53">
        <f>+Tabla15[[#This Row],[PRECIO INSTALADOR
( CON  IVA)]]/0.7</f>
        <v>1381341.8</v>
      </c>
      <c r="H10" s="45">
        <f>+Tabla15[[#This Row],[PRECIO INSTALADOR
( CON  IVA)]]*5%</f>
        <v>48346.963000000003</v>
      </c>
      <c r="I10" s="18" t="e">
        <f t="shared" si="0"/>
        <v>#REF!</v>
      </c>
      <c r="J10" s="18" t="e">
        <f t="shared" si="1"/>
        <v>#REF!</v>
      </c>
      <c r="K10" s="17" t="e">
        <f t="shared" si="2"/>
        <v>#REF!</v>
      </c>
      <c r="L10" s="17" t="e">
        <f>+M10/#REF!</f>
        <v>#REF!</v>
      </c>
      <c r="M10" s="17">
        <f t="shared" si="3"/>
        <v>822250.18259999994</v>
      </c>
      <c r="N10" s="19">
        <f t="shared" si="4"/>
        <v>8305.5573999999997</v>
      </c>
      <c r="O10" s="28" t="e">
        <f>+P10/#REF!</f>
        <v>#REF!</v>
      </c>
      <c r="P10" s="27">
        <f>Tabla15[[#This Row],[ORO SIN IVA]]*1.19</f>
        <v>830555.74</v>
      </c>
      <c r="Q10" s="24" t="e">
        <f>+R10/#REF!</f>
        <v>#REF!</v>
      </c>
      <c r="R10" s="16">
        <f>Tabla15[[#This Row],[INSTALLER SIN IVA]]*1.19</f>
        <v>966939.26</v>
      </c>
      <c r="S10" s="24">
        <v>697946</v>
      </c>
      <c r="T10" s="18">
        <v>812554</v>
      </c>
    </row>
    <row r="11" spans="1:20" ht="94.5" x14ac:dyDescent="0.25">
      <c r="A11" s="47" t="s">
        <v>214</v>
      </c>
      <c r="B11" s="47" t="s">
        <v>215</v>
      </c>
      <c r="C11" s="53">
        <f>+Tabla15[[#This Row],[PRECIO SUGERIDO INSTALADOR]]</f>
        <v>986338.64</v>
      </c>
      <c r="D11" s="53">
        <f>+Tabla15[[#This Row],[PRECIO INSTALADOR
( CON  IVA)]]-Tabla15[[#This Row],[Columna23]]</f>
        <v>937021.70799999998</v>
      </c>
      <c r="E11" s="53">
        <f>+Tabla15[[#This Row],[DPP ORO]]</f>
        <v>847151.48</v>
      </c>
      <c r="F11" s="53">
        <f>+Tabla15[[#This Row],[DPP PLATINO]]</f>
        <v>838679.96519999998</v>
      </c>
      <c r="G11" s="53">
        <f>+Tabla15[[#This Row],[PRECIO INSTALADOR
( CON  IVA)]]/0.7</f>
        <v>1409055.2000000002</v>
      </c>
      <c r="H11" s="45">
        <f>+Tabla15[[#This Row],[PRECIO INSTALADOR
( CON  IVA)]]*5%</f>
        <v>49316.932000000001</v>
      </c>
      <c r="I11" s="18" t="e">
        <f t="shared" si="0"/>
        <v>#REF!</v>
      </c>
      <c r="J11" s="18" t="e">
        <f t="shared" si="1"/>
        <v>#REF!</v>
      </c>
      <c r="K11" s="17" t="e">
        <f t="shared" si="2"/>
        <v>#REF!</v>
      </c>
      <c r="L11" s="17" t="e">
        <f>+M11/#REF!</f>
        <v>#REF!</v>
      </c>
      <c r="M11" s="17">
        <f t="shared" si="3"/>
        <v>838679.96519999998</v>
      </c>
      <c r="N11" s="19">
        <f t="shared" si="4"/>
        <v>8471.5148000000008</v>
      </c>
      <c r="O11" s="28" t="e">
        <f>+P11/#REF!</f>
        <v>#REF!</v>
      </c>
      <c r="P11" s="27">
        <f>Tabla15[[#This Row],[ORO SIN IVA]]*1.19</f>
        <v>847151.48</v>
      </c>
      <c r="Q11" s="24" t="e">
        <f>+R11/#REF!</f>
        <v>#REF!</v>
      </c>
      <c r="R11" s="16">
        <f>Tabla15[[#This Row],[INSTALLER SIN IVA]]*1.19</f>
        <v>986338.64</v>
      </c>
      <c r="S11" s="24">
        <v>711892</v>
      </c>
      <c r="T11" s="18">
        <v>828856</v>
      </c>
    </row>
    <row r="12" spans="1:20" ht="81" x14ac:dyDescent="0.25">
      <c r="A12" s="47" t="s">
        <v>188</v>
      </c>
      <c r="B12" s="47" t="s">
        <v>216</v>
      </c>
      <c r="C12" s="53">
        <f>+Tabla15[[#This Row],[PRECIO SUGERIDO INSTALADOR]]</f>
        <v>986338.64</v>
      </c>
      <c r="D12" s="53">
        <f>+Tabla15[[#This Row],[PRECIO INSTALADOR
( CON  IVA)]]-Tabla15[[#This Row],[Columna23]]</f>
        <v>937021.70799999998</v>
      </c>
      <c r="E12" s="53">
        <f>+Tabla15[[#This Row],[DPP ORO]]</f>
        <v>847151.48</v>
      </c>
      <c r="F12" s="53">
        <f>+Tabla15[[#This Row],[DPP PLATINO]]</f>
        <v>838679.96519999998</v>
      </c>
      <c r="G12" s="53">
        <f>+Tabla15[[#This Row],[PRECIO INSTALADOR
( CON  IVA)]]/0.7</f>
        <v>1409055.2000000002</v>
      </c>
      <c r="H12" s="45">
        <f>+Tabla15[[#This Row],[PRECIO INSTALADOR
( CON  IVA)]]*5%</f>
        <v>49316.932000000001</v>
      </c>
      <c r="I12" s="18" t="e">
        <f t="shared" si="0"/>
        <v>#REF!</v>
      </c>
      <c r="J12" s="18" t="e">
        <f t="shared" si="1"/>
        <v>#REF!</v>
      </c>
      <c r="K12" s="17" t="e">
        <f t="shared" si="2"/>
        <v>#REF!</v>
      </c>
      <c r="L12" s="17" t="e">
        <f>+M12/#REF!</f>
        <v>#REF!</v>
      </c>
      <c r="M12" s="17">
        <f t="shared" si="3"/>
        <v>838679.96519999998</v>
      </c>
      <c r="N12" s="19">
        <f t="shared" si="4"/>
        <v>8471.5148000000008</v>
      </c>
      <c r="O12" s="28" t="e">
        <f>+P12/#REF!</f>
        <v>#REF!</v>
      </c>
      <c r="P12" s="27">
        <f>Tabla15[[#This Row],[ORO SIN IVA]]*1.19</f>
        <v>847151.48</v>
      </c>
      <c r="Q12" s="24" t="e">
        <f>+R12/#REF!</f>
        <v>#REF!</v>
      </c>
      <c r="R12" s="16">
        <f>Tabla15[[#This Row],[INSTALLER SIN IVA]]*1.19</f>
        <v>986338.64</v>
      </c>
      <c r="S12" s="24">
        <v>711892</v>
      </c>
      <c r="T12" s="18">
        <v>828856</v>
      </c>
    </row>
    <row r="13" spans="1:20" ht="40.5" x14ac:dyDescent="0.25">
      <c r="A13" s="47" t="s">
        <v>50</v>
      </c>
      <c r="B13" s="47" t="s">
        <v>49</v>
      </c>
      <c r="C13" s="53">
        <f>+Tabla15[[#This Row],[PRECIO SUGERIDO INSTALADOR]]</f>
        <v>129962.28</v>
      </c>
      <c r="D13" s="53">
        <f>+Tabla15[[#This Row],[PRECIO INSTALADOR
( CON  IVA)]]-Tabla15[[#This Row],[Columna23]]</f>
        <v>123464.166</v>
      </c>
      <c r="E13" s="53">
        <f>+Tabla15[[#This Row],[DPP ORO]]</f>
        <v>108754.09999999999</v>
      </c>
      <c r="F13" s="53">
        <f>+Tabla15[[#This Row],[DPP PLATINO]]</f>
        <v>107666.55899999999</v>
      </c>
      <c r="G13" s="53">
        <f>+Tabla15[[#This Row],[PRECIO INSTALADOR
( CON  IVA)]]/0.7</f>
        <v>185660.40000000002</v>
      </c>
      <c r="H13" s="45">
        <f>+Tabla15[[#This Row],[PRECIO INSTALADOR
( CON  IVA)]]*5%</f>
        <v>6498.1140000000005</v>
      </c>
      <c r="I13" s="18" t="e">
        <f t="shared" si="0"/>
        <v>#REF!</v>
      </c>
      <c r="J13" s="18" t="e">
        <f t="shared" si="1"/>
        <v>#REF!</v>
      </c>
      <c r="K13" s="17" t="e">
        <f t="shared" si="2"/>
        <v>#REF!</v>
      </c>
      <c r="L13" s="17" t="e">
        <f>+M13/#REF!</f>
        <v>#REF!</v>
      </c>
      <c r="M13" s="17">
        <f t="shared" si="3"/>
        <v>107666.55899999999</v>
      </c>
      <c r="N13" s="19">
        <f t="shared" si="4"/>
        <v>1087.5409999999999</v>
      </c>
      <c r="O13" s="28" t="e">
        <f>+P13/#REF!</f>
        <v>#REF!</v>
      </c>
      <c r="P13" s="27">
        <f>Tabla15[[#This Row],[ORO SIN IVA]]*1.19</f>
        <v>108754.09999999999</v>
      </c>
      <c r="Q13" s="24" t="e">
        <f>+R13/#REF!</f>
        <v>#REF!</v>
      </c>
      <c r="R13" s="16">
        <f>Tabla15[[#This Row],[INSTALLER SIN IVA]]*1.19</f>
        <v>129962.28</v>
      </c>
      <c r="S13" s="24">
        <v>91390</v>
      </c>
      <c r="T13" s="18">
        <v>109212</v>
      </c>
    </row>
    <row r="14" spans="1:20" ht="40.5" x14ac:dyDescent="0.25">
      <c r="A14" s="47" t="s">
        <v>48</v>
      </c>
      <c r="B14" s="47" t="s">
        <v>47</v>
      </c>
      <c r="C14" s="53">
        <f>+Tabla15[[#This Row],[PRECIO SUGERIDO INSTALADOR]]</f>
        <v>162565.9</v>
      </c>
      <c r="D14" s="53">
        <f>+Tabla15[[#This Row],[PRECIO INSTALADOR
( CON  IVA)]]-Tabla15[[#This Row],[Columna23]]</f>
        <v>154437.60499999998</v>
      </c>
      <c r="E14" s="53">
        <f>+Tabla15[[#This Row],[DPP ORO]]</f>
        <v>135976.54</v>
      </c>
      <c r="F14" s="53">
        <f>+Tabla15[[#This Row],[DPP PLATINO]]</f>
        <v>134616.7746</v>
      </c>
      <c r="G14" s="53">
        <f>+Tabla15[[#This Row],[PRECIO INSTALADOR
( CON  IVA)]]/0.7</f>
        <v>232237</v>
      </c>
      <c r="H14" s="45">
        <f>+Tabla15[[#This Row],[PRECIO INSTALADOR
( CON  IVA)]]*5%</f>
        <v>8128.2950000000001</v>
      </c>
      <c r="I14" s="18" t="e">
        <f t="shared" si="0"/>
        <v>#REF!</v>
      </c>
      <c r="J14" s="18" t="e">
        <f t="shared" si="1"/>
        <v>#REF!</v>
      </c>
      <c r="K14" s="17" t="e">
        <f t="shared" si="2"/>
        <v>#REF!</v>
      </c>
      <c r="L14" s="17" t="e">
        <f>+M14/#REF!</f>
        <v>#REF!</v>
      </c>
      <c r="M14" s="17">
        <f t="shared" si="3"/>
        <v>134616.7746</v>
      </c>
      <c r="N14" s="19">
        <f t="shared" si="4"/>
        <v>1359.7654</v>
      </c>
      <c r="O14" s="28" t="e">
        <f>+P14/#REF!</f>
        <v>#REF!</v>
      </c>
      <c r="P14" s="27">
        <f>Tabla15[[#This Row],[ORO SIN IVA]]*1.19</f>
        <v>135976.54</v>
      </c>
      <c r="Q14" s="24" t="e">
        <f>+R14/#REF!</f>
        <v>#REF!</v>
      </c>
      <c r="R14" s="16">
        <f>Tabla15[[#This Row],[INSTALLER SIN IVA]]*1.19</f>
        <v>162565.9</v>
      </c>
      <c r="S14" s="24">
        <v>114266.00000000001</v>
      </c>
      <c r="T14" s="18">
        <v>136610</v>
      </c>
    </row>
    <row r="15" spans="1:20" ht="27" x14ac:dyDescent="0.25">
      <c r="A15" s="47" t="s">
        <v>137</v>
      </c>
      <c r="B15" s="47" t="s">
        <v>136</v>
      </c>
      <c r="C15" s="53">
        <f>+Tabla15[[#This Row],[PRECIO SUGERIDO INSTALADOR]]</f>
        <v>159400.5</v>
      </c>
      <c r="D15" s="53">
        <f>+Tabla15[[#This Row],[PRECIO INSTALADOR
( CON  IVA)]]-Tabla15[[#This Row],[Columna23]]</f>
        <v>151430.47500000001</v>
      </c>
      <c r="E15" s="53">
        <f>+Tabla15[[#This Row],[DPP ORO]]</f>
        <v>133308.56</v>
      </c>
      <c r="F15" s="53">
        <f>+Tabla15[[#This Row],[DPP PLATINO]]</f>
        <v>131975.47440000001</v>
      </c>
      <c r="G15" s="53">
        <f>+Tabla15[[#This Row],[PRECIO INSTALADOR
( CON  IVA)]]/0.7</f>
        <v>227715</v>
      </c>
      <c r="H15" s="45">
        <f>+Tabla15[[#This Row],[PRECIO INSTALADOR
( CON  IVA)]]*5%</f>
        <v>7970.0250000000005</v>
      </c>
      <c r="I15" s="18" t="e">
        <f t="shared" si="0"/>
        <v>#REF!</v>
      </c>
      <c r="J15" s="18" t="e">
        <f t="shared" si="1"/>
        <v>#REF!</v>
      </c>
      <c r="K15" s="17" t="e">
        <f t="shared" si="2"/>
        <v>#REF!</v>
      </c>
      <c r="L15" s="17" t="e">
        <f>+M15/#REF!</f>
        <v>#REF!</v>
      </c>
      <c r="M15" s="17">
        <f t="shared" si="3"/>
        <v>131975.47440000001</v>
      </c>
      <c r="N15" s="19">
        <f t="shared" si="4"/>
        <v>1333.0856000000001</v>
      </c>
      <c r="O15" s="28" t="e">
        <f>+P15/#REF!</f>
        <v>#REF!</v>
      </c>
      <c r="P15" s="30">
        <f>Tabla15[[#This Row],[ORO SIN IVA]]*1.19</f>
        <v>133308.56</v>
      </c>
      <c r="Q15" s="24" t="e">
        <f>+R15/#REF!</f>
        <v>#REF!</v>
      </c>
      <c r="R15" s="22">
        <f>Tabla15[[#This Row],[INSTALLER SIN IVA]]*1.19</f>
        <v>159400.5</v>
      </c>
      <c r="S15" s="24">
        <v>112024</v>
      </c>
      <c r="T15" s="18">
        <v>133950</v>
      </c>
    </row>
    <row r="16" spans="1:20" ht="27" x14ac:dyDescent="0.25">
      <c r="A16" s="47" t="s">
        <v>119</v>
      </c>
      <c r="B16" s="47" t="s">
        <v>118</v>
      </c>
      <c r="C16" s="53">
        <f>+Tabla15[[#This Row],[PRECIO SUGERIDO INSTALADOR]]</f>
        <v>191235.38</v>
      </c>
      <c r="D16" s="53">
        <f>+Tabla15[[#This Row],[PRECIO INSTALADOR
( CON  IVA)]]-Tabla15[[#This Row],[Columna23]]</f>
        <v>181673.611</v>
      </c>
      <c r="E16" s="53">
        <f>+Tabla15[[#This Row],[DPP ORO]]</f>
        <v>159897.91999999998</v>
      </c>
      <c r="F16" s="53">
        <f>+Tabla15[[#This Row],[DPP PLATINO]]</f>
        <v>158298.94079999998</v>
      </c>
      <c r="G16" s="53">
        <f>+Tabla15[[#This Row],[PRECIO INSTALADOR
( CON  IVA)]]/0.7</f>
        <v>273193.40000000002</v>
      </c>
      <c r="H16" s="45">
        <f>+Tabla15[[#This Row],[PRECIO INSTALADOR
( CON  IVA)]]*5%</f>
        <v>9561.7690000000002</v>
      </c>
      <c r="I16" s="18" t="e">
        <f t="shared" si="0"/>
        <v>#REF!</v>
      </c>
      <c r="J16" s="18" t="e">
        <f t="shared" si="1"/>
        <v>#REF!</v>
      </c>
      <c r="K16" s="17" t="e">
        <f t="shared" si="2"/>
        <v>#REF!</v>
      </c>
      <c r="L16" s="17" t="e">
        <f>+M16/#REF!</f>
        <v>#REF!</v>
      </c>
      <c r="M16" s="17">
        <f t="shared" si="3"/>
        <v>158298.94079999998</v>
      </c>
      <c r="N16" s="19">
        <f t="shared" si="4"/>
        <v>1598.9791999999998</v>
      </c>
      <c r="O16" s="28" t="e">
        <f>+P16/#REF!</f>
        <v>#REF!</v>
      </c>
      <c r="P16" s="30">
        <f>Tabla15[[#This Row],[ORO SIN IVA]]*1.19</f>
        <v>159897.91999999998</v>
      </c>
      <c r="Q16" s="24" t="e">
        <f>+R16/#REF!</f>
        <v>#REF!</v>
      </c>
      <c r="R16" s="22">
        <f>Tabla15[[#This Row],[INSTALLER SIN IVA]]*1.19</f>
        <v>191235.38</v>
      </c>
      <c r="S16" s="24">
        <v>134368</v>
      </c>
      <c r="T16" s="18">
        <v>160702</v>
      </c>
    </row>
    <row r="17" spans="1:20" ht="27" x14ac:dyDescent="0.25">
      <c r="A17" s="47" t="s">
        <v>54</v>
      </c>
      <c r="B17" s="47" t="s">
        <v>53</v>
      </c>
      <c r="C17" s="53">
        <f>+Tabla15[[#This Row],[PRECIO SUGERIDO INSTALADOR]]</f>
        <v>215066.31999999998</v>
      </c>
      <c r="D17" s="53">
        <f>+Tabla15[[#This Row],[PRECIO INSTALADOR
( CON  IVA)]]-Tabla15[[#This Row],[Columna23]]</f>
        <v>204313.00399999999</v>
      </c>
      <c r="E17" s="53">
        <f>+Tabla15[[#This Row],[DPP ORO]]</f>
        <v>179930.38</v>
      </c>
      <c r="F17" s="53">
        <f>+Tabla15[[#This Row],[DPP PLATINO]]</f>
        <v>178131.07620000001</v>
      </c>
      <c r="G17" s="53">
        <f>+Tabla15[[#This Row],[PRECIO INSTALADOR
( CON  IVA)]]/0.7</f>
        <v>307237.59999999998</v>
      </c>
      <c r="H17" s="45">
        <f>+Tabla15[[#This Row],[PRECIO INSTALADOR
( CON  IVA)]]*5%</f>
        <v>10753.315999999999</v>
      </c>
      <c r="I17" s="18" t="e">
        <f t="shared" si="0"/>
        <v>#REF!</v>
      </c>
      <c r="J17" s="18" t="e">
        <f t="shared" si="1"/>
        <v>#REF!</v>
      </c>
      <c r="K17" s="17" t="e">
        <f t="shared" si="2"/>
        <v>#REF!</v>
      </c>
      <c r="L17" s="17" t="e">
        <f>+M17/#REF!</f>
        <v>#REF!</v>
      </c>
      <c r="M17" s="17">
        <f t="shared" si="3"/>
        <v>178131.07620000001</v>
      </c>
      <c r="N17" s="19">
        <f t="shared" si="4"/>
        <v>1799.3038000000001</v>
      </c>
      <c r="O17" s="28" t="e">
        <f>+P17/#REF!</f>
        <v>#REF!</v>
      </c>
      <c r="P17" s="30">
        <f>Tabla15[[#This Row],[ORO SIN IVA]]*1.19</f>
        <v>179930.38</v>
      </c>
      <c r="Q17" s="24" t="e">
        <f>+R17/#REF!</f>
        <v>#REF!</v>
      </c>
      <c r="R17" s="22">
        <f>Tabla15[[#This Row],[INSTALLER SIN IVA]]*1.19</f>
        <v>215066.31999999998</v>
      </c>
      <c r="S17" s="24">
        <v>151202</v>
      </c>
      <c r="T17" s="18">
        <v>180728</v>
      </c>
    </row>
    <row r="18" spans="1:20" ht="27" x14ac:dyDescent="0.25">
      <c r="A18" s="47" t="s">
        <v>52</v>
      </c>
      <c r="B18" s="47" t="s">
        <v>51</v>
      </c>
      <c r="C18" s="53">
        <f>+Tabla15[[#This Row],[PRECIO SUGERIDO INSTALADOR]]</f>
        <v>251106.65999999997</v>
      </c>
      <c r="D18" s="53">
        <f>+Tabla15[[#This Row],[PRECIO INSTALADOR
( CON  IVA)]]-Tabla15[[#This Row],[Columna23]]</f>
        <v>238551.32699999999</v>
      </c>
      <c r="E18" s="53">
        <f>+Tabla15[[#This Row],[DPP ORO]]</f>
        <v>210046.9</v>
      </c>
      <c r="F18" s="53">
        <f>+Tabla15[[#This Row],[DPP PLATINO]]</f>
        <v>207946.43099999998</v>
      </c>
      <c r="G18" s="53">
        <f>+Tabla15[[#This Row],[PRECIO INSTALADOR
( CON  IVA)]]/0.7</f>
        <v>358723.8</v>
      </c>
      <c r="H18" s="45">
        <f>+Tabla15[[#This Row],[PRECIO INSTALADOR
( CON  IVA)]]*5%</f>
        <v>12555.332999999999</v>
      </c>
      <c r="I18" s="18" t="e">
        <f t="shared" si="0"/>
        <v>#REF!</v>
      </c>
      <c r="J18" s="18" t="e">
        <f t="shared" si="1"/>
        <v>#REF!</v>
      </c>
      <c r="K18" s="17" t="e">
        <f t="shared" si="2"/>
        <v>#REF!</v>
      </c>
      <c r="L18" s="17" t="e">
        <f>+M18/#REF!</f>
        <v>#REF!</v>
      </c>
      <c r="M18" s="17">
        <f t="shared" si="3"/>
        <v>207946.43099999998</v>
      </c>
      <c r="N18" s="19">
        <f t="shared" si="4"/>
        <v>2100.4690000000001</v>
      </c>
      <c r="O18" s="28" t="e">
        <f>+P18/#REF!</f>
        <v>#REF!</v>
      </c>
      <c r="P18" s="30">
        <f>Tabla15[[#This Row],[ORO SIN IVA]]*1.19</f>
        <v>210046.9</v>
      </c>
      <c r="Q18" s="24" t="e">
        <f>+R18/#REF!</f>
        <v>#REF!</v>
      </c>
      <c r="R18" s="22">
        <f>Tabla15[[#This Row],[INSTALLER SIN IVA]]*1.19</f>
        <v>251106.65999999997</v>
      </c>
      <c r="S18" s="24">
        <v>176510</v>
      </c>
      <c r="T18" s="18">
        <v>211014</v>
      </c>
    </row>
    <row r="19" spans="1:20" ht="54" x14ac:dyDescent="0.25">
      <c r="A19" s="47" t="s">
        <v>88</v>
      </c>
      <c r="B19" s="47" t="s">
        <v>217</v>
      </c>
      <c r="C19" s="53">
        <f>+Tabla15[[#This Row],[PRECIO SUGERIDO INSTALADOR]]</f>
        <v>127429.95999999999</v>
      </c>
      <c r="D19" s="53">
        <f>+Tabla15[[#This Row],[PRECIO INSTALADOR
( CON  IVA)]]-Tabla15[[#This Row],[Columna23]]</f>
        <v>121058.462</v>
      </c>
      <c r="E19" s="53">
        <f>+Tabla15[[#This Row],[DPP ORO]]</f>
        <v>106583.54</v>
      </c>
      <c r="F19" s="53">
        <f>+Tabla15[[#This Row],[DPP PLATINO]]</f>
        <v>105517.7046</v>
      </c>
      <c r="G19" s="53">
        <f>+Tabla15[[#This Row],[PRECIO INSTALADOR
( CON  IVA)]]/0.7</f>
        <v>182042.8</v>
      </c>
      <c r="H19" s="45">
        <f>+Tabla15[[#This Row],[PRECIO INSTALADOR
( CON  IVA)]]*5%</f>
        <v>6371.4979999999996</v>
      </c>
      <c r="I19" s="18" t="e">
        <f t="shared" si="0"/>
        <v>#REF!</v>
      </c>
      <c r="J19" s="18" t="e">
        <f t="shared" si="1"/>
        <v>#REF!</v>
      </c>
      <c r="K19" s="17" t="e">
        <f t="shared" si="2"/>
        <v>#REF!</v>
      </c>
      <c r="L19" s="17" t="e">
        <f>+M19/#REF!</f>
        <v>#REF!</v>
      </c>
      <c r="M19" s="17">
        <f t="shared" si="3"/>
        <v>105517.7046</v>
      </c>
      <c r="N19" s="19">
        <f t="shared" si="4"/>
        <v>1065.8353999999999</v>
      </c>
      <c r="O19" s="28" t="e">
        <f>+P19/#REF!</f>
        <v>#REF!</v>
      </c>
      <c r="P19" s="30">
        <f>Tabla15[[#This Row],[ORO SIN IVA]]*1.19</f>
        <v>106583.54</v>
      </c>
      <c r="Q19" s="24" t="e">
        <f>+R19/#REF!</f>
        <v>#REF!</v>
      </c>
      <c r="R19" s="22">
        <f>Tabla15[[#This Row],[INSTALLER SIN IVA]]*1.19</f>
        <v>127429.95999999999</v>
      </c>
      <c r="S19" s="24">
        <v>89566</v>
      </c>
      <c r="T19" s="18">
        <v>107084</v>
      </c>
    </row>
    <row r="20" spans="1:20" ht="27" x14ac:dyDescent="0.25">
      <c r="A20" s="47" t="s">
        <v>124</v>
      </c>
      <c r="B20" s="47" t="s">
        <v>218</v>
      </c>
      <c r="C20" s="53">
        <f>+Tabla15[[#This Row],[PRECIO SUGERIDO INSTALADOR]]</f>
        <v>184090.62</v>
      </c>
      <c r="D20" s="53">
        <f>+Tabla15[[#This Row],[PRECIO INSTALADOR
( CON  IVA)]]-Tabla15[[#This Row],[Columna23]]</f>
        <v>174886.08900000001</v>
      </c>
      <c r="E20" s="53">
        <f>+Tabla15[[#This Row],[DPP ORO]]</f>
        <v>158134.34</v>
      </c>
      <c r="F20" s="53">
        <f>+Tabla15[[#This Row],[DPP PLATINO]]</f>
        <v>156552.99659999998</v>
      </c>
      <c r="G20" s="53">
        <f>+Tabla15[[#This Row],[PRECIO INSTALADOR
( CON  IVA)]]/0.7</f>
        <v>262986.60000000003</v>
      </c>
      <c r="H20" s="45">
        <f>+Tabla15[[#This Row],[PRECIO INSTALADOR
( CON  IVA)]]*5%</f>
        <v>9204.5310000000009</v>
      </c>
      <c r="I20" s="18" t="e">
        <f t="shared" si="0"/>
        <v>#REF!</v>
      </c>
      <c r="J20" s="18" t="e">
        <f t="shared" si="1"/>
        <v>#REF!</v>
      </c>
      <c r="K20" s="17" t="e">
        <f t="shared" si="2"/>
        <v>#REF!</v>
      </c>
      <c r="L20" s="17" t="e">
        <f>+M20/#REF!</f>
        <v>#REF!</v>
      </c>
      <c r="M20" s="17">
        <f t="shared" si="3"/>
        <v>156552.99659999998</v>
      </c>
      <c r="N20" s="19">
        <f t="shared" si="4"/>
        <v>1581.3434</v>
      </c>
      <c r="O20" s="28" t="e">
        <f>+P20/#REF!</f>
        <v>#REF!</v>
      </c>
      <c r="P20" s="30">
        <f>Tabla15[[#This Row],[ORO SIN IVA]]*1.19</f>
        <v>158134.34</v>
      </c>
      <c r="Q20" s="24" t="e">
        <f>+R20/#REF!</f>
        <v>#REF!</v>
      </c>
      <c r="R20" s="22">
        <f>Tabla15[[#This Row],[INSTALLER SIN IVA]]*1.19</f>
        <v>184090.62</v>
      </c>
      <c r="S20" s="24">
        <v>132886</v>
      </c>
      <c r="T20" s="18">
        <v>154698</v>
      </c>
    </row>
    <row r="21" spans="1:20" ht="40.5" x14ac:dyDescent="0.25">
      <c r="A21" s="47" t="s">
        <v>117</v>
      </c>
      <c r="B21" s="47" t="s">
        <v>116</v>
      </c>
      <c r="C21" s="53">
        <f>+Tabla15[[#This Row],[PRECIO SUGERIDO INSTALADOR]]</f>
        <v>194219.9</v>
      </c>
      <c r="D21" s="53">
        <f>+Tabla15[[#This Row],[PRECIO INSTALADOR
( CON  IVA)]]-Tabla15[[#This Row],[Columna23]]</f>
        <v>184508.905</v>
      </c>
      <c r="E21" s="53">
        <f>+Tabla15[[#This Row],[DPP ORO]]</f>
        <v>162475.46</v>
      </c>
      <c r="F21" s="53">
        <f>+Tabla15[[#This Row],[DPP PLATINO]]</f>
        <v>160850.70540000001</v>
      </c>
      <c r="G21" s="53">
        <f>+Tabla15[[#This Row],[PRECIO INSTALADOR
( CON  IVA)]]/0.7</f>
        <v>277457</v>
      </c>
      <c r="H21" s="45">
        <f>+Tabla15[[#This Row],[PRECIO INSTALADOR
( CON  IVA)]]*5%</f>
        <v>9710.9950000000008</v>
      </c>
      <c r="I21" s="18" t="e">
        <f t="shared" si="0"/>
        <v>#REF!</v>
      </c>
      <c r="J21" s="18" t="e">
        <f t="shared" si="1"/>
        <v>#REF!</v>
      </c>
      <c r="K21" s="17" t="e">
        <f t="shared" si="2"/>
        <v>#REF!</v>
      </c>
      <c r="L21" s="17" t="e">
        <f>+M21/#REF!</f>
        <v>#REF!</v>
      </c>
      <c r="M21" s="17">
        <f t="shared" si="3"/>
        <v>160850.70540000001</v>
      </c>
      <c r="N21" s="19">
        <f t="shared" si="4"/>
        <v>1624.7546</v>
      </c>
      <c r="O21" s="28" t="e">
        <f>+P21/#REF!</f>
        <v>#REF!</v>
      </c>
      <c r="P21" s="29">
        <f>Tabla15[[#This Row],[ORO SIN IVA]]*1.19</f>
        <v>162475.46</v>
      </c>
      <c r="Q21" s="24" t="e">
        <f>+R21/#REF!</f>
        <v>#REF!</v>
      </c>
      <c r="R21" s="19">
        <f>Tabla15[[#This Row],[INSTALLER SIN IVA]]*1.19</f>
        <v>194219.9</v>
      </c>
      <c r="S21" s="24">
        <v>136534</v>
      </c>
      <c r="T21" s="18">
        <v>163210</v>
      </c>
    </row>
    <row r="22" spans="1:20" ht="40.5" x14ac:dyDescent="0.25">
      <c r="A22" s="47" t="s">
        <v>115</v>
      </c>
      <c r="B22" s="47" t="s">
        <v>114</v>
      </c>
      <c r="C22" s="53">
        <f>+Tabla15[[#This Row],[PRECIO SUGERIDO INSTALADOR]]</f>
        <v>282579.77999999997</v>
      </c>
      <c r="D22" s="53">
        <f>+Tabla15[[#This Row],[PRECIO INSTALADOR
( CON  IVA)]]-Tabla15[[#This Row],[Columna23]]</f>
        <v>268450.79099999997</v>
      </c>
      <c r="E22" s="53">
        <f>+Tabla15[[#This Row],[DPP ORO]]</f>
        <v>236364.94</v>
      </c>
      <c r="F22" s="53">
        <f>+Tabla15[[#This Row],[DPP PLATINO]]</f>
        <v>234001.29060000001</v>
      </c>
      <c r="G22" s="53">
        <f>+Tabla15[[#This Row],[PRECIO INSTALADOR
( CON  IVA)]]/0.7</f>
        <v>403685.39999999997</v>
      </c>
      <c r="H22" s="45">
        <f>+Tabla15[[#This Row],[PRECIO INSTALADOR
( CON  IVA)]]*5%</f>
        <v>14128.989</v>
      </c>
      <c r="I22" s="18" t="e">
        <f t="shared" si="0"/>
        <v>#REF!</v>
      </c>
      <c r="J22" s="18" t="e">
        <f t="shared" si="1"/>
        <v>#REF!</v>
      </c>
      <c r="K22" s="17" t="e">
        <f t="shared" si="2"/>
        <v>#REF!</v>
      </c>
      <c r="L22" s="17" t="e">
        <f>+M22/#REF!</f>
        <v>#REF!</v>
      </c>
      <c r="M22" s="17">
        <f t="shared" si="3"/>
        <v>234001.29060000001</v>
      </c>
      <c r="N22" s="19">
        <f t="shared" si="4"/>
        <v>2363.6494000000002</v>
      </c>
      <c r="O22" s="28" t="e">
        <f>+P22/#REF!</f>
        <v>#REF!</v>
      </c>
      <c r="P22" s="29">
        <f>Tabla15[[#This Row],[ORO SIN IVA]]*1.19</f>
        <v>236364.94</v>
      </c>
      <c r="Q22" s="24" t="e">
        <f>+R22/#REF!</f>
        <v>#REF!</v>
      </c>
      <c r="R22" s="19">
        <f>Tabla15[[#This Row],[INSTALLER SIN IVA]]*1.19</f>
        <v>282579.77999999997</v>
      </c>
      <c r="S22" s="24">
        <v>198626</v>
      </c>
      <c r="T22" s="18">
        <v>237461.99999999997</v>
      </c>
    </row>
    <row r="23" spans="1:20" ht="40.5" x14ac:dyDescent="0.25">
      <c r="A23" s="47" t="s">
        <v>36</v>
      </c>
      <c r="B23" s="47" t="s">
        <v>35</v>
      </c>
      <c r="C23" s="53">
        <f>+Tabla15[[#This Row],[PRECIO SUGERIDO INSTALADOR]]</f>
        <v>312922.39999999997</v>
      </c>
      <c r="D23" s="53">
        <f>+Tabla15[[#This Row],[PRECIO INSTALADOR
( CON  IVA)]]-Tabla15[[#This Row],[Columna23]]</f>
        <v>297276.27999999997</v>
      </c>
      <c r="E23" s="53">
        <f>+Tabla15[[#This Row],[DPP ORO]]</f>
        <v>261733.36</v>
      </c>
      <c r="F23" s="53">
        <f>+Tabla15[[#This Row],[DPP PLATINO]]</f>
        <v>259116.02639999997</v>
      </c>
      <c r="G23" s="53">
        <f>+Tabla15[[#This Row],[PRECIO INSTALADOR
( CON  IVA)]]/0.7</f>
        <v>447032</v>
      </c>
      <c r="H23" s="45">
        <f>+Tabla15[[#This Row],[PRECIO INSTALADOR
( CON  IVA)]]*5%</f>
        <v>15646.119999999999</v>
      </c>
      <c r="I23" s="18" t="e">
        <f t="shared" si="0"/>
        <v>#REF!</v>
      </c>
      <c r="J23" s="18" t="e">
        <f t="shared" si="1"/>
        <v>#REF!</v>
      </c>
      <c r="K23" s="17" t="e">
        <f t="shared" si="2"/>
        <v>#REF!</v>
      </c>
      <c r="L23" s="17" t="e">
        <f>+M23/#REF!</f>
        <v>#REF!</v>
      </c>
      <c r="M23" s="17">
        <f t="shared" si="3"/>
        <v>259116.02639999997</v>
      </c>
      <c r="N23" s="19">
        <f t="shared" si="4"/>
        <v>2617.3335999999999</v>
      </c>
      <c r="O23" s="28" t="e">
        <f>+P23/#REF!</f>
        <v>#REF!</v>
      </c>
      <c r="P23" s="29">
        <f>Tabla15[[#This Row],[ORO SIN IVA]]*1.19</f>
        <v>261733.36</v>
      </c>
      <c r="Q23" s="24" t="e">
        <f>+R23/#REF!</f>
        <v>#REF!</v>
      </c>
      <c r="R23" s="19">
        <f>Tabla15[[#This Row],[INSTALLER SIN IVA]]*1.19</f>
        <v>312922.39999999997</v>
      </c>
      <c r="S23" s="24">
        <v>219944</v>
      </c>
      <c r="T23" s="18">
        <v>262960</v>
      </c>
    </row>
    <row r="24" spans="1:20" ht="40.5" x14ac:dyDescent="0.25">
      <c r="A24" s="47" t="s">
        <v>132</v>
      </c>
      <c r="B24" s="47" t="s">
        <v>131</v>
      </c>
      <c r="C24" s="53">
        <f>+Tabla15[[#This Row],[PRECIO SUGERIDO INSTALADOR]]</f>
        <v>365151.5</v>
      </c>
      <c r="D24" s="53">
        <f>+Tabla15[[#This Row],[PRECIO INSTALADOR
( CON  IVA)]]-Tabla15[[#This Row],[Columna23]]</f>
        <v>346893.92499999999</v>
      </c>
      <c r="E24" s="53">
        <f>+Tabla15[[#This Row],[DPP ORO]]</f>
        <v>305370.65999999997</v>
      </c>
      <c r="F24" s="53">
        <f>+Tabla15[[#This Row],[DPP PLATINO]]</f>
        <v>302316.9534</v>
      </c>
      <c r="G24" s="53">
        <f>+Tabla15[[#This Row],[PRECIO INSTALADOR
( CON  IVA)]]/0.7</f>
        <v>521645.00000000006</v>
      </c>
      <c r="H24" s="45">
        <f>+Tabla15[[#This Row],[PRECIO INSTALADOR
( CON  IVA)]]*5%</f>
        <v>18257.575000000001</v>
      </c>
      <c r="I24" s="18" t="e">
        <f t="shared" si="0"/>
        <v>#REF!</v>
      </c>
      <c r="J24" s="18" t="e">
        <f t="shared" si="1"/>
        <v>#REF!</v>
      </c>
      <c r="K24" s="17" t="e">
        <f t="shared" si="2"/>
        <v>#REF!</v>
      </c>
      <c r="L24" s="17" t="e">
        <f>+M24/#REF!</f>
        <v>#REF!</v>
      </c>
      <c r="M24" s="17">
        <f t="shared" si="3"/>
        <v>302316.9534</v>
      </c>
      <c r="N24" s="19">
        <f t="shared" si="4"/>
        <v>3053.7066</v>
      </c>
      <c r="O24" s="28" t="e">
        <f>+P24/#REF!</f>
        <v>#REF!</v>
      </c>
      <c r="P24" s="29">
        <f>Tabla15[[#This Row],[ORO SIN IVA]]*1.19</f>
        <v>305370.65999999997</v>
      </c>
      <c r="Q24" s="24" t="e">
        <f>+R24/#REF!</f>
        <v>#REF!</v>
      </c>
      <c r="R24" s="19">
        <f>Tabla15[[#This Row],[INSTALLER SIN IVA]]*1.19</f>
        <v>365151.5</v>
      </c>
      <c r="S24" s="24">
        <v>256614</v>
      </c>
      <c r="T24" s="18">
        <v>306850</v>
      </c>
    </row>
    <row r="25" spans="1:20" ht="40.5" x14ac:dyDescent="0.25">
      <c r="A25" s="47" t="s">
        <v>34</v>
      </c>
      <c r="B25" s="47" t="s">
        <v>33</v>
      </c>
      <c r="C25" s="53">
        <f>+Tabla15[[#This Row],[PRECIO SUGERIDO INSTALADOR]]</f>
        <v>312922.39999999997</v>
      </c>
      <c r="D25" s="53">
        <f>+Tabla15[[#This Row],[PRECIO INSTALADOR
( CON  IVA)]]-Tabla15[[#This Row],[Columna23]]</f>
        <v>297276.27999999997</v>
      </c>
      <c r="E25" s="53">
        <f>+Tabla15[[#This Row],[DPP ORO]]</f>
        <v>261733.36</v>
      </c>
      <c r="F25" s="53">
        <f>+Tabla15[[#This Row],[DPP PLATINO]]</f>
        <v>259116.02639999997</v>
      </c>
      <c r="G25" s="53">
        <f>+Tabla15[[#This Row],[PRECIO INSTALADOR
( CON  IVA)]]/0.7</f>
        <v>447032</v>
      </c>
      <c r="H25" s="45">
        <f>+Tabla15[[#This Row],[PRECIO INSTALADOR
( CON  IVA)]]*5%</f>
        <v>15646.119999999999</v>
      </c>
      <c r="I25" s="18" t="e">
        <f t="shared" si="0"/>
        <v>#REF!</v>
      </c>
      <c r="J25" s="18" t="e">
        <f t="shared" si="1"/>
        <v>#REF!</v>
      </c>
      <c r="K25" s="17" t="e">
        <f t="shared" si="2"/>
        <v>#REF!</v>
      </c>
      <c r="L25" s="17" t="e">
        <f>+M25/#REF!</f>
        <v>#REF!</v>
      </c>
      <c r="M25" s="17">
        <f t="shared" si="3"/>
        <v>259116.02639999997</v>
      </c>
      <c r="N25" s="19">
        <f t="shared" si="4"/>
        <v>2617.3335999999999</v>
      </c>
      <c r="O25" s="28" t="e">
        <f>+P25/#REF!</f>
        <v>#REF!</v>
      </c>
      <c r="P25" s="29">
        <f>Tabla15[[#This Row],[ORO SIN IVA]]*1.19</f>
        <v>261733.36</v>
      </c>
      <c r="Q25" s="24" t="e">
        <f>+R25/#REF!</f>
        <v>#REF!</v>
      </c>
      <c r="R25" s="19">
        <f>Tabla15[[#This Row],[INSTALLER SIN IVA]]*1.19</f>
        <v>312922.39999999997</v>
      </c>
      <c r="S25" s="24">
        <v>219944</v>
      </c>
      <c r="T25" s="18">
        <v>262960</v>
      </c>
    </row>
    <row r="26" spans="1:20" ht="40.5" x14ac:dyDescent="0.25">
      <c r="A26" s="47" t="s">
        <v>219</v>
      </c>
      <c r="B26" s="47" t="s">
        <v>220</v>
      </c>
      <c r="C26" s="53">
        <f>+Tabla15[[#This Row],[PRECIO SUGERIDO INSTALADOR]]</f>
        <v>347787.01999999996</v>
      </c>
      <c r="D26" s="53">
        <f>+Tabla15[[#This Row],[PRECIO INSTALADOR
( CON  IVA)]]-Tabla15[[#This Row],[Columna23]]</f>
        <v>330397.66899999994</v>
      </c>
      <c r="E26" s="53">
        <f>+Tabla15[[#This Row],[DPP ORO]]</f>
        <v>296552.76</v>
      </c>
      <c r="F26" s="53">
        <f>+Tabla15[[#This Row],[DPP PLATINO]]</f>
        <v>290621.70480000001</v>
      </c>
      <c r="G26" s="53">
        <f>+Tabla15[[#This Row],[PRECIO INSTALADOR
( CON  IVA)]]/0.7</f>
        <v>496838.6</v>
      </c>
      <c r="H26" s="45">
        <f>+Tabla15[[#This Row],[PRECIO INSTALADOR
( CON  IVA)]]*5%</f>
        <v>17389.350999999999</v>
      </c>
      <c r="I26" s="18" t="e">
        <f t="shared" si="0"/>
        <v>#REF!</v>
      </c>
      <c r="J26" s="18" t="e">
        <f t="shared" si="1"/>
        <v>#REF!</v>
      </c>
      <c r="K26" s="17" t="e">
        <f t="shared" si="2"/>
        <v>#REF!</v>
      </c>
      <c r="L26" s="17" t="e">
        <f>+M26/#REF!</f>
        <v>#REF!</v>
      </c>
      <c r="M26" s="17">
        <f t="shared" si="3"/>
        <v>290621.70480000001</v>
      </c>
      <c r="N26" s="19">
        <f>+P26*2%</f>
        <v>5931.0552000000007</v>
      </c>
      <c r="O26" s="28" t="e">
        <f>+P26/#REF!</f>
        <v>#REF!</v>
      </c>
      <c r="P26" s="27">
        <f>Tabla15[[#This Row],[ORO SIN IVA]]*1.19</f>
        <v>296552.76</v>
      </c>
      <c r="Q26" s="24" t="e">
        <f>+R26/#REF!</f>
        <v>#REF!</v>
      </c>
      <c r="R26" s="16">
        <f>Tabla15[[#This Row],[INSTALLER SIN IVA]]*1.19</f>
        <v>347787.01999999996</v>
      </c>
      <c r="S26" s="24">
        <v>249204.00000000003</v>
      </c>
      <c r="T26" s="18">
        <v>292258</v>
      </c>
    </row>
    <row r="27" spans="1:20" ht="40.5" x14ac:dyDescent="0.25">
      <c r="A27" s="47" t="s">
        <v>221</v>
      </c>
      <c r="B27" s="47" t="s">
        <v>222</v>
      </c>
      <c r="C27" s="53">
        <f>+Tabla15[[#This Row],[PRECIO SUGERIDO INSTALADOR]]</f>
        <v>347787.01999999996</v>
      </c>
      <c r="D27" s="53">
        <f>+Tabla15[[#This Row],[PRECIO INSTALADOR
( CON  IVA)]]-Tabla15[[#This Row],[Columna23]]</f>
        <v>330397.66899999994</v>
      </c>
      <c r="E27" s="53">
        <f>+Tabla15[[#This Row],[DPP ORO]]</f>
        <v>296552.76</v>
      </c>
      <c r="F27" s="53">
        <f>+Tabla15[[#This Row],[DPP PLATINO]]</f>
        <v>290621.70480000001</v>
      </c>
      <c r="G27" s="53">
        <f>+Tabla15[[#This Row],[PRECIO INSTALADOR
( CON  IVA)]]/0.7</f>
        <v>496838.6</v>
      </c>
      <c r="H27" s="45">
        <f>+Tabla15[[#This Row],[PRECIO INSTALADOR
( CON  IVA)]]*5%</f>
        <v>17389.350999999999</v>
      </c>
      <c r="I27" s="18" t="e">
        <f t="shared" si="0"/>
        <v>#REF!</v>
      </c>
      <c r="J27" s="18" t="e">
        <f t="shared" si="1"/>
        <v>#REF!</v>
      </c>
      <c r="K27" s="17" t="e">
        <f t="shared" si="2"/>
        <v>#REF!</v>
      </c>
      <c r="L27" s="17" t="e">
        <f>+M27/#REF!</f>
        <v>#REF!</v>
      </c>
      <c r="M27" s="17">
        <f t="shared" si="3"/>
        <v>290621.70480000001</v>
      </c>
      <c r="N27" s="19">
        <f>+P27*2%</f>
        <v>5931.0552000000007</v>
      </c>
      <c r="O27" s="28" t="e">
        <f>+P27/#REF!</f>
        <v>#REF!</v>
      </c>
      <c r="P27" s="27">
        <f>Tabla15[[#This Row],[ORO SIN IVA]]*1.19</f>
        <v>296552.76</v>
      </c>
      <c r="Q27" s="24" t="e">
        <f>+R27/#REF!</f>
        <v>#REF!</v>
      </c>
      <c r="R27" s="16">
        <f>Tabla15[[#This Row],[INSTALLER SIN IVA]]*1.19</f>
        <v>347787.01999999996</v>
      </c>
      <c r="S27" s="24">
        <v>249204.00000000003</v>
      </c>
      <c r="T27" s="18">
        <v>292258</v>
      </c>
    </row>
    <row r="28" spans="1:20" ht="40.5" x14ac:dyDescent="0.25">
      <c r="A28" s="47" t="s">
        <v>223</v>
      </c>
      <c r="B28" s="47" t="s">
        <v>224</v>
      </c>
      <c r="C28" s="53">
        <f>+Tabla15[[#This Row],[PRECIO SUGERIDO INSTALADOR]]</f>
        <v>331010.39999999997</v>
      </c>
      <c r="D28" s="53">
        <f>+Tabla15[[#This Row],[PRECIO INSTALADOR
( CON  IVA)]]-Tabla15[[#This Row],[Columna23]]</f>
        <v>314459.87999999995</v>
      </c>
      <c r="E28" s="53">
        <f>+Tabla15[[#This Row],[DPP ORO]]</f>
        <v>282218.01999999996</v>
      </c>
      <c r="F28" s="53">
        <f>+Tabla15[[#This Row],[DPP PLATINO]]</f>
        <v>279395.83979999996</v>
      </c>
      <c r="G28" s="53">
        <f>+Tabla15[[#This Row],[PRECIO INSTALADOR
( CON  IVA)]]/0.7</f>
        <v>472872</v>
      </c>
      <c r="H28" s="45">
        <f>+Tabla15[[#This Row],[PRECIO INSTALADOR
( CON  IVA)]]*5%</f>
        <v>16550.52</v>
      </c>
      <c r="I28" s="18" t="e">
        <f t="shared" si="0"/>
        <v>#REF!</v>
      </c>
      <c r="J28" s="18" t="e">
        <f t="shared" si="1"/>
        <v>#REF!</v>
      </c>
      <c r="K28" s="17" t="e">
        <f t="shared" si="2"/>
        <v>#REF!</v>
      </c>
      <c r="L28" s="17" t="e">
        <f>+M28/#REF!</f>
        <v>#REF!</v>
      </c>
      <c r="M28" s="17">
        <f t="shared" si="3"/>
        <v>279395.83979999996</v>
      </c>
      <c r="N28" s="19">
        <f t="shared" ref="N28:N82" si="5">+P28*1%</f>
        <v>2822.1801999999998</v>
      </c>
      <c r="O28" s="28" t="e">
        <f>+P28/#REF!</f>
        <v>#REF!</v>
      </c>
      <c r="P28" s="27">
        <f>Tabla15[[#This Row],[ORO SIN IVA]]*1.19</f>
        <v>282218.01999999996</v>
      </c>
      <c r="Q28" s="24" t="e">
        <f>+R28/#REF!</f>
        <v>#REF!</v>
      </c>
      <c r="R28" s="16">
        <f>Tabla15[[#This Row],[INSTALLER SIN IVA]]*1.19</f>
        <v>331010.39999999997</v>
      </c>
      <c r="S28" s="24">
        <v>237157.99999999997</v>
      </c>
      <c r="T28" s="18">
        <v>278160</v>
      </c>
    </row>
    <row r="29" spans="1:20" ht="54" x14ac:dyDescent="0.25">
      <c r="A29" s="47" t="s">
        <v>111</v>
      </c>
      <c r="B29" s="47" t="s">
        <v>110</v>
      </c>
      <c r="C29" s="53">
        <f>+Tabla15[[#This Row],[PRECIO SUGERIDO INSTALADOR]]</f>
        <v>365151.5</v>
      </c>
      <c r="D29" s="53">
        <f>+Tabla15[[#This Row],[PRECIO INSTALADOR
( CON  IVA)]]-Tabla15[[#This Row],[Columna23]]</f>
        <v>346893.92499999999</v>
      </c>
      <c r="E29" s="53">
        <f>+Tabla15[[#This Row],[DPP ORO]]</f>
        <v>305370.65999999997</v>
      </c>
      <c r="F29" s="53">
        <f>+Tabla15[[#This Row],[DPP PLATINO]]</f>
        <v>302316.9534</v>
      </c>
      <c r="G29" s="53">
        <f>+Tabla15[[#This Row],[PRECIO INSTALADOR
( CON  IVA)]]/0.7</f>
        <v>521645.00000000006</v>
      </c>
      <c r="H29" s="45">
        <f>+Tabla15[[#This Row],[PRECIO INSTALADOR
( CON  IVA)]]*5%</f>
        <v>18257.575000000001</v>
      </c>
      <c r="I29" s="18" t="e">
        <f t="shared" si="0"/>
        <v>#REF!</v>
      </c>
      <c r="J29" s="18" t="e">
        <f t="shared" si="1"/>
        <v>#REF!</v>
      </c>
      <c r="K29" s="17" t="e">
        <f t="shared" si="2"/>
        <v>#REF!</v>
      </c>
      <c r="L29" s="17" t="e">
        <f>+M29/#REF!</f>
        <v>#REF!</v>
      </c>
      <c r="M29" s="17">
        <f t="shared" si="3"/>
        <v>302316.9534</v>
      </c>
      <c r="N29" s="19">
        <f t="shared" si="5"/>
        <v>3053.7066</v>
      </c>
      <c r="O29" s="28" t="e">
        <f>+P29/#REF!</f>
        <v>#REF!</v>
      </c>
      <c r="P29" s="27">
        <f>Tabla15[[#This Row],[ORO SIN IVA]]*1.19</f>
        <v>305370.65999999997</v>
      </c>
      <c r="Q29" s="24" t="e">
        <f>+R29/#REF!</f>
        <v>#REF!</v>
      </c>
      <c r="R29" s="16">
        <f>Tabla15[[#This Row],[INSTALLER SIN IVA]]*1.19</f>
        <v>365151.5</v>
      </c>
      <c r="S29" s="24">
        <v>256614</v>
      </c>
      <c r="T29" s="18">
        <v>306850</v>
      </c>
    </row>
    <row r="30" spans="1:20" ht="54" x14ac:dyDescent="0.25">
      <c r="A30" s="47" t="s">
        <v>109</v>
      </c>
      <c r="B30" s="47" t="s">
        <v>108</v>
      </c>
      <c r="C30" s="53">
        <f>+Tabla15[[#This Row],[PRECIO SUGERIDO INSTALADOR]]</f>
        <v>440261.92</v>
      </c>
      <c r="D30" s="53">
        <f>+Tabla15[[#This Row],[PRECIO INSTALADOR
( CON  IVA)]]-Tabla15[[#This Row],[Columna23]]</f>
        <v>418248.82399999996</v>
      </c>
      <c r="E30" s="53">
        <f>+Tabla15[[#This Row],[DPP ORO]]</f>
        <v>368271.68</v>
      </c>
      <c r="F30" s="53">
        <f>+Tabla15[[#This Row],[DPP PLATINO]]</f>
        <v>364588.9632</v>
      </c>
      <c r="G30" s="53">
        <f>+Tabla15[[#This Row],[PRECIO INSTALADOR
( CON  IVA)]]/0.7</f>
        <v>628945.6</v>
      </c>
      <c r="H30" s="45">
        <f>+Tabla15[[#This Row],[PRECIO INSTALADOR
( CON  IVA)]]*5%</f>
        <v>22013.096000000001</v>
      </c>
      <c r="I30" s="18" t="e">
        <f t="shared" si="0"/>
        <v>#REF!</v>
      </c>
      <c r="J30" s="18" t="e">
        <f t="shared" si="1"/>
        <v>#REF!</v>
      </c>
      <c r="K30" s="17" t="e">
        <f t="shared" si="2"/>
        <v>#REF!</v>
      </c>
      <c r="L30" s="17" t="e">
        <f>+M30/#REF!</f>
        <v>#REF!</v>
      </c>
      <c r="M30" s="17">
        <f t="shared" si="3"/>
        <v>364588.9632</v>
      </c>
      <c r="N30" s="19">
        <f t="shared" si="5"/>
        <v>3682.7168000000001</v>
      </c>
      <c r="O30" s="28" t="e">
        <f>+P30/#REF!</f>
        <v>#REF!</v>
      </c>
      <c r="P30" s="27">
        <f>Tabla15[[#This Row],[ORO SIN IVA]]*1.19</f>
        <v>368271.68</v>
      </c>
      <c r="Q30" s="24" t="e">
        <f>+R30/#REF!</f>
        <v>#REF!</v>
      </c>
      <c r="R30" s="16">
        <f>Tabla15[[#This Row],[INSTALLER SIN IVA]]*1.19</f>
        <v>440261.92</v>
      </c>
      <c r="S30" s="24">
        <v>309472</v>
      </c>
      <c r="T30" s="18">
        <v>369968</v>
      </c>
    </row>
    <row r="31" spans="1:20" ht="40.5" x14ac:dyDescent="0.25">
      <c r="A31" s="47" t="s">
        <v>38</v>
      </c>
      <c r="B31" s="47" t="s">
        <v>37</v>
      </c>
      <c r="C31" s="53">
        <f>+Tabla15[[#This Row],[PRECIO SUGERIDO INSTALADOR]]</f>
        <v>399654.36</v>
      </c>
      <c r="D31" s="53">
        <f>+Tabla15[[#This Row],[PRECIO INSTALADOR
( CON  IVA)]]-Tabla15[[#This Row],[Columna23]]</f>
        <v>379671.64199999999</v>
      </c>
      <c r="E31" s="53">
        <f>+Tabla15[[#This Row],[DPP ORO]]</f>
        <v>334311.45999999996</v>
      </c>
      <c r="F31" s="53">
        <f>+Tabla15[[#This Row],[DPP PLATINO]]</f>
        <v>330968.34539999999</v>
      </c>
      <c r="G31" s="53">
        <f>+Tabla15[[#This Row],[PRECIO INSTALADOR
( CON  IVA)]]/0.7</f>
        <v>570934.80000000005</v>
      </c>
      <c r="H31" s="45">
        <f>+Tabla15[[#This Row],[PRECIO INSTALADOR
( CON  IVA)]]*5%</f>
        <v>19982.718000000001</v>
      </c>
      <c r="I31" s="18" t="e">
        <f t="shared" si="0"/>
        <v>#REF!</v>
      </c>
      <c r="J31" s="18" t="e">
        <f t="shared" si="1"/>
        <v>#REF!</v>
      </c>
      <c r="K31" s="17" t="e">
        <f t="shared" si="2"/>
        <v>#REF!</v>
      </c>
      <c r="L31" s="17" t="e">
        <f>+M31/#REF!</f>
        <v>#REF!</v>
      </c>
      <c r="M31" s="17">
        <f t="shared" si="3"/>
        <v>330968.34539999999</v>
      </c>
      <c r="N31" s="19">
        <f t="shared" si="5"/>
        <v>3343.1145999999999</v>
      </c>
      <c r="O31" s="28" t="e">
        <f>+P31/#REF!</f>
        <v>#REF!</v>
      </c>
      <c r="P31" s="27">
        <f>Tabla15[[#This Row],[ORO SIN IVA]]*1.19</f>
        <v>334311.45999999996</v>
      </c>
      <c r="Q31" s="24" t="e">
        <f>+R31/#REF!</f>
        <v>#REF!</v>
      </c>
      <c r="R31" s="16">
        <f>Tabla15[[#This Row],[INSTALLER SIN IVA]]*1.19</f>
        <v>399654.36</v>
      </c>
      <c r="S31" s="24">
        <v>280934</v>
      </c>
      <c r="T31" s="18">
        <v>335844</v>
      </c>
    </row>
    <row r="32" spans="1:20" ht="40.5" x14ac:dyDescent="0.25">
      <c r="A32" s="47" t="s">
        <v>225</v>
      </c>
      <c r="B32" s="47" t="s">
        <v>226</v>
      </c>
      <c r="C32" s="53">
        <f>+Tabla15[[#This Row],[PRECIO SUGERIDO INSTALADOR]]</f>
        <v>370306.57999999996</v>
      </c>
      <c r="D32" s="53">
        <f>+Tabla15[[#This Row],[PRECIO INSTALADOR
( CON  IVA)]]-Tabla15[[#This Row],[Columna23]]</f>
        <v>351791.25099999993</v>
      </c>
      <c r="E32" s="53">
        <f>+Tabla15[[#This Row],[DPP ORO]]</f>
        <v>315726.03999999998</v>
      </c>
      <c r="F32" s="53">
        <f>+Tabla15[[#This Row],[DPP PLATINO]]</f>
        <v>312568.77959999995</v>
      </c>
      <c r="G32" s="53">
        <f>+Tabla15[[#This Row],[PRECIO INSTALADOR
( CON  IVA)]]/0.7</f>
        <v>529009.4</v>
      </c>
      <c r="H32" s="45">
        <f>+Tabla15[[#This Row],[PRECIO INSTALADOR
( CON  IVA)]]*5%</f>
        <v>18515.328999999998</v>
      </c>
      <c r="I32" s="18" t="e">
        <f t="shared" ref="I32:I73" si="6">+Q32</f>
        <v>#REF!</v>
      </c>
      <c r="J32" s="18" t="e">
        <f t="shared" ref="J32:J73" si="7">+O32</f>
        <v>#REF!</v>
      </c>
      <c r="K32" s="17" t="e">
        <f t="shared" ref="K32:K73" si="8">+L32</f>
        <v>#REF!</v>
      </c>
      <c r="L32" s="17" t="e">
        <f>+M32/#REF!</f>
        <v>#REF!</v>
      </c>
      <c r="M32" s="17">
        <f t="shared" ref="M32:M73" si="9">+P32-N32</f>
        <v>312568.77959999995</v>
      </c>
      <c r="N32" s="19">
        <f t="shared" si="5"/>
        <v>3157.2603999999997</v>
      </c>
      <c r="O32" s="28" t="e">
        <f>+P32/#REF!</f>
        <v>#REF!</v>
      </c>
      <c r="P32" s="27">
        <f>Tabla15[[#This Row],[ORO SIN IVA]]*1.19</f>
        <v>315726.03999999998</v>
      </c>
      <c r="Q32" s="24" t="e">
        <f>+R32/#REF!</f>
        <v>#REF!</v>
      </c>
      <c r="R32" s="16">
        <f>Tabla15[[#This Row],[INSTALLER SIN IVA]]*1.19</f>
        <v>370306.57999999996</v>
      </c>
      <c r="S32" s="24">
        <v>265316</v>
      </c>
      <c r="T32" s="18">
        <v>311182</v>
      </c>
    </row>
    <row r="33" spans="1:20" ht="40.5" x14ac:dyDescent="0.25">
      <c r="A33" s="47" t="s">
        <v>227</v>
      </c>
      <c r="B33" s="47" t="s">
        <v>228</v>
      </c>
      <c r="C33" s="53">
        <f>+Tabla15[[#This Row],[PRECIO SUGERIDO INSTALADOR]]</f>
        <v>381521.13999999996</v>
      </c>
      <c r="D33" s="53">
        <f>+Tabla15[[#This Row],[PRECIO INSTALADOR
( CON  IVA)]]-Tabla15[[#This Row],[Columna23]]</f>
        <v>362445.08299999998</v>
      </c>
      <c r="E33" s="53">
        <f>+Tabla15[[#This Row],[DPP ORO]]</f>
        <v>325222.24</v>
      </c>
      <c r="F33" s="53">
        <f>+Tabla15[[#This Row],[DPP PLATINO]]</f>
        <v>321970.01759999996</v>
      </c>
      <c r="G33" s="53">
        <f>+Tabla15[[#This Row],[PRECIO INSTALADOR
( CON  IVA)]]/0.7</f>
        <v>545030.19999999995</v>
      </c>
      <c r="H33" s="45">
        <f>+Tabla15[[#This Row],[PRECIO INSTALADOR
( CON  IVA)]]*5%</f>
        <v>19076.056999999997</v>
      </c>
      <c r="I33" s="18" t="e">
        <f t="shared" si="6"/>
        <v>#REF!</v>
      </c>
      <c r="J33" s="18" t="e">
        <f t="shared" si="7"/>
        <v>#REF!</v>
      </c>
      <c r="K33" s="17" t="e">
        <f t="shared" si="8"/>
        <v>#REF!</v>
      </c>
      <c r="L33" s="17" t="e">
        <f>+M33/#REF!</f>
        <v>#REF!</v>
      </c>
      <c r="M33" s="17">
        <f t="shared" si="9"/>
        <v>321970.01759999996</v>
      </c>
      <c r="N33" s="19">
        <f t="shared" si="5"/>
        <v>3252.2224000000001</v>
      </c>
      <c r="O33" s="28" t="e">
        <f>+P33/#REF!</f>
        <v>#REF!</v>
      </c>
      <c r="P33" s="27">
        <f>Tabla15[[#This Row],[ORO SIN IVA]]*1.19</f>
        <v>325222.24</v>
      </c>
      <c r="Q33" s="24" t="e">
        <f>+R33/#REF!</f>
        <v>#REF!</v>
      </c>
      <c r="R33" s="16">
        <f>Tabla15[[#This Row],[INSTALLER SIN IVA]]*1.19</f>
        <v>381521.13999999996</v>
      </c>
      <c r="S33" s="24">
        <v>273296</v>
      </c>
      <c r="T33" s="18">
        <v>320606</v>
      </c>
    </row>
    <row r="34" spans="1:20" s="2" customFormat="1" ht="24.75" customHeight="1" x14ac:dyDescent="0.25">
      <c r="A34" s="47" t="s">
        <v>229</v>
      </c>
      <c r="B34" s="47" t="s">
        <v>230</v>
      </c>
      <c r="C34" s="53">
        <f>+Tabla15[[#This Row],[PRECIO SUGERIDO INSTALADOR]]</f>
        <v>364699.3</v>
      </c>
      <c r="D34" s="53">
        <f>+Tabla15[[#This Row],[PRECIO INSTALADOR
( CON  IVA)]]-Tabla15[[#This Row],[Columna23]]</f>
        <v>346464.33499999996</v>
      </c>
      <c r="E34" s="53">
        <f>+Tabla15[[#This Row],[DPP ORO]]</f>
        <v>310887.5</v>
      </c>
      <c r="F34" s="53">
        <f>+Tabla15[[#This Row],[DPP PLATINO]]</f>
        <v>307778.625</v>
      </c>
      <c r="G34" s="53">
        <f>+Tabla15[[#This Row],[PRECIO INSTALADOR
( CON  IVA)]]/0.7</f>
        <v>520999</v>
      </c>
      <c r="H34" s="25">
        <f>+Tabla15[[#This Row],[PRECIO INSTALADOR
( CON  IVA)]]*5%</f>
        <v>18234.965</v>
      </c>
      <c r="I34" s="40" t="e">
        <f>+Q34</f>
        <v>#REF!</v>
      </c>
      <c r="J34" s="40" t="e">
        <f>+O34</f>
        <v>#REF!</v>
      </c>
      <c r="K34" s="41" t="e">
        <f>+L34</f>
        <v>#REF!</v>
      </c>
      <c r="L34" s="41" t="e">
        <f>+M34/#REF!</f>
        <v>#REF!</v>
      </c>
      <c r="M34" s="41">
        <f>+P34-N34</f>
        <v>307778.625</v>
      </c>
      <c r="N34" s="42">
        <f>+P34*1%</f>
        <v>3108.875</v>
      </c>
      <c r="O34" s="40" t="e">
        <f>+P34/#REF!</f>
        <v>#REF!</v>
      </c>
      <c r="P34" s="43">
        <f>Tabla15[[#This Row],[ORO SIN IVA]]*1.19</f>
        <v>310887.5</v>
      </c>
      <c r="Q34" s="40" t="e">
        <f>+R34/#REF!</f>
        <v>#REF!</v>
      </c>
      <c r="R34" s="25">
        <f>Tabla15[[#This Row],[INSTALLER SIN IVA]]*1.19</f>
        <v>364699.3</v>
      </c>
      <c r="S34" s="40">
        <v>261250</v>
      </c>
      <c r="T34" s="40">
        <v>306470</v>
      </c>
    </row>
    <row r="35" spans="1:20" s="2" customFormat="1" ht="27" x14ac:dyDescent="0.25">
      <c r="A35" s="47" t="s">
        <v>231</v>
      </c>
      <c r="B35" s="47" t="s">
        <v>232</v>
      </c>
      <c r="C35" s="53">
        <f>+Tabla15[[#This Row],[PRECIO SUGERIDO INSTALADOR]]</f>
        <v>89173.84</v>
      </c>
      <c r="D35" s="53">
        <f>+Tabla15[[#This Row],[PRECIO INSTALADOR
( CON  IVA)]]-Tabla15[[#This Row],[Columna23]]</f>
        <v>84715.148000000001</v>
      </c>
      <c r="E35" s="53">
        <f>+Tabla15[[#This Row],[DPP ORO]]</f>
        <v>71266.720000000001</v>
      </c>
      <c r="F35" s="53">
        <f>+Tabla15[[#This Row],[DPP PLATINO]]</f>
        <v>70554.052800000005</v>
      </c>
      <c r="G35" s="53">
        <f>+Tabla15[[#This Row],[PRECIO INSTALADOR
( CON  IVA)]]/0.7</f>
        <v>127391.2</v>
      </c>
      <c r="H35" s="25">
        <f>+Tabla15[[#This Row],[PRECIO INSTALADOR
( CON  IVA)]]*5%</f>
        <v>4458.692</v>
      </c>
      <c r="I35" s="40" t="e">
        <f>+Q35</f>
        <v>#REF!</v>
      </c>
      <c r="J35" s="40" t="e">
        <f>+O35</f>
        <v>#REF!</v>
      </c>
      <c r="K35" s="41" t="e">
        <f>+L35</f>
        <v>#REF!</v>
      </c>
      <c r="L35" s="41" t="e">
        <f>+M35/#REF!</f>
        <v>#REF!</v>
      </c>
      <c r="M35" s="41">
        <f>+P35-N35</f>
        <v>70554.052800000005</v>
      </c>
      <c r="N35" s="42">
        <f>+P35*1%</f>
        <v>712.66719999999998</v>
      </c>
      <c r="O35" s="40" t="e">
        <f>+P35/#REF!</f>
        <v>#REF!</v>
      </c>
      <c r="P35" s="43">
        <f>Tabla15[[#This Row],[ORO SIN IVA]]*1.19</f>
        <v>71266.720000000001</v>
      </c>
      <c r="Q35" s="40" t="e">
        <f>+R35/#REF!</f>
        <v>#REF!</v>
      </c>
      <c r="R35" s="25">
        <f>Tabla15[[#This Row],[INSTALLER SIN IVA]]*1.19</f>
        <v>89173.84</v>
      </c>
      <c r="S35" s="40">
        <v>59888.000000000007</v>
      </c>
      <c r="T35" s="40">
        <v>74936</v>
      </c>
    </row>
    <row r="36" spans="1:20" ht="67.5" x14ac:dyDescent="0.25">
      <c r="A36" s="47" t="s">
        <v>233</v>
      </c>
      <c r="B36" s="47" t="s">
        <v>234</v>
      </c>
      <c r="C36" s="53">
        <f>+Tabla15[[#This Row],[PRECIO SUGERIDO INSTALADOR]]</f>
        <v>129012.65999999999</v>
      </c>
      <c r="D36" s="53">
        <f>+Tabla15[[#This Row],[PRECIO INSTALADOR
( CON  IVA)]]-Tabla15[[#This Row],[Columna23]]</f>
        <v>122562.02699999999</v>
      </c>
      <c r="E36" s="53">
        <f>+Tabla15[[#This Row],[DPP ORO]]</f>
        <v>107985.36</v>
      </c>
      <c r="F36" s="53">
        <f>+Tabla15[[#This Row],[DPP PLATINO]]</f>
        <v>106905.5064</v>
      </c>
      <c r="G36" s="53">
        <f>+Tabla15[[#This Row],[PRECIO INSTALADOR
( CON  IVA)]]/0.7</f>
        <v>184303.8</v>
      </c>
      <c r="H36" s="45">
        <f>+Tabla15[[#This Row],[PRECIO INSTALADOR
( CON  IVA)]]*5%</f>
        <v>6450.6329999999998</v>
      </c>
      <c r="I36" s="18" t="e">
        <f t="shared" si="6"/>
        <v>#REF!</v>
      </c>
      <c r="J36" s="18" t="e">
        <f t="shared" si="7"/>
        <v>#REF!</v>
      </c>
      <c r="K36" s="17" t="e">
        <f t="shared" si="8"/>
        <v>#REF!</v>
      </c>
      <c r="L36" s="17" t="e">
        <f>+M36/#REF!</f>
        <v>#REF!</v>
      </c>
      <c r="M36" s="17">
        <f t="shared" si="9"/>
        <v>106905.5064</v>
      </c>
      <c r="N36" s="19">
        <f t="shared" si="5"/>
        <v>1079.8535999999999</v>
      </c>
      <c r="O36" s="28" t="e">
        <f>+P36/#REF!</f>
        <v>#REF!</v>
      </c>
      <c r="P36" s="27">
        <f>Tabla15[[#This Row],[ORO SIN IVA]]*1.19</f>
        <v>107985.36</v>
      </c>
      <c r="Q36" s="24" t="e">
        <f>+R36/#REF!</f>
        <v>#REF!</v>
      </c>
      <c r="R36" s="16">
        <f>Tabla15[[#This Row],[INSTALLER SIN IVA]]*1.19</f>
        <v>129012.65999999999</v>
      </c>
      <c r="S36" s="24">
        <v>90744</v>
      </c>
      <c r="T36" s="18">
        <v>108414</v>
      </c>
    </row>
    <row r="37" spans="1:20" ht="67.5" x14ac:dyDescent="0.25">
      <c r="A37" s="47" t="s">
        <v>235</v>
      </c>
      <c r="B37" s="47" t="s">
        <v>236</v>
      </c>
      <c r="C37" s="53">
        <f>+Tabla15[[#This Row],[PRECIO SUGERIDO INSTALADOR]]</f>
        <v>159897.91999999998</v>
      </c>
      <c r="D37" s="53">
        <f>+Tabla15[[#This Row],[PRECIO INSTALADOR
( CON  IVA)]]-Tabla15[[#This Row],[Columna23]]</f>
        <v>151903.02399999998</v>
      </c>
      <c r="E37" s="53">
        <f>+Tabla15[[#This Row],[DPP ORO]]</f>
        <v>133760.75999999998</v>
      </c>
      <c r="F37" s="53">
        <f>+Tabla15[[#This Row],[DPP PLATINO]]</f>
        <v>132423.15239999999</v>
      </c>
      <c r="G37" s="53">
        <f>+Tabla15[[#This Row],[PRECIO INSTALADOR
( CON  IVA)]]/0.7</f>
        <v>228425.59999999998</v>
      </c>
      <c r="H37" s="45">
        <f>+Tabla15[[#This Row],[PRECIO INSTALADOR
( CON  IVA)]]*5%</f>
        <v>7994.8959999999997</v>
      </c>
      <c r="I37" s="18" t="e">
        <f t="shared" si="6"/>
        <v>#REF!</v>
      </c>
      <c r="J37" s="18" t="e">
        <f t="shared" si="7"/>
        <v>#REF!</v>
      </c>
      <c r="K37" s="17" t="e">
        <f t="shared" si="8"/>
        <v>#REF!</v>
      </c>
      <c r="L37" s="17" t="e">
        <f>+M37/#REF!</f>
        <v>#REF!</v>
      </c>
      <c r="M37" s="17">
        <f t="shared" si="9"/>
        <v>132423.15239999999</v>
      </c>
      <c r="N37" s="19">
        <f t="shared" si="5"/>
        <v>1337.6075999999998</v>
      </c>
      <c r="O37" s="28" t="e">
        <f>+P37/#REF!</f>
        <v>#REF!</v>
      </c>
      <c r="P37" s="30">
        <f>Tabla15[[#This Row],[ORO SIN IVA]]*1.19</f>
        <v>133760.75999999998</v>
      </c>
      <c r="Q37" s="24" t="e">
        <f>+R37/#REF!</f>
        <v>#REF!</v>
      </c>
      <c r="R37" s="22">
        <f>Tabla15[[#This Row],[INSTALLER SIN IVA]]*1.19</f>
        <v>159897.91999999998</v>
      </c>
      <c r="S37" s="24">
        <v>112403.99999999999</v>
      </c>
      <c r="T37" s="18">
        <v>134368</v>
      </c>
    </row>
    <row r="38" spans="1:20" ht="67.5" x14ac:dyDescent="0.25">
      <c r="A38" s="47" t="s">
        <v>237</v>
      </c>
      <c r="B38" s="47" t="s">
        <v>238</v>
      </c>
      <c r="C38" s="53">
        <f>+Tabla15[[#This Row],[PRECIO SUGERIDO INSTALADOR]]</f>
        <v>149949.51999999999</v>
      </c>
      <c r="D38" s="53">
        <f>+Tabla15[[#This Row],[PRECIO INSTALADOR
( CON  IVA)]]-Tabla15[[#This Row],[Columna23]]</f>
        <v>142452.04399999999</v>
      </c>
      <c r="E38" s="53">
        <f>+Tabla15[[#This Row],[DPP ORO]]</f>
        <v>125485.5</v>
      </c>
      <c r="F38" s="53">
        <f>+Tabla15[[#This Row],[DPP PLATINO]]</f>
        <v>124230.645</v>
      </c>
      <c r="G38" s="53">
        <f>+Tabla15[[#This Row],[PRECIO INSTALADOR
( CON  IVA)]]/0.7</f>
        <v>214213.6</v>
      </c>
      <c r="H38" s="45">
        <f>+Tabla15[[#This Row],[PRECIO INSTALADOR
( CON  IVA)]]*5%</f>
        <v>7497.4759999999997</v>
      </c>
      <c r="I38" s="18" t="e">
        <f t="shared" si="6"/>
        <v>#REF!</v>
      </c>
      <c r="J38" s="18" t="e">
        <f t="shared" si="7"/>
        <v>#REF!</v>
      </c>
      <c r="K38" s="17" t="e">
        <f t="shared" si="8"/>
        <v>#REF!</v>
      </c>
      <c r="L38" s="17" t="e">
        <f>+M38/#REF!</f>
        <v>#REF!</v>
      </c>
      <c r="M38" s="17">
        <f t="shared" si="9"/>
        <v>124230.645</v>
      </c>
      <c r="N38" s="19">
        <f t="shared" si="5"/>
        <v>1254.855</v>
      </c>
      <c r="O38" s="28" t="e">
        <f>+P38/#REF!</f>
        <v>#REF!</v>
      </c>
      <c r="P38" s="30">
        <f>Tabla15[[#This Row],[ORO SIN IVA]]*1.19</f>
        <v>125485.5</v>
      </c>
      <c r="Q38" s="24" t="e">
        <f>+R38/#REF!</f>
        <v>#REF!</v>
      </c>
      <c r="R38" s="22">
        <f>Tabla15[[#This Row],[INSTALLER SIN IVA]]*1.19</f>
        <v>149949.51999999999</v>
      </c>
      <c r="S38" s="24">
        <v>105450</v>
      </c>
      <c r="T38" s="18">
        <v>126008</v>
      </c>
    </row>
    <row r="39" spans="1:20" ht="67.5" x14ac:dyDescent="0.25">
      <c r="A39" s="47" t="s">
        <v>239</v>
      </c>
      <c r="B39" s="47" t="s">
        <v>240</v>
      </c>
      <c r="C39" s="53">
        <f>+Tabla15[[#This Row],[PRECIO SUGERIDO INSTALADOR]]</f>
        <v>164374.69999999998</v>
      </c>
      <c r="D39" s="53">
        <f>+Tabla15[[#This Row],[PRECIO INSTALADOR
( CON  IVA)]]-Tabla15[[#This Row],[Columna23]]</f>
        <v>156155.965</v>
      </c>
      <c r="E39" s="53">
        <f>+Tabla15[[#This Row],[DPP ORO]]</f>
        <v>137514.01999999999</v>
      </c>
      <c r="F39" s="53">
        <f>+Tabla15[[#This Row],[DPP PLATINO]]</f>
        <v>136138.8798</v>
      </c>
      <c r="G39" s="53">
        <f>+Tabla15[[#This Row],[PRECIO INSTALADOR
( CON  IVA)]]/0.7</f>
        <v>234821</v>
      </c>
      <c r="H39" s="45">
        <f>+Tabla15[[#This Row],[PRECIO INSTALADOR
( CON  IVA)]]*5%</f>
        <v>8218.7349999999988</v>
      </c>
      <c r="I39" s="18" t="e">
        <f t="shared" si="6"/>
        <v>#REF!</v>
      </c>
      <c r="J39" s="18" t="e">
        <f t="shared" si="7"/>
        <v>#REF!</v>
      </c>
      <c r="K39" s="17" t="e">
        <f t="shared" si="8"/>
        <v>#REF!</v>
      </c>
      <c r="L39" s="17" t="e">
        <f>+M39/#REF!</f>
        <v>#REF!</v>
      </c>
      <c r="M39" s="17">
        <f t="shared" si="9"/>
        <v>136138.8798</v>
      </c>
      <c r="N39" s="19">
        <f t="shared" si="5"/>
        <v>1375.1401999999998</v>
      </c>
      <c r="O39" s="28" t="e">
        <f>+P39/#REF!</f>
        <v>#REF!</v>
      </c>
      <c r="P39" s="29">
        <f>Tabla15[[#This Row],[ORO SIN IVA]]*1.19</f>
        <v>137514.01999999999</v>
      </c>
      <c r="Q39" s="24" t="e">
        <f>+R39/#REF!</f>
        <v>#REF!</v>
      </c>
      <c r="R39" s="19">
        <f>Tabla15[[#This Row],[INSTALLER SIN IVA]]*1.19</f>
        <v>164374.69999999998</v>
      </c>
      <c r="S39" s="24">
        <v>115558</v>
      </c>
      <c r="T39" s="18">
        <v>138130</v>
      </c>
    </row>
    <row r="40" spans="1:20" ht="81" x14ac:dyDescent="0.25">
      <c r="A40" s="47" t="s">
        <v>241</v>
      </c>
      <c r="B40" s="47" t="s">
        <v>242</v>
      </c>
      <c r="C40" s="53">
        <f>+Tabla15[[#This Row],[PRECIO SUGERIDO INSTALADOR]]</f>
        <v>330015.56</v>
      </c>
      <c r="D40" s="53">
        <f>+Tabla15[[#This Row],[PRECIO INSTALADOR
( CON  IVA)]]-Tabla15[[#This Row],[Columna23]]</f>
        <v>313514.78200000001</v>
      </c>
      <c r="E40" s="53">
        <f>+Tabla15[[#This Row],[DPP ORO]]</f>
        <v>276068.09999999998</v>
      </c>
      <c r="F40" s="53">
        <f>+Tabla15[[#This Row],[DPP PLATINO]]</f>
        <v>273307.41899999999</v>
      </c>
      <c r="G40" s="53">
        <f>+Tabla15[[#This Row],[PRECIO INSTALADOR
( CON  IVA)]]/0.7</f>
        <v>471450.80000000005</v>
      </c>
      <c r="H40" s="45">
        <f>+Tabla15[[#This Row],[PRECIO INSTALADOR
( CON  IVA)]]*5%</f>
        <v>16500.778000000002</v>
      </c>
      <c r="I40" s="18" t="e">
        <f t="shared" si="6"/>
        <v>#REF!</v>
      </c>
      <c r="J40" s="18" t="e">
        <f t="shared" si="7"/>
        <v>#REF!</v>
      </c>
      <c r="K40" s="17" t="e">
        <f t="shared" si="8"/>
        <v>#REF!</v>
      </c>
      <c r="L40" s="17" t="e">
        <f>+M40/#REF!</f>
        <v>#REF!</v>
      </c>
      <c r="M40" s="17">
        <f t="shared" si="9"/>
        <v>273307.41899999999</v>
      </c>
      <c r="N40" s="19">
        <f t="shared" si="5"/>
        <v>2760.681</v>
      </c>
      <c r="O40" s="28" t="e">
        <f>+P40/#REF!</f>
        <v>#REF!</v>
      </c>
      <c r="P40" s="29">
        <f>Tabla15[[#This Row],[ORO SIN IVA]]*1.19</f>
        <v>276068.09999999998</v>
      </c>
      <c r="Q40" s="24" t="e">
        <f>+R40/#REF!</f>
        <v>#REF!</v>
      </c>
      <c r="R40" s="19">
        <f>Tabla15[[#This Row],[INSTALLER SIN IVA]]*1.19</f>
        <v>330015.56</v>
      </c>
      <c r="S40" s="24">
        <v>231990</v>
      </c>
      <c r="T40" s="18">
        <v>277324</v>
      </c>
    </row>
    <row r="41" spans="1:20" ht="81" x14ac:dyDescent="0.25">
      <c r="A41" s="47" t="s">
        <v>243</v>
      </c>
      <c r="B41" s="47" t="s">
        <v>244</v>
      </c>
      <c r="C41" s="53">
        <f>+Tabla15[[#This Row],[PRECIO SUGERIDO INSTALADOR]]</f>
        <v>227818.36</v>
      </c>
      <c r="D41" s="53">
        <f>+Tabla15[[#This Row],[PRECIO INSTALADOR
( CON  IVA)]]-Tabla15[[#This Row],[Columna23]]</f>
        <v>216427.44199999998</v>
      </c>
      <c r="E41" s="53">
        <f>+Tabla15[[#This Row],[DPP ORO]]</f>
        <v>190557.08</v>
      </c>
      <c r="F41" s="53">
        <f>+Tabla15[[#This Row],[DPP PLATINO]]</f>
        <v>188651.5092</v>
      </c>
      <c r="G41" s="53">
        <f>+Tabla15[[#This Row],[PRECIO INSTALADOR
( CON  IVA)]]/0.7</f>
        <v>325454.8</v>
      </c>
      <c r="H41" s="45">
        <f>+Tabla15[[#This Row],[PRECIO INSTALADOR
( CON  IVA)]]*5%</f>
        <v>11390.918</v>
      </c>
      <c r="I41" s="18" t="e">
        <f t="shared" si="6"/>
        <v>#REF!</v>
      </c>
      <c r="J41" s="18" t="e">
        <f t="shared" si="7"/>
        <v>#REF!</v>
      </c>
      <c r="K41" s="17" t="e">
        <f t="shared" si="8"/>
        <v>#REF!</v>
      </c>
      <c r="L41" s="17" t="e">
        <f>+M41/#REF!</f>
        <v>#REF!</v>
      </c>
      <c r="M41" s="17">
        <f t="shared" si="9"/>
        <v>188651.5092</v>
      </c>
      <c r="N41" s="19">
        <f t="shared" si="5"/>
        <v>1905.5708</v>
      </c>
      <c r="O41" s="28" t="e">
        <f>+P41/#REF!</f>
        <v>#REF!</v>
      </c>
      <c r="P41" s="29">
        <f>Tabla15[[#This Row],[ORO SIN IVA]]*1.19</f>
        <v>190557.08</v>
      </c>
      <c r="Q41" s="24" t="e">
        <f>+R41/#REF!</f>
        <v>#REF!</v>
      </c>
      <c r="R41" s="19">
        <f>Tabla15[[#This Row],[INSTALLER SIN IVA]]*1.19</f>
        <v>227818.36</v>
      </c>
      <c r="S41" s="24">
        <v>160132</v>
      </c>
      <c r="T41" s="18">
        <v>191444</v>
      </c>
    </row>
    <row r="42" spans="1:20" ht="54" x14ac:dyDescent="0.25">
      <c r="A42" s="47" t="s">
        <v>65</v>
      </c>
      <c r="B42" s="47" t="s">
        <v>64</v>
      </c>
      <c r="C42" s="53">
        <f>+Tabla15[[#This Row],[PRECIO SUGERIDO INSTALADOR]]</f>
        <v>124083.68</v>
      </c>
      <c r="D42" s="53">
        <f>+Tabla15[[#This Row],[PRECIO INSTALADOR
( CON  IVA)]]-Tabla15[[#This Row],[Columna23]]</f>
        <v>117879.496</v>
      </c>
      <c r="E42" s="53">
        <f>+Tabla15[[#This Row],[DPP ORO]]</f>
        <v>103825.12</v>
      </c>
      <c r="F42" s="53">
        <f>+Tabla15[[#This Row],[DPP PLATINO]]</f>
        <v>102786.8688</v>
      </c>
      <c r="G42" s="53">
        <f>+Tabla15[[#This Row],[PRECIO INSTALADOR
( CON  IVA)]]/0.7</f>
        <v>177262.4</v>
      </c>
      <c r="H42" s="45">
        <f>+Tabla15[[#This Row],[PRECIO INSTALADOR
( CON  IVA)]]*5%</f>
        <v>6204.1840000000002</v>
      </c>
      <c r="I42" s="18" t="e">
        <f>+Q42</f>
        <v>#REF!</v>
      </c>
      <c r="J42" s="18" t="e">
        <f>+O42</f>
        <v>#REF!</v>
      </c>
      <c r="K42" s="17" t="e">
        <f>+L42</f>
        <v>#REF!</v>
      </c>
      <c r="L42" s="17" t="e">
        <f>+M42/#REF!</f>
        <v>#REF!</v>
      </c>
      <c r="M42" s="17">
        <f>+P42-N42</f>
        <v>102786.8688</v>
      </c>
      <c r="N42" s="19">
        <f>+P42*1%</f>
        <v>1038.2511999999999</v>
      </c>
      <c r="O42" s="28" t="e">
        <f>+P42/#REF!</f>
        <v>#REF!</v>
      </c>
      <c r="P42" s="29">
        <f>Tabla15[[#This Row],[ORO SIN IVA]]*1.19</f>
        <v>103825.12</v>
      </c>
      <c r="Q42" s="24" t="e">
        <f>+R42/#REF!</f>
        <v>#REF!</v>
      </c>
      <c r="R42" s="19">
        <f>Tabla15[[#This Row],[INSTALLER SIN IVA]]*1.19</f>
        <v>124083.68</v>
      </c>
      <c r="S42" s="24">
        <v>87248</v>
      </c>
      <c r="T42" s="18">
        <v>104272</v>
      </c>
    </row>
    <row r="43" spans="1:20" ht="94.5" x14ac:dyDescent="0.25">
      <c r="A43" s="47" t="s">
        <v>245</v>
      </c>
      <c r="B43" s="47" t="s">
        <v>246</v>
      </c>
      <c r="C43" s="53">
        <f>+Tabla15[[#This Row],[PRECIO SUGERIDO INSTALADOR]]</f>
        <v>638506.4</v>
      </c>
      <c r="D43" s="53">
        <f>+Tabla15[[#This Row],[PRECIO INSTALADOR
( CON  IVA)]]-Tabla15[[#This Row],[Columna23]]</f>
        <v>606581.08000000007</v>
      </c>
      <c r="E43" s="53">
        <f>+Tabla15[[#This Row],[DPP ORO]]</f>
        <v>517769</v>
      </c>
      <c r="F43" s="53">
        <f>+Tabla15[[#This Row],[DPP PLATINO]]</f>
        <v>512591.31</v>
      </c>
      <c r="G43" s="53">
        <f>+Tabla15[[#This Row],[PRECIO INSTALADOR
( CON  IVA)]]/0.7</f>
        <v>912152.00000000012</v>
      </c>
      <c r="H43" s="45">
        <f>+Tabla15[[#This Row],[PRECIO INSTALADOR
( CON  IVA)]]*5%</f>
        <v>31925.320000000003</v>
      </c>
      <c r="I43" s="18" t="e">
        <f t="shared" si="6"/>
        <v>#REF!</v>
      </c>
      <c r="J43" s="18" t="e">
        <f t="shared" si="7"/>
        <v>#REF!</v>
      </c>
      <c r="K43" s="17" t="e">
        <f t="shared" si="8"/>
        <v>#REF!</v>
      </c>
      <c r="L43" s="17" t="e">
        <f>+M43/#REF!</f>
        <v>#REF!</v>
      </c>
      <c r="M43" s="17">
        <f t="shared" si="9"/>
        <v>512591.31</v>
      </c>
      <c r="N43" s="19">
        <f t="shared" si="5"/>
        <v>5177.6900000000005</v>
      </c>
      <c r="O43" s="28" t="e">
        <f>+P43/#REF!</f>
        <v>#REF!</v>
      </c>
      <c r="P43" s="29">
        <f>Tabla15[[#This Row],[ORO SIN IVA]]*1.19</f>
        <v>517769</v>
      </c>
      <c r="Q43" s="24" t="e">
        <f>+R43/#REF!</f>
        <v>#REF!</v>
      </c>
      <c r="R43" s="19">
        <f>Tabla15[[#This Row],[INSTALLER SIN IVA]]*1.19</f>
        <v>638506.4</v>
      </c>
      <c r="S43" s="24">
        <v>435100</v>
      </c>
      <c r="T43" s="18">
        <v>536560</v>
      </c>
    </row>
    <row r="44" spans="1:20" ht="27" x14ac:dyDescent="0.25">
      <c r="A44" s="47" t="s">
        <v>150</v>
      </c>
      <c r="B44" s="47" t="s">
        <v>247</v>
      </c>
      <c r="C44" s="53">
        <f>+Tabla15[[#This Row],[PRECIO SUGERIDO INSTALADOR]]</f>
        <v>198877.56</v>
      </c>
      <c r="D44" s="53">
        <f>+Tabla15[[#This Row],[PRECIO INSTALADOR
( CON  IVA)]]-Tabla15[[#This Row],[Columna23]]</f>
        <v>188933.682</v>
      </c>
      <c r="E44" s="53">
        <f>+Tabla15[[#This Row],[DPP ORO]]</f>
        <v>161344.95999999999</v>
      </c>
      <c r="F44" s="53">
        <f>+Tabla15[[#This Row],[DPP PLATINO]]</f>
        <v>159731.5104</v>
      </c>
      <c r="G44" s="53">
        <f>+Tabla15[[#This Row],[PRECIO INSTALADOR
( CON  IVA)]]/0.7</f>
        <v>284110.8</v>
      </c>
      <c r="H44" s="45">
        <f>+Tabla15[[#This Row],[PRECIO INSTALADOR
( CON  IVA)]]*5%</f>
        <v>9943.8780000000006</v>
      </c>
      <c r="I44" s="18" t="e">
        <f t="shared" si="6"/>
        <v>#REF!</v>
      </c>
      <c r="J44" s="18" t="e">
        <f t="shared" si="7"/>
        <v>#REF!</v>
      </c>
      <c r="K44" s="17" t="e">
        <f t="shared" si="8"/>
        <v>#REF!</v>
      </c>
      <c r="L44" s="17" t="e">
        <f>+M44/#REF!</f>
        <v>#REF!</v>
      </c>
      <c r="M44" s="17">
        <f t="shared" si="9"/>
        <v>159731.5104</v>
      </c>
      <c r="N44" s="19">
        <f t="shared" si="5"/>
        <v>1613.4495999999999</v>
      </c>
      <c r="O44" s="28" t="e">
        <f>+P44/#REF!</f>
        <v>#REF!</v>
      </c>
      <c r="P44" s="29">
        <f>Tabla15[[#This Row],[ORO SIN IVA]]*1.19</f>
        <v>161344.95999999999</v>
      </c>
      <c r="Q44" s="24" t="e">
        <f>+R44/#REF!</f>
        <v>#REF!</v>
      </c>
      <c r="R44" s="19">
        <f>Tabla15[[#This Row],[INSTALLER SIN IVA]]*1.19</f>
        <v>198877.56</v>
      </c>
      <c r="S44" s="24">
        <v>135584</v>
      </c>
      <c r="T44" s="18">
        <v>167124</v>
      </c>
    </row>
    <row r="45" spans="1:20" ht="40.5" x14ac:dyDescent="0.25">
      <c r="A45" s="48" t="s">
        <v>123</v>
      </c>
      <c r="B45" s="47" t="s">
        <v>0</v>
      </c>
      <c r="C45" s="53">
        <f>+Tabla15[[#This Row],[PRECIO SUGERIDO INSTALADOR]]</f>
        <v>99999.26999999999</v>
      </c>
      <c r="D45" s="53">
        <f>+Tabla15[[#This Row],[PRECIO INSTALADOR
( CON  IVA)]]-Tabla15[[#This Row],[Columna23]]</f>
        <v>94999.306499999992</v>
      </c>
      <c r="E45" s="53">
        <f>+Tabla15[[#This Row],[DPP ORO]]</f>
        <v>88099.26999999999</v>
      </c>
      <c r="F45" s="53">
        <f>+Tabla15[[#This Row],[DPP PLATINO]]</f>
        <v>87218.277299999987</v>
      </c>
      <c r="G45" s="53">
        <f>+Tabla15[[#This Row],[PRECIO INSTALADOR
( CON  IVA)]]/0.7</f>
        <v>142856.1</v>
      </c>
      <c r="H45" s="45">
        <f>+Tabla15[[#This Row],[PRECIO INSTALADOR
( CON  IVA)]]*5%</f>
        <v>4999.9634999999998</v>
      </c>
      <c r="I45" s="18" t="e">
        <f t="shared" si="6"/>
        <v>#REF!</v>
      </c>
      <c r="J45" s="18" t="e">
        <f t="shared" si="7"/>
        <v>#REF!</v>
      </c>
      <c r="K45" s="17" t="e">
        <f t="shared" si="8"/>
        <v>#REF!</v>
      </c>
      <c r="L45" s="17" t="e">
        <f>+M45/#REF!</f>
        <v>#REF!</v>
      </c>
      <c r="M45" s="17">
        <f t="shared" si="9"/>
        <v>87218.277299999987</v>
      </c>
      <c r="N45" s="19">
        <f t="shared" si="5"/>
        <v>880.9926999999999</v>
      </c>
      <c r="O45" s="28" t="e">
        <f>+P45/#REF!</f>
        <v>#REF!</v>
      </c>
      <c r="P45" s="29">
        <f>Tabla15[[#This Row],[ORO SIN IVA]]*1.19</f>
        <v>88099.26999999999</v>
      </c>
      <c r="Q45" s="24" t="e">
        <f>+R45/#REF!</f>
        <v>#REF!</v>
      </c>
      <c r="R45" s="19">
        <f>Tabla15[[#This Row],[INSTALLER SIN IVA]]*1.19</f>
        <v>99999.26999999999</v>
      </c>
      <c r="S45" s="24">
        <v>74033</v>
      </c>
      <c r="T45" s="18">
        <v>84033</v>
      </c>
    </row>
    <row r="46" spans="1:20" ht="27" x14ac:dyDescent="0.25">
      <c r="A46" s="48" t="s">
        <v>184</v>
      </c>
      <c r="B46" s="47" t="s">
        <v>185</v>
      </c>
      <c r="C46" s="53">
        <f>+Tabla15[[#This Row],[PRECIO SUGERIDO INSTALADOR]]</f>
        <v>79998.94</v>
      </c>
      <c r="D46" s="53">
        <f>+Tabla15[[#This Row],[PRECIO INSTALADOR
( CON  IVA)]]-Tabla15[[#This Row],[Columna23]]</f>
        <v>75998.993000000002</v>
      </c>
      <c r="E46" s="53">
        <f>+Tabla15[[#This Row],[DPP ORO]]</f>
        <v>68859.349999999991</v>
      </c>
      <c r="F46" s="53">
        <f>+Tabla15[[#This Row],[DPP PLATINO]]</f>
        <v>68170.756499999989</v>
      </c>
      <c r="G46" s="53">
        <f>+Tabla15[[#This Row],[PRECIO INSTALADOR
( CON  IVA)]]/0.7</f>
        <v>114284.20000000001</v>
      </c>
      <c r="H46" s="45">
        <f>+Tabla15[[#This Row],[PRECIO INSTALADOR
( CON  IVA)]]*5%</f>
        <v>3999.9470000000001</v>
      </c>
      <c r="I46" s="18" t="e">
        <f t="shared" si="6"/>
        <v>#REF!</v>
      </c>
      <c r="J46" s="18" t="e">
        <f t="shared" si="7"/>
        <v>#REF!</v>
      </c>
      <c r="K46" s="17" t="e">
        <f t="shared" si="8"/>
        <v>#REF!</v>
      </c>
      <c r="L46" s="17" t="e">
        <f>+M46/#REF!</f>
        <v>#REF!</v>
      </c>
      <c r="M46" s="17">
        <f t="shared" si="9"/>
        <v>68170.756499999989</v>
      </c>
      <c r="N46" s="19">
        <f t="shared" si="5"/>
        <v>688.59349999999995</v>
      </c>
      <c r="O46" s="28" t="e">
        <f>+P46/#REF!</f>
        <v>#REF!</v>
      </c>
      <c r="P46" s="29">
        <f>Tabla15[[#This Row],[ORO SIN IVA]]*1.19</f>
        <v>68859.349999999991</v>
      </c>
      <c r="Q46" s="24" t="e">
        <f>+R46/#REF!</f>
        <v>#REF!</v>
      </c>
      <c r="R46" s="19">
        <f>Tabla15[[#This Row],[INSTALLER SIN IVA]]*1.19</f>
        <v>79998.94</v>
      </c>
      <c r="S46" s="24">
        <v>57865</v>
      </c>
      <c r="T46" s="18">
        <v>67226</v>
      </c>
    </row>
    <row r="47" spans="1:20" ht="54" x14ac:dyDescent="0.25">
      <c r="A47" s="47" t="s">
        <v>145</v>
      </c>
      <c r="B47" s="47" t="s">
        <v>144</v>
      </c>
      <c r="C47" s="53">
        <f>+Tabla15[[#This Row],[PRECIO SUGERIDO INSTALADOR]]</f>
        <v>202947.36</v>
      </c>
      <c r="D47" s="53">
        <f>+Tabla15[[#This Row],[PRECIO INSTALADOR
( CON  IVA)]]-Tabla15[[#This Row],[Columna23]]</f>
        <v>192799.992</v>
      </c>
      <c r="E47" s="53">
        <f>+Tabla15[[#This Row],[DPP ORO]]</f>
        <v>164555.57999999999</v>
      </c>
      <c r="F47" s="53">
        <f>+Tabla15[[#This Row],[DPP PLATINO]]</f>
        <v>162910.02419999999</v>
      </c>
      <c r="G47" s="53">
        <f>+Tabla15[[#This Row],[PRECIO INSTALADOR
( CON  IVA)]]/0.7</f>
        <v>289924.8</v>
      </c>
      <c r="H47" s="45">
        <f>+Tabla15[[#This Row],[PRECIO INSTALADOR
( CON  IVA)]]*5%</f>
        <v>10147.368</v>
      </c>
      <c r="I47" s="18" t="e">
        <f>+Q47</f>
        <v>#REF!</v>
      </c>
      <c r="J47" s="18" t="e">
        <f>+O47</f>
        <v>#REF!</v>
      </c>
      <c r="K47" s="17" t="e">
        <f>+L47</f>
        <v>#REF!</v>
      </c>
      <c r="L47" s="17" t="e">
        <f>+M47/#REF!</f>
        <v>#REF!</v>
      </c>
      <c r="M47" s="17">
        <f>+P47-N47</f>
        <v>162910.02419999999</v>
      </c>
      <c r="N47" s="19">
        <f>+P47*1%</f>
        <v>1645.5557999999999</v>
      </c>
      <c r="O47" s="28" t="e">
        <f>+P47/#REF!</f>
        <v>#REF!</v>
      </c>
      <c r="P47" s="29">
        <f>Tabla15[[#This Row],[ORO SIN IVA]]*1.19</f>
        <v>164555.57999999999</v>
      </c>
      <c r="Q47" s="24" t="e">
        <f>+R47/#REF!</f>
        <v>#REF!</v>
      </c>
      <c r="R47" s="19">
        <f>Tabla15[[#This Row],[INSTALLER SIN IVA]]*1.19</f>
        <v>202947.36</v>
      </c>
      <c r="S47" s="24">
        <v>138282</v>
      </c>
      <c r="T47" s="18">
        <v>170544</v>
      </c>
    </row>
    <row r="48" spans="1:20" ht="27" x14ac:dyDescent="0.25">
      <c r="A48" s="47" t="s">
        <v>59</v>
      </c>
      <c r="B48" s="47" t="s">
        <v>248</v>
      </c>
      <c r="C48" s="53">
        <f>+Tabla15[[#This Row],[PRECIO SUGERIDO INSTALADOR]]</f>
        <v>239485.12</v>
      </c>
      <c r="D48" s="53">
        <f>+Tabla15[[#This Row],[PRECIO INSTALADOR
( CON  IVA)]]-Tabla15[[#This Row],[Columna23]]</f>
        <v>227510.864</v>
      </c>
      <c r="E48" s="53">
        <f>+Tabla15[[#This Row],[DPP ORO]]</f>
        <v>194219.9</v>
      </c>
      <c r="F48" s="53">
        <f>+Tabla15[[#This Row],[DPP PLATINO]]</f>
        <v>192277.701</v>
      </c>
      <c r="G48" s="53">
        <f>+Tabla15[[#This Row],[PRECIO INSTALADOR
( CON  IVA)]]/0.7</f>
        <v>342121.60000000003</v>
      </c>
      <c r="H48" s="45">
        <f>+Tabla15[[#This Row],[PRECIO INSTALADOR
( CON  IVA)]]*5%</f>
        <v>11974.256000000001</v>
      </c>
      <c r="I48" s="18" t="e">
        <f>+Q48</f>
        <v>#REF!</v>
      </c>
      <c r="J48" s="18" t="e">
        <f>+O48</f>
        <v>#REF!</v>
      </c>
      <c r="K48" s="17" t="e">
        <f>+L48</f>
        <v>#REF!</v>
      </c>
      <c r="L48" s="17" t="e">
        <f>+M48/#REF!</f>
        <v>#REF!</v>
      </c>
      <c r="M48" s="17">
        <f>+P48-N48</f>
        <v>192277.701</v>
      </c>
      <c r="N48" s="19">
        <f>+P48*1%</f>
        <v>1942.1990000000001</v>
      </c>
      <c r="O48" s="28" t="e">
        <f>+P48/#REF!</f>
        <v>#REF!</v>
      </c>
      <c r="P48" s="29">
        <f>Tabla15[[#This Row],[ORO SIN IVA]]*1.19</f>
        <v>194219.9</v>
      </c>
      <c r="Q48" s="24" t="e">
        <f>+R48/#REF!</f>
        <v>#REF!</v>
      </c>
      <c r="R48" s="19">
        <f>Tabla15[[#This Row],[INSTALLER SIN IVA]]*1.19</f>
        <v>239485.12</v>
      </c>
      <c r="S48" s="24">
        <v>163210</v>
      </c>
      <c r="T48" s="18">
        <v>201248</v>
      </c>
    </row>
    <row r="49" spans="1:20" x14ac:dyDescent="0.25">
      <c r="A49" s="47" t="s">
        <v>249</v>
      </c>
      <c r="B49" s="47" t="s">
        <v>250</v>
      </c>
      <c r="C49" s="53">
        <f>+Tabla15[[#This Row],[PRECIO SUGERIDO INSTALADOR]]</f>
        <v>287671.78999999998</v>
      </c>
      <c r="D49" s="53">
        <f>+Tabla15[[#This Row],[PRECIO INSTALADOR
( CON  IVA)]]-Tabla15[[#This Row],[Columna23]]</f>
        <v>273288.20049999998</v>
      </c>
      <c r="E49" s="53">
        <f>+Tabla15[[#This Row],[DPP ORO]]</f>
        <v>265486.62</v>
      </c>
      <c r="F49" s="53">
        <f>+Tabla15[[#This Row],[DPP PLATINO]]</f>
        <v>262831.75380000001</v>
      </c>
      <c r="G49" s="53">
        <f>+Tabla15[[#This Row],[PRECIO INSTALADOR
( CON  IVA)]]/0.7</f>
        <v>410959.7</v>
      </c>
      <c r="H49" s="45">
        <f>+Tabla15[[#This Row],[PRECIO INSTALADOR
( CON  IVA)]]*5%</f>
        <v>14383.5895</v>
      </c>
      <c r="I49" s="18" t="e">
        <f t="shared" ref="I49" si="10">+Q49</f>
        <v>#REF!</v>
      </c>
      <c r="J49" s="18" t="e">
        <f t="shared" ref="J49" si="11">+O49</f>
        <v>#REF!</v>
      </c>
      <c r="K49" s="17" t="e">
        <f t="shared" ref="K49" si="12">+L49</f>
        <v>#REF!</v>
      </c>
      <c r="L49" s="17" t="e">
        <f>+M49/#REF!</f>
        <v>#REF!</v>
      </c>
      <c r="M49" s="17">
        <f t="shared" ref="M49" si="13">+P49-N49</f>
        <v>262831.75380000001</v>
      </c>
      <c r="N49" s="19">
        <f t="shared" ref="N49" si="14">+P49*1%</f>
        <v>2654.8661999999999</v>
      </c>
      <c r="O49" s="28" t="e">
        <f>+P49/#REF!</f>
        <v>#REF!</v>
      </c>
      <c r="P49" s="29">
        <f>Tabla15[[#This Row],[ORO SIN IVA]]*1.19</f>
        <v>265486.62</v>
      </c>
      <c r="Q49" s="24" t="e">
        <f>+R49/#REF!</f>
        <v>#REF!</v>
      </c>
      <c r="R49" s="19">
        <f>Tabla15[[#This Row],[INSTALLER SIN IVA]]*1.19</f>
        <v>287671.78999999998</v>
      </c>
      <c r="S49" s="24">
        <v>223098</v>
      </c>
      <c r="T49" s="18">
        <v>241741</v>
      </c>
    </row>
    <row r="50" spans="1:20" ht="27" x14ac:dyDescent="0.25">
      <c r="A50" s="47" t="s">
        <v>121</v>
      </c>
      <c r="B50" s="47" t="s">
        <v>251</v>
      </c>
      <c r="C50" s="53">
        <f>+Tabla15[[#This Row],[PRECIO SUGERIDO INSTALADOR]]</f>
        <v>287671.78999999998</v>
      </c>
      <c r="D50" s="53">
        <f>+Tabla15[[#This Row],[PRECIO INSTALADOR
( CON  IVA)]]-Tabla15[[#This Row],[Columna23]]</f>
        <v>273288.20049999998</v>
      </c>
      <c r="E50" s="53">
        <f>+Tabla15[[#This Row],[DPP ORO]]</f>
        <v>265486.62</v>
      </c>
      <c r="F50" s="53">
        <f>+Tabla15[[#This Row],[DPP PLATINO]]</f>
        <v>262831.75380000001</v>
      </c>
      <c r="G50" s="53">
        <f>+Tabla15[[#This Row],[PRECIO INSTALADOR
( CON  IVA)]]/0.7</f>
        <v>410959.7</v>
      </c>
      <c r="H50" s="45">
        <f>+Tabla15[[#This Row],[PRECIO INSTALADOR
( CON  IVA)]]*5%</f>
        <v>14383.5895</v>
      </c>
      <c r="I50" s="18" t="e">
        <f t="shared" si="6"/>
        <v>#REF!</v>
      </c>
      <c r="J50" s="18" t="e">
        <f t="shared" si="7"/>
        <v>#REF!</v>
      </c>
      <c r="K50" s="17" t="e">
        <f t="shared" si="8"/>
        <v>#REF!</v>
      </c>
      <c r="L50" s="17" t="e">
        <f>+M50/#REF!</f>
        <v>#REF!</v>
      </c>
      <c r="M50" s="17">
        <f t="shared" si="9"/>
        <v>262831.75380000001</v>
      </c>
      <c r="N50" s="19">
        <f t="shared" si="5"/>
        <v>2654.8661999999999</v>
      </c>
      <c r="O50" s="28" t="e">
        <f>+P50/#REF!</f>
        <v>#REF!</v>
      </c>
      <c r="P50" s="29">
        <f>Tabla15[[#This Row],[ORO SIN IVA]]*1.19</f>
        <v>265486.62</v>
      </c>
      <c r="Q50" s="24" t="e">
        <f>+R50/#REF!</f>
        <v>#REF!</v>
      </c>
      <c r="R50" s="19">
        <f>Tabla15[[#This Row],[INSTALLER SIN IVA]]*1.19</f>
        <v>287671.78999999998</v>
      </c>
      <c r="S50" s="24">
        <v>223098</v>
      </c>
      <c r="T50" s="18">
        <v>241741</v>
      </c>
    </row>
    <row r="51" spans="1:20" ht="27" x14ac:dyDescent="0.25">
      <c r="A51" s="47" t="s">
        <v>152</v>
      </c>
      <c r="B51" s="47" t="s">
        <v>151</v>
      </c>
      <c r="C51" s="53">
        <f>+Tabla15[[#This Row],[PRECIO SUGERIDO INSTALADOR]]</f>
        <v>314776.42</v>
      </c>
      <c r="D51" s="53">
        <f>+Tabla15[[#This Row],[PRECIO INSTALADOR
( CON  IVA)]]-Tabla15[[#This Row],[Columna23]]</f>
        <v>299037.59899999999</v>
      </c>
      <c r="E51" s="53">
        <f>+Tabla15[[#This Row],[DPP ORO]]</f>
        <v>255176.46</v>
      </c>
      <c r="F51" s="53">
        <f>+Tabla15[[#This Row],[DPP PLATINO]]</f>
        <v>252624.6954</v>
      </c>
      <c r="G51" s="53">
        <f>+Tabla15[[#This Row],[PRECIO INSTALADOR
( CON  IVA)]]/0.7</f>
        <v>449680.6</v>
      </c>
      <c r="H51" s="45">
        <f>+Tabla15[[#This Row],[PRECIO INSTALADOR
( CON  IVA)]]*5%</f>
        <v>15738.821</v>
      </c>
      <c r="I51" s="18" t="e">
        <f t="shared" si="6"/>
        <v>#REF!</v>
      </c>
      <c r="J51" s="18" t="e">
        <f t="shared" si="7"/>
        <v>#REF!</v>
      </c>
      <c r="K51" s="17" t="e">
        <f t="shared" si="8"/>
        <v>#REF!</v>
      </c>
      <c r="L51" s="17" t="e">
        <f>+M51/#REF!</f>
        <v>#REF!</v>
      </c>
      <c r="M51" s="17">
        <f t="shared" si="9"/>
        <v>252624.6954</v>
      </c>
      <c r="N51" s="19">
        <f t="shared" si="5"/>
        <v>2551.7646</v>
      </c>
      <c r="O51" s="28" t="e">
        <f>+P51/#REF!</f>
        <v>#REF!</v>
      </c>
      <c r="P51" s="29">
        <f>Tabla15[[#This Row],[ORO SIN IVA]]*1.19</f>
        <v>255176.46</v>
      </c>
      <c r="Q51" s="24" t="e">
        <f>+R51/#REF!</f>
        <v>#REF!</v>
      </c>
      <c r="R51" s="19">
        <f>Tabla15[[#This Row],[INSTALLER SIN IVA]]*1.19</f>
        <v>314776.42</v>
      </c>
      <c r="S51" s="24">
        <v>214434</v>
      </c>
      <c r="T51" s="18">
        <v>264518</v>
      </c>
    </row>
    <row r="52" spans="1:20" ht="40.5" x14ac:dyDescent="0.25">
      <c r="A52" s="47" t="s">
        <v>158</v>
      </c>
      <c r="B52" s="47" t="s">
        <v>252</v>
      </c>
      <c r="C52" s="53">
        <f>+Tabla15[[#This Row],[PRECIO SUGERIDO INSTALADOR]]</f>
        <v>346520.86</v>
      </c>
      <c r="D52" s="53">
        <f>+Tabla15[[#This Row],[PRECIO INSTALADOR
( CON  IVA)]]-Tabla15[[#This Row],[Columna23]]</f>
        <v>329194.81699999998</v>
      </c>
      <c r="E52" s="53">
        <f>+Tabla15[[#This Row],[DPP ORO]]</f>
        <v>281087.51999999996</v>
      </c>
      <c r="F52" s="53">
        <f>+Tabla15[[#This Row],[DPP PLATINO]]</f>
        <v>278276.64479999995</v>
      </c>
      <c r="G52" s="53">
        <f>+Tabla15[[#This Row],[PRECIO INSTALADOR
( CON  IVA)]]/0.7</f>
        <v>495029.8</v>
      </c>
      <c r="H52" s="45">
        <f>+Tabla15[[#This Row],[PRECIO INSTALADOR
( CON  IVA)]]*5%</f>
        <v>17326.043000000001</v>
      </c>
      <c r="I52" s="18" t="e">
        <f t="shared" si="6"/>
        <v>#REF!</v>
      </c>
      <c r="J52" s="18" t="e">
        <f t="shared" si="7"/>
        <v>#REF!</v>
      </c>
      <c r="K52" s="17" t="e">
        <f t="shared" si="8"/>
        <v>#REF!</v>
      </c>
      <c r="L52" s="17" t="e">
        <f>+M52/#REF!</f>
        <v>#REF!</v>
      </c>
      <c r="M52" s="17">
        <f t="shared" si="9"/>
        <v>278276.64479999995</v>
      </c>
      <c r="N52" s="19">
        <f t="shared" si="5"/>
        <v>2810.8751999999995</v>
      </c>
      <c r="O52" s="28" t="e">
        <f>+P52/#REF!</f>
        <v>#REF!</v>
      </c>
      <c r="P52" s="29">
        <f>Tabla15[[#This Row],[ORO SIN IVA]]*1.19</f>
        <v>281087.51999999996</v>
      </c>
      <c r="Q52" s="24" t="e">
        <f>+R52/#REF!</f>
        <v>#REF!</v>
      </c>
      <c r="R52" s="19">
        <f>Tabla15[[#This Row],[INSTALLER SIN IVA]]*1.19</f>
        <v>346520.86</v>
      </c>
      <c r="S52" s="24">
        <v>236207.99999999997</v>
      </c>
      <c r="T52" s="18">
        <v>291194</v>
      </c>
    </row>
    <row r="53" spans="1:20" ht="27" x14ac:dyDescent="0.25">
      <c r="A53" s="47" t="s">
        <v>60</v>
      </c>
      <c r="B53" s="47" t="s">
        <v>253</v>
      </c>
      <c r="C53" s="53">
        <f>+Tabla15[[#This Row],[PRECIO SUGERIDO INSTALADOR]]</f>
        <v>475262.19999999995</v>
      </c>
      <c r="D53" s="53">
        <f>+Tabla15[[#This Row],[PRECIO INSTALADOR
( CON  IVA)]]-Tabla15[[#This Row],[Columna23]]</f>
        <v>451499.08999999997</v>
      </c>
      <c r="E53" s="53">
        <f>+Tabla15[[#This Row],[DPP ORO]]</f>
        <v>381611.57999999996</v>
      </c>
      <c r="F53" s="53">
        <f>+Tabla15[[#This Row],[DPP PLATINO]]</f>
        <v>377795.46419999993</v>
      </c>
      <c r="G53" s="53">
        <f>+Tabla15[[#This Row],[PRECIO INSTALADOR
( CON  IVA)]]/0.7</f>
        <v>678946</v>
      </c>
      <c r="H53" s="45">
        <f>+Tabla15[[#This Row],[PRECIO INSTALADOR
( CON  IVA)]]*5%</f>
        <v>23763.11</v>
      </c>
      <c r="I53" s="18" t="e">
        <f t="shared" si="6"/>
        <v>#REF!</v>
      </c>
      <c r="J53" s="18" t="e">
        <f t="shared" si="7"/>
        <v>#REF!</v>
      </c>
      <c r="K53" s="17" t="e">
        <f t="shared" si="8"/>
        <v>#REF!</v>
      </c>
      <c r="L53" s="17" t="e">
        <f>+M53/#REF!</f>
        <v>#REF!</v>
      </c>
      <c r="M53" s="17">
        <f t="shared" si="9"/>
        <v>377795.46419999993</v>
      </c>
      <c r="N53" s="19">
        <f t="shared" si="5"/>
        <v>3816.1157999999996</v>
      </c>
      <c r="O53" s="28" t="e">
        <f>+P53/#REF!</f>
        <v>#REF!</v>
      </c>
      <c r="P53" s="29">
        <f>Tabla15[[#This Row],[ORO SIN IVA]]*1.19</f>
        <v>381611.57999999996</v>
      </c>
      <c r="Q53" s="24" t="e">
        <f>+R53/#REF!</f>
        <v>#REF!</v>
      </c>
      <c r="R53" s="19">
        <f>Tabla15[[#This Row],[INSTALLER SIN IVA]]*1.19</f>
        <v>475262.19999999995</v>
      </c>
      <c r="S53" s="24">
        <v>320682</v>
      </c>
      <c r="T53" s="18">
        <v>399380</v>
      </c>
    </row>
    <row r="54" spans="1:20" ht="54" x14ac:dyDescent="0.25">
      <c r="A54" s="47" t="s">
        <v>143</v>
      </c>
      <c r="B54" s="47" t="s">
        <v>142</v>
      </c>
      <c r="C54" s="53">
        <f>+Tabla15[[#This Row],[PRECIO SUGERIDO INSTALADOR]]</f>
        <v>296869.3</v>
      </c>
      <c r="D54" s="53">
        <f>+Tabla15[[#This Row],[PRECIO INSTALADOR
( CON  IVA)]]-Tabla15[[#This Row],[Columna23]]</f>
        <v>282025.83499999996</v>
      </c>
      <c r="E54" s="53">
        <f>+Tabla15[[#This Row],[DPP ORO]]</f>
        <v>240751.28</v>
      </c>
      <c r="F54" s="53">
        <f>+Tabla15[[#This Row],[DPP PLATINO]]</f>
        <v>238343.7672</v>
      </c>
      <c r="G54" s="53">
        <f>+Tabla15[[#This Row],[PRECIO INSTALADOR
( CON  IVA)]]/0.7</f>
        <v>424099</v>
      </c>
      <c r="H54" s="45">
        <f>+Tabla15[[#This Row],[PRECIO INSTALADOR
( CON  IVA)]]*5%</f>
        <v>14843.465</v>
      </c>
      <c r="I54" s="18" t="e">
        <f t="shared" si="6"/>
        <v>#REF!</v>
      </c>
      <c r="J54" s="18" t="e">
        <f t="shared" si="7"/>
        <v>#REF!</v>
      </c>
      <c r="K54" s="17" t="e">
        <f t="shared" si="8"/>
        <v>#REF!</v>
      </c>
      <c r="L54" s="17" t="e">
        <f>+M54/#REF!</f>
        <v>#REF!</v>
      </c>
      <c r="M54" s="17">
        <f t="shared" si="9"/>
        <v>238343.7672</v>
      </c>
      <c r="N54" s="19">
        <f t="shared" si="5"/>
        <v>2407.5128</v>
      </c>
      <c r="O54" s="28" t="e">
        <f>+P54/#REF!</f>
        <v>#REF!</v>
      </c>
      <c r="P54" s="29">
        <f>Tabla15[[#This Row],[ORO SIN IVA]]*1.19</f>
        <v>240751.28</v>
      </c>
      <c r="Q54" s="24" t="e">
        <f>+R54/#REF!</f>
        <v>#REF!</v>
      </c>
      <c r="R54" s="19">
        <f>Tabla15[[#This Row],[INSTALLER SIN IVA]]*1.19</f>
        <v>296869.3</v>
      </c>
      <c r="S54" s="24">
        <v>202312</v>
      </c>
      <c r="T54" s="18">
        <v>249470</v>
      </c>
    </row>
    <row r="55" spans="1:20" ht="54" x14ac:dyDescent="0.25">
      <c r="A55" s="47" t="s">
        <v>78</v>
      </c>
      <c r="B55" s="47" t="s">
        <v>254</v>
      </c>
      <c r="C55" s="53">
        <f>+Tabla15[[#This Row],[PRECIO SUGERIDO INSTALADOR]]</f>
        <v>254679.03999999998</v>
      </c>
      <c r="D55" s="53">
        <f>+Tabla15[[#This Row],[PRECIO INSTALADOR
( CON  IVA)]]-Tabla15[[#This Row],[Columna23]]</f>
        <v>241945.08799999999</v>
      </c>
      <c r="E55" s="53">
        <f>+Tabla15[[#This Row],[DPP ORO]]</f>
        <v>206564.96</v>
      </c>
      <c r="F55" s="53">
        <f>+Tabla15[[#This Row],[DPP PLATINO]]</f>
        <v>204499.31039999999</v>
      </c>
      <c r="G55" s="53">
        <f>+Tabla15[[#This Row],[PRECIO INSTALADOR
( CON  IVA)]]/0.7</f>
        <v>363827.20000000001</v>
      </c>
      <c r="H55" s="45">
        <f>+Tabla15[[#This Row],[PRECIO INSTALADOR
( CON  IVA)]]*5%</f>
        <v>12733.951999999999</v>
      </c>
      <c r="I55" s="18" t="e">
        <f t="shared" si="6"/>
        <v>#REF!</v>
      </c>
      <c r="J55" s="18" t="e">
        <f t="shared" si="7"/>
        <v>#REF!</v>
      </c>
      <c r="K55" s="17" t="e">
        <f t="shared" si="8"/>
        <v>#REF!</v>
      </c>
      <c r="L55" s="17" t="e">
        <f>+M55/#REF!</f>
        <v>#REF!</v>
      </c>
      <c r="M55" s="17">
        <f t="shared" si="9"/>
        <v>204499.31039999999</v>
      </c>
      <c r="N55" s="19">
        <f t="shared" si="5"/>
        <v>2065.6495999999997</v>
      </c>
      <c r="O55" s="28" t="e">
        <f>+P55/#REF!</f>
        <v>#REF!</v>
      </c>
      <c r="P55" s="29">
        <f>Tabla15[[#This Row],[ORO SIN IVA]]*1.19</f>
        <v>206564.96</v>
      </c>
      <c r="Q55" s="24" t="e">
        <f>+R55/#REF!</f>
        <v>#REF!</v>
      </c>
      <c r="R55" s="19">
        <f>Tabla15[[#This Row],[INSTALLER SIN IVA]]*1.19</f>
        <v>254679.03999999998</v>
      </c>
      <c r="S55" s="24">
        <v>173584</v>
      </c>
      <c r="T55" s="18">
        <v>214016</v>
      </c>
    </row>
    <row r="56" spans="1:20" ht="40.5" x14ac:dyDescent="0.25">
      <c r="A56" s="47" t="s">
        <v>149</v>
      </c>
      <c r="B56" s="47" t="s">
        <v>255</v>
      </c>
      <c r="C56" s="53">
        <f>+Tabla15[[#This Row],[PRECIO SUGERIDO INSTALADOR]]</f>
        <v>200188.94</v>
      </c>
      <c r="D56" s="53">
        <f>+Tabla15[[#This Row],[PRECIO INSTALADOR
( CON  IVA)]]-Tabla15[[#This Row],[Columna23]]</f>
        <v>190179.49300000002</v>
      </c>
      <c r="E56" s="53">
        <f>+Tabla15[[#This Row],[DPP ORO]]</f>
        <v>162385.01999999999</v>
      </c>
      <c r="F56" s="53">
        <f>+Tabla15[[#This Row],[DPP PLATINO]]</f>
        <v>160761.1698</v>
      </c>
      <c r="G56" s="53">
        <f>+Tabla15[[#This Row],[PRECIO INSTALADOR
( CON  IVA)]]/0.7</f>
        <v>285984.2</v>
      </c>
      <c r="H56" s="45">
        <f>+Tabla15[[#This Row],[PRECIO INSTALADOR
( CON  IVA)]]*5%</f>
        <v>10009.447</v>
      </c>
      <c r="I56" s="18" t="e">
        <f t="shared" si="6"/>
        <v>#REF!</v>
      </c>
      <c r="J56" s="18" t="e">
        <f t="shared" si="7"/>
        <v>#REF!</v>
      </c>
      <c r="K56" s="17" t="e">
        <f t="shared" si="8"/>
        <v>#REF!</v>
      </c>
      <c r="L56" s="17" t="e">
        <f>+M56/#REF!</f>
        <v>#REF!</v>
      </c>
      <c r="M56" s="17">
        <f t="shared" si="9"/>
        <v>160761.1698</v>
      </c>
      <c r="N56" s="19">
        <f t="shared" si="5"/>
        <v>1623.8501999999999</v>
      </c>
      <c r="O56" s="28" t="e">
        <f>+P56/#REF!</f>
        <v>#REF!</v>
      </c>
      <c r="P56" s="29">
        <f>Tabla15[[#This Row],[ORO SIN IVA]]*1.19</f>
        <v>162385.01999999999</v>
      </c>
      <c r="Q56" s="24" t="e">
        <f>+R56/#REF!</f>
        <v>#REF!</v>
      </c>
      <c r="R56" s="19">
        <f>Tabla15[[#This Row],[INSTALLER SIN IVA]]*1.19</f>
        <v>200188.94</v>
      </c>
      <c r="S56" s="24">
        <v>136458</v>
      </c>
      <c r="T56" s="18">
        <v>168226</v>
      </c>
    </row>
    <row r="57" spans="1:20" ht="27" x14ac:dyDescent="0.25">
      <c r="A57" s="47" t="s">
        <v>81</v>
      </c>
      <c r="B57" s="47" t="s">
        <v>256</v>
      </c>
      <c r="C57" s="53">
        <f>+Tabla15[[#This Row],[PRECIO SUGERIDO INSTALADOR]]</f>
        <v>181603.52</v>
      </c>
      <c r="D57" s="53">
        <f>+Tabla15[[#This Row],[PRECIO INSTALADOR
( CON  IVA)]]-Tabla15[[#This Row],[Columna23]]</f>
        <v>172523.34399999998</v>
      </c>
      <c r="E57" s="53">
        <f>+Tabla15[[#This Row],[DPP ORO]]</f>
        <v>147326.75999999998</v>
      </c>
      <c r="F57" s="53">
        <f>+Tabla15[[#This Row],[DPP PLATINO]]</f>
        <v>145853.49239999999</v>
      </c>
      <c r="G57" s="53">
        <f>+Tabla15[[#This Row],[PRECIO INSTALADOR
( CON  IVA)]]/0.7</f>
        <v>259433.60000000001</v>
      </c>
      <c r="H57" s="45">
        <f>+Tabla15[[#This Row],[PRECIO INSTALADOR
( CON  IVA)]]*5%</f>
        <v>9080.1759999999995</v>
      </c>
      <c r="I57" s="18" t="e">
        <f t="shared" si="6"/>
        <v>#REF!</v>
      </c>
      <c r="J57" s="18" t="e">
        <f t="shared" si="7"/>
        <v>#REF!</v>
      </c>
      <c r="K57" s="17" t="e">
        <f t="shared" si="8"/>
        <v>#REF!</v>
      </c>
      <c r="L57" s="17" t="e">
        <f>+M57/#REF!</f>
        <v>#REF!</v>
      </c>
      <c r="M57" s="17">
        <f t="shared" si="9"/>
        <v>145853.49239999999</v>
      </c>
      <c r="N57" s="19">
        <f t="shared" si="5"/>
        <v>1473.2675999999999</v>
      </c>
      <c r="O57" s="28" t="e">
        <f>+P57/#REF!</f>
        <v>#REF!</v>
      </c>
      <c r="P57" s="29">
        <f>Tabla15[[#This Row],[ORO SIN IVA]]*1.19</f>
        <v>147326.75999999998</v>
      </c>
      <c r="Q57" s="24" t="e">
        <f>+R57/#REF!</f>
        <v>#REF!</v>
      </c>
      <c r="R57" s="19">
        <f>Tabla15[[#This Row],[INSTALLER SIN IVA]]*1.19</f>
        <v>181603.52</v>
      </c>
      <c r="S57" s="24">
        <v>123803.99999999999</v>
      </c>
      <c r="T57" s="18">
        <v>152608</v>
      </c>
    </row>
    <row r="58" spans="1:20" ht="27" x14ac:dyDescent="0.25">
      <c r="A58" s="47" t="s">
        <v>148</v>
      </c>
      <c r="B58" s="47" t="s">
        <v>257</v>
      </c>
      <c r="C58" s="53">
        <f>+Tabla15[[#This Row],[PRECIO SUGERIDO INSTALADOR]]</f>
        <v>209278.16</v>
      </c>
      <c r="D58" s="53">
        <f>+Tabla15[[#This Row],[PRECIO INSTALADOR
( CON  IVA)]]-Tabla15[[#This Row],[Columna23]]</f>
        <v>198814.25200000001</v>
      </c>
      <c r="E58" s="53">
        <f>+Tabla15[[#This Row],[DPP ORO]]</f>
        <v>169710.66</v>
      </c>
      <c r="F58" s="53">
        <f>+Tabla15[[#This Row],[DPP PLATINO]]</f>
        <v>168013.5534</v>
      </c>
      <c r="G58" s="53">
        <f>+Tabla15[[#This Row],[PRECIO INSTALADOR
( CON  IVA)]]/0.7</f>
        <v>298968.80000000005</v>
      </c>
      <c r="H58" s="45">
        <f>+Tabla15[[#This Row],[PRECIO INSTALADOR
( CON  IVA)]]*5%</f>
        <v>10463.908000000001</v>
      </c>
      <c r="I58" s="18" t="e">
        <f t="shared" si="6"/>
        <v>#REF!</v>
      </c>
      <c r="J58" s="18" t="e">
        <f t="shared" si="7"/>
        <v>#REF!</v>
      </c>
      <c r="K58" s="17" t="e">
        <f t="shared" si="8"/>
        <v>#REF!</v>
      </c>
      <c r="L58" s="17" t="e">
        <f>+M58/#REF!</f>
        <v>#REF!</v>
      </c>
      <c r="M58" s="17">
        <f t="shared" si="9"/>
        <v>168013.5534</v>
      </c>
      <c r="N58" s="19">
        <f t="shared" si="5"/>
        <v>1697.1066000000001</v>
      </c>
      <c r="O58" s="28" t="e">
        <f>+P58/#REF!</f>
        <v>#REF!</v>
      </c>
      <c r="P58" s="29">
        <f>Tabla15[[#This Row],[ORO SIN IVA]]*1.19</f>
        <v>169710.66</v>
      </c>
      <c r="Q58" s="24" t="e">
        <f>+R58/#REF!</f>
        <v>#REF!</v>
      </c>
      <c r="R58" s="19">
        <f>Tabla15[[#This Row],[INSTALLER SIN IVA]]*1.19</f>
        <v>209278.16</v>
      </c>
      <c r="S58" s="24">
        <v>142614</v>
      </c>
      <c r="T58" s="18">
        <v>175864</v>
      </c>
    </row>
    <row r="59" spans="1:20" ht="54" x14ac:dyDescent="0.25">
      <c r="A59" s="47" t="s">
        <v>141</v>
      </c>
      <c r="B59" s="47" t="s">
        <v>140</v>
      </c>
      <c r="C59" s="53">
        <f>+Tabla15[[#This Row],[PRECIO SUGERIDO INSTALADOR]]</f>
        <v>213483.62</v>
      </c>
      <c r="D59" s="53">
        <f>+Tabla15[[#This Row],[PRECIO INSTALADOR
( CON  IVA)]]-Tabla15[[#This Row],[Columna23]]</f>
        <v>202809.43899999998</v>
      </c>
      <c r="E59" s="53">
        <f>+Tabla15[[#This Row],[DPP ORO]]</f>
        <v>173102.16</v>
      </c>
      <c r="F59" s="53">
        <f>+Tabla15[[#This Row],[DPP PLATINO]]</f>
        <v>171371.1384</v>
      </c>
      <c r="G59" s="53">
        <f>+Tabla15[[#This Row],[PRECIO INSTALADOR
( CON  IVA)]]/0.7</f>
        <v>304976.60000000003</v>
      </c>
      <c r="H59" s="45">
        <f>+Tabla15[[#This Row],[PRECIO INSTALADOR
( CON  IVA)]]*5%</f>
        <v>10674.181</v>
      </c>
      <c r="I59" s="18" t="e">
        <f t="shared" si="6"/>
        <v>#REF!</v>
      </c>
      <c r="J59" s="18" t="e">
        <f t="shared" si="7"/>
        <v>#REF!</v>
      </c>
      <c r="K59" s="17" t="e">
        <f t="shared" si="8"/>
        <v>#REF!</v>
      </c>
      <c r="L59" s="17" t="e">
        <f>+M59/#REF!</f>
        <v>#REF!</v>
      </c>
      <c r="M59" s="17">
        <f t="shared" si="9"/>
        <v>171371.1384</v>
      </c>
      <c r="N59" s="19">
        <f t="shared" si="5"/>
        <v>1731.0216</v>
      </c>
      <c r="O59" s="28" t="e">
        <f>+P59/#REF!</f>
        <v>#REF!</v>
      </c>
      <c r="P59" s="29">
        <f>Tabla15[[#This Row],[ORO SIN IVA]]*1.19</f>
        <v>173102.16</v>
      </c>
      <c r="Q59" s="24" t="e">
        <f>+R59/#REF!</f>
        <v>#REF!</v>
      </c>
      <c r="R59" s="19">
        <f>Tabla15[[#This Row],[INSTALLER SIN IVA]]*1.19</f>
        <v>213483.62</v>
      </c>
      <c r="S59" s="24">
        <v>145464</v>
      </c>
      <c r="T59" s="18">
        <v>179398</v>
      </c>
    </row>
    <row r="60" spans="1:20" ht="40.5" x14ac:dyDescent="0.25">
      <c r="A60" s="47" t="s">
        <v>122</v>
      </c>
      <c r="B60" s="47" t="s">
        <v>258</v>
      </c>
      <c r="C60" s="53">
        <f>+Tabla15[[#This Row],[PRECIO SUGERIDO INSTALADOR]]</f>
        <v>222527.62</v>
      </c>
      <c r="D60" s="53">
        <f>+Tabla15[[#This Row],[PRECIO INSTALADOR
( CON  IVA)]]-Tabla15[[#This Row],[Columna23]]</f>
        <v>211401.239</v>
      </c>
      <c r="E60" s="53">
        <f>+Tabla15[[#This Row],[DPP ORO]]</f>
        <v>180518.24</v>
      </c>
      <c r="F60" s="53">
        <f>+Tabla15[[#This Row],[DPP PLATINO]]</f>
        <v>178713.0576</v>
      </c>
      <c r="G60" s="53">
        <f>+Tabla15[[#This Row],[PRECIO INSTALADOR
( CON  IVA)]]/0.7</f>
        <v>317896.60000000003</v>
      </c>
      <c r="H60" s="45">
        <f>+Tabla15[[#This Row],[PRECIO INSTALADOR
( CON  IVA)]]*5%</f>
        <v>11126.381000000001</v>
      </c>
      <c r="I60" s="18" t="e">
        <f t="shared" si="6"/>
        <v>#REF!</v>
      </c>
      <c r="J60" s="18" t="e">
        <f t="shared" si="7"/>
        <v>#REF!</v>
      </c>
      <c r="K60" s="17" t="e">
        <f t="shared" si="8"/>
        <v>#REF!</v>
      </c>
      <c r="L60" s="17" t="e">
        <f>+M60/#REF!</f>
        <v>#REF!</v>
      </c>
      <c r="M60" s="17">
        <f t="shared" si="9"/>
        <v>178713.0576</v>
      </c>
      <c r="N60" s="19">
        <f t="shared" si="5"/>
        <v>1805.1823999999999</v>
      </c>
      <c r="O60" s="28" t="e">
        <f>+P60/#REF!</f>
        <v>#REF!</v>
      </c>
      <c r="P60" s="29">
        <f>Tabla15[[#This Row],[ORO SIN IVA]]*1.19</f>
        <v>180518.24</v>
      </c>
      <c r="Q60" s="24" t="e">
        <f>+R60/#REF!</f>
        <v>#REF!</v>
      </c>
      <c r="R60" s="19">
        <f>Tabla15[[#This Row],[INSTALLER SIN IVA]]*1.19</f>
        <v>222527.62</v>
      </c>
      <c r="S60" s="24">
        <v>151696</v>
      </c>
      <c r="T60" s="18">
        <v>186998</v>
      </c>
    </row>
    <row r="61" spans="1:20" ht="27" x14ac:dyDescent="0.25">
      <c r="A61" s="47" t="s">
        <v>1</v>
      </c>
      <c r="B61" s="47" t="s">
        <v>259</v>
      </c>
      <c r="C61" s="53">
        <f>+Tabla15[[#This Row],[PRECIO SUGERIDO INSTALADOR]]</f>
        <v>395810.66</v>
      </c>
      <c r="D61" s="53">
        <f>+Tabla15[[#This Row],[PRECIO INSTALADOR
( CON  IVA)]]-Tabla15[[#This Row],[Columna23]]</f>
        <v>376020.12699999998</v>
      </c>
      <c r="E61" s="53">
        <f>+Tabla15[[#This Row],[DPP ORO]]</f>
        <v>320971.56</v>
      </c>
      <c r="F61" s="53">
        <f>+Tabla15[[#This Row],[DPP PLATINO]]</f>
        <v>317761.8444</v>
      </c>
      <c r="G61" s="53">
        <f>+Tabla15[[#This Row],[PRECIO INSTALADOR
( CON  IVA)]]/0.7</f>
        <v>565443.80000000005</v>
      </c>
      <c r="H61" s="45">
        <f>+Tabla15[[#This Row],[PRECIO INSTALADOR
( CON  IVA)]]*5%</f>
        <v>19790.532999999999</v>
      </c>
      <c r="I61" s="18" t="e">
        <f t="shared" si="6"/>
        <v>#REF!</v>
      </c>
      <c r="J61" s="18" t="e">
        <f t="shared" si="7"/>
        <v>#REF!</v>
      </c>
      <c r="K61" s="17" t="e">
        <f t="shared" si="8"/>
        <v>#REF!</v>
      </c>
      <c r="L61" s="17" t="e">
        <f>+M61/#REF!</f>
        <v>#REF!</v>
      </c>
      <c r="M61" s="17">
        <f t="shared" si="9"/>
        <v>317761.8444</v>
      </c>
      <c r="N61" s="19">
        <f t="shared" si="5"/>
        <v>3209.7156</v>
      </c>
      <c r="O61" s="28" t="e">
        <f>+P61/#REF!</f>
        <v>#REF!</v>
      </c>
      <c r="P61" s="29">
        <f>Tabla15[[#This Row],[ORO SIN IVA]]*1.19</f>
        <v>320971.56</v>
      </c>
      <c r="Q61" s="24" t="e">
        <f>+R61/#REF!</f>
        <v>#REF!</v>
      </c>
      <c r="R61" s="19">
        <f>Tabla15[[#This Row],[INSTALLER SIN IVA]]*1.19</f>
        <v>395810.66</v>
      </c>
      <c r="S61" s="24">
        <v>269724</v>
      </c>
      <c r="T61" s="18">
        <v>332614</v>
      </c>
    </row>
    <row r="62" spans="1:20" ht="27" x14ac:dyDescent="0.25">
      <c r="A62" s="47" t="s">
        <v>67</v>
      </c>
      <c r="B62" s="47" t="s">
        <v>66</v>
      </c>
      <c r="C62" s="53">
        <f>+Tabla15[[#This Row],[PRECIO SUGERIDO INSTALADOR]]</f>
        <v>522019.68</v>
      </c>
      <c r="D62" s="53">
        <f>+Tabla15[[#This Row],[PRECIO INSTALADOR
( CON  IVA)]]-Tabla15[[#This Row],[Columna23]]</f>
        <v>495918.696</v>
      </c>
      <c r="E62" s="53">
        <f>+Tabla15[[#This Row],[DPP ORO]]</f>
        <v>421450.39999999997</v>
      </c>
      <c r="F62" s="53">
        <f>+Tabla15[[#This Row],[DPP PLATINO]]</f>
        <v>417235.89599999995</v>
      </c>
      <c r="G62" s="53">
        <f>+Tabla15[[#This Row],[PRECIO INSTALADOR
( CON  IVA)]]/0.7</f>
        <v>745742.4</v>
      </c>
      <c r="H62" s="45">
        <f>+Tabla15[[#This Row],[PRECIO INSTALADOR
( CON  IVA)]]*5%</f>
        <v>26100.984</v>
      </c>
      <c r="I62" s="18" t="e">
        <f t="shared" si="6"/>
        <v>#REF!</v>
      </c>
      <c r="J62" s="18" t="e">
        <f t="shared" si="7"/>
        <v>#REF!</v>
      </c>
      <c r="K62" s="17" t="e">
        <f t="shared" si="8"/>
        <v>#REF!</v>
      </c>
      <c r="L62" s="17" t="e">
        <f>+M62/#REF!</f>
        <v>#REF!</v>
      </c>
      <c r="M62" s="17">
        <f t="shared" si="9"/>
        <v>417235.89599999995</v>
      </c>
      <c r="N62" s="19">
        <f t="shared" si="5"/>
        <v>4214.5039999999999</v>
      </c>
      <c r="O62" s="28" t="e">
        <f>+P62/#REF!</f>
        <v>#REF!</v>
      </c>
      <c r="P62" s="29">
        <f>Tabla15[[#This Row],[ORO SIN IVA]]*1.19</f>
        <v>421450.39999999997</v>
      </c>
      <c r="Q62" s="24" t="e">
        <f>+R62/#REF!</f>
        <v>#REF!</v>
      </c>
      <c r="R62" s="19">
        <f>Tabla15[[#This Row],[INSTALLER SIN IVA]]*1.19</f>
        <v>522019.68</v>
      </c>
      <c r="S62" s="24">
        <v>354160</v>
      </c>
      <c r="T62" s="18">
        <v>438672</v>
      </c>
    </row>
    <row r="63" spans="1:20" ht="40.5" x14ac:dyDescent="0.25">
      <c r="A63" s="47" t="s">
        <v>77</v>
      </c>
      <c r="B63" s="47" t="s">
        <v>260</v>
      </c>
      <c r="C63" s="53">
        <f>+Tabla15[[#This Row],[PRECIO SUGERIDO INSTALADOR]]</f>
        <v>346520.86</v>
      </c>
      <c r="D63" s="53">
        <f>+Tabla15[[#This Row],[PRECIO INSTALADOR
( CON  IVA)]]-Tabla15[[#This Row],[Columna23]]</f>
        <v>329194.81699999998</v>
      </c>
      <c r="E63" s="53">
        <f>+Tabla15[[#This Row],[DPP ORO]]</f>
        <v>281087.51999999996</v>
      </c>
      <c r="F63" s="53">
        <f>+Tabla15[[#This Row],[DPP PLATINO]]</f>
        <v>278276.64479999995</v>
      </c>
      <c r="G63" s="53">
        <f>+Tabla15[[#This Row],[PRECIO INSTALADOR
( CON  IVA)]]/0.7</f>
        <v>495029.8</v>
      </c>
      <c r="H63" s="45">
        <f>+Tabla15[[#This Row],[PRECIO INSTALADOR
( CON  IVA)]]*5%</f>
        <v>17326.043000000001</v>
      </c>
      <c r="I63" s="18" t="e">
        <f t="shared" si="6"/>
        <v>#REF!</v>
      </c>
      <c r="J63" s="18" t="e">
        <f t="shared" si="7"/>
        <v>#REF!</v>
      </c>
      <c r="K63" s="17" t="e">
        <f t="shared" si="8"/>
        <v>#REF!</v>
      </c>
      <c r="L63" s="17" t="e">
        <f>+M63/#REF!</f>
        <v>#REF!</v>
      </c>
      <c r="M63" s="17">
        <f t="shared" si="9"/>
        <v>278276.64479999995</v>
      </c>
      <c r="N63" s="19">
        <f t="shared" si="5"/>
        <v>2810.8751999999995</v>
      </c>
      <c r="O63" s="28" t="e">
        <f>+P63/#REF!</f>
        <v>#REF!</v>
      </c>
      <c r="P63" s="29">
        <f>Tabla15[[#This Row],[ORO SIN IVA]]*1.19</f>
        <v>281087.51999999996</v>
      </c>
      <c r="Q63" s="24" t="e">
        <f>+R63/#REF!</f>
        <v>#REF!</v>
      </c>
      <c r="R63" s="19">
        <f>Tabla15[[#This Row],[INSTALLER SIN IVA]]*1.19</f>
        <v>346520.86</v>
      </c>
      <c r="S63" s="24">
        <v>236208</v>
      </c>
      <c r="T63" s="18">
        <v>291194</v>
      </c>
    </row>
    <row r="64" spans="1:20" ht="40.5" x14ac:dyDescent="0.25">
      <c r="A64" s="47" t="s">
        <v>76</v>
      </c>
      <c r="B64" s="47" t="s">
        <v>261</v>
      </c>
      <c r="C64" s="53">
        <f>+Tabla15[[#This Row],[PRECIO SUGERIDO INSTALADOR]]</f>
        <v>388665.89999999997</v>
      </c>
      <c r="D64" s="53">
        <f>+Tabla15[[#This Row],[PRECIO INSTALADOR
( CON  IVA)]]-Tabla15[[#This Row],[Columna23]]</f>
        <v>369232.60499999998</v>
      </c>
      <c r="E64" s="53">
        <f>+Tabla15[[#This Row],[DPP ORO]]</f>
        <v>301933.94</v>
      </c>
      <c r="F64" s="53">
        <f>+Tabla15[[#This Row],[DPP PLATINO]]</f>
        <v>298914.60060000001</v>
      </c>
      <c r="G64" s="53">
        <f>+Tabla15[[#This Row],[PRECIO INSTALADOR
( CON  IVA)]]/0.7</f>
        <v>555237</v>
      </c>
      <c r="H64" s="45">
        <f>+Tabla15[[#This Row],[PRECIO INSTALADOR
( CON  IVA)]]*5%</f>
        <v>19433.294999999998</v>
      </c>
      <c r="I64" s="18" t="e">
        <f t="shared" si="6"/>
        <v>#REF!</v>
      </c>
      <c r="J64" s="18" t="e">
        <f t="shared" si="7"/>
        <v>#REF!</v>
      </c>
      <c r="K64" s="17" t="e">
        <f t="shared" si="8"/>
        <v>#REF!</v>
      </c>
      <c r="L64" s="17" t="e">
        <f>+M64/#REF!</f>
        <v>#REF!</v>
      </c>
      <c r="M64" s="17">
        <f t="shared" si="9"/>
        <v>298914.60060000001</v>
      </c>
      <c r="N64" s="19">
        <f t="shared" si="5"/>
        <v>3019.3394000000003</v>
      </c>
      <c r="O64" s="28" t="e">
        <f>+P64/#REF!</f>
        <v>#REF!</v>
      </c>
      <c r="P64" s="29">
        <f>Tabla15[[#This Row],[ORO SIN IVA]]*1.19</f>
        <v>301933.94</v>
      </c>
      <c r="Q64" s="24" t="e">
        <f>+R64/#REF!</f>
        <v>#REF!</v>
      </c>
      <c r="R64" s="19">
        <f>Tabla15[[#This Row],[INSTALLER SIN IVA]]*1.19</f>
        <v>388665.89999999997</v>
      </c>
      <c r="S64" s="24">
        <v>253726</v>
      </c>
      <c r="T64" s="18">
        <v>326610</v>
      </c>
    </row>
    <row r="65" spans="1:20" ht="40.5" x14ac:dyDescent="0.25">
      <c r="A65" s="47" t="s">
        <v>262</v>
      </c>
      <c r="B65" s="47" t="s">
        <v>263</v>
      </c>
      <c r="C65" s="53">
        <f>+Tabla15[[#This Row],[PRECIO SUGERIDO INSTALADOR]]</f>
        <v>291895.09999999998</v>
      </c>
      <c r="D65" s="53">
        <f>+Tabla15[[#This Row],[PRECIO INSTALADOR
( CON  IVA)]]-Tabla15[[#This Row],[Columna23]]</f>
        <v>277300.34499999997</v>
      </c>
      <c r="E65" s="53">
        <f>+Tabla15[[#This Row],[DPP ORO]]</f>
        <v>243102.72</v>
      </c>
      <c r="F65" s="53">
        <f>+Tabla15[[#This Row],[DPP PLATINO]]</f>
        <v>240671.69279999999</v>
      </c>
      <c r="G65" s="53">
        <f>+Tabla15[[#This Row],[PRECIO INSTALADOR
( CON  IVA)]]/0.7</f>
        <v>416993</v>
      </c>
      <c r="H65" s="45">
        <f>+Tabla15[[#This Row],[PRECIO INSTALADOR
( CON  IVA)]]*5%</f>
        <v>14594.754999999999</v>
      </c>
      <c r="I65" s="18" t="e">
        <f t="shared" si="6"/>
        <v>#REF!</v>
      </c>
      <c r="J65" s="18" t="e">
        <f t="shared" si="7"/>
        <v>#REF!</v>
      </c>
      <c r="K65" s="17" t="e">
        <f t="shared" si="8"/>
        <v>#REF!</v>
      </c>
      <c r="L65" s="17" t="e">
        <f>+M65/#REF!</f>
        <v>#REF!</v>
      </c>
      <c r="M65" s="17">
        <f t="shared" si="9"/>
        <v>240671.69279999999</v>
      </c>
      <c r="N65" s="19">
        <f t="shared" si="5"/>
        <v>2431.0272</v>
      </c>
      <c r="O65" s="28" t="e">
        <f>+P65/#REF!</f>
        <v>#REF!</v>
      </c>
      <c r="P65" s="29">
        <f>Tabla15[[#This Row],[ORO SIN IVA]]*1.19</f>
        <v>243102.72</v>
      </c>
      <c r="Q65" s="24" t="e">
        <f>+R65/#REF!</f>
        <v>#REF!</v>
      </c>
      <c r="R65" s="19">
        <f>Tabla15[[#This Row],[INSTALLER SIN IVA]]*1.19</f>
        <v>291895.09999999998</v>
      </c>
      <c r="S65" s="24">
        <v>204288</v>
      </c>
      <c r="T65" s="18">
        <v>245290</v>
      </c>
    </row>
    <row r="66" spans="1:20" ht="40.5" x14ac:dyDescent="0.25">
      <c r="A66" s="47" t="s">
        <v>126</v>
      </c>
      <c r="B66" s="47" t="s">
        <v>264</v>
      </c>
      <c r="C66" s="53">
        <f>+Tabla15[[#This Row],[PRECIO SUGERIDO INSTALADOR]]</f>
        <v>306501.15999999997</v>
      </c>
      <c r="D66" s="53">
        <f>+Tabla15[[#This Row],[PRECIO INSTALADOR
( CON  IVA)]]-Tabla15[[#This Row],[Columna23]]</f>
        <v>291176.10199999996</v>
      </c>
      <c r="E66" s="53">
        <f>+Tabla15[[#This Row],[DPP ORO]]</f>
        <v>255357.34</v>
      </c>
      <c r="F66" s="53">
        <f>+Tabla15[[#This Row],[DPP PLATINO]]</f>
        <v>252803.7666</v>
      </c>
      <c r="G66" s="53">
        <f>+Tabla15[[#This Row],[PRECIO INSTALADOR
( CON  IVA)]]/0.7</f>
        <v>437858.8</v>
      </c>
      <c r="H66" s="45">
        <f>+Tabla15[[#This Row],[PRECIO INSTALADOR
( CON  IVA)]]*5%</f>
        <v>15325.057999999999</v>
      </c>
      <c r="I66" s="18" t="e">
        <f>+Q66</f>
        <v>#REF!</v>
      </c>
      <c r="J66" s="18" t="e">
        <f>+O66</f>
        <v>#REF!</v>
      </c>
      <c r="K66" s="17" t="e">
        <f>+L66</f>
        <v>#REF!</v>
      </c>
      <c r="L66" s="17" t="e">
        <f>+M66/#REF!</f>
        <v>#REF!</v>
      </c>
      <c r="M66" s="17">
        <f>+P66-N66</f>
        <v>252803.7666</v>
      </c>
      <c r="N66" s="19">
        <f>+P66*1%</f>
        <v>2553.5734000000002</v>
      </c>
      <c r="O66" s="28" t="e">
        <f>+P66/#REF!</f>
        <v>#REF!</v>
      </c>
      <c r="P66" s="29">
        <f>Tabla15[[#This Row],[ORO SIN IVA]]*1.19</f>
        <v>255357.34</v>
      </c>
      <c r="Q66" s="24" t="e">
        <f>+R66/#REF!</f>
        <v>#REF!</v>
      </c>
      <c r="R66" s="19">
        <f>Tabla15[[#This Row],[INSTALLER SIN IVA]]*1.19</f>
        <v>306501.15999999997</v>
      </c>
      <c r="S66" s="24">
        <v>214586</v>
      </c>
      <c r="T66" s="18">
        <v>257564</v>
      </c>
    </row>
    <row r="67" spans="1:20" ht="40.5" x14ac:dyDescent="0.25">
      <c r="A67" s="47" t="s">
        <v>155</v>
      </c>
      <c r="B67" s="47" t="s">
        <v>265</v>
      </c>
      <c r="C67" s="53">
        <f>+Tabla15[[#This Row],[PRECIO SUGERIDO INSTALADOR]]</f>
        <v>516321.95999999996</v>
      </c>
      <c r="D67" s="53">
        <f>+Tabla15[[#This Row],[PRECIO INSTALADOR
( CON  IVA)]]-Tabla15[[#This Row],[Columna23]]</f>
        <v>490505.86199999996</v>
      </c>
      <c r="E67" s="53">
        <f>+Tabla15[[#This Row],[DPP ORO]]</f>
        <v>418737.19999999995</v>
      </c>
      <c r="F67" s="53">
        <f>+Tabla15[[#This Row],[DPP PLATINO]]</f>
        <v>414549.82799999998</v>
      </c>
      <c r="G67" s="53">
        <f>+Tabla15[[#This Row],[PRECIO INSTALADOR
( CON  IVA)]]/0.7</f>
        <v>737602.8</v>
      </c>
      <c r="H67" s="45">
        <f>+Tabla15[[#This Row],[PRECIO INSTALADOR
( CON  IVA)]]*5%</f>
        <v>25816.097999999998</v>
      </c>
      <c r="I67" s="18" t="e">
        <f>+Q67</f>
        <v>#REF!</v>
      </c>
      <c r="J67" s="18" t="e">
        <f>+O67</f>
        <v>#REF!</v>
      </c>
      <c r="K67" s="17" t="e">
        <f>+L67</f>
        <v>#REF!</v>
      </c>
      <c r="L67" s="17" t="e">
        <f>+M67/#REF!</f>
        <v>#REF!</v>
      </c>
      <c r="M67" s="17">
        <f>+P67-N67</f>
        <v>414549.82799999998</v>
      </c>
      <c r="N67" s="19">
        <f>+P67*1%</f>
        <v>4187.3719999999994</v>
      </c>
      <c r="O67" s="28" t="e">
        <f>+P67/#REF!</f>
        <v>#REF!</v>
      </c>
      <c r="P67" s="29">
        <f>Tabla15[[#This Row],[ORO SIN IVA]]*1.19</f>
        <v>418737.19999999995</v>
      </c>
      <c r="Q67" s="24" t="e">
        <f>+R67/#REF!</f>
        <v>#REF!</v>
      </c>
      <c r="R67" s="19">
        <f>Tabla15[[#This Row],[INSTALLER SIN IVA]]*1.19</f>
        <v>516321.95999999996</v>
      </c>
      <c r="S67" s="24">
        <v>351880</v>
      </c>
      <c r="T67" s="18">
        <v>433884</v>
      </c>
    </row>
    <row r="68" spans="1:20" ht="40.5" x14ac:dyDescent="0.25">
      <c r="A68" s="47" t="s">
        <v>43</v>
      </c>
      <c r="B68" s="47" t="s">
        <v>266</v>
      </c>
      <c r="C68" s="53">
        <f>+Tabla15[[#This Row],[PRECIO SUGERIDO INSTALADOR]]</f>
        <v>517769</v>
      </c>
      <c r="D68" s="53">
        <f>+Tabla15[[#This Row],[PRECIO INSTALADOR
( CON  IVA)]]-Tabla15[[#This Row],[Columna23]]</f>
        <v>491880.55</v>
      </c>
      <c r="E68" s="53">
        <f>+Tabla15[[#This Row],[DPP ORO]]</f>
        <v>419958.13999999996</v>
      </c>
      <c r="F68" s="53">
        <f>+Tabla15[[#This Row],[DPP PLATINO]]</f>
        <v>415758.55859999993</v>
      </c>
      <c r="G68" s="53">
        <f>+Tabla15[[#This Row],[PRECIO INSTALADOR
( CON  IVA)]]/0.7</f>
        <v>739670</v>
      </c>
      <c r="H68" s="45">
        <f>+Tabla15[[#This Row],[PRECIO INSTALADOR
( CON  IVA)]]*5%</f>
        <v>25888.45</v>
      </c>
      <c r="I68" s="18" t="e">
        <f t="shared" si="6"/>
        <v>#REF!</v>
      </c>
      <c r="J68" s="18" t="e">
        <f t="shared" si="7"/>
        <v>#REF!</v>
      </c>
      <c r="K68" s="17" t="e">
        <f t="shared" si="8"/>
        <v>#REF!</v>
      </c>
      <c r="L68" s="17" t="e">
        <f>+M68/#REF!</f>
        <v>#REF!</v>
      </c>
      <c r="M68" s="17">
        <f t="shared" si="9"/>
        <v>415758.55859999993</v>
      </c>
      <c r="N68" s="19">
        <f t="shared" si="5"/>
        <v>4199.5814</v>
      </c>
      <c r="O68" s="28" t="e">
        <f>+P68/#REF!</f>
        <v>#REF!</v>
      </c>
      <c r="P68" s="29">
        <f>Tabla15[[#This Row],[ORO SIN IVA]]*1.19</f>
        <v>419958.13999999996</v>
      </c>
      <c r="Q68" s="24" t="e">
        <f>+R68/#REF!</f>
        <v>#REF!</v>
      </c>
      <c r="R68" s="19">
        <f>Tabla15[[#This Row],[INSTALLER SIN IVA]]*1.19</f>
        <v>517769</v>
      </c>
      <c r="S68" s="24">
        <v>352906</v>
      </c>
      <c r="T68" s="18">
        <v>435100</v>
      </c>
    </row>
    <row r="69" spans="1:20" ht="40.5" x14ac:dyDescent="0.25">
      <c r="A69" s="47" t="s">
        <v>95</v>
      </c>
      <c r="B69" s="47" t="s">
        <v>267</v>
      </c>
      <c r="C69" s="53">
        <f>+Tabla15[[#This Row],[PRECIO SUGERIDO INSTALADOR]]</f>
        <v>397890.77999999997</v>
      </c>
      <c r="D69" s="53">
        <f>+Tabla15[[#This Row],[PRECIO INSTALADOR
( CON  IVA)]]-Tabla15[[#This Row],[Columna23]]</f>
        <v>377996.24099999998</v>
      </c>
      <c r="E69" s="53">
        <f>+Tabla15[[#This Row],[DPP ORO]]</f>
        <v>339195.22</v>
      </c>
      <c r="F69" s="53">
        <f>+Tabla15[[#This Row],[DPP PLATINO]]</f>
        <v>335803.26779999997</v>
      </c>
      <c r="G69" s="53">
        <f>+Tabla15[[#This Row],[PRECIO INSTALADOR
( CON  IVA)]]/0.7</f>
        <v>568415.4</v>
      </c>
      <c r="H69" s="45">
        <f>+Tabla15[[#This Row],[PRECIO INSTALADOR
( CON  IVA)]]*5%</f>
        <v>19894.539000000001</v>
      </c>
      <c r="I69" s="18" t="e">
        <f>+Q69</f>
        <v>#REF!</v>
      </c>
      <c r="J69" s="18" t="e">
        <f>+O69</f>
        <v>#REF!</v>
      </c>
      <c r="K69" s="17" t="e">
        <f>+L69</f>
        <v>#REF!</v>
      </c>
      <c r="L69" s="17" t="e">
        <f>+M69/#REF!</f>
        <v>#REF!</v>
      </c>
      <c r="M69" s="17">
        <f>+P69-N69</f>
        <v>335803.26779999997</v>
      </c>
      <c r="N69" s="19">
        <f>+P69*1%</f>
        <v>3391.9521999999997</v>
      </c>
      <c r="O69" s="28" t="e">
        <f>+P69/#REF!</f>
        <v>#REF!</v>
      </c>
      <c r="P69" s="29">
        <f>Tabla15[[#This Row],[ORO SIN IVA]]*1.19</f>
        <v>339195.22</v>
      </c>
      <c r="Q69" s="24" t="e">
        <f>+R69/#REF!</f>
        <v>#REF!</v>
      </c>
      <c r="R69" s="19">
        <f>Tabla15[[#This Row],[INSTALLER SIN IVA]]*1.19</f>
        <v>397890.77999999997</v>
      </c>
      <c r="S69" s="24">
        <v>285038</v>
      </c>
      <c r="T69" s="18">
        <v>334362</v>
      </c>
    </row>
    <row r="70" spans="1:20" ht="40.5" x14ac:dyDescent="0.25">
      <c r="A70" s="47" t="s">
        <v>89</v>
      </c>
      <c r="B70" s="47" t="s">
        <v>268</v>
      </c>
      <c r="C70" s="53">
        <f>+Tabla15[[#This Row],[PRECIO SUGERIDO INSTALADOR]]</f>
        <v>262863.86</v>
      </c>
      <c r="D70" s="53">
        <f>+Tabla15[[#This Row],[PRECIO INSTALADOR
( CON  IVA)]]-Tabla15[[#This Row],[Columna23]]</f>
        <v>249720.66699999999</v>
      </c>
      <c r="E70" s="53">
        <f>+Tabla15[[#This Row],[DPP ORO]]</f>
        <v>217734.3</v>
      </c>
      <c r="F70" s="53">
        <f>+Tabla15[[#This Row],[DPP PLATINO]]</f>
        <v>215556.95699999999</v>
      </c>
      <c r="G70" s="53">
        <f>+Tabla15[[#This Row],[PRECIO INSTALADOR
( CON  IVA)]]/0.7</f>
        <v>375519.8</v>
      </c>
      <c r="H70" s="45">
        <f>+Tabla15[[#This Row],[PRECIO INSTALADOR
( CON  IVA)]]*5%</f>
        <v>13143.192999999999</v>
      </c>
      <c r="I70" s="18" t="e">
        <f t="shared" si="6"/>
        <v>#REF!</v>
      </c>
      <c r="J70" s="18" t="e">
        <f t="shared" si="7"/>
        <v>#REF!</v>
      </c>
      <c r="K70" s="17" t="e">
        <f t="shared" si="8"/>
        <v>#REF!</v>
      </c>
      <c r="L70" s="17" t="e">
        <f>+M70/#REF!</f>
        <v>#REF!</v>
      </c>
      <c r="M70" s="17">
        <f t="shared" si="9"/>
        <v>215556.95699999999</v>
      </c>
      <c r="N70" s="19">
        <f t="shared" si="5"/>
        <v>2177.3429999999998</v>
      </c>
      <c r="O70" s="28" t="e">
        <f>+P70/#REF!</f>
        <v>#REF!</v>
      </c>
      <c r="P70" s="29">
        <f>Tabla15[[#This Row],[ORO SIN IVA]]*1.19</f>
        <v>217734.3</v>
      </c>
      <c r="Q70" s="24" t="e">
        <f>+R70/#REF!</f>
        <v>#REF!</v>
      </c>
      <c r="R70" s="19">
        <f>Tabla15[[#This Row],[INSTALLER SIN IVA]]*1.19</f>
        <v>262863.86</v>
      </c>
      <c r="S70" s="24">
        <v>182970</v>
      </c>
      <c r="T70" s="18">
        <v>220894</v>
      </c>
    </row>
    <row r="71" spans="1:20" ht="27" x14ac:dyDescent="0.25">
      <c r="A71" s="47" t="s">
        <v>70</v>
      </c>
      <c r="B71" s="47" t="s">
        <v>69</v>
      </c>
      <c r="C71" s="53">
        <f>+Tabla15[[#This Row],[PRECIO SUGERIDO INSTALADOR]]</f>
        <v>212940.97999999998</v>
      </c>
      <c r="D71" s="53">
        <f>+Tabla15[[#This Row],[PRECIO INSTALADOR
( CON  IVA)]]-Tabla15[[#This Row],[Columna23]]</f>
        <v>202293.93099999998</v>
      </c>
      <c r="E71" s="53">
        <f>+Tabla15[[#This Row],[DPP ORO]]</f>
        <v>178076.36</v>
      </c>
      <c r="F71" s="53">
        <f>+Tabla15[[#This Row],[DPP PLATINO]]</f>
        <v>176295.59639999998</v>
      </c>
      <c r="G71" s="53">
        <f>+Tabla15[[#This Row],[PRECIO INSTALADOR
( CON  IVA)]]/0.7</f>
        <v>304201.39999999997</v>
      </c>
      <c r="H71" s="45">
        <f>+Tabla15[[#This Row],[PRECIO INSTALADOR
( CON  IVA)]]*5%</f>
        <v>10647.048999999999</v>
      </c>
      <c r="I71" s="18" t="e">
        <f t="shared" si="6"/>
        <v>#REF!</v>
      </c>
      <c r="J71" s="18" t="e">
        <f t="shared" si="7"/>
        <v>#REF!</v>
      </c>
      <c r="K71" s="17" t="e">
        <f t="shared" si="8"/>
        <v>#REF!</v>
      </c>
      <c r="L71" s="17" t="e">
        <f>+M71/#REF!</f>
        <v>#REF!</v>
      </c>
      <c r="M71" s="17">
        <f t="shared" si="9"/>
        <v>176295.59639999998</v>
      </c>
      <c r="N71" s="19">
        <f t="shared" si="5"/>
        <v>1780.7636</v>
      </c>
      <c r="O71" s="28" t="e">
        <f>+P71/#REF!</f>
        <v>#REF!</v>
      </c>
      <c r="P71" s="29">
        <f>Tabla15[[#This Row],[ORO SIN IVA]]*1.19</f>
        <v>178076.36</v>
      </c>
      <c r="Q71" s="24" t="e">
        <f>+R71/#REF!</f>
        <v>#REF!</v>
      </c>
      <c r="R71" s="19">
        <f>Tabla15[[#This Row],[INSTALLER SIN IVA]]*1.19</f>
        <v>212940.97999999998</v>
      </c>
      <c r="S71" s="24">
        <v>149644</v>
      </c>
      <c r="T71" s="18">
        <v>178942</v>
      </c>
    </row>
    <row r="72" spans="1:20" ht="54" x14ac:dyDescent="0.25">
      <c r="A72" s="47" t="s">
        <v>269</v>
      </c>
      <c r="B72" s="47" t="s">
        <v>270</v>
      </c>
      <c r="C72" s="53">
        <f>+Tabla15[[#This Row],[PRECIO SUGERIDO INSTALADOR]]</f>
        <v>367367.27999999997</v>
      </c>
      <c r="D72" s="53">
        <f>+Tabla15[[#This Row],[PRECIO INSTALADOR
( CON  IVA)]]-Tabla15[[#This Row],[Columna23]]</f>
        <v>348998.91599999997</v>
      </c>
      <c r="E72" s="53">
        <f>+Tabla15[[#This Row],[DPP ORO]]</f>
        <v>297954.57999999996</v>
      </c>
      <c r="F72" s="53">
        <f>+Tabla15[[#This Row],[DPP PLATINO]]</f>
        <v>294975.03419999994</v>
      </c>
      <c r="G72" s="53">
        <f>+Tabla15[[#This Row],[PRECIO INSTALADOR
( CON  IVA)]]/0.7</f>
        <v>524810.4</v>
      </c>
      <c r="H72" s="45">
        <f>+Tabla15[[#This Row],[PRECIO INSTALADOR
( CON  IVA)]]*5%</f>
        <v>18368.363999999998</v>
      </c>
      <c r="I72" s="18" t="e">
        <f>+Q72</f>
        <v>#REF!</v>
      </c>
      <c r="J72" s="18" t="e">
        <f>+O72</f>
        <v>#REF!</v>
      </c>
      <c r="K72" s="17" t="e">
        <f>+L72</f>
        <v>#REF!</v>
      </c>
      <c r="L72" s="17" t="e">
        <f>+M72/#REF!</f>
        <v>#REF!</v>
      </c>
      <c r="M72" s="17">
        <f>+P72-N72</f>
        <v>294975.03419999994</v>
      </c>
      <c r="N72" s="19">
        <f>+P72*1%</f>
        <v>2979.5457999999994</v>
      </c>
      <c r="O72" s="28" t="e">
        <f>+P72/#REF!</f>
        <v>#REF!</v>
      </c>
      <c r="P72" s="29">
        <f>Tabla15[[#This Row],[ORO SIN IVA]]*1.19</f>
        <v>297954.57999999996</v>
      </c>
      <c r="Q72" s="24" t="e">
        <f>+R72/#REF!</f>
        <v>#REF!</v>
      </c>
      <c r="R72" s="19">
        <f>Tabla15[[#This Row],[INSTALLER SIN IVA]]*1.19</f>
        <v>367367.27999999997</v>
      </c>
      <c r="S72" s="24">
        <v>250381.99999999997</v>
      </c>
      <c r="T72" s="18">
        <v>308712</v>
      </c>
    </row>
    <row r="73" spans="1:20" ht="40.5" x14ac:dyDescent="0.25">
      <c r="A73" s="47" t="s">
        <v>86</v>
      </c>
      <c r="B73" s="47" t="s">
        <v>85</v>
      </c>
      <c r="C73" s="53">
        <f>+Tabla15[[#This Row],[PRECIO SUGERIDO INSTALADOR]]</f>
        <v>319900.56</v>
      </c>
      <c r="D73" s="53">
        <f>+Tabla15[[#This Row],[PRECIO INSTALADOR
( CON  IVA)]]-Tabla15[[#This Row],[Columna23]]</f>
        <v>303905.53200000001</v>
      </c>
      <c r="E73" s="53">
        <f>+Tabla15[[#This Row],[DPP ORO]]</f>
        <v>295560.3</v>
      </c>
      <c r="F73" s="53">
        <f>+Tabla15[[#This Row],[DPP PLATINO]]</f>
        <v>292604.69699999999</v>
      </c>
      <c r="G73" s="53">
        <f>+Tabla15[[#This Row],[PRECIO INSTALADOR
( CON  IVA)]]/0.7</f>
        <v>457000.80000000005</v>
      </c>
      <c r="H73" s="45">
        <f>+Tabla15[[#This Row],[PRECIO INSTALADOR
( CON  IVA)]]*5%</f>
        <v>15995.028</v>
      </c>
      <c r="I73" s="18" t="e">
        <f t="shared" si="6"/>
        <v>#REF!</v>
      </c>
      <c r="J73" s="18" t="e">
        <f t="shared" si="7"/>
        <v>#REF!</v>
      </c>
      <c r="K73" s="17" t="e">
        <f t="shared" si="8"/>
        <v>#REF!</v>
      </c>
      <c r="L73" s="17" t="e">
        <f>+M73/#REF!</f>
        <v>#REF!</v>
      </c>
      <c r="M73" s="17">
        <f t="shared" si="9"/>
        <v>292604.69699999999</v>
      </c>
      <c r="N73" s="19">
        <f t="shared" si="5"/>
        <v>2955.6030000000001</v>
      </c>
      <c r="O73" s="28" t="e">
        <f>+P73/#REF!</f>
        <v>#REF!</v>
      </c>
      <c r="P73" s="29">
        <f>Tabla15[[#This Row],[ORO SIN IVA]]*1.19</f>
        <v>295560.3</v>
      </c>
      <c r="Q73" s="24" t="e">
        <f>+R73/#REF!</f>
        <v>#REF!</v>
      </c>
      <c r="R73" s="19">
        <f>Tabla15[[#This Row],[INSTALLER SIN IVA]]*1.19</f>
        <v>319900.56</v>
      </c>
      <c r="S73" s="24">
        <v>248370</v>
      </c>
      <c r="T73" s="18">
        <v>268824</v>
      </c>
    </row>
    <row r="74" spans="1:20" ht="40.5" x14ac:dyDescent="0.25">
      <c r="A74" s="47" t="s">
        <v>147</v>
      </c>
      <c r="B74" s="47" t="s">
        <v>271</v>
      </c>
      <c r="C74" s="53">
        <f>+Tabla15[[#This Row],[PRECIO SUGERIDO INSTALADOR]]</f>
        <v>333045.3</v>
      </c>
      <c r="D74" s="53">
        <f>+Tabla15[[#This Row],[PRECIO INSTALADOR
( CON  IVA)]]-Tabla15[[#This Row],[Columna23]]</f>
        <v>316393.03499999997</v>
      </c>
      <c r="E74" s="53">
        <f>+Tabla15[[#This Row],[DPP ORO]]</f>
        <v>270144.27999999997</v>
      </c>
      <c r="F74" s="53">
        <f>+Tabla15[[#This Row],[DPP PLATINO]]</f>
        <v>267442.83719999995</v>
      </c>
      <c r="G74" s="53">
        <f>+Tabla15[[#This Row],[PRECIO INSTALADOR
( CON  IVA)]]/0.7</f>
        <v>475779</v>
      </c>
      <c r="H74" s="45">
        <f>+Tabla15[[#This Row],[PRECIO INSTALADOR
( CON  IVA)]]*5%</f>
        <v>16652.264999999999</v>
      </c>
      <c r="I74" s="18" t="e">
        <f t="shared" ref="I74:I104" si="15">+Q74</f>
        <v>#REF!</v>
      </c>
      <c r="J74" s="18" t="e">
        <f t="shared" ref="J74:J104" si="16">+O74</f>
        <v>#REF!</v>
      </c>
      <c r="K74" s="17" t="e">
        <f t="shared" ref="K74:K104" si="17">+L74</f>
        <v>#REF!</v>
      </c>
      <c r="L74" s="17" t="e">
        <f>+M74/#REF!</f>
        <v>#REF!</v>
      </c>
      <c r="M74" s="17">
        <f t="shared" ref="M74:M104" si="18">+P74-N74</f>
        <v>267442.83719999995</v>
      </c>
      <c r="N74" s="19">
        <f t="shared" si="5"/>
        <v>2701.4427999999998</v>
      </c>
      <c r="O74" s="28" t="e">
        <f>+P74/#REF!</f>
        <v>#REF!</v>
      </c>
      <c r="P74" s="29">
        <f>Tabla15[[#This Row],[ORO SIN IVA]]*1.19</f>
        <v>270144.27999999997</v>
      </c>
      <c r="Q74" s="24" t="e">
        <f>+R74/#REF!</f>
        <v>#REF!</v>
      </c>
      <c r="R74" s="19">
        <f>Tabla15[[#This Row],[INSTALLER SIN IVA]]*1.19</f>
        <v>333045.3</v>
      </c>
      <c r="S74" s="24">
        <v>227011.99999999997</v>
      </c>
      <c r="T74" s="18">
        <v>279870</v>
      </c>
    </row>
    <row r="75" spans="1:20" ht="40.5" x14ac:dyDescent="0.25">
      <c r="A75" s="47" t="s">
        <v>272</v>
      </c>
      <c r="B75" s="47" t="s">
        <v>273</v>
      </c>
      <c r="C75" s="53">
        <f>+Tabla15[[#This Row],[PRECIO SUGERIDO INSTALADOR]]</f>
        <v>475262.19999999995</v>
      </c>
      <c r="D75" s="53">
        <f>+Tabla15[[#This Row],[PRECIO INSTALADOR
( CON  IVA)]]-Tabla15[[#This Row],[Columna23]]</f>
        <v>451499.08999999997</v>
      </c>
      <c r="E75" s="53">
        <f>+Tabla15[[#This Row],[DPP ORO]]</f>
        <v>381611.57999999996</v>
      </c>
      <c r="F75" s="53">
        <f>+Tabla15[[#This Row],[DPP PLATINO]]</f>
        <v>377795.46419999993</v>
      </c>
      <c r="G75" s="53">
        <f>+Tabla15[[#This Row],[PRECIO INSTALADOR
( CON  IVA)]]/0.7</f>
        <v>678946</v>
      </c>
      <c r="H75" s="45">
        <f>+Tabla15[[#This Row],[PRECIO INSTALADOR
( CON  IVA)]]*5%</f>
        <v>23763.11</v>
      </c>
      <c r="I75" s="18" t="e">
        <f t="shared" si="15"/>
        <v>#REF!</v>
      </c>
      <c r="J75" s="18" t="e">
        <f t="shared" si="16"/>
        <v>#REF!</v>
      </c>
      <c r="K75" s="17" t="e">
        <f t="shared" si="17"/>
        <v>#REF!</v>
      </c>
      <c r="L75" s="17" t="e">
        <f>+M75/#REF!</f>
        <v>#REF!</v>
      </c>
      <c r="M75" s="17">
        <f t="shared" si="18"/>
        <v>377795.46419999993</v>
      </c>
      <c r="N75" s="19">
        <f t="shared" si="5"/>
        <v>3816.1157999999996</v>
      </c>
      <c r="O75" s="28" t="e">
        <f>+P75/#REF!</f>
        <v>#REF!</v>
      </c>
      <c r="P75" s="29">
        <f>Tabla15[[#This Row],[ORO SIN IVA]]*1.19</f>
        <v>381611.57999999996</v>
      </c>
      <c r="Q75" s="24" t="e">
        <f>+R75/#REF!</f>
        <v>#REF!</v>
      </c>
      <c r="R75" s="19">
        <f>Tabla15[[#This Row],[INSTALLER SIN IVA]]*1.19</f>
        <v>475262.19999999995</v>
      </c>
      <c r="S75" s="24">
        <v>320682</v>
      </c>
      <c r="T75" s="18">
        <v>399380</v>
      </c>
    </row>
    <row r="76" spans="1:20" ht="27" x14ac:dyDescent="0.25">
      <c r="A76" s="47" t="s">
        <v>274</v>
      </c>
      <c r="B76" s="47" t="s">
        <v>275</v>
      </c>
      <c r="C76" s="53">
        <f>+Tabla15[[#This Row],[PRECIO SUGERIDO INSTALADOR]]</f>
        <v>498957.48</v>
      </c>
      <c r="D76" s="53">
        <f>+Tabla15[[#This Row],[PRECIO INSTALADOR
( CON  IVA)]]-Tabla15[[#This Row],[Columna23]]</f>
        <v>474009.60599999997</v>
      </c>
      <c r="E76" s="53">
        <f>+Tabla15[[#This Row],[DPP ORO]]</f>
        <v>400649.19999999995</v>
      </c>
      <c r="F76" s="53">
        <f>+Tabla15[[#This Row],[DPP PLATINO]]</f>
        <v>396642.70799999993</v>
      </c>
      <c r="G76" s="53">
        <f>+Tabla15[[#This Row],[PRECIO INSTALADOR
( CON  IVA)]]/0.7</f>
        <v>712796.4</v>
      </c>
      <c r="H76" s="45">
        <f>+Tabla15[[#This Row],[PRECIO INSTALADOR
( CON  IVA)]]*5%</f>
        <v>24947.874</v>
      </c>
      <c r="I76" s="18" t="e">
        <f t="shared" si="15"/>
        <v>#REF!</v>
      </c>
      <c r="J76" s="18" t="e">
        <f t="shared" si="16"/>
        <v>#REF!</v>
      </c>
      <c r="K76" s="17" t="e">
        <f t="shared" si="17"/>
        <v>#REF!</v>
      </c>
      <c r="L76" s="17" t="e">
        <f>+M76/#REF!</f>
        <v>#REF!</v>
      </c>
      <c r="M76" s="17">
        <f t="shared" si="18"/>
        <v>396642.70799999993</v>
      </c>
      <c r="N76" s="19">
        <f t="shared" si="5"/>
        <v>4006.4919999999997</v>
      </c>
      <c r="O76" s="28" t="e">
        <f>+P76/#REF!</f>
        <v>#REF!</v>
      </c>
      <c r="P76" s="29">
        <f>Tabla15[[#This Row],[ORO SIN IVA]]*1.19</f>
        <v>400649.19999999995</v>
      </c>
      <c r="Q76" s="24" t="e">
        <f>+R76/#REF!</f>
        <v>#REF!</v>
      </c>
      <c r="R76" s="19">
        <f>Tabla15[[#This Row],[INSTALLER SIN IVA]]*1.19</f>
        <v>498957.48</v>
      </c>
      <c r="S76" s="24">
        <v>336680</v>
      </c>
      <c r="T76" s="18">
        <v>419292</v>
      </c>
    </row>
    <row r="77" spans="1:20" ht="40.5" x14ac:dyDescent="0.25">
      <c r="A77" s="47" t="s">
        <v>135</v>
      </c>
      <c r="B77" s="47" t="s">
        <v>276</v>
      </c>
      <c r="C77" s="53">
        <f>+Tabla15[[#This Row],[PRECIO SUGERIDO INSTALADOR]]</f>
        <v>1019258.7999999999</v>
      </c>
      <c r="D77" s="53">
        <f>+Tabla15[[#This Row],[PRECIO INSTALADOR
( CON  IVA)]]-Tabla15[[#This Row],[Columna23]]</f>
        <v>968295.85999999987</v>
      </c>
      <c r="E77" s="53">
        <f>+Tabla15[[#This Row],[DPP ORO]]</f>
        <v>818527.22</v>
      </c>
      <c r="F77" s="53">
        <f>+Tabla15[[#This Row],[DPP PLATINO]]</f>
        <v>810341.94779999997</v>
      </c>
      <c r="G77" s="53">
        <f>+Tabla15[[#This Row],[PRECIO INSTALADOR
( CON  IVA)]]/0.7</f>
        <v>1456084</v>
      </c>
      <c r="H77" s="45">
        <f>+Tabla15[[#This Row],[PRECIO INSTALADOR
( CON  IVA)]]*5%</f>
        <v>50962.94</v>
      </c>
      <c r="I77" s="18" t="e">
        <f t="shared" si="15"/>
        <v>#REF!</v>
      </c>
      <c r="J77" s="18" t="e">
        <f t="shared" si="16"/>
        <v>#REF!</v>
      </c>
      <c r="K77" s="17" t="e">
        <f t="shared" si="17"/>
        <v>#REF!</v>
      </c>
      <c r="L77" s="17" t="e">
        <f>+M77/#REF!</f>
        <v>#REF!</v>
      </c>
      <c r="M77" s="17">
        <f t="shared" si="18"/>
        <v>810341.94779999997</v>
      </c>
      <c r="N77" s="19">
        <f t="shared" si="5"/>
        <v>8185.2722000000003</v>
      </c>
      <c r="O77" s="28" t="e">
        <f>+P77/#REF!</f>
        <v>#REF!</v>
      </c>
      <c r="P77" s="29">
        <f>Tabla15[[#This Row],[ORO SIN IVA]]*1.19</f>
        <v>818527.22</v>
      </c>
      <c r="Q77" s="24" t="e">
        <f>+R77/#REF!</f>
        <v>#REF!</v>
      </c>
      <c r="R77" s="19">
        <f>Tabla15[[#This Row],[INSTALLER SIN IVA]]*1.19</f>
        <v>1019258.7999999999</v>
      </c>
      <c r="S77" s="24">
        <v>687838</v>
      </c>
      <c r="T77" s="18">
        <v>856520</v>
      </c>
    </row>
    <row r="78" spans="1:20" ht="40.5" x14ac:dyDescent="0.25">
      <c r="A78" s="47" t="s">
        <v>57</v>
      </c>
      <c r="B78" s="47" t="s">
        <v>56</v>
      </c>
      <c r="C78" s="53">
        <f>+Tabla15[[#This Row],[PRECIO SUGERIDO INSTALADOR]]</f>
        <v>888392.12</v>
      </c>
      <c r="D78" s="53">
        <f>+Tabla15[[#This Row],[PRECIO INSTALADOR
( CON  IVA)]]-Tabla15[[#This Row],[Columna23]]</f>
        <v>843972.51399999997</v>
      </c>
      <c r="E78" s="53">
        <f>+Tabla15[[#This Row],[DPP ORO]]</f>
        <v>715289.96</v>
      </c>
      <c r="F78" s="53">
        <f>+Tabla15[[#This Row],[DPP PLATINO]]</f>
        <v>708137.06039999996</v>
      </c>
      <c r="G78" s="53">
        <f>+Tabla15[[#This Row],[PRECIO INSTALADOR
( CON  IVA)]]/0.7</f>
        <v>1269131.6000000001</v>
      </c>
      <c r="H78" s="45">
        <f>+Tabla15[[#This Row],[PRECIO INSTALADOR
( CON  IVA)]]*5%</f>
        <v>44419.606</v>
      </c>
      <c r="I78" s="18" t="e">
        <f t="shared" si="15"/>
        <v>#REF!</v>
      </c>
      <c r="J78" s="18" t="e">
        <f t="shared" si="16"/>
        <v>#REF!</v>
      </c>
      <c r="K78" s="17" t="e">
        <f t="shared" si="17"/>
        <v>#REF!</v>
      </c>
      <c r="L78" s="17" t="e">
        <f>+M78/#REF!</f>
        <v>#REF!</v>
      </c>
      <c r="M78" s="17">
        <f t="shared" si="18"/>
        <v>708137.06039999996</v>
      </c>
      <c r="N78" s="19">
        <f t="shared" si="5"/>
        <v>7152.8995999999997</v>
      </c>
      <c r="O78" s="28" t="e">
        <f>+P78/#REF!</f>
        <v>#REF!</v>
      </c>
      <c r="P78" s="29">
        <f>Tabla15[[#This Row],[ORO SIN IVA]]*1.19</f>
        <v>715289.96</v>
      </c>
      <c r="Q78" s="24" t="e">
        <f>+R78/#REF!</f>
        <v>#REF!</v>
      </c>
      <c r="R78" s="19">
        <f>Tabla15[[#This Row],[INSTALLER SIN IVA]]*1.19</f>
        <v>888392.12</v>
      </c>
      <c r="S78" s="24">
        <v>601084</v>
      </c>
      <c r="T78" s="18">
        <v>746548</v>
      </c>
    </row>
    <row r="79" spans="1:20" ht="40.5" x14ac:dyDescent="0.25">
      <c r="A79" s="47" t="s">
        <v>154</v>
      </c>
      <c r="B79" s="47" t="s">
        <v>277</v>
      </c>
      <c r="C79" s="53">
        <f>+Tabla15[[#This Row],[PRECIO SUGERIDO INSTALADOR]]</f>
        <v>163088.31</v>
      </c>
      <c r="D79" s="53">
        <f>+Tabla15[[#This Row],[PRECIO INSTALADOR
( CON  IVA)]]-Tabla15[[#This Row],[Columna23]]</f>
        <v>154933.89449999999</v>
      </c>
      <c r="E79" s="53">
        <f>+Tabla15[[#This Row],[DPP ORO]]</f>
        <v>150678.99</v>
      </c>
      <c r="F79" s="53">
        <f>+Tabla15[[#This Row],[DPP PLATINO]]</f>
        <v>149172.20009999999</v>
      </c>
      <c r="G79" s="53">
        <f>+Tabla15[[#This Row],[PRECIO INSTALADOR
( CON  IVA)]]/0.7</f>
        <v>232983.30000000002</v>
      </c>
      <c r="H79" s="45">
        <f>+Tabla15[[#This Row],[PRECIO INSTALADOR
( CON  IVA)]]*5%</f>
        <v>8154.4155000000001</v>
      </c>
      <c r="I79" s="18" t="e">
        <f t="shared" si="15"/>
        <v>#REF!</v>
      </c>
      <c r="J79" s="18" t="e">
        <f t="shared" si="16"/>
        <v>#REF!</v>
      </c>
      <c r="K79" s="17" t="e">
        <f t="shared" si="17"/>
        <v>#REF!</v>
      </c>
      <c r="L79" s="17" t="e">
        <f>+M79/#REF!</f>
        <v>#REF!</v>
      </c>
      <c r="M79" s="17">
        <f t="shared" si="18"/>
        <v>149172.20009999999</v>
      </c>
      <c r="N79" s="19">
        <f t="shared" si="5"/>
        <v>1506.7899</v>
      </c>
      <c r="O79" s="28" t="e">
        <f>+P79/#REF!</f>
        <v>#REF!</v>
      </c>
      <c r="P79" s="27">
        <f>Tabla15[[#This Row],[ORO SIN IVA]]*1.19</f>
        <v>150678.99</v>
      </c>
      <c r="Q79" s="24" t="e">
        <f>+R79/#REF!</f>
        <v>#REF!</v>
      </c>
      <c r="R79" s="16">
        <f>Tabla15[[#This Row],[INSTALLER SIN IVA]]*1.19</f>
        <v>163088.31</v>
      </c>
      <c r="S79" s="24">
        <v>126621</v>
      </c>
      <c r="T79" s="18">
        <v>137049</v>
      </c>
    </row>
    <row r="80" spans="1:20" ht="54" x14ac:dyDescent="0.25">
      <c r="A80" s="47" t="s">
        <v>139</v>
      </c>
      <c r="B80" s="47" t="s">
        <v>138</v>
      </c>
      <c r="C80" s="53">
        <f>+Tabla15[[#This Row],[PRECIO SUGERIDO INSTALADOR]]</f>
        <v>293116.03999999998</v>
      </c>
      <c r="D80" s="53">
        <f>+Tabla15[[#This Row],[PRECIO INSTALADOR
( CON  IVA)]]-Tabla15[[#This Row],[Columna23]]</f>
        <v>278460.23799999995</v>
      </c>
      <c r="E80" s="53">
        <f>+Tabla15[[#This Row],[DPP ORO]]</f>
        <v>237676.31999999998</v>
      </c>
      <c r="F80" s="53">
        <f>+Tabla15[[#This Row],[DPP PLATINO]]</f>
        <v>235299.55679999999</v>
      </c>
      <c r="G80" s="53">
        <f>+Tabla15[[#This Row],[PRECIO INSTALADOR
( CON  IVA)]]/0.7</f>
        <v>418737.2</v>
      </c>
      <c r="H80" s="45">
        <f>+Tabla15[[#This Row],[PRECIO INSTALADOR
( CON  IVA)]]*5%</f>
        <v>14655.802</v>
      </c>
      <c r="I80" s="18" t="e">
        <f t="shared" si="15"/>
        <v>#REF!</v>
      </c>
      <c r="J80" s="18" t="e">
        <f t="shared" si="16"/>
        <v>#REF!</v>
      </c>
      <c r="K80" s="17" t="e">
        <f t="shared" si="17"/>
        <v>#REF!</v>
      </c>
      <c r="L80" s="17" t="e">
        <f>+M80/#REF!</f>
        <v>#REF!</v>
      </c>
      <c r="M80" s="17">
        <f t="shared" si="18"/>
        <v>235299.55679999999</v>
      </c>
      <c r="N80" s="19">
        <f t="shared" si="5"/>
        <v>2376.7631999999999</v>
      </c>
      <c r="O80" s="28" t="e">
        <f>+P80/#REF!</f>
        <v>#REF!</v>
      </c>
      <c r="P80" s="27">
        <f>Tabla15[[#This Row],[ORO SIN IVA]]*1.19</f>
        <v>237676.31999999998</v>
      </c>
      <c r="Q80" s="24" t="e">
        <f>+R80/#REF!</f>
        <v>#REF!</v>
      </c>
      <c r="R80" s="16">
        <f>Tabla15[[#This Row],[INSTALLER SIN IVA]]*1.19</f>
        <v>293116.03999999998</v>
      </c>
      <c r="S80" s="24">
        <v>199728</v>
      </c>
      <c r="T80" s="18">
        <v>246316</v>
      </c>
    </row>
    <row r="81" spans="1:20" ht="94.5" x14ac:dyDescent="0.25">
      <c r="A81" s="47" t="s">
        <v>278</v>
      </c>
      <c r="B81" s="47" t="s">
        <v>279</v>
      </c>
      <c r="C81" s="53">
        <f>+Tabla15[[#This Row],[PRECIO SUGERIDO INSTALADOR]]</f>
        <v>1328518.3799999999</v>
      </c>
      <c r="D81" s="53">
        <f>+Tabla15[[#This Row],[PRECIO INSTALADOR
( CON  IVA)]]-Tabla15[[#This Row],[Columna23]]</f>
        <v>1262092.4609999999</v>
      </c>
      <c r="E81" s="53">
        <f>+Tabla15[[#This Row],[DPP ORO]]</f>
        <v>1141126.7</v>
      </c>
      <c r="F81" s="53">
        <f>+Tabla15[[#This Row],[DPP PLATINO]]</f>
        <v>1129715.433</v>
      </c>
      <c r="G81" s="53">
        <f>+Tabla15[[#This Row],[PRECIO INSTALADOR
( CON  IVA)]]/0.7</f>
        <v>1897883.4</v>
      </c>
      <c r="H81" s="45">
        <f>+Tabla15[[#This Row],[PRECIO INSTALADOR
( CON  IVA)]]*5%</f>
        <v>66425.918999999994</v>
      </c>
      <c r="I81" s="18" t="e">
        <f t="shared" si="15"/>
        <v>#REF!</v>
      </c>
      <c r="J81" s="18" t="e">
        <f t="shared" si="16"/>
        <v>#REF!</v>
      </c>
      <c r="K81" s="17" t="e">
        <f t="shared" si="17"/>
        <v>#REF!</v>
      </c>
      <c r="L81" s="17" t="e">
        <f>+M81/#REF!</f>
        <v>#REF!</v>
      </c>
      <c r="M81" s="17">
        <f t="shared" si="18"/>
        <v>1129715.433</v>
      </c>
      <c r="N81" s="19">
        <f t="shared" si="5"/>
        <v>11411.267</v>
      </c>
      <c r="O81" s="28" t="e">
        <f>+P81/#REF!</f>
        <v>#REF!</v>
      </c>
      <c r="P81" s="27">
        <f>Tabla15[[#This Row],[ORO SIN IVA]]*1.19</f>
        <v>1141126.7</v>
      </c>
      <c r="Q81" s="24" t="e">
        <f>+R81/#REF!</f>
        <v>#REF!</v>
      </c>
      <c r="R81" s="16">
        <f>Tabla15[[#This Row],[INSTALLER SIN IVA]]*1.19</f>
        <v>1328518.3799999999</v>
      </c>
      <c r="S81" s="24">
        <v>958930</v>
      </c>
      <c r="T81" s="18">
        <v>1116402</v>
      </c>
    </row>
    <row r="82" spans="1:20" ht="67.5" x14ac:dyDescent="0.25">
      <c r="A82" s="47" t="s">
        <v>91</v>
      </c>
      <c r="B82" s="47" t="s">
        <v>280</v>
      </c>
      <c r="C82" s="53">
        <f>+Tabla15[[#This Row],[PRECIO SUGERIDO INSTALADOR]]</f>
        <v>768152.14</v>
      </c>
      <c r="D82" s="53">
        <f>+Tabla15[[#This Row],[PRECIO INSTALADOR
( CON  IVA)]]-Tabla15[[#This Row],[Columna23]]</f>
        <v>729744.53300000005</v>
      </c>
      <c r="E82" s="53">
        <f>+Tabla15[[#This Row],[DPP ORO]]</f>
        <v>620192.29999999993</v>
      </c>
      <c r="F82" s="53">
        <f>+Tabla15[[#This Row],[DPP PLATINO]]</f>
        <v>613990.37699999998</v>
      </c>
      <c r="G82" s="53">
        <f>+Tabla15[[#This Row],[PRECIO INSTALADOR
( CON  IVA)]]/0.7</f>
        <v>1097360.2000000002</v>
      </c>
      <c r="H82" s="45">
        <f>+Tabla15[[#This Row],[PRECIO INSTALADOR
( CON  IVA)]]*5%</f>
        <v>38407.607000000004</v>
      </c>
      <c r="I82" s="18" t="e">
        <f t="shared" si="15"/>
        <v>#REF!</v>
      </c>
      <c r="J82" s="18" t="e">
        <f t="shared" si="16"/>
        <v>#REF!</v>
      </c>
      <c r="K82" s="17" t="e">
        <f t="shared" si="17"/>
        <v>#REF!</v>
      </c>
      <c r="L82" s="17" t="e">
        <f>+M82/#REF!</f>
        <v>#REF!</v>
      </c>
      <c r="M82" s="17">
        <f t="shared" si="18"/>
        <v>613990.37699999998</v>
      </c>
      <c r="N82" s="19">
        <f t="shared" si="5"/>
        <v>6201.9229999999998</v>
      </c>
      <c r="O82" s="28" t="e">
        <f>+P82/#REF!</f>
        <v>#REF!</v>
      </c>
      <c r="P82" s="29">
        <f>Tabla15[[#This Row],[ORO SIN IVA]]*1.19</f>
        <v>620192.29999999993</v>
      </c>
      <c r="Q82" s="24" t="e">
        <f>+R82/#REF!</f>
        <v>#REF!</v>
      </c>
      <c r="R82" s="19">
        <f>Tabla15[[#This Row],[INSTALLER SIN IVA]]*1.19</f>
        <v>768152.14</v>
      </c>
      <c r="S82" s="24">
        <v>521170</v>
      </c>
      <c r="T82" s="18">
        <v>645506</v>
      </c>
    </row>
    <row r="83" spans="1:20" ht="94.5" x14ac:dyDescent="0.25">
      <c r="A83" s="47" t="s">
        <v>281</v>
      </c>
      <c r="B83" s="47" t="s">
        <v>282</v>
      </c>
      <c r="C83" s="53">
        <f>+Tabla15[[#This Row],[PRECIO SUGERIDO INSTALADOR]]</f>
        <v>1736809.76</v>
      </c>
      <c r="D83" s="53">
        <f>+Tabla15[[#This Row],[PRECIO INSTALADOR
( CON  IVA)]]-Tabla15[[#This Row],[Columna23]]</f>
        <v>1649969.2719999999</v>
      </c>
      <c r="E83" s="53">
        <f>+Tabla15[[#This Row],[DPP ORO]]</f>
        <v>1417511.3399999999</v>
      </c>
      <c r="F83" s="53">
        <f>+Tabla15[[#This Row],[DPP PLATINO]]</f>
        <v>1389161.1131999998</v>
      </c>
      <c r="G83" s="53">
        <f>+Tabla15[[#This Row],[PRECIO INSTALADOR
( CON  IVA)]]/0.7</f>
        <v>2481156.8000000003</v>
      </c>
      <c r="H83" s="45">
        <f>+Tabla15[[#This Row],[PRECIO INSTALADOR
( CON  IVA)]]*5%</f>
        <v>86840.488000000012</v>
      </c>
      <c r="I83" s="18" t="e">
        <f t="shared" si="15"/>
        <v>#REF!</v>
      </c>
      <c r="J83" s="18" t="e">
        <f t="shared" si="16"/>
        <v>#REF!</v>
      </c>
      <c r="K83" s="17" t="e">
        <f t="shared" si="17"/>
        <v>#REF!</v>
      </c>
      <c r="L83" s="17" t="e">
        <f>+M83/#REF!</f>
        <v>#REF!</v>
      </c>
      <c r="M83" s="17">
        <f t="shared" si="18"/>
        <v>1389161.1131999998</v>
      </c>
      <c r="N83" s="19">
        <f t="shared" ref="N83:N93" si="19">+P83*2%</f>
        <v>28350.226799999997</v>
      </c>
      <c r="O83" s="28" t="e">
        <f>+P83/#REF!</f>
        <v>#REF!</v>
      </c>
      <c r="P83" s="27">
        <f>Tabla15[[#This Row],[ORO SIN IVA]]*1.19</f>
        <v>1417511.3399999999</v>
      </c>
      <c r="Q83" s="24" t="e">
        <f>+R83/#REF!</f>
        <v>#REF!</v>
      </c>
      <c r="R83" s="16">
        <f>Tabla15[[#This Row],[INSTALLER SIN IVA]]*1.19</f>
        <v>1736809.76</v>
      </c>
      <c r="S83" s="24">
        <v>1191186</v>
      </c>
      <c r="T83" s="18">
        <v>1459504</v>
      </c>
    </row>
    <row r="84" spans="1:20" ht="27" x14ac:dyDescent="0.25">
      <c r="A84" s="47" t="s">
        <v>146</v>
      </c>
      <c r="B84" s="47" t="s">
        <v>283</v>
      </c>
      <c r="C84" s="53">
        <f>+Tabla15[[#This Row],[PRECIO SUGERIDO INSTALADOR]]</f>
        <v>283393.74</v>
      </c>
      <c r="D84" s="53">
        <f>+Tabla15[[#This Row],[PRECIO INSTALADOR
( CON  IVA)]]-Tabla15[[#This Row],[Columna23]]</f>
        <v>269224.05300000001</v>
      </c>
      <c r="E84" s="53">
        <f>+Tabla15[[#This Row],[DPP ORO]]</f>
        <v>229853.25999999998</v>
      </c>
      <c r="F84" s="53">
        <f>+Tabla15[[#This Row],[DPP PLATINO]]</f>
        <v>225256.19479999997</v>
      </c>
      <c r="G84" s="53">
        <f>+Tabla15[[#This Row],[PRECIO INSTALADOR
( CON  IVA)]]/0.7</f>
        <v>404848.2</v>
      </c>
      <c r="H84" s="45">
        <f>+Tabla15[[#This Row],[PRECIO INSTALADOR
( CON  IVA)]]*5%</f>
        <v>14169.687</v>
      </c>
      <c r="I84" s="18" t="e">
        <f t="shared" si="15"/>
        <v>#REF!</v>
      </c>
      <c r="J84" s="18" t="e">
        <f t="shared" si="16"/>
        <v>#REF!</v>
      </c>
      <c r="K84" s="17" t="e">
        <f t="shared" si="17"/>
        <v>#REF!</v>
      </c>
      <c r="L84" s="17" t="e">
        <f>+M84/#REF!</f>
        <v>#REF!</v>
      </c>
      <c r="M84" s="17">
        <f t="shared" si="18"/>
        <v>225256.19479999997</v>
      </c>
      <c r="N84" s="19">
        <f t="shared" si="19"/>
        <v>4597.0652</v>
      </c>
      <c r="O84" s="28" t="e">
        <f>+P84/#REF!</f>
        <v>#REF!</v>
      </c>
      <c r="P84" s="27">
        <f>Tabla15[[#This Row],[ORO SIN IVA]]*1.19</f>
        <v>229853.25999999998</v>
      </c>
      <c r="Q84" s="24" t="e">
        <f>+R84/#REF!</f>
        <v>#REF!</v>
      </c>
      <c r="R84" s="16">
        <f>Tabla15[[#This Row],[INSTALLER SIN IVA]]*1.19</f>
        <v>283393.74</v>
      </c>
      <c r="S84" s="24">
        <v>193154</v>
      </c>
      <c r="T84" s="18">
        <v>238146</v>
      </c>
    </row>
    <row r="85" spans="1:20" ht="27" x14ac:dyDescent="0.25">
      <c r="A85" s="47" t="s">
        <v>284</v>
      </c>
      <c r="B85" s="47" t="s">
        <v>45</v>
      </c>
      <c r="C85" s="53">
        <f>+Tabla15[[#This Row],[PRECIO SUGERIDO INSTALADOR]]</f>
        <v>905982.7</v>
      </c>
      <c r="D85" s="53">
        <f>+Tabla15[[#This Row],[PRECIO INSTALADOR
( CON  IVA)]]-Tabla15[[#This Row],[Columna23]]</f>
        <v>860683.56499999994</v>
      </c>
      <c r="E85" s="53">
        <f>+Tabla15[[#This Row],[DPP ORO]]</f>
        <v>723746.1</v>
      </c>
      <c r="F85" s="53">
        <f>+Tabla15[[#This Row],[DPP PLATINO]]</f>
        <v>709271.17799999996</v>
      </c>
      <c r="G85" s="53">
        <f>+Tabla15[[#This Row],[PRECIO INSTALADOR
( CON  IVA)]]/0.7</f>
        <v>1294261</v>
      </c>
      <c r="H85" s="45">
        <f>+Tabla15[[#This Row],[PRECIO INSTALADOR
( CON  IVA)]]*5%</f>
        <v>45299.135000000002</v>
      </c>
      <c r="I85" s="18" t="e">
        <f t="shared" si="15"/>
        <v>#REF!</v>
      </c>
      <c r="J85" s="18" t="e">
        <f t="shared" si="16"/>
        <v>#REF!</v>
      </c>
      <c r="K85" s="17" t="e">
        <f t="shared" si="17"/>
        <v>#REF!</v>
      </c>
      <c r="L85" s="17" t="e">
        <f>+M85/#REF!</f>
        <v>#REF!</v>
      </c>
      <c r="M85" s="17">
        <f t="shared" si="18"/>
        <v>709271.17799999996</v>
      </c>
      <c r="N85" s="19">
        <f t="shared" si="19"/>
        <v>14474.922</v>
      </c>
      <c r="O85" s="28" t="e">
        <f>+P85/#REF!</f>
        <v>#REF!</v>
      </c>
      <c r="P85" s="27">
        <f>Tabla15[[#This Row],[ORO SIN IVA]]*1.19</f>
        <v>723746.1</v>
      </c>
      <c r="Q85" s="24" t="e">
        <f>+R85/#REF!</f>
        <v>#REF!</v>
      </c>
      <c r="R85" s="16">
        <f>Tabla15[[#This Row],[INSTALLER SIN IVA]]*1.19</f>
        <v>905982.7</v>
      </c>
      <c r="S85" s="24">
        <v>608190</v>
      </c>
      <c r="T85" s="18">
        <v>761330</v>
      </c>
    </row>
    <row r="86" spans="1:20" ht="40.5" x14ac:dyDescent="0.25">
      <c r="A86" s="47" t="s">
        <v>157</v>
      </c>
      <c r="B86" s="47" t="s">
        <v>285</v>
      </c>
      <c r="C86" s="53">
        <f>+Tabla15[[#This Row],[PRECIO SUGERIDO INSTALADOR]]</f>
        <v>385636.16</v>
      </c>
      <c r="D86" s="53">
        <f>+Tabla15[[#This Row],[PRECIO INSTALADOR
( CON  IVA)]]-Tabla15[[#This Row],[Columna23]]</f>
        <v>366354.35199999996</v>
      </c>
      <c r="E86" s="53">
        <f>+Tabla15[[#This Row],[DPP ORO]]</f>
        <v>312741.51999999996</v>
      </c>
      <c r="F86" s="53">
        <f>+Tabla15[[#This Row],[DPP PLATINO]]</f>
        <v>306486.68959999998</v>
      </c>
      <c r="G86" s="53">
        <f>+Tabla15[[#This Row],[PRECIO INSTALADOR
( CON  IVA)]]/0.7</f>
        <v>550908.80000000005</v>
      </c>
      <c r="H86" s="45">
        <f>+Tabla15[[#This Row],[PRECIO INSTALADOR
( CON  IVA)]]*5%</f>
        <v>19281.808000000001</v>
      </c>
      <c r="I86" s="18" t="e">
        <f t="shared" si="15"/>
        <v>#REF!</v>
      </c>
      <c r="J86" s="18" t="e">
        <f t="shared" si="16"/>
        <v>#REF!</v>
      </c>
      <c r="K86" s="17" t="e">
        <f t="shared" si="17"/>
        <v>#REF!</v>
      </c>
      <c r="L86" s="17" t="e">
        <f>+M86/#REF!</f>
        <v>#REF!</v>
      </c>
      <c r="M86" s="17">
        <f t="shared" si="18"/>
        <v>306486.68959999998</v>
      </c>
      <c r="N86" s="19">
        <f t="shared" si="19"/>
        <v>6254.8303999999989</v>
      </c>
      <c r="O86" s="28" t="e">
        <f>+P86/#REF!</f>
        <v>#REF!</v>
      </c>
      <c r="P86" s="27">
        <f>Tabla15[[#This Row],[ORO SIN IVA]]*1.19</f>
        <v>312741.51999999996</v>
      </c>
      <c r="Q86" s="24" t="e">
        <f>+R86/#REF!</f>
        <v>#REF!</v>
      </c>
      <c r="R86" s="16">
        <f>Tabla15[[#This Row],[INSTALLER SIN IVA]]*1.19</f>
        <v>385636.16</v>
      </c>
      <c r="S86" s="24">
        <v>262808</v>
      </c>
      <c r="T86" s="18">
        <v>324064</v>
      </c>
    </row>
    <row r="87" spans="1:20" ht="108" x14ac:dyDescent="0.25">
      <c r="A87" s="49" t="s">
        <v>74</v>
      </c>
      <c r="B87" s="50" t="s">
        <v>286</v>
      </c>
      <c r="C87" s="53">
        <f>+Tabla15[[#This Row],[PRECIO SUGERIDO INSTALADOR]]</f>
        <v>403271.95999999996</v>
      </c>
      <c r="D87" s="53">
        <f>+Tabla15[[#This Row],[PRECIO INSTALADOR
( CON  IVA)]]-Tabla15[[#This Row],[Columna23]]</f>
        <v>383108.36199999996</v>
      </c>
      <c r="E87" s="53">
        <f>+Tabla15[[#This Row],[DPP ORO]]</f>
        <v>327076.26</v>
      </c>
      <c r="F87" s="53">
        <f>+Tabla15[[#This Row],[DPP PLATINO]]</f>
        <v>323805.49739999999</v>
      </c>
      <c r="G87" s="53">
        <f>+Tabla15[[#This Row],[PRECIO INSTALADOR
( CON  IVA)]]/0.7</f>
        <v>576102.79999999993</v>
      </c>
      <c r="H87" s="45">
        <f>+Tabla15[[#This Row],[PRECIO INSTALADOR
( CON  IVA)]]*5%</f>
        <v>20163.597999999998</v>
      </c>
      <c r="I87" s="18" t="e">
        <f>+Q87</f>
        <v>#REF!</v>
      </c>
      <c r="J87" s="18" t="e">
        <f>+O87</f>
        <v>#REF!</v>
      </c>
      <c r="K87" s="17" t="e">
        <f>+L87</f>
        <v>#REF!</v>
      </c>
      <c r="L87" s="17" t="e">
        <f>+M87/#REF!</f>
        <v>#REF!</v>
      </c>
      <c r="M87" s="17">
        <f>+P87-N87</f>
        <v>323805.49739999999</v>
      </c>
      <c r="N87" s="19">
        <f>+P87*1%</f>
        <v>3270.7626</v>
      </c>
      <c r="O87" s="28" t="e">
        <f>+P87/#REF!</f>
        <v>#REF!</v>
      </c>
      <c r="P87" s="27">
        <f>Tabla15[[#This Row],[ORO SIN IVA]]*1.19</f>
        <v>327076.26</v>
      </c>
      <c r="Q87" s="24" t="e">
        <f>+R87/#REF!</f>
        <v>#REF!</v>
      </c>
      <c r="R87" s="16">
        <f>Tabla15[[#This Row],[INSTALLER SIN IVA]]*1.19</f>
        <v>403271.95999999996</v>
      </c>
      <c r="S87" s="24">
        <v>274854</v>
      </c>
      <c r="T87" s="18">
        <v>338884</v>
      </c>
    </row>
    <row r="88" spans="1:20" ht="27" x14ac:dyDescent="0.25">
      <c r="A88" s="49" t="s">
        <v>180</v>
      </c>
      <c r="B88" s="50" t="s">
        <v>181</v>
      </c>
      <c r="C88" s="53">
        <f>+Tabla15[[#This Row],[PRECIO SUGERIDO INSTALADOR]]</f>
        <v>377685.76999999996</v>
      </c>
      <c r="D88" s="53">
        <f>+Tabla15[[#This Row],[PRECIO INSTALADOR
( CON  IVA)]]-Tabla15[[#This Row],[Columna23]]</f>
        <v>358801.48149999994</v>
      </c>
      <c r="E88" s="53">
        <f>+Tabla15[[#This Row],[DPP ORO]]</f>
        <v>306354.78999999998</v>
      </c>
      <c r="F88" s="53">
        <f>+Tabla15[[#This Row],[DPP PLATINO]]</f>
        <v>300227.69419999997</v>
      </c>
      <c r="G88" s="53">
        <f>+Tabla15[[#This Row],[PRECIO INSTALADOR
( CON  IVA)]]/0.7</f>
        <v>539551.1</v>
      </c>
      <c r="H88" s="45">
        <f>+Tabla15[[#This Row],[PRECIO INSTALADOR
( CON  IVA)]]*5%</f>
        <v>18884.288499999999</v>
      </c>
      <c r="I88" s="18" t="e">
        <f t="shared" si="15"/>
        <v>#REF!</v>
      </c>
      <c r="J88" s="18" t="e">
        <f t="shared" si="16"/>
        <v>#REF!</v>
      </c>
      <c r="K88" s="17" t="e">
        <f t="shared" si="17"/>
        <v>#REF!</v>
      </c>
      <c r="L88" s="17" t="e">
        <f>+M88/#REF!</f>
        <v>#REF!</v>
      </c>
      <c r="M88" s="17">
        <f t="shared" si="18"/>
        <v>300227.69419999997</v>
      </c>
      <c r="N88" s="19">
        <f t="shared" si="19"/>
        <v>6127.0958000000001</v>
      </c>
      <c r="O88" s="28" t="e">
        <f>+P88/#REF!</f>
        <v>#REF!</v>
      </c>
      <c r="P88" s="27">
        <f>Tabla15[[#This Row],[ORO SIN IVA]]*1.19</f>
        <v>306354.78999999998</v>
      </c>
      <c r="Q88" s="24" t="e">
        <f>+R88/#REF!</f>
        <v>#REF!</v>
      </c>
      <c r="R88" s="16">
        <f>Tabla15[[#This Row],[INSTALLER SIN IVA]]*1.19</f>
        <v>377685.76999999996</v>
      </c>
      <c r="S88" s="24">
        <v>257441</v>
      </c>
      <c r="T88" s="18">
        <v>317383</v>
      </c>
    </row>
    <row r="89" spans="1:20" ht="40.5" x14ac:dyDescent="0.25">
      <c r="A89" s="47" t="s">
        <v>75</v>
      </c>
      <c r="B89" s="47" t="s">
        <v>287</v>
      </c>
      <c r="C89" s="53">
        <f>+Tabla15[[#This Row],[PRECIO SUGERIDO INSTALADOR]]</f>
        <v>404402.45999999996</v>
      </c>
      <c r="D89" s="53">
        <f>+Tabla15[[#This Row],[PRECIO INSTALADOR
( CON  IVA)]]-Tabla15[[#This Row],[Columna23]]</f>
        <v>384182.33699999994</v>
      </c>
      <c r="E89" s="53">
        <f>+Tabla15[[#This Row],[DPP ORO]]</f>
        <v>319298.42</v>
      </c>
      <c r="F89" s="53">
        <f>+Tabla15[[#This Row],[DPP PLATINO]]</f>
        <v>316105.43579999998</v>
      </c>
      <c r="G89" s="53">
        <f>+Tabla15[[#This Row],[PRECIO INSTALADOR
( CON  IVA)]]/0.7</f>
        <v>577717.79999999993</v>
      </c>
      <c r="H89" s="45">
        <f>+Tabla15[[#This Row],[PRECIO INSTALADOR
( CON  IVA)]]*5%</f>
        <v>20220.123</v>
      </c>
      <c r="I89" s="18" t="e">
        <f>+Q89</f>
        <v>#REF!</v>
      </c>
      <c r="J89" s="18" t="e">
        <f>+O89</f>
        <v>#REF!</v>
      </c>
      <c r="K89" s="17" t="e">
        <f>+L89</f>
        <v>#REF!</v>
      </c>
      <c r="L89" s="17" t="e">
        <f>+M89/#REF!</f>
        <v>#REF!</v>
      </c>
      <c r="M89" s="17">
        <f>+P89-N89</f>
        <v>316105.43579999998</v>
      </c>
      <c r="N89" s="19">
        <f>+P89*1%</f>
        <v>3192.9841999999999</v>
      </c>
      <c r="O89" s="28" t="e">
        <f>+P89/#REF!</f>
        <v>#REF!</v>
      </c>
      <c r="P89" s="27">
        <f>Tabla15[[#This Row],[ORO SIN IVA]]*1.19</f>
        <v>319298.42</v>
      </c>
      <c r="Q89" s="24" t="e">
        <f>+R89/#REF!</f>
        <v>#REF!</v>
      </c>
      <c r="R89" s="16">
        <f>Tabla15[[#This Row],[INSTALLER SIN IVA]]*1.19</f>
        <v>404402.45999999996</v>
      </c>
      <c r="S89" s="24">
        <v>268318</v>
      </c>
      <c r="T89" s="18">
        <v>339834</v>
      </c>
    </row>
    <row r="90" spans="1:20" ht="54" x14ac:dyDescent="0.25">
      <c r="A90" s="47" t="s">
        <v>156</v>
      </c>
      <c r="B90" s="47" t="s">
        <v>288</v>
      </c>
      <c r="C90" s="53">
        <f>+Tabla15[[#This Row],[PRECIO SUGERIDO INSTALADOR]]</f>
        <v>466534.74</v>
      </c>
      <c r="D90" s="53">
        <f>+Tabla15[[#This Row],[PRECIO INSTALADOR
( CON  IVA)]]-Tabla15[[#This Row],[Columna23]]</f>
        <v>443208.00299999997</v>
      </c>
      <c r="E90" s="53">
        <f>+Tabla15[[#This Row],[DPP ORO]]</f>
        <v>378491.39999999997</v>
      </c>
      <c r="F90" s="53">
        <f>+Tabla15[[#This Row],[DPP PLATINO]]</f>
        <v>370921.57199999999</v>
      </c>
      <c r="G90" s="53">
        <f>+Tabla15[[#This Row],[PRECIO INSTALADOR
( CON  IVA)]]/0.7</f>
        <v>666478.20000000007</v>
      </c>
      <c r="H90" s="45">
        <f>+Tabla15[[#This Row],[PRECIO INSTALADOR
( CON  IVA)]]*5%</f>
        <v>23326.737000000001</v>
      </c>
      <c r="I90" s="18" t="e">
        <f t="shared" si="15"/>
        <v>#REF!</v>
      </c>
      <c r="J90" s="18" t="e">
        <f t="shared" si="16"/>
        <v>#REF!</v>
      </c>
      <c r="K90" s="17" t="e">
        <f t="shared" si="17"/>
        <v>#REF!</v>
      </c>
      <c r="L90" s="17" t="e">
        <f>+M90/#REF!</f>
        <v>#REF!</v>
      </c>
      <c r="M90" s="17">
        <f t="shared" si="18"/>
        <v>370921.57199999999</v>
      </c>
      <c r="N90" s="19">
        <f t="shared" si="19"/>
        <v>7569.8279999999995</v>
      </c>
      <c r="O90" s="28" t="e">
        <f>+P90/#REF!</f>
        <v>#REF!</v>
      </c>
      <c r="P90" s="27">
        <f>Tabla15[[#This Row],[ORO SIN IVA]]*1.19</f>
        <v>378491.39999999997</v>
      </c>
      <c r="Q90" s="24" t="e">
        <f>+R90/#REF!</f>
        <v>#REF!</v>
      </c>
      <c r="R90" s="16">
        <f>Tabla15[[#This Row],[INSTALLER SIN IVA]]*1.19</f>
        <v>466534.74</v>
      </c>
      <c r="S90" s="24">
        <v>318060</v>
      </c>
      <c r="T90" s="18">
        <v>392046</v>
      </c>
    </row>
    <row r="91" spans="1:20" ht="67.5" x14ac:dyDescent="0.25">
      <c r="A91" s="47" t="s">
        <v>182</v>
      </c>
      <c r="B91" s="47" t="s">
        <v>183</v>
      </c>
      <c r="C91" s="53">
        <f>+Tabla15[[#This Row],[PRECIO SUGERIDO INSTALADOR]]</f>
        <v>466534.74</v>
      </c>
      <c r="D91" s="53">
        <f>+Tabla15[[#This Row],[PRECIO INSTALADOR
( CON  IVA)]]-Tabla15[[#This Row],[Columna23]]</f>
        <v>443208.00299999997</v>
      </c>
      <c r="E91" s="53">
        <f>+Tabla15[[#This Row],[DPP ORO]]</f>
        <v>378491.39999999997</v>
      </c>
      <c r="F91" s="53">
        <f>+Tabla15[[#This Row],[DPP PLATINO]]</f>
        <v>370921.57199999999</v>
      </c>
      <c r="G91" s="53">
        <f>+Tabla15[[#This Row],[PRECIO INSTALADOR
( CON  IVA)]]/0.7</f>
        <v>666478.20000000007</v>
      </c>
      <c r="H91" s="45">
        <f>+Tabla15[[#This Row],[PRECIO INSTALADOR
( CON  IVA)]]*5%</f>
        <v>23326.737000000001</v>
      </c>
      <c r="I91" s="18" t="e">
        <f t="shared" si="15"/>
        <v>#REF!</v>
      </c>
      <c r="J91" s="18" t="e">
        <f t="shared" si="16"/>
        <v>#REF!</v>
      </c>
      <c r="K91" s="17" t="e">
        <f t="shared" si="17"/>
        <v>#REF!</v>
      </c>
      <c r="L91" s="17" t="e">
        <f>+M91/#REF!</f>
        <v>#REF!</v>
      </c>
      <c r="M91" s="17">
        <f t="shared" si="18"/>
        <v>370921.57199999999</v>
      </c>
      <c r="N91" s="19">
        <f t="shared" si="19"/>
        <v>7569.8279999999995</v>
      </c>
      <c r="O91" s="28" t="e">
        <f>+P91/#REF!</f>
        <v>#REF!</v>
      </c>
      <c r="P91" s="27">
        <f>Tabla15[[#This Row],[ORO SIN IVA]]*1.19</f>
        <v>378491.39999999997</v>
      </c>
      <c r="Q91" s="24" t="e">
        <f>+R91/#REF!</f>
        <v>#REF!</v>
      </c>
      <c r="R91" s="16">
        <f>Tabla15[[#This Row],[INSTALLER SIN IVA]]*1.19</f>
        <v>466534.74</v>
      </c>
      <c r="S91" s="24">
        <v>318060</v>
      </c>
      <c r="T91" s="18">
        <v>392046</v>
      </c>
    </row>
    <row r="92" spans="1:20" ht="54" x14ac:dyDescent="0.25">
      <c r="A92" s="47" t="s">
        <v>84</v>
      </c>
      <c r="B92" s="47" t="s">
        <v>83</v>
      </c>
      <c r="C92" s="53">
        <f>+Tabla15[[#This Row],[PRECIO SUGERIDO INSTALADOR]]</f>
        <v>3264083.13</v>
      </c>
      <c r="D92" s="53">
        <f>+Tabla15[[#This Row],[PRECIO INSTALADOR
( CON  IVA)]]-Tabla15[[#This Row],[Columna23]]</f>
        <v>3100878.9734999998</v>
      </c>
      <c r="E92" s="53">
        <f>+Tabla15[[#This Row],[DPP ORO]]</f>
        <v>2918363.1399999997</v>
      </c>
      <c r="F92" s="53">
        <f>+Tabla15[[#This Row],[DPP PLATINO]]</f>
        <v>2859995.8771999995</v>
      </c>
      <c r="G92" s="53">
        <f>+Tabla15[[#This Row],[PRECIO INSTALADOR
( CON  IVA)]]/0.7</f>
        <v>4662975.9000000004</v>
      </c>
      <c r="H92" s="45">
        <f>+Tabla15[[#This Row],[PRECIO INSTALADOR
( CON  IVA)]]*5%</f>
        <v>163204.15650000001</v>
      </c>
      <c r="I92" s="18" t="e">
        <f t="shared" si="15"/>
        <v>#REF!</v>
      </c>
      <c r="J92" s="18" t="e">
        <f t="shared" si="16"/>
        <v>#REF!</v>
      </c>
      <c r="K92" s="17" t="e">
        <f t="shared" si="17"/>
        <v>#REF!</v>
      </c>
      <c r="L92" s="17" t="e">
        <f>+M92/#REF!</f>
        <v>#REF!</v>
      </c>
      <c r="M92" s="17">
        <f t="shared" si="18"/>
        <v>2859995.8771999995</v>
      </c>
      <c r="N92" s="19">
        <f t="shared" si="19"/>
        <v>58367.262799999997</v>
      </c>
      <c r="O92" s="28" t="e">
        <f>+P92/#REF!</f>
        <v>#REF!</v>
      </c>
      <c r="P92" s="27">
        <f>Tabla15[[#This Row],[ORO SIN IVA]]*1.19</f>
        <v>2918363.1399999997</v>
      </c>
      <c r="Q92" s="24" t="e">
        <f>+R92/#REF!</f>
        <v>#REF!</v>
      </c>
      <c r="R92" s="16">
        <f>Tabla15[[#This Row],[INSTALLER SIN IVA]]*1.19</f>
        <v>3264083.13</v>
      </c>
      <c r="S92" s="24">
        <v>2452406</v>
      </c>
      <c r="T92" s="18">
        <v>2742927</v>
      </c>
    </row>
    <row r="93" spans="1:20" ht="40.5" x14ac:dyDescent="0.25">
      <c r="A93" s="47" t="s">
        <v>90</v>
      </c>
      <c r="B93" s="47" t="s">
        <v>289</v>
      </c>
      <c r="C93" s="53">
        <f>+Tabla15[[#This Row],[PRECIO SUGERIDO INSTALADOR]]</f>
        <v>336075.04</v>
      </c>
      <c r="D93" s="53">
        <f>+Tabla15[[#This Row],[PRECIO INSTALADOR
( CON  IVA)]]-Tabla15[[#This Row],[Columna23]]</f>
        <v>319271.288</v>
      </c>
      <c r="E93" s="53">
        <f>+Tabla15[[#This Row],[DPP ORO]]</f>
        <v>278329.09999999998</v>
      </c>
      <c r="F93" s="53">
        <f>+Tabla15[[#This Row],[DPP PLATINO]]</f>
        <v>272762.51799999998</v>
      </c>
      <c r="G93" s="53">
        <f>+Tabla15[[#This Row],[PRECIO INSTALADOR
( CON  IVA)]]/0.7</f>
        <v>480107.2</v>
      </c>
      <c r="H93" s="45">
        <f>+Tabla15[[#This Row],[PRECIO INSTALADOR
( CON  IVA)]]*5%</f>
        <v>16803.752</v>
      </c>
      <c r="I93" s="18" t="e">
        <f t="shared" si="15"/>
        <v>#REF!</v>
      </c>
      <c r="J93" s="18" t="e">
        <f t="shared" si="16"/>
        <v>#REF!</v>
      </c>
      <c r="K93" s="17" t="e">
        <f t="shared" si="17"/>
        <v>#REF!</v>
      </c>
      <c r="L93" s="17" t="e">
        <f>+M93/#REF!</f>
        <v>#REF!</v>
      </c>
      <c r="M93" s="17">
        <f t="shared" si="18"/>
        <v>272762.51799999998</v>
      </c>
      <c r="N93" s="19">
        <f t="shared" si="19"/>
        <v>5566.5819999999994</v>
      </c>
      <c r="O93" s="28" t="e">
        <f>+P93/#REF!</f>
        <v>#REF!</v>
      </c>
      <c r="P93" s="27">
        <f>Tabla15[[#This Row],[ORO SIN IVA]]*1.19</f>
        <v>278329.09999999998</v>
      </c>
      <c r="Q93" s="24" t="e">
        <f>+R93/#REF!</f>
        <v>#REF!</v>
      </c>
      <c r="R93" s="16">
        <f>Tabla15[[#This Row],[INSTALLER SIN IVA]]*1.19</f>
        <v>336075.04</v>
      </c>
      <c r="S93" s="24">
        <v>233890</v>
      </c>
      <c r="T93" s="18">
        <v>282416</v>
      </c>
    </row>
    <row r="94" spans="1:20" ht="40.5" x14ac:dyDescent="0.25">
      <c r="A94" s="47" t="s">
        <v>82</v>
      </c>
      <c r="B94" s="47" t="s">
        <v>290</v>
      </c>
      <c r="C94" s="53">
        <f>+Tabla15[[#This Row],[PRECIO SUGERIDO INSTALADOR]]</f>
        <v>673461.46</v>
      </c>
      <c r="D94" s="53">
        <f>+Tabla15[[#This Row],[PRECIO INSTALADOR
( CON  IVA)]]-Tabla15[[#This Row],[Columna23]]</f>
        <v>639788.38699999999</v>
      </c>
      <c r="E94" s="53">
        <f>+Tabla15[[#This Row],[DPP ORO]]</f>
        <v>540785.98</v>
      </c>
      <c r="F94" s="53">
        <f>+Tabla15[[#This Row],[DPP PLATINO]]</f>
        <v>535378.1202</v>
      </c>
      <c r="G94" s="53">
        <f>+Tabla15[[#This Row],[PRECIO INSTALADOR
( CON  IVA)]]/0.7</f>
        <v>962087.8</v>
      </c>
      <c r="H94" s="45">
        <f>+Tabla15[[#This Row],[PRECIO INSTALADOR
( CON  IVA)]]*5%</f>
        <v>33673.072999999997</v>
      </c>
      <c r="I94" s="18" t="e">
        <f t="shared" si="15"/>
        <v>#REF!</v>
      </c>
      <c r="J94" s="18" t="e">
        <f t="shared" si="16"/>
        <v>#REF!</v>
      </c>
      <c r="K94" s="17" t="e">
        <f t="shared" si="17"/>
        <v>#REF!</v>
      </c>
      <c r="L94" s="17" t="e">
        <f>+M94/#REF!</f>
        <v>#REF!</v>
      </c>
      <c r="M94" s="17">
        <f t="shared" si="18"/>
        <v>535378.1202</v>
      </c>
      <c r="N94" s="19">
        <f t="shared" ref="N94:N123" si="20">+P94*1%</f>
        <v>5407.8598000000002</v>
      </c>
      <c r="O94" s="28" t="e">
        <f>+P94/#REF!</f>
        <v>#REF!</v>
      </c>
      <c r="P94" s="27">
        <f>Tabla15[[#This Row],[ORO SIN IVA]]*1.19</f>
        <v>540785.98</v>
      </c>
      <c r="Q94" s="24" t="e">
        <f>+R94/#REF!</f>
        <v>#REF!</v>
      </c>
      <c r="R94" s="16">
        <f>Tabla15[[#This Row],[INSTALLER SIN IVA]]*1.19</f>
        <v>673461.46</v>
      </c>
      <c r="S94" s="24">
        <v>454442</v>
      </c>
      <c r="T94" s="18">
        <v>565934</v>
      </c>
    </row>
    <row r="95" spans="1:20" ht="40.5" x14ac:dyDescent="0.25">
      <c r="A95" s="47" t="s">
        <v>55</v>
      </c>
      <c r="B95" s="47" t="s">
        <v>291</v>
      </c>
      <c r="C95" s="53">
        <f>+Tabla15[[#This Row],[PRECIO SUGERIDO INSTALADOR]]</f>
        <v>1219040.76</v>
      </c>
      <c r="D95" s="53">
        <f>+Tabla15[[#This Row],[PRECIO INSTALADOR
( CON  IVA)]]-Tabla15[[#This Row],[Columna23]]</f>
        <v>1158088.7220000001</v>
      </c>
      <c r="E95" s="53">
        <f>+Tabla15[[#This Row],[DPP ORO]]</f>
        <v>978967.77999999991</v>
      </c>
      <c r="F95" s="53">
        <f>+Tabla15[[#This Row],[DPP PLATINO]]</f>
        <v>969178.10219999996</v>
      </c>
      <c r="G95" s="53">
        <f>+Tabla15[[#This Row],[PRECIO INSTALADOR
( CON  IVA)]]/0.7</f>
        <v>1741486.8</v>
      </c>
      <c r="H95" s="45">
        <f>+Tabla15[[#This Row],[PRECIO INSTALADOR
( CON  IVA)]]*5%</f>
        <v>60952.038</v>
      </c>
      <c r="I95" s="18" t="e">
        <f t="shared" si="15"/>
        <v>#REF!</v>
      </c>
      <c r="J95" s="18" t="e">
        <f t="shared" si="16"/>
        <v>#REF!</v>
      </c>
      <c r="K95" s="17" t="e">
        <f t="shared" si="17"/>
        <v>#REF!</v>
      </c>
      <c r="L95" s="17" t="e">
        <f>+M95/#REF!</f>
        <v>#REF!</v>
      </c>
      <c r="M95" s="17">
        <f t="shared" si="18"/>
        <v>969178.10219999996</v>
      </c>
      <c r="N95" s="19">
        <f t="shared" si="20"/>
        <v>9789.6777999999995</v>
      </c>
      <c r="O95" s="28" t="e">
        <f>+P95/#REF!</f>
        <v>#REF!</v>
      </c>
      <c r="P95" s="27">
        <f>Tabla15[[#This Row],[ORO SIN IVA]]*1.19</f>
        <v>978967.77999999991</v>
      </c>
      <c r="Q95" s="24" t="e">
        <f>+R95/#REF!</f>
        <v>#REF!</v>
      </c>
      <c r="R95" s="16">
        <f>Tabla15[[#This Row],[INSTALLER SIN IVA]]*1.19</f>
        <v>1219040.76</v>
      </c>
      <c r="S95" s="24">
        <v>822662</v>
      </c>
      <c r="T95" s="18">
        <v>1024404</v>
      </c>
    </row>
    <row r="96" spans="1:20" ht="67.5" x14ac:dyDescent="0.25">
      <c r="A96" s="47" t="s">
        <v>292</v>
      </c>
      <c r="B96" s="47" t="s">
        <v>293</v>
      </c>
      <c r="C96" s="53">
        <f>+Tabla15[[#This Row],[PRECIO SUGERIDO INSTALADOR]]</f>
        <v>1366141.42</v>
      </c>
      <c r="D96" s="53">
        <f>+Tabla15[[#This Row],[PRECIO INSTALADOR
( CON  IVA)]]-Tabla15[[#This Row],[Columna23]]</f>
        <v>1297834.3489999999</v>
      </c>
      <c r="E96" s="53">
        <f>+Tabla15[[#This Row],[DPP ORO]]</f>
        <v>1173413.78</v>
      </c>
      <c r="F96" s="53">
        <f>+Tabla15[[#This Row],[DPP PLATINO]]</f>
        <v>1161679.6422000001</v>
      </c>
      <c r="G96" s="53">
        <f>+Tabla15[[#This Row],[PRECIO INSTALADOR
( CON  IVA)]]/0.7</f>
        <v>1951630.6</v>
      </c>
      <c r="H96" s="45">
        <f>+Tabla15[[#This Row],[PRECIO INSTALADOR
( CON  IVA)]]*5%</f>
        <v>68307.070999999996</v>
      </c>
      <c r="I96" s="18" t="e">
        <f t="shared" si="15"/>
        <v>#REF!</v>
      </c>
      <c r="J96" s="18" t="e">
        <f t="shared" si="16"/>
        <v>#REF!</v>
      </c>
      <c r="K96" s="17" t="e">
        <f t="shared" si="17"/>
        <v>#REF!</v>
      </c>
      <c r="L96" s="17" t="e">
        <f>+M96/#REF!</f>
        <v>#REF!</v>
      </c>
      <c r="M96" s="17">
        <f t="shared" si="18"/>
        <v>1161679.6422000001</v>
      </c>
      <c r="N96" s="19">
        <f t="shared" si="20"/>
        <v>11734.1378</v>
      </c>
      <c r="O96" s="28" t="e">
        <f>+P96/#REF!</f>
        <v>#REF!</v>
      </c>
      <c r="P96" s="27">
        <f>Tabla15[[#This Row],[ORO SIN IVA]]*1.19</f>
        <v>1173413.78</v>
      </c>
      <c r="Q96" s="24" t="e">
        <f>+R96/#REF!</f>
        <v>#REF!</v>
      </c>
      <c r="R96" s="16">
        <f>Tabla15[[#This Row],[INSTALLER SIN IVA]]*1.19</f>
        <v>1366141.42</v>
      </c>
      <c r="S96" s="24">
        <v>986062</v>
      </c>
      <c r="T96" s="18">
        <v>1148018</v>
      </c>
    </row>
    <row r="97" spans="1:20" ht="27" x14ac:dyDescent="0.25">
      <c r="A97" s="47" t="s">
        <v>61</v>
      </c>
      <c r="B97" s="47" t="s">
        <v>294</v>
      </c>
      <c r="C97" s="53">
        <f>+Tabla15[[#This Row],[PRECIO SUGERIDO INSTALADOR]]</f>
        <v>1219040.76</v>
      </c>
      <c r="D97" s="53">
        <f>+Tabla15[[#This Row],[PRECIO INSTALADOR
( CON  IVA)]]-Tabla15[[#This Row],[Columna23]]</f>
        <v>1158088.7220000001</v>
      </c>
      <c r="E97" s="53">
        <f>+Tabla15[[#This Row],[DPP ORO]]</f>
        <v>978967.77999999991</v>
      </c>
      <c r="F97" s="53">
        <f>+Tabla15[[#This Row],[DPP PLATINO]]</f>
        <v>969178.10219999996</v>
      </c>
      <c r="G97" s="53">
        <f>+Tabla15[[#This Row],[PRECIO INSTALADOR
( CON  IVA)]]/0.7</f>
        <v>1741486.8</v>
      </c>
      <c r="H97" s="45">
        <f>+Tabla15[[#This Row],[PRECIO INSTALADOR
( CON  IVA)]]*5%</f>
        <v>60952.038</v>
      </c>
      <c r="I97" s="18" t="e">
        <f t="shared" si="15"/>
        <v>#REF!</v>
      </c>
      <c r="J97" s="18" t="e">
        <f t="shared" si="16"/>
        <v>#REF!</v>
      </c>
      <c r="K97" s="17" t="e">
        <f t="shared" si="17"/>
        <v>#REF!</v>
      </c>
      <c r="L97" s="17" t="e">
        <f>+M97/#REF!</f>
        <v>#REF!</v>
      </c>
      <c r="M97" s="17">
        <f t="shared" si="18"/>
        <v>969178.10219999996</v>
      </c>
      <c r="N97" s="19">
        <f t="shared" si="20"/>
        <v>9789.6777999999995</v>
      </c>
      <c r="O97" s="28" t="e">
        <f>+P97/#REF!</f>
        <v>#REF!</v>
      </c>
      <c r="P97" s="27">
        <f>Tabla15[[#This Row],[ORO SIN IVA]]*1.19</f>
        <v>978967.77999999991</v>
      </c>
      <c r="Q97" s="24" t="e">
        <f>+R97/#REF!</f>
        <v>#REF!</v>
      </c>
      <c r="R97" s="16">
        <f>Tabla15[[#This Row],[INSTALLER SIN IVA]]*1.19</f>
        <v>1219040.76</v>
      </c>
      <c r="S97" s="24">
        <v>822662</v>
      </c>
      <c r="T97" s="18">
        <v>1024404</v>
      </c>
    </row>
    <row r="98" spans="1:20" ht="81" x14ac:dyDescent="0.25">
      <c r="A98" s="47" t="s">
        <v>295</v>
      </c>
      <c r="B98" s="47" t="s">
        <v>296</v>
      </c>
      <c r="C98" s="53">
        <f>+Tabla15[[#This Row],[PRECIO SUGERIDO INSTALADOR]]</f>
        <v>388982.44</v>
      </c>
      <c r="D98" s="53">
        <f>+Tabla15[[#This Row],[PRECIO INSTALADOR
( CON  IVA)]]-Tabla15[[#This Row],[Columna23]]</f>
        <v>369533.31800000003</v>
      </c>
      <c r="E98" s="53">
        <f>+Tabla15[[#This Row],[DPP ORO]]</f>
        <v>325403.12</v>
      </c>
      <c r="F98" s="53">
        <f>+Tabla15[[#This Row],[DPP PLATINO]]</f>
        <v>322149.08879999997</v>
      </c>
      <c r="G98" s="53">
        <f>+Tabla15[[#This Row],[PRECIO INSTALADOR
( CON  IVA)]]/0.7</f>
        <v>555689.20000000007</v>
      </c>
      <c r="H98" s="45">
        <f>+Tabla15[[#This Row],[PRECIO INSTALADOR
( CON  IVA)]]*5%</f>
        <v>19449.121999999999</v>
      </c>
      <c r="I98" s="18" t="e">
        <f t="shared" si="15"/>
        <v>#REF!</v>
      </c>
      <c r="J98" s="18" t="e">
        <f t="shared" si="16"/>
        <v>#REF!</v>
      </c>
      <c r="K98" s="17" t="e">
        <f t="shared" si="17"/>
        <v>#REF!</v>
      </c>
      <c r="L98" s="17" t="e">
        <f>+M98/#REF!</f>
        <v>#REF!</v>
      </c>
      <c r="M98" s="17">
        <f t="shared" si="18"/>
        <v>322149.08879999997</v>
      </c>
      <c r="N98" s="19">
        <f t="shared" si="20"/>
        <v>3254.0311999999999</v>
      </c>
      <c r="O98" s="28" t="e">
        <f>+P98/#REF!</f>
        <v>#REF!</v>
      </c>
      <c r="P98" s="27">
        <f>Tabla15[[#This Row],[ORO SIN IVA]]*1.19</f>
        <v>325403.12</v>
      </c>
      <c r="Q98" s="24" t="e">
        <f>+R98/#REF!</f>
        <v>#REF!</v>
      </c>
      <c r="R98" s="16">
        <f>Tabla15[[#This Row],[INSTALLER SIN IVA]]*1.19</f>
        <v>388982.44</v>
      </c>
      <c r="S98" s="24">
        <v>273448</v>
      </c>
      <c r="T98" s="18">
        <v>326876</v>
      </c>
    </row>
    <row r="99" spans="1:20" ht="81" x14ac:dyDescent="0.25">
      <c r="A99" s="47" t="s">
        <v>297</v>
      </c>
      <c r="B99" s="47" t="s">
        <v>298</v>
      </c>
      <c r="C99" s="53">
        <f>+Tabla15[[#This Row],[PRECIO SUGERIDO INSTALADOR]]</f>
        <v>554985.05999999994</v>
      </c>
      <c r="D99" s="53">
        <f>+Tabla15[[#This Row],[PRECIO INSTALADOR
( CON  IVA)]]-Tabla15[[#This Row],[Columna23]]</f>
        <v>527235.80699999991</v>
      </c>
      <c r="E99" s="53">
        <f>+Tabla15[[#This Row],[DPP ORO]]</f>
        <v>464183.3</v>
      </c>
      <c r="F99" s="53">
        <f>+Tabla15[[#This Row],[DPP PLATINO]]</f>
        <v>459541.467</v>
      </c>
      <c r="G99" s="53">
        <f>+Tabla15[[#This Row],[PRECIO INSTALADOR
( CON  IVA)]]/0.7</f>
        <v>792835.79999999993</v>
      </c>
      <c r="H99" s="45">
        <f>+Tabla15[[#This Row],[PRECIO INSTALADOR
( CON  IVA)]]*5%</f>
        <v>27749.252999999997</v>
      </c>
      <c r="I99" s="18" t="e">
        <f t="shared" si="15"/>
        <v>#REF!</v>
      </c>
      <c r="J99" s="18" t="e">
        <f t="shared" si="16"/>
        <v>#REF!</v>
      </c>
      <c r="K99" s="17" t="e">
        <f t="shared" si="17"/>
        <v>#REF!</v>
      </c>
      <c r="L99" s="17" t="e">
        <f>+M99/#REF!</f>
        <v>#REF!</v>
      </c>
      <c r="M99" s="17">
        <f t="shared" si="18"/>
        <v>459541.467</v>
      </c>
      <c r="N99" s="19">
        <f t="shared" si="20"/>
        <v>4641.8329999999996</v>
      </c>
      <c r="O99" s="28" t="e">
        <f>+P99/#REF!</f>
        <v>#REF!</v>
      </c>
      <c r="P99" s="27">
        <f>Tabla15[[#This Row],[ORO SIN IVA]]*1.19</f>
        <v>464183.3</v>
      </c>
      <c r="Q99" s="24" t="e">
        <f>+R99/#REF!</f>
        <v>#REF!</v>
      </c>
      <c r="R99" s="16">
        <f>Tabla15[[#This Row],[INSTALLER SIN IVA]]*1.19</f>
        <v>554985.05999999994</v>
      </c>
      <c r="S99" s="24">
        <v>390070</v>
      </c>
      <c r="T99" s="18">
        <v>466373.99999999994</v>
      </c>
    </row>
    <row r="100" spans="1:20" ht="94.5" x14ac:dyDescent="0.25">
      <c r="A100" s="47" t="s">
        <v>299</v>
      </c>
      <c r="B100" s="47" t="s">
        <v>300</v>
      </c>
      <c r="C100" s="53">
        <f>+Tabla15[[#This Row],[PRECIO SUGERIDO INSTALADOR]]</f>
        <v>2057374.3399999999</v>
      </c>
      <c r="D100" s="53">
        <f>+Tabla15[[#This Row],[PRECIO INSTALADOR
( CON  IVA)]]-Tabla15[[#This Row],[Columna23]]</f>
        <v>1954505.6229999999</v>
      </c>
      <c r="E100" s="53">
        <f>+Tabla15[[#This Row],[DPP ORO]]</f>
        <v>1592286.64</v>
      </c>
      <c r="F100" s="53">
        <f>+Tabla15[[#This Row],[DPP PLATINO]]</f>
        <v>1576363.7736</v>
      </c>
      <c r="G100" s="53">
        <f>+Tabla15[[#This Row],[PRECIO INSTALADOR
( CON  IVA)]]/0.7</f>
        <v>2939106.2</v>
      </c>
      <c r="H100" s="45">
        <f>+Tabla15[[#This Row],[PRECIO INSTALADOR
( CON  IVA)]]*5%</f>
        <v>102868.717</v>
      </c>
      <c r="I100" s="18" t="e">
        <f t="shared" si="15"/>
        <v>#REF!</v>
      </c>
      <c r="J100" s="18" t="e">
        <f t="shared" si="16"/>
        <v>#REF!</v>
      </c>
      <c r="K100" s="17" t="e">
        <f t="shared" si="17"/>
        <v>#REF!</v>
      </c>
      <c r="L100" s="17" t="e">
        <f>+M100/#REF!</f>
        <v>#REF!</v>
      </c>
      <c r="M100" s="17">
        <f t="shared" si="18"/>
        <v>1576363.7736</v>
      </c>
      <c r="N100" s="19">
        <f t="shared" si="20"/>
        <v>15922.866399999999</v>
      </c>
      <c r="O100" s="18" t="e">
        <f>+P100/#REF!</f>
        <v>#REF!</v>
      </c>
      <c r="P100" s="26">
        <f>Tabla15[[#This Row],[ORO SIN IVA]]*1.19</f>
        <v>1592286.64</v>
      </c>
      <c r="Q100" s="18" t="e">
        <f>+R100/#REF!</f>
        <v>#REF!</v>
      </c>
      <c r="R100" s="16">
        <f>Tabla15[[#This Row],[INSTALLER SIN IVA]]*1.19</f>
        <v>2057374.3399999999</v>
      </c>
      <c r="S100" s="24">
        <v>1338056</v>
      </c>
      <c r="T100" s="18">
        <v>1728886</v>
      </c>
    </row>
    <row r="101" spans="1:20" ht="94.5" x14ac:dyDescent="0.25">
      <c r="A101" s="47" t="s">
        <v>301</v>
      </c>
      <c r="B101" s="47" t="s">
        <v>302</v>
      </c>
      <c r="C101" s="53">
        <f>+Tabla15[[#This Row],[PRECIO SUGERIDO INSTALADOR]]</f>
        <v>2431569.84</v>
      </c>
      <c r="D101" s="53">
        <f>+Tabla15[[#This Row],[PRECIO INSTALADOR
( CON  IVA)]]-Tabla15[[#This Row],[Columna23]]</f>
        <v>2309991.3479999998</v>
      </c>
      <c r="E101" s="53">
        <f>+Tabla15[[#This Row],[DPP ORO]]</f>
        <v>1881920.74</v>
      </c>
      <c r="F101" s="53">
        <f>+Tabla15[[#This Row],[DPP PLATINO]]</f>
        <v>1863101.5326</v>
      </c>
      <c r="G101" s="53">
        <f>+Tabla15[[#This Row],[PRECIO INSTALADOR
( CON  IVA)]]/0.7</f>
        <v>3473671.2</v>
      </c>
      <c r="H101" s="45">
        <f>+Tabla15[[#This Row],[PRECIO INSTALADOR
( CON  IVA)]]*5%</f>
        <v>121578.492</v>
      </c>
      <c r="I101" s="18" t="e">
        <f t="shared" si="15"/>
        <v>#REF!</v>
      </c>
      <c r="J101" s="18" t="e">
        <f t="shared" si="16"/>
        <v>#REF!</v>
      </c>
      <c r="K101" s="17" t="e">
        <f t="shared" si="17"/>
        <v>#REF!</v>
      </c>
      <c r="L101" s="17" t="e">
        <f>+M101/#REF!</f>
        <v>#REF!</v>
      </c>
      <c r="M101" s="17">
        <f t="shared" si="18"/>
        <v>1863101.5326</v>
      </c>
      <c r="N101" s="19">
        <f t="shared" si="20"/>
        <v>18819.207399999999</v>
      </c>
      <c r="O101" s="18" t="e">
        <f>+P101/#REF!</f>
        <v>#REF!</v>
      </c>
      <c r="P101" s="21">
        <f>Tabla15[[#This Row],[ORO SIN IVA]]*1.19</f>
        <v>1881920.74</v>
      </c>
      <c r="Q101" s="18" t="e">
        <f>+R101/#REF!</f>
        <v>#REF!</v>
      </c>
      <c r="R101" s="16">
        <f>Tabla15[[#This Row],[INSTALLER SIN IVA]]*1.19</f>
        <v>2431569.84</v>
      </c>
      <c r="S101" s="24">
        <v>1581446</v>
      </c>
      <c r="T101" s="18">
        <v>2043336</v>
      </c>
    </row>
    <row r="102" spans="1:20" ht="108" x14ac:dyDescent="0.25">
      <c r="A102" s="47" t="s">
        <v>303</v>
      </c>
      <c r="B102" s="47" t="s">
        <v>304</v>
      </c>
      <c r="C102" s="53">
        <f>+Tabla15[[#This Row],[PRECIO SUGERIDO INSTALADOR]]</f>
        <v>7073176.7399999993</v>
      </c>
      <c r="D102" s="53">
        <f>+Tabla15[[#This Row],[PRECIO INSTALADOR
( CON  IVA)]]-Tabla15[[#This Row],[Columna23]]</f>
        <v>6719517.902999999</v>
      </c>
      <c r="E102" s="53">
        <f>+Tabla15[[#This Row],[DPP ORO]]</f>
        <v>5474287.9799999995</v>
      </c>
      <c r="F102" s="53">
        <f>+Tabla15[[#This Row],[DPP PLATINO]]</f>
        <v>5419545.1001999993</v>
      </c>
      <c r="G102" s="53">
        <f>+Tabla15[[#This Row],[PRECIO INSTALADOR
( CON  IVA)]]/0.7</f>
        <v>10104538.199999999</v>
      </c>
      <c r="H102" s="45">
        <f>+Tabla15[[#This Row],[PRECIO INSTALADOR
( CON  IVA)]]*5%</f>
        <v>353658.837</v>
      </c>
      <c r="I102" s="18" t="e">
        <f t="shared" si="15"/>
        <v>#REF!</v>
      </c>
      <c r="J102" s="18" t="e">
        <f t="shared" si="16"/>
        <v>#REF!</v>
      </c>
      <c r="K102" s="17" t="e">
        <f t="shared" si="17"/>
        <v>#REF!</v>
      </c>
      <c r="L102" s="17" t="e">
        <f>+M102/#REF!</f>
        <v>#REF!</v>
      </c>
      <c r="M102" s="17">
        <f t="shared" si="18"/>
        <v>5419545.1001999993</v>
      </c>
      <c r="N102" s="19">
        <f t="shared" si="20"/>
        <v>54742.879799999995</v>
      </c>
      <c r="O102" s="18" t="e">
        <f>+P102/#REF!</f>
        <v>#REF!</v>
      </c>
      <c r="P102" s="21">
        <f>Tabla15[[#This Row],[ORO SIN IVA]]*1.19</f>
        <v>5474287.9799999995</v>
      </c>
      <c r="Q102" s="18" t="e">
        <f>+R102/#REF!</f>
        <v>#REF!</v>
      </c>
      <c r="R102" s="16">
        <f>Tabla15[[#This Row],[INSTALLER SIN IVA]]*1.19</f>
        <v>7073176.7399999993</v>
      </c>
      <c r="S102" s="24">
        <v>4600242</v>
      </c>
      <c r="T102" s="18">
        <v>5943846</v>
      </c>
    </row>
    <row r="103" spans="1:20" ht="121.5" x14ac:dyDescent="0.25">
      <c r="A103" s="47" t="s">
        <v>305</v>
      </c>
      <c r="B103" s="47" t="s">
        <v>306</v>
      </c>
      <c r="C103" s="53">
        <f>+Tabla15[[#This Row],[PRECIO SUGERIDO INSTALADOR]]</f>
        <v>4713461.4799999995</v>
      </c>
      <c r="D103" s="53">
        <f>+Tabla15[[#This Row],[PRECIO INSTALADOR
( CON  IVA)]]-Tabla15[[#This Row],[Columna23]]</f>
        <v>4477788.4059999995</v>
      </c>
      <c r="E103" s="53">
        <f>+Tabla15[[#This Row],[DPP ORO]]</f>
        <v>3648033.06</v>
      </c>
      <c r="F103" s="53">
        <f>+Tabla15[[#This Row],[DPP PLATINO]]</f>
        <v>3611552.7294000001</v>
      </c>
      <c r="G103" s="53">
        <f>+Tabla15[[#This Row],[PRECIO INSTALADOR
( CON  IVA)]]/0.7</f>
        <v>6733516.3999999994</v>
      </c>
      <c r="H103" s="45">
        <f>+Tabla15[[#This Row],[PRECIO INSTALADOR
( CON  IVA)]]*5%</f>
        <v>235673.07399999999</v>
      </c>
      <c r="I103" s="18" t="e">
        <f t="shared" si="15"/>
        <v>#REF!</v>
      </c>
      <c r="J103" s="18" t="e">
        <f t="shared" si="16"/>
        <v>#REF!</v>
      </c>
      <c r="K103" s="17" t="e">
        <f t="shared" si="17"/>
        <v>#REF!</v>
      </c>
      <c r="L103" s="17" t="e">
        <f>+M103/#REF!</f>
        <v>#REF!</v>
      </c>
      <c r="M103" s="17">
        <f t="shared" si="18"/>
        <v>3611552.7294000001</v>
      </c>
      <c r="N103" s="19">
        <f t="shared" si="20"/>
        <v>36480.330600000001</v>
      </c>
      <c r="O103" s="18" t="e">
        <f>+P103/#REF!</f>
        <v>#REF!</v>
      </c>
      <c r="P103" s="21">
        <f>Tabla15[[#This Row],[ORO SIN IVA]]*1.19</f>
        <v>3648033.06</v>
      </c>
      <c r="Q103" s="18" t="e">
        <f>+R103/#REF!</f>
        <v>#REF!</v>
      </c>
      <c r="R103" s="16">
        <f>Tabla15[[#This Row],[INSTALLER SIN IVA]]*1.19</f>
        <v>4713461.4799999995</v>
      </c>
      <c r="S103" s="24">
        <v>3065574</v>
      </c>
      <c r="T103" s="18">
        <v>3960892</v>
      </c>
    </row>
    <row r="104" spans="1:20" ht="54" x14ac:dyDescent="0.25">
      <c r="A104" s="47" t="s">
        <v>307</v>
      </c>
      <c r="B104" s="47" t="s">
        <v>308</v>
      </c>
      <c r="C104" s="53">
        <f>+Tabla15[[#This Row],[PRECIO SUGERIDO INSTALADOR]]</f>
        <v>2034312.14</v>
      </c>
      <c r="D104" s="53">
        <f>+Tabla15[[#This Row],[PRECIO INSTALADOR
( CON  IVA)]]-Tabla15[[#This Row],[Columna23]]</f>
        <v>1932596.5329999998</v>
      </c>
      <c r="E104" s="53">
        <f>+Tabla15[[#This Row],[DPP ORO]]</f>
        <v>1574469.96</v>
      </c>
      <c r="F104" s="53">
        <f>+Tabla15[[#This Row],[DPP PLATINO]]</f>
        <v>1558725.2604</v>
      </c>
      <c r="G104" s="53">
        <f>+Tabla15[[#This Row],[PRECIO INSTALADOR
( CON  IVA)]]/0.7</f>
        <v>2906160.2</v>
      </c>
      <c r="H104" s="45">
        <f>+Tabla15[[#This Row],[PRECIO INSTALADOR
( CON  IVA)]]*5%</f>
        <v>101715.607</v>
      </c>
      <c r="I104" s="18" t="e">
        <f t="shared" si="15"/>
        <v>#REF!</v>
      </c>
      <c r="J104" s="18" t="e">
        <f t="shared" si="16"/>
        <v>#REF!</v>
      </c>
      <c r="K104" s="17" t="e">
        <f t="shared" si="17"/>
        <v>#REF!</v>
      </c>
      <c r="L104" s="17" t="e">
        <f>+M104/#REF!</f>
        <v>#REF!</v>
      </c>
      <c r="M104" s="17">
        <f t="shared" si="18"/>
        <v>1558725.2604</v>
      </c>
      <c r="N104" s="19">
        <f t="shared" si="20"/>
        <v>15744.6996</v>
      </c>
      <c r="O104" s="18" t="e">
        <f>+P104/#REF!</f>
        <v>#REF!</v>
      </c>
      <c r="P104" s="21">
        <f>Tabla15[[#This Row],[ORO SIN IVA]]*1.19</f>
        <v>1574469.96</v>
      </c>
      <c r="Q104" s="18" t="e">
        <f>+R104/#REF!</f>
        <v>#REF!</v>
      </c>
      <c r="R104" s="16">
        <f>Tabla15[[#This Row],[INSTALLER SIN IVA]]*1.19</f>
        <v>2034312.14</v>
      </c>
      <c r="S104" s="24">
        <v>1323084</v>
      </c>
      <c r="T104" s="18">
        <v>1709506</v>
      </c>
    </row>
    <row r="105" spans="1:20" ht="40.5" x14ac:dyDescent="0.25">
      <c r="A105" s="47" t="s">
        <v>309</v>
      </c>
      <c r="B105" s="47" t="s">
        <v>310</v>
      </c>
      <c r="C105" s="53">
        <f>+Tabla15[[#This Row],[PRECIO SUGERIDO INSTALADOR]]</f>
        <v>1598436.5599999998</v>
      </c>
      <c r="D105" s="53">
        <f>+Tabla15[[#This Row],[PRECIO INSTALADOR
( CON  IVA)]]-Tabla15[[#This Row],[Columna23]]</f>
        <v>1518514.7319999998</v>
      </c>
      <c r="E105" s="53">
        <f>+Tabla15[[#This Row],[DPP ORO]]</f>
        <v>1237083.54</v>
      </c>
      <c r="F105" s="53">
        <f>+Tabla15[[#This Row],[DPP PLATINO]]</f>
        <v>1224712.7046000001</v>
      </c>
      <c r="G105" s="53">
        <f>+Tabla15[[#This Row],[PRECIO INSTALADOR
( CON  IVA)]]/0.7</f>
        <v>2283480.7999999998</v>
      </c>
      <c r="H105" s="45">
        <f>+Tabla15[[#This Row],[PRECIO INSTALADOR
( CON  IVA)]]*5%</f>
        <v>79921.827999999994</v>
      </c>
      <c r="I105" s="18" t="e">
        <f t="shared" ref="I105:I135" si="21">+Q105</f>
        <v>#REF!</v>
      </c>
      <c r="J105" s="18" t="e">
        <f t="shared" ref="J105:J135" si="22">+O105</f>
        <v>#REF!</v>
      </c>
      <c r="K105" s="17" t="e">
        <f t="shared" ref="K105:K135" si="23">+L105</f>
        <v>#REF!</v>
      </c>
      <c r="L105" s="17" t="e">
        <f>+M105/#REF!</f>
        <v>#REF!</v>
      </c>
      <c r="M105" s="17">
        <f t="shared" ref="M105:M135" si="24">+P105-N105</f>
        <v>1224712.7046000001</v>
      </c>
      <c r="N105" s="19">
        <f t="shared" si="20"/>
        <v>12370.8354</v>
      </c>
      <c r="O105" s="18" t="e">
        <f>+P105/#REF!</f>
        <v>#REF!</v>
      </c>
      <c r="P105" s="21">
        <f>Tabla15[[#This Row],[ORO SIN IVA]]*1.19</f>
        <v>1237083.54</v>
      </c>
      <c r="Q105" s="18" t="e">
        <f>+R105/#REF!</f>
        <v>#REF!</v>
      </c>
      <c r="R105" s="16">
        <f>Tabla15[[#This Row],[INSTALLER SIN IVA]]*1.19</f>
        <v>1598436.5599999998</v>
      </c>
      <c r="S105" s="24">
        <v>1039566.0000000001</v>
      </c>
      <c r="T105" s="18">
        <v>1343224</v>
      </c>
    </row>
    <row r="106" spans="1:20" ht="40.5" x14ac:dyDescent="0.25">
      <c r="A106" s="47" t="s">
        <v>311</v>
      </c>
      <c r="B106" s="47" t="s">
        <v>312</v>
      </c>
      <c r="C106" s="53">
        <f>+Tabla15[[#This Row],[PRECIO SUGERIDO INSTALADOR]]</f>
        <v>4398006.76</v>
      </c>
      <c r="D106" s="53">
        <f>+Tabla15[[#This Row],[PRECIO INSTALADOR
( CON  IVA)]]-Tabla15[[#This Row],[Columna23]]</f>
        <v>4178106.4219999998</v>
      </c>
      <c r="E106" s="53">
        <f>+Tabla15[[#This Row],[DPP ORO]]</f>
        <v>3777452.6999999997</v>
      </c>
      <c r="F106" s="53">
        <f>+Tabla15[[#This Row],[DPP PLATINO]]</f>
        <v>3739678.173</v>
      </c>
      <c r="G106" s="53">
        <f>+Tabla15[[#This Row],[PRECIO INSTALADOR
( CON  IVA)]]/0.7</f>
        <v>6282866.7999999998</v>
      </c>
      <c r="H106" s="45">
        <f>+Tabla15[[#This Row],[PRECIO INSTALADOR
( CON  IVA)]]*5%</f>
        <v>219900.33799999999</v>
      </c>
      <c r="I106" s="18" t="e">
        <f t="shared" si="21"/>
        <v>#REF!</v>
      </c>
      <c r="J106" s="18" t="e">
        <f t="shared" si="22"/>
        <v>#REF!</v>
      </c>
      <c r="K106" s="17" t="e">
        <f t="shared" si="23"/>
        <v>#REF!</v>
      </c>
      <c r="L106" s="17" t="e">
        <f>+M106/#REF!</f>
        <v>#REF!</v>
      </c>
      <c r="M106" s="17">
        <f t="shared" si="24"/>
        <v>3739678.173</v>
      </c>
      <c r="N106" s="19">
        <f t="shared" si="20"/>
        <v>37774.526999999995</v>
      </c>
      <c r="O106" s="18" t="e">
        <f>+P106/#REF!</f>
        <v>#REF!</v>
      </c>
      <c r="P106" s="21">
        <f>Tabla15[[#This Row],[ORO SIN IVA]]*1.19</f>
        <v>3777452.6999999997</v>
      </c>
      <c r="Q106" s="18" t="e">
        <f>+R106/#REF!</f>
        <v>#REF!</v>
      </c>
      <c r="R106" s="16">
        <f>Tabla15[[#This Row],[INSTALLER SIN IVA]]*1.19</f>
        <v>4398006.76</v>
      </c>
      <c r="S106" s="24">
        <v>3174330</v>
      </c>
      <c r="T106" s="18">
        <v>3695804</v>
      </c>
    </row>
    <row r="107" spans="1:20" ht="40.5" x14ac:dyDescent="0.25">
      <c r="A107" s="47" t="s">
        <v>2</v>
      </c>
      <c r="B107" s="47" t="s">
        <v>313</v>
      </c>
      <c r="C107" s="53">
        <f>+Tabla15[[#This Row],[PRECIO SUGERIDO INSTALADOR]]</f>
        <v>843533.88</v>
      </c>
      <c r="D107" s="53">
        <f>+Tabla15[[#This Row],[PRECIO INSTALADOR
( CON  IVA)]]-Tabla15[[#This Row],[Columna23]]</f>
        <v>801357.18599999999</v>
      </c>
      <c r="E107" s="53">
        <f>+Tabla15[[#This Row],[DPP ORO]]</f>
        <v>702492.7</v>
      </c>
      <c r="F107" s="53">
        <f>+Tabla15[[#This Row],[DPP PLATINO]]</f>
        <v>695467.77299999993</v>
      </c>
      <c r="G107" s="53">
        <f>+Tabla15[[#This Row],[PRECIO INSTALADOR
( CON  IVA)]]/0.7</f>
        <v>1205048.4000000001</v>
      </c>
      <c r="H107" s="45">
        <f>+Tabla15[[#This Row],[PRECIO INSTALADOR
( CON  IVA)]]*5%</f>
        <v>42176.694000000003</v>
      </c>
      <c r="I107" s="18" t="e">
        <f t="shared" si="21"/>
        <v>#REF!</v>
      </c>
      <c r="J107" s="18" t="e">
        <f t="shared" si="22"/>
        <v>#REF!</v>
      </c>
      <c r="K107" s="17" t="e">
        <f t="shared" si="23"/>
        <v>#REF!</v>
      </c>
      <c r="L107" s="17" t="e">
        <f>+M107/#REF!</f>
        <v>#REF!</v>
      </c>
      <c r="M107" s="17">
        <f t="shared" si="24"/>
        <v>695467.77299999993</v>
      </c>
      <c r="N107" s="19">
        <f t="shared" si="20"/>
        <v>7024.9269999999997</v>
      </c>
      <c r="O107" s="18" t="e">
        <f>+P107/#REF!</f>
        <v>#REF!</v>
      </c>
      <c r="P107" s="21">
        <f>Tabla15[[#This Row],[ORO SIN IVA]]*1.19</f>
        <v>702492.7</v>
      </c>
      <c r="Q107" s="18" t="e">
        <f>+R107/#REF!</f>
        <v>#REF!</v>
      </c>
      <c r="R107" s="16">
        <f>Tabla15[[#This Row],[INSTALLER SIN IVA]]*1.19</f>
        <v>843533.88</v>
      </c>
      <c r="S107" s="24">
        <v>590330</v>
      </c>
      <c r="T107" s="18">
        <v>708852</v>
      </c>
    </row>
    <row r="108" spans="1:20" ht="27" x14ac:dyDescent="0.25">
      <c r="A108" s="47" t="s">
        <v>134</v>
      </c>
      <c r="B108" s="47" t="s">
        <v>133</v>
      </c>
      <c r="C108" s="53">
        <f>+Tabla15[[#This Row],[PRECIO SUGERIDO INSTALADOR]]</f>
        <v>750154.58</v>
      </c>
      <c r="D108" s="53">
        <f>+Tabla15[[#This Row],[PRECIO INSTALADOR
( CON  IVA)]]-Tabla15[[#This Row],[Columna23]]</f>
        <v>712646.85099999991</v>
      </c>
      <c r="E108" s="53">
        <f>+Tabla15[[#This Row],[DPP ORO]]</f>
        <v>602420.84</v>
      </c>
      <c r="F108" s="53">
        <f>+Tabla15[[#This Row],[DPP PLATINO]]</f>
        <v>596396.63159999996</v>
      </c>
      <c r="G108" s="53">
        <f>+Tabla15[[#This Row],[PRECIO INSTALADOR
( CON  IVA)]]/0.7</f>
        <v>1071649.3999999999</v>
      </c>
      <c r="H108" s="45">
        <f>+Tabla15[[#This Row],[PRECIO INSTALADOR
( CON  IVA)]]*5%</f>
        <v>37507.728999999999</v>
      </c>
      <c r="I108" s="18" t="e">
        <f t="shared" si="21"/>
        <v>#REF!</v>
      </c>
      <c r="J108" s="18" t="e">
        <f t="shared" si="22"/>
        <v>#REF!</v>
      </c>
      <c r="K108" s="17" t="e">
        <f t="shared" si="23"/>
        <v>#REF!</v>
      </c>
      <c r="L108" s="17" t="e">
        <f>+M108/#REF!</f>
        <v>#REF!</v>
      </c>
      <c r="M108" s="17">
        <f t="shared" si="24"/>
        <v>596396.63159999996</v>
      </c>
      <c r="N108" s="19">
        <f t="shared" si="20"/>
        <v>6024.2083999999995</v>
      </c>
      <c r="O108" s="18" t="e">
        <f>+P108/#REF!</f>
        <v>#REF!</v>
      </c>
      <c r="P108" s="21">
        <f>Tabla15[[#This Row],[ORO SIN IVA]]*1.19</f>
        <v>602420.84</v>
      </c>
      <c r="Q108" s="18" t="e">
        <f>+R108/#REF!</f>
        <v>#REF!</v>
      </c>
      <c r="R108" s="16">
        <f>Tabla15[[#This Row],[INSTALLER SIN IVA]]*1.19</f>
        <v>750154.58</v>
      </c>
      <c r="S108" s="24">
        <v>506236</v>
      </c>
      <c r="T108" s="18">
        <v>630382</v>
      </c>
    </row>
    <row r="109" spans="1:20" ht="27" x14ac:dyDescent="0.25">
      <c r="A109" s="47" t="s">
        <v>314</v>
      </c>
      <c r="B109" s="47" t="s">
        <v>44</v>
      </c>
      <c r="C109" s="53">
        <f>+Tabla15[[#This Row],[PRECIO SUGERIDO INSTALADOR]]</f>
        <v>831550.58</v>
      </c>
      <c r="D109" s="53">
        <f>+Tabla15[[#This Row],[PRECIO INSTALADOR
( CON  IVA)]]-Tabla15[[#This Row],[Columna23]]</f>
        <v>789973.05099999998</v>
      </c>
      <c r="E109" s="53">
        <f>+Tabla15[[#This Row],[DPP ORO]]</f>
        <v>667763.74</v>
      </c>
      <c r="F109" s="53">
        <f>+Tabla15[[#This Row],[DPP PLATINO]]</f>
        <v>661086.10259999998</v>
      </c>
      <c r="G109" s="53">
        <f>+Tabla15[[#This Row],[PRECIO INSTALADOR
( CON  IVA)]]/0.7</f>
        <v>1187929.3999999999</v>
      </c>
      <c r="H109" s="45">
        <f>+Tabla15[[#This Row],[PRECIO INSTALADOR
( CON  IVA)]]*5%</f>
        <v>41577.529000000002</v>
      </c>
      <c r="I109" s="18" t="e">
        <f t="shared" si="21"/>
        <v>#REF!</v>
      </c>
      <c r="J109" s="18" t="e">
        <f t="shared" si="22"/>
        <v>#REF!</v>
      </c>
      <c r="K109" s="17" t="e">
        <f t="shared" si="23"/>
        <v>#REF!</v>
      </c>
      <c r="L109" s="17" t="e">
        <f>+M109/#REF!</f>
        <v>#REF!</v>
      </c>
      <c r="M109" s="17">
        <f t="shared" si="24"/>
        <v>661086.10259999998</v>
      </c>
      <c r="N109" s="19">
        <f t="shared" si="20"/>
        <v>6677.6373999999996</v>
      </c>
      <c r="O109" s="18" t="e">
        <f>+P109/#REF!</f>
        <v>#REF!</v>
      </c>
      <c r="P109" s="21">
        <f>Tabla15[[#This Row],[ORO SIN IVA]]*1.19</f>
        <v>667763.74</v>
      </c>
      <c r="Q109" s="18" t="e">
        <f>+R109/#REF!</f>
        <v>#REF!</v>
      </c>
      <c r="R109" s="16">
        <f>Tabla15[[#This Row],[INSTALLER SIN IVA]]*1.19</f>
        <v>831550.58</v>
      </c>
      <c r="S109" s="24">
        <v>561146</v>
      </c>
      <c r="T109" s="18">
        <v>698782</v>
      </c>
    </row>
    <row r="110" spans="1:20" ht="40.5" x14ac:dyDescent="0.25">
      <c r="A110" s="47" t="s">
        <v>153</v>
      </c>
      <c r="B110" s="47" t="s">
        <v>315</v>
      </c>
      <c r="C110" s="53">
        <f>+Tabla15[[#This Row],[PRECIO SUGERIDO INSTALADOR]]</f>
        <v>2017309.42</v>
      </c>
      <c r="D110" s="53">
        <f>+Tabla15[[#This Row],[PRECIO INSTALADOR
( CON  IVA)]]-Tabla15[[#This Row],[Columna23]]</f>
        <v>1916443.949</v>
      </c>
      <c r="E110" s="53">
        <f>+Tabla15[[#This Row],[DPP ORO]]</f>
        <v>1675853.2</v>
      </c>
      <c r="F110" s="53">
        <f>+Tabla15[[#This Row],[DPP PLATINO]]</f>
        <v>1659094.6680000001</v>
      </c>
      <c r="G110" s="53">
        <f>+Tabla15[[#This Row],[PRECIO INSTALADOR
( CON  IVA)]]/0.7</f>
        <v>2881870.6</v>
      </c>
      <c r="H110" s="45">
        <f>+Tabla15[[#This Row],[PRECIO INSTALADOR
( CON  IVA)]]*5%</f>
        <v>100865.47100000001</v>
      </c>
      <c r="I110" s="18" t="e">
        <f t="shared" si="21"/>
        <v>#REF!</v>
      </c>
      <c r="J110" s="18" t="e">
        <f t="shared" si="22"/>
        <v>#REF!</v>
      </c>
      <c r="K110" s="17" t="e">
        <f t="shared" si="23"/>
        <v>#REF!</v>
      </c>
      <c r="L110" s="17" t="e">
        <f>+M110/#REF!</f>
        <v>#REF!</v>
      </c>
      <c r="M110" s="17">
        <f t="shared" si="24"/>
        <v>1659094.6680000001</v>
      </c>
      <c r="N110" s="19">
        <f t="shared" si="20"/>
        <v>16758.531999999999</v>
      </c>
      <c r="O110" s="18" t="e">
        <f>+P110/#REF!</f>
        <v>#REF!</v>
      </c>
      <c r="P110" s="21">
        <f>Tabla15[[#This Row],[ORO SIN IVA]]*1.19</f>
        <v>1675853.2</v>
      </c>
      <c r="Q110" s="18" t="e">
        <f>+R110/#REF!</f>
        <v>#REF!</v>
      </c>
      <c r="R110" s="16">
        <f>Tabla15[[#This Row],[INSTALLER SIN IVA]]*1.19</f>
        <v>2017309.42</v>
      </c>
      <c r="S110" s="24">
        <v>1408280</v>
      </c>
      <c r="T110" s="18">
        <v>1695218</v>
      </c>
    </row>
    <row r="111" spans="1:20" ht="94.5" x14ac:dyDescent="0.25">
      <c r="A111" s="47" t="s">
        <v>316</v>
      </c>
      <c r="B111" s="47" t="s">
        <v>317</v>
      </c>
      <c r="C111" s="53">
        <f>+Tabla15[[#This Row],[PRECIO SUGERIDO INSTALADOR]]</f>
        <v>2600963.96</v>
      </c>
      <c r="D111" s="53">
        <f>+Tabla15[[#This Row],[PRECIO INSTALADOR
( CON  IVA)]]-Tabla15[[#This Row],[Columna23]]</f>
        <v>2470915.7620000001</v>
      </c>
      <c r="E111" s="53">
        <f>+Tabla15[[#This Row],[DPP ORO]]</f>
        <v>2233958.44</v>
      </c>
      <c r="F111" s="53">
        <f>+Tabla15[[#This Row],[DPP PLATINO]]</f>
        <v>2211618.8555999999</v>
      </c>
      <c r="G111" s="53">
        <f>+Tabla15[[#This Row],[PRECIO INSTALADOR
( CON  IVA)]]/0.7</f>
        <v>3715662.8000000003</v>
      </c>
      <c r="H111" s="45">
        <f>+Tabla15[[#This Row],[PRECIO INSTALADOR
( CON  IVA)]]*5%</f>
        <v>130048.198</v>
      </c>
      <c r="I111" s="18" t="e">
        <f t="shared" si="21"/>
        <v>#REF!</v>
      </c>
      <c r="J111" s="18" t="e">
        <f t="shared" si="22"/>
        <v>#REF!</v>
      </c>
      <c r="K111" s="17" t="e">
        <f t="shared" si="23"/>
        <v>#REF!</v>
      </c>
      <c r="L111" s="17" t="e">
        <f>+M111/#REF!</f>
        <v>#REF!</v>
      </c>
      <c r="M111" s="17">
        <f t="shared" si="24"/>
        <v>2211618.8555999999</v>
      </c>
      <c r="N111" s="19">
        <f t="shared" si="20"/>
        <v>22339.5844</v>
      </c>
      <c r="O111" s="18" t="e">
        <f>+P111/#REF!</f>
        <v>#REF!</v>
      </c>
      <c r="P111" s="21">
        <f>Tabla15[[#This Row],[ORO SIN IVA]]*1.19</f>
        <v>2233958.44</v>
      </c>
      <c r="Q111" s="18" t="e">
        <f>+R111/#REF!</f>
        <v>#REF!</v>
      </c>
      <c r="R111" s="25">
        <f>Tabla15[[#This Row],[INSTALLER SIN IVA]]*1.19</f>
        <v>2600963.96</v>
      </c>
      <c r="S111" s="24">
        <v>1877276</v>
      </c>
      <c r="T111" s="18">
        <v>2185684</v>
      </c>
    </row>
    <row r="112" spans="1:20" ht="40.5" x14ac:dyDescent="0.25">
      <c r="A112" s="47" t="s">
        <v>63</v>
      </c>
      <c r="B112" s="47" t="s">
        <v>318</v>
      </c>
      <c r="C112" s="53">
        <f>+Tabla15[[#This Row],[PRECIO SUGERIDO INSTALADOR]]</f>
        <v>2264843.6999999997</v>
      </c>
      <c r="D112" s="53">
        <f>+Tabla15[[#This Row],[PRECIO INSTALADOR
( CON  IVA)]]-Tabla15[[#This Row],[Columna23]]</f>
        <v>2151601.5149999997</v>
      </c>
      <c r="E112" s="53">
        <f>+Tabla15[[#This Row],[DPP ORO]]</f>
        <v>1881513.76</v>
      </c>
      <c r="F112" s="53">
        <f>+Tabla15[[#This Row],[DPP PLATINO]]</f>
        <v>1862698.6224</v>
      </c>
      <c r="G112" s="53">
        <f>+Tabla15[[#This Row],[PRECIO INSTALADOR
( CON  IVA)]]/0.7</f>
        <v>3235491</v>
      </c>
      <c r="H112" s="45">
        <f>+Tabla15[[#This Row],[PRECIO INSTALADOR
( CON  IVA)]]*5%</f>
        <v>113242.185</v>
      </c>
      <c r="I112" s="18" t="e">
        <f t="shared" si="21"/>
        <v>#REF!</v>
      </c>
      <c r="J112" s="18" t="e">
        <f t="shared" si="22"/>
        <v>#REF!</v>
      </c>
      <c r="K112" s="17" t="e">
        <f t="shared" si="23"/>
        <v>#REF!</v>
      </c>
      <c r="L112" s="17" t="e">
        <f>+M112/#REF!</f>
        <v>#REF!</v>
      </c>
      <c r="M112" s="17">
        <f t="shared" si="24"/>
        <v>1862698.6224</v>
      </c>
      <c r="N112" s="19">
        <f t="shared" si="20"/>
        <v>18815.137600000002</v>
      </c>
      <c r="O112" s="18" t="e">
        <f>+P112/#REF!</f>
        <v>#REF!</v>
      </c>
      <c r="P112" s="21">
        <f>Tabla15[[#This Row],[ORO SIN IVA]]*1.19</f>
        <v>1881513.76</v>
      </c>
      <c r="Q112" s="18" t="e">
        <f>+R112/#REF!</f>
        <v>#REF!</v>
      </c>
      <c r="R112" s="16">
        <f>Tabla15[[#This Row],[INSTALLER SIN IVA]]*1.19</f>
        <v>2264843.6999999997</v>
      </c>
      <c r="S112" s="18">
        <v>1581104</v>
      </c>
      <c r="T112" s="18">
        <v>1903229.9999999998</v>
      </c>
    </row>
    <row r="113" spans="1:20" ht="27" x14ac:dyDescent="0.25">
      <c r="A113" s="47" t="s">
        <v>62</v>
      </c>
      <c r="B113" s="47" t="s">
        <v>319</v>
      </c>
      <c r="C113" s="53">
        <f>+Tabla15[[#This Row],[PRECIO SUGERIDO INSTALADOR]]</f>
        <v>2462183.7799999998</v>
      </c>
      <c r="D113" s="53">
        <f>+Tabla15[[#This Row],[PRECIO INSTALADOR
( CON  IVA)]]-Tabla15[[#This Row],[Columna23]]</f>
        <v>2339074.591</v>
      </c>
      <c r="E113" s="53">
        <f>+Tabla15[[#This Row],[DPP ORO]]</f>
        <v>2045526.7</v>
      </c>
      <c r="F113" s="53">
        <f>+Tabla15[[#This Row],[DPP PLATINO]]</f>
        <v>2025071.433</v>
      </c>
      <c r="G113" s="53">
        <f>+Tabla15[[#This Row],[PRECIO INSTALADOR
( CON  IVA)]]/0.7</f>
        <v>3517405.4</v>
      </c>
      <c r="H113" s="45">
        <f>+Tabla15[[#This Row],[PRECIO INSTALADOR
( CON  IVA)]]*5%</f>
        <v>123109.189</v>
      </c>
      <c r="I113" s="18" t="e">
        <f t="shared" si="21"/>
        <v>#REF!</v>
      </c>
      <c r="J113" s="18" t="e">
        <f t="shared" si="22"/>
        <v>#REF!</v>
      </c>
      <c r="K113" s="17" t="e">
        <f t="shared" si="23"/>
        <v>#REF!</v>
      </c>
      <c r="L113" s="17" t="e">
        <f>+M113/#REF!</f>
        <v>#REF!</v>
      </c>
      <c r="M113" s="17">
        <f t="shared" si="24"/>
        <v>2025071.433</v>
      </c>
      <c r="N113" s="19">
        <f t="shared" si="20"/>
        <v>20455.267</v>
      </c>
      <c r="O113" s="18" t="e">
        <f>+P113/#REF!</f>
        <v>#REF!</v>
      </c>
      <c r="P113" s="21">
        <f>Tabla15[[#This Row],[ORO SIN IVA]]*1.19</f>
        <v>2045526.7</v>
      </c>
      <c r="Q113" s="18" t="e">
        <f>+R113/#REF!</f>
        <v>#REF!</v>
      </c>
      <c r="R113" s="16">
        <f>Tabla15[[#This Row],[INSTALLER SIN IVA]]*1.19</f>
        <v>2462183.7799999998</v>
      </c>
      <c r="S113" s="18">
        <v>1718930</v>
      </c>
      <c r="T113" s="18">
        <v>2069062</v>
      </c>
    </row>
    <row r="114" spans="1:20" ht="40.5" x14ac:dyDescent="0.25">
      <c r="A114" s="47" t="s">
        <v>320</v>
      </c>
      <c r="B114" s="47" t="s">
        <v>321</v>
      </c>
      <c r="C114" s="53">
        <f>+Tabla15[[#This Row],[PRECIO SUGERIDO INSTALADOR]]</f>
        <v>887849.48</v>
      </c>
      <c r="D114" s="53">
        <f>+Tabla15[[#This Row],[PRECIO INSTALADOR
( CON  IVA)]]-Tabla15[[#This Row],[Columna23]]</f>
        <v>843457.00599999994</v>
      </c>
      <c r="E114" s="53">
        <f>+Tabla15[[#This Row],[DPP ORO]]</f>
        <v>735503.29999999993</v>
      </c>
      <c r="F114" s="53">
        <f>+Tabla15[[#This Row],[DPP PLATINO]]</f>
        <v>728148.26699999988</v>
      </c>
      <c r="G114" s="53">
        <f>+Tabla15[[#This Row],[PRECIO INSTALADOR
( CON  IVA)]]/0.7</f>
        <v>1268356.4000000001</v>
      </c>
      <c r="H114" s="45">
        <f>+Tabla15[[#This Row],[PRECIO INSTALADOR
( CON  IVA)]]*5%</f>
        <v>44392.474000000002</v>
      </c>
      <c r="I114" s="18" t="e">
        <f t="shared" si="21"/>
        <v>#REF!</v>
      </c>
      <c r="J114" s="18" t="e">
        <f t="shared" si="22"/>
        <v>#REF!</v>
      </c>
      <c r="K114" s="17" t="e">
        <f t="shared" si="23"/>
        <v>#REF!</v>
      </c>
      <c r="L114" s="17" t="e">
        <f>+M114/#REF!</f>
        <v>#REF!</v>
      </c>
      <c r="M114" s="17">
        <f t="shared" si="24"/>
        <v>728148.26699999988</v>
      </c>
      <c r="N114" s="19">
        <f t="shared" si="20"/>
        <v>7355.0329999999994</v>
      </c>
      <c r="O114" s="18" t="e">
        <f>+P114/#REF!</f>
        <v>#REF!</v>
      </c>
      <c r="P114" s="21">
        <f>Tabla15[[#This Row],[ORO SIN IVA]]*1.19</f>
        <v>735503.29999999993</v>
      </c>
      <c r="Q114" s="18" t="e">
        <f>+R114/#REF!</f>
        <v>#REF!</v>
      </c>
      <c r="R114" s="16">
        <f>Tabla15[[#This Row],[INSTALLER SIN IVA]]*1.19</f>
        <v>887849.48</v>
      </c>
      <c r="S114" s="18">
        <v>618070</v>
      </c>
      <c r="T114" s="18">
        <v>746092</v>
      </c>
    </row>
    <row r="115" spans="1:20" ht="54" x14ac:dyDescent="0.25">
      <c r="A115" s="47" t="s">
        <v>32</v>
      </c>
      <c r="B115" s="47" t="s">
        <v>31</v>
      </c>
      <c r="C115" s="53">
        <f>+Tabla15[[#This Row],[PRECIO SUGERIDO INSTALADOR]]</f>
        <v>973812.7</v>
      </c>
      <c r="D115" s="53">
        <f>+Tabla15[[#This Row],[PRECIO INSTALADOR
( CON  IVA)]]-Tabla15[[#This Row],[Columna23]]</f>
        <v>925122.06499999994</v>
      </c>
      <c r="E115" s="53">
        <f>+Tabla15[[#This Row],[DPP ORO]]</f>
        <v>803423.74</v>
      </c>
      <c r="F115" s="53">
        <f>+Tabla15[[#This Row],[DPP PLATINO]]</f>
        <v>795389.50260000001</v>
      </c>
      <c r="G115" s="53">
        <f>+Tabla15[[#This Row],[PRECIO INSTALADOR
( CON  IVA)]]/0.7</f>
        <v>1391161</v>
      </c>
      <c r="H115" s="45">
        <f>+Tabla15[[#This Row],[PRECIO INSTALADOR
( CON  IVA)]]*5%</f>
        <v>48690.635000000002</v>
      </c>
      <c r="I115" s="18" t="e">
        <f t="shared" si="21"/>
        <v>#REF!</v>
      </c>
      <c r="J115" s="18" t="e">
        <f t="shared" si="22"/>
        <v>#REF!</v>
      </c>
      <c r="K115" s="17" t="e">
        <f t="shared" si="23"/>
        <v>#REF!</v>
      </c>
      <c r="L115" s="17" t="e">
        <f>+M115/#REF!</f>
        <v>#REF!</v>
      </c>
      <c r="M115" s="17">
        <f t="shared" si="24"/>
        <v>795389.50260000001</v>
      </c>
      <c r="N115" s="19">
        <f t="shared" si="20"/>
        <v>8034.2374</v>
      </c>
      <c r="O115" s="18" t="e">
        <f>+P115/#REF!</f>
        <v>#REF!</v>
      </c>
      <c r="P115" s="21">
        <f>Tabla15[[#This Row],[ORO SIN IVA]]*1.19</f>
        <v>803423.74</v>
      </c>
      <c r="Q115" s="18" t="e">
        <f>+R115/#REF!</f>
        <v>#REF!</v>
      </c>
      <c r="R115" s="16">
        <f>Tabla15[[#This Row],[INSTALLER SIN IVA]]*1.19</f>
        <v>973812.7</v>
      </c>
      <c r="S115" s="18">
        <v>675146</v>
      </c>
      <c r="T115" s="18">
        <v>818330</v>
      </c>
    </row>
    <row r="116" spans="1:20" ht="40.5" x14ac:dyDescent="0.25">
      <c r="A116" s="47" t="s">
        <v>73</v>
      </c>
      <c r="B116" s="47" t="s">
        <v>72</v>
      </c>
      <c r="C116" s="53">
        <f>+Tabla15[[#This Row],[PRECIO SUGERIDO INSTALADOR]]</f>
        <v>3122847.98</v>
      </c>
      <c r="D116" s="53">
        <f>+Tabla15[[#This Row],[PRECIO INSTALADOR
( CON  IVA)]]-Tabla15[[#This Row],[Columna23]]</f>
        <v>2966705.5809999998</v>
      </c>
      <c r="E116" s="53">
        <f>+Tabla15[[#This Row],[DPP ORO]]</f>
        <v>2834615.6999999997</v>
      </c>
      <c r="F116" s="53">
        <f>+Tabla15[[#This Row],[DPP PLATINO]]</f>
        <v>2806269.5429999996</v>
      </c>
      <c r="G116" s="53">
        <f>+Tabla15[[#This Row],[PRECIO INSTALADOR
( CON  IVA)]]/0.7</f>
        <v>4461211.4000000004</v>
      </c>
      <c r="H116" s="45">
        <f>+Tabla15[[#This Row],[PRECIO INSTALADOR
( CON  IVA)]]*5%</f>
        <v>156142.399</v>
      </c>
      <c r="I116" s="18" t="e">
        <f t="shared" si="21"/>
        <v>#REF!</v>
      </c>
      <c r="J116" s="18" t="e">
        <f t="shared" si="22"/>
        <v>#REF!</v>
      </c>
      <c r="K116" s="17" t="e">
        <f t="shared" si="23"/>
        <v>#REF!</v>
      </c>
      <c r="L116" s="17" t="e">
        <f>+M116/#REF!</f>
        <v>#REF!</v>
      </c>
      <c r="M116" s="17">
        <f t="shared" si="24"/>
        <v>2806269.5429999996</v>
      </c>
      <c r="N116" s="19">
        <f t="shared" si="20"/>
        <v>28346.156999999999</v>
      </c>
      <c r="O116" s="18" t="e">
        <f>+P116/#REF!</f>
        <v>#REF!</v>
      </c>
      <c r="P116" s="21">
        <f>Tabla15[[#This Row],[ORO SIN IVA]]*1.19</f>
        <v>2834615.6999999997</v>
      </c>
      <c r="Q116" s="18" t="e">
        <f>+R116/#REF!</f>
        <v>#REF!</v>
      </c>
      <c r="R116" s="16">
        <f>Tabla15[[#This Row],[INSTALLER SIN IVA]]*1.19</f>
        <v>3122847.98</v>
      </c>
      <c r="S116" s="18">
        <v>2382030</v>
      </c>
      <c r="T116" s="18">
        <v>2624242</v>
      </c>
    </row>
    <row r="117" spans="1:20" ht="40.5" x14ac:dyDescent="0.25">
      <c r="A117" s="47" t="s">
        <v>23</v>
      </c>
      <c r="B117" s="47" t="s">
        <v>322</v>
      </c>
      <c r="C117" s="53">
        <f>+Tabla15[[#This Row],[PRECIO SUGERIDO INSTALADOR]]</f>
        <v>619107.02</v>
      </c>
      <c r="D117" s="53">
        <f>+Tabla15[[#This Row],[PRECIO INSTALADOR
( CON  IVA)]]-Tabla15[[#This Row],[Columna23]]</f>
        <v>588151.66899999999</v>
      </c>
      <c r="E117" s="53">
        <f>+Tabla15[[#This Row],[DPP ORO]]</f>
        <v>518311.63999999996</v>
      </c>
      <c r="F117" s="53">
        <f>+Tabla15[[#This Row],[DPP PLATINO]]</f>
        <v>513128.52359999996</v>
      </c>
      <c r="G117" s="53">
        <f>+Tabla15[[#This Row],[PRECIO INSTALADOR
( CON  IVA)]]/0.7</f>
        <v>884438.60000000009</v>
      </c>
      <c r="H117" s="45">
        <f>+Tabla15[[#This Row],[PRECIO INSTALADOR
( CON  IVA)]]*5%</f>
        <v>30955.351000000002</v>
      </c>
      <c r="I117" s="18" t="e">
        <f t="shared" si="21"/>
        <v>#REF!</v>
      </c>
      <c r="J117" s="18" t="e">
        <f t="shared" si="22"/>
        <v>#REF!</v>
      </c>
      <c r="K117" s="17" t="e">
        <f t="shared" si="23"/>
        <v>#REF!</v>
      </c>
      <c r="L117" s="17" t="e">
        <f>+M117/#REF!</f>
        <v>#REF!</v>
      </c>
      <c r="M117" s="17">
        <f t="shared" si="24"/>
        <v>513128.52359999996</v>
      </c>
      <c r="N117" s="19">
        <f t="shared" si="20"/>
        <v>5183.1163999999999</v>
      </c>
      <c r="O117" s="18" t="e">
        <f>+P117/#REF!</f>
        <v>#REF!</v>
      </c>
      <c r="P117" s="21">
        <f>Tabla15[[#This Row],[ORO SIN IVA]]*1.19</f>
        <v>518311.63999999996</v>
      </c>
      <c r="Q117" s="18" t="e">
        <f>+R117/#REF!</f>
        <v>#REF!</v>
      </c>
      <c r="R117" s="16">
        <f>Tabla15[[#This Row],[INSTALLER SIN IVA]]*1.19</f>
        <v>619107.02</v>
      </c>
      <c r="S117" s="18">
        <v>435556</v>
      </c>
      <c r="T117" s="18">
        <v>520258.00000000006</v>
      </c>
    </row>
    <row r="118" spans="1:20" ht="40.5" x14ac:dyDescent="0.25">
      <c r="A118" s="47" t="s">
        <v>10</v>
      </c>
      <c r="B118" s="47" t="s">
        <v>323</v>
      </c>
      <c r="C118" s="53">
        <f>+Tabla15[[#This Row],[PRECIO SUGERIDO INSTALADOR]]</f>
        <v>1025499.1599999999</v>
      </c>
      <c r="D118" s="53">
        <f>+Tabla15[[#This Row],[PRECIO INSTALADOR
( CON  IVA)]]-Tabla15[[#This Row],[Columna23]]</f>
        <v>974224.20199999993</v>
      </c>
      <c r="E118" s="53">
        <f>+Tabla15[[#This Row],[DPP ORO]]</f>
        <v>858501.7</v>
      </c>
      <c r="F118" s="53">
        <f>+Tabla15[[#This Row],[DPP PLATINO]]</f>
        <v>849916.68299999996</v>
      </c>
      <c r="G118" s="53">
        <f>+Tabla15[[#This Row],[PRECIO INSTALADOR
( CON  IVA)]]/0.7</f>
        <v>1464998.8</v>
      </c>
      <c r="H118" s="45">
        <f>+Tabla15[[#This Row],[PRECIO INSTALADOR
( CON  IVA)]]*5%</f>
        <v>51274.957999999999</v>
      </c>
      <c r="I118" s="18" t="e">
        <f t="shared" si="21"/>
        <v>#REF!</v>
      </c>
      <c r="J118" s="18" t="e">
        <f t="shared" si="22"/>
        <v>#REF!</v>
      </c>
      <c r="K118" s="17" t="e">
        <f t="shared" si="23"/>
        <v>#REF!</v>
      </c>
      <c r="L118" s="17" t="e">
        <f>+M118/#REF!</f>
        <v>#REF!</v>
      </c>
      <c r="M118" s="17">
        <f t="shared" si="24"/>
        <v>849916.68299999996</v>
      </c>
      <c r="N118" s="19">
        <f t="shared" si="20"/>
        <v>8585.0169999999998</v>
      </c>
      <c r="O118" s="18" t="e">
        <f>+P118/#REF!</f>
        <v>#REF!</v>
      </c>
      <c r="P118" s="21">
        <f>Tabla15[[#This Row],[ORO SIN IVA]]*1.19</f>
        <v>858501.7</v>
      </c>
      <c r="Q118" s="18" t="e">
        <f>+R118/#REF!</f>
        <v>#REF!</v>
      </c>
      <c r="R118" s="16">
        <f>Tabla15[[#This Row],[INSTALLER SIN IVA]]*1.19</f>
        <v>1025499.1599999999</v>
      </c>
      <c r="S118" s="18">
        <v>721430</v>
      </c>
      <c r="T118" s="18">
        <v>861764</v>
      </c>
    </row>
    <row r="119" spans="1:20" ht="40.5" x14ac:dyDescent="0.25">
      <c r="A119" s="47" t="s">
        <v>189</v>
      </c>
      <c r="B119" s="47" t="s">
        <v>324</v>
      </c>
      <c r="C119" s="53">
        <f>+Tabla15[[#This Row],[PRECIO SUGERIDO INSTALADOR]]</f>
        <v>706065.08</v>
      </c>
      <c r="D119" s="53">
        <f>+Tabla15[[#This Row],[PRECIO INSTALADOR
( CON  IVA)]]-Tabla15[[#This Row],[Columna23]]</f>
        <v>670761.826</v>
      </c>
      <c r="E119" s="53">
        <f>+Tabla15[[#This Row],[DPP ORO]]</f>
        <v>591025.4</v>
      </c>
      <c r="F119" s="53">
        <f>+Tabla15[[#This Row],[DPP PLATINO]]</f>
        <v>585115.14600000007</v>
      </c>
      <c r="G119" s="53">
        <f>+Tabla15[[#This Row],[PRECIO INSTALADOR
( CON  IVA)]]/0.7</f>
        <v>1008664.4</v>
      </c>
      <c r="H119" s="45">
        <f>+Tabla15[[#This Row],[PRECIO INSTALADOR
( CON  IVA)]]*5%</f>
        <v>35303.254000000001</v>
      </c>
      <c r="I119" s="18" t="e">
        <f t="shared" si="21"/>
        <v>#REF!</v>
      </c>
      <c r="J119" s="18" t="e">
        <f t="shared" si="22"/>
        <v>#REF!</v>
      </c>
      <c r="K119" s="17" t="e">
        <f t="shared" si="23"/>
        <v>#REF!</v>
      </c>
      <c r="L119" s="17" t="e">
        <f>+M119/#REF!</f>
        <v>#REF!</v>
      </c>
      <c r="M119" s="17">
        <f t="shared" si="24"/>
        <v>585115.14600000007</v>
      </c>
      <c r="N119" s="19">
        <f t="shared" si="20"/>
        <v>5910.2539999999999</v>
      </c>
      <c r="O119" s="18" t="e">
        <f>+P119/#REF!</f>
        <v>#REF!</v>
      </c>
      <c r="P119" s="21">
        <f>Tabla15[[#This Row],[ORO SIN IVA]]*1.19</f>
        <v>591025.4</v>
      </c>
      <c r="Q119" s="18" t="e">
        <f>+R119/#REF!</f>
        <v>#REF!</v>
      </c>
      <c r="R119" s="16">
        <f>Tabla15[[#This Row],[INSTALLER SIN IVA]]*1.19</f>
        <v>706065.08</v>
      </c>
      <c r="S119" s="18">
        <v>496660.00000000006</v>
      </c>
      <c r="T119" s="18">
        <v>593332</v>
      </c>
    </row>
    <row r="120" spans="1:20" ht="40.5" x14ac:dyDescent="0.25">
      <c r="A120" s="47" t="s">
        <v>105</v>
      </c>
      <c r="B120" s="47" t="s">
        <v>325</v>
      </c>
      <c r="C120" s="53">
        <f>+Tabla15[[#This Row],[PRECIO SUGERIDO INSTALADOR]]</f>
        <v>1402588.74</v>
      </c>
      <c r="D120" s="53">
        <f>+Tabla15[[#This Row],[PRECIO INSTALADOR
( CON  IVA)]]-Tabla15[[#This Row],[Columna23]]</f>
        <v>1332459.3030000001</v>
      </c>
      <c r="E120" s="53">
        <f>+Tabla15[[#This Row],[DPP ORO]]</f>
        <v>1174137.3</v>
      </c>
      <c r="F120" s="53">
        <f>+Tabla15[[#This Row],[DPP PLATINO]]</f>
        <v>1162395.9270000001</v>
      </c>
      <c r="G120" s="53">
        <f>+Tabla15[[#This Row],[PRECIO INSTALADOR
( CON  IVA)]]/0.7</f>
        <v>2003698.2000000002</v>
      </c>
      <c r="H120" s="45">
        <f>+Tabla15[[#This Row],[PRECIO INSTALADOR
( CON  IVA)]]*5%</f>
        <v>70129.437000000005</v>
      </c>
      <c r="I120" s="18" t="e">
        <f t="shared" si="21"/>
        <v>#REF!</v>
      </c>
      <c r="J120" s="18" t="e">
        <f t="shared" si="22"/>
        <v>#REF!</v>
      </c>
      <c r="K120" s="17" t="e">
        <f t="shared" si="23"/>
        <v>#REF!</v>
      </c>
      <c r="L120" s="17" t="e">
        <f>+M120/#REF!</f>
        <v>#REF!</v>
      </c>
      <c r="M120" s="17">
        <f t="shared" si="24"/>
        <v>1162395.9270000001</v>
      </c>
      <c r="N120" s="19">
        <f t="shared" si="20"/>
        <v>11741.373000000001</v>
      </c>
      <c r="O120" s="18" t="e">
        <f>+P120/#REF!</f>
        <v>#REF!</v>
      </c>
      <c r="P120" s="21">
        <f>Tabla15[[#This Row],[ORO SIN IVA]]*1.19</f>
        <v>1174137.3</v>
      </c>
      <c r="Q120" s="18" t="e">
        <f>+R120/#REF!</f>
        <v>#REF!</v>
      </c>
      <c r="R120" s="16">
        <f>Tabla15[[#This Row],[INSTALLER SIN IVA]]*1.19</f>
        <v>1402588.74</v>
      </c>
      <c r="S120" s="18">
        <v>986670.00000000012</v>
      </c>
      <c r="T120" s="18">
        <v>1178646</v>
      </c>
    </row>
    <row r="121" spans="1:20" ht="40.5" x14ac:dyDescent="0.25">
      <c r="A121" s="47" t="s">
        <v>326</v>
      </c>
      <c r="B121" s="47" t="s">
        <v>327</v>
      </c>
      <c r="C121" s="53">
        <f>+Tabla15[[#This Row],[PRECIO SUGERIDO INSTALADOR]]</f>
        <v>953147.15999999992</v>
      </c>
      <c r="D121" s="53">
        <f>+Tabla15[[#This Row],[PRECIO INSTALADOR
( CON  IVA)]]-Tabla15[[#This Row],[Columna23]]</f>
        <v>905489.80199999991</v>
      </c>
      <c r="E121" s="53">
        <f>+Tabla15[[#This Row],[DPP ORO]]</f>
        <v>797952.12</v>
      </c>
      <c r="F121" s="53">
        <f>+Tabla15[[#This Row],[DPP PLATINO]]</f>
        <v>789972.59880000004</v>
      </c>
      <c r="G121" s="53">
        <f>+Tabla15[[#This Row],[PRECIO INSTALADOR
( CON  IVA)]]/0.7</f>
        <v>1361638.8</v>
      </c>
      <c r="H121" s="45">
        <f>+Tabla15[[#This Row],[PRECIO INSTALADOR
( CON  IVA)]]*5%</f>
        <v>47657.358</v>
      </c>
      <c r="I121" s="18" t="e">
        <f t="shared" si="21"/>
        <v>#REF!</v>
      </c>
      <c r="J121" s="18" t="e">
        <f t="shared" si="22"/>
        <v>#REF!</v>
      </c>
      <c r="K121" s="17" t="e">
        <f t="shared" si="23"/>
        <v>#REF!</v>
      </c>
      <c r="L121" s="17" t="e">
        <f>+M121/#REF!</f>
        <v>#REF!</v>
      </c>
      <c r="M121" s="17">
        <f t="shared" si="24"/>
        <v>789972.59880000004</v>
      </c>
      <c r="N121" s="19">
        <f t="shared" si="20"/>
        <v>7979.5212000000001</v>
      </c>
      <c r="O121" s="18" t="e">
        <f>+P121/#REF!</f>
        <v>#REF!</v>
      </c>
      <c r="P121" s="21">
        <f>Tabla15[[#This Row],[ORO SIN IVA]]*1.19</f>
        <v>797952.12</v>
      </c>
      <c r="Q121" s="18" t="e">
        <f>+R121/#REF!</f>
        <v>#REF!</v>
      </c>
      <c r="R121" s="16">
        <f>Tabla15[[#This Row],[INSTALLER SIN IVA]]*1.19</f>
        <v>953147.15999999992</v>
      </c>
      <c r="S121" s="18">
        <v>670548</v>
      </c>
      <c r="T121" s="18">
        <v>800964</v>
      </c>
    </row>
    <row r="122" spans="1:20" ht="40.5" x14ac:dyDescent="0.25">
      <c r="A122" s="47" t="s">
        <v>328</v>
      </c>
      <c r="B122" s="47" t="s">
        <v>329</v>
      </c>
      <c r="C122" s="53">
        <f>+Tabla15[[#This Row],[PRECIO SUGERIDO INSTALADOR]]</f>
        <v>1893451.8399999999</v>
      </c>
      <c r="D122" s="53">
        <f>+Tabla15[[#This Row],[PRECIO INSTALADOR
( CON  IVA)]]-Tabla15[[#This Row],[Columna23]]</f>
        <v>1798779.2479999999</v>
      </c>
      <c r="E122" s="53">
        <f>+Tabla15[[#This Row],[DPP ORO]]</f>
        <v>1585096.66</v>
      </c>
      <c r="F122" s="53">
        <f>+Tabla15[[#This Row],[DPP PLATINO]]</f>
        <v>1569245.6934</v>
      </c>
      <c r="G122" s="53">
        <f>+Tabla15[[#This Row],[PRECIO INSTALADOR
( CON  IVA)]]/0.7</f>
        <v>2704931.2</v>
      </c>
      <c r="H122" s="45">
        <f>+Tabla15[[#This Row],[PRECIO INSTALADOR
( CON  IVA)]]*5%</f>
        <v>94672.592000000004</v>
      </c>
      <c r="I122" s="18" t="e">
        <f t="shared" si="21"/>
        <v>#REF!</v>
      </c>
      <c r="J122" s="18" t="e">
        <f t="shared" si="22"/>
        <v>#REF!</v>
      </c>
      <c r="K122" s="17" t="e">
        <f t="shared" si="23"/>
        <v>#REF!</v>
      </c>
      <c r="L122" s="17" t="e">
        <f>+M122/#REF!</f>
        <v>#REF!</v>
      </c>
      <c r="M122" s="17">
        <f t="shared" si="24"/>
        <v>1569245.6934</v>
      </c>
      <c r="N122" s="19">
        <f t="shared" si="20"/>
        <v>15850.9666</v>
      </c>
      <c r="O122" s="18" t="e">
        <f>+P122/#REF!</f>
        <v>#REF!</v>
      </c>
      <c r="P122" s="21">
        <f>Tabla15[[#This Row],[ORO SIN IVA]]*1.19</f>
        <v>1585096.66</v>
      </c>
      <c r="Q122" s="18" t="e">
        <f>+R122/#REF!</f>
        <v>#REF!</v>
      </c>
      <c r="R122" s="16">
        <f>Tabla15[[#This Row],[INSTALLER SIN IVA]]*1.19</f>
        <v>1893451.8399999999</v>
      </c>
      <c r="S122" s="18">
        <v>1332014</v>
      </c>
      <c r="T122" s="18">
        <v>1591136</v>
      </c>
    </row>
    <row r="123" spans="1:20" ht="53.25" customHeight="1" x14ac:dyDescent="0.25">
      <c r="A123" s="47" t="s">
        <v>330</v>
      </c>
      <c r="B123" s="47" t="s">
        <v>331</v>
      </c>
      <c r="C123" s="53">
        <f>+Tabla15[[#This Row],[PRECIO SUGERIDO INSTALADOR]]</f>
        <v>1622991.02</v>
      </c>
      <c r="D123" s="53">
        <f>+Tabla15[[#This Row],[PRECIO INSTALADOR
( CON  IVA)]]-Tabla15[[#This Row],[Columna23]]</f>
        <v>1541841.469</v>
      </c>
      <c r="E123" s="53">
        <f>+Tabla15[[#This Row],[DPP ORO]]</f>
        <v>1358680.1199999999</v>
      </c>
      <c r="F123" s="53">
        <f>+Tabla15[[#This Row],[DPP PLATINO]]</f>
        <v>1345093.3187999998</v>
      </c>
      <c r="G123" s="53">
        <f>+Tabla15[[#This Row],[PRECIO INSTALADOR
( CON  IVA)]]/0.7</f>
        <v>2318558.6</v>
      </c>
      <c r="H123" s="45">
        <f>+Tabla15[[#This Row],[PRECIO INSTALADOR
( CON  IVA)]]*5%</f>
        <v>81149.551000000007</v>
      </c>
      <c r="I123" s="18" t="e">
        <f t="shared" si="21"/>
        <v>#REF!</v>
      </c>
      <c r="J123" s="18" t="e">
        <f t="shared" si="22"/>
        <v>#REF!</v>
      </c>
      <c r="K123" s="17" t="e">
        <f t="shared" si="23"/>
        <v>#REF!</v>
      </c>
      <c r="L123" s="17" t="e">
        <f>+M123/#REF!</f>
        <v>#REF!</v>
      </c>
      <c r="M123" s="17">
        <f t="shared" si="24"/>
        <v>1345093.3187999998</v>
      </c>
      <c r="N123" s="19">
        <f t="shared" si="20"/>
        <v>13586.8012</v>
      </c>
      <c r="O123" s="18" t="e">
        <f>+P123/#REF!</f>
        <v>#REF!</v>
      </c>
      <c r="P123" s="21">
        <f>Tabla15[[#This Row],[ORO SIN IVA]]*1.19</f>
        <v>1358680.1199999999</v>
      </c>
      <c r="Q123" s="18" t="e">
        <f>+R123/#REF!</f>
        <v>#REF!</v>
      </c>
      <c r="R123" s="16">
        <f>Tabla15[[#This Row],[INSTALLER SIN IVA]]*1.19</f>
        <v>1622991.02</v>
      </c>
      <c r="S123" s="18">
        <v>1141748</v>
      </c>
      <c r="T123" s="18">
        <v>1363858</v>
      </c>
    </row>
    <row r="124" spans="1:20" ht="40.5" x14ac:dyDescent="0.25">
      <c r="A124" s="47" t="s">
        <v>332</v>
      </c>
      <c r="B124" s="47" t="s">
        <v>333</v>
      </c>
      <c r="C124" s="53">
        <f>+Tabla15[[#This Row],[PRECIO SUGERIDO INSTALADOR]]</f>
        <v>2432112.48</v>
      </c>
      <c r="D124" s="53">
        <f>+Tabla15[[#This Row],[PRECIO INSTALADOR
( CON  IVA)]]-Tabla15[[#This Row],[Columna23]]</f>
        <v>2310506.8560000001</v>
      </c>
      <c r="E124" s="53">
        <f>+Tabla15[[#This Row],[DPP ORO]]</f>
        <v>2035985.2799999998</v>
      </c>
      <c r="F124" s="53">
        <f>+Tabla15[[#This Row],[DPP PLATINO]]</f>
        <v>2015625.4271999998</v>
      </c>
      <c r="G124" s="53">
        <f>+Tabla15[[#This Row],[PRECIO INSTALADOR
( CON  IVA)]]/0.7</f>
        <v>3474446.4000000004</v>
      </c>
      <c r="H124" s="45">
        <f>+Tabla15[[#This Row],[PRECIO INSTALADOR
( CON  IVA)]]*5%</f>
        <v>121605.62400000001</v>
      </c>
      <c r="I124" s="18" t="e">
        <f t="shared" si="21"/>
        <v>#REF!</v>
      </c>
      <c r="J124" s="18" t="e">
        <f t="shared" si="22"/>
        <v>#REF!</v>
      </c>
      <c r="K124" s="17" t="e">
        <f t="shared" si="23"/>
        <v>#REF!</v>
      </c>
      <c r="L124" s="17" t="e">
        <f>+M124/#REF!</f>
        <v>#REF!</v>
      </c>
      <c r="M124" s="17">
        <f t="shared" si="24"/>
        <v>2015625.4271999998</v>
      </c>
      <c r="N124" s="19">
        <f t="shared" ref="N124:N157" si="25">+P124*1%</f>
        <v>20359.852799999997</v>
      </c>
      <c r="O124" s="18" t="e">
        <f>+P124/#REF!</f>
        <v>#REF!</v>
      </c>
      <c r="P124" s="21">
        <f>Tabla15[[#This Row],[ORO SIN IVA]]*1.19</f>
        <v>2035985.2799999998</v>
      </c>
      <c r="Q124" s="18" t="e">
        <f>+R124/#REF!</f>
        <v>#REF!</v>
      </c>
      <c r="R124" s="16">
        <f>Tabla15[[#This Row],[INSTALLER SIN IVA]]*1.19</f>
        <v>2432112.48</v>
      </c>
      <c r="S124" s="18">
        <v>1710912</v>
      </c>
      <c r="T124" s="18">
        <v>2043792</v>
      </c>
    </row>
    <row r="125" spans="1:20" ht="40.5" x14ac:dyDescent="0.25">
      <c r="A125" s="47" t="s">
        <v>190</v>
      </c>
      <c r="B125" s="47" t="s">
        <v>334</v>
      </c>
      <c r="C125" s="53">
        <f>+Tabla15[[#This Row],[PRECIO SUGERIDO INSTALADOR]]</f>
        <v>2191135.1</v>
      </c>
      <c r="D125" s="53">
        <f>+Tabla15[[#This Row],[PRECIO INSTALADOR
( CON  IVA)]]-Tabla15[[#This Row],[Columna23]]</f>
        <v>2081578.3450000002</v>
      </c>
      <c r="E125" s="53">
        <f>+Tabla15[[#This Row],[DPP ORO]]</f>
        <v>1834304.0799999998</v>
      </c>
      <c r="F125" s="53">
        <f>+Tabla15[[#This Row],[DPP PLATINO]]</f>
        <v>1815961.0391999998</v>
      </c>
      <c r="G125" s="53">
        <f>+Tabla15[[#This Row],[PRECIO INSTALADOR
( CON  IVA)]]/0.7</f>
        <v>3130193.0000000005</v>
      </c>
      <c r="H125" s="45">
        <f>+Tabla15[[#This Row],[PRECIO INSTALADOR
( CON  IVA)]]*5%</f>
        <v>109556.755</v>
      </c>
      <c r="I125" s="18" t="e">
        <f t="shared" si="21"/>
        <v>#REF!</v>
      </c>
      <c r="J125" s="18" t="e">
        <f t="shared" si="22"/>
        <v>#REF!</v>
      </c>
      <c r="K125" s="17" t="e">
        <f t="shared" si="23"/>
        <v>#REF!</v>
      </c>
      <c r="L125" s="17" t="e">
        <f>+M125/#REF!</f>
        <v>#REF!</v>
      </c>
      <c r="M125" s="17">
        <f t="shared" si="24"/>
        <v>1815961.0391999998</v>
      </c>
      <c r="N125" s="19">
        <f t="shared" si="25"/>
        <v>18343.040799999999</v>
      </c>
      <c r="O125" s="18" t="e">
        <f>+P125/#REF!</f>
        <v>#REF!</v>
      </c>
      <c r="P125" s="21">
        <f>Tabla15[[#This Row],[ORO SIN IVA]]*1.19</f>
        <v>1834304.0799999998</v>
      </c>
      <c r="Q125" s="18" t="e">
        <f>+R125/#REF!</f>
        <v>#REF!</v>
      </c>
      <c r="R125" s="16">
        <f>Tabla15[[#This Row],[INSTALLER SIN IVA]]*1.19</f>
        <v>2191135.1</v>
      </c>
      <c r="S125" s="18">
        <v>1541432</v>
      </c>
      <c r="T125" s="18">
        <v>1841290.0000000002</v>
      </c>
    </row>
    <row r="126" spans="1:20" ht="40.5" x14ac:dyDescent="0.25">
      <c r="A126" s="47" t="s">
        <v>335</v>
      </c>
      <c r="B126" s="47" t="s">
        <v>336</v>
      </c>
      <c r="C126" s="53">
        <f>+Tabla15[[#This Row],[PRECIO SUGERIDO INSTALADOR]]</f>
        <v>3283333.76</v>
      </c>
      <c r="D126" s="53">
        <f>+Tabla15[[#This Row],[PRECIO INSTALADOR
( CON  IVA)]]-Tabla15[[#This Row],[Columna23]]</f>
        <v>3119167.0719999997</v>
      </c>
      <c r="E126" s="53">
        <f>+Tabla15[[#This Row],[DPP ORO]]</f>
        <v>2748652.48</v>
      </c>
      <c r="F126" s="53">
        <f>+Tabla15[[#This Row],[DPP PLATINO]]</f>
        <v>2721165.9552000002</v>
      </c>
      <c r="G126" s="53">
        <f>+Tabla15[[#This Row],[PRECIO INSTALADOR
( CON  IVA)]]/0.7</f>
        <v>4690476.8</v>
      </c>
      <c r="H126" s="45">
        <f>+Tabla15[[#This Row],[PRECIO INSTALADOR
( CON  IVA)]]*5%</f>
        <v>164166.68799999999</v>
      </c>
      <c r="I126" s="18" t="e">
        <f t="shared" si="21"/>
        <v>#REF!</v>
      </c>
      <c r="J126" s="18" t="e">
        <f t="shared" si="22"/>
        <v>#REF!</v>
      </c>
      <c r="K126" s="17" t="e">
        <f t="shared" si="23"/>
        <v>#REF!</v>
      </c>
      <c r="L126" s="17" t="e">
        <f>+M126/#REF!</f>
        <v>#REF!</v>
      </c>
      <c r="M126" s="17">
        <f t="shared" si="24"/>
        <v>2721165.9552000002</v>
      </c>
      <c r="N126" s="19">
        <f t="shared" si="25"/>
        <v>27486.524799999999</v>
      </c>
      <c r="O126" s="18" t="e">
        <f>+P126/#REF!</f>
        <v>#REF!</v>
      </c>
      <c r="P126" s="21">
        <f>Tabla15[[#This Row],[ORO SIN IVA]]*1.19</f>
        <v>2748652.48</v>
      </c>
      <c r="Q126" s="18" t="e">
        <f>+R126/#REF!</f>
        <v>#REF!</v>
      </c>
      <c r="R126" s="16">
        <f>Tabla15[[#This Row],[INSTALLER SIN IVA]]*1.19</f>
        <v>3283333.76</v>
      </c>
      <c r="S126" s="18">
        <v>2309792</v>
      </c>
      <c r="T126" s="18">
        <v>2759104</v>
      </c>
    </row>
    <row r="127" spans="1:20" ht="27" x14ac:dyDescent="0.25">
      <c r="A127" s="47" t="s">
        <v>22</v>
      </c>
      <c r="B127" s="47" t="s">
        <v>21</v>
      </c>
      <c r="C127" s="53">
        <f>+Tabla15[[#This Row],[PRECIO SUGERIDO INSTALADOR]]</f>
        <v>1357685.28</v>
      </c>
      <c r="D127" s="53">
        <f>+Tabla15[[#This Row],[PRECIO INSTALADOR
( CON  IVA)]]-Tabla15[[#This Row],[Columna23]]</f>
        <v>1289801.0160000001</v>
      </c>
      <c r="E127" s="53">
        <f>+Tabla15[[#This Row],[DPP ORO]]</f>
        <v>1136649.92</v>
      </c>
      <c r="F127" s="53">
        <f>+Tabla15[[#This Row],[DPP PLATINO]]</f>
        <v>1125283.4208</v>
      </c>
      <c r="G127" s="53">
        <f>+Tabla15[[#This Row],[PRECIO INSTALADOR
( CON  IVA)]]/0.7</f>
        <v>1939550.4000000001</v>
      </c>
      <c r="H127" s="45">
        <f>+Tabla15[[#This Row],[PRECIO INSTALADOR
( CON  IVA)]]*5%</f>
        <v>67884.26400000001</v>
      </c>
      <c r="I127" s="18" t="e">
        <f t="shared" si="21"/>
        <v>#REF!</v>
      </c>
      <c r="J127" s="18" t="e">
        <f t="shared" si="22"/>
        <v>#REF!</v>
      </c>
      <c r="K127" s="17" t="e">
        <f t="shared" si="23"/>
        <v>#REF!</v>
      </c>
      <c r="L127" s="17" t="e">
        <f>+M127/#REF!</f>
        <v>#REF!</v>
      </c>
      <c r="M127" s="17">
        <f t="shared" si="24"/>
        <v>1125283.4208</v>
      </c>
      <c r="N127" s="19">
        <f t="shared" si="25"/>
        <v>11366.4992</v>
      </c>
      <c r="O127" s="18" t="e">
        <f>+P127/#REF!</f>
        <v>#REF!</v>
      </c>
      <c r="P127" s="21">
        <f>Tabla15[[#This Row],[ORO SIN IVA]]*1.19</f>
        <v>1136649.92</v>
      </c>
      <c r="Q127" s="18" t="e">
        <f>+R127/#REF!</f>
        <v>#REF!</v>
      </c>
      <c r="R127" s="16">
        <f>Tabla15[[#This Row],[INSTALLER SIN IVA]]*1.19</f>
        <v>1357685.28</v>
      </c>
      <c r="S127" s="18">
        <v>955168</v>
      </c>
      <c r="T127" s="18">
        <v>1140912</v>
      </c>
    </row>
    <row r="128" spans="1:20" ht="27" x14ac:dyDescent="0.25">
      <c r="A128" s="47" t="s">
        <v>195</v>
      </c>
      <c r="B128" s="47" t="s">
        <v>102</v>
      </c>
      <c r="C128" s="53">
        <f>+Tabla15[[#This Row],[PRECIO SUGERIDO INSTALADOR]]</f>
        <v>219317</v>
      </c>
      <c r="D128" s="53">
        <f>+Tabla15[[#This Row],[PRECIO INSTALADOR
( CON  IVA)]]-Tabla15[[#This Row],[Columna23]]</f>
        <v>208351.15</v>
      </c>
      <c r="E128" s="53">
        <f>+Tabla15[[#This Row],[DPP ORO]]</f>
        <v>183547.97999999998</v>
      </c>
      <c r="F128" s="53">
        <f>+Tabla15[[#This Row],[DPP PLATINO]]</f>
        <v>181712.50019999998</v>
      </c>
      <c r="G128" s="53">
        <f>+Tabla15[[#This Row],[PRECIO INSTALADOR
( CON  IVA)]]/0.7</f>
        <v>313310</v>
      </c>
      <c r="H128" s="45">
        <f>+Tabla15[[#This Row],[PRECIO INSTALADOR
( CON  IVA)]]*5%</f>
        <v>10965.85</v>
      </c>
      <c r="I128" s="18" t="e">
        <f t="shared" si="21"/>
        <v>#REF!</v>
      </c>
      <c r="J128" s="18" t="e">
        <f t="shared" si="22"/>
        <v>#REF!</v>
      </c>
      <c r="K128" s="17" t="e">
        <f t="shared" si="23"/>
        <v>#REF!</v>
      </c>
      <c r="L128" s="17" t="e">
        <f>+M128/#REF!</f>
        <v>#REF!</v>
      </c>
      <c r="M128" s="17">
        <f t="shared" si="24"/>
        <v>181712.50019999998</v>
      </c>
      <c r="N128" s="19">
        <f t="shared" si="25"/>
        <v>1835.4797999999998</v>
      </c>
      <c r="O128" s="18" t="e">
        <f>+P128/#REF!</f>
        <v>#REF!</v>
      </c>
      <c r="P128" s="21">
        <f>Tabla15[[#This Row],[ORO SIN IVA]]*1.19</f>
        <v>183547.97999999998</v>
      </c>
      <c r="Q128" s="18" t="e">
        <f>+R128/#REF!</f>
        <v>#REF!</v>
      </c>
      <c r="R128" s="16">
        <f>Tabla15[[#This Row],[INSTALLER SIN IVA]]*1.19</f>
        <v>219317</v>
      </c>
      <c r="S128" s="18">
        <v>154242</v>
      </c>
      <c r="T128" s="18">
        <v>184300</v>
      </c>
    </row>
    <row r="129" spans="1:20" ht="27" x14ac:dyDescent="0.25">
      <c r="A129" s="47" t="s">
        <v>196</v>
      </c>
      <c r="B129" s="47" t="s">
        <v>101</v>
      </c>
      <c r="C129" s="53">
        <f>+Tabla15[[#This Row],[PRECIO SUGERIDO INSTALADOR]]</f>
        <v>382968.18</v>
      </c>
      <c r="D129" s="53">
        <f>+Tabla15[[#This Row],[PRECIO INSTALADOR
( CON  IVA)]]-Tabla15[[#This Row],[Columna23]]</f>
        <v>363819.77100000001</v>
      </c>
      <c r="E129" s="53">
        <f>+Tabla15[[#This Row],[DPP ORO]]</f>
        <v>320564.57999999996</v>
      </c>
      <c r="F129" s="53">
        <f>+Tabla15[[#This Row],[DPP PLATINO]]</f>
        <v>317358.93419999996</v>
      </c>
      <c r="G129" s="53">
        <f>+Tabla15[[#This Row],[PRECIO INSTALADOR
( CON  IVA)]]/0.7</f>
        <v>547097.4</v>
      </c>
      <c r="H129" s="45">
        <f>+Tabla15[[#This Row],[PRECIO INSTALADOR
( CON  IVA)]]*5%</f>
        <v>19148.409</v>
      </c>
      <c r="I129" s="18" t="e">
        <f t="shared" si="21"/>
        <v>#REF!</v>
      </c>
      <c r="J129" s="18" t="e">
        <f t="shared" si="22"/>
        <v>#REF!</v>
      </c>
      <c r="K129" s="17" t="e">
        <f t="shared" si="23"/>
        <v>#REF!</v>
      </c>
      <c r="L129" s="17" t="e">
        <f>+M129/#REF!</f>
        <v>#REF!</v>
      </c>
      <c r="M129" s="17">
        <f t="shared" si="24"/>
        <v>317358.93419999996</v>
      </c>
      <c r="N129" s="19">
        <f t="shared" si="25"/>
        <v>3205.6457999999998</v>
      </c>
      <c r="O129" s="18" t="e">
        <f>+P129/#REF!</f>
        <v>#REF!</v>
      </c>
      <c r="P129" s="21">
        <f>Tabla15[[#This Row],[ORO SIN IVA]]*1.19</f>
        <v>320564.57999999996</v>
      </c>
      <c r="Q129" s="18" t="e">
        <f>+R129/#REF!</f>
        <v>#REF!</v>
      </c>
      <c r="R129" s="16">
        <f>Tabla15[[#This Row],[INSTALLER SIN IVA]]*1.19</f>
        <v>382968.18</v>
      </c>
      <c r="S129" s="18">
        <v>269382</v>
      </c>
      <c r="T129" s="18">
        <v>321822</v>
      </c>
    </row>
    <row r="130" spans="1:20" ht="81" x14ac:dyDescent="0.25">
      <c r="A130" s="47" t="s">
        <v>197</v>
      </c>
      <c r="B130" s="47" t="s">
        <v>337</v>
      </c>
      <c r="C130" s="53">
        <f>+Tabla15[[#This Row],[PRECIO SUGERIDO INSTALADOR]]</f>
        <v>258160.97999999998</v>
      </c>
      <c r="D130" s="53">
        <f>+Tabla15[[#This Row],[PRECIO INSTALADOR
( CON  IVA)]]-Tabla15[[#This Row],[Columna23]]</f>
        <v>245252.93099999998</v>
      </c>
      <c r="E130" s="53">
        <f>+Tabla15[[#This Row],[DPP ORO]]</f>
        <v>216106.38</v>
      </c>
      <c r="F130" s="53">
        <f>+Tabla15[[#This Row],[DPP PLATINO]]</f>
        <v>213945.3162</v>
      </c>
      <c r="G130" s="53">
        <f>+Tabla15[[#This Row],[PRECIO INSTALADOR
( CON  IVA)]]/0.7</f>
        <v>368801.4</v>
      </c>
      <c r="H130" s="45">
        <f>+Tabla15[[#This Row],[PRECIO INSTALADOR
( CON  IVA)]]*5%</f>
        <v>12908.048999999999</v>
      </c>
      <c r="I130" s="18" t="e">
        <f t="shared" si="21"/>
        <v>#REF!</v>
      </c>
      <c r="J130" s="18" t="e">
        <f t="shared" si="22"/>
        <v>#REF!</v>
      </c>
      <c r="K130" s="17" t="e">
        <f t="shared" si="23"/>
        <v>#REF!</v>
      </c>
      <c r="L130" s="17" t="e">
        <f>+M130/#REF!</f>
        <v>#REF!</v>
      </c>
      <c r="M130" s="17">
        <f t="shared" si="24"/>
        <v>213945.3162</v>
      </c>
      <c r="N130" s="19">
        <f t="shared" si="25"/>
        <v>2161.0637999999999</v>
      </c>
      <c r="O130" s="18" t="e">
        <f>+P130/#REF!</f>
        <v>#REF!</v>
      </c>
      <c r="P130" s="21">
        <f>Tabla15[[#This Row],[ORO SIN IVA]]*1.19</f>
        <v>216106.38</v>
      </c>
      <c r="Q130" s="18" t="e">
        <f>+R130/#REF!</f>
        <v>#REF!</v>
      </c>
      <c r="R130" s="16">
        <f>Tabla15[[#This Row],[INSTALLER SIN IVA]]*1.19</f>
        <v>258160.97999999998</v>
      </c>
      <c r="S130" s="18">
        <v>181602</v>
      </c>
      <c r="T130" s="18">
        <v>216942</v>
      </c>
    </row>
    <row r="131" spans="1:20" ht="27" x14ac:dyDescent="0.25">
      <c r="A131" s="47" t="s">
        <v>198</v>
      </c>
      <c r="B131" s="47" t="s">
        <v>100</v>
      </c>
      <c r="C131" s="53">
        <f>+Tabla15[[#This Row],[PRECIO SUGERIDO INSTALADOR]]</f>
        <v>507097.07999999996</v>
      </c>
      <c r="D131" s="53">
        <f>+Tabla15[[#This Row],[PRECIO INSTALADOR
( CON  IVA)]]-Tabla15[[#This Row],[Columna23]]</f>
        <v>481742.22599999997</v>
      </c>
      <c r="E131" s="53">
        <f>+Tabla15[[#This Row],[DPP ORO]]</f>
        <v>424615.8</v>
      </c>
      <c r="F131" s="53">
        <f>+Tabla15[[#This Row],[DPP PLATINO]]</f>
        <v>420369.64199999999</v>
      </c>
      <c r="G131" s="53">
        <f>+Tabla15[[#This Row],[PRECIO INSTALADOR
( CON  IVA)]]/0.7</f>
        <v>724424.4</v>
      </c>
      <c r="H131" s="45">
        <f>+Tabla15[[#This Row],[PRECIO INSTALADOR
( CON  IVA)]]*5%</f>
        <v>25354.853999999999</v>
      </c>
      <c r="I131" s="18" t="e">
        <f t="shared" si="21"/>
        <v>#REF!</v>
      </c>
      <c r="J131" s="18" t="e">
        <f t="shared" si="22"/>
        <v>#REF!</v>
      </c>
      <c r="K131" s="17" t="e">
        <f t="shared" si="23"/>
        <v>#REF!</v>
      </c>
      <c r="L131" s="17" t="e">
        <f>+M131/#REF!</f>
        <v>#REF!</v>
      </c>
      <c r="M131" s="17">
        <f t="shared" si="24"/>
        <v>420369.64199999999</v>
      </c>
      <c r="N131" s="19">
        <f t="shared" si="25"/>
        <v>4246.1580000000004</v>
      </c>
      <c r="O131" s="18" t="e">
        <f>+P131/#REF!</f>
        <v>#REF!</v>
      </c>
      <c r="P131" s="21">
        <f>Tabla15[[#This Row],[ORO SIN IVA]]*1.19</f>
        <v>424615.8</v>
      </c>
      <c r="Q131" s="18" t="e">
        <f>+R131/#REF!</f>
        <v>#REF!</v>
      </c>
      <c r="R131" s="16">
        <f>Tabla15[[#This Row],[INSTALLER SIN IVA]]*1.19</f>
        <v>507097.07999999996</v>
      </c>
      <c r="S131" s="18">
        <v>356820</v>
      </c>
      <c r="T131" s="18">
        <v>426132</v>
      </c>
    </row>
    <row r="132" spans="1:20" ht="81" x14ac:dyDescent="0.25">
      <c r="A132" s="47" t="s">
        <v>194</v>
      </c>
      <c r="B132" s="47" t="s">
        <v>338</v>
      </c>
      <c r="C132" s="53">
        <f>+Tabla15[[#This Row],[PRECIO SUGERIDO INSTALADOR]]</f>
        <v>552633.62</v>
      </c>
      <c r="D132" s="53">
        <f>+Tabla15[[#This Row],[PRECIO INSTALADOR
( CON  IVA)]]-Tabla15[[#This Row],[Columna23]]</f>
        <v>525001.93900000001</v>
      </c>
      <c r="E132" s="53">
        <f>+Tabla15[[#This Row],[DPP ORO]]</f>
        <v>462691.04</v>
      </c>
      <c r="F132" s="53">
        <f>+Tabla15[[#This Row],[DPP PLATINO]]</f>
        <v>458064.12959999999</v>
      </c>
      <c r="G132" s="53">
        <f>+Tabla15[[#This Row],[PRECIO INSTALADOR
( CON  IVA)]]/0.7</f>
        <v>789476.60000000009</v>
      </c>
      <c r="H132" s="45">
        <f>+Tabla15[[#This Row],[PRECIO INSTALADOR
( CON  IVA)]]*5%</f>
        <v>27631.681</v>
      </c>
      <c r="I132" s="18" t="e">
        <f t="shared" si="21"/>
        <v>#REF!</v>
      </c>
      <c r="J132" s="18" t="e">
        <f t="shared" si="22"/>
        <v>#REF!</v>
      </c>
      <c r="K132" s="17" t="e">
        <f t="shared" si="23"/>
        <v>#REF!</v>
      </c>
      <c r="L132" s="17" t="e">
        <f>+M132/#REF!</f>
        <v>#REF!</v>
      </c>
      <c r="M132" s="17">
        <f t="shared" si="24"/>
        <v>458064.12959999999</v>
      </c>
      <c r="N132" s="19">
        <f t="shared" si="25"/>
        <v>4626.9103999999998</v>
      </c>
      <c r="O132" s="18" t="e">
        <f>+P132/#REF!</f>
        <v>#REF!</v>
      </c>
      <c r="P132" s="21">
        <f>Tabla15[[#This Row],[ORO SIN IVA]]*1.19</f>
        <v>462691.04</v>
      </c>
      <c r="Q132" s="18" t="e">
        <f>+R132/#REF!</f>
        <v>#REF!</v>
      </c>
      <c r="R132" s="16">
        <f>Tabla15[[#This Row],[INSTALLER SIN IVA]]*1.19</f>
        <v>552633.62</v>
      </c>
      <c r="S132" s="18">
        <v>388816</v>
      </c>
      <c r="T132" s="18">
        <v>464398</v>
      </c>
    </row>
    <row r="133" spans="1:20" ht="27" x14ac:dyDescent="0.25">
      <c r="A133" s="47" t="s">
        <v>14</v>
      </c>
      <c r="B133" s="47" t="s">
        <v>13</v>
      </c>
      <c r="C133" s="53">
        <f>+Tabla15[[#This Row],[PRECIO SUGERIDO INSTALADOR]]</f>
        <v>551774.43999999994</v>
      </c>
      <c r="D133" s="53">
        <f>+Tabla15[[#This Row],[PRECIO INSTALADOR
( CON  IVA)]]-Tabla15[[#This Row],[Columna23]]</f>
        <v>524185.71799999994</v>
      </c>
      <c r="E133" s="53">
        <f>+Tabla15[[#This Row],[DPP ORO]]</f>
        <v>461922.3</v>
      </c>
      <c r="F133" s="53">
        <f>+Tabla15[[#This Row],[DPP PLATINO]]</f>
        <v>457303.07699999999</v>
      </c>
      <c r="G133" s="53">
        <f>+Tabla15[[#This Row],[PRECIO INSTALADOR
( CON  IVA)]]/0.7</f>
        <v>788249.2</v>
      </c>
      <c r="H133" s="45">
        <f>+Tabla15[[#This Row],[PRECIO INSTALADOR
( CON  IVA)]]*5%</f>
        <v>27588.721999999998</v>
      </c>
      <c r="I133" s="18" t="e">
        <f t="shared" si="21"/>
        <v>#REF!</v>
      </c>
      <c r="J133" s="18" t="e">
        <f t="shared" si="22"/>
        <v>#REF!</v>
      </c>
      <c r="K133" s="17" t="e">
        <f t="shared" si="23"/>
        <v>#REF!</v>
      </c>
      <c r="L133" s="17" t="e">
        <f>+M133/#REF!</f>
        <v>#REF!</v>
      </c>
      <c r="M133" s="17">
        <f t="shared" si="24"/>
        <v>457303.07699999999</v>
      </c>
      <c r="N133" s="19">
        <f t="shared" si="25"/>
        <v>4619.223</v>
      </c>
      <c r="O133" s="18" t="e">
        <f>+P133/#REF!</f>
        <v>#REF!</v>
      </c>
      <c r="P133" s="21">
        <f>Tabla15[[#This Row],[ORO SIN IVA]]*1.19</f>
        <v>461922.3</v>
      </c>
      <c r="Q133" s="18" t="e">
        <f>+R133/#REF!</f>
        <v>#REF!</v>
      </c>
      <c r="R133" s="16">
        <f>Tabla15[[#This Row],[INSTALLER SIN IVA]]*1.19</f>
        <v>551774.43999999994</v>
      </c>
      <c r="S133" s="18">
        <v>388170</v>
      </c>
      <c r="T133" s="18">
        <v>463676</v>
      </c>
    </row>
    <row r="134" spans="1:20" ht="27" x14ac:dyDescent="0.25">
      <c r="A134" s="47" t="s">
        <v>199</v>
      </c>
      <c r="B134" s="47" t="s">
        <v>99</v>
      </c>
      <c r="C134" s="54">
        <f>+Tabla15[[#This Row],[PRECIO SUGERIDO INSTALADOR]]</f>
        <v>725735.77999999991</v>
      </c>
      <c r="D134" s="54">
        <f>+Tabla15[[#This Row],[PRECIO INSTALADOR
( CON  IVA)]]-Tabla15[[#This Row],[Columna23]]</f>
        <v>689448.99099999992</v>
      </c>
      <c r="E134" s="54">
        <f>+Tabla15[[#This Row],[DPP ORO]]</f>
        <v>607575.91999999993</v>
      </c>
      <c r="F134" s="54">
        <f>+Tabla15[[#This Row],[DPP PLATINO]]</f>
        <v>601500.16079999995</v>
      </c>
      <c r="G134" s="54">
        <f>+Tabla15[[#This Row],[PRECIO INSTALADOR
( CON  IVA)]]/0.7</f>
        <v>1036765.3999999999</v>
      </c>
      <c r="H134" s="46">
        <f>+Tabla15[[#This Row],[PRECIO INSTALADOR
( CON  IVA)]]*5%</f>
        <v>36286.788999999997</v>
      </c>
      <c r="I134" s="12" t="e">
        <f>+Q134</f>
        <v>#REF!</v>
      </c>
      <c r="J134" s="12" t="e">
        <f>+O134</f>
        <v>#REF!</v>
      </c>
      <c r="K134" s="15" t="e">
        <f>+L134</f>
        <v>#REF!</v>
      </c>
      <c r="L134" s="15" t="e">
        <f>+M134/#REF!</f>
        <v>#REF!</v>
      </c>
      <c r="M134" s="15">
        <f>+P134-N134</f>
        <v>601500.16079999995</v>
      </c>
      <c r="N134" s="13">
        <f>+P134*1%</f>
        <v>6075.7591999999995</v>
      </c>
      <c r="O134" s="12" t="e">
        <f>+P134/#REF!</f>
        <v>#REF!</v>
      </c>
      <c r="P134" s="14">
        <f>Tabla15[[#This Row],[ORO SIN IVA]]*1.19</f>
        <v>607575.91999999993</v>
      </c>
      <c r="Q134" s="12" t="e">
        <f>+R134/#REF!</f>
        <v>#REF!</v>
      </c>
      <c r="R134" s="13">
        <f>Tabla15[[#This Row],[INSTALLER SIN IVA]]*1.19</f>
        <v>725735.77999999991</v>
      </c>
      <c r="S134" s="12">
        <v>510567.99999999994</v>
      </c>
      <c r="T134" s="12">
        <v>609862</v>
      </c>
    </row>
    <row r="135" spans="1:20" ht="67.5" x14ac:dyDescent="0.25">
      <c r="A135" s="47" t="s">
        <v>193</v>
      </c>
      <c r="B135" s="47" t="s">
        <v>339</v>
      </c>
      <c r="C135" s="53">
        <f>+Tabla15[[#This Row],[PRECIO SUGERIDO INSTALADOR]]</f>
        <v>496379.94</v>
      </c>
      <c r="D135" s="53">
        <f>+Tabla15[[#This Row],[PRECIO INSTALADOR
( CON  IVA)]]-Tabla15[[#This Row],[Columna23]]</f>
        <v>471560.94299999997</v>
      </c>
      <c r="E135" s="53">
        <f>+Tabla15[[#This Row],[DPP ORO]]</f>
        <v>415617.01999999996</v>
      </c>
      <c r="F135" s="53">
        <f>+Tabla15[[#This Row],[DPP PLATINO]]</f>
        <v>411460.84979999997</v>
      </c>
      <c r="G135" s="53">
        <f>+Tabla15[[#This Row],[PRECIO INSTALADOR
( CON  IVA)]]/0.7</f>
        <v>709114.20000000007</v>
      </c>
      <c r="H135" s="45">
        <f>+Tabla15[[#This Row],[PRECIO INSTALADOR
( CON  IVA)]]*5%</f>
        <v>24818.997000000003</v>
      </c>
      <c r="I135" s="18" t="e">
        <f t="shared" si="21"/>
        <v>#REF!</v>
      </c>
      <c r="J135" s="18" t="e">
        <f t="shared" si="22"/>
        <v>#REF!</v>
      </c>
      <c r="K135" s="17" t="e">
        <f t="shared" si="23"/>
        <v>#REF!</v>
      </c>
      <c r="L135" s="17" t="e">
        <f>+M135/#REF!</f>
        <v>#REF!</v>
      </c>
      <c r="M135" s="17">
        <f t="shared" si="24"/>
        <v>411460.84979999997</v>
      </c>
      <c r="N135" s="19">
        <f t="shared" si="25"/>
        <v>4156.1701999999996</v>
      </c>
      <c r="O135" s="18" t="e">
        <f>+P135/#REF!</f>
        <v>#REF!</v>
      </c>
      <c r="P135" s="21">
        <f>Tabla15[[#This Row],[ORO SIN IVA]]*1.19</f>
        <v>415617.01999999996</v>
      </c>
      <c r="Q135" s="18" t="e">
        <f>+R135/#REF!</f>
        <v>#REF!</v>
      </c>
      <c r="R135" s="16">
        <f>Tabla15[[#This Row],[INSTALLER SIN IVA]]*1.19</f>
        <v>496379.94</v>
      </c>
      <c r="S135" s="18">
        <v>349258</v>
      </c>
      <c r="T135" s="18">
        <v>417126</v>
      </c>
    </row>
    <row r="136" spans="1:20" ht="27" x14ac:dyDescent="0.25">
      <c r="A136" s="47" t="s">
        <v>200</v>
      </c>
      <c r="B136" s="47" t="s">
        <v>98</v>
      </c>
      <c r="C136" s="53">
        <f>+Tabla15[[#This Row],[PRECIO SUGERIDO INSTALADOR]]</f>
        <v>824405.82</v>
      </c>
      <c r="D136" s="53">
        <f>+Tabla15[[#This Row],[PRECIO INSTALADOR
( CON  IVA)]]-Tabla15[[#This Row],[Columna23]]</f>
        <v>783185.52899999998</v>
      </c>
      <c r="E136" s="53">
        <f>+Tabla15[[#This Row],[DPP ORO]]</f>
        <v>690192.86</v>
      </c>
      <c r="F136" s="53">
        <f>+Tabla15[[#This Row],[DPP PLATINO]]</f>
        <v>683290.9314</v>
      </c>
      <c r="G136" s="53">
        <f>+Tabla15[[#This Row],[PRECIO INSTALADOR
( CON  IVA)]]/0.7</f>
        <v>1177722.6000000001</v>
      </c>
      <c r="H136" s="45">
        <f>+Tabla15[[#This Row],[PRECIO INSTALADOR
( CON  IVA)]]*5%</f>
        <v>41220.290999999997</v>
      </c>
      <c r="I136" s="18" t="e">
        <f t="shared" ref="I136:I169" si="26">+Q136</f>
        <v>#REF!</v>
      </c>
      <c r="J136" s="18" t="e">
        <f t="shared" ref="J136:J169" si="27">+O136</f>
        <v>#REF!</v>
      </c>
      <c r="K136" s="17" t="e">
        <f t="shared" ref="K136:K169" si="28">+L136</f>
        <v>#REF!</v>
      </c>
      <c r="L136" s="17" t="e">
        <f>+M136/#REF!</f>
        <v>#REF!</v>
      </c>
      <c r="M136" s="17">
        <f t="shared" ref="M136:M169" si="29">+P136-N136</f>
        <v>683290.9314</v>
      </c>
      <c r="N136" s="19">
        <f t="shared" si="25"/>
        <v>6901.9286000000002</v>
      </c>
      <c r="O136" s="18" t="e">
        <f>+P136/#REF!</f>
        <v>#REF!</v>
      </c>
      <c r="P136" s="21">
        <f>Tabla15[[#This Row],[ORO SIN IVA]]*1.19</f>
        <v>690192.86</v>
      </c>
      <c r="Q136" s="18" t="e">
        <f>+R136/#REF!</f>
        <v>#REF!</v>
      </c>
      <c r="R136" s="16">
        <f>Tabla15[[#This Row],[INSTALLER SIN IVA]]*1.19</f>
        <v>824405.82</v>
      </c>
      <c r="S136" s="18">
        <v>579994</v>
      </c>
      <c r="T136" s="18">
        <v>692778</v>
      </c>
    </row>
    <row r="137" spans="1:20" ht="27" x14ac:dyDescent="0.25">
      <c r="A137" s="47" t="s">
        <v>9</v>
      </c>
      <c r="B137" s="47" t="s">
        <v>8</v>
      </c>
      <c r="C137" s="53">
        <f>+Tabla15[[#This Row],[PRECIO SUGERIDO INSTALADOR]]</f>
        <v>913850.98</v>
      </c>
      <c r="D137" s="53">
        <f>+Tabla15[[#This Row],[PRECIO INSTALADOR
( CON  IVA)]]-Tabla15[[#This Row],[Columna23]]</f>
        <v>868158.43099999998</v>
      </c>
      <c r="E137" s="53">
        <f>+Tabla15[[#This Row],[DPP ORO]]</f>
        <v>765031.96</v>
      </c>
      <c r="F137" s="53">
        <f>+Tabla15[[#This Row],[DPP PLATINO]]</f>
        <v>757381.64039999992</v>
      </c>
      <c r="G137" s="53">
        <f>+Tabla15[[#This Row],[PRECIO INSTALADOR
( CON  IVA)]]/0.7</f>
        <v>1305501.4000000001</v>
      </c>
      <c r="H137" s="45">
        <f>+Tabla15[[#This Row],[PRECIO INSTALADOR
( CON  IVA)]]*5%</f>
        <v>45692.548999999999</v>
      </c>
      <c r="I137" s="18" t="e">
        <f t="shared" si="26"/>
        <v>#REF!</v>
      </c>
      <c r="J137" s="18" t="e">
        <f t="shared" si="27"/>
        <v>#REF!</v>
      </c>
      <c r="K137" s="17" t="e">
        <f t="shared" si="28"/>
        <v>#REF!</v>
      </c>
      <c r="L137" s="17" t="e">
        <f>+M137/#REF!</f>
        <v>#REF!</v>
      </c>
      <c r="M137" s="17">
        <f t="shared" si="29"/>
        <v>757381.64039999992</v>
      </c>
      <c r="N137" s="19">
        <f t="shared" si="25"/>
        <v>7650.3195999999998</v>
      </c>
      <c r="O137" s="18" t="e">
        <f>+P137/#REF!</f>
        <v>#REF!</v>
      </c>
      <c r="P137" s="21">
        <f>Tabla15[[#This Row],[ORO SIN IVA]]*1.19</f>
        <v>765031.96</v>
      </c>
      <c r="Q137" s="18" t="e">
        <f>+R137/#REF!</f>
        <v>#REF!</v>
      </c>
      <c r="R137" s="16">
        <f>Tabla15[[#This Row],[INSTALLER SIN IVA]]*1.19</f>
        <v>913850.98</v>
      </c>
      <c r="S137" s="18">
        <v>642884</v>
      </c>
      <c r="T137" s="18">
        <v>767942</v>
      </c>
    </row>
    <row r="138" spans="1:20" ht="27" x14ac:dyDescent="0.25">
      <c r="A138" s="47" t="s">
        <v>340</v>
      </c>
      <c r="B138" s="47" t="s">
        <v>341</v>
      </c>
      <c r="C138" s="53">
        <f>+Tabla15[[#This Row],[PRECIO SUGERIDO INSTALADOR]]</f>
        <v>1955629.3399999999</v>
      </c>
      <c r="D138" s="53">
        <f>+Tabla15[[#This Row],[PRECIO INSTALADOR
( CON  IVA)]]-Tabla15[[#This Row],[Columna23]]</f>
        <v>1857847.8729999999</v>
      </c>
      <c r="E138" s="53">
        <f>+Tabla15[[#This Row],[DPP ORO]]</f>
        <v>1578811.0799999998</v>
      </c>
      <c r="F138" s="53">
        <f>+Tabla15[[#This Row],[DPP PLATINO]]</f>
        <v>1563022.9691999999</v>
      </c>
      <c r="G138" s="53">
        <f>+Tabla15[[#This Row],[PRECIO INSTALADOR
( CON  IVA)]]/0.7</f>
        <v>2793756.2</v>
      </c>
      <c r="H138" s="45">
        <f>+Tabla15[[#This Row],[PRECIO INSTALADOR
( CON  IVA)]]*5%</f>
        <v>97781.467000000004</v>
      </c>
      <c r="I138" s="18" t="e">
        <f t="shared" si="26"/>
        <v>#REF!</v>
      </c>
      <c r="J138" s="18" t="e">
        <f t="shared" si="27"/>
        <v>#REF!</v>
      </c>
      <c r="K138" s="17" t="e">
        <f t="shared" si="28"/>
        <v>#REF!</v>
      </c>
      <c r="L138" s="17" t="e">
        <f>+M138/#REF!</f>
        <v>#REF!</v>
      </c>
      <c r="M138" s="17">
        <f t="shared" si="29"/>
        <v>1563022.9691999999</v>
      </c>
      <c r="N138" s="19">
        <f t="shared" si="25"/>
        <v>15788.110799999999</v>
      </c>
      <c r="O138" s="18" t="e">
        <f>+P138/#REF!</f>
        <v>#REF!</v>
      </c>
      <c r="P138" s="21">
        <f>Tabla15[[#This Row],[ORO SIN IVA]]*1.19</f>
        <v>1578811.0799999998</v>
      </c>
      <c r="Q138" s="18" t="e">
        <f>+R138/#REF!</f>
        <v>#REF!</v>
      </c>
      <c r="R138" s="16">
        <f>Tabla15[[#This Row],[INSTALLER SIN IVA]]*1.19</f>
        <v>1955629.3399999999</v>
      </c>
      <c r="S138" s="18">
        <v>1326732</v>
      </c>
      <c r="T138" s="18">
        <v>1643386</v>
      </c>
    </row>
    <row r="139" spans="1:20" ht="27" x14ac:dyDescent="0.25">
      <c r="A139" s="47" t="s">
        <v>29</v>
      </c>
      <c r="B139" s="47" t="s">
        <v>28</v>
      </c>
      <c r="C139" s="53">
        <f>+Tabla15[[#This Row],[PRECIO SUGERIDO INSTALADOR]]</f>
        <v>1035990.2</v>
      </c>
      <c r="D139" s="53">
        <f>+Tabla15[[#This Row],[PRECIO INSTALADOR
( CON  IVA)]]-Tabla15[[#This Row],[Columna23]]</f>
        <v>984190.69</v>
      </c>
      <c r="E139" s="53">
        <f>+Tabla15[[#This Row],[DPP ORO]]</f>
        <v>867274.38</v>
      </c>
      <c r="F139" s="53">
        <f>+Tabla15[[#This Row],[DPP PLATINO]]</f>
        <v>858601.63619999995</v>
      </c>
      <c r="G139" s="53">
        <f>+Tabla15[[#This Row],[PRECIO INSTALADOR
( CON  IVA)]]/0.7</f>
        <v>1479986</v>
      </c>
      <c r="H139" s="45">
        <f>+Tabla15[[#This Row],[PRECIO INSTALADOR
( CON  IVA)]]*5%</f>
        <v>51799.51</v>
      </c>
      <c r="I139" s="18" t="e">
        <f t="shared" si="26"/>
        <v>#REF!</v>
      </c>
      <c r="J139" s="18" t="e">
        <f t="shared" si="27"/>
        <v>#REF!</v>
      </c>
      <c r="K139" s="17" t="e">
        <f t="shared" si="28"/>
        <v>#REF!</v>
      </c>
      <c r="L139" s="17" t="e">
        <f>+M139/#REF!</f>
        <v>#REF!</v>
      </c>
      <c r="M139" s="17">
        <f t="shared" si="29"/>
        <v>858601.63619999995</v>
      </c>
      <c r="N139" s="19">
        <f t="shared" si="25"/>
        <v>8672.7438000000002</v>
      </c>
      <c r="O139" s="18" t="e">
        <f>+P139/#REF!</f>
        <v>#REF!</v>
      </c>
      <c r="P139" s="21">
        <f>Tabla15[[#This Row],[ORO SIN IVA]]*1.19</f>
        <v>867274.38</v>
      </c>
      <c r="Q139" s="18" t="e">
        <f>+R139/#REF!</f>
        <v>#REF!</v>
      </c>
      <c r="R139" s="16">
        <f>Tabla15[[#This Row],[INSTALLER SIN IVA]]*1.19</f>
        <v>1035990.2</v>
      </c>
      <c r="S139" s="18">
        <v>728802</v>
      </c>
      <c r="T139" s="18">
        <v>870580</v>
      </c>
    </row>
    <row r="140" spans="1:20" ht="27" x14ac:dyDescent="0.25">
      <c r="A140" s="47" t="s">
        <v>20</v>
      </c>
      <c r="B140" s="47" t="s">
        <v>19</v>
      </c>
      <c r="C140" s="53">
        <f>+Tabla15[[#This Row],[PRECIO SUGERIDO INSTALADOR]]</f>
        <v>1250197.3399999999</v>
      </c>
      <c r="D140" s="53">
        <f>+Tabla15[[#This Row],[PRECIO INSTALADOR
( CON  IVA)]]-Tabla15[[#This Row],[Columna23]]</f>
        <v>1187687.4729999998</v>
      </c>
      <c r="E140" s="53">
        <f>+Tabla15[[#This Row],[DPP ORO]]</f>
        <v>1046526.46</v>
      </c>
      <c r="F140" s="53">
        <f>+Tabla15[[#This Row],[DPP PLATINO]]</f>
        <v>1036061.1954</v>
      </c>
      <c r="G140" s="53">
        <f>+Tabla15[[#This Row],[PRECIO INSTALADOR
( CON  IVA)]]/0.7</f>
        <v>1785996.2</v>
      </c>
      <c r="H140" s="45">
        <f>+Tabla15[[#This Row],[PRECIO INSTALADOR
( CON  IVA)]]*5%</f>
        <v>62509.866999999998</v>
      </c>
      <c r="I140" s="18" t="e">
        <f t="shared" si="26"/>
        <v>#REF!</v>
      </c>
      <c r="J140" s="18" t="e">
        <f t="shared" si="27"/>
        <v>#REF!</v>
      </c>
      <c r="K140" s="17" t="e">
        <f t="shared" si="28"/>
        <v>#REF!</v>
      </c>
      <c r="L140" s="17" t="e">
        <f>+M140/#REF!</f>
        <v>#REF!</v>
      </c>
      <c r="M140" s="17">
        <f t="shared" si="29"/>
        <v>1036061.1954</v>
      </c>
      <c r="N140" s="19">
        <f t="shared" si="25"/>
        <v>10465.2646</v>
      </c>
      <c r="O140" s="18" t="e">
        <f>+P140/#REF!</f>
        <v>#REF!</v>
      </c>
      <c r="P140" s="21">
        <f>Tabla15[[#This Row],[ORO SIN IVA]]*1.19</f>
        <v>1046526.46</v>
      </c>
      <c r="Q140" s="18" t="e">
        <f>+R140/#REF!</f>
        <v>#REF!</v>
      </c>
      <c r="R140" s="16">
        <f>Tabla15[[#This Row],[INSTALLER SIN IVA]]*1.19</f>
        <v>1250197.3399999999</v>
      </c>
      <c r="S140" s="18">
        <v>879434</v>
      </c>
      <c r="T140" s="18">
        <v>1050586</v>
      </c>
    </row>
    <row r="141" spans="1:20" ht="67.5" x14ac:dyDescent="0.25">
      <c r="A141" s="47" t="s">
        <v>202</v>
      </c>
      <c r="B141" s="47" t="s">
        <v>342</v>
      </c>
      <c r="C141" s="53">
        <f>+Tabla15[[#This Row],[PRECIO SUGERIDO INSTALADOR]]</f>
        <v>561496.74</v>
      </c>
      <c r="D141" s="53">
        <f>+Tabla15[[#This Row],[PRECIO INSTALADOR
( CON  IVA)]]-Tabla15[[#This Row],[Columna23]]</f>
        <v>533421.90299999993</v>
      </c>
      <c r="E141" s="53">
        <f>+Tabla15[[#This Row],[DPP ORO]]</f>
        <v>470152.33999999997</v>
      </c>
      <c r="F141" s="53">
        <f>+Tabla15[[#This Row],[DPP PLATINO]]</f>
        <v>465450.81659999996</v>
      </c>
      <c r="G141" s="53">
        <f>+Tabla15[[#This Row],[PRECIO INSTALADOR
( CON  IVA)]]/0.7</f>
        <v>802138.20000000007</v>
      </c>
      <c r="H141" s="45">
        <f>+Tabla15[[#This Row],[PRECIO INSTALADOR
( CON  IVA)]]*5%</f>
        <v>28074.837</v>
      </c>
      <c r="I141" s="18" t="e">
        <f t="shared" si="26"/>
        <v>#REF!</v>
      </c>
      <c r="J141" s="18" t="e">
        <f t="shared" si="27"/>
        <v>#REF!</v>
      </c>
      <c r="K141" s="17" t="e">
        <f t="shared" si="28"/>
        <v>#REF!</v>
      </c>
      <c r="L141" s="17" t="e">
        <f>+M141/#REF!</f>
        <v>#REF!</v>
      </c>
      <c r="M141" s="17">
        <f t="shared" si="29"/>
        <v>465450.81659999996</v>
      </c>
      <c r="N141" s="19">
        <f t="shared" si="25"/>
        <v>4701.5234</v>
      </c>
      <c r="O141" s="18" t="e">
        <f>+P141/#REF!</f>
        <v>#REF!</v>
      </c>
      <c r="P141" s="21">
        <f>Tabla15[[#This Row],[ORO SIN IVA]]*1.19</f>
        <v>470152.33999999997</v>
      </c>
      <c r="Q141" s="18" t="e">
        <f>+R141/#REF!</f>
        <v>#REF!</v>
      </c>
      <c r="R141" s="16">
        <f>Tabla15[[#This Row],[INSTALLER SIN IVA]]*1.19</f>
        <v>561496.74</v>
      </c>
      <c r="S141" s="18">
        <v>395086</v>
      </c>
      <c r="T141" s="18">
        <v>471846</v>
      </c>
    </row>
    <row r="142" spans="1:20" ht="94.5" x14ac:dyDescent="0.25">
      <c r="A142" s="47" t="s">
        <v>201</v>
      </c>
      <c r="B142" s="47" t="s">
        <v>343</v>
      </c>
      <c r="C142" s="53">
        <f>+Tabla15[[#This Row],[PRECIO SUGERIDO INSTALADOR]]</f>
        <v>1123174.3599999999</v>
      </c>
      <c r="D142" s="53">
        <f>+Tabla15[[#This Row],[PRECIO INSTALADOR
( CON  IVA)]]-Tabla15[[#This Row],[Columna23]]</f>
        <v>1067015.642</v>
      </c>
      <c r="E142" s="53">
        <f>+Tabla15[[#This Row],[DPP ORO]]</f>
        <v>940259.46</v>
      </c>
      <c r="F142" s="53">
        <f>+Tabla15[[#This Row],[DPP PLATINO]]</f>
        <v>930856.86540000001</v>
      </c>
      <c r="G142" s="53">
        <f>+Tabla15[[#This Row],[PRECIO INSTALADOR
( CON  IVA)]]/0.7</f>
        <v>1604534.7999999998</v>
      </c>
      <c r="H142" s="45">
        <f>+Tabla15[[#This Row],[PRECIO INSTALADOR
( CON  IVA)]]*5%</f>
        <v>56158.717999999993</v>
      </c>
      <c r="I142" s="18" t="e">
        <f t="shared" si="26"/>
        <v>#REF!</v>
      </c>
      <c r="J142" s="18" t="e">
        <f t="shared" si="27"/>
        <v>#REF!</v>
      </c>
      <c r="K142" s="17" t="e">
        <f t="shared" si="28"/>
        <v>#REF!</v>
      </c>
      <c r="L142" s="17" t="e">
        <f>+M142/#REF!</f>
        <v>#REF!</v>
      </c>
      <c r="M142" s="17">
        <f t="shared" si="29"/>
        <v>930856.86540000001</v>
      </c>
      <c r="N142" s="19">
        <f t="shared" si="25"/>
        <v>9402.5946000000004</v>
      </c>
      <c r="O142" s="18" t="e">
        <f>+P142/#REF!</f>
        <v>#REF!</v>
      </c>
      <c r="P142" s="21">
        <f>Tabla15[[#This Row],[ORO SIN IVA]]*1.19</f>
        <v>940259.46</v>
      </c>
      <c r="Q142" s="18" t="e">
        <f>+R142/#REF!</f>
        <v>#REF!</v>
      </c>
      <c r="R142" s="16">
        <f>Tabla15[[#This Row],[INSTALLER SIN IVA]]*1.19</f>
        <v>1123174.3599999999</v>
      </c>
      <c r="S142" s="18">
        <v>790134</v>
      </c>
      <c r="T142" s="18">
        <v>943843.99999999988</v>
      </c>
    </row>
    <row r="143" spans="1:20" ht="27" x14ac:dyDescent="0.25">
      <c r="A143" s="47" t="s">
        <v>25</v>
      </c>
      <c r="B143" s="47" t="s">
        <v>24</v>
      </c>
      <c r="C143" s="53">
        <f>+Tabla15[[#This Row],[PRECIO SUGERIDO INSTALADOR]]</f>
        <v>1446542.5799999998</v>
      </c>
      <c r="D143" s="53">
        <f>+Tabla15[[#This Row],[PRECIO INSTALADOR
( CON  IVA)]]-Tabla15[[#This Row],[Columna23]]</f>
        <v>1374215.4509999999</v>
      </c>
      <c r="E143" s="53">
        <f>+Tabla15[[#This Row],[DPP ORO]]</f>
        <v>1210946.3799999999</v>
      </c>
      <c r="F143" s="53">
        <f>+Tabla15[[#This Row],[DPP PLATINO]]</f>
        <v>1198836.9161999999</v>
      </c>
      <c r="G143" s="53">
        <f>+Tabla15[[#This Row],[PRECIO INSTALADOR
( CON  IVA)]]/0.7</f>
        <v>2066489.4</v>
      </c>
      <c r="H143" s="45">
        <f>+Tabla15[[#This Row],[PRECIO INSTALADOR
( CON  IVA)]]*5%</f>
        <v>72327.129000000001</v>
      </c>
      <c r="I143" s="18" t="e">
        <f t="shared" si="26"/>
        <v>#REF!</v>
      </c>
      <c r="J143" s="18" t="e">
        <f t="shared" si="27"/>
        <v>#REF!</v>
      </c>
      <c r="K143" s="17" t="e">
        <f t="shared" si="28"/>
        <v>#REF!</v>
      </c>
      <c r="L143" s="17" t="e">
        <f>+M143/#REF!</f>
        <v>#REF!</v>
      </c>
      <c r="M143" s="17">
        <f t="shared" si="29"/>
        <v>1198836.9161999999</v>
      </c>
      <c r="N143" s="19">
        <f t="shared" si="25"/>
        <v>12109.4638</v>
      </c>
      <c r="O143" s="18" t="e">
        <f>+P143/#REF!</f>
        <v>#REF!</v>
      </c>
      <c r="P143" s="21">
        <f>Tabla15[[#This Row],[ORO SIN IVA]]*1.19</f>
        <v>1210946.3799999999</v>
      </c>
      <c r="Q143" s="18" t="e">
        <f>+R143/#REF!</f>
        <v>#REF!</v>
      </c>
      <c r="R143" s="16">
        <f>Tabla15[[#This Row],[INSTALLER SIN IVA]]*1.19</f>
        <v>1446542.5799999998</v>
      </c>
      <c r="S143" s="18">
        <v>1017602</v>
      </c>
      <c r="T143" s="18">
        <v>1215582</v>
      </c>
    </row>
    <row r="144" spans="1:20" ht="40.5" x14ac:dyDescent="0.25">
      <c r="A144" s="47" t="s">
        <v>97</v>
      </c>
      <c r="B144" s="47" t="s">
        <v>344</v>
      </c>
      <c r="C144" s="53">
        <f>+Tabla15[[#This Row],[PRECIO SUGERIDO INSTALADOR]]</f>
        <v>1591110.92</v>
      </c>
      <c r="D144" s="53">
        <f>+Tabla15[[#This Row],[PRECIO INSTALADOR
( CON  IVA)]]-Tabla15[[#This Row],[Columna23]]</f>
        <v>1511555.3739999998</v>
      </c>
      <c r="E144" s="53">
        <f>+Tabla15[[#This Row],[DPP ORO]]</f>
        <v>1332000.3199999998</v>
      </c>
      <c r="F144" s="53">
        <f>+Tabla15[[#This Row],[DPP PLATINO]]</f>
        <v>1318680.3167999999</v>
      </c>
      <c r="G144" s="53">
        <f>+Tabla15[[#This Row],[PRECIO INSTALADOR
( CON  IVA)]]/0.7</f>
        <v>2273015.6</v>
      </c>
      <c r="H144" s="45">
        <f>+Tabla15[[#This Row],[PRECIO INSTALADOR
( CON  IVA)]]*5%</f>
        <v>79555.546000000002</v>
      </c>
      <c r="I144" s="18" t="e">
        <f t="shared" si="26"/>
        <v>#REF!</v>
      </c>
      <c r="J144" s="18" t="e">
        <f t="shared" si="27"/>
        <v>#REF!</v>
      </c>
      <c r="K144" s="17" t="e">
        <f t="shared" si="28"/>
        <v>#REF!</v>
      </c>
      <c r="L144" s="17" t="e">
        <f>+M144/#REF!</f>
        <v>#REF!</v>
      </c>
      <c r="M144" s="17">
        <f t="shared" si="29"/>
        <v>1318680.3167999999</v>
      </c>
      <c r="N144" s="19">
        <f t="shared" si="25"/>
        <v>13320.003199999999</v>
      </c>
      <c r="O144" s="18" t="e">
        <f>+P144/#REF!</f>
        <v>#REF!</v>
      </c>
      <c r="P144" s="21">
        <f>Tabla15[[#This Row],[ORO SIN IVA]]*1.19</f>
        <v>1332000.3199999998</v>
      </c>
      <c r="Q144" s="18" t="e">
        <f>+R144/#REF!</f>
        <v>#REF!</v>
      </c>
      <c r="R144" s="16">
        <f>Tabla15[[#This Row],[INSTALLER SIN IVA]]*1.19</f>
        <v>1591110.92</v>
      </c>
      <c r="S144" s="18">
        <v>1119328</v>
      </c>
      <c r="T144" s="18">
        <v>1337068</v>
      </c>
    </row>
    <row r="145" spans="1:20" ht="27" x14ac:dyDescent="0.25">
      <c r="A145" s="47" t="s">
        <v>27</v>
      </c>
      <c r="B145" s="47" t="s">
        <v>26</v>
      </c>
      <c r="C145" s="53">
        <f>+Tabla15[[#This Row],[PRECIO SUGERIDO INSTALADOR]]</f>
        <v>1641802.54</v>
      </c>
      <c r="D145" s="53">
        <f>+Tabla15[[#This Row],[PRECIO INSTALADOR
( CON  IVA)]]-Tabla15[[#This Row],[Columna23]]</f>
        <v>1559712.4129999999</v>
      </c>
      <c r="E145" s="53">
        <f>+Tabla15[[#This Row],[DPP ORO]]</f>
        <v>1374371.46</v>
      </c>
      <c r="F145" s="53">
        <f>+Tabla15[[#This Row],[DPP PLATINO]]</f>
        <v>1360627.7453999999</v>
      </c>
      <c r="G145" s="53">
        <f>+Tabla15[[#This Row],[PRECIO INSTALADOR
( CON  IVA)]]/0.7</f>
        <v>2345432.2000000002</v>
      </c>
      <c r="H145" s="45">
        <f>+Tabla15[[#This Row],[PRECIO INSTALADOR
( CON  IVA)]]*5%</f>
        <v>82090.127000000008</v>
      </c>
      <c r="I145" s="18" t="e">
        <f t="shared" si="26"/>
        <v>#REF!</v>
      </c>
      <c r="J145" s="18" t="e">
        <f t="shared" si="27"/>
        <v>#REF!</v>
      </c>
      <c r="K145" s="17" t="e">
        <f t="shared" si="28"/>
        <v>#REF!</v>
      </c>
      <c r="L145" s="17" t="e">
        <f>+M145/#REF!</f>
        <v>#REF!</v>
      </c>
      <c r="M145" s="17">
        <f t="shared" si="29"/>
        <v>1360627.7453999999</v>
      </c>
      <c r="N145" s="19">
        <f t="shared" si="25"/>
        <v>13743.714599999999</v>
      </c>
      <c r="O145" s="18" t="e">
        <f>+P145/#REF!</f>
        <v>#REF!</v>
      </c>
      <c r="P145" s="23">
        <f>Tabla15[[#This Row],[ORO SIN IVA]]*1.19</f>
        <v>1374371.46</v>
      </c>
      <c r="Q145" s="18" t="e">
        <f>+R145/#REF!</f>
        <v>#REF!</v>
      </c>
      <c r="R145" s="22">
        <f>Tabla15[[#This Row],[INSTALLER SIN IVA]]*1.19</f>
        <v>1641802.54</v>
      </c>
      <c r="S145" s="18">
        <v>1154934</v>
      </c>
      <c r="T145" s="18">
        <v>1379666</v>
      </c>
    </row>
    <row r="146" spans="1:20" ht="27" x14ac:dyDescent="0.25">
      <c r="A146" s="47" t="s">
        <v>106</v>
      </c>
      <c r="B146" s="47" t="s">
        <v>345</v>
      </c>
      <c r="C146" s="53">
        <f>+Tabla15[[#This Row],[PRECIO SUGERIDO INSTALADOR]]</f>
        <v>3267868.52</v>
      </c>
      <c r="D146" s="53">
        <f>+Tabla15[[#This Row],[PRECIO INSTALADOR
( CON  IVA)]]-Tabla15[[#This Row],[Columna23]]</f>
        <v>3104475.094</v>
      </c>
      <c r="E146" s="53">
        <f>+Tabla15[[#This Row],[DPP ORO]]</f>
        <v>2638270.46</v>
      </c>
      <c r="F146" s="53">
        <f>+Tabla15[[#This Row],[DPP PLATINO]]</f>
        <v>2611887.7554000001</v>
      </c>
      <c r="G146" s="53">
        <f>+Tabla15[[#This Row],[PRECIO INSTALADOR
( CON  IVA)]]/0.7</f>
        <v>4668383.6000000006</v>
      </c>
      <c r="H146" s="45">
        <f>+Tabla15[[#This Row],[PRECIO INSTALADOR
( CON  IVA)]]*5%</f>
        <v>163393.42600000001</v>
      </c>
      <c r="I146" s="18" t="e">
        <f t="shared" si="26"/>
        <v>#REF!</v>
      </c>
      <c r="J146" s="18" t="e">
        <f t="shared" si="27"/>
        <v>#REF!</v>
      </c>
      <c r="K146" s="17" t="e">
        <f t="shared" si="28"/>
        <v>#REF!</v>
      </c>
      <c r="L146" s="17" t="e">
        <f>+M146/#REF!</f>
        <v>#REF!</v>
      </c>
      <c r="M146" s="17">
        <f t="shared" si="29"/>
        <v>2611887.7554000001</v>
      </c>
      <c r="N146" s="19">
        <f t="shared" si="25"/>
        <v>26382.704600000001</v>
      </c>
      <c r="O146" s="18" t="e">
        <f>+P146/#REF!</f>
        <v>#REF!</v>
      </c>
      <c r="P146" s="23">
        <f>Tabla15[[#This Row],[ORO SIN IVA]]*1.19</f>
        <v>2638270.46</v>
      </c>
      <c r="Q146" s="18" t="e">
        <f>+R146/#REF!</f>
        <v>#REF!</v>
      </c>
      <c r="R146" s="22">
        <f>Tabla15[[#This Row],[INSTALLER SIN IVA]]*1.19</f>
        <v>3267868.52</v>
      </c>
      <c r="S146" s="18">
        <v>2217034</v>
      </c>
      <c r="T146" s="18">
        <v>2746108</v>
      </c>
    </row>
    <row r="147" spans="1:20" ht="27" x14ac:dyDescent="0.25">
      <c r="A147" s="47" t="s">
        <v>12</v>
      </c>
      <c r="B147" s="47" t="s">
        <v>11</v>
      </c>
      <c r="C147" s="53">
        <f>+Tabla15[[#This Row],[PRECIO SUGERIDO INSTALADOR]]</f>
        <v>2167665.92</v>
      </c>
      <c r="D147" s="53">
        <f>+Tabla15[[#This Row],[PRECIO INSTALADOR
( CON  IVA)]]-Tabla15[[#This Row],[Columna23]]</f>
        <v>2059282.6239999998</v>
      </c>
      <c r="E147" s="53">
        <f>+Tabla15[[#This Row],[DPP ORO]]</f>
        <v>1814678.5999999999</v>
      </c>
      <c r="F147" s="53">
        <f>+Tabla15[[#This Row],[DPP PLATINO]]</f>
        <v>1796531.8139999998</v>
      </c>
      <c r="G147" s="53">
        <f>+Tabla15[[#This Row],[PRECIO INSTALADOR
( CON  IVA)]]/0.7</f>
        <v>3096665.6</v>
      </c>
      <c r="H147" s="45">
        <f>+Tabla15[[#This Row],[PRECIO INSTALADOR
( CON  IVA)]]*5%</f>
        <v>108383.296</v>
      </c>
      <c r="I147" s="18" t="e">
        <f t="shared" si="26"/>
        <v>#REF!</v>
      </c>
      <c r="J147" s="18" t="e">
        <f t="shared" si="27"/>
        <v>#REF!</v>
      </c>
      <c r="K147" s="17" t="e">
        <f t="shared" si="28"/>
        <v>#REF!</v>
      </c>
      <c r="L147" s="17" t="e">
        <f>+M147/#REF!</f>
        <v>#REF!</v>
      </c>
      <c r="M147" s="17">
        <f t="shared" si="29"/>
        <v>1796531.8139999998</v>
      </c>
      <c r="N147" s="19">
        <f t="shared" si="25"/>
        <v>18146.786</v>
      </c>
      <c r="O147" s="18" t="e">
        <f>+P147/#REF!</f>
        <v>#REF!</v>
      </c>
      <c r="P147" s="23">
        <f>Tabla15[[#This Row],[ORO SIN IVA]]*1.19</f>
        <v>1814678.5999999999</v>
      </c>
      <c r="Q147" s="18" t="e">
        <f>+R147/#REF!</f>
        <v>#REF!</v>
      </c>
      <c r="R147" s="22">
        <f>Tabla15[[#This Row],[INSTALLER SIN IVA]]*1.19</f>
        <v>2167665.92</v>
      </c>
      <c r="S147" s="18">
        <v>1524940</v>
      </c>
      <c r="T147" s="18">
        <v>1821568</v>
      </c>
    </row>
    <row r="148" spans="1:20" ht="30" customHeight="1" x14ac:dyDescent="0.25">
      <c r="A148" s="47" t="s">
        <v>107</v>
      </c>
      <c r="B148" s="47" t="s">
        <v>346</v>
      </c>
      <c r="C148" s="53">
        <f>+Tabla15[[#This Row],[PRECIO SUGERIDO INSTALADOR]]</f>
        <v>2432112.48</v>
      </c>
      <c r="D148" s="53">
        <f>+Tabla15[[#This Row],[PRECIO INSTALADOR
( CON  IVA)]]-Tabla15[[#This Row],[Columna23]]</f>
        <v>2310506.8560000001</v>
      </c>
      <c r="E148" s="53">
        <f>+Tabla15[[#This Row],[DPP ORO]]</f>
        <v>2035985.2799999998</v>
      </c>
      <c r="F148" s="53">
        <f>+Tabla15[[#This Row],[DPP PLATINO]]</f>
        <v>2015625.4271999998</v>
      </c>
      <c r="G148" s="53">
        <f>+Tabla15[[#This Row],[PRECIO INSTALADOR
( CON  IVA)]]/0.7</f>
        <v>3474446.4000000004</v>
      </c>
      <c r="H148" s="45">
        <f>+Tabla15[[#This Row],[PRECIO INSTALADOR
( CON  IVA)]]*5%</f>
        <v>121605.62400000001</v>
      </c>
      <c r="I148" s="18" t="e">
        <f>+Q148</f>
        <v>#REF!</v>
      </c>
      <c r="J148" s="18" t="e">
        <f>+O148</f>
        <v>#REF!</v>
      </c>
      <c r="K148" s="17" t="e">
        <f>+L148</f>
        <v>#REF!</v>
      </c>
      <c r="L148" s="17" t="e">
        <f>+M148/#REF!</f>
        <v>#REF!</v>
      </c>
      <c r="M148" s="17">
        <f>+P148-N148</f>
        <v>2015625.4271999998</v>
      </c>
      <c r="N148" s="19">
        <f>+P148*1%</f>
        <v>20359.852799999997</v>
      </c>
      <c r="O148" s="18" t="e">
        <f>+P148/#REF!</f>
        <v>#REF!</v>
      </c>
      <c r="P148" s="21">
        <f>Tabla15[[#This Row],[ORO SIN IVA]]*1.19</f>
        <v>2035985.2799999998</v>
      </c>
      <c r="Q148" s="18" t="e">
        <f>+R148/#REF!</f>
        <v>#REF!</v>
      </c>
      <c r="R148" s="16">
        <f>Tabla15[[#This Row],[INSTALLER SIN IVA]]*1.19</f>
        <v>2432112.48</v>
      </c>
      <c r="S148" s="18">
        <v>1710912</v>
      </c>
      <c r="T148" s="18">
        <v>2043792</v>
      </c>
    </row>
    <row r="149" spans="1:20" ht="67.5" x14ac:dyDescent="0.25">
      <c r="A149" s="47" t="s">
        <v>87</v>
      </c>
      <c r="B149" s="47" t="s">
        <v>347</v>
      </c>
      <c r="C149" s="53">
        <f>+Tabla15[[#This Row],[PRECIO SUGERIDO INSTALADOR]]</f>
        <v>3115251.02</v>
      </c>
      <c r="D149" s="53">
        <f>+Tabla15[[#This Row],[PRECIO INSTALADOR
( CON  IVA)]]-Tabla15[[#This Row],[Columna23]]</f>
        <v>2959488.469</v>
      </c>
      <c r="E149" s="53">
        <f>+Tabla15[[#This Row],[DPP ORO]]</f>
        <v>2501886.94</v>
      </c>
      <c r="F149" s="53">
        <f>+Tabla15[[#This Row],[DPP PLATINO]]</f>
        <v>2476868.0705999997</v>
      </c>
      <c r="G149" s="53">
        <f>+Tabla15[[#This Row],[PRECIO INSTALADOR
( CON  IVA)]]/0.7</f>
        <v>4450358.6000000006</v>
      </c>
      <c r="H149" s="45">
        <f>+Tabla15[[#This Row],[PRECIO INSTALADOR
( CON  IVA)]]*5%</f>
        <v>155762.55100000001</v>
      </c>
      <c r="I149" s="18" t="e">
        <f t="shared" si="26"/>
        <v>#REF!</v>
      </c>
      <c r="J149" s="18" t="e">
        <f t="shared" si="27"/>
        <v>#REF!</v>
      </c>
      <c r="K149" s="17" t="e">
        <f t="shared" si="28"/>
        <v>#REF!</v>
      </c>
      <c r="L149" s="17" t="e">
        <f>+M149/#REF!</f>
        <v>#REF!</v>
      </c>
      <c r="M149" s="17">
        <f t="shared" si="29"/>
        <v>2476868.0705999997</v>
      </c>
      <c r="N149" s="19">
        <f t="shared" si="25"/>
        <v>25018.8694</v>
      </c>
      <c r="O149" s="18" t="e">
        <f>+P149/#REF!</f>
        <v>#REF!</v>
      </c>
      <c r="P149" s="23">
        <f>Tabla15[[#This Row],[ORO SIN IVA]]*1.19</f>
        <v>2501886.94</v>
      </c>
      <c r="Q149" s="18" t="e">
        <f>+R149/#REF!</f>
        <v>#REF!</v>
      </c>
      <c r="R149" s="22">
        <f>Tabla15[[#This Row],[INSTALLER SIN IVA]]*1.19</f>
        <v>3115251.02</v>
      </c>
      <c r="S149" s="18">
        <v>2102426</v>
      </c>
      <c r="T149" s="18">
        <v>2617858</v>
      </c>
    </row>
    <row r="150" spans="1:20" ht="67.5" x14ac:dyDescent="0.25">
      <c r="A150" s="47" t="s">
        <v>348</v>
      </c>
      <c r="B150" s="47" t="s">
        <v>349</v>
      </c>
      <c r="C150" s="53">
        <f>+Tabla15[[#This Row],[PRECIO SUGERIDO INSTALADOR]]</f>
        <v>4450326.3</v>
      </c>
      <c r="D150" s="53">
        <f>+Tabla15[[#This Row],[PRECIO INSTALADOR
( CON  IVA)]]-Tabla15[[#This Row],[Columna23]]</f>
        <v>4227809.9849999994</v>
      </c>
      <c r="E150" s="53">
        <f>+Tabla15[[#This Row],[DPP ORO]]</f>
        <v>3574053.1399999997</v>
      </c>
      <c r="F150" s="53">
        <f>+Tabla15[[#This Row],[DPP PLATINO]]</f>
        <v>3538312.6085999995</v>
      </c>
      <c r="G150" s="53">
        <f>+Tabla15[[#This Row],[PRECIO INSTALADOR
( CON  IVA)]]/0.7</f>
        <v>6357609</v>
      </c>
      <c r="H150" s="45">
        <f>+Tabla15[[#This Row],[PRECIO INSTALADOR
( CON  IVA)]]*5%</f>
        <v>222516.315</v>
      </c>
      <c r="I150" s="18" t="e">
        <f t="shared" si="26"/>
        <v>#REF!</v>
      </c>
      <c r="J150" s="18" t="e">
        <f t="shared" si="27"/>
        <v>#REF!</v>
      </c>
      <c r="K150" s="17" t="e">
        <f t="shared" si="28"/>
        <v>#REF!</v>
      </c>
      <c r="L150" s="17" t="e">
        <f>+M150/#REF!</f>
        <v>#REF!</v>
      </c>
      <c r="M150" s="17">
        <f t="shared" si="29"/>
        <v>3538312.6085999995</v>
      </c>
      <c r="N150" s="19">
        <f t="shared" si="25"/>
        <v>35740.5314</v>
      </c>
      <c r="O150" s="18" t="e">
        <f>+P150/#REF!</f>
        <v>#REF!</v>
      </c>
      <c r="P150" s="23">
        <f>Tabla15[[#This Row],[ORO SIN IVA]]*1.19</f>
        <v>3574053.1399999997</v>
      </c>
      <c r="Q150" s="18" t="e">
        <f>+R150/#REF!</f>
        <v>#REF!</v>
      </c>
      <c r="R150" s="22">
        <f>Tabla15[[#This Row],[INSTALLER SIN IVA]]*1.19</f>
        <v>4450326.3</v>
      </c>
      <c r="S150" s="18">
        <v>3003406</v>
      </c>
      <c r="T150" s="18">
        <v>3739770</v>
      </c>
    </row>
    <row r="151" spans="1:20" ht="67.5" x14ac:dyDescent="0.25">
      <c r="A151" s="47" t="s">
        <v>350</v>
      </c>
      <c r="B151" s="47" t="s">
        <v>351</v>
      </c>
      <c r="C151" s="53">
        <f>+Tabla15[[#This Row],[PRECIO SUGERIDO INSTALADOR]]</f>
        <v>5637034.7599999998</v>
      </c>
      <c r="D151" s="53">
        <f>+Tabla15[[#This Row],[PRECIO INSTALADOR
( CON  IVA)]]-Tabla15[[#This Row],[Columna23]]</f>
        <v>5355183.0219999999</v>
      </c>
      <c r="E151" s="53">
        <f>+Tabla15[[#This Row],[DPP ORO]]</f>
        <v>4527155.08</v>
      </c>
      <c r="F151" s="53">
        <f>+Tabla15[[#This Row],[DPP PLATINO]]</f>
        <v>4481883.5291999998</v>
      </c>
      <c r="G151" s="53">
        <f>+Tabla15[[#This Row],[PRECIO INSTALADOR
( CON  IVA)]]/0.7</f>
        <v>8052906.7999999998</v>
      </c>
      <c r="H151" s="45">
        <f>+Tabla15[[#This Row],[PRECIO INSTALADOR
( CON  IVA)]]*5%</f>
        <v>281851.73800000001</v>
      </c>
      <c r="I151" s="18" t="e">
        <f t="shared" si="26"/>
        <v>#REF!</v>
      </c>
      <c r="J151" s="18" t="e">
        <f t="shared" si="27"/>
        <v>#REF!</v>
      </c>
      <c r="K151" s="17" t="e">
        <f t="shared" si="28"/>
        <v>#REF!</v>
      </c>
      <c r="L151" s="17" t="e">
        <f>+M151/#REF!</f>
        <v>#REF!</v>
      </c>
      <c r="M151" s="17">
        <f t="shared" si="29"/>
        <v>4481883.5291999998</v>
      </c>
      <c r="N151" s="19">
        <f t="shared" si="25"/>
        <v>45271.550800000005</v>
      </c>
      <c r="O151" s="18" t="e">
        <f>+P151/#REF!</f>
        <v>#REF!</v>
      </c>
      <c r="P151" s="23">
        <f>Tabla15[[#This Row],[ORO SIN IVA]]*1.19</f>
        <v>4527155.08</v>
      </c>
      <c r="Q151" s="18" t="e">
        <f>+R151/#REF!</f>
        <v>#REF!</v>
      </c>
      <c r="R151" s="22">
        <f>Tabla15[[#This Row],[INSTALLER SIN IVA]]*1.19</f>
        <v>5637034.7599999998</v>
      </c>
      <c r="S151" s="18">
        <v>3804332</v>
      </c>
      <c r="T151" s="18">
        <v>4737004</v>
      </c>
    </row>
    <row r="152" spans="1:20" ht="67.5" x14ac:dyDescent="0.25">
      <c r="A152" s="47" t="s">
        <v>352</v>
      </c>
      <c r="B152" s="47" t="s">
        <v>353</v>
      </c>
      <c r="C152" s="53">
        <f>+Tabla15[[#This Row],[PRECIO SUGERIDO INSTALADOR]]</f>
        <v>5340255.8999999994</v>
      </c>
      <c r="D152" s="53">
        <f>+Tabla15[[#This Row],[PRECIO INSTALADOR
( CON  IVA)]]-Tabla15[[#This Row],[Columna23]]</f>
        <v>5073243.1049999995</v>
      </c>
      <c r="E152" s="53">
        <f>+Tabla15[[#This Row],[DPP ORO]]</f>
        <v>4288936.12</v>
      </c>
      <c r="F152" s="53">
        <f>+Tabla15[[#This Row],[DPP PLATINO]]</f>
        <v>4246046.7588</v>
      </c>
      <c r="G152" s="53">
        <f>+Tabla15[[#This Row],[PRECIO INSTALADOR
( CON  IVA)]]/0.7</f>
        <v>7628937</v>
      </c>
      <c r="H152" s="45">
        <f>+Tabla15[[#This Row],[PRECIO INSTALADOR
( CON  IVA)]]*5%</f>
        <v>267012.79499999998</v>
      </c>
      <c r="I152" s="18" t="e">
        <f t="shared" si="26"/>
        <v>#REF!</v>
      </c>
      <c r="J152" s="18" t="e">
        <f t="shared" si="27"/>
        <v>#REF!</v>
      </c>
      <c r="K152" s="17" t="e">
        <f t="shared" si="28"/>
        <v>#REF!</v>
      </c>
      <c r="L152" s="17" t="e">
        <f>+M152/#REF!</f>
        <v>#REF!</v>
      </c>
      <c r="M152" s="17">
        <f t="shared" si="29"/>
        <v>4246046.7588</v>
      </c>
      <c r="N152" s="19">
        <f t="shared" si="25"/>
        <v>42889.361199999999</v>
      </c>
      <c r="O152" s="18" t="e">
        <f>+P152/#REF!</f>
        <v>#REF!</v>
      </c>
      <c r="P152" s="22">
        <f>Tabla15[[#This Row],[ORO SIN IVA]]*1.19</f>
        <v>4288936.12</v>
      </c>
      <c r="Q152" s="18" t="e">
        <f>+R152/#REF!</f>
        <v>#REF!</v>
      </c>
      <c r="R152" s="21">
        <f>Tabla15[[#This Row],[INSTALLER SIN IVA]]*1.19</f>
        <v>5340255.8999999994</v>
      </c>
      <c r="S152" s="18">
        <v>3604148</v>
      </c>
      <c r="T152" s="18">
        <v>4487610</v>
      </c>
    </row>
    <row r="153" spans="1:20" ht="148.5" x14ac:dyDescent="0.25">
      <c r="A153" s="49" t="s">
        <v>354</v>
      </c>
      <c r="B153" s="50" t="s">
        <v>355</v>
      </c>
      <c r="C153" s="53">
        <f>+Tabla15[[#This Row],[PRECIO SUGERIDO INSTALADOR]]</f>
        <v>12572154.84</v>
      </c>
      <c r="D153" s="53">
        <f>+Tabla15[[#This Row],[PRECIO INSTALADOR
( CON  IVA)]]-Tabla15[[#This Row],[Columna23]]</f>
        <v>11943547.097999999</v>
      </c>
      <c r="E153" s="53">
        <f>+Tabla15[[#This Row],[DPP ORO]]</f>
        <v>12478052.02</v>
      </c>
      <c r="F153" s="53">
        <f>+Tabla15[[#This Row],[DPP PLATINO]]</f>
        <v>12353271.4998</v>
      </c>
      <c r="G153" s="53">
        <f>+Tabla15[[#This Row],[PRECIO INSTALADOR
( CON  IVA)]]/0.7</f>
        <v>17960221.199999999</v>
      </c>
      <c r="H153" s="45">
        <f>+Tabla15[[#This Row],[PRECIO INSTALADOR
( CON  IVA)]]*5%</f>
        <v>628607.74199999997</v>
      </c>
      <c r="I153" s="18" t="e">
        <f>+Q153</f>
        <v>#REF!</v>
      </c>
      <c r="J153" s="18" t="e">
        <f>+O153</f>
        <v>#REF!</v>
      </c>
      <c r="K153" s="17" t="e">
        <f>+L153</f>
        <v>#REF!</v>
      </c>
      <c r="L153" s="17" t="e">
        <f>+M153/#REF!</f>
        <v>#REF!</v>
      </c>
      <c r="M153" s="17">
        <f>+P153-N153</f>
        <v>12353271.4998</v>
      </c>
      <c r="N153" s="19">
        <f>+P153*1%</f>
        <v>124780.5202</v>
      </c>
      <c r="O153" s="18" t="e">
        <f>+P153/#REF!</f>
        <v>#REF!</v>
      </c>
      <c r="P153" s="22">
        <f>Tabla15[[#This Row],[ORO SIN IVA]]*1.19</f>
        <v>12478052.02</v>
      </c>
      <c r="Q153" s="18" t="e">
        <f>+R153/#REF!</f>
        <v>#REF!</v>
      </c>
      <c r="R153" s="21">
        <f>Tabla15[[#This Row],[INSTALLER SIN IVA]]*1.19</f>
        <v>12572154.84</v>
      </c>
      <c r="S153" s="18">
        <v>10485758</v>
      </c>
      <c r="T153" s="18">
        <v>10564836</v>
      </c>
    </row>
    <row r="154" spans="1:20" ht="148.5" x14ac:dyDescent="0.25">
      <c r="A154" s="49" t="s">
        <v>356</v>
      </c>
      <c r="B154" s="50" t="s">
        <v>357</v>
      </c>
      <c r="C154" s="53">
        <f>+Tabla15[[#This Row],[PRECIO SUGERIDO INSTALADOR]]</f>
        <v>5860105.0199999996</v>
      </c>
      <c r="D154" s="53">
        <f>+Tabla15[[#This Row],[PRECIO INSTALADOR
( CON  IVA)]]-Tabla15[[#This Row],[Columna23]]</f>
        <v>5567099.7689999994</v>
      </c>
      <c r="E154" s="53">
        <f>+Tabla15[[#This Row],[DPP ORO]]</f>
        <v>5816196.3999999994</v>
      </c>
      <c r="F154" s="53">
        <f>+Tabla15[[#This Row],[DPP PLATINO]]</f>
        <v>5758034.4359999998</v>
      </c>
      <c r="G154" s="53">
        <f>+Tabla15[[#This Row],[PRECIO INSTALADOR
( CON  IVA)]]/0.7</f>
        <v>8371578.5999999996</v>
      </c>
      <c r="H154" s="45">
        <f>+Tabla15[[#This Row],[PRECIO INSTALADOR
( CON  IVA)]]*5%</f>
        <v>293005.25099999999</v>
      </c>
      <c r="I154" s="18" t="e">
        <f t="shared" si="26"/>
        <v>#REF!</v>
      </c>
      <c r="J154" s="18" t="e">
        <f t="shared" si="27"/>
        <v>#REF!</v>
      </c>
      <c r="K154" s="17" t="e">
        <f t="shared" si="28"/>
        <v>#REF!</v>
      </c>
      <c r="L154" s="17" t="e">
        <f>+M154/#REF!</f>
        <v>#REF!</v>
      </c>
      <c r="M154" s="17">
        <f t="shared" si="29"/>
        <v>5758034.4359999998</v>
      </c>
      <c r="N154" s="19">
        <f t="shared" si="25"/>
        <v>58161.963999999993</v>
      </c>
      <c r="O154" s="18" t="e">
        <f>+P154/#REF!</f>
        <v>#REF!</v>
      </c>
      <c r="P154" s="20">
        <f>Tabla15[[#This Row],[ORO SIN IVA]]*1.19</f>
        <v>5816196.3999999994</v>
      </c>
      <c r="Q154" s="18" t="e">
        <f>+R154/#REF!</f>
        <v>#REF!</v>
      </c>
      <c r="R154" s="19">
        <f>Tabla15[[#This Row],[INSTALLER SIN IVA]]*1.19</f>
        <v>5860105.0199999996</v>
      </c>
      <c r="S154" s="18">
        <v>4887560</v>
      </c>
      <c r="T154" s="18">
        <v>4924458</v>
      </c>
    </row>
    <row r="155" spans="1:20" ht="81" x14ac:dyDescent="0.25">
      <c r="A155" s="49" t="s">
        <v>358</v>
      </c>
      <c r="B155" s="50" t="s">
        <v>359</v>
      </c>
      <c r="C155" s="53">
        <f>+Tabla15[[#This Row],[PRECIO SUGERIDO INSTALADOR]]</f>
        <v>9128923.1600000001</v>
      </c>
      <c r="D155" s="53">
        <f>+Tabla15[[#This Row],[PRECIO INSTALADOR
( CON  IVA)]]-Tabla15[[#This Row],[Columna23]]</f>
        <v>8672477.0020000003</v>
      </c>
      <c r="E155" s="53">
        <f>+Tabla15[[#This Row],[DPP ORO]]</f>
        <v>7450763.7399999993</v>
      </c>
      <c r="F155" s="53">
        <f>+Tabla15[[#This Row],[DPP PLATINO]]</f>
        <v>7376256.1025999989</v>
      </c>
      <c r="G155" s="53">
        <f>+Tabla15[[#This Row],[PRECIO INSTALADOR
( CON  IVA)]]/0.7</f>
        <v>13041318.800000001</v>
      </c>
      <c r="H155" s="45">
        <f>+Tabla15[[#This Row],[PRECIO INSTALADOR
( CON  IVA)]]*5%</f>
        <v>456446.15800000005</v>
      </c>
      <c r="I155" s="18" t="e">
        <f t="shared" si="26"/>
        <v>#REF!</v>
      </c>
      <c r="J155" s="18" t="e">
        <f t="shared" si="27"/>
        <v>#REF!</v>
      </c>
      <c r="K155" s="17" t="e">
        <f t="shared" si="28"/>
        <v>#REF!</v>
      </c>
      <c r="L155" s="17" t="e">
        <f>+M155/#REF!</f>
        <v>#REF!</v>
      </c>
      <c r="M155" s="17">
        <f t="shared" si="29"/>
        <v>7376256.1025999989</v>
      </c>
      <c r="N155" s="19">
        <f t="shared" si="25"/>
        <v>74507.637399999992</v>
      </c>
      <c r="O155" s="18" t="e">
        <f>+P155/#REF!</f>
        <v>#REF!</v>
      </c>
      <c r="P155" s="20">
        <f>Tabla15[[#This Row],[ORO SIN IVA]]*1.19</f>
        <v>7450763.7399999993</v>
      </c>
      <c r="Q155" s="18" t="e">
        <f>+R155/#REF!</f>
        <v>#REF!</v>
      </c>
      <c r="R155" s="19">
        <f>Tabla15[[#This Row],[INSTALLER SIN IVA]]*1.19</f>
        <v>9128923.1600000001</v>
      </c>
      <c r="S155" s="18">
        <v>6261146</v>
      </c>
      <c r="T155" s="18">
        <v>7671364.0000000009</v>
      </c>
    </row>
    <row r="156" spans="1:20" ht="81" x14ac:dyDescent="0.25">
      <c r="A156" s="49" t="s">
        <v>360</v>
      </c>
      <c r="B156" s="50" t="s">
        <v>361</v>
      </c>
      <c r="C156" s="53">
        <f>+Tabla15[[#This Row],[PRECIO SUGERIDO INSTALADOR]]</f>
        <v>9298543.379999999</v>
      </c>
      <c r="D156" s="53">
        <f>+Tabla15[[#This Row],[PRECIO INSTALADOR
( CON  IVA)]]-Tabla15[[#This Row],[Columna23]]</f>
        <v>8833616.2109999992</v>
      </c>
      <c r="E156" s="53">
        <f>+Tabla15[[#This Row],[DPP ORO]]</f>
        <v>7589136.9399999995</v>
      </c>
      <c r="F156" s="53">
        <f>+Tabla15[[#This Row],[DPP PLATINO]]</f>
        <v>7513245.5705999993</v>
      </c>
      <c r="G156" s="53">
        <f>+Tabla15[[#This Row],[PRECIO INSTALADOR
( CON  IVA)]]/0.7</f>
        <v>13283633.399999999</v>
      </c>
      <c r="H156" s="45">
        <f>+Tabla15[[#This Row],[PRECIO INSTALADOR
( CON  IVA)]]*5%</f>
        <v>464927.16899999999</v>
      </c>
      <c r="I156" s="18" t="e">
        <f t="shared" si="26"/>
        <v>#REF!</v>
      </c>
      <c r="J156" s="18" t="e">
        <f t="shared" si="27"/>
        <v>#REF!</v>
      </c>
      <c r="K156" s="17" t="e">
        <f t="shared" si="28"/>
        <v>#REF!</v>
      </c>
      <c r="L156" s="17" t="e">
        <f>+M156/#REF!</f>
        <v>#REF!</v>
      </c>
      <c r="M156" s="17">
        <f t="shared" si="29"/>
        <v>7513245.5705999993</v>
      </c>
      <c r="N156" s="19">
        <f t="shared" si="25"/>
        <v>75891.369399999996</v>
      </c>
      <c r="O156" s="18" t="e">
        <f>+P156/#REF!</f>
        <v>#REF!</v>
      </c>
      <c r="P156" s="20">
        <f>Tabla15[[#This Row],[ORO SIN IVA]]*1.19</f>
        <v>7589136.9399999995</v>
      </c>
      <c r="Q156" s="18" t="e">
        <f>+R156/#REF!</f>
        <v>#REF!</v>
      </c>
      <c r="R156" s="19">
        <f>Tabla15[[#This Row],[INSTALLER SIN IVA]]*1.19</f>
        <v>9298543.379999999</v>
      </c>
      <c r="S156" s="18">
        <v>6377426</v>
      </c>
      <c r="T156" s="18">
        <v>7813901.9999999991</v>
      </c>
    </row>
    <row r="157" spans="1:20" ht="40.5" x14ac:dyDescent="0.25">
      <c r="A157" s="49" t="s">
        <v>80</v>
      </c>
      <c r="B157" s="50" t="s">
        <v>362</v>
      </c>
      <c r="C157" s="53">
        <f>+Tabla15[[#This Row],[PRECIO SUGERIDO INSTALADOR]]</f>
        <v>12558769.719999999</v>
      </c>
      <c r="D157" s="53">
        <f>+Tabla15[[#This Row],[PRECIO INSTALADOR
( CON  IVA)]]-Tabla15[[#This Row],[Columna23]]</f>
        <v>11930831.233999999</v>
      </c>
      <c r="E157" s="53">
        <f>+Tabla15[[#This Row],[DPP ORO]]</f>
        <v>10250062.619999999</v>
      </c>
      <c r="F157" s="53">
        <f>+Tabla15[[#This Row],[DPP PLATINO]]</f>
        <v>10147561.993799999</v>
      </c>
      <c r="G157" s="53">
        <f>+Tabla15[[#This Row],[PRECIO INSTALADOR
( CON  IVA)]]/0.7</f>
        <v>17941099.599999998</v>
      </c>
      <c r="H157" s="45">
        <f>+Tabla15[[#This Row],[PRECIO INSTALADOR
( CON  IVA)]]*5%</f>
        <v>627938.48599999992</v>
      </c>
      <c r="I157" s="18" t="e">
        <f t="shared" si="26"/>
        <v>#REF!</v>
      </c>
      <c r="J157" s="18" t="e">
        <f t="shared" si="27"/>
        <v>#REF!</v>
      </c>
      <c r="K157" s="17" t="e">
        <f t="shared" si="28"/>
        <v>#REF!</v>
      </c>
      <c r="L157" s="17" t="e">
        <f>+M157/#REF!</f>
        <v>#REF!</v>
      </c>
      <c r="M157" s="17">
        <f t="shared" si="29"/>
        <v>10147561.993799999</v>
      </c>
      <c r="N157" s="19">
        <f t="shared" si="25"/>
        <v>102500.6262</v>
      </c>
      <c r="O157" s="18" t="e">
        <f>+P157/#REF!</f>
        <v>#REF!</v>
      </c>
      <c r="P157" s="20">
        <f>Tabla15[[#This Row],[ORO SIN IVA]]*1.19</f>
        <v>10250062.619999999</v>
      </c>
      <c r="Q157" s="18" t="e">
        <f>+R157/#REF!</f>
        <v>#REF!</v>
      </c>
      <c r="R157" s="19">
        <f>Tabla15[[#This Row],[INSTALLER SIN IVA]]*1.19</f>
        <v>12558769.719999999</v>
      </c>
      <c r="S157" s="18">
        <v>8613498</v>
      </c>
      <c r="T157" s="18">
        <v>10553588</v>
      </c>
    </row>
    <row r="158" spans="1:20" ht="94.5" x14ac:dyDescent="0.25">
      <c r="A158" s="49" t="s">
        <v>363</v>
      </c>
      <c r="B158" s="50" t="s">
        <v>364</v>
      </c>
      <c r="C158" s="53">
        <f>+Tabla15[[#This Row],[PRECIO SUGERIDO INSTALADOR]]</f>
        <v>12558769.719999999</v>
      </c>
      <c r="D158" s="53">
        <f>+Tabla15[[#This Row],[PRECIO INSTALADOR
( CON  IVA)]]-Tabla15[[#This Row],[Columna23]]</f>
        <v>11930831.233999999</v>
      </c>
      <c r="E158" s="53">
        <f>+Tabla15[[#This Row],[DPP ORO]]</f>
        <v>10250062.619999999</v>
      </c>
      <c r="F158" s="53">
        <f>+Tabla15[[#This Row],[DPP PLATINO]]</f>
        <v>10147561.993799999</v>
      </c>
      <c r="G158" s="53">
        <f>+Tabla15[[#This Row],[PRECIO INSTALADOR
( CON  IVA)]]/0.7</f>
        <v>17941099.599999998</v>
      </c>
      <c r="H158" s="45">
        <f>+Tabla15[[#This Row],[PRECIO INSTALADOR
( CON  IVA)]]*5%</f>
        <v>627938.48599999992</v>
      </c>
      <c r="I158" s="18" t="e">
        <f t="shared" si="26"/>
        <v>#REF!</v>
      </c>
      <c r="J158" s="18" t="e">
        <f t="shared" si="27"/>
        <v>#REF!</v>
      </c>
      <c r="K158" s="17" t="e">
        <f t="shared" si="28"/>
        <v>#REF!</v>
      </c>
      <c r="L158" s="17" t="e">
        <f>+M158/#REF!</f>
        <v>#REF!</v>
      </c>
      <c r="M158" s="17">
        <f t="shared" si="29"/>
        <v>10147561.993799999</v>
      </c>
      <c r="N158" s="19">
        <f t="shared" ref="N158:N194" si="30">+P158*1%</f>
        <v>102500.6262</v>
      </c>
      <c r="O158" s="18" t="e">
        <f>+P158/#REF!</f>
        <v>#REF!</v>
      </c>
      <c r="P158" s="20">
        <f>Tabla15[[#This Row],[ORO SIN IVA]]*1.19</f>
        <v>10250062.619999999</v>
      </c>
      <c r="Q158" s="18" t="e">
        <f>+R158/#REF!</f>
        <v>#REF!</v>
      </c>
      <c r="R158" s="19">
        <f>Tabla15[[#This Row],[INSTALLER SIN IVA]]*1.19</f>
        <v>12558769.719999999</v>
      </c>
      <c r="S158" s="18">
        <v>8613498</v>
      </c>
      <c r="T158" s="18">
        <v>10553588</v>
      </c>
    </row>
    <row r="159" spans="1:20" ht="94.5" x14ac:dyDescent="0.25">
      <c r="A159" s="49" t="s">
        <v>365</v>
      </c>
      <c r="B159" s="50" t="s">
        <v>366</v>
      </c>
      <c r="C159" s="53">
        <f>+Tabla15[[#This Row],[PRECIO SUGERIDO INSTALADOR]]</f>
        <v>38015504.379999995</v>
      </c>
      <c r="D159" s="53">
        <f>+Tabla15[[#This Row],[PRECIO INSTALADOR
( CON  IVA)]]-Tabla15[[#This Row],[Columna23]]</f>
        <v>36114729.160999998</v>
      </c>
      <c r="E159" s="53">
        <f>+Tabla15[[#This Row],[DPP ORO]]</f>
        <v>31026979.48</v>
      </c>
      <c r="F159" s="53">
        <f>+Tabla15[[#This Row],[DPP PLATINO]]</f>
        <v>30716709.685200002</v>
      </c>
      <c r="G159" s="53">
        <f>+Tabla15[[#This Row],[PRECIO INSTALADOR
( CON  IVA)]]/0.7</f>
        <v>54307863.399999999</v>
      </c>
      <c r="H159" s="45">
        <f>+Tabla15[[#This Row],[PRECIO INSTALADOR
( CON  IVA)]]*5%</f>
        <v>1900775.2189999998</v>
      </c>
      <c r="I159" s="18" t="e">
        <f t="shared" si="26"/>
        <v>#REF!</v>
      </c>
      <c r="J159" s="18" t="e">
        <f t="shared" si="27"/>
        <v>#REF!</v>
      </c>
      <c r="K159" s="17" t="e">
        <f t="shared" si="28"/>
        <v>#REF!</v>
      </c>
      <c r="L159" s="17" t="e">
        <f>+M159/#REF!</f>
        <v>#REF!</v>
      </c>
      <c r="M159" s="17">
        <f t="shared" si="29"/>
        <v>30716709.685200002</v>
      </c>
      <c r="N159" s="19">
        <f t="shared" si="30"/>
        <v>310269.79480000003</v>
      </c>
      <c r="O159" s="18" t="e">
        <f>+P159/#REF!</f>
        <v>#REF!</v>
      </c>
      <c r="P159" s="20">
        <f>Tabla15[[#This Row],[ORO SIN IVA]]*1.19</f>
        <v>31026979.48</v>
      </c>
      <c r="Q159" s="18" t="e">
        <f>+R159/#REF!</f>
        <v>#REF!</v>
      </c>
      <c r="R159" s="19">
        <f>Tabla15[[#This Row],[INSTALLER SIN IVA]]*1.19</f>
        <v>38015504.379999995</v>
      </c>
      <c r="S159" s="18">
        <v>26073092</v>
      </c>
      <c r="T159" s="18">
        <v>31945801.999999996</v>
      </c>
    </row>
    <row r="160" spans="1:20" x14ac:dyDescent="0.25">
      <c r="A160" s="49" t="s">
        <v>104</v>
      </c>
      <c r="B160" s="50" t="s">
        <v>103</v>
      </c>
      <c r="C160" s="53">
        <f>+Tabla15[[#This Row],[PRECIO SUGERIDO INSTALADOR]]</f>
        <v>8672020.2799999993</v>
      </c>
      <c r="D160" s="53">
        <f>+Tabla15[[#This Row],[PRECIO INSTALADOR
( CON  IVA)]]-Tabla15[[#This Row],[Columna23]]</f>
        <v>8238419.2659999989</v>
      </c>
      <c r="E160" s="53">
        <f>+Tabla15[[#This Row],[DPP ORO]]</f>
        <v>7077789.1799999997</v>
      </c>
      <c r="F160" s="53">
        <f>+Tabla15[[#This Row],[DPP PLATINO]]</f>
        <v>7007011.2881999994</v>
      </c>
      <c r="G160" s="53">
        <f>+Tabla15[[#This Row],[PRECIO INSTALADOR
( CON  IVA)]]/0.7</f>
        <v>12388600.4</v>
      </c>
      <c r="H160" s="45">
        <f>+Tabla15[[#This Row],[PRECIO INSTALADOR
( CON  IVA)]]*5%</f>
        <v>433601.01399999997</v>
      </c>
      <c r="I160" s="18" t="e">
        <f t="shared" si="26"/>
        <v>#REF!</v>
      </c>
      <c r="J160" s="18" t="e">
        <f t="shared" si="27"/>
        <v>#REF!</v>
      </c>
      <c r="K160" s="17" t="e">
        <f t="shared" si="28"/>
        <v>#REF!</v>
      </c>
      <c r="L160" s="17" t="e">
        <f>+M160/#REF!</f>
        <v>#REF!</v>
      </c>
      <c r="M160" s="17">
        <f t="shared" si="29"/>
        <v>7007011.2881999994</v>
      </c>
      <c r="N160" s="19">
        <f t="shared" si="30"/>
        <v>70777.891799999998</v>
      </c>
      <c r="O160" s="18" t="e">
        <f>+P160/#REF!</f>
        <v>#REF!</v>
      </c>
      <c r="P160" s="20">
        <f>Tabla15[[#This Row],[ORO SIN IVA]]*1.19</f>
        <v>7077789.1799999997</v>
      </c>
      <c r="Q160" s="18" t="e">
        <f>+R160/#REF!</f>
        <v>#REF!</v>
      </c>
      <c r="R160" s="19">
        <f>Tabla15[[#This Row],[INSTALLER SIN IVA]]*1.19</f>
        <v>8672020.2799999993</v>
      </c>
      <c r="S160" s="18">
        <v>5947722</v>
      </c>
      <c r="T160" s="18">
        <v>7287412</v>
      </c>
    </row>
    <row r="161" spans="1:25" ht="40.5" x14ac:dyDescent="0.25">
      <c r="A161" s="49" t="s">
        <v>18</v>
      </c>
      <c r="B161" s="50" t="s">
        <v>17</v>
      </c>
      <c r="C161" s="53">
        <f>+Tabla15[[#This Row],[PRECIO SUGERIDO INSTALADOR]]</f>
        <v>19170792.899999999</v>
      </c>
      <c r="D161" s="53">
        <f>+Tabla15[[#This Row],[PRECIO INSTALADOR
( CON  IVA)]]-Tabla15[[#This Row],[Columna23]]</f>
        <v>18212253.254999999</v>
      </c>
      <c r="E161" s="53">
        <f>+Tabla15[[#This Row],[DPP ORO]]</f>
        <v>15646526.979999999</v>
      </c>
      <c r="F161" s="53">
        <f>+Tabla15[[#This Row],[DPP PLATINO]]</f>
        <v>15490061.710199999</v>
      </c>
      <c r="G161" s="53">
        <f>+Tabla15[[#This Row],[PRECIO INSTALADOR
( CON  IVA)]]/0.7</f>
        <v>27386847</v>
      </c>
      <c r="H161" s="45">
        <f>+Tabla15[[#This Row],[PRECIO INSTALADOR
( CON  IVA)]]*5%</f>
        <v>958539.64500000002</v>
      </c>
      <c r="I161" s="18" t="e">
        <f t="shared" si="26"/>
        <v>#REF!</v>
      </c>
      <c r="J161" s="18" t="e">
        <f t="shared" si="27"/>
        <v>#REF!</v>
      </c>
      <c r="K161" s="17" t="e">
        <f t="shared" si="28"/>
        <v>#REF!</v>
      </c>
      <c r="L161" s="17" t="e">
        <f>+M161/#REF!</f>
        <v>#REF!</v>
      </c>
      <c r="M161" s="17">
        <f t="shared" si="29"/>
        <v>15490061.710199999</v>
      </c>
      <c r="N161" s="19">
        <f t="shared" si="30"/>
        <v>156465.26979999998</v>
      </c>
      <c r="O161" s="18" t="e">
        <f>+P161/#REF!</f>
        <v>#REF!</v>
      </c>
      <c r="P161" s="20">
        <f>Tabla15[[#This Row],[ORO SIN IVA]]*1.19</f>
        <v>15646526.979999999</v>
      </c>
      <c r="Q161" s="18" t="e">
        <f>+R161/#REF!</f>
        <v>#REF!</v>
      </c>
      <c r="R161" s="19">
        <f>Tabla15[[#This Row],[INSTALLER SIN IVA]]*1.19</f>
        <v>19170792.899999999</v>
      </c>
      <c r="S161" s="18">
        <v>13148342</v>
      </c>
      <c r="T161" s="18">
        <v>16109910</v>
      </c>
    </row>
    <row r="162" spans="1:25" ht="27" x14ac:dyDescent="0.25">
      <c r="A162" s="49" t="s">
        <v>16</v>
      </c>
      <c r="B162" s="50" t="s">
        <v>15</v>
      </c>
      <c r="C162" s="53">
        <f>+Tabla15[[#This Row],[PRECIO SUGERIDO INSTALADOR]]</f>
        <v>11574059</v>
      </c>
      <c r="D162" s="53">
        <f>+Tabla15[[#This Row],[PRECIO INSTALADOR
( CON  IVA)]]-Tabla15[[#This Row],[Columna23]]</f>
        <v>10995356.050000001</v>
      </c>
      <c r="E162" s="53">
        <f>+Tabla15[[#This Row],[DPP ORO]]</f>
        <v>9446322.3399999999</v>
      </c>
      <c r="F162" s="53">
        <f>+Tabla15[[#This Row],[DPP PLATINO]]</f>
        <v>9351859.1165999994</v>
      </c>
      <c r="G162" s="53">
        <f>+Tabla15[[#This Row],[PRECIO INSTALADOR
( CON  IVA)]]/0.7</f>
        <v>16534370.000000002</v>
      </c>
      <c r="H162" s="45">
        <f>+Tabla15[[#This Row],[PRECIO INSTALADOR
( CON  IVA)]]*5%</f>
        <v>578702.95000000007</v>
      </c>
      <c r="I162" s="18" t="e">
        <f t="shared" si="26"/>
        <v>#REF!</v>
      </c>
      <c r="J162" s="18" t="e">
        <f t="shared" si="27"/>
        <v>#REF!</v>
      </c>
      <c r="K162" s="17" t="e">
        <f t="shared" si="28"/>
        <v>#REF!</v>
      </c>
      <c r="L162" s="17" t="e">
        <f>+M162/#REF!</f>
        <v>#REF!</v>
      </c>
      <c r="M162" s="17">
        <f t="shared" si="29"/>
        <v>9351859.1165999994</v>
      </c>
      <c r="N162" s="19">
        <f t="shared" si="30"/>
        <v>94463.223400000003</v>
      </c>
      <c r="O162" s="18" t="e">
        <f>+P162/#REF!</f>
        <v>#REF!</v>
      </c>
      <c r="P162" s="20">
        <f>Tabla15[[#This Row],[ORO SIN IVA]]*1.19</f>
        <v>9446322.3399999999</v>
      </c>
      <c r="Q162" s="18" t="e">
        <f>+R162/#REF!</f>
        <v>#REF!</v>
      </c>
      <c r="R162" s="19">
        <f>Tabla15[[#This Row],[INSTALLER SIN IVA]]*1.19</f>
        <v>11574059</v>
      </c>
      <c r="S162" s="18">
        <v>7938086</v>
      </c>
      <c r="T162" s="18">
        <v>9726100</v>
      </c>
    </row>
    <row r="163" spans="1:25" ht="27" x14ac:dyDescent="0.25">
      <c r="A163" s="49" t="s">
        <v>367</v>
      </c>
      <c r="B163" s="50" t="s">
        <v>368</v>
      </c>
      <c r="C163" s="53">
        <f>+Tabla15[[#This Row],[PRECIO SUGERIDO INSTALADOR]]</f>
        <v>10899467.039999999</v>
      </c>
      <c r="D163" s="53">
        <f>+Tabla15[[#This Row],[PRECIO INSTALADOR
( CON  IVA)]]-Tabla15[[#This Row],[Columna23]]</f>
        <v>10354493.687999999</v>
      </c>
      <c r="E163" s="53">
        <f>+Tabla15[[#This Row],[DPP ORO]]</f>
        <v>9435333.879999999</v>
      </c>
      <c r="F163" s="53">
        <f>+Tabla15[[#This Row],[DPP PLATINO]]</f>
        <v>9340980.5411999989</v>
      </c>
      <c r="G163" s="53">
        <f>+Tabla15[[#This Row],[PRECIO INSTALADOR
( CON  IVA)]]/0.7</f>
        <v>15570667.199999999</v>
      </c>
      <c r="H163" s="45">
        <f>+Tabla15[[#This Row],[PRECIO INSTALADOR
( CON  IVA)]]*5%</f>
        <v>544973.35199999996</v>
      </c>
      <c r="I163" s="18" t="e">
        <f t="shared" si="26"/>
        <v>#REF!</v>
      </c>
      <c r="J163" s="18" t="e">
        <f t="shared" si="27"/>
        <v>#REF!</v>
      </c>
      <c r="K163" s="17" t="e">
        <f t="shared" si="28"/>
        <v>#REF!</v>
      </c>
      <c r="L163" s="17" t="e">
        <f>+M163/#REF!</f>
        <v>#REF!</v>
      </c>
      <c r="M163" s="17">
        <f t="shared" si="29"/>
        <v>9340980.5411999989</v>
      </c>
      <c r="N163" s="19">
        <f t="shared" si="30"/>
        <v>94353.338799999998</v>
      </c>
      <c r="O163" s="18" t="e">
        <f>+P163/#REF!</f>
        <v>#REF!</v>
      </c>
      <c r="P163" s="20">
        <f>Tabla15[[#This Row],[ORO SIN IVA]]*1.19</f>
        <v>9435333.879999999</v>
      </c>
      <c r="Q163" s="18" t="e">
        <f>+R163/#REF!</f>
        <v>#REF!</v>
      </c>
      <c r="R163" s="19">
        <f>Tabla15[[#This Row],[INSTALLER SIN IVA]]*1.19</f>
        <v>10899467.039999999</v>
      </c>
      <c r="S163" s="18">
        <v>7928852</v>
      </c>
      <c r="T163" s="18">
        <v>9159216</v>
      </c>
    </row>
    <row r="164" spans="1:25" ht="40.5" x14ac:dyDescent="0.25">
      <c r="A164" s="49" t="s">
        <v>369</v>
      </c>
      <c r="B164" s="50" t="s">
        <v>370</v>
      </c>
      <c r="C164" s="53">
        <f>+Tabla15[[#This Row],[PRECIO SUGERIDO INSTALADOR]]</f>
        <v>18285927.939999998</v>
      </c>
      <c r="D164" s="53">
        <f>+Tabla15[[#This Row],[PRECIO INSTALADOR
( CON  IVA)]]-Tabla15[[#This Row],[Columna23]]</f>
        <v>17371631.542999998</v>
      </c>
      <c r="E164" s="53">
        <f>+Tabla15[[#This Row],[DPP ORO]]</f>
        <v>15829577.539999999</v>
      </c>
      <c r="F164" s="53">
        <f>+Tabla15[[#This Row],[DPP PLATINO]]</f>
        <v>15671281.764599999</v>
      </c>
      <c r="G164" s="53">
        <f>+Tabla15[[#This Row],[PRECIO INSTALADOR
( CON  IVA)]]/0.7</f>
        <v>26122754.199999999</v>
      </c>
      <c r="H164" s="45">
        <f>+Tabla15[[#This Row],[PRECIO INSTALADOR
( CON  IVA)]]*5%</f>
        <v>914296.39699999988</v>
      </c>
      <c r="I164" s="18" t="e">
        <f t="shared" si="26"/>
        <v>#REF!</v>
      </c>
      <c r="J164" s="18" t="e">
        <f t="shared" si="27"/>
        <v>#REF!</v>
      </c>
      <c r="K164" s="17" t="e">
        <f t="shared" si="28"/>
        <v>#REF!</v>
      </c>
      <c r="L164" s="17" t="e">
        <f>+M164/#REF!</f>
        <v>#REF!</v>
      </c>
      <c r="M164" s="17">
        <f t="shared" si="29"/>
        <v>15671281.764599999</v>
      </c>
      <c r="N164" s="19">
        <f t="shared" si="30"/>
        <v>158295.77539999998</v>
      </c>
      <c r="O164" s="18" t="e">
        <f>+P164/#REF!</f>
        <v>#REF!</v>
      </c>
      <c r="P164" s="20">
        <f>Tabla15[[#This Row],[ORO SIN IVA]]*1.19</f>
        <v>15829577.539999999</v>
      </c>
      <c r="Q164" s="18" t="e">
        <f>+R164/#REF!</f>
        <v>#REF!</v>
      </c>
      <c r="R164" s="19">
        <f>Tabla15[[#This Row],[INSTALLER SIN IVA]]*1.19</f>
        <v>18285927.939999998</v>
      </c>
      <c r="S164" s="18">
        <v>13302166</v>
      </c>
      <c r="T164" s="18">
        <v>15366325.999999998</v>
      </c>
    </row>
    <row r="165" spans="1:25" ht="27" x14ac:dyDescent="0.25">
      <c r="A165" s="49" t="s">
        <v>371</v>
      </c>
      <c r="B165" s="50" t="s">
        <v>372</v>
      </c>
      <c r="C165" s="53">
        <f>+Tabla15[[#This Row],[PRECIO SUGERIDO INSTALADOR]]</f>
        <v>18165778.399999999</v>
      </c>
      <c r="D165" s="53">
        <f>+Tabla15[[#This Row],[PRECIO INSTALADOR
( CON  IVA)]]-Tabla15[[#This Row],[Columna23]]</f>
        <v>17257489.479999997</v>
      </c>
      <c r="E165" s="53">
        <f>+Tabla15[[#This Row],[DPP ORO]]</f>
        <v>15725616.76</v>
      </c>
      <c r="F165" s="53">
        <f>+Tabla15[[#This Row],[DPP PLATINO]]</f>
        <v>15568360.592399999</v>
      </c>
      <c r="G165" s="53">
        <f>+Tabla15[[#This Row],[PRECIO INSTALADOR
( CON  IVA)]]/0.7</f>
        <v>25951112</v>
      </c>
      <c r="H165" s="45">
        <f>+Tabla15[[#This Row],[PRECIO INSTALADOR
( CON  IVA)]]*5%</f>
        <v>908288.91999999993</v>
      </c>
      <c r="I165" s="18" t="e">
        <f t="shared" si="26"/>
        <v>#REF!</v>
      </c>
      <c r="J165" s="18" t="e">
        <f t="shared" si="27"/>
        <v>#REF!</v>
      </c>
      <c r="K165" s="17" t="e">
        <f t="shared" si="28"/>
        <v>#REF!</v>
      </c>
      <c r="L165" s="17" t="e">
        <f>+M165/#REF!</f>
        <v>#REF!</v>
      </c>
      <c r="M165" s="17">
        <f t="shared" si="29"/>
        <v>15568360.592399999</v>
      </c>
      <c r="N165" s="19">
        <f t="shared" si="30"/>
        <v>157256.16760000002</v>
      </c>
      <c r="O165" s="18" t="e">
        <f>+P165/#REF!</f>
        <v>#REF!</v>
      </c>
      <c r="P165" s="20">
        <f>Tabla15[[#This Row],[ORO SIN IVA]]*1.19</f>
        <v>15725616.76</v>
      </c>
      <c r="Q165" s="18" t="e">
        <f>+R165/#REF!</f>
        <v>#REF!</v>
      </c>
      <c r="R165" s="19">
        <f>Tabla15[[#This Row],[INSTALLER SIN IVA]]*1.19</f>
        <v>18165778.399999999</v>
      </c>
      <c r="S165" s="18">
        <v>13214804</v>
      </c>
      <c r="T165" s="18">
        <v>15265360</v>
      </c>
    </row>
    <row r="166" spans="1:25" ht="27" x14ac:dyDescent="0.25">
      <c r="A166" s="49" t="s">
        <v>42</v>
      </c>
      <c r="B166" s="50" t="s">
        <v>41</v>
      </c>
      <c r="C166" s="53">
        <f>+Tabla15[[#This Row],[PRECIO SUGERIDO INSTALADOR]]</f>
        <v>3560713.2399999998</v>
      </c>
      <c r="D166" s="53">
        <f>+Tabla15[[#This Row],[PRECIO INSTALADOR
( CON  IVA)]]-Tabla15[[#This Row],[Columna23]]</f>
        <v>3382677.5779999997</v>
      </c>
      <c r="E166" s="53">
        <f>+Tabla15[[#This Row],[DPP ORO]]</f>
        <v>3058364.26</v>
      </c>
      <c r="F166" s="53">
        <f>+Tabla15[[#This Row],[DPP PLATINO]]</f>
        <v>3027780.6173999999</v>
      </c>
      <c r="G166" s="53">
        <f>+Tabla15[[#This Row],[PRECIO INSTALADOR
( CON  IVA)]]/0.7</f>
        <v>5086733.2</v>
      </c>
      <c r="H166" s="45">
        <f>+Tabla15[[#This Row],[PRECIO INSTALADOR
( CON  IVA)]]*5%</f>
        <v>178035.66200000001</v>
      </c>
      <c r="I166" s="18" t="e">
        <f t="shared" si="26"/>
        <v>#REF!</v>
      </c>
      <c r="J166" s="18" t="e">
        <f t="shared" si="27"/>
        <v>#REF!</v>
      </c>
      <c r="K166" s="17" t="e">
        <f t="shared" si="28"/>
        <v>#REF!</v>
      </c>
      <c r="L166" s="17" t="e">
        <f>+M166/#REF!</f>
        <v>#REF!</v>
      </c>
      <c r="M166" s="17">
        <f t="shared" si="29"/>
        <v>3027780.6173999999</v>
      </c>
      <c r="N166" s="19">
        <f t="shared" si="30"/>
        <v>30583.642599999999</v>
      </c>
      <c r="O166" s="18" t="e">
        <f>+P166/#REF!</f>
        <v>#REF!</v>
      </c>
      <c r="P166" s="20">
        <f>Tabla15[[#This Row],[ORO SIN IVA]]*1.19</f>
        <v>3058364.26</v>
      </c>
      <c r="Q166" s="18" t="e">
        <f>+R166/#REF!</f>
        <v>#REF!</v>
      </c>
      <c r="R166" s="19">
        <f>Tabla15[[#This Row],[INSTALLER SIN IVA]]*1.19</f>
        <v>3560713.2399999998</v>
      </c>
      <c r="S166" s="18">
        <v>2570054</v>
      </c>
      <c r="T166" s="18">
        <v>2992196</v>
      </c>
    </row>
    <row r="167" spans="1:25" ht="27" x14ac:dyDescent="0.25">
      <c r="A167" s="49" t="s">
        <v>5</v>
      </c>
      <c r="B167" s="50" t="s">
        <v>4</v>
      </c>
      <c r="C167" s="53">
        <f>+Tabla15[[#This Row],[PRECIO SUGERIDO INSTALADOR]]</f>
        <v>5399448.8799999999</v>
      </c>
      <c r="D167" s="53">
        <f>+Tabla15[[#This Row],[PRECIO INSTALADOR
( CON  IVA)]]-Tabla15[[#This Row],[Columna23]]</f>
        <v>5129476.4359999998</v>
      </c>
      <c r="E167" s="53">
        <f>+Tabla15[[#This Row],[DPP ORO]]</f>
        <v>4637627.54</v>
      </c>
      <c r="F167" s="53">
        <f>+Tabla15[[#This Row],[DPP PLATINO]]</f>
        <v>4591251.2646000003</v>
      </c>
      <c r="G167" s="53">
        <f>+Tabla15[[#This Row],[PRECIO INSTALADOR
( CON  IVA)]]/0.7</f>
        <v>7713498.4000000004</v>
      </c>
      <c r="H167" s="45">
        <f>+Tabla15[[#This Row],[PRECIO INSTALADOR
( CON  IVA)]]*5%</f>
        <v>269972.44400000002</v>
      </c>
      <c r="I167" s="18" t="e">
        <f t="shared" si="26"/>
        <v>#REF!</v>
      </c>
      <c r="J167" s="18" t="e">
        <f t="shared" si="27"/>
        <v>#REF!</v>
      </c>
      <c r="K167" s="17" t="e">
        <f t="shared" si="28"/>
        <v>#REF!</v>
      </c>
      <c r="L167" s="17" t="e">
        <f>+M167/#REF!</f>
        <v>#REF!</v>
      </c>
      <c r="M167" s="17">
        <f t="shared" si="29"/>
        <v>4591251.2646000003</v>
      </c>
      <c r="N167" s="19">
        <f t="shared" si="30"/>
        <v>46376.275399999999</v>
      </c>
      <c r="O167" s="18" t="e">
        <f>+P167/#REF!</f>
        <v>#REF!</v>
      </c>
      <c r="P167" s="20">
        <f>Tabla15[[#This Row],[ORO SIN IVA]]*1.19</f>
        <v>4637627.54</v>
      </c>
      <c r="Q167" s="18" t="e">
        <f>+R167/#REF!</f>
        <v>#REF!</v>
      </c>
      <c r="R167" s="19">
        <f>Tabla15[[#This Row],[INSTALLER SIN IVA]]*1.19</f>
        <v>5399448.8799999999</v>
      </c>
      <c r="S167" s="18">
        <v>3897166</v>
      </c>
      <c r="T167" s="18">
        <v>4537352</v>
      </c>
      <c r="Y167"/>
    </row>
    <row r="168" spans="1:25" ht="40.5" x14ac:dyDescent="0.25">
      <c r="A168" s="49" t="s">
        <v>40</v>
      </c>
      <c r="B168" s="50" t="s">
        <v>39</v>
      </c>
      <c r="C168" s="53">
        <f>+Tabla15[[#This Row],[PRECIO SUGERIDO INSTALADOR]]</f>
        <v>3777633.5799999996</v>
      </c>
      <c r="D168" s="53">
        <f>+Tabla15[[#This Row],[PRECIO INSTALADOR
( CON  IVA)]]-Tabla15[[#This Row],[Columna23]]</f>
        <v>3588751.9009999996</v>
      </c>
      <c r="E168" s="53">
        <f>+Tabla15[[#This Row],[DPP ORO]]</f>
        <v>3244670.6599999997</v>
      </c>
      <c r="F168" s="53">
        <f>+Tabla15[[#This Row],[DPP PLATINO]]</f>
        <v>3212223.9533999995</v>
      </c>
      <c r="G168" s="53">
        <f>+Tabla15[[#This Row],[PRECIO INSTALADOR
( CON  IVA)]]/0.7</f>
        <v>5396619.3999999994</v>
      </c>
      <c r="H168" s="45">
        <f>+Tabla15[[#This Row],[PRECIO INSTALADOR
( CON  IVA)]]*5%</f>
        <v>188881.679</v>
      </c>
      <c r="I168" s="18" t="e">
        <f t="shared" si="26"/>
        <v>#REF!</v>
      </c>
      <c r="J168" s="18" t="e">
        <f t="shared" si="27"/>
        <v>#REF!</v>
      </c>
      <c r="K168" s="17" t="e">
        <f t="shared" si="28"/>
        <v>#REF!</v>
      </c>
      <c r="L168" s="17" t="e">
        <f>+M168/#REF!</f>
        <v>#REF!</v>
      </c>
      <c r="M168" s="17">
        <f t="shared" si="29"/>
        <v>3212223.9533999995</v>
      </c>
      <c r="N168" s="19">
        <f t="shared" si="30"/>
        <v>32446.706599999998</v>
      </c>
      <c r="O168" s="18" t="e">
        <f>+P168/#REF!</f>
        <v>#REF!</v>
      </c>
      <c r="P168" s="20">
        <f>Tabla15[[#This Row],[ORO SIN IVA]]*1.19</f>
        <v>3244670.6599999997</v>
      </c>
      <c r="Q168" s="18" t="e">
        <f>+R168/#REF!</f>
        <v>#REF!</v>
      </c>
      <c r="R168" s="19">
        <f>Tabla15[[#This Row],[INSTALLER SIN IVA]]*1.19</f>
        <v>3777633.5799999996</v>
      </c>
      <c r="S168" s="18">
        <v>2726614</v>
      </c>
      <c r="T168" s="18">
        <v>3174482</v>
      </c>
    </row>
    <row r="169" spans="1:25" ht="40.5" x14ac:dyDescent="0.25">
      <c r="A169" s="49" t="s">
        <v>6</v>
      </c>
      <c r="B169" s="50" t="s">
        <v>373</v>
      </c>
      <c r="C169" s="53">
        <f>+Tabla15[[#This Row],[PRECIO SUGERIDO INSTALADOR]]</f>
        <v>8059515.3799999999</v>
      </c>
      <c r="D169" s="53">
        <f>+Tabla15[[#This Row],[PRECIO INSTALADOR
( CON  IVA)]]-Tabla15[[#This Row],[Columna23]]</f>
        <v>7656539.6109999996</v>
      </c>
      <c r="E169" s="53">
        <f>+Tabla15[[#This Row],[DPP ORO]]</f>
        <v>6577972.5199999996</v>
      </c>
      <c r="F169" s="53">
        <f>+Tabla15[[#This Row],[DPP PLATINO]]</f>
        <v>6512192.7947999993</v>
      </c>
      <c r="G169" s="53">
        <f>+Tabla15[[#This Row],[PRECIO INSTALADOR
( CON  IVA)]]/0.7</f>
        <v>11513593.4</v>
      </c>
      <c r="H169" s="51">
        <f>+Tabla15[[#This Row],[PRECIO INSTALADOR
( CON  IVA)]]*5%</f>
        <v>402975.76900000003</v>
      </c>
      <c r="I169" s="12" t="e">
        <f t="shared" si="26"/>
        <v>#REF!</v>
      </c>
      <c r="J169" s="12" t="e">
        <f t="shared" si="27"/>
        <v>#REF!</v>
      </c>
      <c r="K169" s="15" t="e">
        <f t="shared" si="28"/>
        <v>#REF!</v>
      </c>
      <c r="L169" s="15" t="e">
        <f>+M169/#REF!</f>
        <v>#REF!</v>
      </c>
      <c r="M169" s="15">
        <f t="shared" si="29"/>
        <v>6512192.7947999993</v>
      </c>
      <c r="N169" s="13">
        <f t="shared" si="30"/>
        <v>65779.725200000001</v>
      </c>
      <c r="O169" s="12" t="e">
        <f>+P169/#REF!</f>
        <v>#REF!</v>
      </c>
      <c r="P169" s="14">
        <f>Tabla15[[#This Row],[ORO SIN IVA]]*1.19</f>
        <v>6577972.5199999996</v>
      </c>
      <c r="Q169" s="12" t="e">
        <f>+R169/#REF!</f>
        <v>#REF!</v>
      </c>
      <c r="R169" s="13">
        <f>Tabla15[[#This Row],[INSTALLER SIN IVA]]*1.19</f>
        <v>8059515.3799999999</v>
      </c>
      <c r="S169" s="18">
        <v>5527708</v>
      </c>
      <c r="T169" s="12">
        <v>6772702</v>
      </c>
    </row>
    <row r="170" spans="1:25" ht="54" x14ac:dyDescent="0.25">
      <c r="A170" s="49" t="s">
        <v>374</v>
      </c>
      <c r="B170" s="50" t="s">
        <v>375</v>
      </c>
      <c r="C170" s="53">
        <f>+Tabla15[[#This Row],[PRECIO SUGERIDO INSTALADOR]]</f>
        <v>8462516.0199999996</v>
      </c>
      <c r="D170" s="53">
        <f>+Tabla15[[#This Row],[PRECIO INSTALADOR
( CON  IVA)]]-Tabla15[[#This Row],[Columna23]]</f>
        <v>8039390.2189999996</v>
      </c>
      <c r="E170" s="53">
        <f>+Tabla15[[#This Row],[DPP ORO]]</f>
        <v>6906857.5800000001</v>
      </c>
      <c r="F170" s="53">
        <f>+Tabla15[[#This Row],[DPP PLATINO]]</f>
        <v>6837789.0042000003</v>
      </c>
      <c r="G170" s="53">
        <f>+Tabla15[[#This Row],[PRECIO INSTALADOR
( CON  IVA)]]/0.7</f>
        <v>12089308.6</v>
      </c>
      <c r="H170" s="51">
        <f>+Tabla15[[#This Row],[PRECIO INSTALADOR
( CON  IVA)]]*5%</f>
        <v>423125.80099999998</v>
      </c>
      <c r="I170" s="12" t="e">
        <f t="shared" ref="I170:I194" si="31">+Q170</f>
        <v>#REF!</v>
      </c>
      <c r="J170" s="12" t="e">
        <f t="shared" ref="J170:J194" si="32">+O170</f>
        <v>#REF!</v>
      </c>
      <c r="K170" s="15" t="e">
        <f t="shared" ref="K170:K194" si="33">+L170</f>
        <v>#REF!</v>
      </c>
      <c r="L170" s="15" t="e">
        <f>+M170/#REF!</f>
        <v>#REF!</v>
      </c>
      <c r="M170" s="15">
        <f t="shared" ref="M170:M194" si="34">+P170-N170</f>
        <v>6837789.0042000003</v>
      </c>
      <c r="N170" s="13">
        <f t="shared" si="30"/>
        <v>69068.575800000006</v>
      </c>
      <c r="O170" s="12" t="e">
        <f>+P170/#REF!</f>
        <v>#REF!</v>
      </c>
      <c r="P170" s="14">
        <f>Tabla15[[#This Row],[ORO SIN IVA]]*1.19</f>
        <v>6906857.5800000001</v>
      </c>
      <c r="Q170" s="12" t="e">
        <f>+R170/#REF!</f>
        <v>#REF!</v>
      </c>
      <c r="R170" s="13">
        <f>Tabla15[[#This Row],[INSTALLER SIN IVA]]*1.19</f>
        <v>8462516.0199999996</v>
      </c>
      <c r="S170" s="18">
        <v>5804082</v>
      </c>
      <c r="T170" s="12">
        <v>7111358</v>
      </c>
    </row>
    <row r="171" spans="1:25" ht="40.5" x14ac:dyDescent="0.25">
      <c r="A171" s="49" t="s">
        <v>376</v>
      </c>
      <c r="B171" s="50" t="s">
        <v>377</v>
      </c>
      <c r="C171" s="53">
        <f>+Tabla15[[#This Row],[PRECIO SUGERIDO INSTALADOR]]</f>
        <v>13025394.899999999</v>
      </c>
      <c r="D171" s="53">
        <f>+Tabla15[[#This Row],[PRECIO INSTALADOR
( CON  IVA)]]-Tabla15[[#This Row],[Columna23]]</f>
        <v>12374125.154999999</v>
      </c>
      <c r="E171" s="53">
        <f>+Tabla15[[#This Row],[DPP ORO]]</f>
        <v>10630905.459999999</v>
      </c>
      <c r="F171" s="53">
        <f>+Tabla15[[#This Row],[DPP PLATINO]]</f>
        <v>10524596.405399999</v>
      </c>
      <c r="G171" s="53">
        <f>+Tabla15[[#This Row],[PRECIO INSTALADOR
( CON  IVA)]]/0.7</f>
        <v>18607707</v>
      </c>
      <c r="H171" s="51">
        <f>+Tabla15[[#This Row],[PRECIO INSTALADOR
( CON  IVA)]]*5%</f>
        <v>651269.745</v>
      </c>
      <c r="I171" s="12" t="e">
        <f t="shared" si="31"/>
        <v>#REF!</v>
      </c>
      <c r="J171" s="12" t="e">
        <f t="shared" si="32"/>
        <v>#REF!</v>
      </c>
      <c r="K171" s="15" t="e">
        <f t="shared" si="33"/>
        <v>#REF!</v>
      </c>
      <c r="L171" s="15" t="e">
        <f>+M171/#REF!</f>
        <v>#REF!</v>
      </c>
      <c r="M171" s="15">
        <f t="shared" si="34"/>
        <v>10524596.405399999</v>
      </c>
      <c r="N171" s="13">
        <f t="shared" si="30"/>
        <v>106309.05459999999</v>
      </c>
      <c r="O171" s="12" t="e">
        <f>+P171/#REF!</f>
        <v>#REF!</v>
      </c>
      <c r="P171" s="14">
        <f>Tabla15[[#This Row],[ORO SIN IVA]]*1.19</f>
        <v>10630905.459999999</v>
      </c>
      <c r="Q171" s="12" t="e">
        <f>+R171/#REF!</f>
        <v>#REF!</v>
      </c>
      <c r="R171" s="13">
        <f>Tabla15[[#This Row],[INSTALLER SIN IVA]]*1.19</f>
        <v>13025394.899999999</v>
      </c>
      <c r="S171" s="18">
        <v>8933534</v>
      </c>
      <c r="T171" s="12">
        <v>10945710</v>
      </c>
    </row>
    <row r="172" spans="1:25" ht="40.5" x14ac:dyDescent="0.25">
      <c r="A172" s="49" t="s">
        <v>378</v>
      </c>
      <c r="B172" s="50" t="s">
        <v>379</v>
      </c>
      <c r="C172" s="53">
        <f>+Tabla15[[#This Row],[PRECIO SUGERIDO INSTALADOR]]</f>
        <v>21651607.32</v>
      </c>
      <c r="D172" s="53">
        <f>+Tabla15[[#This Row],[PRECIO INSTALADOR
( CON  IVA)]]-Tabla15[[#This Row],[Columna23]]</f>
        <v>20569026.954</v>
      </c>
      <c r="E172" s="53">
        <f>+Tabla15[[#This Row],[DPP ORO]]</f>
        <v>17671297.699999999</v>
      </c>
      <c r="F172" s="53">
        <f>+Tabla15[[#This Row],[DPP PLATINO]]</f>
        <v>17494584.722999997</v>
      </c>
      <c r="G172" s="53">
        <f>+Tabla15[[#This Row],[PRECIO INSTALADOR
( CON  IVA)]]/0.7</f>
        <v>30930867.600000001</v>
      </c>
      <c r="H172" s="51">
        <f>+Tabla15[[#This Row],[PRECIO INSTALADOR
( CON  IVA)]]*5%</f>
        <v>1082580.3660000002</v>
      </c>
      <c r="I172" s="12" t="e">
        <f t="shared" si="31"/>
        <v>#REF!</v>
      </c>
      <c r="J172" s="12" t="e">
        <f t="shared" si="32"/>
        <v>#REF!</v>
      </c>
      <c r="K172" s="15" t="e">
        <f t="shared" si="33"/>
        <v>#REF!</v>
      </c>
      <c r="L172" s="15" t="e">
        <f>+M172/#REF!</f>
        <v>#REF!</v>
      </c>
      <c r="M172" s="15">
        <f t="shared" si="34"/>
        <v>17494584.722999997</v>
      </c>
      <c r="N172" s="13">
        <f t="shared" si="30"/>
        <v>176712.97699999998</v>
      </c>
      <c r="O172" s="12" t="e">
        <f>+P172/#REF!</f>
        <v>#REF!</v>
      </c>
      <c r="P172" s="14">
        <f>Tabla15[[#This Row],[ORO SIN IVA]]*1.19</f>
        <v>17671297.699999999</v>
      </c>
      <c r="Q172" s="12" t="e">
        <f>+R172/#REF!</f>
        <v>#REF!</v>
      </c>
      <c r="R172" s="13">
        <f>Tabla15[[#This Row],[INSTALLER SIN IVA]]*1.19</f>
        <v>21651607.32</v>
      </c>
      <c r="S172" s="12">
        <v>14849830</v>
      </c>
      <c r="T172" s="12">
        <v>18194628</v>
      </c>
    </row>
    <row r="173" spans="1:25" ht="27" x14ac:dyDescent="0.25">
      <c r="A173" s="49" t="s">
        <v>380</v>
      </c>
      <c r="B173" s="50" t="s">
        <v>381</v>
      </c>
      <c r="C173" s="53">
        <f>+Tabla15[[#This Row],[PRECIO SUGERIDO INSTALADOR]]</f>
        <v>4973431.26</v>
      </c>
      <c r="D173" s="53">
        <f>+Tabla15[[#This Row],[PRECIO INSTALADOR
( CON  IVA)]]-Tabla15[[#This Row],[Columna23]]</f>
        <v>4724759.6969999997</v>
      </c>
      <c r="E173" s="53">
        <f>+Tabla15[[#This Row],[DPP ORO]]</f>
        <v>4059128.0799999996</v>
      </c>
      <c r="F173" s="53">
        <f>+Tabla15[[#This Row],[DPP PLATINO]]</f>
        <v>4018536.7991999998</v>
      </c>
      <c r="G173" s="53">
        <f>+Tabla15[[#This Row],[PRECIO INSTALADOR
( CON  IVA)]]/0.7</f>
        <v>7104901.7999999998</v>
      </c>
      <c r="H173" s="51">
        <f>+Tabla15[[#This Row],[PRECIO INSTALADOR
( CON  IVA)]]*5%</f>
        <v>248671.56299999999</v>
      </c>
      <c r="I173" s="12" t="e">
        <f t="shared" si="31"/>
        <v>#REF!</v>
      </c>
      <c r="J173" s="12" t="e">
        <f t="shared" si="32"/>
        <v>#REF!</v>
      </c>
      <c r="K173" s="15" t="e">
        <f t="shared" si="33"/>
        <v>#REF!</v>
      </c>
      <c r="L173" s="15" t="e">
        <f>+M173/#REF!</f>
        <v>#REF!</v>
      </c>
      <c r="M173" s="15">
        <f t="shared" si="34"/>
        <v>4018536.7991999998</v>
      </c>
      <c r="N173" s="13">
        <f t="shared" si="30"/>
        <v>40591.2808</v>
      </c>
      <c r="O173" s="12" t="e">
        <f>+P173/#REF!</f>
        <v>#REF!</v>
      </c>
      <c r="P173" s="14">
        <f>Tabla15[[#This Row],[ORO SIN IVA]]*1.19</f>
        <v>4059128.0799999996</v>
      </c>
      <c r="Q173" s="12" t="e">
        <f>+R173/#REF!</f>
        <v>#REF!</v>
      </c>
      <c r="R173" s="13">
        <f>Tabla15[[#This Row],[INSTALLER SIN IVA]]*1.19</f>
        <v>4973431.26</v>
      </c>
      <c r="S173" s="12">
        <v>3411032</v>
      </c>
      <c r="T173" s="12">
        <v>4179354</v>
      </c>
    </row>
    <row r="174" spans="1:25" ht="27" x14ac:dyDescent="0.25">
      <c r="A174" s="49" t="s">
        <v>46</v>
      </c>
      <c r="B174" s="50" t="s">
        <v>71</v>
      </c>
      <c r="C174" s="53">
        <f>+Tabla15[[#This Row],[PRECIO SUGERIDO INSTALADOR]]</f>
        <v>905982.7</v>
      </c>
      <c r="D174" s="53">
        <f>+Tabla15[[#This Row],[PRECIO INSTALADOR
( CON  IVA)]]-Tabla15[[#This Row],[Columna23]]</f>
        <v>860683.56499999994</v>
      </c>
      <c r="E174" s="53">
        <f>+Tabla15[[#This Row],[DPP ORO]]</f>
        <v>727589.79999999993</v>
      </c>
      <c r="F174" s="53">
        <f>+Tabla15[[#This Row],[DPP PLATINO]]</f>
        <v>720313.90199999989</v>
      </c>
      <c r="G174" s="53">
        <f>+Tabla15[[#This Row],[PRECIO INSTALADOR
( CON  IVA)]]/0.7</f>
        <v>1294261</v>
      </c>
      <c r="H174" s="51">
        <f>+Tabla15[[#This Row],[PRECIO INSTALADOR
( CON  IVA)]]*5%</f>
        <v>45299.135000000002</v>
      </c>
      <c r="I174" s="12" t="e">
        <f t="shared" si="31"/>
        <v>#REF!</v>
      </c>
      <c r="J174" s="12" t="e">
        <f t="shared" si="32"/>
        <v>#REF!</v>
      </c>
      <c r="K174" s="15" t="e">
        <f t="shared" si="33"/>
        <v>#REF!</v>
      </c>
      <c r="L174" s="15" t="e">
        <f>+M174/#REF!</f>
        <v>#REF!</v>
      </c>
      <c r="M174" s="15">
        <f t="shared" si="34"/>
        <v>720313.90199999989</v>
      </c>
      <c r="N174" s="13">
        <f t="shared" si="30"/>
        <v>7275.8979999999992</v>
      </c>
      <c r="O174" s="12" t="e">
        <f>+P174/#REF!</f>
        <v>#REF!</v>
      </c>
      <c r="P174" s="14">
        <f>Tabla15[[#This Row],[ORO SIN IVA]]*1.19</f>
        <v>727589.79999999993</v>
      </c>
      <c r="Q174" s="12" t="e">
        <f>+R174/#REF!</f>
        <v>#REF!</v>
      </c>
      <c r="R174" s="13">
        <f>Tabla15[[#This Row],[INSTALLER SIN IVA]]*1.19</f>
        <v>905982.7</v>
      </c>
      <c r="S174" s="12">
        <v>611420</v>
      </c>
      <c r="T174" s="12">
        <v>761330</v>
      </c>
    </row>
    <row r="175" spans="1:25" ht="27" x14ac:dyDescent="0.25">
      <c r="A175" s="49" t="s">
        <v>96</v>
      </c>
      <c r="B175" s="50" t="s">
        <v>382</v>
      </c>
      <c r="C175" s="53">
        <f>+Tabla15[[#This Row],[PRECIO SUGERIDO INSTALADOR]]</f>
        <v>2857994.44</v>
      </c>
      <c r="D175" s="53">
        <f>+Tabla15[[#This Row],[PRECIO INSTALADOR
( CON  IVA)]]-Tabla15[[#This Row],[Columna23]]</f>
        <v>2715094.7179999999</v>
      </c>
      <c r="E175" s="53">
        <f>+Tabla15[[#This Row],[DPP ORO]]</f>
        <v>2295276.7599999998</v>
      </c>
      <c r="F175" s="53">
        <f>+Tabla15[[#This Row],[DPP PLATINO]]</f>
        <v>2272323.9923999999</v>
      </c>
      <c r="G175" s="53">
        <f>+Tabla15[[#This Row],[PRECIO INSTALADOR
( CON  IVA)]]/0.7</f>
        <v>4082849.2</v>
      </c>
      <c r="H175" s="51">
        <f>+Tabla15[[#This Row],[PRECIO INSTALADOR
( CON  IVA)]]*5%</f>
        <v>142899.72200000001</v>
      </c>
      <c r="I175" s="12" t="e">
        <f t="shared" si="31"/>
        <v>#REF!</v>
      </c>
      <c r="J175" s="12" t="e">
        <f t="shared" si="32"/>
        <v>#REF!</v>
      </c>
      <c r="K175" s="15" t="e">
        <f t="shared" si="33"/>
        <v>#REF!</v>
      </c>
      <c r="L175" s="15" t="e">
        <f>+M175/#REF!</f>
        <v>#REF!</v>
      </c>
      <c r="M175" s="15">
        <f t="shared" si="34"/>
        <v>2272323.9923999999</v>
      </c>
      <c r="N175" s="13">
        <f t="shared" si="30"/>
        <v>22952.767599999999</v>
      </c>
      <c r="O175" s="12" t="e">
        <f>+P175/#REF!</f>
        <v>#REF!</v>
      </c>
      <c r="P175" s="14">
        <f>Tabla15[[#This Row],[ORO SIN IVA]]*1.19</f>
        <v>2295276.7599999998</v>
      </c>
      <c r="Q175" s="12" t="e">
        <f>+R175/#REF!</f>
        <v>#REF!</v>
      </c>
      <c r="R175" s="13">
        <f>Tabla15[[#This Row],[INSTALLER SIN IVA]]*1.19</f>
        <v>2857994.44</v>
      </c>
      <c r="S175" s="12">
        <v>1928804</v>
      </c>
      <c r="T175" s="12">
        <v>2401676</v>
      </c>
    </row>
    <row r="176" spans="1:25" ht="27" x14ac:dyDescent="0.25">
      <c r="A176" s="49" t="s">
        <v>7</v>
      </c>
      <c r="B176" s="50" t="s">
        <v>383</v>
      </c>
      <c r="C176" s="53">
        <f>+Tabla15[[#This Row],[PRECIO SUGERIDO INSTALADOR]]</f>
        <v>3858441.7199999997</v>
      </c>
      <c r="D176" s="53">
        <f>+Tabla15[[#This Row],[PRECIO INSTALADOR
( CON  IVA)]]-Tabla15[[#This Row],[Columna23]]</f>
        <v>3665519.6339999996</v>
      </c>
      <c r="E176" s="53">
        <f>+Tabla15[[#This Row],[DPP ORO]]</f>
        <v>3098655.28</v>
      </c>
      <c r="F176" s="53">
        <f>+Tabla15[[#This Row],[DPP PLATINO]]</f>
        <v>3067668.7271999996</v>
      </c>
      <c r="G176" s="53">
        <f>+Tabla15[[#This Row],[PRECIO INSTALADOR
( CON  IVA)]]/0.7</f>
        <v>5512059.5999999996</v>
      </c>
      <c r="H176" s="51">
        <f>+Tabla15[[#This Row],[PRECIO INSTALADOR
( CON  IVA)]]*5%</f>
        <v>192922.08600000001</v>
      </c>
      <c r="I176" s="12" t="e">
        <f t="shared" si="31"/>
        <v>#REF!</v>
      </c>
      <c r="J176" s="12" t="e">
        <f t="shared" si="32"/>
        <v>#REF!</v>
      </c>
      <c r="K176" s="15" t="e">
        <f t="shared" si="33"/>
        <v>#REF!</v>
      </c>
      <c r="L176" s="15" t="e">
        <f>+M176/#REF!</f>
        <v>#REF!</v>
      </c>
      <c r="M176" s="15">
        <f t="shared" si="34"/>
        <v>3067668.7271999996</v>
      </c>
      <c r="N176" s="13">
        <f t="shared" si="30"/>
        <v>30986.552799999998</v>
      </c>
      <c r="O176" s="12" t="e">
        <f>+P176/#REF!</f>
        <v>#REF!</v>
      </c>
      <c r="P176" s="14">
        <f>Tabla15[[#This Row],[ORO SIN IVA]]*1.19</f>
        <v>3098655.28</v>
      </c>
      <c r="Q176" s="12" t="e">
        <f>+R176/#REF!</f>
        <v>#REF!</v>
      </c>
      <c r="R176" s="13">
        <f>Tabla15[[#This Row],[INSTALLER SIN IVA]]*1.19</f>
        <v>3858441.7199999997</v>
      </c>
      <c r="S176" s="12">
        <v>2603912</v>
      </c>
      <c r="T176" s="12">
        <v>3242388</v>
      </c>
    </row>
    <row r="177" spans="1:20" ht="40.5" x14ac:dyDescent="0.25">
      <c r="A177" s="49" t="s">
        <v>113</v>
      </c>
      <c r="B177" s="50" t="s">
        <v>112</v>
      </c>
      <c r="C177" s="53">
        <f>+Tabla15[[#This Row],[PRECIO SUGERIDO INSTALADOR]]</f>
        <v>2499490.2799999998</v>
      </c>
      <c r="D177" s="53">
        <f>+Tabla15[[#This Row],[PRECIO INSTALADOR
( CON  IVA)]]-Tabla15[[#This Row],[Columna23]]</f>
        <v>2374515.7659999998</v>
      </c>
      <c r="E177" s="53">
        <f>+Tabla15[[#This Row],[DPP ORO]]</f>
        <v>2125430.44</v>
      </c>
      <c r="F177" s="53">
        <f>+Tabla15[[#This Row],[DPP PLATINO]]</f>
        <v>2104176.1356000002</v>
      </c>
      <c r="G177" s="53">
        <f>+Tabla15[[#This Row],[PRECIO INSTALADOR
( CON  IVA)]]/0.7</f>
        <v>3570700.4</v>
      </c>
      <c r="H177" s="51">
        <f>+Tabla15[[#This Row],[PRECIO INSTALADOR
( CON  IVA)]]*5%</f>
        <v>124974.514</v>
      </c>
      <c r="I177" s="12" t="e">
        <f t="shared" si="31"/>
        <v>#REF!</v>
      </c>
      <c r="J177" s="12" t="e">
        <f t="shared" si="32"/>
        <v>#REF!</v>
      </c>
      <c r="K177" s="15" t="e">
        <f t="shared" si="33"/>
        <v>#REF!</v>
      </c>
      <c r="L177" s="15" t="e">
        <f>+M177/#REF!</f>
        <v>#REF!</v>
      </c>
      <c r="M177" s="15">
        <f t="shared" si="34"/>
        <v>2104176.1356000002</v>
      </c>
      <c r="N177" s="13">
        <f t="shared" si="30"/>
        <v>21254.304400000001</v>
      </c>
      <c r="O177" s="12" t="e">
        <f>+P177/#REF!</f>
        <v>#REF!</v>
      </c>
      <c r="P177" s="14">
        <f>Tabla15[[#This Row],[ORO SIN IVA]]*1.19</f>
        <v>2125430.44</v>
      </c>
      <c r="Q177" s="12" t="e">
        <f>+R177/#REF!</f>
        <v>#REF!</v>
      </c>
      <c r="R177" s="13">
        <f>Tabla15[[#This Row],[INSTALLER SIN IVA]]*1.19</f>
        <v>2499490.2799999998</v>
      </c>
      <c r="S177" s="12">
        <v>1786076</v>
      </c>
      <c r="T177" s="12">
        <v>2100412</v>
      </c>
    </row>
    <row r="178" spans="1:20" ht="81" x14ac:dyDescent="0.25">
      <c r="A178" s="49" t="s">
        <v>384</v>
      </c>
      <c r="B178" s="50" t="s">
        <v>385</v>
      </c>
      <c r="C178" s="53">
        <f>+Tabla15[[#This Row],[PRECIO SUGERIDO INSTALADOR]]</f>
        <v>2499490.2799999998</v>
      </c>
      <c r="D178" s="53">
        <f>+Tabla15[[#This Row],[PRECIO INSTALADOR
( CON  IVA)]]-Tabla15[[#This Row],[Columna23]]</f>
        <v>2374515.7659999998</v>
      </c>
      <c r="E178" s="53">
        <f>+Tabla15[[#This Row],[DPP ORO]]</f>
        <v>2125430.44</v>
      </c>
      <c r="F178" s="53">
        <f>+Tabla15[[#This Row],[DPP PLATINO]]</f>
        <v>2104176.1356000002</v>
      </c>
      <c r="G178" s="53">
        <f>+Tabla15[[#This Row],[PRECIO INSTALADOR
( CON  IVA)]]/0.7</f>
        <v>3570700.4</v>
      </c>
      <c r="H178" s="51">
        <f>+Tabla15[[#This Row],[PRECIO INSTALADOR
( CON  IVA)]]*5%</f>
        <v>124974.514</v>
      </c>
      <c r="I178" s="12" t="e">
        <f t="shared" si="31"/>
        <v>#REF!</v>
      </c>
      <c r="J178" s="12" t="e">
        <f t="shared" si="32"/>
        <v>#REF!</v>
      </c>
      <c r="K178" s="15" t="e">
        <f t="shared" si="33"/>
        <v>#REF!</v>
      </c>
      <c r="L178" s="15" t="e">
        <f>+M178/#REF!</f>
        <v>#REF!</v>
      </c>
      <c r="M178" s="15">
        <f t="shared" si="34"/>
        <v>2104176.1356000002</v>
      </c>
      <c r="N178" s="13">
        <f t="shared" si="30"/>
        <v>21254.304400000001</v>
      </c>
      <c r="O178" s="12" t="e">
        <f>+P178/#REF!</f>
        <v>#REF!</v>
      </c>
      <c r="P178" s="14">
        <f>Tabla15[[#This Row],[ORO SIN IVA]]*1.19</f>
        <v>2125430.44</v>
      </c>
      <c r="Q178" s="12" t="e">
        <f>+R178/#REF!</f>
        <v>#REF!</v>
      </c>
      <c r="R178" s="13">
        <f>Tabla15[[#This Row],[INSTALLER SIN IVA]]*1.19</f>
        <v>2499490.2799999998</v>
      </c>
      <c r="S178" s="12">
        <v>1786076</v>
      </c>
      <c r="T178" s="12">
        <v>2100412</v>
      </c>
    </row>
    <row r="179" spans="1:20" ht="40.5" x14ac:dyDescent="0.25">
      <c r="A179" s="49" t="s">
        <v>386</v>
      </c>
      <c r="B179" s="50" t="s">
        <v>387</v>
      </c>
      <c r="C179" s="53">
        <f>+Tabla15[[#This Row],[PRECIO SUGERIDO INSTALADOR]]</f>
        <v>36771592.619999997</v>
      </c>
      <c r="D179" s="53">
        <f>+Tabla15[[#This Row],[PRECIO INSTALADOR
( CON  IVA)]]-Tabla15[[#This Row],[Columna23]]</f>
        <v>34933012.989</v>
      </c>
      <c r="E179" s="53">
        <f>+Tabla15[[#This Row],[DPP ORO]]</f>
        <v>30011700.039999999</v>
      </c>
      <c r="F179" s="53">
        <f>+Tabla15[[#This Row],[DPP PLATINO]]</f>
        <v>29711583.0396</v>
      </c>
      <c r="G179" s="53">
        <f>+Tabla15[[#This Row],[PRECIO INSTALADOR
( CON  IVA)]]/0.7</f>
        <v>52530846.600000001</v>
      </c>
      <c r="H179" s="51">
        <f>+Tabla15[[#This Row],[PRECIO INSTALADOR
( CON  IVA)]]*5%</f>
        <v>1838579.6310000001</v>
      </c>
      <c r="I179" s="12" t="e">
        <f t="shared" si="31"/>
        <v>#REF!</v>
      </c>
      <c r="J179" s="12" t="e">
        <f t="shared" si="32"/>
        <v>#REF!</v>
      </c>
      <c r="K179" s="15" t="e">
        <f t="shared" si="33"/>
        <v>#REF!</v>
      </c>
      <c r="L179" s="15" t="e">
        <f>+M179/#REF!</f>
        <v>#REF!</v>
      </c>
      <c r="M179" s="15">
        <f t="shared" si="34"/>
        <v>29711583.0396</v>
      </c>
      <c r="N179" s="13">
        <f t="shared" si="30"/>
        <v>300117.00040000002</v>
      </c>
      <c r="O179" s="12" t="e">
        <f>+P179/#REF!</f>
        <v>#REF!</v>
      </c>
      <c r="P179" s="14">
        <f>Tabla15[[#This Row],[ORO SIN IVA]]*1.19</f>
        <v>30011700.039999999</v>
      </c>
      <c r="Q179" s="12" t="e">
        <f>+R179/#REF!</f>
        <v>#REF!</v>
      </c>
      <c r="R179" s="13">
        <f>Tabla15[[#This Row],[INSTALLER SIN IVA]]*1.19</f>
        <v>36771592.619999997</v>
      </c>
      <c r="S179" s="12">
        <v>25219916</v>
      </c>
      <c r="T179" s="12">
        <v>30900498</v>
      </c>
    </row>
    <row r="180" spans="1:20" ht="40.5" x14ac:dyDescent="0.25">
      <c r="A180" s="49" t="s">
        <v>186</v>
      </c>
      <c r="B180" s="50" t="s">
        <v>187</v>
      </c>
      <c r="C180" s="53">
        <f>+Tabla15[[#This Row],[PRECIO SUGERIDO INSTALADOR]]</f>
        <v>22304299.709999997</v>
      </c>
      <c r="D180" s="53">
        <f>+Tabla15[[#This Row],[PRECIO INSTALADOR
( CON  IVA)]]-Tabla15[[#This Row],[Columna23]]</f>
        <v>21189084.724499997</v>
      </c>
      <c r="E180" s="53">
        <f>+Tabla15[[#This Row],[DPP ORO]]</f>
        <v>20607233.57</v>
      </c>
      <c r="F180" s="53">
        <f>+Tabla15[[#This Row],[DPP PLATINO]]</f>
        <v>20401161.234299999</v>
      </c>
      <c r="G180" s="53">
        <f>+Tabla15[[#This Row],[PRECIO INSTALADOR
( CON  IVA)]]/0.7</f>
        <v>31863285.299999997</v>
      </c>
      <c r="H180" s="51">
        <f>+Tabla15[[#This Row],[PRECIO INSTALADOR
( CON  IVA)]]*5%</f>
        <v>1115214.9855</v>
      </c>
      <c r="I180" s="12" t="e">
        <f t="shared" si="31"/>
        <v>#REF!</v>
      </c>
      <c r="J180" s="12" t="e">
        <f t="shared" si="32"/>
        <v>#REF!</v>
      </c>
      <c r="K180" s="15" t="e">
        <f t="shared" si="33"/>
        <v>#REF!</v>
      </c>
      <c r="L180" s="15" t="e">
        <f>+M180/#REF!</f>
        <v>#REF!</v>
      </c>
      <c r="M180" s="15">
        <f t="shared" si="34"/>
        <v>20401161.234299999</v>
      </c>
      <c r="N180" s="13">
        <f t="shared" si="30"/>
        <v>206072.3357</v>
      </c>
      <c r="O180" s="12" t="e">
        <f>+P180/#REF!</f>
        <v>#REF!</v>
      </c>
      <c r="P180" s="14">
        <f>Tabla15[[#This Row],[ORO SIN IVA]]*1.19</f>
        <v>20607233.57</v>
      </c>
      <c r="Q180" s="12" t="e">
        <f>+R180/#REF!</f>
        <v>#REF!</v>
      </c>
      <c r="R180" s="13">
        <f>Tabla15[[#This Row],[INSTALLER SIN IVA]]*1.19</f>
        <v>22304299.709999997</v>
      </c>
      <c r="S180" s="12">
        <v>17317003</v>
      </c>
      <c r="T180" s="12">
        <v>18743109</v>
      </c>
    </row>
    <row r="181" spans="1:20" ht="121.5" x14ac:dyDescent="0.25">
      <c r="A181" s="49" t="s">
        <v>388</v>
      </c>
      <c r="B181" s="50" t="s">
        <v>389</v>
      </c>
      <c r="C181" s="53">
        <f>+Tabla15[[#This Row],[PRECIO SUGERIDO INSTALADOR]]</f>
        <v>53897672.780000001</v>
      </c>
      <c r="D181" s="53">
        <f>+Tabla15[[#This Row],[PRECIO INSTALADOR
( CON  IVA)]]-Tabla15[[#This Row],[Columna23]]</f>
        <v>51202789.141000003</v>
      </c>
      <c r="E181" s="53">
        <f>+Tabla15[[#This Row],[DPP ORO]]</f>
        <v>43989473.359999999</v>
      </c>
      <c r="F181" s="53">
        <f>+Tabla15[[#This Row],[DPP PLATINO]]</f>
        <v>43549578.626400001</v>
      </c>
      <c r="G181" s="53">
        <f>+Tabla15[[#This Row],[PRECIO INSTALADOR
( CON  IVA)]]/0.7</f>
        <v>76996675.400000006</v>
      </c>
      <c r="H181" s="51">
        <f>+Tabla15[[#This Row],[PRECIO INSTALADOR
( CON  IVA)]]*5%</f>
        <v>2694883.6390000004</v>
      </c>
      <c r="I181" s="12" t="e">
        <f t="shared" si="31"/>
        <v>#REF!</v>
      </c>
      <c r="J181" s="12" t="e">
        <f t="shared" si="32"/>
        <v>#REF!</v>
      </c>
      <c r="K181" s="15" t="e">
        <f t="shared" si="33"/>
        <v>#REF!</v>
      </c>
      <c r="L181" s="15" t="e">
        <f>+M181/#REF!</f>
        <v>#REF!</v>
      </c>
      <c r="M181" s="15">
        <f t="shared" si="34"/>
        <v>43549578.626400001</v>
      </c>
      <c r="N181" s="13">
        <f t="shared" si="30"/>
        <v>439894.73359999998</v>
      </c>
      <c r="O181" s="12" t="e">
        <f>+P181/#REF!</f>
        <v>#REF!</v>
      </c>
      <c r="P181" s="14">
        <f>Tabla15[[#This Row],[ORO SIN IVA]]*1.19</f>
        <v>43989473.359999999</v>
      </c>
      <c r="Q181" s="12" t="e">
        <f>+R181/#REF!</f>
        <v>#REF!</v>
      </c>
      <c r="R181" s="13">
        <f>Tabla15[[#This Row],[INSTALLER SIN IVA]]*1.19</f>
        <v>53897672.780000001</v>
      </c>
      <c r="S181" s="12">
        <v>36965944</v>
      </c>
      <c r="T181" s="12">
        <v>45292162</v>
      </c>
    </row>
    <row r="182" spans="1:20" ht="40.5" x14ac:dyDescent="0.25">
      <c r="A182" s="49" t="s">
        <v>390</v>
      </c>
      <c r="B182" s="50" t="s">
        <v>391</v>
      </c>
      <c r="C182" s="53">
        <f>+Tabla15[[#This Row],[PRECIO SUGERIDO INSTALADOR]]</f>
        <v>3400408.34</v>
      </c>
      <c r="D182" s="53">
        <f>+Tabla15[[#This Row],[PRECIO INSTALADOR
( CON  IVA)]]-Tabla15[[#This Row],[Columna23]]</f>
        <v>3230387.923</v>
      </c>
      <c r="E182" s="53">
        <f>+Tabla15[[#This Row],[DPP ORO]]</f>
        <v>2775241.84</v>
      </c>
      <c r="F182" s="53">
        <f>+Tabla15[[#This Row],[DPP PLATINO]]</f>
        <v>2747489.4216</v>
      </c>
      <c r="G182" s="53">
        <f>+Tabla15[[#This Row],[PRECIO INSTALADOR
( CON  IVA)]]/0.7</f>
        <v>4857726.2</v>
      </c>
      <c r="H182" s="51">
        <f>+Tabla15[[#This Row],[PRECIO INSTALADOR
( CON  IVA)]]*5%</f>
        <v>170020.41700000002</v>
      </c>
      <c r="I182" s="12" t="e">
        <f t="shared" si="31"/>
        <v>#REF!</v>
      </c>
      <c r="J182" s="12" t="e">
        <f t="shared" si="32"/>
        <v>#REF!</v>
      </c>
      <c r="K182" s="15" t="e">
        <f t="shared" si="33"/>
        <v>#REF!</v>
      </c>
      <c r="L182" s="15" t="e">
        <f>+M182/#REF!</f>
        <v>#REF!</v>
      </c>
      <c r="M182" s="15">
        <f t="shared" si="34"/>
        <v>2747489.4216</v>
      </c>
      <c r="N182" s="13">
        <f t="shared" si="30"/>
        <v>27752.418399999999</v>
      </c>
      <c r="O182" s="12" t="e">
        <f>+P182/#REF!</f>
        <v>#REF!</v>
      </c>
      <c r="P182" s="14">
        <f>Tabla15[[#This Row],[ORO SIN IVA]]*1.19</f>
        <v>2775241.84</v>
      </c>
      <c r="Q182" s="12" t="e">
        <f>+R182/#REF!</f>
        <v>#REF!</v>
      </c>
      <c r="R182" s="13">
        <f>Tabla15[[#This Row],[INSTALLER SIN IVA]]*1.19</f>
        <v>3400408.34</v>
      </c>
      <c r="S182" s="12">
        <v>2332136</v>
      </c>
      <c r="T182" s="12">
        <v>2857486</v>
      </c>
    </row>
    <row r="183" spans="1:20" ht="94.5" x14ac:dyDescent="0.25">
      <c r="A183" s="49" t="s">
        <v>392</v>
      </c>
      <c r="B183" s="50" t="s">
        <v>393</v>
      </c>
      <c r="C183" s="53">
        <f>+Tabla15[[#This Row],[PRECIO SUGERIDO INSTALADOR]]</f>
        <v>4928844.34</v>
      </c>
      <c r="D183" s="53">
        <f>+Tabla15[[#This Row],[PRECIO INSTALADOR
( CON  IVA)]]-Tabla15[[#This Row],[Columna23]]</f>
        <v>4682402.1229999997</v>
      </c>
      <c r="E183" s="53">
        <f>+Tabla15[[#This Row],[DPP ORO]]</f>
        <v>4022725.98</v>
      </c>
      <c r="F183" s="53">
        <f>+Tabla15[[#This Row],[DPP PLATINO]]</f>
        <v>3982498.7201999999</v>
      </c>
      <c r="G183" s="53">
        <f>+Tabla15[[#This Row],[PRECIO INSTALADOR
( CON  IVA)]]/0.7</f>
        <v>7041206.2000000002</v>
      </c>
      <c r="H183" s="51">
        <f>+Tabla15[[#This Row],[PRECIO INSTALADOR
( CON  IVA)]]*5%</f>
        <v>246442.217</v>
      </c>
      <c r="I183" s="12" t="e">
        <f t="shared" si="31"/>
        <v>#REF!</v>
      </c>
      <c r="J183" s="12" t="e">
        <f t="shared" si="32"/>
        <v>#REF!</v>
      </c>
      <c r="K183" s="15" t="e">
        <f t="shared" si="33"/>
        <v>#REF!</v>
      </c>
      <c r="L183" s="15" t="e">
        <f>+M183/#REF!</f>
        <v>#REF!</v>
      </c>
      <c r="M183" s="15">
        <f t="shared" si="34"/>
        <v>3982498.7201999999</v>
      </c>
      <c r="N183" s="13">
        <f t="shared" si="30"/>
        <v>40227.2598</v>
      </c>
      <c r="O183" s="12" t="e">
        <f>+P183/#REF!</f>
        <v>#REF!</v>
      </c>
      <c r="P183" s="14">
        <f>Tabla15[[#This Row],[ORO SIN IVA]]*1.19</f>
        <v>4022725.98</v>
      </c>
      <c r="Q183" s="12" t="e">
        <f>+R183/#REF!</f>
        <v>#REF!</v>
      </c>
      <c r="R183" s="13">
        <f>Tabla15[[#This Row],[INSTALLER SIN IVA]]*1.19</f>
        <v>4928844.34</v>
      </c>
      <c r="S183" s="12">
        <v>3380442</v>
      </c>
      <c r="T183" s="12">
        <v>4141886</v>
      </c>
    </row>
    <row r="184" spans="1:20" ht="54" x14ac:dyDescent="0.25">
      <c r="A184" s="49" t="s">
        <v>394</v>
      </c>
      <c r="B184" s="50" t="s">
        <v>395</v>
      </c>
      <c r="C184" s="53">
        <f>+Tabla15[[#This Row],[PRECIO SUGERIDO INSTALADOR]]</f>
        <v>2946263.88</v>
      </c>
      <c r="D184" s="53">
        <f>+Tabla15[[#This Row],[PRECIO INSTALADOR
( CON  IVA)]]-Tabla15[[#This Row],[Columna23]]</f>
        <v>2798950.6859999998</v>
      </c>
      <c r="E184" s="53">
        <f>+Tabla15[[#This Row],[DPP ORO]]</f>
        <v>2404618.7199999997</v>
      </c>
      <c r="F184" s="53">
        <f>+Tabla15[[#This Row],[DPP PLATINO]]</f>
        <v>2380572.5327999997</v>
      </c>
      <c r="G184" s="53">
        <f>+Tabla15[[#This Row],[PRECIO INSTALADOR
( CON  IVA)]]/0.7</f>
        <v>4208948.4000000004</v>
      </c>
      <c r="H184" s="45">
        <f>+Tabla15[[#This Row],[PRECIO INSTALADOR
( CON  IVA)]]*5%</f>
        <v>147313.19399999999</v>
      </c>
      <c r="I184" s="18" t="e">
        <f t="shared" si="31"/>
        <v>#REF!</v>
      </c>
      <c r="J184" s="18" t="e">
        <f t="shared" si="32"/>
        <v>#REF!</v>
      </c>
      <c r="K184" s="17" t="e">
        <f t="shared" si="33"/>
        <v>#REF!</v>
      </c>
      <c r="L184" s="17" t="e">
        <f>+M184/#REF!</f>
        <v>#REF!</v>
      </c>
      <c r="M184" s="17">
        <f t="shared" si="34"/>
        <v>2380572.5327999997</v>
      </c>
      <c r="N184" s="19">
        <f t="shared" si="30"/>
        <v>24046.187199999997</v>
      </c>
      <c r="O184" s="18" t="e">
        <f>+P184/#REF!</f>
        <v>#REF!</v>
      </c>
      <c r="P184" s="20">
        <f>Tabla15[[#This Row],[ORO SIN IVA]]*1.19</f>
        <v>2404618.7199999997</v>
      </c>
      <c r="Q184" s="18" t="e">
        <f>+R184/#REF!</f>
        <v>#REF!</v>
      </c>
      <c r="R184" s="19">
        <f>Tabla15[[#This Row],[INSTALLER SIN IVA]]*1.19</f>
        <v>2946263.88</v>
      </c>
      <c r="S184" s="12">
        <v>2020688</v>
      </c>
      <c r="T184" s="12">
        <v>2475852</v>
      </c>
    </row>
    <row r="185" spans="1:20" ht="40.5" x14ac:dyDescent="0.25">
      <c r="A185" s="49" t="s">
        <v>396</v>
      </c>
      <c r="B185" s="50" t="s">
        <v>397</v>
      </c>
      <c r="C185" s="53">
        <f>+Tabla15[[#This Row],[PRECIO SUGERIDO INSTALADOR]]</f>
        <v>47565651.839999996</v>
      </c>
      <c r="D185" s="53">
        <f>+Tabla15[[#This Row],[PRECIO INSTALADOR
( CON  IVA)]]-Tabla15[[#This Row],[Columna23]]</f>
        <v>45187369.247999996</v>
      </c>
      <c r="E185" s="53">
        <f>+Tabla15[[#This Row],[DPP ORO]]</f>
        <v>38553741.379999995</v>
      </c>
      <c r="F185" s="53">
        <f>+Tabla15[[#This Row],[DPP PLATINO]]</f>
        <v>38168203.966199994</v>
      </c>
      <c r="G185" s="53">
        <f>+Tabla15[[#This Row],[PRECIO INSTALADOR
( CON  IVA)]]/0.7</f>
        <v>67950931.200000003</v>
      </c>
      <c r="H185" s="45">
        <f>+Tabla15[[#This Row],[PRECIO INSTALADOR
( CON  IVA)]]*5%</f>
        <v>2378282.5919999997</v>
      </c>
      <c r="I185" s="18" t="e">
        <f t="shared" si="31"/>
        <v>#REF!</v>
      </c>
      <c r="J185" s="18" t="e">
        <f t="shared" si="32"/>
        <v>#REF!</v>
      </c>
      <c r="K185" s="17" t="e">
        <f t="shared" si="33"/>
        <v>#REF!</v>
      </c>
      <c r="L185" s="17" t="e">
        <f>+M185/#REF!</f>
        <v>#REF!</v>
      </c>
      <c r="M185" s="17">
        <f t="shared" si="34"/>
        <v>38168203.966199994</v>
      </c>
      <c r="N185" s="19">
        <f t="shared" si="30"/>
        <v>385537.41379999998</v>
      </c>
      <c r="O185" s="18" t="e">
        <f>+P185/#REF!</f>
        <v>#REF!</v>
      </c>
      <c r="P185" s="20">
        <f>Tabla15[[#This Row],[ORO SIN IVA]]*1.19</f>
        <v>38553741.379999995</v>
      </c>
      <c r="Q185" s="18" t="e">
        <f>+R185/#REF!</f>
        <v>#REF!</v>
      </c>
      <c r="R185" s="19">
        <f>Tabla15[[#This Row],[INSTALLER SIN IVA]]*1.19</f>
        <v>47565651.839999996</v>
      </c>
      <c r="S185" s="18">
        <v>32398102</v>
      </c>
      <c r="T185" s="12">
        <v>39971136</v>
      </c>
    </row>
    <row r="186" spans="1:20" ht="54" x14ac:dyDescent="0.25">
      <c r="A186" s="49" t="s">
        <v>398</v>
      </c>
      <c r="B186" s="50" t="s">
        <v>399</v>
      </c>
      <c r="C186" s="53">
        <f>+Tabla15[[#This Row],[PRECIO SUGERIDO INSTALADOR]]</f>
        <v>51611711.339999996</v>
      </c>
      <c r="D186" s="53">
        <f>+Tabla15[[#This Row],[PRECIO INSTALADOR
( CON  IVA)]]-Tabla15[[#This Row],[Columna23]]</f>
        <v>49031125.772999994</v>
      </c>
      <c r="E186" s="53">
        <f>+Tabla15[[#This Row],[DPP ORO]]</f>
        <v>42123741.379999995</v>
      </c>
      <c r="F186" s="53">
        <f>+Tabla15[[#This Row],[DPP PLATINO]]</f>
        <v>41702503.966199994</v>
      </c>
      <c r="G186" s="53">
        <f>+Tabla15[[#This Row],[PRECIO INSTALADOR
( CON  IVA)]]/0.7</f>
        <v>73731016.200000003</v>
      </c>
      <c r="H186" s="45">
        <f>+Tabla15[[#This Row],[PRECIO INSTALADOR
( CON  IVA)]]*5%</f>
        <v>2580585.5669999998</v>
      </c>
      <c r="I186" s="18" t="e">
        <f t="shared" si="31"/>
        <v>#REF!</v>
      </c>
      <c r="J186" s="18" t="e">
        <f t="shared" si="32"/>
        <v>#REF!</v>
      </c>
      <c r="K186" s="17" t="e">
        <f t="shared" si="33"/>
        <v>#REF!</v>
      </c>
      <c r="L186" s="17" t="e">
        <f>+M186/#REF!</f>
        <v>#REF!</v>
      </c>
      <c r="M186" s="17">
        <f t="shared" si="34"/>
        <v>41702503.966199994</v>
      </c>
      <c r="N186" s="19">
        <f t="shared" si="30"/>
        <v>421237.41379999998</v>
      </c>
      <c r="O186" s="18" t="e">
        <f>+P186/#REF!</f>
        <v>#REF!</v>
      </c>
      <c r="P186" s="20">
        <f>Tabla15[[#This Row],[ORO SIN IVA]]*1.19</f>
        <v>42123741.379999995</v>
      </c>
      <c r="Q186" s="18" t="e">
        <f>+R186/#REF!</f>
        <v>#REF!</v>
      </c>
      <c r="R186" s="19">
        <f>Tabla15[[#This Row],[INSTALLER SIN IVA]]*1.19</f>
        <v>51611711.339999996</v>
      </c>
      <c r="S186" s="18">
        <v>35398102</v>
      </c>
      <c r="T186" s="18">
        <v>43371186</v>
      </c>
    </row>
    <row r="187" spans="1:20" ht="54" x14ac:dyDescent="0.25">
      <c r="A187" s="49" t="s">
        <v>400</v>
      </c>
      <c r="B187" s="50" t="s">
        <v>401</v>
      </c>
      <c r="C187" s="53">
        <f>+Tabla15[[#This Row],[PRECIO SUGERIDO INSTALADOR]]</f>
        <v>104954670.38</v>
      </c>
      <c r="D187" s="53">
        <f>+Tabla15[[#This Row],[PRECIO INSTALADOR
( CON  IVA)]]-Tabla15[[#This Row],[Columna23]]</f>
        <v>99706936.861000001</v>
      </c>
      <c r="E187" s="53">
        <f>+Tabla15[[#This Row],[DPP ORO]]</f>
        <v>85660517.319999993</v>
      </c>
      <c r="F187" s="53">
        <f>+Tabla15[[#This Row],[DPP PLATINO]]</f>
        <v>84803912.146799996</v>
      </c>
      <c r="G187" s="53">
        <f>+Tabla15[[#This Row],[PRECIO INSTALADOR
( CON  IVA)]]/0.7</f>
        <v>149935243.40000001</v>
      </c>
      <c r="H187" s="45">
        <f>+Tabla15[[#This Row],[PRECIO INSTALADOR
( CON  IVA)]]*5%</f>
        <v>5247733.5190000003</v>
      </c>
      <c r="I187" s="18" t="e">
        <f t="shared" si="31"/>
        <v>#REF!</v>
      </c>
      <c r="J187" s="18" t="e">
        <f t="shared" si="32"/>
        <v>#REF!</v>
      </c>
      <c r="K187" s="17" t="e">
        <f t="shared" si="33"/>
        <v>#REF!</v>
      </c>
      <c r="L187" s="17" t="e">
        <f>+M187/#REF!</f>
        <v>#REF!</v>
      </c>
      <c r="M187" s="17">
        <f t="shared" si="34"/>
        <v>84803912.146799996</v>
      </c>
      <c r="N187" s="19">
        <f t="shared" si="30"/>
        <v>856605.17319999996</v>
      </c>
      <c r="O187" s="18" t="e">
        <f>+P187/#REF!</f>
        <v>#REF!</v>
      </c>
      <c r="P187" s="20">
        <f>Tabla15[[#This Row],[ORO SIN IVA]]*1.19</f>
        <v>85660517.319999993</v>
      </c>
      <c r="Q187" s="18" t="e">
        <f>+R187/#REF!</f>
        <v>#REF!</v>
      </c>
      <c r="R187" s="19">
        <f>Tabla15[[#This Row],[INSTALLER SIN IVA]]*1.19</f>
        <v>104954670.38</v>
      </c>
      <c r="S187" s="18">
        <v>71983628</v>
      </c>
      <c r="T187" s="18">
        <v>88197202</v>
      </c>
    </row>
    <row r="188" spans="1:20" ht="40.5" x14ac:dyDescent="0.25">
      <c r="A188" s="49" t="s">
        <v>125</v>
      </c>
      <c r="B188" s="50" t="s">
        <v>402</v>
      </c>
      <c r="C188" s="53">
        <f>+Tabla15[[#This Row],[PRECIO SUGERIDO INSTALADOR]]</f>
        <v>499047.92</v>
      </c>
      <c r="D188" s="53">
        <f>+Tabla15[[#This Row],[PRECIO INSTALADOR
( CON  IVA)]]-Tabla15[[#This Row],[Columna23]]</f>
        <v>474095.52399999998</v>
      </c>
      <c r="E188" s="53">
        <f>+Tabla15[[#This Row],[DPP ORO]]</f>
        <v>402910.19999999995</v>
      </c>
      <c r="F188" s="53">
        <f>+Tabla15[[#This Row],[DPP PLATINO]]</f>
        <v>398881.09799999994</v>
      </c>
      <c r="G188" s="53">
        <f>+Tabla15[[#This Row],[PRECIO INSTALADOR
( CON  IVA)]]/0.7</f>
        <v>712925.6</v>
      </c>
      <c r="H188" s="45">
        <f>+Tabla15[[#This Row],[PRECIO INSTALADOR
( CON  IVA)]]*5%</f>
        <v>24952.396000000001</v>
      </c>
      <c r="I188" s="18" t="e">
        <f t="shared" si="31"/>
        <v>#REF!</v>
      </c>
      <c r="J188" s="18" t="e">
        <f t="shared" si="32"/>
        <v>#REF!</v>
      </c>
      <c r="K188" s="17" t="e">
        <f t="shared" si="33"/>
        <v>#REF!</v>
      </c>
      <c r="L188" s="17" t="e">
        <f>+M188/#REF!</f>
        <v>#REF!</v>
      </c>
      <c r="M188" s="17">
        <f t="shared" si="34"/>
        <v>398881.09799999994</v>
      </c>
      <c r="N188" s="19">
        <f t="shared" si="30"/>
        <v>4029.1019999999994</v>
      </c>
      <c r="O188" s="18" t="e">
        <f>+P188/#REF!</f>
        <v>#REF!</v>
      </c>
      <c r="P188" s="20">
        <f>Tabla15[[#This Row],[ORO SIN IVA]]*1.19</f>
        <v>402910.19999999995</v>
      </c>
      <c r="Q188" s="18" t="e">
        <f>+R188/#REF!</f>
        <v>#REF!</v>
      </c>
      <c r="R188" s="19">
        <f>Tabla15[[#This Row],[INSTALLER SIN IVA]]*1.19</f>
        <v>499047.92</v>
      </c>
      <c r="S188" s="18">
        <v>338580</v>
      </c>
      <c r="T188" s="18">
        <v>419368</v>
      </c>
    </row>
    <row r="189" spans="1:20" ht="40.5" x14ac:dyDescent="0.25">
      <c r="A189" s="49" t="s">
        <v>403</v>
      </c>
      <c r="B189" s="50" t="s">
        <v>404</v>
      </c>
      <c r="C189" s="53">
        <f>+Tabla15[[#This Row],[PRECIO SUGERIDO INSTALADOR]]</f>
        <v>904942.64</v>
      </c>
      <c r="D189" s="53">
        <f>+Tabla15[[#This Row],[PRECIO INSTALADOR
( CON  IVA)]]-Tabla15[[#This Row],[Columna23]]</f>
        <v>859695.50800000003</v>
      </c>
      <c r="E189" s="53">
        <f>+Tabla15[[#This Row],[DPP ORO]]</f>
        <v>777241.36</v>
      </c>
      <c r="F189" s="53">
        <f>+Tabla15[[#This Row],[DPP PLATINO]]</f>
        <v>769468.94640000002</v>
      </c>
      <c r="G189" s="53">
        <f>+Tabla15[[#This Row],[PRECIO INSTALADOR
( CON  IVA)]]/0.7</f>
        <v>1292775.2000000002</v>
      </c>
      <c r="H189" s="51">
        <f>+Tabla15[[#This Row],[PRECIO INSTALADOR
( CON  IVA)]]*5%</f>
        <v>45247.132000000005</v>
      </c>
      <c r="I189" s="12" t="e">
        <f t="shared" si="31"/>
        <v>#REF!</v>
      </c>
      <c r="J189" s="12" t="e">
        <f t="shared" si="32"/>
        <v>#REF!</v>
      </c>
      <c r="K189" s="17" t="e">
        <f t="shared" si="33"/>
        <v>#REF!</v>
      </c>
      <c r="L189" s="15" t="e">
        <f>+M189/#REF!</f>
        <v>#REF!</v>
      </c>
      <c r="M189" s="15">
        <f t="shared" si="34"/>
        <v>769468.94640000002</v>
      </c>
      <c r="N189" s="13">
        <f t="shared" si="30"/>
        <v>7772.4135999999999</v>
      </c>
      <c r="O189" s="12" t="e">
        <f>+P189/#REF!</f>
        <v>#REF!</v>
      </c>
      <c r="P189" s="14">
        <f>Tabla15[[#This Row],[ORO SIN IVA]]*1.19</f>
        <v>777241.36</v>
      </c>
      <c r="Q189" s="12" t="e">
        <f>+R189/#REF!</f>
        <v>#REF!</v>
      </c>
      <c r="R189" s="13">
        <f>Tabla15[[#This Row],[INSTALLER SIN IVA]]*1.19</f>
        <v>904942.64</v>
      </c>
      <c r="S189" s="12">
        <v>653144</v>
      </c>
      <c r="T189" s="12">
        <v>760456</v>
      </c>
    </row>
    <row r="190" spans="1:20" ht="40.5" x14ac:dyDescent="0.25">
      <c r="A190" s="49" t="s">
        <v>79</v>
      </c>
      <c r="B190" s="50" t="s">
        <v>405</v>
      </c>
      <c r="C190" s="53">
        <f>+Tabla15[[#This Row],[PRECIO SUGERIDO INSTALADOR]]</f>
        <v>618745.26</v>
      </c>
      <c r="D190" s="53">
        <f>+Tabla15[[#This Row],[PRECIO INSTALADOR
( CON  IVA)]]-Tabla15[[#This Row],[Columna23]]</f>
        <v>587807.99699999997</v>
      </c>
      <c r="E190" s="53">
        <f>+Tabla15[[#This Row],[DPP ORO]]</f>
        <v>499590.56</v>
      </c>
      <c r="F190" s="53">
        <f>+Tabla15[[#This Row],[DPP PLATINO]]</f>
        <v>494594.6544</v>
      </c>
      <c r="G190" s="53">
        <f>+Tabla15[[#This Row],[PRECIO INSTALADOR
( CON  IVA)]]/0.7</f>
        <v>883921.8</v>
      </c>
      <c r="H190" s="51">
        <f>+Tabla15[[#This Row],[PRECIO INSTALADOR
( CON  IVA)]]*5%</f>
        <v>30937.263000000003</v>
      </c>
      <c r="I190" s="12" t="e">
        <f>+Q190</f>
        <v>#REF!</v>
      </c>
      <c r="J190" s="12" t="e">
        <f>+O190</f>
        <v>#REF!</v>
      </c>
      <c r="K190" s="15" t="e">
        <f>+L190</f>
        <v>#REF!</v>
      </c>
      <c r="L190" s="15" t="e">
        <f>+M190/#REF!</f>
        <v>#REF!</v>
      </c>
      <c r="M190" s="15">
        <f>+P190-N190</f>
        <v>494594.6544</v>
      </c>
      <c r="N190" s="13">
        <f>+P190*1%</f>
        <v>4995.9056</v>
      </c>
      <c r="O190" s="12" t="e">
        <f>+P190/#REF!</f>
        <v>#REF!</v>
      </c>
      <c r="P190" s="14">
        <f>Tabla15[[#This Row],[ORO SIN IVA]]*1.19</f>
        <v>499590.56</v>
      </c>
      <c r="Q190" s="12" t="e">
        <f>+R190/#REF!</f>
        <v>#REF!</v>
      </c>
      <c r="R190" s="13">
        <f>Tabla15[[#This Row],[INSTALLER SIN IVA]]*1.19</f>
        <v>618745.26</v>
      </c>
      <c r="S190" s="12">
        <v>419824</v>
      </c>
      <c r="T190" s="12">
        <v>519954.00000000006</v>
      </c>
    </row>
    <row r="191" spans="1:20" ht="40.5" x14ac:dyDescent="0.25">
      <c r="A191" s="49" t="s">
        <v>94</v>
      </c>
      <c r="B191" s="50" t="s">
        <v>406</v>
      </c>
      <c r="C191" s="53">
        <f>+Tabla15[[#This Row],[PRECIO SUGERIDO INSTALADOR]]</f>
        <v>526722.55999999994</v>
      </c>
      <c r="D191" s="53">
        <f>+Tabla15[[#This Row],[PRECIO INSTALADOR
( CON  IVA)]]-Tabla15[[#This Row],[Columna23]]</f>
        <v>500386.43199999991</v>
      </c>
      <c r="E191" s="53">
        <f>+Tabla15[[#This Row],[DPP ORO]]</f>
        <v>425339.32</v>
      </c>
      <c r="F191" s="53">
        <f>+Tabla15[[#This Row],[DPP PLATINO]]</f>
        <v>421085.92680000002</v>
      </c>
      <c r="G191" s="53">
        <f>+Tabla15[[#This Row],[PRECIO INSTALADOR
( CON  IVA)]]/0.7</f>
        <v>752460.79999999993</v>
      </c>
      <c r="H191" s="51">
        <f>+Tabla15[[#This Row],[PRECIO INSTALADOR
( CON  IVA)]]*5%</f>
        <v>26336.127999999997</v>
      </c>
      <c r="I191" s="12" t="e">
        <f>+Q191</f>
        <v>#REF!</v>
      </c>
      <c r="J191" s="12" t="e">
        <f>+O191</f>
        <v>#REF!</v>
      </c>
      <c r="K191" s="15" t="e">
        <f>+L191</f>
        <v>#REF!</v>
      </c>
      <c r="L191" s="15" t="e">
        <f>+M191/#REF!</f>
        <v>#REF!</v>
      </c>
      <c r="M191" s="15">
        <f>+P191-N191</f>
        <v>421085.92680000002</v>
      </c>
      <c r="N191" s="13">
        <f>+P191*1%</f>
        <v>4253.3932000000004</v>
      </c>
      <c r="O191" s="12" t="e">
        <f>+P191/#REF!</f>
        <v>#REF!</v>
      </c>
      <c r="P191" s="14">
        <f>Tabla15[[#This Row],[ORO SIN IVA]]*1.19</f>
        <v>425339.32</v>
      </c>
      <c r="Q191" s="12" t="e">
        <f>+R191/#REF!</f>
        <v>#REF!</v>
      </c>
      <c r="R191" s="13">
        <f>Tabla15[[#This Row],[INSTALLER SIN IVA]]*1.19</f>
        <v>526722.55999999994</v>
      </c>
      <c r="S191" s="12">
        <v>357428</v>
      </c>
      <c r="T191" s="12">
        <v>442623.99999999994</v>
      </c>
    </row>
    <row r="192" spans="1:20" ht="40.5" x14ac:dyDescent="0.25">
      <c r="A192" s="49" t="s">
        <v>3</v>
      </c>
      <c r="B192" s="50" t="s">
        <v>407</v>
      </c>
      <c r="C192" s="53">
        <f>+Tabla15[[#This Row],[PRECIO SUGERIDO INSTALADOR]]</f>
        <v>645696.38</v>
      </c>
      <c r="D192" s="53">
        <f>+Tabla15[[#This Row],[PRECIO INSTALADOR
( CON  IVA)]]-Tabla15[[#This Row],[Columna23]]</f>
        <v>613411.56099999999</v>
      </c>
      <c r="E192" s="53">
        <f>+Tabla15[[#This Row],[DPP ORO]]</f>
        <v>521250.94</v>
      </c>
      <c r="F192" s="53">
        <f>+Tabla15[[#This Row],[DPP PLATINO]]</f>
        <v>516038.43060000002</v>
      </c>
      <c r="G192" s="53">
        <f>+Tabla15[[#This Row],[PRECIO INSTALADOR
( CON  IVA)]]/0.7</f>
        <v>922423.4</v>
      </c>
      <c r="H192" s="51">
        <f>+Tabla15[[#This Row],[PRECIO INSTALADOR
( CON  IVA)]]*5%</f>
        <v>32284.819000000003</v>
      </c>
      <c r="I192" s="12" t="e">
        <f t="shared" si="31"/>
        <v>#REF!</v>
      </c>
      <c r="J192" s="12" t="e">
        <f t="shared" si="32"/>
        <v>#REF!</v>
      </c>
      <c r="K192" s="15" t="e">
        <f t="shared" si="33"/>
        <v>#REF!</v>
      </c>
      <c r="L192" s="15" t="e">
        <f>+M192/#REF!</f>
        <v>#REF!</v>
      </c>
      <c r="M192" s="15">
        <f t="shared" si="34"/>
        <v>516038.43060000002</v>
      </c>
      <c r="N192" s="13">
        <f t="shared" si="30"/>
        <v>5212.5093999999999</v>
      </c>
      <c r="O192" s="12" t="e">
        <f>+P192/#REF!</f>
        <v>#REF!</v>
      </c>
      <c r="P192" s="14">
        <f>Tabla15[[#This Row],[ORO SIN IVA]]*1.19</f>
        <v>521250.94</v>
      </c>
      <c r="Q192" s="12" t="e">
        <f>+R192/#REF!</f>
        <v>#REF!</v>
      </c>
      <c r="R192" s="13">
        <f>Tabla15[[#This Row],[INSTALLER SIN IVA]]*1.19</f>
        <v>645696.38</v>
      </c>
      <c r="S192" s="12">
        <v>438026</v>
      </c>
      <c r="T192" s="12">
        <v>542602</v>
      </c>
    </row>
    <row r="193" spans="1:80" ht="40.5" x14ac:dyDescent="0.25">
      <c r="A193" s="49" t="s">
        <v>408</v>
      </c>
      <c r="B193" s="50" t="s">
        <v>409</v>
      </c>
      <c r="C193" s="53">
        <f>+Tabla15[[#This Row],[PRECIO SUGERIDO INSTALADOR]]</f>
        <v>966939.26</v>
      </c>
      <c r="D193" s="53">
        <f>+Tabla15[[#This Row],[PRECIO INSTALADOR
( CON  IVA)]]-Tabla15[[#This Row],[Columna23]]</f>
        <v>918592.29700000002</v>
      </c>
      <c r="E193" s="53">
        <f>+Tabla15[[#This Row],[DPP ORO]]</f>
        <v>830555.74</v>
      </c>
      <c r="F193" s="53">
        <f>+Tabla15[[#This Row],[DPP PLATINO]]</f>
        <v>822250.18259999994</v>
      </c>
      <c r="G193" s="53">
        <f>+Tabla15[[#This Row],[PRECIO INSTALADOR
( CON  IVA)]]/0.7</f>
        <v>1381341.8</v>
      </c>
      <c r="H193" s="51">
        <f>+Tabla15[[#This Row],[PRECIO INSTALADOR
( CON  IVA)]]*5%</f>
        <v>48346.963000000003</v>
      </c>
      <c r="I193" s="12" t="e">
        <f t="shared" si="31"/>
        <v>#REF!</v>
      </c>
      <c r="J193" s="12" t="e">
        <f t="shared" si="32"/>
        <v>#REF!</v>
      </c>
      <c r="K193" s="15" t="e">
        <f t="shared" si="33"/>
        <v>#REF!</v>
      </c>
      <c r="L193" s="15" t="e">
        <f>+M193/#REF!</f>
        <v>#REF!</v>
      </c>
      <c r="M193" s="15">
        <f t="shared" si="34"/>
        <v>822250.18259999994</v>
      </c>
      <c r="N193" s="13">
        <f t="shared" si="30"/>
        <v>8305.5573999999997</v>
      </c>
      <c r="O193" s="12" t="e">
        <f>+P193/#REF!</f>
        <v>#REF!</v>
      </c>
      <c r="P193" s="14">
        <f>Tabla15[[#This Row],[ORO SIN IVA]]*1.19</f>
        <v>830555.74</v>
      </c>
      <c r="Q193" s="12" t="e">
        <f>+R193/#REF!</f>
        <v>#REF!</v>
      </c>
      <c r="R193" s="13">
        <f>Tabla15[[#This Row],[INSTALLER SIN IVA]]*1.19</f>
        <v>966939.26</v>
      </c>
      <c r="S193" s="12">
        <v>697946</v>
      </c>
      <c r="T193" s="12">
        <v>812554</v>
      </c>
    </row>
    <row r="194" spans="1:80" s="10" customFormat="1" ht="40.5" x14ac:dyDescent="0.25">
      <c r="A194" s="49" t="s">
        <v>410</v>
      </c>
      <c r="B194" s="50" t="s">
        <v>411</v>
      </c>
      <c r="C194" s="53">
        <f>+Tabla15[[#This Row],[PRECIO SUGERIDO INSTALADOR]]</f>
        <v>1369397.26</v>
      </c>
      <c r="D194" s="53">
        <f>+Tabla15[[#This Row],[PRECIO INSTALADOR
( CON  IVA)]]-Tabla15[[#This Row],[Columna23]]</f>
        <v>1300927.3970000001</v>
      </c>
      <c r="E194" s="53">
        <f>+Tabla15[[#This Row],[DPP ORO]]</f>
        <v>1176172.2</v>
      </c>
      <c r="F194" s="53">
        <f>+Tabla15[[#This Row],[DPP PLATINO]]</f>
        <v>1164410.4779999999</v>
      </c>
      <c r="G194" s="53">
        <f>+Tabla15[[#This Row],[PRECIO INSTALADOR
( CON  IVA)]]/0.7</f>
        <v>1956281.8</v>
      </c>
      <c r="H194" s="51">
        <f>+Tabla15[[#This Row],[PRECIO INSTALADOR
( CON  IVA)]]*5%</f>
        <v>68469.862999999998</v>
      </c>
      <c r="I194" s="12" t="e">
        <f t="shared" si="31"/>
        <v>#REF!</v>
      </c>
      <c r="J194" s="12" t="e">
        <f t="shared" si="32"/>
        <v>#REF!</v>
      </c>
      <c r="K194" s="15" t="e">
        <f t="shared" si="33"/>
        <v>#REF!</v>
      </c>
      <c r="L194" s="15" t="e">
        <f>+M194/#REF!</f>
        <v>#REF!</v>
      </c>
      <c r="M194" s="15">
        <f t="shared" si="34"/>
        <v>1164410.4779999999</v>
      </c>
      <c r="N194" s="13">
        <f t="shared" si="30"/>
        <v>11761.722</v>
      </c>
      <c r="O194" s="12" t="e">
        <f>+P194/#REF!</f>
        <v>#REF!</v>
      </c>
      <c r="P194" s="14">
        <f>Tabla15[[#This Row],[ORO SIN IVA]]*1.19</f>
        <v>1176172.2</v>
      </c>
      <c r="Q194" s="12" t="e">
        <f>+R194/#REF!</f>
        <v>#REF!</v>
      </c>
      <c r="R194" s="13">
        <f>Tabla15[[#This Row],[INSTALLER SIN IVA]]*1.19</f>
        <v>1369397.26</v>
      </c>
      <c r="S194" s="12">
        <v>988380</v>
      </c>
      <c r="T194" s="12">
        <v>1150754</v>
      </c>
      <c r="Z194" s="11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</row>
    <row r="195" spans="1:80" s="2" customFormat="1" ht="40.5" x14ac:dyDescent="0.25">
      <c r="A195" s="49" t="s">
        <v>412</v>
      </c>
      <c r="B195" s="50" t="s">
        <v>413</v>
      </c>
      <c r="C195" s="54">
        <f>+Tabla15[[#This Row],[PRECIO SUGERIDO INSTALADOR]]</f>
        <v>1315630.68</v>
      </c>
      <c r="D195" s="54">
        <f>+Tabla15[[#This Row],[PRECIO INSTALADOR
( CON  IVA)]]-Tabla15[[#This Row],[Columna23]]</f>
        <v>1249849.1459999999</v>
      </c>
      <c r="E195" s="54">
        <f>+Tabla15[[#This Row],[DPP ORO]]</f>
        <v>1130002.5799999998</v>
      </c>
      <c r="F195" s="54">
        <f>+Tabla15[[#This Row],[DPP PLATINO]]</f>
        <v>1118702.5541999999</v>
      </c>
      <c r="G195" s="54">
        <f>+Tabla15[[#This Row],[PRECIO INSTALADOR
( CON  IVA)]]/0.7</f>
        <v>1879472.4000000001</v>
      </c>
      <c r="H195" s="46">
        <f>+Tabla15[[#This Row],[PRECIO INSTALADOR
( CON  IVA)]]*5%</f>
        <v>65781.534</v>
      </c>
      <c r="I195" s="18" t="e">
        <f t="shared" ref="I195:I228" si="35">+Q195</f>
        <v>#REF!</v>
      </c>
      <c r="J195" s="18" t="e">
        <f t="shared" ref="J195:J228" si="36">+O195</f>
        <v>#REF!</v>
      </c>
      <c r="K195" s="17" t="e">
        <f t="shared" ref="K195:K228" si="37">+L195</f>
        <v>#REF!</v>
      </c>
      <c r="L195" s="17" t="e">
        <f>+M195/#REF!</f>
        <v>#REF!</v>
      </c>
      <c r="M195" s="17">
        <f t="shared" ref="M195:M228" si="38">+P195-N195</f>
        <v>1118702.5541999999</v>
      </c>
      <c r="N195" s="19">
        <f t="shared" ref="N195:N228" si="39">+P195*1%</f>
        <v>11300.025799999999</v>
      </c>
      <c r="O195" s="18" t="e">
        <f>+P195/#REF!</f>
        <v>#REF!</v>
      </c>
      <c r="P195" s="20">
        <f>Tabla15[[#This Row],[ORO SIN IVA]]*1.19</f>
        <v>1130002.5799999998</v>
      </c>
      <c r="Q195" s="18" t="e">
        <f>+R195/#REF!</f>
        <v>#REF!</v>
      </c>
      <c r="R195" s="19">
        <f>Tabla15[[#This Row],[INSTALLER SIN IVA]]*1.19</f>
        <v>1315630.68</v>
      </c>
      <c r="S195" s="40">
        <v>949582</v>
      </c>
      <c r="T195" s="40">
        <v>1105572</v>
      </c>
    </row>
    <row r="196" spans="1:80" s="2" customFormat="1" ht="40.5" x14ac:dyDescent="0.25">
      <c r="A196" s="49" t="s">
        <v>414</v>
      </c>
      <c r="B196" s="50" t="s">
        <v>415</v>
      </c>
      <c r="C196" s="54">
        <f>+Tabla15[[#This Row],[PRECIO SUGERIDO INSTALADOR]]</f>
        <v>1284383.6599999999</v>
      </c>
      <c r="D196" s="54">
        <f>+Tabla15[[#This Row],[PRECIO INSTALADOR
( CON  IVA)]]-Tabla15[[#This Row],[Columna23]]</f>
        <v>1220164.477</v>
      </c>
      <c r="E196" s="54">
        <f>+Tabla15[[#This Row],[DPP ORO]]</f>
        <v>1036849.38</v>
      </c>
      <c r="F196" s="54">
        <f>+Tabla15[[#This Row],[DPP PLATINO]]</f>
        <v>1026480.8861999999</v>
      </c>
      <c r="G196" s="54">
        <f>+Tabla15[[#This Row],[PRECIO INSTALADOR
( CON  IVA)]]/0.7</f>
        <v>1834833.8</v>
      </c>
      <c r="H196" s="52">
        <f>+Tabla15[[#This Row],[PRECIO INSTALADOR
( CON  IVA)]]*5%</f>
        <v>64219.182999999997</v>
      </c>
      <c r="I196" s="18" t="e">
        <f t="shared" si="35"/>
        <v>#REF!</v>
      </c>
      <c r="J196" s="18" t="e">
        <f t="shared" si="36"/>
        <v>#REF!</v>
      </c>
      <c r="K196" s="17" t="e">
        <f t="shared" si="37"/>
        <v>#REF!</v>
      </c>
      <c r="L196" s="17" t="e">
        <f>+M196/#REF!</f>
        <v>#REF!</v>
      </c>
      <c r="M196" s="17">
        <f t="shared" si="38"/>
        <v>1026480.8861999999</v>
      </c>
      <c r="N196" s="19">
        <f t="shared" si="39"/>
        <v>10368.4938</v>
      </c>
      <c r="O196" s="18" t="e">
        <f>+P196/#REF!</f>
        <v>#REF!</v>
      </c>
      <c r="P196" s="20">
        <f>Tabla15[[#This Row],[ORO SIN IVA]]*1.19</f>
        <v>1036849.38</v>
      </c>
      <c r="Q196" s="18" t="e">
        <f>+R196/#REF!</f>
        <v>#REF!</v>
      </c>
      <c r="R196" s="19">
        <f>Tabla15[[#This Row],[INSTALLER SIN IVA]]*1.19</f>
        <v>1284383.6599999999</v>
      </c>
      <c r="S196" s="40">
        <v>871302</v>
      </c>
      <c r="T196" s="40">
        <v>1079314</v>
      </c>
    </row>
    <row r="197" spans="1:80" s="2" customFormat="1" ht="27" x14ac:dyDescent="0.25">
      <c r="A197" s="49" t="s">
        <v>30</v>
      </c>
      <c r="B197" s="50" t="s">
        <v>416</v>
      </c>
      <c r="C197" s="54">
        <f>+Tabla15[[#This Row],[PRECIO SUGERIDO INSTALADOR]]</f>
        <v>905982.7</v>
      </c>
      <c r="D197" s="54">
        <f>+Tabla15[[#This Row],[PRECIO INSTALADOR
( CON  IVA)]]-Tabla15[[#This Row],[Columna23]]</f>
        <v>860683.56499999994</v>
      </c>
      <c r="E197" s="54">
        <f>+Tabla15[[#This Row],[DPP ORO]]</f>
        <v>727589.79999999993</v>
      </c>
      <c r="F197" s="54">
        <f>+Tabla15[[#This Row],[DPP PLATINO]]</f>
        <v>720313.90199999989</v>
      </c>
      <c r="G197" s="54">
        <f>+Tabla15[[#This Row],[PRECIO INSTALADOR
( CON  IVA)]]/0.7</f>
        <v>1294261</v>
      </c>
      <c r="H197" s="52">
        <f>+Tabla15[[#This Row],[PRECIO INSTALADOR
( CON  IVA)]]*5%</f>
        <v>45299.135000000002</v>
      </c>
      <c r="I197" s="18" t="e">
        <f t="shared" si="35"/>
        <v>#REF!</v>
      </c>
      <c r="J197" s="18" t="e">
        <f t="shared" si="36"/>
        <v>#REF!</v>
      </c>
      <c r="K197" s="17" t="e">
        <f t="shared" si="37"/>
        <v>#REF!</v>
      </c>
      <c r="L197" s="17" t="e">
        <f>+M197/#REF!</f>
        <v>#REF!</v>
      </c>
      <c r="M197" s="17">
        <f t="shared" si="38"/>
        <v>720313.90199999989</v>
      </c>
      <c r="N197" s="19">
        <f t="shared" si="39"/>
        <v>7275.8979999999992</v>
      </c>
      <c r="O197" s="18" t="e">
        <f>+P197/#REF!</f>
        <v>#REF!</v>
      </c>
      <c r="P197" s="20">
        <f>Tabla15[[#This Row],[ORO SIN IVA]]*1.19</f>
        <v>727589.79999999993</v>
      </c>
      <c r="Q197" s="18" t="e">
        <f>+R197/#REF!</f>
        <v>#REF!</v>
      </c>
      <c r="R197" s="19">
        <f>Tabla15[[#This Row],[INSTALLER SIN IVA]]*1.19</f>
        <v>905982.7</v>
      </c>
      <c r="S197" s="40">
        <v>611420</v>
      </c>
      <c r="T197" s="40">
        <v>761330</v>
      </c>
    </row>
    <row r="198" spans="1:80" s="2" customFormat="1" ht="40.5" x14ac:dyDescent="0.25">
      <c r="A198" s="49" t="s">
        <v>417</v>
      </c>
      <c r="B198" s="50" t="s">
        <v>418</v>
      </c>
      <c r="C198" s="54">
        <f>+Tabla15[[#This Row],[PRECIO SUGERIDO INSTALADOR]]</f>
        <v>789767.29999999993</v>
      </c>
      <c r="D198" s="54">
        <f>+Tabla15[[#This Row],[PRECIO INSTALADOR
( CON  IVA)]]-Tabla15[[#This Row],[Columna23]]</f>
        <v>750278.93499999994</v>
      </c>
      <c r="E198" s="54">
        <f>+Tabla15[[#This Row],[DPP ORO]]</f>
        <v>678300</v>
      </c>
      <c r="F198" s="54">
        <f>+Tabla15[[#This Row],[DPP PLATINO]]</f>
        <v>671517</v>
      </c>
      <c r="G198" s="54">
        <f>+Tabla15[[#This Row],[PRECIO INSTALADOR
( CON  IVA)]]/0.7</f>
        <v>1128239</v>
      </c>
      <c r="H198" s="52">
        <f>+Tabla15[[#This Row],[PRECIO INSTALADOR
( CON  IVA)]]*5%</f>
        <v>39488.364999999998</v>
      </c>
      <c r="I198" s="18" t="e">
        <f t="shared" si="35"/>
        <v>#REF!</v>
      </c>
      <c r="J198" s="18" t="e">
        <f t="shared" si="36"/>
        <v>#REF!</v>
      </c>
      <c r="K198" s="17" t="e">
        <f t="shared" si="37"/>
        <v>#REF!</v>
      </c>
      <c r="L198" s="17" t="e">
        <f>+M198/#REF!</f>
        <v>#REF!</v>
      </c>
      <c r="M198" s="17">
        <f t="shared" si="38"/>
        <v>671517</v>
      </c>
      <c r="N198" s="19">
        <f t="shared" si="39"/>
        <v>6783</v>
      </c>
      <c r="O198" s="18" t="e">
        <f>+P198/#REF!</f>
        <v>#REF!</v>
      </c>
      <c r="P198" s="20">
        <f>Tabla15[[#This Row],[ORO SIN IVA]]*1.19</f>
        <v>678300</v>
      </c>
      <c r="Q198" s="18" t="e">
        <f>+R198/#REF!</f>
        <v>#REF!</v>
      </c>
      <c r="R198" s="19">
        <f>Tabla15[[#This Row],[INSTALLER SIN IVA]]*1.19</f>
        <v>789767.29999999993</v>
      </c>
      <c r="S198" s="40">
        <v>570000</v>
      </c>
      <c r="T198" s="40">
        <v>663670</v>
      </c>
    </row>
    <row r="199" spans="1:80" s="2" customFormat="1" ht="27" x14ac:dyDescent="0.25">
      <c r="A199" s="49" t="s">
        <v>419</v>
      </c>
      <c r="B199" s="50" t="s">
        <v>420</v>
      </c>
      <c r="C199" s="54">
        <f>+Tabla15[[#This Row],[PRECIO SUGERIDO INSTALADOR]]</f>
        <v>1023283.38</v>
      </c>
      <c r="D199" s="54">
        <f>+Tabla15[[#This Row],[PRECIO INSTALADOR
( CON  IVA)]]-Tabla15[[#This Row],[Columna23]]</f>
        <v>972119.21100000001</v>
      </c>
      <c r="E199" s="54">
        <f>+Tabla15[[#This Row],[DPP ORO]]</f>
        <v>835258.62</v>
      </c>
      <c r="F199" s="54">
        <f>+Tabla15[[#This Row],[DPP PLATINO]]</f>
        <v>826906.03379999998</v>
      </c>
      <c r="G199" s="54">
        <f>+Tabla15[[#This Row],[PRECIO INSTALADOR
( CON  IVA)]]/0.7</f>
        <v>1461833.4000000001</v>
      </c>
      <c r="H199" s="52">
        <f>+Tabla15[[#This Row],[PRECIO INSTALADOR
( CON  IVA)]]*5%</f>
        <v>51164.169000000002</v>
      </c>
      <c r="I199" s="18" t="e">
        <f t="shared" si="35"/>
        <v>#REF!</v>
      </c>
      <c r="J199" s="18" t="e">
        <f t="shared" si="36"/>
        <v>#REF!</v>
      </c>
      <c r="K199" s="17" t="e">
        <f t="shared" si="37"/>
        <v>#REF!</v>
      </c>
      <c r="L199" s="17" t="e">
        <f>+M199/#REF!</f>
        <v>#REF!</v>
      </c>
      <c r="M199" s="17">
        <f t="shared" si="38"/>
        <v>826906.03379999998</v>
      </c>
      <c r="N199" s="19">
        <f t="shared" si="39"/>
        <v>8352.5861999999997</v>
      </c>
      <c r="O199" s="18" t="e">
        <f>+P199/#REF!</f>
        <v>#REF!</v>
      </c>
      <c r="P199" s="20">
        <f>Tabla15[[#This Row],[ORO SIN IVA]]*1.19</f>
        <v>835258.62</v>
      </c>
      <c r="Q199" s="18" t="e">
        <f>+R199/#REF!</f>
        <v>#REF!</v>
      </c>
      <c r="R199" s="19">
        <f>Tabla15[[#This Row],[INSTALLER SIN IVA]]*1.19</f>
        <v>1023283.38</v>
      </c>
      <c r="S199" s="40">
        <v>701898</v>
      </c>
      <c r="T199" s="40">
        <v>859902</v>
      </c>
    </row>
    <row r="200" spans="1:80" s="2" customFormat="1" ht="40.5" x14ac:dyDescent="0.25">
      <c r="A200" s="49" t="s">
        <v>421</v>
      </c>
      <c r="B200" s="50" t="s">
        <v>422</v>
      </c>
      <c r="C200" s="54">
        <f>+Tabla15[[#This Row],[PRECIO SUGERIDO INSTALADOR]]</f>
        <v>1062127.3599999999</v>
      </c>
      <c r="D200" s="54">
        <f>+Tabla15[[#This Row],[PRECIO INSTALADOR
( CON  IVA)]]-Tabla15[[#This Row],[Columna23]]</f>
        <v>1009020.9919999999</v>
      </c>
      <c r="E200" s="54">
        <f>+Tabla15[[#This Row],[DPP ORO]]</f>
        <v>866867.39999999991</v>
      </c>
      <c r="F200" s="54">
        <f>+Tabla15[[#This Row],[DPP PLATINO]]</f>
        <v>858198.72599999991</v>
      </c>
      <c r="G200" s="54">
        <f>+Tabla15[[#This Row],[PRECIO INSTALADOR
( CON  IVA)]]/0.7</f>
        <v>1517324.7999999998</v>
      </c>
      <c r="H200" s="52">
        <f>+Tabla15[[#This Row],[PRECIO INSTALADOR
( CON  IVA)]]*5%</f>
        <v>53106.367999999995</v>
      </c>
      <c r="I200" s="18" t="e">
        <f t="shared" si="35"/>
        <v>#REF!</v>
      </c>
      <c r="J200" s="18" t="e">
        <f t="shared" si="36"/>
        <v>#REF!</v>
      </c>
      <c r="K200" s="17" t="e">
        <f t="shared" si="37"/>
        <v>#REF!</v>
      </c>
      <c r="L200" s="17" t="e">
        <f>+M200/#REF!</f>
        <v>#REF!</v>
      </c>
      <c r="M200" s="17">
        <f t="shared" si="38"/>
        <v>858198.72599999991</v>
      </c>
      <c r="N200" s="19">
        <f t="shared" si="39"/>
        <v>8668.6739999999991</v>
      </c>
      <c r="O200" s="18" t="e">
        <f>+P200/#REF!</f>
        <v>#REF!</v>
      </c>
      <c r="P200" s="20">
        <f>Tabla15[[#This Row],[ORO SIN IVA]]*1.19</f>
        <v>866867.39999999991</v>
      </c>
      <c r="Q200" s="18" t="e">
        <f>+R200/#REF!</f>
        <v>#REF!</v>
      </c>
      <c r="R200" s="19">
        <f>Tabla15[[#This Row],[INSTALLER SIN IVA]]*1.19</f>
        <v>1062127.3599999999</v>
      </c>
      <c r="S200" s="40">
        <v>728460</v>
      </c>
      <c r="T200" s="40">
        <v>892543.99999999988</v>
      </c>
    </row>
    <row r="201" spans="1:80" s="2" customFormat="1" ht="40.5" x14ac:dyDescent="0.25">
      <c r="A201" s="49" t="s">
        <v>423</v>
      </c>
      <c r="B201" s="50" t="s">
        <v>424</v>
      </c>
      <c r="C201" s="54">
        <f>+Tabla15[[#This Row],[PRECIO SUGERIDO INSTALADOR]]</f>
        <v>1077773.48</v>
      </c>
      <c r="D201" s="54">
        <f>+Tabla15[[#This Row],[PRECIO INSTALADOR
( CON  IVA)]]-Tabla15[[#This Row],[Columna23]]</f>
        <v>1023884.806</v>
      </c>
      <c r="E201" s="54">
        <f>+Tabla15[[#This Row],[DPP ORO]]</f>
        <v>879664.65999999992</v>
      </c>
      <c r="F201" s="54">
        <f>+Tabla15[[#This Row],[DPP PLATINO]]</f>
        <v>870868.01339999994</v>
      </c>
      <c r="G201" s="54">
        <f>+Tabla15[[#This Row],[PRECIO INSTALADOR
( CON  IVA)]]/0.7</f>
        <v>1539676.4000000001</v>
      </c>
      <c r="H201" s="52">
        <f>+Tabla15[[#This Row],[PRECIO INSTALADOR
( CON  IVA)]]*5%</f>
        <v>53888.673999999999</v>
      </c>
      <c r="I201" s="18" t="e">
        <f t="shared" si="35"/>
        <v>#REF!</v>
      </c>
      <c r="J201" s="18" t="e">
        <f t="shared" si="36"/>
        <v>#REF!</v>
      </c>
      <c r="K201" s="17" t="e">
        <f t="shared" si="37"/>
        <v>#REF!</v>
      </c>
      <c r="L201" s="17" t="e">
        <f>+M201/#REF!</f>
        <v>#REF!</v>
      </c>
      <c r="M201" s="17">
        <f t="shared" si="38"/>
        <v>870868.01339999994</v>
      </c>
      <c r="N201" s="19">
        <f t="shared" si="39"/>
        <v>8796.6466</v>
      </c>
      <c r="O201" s="18" t="e">
        <f>+P201/#REF!</f>
        <v>#REF!</v>
      </c>
      <c r="P201" s="20">
        <f>Tabla15[[#This Row],[ORO SIN IVA]]*1.19</f>
        <v>879664.65999999992</v>
      </c>
      <c r="Q201" s="18" t="e">
        <f>+R201/#REF!</f>
        <v>#REF!</v>
      </c>
      <c r="R201" s="19">
        <f>Tabla15[[#This Row],[INSTALLER SIN IVA]]*1.19</f>
        <v>1077773.48</v>
      </c>
      <c r="S201" s="40">
        <v>739214</v>
      </c>
      <c r="T201" s="40">
        <v>905692</v>
      </c>
    </row>
    <row r="202" spans="1:80" s="2" customFormat="1" ht="40.5" x14ac:dyDescent="0.25">
      <c r="A202" s="49" t="s">
        <v>425</v>
      </c>
      <c r="B202" s="50" t="s">
        <v>426</v>
      </c>
      <c r="C202" s="54">
        <f>+Tabla15[[#This Row],[PRECIO SUGERIDO INSTALADOR]]</f>
        <v>1872469.76</v>
      </c>
      <c r="D202" s="54">
        <f>+Tabla15[[#This Row],[PRECIO INSTALADOR
( CON  IVA)]]-Tabla15[[#This Row],[Columna23]]</f>
        <v>1778846.2719999999</v>
      </c>
      <c r="E202" s="54">
        <f>+Tabla15[[#This Row],[DPP ORO]]</f>
        <v>1528209.9</v>
      </c>
      <c r="F202" s="54">
        <f>+Tabla15[[#This Row],[DPP PLATINO]]</f>
        <v>1512927.801</v>
      </c>
      <c r="G202" s="54">
        <f>+Tabla15[[#This Row],[PRECIO INSTALADOR
( CON  IVA)]]/0.7</f>
        <v>2674956.8000000003</v>
      </c>
      <c r="H202" s="52">
        <f>+Tabla15[[#This Row],[PRECIO INSTALADOR
( CON  IVA)]]*5%</f>
        <v>93623.488000000012</v>
      </c>
      <c r="I202" s="18" t="e">
        <f t="shared" si="35"/>
        <v>#REF!</v>
      </c>
      <c r="J202" s="18" t="e">
        <f t="shared" si="36"/>
        <v>#REF!</v>
      </c>
      <c r="K202" s="17" t="e">
        <f t="shared" si="37"/>
        <v>#REF!</v>
      </c>
      <c r="L202" s="17" t="e">
        <f>+M202/#REF!</f>
        <v>#REF!</v>
      </c>
      <c r="M202" s="17">
        <f t="shared" si="38"/>
        <v>1512927.801</v>
      </c>
      <c r="N202" s="19">
        <f t="shared" si="39"/>
        <v>15282.099</v>
      </c>
      <c r="O202" s="18" t="e">
        <f>+P202/#REF!</f>
        <v>#REF!</v>
      </c>
      <c r="P202" s="20">
        <f>Tabla15[[#This Row],[ORO SIN IVA]]*1.19</f>
        <v>1528209.9</v>
      </c>
      <c r="Q202" s="18" t="e">
        <f>+R202/#REF!</f>
        <v>#REF!</v>
      </c>
      <c r="R202" s="19">
        <f>Tabla15[[#This Row],[INSTALLER SIN IVA]]*1.19</f>
        <v>1872469.76</v>
      </c>
      <c r="S202" s="40">
        <v>1284210</v>
      </c>
      <c r="T202" s="40">
        <v>1573504</v>
      </c>
    </row>
    <row r="203" spans="1:80" s="2" customFormat="1" ht="40.5" x14ac:dyDescent="0.25">
      <c r="A203" s="49" t="s">
        <v>427</v>
      </c>
      <c r="B203" s="50" t="s">
        <v>428</v>
      </c>
      <c r="C203" s="54">
        <f>+Tabla15[[#This Row],[PRECIO SUGERIDO INSTALADOR]]</f>
        <v>1872469.76</v>
      </c>
      <c r="D203" s="54">
        <f>+Tabla15[[#This Row],[PRECIO INSTALADOR
( CON  IVA)]]-Tabla15[[#This Row],[Columna23]]</f>
        <v>1778846.2719999999</v>
      </c>
      <c r="E203" s="54">
        <f>+Tabla15[[#This Row],[DPP ORO]]</f>
        <v>1528209.9</v>
      </c>
      <c r="F203" s="54">
        <f>+Tabla15[[#This Row],[DPP PLATINO]]</f>
        <v>1512927.801</v>
      </c>
      <c r="G203" s="54">
        <f>+Tabla15[[#This Row],[PRECIO INSTALADOR
( CON  IVA)]]/0.7</f>
        <v>2674956.8000000003</v>
      </c>
      <c r="H203" s="52">
        <f>+Tabla15[[#This Row],[PRECIO INSTALADOR
( CON  IVA)]]*5%</f>
        <v>93623.488000000012</v>
      </c>
      <c r="I203" s="18" t="e">
        <f t="shared" si="35"/>
        <v>#REF!</v>
      </c>
      <c r="J203" s="18" t="e">
        <f t="shared" si="36"/>
        <v>#REF!</v>
      </c>
      <c r="K203" s="17" t="e">
        <f t="shared" si="37"/>
        <v>#REF!</v>
      </c>
      <c r="L203" s="17" t="e">
        <f>+M203/#REF!</f>
        <v>#REF!</v>
      </c>
      <c r="M203" s="17">
        <f t="shared" si="38"/>
        <v>1512927.801</v>
      </c>
      <c r="N203" s="19">
        <f t="shared" si="39"/>
        <v>15282.099</v>
      </c>
      <c r="O203" s="18" t="e">
        <f>+P203/#REF!</f>
        <v>#REF!</v>
      </c>
      <c r="P203" s="20">
        <f>Tabla15[[#This Row],[ORO SIN IVA]]*1.19</f>
        <v>1528209.9</v>
      </c>
      <c r="Q203" s="18" t="e">
        <f>+R203/#REF!</f>
        <v>#REF!</v>
      </c>
      <c r="R203" s="19">
        <f>Tabla15[[#This Row],[INSTALLER SIN IVA]]*1.19</f>
        <v>1872469.76</v>
      </c>
      <c r="S203" s="40">
        <v>1284210</v>
      </c>
      <c r="T203" s="40">
        <v>1573504</v>
      </c>
    </row>
    <row r="204" spans="1:80" s="2" customFormat="1" ht="40.5" x14ac:dyDescent="0.25">
      <c r="A204" s="49" t="s">
        <v>429</v>
      </c>
      <c r="B204" s="50" t="s">
        <v>430</v>
      </c>
      <c r="C204" s="54">
        <f>+Tabla15[[#This Row],[PRECIO SUGERIDO INSTALADOR]]</f>
        <v>2130404.64</v>
      </c>
      <c r="D204" s="54">
        <f>+Tabla15[[#This Row],[PRECIO INSTALADOR
( CON  IVA)]]-Tabla15[[#This Row],[Columna23]]</f>
        <v>2023884.4080000001</v>
      </c>
      <c r="E204" s="54">
        <f>+Tabla15[[#This Row],[DPP ORO]]</f>
        <v>1738754.22</v>
      </c>
      <c r="F204" s="54">
        <f>+Tabla15[[#This Row],[DPP PLATINO]]</f>
        <v>1721366.6777999999</v>
      </c>
      <c r="G204" s="54">
        <f>+Tabla15[[#This Row],[PRECIO INSTALADOR
( CON  IVA)]]/0.7</f>
        <v>3043435.2</v>
      </c>
      <c r="H204" s="52">
        <f>+Tabla15[[#This Row],[PRECIO INSTALADOR
( CON  IVA)]]*5%</f>
        <v>106520.23200000002</v>
      </c>
      <c r="I204" s="18" t="e">
        <f t="shared" si="35"/>
        <v>#REF!</v>
      </c>
      <c r="J204" s="18" t="e">
        <f t="shared" si="36"/>
        <v>#REF!</v>
      </c>
      <c r="K204" s="17" t="e">
        <f t="shared" si="37"/>
        <v>#REF!</v>
      </c>
      <c r="L204" s="17" t="e">
        <f>+M204/#REF!</f>
        <v>#REF!</v>
      </c>
      <c r="M204" s="17">
        <f t="shared" si="38"/>
        <v>1721366.6777999999</v>
      </c>
      <c r="N204" s="19">
        <f t="shared" si="39"/>
        <v>17387.5422</v>
      </c>
      <c r="O204" s="18" t="e">
        <f>+P204/#REF!</f>
        <v>#REF!</v>
      </c>
      <c r="P204" s="20">
        <f>Tabla15[[#This Row],[ORO SIN IVA]]*1.19</f>
        <v>1738754.22</v>
      </c>
      <c r="Q204" s="18" t="e">
        <f>+R204/#REF!</f>
        <v>#REF!</v>
      </c>
      <c r="R204" s="19">
        <f>Tabla15[[#This Row],[INSTALLER SIN IVA]]*1.19</f>
        <v>2130404.64</v>
      </c>
      <c r="S204" s="40">
        <v>1461138</v>
      </c>
      <c r="T204" s="40">
        <v>1790256.0000000002</v>
      </c>
    </row>
    <row r="205" spans="1:80" s="2" customFormat="1" ht="27" x14ac:dyDescent="0.25">
      <c r="A205" s="49" t="s">
        <v>431</v>
      </c>
      <c r="B205" s="50" t="s">
        <v>432</v>
      </c>
      <c r="C205" s="54">
        <f>+Tabla15[[#This Row],[PRECIO SUGERIDO INSTALADOR]]</f>
        <v>2862245.1199999996</v>
      </c>
      <c r="D205" s="54">
        <f>+Tabla15[[#This Row],[PRECIO INSTALADOR
( CON  IVA)]]-Tabla15[[#This Row],[Columna23]]</f>
        <v>2719132.8639999996</v>
      </c>
      <c r="E205" s="54">
        <f>+Tabla15[[#This Row],[DPP ORO]]</f>
        <v>2336110.42</v>
      </c>
      <c r="F205" s="54">
        <f>+Tabla15[[#This Row],[DPP PLATINO]]</f>
        <v>2312749.3158</v>
      </c>
      <c r="G205" s="54">
        <f>+Tabla15[[#This Row],[PRECIO INSTALADOR
( CON  IVA)]]/0.7</f>
        <v>4088921.5999999996</v>
      </c>
      <c r="H205" s="52">
        <f>+Tabla15[[#This Row],[PRECIO INSTALADOR
( CON  IVA)]]*5%</f>
        <v>143112.25599999999</v>
      </c>
      <c r="I205" s="18" t="e">
        <f t="shared" si="35"/>
        <v>#REF!</v>
      </c>
      <c r="J205" s="18" t="e">
        <f t="shared" si="36"/>
        <v>#REF!</v>
      </c>
      <c r="K205" s="17" t="e">
        <f t="shared" si="37"/>
        <v>#REF!</v>
      </c>
      <c r="L205" s="17" t="e">
        <f>+M205/#REF!</f>
        <v>#REF!</v>
      </c>
      <c r="M205" s="17">
        <f t="shared" si="38"/>
        <v>2312749.3158</v>
      </c>
      <c r="N205" s="19">
        <f t="shared" si="39"/>
        <v>23361.104199999998</v>
      </c>
      <c r="O205" s="18" t="e">
        <f>+P205/#REF!</f>
        <v>#REF!</v>
      </c>
      <c r="P205" s="20">
        <f>Tabla15[[#This Row],[ORO SIN IVA]]*1.19</f>
        <v>2336110.42</v>
      </c>
      <c r="Q205" s="18" t="e">
        <f>+R205/#REF!</f>
        <v>#REF!</v>
      </c>
      <c r="R205" s="19">
        <f>Tabla15[[#This Row],[INSTALLER SIN IVA]]*1.19</f>
        <v>2862245.1199999996</v>
      </c>
      <c r="S205" s="40">
        <v>1963118</v>
      </c>
      <c r="T205" s="40">
        <v>2405248</v>
      </c>
    </row>
    <row r="206" spans="1:80" s="2" customFormat="1" ht="27" x14ac:dyDescent="0.25">
      <c r="A206" s="49" t="s">
        <v>433</v>
      </c>
      <c r="B206" s="50" t="s">
        <v>434</v>
      </c>
      <c r="C206" s="54">
        <f>+Tabla15[[#This Row],[PRECIO SUGERIDO INSTALADOR]]</f>
        <v>682550.67999999993</v>
      </c>
      <c r="D206" s="54">
        <f>+Tabla15[[#This Row],[PRECIO INSTALADOR
( CON  IVA)]]-Tabla15[[#This Row],[Columna23]]</f>
        <v>648423.14599999995</v>
      </c>
      <c r="E206" s="54">
        <f>+Tabla15[[#This Row],[DPP ORO]]</f>
        <v>557019.96</v>
      </c>
      <c r="F206" s="54">
        <f>+Tabla15[[#This Row],[DPP PLATINO]]</f>
        <v>551449.76039999991</v>
      </c>
      <c r="G206" s="54">
        <f>+Tabla15[[#This Row],[PRECIO INSTALADOR
( CON  IVA)]]/0.7</f>
        <v>975072.4</v>
      </c>
      <c r="H206" s="52">
        <f>+Tabla15[[#This Row],[PRECIO INSTALADOR
( CON  IVA)]]*5%</f>
        <v>34127.534</v>
      </c>
      <c r="I206" s="18" t="e">
        <f t="shared" si="35"/>
        <v>#REF!</v>
      </c>
      <c r="J206" s="18" t="e">
        <f t="shared" si="36"/>
        <v>#REF!</v>
      </c>
      <c r="K206" s="17" t="e">
        <f t="shared" si="37"/>
        <v>#REF!</v>
      </c>
      <c r="L206" s="17" t="e">
        <f>+M206/#REF!</f>
        <v>#REF!</v>
      </c>
      <c r="M206" s="17">
        <f t="shared" si="38"/>
        <v>551449.76039999991</v>
      </c>
      <c r="N206" s="19">
        <f t="shared" si="39"/>
        <v>5570.1995999999999</v>
      </c>
      <c r="O206" s="18" t="e">
        <f>+P206/#REF!</f>
        <v>#REF!</v>
      </c>
      <c r="P206" s="20">
        <f>Tabla15[[#This Row],[ORO SIN IVA]]*1.19</f>
        <v>557019.96</v>
      </c>
      <c r="Q206" s="18" t="e">
        <f>+R206/#REF!</f>
        <v>#REF!</v>
      </c>
      <c r="R206" s="19">
        <f>Tabla15[[#This Row],[INSTALLER SIN IVA]]*1.19</f>
        <v>682550.67999999993</v>
      </c>
      <c r="S206" s="40">
        <v>468084</v>
      </c>
      <c r="T206" s="40">
        <v>573572</v>
      </c>
    </row>
    <row r="207" spans="1:80" s="2" customFormat="1" ht="94.5" x14ac:dyDescent="0.25">
      <c r="A207" s="49" t="s">
        <v>435</v>
      </c>
      <c r="B207" s="50" t="s">
        <v>436</v>
      </c>
      <c r="C207" s="54">
        <f>+Tabla15[[#This Row],[PRECIO SUGERIDO INSTALADOR]]</f>
        <v>7144986.0999999996</v>
      </c>
      <c r="D207" s="54">
        <f>+Tabla15[[#This Row],[PRECIO INSTALADOR
( CON  IVA)]]-Tabla15[[#This Row],[Columna23]]</f>
        <v>6787736.7949999999</v>
      </c>
      <c r="E207" s="54">
        <f>+Tabla15[[#This Row],[DPP ORO]]</f>
        <v>5831435.54</v>
      </c>
      <c r="F207" s="54">
        <f>+Tabla15[[#This Row],[DPP PLATINO]]</f>
        <v>5773121.1846000003</v>
      </c>
      <c r="G207" s="54">
        <f>+Tabla15[[#This Row],[PRECIO INSTALADOR
( CON  IVA)]]/0.7</f>
        <v>10207123</v>
      </c>
      <c r="H207" s="52">
        <f>+Tabla15[[#This Row],[PRECIO INSTALADOR
( CON  IVA)]]*5%</f>
        <v>357249.30499999999</v>
      </c>
      <c r="I207" s="18" t="e">
        <f t="shared" si="35"/>
        <v>#REF!</v>
      </c>
      <c r="J207" s="18" t="e">
        <f t="shared" si="36"/>
        <v>#REF!</v>
      </c>
      <c r="K207" s="17" t="e">
        <f t="shared" si="37"/>
        <v>#REF!</v>
      </c>
      <c r="L207" s="17" t="e">
        <f>+M207/#REF!</f>
        <v>#REF!</v>
      </c>
      <c r="M207" s="17">
        <f t="shared" si="38"/>
        <v>5773121.1846000003</v>
      </c>
      <c r="N207" s="19">
        <f t="shared" si="39"/>
        <v>58314.3554</v>
      </c>
      <c r="O207" s="18" t="e">
        <f>+P207/#REF!</f>
        <v>#REF!</v>
      </c>
      <c r="P207" s="20">
        <f>Tabla15[[#This Row],[ORO SIN IVA]]*1.19</f>
        <v>5831435.54</v>
      </c>
      <c r="Q207" s="18" t="e">
        <f>+R207/#REF!</f>
        <v>#REF!</v>
      </c>
      <c r="R207" s="19">
        <f>Tabla15[[#This Row],[INSTALLER SIN IVA]]*1.19</f>
        <v>7144986.0999999996</v>
      </c>
      <c r="S207" s="40">
        <v>4900366</v>
      </c>
      <c r="T207" s="40">
        <v>6004190</v>
      </c>
    </row>
    <row r="208" spans="1:80" s="2" customFormat="1" ht="40.5" x14ac:dyDescent="0.25">
      <c r="A208" s="49" t="s">
        <v>120</v>
      </c>
      <c r="B208" s="50" t="s">
        <v>437</v>
      </c>
      <c r="C208" s="54">
        <f>+Tabla15[[#This Row],[PRECIO SUGERIDO INSTALADOR]]</f>
        <v>4032945.6999999997</v>
      </c>
      <c r="D208" s="54">
        <f>+Tabla15[[#This Row],[PRECIO INSTALADOR
( CON  IVA)]]-Tabla15[[#This Row],[Columna23]]</f>
        <v>3831298.4149999996</v>
      </c>
      <c r="E208" s="54">
        <f>+Tabla15[[#This Row],[DPP ORO]]</f>
        <v>3291563.8</v>
      </c>
      <c r="F208" s="54">
        <f>+Tabla15[[#This Row],[DPP PLATINO]]</f>
        <v>3258648.162</v>
      </c>
      <c r="G208" s="54">
        <f>+Tabla15[[#This Row],[PRECIO INSTALADOR
( CON  IVA)]]/0.7</f>
        <v>5761351</v>
      </c>
      <c r="H208" s="52">
        <f>+Tabla15[[#This Row],[PRECIO INSTALADOR
( CON  IVA)]]*5%</f>
        <v>201647.285</v>
      </c>
      <c r="I208" s="18" t="e">
        <f t="shared" si="35"/>
        <v>#REF!</v>
      </c>
      <c r="J208" s="18" t="e">
        <f t="shared" si="36"/>
        <v>#REF!</v>
      </c>
      <c r="K208" s="17" t="e">
        <f t="shared" si="37"/>
        <v>#REF!</v>
      </c>
      <c r="L208" s="17" t="e">
        <f>+M208/#REF!</f>
        <v>#REF!</v>
      </c>
      <c r="M208" s="17">
        <f t="shared" si="38"/>
        <v>3258648.162</v>
      </c>
      <c r="N208" s="19">
        <f t="shared" si="39"/>
        <v>32915.637999999999</v>
      </c>
      <c r="O208" s="18" t="e">
        <f>+P208/#REF!</f>
        <v>#REF!</v>
      </c>
      <c r="P208" s="20">
        <f>Tabla15[[#This Row],[ORO SIN IVA]]*1.19</f>
        <v>3291563.8</v>
      </c>
      <c r="Q208" s="18" t="e">
        <f>+R208/#REF!</f>
        <v>#REF!</v>
      </c>
      <c r="R208" s="19">
        <f>Tabla15[[#This Row],[INSTALLER SIN IVA]]*1.19</f>
        <v>4032945.6999999997</v>
      </c>
      <c r="S208" s="40">
        <v>2766020</v>
      </c>
      <c r="T208" s="40">
        <v>3389030</v>
      </c>
    </row>
    <row r="209" spans="1:20" s="2" customFormat="1" ht="81" x14ac:dyDescent="0.25">
      <c r="A209" s="49" t="s">
        <v>192</v>
      </c>
      <c r="B209" s="50" t="s">
        <v>438</v>
      </c>
      <c r="C209" s="54">
        <f>+Tabla15[[#This Row],[PRECIO SUGERIDO INSTALADOR]]</f>
        <v>1453189.92</v>
      </c>
      <c r="D209" s="54">
        <f>+Tabla15[[#This Row],[PRECIO INSTALADOR
( CON  IVA)]]-Tabla15[[#This Row],[Columna23]]</f>
        <v>1380530.4239999999</v>
      </c>
      <c r="E209" s="54">
        <f>+Tabla15[[#This Row],[DPP ORO]]</f>
        <v>1186075.3799999999</v>
      </c>
      <c r="F209" s="54">
        <f>+Tabla15[[#This Row],[DPP PLATINO]]</f>
        <v>1174214.6261999998</v>
      </c>
      <c r="G209" s="54">
        <f>+Tabla15[[#This Row],[PRECIO INSTALADOR
( CON  IVA)]]/0.7</f>
        <v>2075985.6</v>
      </c>
      <c r="H209" s="52">
        <f>+Tabla15[[#This Row],[PRECIO INSTALADOR
( CON  IVA)]]*5%</f>
        <v>72659.495999999999</v>
      </c>
      <c r="I209" s="18" t="e">
        <f t="shared" si="35"/>
        <v>#REF!</v>
      </c>
      <c r="J209" s="18" t="e">
        <f t="shared" si="36"/>
        <v>#REF!</v>
      </c>
      <c r="K209" s="17" t="e">
        <f t="shared" si="37"/>
        <v>#REF!</v>
      </c>
      <c r="L209" s="17" t="e">
        <f>+M209/#REF!</f>
        <v>#REF!</v>
      </c>
      <c r="M209" s="17">
        <f t="shared" si="38"/>
        <v>1174214.6261999998</v>
      </c>
      <c r="N209" s="19">
        <f t="shared" si="39"/>
        <v>11860.753799999999</v>
      </c>
      <c r="O209" s="18" t="e">
        <f>+P209/#REF!</f>
        <v>#REF!</v>
      </c>
      <c r="P209" s="20">
        <f>Tabla15[[#This Row],[ORO SIN IVA]]*1.19</f>
        <v>1186075.3799999999</v>
      </c>
      <c r="Q209" s="18" t="e">
        <f>+R209/#REF!</f>
        <v>#REF!</v>
      </c>
      <c r="R209" s="19">
        <f>Tabla15[[#This Row],[INSTALLER SIN IVA]]*1.19</f>
        <v>1453189.92</v>
      </c>
      <c r="S209" s="40">
        <v>996702</v>
      </c>
      <c r="T209" s="40">
        <v>1221168</v>
      </c>
    </row>
    <row r="210" spans="1:20" s="2" customFormat="1" ht="81" x14ac:dyDescent="0.25">
      <c r="A210" s="49" t="s">
        <v>439</v>
      </c>
      <c r="B210" s="50" t="s">
        <v>440</v>
      </c>
      <c r="C210" s="54">
        <f>+Tabla15[[#This Row],[PRECIO SUGERIDO INSTALADOR]]</f>
        <v>1453189.92</v>
      </c>
      <c r="D210" s="54">
        <f>+Tabla15[[#This Row],[PRECIO INSTALADOR
( CON  IVA)]]-Tabla15[[#This Row],[Columna23]]</f>
        <v>1380530.4239999999</v>
      </c>
      <c r="E210" s="54">
        <f>+Tabla15[[#This Row],[DPP ORO]]</f>
        <v>1186075.3799999999</v>
      </c>
      <c r="F210" s="54">
        <f>+Tabla15[[#This Row],[DPP PLATINO]]</f>
        <v>1174214.6261999998</v>
      </c>
      <c r="G210" s="54">
        <f>+Tabla15[[#This Row],[PRECIO INSTALADOR
( CON  IVA)]]/0.7</f>
        <v>2075985.6</v>
      </c>
      <c r="H210" s="52">
        <f>+Tabla15[[#This Row],[PRECIO INSTALADOR
( CON  IVA)]]*5%</f>
        <v>72659.495999999999</v>
      </c>
      <c r="I210" s="18" t="e">
        <f t="shared" si="35"/>
        <v>#REF!</v>
      </c>
      <c r="J210" s="18" t="e">
        <f t="shared" si="36"/>
        <v>#REF!</v>
      </c>
      <c r="K210" s="17" t="e">
        <f t="shared" si="37"/>
        <v>#REF!</v>
      </c>
      <c r="L210" s="17" t="e">
        <f>+M210/#REF!</f>
        <v>#REF!</v>
      </c>
      <c r="M210" s="17">
        <f t="shared" si="38"/>
        <v>1174214.6261999998</v>
      </c>
      <c r="N210" s="19">
        <f t="shared" si="39"/>
        <v>11860.753799999999</v>
      </c>
      <c r="O210" s="18" t="e">
        <f>+P210/#REF!</f>
        <v>#REF!</v>
      </c>
      <c r="P210" s="20">
        <f>Tabla15[[#This Row],[ORO SIN IVA]]*1.19</f>
        <v>1186075.3799999999</v>
      </c>
      <c r="Q210" s="18" t="e">
        <f>+R210/#REF!</f>
        <v>#REF!</v>
      </c>
      <c r="R210" s="19">
        <f>Tabla15[[#This Row],[INSTALLER SIN IVA]]*1.19</f>
        <v>1453189.92</v>
      </c>
      <c r="S210" s="40">
        <v>996702</v>
      </c>
      <c r="T210" s="40">
        <v>1221168</v>
      </c>
    </row>
    <row r="211" spans="1:20" s="2" customFormat="1" ht="81" x14ac:dyDescent="0.25">
      <c r="A211" s="49" t="s">
        <v>191</v>
      </c>
      <c r="B211" s="50" t="s">
        <v>441</v>
      </c>
      <c r="C211" s="54">
        <f>+Tabla15[[#This Row],[PRECIO SUGERIDO INSTALADOR]]</f>
        <v>1553533.0999999999</v>
      </c>
      <c r="D211" s="54">
        <f>+Tabla15[[#This Row],[PRECIO INSTALADOR
( CON  IVA)]]-Tabla15[[#This Row],[Columna23]]</f>
        <v>1475856.4449999998</v>
      </c>
      <c r="E211" s="54">
        <f>+Tabla15[[#This Row],[DPP ORO]]</f>
        <v>1267923.5799999998</v>
      </c>
      <c r="F211" s="54">
        <f>+Tabla15[[#This Row],[DPP PLATINO]]</f>
        <v>1255244.3441999999</v>
      </c>
      <c r="G211" s="54">
        <f>+Tabla15[[#This Row],[PRECIO INSTALADOR
( CON  IVA)]]/0.7</f>
        <v>2219333</v>
      </c>
      <c r="H211" s="52">
        <f>+Tabla15[[#This Row],[PRECIO INSTALADOR
( CON  IVA)]]*5%</f>
        <v>77676.654999999999</v>
      </c>
      <c r="I211" s="18" t="e">
        <f t="shared" si="35"/>
        <v>#REF!</v>
      </c>
      <c r="J211" s="18" t="e">
        <f t="shared" si="36"/>
        <v>#REF!</v>
      </c>
      <c r="K211" s="17" t="e">
        <f t="shared" si="37"/>
        <v>#REF!</v>
      </c>
      <c r="L211" s="17" t="e">
        <f>+M211/#REF!</f>
        <v>#REF!</v>
      </c>
      <c r="M211" s="17">
        <f t="shared" si="38"/>
        <v>1255244.3441999999</v>
      </c>
      <c r="N211" s="19">
        <f t="shared" si="39"/>
        <v>12679.235799999999</v>
      </c>
      <c r="O211" s="18" t="e">
        <f>+P211/#REF!</f>
        <v>#REF!</v>
      </c>
      <c r="P211" s="20">
        <f>Tabla15[[#This Row],[ORO SIN IVA]]*1.19</f>
        <v>1267923.5799999998</v>
      </c>
      <c r="Q211" s="18" t="e">
        <f>+R211/#REF!</f>
        <v>#REF!</v>
      </c>
      <c r="R211" s="19">
        <f>Tabla15[[#This Row],[INSTALLER SIN IVA]]*1.19</f>
        <v>1553533.0999999999</v>
      </c>
      <c r="S211" s="40">
        <v>1065482</v>
      </c>
      <c r="T211" s="40">
        <v>1305490</v>
      </c>
    </row>
    <row r="212" spans="1:20" s="2" customFormat="1" ht="81" x14ac:dyDescent="0.25">
      <c r="A212" s="49" t="s">
        <v>92</v>
      </c>
      <c r="B212" s="50" t="s">
        <v>442</v>
      </c>
      <c r="C212" s="54">
        <f>+Tabla15[[#This Row],[PRECIO SUGERIDO INSTALADOR]]</f>
        <v>1553533.0999999999</v>
      </c>
      <c r="D212" s="54">
        <f>+Tabla15[[#This Row],[PRECIO INSTALADOR
( CON  IVA)]]-Tabla15[[#This Row],[Columna23]]</f>
        <v>1475856.4449999998</v>
      </c>
      <c r="E212" s="54">
        <f>+Tabla15[[#This Row],[DPP ORO]]</f>
        <v>1267923.5799999998</v>
      </c>
      <c r="F212" s="54">
        <f>+Tabla15[[#This Row],[DPP PLATINO]]</f>
        <v>1255244.3441999999</v>
      </c>
      <c r="G212" s="54">
        <f>+Tabla15[[#This Row],[PRECIO INSTALADOR
( CON  IVA)]]/0.7</f>
        <v>2219333</v>
      </c>
      <c r="H212" s="52">
        <f>+Tabla15[[#This Row],[PRECIO INSTALADOR
( CON  IVA)]]*5%</f>
        <v>77676.654999999999</v>
      </c>
      <c r="I212" s="18" t="e">
        <f t="shared" si="35"/>
        <v>#REF!</v>
      </c>
      <c r="J212" s="18" t="e">
        <f t="shared" si="36"/>
        <v>#REF!</v>
      </c>
      <c r="K212" s="17" t="e">
        <f t="shared" si="37"/>
        <v>#REF!</v>
      </c>
      <c r="L212" s="17" t="e">
        <f>+M212/#REF!</f>
        <v>#REF!</v>
      </c>
      <c r="M212" s="17">
        <f t="shared" si="38"/>
        <v>1255244.3441999999</v>
      </c>
      <c r="N212" s="19">
        <f t="shared" si="39"/>
        <v>12679.235799999999</v>
      </c>
      <c r="O212" s="18" t="e">
        <f>+P212/#REF!</f>
        <v>#REF!</v>
      </c>
      <c r="P212" s="20">
        <f>Tabla15[[#This Row],[ORO SIN IVA]]*1.19</f>
        <v>1267923.5799999998</v>
      </c>
      <c r="Q212" s="18" t="e">
        <f>+R212/#REF!</f>
        <v>#REF!</v>
      </c>
      <c r="R212" s="19">
        <f>Tabla15[[#This Row],[INSTALLER SIN IVA]]*1.19</f>
        <v>1553533.0999999999</v>
      </c>
      <c r="S212" s="40">
        <v>1065482</v>
      </c>
      <c r="T212" s="40">
        <v>1305490</v>
      </c>
    </row>
    <row r="213" spans="1:20" s="2" customFormat="1" ht="40.5" x14ac:dyDescent="0.25">
      <c r="A213" s="49" t="s">
        <v>443</v>
      </c>
      <c r="B213" s="50" t="s">
        <v>444</v>
      </c>
      <c r="C213" s="54">
        <f>+Tabla15[[#This Row],[PRECIO SUGERIDO INSTALADOR]]</f>
        <v>3559854.06</v>
      </c>
      <c r="D213" s="54">
        <f>+Tabla15[[#This Row],[PRECIO INSTALADOR
( CON  IVA)]]-Tabla15[[#This Row],[Columna23]]</f>
        <v>3381861.3569999998</v>
      </c>
      <c r="E213" s="54">
        <f>+Tabla15[[#This Row],[DPP ORO]]</f>
        <v>2971496.6399999997</v>
      </c>
      <c r="F213" s="54">
        <f>+Tabla15[[#This Row],[DPP PLATINO]]</f>
        <v>2941781.6735999999</v>
      </c>
      <c r="G213" s="54">
        <f>+Tabla15[[#This Row],[PRECIO INSTALADOR
( CON  IVA)]]/0.7</f>
        <v>5085505.8000000007</v>
      </c>
      <c r="H213" s="52">
        <f>+Tabla15[[#This Row],[PRECIO INSTALADOR
( CON  IVA)]]*5%</f>
        <v>177992.70300000001</v>
      </c>
      <c r="I213" s="18" t="e">
        <f t="shared" si="35"/>
        <v>#REF!</v>
      </c>
      <c r="J213" s="18" t="e">
        <f t="shared" si="36"/>
        <v>#REF!</v>
      </c>
      <c r="K213" s="17" t="e">
        <f t="shared" si="37"/>
        <v>#REF!</v>
      </c>
      <c r="L213" s="17" t="e">
        <f>+M213/#REF!</f>
        <v>#REF!</v>
      </c>
      <c r="M213" s="17">
        <f t="shared" si="38"/>
        <v>2941781.6735999999</v>
      </c>
      <c r="N213" s="19">
        <f t="shared" si="39"/>
        <v>29714.966399999998</v>
      </c>
      <c r="O213" s="18" t="e">
        <f>+P213/#REF!</f>
        <v>#REF!</v>
      </c>
      <c r="P213" s="20">
        <f>Tabla15[[#This Row],[ORO SIN IVA]]*1.19</f>
        <v>2971496.6399999997</v>
      </c>
      <c r="Q213" s="18" t="e">
        <f>+R213/#REF!</f>
        <v>#REF!</v>
      </c>
      <c r="R213" s="19">
        <f>Tabla15[[#This Row],[INSTALLER SIN IVA]]*1.19</f>
        <v>3559854.06</v>
      </c>
      <c r="S213" s="40">
        <v>2497056</v>
      </c>
      <c r="T213" s="40">
        <v>2991474</v>
      </c>
    </row>
    <row r="214" spans="1:20" s="2" customFormat="1" ht="108" x14ac:dyDescent="0.25">
      <c r="A214" s="49" t="s">
        <v>445</v>
      </c>
      <c r="B214" s="50" t="s">
        <v>446</v>
      </c>
      <c r="C214" s="54">
        <f>+Tabla15[[#This Row],[PRECIO SUGERIDO INSTALADOR]]</f>
        <v>3372326.7199999997</v>
      </c>
      <c r="D214" s="54">
        <f>+Tabla15[[#This Row],[PRECIO INSTALADOR
( CON  IVA)]]-Tabla15[[#This Row],[Columna23]]</f>
        <v>3203710.3839999996</v>
      </c>
      <c r="E214" s="54">
        <f>+Tabla15[[#This Row],[DPP ORO]]</f>
        <v>2752405.7399999998</v>
      </c>
      <c r="F214" s="54">
        <f>+Tabla15[[#This Row],[DPP PLATINO]]</f>
        <v>2724881.6825999999</v>
      </c>
      <c r="G214" s="54">
        <f>+Tabla15[[#This Row],[PRECIO INSTALADOR
( CON  IVA)]]/0.7</f>
        <v>4817609.5999999996</v>
      </c>
      <c r="H214" s="52">
        <f>+Tabla15[[#This Row],[PRECIO INSTALADOR
( CON  IVA)]]*5%</f>
        <v>168616.33600000001</v>
      </c>
      <c r="I214" s="18" t="e">
        <f t="shared" si="35"/>
        <v>#REF!</v>
      </c>
      <c r="J214" s="18" t="e">
        <f t="shared" si="36"/>
        <v>#REF!</v>
      </c>
      <c r="K214" s="17" t="e">
        <f t="shared" si="37"/>
        <v>#REF!</v>
      </c>
      <c r="L214" s="17" t="e">
        <f>+M214/#REF!</f>
        <v>#REF!</v>
      </c>
      <c r="M214" s="17">
        <f t="shared" si="38"/>
        <v>2724881.6825999999</v>
      </c>
      <c r="N214" s="19">
        <f t="shared" si="39"/>
        <v>27524.057399999998</v>
      </c>
      <c r="O214" s="18" t="e">
        <f>+P214/#REF!</f>
        <v>#REF!</v>
      </c>
      <c r="P214" s="20">
        <f>Tabla15[[#This Row],[ORO SIN IVA]]*1.19</f>
        <v>2752405.7399999998</v>
      </c>
      <c r="Q214" s="18" t="e">
        <f>+R214/#REF!</f>
        <v>#REF!</v>
      </c>
      <c r="R214" s="19">
        <f>Tabla15[[#This Row],[INSTALLER SIN IVA]]*1.19</f>
        <v>3372326.7199999997</v>
      </c>
      <c r="S214" s="40">
        <v>2312946</v>
      </c>
      <c r="T214" s="40">
        <v>2833888</v>
      </c>
    </row>
    <row r="215" spans="1:20" s="2" customFormat="1" ht="121.5" x14ac:dyDescent="0.25">
      <c r="A215" s="49" t="s">
        <v>447</v>
      </c>
      <c r="B215" s="50" t="s">
        <v>448</v>
      </c>
      <c r="C215" s="54">
        <f>+Tabla15[[#This Row],[PRECIO SUGERIDO INSTALADOR]]</f>
        <v>4258638.72</v>
      </c>
      <c r="D215" s="54">
        <f>+Tabla15[[#This Row],[PRECIO INSTALADOR
( CON  IVA)]]-Tabla15[[#This Row],[Columna23]]</f>
        <v>4045706.784</v>
      </c>
      <c r="E215" s="54">
        <f>+Tabla15[[#This Row],[DPP ORO]]</f>
        <v>3475835.3</v>
      </c>
      <c r="F215" s="54">
        <f>+Tabla15[[#This Row],[DPP PLATINO]]</f>
        <v>3441076.9469999997</v>
      </c>
      <c r="G215" s="54">
        <f>+Tabla15[[#This Row],[PRECIO INSTALADOR
( CON  IVA)]]/0.7</f>
        <v>6083769.5999999996</v>
      </c>
      <c r="H215" s="52">
        <f>+Tabla15[[#This Row],[PRECIO INSTALADOR
( CON  IVA)]]*5%</f>
        <v>212931.93599999999</v>
      </c>
      <c r="I215" s="18" t="e">
        <f t="shared" si="35"/>
        <v>#REF!</v>
      </c>
      <c r="J215" s="18" t="e">
        <f t="shared" si="36"/>
        <v>#REF!</v>
      </c>
      <c r="K215" s="17" t="e">
        <f t="shared" si="37"/>
        <v>#REF!</v>
      </c>
      <c r="L215" s="17" t="e">
        <f>+M215/#REF!</f>
        <v>#REF!</v>
      </c>
      <c r="M215" s="17">
        <f t="shared" si="38"/>
        <v>3441076.9469999997</v>
      </c>
      <c r="N215" s="19">
        <f t="shared" si="39"/>
        <v>34758.352999999996</v>
      </c>
      <c r="O215" s="18" t="e">
        <f>+P215/#REF!</f>
        <v>#REF!</v>
      </c>
      <c r="P215" s="20">
        <f>Tabla15[[#This Row],[ORO SIN IVA]]*1.19</f>
        <v>3475835.3</v>
      </c>
      <c r="Q215" s="18" t="e">
        <f>+R215/#REF!</f>
        <v>#REF!</v>
      </c>
      <c r="R215" s="19">
        <f>Tabla15[[#This Row],[INSTALLER SIN IVA]]*1.19</f>
        <v>4258638.72</v>
      </c>
      <c r="S215" s="40">
        <v>2920870</v>
      </c>
      <c r="T215" s="40">
        <v>3578688</v>
      </c>
    </row>
    <row r="216" spans="1:20" s="2" customFormat="1" ht="81" x14ac:dyDescent="0.25">
      <c r="A216" s="49" t="s">
        <v>93</v>
      </c>
      <c r="B216" s="50" t="s">
        <v>449</v>
      </c>
      <c r="C216" s="54">
        <f>+Tabla15[[#This Row],[PRECIO SUGERIDO INSTALADOR]]</f>
        <v>3531229.8</v>
      </c>
      <c r="D216" s="54">
        <f>+Tabla15[[#This Row],[PRECIO INSTALADOR
( CON  IVA)]]-Tabla15[[#This Row],[Columna23]]</f>
        <v>3354668.3099999996</v>
      </c>
      <c r="E216" s="54">
        <f>+Tabla15[[#This Row],[DPP ORO]]</f>
        <v>2882187.1399999997</v>
      </c>
      <c r="F216" s="54">
        <f>+Tabla15[[#This Row],[DPP PLATINO]]</f>
        <v>2853365.2685999996</v>
      </c>
      <c r="G216" s="54">
        <f>+Tabla15[[#This Row],[PRECIO INSTALADOR
( CON  IVA)]]/0.7</f>
        <v>5044614</v>
      </c>
      <c r="H216" s="52">
        <f>+Tabla15[[#This Row],[PRECIO INSTALADOR
( CON  IVA)]]*5%</f>
        <v>176561.49</v>
      </c>
      <c r="I216" s="18" t="e">
        <f t="shared" si="35"/>
        <v>#REF!</v>
      </c>
      <c r="J216" s="18" t="e">
        <f t="shared" si="36"/>
        <v>#REF!</v>
      </c>
      <c r="K216" s="17" t="e">
        <f t="shared" si="37"/>
        <v>#REF!</v>
      </c>
      <c r="L216" s="17" t="e">
        <f>+M216/#REF!</f>
        <v>#REF!</v>
      </c>
      <c r="M216" s="17">
        <f t="shared" si="38"/>
        <v>2853365.2685999996</v>
      </c>
      <c r="N216" s="19">
        <f t="shared" si="39"/>
        <v>28821.871399999996</v>
      </c>
      <c r="O216" s="18" t="e">
        <f>+P216/#REF!</f>
        <v>#REF!</v>
      </c>
      <c r="P216" s="20">
        <f>Tabla15[[#This Row],[ORO SIN IVA]]*1.19</f>
        <v>2882187.1399999997</v>
      </c>
      <c r="Q216" s="18" t="e">
        <f>+R216/#REF!</f>
        <v>#REF!</v>
      </c>
      <c r="R216" s="19">
        <f>Tabla15[[#This Row],[INSTALLER SIN IVA]]*1.19</f>
        <v>3531229.8</v>
      </c>
      <c r="S216" s="40">
        <v>2422006</v>
      </c>
      <c r="T216" s="40">
        <v>2967420</v>
      </c>
    </row>
    <row r="217" spans="1:20" s="2" customFormat="1" ht="40.5" x14ac:dyDescent="0.25">
      <c r="A217" s="49" t="s">
        <v>450</v>
      </c>
      <c r="B217" s="50" t="s">
        <v>451</v>
      </c>
      <c r="C217" s="54">
        <f>+Tabla15[[#This Row],[PRECIO SUGERIDO INSTALADOR]]</f>
        <v>3580203.06</v>
      </c>
      <c r="D217" s="54">
        <f>+Tabla15[[#This Row],[PRECIO INSTALADOR
( CON  IVA)]]-Tabla15[[#This Row],[Columna23]]</f>
        <v>3401192.9070000001</v>
      </c>
      <c r="E217" s="54">
        <f>+Tabla15[[#This Row],[DPP ORO]]</f>
        <v>2922025.96</v>
      </c>
      <c r="F217" s="54">
        <f>+Tabla15[[#This Row],[DPP PLATINO]]</f>
        <v>2892805.7004</v>
      </c>
      <c r="G217" s="54">
        <f>+Tabla15[[#This Row],[PRECIO INSTALADOR
( CON  IVA)]]/0.7</f>
        <v>5114575.8000000007</v>
      </c>
      <c r="H217" s="52">
        <f>+Tabla15[[#This Row],[PRECIO INSTALADOR
( CON  IVA)]]*5%</f>
        <v>179010.15300000002</v>
      </c>
      <c r="I217" s="18" t="e">
        <f t="shared" si="35"/>
        <v>#REF!</v>
      </c>
      <c r="J217" s="18" t="e">
        <f t="shared" si="36"/>
        <v>#REF!</v>
      </c>
      <c r="K217" s="17" t="e">
        <f t="shared" si="37"/>
        <v>#REF!</v>
      </c>
      <c r="L217" s="17" t="e">
        <f>+M217/#REF!</f>
        <v>#REF!</v>
      </c>
      <c r="M217" s="17">
        <f t="shared" si="38"/>
        <v>2892805.7004</v>
      </c>
      <c r="N217" s="19">
        <f t="shared" si="39"/>
        <v>29220.259600000001</v>
      </c>
      <c r="O217" s="18" t="e">
        <f>+P217/#REF!</f>
        <v>#REF!</v>
      </c>
      <c r="P217" s="20">
        <f>Tabla15[[#This Row],[ORO SIN IVA]]*1.19</f>
        <v>2922025.96</v>
      </c>
      <c r="Q217" s="18" t="e">
        <f>+R217/#REF!</f>
        <v>#REF!</v>
      </c>
      <c r="R217" s="19">
        <f>Tabla15[[#This Row],[INSTALLER SIN IVA]]*1.19</f>
        <v>3580203.06</v>
      </c>
      <c r="S217" s="40">
        <v>2455484</v>
      </c>
      <c r="T217" s="40">
        <v>3008574</v>
      </c>
    </row>
    <row r="218" spans="1:20" s="2" customFormat="1" ht="27" x14ac:dyDescent="0.25">
      <c r="A218" s="49" t="s">
        <v>452</v>
      </c>
      <c r="B218" s="50" t="s">
        <v>453</v>
      </c>
      <c r="C218" s="54">
        <f>+Tabla15[[#This Row],[PRECIO SUGERIDO INSTALADOR]]</f>
        <v>4227391.7</v>
      </c>
      <c r="D218" s="54">
        <f>+Tabla15[[#This Row],[PRECIO INSTALADOR
( CON  IVA)]]-Tabla15[[#This Row],[Columna23]]</f>
        <v>4016022.1150000002</v>
      </c>
      <c r="E218" s="54">
        <f>+Tabla15[[#This Row],[DPP ORO]]</f>
        <v>3377572.2399999998</v>
      </c>
      <c r="F218" s="54">
        <f>+Tabla15[[#This Row],[DPP PLATINO]]</f>
        <v>3343796.5175999999</v>
      </c>
      <c r="G218" s="54">
        <f>+Tabla15[[#This Row],[PRECIO INSTALADOR
( CON  IVA)]]/0.7</f>
        <v>6039131.0000000009</v>
      </c>
      <c r="H218" s="52">
        <f>+Tabla15[[#This Row],[PRECIO INSTALADOR
( CON  IVA)]]*5%</f>
        <v>211369.58500000002</v>
      </c>
      <c r="I218" s="18" t="e">
        <f t="shared" si="35"/>
        <v>#REF!</v>
      </c>
      <c r="J218" s="18" t="e">
        <f t="shared" si="36"/>
        <v>#REF!</v>
      </c>
      <c r="K218" s="17" t="e">
        <f t="shared" si="37"/>
        <v>#REF!</v>
      </c>
      <c r="L218" s="17" t="e">
        <f>+M218/#REF!</f>
        <v>#REF!</v>
      </c>
      <c r="M218" s="17">
        <f t="shared" si="38"/>
        <v>3343796.5175999999</v>
      </c>
      <c r="N218" s="19">
        <f t="shared" si="39"/>
        <v>33775.722399999999</v>
      </c>
      <c r="O218" s="18" t="e">
        <f>+P218/#REF!</f>
        <v>#REF!</v>
      </c>
      <c r="P218" s="20">
        <f>Tabla15[[#This Row],[ORO SIN IVA]]*1.19</f>
        <v>3377572.2399999998</v>
      </c>
      <c r="Q218" s="18" t="e">
        <f>+R218/#REF!</f>
        <v>#REF!</v>
      </c>
      <c r="R218" s="19">
        <f>Tabla15[[#This Row],[INSTALLER SIN IVA]]*1.19</f>
        <v>4227391.7</v>
      </c>
      <c r="S218" s="40">
        <v>2838296</v>
      </c>
      <c r="T218" s="40">
        <v>3552430.0000000005</v>
      </c>
    </row>
    <row r="219" spans="1:20" s="2" customFormat="1" ht="40.5" x14ac:dyDescent="0.25">
      <c r="A219" s="49" t="s">
        <v>454</v>
      </c>
      <c r="B219" s="50" t="s">
        <v>455</v>
      </c>
      <c r="C219" s="54">
        <f>+Tabla15[[#This Row],[PRECIO SUGERIDO INSTALADOR]]</f>
        <v>62914450.339999996</v>
      </c>
      <c r="D219" s="54">
        <f>+Tabla15[[#This Row],[PRECIO INSTALADOR
( CON  IVA)]]-Tabla15[[#This Row],[Columna23]]</f>
        <v>59768727.822999999</v>
      </c>
      <c r="E219" s="54">
        <f>+Tabla15[[#This Row],[DPP ORO]]</f>
        <v>51348666.599999994</v>
      </c>
      <c r="F219" s="54">
        <f>+Tabla15[[#This Row],[DPP PLATINO]]</f>
        <v>50835179.933999993</v>
      </c>
      <c r="G219" s="54">
        <f>+Tabla15[[#This Row],[PRECIO INSTALADOR
( CON  IVA)]]/0.7</f>
        <v>89877786.200000003</v>
      </c>
      <c r="H219" s="52">
        <f>+Tabla15[[#This Row],[PRECIO INSTALADOR
( CON  IVA)]]*5%</f>
        <v>3145722.517</v>
      </c>
      <c r="I219" s="18" t="e">
        <f t="shared" si="35"/>
        <v>#REF!</v>
      </c>
      <c r="J219" s="18" t="e">
        <f t="shared" si="36"/>
        <v>#REF!</v>
      </c>
      <c r="K219" s="17" t="e">
        <f t="shared" si="37"/>
        <v>#REF!</v>
      </c>
      <c r="L219" s="17" t="e">
        <f>+M219/#REF!</f>
        <v>#REF!</v>
      </c>
      <c r="M219" s="17">
        <f t="shared" si="38"/>
        <v>50835179.933999993</v>
      </c>
      <c r="N219" s="19">
        <f t="shared" si="39"/>
        <v>513486.66599999997</v>
      </c>
      <c r="O219" s="18" t="e">
        <f>+P219/#REF!</f>
        <v>#REF!</v>
      </c>
      <c r="P219" s="20">
        <f>Tabla15[[#This Row],[ORO SIN IVA]]*1.19</f>
        <v>51348666.599999994</v>
      </c>
      <c r="Q219" s="18" t="e">
        <f>+R219/#REF!</f>
        <v>#REF!</v>
      </c>
      <c r="R219" s="19">
        <f>Tabla15[[#This Row],[INSTALLER SIN IVA]]*1.19</f>
        <v>62914450.339999996</v>
      </c>
      <c r="S219" s="40">
        <v>43150140</v>
      </c>
      <c r="T219" s="40">
        <v>52869286</v>
      </c>
    </row>
    <row r="220" spans="1:20" s="2" customFormat="1" ht="40.5" x14ac:dyDescent="0.25">
      <c r="A220" s="49" t="s">
        <v>456</v>
      </c>
      <c r="B220" s="50" t="s">
        <v>457</v>
      </c>
      <c r="C220" s="54">
        <f>+Tabla15[[#This Row],[PRECIO SUGERIDO INSTALADOR]]</f>
        <v>80546858.840000004</v>
      </c>
      <c r="D220" s="54">
        <f>+Tabla15[[#This Row],[PRECIO INSTALADOR
( CON  IVA)]]-Tabla15[[#This Row],[Columna23]]</f>
        <v>76519515.898000002</v>
      </c>
      <c r="E220" s="54">
        <f>+Tabla15[[#This Row],[DPP ORO]]</f>
        <v>65739569.839999996</v>
      </c>
      <c r="F220" s="54">
        <f>+Tabla15[[#This Row],[DPP PLATINO]]</f>
        <v>65082174.141599998</v>
      </c>
      <c r="G220" s="54">
        <f>+Tabla15[[#This Row],[PRECIO INSTALADOR
( CON  IVA)]]/0.7</f>
        <v>115066941.20000002</v>
      </c>
      <c r="H220" s="52">
        <f>+Tabla15[[#This Row],[PRECIO INSTALADOR
( CON  IVA)]]*5%</f>
        <v>4027342.9420000003</v>
      </c>
      <c r="I220" s="18" t="e">
        <f t="shared" si="35"/>
        <v>#REF!</v>
      </c>
      <c r="J220" s="18" t="e">
        <f t="shared" si="36"/>
        <v>#REF!</v>
      </c>
      <c r="K220" s="17" t="e">
        <f t="shared" si="37"/>
        <v>#REF!</v>
      </c>
      <c r="L220" s="17" t="e">
        <f>+M220/#REF!</f>
        <v>#REF!</v>
      </c>
      <c r="M220" s="17">
        <f t="shared" si="38"/>
        <v>65082174.141599998</v>
      </c>
      <c r="N220" s="19">
        <f t="shared" si="39"/>
        <v>657395.69839999999</v>
      </c>
      <c r="O220" s="18" t="e">
        <f>+P220/#REF!</f>
        <v>#REF!</v>
      </c>
      <c r="P220" s="20">
        <f>Tabla15[[#This Row],[ORO SIN IVA]]*1.19</f>
        <v>65739569.839999996</v>
      </c>
      <c r="Q220" s="18" t="e">
        <f>+R220/#REF!</f>
        <v>#REF!</v>
      </c>
      <c r="R220" s="19">
        <f>Tabla15[[#This Row],[INSTALLER SIN IVA]]*1.19</f>
        <v>80546858.840000004</v>
      </c>
      <c r="S220" s="40">
        <v>55243336</v>
      </c>
      <c r="T220" s="40">
        <v>67686436</v>
      </c>
    </row>
    <row r="221" spans="1:20" s="2" customFormat="1" ht="94.5" x14ac:dyDescent="0.25">
      <c r="A221" s="49" t="s">
        <v>458</v>
      </c>
      <c r="B221" s="50" t="s">
        <v>459</v>
      </c>
      <c r="C221" s="54">
        <f>+Tabla15[[#This Row],[PRECIO SUGERIDO INSTALADOR]]</f>
        <v>64031474.779999994</v>
      </c>
      <c r="D221" s="54">
        <f>+Tabla15[[#This Row],[PRECIO INSTALADOR
( CON  IVA)]]-Tabla15[[#This Row],[Columna23]]</f>
        <v>60829901.040999994</v>
      </c>
      <c r="E221" s="54">
        <f>+Tabla15[[#This Row],[DPP ORO]]</f>
        <v>52260347.019999996</v>
      </c>
      <c r="F221" s="54">
        <f>+Tabla15[[#This Row],[DPP PLATINO]]</f>
        <v>51737743.549799994</v>
      </c>
      <c r="G221" s="54">
        <f>+Tabla15[[#This Row],[PRECIO INSTALADOR
( CON  IVA)]]/0.7</f>
        <v>91473535.399999991</v>
      </c>
      <c r="H221" s="52">
        <f>+Tabla15[[#This Row],[PRECIO INSTALADOR
( CON  IVA)]]*5%</f>
        <v>3201573.7390000001</v>
      </c>
      <c r="I221" s="18" t="e">
        <f t="shared" si="35"/>
        <v>#REF!</v>
      </c>
      <c r="J221" s="18" t="e">
        <f t="shared" si="36"/>
        <v>#REF!</v>
      </c>
      <c r="K221" s="17" t="e">
        <f t="shared" si="37"/>
        <v>#REF!</v>
      </c>
      <c r="L221" s="17" t="e">
        <f>+M221/#REF!</f>
        <v>#REF!</v>
      </c>
      <c r="M221" s="17">
        <f t="shared" si="38"/>
        <v>51737743.549799994</v>
      </c>
      <c r="N221" s="19">
        <f t="shared" si="39"/>
        <v>522603.47019999998</v>
      </c>
      <c r="O221" s="18" t="e">
        <f>+P221/#REF!</f>
        <v>#REF!</v>
      </c>
      <c r="P221" s="20">
        <f>Tabla15[[#This Row],[ORO SIN IVA]]*1.19</f>
        <v>52260347.019999996</v>
      </c>
      <c r="Q221" s="18" t="e">
        <f>+R221/#REF!</f>
        <v>#REF!</v>
      </c>
      <c r="R221" s="19">
        <f>Tabla15[[#This Row],[INSTALLER SIN IVA]]*1.19</f>
        <v>64031474.779999994</v>
      </c>
      <c r="S221" s="40">
        <v>43916258</v>
      </c>
      <c r="T221" s="40">
        <v>53807962</v>
      </c>
    </row>
    <row r="222" spans="1:20" s="2" customFormat="1" ht="40.5" x14ac:dyDescent="0.25">
      <c r="A222" s="49" t="s">
        <v>460</v>
      </c>
      <c r="B222" s="50" t="s">
        <v>461</v>
      </c>
      <c r="C222" s="54">
        <f>+Tabla15[[#This Row],[PRECIO SUGERIDO INSTALADOR]]</f>
        <v>16411785.039999999</v>
      </c>
      <c r="D222" s="54">
        <f>+Tabla15[[#This Row],[PRECIO INSTALADOR
( CON  IVA)]]-Tabla15[[#This Row],[Columna23]]</f>
        <v>15591195.787999999</v>
      </c>
      <c r="E222" s="54">
        <f>+Tabla15[[#This Row],[DPP ORO]]</f>
        <v>13394751.859999999</v>
      </c>
      <c r="F222" s="54">
        <f>+Tabla15[[#This Row],[DPP PLATINO]]</f>
        <v>13260804.341399999</v>
      </c>
      <c r="G222" s="54">
        <f>+Tabla15[[#This Row],[PRECIO INSTALADOR
( CON  IVA)]]/0.7</f>
        <v>23445407.199999999</v>
      </c>
      <c r="H222" s="52">
        <f>+Tabla15[[#This Row],[PRECIO INSTALADOR
( CON  IVA)]]*5%</f>
        <v>820589.25199999998</v>
      </c>
      <c r="I222" s="18" t="e">
        <f t="shared" si="35"/>
        <v>#REF!</v>
      </c>
      <c r="J222" s="18" t="e">
        <f t="shared" si="36"/>
        <v>#REF!</v>
      </c>
      <c r="K222" s="17" t="e">
        <f t="shared" si="37"/>
        <v>#REF!</v>
      </c>
      <c r="L222" s="17" t="e">
        <f>+M222/#REF!</f>
        <v>#REF!</v>
      </c>
      <c r="M222" s="17">
        <f t="shared" si="38"/>
        <v>13260804.341399999</v>
      </c>
      <c r="N222" s="19">
        <f t="shared" si="39"/>
        <v>133947.51860000001</v>
      </c>
      <c r="O222" s="18" t="e">
        <f>+P222/#REF!</f>
        <v>#REF!</v>
      </c>
      <c r="P222" s="20">
        <f>Tabla15[[#This Row],[ORO SIN IVA]]*1.19</f>
        <v>13394751.859999999</v>
      </c>
      <c r="Q222" s="18" t="e">
        <f>+R222/#REF!</f>
        <v>#REF!</v>
      </c>
      <c r="R222" s="19">
        <f>Tabla15[[#This Row],[INSTALLER SIN IVA]]*1.19</f>
        <v>16411785.039999999</v>
      </c>
      <c r="S222" s="40">
        <v>11256094</v>
      </c>
      <c r="T222" s="40">
        <v>13791416</v>
      </c>
    </row>
    <row r="223" spans="1:20" s="2" customFormat="1" ht="40.5" x14ac:dyDescent="0.25">
      <c r="A223" s="49" t="s">
        <v>462</v>
      </c>
      <c r="B223" s="50" t="s">
        <v>463</v>
      </c>
      <c r="C223" s="54">
        <f>+Tabla15[[#This Row],[PRECIO SUGERIDO INSTALADOR]]</f>
        <v>12552574.58</v>
      </c>
      <c r="D223" s="54">
        <f>+Tabla15[[#This Row],[PRECIO INSTALADOR
( CON  IVA)]]-Tabla15[[#This Row],[Columna23]]</f>
        <v>11924945.851</v>
      </c>
      <c r="E223" s="54">
        <f>+Tabla15[[#This Row],[DPP ORO]]</f>
        <v>10081165.92</v>
      </c>
      <c r="F223" s="54">
        <f>+Tabla15[[#This Row],[DPP PLATINO]]</f>
        <v>9980354.2608000003</v>
      </c>
      <c r="G223" s="54">
        <f>+Tabla15[[#This Row],[PRECIO INSTALADOR
( CON  IVA)]]/0.7</f>
        <v>17932249.400000002</v>
      </c>
      <c r="H223" s="52">
        <f>+Tabla15[[#This Row],[PRECIO INSTALADOR
( CON  IVA)]]*5%</f>
        <v>627628.72900000005</v>
      </c>
      <c r="I223" s="18" t="e">
        <f t="shared" si="35"/>
        <v>#REF!</v>
      </c>
      <c r="J223" s="18" t="e">
        <f t="shared" si="36"/>
        <v>#REF!</v>
      </c>
      <c r="K223" s="17" t="e">
        <f t="shared" si="37"/>
        <v>#REF!</v>
      </c>
      <c r="L223" s="17" t="e">
        <f>+M223/#REF!</f>
        <v>#REF!</v>
      </c>
      <c r="M223" s="17">
        <f t="shared" si="38"/>
        <v>9980354.2608000003</v>
      </c>
      <c r="N223" s="19">
        <f t="shared" si="39"/>
        <v>100811.65919999999</v>
      </c>
      <c r="O223" s="18" t="e">
        <f>+P223/#REF!</f>
        <v>#REF!</v>
      </c>
      <c r="P223" s="20">
        <f>Tabla15[[#This Row],[ORO SIN IVA]]*1.19</f>
        <v>10081165.92</v>
      </c>
      <c r="Q223" s="18" t="e">
        <f>+R223/#REF!</f>
        <v>#REF!</v>
      </c>
      <c r="R223" s="19">
        <f>Tabla15[[#This Row],[INSTALLER SIN IVA]]*1.19</f>
        <v>12552574.58</v>
      </c>
      <c r="S223" s="40">
        <v>8471568</v>
      </c>
      <c r="T223" s="40">
        <v>10548382</v>
      </c>
    </row>
    <row r="224" spans="1:20" s="2" customFormat="1" ht="54" x14ac:dyDescent="0.25">
      <c r="A224" s="49" t="s">
        <v>464</v>
      </c>
      <c r="B224" s="50" t="s">
        <v>465</v>
      </c>
      <c r="C224" s="54">
        <f>+Tabla15[[#This Row],[PRECIO SUGERIDO INSTALADOR]]</f>
        <v>15713452.58</v>
      </c>
      <c r="D224" s="54">
        <f>+Tabla15[[#This Row],[PRECIO INSTALADOR
( CON  IVA)]]-Tabla15[[#This Row],[Columna23]]</f>
        <v>14927779.950999999</v>
      </c>
      <c r="E224" s="54">
        <f>+Tabla15[[#This Row],[DPP ORO]]</f>
        <v>12619771.5</v>
      </c>
      <c r="F224" s="54">
        <f>+Tabla15[[#This Row],[DPP PLATINO]]</f>
        <v>12493573.785</v>
      </c>
      <c r="G224" s="54">
        <f>+Tabla15[[#This Row],[PRECIO INSTALADOR
( CON  IVA)]]/0.7</f>
        <v>22447789.400000002</v>
      </c>
      <c r="H224" s="52">
        <f>+Tabla15[[#This Row],[PRECIO INSTALADOR
( CON  IVA)]]*5%</f>
        <v>785672.62900000007</v>
      </c>
      <c r="I224" s="18" t="e">
        <f t="shared" si="35"/>
        <v>#REF!</v>
      </c>
      <c r="J224" s="18" t="e">
        <f t="shared" si="36"/>
        <v>#REF!</v>
      </c>
      <c r="K224" s="17" t="e">
        <f t="shared" si="37"/>
        <v>#REF!</v>
      </c>
      <c r="L224" s="17" t="e">
        <f>+M224/#REF!</f>
        <v>#REF!</v>
      </c>
      <c r="M224" s="17">
        <f t="shared" si="38"/>
        <v>12493573.785</v>
      </c>
      <c r="N224" s="19">
        <f t="shared" si="39"/>
        <v>126197.715</v>
      </c>
      <c r="O224" s="18" t="e">
        <f>+P224/#REF!</f>
        <v>#REF!</v>
      </c>
      <c r="P224" s="20">
        <f>Tabla15[[#This Row],[ORO SIN IVA]]*1.19</f>
        <v>12619771.5</v>
      </c>
      <c r="Q224" s="18" t="e">
        <f>+R224/#REF!</f>
        <v>#REF!</v>
      </c>
      <c r="R224" s="19">
        <f>Tabla15[[#This Row],[INSTALLER SIN IVA]]*1.19</f>
        <v>15713452.58</v>
      </c>
      <c r="S224" s="40">
        <v>10604850</v>
      </c>
      <c r="T224" s="40">
        <v>13204582</v>
      </c>
    </row>
    <row r="225" spans="1:20" s="2" customFormat="1" ht="148.5" x14ac:dyDescent="0.25">
      <c r="A225" s="49" t="s">
        <v>466</v>
      </c>
      <c r="B225" s="50" t="s">
        <v>467</v>
      </c>
      <c r="C225" s="54">
        <f>+Tabla15[[#This Row],[PRECIO SUGERIDO INSTALADOR]]</f>
        <v>357916.3</v>
      </c>
      <c r="D225" s="54">
        <f>+Tabla15[[#This Row],[PRECIO INSTALADOR
( CON  IVA)]]-Tabla15[[#This Row],[Columna23]]</f>
        <v>340020.48499999999</v>
      </c>
      <c r="E225" s="54">
        <f>+Tabla15[[#This Row],[DPP ORO]]</f>
        <v>292347.3</v>
      </c>
      <c r="F225" s="54">
        <f>+Tabla15[[#This Row],[DPP PLATINO]]</f>
        <v>289423.82699999999</v>
      </c>
      <c r="G225" s="54">
        <f>+Tabla15[[#This Row],[PRECIO INSTALADOR
( CON  IVA)]]/0.7</f>
        <v>511309</v>
      </c>
      <c r="H225" s="52">
        <f>+Tabla15[[#This Row],[PRECIO INSTALADOR
( CON  IVA)]]*5%</f>
        <v>17895.814999999999</v>
      </c>
      <c r="I225" s="18" t="e">
        <f t="shared" si="35"/>
        <v>#REF!</v>
      </c>
      <c r="J225" s="18" t="e">
        <f t="shared" si="36"/>
        <v>#REF!</v>
      </c>
      <c r="K225" s="17" t="e">
        <f t="shared" si="37"/>
        <v>#REF!</v>
      </c>
      <c r="L225" s="17" t="e">
        <f>+M225/#REF!</f>
        <v>#REF!</v>
      </c>
      <c r="M225" s="17">
        <f t="shared" si="38"/>
        <v>289423.82699999999</v>
      </c>
      <c r="N225" s="19">
        <f t="shared" si="39"/>
        <v>2923.473</v>
      </c>
      <c r="O225" s="18" t="e">
        <f>+P225/#REF!</f>
        <v>#REF!</v>
      </c>
      <c r="P225" s="20">
        <f>Tabla15[[#This Row],[ORO SIN IVA]]*1.19</f>
        <v>292347.3</v>
      </c>
      <c r="Q225" s="18" t="e">
        <f>+R225/#REF!</f>
        <v>#REF!</v>
      </c>
      <c r="R225" s="19">
        <f>Tabla15[[#This Row],[INSTALLER SIN IVA]]*1.19</f>
        <v>357916.3</v>
      </c>
      <c r="S225" s="40">
        <v>245670</v>
      </c>
      <c r="T225" s="40">
        <v>300770</v>
      </c>
    </row>
    <row r="226" spans="1:20" s="2" customFormat="1" ht="148.5" x14ac:dyDescent="0.25">
      <c r="A226" s="49" t="s">
        <v>468</v>
      </c>
      <c r="B226" s="50" t="s">
        <v>469</v>
      </c>
      <c r="C226" s="54">
        <f>+Tabla15[[#This Row],[PRECIO SUGERIDO INSTALADOR]]</f>
        <v>364066.22</v>
      </c>
      <c r="D226" s="54">
        <f>+Tabla15[[#This Row],[PRECIO INSTALADOR
( CON  IVA)]]-Tabla15[[#This Row],[Columna23]]</f>
        <v>345862.90899999999</v>
      </c>
      <c r="E226" s="54">
        <f>+Tabla15[[#This Row],[DPP ORO]]</f>
        <v>297366.71999999997</v>
      </c>
      <c r="F226" s="54">
        <f>+Tabla15[[#This Row],[DPP PLATINO]]</f>
        <v>294393.05279999995</v>
      </c>
      <c r="G226" s="54">
        <f>+Tabla15[[#This Row],[PRECIO INSTALADOR
( CON  IVA)]]/0.7</f>
        <v>520094.6</v>
      </c>
      <c r="H226" s="52">
        <f>+Tabla15[[#This Row],[PRECIO INSTALADOR
( CON  IVA)]]*5%</f>
        <v>18203.310999999998</v>
      </c>
      <c r="I226" s="18" t="e">
        <f t="shared" si="35"/>
        <v>#REF!</v>
      </c>
      <c r="J226" s="18" t="e">
        <f t="shared" si="36"/>
        <v>#REF!</v>
      </c>
      <c r="K226" s="17" t="e">
        <f t="shared" si="37"/>
        <v>#REF!</v>
      </c>
      <c r="L226" s="17" t="e">
        <f>+M226/#REF!</f>
        <v>#REF!</v>
      </c>
      <c r="M226" s="17">
        <f t="shared" si="38"/>
        <v>294393.05279999995</v>
      </c>
      <c r="N226" s="19">
        <f t="shared" si="39"/>
        <v>2973.6671999999999</v>
      </c>
      <c r="O226" s="18" t="e">
        <f>+P226/#REF!</f>
        <v>#REF!</v>
      </c>
      <c r="P226" s="20">
        <f>Tabla15[[#This Row],[ORO SIN IVA]]*1.19</f>
        <v>297366.71999999997</v>
      </c>
      <c r="Q226" s="18" t="e">
        <f>+R226/#REF!</f>
        <v>#REF!</v>
      </c>
      <c r="R226" s="19">
        <f>Tabla15[[#This Row],[INSTALLER SIN IVA]]*1.19</f>
        <v>364066.22</v>
      </c>
      <c r="S226" s="40">
        <v>249888</v>
      </c>
      <c r="T226" s="40">
        <v>305938</v>
      </c>
    </row>
    <row r="227" spans="1:20" s="2" customFormat="1" ht="108" x14ac:dyDescent="0.25">
      <c r="A227" s="49" t="s">
        <v>470</v>
      </c>
      <c r="B227" s="50" t="s">
        <v>471</v>
      </c>
      <c r="C227" s="54">
        <f>+Tabla15[[#This Row],[PRECIO SUGERIDO INSTALADOR]]</f>
        <v>2729976.6199999996</v>
      </c>
      <c r="D227" s="54">
        <f>+Tabla15[[#This Row],[PRECIO INSTALADOR
( CON  IVA)]]-Tabla15[[#This Row],[Columna23]]</f>
        <v>2593477.7889999999</v>
      </c>
      <c r="E227" s="54">
        <f>+Tabla15[[#This Row],[DPP ORO]]</f>
        <v>2229526.88</v>
      </c>
      <c r="F227" s="54">
        <f>+Tabla15[[#This Row],[DPP PLATINO]]</f>
        <v>2207231.6111999997</v>
      </c>
      <c r="G227" s="54">
        <f>+Tabla15[[#This Row],[PRECIO INSTALADOR
( CON  IVA)]]/0.7</f>
        <v>3899966.5999999996</v>
      </c>
      <c r="H227" s="52">
        <f>+Tabla15[[#This Row],[PRECIO INSTALADOR
( CON  IVA)]]*5%</f>
        <v>136498.83099999998</v>
      </c>
      <c r="I227" s="18" t="e">
        <f t="shared" si="35"/>
        <v>#REF!</v>
      </c>
      <c r="J227" s="18" t="e">
        <f t="shared" si="36"/>
        <v>#REF!</v>
      </c>
      <c r="K227" s="17" t="e">
        <f t="shared" si="37"/>
        <v>#REF!</v>
      </c>
      <c r="L227" s="17" t="e">
        <f>+M227/#REF!</f>
        <v>#REF!</v>
      </c>
      <c r="M227" s="17">
        <f t="shared" si="38"/>
        <v>2207231.6111999997</v>
      </c>
      <c r="N227" s="19">
        <f t="shared" si="39"/>
        <v>22295.268799999998</v>
      </c>
      <c r="O227" s="18" t="e">
        <f>+P227/#REF!</f>
        <v>#REF!</v>
      </c>
      <c r="P227" s="20">
        <f>Tabla15[[#This Row],[ORO SIN IVA]]*1.19</f>
        <v>2229526.88</v>
      </c>
      <c r="Q227" s="18" t="e">
        <f>+R227/#REF!</f>
        <v>#REF!</v>
      </c>
      <c r="R227" s="19">
        <f>Tabla15[[#This Row],[INSTALLER SIN IVA]]*1.19</f>
        <v>2729976.6199999996</v>
      </c>
      <c r="S227" s="40">
        <v>1873552</v>
      </c>
      <c r="T227" s="40">
        <v>2294098</v>
      </c>
    </row>
    <row r="228" spans="1:20" s="2" customFormat="1" ht="108" x14ac:dyDescent="0.25">
      <c r="A228" s="49" t="s">
        <v>472</v>
      </c>
      <c r="B228" s="50" t="s">
        <v>473</v>
      </c>
      <c r="C228" s="54">
        <f>+Tabla15[[#This Row],[PRECIO SUGERIDO INSTALADOR]]</f>
        <v>2450924</v>
      </c>
      <c r="D228" s="54">
        <f>+Tabla15[[#This Row],[PRECIO INSTALADOR
( CON  IVA)]]-Tabla15[[#This Row],[Columna23]]</f>
        <v>2328377.7999999998</v>
      </c>
      <c r="E228" s="54">
        <f>+Tabla15[[#This Row],[DPP ORO]]</f>
        <v>2001618.0799999998</v>
      </c>
      <c r="F228" s="54">
        <f>+Tabla15[[#This Row],[DPP PLATINO]]</f>
        <v>1981601.8991999999</v>
      </c>
      <c r="G228" s="54">
        <f>+Tabla15[[#This Row],[PRECIO INSTALADOR
( CON  IVA)]]/0.7</f>
        <v>3501320</v>
      </c>
      <c r="H228" s="52">
        <f>+Tabla15[[#This Row],[PRECIO INSTALADOR
( CON  IVA)]]*5%</f>
        <v>122546.20000000001</v>
      </c>
      <c r="I228" s="12" t="e">
        <f t="shared" si="35"/>
        <v>#REF!</v>
      </c>
      <c r="J228" s="12" t="e">
        <f t="shared" si="36"/>
        <v>#REF!</v>
      </c>
      <c r="K228" s="15" t="e">
        <f t="shared" si="37"/>
        <v>#REF!</v>
      </c>
      <c r="L228" s="15" t="e">
        <f>+M228/#REF!</f>
        <v>#REF!</v>
      </c>
      <c r="M228" s="15">
        <f t="shared" si="38"/>
        <v>1981601.8991999999</v>
      </c>
      <c r="N228" s="13">
        <f t="shared" si="39"/>
        <v>20016.180799999998</v>
      </c>
      <c r="O228" s="12" t="e">
        <f>+P228/#REF!</f>
        <v>#REF!</v>
      </c>
      <c r="P228" s="14">
        <f>Tabla15[[#This Row],[ORO SIN IVA]]*1.19</f>
        <v>2001618.0799999998</v>
      </c>
      <c r="Q228" s="12" t="e">
        <f>+R228/#REF!</f>
        <v>#REF!</v>
      </c>
      <c r="R228" s="13">
        <f>Tabla15[[#This Row],[INSTALLER SIN IVA]]*1.19</f>
        <v>2450924</v>
      </c>
      <c r="S228" s="40">
        <v>1682032</v>
      </c>
      <c r="T228" s="40">
        <v>2059600</v>
      </c>
    </row>
    <row r="229" spans="1:20" s="2" customFormat="1" x14ac:dyDescent="0.25">
      <c r="A229" s="9"/>
      <c r="B229" s="9"/>
      <c r="C229" s="9"/>
      <c r="D229" s="9"/>
      <c r="E229" s="9"/>
      <c r="F229" s="9"/>
      <c r="G229" s="9"/>
      <c r="H229" s="9"/>
      <c r="I229" s="7"/>
      <c r="J229" s="8"/>
      <c r="K229" s="8"/>
      <c r="L229" s="8"/>
      <c r="M229" s="8"/>
      <c r="N229" s="8"/>
      <c r="O229" s="7"/>
      <c r="P229" s="7"/>
      <c r="Q229" s="7"/>
      <c r="R229" s="7"/>
      <c r="S229" s="7"/>
      <c r="T229" s="7"/>
    </row>
    <row r="230" spans="1:20" s="2" customFormat="1" x14ac:dyDescent="0.25">
      <c r="A230" s="9"/>
      <c r="B230" s="9"/>
      <c r="C230" s="9"/>
      <c r="D230" s="9"/>
      <c r="E230" s="9"/>
      <c r="F230" s="9"/>
      <c r="G230" s="9"/>
      <c r="H230" s="9"/>
      <c r="I230" s="7"/>
      <c r="J230" s="8"/>
      <c r="K230" s="8"/>
      <c r="L230" s="8"/>
      <c r="M230" s="8"/>
      <c r="N230" s="8"/>
      <c r="O230" s="7"/>
      <c r="P230" s="7"/>
      <c r="Q230" s="7"/>
      <c r="R230" s="7"/>
      <c r="S230" s="7"/>
      <c r="T230" s="7"/>
    </row>
    <row r="231" spans="1:20" s="2" customFormat="1" x14ac:dyDescent="0.25">
      <c r="A231" s="9"/>
      <c r="B231" s="9"/>
      <c r="C231" s="9"/>
      <c r="D231" s="9"/>
      <c r="E231" s="9"/>
      <c r="F231" s="9"/>
      <c r="G231" s="9"/>
      <c r="H231" s="9"/>
      <c r="I231" s="7"/>
      <c r="J231" s="8"/>
      <c r="K231" s="8"/>
      <c r="L231" s="8"/>
      <c r="M231" s="8"/>
      <c r="N231" s="8"/>
      <c r="O231" s="7"/>
      <c r="P231" s="7"/>
      <c r="Q231" s="7"/>
      <c r="R231" s="7"/>
      <c r="S231" s="7"/>
      <c r="T231" s="7"/>
    </row>
    <row r="232" spans="1:20" s="2" customFormat="1" x14ac:dyDescent="0.25">
      <c r="A232" s="9"/>
      <c r="B232" s="9"/>
      <c r="C232" s="9"/>
      <c r="D232" s="9"/>
      <c r="E232" s="9"/>
      <c r="F232" s="9"/>
      <c r="G232" s="9"/>
      <c r="H232" s="9"/>
      <c r="I232" s="7"/>
      <c r="J232" s="8"/>
      <c r="K232" s="8"/>
      <c r="L232" s="8"/>
      <c r="M232" s="8"/>
      <c r="N232" s="8"/>
      <c r="O232" s="7"/>
      <c r="P232" s="7"/>
      <c r="Q232" s="7"/>
      <c r="R232" s="7"/>
      <c r="S232" s="7"/>
      <c r="T232" s="7"/>
    </row>
    <row r="233" spans="1:20" s="2" customFormat="1" x14ac:dyDescent="0.25">
      <c r="A233" s="9"/>
      <c r="B233" s="9"/>
      <c r="C233" s="9"/>
      <c r="D233" s="9"/>
      <c r="E233" s="9"/>
      <c r="F233" s="9"/>
      <c r="G233" s="9"/>
      <c r="H233" s="9"/>
      <c r="I233" s="7"/>
      <c r="J233" s="8"/>
      <c r="K233" s="8"/>
      <c r="L233" s="8"/>
      <c r="M233" s="8"/>
      <c r="N233" s="8"/>
      <c r="O233" s="7"/>
      <c r="P233" s="7"/>
      <c r="Q233" s="7"/>
      <c r="R233" s="7"/>
      <c r="S233" s="7"/>
      <c r="T233" s="7"/>
    </row>
    <row r="234" spans="1:20" s="2" customFormat="1" x14ac:dyDescent="0.25">
      <c r="A234" s="9"/>
      <c r="B234" s="9"/>
      <c r="C234" s="9"/>
      <c r="D234" s="9"/>
      <c r="E234" s="9"/>
      <c r="F234" s="9"/>
      <c r="G234" s="9"/>
      <c r="H234" s="9"/>
      <c r="I234" s="7"/>
      <c r="J234" s="8"/>
      <c r="K234" s="8"/>
      <c r="L234" s="8"/>
      <c r="M234" s="8"/>
      <c r="N234" s="8"/>
      <c r="O234" s="7"/>
      <c r="P234" s="7"/>
      <c r="Q234" s="7"/>
      <c r="R234" s="7"/>
      <c r="S234" s="7"/>
      <c r="T234" s="7"/>
    </row>
    <row r="235" spans="1:20" s="2" customFormat="1" x14ac:dyDescent="0.25">
      <c r="A235" s="9"/>
      <c r="B235" s="9"/>
      <c r="C235" s="9"/>
      <c r="D235" s="9"/>
      <c r="E235" s="9"/>
      <c r="F235" s="9"/>
      <c r="G235" s="9"/>
      <c r="H235" s="9"/>
      <c r="I235" s="7"/>
      <c r="J235" s="8"/>
      <c r="K235" s="8"/>
      <c r="L235" s="8"/>
      <c r="M235" s="8"/>
      <c r="N235" s="8"/>
      <c r="O235" s="7"/>
      <c r="P235" s="7"/>
      <c r="Q235" s="7"/>
      <c r="R235" s="7"/>
      <c r="S235" s="7"/>
      <c r="T235" s="7"/>
    </row>
    <row r="236" spans="1:20" s="2" customFormat="1" x14ac:dyDescent="0.25">
      <c r="A236" s="9"/>
      <c r="B236" s="9"/>
      <c r="C236" s="9"/>
      <c r="D236" s="9"/>
      <c r="E236" s="9"/>
      <c r="F236" s="9"/>
      <c r="G236" s="9"/>
      <c r="H236" s="9"/>
      <c r="I236" s="7"/>
      <c r="J236" s="8"/>
      <c r="K236" s="8"/>
      <c r="L236" s="8"/>
      <c r="M236" s="8"/>
      <c r="N236" s="8"/>
      <c r="O236" s="7"/>
      <c r="P236" s="7"/>
      <c r="Q236" s="7"/>
      <c r="R236" s="7"/>
      <c r="S236" s="7"/>
      <c r="T236" s="7"/>
    </row>
    <row r="237" spans="1:20" s="2" customFormat="1" x14ac:dyDescent="0.25">
      <c r="A237" s="9"/>
      <c r="B237" s="9"/>
      <c r="C237" s="9"/>
      <c r="D237" s="9"/>
      <c r="E237" s="9"/>
      <c r="F237" s="9"/>
      <c r="G237" s="9"/>
      <c r="H237" s="9"/>
      <c r="I237" s="7"/>
      <c r="J237" s="8"/>
      <c r="K237" s="8"/>
      <c r="L237" s="8"/>
      <c r="M237" s="8"/>
      <c r="N237" s="8"/>
      <c r="O237" s="7"/>
      <c r="P237" s="7"/>
      <c r="Q237" s="7"/>
      <c r="R237" s="7"/>
      <c r="S237" s="7"/>
      <c r="T237" s="7"/>
    </row>
    <row r="238" spans="1:20" s="2" customFormat="1" x14ac:dyDescent="0.25">
      <c r="A238" s="9"/>
      <c r="B238" s="9"/>
      <c r="C238" s="9"/>
      <c r="D238" s="9"/>
      <c r="E238" s="9"/>
      <c r="F238" s="9"/>
      <c r="G238" s="9"/>
      <c r="H238" s="9"/>
      <c r="I238" s="7"/>
      <c r="J238" s="8"/>
      <c r="K238" s="8"/>
      <c r="L238" s="8"/>
      <c r="M238" s="8"/>
      <c r="N238" s="8"/>
      <c r="O238" s="7"/>
      <c r="P238" s="7"/>
      <c r="Q238" s="7"/>
      <c r="R238" s="7"/>
      <c r="S238" s="7"/>
      <c r="T238" s="7"/>
    </row>
    <row r="239" spans="1:20" s="2" customFormat="1" x14ac:dyDescent="0.25">
      <c r="A239" s="9"/>
      <c r="B239" s="9"/>
      <c r="C239" s="9"/>
      <c r="D239" s="9"/>
      <c r="E239" s="9"/>
      <c r="F239" s="9"/>
      <c r="G239" s="9"/>
      <c r="H239" s="9"/>
      <c r="I239" s="7"/>
      <c r="J239" s="8"/>
      <c r="K239" s="8"/>
      <c r="L239" s="8"/>
      <c r="M239" s="8"/>
      <c r="N239" s="8"/>
      <c r="O239" s="7"/>
      <c r="P239" s="7"/>
      <c r="Q239" s="7"/>
      <c r="R239" s="7"/>
      <c r="S239" s="7"/>
      <c r="T239" s="7"/>
    </row>
    <row r="240" spans="1:20" s="2" customFormat="1" x14ac:dyDescent="0.25">
      <c r="A240" s="9"/>
      <c r="B240" s="9"/>
      <c r="C240" s="9"/>
      <c r="D240" s="9"/>
      <c r="E240" s="9"/>
      <c r="F240" s="9"/>
      <c r="G240" s="9"/>
      <c r="H240" s="9"/>
      <c r="I240" s="7"/>
      <c r="J240" s="8"/>
      <c r="K240" s="8"/>
      <c r="L240" s="8"/>
      <c r="M240" s="8"/>
      <c r="N240" s="8"/>
      <c r="O240" s="7"/>
      <c r="P240" s="7"/>
      <c r="Q240" s="7"/>
      <c r="R240" s="7"/>
      <c r="S240" s="7"/>
      <c r="T240" s="7"/>
    </row>
    <row r="241" spans="1:20" s="2" customFormat="1" x14ac:dyDescent="0.25">
      <c r="A241" s="9"/>
      <c r="B241" s="9"/>
      <c r="C241" s="9"/>
      <c r="D241" s="9"/>
      <c r="E241" s="9"/>
      <c r="F241" s="9"/>
      <c r="G241" s="9"/>
      <c r="H241" s="9"/>
      <c r="I241" s="7"/>
      <c r="J241" s="8"/>
      <c r="K241" s="8"/>
      <c r="L241" s="8"/>
      <c r="M241" s="8"/>
      <c r="N241" s="8"/>
      <c r="O241" s="7"/>
      <c r="P241" s="7"/>
      <c r="Q241" s="7"/>
      <c r="R241" s="7"/>
      <c r="S241" s="7"/>
      <c r="T241" s="7"/>
    </row>
    <row r="242" spans="1:20" s="2" customFormat="1" x14ac:dyDescent="0.25">
      <c r="A242" s="9"/>
      <c r="B242" s="9"/>
      <c r="C242" s="9"/>
      <c r="D242" s="9"/>
      <c r="E242" s="9"/>
      <c r="F242" s="9"/>
      <c r="G242" s="9"/>
      <c r="H242" s="9"/>
      <c r="I242" s="7"/>
      <c r="J242" s="8"/>
      <c r="K242" s="8"/>
      <c r="L242" s="8"/>
      <c r="M242" s="8"/>
      <c r="N242" s="8"/>
      <c r="O242" s="7"/>
      <c r="P242" s="7"/>
      <c r="Q242" s="7"/>
      <c r="R242" s="7"/>
      <c r="S242" s="7"/>
      <c r="T242" s="7"/>
    </row>
    <row r="243" spans="1:20" s="2" customFormat="1" x14ac:dyDescent="0.25">
      <c r="A243" s="9"/>
      <c r="B243" s="9"/>
      <c r="C243" s="9"/>
      <c r="D243" s="9"/>
      <c r="E243" s="9"/>
      <c r="F243" s="9"/>
      <c r="G243" s="9"/>
      <c r="H243" s="9"/>
      <c r="I243" s="7"/>
      <c r="J243" s="8"/>
      <c r="K243" s="8"/>
      <c r="L243" s="8"/>
      <c r="M243" s="8"/>
      <c r="N243" s="8"/>
      <c r="O243" s="7"/>
      <c r="P243" s="7"/>
      <c r="Q243" s="7"/>
      <c r="R243" s="7"/>
      <c r="S243" s="7"/>
      <c r="T243" s="7"/>
    </row>
    <row r="244" spans="1:20" s="2" customFormat="1" x14ac:dyDescent="0.25">
      <c r="A244" s="9"/>
      <c r="B244" s="9"/>
      <c r="C244" s="9"/>
      <c r="D244" s="9"/>
      <c r="E244" s="9"/>
      <c r="F244" s="9"/>
      <c r="G244" s="9"/>
      <c r="H244" s="9"/>
      <c r="I244" s="7"/>
      <c r="J244" s="8"/>
      <c r="K244" s="8"/>
      <c r="L244" s="8"/>
      <c r="M244" s="8"/>
      <c r="N244" s="8"/>
      <c r="O244" s="7"/>
      <c r="P244" s="7"/>
      <c r="Q244" s="7"/>
      <c r="R244" s="7"/>
      <c r="S244" s="7"/>
      <c r="T244" s="7"/>
    </row>
    <row r="245" spans="1:20" s="2" customFormat="1" x14ac:dyDescent="0.25">
      <c r="A245" s="9"/>
      <c r="B245" s="9"/>
      <c r="C245" s="9"/>
      <c r="D245" s="9"/>
      <c r="E245" s="9"/>
      <c r="F245" s="9"/>
      <c r="G245" s="9"/>
      <c r="H245" s="9"/>
      <c r="I245" s="7"/>
      <c r="J245" s="8"/>
      <c r="K245" s="8"/>
      <c r="L245" s="8"/>
      <c r="M245" s="8"/>
      <c r="N245" s="8"/>
      <c r="O245" s="7"/>
      <c r="P245" s="7"/>
      <c r="Q245" s="7"/>
      <c r="R245" s="7"/>
      <c r="S245" s="7"/>
      <c r="T245" s="7"/>
    </row>
    <row r="246" spans="1:20" s="2" customFormat="1" x14ac:dyDescent="0.25">
      <c r="A246" s="9"/>
      <c r="B246" s="9"/>
      <c r="C246" s="9"/>
      <c r="D246" s="9"/>
      <c r="E246" s="9"/>
      <c r="F246" s="9"/>
      <c r="G246" s="9"/>
      <c r="H246" s="9"/>
      <c r="I246" s="7"/>
      <c r="J246" s="8"/>
      <c r="K246" s="8"/>
      <c r="L246" s="8"/>
      <c r="M246" s="8"/>
      <c r="N246" s="8"/>
      <c r="O246" s="7"/>
      <c r="P246" s="7"/>
      <c r="Q246" s="7"/>
      <c r="R246" s="7"/>
      <c r="S246" s="7"/>
      <c r="T246" s="7"/>
    </row>
    <row r="247" spans="1:20" s="2" customFormat="1" x14ac:dyDescent="0.25">
      <c r="A247" s="9"/>
      <c r="B247" s="9"/>
      <c r="C247" s="9"/>
      <c r="D247" s="9"/>
      <c r="E247" s="9"/>
      <c r="F247" s="9"/>
      <c r="G247" s="9"/>
      <c r="H247" s="9"/>
      <c r="I247" s="7"/>
      <c r="J247" s="8"/>
      <c r="K247" s="8"/>
      <c r="L247" s="8"/>
      <c r="M247" s="8"/>
      <c r="N247" s="8"/>
      <c r="O247" s="7"/>
      <c r="P247" s="7"/>
      <c r="Q247" s="7"/>
      <c r="R247" s="7"/>
      <c r="S247" s="7"/>
      <c r="T247" s="7"/>
    </row>
    <row r="248" spans="1:20" s="2" customFormat="1" x14ac:dyDescent="0.25">
      <c r="A248" s="9"/>
      <c r="B248" s="9"/>
      <c r="C248" s="9"/>
      <c r="D248" s="9"/>
      <c r="E248" s="9"/>
      <c r="F248" s="9"/>
      <c r="G248" s="9"/>
      <c r="H248" s="9"/>
      <c r="I248" s="7"/>
      <c r="J248" s="8"/>
      <c r="K248" s="8"/>
      <c r="L248" s="8"/>
      <c r="M248" s="8"/>
      <c r="N248" s="8"/>
      <c r="O248" s="7"/>
      <c r="P248" s="7"/>
      <c r="Q248" s="7"/>
      <c r="R248" s="7"/>
      <c r="S248" s="7"/>
      <c r="T248" s="7"/>
    </row>
    <row r="249" spans="1:20" s="2" customFormat="1" x14ac:dyDescent="0.25">
      <c r="A249" s="9"/>
      <c r="B249" s="9"/>
      <c r="C249" s="9"/>
      <c r="D249" s="9"/>
      <c r="E249" s="9"/>
      <c r="F249" s="9"/>
      <c r="G249" s="9"/>
      <c r="H249" s="9"/>
      <c r="I249" s="7"/>
      <c r="J249" s="8"/>
      <c r="K249" s="8"/>
      <c r="L249" s="8"/>
      <c r="M249" s="8"/>
      <c r="N249" s="8"/>
      <c r="O249" s="7"/>
      <c r="P249" s="7"/>
      <c r="Q249" s="7"/>
      <c r="R249" s="7"/>
      <c r="S249" s="7"/>
      <c r="T249" s="7"/>
    </row>
    <row r="250" spans="1:20" s="2" customFormat="1" x14ac:dyDescent="0.25">
      <c r="A250" s="9"/>
      <c r="B250" s="9"/>
      <c r="C250" s="9"/>
      <c r="D250" s="9"/>
      <c r="E250" s="9"/>
      <c r="F250" s="9"/>
      <c r="G250" s="9"/>
      <c r="H250" s="9"/>
      <c r="I250" s="7"/>
      <c r="J250" s="8"/>
      <c r="K250" s="8"/>
      <c r="L250" s="8"/>
      <c r="M250" s="8"/>
      <c r="N250" s="8"/>
      <c r="O250" s="7"/>
      <c r="P250" s="7"/>
      <c r="Q250" s="7"/>
      <c r="R250" s="7"/>
      <c r="S250" s="7"/>
      <c r="T250" s="7"/>
    </row>
    <row r="251" spans="1:20" s="2" customFormat="1" x14ac:dyDescent="0.25">
      <c r="A251" s="9"/>
      <c r="B251" s="9"/>
      <c r="C251" s="9"/>
      <c r="D251" s="9"/>
      <c r="E251" s="9"/>
      <c r="F251" s="9"/>
      <c r="G251" s="9"/>
      <c r="H251" s="9"/>
      <c r="I251" s="7"/>
      <c r="J251" s="8"/>
      <c r="K251" s="8"/>
      <c r="L251" s="8"/>
      <c r="M251" s="8"/>
      <c r="N251" s="8"/>
      <c r="O251" s="7"/>
      <c r="P251" s="7"/>
      <c r="Q251" s="7"/>
      <c r="R251" s="7"/>
      <c r="S251" s="7"/>
      <c r="T251" s="7"/>
    </row>
    <row r="252" spans="1:20" s="2" customFormat="1" x14ac:dyDescent="0.25">
      <c r="A252" s="9"/>
      <c r="B252" s="9"/>
      <c r="C252" s="9"/>
      <c r="D252" s="9"/>
      <c r="E252" s="9"/>
      <c r="F252" s="9"/>
      <c r="G252" s="9"/>
      <c r="H252" s="9"/>
      <c r="I252" s="7"/>
      <c r="J252" s="8"/>
      <c r="K252" s="8"/>
      <c r="L252" s="8"/>
      <c r="M252" s="8"/>
      <c r="N252" s="8"/>
      <c r="O252" s="7"/>
      <c r="P252" s="7"/>
      <c r="Q252" s="7"/>
      <c r="R252" s="7"/>
      <c r="S252" s="7"/>
      <c r="T252" s="7"/>
    </row>
    <row r="253" spans="1:20" s="2" customFormat="1" x14ac:dyDescent="0.25">
      <c r="A253" s="9"/>
      <c r="B253" s="9"/>
      <c r="C253" s="9"/>
      <c r="D253" s="9"/>
      <c r="E253" s="9"/>
      <c r="F253" s="9"/>
      <c r="G253" s="9"/>
      <c r="H253" s="9"/>
      <c r="I253" s="7"/>
      <c r="J253" s="8"/>
      <c r="K253" s="8"/>
      <c r="L253" s="8"/>
      <c r="M253" s="8"/>
      <c r="N253" s="8"/>
      <c r="O253" s="7"/>
      <c r="P253" s="7"/>
      <c r="Q253" s="7"/>
      <c r="R253" s="7"/>
      <c r="S253" s="7"/>
      <c r="T253" s="7"/>
    </row>
    <row r="254" spans="1:20" s="2" customFormat="1" x14ac:dyDescent="0.25">
      <c r="A254" s="9"/>
      <c r="B254" s="9"/>
      <c r="C254" s="9"/>
      <c r="D254" s="9"/>
      <c r="E254" s="9"/>
      <c r="F254" s="9"/>
      <c r="G254" s="9"/>
      <c r="H254" s="9"/>
      <c r="I254" s="7"/>
      <c r="J254" s="8"/>
      <c r="K254" s="8"/>
      <c r="L254" s="8"/>
      <c r="M254" s="8"/>
      <c r="N254" s="8"/>
      <c r="O254" s="7"/>
      <c r="P254" s="7"/>
      <c r="Q254" s="7"/>
      <c r="R254" s="7"/>
      <c r="S254" s="7"/>
      <c r="T254" s="7"/>
    </row>
    <row r="255" spans="1:20" s="2" customFormat="1" x14ac:dyDescent="0.25">
      <c r="A255" s="9"/>
      <c r="B255" s="9"/>
      <c r="C255" s="9"/>
      <c r="D255" s="9"/>
      <c r="E255" s="9"/>
      <c r="F255" s="9"/>
      <c r="G255" s="9"/>
      <c r="H255" s="9"/>
      <c r="I255" s="7"/>
      <c r="J255" s="8"/>
      <c r="K255" s="8"/>
      <c r="L255" s="8"/>
      <c r="M255" s="8"/>
      <c r="N255" s="8"/>
      <c r="O255" s="7"/>
      <c r="P255" s="7"/>
      <c r="Q255" s="7"/>
      <c r="R255" s="7"/>
      <c r="S255" s="7"/>
      <c r="T255" s="7"/>
    </row>
    <row r="256" spans="1:20" s="2" customFormat="1" x14ac:dyDescent="0.25">
      <c r="A256" s="9"/>
      <c r="B256" s="9"/>
      <c r="C256" s="9"/>
      <c r="D256" s="9"/>
      <c r="E256" s="9"/>
      <c r="F256" s="9"/>
      <c r="G256" s="9"/>
      <c r="H256" s="9"/>
      <c r="I256" s="7"/>
      <c r="J256" s="8"/>
      <c r="K256" s="8"/>
      <c r="L256" s="8"/>
      <c r="M256" s="8"/>
      <c r="N256" s="8"/>
      <c r="O256" s="7"/>
      <c r="P256" s="7"/>
      <c r="Q256" s="7"/>
      <c r="R256" s="7"/>
      <c r="S256" s="7"/>
      <c r="T256" s="7"/>
    </row>
    <row r="257" spans="1:20" s="2" customFormat="1" x14ac:dyDescent="0.25">
      <c r="A257" s="9"/>
      <c r="B257" s="9"/>
      <c r="C257" s="9"/>
      <c r="D257" s="9"/>
      <c r="E257" s="9"/>
      <c r="F257" s="9"/>
      <c r="G257" s="9"/>
      <c r="H257" s="9"/>
      <c r="I257" s="7"/>
      <c r="J257" s="8"/>
      <c r="K257" s="8"/>
      <c r="L257" s="8"/>
      <c r="M257" s="8"/>
      <c r="N257" s="8"/>
      <c r="O257" s="7"/>
      <c r="P257" s="7"/>
      <c r="Q257" s="7"/>
      <c r="R257" s="7"/>
      <c r="S257" s="7"/>
      <c r="T257" s="7"/>
    </row>
    <row r="258" spans="1:20" s="2" customFormat="1" x14ac:dyDescent="0.25">
      <c r="A258" s="9"/>
      <c r="B258" s="9"/>
      <c r="C258" s="9"/>
      <c r="D258" s="9"/>
      <c r="E258" s="9"/>
      <c r="F258" s="9"/>
      <c r="G258" s="9"/>
      <c r="H258" s="9"/>
      <c r="I258" s="7"/>
      <c r="J258" s="8"/>
      <c r="K258" s="8"/>
      <c r="L258" s="8"/>
      <c r="M258" s="8"/>
      <c r="N258" s="8"/>
      <c r="O258" s="7"/>
      <c r="P258" s="7"/>
      <c r="Q258" s="7"/>
      <c r="R258" s="7"/>
      <c r="S258" s="7"/>
      <c r="T258" s="7"/>
    </row>
    <row r="259" spans="1:20" s="2" customFormat="1" x14ac:dyDescent="0.25">
      <c r="A259" s="9"/>
      <c r="B259" s="9"/>
      <c r="C259" s="9"/>
      <c r="D259" s="9"/>
      <c r="E259" s="9"/>
      <c r="F259" s="9"/>
      <c r="G259" s="9"/>
      <c r="H259" s="9"/>
      <c r="I259" s="7"/>
      <c r="J259" s="8"/>
      <c r="K259" s="8"/>
      <c r="L259" s="8"/>
      <c r="M259" s="8"/>
      <c r="N259" s="8"/>
      <c r="O259" s="7"/>
      <c r="P259" s="7"/>
      <c r="Q259" s="7"/>
      <c r="R259" s="7"/>
      <c r="S259" s="7"/>
      <c r="T259" s="7"/>
    </row>
    <row r="260" spans="1:20" s="2" customFormat="1" x14ac:dyDescent="0.25">
      <c r="A260" s="9"/>
      <c r="B260" s="9"/>
      <c r="C260" s="9"/>
      <c r="D260" s="9"/>
      <c r="E260" s="9"/>
      <c r="F260" s="9"/>
      <c r="G260" s="9"/>
      <c r="H260" s="9"/>
      <c r="I260" s="7"/>
      <c r="J260" s="8"/>
      <c r="K260" s="8"/>
      <c r="L260" s="8"/>
      <c r="M260" s="8"/>
      <c r="N260" s="8"/>
      <c r="O260" s="7"/>
      <c r="P260" s="7"/>
      <c r="Q260" s="7"/>
      <c r="R260" s="7"/>
      <c r="S260" s="7"/>
      <c r="T260" s="7"/>
    </row>
    <row r="261" spans="1:20" s="2" customFormat="1" x14ac:dyDescent="0.25">
      <c r="A261" s="9"/>
      <c r="B261" s="9"/>
      <c r="C261" s="9"/>
      <c r="D261" s="9"/>
      <c r="E261" s="9"/>
      <c r="F261" s="9"/>
      <c r="G261" s="9"/>
      <c r="H261" s="9"/>
      <c r="I261" s="7"/>
      <c r="J261" s="8"/>
      <c r="K261" s="8"/>
      <c r="L261" s="8"/>
      <c r="M261" s="8"/>
      <c r="N261" s="8"/>
      <c r="O261" s="7"/>
      <c r="P261" s="7"/>
      <c r="Q261" s="7"/>
      <c r="R261" s="7"/>
      <c r="S261" s="7"/>
      <c r="T261" s="7"/>
    </row>
    <row r="262" spans="1:20" s="2" customFormat="1" x14ac:dyDescent="0.25">
      <c r="A262" s="9"/>
      <c r="B262" s="9"/>
      <c r="C262" s="9"/>
      <c r="D262" s="9"/>
      <c r="E262" s="9"/>
      <c r="F262" s="9"/>
      <c r="G262" s="9"/>
      <c r="H262" s="9"/>
      <c r="I262" s="7"/>
      <c r="J262" s="8"/>
      <c r="K262" s="8"/>
      <c r="L262" s="8"/>
      <c r="M262" s="8"/>
      <c r="N262" s="8"/>
      <c r="O262" s="7"/>
      <c r="P262" s="7"/>
      <c r="Q262" s="7"/>
      <c r="R262" s="7"/>
      <c r="S262" s="7"/>
      <c r="T262" s="7"/>
    </row>
    <row r="263" spans="1:20" s="2" customFormat="1" x14ac:dyDescent="0.25">
      <c r="A263" s="9"/>
      <c r="B263" s="9"/>
      <c r="C263" s="9"/>
      <c r="D263" s="9"/>
      <c r="E263" s="9"/>
      <c r="F263" s="9"/>
      <c r="G263" s="9"/>
      <c r="H263" s="9"/>
      <c r="I263" s="7"/>
      <c r="J263" s="8"/>
      <c r="K263" s="8"/>
      <c r="L263" s="8"/>
      <c r="M263" s="8"/>
      <c r="N263" s="8"/>
      <c r="O263" s="7"/>
      <c r="P263" s="7"/>
      <c r="Q263" s="7"/>
      <c r="R263" s="7"/>
      <c r="S263" s="7"/>
      <c r="T263" s="7"/>
    </row>
    <row r="264" spans="1:20" s="2" customFormat="1" x14ac:dyDescent="0.25">
      <c r="A264" s="9"/>
      <c r="B264" s="9"/>
      <c r="C264" s="9"/>
      <c r="D264" s="9"/>
      <c r="E264" s="9"/>
      <c r="F264" s="9"/>
      <c r="G264" s="9"/>
      <c r="H264" s="9"/>
      <c r="I264" s="7"/>
      <c r="J264" s="8"/>
      <c r="K264" s="8"/>
      <c r="L264" s="8"/>
      <c r="M264" s="8"/>
      <c r="N264" s="8"/>
      <c r="O264" s="7"/>
      <c r="P264" s="7"/>
      <c r="Q264" s="7"/>
      <c r="R264" s="7"/>
      <c r="S264" s="7"/>
      <c r="T264" s="7"/>
    </row>
    <row r="265" spans="1:20" s="2" customFormat="1" x14ac:dyDescent="0.25">
      <c r="A265" s="9"/>
      <c r="B265" s="9"/>
      <c r="C265" s="9"/>
      <c r="D265" s="9"/>
      <c r="E265" s="9"/>
      <c r="F265" s="9"/>
      <c r="G265" s="9"/>
      <c r="H265" s="9"/>
      <c r="I265" s="7"/>
      <c r="J265" s="8"/>
      <c r="K265" s="8"/>
      <c r="L265" s="8"/>
      <c r="M265" s="8"/>
      <c r="N265" s="8"/>
      <c r="O265" s="7"/>
      <c r="P265" s="7"/>
      <c r="Q265" s="7"/>
      <c r="R265" s="7"/>
      <c r="S265" s="7"/>
      <c r="T265" s="7"/>
    </row>
    <row r="266" spans="1:20" s="2" customFormat="1" x14ac:dyDescent="0.25">
      <c r="A266" s="9"/>
      <c r="B266" s="9"/>
      <c r="C266" s="9"/>
      <c r="D266" s="9"/>
      <c r="E266" s="9"/>
      <c r="F266" s="9"/>
      <c r="G266" s="9"/>
      <c r="H266" s="9"/>
      <c r="I266" s="7"/>
      <c r="J266" s="8"/>
      <c r="K266" s="8"/>
      <c r="L266" s="8"/>
      <c r="M266" s="8"/>
      <c r="N266" s="8"/>
      <c r="O266" s="7"/>
      <c r="P266" s="7"/>
      <c r="Q266" s="7"/>
      <c r="R266" s="7"/>
      <c r="S266" s="7"/>
      <c r="T266" s="7"/>
    </row>
    <row r="267" spans="1:20" s="2" customFormat="1" x14ac:dyDescent="0.25">
      <c r="A267" s="9"/>
      <c r="B267" s="9"/>
      <c r="C267" s="9"/>
      <c r="D267" s="9"/>
      <c r="E267" s="9"/>
      <c r="F267" s="9"/>
      <c r="G267" s="9"/>
      <c r="H267" s="9"/>
      <c r="I267" s="7"/>
      <c r="J267" s="8"/>
      <c r="K267" s="8"/>
      <c r="L267" s="8"/>
      <c r="M267" s="8"/>
      <c r="N267" s="8"/>
      <c r="O267" s="7"/>
      <c r="P267" s="7"/>
      <c r="Q267" s="7"/>
      <c r="R267" s="7"/>
      <c r="S267" s="7"/>
      <c r="T267" s="7"/>
    </row>
    <row r="268" spans="1:20" s="2" customFormat="1" x14ac:dyDescent="0.25">
      <c r="A268" s="9"/>
      <c r="B268" s="9"/>
      <c r="C268" s="9"/>
      <c r="D268" s="9"/>
      <c r="E268" s="9"/>
      <c r="F268" s="9"/>
      <c r="G268" s="9"/>
      <c r="H268" s="9"/>
      <c r="I268" s="7"/>
      <c r="J268" s="8"/>
      <c r="K268" s="8"/>
      <c r="L268" s="8"/>
      <c r="M268" s="8"/>
      <c r="N268" s="8"/>
      <c r="O268" s="7"/>
      <c r="P268" s="7"/>
      <c r="Q268" s="7"/>
      <c r="R268" s="7"/>
      <c r="S268" s="7"/>
      <c r="T268" s="7"/>
    </row>
    <row r="269" spans="1:20" s="2" customFormat="1" x14ac:dyDescent="0.25">
      <c r="A269" s="9"/>
      <c r="B269" s="9"/>
      <c r="C269" s="9"/>
      <c r="D269" s="9"/>
      <c r="E269" s="9"/>
      <c r="F269" s="9"/>
      <c r="G269" s="9"/>
      <c r="H269" s="9"/>
      <c r="I269" s="7"/>
      <c r="J269" s="8"/>
      <c r="K269" s="8"/>
      <c r="L269" s="8"/>
      <c r="M269" s="8"/>
      <c r="N269" s="8"/>
      <c r="O269" s="7"/>
      <c r="P269" s="7"/>
      <c r="Q269" s="7"/>
      <c r="R269" s="7"/>
      <c r="S269" s="7"/>
      <c r="T269" s="7"/>
    </row>
    <row r="270" spans="1:20" s="2" customFormat="1" x14ac:dyDescent="0.25">
      <c r="A270" s="9"/>
      <c r="B270" s="9"/>
      <c r="C270" s="9"/>
      <c r="D270" s="9"/>
      <c r="E270" s="9"/>
      <c r="F270" s="9"/>
      <c r="G270" s="9"/>
      <c r="H270" s="9"/>
      <c r="I270" s="7"/>
      <c r="J270" s="8"/>
      <c r="K270" s="8"/>
      <c r="L270" s="8"/>
      <c r="M270" s="8"/>
      <c r="N270" s="8"/>
      <c r="O270" s="7"/>
      <c r="P270" s="7"/>
      <c r="Q270" s="7"/>
      <c r="R270" s="7"/>
      <c r="S270" s="7"/>
      <c r="T270" s="7"/>
    </row>
    <row r="271" spans="1:20" s="2" customFormat="1" x14ac:dyDescent="0.25">
      <c r="A271" s="9"/>
      <c r="B271" s="9"/>
      <c r="C271" s="9"/>
      <c r="D271" s="9"/>
      <c r="E271" s="9"/>
      <c r="F271" s="9"/>
      <c r="G271" s="9"/>
      <c r="H271" s="9"/>
      <c r="I271" s="7"/>
      <c r="J271" s="8"/>
      <c r="K271" s="8"/>
      <c r="L271" s="8"/>
      <c r="M271" s="8"/>
      <c r="N271" s="8"/>
      <c r="O271" s="7"/>
      <c r="P271" s="7"/>
      <c r="Q271" s="7"/>
      <c r="R271" s="7"/>
      <c r="S271" s="7"/>
      <c r="T271" s="7"/>
    </row>
    <row r="272" spans="1:20" s="2" customFormat="1" x14ac:dyDescent="0.25">
      <c r="A272" s="9"/>
      <c r="B272" s="9"/>
      <c r="C272" s="9"/>
      <c r="D272" s="9"/>
      <c r="E272" s="9"/>
      <c r="F272" s="9"/>
      <c r="G272" s="9"/>
      <c r="H272" s="9"/>
      <c r="I272" s="7"/>
      <c r="J272" s="8"/>
      <c r="K272" s="8"/>
      <c r="L272" s="8"/>
      <c r="M272" s="8"/>
      <c r="N272" s="8"/>
      <c r="O272" s="7"/>
      <c r="P272" s="7"/>
      <c r="Q272" s="7"/>
      <c r="R272" s="7"/>
      <c r="S272" s="7"/>
      <c r="T272" s="7"/>
    </row>
    <row r="273" spans="1:20" s="2" customFormat="1" x14ac:dyDescent="0.25">
      <c r="A273" s="9"/>
      <c r="B273" s="9"/>
      <c r="C273" s="9"/>
      <c r="D273" s="9"/>
      <c r="E273" s="9"/>
      <c r="F273" s="9"/>
      <c r="G273" s="9"/>
      <c r="H273" s="9"/>
      <c r="I273" s="7"/>
      <c r="J273" s="8"/>
      <c r="K273" s="8"/>
      <c r="L273" s="8"/>
      <c r="M273" s="8"/>
      <c r="N273" s="8"/>
      <c r="O273" s="7"/>
      <c r="P273" s="7"/>
      <c r="Q273" s="7"/>
      <c r="R273" s="7"/>
      <c r="S273" s="7"/>
      <c r="T273" s="7"/>
    </row>
    <row r="274" spans="1:20" s="2" customFormat="1" x14ac:dyDescent="0.25">
      <c r="A274" s="9"/>
      <c r="B274" s="9"/>
      <c r="C274" s="9"/>
      <c r="D274" s="9"/>
      <c r="E274" s="9"/>
      <c r="F274" s="9"/>
      <c r="G274" s="9"/>
      <c r="H274" s="9"/>
      <c r="I274" s="7"/>
      <c r="J274" s="8"/>
      <c r="K274" s="8"/>
      <c r="L274" s="8"/>
      <c r="M274" s="8"/>
      <c r="N274" s="8"/>
      <c r="O274" s="7"/>
      <c r="P274" s="7"/>
      <c r="Q274" s="7"/>
      <c r="R274" s="7"/>
      <c r="S274" s="7"/>
      <c r="T274" s="7"/>
    </row>
    <row r="275" spans="1:20" s="2" customFormat="1" x14ac:dyDescent="0.25">
      <c r="A275" s="9"/>
      <c r="B275" s="9"/>
      <c r="C275" s="9"/>
      <c r="D275" s="9"/>
      <c r="E275" s="9"/>
      <c r="F275" s="9"/>
      <c r="G275" s="9"/>
      <c r="H275" s="9"/>
      <c r="I275" s="7"/>
      <c r="J275" s="8"/>
      <c r="K275" s="8"/>
      <c r="L275" s="8"/>
      <c r="M275" s="8"/>
      <c r="N275" s="8"/>
      <c r="O275" s="7"/>
      <c r="P275" s="7"/>
      <c r="Q275" s="7"/>
      <c r="R275" s="7"/>
      <c r="S275" s="7"/>
      <c r="T275" s="7"/>
    </row>
    <row r="276" spans="1:20" s="2" customFormat="1" x14ac:dyDescent="0.25">
      <c r="A276" s="9"/>
      <c r="B276" s="9"/>
      <c r="C276" s="9"/>
      <c r="D276" s="9"/>
      <c r="E276" s="9"/>
      <c r="F276" s="9"/>
      <c r="G276" s="9"/>
      <c r="H276" s="9"/>
      <c r="I276" s="7"/>
      <c r="J276" s="8"/>
      <c r="K276" s="8"/>
      <c r="L276" s="8"/>
      <c r="M276" s="8"/>
      <c r="N276" s="8"/>
      <c r="O276" s="7"/>
      <c r="P276" s="7"/>
      <c r="Q276" s="7"/>
      <c r="R276" s="7"/>
      <c r="S276" s="7"/>
      <c r="T276" s="7"/>
    </row>
    <row r="277" spans="1:20" s="2" customFormat="1" x14ac:dyDescent="0.25">
      <c r="A277" s="9"/>
      <c r="B277" s="9"/>
      <c r="C277" s="9"/>
      <c r="D277" s="9"/>
      <c r="E277" s="9"/>
      <c r="F277" s="9"/>
      <c r="G277" s="9"/>
      <c r="H277" s="9"/>
      <c r="I277" s="7"/>
      <c r="J277" s="8"/>
      <c r="K277" s="8"/>
      <c r="L277" s="8"/>
      <c r="M277" s="8"/>
      <c r="N277" s="8"/>
      <c r="O277" s="7"/>
      <c r="P277" s="7"/>
      <c r="Q277" s="7"/>
      <c r="R277" s="7"/>
      <c r="S277" s="7"/>
      <c r="T277" s="7"/>
    </row>
    <row r="278" spans="1:20" s="2" customFormat="1" x14ac:dyDescent="0.25">
      <c r="A278" s="9"/>
      <c r="B278" s="9"/>
      <c r="C278" s="9"/>
      <c r="D278" s="9"/>
      <c r="E278" s="9"/>
      <c r="F278" s="9"/>
      <c r="G278" s="9"/>
      <c r="H278" s="9"/>
      <c r="I278" s="7"/>
      <c r="J278" s="8"/>
      <c r="K278" s="8"/>
      <c r="L278" s="8"/>
      <c r="M278" s="8"/>
      <c r="N278" s="8"/>
      <c r="O278" s="7"/>
      <c r="P278" s="7"/>
      <c r="Q278" s="7"/>
      <c r="R278" s="7"/>
      <c r="S278" s="7"/>
      <c r="T278" s="7"/>
    </row>
    <row r="279" spans="1:20" s="2" customFormat="1" x14ac:dyDescent="0.25">
      <c r="A279" s="9"/>
      <c r="B279" s="9"/>
      <c r="C279" s="9"/>
      <c r="D279" s="9"/>
      <c r="E279" s="9"/>
      <c r="F279" s="9"/>
      <c r="G279" s="9"/>
      <c r="H279" s="9"/>
      <c r="I279" s="7"/>
      <c r="J279" s="8"/>
      <c r="K279" s="8"/>
      <c r="L279" s="8"/>
      <c r="M279" s="8"/>
      <c r="N279" s="8"/>
      <c r="O279" s="7"/>
      <c r="P279" s="7"/>
      <c r="Q279" s="7"/>
      <c r="R279" s="7"/>
      <c r="S279" s="7"/>
      <c r="T279" s="7"/>
    </row>
    <row r="280" spans="1:20" s="2" customFormat="1" x14ac:dyDescent="0.25">
      <c r="A280" s="9"/>
      <c r="B280" s="9"/>
      <c r="C280" s="9"/>
      <c r="D280" s="9"/>
      <c r="E280" s="9"/>
      <c r="F280" s="9"/>
      <c r="G280" s="9"/>
      <c r="H280" s="9"/>
      <c r="I280" s="7"/>
      <c r="J280" s="8"/>
      <c r="K280" s="8"/>
      <c r="L280" s="8"/>
      <c r="M280" s="8"/>
      <c r="N280" s="8"/>
      <c r="O280" s="7"/>
      <c r="P280" s="7"/>
      <c r="Q280" s="7"/>
      <c r="R280" s="7"/>
      <c r="S280" s="7"/>
      <c r="T280" s="7"/>
    </row>
    <row r="281" spans="1:20" s="2" customFormat="1" x14ac:dyDescent="0.25">
      <c r="A281" s="9"/>
      <c r="B281" s="9"/>
      <c r="C281" s="9"/>
      <c r="D281" s="9"/>
      <c r="E281" s="9"/>
      <c r="F281" s="9"/>
      <c r="G281" s="9"/>
      <c r="H281" s="9"/>
      <c r="I281" s="7"/>
      <c r="J281" s="8"/>
      <c r="K281" s="8"/>
      <c r="L281" s="8"/>
      <c r="M281" s="8"/>
      <c r="N281" s="8"/>
      <c r="O281" s="7"/>
      <c r="P281" s="7"/>
      <c r="Q281" s="7"/>
      <c r="R281" s="7"/>
      <c r="S281" s="7"/>
      <c r="T281" s="7"/>
    </row>
    <row r="282" spans="1:20" s="2" customFormat="1" x14ac:dyDescent="0.25">
      <c r="A282" s="9"/>
      <c r="B282" s="9"/>
      <c r="C282" s="9"/>
      <c r="D282" s="9"/>
      <c r="E282" s="9"/>
      <c r="F282" s="9"/>
      <c r="G282" s="9"/>
      <c r="H282" s="9"/>
      <c r="I282" s="7"/>
      <c r="J282" s="8"/>
      <c r="K282" s="8"/>
      <c r="L282" s="8"/>
      <c r="M282" s="8"/>
      <c r="N282" s="8"/>
      <c r="O282" s="7"/>
      <c r="P282" s="7"/>
      <c r="Q282" s="7"/>
      <c r="R282" s="7"/>
      <c r="S282" s="7"/>
      <c r="T282" s="7"/>
    </row>
    <row r="283" spans="1:20" s="2" customFormat="1" x14ac:dyDescent="0.25">
      <c r="A283" s="9"/>
      <c r="B283" s="9"/>
      <c r="C283" s="9"/>
      <c r="D283" s="9"/>
      <c r="E283" s="9"/>
      <c r="F283" s="9"/>
      <c r="G283" s="9"/>
      <c r="H283" s="9"/>
      <c r="I283" s="7"/>
      <c r="J283" s="8"/>
      <c r="K283" s="8"/>
      <c r="L283" s="8"/>
      <c r="M283" s="8"/>
      <c r="N283" s="8"/>
      <c r="O283" s="7"/>
      <c r="P283" s="7"/>
      <c r="Q283" s="7"/>
      <c r="R283" s="7"/>
      <c r="S283" s="7"/>
      <c r="T283" s="7"/>
    </row>
    <row r="284" spans="1:20" s="2" customFormat="1" x14ac:dyDescent="0.25">
      <c r="A284" s="9"/>
      <c r="B284" s="9"/>
      <c r="C284" s="9"/>
      <c r="D284" s="9"/>
      <c r="E284" s="9"/>
      <c r="F284" s="9"/>
      <c r="G284" s="9"/>
      <c r="H284" s="9"/>
      <c r="I284" s="7"/>
      <c r="J284" s="8"/>
      <c r="K284" s="8"/>
      <c r="L284" s="8"/>
      <c r="M284" s="8"/>
      <c r="N284" s="8"/>
      <c r="O284" s="7"/>
      <c r="P284" s="7"/>
      <c r="Q284" s="7"/>
      <c r="R284" s="7"/>
      <c r="S284" s="7"/>
      <c r="T284" s="7"/>
    </row>
    <row r="285" spans="1:20" s="2" customFormat="1" x14ac:dyDescent="0.25">
      <c r="A285" s="9"/>
      <c r="B285" s="9"/>
      <c r="C285" s="9"/>
      <c r="D285" s="9"/>
      <c r="E285" s="9"/>
      <c r="F285" s="9"/>
      <c r="G285" s="9"/>
      <c r="H285" s="9"/>
      <c r="I285" s="7"/>
      <c r="J285" s="8"/>
      <c r="K285" s="8"/>
      <c r="L285" s="8"/>
      <c r="M285" s="8"/>
      <c r="N285" s="8"/>
      <c r="O285" s="7"/>
      <c r="P285" s="7"/>
      <c r="Q285" s="7"/>
      <c r="R285" s="7"/>
      <c r="S285" s="7"/>
      <c r="T285" s="7"/>
    </row>
    <row r="286" spans="1:20" s="2" customFormat="1" x14ac:dyDescent="0.25">
      <c r="A286" s="9"/>
      <c r="B286" s="9"/>
      <c r="C286" s="9"/>
      <c r="D286" s="9"/>
      <c r="E286" s="9"/>
      <c r="F286" s="9"/>
      <c r="G286" s="9"/>
      <c r="H286" s="9"/>
      <c r="I286" s="7"/>
      <c r="J286" s="8"/>
      <c r="K286" s="8"/>
      <c r="L286" s="8"/>
      <c r="M286" s="8"/>
      <c r="N286" s="8"/>
      <c r="O286" s="7"/>
      <c r="P286" s="7"/>
      <c r="Q286" s="7"/>
      <c r="R286" s="7"/>
      <c r="S286" s="7"/>
      <c r="T286" s="7"/>
    </row>
    <row r="287" spans="1:20" s="2" customFormat="1" x14ac:dyDescent="0.25">
      <c r="A287" s="9"/>
      <c r="B287" s="9"/>
      <c r="C287" s="9"/>
      <c r="D287" s="9"/>
      <c r="E287" s="9"/>
      <c r="F287" s="9"/>
      <c r="G287" s="9"/>
      <c r="H287" s="9"/>
      <c r="I287" s="7"/>
      <c r="J287" s="8"/>
      <c r="K287" s="8"/>
      <c r="L287" s="8"/>
      <c r="M287" s="8"/>
      <c r="N287" s="8"/>
      <c r="O287" s="7"/>
      <c r="P287" s="7"/>
      <c r="Q287" s="7"/>
      <c r="R287" s="7"/>
      <c r="S287" s="7"/>
      <c r="T287" s="7"/>
    </row>
    <row r="288" spans="1:20" s="2" customFormat="1" x14ac:dyDescent="0.25">
      <c r="A288" s="9"/>
      <c r="B288" s="9"/>
      <c r="C288" s="9"/>
      <c r="D288" s="9"/>
      <c r="E288" s="9"/>
      <c r="F288" s="9"/>
      <c r="G288" s="9"/>
      <c r="H288" s="9"/>
      <c r="I288" s="7"/>
      <c r="J288" s="8"/>
      <c r="K288" s="8"/>
      <c r="L288" s="8"/>
      <c r="M288" s="8"/>
      <c r="N288" s="8"/>
      <c r="O288" s="7"/>
      <c r="P288" s="7"/>
      <c r="Q288" s="7"/>
      <c r="R288" s="7"/>
      <c r="S288" s="7"/>
      <c r="T288" s="7"/>
    </row>
    <row r="289" spans="1:20" s="2" customFormat="1" x14ac:dyDescent="0.25">
      <c r="A289" s="9"/>
      <c r="B289" s="9"/>
      <c r="C289" s="9"/>
      <c r="D289" s="9"/>
      <c r="E289" s="9"/>
      <c r="F289" s="9"/>
      <c r="G289" s="9"/>
      <c r="H289" s="9"/>
      <c r="I289" s="7"/>
      <c r="J289" s="8"/>
      <c r="K289" s="8"/>
      <c r="L289" s="8"/>
      <c r="M289" s="8"/>
      <c r="N289" s="8"/>
      <c r="O289" s="7"/>
      <c r="P289" s="7"/>
      <c r="Q289" s="7"/>
      <c r="R289" s="7"/>
      <c r="S289" s="7"/>
      <c r="T289" s="7"/>
    </row>
    <row r="290" spans="1:20" s="2" customFormat="1" x14ac:dyDescent="0.25">
      <c r="A290" s="9"/>
      <c r="B290" s="9"/>
      <c r="C290" s="9"/>
      <c r="D290" s="9"/>
      <c r="E290" s="9"/>
      <c r="F290" s="9"/>
      <c r="G290" s="9"/>
      <c r="H290" s="9"/>
      <c r="I290" s="7"/>
      <c r="J290" s="8"/>
      <c r="K290" s="8"/>
      <c r="L290" s="8"/>
      <c r="M290" s="8"/>
      <c r="N290" s="8"/>
      <c r="O290" s="7"/>
      <c r="P290" s="7"/>
      <c r="Q290" s="7"/>
      <c r="R290" s="7"/>
      <c r="S290" s="7"/>
      <c r="T290" s="7"/>
    </row>
    <row r="291" spans="1:20" s="2" customFormat="1" x14ac:dyDescent="0.25">
      <c r="A291" s="9"/>
      <c r="B291" s="9"/>
      <c r="C291" s="9"/>
      <c r="D291" s="9"/>
      <c r="E291" s="9"/>
      <c r="F291" s="9"/>
      <c r="G291" s="9"/>
      <c r="H291" s="9"/>
      <c r="I291" s="7"/>
      <c r="J291" s="8"/>
      <c r="K291" s="8"/>
      <c r="L291" s="8"/>
      <c r="M291" s="8"/>
      <c r="N291" s="8"/>
      <c r="O291" s="7"/>
      <c r="P291" s="7"/>
      <c r="Q291" s="7"/>
      <c r="R291" s="7"/>
      <c r="S291" s="7"/>
      <c r="T291" s="7"/>
    </row>
    <row r="292" spans="1:20" s="2" customFormat="1" x14ac:dyDescent="0.25">
      <c r="A292" s="9"/>
      <c r="B292" s="9"/>
      <c r="C292" s="9"/>
      <c r="D292" s="9"/>
      <c r="E292" s="9"/>
      <c r="F292" s="9"/>
      <c r="G292" s="9"/>
      <c r="H292" s="9"/>
      <c r="I292" s="7"/>
      <c r="J292" s="8"/>
      <c r="K292" s="8"/>
      <c r="L292" s="8"/>
      <c r="M292" s="8"/>
      <c r="N292" s="8"/>
      <c r="O292" s="7"/>
      <c r="P292" s="7"/>
      <c r="Q292" s="7"/>
      <c r="R292" s="7"/>
      <c r="S292" s="7"/>
      <c r="T292" s="7"/>
    </row>
    <row r="293" spans="1:20" s="2" customFormat="1" x14ac:dyDescent="0.25">
      <c r="A293" s="9"/>
      <c r="B293" s="9"/>
      <c r="C293" s="9"/>
      <c r="D293" s="9"/>
      <c r="E293" s="9"/>
      <c r="F293" s="9"/>
      <c r="G293" s="9"/>
      <c r="H293" s="9"/>
      <c r="I293" s="7"/>
      <c r="J293" s="8"/>
      <c r="K293" s="8"/>
      <c r="L293" s="8"/>
      <c r="M293" s="8"/>
      <c r="N293" s="8"/>
      <c r="O293" s="7"/>
      <c r="P293" s="7"/>
      <c r="Q293" s="7"/>
      <c r="R293" s="7"/>
      <c r="S293" s="7"/>
      <c r="T293" s="7"/>
    </row>
    <row r="294" spans="1:20" s="2" customFormat="1" x14ac:dyDescent="0.25">
      <c r="A294" s="9"/>
      <c r="B294" s="9"/>
      <c r="C294" s="9"/>
      <c r="D294" s="9"/>
      <c r="E294" s="9"/>
      <c r="F294" s="9"/>
      <c r="G294" s="9"/>
      <c r="H294" s="9"/>
      <c r="I294" s="7"/>
      <c r="J294" s="8"/>
      <c r="K294" s="8"/>
      <c r="L294" s="8"/>
      <c r="M294" s="8"/>
      <c r="N294" s="8"/>
      <c r="O294" s="7"/>
      <c r="P294" s="7"/>
      <c r="Q294" s="7"/>
      <c r="R294" s="7"/>
      <c r="S294" s="7"/>
      <c r="T294" s="7"/>
    </row>
    <row r="295" spans="1:20" s="2" customFormat="1" x14ac:dyDescent="0.25">
      <c r="A295" s="9"/>
      <c r="B295" s="9"/>
      <c r="C295" s="9"/>
      <c r="D295" s="9"/>
      <c r="E295" s="9"/>
      <c r="F295" s="9"/>
      <c r="G295" s="9"/>
      <c r="H295" s="9"/>
      <c r="I295" s="7"/>
      <c r="J295" s="8"/>
      <c r="K295" s="8"/>
      <c r="L295" s="8"/>
      <c r="M295" s="8"/>
      <c r="N295" s="8"/>
      <c r="O295" s="7"/>
      <c r="P295" s="7"/>
      <c r="Q295" s="7"/>
      <c r="R295" s="7"/>
      <c r="S295" s="7"/>
      <c r="T295" s="7"/>
    </row>
    <row r="296" spans="1:20" s="2" customFormat="1" x14ac:dyDescent="0.25">
      <c r="A296" s="9"/>
      <c r="B296" s="9"/>
      <c r="C296" s="9"/>
      <c r="D296" s="9"/>
      <c r="E296" s="9"/>
      <c r="F296" s="9"/>
      <c r="G296" s="9"/>
      <c r="H296" s="9"/>
      <c r="I296" s="7"/>
      <c r="J296" s="8"/>
      <c r="K296" s="8"/>
      <c r="L296" s="8"/>
      <c r="M296" s="8"/>
      <c r="N296" s="8"/>
      <c r="O296" s="7"/>
      <c r="P296" s="7"/>
      <c r="Q296" s="7"/>
      <c r="R296" s="7"/>
      <c r="S296" s="7"/>
      <c r="T296" s="7"/>
    </row>
    <row r="297" spans="1:20" s="2" customFormat="1" x14ac:dyDescent="0.25">
      <c r="A297" s="9"/>
      <c r="B297" s="9"/>
      <c r="C297" s="9"/>
      <c r="D297" s="9"/>
      <c r="E297" s="9"/>
      <c r="F297" s="9"/>
      <c r="G297" s="9"/>
      <c r="H297" s="9"/>
      <c r="I297" s="7"/>
      <c r="J297" s="8"/>
      <c r="K297" s="8"/>
      <c r="L297" s="8"/>
      <c r="M297" s="8"/>
      <c r="N297" s="8"/>
      <c r="O297" s="7"/>
      <c r="P297" s="7"/>
      <c r="Q297" s="7"/>
      <c r="R297" s="7"/>
      <c r="S297" s="7"/>
      <c r="T297" s="7"/>
    </row>
    <row r="298" spans="1:20" s="2" customFormat="1" x14ac:dyDescent="0.25">
      <c r="A298" s="9"/>
      <c r="B298" s="9"/>
      <c r="C298" s="9"/>
      <c r="D298" s="9"/>
      <c r="E298" s="9"/>
      <c r="F298" s="9"/>
      <c r="G298" s="9"/>
      <c r="H298" s="9"/>
      <c r="I298" s="7"/>
      <c r="J298" s="8"/>
      <c r="K298" s="8"/>
      <c r="L298" s="8"/>
      <c r="M298" s="8"/>
      <c r="N298" s="8"/>
      <c r="O298" s="7"/>
      <c r="P298" s="7"/>
      <c r="Q298" s="7"/>
      <c r="R298" s="7"/>
      <c r="S298" s="7"/>
      <c r="T298" s="7"/>
    </row>
    <row r="299" spans="1:20" s="2" customFormat="1" x14ac:dyDescent="0.25">
      <c r="A299" s="9"/>
      <c r="B299" s="9"/>
      <c r="C299" s="9"/>
      <c r="D299" s="9"/>
      <c r="E299" s="9"/>
      <c r="F299" s="9"/>
      <c r="G299" s="9"/>
      <c r="H299" s="9"/>
      <c r="I299" s="7"/>
      <c r="J299" s="8"/>
      <c r="K299" s="8"/>
      <c r="L299" s="8"/>
      <c r="M299" s="8"/>
      <c r="N299" s="8"/>
      <c r="O299" s="7"/>
      <c r="P299" s="7"/>
      <c r="Q299" s="7"/>
      <c r="R299" s="7"/>
      <c r="S299" s="7"/>
      <c r="T299" s="7"/>
    </row>
    <row r="300" spans="1:20" s="2" customFormat="1" x14ac:dyDescent="0.25">
      <c r="A300" s="9"/>
      <c r="B300" s="9"/>
      <c r="C300" s="9"/>
      <c r="D300" s="9"/>
      <c r="E300" s="9"/>
      <c r="F300" s="9"/>
      <c r="G300" s="9"/>
      <c r="H300" s="9"/>
      <c r="I300" s="7"/>
      <c r="J300" s="8"/>
      <c r="K300" s="8"/>
      <c r="L300" s="8"/>
      <c r="M300" s="8"/>
      <c r="N300" s="8"/>
      <c r="O300" s="7"/>
      <c r="P300" s="7"/>
      <c r="Q300" s="7"/>
      <c r="R300" s="7"/>
      <c r="S300" s="7"/>
      <c r="T300" s="7"/>
    </row>
    <row r="301" spans="1:20" s="2" customFormat="1" x14ac:dyDescent="0.25">
      <c r="A301" s="9"/>
      <c r="B301" s="9"/>
      <c r="C301" s="9"/>
      <c r="D301" s="9"/>
      <c r="E301" s="9"/>
      <c r="F301" s="9"/>
      <c r="G301" s="9"/>
      <c r="H301" s="9"/>
      <c r="I301" s="7"/>
      <c r="J301" s="8"/>
      <c r="K301" s="8"/>
      <c r="L301" s="8"/>
      <c r="M301" s="8"/>
      <c r="N301" s="8"/>
      <c r="O301" s="7"/>
      <c r="P301" s="7"/>
      <c r="Q301" s="7"/>
      <c r="R301" s="7"/>
      <c r="S301" s="7"/>
      <c r="T301" s="7"/>
    </row>
    <row r="302" spans="1:20" s="2" customFormat="1" x14ac:dyDescent="0.25">
      <c r="A302" s="9"/>
      <c r="B302" s="9"/>
      <c r="C302" s="9"/>
      <c r="D302" s="9"/>
      <c r="E302" s="9"/>
      <c r="F302" s="9"/>
      <c r="G302" s="9"/>
      <c r="H302" s="9"/>
      <c r="I302" s="7"/>
      <c r="J302" s="8"/>
      <c r="K302" s="8"/>
      <c r="L302" s="8"/>
      <c r="M302" s="8"/>
      <c r="N302" s="8"/>
      <c r="O302" s="7"/>
      <c r="P302" s="7"/>
      <c r="Q302" s="7"/>
      <c r="R302" s="7"/>
      <c r="S302" s="7"/>
      <c r="T302" s="7"/>
    </row>
    <row r="303" spans="1:20" s="2" customFormat="1" x14ac:dyDescent="0.25">
      <c r="A303" s="9"/>
      <c r="B303" s="9"/>
      <c r="C303" s="9"/>
      <c r="D303" s="9"/>
      <c r="E303" s="9"/>
      <c r="F303" s="9"/>
      <c r="G303" s="9"/>
      <c r="H303" s="9"/>
      <c r="I303" s="7"/>
      <c r="J303" s="8"/>
      <c r="K303" s="8"/>
      <c r="L303" s="8"/>
      <c r="M303" s="8"/>
      <c r="N303" s="8"/>
      <c r="O303" s="7"/>
      <c r="P303" s="7"/>
      <c r="Q303" s="7"/>
      <c r="R303" s="7"/>
      <c r="S303" s="7"/>
      <c r="T303" s="7"/>
    </row>
    <row r="304" spans="1:20" s="2" customFormat="1" x14ac:dyDescent="0.25">
      <c r="A304" s="9"/>
      <c r="B304" s="9"/>
      <c r="C304" s="9"/>
      <c r="D304" s="9"/>
      <c r="E304" s="9"/>
      <c r="F304" s="9"/>
      <c r="G304" s="9"/>
      <c r="H304" s="9"/>
      <c r="I304" s="7"/>
      <c r="J304" s="8"/>
      <c r="K304" s="8"/>
      <c r="L304" s="8"/>
      <c r="M304" s="8"/>
      <c r="N304" s="8"/>
      <c r="O304" s="7"/>
      <c r="P304" s="7"/>
      <c r="Q304" s="7"/>
      <c r="R304" s="7"/>
      <c r="S304" s="7"/>
      <c r="T304" s="7"/>
    </row>
    <row r="305" spans="1:20" s="2" customFormat="1" x14ac:dyDescent="0.25">
      <c r="A305" s="9"/>
      <c r="B305" s="9"/>
      <c r="C305" s="9"/>
      <c r="D305" s="9"/>
      <c r="E305" s="9"/>
      <c r="F305" s="9"/>
      <c r="G305" s="9"/>
      <c r="H305" s="9"/>
      <c r="I305" s="7"/>
      <c r="J305" s="8"/>
      <c r="K305" s="8"/>
      <c r="L305" s="8"/>
      <c r="M305" s="8"/>
      <c r="N305" s="8"/>
      <c r="O305" s="7"/>
      <c r="P305" s="7"/>
      <c r="Q305" s="7"/>
      <c r="R305" s="7"/>
      <c r="S305" s="7"/>
      <c r="T305" s="7"/>
    </row>
    <row r="306" spans="1:20" s="2" customFormat="1" x14ac:dyDescent="0.25">
      <c r="A306" s="9"/>
      <c r="B306" s="9"/>
      <c r="C306" s="9"/>
      <c r="D306" s="9"/>
      <c r="E306" s="9"/>
      <c r="F306" s="9"/>
      <c r="G306" s="9"/>
      <c r="H306" s="9"/>
      <c r="I306" s="7"/>
      <c r="J306" s="8"/>
      <c r="K306" s="8"/>
      <c r="L306" s="8"/>
      <c r="M306" s="8"/>
      <c r="N306" s="8"/>
      <c r="O306" s="7"/>
      <c r="P306" s="7"/>
      <c r="Q306" s="7"/>
      <c r="R306" s="7"/>
      <c r="S306" s="7"/>
      <c r="T306" s="7"/>
    </row>
    <row r="307" spans="1:20" s="2" customFormat="1" x14ac:dyDescent="0.25">
      <c r="A307" s="9"/>
      <c r="B307" s="9"/>
      <c r="C307" s="9"/>
      <c r="D307" s="9"/>
      <c r="E307" s="9"/>
      <c r="F307" s="9"/>
      <c r="G307" s="9"/>
      <c r="H307" s="9"/>
      <c r="I307" s="7"/>
      <c r="J307" s="8"/>
      <c r="K307" s="8"/>
      <c r="L307" s="8"/>
      <c r="M307" s="8"/>
      <c r="N307" s="8"/>
      <c r="O307" s="7"/>
      <c r="P307" s="7"/>
      <c r="Q307" s="7"/>
      <c r="R307" s="7"/>
      <c r="S307" s="7"/>
      <c r="T307" s="7"/>
    </row>
    <row r="308" spans="1:20" s="2" customFormat="1" x14ac:dyDescent="0.25">
      <c r="A308" s="9"/>
      <c r="B308" s="9"/>
      <c r="C308" s="9"/>
      <c r="D308" s="9"/>
      <c r="E308" s="9"/>
      <c r="F308" s="9"/>
      <c r="G308" s="9"/>
      <c r="H308" s="9"/>
      <c r="I308" s="7"/>
      <c r="J308" s="8"/>
      <c r="K308" s="8"/>
      <c r="L308" s="8"/>
      <c r="M308" s="8"/>
      <c r="N308" s="8"/>
      <c r="O308" s="7"/>
      <c r="P308" s="7"/>
      <c r="Q308" s="7"/>
      <c r="R308" s="7"/>
      <c r="S308" s="7"/>
      <c r="T308" s="7"/>
    </row>
    <row r="309" spans="1:20" s="2" customFormat="1" x14ac:dyDescent="0.25">
      <c r="A309" s="9"/>
      <c r="B309" s="9"/>
      <c r="C309" s="9"/>
      <c r="D309" s="9"/>
      <c r="E309" s="9"/>
      <c r="F309" s="9"/>
      <c r="G309" s="9"/>
      <c r="H309" s="9"/>
      <c r="I309" s="7"/>
      <c r="J309" s="8"/>
      <c r="K309" s="8"/>
      <c r="L309" s="8"/>
      <c r="M309" s="8"/>
      <c r="N309" s="8"/>
      <c r="O309" s="7"/>
      <c r="P309" s="7"/>
      <c r="Q309" s="7"/>
      <c r="R309" s="7"/>
      <c r="S309" s="7"/>
      <c r="T309" s="7"/>
    </row>
    <row r="310" spans="1:20" s="2" customFormat="1" x14ac:dyDescent="0.25">
      <c r="A310" s="9"/>
      <c r="B310" s="9"/>
      <c r="C310" s="9"/>
      <c r="D310" s="9"/>
      <c r="E310" s="9"/>
      <c r="F310" s="9"/>
      <c r="G310" s="9"/>
      <c r="H310" s="9"/>
      <c r="I310" s="7"/>
      <c r="J310" s="8"/>
      <c r="K310" s="8"/>
      <c r="L310" s="8"/>
      <c r="M310" s="8"/>
      <c r="N310" s="8"/>
      <c r="O310" s="7"/>
      <c r="P310" s="7"/>
      <c r="Q310" s="7"/>
      <c r="R310" s="7"/>
      <c r="S310" s="7"/>
      <c r="T310" s="7"/>
    </row>
    <row r="311" spans="1:20" s="2" customFormat="1" x14ac:dyDescent="0.25">
      <c r="A311" s="9"/>
      <c r="B311" s="9"/>
      <c r="C311" s="9"/>
      <c r="D311" s="9"/>
      <c r="E311" s="9"/>
      <c r="F311" s="9"/>
      <c r="G311" s="9"/>
      <c r="H311" s="9"/>
      <c r="I311" s="7"/>
      <c r="J311" s="8"/>
      <c r="K311" s="8"/>
      <c r="L311" s="8"/>
      <c r="M311" s="8"/>
      <c r="N311" s="8"/>
      <c r="O311" s="7"/>
      <c r="P311" s="7"/>
      <c r="Q311" s="7"/>
      <c r="R311" s="7"/>
      <c r="S311" s="7"/>
      <c r="T311" s="7"/>
    </row>
    <row r="312" spans="1:20" s="2" customFormat="1" x14ac:dyDescent="0.25">
      <c r="A312" s="9"/>
      <c r="B312" s="9"/>
      <c r="C312" s="9"/>
      <c r="D312" s="9"/>
      <c r="E312" s="9"/>
      <c r="F312" s="9"/>
      <c r="G312" s="9"/>
      <c r="H312" s="9"/>
      <c r="I312" s="7"/>
      <c r="J312" s="8"/>
      <c r="K312" s="8"/>
      <c r="L312" s="8"/>
      <c r="M312" s="8"/>
      <c r="N312" s="8"/>
      <c r="O312" s="7"/>
      <c r="P312" s="7"/>
      <c r="Q312" s="7"/>
      <c r="R312" s="7"/>
      <c r="S312" s="7"/>
      <c r="T312" s="7"/>
    </row>
    <row r="313" spans="1:20" s="2" customFormat="1" x14ac:dyDescent="0.25">
      <c r="A313" s="9"/>
      <c r="B313" s="9"/>
      <c r="C313" s="9"/>
      <c r="D313" s="9"/>
      <c r="E313" s="9"/>
      <c r="F313" s="9"/>
      <c r="G313" s="9"/>
      <c r="H313" s="9"/>
      <c r="I313" s="7"/>
      <c r="J313" s="8"/>
      <c r="K313" s="8"/>
      <c r="L313" s="8"/>
      <c r="M313" s="8"/>
      <c r="N313" s="8"/>
      <c r="O313" s="7"/>
      <c r="P313" s="7"/>
      <c r="Q313" s="7"/>
      <c r="R313" s="7"/>
      <c r="S313" s="7"/>
      <c r="T313" s="7"/>
    </row>
    <row r="314" spans="1:20" s="2" customFormat="1" x14ac:dyDescent="0.25">
      <c r="A314" s="9"/>
      <c r="B314" s="9"/>
      <c r="C314" s="9"/>
      <c r="D314" s="9"/>
      <c r="E314" s="9"/>
      <c r="F314" s="9"/>
      <c r="G314" s="9"/>
      <c r="H314" s="9"/>
      <c r="I314" s="7"/>
      <c r="J314" s="8"/>
      <c r="K314" s="8"/>
      <c r="L314" s="8"/>
      <c r="M314" s="8"/>
      <c r="N314" s="8"/>
      <c r="O314" s="7"/>
      <c r="P314" s="7"/>
      <c r="Q314" s="7"/>
      <c r="R314" s="7"/>
      <c r="S314" s="7"/>
      <c r="T314" s="7"/>
    </row>
    <row r="315" spans="1:20" s="2" customFormat="1" x14ac:dyDescent="0.25">
      <c r="A315" s="9"/>
      <c r="B315" s="9"/>
      <c r="C315" s="9"/>
      <c r="D315" s="9"/>
      <c r="E315" s="9"/>
      <c r="F315" s="9"/>
      <c r="G315" s="9"/>
      <c r="H315" s="9"/>
      <c r="I315" s="7"/>
      <c r="J315" s="8"/>
      <c r="K315" s="8"/>
      <c r="L315" s="8"/>
      <c r="M315" s="8"/>
      <c r="N315" s="8"/>
      <c r="O315" s="7"/>
      <c r="P315" s="7"/>
      <c r="Q315" s="7"/>
      <c r="R315" s="7"/>
      <c r="S315" s="7"/>
      <c r="T315" s="7"/>
    </row>
    <row r="316" spans="1:20" s="2" customFormat="1" x14ac:dyDescent="0.25">
      <c r="A316" s="9"/>
      <c r="B316" s="9"/>
      <c r="C316" s="9"/>
      <c r="D316" s="9"/>
      <c r="E316" s="9"/>
      <c r="F316" s="9"/>
      <c r="G316" s="9"/>
      <c r="H316" s="9"/>
      <c r="I316" s="7"/>
      <c r="J316" s="8"/>
      <c r="K316" s="8"/>
      <c r="L316" s="8"/>
      <c r="M316" s="8"/>
      <c r="N316" s="8"/>
      <c r="O316" s="7"/>
      <c r="P316" s="7"/>
      <c r="Q316" s="7"/>
      <c r="R316" s="7"/>
      <c r="S316" s="7"/>
      <c r="T316" s="7"/>
    </row>
    <row r="317" spans="1:20" s="2" customFormat="1" x14ac:dyDescent="0.25">
      <c r="A317" s="9"/>
      <c r="B317" s="9"/>
      <c r="C317" s="9"/>
      <c r="D317" s="9"/>
      <c r="E317" s="9"/>
      <c r="F317" s="9"/>
      <c r="G317" s="9"/>
      <c r="H317" s="9"/>
      <c r="I317" s="7"/>
      <c r="J317" s="8"/>
      <c r="K317" s="8"/>
      <c r="L317" s="8"/>
      <c r="M317" s="8"/>
      <c r="N317" s="8"/>
      <c r="O317" s="7"/>
      <c r="P317" s="7"/>
      <c r="Q317" s="7"/>
      <c r="R317" s="7"/>
      <c r="S317" s="7"/>
      <c r="T317" s="7"/>
    </row>
    <row r="318" spans="1:20" s="2" customFormat="1" x14ac:dyDescent="0.25">
      <c r="A318" s="9"/>
      <c r="B318" s="9"/>
      <c r="C318" s="9"/>
      <c r="D318" s="9"/>
      <c r="E318" s="9"/>
      <c r="F318" s="9"/>
      <c r="G318" s="9"/>
      <c r="H318" s="9"/>
      <c r="I318" s="7"/>
      <c r="J318" s="8"/>
      <c r="K318" s="8"/>
      <c r="L318" s="8"/>
      <c r="M318" s="8"/>
      <c r="N318" s="8"/>
      <c r="O318" s="7"/>
      <c r="P318" s="7"/>
      <c r="Q318" s="7"/>
      <c r="R318" s="7"/>
      <c r="S318" s="7"/>
      <c r="T318" s="7"/>
    </row>
    <row r="319" spans="1:20" s="2" customFormat="1" x14ac:dyDescent="0.25">
      <c r="A319" s="9"/>
      <c r="B319" s="9"/>
      <c r="C319" s="9"/>
      <c r="D319" s="9"/>
      <c r="E319" s="9"/>
      <c r="F319" s="9"/>
      <c r="G319" s="9"/>
      <c r="H319" s="9"/>
      <c r="I319" s="7"/>
      <c r="J319" s="8"/>
      <c r="K319" s="8"/>
      <c r="L319" s="8"/>
      <c r="M319" s="8"/>
      <c r="N319" s="8"/>
      <c r="O319" s="7"/>
      <c r="P319" s="7"/>
      <c r="Q319" s="7"/>
      <c r="R319" s="7"/>
      <c r="S319" s="7"/>
      <c r="T319" s="7"/>
    </row>
    <row r="320" spans="1:20" s="2" customFormat="1" x14ac:dyDescent="0.25">
      <c r="A320" s="9"/>
      <c r="B320" s="9"/>
      <c r="C320" s="9"/>
      <c r="D320" s="9"/>
      <c r="E320" s="9"/>
      <c r="F320" s="9"/>
      <c r="G320" s="9"/>
      <c r="H320" s="9"/>
      <c r="I320" s="7"/>
      <c r="J320" s="8"/>
      <c r="K320" s="8"/>
      <c r="L320" s="8"/>
      <c r="M320" s="8"/>
      <c r="N320" s="8"/>
      <c r="O320" s="7"/>
      <c r="P320" s="7"/>
      <c r="Q320" s="7"/>
      <c r="R320" s="7"/>
      <c r="S320" s="7"/>
      <c r="T320" s="7"/>
    </row>
    <row r="321" spans="1:20" s="2" customFormat="1" x14ac:dyDescent="0.25">
      <c r="A321" s="9"/>
      <c r="B321" s="9"/>
      <c r="C321" s="9"/>
      <c r="D321" s="9"/>
      <c r="E321" s="9"/>
      <c r="F321" s="9"/>
      <c r="G321" s="9"/>
      <c r="H321" s="9"/>
      <c r="I321" s="7"/>
      <c r="J321" s="8"/>
      <c r="K321" s="8"/>
      <c r="L321" s="8"/>
      <c r="M321" s="8"/>
      <c r="N321" s="8"/>
      <c r="O321" s="7"/>
      <c r="P321" s="7"/>
      <c r="Q321" s="7"/>
      <c r="R321" s="7"/>
      <c r="S321" s="7"/>
      <c r="T321" s="7"/>
    </row>
    <row r="322" spans="1:20" s="2" customFormat="1" x14ac:dyDescent="0.25">
      <c r="A322" s="9"/>
      <c r="B322" s="9"/>
      <c r="C322" s="9"/>
      <c r="D322" s="9"/>
      <c r="E322" s="9"/>
      <c r="F322" s="9"/>
      <c r="G322" s="9"/>
      <c r="H322" s="9"/>
      <c r="I322" s="7"/>
      <c r="J322" s="8"/>
      <c r="K322" s="8"/>
      <c r="L322" s="8"/>
      <c r="M322" s="8"/>
      <c r="N322" s="8"/>
      <c r="O322" s="7"/>
      <c r="P322" s="7"/>
      <c r="Q322" s="7"/>
      <c r="R322" s="7"/>
      <c r="S322" s="7"/>
      <c r="T322" s="7"/>
    </row>
    <row r="323" spans="1:20" s="2" customFormat="1" x14ac:dyDescent="0.25">
      <c r="A323" s="9"/>
      <c r="B323" s="9"/>
      <c r="C323" s="9"/>
      <c r="D323" s="9"/>
      <c r="E323" s="9"/>
      <c r="F323" s="9"/>
      <c r="G323" s="9"/>
      <c r="H323" s="9"/>
      <c r="I323" s="7"/>
      <c r="J323" s="8"/>
      <c r="K323" s="8"/>
      <c r="L323" s="8"/>
      <c r="M323" s="8"/>
      <c r="N323" s="8"/>
      <c r="O323" s="7"/>
      <c r="P323" s="7"/>
      <c r="Q323" s="7"/>
      <c r="R323" s="7"/>
      <c r="S323" s="7"/>
      <c r="T323" s="7"/>
    </row>
    <row r="324" spans="1:20" s="2" customFormat="1" x14ac:dyDescent="0.25">
      <c r="A324" s="9"/>
      <c r="B324" s="9"/>
      <c r="C324" s="9"/>
      <c r="D324" s="9"/>
      <c r="E324" s="9"/>
      <c r="F324" s="9"/>
      <c r="G324" s="9"/>
      <c r="H324" s="9"/>
      <c r="I324" s="7"/>
      <c r="J324" s="8"/>
      <c r="K324" s="8"/>
      <c r="L324" s="8"/>
      <c r="M324" s="8"/>
      <c r="N324" s="8"/>
      <c r="O324" s="7"/>
      <c r="P324" s="7"/>
      <c r="Q324" s="7"/>
      <c r="R324" s="7"/>
      <c r="S324" s="7"/>
      <c r="T324" s="7"/>
    </row>
    <row r="325" spans="1:20" s="2" customFormat="1" x14ac:dyDescent="0.25">
      <c r="A325" s="9"/>
      <c r="B325" s="9"/>
      <c r="C325" s="9"/>
      <c r="D325" s="9"/>
      <c r="E325" s="9"/>
      <c r="F325" s="9"/>
      <c r="G325" s="9"/>
      <c r="H325" s="9"/>
      <c r="I325" s="7"/>
      <c r="J325" s="8"/>
      <c r="K325" s="8"/>
      <c r="L325" s="8"/>
      <c r="M325" s="8"/>
      <c r="N325" s="8"/>
      <c r="O325" s="7"/>
      <c r="P325" s="7"/>
      <c r="Q325" s="7"/>
      <c r="R325" s="7"/>
      <c r="S325" s="7"/>
      <c r="T325" s="7"/>
    </row>
    <row r="326" spans="1:20" s="2" customFormat="1" x14ac:dyDescent="0.25">
      <c r="A326" s="9"/>
      <c r="B326" s="9"/>
      <c r="C326" s="9"/>
      <c r="D326" s="9"/>
      <c r="E326" s="9"/>
      <c r="F326" s="9"/>
      <c r="G326" s="9"/>
      <c r="H326" s="9"/>
      <c r="I326" s="7"/>
      <c r="J326" s="8"/>
      <c r="K326" s="8"/>
      <c r="L326" s="8"/>
      <c r="M326" s="8"/>
      <c r="N326" s="8"/>
      <c r="O326" s="7"/>
      <c r="P326" s="7"/>
      <c r="Q326" s="7"/>
      <c r="R326" s="7"/>
      <c r="S326" s="7"/>
      <c r="T326" s="7"/>
    </row>
    <row r="327" spans="1:20" s="2" customFormat="1" x14ac:dyDescent="0.25">
      <c r="A327" s="9"/>
      <c r="B327" s="9"/>
      <c r="C327" s="9"/>
      <c r="D327" s="9"/>
      <c r="E327" s="9"/>
      <c r="F327" s="9"/>
      <c r="G327" s="9"/>
      <c r="H327" s="9"/>
      <c r="I327" s="7"/>
      <c r="J327" s="8"/>
      <c r="K327" s="8"/>
      <c r="L327" s="8"/>
      <c r="M327" s="8"/>
      <c r="N327" s="8"/>
      <c r="O327" s="7"/>
      <c r="P327" s="7"/>
      <c r="Q327" s="7"/>
      <c r="R327" s="7"/>
      <c r="S327" s="7"/>
      <c r="T327" s="7"/>
    </row>
    <row r="328" spans="1:20" s="2" customFormat="1" x14ac:dyDescent="0.25">
      <c r="A328" s="9"/>
      <c r="B328" s="9"/>
      <c r="C328" s="9"/>
      <c r="D328" s="9"/>
      <c r="E328" s="9"/>
      <c r="F328" s="9"/>
      <c r="G328" s="9"/>
      <c r="H328" s="9"/>
      <c r="I328" s="7"/>
      <c r="J328" s="8"/>
      <c r="K328" s="8"/>
      <c r="L328" s="8"/>
      <c r="M328" s="8"/>
      <c r="N328" s="8"/>
      <c r="O328" s="7"/>
      <c r="P328" s="7"/>
      <c r="Q328" s="7"/>
      <c r="R328" s="7"/>
      <c r="S328" s="7"/>
      <c r="T328" s="7"/>
    </row>
    <row r="329" spans="1:20" s="2" customFormat="1" x14ac:dyDescent="0.25">
      <c r="A329" s="9"/>
      <c r="B329" s="9"/>
      <c r="C329" s="9"/>
      <c r="D329" s="9"/>
      <c r="E329" s="9"/>
      <c r="F329" s="9"/>
      <c r="G329" s="9"/>
      <c r="H329" s="9"/>
      <c r="I329" s="7"/>
      <c r="J329" s="8"/>
      <c r="K329" s="8"/>
      <c r="L329" s="8"/>
      <c r="M329" s="8"/>
      <c r="N329" s="8"/>
      <c r="O329" s="7"/>
      <c r="P329" s="7"/>
      <c r="Q329" s="7"/>
      <c r="R329" s="7"/>
      <c r="S329" s="7"/>
      <c r="T329" s="7"/>
    </row>
    <row r="330" spans="1:20" s="2" customFormat="1" x14ac:dyDescent="0.25">
      <c r="A330" s="9"/>
      <c r="B330" s="9"/>
      <c r="C330" s="9"/>
      <c r="D330" s="9"/>
      <c r="E330" s="9"/>
      <c r="F330" s="9"/>
      <c r="G330" s="9"/>
      <c r="H330" s="9"/>
      <c r="I330" s="7"/>
      <c r="J330" s="8"/>
      <c r="K330" s="8"/>
      <c r="L330" s="8"/>
      <c r="M330" s="8"/>
      <c r="N330" s="8"/>
      <c r="O330" s="7"/>
      <c r="P330" s="7"/>
      <c r="Q330" s="7"/>
      <c r="R330" s="7"/>
      <c r="S330" s="7"/>
      <c r="T330" s="7"/>
    </row>
    <row r="331" spans="1:20" s="2" customFormat="1" x14ac:dyDescent="0.25">
      <c r="A331" s="9"/>
      <c r="B331" s="9"/>
      <c r="C331" s="9"/>
      <c r="D331" s="9"/>
      <c r="E331" s="9"/>
      <c r="F331" s="9"/>
      <c r="G331" s="9"/>
      <c r="H331" s="9"/>
      <c r="I331" s="7"/>
      <c r="J331" s="8"/>
      <c r="K331" s="8"/>
      <c r="L331" s="8"/>
      <c r="M331" s="8"/>
      <c r="N331" s="8"/>
      <c r="O331" s="7"/>
      <c r="P331" s="7"/>
      <c r="Q331" s="7"/>
      <c r="R331" s="7"/>
      <c r="S331" s="7"/>
      <c r="T331" s="7"/>
    </row>
    <row r="332" spans="1:20" s="2" customFormat="1" x14ac:dyDescent="0.25">
      <c r="A332" s="9"/>
      <c r="B332" s="9"/>
      <c r="C332" s="9"/>
      <c r="D332" s="9"/>
      <c r="E332" s="9"/>
      <c r="F332" s="9"/>
      <c r="G332" s="9"/>
      <c r="H332" s="9"/>
      <c r="I332" s="7"/>
      <c r="J332" s="8"/>
      <c r="K332" s="8"/>
      <c r="L332" s="8"/>
      <c r="M332" s="8"/>
      <c r="N332" s="8"/>
      <c r="O332" s="7"/>
      <c r="P332" s="7"/>
      <c r="Q332" s="7"/>
      <c r="R332" s="7"/>
      <c r="S332" s="7"/>
      <c r="T332" s="7"/>
    </row>
    <row r="333" spans="1:20" s="2" customFormat="1" x14ac:dyDescent="0.25">
      <c r="A333" s="9"/>
      <c r="B333" s="9"/>
      <c r="C333" s="9"/>
      <c r="D333" s="9"/>
      <c r="E333" s="9"/>
      <c r="F333" s="9"/>
      <c r="G333" s="9"/>
      <c r="H333" s="9"/>
      <c r="I333" s="7"/>
      <c r="J333" s="8"/>
      <c r="K333" s="8"/>
      <c r="L333" s="8"/>
      <c r="M333" s="8"/>
      <c r="N333" s="8"/>
      <c r="O333" s="7"/>
      <c r="P333" s="7"/>
      <c r="Q333" s="7"/>
      <c r="R333" s="7"/>
      <c r="S333" s="7"/>
      <c r="T333" s="7"/>
    </row>
    <row r="334" spans="1:20" s="2" customFormat="1" x14ac:dyDescent="0.25">
      <c r="A334" s="9"/>
      <c r="B334" s="9"/>
      <c r="C334" s="9"/>
      <c r="D334" s="9"/>
      <c r="E334" s="9"/>
      <c r="F334" s="9"/>
      <c r="G334" s="9"/>
      <c r="H334" s="9"/>
      <c r="I334" s="7"/>
      <c r="J334" s="8"/>
      <c r="K334" s="8"/>
      <c r="L334" s="8"/>
      <c r="M334" s="8"/>
      <c r="N334" s="8"/>
      <c r="O334" s="7"/>
      <c r="P334" s="7"/>
      <c r="Q334" s="7"/>
      <c r="R334" s="7"/>
      <c r="S334" s="7"/>
      <c r="T334" s="7"/>
    </row>
    <row r="335" spans="1:20" s="2" customFormat="1" x14ac:dyDescent="0.25">
      <c r="A335" s="9"/>
      <c r="B335" s="9"/>
      <c r="C335" s="9"/>
      <c r="D335" s="9"/>
      <c r="E335" s="9"/>
      <c r="F335" s="9"/>
      <c r="G335" s="9"/>
      <c r="H335" s="9"/>
      <c r="I335" s="7"/>
      <c r="J335" s="8"/>
      <c r="K335" s="8"/>
      <c r="L335" s="8"/>
      <c r="M335" s="8"/>
      <c r="N335" s="8"/>
      <c r="O335" s="7"/>
      <c r="P335" s="7"/>
      <c r="Q335" s="7"/>
      <c r="R335" s="7"/>
      <c r="S335" s="7"/>
      <c r="T335" s="7"/>
    </row>
    <row r="336" spans="1:20" s="2" customFormat="1" x14ac:dyDescent="0.25">
      <c r="A336" s="9"/>
      <c r="B336" s="9"/>
      <c r="C336" s="9"/>
      <c r="D336" s="9"/>
      <c r="E336" s="9"/>
      <c r="F336" s="9"/>
      <c r="G336" s="9"/>
      <c r="H336" s="9"/>
      <c r="I336" s="7"/>
      <c r="J336" s="8"/>
      <c r="K336" s="8"/>
      <c r="L336" s="8"/>
      <c r="M336" s="8"/>
      <c r="N336" s="8"/>
      <c r="O336" s="7"/>
      <c r="P336" s="7"/>
      <c r="Q336" s="7"/>
      <c r="R336" s="7"/>
      <c r="S336" s="7"/>
      <c r="T336" s="7"/>
    </row>
    <row r="337" spans="1:20" s="2" customFormat="1" x14ac:dyDescent="0.25">
      <c r="A337" s="9"/>
      <c r="B337" s="9"/>
      <c r="C337" s="9"/>
      <c r="D337" s="9"/>
      <c r="E337" s="9"/>
      <c r="F337" s="9"/>
      <c r="G337" s="9"/>
      <c r="H337" s="9"/>
      <c r="I337" s="7"/>
      <c r="J337" s="8"/>
      <c r="K337" s="8"/>
      <c r="L337" s="8"/>
      <c r="M337" s="8"/>
      <c r="N337" s="8"/>
      <c r="O337" s="7"/>
      <c r="P337" s="7"/>
      <c r="Q337" s="7"/>
      <c r="R337" s="7"/>
      <c r="S337" s="7"/>
      <c r="T337" s="7"/>
    </row>
    <row r="338" spans="1:20" s="2" customFormat="1" x14ac:dyDescent="0.25">
      <c r="A338" s="9"/>
      <c r="B338" s="9"/>
      <c r="C338" s="9"/>
      <c r="D338" s="9"/>
      <c r="E338" s="9"/>
      <c r="F338" s="9"/>
      <c r="G338" s="9"/>
      <c r="H338" s="9"/>
      <c r="I338" s="7"/>
      <c r="J338" s="8"/>
      <c r="K338" s="8"/>
      <c r="L338" s="8"/>
      <c r="M338" s="8"/>
      <c r="N338" s="8"/>
      <c r="O338" s="7"/>
      <c r="P338" s="7"/>
      <c r="Q338" s="7"/>
      <c r="R338" s="7"/>
      <c r="S338" s="7"/>
      <c r="T338" s="7"/>
    </row>
    <row r="339" spans="1:20" s="2" customFormat="1" x14ac:dyDescent="0.25">
      <c r="A339" s="9"/>
      <c r="B339" s="9"/>
      <c r="C339" s="9"/>
      <c r="D339" s="9"/>
      <c r="E339" s="9"/>
      <c r="F339" s="9"/>
      <c r="G339" s="9"/>
      <c r="H339" s="9"/>
      <c r="I339" s="7"/>
      <c r="J339" s="8"/>
      <c r="K339" s="8"/>
      <c r="L339" s="8"/>
      <c r="M339" s="8"/>
      <c r="N339" s="8"/>
      <c r="O339" s="7"/>
      <c r="P339" s="7"/>
      <c r="Q339" s="7"/>
      <c r="R339" s="7"/>
      <c r="S339" s="7"/>
      <c r="T339" s="7"/>
    </row>
    <row r="340" spans="1:20" s="2" customFormat="1" x14ac:dyDescent="0.25">
      <c r="A340" s="9"/>
      <c r="B340" s="9"/>
      <c r="C340" s="9"/>
      <c r="D340" s="9"/>
      <c r="E340" s="9"/>
      <c r="F340" s="9"/>
      <c r="G340" s="9"/>
      <c r="H340" s="9"/>
      <c r="I340" s="7"/>
      <c r="J340" s="8"/>
      <c r="K340" s="8"/>
      <c r="L340" s="8"/>
      <c r="M340" s="8"/>
      <c r="N340" s="8"/>
      <c r="O340" s="7"/>
      <c r="P340" s="7"/>
      <c r="Q340" s="7"/>
      <c r="R340" s="7"/>
      <c r="S340" s="7"/>
      <c r="T340" s="7"/>
    </row>
    <row r="341" spans="1:20" s="2" customFormat="1" x14ac:dyDescent="0.25">
      <c r="A341" s="9"/>
      <c r="B341" s="9"/>
      <c r="C341" s="9"/>
      <c r="D341" s="9"/>
      <c r="E341" s="9"/>
      <c r="F341" s="9"/>
      <c r="G341" s="9"/>
      <c r="H341" s="9"/>
      <c r="I341" s="7"/>
      <c r="J341" s="8"/>
      <c r="K341" s="8"/>
      <c r="L341" s="8"/>
      <c r="M341" s="8"/>
      <c r="N341" s="8"/>
      <c r="O341" s="7"/>
      <c r="P341" s="7"/>
      <c r="Q341" s="7"/>
      <c r="R341" s="7"/>
      <c r="S341" s="7"/>
      <c r="T341" s="7"/>
    </row>
    <row r="342" spans="1:20" s="2" customFormat="1" x14ac:dyDescent="0.25">
      <c r="A342" s="9"/>
      <c r="B342" s="9"/>
      <c r="C342" s="9"/>
      <c r="D342" s="9"/>
      <c r="E342" s="9"/>
      <c r="F342" s="9"/>
      <c r="G342" s="9"/>
      <c r="H342" s="9"/>
      <c r="I342" s="7"/>
      <c r="J342" s="8"/>
      <c r="K342" s="8"/>
      <c r="L342" s="8"/>
      <c r="M342" s="8"/>
      <c r="N342" s="8"/>
      <c r="O342" s="7"/>
      <c r="P342" s="7"/>
      <c r="Q342" s="7"/>
      <c r="R342" s="7"/>
      <c r="S342" s="7"/>
      <c r="T342" s="7"/>
    </row>
    <row r="343" spans="1:20" s="2" customFormat="1" x14ac:dyDescent="0.25">
      <c r="A343" s="9"/>
      <c r="B343" s="9"/>
      <c r="C343" s="9"/>
      <c r="D343" s="9"/>
      <c r="E343" s="9"/>
      <c r="F343" s="9"/>
      <c r="G343" s="9"/>
      <c r="H343" s="9"/>
      <c r="I343" s="7"/>
      <c r="J343" s="8"/>
      <c r="K343" s="8"/>
      <c r="L343" s="8"/>
      <c r="M343" s="8"/>
      <c r="N343" s="8"/>
      <c r="O343" s="7"/>
      <c r="P343" s="7"/>
      <c r="Q343" s="7"/>
      <c r="R343" s="7"/>
      <c r="S343" s="7"/>
      <c r="T343" s="7"/>
    </row>
    <row r="344" spans="1:20" s="2" customFormat="1" x14ac:dyDescent="0.25">
      <c r="A344" s="9"/>
      <c r="B344" s="9"/>
      <c r="C344" s="9"/>
      <c r="D344" s="9"/>
      <c r="E344" s="9"/>
      <c r="F344" s="9"/>
      <c r="G344" s="9"/>
      <c r="H344" s="9"/>
      <c r="I344" s="7"/>
      <c r="J344" s="8"/>
      <c r="K344" s="8"/>
      <c r="L344" s="8"/>
      <c r="M344" s="8"/>
      <c r="N344" s="8"/>
      <c r="O344" s="7"/>
      <c r="P344" s="7"/>
      <c r="Q344" s="7"/>
      <c r="R344" s="7"/>
      <c r="S344" s="7"/>
      <c r="T344" s="7"/>
    </row>
    <row r="345" spans="1:20" s="2" customFormat="1" x14ac:dyDescent="0.25">
      <c r="A345" s="9"/>
      <c r="B345" s="9"/>
      <c r="C345" s="9"/>
      <c r="D345" s="9"/>
      <c r="E345" s="9"/>
      <c r="F345" s="9"/>
      <c r="G345" s="9"/>
      <c r="H345" s="9"/>
      <c r="I345" s="7"/>
      <c r="J345" s="8"/>
      <c r="K345" s="8"/>
      <c r="L345" s="8"/>
      <c r="M345" s="8"/>
      <c r="N345" s="8"/>
      <c r="O345" s="7"/>
      <c r="P345" s="7"/>
      <c r="Q345" s="7"/>
      <c r="R345" s="7"/>
      <c r="S345" s="7"/>
      <c r="T345" s="7"/>
    </row>
    <row r="346" spans="1:20" s="2" customFormat="1" x14ac:dyDescent="0.25">
      <c r="A346" s="9"/>
      <c r="B346" s="9"/>
      <c r="C346" s="9"/>
      <c r="D346" s="9"/>
      <c r="E346" s="9"/>
      <c r="F346" s="9"/>
      <c r="G346" s="9"/>
      <c r="H346" s="9"/>
      <c r="I346" s="7"/>
      <c r="J346" s="8"/>
      <c r="K346" s="8"/>
      <c r="L346" s="8"/>
      <c r="M346" s="8"/>
      <c r="N346" s="8"/>
      <c r="O346" s="7"/>
      <c r="P346" s="7"/>
      <c r="Q346" s="7"/>
      <c r="R346" s="7"/>
      <c r="S346" s="7"/>
      <c r="T346" s="7"/>
    </row>
    <row r="347" spans="1:20" s="2" customFormat="1" x14ac:dyDescent="0.25">
      <c r="A347" s="9"/>
      <c r="B347" s="9"/>
      <c r="C347" s="9"/>
      <c r="D347" s="9"/>
      <c r="E347" s="9"/>
      <c r="F347" s="9"/>
      <c r="G347" s="9"/>
      <c r="H347" s="9"/>
      <c r="I347" s="7"/>
      <c r="J347" s="8"/>
      <c r="K347" s="8"/>
      <c r="L347" s="8"/>
      <c r="M347" s="8"/>
      <c r="N347" s="8"/>
      <c r="O347" s="7"/>
      <c r="P347" s="7"/>
      <c r="Q347" s="7"/>
      <c r="R347" s="7"/>
      <c r="S347" s="7"/>
      <c r="T347" s="7"/>
    </row>
    <row r="348" spans="1:20" s="2" customFormat="1" x14ac:dyDescent="0.25">
      <c r="A348" s="9"/>
      <c r="B348" s="9"/>
      <c r="C348" s="9"/>
      <c r="D348" s="9"/>
      <c r="E348" s="9"/>
      <c r="F348" s="9"/>
      <c r="G348" s="9"/>
      <c r="H348" s="9"/>
      <c r="I348" s="7"/>
      <c r="J348" s="8"/>
      <c r="K348" s="8"/>
      <c r="L348" s="8"/>
      <c r="M348" s="8"/>
      <c r="N348" s="8"/>
      <c r="O348" s="7"/>
      <c r="P348" s="7"/>
      <c r="Q348" s="7"/>
      <c r="R348" s="7"/>
      <c r="S348" s="7"/>
      <c r="T348" s="7"/>
    </row>
    <row r="349" spans="1:20" s="2" customFormat="1" x14ac:dyDescent="0.25">
      <c r="A349" s="9"/>
      <c r="B349" s="9"/>
      <c r="C349" s="9"/>
      <c r="D349" s="9"/>
      <c r="E349" s="9"/>
      <c r="F349" s="9"/>
      <c r="G349" s="9"/>
      <c r="H349" s="9"/>
      <c r="I349" s="7"/>
      <c r="J349" s="8"/>
      <c r="K349" s="8"/>
      <c r="L349" s="8"/>
      <c r="M349" s="8"/>
      <c r="N349" s="8"/>
      <c r="O349" s="7"/>
      <c r="P349" s="7"/>
      <c r="Q349" s="7"/>
      <c r="R349" s="7"/>
      <c r="S349" s="7"/>
      <c r="T349" s="7"/>
    </row>
    <row r="350" spans="1:20" s="2" customFormat="1" x14ac:dyDescent="0.25">
      <c r="A350" s="9"/>
      <c r="B350" s="9"/>
      <c r="C350" s="9"/>
      <c r="D350" s="9"/>
      <c r="E350" s="9"/>
      <c r="F350" s="9"/>
      <c r="G350" s="9"/>
      <c r="H350" s="9"/>
      <c r="I350" s="7"/>
      <c r="J350" s="8"/>
      <c r="K350" s="8"/>
      <c r="L350" s="8"/>
      <c r="M350" s="8"/>
      <c r="N350" s="8"/>
      <c r="O350" s="7"/>
      <c r="P350" s="7"/>
      <c r="Q350" s="7"/>
      <c r="R350" s="7"/>
      <c r="S350" s="7"/>
      <c r="T350" s="7"/>
    </row>
    <row r="351" spans="1:20" s="2" customFormat="1" x14ac:dyDescent="0.25">
      <c r="A351" s="9"/>
      <c r="B351" s="9"/>
      <c r="C351" s="9"/>
      <c r="D351" s="9"/>
      <c r="E351" s="9"/>
      <c r="F351" s="9"/>
      <c r="G351" s="9"/>
      <c r="H351" s="9"/>
      <c r="I351" s="7"/>
      <c r="J351" s="8"/>
      <c r="K351" s="8"/>
      <c r="L351" s="8"/>
      <c r="M351" s="8"/>
      <c r="N351" s="8"/>
      <c r="O351" s="7"/>
      <c r="P351" s="7"/>
      <c r="Q351" s="7"/>
      <c r="R351" s="7"/>
      <c r="S351" s="7"/>
      <c r="T351" s="7"/>
    </row>
    <row r="352" spans="1:20" s="2" customFormat="1" x14ac:dyDescent="0.25">
      <c r="A352" s="9"/>
      <c r="B352" s="9"/>
      <c r="C352" s="9"/>
      <c r="D352" s="9"/>
      <c r="E352" s="9"/>
      <c r="F352" s="9"/>
      <c r="G352" s="9"/>
      <c r="H352" s="9"/>
      <c r="I352" s="7"/>
      <c r="J352" s="8"/>
      <c r="K352" s="8"/>
      <c r="L352" s="8"/>
      <c r="M352" s="8"/>
      <c r="N352" s="8"/>
      <c r="O352" s="7"/>
      <c r="P352" s="7"/>
      <c r="Q352" s="7"/>
      <c r="R352" s="7"/>
      <c r="S352" s="7"/>
      <c r="T352" s="7"/>
    </row>
    <row r="353" spans="1:20" s="2" customFormat="1" x14ac:dyDescent="0.25">
      <c r="A353" s="9"/>
      <c r="B353" s="9"/>
      <c r="C353" s="9"/>
      <c r="D353" s="9"/>
      <c r="E353" s="9"/>
      <c r="F353" s="9"/>
      <c r="G353" s="9"/>
      <c r="H353" s="9"/>
      <c r="I353" s="7"/>
      <c r="J353" s="8"/>
      <c r="K353" s="8"/>
      <c r="L353" s="8"/>
      <c r="M353" s="8"/>
      <c r="N353" s="8"/>
      <c r="O353" s="7"/>
      <c r="P353" s="7"/>
      <c r="Q353" s="7"/>
      <c r="R353" s="7"/>
      <c r="S353" s="7"/>
      <c r="T353" s="7"/>
    </row>
    <row r="354" spans="1:20" s="2" customFormat="1" x14ac:dyDescent="0.25">
      <c r="A354" s="9"/>
      <c r="B354" s="9"/>
      <c r="C354" s="9"/>
      <c r="D354" s="9"/>
      <c r="E354" s="9"/>
      <c r="F354" s="9"/>
      <c r="G354" s="9"/>
      <c r="H354" s="9"/>
      <c r="I354" s="7"/>
      <c r="J354" s="8"/>
      <c r="K354" s="8"/>
      <c r="L354" s="8"/>
      <c r="M354" s="8"/>
      <c r="N354" s="8"/>
      <c r="O354" s="7"/>
      <c r="P354" s="7"/>
      <c r="Q354" s="7"/>
      <c r="R354" s="7"/>
      <c r="S354" s="7"/>
      <c r="T354" s="7"/>
    </row>
    <row r="355" spans="1:20" s="2" customFormat="1" x14ac:dyDescent="0.25">
      <c r="A355" s="9"/>
      <c r="B355" s="9"/>
      <c r="C355" s="9"/>
      <c r="D355" s="9"/>
      <c r="E355" s="9"/>
      <c r="F355" s="9"/>
      <c r="G355" s="9"/>
      <c r="H355" s="9"/>
      <c r="I355" s="7"/>
      <c r="J355" s="8"/>
      <c r="K355" s="8"/>
      <c r="L355" s="8"/>
      <c r="M355" s="8"/>
      <c r="N355" s="8"/>
      <c r="O355" s="7"/>
      <c r="P355" s="7"/>
      <c r="Q355" s="7"/>
      <c r="R355" s="7"/>
      <c r="S355" s="7"/>
      <c r="T355" s="7"/>
    </row>
    <row r="356" spans="1:20" s="2" customFormat="1" x14ac:dyDescent="0.25">
      <c r="A356" s="9"/>
      <c r="B356" s="9"/>
      <c r="C356" s="9"/>
      <c r="D356" s="9"/>
      <c r="E356" s="9"/>
      <c r="F356" s="9"/>
      <c r="G356" s="9"/>
      <c r="H356" s="9"/>
      <c r="I356" s="7"/>
      <c r="J356" s="8"/>
      <c r="K356" s="8"/>
      <c r="L356" s="8"/>
      <c r="M356" s="8"/>
      <c r="N356" s="8"/>
      <c r="O356" s="7"/>
      <c r="P356" s="7"/>
      <c r="Q356" s="7"/>
      <c r="R356" s="7"/>
      <c r="S356" s="7"/>
      <c r="T356" s="7"/>
    </row>
    <row r="357" spans="1:20" s="2" customFormat="1" x14ac:dyDescent="0.25">
      <c r="A357" s="9"/>
      <c r="B357" s="9"/>
      <c r="C357" s="9"/>
      <c r="D357" s="9"/>
      <c r="E357" s="9"/>
      <c r="F357" s="9"/>
      <c r="G357" s="9"/>
      <c r="H357" s="9"/>
      <c r="I357" s="7"/>
      <c r="J357" s="8"/>
      <c r="K357" s="8"/>
      <c r="L357" s="8"/>
      <c r="M357" s="8"/>
      <c r="N357" s="8"/>
      <c r="O357" s="7"/>
      <c r="P357" s="7"/>
      <c r="Q357" s="7"/>
      <c r="R357" s="7"/>
      <c r="S357" s="7"/>
      <c r="T357" s="7"/>
    </row>
    <row r="358" spans="1:20" s="2" customFormat="1" x14ac:dyDescent="0.25">
      <c r="A358" s="9"/>
      <c r="B358" s="9"/>
      <c r="C358" s="9"/>
      <c r="D358" s="9"/>
      <c r="E358" s="9"/>
      <c r="F358" s="9"/>
      <c r="G358" s="9"/>
      <c r="H358" s="9"/>
      <c r="I358" s="7"/>
      <c r="J358" s="8"/>
      <c r="K358" s="8"/>
      <c r="L358" s="8"/>
      <c r="M358" s="8"/>
      <c r="N358" s="8"/>
      <c r="O358" s="7"/>
      <c r="P358" s="7"/>
      <c r="Q358" s="7"/>
      <c r="R358" s="7"/>
      <c r="S358" s="7"/>
      <c r="T358" s="7"/>
    </row>
    <row r="359" spans="1:20" s="2" customFormat="1" x14ac:dyDescent="0.25">
      <c r="A359" s="9"/>
      <c r="B359" s="9"/>
      <c r="C359" s="9"/>
      <c r="D359" s="9"/>
      <c r="E359" s="9"/>
      <c r="F359" s="9"/>
      <c r="G359" s="9"/>
      <c r="H359" s="9"/>
      <c r="I359" s="7"/>
      <c r="J359" s="8"/>
      <c r="K359" s="8"/>
      <c r="L359" s="8"/>
      <c r="M359" s="8"/>
      <c r="N359" s="8"/>
      <c r="O359" s="7"/>
      <c r="P359" s="7"/>
      <c r="Q359" s="7"/>
      <c r="R359" s="7"/>
      <c r="S359" s="7"/>
      <c r="T359" s="7"/>
    </row>
    <row r="360" spans="1:20" s="2" customFormat="1" x14ac:dyDescent="0.25">
      <c r="A360" s="9"/>
      <c r="B360" s="9"/>
      <c r="C360" s="9"/>
      <c r="D360" s="9"/>
      <c r="E360" s="9"/>
      <c r="F360" s="9"/>
      <c r="G360" s="9"/>
      <c r="H360" s="9"/>
      <c r="I360" s="7"/>
      <c r="J360" s="8"/>
      <c r="K360" s="8"/>
      <c r="L360" s="8"/>
      <c r="M360" s="8"/>
      <c r="N360" s="8"/>
      <c r="O360" s="7"/>
      <c r="P360" s="7"/>
      <c r="Q360" s="7"/>
      <c r="R360" s="7"/>
      <c r="S360" s="7"/>
      <c r="T360" s="7"/>
    </row>
    <row r="361" spans="1:20" s="2" customFormat="1" x14ac:dyDescent="0.25">
      <c r="A361" s="9"/>
      <c r="B361" s="9"/>
      <c r="C361" s="9"/>
      <c r="D361" s="9"/>
      <c r="E361" s="9"/>
      <c r="F361" s="9"/>
      <c r="G361" s="9"/>
      <c r="H361" s="9"/>
      <c r="I361" s="7"/>
      <c r="J361" s="8"/>
      <c r="K361" s="8"/>
      <c r="L361" s="8"/>
      <c r="M361" s="8"/>
      <c r="N361" s="8"/>
      <c r="O361" s="7"/>
      <c r="P361" s="7"/>
      <c r="Q361" s="7"/>
      <c r="R361" s="7"/>
      <c r="S361" s="7"/>
      <c r="T361" s="7"/>
    </row>
    <row r="362" spans="1:20" s="2" customFormat="1" x14ac:dyDescent="0.25">
      <c r="A362" s="9"/>
      <c r="B362" s="9"/>
      <c r="C362" s="9"/>
      <c r="D362" s="9"/>
      <c r="E362" s="9"/>
      <c r="F362" s="9"/>
      <c r="G362" s="9"/>
      <c r="H362" s="9"/>
      <c r="I362" s="7"/>
      <c r="J362" s="8"/>
      <c r="K362" s="8"/>
      <c r="L362" s="8"/>
      <c r="M362" s="8"/>
      <c r="N362" s="8"/>
      <c r="O362" s="7"/>
      <c r="P362" s="7"/>
      <c r="Q362" s="7"/>
      <c r="R362" s="7"/>
      <c r="S362" s="7"/>
      <c r="T362" s="7"/>
    </row>
    <row r="363" spans="1:20" s="2" customFormat="1" x14ac:dyDescent="0.25">
      <c r="A363" s="9"/>
      <c r="B363" s="9"/>
      <c r="C363" s="9"/>
      <c r="D363" s="9"/>
      <c r="E363" s="9"/>
      <c r="F363" s="9"/>
      <c r="G363" s="9"/>
      <c r="H363" s="9"/>
      <c r="I363" s="7"/>
      <c r="J363" s="8"/>
      <c r="K363" s="8"/>
      <c r="L363" s="8"/>
      <c r="M363" s="8"/>
      <c r="N363" s="8"/>
      <c r="O363" s="7"/>
      <c r="P363" s="7"/>
      <c r="Q363" s="7"/>
      <c r="R363" s="7"/>
      <c r="S363" s="7"/>
      <c r="T363" s="7"/>
    </row>
    <row r="364" spans="1:20" s="2" customFormat="1" x14ac:dyDescent="0.25">
      <c r="A364" s="9"/>
      <c r="B364" s="9"/>
      <c r="C364" s="9"/>
      <c r="D364" s="9"/>
      <c r="E364" s="9"/>
      <c r="F364" s="9"/>
      <c r="G364" s="9"/>
      <c r="H364" s="9"/>
      <c r="I364" s="7"/>
      <c r="J364" s="8"/>
      <c r="K364" s="8"/>
      <c r="L364" s="8"/>
      <c r="M364" s="8"/>
      <c r="N364" s="8"/>
      <c r="O364" s="7"/>
      <c r="P364" s="7"/>
      <c r="Q364" s="7"/>
      <c r="R364" s="7"/>
      <c r="S364" s="7"/>
      <c r="T364" s="7"/>
    </row>
    <row r="365" spans="1:20" s="2" customFormat="1" x14ac:dyDescent="0.25">
      <c r="A365" s="9"/>
      <c r="B365" s="9"/>
      <c r="C365" s="9"/>
      <c r="D365" s="9"/>
      <c r="E365" s="9"/>
      <c r="F365" s="9"/>
      <c r="G365" s="9"/>
      <c r="H365" s="9"/>
      <c r="I365" s="7"/>
      <c r="J365" s="8"/>
      <c r="K365" s="8"/>
      <c r="L365" s="8"/>
      <c r="M365" s="8"/>
      <c r="N365" s="8"/>
      <c r="O365" s="7"/>
      <c r="P365" s="7"/>
      <c r="Q365" s="7"/>
      <c r="R365" s="7"/>
      <c r="S365" s="7"/>
      <c r="T365" s="7"/>
    </row>
    <row r="366" spans="1:20" s="2" customFormat="1" x14ac:dyDescent="0.25">
      <c r="A366" s="9"/>
      <c r="B366" s="9"/>
      <c r="C366" s="9"/>
      <c r="D366" s="9"/>
      <c r="E366" s="9"/>
      <c r="F366" s="9"/>
      <c r="G366" s="9"/>
      <c r="H366" s="9"/>
      <c r="I366" s="7"/>
      <c r="J366" s="8"/>
      <c r="K366" s="8"/>
      <c r="L366" s="8"/>
      <c r="M366" s="8"/>
      <c r="N366" s="8"/>
      <c r="O366" s="7"/>
      <c r="P366" s="7"/>
      <c r="Q366" s="7"/>
      <c r="R366" s="7"/>
      <c r="S366" s="7"/>
      <c r="T366" s="7"/>
    </row>
    <row r="367" spans="1:20" s="2" customFormat="1" x14ac:dyDescent="0.25">
      <c r="A367" s="9"/>
      <c r="B367" s="9"/>
      <c r="C367" s="9"/>
      <c r="D367" s="9"/>
      <c r="E367" s="9"/>
      <c r="F367" s="9"/>
      <c r="G367" s="9"/>
      <c r="H367" s="9"/>
      <c r="I367" s="7"/>
      <c r="J367" s="8"/>
      <c r="K367" s="8"/>
      <c r="L367" s="8"/>
      <c r="M367" s="8"/>
      <c r="N367" s="8"/>
      <c r="O367" s="7"/>
      <c r="P367" s="7"/>
      <c r="Q367" s="7"/>
      <c r="R367" s="7"/>
      <c r="S367" s="7"/>
      <c r="T367" s="7"/>
    </row>
    <row r="368" spans="1:20" s="2" customFormat="1" x14ac:dyDescent="0.25">
      <c r="A368" s="9"/>
      <c r="B368" s="9"/>
      <c r="C368" s="9"/>
      <c r="D368" s="9"/>
      <c r="E368" s="9"/>
      <c r="F368" s="9"/>
      <c r="G368" s="9"/>
      <c r="H368" s="9"/>
      <c r="I368" s="7"/>
      <c r="J368" s="8"/>
      <c r="K368" s="8"/>
      <c r="L368" s="8"/>
      <c r="M368" s="8"/>
      <c r="N368" s="8"/>
      <c r="O368" s="7"/>
      <c r="P368" s="7"/>
      <c r="Q368" s="7"/>
      <c r="R368" s="7"/>
      <c r="S368" s="7"/>
      <c r="T368" s="7"/>
    </row>
    <row r="369" spans="1:20" s="2" customFormat="1" x14ac:dyDescent="0.25">
      <c r="A369" s="9"/>
      <c r="B369" s="9"/>
      <c r="C369" s="9"/>
      <c r="D369" s="9"/>
      <c r="E369" s="9"/>
      <c r="F369" s="9"/>
      <c r="G369" s="9"/>
      <c r="H369" s="9"/>
      <c r="I369" s="7"/>
      <c r="J369" s="8"/>
      <c r="K369" s="8"/>
      <c r="L369" s="8"/>
      <c r="M369" s="8"/>
      <c r="N369" s="8"/>
      <c r="O369" s="7"/>
      <c r="P369" s="7"/>
      <c r="Q369" s="7"/>
      <c r="R369" s="7"/>
      <c r="S369" s="7"/>
      <c r="T369" s="7"/>
    </row>
    <row r="370" spans="1:20" s="2" customFormat="1" x14ac:dyDescent="0.25">
      <c r="A370" s="9"/>
      <c r="B370" s="9"/>
      <c r="C370" s="9"/>
      <c r="D370" s="9"/>
      <c r="E370" s="9"/>
      <c r="F370" s="9"/>
      <c r="G370" s="9"/>
      <c r="H370" s="9"/>
      <c r="I370" s="7"/>
      <c r="J370" s="8"/>
      <c r="K370" s="8"/>
      <c r="L370" s="8"/>
      <c r="M370" s="8"/>
      <c r="N370" s="8"/>
      <c r="O370" s="7"/>
      <c r="P370" s="7"/>
      <c r="Q370" s="7"/>
      <c r="R370" s="7"/>
      <c r="S370" s="7"/>
      <c r="T370" s="7"/>
    </row>
    <row r="371" spans="1:20" s="2" customFormat="1" x14ac:dyDescent="0.25">
      <c r="A371" s="9"/>
      <c r="B371" s="9"/>
      <c r="C371" s="9"/>
      <c r="D371" s="9"/>
      <c r="E371" s="9"/>
      <c r="F371" s="9"/>
      <c r="G371" s="9"/>
      <c r="H371" s="9"/>
      <c r="I371" s="7"/>
      <c r="J371" s="8"/>
      <c r="K371" s="8"/>
      <c r="L371" s="8"/>
      <c r="M371" s="8"/>
      <c r="N371" s="8"/>
      <c r="O371" s="7"/>
      <c r="P371" s="7"/>
      <c r="Q371" s="7"/>
      <c r="R371" s="7"/>
      <c r="S371" s="7"/>
      <c r="T371" s="7"/>
    </row>
    <row r="372" spans="1:20" s="2" customFormat="1" x14ac:dyDescent="0.25">
      <c r="A372" s="9"/>
      <c r="B372" s="9"/>
      <c r="C372" s="9"/>
      <c r="D372" s="9"/>
      <c r="E372" s="9"/>
      <c r="F372" s="9"/>
      <c r="G372" s="9"/>
      <c r="H372" s="9"/>
      <c r="I372" s="7"/>
      <c r="J372" s="8"/>
      <c r="K372" s="8"/>
      <c r="L372" s="8"/>
      <c r="M372" s="8"/>
      <c r="N372" s="8"/>
      <c r="O372" s="7"/>
      <c r="P372" s="7"/>
      <c r="Q372" s="7"/>
      <c r="R372" s="7"/>
      <c r="S372" s="7"/>
      <c r="T372" s="7"/>
    </row>
    <row r="373" spans="1:20" s="2" customFormat="1" x14ac:dyDescent="0.25">
      <c r="A373" s="9"/>
      <c r="B373" s="9"/>
      <c r="C373" s="9"/>
      <c r="D373" s="9"/>
      <c r="E373" s="9"/>
      <c r="F373" s="9"/>
      <c r="G373" s="9"/>
      <c r="H373" s="9"/>
      <c r="I373" s="7"/>
      <c r="J373" s="8"/>
      <c r="K373" s="8"/>
      <c r="L373" s="8"/>
      <c r="M373" s="8"/>
      <c r="N373" s="8"/>
      <c r="O373" s="7"/>
      <c r="P373" s="7"/>
      <c r="Q373" s="7"/>
      <c r="R373" s="7"/>
      <c r="S373" s="7"/>
      <c r="T373" s="7"/>
    </row>
    <row r="374" spans="1:20" s="2" customFormat="1" x14ac:dyDescent="0.25">
      <c r="A374" s="9"/>
      <c r="B374" s="9"/>
      <c r="C374" s="9"/>
      <c r="D374" s="9"/>
      <c r="E374" s="9"/>
      <c r="F374" s="9"/>
      <c r="G374" s="9"/>
      <c r="H374" s="9"/>
      <c r="I374" s="7"/>
      <c r="J374" s="8"/>
      <c r="K374" s="8"/>
      <c r="L374" s="8"/>
      <c r="M374" s="8"/>
      <c r="N374" s="8"/>
      <c r="O374" s="7"/>
      <c r="P374" s="7"/>
      <c r="Q374" s="7"/>
      <c r="R374" s="7"/>
      <c r="S374" s="7"/>
      <c r="T374" s="7"/>
    </row>
    <row r="375" spans="1:20" s="2" customFormat="1" x14ac:dyDescent="0.25">
      <c r="A375" s="9"/>
      <c r="B375" s="9"/>
      <c r="C375" s="9"/>
      <c r="D375" s="9"/>
      <c r="E375" s="9"/>
      <c r="F375" s="9"/>
      <c r="G375" s="9"/>
      <c r="H375" s="9"/>
      <c r="I375" s="7"/>
      <c r="J375" s="8"/>
      <c r="K375" s="8"/>
      <c r="L375" s="8"/>
      <c r="M375" s="8"/>
      <c r="N375" s="8"/>
      <c r="O375" s="7"/>
      <c r="P375" s="7"/>
      <c r="Q375" s="7"/>
      <c r="R375" s="7"/>
      <c r="S375" s="7"/>
      <c r="T375" s="7"/>
    </row>
    <row r="376" spans="1:20" s="2" customFormat="1" x14ac:dyDescent="0.25">
      <c r="A376" s="9"/>
      <c r="B376" s="9"/>
      <c r="C376" s="9"/>
      <c r="D376" s="9"/>
      <c r="E376" s="9"/>
      <c r="F376" s="9"/>
      <c r="G376" s="9"/>
      <c r="H376" s="9"/>
      <c r="I376" s="7"/>
      <c r="J376" s="8"/>
      <c r="K376" s="8"/>
      <c r="L376" s="8"/>
      <c r="M376" s="8"/>
      <c r="N376" s="8"/>
      <c r="O376" s="7"/>
      <c r="P376" s="7"/>
      <c r="Q376" s="7"/>
      <c r="R376" s="7"/>
      <c r="S376" s="7"/>
      <c r="T376" s="7"/>
    </row>
    <row r="377" spans="1:20" s="2" customFormat="1" x14ac:dyDescent="0.25">
      <c r="A377" s="9"/>
      <c r="B377" s="9"/>
      <c r="C377" s="9"/>
      <c r="D377" s="9"/>
      <c r="E377" s="9"/>
      <c r="F377" s="9"/>
      <c r="G377" s="9"/>
      <c r="H377" s="9"/>
      <c r="I377" s="7"/>
      <c r="J377" s="8"/>
      <c r="K377" s="8"/>
      <c r="L377" s="8"/>
      <c r="M377" s="8"/>
      <c r="N377" s="8"/>
      <c r="O377" s="7"/>
      <c r="P377" s="7"/>
      <c r="Q377" s="7"/>
      <c r="R377" s="7"/>
      <c r="S377" s="7"/>
      <c r="T377" s="7"/>
    </row>
    <row r="378" spans="1:20" s="2" customFormat="1" x14ac:dyDescent="0.25">
      <c r="A378" s="9"/>
      <c r="B378" s="9"/>
      <c r="C378" s="9"/>
      <c r="D378" s="9"/>
      <c r="E378" s="9"/>
      <c r="F378" s="9"/>
      <c r="G378" s="9"/>
      <c r="H378" s="9"/>
      <c r="I378" s="7"/>
      <c r="J378" s="8"/>
      <c r="K378" s="8"/>
      <c r="L378" s="8"/>
      <c r="M378" s="8"/>
      <c r="N378" s="8"/>
      <c r="O378" s="7"/>
      <c r="P378" s="7"/>
      <c r="Q378" s="7"/>
      <c r="R378" s="7"/>
      <c r="S378" s="7"/>
      <c r="T378" s="7"/>
    </row>
    <row r="379" spans="1:20" s="2" customFormat="1" x14ac:dyDescent="0.25">
      <c r="A379" s="9"/>
      <c r="B379" s="9"/>
      <c r="C379" s="9"/>
      <c r="D379" s="9"/>
      <c r="E379" s="9"/>
      <c r="F379" s="9"/>
      <c r="G379" s="9"/>
      <c r="H379" s="9"/>
      <c r="I379" s="7"/>
      <c r="J379" s="8"/>
      <c r="K379" s="8"/>
      <c r="L379" s="8"/>
      <c r="M379" s="8"/>
      <c r="N379" s="8"/>
      <c r="O379" s="7"/>
      <c r="P379" s="7"/>
      <c r="Q379" s="7"/>
      <c r="R379" s="7"/>
      <c r="S379" s="7"/>
      <c r="T379" s="7"/>
    </row>
    <row r="380" spans="1:20" s="2" customFormat="1" x14ac:dyDescent="0.25">
      <c r="A380" s="9"/>
      <c r="B380" s="9"/>
      <c r="C380" s="9"/>
      <c r="D380" s="9"/>
      <c r="E380" s="9"/>
      <c r="F380" s="9"/>
      <c r="G380" s="9"/>
      <c r="H380" s="9"/>
      <c r="I380" s="7"/>
      <c r="J380" s="8"/>
      <c r="K380" s="8"/>
      <c r="L380" s="8"/>
      <c r="M380" s="8"/>
      <c r="N380" s="8"/>
      <c r="O380" s="7"/>
      <c r="P380" s="7"/>
      <c r="Q380" s="7"/>
      <c r="R380" s="7"/>
      <c r="S380" s="7"/>
      <c r="T380" s="7"/>
    </row>
    <row r="381" spans="1:20" s="2" customFormat="1" x14ac:dyDescent="0.25">
      <c r="A381" s="9"/>
      <c r="B381" s="9"/>
      <c r="C381" s="9"/>
      <c r="D381" s="9"/>
      <c r="E381" s="9"/>
      <c r="F381" s="9"/>
      <c r="G381" s="9"/>
      <c r="H381" s="9"/>
      <c r="I381" s="7"/>
      <c r="J381" s="8"/>
      <c r="K381" s="8"/>
      <c r="L381" s="8"/>
      <c r="M381" s="8"/>
      <c r="N381" s="8"/>
      <c r="O381" s="7"/>
      <c r="P381" s="7"/>
      <c r="Q381" s="7"/>
      <c r="R381" s="7"/>
      <c r="S381" s="7"/>
      <c r="T381" s="7"/>
    </row>
    <row r="382" spans="1:20" s="2" customFormat="1" x14ac:dyDescent="0.25">
      <c r="A382" s="9"/>
      <c r="B382" s="9"/>
      <c r="C382" s="9"/>
      <c r="D382" s="9"/>
      <c r="E382" s="9"/>
      <c r="F382" s="9"/>
      <c r="G382" s="9"/>
      <c r="H382" s="9"/>
      <c r="I382" s="7"/>
      <c r="J382" s="8"/>
      <c r="K382" s="8"/>
      <c r="L382" s="8"/>
      <c r="M382" s="8"/>
      <c r="N382" s="8"/>
      <c r="O382" s="7"/>
      <c r="P382" s="7"/>
      <c r="Q382" s="7"/>
      <c r="R382" s="7"/>
      <c r="S382" s="7"/>
      <c r="T382" s="7"/>
    </row>
    <row r="383" spans="1:20" s="2" customFormat="1" x14ac:dyDescent="0.25">
      <c r="A383" s="9"/>
      <c r="B383" s="9"/>
      <c r="C383" s="9"/>
      <c r="D383" s="9"/>
      <c r="E383" s="9"/>
      <c r="F383" s="9"/>
      <c r="G383" s="9"/>
      <c r="H383" s="9"/>
      <c r="I383" s="7"/>
      <c r="J383" s="8"/>
      <c r="K383" s="8"/>
      <c r="L383" s="8"/>
      <c r="M383" s="8"/>
      <c r="N383" s="8"/>
      <c r="O383" s="7"/>
      <c r="P383" s="7"/>
      <c r="Q383" s="7"/>
      <c r="R383" s="7"/>
      <c r="S383" s="7"/>
      <c r="T383" s="7"/>
    </row>
    <row r="384" spans="1:20" s="2" customFormat="1" x14ac:dyDescent="0.25">
      <c r="A384" s="9"/>
      <c r="B384" s="9"/>
      <c r="C384" s="9"/>
      <c r="D384" s="9"/>
      <c r="E384" s="9"/>
      <c r="F384" s="9"/>
      <c r="G384" s="9"/>
      <c r="H384" s="9"/>
      <c r="I384" s="7"/>
      <c r="J384" s="8"/>
      <c r="K384" s="8"/>
      <c r="L384" s="8"/>
      <c r="M384" s="8"/>
      <c r="N384" s="8"/>
      <c r="O384" s="7"/>
      <c r="P384" s="7"/>
      <c r="Q384" s="7"/>
      <c r="R384" s="7"/>
      <c r="S384" s="7"/>
      <c r="T384" s="7"/>
    </row>
    <row r="385" spans="1:20" s="2" customFormat="1" x14ac:dyDescent="0.25">
      <c r="A385" s="9"/>
      <c r="B385" s="9"/>
      <c r="C385" s="9"/>
      <c r="D385" s="9"/>
      <c r="E385" s="9"/>
      <c r="F385" s="9"/>
      <c r="G385" s="9"/>
      <c r="H385" s="9"/>
      <c r="I385" s="7"/>
      <c r="J385" s="8"/>
      <c r="K385" s="8"/>
      <c r="L385" s="8"/>
      <c r="M385" s="8"/>
      <c r="N385" s="8"/>
      <c r="O385" s="7"/>
      <c r="P385" s="7"/>
      <c r="Q385" s="7"/>
      <c r="R385" s="7"/>
      <c r="S385" s="7"/>
      <c r="T385" s="7"/>
    </row>
    <row r="386" spans="1:20" s="2" customFormat="1" x14ac:dyDescent="0.25">
      <c r="A386" s="9"/>
      <c r="B386" s="9"/>
      <c r="C386" s="9"/>
      <c r="D386" s="9"/>
      <c r="E386" s="9"/>
      <c r="F386" s="9"/>
      <c r="G386" s="9"/>
      <c r="H386" s="9"/>
      <c r="I386" s="7"/>
      <c r="J386" s="8"/>
      <c r="K386" s="8"/>
      <c r="L386" s="8"/>
      <c r="M386" s="8"/>
      <c r="N386" s="8"/>
      <c r="O386" s="7"/>
      <c r="P386" s="7"/>
      <c r="Q386" s="7"/>
      <c r="R386" s="7"/>
      <c r="S386" s="7"/>
      <c r="T386" s="7"/>
    </row>
    <row r="387" spans="1:20" s="2" customFormat="1" x14ac:dyDescent="0.25">
      <c r="A387" s="9"/>
      <c r="B387" s="9"/>
      <c r="C387" s="9"/>
      <c r="D387" s="9"/>
      <c r="E387" s="9"/>
      <c r="F387" s="9"/>
      <c r="G387" s="9"/>
      <c r="H387" s="9"/>
      <c r="I387" s="7"/>
      <c r="J387" s="8"/>
      <c r="K387" s="8"/>
      <c r="L387" s="8"/>
      <c r="M387" s="8"/>
      <c r="N387" s="8"/>
      <c r="O387" s="7"/>
      <c r="P387" s="7"/>
      <c r="Q387" s="7"/>
      <c r="R387" s="7"/>
      <c r="S387" s="7"/>
      <c r="T387" s="7"/>
    </row>
    <row r="388" spans="1:20" s="2" customFormat="1" x14ac:dyDescent="0.25">
      <c r="A388" s="9"/>
      <c r="B388" s="9"/>
      <c r="C388" s="9"/>
      <c r="D388" s="9"/>
      <c r="E388" s="9"/>
      <c r="F388" s="9"/>
      <c r="G388" s="9"/>
      <c r="H388" s="9"/>
      <c r="I388" s="7"/>
      <c r="J388" s="8"/>
      <c r="K388" s="8"/>
      <c r="L388" s="8"/>
      <c r="M388" s="8"/>
      <c r="N388" s="8"/>
      <c r="O388" s="7"/>
      <c r="P388" s="7"/>
      <c r="Q388" s="7"/>
      <c r="R388" s="7"/>
      <c r="S388" s="7"/>
      <c r="T388" s="7"/>
    </row>
    <row r="389" spans="1:20" s="2" customFormat="1" x14ac:dyDescent="0.25">
      <c r="A389" s="9"/>
      <c r="B389" s="9"/>
      <c r="C389" s="9"/>
      <c r="D389" s="9"/>
      <c r="E389" s="9"/>
      <c r="F389" s="9"/>
      <c r="G389" s="9"/>
      <c r="H389" s="9"/>
      <c r="I389" s="7"/>
      <c r="J389" s="8"/>
      <c r="K389" s="8"/>
      <c r="L389" s="8"/>
      <c r="M389" s="8"/>
      <c r="N389" s="8"/>
      <c r="O389" s="7"/>
      <c r="P389" s="7"/>
      <c r="Q389" s="7"/>
      <c r="R389" s="7"/>
      <c r="S389" s="7"/>
      <c r="T389" s="7"/>
    </row>
    <row r="390" spans="1:20" s="2" customFormat="1" x14ac:dyDescent="0.25">
      <c r="A390" s="9"/>
      <c r="B390" s="9"/>
      <c r="C390" s="9"/>
      <c r="D390" s="9"/>
      <c r="E390" s="9"/>
      <c r="F390" s="9"/>
      <c r="G390" s="9"/>
      <c r="H390" s="9"/>
      <c r="I390" s="7"/>
      <c r="J390" s="8"/>
      <c r="K390" s="8"/>
      <c r="L390" s="8"/>
      <c r="M390" s="8"/>
      <c r="N390" s="8"/>
      <c r="O390" s="7"/>
      <c r="P390" s="7"/>
      <c r="Q390" s="7"/>
      <c r="R390" s="7"/>
      <c r="S390" s="7"/>
      <c r="T390" s="7"/>
    </row>
    <row r="391" spans="1:20" s="2" customFormat="1" x14ac:dyDescent="0.25">
      <c r="A391" s="9"/>
      <c r="B391" s="9"/>
      <c r="C391" s="9"/>
      <c r="D391" s="9"/>
      <c r="E391" s="9"/>
      <c r="F391" s="9"/>
      <c r="G391" s="9"/>
      <c r="H391" s="9"/>
      <c r="I391" s="7"/>
      <c r="J391" s="8"/>
      <c r="K391" s="8"/>
      <c r="L391" s="8"/>
      <c r="M391" s="8"/>
      <c r="N391" s="8"/>
      <c r="O391" s="7"/>
      <c r="P391" s="7"/>
      <c r="Q391" s="7"/>
      <c r="R391" s="7"/>
      <c r="S391" s="7"/>
      <c r="T391" s="7"/>
    </row>
    <row r="392" spans="1:20" s="2" customFormat="1" x14ac:dyDescent="0.25">
      <c r="A392" s="9"/>
      <c r="B392" s="9"/>
      <c r="C392" s="9"/>
      <c r="D392" s="9"/>
      <c r="E392" s="9"/>
      <c r="F392" s="9"/>
      <c r="G392" s="9"/>
      <c r="H392" s="9"/>
      <c r="I392" s="7"/>
      <c r="J392" s="8"/>
      <c r="K392" s="8"/>
      <c r="L392" s="8"/>
      <c r="M392" s="8"/>
      <c r="N392" s="8"/>
      <c r="O392" s="7"/>
      <c r="P392" s="7"/>
      <c r="Q392" s="7"/>
      <c r="R392" s="7"/>
      <c r="S392" s="7"/>
      <c r="T392" s="7"/>
    </row>
    <row r="393" spans="1:20" s="2" customFormat="1" x14ac:dyDescent="0.25">
      <c r="A393" s="9"/>
      <c r="B393" s="9"/>
      <c r="C393" s="9"/>
      <c r="D393" s="9"/>
      <c r="E393" s="9"/>
      <c r="F393" s="9"/>
      <c r="G393" s="9"/>
      <c r="H393" s="9"/>
      <c r="I393" s="7"/>
      <c r="J393" s="8"/>
      <c r="K393" s="8"/>
      <c r="L393" s="8"/>
      <c r="M393" s="8"/>
      <c r="N393" s="8"/>
      <c r="O393" s="7"/>
      <c r="P393" s="7"/>
      <c r="Q393" s="7"/>
      <c r="R393" s="7"/>
      <c r="S393" s="7"/>
      <c r="T393" s="7"/>
    </row>
    <row r="394" spans="1:20" s="2" customFormat="1" x14ac:dyDescent="0.25">
      <c r="A394" s="9"/>
      <c r="B394" s="9"/>
      <c r="C394" s="9"/>
      <c r="D394" s="9"/>
      <c r="E394" s="9"/>
      <c r="F394" s="9"/>
      <c r="G394" s="9"/>
      <c r="H394" s="9"/>
      <c r="I394" s="7"/>
      <c r="J394" s="8"/>
      <c r="K394" s="8"/>
      <c r="L394" s="8"/>
      <c r="M394" s="8"/>
      <c r="N394" s="8"/>
      <c r="O394" s="7"/>
      <c r="P394" s="7"/>
      <c r="Q394" s="7"/>
      <c r="R394" s="7"/>
      <c r="S394" s="7"/>
      <c r="T394" s="7"/>
    </row>
    <row r="395" spans="1:20" s="2" customFormat="1" x14ac:dyDescent="0.25">
      <c r="A395" s="9"/>
      <c r="B395" s="9"/>
      <c r="C395" s="9"/>
      <c r="D395" s="9"/>
      <c r="E395" s="9"/>
      <c r="F395" s="9"/>
      <c r="G395" s="9"/>
      <c r="H395" s="9"/>
      <c r="I395" s="7"/>
      <c r="J395" s="8"/>
      <c r="K395" s="8"/>
      <c r="L395" s="8"/>
      <c r="M395" s="8"/>
      <c r="N395" s="8"/>
      <c r="O395" s="7"/>
      <c r="P395" s="7"/>
      <c r="Q395" s="7"/>
      <c r="R395" s="7"/>
      <c r="S395" s="7"/>
      <c r="T395" s="7"/>
    </row>
    <row r="396" spans="1:20" s="2" customFormat="1" x14ac:dyDescent="0.25">
      <c r="A396" s="9"/>
      <c r="B396" s="9"/>
      <c r="C396" s="9"/>
      <c r="D396" s="9"/>
      <c r="E396" s="9"/>
      <c r="F396" s="9"/>
      <c r="G396" s="9"/>
      <c r="H396" s="9"/>
      <c r="I396" s="7"/>
      <c r="J396" s="8"/>
      <c r="K396" s="8"/>
      <c r="L396" s="8"/>
      <c r="M396" s="8"/>
      <c r="N396" s="8"/>
      <c r="O396" s="7"/>
      <c r="P396" s="7"/>
      <c r="Q396" s="7"/>
      <c r="R396" s="7"/>
      <c r="S396" s="7"/>
      <c r="T396" s="7"/>
    </row>
    <row r="397" spans="1:20" s="2" customFormat="1" x14ac:dyDescent="0.25">
      <c r="A397" s="9"/>
      <c r="B397" s="9"/>
      <c r="C397" s="9"/>
      <c r="D397" s="9"/>
      <c r="E397" s="9"/>
      <c r="F397" s="9"/>
      <c r="G397" s="9"/>
      <c r="H397" s="9"/>
      <c r="I397" s="7"/>
      <c r="J397" s="8"/>
      <c r="K397" s="8"/>
      <c r="L397" s="8"/>
      <c r="M397" s="8"/>
      <c r="N397" s="8"/>
      <c r="O397" s="7"/>
      <c r="P397" s="7"/>
      <c r="Q397" s="7"/>
      <c r="R397" s="7"/>
      <c r="S397" s="7"/>
      <c r="T397" s="7"/>
    </row>
    <row r="398" spans="1:20" s="2" customFormat="1" x14ac:dyDescent="0.25">
      <c r="A398" s="9"/>
      <c r="B398" s="9"/>
      <c r="C398" s="9"/>
      <c r="D398" s="9"/>
      <c r="E398" s="9"/>
      <c r="F398" s="9"/>
      <c r="G398" s="9"/>
      <c r="H398" s="9"/>
      <c r="I398" s="7"/>
      <c r="J398" s="8"/>
      <c r="K398" s="8"/>
      <c r="L398" s="8"/>
      <c r="M398" s="8"/>
      <c r="N398" s="8"/>
      <c r="O398" s="7"/>
      <c r="P398" s="7"/>
      <c r="Q398" s="7"/>
      <c r="R398" s="7"/>
      <c r="S398" s="7"/>
      <c r="T398" s="7"/>
    </row>
    <row r="399" spans="1:20" s="2" customFormat="1" x14ac:dyDescent="0.25">
      <c r="A399" s="9"/>
      <c r="B399" s="9"/>
      <c r="C399" s="9"/>
      <c r="D399" s="9"/>
      <c r="E399" s="9"/>
      <c r="F399" s="9"/>
      <c r="G399" s="9"/>
      <c r="H399" s="9"/>
      <c r="I399" s="7"/>
      <c r="J399" s="8"/>
      <c r="K399" s="8"/>
      <c r="L399" s="8"/>
      <c r="M399" s="8"/>
      <c r="N399" s="8"/>
      <c r="O399" s="7"/>
      <c r="P399" s="7"/>
      <c r="Q399" s="7"/>
      <c r="R399" s="7"/>
      <c r="S399" s="7"/>
      <c r="T399" s="7"/>
    </row>
    <row r="400" spans="1:20" s="2" customFormat="1" x14ac:dyDescent="0.25">
      <c r="A400" s="9"/>
      <c r="B400" s="9"/>
      <c r="C400" s="9"/>
      <c r="D400" s="9"/>
      <c r="E400" s="9"/>
      <c r="F400" s="9"/>
      <c r="G400" s="9"/>
      <c r="H400" s="9"/>
      <c r="I400" s="7"/>
      <c r="J400" s="8"/>
      <c r="K400" s="8"/>
      <c r="L400" s="8"/>
      <c r="M400" s="8"/>
      <c r="N400" s="8"/>
      <c r="O400" s="7"/>
      <c r="P400" s="7"/>
      <c r="Q400" s="7"/>
      <c r="R400" s="7"/>
      <c r="S400" s="7"/>
      <c r="T400" s="7"/>
    </row>
    <row r="401" spans="1:20" s="2" customFormat="1" x14ac:dyDescent="0.25">
      <c r="A401" s="9"/>
      <c r="B401" s="9"/>
      <c r="C401" s="9"/>
      <c r="D401" s="9"/>
      <c r="E401" s="9"/>
      <c r="F401" s="9"/>
      <c r="G401" s="9"/>
      <c r="H401" s="9"/>
      <c r="I401" s="7"/>
      <c r="J401" s="8"/>
      <c r="K401" s="8"/>
      <c r="L401" s="8"/>
      <c r="M401" s="8"/>
      <c r="N401" s="8"/>
      <c r="O401" s="7"/>
      <c r="P401" s="7"/>
      <c r="Q401" s="7"/>
      <c r="R401" s="7"/>
      <c r="S401" s="7"/>
      <c r="T401" s="7"/>
    </row>
    <row r="402" spans="1:20" s="2" customFormat="1" x14ac:dyDescent="0.25">
      <c r="A402" s="9"/>
      <c r="B402" s="9"/>
      <c r="C402" s="9"/>
      <c r="D402" s="9"/>
      <c r="E402" s="9"/>
      <c r="F402" s="9"/>
      <c r="G402" s="9"/>
      <c r="H402" s="9"/>
      <c r="I402" s="7"/>
      <c r="J402" s="8"/>
      <c r="K402" s="8"/>
      <c r="L402" s="8"/>
      <c r="M402" s="8"/>
      <c r="N402" s="8"/>
      <c r="O402" s="7"/>
      <c r="P402" s="7"/>
      <c r="Q402" s="7"/>
      <c r="R402" s="7"/>
      <c r="S402" s="7"/>
      <c r="T402" s="7"/>
    </row>
    <row r="403" spans="1:20" s="2" customFormat="1" x14ac:dyDescent="0.25">
      <c r="A403" s="9"/>
      <c r="B403" s="9"/>
      <c r="C403" s="9"/>
      <c r="D403" s="9"/>
      <c r="E403" s="9"/>
      <c r="F403" s="9"/>
      <c r="G403" s="9"/>
      <c r="H403" s="9"/>
      <c r="I403" s="7"/>
      <c r="J403" s="8"/>
      <c r="K403" s="8"/>
      <c r="L403" s="8"/>
      <c r="M403" s="8"/>
      <c r="N403" s="8"/>
      <c r="O403" s="7"/>
      <c r="P403" s="7"/>
      <c r="Q403" s="7"/>
      <c r="R403" s="7"/>
      <c r="S403" s="7"/>
      <c r="T403" s="7"/>
    </row>
    <row r="404" spans="1:20" s="2" customFormat="1" x14ac:dyDescent="0.25">
      <c r="A404" s="9"/>
      <c r="B404" s="9"/>
      <c r="C404" s="9"/>
      <c r="D404" s="9"/>
      <c r="E404" s="9"/>
      <c r="F404" s="9"/>
      <c r="G404" s="9"/>
      <c r="H404" s="9"/>
      <c r="I404" s="7"/>
      <c r="J404" s="8"/>
      <c r="K404" s="8"/>
      <c r="L404" s="8"/>
      <c r="M404" s="8"/>
      <c r="N404" s="8"/>
      <c r="O404" s="7"/>
      <c r="P404" s="7"/>
      <c r="Q404" s="7"/>
      <c r="R404" s="7"/>
      <c r="S404" s="7"/>
      <c r="T404" s="7"/>
    </row>
    <row r="405" spans="1:20" s="2" customFormat="1" x14ac:dyDescent="0.25">
      <c r="A405" s="9"/>
      <c r="B405" s="9"/>
      <c r="C405" s="9"/>
      <c r="D405" s="9"/>
      <c r="E405" s="9"/>
      <c r="F405" s="9"/>
      <c r="G405" s="9"/>
      <c r="H405" s="9"/>
      <c r="I405" s="7"/>
      <c r="J405" s="8"/>
      <c r="K405" s="8"/>
      <c r="L405" s="8"/>
      <c r="M405" s="8"/>
      <c r="N405" s="8"/>
      <c r="O405" s="7"/>
      <c r="P405" s="7"/>
      <c r="Q405" s="7"/>
      <c r="R405" s="7"/>
      <c r="S405" s="7"/>
      <c r="T405" s="7"/>
    </row>
    <row r="406" spans="1:20" s="2" customFormat="1" x14ac:dyDescent="0.25">
      <c r="A406" s="9"/>
      <c r="B406" s="9"/>
      <c r="C406" s="9"/>
      <c r="D406" s="9"/>
      <c r="E406" s="9"/>
      <c r="F406" s="9"/>
      <c r="G406" s="9"/>
      <c r="H406" s="9"/>
      <c r="I406" s="7"/>
      <c r="J406" s="8"/>
      <c r="K406" s="8"/>
      <c r="L406" s="8"/>
      <c r="M406" s="8"/>
      <c r="N406" s="8"/>
      <c r="O406" s="7"/>
      <c r="P406" s="7"/>
      <c r="Q406" s="7"/>
      <c r="R406" s="7"/>
      <c r="S406" s="7"/>
      <c r="T406" s="7"/>
    </row>
    <row r="407" spans="1:20" s="2" customFormat="1" x14ac:dyDescent="0.25">
      <c r="A407" s="9"/>
      <c r="B407" s="9"/>
      <c r="C407" s="9"/>
      <c r="D407" s="9"/>
      <c r="E407" s="9"/>
      <c r="F407" s="9"/>
      <c r="G407" s="9"/>
      <c r="H407" s="9"/>
      <c r="I407" s="7"/>
      <c r="J407" s="8"/>
      <c r="K407" s="8"/>
      <c r="L407" s="8"/>
      <c r="M407" s="8"/>
      <c r="N407" s="8"/>
      <c r="O407" s="7"/>
      <c r="P407" s="7"/>
      <c r="Q407" s="7"/>
      <c r="R407" s="7"/>
      <c r="S407" s="7"/>
      <c r="T407" s="7"/>
    </row>
    <row r="408" spans="1:20" s="2" customFormat="1" x14ac:dyDescent="0.25">
      <c r="A408" s="9"/>
      <c r="B408" s="9"/>
      <c r="C408" s="9"/>
      <c r="D408" s="9"/>
      <c r="E408" s="9"/>
      <c r="F408" s="9"/>
      <c r="G408" s="9"/>
      <c r="H408" s="9"/>
      <c r="I408" s="7"/>
      <c r="J408" s="8"/>
      <c r="K408" s="8"/>
      <c r="L408" s="8"/>
      <c r="M408" s="8"/>
      <c r="N408" s="8"/>
      <c r="O408" s="7"/>
      <c r="P408" s="7"/>
      <c r="Q408" s="7"/>
      <c r="R408" s="7"/>
      <c r="S408" s="7"/>
      <c r="T408" s="7"/>
    </row>
    <row r="409" spans="1:20" s="2" customFormat="1" x14ac:dyDescent="0.25">
      <c r="A409" s="9"/>
      <c r="B409" s="9"/>
      <c r="C409" s="9"/>
      <c r="D409" s="9"/>
      <c r="E409" s="9"/>
      <c r="F409" s="9"/>
      <c r="G409" s="9"/>
      <c r="H409" s="9"/>
      <c r="I409" s="7"/>
      <c r="J409" s="8"/>
      <c r="K409" s="8"/>
      <c r="L409" s="8"/>
      <c r="M409" s="8"/>
      <c r="N409" s="8"/>
      <c r="O409" s="7"/>
      <c r="P409" s="7"/>
      <c r="Q409" s="7"/>
      <c r="R409" s="7"/>
      <c r="S409" s="7"/>
      <c r="T409" s="7"/>
    </row>
    <row r="410" spans="1:20" s="2" customFormat="1" x14ac:dyDescent="0.25">
      <c r="A410" s="9"/>
      <c r="B410" s="9"/>
      <c r="C410" s="9"/>
      <c r="D410" s="9"/>
      <c r="E410" s="9"/>
      <c r="F410" s="9"/>
      <c r="G410" s="9"/>
      <c r="H410" s="9"/>
      <c r="I410" s="7"/>
      <c r="J410" s="8"/>
      <c r="K410" s="8"/>
      <c r="L410" s="8"/>
      <c r="M410" s="8"/>
      <c r="N410" s="8"/>
      <c r="O410" s="7"/>
      <c r="P410" s="7"/>
      <c r="Q410" s="7"/>
      <c r="R410" s="7"/>
      <c r="S410" s="7"/>
      <c r="T410" s="7"/>
    </row>
    <row r="411" spans="1:20" s="2" customFormat="1" x14ac:dyDescent="0.25">
      <c r="A411" s="9"/>
      <c r="B411" s="9"/>
      <c r="C411" s="9"/>
      <c r="D411" s="9"/>
      <c r="E411" s="9"/>
      <c r="F411" s="9"/>
      <c r="G411" s="9"/>
      <c r="H411" s="9"/>
      <c r="I411" s="7"/>
      <c r="J411" s="8"/>
      <c r="K411" s="8"/>
      <c r="L411" s="8"/>
      <c r="M411" s="8"/>
      <c r="N411" s="8"/>
      <c r="O411" s="7"/>
      <c r="P411" s="7"/>
      <c r="Q411" s="7"/>
      <c r="R411" s="7"/>
      <c r="S411" s="7"/>
      <c r="T411" s="7"/>
    </row>
    <row r="412" spans="1:20" s="2" customFormat="1" x14ac:dyDescent="0.25">
      <c r="A412" s="9"/>
      <c r="B412" s="9"/>
      <c r="C412" s="9"/>
      <c r="D412" s="9"/>
      <c r="E412" s="9"/>
      <c r="F412" s="9"/>
      <c r="G412" s="9"/>
      <c r="H412" s="9"/>
      <c r="I412" s="7"/>
      <c r="J412" s="8"/>
      <c r="K412" s="8"/>
      <c r="L412" s="8"/>
      <c r="M412" s="8"/>
      <c r="N412" s="8"/>
      <c r="O412" s="7"/>
      <c r="P412" s="7"/>
      <c r="Q412" s="7"/>
      <c r="R412" s="7"/>
      <c r="S412" s="7"/>
      <c r="T412" s="7"/>
    </row>
    <row r="413" spans="1:20" s="2" customFormat="1" x14ac:dyDescent="0.25">
      <c r="A413" s="9"/>
      <c r="B413" s="9"/>
      <c r="C413" s="9"/>
      <c r="D413" s="9"/>
      <c r="E413" s="9"/>
      <c r="F413" s="9"/>
      <c r="G413" s="9"/>
      <c r="H413" s="9"/>
      <c r="I413" s="7"/>
      <c r="J413" s="8"/>
      <c r="K413" s="8"/>
      <c r="L413" s="8"/>
      <c r="M413" s="8"/>
      <c r="N413" s="8"/>
      <c r="O413" s="7"/>
      <c r="P413" s="7"/>
      <c r="Q413" s="7"/>
      <c r="R413" s="7"/>
      <c r="S413" s="7"/>
      <c r="T413" s="7"/>
    </row>
    <row r="414" spans="1:20" s="2" customFormat="1" x14ac:dyDescent="0.25">
      <c r="A414" s="9"/>
      <c r="B414" s="9"/>
      <c r="C414" s="9"/>
      <c r="D414" s="9"/>
      <c r="E414" s="9"/>
      <c r="F414" s="9"/>
      <c r="G414" s="9"/>
      <c r="H414" s="9"/>
      <c r="I414" s="7"/>
      <c r="J414" s="8"/>
      <c r="K414" s="8"/>
      <c r="L414" s="8"/>
      <c r="M414" s="8"/>
      <c r="N414" s="8"/>
      <c r="O414" s="7"/>
      <c r="P414" s="7"/>
      <c r="Q414" s="7"/>
      <c r="R414" s="7"/>
      <c r="S414" s="7"/>
      <c r="T414" s="7"/>
    </row>
    <row r="415" spans="1:20" s="2" customFormat="1" x14ac:dyDescent="0.25">
      <c r="A415" s="9"/>
      <c r="B415" s="9"/>
      <c r="C415" s="9"/>
      <c r="D415" s="9"/>
      <c r="E415" s="9"/>
      <c r="F415" s="9"/>
      <c r="G415" s="9"/>
      <c r="H415" s="9"/>
      <c r="I415" s="7"/>
      <c r="J415" s="8"/>
      <c r="K415" s="8"/>
      <c r="L415" s="8"/>
      <c r="M415" s="8"/>
      <c r="N415" s="8"/>
      <c r="O415" s="7"/>
      <c r="P415" s="7"/>
      <c r="Q415" s="7"/>
      <c r="R415" s="7"/>
      <c r="S415" s="7"/>
      <c r="T415" s="7"/>
    </row>
    <row r="416" spans="1:20" s="2" customFormat="1" x14ac:dyDescent="0.25">
      <c r="A416" s="9"/>
      <c r="B416" s="9"/>
      <c r="C416" s="9"/>
      <c r="D416" s="9"/>
      <c r="E416" s="9"/>
      <c r="F416" s="9"/>
      <c r="G416" s="9"/>
      <c r="H416" s="9"/>
      <c r="I416" s="7"/>
      <c r="J416" s="8"/>
      <c r="K416" s="8"/>
      <c r="L416" s="8"/>
      <c r="M416" s="8"/>
      <c r="N416" s="8"/>
      <c r="O416" s="7"/>
      <c r="P416" s="7"/>
      <c r="Q416" s="7"/>
      <c r="R416" s="7"/>
      <c r="S416" s="7"/>
      <c r="T416" s="7"/>
    </row>
    <row r="417" spans="1:20" s="2" customFormat="1" x14ac:dyDescent="0.25">
      <c r="A417" s="9"/>
      <c r="B417" s="9"/>
      <c r="C417" s="9"/>
      <c r="D417" s="9"/>
      <c r="E417" s="9"/>
      <c r="F417" s="9"/>
      <c r="G417" s="9"/>
      <c r="H417" s="9"/>
      <c r="I417" s="7"/>
      <c r="J417" s="8"/>
      <c r="K417" s="8"/>
      <c r="L417" s="8"/>
      <c r="M417" s="8"/>
      <c r="N417" s="8"/>
      <c r="O417" s="7"/>
      <c r="P417" s="7"/>
      <c r="Q417" s="7"/>
      <c r="R417" s="7"/>
      <c r="S417" s="7"/>
      <c r="T417" s="7"/>
    </row>
    <row r="418" spans="1:20" s="2" customFormat="1" x14ac:dyDescent="0.25">
      <c r="A418" s="9"/>
      <c r="B418" s="9"/>
      <c r="C418" s="9"/>
      <c r="D418" s="9"/>
      <c r="E418" s="9"/>
      <c r="F418" s="9"/>
      <c r="G418" s="9"/>
      <c r="H418" s="9"/>
      <c r="I418" s="7"/>
      <c r="J418" s="8"/>
      <c r="K418" s="8"/>
      <c r="L418" s="8"/>
      <c r="M418" s="8"/>
      <c r="N418" s="8"/>
      <c r="O418" s="7"/>
      <c r="P418" s="7"/>
      <c r="Q418" s="7"/>
      <c r="R418" s="7"/>
      <c r="S418" s="7"/>
      <c r="T418" s="7"/>
    </row>
    <row r="419" spans="1:20" s="2" customFormat="1" x14ac:dyDescent="0.25">
      <c r="A419" s="9"/>
      <c r="B419" s="9"/>
      <c r="C419" s="9"/>
      <c r="D419" s="9"/>
      <c r="E419" s="9"/>
      <c r="F419" s="9"/>
      <c r="G419" s="9"/>
      <c r="H419" s="9"/>
      <c r="I419" s="7"/>
      <c r="J419" s="8"/>
      <c r="K419" s="8"/>
      <c r="L419" s="8"/>
      <c r="M419" s="8"/>
      <c r="N419" s="8"/>
      <c r="O419" s="7"/>
      <c r="P419" s="7"/>
      <c r="Q419" s="7"/>
      <c r="R419" s="7"/>
      <c r="S419" s="7"/>
      <c r="T419" s="7"/>
    </row>
    <row r="420" spans="1:20" s="2" customFormat="1" x14ac:dyDescent="0.25">
      <c r="A420" s="9"/>
      <c r="B420" s="9"/>
      <c r="C420" s="9"/>
      <c r="D420" s="9"/>
      <c r="E420" s="9"/>
      <c r="F420" s="9"/>
      <c r="G420" s="9"/>
      <c r="H420" s="9"/>
      <c r="I420" s="7"/>
      <c r="J420" s="8"/>
      <c r="K420" s="8"/>
      <c r="L420" s="8"/>
      <c r="M420" s="8"/>
      <c r="N420" s="8"/>
      <c r="O420" s="7"/>
      <c r="P420" s="7"/>
      <c r="Q420" s="7"/>
      <c r="R420" s="7"/>
      <c r="S420" s="7"/>
      <c r="T420" s="7"/>
    </row>
    <row r="421" spans="1:20" s="2" customFormat="1" x14ac:dyDescent="0.25">
      <c r="A421" s="9"/>
      <c r="B421" s="9"/>
      <c r="C421" s="9"/>
      <c r="D421" s="9"/>
      <c r="E421" s="9"/>
      <c r="F421" s="9"/>
      <c r="G421" s="9"/>
      <c r="H421" s="9"/>
      <c r="I421" s="7"/>
      <c r="J421" s="8"/>
      <c r="K421" s="8"/>
      <c r="L421" s="8"/>
      <c r="M421" s="8"/>
      <c r="N421" s="8"/>
      <c r="O421" s="7"/>
      <c r="P421" s="7"/>
      <c r="Q421" s="7"/>
      <c r="R421" s="7"/>
      <c r="S421" s="7"/>
      <c r="T421" s="7"/>
    </row>
    <row r="422" spans="1:20" s="2" customFormat="1" x14ac:dyDescent="0.25">
      <c r="A422" s="9"/>
      <c r="B422" s="9"/>
      <c r="C422" s="9"/>
      <c r="D422" s="9"/>
      <c r="E422" s="9"/>
      <c r="F422" s="9"/>
      <c r="G422" s="9"/>
      <c r="H422" s="9"/>
      <c r="I422" s="7"/>
      <c r="J422" s="8"/>
      <c r="K422" s="8"/>
      <c r="L422" s="8"/>
      <c r="M422" s="8"/>
      <c r="N422" s="8"/>
      <c r="O422" s="7"/>
      <c r="P422" s="7"/>
      <c r="Q422" s="7"/>
      <c r="R422" s="7"/>
      <c r="S422" s="7"/>
      <c r="T422" s="7"/>
    </row>
    <row r="423" spans="1:20" s="2" customFormat="1" x14ac:dyDescent="0.25">
      <c r="A423" s="9"/>
      <c r="B423" s="9"/>
      <c r="C423" s="9"/>
      <c r="D423" s="9"/>
      <c r="E423" s="9"/>
      <c r="F423" s="9"/>
      <c r="G423" s="9"/>
      <c r="H423" s="9"/>
      <c r="I423" s="7"/>
      <c r="J423" s="8"/>
      <c r="K423" s="8"/>
      <c r="L423" s="8"/>
      <c r="M423" s="8"/>
      <c r="N423" s="8"/>
      <c r="O423" s="7"/>
      <c r="P423" s="7"/>
      <c r="Q423" s="7"/>
      <c r="R423" s="7"/>
      <c r="S423" s="7"/>
      <c r="T423" s="7"/>
    </row>
    <row r="424" spans="1:20" s="2" customFormat="1" x14ac:dyDescent="0.25">
      <c r="A424" s="9"/>
      <c r="B424" s="9"/>
      <c r="C424" s="9"/>
      <c r="D424" s="9"/>
      <c r="E424" s="9"/>
      <c r="F424" s="9"/>
      <c r="G424" s="9"/>
      <c r="H424" s="9"/>
      <c r="I424" s="7"/>
      <c r="J424" s="8"/>
      <c r="K424" s="8"/>
      <c r="L424" s="8"/>
      <c r="M424" s="8"/>
      <c r="N424" s="8"/>
      <c r="O424" s="7"/>
      <c r="P424" s="7"/>
      <c r="Q424" s="7"/>
      <c r="R424" s="7"/>
      <c r="S424" s="7"/>
      <c r="T424" s="7"/>
    </row>
    <row r="425" spans="1:20" s="2" customFormat="1" x14ac:dyDescent="0.25">
      <c r="A425" s="9"/>
      <c r="B425" s="9"/>
      <c r="C425" s="9"/>
      <c r="D425" s="9"/>
      <c r="E425" s="9"/>
      <c r="F425" s="9"/>
      <c r="G425" s="9"/>
      <c r="H425" s="9"/>
      <c r="I425" s="7"/>
      <c r="J425" s="8"/>
      <c r="K425" s="8"/>
      <c r="L425" s="8"/>
      <c r="M425" s="8"/>
      <c r="N425" s="8"/>
      <c r="O425" s="7"/>
      <c r="P425" s="7"/>
      <c r="Q425" s="7"/>
      <c r="R425" s="7"/>
      <c r="S425" s="7"/>
      <c r="T425" s="7"/>
    </row>
    <row r="426" spans="1:20" s="2" customFormat="1" x14ac:dyDescent="0.25">
      <c r="A426" s="9"/>
      <c r="B426" s="9"/>
      <c r="C426" s="9"/>
      <c r="D426" s="9"/>
      <c r="E426" s="9"/>
      <c r="F426" s="9"/>
      <c r="G426" s="9"/>
      <c r="H426" s="9"/>
      <c r="I426" s="7"/>
      <c r="J426" s="8"/>
      <c r="K426" s="8"/>
      <c r="L426" s="8"/>
      <c r="M426" s="8"/>
      <c r="N426" s="8"/>
      <c r="O426" s="7"/>
      <c r="P426" s="7"/>
      <c r="Q426" s="7"/>
      <c r="R426" s="7"/>
      <c r="S426" s="7"/>
      <c r="T426" s="7"/>
    </row>
    <row r="427" spans="1:20" s="2" customFormat="1" x14ac:dyDescent="0.25">
      <c r="A427" s="9"/>
      <c r="B427" s="9"/>
      <c r="C427" s="9"/>
      <c r="D427" s="9"/>
      <c r="E427" s="9"/>
      <c r="F427" s="9"/>
      <c r="G427" s="9"/>
      <c r="H427" s="9"/>
      <c r="I427" s="7"/>
      <c r="J427" s="8"/>
      <c r="K427" s="8"/>
      <c r="L427" s="8"/>
      <c r="M427" s="8"/>
      <c r="N427" s="8"/>
      <c r="O427" s="7"/>
      <c r="P427" s="7"/>
      <c r="Q427" s="7"/>
      <c r="R427" s="7"/>
      <c r="S427" s="7"/>
      <c r="T427" s="7"/>
    </row>
    <row r="428" spans="1:20" s="2" customFormat="1" x14ac:dyDescent="0.25">
      <c r="A428" s="9"/>
      <c r="B428" s="9"/>
      <c r="C428" s="9"/>
      <c r="D428" s="9"/>
      <c r="E428" s="9"/>
      <c r="F428" s="9"/>
      <c r="G428" s="9"/>
      <c r="H428" s="9"/>
      <c r="I428" s="7"/>
      <c r="J428" s="8"/>
      <c r="K428" s="8"/>
      <c r="L428" s="8"/>
      <c r="M428" s="8"/>
      <c r="N428" s="8"/>
      <c r="O428" s="7"/>
      <c r="P428" s="7"/>
      <c r="Q428" s="7"/>
      <c r="R428" s="7"/>
      <c r="S428" s="7"/>
      <c r="T428" s="7"/>
    </row>
    <row r="429" spans="1:20" s="2" customFormat="1" x14ac:dyDescent="0.25">
      <c r="A429" s="9"/>
      <c r="B429" s="9"/>
      <c r="C429" s="9"/>
      <c r="D429" s="9"/>
      <c r="E429" s="9"/>
      <c r="F429" s="9"/>
      <c r="G429" s="9"/>
      <c r="H429" s="9"/>
      <c r="I429" s="7"/>
      <c r="J429" s="8"/>
      <c r="K429" s="8"/>
      <c r="L429" s="8"/>
      <c r="M429" s="8"/>
      <c r="N429" s="8"/>
      <c r="O429" s="7"/>
      <c r="P429" s="7"/>
      <c r="Q429" s="7"/>
      <c r="R429" s="7"/>
      <c r="S429" s="7"/>
      <c r="T429" s="7"/>
    </row>
    <row r="430" spans="1:20" s="2" customFormat="1" x14ac:dyDescent="0.25">
      <c r="A430" s="9"/>
      <c r="B430" s="9"/>
      <c r="C430" s="9"/>
      <c r="D430" s="9"/>
      <c r="E430" s="9"/>
      <c r="F430" s="9"/>
      <c r="G430" s="9"/>
      <c r="H430" s="9"/>
      <c r="I430" s="7"/>
      <c r="J430" s="8"/>
      <c r="K430" s="8"/>
      <c r="L430" s="8"/>
      <c r="M430" s="8"/>
      <c r="N430" s="8"/>
      <c r="O430" s="7"/>
      <c r="P430" s="7"/>
      <c r="Q430" s="7"/>
      <c r="R430" s="7"/>
      <c r="S430" s="7"/>
      <c r="T430" s="7"/>
    </row>
    <row r="431" spans="1:20" s="2" customFormat="1" x14ac:dyDescent="0.25">
      <c r="A431" s="9"/>
      <c r="B431" s="9"/>
      <c r="C431" s="9"/>
      <c r="D431" s="9"/>
      <c r="E431" s="9"/>
      <c r="F431" s="9"/>
      <c r="G431" s="9"/>
      <c r="H431" s="9"/>
      <c r="I431" s="7"/>
      <c r="J431" s="8"/>
      <c r="K431" s="8"/>
      <c r="L431" s="8"/>
      <c r="M431" s="8"/>
      <c r="N431" s="8"/>
      <c r="O431" s="7"/>
      <c r="P431" s="7"/>
      <c r="Q431" s="7"/>
      <c r="R431" s="7"/>
      <c r="S431" s="7"/>
      <c r="T431" s="7"/>
    </row>
    <row r="432" spans="1:20" s="2" customFormat="1" x14ac:dyDescent="0.25">
      <c r="A432" s="9"/>
      <c r="B432" s="9"/>
      <c r="C432" s="9"/>
      <c r="D432" s="9"/>
      <c r="E432" s="9"/>
      <c r="F432" s="9"/>
      <c r="G432" s="9"/>
      <c r="H432" s="9"/>
      <c r="I432" s="7"/>
      <c r="J432" s="8"/>
      <c r="K432" s="8"/>
      <c r="L432" s="8"/>
      <c r="M432" s="8"/>
      <c r="N432" s="8"/>
      <c r="O432" s="7"/>
      <c r="P432" s="7"/>
      <c r="Q432" s="7"/>
      <c r="R432" s="7"/>
      <c r="S432" s="7"/>
      <c r="T432" s="7"/>
    </row>
    <row r="433" spans="1:20" s="2" customFormat="1" x14ac:dyDescent="0.25">
      <c r="A433" s="9"/>
      <c r="B433" s="9"/>
      <c r="C433" s="9"/>
      <c r="D433" s="9"/>
      <c r="E433" s="9"/>
      <c r="F433" s="9"/>
      <c r="G433" s="9"/>
      <c r="H433" s="9"/>
      <c r="I433" s="7"/>
      <c r="J433" s="8"/>
      <c r="K433" s="8"/>
      <c r="L433" s="8"/>
      <c r="M433" s="8"/>
      <c r="N433" s="8"/>
      <c r="O433" s="7"/>
      <c r="P433" s="7"/>
      <c r="Q433" s="7"/>
      <c r="R433" s="7"/>
      <c r="S433" s="7"/>
      <c r="T433" s="7"/>
    </row>
    <row r="434" spans="1:20" s="2" customFormat="1" x14ac:dyDescent="0.25">
      <c r="A434" s="9"/>
      <c r="B434" s="9"/>
      <c r="C434" s="9"/>
      <c r="D434" s="9"/>
      <c r="E434" s="9"/>
      <c r="F434" s="9"/>
      <c r="G434" s="9"/>
      <c r="H434" s="9"/>
      <c r="I434" s="7"/>
      <c r="J434" s="8"/>
      <c r="K434" s="8"/>
      <c r="L434" s="8"/>
      <c r="M434" s="8"/>
      <c r="N434" s="8"/>
      <c r="O434" s="7"/>
      <c r="P434" s="7"/>
      <c r="Q434" s="7"/>
      <c r="R434" s="7"/>
      <c r="S434" s="7"/>
      <c r="T434" s="7"/>
    </row>
    <row r="435" spans="1:20" s="2" customFormat="1" x14ac:dyDescent="0.25">
      <c r="A435" s="9"/>
      <c r="B435" s="9"/>
      <c r="C435" s="9"/>
      <c r="D435" s="9"/>
      <c r="E435" s="9"/>
      <c r="F435" s="9"/>
      <c r="G435" s="9"/>
      <c r="H435" s="9"/>
      <c r="I435" s="7"/>
      <c r="J435" s="8"/>
      <c r="K435" s="8"/>
      <c r="L435" s="8"/>
      <c r="M435" s="8"/>
      <c r="N435" s="8"/>
      <c r="O435" s="7"/>
      <c r="P435" s="7"/>
      <c r="Q435" s="7"/>
      <c r="R435" s="7"/>
      <c r="S435" s="7"/>
      <c r="T435" s="7"/>
    </row>
    <row r="436" spans="1:20" s="2" customFormat="1" x14ac:dyDescent="0.25">
      <c r="A436" s="9"/>
      <c r="B436" s="9"/>
      <c r="C436" s="9"/>
      <c r="D436" s="9"/>
      <c r="E436" s="9"/>
      <c r="F436" s="9"/>
      <c r="G436" s="9"/>
      <c r="H436" s="9"/>
      <c r="I436" s="7"/>
      <c r="J436" s="8"/>
      <c r="K436" s="8"/>
      <c r="L436" s="8"/>
      <c r="M436" s="8"/>
      <c r="N436" s="8"/>
      <c r="O436" s="7"/>
      <c r="P436" s="7"/>
      <c r="Q436" s="7"/>
      <c r="R436" s="7"/>
      <c r="S436" s="7"/>
      <c r="T436" s="7"/>
    </row>
    <row r="437" spans="1:20" s="2" customFormat="1" x14ac:dyDescent="0.25">
      <c r="A437" s="9"/>
      <c r="B437" s="9"/>
      <c r="C437" s="9"/>
      <c r="D437" s="9"/>
      <c r="E437" s="9"/>
      <c r="F437" s="9"/>
      <c r="G437" s="9"/>
      <c r="H437" s="9"/>
      <c r="I437" s="7"/>
      <c r="J437" s="8"/>
      <c r="K437" s="8"/>
      <c r="L437" s="8"/>
      <c r="M437" s="8"/>
      <c r="N437" s="8"/>
      <c r="O437" s="7"/>
      <c r="P437" s="7"/>
      <c r="Q437" s="7"/>
      <c r="R437" s="7"/>
      <c r="S437" s="7"/>
      <c r="T437" s="7"/>
    </row>
    <row r="438" spans="1:20" s="2" customFormat="1" x14ac:dyDescent="0.25">
      <c r="A438" s="9"/>
      <c r="B438" s="9"/>
      <c r="C438" s="9"/>
      <c r="D438" s="9"/>
      <c r="E438" s="9"/>
      <c r="F438" s="9"/>
      <c r="G438" s="9"/>
      <c r="H438" s="9"/>
      <c r="I438" s="7"/>
      <c r="J438" s="8"/>
      <c r="K438" s="8"/>
      <c r="L438" s="8"/>
      <c r="M438" s="8"/>
      <c r="N438" s="8"/>
      <c r="O438" s="7"/>
      <c r="P438" s="7"/>
      <c r="Q438" s="7"/>
      <c r="R438" s="7"/>
      <c r="S438" s="7"/>
      <c r="T438" s="7"/>
    </row>
    <row r="439" spans="1:20" s="2" customFormat="1" x14ac:dyDescent="0.25">
      <c r="A439" s="9"/>
      <c r="B439" s="9"/>
      <c r="C439" s="9"/>
      <c r="D439" s="9"/>
      <c r="E439" s="9"/>
      <c r="F439" s="9"/>
      <c r="G439" s="9"/>
      <c r="H439" s="9"/>
      <c r="I439" s="7"/>
      <c r="J439" s="8"/>
      <c r="K439" s="8"/>
      <c r="L439" s="8"/>
      <c r="M439" s="8"/>
      <c r="N439" s="8"/>
      <c r="O439" s="7"/>
      <c r="P439" s="7"/>
      <c r="Q439" s="7"/>
      <c r="R439" s="7"/>
      <c r="S439" s="7"/>
      <c r="T439" s="7"/>
    </row>
    <row r="440" spans="1:20" s="2" customFormat="1" x14ac:dyDescent="0.25">
      <c r="A440" s="9"/>
      <c r="B440" s="9"/>
      <c r="C440" s="9"/>
      <c r="D440" s="9"/>
      <c r="E440" s="9"/>
      <c r="F440" s="9"/>
      <c r="G440" s="9"/>
      <c r="H440" s="9"/>
      <c r="I440" s="7"/>
      <c r="J440" s="8"/>
      <c r="K440" s="8"/>
      <c r="L440" s="8"/>
      <c r="M440" s="8"/>
      <c r="N440" s="8"/>
      <c r="O440" s="7"/>
      <c r="P440" s="7"/>
      <c r="Q440" s="7"/>
      <c r="R440" s="7"/>
      <c r="S440" s="7"/>
      <c r="T440" s="7"/>
    </row>
    <row r="441" spans="1:20" s="2" customFormat="1" x14ac:dyDescent="0.25">
      <c r="A441" s="9"/>
      <c r="B441" s="9"/>
      <c r="C441" s="9"/>
      <c r="D441" s="9"/>
      <c r="E441" s="9"/>
      <c r="F441" s="9"/>
      <c r="G441" s="9"/>
      <c r="H441" s="9"/>
      <c r="I441" s="7"/>
      <c r="J441" s="8"/>
      <c r="K441" s="8"/>
      <c r="L441" s="8"/>
      <c r="M441" s="8"/>
      <c r="N441" s="8"/>
      <c r="O441" s="7"/>
      <c r="P441" s="7"/>
      <c r="Q441" s="7"/>
      <c r="R441" s="7"/>
      <c r="S441" s="7"/>
      <c r="T441" s="7"/>
    </row>
    <row r="442" spans="1:20" s="2" customFormat="1" x14ac:dyDescent="0.25">
      <c r="A442" s="9"/>
      <c r="B442" s="9"/>
      <c r="C442" s="9"/>
      <c r="D442" s="9"/>
      <c r="E442" s="9"/>
      <c r="F442" s="9"/>
      <c r="G442" s="9"/>
      <c r="H442" s="9"/>
      <c r="I442" s="7"/>
      <c r="J442" s="8"/>
      <c r="K442" s="8"/>
      <c r="L442" s="8"/>
      <c r="M442" s="8"/>
      <c r="N442" s="8"/>
      <c r="O442" s="7"/>
      <c r="P442" s="7"/>
      <c r="Q442" s="7"/>
      <c r="R442" s="7"/>
      <c r="S442" s="7"/>
      <c r="T442" s="7"/>
    </row>
    <row r="443" spans="1:20" s="2" customFormat="1" x14ac:dyDescent="0.25">
      <c r="A443" s="9"/>
      <c r="B443" s="9"/>
      <c r="C443" s="9"/>
      <c r="D443" s="9"/>
      <c r="E443" s="9"/>
      <c r="F443" s="9"/>
      <c r="G443" s="9"/>
      <c r="H443" s="9"/>
      <c r="I443" s="7"/>
      <c r="J443" s="8"/>
      <c r="K443" s="8"/>
      <c r="L443" s="8"/>
      <c r="M443" s="8"/>
      <c r="N443" s="8"/>
      <c r="O443" s="7"/>
      <c r="P443" s="7"/>
      <c r="Q443" s="7"/>
      <c r="R443" s="7"/>
      <c r="S443" s="7"/>
      <c r="T443" s="7"/>
    </row>
    <row r="444" spans="1:20" s="2" customFormat="1" x14ac:dyDescent="0.25">
      <c r="A444" s="9"/>
      <c r="B444" s="9"/>
      <c r="C444" s="9"/>
      <c r="D444" s="9"/>
      <c r="E444" s="9"/>
      <c r="F444" s="9"/>
      <c r="G444" s="9"/>
      <c r="H444" s="9"/>
      <c r="I444" s="7"/>
      <c r="J444" s="8"/>
      <c r="K444" s="8"/>
      <c r="L444" s="8"/>
      <c r="M444" s="8"/>
      <c r="N444" s="8"/>
      <c r="O444" s="7"/>
      <c r="P444" s="7"/>
      <c r="Q444" s="7"/>
      <c r="R444" s="7"/>
      <c r="S444" s="7"/>
      <c r="T444" s="7"/>
    </row>
    <row r="445" spans="1:20" s="2" customFormat="1" x14ac:dyDescent="0.25">
      <c r="A445" s="9"/>
      <c r="B445" s="9"/>
      <c r="C445" s="9"/>
      <c r="D445" s="9"/>
      <c r="E445" s="9"/>
      <c r="F445" s="9"/>
      <c r="G445" s="9"/>
      <c r="H445" s="9"/>
      <c r="I445" s="7"/>
      <c r="J445" s="8"/>
      <c r="K445" s="8"/>
      <c r="L445" s="8"/>
      <c r="M445" s="8"/>
      <c r="N445" s="8"/>
      <c r="O445" s="7"/>
      <c r="P445" s="7"/>
      <c r="Q445" s="7"/>
      <c r="R445" s="7"/>
      <c r="S445" s="7"/>
      <c r="T445" s="7"/>
    </row>
    <row r="446" spans="1:20" s="2" customFormat="1" x14ac:dyDescent="0.25">
      <c r="A446" s="9"/>
      <c r="B446" s="9"/>
      <c r="C446" s="9"/>
      <c r="D446" s="9"/>
      <c r="E446" s="9"/>
      <c r="F446" s="9"/>
      <c r="G446" s="9"/>
      <c r="H446" s="9"/>
      <c r="I446" s="7"/>
      <c r="J446" s="8"/>
      <c r="K446" s="8"/>
      <c r="L446" s="8"/>
      <c r="M446" s="8"/>
      <c r="N446" s="8"/>
      <c r="O446" s="7"/>
      <c r="P446" s="7"/>
      <c r="Q446" s="7"/>
      <c r="R446" s="7"/>
      <c r="S446" s="7"/>
      <c r="T446" s="7"/>
    </row>
    <row r="447" spans="1:20" s="2" customFormat="1" x14ac:dyDescent="0.25">
      <c r="A447" s="9"/>
      <c r="B447" s="9"/>
      <c r="C447" s="9"/>
      <c r="D447" s="9"/>
      <c r="E447" s="9"/>
      <c r="F447" s="9"/>
      <c r="G447" s="9"/>
      <c r="H447" s="9"/>
      <c r="I447" s="7"/>
      <c r="J447" s="8"/>
      <c r="K447" s="8"/>
      <c r="L447" s="8"/>
      <c r="M447" s="8"/>
      <c r="N447" s="8"/>
      <c r="O447" s="7"/>
      <c r="P447" s="7"/>
      <c r="Q447" s="7"/>
      <c r="R447" s="7"/>
      <c r="S447" s="7"/>
      <c r="T447" s="7"/>
    </row>
    <row r="448" spans="1:20" s="2" customFormat="1" x14ac:dyDescent="0.25">
      <c r="A448" s="9"/>
      <c r="B448" s="9"/>
      <c r="C448" s="9"/>
      <c r="D448" s="9"/>
      <c r="E448" s="9"/>
      <c r="F448" s="9"/>
      <c r="G448" s="9"/>
      <c r="H448" s="9"/>
      <c r="I448" s="7"/>
      <c r="J448" s="8"/>
      <c r="K448" s="8"/>
      <c r="L448" s="8"/>
      <c r="M448" s="8"/>
      <c r="N448" s="8"/>
      <c r="O448" s="7"/>
      <c r="P448" s="7"/>
      <c r="Q448" s="7"/>
      <c r="R448" s="7"/>
      <c r="S448" s="7"/>
      <c r="T448" s="7"/>
    </row>
    <row r="449" spans="1:20" s="2" customFormat="1" x14ac:dyDescent="0.25">
      <c r="A449" s="9"/>
      <c r="B449" s="9"/>
      <c r="C449" s="9"/>
      <c r="D449" s="9"/>
      <c r="E449" s="9"/>
      <c r="F449" s="9"/>
      <c r="G449" s="9"/>
      <c r="H449" s="9"/>
      <c r="I449" s="7"/>
      <c r="J449" s="8"/>
      <c r="K449" s="8"/>
      <c r="L449" s="8"/>
      <c r="M449" s="8"/>
      <c r="N449" s="8"/>
      <c r="O449" s="7"/>
      <c r="P449" s="7"/>
      <c r="Q449" s="7"/>
      <c r="R449" s="7"/>
      <c r="S449" s="7"/>
      <c r="T449" s="7"/>
    </row>
    <row r="450" spans="1:20" s="2" customFormat="1" x14ac:dyDescent="0.25">
      <c r="A450" s="9"/>
      <c r="B450" s="9"/>
      <c r="C450" s="9"/>
      <c r="D450" s="9"/>
      <c r="E450" s="9"/>
      <c r="F450" s="9"/>
      <c r="G450" s="9"/>
      <c r="H450" s="9"/>
      <c r="I450" s="7"/>
      <c r="J450" s="8"/>
      <c r="K450" s="8"/>
      <c r="L450" s="8"/>
      <c r="M450" s="8"/>
      <c r="N450" s="8"/>
      <c r="O450" s="7"/>
      <c r="P450" s="7"/>
      <c r="Q450" s="7"/>
      <c r="R450" s="7"/>
      <c r="S450" s="7"/>
      <c r="T450" s="7"/>
    </row>
    <row r="451" spans="1:20" s="2" customFormat="1" x14ac:dyDescent="0.25">
      <c r="A451" s="9"/>
      <c r="B451" s="9"/>
      <c r="C451" s="9"/>
      <c r="D451" s="9"/>
      <c r="E451" s="9"/>
      <c r="F451" s="9"/>
      <c r="G451" s="9"/>
      <c r="H451" s="9"/>
      <c r="I451" s="7"/>
      <c r="J451" s="8"/>
      <c r="K451" s="8"/>
      <c r="L451" s="8"/>
      <c r="M451" s="8"/>
      <c r="N451" s="8"/>
      <c r="O451" s="7"/>
      <c r="P451" s="7"/>
      <c r="Q451" s="7"/>
      <c r="R451" s="7"/>
      <c r="S451" s="7"/>
      <c r="T451" s="7"/>
    </row>
    <row r="452" spans="1:20" s="2" customFormat="1" x14ac:dyDescent="0.25">
      <c r="A452" s="9"/>
      <c r="B452" s="9"/>
      <c r="C452" s="9"/>
      <c r="D452" s="9"/>
      <c r="E452" s="9"/>
      <c r="F452" s="9"/>
      <c r="G452" s="9"/>
      <c r="H452" s="9"/>
      <c r="I452" s="7"/>
      <c r="J452" s="8"/>
      <c r="K452" s="8"/>
      <c r="L452" s="8"/>
      <c r="M452" s="8"/>
      <c r="N452" s="8"/>
      <c r="O452" s="7"/>
      <c r="P452" s="7"/>
      <c r="Q452" s="7"/>
      <c r="R452" s="7"/>
      <c r="S452" s="7"/>
      <c r="T452" s="7"/>
    </row>
    <row r="453" spans="1:20" s="2" customFormat="1" x14ac:dyDescent="0.25">
      <c r="A453" s="9"/>
      <c r="B453" s="9"/>
      <c r="C453" s="9"/>
      <c r="D453" s="9"/>
      <c r="E453" s="9"/>
      <c r="F453" s="9"/>
      <c r="G453" s="9"/>
      <c r="H453" s="9"/>
      <c r="I453" s="7"/>
      <c r="J453" s="8"/>
      <c r="K453" s="8"/>
      <c r="L453" s="8"/>
      <c r="M453" s="8"/>
      <c r="N453" s="8"/>
      <c r="O453" s="7"/>
      <c r="P453" s="7"/>
      <c r="Q453" s="7"/>
      <c r="R453" s="7"/>
      <c r="S453" s="7"/>
      <c r="T453" s="7"/>
    </row>
    <row r="454" spans="1:20" s="2" customFormat="1" x14ac:dyDescent="0.25">
      <c r="A454" s="9"/>
      <c r="B454" s="9"/>
      <c r="C454" s="9"/>
      <c r="D454" s="9"/>
      <c r="E454" s="9"/>
      <c r="F454" s="9"/>
      <c r="G454" s="9"/>
      <c r="H454" s="9"/>
      <c r="I454" s="7"/>
      <c r="J454" s="8"/>
      <c r="K454" s="8"/>
      <c r="L454" s="8"/>
      <c r="M454" s="8"/>
      <c r="N454" s="8"/>
      <c r="O454" s="7"/>
      <c r="P454" s="7"/>
      <c r="Q454" s="7"/>
      <c r="R454" s="7"/>
      <c r="S454" s="7"/>
      <c r="T454" s="7"/>
    </row>
    <row r="455" spans="1:20" s="2" customFormat="1" x14ac:dyDescent="0.25">
      <c r="A455" s="9"/>
      <c r="B455" s="9"/>
      <c r="C455" s="9"/>
      <c r="D455" s="9"/>
      <c r="E455" s="9"/>
      <c r="F455" s="9"/>
      <c r="G455" s="9"/>
      <c r="H455" s="9"/>
      <c r="I455" s="7"/>
      <c r="J455" s="8"/>
      <c r="K455" s="8"/>
      <c r="L455" s="8"/>
      <c r="M455" s="8"/>
      <c r="N455" s="8"/>
      <c r="O455" s="7"/>
      <c r="P455" s="7"/>
      <c r="Q455" s="7"/>
      <c r="R455" s="7"/>
      <c r="S455" s="7"/>
      <c r="T455" s="7"/>
    </row>
    <row r="456" spans="1:20" s="2" customFormat="1" x14ac:dyDescent="0.25">
      <c r="A456" s="9"/>
      <c r="B456" s="9"/>
      <c r="C456" s="9"/>
      <c r="D456" s="9"/>
      <c r="E456" s="9"/>
      <c r="F456" s="9"/>
      <c r="G456" s="9"/>
      <c r="H456" s="9"/>
      <c r="I456" s="7"/>
      <c r="J456" s="8"/>
      <c r="K456" s="8"/>
      <c r="L456" s="8"/>
      <c r="M456" s="8"/>
      <c r="N456" s="8"/>
      <c r="O456" s="7"/>
      <c r="P456" s="7"/>
      <c r="Q456" s="7"/>
      <c r="R456" s="7"/>
      <c r="S456" s="7"/>
      <c r="T456" s="7"/>
    </row>
    <row r="457" spans="1:20" s="2" customFormat="1" x14ac:dyDescent="0.25">
      <c r="A457" s="9"/>
      <c r="B457" s="9"/>
      <c r="C457" s="9"/>
      <c r="D457" s="9"/>
      <c r="E457" s="9"/>
      <c r="F457" s="9"/>
      <c r="G457" s="9"/>
      <c r="H457" s="9"/>
      <c r="I457" s="7"/>
      <c r="J457" s="8"/>
      <c r="K457" s="8"/>
      <c r="L457" s="8"/>
      <c r="M457" s="8"/>
      <c r="N457" s="8"/>
      <c r="O457" s="7"/>
      <c r="P457" s="7"/>
      <c r="Q457" s="7"/>
      <c r="R457" s="7"/>
      <c r="S457" s="7"/>
      <c r="T457" s="7"/>
    </row>
    <row r="458" spans="1:20" s="2" customFormat="1" x14ac:dyDescent="0.25">
      <c r="A458" s="9"/>
      <c r="B458" s="9"/>
      <c r="C458" s="9"/>
      <c r="D458" s="9"/>
      <c r="E458" s="9"/>
      <c r="F458" s="9"/>
      <c r="G458" s="9"/>
      <c r="H458" s="9"/>
      <c r="I458" s="7"/>
      <c r="J458" s="8"/>
      <c r="K458" s="8"/>
      <c r="L458" s="8"/>
      <c r="M458" s="8"/>
      <c r="N458" s="8"/>
      <c r="O458" s="7"/>
      <c r="P458" s="7"/>
      <c r="Q458" s="7"/>
      <c r="R458" s="7"/>
      <c r="S458" s="7"/>
      <c r="T458" s="7"/>
    </row>
    <row r="459" spans="1:20" s="2" customFormat="1" x14ac:dyDescent="0.25">
      <c r="A459" s="9"/>
      <c r="B459" s="9"/>
      <c r="C459" s="9"/>
      <c r="D459" s="9"/>
      <c r="E459" s="9"/>
      <c r="F459" s="9"/>
      <c r="G459" s="9"/>
      <c r="H459" s="9"/>
      <c r="I459" s="7"/>
      <c r="J459" s="8"/>
      <c r="K459" s="8"/>
      <c r="L459" s="8"/>
      <c r="M459" s="8"/>
      <c r="N459" s="8"/>
      <c r="O459" s="7"/>
      <c r="P459" s="7"/>
      <c r="Q459" s="7"/>
      <c r="R459" s="7"/>
      <c r="S459" s="7"/>
      <c r="T459" s="7"/>
    </row>
    <row r="460" spans="1:20" s="2" customFormat="1" x14ac:dyDescent="0.25">
      <c r="A460" s="9"/>
      <c r="B460" s="9"/>
      <c r="C460" s="9"/>
      <c r="D460" s="9"/>
      <c r="E460" s="9"/>
      <c r="F460" s="9"/>
      <c r="G460" s="9"/>
      <c r="H460" s="9"/>
      <c r="I460" s="7"/>
      <c r="J460" s="8"/>
      <c r="K460" s="8"/>
      <c r="L460" s="8"/>
      <c r="M460" s="8"/>
      <c r="N460" s="8"/>
      <c r="O460" s="7"/>
      <c r="P460" s="7"/>
      <c r="Q460" s="7"/>
      <c r="R460" s="7"/>
      <c r="S460" s="7"/>
      <c r="T460" s="7"/>
    </row>
    <row r="461" spans="1:20" s="2" customFormat="1" x14ac:dyDescent="0.25">
      <c r="A461" s="9"/>
      <c r="B461" s="9"/>
      <c r="C461" s="9"/>
      <c r="D461" s="9"/>
      <c r="E461" s="9"/>
      <c r="F461" s="9"/>
      <c r="G461" s="9"/>
      <c r="H461" s="9"/>
      <c r="I461" s="7"/>
      <c r="J461" s="8"/>
      <c r="K461" s="8"/>
      <c r="L461" s="8"/>
      <c r="M461" s="8"/>
      <c r="N461" s="8"/>
      <c r="O461" s="7"/>
      <c r="P461" s="7"/>
      <c r="Q461" s="7"/>
      <c r="R461" s="7"/>
      <c r="S461" s="7"/>
      <c r="T461" s="7"/>
    </row>
    <row r="462" spans="1:20" s="2" customFormat="1" x14ac:dyDescent="0.25">
      <c r="A462" s="9"/>
      <c r="B462" s="9"/>
      <c r="C462" s="9"/>
      <c r="D462" s="9"/>
      <c r="E462" s="9"/>
      <c r="F462" s="9"/>
      <c r="G462" s="9"/>
      <c r="H462" s="9"/>
      <c r="I462" s="7"/>
      <c r="J462" s="8"/>
      <c r="K462" s="8"/>
      <c r="L462" s="8"/>
      <c r="M462" s="8"/>
      <c r="N462" s="8"/>
      <c r="O462" s="7"/>
      <c r="P462" s="7"/>
      <c r="Q462" s="7"/>
      <c r="R462" s="7"/>
      <c r="S462" s="7"/>
      <c r="T462" s="7"/>
    </row>
    <row r="463" spans="1:20" s="2" customFormat="1" x14ac:dyDescent="0.25">
      <c r="A463" s="9"/>
      <c r="B463" s="9"/>
      <c r="C463" s="9"/>
      <c r="D463" s="9"/>
      <c r="E463" s="9"/>
      <c r="F463" s="9"/>
      <c r="G463" s="9"/>
      <c r="H463" s="9"/>
      <c r="I463" s="7"/>
      <c r="J463" s="8"/>
      <c r="K463" s="8"/>
      <c r="L463" s="8"/>
      <c r="M463" s="8"/>
      <c r="N463" s="8"/>
      <c r="O463" s="7"/>
      <c r="P463" s="7"/>
      <c r="Q463" s="7"/>
      <c r="R463" s="7"/>
      <c r="S463" s="7"/>
      <c r="T463" s="7"/>
    </row>
    <row r="464" spans="1:20" s="2" customFormat="1" x14ac:dyDescent="0.25">
      <c r="A464" s="9"/>
      <c r="B464" s="9"/>
      <c r="C464" s="9"/>
      <c r="D464" s="9"/>
      <c r="E464" s="9"/>
      <c r="F464" s="9"/>
      <c r="G464" s="9"/>
      <c r="H464" s="9"/>
      <c r="I464" s="7"/>
      <c r="J464" s="8"/>
      <c r="K464" s="8"/>
      <c r="L464" s="8"/>
      <c r="M464" s="8"/>
      <c r="N464" s="8"/>
      <c r="O464" s="7"/>
      <c r="P464" s="7"/>
      <c r="Q464" s="7"/>
      <c r="R464" s="7"/>
      <c r="S464" s="7"/>
      <c r="T464" s="7"/>
    </row>
    <row r="465" spans="1:20" s="2" customFormat="1" x14ac:dyDescent="0.25">
      <c r="A465" s="9"/>
      <c r="B465" s="9"/>
      <c r="C465" s="9"/>
      <c r="D465" s="9"/>
      <c r="E465" s="9"/>
      <c r="F465" s="9"/>
      <c r="G465" s="9"/>
      <c r="H465" s="9"/>
      <c r="I465" s="7"/>
      <c r="J465" s="8"/>
      <c r="K465" s="8"/>
      <c r="L465" s="8"/>
      <c r="M465" s="8"/>
      <c r="N465" s="8"/>
      <c r="O465" s="7"/>
      <c r="P465" s="7"/>
      <c r="Q465" s="7"/>
      <c r="R465" s="7"/>
      <c r="S465" s="7"/>
      <c r="T465" s="7"/>
    </row>
    <row r="466" spans="1:20" s="2" customFormat="1" x14ac:dyDescent="0.25">
      <c r="A466" s="9"/>
      <c r="B466" s="9"/>
      <c r="C466" s="9"/>
      <c r="D466" s="9"/>
      <c r="E466" s="9"/>
      <c r="F466" s="9"/>
      <c r="G466" s="9"/>
      <c r="H466" s="9"/>
      <c r="I466" s="7"/>
      <c r="J466" s="8"/>
      <c r="K466" s="8"/>
      <c r="L466" s="8"/>
      <c r="M466" s="8"/>
      <c r="N466" s="8"/>
      <c r="O466" s="7"/>
      <c r="P466" s="7"/>
      <c r="Q466" s="7"/>
      <c r="R466" s="7"/>
      <c r="S466" s="7"/>
      <c r="T466" s="7"/>
    </row>
    <row r="467" spans="1:20" s="2" customFormat="1" x14ac:dyDescent="0.25">
      <c r="A467" s="9"/>
      <c r="B467" s="9"/>
      <c r="C467" s="9"/>
      <c r="D467" s="9"/>
      <c r="E467" s="9"/>
      <c r="F467" s="9"/>
      <c r="G467" s="9"/>
      <c r="H467" s="9"/>
      <c r="I467" s="7"/>
      <c r="J467" s="8"/>
      <c r="K467" s="8"/>
      <c r="L467" s="8"/>
      <c r="M467" s="8"/>
      <c r="N467" s="8"/>
      <c r="O467" s="7"/>
      <c r="P467" s="7"/>
      <c r="Q467" s="7"/>
      <c r="R467" s="7"/>
      <c r="S467" s="7"/>
      <c r="T467" s="7"/>
    </row>
    <row r="468" spans="1:20" s="2" customFormat="1" x14ac:dyDescent="0.25">
      <c r="A468" s="9"/>
      <c r="B468" s="9"/>
      <c r="C468" s="9"/>
      <c r="D468" s="9"/>
      <c r="E468" s="9"/>
      <c r="F468" s="9"/>
      <c r="G468" s="9"/>
      <c r="H468" s="9"/>
      <c r="I468" s="7"/>
      <c r="J468" s="8"/>
      <c r="K468" s="8"/>
      <c r="L468" s="8"/>
      <c r="M468" s="8"/>
      <c r="N468" s="8"/>
      <c r="O468" s="7"/>
      <c r="P468" s="7"/>
      <c r="Q468" s="7"/>
      <c r="R468" s="7"/>
      <c r="S468" s="7"/>
      <c r="T468" s="7"/>
    </row>
    <row r="469" spans="1:20" s="2" customFormat="1" x14ac:dyDescent="0.25">
      <c r="A469" s="9"/>
      <c r="B469" s="9"/>
      <c r="C469" s="9"/>
      <c r="D469" s="9"/>
      <c r="E469" s="9"/>
      <c r="F469" s="9"/>
      <c r="G469" s="9"/>
      <c r="H469" s="9"/>
      <c r="I469" s="7"/>
      <c r="J469" s="8"/>
      <c r="K469" s="8"/>
      <c r="L469" s="8"/>
      <c r="M469" s="8"/>
      <c r="N469" s="8"/>
      <c r="O469" s="7"/>
      <c r="P469" s="7"/>
      <c r="Q469" s="7"/>
      <c r="R469" s="7"/>
      <c r="S469" s="7"/>
      <c r="T469" s="7"/>
    </row>
    <row r="470" spans="1:20" s="2" customFormat="1" x14ac:dyDescent="0.25">
      <c r="A470" s="9"/>
      <c r="B470" s="9"/>
      <c r="C470" s="9"/>
      <c r="D470" s="9"/>
      <c r="E470" s="9"/>
      <c r="F470" s="9"/>
      <c r="G470" s="9"/>
      <c r="H470" s="9"/>
      <c r="I470" s="7"/>
      <c r="J470" s="8"/>
      <c r="K470" s="8"/>
      <c r="L470" s="8"/>
      <c r="M470" s="8"/>
      <c r="N470" s="8"/>
      <c r="O470" s="7"/>
      <c r="P470" s="7"/>
      <c r="Q470" s="7"/>
      <c r="R470" s="7"/>
      <c r="S470" s="7"/>
      <c r="T470" s="7"/>
    </row>
    <row r="471" spans="1:20" s="2" customFormat="1" x14ac:dyDescent="0.25">
      <c r="A471" s="9"/>
      <c r="B471" s="9"/>
      <c r="C471" s="9"/>
      <c r="D471" s="9"/>
      <c r="E471" s="9"/>
      <c r="F471" s="9"/>
      <c r="G471" s="9"/>
      <c r="H471" s="9"/>
      <c r="I471" s="7"/>
      <c r="J471" s="8"/>
      <c r="K471" s="8"/>
      <c r="L471" s="8"/>
      <c r="M471" s="8"/>
      <c r="N471" s="8"/>
      <c r="O471" s="7"/>
      <c r="P471" s="7"/>
      <c r="Q471" s="7"/>
      <c r="R471" s="7"/>
      <c r="S471" s="7"/>
      <c r="T471" s="7"/>
    </row>
    <row r="472" spans="1:20" s="2" customFormat="1" x14ac:dyDescent="0.25">
      <c r="A472" s="9"/>
      <c r="B472" s="9"/>
      <c r="C472" s="9"/>
      <c r="D472" s="9"/>
      <c r="E472" s="9"/>
      <c r="F472" s="9"/>
      <c r="G472" s="9"/>
      <c r="H472" s="9"/>
      <c r="I472" s="7"/>
      <c r="J472" s="8"/>
      <c r="K472" s="8"/>
      <c r="L472" s="8"/>
      <c r="M472" s="8"/>
      <c r="N472" s="8"/>
      <c r="O472" s="7"/>
      <c r="P472" s="7"/>
      <c r="Q472" s="7"/>
      <c r="R472" s="7"/>
      <c r="S472" s="7"/>
      <c r="T472" s="7"/>
    </row>
    <row r="473" spans="1:20" s="2" customFormat="1" x14ac:dyDescent="0.25">
      <c r="A473" s="9"/>
      <c r="B473" s="9"/>
      <c r="C473" s="9"/>
      <c r="D473" s="9"/>
      <c r="E473" s="9"/>
      <c r="F473" s="9"/>
      <c r="G473" s="9"/>
      <c r="H473" s="9"/>
      <c r="I473" s="7"/>
      <c r="J473" s="8"/>
      <c r="K473" s="8"/>
      <c r="L473" s="8"/>
      <c r="M473" s="8"/>
      <c r="N473" s="8"/>
      <c r="O473" s="7"/>
      <c r="P473" s="7"/>
      <c r="Q473" s="7"/>
      <c r="R473" s="7"/>
      <c r="S473" s="7"/>
      <c r="T473" s="7"/>
    </row>
    <row r="474" spans="1:20" s="2" customFormat="1" x14ac:dyDescent="0.25">
      <c r="A474" s="9"/>
      <c r="B474" s="9"/>
      <c r="C474" s="9"/>
      <c r="D474" s="9"/>
      <c r="E474" s="9"/>
      <c r="F474" s="9"/>
      <c r="G474" s="9"/>
      <c r="H474" s="9"/>
      <c r="I474" s="7"/>
      <c r="J474" s="8"/>
      <c r="K474" s="8"/>
      <c r="L474" s="8"/>
      <c r="M474" s="8"/>
      <c r="N474" s="8"/>
      <c r="O474" s="7"/>
      <c r="P474" s="7"/>
      <c r="Q474" s="7"/>
      <c r="R474" s="7"/>
      <c r="S474" s="7"/>
      <c r="T474" s="7"/>
    </row>
    <row r="475" spans="1:20" s="2" customFormat="1" x14ac:dyDescent="0.25">
      <c r="A475" s="9"/>
      <c r="B475" s="9"/>
      <c r="C475" s="9"/>
      <c r="D475" s="9"/>
      <c r="E475" s="9"/>
      <c r="F475" s="9"/>
      <c r="G475" s="9"/>
      <c r="H475" s="9"/>
      <c r="I475" s="7"/>
      <c r="J475" s="8"/>
      <c r="K475" s="8"/>
      <c r="L475" s="8"/>
      <c r="M475" s="8"/>
      <c r="N475" s="8"/>
      <c r="O475" s="7"/>
      <c r="P475" s="7"/>
      <c r="Q475" s="7"/>
      <c r="R475" s="7"/>
      <c r="S475" s="7"/>
      <c r="T475" s="7"/>
    </row>
    <row r="476" spans="1:20" s="2" customFormat="1" x14ac:dyDescent="0.25">
      <c r="A476" s="9"/>
      <c r="B476" s="9"/>
      <c r="C476" s="9"/>
      <c r="D476" s="9"/>
      <c r="E476" s="9"/>
      <c r="F476" s="9"/>
      <c r="G476" s="9"/>
      <c r="H476" s="9"/>
      <c r="I476" s="7"/>
      <c r="J476" s="8"/>
      <c r="K476" s="8"/>
      <c r="L476" s="8"/>
      <c r="M476" s="8"/>
      <c r="N476" s="8"/>
      <c r="O476" s="7"/>
      <c r="P476" s="7"/>
      <c r="Q476" s="7"/>
      <c r="R476" s="7"/>
      <c r="S476" s="7"/>
      <c r="T476" s="7"/>
    </row>
    <row r="477" spans="1:20" s="2" customFormat="1" x14ac:dyDescent="0.25">
      <c r="A477" s="9"/>
      <c r="B477" s="9"/>
      <c r="C477" s="9"/>
      <c r="D477" s="9"/>
      <c r="E477" s="9"/>
      <c r="F477" s="9"/>
      <c r="G477" s="9"/>
      <c r="H477" s="9"/>
      <c r="I477" s="7"/>
      <c r="J477" s="8"/>
      <c r="K477" s="8"/>
      <c r="L477" s="8"/>
      <c r="M477" s="8"/>
      <c r="N477" s="8"/>
      <c r="O477" s="7"/>
      <c r="P477" s="7"/>
      <c r="Q477" s="7"/>
      <c r="R477" s="7"/>
      <c r="S477" s="7"/>
      <c r="T477" s="7"/>
    </row>
    <row r="478" spans="1:20" s="2" customFormat="1" x14ac:dyDescent="0.25">
      <c r="A478" s="9"/>
      <c r="B478" s="9"/>
      <c r="C478" s="9"/>
      <c r="D478" s="9"/>
      <c r="E478" s="9"/>
      <c r="F478" s="9"/>
      <c r="G478" s="9"/>
      <c r="H478" s="9"/>
      <c r="I478" s="7"/>
      <c r="J478" s="8"/>
      <c r="K478" s="8"/>
      <c r="L478" s="8"/>
      <c r="M478" s="8"/>
      <c r="N478" s="8"/>
      <c r="O478" s="7"/>
      <c r="P478" s="7"/>
      <c r="Q478" s="7"/>
      <c r="R478" s="7"/>
      <c r="S478" s="7"/>
      <c r="T478" s="7"/>
    </row>
    <row r="479" spans="1:20" s="2" customFormat="1" x14ac:dyDescent="0.25">
      <c r="A479" s="9"/>
      <c r="B479" s="9"/>
      <c r="C479" s="9"/>
      <c r="D479" s="9"/>
      <c r="E479" s="9"/>
      <c r="F479" s="9"/>
      <c r="G479" s="9"/>
      <c r="H479" s="9"/>
      <c r="I479" s="7"/>
      <c r="J479" s="8"/>
      <c r="K479" s="8"/>
      <c r="L479" s="8"/>
      <c r="M479" s="8"/>
      <c r="N479" s="8"/>
      <c r="O479" s="7"/>
      <c r="P479" s="7"/>
      <c r="Q479" s="7"/>
      <c r="R479" s="7"/>
      <c r="S479" s="7"/>
      <c r="T479" s="7"/>
    </row>
    <row r="480" spans="1:20" s="2" customFormat="1" x14ac:dyDescent="0.25">
      <c r="A480" s="9"/>
      <c r="B480" s="9"/>
      <c r="C480" s="9"/>
      <c r="D480" s="9"/>
      <c r="E480" s="9"/>
      <c r="F480" s="9"/>
      <c r="G480" s="9"/>
      <c r="H480" s="9"/>
      <c r="I480" s="7"/>
      <c r="J480" s="8"/>
      <c r="K480" s="8"/>
      <c r="L480" s="8"/>
      <c r="M480" s="8"/>
      <c r="N480" s="8"/>
      <c r="O480" s="7"/>
      <c r="P480" s="7"/>
      <c r="Q480" s="7"/>
      <c r="R480" s="7"/>
      <c r="S480" s="7"/>
      <c r="T480" s="7"/>
    </row>
    <row r="481" spans="1:20" s="2" customFormat="1" x14ac:dyDescent="0.25">
      <c r="A481" s="9"/>
      <c r="B481" s="9"/>
      <c r="C481" s="9"/>
      <c r="D481" s="9"/>
      <c r="E481" s="9"/>
      <c r="F481" s="9"/>
      <c r="G481" s="9"/>
      <c r="H481" s="9"/>
      <c r="I481" s="7"/>
      <c r="J481" s="8"/>
      <c r="K481" s="8"/>
      <c r="L481" s="8"/>
      <c r="M481" s="8"/>
      <c r="N481" s="8"/>
      <c r="O481" s="7"/>
      <c r="P481" s="7"/>
      <c r="Q481" s="7"/>
      <c r="R481" s="7"/>
      <c r="S481" s="7"/>
      <c r="T481" s="7"/>
    </row>
    <row r="482" spans="1:20" s="2" customFormat="1" x14ac:dyDescent="0.25">
      <c r="A482" s="9"/>
      <c r="B482" s="9"/>
      <c r="C482" s="9"/>
      <c r="D482" s="9"/>
      <c r="E482" s="9"/>
      <c r="F482" s="9"/>
      <c r="G482" s="9"/>
      <c r="H482" s="9"/>
      <c r="I482" s="7"/>
      <c r="J482" s="8"/>
      <c r="K482" s="8"/>
      <c r="L482" s="8"/>
      <c r="M482" s="8"/>
      <c r="N482" s="8"/>
      <c r="O482" s="7"/>
      <c r="P482" s="7"/>
      <c r="Q482" s="7"/>
      <c r="R482" s="7"/>
      <c r="S482" s="7"/>
      <c r="T482" s="7"/>
    </row>
    <row r="483" spans="1:20" s="2" customFormat="1" x14ac:dyDescent="0.25">
      <c r="A483" s="9"/>
      <c r="B483" s="9"/>
      <c r="C483" s="9"/>
      <c r="D483" s="9"/>
      <c r="E483" s="9"/>
      <c r="F483" s="9"/>
      <c r="G483" s="9"/>
      <c r="H483" s="9"/>
      <c r="I483" s="7"/>
      <c r="J483" s="8"/>
      <c r="K483" s="8"/>
      <c r="L483" s="8"/>
      <c r="M483" s="8"/>
      <c r="N483" s="8"/>
      <c r="O483" s="7"/>
      <c r="P483" s="7"/>
      <c r="Q483" s="7"/>
      <c r="R483" s="7"/>
      <c r="S483" s="7"/>
      <c r="T483" s="7"/>
    </row>
    <row r="484" spans="1:20" s="2" customFormat="1" x14ac:dyDescent="0.25">
      <c r="A484" s="9"/>
      <c r="B484" s="9"/>
      <c r="C484" s="9"/>
      <c r="D484" s="9"/>
      <c r="E484" s="9"/>
      <c r="F484" s="9"/>
      <c r="G484" s="9"/>
      <c r="H484" s="9"/>
      <c r="I484" s="7"/>
      <c r="J484" s="8"/>
      <c r="K484" s="8"/>
      <c r="L484" s="8"/>
      <c r="M484" s="8"/>
      <c r="N484" s="8"/>
      <c r="O484" s="7"/>
      <c r="P484" s="7"/>
      <c r="Q484" s="7"/>
      <c r="R484" s="7"/>
      <c r="S484" s="7"/>
      <c r="T484" s="7"/>
    </row>
    <row r="485" spans="1:20" s="2" customFormat="1" x14ac:dyDescent="0.25">
      <c r="A485" s="9"/>
      <c r="B485" s="9"/>
      <c r="C485" s="9"/>
      <c r="D485" s="9"/>
      <c r="E485" s="9"/>
      <c r="F485" s="9"/>
      <c r="G485" s="9"/>
      <c r="H485" s="9"/>
      <c r="I485" s="7"/>
      <c r="J485" s="8"/>
      <c r="K485" s="8"/>
      <c r="L485" s="8"/>
      <c r="M485" s="8"/>
      <c r="N485" s="8"/>
      <c r="O485" s="7"/>
      <c r="P485" s="7"/>
      <c r="Q485" s="7"/>
      <c r="R485" s="7"/>
      <c r="S485" s="7"/>
      <c r="T485" s="7"/>
    </row>
    <row r="486" spans="1:20" s="2" customFormat="1" x14ac:dyDescent="0.25">
      <c r="A486" s="9"/>
      <c r="B486" s="9"/>
      <c r="C486" s="9"/>
      <c r="D486" s="9"/>
      <c r="E486" s="9"/>
      <c r="F486" s="9"/>
      <c r="G486" s="9"/>
      <c r="H486" s="9"/>
      <c r="I486" s="7"/>
      <c r="J486" s="8"/>
      <c r="K486" s="8"/>
      <c r="L486" s="8"/>
      <c r="M486" s="8"/>
      <c r="N486" s="8"/>
      <c r="O486" s="7"/>
      <c r="P486" s="7"/>
      <c r="Q486" s="7"/>
      <c r="R486" s="7"/>
      <c r="S486" s="7"/>
      <c r="T486" s="7"/>
    </row>
    <row r="487" spans="1:20" s="2" customFormat="1" x14ac:dyDescent="0.25">
      <c r="A487" s="9"/>
      <c r="B487" s="9"/>
      <c r="C487" s="9"/>
      <c r="D487" s="9"/>
      <c r="E487" s="9"/>
      <c r="F487" s="9"/>
      <c r="G487" s="9"/>
      <c r="H487" s="9"/>
      <c r="I487" s="7"/>
      <c r="J487" s="8"/>
      <c r="K487" s="8"/>
      <c r="L487" s="8"/>
      <c r="M487" s="8"/>
      <c r="N487" s="8"/>
      <c r="O487" s="7"/>
      <c r="P487" s="7"/>
      <c r="Q487" s="7"/>
      <c r="R487" s="7"/>
      <c r="S487" s="7"/>
      <c r="T487" s="7"/>
    </row>
    <row r="488" spans="1:20" s="2" customFormat="1" x14ac:dyDescent="0.25">
      <c r="A488" s="9"/>
      <c r="B488" s="9"/>
      <c r="C488" s="9"/>
      <c r="D488" s="9"/>
      <c r="E488" s="9"/>
      <c r="F488" s="9"/>
      <c r="G488" s="9"/>
      <c r="H488" s="9"/>
      <c r="I488" s="7"/>
      <c r="J488" s="8"/>
      <c r="K488" s="8"/>
      <c r="L488" s="8"/>
      <c r="M488" s="8"/>
      <c r="N488" s="8"/>
      <c r="O488" s="7"/>
      <c r="P488" s="7"/>
      <c r="Q488" s="7"/>
      <c r="R488" s="7"/>
      <c r="S488" s="7"/>
      <c r="T488" s="7"/>
    </row>
    <row r="489" spans="1:20" s="2" customFormat="1" x14ac:dyDescent="0.25">
      <c r="A489" s="9"/>
      <c r="B489" s="9"/>
      <c r="C489" s="9"/>
      <c r="D489" s="9"/>
      <c r="E489" s="9"/>
      <c r="F489" s="9"/>
      <c r="G489" s="9"/>
      <c r="H489" s="9"/>
      <c r="I489" s="7"/>
      <c r="J489" s="8"/>
      <c r="K489" s="8"/>
      <c r="L489" s="8"/>
      <c r="M489" s="8"/>
      <c r="N489" s="8"/>
      <c r="O489" s="7"/>
      <c r="P489" s="7"/>
      <c r="Q489" s="7"/>
      <c r="R489" s="7"/>
      <c r="S489" s="7"/>
      <c r="T489" s="7"/>
    </row>
    <row r="490" spans="1:20" s="2" customFormat="1" x14ac:dyDescent="0.25">
      <c r="A490" s="9"/>
      <c r="B490" s="9"/>
      <c r="C490" s="9"/>
      <c r="D490" s="9"/>
      <c r="E490" s="9"/>
      <c r="F490" s="9"/>
      <c r="G490" s="9"/>
      <c r="H490" s="9"/>
      <c r="I490" s="7"/>
      <c r="J490" s="8"/>
      <c r="K490" s="8"/>
      <c r="L490" s="8"/>
      <c r="M490" s="8"/>
      <c r="N490" s="8"/>
      <c r="O490" s="7"/>
      <c r="P490" s="7"/>
      <c r="Q490" s="7"/>
      <c r="R490" s="7"/>
      <c r="S490" s="7"/>
      <c r="T490" s="7"/>
    </row>
    <row r="491" spans="1:20" s="2" customFormat="1" x14ac:dyDescent="0.25">
      <c r="A491" s="9"/>
      <c r="B491" s="9"/>
      <c r="C491" s="9"/>
      <c r="D491" s="9"/>
      <c r="E491" s="9"/>
      <c r="F491" s="9"/>
      <c r="G491" s="9"/>
      <c r="H491" s="9"/>
      <c r="I491" s="7"/>
      <c r="J491" s="8"/>
      <c r="K491" s="8"/>
      <c r="L491" s="8"/>
      <c r="M491" s="8"/>
      <c r="N491" s="8"/>
      <c r="O491" s="7"/>
      <c r="P491" s="7"/>
      <c r="Q491" s="7"/>
      <c r="R491" s="7"/>
      <c r="S491" s="7"/>
      <c r="T491" s="7"/>
    </row>
    <row r="492" spans="1:20" s="2" customFormat="1" x14ac:dyDescent="0.25">
      <c r="A492" s="9"/>
      <c r="B492" s="9"/>
      <c r="C492" s="9"/>
      <c r="D492" s="9"/>
      <c r="E492" s="9"/>
      <c r="F492" s="9"/>
      <c r="G492" s="9"/>
      <c r="H492" s="9"/>
      <c r="I492" s="7"/>
      <c r="J492" s="8"/>
      <c r="K492" s="8"/>
      <c r="L492" s="8"/>
      <c r="M492" s="8"/>
      <c r="N492" s="8"/>
      <c r="O492" s="7"/>
      <c r="P492" s="7"/>
      <c r="Q492" s="7"/>
      <c r="R492" s="7"/>
      <c r="S492" s="7"/>
      <c r="T492" s="7"/>
    </row>
    <row r="493" spans="1:20" s="2" customFormat="1" x14ac:dyDescent="0.25">
      <c r="A493" s="9"/>
      <c r="B493" s="9"/>
      <c r="C493" s="9"/>
      <c r="D493" s="9"/>
      <c r="E493" s="9"/>
      <c r="F493" s="9"/>
      <c r="G493" s="9"/>
      <c r="H493" s="9"/>
      <c r="I493" s="7"/>
      <c r="J493" s="8"/>
      <c r="K493" s="8"/>
      <c r="L493" s="8"/>
      <c r="M493" s="8"/>
      <c r="N493" s="8"/>
      <c r="O493" s="7"/>
      <c r="P493" s="7"/>
      <c r="Q493" s="7"/>
      <c r="R493" s="7"/>
      <c r="S493" s="7"/>
      <c r="T493" s="7"/>
    </row>
    <row r="494" spans="1:20" s="2" customFormat="1" x14ac:dyDescent="0.25">
      <c r="A494" s="9"/>
      <c r="B494" s="9"/>
      <c r="C494" s="9"/>
      <c r="D494" s="9"/>
      <c r="E494" s="9"/>
      <c r="F494" s="9"/>
      <c r="G494" s="9"/>
      <c r="H494" s="9"/>
      <c r="I494" s="7"/>
      <c r="J494" s="8"/>
      <c r="K494" s="8"/>
      <c r="L494" s="8"/>
      <c r="M494" s="8"/>
      <c r="N494" s="8"/>
      <c r="O494" s="7"/>
      <c r="P494" s="7"/>
      <c r="Q494" s="7"/>
      <c r="R494" s="7"/>
      <c r="S494" s="7"/>
      <c r="T494" s="7"/>
    </row>
    <row r="495" spans="1:20" s="2" customFormat="1" x14ac:dyDescent="0.25">
      <c r="A495" s="9"/>
      <c r="B495" s="9"/>
      <c r="C495" s="9"/>
      <c r="D495" s="9"/>
      <c r="E495" s="9"/>
      <c r="F495" s="9"/>
      <c r="G495" s="9"/>
      <c r="H495" s="9"/>
      <c r="I495" s="7"/>
      <c r="J495" s="8"/>
      <c r="K495" s="8"/>
      <c r="L495" s="8"/>
      <c r="M495" s="8"/>
      <c r="N495" s="8"/>
      <c r="O495" s="7"/>
      <c r="P495" s="7"/>
      <c r="Q495" s="7"/>
      <c r="R495" s="7"/>
      <c r="S495" s="7"/>
      <c r="T495" s="7"/>
    </row>
    <row r="496" spans="1:20" s="2" customFormat="1" x14ac:dyDescent="0.25">
      <c r="A496" s="9"/>
      <c r="B496" s="9"/>
      <c r="C496" s="9"/>
      <c r="D496" s="9"/>
      <c r="E496" s="9"/>
      <c r="F496" s="9"/>
      <c r="G496" s="9"/>
      <c r="H496" s="9"/>
      <c r="I496" s="7"/>
      <c r="J496" s="8"/>
      <c r="K496" s="8"/>
      <c r="L496" s="8"/>
      <c r="M496" s="8"/>
      <c r="N496" s="8"/>
      <c r="O496" s="7"/>
      <c r="P496" s="7"/>
      <c r="Q496" s="7"/>
      <c r="R496" s="7"/>
      <c r="S496" s="7"/>
      <c r="T496" s="7"/>
    </row>
    <row r="497" spans="1:20" s="2" customFormat="1" x14ac:dyDescent="0.25">
      <c r="A497" s="9"/>
      <c r="B497" s="9"/>
      <c r="C497" s="9"/>
      <c r="D497" s="9"/>
      <c r="E497" s="9"/>
      <c r="F497" s="9"/>
      <c r="G497" s="9"/>
      <c r="H497" s="9"/>
      <c r="I497" s="7"/>
      <c r="J497" s="8"/>
      <c r="K497" s="8"/>
      <c r="L497" s="8"/>
      <c r="M497" s="8"/>
      <c r="N497" s="8"/>
      <c r="O497" s="7"/>
      <c r="P497" s="7"/>
      <c r="Q497" s="7"/>
      <c r="R497" s="7"/>
      <c r="S497" s="7"/>
      <c r="T497" s="7"/>
    </row>
    <row r="498" spans="1:20" s="2" customFormat="1" x14ac:dyDescent="0.25">
      <c r="A498" s="9"/>
      <c r="B498" s="9"/>
      <c r="C498" s="9"/>
      <c r="D498" s="9"/>
      <c r="E498" s="9"/>
      <c r="F498" s="9"/>
      <c r="G498" s="9"/>
      <c r="H498" s="9"/>
      <c r="I498" s="7"/>
      <c r="J498" s="8"/>
      <c r="K498" s="8"/>
      <c r="L498" s="8"/>
      <c r="M498" s="8"/>
      <c r="N498" s="8"/>
      <c r="O498" s="7"/>
      <c r="P498" s="7"/>
      <c r="Q498" s="7"/>
      <c r="R498" s="7"/>
      <c r="S498" s="7"/>
      <c r="T498" s="7"/>
    </row>
    <row r="499" spans="1:20" s="2" customFormat="1" x14ac:dyDescent="0.25">
      <c r="A499" s="9"/>
      <c r="B499" s="9"/>
      <c r="C499" s="9"/>
      <c r="D499" s="9"/>
      <c r="E499" s="9"/>
      <c r="F499" s="9"/>
      <c r="G499" s="9"/>
      <c r="H499" s="9"/>
      <c r="I499" s="7"/>
      <c r="J499" s="8"/>
      <c r="K499" s="8"/>
      <c r="L499" s="8"/>
      <c r="M499" s="8"/>
      <c r="N499" s="8"/>
      <c r="O499" s="7"/>
      <c r="P499" s="7"/>
      <c r="Q499" s="7"/>
      <c r="R499" s="7"/>
      <c r="S499" s="7"/>
      <c r="T499" s="7"/>
    </row>
    <row r="500" spans="1:20" s="2" customFormat="1" x14ac:dyDescent="0.25">
      <c r="A500" s="9"/>
      <c r="B500" s="9"/>
      <c r="C500" s="9"/>
      <c r="D500" s="9"/>
      <c r="E500" s="9"/>
      <c r="F500" s="9"/>
      <c r="G500" s="9"/>
      <c r="H500" s="9"/>
      <c r="I500" s="7"/>
      <c r="J500" s="8"/>
      <c r="K500" s="8"/>
      <c r="L500" s="8"/>
      <c r="M500" s="8"/>
      <c r="N500" s="8"/>
      <c r="O500" s="7"/>
      <c r="P500" s="7"/>
      <c r="Q500" s="7"/>
      <c r="R500" s="7"/>
      <c r="S500" s="7"/>
      <c r="T500" s="7"/>
    </row>
    <row r="501" spans="1:20" s="2" customFormat="1" x14ac:dyDescent="0.25">
      <c r="A501" s="9"/>
      <c r="B501" s="9"/>
      <c r="C501" s="9"/>
      <c r="D501" s="9"/>
      <c r="E501" s="9"/>
      <c r="F501" s="9"/>
      <c r="G501" s="9"/>
      <c r="H501" s="9"/>
      <c r="I501" s="7"/>
      <c r="J501" s="8"/>
      <c r="K501" s="8"/>
      <c r="L501" s="8"/>
      <c r="M501" s="8"/>
      <c r="N501" s="8"/>
      <c r="O501" s="7"/>
      <c r="P501" s="7"/>
      <c r="Q501" s="7"/>
      <c r="R501" s="7"/>
      <c r="S501" s="7"/>
      <c r="T501" s="7"/>
    </row>
    <row r="502" spans="1:20" s="2" customFormat="1" x14ac:dyDescent="0.25">
      <c r="A502" s="9"/>
      <c r="B502" s="9"/>
      <c r="C502" s="9"/>
      <c r="D502" s="9"/>
      <c r="E502" s="9"/>
      <c r="F502" s="9"/>
      <c r="G502" s="9"/>
      <c r="H502" s="9"/>
      <c r="I502" s="7"/>
      <c r="J502" s="8"/>
      <c r="K502" s="8"/>
      <c r="L502" s="8"/>
      <c r="M502" s="8"/>
      <c r="N502" s="8"/>
      <c r="O502" s="7"/>
      <c r="P502" s="7"/>
      <c r="Q502" s="7"/>
      <c r="R502" s="7"/>
      <c r="S502" s="7"/>
      <c r="T502" s="7"/>
    </row>
    <row r="503" spans="1:20" s="2" customFormat="1" x14ac:dyDescent="0.25">
      <c r="A503" s="9"/>
      <c r="B503" s="9"/>
      <c r="C503" s="9"/>
      <c r="D503" s="9"/>
      <c r="E503" s="9"/>
      <c r="F503" s="9"/>
      <c r="G503" s="9"/>
      <c r="H503" s="9"/>
      <c r="I503" s="7"/>
      <c r="J503" s="8"/>
      <c r="K503" s="8"/>
      <c r="L503" s="8"/>
      <c r="M503" s="8"/>
      <c r="N503" s="8"/>
      <c r="O503" s="7"/>
      <c r="P503" s="7"/>
      <c r="Q503" s="7"/>
      <c r="R503" s="7"/>
      <c r="S503" s="7"/>
      <c r="T503" s="7"/>
    </row>
    <row r="504" spans="1:20" s="2" customFormat="1" x14ac:dyDescent="0.25">
      <c r="A504" s="9"/>
      <c r="B504" s="9"/>
      <c r="C504" s="9"/>
      <c r="D504" s="9"/>
      <c r="E504" s="9"/>
      <c r="F504" s="9"/>
      <c r="G504" s="9"/>
      <c r="H504" s="9"/>
      <c r="I504" s="7"/>
      <c r="J504" s="8"/>
      <c r="K504" s="8"/>
      <c r="L504" s="8"/>
      <c r="M504" s="8"/>
      <c r="N504" s="8"/>
      <c r="O504" s="7"/>
      <c r="P504" s="7"/>
      <c r="Q504" s="7"/>
      <c r="R504" s="7"/>
      <c r="S504" s="7"/>
      <c r="T504" s="7"/>
    </row>
    <row r="505" spans="1:20" s="2" customFormat="1" x14ac:dyDescent="0.25">
      <c r="A505" s="9"/>
      <c r="B505" s="9"/>
      <c r="C505" s="9"/>
      <c r="D505" s="9"/>
      <c r="E505" s="9"/>
      <c r="F505" s="9"/>
      <c r="G505" s="9"/>
      <c r="H505" s="9"/>
      <c r="I505" s="7"/>
      <c r="J505" s="8"/>
      <c r="K505" s="8"/>
      <c r="L505" s="8"/>
      <c r="M505" s="8"/>
      <c r="N505" s="8"/>
      <c r="O505" s="7"/>
      <c r="P505" s="7"/>
      <c r="Q505" s="7"/>
      <c r="R505" s="7"/>
      <c r="S505" s="7"/>
      <c r="T505" s="7"/>
    </row>
    <row r="506" spans="1:20" s="2" customFormat="1" x14ac:dyDescent="0.25">
      <c r="A506" s="9"/>
      <c r="B506" s="9"/>
      <c r="C506" s="9"/>
      <c r="D506" s="9"/>
      <c r="E506" s="9"/>
      <c r="F506" s="9"/>
      <c r="G506" s="9"/>
      <c r="H506" s="9"/>
      <c r="I506" s="7"/>
      <c r="J506" s="8"/>
      <c r="K506" s="8"/>
      <c r="L506" s="8"/>
      <c r="M506" s="8"/>
      <c r="N506" s="8"/>
      <c r="O506" s="7"/>
      <c r="P506" s="7"/>
      <c r="Q506" s="7"/>
      <c r="R506" s="7"/>
      <c r="S506" s="7"/>
      <c r="T506" s="7"/>
    </row>
    <row r="507" spans="1:20" s="2" customFormat="1" x14ac:dyDescent="0.25">
      <c r="A507" s="9"/>
      <c r="B507" s="9"/>
      <c r="C507" s="9"/>
      <c r="D507" s="9"/>
      <c r="E507" s="9"/>
      <c r="F507" s="9"/>
      <c r="G507" s="9"/>
      <c r="H507" s="9"/>
      <c r="I507" s="7"/>
      <c r="J507" s="8"/>
      <c r="K507" s="8"/>
      <c r="L507" s="8"/>
      <c r="M507" s="8"/>
      <c r="N507" s="8"/>
      <c r="O507" s="7"/>
      <c r="P507" s="7"/>
      <c r="Q507" s="7"/>
      <c r="R507" s="7"/>
      <c r="S507" s="7"/>
      <c r="T507" s="7"/>
    </row>
    <row r="508" spans="1:20" s="2" customFormat="1" x14ac:dyDescent="0.25">
      <c r="A508" s="9"/>
      <c r="B508" s="9"/>
      <c r="C508" s="9"/>
      <c r="D508" s="9"/>
      <c r="E508" s="9"/>
      <c r="F508" s="9"/>
      <c r="G508" s="9"/>
      <c r="H508" s="9"/>
      <c r="I508" s="7"/>
      <c r="J508" s="8"/>
      <c r="K508" s="8"/>
      <c r="L508" s="8"/>
      <c r="M508" s="8"/>
      <c r="N508" s="8"/>
      <c r="O508" s="7"/>
      <c r="P508" s="7"/>
      <c r="Q508" s="7"/>
      <c r="R508" s="7"/>
      <c r="S508" s="7"/>
      <c r="T508" s="7"/>
    </row>
    <row r="509" spans="1:20" s="2" customFormat="1" x14ac:dyDescent="0.25">
      <c r="A509" s="9"/>
      <c r="B509" s="9"/>
      <c r="C509" s="9"/>
      <c r="D509" s="9"/>
      <c r="E509" s="9"/>
      <c r="F509" s="9"/>
      <c r="G509" s="9"/>
      <c r="H509" s="9"/>
      <c r="I509" s="7"/>
      <c r="J509" s="8"/>
      <c r="K509" s="8"/>
      <c r="L509" s="8"/>
      <c r="M509" s="8"/>
      <c r="N509" s="8"/>
      <c r="O509" s="7"/>
      <c r="P509" s="7"/>
      <c r="Q509" s="7"/>
      <c r="R509" s="7"/>
      <c r="S509" s="7"/>
      <c r="T509" s="7"/>
    </row>
    <row r="510" spans="1:20" s="2" customFormat="1" x14ac:dyDescent="0.25">
      <c r="A510" s="9"/>
      <c r="B510" s="9"/>
      <c r="C510" s="9"/>
      <c r="D510" s="9"/>
      <c r="E510" s="9"/>
      <c r="F510" s="9"/>
      <c r="G510" s="9"/>
      <c r="H510" s="9"/>
      <c r="I510" s="7"/>
      <c r="J510" s="8"/>
      <c r="K510" s="8"/>
      <c r="L510" s="8"/>
      <c r="M510" s="8"/>
      <c r="N510" s="8"/>
      <c r="O510" s="7"/>
      <c r="P510" s="7"/>
      <c r="Q510" s="7"/>
      <c r="R510" s="7"/>
      <c r="S510" s="7"/>
      <c r="T510" s="7"/>
    </row>
    <row r="511" spans="1:20" s="2" customFormat="1" x14ac:dyDescent="0.25">
      <c r="A511" s="9"/>
      <c r="B511" s="9"/>
      <c r="C511" s="9"/>
      <c r="D511" s="9"/>
      <c r="E511" s="9"/>
      <c r="F511" s="9"/>
      <c r="G511" s="9"/>
      <c r="H511" s="9"/>
      <c r="I511" s="7"/>
      <c r="J511" s="8"/>
      <c r="K511" s="8"/>
      <c r="L511" s="8"/>
      <c r="M511" s="8"/>
      <c r="N511" s="8"/>
      <c r="O511" s="7"/>
      <c r="P511" s="7"/>
      <c r="Q511" s="7"/>
      <c r="R511" s="7"/>
      <c r="S511" s="7"/>
      <c r="T511" s="7"/>
    </row>
    <row r="512" spans="1:20" s="2" customFormat="1" x14ac:dyDescent="0.25">
      <c r="A512" s="9"/>
      <c r="B512" s="9"/>
      <c r="C512" s="9"/>
      <c r="D512" s="9"/>
      <c r="E512" s="9"/>
      <c r="F512" s="9"/>
      <c r="G512" s="9"/>
      <c r="H512" s="9"/>
      <c r="I512" s="7"/>
      <c r="J512" s="8"/>
      <c r="K512" s="8"/>
      <c r="L512" s="8"/>
      <c r="M512" s="8"/>
      <c r="N512" s="8"/>
      <c r="O512" s="7"/>
      <c r="P512" s="7"/>
      <c r="Q512" s="7"/>
      <c r="R512" s="7"/>
      <c r="S512" s="7"/>
      <c r="T512" s="7"/>
    </row>
    <row r="513" spans="1:20" s="2" customFormat="1" x14ac:dyDescent="0.25">
      <c r="A513" s="9"/>
      <c r="B513" s="9"/>
      <c r="C513" s="9"/>
      <c r="D513" s="9"/>
      <c r="E513" s="9"/>
      <c r="F513" s="9"/>
      <c r="G513" s="9"/>
      <c r="H513" s="9"/>
      <c r="I513" s="7"/>
      <c r="J513" s="8"/>
      <c r="K513" s="8"/>
      <c r="L513" s="8"/>
      <c r="M513" s="8"/>
      <c r="N513" s="8"/>
      <c r="O513" s="7"/>
      <c r="P513" s="7"/>
      <c r="Q513" s="7"/>
      <c r="R513" s="7"/>
      <c r="S513" s="7"/>
      <c r="T513" s="7"/>
    </row>
    <row r="514" spans="1:20" s="2" customFormat="1" x14ac:dyDescent="0.25">
      <c r="A514" s="9"/>
      <c r="B514" s="9"/>
      <c r="C514" s="9"/>
      <c r="D514" s="9"/>
      <c r="E514" s="9"/>
      <c r="F514" s="9"/>
      <c r="G514" s="9"/>
      <c r="H514" s="9"/>
      <c r="I514" s="7"/>
      <c r="J514" s="8"/>
      <c r="K514" s="8"/>
      <c r="L514" s="8"/>
      <c r="M514" s="8"/>
      <c r="N514" s="8"/>
      <c r="O514" s="7"/>
      <c r="P514" s="7"/>
      <c r="Q514" s="7"/>
      <c r="R514" s="7"/>
      <c r="S514" s="7"/>
      <c r="T514" s="7"/>
    </row>
    <row r="515" spans="1:20" s="2" customFormat="1" x14ac:dyDescent="0.25">
      <c r="A515" s="9"/>
      <c r="B515" s="9"/>
      <c r="C515" s="9"/>
      <c r="D515" s="9"/>
      <c r="E515" s="9"/>
      <c r="F515" s="9"/>
      <c r="G515" s="9"/>
      <c r="H515" s="9"/>
      <c r="I515" s="7"/>
      <c r="J515" s="8"/>
      <c r="K515" s="8"/>
      <c r="L515" s="8"/>
      <c r="M515" s="8"/>
      <c r="N515" s="8"/>
      <c r="O515" s="7"/>
      <c r="P515" s="7"/>
      <c r="Q515" s="7"/>
      <c r="R515" s="7"/>
      <c r="S515" s="7"/>
      <c r="T515" s="7"/>
    </row>
    <row r="516" spans="1:20" s="2" customFormat="1" x14ac:dyDescent="0.25">
      <c r="A516" s="9"/>
      <c r="B516" s="9"/>
      <c r="C516" s="9"/>
      <c r="D516" s="9"/>
      <c r="E516" s="9"/>
      <c r="F516" s="9"/>
      <c r="G516" s="9"/>
      <c r="H516" s="9"/>
      <c r="I516" s="7"/>
      <c r="J516" s="8"/>
      <c r="K516" s="8"/>
      <c r="L516" s="8"/>
      <c r="M516" s="8"/>
      <c r="N516" s="8"/>
      <c r="O516" s="7"/>
      <c r="P516" s="7"/>
      <c r="Q516" s="7"/>
      <c r="R516" s="7"/>
      <c r="S516" s="7"/>
      <c r="T516" s="7"/>
    </row>
    <row r="517" spans="1:20" s="2" customFormat="1" x14ac:dyDescent="0.25">
      <c r="A517" s="9"/>
      <c r="B517" s="9"/>
      <c r="C517" s="9"/>
      <c r="D517" s="9"/>
      <c r="E517" s="9"/>
      <c r="F517" s="9"/>
      <c r="G517" s="9"/>
      <c r="H517" s="9"/>
      <c r="I517" s="7"/>
      <c r="J517" s="8"/>
      <c r="K517" s="8"/>
      <c r="L517" s="8"/>
      <c r="M517" s="8"/>
      <c r="N517" s="8"/>
      <c r="O517" s="7"/>
      <c r="P517" s="7"/>
      <c r="Q517" s="7"/>
      <c r="R517" s="7"/>
      <c r="S517" s="7"/>
      <c r="T517" s="7"/>
    </row>
    <row r="518" spans="1:20" s="2" customFormat="1" x14ac:dyDescent="0.25">
      <c r="A518" s="9"/>
      <c r="B518" s="9"/>
      <c r="C518" s="9"/>
      <c r="D518" s="9"/>
      <c r="E518" s="9"/>
      <c r="F518" s="9"/>
      <c r="G518" s="9"/>
      <c r="H518" s="9"/>
      <c r="I518" s="7"/>
      <c r="J518" s="8"/>
      <c r="K518" s="8"/>
      <c r="L518" s="8"/>
      <c r="M518" s="8"/>
      <c r="N518" s="8"/>
      <c r="O518" s="7"/>
      <c r="P518" s="7"/>
      <c r="Q518" s="7"/>
      <c r="R518" s="7"/>
      <c r="S518" s="7"/>
      <c r="T518" s="7"/>
    </row>
    <row r="519" spans="1:20" s="2" customFormat="1" x14ac:dyDescent="0.25">
      <c r="A519" s="9"/>
      <c r="B519" s="9"/>
      <c r="C519" s="9"/>
      <c r="D519" s="9"/>
      <c r="E519" s="9"/>
      <c r="F519" s="9"/>
      <c r="G519" s="9"/>
      <c r="H519" s="9"/>
      <c r="I519" s="7"/>
      <c r="J519" s="8"/>
      <c r="K519" s="8"/>
      <c r="L519" s="8"/>
      <c r="M519" s="8"/>
      <c r="N519" s="8"/>
      <c r="O519" s="7"/>
      <c r="P519" s="7"/>
      <c r="Q519" s="7"/>
      <c r="R519" s="7"/>
      <c r="S519" s="7"/>
      <c r="T519" s="7"/>
    </row>
    <row r="520" spans="1:20" s="2" customFormat="1" x14ac:dyDescent="0.25">
      <c r="A520" s="9"/>
      <c r="B520" s="9"/>
      <c r="C520" s="9"/>
      <c r="D520" s="9"/>
      <c r="E520" s="9"/>
      <c r="F520" s="9"/>
      <c r="G520" s="9"/>
      <c r="H520" s="9"/>
      <c r="I520" s="7"/>
      <c r="J520" s="8"/>
      <c r="K520" s="8"/>
      <c r="L520" s="8"/>
      <c r="M520" s="8"/>
      <c r="N520" s="8"/>
      <c r="O520" s="7"/>
      <c r="P520" s="7"/>
      <c r="Q520" s="7"/>
      <c r="R520" s="7"/>
      <c r="S520" s="7"/>
      <c r="T520" s="7"/>
    </row>
    <row r="521" spans="1:20" s="2" customFormat="1" x14ac:dyDescent="0.25">
      <c r="A521" s="9"/>
      <c r="B521" s="9"/>
      <c r="C521" s="9"/>
      <c r="D521" s="9"/>
      <c r="E521" s="9"/>
      <c r="F521" s="9"/>
      <c r="G521" s="9"/>
      <c r="H521" s="9"/>
      <c r="I521" s="7"/>
      <c r="J521" s="8"/>
      <c r="K521" s="8"/>
      <c r="L521" s="8"/>
      <c r="M521" s="8"/>
      <c r="N521" s="8"/>
      <c r="O521" s="7"/>
      <c r="P521" s="7"/>
      <c r="Q521" s="7"/>
      <c r="R521" s="7"/>
      <c r="S521" s="7"/>
      <c r="T521" s="7"/>
    </row>
    <row r="522" spans="1:20" s="2" customFormat="1" x14ac:dyDescent="0.25">
      <c r="A522" s="9"/>
      <c r="B522" s="9"/>
      <c r="C522" s="9"/>
      <c r="D522" s="9"/>
      <c r="E522" s="9"/>
      <c r="F522" s="9"/>
      <c r="G522" s="9"/>
      <c r="H522" s="9"/>
      <c r="I522" s="7"/>
      <c r="J522" s="8"/>
      <c r="K522" s="8"/>
      <c r="L522" s="8"/>
      <c r="M522" s="8"/>
      <c r="N522" s="8"/>
      <c r="O522" s="7"/>
      <c r="P522" s="7"/>
      <c r="Q522" s="7"/>
      <c r="R522" s="7"/>
      <c r="S522" s="7"/>
      <c r="T522" s="7"/>
    </row>
    <row r="523" spans="1:20" s="2" customFormat="1" x14ac:dyDescent="0.25">
      <c r="A523" s="9"/>
      <c r="B523" s="9"/>
      <c r="C523" s="9"/>
      <c r="D523" s="9"/>
      <c r="E523" s="9"/>
      <c r="F523" s="9"/>
      <c r="G523" s="9"/>
      <c r="H523" s="9"/>
      <c r="I523" s="7"/>
      <c r="J523" s="8"/>
      <c r="K523" s="8"/>
      <c r="L523" s="8"/>
      <c r="M523" s="8"/>
      <c r="N523" s="8"/>
      <c r="O523" s="7"/>
      <c r="P523" s="7"/>
      <c r="Q523" s="7"/>
      <c r="R523" s="7"/>
      <c r="S523" s="7"/>
      <c r="T523" s="7"/>
    </row>
    <row r="524" spans="1:20" s="2" customFormat="1" x14ac:dyDescent="0.25">
      <c r="A524" s="9"/>
      <c r="B524" s="9"/>
      <c r="C524" s="9"/>
      <c r="D524" s="9"/>
      <c r="E524" s="9"/>
      <c r="F524" s="9"/>
      <c r="G524" s="9"/>
      <c r="H524" s="9"/>
      <c r="I524" s="7"/>
      <c r="J524" s="8"/>
      <c r="K524" s="8"/>
      <c r="L524" s="8"/>
      <c r="M524" s="8"/>
      <c r="N524" s="8"/>
      <c r="O524" s="7"/>
      <c r="P524" s="7"/>
      <c r="Q524" s="7"/>
      <c r="R524" s="7"/>
      <c r="S524" s="7"/>
      <c r="T524" s="7"/>
    </row>
    <row r="525" spans="1:20" s="2" customFormat="1" x14ac:dyDescent="0.25">
      <c r="A525" s="9"/>
      <c r="B525" s="9"/>
      <c r="C525" s="9"/>
      <c r="D525" s="9"/>
      <c r="E525" s="9"/>
      <c r="F525" s="9"/>
      <c r="G525" s="9"/>
      <c r="H525" s="9"/>
      <c r="I525" s="7"/>
      <c r="J525" s="8"/>
      <c r="K525" s="8"/>
      <c r="L525" s="8"/>
      <c r="M525" s="8"/>
      <c r="N525" s="8"/>
      <c r="O525" s="7"/>
      <c r="P525" s="7"/>
      <c r="Q525" s="7"/>
      <c r="R525" s="7"/>
      <c r="S525" s="7"/>
      <c r="T525" s="7"/>
    </row>
    <row r="526" spans="1:20" s="2" customFormat="1" x14ac:dyDescent="0.25">
      <c r="A526" s="9"/>
      <c r="B526" s="9"/>
      <c r="C526" s="9"/>
      <c r="D526" s="9"/>
      <c r="E526" s="9"/>
      <c r="F526" s="9"/>
      <c r="G526" s="9"/>
      <c r="H526" s="9"/>
      <c r="I526" s="7"/>
      <c r="J526" s="8"/>
      <c r="K526" s="8"/>
      <c r="L526" s="8"/>
      <c r="M526" s="8"/>
      <c r="N526" s="8"/>
      <c r="O526" s="7"/>
      <c r="P526" s="7"/>
      <c r="Q526" s="7"/>
      <c r="R526" s="7"/>
      <c r="S526" s="7"/>
      <c r="T526" s="7"/>
    </row>
    <row r="527" spans="1:20" s="2" customFormat="1" x14ac:dyDescent="0.25">
      <c r="A527" s="9"/>
      <c r="B527" s="9"/>
      <c r="C527" s="9"/>
      <c r="D527" s="9"/>
      <c r="E527" s="9"/>
      <c r="F527" s="9"/>
      <c r="G527" s="9"/>
      <c r="H527" s="9"/>
      <c r="I527" s="7"/>
      <c r="J527" s="8"/>
      <c r="K527" s="8"/>
      <c r="L527" s="8"/>
      <c r="M527" s="8"/>
      <c r="N527" s="8"/>
      <c r="O527" s="7"/>
      <c r="P527" s="7"/>
      <c r="Q527" s="7"/>
      <c r="R527" s="7"/>
      <c r="S527" s="7"/>
      <c r="T527" s="7"/>
    </row>
    <row r="528" spans="1:20" s="2" customFormat="1" x14ac:dyDescent="0.25">
      <c r="A528" s="9"/>
      <c r="B528" s="9"/>
      <c r="C528" s="9"/>
      <c r="D528" s="9"/>
      <c r="E528" s="9"/>
      <c r="F528" s="9"/>
      <c r="G528" s="9"/>
      <c r="H528" s="9"/>
      <c r="I528" s="7"/>
      <c r="J528" s="8"/>
      <c r="K528" s="8"/>
      <c r="L528" s="8"/>
      <c r="M528" s="8"/>
      <c r="N528" s="8"/>
      <c r="O528" s="7"/>
      <c r="P528" s="7"/>
      <c r="Q528" s="7"/>
      <c r="R528" s="7"/>
      <c r="S528" s="7"/>
      <c r="T528" s="7"/>
    </row>
    <row r="529" spans="1:20" s="2" customFormat="1" x14ac:dyDescent="0.25">
      <c r="A529" s="9"/>
      <c r="B529" s="9"/>
      <c r="C529" s="9"/>
      <c r="D529" s="9"/>
      <c r="E529" s="9"/>
      <c r="F529" s="9"/>
      <c r="G529" s="9"/>
      <c r="H529" s="9"/>
      <c r="I529" s="7"/>
      <c r="J529" s="8"/>
      <c r="K529" s="8"/>
      <c r="L529" s="8"/>
      <c r="M529" s="8"/>
      <c r="N529" s="8"/>
      <c r="O529" s="7"/>
      <c r="P529" s="7"/>
      <c r="Q529" s="7"/>
      <c r="R529" s="7"/>
      <c r="S529" s="7"/>
      <c r="T529" s="7"/>
    </row>
    <row r="530" spans="1:20" s="2" customFormat="1" x14ac:dyDescent="0.25">
      <c r="A530" s="9"/>
      <c r="B530" s="9"/>
      <c r="C530" s="9"/>
      <c r="D530" s="9"/>
      <c r="E530" s="9"/>
      <c r="F530" s="9"/>
      <c r="G530" s="9"/>
      <c r="H530" s="9"/>
      <c r="I530" s="7"/>
      <c r="J530" s="8"/>
      <c r="K530" s="8"/>
      <c r="L530" s="8"/>
      <c r="M530" s="8"/>
      <c r="N530" s="8"/>
      <c r="O530" s="7"/>
      <c r="P530" s="7"/>
      <c r="Q530" s="7"/>
      <c r="R530" s="7"/>
      <c r="S530" s="7"/>
      <c r="T530" s="7"/>
    </row>
    <row r="531" spans="1:20" s="2" customFormat="1" x14ac:dyDescent="0.25">
      <c r="A531" s="9"/>
      <c r="B531" s="9"/>
      <c r="C531" s="9"/>
      <c r="D531" s="9"/>
      <c r="E531" s="9"/>
      <c r="F531" s="9"/>
      <c r="G531" s="9"/>
      <c r="H531" s="9"/>
      <c r="I531" s="7"/>
      <c r="J531" s="8"/>
      <c r="K531" s="8"/>
      <c r="L531" s="8"/>
      <c r="M531" s="8"/>
      <c r="N531" s="8"/>
      <c r="O531" s="7"/>
      <c r="P531" s="7"/>
      <c r="Q531" s="7"/>
      <c r="R531" s="7"/>
      <c r="S531" s="7"/>
      <c r="T531" s="7"/>
    </row>
    <row r="532" spans="1:20" s="2" customFormat="1" x14ac:dyDescent="0.25">
      <c r="A532" s="9"/>
      <c r="B532" s="9"/>
      <c r="C532" s="9"/>
      <c r="D532" s="9"/>
      <c r="E532" s="9"/>
      <c r="F532" s="9"/>
      <c r="G532" s="9"/>
      <c r="H532" s="9"/>
      <c r="I532" s="7"/>
      <c r="J532" s="8"/>
      <c r="K532" s="8"/>
      <c r="L532" s="8"/>
      <c r="M532" s="8"/>
      <c r="N532" s="8"/>
      <c r="O532" s="7"/>
      <c r="P532" s="7"/>
      <c r="Q532" s="7"/>
      <c r="R532" s="7"/>
      <c r="S532" s="7"/>
      <c r="T532" s="7"/>
    </row>
    <row r="533" spans="1:20" s="2" customFormat="1" x14ac:dyDescent="0.25">
      <c r="A533" s="9"/>
      <c r="B533" s="9"/>
      <c r="C533" s="9"/>
      <c r="D533" s="9"/>
      <c r="E533" s="9"/>
      <c r="F533" s="9"/>
      <c r="G533" s="9"/>
      <c r="H533" s="9"/>
      <c r="I533" s="7"/>
      <c r="J533" s="8"/>
      <c r="K533" s="8"/>
      <c r="L533" s="8"/>
      <c r="M533" s="8"/>
      <c r="N533" s="8"/>
      <c r="O533" s="7"/>
      <c r="P533" s="7"/>
      <c r="Q533" s="7"/>
      <c r="R533" s="7"/>
      <c r="S533" s="7"/>
      <c r="T533" s="7"/>
    </row>
    <row r="534" spans="1:20" s="2" customFormat="1" x14ac:dyDescent="0.25">
      <c r="A534" s="9"/>
      <c r="B534" s="9"/>
      <c r="C534" s="9"/>
      <c r="D534" s="9"/>
      <c r="E534" s="9"/>
      <c r="F534" s="9"/>
      <c r="G534" s="9"/>
      <c r="H534" s="9"/>
      <c r="I534" s="7"/>
      <c r="J534" s="8"/>
      <c r="K534" s="8"/>
      <c r="L534" s="8"/>
      <c r="M534" s="8"/>
      <c r="N534" s="8"/>
      <c r="O534" s="7"/>
      <c r="P534" s="7"/>
      <c r="Q534" s="7"/>
      <c r="R534" s="7"/>
      <c r="S534" s="7"/>
      <c r="T534" s="7"/>
    </row>
    <row r="535" spans="1:20" s="2" customFormat="1" x14ac:dyDescent="0.25">
      <c r="A535" s="9"/>
      <c r="B535" s="9"/>
      <c r="C535" s="9"/>
      <c r="D535" s="9"/>
      <c r="E535" s="9"/>
      <c r="F535" s="9"/>
      <c r="G535" s="9"/>
      <c r="H535" s="9"/>
      <c r="I535" s="7"/>
      <c r="J535" s="8"/>
      <c r="K535" s="8"/>
      <c r="L535" s="8"/>
      <c r="M535" s="8"/>
      <c r="N535" s="8"/>
      <c r="O535" s="7"/>
      <c r="P535" s="7"/>
      <c r="Q535" s="7"/>
      <c r="R535" s="7"/>
      <c r="S535" s="7"/>
      <c r="T535" s="7"/>
    </row>
    <row r="536" spans="1:20" s="2" customFormat="1" x14ac:dyDescent="0.25">
      <c r="A536" s="9"/>
      <c r="B536" s="9"/>
      <c r="C536" s="9"/>
      <c r="D536" s="9"/>
      <c r="E536" s="9"/>
      <c r="F536" s="9"/>
      <c r="G536" s="9"/>
      <c r="H536" s="9"/>
      <c r="I536" s="7"/>
      <c r="J536" s="8"/>
      <c r="K536" s="8"/>
      <c r="L536" s="8"/>
      <c r="M536" s="8"/>
      <c r="N536" s="8"/>
      <c r="O536" s="7"/>
      <c r="P536" s="7"/>
      <c r="Q536" s="7"/>
      <c r="R536" s="7"/>
      <c r="S536" s="7"/>
      <c r="T536" s="7"/>
    </row>
    <row r="537" spans="1:20" s="2" customFormat="1" x14ac:dyDescent="0.25">
      <c r="A537" s="9"/>
      <c r="B537" s="9"/>
      <c r="C537" s="9"/>
      <c r="D537" s="9"/>
      <c r="E537" s="9"/>
      <c r="F537" s="9"/>
      <c r="G537" s="9"/>
      <c r="H537" s="9"/>
      <c r="I537" s="7"/>
      <c r="J537" s="8"/>
      <c r="K537" s="8"/>
      <c r="L537" s="8"/>
      <c r="M537" s="8"/>
      <c r="N537" s="8"/>
      <c r="O537" s="7"/>
      <c r="P537" s="7"/>
      <c r="Q537" s="7"/>
      <c r="R537" s="7"/>
      <c r="S537" s="7"/>
      <c r="T537" s="7"/>
    </row>
    <row r="538" spans="1:20" s="2" customFormat="1" x14ac:dyDescent="0.25">
      <c r="A538" s="9"/>
      <c r="B538" s="9"/>
      <c r="C538" s="9"/>
      <c r="D538" s="9"/>
      <c r="E538" s="9"/>
      <c r="F538" s="9"/>
      <c r="G538" s="9"/>
      <c r="H538" s="9"/>
      <c r="I538" s="7"/>
      <c r="J538" s="8"/>
      <c r="K538" s="8"/>
      <c r="L538" s="8"/>
      <c r="M538" s="8"/>
      <c r="N538" s="8"/>
      <c r="O538" s="7"/>
      <c r="P538" s="7"/>
      <c r="Q538" s="7"/>
      <c r="R538" s="7"/>
      <c r="S538" s="7"/>
      <c r="T538" s="7"/>
    </row>
    <row r="539" spans="1:20" s="2" customFormat="1" x14ac:dyDescent="0.25">
      <c r="A539" s="9"/>
      <c r="B539" s="9"/>
      <c r="C539" s="9"/>
      <c r="D539" s="9"/>
      <c r="E539" s="9"/>
      <c r="F539" s="9"/>
      <c r="G539" s="9"/>
      <c r="H539" s="9"/>
      <c r="I539" s="7"/>
      <c r="J539" s="8"/>
      <c r="K539" s="8"/>
      <c r="L539" s="8"/>
      <c r="M539" s="8"/>
      <c r="N539" s="8"/>
      <c r="O539" s="7"/>
      <c r="P539" s="7"/>
      <c r="Q539" s="7"/>
      <c r="R539" s="7"/>
      <c r="S539" s="7"/>
      <c r="T539" s="7"/>
    </row>
    <row r="540" spans="1:20" s="2" customFormat="1" x14ac:dyDescent="0.25">
      <c r="A540" s="9"/>
      <c r="B540" s="9"/>
      <c r="C540" s="9"/>
      <c r="D540" s="9"/>
      <c r="E540" s="9"/>
      <c r="F540" s="9"/>
      <c r="G540" s="9"/>
      <c r="H540" s="9"/>
      <c r="I540" s="7"/>
      <c r="J540" s="8"/>
      <c r="K540" s="8"/>
      <c r="L540" s="8"/>
      <c r="M540" s="8"/>
      <c r="N540" s="8"/>
      <c r="O540" s="7"/>
      <c r="P540" s="7"/>
      <c r="Q540" s="7"/>
      <c r="R540" s="7"/>
      <c r="S540" s="7"/>
      <c r="T540" s="7"/>
    </row>
    <row r="541" spans="1:20" s="2" customFormat="1" x14ac:dyDescent="0.25">
      <c r="A541" s="9"/>
      <c r="B541" s="9"/>
      <c r="C541" s="9"/>
      <c r="D541" s="9"/>
      <c r="E541" s="9"/>
      <c r="F541" s="9"/>
      <c r="G541" s="9"/>
      <c r="H541" s="9"/>
      <c r="I541" s="7"/>
      <c r="J541" s="8"/>
      <c r="K541" s="8"/>
      <c r="L541" s="8"/>
      <c r="M541" s="8"/>
      <c r="N541" s="8"/>
      <c r="O541" s="7"/>
      <c r="P541" s="7"/>
      <c r="Q541" s="7"/>
      <c r="R541" s="7"/>
      <c r="S541" s="7"/>
      <c r="T541" s="7"/>
    </row>
    <row r="542" spans="1:20" s="2" customFormat="1" x14ac:dyDescent="0.25">
      <c r="A542" s="9"/>
      <c r="B542" s="9"/>
      <c r="C542" s="9"/>
      <c r="D542" s="9"/>
      <c r="E542" s="9"/>
      <c r="F542" s="9"/>
      <c r="G542" s="9"/>
      <c r="H542" s="9"/>
      <c r="I542" s="7"/>
      <c r="J542" s="8"/>
      <c r="K542" s="8"/>
      <c r="L542" s="8"/>
      <c r="M542" s="8"/>
      <c r="N542" s="8"/>
      <c r="O542" s="7"/>
      <c r="P542" s="7"/>
      <c r="Q542" s="7"/>
      <c r="R542" s="7"/>
      <c r="S542" s="7"/>
      <c r="T542" s="7"/>
    </row>
    <row r="543" spans="1:20" s="2" customFormat="1" x14ac:dyDescent="0.25">
      <c r="A543" s="9"/>
      <c r="B543" s="9"/>
      <c r="C543" s="9"/>
      <c r="D543" s="9"/>
      <c r="E543" s="9"/>
      <c r="F543" s="9"/>
      <c r="G543" s="9"/>
      <c r="H543" s="9"/>
      <c r="I543" s="7"/>
      <c r="J543" s="8"/>
      <c r="K543" s="8"/>
      <c r="L543" s="8"/>
      <c r="M543" s="8"/>
      <c r="N543" s="8"/>
      <c r="O543" s="7"/>
      <c r="P543" s="7"/>
      <c r="Q543" s="7"/>
      <c r="R543" s="7"/>
      <c r="S543" s="7"/>
      <c r="T543" s="7"/>
    </row>
    <row r="544" spans="1:20" s="2" customFormat="1" x14ac:dyDescent="0.25">
      <c r="A544" s="9"/>
      <c r="B544" s="9"/>
      <c r="C544" s="9"/>
      <c r="D544" s="9"/>
      <c r="E544" s="9"/>
      <c r="F544" s="9"/>
      <c r="G544" s="9"/>
      <c r="H544" s="9"/>
      <c r="I544" s="7"/>
      <c r="J544" s="8"/>
      <c r="K544" s="8"/>
      <c r="L544" s="8"/>
      <c r="M544" s="8"/>
      <c r="N544" s="8"/>
      <c r="O544" s="7"/>
      <c r="P544" s="7"/>
      <c r="Q544" s="7"/>
      <c r="R544" s="7"/>
      <c r="S544" s="7"/>
      <c r="T544" s="7"/>
    </row>
    <row r="545" spans="1:20" s="2" customFormat="1" x14ac:dyDescent="0.25">
      <c r="A545" s="9"/>
      <c r="B545" s="9"/>
      <c r="C545" s="9"/>
      <c r="D545" s="9"/>
      <c r="E545" s="9"/>
      <c r="F545" s="9"/>
      <c r="G545" s="9"/>
      <c r="H545" s="9"/>
      <c r="I545" s="7"/>
      <c r="J545" s="8"/>
      <c r="K545" s="8"/>
      <c r="L545" s="8"/>
      <c r="M545" s="8"/>
      <c r="N545" s="8"/>
      <c r="O545" s="7"/>
      <c r="P545" s="7"/>
      <c r="Q545" s="7"/>
      <c r="R545" s="7"/>
      <c r="S545" s="7"/>
      <c r="T545" s="7"/>
    </row>
    <row r="546" spans="1:20" s="2" customFormat="1" x14ac:dyDescent="0.25">
      <c r="A546" s="9"/>
      <c r="B546" s="9"/>
      <c r="C546" s="9"/>
      <c r="D546" s="9"/>
      <c r="E546" s="9"/>
      <c r="F546" s="9"/>
      <c r="G546" s="9"/>
      <c r="H546" s="9"/>
      <c r="I546" s="7"/>
      <c r="J546" s="8"/>
      <c r="K546" s="8"/>
      <c r="L546" s="8"/>
      <c r="M546" s="8"/>
      <c r="N546" s="8"/>
      <c r="O546" s="7"/>
      <c r="P546" s="7"/>
      <c r="Q546" s="7"/>
      <c r="R546" s="7"/>
      <c r="S546" s="7"/>
      <c r="T546" s="7"/>
    </row>
    <row r="547" spans="1:20" s="2" customFormat="1" x14ac:dyDescent="0.25">
      <c r="A547" s="9"/>
      <c r="B547" s="9"/>
      <c r="C547" s="9"/>
      <c r="D547" s="9"/>
      <c r="E547" s="9"/>
      <c r="F547" s="9"/>
      <c r="G547" s="9"/>
      <c r="H547" s="9"/>
      <c r="I547" s="7"/>
      <c r="J547" s="8"/>
      <c r="K547" s="8"/>
      <c r="L547" s="8"/>
      <c r="M547" s="8"/>
      <c r="N547" s="8"/>
      <c r="O547" s="7"/>
      <c r="P547" s="7"/>
      <c r="Q547" s="7"/>
      <c r="R547" s="7"/>
      <c r="S547" s="7"/>
      <c r="T547" s="7"/>
    </row>
    <row r="548" spans="1:20" s="2" customFormat="1" x14ac:dyDescent="0.25">
      <c r="A548" s="9"/>
      <c r="B548" s="9"/>
      <c r="C548" s="9"/>
      <c r="D548" s="9"/>
      <c r="E548" s="9"/>
      <c r="F548" s="9"/>
      <c r="G548" s="9"/>
      <c r="H548" s="9"/>
      <c r="I548" s="7"/>
      <c r="J548" s="8"/>
      <c r="K548" s="8"/>
      <c r="L548" s="8"/>
      <c r="M548" s="8"/>
      <c r="N548" s="8"/>
      <c r="O548" s="7"/>
      <c r="P548" s="7"/>
      <c r="Q548" s="7"/>
      <c r="R548" s="7"/>
      <c r="S548" s="7"/>
      <c r="T548" s="7"/>
    </row>
    <row r="549" spans="1:20" s="2" customFormat="1" x14ac:dyDescent="0.25">
      <c r="A549" s="9"/>
      <c r="B549" s="9"/>
      <c r="C549" s="9"/>
      <c r="D549" s="9"/>
      <c r="E549" s="9"/>
      <c r="F549" s="9"/>
      <c r="G549" s="9"/>
      <c r="H549" s="9"/>
      <c r="I549" s="7"/>
      <c r="J549" s="8"/>
      <c r="K549" s="8"/>
      <c r="L549" s="8"/>
      <c r="M549" s="8"/>
      <c r="N549" s="8"/>
      <c r="O549" s="7"/>
      <c r="P549" s="7"/>
      <c r="Q549" s="7"/>
      <c r="R549" s="7"/>
      <c r="S549" s="7"/>
      <c r="T549" s="7"/>
    </row>
    <row r="550" spans="1:20" s="2" customFormat="1" x14ac:dyDescent="0.25">
      <c r="A550" s="9"/>
      <c r="B550" s="9"/>
      <c r="C550" s="9"/>
      <c r="D550" s="9"/>
      <c r="E550" s="9"/>
      <c r="F550" s="9"/>
      <c r="G550" s="9"/>
      <c r="H550" s="9"/>
      <c r="I550" s="7"/>
      <c r="J550" s="8"/>
      <c r="K550" s="8"/>
      <c r="L550" s="8"/>
      <c r="M550" s="8"/>
      <c r="N550" s="8"/>
      <c r="O550" s="7"/>
      <c r="P550" s="7"/>
      <c r="Q550" s="7"/>
      <c r="R550" s="7"/>
      <c r="S550" s="7"/>
      <c r="T550" s="7"/>
    </row>
    <row r="551" spans="1:20" s="2" customFormat="1" x14ac:dyDescent="0.25">
      <c r="A551" s="9"/>
      <c r="B551" s="9"/>
      <c r="C551" s="9"/>
      <c r="D551" s="9"/>
      <c r="E551" s="9"/>
      <c r="F551" s="9"/>
      <c r="G551" s="9"/>
      <c r="H551" s="9"/>
      <c r="I551" s="7"/>
      <c r="J551" s="8"/>
      <c r="K551" s="8"/>
      <c r="L551" s="8"/>
      <c r="M551" s="8"/>
      <c r="N551" s="8"/>
      <c r="O551" s="7"/>
      <c r="P551" s="7"/>
      <c r="Q551" s="7"/>
      <c r="R551" s="7"/>
      <c r="S551" s="7"/>
      <c r="T551" s="7"/>
    </row>
    <row r="552" spans="1:20" s="2" customFormat="1" x14ac:dyDescent="0.25">
      <c r="A552" s="9"/>
      <c r="B552" s="9"/>
      <c r="C552" s="9"/>
      <c r="D552" s="9"/>
      <c r="E552" s="9"/>
      <c r="F552" s="9"/>
      <c r="G552" s="9"/>
      <c r="H552" s="9"/>
      <c r="I552" s="7"/>
      <c r="J552" s="8"/>
      <c r="K552" s="8"/>
      <c r="L552" s="8"/>
      <c r="M552" s="8"/>
      <c r="N552" s="8"/>
      <c r="O552" s="7"/>
      <c r="P552" s="7"/>
      <c r="Q552" s="7"/>
      <c r="R552" s="7"/>
      <c r="S552" s="7"/>
      <c r="T552" s="7"/>
    </row>
    <row r="553" spans="1:20" s="2" customFormat="1" x14ac:dyDescent="0.25">
      <c r="A553" s="9"/>
      <c r="B553" s="9"/>
      <c r="C553" s="9"/>
      <c r="D553" s="9"/>
      <c r="E553" s="9"/>
      <c r="F553" s="9"/>
      <c r="G553" s="9"/>
      <c r="H553" s="9"/>
      <c r="I553" s="7"/>
      <c r="J553" s="8"/>
      <c r="K553" s="8"/>
      <c r="L553" s="8"/>
      <c r="M553" s="8"/>
      <c r="N553" s="8"/>
      <c r="O553" s="7"/>
      <c r="P553" s="7"/>
      <c r="Q553" s="7"/>
      <c r="R553" s="7"/>
      <c r="S553" s="7"/>
      <c r="T553" s="7"/>
    </row>
    <row r="554" spans="1:20" s="2" customFormat="1" x14ac:dyDescent="0.25">
      <c r="A554" s="9"/>
      <c r="B554" s="9"/>
      <c r="C554" s="9"/>
      <c r="D554" s="9"/>
      <c r="E554" s="9"/>
      <c r="F554" s="9"/>
      <c r="G554" s="9"/>
      <c r="H554" s="9"/>
      <c r="I554" s="7"/>
      <c r="J554" s="8"/>
      <c r="K554" s="8"/>
      <c r="L554" s="8"/>
      <c r="M554" s="8"/>
      <c r="N554" s="8"/>
      <c r="O554" s="7"/>
      <c r="P554" s="7"/>
      <c r="Q554" s="7"/>
      <c r="R554" s="7"/>
      <c r="S554" s="7"/>
      <c r="T554" s="7"/>
    </row>
    <row r="555" spans="1:20" s="2" customFormat="1" x14ac:dyDescent="0.25">
      <c r="A555" s="9"/>
      <c r="B555" s="9"/>
      <c r="C555" s="9"/>
      <c r="D555" s="9"/>
      <c r="E555" s="9"/>
      <c r="F555" s="9"/>
      <c r="G555" s="9"/>
      <c r="H555" s="9"/>
      <c r="I555" s="7"/>
      <c r="J555" s="8"/>
      <c r="K555" s="8"/>
      <c r="L555" s="8"/>
      <c r="M555" s="8"/>
      <c r="N555" s="8"/>
      <c r="O555" s="7"/>
      <c r="P555" s="7"/>
      <c r="Q555" s="7"/>
      <c r="R555" s="7"/>
      <c r="S555" s="7"/>
      <c r="T555" s="7"/>
    </row>
    <row r="556" spans="1:20" s="2" customFormat="1" x14ac:dyDescent="0.25">
      <c r="A556" s="9"/>
      <c r="B556" s="9"/>
      <c r="C556" s="9"/>
      <c r="D556" s="9"/>
      <c r="E556" s="9"/>
      <c r="F556" s="9"/>
      <c r="G556" s="9"/>
      <c r="H556" s="9"/>
      <c r="I556" s="7"/>
      <c r="J556" s="8"/>
      <c r="K556" s="8"/>
      <c r="L556" s="8"/>
      <c r="M556" s="8"/>
      <c r="N556" s="8"/>
      <c r="O556" s="7"/>
      <c r="P556" s="7"/>
      <c r="Q556" s="7"/>
      <c r="R556" s="7"/>
      <c r="S556" s="7"/>
      <c r="T556" s="7"/>
    </row>
    <row r="557" spans="1:20" s="2" customFormat="1" x14ac:dyDescent="0.25">
      <c r="A557" s="9"/>
      <c r="B557" s="9"/>
      <c r="C557" s="9"/>
      <c r="D557" s="9"/>
      <c r="E557" s="9"/>
      <c r="F557" s="9"/>
      <c r="G557" s="9"/>
      <c r="H557" s="9"/>
      <c r="I557" s="7"/>
      <c r="J557" s="8"/>
      <c r="K557" s="8"/>
      <c r="L557" s="8"/>
      <c r="M557" s="8"/>
      <c r="N557" s="8"/>
      <c r="O557" s="7"/>
      <c r="P557" s="7"/>
      <c r="Q557" s="7"/>
      <c r="R557" s="7"/>
      <c r="S557" s="7"/>
      <c r="T557" s="7"/>
    </row>
    <row r="558" spans="1:20" s="2" customFormat="1" x14ac:dyDescent="0.25">
      <c r="A558" s="9"/>
      <c r="B558" s="9"/>
      <c r="C558" s="9"/>
      <c r="D558" s="9"/>
      <c r="E558" s="9"/>
      <c r="F558" s="9"/>
      <c r="G558" s="9"/>
      <c r="H558" s="9"/>
      <c r="I558" s="7"/>
      <c r="J558" s="8"/>
      <c r="K558" s="8"/>
      <c r="L558" s="8"/>
      <c r="M558" s="8"/>
      <c r="N558" s="8"/>
      <c r="O558" s="7"/>
      <c r="P558" s="7"/>
      <c r="Q558" s="7"/>
      <c r="R558" s="7"/>
      <c r="S558" s="7"/>
      <c r="T558" s="7"/>
    </row>
    <row r="559" spans="1:20" s="2" customFormat="1" x14ac:dyDescent="0.25">
      <c r="A559" s="9"/>
      <c r="B559" s="9"/>
      <c r="C559" s="9"/>
      <c r="D559" s="9"/>
      <c r="E559" s="9"/>
      <c r="F559" s="9"/>
      <c r="G559" s="9"/>
      <c r="H559" s="9"/>
      <c r="I559" s="7"/>
      <c r="J559" s="8"/>
      <c r="K559" s="8"/>
      <c r="L559" s="8"/>
      <c r="M559" s="8"/>
      <c r="N559" s="8"/>
      <c r="O559" s="7"/>
      <c r="P559" s="7"/>
      <c r="Q559" s="7"/>
      <c r="R559" s="7"/>
      <c r="S559" s="7"/>
      <c r="T559" s="7"/>
    </row>
    <row r="560" spans="1:20" s="2" customFormat="1" x14ac:dyDescent="0.25">
      <c r="A560" s="9"/>
      <c r="B560" s="9"/>
      <c r="C560" s="9"/>
      <c r="D560" s="9"/>
      <c r="E560" s="9"/>
      <c r="F560" s="9"/>
      <c r="G560" s="9"/>
      <c r="H560" s="9"/>
      <c r="I560" s="7"/>
      <c r="J560" s="8"/>
      <c r="K560" s="8"/>
      <c r="L560" s="8"/>
      <c r="M560" s="8"/>
      <c r="N560" s="8"/>
      <c r="O560" s="7"/>
      <c r="P560" s="7"/>
      <c r="Q560" s="7"/>
      <c r="R560" s="7"/>
      <c r="S560" s="7"/>
      <c r="T560" s="7"/>
    </row>
    <row r="561" spans="1:20" s="2" customFormat="1" x14ac:dyDescent="0.25">
      <c r="A561" s="9"/>
      <c r="B561" s="9"/>
      <c r="C561" s="9"/>
      <c r="D561" s="9"/>
      <c r="E561" s="9"/>
      <c r="F561" s="9"/>
      <c r="G561" s="9"/>
      <c r="H561" s="9"/>
      <c r="I561" s="7"/>
      <c r="J561" s="8"/>
      <c r="K561" s="8"/>
      <c r="L561" s="8"/>
      <c r="M561" s="8"/>
      <c r="N561" s="8"/>
      <c r="O561" s="7"/>
      <c r="P561" s="7"/>
      <c r="Q561" s="7"/>
      <c r="R561" s="7"/>
      <c r="S561" s="7"/>
      <c r="T561" s="7"/>
    </row>
    <row r="562" spans="1:20" s="2" customFormat="1" x14ac:dyDescent="0.25">
      <c r="A562" s="9"/>
      <c r="B562" s="9"/>
      <c r="C562" s="9"/>
      <c r="D562" s="9"/>
      <c r="E562" s="9"/>
      <c r="F562" s="9"/>
      <c r="G562" s="9"/>
      <c r="H562" s="9"/>
      <c r="I562" s="7"/>
      <c r="J562" s="8"/>
      <c r="K562" s="8"/>
      <c r="L562" s="8"/>
      <c r="M562" s="8"/>
      <c r="N562" s="8"/>
      <c r="O562" s="7"/>
      <c r="P562" s="7"/>
      <c r="Q562" s="7"/>
      <c r="R562" s="7"/>
      <c r="S562" s="7"/>
      <c r="T562" s="7"/>
    </row>
    <row r="563" spans="1:20" s="2" customFormat="1" x14ac:dyDescent="0.25">
      <c r="A563" s="9"/>
      <c r="B563" s="9"/>
      <c r="C563" s="9"/>
      <c r="D563" s="9"/>
      <c r="E563" s="9"/>
      <c r="F563" s="9"/>
      <c r="G563" s="9"/>
      <c r="H563" s="9"/>
      <c r="I563" s="7"/>
      <c r="J563" s="8"/>
      <c r="K563" s="8"/>
      <c r="L563" s="8"/>
      <c r="M563" s="8"/>
      <c r="N563" s="8"/>
      <c r="O563" s="7"/>
      <c r="P563" s="7"/>
      <c r="Q563" s="7"/>
      <c r="R563" s="7"/>
      <c r="S563" s="7"/>
      <c r="T563" s="7"/>
    </row>
    <row r="564" spans="1:20" s="2" customFormat="1" x14ac:dyDescent="0.25">
      <c r="A564" s="9"/>
      <c r="B564" s="9"/>
      <c r="C564" s="9"/>
      <c r="D564" s="9"/>
      <c r="E564" s="9"/>
      <c r="F564" s="9"/>
      <c r="G564" s="9"/>
      <c r="H564" s="9"/>
      <c r="I564" s="7"/>
      <c r="J564" s="8"/>
      <c r="K564" s="8"/>
      <c r="L564" s="8"/>
      <c r="M564" s="8"/>
      <c r="N564" s="8"/>
      <c r="O564" s="7"/>
      <c r="P564" s="7"/>
      <c r="Q564" s="7"/>
      <c r="R564" s="7"/>
      <c r="S564" s="7"/>
      <c r="T564" s="7"/>
    </row>
    <row r="565" spans="1:20" s="2" customFormat="1" x14ac:dyDescent="0.25">
      <c r="A565" s="9"/>
      <c r="B565" s="9"/>
      <c r="C565" s="9"/>
      <c r="D565" s="9"/>
      <c r="E565" s="9"/>
      <c r="F565" s="9"/>
      <c r="G565" s="9"/>
      <c r="H565" s="9"/>
      <c r="I565" s="7"/>
      <c r="J565" s="8"/>
      <c r="K565" s="8"/>
      <c r="L565" s="8"/>
      <c r="M565" s="8"/>
      <c r="N565" s="8"/>
      <c r="O565" s="7"/>
      <c r="P565" s="7"/>
      <c r="Q565" s="7"/>
      <c r="R565" s="7"/>
      <c r="S565" s="7"/>
      <c r="T565" s="7"/>
    </row>
    <row r="566" spans="1:20" s="2" customFormat="1" x14ac:dyDescent="0.25">
      <c r="A566" s="9"/>
      <c r="B566" s="9"/>
      <c r="C566" s="9"/>
      <c r="D566" s="9"/>
      <c r="E566" s="9"/>
      <c r="F566" s="9"/>
      <c r="G566" s="9"/>
      <c r="H566" s="9"/>
      <c r="I566" s="7"/>
      <c r="J566" s="8"/>
      <c r="K566" s="8"/>
      <c r="L566" s="8"/>
      <c r="M566" s="8"/>
      <c r="N566" s="8"/>
      <c r="O566" s="7"/>
      <c r="P566" s="7"/>
      <c r="Q566" s="7"/>
      <c r="R566" s="7"/>
      <c r="S566" s="7"/>
      <c r="T566" s="7"/>
    </row>
    <row r="567" spans="1:20" s="2" customFormat="1" x14ac:dyDescent="0.25">
      <c r="A567" s="9"/>
      <c r="B567" s="9"/>
      <c r="C567" s="9"/>
      <c r="D567" s="9"/>
      <c r="E567" s="9"/>
      <c r="F567" s="9"/>
      <c r="G567" s="9"/>
      <c r="H567" s="9"/>
      <c r="I567" s="7"/>
      <c r="J567" s="8"/>
      <c r="K567" s="8"/>
      <c r="L567" s="8"/>
      <c r="M567" s="8"/>
      <c r="N567" s="8"/>
      <c r="O567" s="7"/>
      <c r="P567" s="7"/>
      <c r="Q567" s="7"/>
      <c r="R567" s="7"/>
      <c r="S567" s="7"/>
      <c r="T567" s="7"/>
    </row>
    <row r="568" spans="1:20" s="2" customFormat="1" x14ac:dyDescent="0.25">
      <c r="A568" s="9"/>
      <c r="B568" s="9"/>
      <c r="C568" s="9"/>
      <c r="D568" s="9"/>
      <c r="E568" s="9"/>
      <c r="F568" s="9"/>
      <c r="G568" s="9"/>
      <c r="H568" s="9"/>
      <c r="I568" s="7"/>
      <c r="J568" s="8"/>
      <c r="K568" s="8"/>
      <c r="L568" s="8"/>
      <c r="M568" s="8"/>
      <c r="N568" s="8"/>
      <c r="O568" s="7"/>
      <c r="P568" s="7"/>
      <c r="Q568" s="7"/>
      <c r="R568" s="7"/>
      <c r="S568" s="7"/>
      <c r="T568" s="7"/>
    </row>
    <row r="569" spans="1:20" s="2" customFormat="1" x14ac:dyDescent="0.25">
      <c r="A569" s="9"/>
      <c r="B569" s="9"/>
      <c r="C569" s="9"/>
      <c r="D569" s="9"/>
      <c r="E569" s="9"/>
      <c r="F569" s="9"/>
      <c r="G569" s="9"/>
      <c r="H569" s="9"/>
      <c r="I569" s="7"/>
      <c r="J569" s="8"/>
      <c r="K569" s="8"/>
      <c r="L569" s="8"/>
      <c r="M569" s="8"/>
      <c r="N569" s="8"/>
      <c r="O569" s="7"/>
      <c r="P569" s="7"/>
      <c r="Q569" s="7"/>
      <c r="R569" s="7"/>
      <c r="S569" s="7"/>
      <c r="T569" s="7"/>
    </row>
    <row r="570" spans="1:20" s="2" customFormat="1" x14ac:dyDescent="0.25">
      <c r="A570" s="9"/>
      <c r="B570" s="9"/>
      <c r="C570" s="9"/>
      <c r="D570" s="9"/>
      <c r="E570" s="9"/>
      <c r="F570" s="9"/>
      <c r="G570" s="9"/>
      <c r="H570" s="9"/>
      <c r="I570" s="7"/>
      <c r="J570" s="8"/>
      <c r="K570" s="8"/>
      <c r="L570" s="8"/>
      <c r="M570" s="8"/>
      <c r="N570" s="8"/>
      <c r="O570" s="7"/>
      <c r="P570" s="7"/>
      <c r="Q570" s="7"/>
      <c r="R570" s="7"/>
      <c r="S570" s="7"/>
      <c r="T570" s="7"/>
    </row>
    <row r="571" spans="1:20" s="2" customFormat="1" x14ac:dyDescent="0.25">
      <c r="A571" s="9"/>
      <c r="B571" s="9"/>
      <c r="C571" s="9"/>
      <c r="D571" s="9"/>
      <c r="E571" s="9"/>
      <c r="F571" s="9"/>
      <c r="G571" s="9"/>
      <c r="H571" s="9"/>
      <c r="I571" s="7"/>
      <c r="J571" s="8"/>
      <c r="K571" s="8"/>
      <c r="L571" s="8"/>
      <c r="M571" s="8"/>
      <c r="N571" s="8"/>
      <c r="O571" s="7"/>
      <c r="P571" s="7"/>
      <c r="Q571" s="7"/>
      <c r="R571" s="7"/>
      <c r="S571" s="7"/>
      <c r="T571" s="7"/>
    </row>
    <row r="572" spans="1:20" s="2" customFormat="1" x14ac:dyDescent="0.25">
      <c r="A572" s="9"/>
      <c r="B572" s="9"/>
      <c r="C572" s="9"/>
      <c r="D572" s="9"/>
      <c r="E572" s="9"/>
      <c r="F572" s="9"/>
      <c r="G572" s="9"/>
      <c r="H572" s="9"/>
      <c r="I572" s="7"/>
      <c r="J572" s="8"/>
      <c r="K572" s="8"/>
      <c r="L572" s="8"/>
      <c r="M572" s="8"/>
      <c r="N572" s="8"/>
      <c r="O572" s="7"/>
      <c r="P572" s="7"/>
      <c r="Q572" s="7"/>
      <c r="R572" s="7"/>
      <c r="S572" s="7"/>
      <c r="T572" s="7"/>
    </row>
    <row r="573" spans="1:20" s="2" customFormat="1" x14ac:dyDescent="0.25">
      <c r="A573" s="9"/>
      <c r="B573" s="9"/>
      <c r="C573" s="9"/>
      <c r="D573" s="9"/>
      <c r="E573" s="9"/>
      <c r="F573" s="9"/>
      <c r="G573" s="9"/>
      <c r="H573" s="9"/>
      <c r="I573" s="7"/>
      <c r="J573" s="8"/>
      <c r="K573" s="8"/>
      <c r="L573" s="8"/>
      <c r="M573" s="8"/>
      <c r="N573" s="8"/>
      <c r="O573" s="7"/>
      <c r="P573" s="7"/>
      <c r="Q573" s="7"/>
      <c r="R573" s="7"/>
      <c r="S573" s="7"/>
      <c r="T573" s="7"/>
    </row>
    <row r="574" spans="1:20" s="2" customFormat="1" x14ac:dyDescent="0.25">
      <c r="A574" s="9"/>
      <c r="B574" s="9"/>
      <c r="C574" s="9"/>
      <c r="D574" s="9"/>
      <c r="E574" s="9"/>
      <c r="F574" s="9"/>
      <c r="G574" s="9"/>
      <c r="H574" s="9"/>
      <c r="I574" s="7"/>
      <c r="J574" s="8"/>
      <c r="K574" s="8"/>
      <c r="L574" s="8"/>
      <c r="M574" s="8"/>
      <c r="N574" s="8"/>
      <c r="O574" s="7"/>
      <c r="P574" s="7"/>
      <c r="Q574" s="7"/>
      <c r="R574" s="7"/>
      <c r="S574" s="7"/>
      <c r="T574" s="7"/>
    </row>
    <row r="575" spans="1:20" s="2" customFormat="1" x14ac:dyDescent="0.25">
      <c r="A575" s="9"/>
      <c r="B575" s="9"/>
      <c r="C575" s="9"/>
      <c r="D575" s="9"/>
      <c r="E575" s="9"/>
      <c r="F575" s="9"/>
      <c r="G575" s="9"/>
      <c r="H575" s="9"/>
      <c r="I575" s="7"/>
      <c r="J575" s="8"/>
      <c r="K575" s="8"/>
      <c r="L575" s="8"/>
      <c r="M575" s="8"/>
      <c r="N575" s="8"/>
      <c r="O575" s="7"/>
      <c r="P575" s="7"/>
      <c r="Q575" s="7"/>
      <c r="R575" s="7"/>
      <c r="S575" s="7"/>
      <c r="T575" s="7"/>
    </row>
    <row r="576" spans="1:20" s="2" customFormat="1" x14ac:dyDescent="0.25">
      <c r="A576" s="9"/>
      <c r="B576" s="9"/>
      <c r="C576" s="9"/>
      <c r="D576" s="9"/>
      <c r="E576" s="9"/>
      <c r="F576" s="9"/>
      <c r="G576" s="9"/>
      <c r="H576" s="9"/>
      <c r="I576" s="7"/>
      <c r="J576" s="8"/>
      <c r="K576" s="8"/>
      <c r="L576" s="8"/>
      <c r="M576" s="8"/>
      <c r="N576" s="8"/>
      <c r="O576" s="7"/>
      <c r="P576" s="7"/>
      <c r="Q576" s="7"/>
      <c r="R576" s="7"/>
      <c r="S576" s="7"/>
      <c r="T576" s="7"/>
    </row>
    <row r="577" spans="1:20" s="2" customFormat="1" x14ac:dyDescent="0.25">
      <c r="A577" s="9"/>
      <c r="B577" s="9"/>
      <c r="C577" s="9"/>
      <c r="D577" s="9"/>
      <c r="E577" s="9"/>
      <c r="F577" s="9"/>
      <c r="G577" s="9"/>
      <c r="H577" s="9"/>
      <c r="I577" s="7"/>
      <c r="J577" s="8"/>
      <c r="K577" s="8"/>
      <c r="L577" s="8"/>
      <c r="M577" s="8"/>
      <c r="N577" s="8"/>
      <c r="O577" s="7"/>
      <c r="P577" s="7"/>
      <c r="Q577" s="7"/>
      <c r="R577" s="7"/>
      <c r="S577" s="7"/>
      <c r="T577" s="7"/>
    </row>
    <row r="578" spans="1:20" s="2" customFormat="1" x14ac:dyDescent="0.25">
      <c r="A578" s="9"/>
      <c r="B578" s="9"/>
      <c r="C578" s="9"/>
      <c r="D578" s="9"/>
      <c r="E578" s="9"/>
      <c r="F578" s="9"/>
      <c r="G578" s="9"/>
      <c r="H578" s="9"/>
      <c r="I578" s="7"/>
      <c r="J578" s="8"/>
      <c r="K578" s="8"/>
      <c r="L578" s="8"/>
      <c r="M578" s="8"/>
      <c r="N578" s="8"/>
      <c r="O578" s="7"/>
      <c r="P578" s="7"/>
      <c r="Q578" s="7"/>
      <c r="R578" s="7"/>
      <c r="S578" s="7"/>
      <c r="T578" s="7"/>
    </row>
    <row r="579" spans="1:20" s="2" customFormat="1" x14ac:dyDescent="0.25">
      <c r="A579" s="9"/>
      <c r="B579" s="9"/>
      <c r="C579" s="9"/>
      <c r="D579" s="9"/>
      <c r="E579" s="9"/>
      <c r="F579" s="9"/>
      <c r="G579" s="9"/>
      <c r="H579" s="9"/>
      <c r="I579" s="7"/>
      <c r="J579" s="8"/>
      <c r="K579" s="8"/>
      <c r="L579" s="8"/>
      <c r="M579" s="8"/>
      <c r="N579" s="8"/>
      <c r="O579" s="7"/>
      <c r="P579" s="7"/>
      <c r="Q579" s="7"/>
      <c r="R579" s="7"/>
      <c r="S579" s="7"/>
      <c r="T579" s="7"/>
    </row>
    <row r="580" spans="1:20" s="2" customFormat="1" x14ac:dyDescent="0.25">
      <c r="A580" s="9"/>
      <c r="B580" s="9"/>
      <c r="C580" s="9"/>
      <c r="D580" s="9"/>
      <c r="E580" s="9"/>
      <c r="F580" s="9"/>
      <c r="G580" s="9"/>
      <c r="H580" s="9"/>
      <c r="I580" s="7"/>
      <c r="J580" s="8"/>
      <c r="K580" s="8"/>
      <c r="L580" s="8"/>
      <c r="M580" s="8"/>
      <c r="N580" s="8"/>
      <c r="O580" s="7"/>
      <c r="P580" s="7"/>
      <c r="Q580" s="7"/>
      <c r="R580" s="7"/>
      <c r="S580" s="7"/>
      <c r="T580" s="7"/>
    </row>
    <row r="581" spans="1:20" s="2" customFormat="1" x14ac:dyDescent="0.25">
      <c r="A581" s="9"/>
      <c r="B581" s="9"/>
      <c r="C581" s="9"/>
      <c r="D581" s="9"/>
      <c r="E581" s="9"/>
      <c r="F581" s="9"/>
      <c r="G581" s="9"/>
      <c r="H581" s="9"/>
      <c r="I581" s="7"/>
      <c r="J581" s="8"/>
      <c r="K581" s="8"/>
      <c r="L581" s="8"/>
      <c r="M581" s="8"/>
      <c r="N581" s="8"/>
      <c r="O581" s="7"/>
      <c r="P581" s="7"/>
      <c r="Q581" s="7"/>
      <c r="R581" s="7"/>
      <c r="S581" s="7"/>
      <c r="T581" s="7"/>
    </row>
    <row r="582" spans="1:20" s="2" customFormat="1" x14ac:dyDescent="0.25">
      <c r="A582" s="9"/>
      <c r="B582" s="9"/>
      <c r="C582" s="9"/>
      <c r="D582" s="9"/>
      <c r="E582" s="9"/>
      <c r="F582" s="9"/>
      <c r="G582" s="9"/>
      <c r="H582" s="9"/>
      <c r="I582" s="7"/>
      <c r="J582" s="8"/>
      <c r="K582" s="8"/>
      <c r="L582" s="8"/>
      <c r="M582" s="8"/>
      <c r="N582" s="8"/>
      <c r="O582" s="7"/>
      <c r="P582" s="7"/>
      <c r="Q582" s="7"/>
      <c r="R582" s="7"/>
      <c r="S582" s="7"/>
      <c r="T582" s="7"/>
    </row>
    <row r="583" spans="1:20" s="2" customFormat="1" x14ac:dyDescent="0.25">
      <c r="A583" s="9"/>
      <c r="B583" s="9"/>
      <c r="C583" s="9"/>
      <c r="D583" s="9"/>
      <c r="E583" s="9"/>
      <c r="F583" s="9"/>
      <c r="G583" s="9"/>
      <c r="H583" s="9"/>
      <c r="I583" s="7"/>
      <c r="J583" s="8"/>
      <c r="K583" s="8"/>
      <c r="L583" s="8"/>
      <c r="M583" s="8"/>
      <c r="N583" s="8"/>
      <c r="O583" s="7"/>
      <c r="P583" s="7"/>
      <c r="Q583" s="7"/>
      <c r="R583" s="7"/>
      <c r="S583" s="7"/>
      <c r="T583" s="7"/>
    </row>
    <row r="584" spans="1:20" s="2" customFormat="1" x14ac:dyDescent="0.25">
      <c r="A584" s="9"/>
      <c r="B584" s="9"/>
      <c r="C584" s="9"/>
      <c r="D584" s="9"/>
      <c r="E584" s="9"/>
      <c r="F584" s="9"/>
      <c r="G584" s="9"/>
      <c r="H584" s="9"/>
      <c r="I584" s="7"/>
      <c r="J584" s="8"/>
      <c r="K584" s="8"/>
      <c r="L584" s="8"/>
      <c r="M584" s="8"/>
      <c r="N584" s="8"/>
      <c r="O584" s="7"/>
      <c r="P584" s="7"/>
      <c r="Q584" s="7"/>
      <c r="R584" s="7"/>
      <c r="S584" s="7"/>
      <c r="T584" s="7"/>
    </row>
    <row r="585" spans="1:20" s="2" customFormat="1" x14ac:dyDescent="0.25">
      <c r="A585" s="9"/>
      <c r="B585" s="9"/>
      <c r="C585" s="9"/>
      <c r="D585" s="9"/>
      <c r="E585" s="9"/>
      <c r="F585" s="9"/>
      <c r="G585" s="9"/>
      <c r="H585" s="9"/>
      <c r="I585" s="7"/>
      <c r="J585" s="8"/>
      <c r="K585" s="8"/>
      <c r="L585" s="8"/>
      <c r="M585" s="8"/>
      <c r="N585" s="8"/>
      <c r="O585" s="7"/>
      <c r="P585" s="7"/>
      <c r="Q585" s="7"/>
      <c r="R585" s="7"/>
      <c r="S585" s="7"/>
      <c r="T585" s="7"/>
    </row>
    <row r="586" spans="1:20" s="2" customFormat="1" x14ac:dyDescent="0.25">
      <c r="A586" s="9"/>
      <c r="B586" s="9"/>
      <c r="C586" s="9"/>
      <c r="D586" s="9"/>
      <c r="E586" s="9"/>
      <c r="F586" s="9"/>
      <c r="G586" s="9"/>
      <c r="H586" s="9"/>
      <c r="I586" s="7"/>
      <c r="J586" s="8"/>
      <c r="K586" s="8"/>
      <c r="L586" s="8"/>
      <c r="M586" s="8"/>
      <c r="N586" s="8"/>
      <c r="O586" s="7"/>
      <c r="P586" s="7"/>
      <c r="Q586" s="7"/>
      <c r="R586" s="7"/>
      <c r="S586" s="7"/>
      <c r="T586" s="7"/>
    </row>
    <row r="587" spans="1:20" s="2" customFormat="1" x14ac:dyDescent="0.25">
      <c r="A587" s="9"/>
      <c r="B587" s="9"/>
      <c r="C587" s="9"/>
      <c r="D587" s="9"/>
      <c r="E587" s="9"/>
      <c r="F587" s="9"/>
      <c r="G587" s="9"/>
      <c r="H587" s="9"/>
      <c r="I587" s="7"/>
      <c r="J587" s="8"/>
      <c r="K587" s="8"/>
      <c r="L587" s="8"/>
      <c r="M587" s="8"/>
      <c r="N587" s="8"/>
      <c r="O587" s="7"/>
      <c r="P587" s="7"/>
      <c r="Q587" s="7"/>
      <c r="R587" s="7"/>
      <c r="S587" s="7"/>
      <c r="T587" s="7"/>
    </row>
    <row r="588" spans="1:20" s="2" customFormat="1" x14ac:dyDescent="0.25">
      <c r="A588" s="9"/>
      <c r="B588" s="9"/>
      <c r="C588" s="9"/>
      <c r="D588" s="9"/>
      <c r="E588" s="9"/>
      <c r="F588" s="9"/>
      <c r="G588" s="9"/>
      <c r="H588" s="9"/>
      <c r="I588" s="7"/>
      <c r="J588" s="8"/>
      <c r="K588" s="8"/>
      <c r="L588" s="8"/>
      <c r="M588" s="8"/>
      <c r="N588" s="8"/>
      <c r="O588" s="7"/>
      <c r="P588" s="7"/>
      <c r="Q588" s="7"/>
      <c r="R588" s="7"/>
      <c r="S588" s="7"/>
      <c r="T588" s="7"/>
    </row>
    <row r="589" spans="1:20" s="2" customFormat="1" x14ac:dyDescent="0.25">
      <c r="A589" s="9"/>
      <c r="B589" s="9"/>
      <c r="C589" s="9"/>
      <c r="D589" s="9"/>
      <c r="E589" s="9"/>
      <c r="F589" s="9"/>
      <c r="G589" s="9"/>
      <c r="H589" s="9"/>
      <c r="I589" s="7"/>
      <c r="J589" s="8"/>
      <c r="K589" s="8"/>
      <c r="L589" s="8"/>
      <c r="M589" s="8"/>
      <c r="N589" s="8"/>
      <c r="O589" s="7"/>
      <c r="P589" s="7"/>
      <c r="Q589" s="7"/>
      <c r="R589" s="7"/>
      <c r="S589" s="7"/>
      <c r="T589" s="7"/>
    </row>
    <row r="590" spans="1:20" s="2" customFormat="1" x14ac:dyDescent="0.25">
      <c r="A590" s="9"/>
      <c r="B590" s="9"/>
      <c r="C590" s="9"/>
      <c r="D590" s="9"/>
      <c r="E590" s="9"/>
      <c r="F590" s="9"/>
      <c r="G590" s="9"/>
      <c r="H590" s="9"/>
      <c r="I590" s="7"/>
      <c r="J590" s="8"/>
      <c r="K590" s="8"/>
      <c r="L590" s="8"/>
      <c r="M590" s="8"/>
      <c r="N590" s="8"/>
      <c r="O590" s="7"/>
      <c r="P590" s="7"/>
      <c r="Q590" s="7"/>
      <c r="R590" s="7"/>
      <c r="S590" s="7"/>
      <c r="T590" s="7"/>
    </row>
    <row r="591" spans="1:20" s="2" customFormat="1" x14ac:dyDescent="0.25">
      <c r="A591" s="9"/>
      <c r="B591" s="9"/>
      <c r="C591" s="9"/>
      <c r="D591" s="9"/>
      <c r="E591" s="9"/>
      <c r="F591" s="9"/>
      <c r="G591" s="9"/>
      <c r="H591" s="9"/>
      <c r="I591" s="7"/>
      <c r="J591" s="8"/>
      <c r="K591" s="8"/>
      <c r="L591" s="8"/>
      <c r="M591" s="8"/>
      <c r="N591" s="8"/>
      <c r="O591" s="7"/>
      <c r="P591" s="7"/>
      <c r="Q591" s="7"/>
      <c r="R591" s="7"/>
      <c r="S591" s="7"/>
      <c r="T591" s="7"/>
    </row>
    <row r="592" spans="1:20" s="2" customFormat="1" x14ac:dyDescent="0.25">
      <c r="A592" s="9"/>
      <c r="B592" s="9"/>
      <c r="C592" s="9"/>
      <c r="D592" s="9"/>
      <c r="E592" s="9"/>
      <c r="F592" s="9"/>
      <c r="G592" s="9"/>
      <c r="H592" s="9"/>
      <c r="I592" s="7"/>
      <c r="J592" s="8"/>
      <c r="K592" s="8"/>
      <c r="L592" s="8"/>
      <c r="M592" s="8"/>
      <c r="N592" s="8"/>
      <c r="O592" s="7"/>
      <c r="P592" s="7"/>
      <c r="Q592" s="7"/>
      <c r="R592" s="7"/>
      <c r="S592" s="7"/>
      <c r="T592" s="7"/>
    </row>
    <row r="593" spans="1:20" s="2" customFormat="1" x14ac:dyDescent="0.25">
      <c r="A593" s="9"/>
      <c r="B593" s="9"/>
      <c r="C593" s="9"/>
      <c r="D593" s="9"/>
      <c r="E593" s="9"/>
      <c r="F593" s="9"/>
      <c r="G593" s="9"/>
      <c r="H593" s="9"/>
      <c r="I593" s="7"/>
      <c r="J593" s="8"/>
      <c r="K593" s="8"/>
      <c r="L593" s="8"/>
      <c r="M593" s="8"/>
      <c r="N593" s="8"/>
      <c r="O593" s="7"/>
      <c r="P593" s="7"/>
      <c r="Q593" s="7"/>
      <c r="R593" s="7"/>
      <c r="S593" s="7"/>
      <c r="T593" s="7"/>
    </row>
    <row r="594" spans="1:20" s="2" customFormat="1" x14ac:dyDescent="0.25">
      <c r="A594" s="9"/>
      <c r="B594" s="9"/>
      <c r="C594" s="9"/>
      <c r="D594" s="9"/>
      <c r="E594" s="9"/>
      <c r="F594" s="9"/>
      <c r="G594" s="9"/>
      <c r="H594" s="9"/>
      <c r="I594" s="7"/>
      <c r="J594" s="8"/>
      <c r="K594" s="8"/>
      <c r="L594" s="8"/>
      <c r="M594" s="8"/>
      <c r="N594" s="8"/>
      <c r="O594" s="7"/>
      <c r="P594" s="7"/>
      <c r="Q594" s="7"/>
      <c r="R594" s="7"/>
      <c r="S594" s="7"/>
      <c r="T594" s="7"/>
    </row>
    <row r="595" spans="1:20" s="2" customFormat="1" x14ac:dyDescent="0.25">
      <c r="A595" s="9"/>
      <c r="B595" s="9"/>
      <c r="C595" s="9"/>
      <c r="D595" s="9"/>
      <c r="E595" s="9"/>
      <c r="F595" s="9"/>
      <c r="G595" s="9"/>
      <c r="H595" s="9"/>
      <c r="I595" s="7"/>
      <c r="J595" s="8"/>
      <c r="K595" s="8"/>
      <c r="L595" s="8"/>
      <c r="M595" s="8"/>
      <c r="N595" s="8"/>
      <c r="O595" s="7"/>
      <c r="P595" s="7"/>
      <c r="Q595" s="7"/>
      <c r="R595" s="7"/>
      <c r="S595" s="7"/>
      <c r="T595" s="7"/>
    </row>
    <row r="596" spans="1:20" s="2" customFormat="1" x14ac:dyDescent="0.25">
      <c r="A596" s="9"/>
      <c r="B596" s="9"/>
      <c r="C596" s="9"/>
      <c r="D596" s="9"/>
      <c r="E596" s="9"/>
      <c r="F596" s="9"/>
      <c r="G596" s="9"/>
      <c r="H596" s="9"/>
      <c r="I596" s="7"/>
      <c r="J596" s="8"/>
      <c r="K596" s="8"/>
      <c r="L596" s="8"/>
      <c r="M596" s="8"/>
      <c r="N596" s="8"/>
      <c r="O596" s="7"/>
      <c r="P596" s="7"/>
      <c r="Q596" s="7"/>
      <c r="R596" s="7"/>
      <c r="S596" s="7"/>
      <c r="T596" s="7"/>
    </row>
    <row r="597" spans="1:20" s="2" customFormat="1" x14ac:dyDescent="0.25">
      <c r="A597" s="9"/>
      <c r="B597" s="9"/>
      <c r="C597" s="9"/>
      <c r="D597" s="9"/>
      <c r="E597" s="9"/>
      <c r="F597" s="9"/>
      <c r="G597" s="9"/>
      <c r="H597" s="9"/>
      <c r="I597" s="7"/>
      <c r="J597" s="8"/>
      <c r="K597" s="8"/>
      <c r="L597" s="8"/>
      <c r="M597" s="8"/>
      <c r="N597" s="8"/>
      <c r="O597" s="7"/>
      <c r="P597" s="7"/>
      <c r="Q597" s="7"/>
      <c r="R597" s="7"/>
      <c r="S597" s="7"/>
      <c r="T597" s="7"/>
    </row>
    <row r="598" spans="1:20" s="2" customFormat="1" x14ac:dyDescent="0.25">
      <c r="A598" s="9"/>
      <c r="B598" s="9"/>
      <c r="C598" s="9"/>
      <c r="D598" s="9"/>
      <c r="E598" s="9"/>
      <c r="F598" s="9"/>
      <c r="G598" s="9"/>
      <c r="H598" s="9"/>
      <c r="I598" s="7"/>
      <c r="J598" s="8"/>
      <c r="K598" s="8"/>
      <c r="L598" s="8"/>
      <c r="M598" s="8"/>
      <c r="N598" s="8"/>
      <c r="O598" s="7"/>
      <c r="P598" s="7"/>
      <c r="Q598" s="7"/>
      <c r="R598" s="7"/>
      <c r="S598" s="7"/>
      <c r="T598" s="7"/>
    </row>
    <row r="599" spans="1:20" s="2" customFormat="1" x14ac:dyDescent="0.25">
      <c r="A599" s="9"/>
      <c r="B599" s="9"/>
      <c r="C599" s="9"/>
      <c r="D599" s="9"/>
      <c r="E599" s="9"/>
      <c r="F599" s="9"/>
      <c r="G599" s="9"/>
      <c r="H599" s="9"/>
      <c r="I599" s="7"/>
      <c r="J599" s="8"/>
      <c r="K599" s="8"/>
      <c r="L599" s="8"/>
      <c r="M599" s="8"/>
      <c r="N599" s="8"/>
      <c r="O599" s="7"/>
      <c r="P599" s="7"/>
      <c r="Q599" s="7"/>
      <c r="R599" s="7"/>
      <c r="S599" s="7"/>
      <c r="T599" s="7"/>
    </row>
    <row r="600" spans="1:20" s="2" customFormat="1" x14ac:dyDescent="0.25">
      <c r="A600" s="9"/>
      <c r="B600" s="9"/>
      <c r="C600" s="9"/>
      <c r="D600" s="9"/>
      <c r="E600" s="9"/>
      <c r="F600" s="9"/>
      <c r="G600" s="9"/>
      <c r="H600" s="9"/>
      <c r="I600" s="7"/>
      <c r="J600" s="8"/>
      <c r="K600" s="8"/>
      <c r="L600" s="8"/>
      <c r="M600" s="8"/>
      <c r="N600" s="8"/>
      <c r="O600" s="7"/>
      <c r="P600" s="7"/>
      <c r="Q600" s="7"/>
      <c r="R600" s="7"/>
      <c r="S600" s="7"/>
      <c r="T600" s="7"/>
    </row>
    <row r="601" spans="1:20" s="2" customFormat="1" x14ac:dyDescent="0.25">
      <c r="A601" s="9"/>
      <c r="B601" s="9"/>
      <c r="C601" s="9"/>
      <c r="D601" s="9"/>
      <c r="E601" s="9"/>
      <c r="F601" s="9"/>
      <c r="G601" s="9"/>
      <c r="H601" s="9"/>
      <c r="I601" s="7"/>
      <c r="J601" s="8"/>
      <c r="K601" s="8"/>
      <c r="L601" s="8"/>
      <c r="M601" s="8"/>
      <c r="N601" s="8"/>
      <c r="O601" s="7"/>
      <c r="P601" s="7"/>
      <c r="Q601" s="7"/>
      <c r="R601" s="7"/>
      <c r="S601" s="7"/>
      <c r="T601" s="7"/>
    </row>
    <row r="602" spans="1:20" s="2" customFormat="1" x14ac:dyDescent="0.25">
      <c r="A602" s="9"/>
      <c r="B602" s="9"/>
      <c r="C602" s="9"/>
      <c r="D602" s="9"/>
      <c r="E602" s="9"/>
      <c r="F602" s="9"/>
      <c r="G602" s="9"/>
      <c r="H602" s="9"/>
      <c r="I602" s="7"/>
      <c r="J602" s="8"/>
      <c r="K602" s="8"/>
      <c r="L602" s="8"/>
      <c r="M602" s="8"/>
      <c r="N602" s="8"/>
      <c r="O602" s="7"/>
      <c r="P602" s="7"/>
      <c r="Q602" s="7"/>
      <c r="R602" s="7"/>
      <c r="S602" s="7"/>
      <c r="T602" s="7"/>
    </row>
    <row r="603" spans="1:20" s="2" customFormat="1" x14ac:dyDescent="0.25">
      <c r="A603" s="9"/>
      <c r="B603" s="9"/>
      <c r="C603" s="9"/>
      <c r="D603" s="9"/>
      <c r="E603" s="9"/>
      <c r="F603" s="9"/>
      <c r="G603" s="9"/>
      <c r="H603" s="9"/>
      <c r="I603" s="7"/>
      <c r="J603" s="8"/>
      <c r="K603" s="8"/>
      <c r="L603" s="8"/>
      <c r="M603" s="8"/>
      <c r="N603" s="8"/>
      <c r="O603" s="7"/>
      <c r="P603" s="7"/>
      <c r="Q603" s="7"/>
      <c r="R603" s="7"/>
      <c r="S603" s="7"/>
      <c r="T603" s="7"/>
    </row>
    <row r="604" spans="1:20" s="2" customFormat="1" x14ac:dyDescent="0.25">
      <c r="A604" s="9"/>
      <c r="B604" s="9"/>
      <c r="C604" s="9"/>
      <c r="D604" s="9"/>
      <c r="E604" s="9"/>
      <c r="F604" s="9"/>
      <c r="G604" s="9"/>
      <c r="H604" s="9"/>
      <c r="I604" s="7"/>
      <c r="J604" s="8"/>
      <c r="K604" s="8"/>
      <c r="L604" s="8"/>
      <c r="M604" s="8"/>
      <c r="N604" s="8"/>
      <c r="O604" s="7"/>
      <c r="P604" s="7"/>
      <c r="Q604" s="7"/>
      <c r="R604" s="7"/>
      <c r="S604" s="7"/>
      <c r="T604" s="7"/>
    </row>
    <row r="605" spans="1:20" s="2" customFormat="1" x14ac:dyDescent="0.25">
      <c r="A605" s="9"/>
      <c r="B605" s="9"/>
      <c r="C605" s="9"/>
      <c r="D605" s="9"/>
      <c r="E605" s="9"/>
      <c r="F605" s="9"/>
      <c r="G605" s="9"/>
      <c r="H605" s="9"/>
      <c r="I605" s="7"/>
      <c r="J605" s="8"/>
      <c r="K605" s="8"/>
      <c r="L605" s="8"/>
      <c r="M605" s="8"/>
      <c r="N605" s="8"/>
      <c r="O605" s="7"/>
      <c r="P605" s="7"/>
      <c r="Q605" s="7"/>
      <c r="R605" s="7"/>
      <c r="S605" s="7"/>
      <c r="T605" s="7"/>
    </row>
    <row r="606" spans="1:20" s="2" customFormat="1" x14ac:dyDescent="0.25">
      <c r="A606" s="9"/>
      <c r="B606" s="9"/>
      <c r="C606" s="9"/>
      <c r="D606" s="9"/>
      <c r="E606" s="9"/>
      <c r="F606" s="9"/>
      <c r="G606" s="9"/>
      <c r="H606" s="9"/>
      <c r="I606" s="7"/>
      <c r="J606" s="8"/>
      <c r="K606" s="8"/>
      <c r="L606" s="8"/>
      <c r="M606" s="8"/>
      <c r="N606" s="8"/>
      <c r="O606" s="7"/>
      <c r="P606" s="7"/>
      <c r="Q606" s="7"/>
      <c r="R606" s="7"/>
      <c r="S606" s="7"/>
      <c r="T606" s="7"/>
    </row>
    <row r="607" spans="1:20" s="2" customFormat="1" x14ac:dyDescent="0.25">
      <c r="A607" s="9"/>
      <c r="B607" s="9"/>
      <c r="C607" s="9"/>
      <c r="D607" s="9"/>
      <c r="E607" s="9"/>
      <c r="F607" s="9"/>
      <c r="G607" s="9"/>
      <c r="H607" s="9"/>
      <c r="I607" s="7"/>
      <c r="J607" s="8"/>
      <c r="K607" s="8"/>
      <c r="L607" s="8"/>
      <c r="M607" s="8"/>
      <c r="N607" s="8"/>
      <c r="O607" s="7"/>
      <c r="P607" s="7"/>
      <c r="Q607" s="7"/>
      <c r="R607" s="7"/>
      <c r="S607" s="7"/>
      <c r="T607" s="7"/>
    </row>
    <row r="608" spans="1:20" s="2" customFormat="1" x14ac:dyDescent="0.25">
      <c r="A608" s="9"/>
      <c r="B608" s="9"/>
      <c r="C608" s="9"/>
      <c r="D608" s="9"/>
      <c r="E608" s="9"/>
      <c r="F608" s="9"/>
      <c r="G608" s="9"/>
      <c r="H608" s="9"/>
      <c r="I608" s="7"/>
      <c r="J608" s="8"/>
      <c r="K608" s="8"/>
      <c r="L608" s="8"/>
      <c r="M608" s="8"/>
      <c r="N608" s="8"/>
      <c r="O608" s="7"/>
      <c r="P608" s="7"/>
      <c r="Q608" s="7"/>
      <c r="R608" s="7"/>
      <c r="S608" s="7"/>
      <c r="T608" s="7"/>
    </row>
    <row r="609" spans="1:20" s="2" customFormat="1" x14ac:dyDescent="0.25">
      <c r="A609" s="9"/>
      <c r="B609" s="9"/>
      <c r="C609" s="9"/>
      <c r="D609" s="9"/>
      <c r="E609" s="9"/>
      <c r="F609" s="9"/>
      <c r="G609" s="9"/>
      <c r="H609" s="9"/>
      <c r="I609" s="7"/>
      <c r="J609" s="8"/>
      <c r="K609" s="8"/>
      <c r="L609" s="8"/>
      <c r="M609" s="8"/>
      <c r="N609" s="8"/>
      <c r="O609" s="7"/>
      <c r="P609" s="7"/>
      <c r="Q609" s="7"/>
      <c r="R609" s="7"/>
      <c r="S609" s="7"/>
      <c r="T609" s="7"/>
    </row>
    <row r="610" spans="1:20" s="2" customFormat="1" x14ac:dyDescent="0.25">
      <c r="A610" s="9"/>
      <c r="B610" s="9"/>
      <c r="C610" s="9"/>
      <c r="D610" s="9"/>
      <c r="E610" s="9"/>
      <c r="F610" s="9"/>
      <c r="G610" s="9"/>
      <c r="H610" s="9"/>
      <c r="I610" s="7"/>
      <c r="J610" s="8"/>
      <c r="K610" s="8"/>
      <c r="L610" s="8"/>
      <c r="M610" s="8"/>
      <c r="N610" s="8"/>
      <c r="O610" s="7"/>
      <c r="P610" s="7"/>
      <c r="Q610" s="7"/>
      <c r="R610" s="7"/>
      <c r="S610" s="7"/>
      <c r="T610" s="7"/>
    </row>
  </sheetData>
  <sheetProtection selectLockedCells="1"/>
  <conditionalFormatting sqref="A153:A154">
    <cfRule type="duplicateValues" dxfId="251" priority="157"/>
    <cfRule type="duplicateValues" dxfId="250" priority="210"/>
  </conditionalFormatting>
  <conditionalFormatting sqref="B153">
    <cfRule type="duplicateValues" dxfId="249" priority="158"/>
    <cfRule type="duplicateValues" dxfId="248" priority="159"/>
    <cfRule type="duplicateValues" dxfId="247" priority="160"/>
    <cfRule type="duplicateValues" dxfId="246" priority="161"/>
    <cfRule type="duplicateValues" dxfId="245" priority="162"/>
    <cfRule type="duplicateValues" dxfId="244" priority="163"/>
    <cfRule type="duplicateValues" dxfId="243" priority="164"/>
    <cfRule type="duplicateValues" dxfId="242" priority="165"/>
    <cfRule type="duplicateValues" dxfId="241" priority="166"/>
    <cfRule type="duplicateValues" dxfId="240" priority="167"/>
    <cfRule type="duplicateValues" dxfId="239" priority="168"/>
    <cfRule type="duplicateValues" dxfId="238" priority="169"/>
    <cfRule type="duplicateValues" dxfId="237" priority="170"/>
    <cfRule type="duplicateValues" dxfId="236" priority="171"/>
    <cfRule type="duplicateValues" dxfId="235" priority="172"/>
    <cfRule type="duplicateValues" dxfId="234" priority="173"/>
    <cfRule type="duplicateValues" dxfId="233" priority="174"/>
    <cfRule type="duplicateValues" dxfId="232" priority="175"/>
    <cfRule type="duplicateValues" dxfId="231" priority="176"/>
    <cfRule type="duplicateValues" dxfId="230" priority="177"/>
    <cfRule type="duplicateValues" dxfId="229" priority="178"/>
    <cfRule type="duplicateValues" dxfId="228" priority="179"/>
    <cfRule type="duplicateValues" dxfId="227" priority="180"/>
    <cfRule type="duplicateValues" dxfId="226" priority="181"/>
    <cfRule type="duplicateValues" dxfId="225" priority="182"/>
    <cfRule type="duplicateValues" dxfId="224" priority="183"/>
  </conditionalFormatting>
  <conditionalFormatting sqref="B154">
    <cfRule type="duplicateValues" dxfId="223" priority="184"/>
    <cfRule type="duplicateValues" dxfId="222" priority="185"/>
    <cfRule type="duplicateValues" dxfId="221" priority="186"/>
    <cfRule type="duplicateValues" dxfId="220" priority="187"/>
    <cfRule type="duplicateValues" dxfId="219" priority="188"/>
    <cfRule type="duplicateValues" dxfId="218" priority="189"/>
    <cfRule type="duplicateValues" dxfId="217" priority="190"/>
    <cfRule type="duplicateValues" dxfId="216" priority="191"/>
    <cfRule type="duplicateValues" dxfId="215" priority="192"/>
    <cfRule type="duplicateValues" dxfId="214" priority="193"/>
    <cfRule type="duplicateValues" dxfId="213" priority="194"/>
    <cfRule type="duplicateValues" dxfId="212" priority="195"/>
    <cfRule type="duplicateValues" dxfId="211" priority="196"/>
    <cfRule type="duplicateValues" dxfId="210" priority="197"/>
    <cfRule type="duplicateValues" dxfId="209" priority="198"/>
    <cfRule type="duplicateValues" dxfId="208" priority="199"/>
    <cfRule type="duplicateValues" dxfId="207" priority="200"/>
    <cfRule type="duplicateValues" dxfId="206" priority="201"/>
    <cfRule type="duplicateValues" dxfId="205" priority="202"/>
    <cfRule type="duplicateValues" dxfId="204" priority="203"/>
    <cfRule type="duplicateValues" dxfId="203" priority="204"/>
    <cfRule type="duplicateValues" dxfId="202" priority="205"/>
    <cfRule type="duplicateValues" dxfId="201" priority="206"/>
    <cfRule type="duplicateValues" dxfId="200" priority="207"/>
    <cfRule type="duplicateValues" dxfId="199" priority="208"/>
    <cfRule type="duplicateValues" dxfId="198" priority="209"/>
  </conditionalFormatting>
  <conditionalFormatting sqref="B155">
    <cfRule type="duplicateValues" dxfId="197" priority="219"/>
    <cfRule type="duplicateValues" dxfId="196" priority="220"/>
    <cfRule type="duplicateValues" dxfId="195" priority="221"/>
    <cfRule type="duplicateValues" dxfId="194" priority="222"/>
    <cfRule type="duplicateValues" dxfId="193" priority="223"/>
    <cfRule type="duplicateValues" dxfId="192" priority="224"/>
    <cfRule type="duplicateValues" dxfId="191" priority="225"/>
    <cfRule type="duplicateValues" dxfId="190" priority="226"/>
    <cfRule type="duplicateValues" dxfId="189" priority="227"/>
  </conditionalFormatting>
  <conditionalFormatting sqref="B156">
    <cfRule type="duplicateValues" dxfId="188" priority="228"/>
    <cfRule type="duplicateValues" dxfId="187" priority="229"/>
    <cfRule type="duplicateValues" dxfId="186" priority="230"/>
    <cfRule type="duplicateValues" dxfId="185" priority="231"/>
    <cfRule type="duplicateValues" dxfId="184" priority="232"/>
    <cfRule type="duplicateValues" dxfId="183" priority="233"/>
    <cfRule type="duplicateValues" dxfId="182" priority="234"/>
    <cfRule type="duplicateValues" dxfId="181" priority="235"/>
    <cfRule type="duplicateValues" dxfId="180" priority="236"/>
  </conditionalFormatting>
  <conditionalFormatting sqref="B157:B159 B169:B170 B173:B178">
    <cfRule type="duplicateValues" dxfId="179" priority="244"/>
  </conditionalFormatting>
  <conditionalFormatting sqref="B157:B170 B173:B178">
    <cfRule type="duplicateValues" dxfId="178" priority="237"/>
  </conditionalFormatting>
  <conditionalFormatting sqref="B161:B170 B157:B159 B173:B178">
    <cfRule type="duplicateValues" dxfId="177" priority="238"/>
  </conditionalFormatting>
  <conditionalFormatting sqref="B162:B170 B157:B159 B173:B178">
    <cfRule type="duplicateValues" dxfId="176" priority="239"/>
  </conditionalFormatting>
  <conditionalFormatting sqref="B164:B170 B157:B159 B173:B178">
    <cfRule type="duplicateValues" dxfId="175" priority="240"/>
  </conditionalFormatting>
  <conditionalFormatting sqref="B166:B170 B157:B159 B173:B178">
    <cfRule type="duplicateValues" dxfId="174" priority="241"/>
  </conditionalFormatting>
  <conditionalFormatting sqref="B167:B170 B157:B159 B173:B178">
    <cfRule type="duplicateValues" dxfId="173" priority="242"/>
  </conditionalFormatting>
  <conditionalFormatting sqref="B168:B170 B157:B159 B173:B178">
    <cfRule type="duplicateValues" dxfId="172" priority="243"/>
  </conditionalFormatting>
  <conditionalFormatting sqref="B171:B172">
    <cfRule type="duplicateValues" dxfId="171" priority="211"/>
    <cfRule type="duplicateValues" dxfId="170" priority="212"/>
    <cfRule type="duplicateValues" dxfId="169" priority="213"/>
    <cfRule type="duplicateValues" dxfId="168" priority="214"/>
    <cfRule type="duplicateValues" dxfId="167" priority="215"/>
    <cfRule type="duplicateValues" dxfId="166" priority="216"/>
    <cfRule type="duplicateValues" dxfId="165" priority="217"/>
    <cfRule type="duplicateValues" dxfId="164" priority="218"/>
  </conditionalFormatting>
  <conditionalFormatting sqref="B173:B178 B157:B159">
    <cfRule type="duplicateValues" dxfId="163" priority="250"/>
  </conditionalFormatting>
  <conditionalFormatting sqref="B173:B178">
    <cfRule type="duplicateValues" dxfId="162" priority="245"/>
  </conditionalFormatting>
  <conditionalFormatting sqref="B174:B178">
    <cfRule type="duplicateValues" dxfId="161" priority="246"/>
  </conditionalFormatting>
  <conditionalFormatting sqref="B175:B178">
    <cfRule type="duplicateValues" dxfId="160" priority="247"/>
  </conditionalFormatting>
  <conditionalFormatting sqref="B176:B178">
    <cfRule type="duplicateValues" dxfId="159" priority="248"/>
  </conditionalFormatting>
  <conditionalFormatting sqref="B177:B178">
    <cfRule type="duplicateValues" dxfId="158" priority="249"/>
  </conditionalFormatting>
  <conditionalFormatting sqref="B179:B181">
    <cfRule type="duplicateValues" dxfId="157" priority="117"/>
    <cfRule type="duplicateValues" dxfId="156" priority="118"/>
    <cfRule type="duplicateValues" dxfId="155" priority="119"/>
    <cfRule type="duplicateValues" dxfId="154" priority="120"/>
    <cfRule type="duplicateValues" dxfId="153" priority="121"/>
    <cfRule type="duplicateValues" dxfId="152" priority="122"/>
    <cfRule type="duplicateValues" dxfId="151" priority="123"/>
    <cfRule type="duplicateValues" dxfId="150" priority="124"/>
    <cfRule type="duplicateValues" dxfId="149" priority="125"/>
    <cfRule type="duplicateValues" dxfId="148" priority="126"/>
    <cfRule type="duplicateValues" dxfId="147" priority="127"/>
    <cfRule type="duplicateValues" dxfId="146" priority="128"/>
    <cfRule type="duplicateValues" dxfId="145" priority="129"/>
    <cfRule type="duplicateValues" dxfId="144" priority="130"/>
    <cfRule type="duplicateValues" dxfId="143" priority="131"/>
    <cfRule type="duplicateValues" dxfId="142" priority="132"/>
    <cfRule type="duplicateValues" dxfId="141" priority="133"/>
    <cfRule type="duplicateValues" dxfId="140" priority="134"/>
    <cfRule type="duplicateValues" dxfId="139" priority="135"/>
    <cfRule type="duplicateValues" dxfId="138" priority="136"/>
    <cfRule type="duplicateValues" dxfId="137" priority="137"/>
  </conditionalFormatting>
  <conditionalFormatting sqref="B182:B183">
    <cfRule type="duplicateValues" dxfId="136" priority="33"/>
    <cfRule type="duplicateValues" dxfId="135" priority="34"/>
    <cfRule type="duplicateValues" dxfId="134" priority="35"/>
    <cfRule type="duplicateValues" dxfId="133" priority="36"/>
    <cfRule type="duplicateValues" dxfId="132" priority="37"/>
    <cfRule type="duplicateValues" dxfId="131" priority="38"/>
    <cfRule type="duplicateValues" dxfId="130" priority="39"/>
    <cfRule type="duplicateValues" dxfId="129" priority="40"/>
    <cfRule type="duplicateValues" dxfId="128" priority="41"/>
    <cfRule type="duplicateValues" dxfId="127" priority="42"/>
    <cfRule type="duplicateValues" dxfId="126" priority="43"/>
    <cfRule type="duplicateValues" dxfId="125" priority="44"/>
    <cfRule type="duplicateValues" dxfId="124" priority="45"/>
    <cfRule type="duplicateValues" dxfId="123" priority="46"/>
    <cfRule type="duplicateValues" dxfId="122" priority="47"/>
    <cfRule type="duplicateValues" dxfId="121" priority="48"/>
    <cfRule type="duplicateValues" dxfId="120" priority="49"/>
    <cfRule type="duplicateValues" dxfId="119" priority="50"/>
    <cfRule type="duplicateValues" dxfId="118" priority="51"/>
    <cfRule type="duplicateValues" dxfId="117" priority="52"/>
    <cfRule type="duplicateValues" dxfId="116" priority="53"/>
  </conditionalFormatting>
  <conditionalFormatting sqref="B184">
    <cfRule type="duplicateValues" dxfId="115" priority="54"/>
    <cfRule type="duplicateValues" dxfId="114" priority="55"/>
    <cfRule type="duplicateValues" dxfId="113" priority="56"/>
    <cfRule type="duplicateValues" dxfId="112" priority="57"/>
    <cfRule type="duplicateValues" dxfId="111" priority="58"/>
    <cfRule type="duplicateValues" dxfId="110" priority="59"/>
    <cfRule type="duplicateValues" dxfId="109" priority="60"/>
    <cfRule type="duplicateValues" dxfId="108" priority="61"/>
    <cfRule type="duplicateValues" dxfId="107" priority="62"/>
    <cfRule type="duplicateValues" dxfId="106" priority="63"/>
    <cfRule type="duplicateValues" dxfId="105" priority="64"/>
    <cfRule type="duplicateValues" dxfId="104" priority="65"/>
    <cfRule type="duplicateValues" dxfId="103" priority="66"/>
    <cfRule type="duplicateValues" dxfId="102" priority="67"/>
    <cfRule type="duplicateValues" dxfId="101" priority="68"/>
    <cfRule type="duplicateValues" dxfId="100" priority="69"/>
    <cfRule type="duplicateValues" dxfId="99" priority="70"/>
    <cfRule type="duplicateValues" dxfId="98" priority="71"/>
    <cfRule type="duplicateValues" dxfId="97" priority="72"/>
    <cfRule type="duplicateValues" dxfId="96" priority="73"/>
    <cfRule type="duplicateValues" dxfId="95" priority="74"/>
  </conditionalFormatting>
  <conditionalFormatting sqref="B185">
    <cfRule type="duplicateValues" dxfId="94" priority="75"/>
    <cfRule type="duplicateValues" dxfId="93" priority="76"/>
    <cfRule type="duplicateValues" dxfId="92" priority="77"/>
    <cfRule type="duplicateValues" dxfId="91" priority="78"/>
    <cfRule type="duplicateValues" dxfId="90" priority="79"/>
    <cfRule type="duplicateValues" dxfId="89" priority="80"/>
    <cfRule type="duplicateValues" dxfId="88" priority="81"/>
    <cfRule type="duplicateValues" dxfId="87" priority="82"/>
    <cfRule type="duplicateValues" dxfId="86" priority="83"/>
    <cfRule type="duplicateValues" dxfId="85" priority="84"/>
    <cfRule type="duplicateValues" dxfId="84" priority="85"/>
    <cfRule type="duplicateValues" dxfId="83" priority="86"/>
    <cfRule type="duplicateValues" dxfId="82" priority="87"/>
    <cfRule type="duplicateValues" dxfId="81" priority="88"/>
    <cfRule type="duplicateValues" dxfId="80" priority="89"/>
    <cfRule type="duplicateValues" dxfId="79" priority="90"/>
    <cfRule type="duplicateValues" dxfId="78" priority="91"/>
    <cfRule type="duplicateValues" dxfId="77" priority="92"/>
    <cfRule type="duplicateValues" dxfId="76" priority="93"/>
    <cfRule type="duplicateValues" dxfId="75" priority="94"/>
    <cfRule type="duplicateValues" dxfId="74" priority="95"/>
  </conditionalFormatting>
  <conditionalFormatting sqref="B186">
    <cfRule type="duplicateValues" dxfId="73" priority="96"/>
    <cfRule type="duplicateValues" dxfId="72" priority="97"/>
    <cfRule type="duplicateValues" dxfId="71" priority="98"/>
    <cfRule type="duplicateValues" dxfId="70" priority="99"/>
    <cfRule type="duplicateValues" dxfId="69" priority="100"/>
    <cfRule type="duplicateValues" dxfId="68" priority="101"/>
    <cfRule type="duplicateValues" dxfId="67" priority="102"/>
    <cfRule type="duplicateValues" dxfId="66" priority="103"/>
    <cfRule type="duplicateValues" dxfId="65" priority="104"/>
    <cfRule type="duplicateValues" dxfId="64" priority="105"/>
    <cfRule type="duplicateValues" dxfId="63" priority="106"/>
    <cfRule type="duplicateValues" dxfId="62" priority="107"/>
    <cfRule type="duplicateValues" dxfId="61" priority="108"/>
    <cfRule type="duplicateValues" dxfId="60" priority="109"/>
    <cfRule type="duplicateValues" dxfId="59" priority="110"/>
    <cfRule type="duplicateValues" dxfId="58" priority="111"/>
    <cfRule type="duplicateValues" dxfId="57" priority="112"/>
    <cfRule type="duplicateValues" dxfId="56" priority="113"/>
    <cfRule type="duplicateValues" dxfId="55" priority="114"/>
    <cfRule type="duplicateValues" dxfId="54" priority="115"/>
    <cfRule type="duplicateValues" dxfId="53" priority="116"/>
  </conditionalFormatting>
  <conditionalFormatting sqref="B187">
    <cfRule type="duplicateValues" dxfId="52" priority="138"/>
    <cfRule type="duplicateValues" dxfId="51" priority="139"/>
    <cfRule type="duplicateValues" dxfId="50" priority="140"/>
    <cfRule type="duplicateValues" dxfId="49" priority="141"/>
    <cfRule type="duplicateValues" dxfId="48" priority="142"/>
    <cfRule type="duplicateValues" dxfId="47" priority="143"/>
    <cfRule type="duplicateValues" dxfId="46" priority="144"/>
    <cfRule type="duplicateValues" dxfId="45" priority="145"/>
    <cfRule type="duplicateValues" dxfId="44" priority="146"/>
    <cfRule type="duplicateValues" dxfId="43" priority="147"/>
    <cfRule type="duplicateValues" dxfId="42" priority="148"/>
    <cfRule type="duplicateValues" dxfId="41" priority="149"/>
    <cfRule type="duplicateValues" dxfId="40" priority="150"/>
    <cfRule type="duplicateValues" dxfId="39" priority="151"/>
    <cfRule type="duplicateValues" dxfId="38" priority="152"/>
    <cfRule type="duplicateValues" dxfId="37" priority="153"/>
    <cfRule type="duplicateValues" dxfId="36" priority="154"/>
    <cfRule type="duplicateValues" dxfId="35" priority="155"/>
    <cfRule type="duplicateValues" dxfId="34" priority="156"/>
  </conditionalFormatting>
  <conditionalFormatting sqref="B188">
    <cfRule type="duplicateValues" dxfId="33" priority="24"/>
  </conditionalFormatting>
  <conditionalFormatting sqref="B189">
    <cfRule type="duplicateValues" dxfId="32" priority="22"/>
  </conditionalFormatting>
  <conditionalFormatting sqref="B190">
    <cfRule type="duplicateValues" dxfId="31" priority="23"/>
  </conditionalFormatting>
  <conditionalFormatting sqref="B191">
    <cfRule type="duplicateValues" dxfId="30" priority="26"/>
  </conditionalFormatting>
  <conditionalFormatting sqref="B192">
    <cfRule type="duplicateValues" dxfId="29" priority="25"/>
  </conditionalFormatting>
  <conditionalFormatting sqref="B193">
    <cfRule type="duplicateValues" dxfId="28" priority="28"/>
  </conditionalFormatting>
  <conditionalFormatting sqref="B194">
    <cfRule type="duplicateValues" dxfId="27" priority="27"/>
  </conditionalFormatting>
  <conditionalFormatting sqref="B195">
    <cfRule type="duplicateValues" dxfId="26" priority="30"/>
  </conditionalFormatting>
  <conditionalFormatting sqref="B196">
    <cfRule type="duplicateValues" dxfId="25" priority="29"/>
  </conditionalFormatting>
  <conditionalFormatting sqref="B197">
    <cfRule type="duplicateValues" dxfId="24" priority="32"/>
  </conditionalFormatting>
  <conditionalFormatting sqref="B198">
    <cfRule type="duplicateValues" dxfId="23" priority="31"/>
  </conditionalFormatting>
  <conditionalFormatting sqref="B199">
    <cfRule type="duplicateValues" dxfId="22" priority="10"/>
  </conditionalFormatting>
  <conditionalFormatting sqref="B200">
    <cfRule type="duplicateValues" dxfId="21" priority="11"/>
  </conditionalFormatting>
  <conditionalFormatting sqref="B201">
    <cfRule type="duplicateValues" dxfId="20" priority="12"/>
  </conditionalFormatting>
  <conditionalFormatting sqref="B202">
    <cfRule type="duplicateValues" dxfId="19" priority="13"/>
  </conditionalFormatting>
  <conditionalFormatting sqref="B203">
    <cfRule type="duplicateValues" dxfId="18" priority="14"/>
  </conditionalFormatting>
  <conditionalFormatting sqref="B204">
    <cfRule type="duplicateValues" dxfId="17" priority="15"/>
  </conditionalFormatting>
  <conditionalFormatting sqref="B205">
    <cfRule type="duplicateValues" dxfId="16" priority="16"/>
  </conditionalFormatting>
  <conditionalFormatting sqref="B206:B207">
    <cfRule type="duplicateValues" dxfId="15" priority="17"/>
  </conditionalFormatting>
  <conditionalFormatting sqref="B208">
    <cfRule type="duplicateValues" dxfId="14" priority="18"/>
  </conditionalFormatting>
  <conditionalFormatting sqref="B209:B212">
    <cfRule type="duplicateValues" dxfId="13" priority="4"/>
  </conditionalFormatting>
  <conditionalFormatting sqref="B213:B216">
    <cfRule type="duplicateValues" dxfId="12" priority="8"/>
  </conditionalFormatting>
  <conditionalFormatting sqref="B217">
    <cfRule type="duplicateValues" dxfId="11" priority="9"/>
  </conditionalFormatting>
  <conditionalFormatting sqref="B218">
    <cfRule type="duplicateValues" dxfId="10" priority="19"/>
  </conditionalFormatting>
  <conditionalFormatting sqref="B219">
    <cfRule type="duplicateValues" dxfId="9" priority="5"/>
  </conditionalFormatting>
  <conditionalFormatting sqref="B220:B221">
    <cfRule type="duplicateValues" dxfId="8" priority="6"/>
  </conditionalFormatting>
  <conditionalFormatting sqref="B222">
    <cfRule type="duplicateValues" dxfId="7" priority="7"/>
  </conditionalFormatting>
  <conditionalFormatting sqref="B223">
    <cfRule type="duplicateValues" dxfId="6" priority="20"/>
  </conditionalFormatting>
  <conditionalFormatting sqref="B224">
    <cfRule type="duplicateValues" dxfId="5" priority="21"/>
  </conditionalFormatting>
  <conditionalFormatting sqref="B225:B226">
    <cfRule type="duplicateValues" dxfId="4" priority="3"/>
  </conditionalFormatting>
  <conditionalFormatting sqref="B227">
    <cfRule type="duplicateValues" dxfId="3" priority="2"/>
  </conditionalFormatting>
  <conditionalFormatting sqref="B228">
    <cfRule type="duplicateValues" dxfId="2" priority="1"/>
  </conditionalFormatting>
  <conditionalFormatting sqref="A2:A228">
    <cfRule type="duplicateValues" dxfId="1" priority="269"/>
  </conditionalFormatting>
  <pageMargins left="0.7" right="0.7" top="0.75" bottom="0.75" header="0.3" footer="0.3"/>
  <pageSetup paperSize="9" scale="55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IP HIKVISION</vt:lpstr>
      <vt:lpstr>'IP HIKVISION'!Área_de_impresión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2026-09-30T15:01:01Z</cp:lastPrinted>
  <dcterms:created xsi:type="dcterms:W3CDTF">2026-07-31T20:07:54Z</dcterms:created>
  <dcterms:modified xsi:type="dcterms:W3CDTF">2026-09-30T22:20:27Z</dcterms:modified>
</cp:coreProperties>
</file>