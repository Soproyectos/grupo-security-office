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"/>
    </mc:Choice>
  </mc:AlternateContent>
  <xr:revisionPtr revIDLastSave="0" documentId="13_ncr:1_{1F68F84F-260D-411C-8D5A-4183093FADAC}" xr6:coauthVersionLast="47" xr6:coauthVersionMax="47" xr10:uidLastSave="{00000000-0000-0000-0000-000000000000}"/>
  <bookViews>
    <workbookView xWindow="23880" yWindow="-120" windowWidth="21840" windowHeight="13140" xr2:uid="{9FE2A91E-8D98-45BA-A937-A78A94FE47A0}"/>
  </bookViews>
  <sheets>
    <sheet name="HILOOK IP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localSheetId="0" hidden="1">{"'ADV&amp;DP'!$A$4:$C$25"}</definedName>
    <definedName name="\v" hidden="1">{"'ADV&amp;DP'!$A$4:$C$25"}</definedName>
    <definedName name="_??" localSheetId="0" hidden="1">{"'?????10.27??????'!$Q$16"}</definedName>
    <definedName name="_??" hidden="1">{"'?????10.27??????'!$Q$16"}</definedName>
    <definedName name="_????" localSheetId="0" hidden="1">{"'?????10.27??????'!$Q$16"}</definedName>
    <definedName name="_????" hidden="1">{"'?????10.27??????'!$Q$16"}</definedName>
    <definedName name="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0" hidden="1">{"'?????10.27??????'!$Q$16"}</definedName>
    <definedName name="_??????" hidden="1">{"'?????10.27??????'!$Q$16"}</definedName>
    <definedName name="_??06" localSheetId="0" hidden="1">{"'?????10.27??????'!$Q$16"}</definedName>
    <definedName name="_??06" hidden="1">{"'?????10.27??????'!$Q$16"}</definedName>
    <definedName name="_?16??" localSheetId="0" hidden="1">{"'????'!$A$1:$C$37"}</definedName>
    <definedName name="_?16??" hidden="1">{"'????'!$A$1:$C$37"}</definedName>
    <definedName name="__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localSheetId="0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localSheetId="0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0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0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localSheetId="0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localSheetId="0" hidden="1">'HILOOK IP'!$A$1:$I$10</definedName>
    <definedName name="_xlnm._FilterDatabase" hidden="1">'[5]46W9'!#REF!</definedName>
    <definedName name="_Key2" hidden="1">#REF!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0" hidden="1">{"'下期集計（10.27迄・速報値）'!$Q$16"}</definedName>
    <definedName name="ando" hidden="1">{"'下期集計（10.27迄・速報値）'!$Q$16"}</definedName>
    <definedName name="anscount" hidden="1">3</definedName>
    <definedName name="_xlnm.Print_Area" localSheetId="0">Tabla111[[#All],[REFERENCIA]:[PRECIO CLIENTE FINAL ( CON  IVA)]]</definedName>
    <definedName name="AS2DocOpenMode" hidden="1">"AS2DocumentEdit"</definedName>
    <definedName name="AS2HasNoAutoHeaderFooter" hidden="1">" "</definedName>
    <definedName name="asdf" localSheetId="0" hidden="1">{"'年間台数'!$A$1:$K$20","'中古車登録台数'!$A$1:$I$39"}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localSheetId="0" hidden="1">{"'Highlights'!$A$1:$M$123"}</definedName>
    <definedName name="Bridge" hidden="1">{"'Highlights'!$A$1:$M$123"}</definedName>
    <definedName name="CARLOS" localSheetId="0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0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0" hidden="1">{#N/A,#N/A,TRUE,"A"}</definedName>
    <definedName name="efg" hidden="1">{#N/A,#N/A,TRUE,"A"}</definedName>
    <definedName name="fds" localSheetId="0" hidden="1">{"'下期集計（10.27迄・速報値）'!$Q$16"}</definedName>
    <definedName name="fds" hidden="1">{"'下期集計（10.27迄・速報値）'!$Q$16"}</definedName>
    <definedName name="ｇ" localSheetId="0" hidden="1">{"'下期集計（10.27迄・速報値）'!$Q$16"}</definedName>
    <definedName name="ｇ" hidden="1">{"'下期集計（10.27迄・速報値）'!$Q$16"}</definedName>
    <definedName name="gd" localSheetId="0" hidden="1">{"'下期集計（10.27迄・速報値）'!$Q$16"}</definedName>
    <definedName name="gd" hidden="1">{"'下期集計（10.27迄・速報値）'!$Q$16"}</definedName>
    <definedName name="gda" localSheetId="0" hidden="1">{"'下期集計（10.27迄・速報値）'!$Q$16"}</definedName>
    <definedName name="gda" hidden="1">{"'下期集計（10.27迄・速報値）'!$Q$16"}</definedName>
    <definedName name="gdsa" localSheetId="0" hidden="1">{"'下期集計（10.27迄・速報値）'!$Q$16"}</definedName>
    <definedName name="gdsa" hidden="1">{"'下期集計（10.27迄・速報値）'!$Q$16"}</definedName>
    <definedName name="gh" localSheetId="0" hidden="1">{"'Highlights'!$A$1:$M$123"}</definedName>
    <definedName name="gh" hidden="1">{"'Highlights'!$A$1:$M$123"}</definedName>
    <definedName name="ｈ" localSheetId="0" hidden="1">{"'下期集計（10.27迄・速報値）'!$Q$16"}</definedName>
    <definedName name="ｈ" hidden="1">{"'下期集計（10.27迄・速報値）'!$Q$16"}</definedName>
    <definedName name="H16?1??" localSheetId="0" hidden="1">{"'????'!$A$1:$C$37"}</definedName>
    <definedName name="H16?1??" hidden="1">{"'????'!$A$1:$C$37"}</definedName>
    <definedName name="Ｈ16・１" localSheetId="0" hidden="1">{"'コメント'!$A$1:$C$37"}</definedName>
    <definedName name="Ｈ16・１" hidden="1">{"'コメント'!$A$1:$C$37"}</definedName>
    <definedName name="H16･1速報" localSheetId="0" hidden="1">{"'コメント'!$A$1:$C$37"}</definedName>
    <definedName name="H16･1速報" hidden="1">{"'コメント'!$A$1:$C$37"}</definedName>
    <definedName name="HTM_Control" localSheetId="0" hidden="1">{"'下期集計（10.27迄・速報値）'!$Q$16"}</definedName>
    <definedName name="HTM_Control" hidden="1">{"'下期集計（10.27迄・速報値）'!$Q$16"}</definedName>
    <definedName name="ＨＴＭＬ" localSheetId="0" hidden="1">{"'コメント'!$A$1:$C$37"}</definedName>
    <definedName name="ＨＴＭＬ" hidden="1">{"'コメント'!$A$1:$C$37"}</definedName>
    <definedName name="HTML_CodePage" hidden="1">1252</definedName>
    <definedName name="HTML_Control" localSheetId="0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0" hidden="1">{"'Highlights'!$A$1:$M$123"}</definedName>
    <definedName name="ji" hidden="1">{"'Highlights'!$A$1:$M$123"}</definedName>
    <definedName name="k" localSheetId="0" hidden="1">{"'下期集計（10.27迄・速報値）'!$Q$16"}</definedName>
    <definedName name="k" hidden="1">{"'下期集計（10.27迄・速報値）'!$Q$16"}</definedName>
    <definedName name="kjh" localSheetId="0" hidden="1">{#N/A,#N/A,TRUE,"A"}</definedName>
    <definedName name="kjh" hidden="1">{#N/A,#N/A,TRUE,"A"}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0" hidden="1">{"'下期集計（10.27迄・速報値）'!$Q$16"}</definedName>
    <definedName name="kk" hidden="1">{"'下期集計（10.27迄・速報値）'!$Q$16"}</definedName>
    <definedName name="kkk" localSheetId="0" hidden="1">{"'下期集計（10.27迄・速報値）'!$Q$16"}</definedName>
    <definedName name="kkk" hidden="1">{"'下期集計（10.27迄・速報値）'!$Q$16"}</definedName>
    <definedName name="lio" localSheetId="0" hidden="1">{#N/A,#N/A,TRUE,"A"}</definedName>
    <definedName name="lio" hidden="1">{#N/A,#N/A,TRUE,"A"}</definedName>
    <definedName name="LISTA">#REF!</definedName>
    <definedName name="ListOffset" hidden="1">1</definedName>
    <definedName name="MBAS" localSheetId="0" hidden="1">{"'ADV&amp;DP'!$A$4:$C$25"}</definedName>
    <definedName name="MBAS" hidden="1">{"'ADV&amp;DP'!$A$4:$C$25"}</definedName>
    <definedName name="mbs" localSheetId="0" hidden="1">{"'ADV&amp;DP'!$A$4:$C$25"}</definedName>
    <definedName name="mbs" hidden="1">{"'ADV&amp;DP'!$A$4:$C$25"}</definedName>
    <definedName name="MKK" localSheetId="0" hidden="1">{"'下期集計（10.27迄・速報値）'!$Q$16"}</definedName>
    <definedName name="MKK" hidden="1">{"'下期集計（10.27迄・速報値）'!$Q$16"}</definedName>
    <definedName name="mmm" localSheetId="0" hidden="1">{"'ADV&amp;DP'!$A$4:$C$25"}</definedName>
    <definedName name="mmm" hidden="1">{"'ADV&amp;DP'!$A$4:$C$25"}</definedName>
    <definedName name="MOBILE" localSheetId="0" hidden="1">{"'ADV&amp;DP'!$A$4:$C$25"}</definedName>
    <definedName name="MOBILE" hidden="1">{"'ADV&amp;DP'!$A$4:$C$25"}</definedName>
    <definedName name="n" localSheetId="0" hidden="1">{"'下期集計（10.27迄・速報値）'!$Q$16"}</definedName>
    <definedName name="n" hidden="1">{"'下期集計（10.27迄・速報値）'!$Q$16"}</definedName>
    <definedName name="new" localSheetId="0" hidden="1">{"'Highlights'!$A$1:$M$123"}</definedName>
    <definedName name="new" hidden="1">{"'Highlights'!$A$1:$M$123"}</definedName>
    <definedName name="nm" localSheetId="0" hidden="1">{#N/A,#N/A,TRUE,"A"}</definedName>
    <definedName name="nm" hidden="1">{#N/A,#N/A,TRUE,"A"}</definedName>
    <definedName name="ñlo" localSheetId="0" hidden="1">{#N/A,#N/A,TRUE,"A"}</definedName>
    <definedName name="ñlo" hidden="1">{#N/A,#N/A,TRUE,"A"}</definedName>
    <definedName name="ñp" localSheetId="0" hidden="1">{#N/A,#N/A,TRUE,"A"}</definedName>
    <definedName name="ñp" hidden="1">{#N/A,#N/A,TRUE,"A"}</definedName>
    <definedName name="oi" localSheetId="0" hidden="1">{#N/A,#N/A,TRUE,"A"}</definedName>
    <definedName name="oi" hidden="1">{#N/A,#N/A,TRUE,"A"}</definedName>
    <definedName name="ok" localSheetId="0" hidden="1">{"'Highlights'!$A$1:$M$123"}</definedName>
    <definedName name="ok" hidden="1">{"'Highlights'!$A$1:$M$123"}</definedName>
    <definedName name="PANELES">#REF!</definedName>
    <definedName name="piu" localSheetId="0" hidden="1">{#N/A,#N/A,TRUE,"A"}</definedName>
    <definedName name="piu" hidden="1">{#N/A,#N/A,TRUE,"A"}</definedName>
    <definedName name="plo" localSheetId="0" hidden="1">{#N/A,#N/A,TRUE,"A"}</definedName>
    <definedName name="plo" hidden="1">{#N/A,#N/A,TRUE,"A"}</definedName>
    <definedName name="po" localSheetId="0" hidden="1">{#N/A,#N/A,TRUE,"A"}</definedName>
    <definedName name="po" hidden="1">{#N/A,#N/A,TRUE,"A"}</definedName>
    <definedName name="PTSB" localSheetId="0" hidden="1">{"'Highlights'!$A$1:$M$123"}</definedName>
    <definedName name="PTSB" hidden="1">{"'Highlights'!$A$1:$M$123"}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0" hidden="1">{"'下期集計（10.27迄・速報値）'!$Q$16"}</definedName>
    <definedName name="qw" hidden="1">{"'下期集計（10.27迄・速報値）'!$Q$16"}</definedName>
    <definedName name="ＲＡＲＯＡ" localSheetId="0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localSheetId="0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0" hidden="1">{"'ADV&amp;DP'!$A$4:$C$25"}</definedName>
    <definedName name="SCOG" hidden="1">{"'ADV&amp;DP'!$A$4:$C$25"}</definedName>
    <definedName name="sencount" hidden="1">1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localSheetId="0" hidden="1">{"'下期集計（10.27迄・速報値）'!$Q$16"}</definedName>
    <definedName name="t" hidden="1">{"'下期集計（10.27迄・速報値）'!$Q$16"}</definedName>
    <definedName name="tyh" localSheetId="0" hidden="1">{#N/A,#N/A,TRUE,"A"}</definedName>
    <definedName name="tyh" hidden="1">{#N/A,#N/A,TRUE,"A"}</definedName>
    <definedName name="v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0" hidden="1">{#N/A,#N/A,TRUE,"A"}</definedName>
    <definedName name="vbn" hidden="1">{#N/A,#N/A,TRUE,"A"}</definedName>
    <definedName name="w" localSheetId="0" hidden="1">{"'下期集計（10.27迄・速報値）'!$Q$16"}</definedName>
    <definedName name="w" hidden="1">{"'下期集計（10.27迄・速報値）'!$Q$16"}</definedName>
    <definedName name="wrn.???." localSheetId="0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0" hidden="1">{#N/A,#N/A,TRUE,"A"}</definedName>
    <definedName name="wrn.EAN2." hidden="1">{#N/A,#N/A,TRUE,"A"}</definedName>
    <definedName name="wrn.EAN3" localSheetId="0" hidden="1">{#N/A,#N/A,TRUE,"A"}</definedName>
    <definedName name="wrn.EAN3" hidden="1">{#N/A,#N/A,TRUE,"A"}</definedName>
    <definedName name="wrn.FS????." localSheetId="0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0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0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0" hidden="1">{#N/A,#N/A,TRUE,"A"}</definedName>
    <definedName name="ws" hidden="1">{#N/A,#N/A,TRUE,"A"}</definedName>
    <definedName name="yhu" localSheetId="0" hidden="1">{#N/A,#N/A,TRUE,"A"}</definedName>
    <definedName name="yhu" hidden="1">{#N/A,#N/A,TRUE,"A"}</definedName>
    <definedName name="ｚ" localSheetId="0" hidden="1">{"'下期集計（10.27迄・速報値）'!$Q$16"}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0" hidden="1">{"'下期集計（10.27迄・速報値）'!$Q$16"}</definedName>
    <definedName name="ぁ" hidden="1">{"'下期集計（10.27迄・速報値）'!$Q$16"}</definedName>
    <definedName name="あ" localSheetId="0" hidden="1">{"'下期集計（10.27迄・速報値）'!$Q$16"}</definedName>
    <definedName name="あ" hidden="1">{"'下期集計（10.27迄・速報値）'!$Q$16"}</definedName>
    <definedName name="あああ" localSheetId="0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localSheetId="0" hidden="1">{"'下期集計（10.27迄・速報値）'!$Q$16"}</definedName>
    <definedName name="なんで" hidden="1">{"'下期集計（10.27迄・速報値）'!$Q$16"}</definedName>
    <definedName name="なんなの" localSheetId="0" hidden="1">{"'下期集計（10.27迄・速報値）'!$Q$16"}</definedName>
    <definedName name="なんなの" hidden="1">{"'下期集計（10.27迄・速報値）'!$Q$16"}</definedName>
    <definedName name="一括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0" hidden="1">{"'下期集計（10.27迄・速報値）'!$Q$16"}</definedName>
    <definedName name="年間収支買掛" hidden="1">{"'下期集計（10.27迄・速報値）'!$Q$16"}</definedName>
    <definedName name="年間資金収支あ" localSheetId="0" hidden="1">{"'下期集計（10.27迄・速報値）'!$Q$16"}</definedName>
    <definedName name="年間資金収支あ" hidden="1">{"'下期集計（10.27迄・速報値）'!$Q$16"}</definedName>
    <definedName name="日繰06" localSheetId="0" hidden="1">{"'下期集計（10.27迄・速報値）'!$Q$16"}</definedName>
    <definedName name="日繰06" hidden="1">{"'下期集計（10.27迄・速報値）'!$Q$16"}</definedName>
    <definedName name="系統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0" hidden="1">{"'下期集計（10.27迄・速報値）'!$Q$16"}</definedName>
    <definedName name="要処理資産②" hidden="1">{"'下期集計（10.27迄・速報値）'!$Q$16"}</definedName>
    <definedName name="評価対象" hidden="1">[9]計算過程シート!#REF!</definedName>
    <definedName name="資金" localSheetId="0" hidden="1">{"'下期集計（10.27迄・速報値）'!$Q$16"}</definedName>
    <definedName name="資金" hidden="1">{"'下期集計（10.27迄・速報値）'!$Q$16"}</definedName>
    <definedName name="金利体系" localSheetId="0" hidden="1">{"'下期集計（10.27迄・速報値）'!$Q$16"}</definedName>
    <definedName name="金利体系" hidden="1">{"'下期集計（10.27迄・速報値）'!$Q$16"}</definedName>
    <definedName name="関連" localSheetId="0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" i="7" l="1"/>
  <c r="N2" i="7" s="1"/>
  <c r="I2" i="7" s="1"/>
  <c r="R2" i="7"/>
  <c r="C2" i="7" s="1"/>
  <c r="O3" i="7"/>
  <c r="N3" i="7" s="1"/>
  <c r="I3" i="7" s="1"/>
  <c r="R3" i="7"/>
  <c r="C3" i="7" s="1"/>
  <c r="O4" i="7"/>
  <c r="N4" i="7" s="1"/>
  <c r="I4" i="7" s="1"/>
  <c r="R4" i="7"/>
  <c r="C4" i="7" s="1"/>
  <c r="O5" i="7"/>
  <c r="N5" i="7" s="1"/>
  <c r="I5" i="7" s="1"/>
  <c r="R5" i="7"/>
  <c r="C5" i="7" s="1"/>
  <c r="O6" i="7"/>
  <c r="N6" i="7" s="1"/>
  <c r="I6" i="7" s="1"/>
  <c r="R6" i="7"/>
  <c r="C6" i="7" s="1"/>
  <c r="O7" i="7"/>
  <c r="N7" i="7" s="1"/>
  <c r="I7" i="7" s="1"/>
  <c r="R7" i="7"/>
  <c r="C7" i="7" s="1"/>
  <c r="O8" i="7"/>
  <c r="N8" i="7" s="1"/>
  <c r="I8" i="7" s="1"/>
  <c r="R8" i="7"/>
  <c r="C8" i="7" s="1"/>
  <c r="O9" i="7"/>
  <c r="N9" i="7" s="1"/>
  <c r="I9" i="7" s="1"/>
  <c r="R9" i="7"/>
  <c r="C9" i="7" s="1"/>
  <c r="O10" i="7"/>
  <c r="N10" i="7" s="1"/>
  <c r="I10" i="7" s="1"/>
  <c r="R10" i="7"/>
  <c r="C10" i="7" s="1"/>
  <c r="G10" i="7" l="1"/>
  <c r="G6" i="7"/>
  <c r="G2" i="7"/>
  <c r="G9" i="7"/>
  <c r="G7" i="7"/>
  <c r="G3" i="7"/>
  <c r="G5" i="7"/>
  <c r="G8" i="7"/>
  <c r="G4" i="7"/>
  <c r="Q10" i="7"/>
  <c r="D10" i="7" s="1"/>
  <c r="M10" i="7"/>
  <c r="L10" i="7" s="1"/>
  <c r="E10" i="7"/>
  <c r="Q9" i="7"/>
  <c r="D9" i="7" s="1"/>
  <c r="M9" i="7"/>
  <c r="L9" i="7" s="1"/>
  <c r="E9" i="7"/>
  <c r="Q8" i="7"/>
  <c r="D8" i="7" s="1"/>
  <c r="M8" i="7"/>
  <c r="L8" i="7" s="1"/>
  <c r="E8" i="7"/>
  <c r="Q7" i="7"/>
  <c r="D7" i="7" s="1"/>
  <c r="M7" i="7"/>
  <c r="L7" i="7" s="1"/>
  <c r="E7" i="7"/>
  <c r="Q6" i="7"/>
  <c r="D6" i="7" s="1"/>
  <c r="M6" i="7"/>
  <c r="L6" i="7" s="1"/>
  <c r="E6" i="7"/>
  <c r="Q5" i="7"/>
  <c r="D5" i="7" s="1"/>
  <c r="M5" i="7"/>
  <c r="L5" i="7" s="1"/>
  <c r="E5" i="7"/>
  <c r="Q4" i="7"/>
  <c r="D4" i="7" s="1"/>
  <c r="M4" i="7"/>
  <c r="L4" i="7" s="1"/>
  <c r="E4" i="7"/>
  <c r="Q3" i="7"/>
  <c r="D3" i="7" s="1"/>
  <c r="M3" i="7"/>
  <c r="L3" i="7" s="1"/>
  <c r="E3" i="7"/>
  <c r="Q2" i="7"/>
  <c r="D2" i="7" s="1"/>
  <c r="M2" i="7"/>
  <c r="L2" i="7" s="1"/>
  <c r="E2" i="7"/>
  <c r="P10" i="7"/>
  <c r="H10" i="7" s="1"/>
  <c r="P9" i="7"/>
  <c r="H9" i="7" s="1"/>
  <c r="P8" i="7"/>
  <c r="H8" i="7" s="1"/>
  <c r="P7" i="7"/>
  <c r="H7" i="7" s="1"/>
  <c r="P6" i="7"/>
  <c r="H6" i="7" s="1"/>
  <c r="P5" i="7"/>
  <c r="H5" i="7" s="1"/>
  <c r="P4" i="7"/>
  <c r="H4" i="7" s="1"/>
  <c r="P3" i="7"/>
  <c r="H3" i="7" s="1"/>
  <c r="P2" i="7"/>
  <c r="H2" i="7" s="1"/>
  <c r="K4" i="7" l="1"/>
  <c r="J4" i="7" s="1"/>
  <c r="F4" i="7"/>
  <c r="K8" i="7"/>
  <c r="J8" i="7" s="1"/>
  <c r="F8" i="7"/>
  <c r="K3" i="7"/>
  <c r="J3" i="7" s="1"/>
  <c r="F3" i="7"/>
  <c r="K7" i="7"/>
  <c r="J7" i="7" s="1"/>
  <c r="F7" i="7"/>
  <c r="K5" i="7"/>
  <c r="J5" i="7" s="1"/>
  <c r="F5" i="7"/>
  <c r="K9" i="7"/>
  <c r="J9" i="7" s="1"/>
  <c r="F9" i="7"/>
  <c r="K2" i="7"/>
  <c r="J2" i="7" s="1"/>
  <c r="F2" i="7"/>
  <c r="K10" i="7"/>
  <c r="J10" i="7" s="1"/>
  <c r="F10" i="7"/>
  <c r="K6" i="7"/>
  <c r="J6" i="7" s="1"/>
  <c r="F6" i="7"/>
</calcChain>
</file>

<file path=xl/sharedStrings.xml><?xml version="1.0" encoding="utf-8"?>
<sst xmlns="http://schemas.openxmlformats.org/spreadsheetml/2006/main" count="38" uniqueCount="38">
  <si>
    <t>REFERENCIA</t>
  </si>
  <si>
    <t xml:space="preserve">DESCRIPCIÓN </t>
  </si>
  <si>
    <t>PRECIO  INSTALADOR
( CON  IVA)</t>
  </si>
  <si>
    <t>PRECIO TIENDA ( CON  IVA)</t>
  </si>
  <si>
    <t>PRECIO DPP ORO ( CON  IVA)</t>
  </si>
  <si>
    <t>PRECIO DPP PLATINO ( CON  IVA)</t>
  </si>
  <si>
    <t>PRECIO CLIENTE FINAL ( CON  IVA)</t>
  </si>
  <si>
    <t>Columna3</t>
  </si>
  <si>
    <t>Columna6</t>
  </si>
  <si>
    <t>Columna8</t>
  </si>
  <si>
    <t>PRECIO SUGERIDO INSTALADOR</t>
  </si>
  <si>
    <t>PRECIO SUGERIDO INSTALADOR
( CON  IVA)</t>
  </si>
  <si>
    <t xml:space="preserve"> ORO</t>
  </si>
  <si>
    <t>PLATINO</t>
  </si>
  <si>
    <t>ORO SIN IVA</t>
  </si>
  <si>
    <t>INSTALLER SIN IVA</t>
  </si>
  <si>
    <t>DPP ORO</t>
  </si>
  <si>
    <t>DPP PLATINO</t>
  </si>
  <si>
    <t>CAMARA EXT PTZ 2MP ZOOM 25X120DB IR100m 12VDC HILOOK</t>
  </si>
  <si>
    <t>PTZ-N4225I-DE(H)</t>
  </si>
  <si>
    <t>CAMARA IP 4MP TURRET H265+ WDR 3DNR D/NF2.8 IR30m POE IP67 IK10 SEMIMETAL HILOOK</t>
  </si>
  <si>
    <t>IPC-T240H(2.8mm)(C)</t>
  </si>
  <si>
    <t>CAMARA IP 2MP TURRET H265+ DWDR D/NF2.8 PoE IR30m POE IP67 SEMIMETAL HILOOK</t>
  </si>
  <si>
    <t>IPC-T221H(2.8mm)(C)</t>
  </si>
  <si>
    <t>CAMARA IP 4MP DOMO H265+VARIFOCAL MOTORIZADA 2.8-12 120DB IR30m IP67 IK10 METAL HILOOK</t>
  </si>
  <si>
    <t>IPC-D640H-Z(2.8-12mm)(C)</t>
  </si>
  <si>
    <t>CAMARA IP 4MP DOMO H265+ WDR 3DNR D/NF2.8 IR30m POE IP67 IK10 SEMIMETAL HILOOK</t>
  </si>
  <si>
    <t>IPC-D140H(2.8mm)(C)</t>
  </si>
  <si>
    <t>CAMARA IP 2MP DOMO H265+ DWDR  3DNR D/NF2.8 IR30m POE IP67 IK10 SEMIMETAL HILOOK</t>
  </si>
  <si>
    <t>IPC-D121H(2.8mm)(C)</t>
  </si>
  <si>
    <t>CAMARA IP 2MP BALA H265+ VARIFOCAL MOTORIZADA 2.8-12 DWDR IR30m IP67 IK10 METAL HILOOK</t>
  </si>
  <si>
    <t>IPC-B620H-Z(2.8-12mm)(C)</t>
  </si>
  <si>
    <t>CAMARA IP 4MP BALA H265+ WDR 3DNR D/NF2.8 IR30m POE IP67 SEMIMETAL HILOOK</t>
  </si>
  <si>
    <t>IPC-B140H(2.8mm)(C)</t>
  </si>
  <si>
    <t>CAMARA IP 2MP BALA H265+ DWDR D/NF2.8 PoE IR30m IP67 SEMIMETAL HILOOK</t>
  </si>
  <si>
    <t>IPC-B121H(2.8mm)(C)</t>
  </si>
  <si>
    <t>Columna9</t>
  </si>
  <si>
    <t>PLARTINO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</si>
</sst>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27">
    <xf numFmtId="0" fontId="0" fillId="0" borderId="0" xfId="0"/>
    <xf numFmtId="164" fontId="2" fillId="0" borderId="1" xfId="1" applyNumberFormat="1" applyFont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horizontal="center" vertical="center" wrapText="1"/>
      <protection locked="0" hidden="1"/>
    </xf>
    <xf numFmtId="164" fontId="0" fillId="0" borderId="1" xfId="0" applyNumberFormat="1" applyBorder="1"/>
    <xf numFmtId="164" fontId="4" fillId="0" borderId="1" xfId="1" applyNumberFormat="1" applyFont="1" applyBorder="1" applyAlignment="1" applyProtection="1">
      <alignment horizontal="center" vertical="center" wrapText="1"/>
      <protection hidden="1"/>
    </xf>
    <xf numFmtId="0" fontId="2" fillId="5" borderId="0" xfId="0" applyFont="1" applyFill="1" applyAlignment="1" applyProtection="1">
      <alignment horizontal="left" vertical="center" wrapText="1"/>
      <protection hidden="1"/>
    </xf>
    <xf numFmtId="0" fontId="2" fillId="5" borderId="0" xfId="0" applyFont="1" applyFill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0" fillId="0" borderId="2" xfId="1" applyNumberFormat="1" applyFont="1" applyFill="1" applyBorder="1"/>
    <xf numFmtId="164" fontId="0" fillId="0" borderId="1" xfId="1" applyNumberFormat="1" applyFont="1" applyFill="1" applyBorder="1"/>
    <xf numFmtId="164" fontId="2" fillId="0" borderId="1" xfId="1" applyNumberFormat="1" applyFont="1" applyFill="1" applyBorder="1" applyAlignment="1" applyProtection="1">
      <alignment vertical="center" wrapText="1"/>
      <protection hidden="1"/>
    </xf>
    <xf numFmtId="164" fontId="4" fillId="0" borderId="1" xfId="1" applyNumberFormat="1" applyFont="1" applyBorder="1" applyAlignment="1" applyProtection="1">
      <alignment horizontal="right" vertical="center" wrapText="1"/>
      <protection hidden="1"/>
    </xf>
    <xf numFmtId="164" fontId="2" fillId="0" borderId="2" xfId="1" applyNumberFormat="1" applyFont="1" applyBorder="1" applyAlignment="1" applyProtection="1">
      <alignment vertical="center" wrapText="1"/>
      <protection hidden="1"/>
    </xf>
    <xf numFmtId="164" fontId="2" fillId="6" borderId="3" xfId="1" applyNumberFormat="1" applyFont="1" applyFill="1" applyBorder="1" applyAlignment="1" applyProtection="1">
      <alignment vertical="center" wrapText="1"/>
      <protection hidden="1"/>
    </xf>
    <xf numFmtId="164" fontId="2" fillId="7" borderId="4" xfId="1" applyNumberFormat="1" applyFont="1" applyFill="1" applyBorder="1" applyAlignment="1" applyProtection="1">
      <alignment vertical="center" wrapText="1"/>
      <protection hidden="1"/>
    </xf>
    <xf numFmtId="164" fontId="3" fillId="2" borderId="4" xfId="1" applyNumberFormat="1" applyFont="1" applyFill="1" applyBorder="1" applyAlignment="1">
      <alignment horizontal="center" vertical="center" wrapText="1"/>
    </xf>
    <xf numFmtId="164" fontId="3" fillId="4" borderId="4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4" xfId="1" applyNumberFormat="1" applyFont="1" applyBorder="1" applyAlignment="1" applyProtection="1">
      <alignment vertical="center" wrapText="1"/>
      <protection hidden="1"/>
    </xf>
    <xf numFmtId="164" fontId="3" fillId="3" borderId="4" xfId="1" applyNumberFormat="1" applyFont="1" applyFill="1" applyBorder="1" applyAlignment="1">
      <alignment horizontal="center" vertical="center" wrapText="1"/>
    </xf>
    <xf numFmtId="164" fontId="3" fillId="0" borderId="4" xfId="1" applyNumberFormat="1" applyFont="1" applyBorder="1" applyAlignment="1" applyProtection="1">
      <alignment horizontal="center" vertical="center" wrapText="1"/>
      <protection locked="0" hidden="1"/>
    </xf>
    <xf numFmtId="49" fontId="3" fillId="8" borderId="1" xfId="0" applyNumberFormat="1" applyFont="1" applyFill="1" applyBorder="1" applyAlignment="1" applyProtection="1">
      <alignment horizontal="center" vertical="center" wrapText="1"/>
      <protection hidden="1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 applyProtection="1">
      <alignment horizontal="center" vertical="center" wrapText="1"/>
      <protection hidden="1"/>
    </xf>
  </cellXfs>
  <cellStyles count="3">
    <cellStyle name="Moneda" xfId="1" builtinId="4"/>
    <cellStyle name="Normal" xfId="0" builtinId="0"/>
    <cellStyle name="Normal 2" xfId="2" xr:uid="{FBA33C15-37D6-4D10-8FF4-9F7B29ABB83A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123705" cy="0"/>
    <xdr:pic>
      <xdr:nvPicPr>
        <xdr:cNvPr id="2" name="Imagen 1">
          <a:extLst>
            <a:ext uri="{FF2B5EF4-FFF2-40B4-BE49-F238E27FC236}">
              <a16:creationId xmlns:a16="http://schemas.microsoft.com/office/drawing/2014/main" id="{E2213D2B-5F0A-4F48-808E-32F651238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1123705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080118" cy="0"/>
    <xdr:pic>
      <xdr:nvPicPr>
        <xdr:cNvPr id="3" name="Imagen 2">
          <a:extLst>
            <a:ext uri="{FF2B5EF4-FFF2-40B4-BE49-F238E27FC236}">
              <a16:creationId xmlns:a16="http://schemas.microsoft.com/office/drawing/2014/main" id="{2461B9DD-F238-4ED1-9786-9251B97A4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0"/>
          <a:ext cx="1080118" cy="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8</xdr:row>
      <xdr:rowOff>75267</xdr:rowOff>
    </xdr:from>
    <xdr:to>
      <xdr:col>0</xdr:col>
      <xdr:colOff>0</xdr:colOff>
      <xdr:row>8</xdr:row>
      <xdr:rowOff>1123764</xdr:rowOff>
    </xdr:to>
    <xdr:pic>
      <xdr:nvPicPr>
        <xdr:cNvPr id="4" name="Imagen 57">
          <a:extLst>
            <a:ext uri="{FF2B5EF4-FFF2-40B4-BE49-F238E27FC236}">
              <a16:creationId xmlns:a16="http://schemas.microsoft.com/office/drawing/2014/main" id="{E314F9F7-D100-4808-93DD-6C11B2245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97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75267</xdr:rowOff>
    </xdr:from>
    <xdr:to>
      <xdr:col>0</xdr:col>
      <xdr:colOff>0</xdr:colOff>
      <xdr:row>8</xdr:row>
      <xdr:rowOff>1123764</xdr:rowOff>
    </xdr:to>
    <xdr:pic>
      <xdr:nvPicPr>
        <xdr:cNvPr id="5" name="Imagen 67">
          <a:extLst>
            <a:ext uri="{FF2B5EF4-FFF2-40B4-BE49-F238E27FC236}">
              <a16:creationId xmlns:a16="http://schemas.microsoft.com/office/drawing/2014/main" id="{8D81A8BA-539B-421A-A664-BBF39CBF7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97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112940</xdr:rowOff>
    </xdr:from>
    <xdr:to>
      <xdr:col>0</xdr:col>
      <xdr:colOff>0</xdr:colOff>
      <xdr:row>4</xdr:row>
      <xdr:rowOff>743816</xdr:rowOff>
    </xdr:to>
    <xdr:pic>
      <xdr:nvPicPr>
        <xdr:cNvPr id="6" name="图片 29">
          <a:extLst>
            <a:ext uri="{FF2B5EF4-FFF2-40B4-BE49-F238E27FC236}">
              <a16:creationId xmlns:a16="http://schemas.microsoft.com/office/drawing/2014/main" id="{CE888F96-DE70-4F9B-BEB0-CA4875249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65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112940</xdr:rowOff>
    </xdr:from>
    <xdr:to>
      <xdr:col>0</xdr:col>
      <xdr:colOff>0</xdr:colOff>
      <xdr:row>4</xdr:row>
      <xdr:rowOff>743816</xdr:rowOff>
    </xdr:to>
    <xdr:pic>
      <xdr:nvPicPr>
        <xdr:cNvPr id="7" name="图片 29">
          <a:extLst>
            <a:ext uri="{FF2B5EF4-FFF2-40B4-BE49-F238E27FC236}">
              <a16:creationId xmlns:a16="http://schemas.microsoft.com/office/drawing/2014/main" id="{613BB07F-AD57-4AE9-99FC-66C08C944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65440"/>
          <a:ext cx="0" cy="7842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9</xdr:row>
      <xdr:rowOff>0</xdr:rowOff>
    </xdr:from>
    <xdr:ext cx="1123705" cy="0"/>
    <xdr:pic>
      <xdr:nvPicPr>
        <xdr:cNvPr id="8" name="Imagen 7">
          <a:extLst>
            <a:ext uri="{FF2B5EF4-FFF2-40B4-BE49-F238E27FC236}">
              <a16:creationId xmlns:a16="http://schemas.microsoft.com/office/drawing/2014/main" id="{911F1CD3-1239-4DEB-BB8E-9EDBE0946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7334250"/>
          <a:ext cx="1123705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080118" cy="0"/>
    <xdr:pic>
      <xdr:nvPicPr>
        <xdr:cNvPr id="9" name="Imagen 8">
          <a:extLst>
            <a:ext uri="{FF2B5EF4-FFF2-40B4-BE49-F238E27FC236}">
              <a16:creationId xmlns:a16="http://schemas.microsoft.com/office/drawing/2014/main" id="{9ABF4F8C-2B18-4C40-AEA3-DFBB657E5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9975" y="7334250"/>
          <a:ext cx="1080118" cy="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7502D1-91B2-400A-A3DB-26B6794AD059}" name="Tabla111" displayName="Tabla111" ref="A1:T10" totalsRowShown="0" headerRowDxfId="24" headerRowBorderDxfId="23" tableBorderDxfId="22" totalsRowBorderDxfId="21">
  <autoFilter ref="A1:T10" xr:uid="{C34C2694-7347-46C0-8473-0F220A5F904B}"/>
  <tableColumns count="20">
    <tableColumn id="3" xr3:uid="{E673501F-8CE0-4DA6-946C-FC8BE9C31C8B}" name="REFERENCIA" dataDxfId="2"/>
    <tableColumn id="4" xr3:uid="{72841246-E2B3-40BE-BA8E-785D5276198C}" name="DESCRIPCIÓN " dataDxfId="1"/>
    <tableColumn id="5" xr3:uid="{A149C6DC-FC33-498F-8D4F-2033B839FAEF}" name="PRECIO  INSTALADOR_x000a_( CON  IVA)" dataDxfId="0" dataCellStyle="Moneda">
      <calculatedColumnFormula>+Tabla111[[#This Row],[PRECIO SUGERIDO INSTALADOR]]</calculatedColumnFormula>
    </tableColumn>
    <tableColumn id="1" xr3:uid="{885FB296-B6E0-4EE3-8A66-5980A304C139}" name="PRECIO TIENDA ( CON  IVA)" dataDxfId="20" dataCellStyle="Moneda">
      <calculatedColumnFormula>+Tabla111[[#This Row],[PRECIO  INSTALADOR
( CON  IVA)]]-Tabla111[[#This Row],[Columna9]]</calculatedColumnFormula>
    </tableColumn>
    <tableColumn id="18" xr3:uid="{63611152-3AEF-4770-A4D2-67B8A6951292}" name="PRECIO DPP ORO ( CON  IVA)" dataDxfId="19" dataCellStyle="Moneda">
      <calculatedColumnFormula>+Tabla111[[#This Row],[DPP ORO]]</calculatedColumnFormula>
    </tableColumn>
    <tableColumn id="19" xr3:uid="{C76A1A81-ABA7-4FE8-A6D5-12914A8C5073}" name="PRECIO DPP PLATINO ( CON  IVA)" dataDxfId="18" dataCellStyle="Moneda">
      <calculatedColumnFormula>+Tabla111[[#This Row],[PLARTINO]]</calculatedColumnFormula>
    </tableColumn>
    <tableColumn id="20" xr3:uid="{EAA88730-DB51-4528-8809-0293AE33AD82}" name="PRECIO CLIENTE FINAL ( CON  IVA)" dataDxfId="17" dataCellStyle="Moneda">
      <calculatedColumnFormula>+Tabla111[[#This Row],[PRECIO  INSTALADOR
( CON  IVA)]]/0.7</calculatedColumnFormula>
    </tableColumn>
    <tableColumn id="6" xr3:uid="{66E37BBF-EABA-4EE9-B4C9-2D8E963877A2}" name="PRECIO SUGERIDO INSTALADOR_x000a_( CON  IVA)" dataDxfId="16" dataCellStyle="Moneda">
      <calculatedColumnFormula>+P2</calculatedColumnFormula>
    </tableColumn>
    <tableColumn id="7" xr3:uid="{DD6157FF-ED44-47E4-A2CB-E1BD8FC4DE64}" name=" ORO" dataDxfId="15" dataCellStyle="Moneda">
      <calculatedColumnFormula>+N2</calculatedColumnFormula>
    </tableColumn>
    <tableColumn id="8" xr3:uid="{E927791D-5222-4742-AA7D-080D17609BD1}" name="PLATINO" dataDxfId="14" dataCellStyle="Moneda">
      <calculatedColumnFormula>+K2</calculatedColumnFormula>
    </tableColumn>
    <tableColumn id="9" xr3:uid="{A6C2E985-9F49-4C35-9D2B-8017444F1F55}" name="Columna3" dataDxfId="13" dataCellStyle="Moneda">
      <calculatedColumnFormula>+L2/#REF!</calculatedColumnFormula>
    </tableColumn>
    <tableColumn id="10" xr3:uid="{AA446FA5-6D65-48F3-B58A-296662AD0A35}" name="PLARTINO" dataDxfId="12" dataCellStyle="Moneda">
      <calculatedColumnFormula>+O2-M2</calculatedColumnFormula>
    </tableColumn>
    <tableColumn id="11" xr3:uid="{FF08503C-D85F-45A4-92FA-85C2BD9F57B0}" name="DPP PLATINO" dataDxfId="11" dataCellStyle="Moneda">
      <calculatedColumnFormula>+O2*1%</calculatedColumnFormula>
    </tableColumn>
    <tableColumn id="12" xr3:uid="{02499F2D-4054-46CD-839F-AC4BD111D6D4}" name="Columna6" dataDxfId="10" dataCellStyle="Moneda">
      <calculatedColumnFormula>+O2/#REF!</calculatedColumnFormula>
    </tableColumn>
    <tableColumn id="13" xr3:uid="{22C48436-36B8-4358-B01E-1968FF199B59}" name="DPP ORO" dataDxfId="9">
      <calculatedColumnFormula>Tabla111[[#This Row],[ORO SIN IVA]]*1.19</calculatedColumnFormula>
    </tableColumn>
    <tableColumn id="14" xr3:uid="{48B2275C-3399-4D04-A7CF-D30DE60C2587}" name="Columna8" dataDxfId="8" dataCellStyle="Moneda">
      <calculatedColumnFormula>+R2/#REF!</calculatedColumnFormula>
    </tableColumn>
    <tableColumn id="2" xr3:uid="{9F614109-3F19-4652-BBFA-3E55B58FE684}" name="Columna9" dataDxfId="7" dataCellStyle="Moneda">
      <calculatedColumnFormula>+Tabla111[[#This Row],[PRECIO SUGERIDO INSTALADOR]]*5%</calculatedColumnFormula>
    </tableColumn>
    <tableColumn id="15" xr3:uid="{8235EC15-49D8-4536-8770-11230C6969A0}" name="PRECIO SUGERIDO INSTALADOR" dataDxfId="6">
      <calculatedColumnFormula>Tabla111[[#This Row],[INSTALLER SIN IVA]]*1.19</calculatedColumnFormula>
    </tableColumn>
    <tableColumn id="16" xr3:uid="{F8F0A912-B32C-4DED-B65B-E2108583A59B}" name="ORO SIN IVA" dataDxfId="5" dataCellStyle="Moneda"/>
    <tableColumn id="17" xr3:uid="{3F20138F-DD71-4D01-9D20-31BC9F14E7D4}" name="INSTALLER SIN IVA" dataDxfId="4" dataCellStyle="Moned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A331-6713-408A-8D51-D8E3769B0A6A}">
  <sheetPr>
    <pageSetUpPr fitToPage="1"/>
  </sheetPr>
  <dimension ref="A1:T22"/>
  <sheetViews>
    <sheetView showGridLines="0" tabSelected="1" view="pageBreakPreview" zoomScale="60" zoomScaleNormal="91" workbookViewId="0">
      <pane xSplit="1" ySplit="1" topLeftCell="B2" activePane="bottomRight" state="frozen"/>
      <selection pane="topRight"/>
      <selection pane="bottomLeft"/>
      <selection pane="bottomRight" activeCell="E14" sqref="E14:E15"/>
    </sheetView>
  </sheetViews>
  <sheetFormatPr baseColWidth="10" defaultColWidth="10.5703125" defaultRowHeight="13.5" x14ac:dyDescent="0.25"/>
  <cols>
    <col min="1" max="2" width="39.5703125" style="8" customWidth="1"/>
    <col min="3" max="3" width="15.140625" style="9" bestFit="1" customWidth="1"/>
    <col min="4" max="4" width="13.85546875" style="9" bestFit="1" customWidth="1"/>
    <col min="5" max="5" width="14" style="9" customWidth="1"/>
    <col min="6" max="6" width="15" style="9" bestFit="1" customWidth="1"/>
    <col min="7" max="7" width="14.28515625" style="9" customWidth="1"/>
    <col min="8" max="8" width="3.5703125" style="4" customWidth="1"/>
    <col min="9" max="9" width="2.42578125" style="5" customWidth="1"/>
    <col min="10" max="10" width="3.28515625" style="5" customWidth="1"/>
    <col min="11" max="11" width="1.5703125" style="5" customWidth="1"/>
    <col min="12" max="12" width="8.85546875" style="5" customWidth="1"/>
    <col min="13" max="13" width="3.5703125" style="5" customWidth="1"/>
    <col min="14" max="14" width="2.140625" style="4" customWidth="1"/>
    <col min="15" max="15" width="12.140625" style="4" customWidth="1"/>
    <col min="16" max="16" width="2.28515625" style="4" customWidth="1"/>
    <col min="17" max="17" width="11.5703125" style="4" customWidth="1"/>
    <col min="18" max="18" width="11.42578125" style="4" customWidth="1"/>
    <col min="19" max="19" width="16.42578125" style="4" customWidth="1"/>
    <col min="20" max="20" width="16" style="4" customWidth="1"/>
    <col min="21" max="16384" width="10.5703125" style="2"/>
  </cols>
  <sheetData>
    <row r="1" spans="1:20" ht="81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19" t="s">
        <v>11</v>
      </c>
      <c r="I1" s="20" t="s">
        <v>12</v>
      </c>
      <c r="J1" s="22" t="s">
        <v>13</v>
      </c>
      <c r="K1" s="23" t="s">
        <v>7</v>
      </c>
      <c r="L1" s="23" t="s">
        <v>37</v>
      </c>
      <c r="M1" s="22" t="s">
        <v>17</v>
      </c>
      <c r="N1" s="21" t="s">
        <v>8</v>
      </c>
      <c r="O1" s="20" t="s">
        <v>16</v>
      </c>
      <c r="P1" s="19" t="s">
        <v>9</v>
      </c>
      <c r="Q1" s="19" t="s">
        <v>36</v>
      </c>
      <c r="R1" s="19" t="s">
        <v>10</v>
      </c>
      <c r="S1" s="18" t="s">
        <v>14</v>
      </c>
      <c r="T1" s="17" t="s">
        <v>15</v>
      </c>
    </row>
    <row r="2" spans="1:20" ht="27" x14ac:dyDescent="0.25">
      <c r="A2" s="25" t="s">
        <v>35</v>
      </c>
      <c r="B2" s="26" t="s">
        <v>34</v>
      </c>
      <c r="C2" s="11">
        <f>+Tabla111[[#This Row],[PRECIO SUGERIDO INSTALADOR]]</f>
        <v>141267.28</v>
      </c>
      <c r="D2" s="11">
        <f>+Tabla111[[#This Row],[PRECIO  INSTALADOR
( CON  IVA)]]-Tabla111[[#This Row],[Columna9]]</f>
        <v>134203.916</v>
      </c>
      <c r="E2" s="11">
        <f>+Tabla111[[#This Row],[DPP ORO]]</f>
        <v>126480.34</v>
      </c>
      <c r="F2" s="11">
        <f>+Tabla111[[#This Row],[PLARTINO]]</f>
        <v>125215.53659999999</v>
      </c>
      <c r="G2" s="11">
        <f>+Tabla111[[#This Row],[PRECIO  INSTALADOR
( CON  IVA)]]/0.7</f>
        <v>201810.40000000002</v>
      </c>
      <c r="H2" s="14" t="e">
        <f t="shared" ref="H2:H10" si="0">+P2</f>
        <v>#REF!</v>
      </c>
      <c r="I2" s="14" t="e">
        <f t="shared" ref="I2:I10" si="1">+N2</f>
        <v>#REF!</v>
      </c>
      <c r="J2" s="15" t="e">
        <f t="shared" ref="J2:J10" si="2">+K2</f>
        <v>#REF!</v>
      </c>
      <c r="K2" s="15" t="e">
        <f>+L2/#REF!</f>
        <v>#REF!</v>
      </c>
      <c r="L2" s="15">
        <f t="shared" ref="L2:L10" si="3">+O2-M2</f>
        <v>125215.53659999999</v>
      </c>
      <c r="M2" s="7">
        <f t="shared" ref="M2:M10" si="4">+O2*1%</f>
        <v>1264.8034</v>
      </c>
      <c r="N2" s="1" t="e">
        <f>+O2/#REF!</f>
        <v>#REF!</v>
      </c>
      <c r="O2" s="6">
        <f>Tabla111[[#This Row],[ORO SIN IVA]]*1.19</f>
        <v>126480.34</v>
      </c>
      <c r="P2" s="14" t="e">
        <f>+R2/#REF!</f>
        <v>#REF!</v>
      </c>
      <c r="Q2" s="14">
        <f>+Tabla111[[#This Row],[PRECIO SUGERIDO INSTALADOR]]*5%</f>
        <v>7063.3640000000005</v>
      </c>
      <c r="R2" s="6">
        <f>Tabla111[[#This Row],[INSTALLER SIN IVA]]*1.19</f>
        <v>141267.28</v>
      </c>
      <c r="S2" s="1">
        <v>106286</v>
      </c>
      <c r="T2" s="16">
        <v>118712</v>
      </c>
    </row>
    <row r="3" spans="1:20" ht="27" x14ac:dyDescent="0.25">
      <c r="A3" s="25" t="s">
        <v>23</v>
      </c>
      <c r="B3" s="26" t="s">
        <v>22</v>
      </c>
      <c r="C3" s="11">
        <f>+Tabla111[[#This Row],[PRECIO SUGERIDO INSTALADOR]]</f>
        <v>141267.28</v>
      </c>
      <c r="D3" s="11">
        <f>+Tabla111[[#This Row],[PRECIO  INSTALADOR
( CON  IVA)]]-Tabla111[[#This Row],[Columna9]]</f>
        <v>134203.916</v>
      </c>
      <c r="E3" s="11">
        <f>+Tabla111[[#This Row],[DPP ORO]]</f>
        <v>126480.34</v>
      </c>
      <c r="F3" s="11">
        <f>+Tabla111[[#This Row],[PLARTINO]]</f>
        <v>125215.53659999999</v>
      </c>
      <c r="G3" s="11">
        <f>+Tabla111[[#This Row],[PRECIO  INSTALADOR
( CON  IVA)]]/0.7</f>
        <v>201810.40000000002</v>
      </c>
      <c r="H3" s="14" t="e">
        <f t="shared" si="0"/>
        <v>#REF!</v>
      </c>
      <c r="I3" s="14" t="e">
        <f t="shared" si="1"/>
        <v>#REF!</v>
      </c>
      <c r="J3" s="15" t="e">
        <f t="shared" si="2"/>
        <v>#REF!</v>
      </c>
      <c r="K3" s="15" t="e">
        <f>+L3/#REF!</f>
        <v>#REF!</v>
      </c>
      <c r="L3" s="15">
        <f t="shared" si="3"/>
        <v>125215.53659999999</v>
      </c>
      <c r="M3" s="7">
        <f t="shared" si="4"/>
        <v>1264.8034</v>
      </c>
      <c r="N3" s="1" t="e">
        <f>+O3/#REF!</f>
        <v>#REF!</v>
      </c>
      <c r="O3" s="6">
        <f>Tabla111[[#This Row],[ORO SIN IVA]]*1.19</f>
        <v>126480.34</v>
      </c>
      <c r="P3" s="14" t="e">
        <f>+R3/#REF!</f>
        <v>#REF!</v>
      </c>
      <c r="Q3" s="14">
        <f>+Tabla111[[#This Row],[PRECIO SUGERIDO INSTALADOR]]*5%</f>
        <v>7063.3640000000005</v>
      </c>
      <c r="R3" s="6">
        <f>Tabla111[[#This Row],[INSTALLER SIN IVA]]*1.19</f>
        <v>141267.28</v>
      </c>
      <c r="S3" s="1">
        <v>106286</v>
      </c>
      <c r="T3" s="16">
        <v>118712</v>
      </c>
    </row>
    <row r="4" spans="1:20" ht="40.5" x14ac:dyDescent="0.25">
      <c r="A4" s="25" t="s">
        <v>29</v>
      </c>
      <c r="B4" s="26" t="s">
        <v>28</v>
      </c>
      <c r="C4" s="11">
        <f>+Tabla111[[#This Row],[PRECIO SUGERIDO INSTALADOR]]</f>
        <v>165505.19999999998</v>
      </c>
      <c r="D4" s="11">
        <f>+Tabla111[[#This Row],[PRECIO  INSTALADOR
( CON  IVA)]]-Tabla111[[#This Row],[Columna9]]</f>
        <v>157229.93999999997</v>
      </c>
      <c r="E4" s="11">
        <f>+Tabla111[[#This Row],[DPP ORO]]</f>
        <v>148185.94</v>
      </c>
      <c r="F4" s="11">
        <f>+Tabla111[[#This Row],[PLARTINO]]</f>
        <v>146704.08060000002</v>
      </c>
      <c r="G4" s="11">
        <f>+Tabla111[[#This Row],[PRECIO  INSTALADOR
( CON  IVA)]]/0.7</f>
        <v>236436</v>
      </c>
      <c r="H4" s="14" t="e">
        <f t="shared" si="0"/>
        <v>#REF!</v>
      </c>
      <c r="I4" s="14" t="e">
        <f t="shared" si="1"/>
        <v>#REF!</v>
      </c>
      <c r="J4" s="15" t="e">
        <f t="shared" si="2"/>
        <v>#REF!</v>
      </c>
      <c r="K4" s="15" t="e">
        <f>+L4/#REF!</f>
        <v>#REF!</v>
      </c>
      <c r="L4" s="15">
        <f t="shared" si="3"/>
        <v>146704.08060000002</v>
      </c>
      <c r="M4" s="7">
        <f t="shared" si="4"/>
        <v>1481.8594000000001</v>
      </c>
      <c r="N4" s="1" t="e">
        <f>+O4/#REF!</f>
        <v>#REF!</v>
      </c>
      <c r="O4" s="6">
        <f>Tabla111[[#This Row],[ORO SIN IVA]]*1.19</f>
        <v>148185.94</v>
      </c>
      <c r="P4" s="14" t="e">
        <f>+R4/#REF!</f>
        <v>#REF!</v>
      </c>
      <c r="Q4" s="14">
        <f>+Tabla111[[#This Row],[PRECIO SUGERIDO INSTALADOR]]*5%</f>
        <v>8275.26</v>
      </c>
      <c r="R4" s="6">
        <f>Tabla111[[#This Row],[INSTALLER SIN IVA]]*1.19</f>
        <v>165505.19999999998</v>
      </c>
      <c r="S4" s="1">
        <v>124526.00000000001</v>
      </c>
      <c r="T4" s="16">
        <v>139080</v>
      </c>
    </row>
    <row r="5" spans="1:20" ht="40.5" x14ac:dyDescent="0.25">
      <c r="A5" s="25" t="s">
        <v>21</v>
      </c>
      <c r="B5" s="26" t="s">
        <v>20</v>
      </c>
      <c r="C5" s="11">
        <f>+Tabla111[[#This Row],[PRECIO SUGERIDO INSTALADOR]]</f>
        <v>236138.84</v>
      </c>
      <c r="D5" s="11">
        <f>+Tabla111[[#This Row],[PRECIO  INSTALADOR
( CON  IVA)]]-Tabla111[[#This Row],[Columna9]]</f>
        <v>224331.89799999999</v>
      </c>
      <c r="E5" s="11">
        <f>+Tabla111[[#This Row],[DPP ORO]]</f>
        <v>211448.72</v>
      </c>
      <c r="F5" s="11">
        <f>+Tabla111[[#This Row],[PLARTINO]]</f>
        <v>209334.2328</v>
      </c>
      <c r="G5" s="11">
        <f>+Tabla111[[#This Row],[PRECIO  INSTALADOR
( CON  IVA)]]/0.7</f>
        <v>337341.2</v>
      </c>
      <c r="H5" s="14" t="e">
        <f t="shared" si="0"/>
        <v>#REF!</v>
      </c>
      <c r="I5" s="14" t="e">
        <f t="shared" si="1"/>
        <v>#REF!</v>
      </c>
      <c r="J5" s="15" t="e">
        <f t="shared" si="2"/>
        <v>#REF!</v>
      </c>
      <c r="K5" s="15" t="e">
        <f>+L5/#REF!</f>
        <v>#REF!</v>
      </c>
      <c r="L5" s="15">
        <f t="shared" si="3"/>
        <v>209334.2328</v>
      </c>
      <c r="M5" s="7">
        <f t="shared" si="4"/>
        <v>2114.4872</v>
      </c>
      <c r="N5" s="1" t="e">
        <f>+O5/#REF!</f>
        <v>#REF!</v>
      </c>
      <c r="O5" s="6">
        <f>Tabla111[[#This Row],[ORO SIN IVA]]*1.19</f>
        <v>211448.72</v>
      </c>
      <c r="P5" s="14" t="e">
        <f>+R5/#REF!</f>
        <v>#REF!</v>
      </c>
      <c r="Q5" s="14">
        <f>+Tabla111[[#This Row],[PRECIO SUGERIDO INSTALADOR]]*5%</f>
        <v>11806.942000000001</v>
      </c>
      <c r="R5" s="6">
        <f>Tabla111[[#This Row],[INSTALLER SIN IVA]]*1.19</f>
        <v>236138.84</v>
      </c>
      <c r="S5" s="1">
        <v>177688</v>
      </c>
      <c r="T5" s="16">
        <v>198436</v>
      </c>
    </row>
    <row r="6" spans="1:20" ht="27" x14ac:dyDescent="0.25">
      <c r="A6" s="25" t="s">
        <v>33</v>
      </c>
      <c r="B6" s="26" t="s">
        <v>32</v>
      </c>
      <c r="C6" s="11">
        <f>+Tabla111[[#This Row],[PRECIO SUGERIDO INSTALADOR]]</f>
        <v>240886.94</v>
      </c>
      <c r="D6" s="11">
        <f>+Tabla111[[#This Row],[PRECIO  INSTALADOR
( CON  IVA)]]-Tabla111[[#This Row],[Columna9]]</f>
        <v>228842.59299999999</v>
      </c>
      <c r="E6" s="11">
        <f>+Tabla111[[#This Row],[DPP ORO]]</f>
        <v>215608.95999999999</v>
      </c>
      <c r="F6" s="11">
        <f>+Tabla111[[#This Row],[PLARTINO]]</f>
        <v>213452.87039999999</v>
      </c>
      <c r="G6" s="11">
        <f>+Tabla111[[#This Row],[PRECIO  INSTALADOR
( CON  IVA)]]/0.7</f>
        <v>344124.2</v>
      </c>
      <c r="H6" s="14" t="e">
        <f t="shared" si="0"/>
        <v>#REF!</v>
      </c>
      <c r="I6" s="14" t="e">
        <f t="shared" si="1"/>
        <v>#REF!</v>
      </c>
      <c r="J6" s="15" t="e">
        <f t="shared" si="2"/>
        <v>#REF!</v>
      </c>
      <c r="K6" s="15" t="e">
        <f>+L6/#REF!</f>
        <v>#REF!</v>
      </c>
      <c r="L6" s="15">
        <f t="shared" si="3"/>
        <v>213452.87039999999</v>
      </c>
      <c r="M6" s="7">
        <f t="shared" si="4"/>
        <v>2156.0895999999998</v>
      </c>
      <c r="N6" s="1" t="e">
        <f>+O6/#REF!</f>
        <v>#REF!</v>
      </c>
      <c r="O6" s="6">
        <f>Tabla111[[#This Row],[ORO SIN IVA]]*1.19</f>
        <v>215608.95999999999</v>
      </c>
      <c r="P6" s="14" t="e">
        <f>+R6/#REF!</f>
        <v>#REF!</v>
      </c>
      <c r="Q6" s="14">
        <f>+Tabla111[[#This Row],[PRECIO SUGERIDO INSTALADOR]]*5%</f>
        <v>12044.347000000002</v>
      </c>
      <c r="R6" s="6">
        <f>Tabla111[[#This Row],[INSTALLER SIN IVA]]*1.19</f>
        <v>240886.94</v>
      </c>
      <c r="S6" s="1">
        <v>181184</v>
      </c>
      <c r="T6" s="16">
        <v>202426</v>
      </c>
    </row>
    <row r="7" spans="1:20" ht="27" x14ac:dyDescent="0.25">
      <c r="A7" s="25" t="s">
        <v>27</v>
      </c>
      <c r="B7" s="26" t="s">
        <v>26</v>
      </c>
      <c r="C7" s="11">
        <f>+Tabla111[[#This Row],[PRECIO SUGERIDO INSTALADOR]]</f>
        <v>249704.84</v>
      </c>
      <c r="D7" s="11">
        <f>+Tabla111[[#This Row],[PRECIO  INSTALADOR
( CON  IVA)]]-Tabla111[[#This Row],[Columna9]]</f>
        <v>237219.598</v>
      </c>
      <c r="E7" s="11">
        <f>+Tabla111[[#This Row],[DPP ORO]]</f>
        <v>223567.68</v>
      </c>
      <c r="F7" s="11">
        <f>+Tabla111[[#This Row],[PLARTINO]]</f>
        <v>221332.00320000001</v>
      </c>
      <c r="G7" s="11">
        <f>+Tabla111[[#This Row],[PRECIO  INSTALADOR
( CON  IVA)]]/0.7</f>
        <v>356721.2</v>
      </c>
      <c r="H7" s="14" t="e">
        <f t="shared" si="0"/>
        <v>#REF!</v>
      </c>
      <c r="I7" s="14" t="e">
        <f t="shared" si="1"/>
        <v>#REF!</v>
      </c>
      <c r="J7" s="15" t="e">
        <f t="shared" si="2"/>
        <v>#REF!</v>
      </c>
      <c r="K7" s="15" t="e">
        <f>+L7/#REF!</f>
        <v>#REF!</v>
      </c>
      <c r="L7" s="15">
        <f t="shared" si="3"/>
        <v>221332.00320000001</v>
      </c>
      <c r="M7" s="7">
        <f t="shared" si="4"/>
        <v>2235.6768000000002</v>
      </c>
      <c r="N7" s="1" t="e">
        <f>+O7/#REF!</f>
        <v>#REF!</v>
      </c>
      <c r="O7" s="6">
        <f>Tabla111[[#This Row],[ORO SIN IVA]]*1.19</f>
        <v>223567.68</v>
      </c>
      <c r="P7" s="14" t="e">
        <f>+R7/#REF!</f>
        <v>#REF!</v>
      </c>
      <c r="Q7" s="14">
        <f>+Tabla111[[#This Row],[PRECIO SUGERIDO INSTALADOR]]*5%</f>
        <v>12485.242</v>
      </c>
      <c r="R7" s="6">
        <f>Tabla111[[#This Row],[INSTALLER SIN IVA]]*1.19</f>
        <v>249704.84</v>
      </c>
      <c r="S7" s="13">
        <v>187872</v>
      </c>
      <c r="T7" s="12">
        <v>209836</v>
      </c>
    </row>
    <row r="8" spans="1:20" ht="40.5" x14ac:dyDescent="0.25">
      <c r="A8" s="25" t="s">
        <v>25</v>
      </c>
      <c r="B8" s="26" t="s">
        <v>24</v>
      </c>
      <c r="C8" s="11">
        <f>+Tabla111[[#This Row],[PRECIO SUGERIDO INSTALADOR]]</f>
        <v>312696.3</v>
      </c>
      <c r="D8" s="11">
        <f>+Tabla111[[#This Row],[PRECIO  INSTALADOR
( CON  IVA)]]-Tabla111[[#This Row],[Columna9]]</f>
        <v>297061.48499999999</v>
      </c>
      <c r="E8" s="11">
        <f>+Tabla111[[#This Row],[DPP ORO]]</f>
        <v>279957.01999999996</v>
      </c>
      <c r="F8" s="11">
        <f>+Tabla111[[#This Row],[PLARTINO]]</f>
        <v>277157.44979999994</v>
      </c>
      <c r="G8" s="11">
        <f>+Tabla111[[#This Row],[PRECIO  INSTALADOR
( CON  IVA)]]/0.7</f>
        <v>446709</v>
      </c>
      <c r="H8" s="14" t="e">
        <f t="shared" si="0"/>
        <v>#REF!</v>
      </c>
      <c r="I8" s="14" t="e">
        <f t="shared" si="1"/>
        <v>#REF!</v>
      </c>
      <c r="J8" s="15" t="e">
        <f t="shared" si="2"/>
        <v>#REF!</v>
      </c>
      <c r="K8" s="15" t="e">
        <f>+L8/#REF!</f>
        <v>#REF!</v>
      </c>
      <c r="L8" s="15">
        <f t="shared" si="3"/>
        <v>277157.44979999994</v>
      </c>
      <c r="M8" s="7">
        <f t="shared" si="4"/>
        <v>2799.5701999999997</v>
      </c>
      <c r="N8" s="1" t="e">
        <f>+O8/#REF!</f>
        <v>#REF!</v>
      </c>
      <c r="O8" s="6">
        <f>Tabla111[[#This Row],[ORO SIN IVA]]*1.19</f>
        <v>279957.01999999996</v>
      </c>
      <c r="P8" s="14" t="e">
        <f>+R8/#REF!</f>
        <v>#REF!</v>
      </c>
      <c r="Q8" s="14">
        <f>+Tabla111[[#This Row],[PRECIO SUGERIDO INSTALADOR]]*5%</f>
        <v>15634.815000000001</v>
      </c>
      <c r="R8" s="6">
        <f>Tabla111[[#This Row],[INSTALLER SIN IVA]]*1.19</f>
        <v>312696.3</v>
      </c>
      <c r="S8" s="13">
        <v>235257.99999999997</v>
      </c>
      <c r="T8" s="12">
        <v>262770</v>
      </c>
    </row>
    <row r="9" spans="1:20" ht="40.5" x14ac:dyDescent="0.25">
      <c r="A9" s="25" t="s">
        <v>31</v>
      </c>
      <c r="B9" s="26" t="s">
        <v>30</v>
      </c>
      <c r="C9" s="11">
        <f>+Tabla111[[#This Row],[PRECIO SUGERIDO INSTALADOR]]</f>
        <v>293568.24</v>
      </c>
      <c r="D9" s="11">
        <f>+Tabla111[[#This Row],[PRECIO  INSTALADOR
( CON  IVA)]]-Tabla111[[#This Row],[Columna9]]</f>
        <v>278889.82799999998</v>
      </c>
      <c r="E9" s="11">
        <f>+Tabla111[[#This Row],[DPP ORO]]</f>
        <v>262863.86</v>
      </c>
      <c r="F9" s="11">
        <f>+Tabla111[[#This Row],[PLARTINO]]</f>
        <v>260235.22139999998</v>
      </c>
      <c r="G9" s="11">
        <f>+Tabla111[[#This Row],[PRECIO  INSTALADOR
( CON  IVA)]]/0.7</f>
        <v>419383.2</v>
      </c>
      <c r="H9" s="14" t="e">
        <f t="shared" si="0"/>
        <v>#REF!</v>
      </c>
      <c r="I9" s="14" t="e">
        <f t="shared" si="1"/>
        <v>#REF!</v>
      </c>
      <c r="J9" s="15" t="e">
        <f t="shared" si="2"/>
        <v>#REF!</v>
      </c>
      <c r="K9" s="15" t="e">
        <f>+L9/#REF!</f>
        <v>#REF!</v>
      </c>
      <c r="L9" s="15">
        <f t="shared" si="3"/>
        <v>260235.22139999998</v>
      </c>
      <c r="M9" s="7">
        <f t="shared" si="4"/>
        <v>2628.6385999999998</v>
      </c>
      <c r="N9" s="1" t="e">
        <f>+O9/#REF!</f>
        <v>#REF!</v>
      </c>
      <c r="O9" s="6">
        <f>Tabla111[[#This Row],[ORO SIN IVA]]*1.19</f>
        <v>262863.86</v>
      </c>
      <c r="P9" s="14" t="e">
        <f>+R9/#REF!</f>
        <v>#REF!</v>
      </c>
      <c r="Q9" s="14">
        <f>+Tabla111[[#This Row],[PRECIO SUGERIDO INSTALADOR]]*5%</f>
        <v>14678.412</v>
      </c>
      <c r="R9" s="6">
        <f>Tabla111[[#This Row],[INSTALLER SIN IVA]]*1.19</f>
        <v>293568.24</v>
      </c>
      <c r="S9" s="13">
        <v>220894</v>
      </c>
      <c r="T9" s="12">
        <v>246696</v>
      </c>
    </row>
    <row r="10" spans="1:20" ht="27" x14ac:dyDescent="0.25">
      <c r="A10" s="25" t="s">
        <v>19</v>
      </c>
      <c r="B10" s="26" t="s">
        <v>18</v>
      </c>
      <c r="C10" s="11">
        <f>+Tabla111[[#This Row],[PRECIO SUGERIDO INSTALADOR]]</f>
        <v>1393047.3199999998</v>
      </c>
      <c r="D10" s="11">
        <f>+Tabla111[[#This Row],[PRECIO  INSTALADOR
( CON  IVA)]]-Tabla111[[#This Row],[Columna9]]</f>
        <v>1323394.9539999999</v>
      </c>
      <c r="E10" s="11">
        <f>+Tabla111[[#This Row],[DPP ORO]]</f>
        <v>1165183.74</v>
      </c>
      <c r="F10" s="11">
        <f>+Tabla111[[#This Row],[PLARTINO]]</f>
        <v>1153531.9025999999</v>
      </c>
      <c r="G10" s="11">
        <f>+Tabla111[[#This Row],[PRECIO  INSTALADOR
( CON  IVA)]]/0.7</f>
        <v>1990067.5999999999</v>
      </c>
      <c r="H10" s="14" t="e">
        <f t="shared" si="0"/>
        <v>#REF!</v>
      </c>
      <c r="I10" s="14" t="e">
        <f t="shared" si="1"/>
        <v>#REF!</v>
      </c>
      <c r="J10" s="15" t="e">
        <f t="shared" si="2"/>
        <v>#REF!</v>
      </c>
      <c r="K10" s="15" t="e">
        <f>+L10/#REF!</f>
        <v>#REF!</v>
      </c>
      <c r="L10" s="15">
        <f t="shared" si="3"/>
        <v>1153531.9025999999</v>
      </c>
      <c r="M10" s="7">
        <f t="shared" si="4"/>
        <v>11651.8374</v>
      </c>
      <c r="N10" s="1" t="e">
        <f>+O10/#REF!</f>
        <v>#REF!</v>
      </c>
      <c r="O10" s="1">
        <f>Tabla111[[#This Row],[ORO SIN IVA]]*1.19</f>
        <v>1165183.74</v>
      </c>
      <c r="P10" s="14" t="e">
        <f>+R10/#REF!</f>
        <v>#REF!</v>
      </c>
      <c r="Q10" s="14">
        <f>+Tabla111[[#This Row],[PRECIO SUGERIDO INSTALADOR]]*5%</f>
        <v>69652.365999999995</v>
      </c>
      <c r="R10" s="1">
        <f>Tabla111[[#This Row],[INSTALLER SIN IVA]]*1.19</f>
        <v>1393047.3199999998</v>
      </c>
      <c r="S10" s="13">
        <v>979146</v>
      </c>
      <c r="T10" s="12">
        <v>1170628</v>
      </c>
    </row>
    <row r="11" spans="1:20" x14ac:dyDescent="0.25">
      <c r="A11" s="3"/>
      <c r="B11" s="3"/>
      <c r="C11" s="10"/>
      <c r="D11" s="10"/>
      <c r="E11" s="10"/>
      <c r="F11" s="10"/>
      <c r="G11" s="10"/>
    </row>
    <row r="12" spans="1:20" x14ac:dyDescent="0.25">
      <c r="A12" s="3"/>
      <c r="B12" s="3"/>
      <c r="C12" s="10"/>
      <c r="D12" s="10"/>
      <c r="E12" s="10"/>
      <c r="F12" s="10"/>
      <c r="G12" s="10"/>
    </row>
    <row r="13" spans="1:20" x14ac:dyDescent="0.25">
      <c r="A13" s="3"/>
      <c r="B13" s="3"/>
      <c r="C13" s="10"/>
      <c r="D13" s="10"/>
      <c r="E13" s="10"/>
      <c r="F13" s="10"/>
      <c r="G13" s="10"/>
    </row>
    <row r="14" spans="1:20" x14ac:dyDescent="0.25">
      <c r="A14" s="3"/>
      <c r="B14" s="3"/>
      <c r="C14" s="10"/>
      <c r="D14" s="10"/>
      <c r="E14" s="10"/>
      <c r="F14" s="10"/>
      <c r="G14" s="10"/>
    </row>
    <row r="15" spans="1:20" x14ac:dyDescent="0.25">
      <c r="A15" s="3"/>
      <c r="B15" s="3"/>
      <c r="C15" s="10"/>
      <c r="D15" s="10"/>
      <c r="E15" s="10"/>
      <c r="F15" s="10"/>
      <c r="G15" s="10"/>
    </row>
    <row r="16" spans="1:20" x14ac:dyDescent="0.25">
      <c r="A16" s="3"/>
      <c r="B16" s="3"/>
      <c r="C16" s="10"/>
      <c r="D16" s="10"/>
      <c r="E16" s="10"/>
      <c r="F16" s="10"/>
      <c r="G16" s="10"/>
    </row>
    <row r="17" spans="1:7" x14ac:dyDescent="0.25">
      <c r="A17" s="3"/>
      <c r="B17" s="3"/>
      <c r="C17" s="10"/>
      <c r="D17" s="10"/>
      <c r="E17" s="10"/>
      <c r="F17" s="10"/>
      <c r="G17" s="10"/>
    </row>
    <row r="18" spans="1:7" x14ac:dyDescent="0.25">
      <c r="A18" s="3"/>
      <c r="B18" s="3"/>
      <c r="C18" s="10"/>
      <c r="D18" s="10"/>
      <c r="E18" s="10"/>
      <c r="F18" s="10"/>
      <c r="G18" s="10"/>
    </row>
    <row r="19" spans="1:7" x14ac:dyDescent="0.25">
      <c r="A19" s="3"/>
      <c r="B19" s="3"/>
      <c r="C19" s="10"/>
      <c r="D19" s="10"/>
      <c r="E19" s="10"/>
      <c r="F19" s="10"/>
      <c r="G19" s="10"/>
    </row>
    <row r="20" spans="1:7" x14ac:dyDescent="0.25">
      <c r="A20" s="3"/>
      <c r="B20" s="3"/>
      <c r="C20" s="10"/>
      <c r="D20" s="10"/>
      <c r="E20" s="10"/>
      <c r="F20" s="10"/>
      <c r="G20" s="10"/>
    </row>
    <row r="21" spans="1:7" x14ac:dyDescent="0.25">
      <c r="A21" s="3"/>
      <c r="B21" s="3"/>
      <c r="C21" s="10"/>
      <c r="D21" s="10"/>
      <c r="E21" s="10"/>
      <c r="F21" s="10"/>
      <c r="G21" s="10"/>
    </row>
    <row r="22" spans="1:7" x14ac:dyDescent="0.25">
      <c r="A22" s="3"/>
      <c r="B22" s="3"/>
      <c r="C22" s="10"/>
      <c r="D22" s="10"/>
      <c r="E22" s="10"/>
      <c r="F22" s="10"/>
      <c r="G22" s="10"/>
    </row>
  </sheetData>
  <sheetProtection selectLockedCells="1"/>
  <conditionalFormatting sqref="A2:A10">
    <cfRule type="duplicateValues" dxfId="3" priority="1"/>
  </conditionalFormatting>
  <pageMargins left="0.7" right="0.7" top="0.75" bottom="0.75" header="0.3" footer="0.3"/>
  <pageSetup paperSize="9" scale="57" fitToHeight="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HILOOK IP</vt:lpstr>
      <vt:lpstr>'HILOOK IP'!Área_de_impresión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2026-09-24T21:51:32Z</cp:lastPrinted>
  <dcterms:created xsi:type="dcterms:W3CDTF">2026-05-12T21:21:34Z</dcterms:created>
  <dcterms:modified xsi:type="dcterms:W3CDTF">2026-09-24T21:51:37Z</dcterms:modified>
</cp:coreProperties>
</file>