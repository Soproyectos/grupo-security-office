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68BA760F-9F05-4A04-BF47-308A8C608C5A}" xr6:coauthVersionLast="47" xr6:coauthVersionMax="47" xr10:uidLastSave="{00000000-0000-0000-0000-000000000000}"/>
  <bookViews>
    <workbookView xWindow="-120" yWindow="-120" windowWidth="24240" windowHeight="13140" xr2:uid="{1444851C-2EFC-44E3-A7A3-E67AF38B9E1A}"/>
  </bookViews>
  <sheets>
    <sheet name="LANPRO C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[2]Pub!$H$13:$H$83</definedName>
    <definedName name="__123Graph_B" hidden="1">[2]Pub!$I$13:$I$83</definedName>
    <definedName name="__123Graph_C" hidden="1">[2]Pub!$J$13:$J$83</definedName>
    <definedName name="__123Graph_D" hidden="1">[2]Pub!$K$13:$K$83</definedName>
    <definedName name="__123Graph_E" hidden="1">[2]Pub!#REF!</definedName>
    <definedName name="__123Graph_F" hidden="1">[2]Pub!$L$13:$L$83</definedName>
    <definedName name="__123Graph_X" hidden="1">[2]Pub!$G$13:$G$83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[3]計算過程シート!#REF!</definedName>
    <definedName name="_1__123Graph_ACHART_1" hidden="1">'[4]Historical IS'!#REF!</definedName>
    <definedName name="_1__123Graph_AIRR_IRR" hidden="1">#REF!</definedName>
    <definedName name="_10___123Graph_XIRR_IRR" hidden="1">#REF!</definedName>
    <definedName name="_10__123Graph_ACHART_16" hidden="1">[5]engineering!$Q$49:$S$49</definedName>
    <definedName name="_10__123Graph_CCHART_3" hidden="1">'[4]Historical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[5]revenue!$P$77:$R$77</definedName>
    <definedName name="_11__123Graph_CCHART_8" hidden="1">'[4]Historical IS'!#REF!</definedName>
    <definedName name="_12__123Graph_ACHART_18" hidden="1">[5]revenue!$P$82:$R$82</definedName>
    <definedName name="_12__123Graph_AIRR_IRR" hidden="1">#REF!</definedName>
    <definedName name="_12__123Graph_DCHART_1" hidden="1">'[4]Historical IS'!#REF!</definedName>
    <definedName name="_13__123Graph_ACHART_19" hidden="1">[5]sga!$P$7:$R$7</definedName>
    <definedName name="_13__123Graph_AMOF_NB" hidden="1">[3]計算過程シート!#REF!</definedName>
    <definedName name="_13__123Graph_DCHART_8" hidden="1">'[4]Historical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'[4]Historical IS'!#REF!</definedName>
    <definedName name="_15__123Graph_ACHART_20" hidden="1">[5]sga!$P$10:$R$10</definedName>
    <definedName name="_15__123Graph_BIRR_IRR" hidden="1">#REF!</definedName>
    <definedName name="_15__123Graph_LBL_ACHART_4" hidden="1">'[4]Historical IS'!#REF!</definedName>
    <definedName name="_16__123Graph_ACHART_3" hidden="1">#REF!</definedName>
    <definedName name="_16__123Graph_BMOF_NB" hidden="1">#REF!</definedName>
    <definedName name="_16__123Graph_LBL_BCHART_3" hidden="1">'[4]Historical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'[4]Historical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'[4]Historical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'[4]Historical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'[4]Historical IS'!#REF!</definedName>
    <definedName name="_20__123Graph_ACHART_7" hidden="1">#REF!</definedName>
    <definedName name="_20__123Graph_XCHART_3" hidden="1">'[4]Historical IS'!#REF!</definedName>
    <definedName name="_20__123Graph_XIRR_IRR" hidden="1">#REF!</definedName>
    <definedName name="_21__123Graph_ACHART_8" hidden="1">#REF!</definedName>
    <definedName name="_21__123Graph_XCHART_4" hidden="1">'[4]Historical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'[4]Historical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[3]計算過程シート!#REF!</definedName>
    <definedName name="_26__123Graph_BCHART_13" hidden="1">[5]engineering!$Q$42:$W$42</definedName>
    <definedName name="_27__123Graph_BCHART_14" hidden="1">[5]engineering!$Q$46:$W$46</definedName>
    <definedName name="_28__123Graph_BCHART_15" hidden="1">#REF!</definedName>
    <definedName name="_29__123Graph_BCHART_16" hidden="1">[5]engineering!$Q$50:$S$50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'[4]Historical IS'!#REF!</definedName>
    <definedName name="_30__123Graph_BCHART_17" hidden="1">[5]revenue!$P$78:$R$78</definedName>
    <definedName name="_31__123Graph_BCHART_2" hidden="1">#REF!</definedName>
    <definedName name="_32__123Graph_BCHART_20" hidden="1">[5]sga!$P$11:$R$11</definedName>
    <definedName name="_33__123Graph_BCHART_3" hidden="1">[5]revenue!$P$10:$R$10</definedName>
    <definedName name="_34__123Graph_BCHART_6" hidden="1">#REF!</definedName>
    <definedName name="_35__123Graph_BCHART_7" hidden="1">[5]revenue!$P$45:$R$45</definedName>
    <definedName name="_36_??06" hidden="1">{"'?????10.27??????'!$Q$16"}</definedName>
    <definedName name="_36__123Graph_BCHART_8" hidden="1">#REF!</definedName>
    <definedName name="_37__123Graph_BCHART_9" hidden="1">[5]engineering!$P$7:$T$7</definedName>
    <definedName name="_38__123Graph_CCHART_1" hidden="1">#REF!</definedName>
    <definedName name="_39__123Graph_CCHART_11" hidden="1">[5]engineering!$P$16:$T$16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'[4]Historical IS'!#REF!</definedName>
    <definedName name="_40__123Graph_CCHART_12" hidden="1">#REF!</definedName>
    <definedName name="_41__123Graph_CCHART_2" hidden="1">#REF!</definedName>
    <definedName name="_42__123Graph_CCHART_20" hidden="1">[5]sga!$P$12:$R$12</definedName>
    <definedName name="_43__123Graph_CCHART_7" hidden="1">[5]revenue!$P$46:$R$46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'[4]Historical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[5]engineering!$Q$48:$S$48</definedName>
    <definedName name="_6___123Graph_AIRR_IRR" hidden="1">#REF!</definedName>
    <definedName name="_6__123Graph_ACHART_12" hidden="1">#REF!</definedName>
    <definedName name="_6__123Graph_BCHART_3" hidden="1">'[4]Historical IS'!#REF!</definedName>
    <definedName name="_60__123Graph_XCHART_18" hidden="1">[5]revenue!$P$81:$R$81</definedName>
    <definedName name="_61__123Graph_XCHART_2" hidden="1">#REF!</definedName>
    <definedName name="_62__123Graph_XCHART_20" hidden="1">[5]sga!$P$9:$R$9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'[4]Historical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'[4]Historical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'[4]Historical IS'!#REF!</definedName>
    <definedName name="_DF4" hidden="1">#REF!</definedName>
    <definedName name="_Fill" hidden="1">#REF!</definedName>
    <definedName name="_xlnm._FilterDatabase" hidden="1">'[6]46W9'!#REF!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Tabla125[[#All],[REFERENCIA]:[PRECIO CLIENTE FINAL (CON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'[7]Data sheet'!$A$4</definedName>
    <definedName name="BLPH10" hidden="1">'[7]Data sheet'!$AB$4</definedName>
    <definedName name="BLPH11" hidden="1">'[7]Data sheet'!$AE$4</definedName>
    <definedName name="BLPH12" hidden="1">'[7]Data sheet'!$AH$4</definedName>
    <definedName name="BLPH2" hidden="1">'[7]Data sheet'!$D$4</definedName>
    <definedName name="BLPH3" hidden="1">'[7]Data sheet'!$G$4</definedName>
    <definedName name="BLPH4" hidden="1">'[7]Data sheet'!$J$4</definedName>
    <definedName name="BLPH5" hidden="1">'[7]Data sheet'!$M$4</definedName>
    <definedName name="BLPH6" hidden="1">'[7]Data sheet'!$P$4</definedName>
    <definedName name="BLPH7" hidden="1">'[7]Data sheet'!$S$4</definedName>
    <definedName name="BLPH8" hidden="1">'[7]Data sheet'!$V$4</definedName>
    <definedName name="BLPH9" hidden="1">'[7]Data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'[8]Cálculo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[9]Resumen_Inv!$I$66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[6]Presentacion!#REF!</definedName>
    <definedName name="Z_D55C8B2E_861A_459E_9D09_3AF38A1DE99E_.wvu.Rows" hidden="1">[6]Presentacion!#REF!</definedName>
    <definedName name="Z_F540D718_D9AA_403F_AE49_60D937FD77E5_.wvu.Rows" hidden="1">[6]Presentacion!#REF!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[10]計算過程シート!#REF!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[10]計算過程シート!#REF!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1" i="1" l="1"/>
  <c r="C141" i="1" s="1"/>
  <c r="H142" i="1"/>
  <c r="C142" i="1" s="1"/>
  <c r="H112" i="1"/>
  <c r="C112" i="1" s="1"/>
  <c r="H147" i="1"/>
  <c r="C147" i="1" s="1"/>
  <c r="H148" i="1"/>
  <c r="C148" i="1" s="1"/>
  <c r="H149" i="1"/>
  <c r="C149" i="1" s="1"/>
  <c r="H150" i="1"/>
  <c r="C150" i="1" s="1"/>
  <c r="H151" i="1"/>
  <c r="C151" i="1" s="1"/>
  <c r="H152" i="1"/>
  <c r="C152" i="1" s="1"/>
  <c r="H153" i="1"/>
  <c r="C153" i="1" s="1"/>
  <c r="H154" i="1"/>
  <c r="C154" i="1" s="1"/>
  <c r="H155" i="1"/>
  <c r="C155" i="1" s="1"/>
  <c r="H156" i="1"/>
  <c r="C156" i="1" s="1"/>
  <c r="H157" i="1"/>
  <c r="C157" i="1" s="1"/>
  <c r="H158" i="1"/>
  <c r="C158" i="1" s="1"/>
  <c r="H159" i="1"/>
  <c r="C159" i="1" s="1"/>
  <c r="H160" i="1"/>
  <c r="C160" i="1" s="1"/>
  <c r="H161" i="1"/>
  <c r="C161" i="1" s="1"/>
  <c r="H162" i="1"/>
  <c r="C162" i="1" s="1"/>
  <c r="H163" i="1"/>
  <c r="C163" i="1" s="1"/>
  <c r="H164" i="1"/>
  <c r="C164" i="1" s="1"/>
  <c r="H165" i="1"/>
  <c r="C165" i="1" s="1"/>
  <c r="H166" i="1"/>
  <c r="C166" i="1" s="1"/>
  <c r="H167" i="1"/>
  <c r="C167" i="1" s="1"/>
  <c r="H168" i="1"/>
  <c r="C168" i="1" s="1"/>
  <c r="H169" i="1"/>
  <c r="C169" i="1" s="1"/>
  <c r="H170" i="1"/>
  <c r="C170" i="1" s="1"/>
  <c r="H171" i="1"/>
  <c r="C171" i="1" s="1"/>
  <c r="H172" i="1"/>
  <c r="C172" i="1" s="1"/>
  <c r="H173" i="1"/>
  <c r="C173" i="1" s="1"/>
  <c r="H174" i="1"/>
  <c r="C174" i="1" s="1"/>
  <c r="H175" i="1"/>
  <c r="C175" i="1" s="1"/>
  <c r="H176" i="1"/>
  <c r="C176" i="1" s="1"/>
  <c r="H177" i="1"/>
  <c r="C177" i="1" s="1"/>
  <c r="H178" i="1"/>
  <c r="C178" i="1" s="1"/>
  <c r="H179" i="1"/>
  <c r="C179" i="1" s="1"/>
  <c r="H180" i="1"/>
  <c r="C180" i="1" s="1"/>
  <c r="H181" i="1"/>
  <c r="C181" i="1" s="1"/>
  <c r="H182" i="1"/>
  <c r="C182" i="1" s="1"/>
  <c r="H183" i="1"/>
  <c r="C183" i="1" s="1"/>
  <c r="H184" i="1"/>
  <c r="C184" i="1" s="1"/>
  <c r="H185" i="1"/>
  <c r="C185" i="1" s="1"/>
  <c r="H186" i="1"/>
  <c r="C186" i="1" s="1"/>
  <c r="H187" i="1"/>
  <c r="C187" i="1" s="1"/>
  <c r="H188" i="1"/>
  <c r="C188" i="1" s="1"/>
  <c r="H2" i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H39" i="1"/>
  <c r="C39" i="1" s="1"/>
  <c r="H40" i="1"/>
  <c r="C40" i="1" s="1"/>
  <c r="H41" i="1"/>
  <c r="C41" i="1" s="1"/>
  <c r="H42" i="1"/>
  <c r="C42" i="1" s="1"/>
  <c r="H43" i="1"/>
  <c r="C43" i="1" s="1"/>
  <c r="H44" i="1"/>
  <c r="C44" i="1" s="1"/>
  <c r="H45" i="1"/>
  <c r="C45" i="1" s="1"/>
  <c r="H46" i="1"/>
  <c r="C46" i="1" s="1"/>
  <c r="H47" i="1"/>
  <c r="C47" i="1" s="1"/>
  <c r="H48" i="1"/>
  <c r="C48" i="1" s="1"/>
  <c r="H49" i="1"/>
  <c r="C49" i="1" s="1"/>
  <c r="H50" i="1"/>
  <c r="C50" i="1" s="1"/>
  <c r="H51" i="1"/>
  <c r="C51" i="1" s="1"/>
  <c r="H52" i="1"/>
  <c r="C52" i="1" s="1"/>
  <c r="H53" i="1"/>
  <c r="C53" i="1" s="1"/>
  <c r="H54" i="1"/>
  <c r="C54" i="1" s="1"/>
  <c r="H55" i="1"/>
  <c r="C55" i="1" s="1"/>
  <c r="H56" i="1"/>
  <c r="C56" i="1" s="1"/>
  <c r="H57" i="1"/>
  <c r="C57" i="1" s="1"/>
  <c r="H58" i="1"/>
  <c r="C58" i="1" s="1"/>
  <c r="H59" i="1"/>
  <c r="C59" i="1" s="1"/>
  <c r="H60" i="1"/>
  <c r="C60" i="1" s="1"/>
  <c r="H61" i="1"/>
  <c r="C61" i="1" s="1"/>
  <c r="H62" i="1"/>
  <c r="C62" i="1" s="1"/>
  <c r="H63" i="1"/>
  <c r="C63" i="1" s="1"/>
  <c r="H64" i="1"/>
  <c r="C64" i="1" s="1"/>
  <c r="H65" i="1"/>
  <c r="C65" i="1" s="1"/>
  <c r="H66" i="1"/>
  <c r="C66" i="1" s="1"/>
  <c r="H67" i="1"/>
  <c r="C67" i="1" s="1"/>
  <c r="H68" i="1"/>
  <c r="C68" i="1" s="1"/>
  <c r="H69" i="1"/>
  <c r="C69" i="1" s="1"/>
  <c r="H70" i="1"/>
  <c r="C70" i="1" s="1"/>
  <c r="H71" i="1"/>
  <c r="C71" i="1" s="1"/>
  <c r="H72" i="1"/>
  <c r="C72" i="1" s="1"/>
  <c r="H73" i="1"/>
  <c r="C73" i="1" s="1"/>
  <c r="H74" i="1"/>
  <c r="C74" i="1" s="1"/>
  <c r="H75" i="1"/>
  <c r="C75" i="1" s="1"/>
  <c r="H76" i="1"/>
  <c r="C76" i="1" s="1"/>
  <c r="H77" i="1"/>
  <c r="C77" i="1" s="1"/>
  <c r="H78" i="1"/>
  <c r="C78" i="1" s="1"/>
  <c r="H79" i="1"/>
  <c r="C79" i="1" s="1"/>
  <c r="H80" i="1"/>
  <c r="C80" i="1" s="1"/>
  <c r="H81" i="1"/>
  <c r="C81" i="1" s="1"/>
  <c r="H82" i="1"/>
  <c r="C82" i="1" s="1"/>
  <c r="H83" i="1"/>
  <c r="C83" i="1" s="1"/>
  <c r="H84" i="1"/>
  <c r="C84" i="1" s="1"/>
  <c r="H85" i="1"/>
  <c r="C85" i="1" s="1"/>
  <c r="H86" i="1"/>
  <c r="C86" i="1" s="1"/>
  <c r="H87" i="1"/>
  <c r="C87" i="1" s="1"/>
  <c r="H88" i="1"/>
  <c r="C88" i="1" s="1"/>
  <c r="H89" i="1"/>
  <c r="C89" i="1" s="1"/>
  <c r="H90" i="1"/>
  <c r="C90" i="1" s="1"/>
  <c r="H91" i="1"/>
  <c r="C91" i="1" s="1"/>
  <c r="H92" i="1"/>
  <c r="C92" i="1" s="1"/>
  <c r="H93" i="1"/>
  <c r="C93" i="1" s="1"/>
  <c r="H94" i="1"/>
  <c r="C94" i="1" s="1"/>
  <c r="H95" i="1"/>
  <c r="C95" i="1" s="1"/>
  <c r="H96" i="1"/>
  <c r="C96" i="1" s="1"/>
  <c r="H97" i="1"/>
  <c r="C97" i="1" s="1"/>
  <c r="H98" i="1"/>
  <c r="C98" i="1" s="1"/>
  <c r="H99" i="1"/>
  <c r="C99" i="1" s="1"/>
  <c r="H100" i="1"/>
  <c r="C100" i="1" s="1"/>
  <c r="H101" i="1"/>
  <c r="C101" i="1" s="1"/>
  <c r="H102" i="1"/>
  <c r="C102" i="1" s="1"/>
  <c r="H103" i="1"/>
  <c r="C103" i="1" s="1"/>
  <c r="H104" i="1"/>
  <c r="C104" i="1" s="1"/>
  <c r="H105" i="1"/>
  <c r="C105" i="1" s="1"/>
  <c r="H106" i="1"/>
  <c r="C106" i="1" s="1"/>
  <c r="H107" i="1"/>
  <c r="C107" i="1" s="1"/>
  <c r="H108" i="1"/>
  <c r="C108" i="1" s="1"/>
  <c r="H109" i="1"/>
  <c r="C109" i="1" s="1"/>
  <c r="H110" i="1"/>
  <c r="C110" i="1" s="1"/>
  <c r="H111" i="1"/>
  <c r="C111" i="1" s="1"/>
  <c r="H113" i="1"/>
  <c r="C113" i="1" s="1"/>
  <c r="H114" i="1"/>
  <c r="C114" i="1" s="1"/>
  <c r="H115" i="1"/>
  <c r="C115" i="1" s="1"/>
  <c r="H116" i="1"/>
  <c r="C116" i="1" s="1"/>
  <c r="H117" i="1"/>
  <c r="C117" i="1" s="1"/>
  <c r="H118" i="1"/>
  <c r="C118" i="1" s="1"/>
  <c r="H119" i="1"/>
  <c r="C119" i="1" s="1"/>
  <c r="H120" i="1"/>
  <c r="C120" i="1" s="1"/>
  <c r="H121" i="1"/>
  <c r="C121" i="1" s="1"/>
  <c r="H122" i="1"/>
  <c r="C122" i="1" s="1"/>
  <c r="H123" i="1"/>
  <c r="C123" i="1" s="1"/>
  <c r="H124" i="1"/>
  <c r="C124" i="1" s="1"/>
  <c r="H125" i="1"/>
  <c r="C125" i="1" s="1"/>
  <c r="H126" i="1"/>
  <c r="C126" i="1" s="1"/>
  <c r="H127" i="1"/>
  <c r="C127" i="1" s="1"/>
  <c r="H128" i="1"/>
  <c r="C128" i="1" s="1"/>
  <c r="H129" i="1"/>
  <c r="C129" i="1" s="1"/>
  <c r="H130" i="1"/>
  <c r="C130" i="1" s="1"/>
  <c r="H131" i="1"/>
  <c r="C131" i="1" s="1"/>
  <c r="H132" i="1"/>
  <c r="C132" i="1" s="1"/>
  <c r="H133" i="1"/>
  <c r="C133" i="1" s="1"/>
  <c r="H134" i="1"/>
  <c r="C134" i="1" s="1"/>
  <c r="H135" i="1"/>
  <c r="C135" i="1" s="1"/>
  <c r="H136" i="1"/>
  <c r="C136" i="1" s="1"/>
  <c r="H137" i="1"/>
  <c r="C137" i="1" s="1"/>
  <c r="H138" i="1"/>
  <c r="C138" i="1" s="1"/>
  <c r="H139" i="1"/>
  <c r="C139" i="1" s="1"/>
  <c r="H140" i="1"/>
  <c r="C140" i="1" s="1"/>
  <c r="H143" i="1"/>
  <c r="C143" i="1" s="1"/>
  <c r="H144" i="1"/>
  <c r="C144" i="1" s="1"/>
  <c r="H145" i="1"/>
  <c r="C145" i="1" s="1"/>
  <c r="H146" i="1"/>
  <c r="C146" i="1" s="1"/>
  <c r="F141" i="1" l="1"/>
  <c r="E141" i="1"/>
  <c r="D141" i="1"/>
  <c r="F142" i="1"/>
  <c r="E142" i="1"/>
  <c r="D142" i="1"/>
  <c r="F112" i="1"/>
  <c r="E112" i="1"/>
  <c r="D112" i="1"/>
  <c r="F147" i="1"/>
  <c r="D147" i="1" s="1"/>
  <c r="E147" i="1"/>
  <c r="F148" i="1"/>
  <c r="E148" i="1"/>
  <c r="D148" i="1"/>
  <c r="F149" i="1"/>
  <c r="E149" i="1"/>
  <c r="D149" i="1"/>
  <c r="F150" i="1"/>
  <c r="E150" i="1"/>
  <c r="D150" i="1"/>
  <c r="F151" i="1"/>
  <c r="E151" i="1"/>
  <c r="D151" i="1"/>
  <c r="F152" i="1"/>
  <c r="E152" i="1"/>
  <c r="D152" i="1"/>
  <c r="F153" i="1"/>
  <c r="E153" i="1"/>
  <c r="D153" i="1"/>
  <c r="F154" i="1"/>
  <c r="E154" i="1"/>
  <c r="D154" i="1"/>
  <c r="F155" i="1"/>
  <c r="E155" i="1"/>
  <c r="D155" i="1"/>
  <c r="F156" i="1"/>
  <c r="E156" i="1"/>
  <c r="D156" i="1"/>
  <c r="F157" i="1"/>
  <c r="E157" i="1"/>
  <c r="D157" i="1"/>
  <c r="F158" i="1"/>
  <c r="E158" i="1"/>
  <c r="D158" i="1"/>
  <c r="F159" i="1"/>
  <c r="E159" i="1"/>
  <c r="D159" i="1"/>
  <c r="F160" i="1"/>
  <c r="D160" i="1" s="1"/>
  <c r="E160" i="1"/>
  <c r="F161" i="1"/>
  <c r="D161" i="1" s="1"/>
  <c r="E161" i="1"/>
  <c r="F162" i="1"/>
  <c r="D162" i="1" s="1"/>
  <c r="E162" i="1"/>
  <c r="F163" i="1"/>
  <c r="D163" i="1" s="1"/>
  <c r="E163" i="1"/>
  <c r="F164" i="1"/>
  <c r="E164" i="1"/>
  <c r="D164" i="1"/>
  <c r="F165" i="1"/>
  <c r="E165" i="1"/>
  <c r="D165" i="1"/>
  <c r="F166" i="1"/>
  <c r="E166" i="1"/>
  <c r="D166" i="1"/>
  <c r="F167" i="1"/>
  <c r="E167" i="1"/>
  <c r="D167" i="1"/>
  <c r="F168" i="1"/>
  <c r="E168" i="1"/>
  <c r="D168" i="1"/>
  <c r="F169" i="1"/>
  <c r="D169" i="1" s="1"/>
  <c r="E169" i="1"/>
  <c r="F170" i="1"/>
  <c r="D170" i="1" s="1"/>
  <c r="E170" i="1"/>
  <c r="F171" i="1"/>
  <c r="E171" i="1"/>
  <c r="D171" i="1"/>
  <c r="F172" i="1"/>
  <c r="E172" i="1"/>
  <c r="D172" i="1"/>
  <c r="F173" i="1"/>
  <c r="E173" i="1"/>
  <c r="D173" i="1"/>
  <c r="F174" i="1"/>
  <c r="E174" i="1"/>
  <c r="D174" i="1"/>
  <c r="F175" i="1"/>
  <c r="D175" i="1" s="1"/>
  <c r="E175" i="1"/>
  <c r="F176" i="1"/>
  <c r="E176" i="1"/>
  <c r="D176" i="1"/>
  <c r="F177" i="1"/>
  <c r="E177" i="1"/>
  <c r="D177" i="1"/>
  <c r="F178" i="1"/>
  <c r="E178" i="1"/>
  <c r="D178" i="1"/>
  <c r="F179" i="1"/>
  <c r="E179" i="1"/>
  <c r="D179" i="1"/>
  <c r="F180" i="1"/>
  <c r="E180" i="1"/>
  <c r="D180" i="1"/>
  <c r="F181" i="1"/>
  <c r="E181" i="1"/>
  <c r="D181" i="1"/>
  <c r="F182" i="1"/>
  <c r="E182" i="1"/>
  <c r="D182" i="1"/>
  <c r="F183" i="1"/>
  <c r="E183" i="1"/>
  <c r="D183" i="1"/>
  <c r="F184" i="1"/>
  <c r="E184" i="1"/>
  <c r="D184" i="1"/>
  <c r="F185" i="1"/>
  <c r="E185" i="1"/>
  <c r="D185" i="1"/>
  <c r="F186" i="1"/>
  <c r="E186" i="1"/>
  <c r="D186" i="1"/>
  <c r="F187" i="1"/>
  <c r="E187" i="1"/>
  <c r="D187" i="1"/>
  <c r="F188" i="1"/>
  <c r="E188" i="1"/>
  <c r="D188" i="1"/>
  <c r="F86" i="1"/>
  <c r="E86" i="1"/>
  <c r="D86" i="1"/>
  <c r="F2" i="1"/>
  <c r="D2" i="1" s="1"/>
  <c r="E2" i="1"/>
  <c r="F3" i="1"/>
  <c r="D3" i="1" s="1"/>
  <c r="E3" i="1"/>
  <c r="F4" i="1"/>
  <c r="E4" i="1"/>
  <c r="D4" i="1"/>
  <c r="F5" i="1"/>
  <c r="E5" i="1"/>
  <c r="D5" i="1"/>
  <c r="F6" i="1"/>
  <c r="E6" i="1"/>
  <c r="D6" i="1"/>
  <c r="F7" i="1"/>
  <c r="E7" i="1"/>
  <c r="D7" i="1"/>
  <c r="F8" i="1"/>
  <c r="E8" i="1"/>
  <c r="D8" i="1"/>
  <c r="F9" i="1"/>
  <c r="E9" i="1"/>
  <c r="D9" i="1"/>
  <c r="F10" i="1"/>
  <c r="E10" i="1"/>
  <c r="D10" i="1"/>
  <c r="F11" i="1"/>
  <c r="E11" i="1"/>
  <c r="D11" i="1"/>
  <c r="F12" i="1"/>
  <c r="D12" i="1" s="1"/>
  <c r="E12" i="1"/>
  <c r="E13" i="1"/>
  <c r="F13" i="1"/>
  <c r="D13" i="1" s="1"/>
  <c r="F14" i="1"/>
  <c r="D14" i="1"/>
  <c r="E14" i="1"/>
  <c r="F15" i="1"/>
  <c r="D15" i="1"/>
  <c r="E15" i="1"/>
  <c r="F16" i="1"/>
  <c r="D16" i="1"/>
  <c r="E16" i="1"/>
  <c r="F17" i="1"/>
  <c r="D17" i="1"/>
  <c r="E17" i="1"/>
  <c r="F18" i="1"/>
  <c r="D18" i="1"/>
  <c r="E18" i="1"/>
  <c r="F19" i="1"/>
  <c r="D19" i="1"/>
  <c r="E19" i="1"/>
  <c r="F20" i="1"/>
  <c r="D20" i="1"/>
  <c r="E20" i="1"/>
  <c r="F21" i="1"/>
  <c r="D21" i="1"/>
  <c r="E21" i="1"/>
  <c r="F22" i="1"/>
  <c r="D22" i="1"/>
  <c r="E22" i="1"/>
  <c r="F23" i="1"/>
  <c r="D23" i="1"/>
  <c r="E23" i="1"/>
  <c r="F24" i="1"/>
  <c r="E24" i="1"/>
  <c r="D24" i="1"/>
  <c r="F25" i="1"/>
  <c r="E25" i="1"/>
  <c r="D25" i="1"/>
  <c r="F26" i="1"/>
  <c r="E26" i="1"/>
  <c r="D26" i="1"/>
  <c r="F27" i="1"/>
  <c r="E27" i="1"/>
  <c r="D27" i="1"/>
  <c r="F28" i="1"/>
  <c r="E28" i="1"/>
  <c r="D28" i="1"/>
  <c r="F29" i="1"/>
  <c r="E29" i="1"/>
  <c r="D29" i="1"/>
  <c r="F30" i="1"/>
  <c r="D30" i="1" s="1"/>
  <c r="E30" i="1"/>
  <c r="F31" i="1"/>
  <c r="D31" i="1"/>
  <c r="E31" i="1"/>
  <c r="F32" i="1"/>
  <c r="D32" i="1"/>
  <c r="E32" i="1"/>
  <c r="F33" i="1"/>
  <c r="D33" i="1"/>
  <c r="E33" i="1"/>
  <c r="F34" i="1"/>
  <c r="D34" i="1"/>
  <c r="E34" i="1"/>
  <c r="F35" i="1"/>
  <c r="D35" i="1"/>
  <c r="E35" i="1"/>
  <c r="F36" i="1"/>
  <c r="D36" i="1"/>
  <c r="E36" i="1"/>
  <c r="F37" i="1"/>
  <c r="D37" i="1"/>
  <c r="E37" i="1"/>
  <c r="F38" i="1"/>
  <c r="D38" i="1"/>
  <c r="E38" i="1"/>
  <c r="F39" i="1"/>
  <c r="D39" i="1"/>
  <c r="E39" i="1"/>
  <c r="F40" i="1"/>
  <c r="D40" i="1" s="1"/>
  <c r="E40" i="1"/>
  <c r="F41" i="1"/>
  <c r="D41" i="1" s="1"/>
  <c r="E41" i="1"/>
  <c r="E42" i="1"/>
  <c r="F42" i="1"/>
  <c r="D42" i="1" s="1"/>
  <c r="F43" i="1"/>
  <c r="D43" i="1"/>
  <c r="E43" i="1"/>
  <c r="E44" i="1"/>
  <c r="F44" i="1"/>
  <c r="D44" i="1" s="1"/>
  <c r="E45" i="1"/>
  <c r="F45" i="1"/>
  <c r="D45" i="1" s="1"/>
  <c r="E46" i="1"/>
  <c r="F46" i="1"/>
  <c r="D46" i="1" s="1"/>
  <c r="F47" i="1"/>
  <c r="D47" i="1"/>
  <c r="E47" i="1"/>
  <c r="E48" i="1"/>
  <c r="F48" i="1"/>
  <c r="D48" i="1" s="1"/>
  <c r="E49" i="1"/>
  <c r="F49" i="1"/>
  <c r="D49" i="1" s="1"/>
  <c r="E50" i="1"/>
  <c r="F50" i="1"/>
  <c r="D50" i="1" s="1"/>
  <c r="E51" i="1"/>
  <c r="F51" i="1"/>
  <c r="D51" i="1" s="1"/>
  <c r="E52" i="1"/>
  <c r="F52" i="1"/>
  <c r="D52" i="1" s="1"/>
  <c r="E53" i="1"/>
  <c r="F53" i="1"/>
  <c r="D53" i="1" s="1"/>
  <c r="E54" i="1"/>
  <c r="F54" i="1"/>
  <c r="D54" i="1" s="1"/>
  <c r="E55" i="1"/>
  <c r="F55" i="1"/>
  <c r="D55" i="1" s="1"/>
  <c r="E56" i="1"/>
  <c r="F56" i="1"/>
  <c r="D56" i="1" s="1"/>
  <c r="F57" i="1"/>
  <c r="D57" i="1" s="1"/>
  <c r="E57" i="1"/>
  <c r="F58" i="1"/>
  <c r="D58" i="1" s="1"/>
  <c r="E58" i="1"/>
  <c r="E59" i="1"/>
  <c r="F59" i="1"/>
  <c r="D59" i="1" s="1"/>
  <c r="E60" i="1"/>
  <c r="F60" i="1"/>
  <c r="D60" i="1" s="1"/>
  <c r="E61" i="1"/>
  <c r="F61" i="1"/>
  <c r="D61" i="1" s="1"/>
  <c r="E62" i="1"/>
  <c r="F62" i="1"/>
  <c r="D62" i="1" s="1"/>
  <c r="E63" i="1"/>
  <c r="F63" i="1"/>
  <c r="D63" i="1" s="1"/>
  <c r="E64" i="1"/>
  <c r="F64" i="1"/>
  <c r="D64" i="1" s="1"/>
  <c r="E65" i="1"/>
  <c r="F65" i="1"/>
  <c r="D65" i="1" s="1"/>
  <c r="E66" i="1"/>
  <c r="F66" i="1"/>
  <c r="D66" i="1" s="1"/>
  <c r="F67" i="1"/>
  <c r="D67" i="1"/>
  <c r="E67" i="1"/>
  <c r="E68" i="1"/>
  <c r="F68" i="1"/>
  <c r="D68" i="1" s="1"/>
  <c r="E69" i="1"/>
  <c r="F69" i="1"/>
  <c r="D69" i="1" s="1"/>
  <c r="E70" i="1"/>
  <c r="F70" i="1"/>
  <c r="D70" i="1" s="1"/>
  <c r="F71" i="1"/>
  <c r="D71" i="1"/>
  <c r="E71" i="1"/>
  <c r="E72" i="1"/>
  <c r="F72" i="1"/>
  <c r="D72" i="1" s="1"/>
  <c r="E73" i="1"/>
  <c r="F73" i="1"/>
  <c r="D73" i="1" s="1"/>
  <c r="E74" i="1"/>
  <c r="F74" i="1"/>
  <c r="D74" i="1" s="1"/>
  <c r="F75" i="1"/>
  <c r="D75" i="1"/>
  <c r="E75" i="1"/>
  <c r="E76" i="1"/>
  <c r="F76" i="1"/>
  <c r="D76" i="1" s="1"/>
  <c r="E77" i="1"/>
  <c r="F77" i="1"/>
  <c r="D77" i="1" s="1"/>
  <c r="E78" i="1"/>
  <c r="F78" i="1"/>
  <c r="D78" i="1" s="1"/>
  <c r="E79" i="1"/>
  <c r="F79" i="1"/>
  <c r="D79" i="1" s="1"/>
  <c r="E80" i="1"/>
  <c r="F80" i="1"/>
  <c r="D80" i="1" s="1"/>
  <c r="E81" i="1"/>
  <c r="F81" i="1"/>
  <c r="D81" i="1" s="1"/>
  <c r="E82" i="1"/>
  <c r="F82" i="1"/>
  <c r="D82" i="1" s="1"/>
  <c r="E83" i="1"/>
  <c r="F83" i="1"/>
  <c r="D83" i="1" s="1"/>
  <c r="E84" i="1"/>
  <c r="F84" i="1"/>
  <c r="D84" i="1" s="1"/>
  <c r="F85" i="1"/>
  <c r="D85" i="1"/>
  <c r="E85" i="1"/>
  <c r="F87" i="1"/>
  <c r="E87" i="1"/>
  <c r="D87" i="1"/>
  <c r="F88" i="1"/>
  <c r="E88" i="1"/>
  <c r="D88" i="1"/>
  <c r="F89" i="1"/>
  <c r="E89" i="1"/>
  <c r="D89" i="1"/>
  <c r="F90" i="1"/>
  <c r="E90" i="1"/>
  <c r="D90" i="1"/>
  <c r="F91" i="1"/>
  <c r="E91" i="1"/>
  <c r="D91" i="1"/>
  <c r="F92" i="1"/>
  <c r="E92" i="1"/>
  <c r="D92" i="1"/>
  <c r="F93" i="1"/>
  <c r="E93" i="1"/>
  <c r="D93" i="1"/>
  <c r="F94" i="1"/>
  <c r="E94" i="1"/>
  <c r="D94" i="1"/>
  <c r="F95" i="1"/>
  <c r="E95" i="1"/>
  <c r="D95" i="1"/>
  <c r="F96" i="1"/>
  <c r="D96" i="1" s="1"/>
  <c r="E96" i="1"/>
  <c r="F97" i="1"/>
  <c r="D97" i="1" s="1"/>
  <c r="E97" i="1"/>
  <c r="F98" i="1"/>
  <c r="E98" i="1"/>
  <c r="D98" i="1"/>
  <c r="F99" i="1"/>
  <c r="E99" i="1"/>
  <c r="D99" i="1"/>
  <c r="F100" i="1"/>
  <c r="E100" i="1"/>
  <c r="D100" i="1"/>
  <c r="F101" i="1"/>
  <c r="E101" i="1"/>
  <c r="D101" i="1"/>
  <c r="F102" i="1"/>
  <c r="E102" i="1"/>
  <c r="D102" i="1"/>
  <c r="F103" i="1"/>
  <c r="E103" i="1"/>
  <c r="D103" i="1"/>
  <c r="F104" i="1"/>
  <c r="E104" i="1"/>
  <c r="D104" i="1"/>
  <c r="F105" i="1"/>
  <c r="E105" i="1"/>
  <c r="D105" i="1"/>
  <c r="F106" i="1"/>
  <c r="E106" i="1"/>
  <c r="D106" i="1"/>
  <c r="F107" i="1"/>
  <c r="E107" i="1"/>
  <c r="D107" i="1"/>
  <c r="F108" i="1"/>
  <c r="E108" i="1"/>
  <c r="D108" i="1"/>
  <c r="F109" i="1"/>
  <c r="E109" i="1"/>
  <c r="D109" i="1"/>
  <c r="F110" i="1"/>
  <c r="E110" i="1"/>
  <c r="D110" i="1"/>
  <c r="F111" i="1"/>
  <c r="E111" i="1"/>
  <c r="D111" i="1"/>
  <c r="F113" i="1"/>
  <c r="D113" i="1" s="1"/>
  <c r="E113" i="1"/>
  <c r="F114" i="1"/>
  <c r="E114" i="1"/>
  <c r="D114" i="1"/>
  <c r="F115" i="1"/>
  <c r="E115" i="1"/>
  <c r="D115" i="1"/>
  <c r="F116" i="1"/>
  <c r="E116" i="1"/>
  <c r="D116" i="1"/>
  <c r="F117" i="1"/>
  <c r="D117" i="1" s="1"/>
  <c r="E117" i="1"/>
  <c r="F118" i="1"/>
  <c r="E118" i="1"/>
  <c r="D118" i="1"/>
  <c r="F119" i="1"/>
  <c r="E119" i="1"/>
  <c r="D119" i="1"/>
  <c r="F120" i="1"/>
  <c r="E120" i="1"/>
  <c r="D120" i="1"/>
  <c r="F121" i="1"/>
  <c r="E121" i="1"/>
  <c r="D121" i="1"/>
  <c r="F122" i="1"/>
  <c r="E122" i="1"/>
  <c r="D122" i="1"/>
  <c r="F123" i="1"/>
  <c r="E123" i="1"/>
  <c r="D123" i="1"/>
  <c r="F124" i="1"/>
  <c r="D124" i="1" s="1"/>
  <c r="E124" i="1"/>
  <c r="F125" i="1"/>
  <c r="E125" i="1"/>
  <c r="D125" i="1"/>
  <c r="F126" i="1"/>
  <c r="E126" i="1"/>
  <c r="D126" i="1"/>
  <c r="F127" i="1"/>
  <c r="E127" i="1"/>
  <c r="D127" i="1"/>
  <c r="F128" i="1"/>
  <c r="D128" i="1" s="1"/>
  <c r="E128" i="1"/>
  <c r="F129" i="1"/>
  <c r="E129" i="1"/>
  <c r="D129" i="1"/>
  <c r="F130" i="1"/>
  <c r="E130" i="1"/>
  <c r="D130" i="1"/>
  <c r="F131" i="1"/>
  <c r="E131" i="1"/>
  <c r="D131" i="1"/>
  <c r="F132" i="1"/>
  <c r="E132" i="1"/>
  <c r="D132" i="1"/>
  <c r="F133" i="1"/>
  <c r="E133" i="1"/>
  <c r="D133" i="1"/>
  <c r="F134" i="1"/>
  <c r="E134" i="1"/>
  <c r="D134" i="1"/>
  <c r="F135" i="1"/>
  <c r="E135" i="1"/>
  <c r="D135" i="1"/>
  <c r="F136" i="1"/>
  <c r="E136" i="1"/>
  <c r="D136" i="1"/>
  <c r="F137" i="1"/>
  <c r="E137" i="1"/>
  <c r="D137" i="1"/>
  <c r="F138" i="1"/>
  <c r="E138" i="1"/>
  <c r="D138" i="1"/>
  <c r="F139" i="1"/>
  <c r="E139" i="1"/>
  <c r="D139" i="1"/>
  <c r="F140" i="1"/>
  <c r="E140" i="1"/>
  <c r="D140" i="1"/>
  <c r="F143" i="1"/>
  <c r="E143" i="1"/>
  <c r="D143" i="1"/>
  <c r="F144" i="1"/>
  <c r="E144" i="1"/>
  <c r="D144" i="1"/>
  <c r="F145" i="1"/>
  <c r="E145" i="1"/>
  <c r="D145" i="1"/>
  <c r="F146" i="1"/>
  <c r="E146" i="1"/>
  <c r="D146" i="1"/>
</calcChain>
</file>

<file path=xl/sharedStrings.xml><?xml version="1.0" encoding="utf-8"?>
<sst xmlns="http://schemas.openxmlformats.org/spreadsheetml/2006/main" count="385" uniqueCount="384">
  <si>
    <t>ANTENA YAGI 5,8GHZ 2MT RG-58 CABLE CONECTOR N-HEMBRA</t>
  </si>
  <si>
    <t>LPYAGI5815</t>
  </si>
  <si>
    <t>LPXCAPUSRD</t>
  </si>
  <si>
    <t>JACK CAT 6 RJ45 PERFORMAX COLOR NEGRO NO BLINDADOS CERTIFICADOS UL/ETL/CSA</t>
  </si>
  <si>
    <t>LPXC6PUSBK</t>
  </si>
  <si>
    <t>MÓDULO DE ADAPTADORES CON 8 PIEZAS (8 NÚCLEOS) SIMPLEX SC UPC MONOMODO COLOR AZUL</t>
  </si>
  <si>
    <t>LPUASCS08UPC</t>
  </si>
  <si>
    <t>MÓDULO DE ADAPTADORES CON 8 PIEZAS (8 NÚCLEOS) SIMPLEX SC PC MULTIMODO OM3/OM4 COLOR AQUA</t>
  </si>
  <si>
    <t>LPUASCS08MM2</t>
  </si>
  <si>
    <t>MÓDULO DE ADAPTADORES CON 8 PIEZAS (8 NÚCLEOS) SIMPLEX SC APC MONOMODO COLOR VERDE</t>
  </si>
  <si>
    <t>LPUASCS08APC</t>
  </si>
  <si>
    <t>PANEL DE ADAPTADORES CON 6 PIEZAS (12 NÚCLEOS) DUPLEX LC PC OM3-OM4 COLOR AQUA</t>
  </si>
  <si>
    <t>LPUALCD12MM2</t>
  </si>
  <si>
    <t>PANEL ADAPTADOR UNIFIBERT PARA ODF METALICO CON 6 PIEZAS DE ADAPTADORES LC MONOMODO DUPLEX APC</t>
  </si>
  <si>
    <t>LPUALCD12APC</t>
  </si>
  <si>
    <t>LPUA00000</t>
  </si>
  <si>
    <t>CONECTOR DE CAMPO MTPL BLINDADO RJ45 CAT6A PARA CABLES SOLIDOS Y MULTIFILAR 23-26 AWG</t>
  </si>
  <si>
    <t>LPTCRJ458P8CCAFS</t>
  </si>
  <si>
    <t>HERRAMIENTA PARA CORTE DE ALTA PRECISIÓN EN CABLES DE COBRE O METAL SUAVE</t>
  </si>
  <si>
    <t>LPT222C</t>
  </si>
  <si>
    <t>CABLE UTP INTERIOR CM CAT5E CCA CHAQUETA AZUL CERTIFICADO UL</t>
  </si>
  <si>
    <t>LPSICOLCE012BLB</t>
  </si>
  <si>
    <t>SWITCH GERENCIABLE 52 PUERTOS GIGABIT CON 48X10/100/1000MBPSPUERTOS POE INDEPEN+4 PUERT DE FIBRA+SFP</t>
  </si>
  <si>
    <t>LPSGW52484FP</t>
  </si>
  <si>
    <t>SWITCH POE DE 6 PUERTOS GIGABIT CON 4 PUERTOS POE + 2 PUERTOS SFP DE FIBRA FUENTE DE 65W</t>
  </si>
  <si>
    <t>LPSG642FP</t>
  </si>
  <si>
    <t>SWITCH POE GIGABIT DE 26 PUERTOS CON 24 GIGABIT PUERTOS POE + 2 PUERTOS SFP DE FIBRA FUENTE DE 400W</t>
  </si>
  <si>
    <t>LPSG26242FP</t>
  </si>
  <si>
    <t>LPSG2400</t>
  </si>
  <si>
    <t>ANTENA SECTORIAL 5,8GHZ 15DB 120° CONECTOR N-HEMBRA</t>
  </si>
  <si>
    <t>LPSEC5815120</t>
  </si>
  <si>
    <t>CHASIS DE MONTAJE SOBRE RACK PARA 14 CONVERTIDORES DE MEDIO LANPRO. FUENTE DE PODER REDUNDANTE INCL.</t>
  </si>
  <si>
    <t>LPRKICF00</t>
  </si>
  <si>
    <t>PANEL VACIO EN ACERO 2U PARA GABINETES SERIE 8000</t>
  </si>
  <si>
    <t>LPR807BLK2U</t>
  </si>
  <si>
    <t>PANEL VACIO EN ACERO 1U PARA GABINETES SERIE 8000</t>
  </si>
  <si>
    <t>LPR807BLK1U</t>
  </si>
  <si>
    <t>BOLSA 50 UNIDADES TORNILLO CAPTIVO M6</t>
  </si>
  <si>
    <t>LPR707HWB50</t>
  </si>
  <si>
    <t>TRANSCEIVER SFP GIGABIT DUPLEX LC A ETHERNET MULTIMODO 850NM TRANSMISION HASTA 550M CON DDM</t>
  </si>
  <si>
    <t>LPOSFPSX01D</t>
  </si>
  <si>
    <t>LPOC33130027ZF10</t>
  </si>
  <si>
    <t>CABLE FO FTTH TIPO DROP 1 FIBRA MONODOMO G657A1 AUTO SOPORTADO POR HILO DE ACERO 1KM</t>
  </si>
  <si>
    <t>LPOC33130017ZF10</t>
  </si>
  <si>
    <t>HERRAJE ANGULADO PARA 24 PUERTOS COMPLETAMENTE BLINDADO NO INCLUYE MODULOS</t>
  </si>
  <si>
    <t>LPIP24FS1</t>
  </si>
  <si>
    <t>CONVERTIDOR DE MEDIOS FIBRA INDIVIDUAL MONOMODO 10/100/1000M HASTA 20KM BIDI WDM 5VDC PUERTO SC (VENTA 2PCS)</t>
  </si>
  <si>
    <t>LPICF3100D201</t>
  </si>
  <si>
    <t>CONVERTIDOR DE MEDIOS DUAL GIGABIT MULTIMODO 10/100/1000M SOPORTA 500M DE TRANSMISIÓN 5VDC PUERTO SC</t>
  </si>
  <si>
    <t>LPICF3100051</t>
  </si>
  <si>
    <t>TAPA CIEGA DE COLOR BLANCO PARA CUBRIR ESPACIOS SIN USAR EN LOS FACEPLATES</t>
  </si>
  <si>
    <t>LPIBLNKWH</t>
  </si>
  <si>
    <t>TAPA CIEGA DE COLOR NEGRO PARA CUBRIR ESPACIOS SIN USAR EN LOS FACEPLATES</t>
  </si>
  <si>
    <t>LPIBLNKBK</t>
  </si>
  <si>
    <t>CONECTOR SC FUSIONLESS PARA FIBRA MONOMODO G.652.D PARA CABLES 2X3MM 1.6X2MM COLOR VERDE</t>
  </si>
  <si>
    <t>LPFLSCS17212</t>
  </si>
  <si>
    <t>CONECTOR SC FUSIONLESS PARA FIBRA MONOMODO G.652.D PARA CABLES 0.9MM Y 0.25MM COLOR AZUL</t>
  </si>
  <si>
    <t>LPFLSCS13112</t>
  </si>
  <si>
    <t>CONECTOR LC FUSIONLESS PARA FIBRA MULTIMODO OM3/OM4 PARA CABLES DE 0.9 Y 0.25MM COLOR AQUA</t>
  </si>
  <si>
    <t>LPFLLCM33512</t>
  </si>
  <si>
    <t>CONECTOR LC FUSIONLESS PARA FIBRA MULTIMODO OM3 IEC 60793-2-10 TIPO A</t>
  </si>
  <si>
    <t>LPFLLCM3151</t>
  </si>
  <si>
    <t>CONECTOR LC FUSIONLESS PARA FIBRA MULTIMODO OM1 IEC 60793-2-10 TIPO A 62,5/125µM BOTA BLANCA</t>
  </si>
  <si>
    <t>LPFLLCM1141</t>
  </si>
  <si>
    <t>BANDEJA DE PLÁSTICO BLANCO ABS PARA CIERRES DE EMPALME CILINDRICOS HASTA 24 NUCLEOS</t>
  </si>
  <si>
    <t>LPF73314FBK</t>
  </si>
  <si>
    <t>LPF3313DBK</t>
  </si>
  <si>
    <t>DIVISOR DE FIBRA OPTICA 1 A 16 CONECTORES SC APC FIBRAS SUELTAS MONOMODO G657</t>
  </si>
  <si>
    <t>LPF31A11161L</t>
  </si>
  <si>
    <t>DIVISOR DE FIBRA OPTICA 1 A 8 CONECTORES SC APC FIBRAS SUELTAS MONOMODO G657</t>
  </si>
  <si>
    <t>LPF31A11081L</t>
  </si>
  <si>
    <t>CIERRE DE EMPALMES TERMINALES DE FO 4 BANDEJAS HASTA 12 FIBRAS CADA UNA MONTAJE EN PARED Y POSTE</t>
  </si>
  <si>
    <t>LPF2324048BK16</t>
  </si>
  <si>
    <t>CAJA LIU EN PLASTICO ABS PARA FIBRA ÓPTICA CAPACIDAD DE 2 ADAPT. SIMPLEX SC SM/MM (NO INCLUIDOS)</t>
  </si>
  <si>
    <t>LPF2152IV00</t>
  </si>
  <si>
    <t>CAJA LIU EN PLASTICO ABS PARA FIBRA ÓPTICA CAPACIDAD DE 16 ADAPT. DUPLEX SC/LC SM/MM (NO INCLUIDOS)</t>
  </si>
  <si>
    <t>LPF205HOY00</t>
  </si>
  <si>
    <t>ODF METALICO PARA F.O.DE 2U MONTABLE EN RACK DE 19"HASTA 96 PUERTOS NO INCL. PANEL ADAPTADORES</t>
  </si>
  <si>
    <t>LPF1862IV</t>
  </si>
  <si>
    <t>LPF181AIV00</t>
  </si>
  <si>
    <t>ADAPTADOR FIBRA ÓPTICA PARA CAJA LIU PUERTOS DUPLEX LC-LC MONOMODO, PRECIO POR UNIDAD</t>
  </si>
  <si>
    <t>LPF1515S11</t>
  </si>
  <si>
    <t>LPF1515M26</t>
  </si>
  <si>
    <t>ADAPTADOR FIBRA ÓPTICA PARA CAJA LIU PUERTOS DUPLEX SC-SC MONOMODO, AZUL, PRECIO POR UNIDAD</t>
  </si>
  <si>
    <t>LPF1507S11</t>
  </si>
  <si>
    <t>PATCH CORD FIBRA OPTICA SM G652 APC SC SIMPLEX CHAQUETA 2.0MM COLOR AMARILLO LSZH 3M</t>
  </si>
  <si>
    <t>LPF13S20S2027L3M</t>
  </si>
  <si>
    <t>PATCH CORD FIBRA ÓPTICA SM G652 LC DUPLEX A LC DUPLEX APC CHAQUETA 2.0MM COLOR AMARILLO LSZH 3M</t>
  </si>
  <si>
    <t>LPF13L20L2008L3M</t>
  </si>
  <si>
    <t>PATCH CORD FIBRA ÓPTICA MM OM3 LC DUPLEX PULITURA UPC CHAQUETA 2.0MM COLOR AQUA 10 GBIT LSZH 3M</t>
  </si>
  <si>
    <t>LPF13L10L1070L3M</t>
  </si>
  <si>
    <t>PATCH CORD FIBRA OPTICA MM OM3 PULITURA UPC SC DUPLEX CHAQUETA 3.0mm COLOR AQUA LSZH 10 GBIT 3M</t>
  </si>
  <si>
    <t>LPF13C10C1067L3M</t>
  </si>
  <si>
    <t>PIGTAIL FIBRA ÓPTICA MONOMODO G652 APC SIMPLEX CONECTOR SC CHAQUETA BLANCA PVC 0.9MM 1.5M</t>
  </si>
  <si>
    <t>LPF12S2000006P5F</t>
  </si>
  <si>
    <t>PIGTAIL FIBRA ÓPTICA MULTIMODO OM4 SIMPLEX CONECTOR SC CHAQUETA AQUA PVC 0.9MM 1M</t>
  </si>
  <si>
    <t>LPF12S1000077P1M</t>
  </si>
  <si>
    <t>PIGTAIL FIBRA ÓPTICA MONOMODO G652 SIMPLEX CONECTOR LC CHAQUETA BLANCA PVC 0.9MM 1,5M</t>
  </si>
  <si>
    <t>LPF12P1000006P5F</t>
  </si>
  <si>
    <t>CABLE UTP CAT6A SIN BLINDAR EXTERIOR 305 MTS 23AWG CHAQ PE NEGRA TESTEADO</t>
  </si>
  <si>
    <t>LPCA0N0BKCT</t>
  </si>
  <si>
    <t>CABLE UTP CAT6 INTERIOR SIN BLINDAR 305M 24AWG BC CHAQUETA CM COLOR AZUL UL CSA FT1 TESTEADO</t>
  </si>
  <si>
    <t>LPC6M10BLBT</t>
  </si>
  <si>
    <t>BOTAS DE PROTECCION PARA RJ45 COLOR AZUL</t>
  </si>
  <si>
    <t>LPB101BL</t>
  </si>
  <si>
    <t>RADIO ETHERNET SERIE ATREX BANDA DE 4.9-6.06GHZ CON POTENCIA DE SALIDA DE 27DBM MODULACIÓN MIMO 2X2</t>
  </si>
  <si>
    <t>LPATRX496027A31</t>
  </si>
  <si>
    <t>PIGTAIL CABLE RF CONECTORIZADO N-N MACHO 2M PARA ANTENA EXTERNA</t>
  </si>
  <si>
    <t>LP81147</t>
  </si>
  <si>
    <t>PIGTAIL CABLE RF CONECTORIZADO N-N MACHO 1M PARA ANTENA EXTERNA</t>
  </si>
  <si>
    <t>LP81146</t>
  </si>
  <si>
    <t>RADIO ENLACE - PUNTO DE ACCESO 5,8GHZ PARA EXTERIOR REQUIERE ANTENA EXTERNA</t>
  </si>
  <si>
    <t>LP5AMAX</t>
  </si>
  <si>
    <t>PUNTO DE ACCESO 5,8GHZ PARA USO EXTERIOR ANTENA INCORPORADA DE 16DBI</t>
  </si>
  <si>
    <t>LP583AI</t>
  </si>
  <si>
    <t>PATCH CORD ULTRADELGADO CAT6A BLINDADO S/FTP PARA CENTRO DE DATOS COLOR ROJO CHAQUETA LSZH 2M</t>
  </si>
  <si>
    <t>LP4CADFCRD2L</t>
  </si>
  <si>
    <t>PATCH CORD ULTRADELGADO CAT6A BLINDADO S/FTP PARA CENTRO DE DATOS COLOR ROJO CHAQUETA LSZH 1M</t>
  </si>
  <si>
    <t>LP4CADFCRD1L</t>
  </si>
  <si>
    <t>PATCH CORD ULTRADELGADO CAT6A BLINDADO S/FTP PARA CENTRO DE DATOS COLOR ROJO CHAQUETA LSZH 0,5M</t>
  </si>
  <si>
    <t>LP4CADFCRD05L</t>
  </si>
  <si>
    <t>PATCH CORD ULTRADELGADO CAT6A BLINDADO S/FTP PARA CENTRO DE DATOS COLOR AZUL CHAQUETA LSZH 6M</t>
  </si>
  <si>
    <t>LP4CADFCBL6L</t>
  </si>
  <si>
    <t>PATCH CORD ULTRADELGADO CAT6A BLINDADO S/FTP PARA CENTRO DE DATOS COLOR AZUL CHAQUETA CM 1.5M</t>
  </si>
  <si>
    <t>LP4CADFCBL5FLCL</t>
  </si>
  <si>
    <t>PATCH CORD ULTRADELGADO CAT6A BLINDADO S/FTP PARA CENTRO DE DATOS COLOR AZUL CHAQUETA LSZH 3M</t>
  </si>
  <si>
    <t>LP4CADFCBL3L</t>
  </si>
  <si>
    <t>PATCH CORD ULTRADELGADO CAT6A BLINDADO S/FTP PARA CENTRO DE DATOS COLOR AZUL CHAQUETA LSZH 2M</t>
  </si>
  <si>
    <t>LP4CADFCBL2L</t>
  </si>
  <si>
    <t>PATCH CORD CAT6 ULTRADELGADO MULTIFILAR SIN BLINDAR 26AWG PARA CENTRO DE DATOS CHAQUETA CM ROJA 3M</t>
  </si>
  <si>
    <t>LP4C6DUCRD3C</t>
  </si>
  <si>
    <t>PATCH CORD CAT6 ULTRADELGADO MULTIFILAR SIN BLINDAR 26AWG PARA CENTRO DE DATOS CHAQUETA CM ROJA 2M</t>
  </si>
  <si>
    <t>LP4C6DUCRD2C</t>
  </si>
  <si>
    <t>PATCH CORD CAT6 ULTRADELGADO MULTIFILAR SIN BLINDAR PARA CENTRO DE DATOS 26AWG CHAQUETA CM ROJA 1M</t>
  </si>
  <si>
    <t>LP4C6DUCRD1C</t>
  </si>
  <si>
    <t>PATCH CORD CAT6 ULTRADELGADO SIN BLINDAR 26AWG MULTIFILAR PARA CENTRO DE DATOS CHAQUETA CM ROJA 0,5M</t>
  </si>
  <si>
    <t>LP4C6DUCRD05C</t>
  </si>
  <si>
    <t>PATCH CORD CAT6 ULTRADELGADO SIN BLINDAR 26AWG MULTIFILAR PARA CENTRO DE DATOS CHAQUETA CM AZUL 2M</t>
  </si>
  <si>
    <t>LP4C6DUCBL2C</t>
  </si>
  <si>
    <t>FACEPLATE SUPERFICIAL BLANCA ORIENTACIÓN VERTICAL DE 6 PUERTOS NO INCLUYE MÓDULOS</t>
  </si>
  <si>
    <t>LP3317V6WH</t>
  </si>
  <si>
    <t>PATCH CORD FIBRA ÓPTICA MM OM4 LC DUPLEX PULITURA UPC CHAQUETA 2.0MM COLOR AQUA 10 GBIT LSZH 3M</t>
  </si>
  <si>
    <t>LPF13L10L1081L3M</t>
  </si>
  <si>
    <t>PIGTAIL FIBRA ÓPTICA MULTIMODO OM3 SIMPLEX CONECTOR SC CHAQUETA AQUA 10GBIT PVC 0.9MM 1M</t>
  </si>
  <si>
    <t>LPF12S1000066P1M</t>
  </si>
  <si>
    <t>CONECTOR RJ45 CAT 6 SIN BLINDAJE DE UNA SOLA PIEZA PARA CONDUCTORES SÓLIDOS AWG 23-26 PAQX100</t>
  </si>
  <si>
    <t>PAQ100-LPRJ458P8CC6US11</t>
  </si>
  <si>
    <t>JACK CAT 6A RJ45 PERFORMAX® COMPLETAMENTE BLINDADO CERTIFICADOS UL/ETL/CSA</t>
  </si>
  <si>
    <t>LPXCAQFSDC</t>
  </si>
  <si>
    <t>PANEL ADAPTADOR UNIFIBERT PARA ODF METALICO CON 8 PIEZAS DE ADAPTADORES LC MONOMODO DUPLEX</t>
  </si>
  <si>
    <t>LPUALCD16UPC</t>
  </si>
  <si>
    <t>HERRAMIENTA UNIVERSAL PARA PELAR CABLES CON CHAQUETA CIRCULAR DE 3,2 - 9MM</t>
  </si>
  <si>
    <t>LPTS501A</t>
  </si>
  <si>
    <t>HERRAMIENTA, PELACABLES DE FIBRA OPTICA</t>
  </si>
  <si>
    <t>LPTFSTRP01</t>
  </si>
  <si>
    <t>CONECTOR INDUSTRAL RJ45 CAT6 PARA CONDUCTORES DE CABLE SOLIDO AWG23 O ENTORCHADO AWG26-22</t>
  </si>
  <si>
    <t>LPTCRJ458P8CC6</t>
  </si>
  <si>
    <t>SWITCH POE ADMINISTRABLE 28 PUERTOS + 4 PTOS COMBO RJ45 Y 4 SLOTS SFP TODOS A GBIT FUENTE DE 350W</t>
  </si>
  <si>
    <t>LPSGW28244FP</t>
  </si>
  <si>
    <t>LPOSFPLX01D</t>
  </si>
  <si>
    <t>CABLE F/UTP CAT6A BLINDADO USO INTERIOR 23AWG CHAQ. LSZH COLOR VIOLETA CERTIFICADO DELTA TESTEADO</t>
  </si>
  <si>
    <t>LPCA3J0VLCT</t>
  </si>
  <si>
    <t>CABLE UTP CAT6A SIN BLINDAR USO INTERIOR 23AWG CHAQUETA LSZH COLOR VIOLETA CERTIFICAD DELTA TESTEADO</t>
  </si>
  <si>
    <t>LPCA0J0VLBT</t>
  </si>
  <si>
    <t>LPC6Q70BKCT</t>
  </si>
  <si>
    <t>LPC6MN0BKCT</t>
  </si>
  <si>
    <t>PATCH CORD ULTRADELGADO CAT6A BLINDADO S/FTP PARA CENTRO DE DATOS COLOR GRIS CHAQUETA LSZH 1M</t>
  </si>
  <si>
    <t>LP4CADFCGR1L</t>
  </si>
  <si>
    <t>FACEPLATE SUPERFICIAL BLANCA ORIENTACIÓN HORIZONTAL DE 1 PUERTO NO INCLUYE MÓDULOS</t>
  </si>
  <si>
    <t>LP3317H1WH</t>
  </si>
  <si>
    <t>CONVERTIDORES DE MEDIO 10/100/1000MBPS FIBRA DUAL CONECTOR SC MONOMODO SOPORTA HASTA 20KM</t>
  </si>
  <si>
    <t>LPICF3100201</t>
  </si>
  <si>
    <t>CAJA LIU EN PLASTICO ABS PARA FIBRA ÓPTICA CAPACIDAD DE 4 ADAPT. DUPLEX SC/LC SM/MM (NO INCLUIDOS)</t>
  </si>
  <si>
    <t>LPF205GOY00</t>
  </si>
  <si>
    <t>PIGTAIL FIBRA OPTICA MULTIMODO OM3 SIMPLEX CONECTOR LC CHAQUETA AQUA PVC 0.9MM 1,5M</t>
  </si>
  <si>
    <t>LPF12P1000066P5F</t>
  </si>
  <si>
    <t>LPXCAPUSBL</t>
  </si>
  <si>
    <t>JACK CAT 6A RJ45 X-CLASS CON IDC DE 90° COLOR NEGRO NO BLINDADOS CERTIFICADO UL</t>
  </si>
  <si>
    <t>LPXCAPUSBK</t>
  </si>
  <si>
    <t>LPXC6PUSRD</t>
  </si>
  <si>
    <t>JACK CAT 6 RJ45 PERFORMAX® COLOR AZUL NO BLINDADOS CERTIFICADOS UL/ETL/CSA</t>
  </si>
  <si>
    <t>LPXC6PUSBL</t>
  </si>
  <si>
    <t>CAJA LIU EN PLASTICO ABS PARA FIBRA ÓPTICA CAPACIDAD DE 8 ADAPT. DUPLEX SC/LC/FC (NO INCLUIDOS)</t>
  </si>
  <si>
    <t>LPF2058OY00</t>
  </si>
  <si>
    <t>LPF1508M13</t>
  </si>
  <si>
    <t>LPF13S10S1027L3M</t>
  </si>
  <si>
    <t>PATCH CORD FIBRA ÓPTICA SM G652 DUPLEX LC DUPLEX A SC SIMPLEX CHAQUETA AMARILLA 2.0 MM LSZH 3M</t>
  </si>
  <si>
    <t>LPF13L10S1027L3M</t>
  </si>
  <si>
    <t>PATCH CORD FIBRA ÓPTICA SM G652 LC DUPLEX PULITURA UPC CHAQUETA 2.0MM COLOR AMARILLO LSZH 3M</t>
  </si>
  <si>
    <t>LPF13L10L1027L3M</t>
  </si>
  <si>
    <t>PIGTAIL FIBRA ÓPTICA MONOMODO G652 SIMPLEX CONECTOR SC CHAQUETA BLANCA PVC 0.9MM 1M</t>
  </si>
  <si>
    <t>LPF12S1000006P1M</t>
  </si>
  <si>
    <t>PIGTAIL FIBRA ÓPTICA MONOMODO G652 SIMPLEX CONECTOR LC CHAQUETA BLANCA PVC 0.9MM 1M</t>
  </si>
  <si>
    <t>LPF12P1000006P1M</t>
  </si>
  <si>
    <t>PATCH CORD ULTRADELGADO CAT6A BLINDADO S/FTP PARA CENTRO DE DATOS COLOR AZUL CHAQUETA LSZH 1M</t>
  </si>
  <si>
    <t>LP4CADFCBL1L</t>
  </si>
  <si>
    <t>PATCH CORD ULTRADELGADO CAT6A BLINDADO S/FTP PARA CENTRO DE DATOS COLOR AZUL CHAQUETA LSZH 0,5M</t>
  </si>
  <si>
    <t>LP4CADFCBL05L</t>
  </si>
  <si>
    <t>PATCH CORD CAT6 ULTRADELGADO SIN BLINDAR 26AWG MULTIFILAR PARA CENTRO DE DATOS CHAQUETA CM AZUL 6M</t>
  </si>
  <si>
    <t>LP4C6DUCBL6C</t>
  </si>
  <si>
    <t>PATCH CORD CAT6 ULTRADELGADO SIN BLINDAR 26AWG MULTIFILAR PARA CENTRO DE DATOS CHAQUETA CM AZUL 3M</t>
  </si>
  <si>
    <t>LP4C6DUCBL3C</t>
  </si>
  <si>
    <t>PATCH CORD CAT6 SIN BLINDAR 26AWG MULTIFILAR PARA CENTRO DE DATOS CHAQUETA CM AZUL 1M</t>
  </si>
  <si>
    <t>LP4C6DUCBL1C</t>
  </si>
  <si>
    <t>PATCH CORD CAT6 SIN BLINDAR 26AWG MULTIFILAR PARA CENTRO DE DATOS CHAQUETA CM AZUL 0,5M</t>
  </si>
  <si>
    <t>LP4C6DUCBL05C</t>
  </si>
  <si>
    <t>PATCH CORD CAT6 ULTRADELGADO SIN BLINDAR 26AWG MULTIFILAR PARA CENTRO DE DATOS CHAQUETA CM AZUL 0,3M</t>
  </si>
  <si>
    <t>LP4C6DUCBL03C</t>
  </si>
  <si>
    <t>COSTO</t>
  </si>
  <si>
    <t>Columna8</t>
  </si>
  <si>
    <t>Columna7</t>
  </si>
  <si>
    <t>COSTO +IVA</t>
  </si>
  <si>
    <t>Columna5</t>
  </si>
  <si>
    <t>Columna2</t>
  </si>
  <si>
    <t>PRECIO CLIENTE FINAL (CON IVA)</t>
  </si>
  <si>
    <t>PRECIO TIENDA (CON IVA)</t>
  </si>
  <si>
    <t>PRECIO SUGERIDO INSTALADOR
( CON  IVA)</t>
  </si>
  <si>
    <t>DESCRIPCIÓN</t>
  </si>
  <si>
    <t>REFERENCIA</t>
  </si>
  <si>
    <t>LPIP48FS</t>
  </si>
  <si>
    <t>HERRAJE PARA 48 PUERTOS COMPLETAMENTE BLINDADO NO INCLUYE MODULOS</t>
  </si>
  <si>
    <t>JACK  CAT 6 RJ45 PERFORMAX® COLOR ROJO NO BLINDADOS CERTIFICADOS UL/ETL/CSA</t>
  </si>
  <si>
    <t>JACK CAT 6A RJ45 X-CLASS  CON IDC DE 90° COLOR ROJO NO BLINDADOS CERTIFICADO UL</t>
  </si>
  <si>
    <t>JACK CAT 6A RJ45 X-CLASS  CON IDC DE 90° COLOR AZUL NO BLINDADOS CERTIFICADO UL</t>
  </si>
  <si>
    <t>LP4CAFSBL05</t>
  </si>
  <si>
    <t xml:space="preserve"> ** Existencia Única **
PATCH CORD CAT 6A PERFORMAX BLINDADO ALTA DENSIDAD MULTIFILAR CERTIFICADO UL/ETL/CSA COLOR AZUL 0,5M</t>
  </si>
  <si>
    <t>LP4CAFSBL1</t>
  </si>
  <si>
    <t>PATCH CORD CAT 6A PERFORMAX® BLINDADO ALTA DENSIDAD MULTIFILAR CERTIFICADOS UL/ETL/CSA COLOR AZUL 1M</t>
  </si>
  <si>
    <t>LP4CADFCRD3L</t>
  </si>
  <si>
    <t>PATCH CORD ULTRADELGADO CAT6A BLINDADO S/FTP PARA CENTRO DE DATOS COLOR ROJO CHAQUETA LSZH 3M</t>
  </si>
  <si>
    <t>LP4CAFSGR2</t>
  </si>
  <si>
    <t>PATCH CORD CAT 6A PERFORMAX® BLINDADO ALTA DENSIDAD MULTIFILAR CERTIFICADO UL/ETL/CSA</t>
  </si>
  <si>
    <t>LP4CAFSGR3</t>
  </si>
  <si>
    <t xml:space="preserve"> ** Existencia Única **
PATCH CORD CAT 6A PERFORMAX® BLINDADO ALTA DENSIDAD MULTIFILAR CERTIFICADO UL/ETL/CSA COLOR GRIS 3M</t>
  </si>
  <si>
    <t>LP4CAFSRD2</t>
  </si>
  <si>
    <t>PATCH CORD CAT 6A PERFORMAX BLINDADO ALTA DENSIDAD MULTIFILAR CERTIFICADOS UL/ETL/CSA COLOR ROJO 2M</t>
  </si>
  <si>
    <t>LP4C6USRD05</t>
  </si>
  <si>
    <t>PATCH CORD CAT 6 DE ALTA DENSIDAD SIN BLINDAR MULTIFILAR CHAQUETA ROJA CERTIFICADOS UL/ETL/CSA 0.5M</t>
  </si>
  <si>
    <t>LP4C6USRD2</t>
  </si>
  <si>
    <t xml:space="preserve"> ** Existencia Única **
PATCH CORD CAT 6 DE ALTA DENSIDAD SIN BLINDAR MULTIFILAR CHAQUETA ROJA CERTIFICADOS UL/ETL/CSA 2M</t>
  </si>
  <si>
    <t>LP4C6USRD3</t>
  </si>
  <si>
    <t>PATCH CORD CAT 6 DE ALTA DENSIDAD SIN BLINDAR MULTIFILAR CHAQUETA ROJA CERTIFICADOS UL/ETL/CSA 3M</t>
  </si>
  <si>
    <t>LP4CADFSBL2L</t>
  </si>
  <si>
    <t xml:space="preserve"> ** Existencia Única **
PATCH CORD CAT6A ULTRADELGADO BLINDADO S/FTP 28AWG CHAQUETA AZUL LSZH 2M</t>
  </si>
  <si>
    <t xml:space="preserve"> ** Existencia Única **
CABLE F/UTP CAT6 BLINDADO PARA EXTERIORES ROLLO 305M 24AWG BC DOBLE CHAQUETA CMX+PE NEGRO TESTEADO</t>
  </si>
  <si>
    <t>LPC6MJ0BLBT</t>
  </si>
  <si>
    <t>CABLE UTP CAT6 INTERIOR SIN BLINDAR 305M 24AWG BC CHAQUETA LSZH COLOR AZUL UL CSA FT1 TESTEADO</t>
  </si>
  <si>
    <t>LPC6MJ0GRBT</t>
  </si>
  <si>
    <t>CABLE UTP CAT6 INTERIOR SIN BLINDAR 305M 24AWG BC CHAQUETA LSZH COLOR GRIS UL CSA FT1</t>
  </si>
  <si>
    <t>LPC6MJ0BLFT</t>
  </si>
  <si>
    <t>CABLE UTP CAT6 INTERIOR SIN BLINDAR 1.5KM 24AWG BC CHAQUETA LSZH COLOR AZUL UL CSA FT1 TESTEADO</t>
  </si>
  <si>
    <t>LPC6M10BLFT</t>
  </si>
  <si>
    <t>CABLE UTP CAT6 INTERIOR SIN BLINDAR 1.5KM 24AWG BC CHAQUETA CM COLOR AZUL UL CSA FT1 TESTEADO</t>
  </si>
  <si>
    <t>LPCA0J0VLFT</t>
  </si>
  <si>
    <t>CABLE UTP CAT6A INTERIOR SIN BLINDAR 23AWG CHAQUETA LSZH VIOLETA CERTIFICADO DELTA TESTEADO 1.5KM</t>
  </si>
  <si>
    <t xml:space="preserve"> ** Existencia Única **
CABLE U/UTP CAT6 SIN BLINDAR PARA EXTERIOR ROLLO 305M 24AWG BC CHAQUETA SIMPLE PE NEGRO TESTEADO</t>
  </si>
  <si>
    <t>LPC6M70BKCT</t>
  </si>
  <si>
    <t>CABLE U/UTP CAT6 SIN BLINDAR PARA EXTERIOR ROLLO 305M 24AWG BC DOBLE CHAQUETA CMX+PE NEGRO TESTEADO</t>
  </si>
  <si>
    <t>LPIP24FS</t>
  </si>
  <si>
    <t>HERRAJE PARA 24 PUERTOS COMPLETAMENTE BLINDADO NO INCLUYE MODULOS</t>
  </si>
  <si>
    <t>LPP8C62490USB</t>
  </si>
  <si>
    <t>PATCH PANEL CAT 6 DE 24 PUERTOS 568A/568B CON BARRA POSTERIOR INCLUIDA SIN BLINDAJE</t>
  </si>
  <si>
    <t>LPP8C64890USB</t>
  </si>
  <si>
    <t>PATCH PANEL CAT 6 DE 48 PUERTOS 90/180° CON SOPORTE POSTERIOR INCLUIDO SIN BLINDAJE</t>
  </si>
  <si>
    <t>LPB101BK</t>
  </si>
  <si>
    <t>BOTAS DE PROTECCION PARA RJ45 COLOR NEGRO</t>
  </si>
  <si>
    <t>LPB101RD</t>
  </si>
  <si>
    <t>BOTAS DE PROTECCION PARA RJ45 COLOR ROJO</t>
  </si>
  <si>
    <t>LPOC49120064ZC100</t>
  </si>
  <si>
    <t>CABLE FO AUTOSOPORTADO 6 HILOS, FIBRA MONOMODO G652D MINI ADSS DIELECTRICO SPAN 100M 2 FRP</t>
  </si>
  <si>
    <t>LPOC49120124ZC100</t>
  </si>
  <si>
    <t>CABLE FO CON 12 FIBRAS MONOMODO G.652.D SUELTAS EN TUBOS RELLENOS DE GEL SPAN HASTA 100M CHAQUETA PE 2 FRP MINI ADSS</t>
  </si>
  <si>
    <t>LPOC54010064ZC</t>
  </si>
  <si>
    <t>CABLE FO CON 6 HILOS MONOMODO G.652D EN TUBO RELLENO DE GEL CHAQUETA PE CINTA DE ACERO CORRUGADO</t>
  </si>
  <si>
    <t>LPOC62010064ZC120</t>
  </si>
  <si>
    <t>CABLE FO CON 6 FIBRAS MONOMODO G.652.D SUELTAS EN TUBOS RELLENOS DE GEL SPAN HASTA 120M CHAQUETA PE</t>
  </si>
  <si>
    <t>LPOC49120244ZC120</t>
  </si>
  <si>
    <t>CABLE FO DIELECTRICO 24 HILOS MONOMODO G652D MINI ADSS SPAN 120 CHAQUETA PE 2FRP</t>
  </si>
  <si>
    <t>LPOC62010124ZC120</t>
  </si>
  <si>
    <t>CABLE FO CON 12 FIBRAS MONOMODO G.652.D SUELTAS EN TUBOS RELLENOS DE GEL SPAN HASTA 120M CHAQUETA PE</t>
  </si>
  <si>
    <t>LPOC62010124ZC200</t>
  </si>
  <si>
    <t>CABLE FO CON 12 HILOS MONOMODO G.652.D SUELTAS EN TUBOS RELLENOS DE GEL SPAN HASTA 200M CHAQUETA PE</t>
  </si>
  <si>
    <t>LPOC54010124ZC</t>
  </si>
  <si>
    <t>CABLE FO CON 12 HILOS MONOMODO G.652D EN TUBO RELLENO DE GEL CHAQUETA PE CINTA DE ACERO CORRUGADO</t>
  </si>
  <si>
    <t>LPOC54010244ZC</t>
  </si>
  <si>
    <t>CABLE FO CON 24 HILOS MONOMODO G.652D EN TUBO RELLENO DE GEL CHAQUETA PE CINTA DE ACERO CORRUGADO</t>
  </si>
  <si>
    <t>LPOC25130121ZC</t>
  </si>
  <si>
    <t>CABLE FO MONOMODO 12 NUCLEOS PARA INTERIOR/ EXTERIOR CHAQUETA LSZH</t>
  </si>
  <si>
    <t>LPOC51120244ZC</t>
  </si>
  <si>
    <t>CABLE FO CON 24 FIBRAS MONOMODO G625 SUELTAS EN TUBOS RELLENOS DE GEL SPAN HASTA 75M CAHQUETA PE</t>
  </si>
  <si>
    <t>LPOC51120124ZC</t>
  </si>
  <si>
    <t>CABLE FO CON 12 FIBRAS MONOMODO G625 SUELTAS EN TUBOS RELLENOS DE GEL SPAN HASTA 75M CAHQUETA PE</t>
  </si>
  <si>
    <t>CABLE FO FFTH DE CAIDA 2 HILOS MONOMODO G657 AUTO SOPORTADO POR HILO DE ACERO CHAQUETA PE X 1KM</t>
  </si>
  <si>
    <t>LPOC10120124ZC200</t>
  </si>
  <si>
    <t>CABLE FO CON 12 FIBRAS MONOMODO G.625 SUELTAS EN TUBOS RELLENOS DE GEL SPAN HASTA 200M CHAQUETA PE</t>
  </si>
  <si>
    <t>LPOC10120244ZC200</t>
  </si>
  <si>
    <t>CABLE FO CON 24 FIBRAS MONOMODO G.625 SUELTAS EN TUBOS RELLENOS DE GEL SPAN HASTA 200M CHAQUETA PE</t>
  </si>
  <si>
    <t>LPOC25130061TP</t>
  </si>
  <si>
    <t>CABLE FO MULTIMODO OM3 6 NUCLEOS PARA INTERIOR/ EXTERIOR CHAQUETA LSZH</t>
  </si>
  <si>
    <t>LPOC54010124TP</t>
  </si>
  <si>
    <t>CABLE FO CON 12 FIBRAS MULTIMODO OM3 EN TUBO RELLENO DE GEL CHAQUETA PE CINTA DE ACERO CORRUGADO</t>
  </si>
  <si>
    <t>LPOC52120064TG</t>
  </si>
  <si>
    <t>CABLE FO CON 6 FIBRAS MULTIMODO OM4 EN TUBO RELLENO DE GEL CHAQUETA PE CON CINTA DE ACERO CORRUGADO</t>
  </si>
  <si>
    <t>LPOC52120124TG</t>
  </si>
  <si>
    <t>CABLE FO CON 12 FIBRAS MULTIMODO OM4 EN TUBO RELLENO DE GEL CHAQUETA PE CON CINTA DE ACERO CORRUGADO</t>
  </si>
  <si>
    <t>ADAPTADORES DE FIBRA OPTICA PARA CAJA LIU DUPLEX LC MULTIMODO OM3 COLOR AQUA</t>
  </si>
  <si>
    <t>LPFLLCS13112</t>
  </si>
  <si>
    <t>CONECTOR LC FUSIONLESS PARA FIBRA MONOMODO PARA CABLES 0.9 Y 0.25MM COLOR AZUL</t>
  </si>
  <si>
    <t>ODF METALICO PARA F.O. MONTAJE EN PARED  DIN HASTA  24 HILOS, NO INCL. PANEL ADAPTADORES</t>
  </si>
  <si>
    <t>LPUALCD12UPC</t>
  </si>
  <si>
    <t>PANEL ADAPTADOR UNIFIBERT PARA ODF METALICO CON 6 ADAPTADORES LC MONOMODO DUPLEX (12HILOS)</t>
  </si>
  <si>
    <t>LPUALCQ06UPC</t>
  </si>
  <si>
    <t>PANEL ADAPTADOR UNIFIBERT PARA ODF METALICO 6 ADAPTADORES CUADRUPLEX LC MONOMODO AZUL (24 HILOS)</t>
  </si>
  <si>
    <t>LPOC10120064ZC200</t>
  </si>
  <si>
    <t>CABLE FO CON 6 FIBRAS MONOMODO G.625 SUELTAS EN TUBOS RELLENOS DE GEL SPAN HASTA 200M CHAQUETA PE</t>
  </si>
  <si>
    <t>PANEL ADAPTADOR TIPO TAPA CIEGA  UNIFIBERT PARA ODF METALICOS SIN MÓDULOS SIN ORIFICIOS</t>
  </si>
  <si>
    <t>LPF13P30P3007P3M</t>
  </si>
  <si>
    <t xml:space="preserve"> ** Existencia Única **
PATCH CORD FIBRA ÓPTICA MM OM1 LC SIMPLEX A LC SIMPLEX CHAQUETA 3.0mm COLOR NARANJA PVC 3M</t>
  </si>
  <si>
    <t>LPF13L10L1078L3M</t>
  </si>
  <si>
    <t xml:space="preserve"> ** Existencia Única **
PATCH CORD FIBRA ÓPTICA MM OM4 LC DUPLEX PULITURA UPC CHAQUETA 3.0MM COLOR AQUA 10 GBIT LSZH 3M</t>
  </si>
  <si>
    <t>LPF13L10S1070L3M</t>
  </si>
  <si>
    <t>PATCH CORD FIBRA ÓPTICA MM OM3 LC DUPLEX A SC DUPLEX UPC CHAQUETA 2.0MM COLOR AQUA 10 GBIT LSZH 3M</t>
  </si>
  <si>
    <t>LPF13L30S3007P3M</t>
  </si>
  <si>
    <t xml:space="preserve"> ** Existencia Única **
PATCH CORD FIBRA ÓPTICA MULTIMODO LC SC DU</t>
  </si>
  <si>
    <t>LPF13L10S1067L3M</t>
  </si>
  <si>
    <t xml:space="preserve"> ** Existencia Única **
PATCH CORD FIBRA OPTICA MM OM3 UPC LC DUPLEX A SC SIMPLEX CHAQUETA 3.0mm COLOR AQUA LSZH 10 GBIT 3M</t>
  </si>
  <si>
    <t xml:space="preserve"> ** Existencia Única **
PATCH CORD FIBRA OPTICA SM G652 UPC SC SIMPLEX CHAQUETA 2.0MM COLOR AMARILLO LSZH 3M</t>
  </si>
  <si>
    <t>LPF12P1000077L5F</t>
  </si>
  <si>
    <t>PIGTAIL FIBRA ÓPTICA MULTIMODO OM4 SIMPLEX CONECTOR LC CHAQUETA AQUA LSZH 0.9MM 1,5M</t>
  </si>
  <si>
    <t>LPF12P1000077P5F</t>
  </si>
  <si>
    <t>PIGTAIL FIBRA ÓPTICA MULTIMODO OM4 SIMPLEX CONECTOR LC CHAQUETA AQUA PVC 0.9MM 1,5M</t>
  </si>
  <si>
    <t>HOTLC062001</t>
  </si>
  <si>
    <t>PIG TAIL MM 62.5/125 LC 1 MT</t>
  </si>
  <si>
    <t>MS201</t>
  </si>
  <si>
    <t>EMPALME MECANICO TRANSPARENTE DE UNION PLANO PARA FIBRA OPTICA</t>
  </si>
  <si>
    <t>LPF2103136121BK</t>
  </si>
  <si>
    <t>KIT DE FAN-OUT PARA 12 FIBRAS SUELTAS EN TUBOS CIRCULARES DE 3MM BRAZOS DE 36" Y 0,9mm CHAQUETA LSZH</t>
  </si>
  <si>
    <t>LPF3313ABK</t>
  </si>
  <si>
    <t>CIERRE DE EMPALME CILINDRICO MUFLAS PARA FO 1 PUERTO OVAL Y 3 PUERTOS CIRCULARES DIAM. 120 X 300 mm DE ALTO</t>
  </si>
  <si>
    <t>CIERRE DE EMPALME CILINDRICO MUFLAS PARA FO 1 PUERTO OVAL Y 3 PUERTOS CIRCULARES DIAM. 130 X 420 MM (ALTO) (LPF3313ABK)</t>
  </si>
  <si>
    <t>LPPAR5829</t>
  </si>
  <si>
    <t>ANTENA PARABOLICA 5,8GHZ 29DB DIAMETRO 60CM CONECTOR N-HEMBRA</t>
  </si>
  <si>
    <t>LPPARMIMO5830</t>
  </si>
  <si>
    <t>DISCO PARABOLICO MIMO 4940 - 5850 MHZ 30DB DIAMETRO 60CM CONECTOR N-HEMBRA</t>
  </si>
  <si>
    <t>SWITCH 24 PUERTOS 10/100/1000MBPS ESTAKIABLE GIGASPEED</t>
  </si>
  <si>
    <t>LPSG18162FP</t>
  </si>
  <si>
    <t>SWITCH 18 PUERTOS 16X10/100/1000MBPS POE PORT PLUS / 2 SFP FIBER PORT</t>
  </si>
  <si>
    <t>LPSW2400S</t>
  </si>
  <si>
    <t xml:space="preserve"> ** Existencia Única **
SWITCH FAST ETHERNET 10/100 MBPS DE 24 PUERTOS RJ45 DE 1U MONTABLE EN RACK</t>
  </si>
  <si>
    <t>LPSG12822FP</t>
  </si>
  <si>
    <t>SWITCH 8 PUERTOS POE 8X10/100/1000M POE 2X10/100/1000M UPLINK PORT Y 2PT SFP, POTENCIA 120W</t>
  </si>
  <si>
    <t>LPSGW1082FP</t>
  </si>
  <si>
    <t>SWITCH POE ADMINISTRABLE CON 8 PUERTOS GIGABIT + 2 PUERTOS SFP DE FIBRA GIGABIT FUENTE DE 150W</t>
  </si>
  <si>
    <t>TRANSCEPTOR SFP GIGABIT DUPLEX LC A ETHERNET MULTIMODO 1310NM TRANSMISION HASTA 550M CON DDM</t>
  </si>
  <si>
    <t>LPOSFPLR01D</t>
  </si>
  <si>
    <t>TRANSCEPTOR SFP 10 GIGABITS LC DUPLEX A ETHERNET MONOMODO SM TRANSMISION HASTA 10KM</t>
  </si>
  <si>
    <t>LPTKFCUT01</t>
  </si>
  <si>
    <t>CORTADORA PARA HILOS KEVLAR PROTECTORES DE FIBRA OPTICA</t>
  </si>
  <si>
    <t>LP3317H2WH</t>
  </si>
  <si>
    <t>FACEPLATE SUPERFICIAL BLANCA ORIENTACIÓN HORIZONTAL DE 2 PUERTOS NO INCLUYE MÓDULOS</t>
  </si>
  <si>
    <t>LP3317V2WH1</t>
  </si>
  <si>
    <t xml:space="preserve"> ** Existencia Única **
FACEPLATE BLANCA VERTICAL DE 2 PUERTOS CON INCLINACIÓN NO INCL MÓDULOS. ESPECIAL PARA CAT6A BLINDADO</t>
  </si>
  <si>
    <t>LPTFCVL7PLUS</t>
  </si>
  <si>
    <t>HERRAMIENTA DE CORTE MANUAL DE FIBRA OPTICA Y ALTA PRECISION FIBRA PLANA 250UM 900UM 3MM</t>
  </si>
  <si>
    <t>LPTFVFL10</t>
  </si>
  <si>
    <t>HERRAMIENTA PARA LOCALIZACION VISUAL DE FALLOS/ VERIFICADOR DE ROTURAS DE VIDRIO</t>
  </si>
  <si>
    <t>LPTMAXSPEED</t>
  </si>
  <si>
    <t>PONCHADORA PARA LA TERMINACIÓN DE CONECTORES KEYSTONE JACKS SERIE XCLASS</t>
  </si>
  <si>
    <t>LPT2008R</t>
  </si>
  <si>
    <t>PONCHADORA DE GRADO INDUSTRIAL PARA CONECTORES MACHO 8P8C 6P6C 4P4C</t>
  </si>
  <si>
    <t>LPIBLNK</t>
  </si>
  <si>
    <t>LPR71045</t>
  </si>
  <si>
    <t>RACK ABIERTO DE PISO ANCHO 19" ALTURA 45RU 2 PARALES EN "U" DE 15 X 3,81CM LAMINADO EN FRIO CAL 14</t>
  </si>
  <si>
    <t>LPICFPS90240</t>
  </si>
  <si>
    <t>FUENTE DE ALIMENTACION DE REPUESTO PARA CHASIS DE CONVERTIDORES DE MEDIO</t>
  </si>
  <si>
    <t>LPICFPS48VDC</t>
  </si>
  <si>
    <t xml:space="preserve"> ** Existencia Única **
FUENTE DE ALIMENTACION DE REPUESTO PARA CHASIS DE CONVERTIDORES DE MEDIO</t>
  </si>
  <si>
    <t>LPF13L10C1070L3M</t>
  </si>
  <si>
    <t>PATCH CORD FIBRA OPTICA OM3 LC A SD 2MM AQUA 10</t>
  </si>
  <si>
    <t>ADAPTADORES FIBRA ÓPTICA PARA CAJA LIU PUERTOS DUPLEX SC-SC MULTIMODO, BEIGE, x UNDIDAD</t>
  </si>
  <si>
    <t>LCAOS22LA</t>
  </si>
  <si>
    <t>LCOS2P2C12</t>
  </si>
  <si>
    <t>PIGTAL LC/APC G.652D SM 900UM LSZH WHITE 2MT 0.2DB IL</t>
  </si>
  <si>
    <t>PIGTAILS 12 COLORES LC/UPC 0S2 900UM LSZH 2MT 0.2DB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</si>
</sst>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AED]\ #,##0.00;\([$AED]\ #,##0.0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/>
  </cellStyleXfs>
  <cellXfs count="17">
    <xf numFmtId="0" fontId="0" fillId="0" borderId="0" xfId="0"/>
    <xf numFmtId="0" fontId="5" fillId="0" borderId="0" xfId="0" applyFont="1"/>
    <xf numFmtId="164" fontId="5" fillId="0" borderId="0" xfId="1" applyNumberFormat="1" applyFont="1"/>
    <xf numFmtId="164" fontId="5" fillId="0" borderId="0" xfId="1" applyNumberFormat="1" applyFont="1" applyFill="1"/>
    <xf numFmtId="164" fontId="5" fillId="0" borderId="0" xfId="1" applyNumberFormat="1" applyFont="1" applyAlignment="1">
      <alignment wrapText="1"/>
    </xf>
    <xf numFmtId="164" fontId="5" fillId="0" borderId="1" xfId="1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164" fontId="2" fillId="0" borderId="0" xfId="1" applyNumberFormat="1" applyFont="1" applyFill="1"/>
    <xf numFmtId="164" fontId="0" fillId="0" borderId="0" xfId="1" applyNumberFormat="1" applyFont="1" applyAlignment="1">
      <alignment wrapText="1"/>
    </xf>
    <xf numFmtId="164" fontId="0" fillId="0" borderId="1" xfId="1" applyNumberFormat="1" applyFont="1" applyBorder="1" applyAlignment="1">
      <alignment wrapText="1"/>
    </xf>
    <xf numFmtId="0" fontId="4" fillId="0" borderId="0" xfId="0" applyFont="1"/>
    <xf numFmtId="164" fontId="4" fillId="0" borderId="0" xfId="1" applyNumberFormat="1" applyFont="1"/>
    <xf numFmtId="164" fontId="3" fillId="2" borderId="2" xfId="1" applyNumberFormat="1" applyFont="1" applyFill="1" applyBorder="1" applyAlignment="1">
      <alignment horizontal="center" vertical="center" wrapText="1"/>
    </xf>
    <xf numFmtId="165" fontId="3" fillId="2" borderId="2" xfId="2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3" borderId="0" xfId="0" applyFont="1" applyFill="1"/>
  </cellXfs>
  <cellStyles count="3">
    <cellStyle name="Moneda" xfId="1" builtinId="4"/>
    <cellStyle name="Normal" xfId="0" builtinId="0"/>
    <cellStyle name="Normal 2 58" xfId="2" xr:uid="{1E998C6F-551E-4316-985E-1B1E7D661379}"/>
  </cellStyles>
  <dxfs count="15"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e%20Compras\OneDrive\Documents\Desktop\LISTAS%20DE%20PRECIOS\listados%20grupo%20nuevo%20con%20formulas\LISTA%20PROVISIONAL%20DA&#209;O%20PLATAFORMA\LISTAS%20EMPRESA%20GRUPO\EXCEL\LISTADO%20GRUPO%20PROVISIONAL.xlsx" TargetMode="External"/><Relationship Id="rId1" Type="http://schemas.openxmlformats.org/officeDocument/2006/relationships/externalLinkPath" Target="LISTADO%20GRUPO%20PROVIS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TP HIKVISION"/>
      <sheetName val="INTRUSION"/>
      <sheetName val="ALARMAS COMUNITARIAS"/>
      <sheetName val="CERCOS ELECTRICOS"/>
      <sheetName val="COMMAX"/>
      <sheetName val="CONTROL DE ACCESO ZK"/>
      <sheetName val="PARADOX"/>
      <sheetName val="LYNX"/>
      <sheetName val="PUERTAS AUTOMA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28BC5-DE96-43B2-88AC-350E13613E0B}" name="Tabla125" displayName="Tabla125" ref="A1:K188" totalsRowShown="0" headerRowDxfId="14" dataDxfId="13">
  <autoFilter ref="A1:K188" xr:uid="{00000000-0009-0000-0100-000001000000}"/>
  <sortState xmlns:xlrd2="http://schemas.microsoft.com/office/spreadsheetml/2017/richdata2" ref="A2:K146">
    <sortCondition sortBy="fontColor" ref="A1:A146" dxfId="12"/>
  </sortState>
  <tableColumns count="11">
    <tableColumn id="3" xr3:uid="{00000000-0010-0000-0000-000003000000}" name="REFERENCIA" dataDxfId="2"/>
    <tableColumn id="4" xr3:uid="{00000000-0010-0000-0000-000004000000}" name="DESCRIPCIÓN" dataDxfId="1"/>
    <tableColumn id="1" xr3:uid="{F2CAF0D9-3C45-4033-99B6-E9B292DCC044}" name="PRECIO SUGERIDO INSTALADOR_x000a_( CON  IVA)" dataDxfId="11" dataCellStyle="Moneda">
      <calculatedColumnFormula>+Tabla125[[#This Row],[COSTO +IVA]]/Tabla125[[#This Row],[Columna5]]</calculatedColumnFormula>
    </tableColumn>
    <tableColumn id="10" xr3:uid="{B5856D0F-0D06-4848-AFD9-403800CB0E4C}" name="PRECIO TIENDA (CON IVA)" dataDxfId="10" dataCellStyle="Moneda">
      <calculatedColumnFormula>+Tabla125[[#This Row],[PRECIO SUGERIDO INSTALADOR
( CON  IVA)]]-Tabla125[[#This Row],[Columna2]]</calculatedColumnFormula>
    </tableColumn>
    <tableColumn id="11" xr3:uid="{5E75A9AC-937F-44C2-82B3-A45AE297ABB6}" name="PRECIO CLIENTE FINAL (CON IVA)" dataDxfId="9" dataCellStyle="Moneda">
      <calculatedColumnFormula>+Tabla125[[#This Row],[PRECIO SUGERIDO INSTALADOR
( CON  IVA)]]/0.7</calculatedColumnFormula>
    </tableColumn>
    <tableColumn id="2" xr3:uid="{92AD76F7-0DBE-4CE2-B11C-7591EFAFCD01}" name="Columna2" dataDxfId="8" dataCellStyle="Moneda">
      <calculatedColumnFormula>+Tabla125[[#This Row],[PRECIO SUGERIDO INSTALADOR
( CON  IVA)]]*5%</calculatedColumnFormula>
    </tableColumn>
    <tableColumn id="5" xr3:uid="{00000000-0010-0000-0000-000005000000}" name="Columna5" dataDxfId="7"/>
    <tableColumn id="6" xr3:uid="{00000000-0010-0000-0000-000006000000}" name="COSTO +IVA" dataDxfId="6" dataCellStyle="Moneda">
      <calculatedColumnFormula>Tabla125[[#This Row],[COSTO]]*1.19</calculatedColumnFormula>
    </tableColumn>
    <tableColumn id="7" xr3:uid="{00000000-0010-0000-0000-000007000000}" name="Columna7" dataDxfId="5"/>
    <tableColumn id="8" xr3:uid="{00000000-0010-0000-0000-000008000000}" name="Columna8" dataDxfId="4"/>
    <tableColumn id="9" xr3:uid="{00000000-0010-0000-0000-000009000000}" name="COSTO" dataDxfId="3" dataCellStyle="Mon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vscolombia.com/producto/LP4CADFCBL6L" TargetMode="External"/><Relationship Id="rId117" Type="http://schemas.openxmlformats.org/officeDocument/2006/relationships/hyperlink" Target="https://www.gvscolombia.com/producto/LPF13L10S1070L3M" TargetMode="External"/><Relationship Id="rId21" Type="http://schemas.openxmlformats.org/officeDocument/2006/relationships/hyperlink" Target="https://www.gvscolombia.com/producto/LP4CADFCRD3L" TargetMode="External"/><Relationship Id="rId42" Type="http://schemas.openxmlformats.org/officeDocument/2006/relationships/hyperlink" Target="https://www.gvscolombia.com/producto/LP4C6DUCBL05C" TargetMode="External"/><Relationship Id="rId47" Type="http://schemas.openxmlformats.org/officeDocument/2006/relationships/hyperlink" Target="https://www.gvscolombia.com/producto/LPC6MJ0BLFT" TargetMode="External"/><Relationship Id="rId63" Type="http://schemas.openxmlformats.org/officeDocument/2006/relationships/hyperlink" Target="https://www.gvscolombia.com/producto/LPOC49120124ZC100" TargetMode="External"/><Relationship Id="rId68" Type="http://schemas.openxmlformats.org/officeDocument/2006/relationships/hyperlink" Target="https://www.gvscolombia.com/producto/LPOC62010124ZC200" TargetMode="External"/><Relationship Id="rId84" Type="http://schemas.openxmlformats.org/officeDocument/2006/relationships/hyperlink" Target="https://www.gvscolombia.com/producto/LPF1515M26" TargetMode="External"/><Relationship Id="rId89" Type="http://schemas.openxmlformats.org/officeDocument/2006/relationships/hyperlink" Target="https://www.gvscolombia.com/producto/LPF31A11081L" TargetMode="External"/><Relationship Id="rId112" Type="http://schemas.openxmlformats.org/officeDocument/2006/relationships/hyperlink" Target="https://www.gvscolombia.com/producto/LPF13P30P3007P3M" TargetMode="External"/><Relationship Id="rId133" Type="http://schemas.openxmlformats.org/officeDocument/2006/relationships/hyperlink" Target="https://www.gvscolombia.com/producto/MS201" TargetMode="External"/><Relationship Id="rId138" Type="http://schemas.openxmlformats.org/officeDocument/2006/relationships/hyperlink" Target="https://www.gvscolombia.com/producto/LP81146" TargetMode="External"/><Relationship Id="rId154" Type="http://schemas.openxmlformats.org/officeDocument/2006/relationships/hyperlink" Target="https://www.gvscolombia.com/producto/LPSGW28244FP" TargetMode="External"/><Relationship Id="rId159" Type="http://schemas.openxmlformats.org/officeDocument/2006/relationships/hyperlink" Target="https://www.gvscolombia.com/producto/LPICF3100D201" TargetMode="External"/><Relationship Id="rId175" Type="http://schemas.openxmlformats.org/officeDocument/2006/relationships/hyperlink" Target="https://www.gvscolombia.com/producto/LPIBLNKBK" TargetMode="External"/><Relationship Id="rId170" Type="http://schemas.openxmlformats.org/officeDocument/2006/relationships/hyperlink" Target="https://www.gvscolombia.com/producto/LPTFVFL10" TargetMode="External"/><Relationship Id="rId16" Type="http://schemas.openxmlformats.org/officeDocument/2006/relationships/hyperlink" Target="https://www.gvscolombia.com/producto/LP4CADFCRD1L" TargetMode="External"/><Relationship Id="rId107" Type="http://schemas.openxmlformats.org/officeDocument/2006/relationships/hyperlink" Target="https://www.gvscolombia.com/producto/LPUALCD12MM2" TargetMode="External"/><Relationship Id="rId11" Type="http://schemas.openxmlformats.org/officeDocument/2006/relationships/hyperlink" Target="https://www.gvscolombia.com/producto/LP4CADFCRD05L" TargetMode="External"/><Relationship Id="rId32" Type="http://schemas.openxmlformats.org/officeDocument/2006/relationships/hyperlink" Target="https://www.gvscolombia.com/producto/LP4C6DUCRD2C" TargetMode="External"/><Relationship Id="rId37" Type="http://schemas.openxmlformats.org/officeDocument/2006/relationships/hyperlink" Target="https://www.gvscolombia.com/producto/LP4C6DUCBL6C" TargetMode="External"/><Relationship Id="rId53" Type="http://schemas.openxmlformats.org/officeDocument/2006/relationships/hyperlink" Target="https://www.gvscolombia.com/producto/LPC6M70BKCT" TargetMode="External"/><Relationship Id="rId58" Type="http://schemas.openxmlformats.org/officeDocument/2006/relationships/hyperlink" Target="https://www.gvscolombia.com/producto/LPP8C62490USB" TargetMode="External"/><Relationship Id="rId74" Type="http://schemas.openxmlformats.org/officeDocument/2006/relationships/hyperlink" Target="https://www.gvscolombia.com/producto/LPOC33130027ZF10" TargetMode="External"/><Relationship Id="rId79" Type="http://schemas.openxmlformats.org/officeDocument/2006/relationships/hyperlink" Target="https://www.gvscolombia.com/producto/LPOC10120244ZC200" TargetMode="External"/><Relationship Id="rId102" Type="http://schemas.openxmlformats.org/officeDocument/2006/relationships/hyperlink" Target="https://www.gvscolombia.com/producto/LPUASCS08APC" TargetMode="External"/><Relationship Id="rId123" Type="http://schemas.openxmlformats.org/officeDocument/2006/relationships/hyperlink" Target="https://www.gvscolombia.com/producto/LPF12S1000006P1M" TargetMode="External"/><Relationship Id="rId128" Type="http://schemas.openxmlformats.org/officeDocument/2006/relationships/hyperlink" Target="https://www.gvscolombia.com/producto/LPF12P1000006P1M" TargetMode="External"/><Relationship Id="rId144" Type="http://schemas.openxmlformats.org/officeDocument/2006/relationships/hyperlink" Target="https://www.gvscolombia.com/producto/LP5AMAX" TargetMode="External"/><Relationship Id="rId149" Type="http://schemas.openxmlformats.org/officeDocument/2006/relationships/hyperlink" Target="https://www.gvscolombia.com/producto/LPSG26242FP" TargetMode="External"/><Relationship Id="rId5" Type="http://schemas.openxmlformats.org/officeDocument/2006/relationships/hyperlink" Target="https://www.gvscolombia.com/producto/LPXC6PUSBK" TargetMode="External"/><Relationship Id="rId90" Type="http://schemas.openxmlformats.org/officeDocument/2006/relationships/hyperlink" Target="https://www.gvscolombia.com/producto/LPF31A11161L" TargetMode="External"/><Relationship Id="rId95" Type="http://schemas.openxmlformats.org/officeDocument/2006/relationships/hyperlink" Target="https://www.gvscolombia.com/producto/LPFLLCM33512" TargetMode="External"/><Relationship Id="rId160" Type="http://schemas.openxmlformats.org/officeDocument/2006/relationships/hyperlink" Target="https://www.gvscolombia.com/producto/LPOSFPLR01D" TargetMode="External"/><Relationship Id="rId165" Type="http://schemas.openxmlformats.org/officeDocument/2006/relationships/hyperlink" Target="https://www.gvscolombia.com/producto/LP3317V2WH1" TargetMode="External"/><Relationship Id="rId181" Type="http://schemas.openxmlformats.org/officeDocument/2006/relationships/hyperlink" Target="https://www.gvscolombia.com/producto/LPR707HWB50" TargetMode="External"/><Relationship Id="rId186" Type="http://schemas.openxmlformats.org/officeDocument/2006/relationships/table" Target="../tables/table1.xml"/><Relationship Id="rId22" Type="http://schemas.openxmlformats.org/officeDocument/2006/relationships/hyperlink" Target="https://www.gvscolombia.com/producto/LP4CAFSGR2" TargetMode="External"/><Relationship Id="rId27" Type="http://schemas.openxmlformats.org/officeDocument/2006/relationships/hyperlink" Target="https://www.gvscolombia.com/producto/LP4C6USRD05" TargetMode="External"/><Relationship Id="rId43" Type="http://schemas.openxmlformats.org/officeDocument/2006/relationships/hyperlink" Target="https://www.gvscolombia.com/producto/LPC6MJ0BLBT" TargetMode="External"/><Relationship Id="rId48" Type="http://schemas.openxmlformats.org/officeDocument/2006/relationships/hyperlink" Target="https://www.gvscolombia.com/producto/LPC6M10BLFT" TargetMode="External"/><Relationship Id="rId64" Type="http://schemas.openxmlformats.org/officeDocument/2006/relationships/hyperlink" Target="https://www.gvscolombia.com/producto/LPOC54010064ZC" TargetMode="External"/><Relationship Id="rId69" Type="http://schemas.openxmlformats.org/officeDocument/2006/relationships/hyperlink" Target="https://www.gvscolombia.com/producto/LPOC54010124ZC" TargetMode="External"/><Relationship Id="rId113" Type="http://schemas.openxmlformats.org/officeDocument/2006/relationships/hyperlink" Target="https://www.gvscolombia.com/producto/LPF13L10L1070L3M" TargetMode="External"/><Relationship Id="rId118" Type="http://schemas.openxmlformats.org/officeDocument/2006/relationships/hyperlink" Target="https://www.gvscolombia.com/producto/LPF13L30S3007P3M" TargetMode="External"/><Relationship Id="rId134" Type="http://schemas.openxmlformats.org/officeDocument/2006/relationships/hyperlink" Target="https://www.gvscolombia.com/producto/LPF2103136121BK" TargetMode="External"/><Relationship Id="rId139" Type="http://schemas.openxmlformats.org/officeDocument/2006/relationships/hyperlink" Target="https://www.gvscolombia.com/producto/LPYAGI5815" TargetMode="External"/><Relationship Id="rId80" Type="http://schemas.openxmlformats.org/officeDocument/2006/relationships/hyperlink" Target="https://www.gvscolombia.com/producto/LPOC25130061TP" TargetMode="External"/><Relationship Id="rId85" Type="http://schemas.openxmlformats.org/officeDocument/2006/relationships/hyperlink" Target="https://www.gvscolombia.com/producto/LPF1507S11" TargetMode="External"/><Relationship Id="rId150" Type="http://schemas.openxmlformats.org/officeDocument/2006/relationships/hyperlink" Target="https://www.gvscolombia.com/producto/LPSW2400S" TargetMode="External"/><Relationship Id="rId155" Type="http://schemas.openxmlformats.org/officeDocument/2006/relationships/hyperlink" Target="https://www.gvscolombia.com/producto/LPICF3100201" TargetMode="External"/><Relationship Id="rId171" Type="http://schemas.openxmlformats.org/officeDocument/2006/relationships/hyperlink" Target="https://www.gvscolombia.com/producto/LPTMAXSPEED" TargetMode="External"/><Relationship Id="rId176" Type="http://schemas.openxmlformats.org/officeDocument/2006/relationships/hyperlink" Target="https://www.gvscolombia.com/producto/LPRKICF00" TargetMode="External"/><Relationship Id="rId12" Type="http://schemas.openxmlformats.org/officeDocument/2006/relationships/hyperlink" Target="https://www.gvscolombia.com/producto/LP4CADFCBL05L" TargetMode="External"/><Relationship Id="rId17" Type="http://schemas.openxmlformats.org/officeDocument/2006/relationships/hyperlink" Target="https://www.gvscolombia.com/producto/LP4CADFCGR1L" TargetMode="External"/><Relationship Id="rId33" Type="http://schemas.openxmlformats.org/officeDocument/2006/relationships/hyperlink" Target="https://www.gvscolombia.com/producto/LP4C6DUCBL2C" TargetMode="External"/><Relationship Id="rId38" Type="http://schemas.openxmlformats.org/officeDocument/2006/relationships/hyperlink" Target="https://www.gvscolombia.com/producto/LP4CADFSBL2L" TargetMode="External"/><Relationship Id="rId59" Type="http://schemas.openxmlformats.org/officeDocument/2006/relationships/hyperlink" Target="https://www.gvscolombia.com/producto/LPP8C64890USB" TargetMode="External"/><Relationship Id="rId103" Type="http://schemas.openxmlformats.org/officeDocument/2006/relationships/hyperlink" Target="https://www.gvscolombia.com/producto/LPUALCD16UPC" TargetMode="External"/><Relationship Id="rId108" Type="http://schemas.openxmlformats.org/officeDocument/2006/relationships/hyperlink" Target="https://www.gvscolombia.com/producto/LPUASCS08MM2" TargetMode="External"/><Relationship Id="rId124" Type="http://schemas.openxmlformats.org/officeDocument/2006/relationships/hyperlink" Target="https://www.gvscolombia.com/producto/LPF12S2000006P5F" TargetMode="External"/><Relationship Id="rId129" Type="http://schemas.openxmlformats.org/officeDocument/2006/relationships/hyperlink" Target="https://www.gvscolombia.com/producto/LPF12P1000066P5F" TargetMode="External"/><Relationship Id="rId54" Type="http://schemas.openxmlformats.org/officeDocument/2006/relationships/hyperlink" Target="https://www.gvscolombia.com/producto/LPCA0N0BKCT" TargetMode="External"/><Relationship Id="rId70" Type="http://schemas.openxmlformats.org/officeDocument/2006/relationships/hyperlink" Target="https://www.gvscolombia.com/producto/LPOC54010244ZC" TargetMode="External"/><Relationship Id="rId75" Type="http://schemas.openxmlformats.org/officeDocument/2006/relationships/hyperlink" Target="https://www.gvscolombia.com/producto/LPOC33130017ZF10" TargetMode="External"/><Relationship Id="rId91" Type="http://schemas.openxmlformats.org/officeDocument/2006/relationships/hyperlink" Target="https://www.gvscolombia.com/producto/LPF2152IV00" TargetMode="External"/><Relationship Id="rId96" Type="http://schemas.openxmlformats.org/officeDocument/2006/relationships/hyperlink" Target="https://www.gvscolombia.com/producto/LPFLLCM3151" TargetMode="External"/><Relationship Id="rId140" Type="http://schemas.openxmlformats.org/officeDocument/2006/relationships/hyperlink" Target="https://www.gvscolombia.com/producto/LPSEC5815120" TargetMode="External"/><Relationship Id="rId145" Type="http://schemas.openxmlformats.org/officeDocument/2006/relationships/hyperlink" Target="https://www.gvscolombia.com/producto/LPATRX496027A31" TargetMode="External"/><Relationship Id="rId161" Type="http://schemas.openxmlformats.org/officeDocument/2006/relationships/hyperlink" Target="https://www.gvscolombia.com/producto/LPTKFCUT01" TargetMode="External"/><Relationship Id="rId166" Type="http://schemas.openxmlformats.org/officeDocument/2006/relationships/hyperlink" Target="https://www.gvscolombia.com/producto/LP3317V6WH" TargetMode="External"/><Relationship Id="rId182" Type="http://schemas.openxmlformats.org/officeDocument/2006/relationships/hyperlink" Target="https://www.gvscolombia.com/producto/LPR71045" TargetMode="External"/><Relationship Id="rId1" Type="http://schemas.openxmlformats.org/officeDocument/2006/relationships/hyperlink" Target="https://www.gvscolombia.com/producto/LPTCRJ458P8CC6" TargetMode="External"/><Relationship Id="rId6" Type="http://schemas.openxmlformats.org/officeDocument/2006/relationships/hyperlink" Target="https://www.gvscolombia.com/producto/LPXC6PUSBL" TargetMode="External"/><Relationship Id="rId23" Type="http://schemas.openxmlformats.org/officeDocument/2006/relationships/hyperlink" Target="https://www.gvscolombia.com/producto/LP4CADFCBL3L" TargetMode="External"/><Relationship Id="rId28" Type="http://schemas.openxmlformats.org/officeDocument/2006/relationships/hyperlink" Target="https://www.gvscolombia.com/producto/LP4C6DUCRD05C" TargetMode="External"/><Relationship Id="rId49" Type="http://schemas.openxmlformats.org/officeDocument/2006/relationships/hyperlink" Target="https://www.gvscolombia.com/producto/LPCA0J0VLFT" TargetMode="External"/><Relationship Id="rId114" Type="http://schemas.openxmlformats.org/officeDocument/2006/relationships/hyperlink" Target="https://www.gvscolombia.com/producto/LPF13L10L1081L3M" TargetMode="External"/><Relationship Id="rId119" Type="http://schemas.openxmlformats.org/officeDocument/2006/relationships/hyperlink" Target="https://www.gvscolombia.com/producto/LPF13L10S1067L3M" TargetMode="External"/><Relationship Id="rId44" Type="http://schemas.openxmlformats.org/officeDocument/2006/relationships/hyperlink" Target="https://www.gvscolombia.com/producto/LPC6MJ0GRBT" TargetMode="External"/><Relationship Id="rId60" Type="http://schemas.openxmlformats.org/officeDocument/2006/relationships/hyperlink" Target="https://www.gvscolombia.com/producto/LPB101BK" TargetMode="External"/><Relationship Id="rId65" Type="http://schemas.openxmlformats.org/officeDocument/2006/relationships/hyperlink" Target="https://www.gvscolombia.com/producto/LPOC62010064ZC120" TargetMode="External"/><Relationship Id="rId81" Type="http://schemas.openxmlformats.org/officeDocument/2006/relationships/hyperlink" Target="https://www.gvscolombia.com/producto/LPOC54010124TP" TargetMode="External"/><Relationship Id="rId86" Type="http://schemas.openxmlformats.org/officeDocument/2006/relationships/hyperlink" Target="https://www.gvscolombia.com/producto/LPFLSCS17212" TargetMode="External"/><Relationship Id="rId130" Type="http://schemas.openxmlformats.org/officeDocument/2006/relationships/hyperlink" Target="https://www.gvscolombia.com/producto/LPF12P1000077L5F" TargetMode="External"/><Relationship Id="rId135" Type="http://schemas.openxmlformats.org/officeDocument/2006/relationships/hyperlink" Target="https://www.gvscolombia.com/producto/LPF3313ABK" TargetMode="External"/><Relationship Id="rId151" Type="http://schemas.openxmlformats.org/officeDocument/2006/relationships/hyperlink" Target="https://www.gvscolombia.com/producto/LPSG12822FP" TargetMode="External"/><Relationship Id="rId156" Type="http://schemas.openxmlformats.org/officeDocument/2006/relationships/hyperlink" Target="https://www.gvscolombia.com/producto/LPOSFPSX01D" TargetMode="External"/><Relationship Id="rId177" Type="http://schemas.openxmlformats.org/officeDocument/2006/relationships/hyperlink" Target="https://www.gvscolombia.com/producto/LPB101BL" TargetMode="External"/><Relationship Id="rId4" Type="http://schemas.openxmlformats.org/officeDocument/2006/relationships/hyperlink" Target="https://www.gvscolombia.com/producto/LPXC6PUSRD" TargetMode="External"/><Relationship Id="rId9" Type="http://schemas.openxmlformats.org/officeDocument/2006/relationships/hyperlink" Target="https://www.gvscolombia.com/producto/LPXCAPUSBK" TargetMode="External"/><Relationship Id="rId172" Type="http://schemas.openxmlformats.org/officeDocument/2006/relationships/hyperlink" Target="https://www.gvscolombia.com/producto/LPT2008R" TargetMode="External"/><Relationship Id="rId180" Type="http://schemas.openxmlformats.org/officeDocument/2006/relationships/hyperlink" Target="https://www.gvscolombia.com/producto/LPR807BLK2U" TargetMode="External"/><Relationship Id="rId13" Type="http://schemas.openxmlformats.org/officeDocument/2006/relationships/hyperlink" Target="https://www.gvscolombia.com/producto/LP4CAFSBL05" TargetMode="External"/><Relationship Id="rId18" Type="http://schemas.openxmlformats.org/officeDocument/2006/relationships/hyperlink" Target="https://www.gvscolombia.com/producto/LP4CAFSBL1" TargetMode="External"/><Relationship Id="rId39" Type="http://schemas.openxmlformats.org/officeDocument/2006/relationships/hyperlink" Target="https://www.gvscolombia.com/producto/LPTCRJ458P8CCAFS" TargetMode="External"/><Relationship Id="rId109" Type="http://schemas.openxmlformats.org/officeDocument/2006/relationships/hyperlink" Target="https://www.gvscolombia.com/producto/LPUA00000" TargetMode="External"/><Relationship Id="rId34" Type="http://schemas.openxmlformats.org/officeDocument/2006/relationships/hyperlink" Target="https://www.gvscolombia.com/producto/LP4C6USRD3" TargetMode="External"/><Relationship Id="rId50" Type="http://schemas.openxmlformats.org/officeDocument/2006/relationships/hyperlink" Target="https://www.gvscolombia.com/producto/LPCA3J0VLCT" TargetMode="External"/><Relationship Id="rId55" Type="http://schemas.openxmlformats.org/officeDocument/2006/relationships/hyperlink" Target="https://www.gvscolombia.com/producto/LPICF3100051" TargetMode="External"/><Relationship Id="rId76" Type="http://schemas.openxmlformats.org/officeDocument/2006/relationships/hyperlink" Target="https://www.gvscolombia.com/producto/LPF1515S11" TargetMode="External"/><Relationship Id="rId97" Type="http://schemas.openxmlformats.org/officeDocument/2006/relationships/hyperlink" Target="https://www.gvscolombia.com/producto/LPFLLCM1141" TargetMode="External"/><Relationship Id="rId104" Type="http://schemas.openxmlformats.org/officeDocument/2006/relationships/hyperlink" Target="https://www.gvscolombia.com/producto/LPUALCD12UPC" TargetMode="External"/><Relationship Id="rId120" Type="http://schemas.openxmlformats.org/officeDocument/2006/relationships/hyperlink" Target="https://www.gvscolombia.com/producto/LPF13S10S1027L3M" TargetMode="External"/><Relationship Id="rId125" Type="http://schemas.openxmlformats.org/officeDocument/2006/relationships/hyperlink" Target="https://www.gvscolombia.com/producto/LPF12S1000066P1M" TargetMode="External"/><Relationship Id="rId141" Type="http://schemas.openxmlformats.org/officeDocument/2006/relationships/hyperlink" Target="https://www.gvscolombia.com/producto/LPPAR5829" TargetMode="External"/><Relationship Id="rId146" Type="http://schemas.openxmlformats.org/officeDocument/2006/relationships/hyperlink" Target="https://www.gvscolombia.com/producto/LPSG2400" TargetMode="External"/><Relationship Id="rId167" Type="http://schemas.openxmlformats.org/officeDocument/2006/relationships/hyperlink" Target="https://www.gvscolombia.com/producto/LPTS501A" TargetMode="External"/><Relationship Id="rId7" Type="http://schemas.openxmlformats.org/officeDocument/2006/relationships/hyperlink" Target="https://www.gvscolombia.com/producto/LPXCAQFSDC" TargetMode="External"/><Relationship Id="rId71" Type="http://schemas.openxmlformats.org/officeDocument/2006/relationships/hyperlink" Target="https://www.gvscolombia.com/producto/LPOC25130121ZC" TargetMode="External"/><Relationship Id="rId92" Type="http://schemas.openxmlformats.org/officeDocument/2006/relationships/hyperlink" Target="https://www.gvscolombia.com/producto/LPF205GOY00" TargetMode="External"/><Relationship Id="rId162" Type="http://schemas.openxmlformats.org/officeDocument/2006/relationships/hyperlink" Target="https://www.gvscolombia.com/producto/LPT222C" TargetMode="External"/><Relationship Id="rId183" Type="http://schemas.openxmlformats.org/officeDocument/2006/relationships/hyperlink" Target="https://www.gvscolombia.com/producto/LPICFPS90240" TargetMode="External"/><Relationship Id="rId2" Type="http://schemas.openxmlformats.org/officeDocument/2006/relationships/hyperlink" Target="https://www.gvscolombia.com/producto/PAQ100-LPRJ458P8CC6US11" TargetMode="External"/><Relationship Id="rId29" Type="http://schemas.openxmlformats.org/officeDocument/2006/relationships/hyperlink" Target="https://www.gvscolombia.com/producto/LP4C6DUCRD1C" TargetMode="External"/><Relationship Id="rId24" Type="http://schemas.openxmlformats.org/officeDocument/2006/relationships/hyperlink" Target="https://www.gvscolombia.com/producto/LP4CAFSGR3" TargetMode="External"/><Relationship Id="rId40" Type="http://schemas.openxmlformats.org/officeDocument/2006/relationships/hyperlink" Target="https://www.gvscolombia.com/producto/LPC6Q70BKCT" TargetMode="External"/><Relationship Id="rId45" Type="http://schemas.openxmlformats.org/officeDocument/2006/relationships/hyperlink" Target="https://www.gvscolombia.com/producto/LPC6M10BLBT" TargetMode="External"/><Relationship Id="rId66" Type="http://schemas.openxmlformats.org/officeDocument/2006/relationships/hyperlink" Target="https://www.gvscolombia.com/producto/LPOC49120244ZC120" TargetMode="External"/><Relationship Id="rId87" Type="http://schemas.openxmlformats.org/officeDocument/2006/relationships/hyperlink" Target="https://www.gvscolombia.com/producto/LPFLSCS13112" TargetMode="External"/><Relationship Id="rId110" Type="http://schemas.openxmlformats.org/officeDocument/2006/relationships/hyperlink" Target="https://www.gvscolombia.com/producto/LPF13L20L2008L3M" TargetMode="External"/><Relationship Id="rId115" Type="http://schemas.openxmlformats.org/officeDocument/2006/relationships/hyperlink" Target="https://www.gvscolombia.com/producto/LPF13L10L1078L3M" TargetMode="External"/><Relationship Id="rId131" Type="http://schemas.openxmlformats.org/officeDocument/2006/relationships/hyperlink" Target="https://www.gvscolombia.com/producto/LPF12P1000077P5F" TargetMode="External"/><Relationship Id="rId136" Type="http://schemas.openxmlformats.org/officeDocument/2006/relationships/hyperlink" Target="https://www.gvscolombia.com/producto/LPF3313DBK" TargetMode="External"/><Relationship Id="rId157" Type="http://schemas.openxmlformats.org/officeDocument/2006/relationships/hyperlink" Target="https://www.gvscolombia.com/producto/LPOSFPLX01D" TargetMode="External"/><Relationship Id="rId178" Type="http://schemas.openxmlformats.org/officeDocument/2006/relationships/hyperlink" Target="https://www.gvscolombia.com/producto/LPF73314FBK" TargetMode="External"/><Relationship Id="rId61" Type="http://schemas.openxmlformats.org/officeDocument/2006/relationships/hyperlink" Target="https://www.gvscolombia.com/producto/LPB101RD" TargetMode="External"/><Relationship Id="rId82" Type="http://schemas.openxmlformats.org/officeDocument/2006/relationships/hyperlink" Target="https://www.gvscolombia.com/producto/LPOC52120064TG" TargetMode="External"/><Relationship Id="rId152" Type="http://schemas.openxmlformats.org/officeDocument/2006/relationships/hyperlink" Target="https://www.gvscolombia.com/producto/LPSGW1082FP" TargetMode="External"/><Relationship Id="rId173" Type="http://schemas.openxmlformats.org/officeDocument/2006/relationships/hyperlink" Target="https://www.gvscolombia.com/producto/LPIBLNKWH" TargetMode="External"/><Relationship Id="rId19" Type="http://schemas.openxmlformats.org/officeDocument/2006/relationships/hyperlink" Target="https://www.gvscolombia.com/producto/LP4CADFCBL2L" TargetMode="External"/><Relationship Id="rId14" Type="http://schemas.openxmlformats.org/officeDocument/2006/relationships/hyperlink" Target="https://www.gvscolombia.com/producto/LP4CADFCBL5FLCL" TargetMode="External"/><Relationship Id="rId30" Type="http://schemas.openxmlformats.org/officeDocument/2006/relationships/hyperlink" Target="https://www.gvscolombia.com/producto/LP4C6USRD2" TargetMode="External"/><Relationship Id="rId35" Type="http://schemas.openxmlformats.org/officeDocument/2006/relationships/hyperlink" Target="https://www.gvscolombia.com/producto/LP4C6DUCRD3C" TargetMode="External"/><Relationship Id="rId56" Type="http://schemas.openxmlformats.org/officeDocument/2006/relationships/hyperlink" Target="https://www.gvscolombia.com/producto/LPIP24FS" TargetMode="External"/><Relationship Id="rId77" Type="http://schemas.openxmlformats.org/officeDocument/2006/relationships/hyperlink" Target="https://www.gvscolombia.com/producto/LPUALCD12APC" TargetMode="External"/><Relationship Id="rId100" Type="http://schemas.openxmlformats.org/officeDocument/2006/relationships/hyperlink" Target="https://www.gvscolombia.com/producto/LPF1862IV" TargetMode="External"/><Relationship Id="rId105" Type="http://schemas.openxmlformats.org/officeDocument/2006/relationships/hyperlink" Target="https://www.gvscolombia.com/producto/LPUALCQ06UPC" TargetMode="External"/><Relationship Id="rId126" Type="http://schemas.openxmlformats.org/officeDocument/2006/relationships/hyperlink" Target="https://www.gvscolombia.com/producto/LPF12S1000077P1M" TargetMode="External"/><Relationship Id="rId147" Type="http://schemas.openxmlformats.org/officeDocument/2006/relationships/hyperlink" Target="https://www.gvscolombia.com/producto/LPSG18162FP" TargetMode="External"/><Relationship Id="rId168" Type="http://schemas.openxmlformats.org/officeDocument/2006/relationships/hyperlink" Target="https://www.gvscolombia.com/producto/LPTFSTRP01" TargetMode="External"/><Relationship Id="rId8" Type="http://schemas.openxmlformats.org/officeDocument/2006/relationships/hyperlink" Target="https://www.gvscolombia.com/producto/LPXCAPUSRD" TargetMode="External"/><Relationship Id="rId51" Type="http://schemas.openxmlformats.org/officeDocument/2006/relationships/hyperlink" Target="https://www.gvscolombia.com/producto/LPSICOLCE012BLB" TargetMode="External"/><Relationship Id="rId72" Type="http://schemas.openxmlformats.org/officeDocument/2006/relationships/hyperlink" Target="https://www.gvscolombia.com/producto/LPOC51120244ZC" TargetMode="External"/><Relationship Id="rId93" Type="http://schemas.openxmlformats.org/officeDocument/2006/relationships/hyperlink" Target="https://www.gvscolombia.com/producto/LPF2058OY00" TargetMode="External"/><Relationship Id="rId98" Type="http://schemas.openxmlformats.org/officeDocument/2006/relationships/hyperlink" Target="https://www.gvscolombia.com/producto/LPFLLCS13112" TargetMode="External"/><Relationship Id="rId121" Type="http://schemas.openxmlformats.org/officeDocument/2006/relationships/hyperlink" Target="https://www.gvscolombia.com/producto/LPF13S20S2027L3M" TargetMode="External"/><Relationship Id="rId142" Type="http://schemas.openxmlformats.org/officeDocument/2006/relationships/hyperlink" Target="https://www.gvscolombia.com/producto/LPPARMIMO5830" TargetMode="External"/><Relationship Id="rId163" Type="http://schemas.openxmlformats.org/officeDocument/2006/relationships/hyperlink" Target="https://www.gvscolombia.com/producto/LP3317H1WH" TargetMode="External"/><Relationship Id="rId184" Type="http://schemas.openxmlformats.org/officeDocument/2006/relationships/hyperlink" Target="https://www.gvscolombia.com/producto/LPICFPS48VDC" TargetMode="External"/><Relationship Id="rId3" Type="http://schemas.openxmlformats.org/officeDocument/2006/relationships/hyperlink" Target="https://www.gvscolombia.com/producto/LPIP48FS" TargetMode="External"/><Relationship Id="rId25" Type="http://schemas.openxmlformats.org/officeDocument/2006/relationships/hyperlink" Target="https://www.gvscolombia.com/producto/LP4CAFSRD2" TargetMode="External"/><Relationship Id="rId46" Type="http://schemas.openxmlformats.org/officeDocument/2006/relationships/hyperlink" Target="https://www.gvscolombia.com/producto/LPCA0J0VLBT" TargetMode="External"/><Relationship Id="rId67" Type="http://schemas.openxmlformats.org/officeDocument/2006/relationships/hyperlink" Target="https://www.gvscolombia.com/producto/LPOC62010124ZC120" TargetMode="External"/><Relationship Id="rId116" Type="http://schemas.openxmlformats.org/officeDocument/2006/relationships/hyperlink" Target="https://www.gvscolombia.com/producto/LPF13L10S1027L3M" TargetMode="External"/><Relationship Id="rId137" Type="http://schemas.openxmlformats.org/officeDocument/2006/relationships/hyperlink" Target="https://www.gvscolombia.com/producto/LPF2324048BK16" TargetMode="External"/><Relationship Id="rId158" Type="http://schemas.openxmlformats.org/officeDocument/2006/relationships/hyperlink" Target="https://www.gvscolombia.com/producto/LP81147" TargetMode="External"/><Relationship Id="rId20" Type="http://schemas.openxmlformats.org/officeDocument/2006/relationships/hyperlink" Target="https://www.gvscolombia.com/producto/LP4CADFCRD2L" TargetMode="External"/><Relationship Id="rId41" Type="http://schemas.openxmlformats.org/officeDocument/2006/relationships/hyperlink" Target="https://www.gvscolombia.com/producto/LP4C6DUCBL03C" TargetMode="External"/><Relationship Id="rId62" Type="http://schemas.openxmlformats.org/officeDocument/2006/relationships/hyperlink" Target="https://www.gvscolombia.com/producto/LPOC49120064ZC100" TargetMode="External"/><Relationship Id="rId83" Type="http://schemas.openxmlformats.org/officeDocument/2006/relationships/hyperlink" Target="https://www.gvscolombia.com/producto/LPOC52120124TG" TargetMode="External"/><Relationship Id="rId88" Type="http://schemas.openxmlformats.org/officeDocument/2006/relationships/hyperlink" Target="https://www.gvscolombia.com/producto/LPF1508M13" TargetMode="External"/><Relationship Id="rId111" Type="http://schemas.openxmlformats.org/officeDocument/2006/relationships/hyperlink" Target="https://www.gvscolombia.com/producto/LPF13L10L1027L3M" TargetMode="External"/><Relationship Id="rId132" Type="http://schemas.openxmlformats.org/officeDocument/2006/relationships/hyperlink" Target="https://www.gvscolombia.com/producto/HOTLC062001" TargetMode="External"/><Relationship Id="rId153" Type="http://schemas.openxmlformats.org/officeDocument/2006/relationships/hyperlink" Target="https://www.gvscolombia.com/producto/LPSGW52484FP" TargetMode="External"/><Relationship Id="rId174" Type="http://schemas.openxmlformats.org/officeDocument/2006/relationships/hyperlink" Target="https://www.gvscolombia.com/producto/LPIBLNK" TargetMode="External"/><Relationship Id="rId179" Type="http://schemas.openxmlformats.org/officeDocument/2006/relationships/hyperlink" Target="https://www.gvscolombia.com/producto/LPR807BLK1U" TargetMode="External"/><Relationship Id="rId15" Type="http://schemas.openxmlformats.org/officeDocument/2006/relationships/hyperlink" Target="https://www.gvscolombia.com/producto/LP4CADFCBL1L" TargetMode="External"/><Relationship Id="rId36" Type="http://schemas.openxmlformats.org/officeDocument/2006/relationships/hyperlink" Target="https://www.gvscolombia.com/producto/LP4C6DUCBL3C" TargetMode="External"/><Relationship Id="rId57" Type="http://schemas.openxmlformats.org/officeDocument/2006/relationships/hyperlink" Target="https://www.gvscolombia.com/producto/LPIP24FS1" TargetMode="External"/><Relationship Id="rId106" Type="http://schemas.openxmlformats.org/officeDocument/2006/relationships/hyperlink" Target="https://www.gvscolombia.com/producto/LPOC10120064ZC200" TargetMode="External"/><Relationship Id="rId127" Type="http://schemas.openxmlformats.org/officeDocument/2006/relationships/hyperlink" Target="https://www.gvscolombia.com/producto/LPF12P1000006P5F" TargetMode="External"/><Relationship Id="rId10" Type="http://schemas.openxmlformats.org/officeDocument/2006/relationships/hyperlink" Target="https://www.gvscolombia.com/producto/LPXCAPUSBL" TargetMode="External"/><Relationship Id="rId31" Type="http://schemas.openxmlformats.org/officeDocument/2006/relationships/hyperlink" Target="https://www.gvscolombia.com/producto/LP4C6DUCBL1C" TargetMode="External"/><Relationship Id="rId52" Type="http://schemas.openxmlformats.org/officeDocument/2006/relationships/hyperlink" Target="https://www.gvscolombia.com/producto/LPC6MN0BKCT" TargetMode="External"/><Relationship Id="rId73" Type="http://schemas.openxmlformats.org/officeDocument/2006/relationships/hyperlink" Target="https://www.gvscolombia.com/producto/LPOC51120124ZC" TargetMode="External"/><Relationship Id="rId78" Type="http://schemas.openxmlformats.org/officeDocument/2006/relationships/hyperlink" Target="https://www.gvscolombia.com/producto/LPOC10120124ZC200" TargetMode="External"/><Relationship Id="rId94" Type="http://schemas.openxmlformats.org/officeDocument/2006/relationships/hyperlink" Target="https://www.gvscolombia.com/producto/LPF205HOY00" TargetMode="External"/><Relationship Id="rId99" Type="http://schemas.openxmlformats.org/officeDocument/2006/relationships/hyperlink" Target="https://www.gvscolombia.com/producto/LPF181AIV00" TargetMode="External"/><Relationship Id="rId101" Type="http://schemas.openxmlformats.org/officeDocument/2006/relationships/hyperlink" Target="https://www.gvscolombia.com/producto/LPUASCS08UPC" TargetMode="External"/><Relationship Id="rId122" Type="http://schemas.openxmlformats.org/officeDocument/2006/relationships/hyperlink" Target="https://www.gvscolombia.com/producto/LPF13C10C1067L3M" TargetMode="External"/><Relationship Id="rId143" Type="http://schemas.openxmlformats.org/officeDocument/2006/relationships/hyperlink" Target="https://www.gvscolombia.com/producto/LP583AI" TargetMode="External"/><Relationship Id="rId148" Type="http://schemas.openxmlformats.org/officeDocument/2006/relationships/hyperlink" Target="https://www.gvscolombia.com/producto/LPSG642FP" TargetMode="External"/><Relationship Id="rId164" Type="http://schemas.openxmlformats.org/officeDocument/2006/relationships/hyperlink" Target="https://www.gvscolombia.com/producto/LP3317H2WH" TargetMode="External"/><Relationship Id="rId169" Type="http://schemas.openxmlformats.org/officeDocument/2006/relationships/hyperlink" Target="https://www.gvscolombia.com/producto/LPTFCVL7PLUS" TargetMode="External"/><Relationship Id="rId18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96A3-0BF7-455C-96EC-B3CE8B5FA110}">
  <dimension ref="A1:K188"/>
  <sheetViews>
    <sheetView tabSelected="1" view="pageBreakPreview" zoomScale="60" zoomScaleNormal="115" workbookViewId="0">
      <selection activeCell="M12" sqref="M12"/>
    </sheetView>
  </sheetViews>
  <sheetFormatPr baseColWidth="10" defaultRowHeight="15" x14ac:dyDescent="0.25"/>
  <cols>
    <col min="1" max="1" width="27" style="1" bestFit="1" customWidth="1"/>
    <col min="2" max="2" width="42.28515625" style="1" customWidth="1"/>
    <col min="3" max="3" width="17.140625" style="2" customWidth="1"/>
    <col min="4" max="6" width="16" style="2" customWidth="1"/>
    <col min="7" max="7" width="6" style="1" customWidth="1"/>
    <col min="8" max="8" width="12.7109375" style="1" customWidth="1"/>
    <col min="9" max="9" width="4.28515625" style="1" customWidth="1"/>
    <col min="10" max="10" width="3.7109375" style="1" customWidth="1"/>
    <col min="11" max="11" width="12.5703125" style="1" customWidth="1"/>
    <col min="12" max="12" width="11.42578125" style="1" customWidth="1"/>
    <col min="13" max="16384" width="11.42578125" style="1"/>
  </cols>
  <sheetData>
    <row r="1" spans="1:11" ht="63" customHeight="1" x14ac:dyDescent="0.25">
      <c r="A1" s="14" t="s">
        <v>218</v>
      </c>
      <c r="B1" s="14" t="s">
        <v>217</v>
      </c>
      <c r="C1" s="13" t="s">
        <v>216</v>
      </c>
      <c r="D1" s="13" t="s">
        <v>215</v>
      </c>
      <c r="E1" s="13" t="s">
        <v>214</v>
      </c>
      <c r="F1" s="12" t="s">
        <v>213</v>
      </c>
      <c r="G1" s="11" t="s">
        <v>212</v>
      </c>
      <c r="H1" s="11" t="s">
        <v>211</v>
      </c>
      <c r="I1" s="11" t="s">
        <v>210</v>
      </c>
      <c r="J1" s="11" t="s">
        <v>209</v>
      </c>
      <c r="K1" s="11" t="s">
        <v>208</v>
      </c>
    </row>
    <row r="2" spans="1:11" ht="45" x14ac:dyDescent="0.25">
      <c r="A2" s="7" t="s">
        <v>156</v>
      </c>
      <c r="B2" s="6" t="s">
        <v>155</v>
      </c>
      <c r="C2" s="5">
        <f>+Tabla125[[#This Row],[COSTO +IVA]]/Tabla125[[#This Row],[Columna5]]</f>
        <v>18727.625</v>
      </c>
      <c r="D2" s="5">
        <f>+Tabla125[[#This Row],[PRECIO SUGERIDO INSTALADOR
( CON  IVA)]]-Tabla125[[#This Row],[Columna2]]</f>
        <v>17791.243750000001</v>
      </c>
      <c r="E2" s="5">
        <f>+Tabla125[[#This Row],[PRECIO SUGERIDO INSTALADOR
( CON  IVA)]]/0.7</f>
        <v>26753.75</v>
      </c>
      <c r="F2" s="4">
        <f>+Tabla125[[#This Row],[PRECIO SUGERIDO INSTALADOR
( CON  IVA)]]*5%</f>
        <v>936.38125000000002</v>
      </c>
      <c r="G2" s="1">
        <v>0.96</v>
      </c>
      <c r="H2" s="3">
        <f>Tabla125[[#This Row],[COSTO]]*1.19</f>
        <v>17978.52</v>
      </c>
      <c r="K2" s="8">
        <v>15108</v>
      </c>
    </row>
    <row r="3" spans="1:11" ht="45" x14ac:dyDescent="0.25">
      <c r="A3" s="7" t="s">
        <v>146</v>
      </c>
      <c r="B3" s="6" t="s">
        <v>145</v>
      </c>
      <c r="C3" s="5">
        <f>+Tabla125[[#This Row],[COSTO +IVA]]/Tabla125[[#This Row],[Columna5]]</f>
        <v>56414.677083333328</v>
      </c>
      <c r="D3" s="5">
        <f>+Tabla125[[#This Row],[PRECIO SUGERIDO INSTALADOR
( CON  IVA)]]-Tabla125[[#This Row],[Columna2]]</f>
        <v>53593.94322916666</v>
      </c>
      <c r="E3" s="5">
        <f>+Tabla125[[#This Row],[PRECIO SUGERIDO INSTALADOR
( CON  IVA)]]/0.7</f>
        <v>80592.395833333328</v>
      </c>
      <c r="F3" s="4">
        <f>+Tabla125[[#This Row],[PRECIO SUGERIDO INSTALADOR
( CON  IVA)]]*5%</f>
        <v>2820.7338541666668</v>
      </c>
      <c r="G3" s="1">
        <v>0.96</v>
      </c>
      <c r="H3" s="3">
        <f>Tabla125[[#This Row],[COSTO]]*1.19</f>
        <v>54158.09</v>
      </c>
      <c r="K3" s="8">
        <v>45511</v>
      </c>
    </row>
    <row r="4" spans="1:11" ht="30" x14ac:dyDescent="0.25">
      <c r="A4" s="7" t="s">
        <v>219</v>
      </c>
      <c r="B4" s="6" t="s">
        <v>220</v>
      </c>
      <c r="C4" s="5">
        <f>+Tabla125[[#This Row],[COSTO +IVA]]/Tabla125[[#This Row],[Columna5]]</f>
        <v>109708.50531914894</v>
      </c>
      <c r="D4" s="5">
        <f>+Tabla125[[#This Row],[PRECIO SUGERIDO INSTALADOR
( CON  IVA)]]-Tabla125[[#This Row],[Columna2]]</f>
        <v>104223.0800531915</v>
      </c>
      <c r="E4" s="5">
        <f>+Tabla125[[#This Row],[PRECIO SUGERIDO INSTALADOR
( CON  IVA)]]/0.7</f>
        <v>156726.43617021278</v>
      </c>
      <c r="F4" s="4">
        <f>+Tabla125[[#This Row],[PRECIO SUGERIDO INSTALADOR
( CON  IVA)]]*5%</f>
        <v>5485.4252659574477</v>
      </c>
      <c r="G4" s="1">
        <v>0.94</v>
      </c>
      <c r="H4" s="3">
        <f>Tabla125[[#This Row],[COSTO]]*1.19</f>
        <v>103125.995</v>
      </c>
      <c r="K4" s="8">
        <v>86660.5</v>
      </c>
    </row>
    <row r="5" spans="1:11" ht="30" x14ac:dyDescent="0.25">
      <c r="A5" s="7" t="s">
        <v>179</v>
      </c>
      <c r="B5" s="6" t="s">
        <v>221</v>
      </c>
      <c r="C5" s="5">
        <f>+Tabla125[[#This Row],[COSTO +IVA]]/Tabla125[[#This Row],[Columna5]]</f>
        <v>5607.2552083333339</v>
      </c>
      <c r="D5" s="5">
        <f>+Tabla125[[#This Row],[PRECIO SUGERIDO INSTALADOR
( CON  IVA)]]-Tabla125[[#This Row],[Columna2]]</f>
        <v>5326.8924479166672</v>
      </c>
      <c r="E5" s="5">
        <f>+Tabla125[[#This Row],[PRECIO SUGERIDO INSTALADOR
( CON  IVA)]]/0.7</f>
        <v>8010.3645833333348</v>
      </c>
      <c r="F5" s="4">
        <f>+Tabla125[[#This Row],[PRECIO SUGERIDO INSTALADOR
( CON  IVA)]]*5%</f>
        <v>280.36276041666673</v>
      </c>
      <c r="G5" s="1">
        <v>0.96</v>
      </c>
      <c r="H5" s="3">
        <f>Tabla125[[#This Row],[COSTO]]*1.19</f>
        <v>5382.9650000000001</v>
      </c>
      <c r="K5" s="8">
        <v>4523.5</v>
      </c>
    </row>
    <row r="6" spans="1:11" ht="30" x14ac:dyDescent="0.25">
      <c r="A6" s="7" t="s">
        <v>4</v>
      </c>
      <c r="B6" s="6" t="s">
        <v>3</v>
      </c>
      <c r="C6" s="5">
        <f>+Tabla125[[#This Row],[COSTO +IVA]]/Tabla125[[#This Row],[Columna5]]</f>
        <v>5714.9749999999995</v>
      </c>
      <c r="D6" s="5">
        <f>+Tabla125[[#This Row],[PRECIO SUGERIDO INSTALADOR
( CON  IVA)]]-Tabla125[[#This Row],[Columna2]]</f>
        <v>5429.2262499999997</v>
      </c>
      <c r="E6" s="5">
        <f>+Tabla125[[#This Row],[PRECIO SUGERIDO INSTALADOR
( CON  IVA)]]/0.7</f>
        <v>8164.25</v>
      </c>
      <c r="F6" s="4">
        <f>+Tabla125[[#This Row],[PRECIO SUGERIDO INSTALADOR
( CON  IVA)]]*5%</f>
        <v>285.74874999999997</v>
      </c>
      <c r="G6" s="16">
        <v>1</v>
      </c>
      <c r="H6" s="3">
        <f>Tabla125[[#This Row],[COSTO]]*1.19</f>
        <v>5714.9749999999995</v>
      </c>
      <c r="K6" s="8">
        <v>4802.5</v>
      </c>
    </row>
    <row r="7" spans="1:11" ht="30" x14ac:dyDescent="0.25">
      <c r="A7" s="7" t="s">
        <v>181</v>
      </c>
      <c r="B7" s="6" t="s">
        <v>180</v>
      </c>
      <c r="C7" s="5">
        <f>+Tabla125[[#This Row],[COSTO +IVA]]/Tabla125[[#This Row],[Columna5]]</f>
        <v>5745.32</v>
      </c>
      <c r="D7" s="5">
        <f>+Tabla125[[#This Row],[PRECIO SUGERIDO INSTALADOR
( CON  IVA)]]-Tabla125[[#This Row],[Columna2]]</f>
        <v>5458.0540000000001</v>
      </c>
      <c r="E7" s="5">
        <f>+Tabla125[[#This Row],[PRECIO SUGERIDO INSTALADOR
( CON  IVA)]]/0.7</f>
        <v>8207.6</v>
      </c>
      <c r="F7" s="4">
        <f>+Tabla125[[#This Row],[PRECIO SUGERIDO INSTALADOR
( CON  IVA)]]*5%</f>
        <v>287.26600000000002</v>
      </c>
      <c r="G7" s="16">
        <v>1</v>
      </c>
      <c r="H7" s="3">
        <f>Tabla125[[#This Row],[COSTO]]*1.19</f>
        <v>5745.32</v>
      </c>
      <c r="K7" s="8">
        <v>4828</v>
      </c>
    </row>
    <row r="8" spans="1:11" ht="45" x14ac:dyDescent="0.25">
      <c r="A8" s="7" t="s">
        <v>148</v>
      </c>
      <c r="B8" s="6" t="s">
        <v>147</v>
      </c>
      <c r="C8" s="5">
        <f>+Tabla125[[#This Row],[COSTO +IVA]]/Tabla125[[#This Row],[Columna5]]</f>
        <v>17742.899999999998</v>
      </c>
      <c r="D8" s="5">
        <f>+Tabla125[[#This Row],[PRECIO SUGERIDO INSTALADOR
( CON  IVA)]]-Tabla125[[#This Row],[Columna2]]</f>
        <v>16855.754999999997</v>
      </c>
      <c r="E8" s="5">
        <f>+Tabla125[[#This Row],[PRECIO SUGERIDO INSTALADOR
( CON  IVA)]]/0.7</f>
        <v>25347</v>
      </c>
      <c r="F8" s="4">
        <f>+Tabla125[[#This Row],[PRECIO SUGERIDO INSTALADOR
( CON  IVA)]]*5%</f>
        <v>887.14499999999998</v>
      </c>
      <c r="G8" s="16">
        <v>1</v>
      </c>
      <c r="H8" s="3">
        <f>Tabla125[[#This Row],[COSTO]]*1.19</f>
        <v>17742.899999999998</v>
      </c>
      <c r="K8" s="8">
        <v>14910</v>
      </c>
    </row>
    <row r="9" spans="1:11" ht="30" x14ac:dyDescent="0.25">
      <c r="A9" s="7" t="s">
        <v>2</v>
      </c>
      <c r="B9" s="6" t="s">
        <v>222</v>
      </c>
      <c r="C9" s="10">
        <f>+Tabla125[[#This Row],[COSTO +IVA]]/Tabla125[[#This Row],[Columna5]]</f>
        <v>8581.6849999999995</v>
      </c>
      <c r="D9" s="10">
        <f>+Tabla125[[#This Row],[PRECIO SUGERIDO INSTALADOR
( CON  IVA)]]-Tabla125[[#This Row],[Columna2]]</f>
        <v>8152.6007499999996</v>
      </c>
      <c r="E9" s="10">
        <f>+Tabla125[[#This Row],[PRECIO SUGERIDO INSTALADOR
( CON  IVA)]]/0.7</f>
        <v>12259.55</v>
      </c>
      <c r="F9" s="9">
        <f>+Tabla125[[#This Row],[PRECIO SUGERIDO INSTALADOR
( CON  IVA)]]*5%</f>
        <v>429.08425</v>
      </c>
      <c r="G9" s="16">
        <v>1</v>
      </c>
      <c r="H9" s="3">
        <f>Tabla125[[#This Row],[COSTO]]*1.19</f>
        <v>8581.6849999999995</v>
      </c>
      <c r="K9" s="8">
        <v>7211.5</v>
      </c>
    </row>
    <row r="10" spans="1:11" ht="45" x14ac:dyDescent="0.25">
      <c r="A10" s="7" t="s">
        <v>178</v>
      </c>
      <c r="B10" s="6" t="s">
        <v>177</v>
      </c>
      <c r="C10" s="5">
        <f>+Tabla125[[#This Row],[COSTO +IVA]]/Tabla125[[#This Row],[Columna5]]</f>
        <v>10487.963414634147</v>
      </c>
      <c r="D10" s="5">
        <f>+Tabla125[[#This Row],[PRECIO SUGERIDO INSTALADOR
( CON  IVA)]]-Tabla125[[#This Row],[Columna2]]</f>
        <v>9963.5652439024398</v>
      </c>
      <c r="E10" s="5">
        <f>+Tabla125[[#This Row],[PRECIO SUGERIDO INSTALADOR
( CON  IVA)]]/0.7</f>
        <v>14982.804878048782</v>
      </c>
      <c r="F10" s="4">
        <f>+Tabla125[[#This Row],[PRECIO SUGERIDO INSTALADOR
( CON  IVA)]]*5%</f>
        <v>524.39817073170741</v>
      </c>
      <c r="G10" s="16">
        <v>0.82</v>
      </c>
      <c r="H10" s="3">
        <f>Tabla125[[#This Row],[COSTO]]*1.19</f>
        <v>8600.1299999999992</v>
      </c>
      <c r="K10" s="8">
        <v>7227</v>
      </c>
    </row>
    <row r="11" spans="1:11" ht="30" x14ac:dyDescent="0.25">
      <c r="A11" s="7" t="s">
        <v>176</v>
      </c>
      <c r="B11" s="6" t="s">
        <v>223</v>
      </c>
      <c r="C11" s="5">
        <f>+Tabla125[[#This Row],[COSTO +IVA]]/Tabla125[[#This Row],[Columna5]]</f>
        <v>11059.743902439024</v>
      </c>
      <c r="D11" s="5">
        <f>+Tabla125[[#This Row],[PRECIO SUGERIDO INSTALADOR
( CON  IVA)]]-Tabla125[[#This Row],[Columna2]]</f>
        <v>10506.756707317072</v>
      </c>
      <c r="E11" s="5">
        <f>+Tabla125[[#This Row],[PRECIO SUGERIDO INSTALADOR
( CON  IVA)]]/0.7</f>
        <v>15799.634146341465</v>
      </c>
      <c r="F11" s="4">
        <f>+Tabla125[[#This Row],[PRECIO SUGERIDO INSTALADOR
( CON  IVA)]]*5%</f>
        <v>552.98719512195123</v>
      </c>
      <c r="G11" s="16">
        <v>0.82</v>
      </c>
      <c r="H11" s="3">
        <f>Tabla125[[#This Row],[COSTO]]*1.19</f>
        <v>9068.99</v>
      </c>
      <c r="K11" s="8">
        <v>7621</v>
      </c>
    </row>
    <row r="12" spans="1:11" ht="45" x14ac:dyDescent="0.25">
      <c r="A12" s="7" t="s">
        <v>120</v>
      </c>
      <c r="B12" s="6" t="s">
        <v>119</v>
      </c>
      <c r="C12" s="5">
        <f>+Tabla125[[#This Row],[COSTO +IVA]]/Tabla125[[#This Row],[Columna5]]</f>
        <v>9580.7395833333339</v>
      </c>
      <c r="D12" s="5">
        <f>+Tabla125[[#This Row],[PRECIO SUGERIDO INSTALADOR
( CON  IVA)]]-Tabla125[[#This Row],[Columna2]]</f>
        <v>9101.7026041666668</v>
      </c>
      <c r="E12" s="5">
        <f>+Tabla125[[#This Row],[PRECIO SUGERIDO INSTALADOR
( CON  IVA)]]/0.7</f>
        <v>13686.770833333336</v>
      </c>
      <c r="F12" s="4">
        <f>+Tabla125[[#This Row],[PRECIO SUGERIDO INSTALADOR
( CON  IVA)]]*5%</f>
        <v>479.0369791666667</v>
      </c>
      <c r="G12" s="1">
        <v>0.96</v>
      </c>
      <c r="H12" s="3">
        <f>Tabla125[[#This Row],[COSTO]]*1.19</f>
        <v>9197.51</v>
      </c>
      <c r="K12" s="8">
        <v>7729</v>
      </c>
    </row>
    <row r="13" spans="1:11" ht="45" x14ac:dyDescent="0.25">
      <c r="A13" s="7" t="s">
        <v>197</v>
      </c>
      <c r="B13" s="6" t="s">
        <v>196</v>
      </c>
      <c r="C13" s="5">
        <f>+Tabla125[[#This Row],[COSTO +IVA]]/Tabla125[[#This Row],[Columna5]]</f>
        <v>10327.499999999998</v>
      </c>
      <c r="D13" s="5">
        <f>+Tabla125[[#This Row],[PRECIO SUGERIDO INSTALADOR
( CON  IVA)]]-Tabla125[[#This Row],[Columna2]]</f>
        <v>9811.1249999999982</v>
      </c>
      <c r="E13" s="5">
        <f>+Tabla125[[#This Row],[PRECIO SUGERIDO INSTALADOR
( CON  IVA)]]/0.7</f>
        <v>14753.571428571428</v>
      </c>
      <c r="F13" s="4">
        <f>+Tabla125[[#This Row],[PRECIO SUGERIDO INSTALADOR
( CON  IVA)]]*5%</f>
        <v>516.37499999999989</v>
      </c>
      <c r="G13" s="16">
        <v>0.98</v>
      </c>
      <c r="H13" s="3">
        <f>Tabla125[[#This Row],[COSTO]]*1.19</f>
        <v>10120.949999999999</v>
      </c>
      <c r="K13" s="8">
        <v>8505</v>
      </c>
    </row>
    <row r="14" spans="1:11" ht="60" x14ac:dyDescent="0.25">
      <c r="A14" s="7" t="s">
        <v>224</v>
      </c>
      <c r="B14" s="6" t="s">
        <v>225</v>
      </c>
      <c r="C14" s="10">
        <f>+Tabla125[[#This Row],[COSTO +IVA]]/Tabla125[[#This Row],[Columna5]]</f>
        <v>11334.75</v>
      </c>
      <c r="D14" s="10">
        <f>+Tabla125[[#This Row],[PRECIO SUGERIDO INSTALADOR
( CON  IVA)]]-Tabla125[[#This Row],[Columna2]]</f>
        <v>10768.012500000001</v>
      </c>
      <c r="E14" s="10">
        <f>+Tabla125[[#This Row],[PRECIO SUGERIDO INSTALADOR
( CON  IVA)]]/0.7</f>
        <v>16192.500000000002</v>
      </c>
      <c r="F14" s="9">
        <f>+Tabla125[[#This Row],[PRECIO SUGERIDO INSTALADOR
( CON  IVA)]]*5%</f>
        <v>566.73750000000007</v>
      </c>
      <c r="G14" s="1">
        <v>0.96</v>
      </c>
      <c r="H14" s="3">
        <f>Tabla125[[#This Row],[COSTO]]*1.19</f>
        <v>10881.359999999999</v>
      </c>
      <c r="K14" s="8">
        <v>9144</v>
      </c>
    </row>
    <row r="15" spans="1:11" ht="45" x14ac:dyDescent="0.25">
      <c r="A15" s="7" t="s">
        <v>124</v>
      </c>
      <c r="B15" s="6" t="s">
        <v>123</v>
      </c>
      <c r="C15" s="5">
        <f>+Tabla125[[#This Row],[COSTO +IVA]]/Tabla125[[#This Row],[Columna5]]</f>
        <v>11686.791666666666</v>
      </c>
      <c r="D15" s="5">
        <f>+Tabla125[[#This Row],[PRECIO SUGERIDO INSTALADOR
( CON  IVA)]]-Tabla125[[#This Row],[Columna2]]</f>
        <v>11102.452083333334</v>
      </c>
      <c r="E15" s="5">
        <f>+Tabla125[[#This Row],[PRECIO SUGERIDO INSTALADOR
( CON  IVA)]]/0.7</f>
        <v>16695.416666666668</v>
      </c>
      <c r="F15" s="4">
        <f>+Tabla125[[#This Row],[PRECIO SUGERIDO INSTALADOR
( CON  IVA)]]*5%</f>
        <v>584.33958333333328</v>
      </c>
      <c r="G15" s="1">
        <v>0.96</v>
      </c>
      <c r="H15" s="3">
        <f>Tabla125[[#This Row],[COSTO]]*1.19</f>
        <v>11219.32</v>
      </c>
      <c r="K15" s="3">
        <v>9428</v>
      </c>
    </row>
    <row r="16" spans="1:11" ht="45" x14ac:dyDescent="0.25">
      <c r="A16" s="7" t="s">
        <v>195</v>
      </c>
      <c r="B16" s="6" t="s">
        <v>194</v>
      </c>
      <c r="C16" s="5">
        <f>+Tabla125[[#This Row],[COSTO +IVA]]/Tabla125[[#This Row],[Columna5]]</f>
        <v>15114.451219512193</v>
      </c>
      <c r="D16" s="5">
        <f>+Tabla125[[#This Row],[PRECIO SUGERIDO INSTALADOR
( CON  IVA)]]-Tabla125[[#This Row],[Columna2]]</f>
        <v>14358.728658536584</v>
      </c>
      <c r="E16" s="5">
        <f>+Tabla125[[#This Row],[PRECIO SUGERIDO INSTALADOR
( CON  IVA)]]/0.7</f>
        <v>21592.073170731706</v>
      </c>
      <c r="F16" s="4">
        <f>+Tabla125[[#This Row],[PRECIO SUGERIDO INSTALADOR
( CON  IVA)]]*5%</f>
        <v>755.72256097560967</v>
      </c>
      <c r="G16" s="16">
        <v>0.82</v>
      </c>
      <c r="H16" s="3">
        <f>Tabla125[[#This Row],[COSTO]]*1.19</f>
        <v>12393.849999999999</v>
      </c>
      <c r="K16" s="8">
        <v>10415</v>
      </c>
    </row>
    <row r="17" spans="1:11" ht="45" x14ac:dyDescent="0.25">
      <c r="A17" s="7" t="s">
        <v>118</v>
      </c>
      <c r="B17" s="6" t="s">
        <v>117</v>
      </c>
      <c r="C17" s="5">
        <f>+Tabla125[[#This Row],[COSTO +IVA]]/Tabla125[[#This Row],[Columna5]]</f>
        <v>12377.859375</v>
      </c>
      <c r="D17" s="5">
        <f>+Tabla125[[#This Row],[PRECIO SUGERIDO INSTALADOR
( CON  IVA)]]-Tabla125[[#This Row],[Columna2]]</f>
        <v>11758.96640625</v>
      </c>
      <c r="E17" s="5">
        <f>+Tabla125[[#This Row],[PRECIO SUGERIDO INSTALADOR
( CON  IVA)]]/0.7</f>
        <v>17682.65625</v>
      </c>
      <c r="F17" s="4">
        <f>+Tabla125[[#This Row],[PRECIO SUGERIDO INSTALADOR
( CON  IVA)]]*5%</f>
        <v>618.89296875000002</v>
      </c>
      <c r="G17" s="1">
        <v>0.96</v>
      </c>
      <c r="H17" s="3">
        <f>Tabla125[[#This Row],[COSTO]]*1.19</f>
        <v>11882.744999999999</v>
      </c>
      <c r="K17" s="8">
        <v>9985.5</v>
      </c>
    </row>
    <row r="18" spans="1:11" ht="45" x14ac:dyDescent="0.25">
      <c r="A18" s="7" t="s">
        <v>167</v>
      </c>
      <c r="B18" s="6" t="s">
        <v>166</v>
      </c>
      <c r="C18" s="5">
        <f>+Tabla125[[#This Row],[COSTO +IVA]]/Tabla125[[#This Row],[Columna5]]</f>
        <v>12905.921875</v>
      </c>
      <c r="D18" s="5">
        <f>+Tabla125[[#This Row],[PRECIO SUGERIDO INSTALADOR
( CON  IVA)]]-Tabla125[[#This Row],[Columna2]]</f>
        <v>12260.625781250001</v>
      </c>
      <c r="E18" s="5">
        <f>+Tabla125[[#This Row],[PRECIO SUGERIDO INSTALADOR
( CON  IVA)]]/0.7</f>
        <v>18437.03125</v>
      </c>
      <c r="F18" s="4">
        <f>+Tabla125[[#This Row],[PRECIO SUGERIDO INSTALADOR
( CON  IVA)]]*5%</f>
        <v>645.29609375000007</v>
      </c>
      <c r="G18" s="1">
        <v>0.96</v>
      </c>
      <c r="H18" s="3">
        <f>Tabla125[[#This Row],[COSTO]]*1.19</f>
        <v>12389.684999999999</v>
      </c>
      <c r="K18" s="8">
        <v>10411.5</v>
      </c>
    </row>
    <row r="19" spans="1:11" ht="45" x14ac:dyDescent="0.25">
      <c r="A19" s="7" t="s">
        <v>226</v>
      </c>
      <c r="B19" s="6" t="s">
        <v>227</v>
      </c>
      <c r="C19" s="5">
        <f>+Tabla125[[#This Row],[COSTO +IVA]]/Tabla125[[#This Row],[Columna5]]</f>
        <v>16942.262195121952</v>
      </c>
      <c r="D19" s="5">
        <f>+Tabla125[[#This Row],[PRECIO SUGERIDO INSTALADOR
( CON  IVA)]]-Tabla125[[#This Row],[Columna2]]</f>
        <v>16095.149085365854</v>
      </c>
      <c r="E19" s="5">
        <f>+Tabla125[[#This Row],[PRECIO SUGERIDO INSTALADOR
( CON  IVA)]]/0.7</f>
        <v>24203.231707317074</v>
      </c>
      <c r="F19" s="4">
        <f>+Tabla125[[#This Row],[PRECIO SUGERIDO INSTALADOR
( CON  IVA)]]*5%</f>
        <v>847.11310975609763</v>
      </c>
      <c r="G19" s="1">
        <v>0.82</v>
      </c>
      <c r="H19" s="3">
        <f>Tabla125[[#This Row],[COSTO]]*1.19</f>
        <v>13892.654999999999</v>
      </c>
      <c r="K19" s="8">
        <v>11674.5</v>
      </c>
    </row>
    <row r="20" spans="1:11" ht="45" x14ac:dyDescent="0.25">
      <c r="A20" s="7" t="s">
        <v>128</v>
      </c>
      <c r="B20" s="6" t="s">
        <v>127</v>
      </c>
      <c r="C20" s="5">
        <f>+Tabla125[[#This Row],[COSTO +IVA]]/Tabla125[[#This Row],[Columna5]]</f>
        <v>17778.104166666668</v>
      </c>
      <c r="D20" s="5">
        <f>+Tabla125[[#This Row],[PRECIO SUGERIDO INSTALADOR
( CON  IVA)]]-Tabla125[[#This Row],[Columna2]]</f>
        <v>16889.198958333334</v>
      </c>
      <c r="E20" s="5">
        <f>+Tabla125[[#This Row],[PRECIO SUGERIDO INSTALADOR
( CON  IVA)]]/0.7</f>
        <v>25397.291666666672</v>
      </c>
      <c r="F20" s="4">
        <f>+Tabla125[[#This Row],[PRECIO SUGERIDO INSTALADOR
( CON  IVA)]]*5%</f>
        <v>888.90520833333346</v>
      </c>
      <c r="G20" s="1">
        <v>0.96</v>
      </c>
      <c r="H20" s="3">
        <f>Tabla125[[#This Row],[COSTO]]*1.19</f>
        <v>17066.98</v>
      </c>
      <c r="K20" s="8">
        <v>14342</v>
      </c>
    </row>
    <row r="21" spans="1:11" ht="45" x14ac:dyDescent="0.25">
      <c r="A21" s="7" t="s">
        <v>116</v>
      </c>
      <c r="B21" s="6" t="s">
        <v>115</v>
      </c>
      <c r="C21" s="5">
        <f>+Tabla125[[#This Row],[COSTO +IVA]]/Tabla125[[#This Row],[Columna5]]</f>
        <v>18162.691489361703</v>
      </c>
      <c r="D21" s="5">
        <f>+Tabla125[[#This Row],[PRECIO SUGERIDO INSTALADOR
( CON  IVA)]]-Tabla125[[#This Row],[Columna2]]</f>
        <v>17254.556914893619</v>
      </c>
      <c r="E21" s="5">
        <f>+Tabla125[[#This Row],[PRECIO SUGERIDO INSTALADOR
( CON  IVA)]]/0.7</f>
        <v>25946.702127659577</v>
      </c>
      <c r="F21" s="4">
        <f>+Tabla125[[#This Row],[PRECIO SUGERIDO INSTALADOR
( CON  IVA)]]*5%</f>
        <v>908.13457446808525</v>
      </c>
      <c r="G21" s="16">
        <v>0.94</v>
      </c>
      <c r="H21" s="3">
        <f>Tabla125[[#This Row],[COSTO]]*1.19</f>
        <v>17072.93</v>
      </c>
      <c r="K21" s="8">
        <v>14347</v>
      </c>
    </row>
    <row r="22" spans="1:11" ht="45" x14ac:dyDescent="0.25">
      <c r="A22" s="7" t="s">
        <v>228</v>
      </c>
      <c r="B22" s="6" t="s">
        <v>229</v>
      </c>
      <c r="C22" s="5">
        <f>+Tabla125[[#This Row],[COSTO +IVA]]/Tabla125[[#This Row],[Columna5]]</f>
        <v>18262.161458333332</v>
      </c>
      <c r="D22" s="5">
        <f>+Tabla125[[#This Row],[PRECIO SUGERIDO INSTALADOR
( CON  IVA)]]-Tabla125[[#This Row],[Columna2]]</f>
        <v>17349.053385416664</v>
      </c>
      <c r="E22" s="5">
        <f>+Tabla125[[#This Row],[PRECIO SUGERIDO INSTALADOR
( CON  IVA)]]/0.7</f>
        <v>26088.802083333332</v>
      </c>
      <c r="F22" s="4">
        <f>+Tabla125[[#This Row],[PRECIO SUGERIDO INSTALADOR
( CON  IVA)]]*5%</f>
        <v>913.10807291666663</v>
      </c>
      <c r="G22" s="1">
        <v>0.96</v>
      </c>
      <c r="H22" s="3">
        <f>Tabla125[[#This Row],[COSTO]]*1.19</f>
        <v>17531.674999999999</v>
      </c>
      <c r="K22" s="8">
        <v>14732.5</v>
      </c>
    </row>
    <row r="23" spans="1:11" ht="45" x14ac:dyDescent="0.25">
      <c r="A23" s="7" t="s">
        <v>230</v>
      </c>
      <c r="B23" s="6" t="s">
        <v>231</v>
      </c>
      <c r="C23" s="5">
        <f>+Tabla125[[#This Row],[COSTO +IVA]]/Tabla125[[#This Row],[Columna5]]</f>
        <v>18513.796875</v>
      </c>
      <c r="D23" s="5">
        <f>+Tabla125[[#This Row],[PRECIO SUGERIDO INSTALADOR
( CON  IVA)]]-Tabla125[[#This Row],[Columna2]]</f>
        <v>17588.107031250001</v>
      </c>
      <c r="E23" s="5">
        <f>+Tabla125[[#This Row],[PRECIO SUGERIDO INSTALADOR
( CON  IVA)]]/0.7</f>
        <v>26448.28125</v>
      </c>
      <c r="F23" s="4">
        <f>+Tabla125[[#This Row],[PRECIO SUGERIDO INSTALADOR
( CON  IVA)]]*5%</f>
        <v>925.68984375000002</v>
      </c>
      <c r="G23" s="1">
        <v>0.96</v>
      </c>
      <c r="H23" s="3">
        <f>Tabla125[[#This Row],[COSTO]]*1.19</f>
        <v>17773.244999999999</v>
      </c>
      <c r="K23" s="3">
        <v>14935.5</v>
      </c>
    </row>
    <row r="24" spans="1:11" ht="45" x14ac:dyDescent="0.25">
      <c r="A24" s="7" t="s">
        <v>126</v>
      </c>
      <c r="B24" s="6" t="s">
        <v>125</v>
      </c>
      <c r="C24" s="5">
        <f>+Tabla125[[#This Row],[COSTO +IVA]]/Tabla125[[#This Row],[Columna5]]</f>
        <v>21103.90625</v>
      </c>
      <c r="D24" s="5">
        <f>+Tabla125[[#This Row],[PRECIO SUGERIDO INSTALADOR
( CON  IVA)]]-Tabla125[[#This Row],[Columna2]]</f>
        <v>20048.7109375</v>
      </c>
      <c r="E24" s="5">
        <f>+Tabla125[[#This Row],[PRECIO SUGERIDO INSTALADOR
( CON  IVA)]]/0.7</f>
        <v>30148.437500000004</v>
      </c>
      <c r="F24" s="4">
        <f>+Tabla125[[#This Row],[PRECIO SUGERIDO INSTALADOR
( CON  IVA)]]*5%</f>
        <v>1055.1953125</v>
      </c>
      <c r="G24" s="1">
        <v>0.96</v>
      </c>
      <c r="H24" s="3">
        <f>Tabla125[[#This Row],[COSTO]]*1.19</f>
        <v>20259.75</v>
      </c>
      <c r="K24" s="3">
        <v>17025</v>
      </c>
    </row>
    <row r="25" spans="1:11" ht="60" x14ac:dyDescent="0.25">
      <c r="A25" s="7" t="s">
        <v>232</v>
      </c>
      <c r="B25" s="6" t="s">
        <v>233</v>
      </c>
      <c r="C25" s="5">
        <f>+Tabla125[[#This Row],[COSTO +IVA]]/Tabla125[[#This Row],[Columna5]]</f>
        <v>22008.802083333336</v>
      </c>
      <c r="D25" s="5">
        <f>+Tabla125[[#This Row],[PRECIO SUGERIDO INSTALADOR
( CON  IVA)]]-Tabla125[[#This Row],[Columna2]]</f>
        <v>20908.361979166668</v>
      </c>
      <c r="E25" s="5">
        <f>+Tabla125[[#This Row],[PRECIO SUGERIDO INSTALADOR
( CON  IVA)]]/0.7</f>
        <v>31441.145833333339</v>
      </c>
      <c r="F25" s="4">
        <f>+Tabla125[[#This Row],[PRECIO SUGERIDO INSTALADOR
( CON  IVA)]]*5%</f>
        <v>1100.4401041666667</v>
      </c>
      <c r="G25" s="1">
        <v>0.96</v>
      </c>
      <c r="H25" s="3">
        <f>Tabla125[[#This Row],[COSTO]]*1.19</f>
        <v>21128.45</v>
      </c>
      <c r="K25" s="3">
        <v>17755</v>
      </c>
    </row>
    <row r="26" spans="1:11" ht="45" x14ac:dyDescent="0.25">
      <c r="A26" s="7" t="s">
        <v>234</v>
      </c>
      <c r="B26" s="6" t="s">
        <v>235</v>
      </c>
      <c r="C26" s="5">
        <f>+Tabla125[[#This Row],[COSTO +IVA]]/Tabla125[[#This Row],[Columna5]]</f>
        <v>24919.34375</v>
      </c>
      <c r="D26" s="5">
        <f>+Tabla125[[#This Row],[PRECIO SUGERIDO INSTALADOR
( CON  IVA)]]-Tabla125[[#This Row],[Columna2]]</f>
        <v>23673.376562500001</v>
      </c>
      <c r="E26" s="5">
        <f>+Tabla125[[#This Row],[PRECIO SUGERIDO INSTALADOR
( CON  IVA)]]/0.7</f>
        <v>35599.0625</v>
      </c>
      <c r="F26" s="4">
        <f>+Tabla125[[#This Row],[PRECIO SUGERIDO INSTALADOR
( CON  IVA)]]*5%</f>
        <v>1245.9671875000001</v>
      </c>
      <c r="G26" s="1">
        <v>0.96</v>
      </c>
      <c r="H26" s="3">
        <f>Tabla125[[#This Row],[COSTO]]*1.19</f>
        <v>23922.57</v>
      </c>
      <c r="K26" s="3">
        <v>20103</v>
      </c>
    </row>
    <row r="27" spans="1:11" ht="45" x14ac:dyDescent="0.25">
      <c r="A27" s="7" t="s">
        <v>122</v>
      </c>
      <c r="B27" s="6" t="s">
        <v>121</v>
      </c>
      <c r="C27" s="5">
        <f>+Tabla125[[#This Row],[COSTO +IVA]]/Tabla125[[#This Row],[Columna5]]</f>
        <v>32010.380208333336</v>
      </c>
      <c r="D27" s="5">
        <f>+Tabla125[[#This Row],[PRECIO SUGERIDO INSTALADOR
( CON  IVA)]]-Tabla125[[#This Row],[Columna2]]</f>
        <v>30409.861197916667</v>
      </c>
      <c r="E27" s="5">
        <f>+Tabla125[[#This Row],[PRECIO SUGERIDO INSTALADOR
( CON  IVA)]]/0.7</f>
        <v>45729.114583333343</v>
      </c>
      <c r="F27" s="4">
        <f>+Tabla125[[#This Row],[PRECIO SUGERIDO INSTALADOR
( CON  IVA)]]*5%</f>
        <v>1600.5190104166668</v>
      </c>
      <c r="G27" s="1">
        <v>0.96</v>
      </c>
      <c r="H27" s="3">
        <f>Tabla125[[#This Row],[COSTO]]*1.19</f>
        <v>30729.965</v>
      </c>
      <c r="K27" s="3">
        <v>25823.5</v>
      </c>
    </row>
    <row r="28" spans="1:11" ht="45" x14ac:dyDescent="0.25">
      <c r="A28" s="7" t="s">
        <v>236</v>
      </c>
      <c r="B28" s="6" t="s">
        <v>237</v>
      </c>
      <c r="C28" s="5">
        <f>+Tabla125[[#This Row],[COSTO +IVA]]/Tabla125[[#This Row],[Columna5]]</f>
        <v>6192.3385416666661</v>
      </c>
      <c r="D28" s="5">
        <f>+Tabla125[[#This Row],[PRECIO SUGERIDO INSTALADOR
( CON  IVA)]]-Tabla125[[#This Row],[Columna2]]</f>
        <v>5882.7216145833327</v>
      </c>
      <c r="E28" s="5">
        <f>+Tabla125[[#This Row],[PRECIO SUGERIDO INSTALADOR
( CON  IVA)]]/0.7</f>
        <v>8846.1979166666661</v>
      </c>
      <c r="F28" s="4">
        <f>+Tabla125[[#This Row],[PRECIO SUGERIDO INSTALADOR
( CON  IVA)]]*5%</f>
        <v>309.61692708333334</v>
      </c>
      <c r="G28" s="1">
        <v>0.96</v>
      </c>
      <c r="H28" s="3">
        <f>Tabla125[[#This Row],[COSTO]]*1.19</f>
        <v>5944.6449999999995</v>
      </c>
      <c r="K28" s="3">
        <v>4995.5</v>
      </c>
    </row>
    <row r="29" spans="1:11" ht="45" x14ac:dyDescent="0.25">
      <c r="A29" s="7" t="s">
        <v>136</v>
      </c>
      <c r="B29" s="6" t="s">
        <v>135</v>
      </c>
      <c r="C29" s="5">
        <f>+Tabla125[[#This Row],[COSTO +IVA]]/Tabla125[[#This Row],[Columna5]]</f>
        <v>6764.40625</v>
      </c>
      <c r="D29" s="5">
        <f>+Tabla125[[#This Row],[PRECIO SUGERIDO INSTALADOR
( CON  IVA)]]-Tabla125[[#This Row],[Columna2]]</f>
        <v>6426.1859375000004</v>
      </c>
      <c r="E29" s="5">
        <f>+Tabla125[[#This Row],[PRECIO SUGERIDO INSTALADOR
( CON  IVA)]]/0.7</f>
        <v>9663.4375</v>
      </c>
      <c r="F29" s="4">
        <f>+Tabla125[[#This Row],[PRECIO SUGERIDO INSTALADOR
( CON  IVA)]]*5%</f>
        <v>338.22031250000003</v>
      </c>
      <c r="G29" s="1">
        <v>0.96</v>
      </c>
      <c r="H29" s="3">
        <f>Tabla125[[#This Row],[COSTO]]*1.19</f>
        <v>6493.83</v>
      </c>
      <c r="K29" s="3">
        <v>5457</v>
      </c>
    </row>
    <row r="30" spans="1:11" ht="45" x14ac:dyDescent="0.25">
      <c r="A30" s="7" t="s">
        <v>134</v>
      </c>
      <c r="B30" s="6" t="s">
        <v>133</v>
      </c>
      <c r="C30" s="5">
        <f>+Tabla125[[#This Row],[COSTO +IVA]]/Tabla125[[#This Row],[Columna5]]</f>
        <v>7700.9114583333339</v>
      </c>
      <c r="D30" s="5">
        <f>+Tabla125[[#This Row],[PRECIO SUGERIDO INSTALADOR
( CON  IVA)]]-Tabla125[[#This Row],[Columna2]]</f>
        <v>7315.865885416667</v>
      </c>
      <c r="E30" s="5">
        <f>+Tabla125[[#This Row],[PRECIO SUGERIDO INSTALADOR
( CON  IVA)]]/0.7</f>
        <v>11001.302083333336</v>
      </c>
      <c r="F30" s="4">
        <f>+Tabla125[[#This Row],[PRECIO SUGERIDO INSTALADOR
( CON  IVA)]]*5%</f>
        <v>385.04557291666674</v>
      </c>
      <c r="G30" s="1">
        <v>0.96</v>
      </c>
      <c r="H30" s="3">
        <f>Tabla125[[#This Row],[COSTO]]*1.19</f>
        <v>7392.875</v>
      </c>
      <c r="K30" s="3">
        <v>6212.5</v>
      </c>
    </row>
    <row r="31" spans="1:11" ht="60" x14ac:dyDescent="0.25">
      <c r="A31" s="7" t="s">
        <v>238</v>
      </c>
      <c r="B31" s="6" t="s">
        <v>239</v>
      </c>
      <c r="C31" s="5">
        <f>+Tabla125[[#This Row],[COSTO +IVA]]/Tabla125[[#This Row],[Columna5]]</f>
        <v>8379.5833333333339</v>
      </c>
      <c r="D31" s="5">
        <f>+Tabla125[[#This Row],[PRECIO SUGERIDO INSTALADOR
( CON  IVA)]]-Tabla125[[#This Row],[Columna2]]</f>
        <v>7960.604166666667</v>
      </c>
      <c r="E31" s="5">
        <f>+Tabla125[[#This Row],[PRECIO SUGERIDO INSTALADOR
( CON  IVA)]]/0.7</f>
        <v>11970.833333333336</v>
      </c>
      <c r="F31" s="4">
        <f>+Tabla125[[#This Row],[PRECIO SUGERIDO INSTALADOR
( CON  IVA)]]*5%</f>
        <v>418.97916666666674</v>
      </c>
      <c r="G31" s="1">
        <v>0.96</v>
      </c>
      <c r="H31" s="3">
        <f>Tabla125[[#This Row],[COSTO]]*1.19</f>
        <v>8044.4</v>
      </c>
      <c r="K31" s="3">
        <v>6760</v>
      </c>
    </row>
    <row r="32" spans="1:11" ht="45" x14ac:dyDescent="0.25">
      <c r="A32" s="7" t="s">
        <v>203</v>
      </c>
      <c r="B32" s="6" t="s">
        <v>202</v>
      </c>
      <c r="C32" s="5">
        <f>+Tabla125[[#This Row],[COSTO +IVA]]/Tabla125[[#This Row],[Columna5]]</f>
        <v>8147.335</v>
      </c>
      <c r="D32" s="5">
        <f>+Tabla125[[#This Row],[PRECIO SUGERIDO INSTALADOR
( CON  IVA)]]-Tabla125[[#This Row],[Columna2]]</f>
        <v>7739.9682499999999</v>
      </c>
      <c r="E32" s="5">
        <f>+Tabla125[[#This Row],[PRECIO SUGERIDO INSTALADOR
( CON  IVA)]]/0.7</f>
        <v>11639.050000000001</v>
      </c>
      <c r="F32" s="4">
        <f>+Tabla125[[#This Row],[PRECIO SUGERIDO INSTALADOR
( CON  IVA)]]*5%</f>
        <v>407.36675000000002</v>
      </c>
      <c r="G32" s="16">
        <v>1</v>
      </c>
      <c r="H32" s="3">
        <f>Tabla125[[#This Row],[COSTO]]*1.19</f>
        <v>8147.335</v>
      </c>
      <c r="K32" s="3">
        <v>6846.5</v>
      </c>
    </row>
    <row r="33" spans="1:11" ht="45" x14ac:dyDescent="0.25">
      <c r="A33" s="7" t="s">
        <v>132</v>
      </c>
      <c r="B33" s="6" t="s">
        <v>131</v>
      </c>
      <c r="C33" s="5">
        <f>+Tabla125[[#This Row],[COSTO +IVA]]/Tabla125[[#This Row],[Columna5]]</f>
        <v>10108.802083333332</v>
      </c>
      <c r="D33" s="5">
        <f>+Tabla125[[#This Row],[PRECIO SUGERIDO INSTALADOR
( CON  IVA)]]-Tabla125[[#This Row],[Columna2]]</f>
        <v>9603.3619791666661</v>
      </c>
      <c r="E33" s="5">
        <f>+Tabla125[[#This Row],[PRECIO SUGERIDO INSTALADOR
( CON  IVA)]]/0.7</f>
        <v>14441.145833333332</v>
      </c>
      <c r="F33" s="4">
        <f>+Tabla125[[#This Row],[PRECIO SUGERIDO INSTALADOR
( CON  IVA)]]*5%</f>
        <v>505.44010416666663</v>
      </c>
      <c r="G33" s="1">
        <v>0.96</v>
      </c>
      <c r="H33" s="3">
        <f>Tabla125[[#This Row],[COSTO]]*1.19</f>
        <v>9704.4499999999989</v>
      </c>
      <c r="K33" s="3">
        <v>8155</v>
      </c>
    </row>
    <row r="34" spans="1:11" ht="45" x14ac:dyDescent="0.25">
      <c r="A34" s="7" t="s">
        <v>138</v>
      </c>
      <c r="B34" s="6" t="s">
        <v>137</v>
      </c>
      <c r="C34" s="5">
        <f>+Tabla125[[#This Row],[COSTO +IVA]]/Tabla125[[#This Row],[Columna5]]</f>
        <v>10680.869791666668</v>
      </c>
      <c r="D34" s="5">
        <f>+Tabla125[[#This Row],[PRECIO SUGERIDO INSTALADOR
( CON  IVA)]]-Tabla125[[#This Row],[Columna2]]</f>
        <v>10146.826302083335</v>
      </c>
      <c r="E34" s="5">
        <f>+Tabla125[[#This Row],[PRECIO SUGERIDO INSTALADOR
( CON  IVA)]]/0.7</f>
        <v>15258.38541666667</v>
      </c>
      <c r="F34" s="4">
        <f>+Tabla125[[#This Row],[PRECIO SUGERIDO INSTALADOR
( CON  IVA)]]*5%</f>
        <v>534.04348958333344</v>
      </c>
      <c r="G34" s="1">
        <v>0.96</v>
      </c>
      <c r="H34" s="3">
        <f>Tabla125[[#This Row],[COSTO]]*1.19</f>
        <v>10253.635</v>
      </c>
      <c r="K34" s="3">
        <v>8616.5</v>
      </c>
    </row>
    <row r="35" spans="1:11" ht="45" x14ac:dyDescent="0.25">
      <c r="A35" s="7" t="s">
        <v>240</v>
      </c>
      <c r="B35" s="6" t="s">
        <v>241</v>
      </c>
      <c r="C35" s="5">
        <f>+Tabla125[[#This Row],[COSTO +IVA]]/Tabla125[[#This Row],[Columna5]]</f>
        <v>11422.760416666668</v>
      </c>
      <c r="D35" s="5">
        <f>+Tabla125[[#This Row],[PRECIO SUGERIDO INSTALADOR
( CON  IVA)]]-Tabla125[[#This Row],[Columna2]]</f>
        <v>10851.622395833334</v>
      </c>
      <c r="E35" s="5">
        <f>+Tabla125[[#This Row],[PRECIO SUGERIDO INSTALADOR
( CON  IVA)]]/0.7</f>
        <v>16318.22916666667</v>
      </c>
      <c r="F35" s="4">
        <f>+Tabla125[[#This Row],[PRECIO SUGERIDO INSTALADOR
( CON  IVA)]]*5%</f>
        <v>571.13802083333337</v>
      </c>
      <c r="G35" s="1">
        <v>0.96</v>
      </c>
      <c r="H35" s="3">
        <f>Tabla125[[#This Row],[COSTO]]*1.19</f>
        <v>10965.85</v>
      </c>
      <c r="K35" s="3">
        <v>9215</v>
      </c>
    </row>
    <row r="36" spans="1:11" ht="45" x14ac:dyDescent="0.25">
      <c r="A36" s="7" t="s">
        <v>130</v>
      </c>
      <c r="B36" s="6" t="s">
        <v>129</v>
      </c>
      <c r="C36" s="5">
        <f>+Tabla125[[#This Row],[COSTO +IVA]]/Tabla125[[#This Row],[Columna5]]</f>
        <v>11875.208333333332</v>
      </c>
      <c r="D36" s="5">
        <f>+Tabla125[[#This Row],[PRECIO SUGERIDO INSTALADOR
( CON  IVA)]]-Tabla125[[#This Row],[Columna2]]</f>
        <v>11281.447916666666</v>
      </c>
      <c r="E36" s="5">
        <f>+Tabla125[[#This Row],[PRECIO SUGERIDO INSTALADOR
( CON  IVA)]]/0.7</f>
        <v>16964.583333333332</v>
      </c>
      <c r="F36" s="4">
        <f>+Tabla125[[#This Row],[PRECIO SUGERIDO INSTALADOR
( CON  IVA)]]*5%</f>
        <v>593.76041666666663</v>
      </c>
      <c r="G36" s="1">
        <v>0.96</v>
      </c>
      <c r="H36" s="3">
        <f>Tabla125[[#This Row],[COSTO]]*1.19</f>
        <v>11400.199999999999</v>
      </c>
      <c r="K36" s="3">
        <v>9580</v>
      </c>
    </row>
    <row r="37" spans="1:11" ht="45" x14ac:dyDescent="0.25">
      <c r="A37" s="7" t="s">
        <v>201</v>
      </c>
      <c r="B37" s="6" t="s">
        <v>200</v>
      </c>
      <c r="C37" s="5">
        <f>+Tabla125[[#This Row],[COSTO +IVA]]/Tabla125[[#This Row],[Columna5]]</f>
        <v>12566.895833333334</v>
      </c>
      <c r="D37" s="5">
        <f>+Tabla125[[#This Row],[PRECIO SUGERIDO INSTALADOR
( CON  IVA)]]-Tabla125[[#This Row],[Columna2]]</f>
        <v>11938.551041666668</v>
      </c>
      <c r="E37" s="5">
        <f>+Tabla125[[#This Row],[PRECIO SUGERIDO INSTALADOR
( CON  IVA)]]/0.7</f>
        <v>17952.708333333336</v>
      </c>
      <c r="F37" s="4">
        <f>+Tabla125[[#This Row],[PRECIO SUGERIDO INSTALADOR
( CON  IVA)]]*5%</f>
        <v>628.34479166666677</v>
      </c>
      <c r="G37" s="1">
        <v>0.96</v>
      </c>
      <c r="H37" s="3">
        <f>Tabla125[[#This Row],[COSTO]]*1.19</f>
        <v>12064.22</v>
      </c>
      <c r="K37" s="3">
        <v>10138</v>
      </c>
    </row>
    <row r="38" spans="1:11" ht="45" x14ac:dyDescent="0.25">
      <c r="A38" s="7" t="s">
        <v>199</v>
      </c>
      <c r="B38" s="6" t="s">
        <v>198</v>
      </c>
      <c r="C38" s="5">
        <f>+Tabla125[[#This Row],[COSTO +IVA]]/Tabla125[[#This Row],[Columna5]]</f>
        <v>22441.71717171717</v>
      </c>
      <c r="D38" s="5">
        <f>+Tabla125[[#This Row],[PRECIO SUGERIDO INSTALADOR
( CON  IVA)]]-Tabla125[[#This Row],[Columna2]]</f>
        <v>21319.631313131311</v>
      </c>
      <c r="E38" s="5">
        <f>+Tabla125[[#This Row],[PRECIO SUGERIDO INSTALADOR
( CON  IVA)]]/0.7</f>
        <v>32059.595959595958</v>
      </c>
      <c r="F38" s="4">
        <f>+Tabla125[[#This Row],[PRECIO SUGERIDO INSTALADOR
( CON  IVA)]]*5%</f>
        <v>1122.0858585858584</v>
      </c>
      <c r="G38" s="16">
        <v>0.99</v>
      </c>
      <c r="H38" s="3">
        <f>Tabla125[[#This Row],[COSTO]]*1.19</f>
        <v>22217.3</v>
      </c>
      <c r="K38" s="3">
        <v>18670</v>
      </c>
    </row>
    <row r="39" spans="1:11" ht="60" x14ac:dyDescent="0.25">
      <c r="A39" s="7" t="s">
        <v>242</v>
      </c>
      <c r="B39" s="6" t="s">
        <v>243</v>
      </c>
      <c r="C39" s="5">
        <f>+Tabla125[[#This Row],[COSTO +IVA]]/Tabla125[[#This Row],[Columna5]]</f>
        <v>14911.567708333334</v>
      </c>
      <c r="D39" s="5">
        <f>+Tabla125[[#This Row],[PRECIO SUGERIDO INSTALADOR
( CON  IVA)]]-Tabla125[[#This Row],[Columna2]]</f>
        <v>14165.989322916666</v>
      </c>
      <c r="E39" s="5">
        <f>+Tabla125[[#This Row],[PRECIO SUGERIDO INSTALADOR
( CON  IVA)]]/0.7</f>
        <v>21302.239583333336</v>
      </c>
      <c r="F39" s="4">
        <f>+Tabla125[[#This Row],[PRECIO SUGERIDO INSTALADOR
( CON  IVA)]]*5%</f>
        <v>745.57838541666672</v>
      </c>
      <c r="G39" s="1">
        <v>0.96</v>
      </c>
      <c r="H39" s="3">
        <f>Tabla125[[#This Row],[COSTO]]*1.19</f>
        <v>14315.105</v>
      </c>
      <c r="K39" s="3">
        <v>12029.5</v>
      </c>
    </row>
    <row r="40" spans="1:11" ht="45" x14ac:dyDescent="0.25">
      <c r="A40" s="7" t="s">
        <v>17</v>
      </c>
      <c r="B40" s="6" t="s">
        <v>16</v>
      </c>
      <c r="C40" s="5">
        <f>+Tabla125[[#This Row],[COSTO +IVA]]/Tabla125[[#This Row],[Columna5]]</f>
        <v>48038.514999999999</v>
      </c>
      <c r="D40" s="5">
        <f>+Tabla125[[#This Row],[PRECIO SUGERIDO INSTALADOR
( CON  IVA)]]-Tabla125[[#This Row],[Columna2]]</f>
        <v>45636.589249999997</v>
      </c>
      <c r="E40" s="5">
        <f>+Tabla125[[#This Row],[PRECIO SUGERIDO INSTALADOR
( CON  IVA)]]/0.7</f>
        <v>68626.45</v>
      </c>
      <c r="F40" s="4">
        <f>+Tabla125[[#This Row],[PRECIO SUGERIDO INSTALADOR
( CON  IVA)]]*5%</f>
        <v>2401.9257499999999</v>
      </c>
      <c r="G40" s="16">
        <v>1</v>
      </c>
      <c r="H40" s="3">
        <f>Tabla125[[#This Row],[COSTO]]*1.19</f>
        <v>48038.514999999999</v>
      </c>
      <c r="K40" s="3">
        <v>40368.5</v>
      </c>
    </row>
    <row r="41" spans="1:11" ht="60" x14ac:dyDescent="0.25">
      <c r="A41" s="7" t="s">
        <v>164</v>
      </c>
      <c r="B41" s="6" t="s">
        <v>244</v>
      </c>
      <c r="C41" s="5">
        <f>+Tabla125[[#This Row],[COSTO +IVA]]/Tabla125[[#This Row],[Columna5]]</f>
        <v>1046275.965</v>
      </c>
      <c r="D41" s="5">
        <f>+Tabla125[[#This Row],[PRECIO SUGERIDO INSTALADOR
( CON  IVA)]]-Tabla125[[#This Row],[Columna2]]</f>
        <v>993962.16674999997</v>
      </c>
      <c r="E41" s="5">
        <f>+Tabla125[[#This Row],[PRECIO SUGERIDO INSTALADOR
( CON  IVA)]]/0.7</f>
        <v>1494679.95</v>
      </c>
      <c r="F41" s="4">
        <f>+Tabla125[[#This Row],[PRECIO SUGERIDO INSTALADOR
( CON  IVA)]]*5%</f>
        <v>52313.79825</v>
      </c>
      <c r="G41" s="16">
        <v>1</v>
      </c>
      <c r="H41" s="3">
        <f>Tabla125[[#This Row],[COSTO]]*1.19</f>
        <v>1046275.965</v>
      </c>
      <c r="K41" s="3">
        <v>879223.5</v>
      </c>
    </row>
    <row r="42" spans="1:11" ht="45" x14ac:dyDescent="0.25">
      <c r="A42" s="7" t="s">
        <v>207</v>
      </c>
      <c r="B42" s="6" t="s">
        <v>206</v>
      </c>
      <c r="C42" s="5">
        <f>+Tabla125[[#This Row],[COSTO +IVA]]/Tabla125[[#This Row],[Columna5]]</f>
        <v>7499.479166666667</v>
      </c>
      <c r="D42" s="5">
        <f>+Tabla125[[#This Row],[PRECIO SUGERIDO INSTALADOR
( CON  IVA)]]-Tabla125[[#This Row],[Columna2]]</f>
        <v>7124.5052083333339</v>
      </c>
      <c r="E42" s="5">
        <f>+Tabla125[[#This Row],[PRECIO SUGERIDO INSTALADOR
( CON  IVA)]]/0.7</f>
        <v>10713.541666666668</v>
      </c>
      <c r="F42" s="4">
        <f>+Tabla125[[#This Row],[PRECIO SUGERIDO INSTALADOR
( CON  IVA)]]*5%</f>
        <v>374.97395833333337</v>
      </c>
      <c r="G42" s="16">
        <v>0.96</v>
      </c>
      <c r="H42" s="3">
        <f>Tabla125[[#This Row],[COSTO]]*1.19</f>
        <v>7199.5</v>
      </c>
      <c r="K42" s="3">
        <v>6050</v>
      </c>
    </row>
    <row r="43" spans="1:11" ht="45" x14ac:dyDescent="0.25">
      <c r="A43" s="7" t="s">
        <v>205</v>
      </c>
      <c r="B43" s="6" t="s">
        <v>204</v>
      </c>
      <c r="C43" s="5">
        <f>+Tabla125[[#This Row],[COSTO +IVA]]/Tabla125[[#This Row],[Columna5]]</f>
        <v>7922</v>
      </c>
      <c r="D43" s="5">
        <f>+Tabla125[[#This Row],[PRECIO SUGERIDO INSTALADOR
( CON  IVA)]]-Tabla125[[#This Row],[Columna2]]</f>
        <v>7525.9</v>
      </c>
      <c r="E43" s="5">
        <f>+Tabla125[[#This Row],[PRECIO SUGERIDO INSTALADOR
( CON  IVA)]]/0.7</f>
        <v>11317.142857142859</v>
      </c>
      <c r="F43" s="4">
        <f>+Tabla125[[#This Row],[PRECIO SUGERIDO INSTALADOR
( CON  IVA)]]*5%</f>
        <v>396.1</v>
      </c>
      <c r="G43" s="16">
        <v>0.98</v>
      </c>
      <c r="H43" s="3">
        <f>Tabla125[[#This Row],[COSTO]]*1.19</f>
        <v>7763.5599999999995</v>
      </c>
      <c r="K43" s="3">
        <v>6524</v>
      </c>
    </row>
    <row r="44" spans="1:11" ht="45" x14ac:dyDescent="0.25">
      <c r="A44" s="7" t="s">
        <v>245</v>
      </c>
      <c r="B44" s="6" t="s">
        <v>246</v>
      </c>
      <c r="C44" s="5">
        <f>+Tabla125[[#This Row],[COSTO +IVA]]/Tabla125[[#This Row],[Columna5]]</f>
        <v>707226.91666666663</v>
      </c>
      <c r="D44" s="5">
        <f>+Tabla125[[#This Row],[PRECIO SUGERIDO INSTALADOR
( CON  IVA)]]-Tabla125[[#This Row],[Columna2]]</f>
        <v>671865.5708333333</v>
      </c>
      <c r="E44" s="5">
        <f>+Tabla125[[#This Row],[PRECIO SUGERIDO INSTALADOR
( CON  IVA)]]/0.7</f>
        <v>1010324.1666666666</v>
      </c>
      <c r="F44" s="4">
        <f>+Tabla125[[#This Row],[PRECIO SUGERIDO INSTALADOR
( CON  IVA)]]*5%</f>
        <v>35361.345833333333</v>
      </c>
      <c r="G44" s="1">
        <v>0.96</v>
      </c>
      <c r="H44" s="3">
        <f>Tabla125[[#This Row],[COSTO]]*1.19</f>
        <v>678937.84</v>
      </c>
      <c r="K44" s="3">
        <v>570536</v>
      </c>
    </row>
    <row r="45" spans="1:11" ht="45" x14ac:dyDescent="0.25">
      <c r="A45" s="7" t="s">
        <v>247</v>
      </c>
      <c r="B45" s="6" t="s">
        <v>248</v>
      </c>
      <c r="C45" s="5">
        <f>+Tabla125[[#This Row],[COSTO +IVA]]/Tabla125[[#This Row],[Columna5]]</f>
        <v>707226.91666666663</v>
      </c>
      <c r="D45" s="5">
        <f>+Tabla125[[#This Row],[PRECIO SUGERIDO INSTALADOR
( CON  IVA)]]-Tabla125[[#This Row],[Columna2]]</f>
        <v>671865.5708333333</v>
      </c>
      <c r="E45" s="5">
        <f>+Tabla125[[#This Row],[PRECIO SUGERIDO INSTALADOR
( CON  IVA)]]/0.7</f>
        <v>1010324.1666666666</v>
      </c>
      <c r="F45" s="4">
        <f>+Tabla125[[#This Row],[PRECIO SUGERIDO INSTALADOR
( CON  IVA)]]*5%</f>
        <v>35361.345833333333</v>
      </c>
      <c r="G45" s="1">
        <v>0.96</v>
      </c>
      <c r="H45" s="3">
        <f>Tabla125[[#This Row],[COSTO]]*1.19</f>
        <v>678937.84</v>
      </c>
      <c r="K45" s="3">
        <v>570536</v>
      </c>
    </row>
    <row r="46" spans="1:11" ht="45" x14ac:dyDescent="0.25">
      <c r="A46" s="7" t="s">
        <v>102</v>
      </c>
      <c r="B46" s="6" t="s">
        <v>101</v>
      </c>
      <c r="C46" s="5">
        <f>+Tabla125[[#This Row],[COSTO +IVA]]/Tabla125[[#This Row],[Columna5]]</f>
        <v>714260.93229166674</v>
      </c>
      <c r="D46" s="5">
        <f>+Tabla125[[#This Row],[PRECIO SUGERIDO INSTALADOR
( CON  IVA)]]-Tabla125[[#This Row],[Columna2]]</f>
        <v>678547.8856770834</v>
      </c>
      <c r="E46" s="5">
        <f>+Tabla125[[#This Row],[PRECIO SUGERIDO INSTALADOR
( CON  IVA)]]/0.7</f>
        <v>1020372.7604166669</v>
      </c>
      <c r="F46" s="4">
        <f>+Tabla125[[#This Row],[PRECIO SUGERIDO INSTALADOR
( CON  IVA)]]*5%</f>
        <v>35713.046614583342</v>
      </c>
      <c r="G46" s="1">
        <v>0.96</v>
      </c>
      <c r="H46" s="3">
        <f>Tabla125[[#This Row],[COSTO]]*1.19</f>
        <v>685690.495</v>
      </c>
      <c r="K46" s="3">
        <v>576210.5</v>
      </c>
    </row>
    <row r="47" spans="1:11" ht="45" x14ac:dyDescent="0.25">
      <c r="A47" s="7" t="s">
        <v>163</v>
      </c>
      <c r="B47" s="6" t="s">
        <v>162</v>
      </c>
      <c r="C47" s="5">
        <f>+Tabla125[[#This Row],[COSTO +IVA]]/Tabla125[[#This Row],[Columna5]]</f>
        <v>1066748.8489583333</v>
      </c>
      <c r="D47" s="5">
        <f>+Tabla125[[#This Row],[PRECIO SUGERIDO INSTALADOR
( CON  IVA)]]-Tabla125[[#This Row],[Columna2]]</f>
        <v>1013411.4065104167</v>
      </c>
      <c r="E47" s="5">
        <f>+Tabla125[[#This Row],[PRECIO SUGERIDO INSTALADOR
( CON  IVA)]]/0.7</f>
        <v>1523926.9270833333</v>
      </c>
      <c r="F47" s="4">
        <f>+Tabla125[[#This Row],[PRECIO SUGERIDO INSTALADOR
( CON  IVA)]]*5%</f>
        <v>53337.442447916663</v>
      </c>
      <c r="G47" s="1">
        <v>0.96</v>
      </c>
      <c r="H47" s="3">
        <f>Tabla125[[#This Row],[COSTO]]*1.19</f>
        <v>1024078.8949999999</v>
      </c>
      <c r="K47" s="3">
        <v>860570.5</v>
      </c>
    </row>
    <row r="48" spans="1:11" ht="45" x14ac:dyDescent="0.25">
      <c r="A48" s="7" t="s">
        <v>249</v>
      </c>
      <c r="B48" s="6" t="s">
        <v>250</v>
      </c>
      <c r="C48" s="5">
        <f>+Tabla125[[#This Row],[COSTO +IVA]]/Tabla125[[#This Row],[Columna5]]</f>
        <v>3470627.5625</v>
      </c>
      <c r="D48" s="5">
        <f>+Tabla125[[#This Row],[PRECIO SUGERIDO INSTALADOR
( CON  IVA)]]-Tabla125[[#This Row],[Columna2]]</f>
        <v>3297096.1843750002</v>
      </c>
      <c r="E48" s="5">
        <f>+Tabla125[[#This Row],[PRECIO SUGERIDO INSTALADOR
( CON  IVA)]]/0.7</f>
        <v>4958039.375</v>
      </c>
      <c r="F48" s="4">
        <f>+Tabla125[[#This Row],[PRECIO SUGERIDO INSTALADOR
( CON  IVA)]]*5%</f>
        <v>173531.37812500002</v>
      </c>
      <c r="G48" s="1">
        <v>0.96</v>
      </c>
      <c r="H48" s="3">
        <f>Tabla125[[#This Row],[COSTO]]*1.19</f>
        <v>3331802.46</v>
      </c>
      <c r="K48" s="3">
        <v>2799834</v>
      </c>
    </row>
    <row r="49" spans="1:11" ht="45" x14ac:dyDescent="0.25">
      <c r="A49" s="7" t="s">
        <v>251</v>
      </c>
      <c r="B49" s="6" t="s">
        <v>252</v>
      </c>
      <c r="C49" s="5">
        <f>+Tabla125[[#This Row],[COSTO +IVA]]/Tabla125[[#This Row],[Columna5]]</f>
        <v>3786170.3177083335</v>
      </c>
      <c r="D49" s="5">
        <f>+Tabla125[[#This Row],[PRECIO SUGERIDO INSTALADOR
( CON  IVA)]]-Tabla125[[#This Row],[Columna2]]</f>
        <v>3596861.8018229166</v>
      </c>
      <c r="E49" s="5">
        <f>+Tabla125[[#This Row],[PRECIO SUGERIDO INSTALADOR
( CON  IVA)]]/0.7</f>
        <v>5408814.739583334</v>
      </c>
      <c r="F49" s="4">
        <f>+Tabla125[[#This Row],[PRECIO SUGERIDO INSTALADOR
( CON  IVA)]]*5%</f>
        <v>189308.51588541668</v>
      </c>
      <c r="G49" s="1">
        <v>0.96</v>
      </c>
      <c r="H49" s="3">
        <f>Tabla125[[#This Row],[COSTO]]*1.19</f>
        <v>3634723.5049999999</v>
      </c>
      <c r="K49" s="3">
        <v>3054389.5</v>
      </c>
    </row>
    <row r="50" spans="1:11" ht="45" x14ac:dyDescent="0.25">
      <c r="A50" s="7" t="s">
        <v>253</v>
      </c>
      <c r="B50" s="6" t="s">
        <v>254</v>
      </c>
      <c r="C50" s="5">
        <f>+Tabla125[[#This Row],[COSTO +IVA]]/Tabla125[[#This Row],[Columna5]]</f>
        <v>5249343.494791667</v>
      </c>
      <c r="D50" s="5">
        <f>+Tabla125[[#This Row],[PRECIO SUGERIDO INSTALADOR
( CON  IVA)]]-Tabla125[[#This Row],[Columna2]]</f>
        <v>4986876.3200520836</v>
      </c>
      <c r="E50" s="5">
        <f>+Tabla125[[#This Row],[PRECIO SUGERIDO INSTALADOR
( CON  IVA)]]/0.7</f>
        <v>7499062.1354166679</v>
      </c>
      <c r="F50" s="4">
        <f>+Tabla125[[#This Row],[PRECIO SUGERIDO INSTALADOR
( CON  IVA)]]*5%</f>
        <v>262467.17473958334</v>
      </c>
      <c r="G50" s="1">
        <v>0.96</v>
      </c>
      <c r="H50" s="3">
        <f>Tabla125[[#This Row],[COSTO]]*1.19</f>
        <v>5039369.7549999999</v>
      </c>
      <c r="K50" s="3">
        <v>4234764.5</v>
      </c>
    </row>
    <row r="51" spans="1:11" ht="45" x14ac:dyDescent="0.25">
      <c r="A51" s="7" t="s">
        <v>161</v>
      </c>
      <c r="B51" s="6" t="s">
        <v>160</v>
      </c>
      <c r="C51" s="5">
        <f>+Tabla125[[#This Row],[COSTO +IVA]]/Tabla125[[#This Row],[Columna5]]</f>
        <v>1213537.828125</v>
      </c>
      <c r="D51" s="5">
        <f>+Tabla125[[#This Row],[PRECIO SUGERIDO INSTALADOR
( CON  IVA)]]-Tabla125[[#This Row],[Columna2]]</f>
        <v>1152860.93671875</v>
      </c>
      <c r="E51" s="5">
        <f>+Tabla125[[#This Row],[PRECIO SUGERIDO INSTALADOR
( CON  IVA)]]/0.7</f>
        <v>1733625.46875</v>
      </c>
      <c r="F51" s="4">
        <f>+Tabla125[[#This Row],[PRECIO SUGERIDO INSTALADOR
( CON  IVA)]]*5%</f>
        <v>60676.891406250004</v>
      </c>
      <c r="G51" s="16">
        <v>0.96</v>
      </c>
      <c r="H51" s="3">
        <f>Tabla125[[#This Row],[COSTO]]*1.19</f>
        <v>1164996.3149999999</v>
      </c>
      <c r="K51" s="3">
        <v>978988.5</v>
      </c>
    </row>
    <row r="52" spans="1:11" ht="30" x14ac:dyDescent="0.25">
      <c r="A52" s="7" t="s">
        <v>21</v>
      </c>
      <c r="B52" s="6" t="s">
        <v>20</v>
      </c>
      <c r="C52" s="5">
        <f>+Tabla125[[#This Row],[COSTO +IVA]]/Tabla125[[#This Row],[Columna5]]</f>
        <v>163047.72340425532</v>
      </c>
      <c r="D52" s="5">
        <f>+Tabla125[[#This Row],[PRECIO SUGERIDO INSTALADOR
( CON  IVA)]]-Tabla125[[#This Row],[Columna2]]</f>
        <v>154895.33723404256</v>
      </c>
      <c r="E52" s="5">
        <f>+Tabla125[[#This Row],[PRECIO SUGERIDO INSTALADOR
( CON  IVA)]]/0.7</f>
        <v>232925.31914893619</v>
      </c>
      <c r="F52" s="4">
        <f>+Tabla125[[#This Row],[PRECIO SUGERIDO INSTALADOR
( CON  IVA)]]*5%</f>
        <v>8152.386170212766</v>
      </c>
      <c r="G52" s="16">
        <v>0.94</v>
      </c>
      <c r="H52" s="3">
        <f>Tabla125[[#This Row],[COSTO]]*1.19</f>
        <v>153264.85999999999</v>
      </c>
      <c r="K52" s="3">
        <v>128794</v>
      </c>
    </row>
    <row r="53" spans="1:11" ht="60" x14ac:dyDescent="0.25">
      <c r="A53" s="7" t="s">
        <v>165</v>
      </c>
      <c r="B53" s="6" t="s">
        <v>255</v>
      </c>
      <c r="C53" s="5">
        <f>+Tabla125[[#This Row],[COSTO +IVA]]/Tabla125[[#This Row],[Columna5]]</f>
        <v>617946.546875</v>
      </c>
      <c r="D53" s="5">
        <f>+Tabla125[[#This Row],[PRECIO SUGERIDO INSTALADOR
( CON  IVA)]]-Tabla125[[#This Row],[Columna2]]</f>
        <v>587049.21953124995</v>
      </c>
      <c r="E53" s="5">
        <f>+Tabla125[[#This Row],[PRECIO SUGERIDO INSTALADOR
( CON  IVA)]]/0.7</f>
        <v>882780.78125</v>
      </c>
      <c r="F53" s="4">
        <f>+Tabla125[[#This Row],[PRECIO SUGERIDO INSTALADOR
( CON  IVA)]]*5%</f>
        <v>30897.327343750003</v>
      </c>
      <c r="G53" s="1">
        <v>0.96</v>
      </c>
      <c r="H53" s="3">
        <f>Tabla125[[#This Row],[COSTO]]*1.19</f>
        <v>593228.68499999994</v>
      </c>
      <c r="K53" s="3">
        <v>498511.5</v>
      </c>
    </row>
    <row r="54" spans="1:11" ht="45" x14ac:dyDescent="0.25">
      <c r="A54" s="7" t="s">
        <v>256</v>
      </c>
      <c r="B54" s="6" t="s">
        <v>257</v>
      </c>
      <c r="C54" s="5">
        <f>+Tabla125[[#This Row],[COSTO +IVA]]/Tabla125[[#This Row],[Columna5]]</f>
        <v>890602.19791666663</v>
      </c>
      <c r="D54" s="5">
        <f>+Tabla125[[#This Row],[PRECIO SUGERIDO INSTALADOR
( CON  IVA)]]-Tabla125[[#This Row],[Columna2]]</f>
        <v>846072.08802083333</v>
      </c>
      <c r="E54" s="5">
        <f>+Tabla125[[#This Row],[PRECIO SUGERIDO INSTALADOR
( CON  IVA)]]/0.7</f>
        <v>1272288.8541666667</v>
      </c>
      <c r="F54" s="4">
        <f>+Tabla125[[#This Row],[PRECIO SUGERIDO INSTALADOR
( CON  IVA)]]*5%</f>
        <v>44530.109895833331</v>
      </c>
      <c r="G54" s="1">
        <v>0.96</v>
      </c>
      <c r="H54" s="3">
        <f>Tabla125[[#This Row],[COSTO]]*1.19</f>
        <v>854978.11</v>
      </c>
      <c r="K54" s="3">
        <v>718469</v>
      </c>
    </row>
    <row r="55" spans="1:11" ht="30" x14ac:dyDescent="0.25">
      <c r="A55" s="7" t="s">
        <v>100</v>
      </c>
      <c r="B55" s="6" t="s">
        <v>99</v>
      </c>
      <c r="C55" s="5">
        <f>+Tabla125[[#This Row],[COSTO +IVA]]/Tabla125[[#This Row],[Columna5]]</f>
        <v>1045035.6875</v>
      </c>
      <c r="D55" s="5">
        <f>+Tabla125[[#This Row],[PRECIO SUGERIDO INSTALADOR
( CON  IVA)]]-Tabla125[[#This Row],[Columna2]]</f>
        <v>992783.90312499995</v>
      </c>
      <c r="E55" s="5">
        <f>+Tabla125[[#This Row],[PRECIO SUGERIDO INSTALADOR
( CON  IVA)]]/0.7</f>
        <v>1492908.125</v>
      </c>
      <c r="F55" s="4">
        <f>+Tabla125[[#This Row],[PRECIO SUGERIDO INSTALADOR
( CON  IVA)]]*5%</f>
        <v>52251.784375000003</v>
      </c>
      <c r="G55" s="1">
        <v>0.96</v>
      </c>
      <c r="H55" s="3">
        <f>Tabla125[[#This Row],[COSTO]]*1.19</f>
        <v>1003234.26</v>
      </c>
      <c r="K55" s="3">
        <v>843054</v>
      </c>
    </row>
    <row r="56" spans="1:11" ht="45" x14ac:dyDescent="0.25">
      <c r="A56" s="7" t="s">
        <v>49</v>
      </c>
      <c r="B56" s="6" t="s">
        <v>48</v>
      </c>
      <c r="C56" s="5">
        <f>+Tabla125[[#This Row],[COSTO +IVA]]/Tabla125[[#This Row],[Columna5]]</f>
        <v>146135.09895833334</v>
      </c>
      <c r="D56" s="5">
        <f>+Tabla125[[#This Row],[PRECIO SUGERIDO INSTALADOR
( CON  IVA)]]-Tabla125[[#This Row],[Columna2]]</f>
        <v>138828.34401041668</v>
      </c>
      <c r="E56" s="5">
        <f>+Tabla125[[#This Row],[PRECIO SUGERIDO INSTALADOR
( CON  IVA)]]/0.7</f>
        <v>208764.42708333337</v>
      </c>
      <c r="F56" s="4">
        <f>+Tabla125[[#This Row],[PRECIO SUGERIDO INSTALADOR
( CON  IVA)]]*5%</f>
        <v>7306.7549479166673</v>
      </c>
      <c r="G56" s="1">
        <v>0.96</v>
      </c>
      <c r="H56" s="3">
        <f>Tabla125[[#This Row],[COSTO]]*1.19</f>
        <v>140289.69500000001</v>
      </c>
      <c r="K56" s="3">
        <v>117890.5</v>
      </c>
    </row>
    <row r="57" spans="1:11" ht="30" x14ac:dyDescent="0.25">
      <c r="A57" s="7" t="s">
        <v>258</v>
      </c>
      <c r="B57" s="6" t="s">
        <v>259</v>
      </c>
      <c r="C57" s="5">
        <f>+Tabla125[[#This Row],[COSTO +IVA]]/Tabla125[[#This Row],[Columna5]]</f>
        <v>56759.43</v>
      </c>
      <c r="D57" s="5">
        <f>+Tabla125[[#This Row],[PRECIO SUGERIDO INSTALADOR
( CON  IVA)]]-Tabla125[[#This Row],[Columna2]]</f>
        <v>53921.458500000001</v>
      </c>
      <c r="E57" s="5">
        <f>+Tabla125[[#This Row],[PRECIO SUGERIDO INSTALADOR
( CON  IVA)]]/0.7</f>
        <v>81084.900000000009</v>
      </c>
      <c r="F57" s="4">
        <f>+Tabla125[[#This Row],[PRECIO SUGERIDO INSTALADOR
( CON  IVA)]]*5%</f>
        <v>2837.9715000000001</v>
      </c>
      <c r="G57" s="16">
        <v>1</v>
      </c>
      <c r="H57" s="3">
        <f>Tabla125[[#This Row],[COSTO]]*1.19</f>
        <v>56759.43</v>
      </c>
      <c r="K57" s="3">
        <v>47697</v>
      </c>
    </row>
    <row r="58" spans="1:11" ht="45" x14ac:dyDescent="0.25">
      <c r="A58" s="7" t="s">
        <v>45</v>
      </c>
      <c r="B58" s="6" t="s">
        <v>44</v>
      </c>
      <c r="C58" s="5">
        <f>+Tabla125[[#This Row],[COSTO +IVA]]/Tabla125[[#This Row],[Columna5]]</f>
        <v>124333.30729166666</v>
      </c>
      <c r="D58" s="5">
        <f>+Tabla125[[#This Row],[PRECIO SUGERIDO INSTALADOR
( CON  IVA)]]-Tabla125[[#This Row],[Columna2]]</f>
        <v>118116.64192708333</v>
      </c>
      <c r="E58" s="5">
        <f>+Tabla125[[#This Row],[PRECIO SUGERIDO INSTALADOR
( CON  IVA)]]/0.7</f>
        <v>177619.01041666666</v>
      </c>
      <c r="F58" s="4">
        <f>+Tabla125[[#This Row],[PRECIO SUGERIDO INSTALADOR
( CON  IVA)]]*5%</f>
        <v>6216.665364583333</v>
      </c>
      <c r="G58" s="1">
        <v>0.96</v>
      </c>
      <c r="H58" s="3">
        <f>Tabla125[[#This Row],[COSTO]]*1.19</f>
        <v>119359.97499999999</v>
      </c>
      <c r="K58" s="3">
        <v>100302.5</v>
      </c>
    </row>
    <row r="59" spans="1:11" ht="45" x14ac:dyDescent="0.25">
      <c r="A59" s="7" t="s">
        <v>260</v>
      </c>
      <c r="B59" s="6" t="s">
        <v>261</v>
      </c>
      <c r="C59" s="5">
        <f>+Tabla125[[#This Row],[COSTO +IVA]]/Tabla125[[#This Row],[Columna5]]</f>
        <v>137591.890625</v>
      </c>
      <c r="D59" s="5">
        <f>+Tabla125[[#This Row],[PRECIO SUGERIDO INSTALADOR
( CON  IVA)]]-Tabla125[[#This Row],[Columna2]]</f>
        <v>130712.29609375</v>
      </c>
      <c r="E59" s="5">
        <f>+Tabla125[[#This Row],[PRECIO SUGERIDO INSTALADOR
( CON  IVA)]]/0.7</f>
        <v>196559.84375</v>
      </c>
      <c r="F59" s="4">
        <f>+Tabla125[[#This Row],[PRECIO SUGERIDO INSTALADOR
( CON  IVA)]]*5%</f>
        <v>6879.5945312500007</v>
      </c>
      <c r="G59" s="1">
        <v>0.96</v>
      </c>
      <c r="H59" s="3">
        <f>Tabla125[[#This Row],[COSTO]]*1.19</f>
        <v>132088.215</v>
      </c>
      <c r="K59" s="3">
        <v>110998.5</v>
      </c>
    </row>
    <row r="60" spans="1:11" ht="45" x14ac:dyDescent="0.25">
      <c r="A60" s="7" t="s">
        <v>262</v>
      </c>
      <c r="B60" s="6" t="s">
        <v>263</v>
      </c>
      <c r="C60" s="5">
        <f>+Tabla125[[#This Row],[COSTO +IVA]]/Tabla125[[#This Row],[Columna5]]</f>
        <v>244895.18229166669</v>
      </c>
      <c r="D60" s="5">
        <f>+Tabla125[[#This Row],[PRECIO SUGERIDO INSTALADOR
( CON  IVA)]]-Tabla125[[#This Row],[Columna2]]</f>
        <v>232650.42317708334</v>
      </c>
      <c r="E60" s="5">
        <f>+Tabla125[[#This Row],[PRECIO SUGERIDO INSTALADOR
( CON  IVA)]]/0.7</f>
        <v>349850.26041666674</v>
      </c>
      <c r="F60" s="4">
        <f>+Tabla125[[#This Row],[PRECIO SUGERIDO INSTALADOR
( CON  IVA)]]*5%</f>
        <v>12244.759114583336</v>
      </c>
      <c r="G60" s="1">
        <v>0.96</v>
      </c>
      <c r="H60" s="3">
        <f>Tabla125[[#This Row],[COSTO]]*1.19</f>
        <v>235099.375</v>
      </c>
      <c r="K60" s="3">
        <v>197562.5</v>
      </c>
    </row>
    <row r="61" spans="1:11" ht="30" x14ac:dyDescent="0.25">
      <c r="A61" s="7" t="s">
        <v>264</v>
      </c>
      <c r="B61" s="6" t="s">
        <v>265</v>
      </c>
      <c r="C61" s="5">
        <f>+Tabla125[[#This Row],[COSTO +IVA]]/Tabla125[[#This Row],[Columna5]]</f>
        <v>559.671875</v>
      </c>
      <c r="D61" s="5">
        <f>+Tabla125[[#This Row],[PRECIO SUGERIDO INSTALADOR
( CON  IVA)]]-Tabla125[[#This Row],[Columna2]]</f>
        <v>531.68828125000005</v>
      </c>
      <c r="E61" s="5">
        <f>+Tabla125[[#This Row],[PRECIO SUGERIDO INSTALADOR
( CON  IVA)]]/0.7</f>
        <v>799.53125</v>
      </c>
      <c r="F61" s="4">
        <f>+Tabla125[[#This Row],[PRECIO SUGERIDO INSTALADOR
( CON  IVA)]]*5%</f>
        <v>27.983593750000001</v>
      </c>
      <c r="G61" s="1">
        <v>0.96</v>
      </c>
      <c r="H61" s="3">
        <f>Tabla125[[#This Row],[COSTO]]*1.19</f>
        <v>537.28499999999997</v>
      </c>
      <c r="K61" s="3">
        <v>451.5</v>
      </c>
    </row>
    <row r="62" spans="1:11" ht="30" x14ac:dyDescent="0.25">
      <c r="A62" s="7" t="s">
        <v>266</v>
      </c>
      <c r="B62" s="6" t="s">
        <v>267</v>
      </c>
      <c r="C62" s="5">
        <f>+Tabla125[[#This Row],[COSTO +IVA]]/Tabla125[[#This Row],[Columna5]]</f>
        <v>559.671875</v>
      </c>
      <c r="D62" s="5">
        <f>+Tabla125[[#This Row],[PRECIO SUGERIDO INSTALADOR
( CON  IVA)]]-Tabla125[[#This Row],[Columna2]]</f>
        <v>531.68828125000005</v>
      </c>
      <c r="E62" s="5">
        <f>+Tabla125[[#This Row],[PRECIO SUGERIDO INSTALADOR
( CON  IVA)]]/0.7</f>
        <v>799.53125</v>
      </c>
      <c r="F62" s="4">
        <f>+Tabla125[[#This Row],[PRECIO SUGERIDO INSTALADOR
( CON  IVA)]]*5%</f>
        <v>27.983593750000001</v>
      </c>
      <c r="G62" s="1">
        <v>0.96</v>
      </c>
      <c r="H62" s="3">
        <f>Tabla125[[#This Row],[COSTO]]*1.19</f>
        <v>537.28499999999997</v>
      </c>
      <c r="K62" s="3">
        <v>451.5</v>
      </c>
    </row>
    <row r="63" spans="1:11" ht="45" x14ac:dyDescent="0.25">
      <c r="A63" s="7" t="s">
        <v>268</v>
      </c>
      <c r="B63" s="6" t="s">
        <v>269</v>
      </c>
      <c r="C63" s="5">
        <f>+Tabla125[[#This Row],[COSTO +IVA]]/Tabla125[[#This Row],[Columna5]]</f>
        <v>1508.5729166666667</v>
      </c>
      <c r="D63" s="5">
        <f>+Tabla125[[#This Row],[PRECIO SUGERIDO INSTALADOR
( CON  IVA)]]-Tabla125[[#This Row],[Columna2]]</f>
        <v>1433.1442708333334</v>
      </c>
      <c r="E63" s="5">
        <f>+Tabla125[[#This Row],[PRECIO SUGERIDO INSTALADOR
( CON  IVA)]]/0.7</f>
        <v>2155.104166666667</v>
      </c>
      <c r="F63" s="4">
        <f>+Tabla125[[#This Row],[PRECIO SUGERIDO INSTALADOR
( CON  IVA)]]*5%</f>
        <v>75.428645833333334</v>
      </c>
      <c r="G63" s="1">
        <v>0.96</v>
      </c>
      <c r="H63" s="3">
        <f>Tabla125[[#This Row],[COSTO]]*1.19</f>
        <v>1448.23</v>
      </c>
      <c r="K63" s="3">
        <v>1217</v>
      </c>
    </row>
    <row r="64" spans="1:11" ht="60" x14ac:dyDescent="0.25">
      <c r="A64" s="7" t="s">
        <v>270</v>
      </c>
      <c r="B64" s="6" t="s">
        <v>271</v>
      </c>
      <c r="C64" s="5">
        <f>+Tabla125[[#This Row],[COSTO +IVA]]/Tabla125[[#This Row],[Columna5]]</f>
        <v>1747.8125</v>
      </c>
      <c r="D64" s="5">
        <f>+Tabla125[[#This Row],[PRECIO SUGERIDO INSTALADOR
( CON  IVA)]]-Tabla125[[#This Row],[Columna2]]</f>
        <v>1660.421875</v>
      </c>
      <c r="E64" s="5">
        <f>+Tabla125[[#This Row],[PRECIO SUGERIDO INSTALADOR
( CON  IVA)]]/0.7</f>
        <v>2496.875</v>
      </c>
      <c r="F64" s="4">
        <f>+Tabla125[[#This Row],[PRECIO SUGERIDO INSTALADOR
( CON  IVA)]]*5%</f>
        <v>87.390625</v>
      </c>
      <c r="G64" s="1">
        <v>0.96</v>
      </c>
      <c r="H64" s="3">
        <f>Tabla125[[#This Row],[COSTO]]*1.19</f>
        <v>1677.8999999999999</v>
      </c>
      <c r="K64" s="3">
        <v>1410</v>
      </c>
    </row>
    <row r="65" spans="1:11" ht="45" x14ac:dyDescent="0.25">
      <c r="A65" s="7" t="s">
        <v>272</v>
      </c>
      <c r="B65" s="6" t="s">
        <v>273</v>
      </c>
      <c r="C65" s="5">
        <f>+Tabla125[[#This Row],[COSTO +IVA]]/Tabla125[[#This Row],[Columna5]]</f>
        <v>1923.8333333333333</v>
      </c>
      <c r="D65" s="5">
        <f>+Tabla125[[#This Row],[PRECIO SUGERIDO INSTALADOR
( CON  IVA)]]-Tabla125[[#This Row],[Columna2]]</f>
        <v>1827.6416666666667</v>
      </c>
      <c r="E65" s="5">
        <f>+Tabla125[[#This Row],[PRECIO SUGERIDO INSTALADOR
( CON  IVA)]]/0.7</f>
        <v>2748.3333333333335</v>
      </c>
      <c r="F65" s="4">
        <f>+Tabla125[[#This Row],[PRECIO SUGERIDO INSTALADOR
( CON  IVA)]]*5%</f>
        <v>96.191666666666663</v>
      </c>
      <c r="G65" s="1">
        <v>0.96</v>
      </c>
      <c r="H65" s="3">
        <f>Tabla125[[#This Row],[COSTO]]*1.19</f>
        <v>1846.8799999999999</v>
      </c>
      <c r="K65" s="3">
        <v>1552</v>
      </c>
    </row>
    <row r="66" spans="1:11" ht="45" x14ac:dyDescent="0.25">
      <c r="A66" s="7" t="s">
        <v>274</v>
      </c>
      <c r="B66" s="6" t="s">
        <v>275</v>
      </c>
      <c r="C66" s="5">
        <f>+Tabla125[[#This Row],[COSTO +IVA]]/Tabla125[[#This Row],[Columna5]]</f>
        <v>2772.328125</v>
      </c>
      <c r="D66" s="5">
        <f>+Tabla125[[#This Row],[PRECIO SUGERIDO INSTALADOR
( CON  IVA)]]-Tabla125[[#This Row],[Columna2]]</f>
        <v>2633.7117187499998</v>
      </c>
      <c r="E66" s="5">
        <f>+Tabla125[[#This Row],[PRECIO SUGERIDO INSTALADOR
( CON  IVA)]]/0.7</f>
        <v>3960.4687500000005</v>
      </c>
      <c r="F66" s="4">
        <f>+Tabla125[[#This Row],[PRECIO SUGERIDO INSTALADOR
( CON  IVA)]]*5%</f>
        <v>138.61640625000001</v>
      </c>
      <c r="G66" s="1">
        <v>0.96</v>
      </c>
      <c r="H66" s="3">
        <f>Tabla125[[#This Row],[COSTO]]*1.19</f>
        <v>2661.4349999999999</v>
      </c>
      <c r="K66" s="3">
        <v>2236.5</v>
      </c>
    </row>
    <row r="67" spans="1:11" ht="45" x14ac:dyDescent="0.25">
      <c r="A67" s="7" t="s">
        <v>276</v>
      </c>
      <c r="B67" s="6" t="s">
        <v>277</v>
      </c>
      <c r="C67" s="5">
        <f>+Tabla125[[#This Row],[COSTO +IVA]]/Tabla125[[#This Row],[Columna5]]</f>
        <v>2810.135416666667</v>
      </c>
      <c r="D67" s="5">
        <f>+Tabla125[[#This Row],[PRECIO SUGERIDO INSTALADOR
( CON  IVA)]]-Tabla125[[#This Row],[Columna2]]</f>
        <v>2669.6286458333334</v>
      </c>
      <c r="E67" s="5">
        <f>+Tabla125[[#This Row],[PRECIO SUGERIDO INSTALADOR
( CON  IVA)]]/0.7</f>
        <v>4014.4791666666674</v>
      </c>
      <c r="F67" s="4">
        <f>+Tabla125[[#This Row],[PRECIO SUGERIDO INSTALADOR
( CON  IVA)]]*5%</f>
        <v>140.50677083333335</v>
      </c>
      <c r="G67" s="1">
        <v>0.96</v>
      </c>
      <c r="H67" s="3">
        <f>Tabla125[[#This Row],[COSTO]]*1.19</f>
        <v>2697.73</v>
      </c>
      <c r="K67" s="3">
        <v>2267</v>
      </c>
    </row>
    <row r="68" spans="1:11" ht="45" x14ac:dyDescent="0.25">
      <c r="A68" s="7" t="s">
        <v>278</v>
      </c>
      <c r="B68" s="6" t="s">
        <v>279</v>
      </c>
      <c r="C68" s="5">
        <f>+Tabla125[[#This Row],[COSTO +IVA]]/Tabla125[[#This Row],[Columna5]]</f>
        <v>2834.927083333333</v>
      </c>
      <c r="D68" s="5">
        <f>+Tabla125[[#This Row],[PRECIO SUGERIDO INSTALADOR
( CON  IVA)]]-Tabla125[[#This Row],[Columna2]]</f>
        <v>2693.1807291666664</v>
      </c>
      <c r="E68" s="5">
        <f>+Tabla125[[#This Row],[PRECIO SUGERIDO INSTALADOR
( CON  IVA)]]/0.7</f>
        <v>4049.895833333333</v>
      </c>
      <c r="F68" s="4">
        <f>+Tabla125[[#This Row],[PRECIO SUGERIDO INSTALADOR
( CON  IVA)]]*5%</f>
        <v>141.74635416666666</v>
      </c>
      <c r="G68" s="1">
        <v>0.96</v>
      </c>
      <c r="H68" s="3">
        <f>Tabla125[[#This Row],[COSTO]]*1.19</f>
        <v>2721.5299999999997</v>
      </c>
      <c r="K68" s="3">
        <v>2287</v>
      </c>
    </row>
    <row r="69" spans="1:11" ht="45" x14ac:dyDescent="0.25">
      <c r="A69" s="7" t="s">
        <v>280</v>
      </c>
      <c r="B69" s="6" t="s">
        <v>281</v>
      </c>
      <c r="C69" s="5">
        <f>+Tabla125[[#This Row],[COSTO +IVA]]/Tabla125[[#This Row],[Columna5]]</f>
        <v>3250.1875</v>
      </c>
      <c r="D69" s="5">
        <f>+Tabla125[[#This Row],[PRECIO SUGERIDO INSTALADOR
( CON  IVA)]]-Tabla125[[#This Row],[Columna2]]</f>
        <v>3087.6781249999999</v>
      </c>
      <c r="E69" s="5">
        <f>+Tabla125[[#This Row],[PRECIO SUGERIDO INSTALADOR
( CON  IVA)]]/0.7</f>
        <v>4643.125</v>
      </c>
      <c r="F69" s="4">
        <f>+Tabla125[[#This Row],[PRECIO SUGERIDO INSTALADOR
( CON  IVA)]]*5%</f>
        <v>162.50937500000001</v>
      </c>
      <c r="G69" s="1">
        <v>0.96</v>
      </c>
      <c r="H69" s="3">
        <f>Tabla125[[#This Row],[COSTO]]*1.19</f>
        <v>3120.18</v>
      </c>
      <c r="K69" s="3">
        <v>2622</v>
      </c>
    </row>
    <row r="70" spans="1:11" ht="45" x14ac:dyDescent="0.25">
      <c r="A70" s="7" t="s">
        <v>282</v>
      </c>
      <c r="B70" s="6" t="s">
        <v>283</v>
      </c>
      <c r="C70" s="5">
        <f>+Tabla125[[#This Row],[COSTO +IVA]]/Tabla125[[#This Row],[Columna5]]</f>
        <v>1923.8333333333333</v>
      </c>
      <c r="D70" s="5">
        <f>+Tabla125[[#This Row],[PRECIO SUGERIDO INSTALADOR
( CON  IVA)]]-Tabla125[[#This Row],[Columna2]]</f>
        <v>1827.6416666666667</v>
      </c>
      <c r="E70" s="5">
        <f>+Tabla125[[#This Row],[PRECIO SUGERIDO INSTALADOR
( CON  IVA)]]/0.7</f>
        <v>2748.3333333333335</v>
      </c>
      <c r="F70" s="4">
        <f>+Tabla125[[#This Row],[PRECIO SUGERIDO INSTALADOR
( CON  IVA)]]*5%</f>
        <v>96.191666666666663</v>
      </c>
      <c r="G70" s="1">
        <v>0.96</v>
      </c>
      <c r="H70" s="3">
        <f>Tabla125[[#This Row],[COSTO]]*1.19</f>
        <v>1846.8799999999999</v>
      </c>
      <c r="K70" s="3">
        <v>1552</v>
      </c>
    </row>
    <row r="71" spans="1:11" ht="45" x14ac:dyDescent="0.25">
      <c r="A71" s="7" t="s">
        <v>284</v>
      </c>
      <c r="B71" s="6" t="s">
        <v>285</v>
      </c>
      <c r="C71" s="5">
        <f>+Tabla125[[#This Row],[COSTO +IVA]]/Tabla125[[#This Row],[Columna5]]</f>
        <v>2960.744791666667</v>
      </c>
      <c r="D71" s="5">
        <f>+Tabla125[[#This Row],[PRECIO SUGERIDO INSTALADOR
( CON  IVA)]]-Tabla125[[#This Row],[Columna2]]</f>
        <v>2812.7075520833337</v>
      </c>
      <c r="E71" s="5">
        <f>+Tabla125[[#This Row],[PRECIO SUGERIDO INSTALADOR
( CON  IVA)]]/0.7</f>
        <v>4229.635416666667</v>
      </c>
      <c r="F71" s="4">
        <f>+Tabla125[[#This Row],[PRECIO SUGERIDO INSTALADOR
( CON  IVA)]]*5%</f>
        <v>148.03723958333336</v>
      </c>
      <c r="G71" s="1">
        <v>0.96</v>
      </c>
      <c r="H71" s="3">
        <f>Tabla125[[#This Row],[COSTO]]*1.19</f>
        <v>2842.3150000000001</v>
      </c>
      <c r="K71" s="3">
        <v>2388.5</v>
      </c>
    </row>
    <row r="72" spans="1:11" ht="30" x14ac:dyDescent="0.25">
      <c r="A72" s="7" t="s">
        <v>286</v>
      </c>
      <c r="B72" s="6" t="s">
        <v>287</v>
      </c>
      <c r="C72" s="5">
        <f>+Tabla125[[#This Row],[COSTO +IVA]]/Tabla125[[#This Row],[Columna5]]</f>
        <v>3752.8385416666665</v>
      </c>
      <c r="D72" s="5">
        <f>+Tabla125[[#This Row],[PRECIO SUGERIDO INSTALADOR
( CON  IVA)]]-Tabla125[[#This Row],[Columna2]]</f>
        <v>3565.196614583333</v>
      </c>
      <c r="E72" s="5">
        <f>+Tabla125[[#This Row],[PRECIO SUGERIDO INSTALADOR
( CON  IVA)]]/0.7</f>
        <v>5361.197916666667</v>
      </c>
      <c r="F72" s="4">
        <f>+Tabla125[[#This Row],[PRECIO SUGERIDO INSTALADOR
( CON  IVA)]]*5%</f>
        <v>187.64192708333334</v>
      </c>
      <c r="G72" s="1">
        <v>0.96</v>
      </c>
      <c r="H72" s="3">
        <f>Tabla125[[#This Row],[COSTO]]*1.19</f>
        <v>3602.7249999999999</v>
      </c>
      <c r="K72" s="3">
        <v>3027.5</v>
      </c>
    </row>
    <row r="73" spans="1:11" ht="45" x14ac:dyDescent="0.25">
      <c r="A73" s="7" t="s">
        <v>288</v>
      </c>
      <c r="B73" s="6" t="s">
        <v>289</v>
      </c>
      <c r="C73" s="5">
        <f>+Tabla125[[#This Row],[COSTO +IVA]]/Tabla125[[#This Row],[Columna5]]</f>
        <v>4388.125</v>
      </c>
      <c r="D73" s="5">
        <f>+Tabla125[[#This Row],[PRECIO SUGERIDO INSTALADOR
( CON  IVA)]]-Tabla125[[#This Row],[Columna2]]</f>
        <v>4168.71875</v>
      </c>
      <c r="E73" s="5">
        <f>+Tabla125[[#This Row],[PRECIO SUGERIDO INSTALADOR
( CON  IVA)]]/0.7</f>
        <v>6268.75</v>
      </c>
      <c r="F73" s="4">
        <f>+Tabla125[[#This Row],[PRECIO SUGERIDO INSTALADOR
( CON  IVA)]]*5%</f>
        <v>219.40625</v>
      </c>
      <c r="G73" s="1">
        <v>0.96</v>
      </c>
      <c r="H73" s="3">
        <f>Tabla125[[#This Row],[COSTO]]*1.19</f>
        <v>4212.5999999999995</v>
      </c>
      <c r="K73" s="3">
        <v>3540</v>
      </c>
    </row>
    <row r="74" spans="1:11" ht="45" x14ac:dyDescent="0.25">
      <c r="A74" s="7" t="s">
        <v>290</v>
      </c>
      <c r="B74" s="6" t="s">
        <v>291</v>
      </c>
      <c r="C74" s="5">
        <f>+Tabla125[[#This Row],[COSTO +IVA]]/Tabla125[[#This Row],[Columna5]]</f>
        <v>5802.489583333333</v>
      </c>
      <c r="D74" s="5">
        <f>+Tabla125[[#This Row],[PRECIO SUGERIDO INSTALADOR
( CON  IVA)]]-Tabla125[[#This Row],[Columna2]]</f>
        <v>5512.3651041666662</v>
      </c>
      <c r="E74" s="5">
        <f>+Tabla125[[#This Row],[PRECIO SUGERIDO INSTALADOR
( CON  IVA)]]/0.7</f>
        <v>8289.2708333333339</v>
      </c>
      <c r="F74" s="4">
        <f>+Tabla125[[#This Row],[PRECIO SUGERIDO INSTALADOR
( CON  IVA)]]*5%</f>
        <v>290.12447916666667</v>
      </c>
      <c r="G74" s="1">
        <v>0.96</v>
      </c>
      <c r="H74" s="3">
        <f>Tabla125[[#This Row],[COSTO]]*1.19</f>
        <v>5570.3899999999994</v>
      </c>
      <c r="K74" s="3">
        <v>4681</v>
      </c>
    </row>
    <row r="75" spans="1:11" ht="45" x14ac:dyDescent="0.25">
      <c r="A75" s="7" t="s">
        <v>41</v>
      </c>
      <c r="B75" s="6" t="s">
        <v>292</v>
      </c>
      <c r="C75" s="5">
        <f>+Tabla125[[#This Row],[COSTO +IVA]]/Tabla125[[#This Row],[Columna5]]</f>
        <v>416301.66666666669</v>
      </c>
      <c r="D75" s="5">
        <f>+Tabla125[[#This Row],[PRECIO SUGERIDO INSTALADOR
( CON  IVA)]]-Tabla125[[#This Row],[Columna2]]</f>
        <v>395486.58333333337</v>
      </c>
      <c r="E75" s="5">
        <f>+Tabla125[[#This Row],[PRECIO SUGERIDO INSTALADOR
( CON  IVA)]]/0.7</f>
        <v>594716.66666666674</v>
      </c>
      <c r="F75" s="4">
        <f>+Tabla125[[#This Row],[PRECIO SUGERIDO INSTALADOR
( CON  IVA)]]*5%</f>
        <v>20815.083333333336</v>
      </c>
      <c r="G75" s="1">
        <v>0.96</v>
      </c>
      <c r="H75" s="3">
        <f>Tabla125[[#This Row],[COSTO]]*1.19</f>
        <v>399649.6</v>
      </c>
      <c r="K75" s="3">
        <v>335840</v>
      </c>
    </row>
    <row r="76" spans="1:11" ht="45" x14ac:dyDescent="0.25">
      <c r="A76" s="7" t="s">
        <v>43</v>
      </c>
      <c r="B76" s="6" t="s">
        <v>42</v>
      </c>
      <c r="C76" s="5">
        <f>+Tabla125[[#This Row],[COSTO +IVA]]/Tabla125[[#This Row],[Columna5]]</f>
        <v>312870.83333333337</v>
      </c>
      <c r="D76" s="5">
        <f>+Tabla125[[#This Row],[PRECIO SUGERIDO INSTALADOR
( CON  IVA)]]-Tabla125[[#This Row],[Columna2]]</f>
        <v>297227.29166666669</v>
      </c>
      <c r="E76" s="5">
        <f>+Tabla125[[#This Row],[PRECIO SUGERIDO INSTALADOR
( CON  IVA)]]/0.7</f>
        <v>446958.33333333343</v>
      </c>
      <c r="F76" s="4">
        <f>+Tabla125[[#This Row],[PRECIO SUGERIDO INSTALADOR
( CON  IVA)]]*5%</f>
        <v>15643.54166666667</v>
      </c>
      <c r="G76" s="1">
        <v>0.96</v>
      </c>
      <c r="H76" s="3">
        <f>Tabla125[[#This Row],[COSTO]]*1.19</f>
        <v>300356</v>
      </c>
      <c r="K76" s="3">
        <v>252400</v>
      </c>
    </row>
    <row r="77" spans="1:11" ht="45" x14ac:dyDescent="0.25">
      <c r="A77" s="7" t="s">
        <v>81</v>
      </c>
      <c r="B77" s="6" t="s">
        <v>80</v>
      </c>
      <c r="C77" s="5">
        <f>+Tabla125[[#This Row],[COSTO +IVA]]/Tabla125[[#This Row],[Columna5]]</f>
        <v>5202.085</v>
      </c>
      <c r="D77" s="5">
        <f>+Tabla125[[#This Row],[PRECIO SUGERIDO INSTALADOR
( CON  IVA)]]-Tabla125[[#This Row],[Columna2]]</f>
        <v>4941.9807499999997</v>
      </c>
      <c r="E77" s="5">
        <f>+Tabla125[[#This Row],[PRECIO SUGERIDO INSTALADOR
( CON  IVA)]]/0.7</f>
        <v>7431.55</v>
      </c>
      <c r="F77" s="4">
        <f>+Tabla125[[#This Row],[PRECIO SUGERIDO INSTALADOR
( CON  IVA)]]*5%</f>
        <v>260.10425000000004</v>
      </c>
      <c r="G77" s="16">
        <v>1</v>
      </c>
      <c r="H77" s="3">
        <f>Tabla125[[#This Row],[COSTO]]*1.19</f>
        <v>5202.085</v>
      </c>
      <c r="K77" s="3">
        <v>4371.5</v>
      </c>
    </row>
    <row r="78" spans="1:11" ht="45" x14ac:dyDescent="0.25">
      <c r="A78" s="7" t="s">
        <v>14</v>
      </c>
      <c r="B78" s="6" t="s">
        <v>13</v>
      </c>
      <c r="C78" s="5">
        <f>+Tabla125[[#This Row],[COSTO +IVA]]/Tabla125[[#This Row],[Columna5]]</f>
        <v>69471.828125</v>
      </c>
      <c r="D78" s="5">
        <f>+Tabla125[[#This Row],[PRECIO SUGERIDO INSTALADOR
( CON  IVA)]]-Tabla125[[#This Row],[Columna2]]</f>
        <v>65998.236718750006</v>
      </c>
      <c r="E78" s="5">
        <f>+Tabla125[[#This Row],[PRECIO SUGERIDO INSTALADOR
( CON  IVA)]]/0.7</f>
        <v>99245.46875</v>
      </c>
      <c r="F78" s="4">
        <f>+Tabla125[[#This Row],[PRECIO SUGERIDO INSTALADOR
( CON  IVA)]]*5%</f>
        <v>3473.5914062500001</v>
      </c>
      <c r="G78" s="1">
        <v>0.96</v>
      </c>
      <c r="H78" s="3">
        <f>Tabla125[[#This Row],[COSTO]]*1.19</f>
        <v>66692.955000000002</v>
      </c>
      <c r="K78" s="3">
        <v>56044.5</v>
      </c>
    </row>
    <row r="79" spans="1:11" ht="45" x14ac:dyDescent="0.25">
      <c r="A79" s="7" t="s">
        <v>293</v>
      </c>
      <c r="B79" s="6" t="s">
        <v>294</v>
      </c>
      <c r="C79" s="5">
        <f>+Tabla125[[#This Row],[COSTO +IVA]]/Tabla125[[#This Row],[Columna5]]</f>
        <v>3677.84375</v>
      </c>
      <c r="D79" s="5">
        <f>+Tabla125[[#This Row],[PRECIO SUGERIDO INSTALADOR
( CON  IVA)]]-Tabla125[[#This Row],[Columna2]]</f>
        <v>3493.9515624999999</v>
      </c>
      <c r="E79" s="5">
        <f>+Tabla125[[#This Row],[PRECIO SUGERIDO INSTALADOR
( CON  IVA)]]/0.7</f>
        <v>5254.0625</v>
      </c>
      <c r="F79" s="4">
        <f>+Tabla125[[#This Row],[PRECIO SUGERIDO INSTALADOR
( CON  IVA)]]*5%</f>
        <v>183.89218750000001</v>
      </c>
      <c r="G79" s="1">
        <v>0.96</v>
      </c>
      <c r="H79" s="3">
        <f>Tabla125[[#This Row],[COSTO]]*1.19</f>
        <v>3530.73</v>
      </c>
      <c r="K79" s="3">
        <v>2967</v>
      </c>
    </row>
    <row r="80" spans="1:11" ht="45" x14ac:dyDescent="0.25">
      <c r="A80" s="7" t="s">
        <v>295</v>
      </c>
      <c r="B80" s="6" t="s">
        <v>296</v>
      </c>
      <c r="C80" s="5">
        <f>+Tabla125[[#This Row],[COSTO +IVA]]/Tabla125[[#This Row],[Columna5]]</f>
        <v>3796.84375</v>
      </c>
      <c r="D80" s="5">
        <f>+Tabla125[[#This Row],[PRECIO SUGERIDO INSTALADOR
( CON  IVA)]]-Tabla125[[#This Row],[Columna2]]</f>
        <v>3607.0015625000001</v>
      </c>
      <c r="E80" s="5">
        <f>+Tabla125[[#This Row],[PRECIO SUGERIDO INSTALADOR
( CON  IVA)]]/0.7</f>
        <v>5424.0625</v>
      </c>
      <c r="F80" s="4">
        <f>+Tabla125[[#This Row],[PRECIO SUGERIDO INSTALADOR
( CON  IVA)]]*5%</f>
        <v>189.84218750000002</v>
      </c>
      <c r="G80" s="1">
        <v>0.96</v>
      </c>
      <c r="H80" s="3">
        <f>Tabla125[[#This Row],[COSTO]]*1.19</f>
        <v>3644.97</v>
      </c>
      <c r="K80" s="3">
        <v>3063</v>
      </c>
    </row>
    <row r="81" spans="1:11" ht="30" x14ac:dyDescent="0.25">
      <c r="A81" s="7" t="s">
        <v>297</v>
      </c>
      <c r="B81" s="6" t="s">
        <v>298</v>
      </c>
      <c r="C81" s="5">
        <f>+Tabla125[[#This Row],[COSTO +IVA]]/Tabla125[[#This Row],[Columna5]]</f>
        <v>4488.53125</v>
      </c>
      <c r="D81" s="5">
        <f>+Tabla125[[#This Row],[PRECIO SUGERIDO INSTALADOR
( CON  IVA)]]-Tabla125[[#This Row],[Columna2]]</f>
        <v>4264.1046875000002</v>
      </c>
      <c r="E81" s="5">
        <f>+Tabla125[[#This Row],[PRECIO SUGERIDO INSTALADOR
( CON  IVA)]]/0.7</f>
        <v>6412.1875</v>
      </c>
      <c r="F81" s="4">
        <f>+Tabla125[[#This Row],[PRECIO SUGERIDO INSTALADOR
( CON  IVA)]]*5%</f>
        <v>224.42656250000002</v>
      </c>
      <c r="G81" s="1">
        <v>0.96</v>
      </c>
      <c r="H81" s="3">
        <f>Tabla125[[#This Row],[COSTO]]*1.19</f>
        <v>4308.99</v>
      </c>
      <c r="K81" s="3">
        <v>3621</v>
      </c>
    </row>
    <row r="82" spans="1:11" ht="45" x14ac:dyDescent="0.25">
      <c r="A82" s="7" t="s">
        <v>299</v>
      </c>
      <c r="B82" s="6" t="s">
        <v>300</v>
      </c>
      <c r="C82" s="5">
        <f>+Tabla125[[#This Row],[COSTO +IVA]]/Tabla125[[#This Row],[Columna5]]</f>
        <v>5972.3125</v>
      </c>
      <c r="D82" s="5">
        <f>+Tabla125[[#This Row],[PRECIO SUGERIDO INSTALADOR
( CON  IVA)]]-Tabla125[[#This Row],[Columna2]]</f>
        <v>5673.6968749999996</v>
      </c>
      <c r="E82" s="5">
        <f>+Tabla125[[#This Row],[PRECIO SUGERIDO INSTALADOR
( CON  IVA)]]/0.7</f>
        <v>8531.875</v>
      </c>
      <c r="F82" s="4">
        <f>+Tabla125[[#This Row],[PRECIO SUGERIDO INSTALADOR
( CON  IVA)]]*5%</f>
        <v>298.61562500000002</v>
      </c>
      <c r="G82" s="1">
        <v>0.96</v>
      </c>
      <c r="H82" s="3">
        <f>Tabla125[[#This Row],[COSTO]]*1.19</f>
        <v>5733.42</v>
      </c>
      <c r="K82" s="3">
        <v>4818</v>
      </c>
    </row>
    <row r="83" spans="1:11" ht="45" x14ac:dyDescent="0.25">
      <c r="A83" s="7" t="s">
        <v>301</v>
      </c>
      <c r="B83" s="6" t="s">
        <v>302</v>
      </c>
      <c r="C83" s="5">
        <f>+Tabla125[[#This Row],[COSTO +IVA]]/Tabla125[[#This Row],[Columna5]]</f>
        <v>7782.7239583333339</v>
      </c>
      <c r="D83" s="5">
        <f>+Tabla125[[#This Row],[PRECIO SUGERIDO INSTALADOR
( CON  IVA)]]-Tabla125[[#This Row],[Columna2]]</f>
        <v>7393.5877604166672</v>
      </c>
      <c r="E83" s="5">
        <f>+Tabla125[[#This Row],[PRECIO SUGERIDO INSTALADOR
( CON  IVA)]]/0.7</f>
        <v>11118.177083333336</v>
      </c>
      <c r="F83" s="4">
        <f>+Tabla125[[#This Row],[PRECIO SUGERIDO INSTALADOR
( CON  IVA)]]*5%</f>
        <v>389.13619791666673</v>
      </c>
      <c r="G83" s="1">
        <v>0.96</v>
      </c>
      <c r="H83" s="3">
        <f>Tabla125[[#This Row],[COSTO]]*1.19</f>
        <v>7471.415</v>
      </c>
      <c r="K83" s="3">
        <v>6278.5</v>
      </c>
    </row>
    <row r="84" spans="1:11" ht="45" x14ac:dyDescent="0.25">
      <c r="A84" s="7" t="s">
        <v>303</v>
      </c>
      <c r="B84" s="6" t="s">
        <v>304</v>
      </c>
      <c r="C84" s="5">
        <f>+Tabla125[[#This Row],[COSTO +IVA]]/Tabla125[[#This Row],[Columna5]]</f>
        <v>11523.166666666666</v>
      </c>
      <c r="D84" s="5">
        <f>+Tabla125[[#This Row],[PRECIO SUGERIDO INSTALADOR
( CON  IVA)]]-Tabla125[[#This Row],[Columna2]]</f>
        <v>10947.008333333333</v>
      </c>
      <c r="E84" s="5">
        <f>+Tabla125[[#This Row],[PRECIO SUGERIDO INSTALADOR
( CON  IVA)]]/0.7</f>
        <v>16461.666666666668</v>
      </c>
      <c r="F84" s="4">
        <f>+Tabla125[[#This Row],[PRECIO SUGERIDO INSTALADOR
( CON  IVA)]]*5%</f>
        <v>576.1583333333333</v>
      </c>
      <c r="G84" s="1">
        <v>0.96</v>
      </c>
      <c r="H84" s="3">
        <f>Tabla125[[#This Row],[COSTO]]*1.19</f>
        <v>11062.24</v>
      </c>
      <c r="K84" s="3">
        <v>9296</v>
      </c>
    </row>
    <row r="85" spans="1:11" ht="30" x14ac:dyDescent="0.25">
      <c r="A85" s="7" t="s">
        <v>82</v>
      </c>
      <c r="B85" s="6" t="s">
        <v>305</v>
      </c>
      <c r="C85" s="5">
        <f>+Tabla125[[#This Row],[COSTO +IVA]]/Tabla125[[#This Row],[Columna5]]</f>
        <v>5104.604166666667</v>
      </c>
      <c r="D85" s="5">
        <f>+Tabla125[[#This Row],[PRECIO SUGERIDO INSTALADOR
( CON  IVA)]]-Tabla125[[#This Row],[Columna2]]</f>
        <v>4849.3739583333336</v>
      </c>
      <c r="E85" s="5">
        <f>+Tabla125[[#This Row],[PRECIO SUGERIDO INSTALADOR
( CON  IVA)]]/0.7</f>
        <v>7292.2916666666679</v>
      </c>
      <c r="F85" s="4">
        <f>+Tabla125[[#This Row],[PRECIO SUGERIDO INSTALADOR
( CON  IVA)]]*5%</f>
        <v>255.23020833333337</v>
      </c>
      <c r="G85" s="1">
        <v>0.96</v>
      </c>
      <c r="H85" s="3">
        <f>Tabla125[[#This Row],[COSTO]]*1.19</f>
        <v>4900.42</v>
      </c>
      <c r="K85" s="3">
        <v>4118</v>
      </c>
    </row>
    <row r="86" spans="1:11" ht="45" x14ac:dyDescent="0.25">
      <c r="A86" s="7" t="s">
        <v>84</v>
      </c>
      <c r="B86" s="6" t="s">
        <v>83</v>
      </c>
      <c r="C86" s="5">
        <f>+Tabla125[[#This Row],[COSTO +IVA]]/Tabla125[[#This Row],[Columna5]]</f>
        <v>1810.4114583333333</v>
      </c>
      <c r="D86" s="5">
        <f>+Tabla125[[#This Row],[PRECIO SUGERIDO INSTALADOR
( CON  IVA)]]-Tabla125[[#This Row],[Columna2]]</f>
        <v>1719.8908854166666</v>
      </c>
      <c r="E86" s="5">
        <f>+Tabla125[[#This Row],[PRECIO SUGERIDO INSTALADOR
( CON  IVA)]]/0.7</f>
        <v>2586.3020833333335</v>
      </c>
      <c r="F86" s="4">
        <f>+Tabla125[[#This Row],[PRECIO SUGERIDO INSTALADOR
( CON  IVA)]]*5%</f>
        <v>90.520572916666666</v>
      </c>
      <c r="G86" s="1">
        <v>0.96</v>
      </c>
      <c r="H86" s="3">
        <f>Tabla125[[#This Row],[COSTO]]*1.19</f>
        <v>1737.9949999999999</v>
      </c>
      <c r="K86" s="3">
        <v>1460.5</v>
      </c>
    </row>
    <row r="87" spans="1:11" ht="45" x14ac:dyDescent="0.25">
      <c r="A87" s="7" t="s">
        <v>55</v>
      </c>
      <c r="B87" s="6" t="s">
        <v>54</v>
      </c>
      <c r="C87" s="5">
        <f>+Tabla125[[#This Row],[COSTO +IVA]]/Tabla125[[#This Row],[Columna5]]</f>
        <v>8480.609375</v>
      </c>
      <c r="D87" s="5">
        <f>+Tabla125[[#This Row],[PRECIO SUGERIDO INSTALADOR
( CON  IVA)]]-Tabla125[[#This Row],[Columna2]]</f>
        <v>8056.5789062499998</v>
      </c>
      <c r="E87" s="5">
        <f>+Tabla125[[#This Row],[PRECIO SUGERIDO INSTALADOR
( CON  IVA)]]/0.7</f>
        <v>12115.15625</v>
      </c>
      <c r="F87" s="4">
        <f>+Tabla125[[#This Row],[PRECIO SUGERIDO INSTALADOR
( CON  IVA)]]*5%</f>
        <v>424.03046875000001</v>
      </c>
      <c r="G87" s="1">
        <v>0.96</v>
      </c>
      <c r="H87" s="3">
        <f>Tabla125[[#This Row],[COSTO]]*1.19</f>
        <v>8141.3849999999993</v>
      </c>
      <c r="K87" s="3">
        <v>6841.5</v>
      </c>
    </row>
    <row r="88" spans="1:11" ht="45" x14ac:dyDescent="0.25">
      <c r="A88" s="7" t="s">
        <v>57</v>
      </c>
      <c r="B88" s="6" t="s">
        <v>56</v>
      </c>
      <c r="C88" s="5">
        <f>+Tabla125[[#This Row],[COSTO +IVA]]/Tabla125[[#This Row],[Columna5]]</f>
        <v>14597.333333333332</v>
      </c>
      <c r="D88" s="5">
        <f>+Tabla125[[#This Row],[PRECIO SUGERIDO INSTALADOR
( CON  IVA)]]-Tabla125[[#This Row],[Columna2]]</f>
        <v>13867.466666666665</v>
      </c>
      <c r="E88" s="5">
        <f>+Tabla125[[#This Row],[PRECIO SUGERIDO INSTALADOR
( CON  IVA)]]/0.7</f>
        <v>20853.333333333332</v>
      </c>
      <c r="F88" s="4">
        <f>+Tabla125[[#This Row],[PRECIO SUGERIDO INSTALADOR
( CON  IVA)]]*5%</f>
        <v>729.86666666666667</v>
      </c>
      <c r="G88" s="1">
        <v>0.96</v>
      </c>
      <c r="H88" s="3">
        <f>Tabla125[[#This Row],[COSTO]]*1.19</f>
        <v>14013.439999999999</v>
      </c>
      <c r="K88" s="3">
        <v>11776</v>
      </c>
    </row>
    <row r="89" spans="1:11" ht="45" x14ac:dyDescent="0.25">
      <c r="A89" s="7" t="s">
        <v>184</v>
      </c>
      <c r="B89" s="6" t="s">
        <v>379</v>
      </c>
      <c r="C89" s="5">
        <f>+Tabla125[[#This Row],[COSTO +IVA]]/Tabla125[[#This Row],[Columna5]]</f>
        <v>5000.38</v>
      </c>
      <c r="D89" s="5">
        <f>+Tabla125[[#This Row],[PRECIO SUGERIDO INSTALADOR
( CON  IVA)]]-Tabla125[[#This Row],[Columna2]]</f>
        <v>4750.3609999999999</v>
      </c>
      <c r="E89" s="5">
        <f>+Tabla125[[#This Row],[PRECIO SUGERIDO INSTALADOR
( CON  IVA)]]/0.7</f>
        <v>7143.4000000000005</v>
      </c>
      <c r="F89" s="4">
        <f>+Tabla125[[#This Row],[PRECIO SUGERIDO INSTALADOR
( CON  IVA)]]*5%</f>
        <v>250.01900000000001</v>
      </c>
      <c r="G89" s="16">
        <v>1</v>
      </c>
      <c r="H89" s="3">
        <f>Tabla125[[#This Row],[COSTO]]*1.19</f>
        <v>5000.38</v>
      </c>
      <c r="K89" s="3">
        <v>4202</v>
      </c>
    </row>
    <row r="90" spans="1:11" ht="30" x14ac:dyDescent="0.25">
      <c r="A90" s="7" t="s">
        <v>70</v>
      </c>
      <c r="B90" s="6" t="s">
        <v>69</v>
      </c>
      <c r="C90" s="5">
        <f>+Tabla125[[#This Row],[COSTO +IVA]]/Tabla125[[#This Row],[Columna5]]</f>
        <v>39566.880208333336</v>
      </c>
      <c r="D90" s="5">
        <f>+Tabla125[[#This Row],[PRECIO SUGERIDO INSTALADOR
( CON  IVA)]]-Tabla125[[#This Row],[Columna2]]</f>
        <v>37588.53619791667</v>
      </c>
      <c r="E90" s="5">
        <f>+Tabla125[[#This Row],[PRECIO SUGERIDO INSTALADOR
( CON  IVA)]]/0.7</f>
        <v>56524.114583333343</v>
      </c>
      <c r="F90" s="4">
        <f>+Tabla125[[#This Row],[PRECIO SUGERIDO INSTALADOR
( CON  IVA)]]*5%</f>
        <v>1978.3440104166668</v>
      </c>
      <c r="G90" s="1">
        <v>0.96</v>
      </c>
      <c r="H90" s="3">
        <f>Tabla125[[#This Row],[COSTO]]*1.19</f>
        <v>37984.205000000002</v>
      </c>
      <c r="K90" s="3">
        <v>31919.5</v>
      </c>
    </row>
    <row r="91" spans="1:11" ht="30" x14ac:dyDescent="0.25">
      <c r="A91" s="7" t="s">
        <v>68</v>
      </c>
      <c r="B91" s="6" t="s">
        <v>67</v>
      </c>
      <c r="C91" s="5">
        <f>+Tabla125[[#This Row],[COSTO +IVA]]/Tabla125[[#This Row],[Columna5]]</f>
        <v>86314.908536585353</v>
      </c>
      <c r="D91" s="5">
        <f>+Tabla125[[#This Row],[PRECIO SUGERIDO INSTALADOR
( CON  IVA)]]-Tabla125[[#This Row],[Columna2]]</f>
        <v>81999.163109756089</v>
      </c>
      <c r="E91" s="5">
        <f>+Tabla125[[#This Row],[PRECIO SUGERIDO INSTALADOR
( CON  IVA)]]/0.7</f>
        <v>123307.01219512195</v>
      </c>
      <c r="F91" s="4">
        <f>+Tabla125[[#This Row],[PRECIO SUGERIDO INSTALADOR
( CON  IVA)]]*5%</f>
        <v>4315.7454268292677</v>
      </c>
      <c r="G91" s="16">
        <v>0.82</v>
      </c>
      <c r="H91" s="3">
        <f>Tabla125[[#This Row],[COSTO]]*1.19</f>
        <v>70778.224999999991</v>
      </c>
      <c r="K91" s="3">
        <v>59477.5</v>
      </c>
    </row>
    <row r="92" spans="1:11" ht="45" x14ac:dyDescent="0.25">
      <c r="A92" s="7" t="s">
        <v>74</v>
      </c>
      <c r="B92" s="6" t="s">
        <v>73</v>
      </c>
      <c r="C92" s="5">
        <f>+Tabla125[[#This Row],[COSTO +IVA]]/Tabla125[[#This Row],[Columna5]]</f>
        <v>3759.036458333333</v>
      </c>
      <c r="D92" s="5">
        <f>+Tabla125[[#This Row],[PRECIO SUGERIDO INSTALADOR
( CON  IVA)]]-Tabla125[[#This Row],[Columna2]]</f>
        <v>3571.0846354166665</v>
      </c>
      <c r="E92" s="5">
        <f>+Tabla125[[#This Row],[PRECIO SUGERIDO INSTALADOR
( CON  IVA)]]/0.7</f>
        <v>5370.052083333333</v>
      </c>
      <c r="F92" s="4">
        <f>+Tabla125[[#This Row],[PRECIO SUGERIDO INSTALADOR
( CON  IVA)]]*5%</f>
        <v>187.95182291666666</v>
      </c>
      <c r="G92" s="1">
        <v>0.96</v>
      </c>
      <c r="H92" s="3">
        <f>Tabla125[[#This Row],[COSTO]]*1.19</f>
        <v>3608.6749999999997</v>
      </c>
      <c r="K92" s="3">
        <v>3032.5</v>
      </c>
    </row>
    <row r="93" spans="1:11" ht="45" x14ac:dyDescent="0.25">
      <c r="A93" s="7" t="s">
        <v>173</v>
      </c>
      <c r="B93" s="6" t="s">
        <v>172</v>
      </c>
      <c r="C93" s="5">
        <f>+Tabla125[[#This Row],[COSTO +IVA]]/Tabla125[[#This Row],[Columna5]]</f>
        <v>27616.677083333332</v>
      </c>
      <c r="D93" s="5">
        <f>+Tabla125[[#This Row],[PRECIO SUGERIDO INSTALADOR
( CON  IVA)]]-Tabla125[[#This Row],[Columna2]]</f>
        <v>26235.843229166665</v>
      </c>
      <c r="E93" s="5">
        <f>+Tabla125[[#This Row],[PRECIO SUGERIDO INSTALADOR
( CON  IVA)]]/0.7</f>
        <v>39452.395833333336</v>
      </c>
      <c r="F93" s="4">
        <f>+Tabla125[[#This Row],[PRECIO SUGERIDO INSTALADOR
( CON  IVA)]]*5%</f>
        <v>1380.8338541666667</v>
      </c>
      <c r="G93" s="1">
        <v>0.96</v>
      </c>
      <c r="H93" s="3">
        <f>Tabla125[[#This Row],[COSTO]]*1.19</f>
        <v>26512.01</v>
      </c>
      <c r="K93" s="3">
        <v>22279</v>
      </c>
    </row>
    <row r="94" spans="1:11" ht="45" x14ac:dyDescent="0.25">
      <c r="A94" s="7" t="s">
        <v>183</v>
      </c>
      <c r="B94" s="6" t="s">
        <v>182</v>
      </c>
      <c r="C94" s="5">
        <f>+Tabla125[[#This Row],[COSTO +IVA]]/Tabla125[[#This Row],[Columna5]]</f>
        <v>44495.463541666664</v>
      </c>
      <c r="D94" s="5">
        <f>+Tabla125[[#This Row],[PRECIO SUGERIDO INSTALADOR
( CON  IVA)]]-Tabla125[[#This Row],[Columna2]]</f>
        <v>42270.69036458333</v>
      </c>
      <c r="E94" s="5">
        <f>+Tabla125[[#This Row],[PRECIO SUGERIDO INSTALADOR
( CON  IVA)]]/0.7</f>
        <v>63564.947916666664</v>
      </c>
      <c r="F94" s="4">
        <f>+Tabla125[[#This Row],[PRECIO SUGERIDO INSTALADOR
( CON  IVA)]]*5%</f>
        <v>2224.7731770833334</v>
      </c>
      <c r="G94" s="1">
        <v>0.96</v>
      </c>
      <c r="H94" s="3">
        <f>Tabla125[[#This Row],[COSTO]]*1.19</f>
        <v>42715.644999999997</v>
      </c>
      <c r="K94" s="3">
        <v>35895.5</v>
      </c>
    </row>
    <row r="95" spans="1:11" ht="45" x14ac:dyDescent="0.25">
      <c r="A95" s="7" t="s">
        <v>76</v>
      </c>
      <c r="B95" s="6" t="s">
        <v>75</v>
      </c>
      <c r="C95" s="5">
        <f>+Tabla125[[#This Row],[COSTO +IVA]]/Tabla125[[#This Row],[Columna5]]</f>
        <v>73542.595000000001</v>
      </c>
      <c r="D95" s="5">
        <f>+Tabla125[[#This Row],[PRECIO SUGERIDO INSTALADOR
( CON  IVA)]]-Tabla125[[#This Row],[Columna2]]</f>
        <v>69865.465250000008</v>
      </c>
      <c r="E95" s="5">
        <f>+Tabla125[[#This Row],[PRECIO SUGERIDO INSTALADOR
( CON  IVA)]]/0.7</f>
        <v>105060.85</v>
      </c>
      <c r="F95" s="4">
        <f>+Tabla125[[#This Row],[PRECIO SUGERIDO INSTALADOR
( CON  IVA)]]*5%</f>
        <v>3677.1297500000001</v>
      </c>
      <c r="G95" s="16">
        <v>1</v>
      </c>
      <c r="H95" s="3">
        <f>Tabla125[[#This Row],[COSTO]]*1.19</f>
        <v>73542.595000000001</v>
      </c>
      <c r="K95" s="3">
        <v>61800.5</v>
      </c>
    </row>
    <row r="96" spans="1:11" ht="45" x14ac:dyDescent="0.25">
      <c r="A96" s="7" t="s">
        <v>59</v>
      </c>
      <c r="B96" s="6" t="s">
        <v>58</v>
      </c>
      <c r="C96" s="5">
        <f>+Tabla125[[#This Row],[COSTO +IVA]]/Tabla125[[#This Row],[Columna5]]</f>
        <v>21865.059999999998</v>
      </c>
      <c r="D96" s="5">
        <f>+Tabla125[[#This Row],[PRECIO SUGERIDO INSTALADOR
( CON  IVA)]]-Tabla125[[#This Row],[Columna2]]</f>
        <v>20771.806999999997</v>
      </c>
      <c r="E96" s="5">
        <f>+Tabla125[[#This Row],[PRECIO SUGERIDO INSTALADOR
( CON  IVA)]]/0.7</f>
        <v>31235.8</v>
      </c>
      <c r="F96" s="4">
        <f>+Tabla125[[#This Row],[PRECIO SUGERIDO INSTALADOR
( CON  IVA)]]*5%</f>
        <v>1093.2529999999999</v>
      </c>
      <c r="G96" s="16">
        <v>1</v>
      </c>
      <c r="H96" s="3">
        <f>Tabla125[[#This Row],[COSTO]]*1.19</f>
        <v>21865.059999999998</v>
      </c>
      <c r="K96" s="3">
        <v>18374</v>
      </c>
    </row>
    <row r="97" spans="1:11" ht="30" x14ac:dyDescent="0.25">
      <c r="A97" s="7" t="s">
        <v>61</v>
      </c>
      <c r="B97" s="6" t="s">
        <v>60</v>
      </c>
      <c r="C97" s="5">
        <f>+Tabla125[[#This Row],[COSTO +IVA]]/Tabla125[[#This Row],[Columna5]]</f>
        <v>46322.201219512201</v>
      </c>
      <c r="D97" s="5">
        <f>+Tabla125[[#This Row],[PRECIO SUGERIDO INSTALADOR
( CON  IVA)]]-Tabla125[[#This Row],[Columna2]]</f>
        <v>44006.09115853659</v>
      </c>
      <c r="E97" s="5">
        <f>+Tabla125[[#This Row],[PRECIO SUGERIDO INSTALADOR
( CON  IVA)]]/0.7</f>
        <v>66174.573170731717</v>
      </c>
      <c r="F97" s="4">
        <f>+Tabla125[[#This Row],[PRECIO SUGERIDO INSTALADOR
( CON  IVA)]]*5%</f>
        <v>2316.1100609756099</v>
      </c>
      <c r="G97" s="16">
        <v>0.82</v>
      </c>
      <c r="H97" s="3">
        <f>Tabla125[[#This Row],[COSTO]]*1.19</f>
        <v>37984.205000000002</v>
      </c>
      <c r="K97" s="3">
        <v>31919.5</v>
      </c>
    </row>
    <row r="98" spans="1:11" ht="45" x14ac:dyDescent="0.25">
      <c r="A98" s="7" t="s">
        <v>63</v>
      </c>
      <c r="B98" s="6" t="s">
        <v>62</v>
      </c>
      <c r="C98" s="5">
        <f>+Tabla125[[#This Row],[COSTO +IVA]]/Tabla125[[#This Row],[Columna5]]</f>
        <v>59503.628048780491</v>
      </c>
      <c r="D98" s="5">
        <f>+Tabla125[[#This Row],[PRECIO SUGERIDO INSTALADOR
( CON  IVA)]]-Tabla125[[#This Row],[Columna2]]</f>
        <v>56528.446646341465</v>
      </c>
      <c r="E98" s="5">
        <f>+Tabla125[[#This Row],[PRECIO SUGERIDO INSTALADOR
( CON  IVA)]]/0.7</f>
        <v>85005.182926829279</v>
      </c>
      <c r="F98" s="4">
        <f>+Tabla125[[#This Row],[PRECIO SUGERIDO INSTALADOR
( CON  IVA)]]*5%</f>
        <v>2975.1814024390246</v>
      </c>
      <c r="G98" s="16">
        <v>0.82</v>
      </c>
      <c r="H98" s="3">
        <f>Tabla125[[#This Row],[COSTO]]*1.19</f>
        <v>48792.974999999999</v>
      </c>
      <c r="K98" s="3">
        <v>41002.5</v>
      </c>
    </row>
    <row r="99" spans="1:11" ht="45" x14ac:dyDescent="0.25">
      <c r="A99" s="7" t="s">
        <v>306</v>
      </c>
      <c r="B99" s="6" t="s">
        <v>307</v>
      </c>
      <c r="C99" s="5">
        <f>+Tabla125[[#This Row],[COSTO +IVA]]/Tabla125[[#This Row],[Columna5]]</f>
        <v>26528.942708333336</v>
      </c>
      <c r="D99" s="5">
        <f>+Tabla125[[#This Row],[PRECIO SUGERIDO INSTALADOR
( CON  IVA)]]-Tabla125[[#This Row],[Columna2]]</f>
        <v>25202.495572916669</v>
      </c>
      <c r="E99" s="5">
        <f>+Tabla125[[#This Row],[PRECIO SUGERIDO INSTALADOR
( CON  IVA)]]/0.7</f>
        <v>37898.489583333336</v>
      </c>
      <c r="F99" s="4">
        <f>+Tabla125[[#This Row],[PRECIO SUGERIDO INSTALADOR
( CON  IVA)]]*5%</f>
        <v>1326.4471354166669</v>
      </c>
      <c r="G99" s="1">
        <v>0.96</v>
      </c>
      <c r="H99" s="3">
        <f>Tabla125[[#This Row],[COSTO]]*1.19</f>
        <v>25467.785</v>
      </c>
      <c r="K99" s="3">
        <v>21401.5</v>
      </c>
    </row>
    <row r="100" spans="1:11" ht="45" x14ac:dyDescent="0.25">
      <c r="A100" s="7" t="s">
        <v>79</v>
      </c>
      <c r="B100" s="6" t="s">
        <v>308</v>
      </c>
      <c r="C100" s="5">
        <f>+Tabla125[[#This Row],[COSTO +IVA]]/Tabla125[[#This Row],[Columna5]]</f>
        <v>88010.416666666672</v>
      </c>
      <c r="D100" s="5">
        <f>+Tabla125[[#This Row],[PRECIO SUGERIDO INSTALADOR
( CON  IVA)]]-Tabla125[[#This Row],[Columna2]]</f>
        <v>83609.895833333343</v>
      </c>
      <c r="E100" s="5">
        <f>+Tabla125[[#This Row],[PRECIO SUGERIDO INSTALADOR
( CON  IVA)]]/0.7</f>
        <v>125729.16666666669</v>
      </c>
      <c r="F100" s="4">
        <f>+Tabla125[[#This Row],[PRECIO SUGERIDO INSTALADOR
( CON  IVA)]]*5%</f>
        <v>4400.5208333333339</v>
      </c>
      <c r="G100" s="1">
        <v>0.96</v>
      </c>
      <c r="H100" s="3">
        <f>Tabla125[[#This Row],[COSTO]]*1.19</f>
        <v>84490</v>
      </c>
      <c r="K100" s="3">
        <v>71000</v>
      </c>
    </row>
    <row r="101" spans="1:11" ht="45" x14ac:dyDescent="0.25">
      <c r="A101" s="7" t="s">
        <v>78</v>
      </c>
      <c r="B101" s="6" t="s">
        <v>77</v>
      </c>
      <c r="C101" s="5">
        <f>+Tabla125[[#This Row],[COSTO +IVA]]/Tabla125[[#This Row],[Columna5]]</f>
        <v>201198.01041666666</v>
      </c>
      <c r="D101" s="5">
        <f>+Tabla125[[#This Row],[PRECIO SUGERIDO INSTALADOR
( CON  IVA)]]-Tabla125[[#This Row],[Columna2]]</f>
        <v>191138.10989583333</v>
      </c>
      <c r="E101" s="5">
        <f>+Tabla125[[#This Row],[PRECIO SUGERIDO INSTALADOR
( CON  IVA)]]/0.7</f>
        <v>287425.72916666669</v>
      </c>
      <c r="F101" s="4">
        <f>+Tabla125[[#This Row],[PRECIO SUGERIDO INSTALADOR
( CON  IVA)]]*5%</f>
        <v>10059.900520833333</v>
      </c>
      <c r="G101" s="1">
        <v>0.96</v>
      </c>
      <c r="H101" s="3">
        <f>Tabla125[[#This Row],[COSTO]]*1.19</f>
        <v>193150.09</v>
      </c>
      <c r="K101" s="3">
        <v>162311</v>
      </c>
    </row>
    <row r="102" spans="1:11" ht="45" x14ac:dyDescent="0.25">
      <c r="A102" s="7" t="s">
        <v>6</v>
      </c>
      <c r="B102" s="6" t="s">
        <v>5</v>
      </c>
      <c r="C102" s="5">
        <f>+Tabla125[[#This Row],[COSTO +IVA]]/Tabla125[[#This Row],[Columna5]]</f>
        <v>25881.260416666664</v>
      </c>
      <c r="D102" s="5">
        <f>+Tabla125[[#This Row],[PRECIO SUGERIDO INSTALADOR
( CON  IVA)]]-Tabla125[[#This Row],[Columna2]]</f>
        <v>24587.197395833333</v>
      </c>
      <c r="E102" s="5">
        <f>+Tabla125[[#This Row],[PRECIO SUGERIDO INSTALADOR
( CON  IVA)]]/0.7</f>
        <v>36973.229166666664</v>
      </c>
      <c r="F102" s="4">
        <f>+Tabla125[[#This Row],[PRECIO SUGERIDO INSTALADOR
( CON  IVA)]]*5%</f>
        <v>1294.0630208333332</v>
      </c>
      <c r="G102" s="1">
        <v>0.96</v>
      </c>
      <c r="H102" s="3">
        <f>Tabla125[[#This Row],[COSTO]]*1.19</f>
        <v>24846.01</v>
      </c>
      <c r="K102" s="3">
        <v>20879</v>
      </c>
    </row>
    <row r="103" spans="1:11" ht="45" x14ac:dyDescent="0.25">
      <c r="A103" s="7" t="s">
        <v>10</v>
      </c>
      <c r="B103" s="6" t="s">
        <v>9</v>
      </c>
      <c r="C103" s="5">
        <f>+Tabla125[[#This Row],[COSTO +IVA]]/Tabla125[[#This Row],[Columna5]]</f>
        <v>29076.46</v>
      </c>
      <c r="D103" s="5">
        <f>+Tabla125[[#This Row],[PRECIO SUGERIDO INSTALADOR
( CON  IVA)]]-Tabla125[[#This Row],[Columna2]]</f>
        <v>27622.636999999999</v>
      </c>
      <c r="E103" s="5">
        <f>+Tabla125[[#This Row],[PRECIO SUGERIDO INSTALADOR
( CON  IVA)]]/0.7</f>
        <v>41537.800000000003</v>
      </c>
      <c r="F103" s="4">
        <f>+Tabla125[[#This Row],[PRECIO SUGERIDO INSTALADOR
( CON  IVA)]]*5%</f>
        <v>1453.8230000000001</v>
      </c>
      <c r="G103" s="16">
        <v>1</v>
      </c>
      <c r="H103" s="3">
        <f>Tabla125[[#This Row],[COSTO]]*1.19</f>
        <v>29076.46</v>
      </c>
      <c r="K103" s="3">
        <v>24434</v>
      </c>
    </row>
    <row r="104" spans="1:11" ht="45" x14ac:dyDescent="0.25">
      <c r="A104" s="7" t="s">
        <v>150</v>
      </c>
      <c r="B104" s="6" t="s">
        <v>149</v>
      </c>
      <c r="C104" s="5">
        <f>+Tabla125[[#This Row],[COSTO +IVA]]/Tabla125[[#This Row],[Columna5]]</f>
        <v>61198.848958333336</v>
      </c>
      <c r="D104" s="5">
        <f>+Tabla125[[#This Row],[PRECIO SUGERIDO INSTALADOR
( CON  IVA)]]-Tabla125[[#This Row],[Columna2]]</f>
        <v>58138.906510416666</v>
      </c>
      <c r="E104" s="5">
        <f>+Tabla125[[#This Row],[PRECIO SUGERIDO INSTALADOR
( CON  IVA)]]/0.7</f>
        <v>87426.927083333343</v>
      </c>
      <c r="F104" s="4">
        <f>+Tabla125[[#This Row],[PRECIO SUGERIDO INSTALADOR
( CON  IVA)]]*5%</f>
        <v>3059.9424479166669</v>
      </c>
      <c r="G104" s="1">
        <v>0.96</v>
      </c>
      <c r="H104" s="3">
        <f>Tabla125[[#This Row],[COSTO]]*1.19</f>
        <v>58750.894999999997</v>
      </c>
      <c r="K104" s="3">
        <v>49370.5</v>
      </c>
    </row>
    <row r="105" spans="1:11" ht="45" x14ac:dyDescent="0.25">
      <c r="A105" s="7" t="s">
        <v>309</v>
      </c>
      <c r="B105" s="6" t="s">
        <v>310</v>
      </c>
      <c r="C105" s="5">
        <f>+Tabla125[[#This Row],[COSTO +IVA]]/Tabla125[[#This Row],[Columna5]]</f>
        <v>47463.026041666664</v>
      </c>
      <c r="D105" s="5">
        <f>+Tabla125[[#This Row],[PRECIO SUGERIDO INSTALADOR
( CON  IVA)]]-Tabla125[[#This Row],[Columna2]]</f>
        <v>45089.874739583334</v>
      </c>
      <c r="E105" s="5">
        <f>+Tabla125[[#This Row],[PRECIO SUGERIDO INSTALADOR
( CON  IVA)]]/0.7</f>
        <v>67804.322916666672</v>
      </c>
      <c r="F105" s="4">
        <f>+Tabla125[[#This Row],[PRECIO SUGERIDO INSTALADOR
( CON  IVA)]]*5%</f>
        <v>2373.1513020833331</v>
      </c>
      <c r="G105" s="1">
        <v>0.96</v>
      </c>
      <c r="H105" s="3">
        <f>Tabla125[[#This Row],[COSTO]]*1.19</f>
        <v>45564.504999999997</v>
      </c>
      <c r="K105" s="3">
        <v>38289.5</v>
      </c>
    </row>
    <row r="106" spans="1:11" ht="45" x14ac:dyDescent="0.25">
      <c r="A106" s="7" t="s">
        <v>311</v>
      </c>
      <c r="B106" s="6" t="s">
        <v>312</v>
      </c>
      <c r="C106" s="5">
        <f>+Tabla125[[#This Row],[COSTO +IVA]]/Tabla125[[#This Row],[Columna5]]</f>
        <v>59847.083333333336</v>
      </c>
      <c r="D106" s="5">
        <f>+Tabla125[[#This Row],[PRECIO SUGERIDO INSTALADOR
( CON  IVA)]]-Tabla125[[#This Row],[Columna2]]</f>
        <v>56854.729166666672</v>
      </c>
      <c r="E106" s="5">
        <f>+Tabla125[[#This Row],[PRECIO SUGERIDO INSTALADOR
( CON  IVA)]]/0.7</f>
        <v>85495.833333333343</v>
      </c>
      <c r="F106" s="4">
        <f>+Tabla125[[#This Row],[PRECIO SUGERIDO INSTALADOR
( CON  IVA)]]*5%</f>
        <v>2992.354166666667</v>
      </c>
      <c r="G106" s="1">
        <v>0.96</v>
      </c>
      <c r="H106" s="3">
        <f>Tabla125[[#This Row],[COSTO]]*1.19</f>
        <v>57453.2</v>
      </c>
      <c r="K106" s="3">
        <v>48280</v>
      </c>
    </row>
    <row r="107" spans="1:11" ht="45" x14ac:dyDescent="0.25">
      <c r="A107" s="7" t="s">
        <v>313</v>
      </c>
      <c r="B107" s="6" t="s">
        <v>314</v>
      </c>
      <c r="C107" s="5">
        <f>+Tabla125[[#This Row],[COSTO +IVA]]/Tabla125[[#This Row],[Columna5]]</f>
        <v>3495.0052083333335</v>
      </c>
      <c r="D107" s="5">
        <f>+Tabla125[[#This Row],[PRECIO SUGERIDO INSTALADOR
( CON  IVA)]]-Tabla125[[#This Row],[Columna2]]</f>
        <v>3320.2549479166669</v>
      </c>
      <c r="E107" s="5">
        <f>+Tabla125[[#This Row],[PRECIO SUGERIDO INSTALADOR
( CON  IVA)]]/0.7</f>
        <v>4992.8645833333339</v>
      </c>
      <c r="F107" s="4">
        <f>+Tabla125[[#This Row],[PRECIO SUGERIDO INSTALADOR
( CON  IVA)]]*5%</f>
        <v>174.75026041666669</v>
      </c>
      <c r="G107" s="1">
        <v>0.96</v>
      </c>
      <c r="H107" s="3">
        <f>Tabla125[[#This Row],[COSTO]]*1.19</f>
        <v>3355.2049999999999</v>
      </c>
      <c r="K107" s="3">
        <v>2819.5</v>
      </c>
    </row>
    <row r="108" spans="1:11" ht="45" x14ac:dyDescent="0.25">
      <c r="A108" s="7" t="s">
        <v>12</v>
      </c>
      <c r="B108" s="6" t="s">
        <v>11</v>
      </c>
      <c r="C108" s="5">
        <f>+Tabla125[[#This Row],[COSTO +IVA]]/Tabla125[[#This Row],[Columna5]]</f>
        <v>44231.432291666664</v>
      </c>
      <c r="D108" s="5">
        <f>+Tabla125[[#This Row],[PRECIO SUGERIDO INSTALADOR
( CON  IVA)]]-Tabla125[[#This Row],[Columna2]]</f>
        <v>42019.860677083328</v>
      </c>
      <c r="E108" s="5">
        <f>+Tabla125[[#This Row],[PRECIO SUGERIDO INSTALADOR
( CON  IVA)]]/0.7</f>
        <v>63187.760416666664</v>
      </c>
      <c r="F108" s="4">
        <f>+Tabla125[[#This Row],[PRECIO SUGERIDO INSTALADOR
( CON  IVA)]]*5%</f>
        <v>2211.5716145833335</v>
      </c>
      <c r="G108" s="1">
        <v>0.96</v>
      </c>
      <c r="H108" s="3">
        <f>Tabla125[[#This Row],[COSTO]]*1.19</f>
        <v>42462.174999999996</v>
      </c>
      <c r="K108" s="3">
        <v>35682.5</v>
      </c>
    </row>
    <row r="109" spans="1:11" ht="45" x14ac:dyDescent="0.25">
      <c r="A109" s="7" t="s">
        <v>8</v>
      </c>
      <c r="B109" s="6" t="s">
        <v>7</v>
      </c>
      <c r="C109" s="5">
        <f>+Tabla125[[#This Row],[COSTO +IVA]]/Tabla125[[#This Row],[Columna5]]</f>
        <v>26773.760416666664</v>
      </c>
      <c r="D109" s="5">
        <f>+Tabla125[[#This Row],[PRECIO SUGERIDO INSTALADOR
( CON  IVA)]]-Tabla125[[#This Row],[Columna2]]</f>
        <v>25435.072395833333</v>
      </c>
      <c r="E109" s="5">
        <f>+Tabla125[[#This Row],[PRECIO SUGERIDO INSTALADOR
( CON  IVA)]]/0.7</f>
        <v>38248.229166666664</v>
      </c>
      <c r="F109" s="4">
        <f>+Tabla125[[#This Row],[PRECIO SUGERIDO INSTALADOR
( CON  IVA)]]*5%</f>
        <v>1338.6880208333332</v>
      </c>
      <c r="G109" s="1">
        <v>0.96</v>
      </c>
      <c r="H109" s="3">
        <f>Tabla125[[#This Row],[COSTO]]*1.19</f>
        <v>25702.809999999998</v>
      </c>
      <c r="K109" s="3">
        <v>21599</v>
      </c>
    </row>
    <row r="110" spans="1:11" ht="45" x14ac:dyDescent="0.25">
      <c r="A110" s="7" t="s">
        <v>15</v>
      </c>
      <c r="B110" s="6" t="s">
        <v>315</v>
      </c>
      <c r="C110" s="5">
        <f>+Tabla125[[#This Row],[COSTO +IVA]]/Tabla125[[#This Row],[Columna5]]</f>
        <v>11158.729166666666</v>
      </c>
      <c r="D110" s="5">
        <f>+Tabla125[[#This Row],[PRECIO SUGERIDO INSTALADOR
( CON  IVA)]]-Tabla125[[#This Row],[Columna2]]</f>
        <v>10600.792708333332</v>
      </c>
      <c r="E110" s="5">
        <f>+Tabla125[[#This Row],[PRECIO SUGERIDO INSTALADOR
( CON  IVA)]]/0.7</f>
        <v>15941.041666666666</v>
      </c>
      <c r="F110" s="4">
        <f>+Tabla125[[#This Row],[PRECIO SUGERIDO INSTALADOR
( CON  IVA)]]*5%</f>
        <v>557.93645833333335</v>
      </c>
      <c r="G110" s="1">
        <v>0.96</v>
      </c>
      <c r="H110" s="3">
        <f>Tabla125[[#This Row],[COSTO]]*1.19</f>
        <v>10712.38</v>
      </c>
      <c r="K110" s="3">
        <v>9002</v>
      </c>
    </row>
    <row r="111" spans="1:11" ht="45" x14ac:dyDescent="0.25">
      <c r="A111" s="7" t="s">
        <v>88</v>
      </c>
      <c r="B111" s="6" t="s">
        <v>87</v>
      </c>
      <c r="C111" s="5">
        <f>+Tabla125[[#This Row],[COSTO +IVA]]/Tabla125[[#This Row],[Columna5]]</f>
        <v>18777.828125</v>
      </c>
      <c r="D111" s="5">
        <f>+Tabla125[[#This Row],[PRECIO SUGERIDO INSTALADOR
( CON  IVA)]]-Tabla125[[#This Row],[Columna2]]</f>
        <v>17838.936718749999</v>
      </c>
      <c r="E111" s="5">
        <f>+Tabla125[[#This Row],[PRECIO SUGERIDO INSTALADOR
( CON  IVA)]]/0.7</f>
        <v>26825.46875</v>
      </c>
      <c r="F111" s="4">
        <f>+Tabla125[[#This Row],[PRECIO SUGERIDO INSTALADOR
( CON  IVA)]]*5%</f>
        <v>938.89140625000005</v>
      </c>
      <c r="G111" s="1">
        <v>0.96</v>
      </c>
      <c r="H111" s="3">
        <f>Tabla125[[#This Row],[COSTO]]*1.19</f>
        <v>18026.715</v>
      </c>
      <c r="K111" s="3">
        <v>15148.5</v>
      </c>
    </row>
    <row r="112" spans="1:11" ht="30" x14ac:dyDescent="0.25">
      <c r="A112" s="7" t="s">
        <v>377</v>
      </c>
      <c r="B112" s="6" t="s">
        <v>378</v>
      </c>
      <c r="C112" s="5">
        <f>+Tabla125[[#This Row],[COSTO +IVA]]/Tabla125[[#This Row],[Columna5]]</f>
        <v>26499.268292682926</v>
      </c>
      <c r="D112" s="5">
        <f>+Tabla125[[#This Row],[PRECIO SUGERIDO INSTALADOR
( CON  IVA)]]-Tabla125[[#This Row],[Columna2]]</f>
        <v>25174.304878048781</v>
      </c>
      <c r="E112" s="5">
        <f>+Tabla125[[#This Row],[PRECIO SUGERIDO INSTALADOR
( CON  IVA)]]/0.7</f>
        <v>37856.097560975613</v>
      </c>
      <c r="F112" s="4">
        <f>+Tabla125[[#This Row],[PRECIO SUGERIDO INSTALADOR
( CON  IVA)]]*5%</f>
        <v>1324.9634146341464</v>
      </c>
      <c r="G112" s="16">
        <v>0.82</v>
      </c>
      <c r="H112" s="3">
        <f>Tabla125[[#This Row],[COSTO]]*1.19</f>
        <v>21729.399999999998</v>
      </c>
      <c r="K112" s="3">
        <v>18260</v>
      </c>
    </row>
    <row r="113" spans="1:11" ht="45" x14ac:dyDescent="0.25">
      <c r="A113" s="7" t="s">
        <v>189</v>
      </c>
      <c r="B113" s="6" t="s">
        <v>188</v>
      </c>
      <c r="C113" s="5">
        <f>+Tabla125[[#This Row],[COSTO +IVA]]/Tabla125[[#This Row],[Columna5]]</f>
        <v>18045.16</v>
      </c>
      <c r="D113" s="5">
        <f>+Tabla125[[#This Row],[PRECIO SUGERIDO INSTALADOR
( CON  IVA)]]-Tabla125[[#This Row],[Columna2]]</f>
        <v>17142.901999999998</v>
      </c>
      <c r="E113" s="5">
        <f>+Tabla125[[#This Row],[PRECIO SUGERIDO INSTALADOR
( CON  IVA)]]/0.7</f>
        <v>25778.800000000003</v>
      </c>
      <c r="F113" s="4">
        <f>+Tabla125[[#This Row],[PRECIO SUGERIDO INSTALADOR
( CON  IVA)]]*5%</f>
        <v>902.25800000000004</v>
      </c>
      <c r="G113" s="16">
        <v>1</v>
      </c>
      <c r="H113" s="3">
        <f>Tabla125[[#This Row],[COSTO]]*1.19</f>
        <v>18045.16</v>
      </c>
      <c r="K113" s="3">
        <v>15164</v>
      </c>
    </row>
    <row r="114" spans="1:11" ht="60" x14ac:dyDescent="0.25">
      <c r="A114" s="7" t="s">
        <v>316</v>
      </c>
      <c r="B114" s="6" t="s">
        <v>317</v>
      </c>
      <c r="C114" s="5">
        <f>+Tabla125[[#This Row],[COSTO +IVA]]/Tabla125[[#This Row],[Columna5]]</f>
        <v>29609.307291666664</v>
      </c>
      <c r="D114" s="5">
        <f>+Tabla125[[#This Row],[PRECIO SUGERIDO INSTALADOR
( CON  IVA)]]-Tabla125[[#This Row],[Columna2]]</f>
        <v>28128.841927083333</v>
      </c>
      <c r="E114" s="5">
        <f>+Tabla125[[#This Row],[PRECIO SUGERIDO INSTALADOR
( CON  IVA)]]/0.7</f>
        <v>42299.010416666664</v>
      </c>
      <c r="F114" s="4">
        <f>+Tabla125[[#This Row],[PRECIO SUGERIDO INSTALADOR
( CON  IVA)]]*5%</f>
        <v>1480.4653645833332</v>
      </c>
      <c r="G114" s="1">
        <v>0.96</v>
      </c>
      <c r="H114" s="3">
        <f>Tabla125[[#This Row],[COSTO]]*1.19</f>
        <v>28424.934999999998</v>
      </c>
      <c r="K114" s="3">
        <v>23886.5</v>
      </c>
    </row>
    <row r="115" spans="1:11" ht="45" x14ac:dyDescent="0.25">
      <c r="A115" s="7" t="s">
        <v>90</v>
      </c>
      <c r="B115" s="6" t="s">
        <v>89</v>
      </c>
      <c r="C115" s="5">
        <f>+Tabla125[[#This Row],[COSTO +IVA]]/Tabla125[[#This Row],[Columna5]]</f>
        <v>21449.130208333336</v>
      </c>
      <c r="D115" s="5">
        <f>+Tabla125[[#This Row],[PRECIO SUGERIDO INSTALADOR
( CON  IVA)]]-Tabla125[[#This Row],[Columna2]]</f>
        <v>20376.673697916667</v>
      </c>
      <c r="E115" s="5">
        <f>+Tabla125[[#This Row],[PRECIO SUGERIDO INSTALADOR
( CON  IVA)]]/0.7</f>
        <v>30641.614583333339</v>
      </c>
      <c r="F115" s="4">
        <f>+Tabla125[[#This Row],[PRECIO SUGERIDO INSTALADOR
( CON  IVA)]]*5%</f>
        <v>1072.4565104166668</v>
      </c>
      <c r="G115" s="1">
        <v>0.96</v>
      </c>
      <c r="H115" s="3">
        <f>Tabla125[[#This Row],[COSTO]]*1.19</f>
        <v>20591.165000000001</v>
      </c>
      <c r="K115" s="3">
        <v>17303.5</v>
      </c>
    </row>
    <row r="116" spans="1:11" ht="45" x14ac:dyDescent="0.25">
      <c r="A116" s="7" t="s">
        <v>142</v>
      </c>
      <c r="B116" s="6" t="s">
        <v>141</v>
      </c>
      <c r="C116" s="5">
        <f>+Tabla125[[#This Row],[COSTO +IVA]]/Tabla125[[#This Row],[Columna5]]</f>
        <v>29823.135416666668</v>
      </c>
      <c r="D116" s="5">
        <f>+Tabla125[[#This Row],[PRECIO SUGERIDO INSTALADOR
( CON  IVA)]]-Tabla125[[#This Row],[Columna2]]</f>
        <v>28331.978645833333</v>
      </c>
      <c r="E116" s="5">
        <f>+Tabla125[[#This Row],[PRECIO SUGERIDO INSTALADOR
( CON  IVA)]]/0.7</f>
        <v>42604.479166666672</v>
      </c>
      <c r="F116" s="4">
        <f>+Tabla125[[#This Row],[PRECIO SUGERIDO INSTALADOR
( CON  IVA)]]*5%</f>
        <v>1491.1567708333334</v>
      </c>
      <c r="G116" s="1">
        <v>0.96</v>
      </c>
      <c r="H116" s="3">
        <f>Tabla125[[#This Row],[COSTO]]*1.19</f>
        <v>28630.21</v>
      </c>
      <c r="K116" s="3">
        <v>24059</v>
      </c>
    </row>
    <row r="117" spans="1:11" ht="60" x14ac:dyDescent="0.25">
      <c r="A117" s="7" t="s">
        <v>318</v>
      </c>
      <c r="B117" s="6" t="s">
        <v>319</v>
      </c>
      <c r="C117" s="5">
        <f>+Tabla125[[#This Row],[COSTO +IVA]]/Tabla125[[#This Row],[Columna5]]</f>
        <v>44866.71875</v>
      </c>
      <c r="D117" s="5">
        <f>+Tabla125[[#This Row],[PRECIO SUGERIDO INSTALADOR
( CON  IVA)]]-Tabla125[[#This Row],[Columna2]]</f>
        <v>42623.3828125</v>
      </c>
      <c r="E117" s="5">
        <f>+Tabla125[[#This Row],[PRECIO SUGERIDO INSTALADOR
( CON  IVA)]]/0.7</f>
        <v>64095.312500000007</v>
      </c>
      <c r="F117" s="4">
        <f>+Tabla125[[#This Row],[PRECIO SUGERIDO INSTALADOR
( CON  IVA)]]*5%</f>
        <v>2243.3359375</v>
      </c>
      <c r="G117" s="1">
        <v>0.96</v>
      </c>
      <c r="H117" s="3">
        <f>Tabla125[[#This Row],[COSTO]]*1.19</f>
        <v>43072.049999999996</v>
      </c>
      <c r="K117" s="3">
        <v>36195</v>
      </c>
    </row>
    <row r="118" spans="1:11" ht="45" x14ac:dyDescent="0.25">
      <c r="A118" s="7" t="s">
        <v>187</v>
      </c>
      <c r="B118" s="6" t="s">
        <v>186</v>
      </c>
      <c r="C118" s="5">
        <f>+Tabla125[[#This Row],[COSTO +IVA]]/Tabla125[[#This Row],[Columna5]]</f>
        <v>18352.18</v>
      </c>
      <c r="D118" s="5">
        <f>+Tabla125[[#This Row],[PRECIO SUGERIDO INSTALADOR
( CON  IVA)]]-Tabla125[[#This Row],[Columna2]]</f>
        <v>17434.571</v>
      </c>
      <c r="E118" s="5">
        <f>+Tabla125[[#This Row],[PRECIO SUGERIDO INSTALADOR
( CON  IVA)]]/0.7</f>
        <v>26217.4</v>
      </c>
      <c r="F118" s="4">
        <f>+Tabla125[[#This Row],[PRECIO SUGERIDO INSTALADOR
( CON  IVA)]]*5%</f>
        <v>917.60900000000004</v>
      </c>
      <c r="G118" s="16">
        <v>1</v>
      </c>
      <c r="H118" s="3">
        <f>Tabla125[[#This Row],[COSTO]]*1.19</f>
        <v>18352.18</v>
      </c>
      <c r="K118" s="3">
        <v>15422</v>
      </c>
    </row>
    <row r="119" spans="1:11" ht="45" x14ac:dyDescent="0.25">
      <c r="A119" s="7" t="s">
        <v>320</v>
      </c>
      <c r="B119" s="6" t="s">
        <v>321</v>
      </c>
      <c r="C119" s="5">
        <f>+Tabla125[[#This Row],[COSTO +IVA]]/Tabla125[[#This Row],[Columna5]]</f>
        <v>20626.046874999996</v>
      </c>
      <c r="D119" s="5">
        <f>+Tabla125[[#This Row],[PRECIO SUGERIDO INSTALADOR
( CON  IVA)]]-Tabla125[[#This Row],[Columna2]]</f>
        <v>19594.744531249995</v>
      </c>
      <c r="E119" s="5">
        <f>+Tabla125[[#This Row],[PRECIO SUGERIDO INSTALADOR
( CON  IVA)]]/0.7</f>
        <v>29465.781249999996</v>
      </c>
      <c r="F119" s="4">
        <f>+Tabla125[[#This Row],[PRECIO SUGERIDO INSTALADOR
( CON  IVA)]]*5%</f>
        <v>1031.3023437499999</v>
      </c>
      <c r="G119" s="1">
        <v>0.96</v>
      </c>
      <c r="H119" s="3">
        <f>Tabla125[[#This Row],[COSTO]]*1.19</f>
        <v>19801.004999999997</v>
      </c>
      <c r="K119" s="3">
        <v>16639.5</v>
      </c>
    </row>
    <row r="120" spans="1:11" ht="45" x14ac:dyDescent="0.25">
      <c r="A120" s="7" t="s">
        <v>322</v>
      </c>
      <c r="B120" s="6" t="s">
        <v>323</v>
      </c>
      <c r="C120" s="5">
        <f>+Tabla125[[#This Row],[COSTO +IVA]]/Tabla125[[#This Row],[Columna5]]</f>
        <v>27873.890625</v>
      </c>
      <c r="D120" s="5">
        <f>+Tabla125[[#This Row],[PRECIO SUGERIDO INSTALADOR
( CON  IVA)]]-Tabla125[[#This Row],[Columna2]]</f>
        <v>26480.196093750001</v>
      </c>
      <c r="E120" s="5">
        <f>+Tabla125[[#This Row],[PRECIO SUGERIDO INSTALADOR
( CON  IVA)]]/0.7</f>
        <v>39819.84375</v>
      </c>
      <c r="F120" s="4">
        <f>+Tabla125[[#This Row],[PRECIO SUGERIDO INSTALADOR
( CON  IVA)]]*5%</f>
        <v>1393.6945312500002</v>
      </c>
      <c r="G120" s="1">
        <v>0.96</v>
      </c>
      <c r="H120" s="3">
        <f>Tabla125[[#This Row],[COSTO]]*1.19</f>
        <v>26758.934999999998</v>
      </c>
      <c r="K120" s="3">
        <v>22486.5</v>
      </c>
    </row>
    <row r="121" spans="1:11" ht="60" x14ac:dyDescent="0.25">
      <c r="A121" s="7" t="s">
        <v>324</v>
      </c>
      <c r="B121" s="6" t="s">
        <v>325</v>
      </c>
      <c r="C121" s="5">
        <f>+Tabla125[[#This Row],[COSTO +IVA]]/Tabla125[[#This Row],[Columna5]]</f>
        <v>29847.927083333332</v>
      </c>
      <c r="D121" s="5">
        <f>+Tabla125[[#This Row],[PRECIO SUGERIDO INSTALADOR
( CON  IVA)]]-Tabla125[[#This Row],[Columna2]]</f>
        <v>28355.530729166665</v>
      </c>
      <c r="E121" s="5">
        <f>+Tabla125[[#This Row],[PRECIO SUGERIDO INSTALADOR
( CON  IVA)]]/0.7</f>
        <v>42639.895833333336</v>
      </c>
      <c r="F121" s="4">
        <f>+Tabla125[[#This Row],[PRECIO SUGERIDO INSTALADOR
( CON  IVA)]]*5%</f>
        <v>1492.3963541666667</v>
      </c>
      <c r="G121" s="1">
        <v>0.96</v>
      </c>
      <c r="H121" s="3">
        <f>Tabla125[[#This Row],[COSTO]]*1.19</f>
        <v>28654.01</v>
      </c>
      <c r="K121" s="3">
        <v>24079</v>
      </c>
    </row>
    <row r="122" spans="1:11" ht="60" x14ac:dyDescent="0.25">
      <c r="A122" s="7" t="s">
        <v>185</v>
      </c>
      <c r="B122" s="6" t="s">
        <v>326</v>
      </c>
      <c r="C122" s="5">
        <f>+Tabla125[[#This Row],[COSTO +IVA]]/Tabla125[[#This Row],[Columna5]]</f>
        <v>19699.357142857141</v>
      </c>
      <c r="D122" s="5">
        <f>+Tabla125[[#This Row],[PRECIO SUGERIDO INSTALADOR
( CON  IVA)]]-Tabla125[[#This Row],[Columna2]]</f>
        <v>18714.389285714286</v>
      </c>
      <c r="E122" s="5">
        <f>+Tabla125[[#This Row],[PRECIO SUGERIDO INSTALADOR
( CON  IVA)]]/0.7</f>
        <v>28141.938775510203</v>
      </c>
      <c r="F122" s="4">
        <f>+Tabla125[[#This Row],[PRECIO SUGERIDO INSTALADOR
( CON  IVA)]]*5%</f>
        <v>984.96785714285716</v>
      </c>
      <c r="G122" s="16">
        <v>0.98</v>
      </c>
      <c r="H122" s="3">
        <f>Tabla125[[#This Row],[COSTO]]*1.19</f>
        <v>19305.37</v>
      </c>
      <c r="K122" s="3">
        <v>16223</v>
      </c>
    </row>
    <row r="123" spans="1:11" ht="45" x14ac:dyDescent="0.25">
      <c r="A123" s="7" t="s">
        <v>86</v>
      </c>
      <c r="B123" s="6" t="s">
        <v>85</v>
      </c>
      <c r="C123" s="5">
        <f>+Tabla125[[#This Row],[COSTO +IVA]]/Tabla125[[#This Row],[Columna5]]</f>
        <v>17706.605</v>
      </c>
      <c r="D123" s="5">
        <f>+Tabla125[[#This Row],[PRECIO SUGERIDO INSTALADOR
( CON  IVA)]]-Tabla125[[#This Row],[Columna2]]</f>
        <v>16821.27475</v>
      </c>
      <c r="E123" s="5">
        <f>+Tabla125[[#This Row],[PRECIO SUGERIDO INSTALADOR
( CON  IVA)]]/0.7</f>
        <v>25295.15</v>
      </c>
      <c r="F123" s="4">
        <f>+Tabla125[[#This Row],[PRECIO SUGERIDO INSTALADOR
( CON  IVA)]]*5%</f>
        <v>885.33024999999998</v>
      </c>
      <c r="G123" s="16">
        <v>1</v>
      </c>
      <c r="H123" s="3">
        <f>Tabla125[[#This Row],[COSTO]]*1.19</f>
        <v>17706.605</v>
      </c>
      <c r="K123" s="3">
        <v>14879.5</v>
      </c>
    </row>
    <row r="124" spans="1:11" ht="45" x14ac:dyDescent="0.25">
      <c r="A124" s="7" t="s">
        <v>92</v>
      </c>
      <c r="B124" s="6" t="s">
        <v>91</v>
      </c>
      <c r="C124" s="5">
        <f>+Tabla125[[#This Row],[COSTO +IVA]]/Tabla125[[#This Row],[Columna5]]</f>
        <v>18934.635416666668</v>
      </c>
      <c r="D124" s="5">
        <f>+Tabla125[[#This Row],[PRECIO SUGERIDO INSTALADOR
( CON  IVA)]]-Tabla125[[#This Row],[Columna2]]</f>
        <v>17987.903645833336</v>
      </c>
      <c r="E124" s="5">
        <f>+Tabla125[[#This Row],[PRECIO SUGERIDO INSTALADOR
( CON  IVA)]]/0.7</f>
        <v>27049.479166666672</v>
      </c>
      <c r="F124" s="4">
        <f>+Tabla125[[#This Row],[PRECIO SUGERIDO INSTALADOR
( CON  IVA)]]*5%</f>
        <v>946.73177083333348</v>
      </c>
      <c r="G124" s="1">
        <v>0.96</v>
      </c>
      <c r="H124" s="3">
        <f>Tabla125[[#This Row],[COSTO]]*1.19</f>
        <v>18177.25</v>
      </c>
      <c r="K124" s="3">
        <v>15275</v>
      </c>
    </row>
    <row r="125" spans="1:11" ht="45" x14ac:dyDescent="0.25">
      <c r="A125" s="7" t="s">
        <v>191</v>
      </c>
      <c r="B125" s="6" t="s">
        <v>190</v>
      </c>
      <c r="C125" s="5">
        <f>+Tabla125[[#This Row],[COSTO +IVA]]/Tabla125[[#This Row],[Columna5]]</f>
        <v>4662.8571428571422</v>
      </c>
      <c r="D125" s="5">
        <f>+Tabla125[[#This Row],[PRECIO SUGERIDO INSTALADOR
( CON  IVA)]]-Tabla125[[#This Row],[Columna2]]</f>
        <v>4429.7142857142853</v>
      </c>
      <c r="E125" s="5">
        <f>+Tabla125[[#This Row],[PRECIO SUGERIDO INSTALADOR
( CON  IVA)]]/0.7</f>
        <v>6661.2244897959181</v>
      </c>
      <c r="F125" s="4">
        <f>+Tabla125[[#This Row],[PRECIO SUGERIDO INSTALADOR
( CON  IVA)]]*5%</f>
        <v>233.14285714285711</v>
      </c>
      <c r="G125" s="16">
        <v>0.98</v>
      </c>
      <c r="H125" s="3">
        <f>Tabla125[[#This Row],[COSTO]]*1.19</f>
        <v>4569.5999999999995</v>
      </c>
      <c r="K125" s="3">
        <v>3840</v>
      </c>
    </row>
    <row r="126" spans="1:11" ht="45" x14ac:dyDescent="0.25">
      <c r="A126" s="7" t="s">
        <v>94</v>
      </c>
      <c r="B126" s="6" t="s">
        <v>93</v>
      </c>
      <c r="C126" s="5">
        <f>+Tabla125[[#This Row],[COSTO +IVA]]/Tabla125[[#This Row],[Columna5]]</f>
        <v>4339.335</v>
      </c>
      <c r="D126" s="5">
        <f>+Tabla125[[#This Row],[PRECIO SUGERIDO INSTALADOR
( CON  IVA)]]-Tabla125[[#This Row],[Columna2]]</f>
        <v>4122.3682500000004</v>
      </c>
      <c r="E126" s="5">
        <f>+Tabla125[[#This Row],[PRECIO SUGERIDO INSTALADOR
( CON  IVA)]]/0.7</f>
        <v>6199.05</v>
      </c>
      <c r="F126" s="4">
        <f>+Tabla125[[#This Row],[PRECIO SUGERIDO INSTALADOR
( CON  IVA)]]*5%</f>
        <v>216.96675000000002</v>
      </c>
      <c r="G126" s="16">
        <v>1</v>
      </c>
      <c r="H126" s="3">
        <f>Tabla125[[#This Row],[COSTO]]*1.19</f>
        <v>4339.335</v>
      </c>
      <c r="K126" s="3">
        <v>3646.5</v>
      </c>
    </row>
    <row r="127" spans="1:11" ht="45" x14ac:dyDescent="0.25">
      <c r="A127" s="7" t="s">
        <v>144</v>
      </c>
      <c r="B127" s="6" t="s">
        <v>143</v>
      </c>
      <c r="C127" s="5">
        <f>+Tabla125[[#This Row],[COSTO +IVA]]/Tabla125[[#This Row],[Columna5]]</f>
        <v>5066.796875</v>
      </c>
      <c r="D127" s="5">
        <f>+Tabla125[[#This Row],[PRECIO SUGERIDO INSTALADOR
( CON  IVA)]]-Tabla125[[#This Row],[Columna2]]</f>
        <v>4813.45703125</v>
      </c>
      <c r="E127" s="5">
        <f>+Tabla125[[#This Row],[PRECIO SUGERIDO INSTALADOR
( CON  IVA)]]/0.7</f>
        <v>7238.2812500000009</v>
      </c>
      <c r="F127" s="4">
        <f>+Tabla125[[#This Row],[PRECIO SUGERIDO INSTALADOR
( CON  IVA)]]*5%</f>
        <v>253.33984375</v>
      </c>
      <c r="G127" s="1">
        <v>0.96</v>
      </c>
      <c r="H127" s="3">
        <f>Tabla125[[#This Row],[COSTO]]*1.19</f>
        <v>4864.125</v>
      </c>
      <c r="K127" s="3">
        <v>4087.5</v>
      </c>
    </row>
    <row r="128" spans="1:11" ht="45" x14ac:dyDescent="0.25">
      <c r="A128" s="7" t="s">
        <v>96</v>
      </c>
      <c r="B128" s="6" t="s">
        <v>95</v>
      </c>
      <c r="C128" s="5">
        <f>+Tabla125[[#This Row],[COSTO +IVA]]/Tabla125[[#This Row],[Columna5]]</f>
        <v>6028.7135416666661</v>
      </c>
      <c r="D128" s="5">
        <f>+Tabla125[[#This Row],[PRECIO SUGERIDO INSTALADOR
( CON  IVA)]]-Tabla125[[#This Row],[Columna2]]</f>
        <v>5727.2778645833332</v>
      </c>
      <c r="E128" s="5">
        <f>+Tabla125[[#This Row],[PRECIO SUGERIDO INSTALADOR
( CON  IVA)]]/0.7</f>
        <v>8612.4479166666661</v>
      </c>
      <c r="F128" s="4">
        <f>+Tabla125[[#This Row],[PRECIO SUGERIDO INSTALADOR
( CON  IVA)]]*5%</f>
        <v>301.4356770833333</v>
      </c>
      <c r="G128" s="1">
        <v>0.96</v>
      </c>
      <c r="H128" s="3">
        <f>Tabla125[[#This Row],[COSTO]]*1.19</f>
        <v>5787.5649999999996</v>
      </c>
      <c r="K128" s="3">
        <v>4863.5</v>
      </c>
    </row>
    <row r="129" spans="1:11" ht="45" x14ac:dyDescent="0.25">
      <c r="A129" s="7" t="s">
        <v>98</v>
      </c>
      <c r="B129" s="6" t="s">
        <v>97</v>
      </c>
      <c r="C129" s="5">
        <f>+Tabla125[[#This Row],[COSTO +IVA]]/Tabla125[[#This Row],[Columna5]]</f>
        <v>4218.302083333333</v>
      </c>
      <c r="D129" s="5">
        <f>+Tabla125[[#This Row],[PRECIO SUGERIDO INSTALADOR
( CON  IVA)]]-Tabla125[[#This Row],[Columna2]]</f>
        <v>4007.3869791666666</v>
      </c>
      <c r="E129" s="5">
        <f>+Tabla125[[#This Row],[PRECIO SUGERIDO INSTALADOR
( CON  IVA)]]/0.7</f>
        <v>6026.145833333333</v>
      </c>
      <c r="F129" s="4">
        <f>+Tabla125[[#This Row],[PRECIO SUGERIDO INSTALADOR
( CON  IVA)]]*5%</f>
        <v>210.91510416666665</v>
      </c>
      <c r="G129" s="1">
        <v>0.96</v>
      </c>
      <c r="H129" s="3">
        <f>Tabla125[[#This Row],[COSTO]]*1.19</f>
        <v>4049.5699999999997</v>
      </c>
      <c r="K129" s="3">
        <v>3403</v>
      </c>
    </row>
    <row r="130" spans="1:11" ht="45" x14ac:dyDescent="0.25">
      <c r="A130" s="7" t="s">
        <v>193</v>
      </c>
      <c r="B130" s="6" t="s">
        <v>192</v>
      </c>
      <c r="C130" s="5">
        <f>+Tabla125[[#This Row],[COSTO +IVA]]/Tabla125[[#This Row],[Columna5]]</f>
        <v>4526.165</v>
      </c>
      <c r="D130" s="5">
        <f>+Tabla125[[#This Row],[PRECIO SUGERIDO INSTALADOR
( CON  IVA)]]-Tabla125[[#This Row],[Columna2]]</f>
        <v>4299.8567499999999</v>
      </c>
      <c r="E130" s="5">
        <f>+Tabla125[[#This Row],[PRECIO SUGERIDO INSTALADOR
( CON  IVA)]]/0.7</f>
        <v>6465.9500000000007</v>
      </c>
      <c r="F130" s="4">
        <f>+Tabla125[[#This Row],[PRECIO SUGERIDO INSTALADOR
( CON  IVA)]]*5%</f>
        <v>226.30825000000002</v>
      </c>
      <c r="G130" s="16">
        <v>1</v>
      </c>
      <c r="H130" s="3">
        <f>Tabla125[[#This Row],[COSTO]]*1.19</f>
        <v>4526.165</v>
      </c>
      <c r="K130" s="3">
        <v>3803.5</v>
      </c>
    </row>
    <row r="131" spans="1:11" ht="45" x14ac:dyDescent="0.25">
      <c r="A131" s="7" t="s">
        <v>175</v>
      </c>
      <c r="B131" s="6" t="s">
        <v>174</v>
      </c>
      <c r="C131" s="5">
        <f>+Tabla125[[#This Row],[COSTO +IVA]]/Tabla125[[#This Row],[Columna5]]</f>
        <v>5321.0913978494618</v>
      </c>
      <c r="D131" s="5">
        <f>+Tabla125[[#This Row],[PRECIO SUGERIDO INSTALADOR
( CON  IVA)]]-Tabla125[[#This Row],[Columna2]]</f>
        <v>5055.0368279569884</v>
      </c>
      <c r="E131" s="5">
        <f>+Tabla125[[#This Row],[PRECIO SUGERIDO INSTALADOR
( CON  IVA)]]/0.7</f>
        <v>7601.5591397849457</v>
      </c>
      <c r="F131" s="4">
        <f>+Tabla125[[#This Row],[PRECIO SUGERIDO INSTALADOR
( CON  IVA)]]*5%</f>
        <v>266.05456989247313</v>
      </c>
      <c r="G131" s="16">
        <v>0.93</v>
      </c>
      <c r="H131" s="3">
        <f>Tabla125[[#This Row],[COSTO]]*1.19</f>
        <v>4948.6149999999998</v>
      </c>
      <c r="K131" s="3">
        <v>4158.5</v>
      </c>
    </row>
    <row r="132" spans="1:11" ht="45" x14ac:dyDescent="0.25">
      <c r="A132" s="7" t="s">
        <v>327</v>
      </c>
      <c r="B132" s="6" t="s">
        <v>328</v>
      </c>
      <c r="C132" s="5">
        <f>+Tabla125[[#This Row],[COSTO +IVA]]/Tabla125[[#This Row],[Columna5]]</f>
        <v>6091.3125</v>
      </c>
      <c r="D132" s="5">
        <f>+Tabla125[[#This Row],[PRECIO SUGERIDO INSTALADOR
( CON  IVA)]]-Tabla125[[#This Row],[Columna2]]</f>
        <v>5786.7468749999998</v>
      </c>
      <c r="E132" s="5">
        <f>+Tabla125[[#This Row],[PRECIO SUGERIDO INSTALADOR
( CON  IVA)]]/0.7</f>
        <v>8701.875</v>
      </c>
      <c r="F132" s="4">
        <f>+Tabla125[[#This Row],[PRECIO SUGERIDO INSTALADOR
( CON  IVA)]]*5%</f>
        <v>304.56562500000001</v>
      </c>
      <c r="G132" s="1">
        <v>0.96</v>
      </c>
      <c r="H132" s="3">
        <f>Tabla125[[#This Row],[COSTO]]*1.19</f>
        <v>5847.66</v>
      </c>
      <c r="K132" s="3">
        <v>4914</v>
      </c>
    </row>
    <row r="133" spans="1:11" ht="45" x14ac:dyDescent="0.25">
      <c r="A133" s="7" t="s">
        <v>329</v>
      </c>
      <c r="B133" s="6" t="s">
        <v>330</v>
      </c>
      <c r="C133" s="5">
        <f>+Tabla125[[#This Row],[COSTO +IVA]]/Tabla125[[#This Row],[Columna5]]</f>
        <v>6110.5260416666661</v>
      </c>
      <c r="D133" s="5">
        <f>+Tabla125[[#This Row],[PRECIO SUGERIDO INSTALADOR
( CON  IVA)]]-Tabla125[[#This Row],[Columna2]]</f>
        <v>5804.9997395833325</v>
      </c>
      <c r="E133" s="5">
        <f>+Tabla125[[#This Row],[PRECIO SUGERIDO INSTALADOR
( CON  IVA)]]/0.7</f>
        <v>8729.3229166666661</v>
      </c>
      <c r="F133" s="4">
        <f>+Tabla125[[#This Row],[PRECIO SUGERIDO INSTALADOR
( CON  IVA)]]*5%</f>
        <v>305.52630208333329</v>
      </c>
      <c r="G133" s="1">
        <v>0.96</v>
      </c>
      <c r="H133" s="3">
        <f>Tabla125[[#This Row],[COSTO]]*1.19</f>
        <v>5866.1049999999996</v>
      </c>
      <c r="K133" s="3">
        <v>4929.5</v>
      </c>
    </row>
    <row r="134" spans="1:11" x14ac:dyDescent="0.25">
      <c r="A134" s="7" t="s">
        <v>331</v>
      </c>
      <c r="B134" s="6" t="s">
        <v>332</v>
      </c>
      <c r="C134" s="5">
        <f>+Tabla125[[#This Row],[COSTO +IVA]]/Tabla125[[#This Row],[Columna5]]</f>
        <v>7103.432291666667</v>
      </c>
      <c r="D134" s="5">
        <f>+Tabla125[[#This Row],[PRECIO SUGERIDO INSTALADOR
( CON  IVA)]]-Tabla125[[#This Row],[Columna2]]</f>
        <v>6748.2606770833336</v>
      </c>
      <c r="E134" s="5">
        <f>+Tabla125[[#This Row],[PRECIO SUGERIDO INSTALADOR
( CON  IVA)]]/0.7</f>
        <v>10147.760416666668</v>
      </c>
      <c r="F134" s="4">
        <f>+Tabla125[[#This Row],[PRECIO SUGERIDO INSTALADOR
( CON  IVA)]]*5%</f>
        <v>355.17161458333339</v>
      </c>
      <c r="G134" s="1">
        <v>0.96</v>
      </c>
      <c r="H134" s="3">
        <f>Tabla125[[#This Row],[COSTO]]*1.19</f>
        <v>6819.2950000000001</v>
      </c>
      <c r="K134" s="3">
        <v>5730.5</v>
      </c>
    </row>
    <row r="135" spans="1:11" ht="30" x14ac:dyDescent="0.25">
      <c r="A135" s="7" t="s">
        <v>333</v>
      </c>
      <c r="B135" s="6" t="s">
        <v>334</v>
      </c>
      <c r="C135" s="5">
        <f>+Tabla125[[#This Row],[COSTO +IVA]]/Tabla125[[#This Row],[Columna5]]</f>
        <v>11378.755208333334</v>
      </c>
      <c r="D135" s="5">
        <f>+Tabla125[[#This Row],[PRECIO SUGERIDO INSTALADOR
( CON  IVA)]]-Tabla125[[#This Row],[Columna2]]</f>
        <v>10809.817447916666</v>
      </c>
      <c r="E135" s="5">
        <f>+Tabla125[[#This Row],[PRECIO SUGERIDO INSTALADOR
( CON  IVA)]]/0.7</f>
        <v>16255.364583333336</v>
      </c>
      <c r="F135" s="4">
        <f>+Tabla125[[#This Row],[PRECIO SUGERIDO INSTALADOR
( CON  IVA)]]*5%</f>
        <v>568.93776041666672</v>
      </c>
      <c r="G135" s="1">
        <v>0.96</v>
      </c>
      <c r="H135" s="3">
        <f>Tabla125[[#This Row],[COSTO]]*1.19</f>
        <v>10923.605</v>
      </c>
      <c r="K135" s="3">
        <v>9179.5</v>
      </c>
    </row>
    <row r="136" spans="1:11" ht="45" x14ac:dyDescent="0.25">
      <c r="A136" s="7" t="s">
        <v>335</v>
      </c>
      <c r="B136" s="6" t="s">
        <v>336</v>
      </c>
      <c r="C136" s="5">
        <f>+Tabla125[[#This Row],[COSTO +IVA]]/Tabla125[[#This Row],[Columna5]]</f>
        <v>19393.901041666668</v>
      </c>
      <c r="D136" s="5">
        <f>+Tabla125[[#This Row],[PRECIO SUGERIDO INSTALADOR
( CON  IVA)]]-Tabla125[[#This Row],[Columna2]]</f>
        <v>18424.205989583334</v>
      </c>
      <c r="E136" s="5">
        <f>+Tabla125[[#This Row],[PRECIO SUGERIDO INSTALADOR
( CON  IVA)]]/0.7</f>
        <v>27705.572916666672</v>
      </c>
      <c r="F136" s="4">
        <f>+Tabla125[[#This Row],[PRECIO SUGERIDO INSTALADOR
( CON  IVA)]]*5%</f>
        <v>969.69505208333339</v>
      </c>
      <c r="G136" s="1">
        <v>0.96</v>
      </c>
      <c r="H136" s="3">
        <f>Tabla125[[#This Row],[COSTO]]*1.19</f>
        <v>18618.145</v>
      </c>
      <c r="K136" s="3">
        <v>15645.5</v>
      </c>
    </row>
    <row r="137" spans="1:11" ht="45" x14ac:dyDescent="0.25">
      <c r="A137" s="7" t="s">
        <v>337</v>
      </c>
      <c r="B137" s="6" t="s">
        <v>338</v>
      </c>
      <c r="C137" s="5">
        <f>+Tabla125[[#This Row],[COSTO +IVA]]/Tabla125[[#This Row],[Columna5]]</f>
        <v>98653.974999999991</v>
      </c>
      <c r="D137" s="5">
        <f>+Tabla125[[#This Row],[PRECIO SUGERIDO INSTALADOR
( CON  IVA)]]-Tabla125[[#This Row],[Columna2]]</f>
        <v>93721.276249999995</v>
      </c>
      <c r="E137" s="5">
        <f>+Tabla125[[#This Row],[PRECIO SUGERIDO INSTALADOR
( CON  IVA)]]/0.7</f>
        <v>140934.25</v>
      </c>
      <c r="F137" s="4">
        <f>+Tabla125[[#This Row],[PRECIO SUGERIDO INSTALADOR
( CON  IVA)]]*5%</f>
        <v>4932.6987499999996</v>
      </c>
      <c r="G137" s="16">
        <v>1</v>
      </c>
      <c r="H137" s="3">
        <f>Tabla125[[#This Row],[COSTO]]*1.19</f>
        <v>98653.974999999991</v>
      </c>
      <c r="K137" s="3">
        <v>82902.5</v>
      </c>
    </row>
    <row r="138" spans="1:11" ht="45" x14ac:dyDescent="0.25">
      <c r="A138" s="7" t="s">
        <v>66</v>
      </c>
      <c r="B138" s="6" t="s">
        <v>339</v>
      </c>
      <c r="C138" s="5">
        <f>+Tabla125[[#This Row],[COSTO +IVA]]/Tabla125[[#This Row],[Columna5]]</f>
        <v>134616.965</v>
      </c>
      <c r="D138" s="5">
        <f>+Tabla125[[#This Row],[PRECIO SUGERIDO INSTALADOR
( CON  IVA)]]-Tabla125[[#This Row],[Columna2]]</f>
        <v>127886.11675</v>
      </c>
      <c r="E138" s="5">
        <f>+Tabla125[[#This Row],[PRECIO SUGERIDO INSTALADOR
( CON  IVA)]]/0.7</f>
        <v>192309.95</v>
      </c>
      <c r="F138" s="4">
        <f>+Tabla125[[#This Row],[PRECIO SUGERIDO INSTALADOR
( CON  IVA)]]*5%</f>
        <v>6730.84825</v>
      </c>
      <c r="G138" s="16">
        <v>1</v>
      </c>
      <c r="H138" s="3">
        <f>Tabla125[[#This Row],[COSTO]]*1.19</f>
        <v>134616.965</v>
      </c>
      <c r="K138" s="3">
        <v>113123.5</v>
      </c>
    </row>
    <row r="139" spans="1:11" ht="45" x14ac:dyDescent="0.25">
      <c r="A139" s="7" t="s">
        <v>72</v>
      </c>
      <c r="B139" s="6" t="s">
        <v>71</v>
      </c>
      <c r="C139" s="5">
        <f>+Tabla125[[#This Row],[COSTO +IVA]]/Tabla125[[#This Row],[Columna5]]</f>
        <v>265867.52127659577</v>
      </c>
      <c r="D139" s="5">
        <f>+Tabla125[[#This Row],[PRECIO SUGERIDO INSTALADOR
( CON  IVA)]]-Tabla125[[#This Row],[Columna2]]</f>
        <v>252574.14521276599</v>
      </c>
      <c r="E139" s="5">
        <f>+Tabla125[[#This Row],[PRECIO SUGERIDO INSTALADOR
( CON  IVA)]]/0.7</f>
        <v>379810.74468085112</v>
      </c>
      <c r="F139" s="4">
        <f>+Tabla125[[#This Row],[PRECIO SUGERIDO INSTALADOR
( CON  IVA)]]*5%</f>
        <v>13293.37606382979</v>
      </c>
      <c r="G139" s="16">
        <v>0.94</v>
      </c>
      <c r="H139" s="3">
        <f>Tabla125[[#This Row],[COSTO]]*1.19</f>
        <v>249915.47</v>
      </c>
      <c r="K139" s="3">
        <v>210013</v>
      </c>
    </row>
    <row r="140" spans="1:11" ht="30" x14ac:dyDescent="0.25">
      <c r="A140" s="7" t="s">
        <v>110</v>
      </c>
      <c r="B140" s="6" t="s">
        <v>109</v>
      </c>
      <c r="C140" s="5">
        <f>+Tabla125[[#This Row],[COSTO +IVA]]/Tabla125[[#This Row],[Columna5]]</f>
        <v>49531.270833333328</v>
      </c>
      <c r="D140" s="5">
        <f>+Tabla125[[#This Row],[PRECIO SUGERIDO INSTALADOR
( CON  IVA)]]-Tabla125[[#This Row],[Columna2]]</f>
        <v>47054.707291666666</v>
      </c>
      <c r="E140" s="5">
        <f>+Tabla125[[#This Row],[PRECIO SUGERIDO INSTALADOR
( CON  IVA)]]/0.7</f>
        <v>70758.958333333328</v>
      </c>
      <c r="F140" s="4">
        <f>+Tabla125[[#This Row],[PRECIO SUGERIDO INSTALADOR
( CON  IVA)]]*5%</f>
        <v>2476.5635416666664</v>
      </c>
      <c r="G140" s="1">
        <v>0.96</v>
      </c>
      <c r="H140" s="3">
        <f>Tabla125[[#This Row],[COSTO]]*1.19</f>
        <v>47550.02</v>
      </c>
      <c r="K140" s="3">
        <v>39958</v>
      </c>
    </row>
    <row r="141" spans="1:11" ht="30" x14ac:dyDescent="0.25">
      <c r="A141" s="7" t="s">
        <v>380</v>
      </c>
      <c r="B141" s="6" t="s">
        <v>382</v>
      </c>
      <c r="C141" s="5">
        <f>+Tabla125[[#This Row],[COSTO +IVA]]/Tabla125[[#This Row],[Columna5]]</f>
        <v>2975</v>
      </c>
      <c r="D141" s="5">
        <f>+Tabla125[[#This Row],[PRECIO SUGERIDO INSTALADOR
( CON  IVA)]]-Tabla125[[#This Row],[Columna2]]</f>
        <v>2826.25</v>
      </c>
      <c r="E141" s="5">
        <f>+Tabla125[[#This Row],[PRECIO SUGERIDO INSTALADOR
( CON  IVA)]]/0.7</f>
        <v>4250</v>
      </c>
      <c r="F141" s="4">
        <f>+Tabla125[[#This Row],[PRECIO SUGERIDO INSTALADOR
( CON  IVA)]]*5%</f>
        <v>148.75</v>
      </c>
      <c r="G141" s="16">
        <v>0.82</v>
      </c>
      <c r="H141" s="3">
        <f>Tabla125[[#This Row],[COSTO]]*1.19</f>
        <v>2439.5</v>
      </c>
      <c r="K141" s="3">
        <v>2050</v>
      </c>
    </row>
    <row r="142" spans="1:11" ht="30" x14ac:dyDescent="0.25">
      <c r="A142" s="7" t="s">
        <v>381</v>
      </c>
      <c r="B142" s="6" t="s">
        <v>383</v>
      </c>
      <c r="C142" s="5">
        <f>+Tabla125[[#This Row],[COSTO +IVA]]/Tabla125[[#This Row],[Columna5]]</f>
        <v>25831.707317073171</v>
      </c>
      <c r="D142" s="5">
        <f>+Tabla125[[#This Row],[PRECIO SUGERIDO INSTALADOR
( CON  IVA)]]-Tabla125[[#This Row],[Columna2]]</f>
        <v>24540.121951219513</v>
      </c>
      <c r="E142" s="5">
        <f>+Tabla125[[#This Row],[PRECIO SUGERIDO INSTALADOR
( CON  IVA)]]/0.7</f>
        <v>36902.439024390245</v>
      </c>
      <c r="F142" s="4">
        <f>+Tabla125[[#This Row],[PRECIO SUGERIDO INSTALADOR
( CON  IVA)]]*5%</f>
        <v>1291.5853658536587</v>
      </c>
      <c r="G142" s="16">
        <v>0.82</v>
      </c>
      <c r="H142" s="3">
        <f>Tabla125[[#This Row],[COSTO]]*1.19</f>
        <v>21182</v>
      </c>
      <c r="K142" s="3">
        <v>17800</v>
      </c>
    </row>
    <row r="143" spans="1:11" ht="30" x14ac:dyDescent="0.25">
      <c r="A143" s="7" t="s">
        <v>1</v>
      </c>
      <c r="B143" s="6" t="s">
        <v>0</v>
      </c>
      <c r="C143" s="5">
        <f>+Tabla125[[#This Row],[COSTO +IVA]]/Tabla125[[#This Row],[Columna5]]</f>
        <v>246758.10975609758</v>
      </c>
      <c r="D143" s="5">
        <f>+Tabla125[[#This Row],[PRECIO SUGERIDO INSTALADOR
( CON  IVA)]]-Tabla125[[#This Row],[Columna2]]</f>
        <v>234420.2042682927</v>
      </c>
      <c r="E143" s="5">
        <f>+Tabla125[[#This Row],[PRECIO SUGERIDO INSTALADOR
( CON  IVA)]]/0.7</f>
        <v>352511.58536585368</v>
      </c>
      <c r="F143" s="4">
        <f>+Tabla125[[#This Row],[PRECIO SUGERIDO INSTALADOR
( CON  IVA)]]*5%</f>
        <v>12337.905487804879</v>
      </c>
      <c r="G143" s="16">
        <v>0.82</v>
      </c>
      <c r="H143" s="3">
        <f>Tabla125[[#This Row],[COSTO]]*1.19</f>
        <v>202341.65</v>
      </c>
      <c r="K143" s="3">
        <v>170035</v>
      </c>
    </row>
    <row r="144" spans="1:11" ht="30" x14ac:dyDescent="0.25">
      <c r="A144" s="7" t="s">
        <v>30</v>
      </c>
      <c r="B144" s="6" t="s">
        <v>29</v>
      </c>
      <c r="C144" s="5">
        <f>+Tabla125[[#This Row],[COSTO +IVA]]/Tabla125[[#This Row],[Columna5]]</f>
        <v>498100.62195121957</v>
      </c>
      <c r="D144" s="5">
        <f>+Tabla125[[#This Row],[PRECIO SUGERIDO INSTALADOR
( CON  IVA)]]-Tabla125[[#This Row],[Columna2]]</f>
        <v>473195.59085365856</v>
      </c>
      <c r="E144" s="5">
        <f>+Tabla125[[#This Row],[PRECIO SUGERIDO INSTALADOR
( CON  IVA)]]/0.7</f>
        <v>711572.31707317091</v>
      </c>
      <c r="F144" s="4">
        <f>+Tabla125[[#This Row],[PRECIO SUGERIDO INSTALADOR
( CON  IVA)]]*5%</f>
        <v>24905.031097560979</v>
      </c>
      <c r="G144" s="16">
        <v>0.82</v>
      </c>
      <c r="H144" s="3">
        <f>Tabla125[[#This Row],[COSTO]]*1.19</f>
        <v>408442.51</v>
      </c>
      <c r="K144" s="3">
        <v>343229</v>
      </c>
    </row>
    <row r="145" spans="1:11" ht="30" x14ac:dyDescent="0.25">
      <c r="A145" s="7" t="s">
        <v>340</v>
      </c>
      <c r="B145" s="6" t="s">
        <v>341</v>
      </c>
      <c r="C145" s="5">
        <f>+Tabla125[[#This Row],[COSTO +IVA]]/Tabla125[[#This Row],[Columna5]]</f>
        <v>615563.44791666663</v>
      </c>
      <c r="D145" s="5">
        <f>+Tabla125[[#This Row],[PRECIO SUGERIDO INSTALADOR
( CON  IVA)]]-Tabla125[[#This Row],[Columna2]]</f>
        <v>584785.27552083333</v>
      </c>
      <c r="E145" s="5">
        <f>+Tabla125[[#This Row],[PRECIO SUGERIDO INSTALADOR
( CON  IVA)]]/0.7</f>
        <v>879376.35416666663</v>
      </c>
      <c r="F145" s="4">
        <f>+Tabla125[[#This Row],[PRECIO SUGERIDO INSTALADOR
( CON  IVA)]]*5%</f>
        <v>30778.172395833331</v>
      </c>
      <c r="G145" s="1">
        <v>0.96</v>
      </c>
      <c r="H145" s="3">
        <f>Tabla125[[#This Row],[COSTO]]*1.19</f>
        <v>590940.90999999992</v>
      </c>
      <c r="K145" s="3">
        <v>496589</v>
      </c>
    </row>
    <row r="146" spans="1:11" ht="30" x14ac:dyDescent="0.25">
      <c r="A146" s="7" t="s">
        <v>342</v>
      </c>
      <c r="B146" s="6" t="s">
        <v>343</v>
      </c>
      <c r="C146" s="5">
        <f>+Tabla125[[#This Row],[COSTO +IVA]]/Tabla125[[#This Row],[Columna5]]</f>
        <v>2922222.2604166665</v>
      </c>
      <c r="D146" s="5">
        <f>+Tabla125[[#This Row],[PRECIO SUGERIDO INSTALADOR
( CON  IVA)]]-Tabla125[[#This Row],[Columna2]]</f>
        <v>2776111.1473958334</v>
      </c>
      <c r="E146" s="5">
        <f>+Tabla125[[#This Row],[PRECIO SUGERIDO INSTALADOR
( CON  IVA)]]/0.7</f>
        <v>4174603.2291666665</v>
      </c>
      <c r="F146" s="4">
        <f>+Tabla125[[#This Row],[PRECIO SUGERIDO INSTALADOR
( CON  IVA)]]*5%</f>
        <v>146111.11302083332</v>
      </c>
      <c r="G146" s="1">
        <v>0.96</v>
      </c>
      <c r="H146" s="3">
        <f>Tabla125[[#This Row],[COSTO]]*1.19</f>
        <v>2805333.3699999996</v>
      </c>
      <c r="K146" s="3">
        <v>2357423</v>
      </c>
    </row>
    <row r="147" spans="1:11" ht="30" x14ac:dyDescent="0.25">
      <c r="A147" s="7" t="s">
        <v>114</v>
      </c>
      <c r="B147" s="6" t="s">
        <v>113</v>
      </c>
      <c r="C147" s="5">
        <f>+Tabla125[[#This Row],[COSTO +IVA]]/Tabla125[[#This Row],[Columna5]]</f>
        <v>428426.12195121951</v>
      </c>
      <c r="D147" s="5">
        <f>+Tabla125[[#This Row],[PRECIO SUGERIDO INSTALADOR
( CON  IVA)]]-Tabla125[[#This Row],[Columna2]]</f>
        <v>407004.81585365854</v>
      </c>
      <c r="E147" s="5">
        <f>+Tabla125[[#This Row],[PRECIO SUGERIDO INSTALADOR
( CON  IVA)]]/0.7</f>
        <v>612037.31707317079</v>
      </c>
      <c r="F147" s="4">
        <f>+Tabla125[[#This Row],[PRECIO SUGERIDO INSTALADOR
( CON  IVA)]]*5%</f>
        <v>21421.306097560977</v>
      </c>
      <c r="G147" s="16">
        <v>0.82</v>
      </c>
      <c r="H147" s="3">
        <f>Tabla125[[#This Row],[COSTO]]*1.19</f>
        <v>351309.42</v>
      </c>
      <c r="I147" s="15"/>
      <c r="J147" s="15"/>
      <c r="K147" s="3">
        <v>295218</v>
      </c>
    </row>
    <row r="148" spans="1:11" ht="30" x14ac:dyDescent="0.25">
      <c r="A148" s="7" t="s">
        <v>112</v>
      </c>
      <c r="B148" s="6" t="s">
        <v>111</v>
      </c>
      <c r="C148" s="5">
        <f>+Tabla125[[#This Row],[COSTO +IVA]]/Tabla125[[#This Row],[Columna5]]</f>
        <v>1160501.0609756098</v>
      </c>
      <c r="D148" s="5">
        <f>+Tabla125[[#This Row],[PRECIO SUGERIDO INSTALADOR
( CON  IVA)]]-Tabla125[[#This Row],[Columna2]]</f>
        <v>1102476.0079268294</v>
      </c>
      <c r="E148" s="5">
        <f>+Tabla125[[#This Row],[PRECIO SUGERIDO INSTALADOR
( CON  IVA)]]/0.7</f>
        <v>1657858.6585365855</v>
      </c>
      <c r="F148" s="4">
        <f>+Tabla125[[#This Row],[PRECIO SUGERIDO INSTALADOR
( CON  IVA)]]*5%</f>
        <v>58025.053048780494</v>
      </c>
      <c r="G148" s="16">
        <v>0.82</v>
      </c>
      <c r="H148" s="3">
        <f>Tabla125[[#This Row],[COSTO]]*1.19</f>
        <v>951610.87</v>
      </c>
      <c r="I148" s="15"/>
      <c r="J148" s="15"/>
      <c r="K148" s="3">
        <v>799673</v>
      </c>
    </row>
    <row r="149" spans="1:11" ht="45" x14ac:dyDescent="0.25">
      <c r="A149" s="7" t="s">
        <v>106</v>
      </c>
      <c r="B149" s="6" t="s">
        <v>105</v>
      </c>
      <c r="C149" s="5">
        <f>+Tabla125[[#This Row],[COSTO +IVA]]/Tabla125[[#This Row],[Columna5]]</f>
        <v>3207330.0853658537</v>
      </c>
      <c r="D149" s="5">
        <f>+Tabla125[[#This Row],[PRECIO SUGERIDO INSTALADOR
( CON  IVA)]]-Tabla125[[#This Row],[Columna2]]</f>
        <v>3046963.5810975609</v>
      </c>
      <c r="E149" s="5">
        <f>+Tabla125[[#This Row],[PRECIO SUGERIDO INSTALADOR
( CON  IVA)]]/0.7</f>
        <v>4581900.1219512196</v>
      </c>
      <c r="F149" s="4">
        <f>+Tabla125[[#This Row],[PRECIO SUGERIDO INSTALADOR
( CON  IVA)]]*5%</f>
        <v>160366.50426829269</v>
      </c>
      <c r="G149" s="16">
        <v>0.82</v>
      </c>
      <c r="H149" s="3">
        <f>Tabla125[[#This Row],[COSTO]]*1.19</f>
        <v>2630010.67</v>
      </c>
      <c r="I149" s="15"/>
      <c r="J149" s="15"/>
      <c r="K149" s="3">
        <v>2210093</v>
      </c>
    </row>
    <row r="150" spans="1:11" ht="30" x14ac:dyDescent="0.25">
      <c r="A150" s="7" t="s">
        <v>28</v>
      </c>
      <c r="B150" s="6" t="s">
        <v>344</v>
      </c>
      <c r="C150" s="5">
        <f>+Tabla125[[#This Row],[COSTO +IVA]]/Tabla125[[#This Row],[Columna5]]</f>
        <v>431383.05729166669</v>
      </c>
      <c r="D150" s="5">
        <f>+Tabla125[[#This Row],[PRECIO SUGERIDO INSTALADOR
( CON  IVA)]]-Tabla125[[#This Row],[Columna2]]</f>
        <v>409813.90442708333</v>
      </c>
      <c r="E150" s="5">
        <f>+Tabla125[[#This Row],[PRECIO SUGERIDO INSTALADOR
( CON  IVA)]]/0.7</f>
        <v>616261.51041666674</v>
      </c>
      <c r="F150" s="4">
        <f>+Tabla125[[#This Row],[PRECIO SUGERIDO INSTALADOR
( CON  IVA)]]*5%</f>
        <v>21569.152864583335</v>
      </c>
      <c r="G150" s="1">
        <v>0.96</v>
      </c>
      <c r="H150" s="3">
        <f>Tabla125[[#This Row],[COSTO]]*1.19</f>
        <v>414127.73499999999</v>
      </c>
      <c r="I150" s="15"/>
      <c r="J150" s="15"/>
      <c r="K150" s="3">
        <v>348006.5</v>
      </c>
    </row>
    <row r="151" spans="1:11" ht="30" x14ac:dyDescent="0.25">
      <c r="A151" s="7" t="s">
        <v>345</v>
      </c>
      <c r="B151" s="6" t="s">
        <v>346</v>
      </c>
      <c r="C151" s="5">
        <f>+Tabla125[[#This Row],[COSTO +IVA]]/Tabla125[[#This Row],[Columna5]]</f>
        <v>773415.51</v>
      </c>
      <c r="D151" s="5">
        <f>+Tabla125[[#This Row],[PRECIO SUGERIDO INSTALADOR
( CON  IVA)]]-Tabla125[[#This Row],[Columna2]]</f>
        <v>734744.73450000002</v>
      </c>
      <c r="E151" s="5">
        <f>+Tabla125[[#This Row],[PRECIO SUGERIDO INSTALADOR
( CON  IVA)]]/0.7</f>
        <v>1104879.3</v>
      </c>
      <c r="F151" s="4">
        <f>+Tabla125[[#This Row],[PRECIO SUGERIDO INSTALADOR
( CON  IVA)]]*5%</f>
        <v>38670.775500000003</v>
      </c>
      <c r="G151" s="16">
        <v>1</v>
      </c>
      <c r="H151" s="3">
        <f>Tabla125[[#This Row],[COSTO]]*1.19</f>
        <v>773415.51</v>
      </c>
      <c r="I151" s="15"/>
      <c r="J151" s="15"/>
      <c r="K151" s="3">
        <v>649929</v>
      </c>
    </row>
    <row r="152" spans="1:11" ht="45" x14ac:dyDescent="0.25">
      <c r="A152" s="7" t="s">
        <v>25</v>
      </c>
      <c r="B152" s="6" t="s">
        <v>24</v>
      </c>
      <c r="C152" s="5">
        <f>+Tabla125[[#This Row],[COSTO +IVA]]/Tabla125[[#This Row],[Columna5]]</f>
        <v>244612.55729166666</v>
      </c>
      <c r="D152" s="5">
        <f>+Tabla125[[#This Row],[PRECIO SUGERIDO INSTALADOR
( CON  IVA)]]-Tabla125[[#This Row],[Columna2]]</f>
        <v>232381.92942708332</v>
      </c>
      <c r="E152" s="5">
        <f>+Tabla125[[#This Row],[PRECIO SUGERIDO INSTALADOR
( CON  IVA)]]/0.7</f>
        <v>349446.51041666669</v>
      </c>
      <c r="F152" s="4">
        <f>+Tabla125[[#This Row],[PRECIO SUGERIDO INSTALADOR
( CON  IVA)]]*5%</f>
        <v>12230.627864583334</v>
      </c>
      <c r="G152" s="1">
        <v>0.96</v>
      </c>
      <c r="H152" s="3">
        <f>Tabla125[[#This Row],[COSTO]]*1.19</f>
        <v>234828.05499999999</v>
      </c>
      <c r="I152" s="15"/>
      <c r="J152" s="15"/>
      <c r="K152" s="3">
        <v>197334.5</v>
      </c>
    </row>
    <row r="153" spans="1:11" ht="45" x14ac:dyDescent="0.25">
      <c r="A153" s="7" t="s">
        <v>27</v>
      </c>
      <c r="B153" s="6" t="s">
        <v>26</v>
      </c>
      <c r="C153" s="5">
        <f>+Tabla125[[#This Row],[COSTO +IVA]]/Tabla125[[#This Row],[Columna5]]</f>
        <v>991543.94791666663</v>
      </c>
      <c r="D153" s="5">
        <f>+Tabla125[[#This Row],[PRECIO SUGERIDO INSTALADOR
( CON  IVA)]]-Tabla125[[#This Row],[Columna2]]</f>
        <v>941966.7505208333</v>
      </c>
      <c r="E153" s="5">
        <f>+Tabla125[[#This Row],[PRECIO SUGERIDO INSTALADOR
( CON  IVA)]]/0.7</f>
        <v>1416491.3541666667</v>
      </c>
      <c r="F153" s="4">
        <f>+Tabla125[[#This Row],[PRECIO SUGERIDO INSTALADOR
( CON  IVA)]]*5%</f>
        <v>49577.197395833333</v>
      </c>
      <c r="G153" s="1">
        <v>0.96</v>
      </c>
      <c r="H153" s="3">
        <f>Tabla125[[#This Row],[COSTO]]*1.19</f>
        <v>951882.19</v>
      </c>
      <c r="I153" s="15"/>
      <c r="J153" s="15"/>
      <c r="K153" s="3">
        <v>799901</v>
      </c>
    </row>
    <row r="154" spans="1:11" ht="45" x14ac:dyDescent="0.25">
      <c r="A154" s="7" t="s">
        <v>347</v>
      </c>
      <c r="B154" s="6" t="s">
        <v>348</v>
      </c>
      <c r="C154" s="5">
        <f>+Tabla125[[#This Row],[COSTO +IVA]]/Tabla125[[#This Row],[Columna5]]</f>
        <v>141954.60416666666</v>
      </c>
      <c r="D154" s="5">
        <f>+Tabla125[[#This Row],[PRECIO SUGERIDO INSTALADOR
( CON  IVA)]]-Tabla125[[#This Row],[Columna2]]</f>
        <v>134856.87395833334</v>
      </c>
      <c r="E154" s="5">
        <f>+Tabla125[[#This Row],[PRECIO SUGERIDO INSTALADOR
( CON  IVA)]]/0.7</f>
        <v>202792.29166666666</v>
      </c>
      <c r="F154" s="4">
        <f>+Tabla125[[#This Row],[PRECIO SUGERIDO INSTALADOR
( CON  IVA)]]*5%</f>
        <v>7097.7302083333334</v>
      </c>
      <c r="G154" s="1">
        <v>0.96</v>
      </c>
      <c r="H154" s="3">
        <f>Tabla125[[#This Row],[COSTO]]*1.19</f>
        <v>136276.41999999998</v>
      </c>
      <c r="I154" s="15"/>
      <c r="J154" s="15"/>
      <c r="K154" s="3">
        <v>114518</v>
      </c>
    </row>
    <row r="155" spans="1:11" ht="45" x14ac:dyDescent="0.25">
      <c r="A155" s="7" t="s">
        <v>349</v>
      </c>
      <c r="B155" s="6" t="s">
        <v>350</v>
      </c>
      <c r="C155" s="5">
        <f>+Tabla125[[#This Row],[COSTO +IVA]]/Tabla125[[#This Row],[Columna5]]</f>
        <v>275002.80208333337</v>
      </c>
      <c r="D155" s="5">
        <f>+Tabla125[[#This Row],[PRECIO SUGERIDO INSTALADOR
( CON  IVA)]]-Tabla125[[#This Row],[Columna2]]</f>
        <v>261252.6619791667</v>
      </c>
      <c r="E155" s="5">
        <f>+Tabla125[[#This Row],[PRECIO SUGERIDO INSTALADOR
( CON  IVA)]]/0.7</f>
        <v>392861.14583333343</v>
      </c>
      <c r="F155" s="4">
        <f>+Tabla125[[#This Row],[PRECIO SUGERIDO INSTALADOR
( CON  IVA)]]*5%</f>
        <v>13750.140104166669</v>
      </c>
      <c r="G155" s="1">
        <v>0.96</v>
      </c>
      <c r="H155" s="3">
        <f>Tabla125[[#This Row],[COSTO]]*1.19</f>
        <v>264002.69</v>
      </c>
      <c r="I155" s="15"/>
      <c r="J155" s="15"/>
      <c r="K155" s="3">
        <v>221851</v>
      </c>
    </row>
    <row r="156" spans="1:11" ht="45" x14ac:dyDescent="0.25">
      <c r="A156" s="7" t="s">
        <v>351</v>
      </c>
      <c r="B156" s="6" t="s">
        <v>352</v>
      </c>
      <c r="C156" s="5">
        <f>+Tabla125[[#This Row],[COSTO +IVA]]/Tabla125[[#This Row],[Columna5]]</f>
        <v>630242.59375</v>
      </c>
      <c r="D156" s="5">
        <f>+Tabla125[[#This Row],[PRECIO SUGERIDO INSTALADOR
( CON  IVA)]]-Tabla125[[#This Row],[Columna2]]</f>
        <v>598730.46406250005</v>
      </c>
      <c r="E156" s="5">
        <f>+Tabla125[[#This Row],[PRECIO SUGERIDO INSTALADOR
( CON  IVA)]]/0.7</f>
        <v>900346.5625</v>
      </c>
      <c r="F156" s="4">
        <f>+Tabla125[[#This Row],[PRECIO SUGERIDO INSTALADOR
( CON  IVA)]]*5%</f>
        <v>31512.129687500001</v>
      </c>
      <c r="G156" s="1">
        <v>0.96</v>
      </c>
      <c r="H156" s="3">
        <f>Tabla125[[#This Row],[COSTO]]*1.19</f>
        <v>605032.89</v>
      </c>
      <c r="I156" s="15"/>
      <c r="J156" s="15"/>
      <c r="K156" s="3">
        <v>508431</v>
      </c>
    </row>
    <row r="157" spans="1:11" ht="45" x14ac:dyDescent="0.25">
      <c r="A157" s="7" t="s">
        <v>23</v>
      </c>
      <c r="B157" s="6" t="s">
        <v>22</v>
      </c>
      <c r="C157" s="5">
        <f>+Tabla125[[#This Row],[COSTO +IVA]]/Tabla125[[#This Row],[Columna5]]</f>
        <v>4907951.088541667</v>
      </c>
      <c r="D157" s="5">
        <f>+Tabla125[[#This Row],[PRECIO SUGERIDO INSTALADOR
( CON  IVA)]]-Tabla125[[#This Row],[Columna2]]</f>
        <v>4662553.5341145834</v>
      </c>
      <c r="E157" s="5">
        <f>+Tabla125[[#This Row],[PRECIO SUGERIDO INSTALADOR
( CON  IVA)]]/0.7</f>
        <v>7011358.6979166679</v>
      </c>
      <c r="F157" s="4">
        <f>+Tabla125[[#This Row],[PRECIO SUGERIDO INSTALADOR
( CON  IVA)]]*5%</f>
        <v>245397.55442708335</v>
      </c>
      <c r="G157" s="1">
        <v>0.96</v>
      </c>
      <c r="H157" s="3">
        <f>Tabla125[[#This Row],[COSTO]]*1.19</f>
        <v>4711633.0449999999</v>
      </c>
      <c r="I157" s="15"/>
      <c r="J157" s="15"/>
      <c r="K157" s="3">
        <v>3959355.5</v>
      </c>
    </row>
    <row r="158" spans="1:11" ht="45" x14ac:dyDescent="0.25">
      <c r="A158" s="7" t="s">
        <v>158</v>
      </c>
      <c r="B158" s="6" t="s">
        <v>157</v>
      </c>
      <c r="C158" s="5">
        <f>+Tabla125[[#This Row],[COSTO +IVA]]/Tabla125[[#This Row],[Columna5]]</f>
        <v>1666621.6510416667</v>
      </c>
      <c r="D158" s="5">
        <f>+Tabla125[[#This Row],[PRECIO SUGERIDO INSTALADOR
( CON  IVA)]]-Tabla125[[#This Row],[Columna2]]</f>
        <v>1583290.5684895834</v>
      </c>
      <c r="E158" s="5">
        <f>+Tabla125[[#This Row],[PRECIO SUGERIDO INSTALADOR
( CON  IVA)]]/0.7</f>
        <v>2380888.072916667</v>
      </c>
      <c r="F158" s="4">
        <f>+Tabla125[[#This Row],[PRECIO SUGERIDO INSTALADOR
( CON  IVA)]]*5%</f>
        <v>83331.082552083346</v>
      </c>
      <c r="G158" s="1">
        <v>0.96</v>
      </c>
      <c r="H158" s="3">
        <f>Tabla125[[#This Row],[COSTO]]*1.19</f>
        <v>1599956.7849999999</v>
      </c>
      <c r="I158" s="15"/>
      <c r="J158" s="15"/>
      <c r="K158" s="3">
        <v>1344501.5</v>
      </c>
    </row>
    <row r="159" spans="1:11" ht="45" x14ac:dyDescent="0.25">
      <c r="A159" s="7" t="s">
        <v>171</v>
      </c>
      <c r="B159" s="6" t="s">
        <v>170</v>
      </c>
      <c r="C159" s="5">
        <f>+Tabla125[[#This Row],[COSTO +IVA]]/Tabla125[[#This Row],[Columna5]]</f>
        <v>170474.03048780488</v>
      </c>
      <c r="D159" s="5">
        <f>+Tabla125[[#This Row],[PRECIO SUGERIDO INSTALADOR
( CON  IVA)]]-Tabla125[[#This Row],[Columna2]]</f>
        <v>161950.32896341462</v>
      </c>
      <c r="E159" s="5">
        <f>+Tabla125[[#This Row],[PRECIO SUGERIDO INSTALADOR
( CON  IVA)]]/0.7</f>
        <v>243534.3292682927</v>
      </c>
      <c r="F159" s="4">
        <f>+Tabla125[[#This Row],[PRECIO SUGERIDO INSTALADOR
( CON  IVA)]]*5%</f>
        <v>8523.7015243902442</v>
      </c>
      <c r="G159" s="16">
        <v>0.82</v>
      </c>
      <c r="H159" s="3">
        <f>Tabla125[[#This Row],[COSTO]]*1.19</f>
        <v>139788.70499999999</v>
      </c>
      <c r="I159" s="15"/>
      <c r="J159" s="15"/>
      <c r="K159" s="3">
        <v>117469.5</v>
      </c>
    </row>
    <row r="160" spans="1:11" ht="45" x14ac:dyDescent="0.25">
      <c r="A160" s="7" t="s">
        <v>40</v>
      </c>
      <c r="B160" s="6" t="s">
        <v>39</v>
      </c>
      <c r="C160" s="5">
        <f>+Tabla125[[#This Row],[COSTO +IVA]]/Tabla125[[#This Row],[Columna5]]</f>
        <v>40066.11</v>
      </c>
      <c r="D160" s="5">
        <f>+Tabla125[[#This Row],[PRECIO SUGERIDO INSTALADOR
( CON  IVA)]]-Tabla125[[#This Row],[Columna2]]</f>
        <v>38062.804499999998</v>
      </c>
      <c r="E160" s="5">
        <f>+Tabla125[[#This Row],[PRECIO SUGERIDO INSTALADOR
( CON  IVA)]]/0.7</f>
        <v>57237.3</v>
      </c>
      <c r="F160" s="4">
        <f>+Tabla125[[#This Row],[PRECIO SUGERIDO INSTALADOR
( CON  IVA)]]*5%</f>
        <v>2003.3055000000002</v>
      </c>
      <c r="G160" s="16">
        <v>1</v>
      </c>
      <c r="H160" s="3">
        <f>Tabla125[[#This Row],[COSTO]]*1.19</f>
        <v>40066.11</v>
      </c>
      <c r="I160" s="15"/>
      <c r="J160" s="15"/>
      <c r="K160" s="3">
        <v>33669</v>
      </c>
    </row>
    <row r="161" spans="1:11" ht="45" x14ac:dyDescent="0.25">
      <c r="A161" s="7" t="s">
        <v>159</v>
      </c>
      <c r="B161" s="6" t="s">
        <v>353</v>
      </c>
      <c r="C161" s="5">
        <f>+Tabla125[[#This Row],[COSTO +IVA]]/Tabla125[[#This Row],[Columna5]]</f>
        <v>59639.453125</v>
      </c>
      <c r="D161" s="5">
        <f>+Tabla125[[#This Row],[PRECIO SUGERIDO INSTALADOR
( CON  IVA)]]-Tabla125[[#This Row],[Columna2]]</f>
        <v>56657.48046875</v>
      </c>
      <c r="E161" s="5">
        <f>+Tabla125[[#This Row],[PRECIO SUGERIDO INSTALADOR
( CON  IVA)]]/0.7</f>
        <v>85199.21875</v>
      </c>
      <c r="F161" s="4">
        <f>+Tabla125[[#This Row],[PRECIO SUGERIDO INSTALADOR
( CON  IVA)]]*5%</f>
        <v>2981.97265625</v>
      </c>
      <c r="G161" s="1">
        <v>0.96</v>
      </c>
      <c r="H161" s="3">
        <f>Tabla125[[#This Row],[COSTO]]*1.19</f>
        <v>57253.875</v>
      </c>
      <c r="I161" s="15"/>
      <c r="J161" s="15"/>
      <c r="K161" s="3">
        <v>48112.5</v>
      </c>
    </row>
    <row r="162" spans="1:11" ht="30" x14ac:dyDescent="0.25">
      <c r="A162" s="7" t="s">
        <v>108</v>
      </c>
      <c r="B162" s="6" t="s">
        <v>107</v>
      </c>
      <c r="C162" s="5">
        <f>+Tabla125[[#This Row],[COSTO +IVA]]/Tabla125[[#This Row],[Columna5]]</f>
        <v>54837.231707317078</v>
      </c>
      <c r="D162" s="5">
        <f>+Tabla125[[#This Row],[PRECIO SUGERIDO INSTALADOR
( CON  IVA)]]-Tabla125[[#This Row],[Columna2]]</f>
        <v>52095.370121951222</v>
      </c>
      <c r="E162" s="5">
        <f>+Tabla125[[#This Row],[PRECIO SUGERIDO INSTALADOR
( CON  IVA)]]/0.7</f>
        <v>78338.902439024401</v>
      </c>
      <c r="F162" s="4">
        <f>+Tabla125[[#This Row],[PRECIO SUGERIDO INSTALADOR
( CON  IVA)]]*5%</f>
        <v>2741.8615853658539</v>
      </c>
      <c r="G162" s="16">
        <v>0.82</v>
      </c>
      <c r="H162" s="3">
        <f>Tabla125[[#This Row],[COSTO]]*1.19</f>
        <v>44966.53</v>
      </c>
      <c r="I162" s="15"/>
      <c r="J162" s="15"/>
      <c r="K162" s="3">
        <v>37787</v>
      </c>
    </row>
    <row r="163" spans="1:11" ht="45" x14ac:dyDescent="0.25">
      <c r="A163" s="7" t="s">
        <v>47</v>
      </c>
      <c r="B163" s="6" t="s">
        <v>46</v>
      </c>
      <c r="C163" s="5">
        <f>+Tabla125[[#This Row],[COSTO +IVA]]/Tabla125[[#This Row],[Columna5]]</f>
        <v>325519.54166666669</v>
      </c>
      <c r="D163" s="5">
        <f>+Tabla125[[#This Row],[PRECIO SUGERIDO INSTALADOR
( CON  IVA)]]-Tabla125[[#This Row],[Columna2]]</f>
        <v>309243.56458333333</v>
      </c>
      <c r="E163" s="5">
        <f>+Tabla125[[#This Row],[PRECIO SUGERIDO INSTALADOR
( CON  IVA)]]/0.7</f>
        <v>465027.91666666674</v>
      </c>
      <c r="F163" s="4">
        <f>+Tabla125[[#This Row],[PRECIO SUGERIDO INSTALADOR
( CON  IVA)]]*5%</f>
        <v>16275.977083333335</v>
      </c>
      <c r="G163" s="1">
        <v>0.96</v>
      </c>
      <c r="H163" s="3">
        <f>Tabla125[[#This Row],[COSTO]]*1.19</f>
        <v>312498.76</v>
      </c>
      <c r="I163" s="15"/>
      <c r="J163" s="15"/>
      <c r="K163" s="3">
        <v>262604</v>
      </c>
    </row>
    <row r="164" spans="1:11" ht="45" x14ac:dyDescent="0.25">
      <c r="A164" s="7" t="s">
        <v>354</v>
      </c>
      <c r="B164" s="6" t="s">
        <v>355</v>
      </c>
      <c r="C164" s="5">
        <f>+Tabla125[[#This Row],[COSTO +IVA]]/Tabla125[[#This Row],[Columna5]]</f>
        <v>113645</v>
      </c>
      <c r="D164" s="5">
        <f>+Tabla125[[#This Row],[PRECIO SUGERIDO INSTALADOR
( CON  IVA)]]-Tabla125[[#This Row],[Columna2]]</f>
        <v>107962.75</v>
      </c>
      <c r="E164" s="5">
        <f>+Tabla125[[#This Row],[PRECIO SUGERIDO INSTALADOR
( CON  IVA)]]/0.7</f>
        <v>162350</v>
      </c>
      <c r="F164" s="4">
        <f>+Tabla125[[#This Row],[PRECIO SUGERIDO INSTALADOR
( CON  IVA)]]*5%</f>
        <v>5682.25</v>
      </c>
      <c r="G164" s="16">
        <v>1</v>
      </c>
      <c r="H164" s="3">
        <f>Tabla125[[#This Row],[COSTO]]*1.19</f>
        <v>113645</v>
      </c>
      <c r="I164" s="15"/>
      <c r="J164" s="15"/>
      <c r="K164" s="3">
        <v>95500</v>
      </c>
    </row>
    <row r="165" spans="1:11" ht="30" x14ac:dyDescent="0.25">
      <c r="A165" s="7" t="s">
        <v>356</v>
      </c>
      <c r="B165" s="6" t="s">
        <v>357</v>
      </c>
      <c r="C165" s="5">
        <f>+Tabla125[[#This Row],[COSTO +IVA]]/Tabla125[[#This Row],[Columna5]]</f>
        <v>63317.296875</v>
      </c>
      <c r="D165" s="5">
        <f>+Tabla125[[#This Row],[PRECIO SUGERIDO INSTALADOR
( CON  IVA)]]-Tabla125[[#This Row],[Columna2]]</f>
        <v>60151.432031249999</v>
      </c>
      <c r="E165" s="5">
        <f>+Tabla125[[#This Row],[PRECIO SUGERIDO INSTALADOR
( CON  IVA)]]/0.7</f>
        <v>90453.28125</v>
      </c>
      <c r="F165" s="4">
        <f>+Tabla125[[#This Row],[PRECIO SUGERIDO INSTALADOR
( CON  IVA)]]*5%</f>
        <v>3165.8648437500001</v>
      </c>
      <c r="G165" s="1">
        <v>0.96</v>
      </c>
      <c r="H165" s="3">
        <f>Tabla125[[#This Row],[COSTO]]*1.19</f>
        <v>60784.604999999996</v>
      </c>
      <c r="I165" s="15"/>
      <c r="J165" s="15"/>
      <c r="K165" s="3">
        <v>51079.5</v>
      </c>
    </row>
    <row r="166" spans="1:11" ht="45" x14ac:dyDescent="0.25">
      <c r="A166" s="7" t="s">
        <v>19</v>
      </c>
      <c r="B166" s="6" t="s">
        <v>18</v>
      </c>
      <c r="C166" s="5">
        <f>+Tabla125[[#This Row],[COSTO +IVA]]/Tabla125[[#This Row],[Columna5]]</f>
        <v>24290.875</v>
      </c>
      <c r="D166" s="5">
        <f>+Tabla125[[#This Row],[PRECIO SUGERIDO INSTALADOR
( CON  IVA)]]-Tabla125[[#This Row],[Columna2]]</f>
        <v>23076.331249999999</v>
      </c>
      <c r="E166" s="5">
        <f>+Tabla125[[#This Row],[PRECIO SUGERIDO INSTALADOR
( CON  IVA)]]/0.7</f>
        <v>34701.25</v>
      </c>
      <c r="F166" s="4">
        <f>+Tabla125[[#This Row],[PRECIO SUGERIDO INSTALADOR
( CON  IVA)]]*5%</f>
        <v>1214.54375</v>
      </c>
      <c r="G166" s="1">
        <v>0.96</v>
      </c>
      <c r="H166" s="3">
        <f>Tabla125[[#This Row],[COSTO]]*1.19</f>
        <v>23319.239999999998</v>
      </c>
      <c r="I166" s="15"/>
      <c r="J166" s="15"/>
      <c r="K166" s="3">
        <v>19596</v>
      </c>
    </row>
    <row r="167" spans="1:11" ht="45" x14ac:dyDescent="0.25">
      <c r="A167" s="7" t="s">
        <v>169</v>
      </c>
      <c r="B167" s="6" t="s">
        <v>168</v>
      </c>
      <c r="C167" s="5">
        <f>+Tabla125[[#This Row],[COSTO +IVA]]/Tabla125[[#This Row],[Columna5]]</f>
        <v>3186.96875</v>
      </c>
      <c r="D167" s="5">
        <f>+Tabla125[[#This Row],[PRECIO SUGERIDO INSTALADOR
( CON  IVA)]]-Tabla125[[#This Row],[Columna2]]</f>
        <v>3027.6203125000002</v>
      </c>
      <c r="E167" s="5">
        <f>+Tabla125[[#This Row],[PRECIO SUGERIDO INSTALADOR
( CON  IVA)]]/0.7</f>
        <v>4552.8125</v>
      </c>
      <c r="F167" s="4">
        <f>+Tabla125[[#This Row],[PRECIO SUGERIDO INSTALADOR
( CON  IVA)]]*5%</f>
        <v>159.34843750000002</v>
      </c>
      <c r="G167" s="16">
        <v>0.96</v>
      </c>
      <c r="H167" s="3">
        <f>Tabla125[[#This Row],[COSTO]]*1.19</f>
        <v>3059.49</v>
      </c>
      <c r="I167" s="15"/>
      <c r="J167" s="15"/>
      <c r="K167" s="3">
        <v>2571</v>
      </c>
    </row>
    <row r="168" spans="1:11" ht="45" x14ac:dyDescent="0.25">
      <c r="A168" s="7" t="s">
        <v>358</v>
      </c>
      <c r="B168" s="6" t="s">
        <v>359</v>
      </c>
      <c r="C168" s="5">
        <f>+Tabla125[[#This Row],[COSTO +IVA]]/Tabla125[[#This Row],[Columna5]]</f>
        <v>3264.7649999999999</v>
      </c>
      <c r="D168" s="5">
        <f>+Tabla125[[#This Row],[PRECIO SUGERIDO INSTALADOR
( CON  IVA)]]-Tabla125[[#This Row],[Columna2]]</f>
        <v>3101.52675</v>
      </c>
      <c r="E168" s="5">
        <f>+Tabla125[[#This Row],[PRECIO SUGERIDO INSTALADOR
( CON  IVA)]]/0.7</f>
        <v>4663.95</v>
      </c>
      <c r="F168" s="4">
        <f>+Tabla125[[#This Row],[PRECIO SUGERIDO INSTALADOR
( CON  IVA)]]*5%</f>
        <v>163.23824999999999</v>
      </c>
      <c r="G168" s="16">
        <v>1</v>
      </c>
      <c r="H168" s="3">
        <f>Tabla125[[#This Row],[COSTO]]*1.19</f>
        <v>3264.7649999999999</v>
      </c>
      <c r="I168" s="15"/>
      <c r="J168" s="15"/>
      <c r="K168" s="3">
        <v>2743.5</v>
      </c>
    </row>
    <row r="169" spans="1:11" ht="60" x14ac:dyDescent="0.25">
      <c r="A169" s="7" t="s">
        <v>360</v>
      </c>
      <c r="B169" s="6" t="s">
        <v>361</v>
      </c>
      <c r="C169" s="5">
        <f>+Tabla125[[#This Row],[COSTO +IVA]]/Tabla125[[#This Row],[Columna5]]</f>
        <v>4566.2944444444447</v>
      </c>
      <c r="D169" s="5">
        <f>+Tabla125[[#This Row],[PRECIO SUGERIDO INSTALADOR
( CON  IVA)]]-Tabla125[[#This Row],[Columna2]]</f>
        <v>4337.9797222222223</v>
      </c>
      <c r="E169" s="5">
        <f>+Tabla125[[#This Row],[PRECIO SUGERIDO INSTALADOR
( CON  IVA)]]/0.7</f>
        <v>6523.2777777777783</v>
      </c>
      <c r="F169" s="4">
        <f>+Tabla125[[#This Row],[PRECIO SUGERIDO INSTALADOR
( CON  IVA)]]*5%</f>
        <v>228.31472222222226</v>
      </c>
      <c r="G169" s="15">
        <v>0.9</v>
      </c>
      <c r="H169" s="3">
        <f>Tabla125[[#This Row],[COSTO]]*1.19</f>
        <v>4109.665</v>
      </c>
      <c r="I169" s="15"/>
      <c r="J169" s="15"/>
      <c r="K169" s="3">
        <v>3453.5</v>
      </c>
    </row>
    <row r="170" spans="1:11" ht="45" x14ac:dyDescent="0.25">
      <c r="A170" s="7" t="s">
        <v>140</v>
      </c>
      <c r="B170" s="6" t="s">
        <v>139</v>
      </c>
      <c r="C170" s="5">
        <f>+Tabla125[[#This Row],[COSTO +IVA]]/Tabla125[[#This Row],[Columna5]]</f>
        <v>3447.8351063829787</v>
      </c>
      <c r="D170" s="5">
        <f>+Tabla125[[#This Row],[PRECIO SUGERIDO INSTALADOR
( CON  IVA)]]-Tabla125[[#This Row],[Columna2]]</f>
        <v>3275.4433510638296</v>
      </c>
      <c r="E170" s="5">
        <f>+Tabla125[[#This Row],[PRECIO SUGERIDO INSTALADOR
( CON  IVA)]]/0.7</f>
        <v>4925.4787234042551</v>
      </c>
      <c r="F170" s="4">
        <f>+Tabla125[[#This Row],[PRECIO SUGERIDO INSTALADOR
( CON  IVA)]]*5%</f>
        <v>172.39175531914896</v>
      </c>
      <c r="G170" s="15">
        <v>0.94</v>
      </c>
      <c r="H170" s="3">
        <f>Tabla125[[#This Row],[COSTO]]*1.19</f>
        <v>3240.9649999999997</v>
      </c>
      <c r="I170" s="15"/>
      <c r="J170" s="15"/>
      <c r="K170" s="3">
        <v>2723.5</v>
      </c>
    </row>
    <row r="171" spans="1:11" ht="30" x14ac:dyDescent="0.25">
      <c r="A171" s="7" t="s">
        <v>152</v>
      </c>
      <c r="B171" s="6" t="s">
        <v>151</v>
      </c>
      <c r="C171" s="5">
        <f>+Tabla125[[#This Row],[COSTO +IVA]]/Tabla125[[#This Row],[Columna5]]</f>
        <v>21977.192708333332</v>
      </c>
      <c r="D171" s="5">
        <f>+Tabla125[[#This Row],[PRECIO SUGERIDO INSTALADOR
( CON  IVA)]]-Tabla125[[#This Row],[Columna2]]</f>
        <v>20878.333072916666</v>
      </c>
      <c r="E171" s="5">
        <f>+Tabla125[[#This Row],[PRECIO SUGERIDO INSTALADOR
( CON  IVA)]]/0.7</f>
        <v>31395.989583333332</v>
      </c>
      <c r="F171" s="4">
        <f>+Tabla125[[#This Row],[PRECIO SUGERIDO INSTALADOR
( CON  IVA)]]*5%</f>
        <v>1098.8596354166666</v>
      </c>
      <c r="G171" s="1">
        <v>0.96</v>
      </c>
      <c r="H171" s="3">
        <f>Tabla125[[#This Row],[COSTO]]*1.19</f>
        <v>21098.105</v>
      </c>
      <c r="I171" s="15"/>
      <c r="J171" s="15"/>
      <c r="K171" s="3">
        <v>17729.5</v>
      </c>
    </row>
    <row r="172" spans="1:11" x14ac:dyDescent="0.25">
      <c r="A172" s="7" t="s">
        <v>154</v>
      </c>
      <c r="B172" s="6" t="s">
        <v>153</v>
      </c>
      <c r="C172" s="5">
        <f>+Tabla125[[#This Row],[COSTO +IVA]]/Tabla125[[#This Row],[Columna5]]</f>
        <v>87174.317708333343</v>
      </c>
      <c r="D172" s="5">
        <f>+Tabla125[[#This Row],[PRECIO SUGERIDO INSTALADOR
( CON  IVA)]]-Tabla125[[#This Row],[Columna2]]</f>
        <v>82815.60182291668</v>
      </c>
      <c r="E172" s="5">
        <f>+Tabla125[[#This Row],[PRECIO SUGERIDO INSTALADOR
( CON  IVA)]]/0.7</f>
        <v>124534.73958333336</v>
      </c>
      <c r="F172" s="4">
        <f>+Tabla125[[#This Row],[PRECIO SUGERIDO INSTALADOR
( CON  IVA)]]*5%</f>
        <v>4358.7158854166673</v>
      </c>
      <c r="G172" s="1">
        <v>0.96</v>
      </c>
      <c r="H172" s="3">
        <f>Tabla125[[#This Row],[COSTO]]*1.19</f>
        <v>83687.345000000001</v>
      </c>
      <c r="I172" s="15"/>
      <c r="J172" s="15"/>
      <c r="K172" s="3">
        <v>70325.5</v>
      </c>
    </row>
    <row r="173" spans="1:11" ht="45" x14ac:dyDescent="0.25">
      <c r="A173" s="7" t="s">
        <v>362</v>
      </c>
      <c r="B173" s="6" t="s">
        <v>363</v>
      </c>
      <c r="C173" s="5">
        <f>+Tabla125[[#This Row],[COSTO +IVA]]/Tabla125[[#This Row],[Columna5]]</f>
        <v>587457.13541666663</v>
      </c>
      <c r="D173" s="5">
        <f>+Tabla125[[#This Row],[PRECIO SUGERIDO INSTALADOR
( CON  IVA)]]-Tabla125[[#This Row],[Columna2]]</f>
        <v>558084.27864583326</v>
      </c>
      <c r="E173" s="5">
        <f>+Tabla125[[#This Row],[PRECIO SUGERIDO INSTALADOR
( CON  IVA)]]/0.7</f>
        <v>839224.47916666663</v>
      </c>
      <c r="F173" s="4">
        <f>+Tabla125[[#This Row],[PRECIO SUGERIDO INSTALADOR
( CON  IVA)]]*5%</f>
        <v>29372.856770833332</v>
      </c>
      <c r="G173" s="1">
        <v>0.96</v>
      </c>
      <c r="H173" s="3">
        <f>Tabla125[[#This Row],[COSTO]]*1.19</f>
        <v>563958.85</v>
      </c>
      <c r="I173" s="15"/>
      <c r="J173" s="15"/>
      <c r="K173" s="3">
        <v>473915</v>
      </c>
    </row>
    <row r="174" spans="1:11" ht="30" x14ac:dyDescent="0.25">
      <c r="A174" s="7" t="s">
        <v>364</v>
      </c>
      <c r="B174" s="6" t="s">
        <v>365</v>
      </c>
      <c r="C174" s="5">
        <f>+Tabla125[[#This Row],[COSTO +IVA]]/Tabla125[[#This Row],[Columna5]]</f>
        <v>124550.15999999999</v>
      </c>
      <c r="D174" s="5">
        <f>+Tabla125[[#This Row],[PRECIO SUGERIDO INSTALADOR
( CON  IVA)]]-Tabla125[[#This Row],[Columna2]]</f>
        <v>118322.65199999999</v>
      </c>
      <c r="E174" s="5">
        <f>+Tabla125[[#This Row],[PRECIO SUGERIDO INSTALADOR
( CON  IVA)]]/0.7</f>
        <v>177928.8</v>
      </c>
      <c r="F174" s="4">
        <f>+Tabla125[[#This Row],[PRECIO SUGERIDO INSTALADOR
( CON  IVA)]]*5%</f>
        <v>6227.5079999999998</v>
      </c>
      <c r="G174" s="16">
        <v>1</v>
      </c>
      <c r="H174" s="3">
        <f>Tabla125[[#This Row],[COSTO]]*1.19</f>
        <v>124550.15999999999</v>
      </c>
      <c r="I174" s="15"/>
      <c r="J174" s="15"/>
      <c r="K174" s="3">
        <v>104664</v>
      </c>
    </row>
    <row r="175" spans="1:11" ht="30" x14ac:dyDescent="0.25">
      <c r="A175" s="7" t="s">
        <v>366</v>
      </c>
      <c r="B175" s="6" t="s">
        <v>367</v>
      </c>
      <c r="C175" s="5">
        <f>+Tabla125[[#This Row],[COSTO +IVA]]/Tabla125[[#This Row],[Columna5]]</f>
        <v>243204.390625</v>
      </c>
      <c r="D175" s="5">
        <f>+Tabla125[[#This Row],[PRECIO SUGERIDO INSTALADOR
( CON  IVA)]]-Tabla125[[#This Row],[Columna2]]</f>
        <v>231044.17109374999</v>
      </c>
      <c r="E175" s="5">
        <f>+Tabla125[[#This Row],[PRECIO SUGERIDO INSTALADOR
( CON  IVA)]]/0.7</f>
        <v>347434.84375</v>
      </c>
      <c r="F175" s="4">
        <f>+Tabla125[[#This Row],[PRECIO SUGERIDO INSTALADOR
( CON  IVA)]]*5%</f>
        <v>12160.219531250001</v>
      </c>
      <c r="G175" s="1">
        <v>0.96</v>
      </c>
      <c r="H175" s="3">
        <f>Tabla125[[#This Row],[COSTO]]*1.19</f>
        <v>233476.215</v>
      </c>
      <c r="I175" s="15"/>
      <c r="J175" s="15"/>
      <c r="K175" s="3">
        <v>196198.5</v>
      </c>
    </row>
    <row r="176" spans="1:11" ht="30" x14ac:dyDescent="0.25">
      <c r="A176" s="7" t="s">
        <v>368</v>
      </c>
      <c r="B176" s="6" t="s">
        <v>369</v>
      </c>
      <c r="C176" s="5">
        <f>+Tabla125[[#This Row],[COSTO +IVA]]/Tabla125[[#This Row],[Columna5]]</f>
        <v>324997.05729166669</v>
      </c>
      <c r="D176" s="5">
        <f>+Tabla125[[#This Row],[PRECIO SUGERIDO INSTALADOR
( CON  IVA)]]-Tabla125[[#This Row],[Columna2]]</f>
        <v>308747.20442708337</v>
      </c>
      <c r="E176" s="5">
        <f>+Tabla125[[#This Row],[PRECIO SUGERIDO INSTALADOR
( CON  IVA)]]/0.7</f>
        <v>464281.51041666674</v>
      </c>
      <c r="F176" s="4">
        <f>+Tabla125[[#This Row],[PRECIO SUGERIDO INSTALADOR
( CON  IVA)]]*5%</f>
        <v>16249.852864583336</v>
      </c>
      <c r="G176" s="1">
        <v>0.96</v>
      </c>
      <c r="H176" s="3">
        <f>Tabla125[[#This Row],[COSTO]]*1.19</f>
        <v>311997.17499999999</v>
      </c>
      <c r="I176" s="15"/>
      <c r="J176" s="15"/>
      <c r="K176" s="3">
        <v>262182.5</v>
      </c>
    </row>
    <row r="177" spans="1:11" ht="30" x14ac:dyDescent="0.25">
      <c r="A177" s="7" t="s">
        <v>51</v>
      </c>
      <c r="B177" s="6" t="s">
        <v>50</v>
      </c>
      <c r="C177" s="5">
        <f>+Tabla125[[#This Row],[COSTO +IVA]]/Tabla125[[#This Row],[Columna5]]</f>
        <v>741.89062499999989</v>
      </c>
      <c r="D177" s="5">
        <f>+Tabla125[[#This Row],[PRECIO SUGERIDO INSTALADOR
( CON  IVA)]]-Tabla125[[#This Row],[Columna2]]</f>
        <v>704.79609374999984</v>
      </c>
      <c r="E177" s="5">
        <f>+Tabla125[[#This Row],[PRECIO SUGERIDO INSTALADOR
( CON  IVA)]]/0.7</f>
        <v>1059.84375</v>
      </c>
      <c r="F177" s="4">
        <f>+Tabla125[[#This Row],[PRECIO SUGERIDO INSTALADOR
( CON  IVA)]]*5%</f>
        <v>37.094531249999996</v>
      </c>
      <c r="G177" s="1">
        <v>0.96</v>
      </c>
      <c r="H177" s="3">
        <f>Tabla125[[#This Row],[COSTO]]*1.19</f>
        <v>712.21499999999992</v>
      </c>
      <c r="I177" s="15"/>
      <c r="J177" s="15"/>
      <c r="K177" s="3">
        <v>598.5</v>
      </c>
    </row>
    <row r="178" spans="1:11" ht="30" x14ac:dyDescent="0.25">
      <c r="A178" s="7" t="s">
        <v>370</v>
      </c>
      <c r="B178" s="6" t="s">
        <v>52</v>
      </c>
      <c r="C178" s="5">
        <f>+Tabla125[[#This Row],[COSTO +IVA]]/Tabla125[[#This Row],[Columna5]]</f>
        <v>779.69791666666674</v>
      </c>
      <c r="D178" s="5">
        <f>+Tabla125[[#This Row],[PRECIO SUGERIDO INSTALADOR
( CON  IVA)]]-Tabla125[[#This Row],[Columna2]]</f>
        <v>740.71302083333342</v>
      </c>
      <c r="E178" s="5">
        <f>+Tabla125[[#This Row],[PRECIO SUGERIDO INSTALADOR
( CON  IVA)]]/0.7</f>
        <v>1113.8541666666667</v>
      </c>
      <c r="F178" s="4">
        <f>+Tabla125[[#This Row],[PRECIO SUGERIDO INSTALADOR
( CON  IVA)]]*5%</f>
        <v>38.98489583333334</v>
      </c>
      <c r="G178" s="1">
        <v>0.96</v>
      </c>
      <c r="H178" s="3">
        <f>Tabla125[[#This Row],[COSTO]]*1.19</f>
        <v>748.51</v>
      </c>
      <c r="I178" s="15"/>
      <c r="J178" s="15"/>
      <c r="K178" s="3">
        <v>629</v>
      </c>
    </row>
    <row r="179" spans="1:11" ht="30" x14ac:dyDescent="0.25">
      <c r="A179" s="7" t="s">
        <v>53</v>
      </c>
      <c r="B179" s="6" t="s">
        <v>52</v>
      </c>
      <c r="C179" s="5">
        <f>+Tabla125[[#This Row],[COSTO +IVA]]/Tabla125[[#This Row],[Columna5]]</f>
        <v>820.505</v>
      </c>
      <c r="D179" s="5">
        <f>+Tabla125[[#This Row],[PRECIO SUGERIDO INSTALADOR
( CON  IVA)]]-Tabla125[[#This Row],[Columna2]]</f>
        <v>779.47974999999997</v>
      </c>
      <c r="E179" s="5">
        <f>+Tabla125[[#This Row],[PRECIO SUGERIDO INSTALADOR
( CON  IVA)]]/0.7</f>
        <v>1172.1500000000001</v>
      </c>
      <c r="F179" s="4">
        <f>+Tabla125[[#This Row],[PRECIO SUGERIDO INSTALADOR
( CON  IVA)]]*5%</f>
        <v>41.02525</v>
      </c>
      <c r="G179" s="16">
        <v>1</v>
      </c>
      <c r="H179" s="3">
        <f>Tabla125[[#This Row],[COSTO]]*1.19</f>
        <v>820.505</v>
      </c>
      <c r="I179" s="15"/>
      <c r="J179" s="15"/>
      <c r="K179" s="3">
        <v>689.5</v>
      </c>
    </row>
    <row r="180" spans="1:11" ht="45" x14ac:dyDescent="0.25">
      <c r="A180" s="7" t="s">
        <v>32</v>
      </c>
      <c r="B180" s="6" t="s">
        <v>31</v>
      </c>
      <c r="C180" s="5">
        <f>+Tabla125[[#This Row],[COSTO +IVA]]/Tabla125[[#This Row],[Columna5]]</f>
        <v>779055.8125</v>
      </c>
      <c r="D180" s="5">
        <f>+Tabla125[[#This Row],[PRECIO SUGERIDO INSTALADOR
( CON  IVA)]]-Tabla125[[#This Row],[Columna2]]</f>
        <v>740103.02187499998</v>
      </c>
      <c r="E180" s="5">
        <f>+Tabla125[[#This Row],[PRECIO SUGERIDO INSTALADOR
( CON  IVA)]]/0.7</f>
        <v>1112936.875</v>
      </c>
      <c r="F180" s="4">
        <f>+Tabla125[[#This Row],[PRECIO SUGERIDO INSTALADOR
( CON  IVA)]]*5%</f>
        <v>38952.790625000001</v>
      </c>
      <c r="G180" s="1">
        <v>0.96</v>
      </c>
      <c r="H180" s="3">
        <f>Tabla125[[#This Row],[COSTO]]*1.19</f>
        <v>747893.58</v>
      </c>
      <c r="I180" s="15"/>
      <c r="J180" s="15"/>
      <c r="K180" s="3">
        <v>628482</v>
      </c>
    </row>
    <row r="181" spans="1:11" ht="30" x14ac:dyDescent="0.25">
      <c r="A181" s="7" t="s">
        <v>104</v>
      </c>
      <c r="B181" s="6" t="s">
        <v>103</v>
      </c>
      <c r="C181" s="5">
        <f>+Tabla125[[#This Row],[COSTO +IVA]]/Tabla125[[#This Row],[Columna5]]</f>
        <v>489.09</v>
      </c>
      <c r="D181" s="5">
        <f>+Tabla125[[#This Row],[PRECIO SUGERIDO INSTALADOR
( CON  IVA)]]-Tabla125[[#This Row],[Columna2]]</f>
        <v>464.63549999999998</v>
      </c>
      <c r="E181" s="5">
        <f>+Tabla125[[#This Row],[PRECIO SUGERIDO INSTALADOR
( CON  IVA)]]/0.7</f>
        <v>698.7</v>
      </c>
      <c r="F181" s="4">
        <f>+Tabla125[[#This Row],[PRECIO SUGERIDO INSTALADOR
( CON  IVA)]]*5%</f>
        <v>24.454499999999999</v>
      </c>
      <c r="G181" s="16">
        <v>1</v>
      </c>
      <c r="H181" s="3">
        <f>Tabla125[[#This Row],[COSTO]]*1.19</f>
        <v>489.09</v>
      </c>
      <c r="I181" s="15"/>
      <c r="J181" s="15"/>
      <c r="K181" s="3">
        <v>411</v>
      </c>
    </row>
    <row r="182" spans="1:11" ht="45" x14ac:dyDescent="0.25">
      <c r="A182" s="7" t="s">
        <v>65</v>
      </c>
      <c r="B182" s="6" t="s">
        <v>64</v>
      </c>
      <c r="C182" s="5">
        <f>+Tabla125[[#This Row],[COSTO +IVA]]/Tabla125[[#This Row],[Columna5]]</f>
        <v>33685.707317073175</v>
      </c>
      <c r="D182" s="5">
        <f>+Tabla125[[#This Row],[PRECIO SUGERIDO INSTALADOR
( CON  IVA)]]-Tabla125[[#This Row],[Columna2]]</f>
        <v>32001.421951219516</v>
      </c>
      <c r="E182" s="5">
        <f>+Tabla125[[#This Row],[PRECIO SUGERIDO INSTALADOR
( CON  IVA)]]/0.7</f>
        <v>48122.439024390253</v>
      </c>
      <c r="F182" s="4">
        <f>+Tabla125[[#This Row],[PRECIO SUGERIDO INSTALADOR
( CON  IVA)]]*5%</f>
        <v>1684.2853658536587</v>
      </c>
      <c r="G182" s="16">
        <v>0.82</v>
      </c>
      <c r="H182" s="3">
        <f>Tabla125[[#This Row],[COSTO]]*1.19</f>
        <v>27622.28</v>
      </c>
      <c r="I182" s="15"/>
      <c r="J182" s="15"/>
      <c r="K182" s="3">
        <v>23212</v>
      </c>
    </row>
    <row r="183" spans="1:11" ht="30" x14ac:dyDescent="0.25">
      <c r="A183" s="7" t="s">
        <v>36</v>
      </c>
      <c r="B183" s="6" t="s">
        <v>35</v>
      </c>
      <c r="C183" s="5">
        <f>+Tabla125[[#This Row],[COSTO +IVA]]/Tabla125[[#This Row],[Columna5]]</f>
        <v>15359.707317073171</v>
      </c>
      <c r="D183" s="5">
        <f>+Tabla125[[#This Row],[PRECIO SUGERIDO INSTALADOR
( CON  IVA)]]-Tabla125[[#This Row],[Columna2]]</f>
        <v>14591.721951219512</v>
      </c>
      <c r="E183" s="5">
        <f>+Tabla125[[#This Row],[PRECIO SUGERIDO INSTALADOR
( CON  IVA)]]/0.7</f>
        <v>21942.439024390245</v>
      </c>
      <c r="F183" s="4">
        <f>+Tabla125[[#This Row],[PRECIO SUGERIDO INSTALADOR
( CON  IVA)]]*5%</f>
        <v>767.98536585365855</v>
      </c>
      <c r="G183" s="16">
        <v>0.82</v>
      </c>
      <c r="H183" s="3">
        <f>Tabla125[[#This Row],[COSTO]]*1.19</f>
        <v>12594.96</v>
      </c>
      <c r="I183" s="15"/>
      <c r="J183" s="15"/>
      <c r="K183" s="3">
        <v>10584</v>
      </c>
    </row>
    <row r="184" spans="1:11" ht="30" x14ac:dyDescent="0.25">
      <c r="A184" s="7" t="s">
        <v>34</v>
      </c>
      <c r="B184" s="6" t="s">
        <v>33</v>
      </c>
      <c r="C184" s="5">
        <f>+Tabla125[[#This Row],[COSTO +IVA]]/Tabla125[[#This Row],[Columna5]]</f>
        <v>23190.487804878052</v>
      </c>
      <c r="D184" s="5">
        <f>+Tabla125[[#This Row],[PRECIO SUGERIDO INSTALADOR
( CON  IVA)]]-Tabla125[[#This Row],[Columna2]]</f>
        <v>22030.963414634149</v>
      </c>
      <c r="E184" s="5">
        <f>+Tabla125[[#This Row],[PRECIO SUGERIDO INSTALADOR
( CON  IVA)]]/0.7</f>
        <v>33129.268292682937</v>
      </c>
      <c r="F184" s="4">
        <f>+Tabla125[[#This Row],[PRECIO SUGERIDO INSTALADOR
( CON  IVA)]]*5%</f>
        <v>1159.5243902439026</v>
      </c>
      <c r="G184" s="16">
        <v>0.82</v>
      </c>
      <c r="H184" s="3">
        <f>Tabla125[[#This Row],[COSTO]]*1.19</f>
        <v>19016.2</v>
      </c>
      <c r="I184" s="15"/>
      <c r="J184" s="15"/>
      <c r="K184" s="3">
        <v>15980</v>
      </c>
    </row>
    <row r="185" spans="1:11" x14ac:dyDescent="0.25">
      <c r="A185" s="7" t="s">
        <v>38</v>
      </c>
      <c r="B185" s="6" t="s">
        <v>37</v>
      </c>
      <c r="C185" s="5">
        <f>+Tabla125[[#This Row],[COSTO +IVA]]/Tabla125[[#This Row],[Columna5]]</f>
        <v>28703.791666666668</v>
      </c>
      <c r="D185" s="5">
        <f>+Tabla125[[#This Row],[PRECIO SUGERIDO INSTALADOR
( CON  IVA)]]-Tabla125[[#This Row],[Columna2]]</f>
        <v>27268.602083333335</v>
      </c>
      <c r="E185" s="5">
        <f>+Tabla125[[#This Row],[PRECIO SUGERIDO INSTALADOR
( CON  IVA)]]/0.7</f>
        <v>41005.416666666672</v>
      </c>
      <c r="F185" s="4">
        <f>+Tabla125[[#This Row],[PRECIO SUGERIDO INSTALADOR
( CON  IVA)]]*5%</f>
        <v>1435.1895833333335</v>
      </c>
      <c r="G185" s="1">
        <v>0.96</v>
      </c>
      <c r="H185" s="3">
        <f>Tabla125[[#This Row],[COSTO]]*1.19</f>
        <v>27555.64</v>
      </c>
      <c r="I185" s="15"/>
      <c r="J185" s="15"/>
      <c r="K185" s="3">
        <v>23156</v>
      </c>
    </row>
    <row r="186" spans="1:11" ht="45" x14ac:dyDescent="0.25">
      <c r="A186" s="7" t="s">
        <v>371</v>
      </c>
      <c r="B186" s="6" t="s">
        <v>372</v>
      </c>
      <c r="C186" s="5">
        <f>+Tabla125[[#This Row],[COSTO +IVA]]/Tabla125[[#This Row],[Columna5]]</f>
        <v>535077.921875</v>
      </c>
      <c r="D186" s="5">
        <f>+Tabla125[[#This Row],[PRECIO SUGERIDO INSTALADOR
( CON  IVA)]]-Tabla125[[#This Row],[Columna2]]</f>
        <v>508324.02578124998</v>
      </c>
      <c r="E186" s="5">
        <f>+Tabla125[[#This Row],[PRECIO SUGERIDO INSTALADOR
( CON  IVA)]]/0.7</f>
        <v>764397.03125</v>
      </c>
      <c r="F186" s="4">
        <f>+Tabla125[[#This Row],[PRECIO SUGERIDO INSTALADOR
( CON  IVA)]]*5%</f>
        <v>26753.896093750001</v>
      </c>
      <c r="G186" s="1">
        <v>0.96</v>
      </c>
      <c r="H186" s="3">
        <f>Tabla125[[#This Row],[COSTO]]*1.19</f>
        <v>513674.80499999999</v>
      </c>
      <c r="I186" s="15"/>
      <c r="J186" s="15"/>
      <c r="K186" s="3">
        <v>431659.5</v>
      </c>
    </row>
    <row r="187" spans="1:11" ht="30" x14ac:dyDescent="0.25">
      <c r="A187" s="7" t="s">
        <v>373</v>
      </c>
      <c r="B187" s="6" t="s">
        <v>374</v>
      </c>
      <c r="C187" s="5">
        <f>+Tabla125[[#This Row],[COSTO +IVA]]/Tabla125[[#This Row],[Columna5]]</f>
        <v>131336.953125</v>
      </c>
      <c r="D187" s="5">
        <f>+Tabla125[[#This Row],[PRECIO SUGERIDO INSTALADOR
( CON  IVA)]]-Tabla125[[#This Row],[Columna2]]</f>
        <v>124770.10546875</v>
      </c>
      <c r="E187" s="5">
        <f>+Tabla125[[#This Row],[PRECIO SUGERIDO INSTALADOR
( CON  IVA)]]/0.7</f>
        <v>187624.21875</v>
      </c>
      <c r="F187" s="4">
        <f>+Tabla125[[#This Row],[PRECIO SUGERIDO INSTALADOR
( CON  IVA)]]*5%</f>
        <v>6566.84765625</v>
      </c>
      <c r="G187" s="1">
        <v>0.96</v>
      </c>
      <c r="H187" s="3">
        <f>Tabla125[[#This Row],[COSTO]]*1.19</f>
        <v>126083.47499999999</v>
      </c>
      <c r="I187" s="15"/>
      <c r="J187" s="15"/>
      <c r="K187" s="3">
        <v>105952.5</v>
      </c>
    </row>
    <row r="188" spans="1:11" ht="45" x14ac:dyDescent="0.25">
      <c r="A188" s="7" t="s">
        <v>375</v>
      </c>
      <c r="B188" s="6" t="s">
        <v>376</v>
      </c>
      <c r="C188" s="5">
        <f>+Tabla125[[#This Row],[COSTO +IVA]]/Tabla125[[#This Row],[Columna5]]</f>
        <v>131336.953125</v>
      </c>
      <c r="D188" s="5">
        <f>+Tabla125[[#This Row],[PRECIO SUGERIDO INSTALADOR
( CON  IVA)]]-Tabla125[[#This Row],[Columna2]]</f>
        <v>124770.10546875</v>
      </c>
      <c r="E188" s="5">
        <f>+Tabla125[[#This Row],[PRECIO SUGERIDO INSTALADOR
( CON  IVA)]]/0.7</f>
        <v>187624.21875</v>
      </c>
      <c r="F188" s="4">
        <f>+Tabla125[[#This Row],[PRECIO SUGERIDO INSTALADOR
( CON  IVA)]]*5%</f>
        <v>6566.84765625</v>
      </c>
      <c r="G188" s="1">
        <v>0.96</v>
      </c>
      <c r="H188" s="3">
        <f>Tabla125[[#This Row],[COSTO]]*1.19</f>
        <v>126083.47499999999</v>
      </c>
      <c r="I188" s="15"/>
      <c r="J188" s="15"/>
      <c r="K188" s="3">
        <v>105952.5</v>
      </c>
    </row>
  </sheetData>
  <conditionalFormatting sqref="A1:E1">
    <cfRule type="containsErrors" dxfId="0" priority="1">
      <formula>ISERROR(A1)</formula>
    </cfRule>
  </conditionalFormatting>
  <hyperlinks>
    <hyperlink ref="A2" r:id="rId1" xr:uid="{E18DE60B-EDFB-46CA-81B6-33EFCDA07A9B}"/>
    <hyperlink ref="A3" r:id="rId2" xr:uid="{57CEC88E-3EE9-499A-986F-E52CA57DD8B9}"/>
    <hyperlink ref="A4" r:id="rId3" xr:uid="{71ED9493-5138-4AD2-BF7C-009BD4B036DC}"/>
    <hyperlink ref="A5" r:id="rId4" xr:uid="{A2D09364-314F-4A61-9FB6-DF564DB20BE9}"/>
    <hyperlink ref="A6" r:id="rId5" xr:uid="{7915FFFF-0C7B-43A7-A209-3D7EFC6E73ED}"/>
    <hyperlink ref="A7" r:id="rId6" xr:uid="{D15FA2F8-4B80-4869-ADDD-492C56CBAE3E}"/>
    <hyperlink ref="A8" r:id="rId7" xr:uid="{C275C0FA-C259-4B0E-9A6A-1382DDFC6985}"/>
    <hyperlink ref="A9" r:id="rId8" xr:uid="{E1396073-3F39-4C9A-BF8C-11E84729255F}"/>
    <hyperlink ref="A10" r:id="rId9" xr:uid="{9A3009AC-F8BD-4EBB-99C7-0CA06412703F}"/>
    <hyperlink ref="A11" r:id="rId10" xr:uid="{A785D568-934D-447A-A712-46C1E436AD14}"/>
    <hyperlink ref="A12" r:id="rId11" xr:uid="{B1BCCEED-92C4-4652-BAB7-9D82D183622F}"/>
    <hyperlink ref="A13" r:id="rId12" xr:uid="{094A7031-C714-4CFF-8E85-379F6D8E4442}"/>
    <hyperlink ref="A14" r:id="rId13" xr:uid="{E5C60EC0-D09E-47E3-B68B-28A45C892528}"/>
    <hyperlink ref="A15" r:id="rId14" xr:uid="{A484FB7D-8A27-4D22-BB3B-6FDEBCAB25E2}"/>
    <hyperlink ref="A16" r:id="rId15" xr:uid="{876637C9-15E0-42CE-8C6E-74C5185732BE}"/>
    <hyperlink ref="A17" r:id="rId16" xr:uid="{D3C86A86-026E-4C94-9A79-C67EC57B2960}"/>
    <hyperlink ref="A18" r:id="rId17" xr:uid="{F76EDECE-A03B-4566-9E70-48E42F37D5BB}"/>
    <hyperlink ref="A19" r:id="rId18" xr:uid="{58C4F285-7A8C-4176-8191-9630DFDE1590}"/>
    <hyperlink ref="A20" r:id="rId19" xr:uid="{324A1852-D2D0-4F33-A07A-285A4845A0C1}"/>
    <hyperlink ref="A21" r:id="rId20" xr:uid="{2AC572D1-8363-4652-9EB5-1023F1E3C9D8}"/>
    <hyperlink ref="A22" r:id="rId21" xr:uid="{F7AD3F25-6737-49BB-BBA4-040EA95318A9}"/>
    <hyperlink ref="A23" r:id="rId22" xr:uid="{3D1F1E7C-B7F0-4AC4-86F8-270E52A7C7C2}"/>
    <hyperlink ref="A24" r:id="rId23" xr:uid="{E6BD12EE-B870-494F-B1CC-2F97A64730EA}"/>
    <hyperlink ref="A25" r:id="rId24" xr:uid="{6327BB52-D38D-411E-8920-251ECCF806AF}"/>
    <hyperlink ref="A26" r:id="rId25" xr:uid="{5DB91180-EF07-4921-A4B7-870D5B68E801}"/>
    <hyperlink ref="A27" r:id="rId26" xr:uid="{69A94FBB-554D-459C-80E8-2E1FD09CDA8E}"/>
    <hyperlink ref="A28" r:id="rId27" xr:uid="{C00BF7F5-6F99-450B-850C-E4FDBD9EA6B0}"/>
    <hyperlink ref="A29" r:id="rId28" xr:uid="{667C5348-40C2-4ED9-9DEF-310A1BFE89BE}"/>
    <hyperlink ref="A30" r:id="rId29" xr:uid="{1CBC3772-EBFA-4C46-BD74-6AFDAC0AE009}"/>
    <hyperlink ref="A31" r:id="rId30" xr:uid="{143430F7-37B0-4F4E-8ACE-DCFFF9423A9F}"/>
    <hyperlink ref="A32" r:id="rId31" xr:uid="{85EEEF9F-BC0D-44CE-A302-A2AD482E4233}"/>
    <hyperlink ref="A33" r:id="rId32" xr:uid="{F2E1E096-2C94-42C5-B19F-D5A78808A31C}"/>
    <hyperlink ref="A34" r:id="rId33" xr:uid="{FA7452CB-19BA-4F25-94A8-2B70A1FA1F3D}"/>
    <hyperlink ref="A35" r:id="rId34" xr:uid="{B93DC5E1-4D1E-4A77-A0DC-9F64430A628B}"/>
    <hyperlink ref="A36" r:id="rId35" xr:uid="{48B4AB02-E429-4F9A-B731-09CDA3E6FDE2}"/>
    <hyperlink ref="A37" r:id="rId36" xr:uid="{55338466-8005-434D-9481-057BD6243076}"/>
    <hyperlink ref="A38" r:id="rId37" xr:uid="{A967FD55-8A9E-4D68-A39A-6B24A65E5D48}"/>
    <hyperlink ref="A39" r:id="rId38" xr:uid="{81EBB63C-D9AE-40EE-8C43-49392BCC0322}"/>
    <hyperlink ref="A40" r:id="rId39" xr:uid="{4C64C2EE-1B6B-4212-815A-243A673780AB}"/>
    <hyperlink ref="A41" r:id="rId40" xr:uid="{416B37A1-A53C-4AAD-8003-2960C7D3D571}"/>
    <hyperlink ref="A42" r:id="rId41" xr:uid="{33F9B068-0640-4182-A33E-C2238315377C}"/>
    <hyperlink ref="A43" r:id="rId42" xr:uid="{61061165-2F37-4C31-9E95-17AD7307104A}"/>
    <hyperlink ref="A44" r:id="rId43" xr:uid="{1B2F81F2-125A-4DB1-81BC-48183E12A38B}"/>
    <hyperlink ref="A45" r:id="rId44" xr:uid="{25B99D51-3F87-49CA-9E0B-214FE2247DDB}"/>
    <hyperlink ref="A46" r:id="rId45" xr:uid="{E5B6DF49-8CBA-4C39-825B-1F5D20CA71B6}"/>
    <hyperlink ref="A47" r:id="rId46" xr:uid="{E996DF71-121A-436D-9B62-2B9B9062F8DC}"/>
    <hyperlink ref="A48" r:id="rId47" xr:uid="{C576773A-F11D-4F0B-BF20-90094DE1914D}"/>
    <hyperlink ref="A49" r:id="rId48" xr:uid="{6A279169-7788-4531-9F81-3769705F7AFC}"/>
    <hyperlink ref="A50" r:id="rId49" xr:uid="{981D6192-5B52-4737-9C60-DB655ECD5F72}"/>
    <hyperlink ref="A51" r:id="rId50" xr:uid="{FAA785CD-DFF6-4B31-843A-4F93B077D62A}"/>
    <hyperlink ref="A52" r:id="rId51" xr:uid="{C6CACCBE-83C6-4B17-854A-3AD2E725D2CD}"/>
    <hyperlink ref="A53" r:id="rId52" xr:uid="{C7DF9980-55F8-46C0-BDDD-8A226D3C4FD8}"/>
    <hyperlink ref="A54" r:id="rId53" xr:uid="{0BC36493-60CE-44C0-BFAF-8D32CB52ACBA}"/>
    <hyperlink ref="A55" r:id="rId54" xr:uid="{022E3087-A7CB-4823-994C-267BA8B050F8}"/>
    <hyperlink ref="A56" r:id="rId55" xr:uid="{1F5B6B3A-6E00-4A36-8D13-28C0C0BD79C3}"/>
    <hyperlink ref="A57" r:id="rId56" xr:uid="{E07CF73D-0787-413C-B29C-38C4588DEA40}"/>
    <hyperlink ref="A58" r:id="rId57" xr:uid="{D7E7D33A-C18D-476B-A08F-578CDFAA6841}"/>
    <hyperlink ref="A59" r:id="rId58" xr:uid="{89346335-DEF9-4715-BFB2-FDB99CA8FC00}"/>
    <hyperlink ref="A60" r:id="rId59" xr:uid="{EC1A63DD-5A69-4C0A-ABCF-FA0D1DE8F383}"/>
    <hyperlink ref="A61" r:id="rId60" xr:uid="{FC27EEA6-D5A4-455C-92F7-1884E06B2E76}"/>
    <hyperlink ref="A62" r:id="rId61" xr:uid="{1E92F5E9-45C2-4972-816D-689EB2FB6A13}"/>
    <hyperlink ref="A63" r:id="rId62" xr:uid="{08CBDB79-00DD-444F-AA11-022A2DE548B9}"/>
    <hyperlink ref="A64" r:id="rId63" xr:uid="{41FEF4BA-9422-4393-A7E0-F5C760D92CF0}"/>
    <hyperlink ref="A65" r:id="rId64" xr:uid="{2D7177A5-E120-44AF-B28D-63766970D6F2}"/>
    <hyperlink ref="A66" r:id="rId65" xr:uid="{F6EF6268-84A4-4436-9CF2-036808956AC8}"/>
    <hyperlink ref="A67" r:id="rId66" xr:uid="{D905EA6B-0338-4BCC-8076-05342773FC50}"/>
    <hyperlink ref="A68" r:id="rId67" xr:uid="{FE0F0FD1-CE28-4E01-BB79-F7CF968EC13F}"/>
    <hyperlink ref="A69" r:id="rId68" xr:uid="{2BC64A1B-D9CC-4416-A87B-25CCF1D5E731}"/>
    <hyperlink ref="A70" r:id="rId69" xr:uid="{C06F0D99-6D26-4F34-BA37-D81B23F32CB4}"/>
    <hyperlink ref="A71" r:id="rId70" xr:uid="{A1E0F228-88C0-4B78-BDFB-DE3824F04D91}"/>
    <hyperlink ref="A72" r:id="rId71" xr:uid="{27250488-9B56-4339-80EA-DAB90BBA8380}"/>
    <hyperlink ref="A73" r:id="rId72" xr:uid="{42055D39-0E8D-41BD-AE9B-401909ACCB4C}"/>
    <hyperlink ref="A74" r:id="rId73" xr:uid="{E05F0BEA-3556-4763-887A-53EA3354D35C}"/>
    <hyperlink ref="A75" r:id="rId74" xr:uid="{85676AB7-BE95-4497-A21F-A5789709CA81}"/>
    <hyperlink ref="A76" r:id="rId75" xr:uid="{7FA1B0E4-AEA4-4158-95F8-9DBA3FDD80E5}"/>
    <hyperlink ref="A77" r:id="rId76" xr:uid="{1A91A2B8-F7FA-474B-8D2B-B3DB0A23F6D5}"/>
    <hyperlink ref="A78" r:id="rId77" xr:uid="{E787E656-62FD-4B4E-86DA-600C850D9D4D}"/>
    <hyperlink ref="A79" r:id="rId78" xr:uid="{6BAF43F7-16C3-4581-832F-DA8FF5750359}"/>
    <hyperlink ref="A80" r:id="rId79" xr:uid="{7BADE574-C572-4728-B9D2-C340599FF556}"/>
    <hyperlink ref="A81" r:id="rId80" xr:uid="{93992D1C-566B-4A2A-9624-055B82B2FFEF}"/>
    <hyperlink ref="A82" r:id="rId81" xr:uid="{3AED1725-0DC3-4015-BC99-66B8D19EBCFF}"/>
    <hyperlink ref="A83" r:id="rId82" xr:uid="{130C4128-A0C2-4949-8E8A-D20E2400F217}"/>
    <hyperlink ref="A84" r:id="rId83" xr:uid="{ED34715F-5B18-40A2-8FAA-4F6C7F74BD70}"/>
    <hyperlink ref="A85" r:id="rId84" xr:uid="{C3C5D0D6-8C35-40A1-A39E-A6E9AB438EB2}"/>
    <hyperlink ref="A86" r:id="rId85" xr:uid="{758F1EFB-1232-4D47-B228-FF21DB877436}"/>
    <hyperlink ref="A87" r:id="rId86" xr:uid="{9298B482-8F97-43F8-96A5-512FCD883886}"/>
    <hyperlink ref="A88" r:id="rId87" xr:uid="{229B8118-82F2-41AD-AB1E-0DD6590A71BD}"/>
    <hyperlink ref="A89" r:id="rId88" xr:uid="{2820C58C-31EE-4597-A08E-5BCD20648EC8}"/>
    <hyperlink ref="A90" r:id="rId89" xr:uid="{D59C20EA-B68E-49FC-AB37-13E4029098C5}"/>
    <hyperlink ref="A91" r:id="rId90" xr:uid="{1FE47BD6-B7E2-4796-AC72-C50F374C9550}"/>
    <hyperlink ref="A92" r:id="rId91" xr:uid="{8EE7D077-C68E-4795-A34A-5F5EC39E69BD}"/>
    <hyperlink ref="A93" r:id="rId92" xr:uid="{27B00053-1AF0-4847-96DB-6E68BECA70D3}"/>
    <hyperlink ref="A94" r:id="rId93" xr:uid="{2AF4B848-1353-413B-9776-C30C741E101C}"/>
    <hyperlink ref="A95" r:id="rId94" xr:uid="{549E4676-73E9-41D9-A17D-08A8CD701D91}"/>
    <hyperlink ref="A96" r:id="rId95" xr:uid="{83067E8A-1E8B-4BA4-85BE-D9658FE218F9}"/>
    <hyperlink ref="A97" r:id="rId96" xr:uid="{E146BED5-8D8A-464B-80AF-D0A493687556}"/>
    <hyperlink ref="A98" r:id="rId97" xr:uid="{6D054CDD-D094-4B8A-83D0-99C401280F9A}"/>
    <hyperlink ref="A99" r:id="rId98" xr:uid="{FADB76C6-8007-407B-93CA-B3A6BC3ADC48}"/>
    <hyperlink ref="A100" r:id="rId99" xr:uid="{B8718E50-8021-475E-80C0-62904155EC7D}"/>
    <hyperlink ref="A101" r:id="rId100" xr:uid="{9A4311FD-F879-4CBF-87ED-2B2390CA9780}"/>
    <hyperlink ref="A102" r:id="rId101" xr:uid="{D130A9AF-E3A9-4AF4-B673-869BCFD2AE65}"/>
    <hyperlink ref="A103" r:id="rId102" xr:uid="{B5DC22E4-E198-46DA-8425-8CB1EEBB6F19}"/>
    <hyperlink ref="A104" r:id="rId103" xr:uid="{76A2D1EE-B6BF-43BA-902B-06AFEE39F89E}"/>
    <hyperlink ref="A105" r:id="rId104" xr:uid="{2C8CA90F-B0CE-4170-91EC-39A12E9BE16A}"/>
    <hyperlink ref="A106" r:id="rId105" xr:uid="{72334289-5CC4-4F4E-B04C-93BE6822E5F8}"/>
    <hyperlink ref="A107" r:id="rId106" xr:uid="{E95A79BC-DB43-4C40-AABA-9EE8B74067D0}"/>
    <hyperlink ref="A108" r:id="rId107" xr:uid="{CE3D832F-B897-49F9-ABC8-22409A1F0163}"/>
    <hyperlink ref="A109" r:id="rId108" xr:uid="{96324CEC-1B39-4A8B-9B99-286BE9192B45}"/>
    <hyperlink ref="A110" r:id="rId109" xr:uid="{3FD971F0-8DBC-4521-AB9D-09F4B3F6AA6F}"/>
    <hyperlink ref="A111" r:id="rId110" xr:uid="{52460E62-CE75-484F-B398-E562312CC71C}"/>
    <hyperlink ref="A113" r:id="rId111" xr:uid="{9FA2FC0C-99D4-4336-93A5-351B8A4AC437}"/>
    <hyperlink ref="A114" r:id="rId112" xr:uid="{A7785B64-823C-42FE-833E-53517698FC49}"/>
    <hyperlink ref="A115" r:id="rId113" xr:uid="{0B9DFD39-4083-49F3-9531-1171D1FD4D7C}"/>
    <hyperlink ref="A116" r:id="rId114" xr:uid="{A994DF76-36D2-496F-B0B0-ED945382E4DD}"/>
    <hyperlink ref="A117" r:id="rId115" xr:uid="{5B148C0B-3D3B-4FB5-8E68-7D1D7E178CB4}"/>
    <hyperlink ref="A118" r:id="rId116" xr:uid="{19B93C77-6FD2-4BE8-B2D8-DD8507F7C6F3}"/>
    <hyperlink ref="A119" r:id="rId117" xr:uid="{080F8639-49E6-46EE-BD00-91FA310A7EFB}"/>
    <hyperlink ref="A120" r:id="rId118" xr:uid="{CD5C61F8-9127-44EB-BADD-CD4B42875073}"/>
    <hyperlink ref="A121" r:id="rId119" xr:uid="{E890744C-C4E3-46E5-821B-4A1E439DF2DB}"/>
    <hyperlink ref="A122" r:id="rId120" xr:uid="{72DC79A4-2BFE-42CD-9BC1-FEFBC32EC601}"/>
    <hyperlink ref="A123" r:id="rId121" xr:uid="{4495CD85-98EA-4A43-9BC9-255F67CF1A4D}"/>
    <hyperlink ref="A124" r:id="rId122" xr:uid="{F15282E1-C48C-4C27-B1C7-BFCB3646563F}"/>
    <hyperlink ref="A125" r:id="rId123" xr:uid="{A2E19769-E868-40B1-A1DE-4D790A3C72CE}"/>
    <hyperlink ref="A126" r:id="rId124" xr:uid="{B0CF4529-1E2A-4384-A5F2-743825D246CE}"/>
    <hyperlink ref="A127" r:id="rId125" xr:uid="{53AFCC8F-89E5-4A96-9A7C-B0F7E32C9620}"/>
    <hyperlink ref="A128" r:id="rId126" xr:uid="{57EF9384-85CA-4F1F-AB39-81DD7B4F5FB3}"/>
    <hyperlink ref="A129" r:id="rId127" xr:uid="{A4DE7041-1917-4CFE-904B-C1CF9BC6DB53}"/>
    <hyperlink ref="A130" r:id="rId128" xr:uid="{E183D91F-51C0-467A-9EAA-7E7EF008BDD9}"/>
    <hyperlink ref="A131" r:id="rId129" xr:uid="{7B49C334-4482-48C9-A9AE-79F0B9C403C8}"/>
    <hyperlink ref="A132" r:id="rId130" xr:uid="{5C691AD1-0DDA-4A6A-9C7C-942FC0C836BC}"/>
    <hyperlink ref="A133" r:id="rId131" xr:uid="{2F5DF558-69E0-4D6A-AB74-C6FDDF34C010}"/>
    <hyperlink ref="A134" r:id="rId132" xr:uid="{B06C03C6-D52E-4D1B-BA70-12A29E49BB93}"/>
    <hyperlink ref="A135" r:id="rId133" xr:uid="{87DE5A9C-BE8B-4471-BEF9-A68D5DA8C0D4}"/>
    <hyperlink ref="A136" r:id="rId134" xr:uid="{A85AB693-3185-4F3B-919C-F88C8CED3EF4}"/>
    <hyperlink ref="A137" r:id="rId135" xr:uid="{878EC91A-ED17-4273-B7F7-C7832E5BD1D1}"/>
    <hyperlink ref="A138" r:id="rId136" xr:uid="{376C8CE7-9D61-4971-9ABE-BF0127AB7741}"/>
    <hyperlink ref="A139" r:id="rId137" xr:uid="{DC3A754E-199F-4095-9994-96444CC1CB36}"/>
    <hyperlink ref="A140" r:id="rId138" xr:uid="{9B9DDAF8-78DA-4BAF-BA9A-8D98FBD39B60}"/>
    <hyperlink ref="A143" r:id="rId139" xr:uid="{19A81F4E-4362-486B-9748-C563C95B3CEF}"/>
    <hyperlink ref="A144" r:id="rId140" xr:uid="{08C347EC-9941-4F4E-AFA7-DB1408D38279}"/>
    <hyperlink ref="A145" r:id="rId141" xr:uid="{F0BC7F24-A6E6-45E2-BD35-5DF9318B9773}"/>
    <hyperlink ref="A146" r:id="rId142" xr:uid="{2C61C1CB-02BA-46EF-A812-2F81A18418FE}"/>
    <hyperlink ref="A147" r:id="rId143" xr:uid="{243EF0E1-ED74-4EED-8C75-9FB1F77DE332}"/>
    <hyperlink ref="A148" r:id="rId144" xr:uid="{64B8498A-12A7-487E-9EC9-EC04EA9EAF81}"/>
    <hyperlink ref="A149" r:id="rId145" xr:uid="{D12393EE-8C53-4BCA-9D6A-73E26E6190BA}"/>
    <hyperlink ref="A150" r:id="rId146" xr:uid="{9C0846A7-CFC4-4DF9-92A0-957C45A14F9B}"/>
    <hyperlink ref="A151" r:id="rId147" xr:uid="{DEA9DF38-4972-4BF8-B190-FC27D918C872}"/>
    <hyperlink ref="A152" r:id="rId148" xr:uid="{F100A50C-E445-4D1D-AB08-8E37FC3CC7C7}"/>
    <hyperlink ref="A153" r:id="rId149" xr:uid="{6E02F20A-8D33-480B-8F0E-A5BDA01121C8}"/>
    <hyperlink ref="A154" r:id="rId150" xr:uid="{A5F57411-668B-459F-8E3F-29D141E4A43A}"/>
    <hyperlink ref="A155" r:id="rId151" xr:uid="{392EDAA1-F622-4ED2-A986-D86E85A96C86}"/>
    <hyperlink ref="A156" r:id="rId152" xr:uid="{F2825645-620D-48AC-8565-23DC31CEC58B}"/>
    <hyperlink ref="A157" r:id="rId153" xr:uid="{AB51B131-53CC-4B30-B2E0-E6916811B809}"/>
    <hyperlink ref="A158" r:id="rId154" xr:uid="{5361537E-E278-49A6-8ED6-483BE89F0B61}"/>
    <hyperlink ref="A159" r:id="rId155" xr:uid="{E21FC5D8-C875-4C1F-866D-BA0D478407E5}"/>
    <hyperlink ref="A160" r:id="rId156" xr:uid="{284B60B4-C9B1-4711-834A-A131473252C9}"/>
    <hyperlink ref="A161" r:id="rId157" xr:uid="{301B0F39-A627-4B69-AFBC-82497A1CFB50}"/>
    <hyperlink ref="A162" r:id="rId158" xr:uid="{BD575D9C-C0C6-476F-BC63-DE77E5C1C1CA}"/>
    <hyperlink ref="A163" r:id="rId159" xr:uid="{F64246C5-B712-43C8-B739-906F9F1CC594}"/>
    <hyperlink ref="A164" r:id="rId160" xr:uid="{E406B1DC-F027-4833-BD65-FFE933C71365}"/>
    <hyperlink ref="A165" r:id="rId161" xr:uid="{425B9875-8818-461D-84DE-732F556E8877}"/>
    <hyperlink ref="A166" r:id="rId162" xr:uid="{11427043-3134-4BEE-A804-512C4BF2A4F9}"/>
    <hyperlink ref="A167" r:id="rId163" xr:uid="{40BB29E6-0F3E-4342-9E55-BFEB1748B561}"/>
    <hyperlink ref="A168" r:id="rId164" xr:uid="{CB0854F5-2AE7-40AD-AE3F-FDA7ABD0176C}"/>
    <hyperlink ref="A169" r:id="rId165" xr:uid="{6125E145-54BC-4190-AF57-C221B32F954D}"/>
    <hyperlink ref="A170" r:id="rId166" xr:uid="{F9404135-D291-4F17-8ED6-C2C11F28A756}"/>
    <hyperlink ref="A171" r:id="rId167" xr:uid="{0698AC85-6072-4071-9E93-162FC2339E0E}"/>
    <hyperlink ref="A172" r:id="rId168" xr:uid="{A37EB575-788A-47DD-8E48-FC181C3D4D69}"/>
    <hyperlink ref="A173" r:id="rId169" xr:uid="{98AE6BA6-0FAA-40B3-B2E2-5E227241F3D9}"/>
    <hyperlink ref="A174" r:id="rId170" xr:uid="{8318284D-6E6E-445B-80C3-F44B90CD304E}"/>
    <hyperlink ref="A175" r:id="rId171" xr:uid="{F869B363-EA01-4734-8896-35906343BB92}"/>
    <hyperlink ref="A176" r:id="rId172" xr:uid="{79686598-3BDB-4435-966D-04A51BEA23D2}"/>
    <hyperlink ref="A177" r:id="rId173" xr:uid="{30AD2A93-7E96-4AB0-B780-93D29D8E2A27}"/>
    <hyperlink ref="A178" r:id="rId174" xr:uid="{62667ED4-9F24-44A2-85E7-479502ACEAAD}"/>
    <hyperlink ref="A179" r:id="rId175" xr:uid="{50717D10-B74B-407F-9008-E5FF99230B05}"/>
    <hyperlink ref="A180" r:id="rId176" xr:uid="{0471ECE6-7EF6-4B7F-9074-D5B0130D4CC8}"/>
    <hyperlink ref="A181" r:id="rId177" xr:uid="{662FC13B-EBF0-457D-8BFC-656C2DF622D1}"/>
    <hyperlink ref="A182" r:id="rId178" xr:uid="{BB2DAF96-8AEF-4317-BEE8-461CB22FF4EA}"/>
    <hyperlink ref="A183" r:id="rId179" xr:uid="{5275A5DA-3750-4781-92F7-5250A5E4B80C}"/>
    <hyperlink ref="A184" r:id="rId180" xr:uid="{1AB4689B-8FDF-4052-997E-7F010AC88CE5}"/>
    <hyperlink ref="A185" r:id="rId181" xr:uid="{99EAA016-939A-419D-B72C-98E14EDACD2E}"/>
    <hyperlink ref="A186" r:id="rId182" xr:uid="{DAF041AD-5406-468A-A7B6-870785F5E319}"/>
    <hyperlink ref="A187" r:id="rId183" xr:uid="{E9490C7E-FFF1-4635-A1BB-D59B15B26721}"/>
    <hyperlink ref="A188" r:id="rId184" xr:uid="{237559C3-8A79-4DA6-9C86-9F66E930B148}"/>
  </hyperlinks>
  <pageMargins left="0.7" right="0.7" top="0.75" bottom="0.75" header="0.3" footer="0.3"/>
  <pageSetup scale="76" orientation="portrait" r:id="rId185"/>
  <tableParts count="1">
    <tablePart r:id="rId1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LANPRO CE</vt:lpstr>
      <vt:lpstr>'LANPRO CE'!Área_de_impresión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2026-10-06T13:47:43Z</dcterms:created>
  <dcterms:modified xsi:type="dcterms:W3CDTF">2026-10-06T17:50:42Z</dcterms:modified>
</cp:coreProperties>
</file>