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efe Compras\OneDrive\Documents\Desktop\LISTAS DE PRECIOS\listados grupo nuevo con formulas\LISTA PROVISIONAL DAÑO PLATAFORMA\LISTAS EMPRESA GRUPO\EXCEL\"/>
    </mc:Choice>
  </mc:AlternateContent>
  <xr:revisionPtr revIDLastSave="0" documentId="13_ncr:1_{EEB5DABB-1B58-4343-B26C-66376C1C69CF}" xr6:coauthVersionLast="47" xr6:coauthVersionMax="47" xr10:uidLastSave="{00000000-0000-0000-0000-000000000000}"/>
  <bookViews>
    <workbookView xWindow="23880" yWindow="-120" windowWidth="21840" windowHeight="13140" xr2:uid="{9FE2A91E-8D98-45BA-A937-A78A94FE47A0}"/>
  </bookViews>
  <sheets>
    <sheet name="HILOOK IP" sheetId="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v" localSheetId="0" hidden="1">{"'ADV&amp;DP'!$A$4:$C$25"}</definedName>
    <definedName name="\v" hidden="1">{"'ADV&amp;DP'!$A$4:$C$25"}</definedName>
    <definedName name="_??" localSheetId="0" hidden="1">{"'?????10.27??????'!$Q$16"}</definedName>
    <definedName name="_??" hidden="1">{"'?????10.27??????'!$Q$16"}</definedName>
    <definedName name="_????" localSheetId="0" hidden="1">{"'?????10.27??????'!$Q$16"}</definedName>
    <definedName name="_????" hidden="1">{"'?????10.27??????'!$Q$16"}</definedName>
    <definedName name="_?????" localSheetId="0" hidden="1">{"DCF-???",#N/A,TRUE,"???";"DCF-??",#N/A,TRUE,"??";"DCF-??",#N/A,TRUE,"??";"DCF-??",#N/A,TRUE,"??";"DCF-??",#N/A,TRUE,"??";"DCF-??",#N/A,TRUE,"??";"DCF-??",#N/A,TRUE,"??";"DCF-??",#N/A,TRUE,"??";"DCF-??",#N/A,TRUE,"??"}</definedName>
    <definedName name="_?????" hidden="1">{"DCF-???",#N/A,TRUE,"???";"DCF-??",#N/A,TRUE,"??";"DCF-??",#N/A,TRUE,"??";"DCF-??",#N/A,TRUE,"??";"DCF-??",#N/A,TRUE,"??";"DCF-??",#N/A,TRUE,"??";"DCF-??",#N/A,TRUE,"??";"DCF-??",#N/A,TRUE,"??";"DCF-??",#N/A,TRUE,"??"}</definedName>
    <definedName name="_??????" localSheetId="0" hidden="1">{"'?????10.27??????'!$Q$16"}</definedName>
    <definedName name="_??????" hidden="1">{"'?????10.27??????'!$Q$16"}</definedName>
    <definedName name="_??06" localSheetId="0" hidden="1">{"'?????10.27??????'!$Q$16"}</definedName>
    <definedName name="_??06" hidden="1">{"'?????10.27??????'!$Q$16"}</definedName>
    <definedName name="_?16??" localSheetId="0" hidden="1">{"'????'!$A$1:$C$37"}</definedName>
    <definedName name="_?16??" hidden="1">{"'????'!$A$1:$C$37"}</definedName>
    <definedName name="________o1" localSheetId="0" hidden="1">{#N/A,#N/A,FALSE,"SUMMARY";#N/A,#N/A,FALSE,"mcsh";#N/A,#N/A,FALSE,"vol&amp;rev";#N/A,#N/A,FALSE,"wkgcap";#N/A,#N/A,FALSE,"DEPR&amp;DT";#N/A,#N/A,FALSE,"ASSETS";#N/A,#N/A,FALSE,"NI&amp;OTH&amp;DIV";#N/A,#N/A,FALSE,"CASHFLOW";#N/A,#N/A,FALSE,"CAPEMPL";#N/A,#N/A,FALSE,"ROCE"}</definedName>
    <definedName name="________o1" hidden="1">{#N/A,#N/A,FALSE,"SUMMARY";#N/A,#N/A,FALSE,"mcsh";#N/A,#N/A,FALSE,"vol&amp;rev";#N/A,#N/A,FALSE,"wkgcap";#N/A,#N/A,FALSE,"DEPR&amp;DT";#N/A,#N/A,FALSE,"ASSETS";#N/A,#N/A,FALSE,"NI&amp;OTH&amp;DIV";#N/A,#N/A,FALSE,"CASHFLOW";#N/A,#N/A,FALSE,"CAPEMPL";#N/A,#N/A,FALSE,"ROCE"}</definedName>
    <definedName name="_______DF4" hidden="1">#REF!</definedName>
    <definedName name="______DF4" hidden="1">#REF!</definedName>
    <definedName name="______o1" localSheetId="0" hidden="1">{#N/A,#N/A,FALSE,"SUMMARY";#N/A,#N/A,FALSE,"mcsh";#N/A,#N/A,FALSE,"vol&amp;rev";#N/A,#N/A,FALSE,"wkgcap";#N/A,#N/A,FALSE,"DEPR&amp;DT";#N/A,#N/A,FALSE,"ASSETS";#N/A,#N/A,FALSE,"NI&amp;OTH&amp;DIV";#N/A,#N/A,FALSE,"CASHFLOW";#N/A,#N/A,FALSE,"CAPEMPL";#N/A,#N/A,FALSE,"ROCE"}</definedName>
    <definedName name="______o1" hidden="1">{#N/A,#N/A,FALSE,"SUMMARY";#N/A,#N/A,FALSE,"mcsh";#N/A,#N/A,FALSE,"vol&amp;rev";#N/A,#N/A,FALSE,"wkgcap";#N/A,#N/A,FALSE,"DEPR&amp;DT";#N/A,#N/A,FALSE,"ASSETS";#N/A,#N/A,FALSE,"NI&amp;OTH&amp;DIV";#N/A,#N/A,FALSE,"CASHFLOW";#N/A,#N/A,FALSE,"CAPEMPL";#N/A,#N/A,FALSE,"ROCE"}</definedName>
    <definedName name="_____DF4" hidden="1">#REF!</definedName>
    <definedName name="_____o1" localSheetId="0" hidden="1">{#N/A,#N/A,FALSE,"SUMMARY";#N/A,#N/A,FALSE,"mcsh";#N/A,#N/A,FALSE,"vol&amp;rev";#N/A,#N/A,FALSE,"wkgcap";#N/A,#N/A,FALSE,"DEPR&amp;DT";#N/A,#N/A,FALSE,"ASSETS";#N/A,#N/A,FALSE,"NI&amp;OTH&amp;DIV";#N/A,#N/A,FALSE,"CASHFLOW";#N/A,#N/A,FALSE,"CAPEMPL";#N/A,#N/A,FALSE,"ROCE"}</definedName>
    <definedName name="_____o1" hidden="1">{#N/A,#N/A,FALSE,"SUMMARY";#N/A,#N/A,FALSE,"mcsh";#N/A,#N/A,FALSE,"vol&amp;rev";#N/A,#N/A,FALSE,"wkgcap";#N/A,#N/A,FALSE,"DEPR&amp;DT";#N/A,#N/A,FALSE,"ASSETS";#N/A,#N/A,FALSE,"NI&amp;OTH&amp;DIV";#N/A,#N/A,FALSE,"CASHFLOW";#N/A,#N/A,FALSE,"CAPEMPL";#N/A,#N/A,FALSE,"ROCE"}</definedName>
    <definedName name="____DF4" hidden="1">#REF!</definedName>
    <definedName name="____o1" localSheetId="0" hidden="1">{#N/A,#N/A,FALSE,"SUMMARY";#N/A,#N/A,FALSE,"mcsh";#N/A,#N/A,FALSE,"vol&amp;rev";#N/A,#N/A,FALSE,"wkgcap";#N/A,#N/A,FALSE,"DEPR&amp;DT";#N/A,#N/A,FALSE,"ASSETS";#N/A,#N/A,FALSE,"NI&amp;OTH&amp;DIV";#N/A,#N/A,FALSE,"CASHFLOW";#N/A,#N/A,FALSE,"CAPEMPL";#N/A,#N/A,FALSE,"ROCE"}</definedName>
    <definedName name="____o1" hidden="1">{#N/A,#N/A,FALSE,"SUMMARY";#N/A,#N/A,FALSE,"mcsh";#N/A,#N/A,FALSE,"vol&amp;rev";#N/A,#N/A,FALSE,"wkgcap";#N/A,#N/A,FALSE,"DEPR&amp;DT";#N/A,#N/A,FALSE,"ASSETS";#N/A,#N/A,FALSE,"NI&amp;OTH&amp;DIV";#N/A,#N/A,FALSE,"CASHFLOW";#N/A,#N/A,FALSE,"CAPEMPL";#N/A,#N/A,FALSE,"ROCE"}</definedName>
    <definedName name="___DF4" hidden="1">#REF!</definedName>
    <definedName name="___o1" localSheetId="0" hidden="1">{#N/A,#N/A,FALSE,"SUMMARY";#N/A,#N/A,FALSE,"mcsh";#N/A,#N/A,FALSE,"vol&amp;rev";#N/A,#N/A,FALSE,"wkgcap";#N/A,#N/A,FALSE,"DEPR&amp;DT";#N/A,#N/A,FALSE,"ASSETS";#N/A,#N/A,FALSE,"NI&amp;OTH&amp;DIV";#N/A,#N/A,FALSE,"CASHFLOW";#N/A,#N/A,FALSE,"CAPEMPL";#N/A,#N/A,FALSE,"ROCE"}</definedName>
    <definedName name="___o1" hidden="1">{#N/A,#N/A,FALSE,"SUMMARY";#N/A,#N/A,FALSE,"mcsh";#N/A,#N/A,FALSE,"vol&amp;rev";#N/A,#N/A,FALSE,"wkgcap";#N/A,#N/A,FALSE,"DEPR&amp;DT";#N/A,#N/A,FALSE,"ASSETS";#N/A,#N/A,FALSE,"NI&amp;OTH&amp;DIV";#N/A,#N/A,FALSE,"CASHFLOW";#N/A,#N/A,FALSE,"CAPEMPL";#N/A,#N/A,FALSE,"ROCE"}</definedName>
    <definedName name="__123Graph_A" hidden="1">[1]Pub!$H$13:$H$83</definedName>
    <definedName name="__123Graph_B" hidden="1">[1]Pub!$I$13:$I$83</definedName>
    <definedName name="__123Graph_C" hidden="1">[1]Pub!$J$13:$J$83</definedName>
    <definedName name="__123Graph_D" hidden="1">[1]Pub!$K$13:$K$83</definedName>
    <definedName name="__123Graph_E" hidden="1">[1]Pub!#REF!</definedName>
    <definedName name="__123Graph_F" hidden="1">[1]Pub!$L$13:$L$83</definedName>
    <definedName name="__123Graph_X" hidden="1">[1]Pub!$G$13:$G$83</definedName>
    <definedName name="__DF4" hidden="1">#REF!</definedName>
    <definedName name="__FDS_HYPERLINK_TOGGLE_STATE__" hidden="1">"ON"</definedName>
    <definedName name="__o1" localSheetId="0"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1____123Graph_AMOF_NB" hidden="1">[2]計算過程シート!#REF!</definedName>
    <definedName name="_1__123Graph_ACHART_1" hidden="1">'[3]Historical IS'!#REF!</definedName>
    <definedName name="_1__123Graph_AIRR_IRR" hidden="1">#REF!</definedName>
    <definedName name="_10___123Graph_XIRR_IRR" hidden="1">#REF!</definedName>
    <definedName name="_10__123Graph_ACHART_16" hidden="1">[4]engineering!$Q$49:$S$49</definedName>
    <definedName name="_10__123Graph_CCHART_3" hidden="1">'[3]Historical IS'!#REF!</definedName>
    <definedName name="_103__123Graph_Cｸﾞﾗﾌ_1" hidden="1">#REF!</definedName>
    <definedName name="_104__123Graph_Dｸﾞﾗﾌ_1" hidden="1">#REF!</definedName>
    <definedName name="_105__123Graph_XIRR_IRR" hidden="1">#REF!</definedName>
    <definedName name="_106__123Graph_XMOF_NB" hidden="1">#REF!</definedName>
    <definedName name="_11___123Graph_XMOF_NB" hidden="1">#REF!</definedName>
    <definedName name="_11__123Graph_ACHART_17" hidden="1">[4]revenue!$P$77:$R$77</definedName>
    <definedName name="_11__123Graph_CCHART_8" hidden="1">'[3]Historical IS'!#REF!</definedName>
    <definedName name="_12__123Graph_ACHART_18" hidden="1">[4]revenue!$P$82:$R$82</definedName>
    <definedName name="_12__123Graph_AIRR_IRR" hidden="1">#REF!</definedName>
    <definedName name="_12__123Graph_DCHART_1" hidden="1">'[3]Historical IS'!#REF!</definedName>
    <definedName name="_13__123Graph_ACHART_19" hidden="1">[4]sga!$P$7:$R$7</definedName>
    <definedName name="_13__123Graph_AMOF_NB" hidden="1">[2]計算過程シート!#REF!</definedName>
    <definedName name="_13__123Graph_DCHART_8" hidden="1">'[3]Historical IS'!#REF!</definedName>
    <definedName name="_131__123Graph_Xｸﾞﾗﾌ_1" hidden="1">#REF!</definedName>
    <definedName name="_14__123Graph_A????_1" hidden="1">#REF!</definedName>
    <definedName name="_14__123Graph_ACHART_2" hidden="1">#REF!</definedName>
    <definedName name="_14__123Graph_Aｸﾞﾗﾌ_1" hidden="1">#REF!</definedName>
    <definedName name="_14__123Graph_LBL_ACHART_3" hidden="1">'[3]Historical IS'!#REF!</definedName>
    <definedName name="_15__123Graph_ACHART_20" hidden="1">[4]sga!$P$10:$R$10</definedName>
    <definedName name="_15__123Graph_BIRR_IRR" hidden="1">#REF!</definedName>
    <definedName name="_15__123Graph_LBL_ACHART_4" hidden="1">'[3]Historical IS'!#REF!</definedName>
    <definedName name="_16__123Graph_ACHART_3" hidden="1">#REF!</definedName>
    <definedName name="_16__123Graph_BMOF_NB" hidden="1">#REF!</definedName>
    <definedName name="_16__123Graph_LBL_BCHART_3" hidden="1">'[3]Historical IS'!#REF!</definedName>
    <definedName name="_17__123Graph_ACHART_4" hidden="1">#REF!</definedName>
    <definedName name="_17__123Graph_B????_1" hidden="1">#REF!</definedName>
    <definedName name="_17__123Graph_Bｸﾞﾗﾌ_1" hidden="1">#REF!</definedName>
    <definedName name="_17__123Graph_LBL_BCHART_4" hidden="1">'[3]Historical IS'!#REF!</definedName>
    <definedName name="_18__123Graph_ACHART_5" hidden="1">#REF!</definedName>
    <definedName name="_18__123Graph_C????_1" hidden="1">#REF!</definedName>
    <definedName name="_18__123Graph_Cｸﾞﾗﾌ_1" hidden="1">#REF!</definedName>
    <definedName name="_18__123Graph_LBL_CCHART_3" hidden="1">'[3]Historical IS'!#REF!</definedName>
    <definedName name="_19__123Graph_ACHART_6" hidden="1">#REF!</definedName>
    <definedName name="_19__123Graph_D????_1" hidden="1">#REF!</definedName>
    <definedName name="_19__123Graph_Dｸﾞﾗﾌ_1" hidden="1">#REF!</definedName>
    <definedName name="_19__123Graph_XCHART_1" hidden="1">'[3]Historical IS'!#REF!</definedName>
    <definedName name="_2_??" localSheetId="0" hidden="1">{"'?????10.27??????'!$Q$16"}</definedName>
    <definedName name="_2_??" hidden="1">{"'?????10.27??????'!$Q$16"}</definedName>
    <definedName name="_2____123Graph_A????_1" hidden="1">#REF!</definedName>
    <definedName name="_2____123Graph_Aｸﾞﾗﾌ_1" hidden="1">#REF!</definedName>
    <definedName name="_2__123Graph_ACHART_3" hidden="1">'[3]Historical IS'!#REF!</definedName>
    <definedName name="_20__123Graph_ACHART_7" hidden="1">#REF!</definedName>
    <definedName name="_20__123Graph_XCHART_3" hidden="1">'[3]Historical IS'!#REF!</definedName>
    <definedName name="_20__123Graph_XIRR_IRR" hidden="1">#REF!</definedName>
    <definedName name="_21__123Graph_ACHART_8" hidden="1">#REF!</definedName>
    <definedName name="_21__123Graph_XCHART_4" hidden="1">'[3]Historical IS'!#REF!</definedName>
    <definedName name="_21__123Graph_XMOF_NB" hidden="1">#REF!</definedName>
    <definedName name="_22__123Graph_ACHART_9" hidden="1">#REF!</definedName>
    <definedName name="_22__123Graph_X????_1" hidden="1">#REF!</definedName>
    <definedName name="_22__123Graph_XCHART_8" hidden="1">'[3]Historical IS'!#REF!</definedName>
    <definedName name="_22__123Graph_Xｸﾞﾗﾌ_1" hidden="1">#REF!</definedName>
    <definedName name="_23__123Graph_BCHART_1" hidden="1">#REF!</definedName>
    <definedName name="_24__123Graph_BCHART_11" hidden="1">#REF!</definedName>
    <definedName name="_25__123Graph_BCHART_12" hidden="1">#REF!</definedName>
    <definedName name="_26__123Graph_AMOF_NB" hidden="1">[2]計算過程シート!#REF!</definedName>
    <definedName name="_26__123Graph_BCHART_13" hidden="1">[4]engineering!$Q$42:$W$42</definedName>
    <definedName name="_27__123Graph_BCHART_14" hidden="1">[4]engineering!$Q$46:$W$46</definedName>
    <definedName name="_28__123Graph_BCHART_15" hidden="1">#REF!</definedName>
    <definedName name="_29__123Graph_BCHART_16" hidden="1">[4]engineering!$Q$50:$S$50</definedName>
    <definedName name="_3____123Graph_B????_1" hidden="1">#REF!</definedName>
    <definedName name="_3____123Graph_Bｸﾞﾗﾌ_1" hidden="1">#REF!</definedName>
    <definedName name="_3__123Graph_ACHART_1" hidden="1">#REF!</definedName>
    <definedName name="_3__123Graph_ACHART_4" hidden="1">'[3]Historical IS'!#REF!</definedName>
    <definedName name="_30__123Graph_BCHART_17" hidden="1">[4]revenue!$P$78:$R$78</definedName>
    <definedName name="_31__123Graph_BCHART_2" hidden="1">#REF!</definedName>
    <definedName name="_32__123Graph_BCHART_20" hidden="1">[4]sga!$P$11:$R$11</definedName>
    <definedName name="_33__123Graph_BCHART_3" hidden="1">[4]revenue!$P$10:$R$10</definedName>
    <definedName name="_34__123Graph_BCHART_6" hidden="1">#REF!</definedName>
    <definedName name="_35__123Graph_BCHART_7" hidden="1">[4]revenue!$P$45:$R$45</definedName>
    <definedName name="_36_??06" localSheetId="0" hidden="1">{"'?????10.27??????'!$Q$16"}</definedName>
    <definedName name="_36_??06" hidden="1">{"'?????10.27??????'!$Q$16"}</definedName>
    <definedName name="_36__123Graph_BCHART_8" hidden="1">#REF!</definedName>
    <definedName name="_37__123Graph_BCHART_9" hidden="1">[4]engineering!$P$7:$T$7</definedName>
    <definedName name="_38__123Graph_CCHART_1" hidden="1">#REF!</definedName>
    <definedName name="_39__123Graph_CCHART_11" hidden="1">[4]engineering!$P$16:$T$16</definedName>
    <definedName name="_4____123Graph_C????_1" hidden="1">#REF!</definedName>
    <definedName name="_4____123Graph_Cｸﾞﾗﾌ_1" hidden="1">#REF!</definedName>
    <definedName name="_4__123Graph_ACHART_10" hidden="1">#REF!</definedName>
    <definedName name="_4__123Graph_ACHART_8" hidden="1">'[3]Historical IS'!#REF!</definedName>
    <definedName name="_40__123Graph_CCHART_12" hidden="1">#REF!</definedName>
    <definedName name="_41__123Graph_CCHART_2" hidden="1">#REF!</definedName>
    <definedName name="_42__123Graph_CCHART_20" hidden="1">[4]sga!$P$12:$R$12</definedName>
    <definedName name="_43__123Graph_CCHART_7" hidden="1">[4]revenue!$P$46:$R$46</definedName>
    <definedName name="_44__123Graph_CCHART_8" hidden="1">#REF!</definedName>
    <definedName name="_45__123Graph_DCHART_1" hidden="1">#REF!</definedName>
    <definedName name="_46__123Graph_DCHART_12" hidden="1">#REF!</definedName>
    <definedName name="_47__123Graph_DCHART_2" hidden="1">#REF!</definedName>
    <definedName name="_48__123Graph_DCHART_8" hidden="1">#REF!</definedName>
    <definedName name="_49__123Graph_ECHART_12" hidden="1">#REF!</definedName>
    <definedName name="_5____123Graph_X????_1" hidden="1">#REF!</definedName>
    <definedName name="_5____123Graph_Xｸﾞﾗﾌ_1" hidden="1">#REF!</definedName>
    <definedName name="_5__123Graph_ACHART_11" hidden="1">#REF!</definedName>
    <definedName name="_5__123Graph_BCHART_1" hidden="1">'[3]Historical IS'!#REF!</definedName>
    <definedName name="_50__123Graph_ECHART_2" hidden="1">#REF!</definedName>
    <definedName name="_51__123Graph_Aｸﾞﾗﾌ_1" hidden="1">#REF!</definedName>
    <definedName name="_51__123Graph_ECHART_8" hidden="1">#REF!</definedName>
    <definedName name="_52__123Graph_BIRR_IRR" hidden="1">#REF!</definedName>
    <definedName name="_52__123Graph_FCHART_1" hidden="1">#REF!</definedName>
    <definedName name="_53__123Graph_BMOF_NB" hidden="1">#REF!</definedName>
    <definedName name="_53__123Graph_XCHART_10" hidden="1">#REF!</definedName>
    <definedName name="_54__123Graph_XCHART_11" hidden="1">#REF!</definedName>
    <definedName name="_55__123Graph_XCHART_12" hidden="1">#REF!</definedName>
    <definedName name="_56__123Graph_XCHART_13" hidden="1">#REF!</definedName>
    <definedName name="_57__123Graph_XCHART_14" hidden="1">#REF!</definedName>
    <definedName name="_58__123Graph_XCHART_15" hidden="1">#REF!</definedName>
    <definedName name="_59__123Graph_XCHART_16" hidden="1">[4]engineering!$Q$48:$S$48</definedName>
    <definedName name="_6___123Graph_AIRR_IRR" hidden="1">#REF!</definedName>
    <definedName name="_6__123Graph_ACHART_12" hidden="1">#REF!</definedName>
    <definedName name="_6__123Graph_BCHART_3" hidden="1">'[3]Historical IS'!#REF!</definedName>
    <definedName name="_60__123Graph_XCHART_18" hidden="1">[4]revenue!$P$81:$R$81</definedName>
    <definedName name="_61__123Graph_XCHART_2" hidden="1">#REF!</definedName>
    <definedName name="_62__123Graph_XCHART_20" hidden="1">[4]sga!$P$9:$R$9</definedName>
    <definedName name="_63__123Graph_XCHART_3" hidden="1">#REF!</definedName>
    <definedName name="_64__123Graph_XCHART_4" hidden="1">#REF!</definedName>
    <definedName name="_65__123Graph_XCHART_5" hidden="1">#REF!</definedName>
    <definedName name="_66__123Graph_XCHART_6" hidden="1">#REF!</definedName>
    <definedName name="_67__123Graph_XCHART_7" hidden="1">#REF!</definedName>
    <definedName name="_68_?16??" localSheetId="0" hidden="1">{"'????'!$A$1:$C$37"}</definedName>
    <definedName name="_68_?16??" hidden="1">{"'????'!$A$1:$C$37"}</definedName>
    <definedName name="_68__123Graph_XCHART_8" hidden="1">#REF!</definedName>
    <definedName name="_69__123Graph_XCHART_9" hidden="1">#REF!</definedName>
    <definedName name="_7_????" localSheetId="0" hidden="1">{"'?????10.27??????'!$Q$16"}</definedName>
    <definedName name="_7_????" hidden="1">{"'?????10.27??????'!$Q$16"}</definedName>
    <definedName name="_7___123Graph_BIRR_IRR" hidden="1">#REF!</definedName>
    <definedName name="_7__123Graph_ACHART_13" hidden="1">#REF!</definedName>
    <definedName name="_7__123Graph_BCHART_4" hidden="1">'[3]Historical IS'!#REF!</definedName>
    <definedName name="_78__123Graph_Bｸﾞﾗﾌ_1" hidden="1">#REF!</definedName>
    <definedName name="_8_?????" localSheetId="0" hidden="1">{"DCF-???",#N/A,TRUE,"???";"DCF-??",#N/A,TRUE,"??";"DCF-??",#N/A,TRUE,"??";"DCF-??",#N/A,TRUE,"??";"DCF-??",#N/A,TRUE,"??";"DCF-??",#N/A,TRUE,"??";"DCF-??",#N/A,TRUE,"??";"DCF-??",#N/A,TRUE,"??";"DCF-??",#N/A,TRUE,"??"}</definedName>
    <definedName name="_8_?????" hidden="1">{"DCF-???",#N/A,TRUE,"???";"DCF-??",#N/A,TRUE,"??";"DCF-??",#N/A,TRUE,"??";"DCF-??",#N/A,TRUE,"??";"DCF-??",#N/A,TRUE,"??";"DCF-??",#N/A,TRUE,"??";"DCF-??",#N/A,TRUE,"??";"DCF-??",#N/A,TRUE,"??";"DCF-??",#N/A,TRUE,"??"}</definedName>
    <definedName name="_8___123Graph_BMOF_NB" hidden="1">#REF!</definedName>
    <definedName name="_8__123Graph_ACHART_14" hidden="1">#REF!</definedName>
    <definedName name="_8__123Graph_BCHART_8" hidden="1">'[3]Historical IS'!#REF!</definedName>
    <definedName name="_9_??????" localSheetId="0" hidden="1">{"'?????10.27??????'!$Q$16"}</definedName>
    <definedName name="_9_??????" hidden="1">{"'?????10.27??????'!$Q$16"}</definedName>
    <definedName name="_9___123Graph_D????_1" hidden="1">#REF!</definedName>
    <definedName name="_9___123Graph_Dｸﾞﾗﾌ_1" hidden="1">#REF!</definedName>
    <definedName name="_9__123Graph_ACHART_15" hidden="1">#REF!</definedName>
    <definedName name="_9__123Graph_CCHART_1" hidden="1">'[3]Historical IS'!#REF!</definedName>
    <definedName name="_DF4" hidden="1">#REF!</definedName>
    <definedName name="_Fill" hidden="1">#REF!</definedName>
    <definedName name="_xlnm._FilterDatabase" localSheetId="0" hidden="1">'HILOOK IP'!$A$1:$I$55</definedName>
    <definedName name="_xlnm._FilterDatabase" hidden="1">'[5]46W9'!#REF!</definedName>
    <definedName name="_Key2" hidden="1">#REF!</definedName>
    <definedName name="_o1" localSheetId="0"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rder1" hidden="1">255</definedName>
    <definedName name="_Order2" hidden="1">255</definedName>
    <definedName name="a" localSheetId="0" hidden="1">{#N/A,#N/A,FALSE,"TOTFINAL";#N/A,#N/A,FALSE,"FINPLAN";#N/A,#N/A,FALSE,"TOTMOTADJ";#N/A,#N/A,FALSE,"tieEQ";#N/A,#N/A,FALSE,"G";#N/A,#N/A,FALSE,"ELIMS";#N/A,#N/A,FALSE,"NEXTEL ADJ";#N/A,#N/A,FALSE,"MIMS";#N/A,#N/A,FALSE,"LMPS";#N/A,#N/A,FALSE,"CNSS";#N/A,#N/A,FALSE,"CSS";#N/A,#N/A,FALSE,"MCG";#N/A,#N/A,FALSE,"AECS";#N/A,#N/A,FALSE,"SPS";#N/A,#N/A,FALSE,"CORP"}</definedName>
    <definedName name="a" hidden="1">{#N/A,#N/A,FALSE,"TOTFINAL";#N/A,#N/A,FALSE,"FINPLAN";#N/A,#N/A,FALSE,"TOTMOTADJ";#N/A,#N/A,FALSE,"tieEQ";#N/A,#N/A,FALSE,"G";#N/A,#N/A,FALSE,"ELIMS";#N/A,#N/A,FALSE,"NEXTEL ADJ";#N/A,#N/A,FALSE,"MIMS";#N/A,#N/A,FALSE,"LMPS";#N/A,#N/A,FALSE,"CNSS";#N/A,#N/A,FALSE,"CSS";#N/A,#N/A,FALSE,"MCG";#N/A,#N/A,FALSE,"AECS";#N/A,#N/A,FALSE,"SPS";#N/A,#N/A,FALSE,"CORP"}</definedName>
    <definedName name="ando" localSheetId="0" hidden="1">{"'下期集計（10.27迄・速報値）'!$Q$16"}</definedName>
    <definedName name="ando" hidden="1">{"'下期集計（10.27迄・速報値）'!$Q$16"}</definedName>
    <definedName name="anscount" hidden="1">3</definedName>
    <definedName name="_xlnm.Print_Area" localSheetId="0">Tabla111[[#All],[REFERENCIA]:[PRECIO CLIENTE FINAL ( CON  IVA)]]</definedName>
    <definedName name="AS2DocOpenMode" hidden="1">"AS2DocumentEdit"</definedName>
    <definedName name="AS2HasNoAutoHeaderFooter" hidden="1">" "</definedName>
    <definedName name="asdf" localSheetId="0" hidden="1">{"'年間台数'!$A$1:$K$20","'中古車登録台数'!$A$1:$I$39"}</definedName>
    <definedName name="asdf" hidden="1">{"'年間台数'!$A$1:$K$20","'中古車登録台数'!$A$1:$I$39"}</definedName>
    <definedName name="BLPH1" hidden="1">'[6]Data sheet'!$A$4</definedName>
    <definedName name="BLPH10" hidden="1">'[6]Data sheet'!$AB$4</definedName>
    <definedName name="BLPH11" hidden="1">'[6]Data sheet'!$AE$4</definedName>
    <definedName name="BLPH12" hidden="1">'[6]Data sheet'!$AH$4</definedName>
    <definedName name="BLPH2" hidden="1">'[6]Data sheet'!$D$4</definedName>
    <definedName name="BLPH3" hidden="1">'[6]Data sheet'!$G$4</definedName>
    <definedName name="BLPH4" hidden="1">'[6]Data sheet'!$J$4</definedName>
    <definedName name="BLPH5" hidden="1">'[6]Data sheet'!$M$4</definedName>
    <definedName name="BLPH6" hidden="1">'[6]Data sheet'!$P$4</definedName>
    <definedName name="BLPH7" hidden="1">'[6]Data sheet'!$S$4</definedName>
    <definedName name="BLPH8" hidden="1">'[6]Data sheet'!$V$4</definedName>
    <definedName name="BLPH9" hidden="1">'[6]Data sheet'!$Y$4</definedName>
    <definedName name="Bridge" localSheetId="0" hidden="1">{"'Highlights'!$A$1:$M$123"}</definedName>
    <definedName name="Bridge" hidden="1">{"'Highlights'!$A$1:$M$123"}</definedName>
    <definedName name="CARLOS" localSheetId="0" hidden="1">{#N/A,#N/A,TRUE,"A"}</definedName>
    <definedName name="CARLOS" hidden="1">{#N/A,#N/A,TRUE,"A"}</definedName>
    <definedName name="cb_sChartE2218BA_opts" hidden="1">"1, 4, 1, False, 2, False, False, , 0, False, True, 1, 1"</definedName>
    <definedName name="cb_sChartE221ADA_opts" hidden="1">"1, 5, 1, False, 2, False, False, , 0, False, False, 1, 1"</definedName>
    <definedName name="CBWorkbookPriority" hidden="1">-61538533</definedName>
    <definedName name="chiho" localSheetId="0" hidden="1">{"'下期集計（10.27迄・速報値）'!$Q$16"}</definedName>
    <definedName name="chiho" hidden="1">{"'下期集計（10.27迄・速報値）'!$Q$16"}</definedName>
    <definedName name="cover" hidden="1">#REF!</definedName>
    <definedName name="efg" localSheetId="0" hidden="1">{#N/A,#N/A,TRUE,"A"}</definedName>
    <definedName name="efg" hidden="1">{#N/A,#N/A,TRUE,"A"}</definedName>
    <definedName name="fds" localSheetId="0" hidden="1">{"'下期集計（10.27迄・速報値）'!$Q$16"}</definedName>
    <definedName name="fds" hidden="1">{"'下期集計（10.27迄・速報値）'!$Q$16"}</definedName>
    <definedName name="ｇ" localSheetId="0" hidden="1">{"'下期集計（10.27迄・速報値）'!$Q$16"}</definedName>
    <definedName name="ｇ" hidden="1">{"'下期集計（10.27迄・速報値）'!$Q$16"}</definedName>
    <definedName name="gd" localSheetId="0" hidden="1">{"'下期集計（10.27迄・速報値）'!$Q$16"}</definedName>
    <definedName name="gd" hidden="1">{"'下期集計（10.27迄・速報値）'!$Q$16"}</definedName>
    <definedName name="gda" localSheetId="0" hidden="1">{"'下期集計（10.27迄・速報値）'!$Q$16"}</definedName>
    <definedName name="gda" hidden="1">{"'下期集計（10.27迄・速報値）'!$Q$16"}</definedName>
    <definedName name="gdsa" localSheetId="0" hidden="1">{"'下期集計（10.27迄・速報値）'!$Q$16"}</definedName>
    <definedName name="gdsa" hidden="1">{"'下期集計（10.27迄・速報値）'!$Q$16"}</definedName>
    <definedName name="gh" localSheetId="0" hidden="1">{"'Highlights'!$A$1:$M$123"}</definedName>
    <definedName name="gh" hidden="1">{"'Highlights'!$A$1:$M$123"}</definedName>
    <definedName name="ｈ" localSheetId="0" hidden="1">{"'下期集計（10.27迄・速報値）'!$Q$16"}</definedName>
    <definedName name="ｈ" hidden="1">{"'下期集計（10.27迄・速報値）'!$Q$16"}</definedName>
    <definedName name="H16?1??" localSheetId="0" hidden="1">{"'????'!$A$1:$C$37"}</definedName>
    <definedName name="H16?1??" hidden="1">{"'????'!$A$1:$C$37"}</definedName>
    <definedName name="Ｈ16・１" localSheetId="0" hidden="1">{"'コメント'!$A$1:$C$37"}</definedName>
    <definedName name="Ｈ16・１" hidden="1">{"'コメント'!$A$1:$C$37"}</definedName>
    <definedName name="H16･1速報" localSheetId="0" hidden="1">{"'コメント'!$A$1:$C$37"}</definedName>
    <definedName name="H16･1速報" hidden="1">{"'コメント'!$A$1:$C$37"}</definedName>
    <definedName name="HTM_Control" localSheetId="0" hidden="1">{"'下期集計（10.27迄・速報値）'!$Q$16"}</definedName>
    <definedName name="HTM_Control" hidden="1">{"'下期集計（10.27迄・速報値）'!$Q$16"}</definedName>
    <definedName name="ＨＴＭＬ" localSheetId="0" hidden="1">{"'コメント'!$A$1:$C$37"}</definedName>
    <definedName name="ＨＴＭＬ" hidden="1">{"'コメント'!$A$1:$C$37"}</definedName>
    <definedName name="HTML_CodePage" hidden="1">1252</definedName>
    <definedName name="HTML_Control" localSheetId="0" hidden="1">{"'Highlights'!$A$1:$M$123"}</definedName>
    <definedName name="HTML_Control" hidden="1">{"'Highlights'!$A$1:$M$123"}</definedName>
    <definedName name="HTML_Description" hidden="1">""</definedName>
    <definedName name="HTML_Email" hidden="1">"scottt@phx.mcd.mot.com"</definedName>
    <definedName name="HTML_Header" hidden="1">"Highlights"</definedName>
    <definedName name="HTML_LastUpdate" hidden="1">"6/24/97"</definedName>
    <definedName name="HTML_LineAfter" hidden="1">FALSE</definedName>
    <definedName name="HTML_LineBefore" hidden="1">TRUE</definedName>
    <definedName name="HTML_Name" hidden="1">"Scott Traasdahl"</definedName>
    <definedName name="HTML_OBDlg2" hidden="1">TRUE</definedName>
    <definedName name="HTML_OBDlg4" hidden="1">TRUE</definedName>
    <definedName name="HTML_OS" hidden="1">0</definedName>
    <definedName name="HTML_PathFile" hidden="1">"H:\scottt\Analysis\Ops Review\MyHTML.htm"</definedName>
    <definedName name="HTML_Title" hidden="1">"97JunOpsRvw"</definedName>
    <definedName name="hyousi" hidden="1">#REF!</definedName>
    <definedName name="INDICADOR_COLUMNA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40809.7705439815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39482.4188773148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i" localSheetId="0" hidden="1">{"'Highlights'!$A$1:$M$123"}</definedName>
    <definedName name="ji" hidden="1">{"'Highlights'!$A$1:$M$123"}</definedName>
    <definedName name="k" localSheetId="0" hidden="1">{"'下期集計（10.27迄・速報値）'!$Q$16"}</definedName>
    <definedName name="k" hidden="1">{"'下期集計（10.27迄・速報値）'!$Q$16"}</definedName>
    <definedName name="kjh" localSheetId="0" hidden="1">{#N/A,#N/A,TRUE,"A"}</definedName>
    <definedName name="kjh" hidden="1">{#N/A,#N/A,TRUE,"A"}</definedName>
    <definedName name="kjl" localSheetId="0" hidden="1">{#N/A,#N/A,FALSE,"TOTFINAL";#N/A,#N/A,FALSE,"FINPLAN";#N/A,#N/A,FALSE,"TOTMOTADJ";#N/A,#N/A,FALSE,"tieEQ";#N/A,#N/A,FALSE,"G";#N/A,#N/A,FALSE,"ELIMS";#N/A,#N/A,FALSE,"NEXTEL ADJ";#N/A,#N/A,FALSE,"MIMS";#N/A,#N/A,FALSE,"LMPS";#N/A,#N/A,FALSE,"CNSS";#N/A,#N/A,FALSE,"CSS";#N/A,#N/A,FALSE,"MCG";#N/A,#N/A,FALSE,"AECS";#N/A,#N/A,FALSE,"SPS";#N/A,#N/A,FALSE,"CORP"}</definedName>
    <definedName name="kjl" hidden="1">{#N/A,#N/A,FALSE,"TOTFINAL";#N/A,#N/A,FALSE,"FINPLAN";#N/A,#N/A,FALSE,"TOTMOTADJ";#N/A,#N/A,FALSE,"tieEQ";#N/A,#N/A,FALSE,"G";#N/A,#N/A,FALSE,"ELIMS";#N/A,#N/A,FALSE,"NEXTEL ADJ";#N/A,#N/A,FALSE,"MIMS";#N/A,#N/A,FALSE,"LMPS";#N/A,#N/A,FALSE,"CNSS";#N/A,#N/A,FALSE,"CSS";#N/A,#N/A,FALSE,"MCG";#N/A,#N/A,FALSE,"AECS";#N/A,#N/A,FALSE,"SPS";#N/A,#N/A,FALSE,"CORP"}</definedName>
    <definedName name="kk" localSheetId="0" hidden="1">{"'下期集計（10.27迄・速報値）'!$Q$16"}</definedName>
    <definedName name="kk" hidden="1">{"'下期集計（10.27迄・速報値）'!$Q$16"}</definedName>
    <definedName name="kkk" localSheetId="0" hidden="1">{"'下期集計（10.27迄・速報値）'!$Q$16"}</definedName>
    <definedName name="kkk" hidden="1">{"'下期集計（10.27迄・速報値）'!$Q$16"}</definedName>
    <definedName name="lio" localSheetId="0" hidden="1">{#N/A,#N/A,TRUE,"A"}</definedName>
    <definedName name="lio" hidden="1">{#N/A,#N/A,TRUE,"A"}</definedName>
    <definedName name="LISTA">#REF!</definedName>
    <definedName name="ListOffset" hidden="1">1</definedName>
    <definedName name="MBAS" localSheetId="0" hidden="1">{"'ADV&amp;DP'!$A$4:$C$25"}</definedName>
    <definedName name="MBAS" hidden="1">{"'ADV&amp;DP'!$A$4:$C$25"}</definedName>
    <definedName name="mbs" localSheetId="0" hidden="1">{"'ADV&amp;DP'!$A$4:$C$25"}</definedName>
    <definedName name="mbs" hidden="1">{"'ADV&amp;DP'!$A$4:$C$25"}</definedName>
    <definedName name="MKK" localSheetId="0" hidden="1">{"'下期集計（10.27迄・速報値）'!$Q$16"}</definedName>
    <definedName name="MKK" hidden="1">{"'下期集計（10.27迄・速報値）'!$Q$16"}</definedName>
    <definedName name="mmm" localSheetId="0" hidden="1">{"'ADV&amp;DP'!$A$4:$C$25"}</definedName>
    <definedName name="mmm" hidden="1">{"'ADV&amp;DP'!$A$4:$C$25"}</definedName>
    <definedName name="MOBILE" localSheetId="0" hidden="1">{"'ADV&amp;DP'!$A$4:$C$25"}</definedName>
    <definedName name="MOBILE" hidden="1">{"'ADV&amp;DP'!$A$4:$C$25"}</definedName>
    <definedName name="n" localSheetId="0" hidden="1">{"'下期集計（10.27迄・速報値）'!$Q$16"}</definedName>
    <definedName name="n" hidden="1">{"'下期集計（10.27迄・速報値）'!$Q$16"}</definedName>
    <definedName name="new" localSheetId="0" hidden="1">{"'Highlights'!$A$1:$M$123"}</definedName>
    <definedName name="new" hidden="1">{"'Highlights'!$A$1:$M$123"}</definedName>
    <definedName name="nm" localSheetId="0" hidden="1">{#N/A,#N/A,TRUE,"A"}</definedName>
    <definedName name="nm" hidden="1">{#N/A,#N/A,TRUE,"A"}</definedName>
    <definedName name="ñlo" localSheetId="0" hidden="1">{#N/A,#N/A,TRUE,"A"}</definedName>
    <definedName name="ñlo" hidden="1">{#N/A,#N/A,TRUE,"A"}</definedName>
    <definedName name="ñp" localSheetId="0" hidden="1">{#N/A,#N/A,TRUE,"A"}</definedName>
    <definedName name="ñp" hidden="1">{#N/A,#N/A,TRUE,"A"}</definedName>
    <definedName name="oi" localSheetId="0" hidden="1">{#N/A,#N/A,TRUE,"A"}</definedName>
    <definedName name="oi" hidden="1">{#N/A,#N/A,TRUE,"A"}</definedName>
    <definedName name="ok" localSheetId="0" hidden="1">{"'Highlights'!$A$1:$M$123"}</definedName>
    <definedName name="ok" hidden="1">{"'Highlights'!$A$1:$M$123"}</definedName>
    <definedName name="PANELES">#REF!</definedName>
    <definedName name="piu" localSheetId="0" hidden="1">{#N/A,#N/A,TRUE,"A"}</definedName>
    <definedName name="piu" hidden="1">{#N/A,#N/A,TRUE,"A"}</definedName>
    <definedName name="plo" localSheetId="0" hidden="1">{#N/A,#N/A,TRUE,"A"}</definedName>
    <definedName name="plo" hidden="1">{#N/A,#N/A,TRUE,"A"}</definedName>
    <definedName name="po" localSheetId="0" hidden="1">{#N/A,#N/A,TRUE,"A"}</definedName>
    <definedName name="po" hidden="1">{#N/A,#N/A,TRUE,"A"}</definedName>
    <definedName name="PTSB" localSheetId="0" hidden="1">{"'Highlights'!$A$1:$M$123"}</definedName>
    <definedName name="PTSB" hidden="1">{"'Highlights'!$A$1:$M$123"}</definedName>
    <definedName name="Q2Fcst" localSheetId="0" hidden="1">{#N/A,#N/A,FALSE,"TOTFINAL";#N/A,#N/A,FALSE,"FINPLAN";#N/A,#N/A,FALSE,"TOTMOTADJ";#N/A,#N/A,FALSE,"tieEQ";#N/A,#N/A,FALSE,"G";#N/A,#N/A,FALSE,"ELIMS";#N/A,#N/A,FALSE,"NEXTEL ADJ";#N/A,#N/A,FALSE,"MIMS";#N/A,#N/A,FALSE,"LMPS";#N/A,#N/A,FALSE,"CNSS";#N/A,#N/A,FALSE,"CSS";#N/A,#N/A,FALSE,"MCG";#N/A,#N/A,FALSE,"AECS";#N/A,#N/A,FALSE,"SPS";#N/A,#N/A,FALSE,"CORP"}</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w" localSheetId="0" hidden="1">{"'下期集計（10.27迄・速報値）'!$Q$16"}</definedName>
    <definedName name="qw" hidden="1">{"'下期集計（10.27迄・速報値）'!$Q$16"}</definedName>
    <definedName name="ＲＡＲＯＡ" localSheetId="0" hidden="1">{"'下期集計（10.27迄・速報値）'!$Q$16"}</definedName>
    <definedName name="ＲＡＲＯＡ" hidden="1">{"'下期集計（10.27迄・速報値）'!$Q$16"}</definedName>
    <definedName name="RETENCION">'[7]Cálculo LPVta Cambium'!$AA$4</definedName>
    <definedName name="rfg" localSheetId="0" hidden="1">{#N/A,#N/A,TRUE,"A"}</definedName>
    <definedName name="rfg" hidden="1">{#N/A,#N/A,TRUE,"A"}</definedName>
    <definedName name="SAPBEXdnldView" hidden="1">"4X7PHJJ3EF70UJ33CI6YVQIOV"</definedName>
    <definedName name="SAPBEXsysID" hidden="1">"PBK"</definedName>
    <definedName name="SCOG" localSheetId="0" hidden="1">{"'ADV&amp;DP'!$A$4:$C$25"}</definedName>
    <definedName name="SCOG" hidden="1">{"'ADV&amp;DP'!$A$4:$C$25"}</definedName>
    <definedName name="sencount" hidden="1">1</definedName>
    <definedName name="sfgasd" localSheetId="0"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0.6</definedName>
    <definedName name="stp">[8]Resumen_Inv!$I$66</definedName>
    <definedName name="t" localSheetId="0" hidden="1">{"'下期集計（10.27迄・速報値）'!$Q$16"}</definedName>
    <definedName name="t" hidden="1">{"'下期集計（10.27迄・速報値）'!$Q$16"}</definedName>
    <definedName name="tyh" localSheetId="0" hidden="1">{#N/A,#N/A,TRUE,"A"}</definedName>
    <definedName name="tyh" hidden="1">{#N/A,#N/A,TRUE,"A"}</definedName>
    <definedName name="v" localSheetId="0" hidden="1">{#N/A,#N/A,FALSE,"TOTFINAL";#N/A,#N/A,FALSE,"FINPLAN";#N/A,#N/A,FALSE,"TOTMOTADJ";#N/A,#N/A,FALSE,"tieEQ";#N/A,#N/A,FALSE,"G";#N/A,#N/A,FALSE,"ELIMS";#N/A,#N/A,FALSE,"NEXTEL ADJ";#N/A,#N/A,FALSE,"MIMS";#N/A,#N/A,FALSE,"LMPS";#N/A,#N/A,FALSE,"CNSS";#N/A,#N/A,FALSE,"CSS";#N/A,#N/A,FALSE,"MCG";#N/A,#N/A,FALSE,"AECS";#N/A,#N/A,FALSE,"SPS";#N/A,#N/A,FALSE,"CORP"}</definedName>
    <definedName name="v" hidden="1">{#N/A,#N/A,FALSE,"TOTFINAL";#N/A,#N/A,FALSE,"FINPLAN";#N/A,#N/A,FALSE,"TOTMOTADJ";#N/A,#N/A,FALSE,"tieEQ";#N/A,#N/A,FALSE,"G";#N/A,#N/A,FALSE,"ELIMS";#N/A,#N/A,FALSE,"NEXTEL ADJ";#N/A,#N/A,FALSE,"MIMS";#N/A,#N/A,FALSE,"LMPS";#N/A,#N/A,FALSE,"CNSS";#N/A,#N/A,FALSE,"CSS";#N/A,#N/A,FALSE,"MCG";#N/A,#N/A,FALSE,"AECS";#N/A,#N/A,FALSE,"SPS";#N/A,#N/A,FALSE,"CORP"}</definedName>
    <definedName name="vbn" localSheetId="0" hidden="1">{#N/A,#N/A,TRUE,"A"}</definedName>
    <definedName name="vbn" hidden="1">{#N/A,#N/A,TRUE,"A"}</definedName>
    <definedName name="w" localSheetId="0" hidden="1">{"'下期集計（10.27迄・速報値）'!$Q$16"}</definedName>
    <definedName name="w" hidden="1">{"'下期集計（10.27迄・速報値）'!$Q$16"}</definedName>
    <definedName name="wrn.???." localSheetId="0" hidden="1">{"DCF-???",#N/A,TRUE,"???";"FS-???",#N/A,TRUE,"???";"DCF-??",#N/A,TRUE,"??";"FS-??",#N/A,TRUE,"??";"DCF-??",#N/A,TRUE,"??";"FS-??",#N/A,TRUE,"??";"DCF-??",#N/A,TRUE,"??";"FS-??",#N/A,TRUE,"??";"DCF-??",#N/A,TRUE,"??";"FS-??",#N/A,TRUE,"??";"DCF-??",#N/A,TRUE,"??";"FS-??",#N/A,TRUE,"??";"DCF-??",#N/A,TRUE,"??";"FS-??",#N/A,TRUE,"??";"DCF-??",#N/A,TRUE,"??";"FS-??",#N/A,TRUE,"??";"DCF-??",#N/A,TRUE,"??";"FS-??",#N/A,TRUE,"??"}</definedName>
    <definedName name="wrn.???." hidden="1">{"DCF-???",#N/A,TRUE,"???";"FS-???",#N/A,TRUE,"???";"DCF-??",#N/A,TRUE,"??";"FS-??",#N/A,TRUE,"??";"DCF-??",#N/A,TRUE,"??";"FS-??",#N/A,TRUE,"??";"DCF-??",#N/A,TRUE,"??";"FS-??",#N/A,TRUE,"??";"DCF-??",#N/A,TRUE,"??";"FS-??",#N/A,TRUE,"??";"DCF-??",#N/A,TRUE,"??";"FS-??",#N/A,TRUE,"??";"DCF-??",#N/A,TRUE,"??";"FS-??",#N/A,TRUE,"??";"DCF-??",#N/A,TRUE,"??";"FS-??",#N/A,TRUE,"??";"DCF-??",#N/A,TRUE,"??";"FS-??",#N/A,TRUE,"??"}</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Sheets." localSheetId="0" hidden="1">{#N/A,#N/A,FALSE,"1997 WW (Short)";#N/A,#N/A,FALSE,"1997 RF Mfg";#N/A,#N/A,FALSE,"Ancillary-CSM";#N/A,#N/A,FALSE,"1997 Service"}</definedName>
    <definedName name="wrn.All._.Sheets." hidden="1">{#N/A,#N/A,FALSE,"1997 WW (Short)";#N/A,#N/A,FALSE,"1997 RF Mfg";#N/A,#N/A,FALSE,"Ancillary-CSM";#N/A,#N/A,FALSE,"1997 Service"}</definedName>
    <definedName name="wrn.AR._.Meeting._.Schedule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CIPG._.All._.Sheets." localSheetId="0"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localSheetId="0"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localSheetId="0" hidden="1">{#N/A,#N/A,FALSE,"4-up charts p.1";#N/A,#N/A,FALSE,"4-up charts p.2";#N/A,#N/A,FALSE," rate of ? qtr";#N/A,#N/A,FALSE,"Detail Rel rate of ? ";#N/A,#N/A,FALSE,"Inventory"}</definedName>
    <definedName name="wrn.CIPG._.Color._.Charts." hidden="1">{#N/A,#N/A,FALSE,"4-up charts p.1";#N/A,#N/A,FALSE,"4-up charts p.2";#N/A,#N/A,FALSE," rate of ? qtr";#N/A,#N/A,FALSE,"Detail Rel rate of ? ";#N/A,#N/A,FALSE,"Inventory"}</definedName>
    <definedName name="wrn.DCF????." localSheetId="0" hidden="1">{"DCF-???",#N/A,TRUE,"???";"DCF-??",#N/A,TRUE,"??";"DCF-??",#N/A,TRUE,"??";"DCF-??",#N/A,TRUE,"??";"DCF-??",#N/A,TRUE,"??";"DCF-??",#N/A,TRUE,"??";"DCF-??",#N/A,TRUE,"??";"DCF-??",#N/A,TRUE,"??";"DCF-??",#N/A,TRUE,"??"}</definedName>
    <definedName name="wrn.DCF????." hidden="1">{"DCF-???",#N/A,TRUE,"???";"DCF-??",#N/A,TRUE,"??";"DCF-??",#N/A,TRUE,"??";"DCF-??",#N/A,TRUE,"??";"DCF-??",#N/A,TRUE,"??";"DCF-??",#N/A,TRUE,"??";"DCF-??",#N/A,TRUE,"??";"DCF-??",#N/A,TRUE,"??";"DCF-??",#N/A,TRUE,"??"}</definedName>
    <definedName name="wrn.DCF一括印刷." localSheetId="0" hidden="1">{"DCF-北海道",#N/A,TRUE,"北海道";"DCF-東北",#N/A,TRUE,"東北";"DCF-東海",#N/A,TRUE,"東海";"DCF-北陸",#N/A,TRUE,"北陸";"DCF-関西",#N/A,TRUE,"関西";"DCF-中国",#N/A,TRUE,"中国";"DCF-四国",#N/A,TRUE,"四国";"DCF-九州",#N/A,TRUE,"九州";"DCF-連結",#N/A,TRUE,"連結"}</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EAN2." localSheetId="0" hidden="1">{#N/A,#N/A,TRUE,"A"}</definedName>
    <definedName name="wrn.EAN2." hidden="1">{#N/A,#N/A,TRUE,"A"}</definedName>
    <definedName name="wrn.EAN3" localSheetId="0" hidden="1">{#N/A,#N/A,TRUE,"A"}</definedName>
    <definedName name="wrn.EAN3" hidden="1">{#N/A,#N/A,TRUE,"A"}</definedName>
    <definedName name="wrn.FS????." localSheetId="0" hidden="1">{"FS-???",#N/A,TRUE,"???";"FS-??",#N/A,TRUE,"??";"FS-??",#N/A,TRUE,"??";"FS-??",#N/A,TRUE,"??";"FS-??",#N/A,TRUE,"??";"FS-??",#N/A,TRUE,"??";"FS-??",#N/A,TRUE,"??";"FS-??",#N/A,TRUE,"??";"FS-??",#N/A,TRUE,"??"}</definedName>
    <definedName name="wrn.FS????." hidden="1">{"FS-???",#N/A,TRUE,"???";"FS-??",#N/A,TRUE,"??";"FS-??",#N/A,TRUE,"??";"FS-??",#N/A,TRUE,"??";"FS-??",#N/A,TRUE,"??";"FS-??",#N/A,TRUE,"??";"FS-??",#N/A,TRUE,"??";"FS-??",#N/A,TRUE,"??";"FS-??",#N/A,TRUE,"??"}</definedName>
    <definedName name="wrn.FS一括印刷." localSheetId="0" hidden="1">{"FS-北海道",#N/A,TRUE,"北海道";"FS-東北",#N/A,TRUE,"東北";"FS-東海",#N/A,TRUE,"東海";"FS-北陸",#N/A,TRUE,"北陸";"FS-関西",#N/A,TRUE,"関西";"FS-中国",#N/A,TRUE,"中国";"FS-四国",#N/A,TRUE,"四国";"FS-九州",#N/A,TRUE,"九州";"FS-連結",#N/A,TRUE,"連結"}</definedName>
    <definedName name="wrn.FS一括印刷." hidden="1">{"FS-北海道",#N/A,TRUE,"北海道";"FS-東北",#N/A,TRUE,"東北";"FS-東海",#N/A,TRUE,"東海";"FS-北陸",#N/A,TRUE,"北陸";"FS-関西",#N/A,TRUE,"関西";"FS-中国",#N/A,TRUE,"中国";"FS-四国",#N/A,TRUE,"四国";"FS-九州",#N/A,TRUE,"九州";"FS-連結",#N/A,TRUE,"連結"}</definedName>
    <definedName name="wrn.Outlook._.Report." localSheetId="0" hidden="1">{#N/A,#N/A,FALSE,"Outlook for Month ";#N/A,#N/A,FALSE,"Risk for Month ";#N/A,#N/A,FALSE,"Upside for Month"}</definedName>
    <definedName name="wrn.Outlook._.Report." hidden="1">{#N/A,#N/A,FALSE,"Outlook for Month ";#N/A,#N/A,FALSE,"Risk for Month ";#N/A,#N/A,FALSE,"Upside for Month"}</definedName>
    <definedName name="wrn.RPT." localSheetId="0"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全印刷." localSheetId="0"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s" localSheetId="0" hidden="1">{#N/A,#N/A,TRUE,"A"}</definedName>
    <definedName name="ws" hidden="1">{#N/A,#N/A,TRUE,"A"}</definedName>
    <definedName name="yhu" localSheetId="0" hidden="1">{#N/A,#N/A,TRUE,"A"}</definedName>
    <definedName name="yhu" hidden="1">{#N/A,#N/A,TRUE,"A"}</definedName>
    <definedName name="ｚ" localSheetId="0" hidden="1">{"'下期集計（10.27迄・速報値）'!$Q$16"}</definedName>
    <definedName name="ｚ" hidden="1">{"'下期集計（10.27迄・速報値）'!$Q$16"}</definedName>
    <definedName name="Z_086A872D_15DF_436A_8459_CE22F6819FF4_.wvu.Rows" hidden="1">[5]Presentacion!#REF!</definedName>
    <definedName name="Z_D55C8B2E_861A_459E_9D09_3AF38A1DE99E_.wvu.Rows" hidden="1">[5]Presentacion!#REF!</definedName>
    <definedName name="Z_F540D718_D9AA_403F_AE49_60D937FD77E5_.wvu.Rows" hidden="1">[5]Presentacion!#REF!</definedName>
    <definedName name="zz" localSheetId="0" hidden="1">{#N/A,#N/A,FALSE,"TOTFINAL";#N/A,#N/A,FALSE,"FINPLAN";#N/A,#N/A,FALSE,"TOTMOTADJ";#N/A,#N/A,FALSE,"tieEQ";#N/A,#N/A,FALSE,"G";#N/A,#N/A,FALSE,"ELIMS";#N/A,#N/A,FALSE,"NEXTEL ADJ";#N/A,#N/A,FALSE,"MIMS";#N/A,#N/A,FALSE,"LMPS";#N/A,#N/A,FALSE,"CNSS";#N/A,#N/A,FALSE,"CSS";#N/A,#N/A,FALSE,"MCG";#N/A,#N/A,FALSE,"AECS";#N/A,#N/A,FALSE,"SPS";#N/A,#N/A,FALSE,"CORP"}</definedName>
    <definedName name="zz" hidden="1">{#N/A,#N/A,FALSE,"TOTFINAL";#N/A,#N/A,FALSE,"FINPLAN";#N/A,#N/A,FALSE,"TOTMOTADJ";#N/A,#N/A,FALSE,"tieEQ";#N/A,#N/A,FALSE,"G";#N/A,#N/A,FALSE,"ELIMS";#N/A,#N/A,FALSE,"NEXTEL ADJ";#N/A,#N/A,FALSE,"MIMS";#N/A,#N/A,FALSE,"LMPS";#N/A,#N/A,FALSE,"CNSS";#N/A,#N/A,FALSE,"CSS";#N/A,#N/A,FALSE,"MCG";#N/A,#N/A,FALSE,"AECS";#N/A,#N/A,FALSE,"SPS";#N/A,#N/A,FALSE,"CORP"}</definedName>
    <definedName name="ぁ" localSheetId="0" hidden="1">{"'下期集計（10.27迄・速報値）'!$Q$16"}</definedName>
    <definedName name="ぁ" hidden="1">{"'下期集計（10.27迄・速報値）'!$Q$16"}</definedName>
    <definedName name="あ" localSheetId="0" hidden="1">{"'下期集計（10.27迄・速報値）'!$Q$16"}</definedName>
    <definedName name="あ" hidden="1">{"'下期集計（10.27迄・速報値）'!$Q$16"}</definedName>
    <definedName name="あああ" localSheetId="0" hidden="1">{"'下期集計（10.27迄・速報値）'!$Q$16"}</definedName>
    <definedName name="あああ" hidden="1">{"'下期集計（10.27迄・速報値）'!$Q$16"}</definedName>
    <definedName name="ｼｰﾄ" hidden="1">[9]計算過程シート!#REF!</definedName>
    <definedName name="なんで" localSheetId="0" hidden="1">{"'下期集計（10.27迄・速報値）'!$Q$16"}</definedName>
    <definedName name="なんで" hidden="1">{"'下期集計（10.27迄・速報値）'!$Q$16"}</definedName>
    <definedName name="なんなの" localSheetId="0" hidden="1">{"'下期集計（10.27迄・速報値）'!$Q$16"}</definedName>
    <definedName name="なんなの" hidden="1">{"'下期集計（10.27迄・速報値）'!$Q$16"}</definedName>
    <definedName name="一括" localSheetId="0" hidden="1">{"DCF-北海道",#N/A,TRUE,"北海道";"DCF-東北",#N/A,TRUE,"東北";"DCF-東海",#N/A,TRUE,"東海";"DCF-北陸",#N/A,TRUE,"北陸";"DCF-関西",#N/A,TRUE,"関西";"DCF-中国",#N/A,TRUE,"中国";"DCF-四国",#N/A,TRUE,"四国";"DCF-九州",#N/A,TRUE,"九州";"DCF-連結",#N/A,TRUE,"連結"}</definedName>
    <definedName name="一括" hidden="1">{"DCF-北海道",#N/A,TRUE,"北海道";"DCF-東北",#N/A,TRUE,"東北";"DCF-東海",#N/A,TRUE,"東海";"DCF-北陸",#N/A,TRUE,"北陸";"DCF-関西",#N/A,TRUE,"関西";"DCF-中国",#N/A,TRUE,"中国";"DCF-四国",#N/A,TRUE,"四国";"DCF-九州",#N/A,TRUE,"九州";"DCF-連結",#N/A,TRUE,"連結"}</definedName>
    <definedName name="印刷" localSheetId="0"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 localSheetId="0" hidden="1">{"'下期集計（10.27迄・速報値）'!$Q$16"}</definedName>
    <definedName name="年間収支買掛" hidden="1">{"'下期集計（10.27迄・速報値）'!$Q$16"}</definedName>
    <definedName name="年間資金収支あ" localSheetId="0" hidden="1">{"'下期集計（10.27迄・速報値）'!$Q$16"}</definedName>
    <definedName name="年間資金収支あ" hidden="1">{"'下期集計（10.27迄・速報値）'!$Q$16"}</definedName>
    <definedName name="日繰06" localSheetId="0" hidden="1">{"'下期集計（10.27迄・速報値）'!$Q$16"}</definedName>
    <definedName name="日繰06" hidden="1">{"'下期集計（10.27迄・速報値）'!$Q$16"}</definedName>
    <definedName name="系統出資金" localSheetId="0" hidden="1">{"DCF-北海道",#N/A,TRUE,"北海道";"DCF-東北",#N/A,TRUE,"東北";"DCF-東海",#N/A,TRUE,"東海";"DCF-北陸",#N/A,TRUE,"北陸";"DCF-関西",#N/A,TRUE,"関西";"DCF-中国",#N/A,TRUE,"中国";"DCF-四国",#N/A,TRUE,"四国";"DCF-九州",#N/A,TRUE,"九州";"DCF-連結",#N/A,TRUE,"連結"}</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localSheetId="0"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 localSheetId="0" hidden="1">{"'下期集計（10.27迄・速報値）'!$Q$16"}</definedName>
    <definedName name="要処理資産②" hidden="1">{"'下期集計（10.27迄・速報値）'!$Q$16"}</definedName>
    <definedName name="評価対象" hidden="1">[9]計算過程シート!#REF!</definedName>
    <definedName name="資金" localSheetId="0" hidden="1">{"'下期集計（10.27迄・速報値）'!$Q$16"}</definedName>
    <definedName name="資金" hidden="1">{"'下期集計（10.27迄・速報値）'!$Q$16"}</definedName>
    <definedName name="金利体系" localSheetId="0" hidden="1">{"'下期集計（10.27迄・速報値）'!$Q$16"}</definedName>
    <definedName name="金利体系" hidden="1">{"'下期集計（10.27迄・速報値）'!$Q$16"}</definedName>
    <definedName name="関連" localSheetId="0"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8" i="7" l="1"/>
  <c r="D18" i="7"/>
  <c r="E18" i="7"/>
  <c r="F18" i="7"/>
  <c r="G18" i="7"/>
  <c r="C19" i="7"/>
  <c r="D19" i="7"/>
  <c r="E19" i="7"/>
  <c r="F19" i="7"/>
  <c r="G19" i="7"/>
  <c r="C20" i="7"/>
  <c r="D20" i="7"/>
  <c r="E20" i="7"/>
  <c r="F20" i="7"/>
  <c r="G20" i="7"/>
  <c r="C21" i="7"/>
  <c r="D21" i="7"/>
  <c r="E21" i="7"/>
  <c r="F21" i="7"/>
  <c r="G21" i="7"/>
  <c r="C22" i="7"/>
  <c r="D22" i="7"/>
  <c r="E22" i="7"/>
  <c r="F22" i="7"/>
  <c r="G22" i="7"/>
  <c r="C23" i="7"/>
  <c r="D23" i="7"/>
  <c r="E23" i="7"/>
  <c r="F23" i="7"/>
  <c r="G23" i="7"/>
  <c r="C24" i="7"/>
  <c r="D24" i="7"/>
  <c r="E24" i="7"/>
  <c r="F24" i="7"/>
  <c r="G24" i="7"/>
  <c r="C25" i="7"/>
  <c r="D25" i="7"/>
  <c r="E25" i="7"/>
  <c r="F25" i="7"/>
  <c r="G25" i="7"/>
  <c r="C26" i="7"/>
  <c r="D26" i="7"/>
  <c r="E26" i="7"/>
  <c r="F26" i="7"/>
  <c r="G26" i="7"/>
  <c r="C27" i="7"/>
  <c r="D27" i="7"/>
  <c r="E27" i="7"/>
  <c r="F27" i="7"/>
  <c r="G27" i="7"/>
  <c r="C28" i="7"/>
  <c r="D28" i="7"/>
  <c r="E28" i="7"/>
  <c r="F28" i="7"/>
  <c r="G28" i="7"/>
  <c r="C29" i="7"/>
  <c r="D29" i="7"/>
  <c r="E29" i="7"/>
  <c r="F29" i="7"/>
  <c r="G29" i="7"/>
  <c r="C30" i="7"/>
  <c r="D30" i="7"/>
  <c r="E30" i="7"/>
  <c r="F30" i="7"/>
  <c r="G30" i="7"/>
  <c r="C31" i="7"/>
  <c r="D31" i="7"/>
  <c r="E31" i="7"/>
  <c r="F31" i="7"/>
  <c r="G31" i="7"/>
  <c r="C32" i="7"/>
  <c r="D32" i="7"/>
  <c r="E32" i="7"/>
  <c r="F32" i="7"/>
  <c r="G32" i="7"/>
  <c r="C33" i="7"/>
  <c r="D33" i="7"/>
  <c r="E33" i="7"/>
  <c r="F33" i="7"/>
  <c r="G33" i="7"/>
  <c r="C34" i="7"/>
  <c r="D34" i="7"/>
  <c r="E34" i="7"/>
  <c r="F34" i="7"/>
  <c r="G34" i="7"/>
  <c r="C35" i="7"/>
  <c r="D35" i="7"/>
  <c r="E35" i="7"/>
  <c r="F35" i="7"/>
  <c r="G35" i="7"/>
  <c r="C36" i="7"/>
  <c r="D36" i="7"/>
  <c r="E36" i="7"/>
  <c r="F36" i="7"/>
  <c r="G36" i="7"/>
  <c r="C37" i="7"/>
  <c r="D37" i="7"/>
  <c r="E37" i="7"/>
  <c r="F37" i="7"/>
  <c r="G37" i="7"/>
  <c r="C38" i="7"/>
  <c r="D38" i="7"/>
  <c r="E38" i="7"/>
  <c r="F38" i="7"/>
  <c r="G38" i="7"/>
  <c r="C39" i="7"/>
  <c r="D39" i="7"/>
  <c r="E39" i="7"/>
  <c r="F39" i="7"/>
  <c r="G39" i="7"/>
  <c r="C40" i="7"/>
  <c r="D40" i="7"/>
  <c r="E40" i="7"/>
  <c r="F40" i="7"/>
  <c r="G40" i="7"/>
  <c r="C41" i="7"/>
  <c r="D41" i="7"/>
  <c r="E41" i="7"/>
  <c r="F41" i="7"/>
  <c r="G41" i="7"/>
  <c r="C42" i="7"/>
  <c r="D42" i="7"/>
  <c r="E42" i="7"/>
  <c r="F42" i="7"/>
  <c r="G42" i="7"/>
  <c r="C43" i="7"/>
  <c r="D43" i="7"/>
  <c r="E43" i="7"/>
  <c r="F43" i="7"/>
  <c r="G43" i="7"/>
  <c r="C44" i="7"/>
  <c r="D44" i="7"/>
  <c r="E44" i="7"/>
  <c r="F44" i="7"/>
  <c r="G44" i="7"/>
  <c r="C45" i="7"/>
  <c r="D45" i="7"/>
  <c r="E45" i="7"/>
  <c r="F45" i="7"/>
  <c r="G45" i="7"/>
  <c r="C46" i="7"/>
  <c r="D46" i="7"/>
  <c r="E46" i="7"/>
  <c r="F46" i="7"/>
  <c r="G46" i="7"/>
  <c r="C47" i="7"/>
  <c r="D47" i="7"/>
  <c r="E47" i="7"/>
  <c r="F47" i="7"/>
  <c r="G47" i="7"/>
  <c r="C48" i="7"/>
  <c r="D48" i="7"/>
  <c r="E48" i="7"/>
  <c r="F48" i="7"/>
  <c r="G48" i="7"/>
  <c r="C49" i="7"/>
  <c r="D49" i="7"/>
  <c r="E49" i="7"/>
  <c r="F49" i="7"/>
  <c r="G49" i="7"/>
  <c r="C50" i="7"/>
  <c r="D50" i="7"/>
  <c r="E50" i="7"/>
  <c r="F50" i="7"/>
  <c r="G50" i="7"/>
  <c r="C51" i="7"/>
  <c r="D51" i="7"/>
  <c r="E51" i="7"/>
  <c r="F51" i="7"/>
  <c r="G51" i="7"/>
  <c r="C52" i="7"/>
  <c r="D52" i="7"/>
  <c r="E52" i="7"/>
  <c r="F52" i="7"/>
  <c r="G52" i="7"/>
  <c r="C53" i="7"/>
  <c r="D53" i="7"/>
  <c r="E53" i="7"/>
  <c r="F53" i="7"/>
  <c r="G53" i="7"/>
  <c r="C54" i="7"/>
  <c r="D54" i="7"/>
  <c r="E54" i="7"/>
  <c r="F54" i="7"/>
  <c r="G54" i="7"/>
  <c r="C55" i="7"/>
  <c r="D55" i="7"/>
  <c r="E55" i="7"/>
  <c r="F55" i="7"/>
  <c r="G55"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O11" i="7"/>
  <c r="E11" i="7" s="1"/>
  <c r="O12" i="7"/>
  <c r="E12" i="7" s="1"/>
  <c r="O13" i="7"/>
  <c r="E13" i="7" s="1"/>
  <c r="O14" i="7"/>
  <c r="E14" i="7" s="1"/>
  <c r="O15" i="7"/>
  <c r="E15" i="7" s="1"/>
  <c r="O16" i="7"/>
  <c r="E16" i="7" s="1"/>
  <c r="O17" i="7"/>
  <c r="E17" i="7" s="1"/>
  <c r="O18" i="7"/>
  <c r="O19" i="7"/>
  <c r="O20" i="7"/>
  <c r="O21" i="7"/>
  <c r="R11" i="7"/>
  <c r="C11" i="7" s="1"/>
  <c r="G11" i="7" s="1"/>
  <c r="R12" i="7"/>
  <c r="C12" i="7" s="1"/>
  <c r="G12" i="7" s="1"/>
  <c r="R13" i="7"/>
  <c r="C13" i="7" s="1"/>
  <c r="G13" i="7" s="1"/>
  <c r="R14" i="7"/>
  <c r="C14" i="7" s="1"/>
  <c r="G14" i="7" s="1"/>
  <c r="R15" i="7"/>
  <c r="C15" i="7" s="1"/>
  <c r="G15" i="7" s="1"/>
  <c r="R16" i="7"/>
  <c r="C16" i="7" s="1"/>
  <c r="G16" i="7" s="1"/>
  <c r="R17" i="7"/>
  <c r="C17" i="7" s="1"/>
  <c r="G17" i="7" s="1"/>
  <c r="R18" i="7"/>
  <c r="R19" i="7"/>
  <c r="R20" i="7"/>
  <c r="R21" i="7"/>
  <c r="O2" i="7"/>
  <c r="N2" i="7" s="1"/>
  <c r="I2" i="7" s="1"/>
  <c r="R2" i="7"/>
  <c r="C2" i="7" s="1"/>
  <c r="O3" i="7"/>
  <c r="N3" i="7" s="1"/>
  <c r="I3" i="7" s="1"/>
  <c r="R3" i="7"/>
  <c r="C3" i="7" s="1"/>
  <c r="O4" i="7"/>
  <c r="N4" i="7" s="1"/>
  <c r="I4" i="7" s="1"/>
  <c r="R4" i="7"/>
  <c r="C4" i="7" s="1"/>
  <c r="O5" i="7"/>
  <c r="N5" i="7" s="1"/>
  <c r="I5" i="7" s="1"/>
  <c r="R5" i="7"/>
  <c r="C5" i="7" s="1"/>
  <c r="O6" i="7"/>
  <c r="N6" i="7" s="1"/>
  <c r="I6" i="7" s="1"/>
  <c r="R6" i="7"/>
  <c r="C6" i="7" s="1"/>
  <c r="O7" i="7"/>
  <c r="N7" i="7" s="1"/>
  <c r="I7" i="7" s="1"/>
  <c r="R7" i="7"/>
  <c r="C7" i="7" s="1"/>
  <c r="O8" i="7"/>
  <c r="N8" i="7" s="1"/>
  <c r="I8" i="7" s="1"/>
  <c r="R8" i="7"/>
  <c r="C8" i="7" s="1"/>
  <c r="O9" i="7"/>
  <c r="N9" i="7" s="1"/>
  <c r="I9" i="7" s="1"/>
  <c r="R9" i="7"/>
  <c r="C9" i="7" s="1"/>
  <c r="O10" i="7"/>
  <c r="R10" i="7"/>
  <c r="C10" i="7" s="1"/>
  <c r="G10" i="7" s="1"/>
  <c r="N10" i="7" l="1"/>
  <c r="I10" i="7" s="1"/>
  <c r="E10" i="7"/>
  <c r="N22" i="7"/>
  <c r="I22" i="7" s="1"/>
  <c r="M22" i="7"/>
  <c r="L22" i="7"/>
  <c r="N23" i="7"/>
  <c r="I23" i="7" s="1"/>
  <c r="M23" i="7"/>
  <c r="L23" i="7" s="1"/>
  <c r="M24" i="7"/>
  <c r="N24" i="7"/>
  <c r="I24" i="7" s="1"/>
  <c r="L24" i="7"/>
  <c r="N25" i="7"/>
  <c r="I25" i="7" s="1"/>
  <c r="M25" i="7"/>
  <c r="L25" i="7" s="1"/>
  <c r="M26" i="7"/>
  <c r="L26" i="7"/>
  <c r="N26" i="7"/>
  <c r="I26" i="7" s="1"/>
  <c r="N27" i="7"/>
  <c r="I27" i="7" s="1"/>
  <c r="M27" i="7"/>
  <c r="L27" i="7" s="1"/>
  <c r="N28" i="7"/>
  <c r="I28" i="7" s="1"/>
  <c r="M28" i="7"/>
  <c r="L28" i="7"/>
  <c r="M29" i="7"/>
  <c r="L29" i="7"/>
  <c r="N29" i="7"/>
  <c r="I29" i="7" s="1"/>
  <c r="N30" i="7"/>
  <c r="I30" i="7" s="1"/>
  <c r="M30" i="7"/>
  <c r="L30" i="7"/>
  <c r="M31" i="7"/>
  <c r="L31" i="7" s="1"/>
  <c r="N31" i="7"/>
  <c r="I31" i="7" s="1"/>
  <c r="N32" i="7"/>
  <c r="I32" i="7" s="1"/>
  <c r="M32" i="7"/>
  <c r="L32" i="7" s="1"/>
  <c r="M33" i="7"/>
  <c r="L33" i="7" s="1"/>
  <c r="N33" i="7"/>
  <c r="I33" i="7" s="1"/>
  <c r="M34" i="7"/>
  <c r="N34" i="7"/>
  <c r="I34" i="7" s="1"/>
  <c r="L34" i="7"/>
  <c r="M35" i="7"/>
  <c r="L35" i="7" s="1"/>
  <c r="N35" i="7"/>
  <c r="I35" i="7" s="1"/>
  <c r="N36" i="7"/>
  <c r="I36" i="7" s="1"/>
  <c r="M36" i="7"/>
  <c r="L36" i="7" s="1"/>
  <c r="N37" i="7"/>
  <c r="I37" i="7" s="1"/>
  <c r="M37" i="7"/>
  <c r="L37" i="7" s="1"/>
  <c r="N38" i="7"/>
  <c r="I38" i="7" s="1"/>
  <c r="M38" i="7"/>
  <c r="L38" i="7"/>
  <c r="M39" i="7"/>
  <c r="N39" i="7"/>
  <c r="I39" i="7" s="1"/>
  <c r="L39" i="7"/>
  <c r="M40" i="7"/>
  <c r="N40" i="7"/>
  <c r="I40" i="7" s="1"/>
  <c r="L40" i="7"/>
  <c r="M41" i="7"/>
  <c r="L41" i="7"/>
  <c r="N41" i="7"/>
  <c r="I41" i="7" s="1"/>
  <c r="M42" i="7"/>
  <c r="N42" i="7"/>
  <c r="I42" i="7" s="1"/>
  <c r="L42" i="7"/>
  <c r="M43" i="7"/>
  <c r="L43" i="7"/>
  <c r="N43" i="7"/>
  <c r="I43" i="7" s="1"/>
  <c r="N44" i="7"/>
  <c r="I44" i="7" s="1"/>
  <c r="M44" i="7"/>
  <c r="L44" i="7"/>
  <c r="M45" i="7"/>
  <c r="N45" i="7"/>
  <c r="I45" i="7" s="1"/>
  <c r="L45" i="7"/>
  <c r="N46" i="7"/>
  <c r="I46" i="7" s="1"/>
  <c r="M46" i="7"/>
  <c r="L46" i="7" s="1"/>
  <c r="N47" i="7"/>
  <c r="I47" i="7" s="1"/>
  <c r="M47" i="7"/>
  <c r="L47" i="7" s="1"/>
  <c r="N48" i="7"/>
  <c r="I48" i="7" s="1"/>
  <c r="M48" i="7"/>
  <c r="L48" i="7" s="1"/>
  <c r="N49" i="7"/>
  <c r="I49" i="7" s="1"/>
  <c r="M49" i="7"/>
  <c r="L49" i="7" s="1"/>
  <c r="N50" i="7"/>
  <c r="I50" i="7" s="1"/>
  <c r="M50" i="7"/>
  <c r="L50" i="7" s="1"/>
  <c r="M51" i="7"/>
  <c r="L51" i="7"/>
  <c r="N51" i="7"/>
  <c r="I51" i="7" s="1"/>
  <c r="M52" i="7"/>
  <c r="L52" i="7"/>
  <c r="N52" i="7"/>
  <c r="I52" i="7" s="1"/>
  <c r="N53" i="7"/>
  <c r="I53" i="7" s="1"/>
  <c r="M53" i="7"/>
  <c r="L53" i="7"/>
  <c r="M54" i="7"/>
  <c r="L54" i="7" s="1"/>
  <c r="N54" i="7"/>
  <c r="I54" i="7" s="1"/>
  <c r="N55" i="7"/>
  <c r="I55" i="7" s="1"/>
  <c r="M55" i="7"/>
  <c r="L55" i="7"/>
  <c r="Q22" i="7"/>
  <c r="P22" i="7"/>
  <c r="H22" i="7" s="1"/>
  <c r="P23" i="7"/>
  <c r="H23" i="7" s="1"/>
  <c r="Q23" i="7"/>
  <c r="Q24" i="7"/>
  <c r="P24" i="7"/>
  <c r="H24" i="7" s="1"/>
  <c r="Q25" i="7"/>
  <c r="P25" i="7"/>
  <c r="H25" i="7" s="1"/>
  <c r="P26" i="7"/>
  <c r="H26" i="7" s="1"/>
  <c r="Q26" i="7"/>
  <c r="P27" i="7"/>
  <c r="H27" i="7" s="1"/>
  <c r="Q27" i="7"/>
  <c r="P28" i="7"/>
  <c r="H28" i="7" s="1"/>
  <c r="Q28" i="7"/>
  <c r="Q29" i="7"/>
  <c r="P29" i="7"/>
  <c r="H29" i="7" s="1"/>
  <c r="P30" i="7"/>
  <c r="H30" i="7" s="1"/>
  <c r="Q30" i="7"/>
  <c r="Q31" i="7"/>
  <c r="P31" i="7"/>
  <c r="H31" i="7" s="1"/>
  <c r="P32" i="7"/>
  <c r="H32" i="7" s="1"/>
  <c r="Q32" i="7"/>
  <c r="Q33" i="7"/>
  <c r="P33" i="7"/>
  <c r="H33" i="7" s="1"/>
  <c r="Q34" i="7"/>
  <c r="P34" i="7"/>
  <c r="H34" i="7" s="1"/>
  <c r="P35" i="7"/>
  <c r="H35" i="7" s="1"/>
  <c r="Q35" i="7"/>
  <c r="P36" i="7"/>
  <c r="H36" i="7" s="1"/>
  <c r="Q36" i="7"/>
  <c r="P37" i="7"/>
  <c r="H37" i="7" s="1"/>
  <c r="Q37" i="7"/>
  <c r="Q38" i="7"/>
  <c r="P38" i="7"/>
  <c r="H38" i="7" s="1"/>
  <c r="P39" i="7"/>
  <c r="H39" i="7" s="1"/>
  <c r="Q39" i="7"/>
  <c r="Q40" i="7"/>
  <c r="P40" i="7"/>
  <c r="H40" i="7" s="1"/>
  <c r="P41" i="7"/>
  <c r="H41" i="7" s="1"/>
  <c r="Q41" i="7"/>
  <c r="Q42" i="7"/>
  <c r="P42" i="7"/>
  <c r="H42" i="7" s="1"/>
  <c r="Q43" i="7"/>
  <c r="P43" i="7"/>
  <c r="H43" i="7" s="1"/>
  <c r="P44" i="7"/>
  <c r="H44" i="7" s="1"/>
  <c r="Q44" i="7"/>
  <c r="P45" i="7"/>
  <c r="H45" i="7" s="1"/>
  <c r="Q45" i="7"/>
  <c r="Q46" i="7"/>
  <c r="P46" i="7"/>
  <c r="H46" i="7" s="1"/>
  <c r="Q47" i="7"/>
  <c r="P47" i="7"/>
  <c r="H47" i="7" s="1"/>
  <c r="P48" i="7"/>
  <c r="H48" i="7" s="1"/>
  <c r="Q48" i="7"/>
  <c r="P49" i="7"/>
  <c r="H49" i="7" s="1"/>
  <c r="Q49" i="7"/>
  <c r="Q50" i="7"/>
  <c r="P50" i="7"/>
  <c r="H50" i="7" s="1"/>
  <c r="P51" i="7"/>
  <c r="H51" i="7" s="1"/>
  <c r="Q51" i="7"/>
  <c r="Q52" i="7"/>
  <c r="P52" i="7"/>
  <c r="H52" i="7" s="1"/>
  <c r="P53" i="7"/>
  <c r="H53" i="7" s="1"/>
  <c r="Q53" i="7"/>
  <c r="Q54" i="7"/>
  <c r="P54" i="7"/>
  <c r="H54" i="7" s="1"/>
  <c r="P55" i="7"/>
  <c r="H55" i="7" s="1"/>
  <c r="Q55" i="7"/>
  <c r="N11" i="7"/>
  <c r="I11" i="7" s="1"/>
  <c r="M11" i="7"/>
  <c r="L11" i="7"/>
  <c r="F11" i="7" s="1"/>
  <c r="M12" i="7"/>
  <c r="L12" i="7"/>
  <c r="F12" i="7" s="1"/>
  <c r="N12" i="7"/>
  <c r="I12" i="7" s="1"/>
  <c r="M13" i="7"/>
  <c r="L13" i="7" s="1"/>
  <c r="F13" i="7" s="1"/>
  <c r="N13" i="7"/>
  <c r="I13" i="7" s="1"/>
  <c r="M14" i="7"/>
  <c r="L14" i="7" s="1"/>
  <c r="F14" i="7" s="1"/>
  <c r="N14" i="7"/>
  <c r="I14" i="7" s="1"/>
  <c r="M15" i="7"/>
  <c r="L15" i="7" s="1"/>
  <c r="F15" i="7" s="1"/>
  <c r="N15" i="7"/>
  <c r="I15" i="7" s="1"/>
  <c r="M16" i="7"/>
  <c r="L16" i="7" s="1"/>
  <c r="F16" i="7" s="1"/>
  <c r="N16" i="7"/>
  <c r="I16" i="7" s="1"/>
  <c r="M17" i="7"/>
  <c r="L17" i="7" s="1"/>
  <c r="F17" i="7" s="1"/>
  <c r="N17" i="7"/>
  <c r="I17" i="7" s="1"/>
  <c r="N18" i="7"/>
  <c r="I18" i="7" s="1"/>
  <c r="M18" i="7"/>
  <c r="L18" i="7" s="1"/>
  <c r="M19" i="7"/>
  <c r="L19" i="7" s="1"/>
  <c r="N19" i="7"/>
  <c r="I19" i="7" s="1"/>
  <c r="N20" i="7"/>
  <c r="I20" i="7" s="1"/>
  <c r="M20" i="7"/>
  <c r="L20" i="7" s="1"/>
  <c r="M21" i="7"/>
  <c r="L21" i="7" s="1"/>
  <c r="N21" i="7"/>
  <c r="I21" i="7" s="1"/>
  <c r="P11" i="7"/>
  <c r="H11" i="7" s="1"/>
  <c r="Q11" i="7"/>
  <c r="D11" i="7" s="1"/>
  <c r="P12" i="7"/>
  <c r="H12" i="7" s="1"/>
  <c r="Q12" i="7"/>
  <c r="D12" i="7" s="1"/>
  <c r="P13" i="7"/>
  <c r="H13" i="7" s="1"/>
  <c r="Q13" i="7"/>
  <c r="D13" i="7" s="1"/>
  <c r="P14" i="7"/>
  <c r="H14" i="7" s="1"/>
  <c r="Q14" i="7"/>
  <c r="D14" i="7" s="1"/>
  <c r="Q15" i="7"/>
  <c r="D15" i="7" s="1"/>
  <c r="P15" i="7"/>
  <c r="H15" i="7" s="1"/>
  <c r="P16" i="7"/>
  <c r="H16" i="7" s="1"/>
  <c r="Q16" i="7"/>
  <c r="D16" i="7" s="1"/>
  <c r="Q17" i="7"/>
  <c r="D17" i="7" s="1"/>
  <c r="P17" i="7"/>
  <c r="H17" i="7" s="1"/>
  <c r="P18" i="7"/>
  <c r="H18" i="7" s="1"/>
  <c r="Q18" i="7"/>
  <c r="Q19" i="7"/>
  <c r="P19" i="7"/>
  <c r="H19" i="7" s="1"/>
  <c r="P20" i="7"/>
  <c r="H20" i="7" s="1"/>
  <c r="Q20" i="7"/>
  <c r="Q21" i="7"/>
  <c r="P21" i="7"/>
  <c r="H21" i="7" s="1"/>
  <c r="G6" i="7"/>
  <c r="G2" i="7"/>
  <c r="G9" i="7"/>
  <c r="G7" i="7"/>
  <c r="G3" i="7"/>
  <c r="G5" i="7"/>
  <c r="G8" i="7"/>
  <c r="G4" i="7"/>
  <c r="Q10" i="7"/>
  <c r="D10" i="7" s="1"/>
  <c r="M10" i="7"/>
  <c r="L10" i="7" s="1"/>
  <c r="F10" i="7" s="1"/>
  <c r="Q9" i="7"/>
  <c r="D9" i="7" s="1"/>
  <c r="M9" i="7"/>
  <c r="L9" i="7" s="1"/>
  <c r="E9" i="7"/>
  <c r="Q8" i="7"/>
  <c r="D8" i="7" s="1"/>
  <c r="M8" i="7"/>
  <c r="L8" i="7" s="1"/>
  <c r="E8" i="7"/>
  <c r="Q7" i="7"/>
  <c r="D7" i="7" s="1"/>
  <c r="M7" i="7"/>
  <c r="L7" i="7" s="1"/>
  <c r="E7" i="7"/>
  <c r="Q6" i="7"/>
  <c r="D6" i="7" s="1"/>
  <c r="M6" i="7"/>
  <c r="L6" i="7" s="1"/>
  <c r="E6" i="7"/>
  <c r="Q5" i="7"/>
  <c r="D5" i="7" s="1"/>
  <c r="M5" i="7"/>
  <c r="L5" i="7" s="1"/>
  <c r="E5" i="7"/>
  <c r="Q4" i="7"/>
  <c r="D4" i="7" s="1"/>
  <c r="M4" i="7"/>
  <c r="L4" i="7" s="1"/>
  <c r="E4" i="7"/>
  <c r="Q3" i="7"/>
  <c r="D3" i="7" s="1"/>
  <c r="M3" i="7"/>
  <c r="L3" i="7" s="1"/>
  <c r="E3" i="7"/>
  <c r="Q2" i="7"/>
  <c r="D2" i="7" s="1"/>
  <c r="M2" i="7"/>
  <c r="L2" i="7" s="1"/>
  <c r="E2" i="7"/>
  <c r="P10" i="7"/>
  <c r="H10" i="7" s="1"/>
  <c r="P9" i="7"/>
  <c r="H9" i="7" s="1"/>
  <c r="P8" i="7"/>
  <c r="H8" i="7" s="1"/>
  <c r="P7" i="7"/>
  <c r="H7" i="7" s="1"/>
  <c r="P6" i="7"/>
  <c r="H6" i="7" s="1"/>
  <c r="P5" i="7"/>
  <c r="H5" i="7" s="1"/>
  <c r="P4" i="7"/>
  <c r="H4" i="7" s="1"/>
  <c r="P3" i="7"/>
  <c r="H3" i="7" s="1"/>
  <c r="P2" i="7"/>
  <c r="H2" i="7" s="1"/>
  <c r="K22" i="7" l="1"/>
  <c r="J22" i="7" s="1"/>
  <c r="K23" i="7"/>
  <c r="J23" i="7" s="1"/>
  <c r="K24" i="7"/>
  <c r="J24" i="7" s="1"/>
  <c r="K25" i="7"/>
  <c r="J25" i="7" s="1"/>
  <c r="K26" i="7"/>
  <c r="J26" i="7" s="1"/>
  <c r="K27" i="7"/>
  <c r="J27" i="7" s="1"/>
  <c r="K28" i="7"/>
  <c r="J28" i="7" s="1"/>
  <c r="K29" i="7"/>
  <c r="J29" i="7" s="1"/>
  <c r="K30" i="7"/>
  <c r="J30" i="7" s="1"/>
  <c r="K31" i="7"/>
  <c r="J31" i="7" s="1"/>
  <c r="K32" i="7"/>
  <c r="J32" i="7" s="1"/>
  <c r="K33" i="7"/>
  <c r="J33" i="7" s="1"/>
  <c r="K34" i="7"/>
  <c r="J34" i="7" s="1"/>
  <c r="K35" i="7"/>
  <c r="J35" i="7" s="1"/>
  <c r="K36" i="7"/>
  <c r="J36" i="7" s="1"/>
  <c r="K37" i="7"/>
  <c r="J37" i="7" s="1"/>
  <c r="K38" i="7"/>
  <c r="J38" i="7" s="1"/>
  <c r="K39" i="7"/>
  <c r="J39" i="7" s="1"/>
  <c r="K40" i="7"/>
  <c r="J40" i="7" s="1"/>
  <c r="K41" i="7"/>
  <c r="J41" i="7" s="1"/>
  <c r="K42" i="7"/>
  <c r="J42" i="7" s="1"/>
  <c r="K43" i="7"/>
  <c r="J43" i="7" s="1"/>
  <c r="K44" i="7"/>
  <c r="J44" i="7" s="1"/>
  <c r="K45" i="7"/>
  <c r="J45" i="7" s="1"/>
  <c r="K46" i="7"/>
  <c r="J46" i="7" s="1"/>
  <c r="K47" i="7"/>
  <c r="J47" i="7" s="1"/>
  <c r="K48" i="7"/>
  <c r="J48" i="7" s="1"/>
  <c r="K49" i="7"/>
  <c r="J49" i="7" s="1"/>
  <c r="K50" i="7"/>
  <c r="J50" i="7" s="1"/>
  <c r="K51" i="7"/>
  <c r="J51" i="7" s="1"/>
  <c r="K52" i="7"/>
  <c r="J52" i="7" s="1"/>
  <c r="K53" i="7"/>
  <c r="J53" i="7" s="1"/>
  <c r="K54" i="7"/>
  <c r="J54" i="7" s="1"/>
  <c r="K55" i="7"/>
  <c r="J55" i="7" s="1"/>
  <c r="K11" i="7"/>
  <c r="J11" i="7" s="1"/>
  <c r="K12" i="7"/>
  <c r="J12" i="7" s="1"/>
  <c r="K13" i="7"/>
  <c r="J13" i="7" s="1"/>
  <c r="K14" i="7"/>
  <c r="J14" i="7" s="1"/>
  <c r="K15" i="7"/>
  <c r="J15" i="7" s="1"/>
  <c r="K16" i="7"/>
  <c r="J16" i="7" s="1"/>
  <c r="K17" i="7"/>
  <c r="J17" i="7" s="1"/>
  <c r="K18" i="7"/>
  <c r="J18" i="7" s="1"/>
  <c r="K19" i="7"/>
  <c r="J19" i="7" s="1"/>
  <c r="K20" i="7"/>
  <c r="J20" i="7" s="1"/>
  <c r="K21" i="7"/>
  <c r="J21" i="7" s="1"/>
  <c r="K4" i="7"/>
  <c r="J4" i="7" s="1"/>
  <c r="F4" i="7"/>
  <c r="K8" i="7"/>
  <c r="J8" i="7" s="1"/>
  <c r="F8" i="7"/>
  <c r="K3" i="7"/>
  <c r="J3" i="7" s="1"/>
  <c r="F3" i="7"/>
  <c r="K7" i="7"/>
  <c r="J7" i="7" s="1"/>
  <c r="F7" i="7"/>
  <c r="K5" i="7"/>
  <c r="J5" i="7" s="1"/>
  <c r="F5" i="7"/>
  <c r="K9" i="7"/>
  <c r="J9" i="7" s="1"/>
  <c r="F9" i="7"/>
  <c r="K2" i="7"/>
  <c r="J2" i="7" s="1"/>
  <c r="F2" i="7"/>
  <c r="K10" i="7"/>
  <c r="J10" i="7" s="1"/>
  <c r="K6" i="7"/>
  <c r="J6" i="7" s="1"/>
  <c r="F6" i="7"/>
</calcChain>
</file>

<file path=xl/sharedStrings.xml><?xml version="1.0" encoding="utf-8"?>
<sst xmlns="http://schemas.openxmlformats.org/spreadsheetml/2006/main" count="128" uniqueCount="127">
  <si>
    <t>REFERENCIA</t>
  </si>
  <si>
    <t xml:space="preserve">DESCRIPCIÓN </t>
  </si>
  <si>
    <t>PRECIO  INSTALADOR
( CON  IVA)</t>
  </si>
  <si>
    <t>PRECIO TIENDA ( CON  IVA)</t>
  </si>
  <si>
    <t>PRECIO DPP ORO ( CON  IVA)</t>
  </si>
  <si>
    <t>PRECIO DPP PLATINO ( CON  IVA)</t>
  </si>
  <si>
    <t>PRECIO CLIENTE FINAL ( CON  IVA)</t>
  </si>
  <si>
    <t>Columna3</t>
  </si>
  <si>
    <t>Columna6</t>
  </si>
  <si>
    <t>Columna8</t>
  </si>
  <si>
    <t>PRECIO SUGERIDO INSTALADOR</t>
  </si>
  <si>
    <t>PRECIO SUGERIDO INSTALADOR
( CON  IVA)</t>
  </si>
  <si>
    <t xml:space="preserve"> ORO</t>
  </si>
  <si>
    <t>PLATINO</t>
  </si>
  <si>
    <t>ORO SIN IVA</t>
  </si>
  <si>
    <t>INSTALLER SIN IVA</t>
  </si>
  <si>
    <t>DPP ORO</t>
  </si>
  <si>
    <t>DPP PLATINO</t>
  </si>
  <si>
    <t>Columna9</t>
  </si>
  <si>
    <t>PLARTINO</t>
  </si>
  <si>
    <t>DS-D5022F2-1V2(American)</t>
  </si>
  <si>
    <t>Monitor LED Full HD (1920 X 1080) de 21.5</t>
  </si>
  <si>
    <t>DS-D5024F2-AP2(O-STD)(US)</t>
  </si>
  <si>
    <t xml:space="preserve">MONITOR SOHO / FHD 23.8” / REFRESCO 100Hz / DISEÑO ULTRA-DELGADO / INTERFACES MÚLTIPLES </t>
  </si>
  <si>
    <t>DS-D5043F3-1V0S</t>
  </si>
  <si>
    <t>MONITOR 43” FHD 60Hz VA / ÁNGULO DE VISIÓN 178° / PESO 6.85 KG / SERIE PROFESSIONAL</t>
  </si>
  <si>
    <t>DS-D5032QE(O-STD)</t>
  </si>
  <si>
    <t>MONITOR LED 32" HDMI/ VGA / AUDIO IN, 1920 x 1080</t>
  </si>
  <si>
    <t>DS-D5032F3-1V0S</t>
  </si>
  <si>
    <t>MONITOR 32″ FHD / VA / 75 Hz / 300 cd/m² / 4000:1 / 178° / 8 ms / HDMI + VGA / D‑LED / Altavoz / Bajo azul / 3D NR / VESA 100×100</t>
  </si>
  <si>
    <t>DS-D5043U3-1V0S</t>
  </si>
  <si>
    <t xml:space="preserve">43″ UHD / VA / 60 Hz / 300 cd/m² / 4000:1 / 178° / 6.5 ms / HDMI + USB 2.0 / D‑LED / Altavoz 10 W×2 / Bajo azul / 3D NR / VESA / 7×24 h </t>
  </si>
  <si>
    <t>DS-D5050U3-1V0S</t>
  </si>
  <si>
    <t xml:space="preserve">MONITOR 50″ UHD / VA / 60 HZ / 300 CD/M² / 4000:1 / 178° / 6.5 MS / HDMI×3 + USB + LINE OUT + RS‑232 / D‑LED / REDUCCIÓN 3D / BAJO AZUL / ULTRADELGADO / VESA 200×200 / 7×24 H </t>
  </si>
  <si>
    <t>DS-D5055U3-1V0S</t>
  </si>
  <si>
    <t>MONITOR 55″ UHD / VA / 60 HZ / 300 CD/M² / 4000:1 / 178° / 6.5 MS / HDMI×3 + USB + LINE OUT + RS‑232 + SPEAKER OUT 10 W×2 / D‑LED / BAJO AZUL / 3D NR / ULTRADELGADO / VESA 200×200 / 7×24 H</t>
  </si>
  <si>
    <t>DS-D5065UC-C</t>
  </si>
  <si>
    <t>MONITOR  LED de 65" HDMI/VGA 1920 X 1080</t>
  </si>
  <si>
    <t>DS-D5B75RB/C</t>
  </si>
  <si>
    <t>PANTALLA INTERACTIVA 4K DE 75 PULGADAS / RESOLUSIÓN HASTA 3840 X 2160</t>
  </si>
  <si>
    <t>DS-D5B86RB/C</t>
  </si>
  <si>
    <t xml:space="preserve">PANTALLA INTERACTIVA 4K DE 86 PULGADAS / RESOLUSIÓN HASTA 3840 X 2160 </t>
  </si>
  <si>
    <t>DS-DN5501W-U1</t>
  </si>
  <si>
    <t>SOPORTE PARA VIDEOWALL / MONTAJE FRONTAL EN PARED / COMPATIBLE CON LCD</t>
  </si>
  <si>
    <t>DS-DN4601W</t>
  </si>
  <si>
    <t>MONTAJE PARA PARED / COMPATIBLE CON MONITOR DE 46" / ESPECIAL PARA VIDEOWALL / COMPATIBLE CON DS-D2046LU-Y</t>
  </si>
  <si>
    <t>DS-DN4655W/U</t>
  </si>
  <si>
    <t>SOPORTE DE PARED / ACERO LAMINADO EN FRÍO (SPCC) / COMPATIBLE CON LCD 46"-55"</t>
  </si>
  <si>
    <t>DS-DN4655W/U-T1</t>
  </si>
  <si>
    <t>SOPORTE DE PARED / MATERIAL SPCC / COMPATIBLE CON LCD VIDEOWALL</t>
  </si>
  <si>
    <t>DS-D2046TL-1B(O-STD)(1 IN 1 Package)</t>
  </si>
  <si>
    <t>PANTALLA LCD DE 46" / 500 NITS / ÁNGULO DE VISIÓN 178° / ANTI-GLARE / FUNCIONAMIENTO CONTINUO 24/7</t>
  </si>
  <si>
    <t>DS-DN5501W</t>
  </si>
  <si>
    <t>MONTAJE PARA PARED / COMPATIBLE CON MONITOR DE 55" ESPECIAL PARA VIDEOWALL / COMPATIBLE CON DS-D2055NL-B/G - DS-D2055LU-Y</t>
  </si>
  <si>
    <t>DS-D2046LU-Y</t>
  </si>
  <si>
    <t>PANTALLA LCD 46″ FHD / BEZEL 3.5 MM / BRILLO 500 CD/M² / HDMI‑DVI‑VGA‑DP / 100‑240 VAC / 200 W</t>
  </si>
  <si>
    <t>DS-D2046TL-2B(O-STD)(1 IN 1 Package)</t>
  </si>
  <si>
    <t>PANTALLA LCD DE 46” FULL HD, BRILLO 500 NITS, BEZEL ULTRA ESTRECHO 2.5 MM, SEÑAL 4K CON AUTO LOOP HASTA 30 PANTALLAS, MODOS DE IMAGEN (MONITOREO, REUNIÓN, CINE), FUNCIONAMIENTO CONTINUO 24/7, DISEÑO ANTI-GLARE Y CHASIS METÁLICO ANTIRADIACIÓN</t>
  </si>
  <si>
    <t>DS-D2055LR-G</t>
  </si>
  <si>
    <t>PANTALLA LCD 55″ FHD / BEZEL 0.88 MM / BRILLO 500 CD/M² / VGA‑HDMI‑DVI‑DP / 100‑240 V / ≤ 192 W</t>
  </si>
  <si>
    <t>DS-D2055UL-0B(O-STD)(1 IN 1 Package)</t>
  </si>
  <si>
    <t>PANTALLA LCD 55″ FHD / BEZEL 3.5 MM / BRILLO 500 CD/M² / HDMI‑DVI‑VGA‑DP / 100‑240 VAC / 187 W</t>
  </si>
  <si>
    <t>DS-D2055UL-1B</t>
  </si>
  <si>
    <t>PANTALLA LCD 55″ FHD / BEZEL 3.5 MM / BRILLO 500 CD/M² / HDMI‑DVI‑VGA‑DP / 100‑240 VAC / 245 W</t>
  </si>
  <si>
    <t>DS-D5ABKY2-B</t>
  </si>
  <si>
    <t>SOPORTE PISO MÓVIL PARA PANTALLAS 86″/98″ / VESA 800×500 MM / ACERO SPCC / 135 KG / 1730×800×150 MM / 27 KG NETO</t>
  </si>
  <si>
    <t>DS-D5ABKY2-S</t>
  </si>
  <si>
    <t>SOPORTE MÓVIL PISO PARA PANTALLAS 55/65/75″ / SPCC ACERO / CARGA 85 KG / 1500×750×140 MM / 20 KG NETO / RUEDAS</t>
  </si>
  <si>
    <t>DS-D5AC12T5-8S2(O-STD)</t>
  </si>
  <si>
    <t>MÓDULO OPS / INTEL CORE I5 12ª GEN / 8GB + 256GB / SOPORTE TPM 2.0</t>
  </si>
  <si>
    <t>DS-D5AC12T7-16S5(O-STD)</t>
  </si>
  <si>
    <t>MÓDULO OPS / INTEL CORE I7 12ª GEN / 16GB + 512GB / SOPORTE TPM 2.0</t>
  </si>
  <si>
    <t>DS-D5B65RB/EL</t>
  </si>
  <si>
    <t>PANTALLA INTERACTIVA DE 65” UHD 4K, DISEÑO ANTI-GLARE, SISTEMA DUAL ANDROID/WINDOWS, HASTA 40 PUNTOS TÁCTILES, RESPUESTA RÁPIDA, BOTONES FRONTALES PARA USO EN AULA, ALMACENAMIENTO</t>
  </si>
  <si>
    <t>DS-D5B75RB/EL</t>
  </si>
  <si>
    <t>PANTALLA INTERACTIVA 75″ UHD 4K / IPS / BRILLO 400 CD/M² / DUAL ANDROID‑WINDOWS / MULTITÁCTIL 40 PUNTOS</t>
  </si>
  <si>
    <t>DS-D5B86RB/EL</t>
  </si>
  <si>
    <t>PANTALLA INTERACTIVA 86″ UHD 4K / VA / BRILLO 400 CD/M² / DUAL ANDROID‑WINDOWS / MULTITÁCTIL 40 PUNTOS</t>
  </si>
  <si>
    <t>DS-D5C65RB/A(EDLA)</t>
  </si>
  <si>
    <t>PANTALLA INTERACTIVA DE 65” UHD 4K, CERTIFICADA EDLA, DISEÑO ANTI-GLARE, SISTEMA DUAL ANDROID/WINDOWS, HASTA 50 PUNTOS TÁCTILES CON RESPUESTA RÁPIDA, VIDRIO TEMPLADO CON PROTECCIÓN LUZ AZUL, TODO EN UNO CON CONTROL DE TEMPERATURA INTELIGENTE</t>
  </si>
  <si>
    <t>DS-D5C65RB/A2L(O-STD)(EDLA)</t>
  </si>
  <si>
    <t>PANTALLA INTERACTIVA DE 65" / 4K UHD 3840×2160 / BRILLO 480 NITS / PUERTOS TYPE-C, HDMI, DP</t>
  </si>
  <si>
    <t>DS-D5C65RB/B</t>
  </si>
  <si>
    <t>PANTALLA INTERACTIVA 65″ UHD 4K / ANDROID 13 / 45 TOQUES / BRILLO 400 CD/M² / CÁMARA WEB Y MICRÓFONO</t>
  </si>
  <si>
    <t>DS-D5C65RB/B2L(O-STD)(EDLA)</t>
  </si>
  <si>
    <t>DS-D5C75RB/A</t>
  </si>
  <si>
    <t>PANTALLA INTERACTIVA 75″ UHD 4K / ANDROID 13 / 45 TOQUES / BRILLO 400 CD/M² / SIN CÁMARA NI MICRÓFONO</t>
  </si>
  <si>
    <t>DS-D5C75RB/A2L(O-STD)(EDLA)</t>
  </si>
  <si>
    <t>PANTALLA INTERACTIVA DE 75" / 4K UHD 3840×2160 / BRILLO 480 NITS / PUERTOS TYPE-C, HDMI, DP</t>
  </si>
  <si>
    <t>DS-D5C75RB/B</t>
  </si>
  <si>
    <t>PANTALLA INTERACTIVA 75″ UHD 4K / ANDROID 13 / 45 TOQUES / BRILLO 400 CD/M² / CÁMARA WEB 8 MP Y MICRÓFONO</t>
  </si>
  <si>
    <t>DS-D5C75RB/B2L(O-STD)(EDLA)</t>
  </si>
  <si>
    <t>PANTALLA INTERACTIVA DE 75" / HASTA 50 PUNTOS TÁCTILES / SISTEMAS ANDROID + WINDOWS</t>
  </si>
  <si>
    <t>DS-D5C86RB/A</t>
  </si>
  <si>
    <t>PANTALLA INTERACTIVA 86″ UHD 4K / ANDROID‑WINDOWS / 50 TOQUES / BRILLO 400 CD/M² / SIN CÁMARA NI MICRÓFONO</t>
  </si>
  <si>
    <t>DS-D5C86RB/A2L(O-STD)(EDLA)</t>
  </si>
  <si>
    <t>PANTALLA INTERACTIVA DE 86" / HASTA 50 PUNTOS TÁCTILES / SISTEMAS ANDROID + WINDOWS</t>
  </si>
  <si>
    <t>DS-D5C86RB/B</t>
  </si>
  <si>
    <t>PANTALLA INTERACTIVA 86″ UHD 4K / ANDROID‑WINDOWS / 50 TOQUES / BRILLO 400 CD/M² / CÁMARA 8 MP Y MICRÓFONO</t>
  </si>
  <si>
    <t>DS-D5C86RB/B2L(O-STD)(EDLA)</t>
  </si>
  <si>
    <t>PANTALLA INTERACTIVA DE 86" / 4K UHD 3840×2160 / BRILLO 480 NITS / PUERTOS TYPE-C, HDMI, DP</t>
  </si>
  <si>
    <t>DS-D5C98RB/B</t>
  </si>
  <si>
    <t>PANTALLA INTERACTIVA 98″ UHD 4K / ANDROID 13 / 50 TOQUES / BRILLO 600 CD/M² / CÁMARA 48 MP Y 8 MICRÓFONOS INTEGRADOS</t>
  </si>
  <si>
    <t>DS-D5SC3B-B(O-STD)</t>
  </si>
  <si>
    <t>DONGLE INALÁMBRICO / ESPEJO DE PANTALLA CON NFC / CONTROL INVERSO WINDOWS/MAC</t>
  </si>
  <si>
    <t>DS-D6022FN-B</t>
  </si>
  <si>
    <t>PANTALLA DIGITAL 22″ FHD / ANDROID 8.1 / BRILLO 250 CD/M² / ÁNGULO 178° / 100‑240 V / 40 W</t>
  </si>
  <si>
    <t>DS-D6043UH-DP</t>
  </si>
  <si>
    <t>PANTALLA DIGITAL 43″ 4K / ANDROID 13 / BRILLO 700 CD/M² / PANEL A+ / 4 GB RAM‑32 GB EMMC</t>
  </si>
  <si>
    <t>DS-D6043UN-B(O-STD)(IN)</t>
  </si>
  <si>
    <t>PANTALLA DIGITAL 43″ 4K / PANEL A+ / AUTO‑COLOR / PROGRAMACIÓN REMOTA / 100‑240 V / 60 Hz</t>
  </si>
  <si>
    <t>DS-D6043UN-DP</t>
  </si>
  <si>
    <t>PANTALLA SIGNAGE 43″ 4K / A+ PANEL D‑LED / AUTO‑COLOR / ANDROID 13 / PROGRAMACIÓN FLEXIBLE / 100‑240 V</t>
  </si>
  <si>
    <t>DS-D6055UL-B/S</t>
  </si>
  <si>
    <t>PANTALLA SIGNAGE 55″ 4K / D‑LED / 178° / ANDROID 8.1 / 2 GB RAM‑16 GB EMMC / TOTEM PISO / HDMI USB WIFI</t>
  </si>
  <si>
    <t>DS-D6055UN-DP</t>
  </si>
  <si>
    <t>PANTALLA SIGNAGE 55″ 4K / E‑LED / ANDROID 13 / 4 GB RAM‑32 GB EMMC / HDMI×3 DP×1 / WIFI‑BT / 75 W TÍPICO</t>
  </si>
  <si>
    <t>DS-D6065UN-DP(O-STD)</t>
  </si>
  <si>
    <t xml:space="preserve">PANTALLA DIGITAL DE 65" / 4K UHD / BRILLO 500 NITS / 4GB RAM + 32GB / PUERTOS HDMI ×3, DP 1.2 </t>
  </si>
  <si>
    <t>DS-D6055UN-D/S</t>
  </si>
  <si>
    <t>PANTALLA DIGITAL DE 55" / GESTIÓN CENTRALIZADA Y PROGRAMACIÓN FLEXIBLE / SEGURIDAD MULTINIVEL</t>
  </si>
  <si>
    <t>DS-D6086UN(O-STD)</t>
  </si>
  <si>
    <t>PANTALLA DIGITAL DE 86" / 3GB MEMORIA / 32GB ALMACENAMIENTO / BRILLO 500CD/M² / HDMI, DVI-I, DP1.2</t>
  </si>
  <si>
    <t>DS-D6055UT-D/S</t>
  </si>
  <si>
    <t>PANTALLA DIGITAL DE 55" / 4K UHD / BRILLO 500 NITS / TOUCH P-CAP / DISEÑO SLIM CON VIDRIO ANTI-GLARE</t>
  </si>
  <si>
    <t>DS-D60E-B</t>
  </si>
  <si>
    <t>CAJA SIGNAGE DIGITAL / ANDROID 8.1 / CORTES 4K 60 Hz / 2 GB RAM‑16 GB EMMC / HDMI OUT + AUDIO IN/OUT / USB×2 / WI‑FI / 12 V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</si>
</sst>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6" x14ac:knownFonts="1">
    <font>
      <sz val="11"/>
      <color theme="1"/>
      <name val="Aptos Narrow"/>
      <family val="2"/>
      <scheme val="minor"/>
    </font>
    <font>
      <sz val="11"/>
      <color theme="1"/>
      <name val="Aptos Narrow"/>
      <family val="2"/>
      <scheme val="minor"/>
    </font>
    <font>
      <sz val="10"/>
      <color theme="1"/>
      <name val="Aptos Narrow"/>
      <family val="2"/>
      <scheme val="minor"/>
    </font>
    <font>
      <b/>
      <sz val="10"/>
      <color theme="0"/>
      <name val="Aptos Narrow"/>
      <family val="2"/>
      <scheme val="minor"/>
    </font>
    <font>
      <sz val="10"/>
      <name val="Aptos Narrow"/>
      <family val="2"/>
      <scheme val="minor"/>
    </font>
    <font>
      <sz val="10"/>
      <name val="Arial"/>
      <family val="2"/>
    </font>
  </fonts>
  <fills count="9">
    <fill>
      <patternFill patternType="none"/>
    </fill>
    <fill>
      <patternFill patternType="gray125"/>
    </fill>
    <fill>
      <patternFill patternType="solid">
        <fgColor rgb="FFC00000"/>
        <bgColor rgb="FF000000"/>
      </patternFill>
    </fill>
    <fill>
      <patternFill patternType="solid">
        <fgColor theme="0" tint="-0.14999847407452621"/>
        <bgColor rgb="FF000000"/>
      </patternFill>
    </fill>
    <fill>
      <patternFill patternType="solid">
        <fgColor theme="9"/>
        <bgColor rgb="FF000000"/>
      </patternFill>
    </fill>
    <fill>
      <patternFill patternType="solid">
        <fgColor theme="0"/>
        <bgColor indexed="64"/>
      </patternFill>
    </fill>
    <fill>
      <patternFill patternType="solid">
        <fgColor rgb="FFC00000"/>
        <bgColor indexed="64"/>
      </patternFill>
    </fill>
    <fill>
      <patternFill patternType="solid">
        <fgColor theme="9"/>
        <bgColor indexed="64"/>
      </patternFill>
    </fill>
    <fill>
      <patternFill patternType="solid">
        <fgColor theme="8" tint="0.39997558519241921"/>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0" fontId="5" fillId="0" borderId="0"/>
  </cellStyleXfs>
  <cellXfs count="32">
    <xf numFmtId="0" fontId="0" fillId="0" borderId="0" xfId="0"/>
    <xf numFmtId="164" fontId="2" fillId="0" borderId="1" xfId="1" applyNumberFormat="1" applyFont="1" applyBorder="1" applyAlignment="1" applyProtection="1">
      <alignment vertical="center" wrapText="1"/>
      <protection hidden="1"/>
    </xf>
    <xf numFmtId="0" fontId="2" fillId="0" borderId="0" xfId="0" applyFont="1" applyAlignment="1" applyProtection="1">
      <alignment vertical="center" wrapText="1"/>
      <protection hidden="1"/>
    </xf>
    <xf numFmtId="164" fontId="2" fillId="0" borderId="0" xfId="1" applyNumberFormat="1" applyFont="1" applyBorder="1" applyAlignment="1" applyProtection="1">
      <alignment vertical="center" wrapText="1"/>
      <protection hidden="1"/>
    </xf>
    <xf numFmtId="164" fontId="2" fillId="0" borderId="0" xfId="1" applyNumberFormat="1" applyFont="1" applyBorder="1" applyAlignment="1" applyProtection="1">
      <alignment horizontal="center" vertical="center" wrapText="1"/>
      <protection locked="0" hidden="1"/>
    </xf>
    <xf numFmtId="164" fontId="0" fillId="0" borderId="1" xfId="0" applyNumberFormat="1" applyBorder="1"/>
    <xf numFmtId="164" fontId="4" fillId="0" borderId="1" xfId="1" applyNumberFormat="1" applyFont="1" applyBorder="1" applyAlignment="1" applyProtection="1">
      <alignment horizontal="center" vertical="center" wrapText="1"/>
      <protection hidden="1"/>
    </xf>
    <xf numFmtId="0" fontId="2" fillId="5" borderId="0" xfId="0" applyFont="1" applyFill="1" applyAlignment="1" applyProtection="1">
      <alignment horizontal="left" vertical="center" wrapText="1"/>
      <protection hidden="1"/>
    </xf>
    <xf numFmtId="0" fontId="2" fillId="5" borderId="0" xfId="0" applyFont="1" applyFill="1" applyAlignment="1" applyProtection="1">
      <alignment horizontal="center" vertical="center" wrapText="1"/>
      <protection hidden="1"/>
    </xf>
    <xf numFmtId="164" fontId="4" fillId="0" borderId="1" xfId="1" applyNumberFormat="1" applyFont="1" applyFill="1" applyBorder="1" applyAlignment="1">
      <alignment horizontal="center" vertical="center" wrapText="1"/>
    </xf>
    <xf numFmtId="164" fontId="0" fillId="0" borderId="2" xfId="1" applyNumberFormat="1" applyFont="1" applyFill="1" applyBorder="1"/>
    <xf numFmtId="164" fontId="0" fillId="0" borderId="1" xfId="1" applyNumberFormat="1" applyFont="1" applyFill="1" applyBorder="1"/>
    <xf numFmtId="164" fontId="2" fillId="0" borderId="1" xfId="1" applyNumberFormat="1" applyFont="1" applyFill="1" applyBorder="1" applyAlignment="1" applyProtection="1">
      <alignment vertical="center" wrapText="1"/>
      <protection hidden="1"/>
    </xf>
    <xf numFmtId="164" fontId="4" fillId="0" borderId="1" xfId="1" applyNumberFormat="1" applyFont="1" applyBorder="1" applyAlignment="1" applyProtection="1">
      <alignment horizontal="right" vertical="center" wrapText="1"/>
      <protection hidden="1"/>
    </xf>
    <xf numFmtId="164" fontId="2" fillId="0" borderId="2" xfId="1" applyNumberFormat="1" applyFont="1" applyBorder="1" applyAlignment="1" applyProtection="1">
      <alignment vertical="center" wrapText="1"/>
      <protection hidden="1"/>
    </xf>
    <xf numFmtId="164" fontId="2" fillId="6" borderId="3" xfId="1" applyNumberFormat="1" applyFont="1" applyFill="1" applyBorder="1" applyAlignment="1" applyProtection="1">
      <alignment vertical="center" wrapText="1"/>
      <protection hidden="1"/>
    </xf>
    <xf numFmtId="164" fontId="2" fillId="7" borderId="4" xfId="1" applyNumberFormat="1" applyFont="1" applyFill="1" applyBorder="1" applyAlignment="1" applyProtection="1">
      <alignment vertical="center" wrapText="1"/>
      <protection hidden="1"/>
    </xf>
    <xf numFmtId="164" fontId="3" fillId="2" borderId="4" xfId="1" applyNumberFormat="1" applyFont="1" applyFill="1" applyBorder="1" applyAlignment="1">
      <alignment horizontal="center" vertical="center" wrapText="1"/>
    </xf>
    <xf numFmtId="164" fontId="3" fillId="4" borderId="4" xfId="1" applyNumberFormat="1" applyFont="1" applyFill="1" applyBorder="1" applyAlignment="1" applyProtection="1">
      <alignment horizontal="center" vertical="center" wrapText="1"/>
      <protection hidden="1"/>
    </xf>
    <xf numFmtId="164" fontId="2" fillId="0" borderId="4" xfId="1" applyNumberFormat="1" applyFont="1" applyBorder="1" applyAlignment="1" applyProtection="1">
      <alignment vertical="center" wrapText="1"/>
      <protection hidden="1"/>
    </xf>
    <xf numFmtId="164" fontId="3" fillId="3" borderId="4" xfId="1" applyNumberFormat="1" applyFont="1" applyFill="1" applyBorder="1" applyAlignment="1">
      <alignment horizontal="center" vertical="center" wrapText="1"/>
    </xf>
    <xf numFmtId="164" fontId="3" fillId="0" borderId="4" xfId="1" applyNumberFormat="1" applyFont="1" applyBorder="1" applyAlignment="1" applyProtection="1">
      <alignment horizontal="center" vertical="center" wrapText="1"/>
      <protection locked="0" hidden="1"/>
    </xf>
    <xf numFmtId="49" fontId="3" fillId="8" borderId="1" xfId="0" applyNumberFormat="1" applyFont="1" applyFill="1" applyBorder="1" applyAlignment="1" applyProtection="1">
      <alignment horizontal="center" vertical="center" wrapText="1"/>
      <protection hidden="1"/>
    </xf>
    <xf numFmtId="49" fontId="4" fillId="0" borderId="1" xfId="0" applyNumberFormat="1" applyFont="1" applyBorder="1" applyAlignment="1" applyProtection="1">
      <alignment horizontal="center" vertical="center" wrapText="1"/>
      <protection locked="0"/>
    </xf>
    <xf numFmtId="49" fontId="4" fillId="0" borderId="1" xfId="0" applyNumberFormat="1" applyFont="1" applyBorder="1" applyAlignment="1" applyProtection="1">
      <alignment horizontal="center" vertical="center" wrapText="1"/>
      <protection hidden="1"/>
    </xf>
    <xf numFmtId="164" fontId="2" fillId="0" borderId="6" xfId="1" applyNumberFormat="1" applyFont="1" applyFill="1" applyBorder="1" applyAlignment="1" applyProtection="1">
      <alignment vertical="center" wrapText="1"/>
      <protection hidden="1"/>
    </xf>
    <xf numFmtId="164" fontId="4" fillId="0" borderId="6" xfId="1" applyNumberFormat="1" applyFont="1" applyBorder="1" applyAlignment="1" applyProtection="1">
      <alignment horizontal="right" vertical="center" wrapText="1"/>
      <protection hidden="1"/>
    </xf>
    <xf numFmtId="164" fontId="4" fillId="0" borderId="6" xfId="1" applyNumberFormat="1" applyFont="1" applyBorder="1" applyAlignment="1" applyProtection="1">
      <alignment horizontal="center" vertical="center" wrapText="1"/>
      <protection hidden="1"/>
    </xf>
    <xf numFmtId="164" fontId="2" fillId="0" borderId="6" xfId="1" applyNumberFormat="1" applyFont="1" applyBorder="1" applyAlignment="1" applyProtection="1">
      <alignment vertical="center" wrapText="1"/>
      <protection hidden="1"/>
    </xf>
    <xf numFmtId="164" fontId="2" fillId="0" borderId="5" xfId="1" applyNumberFormat="1" applyFont="1" applyBorder="1" applyAlignment="1" applyProtection="1">
      <alignment vertical="center" wrapText="1"/>
      <protection hidden="1"/>
    </xf>
    <xf numFmtId="49" fontId="5" fillId="0" borderId="1" xfId="0" applyNumberFormat="1" applyFont="1" applyFill="1" applyBorder="1" applyAlignment="1" applyProtection="1">
      <alignment horizontal="center" vertical="center" wrapText="1"/>
      <protection locked="0"/>
    </xf>
    <xf numFmtId="49" fontId="4" fillId="0" borderId="1" xfId="0" applyNumberFormat="1" applyFont="1" applyFill="1" applyBorder="1" applyAlignment="1" applyProtection="1">
      <alignment horizontal="center" vertical="center" wrapText="1"/>
      <protection hidden="1"/>
    </xf>
  </cellXfs>
  <cellStyles count="3">
    <cellStyle name="Moneda" xfId="1" builtinId="4"/>
    <cellStyle name="Normal" xfId="0" builtinId="0"/>
    <cellStyle name="Normal 2" xfId="2" xr:uid="{FBA33C15-37D6-4D10-8FF4-9F7B29ABB83A}"/>
  </cellStyles>
  <dxfs count="25">
    <dxf>
      <font>
        <b val="0"/>
        <i val="0"/>
        <strike val="0"/>
        <condense val="0"/>
        <extend val="0"/>
        <outline val="0"/>
        <shadow val="0"/>
        <u val="none"/>
        <vertAlign val="baseline"/>
        <sz val="10"/>
        <color auto="1"/>
        <name val="Aptos Narrow"/>
        <family val="2"/>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color rgb="FF9C0006"/>
      </font>
      <fill>
        <patternFill>
          <bgColor rgb="FFFFC7CE"/>
        </patternFill>
      </fill>
    </dxf>
    <dxf>
      <font>
        <b val="0"/>
        <i val="0"/>
        <strike val="0"/>
        <condense val="0"/>
        <extend val="0"/>
        <outline val="0"/>
        <shadow val="0"/>
        <u val="none"/>
        <vertAlign val="baseline"/>
        <sz val="10"/>
        <color theme="1"/>
        <name val="Aptos Narrow"/>
        <family val="2"/>
        <scheme val="minor"/>
      </font>
      <numFmt numFmtId="164" formatCode="_-&quot;$&quot;\ * #,##0_-;\-&quot;$&quot;\ * #,##0_-;_-&quot;$&quot;\ * &quot;-&quot;??_-;_-@_-"/>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theme="1"/>
        <name val="Aptos Narrow"/>
        <family val="2"/>
        <scheme val="minor"/>
      </font>
      <numFmt numFmtId="164" formatCode="_-&quot;$&quot;\ * #,##0_-;\-&quot;$&quot;\ * #,##0_-;_-&quot;$&quot;\ *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numFmt numFmtId="164" formatCode="_-&quot;$&quot;\ * #,##0_-;\-&quot;$&quot;\ * #,##0_-;_-&quot;$&quot;\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0"/>
        <color theme="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numFmt numFmtId="164" formatCode="_-&quot;$&quot;\ * #,##0_-;\-&quot;$&quot;\ * #,##0_-;_-&quot;$&quot;\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numFmt numFmtId="164" formatCode="_-&quot;$&quot;\ * #,##0_-;\-&quot;$&quot;\ * #,##0_-;_-&quot;$&quot;\ *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theme="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theme="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1123705" cy="0"/>
    <xdr:pic>
      <xdr:nvPicPr>
        <xdr:cNvPr id="2" name="Imagen 1">
          <a:extLst>
            <a:ext uri="{FF2B5EF4-FFF2-40B4-BE49-F238E27FC236}">
              <a16:creationId xmlns:a16="http://schemas.microsoft.com/office/drawing/2014/main" id="{E2213D2B-5F0A-4F48-808E-32F651238E59}"/>
            </a:ext>
          </a:extLst>
        </xdr:cNvPr>
        <xdr:cNvPicPr>
          <a:picLocks noChangeAspect="1"/>
        </xdr:cNvPicPr>
      </xdr:nvPicPr>
      <xdr:blipFill>
        <a:blip xmlns:r="http://schemas.openxmlformats.org/officeDocument/2006/relationships" r:embed="rId1"/>
        <a:stretch>
          <a:fillRect/>
        </a:stretch>
      </xdr:blipFill>
      <xdr:spPr>
        <a:xfrm>
          <a:off x="0" y="1905000"/>
          <a:ext cx="1123705" cy="0"/>
        </a:xfrm>
        <a:prstGeom prst="rect">
          <a:avLst/>
        </a:prstGeom>
      </xdr:spPr>
    </xdr:pic>
    <xdr:clientData/>
  </xdr:oneCellAnchor>
  <xdr:oneCellAnchor>
    <xdr:from>
      <xdr:col>0</xdr:col>
      <xdr:colOff>0</xdr:colOff>
      <xdr:row>9</xdr:row>
      <xdr:rowOff>0</xdr:rowOff>
    </xdr:from>
    <xdr:ext cx="1080118" cy="0"/>
    <xdr:pic>
      <xdr:nvPicPr>
        <xdr:cNvPr id="3" name="Imagen 2">
          <a:extLst>
            <a:ext uri="{FF2B5EF4-FFF2-40B4-BE49-F238E27FC236}">
              <a16:creationId xmlns:a16="http://schemas.microsoft.com/office/drawing/2014/main" id="{2461B9DD-F238-4ED1-9786-9251B97A4C15}"/>
            </a:ext>
          </a:extLst>
        </xdr:cNvPr>
        <xdr:cNvPicPr>
          <a:picLocks noChangeAspect="1"/>
        </xdr:cNvPicPr>
      </xdr:nvPicPr>
      <xdr:blipFill>
        <a:blip xmlns:r="http://schemas.openxmlformats.org/officeDocument/2006/relationships" r:embed="rId2"/>
        <a:stretch>
          <a:fillRect/>
        </a:stretch>
      </xdr:blipFill>
      <xdr:spPr>
        <a:xfrm>
          <a:off x="0" y="1905000"/>
          <a:ext cx="1080118" cy="0"/>
        </a:xfrm>
        <a:prstGeom prst="rect">
          <a:avLst/>
        </a:prstGeom>
      </xdr:spPr>
    </xdr:pic>
    <xdr:clientData/>
  </xdr:oneCellAnchor>
  <xdr:twoCellAnchor>
    <xdr:from>
      <xdr:col>0</xdr:col>
      <xdr:colOff>0</xdr:colOff>
      <xdr:row>8</xdr:row>
      <xdr:rowOff>75267</xdr:rowOff>
    </xdr:from>
    <xdr:to>
      <xdr:col>0</xdr:col>
      <xdr:colOff>0</xdr:colOff>
      <xdr:row>8</xdr:row>
      <xdr:rowOff>1123764</xdr:rowOff>
    </xdr:to>
    <xdr:pic>
      <xdr:nvPicPr>
        <xdr:cNvPr id="4" name="Imagen 57">
          <a:extLst>
            <a:ext uri="{FF2B5EF4-FFF2-40B4-BE49-F238E27FC236}">
              <a16:creationId xmlns:a16="http://schemas.microsoft.com/office/drawing/2014/main" id="{E314F9F7-D100-4808-93DD-6C11B2245683}"/>
            </a:ext>
          </a:extLst>
        </xdr:cNvPr>
        <xdr:cNvPicPr>
          <a:picLocks noChangeAspect="1"/>
        </xdr:cNvPicPr>
      </xdr:nvPicPr>
      <xdr:blipFill>
        <a:blip xmlns:r="http://schemas.openxmlformats.org/officeDocument/2006/relationships" r:embed="rId3"/>
        <a:stretch>
          <a:fillRect/>
        </a:stretch>
      </xdr:blipFill>
      <xdr:spPr>
        <a:xfrm>
          <a:off x="0" y="1789767"/>
          <a:ext cx="0" cy="115047"/>
        </a:xfrm>
        <a:prstGeom prst="rect">
          <a:avLst/>
        </a:prstGeom>
      </xdr:spPr>
    </xdr:pic>
    <xdr:clientData/>
  </xdr:twoCellAnchor>
  <xdr:twoCellAnchor>
    <xdr:from>
      <xdr:col>0</xdr:col>
      <xdr:colOff>0</xdr:colOff>
      <xdr:row>8</xdr:row>
      <xdr:rowOff>75267</xdr:rowOff>
    </xdr:from>
    <xdr:to>
      <xdr:col>0</xdr:col>
      <xdr:colOff>0</xdr:colOff>
      <xdr:row>8</xdr:row>
      <xdr:rowOff>1123764</xdr:rowOff>
    </xdr:to>
    <xdr:pic>
      <xdr:nvPicPr>
        <xdr:cNvPr id="5" name="Imagen 67">
          <a:extLst>
            <a:ext uri="{FF2B5EF4-FFF2-40B4-BE49-F238E27FC236}">
              <a16:creationId xmlns:a16="http://schemas.microsoft.com/office/drawing/2014/main" id="{8D81A8BA-539B-421A-A664-BBF39CBF7459}"/>
            </a:ext>
          </a:extLst>
        </xdr:cNvPr>
        <xdr:cNvPicPr>
          <a:picLocks noChangeAspect="1"/>
        </xdr:cNvPicPr>
      </xdr:nvPicPr>
      <xdr:blipFill>
        <a:blip xmlns:r="http://schemas.openxmlformats.org/officeDocument/2006/relationships" r:embed="rId3"/>
        <a:stretch>
          <a:fillRect/>
        </a:stretch>
      </xdr:blipFill>
      <xdr:spPr>
        <a:xfrm>
          <a:off x="0" y="1789767"/>
          <a:ext cx="0" cy="115047"/>
        </a:xfrm>
        <a:prstGeom prst="rect">
          <a:avLst/>
        </a:prstGeom>
      </xdr:spPr>
    </xdr:pic>
    <xdr:clientData/>
  </xdr:twoCellAnchor>
  <xdr:twoCellAnchor>
    <xdr:from>
      <xdr:col>0</xdr:col>
      <xdr:colOff>0</xdr:colOff>
      <xdr:row>4</xdr:row>
      <xdr:rowOff>112940</xdr:rowOff>
    </xdr:from>
    <xdr:to>
      <xdr:col>0</xdr:col>
      <xdr:colOff>0</xdr:colOff>
      <xdr:row>4</xdr:row>
      <xdr:rowOff>743816</xdr:rowOff>
    </xdr:to>
    <xdr:pic>
      <xdr:nvPicPr>
        <xdr:cNvPr id="6" name="图片 29">
          <a:extLst>
            <a:ext uri="{FF2B5EF4-FFF2-40B4-BE49-F238E27FC236}">
              <a16:creationId xmlns:a16="http://schemas.microsoft.com/office/drawing/2014/main" id="{CE888F96-DE70-4F9B-BEB0-CA487524962A}"/>
            </a:ext>
          </a:extLst>
        </xdr:cNvPr>
        <xdr:cNvPicPr>
          <a:picLocks noChangeAspect="1"/>
        </xdr:cNvPicPr>
      </xdr:nvPicPr>
      <xdr:blipFill>
        <a:blip xmlns:r="http://schemas.openxmlformats.org/officeDocument/2006/relationships" r:embed="rId4"/>
        <a:stretch>
          <a:fillRect/>
        </a:stretch>
      </xdr:blipFill>
      <xdr:spPr>
        <a:xfrm>
          <a:off x="0" y="1065440"/>
          <a:ext cx="0" cy="78426"/>
        </a:xfrm>
        <a:prstGeom prst="rect">
          <a:avLst/>
        </a:prstGeom>
      </xdr:spPr>
    </xdr:pic>
    <xdr:clientData/>
  </xdr:twoCellAnchor>
  <xdr:twoCellAnchor>
    <xdr:from>
      <xdr:col>0</xdr:col>
      <xdr:colOff>0</xdr:colOff>
      <xdr:row>4</xdr:row>
      <xdr:rowOff>112940</xdr:rowOff>
    </xdr:from>
    <xdr:to>
      <xdr:col>0</xdr:col>
      <xdr:colOff>0</xdr:colOff>
      <xdr:row>4</xdr:row>
      <xdr:rowOff>743816</xdr:rowOff>
    </xdr:to>
    <xdr:pic>
      <xdr:nvPicPr>
        <xdr:cNvPr id="7" name="图片 29">
          <a:extLst>
            <a:ext uri="{FF2B5EF4-FFF2-40B4-BE49-F238E27FC236}">
              <a16:creationId xmlns:a16="http://schemas.microsoft.com/office/drawing/2014/main" id="{613BB07F-AD57-4AE9-99FC-66C08C9447D8}"/>
            </a:ext>
          </a:extLst>
        </xdr:cNvPr>
        <xdr:cNvPicPr>
          <a:picLocks noChangeAspect="1"/>
        </xdr:cNvPicPr>
      </xdr:nvPicPr>
      <xdr:blipFill>
        <a:blip xmlns:r="http://schemas.openxmlformats.org/officeDocument/2006/relationships" r:embed="rId4"/>
        <a:stretch>
          <a:fillRect/>
        </a:stretch>
      </xdr:blipFill>
      <xdr:spPr>
        <a:xfrm>
          <a:off x="0" y="1065440"/>
          <a:ext cx="0" cy="78426"/>
        </a:xfrm>
        <a:prstGeom prst="rect">
          <a:avLst/>
        </a:prstGeom>
      </xdr:spPr>
    </xdr:pic>
    <xdr:clientData/>
  </xdr:twoCellAnchor>
  <xdr:oneCellAnchor>
    <xdr:from>
      <xdr:col>1</xdr:col>
      <xdr:colOff>0</xdr:colOff>
      <xdr:row>9</xdr:row>
      <xdr:rowOff>0</xdr:rowOff>
    </xdr:from>
    <xdr:ext cx="1123705" cy="0"/>
    <xdr:pic>
      <xdr:nvPicPr>
        <xdr:cNvPr id="8" name="Imagen 7">
          <a:extLst>
            <a:ext uri="{FF2B5EF4-FFF2-40B4-BE49-F238E27FC236}">
              <a16:creationId xmlns:a16="http://schemas.microsoft.com/office/drawing/2014/main" id="{911F1CD3-1239-4DEB-BB8E-9EDBE0946092}"/>
            </a:ext>
          </a:extLst>
        </xdr:cNvPr>
        <xdr:cNvPicPr>
          <a:picLocks noChangeAspect="1"/>
        </xdr:cNvPicPr>
      </xdr:nvPicPr>
      <xdr:blipFill>
        <a:blip xmlns:r="http://schemas.openxmlformats.org/officeDocument/2006/relationships" r:embed="rId1"/>
        <a:stretch>
          <a:fillRect/>
        </a:stretch>
      </xdr:blipFill>
      <xdr:spPr>
        <a:xfrm>
          <a:off x="3609975" y="7334250"/>
          <a:ext cx="1123705" cy="0"/>
        </a:xfrm>
        <a:prstGeom prst="rect">
          <a:avLst/>
        </a:prstGeom>
      </xdr:spPr>
    </xdr:pic>
    <xdr:clientData/>
  </xdr:oneCellAnchor>
  <xdr:oneCellAnchor>
    <xdr:from>
      <xdr:col>1</xdr:col>
      <xdr:colOff>0</xdr:colOff>
      <xdr:row>9</xdr:row>
      <xdr:rowOff>0</xdr:rowOff>
    </xdr:from>
    <xdr:ext cx="1080118" cy="0"/>
    <xdr:pic>
      <xdr:nvPicPr>
        <xdr:cNvPr id="9" name="Imagen 8">
          <a:extLst>
            <a:ext uri="{FF2B5EF4-FFF2-40B4-BE49-F238E27FC236}">
              <a16:creationId xmlns:a16="http://schemas.microsoft.com/office/drawing/2014/main" id="{9ABF4F8C-2B18-4C40-AEA3-DFBB657E5B9D}"/>
            </a:ext>
          </a:extLst>
        </xdr:cNvPr>
        <xdr:cNvPicPr>
          <a:picLocks noChangeAspect="1"/>
        </xdr:cNvPicPr>
      </xdr:nvPicPr>
      <xdr:blipFill>
        <a:blip xmlns:r="http://schemas.openxmlformats.org/officeDocument/2006/relationships" r:embed="rId2"/>
        <a:stretch>
          <a:fillRect/>
        </a:stretch>
      </xdr:blipFill>
      <xdr:spPr>
        <a:xfrm>
          <a:off x="3609975" y="7334250"/>
          <a:ext cx="1080118" cy="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st.uic.asso.fr/d_stats/online/synth200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ambiumnetworks.sharepoint.com/Users/mgl010/Documents/-%20Docs/Services/%20Services%20P&amp;L/%20-%202017%20Planning/I:/&#20491;&#21029;&#12499;&#12523;&#35413;&#20385;/&#26087;&#35413;&#20385;&#65404;&#65405;&#65411;&#65425;/0911&#25913;&#33391;&#26087;12&#24180;&#35413;&#20385;&#12471;&#12473;&#12486;&#12512;/H14&#24180;&#24230;/&#35336;&#31639;/user2/&#26087;&#35413;&#20385;&#65404;&#65405;&#65411;&#65425;/0911&#25913;&#33391;&#26087;12&#24180;&#35413;&#20385;&#12471;&#12473;&#12486;&#12512;/My%20Documents/12&#24180;&#25913;&#33391;&#20491;&#21029;&#35413;&#20385;&#12471;&#12473;&#12486;&#12512;/'0422/&#32207;&#21512;&#65288;&#22235;&#26376;&#21313;&#20108;&#26085;&#65289;.xls?274218D3" TargetMode="External"/><Relationship Id="rId1" Type="http://schemas.openxmlformats.org/officeDocument/2006/relationships/externalLinkPath" Target="file:///\\274218D3\&#32207;&#21512;&#65288;&#22235;&#26376;&#21313;&#20108;&#26085;&#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a0531f13\SYS1\Documents%20and%20Settings\bjagoe\My%20Documents\Data\First%20Reserve\Tri%20Tool\Tri%20Tool%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RPPLAN\1999\99PLAN\JAN7SUM.WK4"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crendon.HMV/Local%20Settings/Temporary%20Internet%20Files/OLK3/8599.xls" TargetMode="External"/><Relationship Id="rId1" Type="http://schemas.openxmlformats.org/officeDocument/2006/relationships/externalLinkPath" Target="/Documents%20and%20Settings/crendon.HMV/Local%20Settings/Temporary%20Internet%20Files/OLK3/85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tyofsr50\KPMG\FAS\Users\TS\Non_Management\tshima\43%20Milky%20way\%3f%3f%3f%3f\grumpus\grumpus_1\Grampus%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Lista%20de%20Precios%20-%20Cto\Internacionales\Cambium%20Networks\Vigente\C&#225;lculo%20LP%20Vta%20Cambium%20Networks%20(Noviembre%201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Analisis%20Semanal%20Cuadros\Informe%20de%20Inventarios\2019\Octubre\INFORME%20INVENTARIOS%20Octubre%2018-2019%20%20-%20Proyecto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pmg_server\c%20drive\aroyc\korea\templates-excel\jinroindu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ays"/>
      <sheetName val="Data_CF"/>
      <sheetName val="Pub"/>
      <sheetName val="rapport annuel"/>
      <sheetName val="miles conversions"/>
      <sheetName val="DataGraph"/>
      <sheetName val="Graph vertical"/>
      <sheetName val="Graph  Edition  Sti"/>
      <sheetName val="添付用"/>
      <sheetName val="添付用_所有"/>
      <sheetName val="synth2000"/>
      <sheetName val="List"/>
    </sheetNames>
    <sheetDataSet>
      <sheetData sheetId="0" refreshError="1"/>
      <sheetData sheetId="1" refreshError="1"/>
      <sheetData sheetId="2" refreshError="1">
        <row r="13">
          <cell r="H13" t="str">
            <v>AAE</v>
          </cell>
          <cell r="I13" t="str">
            <v xml:space="preserve">            "   </v>
          </cell>
          <cell r="J13" t="str">
            <v xml:space="preserve">        "   </v>
          </cell>
          <cell r="K13" t="str">
            <v xml:space="preserve">            "   </v>
          </cell>
          <cell r="L13">
            <v>10</v>
          </cell>
        </row>
        <row r="14">
          <cell r="H14" t="str">
            <v>GVG</v>
          </cell>
          <cell r="I14" t="str">
            <v xml:space="preserve">            "   </v>
          </cell>
          <cell r="J14" t="str">
            <v xml:space="preserve">        "   </v>
          </cell>
          <cell r="K14" t="str">
            <v xml:space="preserve">            "   </v>
          </cell>
          <cell r="L14">
            <v>0</v>
          </cell>
        </row>
        <row r="15">
          <cell r="H15" t="str">
            <v>KEG</v>
          </cell>
          <cell r="I15" t="str">
            <v xml:space="preserve">            "   </v>
          </cell>
          <cell r="J15" t="str">
            <v xml:space="preserve">        "   </v>
          </cell>
          <cell r="K15" t="str">
            <v xml:space="preserve">            "   </v>
          </cell>
          <cell r="L15">
            <v>54</v>
          </cell>
        </row>
        <row r="16">
          <cell r="H16" t="str">
            <v>ÖBB</v>
          </cell>
          <cell r="I16">
            <v>83.858999999999995</v>
          </cell>
          <cell r="J16">
            <v>8.2110000000000003</v>
          </cell>
          <cell r="K16">
            <v>97.914356240832831</v>
          </cell>
          <cell r="L16">
            <v>5683</v>
          </cell>
        </row>
        <row r="17">
          <cell r="H17" t="str">
            <v>GKE</v>
          </cell>
          <cell r="I17" t="str">
            <v xml:space="preserve">            "   </v>
          </cell>
          <cell r="J17" t="str">
            <v xml:space="preserve">        "   </v>
          </cell>
          <cell r="K17" t="str">
            <v xml:space="preserve">            "   </v>
          </cell>
          <cell r="L17">
            <v>97.486999999999995</v>
          </cell>
        </row>
        <row r="18">
          <cell r="H18" t="str">
            <v>SNCB/NMBS</v>
          </cell>
          <cell r="I18">
            <v>30.513999999999999</v>
          </cell>
          <cell r="J18">
            <v>10.161</v>
          </cell>
          <cell r="K18">
            <v>332.99469096152586</v>
          </cell>
          <cell r="L18">
            <v>3471</v>
          </cell>
        </row>
        <row r="19">
          <cell r="H19" t="str">
            <v>DSB</v>
          </cell>
          <cell r="I19">
            <v>43.093000000000004</v>
          </cell>
          <cell r="J19">
            <v>5.2930000000000001</v>
          </cell>
          <cell r="K19">
            <v>122.82737335530132</v>
          </cell>
          <cell r="L19">
            <v>0</v>
          </cell>
        </row>
        <row r="20">
          <cell r="H20" t="str">
            <v>BS</v>
          </cell>
          <cell r="I20" t="str">
            <v xml:space="preserve">            "   </v>
          </cell>
          <cell r="J20" t="str">
            <v xml:space="preserve">        "   </v>
          </cell>
          <cell r="K20" t="str">
            <v xml:space="preserve">            "   </v>
          </cell>
          <cell r="L20">
            <v>2047</v>
          </cell>
        </row>
        <row r="21">
          <cell r="H21" t="str">
            <v>RENFE</v>
          </cell>
          <cell r="I21">
            <v>504.78199999999998</v>
          </cell>
          <cell r="J21">
            <v>39.630000000000003</v>
          </cell>
          <cell r="K21">
            <v>78.50913859844448</v>
          </cell>
          <cell r="L21">
            <v>12310</v>
          </cell>
        </row>
        <row r="22">
          <cell r="H22" t="str">
            <v>Euskotren</v>
          </cell>
          <cell r="I22" t="str">
            <v xml:space="preserve">            "   </v>
          </cell>
          <cell r="J22" t="str">
            <v xml:space="preserve">        "   </v>
          </cell>
          <cell r="K22" t="str">
            <v xml:space="preserve">            "   </v>
          </cell>
          <cell r="L22">
            <v>178</v>
          </cell>
        </row>
        <row r="23">
          <cell r="H23" t="str">
            <v>FEVE</v>
          </cell>
          <cell r="I23" t="str">
            <v xml:space="preserve">            "   </v>
          </cell>
          <cell r="J23" t="str">
            <v xml:space="preserve">        "   </v>
          </cell>
          <cell r="K23" t="str">
            <v xml:space="preserve">            "   </v>
          </cell>
          <cell r="L23">
            <v>1194.0999999999999</v>
          </cell>
        </row>
        <row r="24">
          <cell r="H24" t="str">
            <v>FGC</v>
          </cell>
          <cell r="I24" t="str">
            <v xml:space="preserve">            "   </v>
          </cell>
          <cell r="J24" t="str">
            <v xml:space="preserve">        "   </v>
          </cell>
          <cell r="K24" t="str">
            <v xml:space="preserve">            "   </v>
          </cell>
          <cell r="L24">
            <v>184</v>
          </cell>
        </row>
        <row r="25">
          <cell r="H25" t="str">
            <v>VR</v>
          </cell>
          <cell r="I25">
            <v>338.14499999999998</v>
          </cell>
          <cell r="J25">
            <v>5.1760000000000002</v>
          </cell>
          <cell r="K25">
            <v>15.307042836652917</v>
          </cell>
          <cell r="L25">
            <v>0</v>
          </cell>
        </row>
        <row r="26">
          <cell r="H26" t="str">
            <v>RHK</v>
          </cell>
          <cell r="I26" t="str">
            <v xml:space="preserve">            "   </v>
          </cell>
          <cell r="J26" t="str">
            <v xml:space="preserve">        "   </v>
          </cell>
          <cell r="K26" t="str">
            <v xml:space="preserve">            "   </v>
          </cell>
          <cell r="L26">
            <v>5854</v>
          </cell>
        </row>
        <row r="27">
          <cell r="H27" t="str">
            <v>SNCF</v>
          </cell>
          <cell r="I27">
            <v>547.02599999999995</v>
          </cell>
          <cell r="J27">
            <v>59.08</v>
          </cell>
          <cell r="K27">
            <v>108.00217905547451</v>
          </cell>
          <cell r="L27">
            <v>0</v>
          </cell>
        </row>
        <row r="28">
          <cell r="H28" t="str">
            <v>RFF</v>
          </cell>
          <cell r="I28" t="str">
            <v xml:space="preserve">            "   </v>
          </cell>
          <cell r="J28" t="str">
            <v xml:space="preserve">        "   </v>
          </cell>
          <cell r="K28" t="str">
            <v xml:space="preserve">            "   </v>
          </cell>
          <cell r="L28">
            <v>32515</v>
          </cell>
        </row>
        <row r="29">
          <cell r="H29" t="str">
            <v>CH</v>
          </cell>
          <cell r="I29">
            <v>131.95699999999999</v>
          </cell>
          <cell r="J29">
            <v>10.645</v>
          </cell>
          <cell r="K29">
            <v>80.670218328697985</v>
          </cell>
          <cell r="L29">
            <v>2299</v>
          </cell>
        </row>
        <row r="30">
          <cell r="H30" t="str">
            <v>CIE</v>
          </cell>
          <cell r="I30">
            <v>70.283000000000001</v>
          </cell>
          <cell r="J30">
            <v>3.73</v>
          </cell>
          <cell r="K30">
            <v>53.071155186887296</v>
          </cell>
          <cell r="L30">
            <v>1915</v>
          </cell>
        </row>
        <row r="31">
          <cell r="H31" t="str">
            <v>FNME</v>
          </cell>
          <cell r="I31">
            <v>301.22500000000002</v>
          </cell>
          <cell r="J31">
            <v>57.298000000000002</v>
          </cell>
          <cell r="K31">
            <v>190.21661548676238</v>
          </cell>
          <cell r="L31">
            <v>321</v>
          </cell>
        </row>
        <row r="32">
          <cell r="H32" t="str">
            <v>FS SpA</v>
          </cell>
          <cell r="I32" t="str">
            <v xml:space="preserve">            "   </v>
          </cell>
          <cell r="J32" t="str">
            <v xml:space="preserve">        "   </v>
          </cell>
          <cell r="K32" t="str">
            <v xml:space="preserve">            "   </v>
          </cell>
          <cell r="L32">
            <v>16178</v>
          </cell>
        </row>
        <row r="33">
          <cell r="H33" t="str">
            <v>CFL</v>
          </cell>
          <cell r="I33">
            <v>2.5859999999999999</v>
          </cell>
          <cell r="J33">
            <v>0.43099999999999999</v>
          </cell>
          <cell r="K33">
            <v>166.66666666666669</v>
          </cell>
          <cell r="L33">
            <v>274</v>
          </cell>
        </row>
        <row r="34">
          <cell r="H34" t="str">
            <v>NS N.V.</v>
          </cell>
          <cell r="I34">
            <v>41.527999999999999</v>
          </cell>
          <cell r="J34">
            <v>15.786</v>
          </cell>
          <cell r="K34">
            <v>380.12906954344055</v>
          </cell>
          <cell r="L34">
            <v>0</v>
          </cell>
        </row>
        <row r="35">
          <cell r="H35" t="str">
            <v>Railion</v>
          </cell>
          <cell r="I35" t="str">
            <v xml:space="preserve">            "   </v>
          </cell>
          <cell r="J35" t="str">
            <v xml:space="preserve">        "   </v>
          </cell>
          <cell r="K35" t="str">
            <v xml:space="preserve">            "   </v>
          </cell>
          <cell r="L35">
            <v>0</v>
          </cell>
        </row>
        <row r="36">
          <cell r="H36" t="str">
            <v>RIM</v>
          </cell>
          <cell r="I36" t="str">
            <v xml:space="preserve">            "   </v>
          </cell>
          <cell r="J36" t="str">
            <v xml:space="preserve">        "   </v>
          </cell>
          <cell r="K36" t="str">
            <v xml:space="preserve">            "   </v>
          </cell>
          <cell r="L36">
            <v>2802</v>
          </cell>
        </row>
        <row r="37">
          <cell r="H37" t="str">
            <v>CP</v>
          </cell>
          <cell r="I37">
            <v>92.081999999999994</v>
          </cell>
          <cell r="J37">
            <v>9.875</v>
          </cell>
          <cell r="K37">
            <v>107.24137182076845</v>
          </cell>
          <cell r="L37">
            <v>0</v>
          </cell>
        </row>
        <row r="38">
          <cell r="H38" t="str">
            <v>REFER</v>
          </cell>
          <cell r="I38" t="str">
            <v xml:space="preserve">            "   </v>
          </cell>
          <cell r="J38" t="str">
            <v xml:space="preserve">        "   </v>
          </cell>
          <cell r="K38" t="str">
            <v xml:space="preserve">            "   </v>
          </cell>
          <cell r="L38">
            <v>2814</v>
          </cell>
        </row>
        <row r="39">
          <cell r="H39" t="str">
            <v>ATOC</v>
          </cell>
          <cell r="I39">
            <v>244.04599999999999</v>
          </cell>
          <cell r="J39">
            <v>58.83</v>
          </cell>
          <cell r="K39">
            <v>241.0611114298124</v>
          </cell>
          <cell r="L39">
            <v>0</v>
          </cell>
        </row>
        <row r="40">
          <cell r="H40" t="str">
            <v>Total freight operators</v>
          </cell>
          <cell r="I40" t="str">
            <v xml:space="preserve">            "   </v>
          </cell>
          <cell r="J40" t="str">
            <v xml:space="preserve">        "   </v>
          </cell>
          <cell r="K40" t="str">
            <v xml:space="preserve">            "   </v>
          </cell>
          <cell r="L40">
            <v>0</v>
          </cell>
        </row>
        <row r="41">
          <cell r="H41" t="str">
            <v>Eurotunnel</v>
          </cell>
          <cell r="I41" t="str">
            <v xml:space="preserve">            "   </v>
          </cell>
          <cell r="J41" t="str">
            <v xml:space="preserve">        "   </v>
          </cell>
          <cell r="K41" t="str">
            <v xml:space="preserve">            "   </v>
          </cell>
          <cell r="L41">
            <v>58</v>
          </cell>
        </row>
        <row r="42">
          <cell r="H42" t="str">
            <v>NIR</v>
          </cell>
          <cell r="I42" t="str">
            <v xml:space="preserve">            "   </v>
          </cell>
          <cell r="J42" t="str">
            <v xml:space="preserve">        "   </v>
          </cell>
          <cell r="K42" t="str">
            <v xml:space="preserve">            "   </v>
          </cell>
          <cell r="L42">
            <v>357</v>
          </cell>
        </row>
        <row r="43">
          <cell r="H43" t="str">
            <v>Railtrack</v>
          </cell>
          <cell r="I43" t="str">
            <v xml:space="preserve">            "   </v>
          </cell>
          <cell r="J43" t="str">
            <v xml:space="preserve">        "   </v>
          </cell>
          <cell r="K43" t="str">
            <v xml:space="preserve">            "   </v>
          </cell>
          <cell r="L43">
            <v>16652</v>
          </cell>
        </row>
        <row r="44">
          <cell r="G44" t="str">
            <v>2)</v>
          </cell>
          <cell r="H44" t="str">
            <v>SJ</v>
          </cell>
          <cell r="I44">
            <v>449.964</v>
          </cell>
          <cell r="J44">
            <v>8.91</v>
          </cell>
          <cell r="K44">
            <v>19.801584126730138</v>
          </cell>
          <cell r="L44">
            <v>0</v>
          </cell>
        </row>
        <row r="45">
          <cell r="H45" t="str">
            <v>MTAB</v>
          </cell>
          <cell r="I45" t="str">
            <v xml:space="preserve">            "   </v>
          </cell>
          <cell r="J45" t="str">
            <v xml:space="preserve">        "   </v>
          </cell>
          <cell r="K45" t="str">
            <v xml:space="preserve">            "   </v>
          </cell>
          <cell r="L45">
            <v>0</v>
          </cell>
        </row>
        <row r="46">
          <cell r="H46" t="str">
            <v>BV</v>
          </cell>
          <cell r="I46" t="str">
            <v xml:space="preserve">            "   </v>
          </cell>
          <cell r="J46" t="str">
            <v xml:space="preserve">        "   </v>
          </cell>
          <cell r="K46" t="str">
            <v xml:space="preserve">            "   </v>
          </cell>
          <cell r="L46">
            <v>9946</v>
          </cell>
        </row>
        <row r="47">
          <cell r="H47" t="str">
            <v>BK</v>
          </cell>
          <cell r="I47" t="str">
            <v xml:space="preserve">            "   </v>
          </cell>
          <cell r="J47" t="str">
            <v xml:space="preserve">        "   </v>
          </cell>
          <cell r="K47" t="str">
            <v xml:space="preserve">            "   </v>
          </cell>
          <cell r="L47">
            <v>0</v>
          </cell>
        </row>
        <row r="48">
          <cell r="I48">
            <v>3238.0489999999986</v>
          </cell>
          <cell r="J48">
            <v>375.27600000000001</v>
          </cell>
          <cell r="K48">
            <v>115.89571374614781</v>
          </cell>
          <cell r="L48">
            <v>153801.587</v>
          </cell>
        </row>
        <row r="49">
          <cell r="H49" t="str">
            <v>NSB BA</v>
          </cell>
          <cell r="I49">
            <v>386.95800000000003</v>
          </cell>
          <cell r="J49">
            <v>4.4649999999999999</v>
          </cell>
          <cell r="K49">
            <v>11.538719964440585</v>
          </cell>
          <cell r="L49">
            <v>0</v>
          </cell>
        </row>
        <row r="50">
          <cell r="H50" t="str">
            <v>MTAS</v>
          </cell>
          <cell r="I50" t="str">
            <v xml:space="preserve">            "   </v>
          </cell>
          <cell r="J50" t="str">
            <v xml:space="preserve">        "   </v>
          </cell>
          <cell r="K50" t="str">
            <v xml:space="preserve">            "   </v>
          </cell>
          <cell r="L50">
            <v>0</v>
          </cell>
        </row>
        <row r="51">
          <cell r="H51" t="str">
            <v>JBV</v>
          </cell>
          <cell r="I51" t="str">
            <v xml:space="preserve">            "   </v>
          </cell>
          <cell r="J51" t="str">
            <v xml:space="preserve">        "   </v>
          </cell>
          <cell r="K51" t="str">
            <v xml:space="preserve">            "   </v>
          </cell>
          <cell r="L51">
            <v>4179</v>
          </cell>
        </row>
        <row r="52">
          <cell r="H52" t="str">
            <v>BLS</v>
          </cell>
          <cell r="I52">
            <v>41.283999999999999</v>
          </cell>
          <cell r="J52">
            <v>7.3860000000000001</v>
          </cell>
          <cell r="K52">
            <v>178.90708264703034</v>
          </cell>
          <cell r="L52">
            <v>241</v>
          </cell>
        </row>
        <row r="53">
          <cell r="H53" t="str">
            <v>CFF/SBB/FFS</v>
          </cell>
          <cell r="I53" t="str">
            <v xml:space="preserve">            "   </v>
          </cell>
          <cell r="J53" t="str">
            <v xml:space="preserve">        "   </v>
          </cell>
          <cell r="K53" t="str">
            <v xml:space="preserve">            "   </v>
          </cell>
          <cell r="L53">
            <v>2902</v>
          </cell>
        </row>
        <row r="54">
          <cell r="I54">
            <v>3666.2909999999988</v>
          </cell>
          <cell r="J54">
            <v>387.12700000000001</v>
          </cell>
          <cell r="K54">
            <v>105.59090917769488</v>
          </cell>
          <cell r="L54">
            <v>161123.587</v>
          </cell>
        </row>
        <row r="55">
          <cell r="H55" t="str">
            <v>HSh</v>
          </cell>
          <cell r="I55">
            <v>28.748000000000001</v>
          </cell>
          <cell r="J55">
            <v>3.113</v>
          </cell>
          <cell r="K55">
            <v>108.28579379435091</v>
          </cell>
          <cell r="L55">
            <v>440</v>
          </cell>
        </row>
        <row r="56">
          <cell r="H56" t="str">
            <v>ZBH</v>
          </cell>
          <cell r="I56">
            <v>51.128999999999998</v>
          </cell>
          <cell r="J56">
            <v>3.972</v>
          </cell>
          <cell r="K56">
            <v>77.685853429560524</v>
          </cell>
          <cell r="L56">
            <v>608.495</v>
          </cell>
        </row>
        <row r="57">
          <cell r="H57" t="str">
            <v>ZRS</v>
          </cell>
          <cell r="I57" t="str">
            <v xml:space="preserve">            "   </v>
          </cell>
          <cell r="J57" t="str">
            <v xml:space="preserve">        "   </v>
          </cell>
          <cell r="K57" t="str">
            <v xml:space="preserve">            "   </v>
          </cell>
          <cell r="L57">
            <v>424</v>
          </cell>
        </row>
        <row r="58">
          <cell r="H58" t="str">
            <v>BDZ</v>
          </cell>
          <cell r="I58">
            <v>110.91200000000001</v>
          </cell>
          <cell r="J58">
            <v>8.2249999999999996</v>
          </cell>
          <cell r="K58">
            <v>74.157890940565494</v>
          </cell>
          <cell r="L58">
            <v>4320</v>
          </cell>
        </row>
        <row r="59">
          <cell r="H59" t="str">
            <v>HZ</v>
          </cell>
          <cell r="I59">
            <v>56.537999999999997</v>
          </cell>
          <cell r="J59">
            <v>4.4729999999999999</v>
          </cell>
          <cell r="K59">
            <v>79.114931550461634</v>
          </cell>
          <cell r="L59">
            <v>2726.8</v>
          </cell>
        </row>
        <row r="60">
          <cell r="H60" t="str">
            <v>GYSEV/RÖEE</v>
          </cell>
          <cell r="I60">
            <v>93.03</v>
          </cell>
          <cell r="J60">
            <v>10.036</v>
          </cell>
          <cell r="K60">
            <v>107.87917875953993</v>
          </cell>
          <cell r="L60">
            <v>220</v>
          </cell>
        </row>
        <row r="61">
          <cell r="H61" t="str">
            <v>MÁV Rt.</v>
          </cell>
          <cell r="I61" t="str">
            <v xml:space="preserve">            "   </v>
          </cell>
          <cell r="J61" t="str">
            <v xml:space="preserve">        "   </v>
          </cell>
          <cell r="K61" t="str">
            <v xml:space="preserve">            "   </v>
          </cell>
          <cell r="L61">
            <v>7784</v>
          </cell>
        </row>
        <row r="62">
          <cell r="H62" t="str">
            <v>CFARYM</v>
          </cell>
          <cell r="I62">
            <v>25.713000000000001</v>
          </cell>
          <cell r="J62">
            <v>2.024</v>
          </cell>
          <cell r="K62">
            <v>78.715046863454276</v>
          </cell>
          <cell r="L62">
            <v>699</v>
          </cell>
        </row>
        <row r="63">
          <cell r="H63" t="str">
            <v>PKP</v>
          </cell>
          <cell r="I63">
            <v>312.685</v>
          </cell>
          <cell r="J63">
            <v>38.765000000000001</v>
          </cell>
          <cell r="K63">
            <v>123.97460703263668</v>
          </cell>
          <cell r="L63">
            <v>22560</v>
          </cell>
        </row>
        <row r="64">
          <cell r="H64" t="str">
            <v>CFR</v>
          </cell>
          <cell r="I64">
            <v>238.39099999999999</v>
          </cell>
          <cell r="J64">
            <v>22.327000000000002</v>
          </cell>
          <cell r="K64">
            <v>93.657059201060449</v>
          </cell>
          <cell r="L64">
            <v>11364</v>
          </cell>
        </row>
        <row r="65">
          <cell r="H65" t="str">
            <v>ZSR</v>
          </cell>
          <cell r="I65">
            <v>49</v>
          </cell>
          <cell r="J65">
            <v>5.3869999999999996</v>
          </cell>
          <cell r="K65">
            <v>109.93877551020408</v>
          </cell>
          <cell r="L65">
            <v>3662</v>
          </cell>
        </row>
        <row r="66">
          <cell r="H66" t="str">
            <v>SZ</v>
          </cell>
          <cell r="I66">
            <v>20.256</v>
          </cell>
          <cell r="J66">
            <v>1.986</v>
          </cell>
          <cell r="K66">
            <v>98.045023696682463</v>
          </cell>
          <cell r="L66">
            <v>1201.5</v>
          </cell>
        </row>
        <row r="67">
          <cell r="H67" t="str">
            <v>CD</v>
          </cell>
          <cell r="I67">
            <v>78.864000000000004</v>
          </cell>
          <cell r="J67">
            <v>10.244</v>
          </cell>
          <cell r="K67">
            <v>129.89450192736862</v>
          </cell>
          <cell r="L67">
            <v>9365</v>
          </cell>
        </row>
        <row r="68">
          <cell r="H68" t="str">
            <v>JZ</v>
          </cell>
          <cell r="I68">
            <v>102.173</v>
          </cell>
          <cell r="J68">
            <v>10.64</v>
          </cell>
          <cell r="K68">
            <v>104.13710079962416</v>
          </cell>
          <cell r="L68">
            <v>4057.7</v>
          </cell>
        </row>
        <row r="69">
          <cell r="I69">
            <v>1167.4389999999999</v>
          </cell>
          <cell r="J69">
            <v>121.19200000000001</v>
          </cell>
          <cell r="K69">
            <v>103.81013483359732</v>
          </cell>
          <cell r="L69">
            <v>69432.494999999995</v>
          </cell>
        </row>
        <row r="71">
          <cell r="H71" t="str">
            <v>BC</v>
          </cell>
          <cell r="I71">
            <v>207.6</v>
          </cell>
          <cell r="J71">
            <v>10.236000000000001</v>
          </cell>
          <cell r="K71">
            <v>49.306358381502896</v>
          </cell>
          <cell r="L71">
            <v>5512</v>
          </cell>
        </row>
        <row r="72">
          <cell r="H72" t="str">
            <v>EVR</v>
          </cell>
          <cell r="I72">
            <v>45.225999999999999</v>
          </cell>
          <cell r="J72">
            <v>1.3959999999999999</v>
          </cell>
          <cell r="K72">
            <v>30.867200283023038</v>
          </cell>
          <cell r="L72">
            <v>968</v>
          </cell>
        </row>
        <row r="73">
          <cell r="H73" t="str">
            <v>LDZ</v>
          </cell>
          <cell r="I73">
            <v>64.616</v>
          </cell>
          <cell r="J73">
            <v>2.3570000000000002</v>
          </cell>
          <cell r="K73">
            <v>36.477033552061407</v>
          </cell>
          <cell r="L73">
            <v>2331</v>
          </cell>
        </row>
        <row r="74">
          <cell r="H74" t="str">
            <v>LG</v>
          </cell>
          <cell r="I74">
            <v>65.3</v>
          </cell>
          <cell r="J74">
            <v>3.67</v>
          </cell>
          <cell r="K74">
            <v>56.202143950995413</v>
          </cell>
          <cell r="L74">
            <v>1905</v>
          </cell>
        </row>
        <row r="75">
          <cell r="H75" t="str">
            <v>CFM (E)</v>
          </cell>
          <cell r="I75">
            <v>33.76</v>
          </cell>
          <cell r="J75">
            <v>4.38</v>
          </cell>
          <cell r="K75">
            <v>129.739336492891</v>
          </cell>
          <cell r="L75">
            <v>1139</v>
          </cell>
        </row>
        <row r="76">
          <cell r="H76" t="str">
            <v>RZD</v>
          </cell>
          <cell r="I76">
            <v>17075.400000000001</v>
          </cell>
          <cell r="J76">
            <v>146.934</v>
          </cell>
          <cell r="K76">
            <v>8.6050107171720711</v>
          </cell>
          <cell r="L76">
            <v>86075</v>
          </cell>
        </row>
        <row r="77">
          <cell r="H77" t="str">
            <v>UZ</v>
          </cell>
          <cell r="I77">
            <v>603.70000000000005</v>
          </cell>
          <cell r="J77">
            <v>50.456000000000003</v>
          </cell>
          <cell r="K77">
            <v>83.577936060957427</v>
          </cell>
          <cell r="L77">
            <v>22302</v>
          </cell>
        </row>
        <row r="78">
          <cell r="I78">
            <v>18095.602000000003</v>
          </cell>
          <cell r="J78">
            <v>219.42899999999997</v>
          </cell>
          <cell r="K78">
            <v>12.126095611519304</v>
          </cell>
          <cell r="L78">
            <v>120232</v>
          </cell>
        </row>
        <row r="79">
          <cell r="H79" t="str">
            <v>TCDD</v>
          </cell>
          <cell r="I79">
            <v>779.452</v>
          </cell>
          <cell r="J79">
            <v>66.590999999999994</v>
          </cell>
          <cell r="K79">
            <v>85.433099151711716</v>
          </cell>
          <cell r="L79">
            <v>8671</v>
          </cell>
        </row>
        <row r="80">
          <cell r="I80">
            <v>23708.784000000003</v>
          </cell>
          <cell r="J80">
            <v>794.33900000000006</v>
          </cell>
          <cell r="K80">
            <v>33.503995818596181</v>
          </cell>
          <cell r="L80">
            <v>359459.08199999999</v>
          </cell>
        </row>
        <row r="81">
          <cell r="I81" t="str">
            <v>Tausend</v>
          </cell>
          <cell r="J81" t="str">
            <v>Millionen</v>
          </cell>
          <cell r="K81" t="str">
            <v>Einwohner</v>
          </cell>
          <cell r="L81" t="str">
            <v>in Kilometer</v>
          </cell>
        </row>
        <row r="82">
          <cell r="I82" t="str">
            <v>km²</v>
          </cell>
          <cell r="K82" t="str">
            <v>/km²</v>
          </cell>
          <cell r="L82" t="str">
            <v>Gesamt-</v>
          </cell>
        </row>
        <row r="83">
          <cell r="I83" t="str">
            <v>Fläche des</v>
          </cell>
          <cell r="J83" t="str">
            <v>Bevölke-</v>
          </cell>
          <cell r="K83" t="str">
            <v>Bevölke-</v>
          </cell>
          <cell r="L83" t="str">
            <v>summe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過程シート"/>
      <sheetName val="メイン"/>
      <sheetName val="BS"/>
      <sheetName val="土地賃貸借契約の概要"/>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s"/>
      <sheetName val="To do"/>
      <sheetName val="Issues"/>
      <sheetName val="Requests"/>
      <sheetName val="Questions2"/>
      <sheetName val="Questions1"/>
      <sheetName val="Non op ex"/>
      <sheetName val="Summary IS"/>
      <sheetName val="A"/>
      <sheetName val="Historical IS"/>
      <sheetName val="Hist sales GM"/>
      <sheetName val="EBITDA"/>
      <sheetName val="R&amp;D Rpt"/>
      <sheetName val="R&amp;D"/>
      <sheetName val="Selling Rpt"/>
      <sheetName val="Selling"/>
      <sheetName val="G&amp;A rpt"/>
      <sheetName val="G&amp;A"/>
      <sheetName val="Hdct"/>
      <sheetName val="Other op ex"/>
      <sheetName val="Notes"/>
      <sheetName val="Sheet1"/>
      <sheetName val="DSO"/>
      <sheetName val="NWC graph"/>
      <sheetName val="Income Statement"/>
      <sheetName val="Controls"/>
      <sheetName val="D&amp;A"/>
      <sheetName val="graphs"/>
      <sheetName val="PIA Identifiers"/>
      <sheetName val="Fund Managers"/>
      <sheetName val="Long-Term Care Comps"/>
      <sheetName val="Football"/>
      <sheetName val="LBO Valuation Analysis"/>
      <sheetName val="Sheet1 (2)"/>
      <sheetName val="Sheet3"/>
      <sheetName val="Buy"/>
      <sheetName val="Summary"/>
      <sheetName val="Spin 1"/>
      <sheetName val="Sec Equity"/>
      <sheetName val="GRAPH &amp; SOURCE DATA"/>
      <sheetName val="Projections"/>
      <sheetName val="LBO Assumptions"/>
      <sheetName val="Sale"/>
      <sheetName val="Split"/>
      <sheetName val="TargetDCF"/>
      <sheetName val="Contents"/>
      <sheetName val="model"/>
      <sheetName val="Over"/>
      <sheetName val="P&amp;L"/>
      <sheetName val="Shipping"/>
      <sheetName val="NWCG"/>
      <sheetName val="Valuation Characteristics"/>
      <sheetName val="2010 Liquidity"/>
      <sheetName val="Sheet2"/>
      <sheetName val="Tri Tool Template"/>
      <sheetName val="Input"/>
      <sheetName val="Herramientas para análisis-VBA"/>
      <sheetName val="Valuation Comments"/>
      <sheetName val="Exemption Codes"/>
      <sheetName val="Income Codes"/>
      <sheetName val="Recipient and WHA Status Codes"/>
      <sheetName val="Other drop down option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lookups"/>
      <sheetName val="Ranpak"/>
      <sheetName val="To_do"/>
      <sheetName val="Non_op_ex"/>
      <sheetName val="Summary_IS"/>
      <sheetName val="Historical_IS"/>
      <sheetName val="Hist_sales_GM"/>
      <sheetName val="R&amp;D_Rpt"/>
      <sheetName val="Selling_Rpt"/>
      <sheetName val="G&amp;A_rpt"/>
      <sheetName val="Other_op_ex"/>
      <sheetName val="NWC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ec3 sum"/>
      <sheetName val="asp"/>
      <sheetName val="sap"/>
      <sheetName val="assumptions"/>
      <sheetName val="F"/>
      <sheetName val="cost bonus"/>
      <sheetName val="cost bonus2"/>
      <sheetName val="bod opex"/>
      <sheetName val="chrono"/>
      <sheetName val="revenue"/>
      <sheetName val="units"/>
      <sheetName val="highlights"/>
      <sheetName val="engineering"/>
      <sheetName val="cost file"/>
      <sheetName val="sga"/>
      <sheetName val="sga2"/>
      <sheetName val="Historical IS"/>
      <sheetName val="添付用"/>
      <sheetName val="添付用_所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
          <cell r="P10">
            <v>91.7</v>
          </cell>
          <cell r="Q10">
            <v>109.1</v>
          </cell>
          <cell r="R10">
            <v>120.8</v>
          </cell>
        </row>
        <row r="45">
          <cell r="P45">
            <v>148.1</v>
          </cell>
          <cell r="Q45">
            <v>177</v>
          </cell>
          <cell r="R45">
            <v>217.70000000000002</v>
          </cell>
        </row>
        <row r="46">
          <cell r="P46">
            <v>152.30000000000001</v>
          </cell>
          <cell r="Q46">
            <v>188.4</v>
          </cell>
          <cell r="R46">
            <v>213.9</v>
          </cell>
        </row>
        <row r="77">
          <cell r="P77">
            <v>371.2</v>
          </cell>
          <cell r="Q77">
            <v>432</v>
          </cell>
          <cell r="R77">
            <v>468.30000000000007</v>
          </cell>
        </row>
        <row r="78">
          <cell r="P78">
            <v>0</v>
          </cell>
          <cell r="Q78">
            <v>0</v>
          </cell>
          <cell r="R78">
            <v>97.9</v>
          </cell>
        </row>
        <row r="81">
          <cell r="P81" t="str">
            <v xml:space="preserve">1996 </v>
          </cell>
          <cell r="Q81" t="str">
            <v xml:space="preserve">1997 </v>
          </cell>
          <cell r="R81" t="str">
            <v xml:space="preserve">1998 </v>
          </cell>
        </row>
        <row r="82">
          <cell r="P82">
            <v>267.2</v>
          </cell>
          <cell r="Q82">
            <v>326</v>
          </cell>
          <cell r="R82">
            <v>368.1</v>
          </cell>
        </row>
      </sheetData>
      <sheetData sheetId="11" refreshError="1"/>
      <sheetData sheetId="12" refreshError="1"/>
      <sheetData sheetId="13" refreshError="1">
        <row r="7">
          <cell r="P7">
            <v>14.247999999999999</v>
          </cell>
          <cell r="Q7">
            <v>15.250999999999999</v>
          </cell>
          <cell r="R7">
            <v>15.183999999999999</v>
          </cell>
          <cell r="S7">
            <v>14.958</v>
          </cell>
          <cell r="T7">
            <v>26.911000000000001</v>
          </cell>
        </row>
        <row r="16">
          <cell r="P16">
            <v>4.2850000000000001</v>
          </cell>
          <cell r="Q16">
            <v>5.1609999999999996</v>
          </cell>
          <cell r="R16">
            <v>3.298</v>
          </cell>
          <cell r="S16">
            <v>1.7840000000000007</v>
          </cell>
          <cell r="T16">
            <v>10.664000000000001</v>
          </cell>
        </row>
        <row r="42">
          <cell r="Q42">
            <v>14.349999999999998</v>
          </cell>
          <cell r="R42">
            <v>16.510999999999999</v>
          </cell>
          <cell r="S42">
            <v>21.537000000000003</v>
          </cell>
          <cell r="U42">
            <v>17.942999999999998</v>
          </cell>
          <cell r="V42">
            <v>20.970999999999997</v>
          </cell>
          <cell r="W42">
            <v>26.556000000000004</v>
          </cell>
        </row>
        <row r="46">
          <cell r="Q46">
            <v>4.51</v>
          </cell>
          <cell r="R46">
            <v>10.840999999999999</v>
          </cell>
          <cell r="S46">
            <v>14.196999999999999</v>
          </cell>
          <cell r="U46">
            <v>2.0550000000000002</v>
          </cell>
          <cell r="V46">
            <v>2.6640000000000001</v>
          </cell>
          <cell r="W46">
            <v>1.796</v>
          </cell>
        </row>
        <row r="48">
          <cell r="Q48" t="str">
            <v xml:space="preserve">1996 </v>
          </cell>
          <cell r="R48" t="str">
            <v xml:space="preserve">1997 </v>
          </cell>
          <cell r="S48" t="str">
            <v xml:space="preserve">1998 </v>
          </cell>
        </row>
        <row r="49">
          <cell r="Q49">
            <v>2.2290000000000001</v>
          </cell>
          <cell r="R49">
            <v>1</v>
          </cell>
          <cell r="S49">
            <v>1.8</v>
          </cell>
        </row>
        <row r="50">
          <cell r="Q50">
            <v>0</v>
          </cell>
          <cell r="R50">
            <v>0</v>
          </cell>
          <cell r="S50">
            <v>0</v>
          </cell>
        </row>
      </sheetData>
      <sheetData sheetId="14" refreshError="1"/>
      <sheetData sheetId="15" refreshError="1">
        <row r="7">
          <cell r="P7">
            <v>149.6</v>
          </cell>
          <cell r="Q7">
            <v>165.2</v>
          </cell>
          <cell r="R7">
            <v>192</v>
          </cell>
        </row>
        <row r="9">
          <cell r="P9" t="str">
            <v xml:space="preserve">1996 </v>
          </cell>
          <cell r="Q9" t="str">
            <v xml:space="preserve">1997 </v>
          </cell>
          <cell r="R9" t="str">
            <v xml:space="preserve">1998 </v>
          </cell>
        </row>
        <row r="10">
          <cell r="P10">
            <v>22.780569514237854</v>
          </cell>
          <cell r="Q10">
            <v>21.338155515370701</v>
          </cell>
          <cell r="R10">
            <v>20.210695447398745</v>
          </cell>
        </row>
        <row r="11">
          <cell r="P11">
            <v>22.780569514237854</v>
          </cell>
          <cell r="Q11">
            <v>21.338155515370701</v>
          </cell>
          <cell r="R11">
            <v>19.7207855179179</v>
          </cell>
        </row>
        <row r="12">
          <cell r="P12">
            <v>22.780569514237854</v>
          </cell>
          <cell r="Q12">
            <v>21.338155515370701</v>
          </cell>
          <cell r="R12">
            <v>21.925515939079265</v>
          </cell>
        </row>
      </sheetData>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総括"/>
      <sheetName val="重要総括事項"/>
      <sheetName val="実態分析"/>
      <sheetName val="関係会社投融資評価"/>
      <sheetName val="BS・PL・CF"/>
      <sheetName val="10年"/>
      <sheetName val="デュポン"/>
      <sheetName val="部門別"/>
      <sheetName val="円"/>
      <sheetName val="棒"/>
      <sheetName val="バブル"/>
      <sheetName val="損益"/>
      <sheetName val="人員推移"/>
      <sheetName val="運転資金"/>
      <sheetName val="余剰資産"/>
      <sheetName val="売上債権"/>
      <sheetName val="売上債権 (2)"/>
      <sheetName val="売上債権 (3)"/>
      <sheetName val="貸倒実績"/>
      <sheetName val="棚卸資産"/>
      <sheetName val="棚卸資産 (2)"/>
      <sheetName val="その他流動資産"/>
      <sheetName val="有形・無形固定資産"/>
      <sheetName val="有形・無形固定資産 (減価償却費)"/>
      <sheetName val="有形・無形固定資産 (償却率)"/>
      <sheetName val="有形・無形固定資産 (設備投資)"/>
      <sheetName val="リース債務"/>
      <sheetName val="投資有価証券・貸付金"/>
      <sheetName val="その他投資等"/>
      <sheetName val="仕入債務"/>
      <sheetName val="仕入債務 (2)"/>
      <sheetName val="社債・借入金・現金預金"/>
      <sheetName val="借入金返済スケジュール"/>
      <sheetName val="その他負債"/>
      <sheetName val="退職給付引当金"/>
      <sheetName val="退職給付引当金 (3)"/>
      <sheetName val="資本の部"/>
      <sheetName val="売上高(得意先別）"/>
      <sheetName val="売上高(部門別)"/>
      <sheetName val="売上原価"/>
      <sheetName val="販管費 (本社その他)"/>
      <sheetName val="販管費"/>
      <sheetName val="物流費"/>
      <sheetName val="販売費"/>
      <sheetName val="人件費"/>
      <sheetName val="管理費"/>
      <sheetName val="営業外損益"/>
      <sheetName val="特別損益"/>
      <sheetName val="税金関係"/>
      <sheetName val="税効果"/>
      <sheetName val="不使用（担保提供資産）"/>
      <sheetName val="税金関係 (2)"/>
      <sheetName val="保証債務 "/>
      <sheetName val="関係会社取引"/>
      <sheetName val="03bs"/>
      <sheetName val="02bs"/>
      <sheetName val="01bs"/>
      <sheetName val="03pl"/>
      <sheetName val="02pl"/>
      <sheetName val="01pl"/>
      <sheetName val="Compdata"/>
      <sheetName val="Billto"/>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VTA LAIRD"/>
      <sheetName val="LP VTA CAMBIUM"/>
      <sheetName val="Cálculo LPVta Laird"/>
      <sheetName val="Cálculo LPVta Cambium"/>
      <sheetName val="STOCK"/>
      <sheetName val="EPMP "/>
      <sheetName val="CnPilot"/>
      <sheetName val="CORE"/>
    </sheetNames>
    <sheetDataSet>
      <sheetData sheetId="0"/>
      <sheetData sheetId="1"/>
      <sheetData sheetId="2"/>
      <sheetData sheetId="3">
        <row r="4">
          <cell r="AA4">
            <v>0.2</v>
          </cell>
        </row>
      </sheetData>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Total Proyectos"/>
      <sheetName val="AXIS Octubre 21-19"/>
      <sheetName val="KANTECH Octubre 21-19"/>
      <sheetName val="FURUKAWA Octubre 21-19"/>
      <sheetName val="TRENDnet Octubre 21-19"/>
      <sheetName val="Bod (01-06-Sat) Proyectos"/>
      <sheetName val="Outlet Proyectos"/>
      <sheetName val="Bazar Proyectos"/>
      <sheetName val="Resumen_Inv"/>
    </sheetNames>
    <sheetDataSet>
      <sheetData sheetId="0"/>
      <sheetData sheetId="1"/>
      <sheetData sheetId="2"/>
      <sheetData sheetId="3"/>
      <sheetData sheetId="4"/>
      <sheetData sheetId="5"/>
      <sheetData sheetId="6"/>
      <sheetData sheetId="7"/>
      <sheetData sheetId="8">
        <row r="66">
          <cell r="I66">
            <v>3630216739.0694995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orrower&amp;Loan Basics"/>
      <sheetName val="Credit Review&amp;Bus Desc"/>
      <sheetName val="Repayment Terms"/>
      <sheetName val="BS &amp; Cap"/>
      <sheetName val="Financials"/>
      <sheetName val="JIN Fin"/>
      <sheetName val="bus-valuation"/>
      <sheetName val="JIN B-S &amp; Cap"/>
      <sheetName val="JIN- Valuation"/>
      <sheetName val="Valuation"/>
      <sheetName val="JIN- PX"/>
      <sheetName val="Comps"/>
      <sheetName val="JIN Sales"/>
      <sheetName val="DEBTS"/>
      <sheetName val="Assets"/>
      <sheetName val="JIN Affilates"/>
      <sheetName val="#REF"/>
      <sheetName val="jinroindustries"/>
      <sheetName val="Keibai"/>
      <sheetName val="計算過程シート"/>
      <sheetName val="部門別(売上-EBIT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7502D1-91B2-400A-A3DB-26B6794AD059}" name="Tabla111" displayName="Tabla111" ref="A1:T55" totalsRowShown="0" headerRowDxfId="24" headerRowBorderDxfId="23" tableBorderDxfId="22" totalsRowBorderDxfId="21">
  <autoFilter ref="A1:T55" xr:uid="{C34C2694-7347-46C0-8473-0F220A5F904B}"/>
  <tableColumns count="20">
    <tableColumn id="3" xr3:uid="{E673501F-8CE0-4DA6-946C-FC8BE9C31C8B}" name="REFERENCIA" dataDxfId="1"/>
    <tableColumn id="4" xr3:uid="{72841246-E2B3-40BE-BA8E-785D5276198C}" name="DESCRIPCIÓN " dataDxfId="0"/>
    <tableColumn id="5" xr3:uid="{A149C6DC-FC33-498F-8D4F-2033B839FAEF}" name="PRECIO  INSTALADOR_x000a_( CON  IVA)" dataDxfId="20" dataCellStyle="Moneda">
      <calculatedColumnFormula>+Tabla111[[#This Row],[PRECIO SUGERIDO INSTALADOR]]</calculatedColumnFormula>
    </tableColumn>
    <tableColumn id="1" xr3:uid="{885FB296-B6E0-4EE3-8A66-5980A304C139}" name="PRECIO TIENDA ( CON  IVA)" dataDxfId="19" dataCellStyle="Moneda">
      <calculatedColumnFormula>+Tabla111[[#This Row],[PRECIO  INSTALADOR
( CON  IVA)]]-Tabla111[[#This Row],[Columna9]]</calculatedColumnFormula>
    </tableColumn>
    <tableColumn id="18" xr3:uid="{63611152-3AEF-4770-A4D2-67B8A6951292}" name="PRECIO DPP ORO ( CON  IVA)" dataDxfId="18" dataCellStyle="Moneda">
      <calculatedColumnFormula>+Tabla111[[#This Row],[DPP ORO]]</calculatedColumnFormula>
    </tableColumn>
    <tableColumn id="19" xr3:uid="{C76A1A81-ABA7-4FE8-A6D5-12914A8C5073}" name="PRECIO DPP PLATINO ( CON  IVA)" dataDxfId="17" dataCellStyle="Moneda">
      <calculatedColumnFormula>+Tabla111[[#This Row],[PLARTINO]]</calculatedColumnFormula>
    </tableColumn>
    <tableColumn id="20" xr3:uid="{EAA88730-DB51-4528-8809-0293AE33AD82}" name="PRECIO CLIENTE FINAL ( CON  IVA)" dataDxfId="16" dataCellStyle="Moneda">
      <calculatedColumnFormula>+Tabla111[[#This Row],[PRECIO  INSTALADOR
( CON  IVA)]]/0.7</calculatedColumnFormula>
    </tableColumn>
    <tableColumn id="6" xr3:uid="{66E37BBF-EABA-4EE9-B4C9-2D8E963877A2}" name="PRECIO SUGERIDO INSTALADOR_x000a_( CON  IVA)" dataDxfId="15" dataCellStyle="Moneda">
      <calculatedColumnFormula>+P2</calculatedColumnFormula>
    </tableColumn>
    <tableColumn id="7" xr3:uid="{DD6157FF-ED44-47E4-A2CB-E1BD8FC4DE64}" name=" ORO" dataDxfId="14" dataCellStyle="Moneda">
      <calculatedColumnFormula>+N2</calculatedColumnFormula>
    </tableColumn>
    <tableColumn id="8" xr3:uid="{E927791D-5222-4742-AA7D-080D17609BD1}" name="PLATINO" dataDxfId="13" dataCellStyle="Moneda">
      <calculatedColumnFormula>+K2</calculatedColumnFormula>
    </tableColumn>
    <tableColumn id="9" xr3:uid="{A6C2E985-9F49-4C35-9D2B-8017444F1F55}" name="Columna3" dataDxfId="12" dataCellStyle="Moneda">
      <calculatedColumnFormula>+L2/#REF!</calculatedColumnFormula>
    </tableColumn>
    <tableColumn id="10" xr3:uid="{AA446FA5-6D65-48F3-B58A-296662AD0A35}" name="PLARTINO" dataDxfId="11" dataCellStyle="Moneda">
      <calculatedColumnFormula>+O2-M2</calculatedColumnFormula>
    </tableColumn>
    <tableColumn id="11" xr3:uid="{FF08503C-D85F-45A4-92FA-85C2BD9F57B0}" name="DPP PLATINO" dataDxfId="10" dataCellStyle="Moneda">
      <calculatedColumnFormula>+O2*1%</calculatedColumnFormula>
    </tableColumn>
    <tableColumn id="12" xr3:uid="{02499F2D-4054-46CD-839F-AC4BD111D6D4}" name="Columna6" dataDxfId="9" dataCellStyle="Moneda">
      <calculatedColumnFormula>+O2/#REF!</calculatedColumnFormula>
    </tableColumn>
    <tableColumn id="13" xr3:uid="{22C48436-36B8-4358-B01E-1968FF199B59}" name="DPP ORO" dataDxfId="8">
      <calculatedColumnFormula>Tabla111[[#This Row],[ORO SIN IVA]]*1.19</calculatedColumnFormula>
    </tableColumn>
    <tableColumn id="14" xr3:uid="{48B2275C-3399-4D04-A7CF-D30DE60C2587}" name="Columna8" dataDxfId="7" dataCellStyle="Moneda">
      <calculatedColumnFormula>+R2/#REF!</calculatedColumnFormula>
    </tableColumn>
    <tableColumn id="2" xr3:uid="{9F614109-3F19-4652-BBFA-3E55B58FE684}" name="Columna9" dataDxfId="6" dataCellStyle="Moneda">
      <calculatedColumnFormula>+Tabla111[[#This Row],[PRECIO SUGERIDO INSTALADOR]]*5%</calculatedColumnFormula>
    </tableColumn>
    <tableColumn id="15" xr3:uid="{8235EC15-49D8-4536-8770-11230C6969A0}" name="PRECIO SUGERIDO INSTALADOR" dataDxfId="5">
      <calculatedColumnFormula>Tabla111[[#This Row],[INSTALLER SIN IVA]]*1.19</calculatedColumnFormula>
    </tableColumn>
    <tableColumn id="16" xr3:uid="{F8F0A912-B32C-4DED-B65B-E2108583A59B}" name="ORO SIN IVA" dataDxfId="4" dataCellStyle="Moneda"/>
    <tableColumn id="17" xr3:uid="{3F20138F-DD71-4D01-9D20-31BC9F14E7D4}" name="INSTALLER SIN IVA" dataDxfId="3" dataCellStyle="Moneda"/>
  </tableColumns>
  <tableStyleInfo name="TableStyleMedium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A331-6713-408A-8D51-D8E3769B0A6A}">
  <sheetPr>
    <pageSetUpPr fitToPage="1"/>
  </sheetPr>
  <dimension ref="A1:T55"/>
  <sheetViews>
    <sheetView showGridLines="0" tabSelected="1" view="pageBreakPreview" zoomScale="60" zoomScaleNormal="91" workbookViewId="0">
      <pane xSplit="1" ySplit="1" topLeftCell="B19" activePane="bottomRight" state="frozen"/>
      <selection pane="topRight"/>
      <selection pane="bottomLeft"/>
      <selection pane="bottomRight" activeCell="G28" sqref="G28"/>
    </sheetView>
  </sheetViews>
  <sheetFormatPr baseColWidth="10" defaultColWidth="10.5703125" defaultRowHeight="13.5" x14ac:dyDescent="0.25"/>
  <cols>
    <col min="1" max="2" width="39.5703125" style="7" customWidth="1"/>
    <col min="3" max="3" width="15.140625" style="8" bestFit="1" customWidth="1"/>
    <col min="4" max="4" width="13.85546875" style="8" bestFit="1" customWidth="1"/>
    <col min="5" max="5" width="14" style="8" customWidth="1"/>
    <col min="6" max="6" width="15" style="8" bestFit="1" customWidth="1"/>
    <col min="7" max="7" width="14.28515625" style="8" customWidth="1"/>
    <col min="8" max="8" width="3.5703125" style="3" customWidth="1"/>
    <col min="9" max="9" width="2.42578125" style="4" customWidth="1"/>
    <col min="10" max="10" width="3.28515625" style="4" customWidth="1"/>
    <col min="11" max="11" width="1.5703125" style="4" customWidth="1"/>
    <col min="12" max="12" width="8.85546875" style="4" customWidth="1"/>
    <col min="13" max="13" width="3.5703125" style="4" customWidth="1"/>
    <col min="14" max="14" width="2.140625" style="3" customWidth="1"/>
    <col min="15" max="15" width="12.140625" style="3" customWidth="1"/>
    <col min="16" max="16" width="2.28515625" style="3" customWidth="1"/>
    <col min="17" max="17" width="11.5703125" style="3" customWidth="1"/>
    <col min="18" max="18" width="11.42578125" style="3" customWidth="1"/>
    <col min="19" max="19" width="16.42578125" style="3" customWidth="1"/>
    <col min="20" max="20" width="16" style="3" customWidth="1"/>
    <col min="21" max="16384" width="10.5703125" style="2"/>
  </cols>
  <sheetData>
    <row r="1" spans="1:20" ht="81" customHeight="1" x14ac:dyDescent="0.25">
      <c r="A1" s="22" t="s">
        <v>0</v>
      </c>
      <c r="B1" s="22" t="s">
        <v>1</v>
      </c>
      <c r="C1" s="22" t="s">
        <v>2</v>
      </c>
      <c r="D1" s="22" t="s">
        <v>3</v>
      </c>
      <c r="E1" s="22" t="s">
        <v>4</v>
      </c>
      <c r="F1" s="22" t="s">
        <v>5</v>
      </c>
      <c r="G1" s="22" t="s">
        <v>6</v>
      </c>
      <c r="H1" s="17" t="s">
        <v>11</v>
      </c>
      <c r="I1" s="18" t="s">
        <v>12</v>
      </c>
      <c r="J1" s="20" t="s">
        <v>13</v>
      </c>
      <c r="K1" s="21" t="s">
        <v>7</v>
      </c>
      <c r="L1" s="21" t="s">
        <v>19</v>
      </c>
      <c r="M1" s="20" t="s">
        <v>17</v>
      </c>
      <c r="N1" s="19" t="s">
        <v>8</v>
      </c>
      <c r="O1" s="18" t="s">
        <v>16</v>
      </c>
      <c r="P1" s="17" t="s">
        <v>9</v>
      </c>
      <c r="Q1" s="17" t="s">
        <v>18</v>
      </c>
      <c r="R1" s="17" t="s">
        <v>10</v>
      </c>
      <c r="S1" s="16" t="s">
        <v>14</v>
      </c>
      <c r="T1" s="15" t="s">
        <v>15</v>
      </c>
    </row>
    <row r="2" spans="1:20" ht="42.75" customHeight="1" x14ac:dyDescent="0.25">
      <c r="A2" s="23" t="s">
        <v>20</v>
      </c>
      <c r="B2" s="24" t="s">
        <v>21</v>
      </c>
      <c r="C2" s="9">
        <f>+Tabla111[[#This Row],[PRECIO SUGERIDO INSTALADOR]]</f>
        <v>404176.36</v>
      </c>
      <c r="D2" s="9">
        <f>+Tabla111[[#This Row],[PRECIO  INSTALADOR
( CON  IVA)]]-Tabla111[[#This Row],[Columna9]]</f>
        <v>383967.54200000002</v>
      </c>
      <c r="E2" s="9">
        <f>+Tabla111[[#This Row],[DPP ORO]]</f>
        <v>336255.92</v>
      </c>
      <c r="F2" s="9">
        <f>+Tabla111[[#This Row],[PLARTINO]]</f>
        <v>332893.36079999997</v>
      </c>
      <c r="G2" s="9">
        <f>+Tabla111[[#This Row],[PRECIO  INSTALADOR
( CON  IVA)]]/0.7</f>
        <v>577394.80000000005</v>
      </c>
      <c r="H2" s="12" t="e">
        <f t="shared" ref="H2:H10" si="0">+P2</f>
        <v>#REF!</v>
      </c>
      <c r="I2" s="12" t="e">
        <f t="shared" ref="I2:I10" si="1">+N2</f>
        <v>#REF!</v>
      </c>
      <c r="J2" s="13" t="e">
        <f t="shared" ref="J2:J10" si="2">+K2</f>
        <v>#REF!</v>
      </c>
      <c r="K2" s="13" t="e">
        <f>+L2/#REF!</f>
        <v>#REF!</v>
      </c>
      <c r="L2" s="13">
        <f t="shared" ref="L2:L10" si="3">+O2-M2</f>
        <v>332893.36079999997</v>
      </c>
      <c r="M2" s="6">
        <f t="shared" ref="M2:M10" si="4">+O2*1%</f>
        <v>3362.5591999999997</v>
      </c>
      <c r="N2" s="1" t="e">
        <f>+O2/#REF!</f>
        <v>#REF!</v>
      </c>
      <c r="O2" s="5">
        <f>Tabla111[[#This Row],[ORO SIN IVA]]*1.19</f>
        <v>336255.92</v>
      </c>
      <c r="P2" s="12" t="e">
        <f>+R2/#REF!</f>
        <v>#REF!</v>
      </c>
      <c r="Q2" s="12">
        <f>+Tabla111[[#This Row],[PRECIO SUGERIDO INSTALADOR]]*5%</f>
        <v>20208.817999999999</v>
      </c>
      <c r="R2" s="5">
        <f>Tabla111[[#This Row],[INSTALLER SIN IVA]]*1.19</f>
        <v>404176.36</v>
      </c>
      <c r="S2" s="1">
        <v>282568</v>
      </c>
      <c r="T2" s="14">
        <v>339644</v>
      </c>
    </row>
    <row r="3" spans="1:20" ht="40.5" x14ac:dyDescent="0.25">
      <c r="A3" s="23" t="s">
        <v>22</v>
      </c>
      <c r="B3" s="24" t="s">
        <v>23</v>
      </c>
      <c r="C3" s="9">
        <f>+Tabla111[[#This Row],[PRECIO SUGERIDO INSTALADOR]]</f>
        <v>540469.43999999994</v>
      </c>
      <c r="D3" s="9">
        <f>+Tabla111[[#This Row],[PRECIO  INSTALADOR
( CON  IVA)]]-Tabla111[[#This Row],[Columna9]]</f>
        <v>513445.96799999994</v>
      </c>
      <c r="E3" s="9">
        <f>+Tabla111[[#This Row],[DPP ORO]]</f>
        <v>449486.8</v>
      </c>
      <c r="F3" s="9">
        <f>+Tabla111[[#This Row],[PLARTINO]]</f>
        <v>444991.93199999997</v>
      </c>
      <c r="G3" s="9">
        <f>+Tabla111[[#This Row],[PRECIO  INSTALADOR
( CON  IVA)]]/0.7</f>
        <v>772099.2</v>
      </c>
      <c r="H3" s="12" t="e">
        <f t="shared" si="0"/>
        <v>#REF!</v>
      </c>
      <c r="I3" s="12" t="e">
        <f t="shared" si="1"/>
        <v>#REF!</v>
      </c>
      <c r="J3" s="13" t="e">
        <f t="shared" si="2"/>
        <v>#REF!</v>
      </c>
      <c r="K3" s="13" t="e">
        <f>+L3/#REF!</f>
        <v>#REF!</v>
      </c>
      <c r="L3" s="13">
        <f t="shared" si="3"/>
        <v>444991.93199999997</v>
      </c>
      <c r="M3" s="6">
        <f t="shared" si="4"/>
        <v>4494.8680000000004</v>
      </c>
      <c r="N3" s="1" t="e">
        <f>+O3/#REF!</f>
        <v>#REF!</v>
      </c>
      <c r="O3" s="5">
        <f>Tabla111[[#This Row],[ORO SIN IVA]]*1.19</f>
        <v>449486.8</v>
      </c>
      <c r="P3" s="12" t="e">
        <f>+R3/#REF!</f>
        <v>#REF!</v>
      </c>
      <c r="Q3" s="12">
        <f>+Tabla111[[#This Row],[PRECIO SUGERIDO INSTALADOR]]*5%</f>
        <v>27023.471999999998</v>
      </c>
      <c r="R3" s="5">
        <f>Tabla111[[#This Row],[INSTALLER SIN IVA]]*1.19</f>
        <v>540469.43999999994</v>
      </c>
      <c r="S3" s="1">
        <v>377720</v>
      </c>
      <c r="T3" s="14">
        <v>454176</v>
      </c>
    </row>
    <row r="4" spans="1:20" ht="27" x14ac:dyDescent="0.25">
      <c r="A4" s="23" t="s">
        <v>24</v>
      </c>
      <c r="B4" s="24" t="s">
        <v>25</v>
      </c>
      <c r="C4" s="9">
        <f>+Tabla111[[#This Row],[PRECIO SUGERIDO INSTALADOR]]</f>
        <v>1818296.2</v>
      </c>
      <c r="D4" s="9">
        <f>+Tabla111[[#This Row],[PRECIO  INSTALADOR
( CON  IVA)]]-Tabla111[[#This Row],[Columna9]]</f>
        <v>1727381.39</v>
      </c>
      <c r="E4" s="9">
        <f>+Tabla111[[#This Row],[DPP ORO]]</f>
        <v>1552131.28</v>
      </c>
      <c r="F4" s="9">
        <f>+Tabla111[[#This Row],[PLARTINO]]</f>
        <v>1536609.9672000001</v>
      </c>
      <c r="G4" s="9">
        <f>+Tabla111[[#This Row],[PRECIO  INSTALADOR
( CON  IVA)]]/0.7</f>
        <v>2597566</v>
      </c>
      <c r="H4" s="12" t="e">
        <f t="shared" si="0"/>
        <v>#REF!</v>
      </c>
      <c r="I4" s="12" t="e">
        <f t="shared" si="1"/>
        <v>#REF!</v>
      </c>
      <c r="J4" s="13" t="e">
        <f t="shared" si="2"/>
        <v>#REF!</v>
      </c>
      <c r="K4" s="13" t="e">
        <f>+L4/#REF!</f>
        <v>#REF!</v>
      </c>
      <c r="L4" s="13">
        <f t="shared" si="3"/>
        <v>1536609.9672000001</v>
      </c>
      <c r="M4" s="6">
        <f t="shared" si="4"/>
        <v>15521.3128</v>
      </c>
      <c r="N4" s="1" t="e">
        <f>+O4/#REF!</f>
        <v>#REF!</v>
      </c>
      <c r="O4" s="5">
        <f>Tabla111[[#This Row],[ORO SIN IVA]]*1.19</f>
        <v>1552131.28</v>
      </c>
      <c r="P4" s="12" t="e">
        <f>+R4/#REF!</f>
        <v>#REF!</v>
      </c>
      <c r="Q4" s="12">
        <f>+Tabla111[[#This Row],[PRECIO SUGERIDO INSTALADOR]]*5%</f>
        <v>90914.81</v>
      </c>
      <c r="R4" s="5">
        <f>Tabla111[[#This Row],[INSTALLER SIN IVA]]*1.19</f>
        <v>1818296.2</v>
      </c>
      <c r="S4" s="1">
        <v>1304312</v>
      </c>
      <c r="T4" s="14">
        <v>1527980</v>
      </c>
    </row>
    <row r="5" spans="1:20" ht="27" x14ac:dyDescent="0.25">
      <c r="A5" s="23" t="s">
        <v>26</v>
      </c>
      <c r="B5" s="24" t="s">
        <v>27</v>
      </c>
      <c r="C5" s="9">
        <f>+Tabla111[[#This Row],[PRECIO SUGERIDO INSTALADOR]]</f>
        <v>909085.02999999991</v>
      </c>
      <c r="D5" s="9">
        <f>+Tabla111[[#This Row],[PRECIO  INSTALADOR
( CON  IVA)]]-Tabla111[[#This Row],[Columna9]]</f>
        <v>863630.7784999999</v>
      </c>
      <c r="E5" s="9">
        <f>+Tabla111[[#This Row],[DPP ORO]]</f>
        <v>808075.45</v>
      </c>
      <c r="F5" s="9">
        <f>+Tabla111[[#This Row],[PLARTINO]]</f>
        <v>799994.69549999991</v>
      </c>
      <c r="G5" s="9">
        <f>+Tabla111[[#This Row],[PRECIO  INSTALADOR
( CON  IVA)]]/0.7</f>
        <v>1298692.8999999999</v>
      </c>
      <c r="H5" s="12" t="e">
        <f t="shared" si="0"/>
        <v>#REF!</v>
      </c>
      <c r="I5" s="12" t="e">
        <f t="shared" si="1"/>
        <v>#REF!</v>
      </c>
      <c r="J5" s="13" t="e">
        <f t="shared" si="2"/>
        <v>#REF!</v>
      </c>
      <c r="K5" s="13" t="e">
        <f>+L5/#REF!</f>
        <v>#REF!</v>
      </c>
      <c r="L5" s="13">
        <f t="shared" si="3"/>
        <v>799994.69549999991</v>
      </c>
      <c r="M5" s="6">
        <f t="shared" si="4"/>
        <v>8080.7545</v>
      </c>
      <c r="N5" s="1" t="e">
        <f>+O5/#REF!</f>
        <v>#REF!</v>
      </c>
      <c r="O5" s="5">
        <f>Tabla111[[#This Row],[ORO SIN IVA]]*1.19</f>
        <v>808075.45</v>
      </c>
      <c r="P5" s="12" t="e">
        <f>+R5/#REF!</f>
        <v>#REF!</v>
      </c>
      <c r="Q5" s="12">
        <f>+Tabla111[[#This Row],[PRECIO SUGERIDO INSTALADOR]]*5%</f>
        <v>45454.251499999998</v>
      </c>
      <c r="R5" s="5">
        <f>Tabla111[[#This Row],[INSTALLER SIN IVA]]*1.19</f>
        <v>909085.02999999991</v>
      </c>
      <c r="S5" s="1">
        <v>679055</v>
      </c>
      <c r="T5" s="14">
        <v>763937</v>
      </c>
    </row>
    <row r="6" spans="1:20" ht="40.5" x14ac:dyDescent="0.25">
      <c r="A6" s="23" t="s">
        <v>28</v>
      </c>
      <c r="B6" s="24" t="s">
        <v>29</v>
      </c>
      <c r="C6" s="9">
        <f>+Tabla111[[#This Row],[PRECIO SUGERIDO INSTALADOR]]</f>
        <v>974491</v>
      </c>
      <c r="D6" s="9">
        <f>+Tabla111[[#This Row],[PRECIO  INSTALADOR
( CON  IVA)]]-Tabla111[[#This Row],[Columna9]]</f>
        <v>925766.45</v>
      </c>
      <c r="E6" s="9">
        <f>+Tabla111[[#This Row],[DPP ORO]]</f>
        <v>810478.05999999994</v>
      </c>
      <c r="F6" s="9">
        <f>+Tabla111[[#This Row],[PLARTINO]]</f>
        <v>802373.27939999988</v>
      </c>
      <c r="G6" s="9">
        <f>+Tabla111[[#This Row],[PRECIO  INSTALADOR
( CON  IVA)]]/0.7</f>
        <v>1392130</v>
      </c>
      <c r="H6" s="12" t="e">
        <f t="shared" si="0"/>
        <v>#REF!</v>
      </c>
      <c r="I6" s="12" t="e">
        <f t="shared" si="1"/>
        <v>#REF!</v>
      </c>
      <c r="J6" s="13" t="e">
        <f t="shared" si="2"/>
        <v>#REF!</v>
      </c>
      <c r="K6" s="13" t="e">
        <f>+L6/#REF!</f>
        <v>#REF!</v>
      </c>
      <c r="L6" s="13">
        <f t="shared" si="3"/>
        <v>802373.27939999988</v>
      </c>
      <c r="M6" s="6">
        <f t="shared" si="4"/>
        <v>8104.7805999999991</v>
      </c>
      <c r="N6" s="1" t="e">
        <f>+O6/#REF!</f>
        <v>#REF!</v>
      </c>
      <c r="O6" s="5">
        <f>Tabla111[[#This Row],[ORO SIN IVA]]*1.19</f>
        <v>810478.05999999994</v>
      </c>
      <c r="P6" s="12" t="e">
        <f>+R6/#REF!</f>
        <v>#REF!</v>
      </c>
      <c r="Q6" s="12">
        <f>+Tabla111[[#This Row],[PRECIO SUGERIDO INSTALADOR]]*5%</f>
        <v>48724.55</v>
      </c>
      <c r="R6" s="5">
        <f>Tabla111[[#This Row],[INSTALLER SIN IVA]]*1.19</f>
        <v>974491</v>
      </c>
      <c r="S6" s="1">
        <v>681074</v>
      </c>
      <c r="T6" s="14">
        <v>818900</v>
      </c>
    </row>
    <row r="7" spans="1:20" ht="40.5" x14ac:dyDescent="0.25">
      <c r="A7" s="23" t="s">
        <v>30</v>
      </c>
      <c r="B7" s="24" t="s">
        <v>31</v>
      </c>
      <c r="C7" s="9">
        <f>+Tabla111[[#This Row],[PRECIO SUGERIDO INSTALADOR]]</f>
        <v>2402629.04</v>
      </c>
      <c r="D7" s="9">
        <f>+Tabla111[[#This Row],[PRECIO  INSTALADOR
( CON  IVA)]]-Tabla111[[#This Row],[Columna9]]</f>
        <v>2282497.588</v>
      </c>
      <c r="E7" s="9">
        <f>+Tabla111[[#This Row],[DPP ORO]]</f>
        <v>1998226.5799999998</v>
      </c>
      <c r="F7" s="9">
        <f>+Tabla111[[#This Row],[PLARTINO]]</f>
        <v>1978244.3141999999</v>
      </c>
      <c r="G7" s="9">
        <f>+Tabla111[[#This Row],[PRECIO  INSTALADOR
( CON  IVA)]]/0.7</f>
        <v>3432327.2</v>
      </c>
      <c r="H7" s="12" t="e">
        <f t="shared" si="0"/>
        <v>#REF!</v>
      </c>
      <c r="I7" s="12" t="e">
        <f t="shared" si="1"/>
        <v>#REF!</v>
      </c>
      <c r="J7" s="13" t="e">
        <f t="shared" si="2"/>
        <v>#REF!</v>
      </c>
      <c r="K7" s="13" t="e">
        <f>+L7/#REF!</f>
        <v>#REF!</v>
      </c>
      <c r="L7" s="13">
        <f t="shared" si="3"/>
        <v>1978244.3141999999</v>
      </c>
      <c r="M7" s="6">
        <f t="shared" si="4"/>
        <v>19982.265799999997</v>
      </c>
      <c r="N7" s="1" t="e">
        <f>+O7/#REF!</f>
        <v>#REF!</v>
      </c>
      <c r="O7" s="5">
        <f>Tabla111[[#This Row],[ORO SIN IVA]]*1.19</f>
        <v>1998226.5799999998</v>
      </c>
      <c r="P7" s="12" t="e">
        <f>+R7/#REF!</f>
        <v>#REF!</v>
      </c>
      <c r="Q7" s="12">
        <f>+Tabla111[[#This Row],[PRECIO SUGERIDO INSTALADOR]]*5%</f>
        <v>120131.452</v>
      </c>
      <c r="R7" s="5">
        <f>Tabla111[[#This Row],[INSTALLER SIN IVA]]*1.19</f>
        <v>2402629.04</v>
      </c>
      <c r="S7" s="11">
        <v>1679182</v>
      </c>
      <c r="T7" s="10">
        <v>2019016.0000000002</v>
      </c>
    </row>
    <row r="8" spans="1:20" ht="54" x14ac:dyDescent="0.25">
      <c r="A8" s="23" t="s">
        <v>32</v>
      </c>
      <c r="B8" s="24" t="s">
        <v>33</v>
      </c>
      <c r="C8" s="9">
        <f>+Tabla111[[#This Row],[PRECIO SUGERIDO INSTALADOR]]</f>
        <v>3185115.92</v>
      </c>
      <c r="D8" s="9">
        <f>+Tabla111[[#This Row],[PRECIO  INSTALADOR
( CON  IVA)]]-Tabla111[[#This Row],[Columna9]]</f>
        <v>3025860.1239999998</v>
      </c>
      <c r="E8" s="9">
        <f>+Tabla111[[#This Row],[DPP ORO]]</f>
        <v>2649123.2599999998</v>
      </c>
      <c r="F8" s="9">
        <f>+Tabla111[[#This Row],[PLARTINO]]</f>
        <v>2622632.0273999996</v>
      </c>
      <c r="G8" s="9">
        <f>+Tabla111[[#This Row],[PRECIO  INSTALADOR
( CON  IVA)]]/0.7</f>
        <v>4550165.6000000006</v>
      </c>
      <c r="H8" s="12" t="e">
        <f t="shared" si="0"/>
        <v>#REF!</v>
      </c>
      <c r="I8" s="12" t="e">
        <f t="shared" si="1"/>
        <v>#REF!</v>
      </c>
      <c r="J8" s="13" t="e">
        <f t="shared" si="2"/>
        <v>#REF!</v>
      </c>
      <c r="K8" s="13" t="e">
        <f>+L8/#REF!</f>
        <v>#REF!</v>
      </c>
      <c r="L8" s="13">
        <f t="shared" si="3"/>
        <v>2622632.0273999996</v>
      </c>
      <c r="M8" s="6">
        <f t="shared" si="4"/>
        <v>26491.232599999999</v>
      </c>
      <c r="N8" s="1" t="e">
        <f>+O8/#REF!</f>
        <v>#REF!</v>
      </c>
      <c r="O8" s="5">
        <f>Tabla111[[#This Row],[ORO SIN IVA]]*1.19</f>
        <v>2649123.2599999998</v>
      </c>
      <c r="P8" s="12" t="e">
        <f>+R8/#REF!</f>
        <v>#REF!</v>
      </c>
      <c r="Q8" s="12">
        <f>+Tabla111[[#This Row],[PRECIO SUGERIDO INSTALADOR]]*5%</f>
        <v>159255.796</v>
      </c>
      <c r="R8" s="5">
        <f>Tabla111[[#This Row],[INSTALLER SIN IVA]]*1.19</f>
        <v>3185115.92</v>
      </c>
      <c r="S8" s="11">
        <v>2226154</v>
      </c>
      <c r="T8" s="10">
        <v>2676568</v>
      </c>
    </row>
    <row r="9" spans="1:20" ht="67.5" x14ac:dyDescent="0.25">
      <c r="A9" s="23" t="s">
        <v>34</v>
      </c>
      <c r="B9" s="24" t="s">
        <v>35</v>
      </c>
      <c r="C9" s="9">
        <f>+Tabla111[[#This Row],[PRECIO SUGERIDO INSTALADOR]]</f>
        <v>3800741</v>
      </c>
      <c r="D9" s="9">
        <f>+Tabla111[[#This Row],[PRECIO  INSTALADOR
( CON  IVA)]]-Tabla111[[#This Row],[Columna9]]</f>
        <v>3610703.95</v>
      </c>
      <c r="E9" s="9">
        <f>+Tabla111[[#This Row],[DPP ORO]]</f>
        <v>3161149.32</v>
      </c>
      <c r="F9" s="9">
        <f>+Tabla111[[#This Row],[PLARTINO]]</f>
        <v>3129537.8267999999</v>
      </c>
      <c r="G9" s="9">
        <f>+Tabla111[[#This Row],[PRECIO  INSTALADOR
( CON  IVA)]]/0.7</f>
        <v>5429630</v>
      </c>
      <c r="H9" s="12" t="e">
        <f t="shared" si="0"/>
        <v>#REF!</v>
      </c>
      <c r="I9" s="12" t="e">
        <f t="shared" si="1"/>
        <v>#REF!</v>
      </c>
      <c r="J9" s="13" t="e">
        <f t="shared" si="2"/>
        <v>#REF!</v>
      </c>
      <c r="K9" s="13" t="e">
        <f>+L9/#REF!</f>
        <v>#REF!</v>
      </c>
      <c r="L9" s="13">
        <f t="shared" si="3"/>
        <v>3129537.8267999999</v>
      </c>
      <c r="M9" s="6">
        <f t="shared" si="4"/>
        <v>31611.493200000001</v>
      </c>
      <c r="N9" s="1" t="e">
        <f>+O9/#REF!</f>
        <v>#REF!</v>
      </c>
      <c r="O9" s="5">
        <f>Tabla111[[#This Row],[ORO SIN IVA]]*1.19</f>
        <v>3161149.32</v>
      </c>
      <c r="P9" s="12" t="e">
        <f>+R9/#REF!</f>
        <v>#REF!</v>
      </c>
      <c r="Q9" s="12">
        <f>+Tabla111[[#This Row],[PRECIO SUGERIDO INSTALADOR]]*5%</f>
        <v>190037.05000000002</v>
      </c>
      <c r="R9" s="5">
        <f>Tabla111[[#This Row],[INSTALLER SIN IVA]]*1.19</f>
        <v>3800741</v>
      </c>
      <c r="S9" s="11">
        <v>2656428</v>
      </c>
      <c r="T9" s="10">
        <v>3193900</v>
      </c>
    </row>
    <row r="10" spans="1:20" ht="15" x14ac:dyDescent="0.25">
      <c r="A10" s="23" t="s">
        <v>36</v>
      </c>
      <c r="B10" s="24" t="s">
        <v>37</v>
      </c>
      <c r="C10" s="9">
        <f>+Tabla111[[#This Row],[PRECIO SUGERIDO INSTALADOR]]</f>
        <v>5042527.42</v>
      </c>
      <c r="D10" s="9">
        <f>+Tabla111[[#This Row],[PRECIO  INSTALADOR
( CON  IVA)]]-Tabla111[[#This Row],[Columna9]]</f>
        <v>4790401.0489999996</v>
      </c>
      <c r="E10" s="9">
        <f>+Tabla111[[#This Row],[DPP ORO]]</f>
        <v>4193928.9</v>
      </c>
      <c r="F10" s="9">
        <f>+Tabla111[[#This Row],[PLARTINO]]</f>
        <v>4151989.611</v>
      </c>
      <c r="G10" s="9">
        <f>+Tabla111[[#This Row],[PRECIO  INSTALADOR
( CON  IVA)]]/0.7</f>
        <v>7203610.6000000006</v>
      </c>
      <c r="H10" s="12" t="e">
        <f t="shared" si="0"/>
        <v>#REF!</v>
      </c>
      <c r="I10" s="12" t="e">
        <f t="shared" si="1"/>
        <v>#REF!</v>
      </c>
      <c r="J10" s="13" t="e">
        <f t="shared" si="2"/>
        <v>#REF!</v>
      </c>
      <c r="K10" s="13" t="e">
        <f>+L10/#REF!</f>
        <v>#REF!</v>
      </c>
      <c r="L10" s="13">
        <f t="shared" si="3"/>
        <v>4151989.611</v>
      </c>
      <c r="M10" s="6">
        <f t="shared" si="4"/>
        <v>41939.288999999997</v>
      </c>
      <c r="N10" s="1" t="e">
        <f>+O10/#REF!</f>
        <v>#REF!</v>
      </c>
      <c r="O10" s="1">
        <f>Tabla111[[#This Row],[ORO SIN IVA]]*1.19</f>
        <v>4193928.9</v>
      </c>
      <c r="P10" s="12" t="e">
        <f>+R10/#REF!</f>
        <v>#REF!</v>
      </c>
      <c r="Q10" s="12">
        <f>+Tabla111[[#This Row],[PRECIO SUGERIDO INSTALADOR]]*5%</f>
        <v>252126.37100000001</v>
      </c>
      <c r="R10" s="1">
        <f>Tabla111[[#This Row],[INSTALLER SIN IVA]]*1.19</f>
        <v>5042527.42</v>
      </c>
      <c r="S10" s="11">
        <v>3524310</v>
      </c>
      <c r="T10" s="10">
        <v>4237418</v>
      </c>
    </row>
    <row r="11" spans="1:20" ht="27" x14ac:dyDescent="0.25">
      <c r="A11" s="23" t="s">
        <v>38</v>
      </c>
      <c r="B11" s="24" t="s">
        <v>39</v>
      </c>
      <c r="C11" s="9">
        <f>+Tabla111[[#This Row],[PRECIO SUGERIDO INSTALADOR]]</f>
        <v>10625298.18</v>
      </c>
      <c r="D11" s="9">
        <f>+Tabla111[[#This Row],[PRECIO  INSTALADOR
( CON  IVA)]]-Tabla111[[#This Row],[Columna9]]</f>
        <v>10094033.271</v>
      </c>
      <c r="E11" s="9">
        <f>+Tabla111[[#This Row],[DPP ORO]]</f>
        <v>9198019.3200000003</v>
      </c>
      <c r="F11" s="9">
        <f>+Tabla111[[#This Row],[PLARTINO]]</f>
        <v>9106039.1268000007</v>
      </c>
      <c r="G11" s="9">
        <f>+Tabla111[[#This Row],[PRECIO  INSTALADOR
( CON  IVA)]]/0.7</f>
        <v>15178997.4</v>
      </c>
      <c r="H11" s="12" t="e">
        <f t="shared" ref="H11:H21" si="5">+P11</f>
        <v>#REF!</v>
      </c>
      <c r="I11" s="12" t="e">
        <f t="shared" ref="I11:I21" si="6">+N11</f>
        <v>#REF!</v>
      </c>
      <c r="J11" s="13" t="e">
        <f t="shared" ref="J11:J21" si="7">+K11</f>
        <v>#REF!</v>
      </c>
      <c r="K11" s="13" t="e">
        <f>+L11/#REF!</f>
        <v>#REF!</v>
      </c>
      <c r="L11" s="13">
        <f t="shared" ref="L11:L21" si="8">+O11-M11</f>
        <v>9106039.1268000007</v>
      </c>
      <c r="M11" s="6">
        <f t="shared" ref="M11:M21" si="9">+O11*1%</f>
        <v>91980.193200000009</v>
      </c>
      <c r="N11" s="1" t="e">
        <f>+O11/#REF!</f>
        <v>#REF!</v>
      </c>
      <c r="O11" s="1">
        <f>Tabla111[[#This Row],[ORO SIN IVA]]*1.19</f>
        <v>9198019.3200000003</v>
      </c>
      <c r="P11" s="12" t="e">
        <f>+R11/#REF!</f>
        <v>#REF!</v>
      </c>
      <c r="Q11" s="12">
        <f>+Tabla111[[#This Row],[PRECIO SUGERIDO INSTALADOR]]*5%</f>
        <v>531264.90899999999</v>
      </c>
      <c r="R11" s="1">
        <f>Tabla111[[#This Row],[INSTALLER SIN IVA]]*1.19</f>
        <v>10625298.18</v>
      </c>
      <c r="S11" s="1">
        <v>7729428</v>
      </c>
      <c r="T11" s="14">
        <v>8928822</v>
      </c>
    </row>
    <row r="12" spans="1:20" ht="27" x14ac:dyDescent="0.25">
      <c r="A12" s="23" t="s">
        <v>40</v>
      </c>
      <c r="B12" s="24" t="s">
        <v>41</v>
      </c>
      <c r="C12" s="9">
        <f>+Tabla111[[#This Row],[PRECIO SUGERIDO INSTALADOR]]</f>
        <v>14609768.039999999</v>
      </c>
      <c r="D12" s="9">
        <f>+Tabla111[[#This Row],[PRECIO  INSTALADOR
( CON  IVA)]]-Tabla111[[#This Row],[Columna9]]</f>
        <v>13879279.637999998</v>
      </c>
      <c r="E12" s="9">
        <f>+Tabla111[[#This Row],[DPP ORO]]</f>
        <v>12647265.26</v>
      </c>
      <c r="F12" s="9">
        <f>+Tabla111[[#This Row],[PLARTINO]]</f>
        <v>12520792.6074</v>
      </c>
      <c r="G12" s="9">
        <f>+Tabla111[[#This Row],[PRECIO  INSTALADOR
( CON  IVA)]]/0.7</f>
        <v>20871097.199999999</v>
      </c>
      <c r="H12" s="12" t="e">
        <f t="shared" si="5"/>
        <v>#REF!</v>
      </c>
      <c r="I12" s="12" t="e">
        <f t="shared" si="6"/>
        <v>#REF!</v>
      </c>
      <c r="J12" s="13" t="e">
        <f t="shared" si="7"/>
        <v>#REF!</v>
      </c>
      <c r="K12" s="13" t="e">
        <f>+L12/#REF!</f>
        <v>#REF!</v>
      </c>
      <c r="L12" s="13">
        <f t="shared" si="8"/>
        <v>12520792.6074</v>
      </c>
      <c r="M12" s="6">
        <f t="shared" si="9"/>
        <v>126472.6526</v>
      </c>
      <c r="N12" s="1" t="e">
        <f>+O12/#REF!</f>
        <v>#REF!</v>
      </c>
      <c r="O12" s="1">
        <f>Tabla111[[#This Row],[ORO SIN IVA]]*1.19</f>
        <v>12647265.26</v>
      </c>
      <c r="P12" s="12" t="e">
        <f>+R12/#REF!</f>
        <v>#REF!</v>
      </c>
      <c r="Q12" s="12">
        <f>+Tabla111[[#This Row],[PRECIO SUGERIDO INSTALADOR]]*5%</f>
        <v>730488.402</v>
      </c>
      <c r="R12" s="1">
        <f>Tabla111[[#This Row],[INSTALLER SIN IVA]]*1.19</f>
        <v>14609768.039999999</v>
      </c>
      <c r="S12" s="1">
        <v>10627954</v>
      </c>
      <c r="T12" s="14">
        <v>12277116</v>
      </c>
    </row>
    <row r="13" spans="1:20" ht="27" x14ac:dyDescent="0.25">
      <c r="A13" s="23" t="s">
        <v>42</v>
      </c>
      <c r="B13" s="24" t="s">
        <v>43</v>
      </c>
      <c r="C13" s="9">
        <f>+Tabla111[[#This Row],[PRECIO SUGERIDO INSTALADOR]]</f>
        <v>861079.24</v>
      </c>
      <c r="D13" s="9">
        <f>+Tabla111[[#This Row],[PRECIO  INSTALADOR
( CON  IVA)]]-Tabla111[[#This Row],[Columna9]]</f>
        <v>818025.27799999993</v>
      </c>
      <c r="E13" s="9">
        <f>+Tabla111[[#This Row],[DPP ORO]]</f>
        <v>749657.15999999992</v>
      </c>
      <c r="F13" s="9">
        <f>+Tabla111[[#This Row],[PLARTINO]]</f>
        <v>742160.58839999989</v>
      </c>
      <c r="G13" s="9">
        <f>+Tabla111[[#This Row],[PRECIO  INSTALADOR
( CON  IVA)]]/0.7</f>
        <v>1230113.2</v>
      </c>
      <c r="H13" s="12" t="e">
        <f t="shared" si="5"/>
        <v>#REF!</v>
      </c>
      <c r="I13" s="12" t="e">
        <f t="shared" si="6"/>
        <v>#REF!</v>
      </c>
      <c r="J13" s="13" t="e">
        <f t="shared" si="7"/>
        <v>#REF!</v>
      </c>
      <c r="K13" s="13" t="e">
        <f>+L13/#REF!</f>
        <v>#REF!</v>
      </c>
      <c r="L13" s="13">
        <f t="shared" si="8"/>
        <v>742160.58839999989</v>
      </c>
      <c r="M13" s="6">
        <f t="shared" si="9"/>
        <v>7496.5715999999993</v>
      </c>
      <c r="N13" s="1" t="e">
        <f>+O13/#REF!</f>
        <v>#REF!</v>
      </c>
      <c r="O13" s="1">
        <f>Tabla111[[#This Row],[ORO SIN IVA]]*1.19</f>
        <v>749657.15999999992</v>
      </c>
      <c r="P13" s="12" t="e">
        <f>+R13/#REF!</f>
        <v>#REF!</v>
      </c>
      <c r="Q13" s="12">
        <f>+Tabla111[[#This Row],[PRECIO SUGERIDO INSTALADOR]]*5%</f>
        <v>43053.962</v>
      </c>
      <c r="R13" s="1">
        <f>Tabla111[[#This Row],[INSTALLER SIN IVA]]*1.19</f>
        <v>861079.24</v>
      </c>
      <c r="S13" s="1">
        <v>629964</v>
      </c>
      <c r="T13" s="14">
        <v>723596</v>
      </c>
    </row>
    <row r="14" spans="1:20" ht="40.5" x14ac:dyDescent="0.25">
      <c r="A14" s="23" t="s">
        <v>44</v>
      </c>
      <c r="B14" s="24" t="s">
        <v>45</v>
      </c>
      <c r="C14" s="9">
        <f>+Tabla111[[#This Row],[PRECIO SUGERIDO INSTALADOR]]</f>
        <v>831053.15999999992</v>
      </c>
      <c r="D14" s="9">
        <f>+Tabla111[[#This Row],[PRECIO  INSTALADOR
( CON  IVA)]]-Tabla111[[#This Row],[Columna9]]</f>
        <v>789500.50199999986</v>
      </c>
      <c r="E14" s="9">
        <f>+Tabla111[[#This Row],[DPP ORO]]</f>
        <v>723474.77999999991</v>
      </c>
      <c r="F14" s="9">
        <f>+Tabla111[[#This Row],[PLARTINO]]</f>
        <v>716240.0321999999</v>
      </c>
      <c r="G14" s="9">
        <f>+Tabla111[[#This Row],[PRECIO  INSTALADOR
( CON  IVA)]]/0.7</f>
        <v>1187218.8</v>
      </c>
      <c r="H14" s="12" t="e">
        <f t="shared" si="5"/>
        <v>#REF!</v>
      </c>
      <c r="I14" s="12" t="e">
        <f t="shared" si="6"/>
        <v>#REF!</v>
      </c>
      <c r="J14" s="13" t="e">
        <f t="shared" si="7"/>
        <v>#REF!</v>
      </c>
      <c r="K14" s="13" t="e">
        <f>+L14/#REF!</f>
        <v>#REF!</v>
      </c>
      <c r="L14" s="13">
        <f t="shared" si="8"/>
        <v>716240.0321999999</v>
      </c>
      <c r="M14" s="6">
        <f t="shared" si="9"/>
        <v>7234.7477999999992</v>
      </c>
      <c r="N14" s="1" t="e">
        <f>+O14/#REF!</f>
        <v>#REF!</v>
      </c>
      <c r="O14" s="1">
        <f>Tabla111[[#This Row],[ORO SIN IVA]]*1.19</f>
        <v>723474.77999999991</v>
      </c>
      <c r="P14" s="12" t="e">
        <f>+R14/#REF!</f>
        <v>#REF!</v>
      </c>
      <c r="Q14" s="12">
        <f>+Tabla111[[#This Row],[PRECIO SUGERIDO INSTALADOR]]*5%</f>
        <v>41552.657999999996</v>
      </c>
      <c r="R14" s="1">
        <f>Tabla111[[#This Row],[INSTALLER SIN IVA]]*1.19</f>
        <v>831053.15999999992</v>
      </c>
      <c r="S14" s="1">
        <v>607962</v>
      </c>
      <c r="T14" s="14">
        <v>698364</v>
      </c>
    </row>
    <row r="15" spans="1:20" ht="27" x14ac:dyDescent="0.25">
      <c r="A15" s="23" t="s">
        <v>46</v>
      </c>
      <c r="B15" s="24" t="s">
        <v>47</v>
      </c>
      <c r="C15" s="9">
        <f>+Tabla111[[#This Row],[PRECIO SUGERIDO INSTALADOR]]</f>
        <v>410009.74</v>
      </c>
      <c r="D15" s="9">
        <f>+Tabla111[[#This Row],[PRECIO  INSTALADOR
( CON  IVA)]]-Tabla111[[#This Row],[Columna9]]</f>
        <v>389509.25299999997</v>
      </c>
      <c r="E15" s="9">
        <f>+Tabla111[[#This Row],[DPP ORO]]</f>
        <v>356966.68</v>
      </c>
      <c r="F15" s="9">
        <f>+Tabla111[[#This Row],[PLARTINO]]</f>
        <v>353397.01319999999</v>
      </c>
      <c r="G15" s="9">
        <f>+Tabla111[[#This Row],[PRECIO  INSTALADOR
( CON  IVA)]]/0.7</f>
        <v>585728.20000000007</v>
      </c>
      <c r="H15" s="12" t="e">
        <f t="shared" si="5"/>
        <v>#REF!</v>
      </c>
      <c r="I15" s="12" t="e">
        <f t="shared" si="6"/>
        <v>#REF!</v>
      </c>
      <c r="J15" s="13" t="e">
        <f t="shared" si="7"/>
        <v>#REF!</v>
      </c>
      <c r="K15" s="13" t="e">
        <f>+L15/#REF!</f>
        <v>#REF!</v>
      </c>
      <c r="L15" s="13">
        <f t="shared" si="8"/>
        <v>353397.01319999999</v>
      </c>
      <c r="M15" s="6">
        <f t="shared" si="9"/>
        <v>3569.6668</v>
      </c>
      <c r="N15" s="1" t="e">
        <f>+O15/#REF!</f>
        <v>#REF!</v>
      </c>
      <c r="O15" s="1">
        <f>Tabla111[[#This Row],[ORO SIN IVA]]*1.19</f>
        <v>356966.68</v>
      </c>
      <c r="P15" s="12" t="e">
        <f>+R15/#REF!</f>
        <v>#REF!</v>
      </c>
      <c r="Q15" s="12">
        <f>+Tabla111[[#This Row],[PRECIO SUGERIDO INSTALADOR]]*5%</f>
        <v>20500.487000000001</v>
      </c>
      <c r="R15" s="1">
        <f>Tabla111[[#This Row],[INSTALLER SIN IVA]]*1.19</f>
        <v>410009.74</v>
      </c>
      <c r="S15" s="1">
        <v>299972</v>
      </c>
      <c r="T15" s="14">
        <v>344546</v>
      </c>
    </row>
    <row r="16" spans="1:20" ht="27" x14ac:dyDescent="0.25">
      <c r="A16" s="23" t="s">
        <v>48</v>
      </c>
      <c r="B16" s="24" t="s">
        <v>49</v>
      </c>
      <c r="C16" s="9">
        <f>+Tabla111[[#This Row],[PRECIO SUGERIDO INSTALADOR]]</f>
        <v>410009.74</v>
      </c>
      <c r="D16" s="9">
        <f>+Tabla111[[#This Row],[PRECIO  INSTALADOR
( CON  IVA)]]-Tabla111[[#This Row],[Columna9]]</f>
        <v>389509.25299999997</v>
      </c>
      <c r="E16" s="9">
        <f>+Tabla111[[#This Row],[DPP ORO]]</f>
        <v>356966.68</v>
      </c>
      <c r="F16" s="9">
        <f>+Tabla111[[#This Row],[PLARTINO]]</f>
        <v>353397.01319999999</v>
      </c>
      <c r="G16" s="9">
        <f>+Tabla111[[#This Row],[PRECIO  INSTALADOR
( CON  IVA)]]/0.7</f>
        <v>585728.20000000007</v>
      </c>
      <c r="H16" s="12" t="e">
        <f t="shared" si="5"/>
        <v>#REF!</v>
      </c>
      <c r="I16" s="12" t="e">
        <f t="shared" si="6"/>
        <v>#REF!</v>
      </c>
      <c r="J16" s="13" t="e">
        <f t="shared" si="7"/>
        <v>#REF!</v>
      </c>
      <c r="K16" s="13" t="e">
        <f>+L16/#REF!</f>
        <v>#REF!</v>
      </c>
      <c r="L16" s="13">
        <f t="shared" si="8"/>
        <v>353397.01319999999</v>
      </c>
      <c r="M16" s="6">
        <f t="shared" si="9"/>
        <v>3569.6668</v>
      </c>
      <c r="N16" s="1" t="e">
        <f>+O16/#REF!</f>
        <v>#REF!</v>
      </c>
      <c r="O16" s="1">
        <f>Tabla111[[#This Row],[ORO SIN IVA]]*1.19</f>
        <v>356966.68</v>
      </c>
      <c r="P16" s="12" t="e">
        <f>+R16/#REF!</f>
        <v>#REF!</v>
      </c>
      <c r="Q16" s="12">
        <f>+Tabla111[[#This Row],[PRECIO SUGERIDO INSTALADOR]]*5%</f>
        <v>20500.487000000001</v>
      </c>
      <c r="R16" s="1">
        <f>Tabla111[[#This Row],[INSTALLER SIN IVA]]*1.19</f>
        <v>410009.74</v>
      </c>
      <c r="S16" s="1">
        <v>299972</v>
      </c>
      <c r="T16" s="14">
        <v>344546</v>
      </c>
    </row>
    <row r="17" spans="1:20" ht="40.5" x14ac:dyDescent="0.25">
      <c r="A17" s="23" t="s">
        <v>50</v>
      </c>
      <c r="B17" s="24" t="s">
        <v>51</v>
      </c>
      <c r="C17" s="9">
        <f>+Tabla111[[#This Row],[PRECIO SUGERIDO INSTALADOR]]</f>
        <v>6185598.5800000001</v>
      </c>
      <c r="D17" s="9">
        <f>+Tabla111[[#This Row],[PRECIO  INSTALADOR
( CON  IVA)]]-Tabla111[[#This Row],[Columna9]]</f>
        <v>5876318.6510000005</v>
      </c>
      <c r="E17" s="9">
        <f>+Tabla111[[#This Row],[DPP ORO]]</f>
        <v>5318369.42</v>
      </c>
      <c r="F17" s="9">
        <f>+Tabla111[[#This Row],[PLARTINO]]</f>
        <v>5265185.7258000001</v>
      </c>
      <c r="G17" s="9">
        <f>+Tabla111[[#This Row],[PRECIO  INSTALADOR
( CON  IVA)]]/0.7</f>
        <v>8836569.4000000004</v>
      </c>
      <c r="H17" s="12" t="e">
        <f t="shared" si="5"/>
        <v>#REF!</v>
      </c>
      <c r="I17" s="12" t="e">
        <f t="shared" si="6"/>
        <v>#REF!</v>
      </c>
      <c r="J17" s="13" t="e">
        <f t="shared" si="7"/>
        <v>#REF!</v>
      </c>
      <c r="K17" s="13" t="e">
        <f>+L17/#REF!</f>
        <v>#REF!</v>
      </c>
      <c r="L17" s="13">
        <f t="shared" si="8"/>
        <v>5265185.7258000001</v>
      </c>
      <c r="M17" s="6">
        <f t="shared" si="9"/>
        <v>53183.694199999998</v>
      </c>
      <c r="N17" s="1" t="e">
        <f>+O17/#REF!</f>
        <v>#REF!</v>
      </c>
      <c r="O17" s="1">
        <f>Tabla111[[#This Row],[ORO SIN IVA]]*1.19</f>
        <v>5318369.42</v>
      </c>
      <c r="P17" s="12" t="e">
        <f>+R17/#REF!</f>
        <v>#REF!</v>
      </c>
      <c r="Q17" s="12">
        <f>+Tabla111[[#This Row],[PRECIO SUGERIDO INSTALADOR]]*5%</f>
        <v>309279.929</v>
      </c>
      <c r="R17" s="1">
        <f>Tabla111[[#This Row],[INSTALLER SIN IVA]]*1.19</f>
        <v>6185598.5800000001</v>
      </c>
      <c r="S17" s="1">
        <v>4469218</v>
      </c>
      <c r="T17" s="14">
        <v>5197982</v>
      </c>
    </row>
    <row r="18" spans="1:20" ht="54" x14ac:dyDescent="0.25">
      <c r="A18" s="23" t="s">
        <v>52</v>
      </c>
      <c r="B18" s="24" t="s">
        <v>53</v>
      </c>
      <c r="C18" s="9">
        <f>+Tabla111[[#This Row],[PRECIO SUGERIDO INSTALADOR]]</f>
        <v>895310.77999999991</v>
      </c>
      <c r="D18" s="9">
        <f>+Tabla111[[#This Row],[PRECIO  INSTALADOR
( CON  IVA)]]-Tabla111[[#This Row],[Columna9]]</f>
        <v>850545.24099999992</v>
      </c>
      <c r="E18" s="9">
        <f>+Tabla111[[#This Row],[DPP ORO]]</f>
        <v>779411.91999999993</v>
      </c>
      <c r="F18" s="9">
        <f>+Tabla111[[#This Row],[PLARTINO]]</f>
        <v>771617.80079999997</v>
      </c>
      <c r="G18" s="9">
        <f>+Tabla111[[#This Row],[PRECIO  INSTALADOR
( CON  IVA)]]/0.7</f>
        <v>1279015.3999999999</v>
      </c>
      <c r="H18" s="12" t="e">
        <f t="shared" si="5"/>
        <v>#REF!</v>
      </c>
      <c r="I18" s="12" t="e">
        <f t="shared" si="6"/>
        <v>#REF!</v>
      </c>
      <c r="J18" s="13" t="e">
        <f t="shared" si="7"/>
        <v>#REF!</v>
      </c>
      <c r="K18" s="13" t="e">
        <f>+L18/#REF!</f>
        <v>#REF!</v>
      </c>
      <c r="L18" s="13">
        <f t="shared" si="8"/>
        <v>771617.80079999997</v>
      </c>
      <c r="M18" s="6">
        <f t="shared" si="9"/>
        <v>7794.1191999999992</v>
      </c>
      <c r="N18" s="1" t="e">
        <f>+O18/#REF!</f>
        <v>#REF!</v>
      </c>
      <c r="O18" s="1">
        <f>Tabla111[[#This Row],[ORO SIN IVA]]*1.19</f>
        <v>779411.91999999993</v>
      </c>
      <c r="P18" s="12" t="e">
        <f>+R18/#REF!</f>
        <v>#REF!</v>
      </c>
      <c r="Q18" s="12">
        <f>+Tabla111[[#This Row],[PRECIO SUGERIDO INSTALADOR]]*5%</f>
        <v>44765.538999999997</v>
      </c>
      <c r="R18" s="1">
        <f>Tabla111[[#This Row],[INSTALLER SIN IVA]]*1.19</f>
        <v>895310.77999999991</v>
      </c>
      <c r="S18" s="1">
        <v>654968</v>
      </c>
      <c r="T18" s="14">
        <v>752362</v>
      </c>
    </row>
    <row r="19" spans="1:20" ht="40.5" x14ac:dyDescent="0.25">
      <c r="A19" s="23" t="s">
        <v>54</v>
      </c>
      <c r="B19" s="24" t="s">
        <v>55</v>
      </c>
      <c r="C19" s="9">
        <f>+Tabla111[[#This Row],[PRECIO SUGERIDO INSTALADOR]]</f>
        <v>7298553.2199999997</v>
      </c>
      <c r="D19" s="9">
        <f>+Tabla111[[#This Row],[PRECIO  INSTALADOR
( CON  IVA)]]-Tabla111[[#This Row],[Columna9]]</f>
        <v>6933625.5589999994</v>
      </c>
      <c r="E19" s="9">
        <f>+Tabla111[[#This Row],[DPP ORO]]</f>
        <v>6318183.6200000001</v>
      </c>
      <c r="F19" s="9">
        <f>+Tabla111[[#This Row],[PLARTINO]]</f>
        <v>6255001.7838000003</v>
      </c>
      <c r="G19" s="9">
        <f>+Tabla111[[#This Row],[PRECIO  INSTALADOR
( CON  IVA)]]/0.7</f>
        <v>10426504.6</v>
      </c>
      <c r="H19" s="12" t="e">
        <f t="shared" si="5"/>
        <v>#REF!</v>
      </c>
      <c r="I19" s="12" t="e">
        <f t="shared" si="6"/>
        <v>#REF!</v>
      </c>
      <c r="J19" s="13" t="e">
        <f t="shared" si="7"/>
        <v>#REF!</v>
      </c>
      <c r="K19" s="13" t="e">
        <f>+L19/#REF!</f>
        <v>#REF!</v>
      </c>
      <c r="L19" s="13">
        <f t="shared" si="8"/>
        <v>6255001.7838000003</v>
      </c>
      <c r="M19" s="6">
        <f t="shared" si="9"/>
        <v>63181.836200000005</v>
      </c>
      <c r="N19" s="1" t="e">
        <f>+O19/#REF!</f>
        <v>#REF!</v>
      </c>
      <c r="O19" s="1">
        <f>Tabla111[[#This Row],[ORO SIN IVA]]*1.19</f>
        <v>6318183.6200000001</v>
      </c>
      <c r="P19" s="12" t="e">
        <f>+R19/#REF!</f>
        <v>#REF!</v>
      </c>
      <c r="Q19" s="12">
        <f>+Tabla111[[#This Row],[PRECIO SUGERIDO INSTALADOR]]*5%</f>
        <v>364927.66100000002</v>
      </c>
      <c r="R19" s="1">
        <f>Tabla111[[#This Row],[INSTALLER SIN IVA]]*1.19</f>
        <v>7298553.2199999997</v>
      </c>
      <c r="S19" s="1">
        <v>5309398</v>
      </c>
      <c r="T19" s="14">
        <v>6133238</v>
      </c>
    </row>
    <row r="20" spans="1:20" ht="81" x14ac:dyDescent="0.25">
      <c r="A20" s="23" t="s">
        <v>56</v>
      </c>
      <c r="B20" s="24" t="s">
        <v>57</v>
      </c>
      <c r="C20" s="9">
        <f>+Tabla111[[#This Row],[PRECIO SUGERIDO INSTALADOR]]</f>
        <v>6185598.5800000001</v>
      </c>
      <c r="D20" s="9">
        <f>+Tabla111[[#This Row],[PRECIO  INSTALADOR
( CON  IVA)]]-Tabla111[[#This Row],[Columna9]]</f>
        <v>5876318.6510000005</v>
      </c>
      <c r="E20" s="9">
        <f>+Tabla111[[#This Row],[DPP ORO]]</f>
        <v>5354681.08</v>
      </c>
      <c r="F20" s="9">
        <f>+Tabla111[[#This Row],[PLARTINO]]</f>
        <v>5301134.2692</v>
      </c>
      <c r="G20" s="9">
        <f>+Tabla111[[#This Row],[PRECIO  INSTALADOR
( CON  IVA)]]/0.7</f>
        <v>8836569.4000000004</v>
      </c>
      <c r="H20" s="12" t="e">
        <f t="shared" si="5"/>
        <v>#REF!</v>
      </c>
      <c r="I20" s="12" t="e">
        <f t="shared" si="6"/>
        <v>#REF!</v>
      </c>
      <c r="J20" s="13" t="e">
        <f t="shared" si="7"/>
        <v>#REF!</v>
      </c>
      <c r="K20" s="13" t="e">
        <f>+L20/#REF!</f>
        <v>#REF!</v>
      </c>
      <c r="L20" s="13">
        <f t="shared" si="8"/>
        <v>5301134.2692</v>
      </c>
      <c r="M20" s="6">
        <f t="shared" si="9"/>
        <v>53546.810799999999</v>
      </c>
      <c r="N20" s="1" t="e">
        <f>+O20/#REF!</f>
        <v>#REF!</v>
      </c>
      <c r="O20" s="1">
        <f>Tabla111[[#This Row],[ORO SIN IVA]]*1.19</f>
        <v>5354681.08</v>
      </c>
      <c r="P20" s="12" t="e">
        <f>+R20/#REF!</f>
        <v>#REF!</v>
      </c>
      <c r="Q20" s="12">
        <f>+Tabla111[[#This Row],[PRECIO SUGERIDO INSTALADOR]]*5%</f>
        <v>309279.929</v>
      </c>
      <c r="R20" s="1">
        <f>Tabla111[[#This Row],[INSTALLER SIN IVA]]*1.19</f>
        <v>6185598.5800000001</v>
      </c>
      <c r="S20" s="1">
        <v>4499732</v>
      </c>
      <c r="T20" s="14">
        <v>5197982</v>
      </c>
    </row>
    <row r="21" spans="1:20" ht="40.5" x14ac:dyDescent="0.25">
      <c r="A21" s="23" t="s">
        <v>58</v>
      </c>
      <c r="B21" s="24" t="s">
        <v>59</v>
      </c>
      <c r="C21" s="9">
        <f>+Tabla111[[#This Row],[PRECIO SUGERIDO INSTALADOR]]</f>
        <v>13859161.26</v>
      </c>
      <c r="D21" s="9">
        <f>+Tabla111[[#This Row],[PRECIO  INSTALADOR
( CON  IVA)]]-Tabla111[[#This Row],[Columna9]]</f>
        <v>13166203.197000001</v>
      </c>
      <c r="E21" s="9">
        <f>+Tabla111[[#This Row],[DPP ORO]]</f>
        <v>15097556.18</v>
      </c>
      <c r="F21" s="9">
        <f>+Tabla111[[#This Row],[PLARTINO]]</f>
        <v>14946580.6182</v>
      </c>
      <c r="G21" s="9">
        <f>+Tabla111[[#This Row],[PRECIO  INSTALADOR
( CON  IVA)]]/0.7</f>
        <v>19798801.800000001</v>
      </c>
      <c r="H21" s="12" t="e">
        <f t="shared" si="5"/>
        <v>#REF!</v>
      </c>
      <c r="I21" s="12" t="e">
        <f t="shared" si="6"/>
        <v>#REF!</v>
      </c>
      <c r="J21" s="13" t="e">
        <f t="shared" si="7"/>
        <v>#REF!</v>
      </c>
      <c r="K21" s="13" t="e">
        <f>+L21/#REF!</f>
        <v>#REF!</v>
      </c>
      <c r="L21" s="13">
        <f t="shared" si="8"/>
        <v>14946580.6182</v>
      </c>
      <c r="M21" s="6">
        <f t="shared" si="9"/>
        <v>150975.5618</v>
      </c>
      <c r="N21" s="1" t="e">
        <f>+O21/#REF!</f>
        <v>#REF!</v>
      </c>
      <c r="O21" s="1">
        <f>Tabla111[[#This Row],[ORO SIN IVA]]*1.19</f>
        <v>15097556.18</v>
      </c>
      <c r="P21" s="12" t="e">
        <f>+R21/#REF!</f>
        <v>#REF!</v>
      </c>
      <c r="Q21" s="12">
        <f>+Tabla111[[#This Row],[PRECIO SUGERIDO INSTALADOR]]*5%</f>
        <v>692958.06300000008</v>
      </c>
      <c r="R21" s="1">
        <f>Tabla111[[#This Row],[INSTALLER SIN IVA]]*1.19</f>
        <v>13859161.26</v>
      </c>
      <c r="S21" s="1">
        <v>12687022</v>
      </c>
      <c r="T21" s="14">
        <v>11646354</v>
      </c>
    </row>
    <row r="22" spans="1:20" ht="40.5" x14ac:dyDescent="0.25">
      <c r="A22" s="30" t="s">
        <v>60</v>
      </c>
      <c r="B22" s="31" t="s">
        <v>61</v>
      </c>
      <c r="C22" s="9">
        <f>+Tabla111[[#This Row],[PRECIO SUGERIDO INSTALADOR]]</f>
        <v>7560150.9199999999</v>
      </c>
      <c r="D22" s="9">
        <f>+Tabla111[[#This Row],[PRECIO  INSTALADOR
( CON  IVA)]]-Tabla111[[#This Row],[Columna9]]</f>
        <v>7182143.3739999998</v>
      </c>
      <c r="E22" s="9">
        <f>+Tabla111[[#This Row],[DPP ORO]]</f>
        <v>6544645.3799999999</v>
      </c>
      <c r="F22" s="9">
        <f>+Tabla111[[#This Row],[PLARTINO]]</f>
        <v>6479198.9261999996</v>
      </c>
      <c r="G22" s="9">
        <f>+Tabla111[[#This Row],[PRECIO  INSTALADOR
( CON  IVA)]]/0.7</f>
        <v>10800215.600000001</v>
      </c>
      <c r="H22" s="12" t="e">
        <f t="shared" ref="H22:H55" si="10">+P22</f>
        <v>#REF!</v>
      </c>
      <c r="I22" s="12" t="e">
        <f t="shared" ref="I22:I55" si="11">+N22</f>
        <v>#REF!</v>
      </c>
      <c r="J22" s="13" t="e">
        <f t="shared" ref="J22:J55" si="12">+K22</f>
        <v>#REF!</v>
      </c>
      <c r="K22" s="13" t="e">
        <f>+L22/#REF!</f>
        <v>#REF!</v>
      </c>
      <c r="L22" s="13">
        <f t="shared" ref="L22:L55" si="13">+O22-M22</f>
        <v>6479198.9261999996</v>
      </c>
      <c r="M22" s="6">
        <f t="shared" ref="M22:M55" si="14">+O22*1%</f>
        <v>65446.453800000003</v>
      </c>
      <c r="N22" s="1" t="e">
        <f>+O22/#REF!</f>
        <v>#REF!</v>
      </c>
      <c r="O22" s="1">
        <f>Tabla111[[#This Row],[ORO SIN IVA]]*1.19</f>
        <v>6544645.3799999999</v>
      </c>
      <c r="P22" s="12" t="e">
        <f>+R22/#REF!</f>
        <v>#REF!</v>
      </c>
      <c r="Q22" s="12">
        <f>+Tabla111[[#This Row],[PRECIO SUGERIDO INSTALADOR]]*5%</f>
        <v>378007.54600000003</v>
      </c>
      <c r="R22" s="1">
        <f>Tabla111[[#This Row],[INSTALLER SIN IVA]]*1.19</f>
        <v>7560150.9199999999</v>
      </c>
      <c r="S22" s="1">
        <v>5499702</v>
      </c>
      <c r="T22" s="14">
        <v>6353068</v>
      </c>
    </row>
    <row r="23" spans="1:20" ht="40.5" x14ac:dyDescent="0.25">
      <c r="A23" s="30" t="s">
        <v>62</v>
      </c>
      <c r="B23" s="31" t="s">
        <v>63</v>
      </c>
      <c r="C23" s="9">
        <f>+Tabla111[[#This Row],[PRECIO SUGERIDO INSTALADOR]]</f>
        <v>9243872.4000000004</v>
      </c>
      <c r="D23" s="9">
        <f>+Tabla111[[#This Row],[PRECIO  INSTALADOR
( CON  IVA)]]-Tabla111[[#This Row],[Columna9]]</f>
        <v>8781678.7800000012</v>
      </c>
      <c r="E23" s="9">
        <f>+Tabla111[[#This Row],[DPP ORO]]</f>
        <v>8002176.4199999999</v>
      </c>
      <c r="F23" s="9">
        <f>+Tabla111[[#This Row],[PLARTINO]]</f>
        <v>7922154.6557999998</v>
      </c>
      <c r="G23" s="9">
        <f>+Tabla111[[#This Row],[PRECIO  INSTALADOR
( CON  IVA)]]/0.7</f>
        <v>13205532.000000002</v>
      </c>
      <c r="H23" s="12" t="e">
        <f t="shared" si="10"/>
        <v>#REF!</v>
      </c>
      <c r="I23" s="12" t="e">
        <f t="shared" si="11"/>
        <v>#REF!</v>
      </c>
      <c r="J23" s="13" t="e">
        <f t="shared" si="12"/>
        <v>#REF!</v>
      </c>
      <c r="K23" s="13" t="e">
        <f>+L23/#REF!</f>
        <v>#REF!</v>
      </c>
      <c r="L23" s="13">
        <f t="shared" si="13"/>
        <v>7922154.6557999998</v>
      </c>
      <c r="M23" s="6">
        <f t="shared" si="14"/>
        <v>80021.764200000005</v>
      </c>
      <c r="N23" s="1" t="e">
        <f>+O23/#REF!</f>
        <v>#REF!</v>
      </c>
      <c r="O23" s="1">
        <f>Tabla111[[#This Row],[ORO SIN IVA]]*1.19</f>
        <v>8002176.4199999999</v>
      </c>
      <c r="P23" s="12" t="e">
        <f>+R23/#REF!</f>
        <v>#REF!</v>
      </c>
      <c r="Q23" s="12">
        <f>+Tabla111[[#This Row],[PRECIO SUGERIDO INSTALADOR]]*5%</f>
        <v>462193.62000000005</v>
      </c>
      <c r="R23" s="1">
        <f>Tabla111[[#This Row],[INSTALLER SIN IVA]]*1.19</f>
        <v>9243872.4000000004</v>
      </c>
      <c r="S23" s="1">
        <v>6724518</v>
      </c>
      <c r="T23" s="14">
        <v>7767960.0000000009</v>
      </c>
    </row>
    <row r="24" spans="1:20" ht="40.5" x14ac:dyDescent="0.25">
      <c r="A24" s="30" t="s">
        <v>64</v>
      </c>
      <c r="B24" s="31" t="s">
        <v>65</v>
      </c>
      <c r="C24" s="9">
        <f>+Tabla111[[#This Row],[PRECIO SUGERIDO INSTALADOR]]</f>
        <v>1251011.3</v>
      </c>
      <c r="D24" s="9">
        <f>+Tabla111[[#This Row],[PRECIO  INSTALADOR
( CON  IVA)]]-Tabla111[[#This Row],[Columna9]]</f>
        <v>1188460.7350000001</v>
      </c>
      <c r="E24" s="9">
        <f>+Tabla111[[#This Row],[DPP ORO]]</f>
        <v>1061946.48</v>
      </c>
      <c r="F24" s="9">
        <f>+Tabla111[[#This Row],[PLARTINO]]</f>
        <v>1051327.0152</v>
      </c>
      <c r="G24" s="9">
        <f>+Tabla111[[#This Row],[PRECIO  INSTALADOR
( CON  IVA)]]/0.7</f>
        <v>1787159.0000000002</v>
      </c>
      <c r="H24" s="12" t="e">
        <f t="shared" si="10"/>
        <v>#REF!</v>
      </c>
      <c r="I24" s="12" t="e">
        <f t="shared" si="11"/>
        <v>#REF!</v>
      </c>
      <c r="J24" s="13" t="e">
        <f t="shared" si="12"/>
        <v>#REF!</v>
      </c>
      <c r="K24" s="13" t="e">
        <f>+L24/#REF!</f>
        <v>#REF!</v>
      </c>
      <c r="L24" s="13">
        <f t="shared" si="13"/>
        <v>1051327.0152</v>
      </c>
      <c r="M24" s="6">
        <f t="shared" si="14"/>
        <v>10619.4648</v>
      </c>
      <c r="N24" s="1" t="e">
        <f>+O24/#REF!</f>
        <v>#REF!</v>
      </c>
      <c r="O24" s="1">
        <f>Tabla111[[#This Row],[ORO SIN IVA]]*1.19</f>
        <v>1061946.48</v>
      </c>
      <c r="P24" s="12" t="e">
        <f>+R24/#REF!</f>
        <v>#REF!</v>
      </c>
      <c r="Q24" s="12">
        <f>+Tabla111[[#This Row],[PRECIO SUGERIDO INSTALADOR]]*5%</f>
        <v>62550.565000000002</v>
      </c>
      <c r="R24" s="1">
        <f>Tabla111[[#This Row],[INSTALLER SIN IVA]]*1.19</f>
        <v>1251011.3</v>
      </c>
      <c r="S24" s="1">
        <v>892392</v>
      </c>
      <c r="T24" s="14">
        <v>1051270</v>
      </c>
    </row>
    <row r="25" spans="1:20" ht="40.5" x14ac:dyDescent="0.25">
      <c r="A25" s="30" t="s">
        <v>66</v>
      </c>
      <c r="B25" s="31" t="s">
        <v>67</v>
      </c>
      <c r="C25" s="9">
        <f>+Tabla111[[#This Row],[PRECIO SUGERIDO INSTALADOR]]</f>
        <v>682415.02</v>
      </c>
      <c r="D25" s="9">
        <f>+Tabla111[[#This Row],[PRECIO  INSTALADOR
( CON  IVA)]]-Tabla111[[#This Row],[Columna9]]</f>
        <v>648294.26899999997</v>
      </c>
      <c r="E25" s="9">
        <f>+Tabla111[[#This Row],[DPP ORO]]</f>
        <v>579222.98</v>
      </c>
      <c r="F25" s="9">
        <f>+Tabla111[[#This Row],[PLARTINO]]</f>
        <v>573430.75020000001</v>
      </c>
      <c r="G25" s="9">
        <f>+Tabla111[[#This Row],[PRECIO  INSTALADOR
( CON  IVA)]]/0.7</f>
        <v>974878.60000000009</v>
      </c>
      <c r="H25" s="12" t="e">
        <f t="shared" si="10"/>
        <v>#REF!</v>
      </c>
      <c r="I25" s="12" t="e">
        <f t="shared" si="11"/>
        <v>#REF!</v>
      </c>
      <c r="J25" s="13" t="e">
        <f t="shared" si="12"/>
        <v>#REF!</v>
      </c>
      <c r="K25" s="13" t="e">
        <f>+L25/#REF!</f>
        <v>#REF!</v>
      </c>
      <c r="L25" s="13">
        <f t="shared" si="13"/>
        <v>573430.75020000001</v>
      </c>
      <c r="M25" s="6">
        <f t="shared" si="14"/>
        <v>5792.2298000000001</v>
      </c>
      <c r="N25" s="1" t="e">
        <f>+O25/#REF!</f>
        <v>#REF!</v>
      </c>
      <c r="O25" s="1">
        <f>Tabla111[[#This Row],[ORO SIN IVA]]*1.19</f>
        <v>579222.98</v>
      </c>
      <c r="P25" s="12" t="e">
        <f>+R25/#REF!</f>
        <v>#REF!</v>
      </c>
      <c r="Q25" s="12">
        <f>+Tabla111[[#This Row],[PRECIO SUGERIDO INSTALADOR]]*5%</f>
        <v>34120.751000000004</v>
      </c>
      <c r="R25" s="1">
        <f>Tabla111[[#This Row],[INSTALLER SIN IVA]]*1.19</f>
        <v>682415.02</v>
      </c>
      <c r="S25" s="1">
        <v>486742</v>
      </c>
      <c r="T25" s="14">
        <v>573458</v>
      </c>
    </row>
    <row r="26" spans="1:20" ht="27" x14ac:dyDescent="0.25">
      <c r="A26" s="30" t="s">
        <v>68</v>
      </c>
      <c r="B26" s="31" t="s">
        <v>69</v>
      </c>
      <c r="C26" s="9">
        <f>+Tabla111[[#This Row],[PRECIO SUGERIDO INSTALADOR]]</f>
        <v>5473157.4799999995</v>
      </c>
      <c r="D26" s="9">
        <f>+Tabla111[[#This Row],[PRECIO  INSTALADOR
( CON  IVA)]]-Tabla111[[#This Row],[Columna9]]</f>
        <v>5199499.6059999997</v>
      </c>
      <c r="E26" s="9">
        <f>+Tabla111[[#This Row],[DPP ORO]]</f>
        <v>4630825.5</v>
      </c>
      <c r="F26" s="9">
        <f>+Tabla111[[#This Row],[PLARTINO]]</f>
        <v>4584517.2450000001</v>
      </c>
      <c r="G26" s="9">
        <f>+Tabla111[[#This Row],[PRECIO  INSTALADOR
( CON  IVA)]]/0.7</f>
        <v>7818796.3999999994</v>
      </c>
      <c r="H26" s="12" t="e">
        <f t="shared" si="10"/>
        <v>#REF!</v>
      </c>
      <c r="I26" s="12" t="e">
        <f t="shared" si="11"/>
        <v>#REF!</v>
      </c>
      <c r="J26" s="13" t="e">
        <f t="shared" si="12"/>
        <v>#REF!</v>
      </c>
      <c r="K26" s="13" t="e">
        <f>+L26/#REF!</f>
        <v>#REF!</v>
      </c>
      <c r="L26" s="13">
        <f t="shared" si="13"/>
        <v>4584517.2450000001</v>
      </c>
      <c r="M26" s="6">
        <f t="shared" si="14"/>
        <v>46308.254999999997</v>
      </c>
      <c r="N26" s="1" t="e">
        <f>+O26/#REF!</f>
        <v>#REF!</v>
      </c>
      <c r="O26" s="1">
        <f>Tabla111[[#This Row],[ORO SIN IVA]]*1.19</f>
        <v>4630825.5</v>
      </c>
      <c r="P26" s="12" t="e">
        <f>+R26/#REF!</f>
        <v>#REF!</v>
      </c>
      <c r="Q26" s="12">
        <f>+Tabla111[[#This Row],[PRECIO SUGERIDO INSTALADOR]]*5%</f>
        <v>273657.87400000001</v>
      </c>
      <c r="R26" s="1">
        <f>Tabla111[[#This Row],[INSTALLER SIN IVA]]*1.19</f>
        <v>5473157.4799999995</v>
      </c>
      <c r="S26" s="1">
        <v>3891450</v>
      </c>
      <c r="T26" s="14">
        <v>4599292</v>
      </c>
    </row>
    <row r="27" spans="1:20" ht="27" x14ac:dyDescent="0.25">
      <c r="A27" s="30" t="s">
        <v>70</v>
      </c>
      <c r="B27" s="31" t="s">
        <v>71</v>
      </c>
      <c r="C27" s="9">
        <f>+Tabla111[[#This Row],[PRECIO SUGERIDO INSTALADOR]]</f>
        <v>11402629.979999999</v>
      </c>
      <c r="D27" s="9">
        <f>+Tabla111[[#This Row],[PRECIO  INSTALADOR
( CON  IVA)]]-Tabla111[[#This Row],[Columna9]]</f>
        <v>10832498.480999999</v>
      </c>
      <c r="E27" s="9">
        <f>+Tabla111[[#This Row],[DPP ORO]]</f>
        <v>9870938.1399999987</v>
      </c>
      <c r="F27" s="9">
        <f>+Tabla111[[#This Row],[PLARTINO]]</f>
        <v>9772228.7585999984</v>
      </c>
      <c r="G27" s="9">
        <f>+Tabla111[[#This Row],[PRECIO  INSTALADOR
( CON  IVA)]]/0.7</f>
        <v>16289471.399999999</v>
      </c>
      <c r="H27" s="12" t="e">
        <f t="shared" si="10"/>
        <v>#REF!</v>
      </c>
      <c r="I27" s="12" t="e">
        <f t="shared" si="11"/>
        <v>#REF!</v>
      </c>
      <c r="J27" s="13" t="e">
        <f t="shared" si="12"/>
        <v>#REF!</v>
      </c>
      <c r="K27" s="13" t="e">
        <f>+L27/#REF!</f>
        <v>#REF!</v>
      </c>
      <c r="L27" s="13">
        <f t="shared" si="13"/>
        <v>9772228.7585999984</v>
      </c>
      <c r="M27" s="6">
        <f t="shared" si="14"/>
        <v>98709.381399999984</v>
      </c>
      <c r="N27" s="1" t="e">
        <f>+O27/#REF!</f>
        <v>#REF!</v>
      </c>
      <c r="O27" s="1">
        <f>Tabla111[[#This Row],[ORO SIN IVA]]*1.19</f>
        <v>9870938.1399999987</v>
      </c>
      <c r="P27" s="12" t="e">
        <f>+R27/#REF!</f>
        <v>#REF!</v>
      </c>
      <c r="Q27" s="12">
        <f>+Tabla111[[#This Row],[PRECIO SUGERIDO INSTALADOR]]*5%</f>
        <v>570131.49899999995</v>
      </c>
      <c r="R27" s="1">
        <f>Tabla111[[#This Row],[INSTALLER SIN IVA]]*1.19</f>
        <v>11402629.979999999</v>
      </c>
      <c r="S27" s="1">
        <v>8294906</v>
      </c>
      <c r="T27" s="14">
        <v>9582042</v>
      </c>
    </row>
    <row r="28" spans="1:20" ht="67.5" x14ac:dyDescent="0.25">
      <c r="A28" s="30" t="s">
        <v>72</v>
      </c>
      <c r="B28" s="31" t="s">
        <v>73</v>
      </c>
      <c r="C28" s="9">
        <f>+Tabla111[[#This Row],[PRECIO SUGERIDO INSTALADOR]]</f>
        <v>7733886.1599999992</v>
      </c>
      <c r="D28" s="9">
        <f>+Tabla111[[#This Row],[PRECIO  INSTALADOR
( CON  IVA)]]-Tabla111[[#This Row],[Columna9]]</f>
        <v>7347191.851999999</v>
      </c>
      <c r="E28" s="9">
        <f>+Tabla111[[#This Row],[DPP ORO]]</f>
        <v>6694911.4399999995</v>
      </c>
      <c r="F28" s="9">
        <f>+Tabla111[[#This Row],[PLARTINO]]</f>
        <v>6627962.3255999992</v>
      </c>
      <c r="G28" s="9">
        <f>+Tabla111[[#This Row],[PRECIO  INSTALADOR
( CON  IVA)]]/0.7</f>
        <v>11048408.799999999</v>
      </c>
      <c r="H28" s="12" t="e">
        <f t="shared" si="10"/>
        <v>#REF!</v>
      </c>
      <c r="I28" s="12" t="e">
        <f t="shared" si="11"/>
        <v>#REF!</v>
      </c>
      <c r="J28" s="13" t="e">
        <f t="shared" si="12"/>
        <v>#REF!</v>
      </c>
      <c r="K28" s="13" t="e">
        <f>+L28/#REF!</f>
        <v>#REF!</v>
      </c>
      <c r="L28" s="13">
        <f t="shared" si="13"/>
        <v>6627962.3255999992</v>
      </c>
      <c r="M28" s="6">
        <f t="shared" si="14"/>
        <v>66949.114399999991</v>
      </c>
      <c r="N28" s="1" t="e">
        <f>+O28/#REF!</f>
        <v>#REF!</v>
      </c>
      <c r="O28" s="1">
        <f>Tabla111[[#This Row],[ORO SIN IVA]]*1.19</f>
        <v>6694911.4399999995</v>
      </c>
      <c r="P28" s="12" t="e">
        <f>+R28/#REF!</f>
        <v>#REF!</v>
      </c>
      <c r="Q28" s="12">
        <f>+Tabla111[[#This Row],[PRECIO SUGERIDO INSTALADOR]]*5%</f>
        <v>386694.30799999996</v>
      </c>
      <c r="R28" s="1">
        <f>Tabla111[[#This Row],[INSTALLER SIN IVA]]*1.19</f>
        <v>7733886.1599999992</v>
      </c>
      <c r="S28" s="1">
        <v>5625976</v>
      </c>
      <c r="T28" s="14">
        <v>6499064</v>
      </c>
    </row>
    <row r="29" spans="1:20" ht="40.5" x14ac:dyDescent="0.25">
      <c r="A29" s="30" t="s">
        <v>74</v>
      </c>
      <c r="B29" s="31" t="s">
        <v>75</v>
      </c>
      <c r="C29" s="9">
        <f>+Tabla111[[#This Row],[PRECIO SUGERIDO INSTALADOR]]</f>
        <v>10411045.82</v>
      </c>
      <c r="D29" s="9">
        <f>+Tabla111[[#This Row],[PRECIO  INSTALADOR
( CON  IVA)]]-Tabla111[[#This Row],[Columna9]]</f>
        <v>9890493.529000001</v>
      </c>
      <c r="E29" s="9">
        <f>+Tabla111[[#This Row],[DPP ORO]]</f>
        <v>9012572.0999999996</v>
      </c>
      <c r="F29" s="9">
        <f>+Tabla111[[#This Row],[PLARTINO]]</f>
        <v>8922446.3789999988</v>
      </c>
      <c r="G29" s="9">
        <f>+Tabla111[[#This Row],[PRECIO  INSTALADOR
( CON  IVA)]]/0.7</f>
        <v>14872922.600000001</v>
      </c>
      <c r="H29" s="12" t="e">
        <f t="shared" si="10"/>
        <v>#REF!</v>
      </c>
      <c r="I29" s="12" t="e">
        <f t="shared" si="11"/>
        <v>#REF!</v>
      </c>
      <c r="J29" s="13" t="e">
        <f t="shared" si="12"/>
        <v>#REF!</v>
      </c>
      <c r="K29" s="13" t="e">
        <f>+L29/#REF!</f>
        <v>#REF!</v>
      </c>
      <c r="L29" s="13">
        <f t="shared" si="13"/>
        <v>8922446.3789999988</v>
      </c>
      <c r="M29" s="6">
        <f t="shared" si="14"/>
        <v>90125.721000000005</v>
      </c>
      <c r="N29" s="1" t="e">
        <f>+O29/#REF!</f>
        <v>#REF!</v>
      </c>
      <c r="O29" s="1">
        <f>Tabla111[[#This Row],[ORO SIN IVA]]*1.19</f>
        <v>9012572.0999999996</v>
      </c>
      <c r="P29" s="12" t="e">
        <f>+R29/#REF!</f>
        <v>#REF!</v>
      </c>
      <c r="Q29" s="12">
        <f>+Tabla111[[#This Row],[PRECIO SUGERIDO INSTALADOR]]*5%</f>
        <v>520552.29100000003</v>
      </c>
      <c r="R29" s="1">
        <f>Tabla111[[#This Row],[INSTALLER SIN IVA]]*1.19</f>
        <v>10411045.82</v>
      </c>
      <c r="S29" s="1">
        <v>7573590</v>
      </c>
      <c r="T29" s="14">
        <v>8748778</v>
      </c>
    </row>
    <row r="30" spans="1:20" ht="40.5" x14ac:dyDescent="0.25">
      <c r="A30" s="30" t="s">
        <v>76</v>
      </c>
      <c r="B30" s="31" t="s">
        <v>77</v>
      </c>
      <c r="C30" s="9">
        <f>+Tabla111[[#This Row],[PRECIO SUGERIDO INSTALADOR]]</f>
        <v>14129305.539999999</v>
      </c>
      <c r="D30" s="9">
        <f>+Tabla111[[#This Row],[PRECIO  INSTALADOR
( CON  IVA)]]-Tabla111[[#This Row],[Columna9]]</f>
        <v>13422840.262999998</v>
      </c>
      <c r="E30" s="9">
        <f>+Tabla111[[#This Row],[DPP ORO]]</f>
        <v>12231331.699999999</v>
      </c>
      <c r="F30" s="9">
        <f>+Tabla111[[#This Row],[PLARTINO]]</f>
        <v>12109018.382999999</v>
      </c>
      <c r="G30" s="9">
        <f>+Tabla111[[#This Row],[PRECIO  INSTALADOR
( CON  IVA)]]/0.7</f>
        <v>20184722.199999999</v>
      </c>
      <c r="H30" s="12" t="e">
        <f t="shared" si="10"/>
        <v>#REF!</v>
      </c>
      <c r="I30" s="12" t="e">
        <f t="shared" si="11"/>
        <v>#REF!</v>
      </c>
      <c r="J30" s="13" t="e">
        <f t="shared" si="12"/>
        <v>#REF!</v>
      </c>
      <c r="K30" s="13" t="e">
        <f>+L30/#REF!</f>
        <v>#REF!</v>
      </c>
      <c r="L30" s="13">
        <f t="shared" si="13"/>
        <v>12109018.382999999</v>
      </c>
      <c r="M30" s="6">
        <f t="shared" si="14"/>
        <v>122313.317</v>
      </c>
      <c r="N30" s="1" t="e">
        <f>+O30/#REF!</f>
        <v>#REF!</v>
      </c>
      <c r="O30" s="1">
        <f>Tabla111[[#This Row],[ORO SIN IVA]]*1.19</f>
        <v>12231331.699999999</v>
      </c>
      <c r="P30" s="12" t="e">
        <f>+R30/#REF!</f>
        <v>#REF!</v>
      </c>
      <c r="Q30" s="12">
        <f>+Tabla111[[#This Row],[PRECIO SUGERIDO INSTALADOR]]*5%</f>
        <v>706465.277</v>
      </c>
      <c r="R30" s="1">
        <f>Tabla111[[#This Row],[INSTALLER SIN IVA]]*1.19</f>
        <v>14129305.539999999</v>
      </c>
      <c r="S30" s="1">
        <v>10278430</v>
      </c>
      <c r="T30" s="14">
        <v>11873366</v>
      </c>
    </row>
    <row r="31" spans="1:20" ht="94.5" x14ac:dyDescent="0.25">
      <c r="A31" s="30" t="s">
        <v>78</v>
      </c>
      <c r="B31" s="31" t="s">
        <v>79</v>
      </c>
      <c r="C31" s="9">
        <f>+Tabla111[[#This Row],[PRECIO SUGERIDO INSTALADOR]]</f>
        <v>10890875.24</v>
      </c>
      <c r="D31" s="9">
        <f>+Tabla111[[#This Row],[PRECIO  INSTALADOR
( CON  IVA)]]-Tabla111[[#This Row],[Columna9]]</f>
        <v>10346331.478</v>
      </c>
      <c r="E31" s="9">
        <f>+Tabla111[[#This Row],[DPP ORO]]</f>
        <v>9427917.7999999989</v>
      </c>
      <c r="F31" s="9">
        <f>+Tabla111[[#This Row],[PLARTINO]]</f>
        <v>9333638.6219999995</v>
      </c>
      <c r="G31" s="9">
        <f>+Tabla111[[#This Row],[PRECIO  INSTALADOR
( CON  IVA)]]/0.7</f>
        <v>15558393.200000001</v>
      </c>
      <c r="H31" s="12" t="e">
        <f t="shared" si="10"/>
        <v>#REF!</v>
      </c>
      <c r="I31" s="12" t="e">
        <f t="shared" si="11"/>
        <v>#REF!</v>
      </c>
      <c r="J31" s="13" t="e">
        <f t="shared" si="12"/>
        <v>#REF!</v>
      </c>
      <c r="K31" s="13" t="e">
        <f>+L31/#REF!</f>
        <v>#REF!</v>
      </c>
      <c r="L31" s="13">
        <f t="shared" si="13"/>
        <v>9333638.6219999995</v>
      </c>
      <c r="M31" s="6">
        <f t="shared" si="14"/>
        <v>94279.177999999985</v>
      </c>
      <c r="N31" s="1" t="e">
        <f>+O31/#REF!</f>
        <v>#REF!</v>
      </c>
      <c r="O31" s="1">
        <f>Tabla111[[#This Row],[ORO SIN IVA]]*1.19</f>
        <v>9427917.7999999989</v>
      </c>
      <c r="P31" s="12" t="e">
        <f>+R31/#REF!</f>
        <v>#REF!</v>
      </c>
      <c r="Q31" s="12">
        <f>+Tabla111[[#This Row],[PRECIO SUGERIDO INSTALADOR]]*5%</f>
        <v>544543.76199999999</v>
      </c>
      <c r="R31" s="1">
        <f>Tabla111[[#This Row],[INSTALLER SIN IVA]]*1.19</f>
        <v>10890875.24</v>
      </c>
      <c r="S31" s="1">
        <v>7922620</v>
      </c>
      <c r="T31" s="14">
        <v>9151996</v>
      </c>
    </row>
    <row r="32" spans="1:20" ht="40.5" x14ac:dyDescent="0.25">
      <c r="A32" s="30" t="s">
        <v>80</v>
      </c>
      <c r="B32" s="31" t="s">
        <v>81</v>
      </c>
      <c r="C32" s="9">
        <f>+Tabla111[[#This Row],[PRECIO SUGERIDO INSTALADOR]]</f>
        <v>7614143.5999999996</v>
      </c>
      <c r="D32" s="9">
        <f>+Tabla111[[#This Row],[PRECIO  INSTALADOR
( CON  IVA)]]-Tabla111[[#This Row],[Columna9]]</f>
        <v>7233436.4199999999</v>
      </c>
      <c r="E32" s="9">
        <f>+Tabla111[[#This Row],[DPP ORO]]</f>
        <v>6591402.8599999994</v>
      </c>
      <c r="F32" s="9">
        <f>+Tabla111[[#This Row],[PLARTINO]]</f>
        <v>6525488.8313999996</v>
      </c>
      <c r="G32" s="9">
        <f>+Tabla111[[#This Row],[PRECIO  INSTALADOR
( CON  IVA)]]/0.7</f>
        <v>10877348</v>
      </c>
      <c r="H32" s="12" t="e">
        <f t="shared" si="10"/>
        <v>#REF!</v>
      </c>
      <c r="I32" s="12" t="e">
        <f t="shared" si="11"/>
        <v>#REF!</v>
      </c>
      <c r="J32" s="13" t="e">
        <f t="shared" si="12"/>
        <v>#REF!</v>
      </c>
      <c r="K32" s="13" t="e">
        <f>+L32/#REF!</f>
        <v>#REF!</v>
      </c>
      <c r="L32" s="13">
        <f t="shared" si="13"/>
        <v>6525488.8313999996</v>
      </c>
      <c r="M32" s="6">
        <f t="shared" si="14"/>
        <v>65914.028599999991</v>
      </c>
      <c r="N32" s="1" t="e">
        <f>+O32/#REF!</f>
        <v>#REF!</v>
      </c>
      <c r="O32" s="1">
        <f>Tabla111[[#This Row],[ORO SIN IVA]]*1.19</f>
        <v>6591402.8599999994</v>
      </c>
      <c r="P32" s="12" t="e">
        <f>+R32/#REF!</f>
        <v>#REF!</v>
      </c>
      <c r="Q32" s="12">
        <f>+Tabla111[[#This Row],[PRECIO SUGERIDO INSTALADOR]]*5%</f>
        <v>380707.18</v>
      </c>
      <c r="R32" s="1">
        <f>Tabla111[[#This Row],[INSTALLER SIN IVA]]*1.19</f>
        <v>7614143.5999999996</v>
      </c>
      <c r="S32" s="1">
        <v>5538994</v>
      </c>
      <c r="T32" s="14">
        <v>6398440</v>
      </c>
    </row>
    <row r="33" spans="1:20" ht="40.5" x14ac:dyDescent="0.25">
      <c r="A33" s="30" t="s">
        <v>82</v>
      </c>
      <c r="B33" s="31" t="s">
        <v>83</v>
      </c>
      <c r="C33" s="9">
        <f>+Tabla111[[#This Row],[PRECIO SUGERIDO INSTALADOR]]</f>
        <v>13235441.799999999</v>
      </c>
      <c r="D33" s="9">
        <f>+Tabla111[[#This Row],[PRECIO  INSTALADOR
( CON  IVA)]]-Tabla111[[#This Row],[Columna9]]</f>
        <v>12573669.709999999</v>
      </c>
      <c r="E33" s="9">
        <f>+Tabla111[[#This Row],[DPP ORO]]</f>
        <v>11457481.84</v>
      </c>
      <c r="F33" s="9">
        <f>+Tabla111[[#This Row],[PLARTINO]]</f>
        <v>11342907.021600001</v>
      </c>
      <c r="G33" s="9">
        <f>+Tabla111[[#This Row],[PRECIO  INSTALADOR
( CON  IVA)]]/0.7</f>
        <v>18907774</v>
      </c>
      <c r="H33" s="12" t="e">
        <f t="shared" si="10"/>
        <v>#REF!</v>
      </c>
      <c r="I33" s="12" t="e">
        <f t="shared" si="11"/>
        <v>#REF!</v>
      </c>
      <c r="J33" s="13" t="e">
        <f t="shared" si="12"/>
        <v>#REF!</v>
      </c>
      <c r="K33" s="13" t="e">
        <f>+L33/#REF!</f>
        <v>#REF!</v>
      </c>
      <c r="L33" s="13">
        <f t="shared" si="13"/>
        <v>11342907.021600001</v>
      </c>
      <c r="M33" s="6">
        <f t="shared" si="14"/>
        <v>114574.8184</v>
      </c>
      <c r="N33" s="1" t="e">
        <f>+O33/#REF!</f>
        <v>#REF!</v>
      </c>
      <c r="O33" s="1">
        <f>Tabla111[[#This Row],[ORO SIN IVA]]*1.19</f>
        <v>11457481.84</v>
      </c>
      <c r="P33" s="12" t="e">
        <f>+R33/#REF!</f>
        <v>#REF!</v>
      </c>
      <c r="Q33" s="12">
        <f>+Tabla111[[#This Row],[PRECIO SUGERIDO INSTALADOR]]*5%</f>
        <v>661772.09</v>
      </c>
      <c r="R33" s="1">
        <f>Tabla111[[#This Row],[INSTALLER SIN IVA]]*1.19</f>
        <v>13235441.799999999</v>
      </c>
      <c r="S33" s="1">
        <v>9628136</v>
      </c>
      <c r="T33" s="14">
        <v>11122220</v>
      </c>
    </row>
    <row r="34" spans="1:20" ht="40.5" x14ac:dyDescent="0.25">
      <c r="A34" s="30" t="s">
        <v>84</v>
      </c>
      <c r="B34" s="31" t="s">
        <v>81</v>
      </c>
      <c r="C34" s="9">
        <f>+Tabla111[[#This Row],[PRECIO SUGERIDO INSTALADOR]]</f>
        <v>9081306.5</v>
      </c>
      <c r="D34" s="9">
        <f>+Tabla111[[#This Row],[PRECIO  INSTALADOR
( CON  IVA)]]-Tabla111[[#This Row],[Columna9]]</f>
        <v>8627241.1750000007</v>
      </c>
      <c r="E34" s="9">
        <f>+Tabla111[[#This Row],[DPP ORO]]</f>
        <v>7861406.5599999996</v>
      </c>
      <c r="F34" s="9">
        <f>+Tabla111[[#This Row],[PLARTINO]]</f>
        <v>7782792.4943999993</v>
      </c>
      <c r="G34" s="9">
        <f>+Tabla111[[#This Row],[PRECIO  INSTALADOR
( CON  IVA)]]/0.7</f>
        <v>12973295</v>
      </c>
      <c r="H34" s="12" t="e">
        <f t="shared" si="10"/>
        <v>#REF!</v>
      </c>
      <c r="I34" s="12" t="e">
        <f t="shared" si="11"/>
        <v>#REF!</v>
      </c>
      <c r="J34" s="13" t="e">
        <f t="shared" si="12"/>
        <v>#REF!</v>
      </c>
      <c r="K34" s="13" t="e">
        <f>+L34/#REF!</f>
        <v>#REF!</v>
      </c>
      <c r="L34" s="13">
        <f t="shared" si="13"/>
        <v>7782792.4943999993</v>
      </c>
      <c r="M34" s="6">
        <f t="shared" si="14"/>
        <v>78614.065600000002</v>
      </c>
      <c r="N34" s="1" t="e">
        <f>+O34/#REF!</f>
        <v>#REF!</v>
      </c>
      <c r="O34" s="1">
        <f>Tabla111[[#This Row],[ORO SIN IVA]]*1.19</f>
        <v>7861406.5599999996</v>
      </c>
      <c r="P34" s="12" t="e">
        <f>+R34/#REF!</f>
        <v>#REF!</v>
      </c>
      <c r="Q34" s="12">
        <f>+Tabla111[[#This Row],[PRECIO SUGERIDO INSTALADOR]]*5%</f>
        <v>454065.32500000001</v>
      </c>
      <c r="R34" s="1">
        <f>Tabla111[[#This Row],[INSTALLER SIN IVA]]*1.19</f>
        <v>9081306.5</v>
      </c>
      <c r="S34" s="1">
        <v>6606224</v>
      </c>
      <c r="T34" s="14">
        <v>7631350</v>
      </c>
    </row>
    <row r="35" spans="1:20" ht="40.5" x14ac:dyDescent="0.25">
      <c r="A35" s="30" t="s">
        <v>85</v>
      </c>
      <c r="B35" s="31" t="s">
        <v>86</v>
      </c>
      <c r="C35" s="9">
        <f>+Tabla111[[#This Row],[PRECIO SUGERIDO INSTALADOR]]</f>
        <v>13385617.42</v>
      </c>
      <c r="D35" s="9">
        <f>+Tabla111[[#This Row],[PRECIO  INSTALADOR
( CON  IVA)]]-Tabla111[[#This Row],[Columna9]]</f>
        <v>12716336.549000001</v>
      </c>
      <c r="E35" s="9">
        <f>+Tabla111[[#This Row],[DPP ORO]]</f>
        <v>11587534.559999999</v>
      </c>
      <c r="F35" s="9">
        <f>+Tabla111[[#This Row],[PLARTINO]]</f>
        <v>11471659.214399999</v>
      </c>
      <c r="G35" s="9">
        <f>+Tabla111[[#This Row],[PRECIO  INSTALADOR
( CON  IVA)]]/0.7</f>
        <v>19122310.600000001</v>
      </c>
      <c r="H35" s="12" t="e">
        <f t="shared" si="10"/>
        <v>#REF!</v>
      </c>
      <c r="I35" s="12" t="e">
        <f t="shared" si="11"/>
        <v>#REF!</v>
      </c>
      <c r="J35" s="13" t="e">
        <f t="shared" si="12"/>
        <v>#REF!</v>
      </c>
      <c r="K35" s="13" t="e">
        <f>+L35/#REF!</f>
        <v>#REF!</v>
      </c>
      <c r="L35" s="13">
        <f t="shared" si="13"/>
        <v>11471659.214399999</v>
      </c>
      <c r="M35" s="6">
        <f t="shared" si="14"/>
        <v>115875.34559999999</v>
      </c>
      <c r="N35" s="1" t="e">
        <f>+O35/#REF!</f>
        <v>#REF!</v>
      </c>
      <c r="O35" s="1">
        <f>Tabla111[[#This Row],[ORO SIN IVA]]*1.19</f>
        <v>11587534.559999999</v>
      </c>
      <c r="P35" s="12" t="e">
        <f>+R35/#REF!</f>
        <v>#REF!</v>
      </c>
      <c r="Q35" s="12">
        <f>+Tabla111[[#This Row],[PRECIO SUGERIDO INSTALADOR]]*5%</f>
        <v>669280.87100000004</v>
      </c>
      <c r="R35" s="1">
        <f>Tabla111[[#This Row],[INSTALLER SIN IVA]]*1.19</f>
        <v>13385617.42</v>
      </c>
      <c r="S35" s="1">
        <v>9737424</v>
      </c>
      <c r="T35" s="14">
        <v>11248418</v>
      </c>
    </row>
    <row r="36" spans="1:20" ht="40.5" x14ac:dyDescent="0.25">
      <c r="A36" s="30" t="s">
        <v>87</v>
      </c>
      <c r="B36" s="31" t="s">
        <v>88</v>
      </c>
      <c r="C36" s="9">
        <f>+Tabla111[[#This Row],[PRECIO SUGERIDO INSTALADOR]]</f>
        <v>8794340.379999999</v>
      </c>
      <c r="D36" s="9">
        <f>+Tabla111[[#This Row],[PRECIO  INSTALADOR
( CON  IVA)]]-Tabla111[[#This Row],[Columna9]]</f>
        <v>8354623.3609999986</v>
      </c>
      <c r="E36" s="9">
        <f>+Tabla111[[#This Row],[DPP ORO]]</f>
        <v>7613013.0999999996</v>
      </c>
      <c r="F36" s="9">
        <f>+Tabla111[[#This Row],[PLARTINO]]</f>
        <v>7536882.9689999996</v>
      </c>
      <c r="G36" s="9">
        <f>+Tabla111[[#This Row],[PRECIO  INSTALADOR
( CON  IVA)]]/0.7</f>
        <v>12563343.399999999</v>
      </c>
      <c r="H36" s="12" t="e">
        <f t="shared" si="10"/>
        <v>#REF!</v>
      </c>
      <c r="I36" s="12" t="e">
        <f t="shared" si="11"/>
        <v>#REF!</v>
      </c>
      <c r="J36" s="13" t="e">
        <f t="shared" si="12"/>
        <v>#REF!</v>
      </c>
      <c r="K36" s="13" t="e">
        <f>+L36/#REF!</f>
        <v>#REF!</v>
      </c>
      <c r="L36" s="13">
        <f t="shared" si="13"/>
        <v>7536882.9689999996</v>
      </c>
      <c r="M36" s="6">
        <f t="shared" si="14"/>
        <v>76130.130999999994</v>
      </c>
      <c r="N36" s="1" t="e">
        <f>+O36/#REF!</f>
        <v>#REF!</v>
      </c>
      <c r="O36" s="1">
        <f>Tabla111[[#This Row],[ORO SIN IVA]]*1.19</f>
        <v>7613013.0999999996</v>
      </c>
      <c r="P36" s="12" t="e">
        <f>+R36/#REF!</f>
        <v>#REF!</v>
      </c>
      <c r="Q36" s="12">
        <f>+Tabla111[[#This Row],[PRECIO SUGERIDO INSTALADOR]]*5%</f>
        <v>439717.01899999997</v>
      </c>
      <c r="R36" s="1">
        <f>Tabla111[[#This Row],[INSTALLER SIN IVA]]*1.19</f>
        <v>8794340.379999999</v>
      </c>
      <c r="S36" s="1">
        <v>6397490</v>
      </c>
      <c r="T36" s="14">
        <v>7390201.9999999991</v>
      </c>
    </row>
    <row r="37" spans="1:20" ht="40.5" x14ac:dyDescent="0.25">
      <c r="A37" s="30" t="s">
        <v>89</v>
      </c>
      <c r="B37" s="31" t="s">
        <v>90</v>
      </c>
      <c r="C37" s="9">
        <f>+Tabla111[[#This Row],[PRECIO SUGERIDO INSTALADOR]]</f>
        <v>16638789.439999999</v>
      </c>
      <c r="D37" s="9">
        <f>+Tabla111[[#This Row],[PRECIO  INSTALADOR
( CON  IVA)]]-Tabla111[[#This Row],[Columna9]]</f>
        <v>15806849.967999998</v>
      </c>
      <c r="E37" s="9">
        <f>+Tabla111[[#This Row],[DPP ORO]]</f>
        <v>14403745.719999999</v>
      </c>
      <c r="F37" s="9">
        <f>+Tabla111[[#This Row],[PLARTINO]]</f>
        <v>14259708.262799999</v>
      </c>
      <c r="G37" s="9">
        <f>+Tabla111[[#This Row],[PRECIO  INSTALADOR
( CON  IVA)]]/0.7</f>
        <v>23769699.199999999</v>
      </c>
      <c r="H37" s="12" t="e">
        <f t="shared" si="10"/>
        <v>#REF!</v>
      </c>
      <c r="I37" s="12" t="e">
        <f t="shared" si="11"/>
        <v>#REF!</v>
      </c>
      <c r="J37" s="13" t="e">
        <f t="shared" si="12"/>
        <v>#REF!</v>
      </c>
      <c r="K37" s="13" t="e">
        <f>+L37/#REF!</f>
        <v>#REF!</v>
      </c>
      <c r="L37" s="13">
        <f t="shared" si="13"/>
        <v>14259708.262799999</v>
      </c>
      <c r="M37" s="6">
        <f t="shared" si="14"/>
        <v>144037.4572</v>
      </c>
      <c r="N37" s="1" t="e">
        <f>+O37/#REF!</f>
        <v>#REF!</v>
      </c>
      <c r="O37" s="1">
        <f>Tabla111[[#This Row],[ORO SIN IVA]]*1.19</f>
        <v>14403745.719999999</v>
      </c>
      <c r="P37" s="12" t="e">
        <f>+R37/#REF!</f>
        <v>#REF!</v>
      </c>
      <c r="Q37" s="12">
        <f>+Tabla111[[#This Row],[PRECIO SUGERIDO INSTALADOR]]*5%</f>
        <v>831939.47200000007</v>
      </c>
      <c r="R37" s="1">
        <f>Tabla111[[#This Row],[INSTALLER SIN IVA]]*1.19</f>
        <v>16638789.439999999</v>
      </c>
      <c r="S37" s="1">
        <v>12103988</v>
      </c>
      <c r="T37" s="14">
        <v>13982176</v>
      </c>
    </row>
    <row r="38" spans="1:20" ht="40.5" x14ac:dyDescent="0.25">
      <c r="A38" s="30" t="s">
        <v>91</v>
      </c>
      <c r="B38" s="31" t="s">
        <v>92</v>
      </c>
      <c r="C38" s="9">
        <f>+Tabla111[[#This Row],[PRECIO SUGERIDO INSTALADOR]]</f>
        <v>10420677.68</v>
      </c>
      <c r="D38" s="9">
        <f>+Tabla111[[#This Row],[PRECIO  INSTALADOR
( CON  IVA)]]-Tabla111[[#This Row],[Columna9]]</f>
        <v>9899643.7960000001</v>
      </c>
      <c r="E38" s="9">
        <f>+Tabla111[[#This Row],[DPP ORO]]</f>
        <v>9020892.5800000001</v>
      </c>
      <c r="F38" s="9">
        <f>+Tabla111[[#This Row],[PLARTINO]]</f>
        <v>8930683.6542000007</v>
      </c>
      <c r="G38" s="9">
        <f>+Tabla111[[#This Row],[PRECIO  INSTALADOR
( CON  IVA)]]/0.7</f>
        <v>14886682.4</v>
      </c>
      <c r="H38" s="12" t="e">
        <f t="shared" si="10"/>
        <v>#REF!</v>
      </c>
      <c r="I38" s="12" t="e">
        <f t="shared" si="11"/>
        <v>#REF!</v>
      </c>
      <c r="J38" s="13" t="e">
        <f t="shared" si="12"/>
        <v>#REF!</v>
      </c>
      <c r="K38" s="13" t="e">
        <f>+L38/#REF!</f>
        <v>#REF!</v>
      </c>
      <c r="L38" s="13">
        <f t="shared" si="13"/>
        <v>8930683.6542000007</v>
      </c>
      <c r="M38" s="6">
        <f t="shared" si="14"/>
        <v>90208.925799999997</v>
      </c>
      <c r="N38" s="1" t="e">
        <f>+O38/#REF!</f>
        <v>#REF!</v>
      </c>
      <c r="O38" s="1">
        <f>Tabla111[[#This Row],[ORO SIN IVA]]*1.19</f>
        <v>9020892.5800000001</v>
      </c>
      <c r="P38" s="12" t="e">
        <f>+R38/#REF!</f>
        <v>#REF!</v>
      </c>
      <c r="Q38" s="12">
        <f>+Tabla111[[#This Row],[PRECIO SUGERIDO INSTALADOR]]*5%</f>
        <v>521033.88400000002</v>
      </c>
      <c r="R38" s="1">
        <f>Tabla111[[#This Row],[INSTALLER SIN IVA]]*1.19</f>
        <v>10420677.68</v>
      </c>
      <c r="S38" s="1">
        <v>7580582</v>
      </c>
      <c r="T38" s="14">
        <v>8756872</v>
      </c>
    </row>
    <row r="39" spans="1:20" ht="40.5" x14ac:dyDescent="0.25">
      <c r="A39" s="30" t="s">
        <v>93</v>
      </c>
      <c r="B39" s="31" t="s">
        <v>94</v>
      </c>
      <c r="C39" s="9">
        <f>+Tabla111[[#This Row],[PRECIO SUGERIDO INSTALADOR]]</f>
        <v>18151488.879999999</v>
      </c>
      <c r="D39" s="9">
        <f>+Tabla111[[#This Row],[PRECIO  INSTALADOR
( CON  IVA)]]-Tabla111[[#This Row],[Columna9]]</f>
        <v>17243914.436000001</v>
      </c>
      <c r="E39" s="9">
        <f>+Tabla111[[#This Row],[DPP ORO]]</f>
        <v>15450046.08</v>
      </c>
      <c r="F39" s="9">
        <f>+Tabla111[[#This Row],[PLARTINO]]</f>
        <v>15295545.619200001</v>
      </c>
      <c r="G39" s="9">
        <f>+Tabla111[[#This Row],[PRECIO  INSTALADOR
( CON  IVA)]]/0.7</f>
        <v>25930698.399999999</v>
      </c>
      <c r="H39" s="12" t="e">
        <f t="shared" si="10"/>
        <v>#REF!</v>
      </c>
      <c r="I39" s="12" t="e">
        <f t="shared" si="11"/>
        <v>#REF!</v>
      </c>
      <c r="J39" s="13" t="e">
        <f t="shared" si="12"/>
        <v>#REF!</v>
      </c>
      <c r="K39" s="13" t="e">
        <f>+L39/#REF!</f>
        <v>#REF!</v>
      </c>
      <c r="L39" s="13">
        <f t="shared" si="13"/>
        <v>15295545.619200001</v>
      </c>
      <c r="M39" s="6">
        <f t="shared" si="14"/>
        <v>154500.4608</v>
      </c>
      <c r="N39" s="1" t="e">
        <f>+O39/#REF!</f>
        <v>#REF!</v>
      </c>
      <c r="O39" s="1">
        <f>Tabla111[[#This Row],[ORO SIN IVA]]*1.19</f>
        <v>15450046.08</v>
      </c>
      <c r="P39" s="12" t="e">
        <f>+R39/#REF!</f>
        <v>#REF!</v>
      </c>
      <c r="Q39" s="12">
        <f>+Tabla111[[#This Row],[PRECIO SUGERIDO INSTALADOR]]*5%</f>
        <v>907574.44400000002</v>
      </c>
      <c r="R39" s="1">
        <f>Tabla111[[#This Row],[INSTALLER SIN IVA]]*1.19</f>
        <v>18151488.879999999</v>
      </c>
      <c r="S39" s="1">
        <v>12983232</v>
      </c>
      <c r="T39" s="14">
        <v>15253352</v>
      </c>
    </row>
    <row r="40" spans="1:20" ht="40.5" x14ac:dyDescent="0.25">
      <c r="A40" s="30" t="s">
        <v>95</v>
      </c>
      <c r="B40" s="31" t="s">
        <v>96</v>
      </c>
      <c r="C40" s="9">
        <f>+Tabla111[[#This Row],[PRECIO SUGERIDO INSTALADOR]]</f>
        <v>11393405.1</v>
      </c>
      <c r="D40" s="9">
        <f>+Tabla111[[#This Row],[PRECIO  INSTALADOR
( CON  IVA)]]-Tabla111[[#This Row],[Columna9]]</f>
        <v>10823734.844999999</v>
      </c>
      <c r="E40" s="9">
        <f>+Tabla111[[#This Row],[DPP ORO]]</f>
        <v>9862888.9800000004</v>
      </c>
      <c r="F40" s="9">
        <f>+Tabla111[[#This Row],[PLARTINO]]</f>
        <v>9764260.0901999995</v>
      </c>
      <c r="G40" s="9">
        <f>+Tabla111[[#This Row],[PRECIO  INSTALADOR
( CON  IVA)]]/0.7</f>
        <v>16276293</v>
      </c>
      <c r="H40" s="12" t="e">
        <f t="shared" si="10"/>
        <v>#REF!</v>
      </c>
      <c r="I40" s="12" t="e">
        <f t="shared" si="11"/>
        <v>#REF!</v>
      </c>
      <c r="J40" s="13" t="e">
        <f t="shared" si="12"/>
        <v>#REF!</v>
      </c>
      <c r="K40" s="13" t="e">
        <f>+L40/#REF!</f>
        <v>#REF!</v>
      </c>
      <c r="L40" s="13">
        <f t="shared" si="13"/>
        <v>9764260.0901999995</v>
      </c>
      <c r="M40" s="6">
        <f t="shared" si="14"/>
        <v>98628.889800000004</v>
      </c>
      <c r="N40" s="1" t="e">
        <f>+O40/#REF!</f>
        <v>#REF!</v>
      </c>
      <c r="O40" s="1">
        <f>Tabla111[[#This Row],[ORO SIN IVA]]*1.19</f>
        <v>9862888.9800000004</v>
      </c>
      <c r="P40" s="12" t="e">
        <f>+R40/#REF!</f>
        <v>#REF!</v>
      </c>
      <c r="Q40" s="12">
        <f>+Tabla111[[#This Row],[PRECIO SUGERIDO INSTALADOR]]*5%</f>
        <v>569670.255</v>
      </c>
      <c r="R40" s="1">
        <f>Tabla111[[#This Row],[INSTALLER SIN IVA]]*1.19</f>
        <v>11393405.1</v>
      </c>
      <c r="S40" s="1">
        <v>8288142</v>
      </c>
      <c r="T40" s="14">
        <v>9574290</v>
      </c>
    </row>
    <row r="41" spans="1:20" ht="40.5" x14ac:dyDescent="0.25">
      <c r="A41" s="30" t="s">
        <v>97</v>
      </c>
      <c r="B41" s="31" t="s">
        <v>98</v>
      </c>
      <c r="C41" s="9">
        <f>+Tabla111[[#This Row],[PRECIO SUGERIDO INSTALADOR]]</f>
        <v>21565734.539999999</v>
      </c>
      <c r="D41" s="9">
        <f>+Tabla111[[#This Row],[PRECIO  INSTALADOR
( CON  IVA)]]-Tabla111[[#This Row],[Columna9]]</f>
        <v>20487447.813000001</v>
      </c>
      <c r="E41" s="9">
        <f>+Tabla111[[#This Row],[DPP ORO]]</f>
        <v>18668805.68</v>
      </c>
      <c r="F41" s="9">
        <f>+Tabla111[[#This Row],[PLARTINO]]</f>
        <v>18482117.623199999</v>
      </c>
      <c r="G41" s="9">
        <f>+Tabla111[[#This Row],[PRECIO  INSTALADOR
( CON  IVA)]]/0.7</f>
        <v>30808192.199999999</v>
      </c>
      <c r="H41" s="12" t="e">
        <f t="shared" si="10"/>
        <v>#REF!</v>
      </c>
      <c r="I41" s="12" t="e">
        <f t="shared" si="11"/>
        <v>#REF!</v>
      </c>
      <c r="J41" s="13" t="e">
        <f t="shared" si="12"/>
        <v>#REF!</v>
      </c>
      <c r="K41" s="13" t="e">
        <f>+L41/#REF!</f>
        <v>#REF!</v>
      </c>
      <c r="L41" s="13">
        <f t="shared" si="13"/>
        <v>18482117.623199999</v>
      </c>
      <c r="M41" s="6">
        <f t="shared" si="14"/>
        <v>186688.05679999999</v>
      </c>
      <c r="N41" s="1" t="e">
        <f>+O41/#REF!</f>
        <v>#REF!</v>
      </c>
      <c r="O41" s="1">
        <f>Tabla111[[#This Row],[ORO SIN IVA]]*1.19</f>
        <v>18668805.68</v>
      </c>
      <c r="P41" s="12" t="e">
        <f>+R41/#REF!</f>
        <v>#REF!</v>
      </c>
      <c r="Q41" s="12">
        <f>+Tabla111[[#This Row],[PRECIO SUGERIDO INSTALADOR]]*5%</f>
        <v>1078286.727</v>
      </c>
      <c r="R41" s="1">
        <f>Tabla111[[#This Row],[INSTALLER SIN IVA]]*1.19</f>
        <v>21565734.539999999</v>
      </c>
      <c r="S41" s="1">
        <v>15688072</v>
      </c>
      <c r="T41" s="14">
        <v>18122466</v>
      </c>
    </row>
    <row r="42" spans="1:20" ht="40.5" x14ac:dyDescent="0.25">
      <c r="A42" s="30" t="s">
        <v>99</v>
      </c>
      <c r="B42" s="31" t="s">
        <v>100</v>
      </c>
      <c r="C42" s="9">
        <f>+Tabla111[[#This Row],[PRECIO SUGERIDO INSTALADOR]]</f>
        <v>13434500.24</v>
      </c>
      <c r="D42" s="9">
        <f>+Tabla111[[#This Row],[PRECIO  INSTALADOR
( CON  IVA)]]-Tabla111[[#This Row],[Columna9]]</f>
        <v>12762775.228</v>
      </c>
      <c r="E42" s="9">
        <f>+Tabla111[[#This Row],[DPP ORO]]</f>
        <v>11626966.4</v>
      </c>
      <c r="F42" s="9">
        <f>+Tabla111[[#This Row],[PLARTINO]]</f>
        <v>11510696.736</v>
      </c>
      <c r="G42" s="9">
        <f>+Tabla111[[#This Row],[PRECIO  INSTALADOR
( CON  IVA)]]/0.7</f>
        <v>19192143.200000003</v>
      </c>
      <c r="H42" s="12" t="e">
        <f t="shared" si="10"/>
        <v>#REF!</v>
      </c>
      <c r="I42" s="12" t="e">
        <f t="shared" si="11"/>
        <v>#REF!</v>
      </c>
      <c r="J42" s="13" t="e">
        <f t="shared" si="12"/>
        <v>#REF!</v>
      </c>
      <c r="K42" s="13" t="e">
        <f>+L42/#REF!</f>
        <v>#REF!</v>
      </c>
      <c r="L42" s="13">
        <f t="shared" si="13"/>
        <v>11510696.736</v>
      </c>
      <c r="M42" s="6">
        <f t="shared" si="14"/>
        <v>116269.664</v>
      </c>
      <c r="N42" s="1" t="e">
        <f>+O42/#REF!</f>
        <v>#REF!</v>
      </c>
      <c r="O42" s="1">
        <f>Tabla111[[#This Row],[ORO SIN IVA]]*1.19</f>
        <v>11626966.4</v>
      </c>
      <c r="P42" s="12" t="e">
        <f>+R42/#REF!</f>
        <v>#REF!</v>
      </c>
      <c r="Q42" s="12">
        <f>+Tabla111[[#This Row],[PRECIO SUGERIDO INSTALADOR]]*5%</f>
        <v>671725.0120000001</v>
      </c>
      <c r="R42" s="1">
        <f>Tabla111[[#This Row],[INSTALLER SIN IVA]]*1.19</f>
        <v>13434500.24</v>
      </c>
      <c r="S42" s="1">
        <v>9770560</v>
      </c>
      <c r="T42" s="14">
        <v>11289496</v>
      </c>
    </row>
    <row r="43" spans="1:20" ht="40.5" x14ac:dyDescent="0.25">
      <c r="A43" s="30" t="s">
        <v>101</v>
      </c>
      <c r="B43" s="31" t="s">
        <v>102</v>
      </c>
      <c r="C43" s="9">
        <f>+Tabla111[[#This Row],[PRECIO SUGERIDO INSTALADOR]]</f>
        <v>43131288.199999996</v>
      </c>
      <c r="D43" s="9">
        <f>+Tabla111[[#This Row],[PRECIO  INSTALADOR
( CON  IVA)]]-Tabla111[[#This Row],[Columna9]]</f>
        <v>40974723.789999999</v>
      </c>
      <c r="E43" s="9">
        <f>+Tabla111[[#This Row],[DPP ORO]]</f>
        <v>21064923.039999999</v>
      </c>
      <c r="F43" s="9">
        <f>+Tabla111[[#This Row],[PLARTINO]]</f>
        <v>20854273.809599999</v>
      </c>
      <c r="G43" s="9">
        <f>+Tabla111[[#This Row],[PRECIO  INSTALADOR
( CON  IVA)]]/0.7</f>
        <v>61616126</v>
      </c>
      <c r="H43" s="12" t="e">
        <f t="shared" si="10"/>
        <v>#REF!</v>
      </c>
      <c r="I43" s="12" t="e">
        <f t="shared" si="11"/>
        <v>#REF!</v>
      </c>
      <c r="J43" s="13" t="e">
        <f t="shared" si="12"/>
        <v>#REF!</v>
      </c>
      <c r="K43" s="13" t="e">
        <f>+L43/#REF!</f>
        <v>#REF!</v>
      </c>
      <c r="L43" s="13">
        <f t="shared" si="13"/>
        <v>20854273.809599999</v>
      </c>
      <c r="M43" s="6">
        <f t="shared" si="14"/>
        <v>210649.2304</v>
      </c>
      <c r="N43" s="1" t="e">
        <f>+O43/#REF!</f>
        <v>#REF!</v>
      </c>
      <c r="O43" s="1">
        <f>Tabla111[[#This Row],[ORO SIN IVA]]*1.19</f>
        <v>21064923.039999999</v>
      </c>
      <c r="P43" s="12" t="e">
        <f>+R43/#REF!</f>
        <v>#REF!</v>
      </c>
      <c r="Q43" s="12">
        <f>+Tabla111[[#This Row],[PRECIO SUGERIDO INSTALADOR]]*5%</f>
        <v>2156564.4099999997</v>
      </c>
      <c r="R43" s="1">
        <f>Tabla111[[#This Row],[INSTALLER SIN IVA]]*1.19</f>
        <v>43131288.199999996</v>
      </c>
      <c r="S43" s="1">
        <v>17701616</v>
      </c>
      <c r="T43" s="14">
        <v>36244780</v>
      </c>
    </row>
    <row r="44" spans="1:20" ht="27" x14ac:dyDescent="0.25">
      <c r="A44" s="30" t="s">
        <v>103</v>
      </c>
      <c r="B44" s="31" t="s">
        <v>104</v>
      </c>
      <c r="C44" s="9">
        <f>+Tabla111[[#This Row],[PRECIO SUGERIDO INSTALADOR]]</f>
        <v>545895.84</v>
      </c>
      <c r="D44" s="9">
        <f>+Tabla111[[#This Row],[PRECIO  INSTALADOR
( CON  IVA)]]-Tabla111[[#This Row],[Columna9]]</f>
        <v>518601.04799999995</v>
      </c>
      <c r="E44" s="9">
        <f>+Tabla111[[#This Row],[DPP ORO]]</f>
        <v>463414.56</v>
      </c>
      <c r="F44" s="9">
        <f>+Tabla111[[#This Row],[PLARTINO]]</f>
        <v>458780.41440000001</v>
      </c>
      <c r="G44" s="9">
        <f>+Tabla111[[#This Row],[PRECIO  INSTALADOR
( CON  IVA)]]/0.7</f>
        <v>779851.2</v>
      </c>
      <c r="H44" s="12" t="e">
        <f t="shared" si="10"/>
        <v>#REF!</v>
      </c>
      <c r="I44" s="12" t="e">
        <f t="shared" si="11"/>
        <v>#REF!</v>
      </c>
      <c r="J44" s="13" t="e">
        <f t="shared" si="12"/>
        <v>#REF!</v>
      </c>
      <c r="K44" s="13" t="e">
        <f>+L44/#REF!</f>
        <v>#REF!</v>
      </c>
      <c r="L44" s="13">
        <f t="shared" si="13"/>
        <v>458780.41440000001</v>
      </c>
      <c r="M44" s="6">
        <f t="shared" si="14"/>
        <v>4634.1455999999998</v>
      </c>
      <c r="N44" s="1" t="e">
        <f>+O44/#REF!</f>
        <v>#REF!</v>
      </c>
      <c r="O44" s="1">
        <f>Tabla111[[#This Row],[ORO SIN IVA]]*1.19</f>
        <v>463414.56</v>
      </c>
      <c r="P44" s="12" t="e">
        <f>+R44/#REF!</f>
        <v>#REF!</v>
      </c>
      <c r="Q44" s="12">
        <f>+Tabla111[[#This Row],[PRECIO SUGERIDO INSTALADOR]]*5%</f>
        <v>27294.792000000001</v>
      </c>
      <c r="R44" s="1">
        <f>Tabla111[[#This Row],[INSTALLER SIN IVA]]*1.19</f>
        <v>545895.84</v>
      </c>
      <c r="S44" s="1">
        <v>389424</v>
      </c>
      <c r="T44" s="14">
        <v>458736</v>
      </c>
    </row>
    <row r="45" spans="1:20" ht="40.5" x14ac:dyDescent="0.25">
      <c r="A45" s="30" t="s">
        <v>105</v>
      </c>
      <c r="B45" s="31" t="s">
        <v>106</v>
      </c>
      <c r="C45" s="9">
        <f>+Tabla111[[#This Row],[PRECIO SUGERIDO INSTALADOR]]</f>
        <v>1058328.8799999999</v>
      </c>
      <c r="D45" s="9">
        <f>+Tabla111[[#This Row],[PRECIO  INSTALADOR
( CON  IVA)]]-Tabla111[[#This Row],[Columna9]]</f>
        <v>1005412.4359999999</v>
      </c>
      <c r="E45" s="9">
        <f>+Tabla111[[#This Row],[DPP ORO]]</f>
        <v>916111.98</v>
      </c>
      <c r="F45" s="9">
        <f>+Tabla111[[#This Row],[PLARTINO]]</f>
        <v>906950.8602</v>
      </c>
      <c r="G45" s="9">
        <f>+Tabla111[[#This Row],[PRECIO  INSTALADOR
( CON  IVA)]]/0.7</f>
        <v>1511898.4</v>
      </c>
      <c r="H45" s="12" t="e">
        <f t="shared" si="10"/>
        <v>#REF!</v>
      </c>
      <c r="I45" s="12" t="e">
        <f t="shared" si="11"/>
        <v>#REF!</v>
      </c>
      <c r="J45" s="13" t="e">
        <f t="shared" si="12"/>
        <v>#REF!</v>
      </c>
      <c r="K45" s="13" t="e">
        <f>+L45/#REF!</f>
        <v>#REF!</v>
      </c>
      <c r="L45" s="13">
        <f t="shared" si="13"/>
        <v>906950.8602</v>
      </c>
      <c r="M45" s="6">
        <f t="shared" si="14"/>
        <v>9161.1198000000004</v>
      </c>
      <c r="N45" s="1" t="e">
        <f>+O45/#REF!</f>
        <v>#REF!</v>
      </c>
      <c r="O45" s="1">
        <f>Tabla111[[#This Row],[ORO SIN IVA]]*1.19</f>
        <v>916111.98</v>
      </c>
      <c r="P45" s="12" t="e">
        <f>+R45/#REF!</f>
        <v>#REF!</v>
      </c>
      <c r="Q45" s="12">
        <f>+Tabla111[[#This Row],[PRECIO SUGERIDO INSTALADOR]]*5%</f>
        <v>52916.443999999996</v>
      </c>
      <c r="R45" s="1">
        <f>Tabla111[[#This Row],[INSTALLER SIN IVA]]*1.19</f>
        <v>1058328.8799999999</v>
      </c>
      <c r="S45" s="1">
        <v>769842</v>
      </c>
      <c r="T45" s="14">
        <v>889352</v>
      </c>
    </row>
    <row r="46" spans="1:20" ht="40.5" x14ac:dyDescent="0.25">
      <c r="A46" s="30" t="s">
        <v>107</v>
      </c>
      <c r="B46" s="31" t="s">
        <v>108</v>
      </c>
      <c r="C46" s="9">
        <f>+Tabla111[[#This Row],[PRECIO SUGERIDO INSTALADOR]]</f>
        <v>2559723.3199999998</v>
      </c>
      <c r="D46" s="9">
        <f>+Tabla111[[#This Row],[PRECIO  INSTALADOR
( CON  IVA)]]-Tabla111[[#This Row],[Columna9]]</f>
        <v>2431737.1539999996</v>
      </c>
      <c r="E46" s="9">
        <f>+Tabla111[[#This Row],[DPP ORO]]</f>
        <v>3956885.6599999997</v>
      </c>
      <c r="F46" s="9">
        <f>+Tabla111[[#This Row],[PLARTINO]]</f>
        <v>3917316.8033999996</v>
      </c>
      <c r="G46" s="9">
        <f>+Tabla111[[#This Row],[PRECIO  INSTALADOR
( CON  IVA)]]/0.7</f>
        <v>3656747.6</v>
      </c>
      <c r="H46" s="12" t="e">
        <f t="shared" si="10"/>
        <v>#REF!</v>
      </c>
      <c r="I46" s="12" t="e">
        <f t="shared" si="11"/>
        <v>#REF!</v>
      </c>
      <c r="J46" s="13" t="e">
        <f t="shared" si="12"/>
        <v>#REF!</v>
      </c>
      <c r="K46" s="13" t="e">
        <f>+L46/#REF!</f>
        <v>#REF!</v>
      </c>
      <c r="L46" s="13">
        <f t="shared" si="13"/>
        <v>3917316.8033999996</v>
      </c>
      <c r="M46" s="6">
        <f t="shared" si="14"/>
        <v>39568.856599999999</v>
      </c>
      <c r="N46" s="1" t="e">
        <f>+O46/#REF!</f>
        <v>#REF!</v>
      </c>
      <c r="O46" s="1">
        <f>Tabla111[[#This Row],[ORO SIN IVA]]*1.19</f>
        <v>3956885.6599999997</v>
      </c>
      <c r="P46" s="12" t="e">
        <f>+R46/#REF!</f>
        <v>#REF!</v>
      </c>
      <c r="Q46" s="12">
        <f>+Tabla111[[#This Row],[PRECIO SUGERIDO INSTALADOR]]*5%</f>
        <v>127986.166</v>
      </c>
      <c r="R46" s="1">
        <f>Tabla111[[#This Row],[INSTALLER SIN IVA]]*1.19</f>
        <v>2559723.3199999998</v>
      </c>
      <c r="S46" s="1">
        <v>3325114</v>
      </c>
      <c r="T46" s="14">
        <v>2151028</v>
      </c>
    </row>
    <row r="47" spans="1:20" ht="40.5" x14ac:dyDescent="0.25">
      <c r="A47" s="30" t="s">
        <v>109</v>
      </c>
      <c r="B47" s="31" t="s">
        <v>110</v>
      </c>
      <c r="C47" s="9">
        <f>+Tabla111[[#This Row],[PRECIO SUGERIDO INSTALADOR]]</f>
        <v>2656358.46</v>
      </c>
      <c r="D47" s="9">
        <f>+Tabla111[[#This Row],[PRECIO  INSTALADOR
( CON  IVA)]]-Tabla111[[#This Row],[Columna9]]</f>
        <v>2523540.537</v>
      </c>
      <c r="E47" s="9">
        <f>+Tabla111[[#This Row],[DPP ORO]]</f>
        <v>3691760.8</v>
      </c>
      <c r="F47" s="9">
        <f>+Tabla111[[#This Row],[PLARTINO]]</f>
        <v>3654843.1919999998</v>
      </c>
      <c r="G47" s="9">
        <f>+Tabla111[[#This Row],[PRECIO  INSTALADOR
( CON  IVA)]]/0.7</f>
        <v>3794797.8000000003</v>
      </c>
      <c r="H47" s="12" t="e">
        <f t="shared" si="10"/>
        <v>#REF!</v>
      </c>
      <c r="I47" s="12" t="e">
        <f t="shared" si="11"/>
        <v>#REF!</v>
      </c>
      <c r="J47" s="13" t="e">
        <f t="shared" si="12"/>
        <v>#REF!</v>
      </c>
      <c r="K47" s="13" t="e">
        <f>+L47/#REF!</f>
        <v>#REF!</v>
      </c>
      <c r="L47" s="13">
        <f t="shared" si="13"/>
        <v>3654843.1919999998</v>
      </c>
      <c r="M47" s="6">
        <f t="shared" si="14"/>
        <v>36917.608</v>
      </c>
      <c r="N47" s="1" t="e">
        <f>+O47/#REF!</f>
        <v>#REF!</v>
      </c>
      <c r="O47" s="1">
        <f>Tabla111[[#This Row],[ORO SIN IVA]]*1.19</f>
        <v>3691760.8</v>
      </c>
      <c r="P47" s="12" t="e">
        <f>+R47/#REF!</f>
        <v>#REF!</v>
      </c>
      <c r="Q47" s="12">
        <f>+Tabla111[[#This Row],[PRECIO SUGERIDO INSTALADOR]]*5%</f>
        <v>132817.92300000001</v>
      </c>
      <c r="R47" s="1">
        <f>Tabla111[[#This Row],[INSTALLER SIN IVA]]*1.19</f>
        <v>2656358.46</v>
      </c>
      <c r="S47" s="1">
        <v>3102320</v>
      </c>
      <c r="T47" s="14">
        <v>2232234</v>
      </c>
    </row>
    <row r="48" spans="1:20" ht="40.5" x14ac:dyDescent="0.25">
      <c r="A48" s="30" t="s">
        <v>111</v>
      </c>
      <c r="B48" s="31" t="s">
        <v>112</v>
      </c>
      <c r="C48" s="9">
        <f>+Tabla111[[#This Row],[PRECIO SUGERIDO INSTALADOR]]</f>
        <v>2212885.92</v>
      </c>
      <c r="D48" s="9">
        <f>+Tabla111[[#This Row],[PRECIO  INSTALADOR
( CON  IVA)]]-Tabla111[[#This Row],[Columna9]]</f>
        <v>2102241.6239999998</v>
      </c>
      <c r="E48" s="9">
        <f>+Tabla111[[#This Row],[DPP ORO]]</f>
        <v>3573917.48</v>
      </c>
      <c r="F48" s="9">
        <f>+Tabla111[[#This Row],[PLARTINO]]</f>
        <v>3538178.3051999998</v>
      </c>
      <c r="G48" s="9">
        <f>+Tabla111[[#This Row],[PRECIO  INSTALADOR
( CON  IVA)]]/0.7</f>
        <v>3161265.6</v>
      </c>
      <c r="H48" s="12" t="e">
        <f t="shared" si="10"/>
        <v>#REF!</v>
      </c>
      <c r="I48" s="12" t="e">
        <f t="shared" si="11"/>
        <v>#REF!</v>
      </c>
      <c r="J48" s="13" t="e">
        <f t="shared" si="12"/>
        <v>#REF!</v>
      </c>
      <c r="K48" s="13" t="e">
        <f>+L48/#REF!</f>
        <v>#REF!</v>
      </c>
      <c r="L48" s="13">
        <f t="shared" si="13"/>
        <v>3538178.3051999998</v>
      </c>
      <c r="M48" s="6">
        <f t="shared" si="14"/>
        <v>35739.174800000001</v>
      </c>
      <c r="N48" s="1" t="e">
        <f>+O48/#REF!</f>
        <v>#REF!</v>
      </c>
      <c r="O48" s="1">
        <f>Tabla111[[#This Row],[ORO SIN IVA]]*1.19</f>
        <v>3573917.48</v>
      </c>
      <c r="P48" s="12" t="e">
        <f>+R48/#REF!</f>
        <v>#REF!</v>
      </c>
      <c r="Q48" s="12">
        <f>+Tabla111[[#This Row],[PRECIO SUGERIDO INSTALADOR]]*5%</f>
        <v>110644.296</v>
      </c>
      <c r="R48" s="1">
        <f>Tabla111[[#This Row],[INSTALLER SIN IVA]]*1.19</f>
        <v>2212885.92</v>
      </c>
      <c r="S48" s="1">
        <v>3003292</v>
      </c>
      <c r="T48" s="14">
        <v>1859568</v>
      </c>
    </row>
    <row r="49" spans="1:20" ht="40.5" x14ac:dyDescent="0.25">
      <c r="A49" s="30" t="s">
        <v>113</v>
      </c>
      <c r="B49" s="31" t="s">
        <v>114</v>
      </c>
      <c r="C49" s="9">
        <f>+Tabla111[[#This Row],[PRECIO SUGERIDO INSTALADOR]]</f>
        <v>7836173.7999999998</v>
      </c>
      <c r="D49" s="9">
        <f>+Tabla111[[#This Row],[PRECIO  INSTALADOR
( CON  IVA)]]-Tabla111[[#This Row],[Columna9]]</f>
        <v>7444365.1099999994</v>
      </c>
      <c r="E49" s="9">
        <f>+Tabla111[[#This Row],[DPP ORO]]</f>
        <v>6783497.4199999999</v>
      </c>
      <c r="F49" s="9">
        <f>+Tabla111[[#This Row],[PLARTINO]]</f>
        <v>6715662.4457999999</v>
      </c>
      <c r="G49" s="9">
        <f>+Tabla111[[#This Row],[PRECIO  INSTALADOR
( CON  IVA)]]/0.7</f>
        <v>11194534</v>
      </c>
      <c r="H49" s="12" t="e">
        <f t="shared" si="10"/>
        <v>#REF!</v>
      </c>
      <c r="I49" s="12" t="e">
        <f t="shared" si="11"/>
        <v>#REF!</v>
      </c>
      <c r="J49" s="13" t="e">
        <f t="shared" si="12"/>
        <v>#REF!</v>
      </c>
      <c r="K49" s="13" t="e">
        <f>+L49/#REF!</f>
        <v>#REF!</v>
      </c>
      <c r="L49" s="13">
        <f t="shared" si="13"/>
        <v>6715662.4457999999</v>
      </c>
      <c r="M49" s="6">
        <f t="shared" si="14"/>
        <v>67834.974199999997</v>
      </c>
      <c r="N49" s="1" t="e">
        <f>+O49/#REF!</f>
        <v>#REF!</v>
      </c>
      <c r="O49" s="1">
        <f>Tabla111[[#This Row],[ORO SIN IVA]]*1.19</f>
        <v>6783497.4199999999</v>
      </c>
      <c r="P49" s="12" t="e">
        <f>+R49/#REF!</f>
        <v>#REF!</v>
      </c>
      <c r="Q49" s="12">
        <f>+Tabla111[[#This Row],[PRECIO SUGERIDO INSTALADOR]]*5%</f>
        <v>391808.69</v>
      </c>
      <c r="R49" s="1">
        <f>Tabla111[[#This Row],[INSTALLER SIN IVA]]*1.19</f>
        <v>7836173.7999999998</v>
      </c>
      <c r="S49" s="1">
        <v>5700418</v>
      </c>
      <c r="T49" s="14">
        <v>6585020</v>
      </c>
    </row>
    <row r="50" spans="1:20" ht="40.5" x14ac:dyDescent="0.25">
      <c r="A50" s="30" t="s">
        <v>115</v>
      </c>
      <c r="B50" s="31" t="s">
        <v>116</v>
      </c>
      <c r="C50" s="9">
        <f>+Tabla111[[#This Row],[PRECIO SUGERIDO INSTALADOR]]</f>
        <v>3319283.6599999997</v>
      </c>
      <c r="D50" s="9">
        <f>+Tabla111[[#This Row],[PRECIO  INSTALADOR
( CON  IVA)]]-Tabla111[[#This Row],[Columna9]]</f>
        <v>3153319.4769999995</v>
      </c>
      <c r="E50" s="9">
        <f>+Tabla111[[#This Row],[DPP ORO]]</f>
        <v>2873414.46</v>
      </c>
      <c r="F50" s="9">
        <f>+Tabla111[[#This Row],[PLARTINO]]</f>
        <v>2844680.3153999997</v>
      </c>
      <c r="G50" s="9">
        <f>+Tabla111[[#This Row],[PRECIO  INSTALADOR
( CON  IVA)]]/0.7</f>
        <v>4741833.8</v>
      </c>
      <c r="H50" s="12" t="e">
        <f t="shared" si="10"/>
        <v>#REF!</v>
      </c>
      <c r="I50" s="12" t="e">
        <f t="shared" si="11"/>
        <v>#REF!</v>
      </c>
      <c r="J50" s="13" t="e">
        <f t="shared" si="12"/>
        <v>#REF!</v>
      </c>
      <c r="K50" s="13" t="e">
        <f>+L50/#REF!</f>
        <v>#REF!</v>
      </c>
      <c r="L50" s="13">
        <f t="shared" si="13"/>
        <v>2844680.3153999997</v>
      </c>
      <c r="M50" s="6">
        <f t="shared" si="14"/>
        <v>28734.1446</v>
      </c>
      <c r="N50" s="1" t="e">
        <f>+O50/#REF!</f>
        <v>#REF!</v>
      </c>
      <c r="O50" s="1">
        <f>Tabla111[[#This Row],[ORO SIN IVA]]*1.19</f>
        <v>2873414.46</v>
      </c>
      <c r="P50" s="12" t="e">
        <f>+R50/#REF!</f>
        <v>#REF!</v>
      </c>
      <c r="Q50" s="12">
        <f>+Tabla111[[#This Row],[PRECIO SUGERIDO INSTALADOR]]*5%</f>
        <v>165964.18299999999</v>
      </c>
      <c r="R50" s="1">
        <f>Tabla111[[#This Row],[INSTALLER SIN IVA]]*1.19</f>
        <v>3319283.6599999997</v>
      </c>
      <c r="S50" s="1">
        <v>2414634</v>
      </c>
      <c r="T50" s="14">
        <v>2789314</v>
      </c>
    </row>
    <row r="51" spans="1:20" ht="40.5" x14ac:dyDescent="0.25">
      <c r="A51" s="30" t="s">
        <v>117</v>
      </c>
      <c r="B51" s="31" t="s">
        <v>118</v>
      </c>
      <c r="C51" s="9">
        <f>+Tabla111[[#This Row],[PRECIO SUGERIDO INSTALADOR]]</f>
        <v>4607284.92</v>
      </c>
      <c r="D51" s="9">
        <f>+Tabla111[[#This Row],[PRECIO  INSTALADOR
( CON  IVA)]]-Tabla111[[#This Row],[Columna9]]</f>
        <v>4376920.6739999996</v>
      </c>
      <c r="E51" s="9">
        <f>+Tabla111[[#This Row],[DPP ORO]]</f>
        <v>3988404</v>
      </c>
      <c r="F51" s="9">
        <f>+Tabla111[[#This Row],[PLARTINO]]</f>
        <v>3948519.96</v>
      </c>
      <c r="G51" s="9">
        <f>+Tabla111[[#This Row],[PRECIO  INSTALADOR
( CON  IVA)]]/0.7</f>
        <v>6581835.6000000006</v>
      </c>
      <c r="H51" s="12" t="e">
        <f t="shared" si="10"/>
        <v>#REF!</v>
      </c>
      <c r="I51" s="12" t="e">
        <f t="shared" si="11"/>
        <v>#REF!</v>
      </c>
      <c r="J51" s="13" t="e">
        <f t="shared" si="12"/>
        <v>#REF!</v>
      </c>
      <c r="K51" s="13" t="e">
        <f>+L51/#REF!</f>
        <v>#REF!</v>
      </c>
      <c r="L51" s="13">
        <f t="shared" si="13"/>
        <v>3948519.96</v>
      </c>
      <c r="M51" s="6">
        <f t="shared" si="14"/>
        <v>39884.04</v>
      </c>
      <c r="N51" s="1" t="e">
        <f>+O51/#REF!</f>
        <v>#REF!</v>
      </c>
      <c r="O51" s="1">
        <f>Tabla111[[#This Row],[ORO SIN IVA]]*1.19</f>
        <v>3988404</v>
      </c>
      <c r="P51" s="12" t="e">
        <f>+R51/#REF!</f>
        <v>#REF!</v>
      </c>
      <c r="Q51" s="12">
        <f>+Tabla111[[#This Row],[PRECIO SUGERIDO INSTALADOR]]*5%</f>
        <v>230364.24600000001</v>
      </c>
      <c r="R51" s="1">
        <f>Tabla111[[#This Row],[INSTALLER SIN IVA]]*1.19</f>
        <v>4607284.92</v>
      </c>
      <c r="S51" s="1">
        <v>3351600</v>
      </c>
      <c r="T51" s="14">
        <v>3871668</v>
      </c>
    </row>
    <row r="52" spans="1:20" ht="40.5" x14ac:dyDescent="0.25">
      <c r="A52" s="30" t="s">
        <v>119</v>
      </c>
      <c r="B52" s="31" t="s">
        <v>120</v>
      </c>
      <c r="C52" s="9">
        <f>+Tabla111[[#This Row],[PRECIO SUGERIDO INSTALADOR]]</f>
        <v>5685239.2799999993</v>
      </c>
      <c r="D52" s="9">
        <f>+Tabla111[[#This Row],[PRECIO  INSTALADOR
( CON  IVA)]]-Tabla111[[#This Row],[Columna9]]</f>
        <v>5400977.3159999996</v>
      </c>
      <c r="E52" s="9">
        <f>+Tabla111[[#This Row],[DPP ORO]]</f>
        <v>4921563.92</v>
      </c>
      <c r="F52" s="9">
        <f>+Tabla111[[#This Row],[PLARTINO]]</f>
        <v>4872348.2807999998</v>
      </c>
      <c r="G52" s="9">
        <f>+Tabla111[[#This Row],[PRECIO  INSTALADOR
( CON  IVA)]]/0.7</f>
        <v>8121770.3999999994</v>
      </c>
      <c r="H52" s="12" t="e">
        <f t="shared" si="10"/>
        <v>#REF!</v>
      </c>
      <c r="I52" s="12" t="e">
        <f t="shared" si="11"/>
        <v>#REF!</v>
      </c>
      <c r="J52" s="13" t="e">
        <f t="shared" si="12"/>
        <v>#REF!</v>
      </c>
      <c r="K52" s="13" t="e">
        <f>+L52/#REF!</f>
        <v>#REF!</v>
      </c>
      <c r="L52" s="13">
        <f t="shared" si="13"/>
        <v>4872348.2807999998</v>
      </c>
      <c r="M52" s="6">
        <f t="shared" si="14"/>
        <v>49215.639199999998</v>
      </c>
      <c r="N52" s="1" t="e">
        <f>+O52/#REF!</f>
        <v>#REF!</v>
      </c>
      <c r="O52" s="1">
        <f>Tabla111[[#This Row],[ORO SIN IVA]]*1.19</f>
        <v>4921563.92</v>
      </c>
      <c r="P52" s="12" t="e">
        <f>+R52/#REF!</f>
        <v>#REF!</v>
      </c>
      <c r="Q52" s="12">
        <f>+Tabla111[[#This Row],[PRECIO SUGERIDO INSTALADOR]]*5%</f>
        <v>284261.96399999998</v>
      </c>
      <c r="R52" s="1">
        <f>Tabla111[[#This Row],[INSTALLER SIN IVA]]*1.19</f>
        <v>5685239.2799999993</v>
      </c>
      <c r="S52" s="1">
        <v>4135768</v>
      </c>
      <c r="T52" s="14">
        <v>4777512</v>
      </c>
    </row>
    <row r="53" spans="1:20" ht="40.5" x14ac:dyDescent="0.25">
      <c r="A53" s="30" t="s">
        <v>121</v>
      </c>
      <c r="B53" s="31" t="s">
        <v>122</v>
      </c>
      <c r="C53" s="9">
        <f>+Tabla111[[#This Row],[PRECIO SUGERIDO INSTALADOR]]</f>
        <v>14609768.039999999</v>
      </c>
      <c r="D53" s="9">
        <f>+Tabla111[[#This Row],[PRECIO  INSTALADOR
( CON  IVA)]]-Tabla111[[#This Row],[Columna9]]</f>
        <v>13879279.637999998</v>
      </c>
      <c r="E53" s="9">
        <f>+Tabla111[[#This Row],[DPP ORO]]</f>
        <v>12647265.26</v>
      </c>
      <c r="F53" s="9">
        <f>+Tabla111[[#This Row],[PLARTINO]]</f>
        <v>12520792.6074</v>
      </c>
      <c r="G53" s="9">
        <f>+Tabla111[[#This Row],[PRECIO  INSTALADOR
( CON  IVA)]]/0.7</f>
        <v>20871097.199999999</v>
      </c>
      <c r="H53" s="12" t="e">
        <f t="shared" si="10"/>
        <v>#REF!</v>
      </c>
      <c r="I53" s="12" t="e">
        <f t="shared" si="11"/>
        <v>#REF!</v>
      </c>
      <c r="J53" s="13" t="e">
        <f t="shared" si="12"/>
        <v>#REF!</v>
      </c>
      <c r="K53" s="13" t="e">
        <f>+L53/#REF!</f>
        <v>#REF!</v>
      </c>
      <c r="L53" s="13">
        <f t="shared" si="13"/>
        <v>12520792.6074</v>
      </c>
      <c r="M53" s="6">
        <f t="shared" si="14"/>
        <v>126472.6526</v>
      </c>
      <c r="N53" s="1" t="e">
        <f>+O53/#REF!</f>
        <v>#REF!</v>
      </c>
      <c r="O53" s="1">
        <f>Tabla111[[#This Row],[ORO SIN IVA]]*1.19</f>
        <v>12647265.26</v>
      </c>
      <c r="P53" s="12" t="e">
        <f>+R53/#REF!</f>
        <v>#REF!</v>
      </c>
      <c r="Q53" s="12">
        <f>+Tabla111[[#This Row],[PRECIO SUGERIDO INSTALADOR]]*5%</f>
        <v>730488.402</v>
      </c>
      <c r="R53" s="1">
        <f>Tabla111[[#This Row],[INSTALLER SIN IVA]]*1.19</f>
        <v>14609768.039999999</v>
      </c>
      <c r="S53" s="1">
        <v>10627954</v>
      </c>
      <c r="T53" s="14">
        <v>12277116</v>
      </c>
    </row>
    <row r="54" spans="1:20" ht="40.5" x14ac:dyDescent="0.25">
      <c r="A54" s="30" t="s">
        <v>123</v>
      </c>
      <c r="B54" s="31" t="s">
        <v>124</v>
      </c>
      <c r="C54" s="9">
        <f>+Tabla111[[#This Row],[PRECIO SUGERIDO INSTALADOR]]</f>
        <v>7856025.3799999999</v>
      </c>
      <c r="D54" s="9">
        <f>+Tabla111[[#This Row],[PRECIO  INSTALADOR
( CON  IVA)]]-Tabla111[[#This Row],[Columna9]]</f>
        <v>7463224.1109999996</v>
      </c>
      <c r="E54" s="9">
        <f>+Tabla111[[#This Row],[DPP ORO]]</f>
        <v>6800726.2399999993</v>
      </c>
      <c r="F54" s="9">
        <f>+Tabla111[[#This Row],[PLARTINO]]</f>
        <v>6732718.9775999989</v>
      </c>
      <c r="G54" s="9">
        <f>+Tabla111[[#This Row],[PRECIO  INSTALADOR
( CON  IVA)]]/0.7</f>
        <v>11222893.4</v>
      </c>
      <c r="H54" s="12" t="e">
        <f t="shared" si="10"/>
        <v>#REF!</v>
      </c>
      <c r="I54" s="12" t="e">
        <f t="shared" si="11"/>
        <v>#REF!</v>
      </c>
      <c r="J54" s="13" t="e">
        <f t="shared" si="12"/>
        <v>#REF!</v>
      </c>
      <c r="K54" s="13" t="e">
        <f>+L54/#REF!</f>
        <v>#REF!</v>
      </c>
      <c r="L54" s="13">
        <f t="shared" si="13"/>
        <v>6732718.9775999989</v>
      </c>
      <c r="M54" s="6">
        <f t="shared" si="14"/>
        <v>68007.262399999992</v>
      </c>
      <c r="N54" s="1" t="e">
        <f>+O54/#REF!</f>
        <v>#REF!</v>
      </c>
      <c r="O54" s="1">
        <f>Tabla111[[#This Row],[ORO SIN IVA]]*1.19</f>
        <v>6800726.2399999993</v>
      </c>
      <c r="P54" s="12" t="e">
        <f>+R54/#REF!</f>
        <v>#REF!</v>
      </c>
      <c r="Q54" s="12">
        <f>+Tabla111[[#This Row],[PRECIO SUGERIDO INSTALADOR]]*5%</f>
        <v>392801.26900000003</v>
      </c>
      <c r="R54" s="1">
        <f>Tabla111[[#This Row],[INSTALLER SIN IVA]]*1.19</f>
        <v>7856025.3799999999</v>
      </c>
      <c r="S54" s="1">
        <v>5714896</v>
      </c>
      <c r="T54" s="14">
        <v>6601702</v>
      </c>
    </row>
    <row r="55" spans="1:20" ht="40.5" x14ac:dyDescent="0.25">
      <c r="A55" s="30" t="s">
        <v>125</v>
      </c>
      <c r="B55" s="31" t="s">
        <v>126</v>
      </c>
      <c r="C55" s="9">
        <f>+Tabla111[[#This Row],[PRECIO SUGERIDO INSTALADOR]]</f>
        <v>989458.82</v>
      </c>
      <c r="D55" s="9">
        <f>+Tabla111[[#This Row],[PRECIO  INSTALADOR
( CON  IVA)]]-Tabla111[[#This Row],[Columna9]]</f>
        <v>939985.87899999996</v>
      </c>
      <c r="E55" s="9">
        <f>+Tabla111[[#This Row],[DPP ORO]]</f>
        <v>856602.46</v>
      </c>
      <c r="F55" s="9">
        <f>+Tabla111[[#This Row],[PLARTINO]]</f>
        <v>848036.43539999996</v>
      </c>
      <c r="G55" s="9">
        <f>+Tabla111[[#This Row],[PRECIO  INSTALADOR
( CON  IVA)]]/0.7</f>
        <v>1413512.6</v>
      </c>
      <c r="H55" s="25" t="e">
        <f t="shared" si="10"/>
        <v>#REF!</v>
      </c>
      <c r="I55" s="25" t="e">
        <f t="shared" si="11"/>
        <v>#REF!</v>
      </c>
      <c r="J55" s="26" t="e">
        <f t="shared" si="12"/>
        <v>#REF!</v>
      </c>
      <c r="K55" s="26" t="e">
        <f>+L55/#REF!</f>
        <v>#REF!</v>
      </c>
      <c r="L55" s="26">
        <f t="shared" si="13"/>
        <v>848036.43539999996</v>
      </c>
      <c r="M55" s="27">
        <f t="shared" si="14"/>
        <v>8566.0246000000006</v>
      </c>
      <c r="N55" s="28" t="e">
        <f>+O55/#REF!</f>
        <v>#REF!</v>
      </c>
      <c r="O55" s="28">
        <f>Tabla111[[#This Row],[ORO SIN IVA]]*1.19</f>
        <v>856602.46</v>
      </c>
      <c r="P55" s="25" t="e">
        <f>+R55/#REF!</f>
        <v>#REF!</v>
      </c>
      <c r="Q55" s="25">
        <f>+Tabla111[[#This Row],[PRECIO SUGERIDO INSTALADOR]]*5%</f>
        <v>49472.940999999999</v>
      </c>
      <c r="R55" s="28">
        <f>Tabla111[[#This Row],[INSTALLER SIN IVA]]*1.19</f>
        <v>989458.82</v>
      </c>
      <c r="S55" s="28">
        <v>719834</v>
      </c>
      <c r="T55" s="29">
        <v>831478</v>
      </c>
    </row>
  </sheetData>
  <sheetProtection selectLockedCells="1"/>
  <conditionalFormatting sqref="A2:A55">
    <cfRule type="duplicateValues" dxfId="2" priority="1"/>
  </conditionalFormatting>
  <pageMargins left="0.7" right="0.7" top="0.75" bottom="0.75" header="0.3" footer="0.3"/>
  <pageSetup paperSize="9" scale="57" fitToHeight="2"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HILOOK IP</vt:lpstr>
      <vt:lpstr>'HILOOK IP'!Área_de_impresión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Loaiza</dc:creator>
  <cp:lastModifiedBy>Jenifer Loaiza</cp:lastModifiedBy>
  <cp:lastPrinted>2026-09-24T21:51:32Z</cp:lastPrinted>
  <dcterms:created xsi:type="dcterms:W3CDTF">2026-05-12T21:21:34Z</dcterms:created>
  <dcterms:modified xsi:type="dcterms:W3CDTF">2026-09-29T17:14:54Z</dcterms:modified>
</cp:coreProperties>
</file>