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"/>
    </mc:Choice>
  </mc:AlternateContent>
  <xr:revisionPtr revIDLastSave="0" documentId="13_ncr:1_{3FDCF4D2-FFD0-4508-85B7-A6239F53C1B2}" xr6:coauthVersionLast="47" xr6:coauthVersionMax="47" xr10:uidLastSave="{00000000-0000-0000-0000-000000000000}"/>
  <bookViews>
    <workbookView xWindow="-120" yWindow="-120" windowWidth="24240" windowHeight="13140" xr2:uid="{59F3B6C3-1EA2-421F-ADB4-0708E21B6DA6}"/>
  </bookViews>
  <sheets>
    <sheet name="RACK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[2]Pub!$H$13:$H$83</definedName>
    <definedName name="__123Graph_B" hidden="1">[2]Pub!$I$13:$I$83</definedName>
    <definedName name="__123Graph_C" hidden="1">[2]Pub!$J$13:$J$83</definedName>
    <definedName name="__123Graph_D" hidden="1">[2]Pub!$K$13:$K$83</definedName>
    <definedName name="__123Graph_E" hidden="1">[2]Pub!#REF!</definedName>
    <definedName name="__123Graph_F" hidden="1">[2]Pub!$L$13:$L$83</definedName>
    <definedName name="__123Graph_X" hidden="1">[2]Pub!$G$13:$G$83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[3]計算過程シート!#REF!</definedName>
    <definedName name="_1__123Graph_ACHART_1" hidden="1">'[4]Historical IS'!#REF!</definedName>
    <definedName name="_1__123Graph_AIRR_IRR" hidden="1">#REF!</definedName>
    <definedName name="_10___123Graph_XIRR_IRR" hidden="1">#REF!</definedName>
    <definedName name="_10__123Graph_ACHART_16" hidden="1">[5]engineering!$Q$49:$S$49</definedName>
    <definedName name="_10__123Graph_CCHART_3" hidden="1">'[4]Historical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[5]revenue!$P$77:$R$77</definedName>
    <definedName name="_11__123Graph_CCHART_8" hidden="1">'[4]Historical IS'!#REF!</definedName>
    <definedName name="_12__123Graph_ACHART_18" hidden="1">[5]revenue!$P$82:$R$82</definedName>
    <definedName name="_12__123Graph_AIRR_IRR" hidden="1">#REF!</definedName>
    <definedName name="_12__123Graph_DCHART_1" hidden="1">'[4]Historical IS'!#REF!</definedName>
    <definedName name="_13__123Graph_ACHART_19" hidden="1">[5]sga!$P$7:$R$7</definedName>
    <definedName name="_13__123Graph_AMOF_NB" hidden="1">[3]計算過程シート!#REF!</definedName>
    <definedName name="_13__123Graph_DCHART_8" hidden="1">'[4]Historical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'[4]Historical IS'!#REF!</definedName>
    <definedName name="_15__123Graph_ACHART_20" hidden="1">[5]sga!$P$10:$R$10</definedName>
    <definedName name="_15__123Graph_BIRR_IRR" hidden="1">#REF!</definedName>
    <definedName name="_15__123Graph_LBL_ACHART_4" hidden="1">'[4]Historical IS'!#REF!</definedName>
    <definedName name="_16__123Graph_ACHART_3" hidden="1">#REF!</definedName>
    <definedName name="_16__123Graph_BMOF_NB" hidden="1">#REF!</definedName>
    <definedName name="_16__123Graph_LBL_BCHART_3" hidden="1">'[4]Historical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'[4]Historical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'[4]Historical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'[4]Historical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'[4]Historical IS'!#REF!</definedName>
    <definedName name="_20__123Graph_ACHART_7" hidden="1">#REF!</definedName>
    <definedName name="_20__123Graph_XCHART_3" hidden="1">'[4]Historical IS'!#REF!</definedName>
    <definedName name="_20__123Graph_XIRR_IRR" hidden="1">#REF!</definedName>
    <definedName name="_21__123Graph_ACHART_8" hidden="1">#REF!</definedName>
    <definedName name="_21__123Graph_XCHART_4" hidden="1">'[4]Historical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'[4]Historical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[3]計算過程シート!#REF!</definedName>
    <definedName name="_26__123Graph_BCHART_13" hidden="1">[5]engineering!$Q$42:$W$42</definedName>
    <definedName name="_27__123Graph_BCHART_14" hidden="1">[5]engineering!$Q$46:$W$46</definedName>
    <definedName name="_28__123Graph_BCHART_15" hidden="1">#REF!</definedName>
    <definedName name="_29__123Graph_BCHART_16" hidden="1">[5]engineering!$Q$50:$S$50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'[4]Historical IS'!#REF!</definedName>
    <definedName name="_30__123Graph_BCHART_17" hidden="1">[5]revenue!$P$78:$R$78</definedName>
    <definedName name="_31__123Graph_BCHART_2" hidden="1">#REF!</definedName>
    <definedName name="_32__123Graph_BCHART_20" hidden="1">[5]sga!$P$11:$R$11</definedName>
    <definedName name="_33__123Graph_BCHART_3" hidden="1">[5]revenue!$P$10:$R$10</definedName>
    <definedName name="_34__123Graph_BCHART_6" hidden="1">#REF!</definedName>
    <definedName name="_35__123Graph_BCHART_7" hidden="1">[5]revenue!$P$45:$R$45</definedName>
    <definedName name="_36_??06" hidden="1">{"'?????10.27??????'!$Q$16"}</definedName>
    <definedName name="_36__123Graph_BCHART_8" hidden="1">#REF!</definedName>
    <definedName name="_37__123Graph_BCHART_9" hidden="1">[5]engineering!$P$7:$T$7</definedName>
    <definedName name="_38__123Graph_CCHART_1" hidden="1">#REF!</definedName>
    <definedName name="_39__123Graph_CCHART_11" hidden="1">[5]engineering!$P$16:$T$16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'[4]Historical IS'!#REF!</definedName>
    <definedName name="_40__123Graph_CCHART_12" hidden="1">#REF!</definedName>
    <definedName name="_41__123Graph_CCHART_2" hidden="1">#REF!</definedName>
    <definedName name="_42__123Graph_CCHART_20" hidden="1">[5]sga!$P$12:$R$12</definedName>
    <definedName name="_43__123Graph_CCHART_7" hidden="1">[5]revenue!$P$46:$R$46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'[4]Historical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[5]engineering!$Q$48:$S$48</definedName>
    <definedName name="_6___123Graph_AIRR_IRR" hidden="1">#REF!</definedName>
    <definedName name="_6__123Graph_ACHART_12" hidden="1">#REF!</definedName>
    <definedName name="_6__123Graph_BCHART_3" hidden="1">'[4]Historical IS'!#REF!</definedName>
    <definedName name="_60__123Graph_XCHART_18" hidden="1">[5]revenue!$P$81:$R$81</definedName>
    <definedName name="_61__123Graph_XCHART_2" hidden="1">#REF!</definedName>
    <definedName name="_62__123Graph_XCHART_20" hidden="1">[5]sga!$P$9:$R$9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'[4]Historical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'[4]Historical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'[4]Historical IS'!#REF!</definedName>
    <definedName name="_DF4" hidden="1">#REF!</definedName>
    <definedName name="_Fill" hidden="1">#REF!</definedName>
    <definedName name="_xlnm._FilterDatabase" hidden="1">'[6]46W9'!#REF!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RACK!#REF!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'[7]Data sheet'!$A$4</definedName>
    <definedName name="BLPH10" hidden="1">'[7]Data sheet'!$AB$4</definedName>
    <definedName name="BLPH11" hidden="1">'[7]Data sheet'!$AE$4</definedName>
    <definedName name="BLPH12" hidden="1">'[7]Data sheet'!$AH$4</definedName>
    <definedName name="BLPH2" hidden="1">'[7]Data sheet'!$D$4</definedName>
    <definedName name="BLPH3" hidden="1">'[7]Data sheet'!$G$4</definedName>
    <definedName name="BLPH4" hidden="1">'[7]Data sheet'!$J$4</definedName>
    <definedName name="BLPH5" hidden="1">'[7]Data sheet'!$M$4</definedName>
    <definedName name="BLPH6" hidden="1">'[7]Data sheet'!$P$4</definedName>
    <definedName name="BLPH7" hidden="1">'[7]Data sheet'!$S$4</definedName>
    <definedName name="BLPH8" hidden="1">'[7]Data sheet'!$V$4</definedName>
    <definedName name="BLPH9" hidden="1">'[7]Data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'[8]Cálculo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[9]Resumen_Inv!$I$66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[6]Presentacion!#REF!</definedName>
    <definedName name="Z_D55C8B2E_861A_459E_9D09_3AF38A1DE99E_.wvu.Rows" hidden="1">[6]Presentacion!#REF!</definedName>
    <definedName name="Z_F540D718_D9AA_403F_AE49_60D937FD77E5_.wvu.Rows" hidden="1">[6]Presentacion!#REF!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[10]計算過程シート!#REF!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[10]計算過程シート!#REF!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6" i="1" l="1"/>
  <c r="C26" i="1" s="1"/>
  <c r="H25" i="1"/>
  <c r="C25" i="1" s="1"/>
  <c r="H24" i="1"/>
  <c r="C24" i="1" s="1"/>
  <c r="H21" i="1"/>
  <c r="C21" i="1" s="1"/>
  <c r="H29" i="1"/>
  <c r="C29" i="1" s="1"/>
  <c r="H15" i="1"/>
  <c r="C15" i="1" s="1"/>
  <c r="E15" i="1" s="1"/>
  <c r="H3" i="1"/>
  <c r="H4" i="1"/>
  <c r="H5" i="1"/>
  <c r="H6" i="1"/>
  <c r="H7" i="1"/>
  <c r="H8" i="1"/>
  <c r="H20" i="1"/>
  <c r="H9" i="1"/>
  <c r="H10" i="1"/>
  <c r="H11" i="1"/>
  <c r="H12" i="1"/>
  <c r="H13" i="1"/>
  <c r="H14" i="1"/>
  <c r="H34" i="1"/>
  <c r="H35" i="1"/>
  <c r="H33" i="1"/>
  <c r="H36" i="1"/>
  <c r="H32" i="1"/>
  <c r="H37" i="1"/>
  <c r="H16" i="1"/>
  <c r="H17" i="1"/>
  <c r="H18" i="1"/>
  <c r="H19" i="1"/>
  <c r="H22" i="1"/>
  <c r="C22" i="1" s="1"/>
  <c r="H23" i="1"/>
  <c r="H27" i="1"/>
  <c r="H28" i="1"/>
  <c r="H30" i="1"/>
  <c r="H31" i="1"/>
  <c r="H2" i="1"/>
  <c r="C2" i="1" s="1"/>
  <c r="C3" i="1"/>
  <c r="C4" i="1"/>
  <c r="C5" i="1"/>
  <c r="C6" i="1"/>
  <c r="C7" i="1"/>
  <c r="C8" i="1"/>
  <c r="C20" i="1"/>
  <c r="C9" i="1"/>
  <c r="C10" i="1"/>
  <c r="C11" i="1"/>
  <c r="C12" i="1"/>
  <c r="C13" i="1"/>
  <c r="C14" i="1"/>
  <c r="C34" i="1"/>
  <c r="C35" i="1"/>
  <c r="C33" i="1"/>
  <c r="C36" i="1"/>
  <c r="C32" i="1"/>
  <c r="C37" i="1"/>
  <c r="C16" i="1"/>
  <c r="C17" i="1"/>
  <c r="C18" i="1"/>
  <c r="C19" i="1"/>
  <c r="C23" i="1"/>
  <c r="C27" i="1"/>
  <c r="C28" i="1"/>
  <c r="C30" i="1"/>
  <c r="C31" i="1"/>
  <c r="F26" i="1" l="1"/>
  <c r="E26" i="1"/>
  <c r="D26" i="1"/>
  <c r="E25" i="1"/>
  <c r="F25" i="1"/>
  <c r="D25" i="1" s="1"/>
  <c r="E24" i="1"/>
  <c r="F24" i="1"/>
  <c r="D24" i="1" s="1"/>
  <c r="F21" i="1"/>
  <c r="D21" i="1" s="1"/>
  <c r="E21" i="1"/>
  <c r="F29" i="1"/>
  <c r="D29" i="1" s="1"/>
  <c r="E29" i="1"/>
  <c r="F15" i="1"/>
  <c r="D15" i="1" s="1"/>
  <c r="E2" i="1"/>
  <c r="F2" i="1"/>
  <c r="D2" i="1" s="1"/>
  <c r="F3" i="1"/>
  <c r="E3" i="1"/>
  <c r="D3" i="1"/>
  <c r="F4" i="1"/>
  <c r="E4" i="1"/>
  <c r="D4" i="1"/>
  <c r="E5" i="1"/>
  <c r="F5" i="1"/>
  <c r="D5" i="1" s="1"/>
  <c r="F6" i="1"/>
  <c r="D6" i="1" s="1"/>
  <c r="E6" i="1"/>
  <c r="F7" i="1"/>
  <c r="D7" i="1" s="1"/>
  <c r="E7" i="1"/>
  <c r="F8" i="1"/>
  <c r="D8" i="1" s="1"/>
  <c r="E8" i="1"/>
  <c r="F20" i="1"/>
  <c r="D20" i="1" s="1"/>
  <c r="E20" i="1"/>
  <c r="F9" i="1"/>
  <c r="D9" i="1" s="1"/>
  <c r="E9" i="1"/>
  <c r="F10" i="1"/>
  <c r="D10" i="1" s="1"/>
  <c r="E10" i="1"/>
  <c r="E11" i="1"/>
  <c r="F11" i="1"/>
  <c r="D11" i="1" s="1"/>
  <c r="F12" i="1"/>
  <c r="D12" i="1" s="1"/>
  <c r="E12" i="1"/>
  <c r="F13" i="1"/>
  <c r="D13" i="1"/>
  <c r="E13" i="1"/>
  <c r="F14" i="1"/>
  <c r="D14" i="1"/>
  <c r="E14" i="1"/>
  <c r="F34" i="1"/>
  <c r="D34" i="1" s="1"/>
  <c r="E34" i="1"/>
  <c r="E35" i="1"/>
  <c r="F35" i="1"/>
  <c r="D35" i="1" s="1"/>
  <c r="E33" i="1"/>
  <c r="F33" i="1"/>
  <c r="D33" i="1" s="1"/>
  <c r="E36" i="1"/>
  <c r="F36" i="1"/>
  <c r="D36" i="1" s="1"/>
  <c r="E32" i="1"/>
  <c r="F32" i="1"/>
  <c r="D32" i="1" s="1"/>
  <c r="E37" i="1"/>
  <c r="F37" i="1"/>
  <c r="D37" i="1" s="1"/>
  <c r="E16" i="1"/>
  <c r="F16" i="1"/>
  <c r="D16" i="1"/>
  <c r="E17" i="1"/>
  <c r="F17" i="1"/>
  <c r="D17" i="1" s="1"/>
  <c r="E18" i="1"/>
  <c r="F18" i="1"/>
  <c r="D18" i="1" s="1"/>
  <c r="E19" i="1"/>
  <c r="F19" i="1"/>
  <c r="D19" i="1"/>
  <c r="E22" i="1"/>
  <c r="F22" i="1"/>
  <c r="D22" i="1" s="1"/>
  <c r="E23" i="1"/>
  <c r="F23" i="1"/>
  <c r="D23" i="1" s="1"/>
  <c r="E27" i="1"/>
  <c r="F27" i="1"/>
  <c r="D27" i="1" s="1"/>
  <c r="E28" i="1"/>
  <c r="F28" i="1"/>
  <c r="D28" i="1" s="1"/>
  <c r="F30" i="1"/>
  <c r="D30" i="1" s="1"/>
  <c r="E30" i="1"/>
  <c r="E31" i="1"/>
  <c r="F31" i="1"/>
  <c r="D31" i="1"/>
</calcChain>
</file>

<file path=xl/sharedStrings.xml><?xml version="1.0" encoding="utf-8"?>
<sst xmlns="http://schemas.openxmlformats.org/spreadsheetml/2006/main" count="100" uniqueCount="85">
  <si>
    <t>RACK 9U R19U CON PUERTA DE VIDRIO 3BUMEN</t>
  </si>
  <si>
    <t>RACK9U</t>
  </si>
  <si>
    <t>0.8</t>
  </si>
  <si>
    <t>RACK CUBO ESPECIAL CON BANDEJA</t>
  </si>
  <si>
    <t>RACKCUBOE</t>
  </si>
  <si>
    <t>RACK CUBO BABY 28*30*30 CON BANDEJA</t>
  </si>
  <si>
    <t>RACKCUBOP</t>
  </si>
  <si>
    <t>RACK VERTICAL PARA DVR</t>
  </si>
  <si>
    <t>RACKV</t>
  </si>
  <si>
    <t>Gabinete de pared 5RMS 28x51x30 Generico</t>
  </si>
  <si>
    <t>RACK540GEN</t>
  </si>
  <si>
    <t>GABINETE PARED 5 RMS 51CM PROFUNDIDA GENERICO</t>
  </si>
  <si>
    <t>RACK551GEN</t>
  </si>
  <si>
    <t>RACK PARA DVR 30X30</t>
  </si>
  <si>
    <t>RACK30X30</t>
  </si>
  <si>
    <t>RACK-GABINETE 11RU FONDO 51 CM GENERICO</t>
  </si>
  <si>
    <t>RACK11GEN</t>
  </si>
  <si>
    <t>Gabinete 9 RMS (50CM alto X 52CM ancho X 51 CM fondo)</t>
  </si>
  <si>
    <t>RACK9GEN</t>
  </si>
  <si>
    <t>BANDEJA VENTILADA GENERICA 40CM</t>
  </si>
  <si>
    <t>BV40G</t>
  </si>
  <si>
    <t>BANDEJA VENTILADA GENERICA 30CM</t>
  </si>
  <si>
    <t>BV30G</t>
  </si>
  <si>
    <t>BANDEJA VENTILADA 25 CM</t>
  </si>
  <si>
    <t>BV25G</t>
  </si>
  <si>
    <t>BANDEJA VENTILADA GENERICA 35CM</t>
  </si>
  <si>
    <t>BV35G</t>
  </si>
  <si>
    <t>RACK-GABINETE 7RU FONDO 51 CM GENERICO</t>
  </si>
  <si>
    <t>RACK7GEN</t>
  </si>
  <si>
    <t>GABINETE PISO RODACHIN 40RU 210X60X60 CMS GENERICO</t>
  </si>
  <si>
    <t>GABI210X60</t>
  </si>
  <si>
    <t>GABINETE PISO RODACHINES 12RU 60X60X60 CMS GENERICO</t>
  </si>
  <si>
    <t>GABI60X60</t>
  </si>
  <si>
    <t>GABINETE PISO CON RODACHINES 180*60*60 GENERICO</t>
  </si>
  <si>
    <t>GABI180X60</t>
  </si>
  <si>
    <t>GABINETE PISO RODACHI 18RU 90X60X60 CMS GENERICO</t>
  </si>
  <si>
    <t>GABI90X60</t>
  </si>
  <si>
    <t>GABINETE DE PISO CON RODACHINES 150X60X60CMS GENERICO</t>
  </si>
  <si>
    <t>GABI150X60</t>
  </si>
  <si>
    <t>GABINETE PISO RODACHINES 120X60X60 GENERICO</t>
  </si>
  <si>
    <t>GABI120X60</t>
  </si>
  <si>
    <t>Gabinete de pared 13RMS 64x 54x51 abatible puerta en micropunzonada color negro</t>
  </si>
  <si>
    <t>RACK13RMS</t>
  </si>
  <si>
    <t>Gabinete de pared 11RMS 55x 51x51 lateral desmontable puerta micropunzonada, color negro</t>
  </si>
  <si>
    <t>RACK11RMS</t>
  </si>
  <si>
    <t>Gabinete de pared 9RMS 46x 51x51 lateral desmontable puerta micropunzonada, color negro</t>
  </si>
  <si>
    <t>RACK9RMS</t>
  </si>
  <si>
    <t>Gabinete de pared 7RMS 37x 51x51 lateral desmontable puerta micropunzonada, color negro</t>
  </si>
  <si>
    <t>RACK7RMS</t>
  </si>
  <si>
    <t>Gabinete de pared 5RMS 28x 51x51 lateral desmontable puerta micropunzonada, color negro</t>
  </si>
  <si>
    <t>RACK551</t>
  </si>
  <si>
    <t>Gabinete de pared 5RMS 28x51x30 lateral desmontable puerta micropunzonada color negro</t>
  </si>
  <si>
    <t>RACK530</t>
  </si>
  <si>
    <t>0.82</t>
  </si>
  <si>
    <t>Gabinete de pared generico para dvr 18*40*40 alto fondo ancho</t>
  </si>
  <si>
    <t>RACKGENERICO1</t>
  </si>
  <si>
    <t>Multitoma Horizontal formato 19¨ naranja polo aislado 15 amperios 12 salidas CON FUSIBLE</t>
  </si>
  <si>
    <t>MH12SNPA</t>
  </si>
  <si>
    <t>Multitoma Horizontal formato 19¨ naranja polo aislado 15 amperios 8 salidas CON FUSIBLE</t>
  </si>
  <si>
    <t>MH8SNPA</t>
  </si>
  <si>
    <t>Multitoma Horizontal formato 19¨ grado comercial 15 amperios beige 12 salidas</t>
  </si>
  <si>
    <t>MH12SGC</t>
  </si>
  <si>
    <t>Multitoma Horizontal formato 19¨ grado comercial 15 amperios beige 8 salidas</t>
  </si>
  <si>
    <t>MH8SGC</t>
  </si>
  <si>
    <t>Bandejas Ventiladas grandes (38 cms ) 1UR</t>
  </si>
  <si>
    <t>BVG38</t>
  </si>
  <si>
    <t>Bandejas Ventiladas medianas (28 cms ) 1UR</t>
  </si>
  <si>
    <t>BVM28</t>
  </si>
  <si>
    <t>Bandejas Ventiladas pequeñas (18 cms ) 1UR</t>
  </si>
  <si>
    <t>BVP18</t>
  </si>
  <si>
    <t>COSTO</t>
  </si>
  <si>
    <t>Columna8</t>
  </si>
  <si>
    <t>Columna7</t>
  </si>
  <si>
    <t>Columna6</t>
  </si>
  <si>
    <t>Columna5</t>
  </si>
  <si>
    <t>Columna43</t>
  </si>
  <si>
    <t>PRECIO CLIENTE FINAL (CON IVA)</t>
  </si>
  <si>
    <t>PRECIO TIENDA (CON IVA)</t>
  </si>
  <si>
    <t>PRECIO INSTALLER (CON IVA)</t>
  </si>
  <si>
    <t>DESCRIPCION</t>
  </si>
  <si>
    <t>REFERENCIA</t>
  </si>
  <si>
    <t>BV20P</t>
  </si>
  <si>
    <t>RACKCUBOM</t>
  </si>
  <si>
    <t>BANDEJA VENTILADA GENERICA 20CM</t>
  </si>
  <si>
    <t>RACK CUBO M 38X40X40 CON BANDEJA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</si>
</sst>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Segoe UI"/>
      <family val="2"/>
    </font>
    <font>
      <sz val="11"/>
      <color rgb="FF282828"/>
      <name val="Aptos Narrow"/>
      <family val="2"/>
      <scheme val="minor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sz val="10"/>
      <color indexed="9"/>
      <name val="Arial"/>
      <family val="2"/>
    </font>
    <font>
      <sz val="10"/>
      <color theme="1"/>
      <name val="Calibri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3399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7" fillId="0" borderId="0">
      <alignment vertical="top"/>
    </xf>
  </cellStyleXfs>
  <cellXfs count="33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Border="1"/>
    <xf numFmtId="1" fontId="2" fillId="0" borderId="0" xfId="0" applyNumberFormat="1" applyFont="1" applyAlignment="1">
      <alignment horizontal="center"/>
    </xf>
    <xf numFmtId="164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0" fillId="0" borderId="2" xfId="1" applyNumberFormat="1" applyFont="1" applyBorder="1"/>
    <xf numFmtId="0" fontId="3" fillId="0" borderId="2" xfId="0" applyFont="1" applyBorder="1" applyAlignment="1">
      <alignment horizontal="center"/>
    </xf>
    <xf numFmtId="164" fontId="4" fillId="0" borderId="0" xfId="1" applyNumberFormat="1" applyFont="1" applyBorder="1" applyAlignment="1">
      <alignment vertical="center" wrapText="1"/>
    </xf>
    <xf numFmtId="164" fontId="4" fillId="0" borderId="2" xfId="1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top"/>
    </xf>
    <xf numFmtId="3" fontId="8" fillId="0" borderId="2" xfId="3" applyNumberFormat="1" applyFont="1" applyBorder="1" applyAlignment="1">
      <alignment horizontal="right" vertical="top"/>
    </xf>
    <xf numFmtId="164" fontId="4" fillId="0" borderId="0" xfId="1" applyNumberFormat="1" applyFont="1" applyBorder="1" applyAlignment="1">
      <alignment vertical="top" wrapText="1"/>
    </xf>
    <xf numFmtId="164" fontId="4" fillId="0" borderId="2" xfId="1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164" fontId="2" fillId="0" borderId="0" xfId="1" applyNumberFormat="1" applyFont="1" applyFill="1" applyBorder="1" applyAlignment="1">
      <alignment horizontal="center" vertical="center"/>
    </xf>
    <xf numFmtId="164" fontId="9" fillId="0" borderId="5" xfId="1" applyNumberFormat="1" applyFont="1" applyFill="1" applyBorder="1" applyAlignment="1">
      <alignment vertical="center"/>
    </xf>
    <xf numFmtId="0" fontId="10" fillId="0" borderId="6" xfId="0" applyFont="1" applyBorder="1" applyAlignment="1">
      <alignment horizontal="center" vertical="center" wrapText="1"/>
    </xf>
    <xf numFmtId="164" fontId="9" fillId="0" borderId="6" xfId="1" applyNumberFormat="1" applyFont="1" applyFill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164" fontId="9" fillId="0" borderId="6" xfId="1" applyNumberFormat="1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2 2 2" xfId="2" xr:uid="{578EA04D-8B79-4F55-BCC0-F5994AE6B08B}"/>
    <cellStyle name="Normal 4 2" xfId="3" xr:uid="{E5E9AF45-F98A-4FC0-A5B6-386AE1DA97B8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rial Narrow"/>
        <scheme val="none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60" name="Picture 359">
          <a:extLst>
            <a:ext uri="{FF2B5EF4-FFF2-40B4-BE49-F238E27FC236}">
              <a16:creationId xmlns:a16="http://schemas.microsoft.com/office/drawing/2014/main" id="{673B9624-FFD0-498F-8214-28902DAA0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12700</xdr:colOff>
      <xdr:row>11</xdr:row>
      <xdr:rowOff>0</xdr:rowOff>
    </xdr:to>
    <xdr:pic>
      <xdr:nvPicPr>
        <xdr:cNvPr id="61" name="Picture 360">
          <a:extLst>
            <a:ext uri="{FF2B5EF4-FFF2-40B4-BE49-F238E27FC236}">
              <a16:creationId xmlns:a16="http://schemas.microsoft.com/office/drawing/2014/main" id="{EE9D170C-0BC5-4BD1-9A18-717532631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12700</xdr:colOff>
      <xdr:row>16</xdr:row>
      <xdr:rowOff>12700</xdr:rowOff>
    </xdr:to>
    <xdr:pic>
      <xdr:nvPicPr>
        <xdr:cNvPr id="62" name="Picture 361">
          <a:extLst>
            <a:ext uri="{FF2B5EF4-FFF2-40B4-BE49-F238E27FC236}">
              <a16:creationId xmlns:a16="http://schemas.microsoft.com/office/drawing/2014/main" id="{13F3EE28-64DD-4892-A861-D2D45D455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12700</xdr:colOff>
      <xdr:row>20</xdr:row>
      <xdr:rowOff>0</xdr:rowOff>
    </xdr:to>
    <xdr:pic>
      <xdr:nvPicPr>
        <xdr:cNvPr id="64" name="Picture 366">
          <a:extLst>
            <a:ext uri="{FF2B5EF4-FFF2-40B4-BE49-F238E27FC236}">
              <a16:creationId xmlns:a16="http://schemas.microsoft.com/office/drawing/2014/main" id="{6914E93F-2E3F-493B-AB22-3FAAC5323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12700</xdr:colOff>
      <xdr:row>32</xdr:row>
      <xdr:rowOff>0</xdr:rowOff>
    </xdr:to>
    <xdr:pic>
      <xdr:nvPicPr>
        <xdr:cNvPr id="71" name="Picture 380">
          <a:extLst>
            <a:ext uri="{FF2B5EF4-FFF2-40B4-BE49-F238E27FC236}">
              <a16:creationId xmlns:a16="http://schemas.microsoft.com/office/drawing/2014/main" id="{E80889DD-8D81-4371-9B66-849106289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</xdr:row>
      <xdr:rowOff>444500</xdr:rowOff>
    </xdr:from>
    <xdr:to>
      <xdr:col>0</xdr:col>
      <xdr:colOff>12700</xdr:colOff>
      <xdr:row>3</xdr:row>
      <xdr:rowOff>12700</xdr:rowOff>
    </xdr:to>
    <xdr:pic>
      <xdr:nvPicPr>
        <xdr:cNvPr id="78" name="Picture 323">
          <a:extLst>
            <a:ext uri="{FF2B5EF4-FFF2-40B4-BE49-F238E27FC236}">
              <a16:creationId xmlns:a16="http://schemas.microsoft.com/office/drawing/2014/main" id="{A9E0EE26-DC29-4967-A014-675A51872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9325"/>
          <a:ext cx="12700" cy="15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79" name="Picture 417">
          <a:extLst>
            <a:ext uri="{FF2B5EF4-FFF2-40B4-BE49-F238E27FC236}">
              <a16:creationId xmlns:a16="http://schemas.microsoft.com/office/drawing/2014/main" id="{614A1CCB-9F64-4AD2-9DFB-12B99AB2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12700</xdr:colOff>
      <xdr:row>9</xdr:row>
      <xdr:rowOff>12700</xdr:rowOff>
    </xdr:to>
    <xdr:pic>
      <xdr:nvPicPr>
        <xdr:cNvPr id="80" name="Picture 419">
          <a:extLst>
            <a:ext uri="{FF2B5EF4-FFF2-40B4-BE49-F238E27FC236}">
              <a16:creationId xmlns:a16="http://schemas.microsoft.com/office/drawing/2014/main" id="{1F2A98A1-9138-42F1-AFFC-42CF4C0DD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12700</xdr:colOff>
      <xdr:row>14</xdr:row>
      <xdr:rowOff>0</xdr:rowOff>
    </xdr:to>
    <xdr:pic>
      <xdr:nvPicPr>
        <xdr:cNvPr id="81" name="Picture 422">
          <a:extLst>
            <a:ext uri="{FF2B5EF4-FFF2-40B4-BE49-F238E27FC236}">
              <a16:creationId xmlns:a16="http://schemas.microsoft.com/office/drawing/2014/main" id="{3D7C12FB-B02D-4AE8-BC00-690A3EFF2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34</xdr:row>
      <xdr:rowOff>0</xdr:rowOff>
    </xdr:to>
    <xdr:pic>
      <xdr:nvPicPr>
        <xdr:cNvPr id="85" name="Picture 429">
          <a:extLst>
            <a:ext uri="{FF2B5EF4-FFF2-40B4-BE49-F238E27FC236}">
              <a16:creationId xmlns:a16="http://schemas.microsoft.com/office/drawing/2014/main" id="{574BB119-0925-499D-9881-1BA9D69B1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12700</xdr:colOff>
      <xdr:row>35</xdr:row>
      <xdr:rowOff>0</xdr:rowOff>
    </xdr:to>
    <xdr:pic>
      <xdr:nvPicPr>
        <xdr:cNvPr id="86" name="Picture 430">
          <a:extLst>
            <a:ext uri="{FF2B5EF4-FFF2-40B4-BE49-F238E27FC236}">
              <a16:creationId xmlns:a16="http://schemas.microsoft.com/office/drawing/2014/main" id="{776D8090-AFEC-4E32-8DA8-E2AA59E84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12700</xdr:colOff>
      <xdr:row>33</xdr:row>
      <xdr:rowOff>0</xdr:rowOff>
    </xdr:to>
    <xdr:pic>
      <xdr:nvPicPr>
        <xdr:cNvPr id="87" name="Picture 431">
          <a:extLst>
            <a:ext uri="{FF2B5EF4-FFF2-40B4-BE49-F238E27FC236}">
              <a16:creationId xmlns:a16="http://schemas.microsoft.com/office/drawing/2014/main" id="{8C4DD4D1-0569-4DE8-BC2C-7C8D51B67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12700</xdr:colOff>
      <xdr:row>36</xdr:row>
      <xdr:rowOff>0</xdr:rowOff>
    </xdr:to>
    <xdr:pic>
      <xdr:nvPicPr>
        <xdr:cNvPr id="88" name="Picture 432">
          <a:extLst>
            <a:ext uri="{FF2B5EF4-FFF2-40B4-BE49-F238E27FC236}">
              <a16:creationId xmlns:a16="http://schemas.microsoft.com/office/drawing/2014/main" id="{914EA1FE-453B-46B2-9E60-B9863ADA3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165100</xdr:rowOff>
    </xdr:from>
    <xdr:to>
      <xdr:col>0</xdr:col>
      <xdr:colOff>12700</xdr:colOff>
      <xdr:row>37</xdr:row>
      <xdr:rowOff>0</xdr:rowOff>
    </xdr:to>
    <xdr:pic>
      <xdr:nvPicPr>
        <xdr:cNvPr id="89" name="Picture 434">
          <a:extLst>
            <a:ext uri="{FF2B5EF4-FFF2-40B4-BE49-F238E27FC236}">
              <a16:creationId xmlns:a16="http://schemas.microsoft.com/office/drawing/2014/main" id="{90C7EDC7-7B68-48CC-AC22-7248F7652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1600"/>
          <a:ext cx="12700" cy="25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90" name="Picture 360">
          <a:extLst>
            <a:ext uri="{FF2B5EF4-FFF2-40B4-BE49-F238E27FC236}">
              <a16:creationId xmlns:a16="http://schemas.microsoft.com/office/drawing/2014/main" id="{AC53A0F5-113F-422C-B754-9BB381AC5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12700</xdr:colOff>
      <xdr:row>11</xdr:row>
      <xdr:rowOff>0</xdr:rowOff>
    </xdr:to>
    <xdr:pic>
      <xdr:nvPicPr>
        <xdr:cNvPr id="91" name="Picture 361">
          <a:extLst>
            <a:ext uri="{FF2B5EF4-FFF2-40B4-BE49-F238E27FC236}">
              <a16:creationId xmlns:a16="http://schemas.microsoft.com/office/drawing/2014/main" id="{95D31F4D-DB23-4133-B134-8152232BB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12700</xdr:colOff>
      <xdr:row>20</xdr:row>
      <xdr:rowOff>0</xdr:rowOff>
    </xdr:to>
    <xdr:pic>
      <xdr:nvPicPr>
        <xdr:cNvPr id="92" name="Picture 367">
          <a:extLst>
            <a:ext uri="{FF2B5EF4-FFF2-40B4-BE49-F238E27FC236}">
              <a16:creationId xmlns:a16="http://schemas.microsoft.com/office/drawing/2014/main" id="{14E2878E-12B9-44E4-92B6-74CBBB316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34</xdr:row>
      <xdr:rowOff>0</xdr:rowOff>
    </xdr:to>
    <xdr:pic>
      <xdr:nvPicPr>
        <xdr:cNvPr id="102" name="Picture 377">
          <a:extLst>
            <a:ext uri="{FF2B5EF4-FFF2-40B4-BE49-F238E27FC236}">
              <a16:creationId xmlns:a16="http://schemas.microsoft.com/office/drawing/2014/main" id="{EEC8A6B6-E5AF-4A36-AE4B-0C83392D3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12700</xdr:colOff>
      <xdr:row>35</xdr:row>
      <xdr:rowOff>0</xdr:rowOff>
    </xdr:to>
    <xdr:pic>
      <xdr:nvPicPr>
        <xdr:cNvPr id="103" name="Picture 378">
          <a:extLst>
            <a:ext uri="{FF2B5EF4-FFF2-40B4-BE49-F238E27FC236}">
              <a16:creationId xmlns:a16="http://schemas.microsoft.com/office/drawing/2014/main" id="{09D312A2-DCDB-46B0-80E2-FFAD3BF00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12700</xdr:colOff>
      <xdr:row>33</xdr:row>
      <xdr:rowOff>0</xdr:rowOff>
    </xdr:to>
    <xdr:pic>
      <xdr:nvPicPr>
        <xdr:cNvPr id="104" name="Picture 379">
          <a:extLst>
            <a:ext uri="{FF2B5EF4-FFF2-40B4-BE49-F238E27FC236}">
              <a16:creationId xmlns:a16="http://schemas.microsoft.com/office/drawing/2014/main" id="{26B1A195-6A39-47D6-8550-D9516FE9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31</xdr:row>
      <xdr:rowOff>12700</xdr:rowOff>
    </xdr:to>
    <xdr:pic>
      <xdr:nvPicPr>
        <xdr:cNvPr id="105" name="Picture 380">
          <a:extLst>
            <a:ext uri="{FF2B5EF4-FFF2-40B4-BE49-F238E27FC236}">
              <a16:creationId xmlns:a16="http://schemas.microsoft.com/office/drawing/2014/main" id="{2BE1C452-8D25-4053-A88C-771699573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12700</xdr:colOff>
      <xdr:row>32</xdr:row>
      <xdr:rowOff>0</xdr:rowOff>
    </xdr:to>
    <xdr:pic>
      <xdr:nvPicPr>
        <xdr:cNvPr id="106" name="Picture 381">
          <a:extLst>
            <a:ext uri="{FF2B5EF4-FFF2-40B4-BE49-F238E27FC236}">
              <a16:creationId xmlns:a16="http://schemas.microsoft.com/office/drawing/2014/main" id="{6931155B-1765-4900-B2C6-D6EAC2A76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12700</xdr:colOff>
      <xdr:row>37</xdr:row>
      <xdr:rowOff>0</xdr:rowOff>
    </xdr:to>
    <xdr:pic>
      <xdr:nvPicPr>
        <xdr:cNvPr id="107" name="Picture 382">
          <a:extLst>
            <a:ext uri="{FF2B5EF4-FFF2-40B4-BE49-F238E27FC236}">
              <a16:creationId xmlns:a16="http://schemas.microsoft.com/office/drawing/2014/main" id="{4E38D0A3-B963-4EF1-B540-565D881C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19050</xdr:colOff>
      <xdr:row>24</xdr:row>
      <xdr:rowOff>19050</xdr:rowOff>
    </xdr:to>
    <xdr:pic>
      <xdr:nvPicPr>
        <xdr:cNvPr id="109" name="Picture 320">
          <a:extLst>
            <a:ext uri="{FF2B5EF4-FFF2-40B4-BE49-F238E27FC236}">
              <a16:creationId xmlns:a16="http://schemas.microsoft.com/office/drawing/2014/main" id="{596FF478-E660-466A-83B5-F74F7DC19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6475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24</xdr:row>
      <xdr:rowOff>12700</xdr:rowOff>
    </xdr:to>
    <xdr:pic>
      <xdr:nvPicPr>
        <xdr:cNvPr id="110" name="Picture 322">
          <a:extLst>
            <a:ext uri="{FF2B5EF4-FFF2-40B4-BE49-F238E27FC236}">
              <a16:creationId xmlns:a16="http://schemas.microsoft.com/office/drawing/2014/main" id="{7B400D00-6024-49F5-9256-60985EF92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6475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24</xdr:row>
      <xdr:rowOff>0</xdr:rowOff>
    </xdr:to>
    <xdr:pic>
      <xdr:nvPicPr>
        <xdr:cNvPr id="111" name="Picture 383">
          <a:extLst>
            <a:ext uri="{FF2B5EF4-FFF2-40B4-BE49-F238E27FC236}">
              <a16:creationId xmlns:a16="http://schemas.microsoft.com/office/drawing/2014/main" id="{412445A4-7BBD-441F-9FBC-B5867B04C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05975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fe%20Compras\OneDrive\Documents\Desktop\LISTAS%20DE%20PRECIOS\listados%20grupo%20nuevo%20con%20formulas\LISTA%20PROVISIONAL%20DA&#209;O%20PLATAFORMA\LISTAS%20EMPRESA%20GRUPO\LISTADO%20GRUPO%20PROVISIONAL.xlsx" TargetMode="External"/><Relationship Id="rId1" Type="http://schemas.openxmlformats.org/officeDocument/2006/relationships/externalLinkPath" Target="LISTADO%20GRUPO%20PROVISIO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 DE ACCESO VARIOS"/>
      <sheetName val="HIKVISION ACCESORIOS"/>
      <sheetName val="UTP HIKVISION"/>
      <sheetName val="INTERCOM"/>
      <sheetName val="CONTROL ACCESO HIKVISION"/>
      <sheetName val="INTRUSION"/>
      <sheetName val="HILOOK IP"/>
      <sheetName val="ALARMAS COMUNITARIAS"/>
      <sheetName val="CERCOS ELECTRICOS"/>
      <sheetName val="COMMAX"/>
      <sheetName val="CONTROL DE ACCESO ZK"/>
      <sheetName val="PARADOX"/>
      <sheetName val="ACCESORIOS INTRUSION"/>
      <sheetName val="DSC NEO"/>
      <sheetName val="DSC POWEST"/>
      <sheetName val="LANPRO CE"/>
      <sheetName val="LYNX"/>
      <sheetName val="PUERTAS AUTOMAT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904E7-79CD-41FD-B543-AAE9CBBA7A28}" name="Tabla228" displayName="Tabla228" ref="A1:K37" totalsRowShown="0" headerRowDxfId="42" headerRowBorderDxfId="40" tableBorderDxfId="41" totalsRowBorderDxfId="39">
  <autoFilter ref="A1:K37" xr:uid="{00000000-0009-0000-0100-000002000000}"/>
  <sortState xmlns:xlrd2="http://schemas.microsoft.com/office/spreadsheetml/2017/richdata2" ref="A2:K37">
    <sortCondition sortBy="fontColor" ref="A1:A37" dxfId="27"/>
  </sortState>
  <tableColumns count="11">
    <tableColumn id="3" xr3:uid="{86994FDC-7FD2-4BEC-BD09-8A38C866860D}" name="REFERENCIA" dataDxfId="38"/>
    <tableColumn id="4" xr3:uid="{1E53FE7B-2388-4FC3-B19D-590589496361}" name="DESCRIPCION" dataDxfId="37"/>
    <tableColumn id="1" xr3:uid="{4E811B36-0680-4C32-8EFA-E963C30C2E2B}" name="PRECIO INSTALLER (CON IVA)" dataDxfId="36" dataCellStyle="Moneda">
      <calculatedColumnFormula>+Tabla228[[#This Row],[Columna6]]/Tabla228[[#This Row],[Columna5]]</calculatedColumnFormula>
    </tableColumn>
    <tableColumn id="10" xr3:uid="{D0EBD3FF-6AD2-4E8C-9BD3-BAB17C1BDF82}" name="PRECIO TIENDA (CON IVA)" dataDxfId="35" dataCellStyle="Moneda">
      <calculatedColumnFormula>+Tabla228[[#This Row],[PRECIO INSTALLER (CON IVA)]]-Tabla228[[#This Row],[Columna43]]</calculatedColumnFormula>
    </tableColumn>
    <tableColumn id="11" xr3:uid="{E9332371-EC4D-4982-AD48-702DBDB92F09}" name="PRECIO CLIENTE FINAL (CON IVA)" dataDxfId="34" dataCellStyle="Moneda">
      <calculatedColumnFormula>+Tabla228[[#This Row],[PRECIO INSTALLER (CON IVA)]]/0.7</calculatedColumnFormula>
    </tableColumn>
    <tableColumn id="2" xr3:uid="{31881478-BDD2-469B-9D6D-A69F09674667}" name="Columna43" dataDxfId="33" dataCellStyle="Moneda">
      <calculatedColumnFormula>+Tabla228[[#This Row],[PRECIO INSTALLER (CON IVA)]]*5%</calculatedColumnFormula>
    </tableColumn>
    <tableColumn id="5" xr3:uid="{B3FFAA17-DD97-4F7E-B09F-1EB5E0F60127}" name="Columna5" dataDxfId="32"/>
    <tableColumn id="6" xr3:uid="{CE846302-61AA-4C45-8157-1E6D64483C8E}" name="Columna6" dataDxfId="31" dataCellStyle="Moneda">
      <calculatedColumnFormula>MROUND(K2*1.19,200)</calculatedColumnFormula>
    </tableColumn>
    <tableColumn id="7" xr3:uid="{8CDA366C-61BC-4000-B463-F9D95F93B437}" name="Columna7" dataDxfId="30"/>
    <tableColumn id="8" xr3:uid="{FFD1E2AF-E375-4B1C-9FD9-71BC659F077C}" name="Columna8" dataDxfId="29"/>
    <tableColumn id="9" xr3:uid="{9CD976B5-BEF3-4819-A7AA-A93F340F6E7D}" name="COSTO" dataDxfId="28" dataCellStyle="Moned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212E-0F15-431C-B3AA-9F9CEE237EF8}">
  <dimension ref="A1:M37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1.28515625" defaultRowHeight="12.75" x14ac:dyDescent="0.2"/>
  <cols>
    <col min="1" max="1" width="24.42578125" style="7" customWidth="1"/>
    <col min="2" max="2" width="50" style="1" customWidth="1"/>
    <col min="3" max="5" width="21.7109375" style="6" customWidth="1"/>
    <col min="6" max="6" width="15" style="6" hidden="1" customWidth="1"/>
    <col min="7" max="7" width="9.85546875" style="5" hidden="1" customWidth="1"/>
    <col min="8" max="8" width="16.42578125" style="4" hidden="1" customWidth="1"/>
    <col min="9" max="10" width="2.85546875" style="1" hidden="1" customWidth="1"/>
    <col min="11" max="11" width="21.140625" style="3" hidden="1" customWidth="1"/>
    <col min="12" max="12" width="12.85546875" style="2" hidden="1" customWidth="1"/>
    <col min="13" max="13" width="13.28515625" style="2" hidden="1" customWidth="1"/>
    <col min="14" max="14" width="0" style="1" hidden="1" customWidth="1"/>
    <col min="15" max="16384" width="11.28515625" style="1"/>
  </cols>
  <sheetData>
    <row r="1" spans="1:13" ht="59.25" customHeight="1" x14ac:dyDescent="0.25">
      <c r="A1" s="32" t="s">
        <v>80</v>
      </c>
      <c r="B1" s="32" t="s">
        <v>79</v>
      </c>
      <c r="C1" s="32" t="s">
        <v>78</v>
      </c>
      <c r="D1" s="32" t="s">
        <v>77</v>
      </c>
      <c r="E1" s="32" t="s">
        <v>76</v>
      </c>
      <c r="F1" s="31" t="s">
        <v>75</v>
      </c>
      <c r="G1" s="30" t="s">
        <v>74</v>
      </c>
      <c r="H1" s="29" t="s">
        <v>73</v>
      </c>
      <c r="I1" s="28" t="s">
        <v>72</v>
      </c>
      <c r="J1" s="28" t="s">
        <v>71</v>
      </c>
      <c r="K1" s="27" t="s">
        <v>70</v>
      </c>
      <c r="L1" s="26"/>
      <c r="M1" s="26"/>
    </row>
    <row r="2" spans="1:13" ht="15" x14ac:dyDescent="0.25">
      <c r="A2" s="18" t="s">
        <v>69</v>
      </c>
      <c r="B2" s="25" t="s">
        <v>68</v>
      </c>
      <c r="C2" s="24">
        <f>+Tabla228[[#This Row],[Columna6]]/Tabla228[[#This Row],[Columna5]]</f>
        <v>34878.048780487807</v>
      </c>
      <c r="D2" s="24">
        <f>+Tabla228[[#This Row],[PRECIO INSTALLER (CON IVA)]]-Tabla228[[#This Row],[Columna43]]</f>
        <v>33134.14634146342</v>
      </c>
      <c r="E2" s="24">
        <f>+Tabla228[[#This Row],[PRECIO INSTALLER (CON IVA)]]/0.7</f>
        <v>49825.783972125442</v>
      </c>
      <c r="F2" s="23">
        <f>+Tabla228[[#This Row],[PRECIO INSTALLER (CON IVA)]]*5%</f>
        <v>1743.9024390243903</v>
      </c>
      <c r="G2" s="11">
        <v>0.82</v>
      </c>
      <c r="H2" s="10">
        <f>MROUND(K2*1.19,200)</f>
        <v>28600</v>
      </c>
      <c r="I2" s="22"/>
      <c r="J2" s="21"/>
      <c r="K2" s="19">
        <v>24000</v>
      </c>
      <c r="L2" s="2">
        <v>1</v>
      </c>
      <c r="M2" s="2">
        <v>33860</v>
      </c>
    </row>
    <row r="3" spans="1:13" ht="15" x14ac:dyDescent="0.25">
      <c r="A3" s="20" t="s">
        <v>67</v>
      </c>
      <c r="B3" s="14" t="s">
        <v>66</v>
      </c>
      <c r="C3" s="13">
        <f>+Tabla228[[#This Row],[Columna6]]/Tabla228[[#This Row],[Columna5]]</f>
        <v>42926.829268292684</v>
      </c>
      <c r="D3" s="13">
        <f>+Tabla228[[#This Row],[PRECIO INSTALLER (CON IVA)]]-Tabla228[[#This Row],[Columna43]]</f>
        <v>40780.487804878052</v>
      </c>
      <c r="E3" s="13">
        <f>+Tabla228[[#This Row],[PRECIO INSTALLER (CON IVA)]]/0.7</f>
        <v>61324.041811846699</v>
      </c>
      <c r="F3" s="12">
        <f>+Tabla228[[#This Row],[PRECIO INSTALLER (CON IVA)]]*5%</f>
        <v>2146.3414634146343</v>
      </c>
      <c r="G3" s="11">
        <v>0.82</v>
      </c>
      <c r="H3" s="10">
        <f>MROUND(K3*1.19,200)</f>
        <v>35200</v>
      </c>
      <c r="I3" s="9"/>
      <c r="J3" s="9"/>
      <c r="K3" s="2">
        <v>29500</v>
      </c>
      <c r="L3" s="2">
        <v>1</v>
      </c>
      <c r="M3" s="2">
        <v>42100</v>
      </c>
    </row>
    <row r="4" spans="1:13" ht="15" x14ac:dyDescent="0.25">
      <c r="A4" s="15" t="s">
        <v>65</v>
      </c>
      <c r="B4" s="14" t="s">
        <v>64</v>
      </c>
      <c r="C4" s="13">
        <f>+Tabla228[[#This Row],[Columna6]]/Tabla228[[#This Row],[Columna5]]</f>
        <v>50731.707317073175</v>
      </c>
      <c r="D4" s="13">
        <f>+Tabla228[[#This Row],[PRECIO INSTALLER (CON IVA)]]-Tabla228[[#This Row],[Columna43]]</f>
        <v>48195.121951219517</v>
      </c>
      <c r="E4" s="13">
        <f>+Tabla228[[#This Row],[PRECIO INSTALLER (CON IVA)]]/0.7</f>
        <v>72473.867595818825</v>
      </c>
      <c r="F4" s="12">
        <f>+Tabla228[[#This Row],[PRECIO INSTALLER (CON IVA)]]*5%</f>
        <v>2536.5853658536589</v>
      </c>
      <c r="G4" s="11">
        <v>0.82</v>
      </c>
      <c r="H4" s="10">
        <f>MROUND(K4*1.19,200)</f>
        <v>41600</v>
      </c>
      <c r="I4" s="9"/>
      <c r="J4" s="9"/>
      <c r="K4" s="2">
        <v>35000</v>
      </c>
      <c r="L4" s="2">
        <v>1</v>
      </c>
      <c r="M4" s="2">
        <v>53000</v>
      </c>
    </row>
    <row r="5" spans="1:13" ht="30" x14ac:dyDescent="0.25">
      <c r="A5" s="18" t="s">
        <v>63</v>
      </c>
      <c r="B5" s="14" t="s">
        <v>62</v>
      </c>
      <c r="C5" s="13">
        <f>+Tabla228[[#This Row],[Columna6]]/Tabla228[[#This Row],[Columna5]]</f>
        <v>150000</v>
      </c>
      <c r="D5" s="13">
        <f>+Tabla228[[#This Row],[PRECIO INSTALLER (CON IVA)]]-Tabla228[[#This Row],[Columna43]]</f>
        <v>142500</v>
      </c>
      <c r="E5" s="13">
        <f>+Tabla228[[#This Row],[PRECIO INSTALLER (CON IVA)]]/0.7</f>
        <v>214285.71428571429</v>
      </c>
      <c r="F5" s="12">
        <f>+Tabla228[[#This Row],[PRECIO INSTALLER (CON IVA)]]*5%</f>
        <v>7500</v>
      </c>
      <c r="G5" s="11">
        <v>1</v>
      </c>
      <c r="H5" s="10">
        <f>MROUND(K5*1.19,200)</f>
        <v>150000</v>
      </c>
      <c r="I5" s="22"/>
      <c r="J5" s="21"/>
      <c r="K5" s="2">
        <v>126000</v>
      </c>
      <c r="L5" s="2">
        <v>1</v>
      </c>
      <c r="M5" s="2">
        <v>126000</v>
      </c>
    </row>
    <row r="6" spans="1:13" ht="30" x14ac:dyDescent="0.25">
      <c r="A6" s="18" t="s">
        <v>61</v>
      </c>
      <c r="B6" s="14" t="s">
        <v>60</v>
      </c>
      <c r="C6" s="13">
        <f>+Tabla228[[#This Row],[Columna6]]/Tabla228[[#This Row],[Columna5]]</f>
        <v>137804.87804878049</v>
      </c>
      <c r="D6" s="13">
        <f>+Tabla228[[#This Row],[PRECIO INSTALLER (CON IVA)]]-Tabla228[[#This Row],[Columna43]]</f>
        <v>130914.63414634147</v>
      </c>
      <c r="E6" s="13">
        <f>+Tabla228[[#This Row],[PRECIO INSTALLER (CON IVA)]]/0.7</f>
        <v>196864.11149825784</v>
      </c>
      <c r="F6" s="12">
        <f>+Tabla228[[#This Row],[PRECIO INSTALLER (CON IVA)]]*5%</f>
        <v>6890.2439024390251</v>
      </c>
      <c r="G6" s="11">
        <v>0.82</v>
      </c>
      <c r="H6" s="10">
        <f>MROUND(K6*1.19,200)</f>
        <v>113000</v>
      </c>
      <c r="I6" s="9"/>
      <c r="J6" s="9"/>
      <c r="K6" s="2">
        <v>94958</v>
      </c>
      <c r="L6" s="2">
        <v>1</v>
      </c>
      <c r="M6" s="2">
        <v>154000</v>
      </c>
    </row>
    <row r="7" spans="1:13" ht="30" x14ac:dyDescent="0.25">
      <c r="A7" s="20" t="s">
        <v>59</v>
      </c>
      <c r="B7" s="14" t="s">
        <v>58</v>
      </c>
      <c r="C7" s="13">
        <f>+Tabla228[[#This Row],[Columna6]]/Tabla228[[#This Row],[Columna5]]</f>
        <v>163902.43902439025</v>
      </c>
      <c r="D7" s="13">
        <f>+Tabla228[[#This Row],[PRECIO INSTALLER (CON IVA)]]-Tabla228[[#This Row],[Columna43]]</f>
        <v>155707.31707317074</v>
      </c>
      <c r="E7" s="13">
        <f>+Tabla228[[#This Row],[PRECIO INSTALLER (CON IVA)]]/0.7</f>
        <v>234146.34146341466</v>
      </c>
      <c r="F7" s="12">
        <f>+Tabla228[[#This Row],[PRECIO INSTALLER (CON IVA)]]*5%</f>
        <v>8195.121951219513</v>
      </c>
      <c r="G7" s="11">
        <v>0.82</v>
      </c>
      <c r="H7" s="10">
        <f>MROUND(K7*1.19,200)</f>
        <v>134400</v>
      </c>
      <c r="I7" s="22"/>
      <c r="J7" s="21"/>
      <c r="K7" s="19">
        <v>113000</v>
      </c>
      <c r="L7" s="2">
        <v>1</v>
      </c>
      <c r="M7" s="2">
        <v>166600</v>
      </c>
    </row>
    <row r="8" spans="1:13" ht="30" x14ac:dyDescent="0.25">
      <c r="A8" s="20" t="s">
        <v>57</v>
      </c>
      <c r="B8" s="14" t="s">
        <v>56</v>
      </c>
      <c r="C8" s="13">
        <f>+Tabla228[[#This Row],[Columna6]]/Tabla228[[#This Row],[Columna5]]</f>
        <v>203170.73170731709</v>
      </c>
      <c r="D8" s="13">
        <f>+Tabla228[[#This Row],[PRECIO INSTALLER (CON IVA)]]-Tabla228[[#This Row],[Columna43]]</f>
        <v>193012.19512195123</v>
      </c>
      <c r="E8" s="13">
        <f>+Tabla228[[#This Row],[PRECIO INSTALLER (CON IVA)]]/0.7</f>
        <v>290243.90243902442</v>
      </c>
      <c r="F8" s="12">
        <f>+Tabla228[[#This Row],[PRECIO INSTALLER (CON IVA)]]*5%</f>
        <v>10158.536585365855</v>
      </c>
      <c r="G8" s="11">
        <v>0.82</v>
      </c>
      <c r="H8" s="10">
        <f>MROUND(K8*1.19,200)</f>
        <v>166600</v>
      </c>
      <c r="I8" s="9"/>
      <c r="J8" s="9"/>
      <c r="K8" s="19">
        <v>140000</v>
      </c>
      <c r="L8" s="2">
        <v>1</v>
      </c>
      <c r="M8" s="2">
        <v>208600</v>
      </c>
    </row>
    <row r="9" spans="1:13" ht="30" x14ac:dyDescent="0.25">
      <c r="A9" s="18" t="s">
        <v>52</v>
      </c>
      <c r="B9" s="14" t="s">
        <v>51</v>
      </c>
      <c r="C9" s="13">
        <f>+Tabla228[[#This Row],[Columna6]]/Tabla228[[#This Row],[Columna5]]</f>
        <v>181463.41463414635</v>
      </c>
      <c r="D9" s="13">
        <f>+Tabla228[[#This Row],[PRECIO INSTALLER (CON IVA)]]-Tabla228[[#This Row],[Columna43]]</f>
        <v>172390.24390243902</v>
      </c>
      <c r="E9" s="13">
        <f>+Tabla228[[#This Row],[PRECIO INSTALLER (CON IVA)]]/0.7</f>
        <v>259233.44947735194</v>
      </c>
      <c r="F9" s="12">
        <f>+Tabla228[[#This Row],[PRECIO INSTALLER (CON IVA)]]*5%</f>
        <v>9073.1707317073178</v>
      </c>
      <c r="G9" s="11">
        <v>0.82</v>
      </c>
      <c r="H9" s="10">
        <f>MROUND(K9*1.19,200)</f>
        <v>148800</v>
      </c>
      <c r="I9" s="22"/>
      <c r="J9" s="21"/>
      <c r="K9" s="2">
        <v>125000</v>
      </c>
      <c r="L9" s="2">
        <v>1</v>
      </c>
      <c r="M9" s="2">
        <v>185937</v>
      </c>
    </row>
    <row r="10" spans="1:13" ht="30" x14ac:dyDescent="0.25">
      <c r="A10" s="20" t="s">
        <v>50</v>
      </c>
      <c r="B10" s="14" t="s">
        <v>49</v>
      </c>
      <c r="C10" s="13">
        <f>+Tabla228[[#This Row],[Columna6]]/Tabla228[[#This Row],[Columna5]]</f>
        <v>216341.46341463417</v>
      </c>
      <c r="D10" s="13">
        <f>+Tabla228[[#This Row],[PRECIO INSTALLER (CON IVA)]]-Tabla228[[#This Row],[Columna43]]</f>
        <v>205524.39024390245</v>
      </c>
      <c r="E10" s="13">
        <f>+Tabla228[[#This Row],[PRECIO INSTALLER (CON IVA)]]/0.7</f>
        <v>309059.23344947741</v>
      </c>
      <c r="F10" s="12">
        <f>+Tabla228[[#This Row],[PRECIO INSTALLER (CON IVA)]]*5%</f>
        <v>10817.07317073171</v>
      </c>
      <c r="G10" s="11">
        <v>0.82</v>
      </c>
      <c r="H10" s="10">
        <f>MROUND(K10*1.19,200)</f>
        <v>177400</v>
      </c>
      <c r="I10" s="9"/>
      <c r="J10" s="9"/>
      <c r="K10" s="19">
        <v>149000</v>
      </c>
      <c r="L10" s="2">
        <v>1</v>
      </c>
      <c r="M10" s="2">
        <v>263100</v>
      </c>
    </row>
    <row r="11" spans="1:13" ht="30" x14ac:dyDescent="0.25">
      <c r="A11" s="20" t="s">
        <v>48</v>
      </c>
      <c r="B11" s="14" t="s">
        <v>47</v>
      </c>
      <c r="C11" s="13">
        <f>+Tabla228[[#This Row],[Columna6]]/Tabla228[[#This Row],[Columna5]]</f>
        <v>326585.36585365853</v>
      </c>
      <c r="D11" s="13">
        <f>+Tabla228[[#This Row],[PRECIO INSTALLER (CON IVA)]]-Tabla228[[#This Row],[Columna43]]</f>
        <v>310256.09756097558</v>
      </c>
      <c r="E11" s="13">
        <f>+Tabla228[[#This Row],[PRECIO INSTALLER (CON IVA)]]/0.7</f>
        <v>466550.52264808363</v>
      </c>
      <c r="F11" s="12">
        <f>+Tabla228[[#This Row],[PRECIO INSTALLER (CON IVA)]]*5%</f>
        <v>16329.268292682927</v>
      </c>
      <c r="G11" s="11">
        <v>0.82</v>
      </c>
      <c r="H11" s="10">
        <f>MROUND(K11*1.19,200)</f>
        <v>267800</v>
      </c>
      <c r="I11" s="9"/>
      <c r="J11" s="9"/>
      <c r="K11" s="19">
        <v>225000</v>
      </c>
      <c r="L11" s="2">
        <v>1</v>
      </c>
      <c r="M11" s="2">
        <v>334688</v>
      </c>
    </row>
    <row r="12" spans="1:13" ht="30" x14ac:dyDescent="0.25">
      <c r="A12" s="20" t="s">
        <v>46</v>
      </c>
      <c r="B12" s="14" t="s">
        <v>45</v>
      </c>
      <c r="C12" s="13">
        <f>+Tabla228[[#This Row],[Columna6]]/Tabla228[[#This Row],[Columna5]]</f>
        <v>370000</v>
      </c>
      <c r="D12" s="13">
        <f>+Tabla228[[#This Row],[PRECIO INSTALLER (CON IVA)]]-Tabla228[[#This Row],[Columna43]]</f>
        <v>351500</v>
      </c>
      <c r="E12" s="13">
        <f>+Tabla228[[#This Row],[PRECIO INSTALLER (CON IVA)]]/0.7</f>
        <v>528571.42857142864</v>
      </c>
      <c r="F12" s="12">
        <f>+Tabla228[[#This Row],[PRECIO INSTALLER (CON IVA)]]*5%</f>
        <v>18500</v>
      </c>
      <c r="G12" s="11">
        <v>0.82</v>
      </c>
      <c r="H12" s="10">
        <f>MROUND(K12*1.19,200)</f>
        <v>303400</v>
      </c>
      <c r="I12" s="9"/>
      <c r="J12" s="9"/>
      <c r="K12" s="19">
        <v>255000</v>
      </c>
      <c r="L12" s="2">
        <v>1</v>
      </c>
      <c r="M12" s="2">
        <v>379312</v>
      </c>
    </row>
    <row r="13" spans="1:13" ht="30" x14ac:dyDescent="0.25">
      <c r="A13" s="20" t="s">
        <v>44</v>
      </c>
      <c r="B13" s="14" t="s">
        <v>43</v>
      </c>
      <c r="C13" s="13">
        <f>+Tabla228[[#This Row],[Columna6]]/Tabla228[[#This Row],[Columna5]]</f>
        <v>428048.78048780491</v>
      </c>
      <c r="D13" s="13">
        <f>+Tabla228[[#This Row],[PRECIO INSTALLER (CON IVA)]]-Tabla228[[#This Row],[Columna43]]</f>
        <v>406646.34146341466</v>
      </c>
      <c r="E13" s="13">
        <f>+Tabla228[[#This Row],[PRECIO INSTALLER (CON IVA)]]/0.7</f>
        <v>611498.25783972128</v>
      </c>
      <c r="F13" s="12">
        <f>+Tabla228[[#This Row],[PRECIO INSTALLER (CON IVA)]]*5%</f>
        <v>21402.439024390245</v>
      </c>
      <c r="G13" s="11">
        <v>0.82</v>
      </c>
      <c r="H13" s="10">
        <f>MROUND(K13*1.19,200)</f>
        <v>351000</v>
      </c>
      <c r="I13" s="9"/>
      <c r="J13" s="9"/>
      <c r="K13" s="19">
        <v>295000</v>
      </c>
      <c r="L13" s="2">
        <v>1</v>
      </c>
      <c r="M13" s="2">
        <v>438812</v>
      </c>
    </row>
    <row r="14" spans="1:13" ht="30" x14ac:dyDescent="0.25">
      <c r="A14" s="20" t="s">
        <v>42</v>
      </c>
      <c r="B14" s="14" t="s">
        <v>41</v>
      </c>
      <c r="C14" s="13">
        <f>+Tabla228[[#This Row],[Columna6]]/Tabla228[[#This Row],[Columna5]]</f>
        <v>471707.31707317074</v>
      </c>
      <c r="D14" s="13">
        <f>+Tabla228[[#This Row],[PRECIO INSTALLER (CON IVA)]]-Tabla228[[#This Row],[Columna43]]</f>
        <v>448121.95121951221</v>
      </c>
      <c r="E14" s="13">
        <f>+Tabla228[[#This Row],[PRECIO INSTALLER (CON IVA)]]/0.7</f>
        <v>673867.5958188154</v>
      </c>
      <c r="F14" s="12">
        <f>+Tabla228[[#This Row],[PRECIO INSTALLER (CON IVA)]]*5%</f>
        <v>23585.365853658539</v>
      </c>
      <c r="G14" s="11">
        <v>0.82</v>
      </c>
      <c r="H14" s="10">
        <f>MROUND(K14*1.19,200)</f>
        <v>386800</v>
      </c>
      <c r="I14" s="9"/>
      <c r="J14" s="9"/>
      <c r="K14" s="19">
        <v>325022.82939999999</v>
      </c>
      <c r="L14" s="2">
        <v>1</v>
      </c>
      <c r="M14" s="2">
        <v>460600</v>
      </c>
    </row>
    <row r="15" spans="1:13" ht="15" x14ac:dyDescent="0.25">
      <c r="A15" s="18" t="s">
        <v>81</v>
      </c>
      <c r="B15" s="14" t="s">
        <v>83</v>
      </c>
      <c r="C15" s="13">
        <f>+Tabla228[[#This Row],[Columna6]]/Tabla228[[#This Row],[Columna5]]</f>
        <v>31463.414634146342</v>
      </c>
      <c r="D15" s="13">
        <f>+Tabla228[[#This Row],[PRECIO INSTALLER (CON IVA)]]-Tabla228[[#This Row],[Columna43]]</f>
        <v>29890.243902439026</v>
      </c>
      <c r="E15" s="13">
        <f>+Tabla228[[#This Row],[PRECIO INSTALLER (CON IVA)]]/0.7</f>
        <v>44947.735191637636</v>
      </c>
      <c r="F15" s="12">
        <f>+Tabla228[[#This Row],[PRECIO INSTALLER (CON IVA)]]*5%</f>
        <v>1573.1707317073171</v>
      </c>
      <c r="G15" s="11">
        <v>0.82</v>
      </c>
      <c r="H15" s="10">
        <f>MROUND(K15*1.19,200)</f>
        <v>25800</v>
      </c>
      <c r="I15" s="9"/>
      <c r="J15" s="9"/>
      <c r="K15" s="19">
        <v>21639</v>
      </c>
      <c r="L15" s="2" t="s">
        <v>2</v>
      </c>
      <c r="M15" s="2">
        <v>161300</v>
      </c>
    </row>
    <row r="16" spans="1:13" ht="15" x14ac:dyDescent="0.25">
      <c r="A16" s="18" t="s">
        <v>26</v>
      </c>
      <c r="B16" s="14" t="s">
        <v>25</v>
      </c>
      <c r="C16" s="13">
        <f>+Tabla228[[#This Row],[Columna6]]/Tabla228[[#This Row],[Columna5]]</f>
        <v>50243.902439024394</v>
      </c>
      <c r="D16" s="13">
        <f>+Tabla228[[#This Row],[PRECIO INSTALLER (CON IVA)]]-Tabla228[[#This Row],[Columna43]]</f>
        <v>47731.707317073175</v>
      </c>
      <c r="E16" s="13">
        <f>+Tabla228[[#This Row],[PRECIO INSTALLER (CON IVA)]]/0.7</f>
        <v>71777.003484320565</v>
      </c>
      <c r="F16" s="12">
        <f>+Tabla228[[#This Row],[PRECIO INSTALLER (CON IVA)]]*5%</f>
        <v>2512.1951219512198</v>
      </c>
      <c r="G16" s="11">
        <v>0.82</v>
      </c>
      <c r="H16" s="10">
        <f>MROUND(K16*1.19,200)</f>
        <v>41200</v>
      </c>
      <c r="I16" s="9"/>
      <c r="J16" s="9"/>
      <c r="K16" s="19">
        <v>34705.874100000001</v>
      </c>
      <c r="L16" s="2" t="s">
        <v>2</v>
      </c>
      <c r="M16" s="2">
        <v>161300</v>
      </c>
    </row>
    <row r="17" spans="1:13" ht="15" x14ac:dyDescent="0.25">
      <c r="A17" s="20" t="s">
        <v>24</v>
      </c>
      <c r="B17" s="14" t="s">
        <v>23</v>
      </c>
      <c r="C17" s="13">
        <f>+Tabla228[[#This Row],[Columna6]]/Tabla228[[#This Row],[Columna5]]</f>
        <v>33414.634146341465</v>
      </c>
      <c r="D17" s="13">
        <f>+Tabla228[[#This Row],[PRECIO INSTALLER (CON IVA)]]-Tabla228[[#This Row],[Columna43]]</f>
        <v>31743.90243902439</v>
      </c>
      <c r="E17" s="13">
        <f>+Tabla228[[#This Row],[PRECIO INSTALLER (CON IVA)]]/0.7</f>
        <v>47735.191637630669</v>
      </c>
      <c r="F17" s="12">
        <f>+Tabla228[[#This Row],[PRECIO INSTALLER (CON IVA)]]*5%</f>
        <v>1670.7317073170734</v>
      </c>
      <c r="G17" s="11">
        <v>0.82</v>
      </c>
      <c r="H17" s="10">
        <f>MROUND(K17*1.19,200)</f>
        <v>27400</v>
      </c>
      <c r="I17" s="9"/>
      <c r="J17" s="9"/>
      <c r="K17" s="19">
        <v>23109.233199999999</v>
      </c>
      <c r="L17" s="2" t="s">
        <v>2</v>
      </c>
      <c r="M17" s="2">
        <v>41300</v>
      </c>
    </row>
    <row r="18" spans="1:13" ht="15" x14ac:dyDescent="0.25">
      <c r="A18" s="20" t="s">
        <v>22</v>
      </c>
      <c r="B18" s="14" t="s">
        <v>21</v>
      </c>
      <c r="C18" s="13">
        <f>+Tabla228[[#This Row],[Columna6]]/Tabla228[[#This Row],[Columna5]]</f>
        <v>40975.609756097561</v>
      </c>
      <c r="D18" s="13">
        <f>+Tabla228[[#This Row],[PRECIO INSTALLER (CON IVA)]]-Tabla228[[#This Row],[Columna43]]</f>
        <v>38926.829268292684</v>
      </c>
      <c r="E18" s="13">
        <f>+Tabla228[[#This Row],[PRECIO INSTALLER (CON IVA)]]/0.7</f>
        <v>58536.585365853665</v>
      </c>
      <c r="F18" s="12">
        <f>+Tabla228[[#This Row],[PRECIO INSTALLER (CON IVA)]]*5%</f>
        <v>2048.7804878048782</v>
      </c>
      <c r="G18" s="11">
        <v>0.82</v>
      </c>
      <c r="H18" s="10">
        <f>MROUND(K18*1.19,200)</f>
        <v>33600</v>
      </c>
      <c r="I18" s="9"/>
      <c r="J18" s="9"/>
      <c r="K18" s="19">
        <v>28183.164799999999</v>
      </c>
      <c r="L18" s="2" t="s">
        <v>2</v>
      </c>
      <c r="M18" s="2">
        <v>27500</v>
      </c>
    </row>
    <row r="19" spans="1:13" ht="15" x14ac:dyDescent="0.25">
      <c r="A19" s="20" t="s">
        <v>20</v>
      </c>
      <c r="B19" s="14" t="s">
        <v>19</v>
      </c>
      <c r="C19" s="13">
        <f>+Tabla228[[#This Row],[Columna6]]/Tabla228[[#This Row],[Columna5]]</f>
        <v>50487.804878048781</v>
      </c>
      <c r="D19" s="13">
        <f>+Tabla228[[#This Row],[PRECIO INSTALLER (CON IVA)]]-Tabla228[[#This Row],[Columna43]]</f>
        <v>47963.414634146342</v>
      </c>
      <c r="E19" s="13">
        <f>+Tabla228[[#This Row],[PRECIO INSTALLER (CON IVA)]]/0.7</f>
        <v>72125.435540069695</v>
      </c>
      <c r="F19" s="12">
        <f>+Tabla228[[#This Row],[PRECIO INSTALLER (CON IVA)]]*5%</f>
        <v>2524.3902439024391</v>
      </c>
      <c r="G19" s="11">
        <v>0.82</v>
      </c>
      <c r="H19" s="10">
        <f>MROUND(K19*1.19,200)</f>
        <v>41400</v>
      </c>
      <c r="I19" s="9"/>
      <c r="J19" s="9"/>
      <c r="K19" s="19">
        <v>34747.9</v>
      </c>
      <c r="L19" s="2" t="s">
        <v>2</v>
      </c>
      <c r="M19" s="2">
        <v>33600</v>
      </c>
    </row>
    <row r="20" spans="1:13" ht="30" x14ac:dyDescent="0.25">
      <c r="A20" s="20" t="s">
        <v>55</v>
      </c>
      <c r="B20" s="14" t="s">
        <v>54</v>
      </c>
      <c r="C20" s="13">
        <f>+Tabla228[[#This Row],[Columna6]]/Tabla228[[#This Row],[Columna5]]</f>
        <v>56097.560975609762</v>
      </c>
      <c r="D20" s="13">
        <f>+Tabla228[[#This Row],[PRECIO INSTALLER (CON IVA)]]-Tabla228[[#This Row],[Columna43]]</f>
        <v>53292.682926829271</v>
      </c>
      <c r="E20" s="13">
        <f>+Tabla228[[#This Row],[PRECIO INSTALLER (CON IVA)]]/0.7</f>
        <v>80139.372822299658</v>
      </c>
      <c r="F20" s="12">
        <f>+Tabla228[[#This Row],[PRECIO INSTALLER (CON IVA)]]*5%</f>
        <v>2804.8780487804884</v>
      </c>
      <c r="G20" s="11">
        <v>0.82</v>
      </c>
      <c r="H20" s="10">
        <f>MROUND(K20*1.19,200)</f>
        <v>46000</v>
      </c>
      <c r="I20" s="9"/>
      <c r="J20" s="9"/>
      <c r="K20" s="19">
        <v>38633.267500000002</v>
      </c>
      <c r="L20" s="2" t="s">
        <v>53</v>
      </c>
      <c r="M20" s="2">
        <v>47000</v>
      </c>
    </row>
    <row r="21" spans="1:13" ht="15" x14ac:dyDescent="0.25">
      <c r="A21" s="15" t="s">
        <v>14</v>
      </c>
      <c r="B21" s="14" t="s">
        <v>13</v>
      </c>
      <c r="C21" s="13">
        <f>+Tabla228[[#This Row],[Columna6]]/Tabla228[[#This Row],[Columna5]]</f>
        <v>46585.365853658543</v>
      </c>
      <c r="D21" s="13">
        <f>+Tabla228[[#This Row],[PRECIO INSTALLER (CON IVA)]]-Tabla228[[#This Row],[Columna43]]</f>
        <v>44256.097560975613</v>
      </c>
      <c r="E21" s="13">
        <f>+Tabla228[[#This Row],[PRECIO INSTALLER (CON IVA)]]/0.7</f>
        <v>66550.522648083643</v>
      </c>
      <c r="F21" s="12">
        <f>+Tabla228[[#This Row],[PRECIO INSTALLER (CON IVA)]]*5%</f>
        <v>2329.268292682927</v>
      </c>
      <c r="G21" s="11">
        <v>0.82</v>
      </c>
      <c r="H21" s="10">
        <f>MROUND(K21*1.19,200)</f>
        <v>38200</v>
      </c>
      <c r="I21" s="9"/>
      <c r="J21" s="9"/>
      <c r="K21" s="8">
        <v>32074.153200000001</v>
      </c>
      <c r="L21" s="2" t="s">
        <v>2</v>
      </c>
      <c r="M21" s="2">
        <v>224000</v>
      </c>
    </row>
    <row r="22" spans="1:13" ht="15" x14ac:dyDescent="0.25">
      <c r="A22" s="15" t="s">
        <v>12</v>
      </c>
      <c r="B22" s="14" t="s">
        <v>11</v>
      </c>
      <c r="C22" s="13">
        <f>+Tabla228[[#This Row],[Columna6]]/Tabla228[[#This Row],[Columna5]]</f>
        <v>166341.46341463417</v>
      </c>
      <c r="D22" s="13">
        <f>+Tabla228[[#This Row],[PRECIO INSTALLER (CON IVA)]]-Tabla228[[#This Row],[Columna43]]</f>
        <v>158024.39024390245</v>
      </c>
      <c r="E22" s="13">
        <f>+Tabla228[[#This Row],[PRECIO INSTALLER (CON IVA)]]/0.7</f>
        <v>237630.66202090596</v>
      </c>
      <c r="F22" s="12">
        <f>+Tabla228[[#This Row],[PRECIO INSTALLER (CON IVA)]]*5%</f>
        <v>8317.0731707317082</v>
      </c>
      <c r="G22" s="11">
        <v>0.82</v>
      </c>
      <c r="H22" s="10">
        <f>MROUND(K22*1.19,200)</f>
        <v>136400</v>
      </c>
      <c r="I22" s="9"/>
      <c r="J22" s="9"/>
      <c r="K22" s="8">
        <v>114578</v>
      </c>
      <c r="L22" s="2" t="s">
        <v>2</v>
      </c>
      <c r="M22" s="2">
        <v>38200</v>
      </c>
    </row>
    <row r="23" spans="1:13" ht="15" x14ac:dyDescent="0.25">
      <c r="A23" s="15" t="s">
        <v>10</v>
      </c>
      <c r="B23" s="14" t="s">
        <v>9</v>
      </c>
      <c r="C23" s="13">
        <f>+Tabla228[[#This Row],[Columna6]]/Tabla228[[#This Row],[Columna5]]</f>
        <v>133658.53658536586</v>
      </c>
      <c r="D23" s="13">
        <f>+Tabla228[[#This Row],[PRECIO INSTALLER (CON IVA)]]-Tabla228[[#This Row],[Columna43]]</f>
        <v>126975.60975609756</v>
      </c>
      <c r="E23" s="13">
        <f>+Tabla228[[#This Row],[PRECIO INSTALLER (CON IVA)]]/0.7</f>
        <v>190940.76655052268</v>
      </c>
      <c r="F23" s="12">
        <f>+Tabla228[[#This Row],[PRECIO INSTALLER (CON IVA)]]*5%</f>
        <v>6682.9268292682937</v>
      </c>
      <c r="G23" s="11">
        <v>0.82</v>
      </c>
      <c r="H23" s="10">
        <f>MROUND(K23*1.19,200)</f>
        <v>109600</v>
      </c>
      <c r="I23" s="9"/>
      <c r="J23" s="9"/>
      <c r="K23" s="8">
        <v>92017</v>
      </c>
      <c r="L23" s="2" t="s">
        <v>2</v>
      </c>
      <c r="M23" s="2">
        <v>136400</v>
      </c>
    </row>
    <row r="24" spans="1:13" ht="15" x14ac:dyDescent="0.25">
      <c r="A24" s="20" t="s">
        <v>28</v>
      </c>
      <c r="B24" s="14" t="s">
        <v>27</v>
      </c>
      <c r="C24" s="13">
        <f>+Tabla228[[#This Row],[Columna6]]/Tabla228[[#This Row],[Columna5]]</f>
        <v>196585.36585365856</v>
      </c>
      <c r="D24" s="13">
        <f>+Tabla228[[#This Row],[PRECIO INSTALLER (CON IVA)]]-Tabla228[[#This Row],[Columna43]]</f>
        <v>186756.09756097564</v>
      </c>
      <c r="E24" s="13">
        <f>+Tabla228[[#This Row],[PRECIO INSTALLER (CON IVA)]]/0.7</f>
        <v>280836.23693379795</v>
      </c>
      <c r="F24" s="12">
        <f>+Tabla228[[#This Row],[PRECIO INSTALLER (CON IVA)]]*5%</f>
        <v>9829.2682926829293</v>
      </c>
      <c r="G24" s="11">
        <v>0.82</v>
      </c>
      <c r="H24" s="10">
        <f>MROUND(K24*1.19,200)</f>
        <v>161200</v>
      </c>
      <c r="I24" s="9"/>
      <c r="J24" s="9"/>
      <c r="K24" s="19">
        <v>135545</v>
      </c>
      <c r="L24" s="2">
        <v>1</v>
      </c>
      <c r="M24" s="2">
        <v>1551800</v>
      </c>
    </row>
    <row r="25" spans="1:13" ht="30" x14ac:dyDescent="0.25">
      <c r="A25" s="20" t="s">
        <v>18</v>
      </c>
      <c r="B25" s="14" t="s">
        <v>17</v>
      </c>
      <c r="C25" s="13">
        <f>+Tabla228[[#This Row],[Columna6]]/Tabla228[[#This Row],[Columna5]]</f>
        <v>227804.87804878049</v>
      </c>
      <c r="D25" s="13">
        <f>+Tabla228[[#This Row],[PRECIO INSTALLER (CON IVA)]]-Tabla228[[#This Row],[Columna43]]</f>
        <v>216414.63414634147</v>
      </c>
      <c r="E25" s="13">
        <f>+Tabla228[[#This Row],[PRECIO INSTALLER (CON IVA)]]/0.7</f>
        <v>325435.54006968642</v>
      </c>
      <c r="F25" s="12">
        <f>+Tabla228[[#This Row],[PRECIO INSTALLER (CON IVA)]]*5%</f>
        <v>11390.243902439026</v>
      </c>
      <c r="G25" s="11">
        <v>0.82</v>
      </c>
      <c r="H25" s="10">
        <f>MROUND(K25*1.19,200)</f>
        <v>186800</v>
      </c>
      <c r="I25" s="9"/>
      <c r="J25" s="9"/>
      <c r="K25" s="19">
        <v>156918</v>
      </c>
      <c r="L25" s="2" t="s">
        <v>2</v>
      </c>
      <c r="M25" s="2">
        <v>41350</v>
      </c>
    </row>
    <row r="26" spans="1:13" ht="15" x14ac:dyDescent="0.25">
      <c r="A26" s="18" t="s">
        <v>16</v>
      </c>
      <c r="B26" s="14" t="s">
        <v>15</v>
      </c>
      <c r="C26" s="13">
        <f>+Tabla228[[#This Row],[Columna6]]/Tabla228[[#This Row],[Columna5]]</f>
        <v>273170.73170731711</v>
      </c>
      <c r="D26" s="13">
        <f>+Tabla228[[#This Row],[PRECIO INSTALLER (CON IVA)]]-Tabla228[[#This Row],[Columna43]]</f>
        <v>259512.19512195126</v>
      </c>
      <c r="E26" s="13">
        <f>+Tabla228[[#This Row],[PRECIO INSTALLER (CON IVA)]]/0.7</f>
        <v>390243.90243902447</v>
      </c>
      <c r="F26" s="12">
        <f>+Tabla228[[#This Row],[PRECIO INSTALLER (CON IVA)]]*5%</f>
        <v>13658.536585365857</v>
      </c>
      <c r="G26" s="11">
        <v>0.82</v>
      </c>
      <c r="H26" s="10">
        <f>MROUND(K26*1.19,200)</f>
        <v>224000</v>
      </c>
      <c r="I26" s="17"/>
      <c r="J26" s="17"/>
      <c r="K26" s="16">
        <v>188235</v>
      </c>
      <c r="L26" s="2" t="s">
        <v>2</v>
      </c>
      <c r="M26" s="2">
        <v>186800</v>
      </c>
    </row>
    <row r="27" spans="1:13" ht="15" x14ac:dyDescent="0.25">
      <c r="A27" s="15" t="s">
        <v>8</v>
      </c>
      <c r="B27" s="14" t="s">
        <v>7</v>
      </c>
      <c r="C27" s="13">
        <f>+Tabla228[[#This Row],[Columna6]]/Tabla228[[#This Row],[Columna5]]</f>
        <v>61219.512195121955</v>
      </c>
      <c r="D27" s="13">
        <f>+Tabla228[[#This Row],[PRECIO INSTALLER (CON IVA)]]-Tabla228[[#This Row],[Columna43]]</f>
        <v>58158.536585365859</v>
      </c>
      <c r="E27" s="13">
        <f>+Tabla228[[#This Row],[PRECIO INSTALLER (CON IVA)]]/0.7</f>
        <v>87456.445993031375</v>
      </c>
      <c r="F27" s="12">
        <f>+Tabla228[[#This Row],[PRECIO INSTALLER (CON IVA)]]*5%</f>
        <v>3060.975609756098</v>
      </c>
      <c r="G27" s="11">
        <v>0.82</v>
      </c>
      <c r="H27" s="10">
        <f>MROUND(K27*1.19,200)</f>
        <v>50200</v>
      </c>
      <c r="I27" s="9"/>
      <c r="J27" s="9"/>
      <c r="K27" s="8">
        <v>42205.51</v>
      </c>
      <c r="L27" s="2" t="s">
        <v>2</v>
      </c>
      <c r="M27" s="2">
        <v>109500</v>
      </c>
    </row>
    <row r="28" spans="1:13" ht="15" x14ac:dyDescent="0.25">
      <c r="A28" s="15" t="s">
        <v>6</v>
      </c>
      <c r="B28" s="14" t="s">
        <v>5</v>
      </c>
      <c r="C28" s="13">
        <f>+Tabla228[[#This Row],[Columna6]]/Tabla228[[#This Row],[Columna5]]</f>
        <v>71463.414634146349</v>
      </c>
      <c r="D28" s="13">
        <f>+Tabla228[[#This Row],[PRECIO INSTALLER (CON IVA)]]-Tabla228[[#This Row],[Columna43]]</f>
        <v>67890.243902439033</v>
      </c>
      <c r="E28" s="13">
        <f>+Tabla228[[#This Row],[PRECIO INSTALLER (CON IVA)]]/0.7</f>
        <v>102090.5923344948</v>
      </c>
      <c r="F28" s="12">
        <f>+Tabla228[[#This Row],[PRECIO INSTALLER (CON IVA)]]*5%</f>
        <v>3573.1707317073178</v>
      </c>
      <c r="G28" s="11">
        <v>0.82</v>
      </c>
      <c r="H28" s="10">
        <f>MROUND(K28*1.19,200)</f>
        <v>58600</v>
      </c>
      <c r="I28" s="9"/>
      <c r="J28" s="9"/>
      <c r="K28" s="8">
        <v>49243.6</v>
      </c>
      <c r="L28" s="2" t="s">
        <v>2</v>
      </c>
      <c r="M28" s="2">
        <v>50400</v>
      </c>
    </row>
    <row r="29" spans="1:13" ht="15" x14ac:dyDescent="0.25">
      <c r="A29" s="15" t="s">
        <v>82</v>
      </c>
      <c r="B29" s="14" t="s">
        <v>84</v>
      </c>
      <c r="C29" s="13">
        <f>+Tabla228[[#This Row],[Columna6]]/Tabla228[[#This Row],[Columna5]]</f>
        <v>80487.804878048788</v>
      </c>
      <c r="D29" s="13">
        <f>+Tabla228[[#This Row],[PRECIO INSTALLER (CON IVA)]]-Tabla228[[#This Row],[Columna43]]</f>
        <v>76463.414634146349</v>
      </c>
      <c r="E29" s="13">
        <f>+Tabla228[[#This Row],[PRECIO INSTALLER (CON IVA)]]/0.7</f>
        <v>114982.57839721256</v>
      </c>
      <c r="F29" s="12">
        <f>+Tabla228[[#This Row],[PRECIO INSTALLER (CON IVA)]]*5%</f>
        <v>4024.3902439024396</v>
      </c>
      <c r="G29" s="11">
        <v>0.82</v>
      </c>
      <c r="H29" s="10">
        <f>MROUND(K29*1.19,200)</f>
        <v>66000</v>
      </c>
      <c r="I29" s="9"/>
      <c r="J29" s="9"/>
      <c r="K29" s="8">
        <v>55546</v>
      </c>
      <c r="L29" s="2" t="s">
        <v>2</v>
      </c>
      <c r="M29" s="2">
        <v>50400</v>
      </c>
    </row>
    <row r="30" spans="1:13" ht="15" x14ac:dyDescent="0.25">
      <c r="A30" s="15" t="s">
        <v>4</v>
      </c>
      <c r="B30" s="14" t="s">
        <v>3</v>
      </c>
      <c r="C30" s="13">
        <f>+Tabla228[[#This Row],[Columna6]]/Tabla228[[#This Row],[Columna5]]</f>
        <v>98780.487804878052</v>
      </c>
      <c r="D30" s="13">
        <f>+Tabla228[[#This Row],[PRECIO INSTALLER (CON IVA)]]-Tabla228[[#This Row],[Columna43]]</f>
        <v>93841.463414634141</v>
      </c>
      <c r="E30" s="13">
        <f>+Tabla228[[#This Row],[PRECIO INSTALLER (CON IVA)]]/0.7</f>
        <v>141114.98257839723</v>
      </c>
      <c r="F30" s="12">
        <f>+Tabla228[[#This Row],[PRECIO INSTALLER (CON IVA)]]*5%</f>
        <v>4939.0243902439033</v>
      </c>
      <c r="G30" s="11">
        <v>0.82</v>
      </c>
      <c r="H30" s="10">
        <f>MROUND(K30*1.19,200)</f>
        <v>81000</v>
      </c>
      <c r="I30" s="9"/>
      <c r="J30" s="9"/>
      <c r="K30" s="8">
        <v>68000</v>
      </c>
      <c r="L30" s="2" t="s">
        <v>2</v>
      </c>
      <c r="M30" s="2">
        <v>58600</v>
      </c>
    </row>
    <row r="31" spans="1:13" ht="15" x14ac:dyDescent="0.25">
      <c r="A31" s="15" t="s">
        <v>1</v>
      </c>
      <c r="B31" s="14" t="s">
        <v>0</v>
      </c>
      <c r="C31" s="13">
        <f>+Tabla228[[#This Row],[Columna6]]/Tabla228[[#This Row],[Columna5]]</f>
        <v>445121.95121951221</v>
      </c>
      <c r="D31" s="13">
        <f>+Tabla228[[#This Row],[PRECIO INSTALLER (CON IVA)]]-Tabla228[[#This Row],[Columna43]]</f>
        <v>422865.85365853657</v>
      </c>
      <c r="E31" s="13">
        <f>+Tabla228[[#This Row],[PRECIO INSTALLER (CON IVA)]]/0.7</f>
        <v>635888.5017421603</v>
      </c>
      <c r="F31" s="12">
        <f>+Tabla228[[#This Row],[PRECIO INSTALLER (CON IVA)]]*5%</f>
        <v>22256.097560975613</v>
      </c>
      <c r="G31" s="11">
        <v>0.82</v>
      </c>
      <c r="H31" s="10">
        <f>MROUND(K31*1.19,200)</f>
        <v>365000</v>
      </c>
      <c r="I31" s="9"/>
      <c r="J31" s="9"/>
      <c r="K31" s="8">
        <v>306800</v>
      </c>
      <c r="L31" s="2" t="s">
        <v>2</v>
      </c>
      <c r="M31" s="2">
        <v>80900</v>
      </c>
    </row>
    <row r="32" spans="1:13" ht="30" x14ac:dyDescent="0.25">
      <c r="A32" s="18" t="s">
        <v>32</v>
      </c>
      <c r="B32" s="14" t="s">
        <v>31</v>
      </c>
      <c r="C32" s="13">
        <f>+Tabla228[[#This Row],[Columna6]]/Tabla228[[#This Row],[Columna5]]</f>
        <v>349512.19512195123</v>
      </c>
      <c r="D32" s="13">
        <f>+Tabla228[[#This Row],[PRECIO INSTALLER (CON IVA)]]-Tabla228[[#This Row],[Columna43]]</f>
        <v>332036.58536585368</v>
      </c>
      <c r="E32" s="13">
        <f>+Tabla228[[#This Row],[PRECIO INSTALLER (CON IVA)]]/0.7</f>
        <v>499303.13588850177</v>
      </c>
      <c r="F32" s="12">
        <f>+Tabla228[[#This Row],[PRECIO INSTALLER (CON IVA)]]*5%</f>
        <v>17475.609756097561</v>
      </c>
      <c r="G32" s="11">
        <v>0.82</v>
      </c>
      <c r="H32" s="10">
        <f>MROUND(K32*1.19,200)</f>
        <v>286600</v>
      </c>
      <c r="I32" s="9"/>
      <c r="J32" s="9"/>
      <c r="K32" s="2">
        <v>240800</v>
      </c>
      <c r="L32" s="2">
        <v>1</v>
      </c>
      <c r="M32" s="2">
        <v>972000</v>
      </c>
    </row>
    <row r="33" spans="1:13" ht="30" x14ac:dyDescent="0.25">
      <c r="A33" s="18" t="s">
        <v>36</v>
      </c>
      <c r="B33" s="14" t="s">
        <v>35</v>
      </c>
      <c r="C33" s="13">
        <f>+Tabla228[[#This Row],[Columna6]]/Tabla228[[#This Row],[Columna5]]</f>
        <v>518780.4878048781</v>
      </c>
      <c r="D33" s="13">
        <f>+Tabla228[[#This Row],[PRECIO INSTALLER (CON IVA)]]-Tabla228[[#This Row],[Columna43]]</f>
        <v>492841.46341463417</v>
      </c>
      <c r="E33" s="13">
        <f>+Tabla228[[#This Row],[PRECIO INSTALLER (CON IVA)]]/0.7</f>
        <v>741114.98257839738</v>
      </c>
      <c r="F33" s="12">
        <f>+Tabla228[[#This Row],[PRECIO INSTALLER (CON IVA)]]*5%</f>
        <v>25939.024390243907</v>
      </c>
      <c r="G33" s="11">
        <v>0.82</v>
      </c>
      <c r="H33" s="10">
        <f>MROUND(K33*1.19,200)</f>
        <v>425400</v>
      </c>
      <c r="I33" s="9"/>
      <c r="J33" s="9"/>
      <c r="K33" s="19">
        <v>357479</v>
      </c>
      <c r="L33" s="2">
        <v>1</v>
      </c>
      <c r="M33" s="2">
        <v>815000</v>
      </c>
    </row>
    <row r="34" spans="1:13" ht="15" x14ac:dyDescent="0.25">
      <c r="A34" s="18" t="s">
        <v>40</v>
      </c>
      <c r="B34" s="14" t="s">
        <v>39</v>
      </c>
      <c r="C34" s="13">
        <f>+Tabla228[[#This Row],[Columna6]]/Tabla228[[#This Row],[Columna5]]</f>
        <v>564878.04878048785</v>
      </c>
      <c r="D34" s="13">
        <f>+Tabla228[[#This Row],[PRECIO INSTALLER (CON IVA)]]-Tabla228[[#This Row],[Columna43]]</f>
        <v>536634.14634146343</v>
      </c>
      <c r="E34" s="13">
        <f>+Tabla228[[#This Row],[PRECIO INSTALLER (CON IVA)]]/0.7</f>
        <v>806968.64111498266</v>
      </c>
      <c r="F34" s="12">
        <f>+Tabla228[[#This Row],[PRECIO INSTALLER (CON IVA)]]*5%</f>
        <v>28243.902439024394</v>
      </c>
      <c r="G34" s="11">
        <v>0.82</v>
      </c>
      <c r="H34" s="10">
        <f>MROUND(K34*1.19,200)</f>
        <v>463200</v>
      </c>
      <c r="I34" s="9"/>
      <c r="J34" s="9"/>
      <c r="K34" s="19">
        <v>389327.66665999999</v>
      </c>
      <c r="L34" s="2">
        <v>1</v>
      </c>
      <c r="M34" s="2">
        <v>58800</v>
      </c>
    </row>
    <row r="35" spans="1:13" ht="30" x14ac:dyDescent="0.25">
      <c r="A35" s="20" t="s">
        <v>38</v>
      </c>
      <c r="B35" s="14" t="s">
        <v>37</v>
      </c>
      <c r="C35" s="13">
        <f>+Tabla228[[#This Row],[Columna6]]/Tabla228[[#This Row],[Columna5]]</f>
        <v>704878.04878048785</v>
      </c>
      <c r="D35" s="13">
        <f>+Tabla228[[#This Row],[PRECIO INSTALLER (CON IVA)]]-Tabla228[[#This Row],[Columna43]]</f>
        <v>669634.14634146343</v>
      </c>
      <c r="E35" s="13">
        <f>+Tabla228[[#This Row],[PRECIO INSTALLER (CON IVA)]]/0.7</f>
        <v>1006968.6411149827</v>
      </c>
      <c r="F35" s="12">
        <f>+Tabla228[[#This Row],[PRECIO INSTALLER (CON IVA)]]*5%</f>
        <v>35243.902439024394</v>
      </c>
      <c r="G35" s="11">
        <v>0.82</v>
      </c>
      <c r="H35" s="10">
        <f>MROUND(K35*1.19,200)</f>
        <v>578000</v>
      </c>
      <c r="I35" s="22"/>
      <c r="J35" s="21"/>
      <c r="K35" s="19">
        <v>485714</v>
      </c>
      <c r="L35" s="2" t="s">
        <v>2</v>
      </c>
      <c r="M35" s="2">
        <v>463300</v>
      </c>
    </row>
    <row r="36" spans="1:13" ht="30" x14ac:dyDescent="0.25">
      <c r="A36" s="18" t="s">
        <v>34</v>
      </c>
      <c r="B36" s="14" t="s">
        <v>33</v>
      </c>
      <c r="C36" s="13">
        <f>+Tabla228[[#This Row],[Columna6]]/Tabla228[[#This Row],[Columna5]]</f>
        <v>920731.70731707325</v>
      </c>
      <c r="D36" s="13">
        <f>+Tabla228[[#This Row],[PRECIO INSTALLER (CON IVA)]]-Tabla228[[#This Row],[Columna43]]</f>
        <v>874695.12195121963</v>
      </c>
      <c r="E36" s="13">
        <f>+Tabla228[[#This Row],[PRECIO INSTALLER (CON IVA)]]/0.7</f>
        <v>1315331.0104529618</v>
      </c>
      <c r="F36" s="12">
        <f>+Tabla228[[#This Row],[PRECIO INSTALLER (CON IVA)]]*5%</f>
        <v>46036.585365853665</v>
      </c>
      <c r="G36" s="11">
        <v>0.82</v>
      </c>
      <c r="H36" s="10">
        <f>MROUND(K36*1.19,200)</f>
        <v>755000</v>
      </c>
      <c r="I36" s="9"/>
      <c r="J36" s="9"/>
      <c r="K36" s="19">
        <v>634391</v>
      </c>
      <c r="L36" s="2">
        <v>1</v>
      </c>
      <c r="M36" s="2">
        <v>638400</v>
      </c>
    </row>
    <row r="37" spans="1:13" ht="30" x14ac:dyDescent="0.25">
      <c r="A37" s="20" t="s">
        <v>30</v>
      </c>
      <c r="B37" s="14" t="s">
        <v>29</v>
      </c>
      <c r="C37" s="13">
        <f>+Tabla228[[#This Row],[Columna6]]/Tabla228[[#This Row],[Columna5]]</f>
        <v>1378048.7804878049</v>
      </c>
      <c r="D37" s="13">
        <f>+Tabla228[[#This Row],[PRECIO INSTALLER (CON IVA)]]-Tabla228[[#This Row],[Columna43]]</f>
        <v>1309146.3414634147</v>
      </c>
      <c r="E37" s="13">
        <f>+Tabla228[[#This Row],[PRECIO INSTALLER (CON IVA)]]/0.7</f>
        <v>1968641.1149825787</v>
      </c>
      <c r="F37" s="12">
        <f>+Tabla228[[#This Row],[PRECIO INSTALLER (CON IVA)]]*5%</f>
        <v>68902.439024390245</v>
      </c>
      <c r="G37" s="11">
        <v>0.82</v>
      </c>
      <c r="H37" s="10">
        <f>MROUND(K37*1.19,200)</f>
        <v>1130000</v>
      </c>
      <c r="I37" s="9"/>
      <c r="J37" s="9"/>
      <c r="K37" s="2">
        <v>949600</v>
      </c>
      <c r="L37" s="2">
        <v>1</v>
      </c>
      <c r="M37" s="2">
        <v>392350</v>
      </c>
    </row>
  </sheetData>
  <conditionalFormatting sqref="A1:E1">
    <cfRule type="duplicateValues" dxfId="3" priority="2"/>
  </conditionalFormatting>
  <conditionalFormatting sqref="K2 K7:K8 K32:K36 K10:K25">
    <cfRule type="containsErrors" dxfId="2" priority="4">
      <formula>ISERROR(K2)</formula>
    </cfRule>
  </conditionalFormatting>
  <conditionalFormatting sqref="A25">
    <cfRule type="duplicateValues" dxfId="1" priority="1"/>
  </conditionalFormatting>
  <conditionalFormatting sqref="A19">
    <cfRule type="duplicateValues" dxfId="0" priority="7"/>
  </conditionalFormatting>
  <pageMargins left="0.7" right="0.7" top="0.75" bottom="0.75" header="0.3" footer="0.3"/>
  <pageSetup paperSize="9" scale="62" orientation="portrait" r:id="rId1"/>
  <colBreaks count="1" manualBreakCount="1">
    <brk id="5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2026-08-27T19:04:18Z</cp:lastPrinted>
  <dcterms:created xsi:type="dcterms:W3CDTF">2026-08-27T17:37:14Z</dcterms:created>
  <dcterms:modified xsi:type="dcterms:W3CDTF">2026-08-27T19:05:14Z</dcterms:modified>
</cp:coreProperties>
</file>