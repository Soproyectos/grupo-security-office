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efe Compras\OneDrive\Documents\Desktop\LISTAS DE PRECIOS\listados grupo nuevo con formulas\LISTA PROVISIONAL DAÑO PLATAFORMA\LISTAS EMPRESA GRUPO\EXCEL\"/>
    </mc:Choice>
  </mc:AlternateContent>
  <xr:revisionPtr revIDLastSave="0" documentId="13_ncr:1_{25000C50-C4B3-45FB-93E4-899E64BB82F4}" xr6:coauthVersionLast="47" xr6:coauthVersionMax="47" xr10:uidLastSave="{00000000-0000-0000-0000-000000000000}"/>
  <bookViews>
    <workbookView xWindow="23880" yWindow="-120" windowWidth="21840" windowHeight="13140" xr2:uid="{C176BC96-EED0-4328-A260-C7F070ED5336}"/>
  </bookViews>
  <sheets>
    <sheet name="UBIQUITI - RUIJIE"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v" hidden="1">{"'ADV&amp;DP'!$A$4:$C$25"}</definedName>
    <definedName name="_??" hidden="1">{"'?????10.27??????'!$Q$16"}</definedName>
    <definedName name="_????" hidden="1">{"'?????10.27??????'!$Q$16"}</definedName>
    <definedName name="_?????" hidden="1">{"DCF-???",#N/A,TRUE,"???";"DCF-??",#N/A,TRUE,"??";"DCF-??",#N/A,TRUE,"??";"DCF-??",#N/A,TRUE,"??";"DCF-??",#N/A,TRUE,"??";"DCF-??",#N/A,TRUE,"??";"DCF-??",#N/A,TRUE,"??";"DCF-??",#N/A,TRUE,"??";"DCF-??",#N/A,TRUE,"??"}</definedName>
    <definedName name="_??????" hidden="1">{"'?????10.27??????'!$Q$16"}</definedName>
    <definedName name="_??06" hidden="1">{"'?????10.27??????'!$Q$16"}</definedName>
    <definedName name="_?16??" hidden="1">{"'????'!$A$1:$C$37"}</definedName>
    <definedName name="________o1" hidden="1">{#N/A,#N/A,FALSE,"SUMMARY";#N/A,#N/A,FALSE,"mcsh";#N/A,#N/A,FALSE,"vol&amp;rev";#N/A,#N/A,FALSE,"wkgcap";#N/A,#N/A,FALSE,"DEPR&amp;DT";#N/A,#N/A,FALSE,"ASSETS";#N/A,#N/A,FALSE,"NI&amp;OTH&amp;DIV";#N/A,#N/A,FALSE,"CASHFLOW";#N/A,#N/A,FALSE,"CAPEMPL";#N/A,#N/A,FALSE,"ROCE"}</definedName>
    <definedName name="_______DF4" hidden="1">#REF!</definedName>
    <definedName name="______DF4" hidden="1">#REF!</definedName>
    <definedName name="______o1" hidden="1">{#N/A,#N/A,FALSE,"SUMMARY";#N/A,#N/A,FALSE,"mcsh";#N/A,#N/A,FALSE,"vol&amp;rev";#N/A,#N/A,FALSE,"wkgcap";#N/A,#N/A,FALSE,"DEPR&amp;DT";#N/A,#N/A,FALSE,"ASSETS";#N/A,#N/A,FALSE,"NI&amp;OTH&amp;DIV";#N/A,#N/A,FALSE,"CASHFLOW";#N/A,#N/A,FALSE,"CAPEMPL";#N/A,#N/A,FALSE,"ROCE"}</definedName>
    <definedName name="_____DF4" hidden="1">#REF!</definedName>
    <definedName name="_____o1" hidden="1">{#N/A,#N/A,FALSE,"SUMMARY";#N/A,#N/A,FALSE,"mcsh";#N/A,#N/A,FALSE,"vol&amp;rev";#N/A,#N/A,FALSE,"wkgcap";#N/A,#N/A,FALSE,"DEPR&amp;DT";#N/A,#N/A,FALSE,"ASSETS";#N/A,#N/A,FALSE,"NI&amp;OTH&amp;DIV";#N/A,#N/A,FALSE,"CASHFLOW";#N/A,#N/A,FALSE,"CAPEMPL";#N/A,#N/A,FALSE,"ROCE"}</definedName>
    <definedName name="____DF4" hidden="1">#REF!</definedName>
    <definedName name="____o1" hidden="1">{#N/A,#N/A,FALSE,"SUMMARY";#N/A,#N/A,FALSE,"mcsh";#N/A,#N/A,FALSE,"vol&amp;rev";#N/A,#N/A,FALSE,"wkgcap";#N/A,#N/A,FALSE,"DEPR&amp;DT";#N/A,#N/A,FALSE,"ASSETS";#N/A,#N/A,FALSE,"NI&amp;OTH&amp;DIV";#N/A,#N/A,FALSE,"CASHFLOW";#N/A,#N/A,FALSE,"CAPEMPL";#N/A,#N/A,FALSE,"ROCE"}</definedName>
    <definedName name="___DF4" hidden="1">#REF!</definedName>
    <definedName name="___o1" hidden="1">{#N/A,#N/A,FALSE,"SUMMARY";#N/A,#N/A,FALSE,"mcsh";#N/A,#N/A,FALSE,"vol&amp;rev";#N/A,#N/A,FALSE,"wkgcap";#N/A,#N/A,FALSE,"DEPR&amp;DT";#N/A,#N/A,FALSE,"ASSETS";#N/A,#N/A,FALSE,"NI&amp;OTH&amp;DIV";#N/A,#N/A,FALSE,"CASHFLOW";#N/A,#N/A,FALSE,"CAPEMPL";#N/A,#N/A,FALSE,"ROCE"}</definedName>
    <definedName name="__123Graph_A" hidden="1">[1]Pub!$H$13:$H$83</definedName>
    <definedName name="__123Graph_B" hidden="1">[1]Pub!$I$13:$I$83</definedName>
    <definedName name="__123Graph_C" hidden="1">[1]Pub!$J$13:$J$83</definedName>
    <definedName name="__123Graph_D" hidden="1">[1]Pub!$K$13:$K$83</definedName>
    <definedName name="__123Graph_E" hidden="1">[1]Pub!#REF!</definedName>
    <definedName name="__123Graph_F" hidden="1">[1]Pub!$L$13:$L$83</definedName>
    <definedName name="__123Graph_X" hidden="1">[1]Pub!$G$13:$G$83</definedName>
    <definedName name="__DF4" hidden="1">#REF!</definedName>
    <definedName name="__FDS_HYPERLINK_TOGGLE_STATE__" hidden="1">"ON"</definedName>
    <definedName name="__o1" hidden="1">{#N/A,#N/A,FALSE,"SUMMARY";#N/A,#N/A,FALSE,"mcsh";#N/A,#N/A,FALSE,"vol&amp;rev";#N/A,#N/A,FALSE,"wkgcap";#N/A,#N/A,FALSE,"DEPR&amp;DT";#N/A,#N/A,FALSE,"ASSETS";#N/A,#N/A,FALSE,"NI&amp;OTH&amp;DIV";#N/A,#N/A,FALSE,"CASHFLOW";#N/A,#N/A,FALSE,"CAPEMPL";#N/A,#N/A,FALSE,"ROCE"}</definedName>
    <definedName name="_1____123Graph_AMOF_NB" hidden="1">[2]計算過程シート!#REF!</definedName>
    <definedName name="_1__123Graph_ACHART_1" hidden="1">'[3]Historical IS'!#REF!</definedName>
    <definedName name="_1__123Graph_AIRR_IRR" hidden="1">#REF!</definedName>
    <definedName name="_10___123Graph_XIRR_IRR" hidden="1">#REF!</definedName>
    <definedName name="_10__123Graph_ACHART_16" hidden="1">[4]engineering!$Q$49:$S$49</definedName>
    <definedName name="_10__123Graph_CCHART_3" hidden="1">'[3]Historical IS'!#REF!</definedName>
    <definedName name="_103__123Graph_Cｸﾞﾗﾌ_1" hidden="1">#REF!</definedName>
    <definedName name="_104__123Graph_Dｸﾞﾗﾌ_1" hidden="1">#REF!</definedName>
    <definedName name="_105__123Graph_XIRR_IRR" hidden="1">#REF!</definedName>
    <definedName name="_106__123Graph_XMOF_NB" hidden="1">#REF!</definedName>
    <definedName name="_11___123Graph_XMOF_NB" hidden="1">#REF!</definedName>
    <definedName name="_11__123Graph_ACHART_17" hidden="1">[4]revenue!$P$77:$R$77</definedName>
    <definedName name="_11__123Graph_CCHART_8" hidden="1">'[3]Historical IS'!#REF!</definedName>
    <definedName name="_12__123Graph_ACHART_18" hidden="1">[4]revenue!$P$82:$R$82</definedName>
    <definedName name="_12__123Graph_AIRR_IRR" hidden="1">#REF!</definedName>
    <definedName name="_12__123Graph_DCHART_1" hidden="1">'[3]Historical IS'!#REF!</definedName>
    <definedName name="_13__123Graph_ACHART_19" hidden="1">[4]sga!$P$7:$R$7</definedName>
    <definedName name="_13__123Graph_AMOF_NB" hidden="1">[2]計算過程シート!#REF!</definedName>
    <definedName name="_13__123Graph_DCHART_8" hidden="1">'[3]Historical IS'!#REF!</definedName>
    <definedName name="_131__123Graph_Xｸﾞﾗﾌ_1" hidden="1">#REF!</definedName>
    <definedName name="_14__123Graph_A????_1" hidden="1">#REF!</definedName>
    <definedName name="_14__123Graph_ACHART_2" hidden="1">#REF!</definedName>
    <definedName name="_14__123Graph_Aｸﾞﾗﾌ_1" hidden="1">#REF!</definedName>
    <definedName name="_14__123Graph_LBL_ACHART_3" hidden="1">'[3]Historical IS'!#REF!</definedName>
    <definedName name="_15__123Graph_ACHART_20" hidden="1">[4]sga!$P$10:$R$10</definedName>
    <definedName name="_15__123Graph_BIRR_IRR" hidden="1">#REF!</definedName>
    <definedName name="_15__123Graph_LBL_ACHART_4" hidden="1">'[3]Historical IS'!#REF!</definedName>
    <definedName name="_16__123Graph_ACHART_3" hidden="1">#REF!</definedName>
    <definedName name="_16__123Graph_BMOF_NB" hidden="1">#REF!</definedName>
    <definedName name="_16__123Graph_LBL_BCHART_3" hidden="1">'[3]Historical IS'!#REF!</definedName>
    <definedName name="_17__123Graph_ACHART_4" hidden="1">#REF!</definedName>
    <definedName name="_17__123Graph_B????_1" hidden="1">#REF!</definedName>
    <definedName name="_17__123Graph_Bｸﾞﾗﾌ_1" hidden="1">#REF!</definedName>
    <definedName name="_17__123Graph_LBL_BCHART_4" hidden="1">'[3]Historical IS'!#REF!</definedName>
    <definedName name="_18__123Graph_ACHART_5" hidden="1">#REF!</definedName>
    <definedName name="_18__123Graph_C????_1" hidden="1">#REF!</definedName>
    <definedName name="_18__123Graph_Cｸﾞﾗﾌ_1" hidden="1">#REF!</definedName>
    <definedName name="_18__123Graph_LBL_CCHART_3" hidden="1">'[3]Historical IS'!#REF!</definedName>
    <definedName name="_19__123Graph_ACHART_6" hidden="1">#REF!</definedName>
    <definedName name="_19__123Graph_D????_1" hidden="1">#REF!</definedName>
    <definedName name="_19__123Graph_Dｸﾞﾗﾌ_1" hidden="1">#REF!</definedName>
    <definedName name="_19__123Graph_XCHART_1" hidden="1">'[3]Historical IS'!#REF!</definedName>
    <definedName name="_2_??" hidden="1">{"'?????10.27??????'!$Q$16"}</definedName>
    <definedName name="_2____123Graph_A????_1" hidden="1">#REF!</definedName>
    <definedName name="_2____123Graph_Aｸﾞﾗﾌ_1" hidden="1">#REF!</definedName>
    <definedName name="_2__123Graph_ACHART_3" hidden="1">'[3]Historical IS'!#REF!</definedName>
    <definedName name="_20__123Graph_ACHART_7" hidden="1">#REF!</definedName>
    <definedName name="_20__123Graph_XCHART_3" hidden="1">'[3]Historical IS'!#REF!</definedName>
    <definedName name="_20__123Graph_XIRR_IRR" hidden="1">#REF!</definedName>
    <definedName name="_21__123Graph_ACHART_8" hidden="1">#REF!</definedName>
    <definedName name="_21__123Graph_XCHART_4" hidden="1">'[3]Historical IS'!#REF!</definedName>
    <definedName name="_21__123Graph_XMOF_NB" hidden="1">#REF!</definedName>
    <definedName name="_22__123Graph_ACHART_9" hidden="1">#REF!</definedName>
    <definedName name="_22__123Graph_X????_1" hidden="1">#REF!</definedName>
    <definedName name="_22__123Graph_XCHART_8" hidden="1">'[3]Historical IS'!#REF!</definedName>
    <definedName name="_22__123Graph_Xｸﾞﾗﾌ_1" hidden="1">#REF!</definedName>
    <definedName name="_23__123Graph_BCHART_1" hidden="1">#REF!</definedName>
    <definedName name="_24__123Graph_BCHART_11" hidden="1">#REF!</definedName>
    <definedName name="_25__123Graph_BCHART_12" hidden="1">#REF!</definedName>
    <definedName name="_26__123Graph_AMOF_NB" hidden="1">[2]計算過程シート!#REF!</definedName>
    <definedName name="_26__123Graph_BCHART_13" hidden="1">[4]engineering!$Q$42:$W$42</definedName>
    <definedName name="_27__123Graph_BCHART_14" hidden="1">[4]engineering!$Q$46:$W$46</definedName>
    <definedName name="_28__123Graph_BCHART_15" hidden="1">#REF!</definedName>
    <definedName name="_29__123Graph_BCHART_16" hidden="1">[4]engineering!$Q$50:$S$50</definedName>
    <definedName name="_3____123Graph_B????_1" hidden="1">#REF!</definedName>
    <definedName name="_3____123Graph_Bｸﾞﾗﾌ_1" hidden="1">#REF!</definedName>
    <definedName name="_3__123Graph_ACHART_1" hidden="1">#REF!</definedName>
    <definedName name="_3__123Graph_ACHART_4" hidden="1">'[3]Historical IS'!#REF!</definedName>
    <definedName name="_30__123Graph_BCHART_17" hidden="1">[4]revenue!$P$78:$R$78</definedName>
    <definedName name="_31__123Graph_BCHART_2" hidden="1">#REF!</definedName>
    <definedName name="_32__123Graph_BCHART_20" hidden="1">[4]sga!$P$11:$R$11</definedName>
    <definedName name="_33__123Graph_BCHART_3" hidden="1">[4]revenue!$P$10:$R$10</definedName>
    <definedName name="_34__123Graph_BCHART_6" hidden="1">#REF!</definedName>
    <definedName name="_35__123Graph_BCHART_7" hidden="1">[4]revenue!$P$45:$R$45</definedName>
    <definedName name="_36_??06" hidden="1">{"'?????10.27??????'!$Q$16"}</definedName>
    <definedName name="_36__123Graph_BCHART_8" hidden="1">#REF!</definedName>
    <definedName name="_37__123Graph_BCHART_9" hidden="1">[4]engineering!$P$7:$T$7</definedName>
    <definedName name="_38__123Graph_CCHART_1" hidden="1">#REF!</definedName>
    <definedName name="_39__123Graph_CCHART_11" hidden="1">[4]engineering!$P$16:$T$16</definedName>
    <definedName name="_4____123Graph_C????_1" hidden="1">#REF!</definedName>
    <definedName name="_4____123Graph_Cｸﾞﾗﾌ_1" hidden="1">#REF!</definedName>
    <definedName name="_4__123Graph_ACHART_10" hidden="1">#REF!</definedName>
    <definedName name="_4__123Graph_ACHART_8" hidden="1">'[3]Historical IS'!#REF!</definedName>
    <definedName name="_40__123Graph_CCHART_12" hidden="1">#REF!</definedName>
    <definedName name="_41__123Graph_CCHART_2" hidden="1">#REF!</definedName>
    <definedName name="_42__123Graph_CCHART_20" hidden="1">[4]sga!$P$12:$R$12</definedName>
    <definedName name="_43__123Graph_CCHART_7" hidden="1">[4]revenue!$P$46:$R$46</definedName>
    <definedName name="_44__123Graph_CCHART_8" hidden="1">#REF!</definedName>
    <definedName name="_45__123Graph_DCHART_1" hidden="1">#REF!</definedName>
    <definedName name="_46__123Graph_DCHART_12" hidden="1">#REF!</definedName>
    <definedName name="_47__123Graph_DCHART_2" hidden="1">#REF!</definedName>
    <definedName name="_48__123Graph_DCHART_8" hidden="1">#REF!</definedName>
    <definedName name="_49__123Graph_ECHART_12" hidden="1">#REF!</definedName>
    <definedName name="_5____123Graph_X????_1" hidden="1">#REF!</definedName>
    <definedName name="_5____123Graph_Xｸﾞﾗﾌ_1" hidden="1">#REF!</definedName>
    <definedName name="_5__123Graph_ACHART_11" hidden="1">#REF!</definedName>
    <definedName name="_5__123Graph_BCHART_1" hidden="1">'[3]Historical IS'!#REF!</definedName>
    <definedName name="_50__123Graph_ECHART_2" hidden="1">#REF!</definedName>
    <definedName name="_51__123Graph_Aｸﾞﾗﾌ_1" hidden="1">#REF!</definedName>
    <definedName name="_51__123Graph_ECHART_8" hidden="1">#REF!</definedName>
    <definedName name="_52__123Graph_BIRR_IRR" hidden="1">#REF!</definedName>
    <definedName name="_52__123Graph_FCHART_1" hidden="1">#REF!</definedName>
    <definedName name="_53__123Graph_BMOF_NB" hidden="1">#REF!</definedName>
    <definedName name="_53__123Graph_XCHART_10" hidden="1">#REF!</definedName>
    <definedName name="_54__123Graph_XCHART_11" hidden="1">#REF!</definedName>
    <definedName name="_55__123Graph_XCHART_12" hidden="1">#REF!</definedName>
    <definedName name="_56__123Graph_XCHART_13" hidden="1">#REF!</definedName>
    <definedName name="_57__123Graph_XCHART_14" hidden="1">#REF!</definedName>
    <definedName name="_58__123Graph_XCHART_15" hidden="1">#REF!</definedName>
    <definedName name="_59__123Graph_XCHART_16" hidden="1">[4]engineering!$Q$48:$S$48</definedName>
    <definedName name="_6___123Graph_AIRR_IRR" hidden="1">#REF!</definedName>
    <definedName name="_6__123Graph_ACHART_12" hidden="1">#REF!</definedName>
    <definedName name="_6__123Graph_BCHART_3" hidden="1">'[3]Historical IS'!#REF!</definedName>
    <definedName name="_60__123Graph_XCHART_18" hidden="1">[4]revenue!$P$81:$R$81</definedName>
    <definedName name="_61__123Graph_XCHART_2" hidden="1">#REF!</definedName>
    <definedName name="_62__123Graph_XCHART_20" hidden="1">[4]sga!$P$9:$R$9</definedName>
    <definedName name="_63__123Graph_XCHART_3" hidden="1">#REF!</definedName>
    <definedName name="_64__123Graph_XCHART_4" hidden="1">#REF!</definedName>
    <definedName name="_65__123Graph_XCHART_5" hidden="1">#REF!</definedName>
    <definedName name="_66__123Graph_XCHART_6" hidden="1">#REF!</definedName>
    <definedName name="_67__123Graph_XCHART_7" hidden="1">#REF!</definedName>
    <definedName name="_68_?16??" hidden="1">{"'????'!$A$1:$C$37"}</definedName>
    <definedName name="_68__123Graph_XCHART_8" hidden="1">#REF!</definedName>
    <definedName name="_69__123Graph_XCHART_9" hidden="1">#REF!</definedName>
    <definedName name="_7_????" hidden="1">{"'?????10.27??????'!$Q$16"}</definedName>
    <definedName name="_7___123Graph_BIRR_IRR" hidden="1">#REF!</definedName>
    <definedName name="_7__123Graph_ACHART_13" hidden="1">#REF!</definedName>
    <definedName name="_7__123Graph_BCHART_4" hidden="1">'[3]Historical IS'!#REF!</definedName>
    <definedName name="_78__123Graph_Bｸﾞﾗﾌ_1" hidden="1">#REF!</definedName>
    <definedName name="_8_?????" hidden="1">{"DCF-???",#N/A,TRUE,"???";"DCF-??",#N/A,TRUE,"??";"DCF-??",#N/A,TRUE,"??";"DCF-??",#N/A,TRUE,"??";"DCF-??",#N/A,TRUE,"??";"DCF-??",#N/A,TRUE,"??";"DCF-??",#N/A,TRUE,"??";"DCF-??",#N/A,TRUE,"??";"DCF-??",#N/A,TRUE,"??"}</definedName>
    <definedName name="_8___123Graph_BMOF_NB" hidden="1">#REF!</definedName>
    <definedName name="_8__123Graph_ACHART_14" hidden="1">#REF!</definedName>
    <definedName name="_8__123Graph_BCHART_8" hidden="1">'[3]Historical IS'!#REF!</definedName>
    <definedName name="_9_??????" hidden="1">{"'?????10.27??????'!$Q$16"}</definedName>
    <definedName name="_9___123Graph_D????_1" hidden="1">#REF!</definedName>
    <definedName name="_9___123Graph_Dｸﾞﾗﾌ_1" hidden="1">#REF!</definedName>
    <definedName name="_9__123Graph_ACHART_15" hidden="1">#REF!</definedName>
    <definedName name="_9__123Graph_CCHART_1" hidden="1">'[3]Historical IS'!#REF!</definedName>
    <definedName name="_DF4" hidden="1">#REF!</definedName>
    <definedName name="_Fill" hidden="1">#REF!</definedName>
    <definedName name="_xlnm._FilterDatabase" hidden="1">'[5]46W9'!#REF!</definedName>
    <definedName name="_Key2" hidden="1">#REF!</definedName>
    <definedName name="_o1" hidden="1">{#N/A,#N/A,FALSE,"SUMMARY";#N/A,#N/A,FALSE,"mcsh";#N/A,#N/A,FALSE,"vol&amp;rev";#N/A,#N/A,FALSE,"wkgcap";#N/A,#N/A,FALSE,"DEPR&amp;DT";#N/A,#N/A,FALSE,"ASSETS";#N/A,#N/A,FALSE,"NI&amp;OTH&amp;DIV";#N/A,#N/A,FALSE,"CASHFLOW";#N/A,#N/A,FALSE,"CAPEMPL";#N/A,#N/A,FALSE,"ROCE"}</definedName>
    <definedName name="_Order1" hidden="1">255</definedName>
    <definedName name="_Order2" hidden="1">255</definedName>
    <definedName name="a" hidden="1">{#N/A,#N/A,FALSE,"TOTFINAL";#N/A,#N/A,FALSE,"FINPLAN";#N/A,#N/A,FALSE,"TOTMOTADJ";#N/A,#N/A,FALSE,"tieEQ";#N/A,#N/A,FALSE,"G";#N/A,#N/A,FALSE,"ELIMS";#N/A,#N/A,FALSE,"NEXTEL ADJ";#N/A,#N/A,FALSE,"MIMS";#N/A,#N/A,FALSE,"LMPS";#N/A,#N/A,FALSE,"CNSS";#N/A,#N/A,FALSE,"CSS";#N/A,#N/A,FALSE,"MCG";#N/A,#N/A,FALSE,"AECS";#N/A,#N/A,FALSE,"SPS";#N/A,#N/A,FALSE,"CORP"}</definedName>
    <definedName name="ando" hidden="1">{"'下期集計（10.27迄・速報値）'!$Q$16"}</definedName>
    <definedName name="anscount" hidden="1">3</definedName>
    <definedName name="_xlnm.Print_Area" localSheetId="0">Tabla131[[#All],[REFERENCIA]:[PRECIO CLIENTE FINAL (CON IVA)]]</definedName>
    <definedName name="AS2DocOpenMode" hidden="1">"AS2DocumentEdit"</definedName>
    <definedName name="AS2HasNoAutoHeaderFooter" hidden="1">" "</definedName>
    <definedName name="asdf" hidden="1">{"'年間台数'!$A$1:$K$20","'中古車登録台数'!$A$1:$I$39"}</definedName>
    <definedName name="BLPH1" hidden="1">'[6]Data sheet'!$A$4</definedName>
    <definedName name="BLPH10" hidden="1">'[6]Data sheet'!$AB$4</definedName>
    <definedName name="BLPH11" hidden="1">'[6]Data sheet'!$AE$4</definedName>
    <definedName name="BLPH12" hidden="1">'[6]Data sheet'!$AH$4</definedName>
    <definedName name="BLPH2" hidden="1">'[6]Data sheet'!$D$4</definedName>
    <definedName name="BLPH3" hidden="1">'[6]Data sheet'!$G$4</definedName>
    <definedName name="BLPH4" hidden="1">'[6]Data sheet'!$J$4</definedName>
    <definedName name="BLPH5" hidden="1">'[6]Data sheet'!$M$4</definedName>
    <definedName name="BLPH6" hidden="1">'[6]Data sheet'!$P$4</definedName>
    <definedName name="BLPH7" hidden="1">'[6]Data sheet'!$S$4</definedName>
    <definedName name="BLPH8" hidden="1">'[6]Data sheet'!$V$4</definedName>
    <definedName name="BLPH9" hidden="1">'[6]Data sheet'!$Y$4</definedName>
    <definedName name="Bridge" hidden="1">{"'Highlights'!$A$1:$M$123"}</definedName>
    <definedName name="CARLOS" hidden="1">{#N/A,#N/A,TRUE,"A"}</definedName>
    <definedName name="cb_sChartE2218BA_opts" hidden="1">"1, 4, 1, False, 2, False, False, , 0, False, True, 1, 1"</definedName>
    <definedName name="cb_sChartE221ADA_opts" hidden="1">"1, 5, 1, False, 2, False, False, , 0, False, False, 1, 1"</definedName>
    <definedName name="CBWorkbookPriority" hidden="1">-61538533</definedName>
    <definedName name="chiho" hidden="1">{"'下期集計（10.27迄・速報値）'!$Q$16"}</definedName>
    <definedName name="cover" hidden="1">#REF!</definedName>
    <definedName name="efg" hidden="1">{#N/A,#N/A,TRUE,"A"}</definedName>
    <definedName name="fds" hidden="1">{"'下期集計（10.27迄・速報値）'!$Q$16"}</definedName>
    <definedName name="ｇ" hidden="1">{"'下期集計（10.27迄・速報値）'!$Q$16"}</definedName>
    <definedName name="gd" hidden="1">{"'下期集計（10.27迄・速報値）'!$Q$16"}</definedName>
    <definedName name="gda" hidden="1">{"'下期集計（10.27迄・速報値）'!$Q$16"}</definedName>
    <definedName name="gdsa" hidden="1">{"'下期集計（10.27迄・速報値）'!$Q$16"}</definedName>
    <definedName name="gh" hidden="1">{"'Highlights'!$A$1:$M$123"}</definedName>
    <definedName name="ｈ" hidden="1">{"'下期集計（10.27迄・速報値）'!$Q$16"}</definedName>
    <definedName name="H16?1??" hidden="1">{"'????'!$A$1:$C$37"}</definedName>
    <definedName name="Ｈ16・１" hidden="1">{"'コメント'!$A$1:$C$37"}</definedName>
    <definedName name="H16･1速報" hidden="1">{"'コメント'!$A$1:$C$37"}</definedName>
    <definedName name="HTM_Control" hidden="1">{"'下期集計（10.27迄・速報値）'!$Q$16"}</definedName>
    <definedName name="ＨＴＭＬ" hidden="1">{"'コメント'!$A$1:$C$37"}</definedName>
    <definedName name="HTML_CodePage" hidden="1">1252</definedName>
    <definedName name="HTML_Control" hidden="1">{"'Highlights'!$A$1:$M$123"}</definedName>
    <definedName name="HTML_Description" hidden="1">""</definedName>
    <definedName name="HTML_Email" hidden="1">"scottt@phx.mcd.mot.com"</definedName>
    <definedName name="HTML_Header" hidden="1">"Highlights"</definedName>
    <definedName name="HTML_LastUpdate" hidden="1">"6/24/97"</definedName>
    <definedName name="HTML_LineAfter" hidden="1">FALSE</definedName>
    <definedName name="HTML_LineBefore" hidden="1">TRUE</definedName>
    <definedName name="HTML_Name" hidden="1">"Scott Traasdahl"</definedName>
    <definedName name="HTML_OBDlg2" hidden="1">TRUE</definedName>
    <definedName name="HTML_OBDlg4" hidden="1">TRUE</definedName>
    <definedName name="HTML_OS" hidden="1">0</definedName>
    <definedName name="HTML_PathFile" hidden="1">"H:\scottt\Analysis\Ops Review\MyHTML.htm"</definedName>
    <definedName name="HTML_Title" hidden="1">"97JunOpsRvw"</definedName>
    <definedName name="hyousi" hidden="1">#REF!</definedName>
    <definedName name="INDICADOR_COLUMNA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DUSTRY_REC" hidden="1">"c4455"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"c3460"</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FLOW_ACT_OR_EST" hidden="1">"c4154"</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GW_ACT_OR_EST" hidden="1">"c4320"</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SBC_ACT_OR_EST" hidden="1">"c4350"</definedName>
    <definedName name="IQ_EBT_SBC_GW_ACT_OR_EST" hidden="1">"c4354"</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UM_EST" hidden="1">"c402"</definedName>
    <definedName name="IQ_EPS_NUM_EST_REUT" hidden="1">"c5451"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DJ_ACT_OR_EST" hidden="1">"c4435"</definedName>
    <definedName name="IQ_FFO_PAYOUT_RATIO" hidden="1">"c3492"</definedName>
    <definedName name="IQ_FFO_SHARE_ACT_OR_EST" hidden="1">"c4446"</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_TARGET_PRICE_REUT" hidden="1">"c5317"</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40809.7705439815</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BC_ACT_OR_EST" hidden="1">"c4474"</definedName>
    <definedName name="IQ_NI_SBC_GW_ACT_OR_EST" hidden="1">"c4478"</definedName>
    <definedName name="IQ_NI_SFAS" hidden="1">"c795"</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SHARE_ACT_OR_EST" hidden="1">"c4508"</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39482.4188773148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i" hidden="1">{"'Highlights'!$A$1:$M$123"}</definedName>
    <definedName name="k" hidden="1">{"'下期集計（10.27迄・速報値）'!$Q$16"}</definedName>
    <definedName name="kjh" hidden="1">{#N/A,#N/A,TRUE,"A"}</definedName>
    <definedName name="kjl" hidden="1">{#N/A,#N/A,FALSE,"TOTFINAL";#N/A,#N/A,FALSE,"FINPLAN";#N/A,#N/A,FALSE,"TOTMOTADJ";#N/A,#N/A,FALSE,"tieEQ";#N/A,#N/A,FALSE,"G";#N/A,#N/A,FALSE,"ELIMS";#N/A,#N/A,FALSE,"NEXTEL ADJ";#N/A,#N/A,FALSE,"MIMS";#N/A,#N/A,FALSE,"LMPS";#N/A,#N/A,FALSE,"CNSS";#N/A,#N/A,FALSE,"CSS";#N/A,#N/A,FALSE,"MCG";#N/A,#N/A,FALSE,"AECS";#N/A,#N/A,FALSE,"SPS";#N/A,#N/A,FALSE,"CORP"}</definedName>
    <definedName name="kk" hidden="1">{"'下期集計（10.27迄・速報値）'!$Q$16"}</definedName>
    <definedName name="kkk" hidden="1">{"'下期集計（10.27迄・速報値）'!$Q$16"}</definedName>
    <definedName name="lio" hidden="1">{#N/A,#N/A,TRUE,"A"}</definedName>
    <definedName name="LISTA">#REF!</definedName>
    <definedName name="ListOffset" hidden="1">1</definedName>
    <definedName name="MBAS" hidden="1">{"'ADV&amp;DP'!$A$4:$C$25"}</definedName>
    <definedName name="mbs" hidden="1">{"'ADV&amp;DP'!$A$4:$C$25"}</definedName>
    <definedName name="MKK" hidden="1">{"'下期集計（10.27迄・速報値）'!$Q$16"}</definedName>
    <definedName name="mmm" hidden="1">{"'ADV&amp;DP'!$A$4:$C$25"}</definedName>
    <definedName name="MOBILE" hidden="1">{"'ADV&amp;DP'!$A$4:$C$25"}</definedName>
    <definedName name="n" hidden="1">{"'下期集計（10.27迄・速報値）'!$Q$16"}</definedName>
    <definedName name="new" hidden="1">{"'Highlights'!$A$1:$M$123"}</definedName>
    <definedName name="nm" hidden="1">{#N/A,#N/A,TRUE,"A"}</definedName>
    <definedName name="ñlo" hidden="1">{#N/A,#N/A,TRUE,"A"}</definedName>
    <definedName name="ñp" hidden="1">{#N/A,#N/A,TRUE,"A"}</definedName>
    <definedName name="oi" hidden="1">{#N/A,#N/A,TRUE,"A"}</definedName>
    <definedName name="ok" hidden="1">{"'Highlights'!$A$1:$M$123"}</definedName>
    <definedName name="PANELES">#REF!</definedName>
    <definedName name="piu" hidden="1">{#N/A,#N/A,TRUE,"A"}</definedName>
    <definedName name="plo" hidden="1">{#N/A,#N/A,TRUE,"A"}</definedName>
    <definedName name="po" hidden="1">{#N/A,#N/A,TRUE,"A"}</definedName>
    <definedName name="PTSB" hidden="1">{"'Highlights'!$A$1:$M$123"}</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w" hidden="1">{"'下期集計（10.27迄・速報値）'!$Q$16"}</definedName>
    <definedName name="ＲＡＲＯＡ" hidden="1">{"'下期集計（10.27迄・速報値）'!$Q$16"}</definedName>
    <definedName name="RETENCION">'[7]Cálculo LPVta Cambium'!$AA$4</definedName>
    <definedName name="rfg" hidden="1">{#N/A,#N/A,TRUE,"A"}</definedName>
    <definedName name="SAPBEXdnldView" hidden="1">"4X7PHJJ3EF70UJ33CI6YVQIOV"</definedName>
    <definedName name="SAPBEXsysID" hidden="1">"PBK"</definedName>
    <definedName name="SCOG" hidden="1">{"'ADV&amp;DP'!$A$4:$C$25"}</definedName>
    <definedName name="sencount" hidden="1">1</definedName>
    <definedName name="sfgasd" hidden="1">{0,0,0,0;0,0,0,0;0,0,0,0;0,0,0,0;0,0,0,0;0,0,0,0;0,0,2,0;2,3,3,0;FALSE,FALSE,FALSE,FALSE;TRUE,FALSE,TRUE,TRUE;FALSE,FALSE,TRUE,TRUE;FALSE,0,2.78134444564786E-308,4.45015196281921E-308;7.78776275135711E-308,1.33504516457612E-307,2.22507555776164E-307,3.56012157274209E-307}</definedName>
    <definedName name="solver_adj" hidden="1">#REF!</definedName>
    <definedName name="solver_lin" hidden="1">0</definedName>
    <definedName name="solver_num" hidden="1">0</definedName>
    <definedName name="solver_opt" hidden="1">#REF!</definedName>
    <definedName name="solver_typ" hidden="1">3</definedName>
    <definedName name="solver_val" hidden="1">0.6</definedName>
    <definedName name="stp">[8]Resumen_Inv!$I$66</definedName>
    <definedName name="t" hidden="1">{"'下期集計（10.27迄・速報値）'!$Q$16"}</definedName>
    <definedName name="tyh" hidden="1">{#N/A,#N/A,TRUE,"A"}</definedName>
    <definedName name="v" hidden="1">{#N/A,#N/A,FALSE,"TOTFINAL";#N/A,#N/A,FALSE,"FINPLAN";#N/A,#N/A,FALSE,"TOTMOTADJ";#N/A,#N/A,FALSE,"tieEQ";#N/A,#N/A,FALSE,"G";#N/A,#N/A,FALSE,"ELIMS";#N/A,#N/A,FALSE,"NEXTEL ADJ";#N/A,#N/A,FALSE,"MIMS";#N/A,#N/A,FALSE,"LMPS";#N/A,#N/A,FALSE,"CNSS";#N/A,#N/A,FALSE,"CSS";#N/A,#N/A,FALSE,"MCG";#N/A,#N/A,FALSE,"AECS";#N/A,#N/A,FALSE,"SPS";#N/A,#N/A,FALSE,"CORP"}</definedName>
    <definedName name="vbn" hidden="1">{#N/A,#N/A,TRUE,"A"}</definedName>
    <definedName name="w" hidden="1">{"'下期集計（10.27迄・速報値）'!$Q$16"}</definedName>
    <definedName name="wrn.???." hidden="1">{"DCF-???",#N/A,TRUE,"???";"FS-???",#N/A,TRUE,"???";"DCF-??",#N/A,TRUE,"??";"FS-??",#N/A,TRUE,"??";"DCF-??",#N/A,TRUE,"??";"FS-??",#N/A,TRUE,"??";"DCF-??",#N/A,TRUE,"??";"FS-??",#N/A,TRUE,"??";"DCF-??",#N/A,TRUE,"??";"FS-??",#N/A,TRUE,"??";"DCF-??",#N/A,TRUE,"??";"FS-??",#N/A,TRUE,"??";"DCF-??",#N/A,TRUE,"??";"FS-??",#N/A,TRUE,"??";"DCF-??",#N/A,TRUE,"??";"FS-??",#N/A,TRUE,"??";"DCF-??",#N/A,TRUE,"??";"FS-??",#N/A,TRUE,"??"}</definedName>
    <definedName name="wrn.Aging._.and._.Trend._.Analysis." hidden="1">{#N/A,#N/A,FALSE,"Aging Summary";#N/A,#N/A,FALSE,"Ratio Analysis";#N/A,#N/A,FALSE,"Test 120 Day Accts";#N/A,#N/A,FALSE,"Tickmarks"}</definedName>
    <definedName name="wrn.All._.Sheets." hidden="1">{#N/A,#N/A,FALSE,"1997 WW (Short)";#N/A,#N/A,FALSE,"1997 RF Mfg";#N/A,#N/A,FALSE,"Ancillary-CSM";#N/A,#N/A,FALSE,"1997 Service"}</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hidden="1">{#N/A,#N/A,FALSE,"4-up charts p.1";#N/A,#N/A,FALSE,"4-up charts p.2";#N/A,#N/A,FALSE," rate of ? qtr";#N/A,#N/A,FALSE,"Detail Rel rate of ? ";#N/A,#N/A,FALSE,"Inventory"}</definedName>
    <definedName name="wrn.DCF????." hidden="1">{"DCF-???",#N/A,TRUE,"???";"DCF-??",#N/A,TRUE,"??";"DCF-??",#N/A,TRUE,"??";"DCF-??",#N/A,TRUE,"??";"DCF-??",#N/A,TRUE,"??";"DCF-??",#N/A,TRUE,"??";"DCF-??",#N/A,TRUE,"??";"DCF-??",#N/A,TRUE,"??";"DCF-??",#N/A,TRUE,"??"}</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EAN2." hidden="1">{#N/A,#N/A,TRUE,"A"}</definedName>
    <definedName name="wrn.EAN3" hidden="1">{#N/A,#N/A,TRUE,"A"}</definedName>
    <definedName name="wrn.FS????." hidden="1">{"FS-???",#N/A,TRUE,"???";"FS-??",#N/A,TRUE,"??";"FS-??",#N/A,TRUE,"??";"FS-??",#N/A,TRUE,"??";"FS-??",#N/A,TRUE,"??";"FS-??",#N/A,TRUE,"??";"FS-??",#N/A,TRUE,"??";"FS-??",#N/A,TRUE,"??";"FS-??",#N/A,TRUE,"??"}</definedName>
    <definedName name="wrn.FS一括印刷." hidden="1">{"FS-北海道",#N/A,TRUE,"北海道";"FS-東北",#N/A,TRUE,"東北";"FS-東海",#N/A,TRUE,"東海";"FS-北陸",#N/A,TRUE,"北陸";"FS-関西",#N/A,TRUE,"関西";"FS-中国",#N/A,TRUE,"中国";"FS-四国",#N/A,TRUE,"四国";"FS-九州",#N/A,TRUE,"九州";"FS-連結",#N/A,TRUE,"連結"}</definedName>
    <definedName name="wrn.Outlook._.Report." hidden="1">{#N/A,#N/A,FALSE,"Outlook for Month ";#N/A,#N/A,FALSE,"Risk for Month ";#N/A,#N/A,FALSE,"Upside for Month"}</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全印刷." hidden="1">{"DCF-北海道",#N/A,TRUE,"北海道";"FS-北海道",#N/A,TRUE,"北海道";"DCF-東北",#N/A,TRUE,"東北";"FS-東北",#N/A,TRUE,"東北";"DCF-東海",#N/A,TRUE,"東海";"FS-東海",#N/A,TRUE,"東海";"DCF-北陸",#N/A,TRUE,"北陸";"FS-北陸",#N/A,TRUE,"北陸";"DCF-関西",#N/A,TRUE,"関西";"FS-関西",#N/A,TRUE,"関西";"DCF-中国",#N/A,TRUE,"中国";"FS-中国",#N/A,TRUE,"中国";"DCF-四国",#N/A,TRUE,"四国";"FS-四国",#N/A,TRUE,"四国";"DCF-九州",#N/A,TRUE,"九州";"FS-九州",#N/A,TRUE,"九州";"DCF-連結",#N/A,TRUE,"連結";"FS-連結",#N/A,TRUE,"連結"}</definedName>
    <definedName name="ws" hidden="1">{#N/A,#N/A,TRUE,"A"}</definedName>
    <definedName name="yhu" hidden="1">{#N/A,#N/A,TRUE,"A"}</definedName>
    <definedName name="ｚ" hidden="1">{"'下期集計（10.27迄・速報値）'!$Q$16"}</definedName>
    <definedName name="Z_086A872D_15DF_436A_8459_CE22F6819FF4_.wvu.Rows" hidden="1">[5]Presentacion!#REF!</definedName>
    <definedName name="Z_D55C8B2E_861A_459E_9D09_3AF38A1DE99E_.wvu.Rows" hidden="1">[5]Presentacion!#REF!</definedName>
    <definedName name="Z_F540D718_D9AA_403F_AE49_60D937FD77E5_.wvu.Rows" hidden="1">[5]Presentacion!#REF!</definedName>
    <definedName name="zz" hidden="1">{#N/A,#N/A,FALSE,"TOTFINAL";#N/A,#N/A,FALSE,"FINPLAN";#N/A,#N/A,FALSE,"TOTMOTADJ";#N/A,#N/A,FALSE,"tieEQ";#N/A,#N/A,FALSE,"G";#N/A,#N/A,FALSE,"ELIMS";#N/A,#N/A,FALSE,"NEXTEL ADJ";#N/A,#N/A,FALSE,"MIMS";#N/A,#N/A,FALSE,"LMPS";#N/A,#N/A,FALSE,"CNSS";#N/A,#N/A,FALSE,"CSS";#N/A,#N/A,FALSE,"MCG";#N/A,#N/A,FALSE,"AECS";#N/A,#N/A,FALSE,"SPS";#N/A,#N/A,FALSE,"CORP"}</definedName>
    <definedName name="ぁ" hidden="1">{"'下期集計（10.27迄・速報値）'!$Q$16"}</definedName>
    <definedName name="あ" hidden="1">{"'下期集計（10.27迄・速報値）'!$Q$16"}</definedName>
    <definedName name="あああ" hidden="1">{"'下期集計（10.27迄・速報値）'!$Q$16"}</definedName>
    <definedName name="ｼｰﾄ" hidden="1">[9]計算過程シート!#REF!</definedName>
    <definedName name="なんで" hidden="1">{"'下期集計（10.27迄・速報値）'!$Q$16"}</definedName>
    <definedName name="なんなの" hidden="1">{"'下期集計（10.27迄・速報値）'!$Q$16"}</definedName>
    <definedName name="一括" hidden="1">{"DCF-北海道",#N/A,TRUE,"北海道";"DCF-東北",#N/A,TRUE,"東北";"DCF-東海",#N/A,TRUE,"東海";"DCF-北陸",#N/A,TRUE,"北陸";"DCF-関西",#N/A,TRUE,"関西";"DCF-中国",#N/A,TRUE,"中国";"DCF-四国",#N/A,TRUE,"四国";"DCF-九州",#N/A,TRUE,"九州";"DCF-連結",#N/A,TRUE,"連結"}</definedName>
    <definedName name="印刷" hidden="1">{"DCF-北海道",#N/A,TRUE,"北海道";"DCF-東北",#N/A,TRUE,"東北";"DCF-東海",#N/A,TRUE,"東海";"DCF-北陸",#N/A,TRUE,"北陸";"DCF-関西",#N/A,TRUE,"関西";"DCF-中国",#N/A,TRUE,"中国";"DCF-四国",#N/A,TRUE,"四国";"DCF-九州",#N/A,TRUE,"九州";"DCF-連結",#N/A,TRUE,"連結"}</definedName>
    <definedName name="年間収支買掛" hidden="1">{"'下期集計（10.27迄・速報値）'!$Q$16"}</definedName>
    <definedName name="年間資金収支あ" hidden="1">{"'下期集計（10.27迄・速報値）'!$Q$16"}</definedName>
    <definedName name="日繰06" hidden="1">{"'下期集計（10.27迄・速報値）'!$Q$16"}</definedName>
    <definedName name="系統出資金" hidden="1">{"DCF-北海道",#N/A,TRUE,"北海道";"DCF-東北",#N/A,TRUE,"東北";"DCF-東海",#N/A,TRUE,"東海";"DCF-北陸",#N/A,TRUE,"北陸";"DCF-関西",#N/A,TRUE,"関西";"DCF-中国",#N/A,TRUE,"中国";"DCF-四国",#N/A,TRUE,"四国";"DCF-九州",#N/A,TRUE,"九州";"DCF-連結",#N/A,TRUE,"連結"}</definedName>
    <definedName name="系統外出資金" hidden="1">{"DCF-北海道",#N/A,TRUE,"北海道";"DCF-東北",#N/A,TRUE,"東北";"DCF-東海",#N/A,TRUE,"東海";"DCF-北陸",#N/A,TRUE,"北陸";"DCF-関西",#N/A,TRUE,"関西";"DCF-中国",#N/A,TRUE,"中国";"DCF-四国",#N/A,TRUE,"四国";"DCF-九州",#N/A,TRUE,"九州";"DCF-連結",#N/A,TRUE,"連結"}</definedName>
    <definedName name="要処理資産②" hidden="1">{"'下期集計（10.27迄・速報値）'!$Q$16"}</definedName>
    <definedName name="評価対象" hidden="1">[9]計算過程シート!#REF!</definedName>
    <definedName name="資金" hidden="1">{"'下期集計（10.27迄・速報値）'!$Q$16"}</definedName>
    <definedName name="金利体系" hidden="1">{"'下期集計（10.27迄・速報値）'!$Q$16"}</definedName>
    <definedName name="関連" hidden="1">{"'下期集計（10.27迄・速報値）'!$Q$16"}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97" i="1" l="1"/>
  <c r="C97" i="1" s="1"/>
  <c r="H95" i="1"/>
  <c r="C95" i="1" s="1"/>
  <c r="H96" i="1"/>
  <c r="C96" i="1" s="1"/>
  <c r="H79" i="1"/>
  <c r="C79" i="1" s="1"/>
  <c r="H62" i="1"/>
  <c r="C62" i="1" s="1"/>
  <c r="H60" i="1"/>
  <c r="C60" i="1" s="1"/>
  <c r="H100" i="1"/>
  <c r="C100" i="1" s="1"/>
  <c r="H98" i="1"/>
  <c r="C98" i="1" s="1"/>
  <c r="H99" i="1"/>
  <c r="C99" i="1" s="1"/>
  <c r="H88" i="1"/>
  <c r="C88" i="1" s="1"/>
  <c r="H89" i="1"/>
  <c r="C89" i="1" s="1"/>
  <c r="H90" i="1"/>
  <c r="C90" i="1" s="1"/>
  <c r="H91" i="1"/>
  <c r="C91" i="1" s="1"/>
  <c r="H92" i="1"/>
  <c r="C92" i="1" s="1"/>
  <c r="H93" i="1"/>
  <c r="C93" i="1" s="1"/>
  <c r="H94" i="1"/>
  <c r="C94" i="1" s="1"/>
  <c r="H71" i="1"/>
  <c r="C71" i="1" s="1"/>
  <c r="H74" i="1"/>
  <c r="C74" i="1" s="1"/>
  <c r="H73" i="1"/>
  <c r="C73" i="1" s="1"/>
  <c r="H72" i="1"/>
  <c r="C72" i="1" s="1"/>
  <c r="H65" i="1"/>
  <c r="C65" i="1" s="1"/>
  <c r="H66" i="1"/>
  <c r="C66" i="1" s="1"/>
  <c r="H67" i="1"/>
  <c r="C67" i="1" s="1"/>
  <c r="H68" i="1"/>
  <c r="C68" i="1" s="1"/>
  <c r="H69" i="1"/>
  <c r="C69" i="1" s="1"/>
  <c r="H70" i="1"/>
  <c r="C70" i="1" s="1"/>
  <c r="H64" i="1"/>
  <c r="C64" i="1" s="1"/>
  <c r="H63" i="1"/>
  <c r="C63" i="1" s="1"/>
  <c r="H77" i="1"/>
  <c r="C77" i="1" s="1"/>
  <c r="H78" i="1"/>
  <c r="C78" i="1" s="1"/>
  <c r="H80" i="1"/>
  <c r="C80" i="1" s="1"/>
  <c r="H81" i="1"/>
  <c r="C81" i="1" s="1"/>
  <c r="H82" i="1"/>
  <c r="C82" i="1" s="1"/>
  <c r="H61" i="1"/>
  <c r="C61" i="1"/>
  <c r="E61" i="1" s="1"/>
  <c r="H57" i="1"/>
  <c r="C57" i="1" s="1"/>
  <c r="H58" i="1"/>
  <c r="C58" i="1" s="1"/>
  <c r="H59" i="1"/>
  <c r="C59" i="1" s="1"/>
  <c r="H75" i="1"/>
  <c r="C75" i="1" s="1"/>
  <c r="H76" i="1"/>
  <c r="C76" i="1" s="1"/>
  <c r="H54" i="1"/>
  <c r="C54" i="1" s="1"/>
  <c r="H55" i="1"/>
  <c r="C55" i="1" s="1"/>
  <c r="H86" i="1"/>
  <c r="C86" i="1" s="1"/>
  <c r="H87" i="1"/>
  <c r="C87" i="1" s="1"/>
  <c r="H85" i="1"/>
  <c r="C85" i="1" s="1"/>
  <c r="H84" i="1"/>
  <c r="C84" i="1" s="1"/>
  <c r="H83" i="1"/>
  <c r="C83" i="1" s="1"/>
  <c r="H52" i="1"/>
  <c r="C52" i="1" s="1"/>
  <c r="H50" i="1"/>
  <c r="C50" i="1" s="1"/>
  <c r="H51" i="1"/>
  <c r="C51" i="1" s="1"/>
  <c r="H47" i="1"/>
  <c r="C47" i="1" s="1"/>
  <c r="H48" i="1"/>
  <c r="C48" i="1" s="1"/>
  <c r="H49" i="1"/>
  <c r="C49" i="1" s="1"/>
  <c r="H21" i="1"/>
  <c r="C21" i="1" s="1"/>
  <c r="H20" i="1"/>
  <c r="C20" i="1" s="1"/>
  <c r="H14" i="1"/>
  <c r="C14" i="1" s="1"/>
  <c r="H38" i="1"/>
  <c r="C38" i="1" s="1"/>
  <c r="H40" i="1"/>
  <c r="H56" i="1"/>
  <c r="C56" i="1" s="1"/>
  <c r="H45" i="1"/>
  <c r="C45" i="1" s="1"/>
  <c r="H46" i="1"/>
  <c r="C46" i="1" s="1"/>
  <c r="H53" i="1"/>
  <c r="C53" i="1" s="1"/>
  <c r="H101" i="1"/>
  <c r="C101" i="1" s="1"/>
  <c r="H24" i="1"/>
  <c r="C24" i="1" s="1"/>
  <c r="H18" i="1"/>
  <c r="C18" i="1" s="1"/>
  <c r="H19" i="1"/>
  <c r="C19" i="1" s="1"/>
  <c r="H22" i="1"/>
  <c r="C22" i="1" s="1"/>
  <c r="H23" i="1"/>
  <c r="C23" i="1" s="1"/>
  <c r="H37" i="1"/>
  <c r="C37" i="1" s="1"/>
  <c r="H44" i="1"/>
  <c r="H42" i="1"/>
  <c r="H35" i="1"/>
  <c r="H36" i="1"/>
  <c r="H39" i="1"/>
  <c r="C39" i="1" s="1"/>
  <c r="H3" i="1"/>
  <c r="H4" i="1"/>
  <c r="H5" i="1"/>
  <c r="H6" i="1"/>
  <c r="H7" i="1"/>
  <c r="H8" i="1"/>
  <c r="H9" i="1"/>
  <c r="H10" i="1"/>
  <c r="H11" i="1"/>
  <c r="H12" i="1"/>
  <c r="H13" i="1"/>
  <c r="C13" i="1" s="1"/>
  <c r="H15" i="1"/>
  <c r="C15" i="1" s="1"/>
  <c r="H16" i="1"/>
  <c r="C16" i="1" s="1"/>
  <c r="H17" i="1"/>
  <c r="C17" i="1" s="1"/>
  <c r="H25" i="1"/>
  <c r="H26" i="1"/>
  <c r="H27" i="1"/>
  <c r="H28" i="1"/>
  <c r="H29" i="1"/>
  <c r="H30" i="1"/>
  <c r="H43" i="1"/>
  <c r="H31" i="1"/>
  <c r="H32" i="1"/>
  <c r="H33" i="1"/>
  <c r="H34" i="1"/>
  <c r="H41" i="1"/>
  <c r="H2" i="1"/>
  <c r="F97" i="1" l="1"/>
  <c r="D97" i="1" s="1"/>
  <c r="E97" i="1"/>
  <c r="F95" i="1"/>
  <c r="E95" i="1"/>
  <c r="D95" i="1"/>
  <c r="F96" i="1"/>
  <c r="E96" i="1"/>
  <c r="D96" i="1"/>
  <c r="F79" i="1"/>
  <c r="E79" i="1"/>
  <c r="D79" i="1"/>
  <c r="F62" i="1"/>
  <c r="E62" i="1"/>
  <c r="D62" i="1"/>
  <c r="F60" i="1"/>
  <c r="D60" i="1" s="1"/>
  <c r="E60" i="1"/>
  <c r="F100" i="1"/>
  <c r="E100" i="1"/>
  <c r="D100" i="1"/>
  <c r="F98" i="1"/>
  <c r="E98" i="1"/>
  <c r="D98" i="1"/>
  <c r="F99" i="1"/>
  <c r="D99" i="1" s="1"/>
  <c r="E99" i="1"/>
  <c r="F88" i="1"/>
  <c r="E88" i="1"/>
  <c r="D88" i="1"/>
  <c r="F89" i="1"/>
  <c r="D89" i="1" s="1"/>
  <c r="E89" i="1"/>
  <c r="F90" i="1"/>
  <c r="D90" i="1" s="1"/>
  <c r="E90" i="1"/>
  <c r="F91" i="1"/>
  <c r="E91" i="1"/>
  <c r="D91" i="1"/>
  <c r="F92" i="1"/>
  <c r="D92" i="1" s="1"/>
  <c r="E92" i="1"/>
  <c r="F93" i="1"/>
  <c r="E93" i="1"/>
  <c r="D93" i="1"/>
  <c r="F94" i="1"/>
  <c r="E94" i="1"/>
  <c r="D94" i="1"/>
  <c r="F71" i="1"/>
  <c r="E71" i="1"/>
  <c r="D71" i="1"/>
  <c r="F74" i="1"/>
  <c r="D74" i="1" s="1"/>
  <c r="E74" i="1"/>
  <c r="F73" i="1"/>
  <c r="D73" i="1" s="1"/>
  <c r="E73" i="1"/>
  <c r="F72" i="1"/>
  <c r="E72" i="1"/>
  <c r="D72" i="1"/>
  <c r="F65" i="1"/>
  <c r="E65" i="1"/>
  <c r="D65" i="1"/>
  <c r="F66" i="1"/>
  <c r="D66" i="1" s="1"/>
  <c r="E66" i="1"/>
  <c r="F67" i="1"/>
  <c r="D67" i="1" s="1"/>
  <c r="E67" i="1"/>
  <c r="F68" i="1"/>
  <c r="E68" i="1"/>
  <c r="D68" i="1"/>
  <c r="F69" i="1"/>
  <c r="D69" i="1" s="1"/>
  <c r="E69" i="1"/>
  <c r="F70" i="1"/>
  <c r="D70" i="1" s="1"/>
  <c r="E70" i="1"/>
  <c r="F64" i="1"/>
  <c r="E64" i="1"/>
  <c r="D64" i="1"/>
  <c r="F63" i="1"/>
  <c r="D63" i="1" s="1"/>
  <c r="E63" i="1"/>
  <c r="F77" i="1"/>
  <c r="D77" i="1" s="1"/>
  <c r="E77" i="1"/>
  <c r="F78" i="1"/>
  <c r="D78" i="1" s="1"/>
  <c r="E78" i="1"/>
  <c r="F80" i="1"/>
  <c r="D80" i="1" s="1"/>
  <c r="E80" i="1"/>
  <c r="F81" i="1"/>
  <c r="D81" i="1" s="1"/>
  <c r="E81" i="1"/>
  <c r="F82" i="1"/>
  <c r="E82" i="1"/>
  <c r="D82" i="1"/>
  <c r="F61" i="1"/>
  <c r="D61" i="1" s="1"/>
  <c r="F57" i="1"/>
  <c r="D57" i="1" s="1"/>
  <c r="E57" i="1"/>
  <c r="F58" i="1"/>
  <c r="D58" i="1" s="1"/>
  <c r="E58" i="1"/>
  <c r="F59" i="1"/>
  <c r="D59" i="1" s="1"/>
  <c r="E59" i="1"/>
  <c r="F75" i="1"/>
  <c r="D75" i="1" s="1"/>
  <c r="E75" i="1"/>
  <c r="F76" i="1"/>
  <c r="E76" i="1"/>
  <c r="D76" i="1"/>
  <c r="F54" i="1"/>
  <c r="D54" i="1" s="1"/>
  <c r="E54" i="1"/>
  <c r="F55" i="1"/>
  <c r="D55" i="1" s="1"/>
  <c r="E55" i="1"/>
  <c r="F86" i="1"/>
  <c r="D86" i="1" s="1"/>
  <c r="E86" i="1"/>
  <c r="F87" i="1"/>
  <c r="D87" i="1" s="1"/>
  <c r="E87" i="1"/>
  <c r="E85" i="1"/>
  <c r="F85" i="1"/>
  <c r="D85" i="1" s="1"/>
  <c r="F84" i="1"/>
  <c r="D84" i="1" s="1"/>
  <c r="E84" i="1"/>
  <c r="F83" i="1"/>
  <c r="D83" i="1" s="1"/>
  <c r="E83" i="1"/>
  <c r="F52" i="1"/>
  <c r="D52" i="1" s="1"/>
  <c r="E52" i="1"/>
  <c r="F50" i="1"/>
  <c r="D50" i="1" s="1"/>
  <c r="E50" i="1"/>
  <c r="F51" i="1"/>
  <c r="D51" i="1" s="1"/>
  <c r="E51" i="1"/>
  <c r="E47" i="1"/>
  <c r="F47" i="1"/>
  <c r="D47" i="1" s="1"/>
  <c r="F48" i="1"/>
  <c r="D48" i="1" s="1"/>
  <c r="E48" i="1"/>
  <c r="F49" i="1"/>
  <c r="D49" i="1" s="1"/>
  <c r="E49" i="1"/>
  <c r="F21" i="1"/>
  <c r="D21" i="1" s="1"/>
  <c r="E21" i="1"/>
  <c r="F20" i="1"/>
  <c r="D20" i="1" s="1"/>
  <c r="E20" i="1"/>
  <c r="F14" i="1"/>
  <c r="D14" i="1" s="1"/>
  <c r="E14" i="1"/>
  <c r="F38" i="1"/>
  <c r="D38" i="1" s="1"/>
  <c r="E38" i="1"/>
  <c r="F40" i="1"/>
  <c r="F56" i="1"/>
  <c r="D56" i="1" s="1"/>
  <c r="E56" i="1"/>
  <c r="F45" i="1"/>
  <c r="D45" i="1" s="1"/>
  <c r="E45" i="1"/>
  <c r="F46" i="1"/>
  <c r="D46" i="1" s="1"/>
  <c r="E46" i="1"/>
  <c r="F53" i="1"/>
  <c r="D53" i="1" s="1"/>
  <c r="E53" i="1"/>
  <c r="F101" i="1"/>
  <c r="D101" i="1" s="1"/>
  <c r="E101" i="1"/>
  <c r="F24" i="1"/>
  <c r="D24" i="1" s="1"/>
  <c r="E24" i="1"/>
  <c r="F18" i="1"/>
  <c r="D18" i="1" s="1"/>
  <c r="E18" i="1"/>
  <c r="F19" i="1"/>
  <c r="D19" i="1" s="1"/>
  <c r="E19" i="1"/>
  <c r="E22" i="1"/>
  <c r="F22" i="1"/>
  <c r="D22" i="1" s="1"/>
  <c r="F23" i="1"/>
  <c r="D23" i="1" s="1"/>
  <c r="E23" i="1"/>
  <c r="F37" i="1"/>
  <c r="D37" i="1" s="1"/>
  <c r="E37" i="1"/>
  <c r="F13" i="1"/>
  <c r="D13" i="1" s="1"/>
  <c r="E13" i="1"/>
  <c r="F16" i="1"/>
  <c r="D16" i="1" s="1"/>
  <c r="E16" i="1"/>
  <c r="F17" i="1"/>
  <c r="D17" i="1" s="1"/>
  <c r="E17" i="1"/>
  <c r="E15" i="1"/>
  <c r="F15" i="1"/>
  <c r="D15" i="1" s="1"/>
  <c r="F44" i="1"/>
  <c r="F39" i="1"/>
  <c r="D39" i="1" s="1"/>
  <c r="E39" i="1"/>
  <c r="C3" i="1"/>
  <c r="C5" i="1"/>
  <c r="C9" i="1"/>
  <c r="C25" i="1"/>
  <c r="C43" i="1"/>
  <c r="C33" i="1"/>
  <c r="C36" i="1"/>
  <c r="C27" i="1"/>
  <c r="C30" i="1"/>
  <c r="C32" i="1"/>
  <c r="C34" i="1"/>
  <c r="C35" i="1"/>
  <c r="C2" i="1"/>
  <c r="C4" i="1"/>
  <c r="C6" i="1"/>
  <c r="C7" i="1"/>
  <c r="C8" i="1"/>
  <c r="C10" i="1"/>
  <c r="C11" i="1"/>
  <c r="C12" i="1"/>
  <c r="C26" i="1"/>
  <c r="C28" i="1"/>
  <c r="C29" i="1"/>
  <c r="C31" i="1"/>
  <c r="C41" i="1"/>
  <c r="C42" i="1"/>
  <c r="E3" i="1" l="1"/>
  <c r="F3" i="1"/>
  <c r="D3" i="1" s="1"/>
  <c r="F5" i="1"/>
  <c r="D5" i="1" s="1"/>
  <c r="E5" i="1"/>
  <c r="F9" i="1"/>
  <c r="D9" i="1" s="1"/>
  <c r="E9" i="1"/>
  <c r="F25" i="1"/>
  <c r="D25" i="1" s="1"/>
  <c r="E25" i="1"/>
  <c r="F43" i="1"/>
  <c r="D43" i="1" s="1"/>
  <c r="E43" i="1"/>
  <c r="F33" i="1"/>
  <c r="D33" i="1" s="1"/>
  <c r="E33" i="1"/>
  <c r="E36" i="1"/>
  <c r="F36" i="1"/>
  <c r="F27" i="1"/>
  <c r="D27" i="1" s="1"/>
  <c r="E27" i="1"/>
  <c r="F30" i="1"/>
  <c r="D30" i="1" s="1"/>
  <c r="E30" i="1"/>
  <c r="E32" i="1"/>
  <c r="F32" i="1"/>
  <c r="E34" i="1"/>
  <c r="F34" i="1"/>
  <c r="E35" i="1"/>
  <c r="F35" i="1"/>
  <c r="F2" i="1"/>
  <c r="E2" i="1"/>
  <c r="E4" i="1"/>
  <c r="F4" i="1"/>
  <c r="D4" i="1" s="1"/>
  <c r="E6" i="1"/>
  <c r="F6" i="1"/>
  <c r="D6" i="1" s="1"/>
  <c r="E7" i="1"/>
  <c r="F7" i="1"/>
  <c r="D7" i="1" s="1"/>
  <c r="F8" i="1"/>
  <c r="D8" i="1" s="1"/>
  <c r="E8" i="1"/>
  <c r="E10" i="1"/>
  <c r="F10" i="1"/>
  <c r="D10" i="1" s="1"/>
  <c r="F11" i="1"/>
  <c r="D11" i="1" s="1"/>
  <c r="E11" i="1"/>
  <c r="F12" i="1"/>
  <c r="D12" i="1" s="1"/>
  <c r="E12" i="1"/>
  <c r="F26" i="1"/>
  <c r="D26" i="1" s="1"/>
  <c r="E26" i="1"/>
  <c r="F28" i="1"/>
  <c r="D28" i="1" s="1"/>
  <c r="E28" i="1"/>
  <c r="E29" i="1"/>
  <c r="F29" i="1"/>
  <c r="D29" i="1" s="1"/>
  <c r="E31" i="1"/>
  <c r="F31" i="1"/>
  <c r="E41" i="1"/>
  <c r="F41" i="1"/>
  <c r="E42" i="1"/>
  <c r="F42" i="1"/>
  <c r="D35" i="1" l="1"/>
  <c r="D2" i="1"/>
  <c r="D31" i="1"/>
  <c r="D41" i="1"/>
  <c r="D42" i="1"/>
  <c r="D36" i="1"/>
  <c r="D32" i="1"/>
  <c r="D34" i="1"/>
</calcChain>
</file>

<file path=xl/sharedStrings.xml><?xml version="1.0" encoding="utf-8"?>
<sst xmlns="http://schemas.openxmlformats.org/spreadsheetml/2006/main" count="211" uniqueCount="211">
  <si>
    <t>Switch PoE gigabit inteligente con 9 puertos gigabit, 8 puertos PoE+ hasta 120W, reconocimiento de cámaras IP, valor único para redes CCTV, gestionable en la nube</t>
  </si>
  <si>
    <t>RG-ES209GC-P</t>
  </si>
  <si>
    <t>Punto de Acceso Ubiquiti U6-Pro WiFi6, Dual band con puerto gigabit ethernet (PoE no incluido)</t>
  </si>
  <si>
    <t>Adaptador PoE Ubiquiti (48 VDC, 0.65A) puerto Gigabit, ideal para equipos UniFi</t>
  </si>
  <si>
    <t>U-POE-AT</t>
  </si>
  <si>
    <t>ANTENA ACCESS PINT WIFI AP</t>
  </si>
  <si>
    <t>UAP-AC-PRO</t>
  </si>
  <si>
    <t>FIBRA OPICA MIKROTIK SFP 1.25 SM 20KM 1310M</t>
  </si>
  <si>
    <t>S-31DLC20D</t>
  </si>
  <si>
    <t>El inyector PoE de MikroTik RBGPOE, es un inyector PoE Gigabit que permite enviar el suministro electrico por medio del cable de red ethernet, usted debe verificar que tipo de dispositivo necesita energizar ya que este inyector funciona de manera pasiva, por lo que solo se debe usar con dispositivos que soporten el modo PoE pasivo y se debe adicionar la fuente con el voltaje y la corriente indicada</t>
  </si>
  <si>
    <t>RBGPOE</t>
  </si>
  <si>
    <t>WI-FI AP UBIQUITI U6-Mesh Punto de Acceso UniFi WiFi6 Outdoor, 1 Puerto Gigabit</t>
  </si>
  <si>
    <t>Access Point UniFi para MESH en exterior, antena integrada 360º 802.11ac MIMO 3X3, hasta 250 usuarios.</t>
  </si>
  <si>
    <t>UAP-AC-M-PRO</t>
  </si>
  <si>
    <t>WI-FI Punto de Acceso UBIQUITI UAP-nanoHD Compact UniFi Wave2 AC AP, Inluye PoE</t>
  </si>
  <si>
    <t>RADIOENLACE Fuentes UBIQUITI LBE-5AC-LR LITEBEAM 5AC- LONG - RANGE</t>
  </si>
  <si>
    <t>LBE-5AC-LR</t>
  </si>
  <si>
    <t>SWITCHING &amp; ROUTING Routers MIKROTIK RB760iGS hEX S, 5Geth, SFP, USB</t>
  </si>
  <si>
    <t>RB760IGS</t>
  </si>
  <si>
    <t>PowerBeam airMAX AC GEN2 hasta 450 Mbps, 5 GHz (5150 - 5875 MHz) con antena tipo plato altamente eficiente de 25 dBi</t>
  </si>
  <si>
    <t>PBE-5AC-GEN2</t>
  </si>
  <si>
    <t>Adaptador PoE Ubiquiti de 24 VDC, 0.5 A, compatible con airGateway</t>
  </si>
  <si>
    <t>POE-24-12W</t>
  </si>
  <si>
    <t>NanoStation airMAX Loco5AC CPE hasta 450 Mbps, 5 GHz (5150 - 5875 MHz), con antena integrada de 13 dBi, no incluye adaptador PoE</t>
  </si>
  <si>
    <t>LOCO5AC</t>
  </si>
  <si>
    <t>Estación Base 2x2 MIMO airMAX LiteAP AC hasta 450 Mbps, 5 GHz (5150 - 5875 MHz) con antena integrada de 16 dBi y cobertura de 120 grados</t>
  </si>
  <si>
    <t>LAP-120</t>
  </si>
  <si>
    <t>NanoStation airMAX locoM5 CPE, hasta 150 Mbps, frecuencia 5 GHz (5170-5875 MHz) con antena integrada de 13 dBi</t>
  </si>
  <si>
    <t>LOCOM5</t>
  </si>
  <si>
    <t>LiteBeam airMAX M5 CPE hasta 100 Mbps, 5 GHz (5150 - 5875 MHz) con antena integrada de 23 dBi</t>
  </si>
  <si>
    <t>LBE-M5-23</t>
  </si>
  <si>
    <t>Router Inalámbrico Gigabit de Doble Banda Ideal para Escenarios Domésticos (Incluyendo Villa, Apartamento de Gran Tamaño, Bungalow), Oficina SOHO, Pequeñas Tiendas, etc.</t>
  </si>
  <si>
    <t>RG-EW1200GPRO</t>
  </si>
  <si>
    <t>Kit completo Punto a Punto para distancias de hasta 500m, 2.4GHz, Ideal para Ascensor, Campus y Edificios, hasta 300Mbps</t>
  </si>
  <si>
    <t>RG-EST100-E</t>
  </si>
  <si>
    <t>Punto de acceso Wi-Fi 5 de techo para interior 360°, doble banda 802.11ac wave 2, 1267 Mbps, hasta 110 usuarios</t>
  </si>
  <si>
    <t>RG-RAP2200(F)</t>
  </si>
  <si>
    <t>Punto de acceso Wi-Fi 5 de techo para interior 360°, doble banda 802.11ac wave 2, 1267 Mbps, hasta 110 usuarios, 2 puertos GE</t>
  </si>
  <si>
    <t>RG-RAP2200(E)</t>
  </si>
  <si>
    <t>WIFI AP UNIFI AP UBIQUITI</t>
  </si>
  <si>
    <t>UAP-AC-LITE</t>
  </si>
  <si>
    <t>Injector POE pasivo UBIQUITI 48VDC, 24W, Gigabit</t>
  </si>
  <si>
    <t>POE-48-24W-G</t>
  </si>
  <si>
    <t>Antena omnidireccional, potente cobertura de 360°, doble polaridad MIMO 2x2, frecuencia 5 GHz (5.45-5.85 GHz) de 13 dBi</t>
  </si>
  <si>
    <t>AMO-5G13</t>
  </si>
  <si>
    <t>ANTENA PTMP UBIQUITI 2.3 - 2.7 GHZ</t>
  </si>
  <si>
    <t>AM-2G16-90</t>
  </si>
  <si>
    <t>Estación Base 2x2 MIMO airMAX LiteAP AC hasta 450 Mbps, 5 GHz (5150 - 5875 MHz) con antena integrada de 17 dBi y cobertura de 90 grados con GPS Sync</t>
  </si>
  <si>
    <t>LAP-GPS</t>
  </si>
  <si>
    <t>RADIOENLACE Fuentes UBIQUITI R5AC-LITE 5GHz Rocket</t>
  </si>
  <si>
    <t>R5AC-LITE</t>
  </si>
  <si>
    <t>ANTENA PTMP UBIQUITI AM-5G19-120 4.9-5.9GHz AirMax</t>
  </si>
  <si>
    <t>AM-5G19-120</t>
  </si>
  <si>
    <t>Protector contra descargas electrostáticas Gen2 para equipos Ubiquiti para exterior</t>
  </si>
  <si>
    <t>ETH-SP-G2</t>
  </si>
  <si>
    <t>Adaptador PoE Ubiquiti de 24 VDC, 1.0 A con puerto Gigabit</t>
  </si>
  <si>
    <t>POE-24-24W-G</t>
  </si>
  <si>
    <t>Adaptador PoE Ubiquiti de 24 VDC, 0.5 A con puerto Gigabit, compatible con airGateway</t>
  </si>
  <si>
    <t>POE-24-12W-G</t>
  </si>
  <si>
    <t>iteBeam 2x2 MIMO airMAX AC GEN2 CPE hasta 450 Mbps, 5 GHz (5150 - 5875 MHz) con antena integrada de 23 dBi</t>
  </si>
  <si>
    <t>LBE-5AC-GEN2</t>
  </si>
  <si>
    <t>COSTO</t>
  </si>
  <si>
    <t>Columna12</t>
  </si>
  <si>
    <t>Columna1</t>
  </si>
  <si>
    <t>COSTO CON IVA</t>
  </si>
  <si>
    <t>UTILIDAD</t>
  </si>
  <si>
    <t>Columna4</t>
  </si>
  <si>
    <t>PRECIO CLIENTE FINAL (CON IVA)</t>
  </si>
  <si>
    <t>PRECIO TIENDA (CON IVA)</t>
  </si>
  <si>
    <t>PRECIO INSTALLER (CON IVA)</t>
  </si>
  <si>
    <t>DESCRIPCION</t>
  </si>
  <si>
    <t>REFERENCIA</t>
  </si>
  <si>
    <t>U-POE</t>
  </si>
  <si>
    <t>Adaptador PoE 1G POE Adptaer (15W) (802.3AF)</t>
  </si>
  <si>
    <t xml:space="preserve">U7 OUTDOOR </t>
  </si>
  <si>
    <t>UACC-PoE++-10G</t>
  </si>
  <si>
    <t>UACC-PoE+-2.5G</t>
  </si>
  <si>
    <t>RUIJIE</t>
  </si>
  <si>
    <t>UAP-AC-M</t>
  </si>
  <si>
    <t>U6 PRO</t>
  </si>
  <si>
    <t>U6 LITE</t>
  </si>
  <si>
    <t>U7 LITE</t>
  </si>
  <si>
    <t>Access Point UniFi WiFi U7 Outdoor WiFi 7 802.11be doble banda, MU-MIMO 2x2 en cada banda, Puerto 2.5G, antena sectorial integrada 90° en 2.4 y 45° en 5 GHz, conectores para antenas omnidireccionales (incluidas), No incluye inyector POE</t>
  </si>
  <si>
    <t xml:space="preserve">	UniFi U7-Pro-XGS Access Point es un dispositivo de red de última generación que ofrece conectividad WiFi 7 con soporte para la banda de 6 GHz. Este modelo se destaca por su capacidad de proporcionar una cobertura de hasta 140 m, lo que lo c</t>
  </si>
  <si>
    <t>Adaptador que puede alimentar dispositivos UniFi PoE++ a 10G, reducir la dependencia de la energía del conmutador PoE y proporcionar una conexión LAN Multi-Gigabit.</t>
  </si>
  <si>
    <t xml:space="preserve">Adaptador PoE+ AT de 2,5 G UBIQUITI puede alimentar dispositivos UniFi PoE+, reducir la dependencia de la energía del conmutador PoE y proporcionar una conexión LAN Multi-Gigabit. 30w	</t>
  </si>
  <si>
    <t>Punto de Acceso Ubiquiti UniFi WiFi7, Dual band con puerto 2.5G ethernet</t>
  </si>
  <si>
    <t xml:space="preserve">Access Point UniFi doble banda 802.11ax WiFi 6, 5 GHz (MU-MIMO 2x2 y OFDMA) </t>
  </si>
  <si>
    <t>Punto de acceso WiFi 7con 5 transmisiones espaciales y compatibilidad con 5 GHz para un WiFi sin interferencias en entornos exigentes a gran escala. Alcanza una velocidad de transferencia agregada de más de 5,3 Gbps con sus bandas de 5 y 2,</t>
  </si>
  <si>
    <t>U6+</t>
  </si>
  <si>
    <t xml:space="preserve">Punto de Acceso Ubiquiti U6+ WiFi6 AX3000 con puerto gigabit ethernet	</t>
  </si>
  <si>
    <t>MIKROTIK</t>
  </si>
  <si>
    <t xml:space="preserve">ANTENA WIFI AP UBIQUITI UNIFI AP AC MESH	</t>
  </si>
  <si>
    <t>perdida</t>
  </si>
  <si>
    <t>Columna2</t>
  </si>
  <si>
    <t>U-POE+</t>
  </si>
  <si>
    <t xml:space="preserve">ADAPTADOR 1G POE+ </t>
  </si>
  <si>
    <t>U7- LR</t>
  </si>
  <si>
    <t>U7 PRO XGS</t>
  </si>
  <si>
    <t>U7 PRO XG</t>
  </si>
  <si>
    <t xml:space="preserve">Punto de Acceso UniFi WiFi 7 Tri-banda 2.4/5/6 GHz / MU-MIMO 2x2 en cada banda / 1 puerto RJ45 10 GbE/ hasta 300 dispositivos / Montaje en Techo y Pared </t>
  </si>
  <si>
    <t>U6 MESH PRO</t>
  </si>
  <si>
    <t>U6 IW</t>
  </si>
  <si>
    <t>Punto de Acceso UniFi WiFi 6 Mesh, para interior/exterior, doble banda, 5 GHz (4x4 MU-MIMO y OFDMA) / 2.4 GHz (2x2 MIMO)</t>
  </si>
  <si>
    <t>Access Point UniFi U6 In Wall/Montaje p/pared, WIFI 6 2.4 Y 5 Ghz, hasta 5.3 Gbps, 1 pto PoE In, 4 ptos secundarios (1 PoE Out)</t>
  </si>
  <si>
    <t>U6 Mesh</t>
  </si>
  <si>
    <t>UAP NANOHD</t>
  </si>
  <si>
    <t>Punto de acceso Wi-Fi 6 de techo para interior 360°, doble banda MU-MIMO 4x4, 3202 Mbps, hasta 512 usuarios, puertos 1 x 2.5GE, 1 x GE, portal cautivo standalone, incluye Reyee Mesh</t>
  </si>
  <si>
    <t>RG-RAP2260(G)</t>
  </si>
  <si>
    <t>RG-RAP2260(E)</t>
  </si>
  <si>
    <t>Punto de acceso Wi-Fi 6 de techo para interior 360°, doble banda, 1775 Mbps, hasta 512 usuarios, 2 puertos GE, portal cautivo standalone, soporta Mesh</t>
  </si>
  <si>
    <t>RG-RAP2260</t>
  </si>
  <si>
    <t>Punto de acceso Wi-Fi 6 de techo para interior 360°, doble banda, 2.97 Gbps, hasta 512 usuarios, 1 puerto GE + 1 puerto de 2.5GE</t>
  </si>
  <si>
    <t>RG-RAP1200(P)-MNT</t>
  </si>
  <si>
    <t>10-Piezas - Montaje en Pared Para Access Point Modelo RG-RAP1200(P)</t>
  </si>
  <si>
    <t>RG-RAP1200(F)</t>
  </si>
  <si>
    <t>Punto de Acceso para pared, 802.11ac Wave 2, MIMO 2X2, 1.2 Gbps, puerto adicional frontal 10/100 ideal para habitaciones</t>
  </si>
  <si>
    <t>RG-RAP1200(P)</t>
  </si>
  <si>
    <t>Punto de acceso Wi-Fi 5 de pared para interior 360°, doble banda 802.11ac wave2, 1267Mbps, 5 puertos GE, hasta 110 usuarios, soporta PoE passthrough</t>
  </si>
  <si>
    <t>RG-RAP72PRO-OD</t>
  </si>
  <si>
    <t>RG-RAP1261</t>
  </si>
  <si>
    <t>Punto de acceso Wi-Fi 7 para Exterior IP65, Doble Banda MLO hasta 512 Usuarios, ancho de banda de hasta 5 Gbps , interior con puerto 2.5G,</t>
  </si>
  <si>
    <t>Punto de acceso Wi-Fi 6 de pared para interior 360°, doble banda, 2976 Mbps, 2 puertos GE, hasta 512 usuarios, portal cautivo standalone, compatible con reyee mesh, diseño ultra</t>
  </si>
  <si>
    <t>RG-RAP6260(G)</t>
  </si>
  <si>
    <t xml:space="preserve">Punto de acceso Wi-Fi 6 para exterior 360°, IP 68, doble banda 1775 Mbps, puerto SFP ideal para fibra óptica, protección hasta 6 kV </t>
  </si>
  <si>
    <t>RG-RAP1260</t>
  </si>
  <si>
    <t>Punto de acceso Wi-Fi 6 de pared para interior 360°, doble banda, 2976 Mbps, 4 puertos GE downlink + 1 puerto GE uplink, hasta 512</t>
  </si>
  <si>
    <t>RG-RAP73PRO</t>
  </si>
  <si>
    <t>Punto de acceso Wi-Fi 7 Para Alta Densidad, Tri-banda hasta 1,500 Usuarios, ancho de banda de hasta 19 Gbps , interior con puerto 10Gb y SFP+ 10G, 802.11 BE19000 MU-MIMO 12x12</t>
  </si>
  <si>
    <t>RG-RAP2266</t>
  </si>
  <si>
    <t>Punto de acceso Wi-Fi 6 de techo para interior 360°, doble banda, 2976 Mbps, hasta 512 usuarios, 1 puerto GE, diseño redondo, portal</t>
  </si>
  <si>
    <t>RG-ES205GC-P</t>
  </si>
  <si>
    <t>Switch PoE Inteligente Administrable en la Nube de 5 Puertos Gigabit, 4 PoE+, 54W.</t>
  </si>
  <si>
    <t>RG-ES08G-L</t>
  </si>
  <si>
    <t>Switch non-PoE de 8 puertos 10/100/1000 Mbps no administrable, visible en Ruijie Cloud, con alta fiabilidad de red</t>
  </si>
  <si>
    <t>RG-ES208GC</t>
  </si>
  <si>
    <t>Switch Administrable con 8 Puertos Gigabit, Reconocimiento de Cámara IP, Valor Único Para la Red CCTV, Gestión Gratuita Desde la Nube</t>
  </si>
  <si>
    <t>RG-ES118FGS-LP</t>
  </si>
  <si>
    <t>Switch PoE no administrable de 16 puertos 10/100 Mbps con 2 puertos Gigabit, visible en Ruijie Cloud, con un diseño de alta calidad y un presupuesto de PoE de 120 W</t>
  </si>
  <si>
    <t>RG-ES124G-L</t>
  </si>
  <si>
    <t>Switch no administrable, con 24 puertos 10/100/1000 Mbps, Monitoreable en la Nube</t>
  </si>
  <si>
    <t>RG-EG209GS</t>
  </si>
  <si>
    <t>RG-ES105GD</t>
  </si>
  <si>
    <t>Router Administrable con 9 Puertos Gigabit, Soporta 2x WAN Configurables, 1 Puerto SFP 1Gb, hasta 200 Clientes</t>
  </si>
  <si>
    <t>Switch No Gestionado sin PoE de 5 puertos 10/100/1000Mbps</t>
  </si>
  <si>
    <t>RG-ES220GS-LP</t>
  </si>
  <si>
    <t>RG-ES110F-P</t>
  </si>
  <si>
    <t>Switch L2 Administrable con 20 puertos Gigabit (16 PoE 802.3af/at) + 2 SFP para fibra 1Gb, gestión gratuita desde la nube, 130w</t>
  </si>
  <si>
    <t>Switch PoE+ con 10 Puertos 10/100 Mbps / 110 W / Carcasa de Acero / No Administrable</t>
  </si>
  <si>
    <t>RG-ES220GS-P</t>
  </si>
  <si>
    <t>Switch PoE L2 Administrable en la Nube de 20 Puertos Gigabit, 16 PoE+, 2 Puertos RJ45 Gigabit, 2 Puertos SFP, 250W, Reconocimiento</t>
  </si>
  <si>
    <t>RG-ES108GD
Switch No Administrable Sin PoE de 8 puertos 10/100/1000Mbps</t>
  </si>
  <si>
    <t>RG-ES108GD</t>
  </si>
  <si>
    <t>RG-ES206MG-P</t>
  </si>
  <si>
    <t>Switch Administrable Capa2 PoE+ con 5 puertos Multi-Gigabit 2.5Gb, hasta 70w PoE 802.3af/at</t>
  </si>
  <si>
    <t>RG-EW3000GXPRO</t>
  </si>
  <si>
    <t>Home Router inalámbrico Gigabit de Doble Banda Wi-Fi 6, Ideal para Juegos, 1 x Puerto WAN Base-T 10/100/1000, 3 x Puertos LAN Base-T 10/100/1000</t>
  </si>
  <si>
    <t>RG-AP720-L</t>
  </si>
  <si>
    <t>Punto de acceso interior Wi-Fi 5 de doble radio de 1.167 Gbps, puerto Ethernet de 1 Gbps</t>
  </si>
  <si>
    <t>RG-CS86-48MG4VS2QXS-UPD</t>
  </si>
  <si>
    <t>RG-NIS3100-8GT2SFP-HP</t>
  </si>
  <si>
    <t xml:space="preserve">RG-NIS-PA240-54	</t>
  </si>
  <si>
    <t xml:space="preserve">Switch de Verdadero Grado Industrial Especialmente Diseñado para Entornos Duros, Cuenta con 10 Puertos Gigabit, 8 de ellos Puertos PoE+ y 2 Puertos de Enlace Ascendente SFP	</t>
  </si>
  <si>
    <t>Fuente de Alimentación AC/DC 240W DIN-RAIL para Switch Industrial</t>
  </si>
  <si>
    <t>Switch Ruijie Multi-GE de 48 Puertos con Gestión en la Nube, Acceso Completo 1/2.5/5GE con PoE++ (No incluye fuentes de alimentación)</t>
  </si>
  <si>
    <t>RG-NIS2100-8GT2SFP-HP</t>
  </si>
  <si>
    <t>RG-NIS3100-4GT2SFP-HP</t>
  </si>
  <si>
    <t>Switch Industrial PoE con gestión en la nube con 1 puerto PoE++, 7 puertos PoE+ y 2 puertos uplink SFP Ideal para temperaturas Extremas</t>
  </si>
  <si>
    <t>Switch de Verdadero Grado Industrial Especialmente Diseñado para Entornos Difíciles, Cuenta con 6 Puertos Gigabit, 4 de ellos Puertos PoE+ y 2 Puertos de Enlace Ascendente SFP</t>
  </si>
  <si>
    <t>RG-NIS-PA120-54</t>
  </si>
  <si>
    <t>Fuente de Alimentación AC/DC 120W DIN-RAIL para Switch Industrial</t>
  </si>
  <si>
    <t>RG-NIS2100-4GT2SFP-HP</t>
  </si>
  <si>
    <t>Switch Industrial PoE hasta , Ideal para temperaturas Extremas y protección contra descargas, 1 x PoE++ Port, 3 x PoE+ Ports</t>
  </si>
  <si>
    <t>RG-AP820-L(V3)</t>
  </si>
  <si>
    <t>AP Interior Wi-Fi 6 AX3000, 2.976 Gbps, Puerto SFP de 2.5 Gbps</t>
  </si>
  <si>
    <t>RG-RAP6202(G)</t>
  </si>
  <si>
    <t>Punto de acceso Wi-Fi 5 para exterior 360°, IP 68, doble banda 802.11ac wave2, 1267 Mbps, 2 puertos GE, hasta 110 usuarios, compatible con reyee mesh</t>
  </si>
  <si>
    <t>RG-NBS3100-8GT2SFP-P-V2</t>
  </si>
  <si>
    <t>RG-NBS3100-8GT2SFP-P-V2
Switch Administrable PoE Capa 2 con 8 Puertos Gigabit PoE 802.3af/at + 2 SFP Para Fibra 1Gb, Gestión Gratuita desde la Nube, 125W</t>
  </si>
  <si>
    <t>RG-RAP52-OD</t>
  </si>
  <si>
    <t>RG-EG310GH-P-E</t>
  </si>
  <si>
    <t>Punto de acceso Wi-Fi 5 para exterior 360°, IP 65, doble banda 802.11ac wave2, 1267 Mbps, 1 puerto GE, hasta 110 usuarios</t>
  </si>
  <si>
    <t>Router de Oficina PoE, Administrable en la Nube de Alto Rendimiento de 10 Puertos Gigabit</t>
  </si>
  <si>
    <t>RG-EST310V2</t>
  </si>
  <si>
    <t>Kit Completo 2-Pack / RG-EST310 V2 Puente Inalámbrico 802.11ac de Doble Flujo de 5 GHz y 1 KM</t>
  </si>
  <si>
    <t>RG-RAP6262</t>
  </si>
  <si>
    <t>Punto de acceso Wi-Fi 6 para exterior 360°, IP 68, doble banda 2.97 Gbps, puerto SFP ideal para fibra óptica, hasta 512 usuarios, protección</t>
  </si>
  <si>
    <t>RG-POE-AF15</t>
  </si>
  <si>
    <t>Adaptador PoE de 1 puerto</t>
  </si>
  <si>
    <t>NIS-GE-SFP-550M-MM850</t>
  </si>
  <si>
    <t>Transceptor Industrial Mini-Gbic SFP 1GB Multimodo LC Duplex hasta 550 m</t>
  </si>
  <si>
    <t>RG-AP680(CD)</t>
  </si>
  <si>
    <t>Punto de Acceso Inalámbrico Exterior de Alta Potencia y Doble Radio Wi-Fi 6 de 2.402 Gbps, Puerto Óptico de 1 Gbps</t>
  </si>
  <si>
    <t>RG-AP880-L</t>
  </si>
  <si>
    <t>RG-AP680-L</t>
  </si>
  <si>
    <t>Punto de acceso WiFi 6 para exterior omnidireccional 360°, IP68, hasta 2.976 Gbps, doble banda 802.11AX, MU-MIMO 2x2</t>
  </si>
  <si>
    <t>RG-AP680P-L</t>
  </si>
  <si>
    <t>Punto de acceso WiFi 6 para exterior omnidireccional 360°, IP68, hasta 5.951 Gbps, doble banda 802.11AX, MU-MIMO 4x4</t>
  </si>
  <si>
    <t>RG-EW1200</t>
  </si>
  <si>
    <t>RG-EW1300G</t>
  </si>
  <si>
    <t>Router Inalámbrico Wi-Fi AC Doble Banda, 1 Puerto WAN 10/100 y 3 Puertos LAN 10/100</t>
  </si>
  <si>
    <t>Router Mesh Gigabit de Doble Banda Wi-Fi 5 de 1300M, Wave 2, 5 Antenas Omnidireccionales y Plegables Proporcionando Señales Wi-Fi Fuertes</t>
  </si>
  <si>
    <t>RG-ES210GS-P</t>
  </si>
  <si>
    <t>Switch Administrable PoE con 8 Puertos Gigabit PoE 802.3af/at + 1 Puerto Uplink Gigabit + 1 Puerto Combo SFP/RJ45 Gigabit, Gestión Gratuita desde la Nube, 120W</t>
  </si>
  <si>
    <t>Punto de acceso interior Tri-Radio Wi-Fi 6E de 7.780 Gbps, puerto combinado de 5 Gbps</t>
  </si>
  <si>
    <t>RG-AP180</t>
  </si>
  <si>
    <t>RG-AP180-MNT</t>
  </si>
  <si>
    <t>Punto de Acceso Inalámbrico para Interior de Pared, Doble Banda Wi-Fi 6 de 1.775 Gbps, MU-MIMO 2X2, 4 Puertos Gigabit adicionales</t>
  </si>
  <si>
    <t>Montaje universal de pared para Access Point RG-AP180 - 10 Piezas</t>
  </si>
  <si>
    <t>RG-AP180P-L</t>
  </si>
  <si>
    <t>Punto de acceso Wi-Fi 6 para interior en pared hasta 2.9 Gbps doble banda 802.11AX MU-MIMO 2x2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</si>
</sst>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11" x14ac:knownFonts="1">
    <font>
      <sz val="11"/>
      <color theme="1"/>
      <name val="Aptos Narrow"/>
      <family val="2"/>
      <scheme val="minor"/>
    </font>
    <font>
      <sz val="11"/>
      <color theme="1"/>
      <name val="Aptos Narrow"/>
      <family val="2"/>
      <scheme val="minor"/>
    </font>
    <font>
      <sz val="11"/>
      <name val="Arial"/>
      <family val="2"/>
    </font>
    <font>
      <sz val="10"/>
      <name val="Aptos Narrow"/>
      <family val="2"/>
      <scheme val="minor"/>
    </font>
    <font>
      <sz val="10"/>
      <name val="Arial"/>
      <family val="2"/>
    </font>
    <font>
      <sz val="11"/>
      <name val="Aptos Narrow"/>
      <family val="2"/>
      <scheme val="minor"/>
    </font>
    <font>
      <b/>
      <sz val="11"/>
      <name val="Arial"/>
      <family val="2"/>
    </font>
    <font>
      <sz val="10"/>
      <color theme="0"/>
      <name val="Aptos Narrow"/>
      <family val="2"/>
      <scheme val="minor"/>
    </font>
    <font>
      <b/>
      <sz val="18"/>
      <name val="Aptos Black"/>
      <family val="2"/>
    </font>
    <font>
      <sz val="11"/>
      <name val="Arial"/>
    </font>
    <font>
      <b/>
      <sz val="11"/>
      <name val="Arial"/>
    </font>
  </fonts>
  <fills count="4">
    <fill>
      <patternFill patternType="none"/>
    </fill>
    <fill>
      <patternFill patternType="gray125"/>
    </fill>
    <fill>
      <patternFill patternType="solid">
        <fgColor theme="7" tint="0.79998168889431442"/>
        <bgColor theme="7" tint="0.79998168889431442"/>
      </patternFill>
    </fill>
    <fill>
      <patternFill patternType="solid">
        <fgColor rgb="FFFFFF00"/>
        <bgColor indexed="64"/>
      </patternFill>
    </fill>
  </fills>
  <borders count="7">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medium">
        <color rgb="FF5D6975"/>
      </bottom>
      <diagonal/>
    </border>
    <border>
      <left style="thin">
        <color rgb="FF000000"/>
      </left>
      <right style="thin">
        <color rgb="FF000000"/>
      </right>
      <top/>
      <bottom style="medium">
        <color rgb="FF5D6975"/>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4" fillId="0" borderId="0"/>
  </cellStyleXfs>
  <cellXfs count="33">
    <xf numFmtId="0" fontId="0" fillId="0" borderId="0" xfId="0"/>
    <xf numFmtId="0" fontId="2" fillId="0" borderId="0" xfId="0" applyFont="1"/>
    <xf numFmtId="164" fontId="2" fillId="0" borderId="0" xfId="1" applyNumberFormat="1" applyFont="1" applyAlignment="1">
      <alignment horizontal="left"/>
    </xf>
    <xf numFmtId="0" fontId="2" fillId="0" borderId="0" xfId="0" applyFont="1" applyAlignment="1">
      <alignment horizontal="left" wrapText="1"/>
    </xf>
    <xf numFmtId="0" fontId="2" fillId="0" borderId="0" xfId="0" applyFont="1" applyAlignment="1">
      <alignment horizontal="left"/>
    </xf>
    <xf numFmtId="164" fontId="2" fillId="0" borderId="1" xfId="1" applyNumberFormat="1" applyFont="1" applyFill="1" applyBorder="1" applyAlignment="1">
      <alignment horizontal="center" vertical="center"/>
    </xf>
    <xf numFmtId="0" fontId="2" fillId="0" borderId="1" xfId="0" applyFont="1" applyBorder="1" applyAlignment="1">
      <alignment horizontal="center" vertical="center"/>
    </xf>
    <xf numFmtId="164" fontId="2" fillId="0" borderId="2" xfId="1" applyNumberFormat="1" applyFont="1" applyFill="1" applyBorder="1" applyAlignment="1">
      <alignment horizontal="center" vertical="center"/>
    </xf>
    <xf numFmtId="0" fontId="2" fillId="0" borderId="2" xfId="0" applyFont="1" applyBorder="1" applyAlignment="1">
      <alignment horizontal="center" vertical="center"/>
    </xf>
    <xf numFmtId="164" fontId="3" fillId="0" borderId="2" xfId="1" applyNumberFormat="1" applyFont="1" applyBorder="1" applyAlignment="1">
      <alignment horizontal="left" vertical="center"/>
    </xf>
    <xf numFmtId="0" fontId="4" fillId="0" borderId="1" xfId="0" applyFont="1" applyBorder="1" applyAlignment="1">
      <alignment horizontal="left" vertical="center" wrapText="1"/>
    </xf>
    <xf numFmtId="0" fontId="3" fillId="0" borderId="2" xfId="0" applyFont="1" applyBorder="1" applyAlignment="1">
      <alignment horizontal="center" vertical="center"/>
    </xf>
    <xf numFmtId="0" fontId="3" fillId="0" borderId="2" xfId="0" applyFont="1" applyBorder="1" applyAlignment="1">
      <alignment horizontal="left" vertical="center" wrapText="1"/>
    </xf>
    <xf numFmtId="164" fontId="2" fillId="0" borderId="3" xfId="1" applyNumberFormat="1" applyFont="1" applyFill="1" applyBorder="1" applyAlignment="1">
      <alignment horizontal="center" vertical="center"/>
    </xf>
    <xf numFmtId="164" fontId="3" fillId="0" borderId="2" xfId="1" applyNumberFormat="1" applyFont="1" applyBorder="1" applyAlignment="1" applyProtection="1">
      <alignment horizontal="left" vertical="center"/>
      <protection locked="0"/>
    </xf>
    <xf numFmtId="0" fontId="6" fillId="0" borderId="4" xfId="0" applyFont="1" applyBorder="1" applyAlignment="1">
      <alignment horizontal="center" vertical="center"/>
    </xf>
    <xf numFmtId="0" fontId="6" fillId="0" borderId="5" xfId="0" applyFont="1" applyBorder="1" applyAlignment="1">
      <alignment horizontal="center" vertical="center"/>
    </xf>
    <xf numFmtId="164" fontId="6" fillId="0" borderId="5" xfId="1" applyNumberFormat="1" applyFont="1" applyBorder="1" applyAlignment="1">
      <alignment horizontal="center" vertical="center"/>
    </xf>
    <xf numFmtId="164" fontId="7" fillId="0" borderId="6" xfId="1" applyNumberFormat="1" applyFont="1" applyBorder="1" applyAlignment="1">
      <alignment horizontal="center" vertical="center" wrapText="1"/>
    </xf>
    <xf numFmtId="0" fontId="7" fillId="0" borderId="6" xfId="2" applyFont="1" applyBorder="1" applyAlignment="1">
      <alignment horizontal="center" vertical="center" wrapText="1"/>
    </xf>
    <xf numFmtId="0" fontId="7" fillId="0" borderId="6" xfId="2" applyFont="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applyAlignment="1">
      <alignment horizontal="centerContinuous" vertical="top" wrapText="1"/>
    </xf>
    <xf numFmtId="164" fontId="3" fillId="0" borderId="2" xfId="1" applyNumberFormat="1" applyFont="1" applyBorder="1" applyAlignment="1">
      <alignment horizontal="centerContinuous" vertical="center"/>
    </xf>
    <xf numFmtId="164" fontId="3" fillId="0" borderId="2" xfId="1" applyNumberFormat="1" applyFont="1" applyBorder="1" applyAlignment="1">
      <alignment horizontal="centerContinuous" vertical="center" wrapText="1"/>
    </xf>
    <xf numFmtId="164" fontId="2" fillId="2" borderId="2" xfId="1" applyNumberFormat="1" applyFont="1" applyFill="1" applyBorder="1" applyAlignment="1">
      <alignment horizontal="center" vertical="center"/>
    </xf>
    <xf numFmtId="0" fontId="8" fillId="0" borderId="2" xfId="0" applyFont="1" applyBorder="1" applyAlignment="1">
      <alignment horizontal="centerContinuous" vertical="center" wrapText="1"/>
    </xf>
    <xf numFmtId="0" fontId="3" fillId="0" borderId="0" xfId="0" applyFont="1" applyAlignment="1">
      <alignment horizontal="left" vertical="center" wrapText="1"/>
    </xf>
    <xf numFmtId="164" fontId="2" fillId="3" borderId="3" xfId="1" applyNumberFormat="1" applyFont="1" applyFill="1" applyBorder="1" applyAlignment="1">
      <alignment horizontal="center" vertical="center"/>
    </xf>
    <xf numFmtId="0" fontId="9" fillId="0" borderId="0" xfId="0" applyFont="1" applyAlignment="1">
      <alignment horizontal="center" vertical="center"/>
    </xf>
    <xf numFmtId="0" fontId="10" fillId="0" borderId="5" xfId="0" applyFont="1" applyBorder="1" applyAlignment="1">
      <alignment horizontal="center" vertical="center"/>
    </xf>
    <xf numFmtId="0" fontId="3" fillId="0" borderId="2" xfId="0" applyFont="1" applyBorder="1" applyAlignment="1">
      <alignment horizontal="center" vertical="center" wrapText="1"/>
    </xf>
    <xf numFmtId="164" fontId="2" fillId="2" borderId="1" xfId="1" applyNumberFormat="1" applyFont="1" applyFill="1" applyBorder="1" applyAlignment="1">
      <alignment horizontal="center" vertical="center"/>
    </xf>
  </cellXfs>
  <cellStyles count="3">
    <cellStyle name="Moneda" xfId="1" builtinId="4"/>
    <cellStyle name="Normal" xfId="0" builtinId="0"/>
    <cellStyle name="Normal 2" xfId="2" xr:uid="{5639885D-5D91-4A5F-ADC7-1E759144864D}"/>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scheme val="none"/>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rial"/>
        <scheme val="none"/>
      </font>
      <numFmt numFmtId="164" formatCode="_-&quot;$&quot;\ * #,##0_-;\-&quot;$&quot;\ * #,##0_-;_-&quot;$&quot;\ * &quot;-&quot;??_-;_-@_-"/>
      <fill>
        <patternFill patternType="none">
          <fgColor indexed="64"/>
          <bgColor auto="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ptos Narrow"/>
        <family val="2"/>
        <scheme val="minor"/>
      </font>
      <numFmt numFmtId="164" formatCode="_-&quot;$&quot;\ * #,##0_-;\-&quot;$&quot;\ * #,##0_-;_-&quot;$&quot;\ * &quot;-&quot;??_-;_-@_-"/>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64" formatCode="_-&quot;$&quot;\ * #,##0_-;\-&quot;$&quot;\ * #,##0_-;_-&quot;$&quot;\ * &quot;-&quot;??_-;_-@_-"/>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strike val="0"/>
        <outline val="0"/>
        <shadow val="0"/>
        <u val="none"/>
        <vertAlign val="baseline"/>
        <sz val="10"/>
        <color auto="1"/>
      </font>
      <fill>
        <patternFill patternType="none">
          <fgColor indexed="64"/>
          <bgColor auto="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0"/>
        <name val="Aptos Narrow"/>
        <family val="2"/>
        <scheme val="minor"/>
      </font>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rial"/>
        <scheme val="none"/>
      </font>
      <fill>
        <patternFill patternType="none">
          <fgColor indexed="64"/>
          <bgColor auto="1"/>
        </patternFill>
      </fill>
      <alignment horizontal="center" vertical="center" textRotation="0" wrapText="0" indent="0" justifyLastLine="0" shrinkToFit="0" readingOrder="0"/>
    </dxf>
    <dxf>
      <border outline="0">
        <bottom style="medium">
          <color rgb="FF5D6975"/>
        </bottom>
      </border>
    </dxf>
    <dxf>
      <font>
        <b/>
        <i val="0"/>
        <strike val="0"/>
        <condense val="0"/>
        <extend val="0"/>
        <outline val="0"/>
        <shadow val="0"/>
        <u val="none"/>
        <vertAlign val="baseline"/>
        <sz val="11"/>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test.uic.asso.fr/d_stats/online/synth200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cambiumnetworks.sharepoint.com/Users/mgl010/Documents/-%20Docs/Services/%20Services%20P&amp;L/%20-%202017%20Planning/I:/&#20491;&#21029;&#12499;&#12523;&#35413;&#20385;/&#26087;&#35413;&#20385;&#65404;&#65405;&#65411;&#65425;/0911&#25913;&#33391;&#26087;12&#24180;&#35413;&#20385;&#12471;&#12473;&#12486;&#12512;/H14&#24180;&#24230;/&#35336;&#31639;/user2/&#26087;&#35413;&#20385;&#65404;&#65405;&#65411;&#65425;/0911&#25913;&#33391;&#26087;12&#24180;&#35413;&#20385;&#12471;&#12473;&#12486;&#12512;/My%20Documents/12&#24180;&#25913;&#33391;&#20491;&#21029;&#35413;&#20385;&#12471;&#12473;&#12486;&#12512;/'0422/&#32207;&#21512;&#65288;&#22235;&#26376;&#21313;&#20108;&#26085;&#65289;.xls?274218D3" TargetMode="External"/><Relationship Id="rId1" Type="http://schemas.openxmlformats.org/officeDocument/2006/relationships/externalLinkPath" Target="file:///\\274218D3\&#32207;&#21512;&#65288;&#22235;&#26376;&#21313;&#20108;&#26085;&#652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ma0531f13\SYS1\Documents%20and%20Settings\bjagoe\My%20Documents\Data\First%20Reserve\Tri%20Tool\Tri%20Tool%20Templat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F:\CORPPLAN\1999\99PLAN\JAN7SUM.WK4"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crendon.HMV/Local%20Settings/Temporary%20Internet%20Files/OLK3/8599.xls" TargetMode="External"/><Relationship Id="rId1" Type="http://schemas.openxmlformats.org/officeDocument/2006/relationships/externalLinkPath" Target="/Documents%20and%20Settings/crendon.HMV/Local%20Settings/Temporary%20Internet%20Files/OLK3/859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ptyofsr50\KPMG\FAS\Users\TS\Non_Management\tshima\43%20Milky%20way\%3f%3f%3f%3f\grumpus\grumpus_1\Grampus%20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Lista%20de%20Precios%20-%20Cto\Internacionales\Cambium%20Networks\Vigente\C&#225;lculo%20LP%20Vta%20Cambium%20Networks%20(Noviembre%2010-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Y:\Analisis%20Semanal%20Cuadros\Informe%20de%20Inventarios\2019\Octubre\INFORME%20INVENTARIOS%20Octubre%2018-2019%20%20-%20Proyecto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pmg_server\c%20drive\aroyc\korea\templates-excel\jinroindustri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Pays"/>
      <sheetName val="Data_CF"/>
      <sheetName val="Pub"/>
      <sheetName val="rapport annuel"/>
      <sheetName val="miles conversions"/>
      <sheetName val="DataGraph"/>
      <sheetName val="Graph vertical"/>
      <sheetName val="Graph  Edition  Sti"/>
      <sheetName val="添付用"/>
      <sheetName val="添付用_所有"/>
      <sheetName val="synth2000"/>
      <sheetName val="List"/>
    </sheetNames>
    <sheetDataSet>
      <sheetData sheetId="0" refreshError="1"/>
      <sheetData sheetId="1" refreshError="1"/>
      <sheetData sheetId="2" refreshError="1">
        <row r="13">
          <cell r="H13" t="str">
            <v>AAE</v>
          </cell>
          <cell r="I13" t="str">
            <v xml:space="preserve">            "   </v>
          </cell>
          <cell r="J13" t="str">
            <v xml:space="preserve">        "   </v>
          </cell>
          <cell r="K13" t="str">
            <v xml:space="preserve">            "   </v>
          </cell>
          <cell r="L13">
            <v>10</v>
          </cell>
        </row>
        <row r="14">
          <cell r="H14" t="str">
            <v>GVG</v>
          </cell>
          <cell r="I14" t="str">
            <v xml:space="preserve">            "   </v>
          </cell>
          <cell r="J14" t="str">
            <v xml:space="preserve">        "   </v>
          </cell>
          <cell r="K14" t="str">
            <v xml:space="preserve">            "   </v>
          </cell>
          <cell r="L14">
            <v>0</v>
          </cell>
        </row>
        <row r="15">
          <cell r="H15" t="str">
            <v>KEG</v>
          </cell>
          <cell r="I15" t="str">
            <v xml:space="preserve">            "   </v>
          </cell>
          <cell r="J15" t="str">
            <v xml:space="preserve">        "   </v>
          </cell>
          <cell r="K15" t="str">
            <v xml:space="preserve">            "   </v>
          </cell>
          <cell r="L15">
            <v>54</v>
          </cell>
        </row>
        <row r="16">
          <cell r="H16" t="str">
            <v>ÖBB</v>
          </cell>
          <cell r="I16">
            <v>83.858999999999995</v>
          </cell>
          <cell r="J16">
            <v>8.2110000000000003</v>
          </cell>
          <cell r="K16">
            <v>97.914356240832831</v>
          </cell>
          <cell r="L16">
            <v>5683</v>
          </cell>
        </row>
        <row r="17">
          <cell r="H17" t="str">
            <v>GKE</v>
          </cell>
          <cell r="I17" t="str">
            <v xml:space="preserve">            "   </v>
          </cell>
          <cell r="J17" t="str">
            <v xml:space="preserve">        "   </v>
          </cell>
          <cell r="K17" t="str">
            <v xml:space="preserve">            "   </v>
          </cell>
          <cell r="L17">
            <v>97.486999999999995</v>
          </cell>
        </row>
        <row r="18">
          <cell r="H18" t="str">
            <v>SNCB/NMBS</v>
          </cell>
          <cell r="I18">
            <v>30.513999999999999</v>
          </cell>
          <cell r="J18">
            <v>10.161</v>
          </cell>
          <cell r="K18">
            <v>332.99469096152586</v>
          </cell>
          <cell r="L18">
            <v>3471</v>
          </cell>
        </row>
        <row r="19">
          <cell r="H19" t="str">
            <v>DSB</v>
          </cell>
          <cell r="I19">
            <v>43.093000000000004</v>
          </cell>
          <cell r="J19">
            <v>5.2930000000000001</v>
          </cell>
          <cell r="K19">
            <v>122.82737335530132</v>
          </cell>
          <cell r="L19">
            <v>0</v>
          </cell>
        </row>
        <row r="20">
          <cell r="H20" t="str">
            <v>BS</v>
          </cell>
          <cell r="I20" t="str">
            <v xml:space="preserve">            "   </v>
          </cell>
          <cell r="J20" t="str">
            <v xml:space="preserve">        "   </v>
          </cell>
          <cell r="K20" t="str">
            <v xml:space="preserve">            "   </v>
          </cell>
          <cell r="L20">
            <v>2047</v>
          </cell>
        </row>
        <row r="21">
          <cell r="H21" t="str">
            <v>RENFE</v>
          </cell>
          <cell r="I21">
            <v>504.78199999999998</v>
          </cell>
          <cell r="J21">
            <v>39.630000000000003</v>
          </cell>
          <cell r="K21">
            <v>78.50913859844448</v>
          </cell>
          <cell r="L21">
            <v>12310</v>
          </cell>
        </row>
        <row r="22">
          <cell r="H22" t="str">
            <v>Euskotren</v>
          </cell>
          <cell r="I22" t="str">
            <v xml:space="preserve">            "   </v>
          </cell>
          <cell r="J22" t="str">
            <v xml:space="preserve">        "   </v>
          </cell>
          <cell r="K22" t="str">
            <v xml:space="preserve">            "   </v>
          </cell>
          <cell r="L22">
            <v>178</v>
          </cell>
        </row>
        <row r="23">
          <cell r="H23" t="str">
            <v>FEVE</v>
          </cell>
          <cell r="I23" t="str">
            <v xml:space="preserve">            "   </v>
          </cell>
          <cell r="J23" t="str">
            <v xml:space="preserve">        "   </v>
          </cell>
          <cell r="K23" t="str">
            <v xml:space="preserve">            "   </v>
          </cell>
          <cell r="L23">
            <v>1194.0999999999999</v>
          </cell>
        </row>
        <row r="24">
          <cell r="H24" t="str">
            <v>FGC</v>
          </cell>
          <cell r="I24" t="str">
            <v xml:space="preserve">            "   </v>
          </cell>
          <cell r="J24" t="str">
            <v xml:space="preserve">        "   </v>
          </cell>
          <cell r="K24" t="str">
            <v xml:space="preserve">            "   </v>
          </cell>
          <cell r="L24">
            <v>184</v>
          </cell>
        </row>
        <row r="25">
          <cell r="H25" t="str">
            <v>VR</v>
          </cell>
          <cell r="I25">
            <v>338.14499999999998</v>
          </cell>
          <cell r="J25">
            <v>5.1760000000000002</v>
          </cell>
          <cell r="K25">
            <v>15.307042836652917</v>
          </cell>
          <cell r="L25">
            <v>0</v>
          </cell>
        </row>
        <row r="26">
          <cell r="H26" t="str">
            <v>RHK</v>
          </cell>
          <cell r="I26" t="str">
            <v xml:space="preserve">            "   </v>
          </cell>
          <cell r="J26" t="str">
            <v xml:space="preserve">        "   </v>
          </cell>
          <cell r="K26" t="str">
            <v xml:space="preserve">            "   </v>
          </cell>
          <cell r="L26">
            <v>5854</v>
          </cell>
        </row>
        <row r="27">
          <cell r="H27" t="str">
            <v>SNCF</v>
          </cell>
          <cell r="I27">
            <v>547.02599999999995</v>
          </cell>
          <cell r="J27">
            <v>59.08</v>
          </cell>
          <cell r="K27">
            <v>108.00217905547451</v>
          </cell>
          <cell r="L27">
            <v>0</v>
          </cell>
        </row>
        <row r="28">
          <cell r="H28" t="str">
            <v>RFF</v>
          </cell>
          <cell r="I28" t="str">
            <v xml:space="preserve">            "   </v>
          </cell>
          <cell r="J28" t="str">
            <v xml:space="preserve">        "   </v>
          </cell>
          <cell r="K28" t="str">
            <v xml:space="preserve">            "   </v>
          </cell>
          <cell r="L28">
            <v>32515</v>
          </cell>
        </row>
        <row r="29">
          <cell r="H29" t="str">
            <v>CH</v>
          </cell>
          <cell r="I29">
            <v>131.95699999999999</v>
          </cell>
          <cell r="J29">
            <v>10.645</v>
          </cell>
          <cell r="K29">
            <v>80.670218328697985</v>
          </cell>
          <cell r="L29">
            <v>2299</v>
          </cell>
        </row>
        <row r="30">
          <cell r="H30" t="str">
            <v>CIE</v>
          </cell>
          <cell r="I30">
            <v>70.283000000000001</v>
          </cell>
          <cell r="J30">
            <v>3.73</v>
          </cell>
          <cell r="K30">
            <v>53.071155186887296</v>
          </cell>
          <cell r="L30">
            <v>1915</v>
          </cell>
        </row>
        <row r="31">
          <cell r="H31" t="str">
            <v>FNME</v>
          </cell>
          <cell r="I31">
            <v>301.22500000000002</v>
          </cell>
          <cell r="J31">
            <v>57.298000000000002</v>
          </cell>
          <cell r="K31">
            <v>190.21661548676238</v>
          </cell>
          <cell r="L31">
            <v>321</v>
          </cell>
        </row>
        <row r="32">
          <cell r="H32" t="str">
            <v>FS SpA</v>
          </cell>
          <cell r="I32" t="str">
            <v xml:space="preserve">            "   </v>
          </cell>
          <cell r="J32" t="str">
            <v xml:space="preserve">        "   </v>
          </cell>
          <cell r="K32" t="str">
            <v xml:space="preserve">            "   </v>
          </cell>
          <cell r="L32">
            <v>16178</v>
          </cell>
        </row>
        <row r="33">
          <cell r="H33" t="str">
            <v>CFL</v>
          </cell>
          <cell r="I33">
            <v>2.5859999999999999</v>
          </cell>
          <cell r="J33">
            <v>0.43099999999999999</v>
          </cell>
          <cell r="K33">
            <v>166.66666666666669</v>
          </cell>
          <cell r="L33">
            <v>274</v>
          </cell>
        </row>
        <row r="34">
          <cell r="H34" t="str">
            <v>NS N.V.</v>
          </cell>
          <cell r="I34">
            <v>41.527999999999999</v>
          </cell>
          <cell r="J34">
            <v>15.786</v>
          </cell>
          <cell r="K34">
            <v>380.12906954344055</v>
          </cell>
          <cell r="L34">
            <v>0</v>
          </cell>
        </row>
        <row r="35">
          <cell r="H35" t="str">
            <v>Railion</v>
          </cell>
          <cell r="I35" t="str">
            <v xml:space="preserve">            "   </v>
          </cell>
          <cell r="J35" t="str">
            <v xml:space="preserve">        "   </v>
          </cell>
          <cell r="K35" t="str">
            <v xml:space="preserve">            "   </v>
          </cell>
          <cell r="L35">
            <v>0</v>
          </cell>
        </row>
        <row r="36">
          <cell r="H36" t="str">
            <v>RIM</v>
          </cell>
          <cell r="I36" t="str">
            <v xml:space="preserve">            "   </v>
          </cell>
          <cell r="J36" t="str">
            <v xml:space="preserve">        "   </v>
          </cell>
          <cell r="K36" t="str">
            <v xml:space="preserve">            "   </v>
          </cell>
          <cell r="L36">
            <v>2802</v>
          </cell>
        </row>
        <row r="37">
          <cell r="H37" t="str">
            <v>CP</v>
          </cell>
          <cell r="I37">
            <v>92.081999999999994</v>
          </cell>
          <cell r="J37">
            <v>9.875</v>
          </cell>
          <cell r="K37">
            <v>107.24137182076845</v>
          </cell>
          <cell r="L37">
            <v>0</v>
          </cell>
        </row>
        <row r="38">
          <cell r="H38" t="str">
            <v>REFER</v>
          </cell>
          <cell r="I38" t="str">
            <v xml:space="preserve">            "   </v>
          </cell>
          <cell r="J38" t="str">
            <v xml:space="preserve">        "   </v>
          </cell>
          <cell r="K38" t="str">
            <v xml:space="preserve">            "   </v>
          </cell>
          <cell r="L38">
            <v>2814</v>
          </cell>
        </row>
        <row r="39">
          <cell r="H39" t="str">
            <v>ATOC</v>
          </cell>
          <cell r="I39">
            <v>244.04599999999999</v>
          </cell>
          <cell r="J39">
            <v>58.83</v>
          </cell>
          <cell r="K39">
            <v>241.0611114298124</v>
          </cell>
          <cell r="L39">
            <v>0</v>
          </cell>
        </row>
        <row r="40">
          <cell r="H40" t="str">
            <v>Total freight operators</v>
          </cell>
          <cell r="I40" t="str">
            <v xml:space="preserve">            "   </v>
          </cell>
          <cell r="J40" t="str">
            <v xml:space="preserve">        "   </v>
          </cell>
          <cell r="K40" t="str">
            <v xml:space="preserve">            "   </v>
          </cell>
          <cell r="L40">
            <v>0</v>
          </cell>
        </row>
        <row r="41">
          <cell r="H41" t="str">
            <v>Eurotunnel</v>
          </cell>
          <cell r="I41" t="str">
            <v xml:space="preserve">            "   </v>
          </cell>
          <cell r="J41" t="str">
            <v xml:space="preserve">        "   </v>
          </cell>
          <cell r="K41" t="str">
            <v xml:space="preserve">            "   </v>
          </cell>
          <cell r="L41">
            <v>58</v>
          </cell>
        </row>
        <row r="42">
          <cell r="H42" t="str">
            <v>NIR</v>
          </cell>
          <cell r="I42" t="str">
            <v xml:space="preserve">            "   </v>
          </cell>
          <cell r="J42" t="str">
            <v xml:space="preserve">        "   </v>
          </cell>
          <cell r="K42" t="str">
            <v xml:space="preserve">            "   </v>
          </cell>
          <cell r="L42">
            <v>357</v>
          </cell>
        </row>
        <row r="43">
          <cell r="H43" t="str">
            <v>Railtrack</v>
          </cell>
          <cell r="I43" t="str">
            <v xml:space="preserve">            "   </v>
          </cell>
          <cell r="J43" t="str">
            <v xml:space="preserve">        "   </v>
          </cell>
          <cell r="K43" t="str">
            <v xml:space="preserve">            "   </v>
          </cell>
          <cell r="L43">
            <v>16652</v>
          </cell>
        </row>
        <row r="44">
          <cell r="G44" t="str">
            <v>2)</v>
          </cell>
          <cell r="H44" t="str">
            <v>SJ</v>
          </cell>
          <cell r="I44">
            <v>449.964</v>
          </cell>
          <cell r="J44">
            <v>8.91</v>
          </cell>
          <cell r="K44">
            <v>19.801584126730138</v>
          </cell>
          <cell r="L44">
            <v>0</v>
          </cell>
        </row>
        <row r="45">
          <cell r="H45" t="str">
            <v>MTAB</v>
          </cell>
          <cell r="I45" t="str">
            <v xml:space="preserve">            "   </v>
          </cell>
          <cell r="J45" t="str">
            <v xml:space="preserve">        "   </v>
          </cell>
          <cell r="K45" t="str">
            <v xml:space="preserve">            "   </v>
          </cell>
          <cell r="L45">
            <v>0</v>
          </cell>
        </row>
        <row r="46">
          <cell r="H46" t="str">
            <v>BV</v>
          </cell>
          <cell r="I46" t="str">
            <v xml:space="preserve">            "   </v>
          </cell>
          <cell r="J46" t="str">
            <v xml:space="preserve">        "   </v>
          </cell>
          <cell r="K46" t="str">
            <v xml:space="preserve">            "   </v>
          </cell>
          <cell r="L46">
            <v>9946</v>
          </cell>
        </row>
        <row r="47">
          <cell r="H47" t="str">
            <v>BK</v>
          </cell>
          <cell r="I47" t="str">
            <v xml:space="preserve">            "   </v>
          </cell>
          <cell r="J47" t="str">
            <v xml:space="preserve">        "   </v>
          </cell>
          <cell r="K47" t="str">
            <v xml:space="preserve">            "   </v>
          </cell>
          <cell r="L47">
            <v>0</v>
          </cell>
        </row>
        <row r="48">
          <cell r="I48">
            <v>3238.0489999999986</v>
          </cell>
          <cell r="J48">
            <v>375.27600000000001</v>
          </cell>
          <cell r="K48">
            <v>115.89571374614781</v>
          </cell>
          <cell r="L48">
            <v>153801.587</v>
          </cell>
        </row>
        <row r="49">
          <cell r="H49" t="str">
            <v>NSB BA</v>
          </cell>
          <cell r="I49">
            <v>386.95800000000003</v>
          </cell>
          <cell r="J49">
            <v>4.4649999999999999</v>
          </cell>
          <cell r="K49">
            <v>11.538719964440585</v>
          </cell>
          <cell r="L49">
            <v>0</v>
          </cell>
        </row>
        <row r="50">
          <cell r="H50" t="str">
            <v>MTAS</v>
          </cell>
          <cell r="I50" t="str">
            <v xml:space="preserve">            "   </v>
          </cell>
          <cell r="J50" t="str">
            <v xml:space="preserve">        "   </v>
          </cell>
          <cell r="K50" t="str">
            <v xml:space="preserve">            "   </v>
          </cell>
          <cell r="L50">
            <v>0</v>
          </cell>
        </row>
        <row r="51">
          <cell r="H51" t="str">
            <v>JBV</v>
          </cell>
          <cell r="I51" t="str">
            <v xml:space="preserve">            "   </v>
          </cell>
          <cell r="J51" t="str">
            <v xml:space="preserve">        "   </v>
          </cell>
          <cell r="K51" t="str">
            <v xml:space="preserve">            "   </v>
          </cell>
          <cell r="L51">
            <v>4179</v>
          </cell>
        </row>
        <row r="52">
          <cell r="H52" t="str">
            <v>BLS</v>
          </cell>
          <cell r="I52">
            <v>41.283999999999999</v>
          </cell>
          <cell r="J52">
            <v>7.3860000000000001</v>
          </cell>
          <cell r="K52">
            <v>178.90708264703034</v>
          </cell>
          <cell r="L52">
            <v>241</v>
          </cell>
        </row>
        <row r="53">
          <cell r="H53" t="str">
            <v>CFF/SBB/FFS</v>
          </cell>
          <cell r="I53" t="str">
            <v xml:space="preserve">            "   </v>
          </cell>
          <cell r="J53" t="str">
            <v xml:space="preserve">        "   </v>
          </cell>
          <cell r="K53" t="str">
            <v xml:space="preserve">            "   </v>
          </cell>
          <cell r="L53">
            <v>2902</v>
          </cell>
        </row>
        <row r="54">
          <cell r="I54">
            <v>3666.2909999999988</v>
          </cell>
          <cell r="J54">
            <v>387.12700000000001</v>
          </cell>
          <cell r="K54">
            <v>105.59090917769488</v>
          </cell>
          <cell r="L54">
            <v>161123.587</v>
          </cell>
        </row>
        <row r="55">
          <cell r="H55" t="str">
            <v>HSh</v>
          </cell>
          <cell r="I55">
            <v>28.748000000000001</v>
          </cell>
          <cell r="J55">
            <v>3.113</v>
          </cell>
          <cell r="K55">
            <v>108.28579379435091</v>
          </cell>
          <cell r="L55">
            <v>440</v>
          </cell>
        </row>
        <row r="56">
          <cell r="H56" t="str">
            <v>ZBH</v>
          </cell>
          <cell r="I56">
            <v>51.128999999999998</v>
          </cell>
          <cell r="J56">
            <v>3.972</v>
          </cell>
          <cell r="K56">
            <v>77.685853429560524</v>
          </cell>
          <cell r="L56">
            <v>608.495</v>
          </cell>
        </row>
        <row r="57">
          <cell r="H57" t="str">
            <v>ZRS</v>
          </cell>
          <cell r="I57" t="str">
            <v xml:space="preserve">            "   </v>
          </cell>
          <cell r="J57" t="str">
            <v xml:space="preserve">        "   </v>
          </cell>
          <cell r="K57" t="str">
            <v xml:space="preserve">            "   </v>
          </cell>
          <cell r="L57">
            <v>424</v>
          </cell>
        </row>
        <row r="58">
          <cell r="H58" t="str">
            <v>BDZ</v>
          </cell>
          <cell r="I58">
            <v>110.91200000000001</v>
          </cell>
          <cell r="J58">
            <v>8.2249999999999996</v>
          </cell>
          <cell r="K58">
            <v>74.157890940565494</v>
          </cell>
          <cell r="L58">
            <v>4320</v>
          </cell>
        </row>
        <row r="59">
          <cell r="H59" t="str">
            <v>HZ</v>
          </cell>
          <cell r="I59">
            <v>56.537999999999997</v>
          </cell>
          <cell r="J59">
            <v>4.4729999999999999</v>
          </cell>
          <cell r="K59">
            <v>79.114931550461634</v>
          </cell>
          <cell r="L59">
            <v>2726.8</v>
          </cell>
        </row>
        <row r="60">
          <cell r="H60" t="str">
            <v>GYSEV/RÖEE</v>
          </cell>
          <cell r="I60">
            <v>93.03</v>
          </cell>
          <cell r="J60">
            <v>10.036</v>
          </cell>
          <cell r="K60">
            <v>107.87917875953993</v>
          </cell>
          <cell r="L60">
            <v>220</v>
          </cell>
        </row>
        <row r="61">
          <cell r="H61" t="str">
            <v>MÁV Rt.</v>
          </cell>
          <cell r="I61" t="str">
            <v xml:space="preserve">            "   </v>
          </cell>
          <cell r="J61" t="str">
            <v xml:space="preserve">        "   </v>
          </cell>
          <cell r="K61" t="str">
            <v xml:space="preserve">            "   </v>
          </cell>
          <cell r="L61">
            <v>7784</v>
          </cell>
        </row>
        <row r="62">
          <cell r="H62" t="str">
            <v>CFARYM</v>
          </cell>
          <cell r="I62">
            <v>25.713000000000001</v>
          </cell>
          <cell r="J62">
            <v>2.024</v>
          </cell>
          <cell r="K62">
            <v>78.715046863454276</v>
          </cell>
          <cell r="L62">
            <v>699</v>
          </cell>
        </row>
        <row r="63">
          <cell r="H63" t="str">
            <v>PKP</v>
          </cell>
          <cell r="I63">
            <v>312.685</v>
          </cell>
          <cell r="J63">
            <v>38.765000000000001</v>
          </cell>
          <cell r="K63">
            <v>123.97460703263668</v>
          </cell>
          <cell r="L63">
            <v>22560</v>
          </cell>
        </row>
        <row r="64">
          <cell r="H64" t="str">
            <v>CFR</v>
          </cell>
          <cell r="I64">
            <v>238.39099999999999</v>
          </cell>
          <cell r="J64">
            <v>22.327000000000002</v>
          </cell>
          <cell r="K64">
            <v>93.657059201060449</v>
          </cell>
          <cell r="L64">
            <v>11364</v>
          </cell>
        </row>
        <row r="65">
          <cell r="H65" t="str">
            <v>ZSR</v>
          </cell>
          <cell r="I65">
            <v>49</v>
          </cell>
          <cell r="J65">
            <v>5.3869999999999996</v>
          </cell>
          <cell r="K65">
            <v>109.93877551020408</v>
          </cell>
          <cell r="L65">
            <v>3662</v>
          </cell>
        </row>
        <row r="66">
          <cell r="H66" t="str">
            <v>SZ</v>
          </cell>
          <cell r="I66">
            <v>20.256</v>
          </cell>
          <cell r="J66">
            <v>1.986</v>
          </cell>
          <cell r="K66">
            <v>98.045023696682463</v>
          </cell>
          <cell r="L66">
            <v>1201.5</v>
          </cell>
        </row>
        <row r="67">
          <cell r="H67" t="str">
            <v>CD</v>
          </cell>
          <cell r="I67">
            <v>78.864000000000004</v>
          </cell>
          <cell r="J67">
            <v>10.244</v>
          </cell>
          <cell r="K67">
            <v>129.89450192736862</v>
          </cell>
          <cell r="L67">
            <v>9365</v>
          </cell>
        </row>
        <row r="68">
          <cell r="H68" t="str">
            <v>JZ</v>
          </cell>
          <cell r="I68">
            <v>102.173</v>
          </cell>
          <cell r="J68">
            <v>10.64</v>
          </cell>
          <cell r="K68">
            <v>104.13710079962416</v>
          </cell>
          <cell r="L68">
            <v>4057.7</v>
          </cell>
        </row>
        <row r="69">
          <cell r="I69">
            <v>1167.4389999999999</v>
          </cell>
          <cell r="J69">
            <v>121.19200000000001</v>
          </cell>
          <cell r="K69">
            <v>103.81013483359732</v>
          </cell>
          <cell r="L69">
            <v>69432.494999999995</v>
          </cell>
        </row>
        <row r="71">
          <cell r="H71" t="str">
            <v>BC</v>
          </cell>
          <cell r="I71">
            <v>207.6</v>
          </cell>
          <cell r="J71">
            <v>10.236000000000001</v>
          </cell>
          <cell r="K71">
            <v>49.306358381502896</v>
          </cell>
          <cell r="L71">
            <v>5512</v>
          </cell>
        </row>
        <row r="72">
          <cell r="H72" t="str">
            <v>EVR</v>
          </cell>
          <cell r="I72">
            <v>45.225999999999999</v>
          </cell>
          <cell r="J72">
            <v>1.3959999999999999</v>
          </cell>
          <cell r="K72">
            <v>30.867200283023038</v>
          </cell>
          <cell r="L72">
            <v>968</v>
          </cell>
        </row>
        <row r="73">
          <cell r="H73" t="str">
            <v>LDZ</v>
          </cell>
          <cell r="I73">
            <v>64.616</v>
          </cell>
          <cell r="J73">
            <v>2.3570000000000002</v>
          </cell>
          <cell r="K73">
            <v>36.477033552061407</v>
          </cell>
          <cell r="L73">
            <v>2331</v>
          </cell>
        </row>
        <row r="74">
          <cell r="H74" t="str">
            <v>LG</v>
          </cell>
          <cell r="I74">
            <v>65.3</v>
          </cell>
          <cell r="J74">
            <v>3.67</v>
          </cell>
          <cell r="K74">
            <v>56.202143950995413</v>
          </cell>
          <cell r="L74">
            <v>1905</v>
          </cell>
        </row>
        <row r="75">
          <cell r="H75" t="str">
            <v>CFM (E)</v>
          </cell>
          <cell r="I75">
            <v>33.76</v>
          </cell>
          <cell r="J75">
            <v>4.38</v>
          </cell>
          <cell r="K75">
            <v>129.739336492891</v>
          </cell>
          <cell r="L75">
            <v>1139</v>
          </cell>
        </row>
        <row r="76">
          <cell r="H76" t="str">
            <v>RZD</v>
          </cell>
          <cell r="I76">
            <v>17075.400000000001</v>
          </cell>
          <cell r="J76">
            <v>146.934</v>
          </cell>
          <cell r="K76">
            <v>8.6050107171720711</v>
          </cell>
          <cell r="L76">
            <v>86075</v>
          </cell>
        </row>
        <row r="77">
          <cell r="H77" t="str">
            <v>UZ</v>
          </cell>
          <cell r="I77">
            <v>603.70000000000005</v>
          </cell>
          <cell r="J77">
            <v>50.456000000000003</v>
          </cell>
          <cell r="K77">
            <v>83.577936060957427</v>
          </cell>
          <cell r="L77">
            <v>22302</v>
          </cell>
        </row>
        <row r="78">
          <cell r="I78">
            <v>18095.602000000003</v>
          </cell>
          <cell r="J78">
            <v>219.42899999999997</v>
          </cell>
          <cell r="K78">
            <v>12.126095611519304</v>
          </cell>
          <cell r="L78">
            <v>120232</v>
          </cell>
        </row>
        <row r="79">
          <cell r="H79" t="str">
            <v>TCDD</v>
          </cell>
          <cell r="I79">
            <v>779.452</v>
          </cell>
          <cell r="J79">
            <v>66.590999999999994</v>
          </cell>
          <cell r="K79">
            <v>85.433099151711716</v>
          </cell>
          <cell r="L79">
            <v>8671</v>
          </cell>
        </row>
        <row r="80">
          <cell r="I80">
            <v>23708.784000000003</v>
          </cell>
          <cell r="J80">
            <v>794.33900000000006</v>
          </cell>
          <cell r="K80">
            <v>33.503995818596181</v>
          </cell>
          <cell r="L80">
            <v>359459.08199999999</v>
          </cell>
        </row>
        <row r="81">
          <cell r="I81" t="str">
            <v>Tausend</v>
          </cell>
          <cell r="J81" t="str">
            <v>Millionen</v>
          </cell>
          <cell r="K81" t="str">
            <v>Einwohner</v>
          </cell>
          <cell r="L81" t="str">
            <v>in Kilometer</v>
          </cell>
        </row>
        <row r="82">
          <cell r="I82" t="str">
            <v>km²</v>
          </cell>
          <cell r="K82" t="str">
            <v>/km²</v>
          </cell>
          <cell r="L82" t="str">
            <v>Gesamt-</v>
          </cell>
        </row>
        <row r="83">
          <cell r="I83" t="str">
            <v>Fläche des</v>
          </cell>
          <cell r="J83" t="str">
            <v>Bevölke-</v>
          </cell>
          <cell r="K83" t="str">
            <v>Bevölke-</v>
          </cell>
          <cell r="L83" t="str">
            <v>summe</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過程シート"/>
      <sheetName val="メイン"/>
      <sheetName val="BS"/>
      <sheetName val="土地賃貸借契約の概要"/>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s"/>
      <sheetName val="To do"/>
      <sheetName val="Issues"/>
      <sheetName val="Requests"/>
      <sheetName val="Questions2"/>
      <sheetName val="Questions1"/>
      <sheetName val="Non op ex"/>
      <sheetName val="Summary IS"/>
      <sheetName val="A"/>
      <sheetName val="Historical IS"/>
      <sheetName val="Hist sales GM"/>
      <sheetName val="EBITDA"/>
      <sheetName val="R&amp;D Rpt"/>
      <sheetName val="R&amp;D"/>
      <sheetName val="Selling Rpt"/>
      <sheetName val="Selling"/>
      <sheetName val="G&amp;A rpt"/>
      <sheetName val="G&amp;A"/>
      <sheetName val="Hdct"/>
      <sheetName val="Other op ex"/>
      <sheetName val="Notes"/>
      <sheetName val="Sheet1"/>
      <sheetName val="DSO"/>
      <sheetName val="NWC graph"/>
      <sheetName val="Income Statement"/>
      <sheetName val="Controls"/>
      <sheetName val="D&amp;A"/>
      <sheetName val="graphs"/>
      <sheetName val="PIA Identifiers"/>
      <sheetName val="Fund Managers"/>
      <sheetName val="Long-Term Care Comps"/>
      <sheetName val="Football"/>
      <sheetName val="LBO Valuation Analysis"/>
      <sheetName val="Sheet1 (2)"/>
      <sheetName val="Sheet3"/>
      <sheetName val="Buy"/>
      <sheetName val="Summary"/>
      <sheetName val="Spin 1"/>
      <sheetName val="Sec Equity"/>
      <sheetName val="GRAPH &amp; SOURCE DATA"/>
      <sheetName val="Projections"/>
      <sheetName val="LBO Assumptions"/>
      <sheetName val="Sale"/>
      <sheetName val="Split"/>
      <sheetName val="TargetDCF"/>
      <sheetName val="Contents"/>
      <sheetName val="model"/>
      <sheetName val="Over"/>
      <sheetName val="P&amp;L"/>
      <sheetName val="Shipping"/>
      <sheetName val="NWCG"/>
      <sheetName val="Valuation Characteristics"/>
      <sheetName val="2010 Liquidity"/>
      <sheetName val="Sheet2"/>
      <sheetName val="Tri Tool Template"/>
      <sheetName val="Input"/>
      <sheetName val="Herramientas para análisis-VBA"/>
      <sheetName val="Valuation Comments"/>
      <sheetName val="Exemption Codes"/>
      <sheetName val="Income Codes"/>
      <sheetName val="Recipient and WHA Status Codes"/>
      <sheetName val="Other drop down options"/>
      <sheetName val="Pivot Unbilled Rev"/>
      <sheetName val="Variance Details"/>
      <sheetName val="Invoices thru Sep"/>
      <sheetName val="Invoices through October"/>
      <sheetName val="103.02 H2O Unbilled Rev GL Dtl"/>
      <sheetName val="Cynthia Rev Sch_Oct as of 11-30"/>
      <sheetName val="Pivot Unbilled PTEs"/>
      <sheetName val="103.03 H2O Unbilled PTEs GL Dtl"/>
      <sheetName val="lookups"/>
      <sheetName val="Ranpak"/>
      <sheetName val="To_do"/>
      <sheetName val="Non_op_ex"/>
      <sheetName val="Summary_IS"/>
      <sheetName val="Historical_IS"/>
      <sheetName val="Hist_sales_GM"/>
      <sheetName val="R&amp;D_Rpt"/>
      <sheetName val="Selling_Rpt"/>
      <sheetName val="G&amp;A_rpt"/>
      <sheetName val="Other_op_ex"/>
      <sheetName val="NWC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sheetData sheetId="76"/>
      <sheetData sheetId="77"/>
      <sheetData sheetId="78"/>
      <sheetData sheetId="79"/>
      <sheetData sheetId="80"/>
      <sheetData sheetId="8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dec3 sum"/>
      <sheetName val="asp"/>
      <sheetName val="sap"/>
      <sheetName val="assumptions"/>
      <sheetName val="F"/>
      <sheetName val="cost bonus"/>
      <sheetName val="cost bonus2"/>
      <sheetName val="bod opex"/>
      <sheetName val="chrono"/>
      <sheetName val="revenue"/>
      <sheetName val="units"/>
      <sheetName val="highlights"/>
      <sheetName val="engineering"/>
      <sheetName val="cost file"/>
      <sheetName val="sga"/>
      <sheetName val="sga2"/>
      <sheetName val="Historical IS"/>
      <sheetName val="添付用"/>
      <sheetName val="添付用_所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
          <cell r="P10">
            <v>91.7</v>
          </cell>
          <cell r="Q10">
            <v>109.1</v>
          </cell>
          <cell r="R10">
            <v>120.8</v>
          </cell>
        </row>
        <row r="45">
          <cell r="P45">
            <v>148.1</v>
          </cell>
          <cell r="Q45">
            <v>177</v>
          </cell>
          <cell r="R45">
            <v>217.70000000000002</v>
          </cell>
        </row>
        <row r="46">
          <cell r="P46">
            <v>152.30000000000001</v>
          </cell>
          <cell r="Q46">
            <v>188.4</v>
          </cell>
          <cell r="R46">
            <v>213.9</v>
          </cell>
        </row>
        <row r="77">
          <cell r="P77">
            <v>371.2</v>
          </cell>
          <cell r="Q77">
            <v>432</v>
          </cell>
          <cell r="R77">
            <v>468.30000000000007</v>
          </cell>
        </row>
        <row r="78">
          <cell r="P78">
            <v>0</v>
          </cell>
          <cell r="Q78">
            <v>0</v>
          </cell>
          <cell r="R78">
            <v>97.9</v>
          </cell>
        </row>
        <row r="81">
          <cell r="P81" t="str">
            <v xml:space="preserve">1996 </v>
          </cell>
          <cell r="Q81" t="str">
            <v xml:space="preserve">1997 </v>
          </cell>
          <cell r="R81" t="str">
            <v xml:space="preserve">1998 </v>
          </cell>
        </row>
        <row r="82">
          <cell r="P82">
            <v>267.2</v>
          </cell>
          <cell r="Q82">
            <v>326</v>
          </cell>
          <cell r="R82">
            <v>368.1</v>
          </cell>
        </row>
      </sheetData>
      <sheetData sheetId="11" refreshError="1"/>
      <sheetData sheetId="12" refreshError="1"/>
      <sheetData sheetId="13" refreshError="1">
        <row r="7">
          <cell r="P7">
            <v>14.247999999999999</v>
          </cell>
          <cell r="Q7">
            <v>15.250999999999999</v>
          </cell>
          <cell r="R7">
            <v>15.183999999999999</v>
          </cell>
          <cell r="S7">
            <v>14.958</v>
          </cell>
          <cell r="T7">
            <v>26.911000000000001</v>
          </cell>
        </row>
        <row r="16">
          <cell r="P16">
            <v>4.2850000000000001</v>
          </cell>
          <cell r="Q16">
            <v>5.1609999999999996</v>
          </cell>
          <cell r="R16">
            <v>3.298</v>
          </cell>
          <cell r="S16">
            <v>1.7840000000000007</v>
          </cell>
          <cell r="T16">
            <v>10.664000000000001</v>
          </cell>
        </row>
        <row r="42">
          <cell r="Q42">
            <v>14.349999999999998</v>
          </cell>
          <cell r="R42">
            <v>16.510999999999999</v>
          </cell>
          <cell r="S42">
            <v>21.537000000000003</v>
          </cell>
          <cell r="U42">
            <v>17.942999999999998</v>
          </cell>
          <cell r="V42">
            <v>20.970999999999997</v>
          </cell>
          <cell r="W42">
            <v>26.556000000000004</v>
          </cell>
        </row>
        <row r="46">
          <cell r="Q46">
            <v>4.51</v>
          </cell>
          <cell r="R46">
            <v>10.840999999999999</v>
          </cell>
          <cell r="S46">
            <v>14.196999999999999</v>
          </cell>
          <cell r="U46">
            <v>2.0550000000000002</v>
          </cell>
          <cell r="V46">
            <v>2.6640000000000001</v>
          </cell>
          <cell r="W46">
            <v>1.796</v>
          </cell>
        </row>
        <row r="48">
          <cell r="Q48" t="str">
            <v xml:space="preserve">1996 </v>
          </cell>
          <cell r="R48" t="str">
            <v xml:space="preserve">1997 </v>
          </cell>
          <cell r="S48" t="str">
            <v xml:space="preserve">1998 </v>
          </cell>
        </row>
        <row r="49">
          <cell r="Q49">
            <v>2.2290000000000001</v>
          </cell>
          <cell r="R49">
            <v>1</v>
          </cell>
          <cell r="S49">
            <v>1.8</v>
          </cell>
        </row>
        <row r="50">
          <cell r="Q50">
            <v>0</v>
          </cell>
          <cell r="R50">
            <v>0</v>
          </cell>
          <cell r="S50">
            <v>0</v>
          </cell>
        </row>
      </sheetData>
      <sheetData sheetId="14" refreshError="1"/>
      <sheetData sheetId="15" refreshError="1">
        <row r="7">
          <cell r="P7">
            <v>149.6</v>
          </cell>
          <cell r="Q7">
            <v>165.2</v>
          </cell>
          <cell r="R7">
            <v>192</v>
          </cell>
        </row>
        <row r="9">
          <cell r="P9" t="str">
            <v xml:space="preserve">1996 </v>
          </cell>
          <cell r="Q9" t="str">
            <v xml:space="preserve">1997 </v>
          </cell>
          <cell r="R9" t="str">
            <v xml:space="preserve">1998 </v>
          </cell>
        </row>
        <row r="10">
          <cell r="P10">
            <v>22.780569514237854</v>
          </cell>
          <cell r="Q10">
            <v>21.338155515370701</v>
          </cell>
          <cell r="R10">
            <v>20.210695447398745</v>
          </cell>
        </row>
        <row r="11">
          <cell r="P11">
            <v>22.780569514237854</v>
          </cell>
          <cell r="Q11">
            <v>21.338155515370701</v>
          </cell>
          <cell r="R11">
            <v>19.7207855179179</v>
          </cell>
        </row>
        <row r="12">
          <cell r="P12">
            <v>22.780569514237854</v>
          </cell>
          <cell r="Q12">
            <v>21.338155515370701</v>
          </cell>
          <cell r="R12">
            <v>21.925515939079265</v>
          </cell>
        </row>
      </sheetData>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entacion"/>
      <sheetName val="Ejecutivo"/>
      <sheetName val="Resumen_Real"/>
      <sheetName val="TablasDinamicas"/>
      <sheetName val="HorasDetalladas"/>
      <sheetName val="46W9"/>
      <sheetName val="46W9_Hoja1"/>
      <sheetName val="46W9_Cuadro de costos"/>
      <sheetName val="46W9_Bases"/>
      <sheetName val="46W9_ASPECTOS ELECTRICOS"/>
      <sheetName val="46W9_OBRAS CIVILES"/>
      <sheetName val="46W9_Costo directos"/>
      <sheetName val="46W9_Resumen Costo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総括"/>
      <sheetName val="重要総括事項"/>
      <sheetName val="実態分析"/>
      <sheetName val="関係会社投融資評価"/>
      <sheetName val="BS・PL・CF"/>
      <sheetName val="10年"/>
      <sheetName val="デュポン"/>
      <sheetName val="部門別"/>
      <sheetName val="円"/>
      <sheetName val="棒"/>
      <sheetName val="バブル"/>
      <sheetName val="損益"/>
      <sheetName val="人員推移"/>
      <sheetName val="運転資金"/>
      <sheetName val="余剰資産"/>
      <sheetName val="売上債権"/>
      <sheetName val="売上債権 (2)"/>
      <sheetName val="売上債権 (3)"/>
      <sheetName val="貸倒実績"/>
      <sheetName val="棚卸資産"/>
      <sheetName val="棚卸資産 (2)"/>
      <sheetName val="その他流動資産"/>
      <sheetName val="有形・無形固定資産"/>
      <sheetName val="有形・無形固定資産 (減価償却費)"/>
      <sheetName val="有形・無形固定資産 (償却率)"/>
      <sheetName val="有形・無形固定資産 (設備投資)"/>
      <sheetName val="リース債務"/>
      <sheetName val="投資有価証券・貸付金"/>
      <sheetName val="その他投資等"/>
      <sheetName val="仕入債務"/>
      <sheetName val="仕入債務 (2)"/>
      <sheetName val="社債・借入金・現金預金"/>
      <sheetName val="借入金返済スケジュール"/>
      <sheetName val="その他負債"/>
      <sheetName val="退職給付引当金"/>
      <sheetName val="退職給付引当金 (3)"/>
      <sheetName val="資本の部"/>
      <sheetName val="売上高(得意先別）"/>
      <sheetName val="売上高(部門別)"/>
      <sheetName val="売上原価"/>
      <sheetName val="販管費 (本社その他)"/>
      <sheetName val="販管費"/>
      <sheetName val="物流費"/>
      <sheetName val="販売費"/>
      <sheetName val="人件費"/>
      <sheetName val="管理費"/>
      <sheetName val="営業外損益"/>
      <sheetName val="特別損益"/>
      <sheetName val="税金関係"/>
      <sheetName val="税効果"/>
      <sheetName val="不使用（担保提供資産）"/>
      <sheetName val="税金関係 (2)"/>
      <sheetName val="保証債務 "/>
      <sheetName val="関係会社取引"/>
      <sheetName val="03bs"/>
      <sheetName val="02bs"/>
      <sheetName val="01bs"/>
      <sheetName val="03pl"/>
      <sheetName val="02pl"/>
      <sheetName val="01pl"/>
      <sheetName val="Compdata"/>
      <sheetName val="Billto"/>
      <sheetName val="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 VTA LAIRD"/>
      <sheetName val="LP VTA CAMBIUM"/>
      <sheetName val="Cálculo LPVta Laird"/>
      <sheetName val="Cálculo LPVta Cambium"/>
      <sheetName val="STOCK"/>
      <sheetName val="EPMP "/>
      <sheetName val="CnPilot"/>
      <sheetName val="CORE"/>
    </sheetNames>
    <sheetDataSet>
      <sheetData sheetId="0"/>
      <sheetData sheetId="1"/>
      <sheetData sheetId="2"/>
      <sheetData sheetId="3">
        <row r="4">
          <cell r="AA4">
            <v>0.2</v>
          </cell>
        </row>
      </sheetData>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Total Proyectos"/>
      <sheetName val="AXIS Octubre 21-19"/>
      <sheetName val="KANTECH Octubre 21-19"/>
      <sheetName val="FURUKAWA Octubre 21-19"/>
      <sheetName val="TRENDnet Octubre 21-19"/>
      <sheetName val="Bod (01-06-Sat) Proyectos"/>
      <sheetName val="Outlet Proyectos"/>
      <sheetName val="Bazar Proyectos"/>
      <sheetName val="Resumen_Inv"/>
    </sheetNames>
    <sheetDataSet>
      <sheetData sheetId="0"/>
      <sheetData sheetId="1"/>
      <sheetData sheetId="2"/>
      <sheetData sheetId="3"/>
      <sheetData sheetId="4"/>
      <sheetData sheetId="5"/>
      <sheetData sheetId="6"/>
      <sheetData sheetId="7"/>
      <sheetData sheetId="8">
        <row r="66">
          <cell r="I66">
            <v>3630216739.0694995</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Borrower&amp;Loan Basics"/>
      <sheetName val="Credit Review&amp;Bus Desc"/>
      <sheetName val="Repayment Terms"/>
      <sheetName val="BS &amp; Cap"/>
      <sheetName val="Financials"/>
      <sheetName val="JIN Fin"/>
      <sheetName val="bus-valuation"/>
      <sheetName val="JIN B-S &amp; Cap"/>
      <sheetName val="JIN- Valuation"/>
      <sheetName val="Valuation"/>
      <sheetName val="JIN- PX"/>
      <sheetName val="Comps"/>
      <sheetName val="JIN Sales"/>
      <sheetName val="DEBTS"/>
      <sheetName val="Assets"/>
      <sheetName val="JIN Affilates"/>
      <sheetName val="#REF"/>
      <sheetName val="jinroindustries"/>
      <sheetName val="Keibai"/>
      <sheetName val="計算過程シート"/>
      <sheetName val="部門別(売上-EBIT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98BF32-A99B-4702-B077-4C7D73B13A99}" name="Tabla131" displayName="Tabla131" ref="A1:L101" totalsRowShown="0" headerRowDxfId="22" dataDxfId="20" headerRowBorderDxfId="21" tableBorderDxfId="19" totalsRowBorderDxfId="18">
  <sortState xmlns:xlrd2="http://schemas.microsoft.com/office/spreadsheetml/2017/richdata2" ref="A2:K101">
    <sortCondition sortBy="fontColor" ref="A2:A101" dxfId="17"/>
  </sortState>
  <tableColumns count="12">
    <tableColumn id="3" xr3:uid="{B3E94EA9-81C0-4496-B22D-4B95AD691639}" name="REFERENCIA" dataDxfId="16"/>
    <tableColumn id="4" xr3:uid="{230FDD39-CE24-471B-AE92-A5D0CD5B0E04}" name="DESCRIPCION" dataDxfId="15"/>
    <tableColumn id="10" xr3:uid="{8E895038-C22B-4A7E-B3F7-EAE01436A865}" name="PRECIO INSTALLER (CON IVA)" dataDxfId="14" dataCellStyle="Moneda">
      <calculatedColumnFormula>+Tabla131[[#This Row],[COSTO CON IVA]]/Tabla131[[#This Row],[UTILIDAD]]</calculatedColumnFormula>
    </tableColumn>
    <tableColumn id="12" xr3:uid="{84EA1204-4AE9-4130-ACFB-1ABBC1698453}" name="PRECIO TIENDA (CON IVA)" dataDxfId="13" dataCellStyle="Moneda">
      <calculatedColumnFormula>+Tabla131[[#This Row],[PRECIO INSTALLER (CON IVA)]]-Tabla131[[#This Row],[Columna4]]</calculatedColumnFormula>
    </tableColumn>
    <tableColumn id="13" xr3:uid="{C7FC99CB-5332-4028-AD7B-116CC64919F7}" name="PRECIO CLIENTE FINAL (CON IVA)" dataDxfId="12" dataCellStyle="Moneda">
      <calculatedColumnFormula>+Tabla131[[#This Row],[PRECIO INSTALLER (CON IVA)]]/0.7</calculatedColumnFormula>
    </tableColumn>
    <tableColumn id="11" xr3:uid="{7D70C417-E1EA-4CC1-A785-913ACD544A5A}" name="Columna4" dataDxfId="11" dataCellStyle="Moneda">
      <calculatedColumnFormula>+Tabla131[[#This Row],[PRECIO INSTALLER (CON IVA)]]*5%</calculatedColumnFormula>
    </tableColumn>
    <tableColumn id="5" xr3:uid="{59E8338C-FFF6-4877-ACE1-F501FB5F4E20}" name="UTILIDAD" dataDxfId="10"/>
    <tableColumn id="6" xr3:uid="{7482055E-1CA9-42A1-B1E5-034096A27A0C}" name="COSTO CON IVA" dataDxfId="9" dataCellStyle="Moneda">
      <calculatedColumnFormula>+Tabla131[[#This Row],[COSTO]]*1.19</calculatedColumnFormula>
    </tableColumn>
    <tableColumn id="7" xr3:uid="{4F711DEE-A0C6-434C-B69F-99B7627160D2}" name="Columna1" dataDxfId="8"/>
    <tableColumn id="14" xr3:uid="{703E522A-B7DE-4145-96FC-896F763458EB}" name="Columna12" dataDxfId="7"/>
    <tableColumn id="9" xr3:uid="{0E58BA4F-13D9-4008-96ED-72881C5F9F54}" name="COSTO" dataDxfId="6" dataCellStyle="Moneda"/>
    <tableColumn id="1" xr3:uid="{1A01E0A7-0E52-4ED3-AF7E-B1F326DB454B}" name="Columna2" dataDxfId="5"/>
  </tableColumns>
  <tableStyleInfo name="TableStyleMedium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yscomcolombia.com/producto/RG-AP680(CD)-RUIJIE-208081.html" TargetMode="External"/><Relationship Id="rId1" Type="http://schemas.openxmlformats.org/officeDocument/2006/relationships/hyperlink" Target="https://www.syscomcolombia.com/principal/searchcont?route=RG-RAP1200(P)-MNT-RUIJIE-209834&amp;autodetect=RG-EW1200GPRO"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3897F-6901-4763-9501-907F521418DD}">
  <dimension ref="A1:L101"/>
  <sheetViews>
    <sheetView showGridLines="0" tabSelected="1" view="pageBreakPreview" zoomScale="60" zoomScaleNormal="100" workbookViewId="0">
      <pane ySplit="1" topLeftCell="A45" activePane="bottomLeft" state="frozen"/>
      <selection activeCell="D1" sqref="D1"/>
      <selection pane="bottomLeft" activeCell="O48" sqref="O48"/>
    </sheetView>
  </sheetViews>
  <sheetFormatPr baseColWidth="10" defaultRowHeight="14.25" x14ac:dyDescent="0.2"/>
  <cols>
    <col min="1" max="1" width="24.42578125" style="4" customWidth="1"/>
    <col min="2" max="2" width="48.42578125" style="3" customWidth="1"/>
    <col min="3" max="6" width="21.5703125" style="2" customWidth="1"/>
    <col min="7" max="7" width="12" style="1" customWidth="1"/>
    <col min="8" max="8" width="15.42578125" style="1" customWidth="1"/>
    <col min="9" max="10" width="2" style="1" customWidth="1"/>
    <col min="11" max="11" width="15.5703125" style="1" customWidth="1"/>
    <col min="12" max="16384" width="11.42578125" style="1"/>
  </cols>
  <sheetData>
    <row r="1" spans="1:12" ht="45" customHeight="1" thickBot="1" x14ac:dyDescent="0.25">
      <c r="A1" s="20" t="s">
        <v>71</v>
      </c>
      <c r="B1" s="19" t="s">
        <v>70</v>
      </c>
      <c r="C1" s="18" t="s">
        <v>69</v>
      </c>
      <c r="D1" s="18" t="s">
        <v>68</v>
      </c>
      <c r="E1" s="18" t="s">
        <v>67</v>
      </c>
      <c r="F1" s="17" t="s">
        <v>66</v>
      </c>
      <c r="G1" s="16" t="s">
        <v>65</v>
      </c>
      <c r="H1" s="16" t="s">
        <v>64</v>
      </c>
      <c r="I1" s="16" t="s">
        <v>63</v>
      </c>
      <c r="J1" s="16" t="s">
        <v>62</v>
      </c>
      <c r="K1" s="15" t="s">
        <v>61</v>
      </c>
      <c r="L1" s="30" t="s">
        <v>94</v>
      </c>
    </row>
    <row r="2" spans="1:12" ht="27" x14ac:dyDescent="0.2">
      <c r="A2" s="11" t="s">
        <v>60</v>
      </c>
      <c r="B2" s="12" t="s">
        <v>59</v>
      </c>
      <c r="C2" s="9">
        <f>+Tabla131[[#This Row],[COSTO CON IVA]]/Tabla131[[#This Row],[UTILIDAD]]</f>
        <v>330587.59999999998</v>
      </c>
      <c r="D2" s="9">
        <f>+Tabla131[[#This Row],[PRECIO INSTALLER (CON IVA)]]-Tabla131[[#This Row],[Columna4]]</f>
        <v>314058.21999999997</v>
      </c>
      <c r="E2" s="9">
        <f>+Tabla131[[#This Row],[PRECIO INSTALLER (CON IVA)]]/0.7</f>
        <v>472268</v>
      </c>
      <c r="F2" s="9">
        <f>+Tabla131[[#This Row],[PRECIO INSTALLER (CON IVA)]]*5%</f>
        <v>16529.38</v>
      </c>
      <c r="G2" s="8">
        <v>0.85</v>
      </c>
      <c r="H2" s="7">
        <f>+Tabla131[[#This Row],[COSTO]]*1.19</f>
        <v>280999.45999999996</v>
      </c>
      <c r="I2" s="8"/>
      <c r="J2" s="8"/>
      <c r="K2" s="13">
        <v>236134</v>
      </c>
      <c r="L2" s="29"/>
    </row>
    <row r="3" spans="1:12" ht="27" x14ac:dyDescent="0.2">
      <c r="A3" s="11" t="s">
        <v>58</v>
      </c>
      <c r="B3" s="12" t="s">
        <v>57</v>
      </c>
      <c r="C3" s="9">
        <f>+Tabla131[[#This Row],[COSTO CON IVA]]/Tabla131[[#This Row],[UTILIDAD]]</f>
        <v>59410.399999999994</v>
      </c>
      <c r="D3" s="9">
        <f>+Tabla131[[#This Row],[PRECIO INSTALLER (CON IVA)]]-Tabla131[[#This Row],[Columna4]]</f>
        <v>56439.88</v>
      </c>
      <c r="E3" s="9">
        <f>+Tabla131[[#This Row],[PRECIO INSTALLER (CON IVA)]]/0.7</f>
        <v>84872</v>
      </c>
      <c r="F3" s="9">
        <f>+Tabla131[[#This Row],[PRECIO INSTALLER (CON IVA)]]*5%</f>
        <v>2970.52</v>
      </c>
      <c r="G3" s="8">
        <v>0.85</v>
      </c>
      <c r="H3" s="7">
        <f>+Tabla131[[#This Row],[COSTO]]*1.19</f>
        <v>50498.84</v>
      </c>
      <c r="I3" s="8"/>
      <c r="J3" s="8"/>
      <c r="K3" s="13">
        <v>42436</v>
      </c>
      <c r="L3" s="29"/>
    </row>
    <row r="4" spans="1:12" x14ac:dyDescent="0.2">
      <c r="A4" s="11" t="s">
        <v>56</v>
      </c>
      <c r="B4" s="12" t="s">
        <v>55</v>
      </c>
      <c r="C4" s="9">
        <f>+Tabla131[[#This Row],[COSTO CON IVA]]/Tabla131[[#This Row],[UTILIDAD]]</f>
        <v>67666.2</v>
      </c>
      <c r="D4" s="9">
        <f>+Tabla131[[#This Row],[PRECIO INSTALLER (CON IVA)]]-Tabla131[[#This Row],[Columna4]]</f>
        <v>64282.89</v>
      </c>
      <c r="E4" s="9">
        <f>+Tabla131[[#This Row],[PRECIO INSTALLER (CON IVA)]]/0.7</f>
        <v>96666</v>
      </c>
      <c r="F4" s="9">
        <f>+Tabla131[[#This Row],[PRECIO INSTALLER (CON IVA)]]*5%</f>
        <v>3383.31</v>
      </c>
      <c r="G4" s="8">
        <v>0.85</v>
      </c>
      <c r="H4" s="7">
        <f>+Tabla131[[#This Row],[COSTO]]*1.19</f>
        <v>57516.27</v>
      </c>
      <c r="I4" s="8"/>
      <c r="J4" s="8">
        <v>47143</v>
      </c>
      <c r="K4" s="13">
        <v>48333</v>
      </c>
      <c r="L4" s="29"/>
    </row>
    <row r="5" spans="1:12" ht="27" x14ac:dyDescent="0.2">
      <c r="A5" s="11" t="s">
        <v>54</v>
      </c>
      <c r="B5" s="12" t="s">
        <v>53</v>
      </c>
      <c r="C5" s="9">
        <f>+Tabla131[[#This Row],[COSTO CON IVA]]/Tabla131[[#This Row],[UTILIDAD]]</f>
        <v>61058.200000000004</v>
      </c>
      <c r="D5" s="9">
        <f>+Tabla131[[#This Row],[PRECIO INSTALLER (CON IVA)]]-Tabla131[[#This Row],[Columna4]]</f>
        <v>58005.29</v>
      </c>
      <c r="E5" s="9">
        <f>+Tabla131[[#This Row],[PRECIO INSTALLER (CON IVA)]]/0.7</f>
        <v>87226.000000000015</v>
      </c>
      <c r="F5" s="9">
        <f>+Tabla131[[#This Row],[PRECIO INSTALLER (CON IVA)]]*5%</f>
        <v>3052.9100000000003</v>
      </c>
      <c r="G5" s="8">
        <v>0.85</v>
      </c>
      <c r="H5" s="7">
        <f>+Tabla131[[#This Row],[COSTO]]*1.19</f>
        <v>51899.47</v>
      </c>
      <c r="I5" s="8"/>
      <c r="J5" s="8"/>
      <c r="K5" s="13">
        <v>43613</v>
      </c>
      <c r="L5" s="29"/>
    </row>
    <row r="6" spans="1:12" x14ac:dyDescent="0.2">
      <c r="A6" s="11" t="s">
        <v>52</v>
      </c>
      <c r="B6" s="12" t="s">
        <v>51</v>
      </c>
      <c r="C6" s="9">
        <f>+Tabla131[[#This Row],[COSTO CON IVA]]/Tabla131[[#This Row],[UTILIDAD]]</f>
        <v>656275.53409090906</v>
      </c>
      <c r="D6" s="9">
        <f>+Tabla131[[#This Row],[PRECIO INSTALLER (CON IVA)]]-Tabla131[[#This Row],[Columna4]]</f>
        <v>623461.75738636358</v>
      </c>
      <c r="E6" s="9">
        <f>+Tabla131[[#This Row],[PRECIO INSTALLER (CON IVA)]]/0.7</f>
        <v>937536.47727272729</v>
      </c>
      <c r="F6" s="9">
        <f>+Tabla131[[#This Row],[PRECIO INSTALLER (CON IVA)]]*5%</f>
        <v>32813.776704545453</v>
      </c>
      <c r="G6" s="8">
        <v>0.88</v>
      </c>
      <c r="H6" s="7">
        <f>+Tabla131[[#This Row],[COSTO]]*1.19</f>
        <v>577522.47</v>
      </c>
      <c r="I6" s="8"/>
      <c r="J6" s="8"/>
      <c r="K6" s="13">
        <v>485313</v>
      </c>
      <c r="L6" s="29"/>
    </row>
    <row r="7" spans="1:12" x14ac:dyDescent="0.2">
      <c r="A7" s="11" t="s">
        <v>50</v>
      </c>
      <c r="B7" s="12" t="s">
        <v>49</v>
      </c>
      <c r="C7" s="9">
        <f>+Tabla131[[#This Row],[COSTO CON IVA]]/Tabla131[[#This Row],[UTILIDAD]]</f>
        <v>642353.6</v>
      </c>
      <c r="D7" s="9">
        <f>+Tabla131[[#This Row],[PRECIO INSTALLER (CON IVA)]]-Tabla131[[#This Row],[Columna4]]</f>
        <v>610235.91999999993</v>
      </c>
      <c r="E7" s="9">
        <f>+Tabla131[[#This Row],[PRECIO INSTALLER (CON IVA)]]/0.7</f>
        <v>917648</v>
      </c>
      <c r="F7" s="9">
        <f>+Tabla131[[#This Row],[PRECIO INSTALLER (CON IVA)]]*5%</f>
        <v>32117.68</v>
      </c>
      <c r="G7" s="8">
        <v>0.85</v>
      </c>
      <c r="H7" s="7">
        <f>+Tabla131[[#This Row],[COSTO]]*1.19</f>
        <v>546000.55999999994</v>
      </c>
      <c r="I7" s="8"/>
      <c r="J7" s="8"/>
      <c r="K7" s="13">
        <v>458824</v>
      </c>
      <c r="L7" s="29"/>
    </row>
    <row r="8" spans="1:12" ht="40.5" x14ac:dyDescent="0.2">
      <c r="A8" s="11" t="s">
        <v>48</v>
      </c>
      <c r="B8" s="12" t="s">
        <v>47</v>
      </c>
      <c r="C8" s="9">
        <f>+Tabla131[[#This Row],[COSTO CON IVA]]/Tabla131[[#This Row],[UTILIDAD]]</f>
        <v>509412.39999999997</v>
      </c>
      <c r="D8" s="9">
        <f>+Tabla131[[#This Row],[PRECIO INSTALLER (CON IVA)]]-Tabla131[[#This Row],[Columna4]]</f>
        <v>483941.77999999997</v>
      </c>
      <c r="E8" s="9">
        <f>+Tabla131[[#This Row],[PRECIO INSTALLER (CON IVA)]]/0.7</f>
        <v>727732</v>
      </c>
      <c r="F8" s="9">
        <f>+Tabla131[[#This Row],[PRECIO INSTALLER (CON IVA)]]*5%</f>
        <v>25470.62</v>
      </c>
      <c r="G8" s="8">
        <v>0.85</v>
      </c>
      <c r="H8" s="7">
        <f>+Tabla131[[#This Row],[COSTO]]*1.19</f>
        <v>433000.54</v>
      </c>
      <c r="I8" s="8"/>
      <c r="J8" s="8"/>
      <c r="K8" s="13">
        <v>363866</v>
      </c>
      <c r="L8" s="29"/>
    </row>
    <row r="9" spans="1:12" x14ac:dyDescent="0.2">
      <c r="A9" s="11" t="s">
        <v>46</v>
      </c>
      <c r="B9" s="12" t="s">
        <v>45</v>
      </c>
      <c r="C9" s="9">
        <f>+Tabla131[[#This Row],[COSTO CON IVA]]/Tabla131[[#This Row],[UTILIDAD]]</f>
        <v>632221.87777777773</v>
      </c>
      <c r="D9" s="9">
        <f>+Tabla131[[#This Row],[PRECIO INSTALLER (CON IVA)]]-Tabla131[[#This Row],[Columna4]]</f>
        <v>600610.78388888889</v>
      </c>
      <c r="E9" s="9">
        <f>+Tabla131[[#This Row],[PRECIO INSTALLER (CON IVA)]]/0.7</f>
        <v>903174.11111111112</v>
      </c>
      <c r="F9" s="9">
        <f>+Tabla131[[#This Row],[PRECIO INSTALLER (CON IVA)]]*5%</f>
        <v>31611.093888888889</v>
      </c>
      <c r="G9" s="8">
        <v>0.9</v>
      </c>
      <c r="H9" s="7">
        <f>+Tabla131[[#This Row],[COSTO]]*1.19</f>
        <v>568999.68999999994</v>
      </c>
      <c r="I9" s="8"/>
      <c r="J9" s="8"/>
      <c r="K9" s="13">
        <v>478151</v>
      </c>
      <c r="L9" s="29"/>
    </row>
    <row r="10" spans="1:12" ht="40.5" x14ac:dyDescent="0.2">
      <c r="A10" s="11" t="s">
        <v>44</v>
      </c>
      <c r="B10" s="12" t="s">
        <v>43</v>
      </c>
      <c r="C10" s="9">
        <f>+Tabla131[[#This Row],[COSTO CON IVA]]/Tabla131[[#This Row],[UTILIDAD]]</f>
        <v>753409.28409090906</v>
      </c>
      <c r="D10" s="9">
        <f>+Tabla131[[#This Row],[PRECIO INSTALLER (CON IVA)]]-Tabla131[[#This Row],[Columna4]]</f>
        <v>715738.81988636358</v>
      </c>
      <c r="E10" s="9">
        <f>+Tabla131[[#This Row],[PRECIO INSTALLER (CON IVA)]]/0.7</f>
        <v>1076298.9772727273</v>
      </c>
      <c r="F10" s="9">
        <f>+Tabla131[[#This Row],[PRECIO INSTALLER (CON IVA)]]*5%</f>
        <v>37670.464204545453</v>
      </c>
      <c r="G10" s="8">
        <v>0.88</v>
      </c>
      <c r="H10" s="7">
        <f>+Tabla131[[#This Row],[COSTO]]*1.19</f>
        <v>663000.16999999993</v>
      </c>
      <c r="I10" s="8"/>
      <c r="J10" s="8"/>
      <c r="K10" s="28">
        <v>557143</v>
      </c>
      <c r="L10" s="29" t="s">
        <v>93</v>
      </c>
    </row>
    <row r="11" spans="1:12" x14ac:dyDescent="0.2">
      <c r="A11" s="11" t="s">
        <v>42</v>
      </c>
      <c r="B11" s="12" t="s">
        <v>41</v>
      </c>
      <c r="C11" s="9">
        <f>+Tabla131[[#This Row],[COSTO CON IVA]]/Tabla131[[#This Row],[UTILIDAD]]</f>
        <v>77529.2</v>
      </c>
      <c r="D11" s="9">
        <f>+Tabla131[[#This Row],[PRECIO INSTALLER (CON IVA)]]-Tabla131[[#This Row],[Columna4]]</f>
        <v>73652.739999999991</v>
      </c>
      <c r="E11" s="9">
        <f>+Tabla131[[#This Row],[PRECIO INSTALLER (CON IVA)]]/0.7</f>
        <v>110756</v>
      </c>
      <c r="F11" s="9">
        <f>+Tabla131[[#This Row],[PRECIO INSTALLER (CON IVA)]]*5%</f>
        <v>3876.46</v>
      </c>
      <c r="G11" s="8">
        <v>0.85</v>
      </c>
      <c r="H11" s="7">
        <f>+Tabla131[[#This Row],[COSTO]]*1.19</f>
        <v>65899.819999999992</v>
      </c>
      <c r="I11" s="8"/>
      <c r="J11" s="8"/>
      <c r="K11" s="13">
        <v>55378</v>
      </c>
      <c r="L11" s="29"/>
    </row>
    <row r="12" spans="1:12" x14ac:dyDescent="0.2">
      <c r="A12" s="11" t="s">
        <v>40</v>
      </c>
      <c r="B12" s="12" t="s">
        <v>39</v>
      </c>
      <c r="C12" s="9">
        <f>+Tabla131[[#This Row],[COSTO CON IVA]]/Tabla131[[#This Row],[UTILIDAD]]</f>
        <v>653520</v>
      </c>
      <c r="D12" s="9">
        <f>+Tabla131[[#This Row],[PRECIO INSTALLER (CON IVA)]]-Tabla131[[#This Row],[Columna4]]</f>
        <v>620844</v>
      </c>
      <c r="E12" s="9">
        <f>+Tabla131[[#This Row],[PRECIO INSTALLER (CON IVA)]]/0.7</f>
        <v>933600.00000000012</v>
      </c>
      <c r="F12" s="9">
        <f>+Tabla131[[#This Row],[PRECIO INSTALLER (CON IVA)]]*5%</f>
        <v>32676</v>
      </c>
      <c r="G12" s="8">
        <v>0.85</v>
      </c>
      <c r="H12" s="7">
        <f>+Tabla131[[#This Row],[COSTO]]*1.19</f>
        <v>555492</v>
      </c>
      <c r="I12" s="8"/>
      <c r="J12" s="8"/>
      <c r="K12" s="13">
        <v>466800</v>
      </c>
      <c r="L12" s="29"/>
    </row>
    <row r="13" spans="1:12" ht="67.5" x14ac:dyDescent="0.2">
      <c r="A13" s="11" t="s">
        <v>74</v>
      </c>
      <c r="B13" s="12" t="s">
        <v>82</v>
      </c>
      <c r="C13" s="9">
        <f>+Tabla131[[#This Row],[COSTO CON IVA]]/Tabla131[[#This Row],[UTILIDAD]]</f>
        <v>1072941.7999999998</v>
      </c>
      <c r="D13" s="9">
        <f>+Tabla131[[#This Row],[PRECIO INSTALLER (CON IVA)]]-Tabla131[[#This Row],[Columna4]]</f>
        <v>1019294.7099999998</v>
      </c>
      <c r="E13" s="9">
        <f>+Tabla131[[#This Row],[PRECIO INSTALLER (CON IVA)]]/0.7</f>
        <v>1532773.9999999998</v>
      </c>
      <c r="F13" s="9">
        <f>+Tabla131[[#This Row],[PRECIO INSTALLER (CON IVA)]]*5%</f>
        <v>53647.09</v>
      </c>
      <c r="G13" s="8">
        <v>0.85</v>
      </c>
      <c r="H13" s="7">
        <f>+Tabla131[[#This Row],[COSTO]]*1.19</f>
        <v>912000.52999999991</v>
      </c>
      <c r="K13" s="13">
        <v>766387</v>
      </c>
      <c r="L13" s="29"/>
    </row>
    <row r="14" spans="1:12" ht="40.5" x14ac:dyDescent="0.2">
      <c r="A14" s="11" t="s">
        <v>99</v>
      </c>
      <c r="B14" s="12" t="s">
        <v>100</v>
      </c>
      <c r="C14" s="9">
        <f>+Tabla131[[#This Row],[COSTO CON IVA]]/Tabla131[[#This Row],[UTILIDAD]]</f>
        <v>1080504.5999999999</v>
      </c>
      <c r="D14" s="9">
        <f>+Tabla131[[#This Row],[PRECIO INSTALLER (CON IVA)]]-Tabla131[[#This Row],[Columna4]]</f>
        <v>1026479.3699999999</v>
      </c>
      <c r="E14" s="9">
        <f>+Tabla131[[#This Row],[PRECIO INSTALLER (CON IVA)]]/0.7</f>
        <v>1543578</v>
      </c>
      <c r="F14" s="9">
        <f>+Tabla131[[#This Row],[PRECIO INSTALLER (CON IVA)]]*5%</f>
        <v>54025.229999999996</v>
      </c>
      <c r="G14" s="8">
        <v>0.85</v>
      </c>
      <c r="H14" s="7">
        <f>+Tabla131[[#This Row],[COSTO]]*1.19</f>
        <v>918428.90999999992</v>
      </c>
      <c r="K14" s="13">
        <v>771789</v>
      </c>
      <c r="L14" s="29"/>
    </row>
    <row r="15" spans="1:12" ht="67.5" x14ac:dyDescent="0.2">
      <c r="A15" s="11" t="s">
        <v>98</v>
      </c>
      <c r="B15" s="12" t="s">
        <v>83</v>
      </c>
      <c r="C15" s="9">
        <f>+Tabla131[[#This Row],[COSTO CON IVA]]/Tabla131[[#This Row],[UTILIDAD]]</f>
        <v>1759800</v>
      </c>
      <c r="D15" s="9">
        <f>+Tabla131[[#This Row],[PRECIO INSTALLER (CON IVA)]]-Tabla131[[#This Row],[Columna4]]</f>
        <v>1671810</v>
      </c>
      <c r="E15" s="9">
        <f>+Tabla131[[#This Row],[PRECIO INSTALLER (CON IVA)]]/0.7</f>
        <v>2514000</v>
      </c>
      <c r="F15" s="9">
        <f>+Tabla131[[#This Row],[PRECIO INSTALLER (CON IVA)]]*5%</f>
        <v>87990</v>
      </c>
      <c r="G15" s="8">
        <v>0.85</v>
      </c>
      <c r="H15" s="7">
        <f>+Tabla131[[#This Row],[COSTO]]*1.19</f>
        <v>1495830</v>
      </c>
      <c r="K15" s="13">
        <v>1257000</v>
      </c>
      <c r="L15" s="29"/>
    </row>
    <row r="16" spans="1:12" ht="40.5" x14ac:dyDescent="0.2">
      <c r="A16" s="11" t="s">
        <v>75</v>
      </c>
      <c r="B16" s="12" t="s">
        <v>84</v>
      </c>
      <c r="C16" s="9">
        <f>+Tabla131[[#This Row],[COSTO CON IVA]]/Tabla131[[#This Row],[UTILIDAD]]</f>
        <v>210588</v>
      </c>
      <c r="D16" s="9">
        <f>+Tabla131[[#This Row],[PRECIO INSTALLER (CON IVA)]]-Tabla131[[#This Row],[Columna4]]</f>
        <v>200058.6</v>
      </c>
      <c r="E16" s="9">
        <f>+Tabla131[[#This Row],[PRECIO INSTALLER (CON IVA)]]/0.7</f>
        <v>300840</v>
      </c>
      <c r="F16" s="9">
        <f>+Tabla131[[#This Row],[PRECIO INSTALLER (CON IVA)]]*5%</f>
        <v>10529.400000000001</v>
      </c>
      <c r="G16" s="8">
        <v>0.85</v>
      </c>
      <c r="H16" s="7">
        <f>+Tabla131[[#This Row],[COSTO]]*1.19</f>
        <v>178999.8</v>
      </c>
      <c r="K16" s="13">
        <v>150420</v>
      </c>
      <c r="L16" s="29"/>
    </row>
    <row r="17" spans="1:12" ht="54" x14ac:dyDescent="0.2">
      <c r="A17" s="11" t="s">
        <v>76</v>
      </c>
      <c r="B17" s="12" t="s">
        <v>85</v>
      </c>
      <c r="C17" s="9">
        <f>+Tabla131[[#This Row],[COSTO CON IVA]]/Tabla131[[#This Row],[UTILIDAD]]</f>
        <v>122906</v>
      </c>
      <c r="D17" s="9">
        <f>+Tabla131[[#This Row],[PRECIO INSTALLER (CON IVA)]]-Tabla131[[#This Row],[Columna4]]</f>
        <v>116760.7</v>
      </c>
      <c r="E17" s="9">
        <f>+Tabla131[[#This Row],[PRECIO INSTALLER (CON IVA)]]/0.7</f>
        <v>175580</v>
      </c>
      <c r="F17" s="9">
        <f>+Tabla131[[#This Row],[PRECIO INSTALLER (CON IVA)]]*5%</f>
        <v>6145.3</v>
      </c>
      <c r="G17" s="8">
        <v>0.85</v>
      </c>
      <c r="H17" s="7">
        <f>+Tabla131[[#This Row],[COSTO]]*1.19</f>
        <v>104470.09999999999</v>
      </c>
      <c r="K17" s="13">
        <v>87790</v>
      </c>
      <c r="L17" s="29"/>
    </row>
    <row r="18" spans="1:12" ht="27" x14ac:dyDescent="0.2">
      <c r="A18" s="11" t="s">
        <v>97</v>
      </c>
      <c r="B18" s="12" t="s">
        <v>86</v>
      </c>
      <c r="C18" s="9">
        <f>+Tabla131[[#This Row],[COSTO CON IVA]]/Tabla131[[#This Row],[UTILIDAD]]</f>
        <v>881176.79999999993</v>
      </c>
      <c r="D18" s="9">
        <f>+Tabla131[[#This Row],[PRECIO INSTALLER (CON IVA)]]-Tabla131[[#This Row],[Columna4]]</f>
        <v>837117.96</v>
      </c>
      <c r="E18" s="9">
        <f>+Tabla131[[#This Row],[PRECIO INSTALLER (CON IVA)]]/0.7</f>
        <v>1258824</v>
      </c>
      <c r="F18" s="9">
        <f>+Tabla131[[#This Row],[PRECIO INSTALLER (CON IVA)]]*5%</f>
        <v>44058.84</v>
      </c>
      <c r="G18" s="8">
        <v>0.85</v>
      </c>
      <c r="H18" s="7">
        <f>+Tabla131[[#This Row],[COSTO]]*1.19</f>
        <v>749000.27999999991</v>
      </c>
      <c r="K18" s="13">
        <v>629412</v>
      </c>
      <c r="L18" s="29"/>
    </row>
    <row r="19" spans="1:12" ht="27" x14ac:dyDescent="0.2">
      <c r="A19" s="11" t="s">
        <v>79</v>
      </c>
      <c r="B19" s="12" t="s">
        <v>2</v>
      </c>
      <c r="C19" s="9">
        <f>+Tabla131[[#This Row],[COSTO CON IVA]]/Tabla131[[#This Row],[UTILIDAD]]</f>
        <v>927058.99999999988</v>
      </c>
      <c r="D19" s="9">
        <f>+Tabla131[[#This Row],[PRECIO INSTALLER (CON IVA)]]-Tabla131[[#This Row],[Columna4]]</f>
        <v>880706.04999999993</v>
      </c>
      <c r="E19" s="9">
        <f>+Tabla131[[#This Row],[PRECIO INSTALLER (CON IVA)]]/0.7</f>
        <v>1324370</v>
      </c>
      <c r="F19" s="9">
        <f>+Tabla131[[#This Row],[PRECIO INSTALLER (CON IVA)]]*5%</f>
        <v>46352.95</v>
      </c>
      <c r="G19" s="8">
        <v>0.85</v>
      </c>
      <c r="H19" s="7">
        <f>+Tabla131[[#This Row],[COSTO]]*1.19</f>
        <v>788000.14999999991</v>
      </c>
      <c r="K19" s="13">
        <v>662185</v>
      </c>
      <c r="L19" s="29"/>
    </row>
    <row r="20" spans="1:12" ht="40.5" x14ac:dyDescent="0.2">
      <c r="A20" s="11" t="s">
        <v>101</v>
      </c>
      <c r="B20" s="12" t="s">
        <v>103</v>
      </c>
      <c r="C20" s="9">
        <f>+Tabla131[[#This Row],[COSTO CON IVA]]/Tabla131[[#This Row],[UTILIDAD]]</f>
        <v>1143858.8</v>
      </c>
      <c r="D20" s="9">
        <f>+Tabla131[[#This Row],[PRECIO INSTALLER (CON IVA)]]-Tabla131[[#This Row],[Columna4]]</f>
        <v>1086665.8600000001</v>
      </c>
      <c r="E20" s="9">
        <f>+Tabla131[[#This Row],[PRECIO INSTALLER (CON IVA)]]/0.7</f>
        <v>1634084.0000000002</v>
      </c>
      <c r="F20" s="9">
        <f>+Tabla131[[#This Row],[PRECIO INSTALLER (CON IVA)]]*5%</f>
        <v>57192.94</v>
      </c>
      <c r="G20" s="8">
        <v>0.85</v>
      </c>
      <c r="H20" s="7">
        <f>+Tabla131[[#This Row],[COSTO]]*1.19</f>
        <v>972279.98</v>
      </c>
      <c r="K20" s="13">
        <v>817042</v>
      </c>
      <c r="L20" s="29"/>
    </row>
    <row r="21" spans="1:12" ht="40.5" x14ac:dyDescent="0.2">
      <c r="A21" s="11" t="s">
        <v>102</v>
      </c>
      <c r="B21" s="12" t="s">
        <v>104</v>
      </c>
      <c r="C21" s="9">
        <f>+Tabla131[[#This Row],[COSTO CON IVA]]/Tabla131[[#This Row],[UTILIDAD]]</f>
        <v>984300.79999999993</v>
      </c>
      <c r="D21" s="9">
        <f>+Tabla131[[#This Row],[PRECIO INSTALLER (CON IVA)]]-Tabla131[[#This Row],[Columna4]]</f>
        <v>935085.75999999989</v>
      </c>
      <c r="E21" s="9">
        <f>+Tabla131[[#This Row],[PRECIO INSTALLER (CON IVA)]]/0.7</f>
        <v>1406144</v>
      </c>
      <c r="F21" s="9">
        <f>+Tabla131[[#This Row],[PRECIO INSTALLER (CON IVA)]]*5%</f>
        <v>49215.040000000001</v>
      </c>
      <c r="G21" s="8">
        <v>0.85</v>
      </c>
      <c r="H21" s="7">
        <f>+Tabla131[[#This Row],[COSTO]]*1.19</f>
        <v>836655.67999999993</v>
      </c>
      <c r="K21" s="13">
        <v>703072</v>
      </c>
      <c r="L21" s="29"/>
    </row>
    <row r="22" spans="1:12" ht="27" x14ac:dyDescent="0.2">
      <c r="A22" s="11" t="s">
        <v>80</v>
      </c>
      <c r="B22" s="12" t="s">
        <v>87</v>
      </c>
      <c r="C22" s="9">
        <f>+Tabla131[[#This Row],[COSTO CON IVA]]/Tabla131[[#This Row],[UTILIDAD]]</f>
        <v>583646</v>
      </c>
      <c r="D22" s="9">
        <f>+Tabla131[[#This Row],[PRECIO INSTALLER (CON IVA)]]-Tabla131[[#This Row],[Columna4]]</f>
        <v>554463.69999999995</v>
      </c>
      <c r="E22" s="9">
        <f>+Tabla131[[#This Row],[PRECIO INSTALLER (CON IVA)]]/0.7</f>
        <v>833780</v>
      </c>
      <c r="F22" s="9">
        <f>+Tabla131[[#This Row],[PRECIO INSTALLER (CON IVA)]]*5%</f>
        <v>29182.300000000003</v>
      </c>
      <c r="G22" s="8">
        <v>0.85</v>
      </c>
      <c r="H22" s="7">
        <f>+Tabla131[[#This Row],[COSTO]]*1.19</f>
        <v>496099.1</v>
      </c>
      <c r="K22" s="13">
        <v>416890</v>
      </c>
      <c r="L22" s="29"/>
    </row>
    <row r="23" spans="1:12" ht="67.5" x14ac:dyDescent="0.2">
      <c r="A23" s="11" t="s">
        <v>81</v>
      </c>
      <c r="B23" s="12" t="s">
        <v>88</v>
      </c>
      <c r="C23" s="9">
        <f>+Tabla131[[#This Row],[COSTO CON IVA]]/Tabla131[[#This Row],[UTILIDAD]]</f>
        <v>583646</v>
      </c>
      <c r="D23" s="9">
        <f>+Tabla131[[#This Row],[PRECIO INSTALLER (CON IVA)]]-Tabla131[[#This Row],[Columna4]]</f>
        <v>554463.69999999995</v>
      </c>
      <c r="E23" s="9">
        <f>+Tabla131[[#This Row],[PRECIO INSTALLER (CON IVA)]]/0.7</f>
        <v>833780</v>
      </c>
      <c r="F23" s="9">
        <f>+Tabla131[[#This Row],[PRECIO INSTALLER (CON IVA)]]*5%</f>
        <v>29182.300000000003</v>
      </c>
      <c r="G23" s="8">
        <v>0.85</v>
      </c>
      <c r="H23" s="7">
        <f>+Tabla131[[#This Row],[COSTO]]*1.19</f>
        <v>496099.1</v>
      </c>
      <c r="K23" s="13">
        <v>416890</v>
      </c>
      <c r="L23" s="29"/>
    </row>
    <row r="24" spans="1:12" ht="27" x14ac:dyDescent="0.2">
      <c r="A24" s="11" t="s">
        <v>89</v>
      </c>
      <c r="B24" s="12" t="s">
        <v>90</v>
      </c>
      <c r="C24" s="9">
        <f>+Tabla131[[#This Row],[COSTO CON IVA]]/Tabla131[[#This Row],[UTILIDAD]]</f>
        <v>594791.4</v>
      </c>
      <c r="D24" s="9">
        <f>+Tabla131[[#This Row],[PRECIO INSTALLER (CON IVA)]]-Tabla131[[#This Row],[Columna4]]</f>
        <v>565051.83000000007</v>
      </c>
      <c r="E24" s="9">
        <f>+Tabla131[[#This Row],[PRECIO INSTALLER (CON IVA)]]/0.7</f>
        <v>849702.00000000012</v>
      </c>
      <c r="F24" s="9">
        <f>+Tabla131[[#This Row],[PRECIO INSTALLER (CON IVA)]]*5%</f>
        <v>29739.570000000003</v>
      </c>
      <c r="G24" s="8">
        <v>0.85</v>
      </c>
      <c r="H24" s="7">
        <f>+Tabla131[[#This Row],[COSTO]]*1.19</f>
        <v>505572.69</v>
      </c>
      <c r="K24" s="13">
        <v>424851</v>
      </c>
      <c r="L24" s="29"/>
    </row>
    <row r="25" spans="1:12" ht="27" x14ac:dyDescent="0.2">
      <c r="A25" s="11" t="s">
        <v>30</v>
      </c>
      <c r="B25" s="12" t="s">
        <v>29</v>
      </c>
      <c r="C25" s="14">
        <f>+Tabla131[[#This Row],[COSTO CON IVA]]/Tabla131[[#This Row],[UTILIDAD]]</f>
        <v>243530</v>
      </c>
      <c r="D25" s="9">
        <f>+Tabla131[[#This Row],[PRECIO INSTALLER (CON IVA)]]-Tabla131[[#This Row],[Columna4]]</f>
        <v>231353.5</v>
      </c>
      <c r="E25" s="14">
        <f>+Tabla131[[#This Row],[PRECIO INSTALLER (CON IVA)]]/0.7</f>
        <v>347900</v>
      </c>
      <c r="F25" s="14">
        <f>+Tabla131[[#This Row],[PRECIO INSTALLER (CON IVA)]]*5%</f>
        <v>12176.5</v>
      </c>
      <c r="G25" s="8">
        <v>0.85</v>
      </c>
      <c r="H25" s="7">
        <f>+Tabla131[[#This Row],[COSTO]]*1.19</f>
        <v>207000.5</v>
      </c>
      <c r="I25" s="8"/>
      <c r="J25" s="8"/>
      <c r="K25" s="13">
        <v>173950</v>
      </c>
      <c r="L25" s="29"/>
    </row>
    <row r="26" spans="1:12" ht="27" x14ac:dyDescent="0.2">
      <c r="A26" s="11" t="s">
        <v>28</v>
      </c>
      <c r="B26" s="12" t="s">
        <v>27</v>
      </c>
      <c r="C26" s="9">
        <f>+Tabla131[[#This Row],[COSTO CON IVA]]/Tabla131[[#This Row],[UTILIDAD]]</f>
        <v>321176.8</v>
      </c>
      <c r="D26" s="9">
        <f>+Tabla131[[#This Row],[PRECIO INSTALLER (CON IVA)]]-Tabla131[[#This Row],[Columna4]]</f>
        <v>305117.95999999996</v>
      </c>
      <c r="E26" s="9">
        <f>+Tabla131[[#This Row],[PRECIO INSTALLER (CON IVA)]]/0.7</f>
        <v>458824</v>
      </c>
      <c r="F26" s="9">
        <f>+Tabla131[[#This Row],[PRECIO INSTALLER (CON IVA)]]*5%</f>
        <v>16058.84</v>
      </c>
      <c r="G26" s="8">
        <v>0.85</v>
      </c>
      <c r="H26" s="7">
        <f>+Tabla131[[#This Row],[COSTO]]*1.19</f>
        <v>273000.27999999997</v>
      </c>
      <c r="I26" s="8"/>
      <c r="J26" s="8"/>
      <c r="K26" s="13">
        <v>229412</v>
      </c>
      <c r="L26" s="29"/>
    </row>
    <row r="27" spans="1:12" ht="40.5" x14ac:dyDescent="0.2">
      <c r="A27" s="11" t="s">
        <v>26</v>
      </c>
      <c r="B27" s="12" t="s">
        <v>25</v>
      </c>
      <c r="C27" s="9">
        <f>+Tabla131[[#This Row],[COSTO CON IVA]]/Tabla131[[#This Row],[UTILIDAD]]</f>
        <v>436471</v>
      </c>
      <c r="D27" s="9">
        <f>+Tabla131[[#This Row],[PRECIO INSTALLER (CON IVA)]]-Tabla131[[#This Row],[Columna4]]</f>
        <v>414647.45</v>
      </c>
      <c r="E27" s="9">
        <f>+Tabla131[[#This Row],[PRECIO INSTALLER (CON IVA)]]/0.7</f>
        <v>623530</v>
      </c>
      <c r="F27" s="9">
        <f>+Tabla131[[#This Row],[PRECIO INSTALLER (CON IVA)]]*5%</f>
        <v>21823.550000000003</v>
      </c>
      <c r="G27" s="8">
        <v>0.85</v>
      </c>
      <c r="H27" s="7">
        <f>+Tabla131[[#This Row],[COSTO]]*1.19</f>
        <v>371000.35</v>
      </c>
      <c r="I27" s="8"/>
      <c r="J27" s="8"/>
      <c r="K27" s="13">
        <v>311765</v>
      </c>
      <c r="L27" s="29"/>
    </row>
    <row r="28" spans="1:12" ht="40.5" x14ac:dyDescent="0.2">
      <c r="A28" s="11" t="s">
        <v>24</v>
      </c>
      <c r="B28" s="12" t="s">
        <v>23</v>
      </c>
      <c r="C28" s="9">
        <f>+Tabla131[[#This Row],[COSTO CON IVA]]/Tabla131[[#This Row],[UTILIDAD]]</f>
        <v>263944.8</v>
      </c>
      <c r="D28" s="9">
        <f>+Tabla131[[#This Row],[PRECIO INSTALLER (CON IVA)]]-Tabla131[[#This Row],[Columna4]]</f>
        <v>250747.56</v>
      </c>
      <c r="E28" s="9">
        <f>+Tabla131[[#This Row],[PRECIO INSTALLER (CON IVA)]]/0.7</f>
        <v>377064</v>
      </c>
      <c r="F28" s="9">
        <f>+Tabla131[[#This Row],[PRECIO INSTALLER (CON IVA)]]*5%</f>
        <v>13197.24</v>
      </c>
      <c r="G28" s="8">
        <v>0.85</v>
      </c>
      <c r="H28" s="7">
        <f>+Tabla131[[#This Row],[COSTO]]*1.19</f>
        <v>224353.08</v>
      </c>
      <c r="I28" s="8"/>
      <c r="J28" s="8"/>
      <c r="K28" s="13">
        <v>188532</v>
      </c>
      <c r="L28" s="29"/>
    </row>
    <row r="29" spans="1:12" ht="27" x14ac:dyDescent="0.2">
      <c r="A29" s="11" t="s">
        <v>22</v>
      </c>
      <c r="B29" s="12" t="s">
        <v>21</v>
      </c>
      <c r="C29" s="9">
        <f>+Tabla131[[#This Row],[COSTO CON IVA]]/Tabla131[[#This Row],[UTILIDAD]]</f>
        <v>38470.6</v>
      </c>
      <c r="D29" s="9">
        <f>+Tabla131[[#This Row],[PRECIO INSTALLER (CON IVA)]]-Tabla131[[#This Row],[Columna4]]</f>
        <v>36547.07</v>
      </c>
      <c r="E29" s="9">
        <f>+Tabla131[[#This Row],[PRECIO INSTALLER (CON IVA)]]/0.7</f>
        <v>54958</v>
      </c>
      <c r="F29" s="9">
        <f>+Tabla131[[#This Row],[PRECIO INSTALLER (CON IVA)]]*5%</f>
        <v>1923.53</v>
      </c>
      <c r="G29" s="8">
        <v>0.85</v>
      </c>
      <c r="H29" s="7">
        <f>+Tabla131[[#This Row],[COSTO]]*1.19</f>
        <v>32700.01</v>
      </c>
      <c r="I29" s="8"/>
      <c r="J29" s="8"/>
      <c r="K29" s="13">
        <v>27479</v>
      </c>
      <c r="L29" s="29"/>
    </row>
    <row r="30" spans="1:12" ht="27" x14ac:dyDescent="0.2">
      <c r="A30" s="11" t="s">
        <v>20</v>
      </c>
      <c r="B30" s="12" t="s">
        <v>19</v>
      </c>
      <c r="C30" s="9">
        <f>+Tabla131[[#This Row],[COSTO CON IVA]]/Tabla131[[#This Row],[UTILIDAD]]</f>
        <v>662352.6</v>
      </c>
      <c r="D30" s="9">
        <f>+Tabla131[[#This Row],[PRECIO INSTALLER (CON IVA)]]-Tabla131[[#This Row],[Columna4]]</f>
        <v>629234.97</v>
      </c>
      <c r="E30" s="9">
        <f>+Tabla131[[#This Row],[PRECIO INSTALLER (CON IVA)]]/0.7</f>
        <v>946218</v>
      </c>
      <c r="F30" s="9">
        <f>+Tabla131[[#This Row],[PRECIO INSTALLER (CON IVA)]]*5%</f>
        <v>33117.629999999997</v>
      </c>
      <c r="G30" s="8">
        <v>0.85</v>
      </c>
      <c r="H30" s="7">
        <f>+Tabla131[[#This Row],[COSTO]]*1.19</f>
        <v>562999.71</v>
      </c>
      <c r="I30" s="8"/>
      <c r="J30" s="8"/>
      <c r="K30" s="13">
        <v>473109</v>
      </c>
      <c r="L30" s="29"/>
    </row>
    <row r="31" spans="1:12" ht="27" x14ac:dyDescent="0.2">
      <c r="A31" s="11" t="s">
        <v>16</v>
      </c>
      <c r="B31" s="12" t="s">
        <v>15</v>
      </c>
      <c r="C31" s="9">
        <f>+Tabla131[[#This Row],[COSTO CON IVA]]/Tabla131[[#This Row],[UTILIDAD]]</f>
        <v>604706.19999999995</v>
      </c>
      <c r="D31" s="9">
        <f>+Tabla131[[#This Row],[PRECIO INSTALLER (CON IVA)]]-Tabla131[[#This Row],[Columna4]]</f>
        <v>574470.8899999999</v>
      </c>
      <c r="E31" s="9">
        <f>+Tabla131[[#This Row],[PRECIO INSTALLER (CON IVA)]]/0.7</f>
        <v>863866</v>
      </c>
      <c r="F31" s="9">
        <f>+Tabla131[[#This Row],[PRECIO INSTALLER (CON IVA)]]*5%</f>
        <v>30235.309999999998</v>
      </c>
      <c r="G31" s="8">
        <v>0.85</v>
      </c>
      <c r="H31" s="7">
        <f>+Tabla131[[#This Row],[COSTO]]*1.19</f>
        <v>514000.26999999996</v>
      </c>
      <c r="I31" s="8"/>
      <c r="J31" s="8"/>
      <c r="K31" s="13">
        <v>431933</v>
      </c>
      <c r="L31" s="29"/>
    </row>
    <row r="32" spans="1:12" ht="27" x14ac:dyDescent="0.2">
      <c r="A32" s="11" t="s">
        <v>106</v>
      </c>
      <c r="B32" s="12" t="s">
        <v>14</v>
      </c>
      <c r="C32" s="9">
        <f>+Tabla131[[#This Row],[COSTO CON IVA]]/Tabla131[[#This Row],[UTILIDAD]]</f>
        <v>1222200</v>
      </c>
      <c r="D32" s="9">
        <f>+Tabla131[[#This Row],[PRECIO INSTALLER (CON IVA)]]-Tabla131[[#This Row],[Columna4]]</f>
        <v>1161090</v>
      </c>
      <c r="E32" s="9">
        <f>+Tabla131[[#This Row],[PRECIO INSTALLER (CON IVA)]]/0.7</f>
        <v>1746000</v>
      </c>
      <c r="F32" s="9">
        <f>+Tabla131[[#This Row],[PRECIO INSTALLER (CON IVA)]]*5%</f>
        <v>61110</v>
      </c>
      <c r="G32" s="8">
        <v>0.85</v>
      </c>
      <c r="H32" s="7">
        <f>+Tabla131[[#This Row],[COSTO]]*1.19</f>
        <v>1038870</v>
      </c>
      <c r="I32" s="8"/>
      <c r="J32" s="8"/>
      <c r="K32" s="13">
        <v>873000</v>
      </c>
      <c r="L32" s="29"/>
    </row>
    <row r="33" spans="1:12" ht="27" x14ac:dyDescent="0.2">
      <c r="A33" s="11" t="s">
        <v>13</v>
      </c>
      <c r="B33" s="12" t="s">
        <v>12</v>
      </c>
      <c r="C33" s="9">
        <f>+Tabla131[[#This Row],[COSTO CON IVA]]/Tabla131[[#This Row],[UTILIDAD]]</f>
        <v>1489600</v>
      </c>
      <c r="D33" s="9">
        <f>+Tabla131[[#This Row],[PRECIO INSTALLER (CON IVA)]]-Tabla131[[#This Row],[Columna4]]</f>
        <v>1415120</v>
      </c>
      <c r="E33" s="9">
        <f>+Tabla131[[#This Row],[PRECIO INSTALLER (CON IVA)]]/0.7</f>
        <v>2128000</v>
      </c>
      <c r="F33" s="9">
        <f>+Tabla131[[#This Row],[PRECIO INSTALLER (CON IVA)]]*5%</f>
        <v>74480</v>
      </c>
      <c r="G33" s="8">
        <v>0.85</v>
      </c>
      <c r="H33" s="7">
        <f>+Tabla131[[#This Row],[COSTO]]*1.19</f>
        <v>1266160</v>
      </c>
      <c r="I33" s="8"/>
      <c r="J33" s="8"/>
      <c r="K33" s="13">
        <v>1064000</v>
      </c>
      <c r="L33" s="29"/>
    </row>
    <row r="34" spans="1:12" ht="27" x14ac:dyDescent="0.2">
      <c r="A34" s="11" t="s">
        <v>105</v>
      </c>
      <c r="B34" s="12" t="s">
        <v>11</v>
      </c>
      <c r="C34" s="9">
        <f>+Tabla131[[#This Row],[COSTO CON IVA]]/Tabla131[[#This Row],[UTILIDAD]]</f>
        <v>1002352.3999999999</v>
      </c>
      <c r="D34" s="9">
        <f>+Tabla131[[#This Row],[PRECIO INSTALLER (CON IVA)]]-Tabla131[[#This Row],[Columna4]]</f>
        <v>952234.77999999991</v>
      </c>
      <c r="E34" s="9">
        <f>+Tabla131[[#This Row],[PRECIO INSTALLER (CON IVA)]]/0.7</f>
        <v>1431932</v>
      </c>
      <c r="F34" s="9">
        <f>+Tabla131[[#This Row],[PRECIO INSTALLER (CON IVA)]]*5%</f>
        <v>50117.619999999995</v>
      </c>
      <c r="G34" s="8">
        <v>0.85</v>
      </c>
      <c r="H34" s="7">
        <f>+Tabla131[[#This Row],[COSTO]]*1.19</f>
        <v>851999.53999999992</v>
      </c>
      <c r="I34" s="8"/>
      <c r="J34" s="8"/>
      <c r="K34" s="13">
        <v>715966</v>
      </c>
      <c r="L34" s="29"/>
    </row>
    <row r="35" spans="1:12" x14ac:dyDescent="0.2">
      <c r="A35" s="11" t="s">
        <v>6</v>
      </c>
      <c r="B35" s="12" t="s">
        <v>5</v>
      </c>
      <c r="C35" s="9">
        <f>+Tabla131[[#This Row],[COSTO CON IVA]]/Tabla131[[#This Row],[UTILIDAD]]</f>
        <v>754600</v>
      </c>
      <c r="D35" s="9">
        <f>+Tabla131[[#This Row],[PRECIO INSTALLER (CON IVA)]]-Tabla131[[#This Row],[Columna4]]</f>
        <v>716870</v>
      </c>
      <c r="E35" s="9">
        <f>+Tabla131[[#This Row],[PRECIO INSTALLER (CON IVA)]]/0.7</f>
        <v>1078000</v>
      </c>
      <c r="F35" s="9">
        <f>+Tabla131[[#This Row],[PRECIO INSTALLER (CON IVA)]]*5%</f>
        <v>37730</v>
      </c>
      <c r="G35" s="8">
        <v>0.85</v>
      </c>
      <c r="H35" s="7">
        <f>+Tabla131[[#This Row],[COSTO]]*1.19</f>
        <v>641410</v>
      </c>
      <c r="I35" s="8"/>
      <c r="J35" s="8"/>
      <c r="K35" s="7">
        <v>539000</v>
      </c>
      <c r="L35" s="29"/>
    </row>
    <row r="36" spans="1:12" ht="27" x14ac:dyDescent="0.2">
      <c r="A36" s="11" t="s">
        <v>4</v>
      </c>
      <c r="B36" s="12" t="s">
        <v>3</v>
      </c>
      <c r="C36" s="9">
        <f>+Tabla131[[#This Row],[COSTO CON IVA]]/Tabla131[[#This Row],[UTILIDAD]]</f>
        <v>114478</v>
      </c>
      <c r="D36" s="9">
        <f>+Tabla131[[#This Row],[PRECIO INSTALLER (CON IVA)]]-Tabla131[[#This Row],[Columna4]]</f>
        <v>108754.1</v>
      </c>
      <c r="E36" s="9">
        <f>+Tabla131[[#This Row],[PRECIO INSTALLER (CON IVA)]]/0.7</f>
        <v>163540</v>
      </c>
      <c r="F36" s="9">
        <f>+Tabla131[[#This Row],[PRECIO INSTALLER (CON IVA)]]*5%</f>
        <v>5723.9000000000005</v>
      </c>
      <c r="G36" s="8">
        <v>0.85</v>
      </c>
      <c r="H36" s="7">
        <f>+Tabla131[[#This Row],[COSTO]]*1.19</f>
        <v>97306.3</v>
      </c>
      <c r="I36" s="8"/>
      <c r="J36" s="8"/>
      <c r="K36" s="7">
        <v>81770</v>
      </c>
      <c r="L36" s="29"/>
    </row>
    <row r="37" spans="1:12" x14ac:dyDescent="0.2">
      <c r="A37" s="11" t="s">
        <v>78</v>
      </c>
      <c r="B37" s="12" t="s">
        <v>92</v>
      </c>
      <c r="C37" s="9">
        <f>+Tabla131[[#This Row],[COSTO CON IVA]]/Tabla131[[#This Row],[UTILIDAD]]</f>
        <v>484705.2</v>
      </c>
      <c r="D37" s="9">
        <f>+Tabla131[[#This Row],[PRECIO INSTALLER (CON IVA)]]-Tabla131[[#This Row],[Columna4]]</f>
        <v>460469.94</v>
      </c>
      <c r="E37" s="9">
        <f>+Tabla131[[#This Row],[PRECIO INSTALLER (CON IVA)]]/0.7</f>
        <v>692436.00000000012</v>
      </c>
      <c r="F37" s="9">
        <f>+Tabla131[[#This Row],[PRECIO INSTALLER (CON IVA)]]*5%</f>
        <v>24235.260000000002</v>
      </c>
      <c r="G37" s="8">
        <v>0.85</v>
      </c>
      <c r="H37" s="7">
        <f>+Tabla131[[#This Row],[COSTO]]*1.19</f>
        <v>411999.42</v>
      </c>
      <c r="I37" s="8"/>
      <c r="J37" s="8"/>
      <c r="K37" s="7">
        <v>346218</v>
      </c>
      <c r="L37" s="29"/>
    </row>
    <row r="38" spans="1:12" x14ac:dyDescent="0.2">
      <c r="A38" s="11" t="s">
        <v>95</v>
      </c>
      <c r="B38" s="12" t="s">
        <v>96</v>
      </c>
      <c r="C38" s="9">
        <f>+Tabla131[[#This Row],[COSTO CON IVA]]/Tabla131[[#This Row],[UTILIDAD]]</f>
        <v>85058.400000000009</v>
      </c>
      <c r="D38" s="9">
        <f>+Tabla131[[#This Row],[PRECIO INSTALLER (CON IVA)]]-Tabla131[[#This Row],[Columna4]]</f>
        <v>80805.48000000001</v>
      </c>
      <c r="E38" s="9">
        <f>+Tabla131[[#This Row],[PRECIO INSTALLER (CON IVA)]]/0.7</f>
        <v>121512.00000000001</v>
      </c>
      <c r="F38" s="9">
        <f>+Tabla131[[#This Row],[PRECIO INSTALLER (CON IVA)]]*5%</f>
        <v>4252.920000000001</v>
      </c>
      <c r="G38" s="8">
        <v>0.85</v>
      </c>
      <c r="H38" s="7">
        <f>+Tabla131[[#This Row],[COSTO]]*1.19</f>
        <v>72299.64</v>
      </c>
      <c r="I38" s="8"/>
      <c r="J38" s="8"/>
      <c r="K38" s="7">
        <v>60756</v>
      </c>
      <c r="L38" s="29"/>
    </row>
    <row r="39" spans="1:12" x14ac:dyDescent="0.2">
      <c r="A39" s="11" t="s">
        <v>72</v>
      </c>
      <c r="B39" s="12" t="s">
        <v>73</v>
      </c>
      <c r="C39" s="9">
        <f>+Tabla131[[#This Row],[COSTO CON IVA]]/Tabla131[[#This Row],[UTILIDAD]]</f>
        <v>43293.599999999999</v>
      </c>
      <c r="D39" s="9">
        <f>+Tabla131[[#This Row],[PRECIO INSTALLER (CON IVA)]]-Tabla131[[#This Row],[Columna4]]</f>
        <v>41128.92</v>
      </c>
      <c r="E39" s="9">
        <f>+Tabla131[[#This Row],[PRECIO INSTALLER (CON IVA)]]/0.7</f>
        <v>61848</v>
      </c>
      <c r="F39" s="9">
        <f>+Tabla131[[#This Row],[PRECIO INSTALLER (CON IVA)]]*5%</f>
        <v>2164.6799999999998</v>
      </c>
      <c r="G39" s="8">
        <v>0.85</v>
      </c>
      <c r="H39" s="7">
        <f>+Tabla131[[#This Row],[COSTO]]*1.19</f>
        <v>36799.56</v>
      </c>
      <c r="I39" s="8"/>
      <c r="J39" s="8"/>
      <c r="K39" s="7">
        <v>30924</v>
      </c>
      <c r="L39" s="29"/>
    </row>
    <row r="40" spans="1:12" ht="24" x14ac:dyDescent="0.2">
      <c r="A40" s="26" t="s">
        <v>91</v>
      </c>
      <c r="B40" s="26"/>
      <c r="C40" s="23"/>
      <c r="D40" s="23"/>
      <c r="E40" s="23"/>
      <c r="F40" s="9">
        <f>+Tabla131[[#This Row],[PRECIO INSTALLER (CON IVA)]]*5%</f>
        <v>0</v>
      </c>
      <c r="G40" s="8"/>
      <c r="H40" s="7">
        <f>+Tabla131[[#This Row],[COSTO]]*1.19</f>
        <v>0</v>
      </c>
      <c r="I40" s="6"/>
      <c r="J40" s="6"/>
      <c r="K40" s="5"/>
      <c r="L40" s="29"/>
    </row>
    <row r="41" spans="1:12" ht="94.5" x14ac:dyDescent="0.2">
      <c r="A41" s="11" t="s">
        <v>10</v>
      </c>
      <c r="B41" s="12" t="s">
        <v>9</v>
      </c>
      <c r="C41" s="9">
        <f>+Tabla131[[#This Row],[COSTO CON IVA]]/Tabla131[[#This Row],[UTILIDAD]]</f>
        <v>25411.399999999998</v>
      </c>
      <c r="D41" s="9">
        <f>+Tabla131[[#This Row],[PRECIO INSTALLER (CON IVA)]]-Tabla131[[#This Row],[Columna4]]</f>
        <v>24140.829999999998</v>
      </c>
      <c r="E41" s="9">
        <f>+Tabla131[[#This Row],[PRECIO INSTALLER (CON IVA)]]/0.7</f>
        <v>36302</v>
      </c>
      <c r="F41" s="9">
        <f>+Tabla131[[#This Row],[PRECIO INSTALLER (CON IVA)]]*5%</f>
        <v>1270.57</v>
      </c>
      <c r="G41" s="8">
        <v>0.85</v>
      </c>
      <c r="H41" s="7">
        <f>+Tabla131[[#This Row],[COSTO]]*1.19</f>
        <v>21599.69</v>
      </c>
      <c r="I41" s="8"/>
      <c r="J41" s="8"/>
      <c r="K41" s="13">
        <v>18151</v>
      </c>
      <c r="L41" s="29"/>
    </row>
    <row r="42" spans="1:12" x14ac:dyDescent="0.2">
      <c r="A42" s="11" t="s">
        <v>8</v>
      </c>
      <c r="B42" s="27" t="s">
        <v>7</v>
      </c>
      <c r="C42" s="9">
        <f>+Tabla131[[#This Row],[COSTO CON IVA]]/Tabla131[[#This Row],[UTILIDAD]]</f>
        <v>96471.2</v>
      </c>
      <c r="D42" s="9">
        <f>+Tabla131[[#This Row],[PRECIO INSTALLER (CON IVA)]]-Tabla131[[#This Row],[Columna4]]</f>
        <v>91647.64</v>
      </c>
      <c r="E42" s="9">
        <f>+Tabla131[[#This Row],[PRECIO INSTALLER (CON IVA)]]/0.7</f>
        <v>137816</v>
      </c>
      <c r="F42" s="9">
        <f>+Tabla131[[#This Row],[PRECIO INSTALLER (CON IVA)]]*5%</f>
        <v>4823.5600000000004</v>
      </c>
      <c r="G42" s="8">
        <v>0.85</v>
      </c>
      <c r="H42" s="7">
        <f>+Tabla131[[#This Row],[COSTO]]*1.19</f>
        <v>82000.51999999999</v>
      </c>
      <c r="I42" s="6"/>
      <c r="J42" s="6"/>
      <c r="K42" s="5">
        <v>68908</v>
      </c>
      <c r="L42" s="29"/>
    </row>
    <row r="43" spans="1:12" ht="27" x14ac:dyDescent="0.2">
      <c r="A43" s="11" t="s">
        <v>18</v>
      </c>
      <c r="B43" s="12" t="s">
        <v>17</v>
      </c>
      <c r="C43" s="9">
        <f>+Tabla131[[#This Row],[COSTO CON IVA]]/Tabla131[[#This Row],[UTILIDAD]]</f>
        <v>394118.19999999995</v>
      </c>
      <c r="D43" s="9">
        <f>+Tabla131[[#This Row],[PRECIO INSTALLER (CON IVA)]]-Tabla131[[#This Row],[Columna4]]</f>
        <v>374412.29</v>
      </c>
      <c r="E43" s="9">
        <f>+Tabla131[[#This Row],[PRECIO INSTALLER (CON IVA)]]/0.7</f>
        <v>563026</v>
      </c>
      <c r="F43" s="9">
        <f>+Tabla131[[#This Row],[PRECIO INSTALLER (CON IVA)]]*5%</f>
        <v>19705.91</v>
      </c>
      <c r="G43" s="8">
        <v>0.85</v>
      </c>
      <c r="H43" s="7">
        <f>+Tabla131[[#This Row],[COSTO]]*1.19</f>
        <v>335000.46999999997</v>
      </c>
      <c r="I43" s="8"/>
      <c r="J43" s="8"/>
      <c r="K43" s="13">
        <v>281513</v>
      </c>
      <c r="L43" s="29"/>
    </row>
    <row r="44" spans="1:12" ht="24" x14ac:dyDescent="0.2">
      <c r="A44" s="26" t="s">
        <v>77</v>
      </c>
      <c r="B44" s="22"/>
      <c r="C44" s="24"/>
      <c r="D44" s="24"/>
      <c r="E44" s="24"/>
      <c r="F44" s="9">
        <f>+Tabla131[[#This Row],[PRECIO INSTALLER (CON IVA)]]*5%</f>
        <v>0</v>
      </c>
      <c r="G44" s="8"/>
      <c r="H44" s="7">
        <f>+Tabla131[[#This Row],[COSTO]]*1.19</f>
        <v>0</v>
      </c>
      <c r="I44" s="6"/>
      <c r="J44" s="6"/>
      <c r="K44" s="5"/>
      <c r="L44" s="29"/>
    </row>
    <row r="45" spans="1:12" ht="45" x14ac:dyDescent="0.2">
      <c r="A45" s="11" t="s">
        <v>38</v>
      </c>
      <c r="B45" s="21" t="s">
        <v>37</v>
      </c>
      <c r="C45" s="9">
        <f>+Tabla131[[#This Row],[COSTO CON IVA]]/Tabla131[[#This Row],[UTILIDAD]]</f>
        <v>346465</v>
      </c>
      <c r="D45" s="9">
        <f>+Tabla131[[#This Row],[PRECIO INSTALLER (CON IVA)]]-Tabla131[[#This Row],[Columna4]]</f>
        <v>329141.75</v>
      </c>
      <c r="E45" s="9">
        <f>+Tabla131[[#This Row],[PRECIO INSTALLER (CON IVA)]]/0.7</f>
        <v>494950.00000000006</v>
      </c>
      <c r="F45" s="9">
        <f>+Tabla131[[#This Row],[PRECIO INSTALLER (CON IVA)]]*5%</f>
        <v>17323.25</v>
      </c>
      <c r="G45" s="8">
        <v>0.85</v>
      </c>
      <c r="H45" s="7">
        <f>+Tabla131[[#This Row],[COSTO]]*1.19</f>
        <v>294495.25</v>
      </c>
      <c r="I45" s="6"/>
      <c r="J45" s="6"/>
      <c r="K45" s="25">
        <v>247475</v>
      </c>
      <c r="L45" s="29"/>
    </row>
    <row r="46" spans="1:12" ht="45" x14ac:dyDescent="0.2">
      <c r="A46" s="11" t="s">
        <v>36</v>
      </c>
      <c r="B46" s="21" t="s">
        <v>35</v>
      </c>
      <c r="C46" s="9">
        <f>+Tabla131[[#This Row],[COSTO CON IVA]]/Tabla131[[#This Row],[UTILIDAD]]</f>
        <v>314752.2</v>
      </c>
      <c r="D46" s="24">
        <f>+Tabla131[[#This Row],[PRECIO INSTALLER (CON IVA)]]-Tabla131[[#This Row],[Columna4]]</f>
        <v>299014.59000000003</v>
      </c>
      <c r="E46" s="24">
        <f>+Tabla131[[#This Row],[PRECIO INSTALLER (CON IVA)]]/0.7</f>
        <v>449646.00000000006</v>
      </c>
      <c r="F46" s="9">
        <f>+Tabla131[[#This Row],[PRECIO INSTALLER (CON IVA)]]*5%</f>
        <v>15737.61</v>
      </c>
      <c r="G46" s="8">
        <v>0.85</v>
      </c>
      <c r="H46" s="7">
        <f>+Tabla131[[#This Row],[COSTO]]*1.19</f>
        <v>267539.37</v>
      </c>
      <c r="I46" s="6"/>
      <c r="J46" s="6"/>
      <c r="K46" s="25">
        <v>224823</v>
      </c>
      <c r="L46" s="29"/>
    </row>
    <row r="47" spans="1:12" ht="45" x14ac:dyDescent="0.2">
      <c r="A47" s="11" t="s">
        <v>111</v>
      </c>
      <c r="B47" s="21" t="s">
        <v>112</v>
      </c>
      <c r="C47" s="9">
        <f>+Tabla131[[#This Row],[COSTO CON IVA]]/Tabla131[[#This Row],[UTILIDAD]]</f>
        <v>558568.58536585374</v>
      </c>
      <c r="D47" s="24">
        <f>+Tabla131[[#This Row],[PRECIO INSTALLER (CON IVA)]]-Tabla131[[#This Row],[Columna4]]</f>
        <v>530640.156097561</v>
      </c>
      <c r="E47" s="24">
        <f>+Tabla131[[#This Row],[PRECIO INSTALLER (CON IVA)]]/0.7</f>
        <v>797955.12195121963</v>
      </c>
      <c r="F47" s="9">
        <f>+Tabla131[[#This Row],[PRECIO INSTALLER (CON IVA)]]*5%</f>
        <v>27928.42926829269</v>
      </c>
      <c r="G47" s="8">
        <v>0.82</v>
      </c>
      <c r="H47" s="7">
        <f>+Tabla131[[#This Row],[COSTO]]*1.19</f>
        <v>458026.23999999999</v>
      </c>
      <c r="I47" s="6"/>
      <c r="J47" s="6"/>
      <c r="K47" s="25">
        <v>384896</v>
      </c>
      <c r="L47" s="29"/>
    </row>
    <row r="48" spans="1:12" ht="60" x14ac:dyDescent="0.2">
      <c r="A48" s="11" t="s">
        <v>109</v>
      </c>
      <c r="B48" s="21" t="s">
        <v>107</v>
      </c>
      <c r="C48" s="9">
        <f>+Tabla131[[#This Row],[COSTO CON IVA]]/Tabla131[[#This Row],[UTILIDAD]]</f>
        <v>799024.79999999993</v>
      </c>
      <c r="D48" s="24">
        <f>+Tabla131[[#This Row],[PRECIO INSTALLER (CON IVA)]]-Tabla131[[#This Row],[Columna4]]</f>
        <v>759073.55999999994</v>
      </c>
      <c r="E48" s="24">
        <f>+Tabla131[[#This Row],[PRECIO INSTALLER (CON IVA)]]/0.7</f>
        <v>1141464</v>
      </c>
      <c r="F48" s="9">
        <f>+Tabla131[[#This Row],[PRECIO INSTALLER (CON IVA)]]*5%</f>
        <v>39951.24</v>
      </c>
      <c r="G48" s="8">
        <v>0.85</v>
      </c>
      <c r="H48" s="7">
        <f>+Tabla131[[#This Row],[COSTO]]*1.19</f>
        <v>679171.08</v>
      </c>
      <c r="I48" s="6"/>
      <c r="J48" s="6"/>
      <c r="K48" s="25">
        <v>570732</v>
      </c>
      <c r="L48" s="29"/>
    </row>
    <row r="49" spans="1:12" ht="45" x14ac:dyDescent="0.2">
      <c r="A49" s="11" t="s">
        <v>108</v>
      </c>
      <c r="B49" s="21" t="s">
        <v>110</v>
      </c>
      <c r="C49" s="9">
        <f>+Tabla131[[#This Row],[COSTO CON IVA]]/Tabla131[[#This Row],[UTILIDAD]]</f>
        <v>509112.80000000005</v>
      </c>
      <c r="D49" s="24">
        <f>+Tabla131[[#This Row],[PRECIO INSTALLER (CON IVA)]]-Tabla131[[#This Row],[Columna4]]</f>
        <v>483657.16000000003</v>
      </c>
      <c r="E49" s="24">
        <f>+Tabla131[[#This Row],[PRECIO INSTALLER (CON IVA)]]/0.7</f>
        <v>727304.00000000012</v>
      </c>
      <c r="F49" s="9">
        <f>+Tabla131[[#This Row],[PRECIO INSTALLER (CON IVA)]]*5%</f>
        <v>25455.640000000003</v>
      </c>
      <c r="G49" s="8">
        <v>0.85</v>
      </c>
      <c r="H49" s="7">
        <f>+Tabla131[[#This Row],[COSTO]]*1.19</f>
        <v>432745.88</v>
      </c>
      <c r="I49" s="6"/>
      <c r="J49" s="6"/>
      <c r="K49" s="25">
        <v>363652</v>
      </c>
      <c r="L49" s="29"/>
    </row>
    <row r="50" spans="1:12" ht="30" x14ac:dyDescent="0.2">
      <c r="A50" s="31" t="s">
        <v>113</v>
      </c>
      <c r="B50" s="21" t="s">
        <v>114</v>
      </c>
      <c r="C50" s="9">
        <f>+Tabla131[[#This Row],[COSTO CON IVA]]/Tabla131[[#This Row],[UTILIDAD]]</f>
        <v>85790.599999999991</v>
      </c>
      <c r="D50" s="24">
        <f>+Tabla131[[#This Row],[PRECIO INSTALLER (CON IVA)]]-Tabla131[[#This Row],[Columna4]]</f>
        <v>81501.069999999992</v>
      </c>
      <c r="E50" s="24">
        <f>+Tabla131[[#This Row],[PRECIO INSTALLER (CON IVA)]]/0.7</f>
        <v>122558</v>
      </c>
      <c r="F50" s="9">
        <f>+Tabla131[[#This Row],[PRECIO INSTALLER (CON IVA)]]*5%</f>
        <v>4289.53</v>
      </c>
      <c r="G50" s="8">
        <v>0.85</v>
      </c>
      <c r="H50" s="7">
        <f>+Tabla131[[#This Row],[COSTO]]*1.19</f>
        <v>72922.009999999995</v>
      </c>
      <c r="I50" s="6"/>
      <c r="J50" s="6"/>
      <c r="K50" s="25">
        <v>61279</v>
      </c>
      <c r="L50" s="29"/>
    </row>
    <row r="51" spans="1:12" ht="45" x14ac:dyDescent="0.2">
      <c r="A51" s="11" t="s">
        <v>115</v>
      </c>
      <c r="B51" s="21" t="s">
        <v>116</v>
      </c>
      <c r="C51" s="9">
        <f>+Tabla131[[#This Row],[COSTO CON IVA]]/Tabla131[[#This Row],[UTILIDAD]]</f>
        <v>166999</v>
      </c>
      <c r="D51" s="24">
        <f>+Tabla131[[#This Row],[PRECIO INSTALLER (CON IVA)]]-Tabla131[[#This Row],[Columna4]]</f>
        <v>158649.04999999999</v>
      </c>
      <c r="E51" s="24">
        <f>+Tabla131[[#This Row],[PRECIO INSTALLER (CON IVA)]]/0.7</f>
        <v>238570.00000000003</v>
      </c>
      <c r="F51" s="9">
        <f>+Tabla131[[#This Row],[PRECIO INSTALLER (CON IVA)]]*5%</f>
        <v>8349.9500000000007</v>
      </c>
      <c r="G51" s="8">
        <v>0.85</v>
      </c>
      <c r="H51" s="7">
        <f>+Tabla131[[#This Row],[COSTO]]*1.19</f>
        <v>141949.15</v>
      </c>
      <c r="I51" s="6"/>
      <c r="J51" s="6"/>
      <c r="K51" s="25">
        <v>119285</v>
      </c>
      <c r="L51" s="29"/>
    </row>
    <row r="52" spans="1:12" ht="45" x14ac:dyDescent="0.2">
      <c r="A52" s="11" t="s">
        <v>117</v>
      </c>
      <c r="B52" s="21" t="s">
        <v>118</v>
      </c>
      <c r="C52" s="9">
        <f>+Tabla131[[#This Row],[COSTO CON IVA]]/Tabla131[[#This Row],[UTILIDAD]]</f>
        <v>292479.59999999998</v>
      </c>
      <c r="D52" s="24">
        <f>+Tabla131[[#This Row],[PRECIO INSTALLER (CON IVA)]]-Tabla131[[#This Row],[Columna4]]</f>
        <v>277855.62</v>
      </c>
      <c r="E52" s="24">
        <f>+Tabla131[[#This Row],[PRECIO INSTALLER (CON IVA)]]/0.7</f>
        <v>417828</v>
      </c>
      <c r="F52" s="9">
        <f>+Tabla131[[#This Row],[PRECIO INSTALLER (CON IVA)]]*5%</f>
        <v>14623.98</v>
      </c>
      <c r="G52" s="8">
        <v>0.85</v>
      </c>
      <c r="H52" s="7">
        <f>+Tabla131[[#This Row],[COSTO]]*1.19</f>
        <v>248607.65999999997</v>
      </c>
      <c r="I52" s="6"/>
      <c r="J52" s="6"/>
      <c r="K52" s="25">
        <v>208914</v>
      </c>
      <c r="L52" s="29"/>
    </row>
    <row r="53" spans="1:12" ht="45" x14ac:dyDescent="0.2">
      <c r="A53" s="11" t="s">
        <v>34</v>
      </c>
      <c r="B53" s="21" t="s">
        <v>33</v>
      </c>
      <c r="C53" s="9">
        <f>+Tabla131[[#This Row],[COSTO CON IVA]]/Tabla131[[#This Row],[UTILIDAD]]</f>
        <v>200180.4</v>
      </c>
      <c r="D53" s="24">
        <f>+Tabla131[[#This Row],[PRECIO INSTALLER (CON IVA)]]-Tabla131[[#This Row],[Columna4]]</f>
        <v>190171.38</v>
      </c>
      <c r="E53" s="24">
        <f>+Tabla131[[#This Row],[PRECIO INSTALLER (CON IVA)]]/0.7</f>
        <v>285972</v>
      </c>
      <c r="F53" s="9">
        <f>+Tabla131[[#This Row],[PRECIO INSTALLER (CON IVA)]]*5%</f>
        <v>10009.02</v>
      </c>
      <c r="G53" s="8">
        <v>0.85</v>
      </c>
      <c r="H53" s="7">
        <f>+Tabla131[[#This Row],[COSTO]]*1.19</f>
        <v>170153.34</v>
      </c>
      <c r="I53" s="6"/>
      <c r="J53" s="6"/>
      <c r="K53" s="25">
        <v>142986</v>
      </c>
      <c r="L53" s="29"/>
    </row>
    <row r="54" spans="1:12" ht="45" x14ac:dyDescent="0.2">
      <c r="A54" s="11" t="s">
        <v>133</v>
      </c>
      <c r="B54" s="21" t="s">
        <v>134</v>
      </c>
      <c r="C54" s="9">
        <f>+Tabla131[[#This Row],[COSTO CON IVA]]/Tabla131[[#This Row],[UTILIDAD]]</f>
        <v>59393.599999999999</v>
      </c>
      <c r="D54" s="24">
        <f>+Tabla131[[#This Row],[PRECIO INSTALLER (CON IVA)]]-Tabla131[[#This Row],[Columna4]]</f>
        <v>56423.92</v>
      </c>
      <c r="E54" s="24">
        <f>+Tabla131[[#This Row],[PRECIO INSTALLER (CON IVA)]]/0.7</f>
        <v>84848</v>
      </c>
      <c r="F54" s="9">
        <f>+Tabla131[[#This Row],[PRECIO INSTALLER (CON IVA)]]*5%</f>
        <v>2969.6800000000003</v>
      </c>
      <c r="G54" s="8">
        <v>0.85</v>
      </c>
      <c r="H54" s="7">
        <f>+Tabla131[[#This Row],[COSTO]]*1.19</f>
        <v>50484.56</v>
      </c>
      <c r="I54" s="6"/>
      <c r="J54" s="6"/>
      <c r="K54" s="32">
        <v>42424</v>
      </c>
      <c r="L54" s="29"/>
    </row>
    <row r="55" spans="1:12" ht="30" x14ac:dyDescent="0.2">
      <c r="A55" s="11" t="s">
        <v>131</v>
      </c>
      <c r="B55" s="21" t="s">
        <v>132</v>
      </c>
      <c r="C55" s="9">
        <f>+Tabla131[[#This Row],[COSTO CON IVA]]/Tabla131[[#This Row],[UTILIDAD]]</f>
        <v>154534.79999999999</v>
      </c>
      <c r="D55" s="24">
        <f>+Tabla131[[#This Row],[PRECIO INSTALLER (CON IVA)]]-Tabla131[[#This Row],[Columna4]]</f>
        <v>146808.06</v>
      </c>
      <c r="E55" s="24">
        <f>+Tabla131[[#This Row],[PRECIO INSTALLER (CON IVA)]]/0.7</f>
        <v>220764</v>
      </c>
      <c r="F55" s="9">
        <f>+Tabla131[[#This Row],[PRECIO INSTALLER (CON IVA)]]*5%</f>
        <v>7726.74</v>
      </c>
      <c r="G55" s="8">
        <v>0.85</v>
      </c>
      <c r="H55" s="7">
        <f>+Tabla131[[#This Row],[COSTO]]*1.19</f>
        <v>131354.57999999999</v>
      </c>
      <c r="I55" s="6"/>
      <c r="J55" s="6"/>
      <c r="K55" s="32">
        <v>110382</v>
      </c>
      <c r="L55" s="29"/>
    </row>
    <row r="56" spans="1:12" ht="38.25" x14ac:dyDescent="0.2">
      <c r="A56" s="11" t="s">
        <v>1</v>
      </c>
      <c r="B56" s="10" t="s">
        <v>0</v>
      </c>
      <c r="C56" s="9">
        <f>+Tabla131[[#This Row],[COSTO CON IVA]]/Tabla131[[#This Row],[UTILIDAD]]</f>
        <v>439543.99999999994</v>
      </c>
      <c r="D56" s="24">
        <f>+Tabla131[[#This Row],[PRECIO INSTALLER (CON IVA)]]-Tabla131[[#This Row],[Columna4]]</f>
        <v>417566.79999999993</v>
      </c>
      <c r="E56" s="24">
        <f>+Tabla131[[#This Row],[PRECIO INSTALLER (CON IVA)]]/0.7</f>
        <v>627920</v>
      </c>
      <c r="F56" s="9">
        <f>+Tabla131[[#This Row],[PRECIO INSTALLER (CON IVA)]]*5%</f>
        <v>21977.199999999997</v>
      </c>
      <c r="G56" s="8">
        <v>0.85</v>
      </c>
      <c r="H56" s="7">
        <f>+Tabla131[[#This Row],[COSTO]]*1.19</f>
        <v>373612.39999999997</v>
      </c>
      <c r="I56" s="6"/>
      <c r="J56" s="6"/>
      <c r="K56" s="5">
        <v>313960</v>
      </c>
      <c r="L56" s="29"/>
    </row>
    <row r="57" spans="1:12" ht="45" x14ac:dyDescent="0.2">
      <c r="A57" s="11" t="s">
        <v>135</v>
      </c>
      <c r="B57" s="21" t="s">
        <v>136</v>
      </c>
      <c r="C57" s="9">
        <f>+Tabla131[[#This Row],[COSTO CON IVA]]/Tabla131[[#This Row],[UTILIDAD]]</f>
        <v>141610</v>
      </c>
      <c r="D57" s="24">
        <f>+Tabla131[[#This Row],[PRECIO INSTALLER (CON IVA)]]-Tabla131[[#This Row],[Columna4]]</f>
        <v>134529.5</v>
      </c>
      <c r="E57" s="24">
        <f>+Tabla131[[#This Row],[PRECIO INSTALLER (CON IVA)]]/0.7</f>
        <v>202300</v>
      </c>
      <c r="F57" s="9">
        <f>+Tabla131[[#This Row],[PRECIO INSTALLER (CON IVA)]]*5%</f>
        <v>7080.5</v>
      </c>
      <c r="G57" s="8">
        <v>0.85</v>
      </c>
      <c r="H57" s="7">
        <f>+Tabla131[[#This Row],[COSTO]]*1.19</f>
        <v>120368.5</v>
      </c>
      <c r="I57" s="6"/>
      <c r="J57" s="6"/>
      <c r="K57" s="32">
        <v>101150</v>
      </c>
      <c r="L57" s="29"/>
    </row>
    <row r="58" spans="1:12" ht="60" x14ac:dyDescent="0.2">
      <c r="A58" s="11" t="s">
        <v>137</v>
      </c>
      <c r="B58" s="21" t="s">
        <v>138</v>
      </c>
      <c r="C58" s="9">
        <f>+Tabla131[[#This Row],[COSTO CON IVA]]/Tabla131[[#This Row],[UTILIDAD]]</f>
        <v>587342</v>
      </c>
      <c r="D58" s="24">
        <f>+Tabla131[[#This Row],[PRECIO INSTALLER (CON IVA)]]-Tabla131[[#This Row],[Columna4]]</f>
        <v>557974.9</v>
      </c>
      <c r="E58" s="24">
        <f>+Tabla131[[#This Row],[PRECIO INSTALLER (CON IVA)]]/0.7</f>
        <v>839060</v>
      </c>
      <c r="F58" s="9">
        <f>+Tabla131[[#This Row],[PRECIO INSTALLER (CON IVA)]]*5%</f>
        <v>29367.100000000002</v>
      </c>
      <c r="G58" s="8">
        <v>0.85</v>
      </c>
      <c r="H58" s="7">
        <f>+Tabla131[[#This Row],[COSTO]]*1.19</f>
        <v>499240.69999999995</v>
      </c>
      <c r="I58" s="6"/>
      <c r="J58" s="6"/>
      <c r="K58" s="32">
        <v>419530</v>
      </c>
      <c r="L58" s="29"/>
    </row>
    <row r="59" spans="1:12" ht="30" x14ac:dyDescent="0.2">
      <c r="A59" s="11" t="s">
        <v>139</v>
      </c>
      <c r="B59" s="21" t="s">
        <v>140</v>
      </c>
      <c r="C59" s="9">
        <f>+Tabla131[[#This Row],[COSTO CON IVA]]/Tabla131[[#This Row],[UTILIDAD]]</f>
        <v>310168.59999999998</v>
      </c>
      <c r="D59" s="24">
        <f>+Tabla131[[#This Row],[PRECIO INSTALLER (CON IVA)]]-Tabla131[[#This Row],[Columna4]]</f>
        <v>294660.17</v>
      </c>
      <c r="E59" s="24">
        <f>+Tabla131[[#This Row],[PRECIO INSTALLER (CON IVA)]]/0.7</f>
        <v>443098</v>
      </c>
      <c r="F59" s="9">
        <f>+Tabla131[[#This Row],[PRECIO INSTALLER (CON IVA)]]*5%</f>
        <v>15508.43</v>
      </c>
      <c r="G59" s="8">
        <v>0.85</v>
      </c>
      <c r="H59" s="7">
        <f>+Tabla131[[#This Row],[COSTO]]*1.19</f>
        <v>263643.31</v>
      </c>
      <c r="I59" s="6"/>
      <c r="J59" s="6"/>
      <c r="K59" s="32">
        <v>221549</v>
      </c>
      <c r="L59" s="29"/>
    </row>
    <row r="60" spans="1:12" ht="30" x14ac:dyDescent="0.2">
      <c r="A60" s="11" t="s">
        <v>198</v>
      </c>
      <c r="B60" s="21" t="s">
        <v>200</v>
      </c>
      <c r="C60" s="9">
        <f>+Tabla131[[#This Row],[COSTO CON IVA]]/Tabla131[[#This Row],[UTILIDAD]]</f>
        <v>98989.8</v>
      </c>
      <c r="D60" s="24">
        <f>+Tabla131[[#This Row],[PRECIO INSTALLER (CON IVA)]]-Tabla131[[#This Row],[Columna4]]</f>
        <v>94040.31</v>
      </c>
      <c r="E60" s="24">
        <f>+Tabla131[[#This Row],[PRECIO INSTALLER (CON IVA)]]/0.7</f>
        <v>141414</v>
      </c>
      <c r="F60" s="9">
        <f>+Tabla131[[#This Row],[PRECIO INSTALLER (CON IVA)]]*5%</f>
        <v>4949.4900000000007</v>
      </c>
      <c r="G60" s="8">
        <v>0.85</v>
      </c>
      <c r="H60" s="7">
        <f>+Tabla131[[#This Row],[COSTO]]*1.19</f>
        <v>84141.33</v>
      </c>
      <c r="I60" s="6"/>
      <c r="J60" s="6"/>
      <c r="K60" s="32">
        <v>70707</v>
      </c>
      <c r="L60" s="29"/>
    </row>
    <row r="61" spans="1:12" ht="60" x14ac:dyDescent="0.2">
      <c r="A61" s="11" t="s">
        <v>32</v>
      </c>
      <c r="B61" s="21" t="s">
        <v>31</v>
      </c>
      <c r="C61" s="9">
        <f>+Tabla131[[#This Row],[COSTO CON IVA]]/Tabla131[[#This Row],[UTILIDAD]]</f>
        <v>152034.4</v>
      </c>
      <c r="D61" s="24">
        <f>+Tabla131[[#This Row],[PRECIO INSTALLER (CON IVA)]]-Tabla131[[#This Row],[Columna4]]</f>
        <v>144432.68</v>
      </c>
      <c r="E61" s="24">
        <f>+Tabla131[[#This Row],[PRECIO INSTALLER (CON IVA)]]/0.7</f>
        <v>217192</v>
      </c>
      <c r="F61" s="9">
        <f>+Tabla131[[#This Row],[PRECIO INSTALLER (CON IVA)]]*5%</f>
        <v>7601.72</v>
      </c>
      <c r="G61" s="8">
        <v>0.85</v>
      </c>
      <c r="H61" s="7">
        <f>+Tabla131[[#This Row],[COSTO]]*1.19</f>
        <v>129229.23999999999</v>
      </c>
      <c r="I61" s="6"/>
      <c r="J61" s="6"/>
      <c r="K61" s="25">
        <v>108596</v>
      </c>
      <c r="L61" s="29"/>
    </row>
    <row r="62" spans="1:12" ht="45" x14ac:dyDescent="0.2">
      <c r="A62" s="11" t="s">
        <v>199</v>
      </c>
      <c r="B62" s="21" t="s">
        <v>201</v>
      </c>
      <c r="C62" s="9">
        <f>+Tabla131[[#This Row],[COSTO CON IVA]]/Tabla131[[#This Row],[UTILIDAD]]</f>
        <v>129924.2</v>
      </c>
      <c r="D62" s="24">
        <f>+Tabla131[[#This Row],[PRECIO INSTALLER (CON IVA)]]-Tabla131[[#This Row],[Columna4]]</f>
        <v>123427.98999999999</v>
      </c>
      <c r="E62" s="24">
        <f>+Tabla131[[#This Row],[PRECIO INSTALLER (CON IVA)]]/0.7</f>
        <v>185606</v>
      </c>
      <c r="F62" s="9">
        <f>+Tabla131[[#This Row],[PRECIO INSTALLER (CON IVA)]]*5%</f>
        <v>6496.21</v>
      </c>
      <c r="G62" s="8">
        <v>0.85</v>
      </c>
      <c r="H62" s="7">
        <f>+Tabla131[[#This Row],[COSTO]]*1.19</f>
        <v>110435.56999999999</v>
      </c>
      <c r="I62" s="6"/>
      <c r="J62" s="6"/>
      <c r="K62" s="32">
        <v>92803</v>
      </c>
      <c r="L62" s="29"/>
    </row>
    <row r="63" spans="1:12" ht="45" x14ac:dyDescent="0.2">
      <c r="A63" s="11" t="s">
        <v>155</v>
      </c>
      <c r="B63" s="21" t="s">
        <v>156</v>
      </c>
      <c r="C63" s="9">
        <f>+Tabla131[[#This Row],[COSTO CON IVA]]/Tabla131[[#This Row],[UTILIDAD]]</f>
        <v>327905.2</v>
      </c>
      <c r="D63" s="24">
        <f>+Tabla131[[#This Row],[PRECIO INSTALLER (CON IVA)]]-Tabla131[[#This Row],[Columna4]]</f>
        <v>311509.94</v>
      </c>
      <c r="E63" s="24">
        <f>+Tabla131[[#This Row],[PRECIO INSTALLER (CON IVA)]]/0.7</f>
        <v>468436.00000000006</v>
      </c>
      <c r="F63" s="9">
        <f>+Tabla131[[#This Row],[PRECIO INSTALLER (CON IVA)]]*5%</f>
        <v>16395.260000000002</v>
      </c>
      <c r="G63" s="8">
        <v>0.85</v>
      </c>
      <c r="H63" s="7">
        <f>+Tabla131[[#This Row],[COSTO]]*1.19</f>
        <v>278719.42</v>
      </c>
      <c r="I63" s="6"/>
      <c r="J63" s="6"/>
      <c r="K63" s="32">
        <v>234218</v>
      </c>
      <c r="L63" s="29"/>
    </row>
    <row r="64" spans="1:12" ht="30" x14ac:dyDescent="0.2">
      <c r="A64" s="11" t="s">
        <v>157</v>
      </c>
      <c r="B64" s="21" t="s">
        <v>158</v>
      </c>
      <c r="C64" s="9">
        <f>+Tabla131[[#This Row],[COSTO CON IVA]]/Tabla131[[#This Row],[UTILIDAD]]</f>
        <v>311589.59999999998</v>
      </c>
      <c r="D64" s="24">
        <f>+Tabla131[[#This Row],[PRECIO INSTALLER (CON IVA)]]-Tabla131[[#This Row],[Columna4]]</f>
        <v>296010.12</v>
      </c>
      <c r="E64" s="24">
        <f>+Tabla131[[#This Row],[PRECIO INSTALLER (CON IVA)]]/0.7</f>
        <v>445128</v>
      </c>
      <c r="F64" s="9">
        <f>+Tabla131[[#This Row],[PRECIO INSTALLER (CON IVA)]]*5%</f>
        <v>15579.48</v>
      </c>
      <c r="G64" s="8">
        <v>0.85</v>
      </c>
      <c r="H64" s="7">
        <f>+Tabla131[[#This Row],[COSTO]]*1.19</f>
        <v>264851.15999999997</v>
      </c>
      <c r="I64" s="6"/>
      <c r="J64" s="6"/>
      <c r="K64" s="32">
        <v>222564</v>
      </c>
      <c r="L64" s="29"/>
    </row>
    <row r="65" spans="1:12" ht="45" x14ac:dyDescent="0.2">
      <c r="A65" s="11" t="s">
        <v>159</v>
      </c>
      <c r="B65" s="21" t="s">
        <v>164</v>
      </c>
      <c r="C65" s="9">
        <f>+Tabla131[[#This Row],[COSTO CON IVA]]/Tabla131[[#This Row],[UTILIDAD]]</f>
        <v>23246230</v>
      </c>
      <c r="D65" s="24">
        <f>+Tabla131[[#This Row],[PRECIO INSTALLER (CON IVA)]]-Tabla131[[#This Row],[Columna4]]</f>
        <v>22083918.5</v>
      </c>
      <c r="E65" s="24">
        <f>+Tabla131[[#This Row],[PRECIO INSTALLER (CON IVA)]]/0.7</f>
        <v>33208900.000000004</v>
      </c>
      <c r="F65" s="9">
        <f>+Tabla131[[#This Row],[PRECIO INSTALLER (CON IVA)]]*5%</f>
        <v>1162311.5</v>
      </c>
      <c r="G65" s="8">
        <v>0.85</v>
      </c>
      <c r="H65" s="7">
        <f>+Tabla131[[#This Row],[COSTO]]*1.19</f>
        <v>19759295.5</v>
      </c>
      <c r="I65" s="6"/>
      <c r="J65" s="6"/>
      <c r="K65" s="32">
        <v>16604450</v>
      </c>
      <c r="L65" s="29"/>
    </row>
    <row r="66" spans="1:12" ht="60" x14ac:dyDescent="0.2">
      <c r="A66" s="11" t="s">
        <v>160</v>
      </c>
      <c r="B66" s="21" t="s">
        <v>162</v>
      </c>
      <c r="C66" s="9">
        <f>+Tabla131[[#This Row],[COSTO CON IVA]]/Tabla131[[#This Row],[UTILIDAD]]</f>
        <v>1718214.4000000001</v>
      </c>
      <c r="D66" s="24">
        <f>+Tabla131[[#This Row],[PRECIO INSTALLER (CON IVA)]]-Tabla131[[#This Row],[Columna4]]</f>
        <v>1632303.6800000002</v>
      </c>
      <c r="E66" s="24">
        <f>+Tabla131[[#This Row],[PRECIO INSTALLER (CON IVA)]]/0.7</f>
        <v>2454592.0000000005</v>
      </c>
      <c r="F66" s="9">
        <f>+Tabla131[[#This Row],[PRECIO INSTALLER (CON IVA)]]*5%</f>
        <v>85910.720000000016</v>
      </c>
      <c r="G66" s="8">
        <v>0.85</v>
      </c>
      <c r="H66" s="7">
        <f>+Tabla131[[#This Row],[COSTO]]*1.19</f>
        <v>1460482.24</v>
      </c>
      <c r="I66" s="6"/>
      <c r="J66" s="6"/>
      <c r="K66" s="32">
        <v>1227296</v>
      </c>
      <c r="L66" s="29"/>
    </row>
    <row r="67" spans="1:12" ht="30" x14ac:dyDescent="0.2">
      <c r="A67" s="11" t="s">
        <v>161</v>
      </c>
      <c r="B67" s="21" t="s">
        <v>163</v>
      </c>
      <c r="C67" s="9">
        <f>+Tabla131[[#This Row],[COSTO CON IVA]]/Tabla131[[#This Row],[UTILIDAD]]</f>
        <v>284229.40000000002</v>
      </c>
      <c r="D67" s="24">
        <f>+Tabla131[[#This Row],[PRECIO INSTALLER (CON IVA)]]-Tabla131[[#This Row],[Columna4]]</f>
        <v>270017.93000000005</v>
      </c>
      <c r="E67" s="24">
        <f>+Tabla131[[#This Row],[PRECIO INSTALLER (CON IVA)]]/0.7</f>
        <v>406042.00000000006</v>
      </c>
      <c r="F67" s="9">
        <f>+Tabla131[[#This Row],[PRECIO INSTALLER (CON IVA)]]*5%</f>
        <v>14211.470000000001</v>
      </c>
      <c r="G67" s="8">
        <v>0.85</v>
      </c>
      <c r="H67" s="7">
        <f>+Tabla131[[#This Row],[COSTO]]*1.19</f>
        <v>241594.99</v>
      </c>
      <c r="I67" s="6"/>
      <c r="J67" s="6"/>
      <c r="K67" s="32">
        <v>203021</v>
      </c>
      <c r="L67" s="29"/>
    </row>
    <row r="68" spans="1:12" ht="45" x14ac:dyDescent="0.2">
      <c r="A68" s="11" t="s">
        <v>165</v>
      </c>
      <c r="B68" s="21" t="s">
        <v>167</v>
      </c>
      <c r="C68" s="9">
        <f>+Tabla131[[#This Row],[COSTO CON IVA]]/Tabla131[[#This Row],[UTILIDAD]]</f>
        <v>666534.40000000002</v>
      </c>
      <c r="D68" s="24">
        <f>+Tabla131[[#This Row],[PRECIO INSTALLER (CON IVA)]]-Tabla131[[#This Row],[Columna4]]</f>
        <v>633207.68000000005</v>
      </c>
      <c r="E68" s="24">
        <f>+Tabla131[[#This Row],[PRECIO INSTALLER (CON IVA)]]/0.7</f>
        <v>952192.00000000012</v>
      </c>
      <c r="F68" s="9">
        <f>+Tabla131[[#This Row],[PRECIO INSTALLER (CON IVA)]]*5%</f>
        <v>33326.720000000001</v>
      </c>
      <c r="G68" s="8">
        <v>0.85</v>
      </c>
      <c r="H68" s="7">
        <f>+Tabla131[[#This Row],[COSTO]]*1.19</f>
        <v>566554.24</v>
      </c>
      <c r="I68" s="6"/>
      <c r="J68" s="6"/>
      <c r="K68" s="32">
        <v>476096</v>
      </c>
      <c r="L68" s="29"/>
    </row>
    <row r="69" spans="1:12" ht="60" x14ac:dyDescent="0.2">
      <c r="A69" s="11" t="s">
        <v>166</v>
      </c>
      <c r="B69" s="21" t="s">
        <v>168</v>
      </c>
      <c r="C69" s="9">
        <f>+Tabla131[[#This Row],[COSTO CON IVA]]/Tabla131[[#This Row],[UTILIDAD]]</f>
        <v>1385864.2</v>
      </c>
      <c r="D69" s="24">
        <f>+Tabla131[[#This Row],[PRECIO INSTALLER (CON IVA)]]-Tabla131[[#This Row],[Columna4]]</f>
        <v>1316570.99</v>
      </c>
      <c r="E69" s="24">
        <f>+Tabla131[[#This Row],[PRECIO INSTALLER (CON IVA)]]/0.7</f>
        <v>1979806</v>
      </c>
      <c r="F69" s="9">
        <f>+Tabla131[[#This Row],[PRECIO INSTALLER (CON IVA)]]*5%</f>
        <v>69293.210000000006</v>
      </c>
      <c r="G69" s="8">
        <v>0.85</v>
      </c>
      <c r="H69" s="7">
        <f>+Tabla131[[#This Row],[COSTO]]*1.19</f>
        <v>1177984.5699999998</v>
      </c>
      <c r="I69" s="6"/>
      <c r="J69" s="6"/>
      <c r="K69" s="32">
        <v>989903</v>
      </c>
      <c r="L69" s="29"/>
    </row>
    <row r="70" spans="1:12" ht="30" x14ac:dyDescent="0.2">
      <c r="A70" s="11" t="s">
        <v>169</v>
      </c>
      <c r="B70" s="21" t="s">
        <v>170</v>
      </c>
      <c r="C70" s="9">
        <f>+Tabla131[[#This Row],[COSTO CON IVA]]/Tabla131[[#This Row],[UTILIDAD]]</f>
        <v>183406.99999999997</v>
      </c>
      <c r="D70" s="24">
        <f>+Tabla131[[#This Row],[PRECIO INSTALLER (CON IVA)]]-Tabla131[[#This Row],[Columna4]]</f>
        <v>174236.64999999997</v>
      </c>
      <c r="E70" s="24">
        <f>+Tabla131[[#This Row],[PRECIO INSTALLER (CON IVA)]]/0.7</f>
        <v>262009.99999999997</v>
      </c>
      <c r="F70" s="9">
        <f>+Tabla131[[#This Row],[PRECIO INSTALLER (CON IVA)]]*5%</f>
        <v>9170.3499999999985</v>
      </c>
      <c r="G70" s="8">
        <v>0.85</v>
      </c>
      <c r="H70" s="7">
        <f>+Tabla131[[#This Row],[COSTO]]*1.19</f>
        <v>155895.94999999998</v>
      </c>
      <c r="I70" s="6"/>
      <c r="J70" s="6"/>
      <c r="K70" s="32">
        <v>131005</v>
      </c>
      <c r="L70" s="29"/>
    </row>
    <row r="71" spans="1:12" ht="60" x14ac:dyDescent="0.2">
      <c r="A71" s="11" t="s">
        <v>177</v>
      </c>
      <c r="B71" s="21" t="s">
        <v>178</v>
      </c>
      <c r="C71" s="9">
        <f>+Tabla131[[#This Row],[COSTO CON IVA]]/Tabla131[[#This Row],[UTILIDAD]]</f>
        <v>785322.99999999988</v>
      </c>
      <c r="D71" s="24">
        <f>+Tabla131[[#This Row],[PRECIO INSTALLER (CON IVA)]]-Tabla131[[#This Row],[Columna4]]</f>
        <v>746056.84999999986</v>
      </c>
      <c r="E71" s="24">
        <f>+Tabla131[[#This Row],[PRECIO INSTALLER (CON IVA)]]/0.7</f>
        <v>1121890</v>
      </c>
      <c r="F71" s="9">
        <f>+Tabla131[[#This Row],[PRECIO INSTALLER (CON IVA)]]*5%</f>
        <v>39266.149999999994</v>
      </c>
      <c r="G71" s="8">
        <v>0.85</v>
      </c>
      <c r="H71" s="7">
        <f>+Tabla131[[#This Row],[COSTO]]*1.19</f>
        <v>667524.54999999993</v>
      </c>
      <c r="I71" s="6"/>
      <c r="J71" s="6"/>
      <c r="K71" s="32">
        <v>560945</v>
      </c>
      <c r="L71" s="29"/>
    </row>
    <row r="72" spans="1:12" ht="45" x14ac:dyDescent="0.2">
      <c r="A72" s="11" t="s">
        <v>171</v>
      </c>
      <c r="B72" s="21" t="s">
        <v>172</v>
      </c>
      <c r="C72" s="9">
        <f>+Tabla131[[#This Row],[COSTO CON IVA]]/Tabla131[[#This Row],[UTILIDAD]]</f>
        <v>499625</v>
      </c>
      <c r="D72" s="24">
        <f>+Tabla131[[#This Row],[PRECIO INSTALLER (CON IVA)]]-Tabla131[[#This Row],[Columna4]]</f>
        <v>474643.75</v>
      </c>
      <c r="E72" s="24">
        <f>+Tabla131[[#This Row],[PRECIO INSTALLER (CON IVA)]]/0.7</f>
        <v>713750</v>
      </c>
      <c r="F72" s="9">
        <f>+Tabla131[[#This Row],[PRECIO INSTALLER (CON IVA)]]*5%</f>
        <v>24981.25</v>
      </c>
      <c r="G72" s="8">
        <v>0.85</v>
      </c>
      <c r="H72" s="7">
        <f>+Tabla131[[#This Row],[COSTO]]*1.19</f>
        <v>424681.25</v>
      </c>
      <c r="I72" s="6"/>
      <c r="J72" s="6"/>
      <c r="K72" s="32">
        <v>356875</v>
      </c>
      <c r="L72" s="29"/>
    </row>
    <row r="73" spans="1:12" ht="30" x14ac:dyDescent="0.2">
      <c r="A73" s="11" t="s">
        <v>173</v>
      </c>
      <c r="B73" s="21" t="s">
        <v>174</v>
      </c>
      <c r="C73" s="9">
        <f>+Tabla131[[#This Row],[COSTO CON IVA]]/Tabla131[[#This Row],[UTILIDAD]]</f>
        <v>848520.4</v>
      </c>
      <c r="D73" s="24">
        <f>+Tabla131[[#This Row],[PRECIO INSTALLER (CON IVA)]]-Tabla131[[#This Row],[Columna4]]</f>
        <v>806094.38</v>
      </c>
      <c r="E73" s="24">
        <f>+Tabla131[[#This Row],[PRECIO INSTALLER (CON IVA)]]/0.7</f>
        <v>1212172</v>
      </c>
      <c r="F73" s="9">
        <f>+Tabla131[[#This Row],[PRECIO INSTALLER (CON IVA)]]*5%</f>
        <v>42426.020000000004</v>
      </c>
      <c r="G73" s="8">
        <v>0.85</v>
      </c>
      <c r="H73" s="7">
        <f>+Tabla131[[#This Row],[COSTO]]*1.19</f>
        <v>721242.34</v>
      </c>
      <c r="I73" s="6"/>
      <c r="J73" s="6"/>
      <c r="K73" s="32">
        <v>606086</v>
      </c>
      <c r="L73" s="29"/>
    </row>
    <row r="74" spans="1:12" ht="45" x14ac:dyDescent="0.2">
      <c r="A74" s="11" t="s">
        <v>175</v>
      </c>
      <c r="B74" s="21" t="s">
        <v>176</v>
      </c>
      <c r="C74" s="9">
        <f>+Tabla131[[#This Row],[COSTO CON IVA]]/Tabla131[[#This Row],[UTILIDAD]]</f>
        <v>478727.2</v>
      </c>
      <c r="D74" s="24">
        <f>+Tabla131[[#This Row],[PRECIO INSTALLER (CON IVA)]]-Tabla131[[#This Row],[Columna4]]</f>
        <v>454790.84</v>
      </c>
      <c r="E74" s="24">
        <f>+Tabla131[[#This Row],[PRECIO INSTALLER (CON IVA)]]/0.7</f>
        <v>683896.00000000012</v>
      </c>
      <c r="F74" s="9">
        <f>+Tabla131[[#This Row],[PRECIO INSTALLER (CON IVA)]]*5%</f>
        <v>23936.36</v>
      </c>
      <c r="G74" s="8">
        <v>0.85</v>
      </c>
      <c r="H74" s="7">
        <f>+Tabla131[[#This Row],[COSTO]]*1.19</f>
        <v>406918.12</v>
      </c>
      <c r="I74" s="6"/>
      <c r="J74" s="6"/>
      <c r="K74" s="32">
        <v>341948</v>
      </c>
      <c r="L74" s="29"/>
    </row>
    <row r="75" spans="1:12" ht="45" x14ac:dyDescent="0.2">
      <c r="A75" s="11" t="s">
        <v>141</v>
      </c>
      <c r="B75" s="21" t="s">
        <v>143</v>
      </c>
      <c r="C75" s="9">
        <f>+Tabla131[[#This Row],[COSTO CON IVA]]/Tabla131[[#This Row],[UTILIDAD]]</f>
        <v>391790</v>
      </c>
      <c r="D75" s="24">
        <f>+Tabla131[[#This Row],[PRECIO INSTALLER (CON IVA)]]-Tabla131[[#This Row],[Columna4]]</f>
        <v>372200.5</v>
      </c>
      <c r="E75" s="24">
        <f>+Tabla131[[#This Row],[PRECIO INSTALLER (CON IVA)]]/0.7</f>
        <v>559700</v>
      </c>
      <c r="F75" s="9">
        <f>+Tabla131[[#This Row],[PRECIO INSTALLER (CON IVA)]]*5%</f>
        <v>19589.5</v>
      </c>
      <c r="G75" s="8">
        <v>0.85</v>
      </c>
      <c r="H75" s="7">
        <f>+Tabla131[[#This Row],[COSTO]]*1.19</f>
        <v>333021.5</v>
      </c>
      <c r="I75" s="6"/>
      <c r="J75" s="6"/>
      <c r="K75" s="32">
        <v>279850</v>
      </c>
      <c r="L75" s="29"/>
    </row>
    <row r="76" spans="1:12" ht="30" x14ac:dyDescent="0.2">
      <c r="A76" s="11" t="s">
        <v>142</v>
      </c>
      <c r="B76" s="21" t="s">
        <v>144</v>
      </c>
      <c r="C76" s="9">
        <f>+Tabla131[[#This Row],[COSTO CON IVA]]/Tabla131[[#This Row],[UTILIDAD]]</f>
        <v>87165.4</v>
      </c>
      <c r="D76" s="24">
        <f>+Tabla131[[#This Row],[PRECIO INSTALLER (CON IVA)]]-Tabla131[[#This Row],[Columna4]]</f>
        <v>82807.12999999999</v>
      </c>
      <c r="E76" s="24">
        <f>+Tabla131[[#This Row],[PRECIO INSTALLER (CON IVA)]]/0.7</f>
        <v>124522</v>
      </c>
      <c r="F76" s="9">
        <f>+Tabla131[[#This Row],[PRECIO INSTALLER (CON IVA)]]*5%</f>
        <v>4358.2699999999995</v>
      </c>
      <c r="G76" s="8">
        <v>0.85</v>
      </c>
      <c r="H76" s="7">
        <f>+Tabla131[[#This Row],[COSTO]]*1.19</f>
        <v>74090.59</v>
      </c>
      <c r="I76" s="6"/>
      <c r="J76" s="6"/>
      <c r="K76" s="32">
        <v>62261</v>
      </c>
      <c r="L76" s="29"/>
    </row>
    <row r="77" spans="1:12" ht="45" x14ac:dyDescent="0.2">
      <c r="A77" s="11" t="s">
        <v>145</v>
      </c>
      <c r="B77" s="21" t="s">
        <v>147</v>
      </c>
      <c r="C77" s="9">
        <f>+Tabla131[[#This Row],[COSTO CON IVA]]/Tabla131[[#This Row],[UTILIDAD]]</f>
        <v>666534.40000000002</v>
      </c>
      <c r="D77" s="24">
        <f>+Tabla131[[#This Row],[PRECIO INSTALLER (CON IVA)]]-Tabla131[[#This Row],[Columna4]]</f>
        <v>633207.68000000005</v>
      </c>
      <c r="E77" s="24">
        <f>+Tabla131[[#This Row],[PRECIO INSTALLER (CON IVA)]]/0.7</f>
        <v>952192.00000000012</v>
      </c>
      <c r="F77" s="9">
        <f>+Tabla131[[#This Row],[PRECIO INSTALLER (CON IVA)]]*5%</f>
        <v>33326.720000000001</v>
      </c>
      <c r="G77" s="8">
        <v>0.85</v>
      </c>
      <c r="H77" s="7">
        <f>+Tabla131[[#This Row],[COSTO]]*1.19</f>
        <v>566554.24</v>
      </c>
      <c r="I77" s="6"/>
      <c r="J77" s="6"/>
      <c r="K77" s="32">
        <v>476096</v>
      </c>
      <c r="L77" s="29"/>
    </row>
    <row r="78" spans="1:12" ht="30" x14ac:dyDescent="0.2">
      <c r="A78" s="11" t="s">
        <v>146</v>
      </c>
      <c r="B78" s="21" t="s">
        <v>148</v>
      </c>
      <c r="C78" s="9">
        <f>+Tabla131[[#This Row],[COSTO CON IVA]]/Tabla131[[#This Row],[UTILIDAD]]</f>
        <v>263974.19999999995</v>
      </c>
      <c r="D78" s="24">
        <f>+Tabla131[[#This Row],[PRECIO INSTALLER (CON IVA)]]-Tabla131[[#This Row],[Columna4]]</f>
        <v>250775.48999999996</v>
      </c>
      <c r="E78" s="24">
        <f>+Tabla131[[#This Row],[PRECIO INSTALLER (CON IVA)]]/0.7</f>
        <v>377105.99999999994</v>
      </c>
      <c r="F78" s="9">
        <f>+Tabla131[[#This Row],[PRECIO INSTALLER (CON IVA)]]*5%</f>
        <v>13198.71</v>
      </c>
      <c r="G78" s="8">
        <v>0.85</v>
      </c>
      <c r="H78" s="7">
        <f>+Tabla131[[#This Row],[COSTO]]*1.19</f>
        <v>224378.06999999998</v>
      </c>
      <c r="I78" s="6"/>
      <c r="J78" s="6"/>
      <c r="K78" s="32">
        <v>188553</v>
      </c>
      <c r="L78" s="29"/>
    </row>
    <row r="79" spans="1:12" ht="60" x14ac:dyDescent="0.2">
      <c r="A79" s="11" t="s">
        <v>202</v>
      </c>
      <c r="B79" s="21" t="s">
        <v>203</v>
      </c>
      <c r="C79" s="9">
        <f>+Tabla131[[#This Row],[COSTO CON IVA]]/Tabla131[[#This Row],[UTILIDAD]]</f>
        <v>326254.59999999998</v>
      </c>
      <c r="D79" s="24">
        <f>+Tabla131[[#This Row],[PRECIO INSTALLER (CON IVA)]]-Tabla131[[#This Row],[Columna4]]</f>
        <v>309941.87</v>
      </c>
      <c r="E79" s="24">
        <f>+Tabla131[[#This Row],[PRECIO INSTALLER (CON IVA)]]/0.7</f>
        <v>466078</v>
      </c>
      <c r="F79" s="9">
        <f>+Tabla131[[#This Row],[PRECIO INSTALLER (CON IVA)]]*5%</f>
        <v>16312.73</v>
      </c>
      <c r="G79" s="8">
        <v>0.85</v>
      </c>
      <c r="H79" s="7">
        <f>+Tabla131[[#This Row],[COSTO]]*1.19</f>
        <v>277316.40999999997</v>
      </c>
      <c r="I79" s="6"/>
      <c r="J79" s="6"/>
      <c r="K79" s="32">
        <v>233039</v>
      </c>
      <c r="L79" s="29"/>
    </row>
    <row r="80" spans="1:12" ht="45" x14ac:dyDescent="0.2">
      <c r="A80" s="11" t="s">
        <v>149</v>
      </c>
      <c r="B80" s="21" t="s">
        <v>150</v>
      </c>
      <c r="C80" s="9">
        <f>+Tabla131[[#This Row],[COSTO CON IVA]]/Tabla131[[#This Row],[UTILIDAD]]</f>
        <v>897512</v>
      </c>
      <c r="D80" s="24">
        <f>+Tabla131[[#This Row],[PRECIO INSTALLER (CON IVA)]]-Tabla131[[#This Row],[Columna4]]</f>
        <v>852636.4</v>
      </c>
      <c r="E80" s="24">
        <f>+Tabla131[[#This Row],[PRECIO INSTALLER (CON IVA)]]/0.7</f>
        <v>1282160</v>
      </c>
      <c r="F80" s="9">
        <f>+Tabla131[[#This Row],[PRECIO INSTALLER (CON IVA)]]*5%</f>
        <v>44875.600000000006</v>
      </c>
      <c r="G80" s="8">
        <v>0.85</v>
      </c>
      <c r="H80" s="7">
        <f>+Tabla131[[#This Row],[COSTO]]*1.19</f>
        <v>762885.2</v>
      </c>
      <c r="I80" s="6"/>
      <c r="J80" s="6"/>
      <c r="K80" s="32">
        <v>641080</v>
      </c>
      <c r="L80" s="29"/>
    </row>
    <row r="81" spans="1:12" ht="45" x14ac:dyDescent="0.2">
      <c r="A81" s="11" t="s">
        <v>152</v>
      </c>
      <c r="B81" s="21" t="s">
        <v>151</v>
      </c>
      <c r="C81" s="9">
        <f>+Tabla131[[#This Row],[COSTO CON IVA]]/Tabla131[[#This Row],[UTILIDAD]]</f>
        <v>114846.2</v>
      </c>
      <c r="D81" s="24">
        <f>+Tabla131[[#This Row],[PRECIO INSTALLER (CON IVA)]]-Tabla131[[#This Row],[Columna4]]</f>
        <v>109103.89</v>
      </c>
      <c r="E81" s="24">
        <f>+Tabla131[[#This Row],[PRECIO INSTALLER (CON IVA)]]/0.7</f>
        <v>164066</v>
      </c>
      <c r="F81" s="9">
        <f>+Tabla131[[#This Row],[PRECIO INSTALLER (CON IVA)]]*5%</f>
        <v>5742.31</v>
      </c>
      <c r="G81" s="8">
        <v>0.85</v>
      </c>
      <c r="H81" s="7">
        <f>+Tabla131[[#This Row],[COSTO]]*1.19</f>
        <v>97619.26999999999</v>
      </c>
      <c r="I81" s="6"/>
      <c r="J81" s="6"/>
      <c r="K81" s="32">
        <v>82033</v>
      </c>
      <c r="L81" s="29"/>
    </row>
    <row r="82" spans="1:12" ht="30" x14ac:dyDescent="0.2">
      <c r="A82" s="11" t="s">
        <v>153</v>
      </c>
      <c r="B82" s="21" t="s">
        <v>154</v>
      </c>
      <c r="C82" s="9">
        <f>+Tabla131[[#This Row],[COSTO CON IVA]]/Tabla131[[#This Row],[UTILIDAD]]</f>
        <v>362367.6</v>
      </c>
      <c r="D82" s="24">
        <f>+Tabla131[[#This Row],[PRECIO INSTALLER (CON IVA)]]-Tabla131[[#This Row],[Columna4]]</f>
        <v>344249.22</v>
      </c>
      <c r="E82" s="24">
        <f>+Tabla131[[#This Row],[PRECIO INSTALLER (CON IVA)]]/0.7</f>
        <v>517668</v>
      </c>
      <c r="F82" s="9">
        <f>+Tabla131[[#This Row],[PRECIO INSTALLER (CON IVA)]]*5%</f>
        <v>18118.38</v>
      </c>
      <c r="G82" s="8">
        <v>0.85</v>
      </c>
      <c r="H82" s="7">
        <f>+Tabla131[[#This Row],[COSTO]]*1.19</f>
        <v>308012.45999999996</v>
      </c>
      <c r="I82" s="6"/>
      <c r="J82" s="6"/>
      <c r="K82" s="32">
        <v>258834</v>
      </c>
      <c r="L82" s="29"/>
    </row>
    <row r="83" spans="1:12" ht="38.25" x14ac:dyDescent="0.2">
      <c r="A83" s="11" t="s">
        <v>119</v>
      </c>
      <c r="B83" s="10" t="s">
        <v>121</v>
      </c>
      <c r="C83" s="9">
        <f>+Tabla131[[#This Row],[COSTO CON IVA]]/Tabla131[[#This Row],[UTILIDAD]]</f>
        <v>989902.20000000007</v>
      </c>
      <c r="D83" s="24">
        <f>+Tabla131[[#This Row],[PRECIO INSTALLER (CON IVA)]]-Tabla131[[#This Row],[Columna4]]</f>
        <v>940407.09000000008</v>
      </c>
      <c r="E83" s="24">
        <f>+Tabla131[[#This Row],[PRECIO INSTALLER (CON IVA)]]/0.7</f>
        <v>1414146.0000000002</v>
      </c>
      <c r="F83" s="9">
        <f>+Tabla131[[#This Row],[PRECIO INSTALLER (CON IVA)]]*5%</f>
        <v>49495.110000000008</v>
      </c>
      <c r="G83" s="8">
        <v>0.85</v>
      </c>
      <c r="H83" s="7">
        <f>+Tabla131[[#This Row],[COSTO]]*1.19</f>
        <v>841416.87</v>
      </c>
      <c r="I83" s="6"/>
      <c r="J83" s="6"/>
      <c r="K83" s="5">
        <v>707073</v>
      </c>
      <c r="L83" s="29"/>
    </row>
    <row r="84" spans="1:12" ht="51" x14ac:dyDescent="0.2">
      <c r="A84" s="11" t="s">
        <v>120</v>
      </c>
      <c r="B84" s="10" t="s">
        <v>122</v>
      </c>
      <c r="C84" s="9">
        <f>+Tabla131[[#This Row],[COSTO CON IVA]]/Tabla131[[#This Row],[UTILIDAD]]</f>
        <v>441468.99999999994</v>
      </c>
      <c r="D84" s="24">
        <f>+Tabla131[[#This Row],[PRECIO INSTALLER (CON IVA)]]-Tabla131[[#This Row],[Columna4]]</f>
        <v>419395.54999999993</v>
      </c>
      <c r="E84" s="24">
        <f>+Tabla131[[#This Row],[PRECIO INSTALLER (CON IVA)]]/0.7</f>
        <v>630670</v>
      </c>
      <c r="F84" s="9">
        <f>+Tabla131[[#This Row],[PRECIO INSTALLER (CON IVA)]]*5%</f>
        <v>22073.449999999997</v>
      </c>
      <c r="G84" s="8">
        <v>0.85</v>
      </c>
      <c r="H84" s="7">
        <f>+Tabla131[[#This Row],[COSTO]]*1.19</f>
        <v>375248.64999999997</v>
      </c>
      <c r="I84" s="6"/>
      <c r="J84" s="6"/>
      <c r="K84" s="5">
        <v>315335</v>
      </c>
      <c r="L84" s="29"/>
    </row>
    <row r="85" spans="1:12" ht="38.25" x14ac:dyDescent="0.2">
      <c r="A85" s="11" t="s">
        <v>123</v>
      </c>
      <c r="B85" s="10" t="s">
        <v>124</v>
      </c>
      <c r="C85" s="9">
        <f>+Tabla131[[#This Row],[COSTO CON IVA]]/Tabla131[[#This Row],[UTILIDAD]]</f>
        <v>905073.4</v>
      </c>
      <c r="D85" s="24">
        <f>+Tabla131[[#This Row],[PRECIO INSTALLER (CON IVA)]]-Tabla131[[#This Row],[Columna4]]</f>
        <v>859819.73</v>
      </c>
      <c r="E85" s="24">
        <f>+Tabla131[[#This Row],[PRECIO INSTALLER (CON IVA)]]/0.7</f>
        <v>1292962</v>
      </c>
      <c r="F85" s="9">
        <f>+Tabla131[[#This Row],[PRECIO INSTALLER (CON IVA)]]*5%</f>
        <v>45253.670000000006</v>
      </c>
      <c r="G85" s="8">
        <v>0.85</v>
      </c>
      <c r="H85" s="7">
        <f>+Tabla131[[#This Row],[COSTO]]*1.19</f>
        <v>769312.39</v>
      </c>
      <c r="I85" s="6"/>
      <c r="J85" s="6"/>
      <c r="K85" s="5">
        <v>646481</v>
      </c>
      <c r="L85" s="29"/>
    </row>
    <row r="86" spans="1:12" ht="51" x14ac:dyDescent="0.2">
      <c r="A86" s="11" t="s">
        <v>127</v>
      </c>
      <c r="B86" s="10" t="s">
        <v>128</v>
      </c>
      <c r="C86" s="9">
        <f>+Tabla131[[#This Row],[COSTO CON IVA]]/Tabla131[[#This Row],[UTILIDAD]]</f>
        <v>912130.79999999993</v>
      </c>
      <c r="D86" s="24">
        <f>+Tabla131[[#This Row],[PRECIO INSTALLER (CON IVA)]]-Tabla131[[#This Row],[Columna4]]</f>
        <v>866524.25999999989</v>
      </c>
      <c r="E86" s="24">
        <f>+Tabla131[[#This Row],[PRECIO INSTALLER (CON IVA)]]/0.7</f>
        <v>1303044</v>
      </c>
      <c r="F86" s="9">
        <f>+Tabla131[[#This Row],[PRECIO INSTALLER (CON IVA)]]*5%</f>
        <v>45606.54</v>
      </c>
      <c r="G86" s="8">
        <v>0.85</v>
      </c>
      <c r="H86" s="7">
        <f>+Tabla131[[#This Row],[COSTO]]*1.19</f>
        <v>775311.17999999993</v>
      </c>
      <c r="I86" s="6"/>
      <c r="J86" s="6"/>
      <c r="K86" s="5">
        <v>651522</v>
      </c>
      <c r="L86" s="29"/>
    </row>
    <row r="87" spans="1:12" ht="38.25" x14ac:dyDescent="0.2">
      <c r="A87" s="11" t="s">
        <v>129</v>
      </c>
      <c r="B87" s="10" t="s">
        <v>130</v>
      </c>
      <c r="C87" s="9">
        <f>+Tabla131[[#This Row],[COSTO CON IVA]]/Tabla131[[#This Row],[UTILIDAD]]</f>
        <v>457508.8</v>
      </c>
      <c r="D87" s="24">
        <f>+Tabla131[[#This Row],[PRECIO INSTALLER (CON IVA)]]-Tabla131[[#This Row],[Columna4]]</f>
        <v>434633.36</v>
      </c>
      <c r="E87" s="24">
        <f>+Tabla131[[#This Row],[PRECIO INSTALLER (CON IVA)]]/0.7</f>
        <v>653584</v>
      </c>
      <c r="F87" s="9">
        <f>+Tabla131[[#This Row],[PRECIO INSTALLER (CON IVA)]]*5%</f>
        <v>22875.440000000002</v>
      </c>
      <c r="G87" s="8">
        <v>0.85</v>
      </c>
      <c r="H87" s="7">
        <f>+Tabla131[[#This Row],[COSTO]]*1.19</f>
        <v>388882.48</v>
      </c>
      <c r="I87" s="6"/>
      <c r="J87" s="6"/>
      <c r="K87" s="5">
        <v>326792</v>
      </c>
      <c r="L87" s="29"/>
    </row>
    <row r="88" spans="1:12" ht="38.25" x14ac:dyDescent="0.2">
      <c r="A88" s="11" t="s">
        <v>179</v>
      </c>
      <c r="B88" s="10" t="s">
        <v>181</v>
      </c>
      <c r="C88" s="9">
        <f>+Tabla131[[#This Row],[COSTO CON IVA]]/Tabla131[[#This Row],[UTILIDAD]]</f>
        <v>375566.8</v>
      </c>
      <c r="D88" s="24">
        <f>+Tabla131[[#This Row],[PRECIO INSTALLER (CON IVA)]]-Tabla131[[#This Row],[Columna4]]</f>
        <v>356788.45999999996</v>
      </c>
      <c r="E88" s="24">
        <f>+Tabla131[[#This Row],[PRECIO INSTALLER (CON IVA)]]/0.7</f>
        <v>536524</v>
      </c>
      <c r="F88" s="9">
        <f>+Tabla131[[#This Row],[PRECIO INSTALLER (CON IVA)]]*5%</f>
        <v>18778.34</v>
      </c>
      <c r="G88" s="8">
        <v>0.85</v>
      </c>
      <c r="H88" s="7">
        <f>+Tabla131[[#This Row],[COSTO]]*1.19</f>
        <v>319231.77999999997</v>
      </c>
      <c r="I88" s="6"/>
      <c r="J88" s="6"/>
      <c r="K88" s="5">
        <v>268262</v>
      </c>
      <c r="L88" s="29"/>
    </row>
    <row r="89" spans="1:12" ht="25.5" x14ac:dyDescent="0.2">
      <c r="A89" s="11" t="s">
        <v>180</v>
      </c>
      <c r="B89" s="10" t="s">
        <v>182</v>
      </c>
      <c r="C89" s="9">
        <f>+Tabla131[[#This Row],[COSTO CON IVA]]/Tabla131[[#This Row],[UTILIDAD]]</f>
        <v>1159607.3999999999</v>
      </c>
      <c r="D89" s="24">
        <f>+Tabla131[[#This Row],[PRECIO INSTALLER (CON IVA)]]-Tabla131[[#This Row],[Columna4]]</f>
        <v>1101627.0299999998</v>
      </c>
      <c r="E89" s="24">
        <f>+Tabla131[[#This Row],[PRECIO INSTALLER (CON IVA)]]/0.7</f>
        <v>1656582</v>
      </c>
      <c r="F89" s="9">
        <f>+Tabla131[[#This Row],[PRECIO INSTALLER (CON IVA)]]*5%</f>
        <v>57980.369999999995</v>
      </c>
      <c r="G89" s="8">
        <v>0.85</v>
      </c>
      <c r="H89" s="7">
        <f>+Tabla131[[#This Row],[COSTO]]*1.19</f>
        <v>985666.28999999992</v>
      </c>
      <c r="I89" s="6"/>
      <c r="J89" s="6"/>
      <c r="K89" s="5">
        <v>828291</v>
      </c>
      <c r="L89" s="29"/>
    </row>
    <row r="90" spans="1:12" ht="25.5" x14ac:dyDescent="0.2">
      <c r="A90" s="11" t="s">
        <v>183</v>
      </c>
      <c r="B90" s="10" t="s">
        <v>184</v>
      </c>
      <c r="C90" s="9">
        <f>+Tabla131[[#This Row],[COSTO CON IVA]]/Tabla131[[#This Row],[UTILIDAD]]</f>
        <v>421762.6</v>
      </c>
      <c r="D90" s="24">
        <f>+Tabla131[[#This Row],[PRECIO INSTALLER (CON IVA)]]-Tabla131[[#This Row],[Columna4]]</f>
        <v>400674.47</v>
      </c>
      <c r="E90" s="24">
        <f>+Tabla131[[#This Row],[PRECIO INSTALLER (CON IVA)]]/0.7</f>
        <v>602518</v>
      </c>
      <c r="F90" s="9">
        <f>+Tabla131[[#This Row],[PRECIO INSTALLER (CON IVA)]]*5%</f>
        <v>21088.13</v>
      </c>
      <c r="G90" s="8">
        <v>0.85</v>
      </c>
      <c r="H90" s="7">
        <f>+Tabla131[[#This Row],[COSTO]]*1.19</f>
        <v>358498.20999999996</v>
      </c>
      <c r="I90" s="6"/>
      <c r="J90" s="6"/>
      <c r="K90" s="5">
        <v>301259</v>
      </c>
      <c r="L90" s="29"/>
    </row>
    <row r="91" spans="1:12" ht="38.25" x14ac:dyDescent="0.2">
      <c r="A91" s="31" t="s">
        <v>185</v>
      </c>
      <c r="B91" s="10" t="s">
        <v>186</v>
      </c>
      <c r="C91" s="9">
        <f>+Tabla131[[#This Row],[COSTO CON IVA]]/Tabla131[[#This Row],[UTILIDAD]]</f>
        <v>954568.99999999988</v>
      </c>
      <c r="D91" s="24">
        <f>+Tabla131[[#This Row],[PRECIO INSTALLER (CON IVA)]]-Tabla131[[#This Row],[Columna4]]</f>
        <v>906840.54999999993</v>
      </c>
      <c r="E91" s="24">
        <f>+Tabla131[[#This Row],[PRECIO INSTALLER (CON IVA)]]/0.7</f>
        <v>1363670</v>
      </c>
      <c r="F91" s="9">
        <f>+Tabla131[[#This Row],[PRECIO INSTALLER (CON IVA)]]*5%</f>
        <v>47728.45</v>
      </c>
      <c r="G91" s="8">
        <v>0.85</v>
      </c>
      <c r="H91" s="7">
        <f>+Tabla131[[#This Row],[COSTO]]*1.19</f>
        <v>811383.64999999991</v>
      </c>
      <c r="I91" s="6"/>
      <c r="J91" s="6"/>
      <c r="K91" s="5">
        <v>681835</v>
      </c>
      <c r="L91" s="29"/>
    </row>
    <row r="92" spans="1:12" x14ac:dyDescent="0.2">
      <c r="A92" s="11" t="s">
        <v>187</v>
      </c>
      <c r="B92" s="10" t="s">
        <v>188</v>
      </c>
      <c r="C92" s="9">
        <f>+Tabla131[[#This Row],[COSTO CON IVA]]/Tabla131[[#This Row],[UTILIDAD]]</f>
        <v>38082.799999999996</v>
      </c>
      <c r="D92" s="24">
        <f>+Tabla131[[#This Row],[PRECIO INSTALLER (CON IVA)]]-Tabla131[[#This Row],[Columna4]]</f>
        <v>36178.659999999996</v>
      </c>
      <c r="E92" s="24">
        <f>+Tabla131[[#This Row],[PRECIO INSTALLER (CON IVA)]]/0.7</f>
        <v>54404</v>
      </c>
      <c r="F92" s="9">
        <f>+Tabla131[[#This Row],[PRECIO INSTALLER (CON IVA)]]*5%</f>
        <v>1904.1399999999999</v>
      </c>
      <c r="G92" s="8">
        <v>0.85</v>
      </c>
      <c r="H92" s="7">
        <f>+Tabla131[[#This Row],[COSTO]]*1.19</f>
        <v>32370.379999999997</v>
      </c>
      <c r="I92" s="6"/>
      <c r="J92" s="6"/>
      <c r="K92" s="5">
        <v>27202</v>
      </c>
      <c r="L92" s="29"/>
    </row>
    <row r="93" spans="1:12" ht="25.5" x14ac:dyDescent="0.2">
      <c r="A93" s="11" t="s">
        <v>189</v>
      </c>
      <c r="B93" s="10" t="s">
        <v>190</v>
      </c>
      <c r="C93" s="9">
        <f>+Tabla131[[#This Row],[COSTO CON IVA]]/Tabla131[[#This Row],[UTILIDAD]]</f>
        <v>122087</v>
      </c>
      <c r="D93" s="24">
        <f>+Tabla131[[#This Row],[PRECIO INSTALLER (CON IVA)]]-Tabla131[[#This Row],[Columna4]]</f>
        <v>115982.65</v>
      </c>
      <c r="E93" s="24">
        <f>+Tabla131[[#This Row],[PRECIO INSTALLER (CON IVA)]]/0.7</f>
        <v>174410</v>
      </c>
      <c r="F93" s="9">
        <f>+Tabla131[[#This Row],[PRECIO INSTALLER (CON IVA)]]*5%</f>
        <v>6104.35</v>
      </c>
      <c r="G93" s="8">
        <v>0.85</v>
      </c>
      <c r="H93" s="7">
        <f>+Tabla131[[#This Row],[COSTO]]*1.19</f>
        <v>103773.95</v>
      </c>
      <c r="I93" s="6"/>
      <c r="J93" s="6"/>
      <c r="K93" s="5">
        <v>87205</v>
      </c>
      <c r="L93" s="29"/>
    </row>
    <row r="94" spans="1:12" ht="38.25" x14ac:dyDescent="0.2">
      <c r="A94" s="11" t="s">
        <v>191</v>
      </c>
      <c r="B94" s="10" t="s">
        <v>192</v>
      </c>
      <c r="C94" s="9">
        <f>+Tabla131[[#This Row],[COSTO CON IVA]]/Tabla131[[#This Row],[UTILIDAD]]</f>
        <v>1668720.2</v>
      </c>
      <c r="D94" s="24">
        <f>+Tabla131[[#This Row],[PRECIO INSTALLER (CON IVA)]]-Tabla131[[#This Row],[Columna4]]</f>
        <v>1585284.19</v>
      </c>
      <c r="E94" s="24">
        <f>+Tabla131[[#This Row],[PRECIO INSTALLER (CON IVA)]]/0.7</f>
        <v>2383886</v>
      </c>
      <c r="F94" s="9">
        <f>+Tabla131[[#This Row],[PRECIO INSTALLER (CON IVA)]]*5%</f>
        <v>83436.010000000009</v>
      </c>
      <c r="G94" s="8">
        <v>0.85</v>
      </c>
      <c r="H94" s="7">
        <f>+Tabla131[[#This Row],[COSTO]]*1.19</f>
        <v>1418412.17</v>
      </c>
      <c r="I94" s="6"/>
      <c r="J94" s="6"/>
      <c r="K94" s="5">
        <v>1191943</v>
      </c>
      <c r="L94" s="29"/>
    </row>
    <row r="95" spans="1:12" ht="38.25" x14ac:dyDescent="0.2">
      <c r="A95" s="11" t="s">
        <v>205</v>
      </c>
      <c r="B95" s="10" t="s">
        <v>207</v>
      </c>
      <c r="C95" s="9">
        <f>+Tabla131[[#This Row],[COSTO CON IVA]]/Tabla131[[#This Row],[UTILIDAD]]</f>
        <v>564977</v>
      </c>
      <c r="D95" s="24">
        <f>+Tabla131[[#This Row],[PRECIO INSTALLER (CON IVA)]]-Tabla131[[#This Row],[Columna4]]</f>
        <v>536728.15</v>
      </c>
      <c r="E95" s="24">
        <f>+Tabla131[[#This Row],[PRECIO INSTALLER (CON IVA)]]/0.7</f>
        <v>807110</v>
      </c>
      <c r="F95" s="9">
        <f>+Tabla131[[#This Row],[PRECIO INSTALLER (CON IVA)]]*5%</f>
        <v>28248.850000000002</v>
      </c>
      <c r="G95" s="8">
        <v>0.85</v>
      </c>
      <c r="H95" s="7">
        <f>+Tabla131[[#This Row],[COSTO]]*1.19</f>
        <v>480230.44999999995</v>
      </c>
      <c r="I95" s="6"/>
      <c r="J95" s="6"/>
      <c r="K95" s="5">
        <v>403555</v>
      </c>
      <c r="L95" s="29"/>
    </row>
    <row r="96" spans="1:12" ht="25.5" x14ac:dyDescent="0.2">
      <c r="A96" s="11" t="s">
        <v>206</v>
      </c>
      <c r="B96" s="10" t="s">
        <v>208</v>
      </c>
      <c r="C96" s="9">
        <f>+Tabla131[[#This Row],[COSTO CON IVA]]/Tabla131[[#This Row],[UTILIDAD]]</f>
        <v>122362.79999999999</v>
      </c>
      <c r="D96" s="24">
        <f>+Tabla131[[#This Row],[PRECIO INSTALLER (CON IVA)]]-Tabla131[[#This Row],[Columna4]]</f>
        <v>116244.65999999999</v>
      </c>
      <c r="E96" s="24">
        <f>+Tabla131[[#This Row],[PRECIO INSTALLER (CON IVA)]]/0.7</f>
        <v>174804</v>
      </c>
      <c r="F96" s="9">
        <f>+Tabla131[[#This Row],[PRECIO INSTALLER (CON IVA)]]*5%</f>
        <v>6118.1399999999994</v>
      </c>
      <c r="G96" s="8">
        <v>0.85</v>
      </c>
      <c r="H96" s="7">
        <f>+Tabla131[[#This Row],[COSTO]]*1.19</f>
        <v>104008.37999999999</v>
      </c>
      <c r="I96" s="6"/>
      <c r="J96" s="6"/>
      <c r="K96" s="5">
        <v>87402</v>
      </c>
      <c r="L96" s="29"/>
    </row>
    <row r="97" spans="1:12" ht="25.5" x14ac:dyDescent="0.2">
      <c r="A97" s="31" t="s">
        <v>209</v>
      </c>
      <c r="B97" s="10" t="s">
        <v>210</v>
      </c>
      <c r="C97" s="9">
        <f>+Tabla131[[#This Row],[COSTO CON IVA]]/Tabla131[[#This Row],[UTILIDAD]]</f>
        <v>698614</v>
      </c>
      <c r="D97" s="24">
        <f>+Tabla131[[#This Row],[PRECIO INSTALLER (CON IVA)]]-Tabla131[[#This Row],[Columna4]]</f>
        <v>663683.30000000005</v>
      </c>
      <c r="E97" s="24">
        <f>+Tabla131[[#This Row],[PRECIO INSTALLER (CON IVA)]]/0.7</f>
        <v>998020.00000000012</v>
      </c>
      <c r="F97" s="9">
        <f>+Tabla131[[#This Row],[PRECIO INSTALLER (CON IVA)]]*5%</f>
        <v>34930.700000000004</v>
      </c>
      <c r="G97" s="8">
        <v>0.85</v>
      </c>
      <c r="H97" s="7">
        <f>+Tabla131[[#This Row],[COSTO]]*1.19</f>
        <v>593821.9</v>
      </c>
      <c r="I97" s="6"/>
      <c r="J97" s="6"/>
      <c r="K97" s="5">
        <v>499010</v>
      </c>
      <c r="L97" s="29"/>
    </row>
    <row r="98" spans="1:12" ht="25.5" x14ac:dyDescent="0.2">
      <c r="A98" s="11" t="s">
        <v>193</v>
      </c>
      <c r="B98" s="10" t="s">
        <v>204</v>
      </c>
      <c r="C98" s="9">
        <f>+Tabla131[[#This Row],[COSTO CON IVA]]/Tabla131[[#This Row],[UTILIDAD]]</f>
        <v>1576786.4</v>
      </c>
      <c r="D98" s="24">
        <f>+Tabla131[[#This Row],[PRECIO INSTALLER (CON IVA)]]-Tabla131[[#This Row],[Columna4]]</f>
        <v>1497947.0799999998</v>
      </c>
      <c r="E98" s="24">
        <f>+Tabla131[[#This Row],[PRECIO INSTALLER (CON IVA)]]/0.7</f>
        <v>2252552</v>
      </c>
      <c r="F98" s="9">
        <f>+Tabla131[[#This Row],[PRECIO INSTALLER (CON IVA)]]*5%</f>
        <v>78839.320000000007</v>
      </c>
      <c r="G98" s="8">
        <v>0.85</v>
      </c>
      <c r="H98" s="7">
        <f>+Tabla131[[#This Row],[COSTO]]*1.19</f>
        <v>1340268.44</v>
      </c>
      <c r="I98" s="6"/>
      <c r="J98" s="6"/>
      <c r="K98" s="5">
        <v>1126276</v>
      </c>
      <c r="L98" s="29"/>
    </row>
    <row r="99" spans="1:12" ht="38.25" x14ac:dyDescent="0.2">
      <c r="A99" s="11" t="s">
        <v>194</v>
      </c>
      <c r="B99" s="10" t="s">
        <v>195</v>
      </c>
      <c r="C99" s="9">
        <f>+Tabla131[[#This Row],[COSTO CON IVA]]/Tabla131[[#This Row],[UTILIDAD]]</f>
        <v>1612167.2</v>
      </c>
      <c r="D99" s="24">
        <f>+Tabla131[[#This Row],[PRECIO INSTALLER (CON IVA)]]-Tabla131[[#This Row],[Columna4]]</f>
        <v>1531558.8399999999</v>
      </c>
      <c r="E99" s="24">
        <f>+Tabla131[[#This Row],[PRECIO INSTALLER (CON IVA)]]/0.7</f>
        <v>2303096</v>
      </c>
      <c r="F99" s="9">
        <f>+Tabla131[[#This Row],[PRECIO INSTALLER (CON IVA)]]*5%</f>
        <v>80608.36</v>
      </c>
      <c r="G99" s="8">
        <v>0.85</v>
      </c>
      <c r="H99" s="7">
        <f>+Tabla131[[#This Row],[COSTO]]*1.19</f>
        <v>1370342.1199999999</v>
      </c>
      <c r="I99" s="6"/>
      <c r="J99" s="6"/>
      <c r="K99" s="5">
        <v>1151548</v>
      </c>
      <c r="L99" s="29"/>
    </row>
    <row r="100" spans="1:12" ht="38.25" x14ac:dyDescent="0.2">
      <c r="A100" s="11" t="s">
        <v>196</v>
      </c>
      <c r="B100" s="10" t="s">
        <v>197</v>
      </c>
      <c r="C100" s="9">
        <f>+Tabla131[[#This Row],[COSTO CON IVA]]/Tabla131[[#This Row],[UTILIDAD]]</f>
        <v>2233376.6</v>
      </c>
      <c r="D100" s="24">
        <f>+Tabla131[[#This Row],[PRECIO INSTALLER (CON IVA)]]-Tabla131[[#This Row],[Columna4]]</f>
        <v>2121707.77</v>
      </c>
      <c r="E100" s="24">
        <f>+Tabla131[[#This Row],[PRECIO INSTALLER (CON IVA)]]/0.7</f>
        <v>3190538.0000000005</v>
      </c>
      <c r="F100" s="9">
        <f>+Tabla131[[#This Row],[PRECIO INSTALLER (CON IVA)]]*5%</f>
        <v>111668.83000000002</v>
      </c>
      <c r="G100" s="8">
        <v>0.85</v>
      </c>
      <c r="H100" s="7">
        <f>+Tabla131[[#This Row],[COSTO]]*1.19</f>
        <v>1898370.1099999999</v>
      </c>
      <c r="I100" s="6"/>
      <c r="J100" s="6"/>
      <c r="K100" s="5">
        <v>1595269</v>
      </c>
      <c r="L100" s="29"/>
    </row>
    <row r="101" spans="1:12" ht="45" x14ac:dyDescent="0.2">
      <c r="A101" s="11" t="s">
        <v>125</v>
      </c>
      <c r="B101" s="21" t="s">
        <v>126</v>
      </c>
      <c r="C101" s="9">
        <f>+Tabla131[[#This Row],[COSTO CON IVA]]/Tabla131[[#This Row],[UTILIDAD]]</f>
        <v>459617.2</v>
      </c>
      <c r="D101" s="24">
        <f>+Tabla131[[#This Row],[PRECIO INSTALLER (CON IVA)]]-Tabla131[[#This Row],[Columna4]]</f>
        <v>436636.34</v>
      </c>
      <c r="E101" s="24">
        <f>+Tabla131[[#This Row],[PRECIO INSTALLER (CON IVA)]]/0.7</f>
        <v>656596.00000000012</v>
      </c>
      <c r="F101" s="9">
        <f>+Tabla131[[#This Row],[PRECIO INSTALLER (CON IVA)]]*5%</f>
        <v>22980.86</v>
      </c>
      <c r="G101" s="8">
        <v>0.85</v>
      </c>
      <c r="H101" s="7">
        <f>+Tabla131[[#This Row],[COSTO]]*1.19</f>
        <v>390674.62</v>
      </c>
      <c r="I101" s="6"/>
      <c r="J101" s="6"/>
      <c r="K101" s="25">
        <v>328298</v>
      </c>
      <c r="L101" s="29"/>
    </row>
  </sheetData>
  <conditionalFormatting sqref="B40">
    <cfRule type="duplicateValues" dxfId="4" priority="2"/>
    <cfRule type="duplicateValues" dxfId="3" priority="3"/>
  </conditionalFormatting>
  <conditionalFormatting sqref="A1:A1048576">
    <cfRule type="duplicateValues" dxfId="2" priority="1"/>
    <cfRule type="duplicateValues" dxfId="1" priority="4"/>
    <cfRule type="duplicateValues" dxfId="0" priority="5"/>
  </conditionalFormatting>
  <hyperlinks>
    <hyperlink ref="A65" r:id="rId1" display="https://www.syscomcolombia.com/principal/searchcont?route=RG-RAP1200(P)-MNT-RUIJIE-209834&amp;autodetect=RG-EW1200GPRO" xr:uid="{741E7654-F9B1-4836-A48F-F8BCE62C22FA}"/>
    <hyperlink ref="A94" r:id="rId2" display="https://www.syscomcolombia.com/producto/RG-AP680(CD)-RUIJIE-208081.html" xr:uid="{DBB042A6-6B87-4232-B10C-0064FF4BA6D5}"/>
  </hyperlinks>
  <pageMargins left="0.75" right="0.75" top="1" bottom="1" header="0.5" footer="0.5"/>
  <pageSetup orientation="portrait"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UBIQUITI - RUIJIE</vt:lpstr>
      <vt:lpstr>'UBIQUITI - RUIJIE'!Área_de_impresión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Jenifer Loaiza</dc:creator>
  <cp:lastModifiedBy>Jenifer Loaiza</cp:lastModifiedBy>
  <dcterms:created xsi:type="dcterms:W3CDTF">2026-06-05T17:43:36Z</dcterms:created>
  <dcterms:modified xsi:type="dcterms:W3CDTF">2026-10-05T18:26:53Z</dcterms:modified>
</cp:coreProperties>
</file>