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6D3DE7AA-1DF9-484B-B28F-CC9744B4CEAD}" xr6:coauthVersionLast="47" xr6:coauthVersionMax="47" xr10:uidLastSave="{00000000-0000-0000-0000-000000000000}"/>
  <bookViews>
    <workbookView xWindow="-120" yWindow="-120" windowWidth="24240" windowHeight="13140" xr2:uid="{FACCF615-989E-402A-BBD1-F365D7B3504E}"/>
  </bookViews>
  <sheets>
    <sheet name="TEND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Tabla229[#All]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C2" i="1" s="1"/>
  <c r="H3" i="1"/>
  <c r="C3" i="1" s="1"/>
  <c r="H4" i="1"/>
  <c r="C4" i="1" s="1"/>
  <c r="H5" i="1"/>
  <c r="C5" i="1" s="1"/>
  <c r="H6" i="1"/>
  <c r="C6" i="1" s="1"/>
  <c r="H7" i="1"/>
  <c r="C7" i="1" s="1"/>
  <c r="H8" i="1"/>
  <c r="C8" i="1" s="1"/>
  <c r="H9" i="1"/>
  <c r="C9" i="1" s="1"/>
  <c r="H10" i="1"/>
  <c r="C10" i="1" s="1"/>
  <c r="H11" i="1"/>
  <c r="C11" i="1" s="1"/>
  <c r="H12" i="1"/>
  <c r="C12" i="1" s="1"/>
  <c r="H13" i="1"/>
  <c r="C13" i="1" s="1"/>
  <c r="H14" i="1"/>
  <c r="C14" i="1" s="1"/>
  <c r="H15" i="1"/>
  <c r="C15" i="1" s="1"/>
  <c r="H16" i="1"/>
  <c r="C16" i="1" s="1"/>
  <c r="H17" i="1"/>
  <c r="C17" i="1" s="1"/>
  <c r="H18" i="1"/>
  <c r="C18" i="1" s="1"/>
  <c r="H19" i="1"/>
  <c r="C19" i="1" s="1"/>
  <c r="H20" i="1"/>
  <c r="C20" i="1" s="1"/>
  <c r="E20" i="1" s="1"/>
  <c r="H21" i="1"/>
  <c r="C21" i="1" s="1"/>
  <c r="H22" i="1"/>
  <c r="C22" i="1" s="1"/>
  <c r="H23" i="1"/>
  <c r="C23" i="1" s="1"/>
  <c r="H24" i="1"/>
  <c r="C24" i="1" s="1"/>
  <c r="H25" i="1"/>
  <c r="C25" i="1" s="1"/>
  <c r="H26" i="1"/>
  <c r="C26" i="1" s="1"/>
  <c r="H27" i="1"/>
  <c r="C27" i="1" s="1"/>
  <c r="H28" i="1"/>
  <c r="C28" i="1" s="1"/>
  <c r="H29" i="1"/>
  <c r="C29" i="1" s="1"/>
  <c r="H30" i="1"/>
  <c r="C30" i="1" s="1"/>
  <c r="H31" i="1"/>
  <c r="C31" i="1" s="1"/>
  <c r="H32" i="1"/>
  <c r="C32" i="1" s="1"/>
  <c r="H33" i="1"/>
  <c r="C33" i="1" s="1"/>
  <c r="H34" i="1"/>
  <c r="C34" i="1" s="1"/>
  <c r="H35" i="1"/>
  <c r="C35" i="1" s="1"/>
  <c r="H36" i="1"/>
  <c r="C36" i="1" s="1"/>
  <c r="H37" i="1"/>
  <c r="C37" i="1" s="1"/>
  <c r="H38" i="1"/>
  <c r="C38" i="1" s="1"/>
  <c r="E38" i="1" s="1"/>
  <c r="H39" i="1"/>
  <c r="C39" i="1" s="1"/>
  <c r="H40" i="1"/>
  <c r="C40" i="1" s="1"/>
  <c r="H41" i="1"/>
  <c r="C41" i="1" s="1"/>
  <c r="H42" i="1"/>
  <c r="C42" i="1" s="1"/>
  <c r="E42" i="1" s="1"/>
  <c r="H43" i="1"/>
  <c r="C43" i="1" s="1"/>
  <c r="H44" i="1"/>
  <c r="C44" i="1" s="1"/>
  <c r="E44" i="1" l="1"/>
  <c r="F44" i="1"/>
  <c r="D44" i="1" s="1"/>
  <c r="F40" i="1"/>
  <c r="D40" i="1" s="1"/>
  <c r="E40" i="1"/>
  <c r="E36" i="1"/>
  <c r="F36" i="1"/>
  <c r="D36" i="1" s="1"/>
  <c r="E34" i="1"/>
  <c r="F31" i="1"/>
  <c r="D31" i="1"/>
  <c r="E31" i="1"/>
  <c r="F27" i="1"/>
  <c r="E27" i="1"/>
  <c r="D27" i="1"/>
  <c r="F23" i="1"/>
  <c r="D23" i="1" s="1"/>
  <c r="E23" i="1"/>
  <c r="E16" i="1"/>
  <c r="F16" i="1"/>
  <c r="D16" i="1" s="1"/>
  <c r="E12" i="1"/>
  <c r="F12" i="1"/>
  <c r="D12" i="1" s="1"/>
  <c r="E8" i="1"/>
  <c r="F8" i="1"/>
  <c r="D8" i="1"/>
  <c r="E41" i="1"/>
  <c r="E39" i="1"/>
  <c r="F39" i="1"/>
  <c r="D39" i="1" s="1"/>
  <c r="E37" i="1"/>
  <c r="E35" i="1"/>
  <c r="F35" i="1"/>
  <c r="F34" i="1"/>
  <c r="D34" i="1" s="1"/>
  <c r="F30" i="1"/>
  <c r="D30" i="1"/>
  <c r="E30" i="1"/>
  <c r="E26" i="1"/>
  <c r="F26" i="1"/>
  <c r="D26" i="1" s="1"/>
  <c r="F22" i="1"/>
  <c r="D22" i="1"/>
  <c r="E22" i="1"/>
  <c r="F19" i="1"/>
  <c r="D19" i="1"/>
  <c r="E19" i="1"/>
  <c r="F15" i="1"/>
  <c r="D15" i="1"/>
  <c r="E15" i="1"/>
  <c r="F11" i="1"/>
  <c r="D11" i="1" s="1"/>
  <c r="E11" i="1"/>
  <c r="F7" i="1"/>
  <c r="D7" i="1" s="1"/>
  <c r="E7" i="1"/>
  <c r="F3" i="1"/>
  <c r="D3" i="1"/>
  <c r="E3" i="1"/>
  <c r="F41" i="1"/>
  <c r="D41" i="1" s="1"/>
  <c r="F37" i="1"/>
  <c r="D37" i="1" s="1"/>
  <c r="D35" i="1"/>
  <c r="E33" i="1"/>
  <c r="F33" i="1"/>
  <c r="D33" i="1" s="1"/>
  <c r="F29" i="1"/>
  <c r="D29" i="1" s="1"/>
  <c r="E29" i="1"/>
  <c r="E25" i="1"/>
  <c r="F25" i="1"/>
  <c r="D25" i="1" s="1"/>
  <c r="E21" i="1"/>
  <c r="F21" i="1"/>
  <c r="D21" i="1" s="1"/>
  <c r="E18" i="1"/>
  <c r="F18" i="1"/>
  <c r="D18" i="1"/>
  <c r="E14" i="1"/>
  <c r="F14" i="1"/>
  <c r="D14" i="1" s="1"/>
  <c r="E10" i="1"/>
  <c r="F10" i="1"/>
  <c r="D10" i="1" s="1"/>
  <c r="E2" i="1"/>
  <c r="F2" i="1"/>
  <c r="D2" i="1" s="1"/>
  <c r="F42" i="1"/>
  <c r="D42" i="1"/>
  <c r="F38" i="1"/>
  <c r="D38" i="1"/>
  <c r="E32" i="1"/>
  <c r="F32" i="1"/>
  <c r="D32" i="1" s="1"/>
  <c r="E28" i="1"/>
  <c r="F28" i="1"/>
  <c r="D28" i="1" s="1"/>
  <c r="E24" i="1"/>
  <c r="F24" i="1"/>
  <c r="D24" i="1" s="1"/>
  <c r="E17" i="1"/>
  <c r="F17" i="1"/>
  <c r="D17" i="1" s="1"/>
  <c r="F13" i="1"/>
  <c r="D13" i="1" s="1"/>
  <c r="E13" i="1"/>
  <c r="E9" i="1"/>
  <c r="F9" i="1"/>
  <c r="D9" i="1" s="1"/>
  <c r="E5" i="1"/>
  <c r="F5" i="1"/>
  <c r="D5" i="1" s="1"/>
  <c r="E4" i="1"/>
  <c r="F4" i="1"/>
  <c r="D4" i="1"/>
  <c r="E43" i="1"/>
  <c r="F43" i="1"/>
  <c r="D43" i="1" s="1"/>
  <c r="E6" i="1"/>
  <c r="F6" i="1"/>
  <c r="D6" i="1" s="1"/>
  <c r="F20" i="1"/>
  <c r="D20" i="1" s="1"/>
</calcChain>
</file>

<file path=xl/sharedStrings.xml><?xml version="1.0" encoding="utf-8"?>
<sst xmlns="http://schemas.openxmlformats.org/spreadsheetml/2006/main" count="890" uniqueCount="94">
  <si>
    <t/>
  </si>
  <si>
    <t>TRANSCEPTOR SFP MONOMODO 9/125UM LC 1310NM GIGABIT FULL DUPLEX TRANSMISION HASTA 20KM</t>
  </si>
  <si>
    <t>G311SM</t>
  </si>
  <si>
    <t>SWITCH 8 PUERTOS 2.5 GIGABIT + 2 PUERTOS SFP 2.5 GIGABIT</t>
  </si>
  <si>
    <t>CP3 CAMARA IP PT 2MP 4MM WIFI H.264 DETECCION DE SONIDO ANORMAL PAN 0°~355° TILT -65°~90° IR 12M</t>
  </si>
  <si>
    <t>CP3-PRO</t>
  </si>
  <si>
    <t>ADAPTADOR WIIFI PCI EXPRESS 2.4GHZ/5GHZ AC1200 2 ANTENAS 5DBI</t>
  </si>
  <si>
    <t>E12</t>
  </si>
  <si>
    <t>RADIO ENLACE PTO A PTO HASTA 1KM 5GHZ 9DBI 802.11A/N/AC MIMO 867MBPS IP65 POE PASIVO O FUENTE 12VDC/1A FAST ETHERNET</t>
  </si>
  <si>
    <t>O1-5G</t>
  </si>
  <si>
    <t>RADIO ENLACE PTO A PTO HASTA 5KM 2.4GHZ 12DBI 802.11B/G/N MIMO 150MBPS IP64 POE  O FUENTE 12VDC/1A</t>
  </si>
  <si>
    <t>O3</t>
  </si>
  <si>
    <t>RADIO ENLACE PTP Y MPTP HASTA 25KM 5GHZ 12DBI 802.11B/G/N MIMO 150MBPS IP64 POE O FUENTE 12VDC/1A</t>
  </si>
  <si>
    <t>O9</t>
  </si>
  <si>
    <t>RADIO ENLACE PTP A PTMP HASTA 5KM 5GHZ 12DBI 802.11A/N/AC 867MBPS IP65 POE PASIVO O FUENTE 12VDC/1A 4 PUERTOS LAN</t>
  </si>
  <si>
    <t>OS3</t>
  </si>
  <si>
    <t>SWITCH DE ESCRITORIO 5 PUERTOS 10/100 MBPS PLASTICO PROTECCION 6KV</t>
  </si>
  <si>
    <t>S105</t>
  </si>
  <si>
    <t>SWITCH DE ESCRITORIO 8 PUERTOS 10/100 MBPS PLASTICO PROTECCION 6KV</t>
  </si>
  <si>
    <t>S108</t>
  </si>
  <si>
    <t>SG105M</t>
  </si>
  <si>
    <t>SWITCH DE ESCRITORIO 5 PUERTOS GIGABIT PLASTICO MAC 2K</t>
  </si>
  <si>
    <t>SWITCH DE ESCRITORIO 8 PUERTOS GIGABIT PLASTICO MAC 8K</t>
  </si>
  <si>
    <t>SG108M</t>
  </si>
  <si>
    <t>SWITCH DE ESCRITORIO 24 PUERTOS 10/100 MBPS METALICO PROTECCION 6KV</t>
  </si>
  <si>
    <t>TEF1024D</t>
  </si>
  <si>
    <t xml:space="preserve">
SWITCH ETHERNET 24 PUERTOS 10/100/1000 MBPS METAL PROTECCION 6KV PARA MONTAJE EN RACK 19"</t>
  </si>
  <si>
    <t>TEG1024D</t>
  </si>
  <si>
    <t>SWITCH POE 28 PUERTOS GIGABIT IEEE 802.3 AF/AT SALIDA TOTAL MAX 410W 4 MODOS DE OPERACIÓN</t>
  </si>
  <si>
    <t>TEG1128P-24-410W</t>
  </si>
  <si>
    <t>SWITCH ADMINISTRABLE CAPA 2 10/100MBPS 24P GIGABIT+4P GIGABIT SFP PROTECCION 6KV MONTAJE EN RACK 19</t>
  </si>
  <si>
    <t>TEG3328F</t>
  </si>
  <si>
    <t>TEM2010F</t>
  </si>
  <si>
    <t>Router TX2L-PRO de TENDA, doble banda WiFi6 con 4 puertos gigabit</t>
  </si>
  <si>
    <t>TX2L-PRO</t>
  </si>
  <si>
    <t>ROUTER WIFI 6 2.4GHZ/ 5GHZ AX1500 5 ANTENAS 6DBI 1 PUERTO WAN GIBABIT/ 3 PUERTOS LAN GIBABIT WPA3</t>
  </si>
  <si>
    <t>TX2PRO</t>
  </si>
  <si>
    <t>ROUTER WIFI 6 2.4GHZ/ 5GHZ AX1800 4 ANTENAS 6DBI 4 PUERTOS GIGABIT 1 WAN/ 3 LAN MU-MIMO OFDMA WPA3</t>
  </si>
  <si>
    <t>TX3</t>
  </si>
  <si>
    <t xml:space="preserve">
ADAPTADOR WIFI 2.4GHZ/ 5GHZ AC650 CONEXION USB ANTENA EXTERNA 6DBI PLUG AND PLAY</t>
  </si>
  <si>
    <t>U10</t>
  </si>
  <si>
    <t>CAMARA IP WIFI FULL COLOR PT 2MP 4MM ROTACION 360°, 355°, 90° IP65 DETECCION DE MOVIMIENTO Y SONIDO</t>
  </si>
  <si>
    <t>SWITCH DE ESCRITORIO 8 PUERTOS 10/100/1000 MBPS PLASTICO PROTECCION 6KV</t>
  </si>
  <si>
    <t>ROUTER CORPORATIVO WIFI 6 2.4GHZ/ 5GHZ AX3000 5 ANTENAS 5DBI 4 PUERTOS GIGABIT 1-3 WAN/LAN, AP CONTROLLER, VPN, PORTAL CAUTIVO</t>
  </si>
  <si>
    <t>EXTENSOR WIFI 2.4GHZ/5GHZ AC1200 2 ANTENAS 2DBI MODO AP DISPONIBLE</t>
  </si>
  <si>
    <t>A18</t>
  </si>
  <si>
    <t>EXTENSOR WIFI 2.4GHZ N300 UNIVERSAL 2 ANTENAS 3DBI MODO AP DISPONIBLE</t>
  </si>
  <si>
    <t>A9</t>
  </si>
  <si>
    <t>ROUTER WIFI 2.4GHZ/ 5GHZ AC2100 4 ANTENAS 6DBI 4 PUERTOS GIGABIT 1 WAN/ 3 LAN  4X4 MU-MIMO</t>
  </si>
  <si>
    <t>AC19</t>
  </si>
  <si>
    <t>ROUTER WIFI 2.4GHZ/5GHZ AC2100 6 ANTENAS 6DBI 4 PUERTOS GIGABIT 1 WAN/3 LAN MU-MIMO</t>
  </si>
  <si>
    <t>AC21</t>
  </si>
  <si>
    <t>ROUTER WIFI 2.4GHZ/5GHZ AC1200 4 ANTENAS 6DBI 4 PUERTOS 10/100MBPS 1 WAN/3 LAN</t>
  </si>
  <si>
    <t>AC5</t>
  </si>
  <si>
    <t>CAMARA IP PT 3MP 4MM WIFI 6 H.265 DETECCION DE MOVIMIENTO, PERSONAS, MASCOTAS, SONIDOS, BOTON PARA LLAMADA PAN 0°~355° TILT -65°~90° IR 12M</t>
  </si>
  <si>
    <t>CP6</t>
  </si>
  <si>
    <t>CAMARA IP PT 4MP 4MM WIFI H.265 DETECCION DE SONIDO ANORMAL PAN 0°~355° TILT -65°~90° IR 12M</t>
  </si>
  <si>
    <t>CP7</t>
  </si>
  <si>
    <t>INYECTOR POE 1 PUERTO IEEE 802.3AF PUERTOS 10/100MBPS POTENCIA DE SALIDA 15W PROTECCIÓN 8KV</t>
  </si>
  <si>
    <t>POE15F</t>
  </si>
  <si>
    <t>INYECTOR POE 1 PUERTO IEEE 802.3AF/AT PUERTOS GIGABIT  POTENCIA DE SALIDA 30W PROTECCIÓN 8KV</t>
  </si>
  <si>
    <t>POE30G-AT</t>
  </si>
  <si>
    <t>TEF1005D</t>
  </si>
  <si>
    <t>SWITCH POE 4 PUERTOS GIGABIT + 1 PUERTO GIGABIT UPLINK IEEE 802.3 AF/AT SALIDA TOTAL MAX 58W</t>
  </si>
  <si>
    <t>TEG1105P-4-63W</t>
  </si>
  <si>
    <t>SWITCH NO ADMINISTRABLE POE 24P RJ45 GIGABIT 2 PTOS SFP BACKPLANE 48 GBPS MONTABLE EN RAC</t>
  </si>
  <si>
    <t>TEG1126P-24-410W</t>
  </si>
  <si>
    <t xml:space="preserve">ROUTER 4G TENDA WIFI	</t>
  </si>
  <si>
    <t>4G06</t>
  </si>
  <si>
    <t>ROUTER WIFI 2.4GHZ/ 5GHZ AC1200 4 ANTENAS 6DBI 4 PUERTOS GIGABIT 1 WAN/ 3 LAN  COBERTURA 90M^2</t>
  </si>
  <si>
    <t>AC8</t>
  </si>
  <si>
    <t>CAMARA WI-FI PARA EXTERIOR DE ALTO RENDIMIENTO QUE INTEGRA VIDEO CON RESOLUCIÓN 2K</t>
  </si>
  <si>
    <t>CT6</t>
  </si>
  <si>
    <t>ROUTER WIFI 2.4GHZ 300MBPS 3 ANTENAS 5DBI 1 PUERTO WAN Y 3 PUERTOS LAN 10/100MBPS</t>
  </si>
  <si>
    <t>F3</t>
  </si>
  <si>
    <t>Router inalámbrico N300 con configuración sencilla N301 está diseñado para hacer que el proceso de configuración resulte muy intuitivo para el usuario. Cumple con el estándar IEEE 802.11n y ofrece una velocidad inalámbrica de hasta 300 Mbps, lo cual hace que sea perfecto para actividades cotidianas.</t>
  </si>
  <si>
    <t>N301</t>
  </si>
  <si>
    <t>Extensor 100m PoE 802.3af de 1 puerto 10/100 Mbps</t>
  </si>
  <si>
    <t>POE-E101</t>
  </si>
  <si>
    <t>SWITCH DE ESCRITORIO 16 PUERTOS 10/100 MBPS METALIC PROTECCION 6KV</t>
  </si>
  <si>
    <t>TEF1016D</t>
  </si>
  <si>
    <t>COSTO</t>
  </si>
  <si>
    <t>Columna8</t>
  </si>
  <si>
    <t>Columna7</t>
  </si>
  <si>
    <t>Columna6</t>
  </si>
  <si>
    <t>Columna5</t>
  </si>
  <si>
    <t>Columna43</t>
  </si>
  <si>
    <t>PRECIO CLIENTE FINAL (CON IVA)</t>
  </si>
  <si>
    <t>PRECIO TIENDA (CON IVA)</t>
  </si>
  <si>
    <t>PRECIO INSTALLER (CON IVA)</t>
  </si>
  <si>
    <t>DESCRIPCION</t>
  </si>
  <si>
    <t>REFERENCIA</t>
  </si>
  <si>
    <t>W30E</t>
  </si>
  <si>
    <t>CH3-WCA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</si>
</sst>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Segoe UI"/>
      <family val="2"/>
    </font>
    <font>
      <sz val="12"/>
      <name val="Segoe UI"/>
      <family val="2"/>
    </font>
    <font>
      <sz val="11"/>
      <name val="Aptos Narrow"/>
      <family val="2"/>
      <scheme val="minor"/>
    </font>
    <font>
      <sz val="10"/>
      <color indexed="9"/>
      <name val="Arial"/>
      <family val="2"/>
    </font>
    <font>
      <sz val="10"/>
      <color theme="1"/>
      <name val="Calibri"/>
      <family val="2"/>
    </font>
    <font>
      <sz val="11"/>
      <color rgb="FF00000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1"/>
      <color theme="1"/>
      <name val="Arial"/>
      <family val="2"/>
    </font>
    <font>
      <sz val="12"/>
      <name val="新細明體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7" fillId="0" borderId="0">
      <alignment vertical="top"/>
    </xf>
    <xf numFmtId="0" fontId="13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Border="1"/>
    <xf numFmtId="1" fontId="2" fillId="0" borderId="0" xfId="0" applyNumberFormat="1" applyFont="1"/>
    <xf numFmtId="164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0" fillId="0" borderId="3" xfId="1" applyNumberFormat="1" applyFont="1" applyBorder="1"/>
    <xf numFmtId="0" fontId="4" fillId="0" borderId="3" xfId="0" applyFont="1" applyBorder="1"/>
    <xf numFmtId="164" fontId="5" fillId="0" borderId="3" xfId="1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6" fillId="0" borderId="2" xfId="2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top"/>
    </xf>
    <xf numFmtId="3" fontId="8" fillId="0" borderId="3" xfId="3" applyNumberFormat="1" applyFont="1" applyBorder="1" applyAlignment="1">
      <alignment horizontal="right" vertical="top"/>
    </xf>
    <xf numFmtId="0" fontId="6" fillId="0" borderId="3" xfId="2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center" vertical="center" wrapText="1"/>
    </xf>
    <xf numFmtId="164" fontId="9" fillId="0" borderId="4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/>
    </xf>
    <xf numFmtId="164" fontId="10" fillId="0" borderId="5" xfId="1" applyNumberFormat="1" applyFont="1" applyFill="1" applyBorder="1" applyAlignment="1">
      <alignment vertical="center"/>
    </xf>
    <xf numFmtId="0" fontId="11" fillId="0" borderId="6" xfId="0" applyFont="1" applyBorder="1" applyAlignment="1">
      <alignment horizontal="center" vertical="center" wrapText="1"/>
    </xf>
    <xf numFmtId="164" fontId="10" fillId="0" borderId="6" xfId="1" applyNumberFormat="1" applyFont="1" applyFill="1" applyBorder="1" applyAlignment="1">
      <alignment vertical="center"/>
    </xf>
    <xf numFmtId="0" fontId="10" fillId="0" borderId="6" xfId="0" applyFont="1" applyBorder="1" applyAlignment="1">
      <alignment vertical="center"/>
    </xf>
    <xf numFmtId="164" fontId="10" fillId="0" borderId="6" xfId="1" applyNumberFormat="1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</cellXfs>
  <cellStyles count="5">
    <cellStyle name="Moneda" xfId="1" builtinId="4"/>
    <cellStyle name="Normal" xfId="0" builtinId="0"/>
    <cellStyle name="Normal 2 2 2" xfId="2" xr:uid="{C4D7D035-4B3D-46AE-8E5F-5773A4C2243B}"/>
    <cellStyle name="Normal 4 2" xfId="3" xr:uid="{D94505FD-A564-4F51-8C08-2C41B0EE1CAC}"/>
    <cellStyle name="一般_Book1" xfId="4" xr:uid="{69FCEE45-B262-4D3F-AE1E-6F58029DB9D9}"/>
  </cellStyles>
  <dxfs count="20"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\ * #,##0_-;\-&quot;$&quot;\ * #,##0_-;_-&quot;$&quot;\ 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numFmt numFmtId="164" formatCode="_-&quot;$&quot;\ * #,##0_-;\-&quot;$&quot;\ * #,##0_-;_-&quot;$&quot;\ * &quot;-&quot;??_-;_-@_-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 Narrow"/>
        <scheme val="none"/>
      </font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63" name="Picture 359">
          <a:extLst>
            <a:ext uri="{FF2B5EF4-FFF2-40B4-BE49-F238E27FC236}">
              <a16:creationId xmlns:a16="http://schemas.microsoft.com/office/drawing/2014/main" id="{F4FDCC8A-C920-4DCC-B60B-4721044E3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0</xdr:rowOff>
    </xdr:to>
    <xdr:pic>
      <xdr:nvPicPr>
        <xdr:cNvPr id="64" name="Picture 360">
          <a:extLst>
            <a:ext uri="{FF2B5EF4-FFF2-40B4-BE49-F238E27FC236}">
              <a16:creationId xmlns:a16="http://schemas.microsoft.com/office/drawing/2014/main" id="{BC019AD8-1F2C-4822-A88C-820844F1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37</xdr:row>
      <xdr:rowOff>12700</xdr:rowOff>
    </xdr:to>
    <xdr:pic>
      <xdr:nvPicPr>
        <xdr:cNvPr id="65" name="Picture 361">
          <a:extLst>
            <a:ext uri="{FF2B5EF4-FFF2-40B4-BE49-F238E27FC236}">
              <a16:creationId xmlns:a16="http://schemas.microsoft.com/office/drawing/2014/main" id="{3CAA6801-56C1-410C-89E6-36071653C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12700</xdr:colOff>
      <xdr:row>6</xdr:row>
      <xdr:rowOff>12700</xdr:rowOff>
    </xdr:to>
    <xdr:pic>
      <xdr:nvPicPr>
        <xdr:cNvPr id="66" name="Picture 365">
          <a:extLst>
            <a:ext uri="{FF2B5EF4-FFF2-40B4-BE49-F238E27FC236}">
              <a16:creationId xmlns:a16="http://schemas.microsoft.com/office/drawing/2014/main" id="{E7A51875-A4A1-4F6E-9B11-E58EC8A4D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12700</xdr:rowOff>
    </xdr:to>
    <xdr:pic>
      <xdr:nvPicPr>
        <xdr:cNvPr id="67" name="Picture 366">
          <a:extLst>
            <a:ext uri="{FF2B5EF4-FFF2-40B4-BE49-F238E27FC236}">
              <a16:creationId xmlns:a16="http://schemas.microsoft.com/office/drawing/2014/main" id="{EE11EDA5-3C80-45E0-AD4D-C0F8753C3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12700</xdr:rowOff>
    </xdr:to>
    <xdr:pic>
      <xdr:nvPicPr>
        <xdr:cNvPr id="68" name="Picture 367">
          <a:extLst>
            <a:ext uri="{FF2B5EF4-FFF2-40B4-BE49-F238E27FC236}">
              <a16:creationId xmlns:a16="http://schemas.microsoft.com/office/drawing/2014/main" id="{54291DD6-DD34-4D0A-9005-346F63D49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12700</xdr:rowOff>
    </xdr:to>
    <xdr:pic>
      <xdr:nvPicPr>
        <xdr:cNvPr id="69" name="Picture 368">
          <a:extLst>
            <a:ext uri="{FF2B5EF4-FFF2-40B4-BE49-F238E27FC236}">
              <a16:creationId xmlns:a16="http://schemas.microsoft.com/office/drawing/2014/main" id="{DCC4927E-3680-4EAA-8724-2518286B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70" name="Picture 369">
          <a:extLst>
            <a:ext uri="{FF2B5EF4-FFF2-40B4-BE49-F238E27FC236}">
              <a16:creationId xmlns:a16="http://schemas.microsoft.com/office/drawing/2014/main" id="{67511749-AA73-4BC6-8C94-9EBC8016D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0</xdr:rowOff>
    </xdr:to>
    <xdr:pic>
      <xdr:nvPicPr>
        <xdr:cNvPr id="71" name="Picture 371">
          <a:extLst>
            <a:ext uri="{FF2B5EF4-FFF2-40B4-BE49-F238E27FC236}">
              <a16:creationId xmlns:a16="http://schemas.microsoft.com/office/drawing/2014/main" id="{C1028DD1-31BF-454E-93B6-5471EC58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72" name="Picture 373">
          <a:extLst>
            <a:ext uri="{FF2B5EF4-FFF2-40B4-BE49-F238E27FC236}">
              <a16:creationId xmlns:a16="http://schemas.microsoft.com/office/drawing/2014/main" id="{1C7349BD-66CB-43D0-9D61-ECA3DCAD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0</xdr:rowOff>
    </xdr:to>
    <xdr:pic>
      <xdr:nvPicPr>
        <xdr:cNvPr id="73" name="Picture 375">
          <a:extLst>
            <a:ext uri="{FF2B5EF4-FFF2-40B4-BE49-F238E27FC236}">
              <a16:creationId xmlns:a16="http://schemas.microsoft.com/office/drawing/2014/main" id="{BDA31E0E-31F8-4D84-9822-387EEF89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74" name="Picture 380">
          <a:extLst>
            <a:ext uri="{FF2B5EF4-FFF2-40B4-BE49-F238E27FC236}">
              <a16:creationId xmlns:a16="http://schemas.microsoft.com/office/drawing/2014/main" id="{63EE0E40-0850-4D49-9448-C0BEC29B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23</xdr:row>
      <xdr:rowOff>19050</xdr:rowOff>
    </xdr:to>
    <xdr:pic>
      <xdr:nvPicPr>
        <xdr:cNvPr id="75" name="Picture 342">
          <a:extLst>
            <a:ext uri="{FF2B5EF4-FFF2-40B4-BE49-F238E27FC236}">
              <a16:creationId xmlns:a16="http://schemas.microsoft.com/office/drawing/2014/main" id="{FC0AE718-6472-4B40-BAF4-1885C646A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23</xdr:row>
      <xdr:rowOff>19050</xdr:rowOff>
    </xdr:to>
    <xdr:pic>
      <xdr:nvPicPr>
        <xdr:cNvPr id="76" name="Picture 318">
          <a:extLst>
            <a:ext uri="{FF2B5EF4-FFF2-40B4-BE49-F238E27FC236}">
              <a16:creationId xmlns:a16="http://schemas.microsoft.com/office/drawing/2014/main" id="{7DBFE102-C452-4E2C-AEE4-CE501305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23</xdr:row>
      <xdr:rowOff>19050</xdr:rowOff>
    </xdr:to>
    <xdr:pic>
      <xdr:nvPicPr>
        <xdr:cNvPr id="77" name="Picture 316">
          <a:extLst>
            <a:ext uri="{FF2B5EF4-FFF2-40B4-BE49-F238E27FC236}">
              <a16:creationId xmlns:a16="http://schemas.microsoft.com/office/drawing/2014/main" id="{633E8A78-AD1D-48D6-AD02-DB3866209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40</xdr:row>
      <xdr:rowOff>19050</xdr:rowOff>
    </xdr:to>
    <xdr:pic>
      <xdr:nvPicPr>
        <xdr:cNvPr id="78" name="Picture 320">
          <a:extLst>
            <a:ext uri="{FF2B5EF4-FFF2-40B4-BE49-F238E27FC236}">
              <a16:creationId xmlns:a16="http://schemas.microsoft.com/office/drawing/2014/main" id="{2CB87402-040A-41A7-A223-2D1CA8BB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23</xdr:row>
      <xdr:rowOff>12700</xdr:rowOff>
    </xdr:to>
    <xdr:pic>
      <xdr:nvPicPr>
        <xdr:cNvPr id="79" name="Picture 316">
          <a:extLst>
            <a:ext uri="{FF2B5EF4-FFF2-40B4-BE49-F238E27FC236}">
              <a16:creationId xmlns:a16="http://schemas.microsoft.com/office/drawing/2014/main" id="{AC9BB580-8B9A-473F-A6D7-38368CBAD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40</xdr:row>
      <xdr:rowOff>12700</xdr:rowOff>
    </xdr:to>
    <xdr:pic>
      <xdr:nvPicPr>
        <xdr:cNvPr id="80" name="Picture 322">
          <a:extLst>
            <a:ext uri="{FF2B5EF4-FFF2-40B4-BE49-F238E27FC236}">
              <a16:creationId xmlns:a16="http://schemas.microsoft.com/office/drawing/2014/main" id="{9F0485A9-73C9-49D0-89CA-637C948B1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444500</xdr:rowOff>
    </xdr:from>
    <xdr:to>
      <xdr:col>0</xdr:col>
      <xdr:colOff>12700</xdr:colOff>
      <xdr:row>5</xdr:row>
      <xdr:rowOff>12700</xdr:rowOff>
    </xdr:to>
    <xdr:pic>
      <xdr:nvPicPr>
        <xdr:cNvPr id="81" name="Picture 323">
          <a:extLst>
            <a:ext uri="{FF2B5EF4-FFF2-40B4-BE49-F238E27FC236}">
              <a16:creationId xmlns:a16="http://schemas.microsoft.com/office/drawing/2014/main" id="{582AE7D9-071C-4F35-81FA-630522266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9325"/>
          <a:ext cx="12700" cy="15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82" name="Picture 417">
          <a:extLst>
            <a:ext uri="{FF2B5EF4-FFF2-40B4-BE49-F238E27FC236}">
              <a16:creationId xmlns:a16="http://schemas.microsoft.com/office/drawing/2014/main" id="{DA244031-D3ED-4219-8264-43502BEEF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15</xdr:row>
      <xdr:rowOff>12700</xdr:rowOff>
    </xdr:to>
    <xdr:pic>
      <xdr:nvPicPr>
        <xdr:cNvPr id="83" name="Picture 419">
          <a:extLst>
            <a:ext uri="{FF2B5EF4-FFF2-40B4-BE49-F238E27FC236}">
              <a16:creationId xmlns:a16="http://schemas.microsoft.com/office/drawing/2014/main" id="{8FC64452-9DB0-48F3-85F4-FD0348B89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0</xdr:rowOff>
    </xdr:to>
    <xdr:pic>
      <xdr:nvPicPr>
        <xdr:cNvPr id="84" name="Picture 422">
          <a:extLst>
            <a:ext uri="{FF2B5EF4-FFF2-40B4-BE49-F238E27FC236}">
              <a16:creationId xmlns:a16="http://schemas.microsoft.com/office/drawing/2014/main" id="{5F524D41-A83C-48FE-935D-5E783FCC4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0</xdr:rowOff>
    </xdr:to>
    <xdr:pic>
      <xdr:nvPicPr>
        <xdr:cNvPr id="85" name="Picture 423">
          <a:extLst>
            <a:ext uri="{FF2B5EF4-FFF2-40B4-BE49-F238E27FC236}">
              <a16:creationId xmlns:a16="http://schemas.microsoft.com/office/drawing/2014/main" id="{45DF62BB-E304-4963-AF26-025D7C904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0</xdr:rowOff>
    </xdr:to>
    <xdr:pic>
      <xdr:nvPicPr>
        <xdr:cNvPr id="86" name="Picture 425">
          <a:extLst>
            <a:ext uri="{FF2B5EF4-FFF2-40B4-BE49-F238E27FC236}">
              <a16:creationId xmlns:a16="http://schemas.microsoft.com/office/drawing/2014/main" id="{4F82E450-E775-4140-86E0-CAEDA58AD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87" name="Picture 426">
          <a:extLst>
            <a:ext uri="{FF2B5EF4-FFF2-40B4-BE49-F238E27FC236}">
              <a16:creationId xmlns:a16="http://schemas.microsoft.com/office/drawing/2014/main" id="{52088EC2-4E6A-431E-A53C-DFEA6AE8F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0</xdr:rowOff>
    </xdr:to>
    <xdr:pic>
      <xdr:nvPicPr>
        <xdr:cNvPr id="88" name="Picture 428">
          <a:extLst>
            <a:ext uri="{FF2B5EF4-FFF2-40B4-BE49-F238E27FC236}">
              <a16:creationId xmlns:a16="http://schemas.microsoft.com/office/drawing/2014/main" id="{CD8D6919-EBF3-4C1B-8F30-BFE1254D3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89" name="Picture 429">
          <a:extLst>
            <a:ext uri="{FF2B5EF4-FFF2-40B4-BE49-F238E27FC236}">
              <a16:creationId xmlns:a16="http://schemas.microsoft.com/office/drawing/2014/main" id="{8B1F0C58-D954-4A5D-8F56-DB78BF78B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90" name="Picture 430">
          <a:extLst>
            <a:ext uri="{FF2B5EF4-FFF2-40B4-BE49-F238E27FC236}">
              <a16:creationId xmlns:a16="http://schemas.microsoft.com/office/drawing/2014/main" id="{1C928892-4BDB-470F-BBD6-4EE928FE8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0</xdr:rowOff>
    </xdr:to>
    <xdr:pic>
      <xdr:nvPicPr>
        <xdr:cNvPr id="91" name="Picture 431">
          <a:extLst>
            <a:ext uri="{FF2B5EF4-FFF2-40B4-BE49-F238E27FC236}">
              <a16:creationId xmlns:a16="http://schemas.microsoft.com/office/drawing/2014/main" id="{EADB89B8-EAC3-4CB6-9B31-FFB57806D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0</xdr:rowOff>
    </xdr:to>
    <xdr:pic>
      <xdr:nvPicPr>
        <xdr:cNvPr id="92" name="Picture 432">
          <a:extLst>
            <a:ext uri="{FF2B5EF4-FFF2-40B4-BE49-F238E27FC236}">
              <a16:creationId xmlns:a16="http://schemas.microsoft.com/office/drawing/2014/main" id="{43EFBD27-E7B9-4170-8990-8CE6E01D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94" name="Picture 360">
          <a:extLst>
            <a:ext uri="{FF2B5EF4-FFF2-40B4-BE49-F238E27FC236}">
              <a16:creationId xmlns:a16="http://schemas.microsoft.com/office/drawing/2014/main" id="{378DF34C-3D3E-4658-A5CD-897DDA875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0</xdr:rowOff>
    </xdr:to>
    <xdr:pic>
      <xdr:nvPicPr>
        <xdr:cNvPr id="95" name="Picture 361">
          <a:extLst>
            <a:ext uri="{FF2B5EF4-FFF2-40B4-BE49-F238E27FC236}">
              <a16:creationId xmlns:a16="http://schemas.microsoft.com/office/drawing/2014/main" id="{6440A3C3-EBE8-4EBB-A90A-85D51B8DC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12700</xdr:rowOff>
    </xdr:to>
    <xdr:pic>
      <xdr:nvPicPr>
        <xdr:cNvPr id="96" name="Picture 367">
          <a:extLst>
            <a:ext uri="{FF2B5EF4-FFF2-40B4-BE49-F238E27FC236}">
              <a16:creationId xmlns:a16="http://schemas.microsoft.com/office/drawing/2014/main" id="{2C15A0D8-46CB-410E-8E96-C17E57159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12700</xdr:rowOff>
    </xdr:to>
    <xdr:pic>
      <xdr:nvPicPr>
        <xdr:cNvPr id="97" name="Picture 368">
          <a:extLst>
            <a:ext uri="{FF2B5EF4-FFF2-40B4-BE49-F238E27FC236}">
              <a16:creationId xmlns:a16="http://schemas.microsoft.com/office/drawing/2014/main" id="{F0F4B18E-BFB3-4AEF-B054-F202A3C4C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12700</xdr:rowOff>
    </xdr:to>
    <xdr:pic>
      <xdr:nvPicPr>
        <xdr:cNvPr id="98" name="Picture 369">
          <a:extLst>
            <a:ext uri="{FF2B5EF4-FFF2-40B4-BE49-F238E27FC236}">
              <a16:creationId xmlns:a16="http://schemas.microsoft.com/office/drawing/2014/main" id="{EDC21DED-CF16-4F9C-A11B-7FF3D9B03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99" name="Picture 370">
          <a:extLst>
            <a:ext uri="{FF2B5EF4-FFF2-40B4-BE49-F238E27FC236}">
              <a16:creationId xmlns:a16="http://schemas.microsoft.com/office/drawing/2014/main" id="{63D633AE-74EF-4A7F-B151-74D6F9C87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12700</xdr:rowOff>
    </xdr:to>
    <xdr:pic>
      <xdr:nvPicPr>
        <xdr:cNvPr id="100" name="Picture 371">
          <a:extLst>
            <a:ext uri="{FF2B5EF4-FFF2-40B4-BE49-F238E27FC236}">
              <a16:creationId xmlns:a16="http://schemas.microsoft.com/office/drawing/2014/main" id="{0F5FF7AF-FAB8-4A2B-B1A8-741F56E96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0</xdr:rowOff>
    </xdr:to>
    <xdr:pic>
      <xdr:nvPicPr>
        <xdr:cNvPr id="101" name="Picture 372">
          <a:extLst>
            <a:ext uri="{FF2B5EF4-FFF2-40B4-BE49-F238E27FC236}">
              <a16:creationId xmlns:a16="http://schemas.microsoft.com/office/drawing/2014/main" id="{DFC955FC-8229-4276-BC12-60E8B8662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12700</xdr:rowOff>
    </xdr:to>
    <xdr:pic>
      <xdr:nvPicPr>
        <xdr:cNvPr id="102" name="Picture 373">
          <a:extLst>
            <a:ext uri="{FF2B5EF4-FFF2-40B4-BE49-F238E27FC236}">
              <a16:creationId xmlns:a16="http://schemas.microsoft.com/office/drawing/2014/main" id="{70AD1453-150B-48CE-86DF-E10A520F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103" name="Picture 374">
          <a:extLst>
            <a:ext uri="{FF2B5EF4-FFF2-40B4-BE49-F238E27FC236}">
              <a16:creationId xmlns:a16="http://schemas.microsoft.com/office/drawing/2014/main" id="{96C8A789-B938-426F-9BDD-F087F169E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28</xdr:row>
      <xdr:rowOff>12700</xdr:rowOff>
    </xdr:to>
    <xdr:pic>
      <xdr:nvPicPr>
        <xdr:cNvPr id="104" name="Picture 375">
          <a:extLst>
            <a:ext uri="{FF2B5EF4-FFF2-40B4-BE49-F238E27FC236}">
              <a16:creationId xmlns:a16="http://schemas.microsoft.com/office/drawing/2014/main" id="{D059F3DC-30D2-4812-91A2-767689CF0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0</xdr:rowOff>
    </xdr:to>
    <xdr:pic>
      <xdr:nvPicPr>
        <xdr:cNvPr id="105" name="Picture 376">
          <a:extLst>
            <a:ext uri="{FF2B5EF4-FFF2-40B4-BE49-F238E27FC236}">
              <a16:creationId xmlns:a16="http://schemas.microsoft.com/office/drawing/2014/main" id="{D615F77C-ECB9-4430-B7D1-EB00B3BC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106" name="Picture 377">
          <a:extLst>
            <a:ext uri="{FF2B5EF4-FFF2-40B4-BE49-F238E27FC236}">
              <a16:creationId xmlns:a16="http://schemas.microsoft.com/office/drawing/2014/main" id="{6D7DB1C4-8345-4C33-824E-3A725AD60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107" name="Picture 378">
          <a:extLst>
            <a:ext uri="{FF2B5EF4-FFF2-40B4-BE49-F238E27FC236}">
              <a16:creationId xmlns:a16="http://schemas.microsoft.com/office/drawing/2014/main" id="{D75B7C9D-3AE0-48D5-BC68-3E6E6ACC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0</xdr:rowOff>
    </xdr:to>
    <xdr:pic>
      <xdr:nvPicPr>
        <xdr:cNvPr id="108" name="Picture 379">
          <a:extLst>
            <a:ext uri="{FF2B5EF4-FFF2-40B4-BE49-F238E27FC236}">
              <a16:creationId xmlns:a16="http://schemas.microsoft.com/office/drawing/2014/main" id="{0D883A0C-6C7A-42F2-AE36-979411E4F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12700</xdr:rowOff>
    </xdr:to>
    <xdr:pic>
      <xdr:nvPicPr>
        <xdr:cNvPr id="109" name="Picture 380">
          <a:extLst>
            <a:ext uri="{FF2B5EF4-FFF2-40B4-BE49-F238E27FC236}">
              <a16:creationId xmlns:a16="http://schemas.microsoft.com/office/drawing/2014/main" id="{001DAA70-73EB-489E-B3F4-36BA5520A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110" name="Picture 381">
          <a:extLst>
            <a:ext uri="{FF2B5EF4-FFF2-40B4-BE49-F238E27FC236}">
              <a16:creationId xmlns:a16="http://schemas.microsoft.com/office/drawing/2014/main" id="{73B8A990-0AA0-4F38-AD5B-26FC38056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35</xdr:row>
      <xdr:rowOff>12700</xdr:rowOff>
    </xdr:to>
    <xdr:pic>
      <xdr:nvPicPr>
        <xdr:cNvPr id="112" name="Picture 383">
          <a:extLst>
            <a:ext uri="{FF2B5EF4-FFF2-40B4-BE49-F238E27FC236}">
              <a16:creationId xmlns:a16="http://schemas.microsoft.com/office/drawing/2014/main" id="{32333D28-446E-4007-BBA4-0D6E3D5D5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7BB2A4-2F99-4669-9245-EBCFEF4A43F8}" name="Tabla229" displayName="Tabla229" ref="A1:K44" totalsRowShown="0" headerRowDxfId="19" headerRowBorderDxfId="18" tableBorderDxfId="17" totalsRowBorderDxfId="16">
  <autoFilter ref="A1:K44" xr:uid="{00000000-0009-0000-0100-000002000000}"/>
  <sortState xmlns:xlrd2="http://schemas.microsoft.com/office/spreadsheetml/2017/richdata2" ref="A2:K43">
    <sortCondition sortBy="fontColor" ref="A1:A43" dxfId="15"/>
  </sortState>
  <tableColumns count="11">
    <tableColumn id="3" xr3:uid="{8DA0F4B3-51F2-4BDA-849B-721806980B97}" name="REFERENCIA" dataDxfId="14"/>
    <tableColumn id="4" xr3:uid="{2FCF0864-9754-4A4F-89C1-0AC3A67A6D39}" name="DESCRIPCION" dataDxfId="13"/>
    <tableColumn id="10" xr3:uid="{DC4415F0-3711-444D-BAF9-853831F15A69}" name="PRECIO INSTALLER (CON IVA)" dataDxfId="12" dataCellStyle="Moneda">
      <calculatedColumnFormula>+Tabla229[[#This Row],[Columna6]]/Tabla229[[#This Row],[Columna5]]</calculatedColumnFormula>
    </tableColumn>
    <tableColumn id="12" xr3:uid="{F0C3ECDC-DCDE-4E54-AD4B-1F237AA6F70B}" name="PRECIO TIENDA (CON IVA)" dataDxfId="11" dataCellStyle="Moneda">
      <calculatedColumnFormula>+Tabla229[[#This Row],[PRECIO INSTALLER (CON IVA)]]-Tabla229[[#This Row],[Columna43]]</calculatedColumnFormula>
    </tableColumn>
    <tableColumn id="13" xr3:uid="{CE9C1489-C2C1-4E22-8485-2D6C9A344A53}" name="PRECIO CLIENTE FINAL (CON IVA)" dataDxfId="10" dataCellStyle="Moneda">
      <calculatedColumnFormula>+Tabla229[[#This Row],[PRECIO INSTALLER (CON IVA)]]/0.7</calculatedColumnFormula>
    </tableColumn>
    <tableColumn id="11" xr3:uid="{85614652-89C7-41BD-A86A-7F6D9E71AB49}" name="Columna43" dataDxfId="9" dataCellStyle="Moneda">
      <calculatedColumnFormula>+Tabla229[[#This Row],[PRECIO INSTALLER (CON IVA)]]*5%</calculatedColumnFormula>
    </tableColumn>
    <tableColumn id="5" xr3:uid="{62822DCE-3D4A-437B-BBDF-4DBC2B1CC77A}" name="Columna5" dataDxfId="8"/>
    <tableColumn id="6" xr3:uid="{AD5717ED-F0A4-4A76-9008-332A1011D842}" name="Columna6" dataDxfId="7" dataCellStyle="Moneda">
      <calculatedColumnFormula>MROUND(K2*1.19,200)</calculatedColumnFormula>
    </tableColumn>
    <tableColumn id="7" xr3:uid="{5161B4C0-1507-4AB5-989F-CCF1971650E9}" name="Columna7" dataDxfId="6"/>
    <tableColumn id="8" xr3:uid="{7BA265E8-4398-4F3F-B06C-087F839970EB}" name="Columna8" dataDxfId="5"/>
    <tableColumn id="9" xr3:uid="{7B7867B2-BAD2-491A-90FE-22B8E002ADE6}" name="COSTO" dataDxfId="4" dataCellStyle="Moned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91F8-BE28-4E5B-9FEF-99E3E062B793}">
  <dimension ref="A1:M934"/>
  <sheetViews>
    <sheetView tabSelected="1" view="pageBreakPreview" zoomScale="60" zoomScaleNormal="85" workbookViewId="0">
      <selection activeCell="L9" sqref="L9"/>
    </sheetView>
  </sheetViews>
  <sheetFormatPr baseColWidth="10" defaultColWidth="11.28515625" defaultRowHeight="12.75" x14ac:dyDescent="0.2"/>
  <cols>
    <col min="1" max="1" width="24.42578125" style="7" customWidth="1"/>
    <col min="2" max="2" width="55.7109375" style="7" customWidth="1"/>
    <col min="3" max="3" width="21.140625" style="6" customWidth="1"/>
    <col min="4" max="4" width="19.140625" style="6" customWidth="1"/>
    <col min="5" max="5" width="23" style="6" customWidth="1"/>
    <col min="6" max="6" width="30.5703125" style="6" hidden="1" customWidth="1"/>
    <col min="7" max="7" width="19.140625" style="5" hidden="1" customWidth="1"/>
    <col min="8" max="8" width="21.140625" style="4" hidden="1" customWidth="1"/>
    <col min="9" max="10" width="11.28515625" style="1" hidden="1" customWidth="1"/>
    <col min="11" max="11" width="21.140625" style="3" hidden="1" customWidth="1"/>
    <col min="12" max="12" width="12.85546875" style="2" bestFit="1" customWidth="1"/>
    <col min="13" max="13" width="13.28515625" style="2" bestFit="1" customWidth="1"/>
    <col min="14" max="16384" width="11.28515625" style="1"/>
  </cols>
  <sheetData>
    <row r="1" spans="1:13" ht="64.5" customHeight="1" x14ac:dyDescent="0.25">
      <c r="A1" s="30" t="s">
        <v>91</v>
      </c>
      <c r="B1" s="30" t="s">
        <v>90</v>
      </c>
      <c r="C1" s="29" t="s">
        <v>89</v>
      </c>
      <c r="D1" s="29" t="s">
        <v>88</v>
      </c>
      <c r="E1" s="29" t="s">
        <v>87</v>
      </c>
      <c r="F1" s="28" t="s">
        <v>86</v>
      </c>
      <c r="G1" s="27" t="s">
        <v>85</v>
      </c>
      <c r="H1" s="26" t="s">
        <v>84</v>
      </c>
      <c r="I1" s="25" t="s">
        <v>83</v>
      </c>
      <c r="J1" s="25" t="s">
        <v>82</v>
      </c>
      <c r="K1" s="24" t="s">
        <v>81</v>
      </c>
      <c r="L1" s="23"/>
      <c r="M1" s="23"/>
    </row>
    <row r="2" spans="1:13" ht="34.5" x14ac:dyDescent="0.25">
      <c r="A2" s="20" t="s">
        <v>80</v>
      </c>
      <c r="B2" s="13" t="s">
        <v>79</v>
      </c>
      <c r="C2" s="12">
        <f>+Tabla229[[#This Row],[Columna6]]/Tabla229[[#This Row],[Columna5]]</f>
        <v>181411.76470588235</v>
      </c>
      <c r="D2" s="12">
        <f>+Tabla229[[#This Row],[PRECIO INSTALLER (CON IVA)]]-Tabla229[[#This Row],[Columna43]]</f>
        <v>172341.17647058822</v>
      </c>
      <c r="E2" s="12">
        <f>+Tabla229[[#This Row],[PRECIO INSTALLER (CON IVA)]]/0.7</f>
        <v>259159.66386554623</v>
      </c>
      <c r="F2" s="12">
        <f>+Tabla229[[#This Row],[PRECIO INSTALLER (CON IVA)]]*5%</f>
        <v>9070.5882352941171</v>
      </c>
      <c r="G2" s="11">
        <v>0.85</v>
      </c>
      <c r="H2" s="10">
        <f t="shared" ref="H2:H44" si="0">MROUND(K2*1.19,200)</f>
        <v>154200</v>
      </c>
      <c r="I2" s="19"/>
      <c r="J2" s="19"/>
      <c r="K2" s="15">
        <v>129500</v>
      </c>
    </row>
    <row r="3" spans="1:13" ht="17.25" x14ac:dyDescent="0.25">
      <c r="A3" s="20" t="s">
        <v>78</v>
      </c>
      <c r="B3" s="13" t="s">
        <v>77</v>
      </c>
      <c r="C3" s="12">
        <f>+Tabla229[[#This Row],[Columna6]]/Tabla229[[#This Row],[Columna5]]</f>
        <v>178588.23529411765</v>
      </c>
      <c r="D3" s="12">
        <f>+Tabla229[[#This Row],[PRECIO INSTALLER (CON IVA)]]-Tabla229[[#This Row],[Columna43]]</f>
        <v>169658.82352941178</v>
      </c>
      <c r="E3" s="12">
        <f>+Tabla229[[#This Row],[PRECIO INSTALLER (CON IVA)]]/0.7</f>
        <v>255126.05042016809</v>
      </c>
      <c r="F3" s="12">
        <f>+Tabla229[[#This Row],[PRECIO INSTALLER (CON IVA)]]*5%</f>
        <v>8929.4117647058829</v>
      </c>
      <c r="G3" s="11">
        <v>0.85</v>
      </c>
      <c r="H3" s="10">
        <f t="shared" si="0"/>
        <v>151800</v>
      </c>
      <c r="I3" s="17"/>
      <c r="J3" s="16"/>
      <c r="K3" s="15">
        <v>127600</v>
      </c>
    </row>
    <row r="4" spans="1:13" ht="103.5" x14ac:dyDescent="0.25">
      <c r="A4" s="20" t="s">
        <v>76</v>
      </c>
      <c r="B4" s="13" t="s">
        <v>75</v>
      </c>
      <c r="C4" s="12">
        <f>+Tabla229[[#This Row],[Columna6]]/Tabla229[[#This Row],[Columna5]]</f>
        <v>46823.529411764706</v>
      </c>
      <c r="D4" s="12">
        <f>+Tabla229[[#This Row],[PRECIO INSTALLER (CON IVA)]]-Tabla229[[#This Row],[Columna43]]</f>
        <v>44482.352941176468</v>
      </c>
      <c r="E4" s="12">
        <f>+Tabla229[[#This Row],[PRECIO INSTALLER (CON IVA)]]/0.7</f>
        <v>66890.756302521011</v>
      </c>
      <c r="F4" s="12">
        <f>+Tabla229[[#This Row],[PRECIO INSTALLER (CON IVA)]]*5%</f>
        <v>2341.1764705882356</v>
      </c>
      <c r="G4" s="11">
        <v>0.85</v>
      </c>
      <c r="H4" s="10">
        <f t="shared" si="0"/>
        <v>39800</v>
      </c>
      <c r="I4" s="17"/>
      <c r="J4" s="16"/>
      <c r="K4" s="15">
        <v>33400</v>
      </c>
    </row>
    <row r="5" spans="1:13" ht="34.5" x14ac:dyDescent="0.25">
      <c r="A5" s="20" t="s">
        <v>74</v>
      </c>
      <c r="B5" s="13" t="s">
        <v>73</v>
      </c>
      <c r="C5" s="12">
        <f>+Tabla229[[#This Row],[Columna6]]/Tabla229[[#This Row],[Columna5]]</f>
        <v>62117.647058823532</v>
      </c>
      <c r="D5" s="12">
        <f>+Tabla229[[#This Row],[PRECIO INSTALLER (CON IVA)]]-Tabla229[[#This Row],[Columna43]]</f>
        <v>59011.764705882357</v>
      </c>
      <c r="E5" s="12">
        <f>+Tabla229[[#This Row],[PRECIO INSTALLER (CON IVA)]]/0.7</f>
        <v>88739.495798319331</v>
      </c>
      <c r="F5" s="12">
        <f>+Tabla229[[#This Row],[PRECIO INSTALLER (CON IVA)]]*5%</f>
        <v>3105.8823529411766</v>
      </c>
      <c r="G5" s="11">
        <v>0.85</v>
      </c>
      <c r="H5" s="10">
        <f t="shared" si="0"/>
        <v>52800</v>
      </c>
      <c r="I5" s="19"/>
      <c r="J5" s="19"/>
      <c r="K5" s="15">
        <v>44312</v>
      </c>
    </row>
    <row r="6" spans="1:13" ht="51.75" x14ac:dyDescent="0.25">
      <c r="A6" s="20" t="s">
        <v>72</v>
      </c>
      <c r="B6" s="13" t="s">
        <v>71</v>
      </c>
      <c r="C6" s="12">
        <f>+Tabla229[[#This Row],[Columna6]]/Tabla229[[#This Row],[Columna5]]</f>
        <v>170588.23529411765</v>
      </c>
      <c r="D6" s="12">
        <f>+Tabla229[[#This Row],[PRECIO INSTALLER (CON IVA)]]-Tabla229[[#This Row],[Columna43]]</f>
        <v>162058.82352941178</v>
      </c>
      <c r="E6" s="12">
        <f>+Tabla229[[#This Row],[PRECIO INSTALLER (CON IVA)]]/0.7</f>
        <v>243697.47899159667</v>
      </c>
      <c r="F6" s="12">
        <f>+Tabla229[[#This Row],[PRECIO INSTALLER (CON IVA)]]*5%</f>
        <v>8529.4117647058829</v>
      </c>
      <c r="G6" s="11">
        <v>0.85</v>
      </c>
      <c r="H6" s="10">
        <f t="shared" si="0"/>
        <v>145000</v>
      </c>
      <c r="I6" s="19"/>
      <c r="J6" s="19"/>
      <c r="K6" s="21">
        <v>121800</v>
      </c>
    </row>
    <row r="7" spans="1:13" ht="51.75" x14ac:dyDescent="0.25">
      <c r="A7" s="20" t="s">
        <v>70</v>
      </c>
      <c r="B7" s="13" t="s">
        <v>69</v>
      </c>
      <c r="C7" s="12">
        <f>+Tabla229[[#This Row],[Columna6]]/Tabla229[[#This Row],[Columna5]]</f>
        <v>103764.70588235294</v>
      </c>
      <c r="D7" s="12">
        <f>+Tabla229[[#This Row],[PRECIO INSTALLER (CON IVA)]]-Tabla229[[#This Row],[Columna43]]</f>
        <v>98576.470588235286</v>
      </c>
      <c r="E7" s="12">
        <f>+Tabla229[[#This Row],[PRECIO INSTALLER (CON IVA)]]/0.7</f>
        <v>148235.29411764705</v>
      </c>
      <c r="F7" s="12">
        <f>+Tabla229[[#This Row],[PRECIO INSTALLER (CON IVA)]]*5%</f>
        <v>5188.2352941176468</v>
      </c>
      <c r="G7" s="11">
        <v>0.85</v>
      </c>
      <c r="H7" s="10">
        <f t="shared" si="0"/>
        <v>88200</v>
      </c>
      <c r="I7" s="19"/>
      <c r="J7" s="19"/>
      <c r="K7" s="15">
        <v>74035</v>
      </c>
    </row>
    <row r="8" spans="1:13" ht="17.25" x14ac:dyDescent="0.25">
      <c r="A8" s="20" t="s">
        <v>68</v>
      </c>
      <c r="B8" s="13" t="s">
        <v>67</v>
      </c>
      <c r="C8" s="12">
        <f>+Tabla229[[#This Row],[Columna6]]/Tabla229[[#This Row],[Columna5]]</f>
        <v>213411.76470588235</v>
      </c>
      <c r="D8" s="12">
        <f>+Tabla229[[#This Row],[PRECIO INSTALLER (CON IVA)]]-Tabla229[[#This Row],[Columna43]]</f>
        <v>202741.17647058822</v>
      </c>
      <c r="E8" s="12">
        <f>+Tabla229[[#This Row],[PRECIO INSTALLER (CON IVA)]]/0.7</f>
        <v>304873.94957983197</v>
      </c>
      <c r="F8" s="12">
        <f>+Tabla229[[#This Row],[PRECIO INSTALLER (CON IVA)]]*5%</f>
        <v>10670.588235294119</v>
      </c>
      <c r="G8" s="11">
        <v>0.85</v>
      </c>
      <c r="H8" s="10">
        <f t="shared" si="0"/>
        <v>181400</v>
      </c>
      <c r="I8" s="17"/>
      <c r="J8" s="16"/>
      <c r="K8" s="15">
        <v>152516</v>
      </c>
    </row>
    <row r="9" spans="1:13" ht="51.75" x14ac:dyDescent="0.25">
      <c r="A9" s="20" t="s">
        <v>66</v>
      </c>
      <c r="B9" s="13" t="s">
        <v>65</v>
      </c>
      <c r="C9" s="12">
        <f>+Tabla229[[#This Row],[Columna6]]/Tabla229[[#This Row],[Columna5]]</f>
        <v>1178352.9411764706</v>
      </c>
      <c r="D9" s="12">
        <f>+Tabla229[[#This Row],[PRECIO INSTALLER (CON IVA)]]-Tabla229[[#This Row],[Columna43]]</f>
        <v>1119435.294117647</v>
      </c>
      <c r="E9" s="12">
        <f>+Tabla229[[#This Row],[PRECIO INSTALLER (CON IVA)]]/0.7</f>
        <v>1683361.3445378153</v>
      </c>
      <c r="F9" s="12">
        <f>+Tabla229[[#This Row],[PRECIO INSTALLER (CON IVA)]]*5%</f>
        <v>58917.647058823532</v>
      </c>
      <c r="G9" s="11">
        <v>0.85</v>
      </c>
      <c r="H9" s="10">
        <f t="shared" si="0"/>
        <v>1001600</v>
      </c>
      <c r="I9" s="19"/>
      <c r="J9" s="19"/>
      <c r="K9" s="15">
        <v>841616</v>
      </c>
    </row>
    <row r="10" spans="1:13" ht="51.75" x14ac:dyDescent="0.25">
      <c r="A10" s="20" t="s">
        <v>64</v>
      </c>
      <c r="B10" s="13" t="s">
        <v>63</v>
      </c>
      <c r="C10" s="12">
        <f>+Tabla229[[#This Row],[Columna6]]/Tabla229[[#This Row],[Columna5]]</f>
        <v>140705.88235294117</v>
      </c>
      <c r="D10" s="12">
        <f>+Tabla229[[#This Row],[PRECIO INSTALLER (CON IVA)]]-Tabla229[[#This Row],[Columna43]]</f>
        <v>133670.58823529413</v>
      </c>
      <c r="E10" s="12">
        <f>+Tabla229[[#This Row],[PRECIO INSTALLER (CON IVA)]]/0.7</f>
        <v>201008.40336134454</v>
      </c>
      <c r="F10" s="12">
        <f>+Tabla229[[#This Row],[PRECIO INSTALLER (CON IVA)]]*5%</f>
        <v>7035.2941176470595</v>
      </c>
      <c r="G10" s="11">
        <v>0.85</v>
      </c>
      <c r="H10" s="10">
        <f t="shared" si="0"/>
        <v>119600</v>
      </c>
      <c r="I10" s="17"/>
      <c r="J10" s="16"/>
      <c r="K10" s="15">
        <v>100492</v>
      </c>
    </row>
    <row r="11" spans="1:13" ht="34.5" x14ac:dyDescent="0.25">
      <c r="A11" s="20" t="s">
        <v>62</v>
      </c>
      <c r="B11" s="13" t="s">
        <v>16</v>
      </c>
      <c r="C11" s="12">
        <f>+Tabla229[[#This Row],[Columna6]]/Tabla229[[#This Row],[Columna5]]</f>
        <v>44235.294117647063</v>
      </c>
      <c r="D11" s="12">
        <f>+Tabla229[[#This Row],[PRECIO INSTALLER (CON IVA)]]-Tabla229[[#This Row],[Columna43]]</f>
        <v>42023.529411764714</v>
      </c>
      <c r="E11" s="12">
        <f>+Tabla229[[#This Row],[PRECIO INSTALLER (CON IVA)]]/0.7</f>
        <v>63193.277310924379</v>
      </c>
      <c r="F11" s="12">
        <f>+Tabla229[[#This Row],[PRECIO INSTALLER (CON IVA)]]*5%</f>
        <v>2211.7647058823532</v>
      </c>
      <c r="G11" s="11">
        <v>0.85</v>
      </c>
      <c r="H11" s="10">
        <f t="shared" si="0"/>
        <v>37600</v>
      </c>
      <c r="I11" s="19"/>
      <c r="J11" s="19"/>
      <c r="K11" s="15">
        <v>31554</v>
      </c>
    </row>
    <row r="12" spans="1:13" ht="51.75" x14ac:dyDescent="0.25">
      <c r="A12" s="20" t="s">
        <v>61</v>
      </c>
      <c r="B12" s="13" t="s">
        <v>60</v>
      </c>
      <c r="C12" s="12">
        <f>+Tabla229[[#This Row],[Columna6]]/Tabla229[[#This Row],[Columna5]]</f>
        <v>63529.411764705881</v>
      </c>
      <c r="D12" s="12">
        <f>+Tabla229[[#This Row],[PRECIO INSTALLER (CON IVA)]]-Tabla229[[#This Row],[Columna43]]</f>
        <v>60352.941176470587</v>
      </c>
      <c r="E12" s="12">
        <f>+Tabla229[[#This Row],[PRECIO INSTALLER (CON IVA)]]/0.7</f>
        <v>90756.302521008402</v>
      </c>
      <c r="F12" s="12">
        <f>+Tabla229[[#This Row],[PRECIO INSTALLER (CON IVA)]]*5%</f>
        <v>3176.4705882352941</v>
      </c>
      <c r="G12" s="11">
        <v>0.85</v>
      </c>
      <c r="H12" s="10">
        <f t="shared" si="0"/>
        <v>54000</v>
      </c>
      <c r="I12" s="19"/>
      <c r="J12" s="19"/>
      <c r="K12" s="15">
        <v>45441</v>
      </c>
    </row>
    <row r="13" spans="1:13" ht="51.75" x14ac:dyDescent="0.25">
      <c r="A13" s="20" t="s">
        <v>59</v>
      </c>
      <c r="B13" s="13" t="s">
        <v>58</v>
      </c>
      <c r="C13" s="12">
        <f>+Tabla229[[#This Row],[Columna6]]/Tabla229[[#This Row],[Columna5]]</f>
        <v>77411.76470588235</v>
      </c>
      <c r="D13" s="12">
        <f>+Tabla229[[#This Row],[PRECIO INSTALLER (CON IVA)]]-Tabla229[[#This Row],[Columna43]]</f>
        <v>73541.176470588238</v>
      </c>
      <c r="E13" s="12">
        <f>+Tabla229[[#This Row],[PRECIO INSTALLER (CON IVA)]]/0.7</f>
        <v>110588.23529411765</v>
      </c>
      <c r="F13" s="12">
        <f>+Tabla229[[#This Row],[PRECIO INSTALLER (CON IVA)]]*5%</f>
        <v>3870.5882352941176</v>
      </c>
      <c r="G13" s="11">
        <v>0.85</v>
      </c>
      <c r="H13" s="10">
        <f t="shared" si="0"/>
        <v>65800</v>
      </c>
      <c r="I13" s="19"/>
      <c r="J13" s="19"/>
      <c r="K13" s="15">
        <v>55264</v>
      </c>
    </row>
    <row r="14" spans="1:13" ht="19.5" customHeight="1" x14ac:dyDescent="0.25">
      <c r="A14" s="20" t="s">
        <v>57</v>
      </c>
      <c r="B14" s="13" t="s">
        <v>56</v>
      </c>
      <c r="C14" s="12">
        <f>+Tabla229[[#This Row],[Columna6]]/Tabla229[[#This Row],[Columna5]]</f>
        <v>229176.4705882353</v>
      </c>
      <c r="D14" s="12">
        <f>+Tabla229[[#This Row],[PRECIO INSTALLER (CON IVA)]]-Tabla229[[#This Row],[Columna43]]</f>
        <v>217717.64705882352</v>
      </c>
      <c r="E14" s="12">
        <f>+Tabla229[[#This Row],[PRECIO INSTALLER (CON IVA)]]/0.7</f>
        <v>327394.95798319328</v>
      </c>
      <c r="F14" s="12">
        <f>+Tabla229[[#This Row],[PRECIO INSTALLER (CON IVA)]]*5%</f>
        <v>11458.823529411766</v>
      </c>
      <c r="G14" s="11">
        <v>0.85</v>
      </c>
      <c r="H14" s="10">
        <f t="shared" si="0"/>
        <v>194800</v>
      </c>
      <c r="I14" s="19"/>
      <c r="J14" s="19"/>
      <c r="K14" s="15">
        <v>163700</v>
      </c>
    </row>
    <row r="15" spans="1:13" ht="16.5" customHeight="1" x14ac:dyDescent="0.25">
      <c r="A15" s="20" t="s">
        <v>55</v>
      </c>
      <c r="B15" s="13" t="s">
        <v>54</v>
      </c>
      <c r="C15" s="12">
        <f>+Tabla229[[#This Row],[Columna6]]/Tabla229[[#This Row],[Columna5]]</f>
        <v>172470.58823529413</v>
      </c>
      <c r="D15" s="12">
        <f>+Tabla229[[#This Row],[PRECIO INSTALLER (CON IVA)]]-Tabla229[[#This Row],[Columna43]]</f>
        <v>163847.05882352943</v>
      </c>
      <c r="E15" s="12">
        <f>+Tabla229[[#This Row],[PRECIO INSTALLER (CON IVA)]]/0.7</f>
        <v>246386.55462184877</v>
      </c>
      <c r="F15" s="12">
        <f>+Tabla229[[#This Row],[PRECIO INSTALLER (CON IVA)]]*5%</f>
        <v>8623.5294117647063</v>
      </c>
      <c r="G15" s="11">
        <v>0.85</v>
      </c>
      <c r="H15" s="10">
        <f t="shared" si="0"/>
        <v>146600</v>
      </c>
      <c r="I15" s="17"/>
      <c r="J15" s="16"/>
      <c r="K15" s="15">
        <v>123200</v>
      </c>
    </row>
    <row r="16" spans="1:13" ht="18.75" customHeight="1" x14ac:dyDescent="0.25">
      <c r="A16" s="20" t="s">
        <v>53</v>
      </c>
      <c r="B16" s="13" t="s">
        <v>52</v>
      </c>
      <c r="C16" s="12">
        <f>+Tabla229[[#This Row],[Columna6]]/Tabla229[[#This Row],[Columna5]]</f>
        <v>388000</v>
      </c>
      <c r="D16" s="12">
        <f>+Tabla229[[#This Row],[PRECIO INSTALLER (CON IVA)]]-Tabla229[[#This Row],[Columna43]]</f>
        <v>368600</v>
      </c>
      <c r="E16" s="12">
        <f>+Tabla229[[#This Row],[PRECIO INSTALLER (CON IVA)]]/0.7</f>
        <v>554285.71428571432</v>
      </c>
      <c r="F16" s="12">
        <f>+Tabla229[[#This Row],[PRECIO INSTALLER (CON IVA)]]*5%</f>
        <v>19400</v>
      </c>
      <c r="G16" s="11">
        <v>0.85</v>
      </c>
      <c r="H16" s="10">
        <f t="shared" si="0"/>
        <v>329800</v>
      </c>
      <c r="I16" s="19"/>
      <c r="J16" s="19"/>
      <c r="K16" s="15">
        <v>277100</v>
      </c>
    </row>
    <row r="17" spans="1:11" ht="34.5" x14ac:dyDescent="0.25">
      <c r="A17" s="20" t="s">
        <v>51</v>
      </c>
      <c r="B17" s="13" t="s">
        <v>50</v>
      </c>
      <c r="C17" s="12">
        <f>+Tabla229[[#This Row],[Columna6]]/Tabla229[[#This Row],[Columna5]]</f>
        <v>371529.4117647059</v>
      </c>
      <c r="D17" s="12">
        <f>+Tabla229[[#This Row],[PRECIO INSTALLER (CON IVA)]]-Tabla229[[#This Row],[Columna43]]</f>
        <v>352952.9411764706</v>
      </c>
      <c r="E17" s="12">
        <f>+Tabla229[[#This Row],[PRECIO INSTALLER (CON IVA)]]/0.7</f>
        <v>530756.30252100842</v>
      </c>
      <c r="F17" s="12">
        <f>+Tabla229[[#This Row],[PRECIO INSTALLER (CON IVA)]]*5%</f>
        <v>18576.470588235297</v>
      </c>
      <c r="G17" s="11">
        <v>0.85</v>
      </c>
      <c r="H17" s="10">
        <f t="shared" si="0"/>
        <v>315800</v>
      </c>
      <c r="I17" s="19"/>
      <c r="J17" s="19"/>
      <c r="K17" s="15">
        <v>265400</v>
      </c>
    </row>
    <row r="18" spans="1:11" ht="51.75" x14ac:dyDescent="0.25">
      <c r="A18" s="20" t="s">
        <v>49</v>
      </c>
      <c r="B18" s="13" t="s">
        <v>48</v>
      </c>
      <c r="C18" s="12">
        <f>+Tabla229[[#This Row],[Columna6]]/Tabla229[[#This Row],[Columna5]]</f>
        <v>76235.294117647063</v>
      </c>
      <c r="D18" s="12">
        <f>+Tabla229[[#This Row],[PRECIO INSTALLER (CON IVA)]]-Tabla229[[#This Row],[Columna43]]</f>
        <v>72423.529411764714</v>
      </c>
      <c r="E18" s="12">
        <f>+Tabla229[[#This Row],[PRECIO INSTALLER (CON IVA)]]/0.7</f>
        <v>108907.5630252101</v>
      </c>
      <c r="F18" s="12">
        <f>+Tabla229[[#This Row],[PRECIO INSTALLER (CON IVA)]]*5%</f>
        <v>3811.7647058823532</v>
      </c>
      <c r="G18" s="11">
        <v>0.85</v>
      </c>
      <c r="H18" s="10">
        <f t="shared" si="0"/>
        <v>64800</v>
      </c>
      <c r="I18" s="19"/>
      <c r="J18" s="19"/>
      <c r="K18" s="15">
        <v>54400</v>
      </c>
    </row>
    <row r="19" spans="1:11" ht="34.5" x14ac:dyDescent="0.25">
      <c r="A19" s="20" t="s">
        <v>47</v>
      </c>
      <c r="B19" s="13" t="s">
        <v>46</v>
      </c>
      <c r="C19" s="12">
        <f>+Tabla229[[#This Row],[Columna6]]/Tabla229[[#This Row],[Columna5]]</f>
        <v>180941.17647058825</v>
      </c>
      <c r="D19" s="12">
        <f>+Tabla229[[#This Row],[PRECIO INSTALLER (CON IVA)]]-Tabla229[[#This Row],[Columna43]]</f>
        <v>171894.11764705885</v>
      </c>
      <c r="E19" s="12">
        <f>+Tabla229[[#This Row],[PRECIO INSTALLER (CON IVA)]]/0.7</f>
        <v>258487.39495798323</v>
      </c>
      <c r="F19" s="12">
        <f>+Tabla229[[#This Row],[PRECIO INSTALLER (CON IVA)]]*5%</f>
        <v>9047.0588235294126</v>
      </c>
      <c r="G19" s="11">
        <v>0.85</v>
      </c>
      <c r="H19" s="10">
        <f t="shared" si="0"/>
        <v>153800</v>
      </c>
      <c r="I19" s="19"/>
      <c r="J19" s="19"/>
      <c r="K19" s="15">
        <v>129200</v>
      </c>
    </row>
    <row r="20" spans="1:11" ht="34.5" x14ac:dyDescent="0.25">
      <c r="A20" s="20" t="s">
        <v>45</v>
      </c>
      <c r="B20" s="13" t="s">
        <v>44</v>
      </c>
      <c r="C20" s="12">
        <f>+Tabla229[[#This Row],[Columna6]]/Tabla229[[#This Row],[Columna5]]</f>
        <v>513647.0588235294</v>
      </c>
      <c r="D20" s="12">
        <f>+Tabla229[[#This Row],[PRECIO INSTALLER (CON IVA)]]-Tabla229[[#This Row],[Columna43]]</f>
        <v>487964.70588235295</v>
      </c>
      <c r="E20" s="12">
        <f>+Tabla229[[#This Row],[PRECIO INSTALLER (CON IVA)]]/0.7</f>
        <v>733781.51260504208</v>
      </c>
      <c r="F20" s="12">
        <f>+Tabla229[[#This Row],[PRECIO INSTALLER (CON IVA)]]*5%</f>
        <v>25682.352941176472</v>
      </c>
      <c r="G20" s="11">
        <v>0.85</v>
      </c>
      <c r="H20" s="10">
        <f t="shared" si="0"/>
        <v>436600</v>
      </c>
      <c r="I20" s="19"/>
      <c r="J20" s="19"/>
      <c r="K20" s="15">
        <v>366900</v>
      </c>
    </row>
    <row r="21" spans="1:11" ht="51.75" x14ac:dyDescent="0.25">
      <c r="A21" s="20" t="s">
        <v>92</v>
      </c>
      <c r="B21" s="13" t="s">
        <v>43</v>
      </c>
      <c r="C21" s="12">
        <f>+Tabla229[[#This Row],[Columna6]]/Tabla229[[#This Row],[Columna5]]</f>
        <v>318588.23529411765</v>
      </c>
      <c r="D21" s="12">
        <f>+Tabla229[[#This Row],[PRECIO INSTALLER (CON IVA)]]-Tabla229[[#This Row],[Columna43]]</f>
        <v>302658.82352941175</v>
      </c>
      <c r="E21" s="12">
        <f>+Tabla229[[#This Row],[PRECIO INSTALLER (CON IVA)]]/0.7</f>
        <v>455126.05042016809</v>
      </c>
      <c r="F21" s="12">
        <f>+Tabla229[[#This Row],[PRECIO INSTALLER (CON IVA)]]*5%</f>
        <v>15929.411764705883</v>
      </c>
      <c r="G21" s="11">
        <v>0.85</v>
      </c>
      <c r="H21" s="10">
        <f t="shared" si="0"/>
        <v>270800</v>
      </c>
      <c r="I21" s="19"/>
      <c r="J21" s="19"/>
      <c r="K21" s="15">
        <v>227592</v>
      </c>
    </row>
    <row r="22" spans="1:11" ht="34.5" x14ac:dyDescent="0.25">
      <c r="A22" s="20" t="s">
        <v>23</v>
      </c>
      <c r="B22" s="13" t="s">
        <v>42</v>
      </c>
      <c r="C22" s="12">
        <f>+Tabla229[[#This Row],[Columna6]]/Tabla229[[#This Row],[Columna5]]</f>
        <v>232235.29411764708</v>
      </c>
      <c r="D22" s="12">
        <f>+Tabla229[[#This Row],[PRECIO INSTALLER (CON IVA)]]-Tabla229[[#This Row],[Columna43]]</f>
        <v>220623.52941176473</v>
      </c>
      <c r="E22" s="12">
        <f>+Tabla229[[#This Row],[PRECIO INSTALLER (CON IVA)]]/0.7</f>
        <v>331764.70588235301</v>
      </c>
      <c r="F22" s="12">
        <f>+Tabla229[[#This Row],[PRECIO INSTALLER (CON IVA)]]*5%</f>
        <v>11611.764705882355</v>
      </c>
      <c r="G22" s="11">
        <v>0.85</v>
      </c>
      <c r="H22" s="10">
        <f t="shared" si="0"/>
        <v>197400</v>
      </c>
      <c r="I22" s="17"/>
      <c r="J22" s="16"/>
      <c r="K22" s="15">
        <v>165871</v>
      </c>
    </row>
    <row r="23" spans="1:11" ht="51.75" x14ac:dyDescent="0.25">
      <c r="A23" s="20" t="s">
        <v>93</v>
      </c>
      <c r="B23" s="13" t="s">
        <v>41</v>
      </c>
      <c r="C23" s="12">
        <f>+Tabla229[[#This Row],[Columna6]]/Tabla229[[#This Row],[Columna5]]</f>
        <v>72470.588235294126</v>
      </c>
      <c r="D23" s="12">
        <f>+Tabla229[[#This Row],[PRECIO INSTALLER (CON IVA)]]-Tabla229[[#This Row],[Columna43]]</f>
        <v>68847.058823529427</v>
      </c>
      <c r="E23" s="12">
        <f>+Tabla229[[#This Row],[PRECIO INSTALLER (CON IVA)]]/0.7</f>
        <v>103529.4117647059</v>
      </c>
      <c r="F23" s="12">
        <f>+Tabla229[[#This Row],[PRECIO INSTALLER (CON IVA)]]*5%</f>
        <v>3623.5294117647063</v>
      </c>
      <c r="G23" s="11">
        <v>0.85</v>
      </c>
      <c r="H23" s="10">
        <f t="shared" si="0"/>
        <v>61600</v>
      </c>
      <c r="I23" s="19"/>
      <c r="J23" s="19"/>
      <c r="K23" s="15">
        <v>51735</v>
      </c>
    </row>
    <row r="24" spans="1:11" ht="51.75" x14ac:dyDescent="0.25">
      <c r="A24" s="20" t="s">
        <v>40</v>
      </c>
      <c r="B24" s="13" t="s">
        <v>39</v>
      </c>
      <c r="C24" s="12">
        <f>+Tabla229[[#This Row],[Columna6]]/Tabla229[[#This Row],[Columna5]]</f>
        <v>46823.529411764706</v>
      </c>
      <c r="D24" s="12">
        <f>+Tabla229[[#This Row],[PRECIO INSTALLER (CON IVA)]]-Tabla229[[#This Row],[Columna43]]</f>
        <v>44482.352941176468</v>
      </c>
      <c r="E24" s="12">
        <f>+Tabla229[[#This Row],[PRECIO INSTALLER (CON IVA)]]/0.7</f>
        <v>66890.756302521011</v>
      </c>
      <c r="F24" s="12">
        <f>+Tabla229[[#This Row],[PRECIO INSTALLER (CON IVA)]]*5%</f>
        <v>2341.1764705882356</v>
      </c>
      <c r="G24" s="11">
        <v>0.85</v>
      </c>
      <c r="H24" s="10">
        <f t="shared" si="0"/>
        <v>39800</v>
      </c>
      <c r="I24" s="19"/>
      <c r="J24" s="19"/>
      <c r="K24" s="22">
        <v>33484</v>
      </c>
    </row>
    <row r="25" spans="1:11" ht="51.75" x14ac:dyDescent="0.25">
      <c r="A25" s="20" t="s">
        <v>38</v>
      </c>
      <c r="B25" s="13" t="s">
        <v>37</v>
      </c>
      <c r="C25" s="12">
        <f>+Tabla229[[#This Row],[Columna6]]/Tabla229[[#This Row],[Columna5]]</f>
        <v>219529.41176470587</v>
      </c>
      <c r="D25" s="12">
        <f>+Tabla229[[#This Row],[PRECIO INSTALLER (CON IVA)]]-Tabla229[[#This Row],[Columna43]]</f>
        <v>208552.94117647057</v>
      </c>
      <c r="E25" s="12">
        <f>+Tabla229[[#This Row],[PRECIO INSTALLER (CON IVA)]]/0.7</f>
        <v>313613.44537815126</v>
      </c>
      <c r="F25" s="12">
        <f>+Tabla229[[#This Row],[PRECIO INSTALLER (CON IVA)]]*5%</f>
        <v>10976.470588235294</v>
      </c>
      <c r="G25" s="11">
        <v>0.85</v>
      </c>
      <c r="H25" s="10">
        <f t="shared" si="0"/>
        <v>186600</v>
      </c>
      <c r="I25" s="19"/>
      <c r="J25" s="19"/>
      <c r="K25" s="15">
        <v>156800</v>
      </c>
    </row>
    <row r="26" spans="1:11" ht="51.75" x14ac:dyDescent="0.25">
      <c r="A26" s="20" t="s">
        <v>36</v>
      </c>
      <c r="B26" s="13" t="s">
        <v>35</v>
      </c>
      <c r="C26" s="12">
        <f>+Tabla229[[#This Row],[Columna6]]/Tabla229[[#This Row],[Columna5]]</f>
        <v>124705.88235294117</v>
      </c>
      <c r="D26" s="12">
        <f>+Tabla229[[#This Row],[PRECIO INSTALLER (CON IVA)]]-Tabla229[[#This Row],[Columna43]]</f>
        <v>118470.58823529411</v>
      </c>
      <c r="E26" s="12">
        <f>+Tabla229[[#This Row],[PRECIO INSTALLER (CON IVA)]]/0.7</f>
        <v>178151.26050420169</v>
      </c>
      <c r="F26" s="12">
        <f>+Tabla229[[#This Row],[PRECIO INSTALLER (CON IVA)]]*5%</f>
        <v>6235.2941176470595</v>
      </c>
      <c r="G26" s="11">
        <v>0.85</v>
      </c>
      <c r="H26" s="10">
        <f t="shared" si="0"/>
        <v>106000</v>
      </c>
      <c r="I26" s="19"/>
      <c r="J26" s="19"/>
      <c r="K26" s="15">
        <v>89117</v>
      </c>
    </row>
    <row r="27" spans="1:11" ht="34.5" x14ac:dyDescent="0.25">
      <c r="A27" s="20" t="s">
        <v>34</v>
      </c>
      <c r="B27" s="13" t="s">
        <v>33</v>
      </c>
      <c r="C27" s="12">
        <f>+Tabla229[[#This Row],[Columna6]]/Tabla229[[#This Row],[Columna5]]</f>
        <v>138588.23529411765</v>
      </c>
      <c r="D27" s="12">
        <f>+Tabla229[[#This Row],[PRECIO INSTALLER (CON IVA)]]-Tabla229[[#This Row],[Columna43]]</f>
        <v>131658.82352941178</v>
      </c>
      <c r="E27" s="12">
        <f>+Tabla229[[#This Row],[PRECIO INSTALLER (CON IVA)]]/0.7</f>
        <v>197983.19327731093</v>
      </c>
      <c r="F27" s="12">
        <f>+Tabla229[[#This Row],[PRECIO INSTALLER (CON IVA)]]*5%</f>
        <v>6929.4117647058829</v>
      </c>
      <c r="G27" s="11">
        <v>0.85</v>
      </c>
      <c r="H27" s="10">
        <f t="shared" si="0"/>
        <v>117800</v>
      </c>
      <c r="I27" s="19"/>
      <c r="J27" s="19"/>
      <c r="K27" s="21">
        <v>99000</v>
      </c>
    </row>
    <row r="28" spans="1:11" ht="34.5" x14ac:dyDescent="0.25">
      <c r="A28" s="20" t="s">
        <v>32</v>
      </c>
      <c r="B28" s="13" t="s">
        <v>3</v>
      </c>
      <c r="C28" s="12">
        <f>+Tabla229[[#This Row],[Columna6]]/Tabla229[[#This Row],[Columna5]]</f>
        <v>339294.11764705885</v>
      </c>
      <c r="D28" s="12">
        <f>+Tabla229[[#This Row],[PRECIO INSTALLER (CON IVA)]]-Tabla229[[#This Row],[Columna43]]</f>
        <v>322329.4117647059</v>
      </c>
      <c r="E28" s="12">
        <f>+Tabla229[[#This Row],[PRECIO INSTALLER (CON IVA)]]/0.7</f>
        <v>484705.88235294126</v>
      </c>
      <c r="F28" s="12">
        <f>+Tabla229[[#This Row],[PRECIO INSTALLER (CON IVA)]]*5%</f>
        <v>16964.705882352944</v>
      </c>
      <c r="G28" s="11">
        <v>0.85</v>
      </c>
      <c r="H28" s="10">
        <f t="shared" si="0"/>
        <v>288400</v>
      </c>
      <c r="I28" s="19"/>
      <c r="J28" s="19"/>
      <c r="K28" s="15">
        <v>242349</v>
      </c>
    </row>
    <row r="29" spans="1:11" ht="51.75" x14ac:dyDescent="0.25">
      <c r="A29" s="20" t="s">
        <v>31</v>
      </c>
      <c r="B29" s="13" t="s">
        <v>30</v>
      </c>
      <c r="C29" s="12">
        <f>+Tabla229[[#This Row],[Columna6]]/Tabla229[[#This Row],[Columna5]]</f>
        <v>684941.17647058831</v>
      </c>
      <c r="D29" s="12">
        <f>+Tabla229[[#This Row],[PRECIO INSTALLER (CON IVA)]]-Tabla229[[#This Row],[Columna43]]</f>
        <v>650694.11764705891</v>
      </c>
      <c r="E29" s="12">
        <f>+Tabla229[[#This Row],[PRECIO INSTALLER (CON IVA)]]/0.7</f>
        <v>978487.3949579834</v>
      </c>
      <c r="F29" s="12">
        <f>+Tabla229[[#This Row],[PRECIO INSTALLER (CON IVA)]]*5%</f>
        <v>34247.05882352942</v>
      </c>
      <c r="G29" s="11">
        <v>0.85</v>
      </c>
      <c r="H29" s="10">
        <f t="shared" si="0"/>
        <v>582200</v>
      </c>
      <c r="I29" s="17"/>
      <c r="J29" s="16"/>
      <c r="K29" s="15">
        <v>489200</v>
      </c>
    </row>
    <row r="30" spans="1:11" ht="51.75" x14ac:dyDescent="0.25">
      <c r="A30" s="20" t="s">
        <v>29</v>
      </c>
      <c r="B30" s="13" t="s">
        <v>28</v>
      </c>
      <c r="C30" s="12">
        <f>+Tabla229[[#This Row],[Columna6]]/Tabla229[[#This Row],[Columna5]]</f>
        <v>994588.23529411771</v>
      </c>
      <c r="D30" s="12">
        <f>+Tabla229[[#This Row],[PRECIO INSTALLER (CON IVA)]]-Tabla229[[#This Row],[Columna43]]</f>
        <v>944858.82352941181</v>
      </c>
      <c r="E30" s="12">
        <f>+Tabla229[[#This Row],[PRECIO INSTALLER (CON IVA)]]/0.7</f>
        <v>1420840.336134454</v>
      </c>
      <c r="F30" s="12">
        <f>+Tabla229[[#This Row],[PRECIO INSTALLER (CON IVA)]]*5%</f>
        <v>49729.411764705888</v>
      </c>
      <c r="G30" s="11">
        <v>0.85</v>
      </c>
      <c r="H30" s="10">
        <f t="shared" si="0"/>
        <v>845400</v>
      </c>
      <c r="I30" s="19"/>
      <c r="J30" s="19"/>
      <c r="K30" s="15">
        <v>710500</v>
      </c>
    </row>
    <row r="31" spans="1:11" ht="69" x14ac:dyDescent="0.25">
      <c r="A31" s="20" t="s">
        <v>27</v>
      </c>
      <c r="B31" s="13" t="s">
        <v>26</v>
      </c>
      <c r="C31" s="12">
        <f>+Tabla229[[#This Row],[Columna6]]/Tabla229[[#This Row],[Columna5]]</f>
        <v>341647.0588235294</v>
      </c>
      <c r="D31" s="12">
        <f>+Tabla229[[#This Row],[PRECIO INSTALLER (CON IVA)]]-Tabla229[[#This Row],[Columna43]]</f>
        <v>324564.70588235295</v>
      </c>
      <c r="E31" s="12">
        <f>+Tabla229[[#This Row],[PRECIO INSTALLER (CON IVA)]]/0.7</f>
        <v>488067.22689075634</v>
      </c>
      <c r="F31" s="12">
        <f>+Tabla229[[#This Row],[PRECIO INSTALLER (CON IVA)]]*5%</f>
        <v>17082.352941176472</v>
      </c>
      <c r="G31" s="11">
        <v>0.85</v>
      </c>
      <c r="H31" s="10">
        <f t="shared" si="0"/>
        <v>290400</v>
      </c>
      <c r="I31" s="17"/>
      <c r="J31" s="16"/>
      <c r="K31" s="15">
        <v>244100</v>
      </c>
    </row>
    <row r="32" spans="1:11" ht="34.5" x14ac:dyDescent="0.25">
      <c r="A32" s="20" t="s">
        <v>25</v>
      </c>
      <c r="B32" s="13" t="s">
        <v>24</v>
      </c>
      <c r="C32" s="12">
        <f>+Tabla229[[#This Row],[Columna6]]/Tabla229[[#This Row],[Columna5]]</f>
        <v>172000</v>
      </c>
      <c r="D32" s="12">
        <f>+Tabla229[[#This Row],[PRECIO INSTALLER (CON IVA)]]-Tabla229[[#This Row],[Columna43]]</f>
        <v>163400</v>
      </c>
      <c r="E32" s="12">
        <f>+Tabla229[[#This Row],[PRECIO INSTALLER (CON IVA)]]/0.7</f>
        <v>245714.28571428574</v>
      </c>
      <c r="F32" s="12">
        <f>+Tabla229[[#This Row],[PRECIO INSTALLER (CON IVA)]]*5%</f>
        <v>8600</v>
      </c>
      <c r="G32" s="11">
        <v>0.85</v>
      </c>
      <c r="H32" s="10">
        <f t="shared" si="0"/>
        <v>146200</v>
      </c>
      <c r="I32" s="19"/>
      <c r="J32" s="19"/>
      <c r="K32" s="15">
        <v>122868</v>
      </c>
    </row>
    <row r="33" spans="1:11" ht="34.5" x14ac:dyDescent="0.25">
      <c r="A33" s="20" t="s">
        <v>23</v>
      </c>
      <c r="B33" s="13" t="s">
        <v>22</v>
      </c>
      <c r="C33" s="12">
        <f>+Tabla229[[#This Row],[Columna6]]/Tabla229[[#This Row],[Columna5]]</f>
        <v>61411.764705882357</v>
      </c>
      <c r="D33" s="12">
        <f>+Tabla229[[#This Row],[PRECIO INSTALLER (CON IVA)]]-Tabla229[[#This Row],[Columna43]]</f>
        <v>58341.176470588238</v>
      </c>
      <c r="E33" s="12">
        <f>+Tabla229[[#This Row],[PRECIO INSTALLER (CON IVA)]]/0.7</f>
        <v>87731.092436974795</v>
      </c>
      <c r="F33" s="12">
        <f>+Tabla229[[#This Row],[PRECIO INSTALLER (CON IVA)]]*5%</f>
        <v>3070.588235294118</v>
      </c>
      <c r="G33" s="11">
        <v>0.85</v>
      </c>
      <c r="H33" s="10">
        <f t="shared" si="0"/>
        <v>52200</v>
      </c>
      <c r="I33" s="19"/>
      <c r="J33" s="19"/>
      <c r="K33" s="15">
        <v>43800</v>
      </c>
    </row>
    <row r="34" spans="1:11" ht="34.5" x14ac:dyDescent="0.25">
      <c r="A34" s="20" t="s">
        <v>20</v>
      </c>
      <c r="B34" s="13" t="s">
        <v>21</v>
      </c>
      <c r="C34" s="12">
        <f>+Tabla229[[#This Row],[Columna6]]/Tabla229[[#This Row],[Columna5]]</f>
        <v>37882.352941176468</v>
      </c>
      <c r="D34" s="12">
        <f>+Tabla229[[#This Row],[PRECIO INSTALLER (CON IVA)]]-Tabla229[[#This Row],[Columna43]]</f>
        <v>35988.235294117643</v>
      </c>
      <c r="E34" s="12">
        <f>+Tabla229[[#This Row],[PRECIO INSTALLER (CON IVA)]]/0.7</f>
        <v>54117.647058823532</v>
      </c>
      <c r="F34" s="12">
        <f>+Tabla229[[#This Row],[PRECIO INSTALLER (CON IVA)]]*5%</f>
        <v>1894.1176470588234</v>
      </c>
      <c r="G34" s="11">
        <v>0.85</v>
      </c>
      <c r="H34" s="10">
        <f t="shared" si="0"/>
        <v>32200</v>
      </c>
      <c r="I34" s="19"/>
      <c r="J34" s="19"/>
      <c r="K34" s="15">
        <v>27100</v>
      </c>
    </row>
    <row r="35" spans="1:11" ht="34.5" x14ac:dyDescent="0.25">
      <c r="A35" s="20" t="s">
        <v>19</v>
      </c>
      <c r="B35" s="13" t="s">
        <v>18</v>
      </c>
      <c r="C35" s="12">
        <f>+Tabla229[[#This Row],[Columna6]]/Tabla229[[#This Row],[Columna5]]</f>
        <v>31529.411764705885</v>
      </c>
      <c r="D35" s="12">
        <f>+Tabla229[[#This Row],[PRECIO INSTALLER (CON IVA)]]-Tabla229[[#This Row],[Columna43]]</f>
        <v>29952.941176470591</v>
      </c>
      <c r="E35" s="12">
        <f>+Tabla229[[#This Row],[PRECIO INSTALLER (CON IVA)]]/0.7</f>
        <v>45042.016806722699</v>
      </c>
      <c r="F35" s="12">
        <f>+Tabla229[[#This Row],[PRECIO INSTALLER (CON IVA)]]*5%</f>
        <v>1576.4705882352944</v>
      </c>
      <c r="G35" s="11">
        <v>0.85</v>
      </c>
      <c r="H35" s="10">
        <f t="shared" si="0"/>
        <v>26800</v>
      </c>
      <c r="I35" s="19"/>
      <c r="J35" s="19"/>
      <c r="K35" s="15">
        <v>22522</v>
      </c>
    </row>
    <row r="36" spans="1:11" ht="34.5" x14ac:dyDescent="0.25">
      <c r="A36" s="20" t="s">
        <v>17</v>
      </c>
      <c r="B36" s="13" t="s">
        <v>16</v>
      </c>
      <c r="C36" s="12">
        <f>+Tabla229[[#This Row],[Columna6]]/Tabla229[[#This Row],[Columna5]]</f>
        <v>26117.647058823532</v>
      </c>
      <c r="D36" s="12">
        <f>+Tabla229[[#This Row],[PRECIO INSTALLER (CON IVA)]]-Tabla229[[#This Row],[Columna43]]</f>
        <v>24811.764705882357</v>
      </c>
      <c r="E36" s="12">
        <f>+Tabla229[[#This Row],[PRECIO INSTALLER (CON IVA)]]/0.7</f>
        <v>37310.924369747903</v>
      </c>
      <c r="F36" s="12">
        <f>+Tabla229[[#This Row],[PRECIO INSTALLER (CON IVA)]]*5%</f>
        <v>1305.8823529411766</v>
      </c>
      <c r="G36" s="11">
        <v>0.85</v>
      </c>
      <c r="H36" s="10">
        <f t="shared" si="0"/>
        <v>22200</v>
      </c>
      <c r="I36" s="19"/>
      <c r="J36" s="19"/>
      <c r="K36" s="15">
        <v>18686</v>
      </c>
    </row>
    <row r="37" spans="1:11" ht="51.75" x14ac:dyDescent="0.25">
      <c r="A37" s="18" t="s">
        <v>15</v>
      </c>
      <c r="B37" s="13" t="s">
        <v>14</v>
      </c>
      <c r="C37" s="12">
        <f>+Tabla229[[#This Row],[Columna6]]/Tabla229[[#This Row],[Columna5]]</f>
        <v>142117.64705882352</v>
      </c>
      <c r="D37" s="12">
        <f>+Tabla229[[#This Row],[PRECIO INSTALLER (CON IVA)]]-Tabla229[[#This Row],[Columna43]]</f>
        <v>135011.76470588235</v>
      </c>
      <c r="E37" s="12">
        <f>+Tabla229[[#This Row],[PRECIO INSTALLER (CON IVA)]]/0.7</f>
        <v>203025.21008403361</v>
      </c>
      <c r="F37" s="12">
        <f>+Tabla229[[#This Row],[PRECIO INSTALLER (CON IVA)]]*5%</f>
        <v>7105.8823529411766</v>
      </c>
      <c r="G37" s="11">
        <v>0.85</v>
      </c>
      <c r="H37" s="10">
        <f t="shared" si="0"/>
        <v>120800</v>
      </c>
      <c r="I37" s="19"/>
      <c r="J37" s="19"/>
      <c r="K37" s="15">
        <v>101545</v>
      </c>
    </row>
    <row r="38" spans="1:11" ht="51.75" x14ac:dyDescent="0.25">
      <c r="A38" s="20" t="s">
        <v>13</v>
      </c>
      <c r="B38" s="13" t="s">
        <v>12</v>
      </c>
      <c r="C38" s="12">
        <f>+Tabla229[[#This Row],[Columna6]]/Tabla229[[#This Row],[Columna5]]</f>
        <v>302588.23529411765</v>
      </c>
      <c r="D38" s="12">
        <f>+Tabla229[[#This Row],[PRECIO INSTALLER (CON IVA)]]-Tabla229[[#This Row],[Columna43]]</f>
        <v>287458.82352941175</v>
      </c>
      <c r="E38" s="12">
        <f>+Tabla229[[#This Row],[PRECIO INSTALLER (CON IVA)]]/0.7</f>
        <v>432268.90756302525</v>
      </c>
      <c r="F38" s="12">
        <f>+Tabla229[[#This Row],[PRECIO INSTALLER (CON IVA)]]*5%</f>
        <v>15129.411764705883</v>
      </c>
      <c r="G38" s="11">
        <v>0.85</v>
      </c>
      <c r="H38" s="10">
        <f t="shared" si="0"/>
        <v>257200</v>
      </c>
      <c r="I38" s="19"/>
      <c r="J38" s="19"/>
      <c r="K38" s="15">
        <v>216200</v>
      </c>
    </row>
    <row r="39" spans="1:11" ht="51.75" x14ac:dyDescent="0.25">
      <c r="A39" s="20" t="s">
        <v>11</v>
      </c>
      <c r="B39" s="13" t="s">
        <v>10</v>
      </c>
      <c r="C39" s="12">
        <f>+Tabla229[[#This Row],[Columna6]]/Tabla229[[#This Row],[Columna5]]</f>
        <v>174823.5294117647</v>
      </c>
      <c r="D39" s="12">
        <f>+Tabla229[[#This Row],[PRECIO INSTALLER (CON IVA)]]-Tabla229[[#This Row],[Columna43]]</f>
        <v>166082.35294117648</v>
      </c>
      <c r="E39" s="12">
        <f>+Tabla229[[#This Row],[PRECIO INSTALLER (CON IVA)]]/0.7</f>
        <v>249747.89915966388</v>
      </c>
      <c r="F39" s="12">
        <f>+Tabla229[[#This Row],[PRECIO INSTALLER (CON IVA)]]*5%</f>
        <v>8741.176470588236</v>
      </c>
      <c r="G39" s="11">
        <v>0.85</v>
      </c>
      <c r="H39" s="10">
        <f t="shared" si="0"/>
        <v>148600</v>
      </c>
      <c r="I39" s="19"/>
      <c r="J39" s="19"/>
      <c r="K39" s="15">
        <v>124900</v>
      </c>
    </row>
    <row r="40" spans="1:11" ht="51.75" x14ac:dyDescent="0.25">
      <c r="A40" s="20" t="s">
        <v>9</v>
      </c>
      <c r="B40" s="13" t="s">
        <v>8</v>
      </c>
      <c r="C40" s="12">
        <f>+Tabla229[[#This Row],[Columna6]]/Tabla229[[#This Row],[Columna5]]</f>
        <v>124705.88235294117</v>
      </c>
      <c r="D40" s="12">
        <f>+Tabla229[[#This Row],[PRECIO INSTALLER (CON IVA)]]-Tabla229[[#This Row],[Columna43]]</f>
        <v>118470.58823529411</v>
      </c>
      <c r="E40" s="12">
        <f>+Tabla229[[#This Row],[PRECIO INSTALLER (CON IVA)]]/0.7</f>
        <v>178151.26050420169</v>
      </c>
      <c r="F40" s="12">
        <f>+Tabla229[[#This Row],[PRECIO INSTALLER (CON IVA)]]*5%</f>
        <v>6235.2941176470595</v>
      </c>
      <c r="G40" s="11">
        <v>0.85</v>
      </c>
      <c r="H40" s="10">
        <f t="shared" si="0"/>
        <v>106000</v>
      </c>
      <c r="I40" s="19"/>
      <c r="J40" s="19"/>
      <c r="K40" s="15">
        <v>89144</v>
      </c>
    </row>
    <row r="41" spans="1:11" ht="34.5" x14ac:dyDescent="0.25">
      <c r="A41" s="20" t="s">
        <v>7</v>
      </c>
      <c r="B41" s="13" t="s">
        <v>6</v>
      </c>
      <c r="C41" s="12">
        <f>+Tabla229[[#This Row],[Columna6]]/Tabla229[[#This Row],[Columna5]]</f>
        <v>61176.470588235294</v>
      </c>
      <c r="D41" s="12">
        <f>+Tabla229[[#This Row],[PRECIO INSTALLER (CON IVA)]]-Tabla229[[#This Row],[Columna43]]</f>
        <v>58117.647058823532</v>
      </c>
      <c r="E41" s="12">
        <f>+Tabla229[[#This Row],[PRECIO INSTALLER (CON IVA)]]/0.7</f>
        <v>87394.957983193279</v>
      </c>
      <c r="F41" s="12">
        <f>+Tabla229[[#This Row],[PRECIO INSTALLER (CON IVA)]]*5%</f>
        <v>3058.8235294117649</v>
      </c>
      <c r="G41" s="11">
        <v>0.85</v>
      </c>
      <c r="H41" s="10">
        <f t="shared" si="0"/>
        <v>52000</v>
      </c>
      <c r="I41" s="19"/>
      <c r="J41" s="19"/>
      <c r="K41" s="15">
        <v>43730</v>
      </c>
    </row>
    <row r="42" spans="1:11" ht="51.75" x14ac:dyDescent="0.25">
      <c r="A42" s="18" t="s">
        <v>5</v>
      </c>
      <c r="B42" s="13" t="s">
        <v>4</v>
      </c>
      <c r="C42" s="12">
        <f>+Tabla229[[#This Row],[Columna6]]/Tabla229[[#This Row],[Columna5]]</f>
        <v>138823.5294117647</v>
      </c>
      <c r="D42" s="12">
        <f>+Tabla229[[#This Row],[PRECIO INSTALLER (CON IVA)]]-Tabla229[[#This Row],[Columna43]]</f>
        <v>131882.35294117648</v>
      </c>
      <c r="E42" s="12">
        <f>+Tabla229[[#This Row],[PRECIO INSTALLER (CON IVA)]]/0.7</f>
        <v>198319.32773109243</v>
      </c>
      <c r="F42" s="12">
        <f>+Tabla229[[#This Row],[PRECIO INSTALLER (CON IVA)]]*5%</f>
        <v>6941.1764705882351</v>
      </c>
      <c r="G42" s="11">
        <v>0.85</v>
      </c>
      <c r="H42" s="10">
        <f t="shared" si="0"/>
        <v>118000</v>
      </c>
      <c r="I42" s="17"/>
      <c r="J42" s="16"/>
      <c r="K42" s="15">
        <v>99100</v>
      </c>
    </row>
    <row r="43" spans="1:11" ht="34.5" x14ac:dyDescent="0.25">
      <c r="A43" s="14" t="s">
        <v>32</v>
      </c>
      <c r="B43" s="13" t="s">
        <v>3</v>
      </c>
      <c r="C43" s="12">
        <f>+Tabla229[[#This Row],[Columna6]]/Tabla229[[#This Row],[Columna5]]</f>
        <v>339294.11764705885</v>
      </c>
      <c r="D43" s="12">
        <f>+Tabla229[[#This Row],[PRECIO INSTALLER (CON IVA)]]-Tabla229[[#This Row],[Columna43]]</f>
        <v>322329.4117647059</v>
      </c>
      <c r="E43" s="12">
        <f>+Tabla229[[#This Row],[PRECIO INSTALLER (CON IVA)]]/0.7</f>
        <v>484705.88235294126</v>
      </c>
      <c r="F43" s="12">
        <f>+Tabla229[[#This Row],[PRECIO INSTALLER (CON IVA)]]*5%</f>
        <v>16964.705882352944</v>
      </c>
      <c r="G43" s="11">
        <v>0.85</v>
      </c>
      <c r="H43" s="10">
        <f t="shared" si="0"/>
        <v>288400</v>
      </c>
      <c r="I43" s="9"/>
      <c r="J43" s="9"/>
      <c r="K43" s="8">
        <v>242349</v>
      </c>
    </row>
    <row r="44" spans="1:11" ht="51.75" x14ac:dyDescent="0.25">
      <c r="A44" s="14" t="s">
        <v>2</v>
      </c>
      <c r="B44" s="13" t="s">
        <v>1</v>
      </c>
      <c r="C44" s="12">
        <f>+Tabla229[[#This Row],[Columna6]]/Tabla229[[#This Row],[Columna5]]</f>
        <v>168000</v>
      </c>
      <c r="D44" s="12">
        <f>+Tabla229[[#This Row],[PRECIO INSTALLER (CON IVA)]]-Tabla229[[#This Row],[Columna43]]</f>
        <v>159600</v>
      </c>
      <c r="E44" s="12">
        <f>+Tabla229[[#This Row],[PRECIO INSTALLER (CON IVA)]]/0.7</f>
        <v>240000.00000000003</v>
      </c>
      <c r="F44" s="12">
        <f>+Tabla229[[#This Row],[PRECIO INSTALLER (CON IVA)]]*5%</f>
        <v>8400</v>
      </c>
      <c r="G44" s="11">
        <v>0.85</v>
      </c>
      <c r="H44" s="10">
        <f t="shared" si="0"/>
        <v>142800</v>
      </c>
      <c r="I44" s="9"/>
      <c r="J44" s="9"/>
      <c r="K44" s="8">
        <v>120000</v>
      </c>
    </row>
    <row r="142" spans="12:12" x14ac:dyDescent="0.2">
      <c r="L142" s="2" t="s">
        <v>0</v>
      </c>
    </row>
    <row r="143" spans="12:12" x14ac:dyDescent="0.2">
      <c r="L143" s="2" t="s">
        <v>0</v>
      </c>
    </row>
    <row r="144" spans="12:12" x14ac:dyDescent="0.2">
      <c r="L144" s="2" t="s">
        <v>0</v>
      </c>
    </row>
    <row r="145" spans="12:12" x14ac:dyDescent="0.2">
      <c r="L145" s="2" t="s">
        <v>0</v>
      </c>
    </row>
    <row r="146" spans="12:12" x14ac:dyDescent="0.2">
      <c r="L146" s="2" t="s">
        <v>0</v>
      </c>
    </row>
    <row r="147" spans="12:12" x14ac:dyDescent="0.2">
      <c r="L147" s="2" t="s">
        <v>0</v>
      </c>
    </row>
    <row r="148" spans="12:12" x14ac:dyDescent="0.2">
      <c r="L148" s="2" t="s">
        <v>0</v>
      </c>
    </row>
    <row r="149" spans="12:12" x14ac:dyDescent="0.2">
      <c r="L149" s="2" t="s">
        <v>0</v>
      </c>
    </row>
    <row r="150" spans="12:12" x14ac:dyDescent="0.2">
      <c r="L150" s="2" t="s">
        <v>0</v>
      </c>
    </row>
    <row r="151" spans="12:12" x14ac:dyDescent="0.2">
      <c r="L151" s="2" t="s">
        <v>0</v>
      </c>
    </row>
    <row r="152" spans="12:12" x14ac:dyDescent="0.2">
      <c r="L152" s="2" t="s">
        <v>0</v>
      </c>
    </row>
    <row r="153" spans="12:12" x14ac:dyDescent="0.2">
      <c r="L153" s="2" t="s">
        <v>0</v>
      </c>
    </row>
    <row r="154" spans="12:12" x14ac:dyDescent="0.2">
      <c r="L154" s="2" t="s">
        <v>0</v>
      </c>
    </row>
    <row r="155" spans="12:12" x14ac:dyDescent="0.2">
      <c r="L155" s="2" t="s">
        <v>0</v>
      </c>
    </row>
    <row r="156" spans="12:12" x14ac:dyDescent="0.2">
      <c r="L156" s="2" t="s">
        <v>0</v>
      </c>
    </row>
    <row r="157" spans="12:12" x14ac:dyDescent="0.2">
      <c r="L157" s="2" t="s">
        <v>0</v>
      </c>
    </row>
    <row r="158" spans="12:12" x14ac:dyDescent="0.2">
      <c r="L158" s="2" t="s">
        <v>0</v>
      </c>
    </row>
    <row r="159" spans="12:12" x14ac:dyDescent="0.2">
      <c r="L159" s="2" t="s">
        <v>0</v>
      </c>
    </row>
    <row r="160" spans="12:12" x14ac:dyDescent="0.2">
      <c r="L160" s="2" t="s">
        <v>0</v>
      </c>
    </row>
    <row r="161" spans="12:12" x14ac:dyDescent="0.2">
      <c r="L161" s="2" t="s">
        <v>0</v>
      </c>
    </row>
    <row r="162" spans="12:12" x14ac:dyDescent="0.2">
      <c r="L162" s="2" t="s">
        <v>0</v>
      </c>
    </row>
    <row r="163" spans="12:12" x14ac:dyDescent="0.2">
      <c r="L163" s="2" t="s">
        <v>0</v>
      </c>
    </row>
    <row r="164" spans="12:12" x14ac:dyDescent="0.2">
      <c r="L164" s="2" t="s">
        <v>0</v>
      </c>
    </row>
    <row r="165" spans="12:12" x14ac:dyDescent="0.2">
      <c r="L165" s="2" t="s">
        <v>0</v>
      </c>
    </row>
    <row r="166" spans="12:12" x14ac:dyDescent="0.2">
      <c r="L166" s="2" t="s">
        <v>0</v>
      </c>
    </row>
    <row r="167" spans="12:12" x14ac:dyDescent="0.2">
      <c r="L167" s="2" t="s">
        <v>0</v>
      </c>
    </row>
    <row r="168" spans="12:12" x14ac:dyDescent="0.2">
      <c r="L168" s="2" t="s">
        <v>0</v>
      </c>
    </row>
    <row r="169" spans="12:12" x14ac:dyDescent="0.2">
      <c r="L169" s="2" t="s">
        <v>0</v>
      </c>
    </row>
    <row r="170" spans="12:12" x14ac:dyDescent="0.2">
      <c r="L170" s="2" t="s">
        <v>0</v>
      </c>
    </row>
    <row r="171" spans="12:12" x14ac:dyDescent="0.2">
      <c r="L171" s="2" t="s">
        <v>0</v>
      </c>
    </row>
    <row r="172" spans="12:12" x14ac:dyDescent="0.2">
      <c r="L172" s="2" t="s">
        <v>0</v>
      </c>
    </row>
    <row r="173" spans="12:12" x14ac:dyDescent="0.2">
      <c r="L173" s="2" t="s">
        <v>0</v>
      </c>
    </row>
    <row r="174" spans="12:12" x14ac:dyDescent="0.2">
      <c r="L174" s="2" t="s">
        <v>0</v>
      </c>
    </row>
    <row r="175" spans="12:12" x14ac:dyDescent="0.2">
      <c r="L175" s="2" t="s">
        <v>0</v>
      </c>
    </row>
    <row r="176" spans="12:12" x14ac:dyDescent="0.2">
      <c r="L176" s="2" t="s">
        <v>0</v>
      </c>
    </row>
    <row r="177" spans="12:12" x14ac:dyDescent="0.2">
      <c r="L177" s="2" t="s">
        <v>0</v>
      </c>
    </row>
    <row r="178" spans="12:12" x14ac:dyDescent="0.2">
      <c r="L178" s="2" t="s">
        <v>0</v>
      </c>
    </row>
    <row r="179" spans="12:12" x14ac:dyDescent="0.2">
      <c r="L179" s="2" t="s">
        <v>0</v>
      </c>
    </row>
    <row r="180" spans="12:12" x14ac:dyDescent="0.2">
      <c r="L180" s="2" t="s">
        <v>0</v>
      </c>
    </row>
    <row r="181" spans="12:12" x14ac:dyDescent="0.2">
      <c r="L181" s="2" t="s">
        <v>0</v>
      </c>
    </row>
    <row r="182" spans="12:12" x14ac:dyDescent="0.2">
      <c r="L182" s="2" t="s">
        <v>0</v>
      </c>
    </row>
    <row r="183" spans="12:12" x14ac:dyDescent="0.2">
      <c r="L183" s="2" t="s">
        <v>0</v>
      </c>
    </row>
    <row r="184" spans="12:12" x14ac:dyDescent="0.2">
      <c r="L184" s="2" t="s">
        <v>0</v>
      </c>
    </row>
    <row r="185" spans="12:12" x14ac:dyDescent="0.2">
      <c r="L185" s="2" t="s">
        <v>0</v>
      </c>
    </row>
    <row r="186" spans="12:12" x14ac:dyDescent="0.2">
      <c r="L186" s="2" t="s">
        <v>0</v>
      </c>
    </row>
    <row r="187" spans="12:12" x14ac:dyDescent="0.2">
      <c r="L187" s="2" t="s">
        <v>0</v>
      </c>
    </row>
    <row r="188" spans="12:12" x14ac:dyDescent="0.2">
      <c r="L188" s="2" t="s">
        <v>0</v>
      </c>
    </row>
    <row r="189" spans="12:12" x14ac:dyDescent="0.2">
      <c r="L189" s="2" t="s">
        <v>0</v>
      </c>
    </row>
    <row r="190" spans="12:12" x14ac:dyDescent="0.2">
      <c r="L190" s="2" t="s">
        <v>0</v>
      </c>
    </row>
    <row r="191" spans="12:12" x14ac:dyDescent="0.2">
      <c r="L191" s="2" t="s">
        <v>0</v>
      </c>
    </row>
    <row r="192" spans="12:12" x14ac:dyDescent="0.2">
      <c r="L192" s="2" t="s">
        <v>0</v>
      </c>
    </row>
    <row r="193" spans="12:12" x14ac:dyDescent="0.2">
      <c r="L193" s="2" t="s">
        <v>0</v>
      </c>
    </row>
    <row r="194" spans="12:12" x14ac:dyDescent="0.2">
      <c r="L194" s="2" t="s">
        <v>0</v>
      </c>
    </row>
    <row r="195" spans="12:12" x14ac:dyDescent="0.2">
      <c r="L195" s="2" t="s">
        <v>0</v>
      </c>
    </row>
    <row r="196" spans="12:12" x14ac:dyDescent="0.2">
      <c r="L196" s="2" t="s">
        <v>0</v>
      </c>
    </row>
    <row r="197" spans="12:12" x14ac:dyDescent="0.2">
      <c r="L197" s="2" t="s">
        <v>0</v>
      </c>
    </row>
    <row r="198" spans="12:12" x14ac:dyDescent="0.2">
      <c r="L198" s="2" t="s">
        <v>0</v>
      </c>
    </row>
    <row r="199" spans="12:12" x14ac:dyDescent="0.2">
      <c r="L199" s="2" t="s">
        <v>0</v>
      </c>
    </row>
    <row r="200" spans="12:12" x14ac:dyDescent="0.2">
      <c r="L200" s="2" t="s">
        <v>0</v>
      </c>
    </row>
    <row r="201" spans="12:12" x14ac:dyDescent="0.2">
      <c r="L201" s="2" t="s">
        <v>0</v>
      </c>
    </row>
    <row r="202" spans="12:12" x14ac:dyDescent="0.2">
      <c r="L202" s="2" t="s">
        <v>0</v>
      </c>
    </row>
    <row r="203" spans="12:12" x14ac:dyDescent="0.2">
      <c r="L203" s="2" t="s">
        <v>0</v>
      </c>
    </row>
    <row r="204" spans="12:12" x14ac:dyDescent="0.2">
      <c r="L204" s="2" t="s">
        <v>0</v>
      </c>
    </row>
    <row r="205" spans="12:12" x14ac:dyDescent="0.2">
      <c r="L205" s="2" t="s">
        <v>0</v>
      </c>
    </row>
    <row r="206" spans="12:12" x14ac:dyDescent="0.2">
      <c r="L206" s="2" t="s">
        <v>0</v>
      </c>
    </row>
    <row r="207" spans="12:12" x14ac:dyDescent="0.2">
      <c r="L207" s="2" t="s">
        <v>0</v>
      </c>
    </row>
    <row r="208" spans="12:12" x14ac:dyDescent="0.2">
      <c r="L208" s="2" t="s">
        <v>0</v>
      </c>
    </row>
    <row r="209" spans="12:12" x14ac:dyDescent="0.2">
      <c r="L209" s="2" t="s">
        <v>0</v>
      </c>
    </row>
    <row r="210" spans="12:12" x14ac:dyDescent="0.2">
      <c r="L210" s="2" t="s">
        <v>0</v>
      </c>
    </row>
    <row r="211" spans="12:12" x14ac:dyDescent="0.2">
      <c r="L211" s="2" t="s">
        <v>0</v>
      </c>
    </row>
    <row r="212" spans="12:12" x14ac:dyDescent="0.2">
      <c r="L212" s="2" t="s">
        <v>0</v>
      </c>
    </row>
    <row r="213" spans="12:12" x14ac:dyDescent="0.2">
      <c r="L213" s="2" t="s">
        <v>0</v>
      </c>
    </row>
    <row r="214" spans="12:12" x14ac:dyDescent="0.2">
      <c r="L214" s="2" t="s">
        <v>0</v>
      </c>
    </row>
    <row r="215" spans="12:12" x14ac:dyDescent="0.2">
      <c r="L215" s="2" t="s">
        <v>0</v>
      </c>
    </row>
    <row r="216" spans="12:12" x14ac:dyDescent="0.2">
      <c r="L216" s="2" t="s">
        <v>0</v>
      </c>
    </row>
    <row r="217" spans="12:12" x14ac:dyDescent="0.2">
      <c r="L217" s="2" t="s">
        <v>0</v>
      </c>
    </row>
    <row r="218" spans="12:12" x14ac:dyDescent="0.2">
      <c r="L218" s="2" t="s">
        <v>0</v>
      </c>
    </row>
    <row r="219" spans="12:12" x14ac:dyDescent="0.2">
      <c r="L219" s="2" t="s">
        <v>0</v>
      </c>
    </row>
    <row r="220" spans="12:12" x14ac:dyDescent="0.2">
      <c r="L220" s="2" t="s">
        <v>0</v>
      </c>
    </row>
    <row r="221" spans="12:12" x14ac:dyDescent="0.2">
      <c r="L221" s="2" t="s">
        <v>0</v>
      </c>
    </row>
    <row r="222" spans="12:12" x14ac:dyDescent="0.2">
      <c r="L222" s="2" t="s">
        <v>0</v>
      </c>
    </row>
    <row r="223" spans="12:12" x14ac:dyDescent="0.2">
      <c r="L223" s="2" t="s">
        <v>0</v>
      </c>
    </row>
    <row r="224" spans="12:12" x14ac:dyDescent="0.2">
      <c r="L224" s="2" t="s">
        <v>0</v>
      </c>
    </row>
    <row r="225" spans="12:12" x14ac:dyDescent="0.2">
      <c r="L225" s="2" t="s">
        <v>0</v>
      </c>
    </row>
    <row r="226" spans="12:12" x14ac:dyDescent="0.2">
      <c r="L226" s="2" t="s">
        <v>0</v>
      </c>
    </row>
    <row r="227" spans="12:12" x14ac:dyDescent="0.2">
      <c r="L227" s="2" t="s">
        <v>0</v>
      </c>
    </row>
    <row r="228" spans="12:12" x14ac:dyDescent="0.2">
      <c r="L228" s="2" t="s">
        <v>0</v>
      </c>
    </row>
    <row r="229" spans="12:12" x14ac:dyDescent="0.2">
      <c r="L229" s="2" t="s">
        <v>0</v>
      </c>
    </row>
    <row r="230" spans="12:12" x14ac:dyDescent="0.2">
      <c r="L230" s="2" t="s">
        <v>0</v>
      </c>
    </row>
    <row r="231" spans="12:12" x14ac:dyDescent="0.2">
      <c r="L231" s="2" t="s">
        <v>0</v>
      </c>
    </row>
    <row r="232" spans="12:12" x14ac:dyDescent="0.2">
      <c r="L232" s="2" t="s">
        <v>0</v>
      </c>
    </row>
    <row r="233" spans="12:12" x14ac:dyDescent="0.2">
      <c r="L233" s="2" t="s">
        <v>0</v>
      </c>
    </row>
    <row r="234" spans="12:12" x14ac:dyDescent="0.2">
      <c r="L234" s="2" t="s">
        <v>0</v>
      </c>
    </row>
    <row r="235" spans="12:12" x14ac:dyDescent="0.2">
      <c r="L235" s="2" t="s">
        <v>0</v>
      </c>
    </row>
    <row r="236" spans="12:12" x14ac:dyDescent="0.2">
      <c r="L236" s="2" t="s">
        <v>0</v>
      </c>
    </row>
    <row r="237" spans="12:12" x14ac:dyDescent="0.2">
      <c r="L237" s="2" t="s">
        <v>0</v>
      </c>
    </row>
    <row r="238" spans="12:12" x14ac:dyDescent="0.2">
      <c r="L238" s="2" t="s">
        <v>0</v>
      </c>
    </row>
    <row r="239" spans="12:12" x14ac:dyDescent="0.2">
      <c r="L239" s="2" t="s">
        <v>0</v>
      </c>
    </row>
    <row r="240" spans="12:12" x14ac:dyDescent="0.2">
      <c r="L240" s="2" t="s">
        <v>0</v>
      </c>
    </row>
    <row r="241" spans="12:12" x14ac:dyDescent="0.2">
      <c r="L241" s="2" t="s">
        <v>0</v>
      </c>
    </row>
    <row r="242" spans="12:12" x14ac:dyDescent="0.2">
      <c r="L242" s="2" t="s">
        <v>0</v>
      </c>
    </row>
    <row r="243" spans="12:12" x14ac:dyDescent="0.2">
      <c r="L243" s="2" t="s">
        <v>0</v>
      </c>
    </row>
    <row r="244" spans="12:12" x14ac:dyDescent="0.2">
      <c r="L244" s="2" t="s">
        <v>0</v>
      </c>
    </row>
    <row r="245" spans="12:12" x14ac:dyDescent="0.2">
      <c r="L245" s="2" t="s">
        <v>0</v>
      </c>
    </row>
    <row r="246" spans="12:12" x14ac:dyDescent="0.2">
      <c r="L246" s="2" t="s">
        <v>0</v>
      </c>
    </row>
    <row r="247" spans="12:12" x14ac:dyDescent="0.2">
      <c r="L247" s="2" t="s">
        <v>0</v>
      </c>
    </row>
    <row r="248" spans="12:12" x14ac:dyDescent="0.2">
      <c r="L248" s="2" t="s">
        <v>0</v>
      </c>
    </row>
    <row r="249" spans="12:12" x14ac:dyDescent="0.2">
      <c r="L249" s="2" t="s">
        <v>0</v>
      </c>
    </row>
    <row r="250" spans="12:12" x14ac:dyDescent="0.2">
      <c r="L250" s="2" t="s">
        <v>0</v>
      </c>
    </row>
    <row r="251" spans="12:12" x14ac:dyDescent="0.2">
      <c r="L251" s="2" t="s">
        <v>0</v>
      </c>
    </row>
    <row r="252" spans="12:12" x14ac:dyDescent="0.2">
      <c r="L252" s="2" t="s">
        <v>0</v>
      </c>
    </row>
    <row r="253" spans="12:12" x14ac:dyDescent="0.2">
      <c r="L253" s="2" t="s">
        <v>0</v>
      </c>
    </row>
    <row r="254" spans="12:12" x14ac:dyDescent="0.2">
      <c r="L254" s="2" t="s">
        <v>0</v>
      </c>
    </row>
    <row r="255" spans="12:12" x14ac:dyDescent="0.2">
      <c r="L255" s="2" t="s">
        <v>0</v>
      </c>
    </row>
    <row r="256" spans="12:12" x14ac:dyDescent="0.2">
      <c r="L256" s="2" t="s">
        <v>0</v>
      </c>
    </row>
    <row r="257" spans="12:12" x14ac:dyDescent="0.2">
      <c r="L257" s="2" t="s">
        <v>0</v>
      </c>
    </row>
    <row r="258" spans="12:12" x14ac:dyDescent="0.2">
      <c r="L258" s="2" t="s">
        <v>0</v>
      </c>
    </row>
    <row r="259" spans="12:12" x14ac:dyDescent="0.2">
      <c r="L259" s="2" t="s">
        <v>0</v>
      </c>
    </row>
    <row r="260" spans="12:12" x14ac:dyDescent="0.2">
      <c r="L260" s="2" t="s">
        <v>0</v>
      </c>
    </row>
    <row r="261" spans="12:12" x14ac:dyDescent="0.2">
      <c r="L261" s="2" t="s">
        <v>0</v>
      </c>
    </row>
    <row r="262" spans="12:12" x14ac:dyDescent="0.2">
      <c r="L262" s="2" t="s">
        <v>0</v>
      </c>
    </row>
    <row r="263" spans="12:12" x14ac:dyDescent="0.2">
      <c r="L263" s="2" t="s">
        <v>0</v>
      </c>
    </row>
    <row r="264" spans="12:12" x14ac:dyDescent="0.2">
      <c r="L264" s="2" t="s">
        <v>0</v>
      </c>
    </row>
    <row r="265" spans="12:12" x14ac:dyDescent="0.2">
      <c r="L265" s="2" t="s">
        <v>0</v>
      </c>
    </row>
    <row r="266" spans="12:12" x14ac:dyDescent="0.2">
      <c r="L266" s="2" t="s">
        <v>0</v>
      </c>
    </row>
    <row r="267" spans="12:12" x14ac:dyDescent="0.2">
      <c r="L267" s="2" t="s">
        <v>0</v>
      </c>
    </row>
    <row r="268" spans="12:12" x14ac:dyDescent="0.2">
      <c r="L268" s="2" t="s">
        <v>0</v>
      </c>
    </row>
    <row r="269" spans="12:12" x14ac:dyDescent="0.2">
      <c r="L269" s="2" t="s">
        <v>0</v>
      </c>
    </row>
    <row r="270" spans="12:12" x14ac:dyDescent="0.2">
      <c r="L270" s="2" t="s">
        <v>0</v>
      </c>
    </row>
    <row r="271" spans="12:12" x14ac:dyDescent="0.2">
      <c r="L271" s="2" t="s">
        <v>0</v>
      </c>
    </row>
    <row r="272" spans="12:12" x14ac:dyDescent="0.2">
      <c r="L272" s="2" t="s">
        <v>0</v>
      </c>
    </row>
    <row r="273" spans="12:12" x14ac:dyDescent="0.2">
      <c r="L273" s="2" t="s">
        <v>0</v>
      </c>
    </row>
    <row r="274" spans="12:12" x14ac:dyDescent="0.2">
      <c r="L274" s="2" t="s">
        <v>0</v>
      </c>
    </row>
    <row r="275" spans="12:12" x14ac:dyDescent="0.2">
      <c r="L275" s="2" t="s">
        <v>0</v>
      </c>
    </row>
    <row r="276" spans="12:12" x14ac:dyDescent="0.2">
      <c r="L276" s="2" t="s">
        <v>0</v>
      </c>
    </row>
    <row r="277" spans="12:12" x14ac:dyDescent="0.2">
      <c r="L277" s="2" t="s">
        <v>0</v>
      </c>
    </row>
    <row r="278" spans="12:12" x14ac:dyDescent="0.2">
      <c r="L278" s="2" t="s">
        <v>0</v>
      </c>
    </row>
    <row r="279" spans="12:12" x14ac:dyDescent="0.2">
      <c r="L279" s="2" t="s">
        <v>0</v>
      </c>
    </row>
    <row r="280" spans="12:12" x14ac:dyDescent="0.2">
      <c r="L280" s="2" t="s">
        <v>0</v>
      </c>
    </row>
    <row r="281" spans="12:12" x14ac:dyDescent="0.2">
      <c r="L281" s="2" t="s">
        <v>0</v>
      </c>
    </row>
    <row r="282" spans="12:12" x14ac:dyDescent="0.2">
      <c r="L282" s="2" t="s">
        <v>0</v>
      </c>
    </row>
    <row r="283" spans="12:12" x14ac:dyDescent="0.2">
      <c r="L283" s="2" t="s">
        <v>0</v>
      </c>
    </row>
    <row r="284" spans="12:12" x14ac:dyDescent="0.2">
      <c r="L284" s="2" t="s">
        <v>0</v>
      </c>
    </row>
    <row r="285" spans="12:12" x14ac:dyDescent="0.2">
      <c r="L285" s="2" t="s">
        <v>0</v>
      </c>
    </row>
    <row r="286" spans="12:12" x14ac:dyDescent="0.2">
      <c r="L286" s="2" t="s">
        <v>0</v>
      </c>
    </row>
    <row r="287" spans="12:12" x14ac:dyDescent="0.2">
      <c r="L287" s="2" t="s">
        <v>0</v>
      </c>
    </row>
    <row r="288" spans="12:12" x14ac:dyDescent="0.2">
      <c r="L288" s="2" t="s">
        <v>0</v>
      </c>
    </row>
    <row r="289" spans="12:12" x14ac:dyDescent="0.2">
      <c r="L289" s="2" t="s">
        <v>0</v>
      </c>
    </row>
    <row r="290" spans="12:12" x14ac:dyDescent="0.2">
      <c r="L290" s="2" t="s">
        <v>0</v>
      </c>
    </row>
    <row r="291" spans="12:12" x14ac:dyDescent="0.2">
      <c r="L291" s="2" t="s">
        <v>0</v>
      </c>
    </row>
    <row r="292" spans="12:12" x14ac:dyDescent="0.2">
      <c r="L292" s="2" t="s">
        <v>0</v>
      </c>
    </row>
    <row r="293" spans="12:12" x14ac:dyDescent="0.2">
      <c r="L293" s="2" t="s">
        <v>0</v>
      </c>
    </row>
    <row r="294" spans="12:12" x14ac:dyDescent="0.2">
      <c r="L294" s="2" t="s">
        <v>0</v>
      </c>
    </row>
    <row r="295" spans="12:12" x14ac:dyDescent="0.2">
      <c r="L295" s="2" t="s">
        <v>0</v>
      </c>
    </row>
    <row r="296" spans="12:12" x14ac:dyDescent="0.2">
      <c r="L296" s="2" t="s">
        <v>0</v>
      </c>
    </row>
    <row r="297" spans="12:12" x14ac:dyDescent="0.2">
      <c r="L297" s="2" t="s">
        <v>0</v>
      </c>
    </row>
    <row r="298" spans="12:12" x14ac:dyDescent="0.2">
      <c r="L298" s="2" t="s">
        <v>0</v>
      </c>
    </row>
    <row r="299" spans="12:12" x14ac:dyDescent="0.2">
      <c r="L299" s="2" t="s">
        <v>0</v>
      </c>
    </row>
    <row r="300" spans="12:12" x14ac:dyDescent="0.2">
      <c r="L300" s="2" t="s">
        <v>0</v>
      </c>
    </row>
    <row r="301" spans="12:12" x14ac:dyDescent="0.2">
      <c r="L301" s="2" t="s">
        <v>0</v>
      </c>
    </row>
    <row r="302" spans="12:12" x14ac:dyDescent="0.2">
      <c r="L302" s="2" t="s">
        <v>0</v>
      </c>
    </row>
    <row r="303" spans="12:12" x14ac:dyDescent="0.2">
      <c r="L303" s="2" t="s">
        <v>0</v>
      </c>
    </row>
    <row r="304" spans="12:12" x14ac:dyDescent="0.2">
      <c r="L304" s="2" t="s">
        <v>0</v>
      </c>
    </row>
    <row r="305" spans="12:12" x14ac:dyDescent="0.2">
      <c r="L305" s="2" t="s">
        <v>0</v>
      </c>
    </row>
    <row r="306" spans="12:12" x14ac:dyDescent="0.2">
      <c r="L306" s="2" t="s">
        <v>0</v>
      </c>
    </row>
    <row r="307" spans="12:12" x14ac:dyDescent="0.2">
      <c r="L307" s="2" t="s">
        <v>0</v>
      </c>
    </row>
    <row r="308" spans="12:12" x14ac:dyDescent="0.2">
      <c r="L308" s="2" t="s">
        <v>0</v>
      </c>
    </row>
    <row r="309" spans="12:12" x14ac:dyDescent="0.2">
      <c r="L309" s="2" t="s">
        <v>0</v>
      </c>
    </row>
    <row r="310" spans="12:12" x14ac:dyDescent="0.2">
      <c r="L310" s="2" t="s">
        <v>0</v>
      </c>
    </row>
    <row r="311" spans="12:12" x14ac:dyDescent="0.2">
      <c r="L311" s="2" t="s">
        <v>0</v>
      </c>
    </row>
    <row r="312" spans="12:12" x14ac:dyDescent="0.2">
      <c r="L312" s="2" t="s">
        <v>0</v>
      </c>
    </row>
    <row r="313" spans="12:12" x14ac:dyDescent="0.2">
      <c r="L313" s="2" t="s">
        <v>0</v>
      </c>
    </row>
    <row r="314" spans="12:12" x14ac:dyDescent="0.2">
      <c r="L314" s="2" t="s">
        <v>0</v>
      </c>
    </row>
    <row r="315" spans="12:12" x14ac:dyDescent="0.2">
      <c r="L315" s="2" t="s">
        <v>0</v>
      </c>
    </row>
    <row r="316" spans="12:12" x14ac:dyDescent="0.2">
      <c r="L316" s="2" t="s">
        <v>0</v>
      </c>
    </row>
    <row r="317" spans="12:12" x14ac:dyDescent="0.2">
      <c r="L317" s="2" t="s">
        <v>0</v>
      </c>
    </row>
    <row r="318" spans="12:12" x14ac:dyDescent="0.2">
      <c r="L318" s="2" t="s">
        <v>0</v>
      </c>
    </row>
    <row r="319" spans="12:12" x14ac:dyDescent="0.2">
      <c r="L319" s="2" t="s">
        <v>0</v>
      </c>
    </row>
    <row r="320" spans="12:12" x14ac:dyDescent="0.2">
      <c r="L320" s="2" t="s">
        <v>0</v>
      </c>
    </row>
    <row r="321" spans="12:12" x14ac:dyDescent="0.2">
      <c r="L321" s="2" t="s">
        <v>0</v>
      </c>
    </row>
    <row r="322" spans="12:12" x14ac:dyDescent="0.2">
      <c r="L322" s="2" t="s">
        <v>0</v>
      </c>
    </row>
    <row r="323" spans="12:12" x14ac:dyDescent="0.2">
      <c r="L323" s="2" t="s">
        <v>0</v>
      </c>
    </row>
    <row r="324" spans="12:12" x14ac:dyDescent="0.2">
      <c r="L324" s="2" t="s">
        <v>0</v>
      </c>
    </row>
    <row r="325" spans="12:12" x14ac:dyDescent="0.2">
      <c r="L325" s="2" t="s">
        <v>0</v>
      </c>
    </row>
    <row r="326" spans="12:12" x14ac:dyDescent="0.2">
      <c r="L326" s="2" t="s">
        <v>0</v>
      </c>
    </row>
    <row r="327" spans="12:12" x14ac:dyDescent="0.2">
      <c r="L327" s="2" t="s">
        <v>0</v>
      </c>
    </row>
    <row r="328" spans="12:12" x14ac:dyDescent="0.2">
      <c r="L328" s="2" t="s">
        <v>0</v>
      </c>
    </row>
    <row r="329" spans="12:12" x14ac:dyDescent="0.2">
      <c r="L329" s="2" t="s">
        <v>0</v>
      </c>
    </row>
    <row r="330" spans="12:12" x14ac:dyDescent="0.2">
      <c r="L330" s="2" t="s">
        <v>0</v>
      </c>
    </row>
    <row r="331" spans="12:12" x14ac:dyDescent="0.2">
      <c r="L331" s="2" t="s">
        <v>0</v>
      </c>
    </row>
    <row r="332" spans="12:12" x14ac:dyDescent="0.2">
      <c r="L332" s="2" t="s">
        <v>0</v>
      </c>
    </row>
    <row r="333" spans="12:12" x14ac:dyDescent="0.2">
      <c r="L333" s="2" t="s">
        <v>0</v>
      </c>
    </row>
    <row r="334" spans="12:12" x14ac:dyDescent="0.2">
      <c r="L334" s="2" t="s">
        <v>0</v>
      </c>
    </row>
    <row r="335" spans="12:12" x14ac:dyDescent="0.2">
      <c r="L335" s="2" t="s">
        <v>0</v>
      </c>
    </row>
    <row r="336" spans="12:12" x14ac:dyDescent="0.2">
      <c r="L336" s="2" t="s">
        <v>0</v>
      </c>
    </row>
    <row r="337" spans="12:12" x14ac:dyDescent="0.2">
      <c r="L337" s="2" t="s">
        <v>0</v>
      </c>
    </row>
    <row r="338" spans="12:12" x14ac:dyDescent="0.2">
      <c r="L338" s="2" t="s">
        <v>0</v>
      </c>
    </row>
    <row r="339" spans="12:12" x14ac:dyDescent="0.2">
      <c r="L339" s="2" t="s">
        <v>0</v>
      </c>
    </row>
    <row r="340" spans="12:12" x14ac:dyDescent="0.2">
      <c r="L340" s="2" t="s">
        <v>0</v>
      </c>
    </row>
    <row r="341" spans="12:12" x14ac:dyDescent="0.2">
      <c r="L341" s="2" t="s">
        <v>0</v>
      </c>
    </row>
    <row r="342" spans="12:12" x14ac:dyDescent="0.2">
      <c r="L342" s="2" t="s">
        <v>0</v>
      </c>
    </row>
    <row r="343" spans="12:12" x14ac:dyDescent="0.2">
      <c r="L343" s="2" t="s">
        <v>0</v>
      </c>
    </row>
    <row r="344" spans="12:12" x14ac:dyDescent="0.2">
      <c r="L344" s="2" t="s">
        <v>0</v>
      </c>
    </row>
    <row r="345" spans="12:12" x14ac:dyDescent="0.2">
      <c r="L345" s="2" t="s">
        <v>0</v>
      </c>
    </row>
    <row r="346" spans="12:12" x14ac:dyDescent="0.2">
      <c r="L346" s="2" t="s">
        <v>0</v>
      </c>
    </row>
    <row r="347" spans="12:12" x14ac:dyDescent="0.2">
      <c r="L347" s="2" t="s">
        <v>0</v>
      </c>
    </row>
    <row r="348" spans="12:12" x14ac:dyDescent="0.2">
      <c r="L348" s="2" t="s">
        <v>0</v>
      </c>
    </row>
    <row r="349" spans="12:12" x14ac:dyDescent="0.2">
      <c r="L349" s="2" t="s">
        <v>0</v>
      </c>
    </row>
    <row r="350" spans="12:12" x14ac:dyDescent="0.2">
      <c r="L350" s="2" t="s">
        <v>0</v>
      </c>
    </row>
    <row r="351" spans="12:12" x14ac:dyDescent="0.2">
      <c r="L351" s="2" t="s">
        <v>0</v>
      </c>
    </row>
    <row r="352" spans="12:12" x14ac:dyDescent="0.2">
      <c r="L352" s="2" t="s">
        <v>0</v>
      </c>
    </row>
    <row r="353" spans="12:12" x14ac:dyDescent="0.2">
      <c r="L353" s="2" t="s">
        <v>0</v>
      </c>
    </row>
    <row r="354" spans="12:12" x14ac:dyDescent="0.2">
      <c r="L354" s="2" t="s">
        <v>0</v>
      </c>
    </row>
    <row r="355" spans="12:12" x14ac:dyDescent="0.2">
      <c r="L355" s="2" t="s">
        <v>0</v>
      </c>
    </row>
    <row r="356" spans="12:12" x14ac:dyDescent="0.2">
      <c r="L356" s="2" t="s">
        <v>0</v>
      </c>
    </row>
    <row r="357" spans="12:12" x14ac:dyDescent="0.2">
      <c r="L357" s="2" t="s">
        <v>0</v>
      </c>
    </row>
    <row r="358" spans="12:12" x14ac:dyDescent="0.2">
      <c r="L358" s="2" t="s">
        <v>0</v>
      </c>
    </row>
    <row r="359" spans="12:12" x14ac:dyDescent="0.2">
      <c r="L359" s="2" t="s">
        <v>0</v>
      </c>
    </row>
    <row r="360" spans="12:12" x14ac:dyDescent="0.2">
      <c r="L360" s="2" t="s">
        <v>0</v>
      </c>
    </row>
    <row r="361" spans="12:12" x14ac:dyDescent="0.2">
      <c r="L361" s="2" t="s">
        <v>0</v>
      </c>
    </row>
    <row r="362" spans="12:12" x14ac:dyDescent="0.2">
      <c r="L362" s="2" t="s">
        <v>0</v>
      </c>
    </row>
    <row r="363" spans="12:12" x14ac:dyDescent="0.2">
      <c r="L363" s="2" t="s">
        <v>0</v>
      </c>
    </row>
    <row r="364" spans="12:12" x14ac:dyDescent="0.2">
      <c r="L364" s="2" t="s">
        <v>0</v>
      </c>
    </row>
    <row r="365" spans="12:12" x14ac:dyDescent="0.2">
      <c r="L365" s="2" t="s">
        <v>0</v>
      </c>
    </row>
    <row r="366" spans="12:12" x14ac:dyDescent="0.2">
      <c r="L366" s="2" t="s">
        <v>0</v>
      </c>
    </row>
    <row r="367" spans="12:12" x14ac:dyDescent="0.2">
      <c r="L367" s="2" t="s">
        <v>0</v>
      </c>
    </row>
    <row r="368" spans="12:12" x14ac:dyDescent="0.2">
      <c r="L368" s="2" t="s">
        <v>0</v>
      </c>
    </row>
    <row r="369" spans="12:12" x14ac:dyDescent="0.2">
      <c r="L369" s="2" t="s">
        <v>0</v>
      </c>
    </row>
    <row r="370" spans="12:12" x14ac:dyDescent="0.2">
      <c r="L370" s="2" t="s">
        <v>0</v>
      </c>
    </row>
    <row r="371" spans="12:12" x14ac:dyDescent="0.2">
      <c r="L371" s="2" t="s">
        <v>0</v>
      </c>
    </row>
    <row r="372" spans="12:12" x14ac:dyDescent="0.2">
      <c r="L372" s="2" t="s">
        <v>0</v>
      </c>
    </row>
    <row r="373" spans="12:12" x14ac:dyDescent="0.2">
      <c r="L373" s="2" t="s">
        <v>0</v>
      </c>
    </row>
    <row r="374" spans="12:12" x14ac:dyDescent="0.2">
      <c r="L374" s="2" t="s">
        <v>0</v>
      </c>
    </row>
    <row r="375" spans="12:12" x14ac:dyDescent="0.2">
      <c r="L375" s="2" t="s">
        <v>0</v>
      </c>
    </row>
    <row r="376" spans="12:12" x14ac:dyDescent="0.2">
      <c r="L376" s="2" t="s">
        <v>0</v>
      </c>
    </row>
    <row r="377" spans="12:12" x14ac:dyDescent="0.2">
      <c r="L377" s="2" t="s">
        <v>0</v>
      </c>
    </row>
    <row r="378" spans="12:12" x14ac:dyDescent="0.2">
      <c r="L378" s="2" t="s">
        <v>0</v>
      </c>
    </row>
    <row r="379" spans="12:12" x14ac:dyDescent="0.2">
      <c r="L379" s="2" t="s">
        <v>0</v>
      </c>
    </row>
    <row r="380" spans="12:12" x14ac:dyDescent="0.2">
      <c r="L380" s="2" t="s">
        <v>0</v>
      </c>
    </row>
    <row r="381" spans="12:12" x14ac:dyDescent="0.2">
      <c r="L381" s="2" t="s">
        <v>0</v>
      </c>
    </row>
    <row r="382" spans="12:12" x14ac:dyDescent="0.2">
      <c r="L382" s="2" t="s">
        <v>0</v>
      </c>
    </row>
    <row r="383" spans="12:12" x14ac:dyDescent="0.2">
      <c r="L383" s="2" t="s">
        <v>0</v>
      </c>
    </row>
    <row r="384" spans="12:12" x14ac:dyDescent="0.2">
      <c r="L384" s="2" t="s">
        <v>0</v>
      </c>
    </row>
    <row r="385" spans="12:12" x14ac:dyDescent="0.2">
      <c r="L385" s="2" t="s">
        <v>0</v>
      </c>
    </row>
    <row r="386" spans="12:12" x14ac:dyDescent="0.2">
      <c r="L386" s="2" t="s">
        <v>0</v>
      </c>
    </row>
    <row r="387" spans="12:12" x14ac:dyDescent="0.2">
      <c r="L387" s="2" t="s">
        <v>0</v>
      </c>
    </row>
    <row r="388" spans="12:12" x14ac:dyDescent="0.2">
      <c r="L388" s="2" t="s">
        <v>0</v>
      </c>
    </row>
    <row r="389" spans="12:12" x14ac:dyDescent="0.2">
      <c r="L389" s="2" t="s">
        <v>0</v>
      </c>
    </row>
    <row r="390" spans="12:12" x14ac:dyDescent="0.2">
      <c r="L390" s="2" t="s">
        <v>0</v>
      </c>
    </row>
    <row r="391" spans="12:12" x14ac:dyDescent="0.2">
      <c r="L391" s="2" t="s">
        <v>0</v>
      </c>
    </row>
    <row r="392" spans="12:12" x14ac:dyDescent="0.2">
      <c r="L392" s="2" t="s">
        <v>0</v>
      </c>
    </row>
    <row r="393" spans="12:12" x14ac:dyDescent="0.2">
      <c r="L393" s="2" t="s">
        <v>0</v>
      </c>
    </row>
    <row r="394" spans="12:12" x14ac:dyDescent="0.2">
      <c r="L394" s="2" t="s">
        <v>0</v>
      </c>
    </row>
    <row r="395" spans="12:12" x14ac:dyDescent="0.2">
      <c r="L395" s="2" t="s">
        <v>0</v>
      </c>
    </row>
    <row r="396" spans="12:12" x14ac:dyDescent="0.2">
      <c r="L396" s="2" t="s">
        <v>0</v>
      </c>
    </row>
    <row r="397" spans="12:12" x14ac:dyDescent="0.2">
      <c r="L397" s="2" t="s">
        <v>0</v>
      </c>
    </row>
    <row r="398" spans="12:12" x14ac:dyDescent="0.2">
      <c r="L398" s="2" t="s">
        <v>0</v>
      </c>
    </row>
    <row r="399" spans="12:12" x14ac:dyDescent="0.2">
      <c r="L399" s="2" t="s">
        <v>0</v>
      </c>
    </row>
    <row r="400" spans="12:12" x14ac:dyDescent="0.2">
      <c r="L400" s="2" t="s">
        <v>0</v>
      </c>
    </row>
    <row r="401" spans="12:12" x14ac:dyDescent="0.2">
      <c r="L401" s="2" t="s">
        <v>0</v>
      </c>
    </row>
    <row r="402" spans="12:12" x14ac:dyDescent="0.2">
      <c r="L402" s="2" t="s">
        <v>0</v>
      </c>
    </row>
    <row r="403" spans="12:12" x14ac:dyDescent="0.2">
      <c r="L403" s="2" t="s">
        <v>0</v>
      </c>
    </row>
    <row r="404" spans="12:12" x14ac:dyDescent="0.2">
      <c r="L404" s="2" t="s">
        <v>0</v>
      </c>
    </row>
    <row r="405" spans="12:12" x14ac:dyDescent="0.2">
      <c r="L405" s="2" t="s">
        <v>0</v>
      </c>
    </row>
    <row r="406" spans="12:12" x14ac:dyDescent="0.2">
      <c r="L406" s="2" t="s">
        <v>0</v>
      </c>
    </row>
    <row r="407" spans="12:12" x14ac:dyDescent="0.2">
      <c r="L407" s="2" t="s">
        <v>0</v>
      </c>
    </row>
    <row r="408" spans="12:12" x14ac:dyDescent="0.2">
      <c r="L408" s="2" t="s">
        <v>0</v>
      </c>
    </row>
    <row r="409" spans="12:12" x14ac:dyDescent="0.2">
      <c r="L409" s="2" t="s">
        <v>0</v>
      </c>
    </row>
    <row r="410" spans="12:12" x14ac:dyDescent="0.2">
      <c r="L410" s="2" t="s">
        <v>0</v>
      </c>
    </row>
    <row r="411" spans="12:12" x14ac:dyDescent="0.2">
      <c r="L411" s="2" t="s">
        <v>0</v>
      </c>
    </row>
    <row r="412" spans="12:12" x14ac:dyDescent="0.2">
      <c r="L412" s="2" t="s">
        <v>0</v>
      </c>
    </row>
    <row r="413" spans="12:12" x14ac:dyDescent="0.2">
      <c r="L413" s="2" t="s">
        <v>0</v>
      </c>
    </row>
    <row r="414" spans="12:12" x14ac:dyDescent="0.2">
      <c r="L414" s="2" t="s">
        <v>0</v>
      </c>
    </row>
    <row r="415" spans="12:12" x14ac:dyDescent="0.2">
      <c r="L415" s="2" t="s">
        <v>0</v>
      </c>
    </row>
    <row r="416" spans="12:12" x14ac:dyDescent="0.2">
      <c r="L416" s="2" t="s">
        <v>0</v>
      </c>
    </row>
    <row r="417" spans="12:12" x14ac:dyDescent="0.2">
      <c r="L417" s="2" t="s">
        <v>0</v>
      </c>
    </row>
    <row r="418" spans="12:12" x14ac:dyDescent="0.2">
      <c r="L418" s="2" t="s">
        <v>0</v>
      </c>
    </row>
    <row r="419" spans="12:12" x14ac:dyDescent="0.2">
      <c r="L419" s="2" t="s">
        <v>0</v>
      </c>
    </row>
    <row r="420" spans="12:12" x14ac:dyDescent="0.2">
      <c r="L420" s="2" t="s">
        <v>0</v>
      </c>
    </row>
    <row r="421" spans="12:12" x14ac:dyDescent="0.2">
      <c r="L421" s="2" t="s">
        <v>0</v>
      </c>
    </row>
    <row r="422" spans="12:12" x14ac:dyDescent="0.2">
      <c r="L422" s="2" t="s">
        <v>0</v>
      </c>
    </row>
    <row r="423" spans="12:12" x14ac:dyDescent="0.2">
      <c r="L423" s="2" t="s">
        <v>0</v>
      </c>
    </row>
    <row r="424" spans="12:12" x14ac:dyDescent="0.2">
      <c r="L424" s="2" t="s">
        <v>0</v>
      </c>
    </row>
    <row r="425" spans="12:12" x14ac:dyDescent="0.2">
      <c r="L425" s="2" t="s">
        <v>0</v>
      </c>
    </row>
    <row r="426" spans="12:12" x14ac:dyDescent="0.2">
      <c r="L426" s="2" t="s">
        <v>0</v>
      </c>
    </row>
    <row r="427" spans="12:12" x14ac:dyDescent="0.2">
      <c r="L427" s="2" t="s">
        <v>0</v>
      </c>
    </row>
    <row r="428" spans="12:12" x14ac:dyDescent="0.2">
      <c r="L428" s="2" t="s">
        <v>0</v>
      </c>
    </row>
    <row r="429" spans="12:12" x14ac:dyDescent="0.2">
      <c r="L429" s="2" t="s">
        <v>0</v>
      </c>
    </row>
    <row r="430" spans="12:12" x14ac:dyDescent="0.2">
      <c r="L430" s="2" t="s">
        <v>0</v>
      </c>
    </row>
    <row r="431" spans="12:12" x14ac:dyDescent="0.2">
      <c r="L431" s="2" t="s">
        <v>0</v>
      </c>
    </row>
    <row r="432" spans="12:12" x14ac:dyDescent="0.2">
      <c r="L432" s="2" t="s">
        <v>0</v>
      </c>
    </row>
    <row r="433" spans="12:12" x14ac:dyDescent="0.2">
      <c r="L433" s="2" t="s">
        <v>0</v>
      </c>
    </row>
    <row r="434" spans="12:12" x14ac:dyDescent="0.2">
      <c r="L434" s="2" t="s">
        <v>0</v>
      </c>
    </row>
    <row r="435" spans="12:12" x14ac:dyDescent="0.2">
      <c r="L435" s="2" t="s">
        <v>0</v>
      </c>
    </row>
    <row r="436" spans="12:12" x14ac:dyDescent="0.2">
      <c r="L436" s="2" t="s">
        <v>0</v>
      </c>
    </row>
    <row r="437" spans="12:12" x14ac:dyDescent="0.2">
      <c r="L437" s="2" t="s">
        <v>0</v>
      </c>
    </row>
    <row r="438" spans="12:12" x14ac:dyDescent="0.2">
      <c r="L438" s="2" t="s">
        <v>0</v>
      </c>
    </row>
    <row r="439" spans="12:12" x14ac:dyDescent="0.2">
      <c r="L439" s="2" t="s">
        <v>0</v>
      </c>
    </row>
    <row r="440" spans="12:12" x14ac:dyDescent="0.2">
      <c r="L440" s="2" t="s">
        <v>0</v>
      </c>
    </row>
    <row r="441" spans="12:12" x14ac:dyDescent="0.2">
      <c r="L441" s="2" t="s">
        <v>0</v>
      </c>
    </row>
    <row r="442" spans="12:12" x14ac:dyDescent="0.2">
      <c r="L442" s="2" t="s">
        <v>0</v>
      </c>
    </row>
    <row r="443" spans="12:12" x14ac:dyDescent="0.2">
      <c r="L443" s="2" t="s">
        <v>0</v>
      </c>
    </row>
    <row r="444" spans="12:12" x14ac:dyDescent="0.2">
      <c r="L444" s="2" t="s">
        <v>0</v>
      </c>
    </row>
    <row r="445" spans="12:12" x14ac:dyDescent="0.2">
      <c r="L445" s="2" t="s">
        <v>0</v>
      </c>
    </row>
    <row r="446" spans="12:12" x14ac:dyDescent="0.2">
      <c r="L446" s="2" t="s">
        <v>0</v>
      </c>
    </row>
    <row r="447" spans="12:12" x14ac:dyDescent="0.2">
      <c r="L447" s="2" t="s">
        <v>0</v>
      </c>
    </row>
    <row r="448" spans="12:12" x14ac:dyDescent="0.2">
      <c r="L448" s="2" t="s">
        <v>0</v>
      </c>
    </row>
    <row r="449" spans="12:12" x14ac:dyDescent="0.2">
      <c r="L449" s="2" t="s">
        <v>0</v>
      </c>
    </row>
    <row r="450" spans="12:12" x14ac:dyDescent="0.2">
      <c r="L450" s="2" t="s">
        <v>0</v>
      </c>
    </row>
    <row r="451" spans="12:12" x14ac:dyDescent="0.2">
      <c r="L451" s="2" t="s">
        <v>0</v>
      </c>
    </row>
    <row r="452" spans="12:12" x14ac:dyDescent="0.2">
      <c r="L452" s="2" t="s">
        <v>0</v>
      </c>
    </row>
    <row r="453" spans="12:12" x14ac:dyDescent="0.2">
      <c r="L453" s="2" t="s">
        <v>0</v>
      </c>
    </row>
    <row r="454" spans="12:12" x14ac:dyDescent="0.2">
      <c r="L454" s="2" t="s">
        <v>0</v>
      </c>
    </row>
    <row r="455" spans="12:12" x14ac:dyDescent="0.2">
      <c r="L455" s="2" t="s">
        <v>0</v>
      </c>
    </row>
    <row r="456" spans="12:12" x14ac:dyDescent="0.2">
      <c r="L456" s="2" t="s">
        <v>0</v>
      </c>
    </row>
    <row r="457" spans="12:12" x14ac:dyDescent="0.2">
      <c r="L457" s="2" t="s">
        <v>0</v>
      </c>
    </row>
    <row r="458" spans="12:12" x14ac:dyDescent="0.2">
      <c r="L458" s="2" t="s">
        <v>0</v>
      </c>
    </row>
    <row r="459" spans="12:12" x14ac:dyDescent="0.2">
      <c r="L459" s="2" t="s">
        <v>0</v>
      </c>
    </row>
    <row r="460" spans="12:12" x14ac:dyDescent="0.2">
      <c r="L460" s="2" t="s">
        <v>0</v>
      </c>
    </row>
    <row r="461" spans="12:12" x14ac:dyDescent="0.2">
      <c r="L461" s="2" t="s">
        <v>0</v>
      </c>
    </row>
    <row r="462" spans="12:12" x14ac:dyDescent="0.2">
      <c r="L462" s="2" t="s">
        <v>0</v>
      </c>
    </row>
    <row r="463" spans="12:12" x14ac:dyDescent="0.2">
      <c r="L463" s="2" t="s">
        <v>0</v>
      </c>
    </row>
    <row r="464" spans="12:12" x14ac:dyDescent="0.2">
      <c r="L464" s="2" t="s">
        <v>0</v>
      </c>
    </row>
    <row r="465" spans="12:12" x14ac:dyDescent="0.2">
      <c r="L465" s="2" t="s">
        <v>0</v>
      </c>
    </row>
    <row r="466" spans="12:12" x14ac:dyDescent="0.2">
      <c r="L466" s="2" t="s">
        <v>0</v>
      </c>
    </row>
    <row r="467" spans="12:12" x14ac:dyDescent="0.2">
      <c r="L467" s="2" t="s">
        <v>0</v>
      </c>
    </row>
    <row r="468" spans="12:12" x14ac:dyDescent="0.2">
      <c r="L468" s="2" t="s">
        <v>0</v>
      </c>
    </row>
    <row r="469" spans="12:12" x14ac:dyDescent="0.2">
      <c r="L469" s="2" t="s">
        <v>0</v>
      </c>
    </row>
    <row r="470" spans="12:12" x14ac:dyDescent="0.2">
      <c r="L470" s="2" t="s">
        <v>0</v>
      </c>
    </row>
    <row r="471" spans="12:12" x14ac:dyDescent="0.2">
      <c r="L471" s="2" t="s">
        <v>0</v>
      </c>
    </row>
    <row r="472" spans="12:12" x14ac:dyDescent="0.2">
      <c r="L472" s="2" t="s">
        <v>0</v>
      </c>
    </row>
    <row r="473" spans="12:12" x14ac:dyDescent="0.2">
      <c r="L473" s="2" t="s">
        <v>0</v>
      </c>
    </row>
    <row r="474" spans="12:12" x14ac:dyDescent="0.2">
      <c r="L474" s="2" t="s">
        <v>0</v>
      </c>
    </row>
    <row r="475" spans="12:12" x14ac:dyDescent="0.2">
      <c r="L475" s="2" t="s">
        <v>0</v>
      </c>
    </row>
    <row r="476" spans="12:12" x14ac:dyDescent="0.2">
      <c r="L476" s="2" t="s">
        <v>0</v>
      </c>
    </row>
    <row r="477" spans="12:12" x14ac:dyDescent="0.2">
      <c r="L477" s="2" t="s">
        <v>0</v>
      </c>
    </row>
    <row r="478" spans="12:12" x14ac:dyDescent="0.2">
      <c r="L478" s="2" t="s">
        <v>0</v>
      </c>
    </row>
    <row r="479" spans="12:12" x14ac:dyDescent="0.2">
      <c r="L479" s="2" t="s">
        <v>0</v>
      </c>
    </row>
    <row r="480" spans="12:12" x14ac:dyDescent="0.2">
      <c r="L480" s="2" t="s">
        <v>0</v>
      </c>
    </row>
    <row r="481" spans="12:12" x14ac:dyDescent="0.2">
      <c r="L481" s="2" t="s">
        <v>0</v>
      </c>
    </row>
    <row r="482" spans="12:12" x14ac:dyDescent="0.2">
      <c r="L482" s="2" t="s">
        <v>0</v>
      </c>
    </row>
    <row r="483" spans="12:12" x14ac:dyDescent="0.2">
      <c r="L483" s="2" t="s">
        <v>0</v>
      </c>
    </row>
    <row r="484" spans="12:12" x14ac:dyDescent="0.2">
      <c r="L484" s="2" t="s">
        <v>0</v>
      </c>
    </row>
    <row r="485" spans="12:12" x14ac:dyDescent="0.2">
      <c r="L485" s="2" t="s">
        <v>0</v>
      </c>
    </row>
    <row r="486" spans="12:12" x14ac:dyDescent="0.2">
      <c r="L486" s="2" t="s">
        <v>0</v>
      </c>
    </row>
    <row r="487" spans="12:12" x14ac:dyDescent="0.2">
      <c r="L487" s="2" t="s">
        <v>0</v>
      </c>
    </row>
    <row r="488" spans="12:12" x14ac:dyDescent="0.2">
      <c r="L488" s="2" t="s">
        <v>0</v>
      </c>
    </row>
    <row r="489" spans="12:12" x14ac:dyDescent="0.2">
      <c r="L489" s="2" t="s">
        <v>0</v>
      </c>
    </row>
    <row r="490" spans="12:12" x14ac:dyDescent="0.2">
      <c r="L490" s="2" t="s">
        <v>0</v>
      </c>
    </row>
    <row r="491" spans="12:12" x14ac:dyDescent="0.2">
      <c r="L491" s="2" t="s">
        <v>0</v>
      </c>
    </row>
    <row r="492" spans="12:12" x14ac:dyDescent="0.2">
      <c r="L492" s="2" t="s">
        <v>0</v>
      </c>
    </row>
    <row r="493" spans="12:12" x14ac:dyDescent="0.2">
      <c r="L493" s="2" t="s">
        <v>0</v>
      </c>
    </row>
    <row r="494" spans="12:12" x14ac:dyDescent="0.2">
      <c r="L494" s="2" t="s">
        <v>0</v>
      </c>
    </row>
    <row r="495" spans="12:12" x14ac:dyDescent="0.2">
      <c r="L495" s="2" t="s">
        <v>0</v>
      </c>
    </row>
    <row r="496" spans="12:12" x14ac:dyDescent="0.2">
      <c r="L496" s="2" t="s">
        <v>0</v>
      </c>
    </row>
    <row r="497" spans="12:12" x14ac:dyDescent="0.2">
      <c r="L497" s="2" t="s">
        <v>0</v>
      </c>
    </row>
    <row r="498" spans="12:12" x14ac:dyDescent="0.2">
      <c r="L498" s="2" t="s">
        <v>0</v>
      </c>
    </row>
    <row r="499" spans="12:12" x14ac:dyDescent="0.2">
      <c r="L499" s="2" t="s">
        <v>0</v>
      </c>
    </row>
    <row r="500" spans="12:12" x14ac:dyDescent="0.2">
      <c r="L500" s="2" t="s">
        <v>0</v>
      </c>
    </row>
    <row r="501" spans="12:12" x14ac:dyDescent="0.2">
      <c r="L501" s="2" t="s">
        <v>0</v>
      </c>
    </row>
    <row r="502" spans="12:12" x14ac:dyDescent="0.2">
      <c r="L502" s="2" t="s">
        <v>0</v>
      </c>
    </row>
    <row r="503" spans="12:12" x14ac:dyDescent="0.2">
      <c r="L503" s="2" t="s">
        <v>0</v>
      </c>
    </row>
    <row r="504" spans="12:12" x14ac:dyDescent="0.2">
      <c r="L504" s="2" t="s">
        <v>0</v>
      </c>
    </row>
    <row r="505" spans="12:12" x14ac:dyDescent="0.2">
      <c r="L505" s="2" t="s">
        <v>0</v>
      </c>
    </row>
    <row r="506" spans="12:12" x14ac:dyDescent="0.2">
      <c r="L506" s="2" t="s">
        <v>0</v>
      </c>
    </row>
    <row r="507" spans="12:12" x14ac:dyDescent="0.2">
      <c r="L507" s="2" t="s">
        <v>0</v>
      </c>
    </row>
    <row r="508" spans="12:12" x14ac:dyDescent="0.2">
      <c r="L508" s="2" t="s">
        <v>0</v>
      </c>
    </row>
    <row r="509" spans="12:12" x14ac:dyDescent="0.2">
      <c r="L509" s="2" t="s">
        <v>0</v>
      </c>
    </row>
    <row r="510" spans="12:12" x14ac:dyDescent="0.2">
      <c r="L510" s="2" t="s">
        <v>0</v>
      </c>
    </row>
    <row r="511" spans="12:12" x14ac:dyDescent="0.2">
      <c r="L511" s="2" t="s">
        <v>0</v>
      </c>
    </row>
    <row r="512" spans="12:12" x14ac:dyDescent="0.2">
      <c r="L512" s="2" t="s">
        <v>0</v>
      </c>
    </row>
    <row r="513" spans="12:12" x14ac:dyDescent="0.2">
      <c r="L513" s="2" t="s">
        <v>0</v>
      </c>
    </row>
    <row r="514" spans="12:12" x14ac:dyDescent="0.2">
      <c r="L514" s="2" t="s">
        <v>0</v>
      </c>
    </row>
    <row r="515" spans="12:12" x14ac:dyDescent="0.2">
      <c r="L515" s="2" t="s">
        <v>0</v>
      </c>
    </row>
    <row r="516" spans="12:12" x14ac:dyDescent="0.2">
      <c r="L516" s="2" t="s">
        <v>0</v>
      </c>
    </row>
    <row r="517" spans="12:12" x14ac:dyDescent="0.2">
      <c r="L517" s="2" t="s">
        <v>0</v>
      </c>
    </row>
    <row r="518" spans="12:12" x14ac:dyDescent="0.2">
      <c r="L518" s="2" t="s">
        <v>0</v>
      </c>
    </row>
    <row r="519" spans="12:12" x14ac:dyDescent="0.2">
      <c r="L519" s="2" t="s">
        <v>0</v>
      </c>
    </row>
    <row r="520" spans="12:12" x14ac:dyDescent="0.2">
      <c r="L520" s="2" t="s">
        <v>0</v>
      </c>
    </row>
    <row r="521" spans="12:12" x14ac:dyDescent="0.2">
      <c r="L521" s="2" t="s">
        <v>0</v>
      </c>
    </row>
    <row r="522" spans="12:12" x14ac:dyDescent="0.2">
      <c r="L522" s="2" t="s">
        <v>0</v>
      </c>
    </row>
    <row r="523" spans="12:12" x14ac:dyDescent="0.2">
      <c r="L523" s="2" t="s">
        <v>0</v>
      </c>
    </row>
    <row r="524" spans="12:12" x14ac:dyDescent="0.2">
      <c r="L524" s="2" t="s">
        <v>0</v>
      </c>
    </row>
    <row r="525" spans="12:12" x14ac:dyDescent="0.2">
      <c r="L525" s="2" t="s">
        <v>0</v>
      </c>
    </row>
    <row r="526" spans="12:12" x14ac:dyDescent="0.2">
      <c r="L526" s="2" t="s">
        <v>0</v>
      </c>
    </row>
    <row r="527" spans="12:12" x14ac:dyDescent="0.2">
      <c r="L527" s="2" t="s">
        <v>0</v>
      </c>
    </row>
    <row r="528" spans="12:12" x14ac:dyDescent="0.2">
      <c r="L528" s="2" t="s">
        <v>0</v>
      </c>
    </row>
    <row r="529" spans="12:12" x14ac:dyDescent="0.2">
      <c r="L529" s="2" t="s">
        <v>0</v>
      </c>
    </row>
    <row r="530" spans="12:12" x14ac:dyDescent="0.2">
      <c r="L530" s="2" t="s">
        <v>0</v>
      </c>
    </row>
    <row r="531" spans="12:12" x14ac:dyDescent="0.2">
      <c r="L531" s="2" t="s">
        <v>0</v>
      </c>
    </row>
    <row r="532" spans="12:12" x14ac:dyDescent="0.2">
      <c r="L532" s="2" t="s">
        <v>0</v>
      </c>
    </row>
    <row r="533" spans="12:12" x14ac:dyDescent="0.2">
      <c r="L533" s="2" t="s">
        <v>0</v>
      </c>
    </row>
    <row r="534" spans="12:12" x14ac:dyDescent="0.2">
      <c r="L534" s="2" t="s">
        <v>0</v>
      </c>
    </row>
    <row r="535" spans="12:12" x14ac:dyDescent="0.2">
      <c r="L535" s="2" t="s">
        <v>0</v>
      </c>
    </row>
    <row r="536" spans="12:12" x14ac:dyDescent="0.2">
      <c r="L536" s="2" t="s">
        <v>0</v>
      </c>
    </row>
    <row r="537" spans="12:12" x14ac:dyDescent="0.2">
      <c r="L537" s="2" t="s">
        <v>0</v>
      </c>
    </row>
    <row r="538" spans="12:12" x14ac:dyDescent="0.2">
      <c r="L538" s="2" t="s">
        <v>0</v>
      </c>
    </row>
    <row r="539" spans="12:12" x14ac:dyDescent="0.2">
      <c r="L539" s="2" t="s">
        <v>0</v>
      </c>
    </row>
    <row r="540" spans="12:12" x14ac:dyDescent="0.2">
      <c r="L540" s="2" t="s">
        <v>0</v>
      </c>
    </row>
    <row r="541" spans="12:12" x14ac:dyDescent="0.2">
      <c r="L541" s="2" t="s">
        <v>0</v>
      </c>
    </row>
    <row r="542" spans="12:12" x14ac:dyDescent="0.2">
      <c r="L542" s="2" t="s">
        <v>0</v>
      </c>
    </row>
    <row r="543" spans="12:12" x14ac:dyDescent="0.2">
      <c r="L543" s="2" t="s">
        <v>0</v>
      </c>
    </row>
    <row r="544" spans="12:12" x14ac:dyDescent="0.2">
      <c r="L544" s="2" t="s">
        <v>0</v>
      </c>
    </row>
    <row r="545" spans="12:12" x14ac:dyDescent="0.2">
      <c r="L545" s="2" t="s">
        <v>0</v>
      </c>
    </row>
    <row r="546" spans="12:12" x14ac:dyDescent="0.2">
      <c r="L546" s="2" t="s">
        <v>0</v>
      </c>
    </row>
    <row r="547" spans="12:12" x14ac:dyDescent="0.2">
      <c r="L547" s="2" t="s">
        <v>0</v>
      </c>
    </row>
    <row r="548" spans="12:12" x14ac:dyDescent="0.2">
      <c r="L548" s="2" t="s">
        <v>0</v>
      </c>
    </row>
    <row r="549" spans="12:12" x14ac:dyDescent="0.2">
      <c r="L549" s="2" t="s">
        <v>0</v>
      </c>
    </row>
    <row r="550" spans="12:12" x14ac:dyDescent="0.2">
      <c r="L550" s="2" t="s">
        <v>0</v>
      </c>
    </row>
    <row r="551" spans="12:12" x14ac:dyDescent="0.2">
      <c r="L551" s="2" t="s">
        <v>0</v>
      </c>
    </row>
    <row r="552" spans="12:12" x14ac:dyDescent="0.2">
      <c r="L552" s="2" t="s">
        <v>0</v>
      </c>
    </row>
    <row r="553" spans="12:12" x14ac:dyDescent="0.2">
      <c r="L553" s="2" t="s">
        <v>0</v>
      </c>
    </row>
    <row r="554" spans="12:12" x14ac:dyDescent="0.2">
      <c r="L554" s="2" t="s">
        <v>0</v>
      </c>
    </row>
    <row r="555" spans="12:12" x14ac:dyDescent="0.2">
      <c r="L555" s="2" t="s">
        <v>0</v>
      </c>
    </row>
    <row r="556" spans="12:12" x14ac:dyDescent="0.2">
      <c r="L556" s="2" t="s">
        <v>0</v>
      </c>
    </row>
    <row r="557" spans="12:12" x14ac:dyDescent="0.2">
      <c r="L557" s="2" t="s">
        <v>0</v>
      </c>
    </row>
    <row r="558" spans="12:12" x14ac:dyDescent="0.2">
      <c r="L558" s="2" t="s">
        <v>0</v>
      </c>
    </row>
    <row r="559" spans="12:12" x14ac:dyDescent="0.2">
      <c r="L559" s="2" t="s">
        <v>0</v>
      </c>
    </row>
    <row r="560" spans="12:12" x14ac:dyDescent="0.2">
      <c r="L560" s="2" t="s">
        <v>0</v>
      </c>
    </row>
    <row r="561" spans="12:12" x14ac:dyDescent="0.2">
      <c r="L561" s="2" t="s">
        <v>0</v>
      </c>
    </row>
    <row r="562" spans="12:12" x14ac:dyDescent="0.2">
      <c r="L562" s="2" t="s">
        <v>0</v>
      </c>
    </row>
    <row r="563" spans="12:12" x14ac:dyDescent="0.2">
      <c r="L563" s="2" t="s">
        <v>0</v>
      </c>
    </row>
    <row r="564" spans="12:12" x14ac:dyDescent="0.2">
      <c r="L564" s="2" t="s">
        <v>0</v>
      </c>
    </row>
    <row r="565" spans="12:12" x14ac:dyDescent="0.2">
      <c r="L565" s="2" t="s">
        <v>0</v>
      </c>
    </row>
    <row r="566" spans="12:12" x14ac:dyDescent="0.2">
      <c r="L566" s="2" t="s">
        <v>0</v>
      </c>
    </row>
    <row r="567" spans="12:12" x14ac:dyDescent="0.2">
      <c r="L567" s="2" t="s">
        <v>0</v>
      </c>
    </row>
    <row r="568" spans="12:12" x14ac:dyDescent="0.2">
      <c r="L568" s="2" t="s">
        <v>0</v>
      </c>
    </row>
    <row r="569" spans="12:12" x14ac:dyDescent="0.2">
      <c r="L569" s="2" t="s">
        <v>0</v>
      </c>
    </row>
    <row r="570" spans="12:12" x14ac:dyDescent="0.2">
      <c r="L570" s="2" t="s">
        <v>0</v>
      </c>
    </row>
    <row r="571" spans="12:12" x14ac:dyDescent="0.2">
      <c r="L571" s="2" t="s">
        <v>0</v>
      </c>
    </row>
    <row r="572" spans="12:12" x14ac:dyDescent="0.2">
      <c r="L572" s="2" t="s">
        <v>0</v>
      </c>
    </row>
    <row r="573" spans="12:12" x14ac:dyDescent="0.2">
      <c r="L573" s="2" t="s">
        <v>0</v>
      </c>
    </row>
    <row r="574" spans="12:12" x14ac:dyDescent="0.2">
      <c r="L574" s="2" t="s">
        <v>0</v>
      </c>
    </row>
    <row r="575" spans="12:12" x14ac:dyDescent="0.2">
      <c r="L575" s="2" t="s">
        <v>0</v>
      </c>
    </row>
    <row r="576" spans="12:12" x14ac:dyDescent="0.2">
      <c r="L576" s="2" t="s">
        <v>0</v>
      </c>
    </row>
    <row r="577" spans="12:12" x14ac:dyDescent="0.2">
      <c r="L577" s="2" t="s">
        <v>0</v>
      </c>
    </row>
    <row r="578" spans="12:12" x14ac:dyDescent="0.2">
      <c r="L578" s="2" t="s">
        <v>0</v>
      </c>
    </row>
    <row r="579" spans="12:12" x14ac:dyDescent="0.2">
      <c r="L579" s="2" t="s">
        <v>0</v>
      </c>
    </row>
    <row r="580" spans="12:12" x14ac:dyDescent="0.2">
      <c r="L580" s="2" t="s">
        <v>0</v>
      </c>
    </row>
    <row r="581" spans="12:12" x14ac:dyDescent="0.2">
      <c r="L581" s="2" t="s">
        <v>0</v>
      </c>
    </row>
    <row r="582" spans="12:12" x14ac:dyDescent="0.2">
      <c r="L582" s="2" t="s">
        <v>0</v>
      </c>
    </row>
    <row r="583" spans="12:12" x14ac:dyDescent="0.2">
      <c r="L583" s="2" t="s">
        <v>0</v>
      </c>
    </row>
    <row r="584" spans="12:12" x14ac:dyDescent="0.2">
      <c r="L584" s="2" t="s">
        <v>0</v>
      </c>
    </row>
    <row r="585" spans="12:12" x14ac:dyDescent="0.2">
      <c r="L585" s="2" t="s">
        <v>0</v>
      </c>
    </row>
    <row r="586" spans="12:12" x14ac:dyDescent="0.2">
      <c r="L586" s="2" t="s">
        <v>0</v>
      </c>
    </row>
    <row r="587" spans="12:12" x14ac:dyDescent="0.2">
      <c r="L587" s="2" t="s">
        <v>0</v>
      </c>
    </row>
    <row r="588" spans="12:12" x14ac:dyDescent="0.2">
      <c r="L588" s="2" t="s">
        <v>0</v>
      </c>
    </row>
    <row r="589" spans="12:12" x14ac:dyDescent="0.2">
      <c r="L589" s="2" t="s">
        <v>0</v>
      </c>
    </row>
    <row r="590" spans="12:12" x14ac:dyDescent="0.2">
      <c r="L590" s="2" t="s">
        <v>0</v>
      </c>
    </row>
    <row r="591" spans="12:12" x14ac:dyDescent="0.2">
      <c r="L591" s="2" t="s">
        <v>0</v>
      </c>
    </row>
    <row r="592" spans="12:12" x14ac:dyDescent="0.2">
      <c r="L592" s="2" t="s">
        <v>0</v>
      </c>
    </row>
    <row r="593" spans="12:12" x14ac:dyDescent="0.2">
      <c r="L593" s="2" t="s">
        <v>0</v>
      </c>
    </row>
    <row r="594" spans="12:12" x14ac:dyDescent="0.2">
      <c r="L594" s="2" t="s">
        <v>0</v>
      </c>
    </row>
    <row r="595" spans="12:12" x14ac:dyDescent="0.2">
      <c r="L595" s="2" t="s">
        <v>0</v>
      </c>
    </row>
    <row r="596" spans="12:12" x14ac:dyDescent="0.2">
      <c r="L596" s="2" t="s">
        <v>0</v>
      </c>
    </row>
    <row r="597" spans="12:12" x14ac:dyDescent="0.2">
      <c r="L597" s="2" t="s">
        <v>0</v>
      </c>
    </row>
    <row r="598" spans="12:12" x14ac:dyDescent="0.2">
      <c r="L598" s="2" t="s">
        <v>0</v>
      </c>
    </row>
    <row r="599" spans="12:12" x14ac:dyDescent="0.2">
      <c r="L599" s="2" t="s">
        <v>0</v>
      </c>
    </row>
    <row r="600" spans="12:12" x14ac:dyDescent="0.2">
      <c r="L600" s="2" t="s">
        <v>0</v>
      </c>
    </row>
    <row r="601" spans="12:12" x14ac:dyDescent="0.2">
      <c r="L601" s="2" t="s">
        <v>0</v>
      </c>
    </row>
    <row r="602" spans="12:12" x14ac:dyDescent="0.2">
      <c r="L602" s="2" t="s">
        <v>0</v>
      </c>
    </row>
    <row r="603" spans="12:12" x14ac:dyDescent="0.2">
      <c r="L603" s="2" t="s">
        <v>0</v>
      </c>
    </row>
    <row r="604" spans="12:12" x14ac:dyDescent="0.2">
      <c r="L604" s="2" t="s">
        <v>0</v>
      </c>
    </row>
    <row r="605" spans="12:12" x14ac:dyDescent="0.2">
      <c r="L605" s="2" t="s">
        <v>0</v>
      </c>
    </row>
    <row r="606" spans="12:12" x14ac:dyDescent="0.2">
      <c r="L606" s="2" t="s">
        <v>0</v>
      </c>
    </row>
    <row r="607" spans="12:12" x14ac:dyDescent="0.2">
      <c r="L607" s="2" t="s">
        <v>0</v>
      </c>
    </row>
    <row r="608" spans="12:12" x14ac:dyDescent="0.2">
      <c r="L608" s="2" t="s">
        <v>0</v>
      </c>
    </row>
    <row r="609" spans="12:12" x14ac:dyDescent="0.2">
      <c r="L609" s="2" t="s">
        <v>0</v>
      </c>
    </row>
    <row r="610" spans="12:12" x14ac:dyDescent="0.2">
      <c r="L610" s="2" t="s">
        <v>0</v>
      </c>
    </row>
    <row r="611" spans="12:12" x14ac:dyDescent="0.2">
      <c r="L611" s="2" t="s">
        <v>0</v>
      </c>
    </row>
    <row r="612" spans="12:12" x14ac:dyDescent="0.2">
      <c r="L612" s="2" t="s">
        <v>0</v>
      </c>
    </row>
    <row r="613" spans="12:12" x14ac:dyDescent="0.2">
      <c r="L613" s="2" t="s">
        <v>0</v>
      </c>
    </row>
    <row r="614" spans="12:12" x14ac:dyDescent="0.2">
      <c r="L614" s="2" t="s">
        <v>0</v>
      </c>
    </row>
    <row r="615" spans="12:12" x14ac:dyDescent="0.2">
      <c r="L615" s="2" t="s">
        <v>0</v>
      </c>
    </row>
    <row r="616" spans="12:12" x14ac:dyDescent="0.2">
      <c r="L616" s="2" t="s">
        <v>0</v>
      </c>
    </row>
    <row r="617" spans="12:12" x14ac:dyDescent="0.2">
      <c r="L617" s="2" t="s">
        <v>0</v>
      </c>
    </row>
    <row r="618" spans="12:12" x14ac:dyDescent="0.2">
      <c r="L618" s="2" t="s">
        <v>0</v>
      </c>
    </row>
    <row r="619" spans="12:12" x14ac:dyDescent="0.2">
      <c r="L619" s="2" t="s">
        <v>0</v>
      </c>
    </row>
    <row r="620" spans="12:12" x14ac:dyDescent="0.2">
      <c r="L620" s="2" t="s">
        <v>0</v>
      </c>
    </row>
    <row r="621" spans="12:12" x14ac:dyDescent="0.2">
      <c r="L621" s="2" t="s">
        <v>0</v>
      </c>
    </row>
    <row r="622" spans="12:12" x14ac:dyDescent="0.2">
      <c r="L622" s="2" t="s">
        <v>0</v>
      </c>
    </row>
    <row r="623" spans="12:12" x14ac:dyDescent="0.2">
      <c r="L623" s="2" t="s">
        <v>0</v>
      </c>
    </row>
    <row r="624" spans="12:12" x14ac:dyDescent="0.2">
      <c r="L624" s="2" t="s">
        <v>0</v>
      </c>
    </row>
    <row r="625" spans="12:12" x14ac:dyDescent="0.2">
      <c r="L625" s="2" t="s">
        <v>0</v>
      </c>
    </row>
    <row r="626" spans="12:12" x14ac:dyDescent="0.2">
      <c r="L626" s="2" t="s">
        <v>0</v>
      </c>
    </row>
    <row r="627" spans="12:12" x14ac:dyDescent="0.2">
      <c r="L627" s="2" t="s">
        <v>0</v>
      </c>
    </row>
    <row r="628" spans="12:12" x14ac:dyDescent="0.2">
      <c r="L628" s="2" t="s">
        <v>0</v>
      </c>
    </row>
    <row r="629" spans="12:12" x14ac:dyDescent="0.2">
      <c r="L629" s="2" t="s">
        <v>0</v>
      </c>
    </row>
    <row r="630" spans="12:12" x14ac:dyDescent="0.2">
      <c r="L630" s="2" t="s">
        <v>0</v>
      </c>
    </row>
    <row r="631" spans="12:12" x14ac:dyDescent="0.2">
      <c r="L631" s="2" t="s">
        <v>0</v>
      </c>
    </row>
    <row r="632" spans="12:12" x14ac:dyDescent="0.2">
      <c r="L632" s="2" t="s">
        <v>0</v>
      </c>
    </row>
    <row r="633" spans="12:12" x14ac:dyDescent="0.2">
      <c r="L633" s="2" t="s">
        <v>0</v>
      </c>
    </row>
    <row r="634" spans="12:12" x14ac:dyDescent="0.2">
      <c r="L634" s="2" t="s">
        <v>0</v>
      </c>
    </row>
    <row r="635" spans="12:12" x14ac:dyDescent="0.2">
      <c r="L635" s="2" t="s">
        <v>0</v>
      </c>
    </row>
    <row r="636" spans="12:12" x14ac:dyDescent="0.2">
      <c r="L636" s="2" t="s">
        <v>0</v>
      </c>
    </row>
    <row r="637" spans="12:12" x14ac:dyDescent="0.2">
      <c r="L637" s="2" t="s">
        <v>0</v>
      </c>
    </row>
    <row r="638" spans="12:12" x14ac:dyDescent="0.2">
      <c r="L638" s="2" t="s">
        <v>0</v>
      </c>
    </row>
    <row r="639" spans="12:12" x14ac:dyDescent="0.2">
      <c r="L639" s="2" t="s">
        <v>0</v>
      </c>
    </row>
    <row r="640" spans="12:12" x14ac:dyDescent="0.2">
      <c r="L640" s="2" t="s">
        <v>0</v>
      </c>
    </row>
    <row r="641" spans="12:12" x14ac:dyDescent="0.2">
      <c r="L641" s="2" t="s">
        <v>0</v>
      </c>
    </row>
    <row r="642" spans="12:12" x14ac:dyDescent="0.2">
      <c r="L642" s="2" t="s">
        <v>0</v>
      </c>
    </row>
    <row r="643" spans="12:12" x14ac:dyDescent="0.2">
      <c r="L643" s="2" t="s">
        <v>0</v>
      </c>
    </row>
    <row r="644" spans="12:12" x14ac:dyDescent="0.2">
      <c r="L644" s="2" t="s">
        <v>0</v>
      </c>
    </row>
    <row r="645" spans="12:12" x14ac:dyDescent="0.2">
      <c r="L645" s="2" t="s">
        <v>0</v>
      </c>
    </row>
    <row r="646" spans="12:12" x14ac:dyDescent="0.2">
      <c r="L646" s="2" t="s">
        <v>0</v>
      </c>
    </row>
    <row r="647" spans="12:12" x14ac:dyDescent="0.2">
      <c r="L647" s="2" t="s">
        <v>0</v>
      </c>
    </row>
    <row r="648" spans="12:12" x14ac:dyDescent="0.2">
      <c r="L648" s="2" t="s">
        <v>0</v>
      </c>
    </row>
    <row r="649" spans="12:12" x14ac:dyDescent="0.2">
      <c r="L649" s="2" t="s">
        <v>0</v>
      </c>
    </row>
    <row r="650" spans="12:12" x14ac:dyDescent="0.2">
      <c r="L650" s="2" t="s">
        <v>0</v>
      </c>
    </row>
    <row r="651" spans="12:12" x14ac:dyDescent="0.2">
      <c r="L651" s="2" t="s">
        <v>0</v>
      </c>
    </row>
    <row r="652" spans="12:12" x14ac:dyDescent="0.2">
      <c r="L652" s="2" t="s">
        <v>0</v>
      </c>
    </row>
    <row r="653" spans="12:12" x14ac:dyDescent="0.2">
      <c r="L653" s="2" t="s">
        <v>0</v>
      </c>
    </row>
    <row r="654" spans="12:12" x14ac:dyDescent="0.2">
      <c r="L654" s="2" t="s">
        <v>0</v>
      </c>
    </row>
    <row r="655" spans="12:12" x14ac:dyDescent="0.2">
      <c r="L655" s="2" t="s">
        <v>0</v>
      </c>
    </row>
    <row r="656" spans="12:12" x14ac:dyDescent="0.2">
      <c r="L656" s="2" t="s">
        <v>0</v>
      </c>
    </row>
    <row r="657" spans="12:12" x14ac:dyDescent="0.2">
      <c r="L657" s="2" t="s">
        <v>0</v>
      </c>
    </row>
    <row r="658" spans="12:12" x14ac:dyDescent="0.2">
      <c r="L658" s="2" t="s">
        <v>0</v>
      </c>
    </row>
    <row r="659" spans="12:12" x14ac:dyDescent="0.2">
      <c r="L659" s="2" t="s">
        <v>0</v>
      </c>
    </row>
    <row r="660" spans="12:12" x14ac:dyDescent="0.2">
      <c r="L660" s="2" t="s">
        <v>0</v>
      </c>
    </row>
    <row r="661" spans="12:12" x14ac:dyDescent="0.2">
      <c r="L661" s="2" t="s">
        <v>0</v>
      </c>
    </row>
    <row r="662" spans="12:12" x14ac:dyDescent="0.2">
      <c r="L662" s="2" t="s">
        <v>0</v>
      </c>
    </row>
    <row r="663" spans="12:12" x14ac:dyDescent="0.2">
      <c r="L663" s="2" t="s">
        <v>0</v>
      </c>
    </row>
    <row r="664" spans="12:12" x14ac:dyDescent="0.2">
      <c r="L664" s="2" t="s">
        <v>0</v>
      </c>
    </row>
    <row r="665" spans="12:12" x14ac:dyDescent="0.2">
      <c r="L665" s="2" t="s">
        <v>0</v>
      </c>
    </row>
    <row r="666" spans="12:12" x14ac:dyDescent="0.2">
      <c r="L666" s="2" t="s">
        <v>0</v>
      </c>
    </row>
    <row r="667" spans="12:12" x14ac:dyDescent="0.2">
      <c r="L667" s="2" t="s">
        <v>0</v>
      </c>
    </row>
    <row r="668" spans="12:12" x14ac:dyDescent="0.2">
      <c r="L668" s="2" t="s">
        <v>0</v>
      </c>
    </row>
    <row r="669" spans="12:12" x14ac:dyDescent="0.2">
      <c r="L669" s="2" t="s">
        <v>0</v>
      </c>
    </row>
    <row r="670" spans="12:12" x14ac:dyDescent="0.2">
      <c r="L670" s="2" t="s">
        <v>0</v>
      </c>
    </row>
    <row r="671" spans="12:12" x14ac:dyDescent="0.2">
      <c r="L671" s="2" t="s">
        <v>0</v>
      </c>
    </row>
    <row r="672" spans="12:12" x14ac:dyDescent="0.2">
      <c r="L672" s="2" t="s">
        <v>0</v>
      </c>
    </row>
    <row r="673" spans="12:12" x14ac:dyDescent="0.2">
      <c r="L673" s="2" t="s">
        <v>0</v>
      </c>
    </row>
    <row r="674" spans="12:12" x14ac:dyDescent="0.2">
      <c r="L674" s="2" t="s">
        <v>0</v>
      </c>
    </row>
    <row r="675" spans="12:12" x14ac:dyDescent="0.2">
      <c r="L675" s="2" t="s">
        <v>0</v>
      </c>
    </row>
    <row r="676" spans="12:12" x14ac:dyDescent="0.2">
      <c r="L676" s="2" t="s">
        <v>0</v>
      </c>
    </row>
    <row r="677" spans="12:12" x14ac:dyDescent="0.2">
      <c r="L677" s="2" t="s">
        <v>0</v>
      </c>
    </row>
    <row r="678" spans="12:12" x14ac:dyDescent="0.2">
      <c r="L678" s="2" t="s">
        <v>0</v>
      </c>
    </row>
    <row r="679" spans="12:12" x14ac:dyDescent="0.2">
      <c r="L679" s="2" t="s">
        <v>0</v>
      </c>
    </row>
    <row r="680" spans="12:12" x14ac:dyDescent="0.2">
      <c r="L680" s="2" t="s">
        <v>0</v>
      </c>
    </row>
    <row r="681" spans="12:12" x14ac:dyDescent="0.2">
      <c r="L681" s="2" t="s">
        <v>0</v>
      </c>
    </row>
    <row r="682" spans="12:12" x14ac:dyDescent="0.2">
      <c r="L682" s="2" t="s">
        <v>0</v>
      </c>
    </row>
    <row r="683" spans="12:12" x14ac:dyDescent="0.2">
      <c r="L683" s="2" t="s">
        <v>0</v>
      </c>
    </row>
    <row r="684" spans="12:12" x14ac:dyDescent="0.2">
      <c r="L684" s="2" t="s">
        <v>0</v>
      </c>
    </row>
    <row r="685" spans="12:12" x14ac:dyDescent="0.2">
      <c r="L685" s="2" t="s">
        <v>0</v>
      </c>
    </row>
    <row r="686" spans="12:12" x14ac:dyDescent="0.2">
      <c r="L686" s="2" t="s">
        <v>0</v>
      </c>
    </row>
    <row r="687" spans="12:12" x14ac:dyDescent="0.2">
      <c r="L687" s="2" t="s">
        <v>0</v>
      </c>
    </row>
    <row r="688" spans="12:12" x14ac:dyDescent="0.2">
      <c r="L688" s="2" t="s">
        <v>0</v>
      </c>
    </row>
    <row r="689" spans="12:12" x14ac:dyDescent="0.2">
      <c r="L689" s="2" t="s">
        <v>0</v>
      </c>
    </row>
    <row r="690" spans="12:12" x14ac:dyDescent="0.2">
      <c r="L690" s="2" t="s">
        <v>0</v>
      </c>
    </row>
    <row r="691" spans="12:12" x14ac:dyDescent="0.2">
      <c r="L691" s="2" t="s">
        <v>0</v>
      </c>
    </row>
    <row r="692" spans="12:12" x14ac:dyDescent="0.2">
      <c r="L692" s="2" t="s">
        <v>0</v>
      </c>
    </row>
    <row r="693" spans="12:12" x14ac:dyDescent="0.2">
      <c r="L693" s="2" t="s">
        <v>0</v>
      </c>
    </row>
    <row r="694" spans="12:12" x14ac:dyDescent="0.2">
      <c r="L694" s="2" t="s">
        <v>0</v>
      </c>
    </row>
    <row r="695" spans="12:12" x14ac:dyDescent="0.2">
      <c r="L695" s="2" t="s">
        <v>0</v>
      </c>
    </row>
    <row r="696" spans="12:12" x14ac:dyDescent="0.2">
      <c r="L696" s="2" t="s">
        <v>0</v>
      </c>
    </row>
    <row r="697" spans="12:12" x14ac:dyDescent="0.2">
      <c r="L697" s="2" t="s">
        <v>0</v>
      </c>
    </row>
    <row r="698" spans="12:12" x14ac:dyDescent="0.2">
      <c r="L698" s="2" t="s">
        <v>0</v>
      </c>
    </row>
    <row r="699" spans="12:12" x14ac:dyDescent="0.2">
      <c r="L699" s="2" t="s">
        <v>0</v>
      </c>
    </row>
    <row r="700" spans="12:12" x14ac:dyDescent="0.2">
      <c r="L700" s="2" t="s">
        <v>0</v>
      </c>
    </row>
    <row r="701" spans="12:12" x14ac:dyDescent="0.2">
      <c r="L701" s="2" t="s">
        <v>0</v>
      </c>
    </row>
    <row r="702" spans="12:12" x14ac:dyDescent="0.2">
      <c r="L702" s="2" t="s">
        <v>0</v>
      </c>
    </row>
    <row r="703" spans="12:12" x14ac:dyDescent="0.2">
      <c r="L703" s="2" t="s">
        <v>0</v>
      </c>
    </row>
    <row r="704" spans="12:12" x14ac:dyDescent="0.2">
      <c r="L704" s="2" t="s">
        <v>0</v>
      </c>
    </row>
    <row r="705" spans="12:12" x14ac:dyDescent="0.2">
      <c r="L705" s="2" t="s">
        <v>0</v>
      </c>
    </row>
    <row r="706" spans="12:12" x14ac:dyDescent="0.2">
      <c r="L706" s="2" t="s">
        <v>0</v>
      </c>
    </row>
    <row r="707" spans="12:12" x14ac:dyDescent="0.2">
      <c r="L707" s="2" t="s">
        <v>0</v>
      </c>
    </row>
    <row r="708" spans="12:12" x14ac:dyDescent="0.2">
      <c r="L708" s="2" t="s">
        <v>0</v>
      </c>
    </row>
    <row r="709" spans="12:12" x14ac:dyDescent="0.2">
      <c r="L709" s="2" t="s">
        <v>0</v>
      </c>
    </row>
    <row r="710" spans="12:12" x14ac:dyDescent="0.2">
      <c r="L710" s="2" t="s">
        <v>0</v>
      </c>
    </row>
    <row r="711" spans="12:12" x14ac:dyDescent="0.2">
      <c r="L711" s="2" t="s">
        <v>0</v>
      </c>
    </row>
    <row r="712" spans="12:12" x14ac:dyDescent="0.2">
      <c r="L712" s="2" t="s">
        <v>0</v>
      </c>
    </row>
    <row r="713" spans="12:12" x14ac:dyDescent="0.2">
      <c r="L713" s="2" t="s">
        <v>0</v>
      </c>
    </row>
    <row r="714" spans="12:12" x14ac:dyDescent="0.2">
      <c r="L714" s="2" t="s">
        <v>0</v>
      </c>
    </row>
    <row r="715" spans="12:12" x14ac:dyDescent="0.2">
      <c r="L715" s="2" t="s">
        <v>0</v>
      </c>
    </row>
    <row r="716" spans="12:12" x14ac:dyDescent="0.2">
      <c r="L716" s="2" t="s">
        <v>0</v>
      </c>
    </row>
    <row r="717" spans="12:12" x14ac:dyDescent="0.2">
      <c r="L717" s="2" t="s">
        <v>0</v>
      </c>
    </row>
    <row r="718" spans="12:12" x14ac:dyDescent="0.2">
      <c r="L718" s="2" t="s">
        <v>0</v>
      </c>
    </row>
    <row r="719" spans="12:12" x14ac:dyDescent="0.2">
      <c r="L719" s="2" t="s">
        <v>0</v>
      </c>
    </row>
    <row r="720" spans="12:12" x14ac:dyDescent="0.2">
      <c r="L720" s="2" t="s">
        <v>0</v>
      </c>
    </row>
    <row r="721" spans="12:12" x14ac:dyDescent="0.2">
      <c r="L721" s="2" t="s">
        <v>0</v>
      </c>
    </row>
    <row r="722" spans="12:12" x14ac:dyDescent="0.2">
      <c r="L722" s="2" t="s">
        <v>0</v>
      </c>
    </row>
    <row r="723" spans="12:12" x14ac:dyDescent="0.2">
      <c r="L723" s="2" t="s">
        <v>0</v>
      </c>
    </row>
    <row r="724" spans="12:12" x14ac:dyDescent="0.2">
      <c r="L724" s="2" t="s">
        <v>0</v>
      </c>
    </row>
    <row r="725" spans="12:12" x14ac:dyDescent="0.2">
      <c r="L725" s="2" t="s">
        <v>0</v>
      </c>
    </row>
    <row r="726" spans="12:12" x14ac:dyDescent="0.2">
      <c r="L726" s="2" t="s">
        <v>0</v>
      </c>
    </row>
    <row r="727" spans="12:12" x14ac:dyDescent="0.2">
      <c r="L727" s="2" t="s">
        <v>0</v>
      </c>
    </row>
    <row r="728" spans="12:12" x14ac:dyDescent="0.2">
      <c r="L728" s="2" t="s">
        <v>0</v>
      </c>
    </row>
    <row r="729" spans="12:12" x14ac:dyDescent="0.2">
      <c r="L729" s="2" t="s">
        <v>0</v>
      </c>
    </row>
    <row r="730" spans="12:12" x14ac:dyDescent="0.2">
      <c r="L730" s="2" t="s">
        <v>0</v>
      </c>
    </row>
    <row r="731" spans="12:12" x14ac:dyDescent="0.2">
      <c r="L731" s="2" t="s">
        <v>0</v>
      </c>
    </row>
    <row r="732" spans="12:12" x14ac:dyDescent="0.2">
      <c r="L732" s="2" t="s">
        <v>0</v>
      </c>
    </row>
    <row r="733" spans="12:12" x14ac:dyDescent="0.2">
      <c r="L733" s="2" t="s">
        <v>0</v>
      </c>
    </row>
    <row r="734" spans="12:12" x14ac:dyDescent="0.2">
      <c r="L734" s="2" t="s">
        <v>0</v>
      </c>
    </row>
    <row r="735" spans="12:12" x14ac:dyDescent="0.2">
      <c r="L735" s="2" t="s">
        <v>0</v>
      </c>
    </row>
    <row r="736" spans="12:12" x14ac:dyDescent="0.2">
      <c r="L736" s="2" t="s">
        <v>0</v>
      </c>
    </row>
    <row r="737" spans="12:12" x14ac:dyDescent="0.2">
      <c r="L737" s="2" t="s">
        <v>0</v>
      </c>
    </row>
    <row r="738" spans="12:12" x14ac:dyDescent="0.2">
      <c r="L738" s="2" t="s">
        <v>0</v>
      </c>
    </row>
    <row r="739" spans="12:12" x14ac:dyDescent="0.2">
      <c r="L739" s="2" t="s">
        <v>0</v>
      </c>
    </row>
    <row r="740" spans="12:12" x14ac:dyDescent="0.2">
      <c r="L740" s="2" t="s">
        <v>0</v>
      </c>
    </row>
    <row r="741" spans="12:12" x14ac:dyDescent="0.2">
      <c r="L741" s="2" t="s">
        <v>0</v>
      </c>
    </row>
    <row r="742" spans="12:12" x14ac:dyDescent="0.2">
      <c r="L742" s="2" t="s">
        <v>0</v>
      </c>
    </row>
    <row r="743" spans="12:12" x14ac:dyDescent="0.2">
      <c r="L743" s="2" t="s">
        <v>0</v>
      </c>
    </row>
    <row r="744" spans="12:12" x14ac:dyDescent="0.2">
      <c r="L744" s="2" t="s">
        <v>0</v>
      </c>
    </row>
    <row r="745" spans="12:12" x14ac:dyDescent="0.2">
      <c r="L745" s="2" t="s">
        <v>0</v>
      </c>
    </row>
    <row r="746" spans="12:12" x14ac:dyDescent="0.2">
      <c r="L746" s="2" t="s">
        <v>0</v>
      </c>
    </row>
    <row r="747" spans="12:12" x14ac:dyDescent="0.2">
      <c r="L747" s="2" t="s">
        <v>0</v>
      </c>
    </row>
    <row r="748" spans="12:12" x14ac:dyDescent="0.2">
      <c r="L748" s="2" t="s">
        <v>0</v>
      </c>
    </row>
    <row r="749" spans="12:12" x14ac:dyDescent="0.2">
      <c r="L749" s="2" t="s">
        <v>0</v>
      </c>
    </row>
    <row r="750" spans="12:12" x14ac:dyDescent="0.2">
      <c r="L750" s="2" t="s">
        <v>0</v>
      </c>
    </row>
    <row r="751" spans="12:12" x14ac:dyDescent="0.2">
      <c r="L751" s="2" t="s">
        <v>0</v>
      </c>
    </row>
    <row r="752" spans="12:12" x14ac:dyDescent="0.2">
      <c r="L752" s="2" t="s">
        <v>0</v>
      </c>
    </row>
    <row r="753" spans="12:12" x14ac:dyDescent="0.2">
      <c r="L753" s="2" t="s">
        <v>0</v>
      </c>
    </row>
    <row r="754" spans="12:12" x14ac:dyDescent="0.2">
      <c r="L754" s="2" t="s">
        <v>0</v>
      </c>
    </row>
    <row r="755" spans="12:12" x14ac:dyDescent="0.2">
      <c r="L755" s="2" t="s">
        <v>0</v>
      </c>
    </row>
    <row r="756" spans="12:12" x14ac:dyDescent="0.2">
      <c r="L756" s="2" t="s">
        <v>0</v>
      </c>
    </row>
    <row r="757" spans="12:12" x14ac:dyDescent="0.2">
      <c r="L757" s="2" t="s">
        <v>0</v>
      </c>
    </row>
    <row r="758" spans="12:12" x14ac:dyDescent="0.2">
      <c r="L758" s="2" t="s">
        <v>0</v>
      </c>
    </row>
    <row r="759" spans="12:12" x14ac:dyDescent="0.2">
      <c r="L759" s="2" t="s">
        <v>0</v>
      </c>
    </row>
    <row r="760" spans="12:12" x14ac:dyDescent="0.2">
      <c r="L760" s="2" t="s">
        <v>0</v>
      </c>
    </row>
    <row r="761" spans="12:12" x14ac:dyDescent="0.2">
      <c r="L761" s="2" t="s">
        <v>0</v>
      </c>
    </row>
    <row r="762" spans="12:12" x14ac:dyDescent="0.2">
      <c r="L762" s="2" t="s">
        <v>0</v>
      </c>
    </row>
    <row r="763" spans="12:12" x14ac:dyDescent="0.2">
      <c r="L763" s="2" t="s">
        <v>0</v>
      </c>
    </row>
    <row r="764" spans="12:12" x14ac:dyDescent="0.2">
      <c r="L764" s="2" t="s">
        <v>0</v>
      </c>
    </row>
    <row r="765" spans="12:12" x14ac:dyDescent="0.2">
      <c r="L765" s="2" t="s">
        <v>0</v>
      </c>
    </row>
    <row r="766" spans="12:12" x14ac:dyDescent="0.2">
      <c r="L766" s="2" t="s">
        <v>0</v>
      </c>
    </row>
    <row r="767" spans="12:12" x14ac:dyDescent="0.2">
      <c r="L767" s="2" t="s">
        <v>0</v>
      </c>
    </row>
    <row r="768" spans="12:12" x14ac:dyDescent="0.2">
      <c r="L768" s="2" t="s">
        <v>0</v>
      </c>
    </row>
    <row r="769" spans="12:12" x14ac:dyDescent="0.2">
      <c r="L769" s="2" t="s">
        <v>0</v>
      </c>
    </row>
    <row r="770" spans="12:12" x14ac:dyDescent="0.2">
      <c r="L770" s="2" t="s">
        <v>0</v>
      </c>
    </row>
    <row r="771" spans="12:12" x14ac:dyDescent="0.2">
      <c r="L771" s="2" t="s">
        <v>0</v>
      </c>
    </row>
    <row r="772" spans="12:12" x14ac:dyDescent="0.2">
      <c r="L772" s="2" t="s">
        <v>0</v>
      </c>
    </row>
    <row r="773" spans="12:12" x14ac:dyDescent="0.2">
      <c r="L773" s="2" t="s">
        <v>0</v>
      </c>
    </row>
    <row r="774" spans="12:12" x14ac:dyDescent="0.2">
      <c r="L774" s="2" t="s">
        <v>0</v>
      </c>
    </row>
    <row r="775" spans="12:12" x14ac:dyDescent="0.2">
      <c r="L775" s="2" t="s">
        <v>0</v>
      </c>
    </row>
    <row r="776" spans="12:12" x14ac:dyDescent="0.2">
      <c r="L776" s="2" t="s">
        <v>0</v>
      </c>
    </row>
    <row r="777" spans="12:12" x14ac:dyDescent="0.2">
      <c r="L777" s="2" t="s">
        <v>0</v>
      </c>
    </row>
    <row r="778" spans="12:12" x14ac:dyDescent="0.2">
      <c r="L778" s="2" t="s">
        <v>0</v>
      </c>
    </row>
    <row r="779" spans="12:12" x14ac:dyDescent="0.2">
      <c r="L779" s="2" t="s">
        <v>0</v>
      </c>
    </row>
    <row r="780" spans="12:12" x14ac:dyDescent="0.2">
      <c r="L780" s="2" t="s">
        <v>0</v>
      </c>
    </row>
    <row r="781" spans="12:12" x14ac:dyDescent="0.2">
      <c r="L781" s="2" t="s">
        <v>0</v>
      </c>
    </row>
    <row r="782" spans="12:12" x14ac:dyDescent="0.2">
      <c r="L782" s="2" t="s">
        <v>0</v>
      </c>
    </row>
    <row r="783" spans="12:12" x14ac:dyDescent="0.2">
      <c r="L783" s="2" t="s">
        <v>0</v>
      </c>
    </row>
    <row r="784" spans="12:12" x14ac:dyDescent="0.2">
      <c r="L784" s="2" t="s">
        <v>0</v>
      </c>
    </row>
    <row r="785" spans="12:12" x14ac:dyDescent="0.2">
      <c r="L785" s="2" t="s">
        <v>0</v>
      </c>
    </row>
    <row r="786" spans="12:12" x14ac:dyDescent="0.2">
      <c r="L786" s="2" t="s">
        <v>0</v>
      </c>
    </row>
    <row r="787" spans="12:12" x14ac:dyDescent="0.2">
      <c r="L787" s="2" t="s">
        <v>0</v>
      </c>
    </row>
    <row r="788" spans="12:12" x14ac:dyDescent="0.2">
      <c r="L788" s="2" t="s">
        <v>0</v>
      </c>
    </row>
    <row r="789" spans="12:12" x14ac:dyDescent="0.2">
      <c r="L789" s="2" t="s">
        <v>0</v>
      </c>
    </row>
    <row r="790" spans="12:12" x14ac:dyDescent="0.2">
      <c r="L790" s="2" t="s">
        <v>0</v>
      </c>
    </row>
    <row r="791" spans="12:12" x14ac:dyDescent="0.2">
      <c r="L791" s="2" t="s">
        <v>0</v>
      </c>
    </row>
    <row r="792" spans="12:12" x14ac:dyDescent="0.2">
      <c r="L792" s="2" t="s">
        <v>0</v>
      </c>
    </row>
    <row r="793" spans="12:12" x14ac:dyDescent="0.2">
      <c r="L793" s="2" t="s">
        <v>0</v>
      </c>
    </row>
    <row r="794" spans="12:12" x14ac:dyDescent="0.2">
      <c r="L794" s="2" t="s">
        <v>0</v>
      </c>
    </row>
    <row r="795" spans="12:12" x14ac:dyDescent="0.2">
      <c r="L795" s="2" t="s">
        <v>0</v>
      </c>
    </row>
    <row r="796" spans="12:12" x14ac:dyDescent="0.2">
      <c r="L796" s="2" t="s">
        <v>0</v>
      </c>
    </row>
    <row r="797" spans="12:12" x14ac:dyDescent="0.2">
      <c r="L797" s="2" t="s">
        <v>0</v>
      </c>
    </row>
    <row r="798" spans="12:12" x14ac:dyDescent="0.2">
      <c r="L798" s="2" t="s">
        <v>0</v>
      </c>
    </row>
    <row r="799" spans="12:12" x14ac:dyDescent="0.2">
      <c r="L799" s="2" t="s">
        <v>0</v>
      </c>
    </row>
    <row r="800" spans="12:12" x14ac:dyDescent="0.2">
      <c r="L800" s="2" t="s">
        <v>0</v>
      </c>
    </row>
    <row r="801" spans="12:12" x14ac:dyDescent="0.2">
      <c r="L801" s="2" t="s">
        <v>0</v>
      </c>
    </row>
    <row r="802" spans="12:12" x14ac:dyDescent="0.2">
      <c r="L802" s="2" t="s">
        <v>0</v>
      </c>
    </row>
    <row r="803" spans="12:12" x14ac:dyDescent="0.2">
      <c r="L803" s="2" t="s">
        <v>0</v>
      </c>
    </row>
    <row r="804" spans="12:12" x14ac:dyDescent="0.2">
      <c r="L804" s="2" t="s">
        <v>0</v>
      </c>
    </row>
    <row r="805" spans="12:12" x14ac:dyDescent="0.2">
      <c r="L805" s="2" t="s">
        <v>0</v>
      </c>
    </row>
    <row r="806" spans="12:12" x14ac:dyDescent="0.2">
      <c r="L806" s="2" t="s">
        <v>0</v>
      </c>
    </row>
    <row r="807" spans="12:12" x14ac:dyDescent="0.2">
      <c r="L807" s="2" t="s">
        <v>0</v>
      </c>
    </row>
    <row r="808" spans="12:12" x14ac:dyDescent="0.2">
      <c r="L808" s="2" t="s">
        <v>0</v>
      </c>
    </row>
    <row r="809" spans="12:12" x14ac:dyDescent="0.2">
      <c r="L809" s="2" t="s">
        <v>0</v>
      </c>
    </row>
    <row r="810" spans="12:12" x14ac:dyDescent="0.2">
      <c r="L810" s="2" t="s">
        <v>0</v>
      </c>
    </row>
    <row r="811" spans="12:12" x14ac:dyDescent="0.2">
      <c r="L811" s="2" t="s">
        <v>0</v>
      </c>
    </row>
    <row r="812" spans="12:12" x14ac:dyDescent="0.2">
      <c r="L812" s="2" t="s">
        <v>0</v>
      </c>
    </row>
    <row r="813" spans="12:12" x14ac:dyDescent="0.2">
      <c r="L813" s="2" t="s">
        <v>0</v>
      </c>
    </row>
    <row r="814" spans="12:12" x14ac:dyDescent="0.2">
      <c r="L814" s="2" t="s">
        <v>0</v>
      </c>
    </row>
    <row r="815" spans="12:12" x14ac:dyDescent="0.2">
      <c r="L815" s="2" t="s">
        <v>0</v>
      </c>
    </row>
    <row r="816" spans="12:12" x14ac:dyDescent="0.2">
      <c r="L816" s="2" t="s">
        <v>0</v>
      </c>
    </row>
    <row r="817" spans="12:12" x14ac:dyDescent="0.2">
      <c r="L817" s="2" t="s">
        <v>0</v>
      </c>
    </row>
    <row r="818" spans="12:12" x14ac:dyDescent="0.2">
      <c r="L818" s="2" t="s">
        <v>0</v>
      </c>
    </row>
    <row r="819" spans="12:12" x14ac:dyDescent="0.2">
      <c r="L819" s="2" t="s">
        <v>0</v>
      </c>
    </row>
    <row r="820" spans="12:12" x14ac:dyDescent="0.2">
      <c r="L820" s="2" t="s">
        <v>0</v>
      </c>
    </row>
    <row r="821" spans="12:12" x14ac:dyDescent="0.2">
      <c r="L821" s="2" t="s">
        <v>0</v>
      </c>
    </row>
    <row r="822" spans="12:12" x14ac:dyDescent="0.2">
      <c r="L822" s="2" t="s">
        <v>0</v>
      </c>
    </row>
    <row r="823" spans="12:12" x14ac:dyDescent="0.2">
      <c r="L823" s="2" t="s">
        <v>0</v>
      </c>
    </row>
    <row r="824" spans="12:12" x14ac:dyDescent="0.2">
      <c r="L824" s="2" t="s">
        <v>0</v>
      </c>
    </row>
    <row r="825" spans="12:12" x14ac:dyDescent="0.2">
      <c r="L825" s="2" t="s">
        <v>0</v>
      </c>
    </row>
    <row r="826" spans="12:12" x14ac:dyDescent="0.2">
      <c r="L826" s="2" t="s">
        <v>0</v>
      </c>
    </row>
    <row r="827" spans="12:12" x14ac:dyDescent="0.2">
      <c r="L827" s="2" t="s">
        <v>0</v>
      </c>
    </row>
    <row r="828" spans="12:12" x14ac:dyDescent="0.2">
      <c r="L828" s="2" t="s">
        <v>0</v>
      </c>
    </row>
    <row r="829" spans="12:12" x14ac:dyDescent="0.2">
      <c r="L829" s="2" t="s">
        <v>0</v>
      </c>
    </row>
    <row r="830" spans="12:12" x14ac:dyDescent="0.2">
      <c r="L830" s="2" t="s">
        <v>0</v>
      </c>
    </row>
    <row r="831" spans="12:12" x14ac:dyDescent="0.2">
      <c r="L831" s="2" t="s">
        <v>0</v>
      </c>
    </row>
    <row r="832" spans="12:12" x14ac:dyDescent="0.2">
      <c r="L832" s="2" t="s">
        <v>0</v>
      </c>
    </row>
    <row r="833" spans="12:12" x14ac:dyDescent="0.2">
      <c r="L833" s="2" t="s">
        <v>0</v>
      </c>
    </row>
    <row r="834" spans="12:12" x14ac:dyDescent="0.2">
      <c r="L834" s="2" t="s">
        <v>0</v>
      </c>
    </row>
    <row r="835" spans="12:12" x14ac:dyDescent="0.2">
      <c r="L835" s="2" t="s">
        <v>0</v>
      </c>
    </row>
    <row r="836" spans="12:12" x14ac:dyDescent="0.2">
      <c r="L836" s="2" t="s">
        <v>0</v>
      </c>
    </row>
    <row r="837" spans="12:12" x14ac:dyDescent="0.2">
      <c r="L837" s="2" t="s">
        <v>0</v>
      </c>
    </row>
    <row r="838" spans="12:12" x14ac:dyDescent="0.2">
      <c r="L838" s="2" t="s">
        <v>0</v>
      </c>
    </row>
    <row r="839" spans="12:12" x14ac:dyDescent="0.2">
      <c r="L839" s="2" t="s">
        <v>0</v>
      </c>
    </row>
    <row r="840" spans="12:12" x14ac:dyDescent="0.2">
      <c r="L840" s="2" t="s">
        <v>0</v>
      </c>
    </row>
    <row r="841" spans="12:12" x14ac:dyDescent="0.2">
      <c r="L841" s="2" t="s">
        <v>0</v>
      </c>
    </row>
    <row r="842" spans="12:12" x14ac:dyDescent="0.2">
      <c r="L842" s="2" t="s">
        <v>0</v>
      </c>
    </row>
    <row r="843" spans="12:12" x14ac:dyDescent="0.2">
      <c r="L843" s="2" t="s">
        <v>0</v>
      </c>
    </row>
    <row r="844" spans="12:12" x14ac:dyDescent="0.2">
      <c r="L844" s="2" t="s">
        <v>0</v>
      </c>
    </row>
    <row r="845" spans="12:12" x14ac:dyDescent="0.2">
      <c r="L845" s="2" t="s">
        <v>0</v>
      </c>
    </row>
    <row r="846" spans="12:12" x14ac:dyDescent="0.2">
      <c r="L846" s="2" t="s">
        <v>0</v>
      </c>
    </row>
    <row r="847" spans="12:12" x14ac:dyDescent="0.2">
      <c r="L847" s="2" t="s">
        <v>0</v>
      </c>
    </row>
    <row r="848" spans="12:12" x14ac:dyDescent="0.2">
      <c r="L848" s="2" t="s">
        <v>0</v>
      </c>
    </row>
    <row r="849" spans="12:12" x14ac:dyDescent="0.2">
      <c r="L849" s="2" t="s">
        <v>0</v>
      </c>
    </row>
    <row r="850" spans="12:12" x14ac:dyDescent="0.2">
      <c r="L850" s="2" t="s">
        <v>0</v>
      </c>
    </row>
    <row r="851" spans="12:12" x14ac:dyDescent="0.2">
      <c r="L851" s="2" t="s">
        <v>0</v>
      </c>
    </row>
    <row r="852" spans="12:12" x14ac:dyDescent="0.2">
      <c r="L852" s="2" t="s">
        <v>0</v>
      </c>
    </row>
    <row r="853" spans="12:12" x14ac:dyDescent="0.2">
      <c r="L853" s="2" t="s">
        <v>0</v>
      </c>
    </row>
    <row r="854" spans="12:12" x14ac:dyDescent="0.2">
      <c r="L854" s="2" t="s">
        <v>0</v>
      </c>
    </row>
    <row r="855" spans="12:12" x14ac:dyDescent="0.2">
      <c r="L855" s="2" t="s">
        <v>0</v>
      </c>
    </row>
    <row r="856" spans="12:12" x14ac:dyDescent="0.2">
      <c r="L856" s="2" t="s">
        <v>0</v>
      </c>
    </row>
    <row r="857" spans="12:12" x14ac:dyDescent="0.2">
      <c r="L857" s="2" t="s">
        <v>0</v>
      </c>
    </row>
    <row r="858" spans="12:12" x14ac:dyDescent="0.2">
      <c r="L858" s="2" t="s">
        <v>0</v>
      </c>
    </row>
    <row r="859" spans="12:12" x14ac:dyDescent="0.2">
      <c r="L859" s="2" t="s">
        <v>0</v>
      </c>
    </row>
    <row r="860" spans="12:12" x14ac:dyDescent="0.2">
      <c r="L860" s="2" t="s">
        <v>0</v>
      </c>
    </row>
    <row r="861" spans="12:12" x14ac:dyDescent="0.2">
      <c r="L861" s="2" t="s">
        <v>0</v>
      </c>
    </row>
    <row r="862" spans="12:12" x14ac:dyDescent="0.2">
      <c r="L862" s="2" t="s">
        <v>0</v>
      </c>
    </row>
    <row r="863" spans="12:12" x14ac:dyDescent="0.2">
      <c r="L863" s="2" t="s">
        <v>0</v>
      </c>
    </row>
    <row r="864" spans="12:12" x14ac:dyDescent="0.2">
      <c r="L864" s="2" t="s">
        <v>0</v>
      </c>
    </row>
    <row r="865" spans="12:12" x14ac:dyDescent="0.2">
      <c r="L865" s="2" t="s">
        <v>0</v>
      </c>
    </row>
    <row r="866" spans="12:12" x14ac:dyDescent="0.2">
      <c r="L866" s="2" t="s">
        <v>0</v>
      </c>
    </row>
    <row r="867" spans="12:12" x14ac:dyDescent="0.2">
      <c r="L867" s="2" t="s">
        <v>0</v>
      </c>
    </row>
    <row r="868" spans="12:12" x14ac:dyDescent="0.2">
      <c r="L868" s="2" t="s">
        <v>0</v>
      </c>
    </row>
    <row r="869" spans="12:12" x14ac:dyDescent="0.2">
      <c r="L869" s="2" t="s">
        <v>0</v>
      </c>
    </row>
    <row r="870" spans="12:12" x14ac:dyDescent="0.2">
      <c r="L870" s="2" t="s">
        <v>0</v>
      </c>
    </row>
    <row r="871" spans="12:12" x14ac:dyDescent="0.2">
      <c r="L871" s="2" t="s">
        <v>0</v>
      </c>
    </row>
    <row r="872" spans="12:12" x14ac:dyDescent="0.2">
      <c r="L872" s="2" t="s">
        <v>0</v>
      </c>
    </row>
    <row r="873" spans="12:12" x14ac:dyDescent="0.2">
      <c r="L873" s="2" t="s">
        <v>0</v>
      </c>
    </row>
    <row r="874" spans="12:12" x14ac:dyDescent="0.2">
      <c r="L874" s="2" t="s">
        <v>0</v>
      </c>
    </row>
    <row r="875" spans="12:12" x14ac:dyDescent="0.2">
      <c r="L875" s="2" t="s">
        <v>0</v>
      </c>
    </row>
    <row r="876" spans="12:12" x14ac:dyDescent="0.2">
      <c r="L876" s="2" t="s">
        <v>0</v>
      </c>
    </row>
    <row r="877" spans="12:12" x14ac:dyDescent="0.2">
      <c r="L877" s="2" t="s">
        <v>0</v>
      </c>
    </row>
    <row r="878" spans="12:12" x14ac:dyDescent="0.2">
      <c r="L878" s="2" t="s">
        <v>0</v>
      </c>
    </row>
    <row r="879" spans="12:12" x14ac:dyDescent="0.2">
      <c r="L879" s="2" t="s">
        <v>0</v>
      </c>
    </row>
    <row r="880" spans="12:12" x14ac:dyDescent="0.2">
      <c r="L880" s="2" t="s">
        <v>0</v>
      </c>
    </row>
    <row r="881" spans="12:12" x14ac:dyDescent="0.2">
      <c r="L881" s="2" t="s">
        <v>0</v>
      </c>
    </row>
    <row r="882" spans="12:12" x14ac:dyDescent="0.2">
      <c r="L882" s="2" t="s">
        <v>0</v>
      </c>
    </row>
    <row r="883" spans="12:12" x14ac:dyDescent="0.2">
      <c r="L883" s="2" t="s">
        <v>0</v>
      </c>
    </row>
    <row r="884" spans="12:12" x14ac:dyDescent="0.2">
      <c r="L884" s="2" t="s">
        <v>0</v>
      </c>
    </row>
    <row r="885" spans="12:12" x14ac:dyDescent="0.2">
      <c r="L885" s="2" t="s">
        <v>0</v>
      </c>
    </row>
    <row r="886" spans="12:12" x14ac:dyDescent="0.2">
      <c r="L886" s="2" t="s">
        <v>0</v>
      </c>
    </row>
    <row r="887" spans="12:12" x14ac:dyDescent="0.2">
      <c r="L887" s="2" t="s">
        <v>0</v>
      </c>
    </row>
    <row r="888" spans="12:12" x14ac:dyDescent="0.2">
      <c r="L888" s="2" t="s">
        <v>0</v>
      </c>
    </row>
    <row r="889" spans="12:12" x14ac:dyDescent="0.2">
      <c r="L889" s="2" t="s">
        <v>0</v>
      </c>
    </row>
    <row r="890" spans="12:12" x14ac:dyDescent="0.2">
      <c r="L890" s="2" t="s">
        <v>0</v>
      </c>
    </row>
    <row r="891" spans="12:12" x14ac:dyDescent="0.2">
      <c r="L891" s="2" t="s">
        <v>0</v>
      </c>
    </row>
    <row r="892" spans="12:12" x14ac:dyDescent="0.2">
      <c r="L892" s="2" t="s">
        <v>0</v>
      </c>
    </row>
    <row r="893" spans="12:12" x14ac:dyDescent="0.2">
      <c r="L893" s="2" t="s">
        <v>0</v>
      </c>
    </row>
    <row r="894" spans="12:12" x14ac:dyDescent="0.2">
      <c r="L894" s="2" t="s">
        <v>0</v>
      </c>
    </row>
    <row r="895" spans="12:12" x14ac:dyDescent="0.2">
      <c r="L895" s="2" t="s">
        <v>0</v>
      </c>
    </row>
    <row r="896" spans="12:12" x14ac:dyDescent="0.2">
      <c r="L896" s="2" t="s">
        <v>0</v>
      </c>
    </row>
    <row r="897" spans="12:12" x14ac:dyDescent="0.2">
      <c r="L897" s="2" t="s">
        <v>0</v>
      </c>
    </row>
    <row r="898" spans="12:12" x14ac:dyDescent="0.2">
      <c r="L898" s="2" t="s">
        <v>0</v>
      </c>
    </row>
    <row r="899" spans="12:12" x14ac:dyDescent="0.2">
      <c r="L899" s="2" t="s">
        <v>0</v>
      </c>
    </row>
    <row r="900" spans="12:12" x14ac:dyDescent="0.2">
      <c r="L900" s="2" t="s">
        <v>0</v>
      </c>
    </row>
    <row r="901" spans="12:12" x14ac:dyDescent="0.2">
      <c r="L901" s="2" t="s">
        <v>0</v>
      </c>
    </row>
    <row r="902" spans="12:12" x14ac:dyDescent="0.2">
      <c r="L902" s="2" t="s">
        <v>0</v>
      </c>
    </row>
    <row r="903" spans="12:12" x14ac:dyDescent="0.2">
      <c r="L903" s="2" t="s">
        <v>0</v>
      </c>
    </row>
    <row r="904" spans="12:12" x14ac:dyDescent="0.2">
      <c r="L904" s="2" t="s">
        <v>0</v>
      </c>
    </row>
    <row r="905" spans="12:12" x14ac:dyDescent="0.2">
      <c r="L905" s="2" t="s">
        <v>0</v>
      </c>
    </row>
    <row r="906" spans="12:12" x14ac:dyDescent="0.2">
      <c r="L906" s="2" t="s">
        <v>0</v>
      </c>
    </row>
    <row r="907" spans="12:12" x14ac:dyDescent="0.2">
      <c r="L907" s="2" t="s">
        <v>0</v>
      </c>
    </row>
    <row r="908" spans="12:12" x14ac:dyDescent="0.2">
      <c r="L908" s="2" t="s">
        <v>0</v>
      </c>
    </row>
    <row r="909" spans="12:12" x14ac:dyDescent="0.2">
      <c r="L909" s="2" t="s">
        <v>0</v>
      </c>
    </row>
    <row r="910" spans="12:12" x14ac:dyDescent="0.2">
      <c r="L910" s="2" t="s">
        <v>0</v>
      </c>
    </row>
    <row r="911" spans="12:12" x14ac:dyDescent="0.2">
      <c r="L911" s="2" t="s">
        <v>0</v>
      </c>
    </row>
    <row r="912" spans="12:12" x14ac:dyDescent="0.2">
      <c r="L912" s="2" t="s">
        <v>0</v>
      </c>
    </row>
    <row r="913" spans="12:12" x14ac:dyDescent="0.2">
      <c r="L913" s="2" t="s">
        <v>0</v>
      </c>
    </row>
    <row r="914" spans="12:12" x14ac:dyDescent="0.2">
      <c r="L914" s="2" t="s">
        <v>0</v>
      </c>
    </row>
    <row r="915" spans="12:12" x14ac:dyDescent="0.2">
      <c r="L915" s="2" t="s">
        <v>0</v>
      </c>
    </row>
    <row r="916" spans="12:12" x14ac:dyDescent="0.2">
      <c r="L916" s="2" t="s">
        <v>0</v>
      </c>
    </row>
    <row r="917" spans="12:12" x14ac:dyDescent="0.2">
      <c r="L917" s="2" t="s">
        <v>0</v>
      </c>
    </row>
    <row r="918" spans="12:12" x14ac:dyDescent="0.2">
      <c r="L918" s="2" t="s">
        <v>0</v>
      </c>
    </row>
    <row r="919" spans="12:12" x14ac:dyDescent="0.2">
      <c r="L919" s="2" t="s">
        <v>0</v>
      </c>
    </row>
    <row r="920" spans="12:12" x14ac:dyDescent="0.2">
      <c r="L920" s="2" t="s">
        <v>0</v>
      </c>
    </row>
    <row r="921" spans="12:12" x14ac:dyDescent="0.2">
      <c r="L921" s="2" t="s">
        <v>0</v>
      </c>
    </row>
    <row r="922" spans="12:12" x14ac:dyDescent="0.2">
      <c r="L922" s="2" t="s">
        <v>0</v>
      </c>
    </row>
    <row r="923" spans="12:12" x14ac:dyDescent="0.2">
      <c r="L923" s="2" t="s">
        <v>0</v>
      </c>
    </row>
    <row r="924" spans="12:12" x14ac:dyDescent="0.2">
      <c r="L924" s="2" t="s">
        <v>0</v>
      </c>
    </row>
    <row r="925" spans="12:12" x14ac:dyDescent="0.2">
      <c r="L925" s="2" t="s">
        <v>0</v>
      </c>
    </row>
    <row r="926" spans="12:12" x14ac:dyDescent="0.2">
      <c r="L926" s="2" t="s">
        <v>0</v>
      </c>
    </row>
    <row r="927" spans="12:12" x14ac:dyDescent="0.2">
      <c r="L927" s="2" t="s">
        <v>0</v>
      </c>
    </row>
    <row r="928" spans="12:12" x14ac:dyDescent="0.2">
      <c r="L928" s="2" t="s">
        <v>0</v>
      </c>
    </row>
    <row r="929" spans="12:12" x14ac:dyDescent="0.2">
      <c r="L929" s="2" t="s">
        <v>0</v>
      </c>
    </row>
    <row r="930" spans="12:12" x14ac:dyDescent="0.2">
      <c r="L930" s="2" t="s">
        <v>0</v>
      </c>
    </row>
    <row r="931" spans="12:12" x14ac:dyDescent="0.2">
      <c r="L931" s="2" t="s">
        <v>0</v>
      </c>
    </row>
    <row r="932" spans="12:12" x14ac:dyDescent="0.2">
      <c r="L932" s="2" t="s">
        <v>0</v>
      </c>
    </row>
    <row r="933" spans="12:12" x14ac:dyDescent="0.2">
      <c r="L933" s="2" t="s">
        <v>0</v>
      </c>
    </row>
    <row r="934" spans="12:12" x14ac:dyDescent="0.2">
      <c r="L934" s="2" t="s">
        <v>0</v>
      </c>
    </row>
  </sheetData>
  <conditionalFormatting sqref="A40:A42">
    <cfRule type="duplicateValues" dxfId="3" priority="4"/>
  </conditionalFormatting>
  <conditionalFormatting sqref="A1:E1">
    <cfRule type="duplicateValues" dxfId="2" priority="1"/>
  </conditionalFormatting>
  <conditionalFormatting sqref="K2:K3">
    <cfRule type="containsErrors" dxfId="1" priority="2">
      <formula>ISERROR(K2)</formula>
    </cfRule>
  </conditionalFormatting>
  <conditionalFormatting sqref="K4:K42">
    <cfRule type="containsErrors" dxfId="0" priority="3">
      <formula>ISERROR(K4)</formula>
    </cfRule>
  </conditionalFormatting>
  <pageMargins left="0.7" right="0.7" top="0.75" bottom="0.75" header="0.3" footer="0.3"/>
  <pageSetup paperSize="9" scale="61" orientation="portrait" r:id="rId1"/>
  <colBreaks count="1" manualBreakCount="1">
    <brk id="5" max="44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TENDA</vt:lpstr>
      <vt:lpstr>TENDA!Área_de_impresión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2026-08-31T15:28:21Z</cp:lastPrinted>
  <dcterms:created xsi:type="dcterms:W3CDTF">2026-05-13T16:13:51Z</dcterms:created>
  <dcterms:modified xsi:type="dcterms:W3CDTF">2026-09-24T21:59:37Z</dcterms:modified>
</cp:coreProperties>
</file>