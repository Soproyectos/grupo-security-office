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EXCEL\"/>
    </mc:Choice>
  </mc:AlternateContent>
  <xr:revisionPtr revIDLastSave="0" documentId="13_ncr:1_{3AE864CF-8568-4B3A-A2CD-60D8B1BB464E}" xr6:coauthVersionLast="47" xr6:coauthVersionMax="47" xr10:uidLastSave="{00000000-0000-0000-0000-000000000000}"/>
  <bookViews>
    <workbookView xWindow="23880" yWindow="-120" windowWidth="21840" windowHeight="13140" xr2:uid="{C30BBB0A-FFA3-4FAC-BADF-9B52A669DD53}"/>
  </bookViews>
  <sheets>
    <sheet name="TP-LINK"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v" hidden="1">{"'ADV&amp;DP'!$A$4:$C$25"}</definedName>
    <definedName name="_??" hidden="1">{"'?????10.27??????'!$Q$16"}</definedName>
    <definedName name="_????" hidden="1">{"'?????10.27??????'!$Q$16"}</definedName>
    <definedName name="_?????" hidden="1">{"DCF-???",#N/A,TRUE,"???";"DCF-??",#N/A,TRUE,"??";"DCF-??",#N/A,TRUE,"??";"DCF-??",#N/A,TRUE,"??";"DCF-??",#N/A,TRUE,"??";"DCF-??",#N/A,TRUE,"??";"DCF-??",#N/A,TRUE,"??";"DCF-??",#N/A,TRUE,"??";"DCF-??",#N/A,TRUE,"??"}</definedName>
    <definedName name="_??????" hidden="1">{"'?????10.27??????'!$Q$16"}</definedName>
    <definedName name="_??06" hidden="1">{"'?????10.27??????'!$Q$16"}</definedName>
    <definedName name="_?16??" hidden="1">{"'????'!$A$1:$C$37"}</definedName>
    <definedName name="________o1" hidden="1">{#N/A,#N/A,FALSE,"SUMMARY";#N/A,#N/A,FALSE,"mcsh";#N/A,#N/A,FALSE,"vol&amp;rev";#N/A,#N/A,FALSE,"wkgcap";#N/A,#N/A,FALSE,"DEPR&amp;DT";#N/A,#N/A,FALSE,"ASSETS";#N/A,#N/A,FALSE,"NI&amp;OTH&amp;DIV";#N/A,#N/A,FALSE,"CASHFLOW";#N/A,#N/A,FALSE,"CAPEMPL";#N/A,#N/A,FALSE,"ROCE"}</definedName>
    <definedName name="_______DF4" hidden="1">#REF!</definedName>
    <definedName name="______DF4" hidden="1">#REF!</definedName>
    <definedName name="______o1" hidden="1">{#N/A,#N/A,FALSE,"SUMMARY";#N/A,#N/A,FALSE,"mcsh";#N/A,#N/A,FALSE,"vol&amp;rev";#N/A,#N/A,FALSE,"wkgcap";#N/A,#N/A,FALSE,"DEPR&amp;DT";#N/A,#N/A,FALSE,"ASSETS";#N/A,#N/A,FALSE,"NI&amp;OTH&amp;DIV";#N/A,#N/A,FALSE,"CASHFLOW";#N/A,#N/A,FALSE,"CAPEMPL";#N/A,#N/A,FALSE,"ROCE"}</definedName>
    <definedName name="_____DF4" hidden="1">#REF!</definedName>
    <definedName name="_____o1" hidden="1">{#N/A,#N/A,FALSE,"SUMMARY";#N/A,#N/A,FALSE,"mcsh";#N/A,#N/A,FALSE,"vol&amp;rev";#N/A,#N/A,FALSE,"wkgcap";#N/A,#N/A,FALSE,"DEPR&amp;DT";#N/A,#N/A,FALSE,"ASSETS";#N/A,#N/A,FALSE,"NI&amp;OTH&amp;DIV";#N/A,#N/A,FALSE,"CASHFLOW";#N/A,#N/A,FALSE,"CAPEMPL";#N/A,#N/A,FALSE,"ROCE"}</definedName>
    <definedName name="____DF4" hidden="1">#REF!</definedName>
    <definedName name="____o1" hidden="1">{#N/A,#N/A,FALSE,"SUMMARY";#N/A,#N/A,FALSE,"mcsh";#N/A,#N/A,FALSE,"vol&amp;rev";#N/A,#N/A,FALSE,"wkgcap";#N/A,#N/A,FALSE,"DEPR&amp;DT";#N/A,#N/A,FALSE,"ASSETS";#N/A,#N/A,FALSE,"NI&amp;OTH&amp;DIV";#N/A,#N/A,FALSE,"CASHFLOW";#N/A,#N/A,FALSE,"CAPEMPL";#N/A,#N/A,FALSE,"ROCE"}</definedName>
    <definedName name="___DF4" hidden="1">#REF!</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hidden="1">#REF!</definedName>
    <definedName name="__FDS_HYPERLINK_TOGGLE_STATE__" hidden="1">"ON"</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hidden="1">#REF!</definedName>
    <definedName name="_104__123Graph_Dｸﾞﾗﾌ_1" hidden="1">#REF!</definedName>
    <definedName name="_105__123Graph_XIRR_IRR" hidden="1">#REF!</definedName>
    <definedName name="_106__123Graph_XMOF_NB"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hidden="1">#REF!</definedName>
    <definedName name="_14__123Graph_A????_1" hidden="1">#REF!</definedName>
    <definedName name="_14__123Graph_ACHART_2" hidden="1">#REF!</definedName>
    <definedName name="_14__123Graph_Aｸﾞﾗﾌ_1" hidden="1">#REF!</definedName>
    <definedName name="_14__123Graph_LBL_ACHART_3" hidden="1">'[3]Historical IS'!#REF!</definedName>
    <definedName name="_15__123Graph_ACHART_20" hidden="1">[4]sga!$P$10:$R$10</definedName>
    <definedName name="_15__123Graph_BIRR_IRR" hidden="1">#REF!</definedName>
    <definedName name="_15__123Graph_LBL_ACHART_4" hidden="1">'[3]Historical IS'!#REF!</definedName>
    <definedName name="_16__123Graph_ACHART_3" hidden="1">#REF!</definedName>
    <definedName name="_16__123Graph_BMOF_NB" hidden="1">#REF!</definedName>
    <definedName name="_16__123Graph_LBL_BCHART_3" hidden="1">'[3]Historical IS'!#REF!</definedName>
    <definedName name="_17__123Graph_ACHART_4" hidden="1">#REF!</definedName>
    <definedName name="_17__123Graph_B????_1" hidden="1">#REF!</definedName>
    <definedName name="_17__123Graph_Bｸﾞﾗﾌ_1" hidden="1">#REF!</definedName>
    <definedName name="_17__123Graph_LBL_BCHART_4" hidden="1">'[3]Historical IS'!#REF!</definedName>
    <definedName name="_18__123Graph_ACHART_5" hidden="1">#REF!</definedName>
    <definedName name="_18__123Graph_C????_1" hidden="1">#REF!</definedName>
    <definedName name="_18__123Graph_Cｸﾞﾗﾌ_1" hidden="1">#REF!</definedName>
    <definedName name="_18__123Graph_LBL_CCHART_3" hidden="1">'[3]Historical IS'!#REF!</definedName>
    <definedName name="_19__123Graph_ACHART_6" hidden="1">#REF!</definedName>
    <definedName name="_19__123Graph_D????_1" hidden="1">#REF!</definedName>
    <definedName name="_19__123Graph_Dｸﾞﾗﾌ_1" hidden="1">#REF!</definedName>
    <definedName name="_19__123Graph_XCHART_1" hidden="1">'[3]Historical IS'!#REF!</definedName>
    <definedName name="_2_??" hidden="1">{"'?????10.27??????'!$Q$16"}</definedName>
    <definedName name="_2____123Graph_A????_1" hidden="1">#REF!</definedName>
    <definedName name="_2____123Graph_Aｸﾞﾗﾌ_1" hidden="1">#REF!</definedName>
    <definedName name="_2__123Graph_ACHART_3" hidden="1">'[3]Historical IS'!#REF!</definedName>
    <definedName name="_20__123Graph_ACHART_7" hidden="1">#REF!</definedName>
    <definedName name="_20__123Graph_XCHART_3" hidden="1">'[3]Historical IS'!#REF!</definedName>
    <definedName name="_20__123Graph_XIRR_IRR" hidden="1">#REF!</definedName>
    <definedName name="_21__123Graph_ACHART_8" hidden="1">#REF!</definedName>
    <definedName name="_21__123Graph_XCHART_4" hidden="1">'[3]Historical IS'!#REF!</definedName>
    <definedName name="_21__123Graph_XMOF_NB" hidden="1">#REF!</definedName>
    <definedName name="_22__123Graph_ACHART_9" hidden="1">#REF!</definedName>
    <definedName name="_22__123Graph_X????_1" hidden="1">#REF!</definedName>
    <definedName name="_22__123Graph_XCHART_8" hidden="1">'[3]Historical IS'!#REF!</definedName>
    <definedName name="_22__123Graph_Xｸﾞﾗﾌ_1" hidden="1">#REF!</definedName>
    <definedName name="_23__123Graph_BCHART_1" hidden="1">#REF!</definedName>
    <definedName name="_24__123Graph_BCHART_1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hidden="1">#REF!</definedName>
    <definedName name="_29__123Graph_BCHART_16" hidden="1">[4]engineering!$Q$50:$S$50</definedName>
    <definedName name="_3____123Graph_B????_1" hidden="1">#REF!</definedName>
    <definedName name="_3____123Graph_Bｸﾞﾗﾌ_1" hidden="1">#REF!</definedName>
    <definedName name="_3__123Graph_ACHART_1" hidden="1">#REF!</definedName>
    <definedName name="_3__123Graph_ACHART_4" hidden="1">'[3]Historical IS'!#REF!</definedName>
    <definedName name="_30__123Graph_BCHART_17" hidden="1">[4]revenue!$P$78:$R$78</definedName>
    <definedName name="_31__123Graph_BCHART_2" hidden="1">#REF!</definedName>
    <definedName name="_32__123Graph_BCHART_20" hidden="1">[4]sga!$P$11:$R$11</definedName>
    <definedName name="_33__123Graph_BCHART_3" hidden="1">[4]revenue!$P$10:$R$10</definedName>
    <definedName name="_34__123Graph_BCHART_6" hidden="1">#REF!</definedName>
    <definedName name="_35__123Graph_BCHART_7" hidden="1">[4]revenue!$P$45:$R$45</definedName>
    <definedName name="_36_??06" hidden="1">{"'?????10.27??????'!$Q$16"}</definedName>
    <definedName name="_36__123Graph_BCHART_8" hidden="1">#REF!</definedName>
    <definedName name="_37__123Graph_BCHART_9" hidden="1">[4]engineering!$P$7:$T$7</definedName>
    <definedName name="_38__123Graph_CCHART_1" hidden="1">#REF!</definedName>
    <definedName name="_39__123Graph_CCHART_11" hidden="1">[4]engineering!$P$16:$T$16</definedName>
    <definedName name="_4____123Graph_C????_1" hidden="1">#REF!</definedName>
    <definedName name="_4____123Graph_Cｸﾞﾗﾌ_1" hidden="1">#REF!</definedName>
    <definedName name="_4__123Graph_ACHART_10" hidden="1">#REF!</definedName>
    <definedName name="_4__123Graph_ACHART_8" hidden="1">'[3]Historical IS'!#REF!</definedName>
    <definedName name="_40__123Graph_CCHART_12" hidden="1">#REF!</definedName>
    <definedName name="_41__123Graph_CCHART_2" hidden="1">#REF!</definedName>
    <definedName name="_42__123Graph_CCHART_20" hidden="1">[4]sga!$P$12:$R$12</definedName>
    <definedName name="_43__123Graph_CCHART_7" hidden="1">[4]revenue!$P$46:$R$46</definedName>
    <definedName name="_44__123Graph_CCHART_8" hidden="1">#REF!</definedName>
    <definedName name="_45__123Graph_DCHART_1" hidden="1">#REF!</definedName>
    <definedName name="_46__123Graph_DCHART_12" hidden="1">#REF!</definedName>
    <definedName name="_47__123Graph_DCHART_2" hidden="1">#REF!</definedName>
    <definedName name="_48__123Graph_DCHART_8" hidden="1">#REF!</definedName>
    <definedName name="_49__123Graph_ECHART_12" hidden="1">#REF!</definedName>
    <definedName name="_5____123Graph_X????_1" hidden="1">#REF!</definedName>
    <definedName name="_5____123Graph_Xｸﾞﾗﾌ_1" hidden="1">#REF!</definedName>
    <definedName name="_5__123Graph_ACHART_11" hidden="1">#REF!</definedName>
    <definedName name="_5__123Graph_BCHART_1" hidden="1">'[3]Historical IS'!#REF!</definedName>
    <definedName name="_50__123Graph_ECHART_2" hidden="1">#REF!</definedName>
    <definedName name="_51__123Graph_Aｸﾞﾗﾌ_1" hidden="1">#REF!</definedName>
    <definedName name="_51__123Graph_ECHART_8" hidden="1">#REF!</definedName>
    <definedName name="_52__123Graph_BIRR_IRR" hidden="1">#REF!</definedName>
    <definedName name="_52__123Graph_FCHART_1" hidden="1">#REF!</definedName>
    <definedName name="_53__123Graph_BMOF_NB" hidden="1">#REF!</definedName>
    <definedName name="_53__123Graph_XCHART_10" hidden="1">#REF!</definedName>
    <definedName name="_54__123Graph_XCHART_11" hidden="1">#REF!</definedName>
    <definedName name="_55__123Graph_XCHART_12" hidden="1">#REF!</definedName>
    <definedName name="_56__123Graph_XCHART_13" hidden="1">#REF!</definedName>
    <definedName name="_57__123Graph_XCHART_14" hidden="1">#REF!</definedName>
    <definedName name="_58__123Graph_XCHART_15" hidden="1">#REF!</definedName>
    <definedName name="_59__123Graph_XCHART_16" hidden="1">[4]engineering!$Q$48:$S$48</definedName>
    <definedName name="_6___123Graph_AIRR_IRR" hidden="1">#REF!</definedName>
    <definedName name="_6__123Graph_ACHART_12" hidden="1">#REF!</definedName>
    <definedName name="_6__123Graph_BCHART_3" hidden="1">'[3]Historical IS'!#REF!</definedName>
    <definedName name="_60__123Graph_XCHART_18" hidden="1">[4]revenue!$P$81:$R$81</definedName>
    <definedName name="_61__123Graph_XCHART_2" hidden="1">#REF!</definedName>
    <definedName name="_62__123Graph_XCHART_20" hidden="1">[4]sga!$P$9:$R$9</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CHART_7" hidden="1">#REF!</definedName>
    <definedName name="_68_?16??" hidden="1">{"'????'!$A$1:$C$37"}</definedName>
    <definedName name="_68__123Graph_XCHART_8" hidden="1">#REF!</definedName>
    <definedName name="_69__123Graph_XCHART_9" hidden="1">#REF!</definedName>
    <definedName name="_7_????" hidden="1">{"'?????10.27??????'!$Q$16"}</definedName>
    <definedName name="_7___123Graph_BIRR_IRR" hidden="1">#REF!</definedName>
    <definedName name="_7__123Graph_ACHART_13" hidden="1">#REF!</definedName>
    <definedName name="_7__123Graph_BCHART_4" hidden="1">'[3]Historical IS'!#REF!</definedName>
    <definedName name="_78__123Graph_Bｸﾞﾗﾌ_1" hidden="1">#REF!</definedName>
    <definedName name="_8_?????" hidden="1">{"DCF-???",#N/A,TRUE,"???";"DCF-??",#N/A,TRUE,"??";"DCF-??",#N/A,TRUE,"??";"DCF-??",#N/A,TRUE,"??";"DCF-??",#N/A,TRUE,"??";"DCF-??",#N/A,TRUE,"??";"DCF-??",#N/A,TRUE,"??";"DCF-??",#N/A,TRUE,"??";"DCF-??",#N/A,TRUE,"??"}</definedName>
    <definedName name="_8___123Graph_BMOF_NB" hidden="1">#REF!</definedName>
    <definedName name="_8__123Graph_ACHART_14" hidden="1">#REF!</definedName>
    <definedName name="_8__123Graph_BCHART_8" hidden="1">'[3]Historical IS'!#REF!</definedName>
    <definedName name="_9_??????" hidden="1">{"'?????10.27??????'!$Q$16"}</definedName>
    <definedName name="_9___123Graph_D????_1" hidden="1">#REF!</definedName>
    <definedName name="_9___123Graph_Dｸﾞﾗﾌ_1" hidden="1">#REF!</definedName>
    <definedName name="_9__123Graph_ACHART_15" hidden="1">#REF!</definedName>
    <definedName name="_9__123Graph_CCHART_1" hidden="1">'[3]Historical IS'!#REF!</definedName>
    <definedName name="_DF4" hidden="1">#REF!</definedName>
    <definedName name="_Fill" hidden="1">#REF!</definedName>
    <definedName name="_xlnm._FilterDatabase" hidden="1">'[5]46W9'!#REF!</definedName>
    <definedName name="_Key2" hidden="1">#REF!</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hidden="1">{#N/A,#N/A,FALSE,"TOTFINAL";#N/A,#N/A,FALSE,"FINPLAN";#N/A,#N/A,FALSE,"TOTMOTADJ";#N/A,#N/A,FALSE,"tieEQ";#N/A,#N/A,FALSE,"G";#N/A,#N/A,FALSE,"ELIMS";#N/A,#N/A,FALSE,"NEXTEL ADJ";#N/A,#N/A,FALSE,"MIMS";#N/A,#N/A,FALSE,"LMPS";#N/A,#N/A,FALSE,"CNSS";#N/A,#N/A,FALSE,"CSS";#N/A,#N/A,FALSE,"MCG";#N/A,#N/A,FALSE,"AECS";#N/A,#N/A,FALSE,"SPS";#N/A,#N/A,FALSE,"CORP"}</definedName>
    <definedName name="ando" hidden="1">{"'下期集計（10.27迄・速報値）'!$Q$16"}</definedName>
    <definedName name="anscount" hidden="1">3</definedName>
    <definedName name="AS2DocOpenMode" hidden="1">"AS2DocumentEdit"</definedName>
    <definedName name="AS2HasNoAutoHeaderFooter" hidden="1">" "</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hidden="1">{"'Highlights'!$A$1:$M$123"}</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hidden="1">{"'下期集計（10.27迄・速報値）'!$Q$16"}</definedName>
    <definedName name="cover" hidden="1">#REF!</definedName>
    <definedName name="efg" hidden="1">{#N/A,#N/A,TRUE,"A"}</definedName>
    <definedName name="fds" hidden="1">{"'下期集計（10.27迄・速報値）'!$Q$16"}</definedName>
    <definedName name="ｇ" hidden="1">{"'下期集計（10.27迄・速報値）'!$Q$16"}</definedName>
    <definedName name="gd" hidden="1">{"'下期集計（10.27迄・速報値）'!$Q$16"}</definedName>
    <definedName name="gda" hidden="1">{"'下期集計（10.27迄・速報値）'!$Q$16"}</definedName>
    <definedName name="gdsa" hidden="1">{"'下期集計（10.27迄・速報値）'!$Q$16"}</definedName>
    <definedName name="gh" hidden="1">{"'Highlights'!$A$1:$M$123"}</definedName>
    <definedName name="ｈ" hidden="1">{"'下期集計（10.27迄・速報値）'!$Q$16"}</definedName>
    <definedName name="H16?1??" hidden="1">{"'????'!$A$1:$C$37"}</definedName>
    <definedName name="Ｈ16・１" hidden="1">{"'コメント'!$A$1:$C$37"}</definedName>
    <definedName name="H16･1速報" hidden="1">{"'コメント'!$A$1:$C$37"}</definedName>
    <definedName name="HTM_Control" hidden="1">{"'下期集計（10.27迄・速報値）'!$Q$16"}</definedName>
    <definedName name="ＨＴＭＬ" hidden="1">{"'コメント'!$A$1:$C$37"}</definedName>
    <definedName name="HTML_CodePage" hidden="1">1252</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hidden="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hidden="1">{"'Highlights'!$A$1:$M$123"}</definedName>
    <definedName name="k" hidden="1">{"'下期集計（10.27迄・速報値）'!$Q$16"}</definedName>
    <definedName name="kjh" hidden="1">{#N/A,#N/A,TRUE,"A"}</definedName>
    <definedName name="kjl" hidden="1">{#N/A,#N/A,FALSE,"TOTFINAL";#N/A,#N/A,FALSE,"FINPLAN";#N/A,#N/A,FALSE,"TOTMOTADJ";#N/A,#N/A,FALSE,"tieEQ";#N/A,#N/A,FALSE,"G";#N/A,#N/A,FALSE,"ELIMS";#N/A,#N/A,FALSE,"NEXTEL ADJ";#N/A,#N/A,FALSE,"MIMS";#N/A,#N/A,FALSE,"LMPS";#N/A,#N/A,FALSE,"CNSS";#N/A,#N/A,FALSE,"CSS";#N/A,#N/A,FALSE,"MCG";#N/A,#N/A,FALSE,"AECS";#N/A,#N/A,FALSE,"SPS";#N/A,#N/A,FALSE,"CORP"}</definedName>
    <definedName name="kk" hidden="1">{"'下期集計（10.27迄・速報値）'!$Q$16"}</definedName>
    <definedName name="kkk" hidden="1">{"'下期集計（10.27迄・速報値）'!$Q$16"}</definedName>
    <definedName name="lio" hidden="1">{#N/A,#N/A,TRUE,"A"}</definedName>
    <definedName name="LISTA">#REF!</definedName>
    <definedName name="ListOffset" hidden="1">1</definedName>
    <definedName name="MBAS" hidden="1">{"'ADV&amp;DP'!$A$4:$C$25"}</definedName>
    <definedName name="mbs" hidden="1">{"'ADV&amp;DP'!$A$4:$C$25"}</definedName>
    <definedName name="MKK" hidden="1">{"'下期集計（10.27迄・速報値）'!$Q$16"}</definedName>
    <definedName name="mmm" hidden="1">{"'ADV&amp;DP'!$A$4:$C$25"}</definedName>
    <definedName name="MOBILE" hidden="1">{"'ADV&amp;DP'!$A$4:$C$25"}</definedName>
    <definedName name="n" hidden="1">{"'下期集計（10.27迄・速報値）'!$Q$16"}</definedName>
    <definedName name="new" hidden="1">{"'Highlights'!$A$1:$M$123"}</definedName>
    <definedName name="nm" hidden="1">{#N/A,#N/A,TRUE,"A"}</definedName>
    <definedName name="ñlo" hidden="1">{#N/A,#N/A,TRUE,"A"}</definedName>
    <definedName name="ñp" hidden="1">{#N/A,#N/A,TRUE,"A"}</definedName>
    <definedName name="oi" hidden="1">{#N/A,#N/A,TRUE,"A"}</definedName>
    <definedName name="ok" hidden="1">{"'Highlights'!$A$1:$M$123"}</definedName>
    <definedName name="PANELES">#REF!</definedName>
    <definedName name="piu" hidden="1">{#N/A,#N/A,TRUE,"A"}</definedName>
    <definedName name="plo" hidden="1">{#N/A,#N/A,TRUE,"A"}</definedName>
    <definedName name="po" hidden="1">{#N/A,#N/A,TRUE,"A"}</definedName>
    <definedName name="PTSB" hidden="1">{"'Highlights'!$A$1:$M$123"}</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hidden="1">{"'下期集計（10.27迄・速報値）'!$Q$16"}</definedName>
    <definedName name="ＲＡＲＯＡ" hidden="1">{"'下期集計（10.27迄・速報値）'!$Q$16"}</definedName>
    <definedName name="RETENCION">'[7]Cálculo LPVta Cambium'!$AA$4</definedName>
    <definedName name="rfg" hidden="1">{#N/A,#N/A,TRUE,"A"}</definedName>
    <definedName name="SAPBEXdnldView" hidden="1">"4X7PHJJ3EF70UJ33CI6YVQIOV"</definedName>
    <definedName name="SAPBEXsysID" hidden="1">"PBK"</definedName>
    <definedName name="SCOG" hidden="1">{"'ADV&amp;DP'!$A$4:$C$25"}</definedName>
    <definedName name="sencount" hidden="1">1</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0.6</definedName>
    <definedName name="stp">[8]Resumen_Inv!$I$66</definedName>
    <definedName name="t" hidden="1">{"'下期集計（10.27迄・速報値）'!$Q$16"}</definedName>
    <definedName name="tyh" hidden="1">{#N/A,#N/A,TRUE,"A"}</definedName>
    <definedName name="v" hidden="1">{#N/A,#N/A,FALSE,"TOTFINAL";#N/A,#N/A,FALSE,"FINPLAN";#N/A,#N/A,FALSE,"TOTMOTADJ";#N/A,#N/A,FALSE,"tieEQ";#N/A,#N/A,FALSE,"G";#N/A,#N/A,FALSE,"ELIMS";#N/A,#N/A,FALSE,"NEXTEL ADJ";#N/A,#N/A,FALSE,"MIMS";#N/A,#N/A,FALSE,"LMPS";#N/A,#N/A,FALSE,"CNSS";#N/A,#N/A,FALSE,"CSS";#N/A,#N/A,FALSE,"MCG";#N/A,#N/A,FALSE,"AECS";#N/A,#N/A,FALSE,"SPS";#N/A,#N/A,FALSE,"CORP"}</definedName>
    <definedName name="vbn" hidden="1">{#N/A,#N/A,TRUE,"A"}</definedName>
    <definedName name="w" hidden="1">{"'下期集計（10.27迄・速報値）'!$Q$16"}</definedName>
    <definedName name="wrn.???." hidden="1">{"DCF-???",#N/A,TRUE,"???";"FS-???",#N/A,TRUE,"???";"DCF-??",#N/A,TRUE,"??";"FS-??",#N/A,TRUE,"??";"DCF-??",#N/A,TRUE,"??";"FS-??",#N/A,TRUE,"??";"DCF-??",#N/A,TRUE,"??";"FS-??",#N/A,TRUE,"??";"DCF-??",#N/A,TRUE,"??";"FS-??",#N/A,TRUE,"??";"DCF-??",#N/A,TRUE,"??";"FS-??",#N/A,TRUE,"??";"DCF-??",#N/A,TRUE,"??";"FS-??",#N/A,TRUE,"??";"DCF-??",#N/A,TRUE,"??";"FS-??",#N/A,TRUE,"??";"DCF-??",#N/A,TRUE,"??";"FS-??",#N/A,TRUE,"??"}</definedName>
    <definedName name="wrn.Aging._.and._.Trend._.Analysis." hidden="1">{#N/A,#N/A,FALSE,"Aging Summary";#N/A,#N/A,FALSE,"Ratio Analysis";#N/A,#N/A,FALSE,"Test 120 Day Accts";#N/A,#N/A,FALSE,"Tickmarks"}</definedName>
    <definedName name="wrn.All._.Sheets." hidden="1">{#N/A,#N/A,FALSE,"1997 WW (Short)";#N/A,#N/A,FALSE,"1997 RF Mfg";#N/A,#N/A,FALSE,"Ancillary-CSM";#N/A,#N/A,FALSE,"1997 Service"}</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hidden="1">{#N/A,#N/A,FALSE,"4-up charts p.1";#N/A,#N/A,FALSE,"4-up charts p.2";#N/A,#N/A,FALSE," rate of ? qtr";#N/A,#N/A,FALSE,"Detail Rel rate of ? ";#N/A,#N/A,FALSE,"Inventory"}</definedName>
    <definedName name="wrn.DCF????." hidden="1">{"DCF-???",#N/A,TRUE,"???";"DCF-??",#N/A,TRUE,"??";"DCF-??",#N/A,TRUE,"??";"DCF-??",#N/A,TRUE,"??";"DCF-??",#N/A,TRUE,"??";"DCF-??",#N/A,TRUE,"??";"DCF-??",#N/A,TRUE,"??";"DCF-??",#N/A,TRUE,"??";"DCF-??",#N/A,TRUE,"??"}</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hidden="1">{#N/A,#N/A,TRUE,"A"}</definedName>
    <definedName name="wrn.EAN3" hidden="1">{#N/A,#N/A,TRUE,"A"}</definedName>
    <definedName name="wrn.FS????." hidden="1">{"FS-???",#N/A,TRUE,"???";"FS-??",#N/A,TRUE,"??";"FS-??",#N/A,TRUE,"??";"FS-??",#N/A,TRUE,"??";"FS-??",#N/A,TRUE,"??";"FS-??",#N/A,TRUE,"??";"FS-??",#N/A,TRUE,"??";"FS-??",#N/A,TRUE,"??";"FS-??",#N/A,TRUE,"??"}</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hidden="1">{#N/A,#N/A,FALSE,"Outlook for Month ";#N/A,#N/A,FALSE,"Risk for Month ";#N/A,#N/A,FALSE,"Upside for Month"}</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hidden="1">{#N/A,#N/A,TRUE,"A"}</definedName>
    <definedName name="yhu" hidden="1">{#N/A,#N/A,TRUE,"A"}</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hidden="1">{#N/A,#N/A,FALSE,"TOTFINAL";#N/A,#N/A,FALSE,"FINPLAN";#N/A,#N/A,FALSE,"TOTMOTADJ";#N/A,#N/A,FALSE,"tieEQ";#N/A,#N/A,FALSE,"G";#N/A,#N/A,FALSE,"ELIMS";#N/A,#N/A,FALSE,"NEXTEL ADJ";#N/A,#N/A,FALSE,"MIMS";#N/A,#N/A,FALSE,"LMPS";#N/A,#N/A,FALSE,"CNSS";#N/A,#N/A,FALSE,"CSS";#N/A,#N/A,FALSE,"MCG";#N/A,#N/A,FALSE,"AECS";#N/A,#N/A,FALSE,"SPS";#N/A,#N/A,FALSE,"CORP"}</definedName>
    <definedName name="ぁ" hidden="1">{"'下期集計（10.27迄・速報値）'!$Q$16"}</definedName>
    <definedName name="あ" hidden="1">{"'下期集計（10.27迄・速報値）'!$Q$16"}</definedName>
    <definedName name="あああ" hidden="1">{"'下期集計（10.27迄・速報値）'!$Q$16"}</definedName>
    <definedName name="ｼｰﾄ" hidden="1">[9]計算過程シート!#REF!</definedName>
    <definedName name="なんで" hidden="1">{"'下期集計（10.27迄・速報値）'!$Q$16"}</definedName>
    <definedName name="なんなの" hidden="1">{"'下期集計（10.27迄・速報値）'!$Q$16"}</definedName>
    <definedName name="一括"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hidden="1">{"'下期集計（10.27迄・速報値）'!$Q$16"}</definedName>
    <definedName name="年間資金収支あ" hidden="1">{"'下期集計（10.27迄・速報値）'!$Q$16"}</definedName>
    <definedName name="日繰06" hidden="1">{"'下期集計（10.27迄・速報値）'!$Q$16"}</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hidden="1">{"'下期集計（10.27迄・速報値）'!$Q$16"}</definedName>
    <definedName name="評価対象" hidden="1">[9]計算過程シート!#REF!</definedName>
    <definedName name="資金" hidden="1">{"'下期集計（10.27迄・速報値）'!$Q$16"}</definedName>
    <definedName name="金利体系"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49" i="1" l="1"/>
  <c r="H349" i="1"/>
  <c r="H350" i="1"/>
  <c r="C350" i="1" s="1"/>
  <c r="H351" i="1"/>
  <c r="C351" i="1" s="1"/>
  <c r="H352" i="1"/>
  <c r="C352" i="1" s="1"/>
  <c r="H353" i="1"/>
  <c r="C353" i="1" s="1"/>
  <c r="H354" i="1"/>
  <c r="C354" i="1" s="1"/>
  <c r="H355" i="1"/>
  <c r="C355" i="1" s="1"/>
  <c r="H356" i="1"/>
  <c r="C356" i="1" s="1"/>
  <c r="H357" i="1"/>
  <c r="C357" i="1" s="1"/>
  <c r="H358" i="1"/>
  <c r="C358" i="1" s="1"/>
  <c r="H359" i="1"/>
  <c r="C359" i="1" s="1"/>
  <c r="H360" i="1"/>
  <c r="C360" i="1" s="1"/>
  <c r="H361" i="1"/>
  <c r="C361" i="1" s="1"/>
  <c r="H362" i="1"/>
  <c r="C362" i="1" s="1"/>
  <c r="H363" i="1"/>
  <c r="C363" i="1" s="1"/>
  <c r="H364" i="1"/>
  <c r="C364" i="1" s="1"/>
  <c r="H365" i="1"/>
  <c r="C365" i="1" s="1"/>
  <c r="H366" i="1"/>
  <c r="C366" i="1" s="1"/>
  <c r="H367" i="1"/>
  <c r="C367" i="1" s="1"/>
  <c r="H368" i="1"/>
  <c r="C368" i="1" s="1"/>
  <c r="H369" i="1"/>
  <c r="C369" i="1" s="1"/>
  <c r="H370" i="1"/>
  <c r="C370" i="1" s="1"/>
  <c r="H371" i="1"/>
  <c r="C371" i="1" s="1"/>
  <c r="H372" i="1"/>
  <c r="C372" i="1" s="1"/>
  <c r="H373" i="1"/>
  <c r="C373" i="1" s="1"/>
  <c r="H374" i="1"/>
  <c r="C374" i="1" s="1"/>
  <c r="H375" i="1"/>
  <c r="C375" i="1" s="1"/>
  <c r="H376" i="1"/>
  <c r="C376" i="1" s="1"/>
  <c r="H377" i="1"/>
  <c r="C377" i="1" s="1"/>
  <c r="H378" i="1"/>
  <c r="C378" i="1" s="1"/>
  <c r="H379" i="1"/>
  <c r="C379" i="1" s="1"/>
  <c r="H380" i="1"/>
  <c r="C380" i="1" s="1"/>
  <c r="H381" i="1"/>
  <c r="C381" i="1" s="1"/>
  <c r="H382" i="1"/>
  <c r="C382" i="1" s="1"/>
  <c r="H383" i="1"/>
  <c r="C383" i="1" s="1"/>
  <c r="H384" i="1"/>
  <c r="C384" i="1" s="1"/>
  <c r="H385" i="1"/>
  <c r="C385" i="1" s="1"/>
  <c r="H386" i="1"/>
  <c r="C386" i="1" s="1"/>
  <c r="H387" i="1"/>
  <c r="C387" i="1" s="1"/>
  <c r="H388" i="1"/>
  <c r="C388" i="1" s="1"/>
  <c r="H389" i="1"/>
  <c r="C389" i="1" s="1"/>
  <c r="H390" i="1"/>
  <c r="C390" i="1" s="1"/>
  <c r="H391" i="1"/>
  <c r="C391" i="1" s="1"/>
  <c r="H392" i="1"/>
  <c r="C392" i="1" s="1"/>
  <c r="H393" i="1"/>
  <c r="C393" i="1" s="1"/>
  <c r="H394" i="1"/>
  <c r="C394" i="1" s="1"/>
  <c r="H395" i="1"/>
  <c r="C395" i="1" s="1"/>
  <c r="H396" i="1"/>
  <c r="C396" i="1" s="1"/>
  <c r="H397" i="1"/>
  <c r="C397" i="1" s="1"/>
  <c r="H398" i="1"/>
  <c r="C398" i="1" s="1"/>
  <c r="H399" i="1"/>
  <c r="C399" i="1" s="1"/>
  <c r="H400" i="1"/>
  <c r="C400" i="1" s="1"/>
  <c r="H401" i="1"/>
  <c r="C401" i="1" s="1"/>
  <c r="H402" i="1"/>
  <c r="C402" i="1" s="1"/>
  <c r="H403" i="1"/>
  <c r="C403" i="1" s="1"/>
  <c r="H404" i="1"/>
  <c r="C404" i="1" s="1"/>
  <c r="H405" i="1"/>
  <c r="C405" i="1" s="1"/>
  <c r="H406" i="1"/>
  <c r="C406" i="1" s="1"/>
  <c r="H407" i="1"/>
  <c r="C407" i="1" s="1"/>
  <c r="H408" i="1"/>
  <c r="C408" i="1" s="1"/>
  <c r="H409" i="1"/>
  <c r="C409" i="1" s="1"/>
  <c r="H410" i="1"/>
  <c r="C410" i="1" s="1"/>
  <c r="H411" i="1"/>
  <c r="C411" i="1" s="1"/>
  <c r="H412" i="1"/>
  <c r="C412" i="1" s="1"/>
  <c r="H413" i="1"/>
  <c r="C413" i="1" s="1"/>
  <c r="H414" i="1"/>
  <c r="C414" i="1" s="1"/>
  <c r="H415" i="1"/>
  <c r="C415" i="1" s="1"/>
  <c r="H416" i="1"/>
  <c r="C416" i="1" s="1"/>
  <c r="H417" i="1"/>
  <c r="C417" i="1" s="1"/>
  <c r="H418" i="1"/>
  <c r="C418" i="1" s="1"/>
  <c r="H419" i="1"/>
  <c r="C419" i="1" s="1"/>
  <c r="H420" i="1"/>
  <c r="C420" i="1" s="1"/>
  <c r="H421" i="1"/>
  <c r="C421" i="1" s="1"/>
  <c r="H422" i="1"/>
  <c r="C422" i="1" s="1"/>
  <c r="H423" i="1"/>
  <c r="C423" i="1" s="1"/>
  <c r="H424" i="1"/>
  <c r="C424" i="1" s="1"/>
  <c r="H425" i="1"/>
  <c r="C425" i="1" s="1"/>
  <c r="H426" i="1"/>
  <c r="C426" i="1" s="1"/>
  <c r="H427" i="1"/>
  <c r="C427" i="1" s="1"/>
  <c r="H428" i="1"/>
  <c r="C428" i="1" s="1"/>
  <c r="H429" i="1"/>
  <c r="C429" i="1" s="1"/>
  <c r="H430" i="1"/>
  <c r="C430" i="1" s="1"/>
  <c r="H431" i="1"/>
  <c r="C431" i="1" s="1"/>
  <c r="H432" i="1"/>
  <c r="C432" i="1" s="1"/>
  <c r="H433" i="1"/>
  <c r="C433" i="1" s="1"/>
  <c r="H434" i="1"/>
  <c r="C434" i="1" s="1"/>
  <c r="H435" i="1"/>
  <c r="C435" i="1" s="1"/>
  <c r="H436" i="1"/>
  <c r="C436" i="1" s="1"/>
  <c r="H437" i="1"/>
  <c r="C437" i="1" s="1"/>
  <c r="H438" i="1"/>
  <c r="C438" i="1" s="1"/>
  <c r="H439" i="1"/>
  <c r="C439" i="1" s="1"/>
  <c r="H440" i="1"/>
  <c r="C440" i="1" s="1"/>
  <c r="H441" i="1"/>
  <c r="C441" i="1" s="1"/>
  <c r="H442" i="1"/>
  <c r="C442" i="1" s="1"/>
  <c r="H443" i="1"/>
  <c r="C443" i="1" s="1"/>
  <c r="H444" i="1"/>
  <c r="C444" i="1" s="1"/>
  <c r="H445" i="1"/>
  <c r="C445" i="1" s="1"/>
  <c r="H446" i="1"/>
  <c r="C446" i="1" s="1"/>
  <c r="H447" i="1"/>
  <c r="C447" i="1" s="1"/>
  <c r="H448" i="1"/>
  <c r="C448" i="1" s="1"/>
  <c r="H449" i="1"/>
  <c r="C449" i="1" s="1"/>
  <c r="H450" i="1"/>
  <c r="C450" i="1" s="1"/>
  <c r="H451" i="1"/>
  <c r="C451" i="1" s="1"/>
  <c r="H452" i="1"/>
  <c r="C452" i="1" s="1"/>
  <c r="H453" i="1"/>
  <c r="C453" i="1" s="1"/>
  <c r="H454" i="1"/>
  <c r="C454" i="1" s="1"/>
  <c r="H455" i="1"/>
  <c r="C455" i="1" s="1"/>
  <c r="H456" i="1"/>
  <c r="C456" i="1" s="1"/>
  <c r="H457" i="1"/>
  <c r="C457" i="1" s="1"/>
  <c r="H458" i="1"/>
  <c r="C458" i="1" s="1"/>
  <c r="H459" i="1"/>
  <c r="C459" i="1" s="1"/>
  <c r="H460" i="1"/>
  <c r="C460" i="1" s="1"/>
  <c r="H461" i="1"/>
  <c r="C461" i="1" s="1"/>
  <c r="H462" i="1"/>
  <c r="C462" i="1" s="1"/>
  <c r="H463" i="1"/>
  <c r="C463" i="1" s="1"/>
  <c r="H464" i="1"/>
  <c r="C464" i="1" s="1"/>
  <c r="H465" i="1"/>
  <c r="C465" i="1" s="1"/>
  <c r="H466" i="1"/>
  <c r="C466" i="1" s="1"/>
  <c r="H467" i="1"/>
  <c r="C467" i="1" s="1"/>
  <c r="H468" i="1"/>
  <c r="C468" i="1" s="1"/>
  <c r="H469" i="1"/>
  <c r="C469" i="1" s="1"/>
  <c r="H470" i="1"/>
  <c r="C470" i="1" s="1"/>
  <c r="H471" i="1"/>
  <c r="C471" i="1" s="1"/>
  <c r="H472" i="1"/>
  <c r="C472" i="1" s="1"/>
  <c r="H473" i="1"/>
  <c r="C473" i="1" s="1"/>
  <c r="H474" i="1"/>
  <c r="C474" i="1" s="1"/>
  <c r="H475" i="1"/>
  <c r="C475" i="1" s="1"/>
  <c r="H476" i="1"/>
  <c r="C476" i="1" s="1"/>
  <c r="H477" i="1"/>
  <c r="C477" i="1" s="1"/>
  <c r="H478" i="1"/>
  <c r="C478" i="1" s="1"/>
  <c r="H479" i="1"/>
  <c r="C479" i="1" s="1"/>
  <c r="H480" i="1"/>
  <c r="C480" i="1" s="1"/>
  <c r="H481" i="1"/>
  <c r="C481" i="1" s="1"/>
  <c r="H482" i="1"/>
  <c r="C482" i="1" s="1"/>
  <c r="H483" i="1"/>
  <c r="C483" i="1" s="1"/>
  <c r="H484" i="1"/>
  <c r="C484" i="1" s="1"/>
  <c r="H485" i="1"/>
  <c r="C485" i="1" s="1"/>
  <c r="H486" i="1"/>
  <c r="C486" i="1" s="1"/>
  <c r="H487" i="1"/>
  <c r="C487" i="1" s="1"/>
  <c r="H488" i="1"/>
  <c r="C488" i="1" s="1"/>
  <c r="H489" i="1"/>
  <c r="C489" i="1" s="1"/>
  <c r="H490" i="1"/>
  <c r="C490" i="1" s="1"/>
  <c r="H491" i="1"/>
  <c r="C491" i="1" s="1"/>
  <c r="H492" i="1"/>
  <c r="C492" i="1" s="1"/>
  <c r="H493" i="1"/>
  <c r="C493" i="1" s="1"/>
  <c r="H494" i="1"/>
  <c r="C494" i="1" s="1"/>
  <c r="H495" i="1"/>
  <c r="C495" i="1" s="1"/>
  <c r="H496" i="1"/>
  <c r="C496" i="1" s="1"/>
  <c r="H497" i="1"/>
  <c r="C497" i="1" s="1"/>
  <c r="H498" i="1"/>
  <c r="C498" i="1" s="1"/>
  <c r="H499" i="1"/>
  <c r="C499" i="1" s="1"/>
  <c r="H500" i="1"/>
  <c r="C500" i="1" s="1"/>
  <c r="H501" i="1"/>
  <c r="C501" i="1" s="1"/>
  <c r="H502" i="1"/>
  <c r="C502" i="1" s="1"/>
  <c r="H503" i="1"/>
  <c r="C503" i="1" s="1"/>
  <c r="H504" i="1"/>
  <c r="C504" i="1" s="1"/>
  <c r="H505" i="1"/>
  <c r="C505" i="1" s="1"/>
  <c r="H506" i="1"/>
  <c r="C506" i="1" s="1"/>
  <c r="H507" i="1"/>
  <c r="C507" i="1" s="1"/>
  <c r="H508" i="1"/>
  <c r="C508" i="1" s="1"/>
  <c r="H509" i="1"/>
  <c r="C509" i="1" s="1"/>
  <c r="H510" i="1"/>
  <c r="C510" i="1" s="1"/>
  <c r="H511" i="1"/>
  <c r="C511" i="1" s="1"/>
  <c r="H512" i="1"/>
  <c r="C512" i="1" s="1"/>
  <c r="H513" i="1"/>
  <c r="C513" i="1" s="1"/>
  <c r="H514" i="1"/>
  <c r="C514" i="1" s="1"/>
  <c r="H515" i="1"/>
  <c r="C515" i="1" s="1"/>
  <c r="H516" i="1"/>
  <c r="C516" i="1" s="1"/>
  <c r="H517" i="1"/>
  <c r="C517" i="1" s="1"/>
  <c r="H518" i="1"/>
  <c r="C518" i="1" s="1"/>
  <c r="H519" i="1"/>
  <c r="C519" i="1" s="1"/>
  <c r="H520" i="1"/>
  <c r="C520" i="1" s="1"/>
  <c r="H521" i="1"/>
  <c r="C521" i="1" s="1"/>
  <c r="H522" i="1"/>
  <c r="C522" i="1" s="1"/>
  <c r="H523" i="1"/>
  <c r="C523" i="1" s="1"/>
  <c r="H524" i="1"/>
  <c r="C524" i="1" s="1"/>
  <c r="H525" i="1"/>
  <c r="C525" i="1" s="1"/>
  <c r="H526" i="1"/>
  <c r="C526" i="1" s="1"/>
  <c r="H527" i="1"/>
  <c r="C527" i="1" s="1"/>
  <c r="H528" i="1"/>
  <c r="C528" i="1" s="1"/>
  <c r="H529" i="1"/>
  <c r="C529" i="1" s="1"/>
  <c r="H530" i="1"/>
  <c r="C530" i="1" s="1"/>
  <c r="H531" i="1"/>
  <c r="C531" i="1" s="1"/>
  <c r="H532" i="1"/>
  <c r="C532" i="1" s="1"/>
  <c r="H533" i="1"/>
  <c r="C533" i="1" s="1"/>
  <c r="H534" i="1"/>
  <c r="C534" i="1" s="1"/>
  <c r="H535" i="1"/>
  <c r="C535" i="1" s="1"/>
  <c r="H536" i="1"/>
  <c r="C536" i="1" s="1"/>
  <c r="H537" i="1"/>
  <c r="C537" i="1" s="1"/>
  <c r="H538" i="1"/>
  <c r="C538" i="1" s="1"/>
  <c r="H539" i="1"/>
  <c r="C539" i="1" s="1"/>
  <c r="H540" i="1"/>
  <c r="C540" i="1" s="1"/>
  <c r="H541" i="1"/>
  <c r="C541" i="1" s="1"/>
  <c r="H542" i="1"/>
  <c r="C542" i="1" s="1"/>
  <c r="H543" i="1"/>
  <c r="C543" i="1" s="1"/>
  <c r="H544" i="1"/>
  <c r="C544" i="1" s="1"/>
  <c r="H545" i="1"/>
  <c r="C545" i="1" s="1"/>
  <c r="H546" i="1"/>
  <c r="C546" i="1" s="1"/>
  <c r="H547" i="1"/>
  <c r="C547" i="1" s="1"/>
  <c r="H548" i="1"/>
  <c r="C548" i="1" s="1"/>
  <c r="H549" i="1"/>
  <c r="C549" i="1" s="1"/>
  <c r="H550" i="1"/>
  <c r="C550" i="1" s="1"/>
  <c r="H551" i="1"/>
  <c r="C551" i="1" s="1"/>
  <c r="H552" i="1"/>
  <c r="C552" i="1" s="1"/>
  <c r="H553" i="1"/>
  <c r="C553" i="1" s="1"/>
  <c r="H554" i="1"/>
  <c r="C554" i="1" s="1"/>
  <c r="H555" i="1"/>
  <c r="C555" i="1" s="1"/>
  <c r="H556" i="1"/>
  <c r="C556" i="1" s="1"/>
  <c r="H557" i="1"/>
  <c r="C557" i="1" s="1"/>
  <c r="H558" i="1"/>
  <c r="C558" i="1" s="1"/>
  <c r="H559" i="1"/>
  <c r="C559" i="1" s="1"/>
  <c r="H560" i="1"/>
  <c r="C560" i="1" s="1"/>
  <c r="H561" i="1"/>
  <c r="C561" i="1" s="1"/>
  <c r="H562" i="1"/>
  <c r="C562" i="1" s="1"/>
  <c r="H563" i="1"/>
  <c r="C563" i="1" s="1"/>
  <c r="H564" i="1"/>
  <c r="C564" i="1" s="1"/>
  <c r="H565" i="1"/>
  <c r="C565" i="1" s="1"/>
  <c r="H566" i="1"/>
  <c r="C566" i="1" s="1"/>
  <c r="H567" i="1"/>
  <c r="C567" i="1" s="1"/>
  <c r="H568" i="1"/>
  <c r="C568" i="1" s="1"/>
  <c r="H569" i="1"/>
  <c r="C569" i="1" s="1"/>
  <c r="H570" i="1"/>
  <c r="C570" i="1" s="1"/>
  <c r="H571" i="1"/>
  <c r="C571" i="1" s="1"/>
  <c r="H572" i="1"/>
  <c r="C572" i="1" s="1"/>
  <c r="H573" i="1"/>
  <c r="C573" i="1" s="1"/>
  <c r="H574" i="1"/>
  <c r="C574" i="1" s="1"/>
  <c r="H575" i="1"/>
  <c r="C575" i="1" s="1"/>
  <c r="H576" i="1"/>
  <c r="C576" i="1" s="1"/>
  <c r="H577" i="1"/>
  <c r="C577" i="1" s="1"/>
  <c r="H578" i="1"/>
  <c r="C578" i="1" s="1"/>
  <c r="H579" i="1"/>
  <c r="C579" i="1" s="1"/>
  <c r="H580" i="1"/>
  <c r="C580" i="1" s="1"/>
  <c r="H581" i="1"/>
  <c r="C581" i="1" s="1"/>
  <c r="H582" i="1"/>
  <c r="C582" i="1" s="1"/>
  <c r="H583" i="1"/>
  <c r="C583" i="1" s="1"/>
  <c r="H584" i="1"/>
  <c r="C584" i="1" s="1"/>
  <c r="H585" i="1"/>
  <c r="C585" i="1" s="1"/>
  <c r="H586" i="1"/>
  <c r="C586" i="1" s="1"/>
  <c r="H587" i="1"/>
  <c r="C587" i="1" s="1"/>
  <c r="H588" i="1"/>
  <c r="C588" i="1" s="1"/>
  <c r="H589" i="1"/>
  <c r="C589" i="1" s="1"/>
  <c r="H590" i="1"/>
  <c r="C590" i="1" s="1"/>
  <c r="H591" i="1"/>
  <c r="C591" i="1" s="1"/>
  <c r="H592" i="1"/>
  <c r="C592" i="1" s="1"/>
  <c r="H593" i="1"/>
  <c r="C593" i="1" s="1"/>
  <c r="H594" i="1"/>
  <c r="C594" i="1" s="1"/>
  <c r="H595" i="1"/>
  <c r="C595" i="1" s="1"/>
  <c r="H596" i="1"/>
  <c r="C596" i="1" s="1"/>
  <c r="H597" i="1"/>
  <c r="C597" i="1" s="1"/>
  <c r="H598" i="1"/>
  <c r="C598" i="1" s="1"/>
  <c r="H599" i="1"/>
  <c r="C599" i="1" s="1"/>
  <c r="H600" i="1"/>
  <c r="C600" i="1" s="1"/>
  <c r="H601" i="1"/>
  <c r="C601" i="1" s="1"/>
  <c r="H602" i="1"/>
  <c r="C602" i="1" s="1"/>
  <c r="H603" i="1"/>
  <c r="C603" i="1" s="1"/>
  <c r="H604" i="1"/>
  <c r="C604" i="1" s="1"/>
  <c r="H605" i="1"/>
  <c r="C605" i="1" s="1"/>
  <c r="H606" i="1"/>
  <c r="C606" i="1" s="1"/>
  <c r="H607" i="1"/>
  <c r="C607" i="1" s="1"/>
  <c r="H608" i="1"/>
  <c r="C608" i="1" s="1"/>
  <c r="H609" i="1"/>
  <c r="C609" i="1" s="1"/>
  <c r="H610" i="1"/>
  <c r="C610" i="1" s="1"/>
  <c r="H611" i="1"/>
  <c r="C611" i="1" s="1"/>
  <c r="H612" i="1"/>
  <c r="C612" i="1" s="1"/>
  <c r="H613" i="1"/>
  <c r="C613" i="1" s="1"/>
  <c r="H614" i="1"/>
  <c r="C614" i="1" s="1"/>
  <c r="H615" i="1"/>
  <c r="C615" i="1" s="1"/>
  <c r="H616" i="1"/>
  <c r="C616" i="1" s="1"/>
  <c r="H617" i="1"/>
  <c r="C617" i="1" s="1"/>
  <c r="H618" i="1"/>
  <c r="C618" i="1" s="1"/>
  <c r="H619" i="1"/>
  <c r="C619" i="1" s="1"/>
  <c r="H620" i="1"/>
  <c r="C620" i="1" s="1"/>
  <c r="H621" i="1"/>
  <c r="C621" i="1" s="1"/>
  <c r="H622" i="1"/>
  <c r="C622" i="1" s="1"/>
  <c r="H623" i="1"/>
  <c r="C623" i="1" s="1"/>
  <c r="H624" i="1"/>
  <c r="C624" i="1" s="1"/>
  <c r="H625" i="1"/>
  <c r="C625" i="1" s="1"/>
  <c r="H626" i="1"/>
  <c r="C626" i="1" s="1"/>
  <c r="H627" i="1"/>
  <c r="C627" i="1" s="1"/>
  <c r="H628" i="1"/>
  <c r="C628" i="1" s="1"/>
  <c r="H629" i="1"/>
  <c r="C629" i="1" s="1"/>
  <c r="H630" i="1"/>
  <c r="C630" i="1" s="1"/>
  <c r="H631" i="1"/>
  <c r="C631" i="1" s="1"/>
  <c r="H632" i="1"/>
  <c r="C632" i="1" s="1"/>
  <c r="H633" i="1"/>
  <c r="C633" i="1" s="1"/>
  <c r="H634" i="1"/>
  <c r="C634" i="1" s="1"/>
  <c r="H635" i="1"/>
  <c r="C635" i="1" s="1"/>
  <c r="H636" i="1"/>
  <c r="C636" i="1" s="1"/>
  <c r="H637" i="1"/>
  <c r="C637" i="1" s="1"/>
  <c r="H638" i="1"/>
  <c r="C638" i="1" s="1"/>
  <c r="H639" i="1"/>
  <c r="C639" i="1" s="1"/>
  <c r="H8" i="1"/>
  <c r="H114" i="1"/>
  <c r="H115" i="1"/>
  <c r="H124" i="1"/>
  <c r="H171" i="1"/>
  <c r="F349" i="1" l="1"/>
  <c r="E349" i="1"/>
  <c r="D349" i="1"/>
  <c r="F350" i="1"/>
  <c r="E350" i="1"/>
  <c r="D350" i="1"/>
  <c r="F351" i="1"/>
  <c r="E351" i="1"/>
  <c r="D351" i="1"/>
  <c r="F352" i="1"/>
  <c r="E352" i="1"/>
  <c r="D352" i="1"/>
  <c r="F353" i="1"/>
  <c r="E353" i="1"/>
  <c r="D353" i="1"/>
  <c r="F354" i="1"/>
  <c r="E354" i="1"/>
  <c r="D354" i="1"/>
  <c r="F355" i="1"/>
  <c r="E355" i="1"/>
  <c r="D355" i="1"/>
  <c r="F356" i="1"/>
  <c r="E356" i="1"/>
  <c r="D356" i="1"/>
  <c r="F357" i="1"/>
  <c r="E357" i="1"/>
  <c r="D357" i="1"/>
  <c r="F358" i="1"/>
  <c r="E358" i="1"/>
  <c r="D358" i="1"/>
  <c r="F359" i="1"/>
  <c r="E359" i="1"/>
  <c r="D359" i="1"/>
  <c r="F360" i="1"/>
  <c r="E360" i="1"/>
  <c r="D360" i="1"/>
  <c r="F361" i="1"/>
  <c r="E361" i="1"/>
  <c r="D361" i="1"/>
  <c r="F362" i="1"/>
  <c r="E362" i="1"/>
  <c r="D362" i="1"/>
  <c r="F363" i="1"/>
  <c r="E363" i="1"/>
  <c r="D363" i="1"/>
  <c r="F364" i="1"/>
  <c r="E364" i="1"/>
  <c r="D364" i="1"/>
  <c r="F365" i="1"/>
  <c r="E365" i="1"/>
  <c r="D365" i="1"/>
  <c r="F366" i="1"/>
  <c r="E366" i="1"/>
  <c r="D366" i="1"/>
  <c r="F367" i="1"/>
  <c r="E367" i="1"/>
  <c r="D367" i="1"/>
  <c r="F368" i="1"/>
  <c r="E368" i="1"/>
  <c r="D368" i="1"/>
  <c r="F369" i="1"/>
  <c r="E369" i="1"/>
  <c r="D369" i="1"/>
  <c r="F370" i="1"/>
  <c r="E370" i="1"/>
  <c r="D370" i="1"/>
  <c r="F371" i="1"/>
  <c r="E371" i="1"/>
  <c r="D371" i="1"/>
  <c r="F372" i="1"/>
  <c r="E372" i="1"/>
  <c r="D372" i="1"/>
  <c r="F373" i="1"/>
  <c r="E373" i="1"/>
  <c r="D373" i="1"/>
  <c r="F374" i="1"/>
  <c r="E374" i="1"/>
  <c r="D374" i="1"/>
  <c r="F375" i="1"/>
  <c r="E375" i="1"/>
  <c r="D375" i="1"/>
  <c r="F376" i="1"/>
  <c r="E376" i="1"/>
  <c r="D376" i="1"/>
  <c r="F377" i="1"/>
  <c r="E377" i="1"/>
  <c r="D377" i="1"/>
  <c r="F378" i="1"/>
  <c r="E378" i="1"/>
  <c r="D378" i="1"/>
  <c r="F379" i="1"/>
  <c r="E379" i="1"/>
  <c r="D379" i="1"/>
  <c r="F380" i="1"/>
  <c r="E380" i="1"/>
  <c r="D380" i="1"/>
  <c r="F381" i="1"/>
  <c r="E381" i="1"/>
  <c r="D381" i="1"/>
  <c r="F382" i="1"/>
  <c r="E382" i="1"/>
  <c r="D382" i="1"/>
  <c r="F383" i="1"/>
  <c r="E383" i="1"/>
  <c r="D383" i="1"/>
  <c r="F384" i="1"/>
  <c r="E384" i="1"/>
  <c r="D384" i="1"/>
  <c r="F385" i="1"/>
  <c r="E385" i="1"/>
  <c r="D385" i="1"/>
  <c r="F386" i="1"/>
  <c r="E386" i="1"/>
  <c r="D386" i="1"/>
  <c r="F387" i="1"/>
  <c r="E387" i="1"/>
  <c r="D387" i="1"/>
  <c r="F388" i="1"/>
  <c r="E388" i="1"/>
  <c r="D388" i="1"/>
  <c r="F389" i="1"/>
  <c r="E389" i="1"/>
  <c r="D389" i="1"/>
  <c r="F390" i="1"/>
  <c r="E390" i="1"/>
  <c r="D390" i="1"/>
  <c r="F391" i="1"/>
  <c r="E391" i="1"/>
  <c r="D391" i="1"/>
  <c r="F392" i="1"/>
  <c r="E392" i="1"/>
  <c r="D392" i="1"/>
  <c r="F393" i="1"/>
  <c r="E393" i="1"/>
  <c r="D393" i="1"/>
  <c r="F394" i="1"/>
  <c r="E394" i="1"/>
  <c r="D394" i="1"/>
  <c r="F395" i="1"/>
  <c r="E395" i="1"/>
  <c r="D395" i="1"/>
  <c r="F396" i="1"/>
  <c r="E396" i="1"/>
  <c r="D396" i="1"/>
  <c r="F397" i="1"/>
  <c r="E397" i="1"/>
  <c r="D397" i="1"/>
  <c r="F398" i="1"/>
  <c r="E398" i="1"/>
  <c r="D398" i="1"/>
  <c r="F399" i="1"/>
  <c r="E399" i="1"/>
  <c r="D399" i="1"/>
  <c r="F400" i="1"/>
  <c r="E400" i="1"/>
  <c r="D400" i="1"/>
  <c r="F401" i="1"/>
  <c r="E401" i="1"/>
  <c r="D401" i="1"/>
  <c r="F402" i="1"/>
  <c r="E402" i="1"/>
  <c r="D402" i="1"/>
  <c r="F403" i="1"/>
  <c r="E403" i="1"/>
  <c r="D403" i="1"/>
  <c r="F404" i="1"/>
  <c r="E404" i="1"/>
  <c r="D404" i="1"/>
  <c r="F405" i="1"/>
  <c r="E405" i="1"/>
  <c r="D405" i="1"/>
  <c r="F406" i="1"/>
  <c r="E406" i="1"/>
  <c r="D406" i="1"/>
  <c r="F407" i="1"/>
  <c r="E407" i="1"/>
  <c r="D407" i="1"/>
  <c r="F408" i="1"/>
  <c r="E408" i="1"/>
  <c r="D408" i="1"/>
  <c r="F409" i="1"/>
  <c r="E409" i="1"/>
  <c r="D409" i="1"/>
  <c r="F410" i="1"/>
  <c r="E410" i="1"/>
  <c r="D410" i="1"/>
  <c r="F411" i="1"/>
  <c r="E411" i="1"/>
  <c r="D411" i="1"/>
  <c r="F412" i="1"/>
  <c r="E412" i="1"/>
  <c r="D412" i="1"/>
  <c r="F413" i="1"/>
  <c r="E413" i="1"/>
  <c r="D413" i="1"/>
  <c r="F414" i="1"/>
  <c r="E414" i="1"/>
  <c r="D414" i="1"/>
  <c r="F415" i="1"/>
  <c r="E415" i="1"/>
  <c r="D415" i="1"/>
  <c r="F416" i="1"/>
  <c r="E416" i="1"/>
  <c r="D416" i="1"/>
  <c r="F417" i="1"/>
  <c r="E417" i="1"/>
  <c r="D417" i="1"/>
  <c r="F418" i="1"/>
  <c r="E418" i="1"/>
  <c r="D418" i="1"/>
  <c r="F419" i="1"/>
  <c r="E419" i="1"/>
  <c r="D419" i="1"/>
  <c r="F420" i="1"/>
  <c r="E420" i="1"/>
  <c r="D420" i="1"/>
  <c r="F421" i="1"/>
  <c r="E421" i="1"/>
  <c r="D421" i="1"/>
  <c r="F422" i="1"/>
  <c r="D422" i="1" s="1"/>
  <c r="E422" i="1"/>
  <c r="F423" i="1"/>
  <c r="E423" i="1"/>
  <c r="D423" i="1"/>
  <c r="F424" i="1"/>
  <c r="E424" i="1"/>
  <c r="D424" i="1"/>
  <c r="F425" i="1"/>
  <c r="E425" i="1"/>
  <c r="D425" i="1"/>
  <c r="F426" i="1"/>
  <c r="E426" i="1"/>
  <c r="D426" i="1"/>
  <c r="F427" i="1"/>
  <c r="E427" i="1"/>
  <c r="D427" i="1"/>
  <c r="F428" i="1"/>
  <c r="E428" i="1"/>
  <c r="D428" i="1"/>
  <c r="F429" i="1"/>
  <c r="E429" i="1"/>
  <c r="D429" i="1"/>
  <c r="F430" i="1"/>
  <c r="E430" i="1"/>
  <c r="D430" i="1"/>
  <c r="F431" i="1"/>
  <c r="E431" i="1"/>
  <c r="D431" i="1"/>
  <c r="F432" i="1"/>
  <c r="E432" i="1"/>
  <c r="D432" i="1"/>
  <c r="F433" i="1"/>
  <c r="E433" i="1"/>
  <c r="D433" i="1"/>
  <c r="F434" i="1"/>
  <c r="E434" i="1"/>
  <c r="D434" i="1"/>
  <c r="F435" i="1"/>
  <c r="E435" i="1"/>
  <c r="D435" i="1"/>
  <c r="F436" i="1"/>
  <c r="E436" i="1"/>
  <c r="D436" i="1"/>
  <c r="F437" i="1"/>
  <c r="E437" i="1"/>
  <c r="D437" i="1"/>
  <c r="F438" i="1"/>
  <c r="E438" i="1"/>
  <c r="D438" i="1"/>
  <c r="F439" i="1"/>
  <c r="E439" i="1"/>
  <c r="D439" i="1"/>
  <c r="F440" i="1"/>
  <c r="E440" i="1"/>
  <c r="D440" i="1"/>
  <c r="F441" i="1"/>
  <c r="E441" i="1"/>
  <c r="D441" i="1"/>
  <c r="F442" i="1"/>
  <c r="E442" i="1"/>
  <c r="D442" i="1"/>
  <c r="F443" i="1"/>
  <c r="E443" i="1"/>
  <c r="D443" i="1"/>
  <c r="F444" i="1"/>
  <c r="E444" i="1"/>
  <c r="D444" i="1"/>
  <c r="F445" i="1"/>
  <c r="E445" i="1"/>
  <c r="D445" i="1"/>
  <c r="F446" i="1"/>
  <c r="E446" i="1"/>
  <c r="D446" i="1"/>
  <c r="F447" i="1"/>
  <c r="E447" i="1"/>
  <c r="D447" i="1"/>
  <c r="F448" i="1"/>
  <c r="E448" i="1"/>
  <c r="D448" i="1"/>
  <c r="F449" i="1"/>
  <c r="E449" i="1"/>
  <c r="D449" i="1"/>
  <c r="F450" i="1"/>
  <c r="E450" i="1"/>
  <c r="D450" i="1"/>
  <c r="F451" i="1"/>
  <c r="E451" i="1"/>
  <c r="D451" i="1"/>
  <c r="F452" i="1"/>
  <c r="E452" i="1"/>
  <c r="D452" i="1"/>
  <c r="F453" i="1"/>
  <c r="E453" i="1"/>
  <c r="D453" i="1"/>
  <c r="F454" i="1"/>
  <c r="E454" i="1"/>
  <c r="D454" i="1"/>
  <c r="F455" i="1"/>
  <c r="E455" i="1"/>
  <c r="D455" i="1"/>
  <c r="F456" i="1"/>
  <c r="E456" i="1"/>
  <c r="D456" i="1"/>
  <c r="F457" i="1"/>
  <c r="E457" i="1"/>
  <c r="D457" i="1"/>
  <c r="F458" i="1"/>
  <c r="E458" i="1"/>
  <c r="D458" i="1"/>
  <c r="F459" i="1"/>
  <c r="E459" i="1"/>
  <c r="D459" i="1"/>
  <c r="F460" i="1"/>
  <c r="E460" i="1"/>
  <c r="D460" i="1"/>
  <c r="F461" i="1"/>
  <c r="E461" i="1"/>
  <c r="D461" i="1"/>
  <c r="F462" i="1"/>
  <c r="E462" i="1"/>
  <c r="D462" i="1"/>
  <c r="F463" i="1"/>
  <c r="E463" i="1"/>
  <c r="D463" i="1"/>
  <c r="F464" i="1"/>
  <c r="E464" i="1"/>
  <c r="D464" i="1"/>
  <c r="F465" i="1"/>
  <c r="E465" i="1"/>
  <c r="D465" i="1"/>
  <c r="F466" i="1"/>
  <c r="E466" i="1"/>
  <c r="D466" i="1"/>
  <c r="F467" i="1"/>
  <c r="E467" i="1"/>
  <c r="D467" i="1"/>
  <c r="F468" i="1"/>
  <c r="E468" i="1"/>
  <c r="D468" i="1"/>
  <c r="F469" i="1"/>
  <c r="E469" i="1"/>
  <c r="D469" i="1"/>
  <c r="F470" i="1"/>
  <c r="E470" i="1"/>
  <c r="D470" i="1"/>
  <c r="F471" i="1"/>
  <c r="E471" i="1"/>
  <c r="D471" i="1"/>
  <c r="F472" i="1"/>
  <c r="E472" i="1"/>
  <c r="D472" i="1"/>
  <c r="F473" i="1"/>
  <c r="E473" i="1"/>
  <c r="D473" i="1"/>
  <c r="F474" i="1"/>
  <c r="E474" i="1"/>
  <c r="D474" i="1"/>
  <c r="F475" i="1"/>
  <c r="E475" i="1"/>
  <c r="D475" i="1"/>
  <c r="F476" i="1"/>
  <c r="E476" i="1"/>
  <c r="D476" i="1"/>
  <c r="F477" i="1"/>
  <c r="E477" i="1"/>
  <c r="D477" i="1"/>
  <c r="F478" i="1"/>
  <c r="E478" i="1"/>
  <c r="D478" i="1"/>
  <c r="F479" i="1"/>
  <c r="E479" i="1"/>
  <c r="D479" i="1"/>
  <c r="F480" i="1"/>
  <c r="E480" i="1"/>
  <c r="D480" i="1"/>
  <c r="F481" i="1"/>
  <c r="E481" i="1"/>
  <c r="D481" i="1"/>
  <c r="F482" i="1"/>
  <c r="E482" i="1"/>
  <c r="D482" i="1"/>
  <c r="F483" i="1"/>
  <c r="E483" i="1"/>
  <c r="D483" i="1"/>
  <c r="F484" i="1"/>
  <c r="E484" i="1"/>
  <c r="D484" i="1"/>
  <c r="F485" i="1"/>
  <c r="E485" i="1"/>
  <c r="D485" i="1"/>
  <c r="F486" i="1"/>
  <c r="E486" i="1"/>
  <c r="D486" i="1"/>
  <c r="F487" i="1"/>
  <c r="E487" i="1"/>
  <c r="D487" i="1"/>
  <c r="F488" i="1"/>
  <c r="E488" i="1"/>
  <c r="D488" i="1"/>
  <c r="F489" i="1"/>
  <c r="E489" i="1"/>
  <c r="D489" i="1"/>
  <c r="F490" i="1"/>
  <c r="E490" i="1"/>
  <c r="D490" i="1"/>
  <c r="F491" i="1"/>
  <c r="E491" i="1"/>
  <c r="D491" i="1"/>
  <c r="F492" i="1"/>
  <c r="E492" i="1"/>
  <c r="D492" i="1"/>
  <c r="F493" i="1"/>
  <c r="E493" i="1"/>
  <c r="D493" i="1"/>
  <c r="F494" i="1"/>
  <c r="E494" i="1"/>
  <c r="D494" i="1"/>
  <c r="F495" i="1"/>
  <c r="D495" i="1" s="1"/>
  <c r="E495" i="1"/>
  <c r="F496" i="1"/>
  <c r="E496" i="1"/>
  <c r="D496" i="1"/>
  <c r="F497" i="1"/>
  <c r="E497" i="1"/>
  <c r="D497" i="1"/>
  <c r="F498" i="1"/>
  <c r="E498" i="1"/>
  <c r="D498" i="1"/>
  <c r="F499" i="1"/>
  <c r="E499" i="1"/>
  <c r="D499" i="1"/>
  <c r="F500" i="1"/>
  <c r="E500" i="1"/>
  <c r="D500" i="1"/>
  <c r="F501" i="1"/>
  <c r="E501" i="1"/>
  <c r="D501" i="1"/>
  <c r="F502" i="1"/>
  <c r="E502" i="1"/>
  <c r="D502" i="1"/>
  <c r="F503" i="1"/>
  <c r="E503" i="1"/>
  <c r="D503" i="1"/>
  <c r="F504" i="1"/>
  <c r="E504" i="1"/>
  <c r="D504" i="1"/>
  <c r="F505" i="1"/>
  <c r="E505" i="1"/>
  <c r="D505" i="1"/>
  <c r="F506" i="1"/>
  <c r="E506" i="1"/>
  <c r="D506" i="1"/>
  <c r="F507" i="1"/>
  <c r="E507" i="1"/>
  <c r="D507" i="1"/>
  <c r="F508" i="1"/>
  <c r="E508" i="1"/>
  <c r="D508" i="1"/>
  <c r="F509" i="1"/>
  <c r="E509" i="1"/>
  <c r="D509" i="1"/>
  <c r="F510" i="1"/>
  <c r="E510" i="1"/>
  <c r="D510" i="1"/>
  <c r="F511" i="1"/>
  <c r="E511" i="1"/>
  <c r="D511" i="1"/>
  <c r="F512" i="1"/>
  <c r="E512" i="1"/>
  <c r="D512" i="1"/>
  <c r="F513" i="1"/>
  <c r="E513" i="1"/>
  <c r="D513" i="1"/>
  <c r="F514" i="1"/>
  <c r="E514" i="1"/>
  <c r="D514" i="1"/>
  <c r="F515" i="1"/>
  <c r="E515" i="1"/>
  <c r="D515" i="1"/>
  <c r="F516" i="1"/>
  <c r="E516" i="1"/>
  <c r="D516" i="1"/>
  <c r="F517" i="1"/>
  <c r="E517" i="1"/>
  <c r="D517" i="1"/>
  <c r="F518" i="1"/>
  <c r="E518" i="1"/>
  <c r="D518" i="1"/>
  <c r="F519" i="1"/>
  <c r="E519" i="1"/>
  <c r="D519" i="1"/>
  <c r="F520" i="1"/>
  <c r="E520" i="1"/>
  <c r="D520" i="1"/>
  <c r="F521" i="1"/>
  <c r="E521" i="1"/>
  <c r="D521" i="1"/>
  <c r="F522" i="1"/>
  <c r="E522" i="1"/>
  <c r="D522" i="1"/>
  <c r="F523" i="1"/>
  <c r="E523" i="1"/>
  <c r="D523" i="1"/>
  <c r="F524" i="1"/>
  <c r="E524" i="1"/>
  <c r="D524" i="1"/>
  <c r="F525" i="1"/>
  <c r="E525" i="1"/>
  <c r="D525" i="1"/>
  <c r="F526" i="1"/>
  <c r="E526" i="1"/>
  <c r="D526" i="1"/>
  <c r="F527" i="1"/>
  <c r="E527" i="1"/>
  <c r="D527" i="1"/>
  <c r="F528" i="1"/>
  <c r="E528" i="1"/>
  <c r="D528" i="1"/>
  <c r="F529" i="1"/>
  <c r="E529" i="1"/>
  <c r="D529" i="1"/>
  <c r="F530" i="1"/>
  <c r="E530" i="1"/>
  <c r="D530" i="1"/>
  <c r="F531" i="1"/>
  <c r="E531" i="1"/>
  <c r="D531" i="1"/>
  <c r="F532" i="1"/>
  <c r="E532" i="1"/>
  <c r="D532" i="1"/>
  <c r="F533" i="1"/>
  <c r="E533" i="1"/>
  <c r="D533" i="1"/>
  <c r="F534" i="1"/>
  <c r="E534" i="1"/>
  <c r="D534" i="1"/>
  <c r="F535" i="1"/>
  <c r="E535" i="1"/>
  <c r="D535" i="1"/>
  <c r="F536" i="1"/>
  <c r="E536" i="1"/>
  <c r="D536" i="1"/>
  <c r="F537" i="1"/>
  <c r="E537" i="1"/>
  <c r="D537" i="1"/>
  <c r="F538" i="1"/>
  <c r="E538" i="1"/>
  <c r="D538" i="1"/>
  <c r="F539" i="1"/>
  <c r="E539" i="1"/>
  <c r="D539" i="1"/>
  <c r="F540" i="1"/>
  <c r="E540" i="1"/>
  <c r="D540" i="1"/>
  <c r="F541" i="1"/>
  <c r="E541" i="1"/>
  <c r="D541" i="1"/>
  <c r="F542" i="1"/>
  <c r="E542" i="1"/>
  <c r="D542" i="1"/>
  <c r="F543" i="1"/>
  <c r="E543" i="1"/>
  <c r="D543" i="1"/>
  <c r="F544" i="1"/>
  <c r="E544" i="1"/>
  <c r="D544" i="1"/>
  <c r="F545" i="1"/>
  <c r="E545" i="1"/>
  <c r="D545" i="1"/>
  <c r="F546" i="1"/>
  <c r="E546" i="1"/>
  <c r="D546" i="1"/>
  <c r="F547" i="1"/>
  <c r="E547" i="1"/>
  <c r="D547" i="1"/>
  <c r="E548" i="1"/>
  <c r="F548" i="1"/>
  <c r="D548" i="1"/>
  <c r="E549" i="1"/>
  <c r="F549" i="1"/>
  <c r="D549" i="1"/>
  <c r="E550" i="1"/>
  <c r="F550" i="1"/>
  <c r="D550" i="1"/>
  <c r="E551" i="1"/>
  <c r="F551" i="1"/>
  <c r="D551" i="1"/>
  <c r="E552" i="1"/>
  <c r="F552" i="1"/>
  <c r="D552" i="1"/>
  <c r="E553" i="1"/>
  <c r="F553" i="1"/>
  <c r="D553" i="1"/>
  <c r="E554" i="1"/>
  <c r="F554" i="1"/>
  <c r="D554" i="1"/>
  <c r="E555" i="1"/>
  <c r="F555" i="1"/>
  <c r="D555" i="1"/>
  <c r="E556" i="1"/>
  <c r="F556" i="1"/>
  <c r="D556" i="1"/>
  <c r="E557" i="1"/>
  <c r="F557" i="1"/>
  <c r="D557" i="1"/>
  <c r="E558" i="1"/>
  <c r="F558" i="1"/>
  <c r="D558" i="1"/>
  <c r="E559" i="1"/>
  <c r="F559" i="1"/>
  <c r="D559" i="1"/>
  <c r="E560" i="1"/>
  <c r="F560" i="1"/>
  <c r="D560" i="1"/>
  <c r="E561" i="1"/>
  <c r="F561" i="1"/>
  <c r="D561" i="1"/>
  <c r="E562" i="1"/>
  <c r="F562" i="1"/>
  <c r="D562" i="1"/>
  <c r="E563" i="1"/>
  <c r="F563" i="1"/>
  <c r="D563" i="1"/>
  <c r="E564" i="1"/>
  <c r="F564" i="1"/>
  <c r="D564" i="1"/>
  <c r="E565" i="1"/>
  <c r="F565" i="1"/>
  <c r="D565" i="1"/>
  <c r="E566" i="1"/>
  <c r="F566" i="1"/>
  <c r="D566" i="1"/>
  <c r="E567" i="1"/>
  <c r="F567" i="1"/>
  <c r="D567" i="1"/>
  <c r="E568" i="1"/>
  <c r="F568" i="1"/>
  <c r="D568" i="1" s="1"/>
  <c r="E569" i="1"/>
  <c r="F569" i="1"/>
  <c r="D569" i="1"/>
  <c r="E570" i="1"/>
  <c r="F570" i="1"/>
  <c r="D570" i="1"/>
  <c r="F571" i="1"/>
  <c r="E571" i="1"/>
  <c r="D571" i="1"/>
  <c r="F572" i="1"/>
  <c r="E572" i="1"/>
  <c r="D572" i="1"/>
  <c r="F573" i="1"/>
  <c r="E573" i="1"/>
  <c r="D573" i="1"/>
  <c r="F574" i="1"/>
  <c r="E574" i="1"/>
  <c r="D574" i="1"/>
  <c r="F575" i="1"/>
  <c r="E575" i="1"/>
  <c r="D575" i="1"/>
  <c r="F576" i="1"/>
  <c r="E576" i="1"/>
  <c r="D576" i="1"/>
  <c r="F577" i="1"/>
  <c r="E577" i="1"/>
  <c r="D577" i="1"/>
  <c r="F578" i="1"/>
  <c r="E578" i="1"/>
  <c r="D578" i="1"/>
  <c r="F579" i="1"/>
  <c r="E579" i="1"/>
  <c r="D579" i="1"/>
  <c r="F580" i="1"/>
  <c r="E580" i="1"/>
  <c r="D580" i="1"/>
  <c r="F581" i="1"/>
  <c r="E581" i="1"/>
  <c r="D581" i="1"/>
  <c r="F582" i="1"/>
  <c r="E582" i="1"/>
  <c r="D582" i="1"/>
  <c r="F583" i="1"/>
  <c r="E583" i="1"/>
  <c r="D583" i="1"/>
  <c r="F584" i="1"/>
  <c r="E584" i="1"/>
  <c r="D584" i="1"/>
  <c r="F585" i="1"/>
  <c r="E585" i="1"/>
  <c r="D585" i="1"/>
  <c r="F586" i="1"/>
  <c r="E586" i="1"/>
  <c r="D586" i="1"/>
  <c r="F587" i="1"/>
  <c r="E587" i="1"/>
  <c r="D587" i="1"/>
  <c r="F588" i="1"/>
  <c r="E588" i="1"/>
  <c r="D588" i="1"/>
  <c r="F589" i="1"/>
  <c r="E589" i="1"/>
  <c r="D589" i="1"/>
  <c r="F590" i="1"/>
  <c r="E590" i="1"/>
  <c r="D590" i="1"/>
  <c r="F591" i="1"/>
  <c r="E591" i="1"/>
  <c r="D591" i="1"/>
  <c r="F592" i="1"/>
  <c r="E592" i="1"/>
  <c r="D592" i="1"/>
  <c r="F593" i="1"/>
  <c r="E593" i="1"/>
  <c r="D593" i="1"/>
  <c r="F594" i="1"/>
  <c r="E594" i="1"/>
  <c r="D594" i="1"/>
  <c r="F595" i="1"/>
  <c r="E595" i="1"/>
  <c r="D595" i="1"/>
  <c r="F596" i="1"/>
  <c r="E596" i="1"/>
  <c r="D596" i="1"/>
  <c r="F597" i="1"/>
  <c r="E597" i="1"/>
  <c r="D597" i="1"/>
  <c r="F598" i="1"/>
  <c r="E598" i="1"/>
  <c r="D598" i="1"/>
  <c r="F599" i="1"/>
  <c r="E599" i="1"/>
  <c r="D599" i="1"/>
  <c r="F600" i="1"/>
  <c r="E600" i="1"/>
  <c r="D600" i="1"/>
  <c r="F601" i="1"/>
  <c r="E601" i="1"/>
  <c r="D601" i="1"/>
  <c r="F602" i="1"/>
  <c r="E602" i="1"/>
  <c r="D602" i="1"/>
  <c r="F603" i="1"/>
  <c r="E603" i="1"/>
  <c r="D603" i="1"/>
  <c r="F604" i="1"/>
  <c r="E604" i="1"/>
  <c r="D604" i="1"/>
  <c r="F605" i="1"/>
  <c r="E605" i="1"/>
  <c r="D605" i="1"/>
  <c r="F606" i="1"/>
  <c r="E606" i="1"/>
  <c r="D606" i="1"/>
  <c r="F607" i="1"/>
  <c r="E607" i="1"/>
  <c r="D607" i="1"/>
  <c r="F608" i="1"/>
  <c r="E608" i="1"/>
  <c r="D608" i="1"/>
  <c r="F609" i="1"/>
  <c r="E609" i="1"/>
  <c r="D609" i="1"/>
  <c r="F610" i="1"/>
  <c r="E610" i="1"/>
  <c r="D610" i="1"/>
  <c r="F611" i="1"/>
  <c r="E611" i="1"/>
  <c r="D611" i="1"/>
  <c r="F612" i="1"/>
  <c r="E612" i="1"/>
  <c r="D612" i="1"/>
  <c r="F613" i="1"/>
  <c r="E613" i="1"/>
  <c r="D613" i="1"/>
  <c r="F614" i="1"/>
  <c r="E614" i="1"/>
  <c r="D614" i="1"/>
  <c r="F615" i="1"/>
  <c r="E615" i="1"/>
  <c r="D615" i="1"/>
  <c r="F616" i="1"/>
  <c r="E616" i="1"/>
  <c r="D616" i="1"/>
  <c r="F617" i="1"/>
  <c r="E617" i="1"/>
  <c r="D617" i="1"/>
  <c r="F618" i="1"/>
  <c r="E618" i="1"/>
  <c r="D618" i="1"/>
  <c r="F619" i="1"/>
  <c r="E619" i="1"/>
  <c r="D619" i="1"/>
  <c r="F620" i="1"/>
  <c r="E620" i="1"/>
  <c r="D620" i="1"/>
  <c r="F621" i="1"/>
  <c r="E621" i="1"/>
  <c r="D621" i="1"/>
  <c r="F622" i="1"/>
  <c r="E622" i="1"/>
  <c r="D622" i="1"/>
  <c r="F623" i="1"/>
  <c r="E623" i="1"/>
  <c r="D623" i="1"/>
  <c r="F624" i="1"/>
  <c r="E624" i="1"/>
  <c r="D624" i="1"/>
  <c r="F625" i="1"/>
  <c r="E625" i="1"/>
  <c r="D625" i="1"/>
  <c r="F626" i="1"/>
  <c r="E626" i="1"/>
  <c r="D626" i="1"/>
  <c r="F627" i="1"/>
  <c r="E627" i="1"/>
  <c r="D627" i="1"/>
  <c r="F628" i="1"/>
  <c r="E628" i="1"/>
  <c r="D628" i="1"/>
  <c r="F629" i="1"/>
  <c r="E629" i="1"/>
  <c r="D629" i="1"/>
  <c r="F630" i="1"/>
  <c r="E630" i="1"/>
  <c r="D630" i="1"/>
  <c r="F631" i="1"/>
  <c r="E631" i="1"/>
  <c r="D631" i="1"/>
  <c r="F632" i="1"/>
  <c r="E632" i="1"/>
  <c r="D632" i="1"/>
  <c r="F633" i="1"/>
  <c r="E633" i="1"/>
  <c r="D633" i="1"/>
  <c r="F634" i="1"/>
  <c r="E634" i="1"/>
  <c r="D634" i="1"/>
  <c r="F635" i="1"/>
  <c r="E635" i="1"/>
  <c r="D635" i="1"/>
  <c r="F636" i="1"/>
  <c r="E636" i="1"/>
  <c r="D636" i="1"/>
  <c r="F637" i="1"/>
  <c r="E637" i="1"/>
  <c r="D637" i="1"/>
  <c r="F638" i="1"/>
  <c r="E638" i="1"/>
  <c r="D638" i="1"/>
  <c r="F639" i="1"/>
  <c r="E639" i="1"/>
  <c r="D639" i="1"/>
  <c r="C8" i="1"/>
  <c r="C114" i="1"/>
  <c r="C115" i="1"/>
  <c r="C124" i="1"/>
  <c r="C171" i="1"/>
  <c r="F8" i="1" l="1"/>
  <c r="E8" i="1"/>
  <c r="D8" i="1"/>
  <c r="E114" i="1"/>
  <c r="F114" i="1"/>
  <c r="D114" i="1"/>
  <c r="F115" i="1"/>
  <c r="D115" i="1" s="1"/>
  <c r="E115" i="1"/>
  <c r="F124" i="1"/>
  <c r="E124" i="1"/>
  <c r="F171" i="1"/>
  <c r="D171" i="1"/>
  <c r="E171" i="1"/>
  <c r="D124" i="1" l="1"/>
  <c r="H205" i="1" l="1"/>
  <c r="C205" i="1"/>
  <c r="F205" i="1"/>
  <c r="H72" i="1"/>
  <c r="H68" i="1"/>
  <c r="H67" i="1"/>
  <c r="H66" i="1"/>
  <c r="H65" i="1"/>
  <c r="H64" i="1"/>
  <c r="H63" i="1"/>
  <c r="H62" i="1"/>
  <c r="H61" i="1"/>
  <c r="H60" i="1"/>
  <c r="H59" i="1"/>
  <c r="H58" i="1"/>
  <c r="H57" i="1"/>
  <c r="H55" i="1"/>
  <c r="H53" i="1"/>
  <c r="H51" i="1"/>
  <c r="H49" i="1"/>
  <c r="H47" i="1"/>
  <c r="H45" i="1"/>
  <c r="H44" i="1"/>
  <c r="H42" i="1"/>
  <c r="H40" i="1"/>
  <c r="H38" i="1"/>
  <c r="H36" i="1"/>
  <c r="H34" i="1"/>
  <c r="H33" i="1"/>
  <c r="H31" i="1"/>
  <c r="H29" i="1"/>
  <c r="H27" i="1"/>
  <c r="H25" i="1"/>
  <c r="H23" i="1"/>
  <c r="H21" i="1"/>
  <c r="H19" i="1"/>
  <c r="H17" i="1"/>
  <c r="H14" i="1"/>
  <c r="H11" i="1"/>
  <c r="C11" i="1" s="1"/>
  <c r="H9" i="1"/>
  <c r="C9" i="1" s="1"/>
  <c r="H6" i="1"/>
  <c r="C6" i="1" s="1"/>
  <c r="H4" i="1"/>
  <c r="C4" i="1" s="1"/>
  <c r="H2" i="1"/>
  <c r="C2" i="1" s="1"/>
  <c r="H348" i="1"/>
  <c r="C348" i="1" s="1"/>
  <c r="H347" i="1"/>
  <c r="H346" i="1"/>
  <c r="H345" i="1"/>
  <c r="H344" i="1"/>
  <c r="H343" i="1"/>
  <c r="C343" i="1" s="1"/>
  <c r="H342" i="1"/>
  <c r="H341" i="1"/>
  <c r="H340" i="1"/>
  <c r="H339" i="1"/>
  <c r="C339" i="1" s="1"/>
  <c r="E339" i="1" s="1"/>
  <c r="H338" i="1"/>
  <c r="H337" i="1"/>
  <c r="H336" i="1"/>
  <c r="C336" i="1" s="1"/>
  <c r="H335" i="1"/>
  <c r="H334" i="1"/>
  <c r="H333" i="1"/>
  <c r="H332" i="1"/>
  <c r="C332" i="1" s="1"/>
  <c r="H331" i="1"/>
  <c r="H330" i="1"/>
  <c r="H329" i="1"/>
  <c r="H328" i="1"/>
  <c r="H327" i="1"/>
  <c r="C327" i="1" s="1"/>
  <c r="F327" i="1" s="1"/>
  <c r="H326" i="1"/>
  <c r="H325" i="1"/>
  <c r="H324" i="1"/>
  <c r="H323" i="1"/>
  <c r="C323" i="1" s="1"/>
  <c r="F323" i="1" s="1"/>
  <c r="H322" i="1"/>
  <c r="H321" i="1"/>
  <c r="H320" i="1"/>
  <c r="H319" i="1"/>
  <c r="C319" i="1" s="1"/>
  <c r="E319" i="1" s="1"/>
  <c r="H318" i="1"/>
  <c r="H317" i="1"/>
  <c r="H316" i="1"/>
  <c r="H315" i="1"/>
  <c r="C315" i="1" s="1"/>
  <c r="E315" i="1" s="1"/>
  <c r="H314" i="1"/>
  <c r="H313" i="1"/>
  <c r="H312" i="1"/>
  <c r="C312" i="1" s="1"/>
  <c r="H311" i="1"/>
  <c r="H310" i="1"/>
  <c r="H309" i="1"/>
  <c r="H308" i="1"/>
  <c r="C308" i="1" s="1"/>
  <c r="H307" i="1"/>
  <c r="H306" i="1"/>
  <c r="H305" i="1"/>
  <c r="H304" i="1"/>
  <c r="C304" i="1" s="1"/>
  <c r="H303" i="1"/>
  <c r="H302" i="1"/>
  <c r="H301" i="1"/>
  <c r="H300" i="1"/>
  <c r="H299" i="1"/>
  <c r="H298" i="1"/>
  <c r="C298" i="1" s="1"/>
  <c r="H297" i="1"/>
  <c r="H296" i="1"/>
  <c r="H295" i="1"/>
  <c r="C295" i="1" s="1"/>
  <c r="E295" i="1" s="1"/>
  <c r="H294" i="1"/>
  <c r="H293" i="1"/>
  <c r="H292" i="1"/>
  <c r="H291" i="1"/>
  <c r="H290" i="1"/>
  <c r="H289" i="1"/>
  <c r="C289" i="1" s="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C230" i="1" s="1"/>
  <c r="H229" i="1"/>
  <c r="H228" i="1"/>
  <c r="H227" i="1"/>
  <c r="H226" i="1"/>
  <c r="C226" i="1" s="1"/>
  <c r="H225" i="1"/>
  <c r="H224" i="1"/>
  <c r="H223" i="1"/>
  <c r="H222" i="1"/>
  <c r="H221" i="1"/>
  <c r="H220" i="1"/>
  <c r="H219" i="1"/>
  <c r="H218" i="1"/>
  <c r="H217" i="1"/>
  <c r="H216" i="1"/>
  <c r="H215" i="1"/>
  <c r="H214" i="1"/>
  <c r="H213" i="1"/>
  <c r="H212" i="1"/>
  <c r="H211" i="1"/>
  <c r="H210" i="1"/>
  <c r="H209" i="1"/>
  <c r="H208" i="1"/>
  <c r="H207" i="1"/>
  <c r="H206"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C234" i="1"/>
  <c r="C238" i="1"/>
  <c r="C242" i="1"/>
  <c r="C246" i="1"/>
  <c r="F246" i="1" s="1"/>
  <c r="C250" i="1"/>
  <c r="C253" i="1"/>
  <c r="E253" i="1" s="1"/>
  <c r="C257" i="1"/>
  <c r="C261" i="1"/>
  <c r="C265" i="1"/>
  <c r="C269" i="1"/>
  <c r="C274" i="1"/>
  <c r="F274" i="1" s="1"/>
  <c r="C277" i="1"/>
  <c r="C281" i="1"/>
  <c r="C285" i="1"/>
  <c r="E246" i="1"/>
  <c r="H132" i="1"/>
  <c r="H131" i="1"/>
  <c r="H130" i="1"/>
  <c r="H129" i="1"/>
  <c r="H128" i="1"/>
  <c r="H127" i="1"/>
  <c r="H126" i="1"/>
  <c r="H125" i="1"/>
  <c r="H123" i="1"/>
  <c r="H122" i="1"/>
  <c r="H121" i="1"/>
  <c r="H120" i="1"/>
  <c r="H119" i="1"/>
  <c r="H118" i="1"/>
  <c r="H117" i="1"/>
  <c r="H116"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1" i="1"/>
  <c r="H70" i="1"/>
  <c r="H69" i="1"/>
  <c r="H56" i="1"/>
  <c r="H54" i="1"/>
  <c r="H52" i="1"/>
  <c r="H50" i="1"/>
  <c r="H48" i="1"/>
  <c r="H46" i="1"/>
  <c r="H43" i="1"/>
  <c r="H41" i="1"/>
  <c r="H39" i="1"/>
  <c r="H37" i="1"/>
  <c r="H35" i="1"/>
  <c r="H32" i="1"/>
  <c r="H30" i="1"/>
  <c r="H28" i="1"/>
  <c r="H26" i="1"/>
  <c r="H24" i="1"/>
  <c r="H22" i="1"/>
  <c r="H20" i="1"/>
  <c r="H18" i="1"/>
  <c r="H16" i="1"/>
  <c r="H15" i="1"/>
  <c r="H13" i="1"/>
  <c r="H12" i="1"/>
  <c r="H10" i="1"/>
  <c r="H7" i="1"/>
  <c r="H5" i="1"/>
  <c r="H3" i="1"/>
  <c r="C3" i="1"/>
  <c r="C5" i="1"/>
  <c r="C7" i="1"/>
  <c r="C10" i="1"/>
  <c r="F250" i="1" l="1"/>
  <c r="E250" i="1"/>
  <c r="F257" i="1"/>
  <c r="E257" i="1"/>
  <c r="E285" i="1"/>
  <c r="F285" i="1"/>
  <c r="E332" i="1"/>
  <c r="F332" i="1"/>
  <c r="D332" i="1" s="1"/>
  <c r="F308" i="1"/>
  <c r="D308" i="1" s="1"/>
  <c r="E308" i="1"/>
  <c r="E304" i="1"/>
  <c r="F304" i="1"/>
  <c r="D304" i="1" s="1"/>
  <c r="E298" i="1"/>
  <c r="F298" i="1"/>
  <c r="D298" i="1" s="1"/>
  <c r="E289" i="1"/>
  <c r="F289" i="1"/>
  <c r="D289" i="1" s="1"/>
  <c r="E230" i="1"/>
  <c r="F230" i="1"/>
  <c r="D230" i="1" s="1"/>
  <c r="F226" i="1"/>
  <c r="D226" i="1" s="1"/>
  <c r="E226" i="1"/>
  <c r="C12" i="1"/>
  <c r="C13" i="1"/>
  <c r="C14" i="1"/>
  <c r="C15" i="1"/>
  <c r="C16" i="1"/>
  <c r="C17" i="1"/>
  <c r="C18" i="1"/>
  <c r="C19" i="1"/>
  <c r="C20" i="1"/>
  <c r="C21" i="1"/>
  <c r="C22" i="1"/>
  <c r="C23" i="1"/>
  <c r="C24" i="1"/>
  <c r="C25" i="1"/>
  <c r="C26" i="1"/>
  <c r="C27" i="1"/>
  <c r="C28" i="1"/>
  <c r="C29" i="1"/>
  <c r="C30" i="1"/>
  <c r="C31" i="1"/>
  <c r="C32" i="1"/>
  <c r="C33" i="1"/>
  <c r="C34" i="1"/>
  <c r="C140" i="1"/>
  <c r="C143" i="1"/>
  <c r="C146" i="1"/>
  <c r="C150" i="1"/>
  <c r="C153" i="1"/>
  <c r="C159" i="1"/>
  <c r="C163" i="1"/>
  <c r="C166" i="1"/>
  <c r="C172" i="1"/>
  <c r="C175" i="1"/>
  <c r="C177" i="1"/>
  <c r="C181" i="1"/>
  <c r="C187" i="1"/>
  <c r="C191" i="1"/>
  <c r="C193" i="1"/>
  <c r="C199" i="1"/>
  <c r="C203" i="1"/>
  <c r="C207" i="1"/>
  <c r="C209" i="1"/>
  <c r="C211" i="1"/>
  <c r="C213" i="1"/>
  <c r="C215" i="1"/>
  <c r="C217" i="1"/>
  <c r="C219" i="1"/>
  <c r="C221" i="1"/>
  <c r="C223" i="1"/>
  <c r="C225" i="1"/>
  <c r="C227" i="1"/>
  <c r="C229" i="1"/>
  <c r="C231" i="1"/>
  <c r="C233" i="1"/>
  <c r="C235" i="1"/>
  <c r="C237" i="1"/>
  <c r="C239" i="1"/>
  <c r="C241" i="1"/>
  <c r="C243" i="1"/>
  <c r="C245" i="1"/>
  <c r="C247" i="1"/>
  <c r="C249" i="1"/>
  <c r="C251" i="1"/>
  <c r="C254" i="1"/>
  <c r="C256" i="1"/>
  <c r="C258" i="1"/>
  <c r="C260" i="1"/>
  <c r="C262" i="1"/>
  <c r="C264" i="1"/>
  <c r="C266" i="1"/>
  <c r="C268" i="1"/>
  <c r="C270" i="1"/>
  <c r="C272" i="1"/>
  <c r="C273" i="1"/>
  <c r="C276" i="1"/>
  <c r="C278" i="1"/>
  <c r="C280" i="1"/>
  <c r="C282" i="1"/>
  <c r="C284" i="1"/>
  <c r="C286" i="1"/>
  <c r="C288" i="1"/>
  <c r="C290" i="1"/>
  <c r="C292" i="1"/>
  <c r="C294" i="1"/>
  <c r="C296" i="1"/>
  <c r="C297" i="1"/>
  <c r="C299" i="1"/>
  <c r="C301" i="1"/>
  <c r="C303" i="1"/>
  <c r="C305" i="1"/>
  <c r="C307" i="1"/>
  <c r="C309" i="1"/>
  <c r="C311" i="1"/>
  <c r="C313" i="1"/>
  <c r="C316" i="1"/>
  <c r="C318" i="1"/>
  <c r="C320" i="1"/>
  <c r="C322" i="1"/>
  <c r="C324" i="1"/>
  <c r="C326" i="1"/>
  <c r="C328" i="1"/>
  <c r="C329" i="1"/>
  <c r="C331" i="1"/>
  <c r="C334" i="1"/>
  <c r="C335" i="1"/>
  <c r="C338" i="1"/>
  <c r="C340" i="1"/>
  <c r="C342" i="1"/>
  <c r="C344" i="1"/>
  <c r="C346" i="1"/>
  <c r="C35" i="1"/>
  <c r="C36" i="1"/>
  <c r="C37" i="1"/>
  <c r="C38" i="1"/>
  <c r="C39" i="1"/>
  <c r="C40" i="1"/>
  <c r="C41" i="1"/>
  <c r="C42" i="1"/>
  <c r="C43" i="1"/>
  <c r="C44" i="1"/>
  <c r="C51" i="1"/>
  <c r="C54" i="1"/>
  <c r="C56" i="1"/>
  <c r="C58" i="1"/>
  <c r="C60" i="1"/>
  <c r="C62" i="1"/>
  <c r="C64" i="1"/>
  <c r="C66" i="1"/>
  <c r="C68" i="1"/>
  <c r="C69" i="1"/>
  <c r="C72" i="1"/>
  <c r="C74" i="1"/>
  <c r="C76" i="1"/>
  <c r="C78" i="1"/>
  <c r="C80" i="1"/>
  <c r="C82" i="1"/>
  <c r="C83" i="1"/>
  <c r="C86" i="1"/>
  <c r="C88" i="1"/>
  <c r="C90" i="1"/>
  <c r="C93" i="1"/>
  <c r="C95" i="1"/>
  <c r="C97" i="1"/>
  <c r="C98" i="1"/>
  <c r="C99" i="1"/>
  <c r="C100" i="1"/>
  <c r="C101" i="1"/>
  <c r="C105" i="1"/>
  <c r="C107" i="1"/>
  <c r="C109" i="1"/>
  <c r="C111" i="1"/>
  <c r="C113" i="1"/>
  <c r="C116" i="1"/>
  <c r="C117" i="1"/>
  <c r="C120" i="1"/>
  <c r="C125" i="1"/>
  <c r="C127" i="1"/>
  <c r="C130" i="1"/>
  <c r="C132" i="1"/>
  <c r="C134" i="1"/>
  <c r="C137" i="1"/>
  <c r="C142" i="1"/>
  <c r="C144" i="1"/>
  <c r="C147" i="1"/>
  <c r="C149" i="1"/>
  <c r="C152" i="1"/>
  <c r="C154" i="1"/>
  <c r="C156" i="1"/>
  <c r="C158" i="1"/>
  <c r="C160" i="1"/>
  <c r="C162" i="1"/>
  <c r="C164" i="1"/>
  <c r="C168" i="1"/>
  <c r="C169" i="1"/>
  <c r="C170" i="1"/>
  <c r="C174" i="1"/>
  <c r="C178" i="1"/>
  <c r="C180" i="1"/>
  <c r="C182" i="1"/>
  <c r="C184" i="1"/>
  <c r="C186" i="1"/>
  <c r="C188" i="1"/>
  <c r="C190" i="1"/>
  <c r="C192" i="1"/>
  <c r="C194" i="1"/>
  <c r="C196" i="1"/>
  <c r="C197" i="1"/>
  <c r="C198" i="1"/>
  <c r="C200" i="1"/>
  <c r="C202" i="1"/>
  <c r="C204" i="1"/>
  <c r="D205" i="1"/>
  <c r="E205" i="1"/>
  <c r="C347" i="1"/>
  <c r="C45" i="1"/>
  <c r="C46" i="1"/>
  <c r="C47" i="1"/>
  <c r="C48" i="1"/>
  <c r="C49" i="1"/>
  <c r="C50" i="1"/>
  <c r="C52" i="1"/>
  <c r="C53" i="1"/>
  <c r="C55" i="1"/>
  <c r="C57" i="1"/>
  <c r="C59" i="1"/>
  <c r="C61" i="1"/>
  <c r="C63" i="1"/>
  <c r="C65" i="1"/>
  <c r="C67" i="1"/>
  <c r="C70" i="1"/>
  <c r="C71" i="1"/>
  <c r="C73" i="1"/>
  <c r="C75" i="1"/>
  <c r="C77" i="1"/>
  <c r="C79" i="1"/>
  <c r="C81" i="1"/>
  <c r="C84" i="1"/>
  <c r="C85" i="1"/>
  <c r="C87" i="1"/>
  <c r="C89" i="1"/>
  <c r="C91" i="1"/>
  <c r="C92" i="1"/>
  <c r="C94" i="1"/>
  <c r="C96" i="1"/>
  <c r="C102" i="1"/>
  <c r="C103" i="1"/>
  <c r="C104" i="1"/>
  <c r="C106" i="1"/>
  <c r="C108" i="1"/>
  <c r="C110" i="1"/>
  <c r="C112" i="1"/>
  <c r="C118" i="1"/>
  <c r="C119" i="1"/>
  <c r="C121" i="1"/>
  <c r="C122" i="1"/>
  <c r="C123" i="1"/>
  <c r="C126" i="1"/>
  <c r="C128" i="1"/>
  <c r="C129" i="1"/>
  <c r="C131" i="1"/>
  <c r="C133" i="1"/>
  <c r="C135" i="1"/>
  <c r="C136" i="1"/>
  <c r="C138" i="1"/>
  <c r="C139" i="1"/>
  <c r="C141" i="1"/>
  <c r="C145" i="1"/>
  <c r="C148" i="1"/>
  <c r="C151" i="1"/>
  <c r="C155" i="1"/>
  <c r="C157" i="1"/>
  <c r="C161" i="1"/>
  <c r="C165" i="1"/>
  <c r="C167" i="1"/>
  <c r="C173" i="1"/>
  <c r="C176" i="1"/>
  <c r="C179" i="1"/>
  <c r="C183" i="1"/>
  <c r="C185" i="1"/>
  <c r="C189" i="1"/>
  <c r="C195" i="1"/>
  <c r="C201" i="1"/>
  <c r="C206" i="1"/>
  <c r="C208" i="1"/>
  <c r="C210" i="1"/>
  <c r="C212" i="1"/>
  <c r="C214" i="1"/>
  <c r="C216" i="1"/>
  <c r="C218" i="1"/>
  <c r="C220" i="1"/>
  <c r="C222" i="1"/>
  <c r="C224" i="1"/>
  <c r="C228" i="1"/>
  <c r="C232" i="1"/>
  <c r="C236" i="1"/>
  <c r="C240" i="1"/>
  <c r="C244" i="1"/>
  <c r="C248" i="1"/>
  <c r="C252" i="1"/>
  <c r="C255" i="1"/>
  <c r="C259" i="1"/>
  <c r="C263" i="1"/>
  <c r="C267" i="1"/>
  <c r="C271" i="1"/>
  <c r="C275" i="1"/>
  <c r="C279" i="1"/>
  <c r="C283" i="1"/>
  <c r="C287" i="1"/>
  <c r="C291" i="1"/>
  <c r="C293" i="1"/>
  <c r="C300" i="1"/>
  <c r="C302" i="1"/>
  <c r="C306" i="1"/>
  <c r="C310" i="1"/>
  <c r="C314" i="1"/>
  <c r="C317" i="1"/>
  <c r="C321" i="1"/>
  <c r="C325" i="1"/>
  <c r="C330" i="1"/>
  <c r="C333" i="1"/>
  <c r="C337" i="1"/>
  <c r="C341" i="1"/>
  <c r="C345" i="1"/>
  <c r="F339" i="1"/>
  <c r="D339" i="1"/>
  <c r="E343" i="1"/>
  <c r="F348" i="1"/>
  <c r="E348" i="1"/>
  <c r="E2" i="1"/>
  <c r="F3" i="1"/>
  <c r="E3" i="1"/>
  <c r="F4" i="1"/>
  <c r="E5" i="1"/>
  <c r="F6" i="1"/>
  <c r="D6" i="1"/>
  <c r="E7" i="1"/>
  <c r="F9" i="1"/>
  <c r="D9" i="1"/>
  <c r="E10" i="1"/>
  <c r="F11" i="1"/>
  <c r="D11" i="1"/>
  <c r="F234" i="1"/>
  <c r="D234" i="1" s="1"/>
  <c r="E234" i="1"/>
  <c r="E238" i="1"/>
  <c r="F242" i="1"/>
  <c r="D242" i="1"/>
  <c r="D250" i="1"/>
  <c r="F253" i="1"/>
  <c r="D257" i="1"/>
  <c r="E261" i="1"/>
  <c r="F265" i="1"/>
  <c r="D265" i="1" s="1"/>
  <c r="F269" i="1"/>
  <c r="D269" i="1" s="1"/>
  <c r="D274" i="1"/>
  <c r="F277" i="1"/>
  <c r="D277" i="1" s="1"/>
  <c r="F281" i="1"/>
  <c r="D281" i="1" s="1"/>
  <c r="E312" i="1"/>
  <c r="F315" i="1"/>
  <c r="D315" i="1" s="1"/>
  <c r="D323" i="1"/>
  <c r="E327" i="1"/>
  <c r="E336" i="1"/>
  <c r="F238" i="1"/>
  <c r="E242" i="1"/>
  <c r="D246" i="1"/>
  <c r="D253" i="1"/>
  <c r="F261" i="1"/>
  <c r="D261" i="1" s="1"/>
  <c r="E265" i="1"/>
  <c r="E269" i="1"/>
  <c r="E274" i="1"/>
  <c r="E277" i="1"/>
  <c r="E281" i="1"/>
  <c r="D285" i="1"/>
  <c r="F295" i="1"/>
  <c r="D295" i="1" s="1"/>
  <c r="F312" i="1"/>
  <c r="D312" i="1" s="1"/>
  <c r="F319" i="1"/>
  <c r="D319" i="1" s="1"/>
  <c r="E323" i="1"/>
  <c r="D327" i="1"/>
  <c r="F336" i="1"/>
  <c r="D336" i="1" s="1"/>
  <c r="D348" i="1"/>
  <c r="F2" i="1"/>
  <c r="D2" i="1"/>
  <c r="D3" i="1"/>
  <c r="E4" i="1"/>
  <c r="D4" i="1"/>
  <c r="F5" i="1"/>
  <c r="D5" i="1"/>
  <c r="E6" i="1"/>
  <c r="F7" i="1"/>
  <c r="D7" i="1" s="1"/>
  <c r="E9" i="1"/>
  <c r="F10" i="1"/>
  <c r="D10" i="1"/>
  <c r="E11" i="1"/>
  <c r="F343" i="1"/>
  <c r="F12" i="1" l="1"/>
  <c r="E12" i="1"/>
  <c r="E13" i="1"/>
  <c r="F13" i="1"/>
  <c r="F14" i="1"/>
  <c r="E14" i="1"/>
  <c r="E15" i="1"/>
  <c r="F15" i="1"/>
  <c r="F16" i="1"/>
  <c r="E16" i="1"/>
  <c r="E17" i="1"/>
  <c r="F17" i="1"/>
  <c r="F18" i="1"/>
  <c r="E18" i="1"/>
  <c r="E19" i="1"/>
  <c r="F19" i="1"/>
  <c r="E20" i="1"/>
  <c r="F20" i="1"/>
  <c r="F21" i="1"/>
  <c r="E21" i="1"/>
  <c r="E22" i="1"/>
  <c r="F22" i="1"/>
  <c r="E23" i="1"/>
  <c r="F23" i="1"/>
  <c r="F24" i="1"/>
  <c r="E24" i="1"/>
  <c r="E25" i="1"/>
  <c r="F25" i="1"/>
  <c r="F26" i="1"/>
  <c r="E26" i="1"/>
  <c r="E27" i="1"/>
  <c r="F27" i="1"/>
  <c r="F28" i="1"/>
  <c r="E28" i="1"/>
  <c r="E29" i="1"/>
  <c r="F29" i="1"/>
  <c r="F30" i="1"/>
  <c r="E30" i="1"/>
  <c r="E31" i="1"/>
  <c r="F31" i="1"/>
  <c r="F32" i="1"/>
  <c r="E32" i="1"/>
  <c r="E33" i="1"/>
  <c r="F33" i="1"/>
  <c r="F34" i="1"/>
  <c r="E34" i="1"/>
  <c r="F140" i="1"/>
  <c r="E140" i="1"/>
  <c r="F143" i="1"/>
  <c r="E143" i="1"/>
  <c r="E146" i="1"/>
  <c r="F146" i="1"/>
  <c r="F150" i="1"/>
  <c r="E150" i="1"/>
  <c r="E153" i="1"/>
  <c r="F153" i="1"/>
  <c r="E159" i="1"/>
  <c r="F159" i="1"/>
  <c r="E163" i="1"/>
  <c r="F163" i="1"/>
  <c r="D163" i="1"/>
  <c r="F166" i="1"/>
  <c r="E166" i="1"/>
  <c r="D166" i="1"/>
  <c r="E172" i="1"/>
  <c r="F172" i="1"/>
  <c r="D172" i="1"/>
  <c r="E175" i="1"/>
  <c r="F175" i="1"/>
  <c r="D175" i="1"/>
  <c r="E177" i="1"/>
  <c r="F177" i="1"/>
  <c r="F181" i="1"/>
  <c r="D181" i="1"/>
  <c r="E181" i="1"/>
  <c r="E187" i="1"/>
  <c r="F187" i="1"/>
  <c r="F191" i="1"/>
  <c r="E191" i="1"/>
  <c r="E193" i="1"/>
  <c r="F193" i="1"/>
  <c r="E199" i="1"/>
  <c r="F199" i="1"/>
  <c r="F203" i="1"/>
  <c r="D203" i="1"/>
  <c r="E203" i="1"/>
  <c r="E207" i="1"/>
  <c r="F207" i="1"/>
  <c r="F209" i="1"/>
  <c r="E209" i="1"/>
  <c r="D209" i="1"/>
  <c r="F211" i="1"/>
  <c r="E211" i="1"/>
  <c r="E213" i="1"/>
  <c r="F213" i="1"/>
  <c r="D213" i="1"/>
  <c r="E215" i="1"/>
  <c r="F215" i="1"/>
  <c r="F217" i="1"/>
  <c r="E217" i="1"/>
  <c r="F219" i="1"/>
  <c r="E219" i="1"/>
  <c r="D219" i="1"/>
  <c r="F221" i="1"/>
  <c r="E221" i="1"/>
  <c r="E223" i="1"/>
  <c r="F223" i="1"/>
  <c r="D223" i="1"/>
  <c r="E225" i="1"/>
  <c r="F225" i="1"/>
  <c r="E227" i="1"/>
  <c r="F227" i="1"/>
  <c r="D227" i="1" s="1"/>
  <c r="F229" i="1"/>
  <c r="D229" i="1"/>
  <c r="E229" i="1"/>
  <c r="F231" i="1"/>
  <c r="E231" i="1"/>
  <c r="F233" i="1"/>
  <c r="D233" i="1"/>
  <c r="E233" i="1"/>
  <c r="E235" i="1"/>
  <c r="F235" i="1"/>
  <c r="E237" i="1"/>
  <c r="F237" i="1"/>
  <c r="F239" i="1"/>
  <c r="D239" i="1"/>
  <c r="E239" i="1"/>
  <c r="F241" i="1"/>
  <c r="E241" i="1"/>
  <c r="F243" i="1"/>
  <c r="E243" i="1"/>
  <c r="E245" i="1"/>
  <c r="F245" i="1"/>
  <c r="E247" i="1"/>
  <c r="F247" i="1"/>
  <c r="F249" i="1"/>
  <c r="D249" i="1"/>
  <c r="E249" i="1"/>
  <c r="E251" i="1"/>
  <c r="F251" i="1"/>
  <c r="E254" i="1"/>
  <c r="F254" i="1"/>
  <c r="F256" i="1"/>
  <c r="D256" i="1"/>
  <c r="E256" i="1"/>
  <c r="E258" i="1"/>
  <c r="F258" i="1"/>
  <c r="D258" i="1"/>
  <c r="E260" i="1"/>
  <c r="F260" i="1"/>
  <c r="F262" i="1"/>
  <c r="E262" i="1"/>
  <c r="D262" i="1"/>
  <c r="E264" i="1"/>
  <c r="F264" i="1"/>
  <c r="F266" i="1"/>
  <c r="D266" i="1"/>
  <c r="E266" i="1"/>
  <c r="E268" i="1"/>
  <c r="F268" i="1"/>
  <c r="E270" i="1"/>
  <c r="F270" i="1"/>
  <c r="E272" i="1"/>
  <c r="F272" i="1"/>
  <c r="F273" i="1"/>
  <c r="E273" i="1"/>
  <c r="E276" i="1"/>
  <c r="F276" i="1"/>
  <c r="F278" i="1"/>
  <c r="E278" i="1"/>
  <c r="E280" i="1"/>
  <c r="F280" i="1"/>
  <c r="F282" i="1"/>
  <c r="D282" i="1"/>
  <c r="E282" i="1"/>
  <c r="F284" i="1"/>
  <c r="E284" i="1"/>
  <c r="E286" i="1"/>
  <c r="F286" i="1"/>
  <c r="F288" i="1"/>
  <c r="E288" i="1"/>
  <c r="D288" i="1"/>
  <c r="E290" i="1"/>
  <c r="F290" i="1"/>
  <c r="F292" i="1"/>
  <c r="E292" i="1"/>
  <c r="D292" i="1"/>
  <c r="F294" i="1"/>
  <c r="D294" i="1"/>
  <c r="E294" i="1"/>
  <c r="F296" i="1"/>
  <c r="E296" i="1"/>
  <c r="F297" i="1"/>
  <c r="E297" i="1"/>
  <c r="D297" i="1"/>
  <c r="E299" i="1"/>
  <c r="F299" i="1"/>
  <c r="E301" i="1"/>
  <c r="F301" i="1"/>
  <c r="F303" i="1"/>
  <c r="D303" i="1"/>
  <c r="E303" i="1"/>
  <c r="E305" i="1"/>
  <c r="F305" i="1"/>
  <c r="F307" i="1"/>
  <c r="D307" i="1"/>
  <c r="E307" i="1"/>
  <c r="F309" i="1"/>
  <c r="E309" i="1"/>
  <c r="D309" i="1"/>
  <c r="E311" i="1"/>
  <c r="F311" i="1"/>
  <c r="F313" i="1"/>
  <c r="E313" i="1"/>
  <c r="D313" i="1"/>
  <c r="E316" i="1"/>
  <c r="F316" i="1"/>
  <c r="E318" i="1"/>
  <c r="F318" i="1"/>
  <c r="D318" i="1"/>
  <c r="E320" i="1"/>
  <c r="F320" i="1"/>
  <c r="F322" i="1"/>
  <c r="E322" i="1"/>
  <c r="F324" i="1"/>
  <c r="E324" i="1"/>
  <c r="D324" i="1"/>
  <c r="F326" i="1"/>
  <c r="E326" i="1"/>
  <c r="E328" i="1"/>
  <c r="F328" i="1"/>
  <c r="D328" i="1"/>
  <c r="E329" i="1"/>
  <c r="F329" i="1"/>
  <c r="F331" i="1"/>
  <c r="D331" i="1"/>
  <c r="E331" i="1"/>
  <c r="F334" i="1"/>
  <c r="E334" i="1"/>
  <c r="D334" i="1"/>
  <c r="E335" i="1"/>
  <c r="F335" i="1"/>
  <c r="E338" i="1"/>
  <c r="F338" i="1"/>
  <c r="D338" i="1"/>
  <c r="F340" i="1"/>
  <c r="E340" i="1"/>
  <c r="E342" i="1"/>
  <c r="F342" i="1"/>
  <c r="F344" i="1"/>
  <c r="E344" i="1"/>
  <c r="E346" i="1"/>
  <c r="F346" i="1"/>
  <c r="E35" i="1"/>
  <c r="F35" i="1"/>
  <c r="F36" i="1"/>
  <c r="E36" i="1"/>
  <c r="E37" i="1"/>
  <c r="F37" i="1"/>
  <c r="F38" i="1"/>
  <c r="E38" i="1"/>
  <c r="E39" i="1"/>
  <c r="F39" i="1"/>
  <c r="F40" i="1"/>
  <c r="E40" i="1"/>
  <c r="E41" i="1"/>
  <c r="F41" i="1"/>
  <c r="F42" i="1"/>
  <c r="E42" i="1"/>
  <c r="E43" i="1"/>
  <c r="F43" i="1"/>
  <c r="F44" i="1"/>
  <c r="E44" i="1"/>
  <c r="E51" i="1"/>
  <c r="F51" i="1"/>
  <c r="E54" i="1"/>
  <c r="F54" i="1"/>
  <c r="D54" i="1"/>
  <c r="E56" i="1"/>
  <c r="F56" i="1"/>
  <c r="D56" i="1"/>
  <c r="E58" i="1"/>
  <c r="F58" i="1"/>
  <c r="E60" i="1"/>
  <c r="F60" i="1"/>
  <c r="D60" i="1"/>
  <c r="E62" i="1"/>
  <c r="F62" i="1"/>
  <c r="E64" i="1"/>
  <c r="F64" i="1"/>
  <c r="D64" i="1"/>
  <c r="E66" i="1"/>
  <c r="F66" i="1"/>
  <c r="F68" i="1"/>
  <c r="E68" i="1"/>
  <c r="E69" i="1"/>
  <c r="F69" i="1"/>
  <c r="D69" i="1"/>
  <c r="E72" i="1"/>
  <c r="F72" i="1"/>
  <c r="E74" i="1"/>
  <c r="F74" i="1"/>
  <c r="D74" i="1"/>
  <c r="E76" i="1"/>
  <c r="F76" i="1"/>
  <c r="E78" i="1"/>
  <c r="F78" i="1"/>
  <c r="D78" i="1"/>
  <c r="E80" i="1"/>
  <c r="F80" i="1"/>
  <c r="E82" i="1"/>
  <c r="F82" i="1"/>
  <c r="D82" i="1"/>
  <c r="E83" i="1"/>
  <c r="F83" i="1"/>
  <c r="E86" i="1"/>
  <c r="F86" i="1"/>
  <c r="D86" i="1"/>
  <c r="E88" i="1"/>
  <c r="F88" i="1"/>
  <c r="E90" i="1"/>
  <c r="F90" i="1"/>
  <c r="D90" i="1"/>
  <c r="E93" i="1"/>
  <c r="F93" i="1"/>
  <c r="E95" i="1"/>
  <c r="F95" i="1"/>
  <c r="D95" i="1"/>
  <c r="E97" i="1"/>
  <c r="F97" i="1"/>
  <c r="E98" i="1"/>
  <c r="F98" i="1"/>
  <c r="E99" i="1"/>
  <c r="F99" i="1"/>
  <c r="E100" i="1"/>
  <c r="F100" i="1"/>
  <c r="D100" i="1"/>
  <c r="E101" i="1"/>
  <c r="F101" i="1"/>
  <c r="E105" i="1"/>
  <c r="F105" i="1"/>
  <c r="D105" i="1"/>
  <c r="E107" i="1"/>
  <c r="F107" i="1"/>
  <c r="E109" i="1"/>
  <c r="F109" i="1"/>
  <c r="D109" i="1"/>
  <c r="E111" i="1"/>
  <c r="F111" i="1"/>
  <c r="E113" i="1"/>
  <c r="F113" i="1"/>
  <c r="E116" i="1"/>
  <c r="F116" i="1"/>
  <c r="E117" i="1"/>
  <c r="F117" i="1"/>
  <c r="E120" i="1"/>
  <c r="F120" i="1"/>
  <c r="D120" i="1"/>
  <c r="E125" i="1"/>
  <c r="F125" i="1"/>
  <c r="E127" i="1"/>
  <c r="F127" i="1"/>
  <c r="D127" i="1"/>
  <c r="E130" i="1"/>
  <c r="F130" i="1"/>
  <c r="E132" i="1"/>
  <c r="F132" i="1"/>
  <c r="D132" i="1"/>
  <c r="E134" i="1"/>
  <c r="F134" i="1"/>
  <c r="E137" i="1"/>
  <c r="F137" i="1"/>
  <c r="E142" i="1"/>
  <c r="F142" i="1"/>
  <c r="E144" i="1"/>
  <c r="F144" i="1"/>
  <c r="D144" i="1"/>
  <c r="E147" i="1"/>
  <c r="F147" i="1"/>
  <c r="E149" i="1"/>
  <c r="F149" i="1"/>
  <c r="E152" i="1"/>
  <c r="F152" i="1"/>
  <c r="F154" i="1"/>
  <c r="E154" i="1"/>
  <c r="D154" i="1"/>
  <c r="E156" i="1"/>
  <c r="F156" i="1"/>
  <c r="D156" i="1"/>
  <c r="F158" i="1"/>
  <c r="E158" i="1"/>
  <c r="D158" i="1"/>
  <c r="E160" i="1"/>
  <c r="F160" i="1"/>
  <c r="E162" i="1"/>
  <c r="F162" i="1"/>
  <c r="E164" i="1"/>
  <c r="F164" i="1"/>
  <c r="D164" i="1"/>
  <c r="F168" i="1"/>
  <c r="D168" i="1"/>
  <c r="E168" i="1"/>
  <c r="F169" i="1"/>
  <c r="E169" i="1"/>
  <c r="D169" i="1"/>
  <c r="F170" i="1"/>
  <c r="D170" i="1"/>
  <c r="E170" i="1"/>
  <c r="F174" i="1"/>
  <c r="E174" i="1"/>
  <c r="E178" i="1"/>
  <c r="F178" i="1"/>
  <c r="E180" i="1"/>
  <c r="F180" i="1"/>
  <c r="D180" i="1"/>
  <c r="E182" i="1"/>
  <c r="F182" i="1"/>
  <c r="E184" i="1"/>
  <c r="F184" i="1"/>
  <c r="D184" i="1"/>
  <c r="E186" i="1"/>
  <c r="F186" i="1"/>
  <c r="E188" i="1"/>
  <c r="F188" i="1"/>
  <c r="D188" i="1"/>
  <c r="E190" i="1"/>
  <c r="F190" i="1"/>
  <c r="E192" i="1"/>
  <c r="F192" i="1"/>
  <c r="D192" i="1"/>
  <c r="E194" i="1"/>
  <c r="F194" i="1"/>
  <c r="E196" i="1"/>
  <c r="F196" i="1"/>
  <c r="F197" i="1"/>
  <c r="E197" i="1"/>
  <c r="E198" i="1"/>
  <c r="F198" i="1"/>
  <c r="F200" i="1"/>
  <c r="E200" i="1"/>
  <c r="D200" i="1"/>
  <c r="F202" i="1"/>
  <c r="D202" i="1"/>
  <c r="E202" i="1"/>
  <c r="E204" i="1"/>
  <c r="F204" i="1"/>
  <c r="E347" i="1"/>
  <c r="F347" i="1"/>
  <c r="F45" i="1"/>
  <c r="D45" i="1"/>
  <c r="E45" i="1"/>
  <c r="E46" i="1"/>
  <c r="F46" i="1"/>
  <c r="D46" i="1"/>
  <c r="E47" i="1"/>
  <c r="F47" i="1"/>
  <c r="E48" i="1"/>
  <c r="F48" i="1"/>
  <c r="F49" i="1"/>
  <c r="D49" i="1"/>
  <c r="E49" i="1"/>
  <c r="F50" i="1"/>
  <c r="E50" i="1"/>
  <c r="F52" i="1"/>
  <c r="E52" i="1"/>
  <c r="D52" i="1"/>
  <c r="E53" i="1"/>
  <c r="F53" i="1"/>
  <c r="E55" i="1"/>
  <c r="F55" i="1"/>
  <c r="D55" i="1"/>
  <c r="E57" i="1"/>
  <c r="F57" i="1"/>
  <c r="F59" i="1"/>
  <c r="D59" i="1"/>
  <c r="E59" i="1"/>
  <c r="E61" i="1"/>
  <c r="F61" i="1"/>
  <c r="E63" i="1"/>
  <c r="F63" i="1"/>
  <c r="F65" i="1"/>
  <c r="D65" i="1"/>
  <c r="E65" i="1"/>
  <c r="E67" i="1"/>
  <c r="F67" i="1"/>
  <c r="E70" i="1"/>
  <c r="F70" i="1"/>
  <c r="F71" i="1"/>
  <c r="D71" i="1"/>
  <c r="E71" i="1"/>
  <c r="F73" i="1"/>
  <c r="D73" i="1"/>
  <c r="E73" i="1"/>
  <c r="E75" i="1"/>
  <c r="F75" i="1"/>
  <c r="E77" i="1"/>
  <c r="F77" i="1"/>
  <c r="F79" i="1"/>
  <c r="E79" i="1"/>
  <c r="D79" i="1"/>
  <c r="E81" i="1"/>
  <c r="F81" i="1"/>
  <c r="E84" i="1"/>
  <c r="F84" i="1"/>
  <c r="F85" i="1"/>
  <c r="D85" i="1"/>
  <c r="E85" i="1"/>
  <c r="F87" i="1"/>
  <c r="D87" i="1"/>
  <c r="E87" i="1"/>
  <c r="E89" i="1"/>
  <c r="F89" i="1"/>
  <c r="E91" i="1"/>
  <c r="F91" i="1"/>
  <c r="F92" i="1"/>
  <c r="E92" i="1"/>
  <c r="D92" i="1"/>
  <c r="F94" i="1"/>
  <c r="E94" i="1"/>
  <c r="E96" i="1"/>
  <c r="F96" i="1"/>
  <c r="E102" i="1"/>
  <c r="F102" i="1"/>
  <c r="E103" i="1"/>
  <c r="F103" i="1"/>
  <c r="F104" i="1"/>
  <c r="E104" i="1"/>
  <c r="F106" i="1"/>
  <c r="D106" i="1"/>
  <c r="E106" i="1"/>
  <c r="F108" i="1"/>
  <c r="D108" i="1"/>
  <c r="E108" i="1"/>
  <c r="E110" i="1"/>
  <c r="F110" i="1"/>
  <c r="E112" i="1"/>
  <c r="F112" i="1"/>
  <c r="D112" i="1"/>
  <c r="E118" i="1"/>
  <c r="F118" i="1"/>
  <c r="D118" i="1"/>
  <c r="F119" i="1"/>
  <c r="D119" i="1"/>
  <c r="E119" i="1"/>
  <c r="E121" i="1"/>
  <c r="F121" i="1"/>
  <c r="F122" i="1"/>
  <c r="E122" i="1"/>
  <c r="F123" i="1"/>
  <c r="E123" i="1"/>
  <c r="D123" i="1"/>
  <c r="F126" i="1"/>
  <c r="E126" i="1"/>
  <c r="F128" i="1"/>
  <c r="E128" i="1"/>
  <c r="E129" i="1"/>
  <c r="F129" i="1"/>
  <c r="E131" i="1"/>
  <c r="F131" i="1"/>
  <c r="E133" i="1"/>
  <c r="F133" i="1"/>
  <c r="E135" i="1"/>
  <c r="F135" i="1"/>
  <c r="F136" i="1"/>
  <c r="E136" i="1"/>
  <c r="D136" i="1"/>
  <c r="F138" i="1"/>
  <c r="D138" i="1"/>
  <c r="E138" i="1"/>
  <c r="E139" i="1"/>
  <c r="F139" i="1"/>
  <c r="D139" i="1"/>
  <c r="F141" i="1"/>
  <c r="E141" i="1"/>
  <c r="D141" i="1"/>
  <c r="F145" i="1"/>
  <c r="D145" i="1"/>
  <c r="E145" i="1"/>
  <c r="F148" i="1"/>
  <c r="E148" i="1"/>
  <c r="D148" i="1"/>
  <c r="E151" i="1"/>
  <c r="F151" i="1"/>
  <c r="F155" i="1"/>
  <c r="E155" i="1"/>
  <c r="D155" i="1"/>
  <c r="F157" i="1"/>
  <c r="E157" i="1"/>
  <c r="E161" i="1"/>
  <c r="F161" i="1"/>
  <c r="F165" i="1"/>
  <c r="E165" i="1"/>
  <c r="D165" i="1"/>
  <c r="E167" i="1"/>
  <c r="F167" i="1"/>
  <c r="F173" i="1"/>
  <c r="E173" i="1"/>
  <c r="D173" i="1"/>
  <c r="F176" i="1"/>
  <c r="D176" i="1"/>
  <c r="E176" i="1"/>
  <c r="E179" i="1"/>
  <c r="F179" i="1"/>
  <c r="D179" i="1"/>
  <c r="F183" i="1"/>
  <c r="E183" i="1"/>
  <c r="E185" i="1"/>
  <c r="F185" i="1"/>
  <c r="F189" i="1"/>
  <c r="E189" i="1"/>
  <c r="D189" i="1"/>
  <c r="E195" i="1"/>
  <c r="F195" i="1"/>
  <c r="E201" i="1"/>
  <c r="F201" i="1"/>
  <c r="D201" i="1"/>
  <c r="F206" i="1"/>
  <c r="E206" i="1"/>
  <c r="D206" i="1"/>
  <c r="F208" i="1"/>
  <c r="E208" i="1"/>
  <c r="D208" i="1"/>
  <c r="E210" i="1"/>
  <c r="F210" i="1"/>
  <c r="F212" i="1"/>
  <c r="D212" i="1"/>
  <c r="E212" i="1"/>
  <c r="E214" i="1"/>
  <c r="F214" i="1"/>
  <c r="E216" i="1"/>
  <c r="F216" i="1"/>
  <c r="F218" i="1"/>
  <c r="E218" i="1"/>
  <c r="D218" i="1"/>
  <c r="E220" i="1"/>
  <c r="F220" i="1"/>
  <c r="F222" i="1"/>
  <c r="D222" i="1"/>
  <c r="E222" i="1"/>
  <c r="E224" i="1"/>
  <c r="F224" i="1"/>
  <c r="F228" i="1"/>
  <c r="E228" i="1"/>
  <c r="D228" i="1"/>
  <c r="E232" i="1"/>
  <c r="F232" i="1"/>
  <c r="F236" i="1"/>
  <c r="D236" i="1"/>
  <c r="E236" i="1"/>
  <c r="E240" i="1"/>
  <c r="F240" i="1"/>
  <c r="E244" i="1"/>
  <c r="F244" i="1"/>
  <c r="E248" i="1"/>
  <c r="F248" i="1"/>
  <c r="E252" i="1"/>
  <c r="F252" i="1"/>
  <c r="F255" i="1"/>
  <c r="E255" i="1"/>
  <c r="D255" i="1"/>
  <c r="F259" i="1"/>
  <c r="E259" i="1"/>
  <c r="D259" i="1"/>
  <c r="F263" i="1"/>
  <c r="E263" i="1"/>
  <c r="D263" i="1"/>
  <c r="E267" i="1"/>
  <c r="F267" i="1"/>
  <c r="D267" i="1"/>
  <c r="F271" i="1"/>
  <c r="E271" i="1"/>
  <c r="F275" i="1"/>
  <c r="E275" i="1"/>
  <c r="D275" i="1"/>
  <c r="E279" i="1"/>
  <c r="F279" i="1"/>
  <c r="D279" i="1"/>
  <c r="F283" i="1"/>
  <c r="E283" i="1"/>
  <c r="F287" i="1"/>
  <c r="E287" i="1"/>
  <c r="F291" i="1"/>
  <c r="E291" i="1"/>
  <c r="F293" i="1"/>
  <c r="E293" i="1"/>
  <c r="F300" i="1"/>
  <c r="E300" i="1"/>
  <c r="D300" i="1"/>
  <c r="F302" i="1"/>
  <c r="E302" i="1"/>
  <c r="E306" i="1"/>
  <c r="F306" i="1"/>
  <c r="F310" i="1"/>
  <c r="E310" i="1"/>
  <c r="D310" i="1"/>
  <c r="F314" i="1"/>
  <c r="E314" i="1"/>
  <c r="D314" i="1"/>
  <c r="F317" i="1"/>
  <c r="D317" i="1"/>
  <c r="E317" i="1"/>
  <c r="F321" i="1"/>
  <c r="D321" i="1"/>
  <c r="E321" i="1"/>
  <c r="E325" i="1"/>
  <c r="F325" i="1"/>
  <c r="E330" i="1"/>
  <c r="F330" i="1"/>
  <c r="F333" i="1"/>
  <c r="E333" i="1"/>
  <c r="D333" i="1"/>
  <c r="F337" i="1"/>
  <c r="E337" i="1"/>
  <c r="D337" i="1"/>
  <c r="E341" i="1"/>
  <c r="F341" i="1"/>
  <c r="E345" i="1"/>
  <c r="F345" i="1"/>
  <c r="D343" i="1"/>
  <c r="D238" i="1"/>
  <c r="D231" i="1" l="1"/>
  <c r="D243" i="1"/>
  <c r="D247" i="1"/>
  <c r="D254" i="1"/>
  <c r="D270" i="1"/>
  <c r="D111" i="1"/>
  <c r="D137" i="1"/>
  <c r="D284" i="1"/>
  <c r="D278" i="1"/>
  <c r="D280" i="1"/>
  <c r="D286" i="1"/>
  <c r="D290" i="1"/>
  <c r="D296" i="1"/>
  <c r="D299" i="1"/>
  <c r="D301" i="1"/>
  <c r="D305" i="1"/>
  <c r="D311" i="1"/>
  <c r="D316" i="1"/>
  <c r="D320" i="1"/>
  <c r="D322" i="1"/>
  <c r="D326" i="1"/>
  <c r="D329" i="1"/>
  <c r="D335" i="1"/>
  <c r="D340" i="1"/>
  <c r="D342" i="1"/>
  <c r="D344" i="1"/>
  <c r="D346" i="1"/>
  <c r="D35" i="1"/>
  <c r="D36" i="1"/>
  <c r="D37" i="1"/>
  <c r="D38" i="1"/>
  <c r="D39" i="1"/>
  <c r="D40" i="1"/>
  <c r="D41" i="1"/>
  <c r="D42" i="1"/>
  <c r="D43" i="1"/>
  <c r="D44" i="1"/>
  <c r="D51" i="1"/>
  <c r="D58" i="1"/>
  <c r="D62" i="1"/>
  <c r="D66" i="1"/>
  <c r="D68" i="1"/>
  <c r="D72" i="1"/>
  <c r="D76" i="1"/>
  <c r="D80" i="1"/>
  <c r="D83" i="1"/>
  <c r="D88" i="1"/>
  <c r="D93" i="1"/>
  <c r="D97" i="1"/>
  <c r="D98" i="1"/>
  <c r="D99" i="1"/>
  <c r="D101" i="1"/>
  <c r="D107" i="1"/>
  <c r="D103" i="1"/>
  <c r="D104" i="1"/>
  <c r="D215" i="1"/>
  <c r="D221" i="1"/>
  <c r="D235" i="1"/>
  <c r="D237" i="1"/>
  <c r="D251" i="1"/>
  <c r="D264" i="1"/>
  <c r="D113" i="1"/>
  <c r="D116" i="1"/>
  <c r="D117" i="1"/>
  <c r="D125" i="1"/>
  <c r="D130" i="1"/>
  <c r="D134" i="1"/>
  <c r="D142" i="1"/>
  <c r="D147" i="1"/>
  <c r="D149" i="1"/>
  <c r="D152" i="1"/>
  <c r="D160" i="1"/>
  <c r="D162" i="1"/>
  <c r="D174" i="1"/>
  <c r="D178" i="1"/>
  <c r="D182" i="1"/>
  <c r="D186" i="1"/>
  <c r="D190" i="1"/>
  <c r="D194" i="1"/>
  <c r="D196" i="1"/>
  <c r="D197" i="1"/>
  <c r="D198" i="1"/>
  <c r="D204" i="1"/>
  <c r="D347" i="1"/>
  <c r="D47" i="1"/>
  <c r="D48" i="1"/>
  <c r="D50" i="1"/>
  <c r="D53" i="1"/>
  <c r="D57" i="1"/>
  <c r="D61" i="1"/>
  <c r="D63" i="1"/>
  <c r="D67" i="1"/>
  <c r="D70" i="1"/>
  <c r="D75" i="1"/>
  <c r="D77" i="1"/>
  <c r="D81" i="1"/>
  <c r="D84" i="1"/>
  <c r="D89" i="1"/>
  <c r="D91" i="1"/>
  <c r="D94" i="1"/>
  <c r="D96" i="1"/>
  <c r="D102" i="1"/>
  <c r="D187" i="1"/>
  <c r="D207" i="1"/>
  <c r="D211" i="1"/>
  <c r="D217" i="1"/>
  <c r="D225" i="1"/>
  <c r="D260" i="1"/>
  <c r="D272" i="1"/>
  <c r="D110" i="1"/>
  <c r="D121" i="1"/>
  <c r="D122" i="1"/>
  <c r="D126" i="1"/>
  <c r="D128" i="1"/>
  <c r="D129" i="1"/>
  <c r="D131" i="1"/>
  <c r="D133" i="1"/>
  <c r="D135" i="1"/>
  <c r="D151" i="1"/>
  <c r="D157" i="1"/>
  <c r="D161" i="1"/>
  <c r="D167" i="1"/>
  <c r="D183" i="1"/>
  <c r="D185" i="1"/>
  <c r="D195" i="1"/>
  <c r="D210" i="1"/>
  <c r="D214" i="1"/>
  <c r="D216" i="1"/>
  <c r="D220" i="1"/>
  <c r="D224" i="1"/>
  <c r="D232" i="1"/>
  <c r="D240" i="1"/>
  <c r="D244" i="1"/>
  <c r="D248" i="1"/>
  <c r="D252" i="1"/>
  <c r="D271" i="1"/>
  <c r="D283" i="1"/>
  <c r="D287" i="1"/>
  <c r="D291" i="1"/>
  <c r="D293" i="1"/>
  <c r="D302" i="1"/>
  <c r="D306" i="1"/>
  <c r="D325" i="1"/>
  <c r="D330" i="1"/>
  <c r="D341" i="1"/>
  <c r="D345" i="1"/>
  <c r="D12" i="1"/>
  <c r="D13" i="1"/>
  <c r="D14" i="1"/>
  <c r="D15" i="1"/>
  <c r="D16" i="1"/>
  <c r="D17" i="1"/>
  <c r="D18" i="1"/>
  <c r="D19" i="1"/>
  <c r="D20" i="1"/>
  <c r="D21" i="1"/>
  <c r="D22" i="1"/>
  <c r="D23" i="1"/>
  <c r="D24" i="1"/>
  <c r="D25" i="1"/>
  <c r="D26" i="1"/>
  <c r="D27" i="1"/>
  <c r="D28" i="1"/>
  <c r="D29" i="1"/>
  <c r="D30" i="1"/>
  <c r="D31" i="1"/>
  <c r="D32" i="1"/>
  <c r="D33" i="1"/>
  <c r="D34" i="1"/>
  <c r="D140" i="1"/>
  <c r="D143" i="1"/>
  <c r="D146" i="1"/>
  <c r="D150" i="1"/>
  <c r="D153" i="1"/>
  <c r="D159" i="1"/>
  <c r="D177" i="1"/>
  <c r="D191" i="1"/>
  <c r="D193" i="1"/>
  <c r="D199" i="1"/>
  <c r="D241" i="1"/>
  <c r="D245" i="1"/>
  <c r="D268" i="1"/>
  <c r="D273" i="1"/>
  <c r="D276" i="1"/>
</calcChain>
</file>

<file path=xl/sharedStrings.xml><?xml version="1.0" encoding="utf-8"?>
<sst xmlns="http://schemas.openxmlformats.org/spreadsheetml/2006/main" count="1283" uniqueCount="1244">
  <si>
    <t>SM321A</t>
  </si>
  <si>
    <t>SM311LM</t>
  </si>
  <si>
    <t>SM311LS</t>
  </si>
  <si>
    <t>SM331T</t>
  </si>
  <si>
    <t>SM5110-SR</t>
  </si>
  <si>
    <t>SM5110-LR</t>
  </si>
  <si>
    <t>SM5310-T</t>
  </si>
  <si>
    <t>MC110CS</t>
  </si>
  <si>
    <t>MC111CS</t>
  </si>
  <si>
    <t>MC112CS</t>
  </si>
  <si>
    <t>MC200CM</t>
  </si>
  <si>
    <t>MC210CS</t>
  </si>
  <si>
    <t>MC420L</t>
  </si>
  <si>
    <t>POE2412G</t>
  </si>
  <si>
    <t>POE4824G</t>
  </si>
  <si>
    <t>POE260S</t>
  </si>
  <si>
    <t>POE150S</t>
  </si>
  <si>
    <t>POE160S</t>
  </si>
  <si>
    <t>POE170S</t>
  </si>
  <si>
    <t>CPE210</t>
  </si>
  <si>
    <t>CPE510</t>
  </si>
  <si>
    <t>EAP110</t>
  </si>
  <si>
    <t>EAP115</t>
  </si>
  <si>
    <t>EAP225</t>
  </si>
  <si>
    <t>EAP610</t>
  </si>
  <si>
    <t>EAP660 HD</t>
  </si>
  <si>
    <t>EAP655-Wall</t>
  </si>
  <si>
    <t>OC300</t>
  </si>
  <si>
    <t>TL-R480T+</t>
  </si>
  <si>
    <t>ER7206</t>
  </si>
  <si>
    <t>TL-SG108E</t>
  </si>
  <si>
    <t>TL-SG1024DE</t>
  </si>
  <si>
    <t>TL-SF1005LP</t>
  </si>
  <si>
    <t>TL-SF1005P</t>
  </si>
  <si>
    <t>TL-SF1006P</t>
  </si>
  <si>
    <t>TL-SF1009P</t>
  </si>
  <si>
    <t>TL-SL1218P</t>
  </si>
  <si>
    <t>TL-SG1210P</t>
  </si>
  <si>
    <t>TL-SG1218MP</t>
  </si>
  <si>
    <t>TL-SG105PE</t>
  </si>
  <si>
    <t>TL-SG1016PE</t>
  </si>
  <si>
    <t>TL-SG1218MPE</t>
  </si>
  <si>
    <t>TL-SG1428PE</t>
  </si>
  <si>
    <t>ES210GP</t>
  </si>
  <si>
    <t>IES206G</t>
  </si>
  <si>
    <t>IES208G</t>
  </si>
  <si>
    <t>IES206GPP</t>
  </si>
  <si>
    <t>IES210GPP</t>
  </si>
  <si>
    <t>PSM500-AC</t>
  </si>
  <si>
    <t>SG6428XHP</t>
  </si>
  <si>
    <t>SG6654X</t>
  </si>
  <si>
    <t>SG6428X</t>
  </si>
  <si>
    <t>SG3210</t>
  </si>
  <si>
    <t>SG3428</t>
  </si>
  <si>
    <t>SG3428MP</t>
  </si>
  <si>
    <t>SG3452</t>
  </si>
  <si>
    <t>SG3452P</t>
  </si>
  <si>
    <t>SG3428XF</t>
  </si>
  <si>
    <t>SG3428XMP</t>
  </si>
  <si>
    <t>SG3210XHP-M2</t>
  </si>
  <si>
    <t>SX3008F</t>
  </si>
  <si>
    <t>SX3016F</t>
  </si>
  <si>
    <t>LS1005</t>
  </si>
  <si>
    <t>TL-SF1024D</t>
  </si>
  <si>
    <t>TL-SF1048</t>
  </si>
  <si>
    <t>LS1005G</t>
  </si>
  <si>
    <t>LS1008G</t>
  </si>
  <si>
    <t>TL-SG1024D</t>
  </si>
  <si>
    <t>TL-SG1048</t>
  </si>
  <si>
    <t>EX220</t>
  </si>
  <si>
    <t>VIGI C230I Mini(2.8mm)</t>
  </si>
  <si>
    <t>VIGI C320I(4mm)</t>
  </si>
  <si>
    <t>VIGI C440(4mm)</t>
  </si>
  <si>
    <t>VIGI C540(4mm)</t>
  </si>
  <si>
    <t>MS105</t>
  </si>
  <si>
    <t>MS108</t>
  </si>
  <si>
    <t>MS105G</t>
  </si>
  <si>
    <t>MW150US</t>
  </si>
  <si>
    <t>MA20N</t>
  </si>
  <si>
    <t>MA30N</t>
  </si>
  <si>
    <t>MA60XNB</t>
  </si>
  <si>
    <t>MU6H</t>
  </si>
  <si>
    <t>MW300D</t>
  </si>
  <si>
    <t>MW330HP</t>
  </si>
  <si>
    <t>MW302R</t>
  </si>
  <si>
    <t>MW306R</t>
  </si>
  <si>
    <t>MW325R</t>
  </si>
  <si>
    <t>MB130-4G</t>
  </si>
  <si>
    <t>AC10</t>
  </si>
  <si>
    <t>AC12G</t>
  </si>
  <si>
    <t>MR30G</t>
  </si>
  <si>
    <t>MR50G</t>
  </si>
  <si>
    <t>MR70X</t>
  </si>
  <si>
    <t>Tapo RVA105</t>
  </si>
  <si>
    <t>Tapo RVA202</t>
  </si>
  <si>
    <t>Tapo A201</t>
  </si>
  <si>
    <t>Tapo C120</t>
  </si>
  <si>
    <t>Tapo C200</t>
  </si>
  <si>
    <t>Tapo C200C</t>
  </si>
  <si>
    <t>Tapo C201</t>
  </si>
  <si>
    <t>Tapo C210</t>
  </si>
  <si>
    <t>Tapo C211</t>
  </si>
  <si>
    <t>Tapo C230</t>
  </si>
  <si>
    <t>Tapo H200</t>
  </si>
  <si>
    <t>Tapo DL105</t>
  </si>
  <si>
    <t>UA430D</t>
  </si>
  <si>
    <t>UH7020C</t>
  </si>
  <si>
    <t>UB600</t>
  </si>
  <si>
    <t>UE306</t>
  </si>
  <si>
    <t>UE300C</t>
  </si>
  <si>
    <t>UE330C</t>
  </si>
  <si>
    <t>TG-3468</t>
  </si>
  <si>
    <t>TL-WN781ND</t>
  </si>
  <si>
    <t>TL-WN881ND</t>
  </si>
  <si>
    <t>Archer T2E</t>
  </si>
  <si>
    <t>Archer T4E</t>
  </si>
  <si>
    <t>Archer TX55E</t>
  </si>
  <si>
    <t>Archer TX3000E</t>
  </si>
  <si>
    <t>Archer TXE72E</t>
  </si>
  <si>
    <t>Archer TBE400E</t>
  </si>
  <si>
    <t>Archer TBE550E</t>
  </si>
  <si>
    <t>Archer TBE552E</t>
  </si>
  <si>
    <t>TL-WN8200ND</t>
  </si>
  <si>
    <t>Archer T3U Plus</t>
  </si>
  <si>
    <t>Archer TX50U</t>
  </si>
  <si>
    <t>Archer TX50UH</t>
  </si>
  <si>
    <t>Archer TXE50UH</t>
  </si>
  <si>
    <t>Archer TXE70UH</t>
  </si>
  <si>
    <t>RE200</t>
  </si>
  <si>
    <t>RE205</t>
  </si>
  <si>
    <t>RE705X</t>
  </si>
  <si>
    <t>TL-WR3002X</t>
  </si>
  <si>
    <t>Archer AX53HP</t>
  </si>
  <si>
    <t>Archer Air R5</t>
  </si>
  <si>
    <t>Archer BE230</t>
  </si>
  <si>
    <t>Deco S7(1-pack)</t>
  </si>
  <si>
    <t>Deco S7(2-pack)</t>
  </si>
  <si>
    <t>Deco X10(1-pack)</t>
  </si>
  <si>
    <t>Deco X20(3-pack)</t>
  </si>
  <si>
    <t>Deco BE25(3-pack)</t>
  </si>
  <si>
    <t>Deco BE65(1-pack)</t>
  </si>
  <si>
    <t>COSTO</t>
  </si>
  <si>
    <t>Columna2</t>
  </si>
  <si>
    <t>Columna1</t>
  </si>
  <si>
    <t>COSTO CON IVA</t>
  </si>
  <si>
    <t>UTILIDAD</t>
  </si>
  <si>
    <t>Columna4</t>
  </si>
  <si>
    <t>PRECIO CLIENTE FINAL (CON IVA)</t>
  </si>
  <si>
    <t>PRECIO TIENDA (CON IVA)</t>
  </si>
  <si>
    <t>PRECIO INSTALLER (CON IVA)</t>
  </si>
  <si>
    <t>DESCRIPCION</t>
  </si>
  <si>
    <t>REFERENCIA</t>
  </si>
  <si>
    <t>Deco BE65-PoE(3-pack)</t>
  </si>
  <si>
    <t>BE11000 Whole Home Mesh Wi-Fi 7 System with PoE(Tri-Band)
SPEED: 688 Mbps at 2.4 GHz + 4324 Mbps at 5 GHz + 5765 Mbps at 6 GHz
SPEC: Internal Antennas, 2 × 5 Gigabit Ports (WAN/LAN auto-sensing), 240MHz for 5 GHz and 320MHz for 6 GHz, 6-Stream, PoE and DC Power Supply
FEATURE: Deco App, Router/AP Mode, IPv6, IPTV, HomeShield (Parental Controls, Antivirus, QoS, Reports), AI Mesh, OFDMA, MU-MIMO, MLO, Multi-RU, 4K-QAM, 320MHz Bandwidth, WPA3, Beamforming, Alexa and Google Assistant Supported, Multi-Scenario(Ceiling Mount, Wall Mount, Tabletop)</t>
  </si>
  <si>
    <t>Deco BE65(2-pack)</t>
    <phoneticPr fontId="3" type="noConversion"/>
  </si>
  <si>
    <t>BE11000 Whole Home Mesh Wi-Fi 7 System(Tri-Band)
SPEED: 688 Mbps at 2.4 GHz + 4324 Mbps at 5 GHz + 5765 Mbps at 6 GHz
SPEC: Internal Antennas, 4 × 2.5 Gigabit Ports (WAN/LAN auto-sensing), 1× USB 3.0 Port, 240MHz for 5 GHz and 320MHz for 6 GHz, 6-Stream
FEATURE: Deco App, Router/AP Mode, IPv6, IPTV, HomeShield (Parental Controls, Antivirus, QoS, Reports), AI Mesh, OFDMA, MU-MIMO, MLO, Multi-RU, 4K-QAM, 320MHz Bandwidth, WPA3, Beamforming, Alexa and Google Assistant Supported</t>
  </si>
  <si>
    <t>BE11000 Whole Home Mesh Wi-Fi 7 Unit(Tri-Band)
SPEED: 688 Mbps at 2.4 GHz + 4324 Mbps at 5 GHz + 5765 Mbps at 6 GHz
SPEC: Internal Antennas, 4 × 2.5 Gigabit Ports (WAN/LAN auto-sensing), 1× USB 3.0 Port, 240MHz for 5 GHz and 320MHz for 6 GHz, 6-Stream
FEATURE: Deco App, Router/AP Mode, IPv6, IPTV, HomeShield (Parental Controls, Antivirus, QoS, Reports), AI Mesh, OFDMA, MU-MIMO, MLO, Multi-RU, 4K-QAM, 320MHz Bandwidth, WPA3, Beamforming, Alexa and Google Assistant Supported</t>
  </si>
  <si>
    <t>BE5000 Whole Home Mesh Wi-Fi 7 System
SPEED: 688 Mbps at 2.4 GHz + 4324 Mbps at 5 GHz 
SPEC: Internal Antennas, 2 × 2.5 Gigabit Ports (WAN/LAN auto-sensing), 240MHz for 5 GHz, 4-Stream
FEATURE: Deco App, Router/AP Mode, IPv6, IPTV, HomeShield (Parental Controls, Antivirus, QoS, Reports), AI Mesh, OFDMA, MLO, Multi-RU, 4K-QAM, 240MHz Bandwidth, WPA3, Beamforming, Alexa and Google Assistant Supported</t>
  </si>
  <si>
    <t>Deco BE25(2-pack)</t>
  </si>
  <si>
    <t>Deco BE25(1-pack)</t>
    <phoneticPr fontId="4" type="noConversion"/>
  </si>
  <si>
    <t>BE5000 Whole Home Mesh Wi-Fi 7 Unit
SPEED: 688 Mbps at 2.4 GHz + 4324 Mbps at 5 GHz 
SPEC: Internal Antennas, 2 × 2.5 Gigabit Ports (WAN/LAN auto-sensing), 240MHz for 5 GHz, 4-Stream
FEATURE: Deco App, Router/AP Mode, IPv6, IPTV, HomeShield (Parental Controls, Antivirus, QoS, Reports), AI Mesh, OFDMA, MLO, Multi-RU, 4K-QAM, 240MHz Bandwidth, WPA3, Beamforming, Alexa and Google Assistant Supported</t>
  </si>
  <si>
    <t>Deco BE25-Outdoor(1-pack)</t>
    <phoneticPr fontId="4" type="noConversion"/>
  </si>
  <si>
    <t>BE5000 Outdoor/Indoor Mesh Wi-Fi 7 Unit
SPEED: 688 Mbps at 2.4 GHz + 4324 Mbps at 5 GHz
SPEC: Internal Antennas, 2× 2.5 Gigabit Ports (WAN/LAN auto-sensing), IP65, PoE and AC Power Supply
FEATURE: Deco App, Router/AP Mode, IPv6, IPTV, HomeShield (Parental Controls, Antivirus, QoS, Reports), AI Mesh, OFDMA, MLO, Multi-RU, 4K-QAM, 240MHz Bandwidth, WPA3, Beamforming, Alexa and Google Assistant Supported, Multi-Scenario(Pole Mount, Wall Mount, Tabletop)</t>
  </si>
  <si>
    <t>Deco X50-Outdoor(1-pack)</t>
    <phoneticPr fontId="3" type="noConversion"/>
  </si>
  <si>
    <t>AX3000 Outdoor/Indoor Mesh Wi-Fi 6 Unit
SPEED: 574 Mbps at 2.4 GHz + 2402 Mbps at 5 GHz
SPEC: Internal Antennas, 2× Gigabit Ports (WAN/LAN auto-sensing), IP65, PoE and AC Power Supply
FEATURE: Deco App, Router/AP Mode, IPv6, IPTV, HomeShield (Parental Controls, Antivirus, QoS, Reports), OFDMA, MU-MIMO, 1024-QAM, HE160, WPA3, Beamforming, Alexa and Google Assistant Supported, Multi-Scenario(Pole Mount, Wall Mount, Tabletop)</t>
  </si>
  <si>
    <t>Deco X50-PoE(3-pack)</t>
    <phoneticPr fontId="3" type="noConversion"/>
  </si>
  <si>
    <t>AX3000 Whole Home Mesh Wi-Fi 6 System with PoE
SPEED: 574 Mbps at 2.4 GHz + 2402 Mbps at 5 GHz
SPEC: 4× Internal Antennas, 2× 2.5 Gigabit Ports (WAN/LAN auto-sensing), PoE and DC Power Supply
FEATURE: Deco App, Router/AP Mode, IPv6, IPTV, HomeShield (Parental Controls, Antivirus, QoS, Reports), OFDMA, MU-MIMO, 1024-QAM, HE160, WPA3, Beamforming, Alexa and Google Assistant Supported, Multi-Scenario(Ceiling Mount, Wall Mount, Tabletop)</t>
  </si>
  <si>
    <t>Deco X50-PoE(2-pack)</t>
    <phoneticPr fontId="3" type="noConversion"/>
  </si>
  <si>
    <t>Deco X50-PoE(1-pack)</t>
    <phoneticPr fontId="3" type="noConversion"/>
  </si>
  <si>
    <t>AX3000 Whole Home Mesh Wi-Fi 6 Unit with PoE
SPEED: 574 Mbps at 2.4 GHz + 2402 Mbps at 5 GHz
SPEC: 4× Internal Antennas, 2× 2.5 Gigabit Ports (WAN/LAN auto-sensing), PoE and DC Power Supply
FEATURE: Deco App, Router/AP Mode, IPv6, IPTV, HomeShield (Parental Controls, Antivirus, QoS, Reports), OFDMA, MU-MIMO, 1024-QAM, HE160, WPA3, Beamforming, Alexa and Google Assistant Supported, Multi-Scenario(Ceiling Mount, Wall Mount, Tabletop)</t>
  </si>
  <si>
    <t>Deco X50(3-pack)</t>
    <phoneticPr fontId="4" type="noConversion"/>
  </si>
  <si>
    <t>AX3000 Whole Home Mesh Wi-Fi 6 System
SPEED: 574 Mbps at 2.4 GHz + 2402 Mbps at 5 GHz
SPEC: Internal Antennas, 3× Gigabit Ports (WAN/LAN auto-sensing), HE160 for 5 GHz
FEATURE: Deco App, Router/AP Mode, IPv6, IPTV, HomeShield (Parental Controls, Antivirus, QoS, Reports), OFDMA, MU-MIMO, 1024-QAM, HE160, WPA3, Beamforming, Alexa and Google Assistant Supported</t>
  </si>
  <si>
    <t>Deco X50(2-pack)</t>
    <phoneticPr fontId="3" type="noConversion"/>
  </si>
  <si>
    <t>AX1800 Whole Home Mesh Wi-Fi 6 System
SPEED: 574 Mbps at 2.4 GHz + 1201 Mbps at 5 GHz
SPEC: Internal Antennas, 2× Gigabit Ports (WAN/LAN auto-sensing)
FEATURE: Deco App, Router/AP Mode, IPv6, IPTV, HomeShield (Parental Controls, Antivirus, QoS, Reports), OFDMA, MU-MIMO, 1024-QAM, WPA3, Beamforming, Alexa and Google Assistant Supported</t>
  </si>
  <si>
    <t>Deco X20(2-pack)</t>
    <phoneticPr fontId="4" type="noConversion"/>
  </si>
  <si>
    <t>Deco X20(1-pack)</t>
  </si>
  <si>
    <t>AX1800 Whole Home Mesh Wi-Fi 6 Unit
SPEED: 574 Mbps at 2.4 GHz + 1201 Mbps at 5 GHz
SPEC: Internal Antennas, 2× Gigabit Ports (WAN/LAN auto-sensing)
FEATURE: Deco App, Router/AP Mode, IPv6, IPTV, HomeShield (Parental Controls, Antivirus, QoS, Reports), OFDMA, MU-MIMO, 1024-QAM, WPA3, Beamforming, Alexa and Google Assistant Supported</t>
  </si>
  <si>
    <t>Deco X10(3-pack)</t>
    <phoneticPr fontId="3" type="noConversion"/>
  </si>
  <si>
    <t>AX1500 Whole Home Mesh Wi-Fi 6 System
SPEED: 300 Mbps at 2.4 GHz + 1201 Mbps at 5 GHz
SPEC: Internal Antennas, 2× Gigabit Ports (WAN/LAN auto-sensing)
FEATURE: Deco App, Router/AP Mode, IPv6, IPTV, HomeShield (Parental Controls, Antivirus, QoS, Reports), OFDMA, MU-MIMO, 1024-QAM, WPA3, Beamforming, Alexa and Google Assistant Supported</t>
  </si>
  <si>
    <t>Deco X10(2-pack)</t>
    <phoneticPr fontId="3" type="noConversion"/>
  </si>
  <si>
    <t>AX1500 Whole Home Mesh Wi-Fi 6 Unit
SPEED: 300 Mbps at 2.4 GHz + 1201 Mbps at 5 GHz
SPEC: Internal Antennas, 2× Gigabit Ports (WAN/LAN auto-sensing)
FEATURE: Deco App, Router/AP Mode, IPv6, IPTV, HomeShield (Parental Controls, Antivirus, QoS, Reports), OFDMA, MU-MIMO, 1024-QAM, WPA3, Beamforming, Alexa and Google Assistant Supported</t>
  </si>
  <si>
    <t>Deco S7(3-pack)</t>
    <phoneticPr fontId="4" type="noConversion"/>
  </si>
  <si>
    <t>AC1900 Whole Home Mesh Wi-Fi System
SPEED: 600 Mbps at 2.4 GHz +1300 Mbps at 5 GHz
SEPC: 3× Internal Antennas, 3× Gigabit Ports (WAN/LAN auto-sensing)
FEATURE: Deco App, Router/AP Mode, IPv6, IPTV, Parental Controls, QoS, MU-MIMO, Beamforming, Alexa Supported</t>
  </si>
  <si>
    <t>AC1900 Whole Home Mesh Wi-Fi Unit
SPEED: 600 Mbps at 2.4 GHz +1300 Mbps at 5 GHz
SEPC: 3× Internal Antennas, 3× Gigabit Ports (WAN/LAN auto-sensing)
FEATURE: Deco App, Router/AP Mode, IPv6, IPTV, Parental Controls, QoS, MU-MIMO, Beamforming, Alexa Supported</t>
  </si>
  <si>
    <t>Deco M5(3-Pack)</t>
    <phoneticPr fontId="4" type="noConversion"/>
  </si>
  <si>
    <t>AC1300 Whole Home Mesh Wi-Fi System
SPEED: 400 Mbps at 2.4 GHz + 867 Mbps at 5 GHz
SEPC: 4× Internal Antennas, 2× Gigabit Ports (WAN/LAN auto-sensing), Qualcomm 717 MHz Quad-core CPU
FEATURE: Deco App, Router/AP Mode, IPv6, IPTV, HomeCare (Parental Controls, Antivirus, QoS, Reports), MU-MIMO, Beamforming, Alexa Supported, Bluetooth Onboarding</t>
  </si>
  <si>
    <t>Deco M5(2-Pack)</t>
    <phoneticPr fontId="4" type="noConversion"/>
  </si>
  <si>
    <t>Deco M5(1-pack)</t>
    <phoneticPr fontId="4" type="noConversion"/>
  </si>
  <si>
    <t>AC1300 Whole Home Mesh Wi-Fi Unit
SPEED: 400 Mbps at 2.4 GHz + 867 Mbps at 5 GHz
SEPC: 4× Internal Antennas, 2× Gigabit Ports (WAN/LAN auto-sensing), Qualcomm 717 MHz Quad-core CPU
FEATURE: Deco App, Router/AP Mode, IPv6, IPTV, HomeCare (Parental Controls, Antivirus, QoS, Reports), MU-MIMO, Beamforming, Alexa Supported, Bluetooth Onboarding</t>
  </si>
  <si>
    <t>Deco M4(3-Pack)</t>
    <phoneticPr fontId="4" type="noConversion"/>
  </si>
  <si>
    <t>AC1200 Whole Home Mesh Wi-Fi System
SPEED: 300 Mbps at 2.4 GHz + 867 Mbps at 5 GHz
SEPC: 2× Internal Antennas, 2× Gigabit Ports (WAN/LAN auto-sensing)
FEATURE: Deco App, Router/AP Mode, IPv6, IPTV, Parental Controls, QoS, MU-MIMO, Beamforming, Alexa Supported</t>
  </si>
  <si>
    <t>Deco M4(2-Pack)</t>
    <phoneticPr fontId="4" type="noConversion"/>
  </si>
  <si>
    <t>Deco M4(1-pack)</t>
    <phoneticPr fontId="4" type="noConversion"/>
  </si>
  <si>
    <t>AC1200 Whole Home Mesh Wi-Fi Unit
SPEED: 300 Mbps at 2.4 GHz + 867 Mbps at 5 GHz
SEPC: 2× Internal Antennas, 2× Gigabit Ports (WAN/LAN auto-sensing)
FEATURE: Deco App, Router/AP Mode, IPv6, IPTV, Parental Controls, QoS, MU-MIMO, Beamforming, Alexa Supported</t>
  </si>
  <si>
    <t>Deco E4(3-Pack)</t>
    <phoneticPr fontId="4" type="noConversion"/>
  </si>
  <si>
    <t>AC1200 Whole Home Mesh Wi-Fi System
SPEED: 300 Mbps at 2.4 GHz + 867 Mbps at 5 GHz
SEPC: 2× Internal Antennas, 2× 10/100 Mbps Ports (WAN/LAN auto-sensing)
FEATURE: Deco App, Router/AP Mode, IPv6, IPTV, Parental Controls, QoS, MU-MIMO, Beamforming, Alexa Supported</t>
  </si>
  <si>
    <t>Deco E4(2-Pack)</t>
  </si>
  <si>
    <t>Deco E4(1-Pack)</t>
  </si>
  <si>
    <t>AC1200 Whole Home Mesh Wi-Fi Unit
SPEED: 300 Mbps at 2.4 GHz + 867 Mbps at 5 GHz
SEPC: 2× Internal Antennas, 2× 10/100 Mbps Ports (WAN/LAN auto-sensing)
FEATURE: Deco App, Router/AP Mode, IPv6, IPTV, Parental Controls, QoS, MU-MIMO, Beamforming, Alexa Supported</t>
  </si>
  <si>
    <t>Archer GE550</t>
  </si>
  <si>
    <t>BE9300 Tri-Band Wi-Fi 7 Gaming Router
SPEED:574 Mbps at 2.4 GHz + 2882 Mbps at 5 GHz + 5764 Mbps at 6 GHz
SPEC: 4× Internal Antennas, Quad-Core CPU, 1*5 Gbps WAN port +1*5 Gbps LAN port +3*2.5 Gbps LAN ports, 1*USB 3.0 Port, MLO, 4096-QAM, OFDMA,HE160 on 5GHz, HE320 on 6GHz
FEATURE: Tether App, WPA3, Access Point Mode, IPv6 Supported, IPTV, Beamforming, Smart Connect, Airtime Fairness, VPN Server, VPN Client, DFS, Cloud Support, HomeShield, EasyMesh (Compatible with OneMesh), IoT Network, Gaming Port, Game Acceleration, Game Panel, RGB Lighting Effects</t>
  </si>
  <si>
    <t>Archer GE230</t>
    <phoneticPr fontId="4" type="noConversion"/>
  </si>
  <si>
    <t>BE3600 Dual-Band Wi-Fi 7 Gaming Router
SPEED:688 Mbps at 2.4 GHz + 2882 Mbps at 5 GHz 
SPEC: 4× External Antennas, 2.0 GHz Quad-Core CPU, 1* 2.5Gbps WAN port +1*2.5 Gbps LAN port + 3*1 Gbps LAN ports, 1*USB 3.0 Port, MLO, 4096-QAM, OFDMA,HE160 on 5GHz
FEATURE: Tether App, WPA3, Access Point Mode, IPv6 Supported, IPTV, Beamforming, Smart Connect, Airtime Fairness, VPN Server, VPN Client, DFS, Cloud Support, HomeShield, EasyMesh (Compatible with OneMesh), IoT Network, Gaming Port, Game Acceleration, Game Panel, RGB Lighting Effects</t>
  </si>
  <si>
    <t>Archer BE805</t>
  </si>
  <si>
    <t>BE19000 Tri-Band Wi-Fi 7 Router
SPEED: 1376 Mbps at 2.4 GHz + 5760 Mbps at 5 GHz + 11520 Mbps at 6 GHz
SPEC: 8× Internal Antennas, 1.8 GHz Quad-Core CPU, 1*10 Gbps WAN port + 1*10 Gbps LAN port + 4*1 Gbps LAN ports, 2*USB 3.0 Port, MLO, 4096-QAM, OFDMA, HE160 on 5GHz, HE320 on 6GHz
FEATURE: Tether App, WPA3, Access Point Mode, IPv6 Supported, IPTV, Beamforming, Smart Connect, Airtime Fairness, VPN Server, VPN Client, DFS, Cloud Support, HomeShield, Easymesh (Compatible with Onemesh), IoT Network</t>
  </si>
  <si>
    <t>Archer BE800</t>
  </si>
  <si>
    <t>BE19000 Tri Band Wi-Fi 7 Router
SPEED: 1376 Mbps at 2.4 GHz + 5760 Mbps at 5 GHz + 11520 Mbps at 6 GHz
SPEC: 8× Internal Antennas, Quad-Core CPU, 1*10Gbps SFP+/RJ45 Combo WAN/LAN port +1*10 Gbps RJ45 WAN/LAN port +4*2.5 Gbps LAN ports, 1*USB 3.0 Port, MLO, 4096-QAM, OFDMA,HE160 on 5GHz, HE320 on 6GHz, LED Screen
FEATURE: Tether App, WPA3, Access Point Mode, IPv6 Supported, IPTV, Beamforming, Smart Connect, Airtime Fairness, VPN Server, VPN Client, DFS, Cloud Support, HomeShield, Easymesh (Compatible with Onemesh), IoT Network</t>
  </si>
  <si>
    <t>Archer BE700</t>
    <phoneticPr fontId="3" type="noConversion"/>
  </si>
  <si>
    <t>BE15000 Tri Band Wi-Fi 7 Router
SPEED: 688 Mbps at 2.4 GHz + 2882 Mbps at 5 GHz + 11528 Mbps at 6 GHz
SPEC: 6× Internal Antennas, Quad-Core CPU, 1*10Gbps WAN port +1*2.5 Gbps LAN port+3*1 Gbps LAN port, 1*USB 3.0 Port, MLO, 4096-QAM, OFDMA,HE160 on 5GHz, HE320 on 6GHz 
FEATURE: Tether App, WPA3, Access Point Mode, IPv6 Supported, IPTV, Beamforming, Smart Connect, Airtime Fairness, VPN Server, VPN Client, DFS, Cloud Support, HomeShield, Easymesh (Compatible with Onemesh), IoT Network</t>
  </si>
  <si>
    <t>Archer BE550</t>
    <phoneticPr fontId="3" type="noConversion"/>
  </si>
  <si>
    <t>BE9300 Tri-Band Wi-Fi 7 Router
SPEED: 574 Mbps at 2.4 GHz + 2880 Mbps at 5 GHz + 5760 Mbps at 6 GHz
SPEC: 6× Internal Antennas, 1.5 GHz Quad-Core CPU, 1*2.5 Gbps WAN port + 4*2.5 Gbps LAN ports, 1*USB 3.0 Port, MLO, 4096-QAM, OFDMA, HE160 on 5GHz, HE320 on 6GHz
FEATURE: Tether App, WPA3, Access Point Mode, IPv6 Supported, IPTV, Beamforming, Smart Connect, Airtime Fairness, VPN Server, VPN Client, DFS, Cloud Support, HomeShield, Easymesh (Compatible with Onemesh), IoT Network</t>
  </si>
  <si>
    <t>BE3600 Dual-Band Wi-Fi 7 Router
SPEED: 688 Mbps at 2.4 GHz + 2882 Mbps at 5 GHz 
SPEC: 4× external Antennas, 2.0 GHz Quad-Core CPU, 1*2.5 Gbps WAN port + 1*2.5 Gbps LAN port + 3*1 Gbps LAN ports, 1*USB 3.0 Port, MLO, 4096-QAM, OFDMA, HE160 on 5GHz
FEATURE: Tether App, WPA3, Access Point Mode, IPv6 Supported, IPTV, Beamforming, Smart Connect, Airtime Fairness, VPN Server, VPN Client, DFS, Cloud Support, HomeShield, Easymesh (Compatible with Onemesh), IoT Network</t>
  </si>
  <si>
    <t>Archer BE220</t>
    <phoneticPr fontId="4" type="noConversion"/>
  </si>
  <si>
    <t>BE3600 Dual-Band Wi-Fi 7 Router
SPEED: 688 Mbps at 2.4 GHz + 2882 Mbps at 5 GHz 
SPEC: 4× external Antennas, 2.0 GHz Quad-Core CPU, 1* 1Gbps WAN port + 4*1 Gbps LAN ports, MLO, 4096-QAM, OFDMA, HE160 on 5GHz
FEATURE: Tether App, WPA3, Access Point Mode, IPv6 Supported, IPTV, Beamforming, Smart Connect, Airtime Fairness, VPN Server, VPN Client, DFS, Cloud Support, HomeShield, Easymesh (Compatible with Onemesh), IoT Network</t>
  </si>
  <si>
    <t>Archer AX6000</t>
  </si>
  <si>
    <t>AX6000 Wi-Fi 6 Router Inalámbrico de dos Bandas. Impulsada por 1024 QAM ofrece una velocidad inalámbrica asombrosa de hasta 5952 Mbps: 4804 Mbps (5 Ghz) y 1148 (2.4 Ghz). CPU de cuatro núcleos a 1.8 GHz y 2 coprocesadores. 1 puerto WAN de 2.5 Gbps, 8 puertos LAN Gigabit, 2 USB 3.0, 8 antenas, MU-MIMO, Band Steering, Airtime Fairness, TP-Link Home Care con antimalware, antivirus, controles parentales y QoS, Tether APP, Compatible Amazon Alexa</t>
  </si>
  <si>
    <t>Archer AX73</t>
    <phoneticPr fontId="4" type="noConversion"/>
  </si>
  <si>
    <t>AX5400 Dual-Band Wi-Fi 6 Router
SPEED: 574 Mbps at 2.4 GHz + 4804 Mbps at 5 GHz
SPEC: 6× Antennas, Broadcom 1.5 GHz Triple-Core CPU, 1× Gigabit WAN Port + 4× Gigabit LAN Ports, USB 3.0 Port, 1024-QAM, OFDMA, HE160
FEATURE: Tether App, WPA3, Access Point Mode, IPv6 Supported, IPTV, Beamforming, Smart Connect, Airtime Fairness, MU-MIMO, VPN Server, VPN Client, DFS, Cloud Support, HomeShield, Easymesh (Compatible with Onemesh)</t>
  </si>
  <si>
    <t>Archer AX72 Pro</t>
  </si>
  <si>
    <t>AX5400 Dual-Band Wi-Fi 6 Router
SPEED: 574 Mbps at 2.4 GHz + 4804 Mbps at 5 GHz
SPEC: 6× Antennas, 1× 2.5 Gbps WAN/LAN Port + 1× Gigabit WAN/LAN Port+3* Gigabit LAN Ports,  USB 3.0 Port, 1024-QAM, OFDMA, HE160
FEATURE: Tether App, WPA3, Access Point Mode, IPv6 Supported, IPTV, Beamforming, Smart Connect, Airtime Fairness, MU-MIMO, VPN Server, VPN Client, DFS, Cloud Support, HomeShield, Easymesh (Compatible with Onemesh)</t>
  </si>
  <si>
    <t>Archer AX72</t>
    <phoneticPr fontId="4" type="noConversion"/>
  </si>
  <si>
    <t>AX5400 Dual-Band Wi-Fi 6 Router
SPEED: 574 Mbps at 2.4 GHz + 4804 Mbps at 5 GHz
SPEC: 6× Antennas, Qualcomm 1 GHz Dual-Core CPU, 1× Gigabit WAN Port + 4× Gigabit LAN Ports, USB 3.0 Port, 1024-QAM, OFDMA, HE160
FEATURE: Tether App, WPA3, Access Point Mode, IPv6 Supported, IPTV, Beamforming, Smart Connect, Airtime Fairness, MU-MIMO, VPN Server, VPN Client, DFS, Cloud Support, HomeShield, Easymesh (Compatible with Onemesh)</t>
  </si>
  <si>
    <t>AX3000 Wi-Fi 6 Air Router
SPEED: 574 Mbps at 2.4 GHz + 2402 Mbps at 5 GHz 
SPEC: 4× Internal Antennas, 1× Gigabit WAN Port + 1× Gigabit LAN Ports, 8mm Ultra-thin Shell, Multiple Installation Design, 1024-QAM, OFDMA, HE160
FEATURE: Tether App, WPA3, Access Point Mode, IPv6 Supported, IPTV, Beamforming, Smart Connect, Airtime Fairness, VPN Server, DFS, Cloud Support, HomeShield, Easymesh (Compatible with Onemesh), Smart Antenna</t>
  </si>
  <si>
    <t>Archer AX55</t>
    <phoneticPr fontId="4" type="noConversion"/>
  </si>
  <si>
    <t>AX3000 Dual-Band Wi-Fi 6 Router
SPEED: 574 Mbps at 2.4 GHz + 2402 Mbps at 5 GHz 
SPEC: 4× Antennas, 1× Gigabit WAN Port + 4× Gigabit LAN Ports, USB 3.0 Port, 1024-QAM, OFDMA, HE160
FEATURE: Tether App, WPA3, Access Point Mode, IPv6 Supported, IPTV, Beamforming, Smart Connect, Airtime Fairness,  VPN Server, VPN Client, DFS, Cloud Support, HomeShield, Easymesh (Compatible with Onemesh)</t>
  </si>
  <si>
    <t>Archer AX53</t>
    <phoneticPr fontId="4" type="noConversion"/>
  </si>
  <si>
    <t>AX3000 Dual-Band Wi-Fi 6 Router
SPEED: 574 Mbps at 2.4 GHz + 2402 Mbps at 5 GHz 
SPEC: 4× Antennas, 1× Gigabit WAN Port + 4× Gigabit LAN Ports, 1024-QAM, OFDMA, HE160
FEATURE: Tether App, WPA3, Access Point Mode, IPv6 Supported, IPTV, Beamforming, Smart Connect, Airtime Fairness, VPN Server, DFS, Cloud Support, HomeShield, Easymesh (Compatible with Onemesh)</t>
  </si>
  <si>
    <t>Archer AX23</t>
    <phoneticPr fontId="4" type="noConversion"/>
  </si>
  <si>
    <t>AX1800 Dual-Band Wi-Fi 6 Router
SPEED: 574 Mbps at 2.4 GHz + 1201 Mbps at 5 GHz
SPEC: 4× Antennas, Dual-Core CPU, 1× Gigabit WAN Port + 4× Gigabit LAN Ports,  1024-QAM, OFDMA
FEATURE: Tether App, WPA3, Access Point Mode, IPv6 Supported, IPTV, Beamforming, Smart Connect, Airtime Fairness, VPN Server, Cloud Support，Easymesh (Compatible with Onemesh)</t>
  </si>
  <si>
    <t>Archer AX12</t>
    <phoneticPr fontId="4" type="noConversion"/>
  </si>
  <si>
    <t>AX1500 Dual-Band Wi-Fi 6 Router
SPEED: 300 Mbps at 2.4 GHz + 1201Mbps at 5 GHz
SPEC: 4× Antennas, 1× Gigabit WAN Port + 3× Gigabit LAN Ports, 1024-QAM, OFDMA
FEATURE: Tether App, WPA3, Access Point Mode, IPv6 Supported, IPTV, Beamforming, Smart Connect, Airtime Fairness, VPN Server, Cloud Support, Easymesh (Compatible with Onemesh)</t>
  </si>
  <si>
    <t>Archer AX10</t>
    <phoneticPr fontId="4" type="noConversion"/>
  </si>
  <si>
    <t>AX1500 Wi-Fi 6 Router
SPEED: 300 Mbps at 2.4 GHz + 1201 Mbps at 5 GHz
SPEC: 4× Antennas, Broadcom 1.5 GHz Triple-Core CPU, 1× Gigabit WAN Port + 4× Gigabit LAN Ports, 1024-QAM, OFDMA
FEATURE: Tether App, Access Point Mode, IPv6 Supported, IPTV, Beamforming, Smart Connect, Airtime Fairness, VPN Server, Cloud Support, Easymesh (Compatible with Onemesh)</t>
  </si>
  <si>
    <t>Archer C86</t>
    <phoneticPr fontId="3" type="noConversion"/>
  </si>
  <si>
    <t xml:space="preserve">AC1900 Dual-Band Wi-Fi Router
SPEED: 600 Mbps at 2.4 GHz + 1300 Mbps at 5 GHz 
SPEC:  6× Antennas, 1× Gigabit WAN Port + 4× Gigabit LAN Ports
FEATURE: Tether App, WPA3, Access Point Mode, IPv6 Supported, IPTV, Beamforming, Smart Connect, Airtime Fairness, MU-MIMO, Cloud Support, Agile Config, Easymesh (Compatible with Onemesh) </t>
  </si>
  <si>
    <t>Archer C80</t>
    <phoneticPr fontId="4" type="noConversion"/>
  </si>
  <si>
    <t xml:space="preserve">AC1900 Dual-Band Wi-Fi Router
SPEED: 600 Mbps at 2.4 GHz + 1300 Mbps at 5 GHz 
SPEC:  4× Antennas, 1× Gigabit WAN Port + 4× Gigabit LAN Ports
FEATURE: Tether App, WPA3, Access Point Mode, IPv6 Supported, IPTV, Beamforming, Smart Connect, Airtime Fairness, MU-MIMO, Cloud Support, Agile Config, Easymesh (Compatible with Onemesh) </t>
  </si>
  <si>
    <t>Archer A6</t>
    <phoneticPr fontId="4" type="noConversion"/>
  </si>
  <si>
    <t xml:space="preserve">AC1200 Dual-Band Wi-Fi Router
SPEED: 300 Mbps at 2.4 GHz + 867 Mbps at 5 GHz
SPEC: 4× Antennas, 1× Gigabit WAN Port + 4× Gigabit LAN Ports
FEATURE: Tether App, WPA3, Access Point Mode, IPv6 Supported, IPTV, Beamforming, MU-MIMO,  Cloud Support, Easymesh (Compatible with Onemesh) </t>
  </si>
  <si>
    <t>Archer A64</t>
    <phoneticPr fontId="4" type="noConversion"/>
  </si>
  <si>
    <t xml:space="preserve">AC1200 Dual-Band Wi-Fi Router
SPEED: 400 Mbps at 2.4 GHz + 867 Mbps at 5 GHz
SPEC: 4× Antennas, 1× Gigabit WAN Port + 4× Gigabit LAN Ports
FEATURE: Tether App, WPA3, Access Point Mode, IPv6 Supported, IPTV, Beamforming, Smart Connect, Airtime Fairness, MU-MIMO, Cloud Support, Agile Config, Easymesh (Compatible with Onemesh) </t>
  </si>
  <si>
    <t>Archer C64</t>
    <phoneticPr fontId="4" type="noConversion"/>
  </si>
  <si>
    <t>Archer C50</t>
    <phoneticPr fontId="4" type="noConversion"/>
  </si>
  <si>
    <t>AC1200 Dual-Band Wi-Fi Router
SPEED: 300 Mbps at 2.4 GHz + 867 Mbps at 5 GHz
SPEC: 4× Antennas, 1× 10/100M WAN Port + 4× 10/100M LAN Ports 
FEATURE: Tether App, WPA3, Router/Access Point/Range Extender Mode, IPv6 Supported,  IPTV, Beamforming, MU-MIMO</t>
  </si>
  <si>
    <t>Archer C20</t>
    <phoneticPr fontId="4" type="noConversion"/>
  </si>
  <si>
    <t>AC750 Dual-Band Wi-Fi Router
SPEED: 300 Mbps at 2.4 GHz + 433 Mbps at 5 GHz
SPEC: 3× Antennas, 1× 10/100M WAN Port + 4× 10/100M LAN Ports 
FEATURE: Tether App, Router/Access Point/Range Extender Mode, IPv6 Supported, IPTV, Agile Config</t>
  </si>
  <si>
    <t>Archer C24</t>
  </si>
  <si>
    <t>AC750 Dual Band Wi-Fi Router
SPEED: 300 Mbps at 2.4 GHz + 433 Mbps at 5 GHz
SPEC: 4×Antennas, 1×10/100M WAN Port, 4×10/100M LAN Ports
FEATURE: Tether App, Router/Access Point/Range Extender Mode, IPv6 Supported, IPTV, Agile Config</t>
  </si>
  <si>
    <t>TL-WR840N</t>
    <phoneticPr fontId="4" type="noConversion"/>
  </si>
  <si>
    <t>N300 Wi-Fi Router
SPEED: 300 Mbps at 2.4 GHz
SPEC: 2× Antennas, 1× 10/100M WAN Port + 4× 10/100M LAN Ports
FEATURE: Tether App, Router/Access Point/Range Extender/WISP Mode, IPv6 Supported,  IPTV</t>
  </si>
  <si>
    <t>TL-WR820N</t>
    <phoneticPr fontId="4" type="noConversion"/>
  </si>
  <si>
    <t>N300 Wi-Fi Router
SPEED: 300 Mbps at 2.4 GHz
SPEC: 2× Antennas, 1× 10/100M WAN Port + 2× 10/100M LAN Ports
FEATURE: Tether App, Router/Access Point/Range Extender/WISP Mode, IPv6 Supported,  IPTV, Agile Config</t>
  </si>
  <si>
    <t>AX3000 Dual Band Wi-Fi 6 High Power Router
SPEED: 574 Mbps at 2.4 GHz + 2402 Mbps at 5 GHz
SPEC: 4× 7 dBi Antennas, 1× Gigabit WAN Port + 4× Gigabit LAN Ports, 1024-QAM,  HE160
FEATURE: Router/Access Point Mode, IPv6 Supported, IPTV, Beamforming, Smart Connect, Airtime Fairness, VPN Server, VPN Client, DFS, Cloud Support, HomeShield, Easymesh (Compatible with Onemesh), Wall-Penetrating Wi-Fi</t>
  </si>
  <si>
    <t>TL-WR941HP</t>
    <phoneticPr fontId="4" type="noConversion"/>
  </si>
  <si>
    <t>Router inalámbrico de alta potencia de 450 Mbps para interiores,3 Modos de Uso/Entensor de Rando/ Punto de Acceso / Router -  Realtek, 2T2R, 2.4GHz, 802.11n/g/b, Conmutador incorporado de 4 puertos 10 / 100M, con 3 antenas desmontables de 9DBI. Rango Superior</t>
  </si>
  <si>
    <t>TL-WR841HP</t>
    <phoneticPr fontId="4" type="noConversion"/>
  </si>
  <si>
    <t>N300 High Power Wi-Fi Router
SPEED: 300 Mbps at 2.4 GHz
SPEC: 2× 9 dBi Antennas, 1× 10/100M WAN Port + 4× 10/100M LAN Ports, 1000 mw, Independent High-Power Amplifiers
FEATURE: Router/Access Point/Range Extender Mode, IPTV, Wall-Penetrating Wi-Fi</t>
  </si>
  <si>
    <t>AX3000 Wi-Fi 6 Portable Travel Router
SPEED: 2402 Mbps at 5 GHz + 574 Mbps at 2.4 GHz
SPEC: 2× Internal Antennas, 1× 2.5 Gbps WAN Port + 1× Gigabit LAN Port, 1× USB 3.0 Port, 1× Type-C Power Port, 1× micro SD Card Slot,1024-QAM, OFDMA
FEATURE: Router/4&amp;5G USB Modem/USB Tethering/Hotspot/Access Point/Range Extender/Client Modes, IPv6 Supported, Beamforming, VPN Server, VPN Client, Cloud Support</t>
  </si>
  <si>
    <t>TL-WA901N</t>
    <phoneticPr fontId="4" type="noConversion"/>
  </si>
  <si>
    <t>450Mbps Punto de Acceso Avanzado N Inalámbrico, Atheros, 3T3R, 2.4GHz, 802.11n/g/b,Compatibilidad PoE Pasiva, Boton Push QSS, AP/Cliente/Puente/Repetidor, Multi-SSID, WMM, Ping Watchdog, 3 Antenas 4dbi desmontables</t>
  </si>
  <si>
    <t>TL-WA801N</t>
    <phoneticPr fontId="4" type="noConversion"/>
  </si>
  <si>
    <t>N300 Wi-Fi Access Point
SPEED: 300 Mbps at 2.4 GHz
SPEC: 2× Fixed Antennas, 1× 10/100M Port 
FEATURE: Passive PoE Supported, AP/Client/Range Extender/Multi-SSID Mode</t>
  </si>
  <si>
    <t>RE225BE</t>
    <phoneticPr fontId="4" type="noConversion"/>
  </si>
  <si>
    <t>BE3600 Wi-Fi 7 Range Extender
SPEED: 688 Mbps at 2.4GHz + 2882 Mbps at 5GHz
SPEC: 2+2 4-Stream Dual-Band Wi-Fi 7, 2 × External Antennas, 1 × 1 Gbps LAN Port, Wall Plugged
FEATURE: Dual-Band Wi-Fi 7, Multi-Link Operation, 4096 QAM, HE160, EasyMesh-Compatible, Tether App, WPA3, WPS, Access Control, Power Schedule, LED Control, RE/AP Mode, Beamforming, MU-MIMO, OFDMA</t>
  </si>
  <si>
    <t>AX3000 Wi-Fi 6 Range Extender
SPEED: 574 Mbps at 2.4 GHz + 2402 Mbps at 5 GHz
SPEC: 2 × External Antennas, 1 × Gigabit Port, Qualcomm 1.0GHz Dual-Core CPU, 1024 QAM, HE160, Wall Plugged
FEATURE: Tether App, WPS, Intelligent Signal Light, Access Control, Power Schedule, LED Control, RE/AP Mode, Easymesh (Compatible with Onemesh), Beamforming, MU-MIMO, OFDMA</t>
  </si>
  <si>
    <t>RE605X</t>
    <phoneticPr fontId="3" type="noConversion"/>
  </si>
  <si>
    <t>AX1800 Wi-Fi 6 Range Extender
SPEED: 574 Mbps at 2.4 GHz + 1201 Mbps at 5 GHz
SPEC: 2 × External Antennas, 1 × Gigabit Port, 1024 QAM, Wall Plugged
FEATURE: Tether App, WPS, Intelligent Signal Light, Access Control, Power Schedule, LED Control, RE/AP Mode, Easymesh (Compatible with Onemesh), Beamforming, MU-MIMO, OFDMA</t>
  </si>
  <si>
    <t>RE505X</t>
  </si>
  <si>
    <t>AX1500 Wi-Fi 6 Range Extender
SPEED: 300 Mbps at 2.4 GHz + 1201 Mbps at 5 GHz
SPEC: 2 × External Antennas, 1 × Gigabit Port, 1024 QAM, Wall Plugged
FEATURE: Tether App, WPS, Intelligent Signal Light, Access Control, Power Schedule, LED Control, RE/AP Mode, OneMesh, Beamforming, MU-MIMO, OFDMA</t>
  </si>
  <si>
    <t>RE450</t>
  </si>
  <si>
    <t>AC1750 Wi-Fi Range Extender
SPEED: 450 Mbps at 2.4 GHz + 1300 Mbps at 5 GHz
SPEC: 3 × External Antennas, 1 × Gigabit Port,  Wall Plugged
FEATURE: Tether App, WPS, Intelligent Signal Light, Access Control, Power Schedule, LED Control, RE/AP Mode, Easymesh (Compatible with Onemesh)</t>
  </si>
  <si>
    <t>RE305</t>
  </si>
  <si>
    <t>AC1200 Wi-Fi Range Extender
SPEED: 300Mbps at 2.4GHz + 867Mbps at 5GHz
SPEC: 2 × External Antennas, 1 × 10/100Mbps Port, Wall Plugged
FEATURE: Tether App, WPS, Intelligent Signal Light,  Access Control, Power Schedule, LED Control, RE/AP Mode, Easymesh (Compatible with Onemesh)</t>
  </si>
  <si>
    <t>AC750 Wi-Fi Range Extender
SPEED: 300Mbps at 2.4GHz + 433Mbps at 5GHz
SPEC: 2 × External Antennas, 1 × 10/100Mbps Port, Wall Plugged
FEATURE:  Tether App, WPS, Intelligent Signal Light,  Access Control, Power Schedule, LED Control, RE/AP Mode, Easymesh (Compatible with Onemesh)</t>
  </si>
  <si>
    <t>AC750 Wi-Fi Range Extender
SPEED: 300Mbps at 2.4GHz + 433Mbps at 5GHz
SPEC: 3 × Internal Antennas, 1 × 10/100Mbps Port, Wall Plugged
FEATURE: Tether App, WPS, Intelligent Signal Light,  Access Control, Power Schedule, LED Control, RE/AP Mode, Easymesh (Compatible with Onemesh)</t>
  </si>
  <si>
    <t>TL-WA855RE</t>
    <phoneticPr fontId="4" type="noConversion"/>
  </si>
  <si>
    <t>300Mbps Wi-Fi Range Extender
SPEED: 300Mbps at 2.4GHz
SPEC: 2 × External Antennas, 1 × 10/100Mbps Port, Wall Plugged
FEATURE: Tether App, WPS, Intelligent Signal Light,  Access Control, Power Schedule, LED Control, RE/AP Mode</t>
  </si>
  <si>
    <t>TL-WA850RE</t>
    <phoneticPr fontId="4" type="noConversion"/>
  </si>
  <si>
    <t>300Mbps Wi-Fi Range Extender
SPEED: 300Mbps at 2.4GHz
SPEC: 2 × Internal Antennas, 1 × 10/100Mbps Port, Wall Plugged.
FEATURE: Tether App, WPS, Intelligent Signal Light,  Access Control, Power Schedule, LED Control, RE/AP Mode</t>
  </si>
  <si>
    <t>TL-WPA7517 KIT</t>
    <phoneticPr fontId="4" type="noConversion"/>
  </si>
  <si>
    <t>AV1000 Gigabit Powerline AC1200 Wi-Fi Kit
KIT: 1× TL-WPA7517 + 1× TL-PA7017
TL-WPA7517:
SPEED: 300 Mbps at 2.4 GHz + 867 Mbps at 5 GHz, 1000 Mbps Powerline
SPEC: Broadcom CPU, 1× Gigabit Port, Wall Plugged, HomePlug AV2
FEATURE: Plug and Play, tpPLC Utility, tpPLC APP, One-Touch Wi-Fi Configuration, Auto-Sync Wi-Fi Setting, OneMesh, Pair for More Security, LED On/Off Button
1× TL-PA7017:
SPEED: 1000 Mbps Powerline
SPEC: Broadcom CPU, 1× Gigabit Port, Wall Plugged, HomePlug AV2
FEATURE: Plug and Play, tpPLC Utility, Power Saving, Pair for More Security</t>
  </si>
  <si>
    <t>TL-WPA4220 KIT</t>
    <phoneticPr fontId="4" type="noConversion"/>
  </si>
  <si>
    <t>AV600 Powerline N300 Wi-Fi Kit
KIT: 1× TL-WPA4220 + 1× TL-PA4010
TL-WPA4220:
SPEED: 300 Mbps at 2.4 GHz, 600 Mbps Powerline
SPEC: Qualcomm CPU, 2× 10/100 Mbps Ports, Wall Plugged, HomePlug AV2
FEATURE: Plug and Play, tpPLC Utility, tpPLC APP, One-Touch Wi-Fi Configuration, Auto-Sync Wi-Fi Setting, Pair for More Security
TL-PA4010:
SPEED: 600 Mbps Powerline
SPEC: Qualcomm CPU, 1× 10/100 Mbps Ports, Wall Plugged, HomePlug AV2
FEATURE: Plug and Play, tpPLC Utility, Power Saving, Pair for More Security</t>
  </si>
  <si>
    <t>TL-WPA4220</t>
    <phoneticPr fontId="4" type="noConversion"/>
  </si>
  <si>
    <t>AV600 Powerline N300 Wi-Fi Extender
SPEED: 300 Mbps at 2.4 GHz, 600 Mbps Powerline
SPEC: Qualcomm CPU, 2× 10/100 Mbps Ports, Wall Plugged, HomePlug AV2
FEATURE: Plug and Play, tpPLC Utility, tpPLC APP, One-Touch Wi-Fi Configuration, Auto-Sync Wi-Fi Setting, Pair for More Security</t>
  </si>
  <si>
    <t>Archer TBE400UH</t>
    <phoneticPr fontId="4" type="noConversion"/>
  </si>
  <si>
    <t>BE6500 High Gain Tri-Band Wi-Fi 7 USB Adapter
SPEED: 2882 Mbps at 6 GHz + 2882 Mbps at 5 GHz + 688 Mbps at 2.4 GHz
SPEC: 2× High Gain External Antennas, USB 3.0, Cradle with Extension Cable
FEATURE: Wi-Fi 7, MU-MIMO, OFDMA, HE160, WPA3, MLO, 4K QAM</t>
  </si>
  <si>
    <t>Archer TBE400U Plus</t>
  </si>
  <si>
    <t>BE6500 Tri-Band Wi-Fi 7 High Gain Wireless USB Adapter
SPEED:2882 Mbps at 6 GHz + 2882 Mbps at 5 GHz + 688 Mbps at 2.4 GHz
SPEC:  1× High Gain External Antenna(2T2R), USB 3.0
FEATURE: Wi-Fi 7, MU-MIMO, OFDMA, HE160, WPA3, MLO, 4K QAM</t>
  </si>
  <si>
    <t>Archer TBE400U</t>
  </si>
  <si>
    <t>BE6500 Tri-Band Wi-Fi 7 Mini Wireless USB Adapter
SPEED:2882 Mbps at 6 GHz + 2882 Mbps at 5 GHz + 688 Mbps at 2.4 GHz
SPEC:  Internal Antennas, USB 3.0 Type-A &amp; Type-C
FEATURE: Wi-Fi 7, MU-MIMO, OFDMA, HE160, WPA3, MLO, 4K QAM</t>
  </si>
  <si>
    <t>AXE5400 High Gain Tri-Band Wi-Fi 6E USB Adapter
SPEED: 2402 Mbps at 6 GHz + 2402 Mbps at 5 GHz + 574 Mbps at 2.4 GHz
SPEC: High Gain External Antennas, USB 3.0, Cradle with Extension Cable
FEATURE: Wi-Fi 6E, MU-MIMO, OFDMA, HE160, WPA3</t>
  </si>
  <si>
    <t>AXE3000 High Gain Tri-Band Wi-Fi 6E USB Adapter
SPEED: 1201 Mbps at 6 GHz + 1201 Mbps at 5 GHz + 574 Mbps at 2.4 GHz
SPEC: High Gain External Antennas, USB 3.0, Cradle with Extension Cable
FEATURE: Wi-Fi 6E, MU-MIMO, OFDMA, WPA3</t>
  </si>
  <si>
    <t>AX3000 High Gain Dual Band Wi-Fi 6 USB Adapter
SPEED: 2402 Mbps at 5 GHz + 574 Mbps at 2.4 GHz
SPEC: High Gain External Antennas, USB 3.0, Cradle with Extension Cable
FEATURE: MU-MIMO, OFDMA, HE160, WPA3</t>
  </si>
  <si>
    <t>AX3000 Dual Band Wi-Fi 6 USB Adapter
SPEED: 2402 Mbps at 5 GHz + 574 Mbps at 2.4 GHz
SPEC: Internal Antennas, USB 3.0
FEATURE: MU-MIMO, OFDMA, HE160, WPA3</t>
  </si>
  <si>
    <t>Archer TX35U Plus</t>
    <phoneticPr fontId="4" type="noConversion"/>
  </si>
  <si>
    <t>AX1800 High Gain Dual Band Wi-Fi 6 USB Adapter
SPEED: 1201 Mbps at 5 GHz + 574 Mbps at 2.4 GHz
SPEC: 1× High Gain External Antenna, USB 3.0
FEATURE: MU-MIMO, OFDMA, WPA3</t>
  </si>
  <si>
    <t>Archer TX30U Plus</t>
    <phoneticPr fontId="4" type="noConversion"/>
  </si>
  <si>
    <t xml:space="preserve"> AX1800 Dual Antennas High Gain Wireless USB Adapter
SPEED: 1201 Mbps at 5 GHz + 574 Mbps at 2.4 GHz
SPEC: 2× High Gain External Antenna, USB 3.0
FEATURE: MU-MIMO, OFDMA, WPA3</t>
  </si>
  <si>
    <t>Archer TX20UH</t>
    <phoneticPr fontId="4" type="noConversion"/>
  </si>
  <si>
    <t>AX1800 High Gain Dual Band Wi-Fi 6 USB Adapter
SPEED: 1201 Mbps at 5 GHz + 574 Mbps at 2.4 GHz
SPEC: High Gain External Antennas, USB 3.0, Cradle with Extension Cable
FEATURE: MU-MIMO, OFDMA, WPA3</t>
  </si>
  <si>
    <t>Archer TX20U Plus</t>
    <phoneticPr fontId="4" type="noConversion"/>
  </si>
  <si>
    <t>AX1800 High Gain Dual Band Wi-Fi 6 USB Adapter
SPEED: 1201 Mbps at 5 GHz + 574 Mbps at 2.4 GHz
SPEC: 2× High Gain External Antennas, USB 3.0, Extension Cable
FEATURE: MU-MIMO, OFDMA, WPA3</t>
  </si>
  <si>
    <t>Archer TX20U Nano</t>
    <phoneticPr fontId="3" type="noConversion"/>
  </si>
  <si>
    <t>AX1800 Nano Dual Band Wi-Fi 6 USB Adapter
SPEED: 1201 Mbps at 5 GHz + 574 Mbps at 2.4 GHz
SPEC: Internal Antennas, USB 2.0
FEATURE: MU-MIMO, OFDMA, WPA3</t>
  </si>
  <si>
    <t>Archer TX10UB Nano</t>
    <phoneticPr fontId="3" type="noConversion"/>
  </si>
  <si>
    <t>AX900 Nano Dual Band Wi-Fi 6 Bluetooth 5.3 USB Adapter
SPEED: 600 Mbps at 5 GHz + 287 Mbps at 2.4 GHz
SPEC: Internal Antennas, USB 2.0
FEATURE: MU-MIMO, OFDMA, WPA3, Bluetooth 5.3</t>
  </si>
  <si>
    <t>Archer TX1U Nano</t>
  </si>
  <si>
    <t>AX300 Nano Wi-Fi 6 USB Adapter
SPEED: 287 Mbps at 2.4 GHz
SPEC: Internal Antennas, USB 2.0
FEATURE: MU-MIMO, OFDMA</t>
  </si>
  <si>
    <t>Archer T4U Plus</t>
    <phoneticPr fontId="4" type="noConversion"/>
  </si>
  <si>
    <t>AC1300 High Gain Dual Band Wi-Fi USB Adapter
SPEED: 867 Mbps at 5 GHz + 400 Mbps at 2.4 GHz
SPEC: 2× High Gain External Antennas, USB 3.0, Extension Cable
FEATURE: MU-MIMO</t>
  </si>
  <si>
    <t>Archer T4U</t>
  </si>
  <si>
    <t>AC1300 High Gain Dual Band Wi-Fi USB Adapter
SPEED: 867 Mbps at 5 GHz + 400 Mbps at 2.4 GHz
SPEC: 2× High Gain External Antennas, USB 3.0
FEATURE: WPS Button, MU-MIMO</t>
  </si>
  <si>
    <t>AC1300 High Gain Dual Band Wi-Fi USB Adapter
SPEED: 867 Mbps at 5 GHz + 400 Mbps at 2.4 GHz
SPEC: 1× High Gain External Antenna, USB 3.0 
Feature: MU-MIMO</t>
  </si>
  <si>
    <t>Archer T3U</t>
    <phoneticPr fontId="4" type="noConversion"/>
  </si>
  <si>
    <t>AC1300 Mini Dual Band Wi-Fi USB Adapter
SPEED: 867 Mbps at 5 GHz + 400 Mbps at 2.4 GHz
SPEC: USB 3.0
FEATURE: MU-MIMO</t>
  </si>
  <si>
    <t>Archer T3U Nano</t>
  </si>
  <si>
    <t>AC1300 Nano Dual Band Wi-Fi USB Adapter
SPEED: 867 Mbps at 5 GHz + 400 Mbps at 2.4 GHz
SPEC: USB 2.0
FEATURE: MU-MIMO</t>
  </si>
  <si>
    <t>Archer T2U Plus</t>
  </si>
  <si>
    <t xml:space="preserve">AC600 High Gain Dual Band Wi-Fi USB Adapter
SPEED: 433 Mbps at 5 GHz + 200 Mbps at 2.4 GHz
SPEC: 1× High Gain External Antenna, USB 2.0 </t>
  </si>
  <si>
    <t>Archer T2U</t>
    <phoneticPr fontId="3" type="noConversion"/>
  </si>
  <si>
    <t>AC600 Mini Dual Band Wi-Fi USB Adapter
SPEED: 433 Mbps at 5 GHz + 200 Mbps at 2.4 GHz
SPEC: USB 2.0</t>
  </si>
  <si>
    <t>Archer T2UB Nano</t>
    <phoneticPr fontId="3" type="noConversion"/>
  </si>
  <si>
    <t>AC600 Nano Dual Band Wi-Fi Bluetooth 4.2 USB Adapter
SPEED: 433 Mbps at 5 GHz + 200 Mbps at 2.4 GHz
SPEC: USB 2.0
FEATURE: Bluetooth 4.2</t>
  </si>
  <si>
    <t>Archer T2U Nano</t>
    <phoneticPr fontId="3" type="noConversion"/>
  </si>
  <si>
    <t>AC600 Nano Dual Band Wi-Fi USB Adapter
SPEED: 433 Mbps at 5 GHz + 200 Mbps at 2.4 GHz
SPEC: USB 2.0</t>
  </si>
  <si>
    <t>TL-WN822N</t>
    <phoneticPr fontId="3" type="noConversion"/>
  </si>
  <si>
    <t>300Mbps High Gain Wi-Fi USB Adapter
SPEED: 300 Mbps at 2.4 GHz
SPEC: 2× High Gain External Antennas, Mini USB 2.0, Extension Cable
FEATURE: WPS Button</t>
  </si>
  <si>
    <t>300Mbps High Power Wi-Fi USB Adapter
SPEED: 300 Mbps at 2.4 GHz
SPEC: 2× High Gain External Antennas, Mini USB 2.0, Extension Cable
FEATURE: WPS Button, High Power up to 500 mw</t>
  </si>
  <si>
    <t>TL-WN823N</t>
  </si>
  <si>
    <t>300Mbps Mini Wi-Fi USB Adapter
SPEED: 300 Mbps at 2.4 GHz
SPEC: USB 2.0
FEATURE: WPS Button</t>
  </si>
  <si>
    <t>TL-WN722N</t>
    <phoneticPr fontId="4" type="noConversion"/>
  </si>
  <si>
    <t>150Mbps High Gain Wi-Fi USB Adapter
SPEED: 150 Mbps at 2.4 GHz
SPEC: 1× High Gain External Antenna, USB 2.0
FEATURE: WPS Button</t>
  </si>
  <si>
    <t>TL-WN725N</t>
  </si>
  <si>
    <t xml:space="preserve">150Mbps Nano Wi-Fi USB Adapter
SPEED: 150 Mbps at 2.4 GHz
SPEC: USB 2.0 </t>
  </si>
  <si>
    <t>BE9300 Tri-Band Wi-Fi 7 Bluetooth PCI Express Adapter
SPEED: 5760 Mbps at 6 GHz + 2880 Mbps at 5 GHz + 688 Mbps at 2.4 GHz
SPEC: 2× High Gain Tri-Band External Antennas
FEATURE: Wi-Fi 7, MLO, Multi-RU, 4096 QAM, 320MHz, MU-MIMO, OFDMA, WPA3, Bluetooth 5.4</t>
  </si>
  <si>
    <t>BE9300 Tri-Band Wi-Fi 7 Bluetooth PCI Express Adapter
SPEED: 5760 Mbps at 6 GHz + 2880 Mbps at 5 GHz + 688 Mbps at 2.4 GHz
SPEC: 2× High Gain Tri-Band External Antennas,  Include High Gain Tri-Band Antennas with Extension Cable &amp; Magnet Base, Multicolor LED, USB Drive
FEATURE: Wi-Fi 7, MLO, Multi-RU, 4096 QAM, 320MHz, MU-MIMO, OFDMA, WPA3, Bluetooth 5.4</t>
  </si>
  <si>
    <t>BE6500 Tri-Band Wi-Fi 7 Bluetooth PCI Express Adapter
SPEED: 2880 Mbps at 6 GHz + 2880 Mbps at 5 GHz + 688 Mbps at 2.4 GHz
SPEC: 2× High Gain Tri-Band External Antennas
FEATURE: Wi-Fi 7, MLO, Multi-RU, 4096 QAM, HE160, MU-MIMO, OFDMA, WPA3, Bluetooth 5.4</t>
  </si>
  <si>
    <t>AXE5400 Tri-Band Wi-Fi 6E Bluetooth PCI Express Adapter
SPEED: 2402 Mbps at 6 GHz + 2402 Mbps at 5 GHz + 574 Mbps at 2.4 GHz
SPEC: 2× High Gain Tri-Band External Antennas
FEATURE: Wi-Fi 6E, MU-MIMO, OFDMA, 1024 QAM, HE160, WPA3, Bluetooth 5.3</t>
  </si>
  <si>
    <t>AX3000 Dual Band Wi-Fi 6 Bluetooth PCI Express Adapter
SPEED: 2402 Mbps at 5 GHz + 574 Mbps at 2.4 GHz
SPEC: 2× High Gain External Antennas,  Include High Gain Antennas with Extension Cable &amp; Magnet Base
FEATURE: MU-MIMO, OFDMA, 1024 QAM, HE160, WPA3, Bluetooth 5.3</t>
  </si>
  <si>
    <t>AX3000 Dual Band Wi-Fi 6 Bluetooth PCI Express Adapter
SPEED: 2402 Mbps at 5 GHz + 574 Mbps at 2.4 GHz
SPEC: 2× High Gain External Antennas
FEATURE: MU-MIMO, OFDMA, 1024 QAM, HE160, WPA3, Bluetooth 5.3</t>
  </si>
  <si>
    <t>Archer TX20E</t>
    <phoneticPr fontId="3" type="noConversion"/>
  </si>
  <si>
    <t>AX1800 Dual Band Wi-Fi 6 Bluetooth 5.2 PCI Express Adapter
SPEED: 1201 Mbps at 5 GHz + 574 Mbps at 2.4 GHz
SPEC: 2× High Gain External Antennas
FEATURE: MU-MIMO, OFDMA, WPA3, Bluetooth 5.4</t>
  </si>
  <si>
    <t>Archer T5E</t>
    <phoneticPr fontId="3" type="noConversion"/>
  </si>
  <si>
    <t>Adaptador PCI Express AC1200 de doble banda Wi-Fi + Bluetooth, 867 Mbps en 5 GHz + 300 Mbps en 2.4 GHz, SPEC: 2 antenas externas de alta ganancia y Bluetooth 4.2</t>
  </si>
  <si>
    <t>AC1200 Dual Band Wi-Fi PCI Express Adapter
SPEED: 867 Mbps at 5 GHz + 300 Mbps at 2.4 GHz
SPEC: 2× High Gain External Antennas</t>
  </si>
  <si>
    <t>AC600 Dual Band Wi-Fi PCI Express Adapter
SPEED: 433 Mbps at 5 GHz + 200 Mbps at 2.4 GHz
SPEC: 1× High Gain External Antenna</t>
  </si>
  <si>
    <t>300Mbps Wi-Fi PCI Express Adapter
SPEED: 300 Mbps at 2.4 GHz
SPEC: 2× High Gain External Antennas</t>
  </si>
  <si>
    <t>150Mbps Wi-Fi PCI Express Adapter
SPEED: 150 Mbps at 2.4 GHz
SPEC: 1× High Gain External Antenna</t>
  </si>
  <si>
    <t>TX401</t>
  </si>
  <si>
    <t>10 Gigabit PCI Express Network Adapter
SPEC: PCIe 3.0 ×4, Include CAT6A Ethernet Cable
FATURE: Support 10/5/2.5/1 Gbps and 100 Mbps Network Standards</t>
  </si>
  <si>
    <t>TX201</t>
    <phoneticPr fontId="3" type="noConversion"/>
  </si>
  <si>
    <t>2.5 Gigabit PCI Express Network Adapter
SPEC: PCIe 2.1 ×1
FATURE: Support 2.5/1 Gbps and 100 Mbps Network Standards</t>
  </si>
  <si>
    <t>Gigabit PCI Express Network Adapter</t>
  </si>
  <si>
    <t>USB 3.0 Type-C to Gigabit Ethernet Network Adapter with 3-Port USB 3.0 Type-A Hub
SPEC: 1×USB 3.0 Type-C Connector, 1×Gigabit Ethernet Port, 3×USB 3.0 Type-A ports, Compact Size with 7.3 inch USB 3.0 Cord
FEATURE: Plug and Play in Windows (XP/Vista/7/8/8.1/10), Mac OS X (10.9 and later), Linux OS</t>
  </si>
  <si>
    <t>UE330</t>
    <phoneticPr fontId="4" type="noConversion"/>
  </si>
  <si>
    <t>USB 3.0 Type-A to Gigabit Ethernet Network Adapter with 3-Port USB 3.0 Type-A Hub
SPEC: 1×USB 3.0 Type-A Connector, 1×Gigabit Ethernet Port, 3×USB 3.0 Type-A ports, Compact Size with 7.3 inch USB 3.0 Cord
FEATURE: Plug and Play in Windows (XP/Vista/7/8/8.1/10), Mac OS X (10.9 and later), Linux OS</t>
  </si>
  <si>
    <t>UE302C</t>
    <phoneticPr fontId="3" type="noConversion"/>
  </si>
  <si>
    <t>USB 3.0 Type-C to 2.5 Gigabit Ethernet Network Adapter
SPEC: 1×USB 3.0 Type-C Connector, 1×2.5 Gigabit Ethernet Port, Foldable and Portable Design
FEATURE: Plug and Play in Windows(7/8/8.1/10/11), Mac OS X (10.9 and later), Linux OS, iOS, iPadOS, ChromeOS</t>
  </si>
  <si>
    <t>USB 3.0 Type-C to Gigabit Ethernet Network Adapter
SPEC: 1×USB 3.0 Type-C Connector, 1×Gigabit Ethernet Port, Foldable and Portable Design
FEATURE: Plug and Play in Windows 10,macOS, iPadOS, ChromeOS, Linux</t>
  </si>
  <si>
    <t>USB 3.0 to Gigabit Ethernet Network Adapter
SPEC: 1×USB 3.0 Connector, 1×Gigabit Ethernet Port, Foldable and Portable Design 
FEATURE: Support Mac OS X(10.9 and later), Windows(7/8/8.1/10), Linux OS, Nintendo Switch, Plug and Play in Windows 10/8.1, Linux OS, Nintendo Switch</t>
  </si>
  <si>
    <t>UE300</t>
    <phoneticPr fontId="4" type="noConversion"/>
  </si>
  <si>
    <t>USB 3.0 to Gigabit Ethernet Network Adapter
SPEC: 1×USB 3.0 Connector, 1×Gigabit Ethernet Port, Foldable and Portable Design 
FEATURE: Plug and Play in Windows (XP/Vista/7/8/8.1/10), Mac OS X (10.9 and later), Linux OS</t>
  </si>
  <si>
    <t>UE200</t>
    <phoneticPr fontId="4" type="noConversion"/>
  </si>
  <si>
    <t xml:space="preserve">USB 2.0 to 100Mbps Ethernet Network Adapter
SPEC: 1×USB 2.0 Connector, 1×Fast Ethernet Port, Foldable and Portable Design
FEATURE: Plug and Play in Windows (XP/Vista/7/8/8.1/10), Mac OS X (10.9 and later), Linux OS </t>
  </si>
  <si>
    <t>UA520C</t>
    <phoneticPr fontId="3" type="noConversion"/>
  </si>
  <si>
    <t>USB Type-C to HDMI Adapter
SPEC: 1 × USB-C Connector，1 × HDMI 4K 60Hz Port
FEATURE: Plug and Play, Fast Heat Dissipation, Flexible and Durable</t>
  </si>
  <si>
    <t>Bluetooth 6.0 Nano USB Adapter
SPEC: USB Type-A</t>
  </si>
  <si>
    <t>UB500</t>
  </si>
  <si>
    <t>Bluetooth 5.4 Nano USB Adapter
SPEC: USB Type-A</t>
  </si>
  <si>
    <t>UB400</t>
    <phoneticPr fontId="4" type="noConversion"/>
  </si>
  <si>
    <t>Bluetooth 4.0 Nano USB Adapter
SPEC: USB Type-A</t>
  </si>
  <si>
    <t>USB Type-C 7-Port Hub
SPEC: 1 × USB-C Connector，1 × HDMI 4K 60Hz Port，1 × USB-C PD 100W Port，1 × SD + 1 × microSD(TF) 200MB/s Port，2 × USB-A 3.0 Ports，1 × USB-C 3.0 Port
FEATURE: Plug and Play, Self-storage for Connector, Fast Heat Dissipation, Flexible and Durable</t>
  </si>
  <si>
    <t>UH6120C</t>
    <phoneticPr fontId="4" type="noConversion"/>
  </si>
  <si>
    <t>USB Type-C 6-Port Hub
SPEC: 1 × USB-C Connector，1 × HDMI 4K 60Hz Port，1 × USB-C PD 100W Port，1 × RJ45 1000Mbps Port，2 × USB-A 3.0 Ports，1 × USB-C 3.0 Port
FEATURE: Plug and Play, Self-storage for Connector, Fast Heat Dissipation, Flexible and Durable</t>
  </si>
  <si>
    <t>UH5020C</t>
  </si>
  <si>
    <t>USB Type-C 5-Port Hub
SPEC: 1 × USB-C Connector，1 × HDMI 4K 60Hz Port，1 × USB-C PD 100W Port，2 × USB-A 3.0 Ports，1 × USB-C 3.0 Port
FEATURE: Plug and Play, Self-storage for Connector, Fast Heat Dissipation, Flexible and Durable</t>
  </si>
  <si>
    <t>UH3020C</t>
    <phoneticPr fontId="4" type="noConversion"/>
  </si>
  <si>
    <t>USB Type-C 3-Port Hub
SPEC: 1 × USB-C Connector，1 × HDMI 4K 60Hz Port，1 × USB-C PD 100W Port，1 × USB-A 3.0 Port 
FEATURE: Plug and Play, Self-storage for Connector, Fast Heat Dissipation, Flexible and Durable</t>
  </si>
  <si>
    <t>UH700</t>
    <phoneticPr fontId="4" type="noConversion"/>
  </si>
  <si>
    <t>USB 3.0 7-Port Hub
SPEC: 7× USB 3.0 Ports, 3 of 7 Ports Designed for Fast Charging with Max 1.5A Output 
FEATURE: Modern Design, Built-In Surge Protection, Plug and Play, Hot Swapping Supported</t>
  </si>
  <si>
    <t>UH400</t>
    <phoneticPr fontId="4" type="noConversion"/>
  </si>
  <si>
    <t>USB 3.0 4-Port Hub
SPEC: 4× USB 3.0 Ports
FEATURE: Foldable Design, Plug and Play, Hot Swapping Supported</t>
  </si>
  <si>
    <t>HA100</t>
    <phoneticPr fontId="4" type="noConversion"/>
  </si>
  <si>
    <t>Bluetooth Music Receiver, stream music wirelessly through Bluetooth
SPEC: Bluetooth 4.1, Connects to Any Stereo Supporting 3.5 mm or RCA Jacks, Advanced CSR Chipset
FEATURE: NFC Quick Pairing, 20 m (60 ft) Wireless Range, Multipoint Connectivity</t>
  </si>
  <si>
    <t>USB3.0 Type-C &amp; Type-A to SD &amp; microSD 3.0 Adapter
SPEC: 1 × USB-C Connector, 1 × USB-A Connector, 1 × SD 200MB/s Port, 1 × microSD(TF) 200MB/s Port
FEATURE: Dual-card Reading/Writing, Plug and Play, Compact and Durable, Fast Heat Dissipation</t>
  </si>
  <si>
    <t>Tapo L930-10</t>
  </si>
  <si>
    <t>Smart Light Strip, Multicolor
SPEC: 2.4 GHz Wi-Fi, 802.11b/g/n, two 16.4 ft/5m RGBW+IC LED light strips, 2000lm, 2500K~6500K tunable white, 12V/2A power adapter, PU Coating Waterproof
FEATURE: Tapo Smart app, no hub required, works with Alexa, Google Assistant, remote control, predefined lighting effects, 16 millions of colors, customize color zones,  lifetime up to 25,000 hrs, 1%-100% dimmable, cuttable, presets, easy installation and setup, schedule, group lighting control, energy usage monitoring, set scenes, customize your lighting</t>
  </si>
  <si>
    <t>Tapo L930-5</t>
  </si>
  <si>
    <t>Smart Light Strip, Multicolor
SPEC: 2.4 GHz Wi-Fi, 802.11b/g/n, one 16.4 ft/5m RGBW+IC LED light strip, 1000lm, 2500K~6500K tunable white, 12V/1A power adapter, PU Coating Waterproof
FEATURE: Tapo Smart app, no hub required, works with Alexa, Google Assistant, remote control, predefined lighting effects, 16 millions of colors, customize color zones,  lifetime up to 25,000 hrs, 1%-100% dimmable, cuttable, presets, easy installation and setup, schedule, group lighting control, energy usage monitoring, set scenes, customize your lighting</t>
  </si>
  <si>
    <t>Tapo L920-5</t>
  </si>
  <si>
    <t xml:space="preserve">Smart Light Strip, Multicolor
SPEC: 2.4 GHz Wi-Fi, 802.11b/g/n, one 16.4 ft/5m RGB+IC LED light strip, 12V/1.5A power adapter, PU Coating Waterproof
FEATURE: Tapo Smart app, no hub required, works with Alexa, Google Assistant, remote control, predefined lighting effects, 16 millions of colors, customize color zones,  lifetime up to 25,000 hrs, 1%-100% dimmable, cuttable, presets, easy installation and setup, schedule, group lighting control, energy usage monitoring, set scenes, customize your lighting
</t>
  </si>
  <si>
    <t>Tapo L920-10</t>
  </si>
  <si>
    <t>Smart Light Strip, Multicolor
SPEC: 2.4 GHz Wi-Fi, 802.11b/g/n, two 16.4 ft/5m RGB+IC LED light strips, 12V/3.3A power adapter, PU Coating Waterproof
FEATURE: Tapo Smart app, no hub required, works with Alexa, Google Assistant, remote control, predefined lighting effects, 16 millions of colors, customize color zones,  lifetime up to 25,000 hrs, 1%-100% dimmable, cuttable, presets, easy installation and setup, schedule, group lighting control, energy usage monitoring, set scenes, customize your lighting</t>
  </si>
  <si>
    <t>Tapo L900-5</t>
  </si>
  <si>
    <t>Tapo Smart Light Strip, Multicolor
SPEC: 2.4 GHz Wi-Fi, 802.11b/g/n, one 16.4 ft/5m LED light strip(cut to size every 10cm), one adapter, one controller, lifetime up to 25,000 hrs,  full RGB color, 1-100% full brightness range, easy-plug light strip inter-connector, 3M adhesive tape for easy mounting
FEATURE: Tapo Smart app; no hub required; works with Alexa, Google Assistant; remote control; predefined lighting effects; millions of colors; dimmable; cuttable; presets; easy installation and setup; schedule; group lighting control; energy usage monitoring; set scenes</t>
  </si>
  <si>
    <t>Tapo L900-10</t>
  </si>
  <si>
    <t>Smart Light Strip, Multicolor
SPEC: 2.4 GHz Wi-Fi, 802.11b/g/n, two 16.4 ft/5m RGB LED light strips, 12V/1.5A power adapter
FEATURE: Tapo Smart app, no hub required, works with Alexa, Google Assistant, remote control, predefined lighting effects, 16 millions of colors,  lifetime up to 25,000 hrs; 1%-100% dimmable, cuttable, presets, easy installation and setup, schedule, group lighting contro, energy usage monitoring, set scenes</t>
  </si>
  <si>
    <t>Tapo L530E(2-pack)</t>
  </si>
  <si>
    <t>Smart Light Bulb, Multicolor, 2-Pack
SPEC: 2.4 GHz Wi-Fi, 802.11b/g/n, A19 bulb, E26 base, 120 V, 50/60 Hz, 16 million colors, 2500K-6500K, Brightness: W:800lm/ R:55lm/G:140lm/B:25lm, 60 W equivalent, beam angle 220°, CRI≥90, lifetime up to 25,000 hrs
FEATURE: Multicolor, No Hub Required, Voice Control (works with Amazon Alexa and Google Assistant), Remote Control, Schedule and Timer, Easy Setup, Away Mode, Energy Monitoring, Devices Sharing</t>
  </si>
  <si>
    <t>Tapo L530E(4-pack)</t>
  </si>
  <si>
    <t>Smart Light Bulb, Multicolor, 4-Pack
SPEC: 2.4 GHz Wi-Fi, 802.11b/g/n, A19 bulb, E26 base, 120 V, 50/60 Hz, 16 million colors, 2500K-6500K, Brightness: W:800lm/ R:55lm/G:140lm/B:25lm, 60 W equivalent, beam angle 220°, CRI≥90, lifetime up to 25,000 hrs
FEATURE: Multicolor, No Hub Required, Voice Control (works with Amazon Alexa and Google Assistant), Remote Control, Schedule and Timer, Easy Setup, Away Mode, Energy Monitoring, Devices Sharing</t>
  </si>
  <si>
    <t>Tapo L530E</t>
  </si>
  <si>
    <t>Smart Wi-Fi Light Bulb, Multicolor
SPEC: 2.4 GHz, IEEE 802.11b/g/n, E27 Base, 100–240 V, 50/60 Hz, Brightness: W: 806 lm/ R: 55 lm/G: 140 lm/B: 25 lm, 8.2 W, 2,500 K – 6,500 K, Beam Angle 220°, lifetime up to 25,000 hrs 
FEATURE: Multicolor, No Hub Required, Voice Control (works with Amazon Alexa and Google Assistant), Remote Control, Schedule and Timer, Easy Setup, Away Mode, Energy Monitoring, Devices Sharing</t>
  </si>
  <si>
    <t>Tapo P400M</t>
  </si>
  <si>
    <t>Tapo Smart Wi-Fi Outdoor Plug, Matter
SPEC: 2.4 GHz Wi-Fi required, 125 V~, 60 Hz, 15 A maximum load in total, operating temperature -4°F ~ 122°F (-20°C ~ 50°C)
FEATURE: Matter-certified, individually control two outdoor devices; weather-resistant and IP65 rated; Wi-Fi range up to 300 feet; Tapo Smart app; works with Alexa, Google Assistant, and Samsung SmartThings; remote control; schedule; timer; away mode; group control; set scenes; runtime tracking; no hub required; easy setup; overtemperature protection; flame retardant; ETL certified</t>
  </si>
  <si>
    <t>Tapo P306</t>
  </si>
  <si>
    <t>Smart Wi-Fi Wall Outlet Extender
SPEC: 2.4 GHz Wi-Fi required, Bluetooth fast setup, 100-125V~, 50/60Hz, 15A max, 1875W max load in total, Type-B grounded 3-prong plug, 3 individually controlled smart outlets, 3 always on outlets, 2 USB Type A &amp; 1 USB Type C 18W fast charging ports.
FEATURE: HomeKit Enabled, Adjustable stabilizing plug pin can fit any wall outlet to help mount firmly, 3 Individually Control Outlets with Individual Button, USB Remote Controlled as a Group, 18W PD/QC Fast Charge, 1.57 in Spaced Outlets, Surge Protection, Smart Night Light Controlled by Light Sensor or Voice Command, Dual Antenna, Tapo Smart app, works with Alexa, Google Assistant, and Samsung SmartThings, Remote Control, Schedule, Timer, Away Mode, Group Control, Set Scenes, no Hub Required, Easy Setup, ETL Certified</t>
  </si>
  <si>
    <t>Tapo P210M</t>
  </si>
  <si>
    <t>Tapo Smart Wi-Fi Outlet, Energy Monitoring
SPEC: 2.4 GHz Wi-Fi required, 125 V~, 60 Hz, 15 A maximum load in total
FEATURE: two individually controllable smart in-wall outlets; Energy mointoring, Zero-crossing detection; Matter certified, works with Apple Home, Alexa, Google Assistant, and Samsung SmartThings; Bluetooth onboarding; TP-Link Simple Setup(TSS);  remote control; schedule; timer; away mode; group control; set scenes; anti-overcharging; Software Power Protection; Auto-off Timer; easy installation (electrical wiring required), overtemperature protection; ETL certified</t>
  </si>
  <si>
    <t>Tapo P125M(3-pack)</t>
  </si>
  <si>
    <t>Mini Smart Wi-Fi Plug, Matter, 3-Pack
SPEC: 100-120 V, Max Load 15 A, 50/60 Hz, 2.4 GHz Wi-Fi networking, Bluetooth 4.2 (onboarding only)
FEATURE: Matter-enabled; Compact design, Voice Control (works with Amazon Alexa, Google Assistant, SmartThings, IFTTT), Remote Control with Tapo App, Auto-off Timer, Schedule and Timer, Away Mode, Boosted Wi-Fi, Easy Setup, Device Sharing, Usage Time Tracking, Flame-Retardant</t>
  </si>
  <si>
    <t>Tapo P125M</t>
    <phoneticPr fontId="4" type="noConversion"/>
  </si>
  <si>
    <t>Mini Smart Wi-Fi Plug, Matter
SPEC: 100-120 V, Max Load 15 A, 50/60 Hz, 2.4 GHz Wi-Fi networking, Bluetooth 4.2 (onboarding only)
FEATURE: Matter-enabled; Compact design, Voice Control (works with Amazon Alexa, Google Assistant, SmartThings, IFTTT), Remote Control with Tapo App, Auto-off Timer, Schedule and Timer, Away Mode, Boosted Wi-Fi, Easy Setup, Device Sharing, Usage Time Tracking, Flame-Retardant</t>
  </si>
  <si>
    <t>Tapo P110M(4-pack)</t>
  </si>
  <si>
    <t>Mini Smart Wi-Fi Plug, Energy Monitoring, 4-Pack
SPEC: 100-125V~, 50/60 Hz, Max Load: 15A Max, 1800W Max(General Use / Resistive Load),, 8A Incandescent, 1/6 HP Motor, 2.4 GHz Wi-Fi networking, Bluetooth Setup
FEATURE: Matter(works with Apple Home, Alexa, Google Home, SmartThings), Energy Monitoring 2.0, Smart Charge Guard, Amazon MSS, TP-Link TSS, Voice Control, Remote Control with Tapo App, Schedule and Timer, Away Mode, Auto-off Timer, Easy Setup, Device Sharing, UL94-V0 Flame-Retardant, UL Certified</t>
  </si>
  <si>
    <t>Tapo P110M(2-pack)</t>
  </si>
  <si>
    <t>Mini Smart Wi-Fi Plug, Energy Monitoring, 2-Pack
SPEC: 100-125V~, 50/60 Hz, Max Load: 15A Max, 1800W Max(General Use / Resistive Load),, 8A Incandescent, 1/6 HP Motor, 2.4 GHz Wi-Fi networking, Bluetooth Setup
FEATURE: Matter(works with Apple Home, Alexa, Google Home, SmartThings), Energy Monitoring 2.0, Smart Charge Guard, Amazon MSS, TP-Link TSS, Voice Control, Remote Control with Tapo App, Schedule and Timer, Away Mode, Auto-off Timer, Easy Setup, Device Sharing, UL94-V0 Flame-Retardant, UL Certified</t>
  </si>
  <si>
    <t>Tapo P110M</t>
  </si>
  <si>
    <t>Mini Smart Wi-Fi Plug, Energy Monitoring
SPEC: 100-240V~, 50/60 Hz, Max Load: 15A Max(Resistive Load),, 8A Incandescent, 1/6 HP Motor, 2.4 GHz Wi-Fi networking, Bluetooth Setup
FEATURE: Matter(works with Apple Home, Alexa, Google Home, SmartThings), Energy Monitoring 2.0, Smart Charge Guard, Amazon MSS, TP-Link TSS, Voice Control, Remote Control with Tapo App, Schedule and Timer, Away Mode, Auto-off Timer, Easy Setup, Device Sharing, UL94-V0 Flame-Retardant</t>
  </si>
  <si>
    <t>Tapo P100(2-pack)</t>
    <phoneticPr fontId="4" type="noConversion"/>
  </si>
  <si>
    <t>Mini Smart Wi-Fi Socket, 2-Pack
SPEC: 100-125 V, Max Load 10 A, 50/60 Hz, 2.4 GHz Wi-Fi networking, Bluetooth 4.2 (onboarding only)
FEATURE: Voice Control (works with Amazon Alexa and Google Assistant), Remote Control with Tapo App, Schedule and Timer, Away Mode, Boosted Wi-Fi, Easy Setup, Device Sharing, Usage Time Tracking, Flame-Retardant, ETL certified</t>
  </si>
  <si>
    <t>Tapo P100(1-pack)</t>
    <phoneticPr fontId="4" type="noConversion"/>
  </si>
  <si>
    <t>Mini Smart Wi-Fi Socket
SPEC: 100-125 V, Max Load 10 A, 50/60 Hz, 2.4 GHz Wi-Fi networking, Bluetooth 4.2 (onboarding only)
FEATURE: Voice Control (works with Amazon Alexa and Google Assistant), Remote Control with Tapo App, Schedule and Timer, Away Mode, Boosted Wi-Fi, Easy Setup, Device Sharing, Usage Time Tracking, Flame-Retardant, ETL certified</t>
  </si>
  <si>
    <t>Tapo T30 KIT</t>
  </si>
  <si>
    <t>Smart Sensor Starter Kit
1×Tapo T100, 2×Tapo T110, 1×Tapo H100
SPEC: Tapo H100 (2.4 GHz, 922 MHz, 100-240 V~, 50/60 Hz, Plug-in), Tapo T100 (922 MHz, Battery Powered(1*CR2450), 120° / 7m Detection Range), Tapo T110 (922 MHz, Battery Powered(1*CR2032), 3M Tape Paste)
FEATURE: Tapo App, Smart Action, Motion Detection, Door/Window Open Detection, 90dB Adjustable Audio Alarm, 19 Ringtones, Mute Button, Easy Setup, Device Sharing, Flame-Retardant, Works with Google Assistant and Alexa, Matter Bridge</t>
  </si>
  <si>
    <t>Tapo T315</t>
  </si>
  <si>
    <t>Smart Temperature and Humidity Monitor
SPEC: 922 MHz, Battery Powered(2*AAA), 2.7 Inch E-ink Display, Temperature Range and Accuracy: 0℃~50℃, ±0.3℃，Humidity Range and Accuracy: 0~99%RH, ±3%RH
Feature: Tapo App, Tapo Hub Required, Smart Action, Clear and Sharp E-ink Display, Real-time Monitoring and Expression Display,  2s Refresh Time, 2 Years Date Storage and Export, Alart and Notification, Face Icon Comfort Indicator, Battery Included, 3M Bonding Tape and Magnet Included</t>
  </si>
  <si>
    <t>Tapo T100</t>
    <phoneticPr fontId="3" type="noConversion"/>
  </si>
  <si>
    <t>Smart Motion Sensor
SPEC: 922 MHz, Battery Powered(1*CR2450), 120° / 7m Detection Range
Feature: Tapo App, Tapo Hub Required, Smart Action, Motion Detection, Cardan Shaft Base, Adjustable Direction, Battery Included</t>
  </si>
  <si>
    <t>Tapo T110</t>
    <phoneticPr fontId="3" type="noConversion"/>
  </si>
  <si>
    <t>Smart Door/Window Sensor
SPEC: 922 MHz, Battery Powered(1*CR2032), 3M Tape Paste
Feature: Tapo App, Tapo Hub Required, Smart Action, Door/window Open Detection, Battery Included, 3M Bonding Tape Included</t>
  </si>
  <si>
    <t>Tapo DL130</t>
  </si>
  <si>
    <t>Palm Vein &amp; Fingerprint Smart Lock
SPEC: 2.4/5GHz, 7800mAh Removable Rechargeable Primary Battery, 2600mAh Internal Rechargeable Spare Battery
FEATURE: 99% Accurate Palm Vein Recognition, Fingerprint Recognition, Always-On Power, Easy to Install, Remote Control, Auto-Lock, BHMA Grade 2, Secure Anti-Peep Code, Voice Control (Works with Google Assistant and Alexa), Door Sensor Included, Ringtones, Tapo App, Weatherproof (IP65 For Outdoor Unit)</t>
  </si>
  <si>
    <t>Tapo DL110</t>
  </si>
  <si>
    <t>Smart Wi-Fi Door Lock
SPEC: 2.4 GHz, 10000mAh Built-in Rechargeable Lithium-ion Battery
FEATURE: 0.4s Fast Fingerprint Recognition, 99.2% Accurate Fingerprint Recognition, 1-Year Battery Life in Wi-Fi Mode, 2-Year Battery Life in Bluetooth Mode, Easy to Install, Remote Control, Auto-Lock, BHMA Grade 2, Secure Anti-Peep Code, Voice Control (Works with Google Assistant and Alexa), Ringtones, Tapo App, Weatherproof (IP65 For Outdoor Unit)</t>
  </si>
  <si>
    <t>Smart Wi-Fi Door Lock
SPEC: 2.4 GHz, 7800mAh Removable Lithium-ion Battery
FEATURE: Fast Fingerprint Recognition, Button keyboard, 1-Year Battery Life in Wi-Fi Mode, Easy to Install, Remote Control, Auto-Lock, BHMA Grade 3, Secure Anti-Peep Code, Voice Control (Works with Google Assistant and Alexa), Ringtones, Tapo App, Weatherproof (IP54 For Outdoor Unit)</t>
  </si>
  <si>
    <t>Tapo DL100</t>
  </si>
  <si>
    <t>Smart Wi-Fi Door Lock
SPEC:2.4 GHz Wi-Fi + Bluetooth, 4*AA Batteries, BHMA Grade 3
FEATURE: 0-9 Numeric Keypad, Temporary Password, 2 Backup Physical Keys, Auto-Lock, 10-Month Battery Life, BHMA Grade 3, Third-Party Platform (Works with Google Assistant and Alexa), Smart Ring (Works with Hub and Chime), Tapo App, Weatherproof (IP54 For Outdoor Unit), Easy Installation</t>
  </si>
  <si>
    <t>TD21</t>
  </si>
  <si>
    <t>Video Doorbell Camera
1 × Tapo D210, 1 × Tapo D100C
SPEC: 2K 3MP (2304×1296), 2.4GHz, 6400mAh rechargeable lithium-ion battery
FEATURE：Ringtones, 230 days battery life, Head to Toe View (16:9), 160° Diagonal Field of View, Smart Detection and Notifications (motion, people), Color Night Vision, Two-Way Audio, Quick Response, Voice Call, Voice Control (Works with Google Assistant and Alexa), Local Storage through microSD Card (Up to 512GB), Tapo App, Weatherproof (IP65), Night Vision (Up to 7.5m)</t>
  </si>
  <si>
    <t>Tapo D230S1</t>
    <phoneticPr fontId="3" type="noConversion"/>
  </si>
  <si>
    <t>Smart Video Doorbell Camera Kit
1 × Tapo D230, 1 × Tapo H200
SPEC: 2K 5MP (2560x1920), 2.4 GHz, 6700mAh rechargeable lithium-ion battery
FEATURE: Ringtones, 180 days battery life, Head to Toe View (4:3), Smart Detection and Notifications (motion, people, pets, cars, packages), Color Night Vision, Two-Way Audio, Quick Response, Video Call, Voice Control (Works with Google Assistant and Alexa), Local Storage through microSD Card (Up to 512 GB), Tapo App,  Weatherproof (IP64), Night Vision (Up to 7.5 m)</t>
  </si>
  <si>
    <t>Tapo D210</t>
  </si>
  <si>
    <t>Tapo S515D KIT</t>
  </si>
  <si>
    <t>Smart Wi-Fi Dimmer Switch, 3-Way Kit
SPEC: 2.4 GHz, 802.11b/g/n, bluetooth setup, 120 V~, 60 Hz, 300 W incandescent, 150 W LED, 3-Way Main + Satellite, neutral wire required, indoor use only
FEATURE: no hub required; brightness control; energy monitoring; Matter certified, works with Apple Home, Alexa, Google Assistant, and Samsung SmartThings; easy installation; remote control; schedule; timer; group control; night position light; set scenes; UL certified</t>
  </si>
  <si>
    <t>Tapo S505D</t>
  </si>
  <si>
    <t>Smart Wi-Fi Light Switch, Dimmer, Matter, 2-pack
SPEC: 2.4 GHz Wi-Fi, 802.11b/g/n,  Bluetooth 4.2(onboarding only), 100-120 VAC, 15 A max load, 600W incandescent, single pole, neutral wire required
FEATURE: Matter certified, Tapo Smart app, no hub required, works with Alexa, Google Assistant, and Samsung SmartThings, easy installation (no need to distinguish between Line and Load), brightness control, fade on/off, remote control, away mode, schedule, timer, group control, night position light, runtime tracking, set scenes, UL certified</t>
  </si>
  <si>
    <t>Tapo S505</t>
    <phoneticPr fontId="3" type="noConversion"/>
  </si>
  <si>
    <t>Smart Wi-Fi Light Switch, Matter
SPEC: 2.4 GHz Wi-Fi, 802.11b/g/n, Bluetooth 4.2(onboarding only), 100-120 VAC, 15 A max load, 600W incandescent, single pole, neutral wire required
FEATURE: Matter certified, Tapo Smart app, no hub required, works with Alexa, Google Assistant, and Samsung SmartThings, easy installation (no need to distinguish between Line and Load, neutral wire required), delay shut off, remote control, away mode, schedule, timer, group control, night position light, runtime tracking, set scenes, UL certified</t>
  </si>
  <si>
    <t>Tapo S200D</t>
  </si>
  <si>
    <t>Smart Button
SPEC: 922 MHz, battery powered(1*CR2032), 86mm x 86mm wall mount plate
Feature: Tapo smart app, Tapo smart hub required, smart action, multiple ways to control(click, double click, rotate), multiple ways of installation(paste, magnetic, screw), battery included, 3M bonding tape and mounting template included, ETL certified</t>
  </si>
  <si>
    <t>Tapo S112</t>
  </si>
  <si>
    <t>Smart Switch Module
SPEC: 802.11b/g/n, 2.4GHz Wi-Fi, Bluetooth; 100-250V~, 50/60Hz, 6A Resistive, 1.5A Motor, 150W LED; 24-30V 6A; 30-48V 1.5A; 48-60V 1A; 44.7*40.7*16.1mm; Neutral wire required.
FEATURE: Roller Shutter Control(Interlock mode), Control 2 devices seperately(switch mode); Matter certified; works with Apple Home, Alexa, Google Assistant, and Samsung SmartThings; Energy Monitoring(NOT applicable with DC input); Zero-crossing protection; Bluetooth Direct Control; TSS(TP-Link Simple Setup); Voice Control; Remote Control; Schedule; Timer.</t>
  </si>
  <si>
    <t>Tapo H500</t>
  </si>
  <si>
    <t>Smart HomeBase
SPEC: 2.4/5GHz, 922 MHz, 1 × Ethernet Port, 1 x HDMI Port, 1 x Type-C Port, 1 x USB 2.0 Port
FEATURE: 110 dB Adjustable Audio Alarm, Up to 64 Switches, Sensors or Buttons + 16 Cameras or Doorbells, Built-in 16 GB eMMC, Expandable Up to 16TB via  HDD/SSD Drive, Local Video Storage, Enhanced AI (Facial Recognition &amp;Person/Vehicle/Pet/Package Detection), HDMI Video Output, Video Backup Via USB,  Easy Setup, Device Sharing, Matter Controller, Tapo App</t>
  </si>
  <si>
    <t>Smart Hub 
SPEC: 2.4 GHz, 922 MHz, 1 × Ethernet Port
FEATURE: 90dB Adjustable Audio Alarm, 19 Ringtones, Up to 64 Switches, Sensors or Buttons + 4 Cameras or Doorbells, Mute Button, Easy Setup, Device Sharing, Flame-Retardant, Local Storage through microSD Card (Up to 512 GB), Tapo App</t>
  </si>
  <si>
    <t>Tapo H110</t>
    <phoneticPr fontId="3" type="noConversion"/>
  </si>
  <si>
    <t>Smart Iot &amp; IR Hub
SPEC: 2.4 GHz, 922MHz, Bluetooth(setup only), USB-C powered(5V2A)
FEATURE: universal infrared control(supports 18 types, 8000+ brands of home appliances), Matter Bridge, Works with Alexa, Works with Google Home, Works with Apple Home(ongoing, not finished yet), Works with SmartThings, Works with IFTTT, Local Smart, Voice Control, Location Control(geo fencing), Schedule and Timer, 93dB Adjustable Audio Alarm, 18 Ringtones, Up to 64 Appliances, Switches, Sensors or Buttons, Bluetooth Easy Setup, TP-Link Simple Setup, Device Sharing</t>
  </si>
  <si>
    <t>Tapo H100</t>
    <phoneticPr fontId="3" type="noConversion"/>
  </si>
  <si>
    <t>Smart IoT Hub with Chime
SPEC: 2.4 GHz, 922 MHz, 100-240 V~, 50/60 Hz, Plug-in
FEATURE: 90dB Adjustable Audio Alarm, 19 Ringtones, Up to 64 Switches, Sensors or Buttons, Mute Button, Easy Setup, Device Sharing, Flame-Retardant, Tapo App</t>
  </si>
  <si>
    <t>TC43</t>
    <phoneticPr fontId="3" type="noConversion"/>
  </si>
  <si>
    <t>Outdoor Pan/Tilt Security Wi-Fi Camera
SPEC: 3K 5MP (2880x1620), 2.4 GHz, 2 × External Antennas, 1 × Ethernet Port, Horizontal 360º
FEATURE: Pan/Tilt, Starlight Color Night Vision, Smart AI Detection and Notifications (motion, people, pets, cars), Sound and Light Alarm, Remote Control, Two-Way Audio, Voice Control (Works with Google Assistant and Alexa), Local Storage through microSD Card (Up to 512 GB), Tapo App, Weatherproof (IP66), Night Vision (Up to 30 m), Frustration-Free Setup (FFS)</t>
  </si>
  <si>
    <t>TC42</t>
    <phoneticPr fontId="3" type="noConversion"/>
  </si>
  <si>
    <t>Outdoor Pan/Tilt Security Wi-Fi Camera
SPEC: 2K QHD (2560x1440), 2.4 GHz, 2 × External Antennas, 1 × Ethernet Port, Horizontal 360º
FEATURE: Pan/Tilt, Starlight Color Night Vision, Smart AI Detection and Notifications (motion, people, pets, cars), Sound and Light Alarm, Remote Control, Two-Way Audio, Voice Control (Works with Google Assistant and Alexa), Local Storage through microSD Card (Up to 512 GB), Tapo App, Weatherproof (IP66), Night Vision (Up to 30 m)</t>
  </si>
  <si>
    <t>TC41</t>
    <phoneticPr fontId="4" type="noConversion"/>
  </si>
  <si>
    <t>Outdoor Pan/Tilt Security Wi-Fi Camera
SPEC: 2K (2304x1296), 2.4 GHz, Horizontal 360º
FEATURE: Pan/Tilt, Color Night Vision, Smart Detection and Notifications (motion, people), Sound and Light Alarm, Remote Control, Two-Way Audio, Voice Control (Works with Google Assistant and Alexa), Local Storage through microSD Card (Up to 512 GB), Tapo App, Weatherproof (IP65), Night Vision (Up to 30 m)</t>
  </si>
  <si>
    <t>TC40</t>
    <phoneticPr fontId="4" type="noConversion"/>
  </si>
  <si>
    <t>Outdoor Pan/Tilt Security Wi-Fi Camera
SPEC: 1080p (1920*1080), 2.4 GHz, Horizontal 360º
FEATURE: Pan/Tilt, Smart Detection and Notifications (motion, people), Sound Alarm, Remote Control, Two-Way Audio, Voice Control (Works with Google Assistant and Alexa), Local Storage through microSD Card (Up to 512 GB), Tapo App, Weatherproof (IP65), Night Vision (Up to 30 m)</t>
  </si>
  <si>
    <t>TC85 KIT</t>
    <phoneticPr fontId="3" type="noConversion"/>
  </si>
  <si>
    <t>Solar-Powered Security Camera Kit
1 × Tapo C425, 1 × Tapo A201
SPEC:2K QHD (2560x1440), 2.4 GHz, 10000mAh rechargeable lithium-ion battery, Solar panel (5.2V, 2.5W)
FEATURE: Non-Stop Power, Flexible Solar Installation, Smart Detection and Notifications (motion, people, pets, cars), Color Night Vision, Sound and Light Alarm, Remote Control, Two-Way Audio, Voice Control (Works with Google Assistant and Alexa), Local Storage through microSD Card (Up to 512 GB), Tapo App, Weatherproof, Night Vision (Up to 15 m)</t>
  </si>
  <si>
    <t>TC85</t>
    <phoneticPr fontId="3" type="noConversion"/>
  </si>
  <si>
    <t>Smart Wire-Free Security Camera
SPEC:2K QHD (2560x1440), 2.4 GHz, 10000mAh rechargeable lithium-ion battery
FEATURE: 300 days battery life, Smart Detection and Notifications (motion, people, pets, cars), Color Night Vision, Sound and Light Alarm, Remote Control, Two-Way Audio, Magnetic Base, Voice Control (Works with Google Assistant and Alexa), Local Storage through microSD Card (Up to 512 GB), Tapo App, Weatherproof (IP66), Night Vision (Up to 15 m)</t>
  </si>
  <si>
    <t>TC82 KIT</t>
    <phoneticPr fontId="4" type="noConversion"/>
  </si>
  <si>
    <t>Solar-Powered Security Camera Kit
1 × TC82, 1 × Tapo A201
SPEC: 2K (2304x1296), 2.4 GHz, Solar panel (5.2V, 2.5W)
FEATURE: Non-Stop Power, Flexible Solar Installation, Smart Detection and Notifications (motion, people), Color Night Vision, Sound and Light Alarm, Remote Control, Two-Way Audio, Voice Control (Works with Google Assistant and Alexa), Local Storage through microSD Card (Up to 512 GB), Tapo App, Weatherproof (IP65), Night Vision (Up to 9 m)</t>
  </si>
  <si>
    <t>TC82</t>
    <phoneticPr fontId="4" type="noConversion"/>
  </si>
  <si>
    <t>Smart Wire-Free Indoor/Outdoor Security Camera
SPEC: 2K (2304x1296), 2.4 GHz, 6400mAh rechargeable lithium-ion battery
FEATURE: 180 days battery life, Smart Detection and Notifications (motion, people), Color Night Vision, Sound and Light Alarm, Remote Control, Two-Way Audio, Voice Control (Works with Google Assistant and Alexa), Local Storage through microSD Card (Up to 512 GB), Tapo App, Weatherproof (IP65), Night Vision (Up to 9 m)</t>
  </si>
  <si>
    <t>TC74</t>
    <phoneticPr fontId="4" type="noConversion"/>
  </si>
  <si>
    <t>Pan/Tilt AI Home Security Wi-Fi Camera
SPEC: 3K 5MP (2880×1620), 2.4 GHz, Horizontal 360º 
FEATURE: Pan/Tilt, Smart AI Detection and Notifications (motion, people, pets, cars, baby crying, abnormal sound), AI Smart Tracking, Sound and Light Alarm, Remote Control, Two-Way Audio, Voice Control (Works with Google Assistant and Alexa), Local Storage through microSD Card (Up to 512 GB), Tapo App, Night Vision (Up to 12 m), Frustration-Free Setup (FFS)</t>
  </si>
  <si>
    <t>TC72</t>
    <phoneticPr fontId="4" type="noConversion"/>
  </si>
  <si>
    <t>Pan/Tilt AI Home Security Wi-Fi Camera
SPEC:2K QHD (2560x1440), 2.4 GHz, Horizontal 360º 
FEATURE: Pan/Tilt, Smart AI Detection and Notifications (motion, people, pets, cars, baby crying, abnormal sound),  Motion Tracking, Sound and Light Alarm, Remote Control, Two-Way Audio, Voice Control (Works with Google Assistant and Alexa), Local Storage through microSD Card (Up to 512 GB), Tapo App, Night Vision (Up to 9 m), Frustration-Free Setup (FFS)</t>
  </si>
  <si>
    <t>TC71</t>
    <phoneticPr fontId="4" type="noConversion"/>
  </si>
  <si>
    <t>Pan/Tilt Home Security Wi-Fi Camera
SPEC:2K (2304x1296), 2.4 GHz, Horizontal 360º
FEATURE: Pan/Tilt, Smart Detection and Notifications (motion, people, baby crying), Motion Tracking, Sound and Light Alarm, Remote Control, Two-Way Audio, Voice Control (Works with Google Assistant and Alexa), Local Storage through microSD Card (Up to 512 GB), Tapo App, Night Vision (Up to 9 m)</t>
  </si>
  <si>
    <t>TC70</t>
    <phoneticPr fontId="4" type="noConversion"/>
  </si>
  <si>
    <t>Pan/Tilt Home Security Wi-Fi Camera
SPEC: 1080p, 2.4 GHz, Horizontal 360º
FEATURE: Pan/Tilt, Smart Detection and Notifications (motion, people, baby crying), Motion Tracking, Sound and Light Alarm, Remote Control, Two-Way Audio, Voice Control (Works with Google Assistant and Alexa), Local Storage through microSD Card (Up to 512 GB), Tapo App, Night Vision (Up to 12 m), Frustration-Free Setup (FFS)</t>
  </si>
  <si>
    <t>TC60</t>
    <phoneticPr fontId="4" type="noConversion"/>
  </si>
  <si>
    <t>Home Security Wi-Fi Camera
SPEC: 1080p, 2.4 GHz
FEATURE: Smart Detection and Notifications (motion, people, baby crying), Sound and Light Alarm, Remote Control, Two-Way Audio, Voice Control (Works with Google Assistant and Alexa), Local Storage through microSD Card (Up to 512 GB), Tapo App, Night Vision (Up to 12 m), Frustration-Free Setup (FFS)</t>
  </si>
  <si>
    <t>Tapo C660 KIT</t>
    <phoneticPr fontId="3" type="noConversion"/>
  </si>
  <si>
    <t>Solar-Powered Pan/Tilt Security Camera Kit
SPEC:4K 8MP (3840×2160), 2.4 GHz/5 GHz, 10000mAh rechargeable lithium-ion battery,  Solar panel (5.2V, 2.5W)
FEATURE: Pan/Tilt,  Non-Stop Power, Smart Detection and Notifications (motion, people, pets, cars), AI Tracking, 24/7 Continuous Capture, Starlight Color Night Vision, Sound and Light Alarm, Remote Control, Two-Way Audio, Voice Control (Works with Google Assistant and Alexa), Local Storage through microSD Card (Up to 512 GB), Tapo App, Weatherproof (IP65), Night Vision (Up to 10m)</t>
  </si>
  <si>
    <t>Tapo C630 KIT</t>
  </si>
  <si>
    <t>Solar-Powered Pan/Tilt Security Camera Kit
SPEC:3K 5MP (2880×1620), 2.4 GHz, 6700mAh rechargeable lithium-ion battery,  Solar panel (5.2V, 2.5W)
FEATURE: Pan/Tilt,  Non-Stop Power, Smart Detection and Notifications (motion, people, pets, cars),AI Tracking, 24/7 Continuous Capture, Color Night Vision, Sound and Light Alarm, Remote Control, Two-Way Audio, Voice Control (Works with Google Assistant and Alexa), Local Storage through microSD Card (Up to 512 GB), Tapo App, Weatherproof (IP65), Night Vision (Up to 10m)</t>
  </si>
  <si>
    <t>Tapo C610 KIT</t>
  </si>
  <si>
    <t>Solar-Powered Pan/Tilt Security Camera Kit
SPEC:2K 3MP(2304×1296), 2.4 GHz, 6700mAh rechargeable lithium-ion battery,  Solar panel (5.2V, 2.5W) 
FEATURE: Pan/Tilt,  Non-Stop Power, Smart Detection and Notifications (motion, people), Color Night Vision, Sound and Light Alarm, Remote Control, Two-Way Audio, Voice Control (Works with Google Assistant and Alexa), Local Storage through microSD Card (Up to 512 GB), Tapo App, Weatherproof (IP65), Night Vision (Up to 10m)</t>
  </si>
  <si>
    <t>Tapo C615F KIT</t>
  </si>
  <si>
    <t>Solar-Powered Floodlight Pan/Tilt Security Camera Kit
SPEC:2K 3MP(2304×1296), 2.4 GHz, 10400mAh rechargeable lithium-ion battery,  Solar panel (5.2V, 2.5W) , 800lm Floodlight(4000K Color Temperature)
FEATURE: Pan/Tilt,  Non-Stop Power, Smart Detection and Notifications (motion, people, cars), AI Tracking, 24/7 Continuous Capture, Color Night Vision, Sound and Light Alarm, Remote Control, Two-Way Audio, Voice Control (Works with Google Assistant and Alexa), Local Storage through microSD Card (Up to 512 GB), Tapo App, Weatherproof (IP65), Night Vision (Up to 10m)</t>
  </si>
  <si>
    <t>Tapo C675D KIT</t>
  </si>
  <si>
    <t>Solar-Powered Dual-Lens Pan/Tilt Security Camera Kit
SPEC:4K(3840x2160) &amp; 4K(3840x2160), 2.4 G&amp;5GHz,10000mAh rechargeable lithium-ion battery,  Solar panel(5.2V, 4.5W) 
FEATURE: Dual Lens,Ultra-wide &amp; Telephoto &amp; Pan/Tilt, Non-Stop Power, Smart Detection and Notifications(motion, people, pets, cars), AI Tracking, Color Night Vision, Sound and Light Alarm, Red-Blue Light Alarm, Remote Control, Two-Way Audio, Voice Control (Works with Google Assistant and Alexa), Local Storage through microSD Card (Up to 512 GB), Tapo App, Night Vision (Up to 15 m)</t>
  </si>
  <si>
    <t>Tapo C645D KIT</t>
  </si>
  <si>
    <t>Solar-Powered Dual-Lens Pan/Tilt Security Camera Kit
SPEC:2K 3MP(2304×1296)&amp;2K 3MP(2304×1296), 2.4 G&amp;5GHz, 10000mAh rechargeable lithium-ion battery,  Solar panel(5.2V, 2.5W) 
FEATURE: Dual Lens, Ultra-wide &amp; Telephoto &amp; Pan/Tilt, Non-Stop Power, Smart Detection and Notifications(motion, people, pets, cars), AI Tracking, Color Night Vision, Sound and Light Alarm, Red-Blue Light Alarm, Remote Control, Two-Way Audio, Voice Control (Works with Google Assistant and Alexa), Local Storage through microSD Card (Up to 512 GB), Tapo App, Weatherproof (IP65), Night Vision (Up to 10m)</t>
  </si>
  <si>
    <t>Tapo C575D</t>
  </si>
  <si>
    <t>Outdoor Dual Lens Pan/Tilt Security Camera
SPEC:4K (3840×2160) &amp; 4K (3840×2160), 2.4GHz/5GHz, Bluetooth 5.0, 2 × External Antennas, 1 × Ethernet Port (PoE Supported), Horizontal 360º
FEATURE: Dual Lens, Pan/Tilt, Color Night Vision, Smart AI Detection and Notifications (motion, people, pets, cars ), Motion Tracking, Sound and Light Alarm, PoE/DC Power Supply, Remote Control, Two-Way Audio, Voice Control (Works with Google Assistant, Alexa, and Samsung SmartThings), Local Storage through microSD Card (Up to 512 GB), Tapo App, Weatherproof (IP66) ,Night Vision (Up to 30 m)</t>
  </si>
  <si>
    <t>Tapo C545D</t>
  </si>
  <si>
    <t>Outdoor Dual Lens Pan/Tilt Security Camera
SPEC:2K (2304x1296) &amp; 2K (2304x1296), 2.4 GHz, 2 × External Antennas,1 × Ethernet Port ,Horizontal 360º
FEATURE: Dual Lens , Pan/Tilt, Color Night Vision, Smart AI Detection and Notifications (motion, people, pets, cars ), Motion Tracking, Sound and Light Alarm, Remote Control, Two-Way Audio, Voice Control (Works with Google Assistant, Alexa, and Samsung SmartThings), Local Storage through microSD Card (Up to 512 GB), Tapo App, Weatherproof (IP66) ,Night Vision (Up to 30 m), Frustration-Free Setup (FFS)</t>
  </si>
  <si>
    <t>Tapo C560WS</t>
  </si>
  <si>
    <t>Outdoor Pan/Tilt Security Wi-Fi Camera
SPEC: 4K 8MP (3840×2160), 2.4G/5GHz, Bluetooth 5.0,1 × Ethernet Port, Horizontal 360º 
FEATURE: Face Recognition, Pan/Tilt, Starlight Color Night Vision, Smart AI Detection and Notifications (motion, people, pets, cars), AI Smart Tracking, Sound and Light Alarm, Remote Control, Two-Way Audio, Voice Control (Works with Google Assistant, Alexa and Samsung SmartThings), Local Storage through microSD Card (Up to 512 GB), Tapo App, Weatherproof (IP66), Night Vision (Up to 30 m), Frustration-Free Setup (FFS)</t>
  </si>
  <si>
    <t>Tapo C550WS</t>
  </si>
  <si>
    <t>Tapo C530WS</t>
    <phoneticPr fontId="3" type="noConversion"/>
  </si>
  <si>
    <t>Tapo C520WS</t>
    <phoneticPr fontId="3" type="noConversion"/>
  </si>
  <si>
    <t>Outdoor Pan/Tilt Security Wi-Fi Camera
SPEC: 2K QHD (2560x1440), 2.4 GHz, 2 × External Antennas, 1 × Ethernet Port, Horizontal 360º
FEATURE: Pan/Tilt, Starlight Color Night Vision, Smart AI Detection and Notifications (motion, people, pets, cars), Sound and Light Alarm, Remote Control, Two-Way Audio, Voice Control (Works with Google Assistant and Alexa), Local Storage through microSD Card (Up to 512 GB), Tapo App, Weatherproof (IP66), Night Vision (Up to 30 m), Frustration-Free Setup (FFS)</t>
  </si>
  <si>
    <t>Tapo C510W</t>
  </si>
  <si>
    <t>Outdoor Pan/Tilt Security Wi-Fi Camera
SPEC: 2K (2304x1296), 2.4 GHz, Horizontal 360º
FEATURE: Pan/Tilt, Color Night Vision, Smart Detection and Notifications (motion, people), Sound and Light Alarm, Remote Control, Two-Way Audio, Voice Control (Works with Google Assistant and Alexa), Local Storage through microSD Card (Up to 512 GB), Tapo App, Weatherproof (IP65), Night Vision (Up to 30 m), Frustration-Free Setup (FFS)</t>
  </si>
  <si>
    <t>Tapo C500</t>
    <phoneticPr fontId="3" type="noConversion"/>
  </si>
  <si>
    <t>Outdoor Pan/Tilt Security Wi-Fi Camera
SPEC: 1080p (1920*1080), 2.4 GHz, Horizontal 360º
FEATURE: Pan/Tilt, Smart Detection and Notifications (motion, people), Sound Alarm, Remote Control, Two-Way Audio, Voice Control (Works with Google Assistant and Alexa), Local Storage through microSD Card (Up to 512 GB), Tapo App, Weatherproof (IP65), Night Vision (Up to 30 m), Frustration-Free Setup (FFS)</t>
  </si>
  <si>
    <t>Tapo C460 KIT</t>
  </si>
  <si>
    <t>Solar-Powered Security Camera Kit
1 × Tapo C460, 1 × Tapo A201
SPEC: 4K UHD (3840x2160), H.265/H.264 Supported, 16x UHD Digital Zoom, 2.4/5 GHz Dual Band Wi-Fi, 10000mAh Rechargeable Lithium-ion Battery, Solar Panel (5.2V, 2.5W)
FEATURE: Non-Stop Power, Flexible Solar Installation, AI Detection and Notifications (motion, people, pets, cars), 24/7 Continuous Capture, Color Night Vision, Sound and Light Alarm, Remote Control, Two-Way Audio, Voice Control (Works with Google Assistant and Alexa), Local Storage through microSD Card (Up to 512 GB), Tapo App, Weatherproof, Night Vision (Up to 49 ft / 15 m), Type-C Charging Port, Powered by Solar Panel.</t>
  </si>
  <si>
    <t>Tapo C425 KIT</t>
    <phoneticPr fontId="3" type="noConversion"/>
  </si>
  <si>
    <t>Tapo C425</t>
    <phoneticPr fontId="3" type="noConversion"/>
  </si>
  <si>
    <t>Smart Wire-Free Security Camera
SPEC:2K QHD (2560x1440), 2.4 GHz, 10000mAh rechargeable lithium-ion battery
FEATURE: 365 days battery life, Smart Detection and Notifications (motion, people, pets, cars), Color Night Vision, Sound and Light Alarm, Remote Control, Two-Way Audio, Magnetic Base, Voice Control (Works with Google Assistant and Alexa), Local Storage through microSD Card (Up to 512 GB), Tapo App, Weatherproof (IP66), Night Vision (Up to 15 m)</t>
  </si>
  <si>
    <t>Tapo C420S2</t>
    <phoneticPr fontId="3" type="noConversion"/>
  </si>
  <si>
    <t>Smart Wire-Free Security Camera, 2 Camera System
2 × Tapo C420, 1 × Tapo H200
SPEC: 2K QHD (2560x1440), 2.4 GHz, 5200mAh detachable lithium-ion battery
FEATURE: 180 days battery life, Smart Detection and Notifications (motion, people, pets, cars), Color Night Vision, Sound and Light Alarm, Remote Control, Two-Way Audio, Voice Control (Works with Google Assistant and Alexa), Local Storage through microSD Card (Up to 512 GB), Tapo App, Weatherproof (IP65), Night Vision (Up to 15 m)</t>
  </si>
  <si>
    <t>Tapo C420S1</t>
    <phoneticPr fontId="3" type="noConversion"/>
  </si>
  <si>
    <t>Smart Wire-Free Security Camera, 1 Camera System
1 × Tapo C420, 1 × Tapo H200
SPEC: 2K QHD (2560x1440), 2.4 GHz, 5200mAh detachable lithium-ion battery
FEATURE: 180 days battery life, Smart Detection and Notifications (motion, people, pets, cars), Color Night Vision, Sound and Light Alarm, Remote Control, Two-Way Audio, Voice Control (Works with Google Assistant and Alexa), Local Storage through microSD Card (Up to 512 GB), Tapo App, Weatherproof (IP65), Night Vision (Up to 15 m)</t>
  </si>
  <si>
    <t>Tapo C420</t>
    <phoneticPr fontId="3" type="noConversion"/>
  </si>
  <si>
    <t>Smart Wire-Free Security Camera
SPEC: 2K QHD (2560x1440), 2.4 GHz, 5200mAh rechargeable lithium-ion battery
FEATURE: 365 days battery life, Smart Detection and Notifications (motion, people, pets, cars), Color Night Vision, Sound and Light Alarm, Remote Control, Two-Way Audio, Voice Control (Works with Google Assistant and Alexa), Local Storage through microSD Card (Up to 512 GB), Tapo App, Weatherproof (IP66), Night Vision (Up to 15 m)</t>
  </si>
  <si>
    <t>Tapo C410 KIT</t>
  </si>
  <si>
    <t>Solar-Powered Security Camera Kit
1 × Tapo C410, 1 × Tapo A201
SPEC: 2K (2304x1296), 2.4 GHz, Solar panel (5.2V, 2.5W)
FEATURE: Non-Stop Power, Flexible Solar Installation, Smart Detection and Notifications (motion, people), Color Night Vision, Sound and Light Alarm, Remote Control, Two-Way Audio, Voice Control (Works with Google Assistant and Alexa), Local Storage through microSD Card (Up to 512 GB), Tapo App, Weatherproof (IP65), Night Vision (Up to 9 m)</t>
  </si>
  <si>
    <t>Tapo C410</t>
    <phoneticPr fontId="4" type="noConversion"/>
  </si>
  <si>
    <t>Tapo C320WS</t>
    <phoneticPr fontId="3" type="noConversion"/>
  </si>
  <si>
    <t>Outdoor Security Wi-Fi Camera
SPEC: 2K QHD (2560x1440), 2.4 GHz, 2T2R, 2 × External Antennas, 1 × Ethernet Port
FEATURE: Smart AI Detection and Notifications (motion, people, cars), Color Night Vision, Sound and Light Alarm, Remote Control, Two-Way Audio, Voice Control (Works with Google Assistant and Alexa), Local Storage through microSD Card (Up to 512 GB), Tapo App, Weatherproof (IP66), Night Vision (Up to 30 m), Frustration-Free Setup (FFS)</t>
  </si>
  <si>
    <t>Tapo C310</t>
    <phoneticPr fontId="3" type="noConversion"/>
  </si>
  <si>
    <t>Outdoor Security Wi-Fi Camera
SPEC: 2K (2304x1296), 2.4 GHz, 2T2R, 2 × External Antennas, 1 × Ethernet Port
FEATURE: Smart AI Detection and Notifications (motion, people), Sound and Light Alarm, Remote Control, Two-Way Audio, Voice Control (Works with Google Assistant and Alexa), Local Storage through microSD Card (Up to 512 GB), Tapo App, Weatherproof (IP66), Night Vision (Up to 30 m), Frustration-Free Setup (FFS)</t>
  </si>
  <si>
    <t>Tapo C260</t>
    <phoneticPr fontId="4" type="noConversion"/>
  </si>
  <si>
    <t>Pan/Tilt AI Home Security Wi-Fi Camera
SPEC: 4K 8MP (3840×2160), 2.4G/5GHz, Horizontal 360º 
FEATURE: Face Recognition, Pan/Tilt, Smart AI Detection and Notifications (motion, people, pets, cars, baby crying, abnormal sound), AI Smart Tracking, Sound and Light Alarm, Remote Control, Two-Way Audio, Voice Control (Works with Google Assistant, Alexa and Samsung SmartThings), Local Storage through microSD Card (Up to 512 GB), Tapo App, Night Vision (Up to 12 m), Frustration-Free Setup (FFS)</t>
  </si>
  <si>
    <t>Tapo C250</t>
  </si>
  <si>
    <t>Pan/Tilt AI Home Security Wi-Fi Camera  
SPEC: 4K 8MP (3840×2160), 2.4 GHz, Horizontal 360º
FEATURE: Pan/Tilt, Smart AI Detection and Notifications (motion, people, pets, cars, baby crying, abnormal sound), AI Smart Tracking, Sound and Light Alarm, Remote Control, Two-Way Audio, Voice Control (Works with Google Assistant, Alexa, and Samsung SmartThings), Local Storage through microSD Card (Up to 512 GB), Tapo App, Night Vision (Up to 12 m), Frustration-Free Setup (FFS)</t>
  </si>
  <si>
    <t>Tapo C246D</t>
    <phoneticPr fontId="4" type="noConversion"/>
  </si>
  <si>
    <t>Indoor/Outdoor Dual Lens Pan/Tilt Security Camera
SPEC:2K (2304x1296) &amp; 2K (2304x1296), 2.4 GHz, Horizontal 360º
FEATURE: Dual Lens, Pan/Tilt, Smart AI Detection and Notifications (motion, people, pets, cars), Motion Tracking, Sound and Light Alarm, Remote Control, Two-Way Audio, Voice Control (Works with Google Assistant, Alexa, and Samsung SmartThings), Local Storage through microSD Card (Up to 512 GB), Tapo App, Weatherproof (IP65), Night Vision (Up to 30 m), Frustration-Free Setup (FFS)</t>
  </si>
  <si>
    <t>Tapo C245D</t>
  </si>
  <si>
    <t>Dual Lens Pan/Tilt Security Camera
SPEC: 2K (2304x1296) &amp; 2K (2304x1296), 2.4 GHz, Horizontal 360º
FEATURE: Dual Lens, Pan/Tilt, Smart AI Detection and Notifications (motion, people, pets, cars, baby crying, abnormal sound), AI Smart Tracking, Sound and Light Alarm, Remote Control, Two-Way Audio, Voice Control (Works with Google Assistant, Alexa, and Samsung SmartThings), Local Storage through microSD Card (Up to 512 GB), Tapo App, Night Vision (Up to 12 m), Frustration-Free Setup (FFS)</t>
  </si>
  <si>
    <t>Tapo C232</t>
  </si>
  <si>
    <t>Tapo C225</t>
    <phoneticPr fontId="3" type="noConversion"/>
  </si>
  <si>
    <t>Pan/Tilt AI Home Security Wi-Fi Camera
SPEC: 2K QHD (2560x1440), 2.4 GHz, Horizontal 360º 
FEATURE: Pan/Tilt, Smart AI Detection and Notifications (motion, people, pets, cars, baby crying, abnormal sound), Physical Privacy Mode, Smart Motion Tracking, Customizable Night Vision (940nm &amp; 850nm), Sound and Light Alarm, Remote Control, Two-Way Audio, Voice Control (Works with Apple HomeKit, Google Assistant and Alexa), Local Storage through microSD Card (Up to 512 GB), Tapo App, Frustration-Free Setup (FFS)</t>
  </si>
  <si>
    <t>Tapo C222</t>
  </si>
  <si>
    <t>Pan/Tilt AI Home Security Wi-Fi Camera
SPEC: 2K QHD (2560x1440), 2.4 GHz, Horizontal 360º, 1 × Ethernet Port
FEATURE: Pan/Tilt, Smart AI Detection and Notifications (motion, people, pets, cars, baby crying, abnormal sound), Motion Tracking, Sound and Light Alarm, Remote Control, Two-Way Audio, Voice Control (Works with Google Assistant and Alexa), Local Storage through microSD Card (Up to 512 GB), Tapo App, Night Vision (Up to 12 m), Frustration-Free Setup (FFS)</t>
  </si>
  <si>
    <t>Tapo C220</t>
    <phoneticPr fontId="4" type="noConversion"/>
  </si>
  <si>
    <t>Tapo C210P2</t>
    <phoneticPr fontId="3" type="noConversion"/>
  </si>
  <si>
    <t>Pan/Tilt Home Security Wi-Fi Camera, 2-pack
SPEC: 2K (2304x1296), 2.4 GHz, Horizontal 360º 
FEATURE: Pan/Tilt, Smart Detection and Notifications (motion, people, baby crying), Sound and Light Alarm, Remote Control, Two-Way Audio, Voice Control (Works with Google Assistant and Alexa), Local Storage through microSD Card (Up to 512 GB), Tapo App, Night Vision (Up to 9 m), Frustration-Free Setup (FFS)</t>
  </si>
  <si>
    <t>Tapo C216</t>
  </si>
  <si>
    <t>Indoor/Outdoor Pan/Tilt Security Wi-Fi Camera
SPEC:2K (2304x1296), 2.4 GHz, Horizontal 360º
FEATURE: Pan/Tilt, Smart Detection and Notifications (motion, people, baby crying), Motion Tracking, Sound and Light Alarm, Remote Control, Two-Way Audio, Voice Control (Works with Google Assistant, Alexa, and Samsung SmartThings), Local Storage through microSD Card (Up to 512 GB), Tapo App, Weatherproof (IP65), Night Vision (Up to 12 m), Frustration-Free Setup (FFS)</t>
  </si>
  <si>
    <t>Tapo C212</t>
    <phoneticPr fontId="3" type="noConversion"/>
  </si>
  <si>
    <t>Pan/Tilt Home Security Wi-Fi Camera
SPEC:2K (2304x1296), 2.4 GHz, Horizontal 360º, 1 × Ethernet Port
FEATURE: Pan/Tilt, Smart Detection and Notifications (motion, people, baby crying), Motion Tracking, Sound and Light Alarm, Remote Control, Two-Way Audio, Voice Control (Works with Google Assistant and Alexa), Local Storage through microSD Card (Up to 512 GB), Tapo App, Night Vision (Up to 9 m), Frustration-Free Setup (FFS)</t>
  </si>
  <si>
    <t>Pan/Tilt Home Security Wi-Fi Camera
SPEC:2K (2304x1296), 2.4 GHz, Horizontal 360º 
FEATURE: Pan/Tilt, Smart Detection and Notifications (motion, people, baby crying), Motion Tracking, Sound and Light Alarm, Remote Control, Two-Way Audio, Voice Control (Works with Google Assistant and Alexa), Local Storage through microSD Card (Up to 512 GB), Tapo App, Night Vision (Up to 9 m), Frustration-Free Setup (FFS)</t>
  </si>
  <si>
    <t>Tapo C200P2</t>
    <phoneticPr fontId="3" type="noConversion"/>
  </si>
  <si>
    <t>Pan/Tilt Home Security Wi-Fi Camera, 2-pack
SPEC: 1080p, 2.4 GHz, Horizontal 360º
FEATURE: Pan/Tilt, Smart Detection and Notifications (motion, people, baby crying), Motion Tracking, Sound and Light Alarm, Remote Control, Two-Way Audio, Voice Control (Works with Google Assistant and Alexa), Local Storage through microSD Card (Up to 512 GB), Tapo App, Night Vision (Up to 12 m)</t>
  </si>
  <si>
    <t>Tapo C202</t>
    <phoneticPr fontId="3" type="noConversion"/>
  </si>
  <si>
    <t>Pan/Tilt Home Security Wi-Fi Camera
SPEC: 1080p, 2.4 GHz, Horizontal 360º, 1 × Ethernet Port
FEATURE: Pan/Tilt, Smart Detection and Notifications (motion, people, baby crying), Motion Tracking, Sound and Light Alarm, Remote Control, Two-Way Audio, Voice Control (Works with Google Assistant and Alexa), Local Storage through microSD Card (Up to 512 GB), Tapo App, Night Vision (Up to 9 m), Frustration-Free Setup (FFS)</t>
  </si>
  <si>
    <t>Pan/Tilt Home Security Wi-Fi Camera
SPEC: 1080p, 2.4 GHz, Horizontal 360º
FEATURE: Pan/Tilt, Smart Detection and Notifications (motion, people, baby crying), Motion Tracking, Sound and Light Alarm, Remote Control, Two-Way Audio, Voice Control (Works with Google Assistant and Alexa), Local Storage through microSD Card (Up to 512 GB), Tapo App, Night Vision (Up to 12 m)</t>
  </si>
  <si>
    <t>Indoor/Outdoor Home Security Wi-Fi Camera
SPEC: 2K QHD (2560x1440), 2.4 GHz
FEATURE: Smart AI Detection and Notifications (motion, people, pets, cars, baby crying, abnormal sound), Superior Starlight Color Night Vision, Customizable Night Vision (940nm &amp; 850nm), Weatherproof (IP66), Sound and Light Alarm, Remote Control, Two-Way Audio, Magnetic Base, Voice Control (Works with Google Assistant and Alexa), Local Storage through microSD Card (Up to 512 GB), Tapo App, Night Vision (Up to 9 m), Frustration-Free Setup (FFS)</t>
  </si>
  <si>
    <t>Tapo C113</t>
  </si>
  <si>
    <t>Indoor/Outdoor Home Security Wi-Fi Camera
SPEC: 2K (2304x1296), 2.4 GHz
FEATURE: Smart Detection and Notifications (motion, people, baby crying), Sound and Light Alarm, Remote Control, Two-Way Audio, Voice Control (Works with Google Assistant, Alexa, and Samsung SmartThings), Local Storage through microSD Card (Up to 512 GB), Tapo App, Weatherproof (IP65), Night Vision (Up to 12 m), Frustration-Free Setup (FFS)</t>
  </si>
  <si>
    <t>Tapo C111</t>
  </si>
  <si>
    <t>Home Security Wi-Fi Camera
SPEC: 2K (2304x1296), 2.4 GHz
FEATURE: Smart Detection and Notifications (motion, people, baby crying), Sound and Light Alarm, Remote Control, Two-Way Audio, Voice Control (Works with Google Assistant and Alexa), Local Storage through microSD Card (Up to 512 GB), Tapo App, Night Vision (Up to 12 m), Frustration-Free Setup (FFS)</t>
  </si>
  <si>
    <t>Tapo C110</t>
    <phoneticPr fontId="4" type="noConversion"/>
  </si>
  <si>
    <t>Tapo C101</t>
  </si>
  <si>
    <t>Home Security Wi-Fi Camera
SPEC: 1080p, 2.4 GHz
FEATURE: Smart Detection and Notifications (motion, people, baby crying), Sound and Light Alarm, Remote Control, Two-Way Audio, Voice Control (Works with Google Assistant and Alexa), Local Storage through microSD Card (Up to 512 GB), Tapo App, Night Vision (Up to 12 m)</t>
  </si>
  <si>
    <t>Tapo C100</t>
    <phoneticPr fontId="4" type="noConversion"/>
  </si>
  <si>
    <t>Tapo A202</t>
  </si>
  <si>
    <t>Tapo Solar Panel
SPEC: 5.2V 4.5W
FEATURE: Type-C Charging Port, Non-Stop Power, Works with Tapo Battery Camera, 4m Charging Cable(Total), Weatherproof (IP65)</t>
  </si>
  <si>
    <t>Tapo Solar Panel
SPEC: 5.2V 2.5W
FEATURE: Type-C Charging Port, Non-Stop Power,  Flexible Solar Installation, Works with Tapo Battery Camera, 4m Charging Cable(Total), Weatherproof (IP65)</t>
  </si>
  <si>
    <t>Tapo A100</t>
    <phoneticPr fontId="4" type="noConversion"/>
  </si>
  <si>
    <t>Tapo Battery Pack
SPEC: 3.6V 6700mAh 24.12Wh, 1 × Micro USB Port
FEATURE: Rechargeable Battery, Works with Tapo Battery Camera &amp; Doorbell, Short-circuit Protection, Over-voltage Protection, Over-current Protection, Over-charging Protection, Over-discharging Protection, Over-heating Protection, No memory effect</t>
  </si>
  <si>
    <t>Tapo RV50 Pro Omni</t>
  </si>
  <si>
    <t>Robot Vacuum &amp; Mop + All-in-One Dock
SPEC: dToF LiDAR + Front Laser + Side Laser, 15000Pa Vacuum Suction, Extendable Robotic Arm Mop, Automatic Mop Lifting, Auto Mop Removal, Anti-Tangle Main Brush/Side Brush, Ultrasonic Carpet Recognition, 280ml Dustbin, 95ml Built-in Water Tank, 5200mAh Battery;  Automatic Cleaning Mop, Hot Water Mop Washing, Hot Air Drying,  Automatic Cleaning Solution Dispensing, Deodorizing and Antibacterial Module, Fouling Detection, Automatic Dust Collection( 3L, 60days), 5L Clean Water Tank, 4L Sewage Tank, 220-240V
FEATURE: dToF LiDAR and IMU Dual Navi System, Structured Light Obstacle Avoidance, Extendable Robotic Arm Mop, Automatic 12mm  Mop Lifting, Auto Mop Removal, 15000Pa Vacuum Suction, Multiple Anti-Tangle Effects, All-in-One Dock(Hot Water Mop Washing, Hot Air Drying, Automatic Dust Collection, Auto Detergent Dispensing, Fouling detection, Deodorizing module), Intelligent Hosting Mode, Pet Mode, Tapo APP, Customized Alexa and Google Assistant Voice Control, Matter and Apple Home Support</t>
  </si>
  <si>
    <t>Tapo RV30 Max Plus</t>
    <phoneticPr fontId="4" type="noConversion"/>
  </si>
  <si>
    <t>Robot Vacuum Cleaner &amp; Auto-Empty Dock
SPEC: LiDAR + IMU Dual Navigation, Vacuum &amp; Mop 2-in-1, 5300Pa, 3L/3.17qt Auto-Empty Dock(17000Pa, 95%+ Dust Removal Rate), 2600mAh Battery, 250ml/8.45oz Dustbin, 300ml/10.15oz Water Tank
FEATURE: LiDAR and IMU Dual Navi System, 5300Pa, 5-Level Suction, 3-Level Water Flow, Smart Dust Collection, 2 months without Emptying, 3 +1 Local Maps, 22mm Barrier-Cross Height, Top Anti-blocking Sensor, Anti-Drop Protection, HEPA Filter, Carpet Model, Custom Cleaning, Scheduled Cleaning, Spot Cleaning, Virtual Walls, No-Go Zones, Customized Alexa and Google Assistant Voice Control, Tapo APP</t>
  </si>
  <si>
    <t>Tapo RV30 Max</t>
    <phoneticPr fontId="4" type="noConversion"/>
  </si>
  <si>
    <t>Robot Vacuum Cleaner
SPEC: LiDAR + IMU Dual Navigation, Vacuum &amp; Mop 2-in-1, 5300Pa, 2600mAh Battery, 250ml Dustbin, 300ml Water Tank
FEATURE: LiDAR and IMU Dual Navi System, 5300Pa, 5-Level Suction, 3-Level Water Flow, 3+1 Local Maps, 22mm Barrier-Cross Height, Top Anti-blocking Sensor, Anti-Drop Protection, HEPA Filter, Carpet Model, Custom Cleaning, Scheduled Cleaning, Spot Cleaning, Virtual Walls, No-Go Zones, Customized Alexa and Google Assistant Voice Control, Tapo APP</t>
  </si>
  <si>
    <t>Tapo RV20 Max Plus</t>
    <phoneticPr fontId="4" type="noConversion"/>
  </si>
  <si>
    <t>Robot Vacuum Cleaner &amp; Auto-Empty Dock
SPEC: MagSlim LiDAR + IMU Dual Navigation, Vacuum &amp; Mop 2-in-1, 5300Pa, 3L/3.17qt Auto-Empty Dock(17000Pa, 95%+ Dust Removal Rate), 3hrs Battery Life(2600mAh), 250ml/8.45oz Dustbin, 300ml/10.15oz Water Tank, 8.3cm/2.37in Ultra-thin
FEATURE: MagSlim LiDAR and IMU Dual Navi System, 5300Pa, 5-Level Suction, 3-Level Water Flow, Smart Dust Collection, 2 months without Emptying, 3+1 Local Maps, 22mm Barrier-Cross Height , Anti-Drop Protection, HEPA Filter, Carpet Model, Custom Cleaning, Scheduled Cleaning, Spot Cleaning, Virtual Walls, No-Go Zones, Customized Alexa and Google Assistant Voice Control, Tapo APP</t>
  </si>
  <si>
    <t>Tapo RV20 Max</t>
    <phoneticPr fontId="4" type="noConversion"/>
  </si>
  <si>
    <t>Robot Vacuum Cleaner
SPEC: MagSlim LiDAR + IMU Dual Navigation, Vacuum &amp; Mop 2-in-1, 5300Pa, 3hrs Battery Life(2600mAh), 250ml Dustbin, 300ml Water Tank, 8.3cm Ultra-thin
FEATURE: MagSlim LiDAR and IMU Dual Navi System, 5300Pa ,5-Level Suction, 3-Level Water Flow, 3+1 Local Maps, 22mm Barrier-Cross Height , Anti-Drop Protection, HEPA Filter, Carpet Model, Custom Cleaning, Scheduled Cleaning, Spot Cleaning, Virtual Walls, No-Go Zones, Customized Alexa and Google Assistant Voice Control, Tapo APP</t>
  </si>
  <si>
    <t>Tapo RVA301</t>
    <phoneticPr fontId="4" type="noConversion"/>
  </si>
  <si>
    <t>Tapo Robot Vacuum Washable Mop Cloth
SPEC: Washable Mop Cloth ×5
Suitable for Tapo RV30 Max Plus, Tapo RV30 Max, Tapo RV20 Max Plus, Tapo RV20 Max</t>
  </si>
  <si>
    <t>Tapo Robot Vacuum Disposable Dust Bag
SPEC: 3L Disposable Dust Bag  ×5
Suitable for Tapo RV30 Max Plus, Tapo RV20 Max Plus</t>
  </si>
  <si>
    <t>Tapo Robot Vacuum Replacement Kit
SPEC: Main Brush  ×1, Side Brush  ×2, HEPA Filter ×2
Suitable for Tapo RV30 Max Plus, Tapo RV30 Max, Tapo RV20 Max Plus, Tapo RV20 Max</t>
  </si>
  <si>
    <t>Halo H50G(3-pack)</t>
  </si>
  <si>
    <t>AC1900 Whole Home Mesh Wi-Fi System
SPEED: 600 Mbps at 2.4 GHz + 1300 Mbps at 5 GHz
SPEC: 3× Internal Antennas, 3× Gigabit Ports per Unit (WAN/LAN auto-sensing)
FEATURE: MERCUSYS APP, Router/AP Mode, One Unified Network, Seamless Roaming, Easy Expansion, Parental Controls, QoS, IPTV, IPv6, MU-MIMO, Beamforming, Smart Connect, TR-069, ISP Preset (Agile Config), Aginet ACS</t>
  </si>
  <si>
    <t>Halo H50G(2-pack)</t>
  </si>
  <si>
    <t>Halo H30G(3-pack)</t>
  </si>
  <si>
    <t>AC1300 Whole Home Mesh Wi-Fi System
SPEED: 400 Mbps at 2.4 GHz + 867 Mbps at 5 GHz
SPEC: 2× Internal Antennas, 2× Gigabit Ports per Unit (WAN/LAN auto-sensing)
FEATURE: MERCUSYS APP, Router/AP Mode, One Unified Network, Seamless Roaming, Easy Expansion, Parental Controls, QoS, IPTV, IPv6, MU-MIMO, Beamforming, Smart Connect, TR-069, ISP Preset (Agile Config), Aginet ACS</t>
  </si>
  <si>
    <t>Halo H30G(2-pack)</t>
  </si>
  <si>
    <t>Halo S12(3-pack)</t>
    <phoneticPr fontId="4" type="noConversion"/>
  </si>
  <si>
    <t>Sistema Wi-Fi Mesh para todo el hogar de 1200Mbps, 300Mbps a 2.4GHz y 867Mbps a 5G, 2 puertos de 10 / 100Mbps, 2 antenas internas, una red unificada, roaming continuo, se conecta a más de 40 dispositivos, Easy Pair, controles parentales, IPv6</t>
  </si>
  <si>
    <t>Halo S12(2-pack)</t>
    <phoneticPr fontId="4" type="noConversion"/>
  </si>
  <si>
    <t>MR47BE</t>
  </si>
  <si>
    <t>BE9300 Tri-Band Wi-Fi 7 Router
SPEED: 574 Mbps at 2.4 GHz + 2880 Mbps at 5 GHz + 5760 Mbps at 6 GHz
SPEC: 6× External Antennas, 1× 2.5 Gbps WAN port + 3× 2.5 Gbps LAN ports, MLO, 4096-QAM, OFDMA, HE160 on 5GHz, HE320 on 6GHz
FEATURE: MERCUSYS App, Router/Access Point Mode, WPS/Reset Button, IPTV, IPv6, Smart Connect, Airtime Fairness, Beamforming, MU-MIMO, Parental Controls, Guest Network, VPN Server, VPN Client, DFS, WPA3, Easymesh, Superadmin, IoT Network, TR-069, Aginet ACS, ISP Preset (Agile Config)</t>
  </si>
  <si>
    <t>MR85X</t>
    <phoneticPr fontId="3" type="noConversion"/>
  </si>
  <si>
    <t>AX3000 Dual-Band Wi-Fi 6 Router
SPEED: 574 Mbps at 2.4 GHz + 2402 Mbps at 5 GHz 
SPEC:  4× Fixed External Antennas, 3× Gigabit LAN Ports, 1× 2.5Gbps WAN Port, 1024-QAM, OFDMA, HE160
FEATURE: MERCUSYS APP, Router/Access Point Mode, WPS Button, Reset Button, IPTV, IPv6, Smart Connect, Beamforming, MU-MIMO, Parental Controls, Guest Network, VPN Server, VPN Client, DFS, WPA3, BSS Color, TWT, TR-069, ISP Preset (Agile Config), Superadmin, Easymesh</t>
  </si>
  <si>
    <t>MR80X</t>
    <phoneticPr fontId="3" type="noConversion"/>
  </si>
  <si>
    <t>AX3000 Dual-Band Wi-Fi 6 Router
SPEED: 574 Mbps at 2.4 GHz + 2402 Mbps at 5 GHz 
SPEC:  4× Fixed External Antennas, 3× Gigabit LAN Ports, 1× Gigabit WAN Port, 1024-QAM, OFDMA, HE160
FEATURE: MERCUSYS APP, Router/Access Point Mode, WPS/Reset Button, IPTV, IPv6, Smart Connect, Beamforming, Parental Controls, Guest Network, VPN Server, VPN Client, DFS, WPA3, BSS Color, TWT, TR-069, ISP Preset (Agile Config), Superadmin, Easymesh</t>
  </si>
  <si>
    <t>AX1800 Dual-Band Wi-Fi 6 Router
SPEED: 574 Mbps at 2.4 GHz + 1201 Mbps at 5 GHz
SPEC: 4× Fixed External Antennas, 3× Gigabit LAN Ports, 1× Gigabit WAN Port, 1024-QAM, OFDMA
FEATURE: MERCUSYS APP, Router/Access Point Mode, WPS/Reset Button, IPTV, IPv6, Smart Connect, Beamforming, Parental Controls, Guest Network, VPN Server, WPA3, BSS Color, TWT, TR-069, ISP Preset (Agile Config), Aginet ACS, Superadmin, EasyMesh</t>
  </si>
  <si>
    <t>MR69X-HP</t>
  </si>
  <si>
    <t>MR62X</t>
    <phoneticPr fontId="0" type="noConversion"/>
  </si>
  <si>
    <t>AX1500 Dual-Band Wi-Fi 6 Router
SPEED: 300 Mbps at 2.4 GHz + 1201 Mbps at 5 GHz
SPEC: 4× Fixed External Antennas, 2× Gigabit LAN Ports, 1× Gigabit WAN Port, 1024-QAM, OFDMA
FEATURE: MERCUSYS APP, Router/Access Point Mode, WPS Button, Reset Button, IPTV, IPv6, Smart Connect, Beamforming, MU-MIMO, Parental Controls, Guest Network, WPA3, BSS Color, TWT, TR-069, ISP Preset (Agile Config), Aginet ACS, Superadmin, EasyMesh</t>
  </si>
  <si>
    <t>MR60X</t>
    <phoneticPr fontId="3" type="noConversion"/>
  </si>
  <si>
    <t>AX1500 Dual-Band Wi-Fi 6 Router
SPEED: 300 Mbps at 2.4 GHz + 1201 Mbps at 5 GHz
SPEC: 4× Fixed External Antennas, 3× Gigabit LAN Ports, 1× Gigabit WAN Port, 1024-QAM, OFDMA
FEATURE: MERCUSYS APP, Router/Access Point Mode, WPS Button, Reset Button, IPTV, IPv6, Smart Connect, Beamforming, MU-MIMO, Parental Controls, Guest Network, WPA3, BSS Color, TWT, TR-069, ISP Preset (Agile Config), Aginet ACS, Superadmin, EasyMesh</t>
  </si>
  <si>
    <t>AC1900 Dual-Band Wi-Fi Gigabit Router
SPEED: 600 Mbps at 2.4 GHz + 1300 Mbps at 5 GHz 
SPEC:  6× Fixed External Antennas, 2× Gigabit LAN Ports, 1× Gigabit WAN Port
FEATURE: MERCUSYS APP, Router/Access Point Mode, WPS/Reset Button, IPTV, IPv6, Smart Connect, Beamforming, MU-MIMO, Parental Controls, Guest Network, TR-069, ISP Preset (Agile Config), Aginet ACS, Superadmin, EasyMesh</t>
  </si>
  <si>
    <t>MR39-HP</t>
  </si>
  <si>
    <t>AC1200 High Power Wireless Dual-Band Router
SPEED: 300 Mbps at 2.4 GHz + 867 Mbps at 5 GHz
SPEC: 4× 7dBi High Gain External Antennas, 3× 10/100 Mbps LAN Ports, 1× 10/100 Mbps WAN Port, External FEMs
FEATURE: MERCUSYS APP, Router/Access Point/Range Extender Mode, WPS Button, Reset Button, IPTV, IPv6, Beamforming, MU-MIMO, Parental Controls, Guest Network, Easy Installation, ISP Preset (Agile Config), Wi-Fi Turbo</t>
  </si>
  <si>
    <t>AC1200 Dual-Band Wi-Fi Gigabit Router
SPEED: 300 Mbps at 2.4 GHz + 867 Mbps at 5 GHz 
SPEC:  4× Fixed External Antennas, 2× Gigabit LAN Ports, 1× Gigabit WAN Port
FEATURE: MERCUSYS APP, Router/Access Point Mode, WPS/Reset Button, IPTV, IPv6, Beamforming, MU-MIMO, Parental Controls, Guest Network, TR-069, ISP Preset (Agile Config), Aginet ACS, Superadmin, EasyMesh</t>
  </si>
  <si>
    <t>AC1300 Dual-Band Wi-Fi Gigabit Router
SPEED: 400 Mbps at 2.4 GHz + 867 Mbps at 5 GHz
SPEC: 4× Fixed External Antennas, 3× Gigabit LAN Ports, 1× Gigabit WAN Port
FEATURE: MERCUSYS APP, Router/Access Point Mode, WPS/Reset Button, IPTV, IPv6, Smart Connect, Beamforming, MU-MIMO, Parental Controls, Guest Network, TR-069, ISP Preset (Agile Config), Aginet ACS, Superadmin, EasyMesh</t>
  </si>
  <si>
    <t>AC1200 Dual-Band Wi-Fi Router
SPEED: 300 Mbps at 2.4 GHz + 867 Mbps at 5 GHz
SPEC: 4× Fixed External Antennas, 2× 10/100 Mbps LAN Ports, 1× 10/100 Mbps WAN Port
FEATURE: MERCUSYS APP, Router/Access Point Mode/Range Extender Mode, WPS/Reset Button, IPTV, IPv6, Beamforming, MU-MIMO, Parental Controls, Guest Network, Easy Installation, ISP Preset (Agile Config)</t>
  </si>
  <si>
    <t>MR20</t>
    <phoneticPr fontId="3" type="noConversion"/>
  </si>
  <si>
    <t>AC750 Dual-Band Wi-Fi Router
SPEED: 300 Mbps at 2.4 GHz + 433 Mbps at 5 GHz
SPEC: 2× Fixed External Antennas, 2× 10/100 Mbps LAN Ports, 1× 10/100 Mbps WAN Port
FEATURE: MERCUSYS APP, Router/Access Point Mode/Range Extender Mode, WPS/Reset Button, IPTV, IPv6, Parental Controls, Guest Network, Easy Installation, ISP Preset (Agile Config)</t>
  </si>
  <si>
    <t>N300 Wi-Fi Router
SPEED: 300 Mbps at 2.4 GHz
SPEC: 4× Fixed External Antennas, 3× 10/100 Mbps LAN Ports, 1× 10/100 Mbps WAN Port
FEATURE: MERCUSYS APP, Router/Access Point/Range Extender/WISP Mode, Reset Button, IPTV, IPv6, Parental Controls, Guest Network, Easy Installation, ISP Preset (Agile Config)</t>
  </si>
  <si>
    <t>N300 Multi-Mode Wi-Fi Router
SPEED: 300 Mbps at 2.4 GHz
SPEC: 3× Fixed External Antennas, 3× 10/100 Mbps LAN Ports, 1× 10/100 Mbps WAN Port
FEATURE: MERCUSYS APP, Router/Access Point/Range Extender/WISP Mode, WPS/Reset Button, IPTV, IPv6, Parental Controls, Guest Network, Easy Installation, ISP Preset (Agile Config)</t>
  </si>
  <si>
    <t>N300 Multi-Mode Wi-Fi Router
SPEED: 300 Mbps at 2.4 GHz
SPEC: 2× Fixed External Antennas, 2× 10/100 Mbps LAN Ports, 1× 10/100 Mbps WAN Port
FEATURE: MERCUSYS APP, Router/Access Point/Range Extender/WISP Mode, Reset Button, IPTV, IPv6, Parental Controls, Guest Network, Easy Installation, ISP Preset (Agile Config)</t>
  </si>
  <si>
    <t>N300 High Power Wi-Fi Router
SPEED: 300 Mbps at 2.4 GHz
SPEC: 3× Fixed 7 dBi High Gain External Antennas, 3× 10/100 Mbps LAN Ports, 1× 10/100 Mbps WAN Port, Independent High-Power Amplifiers
FEATURE: WPS/Reset Button, IPTV, IPv6, Parental Controls, Guest Network, Easy Installation, Wi-Fi Turbo</t>
  </si>
  <si>
    <t>MB135-4G</t>
  </si>
  <si>
    <t>AC1200 Wi-Fi 4G LTE Router, Build-In 150Mbps 4G LTE Modem
SPEED: 300 Mbps at 2.4 GHz, 867 Mbps at 5 GHz, 4G Cat4 150/50 Mbps
SPEC: 2× External Detachable LTE Antennas, 2× External Fixed Wi-Fi Antennas,  3× 10/100 Mbps LAN Ports, 1× 10/100 Mbps WAN/LAN Port, FDD-LTE (B1/B2/B3/B4/B5/B7/B8/B28/B66), TDD-LTE (B40), HSPA+/UMTS (B1/B2/B4/B5/B8)
FEATURE: MERCUSYS APP, Nano SIM Card Plug and Play, 3G/4G Router/Wi-Fi Router Mode, SMS, IPv6, Parental Controls, VPN Server, VPN Client</t>
  </si>
  <si>
    <t>AC1200 Wi-Fi 4G LTE Router, Build-In 150Mbps 4G LTE Modem
SPEED: 300 Mbps at 2.4 GHz, 867 Mbps at 5 GHz, 4G Cat4 150/50 Mbps
SPEC: Internal Antennas,  Extra 3G/4G Antenna Ports, 1× 10/100 Mbps LAN Port, 1× 10/100 Mbps WAN/LAN Port, FDD-LTE (B1/B2/B3/B4/B5/B7/B8/B28/B66), TDD-LTE (B40), HSPA+/UMTS (B1/B2/B4/B5/B8)
FEATURE: MERCUSYS APP, Nano SIM Card Plug and Play, 3G/4G Router/Wi-Fi Router Mode, SMS, IPv6, Parental Controls</t>
  </si>
  <si>
    <t>MB115-4G</t>
  </si>
  <si>
    <t>N300 Wi-Fi 4G LTE Router, Build-In 150Mbps 4G LTE Modem
SPEED: 300 Mbps at 2.4 GHz, 4G Cat4 150/50 Mbps
SPEC: 4× Fixed External Antennas, 3× 10/100 Mbps LAN Ports, 1× 10/100 Mbps WAN/LAN Port,  FDD-LTE (B1/B2/B3/B4/B5/B7/B8/B28/B66), TDD-LTE (B40), HSPA+/UMTS (B1/B2/B4/B5/B8)
FEATURE: MERCUSYS APP, Nano SIM Card Plug and Play, 3G/4G Router/Wi-Fi Router Mode, SMS, IPv6, Parental Controls</t>
  </si>
  <si>
    <t>MB110-4G</t>
    <phoneticPr fontId="3" type="noConversion"/>
  </si>
  <si>
    <t>N300 Wi-Fi 4G LTE Router, Build-In 150Mbps 4G LTE Modem
SPEED: 300 Mbps at 2.4 GHz, 4G Cat4 150/50 Mbps
SPEC: Internal Antennas, Extra 3G/4G Antenna Ports, 1× 10/100 Mbps LAN Port, 1× 10/100 Mbps WAN/LAN Port, FDD-LTE (B1/B2/B3/B4/B5/B7/B8/B28/B66), TDD-LTE (B40), HSPA+/UMTS (B1/B2/B4/B5/B8)
FEATURE: MERCUSYS APP, Nano SIM Card Plug and Play, 3G/4G Router/Wi-Fi Router Mode, SMS, IPv6, Parental Controls, VPN Server, VPN Client</t>
  </si>
  <si>
    <t>MB510-5G</t>
  </si>
  <si>
    <t>5G AX1500 Wireless Dual Band Router, Build-In 5G Modem
SPEED: 300 Mbps at 2.4 GHz, 1201 Mbps at 5 GHz; 5G 2.9 Gbps/1.25 Gbps, 4G 600 Mbps/150 Mbps
SPEC: Internal Antennas, Extra 3G/4G/5G Antenna Ports, 1× 1Gbps WAN/LAN Port, 1× 1Gbps LAN Port, 5G (N1/N3/N5/N7/N8/N20/N28/N38/N40/N41/N66/N77/N78), FDD-LTE (B1/B2/B3/B4/B5/B7/B8/B20/B28), TDD-LTE (B38/B40/B41), HSPA+/UMTS (B1/B5/B8)
FEATURE: MERCUSYS APP, Nano SIM Card Plug and Play, 5G Router/Wi-Fi Router Mode, IPv6, Easymesh, Parental Controls</t>
  </si>
  <si>
    <t>MW300RE</t>
  </si>
  <si>
    <t>N300 Wi-Fi Range Extender
SPEED: 300 Mbps at 2.4 GHz
SPEC: 3× Fixed External Antennas, Wall Plugged
FEATURE: MERCUSYS APP, WPS/Reset Button, Signal Indicator, Access Control, Power Schedule, LED Control, WPA3, Works with Any Router</t>
  </si>
  <si>
    <t>ME30</t>
  </si>
  <si>
    <t>AC1200 Wi-Fi Range Extender 
SPEED: 300 Mbps at 2.4 GHz + 867 Mbps at 5 GHz
SPEC: 2× Fixed External Antennas, 1 × 10/100Mbps Port, Wall Plugged
FEATURE: MERCUSYS APP, WPS/Reset Button, Signal Indicator, Range Extender/Access Point mode, Adaptive Path Selection, Access Control, Power Schedule, LED Control, WPA3, Works with Any Router, EasyMesh</t>
  </si>
  <si>
    <t>ME10</t>
  </si>
  <si>
    <t>N300 Wi-Fi Range Extender
SPEED: 300 Mbps at 2.4 GHz
SPEC:  Internal Antennas, 1 × 10/100Mbps Port, Wall Plugged
FEATURE: MERCUSYS APP, WPS/Reset Button, Signal Indicator, Range Extender/Access Point mode, Access Control, WPA3, Power Schedule, LED Control, Works with Any Router</t>
  </si>
  <si>
    <t>N300 Wi-Fi ADSL2+ Modem Router
SPEED: 300 Mbps at 2.4 GHz
SPEC: 2× Fixed External Antennas, 3× 10/100 Mbps LAN Ports, 1× RJ11 Port
FEATURE: Annex A, WPS/Reset Button, Miniature Design, Guest Network</t>
  </si>
  <si>
    <t xml:space="preserve">AC650 High Gain Wi-Fi USB Adapter
SPEED: 200 Mbps at 2.4 GHz + 433 Mbps at 5 GHz
SPEC: 1× High Gain External Antenna, USB 2.0 </t>
  </si>
  <si>
    <t>MA86XH</t>
  </si>
  <si>
    <t>AXE5400 High Gain Wi-Fi 6E USB Adapter
SPEED: 574 Mbps at 2.4 GHz + 2402 Mbps at 5 GHz + 2402 Mbps at 6 GHz
SPEC: 2× High Gain External Antenna, USB 3.0
FEATURE: MU-MIMO, OFDMA, Beamforming, WPA3</t>
  </si>
  <si>
    <t>AX900 Nano Wi-Fi 6 Bluetooth USB Adapter
SPEED: 287 Mbps at 2.4 GHz + 600 Mbps at 5 GHz
SPEC: Internal Antenna, USB 2.0
FEATURE: MU-MIMO, OFDMA, WPA3, Bluetooth 5.3</t>
  </si>
  <si>
    <t>AC1300 Nano Wireless Dual Band USB Adapter
SPEED: 400 Mbps at 2.4 GHz + 867 Mbps at 5 GHz
SPEC: Internal Antennas, USB 2.0 
FEATURE: Nano Size, MU-MIMO, WPA3</t>
  </si>
  <si>
    <t>MA30H</t>
    <phoneticPr fontId="3" type="noConversion"/>
  </si>
  <si>
    <t>AC1300 High Gain Wi-Fi USB Adapter
SPEED: 400 Mbps at 2.4 GHz + 867 Mbps at 5 GHz
SPEC: 1× High Gain External Antenna, USB 2.0
FEATURE: MU-MIMO, WPA3</t>
  </si>
  <si>
    <t>MA20NB</t>
  </si>
  <si>
    <t>AC650 Nano Wi-Fi Bluetooth USB Adapter
SPEED: 200 Mbps at 2.4 GHz + 433 Mbps at 5 GHz
SPEC: Internal Antenna, USB 2.0
FEATURE: Nano Size, WPA3, Bluetooth 5.0</t>
  </si>
  <si>
    <t>AC650 Nano Wi-Fi USB Adapter
SPEED: 200 Mbps at 2.4 GHz + 433 Mbps at 5 GHz
SPEC: Internal Antenna, USB 2.0  
FEATURE: Nano Size, WPA3</t>
  </si>
  <si>
    <t>MA12N</t>
    <phoneticPr fontId="3" type="noConversion"/>
  </si>
  <si>
    <t>N300 Nano Wi-Fi USB Adapter
SPEED: 300 Mbps at 2.4 GHz
SPEC: Internal Antennas, USB 2.0 
FEATURE: Nano Size, WPA3</t>
  </si>
  <si>
    <t>MW300UM</t>
    <phoneticPr fontId="3" type="noConversion"/>
  </si>
  <si>
    <t>N300 Mini Wi-Fi USB Adapter
SPEED: 300 Mbps at 2.4 GHz
SPEC: Internal Antennas, USB 2.0 
FEATURE: Mini Size, WPA3</t>
  </si>
  <si>
    <t>N150 Nano Wi-Fi USB Adapter
SPEED: 150 Mbps at 2.4 GHz
SPEC: Internal Antenna, USB 2.0 
FEATURE: Nano Size,  WPA3</t>
  </si>
  <si>
    <t>MA600</t>
  </si>
  <si>
    <t>MA530</t>
    <phoneticPr fontId="3" type="noConversion"/>
  </si>
  <si>
    <t>Bluetooth Nano USB Adapter
Bluetooth: BT 5.4
SPEC: Internal Antenna, USB-A
FEATURE: Nano Size</t>
  </si>
  <si>
    <t>MA47BE</t>
  </si>
  <si>
    <t>BE9300 Tri-Band Wi-Fi 7 Bluetooth PCI Express Adapter
SPEED: 5765 Mbps at 6 GHz + 2882 Mbps at 5 GHz + 688 Mbps at 2.4 GHz
SPEC: 2× Detachable High Gain External Antennas
FEATURE: Wi-Fi 7, MU-MIMO, OFDMA, 4096 QAM, EHT320, WPA3, Bluetooth 5.4</t>
  </si>
  <si>
    <t>MA37BE</t>
    <phoneticPr fontId="3" type="noConversion"/>
  </si>
  <si>
    <t>BE6500 Tri-Band Wi-Fi 7 Bluetooth PCI Express Adapter
SPEED: 2882 Mbps at 6 GHz + 2882 Mbps at 5 GHz + 688 Mbps at 2.4 GHz
SPEC: 2× Fixed High Gain External Antennas
FEATURE: Wi-Fi 7, MU-MIMO, OFDMA, 4096 QAM, EHT160, WPA3, Bluetooth 5.4</t>
  </si>
  <si>
    <t>MA86XE</t>
  </si>
  <si>
    <t>AXE5400 Tri-Band Wi-Fi 6E Bluetooth PCI Express Adapter
SPEED: 2402 Mbps at 6 GHz + 2402 Mbps at 5 GHz + 574 Mbps at 2.4 GHz
SPEC: 2× Fixed High Gain Tri-Band External Antennas
FEATURE: Wi-Fi 6E, MU-MIMO, OFDMA, 1024 QAM, HE160, WPA3, Bluetooth 5.3</t>
  </si>
  <si>
    <t>MA80XE</t>
    <phoneticPr fontId="3" type="noConversion"/>
  </si>
  <si>
    <t>AX3000 Dual-Band Wi-Fi 6 Bluetooth PCI Express Adapter
SPEED: 2402 Mbps at 5 GHz + 574 Mbps at 2.4 GHz
SPEC: 2× Fixed High Gain Dual-Band External Antennas
FEATURE: Wi-Fi 6, MU-MIMO, OFDMA, 1024 QAM, HE160, WPA3, Bluetooth 5.3</t>
  </si>
  <si>
    <t>MA30E</t>
    <phoneticPr fontId="3" type="noConversion"/>
  </si>
  <si>
    <t>AC1200 Dual-Band Wi-Fi Bluetooth  PCI Express Adapter
SPEED: 867 Mbps at 5 GHz + 300 Mbps at 2.4 GHz
SPEC: 2× Fixed High Gain Dual-Band External Antennas
FEATURE: MU-MIMO, WPA3, Bluetooth 5.0</t>
  </si>
  <si>
    <t>MA310E</t>
  </si>
  <si>
    <t xml:space="preserve">2.5 Gigabit PCIe Network Adapter
SPEED: 2.5 Gbps
SPEC: 1×RJ45,  Full-Height Bracket/Low-Profile Bracket
FEATURE: Multi-Speed Compatibility, Wake on LAN, Flow Control </t>
  </si>
  <si>
    <t>MA210E</t>
  </si>
  <si>
    <t xml:space="preserve">Gigabit PCIe Network Adapter
SPEED: 1 Gbps
SPEC: 1×RJ45,  Full-Height Bracket/Low-Profile Bracket
FEATURE: Multi-Speed Compatibility, Wake on LAN, Flow Control </t>
  </si>
  <si>
    <t>MS105GP</t>
    <phoneticPr fontId="3" type="noConversion"/>
  </si>
  <si>
    <t>5-Port Gigabit Desktop Switch with  4-Port PoE+ 
PORT: 4× Gigabit PoE+ Ports, 1× Gigabit Non-PoE Port
SPEC: Compatible with 802.3af/at PDs, 65 W PoE Power, Desktop Steel Case, Wall Mounting
FEATURE: Extend Mode for 250m PoE Transmitting, Priority Port1-2, Isolation Mode, Plug and Play</t>
  </si>
  <si>
    <t>MS108G</t>
    <phoneticPr fontId="3" type="noConversion"/>
  </si>
  <si>
    <t>8-Port Gigabit Desktop Switch
PORT: 8× Gigabit Ports
SPEC: Plastic Case
FEATURE: Plug and Play, Power Saving, Compact Design</t>
  </si>
  <si>
    <t>5-Port Gigabit Desktop Switch
PORT: 5× Gigabit Ports
SPEC: Plastic Case
FEATURE: Plug and Play, Power Saving, Compact Design</t>
  </si>
  <si>
    <t>8-Port 10/100Mbps Desktop Switch
PORT: 8× 10/100 Mbps Ports
SPEC: Plastic Case
FEATURE: Plug and Play, Compact Design</t>
  </si>
  <si>
    <t>5-Port 10/100Mbps Desktop Switch
PORT: 5× 10/100 Mbps Ports
SPEC: Plastic Case
FEATURE: Plug and Play, Compact Design</t>
  </si>
  <si>
    <t>MC510</t>
    <phoneticPr fontId="4" type="noConversion"/>
  </si>
  <si>
    <t>Outdoor Pan/Tilt Security Wi-Fi Camera
SPEC: 2K Resolution (2304×1296), Pan and Tilt (360° Horizontal), Built-in Microphone and Speaker, 850nm IR LED and Color Night Vision, 2.4 GHz Wi-Fi
FEATURE: MERCUSYS APP, Pan/Tilt, Smart Detection and Notification (Motion &amp; Person), Motion Tracking, Sound and Light Alarm, Two-Way Talk, Cloud Storage, Local Storage through microSD Card (Up to 512 GB), Voice Control (Works with Google Assistant, Alexa, and Samsung SmartThings)</t>
  </si>
  <si>
    <t>MC500</t>
  </si>
  <si>
    <t>Outdoor Pan/Tilt Security Wi-Fi Camera
SPEC: High-Definition Video (1080p), Pan and Tilt (360° Horizontal), Built-in Microphone and Speaker, 850nm IR LED and Color Night Vision, 2.4 GHz Wi-Fi
FEATURE: MERCUSYS APP, Pan/Tilt, Smart Detection and Notification (Motion &amp; Person), Motion Tracking, Sound and Light Alarm, Two-Way Talk, Cloud Storage, Local Storage through microSD Card (Up to 512 GB), Voice Control (Works with Google Assistant, Alexa, and Samsung SmartThings)</t>
  </si>
  <si>
    <t>MC410 KIT</t>
  </si>
  <si>
    <t>Solar-Power Security Camera Kit
SPEC: 2K Resolution (2304×1296), Bullet Camera, Built-in Microphone and Speaker, Color Night Vision, 2.4 GHz &amp; 5 GHz Wi-Fi, 5 W Max Charging Power, IP65
FEATURE: MERCUSYS APP, Smart Detection and Notifications (Motion and Person), Customizable Activity Zone, Sound and Lgiht Alarm, Two-Way Audio, Local Storage through microSD Card (up to 512 GB), Voice Control (Works with Google Assistant, Alexa, and Samsung SmartThings)</t>
  </si>
  <si>
    <t>MC230</t>
  </si>
  <si>
    <t>Pan/Tilt AI Home Security Wi-Fi Camera
SPEC: 3K Resolution (2880×1620), Pan and Tilt (360° Horizontal), Built-in Microphone and Speaker, 850nm IR LED and Color Night Vision, 2.4 GHz Wi-Fi
FEATURE: MERCUSYS APP, Pan/Tilt, Smart Detection and Notification (Motion &amp; Person &amp; Pet &amp; Vehicle), Baby Crying/ Glass Breaking/ Dog Baking/ Cat Meowing Detection, Motion Tracking, Sound and Light Alarm, Two-Way Talk, Cloud Storage, Local Storage through microSD Card (Up to 512 GB), Voice Control (Works with Google Assistant, Alexa, and Samsung SmartThings)</t>
  </si>
  <si>
    <t>MC210</t>
    <phoneticPr fontId="4" type="noConversion"/>
  </si>
  <si>
    <t>Pan/Tilt Home Security Wi-Fi Camera
SPEC: 2K Resolution (2304×1296), Pan and Tilt (360° Horizontal), Built-in Microphone and Speaker, Night Vision (Up to 12 m), 2.4 GHz Wi-Fi
FEATURE: MERCUSYS APP, Pan/Tilt, Smart Detection and Notifications (Motion, Person and Baby Crying), Motion Tracking, Sound and Light Alarm, Remote Control, Two-Way Audio, Local Storage through microSD Card (Up to 512 GB), Voice Control (Works with Google Assistant, Alexa, and Samsung SmartThings)</t>
  </si>
  <si>
    <t>MC200</t>
    <phoneticPr fontId="4" type="noConversion"/>
  </si>
  <si>
    <t>Pan/Tilt Home Security Wi-Fi Camera
SPEC: High Definition Video (1080p), Pan and Tilt (360° Horizontal), Built-in Microphone and Speaker, Night Vision (Up to 12 m), 2.4 GHz Wi-Fi
FEATURE: MERCUSYS APP, Pan/Tilt, Smart Detection and Notifications (Motion, Person and Baby Crying), Motion Tracking, Sound and Light Alarm, Remote Control, Two-Way Audio, Local Storage through microSD Card (Up to 512 GB), Voice Control (Works with Google Assistant, Alexa, and Samsung SmartThings)</t>
  </si>
  <si>
    <t>VIGI C540-W(4mm)</t>
    <phoneticPr fontId="3" type="noConversion"/>
  </si>
  <si>
    <t>Cámara PTZ Wi-Fi IP de 4MP, Full Color, con Función de Paneo/inclinación. Especificaciones: 2.4Ghz a 150Mbps, 2*2 MIMO. Codecs H.265+/H.265/H.264+/H.264, CMOS de Escaneo Progresivo a 1/3", Color/0.04 Lux@F1.6, 0 Lux con IR/Luz Blanca, 25fps/30fps (2560x1440,2304x1296, 2048x1280, 1920x1080), 12V DC, Lente Fijo 4 mm, Micrófono, Parlante y ranura de Micro SD.    INCLUYE: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ONVIF. Monitoreo Remoto, App VIGI</t>
  </si>
  <si>
    <t>VIGI C440-W(4mm)</t>
    <phoneticPr fontId="4" type="noConversion"/>
  </si>
  <si>
    <t>Cámara Torreta IP Wi-Fi de 4MP a Full Color. ESPECIFICACIONES:  2.4Ghz a 150Mbps, 2*2 MIMO. Codecs H.265+/H.265/H.264+/H.264, CMOS de Escaneo Progresivo a 1/3", Color/0.04 Lux@F1.6, 0 Lux con IR/Luz Blanca, 25fps/30fps (2560x1440,2304x1296, 2048x1280, 1920x1080), 12V DC, Lente Fijo 4 mm, Micrófono, Parlante y ranura de Micro SD.    FUNCIONES: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IP66, ONVIF. Monitoreo Remoto, App VIGI</t>
  </si>
  <si>
    <t>VIGI C340-W(4mm)</t>
    <phoneticPr fontId="3" type="noConversion"/>
  </si>
  <si>
    <t>Cámara IP Bala Wi-Fi de 4MP para Exteriores a Full Color. ESPECIFICACIONES:  2.4Ghz a 150Mbps, 2*2 MIMO. Codecs H.265+/H.265/H.264+/H.264, CMOS de Escaneo Progresivo a 1/3", Color/0.04 Lux@F1.6, 0 Lux con IR/Luz Blanca, 25fps/30fps ( 2560x1440,2304x1296, 2048x1280, 1920x1080), 12V DC, Lente Fijo 4 mm, Micrófono, Parlante y ranura de Micro SD.    FUNCIONES: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IP66, ONVIF. Monitoreo Remoto, App VIGI</t>
  </si>
  <si>
    <t>InSight S245ZI</t>
  </si>
  <si>
    <t>VIGI 4MP IR Motorized Varifocal Dome Network Camera
SPEC: 4MP, 2.7mm~13.5mm Varifocal (5x), 1/2.9’’ Progressive Scan CMOS, H.265+/H.265/H.264+/H.264, IR LED, 25fps/30fps (2688 × 1520), IP67, IK10, PoE/DC 12V,120dB WDR, Built-in Mic, micro-SD Slot (up to 512GB), Alarm In/Out, Audio In/Out
FEATURE: 5x Optical Zoom for Easy Installation and Monitoring, IR Night Vision (Up to 60 m), Smart Detection (Human &amp;Vehicle Classification), SmartVid (Smart IR, 3D DNR, BLC), ONVIF (Profile S/T/G), Remote Monitoring, VIGI App, Web, NVR, VIGI VMS, VIGI Config Tool</t>
  </si>
  <si>
    <t>InSight S345ZI</t>
  </si>
  <si>
    <t>VIGI 4MP Outdoor IR Motorized Varifocal Bullet Network Camera
SPEC: 4MP, 2.7mm~13.5mm Varifocal (5x), 1/2.9’’ Progressive Scan CMOS, H.265+/H.265/H.264+/H.264, IR LED, 25fps/30fps (2688 × 1520), IP67, IK10, PoE/DC 12V,120dB WDR, Built-in Mic, micro-SD Slot (up to 512GB), Alarm In/Out, Audio In/Out
FEATURE: 5x Optical Zoom for Easy Installation and Monitoring, IR Night Vision (Up to 60 m), Smart Detection (Human &amp;Vehicle Classification), SmartVid (Smart IR, 3D DNR, BLC), ONVIF (Profile S/T/G), Remote Monitoring, VIGI App, Web, NVR, VIGI VMS, VIGI Config Tool</t>
  </si>
  <si>
    <t>InSight S445ZI</t>
  </si>
  <si>
    <t>VIGI 4MP IR Motorized Varifocal Turret Network Camera
SPEC: 4MP, 2.7mm~13.5mm Varifocal (5x), 1/2.9’’ Progressive Scan CMOS, H.265+/H.265/H.264+/H.264, IR LED, 25fps/30fps (2688 × 1520), IP67, IK10, PoE/DC 12V,120dB WDR, Built-in Mic, micro-SD Slot (up to 512GB), Alarm In/Out, Audio In/Out
FEATURE: 5x Optical Zoom for Easy Installation and Monitoring, IR Night Vision (Up to 60 m), Smart Detection (Human &amp;Vehicle Classification), SmartVid (Smart IR, 3D DNR, BLC), ONVIF (Profile S/T/G), Remote Monitoring, VIGI App, Web, NVR, VMS, VIGI Config Tool</t>
  </si>
  <si>
    <t>InSight S385PI</t>
  </si>
  <si>
    <t>VIGI 8MP Outdoor IR Panoramic Bullet Network Camera
SPEC: 8MP, 1.65mm Fixed Lens, 1/2.7’’ Progressive Scan CMOS, H.265+/H.265/H.264+/H.264, IR LED, 25fps/30fps (3840 × 2160), IP67, IK10, PoE/DC 12V,120dB WDR, Built-in Mic/Speaker, micro-SD Slot (up to 512GB), Alarm In/Out, Audio In/Out
FEATURE: 180° Panorama View, Red-Blue Warning, Lights IR Night Vision (Up to 20 m), Smart Detection (Human &amp;Vehicle Classification), People &amp; Vehicle Analytics, SmartVid (Smart IR, 3D DNR, BLC), ONVIF (Profile S/T/G), Remote Monitoring, VIGI App, Web, NVR, VMS, VIGI Config Tool</t>
  </si>
  <si>
    <t>InSight S485PI</t>
  </si>
  <si>
    <t>VIGI 8MP IR Panoramic Turret Network Camera
SPEC: 8MP, 1.65mm Fixed Lens, 1/2.7’’ Progressive Scan CMOS, H.265+/H.265/H.264+/H.264, IR LED, 25fps/30fps (3840 × 2160), IP67, IK10, PoE/DC 12V,120dB WDR, Built-in Mic/Speaker, micro-SD Slot (up to 512GB), Alarm In/Out, Audio In/Out
FEATURE: 180° Panorama View, Red-Blue Warning, Lights IR Night Vision (Up to 20 m), Smart Detection (Human &amp;Vehicle Classification), People &amp; Vehicle Analytics, SmartVid (Smart IR, 3D DNR, BLC), ONVIF (Profile S/T/G), Remote Monitoring, VIGI App, Web, NVR, VMS, VIGI Config Tool</t>
  </si>
  <si>
    <t>InSight S655I</t>
  </si>
  <si>
    <t>VIGI 5MP IR Fisheye Network Camera
SPEC: 5MP, 1.44mm Fixed Lens, 1/2.7” Progressive Scan CMOS, H.265+/H.265/H.264+/H.264, IR LED, 25fps/30fps (2560 × 1920), IP67, IK10, PoE/DC 12V, 120dB WDR, Built-in Mic/Speaker, micro-SD Slot (up to 512GB)
FEATURE: 360° Panoramic View, Multiple Display Modes, IR Night Vision (Up to 10 m), Smart Detection, SmartVid (Smart IR, 3D DNR, BLC), ONVIF (Profile S/T/G), Remote Monitoring, VIGI App, Web, NVR, VMS, VIGI Config Tool</t>
  </si>
  <si>
    <t>InSight PTZ5425</t>
  </si>
  <si>
    <t>VIGI 5-inch 4MP 25× Full-Color Network Speed Dome
SPEC: 4MP, 5.2mm~130mm Varifocal (25x), 1/2.9” Progressive Scan CMOS, H.265+/H.265/H.264+/H.264, IR &amp; White LED, 25fps/30fps (2688 × 1520),  IP66, IK08, 6kV Lightning Protection, PoE/12V DC, Built-In Mic/Speaker, micro-SD Slot (up to 512GB), Alarm In/Out, Audio In/Out, RS-485
FEATURE: 360° Monitoring and Auto Tracking, Red-Blue Warning, Customized Patrol, Active Defense and Two-Way Audio, Smart Detection (Human &amp;Vehicle Classification), People &amp; Vehicle Analytics, SmartVid (Smart IR, 3D DNR, BLC), ONVIF (Profile S/T/G), Remote Monitoring, VIGI App, Web, NVR, VMS, VIGI Config Too</t>
  </si>
  <si>
    <t>VIGI C540S(4mm)</t>
    <phoneticPr fontId="4" type="noConversion"/>
  </si>
  <si>
    <t>4MP ColorPro Pan/Tilt Network Camera
SPEC:H.265+/H.265/H.264+/H.264, 1/1.8" Progressive Scan CMOS, Color/0.0005 Lux@F1.0, 0 Lux with White Light, 25fps/30fps (2688x1520,2304x1296, 2048x1280, 1920x1080),  PoE/12V DC, 4 mm Fixed Lens, Built-In Microphone, Speaker, micro-SD Slot, IP66
FEATURE: ColorPro Night Vision (Up to 30 m), AI Pro(Face Capture, People &amp; Vehicle Analytics), Customized Patrol, Automatic Tracking, Active Defense, Two-Way Audio, On-Board Storage, Smart Detection (Human &amp;Vehicle Classification)(Motion Detection, Area Intrusion Detection, Line-Crossing Detection, Camera Tampering Detection, Abandoned Object Detection, Object Removal Detection, Area Entrance Detection, Area Exiting Detection, Vehicle Detection , Human detection), Camera Tampering, ONVIF, Remote Monitoring, VIGI App, Web, VIGI Security Manager</t>
    <phoneticPr fontId="3" type="noConversion"/>
  </si>
  <si>
    <t>VIGI C540V</t>
    <phoneticPr fontId="3" type="noConversion"/>
  </si>
  <si>
    <t>Cámara IP PTZ Varifocal de doble lente, 4MP, uso exterior
Especificaciones: H.265+/H.265/H.264+/H.264, 1/3", Scaneo CMOS Progresivo, Color/0.005 Lux@F1.6, 0 Lux con IR/Luz Blanca, 25fps/30fps ( 2560x1440,2304x1296, 2048x1280, 1920x1080),  PoE/12V DC, 4 mm-12mm Lentes Varifocales, Micrófono integrado, Parlante, Ranura para micro-SD, IP66
CARACTERÍSTICAS: Visión Nocturna a Full-Color y Visión Nocturna con IR (Hasta 30 m), Patrullaje Pesonalizado, Seguimiento automático, Defensa Activa, Audio doble vía, Ranura de Almacenamiento, Detección Inteligente (Clasificación Humana&amp;Vehicular Y  Detecciones de: Movimiento, Intrusión de Área, Cruce de Línea, Manipulación de Cámara, Objeto Abandonado, Remoción de Objeto, Intrusión de Área, Salide de Área, de Vehículos y de Humanos, Vehicle Detection , Human detection), SmartVid (Smart IR, WDR, 3D DNR, BLC), ONVIF, Monitoreo Remoto, APP VIGI, Web Service y VIGI Security Manager</t>
  </si>
  <si>
    <t>Cámara PTZ IP de 4MP, Full Color, con Función de Paneo/inclinación. Especificaciones: Codecs H.265+/H.265/H.264+/H.264, CMOS de Escaneo Progresivo a 1/3", Color/0.04 Lux@F1.6, 0 Lux con IR/Luz Blanca, 25fps/30fps ( 2560x1440,2304x1296, 2048x1280, 1920x1080), 12V DC, Lente Fijo 4 mm, Micrófono, Parlante y ranura de Micro SD. FUNCIONES: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ONVIF. Monitoreo Remoto, App VIGI</t>
  </si>
  <si>
    <t>InSight S485(2.8mm)</t>
    <phoneticPr fontId="4" type="noConversion"/>
  </si>
  <si>
    <t>8MP Full-Color Turret Network Camera
SPEC: 8MP, 2.8mm Fixed Lens, 1/2.7” Progressive Scan CMOS, H.265+/H.265/H.264+/H.264, IR/White LED, 25fps(3840 × 2160), IP67,Web, PoE/DC 12V,120dB WDR, Built-in MIC/Speake, micro-SD Slot
FEATURE: Full-Color and IR Night Vision (Up to 30 m), Smart Detection (Human &amp;Vehicle Classification)(MotionDetection, Area lntrusion Detection, Line-Crossing Detection, Camera Tampering Detection, Abandoned Object Detection, Object Removal Detection, Area Entrance Detection, Area Exiting Detection, Human Detection), SmartVid (Smart IR, 3D DNR, BLC), ONMF, Remote Monitoring, VIGI App, Web, VIGI Security Manager</t>
    <phoneticPr fontId="3" type="noConversion"/>
  </si>
  <si>
    <t>VIGI C450(2.8mm)</t>
    <phoneticPr fontId="3" type="noConversion"/>
  </si>
  <si>
    <t>Cámara Torreta IP de 5MP, Full-Color
ESPECIFICACIONES:H.265+/H.265/H.264+/H.264, 1/2.7", CMOS de Escaneo Progresivo, Color/0.005 Lux@F1.6, 0 Lux con IR/Luz Blanca, 25fps/30fps ( 2880x1620, 2048x1280, 1920x1080,1280x720), WDR Real, PoE/12V DC, Lente Fijo 2.8 mm, Micrófono integrado, Parlante, Ranura de micro-SD  
CARACTERÍSTICAS:  Visión Nocturna a Full-Color y Visión Nocturna con IR (Hasta 30 m),  Defensa Activa, Audio doble vía, Ranura de Almacenamiento, Detección Inteligente (Clasificación Humana&amp;Vehicular Y  Detecciones de: Movimiento, Intrusión de Área, Cruce de Línea, Manipulación de Cámara, Objeto Abandonado, Remoción de Objeto, Intrusión de Área, Salide de Área, de Vehículos y de Humanos, Vehicle Detection , (Smart IR, WDR, 3D DNR, BLC), ONVIF, Monitoreo Remoto, APP VIGI, Web Service y VIGI Security Manager, Modo Corredor, ONVIF</t>
  </si>
  <si>
    <t>Cámara Torreta IP 4MP,Full Color. 
ESPECIFICACIONES: Codecs H.265+/H.265/H.264+/H.264, CMOS de Escaneo Progresivo a 1/3", Color/0.04 Lux@F1.6, 0 Lux con IR/Luz Blanca, 25fps/30fps (2560x1440,2304x1296, 2048x1280, 1920x1080), PoE/12V DC, Lente Fijo 4 mm, Micrófono, Parlante y ranura de Micro SD.    INCLUYE: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IP66, ONVIF. Monitoreo Remoto, App VIGI</t>
  </si>
  <si>
    <t>VIGI C440(2.8mm)</t>
    <phoneticPr fontId="3" type="noConversion"/>
  </si>
  <si>
    <t>Cámara IP Torreta 4MP a Full Color. 
ESPECIFICACIONES: Codecs H.265+/H.265/H.264+/H.264, CMOS de Escaneo Progresivo a 1/3", Color/0.04 Lux@F1.6, 0 Lux con IR/Luz Blanca, 25fps/30fps (2560x1440,2304x1296, 2048x1280, 1920x1080), PoE/12V DC, Lente Fijo 2.8 mm, Micrófono, Parlante y ranura de Micro SD.    INCLUYE: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IP66, ONVIF. Monitoreo Remoto, App VIGI</t>
  </si>
  <si>
    <t>InSight S385(4mm)</t>
    <phoneticPr fontId="4" type="noConversion"/>
  </si>
  <si>
    <t>8MP Full-Color Bullet Network Camera
SPEC: 8MP, 4mm Fixed Lens, 1/2.7” Progressive Scan CMOS, H.265+/H.265/H.264+/H.264, IR/White LED, 25fps/30fps (3840 × 2160), IP67,Web, PoE/DC 12V,120dB WDR, Built-in MIC/Speake, micro-SD Slot
FEATURE: Full-Color and IR Night Vision (Up to 30 m), Smart Detection (Human &amp;Vehicle Classification)(MotionDetection, Area lntrusion Detection, Line-Crossing Detection, Camera Tampering Detection, Abandoned Object Detection, Object Removal Detection, Area Entrance Detection, Area Exiting Detection, Human Detection), SmartVid (Smart IR, 3D DNR, BLC), ONMF, Remote Monitoring, VIGI App, Web, VIGI Security Manager</t>
    <phoneticPr fontId="7" type="noConversion"/>
  </si>
  <si>
    <t>InSight S385(2.8mm)</t>
    <phoneticPr fontId="4" type="noConversion"/>
  </si>
  <si>
    <t>VIGI C385(4mm)</t>
    <phoneticPr fontId="4" type="noConversion"/>
  </si>
  <si>
    <t>8MP Full-Color Bullet Network Camera
SPEC: 8MP, 4mm Fixed Lens, 1/2.7” Progressive Scan CMOS, H.265+/H.265/H.264+/H.264, IR/White LED, 25fps/30fps (3840 × 2160), IP67,Web, PoE/DC 12V,120dB WDR, Built-in MIC/Speake, micro-SD Slot
FEATURE: Full-Color and IR Night Vision (Up to 30 m), Smart Detection (Human &amp;Vehicle Classification)(MotionDetection, Area lntrusion Detection, Line-Crossing Detection, Camera Tampering Detection, Abandoned Object Detection, Object Removal Detection, Area Entrance Detection, Area Exiting Detection, Human Detection), SmartVid (Smart IR, 3D DNR, BLC), ONMF, Remote Monitoring, VIGI App, Web, VIGI Security Manager</t>
    <phoneticPr fontId="3" type="noConversion"/>
  </si>
  <si>
    <t>VIGI C385(2.8mm)</t>
    <phoneticPr fontId="4" type="noConversion"/>
  </si>
  <si>
    <t>8MP Full-Color Bullet Network Camera
SPEC: 8MP, 2.8mm Fixed Lens, 1/2.7” Progressive Scan CMOS, H.265+/H.265/H.264+/H.264, IR/White LED, 25fps(3840 × 2160), IP67,Web, PoE/DC 12V,120dB WDR, Built-in MIC/Speake, micro-SD Slot
FEATURE: Full-Color and IR Night Vision (Up to 30 m), Smart Detection (Human &amp;Vehicle Classification)(MotionDetection, Area lntrusion Detection, Line-Crossing Detection, Camera Tampering Detection, Abandoned Object Detection, Object Removal Detection, Area Entrance Detection, Area Exiting Detection, Human Detection), SmartVid (Smart IR, 3D DNR, BLC), ONMF, Remote Monitoring, VIGI App, Web, VIGI Security Manager</t>
    <phoneticPr fontId="3" type="noConversion"/>
  </si>
  <si>
    <t>InSight S345(6mm)</t>
    <phoneticPr fontId="4" type="noConversion"/>
  </si>
  <si>
    <t>4MP Full-Color Bullet Network Camera
SPEC: 4MP, 4mm Fixed Lens, 1/2.7” Progressive Scan CMOS, H.265+/H.265/H.264+/H.264, IR/White LED, 25fps/30fps (2688x1520), IP67,Web, PoE/DC 12V,120dB WDR, Built-in MIC/Speake, micro-SD Slot
FEATURE: Full-Color and IR Night Vision (Up to 30 m), Smart Detection (Human &amp;Vehicle Classification)(MotionDetection, Area lntrusion Detection, Line-Crossing Detection, Camera Tampering Detection, Abandoned Object Detection, Object Removal Detection, Area Entrance Detection, Area Exiting Detection, Human Detection), SmartVid (Smart IR, 3D DNR, BLC), ONMF, Remote Monitoring, VIGI App, Web, VIGI Security Manager</t>
    <phoneticPr fontId="3" type="noConversion"/>
  </si>
  <si>
    <t>InSight S345(4mm)</t>
    <phoneticPr fontId="4" type="noConversion"/>
  </si>
  <si>
    <t>InSight S345(2.8mm)</t>
    <phoneticPr fontId="4" type="noConversion"/>
  </si>
  <si>
    <t>VIGI C345(4mm)</t>
    <phoneticPr fontId="4" type="noConversion"/>
  </si>
  <si>
    <t>VIGI C345(2.8mm)</t>
    <phoneticPr fontId="4" type="noConversion"/>
  </si>
  <si>
    <t>4MP Full-Color Bullet Network Camera
SPEC: 4MP, 2.8mm Fixed Lens, 1/2.7” Progressive Scan CMOS, H.265+/H.265/H.264+/H.264, IR/White LED, 25fps/30fps (2688x1520), IP67,Web, PoE/DC 12V,120dB WDR, Built-in MIC/Speake, micro-SD Slot
FEATURE: Full-Color and IR Night Vision (Up to 30 m), Smart Detection (Human &amp;Vehicle Classification)(MotionDetection, Area lntrusion Detection, Line-Crossing Detection, Camera Tampering Detection, Abandoned Object Detection, Object Removal Detection, Area Entrance Detection, Area Exiting Detection, Human Detection), SmartVid (Smart IR, 3D DNR, BLC), ONMF, Remote Monitoring, VIGI App, Web, VIGI Security Manager</t>
    <phoneticPr fontId="3" type="noConversion"/>
  </si>
  <si>
    <t>VIGI C350(4mm)</t>
    <phoneticPr fontId="4" type="noConversion"/>
  </si>
  <si>
    <t>Cámara IP Bala de 5MP para Exteriores a Full Color. ESPECIFICACIONES: Codecs H.265+/H.265/H.264+/H.264, CMOS de Escaneo Progresivo a 1/3", Color/0.04 Lux@F1.6, 0 Lux con IR/Luz Blanca, 25fps/30fps ( 2560x1440,2304x1296, 2048x1280, 1920x1080), PoE/12V DC, Lente Fijo 4 mm, Micrófono, Parlante y ranura de Micro SD.    FUNCIONES: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IP66, ONVIF. Monitoreo Remoto, App VIGI</t>
  </si>
  <si>
    <t>VIGI C350(2.8mm)</t>
    <phoneticPr fontId="4" type="noConversion"/>
  </si>
  <si>
    <t>5MP Full-Color Bullet Network Camera
SPEC: 5MP, 2.8mm Fixed Lens, 1/2.7” Progressive Scan CMOS, H.265+/H.265/H.264+/H.264, IR/White LED, 25fps/30fps ( 2880x1620, 2048x1280, 1920x1080,1280x720), IP67,Web, PoE/DC 12V,120dB WDR, Built-in MIC/Speake, micro-SD Slot
FEATURE: Full-Color and IR Night Vision (Up to 30 m), Smart Detection (Human &amp;Vehicle Classification)(MotionDetection, Area lntrusion Detection, Line-Crossing Detection, Camera Tampering Detection, Abandoned ObiectDetection, Obiect Removal Detection, Area Entrance Detection, Area Exiting Detection, Loitering Detection, Scene Change DetectionVehicle Detection, Human Detection), SmartVid (Smart IR, 3D DNR, BLC), ONMF, Remote Monitoring, VIGI App, Web, VIGI Security Manager</t>
    <phoneticPr fontId="3" type="noConversion"/>
  </si>
  <si>
    <t>VIGI C340S(4mm)</t>
    <phoneticPr fontId="4" type="noConversion"/>
  </si>
  <si>
    <t>Cámara Bala Metálica IP con Reconocimiento Facial de 4Mp y tecnología ColorPro de Visión Nocturna a Color
4MP Outdoor ColorPro Night Vision Bullet Network Camera
ESPECIFICACIONES: 4MP, Lente fijo de 4mm, CMOS de lente Progresivo 1/1.8”, H.265+/H.265/H.264+/H.264, LED BLANCO, 25fps/30fps (2688x1520, 2560x1440, 2304x1296, 2048x1280, 1920x1080, 1280x720), IP67,Web, PoE/DC 12V, 120dB WDR real
CARACTERÍSTICAS: Parlante y Micrófono, Ranura MicroSD
Visión Nocturna a Full-Color (Hasta 30 m), Detección Inteligente (Clasificación Humana &amp; Vehicular), (Detección de Movimiento, Detección de Intrusión de Área, Detección de Cruce de Línea, Detección de Manipulación de la Cámara, Detección de Objeto Abandonado, Detección de Remoción de Objeto, Detección de Entrada en Área, Detección de Salida de Área, Detección de Merodeador, Detección de Cambio de Escena, Detección Vehicular y Humana).
Función con Aprendizaje de Analíticas Profundas "Deep Learning" (Soporta Detección y Captura Simultánea del Cuerpo Humano y Vehicular, Captura Facial, Comparación Facial), SmartVid (Infrarrojo Inteligente, 3D DNR, BLC), ONVIF, Monitoreo Remoto, App VIGI, WebService (por Navegador), VIGI Security Manager</t>
  </si>
  <si>
    <t>VIGI C340(4mm)</t>
    <phoneticPr fontId="4" type="noConversion"/>
  </si>
  <si>
    <t>Cámara IP Bala de 4MP para Exteriores a Full Color. ESPECIFICACIONES: Codecs H.265+/H.265/H.264+/H.264, CMOS de Escaneo Progresivo a 1/3", Color/0.04 Lux@F1.6, 0 Lux con IR/Luz Blanca, 25fps/30fps ( 2560x1440,2304x1296, 2048x1280, 1920x1080), PoE/12V DC, Lente Fijo 4 mm, Micrófono, Parlante y ranura de Micro SD.    FUNCIONES: Visión Nocturna (hasta de 30M) a Full Color/IR, Defensa Activa, Audio de Dos vías, Almacenamiento incluido, Detección Inteligente (Detección de Movimiento con Clasificación Humana, Manipulación de la Cámara, Cruce de Línea, Intrusión de Área), SmartVid (IR Inteligente, WDR, 3D DNR, BLC), IP66, ONVIF. Monitoreo Remoto, App VIGI</t>
  </si>
  <si>
    <t>VIGI C340(2.8mm)</t>
    <phoneticPr fontId="4" type="noConversion"/>
  </si>
  <si>
    <t>VIGI C250(2.8mm)</t>
    <phoneticPr fontId="3" type="noConversion"/>
  </si>
  <si>
    <t>Cámara Domo IP de 5MP Full-Color, uso exterior o interior
ESPECIFICACIONES:H.265+/H.265/H.264+/H.264, 1/2.7", CMOS de Escaneo Progresivo, Color/0.005 Lux@F1.6, 0 Lux con IR/Luz Blanca, 25fps/30fps ( 2880x1620, 2048x1280, 1920x1080,1280x720), WDR Real, PoE/12V DC, Lente Fijo 2.8 mm, Micrófono integrado, Parlante, Ranura de micro-SD, IK10, IP67
CARACTERÍSTICAS:  Visión Nocturna a Full-Color y Visión Nocturna con IR (Hasta 30 m),  Defensa Activa, Audio doble vía, Ranura de Almacenamiento, Detección Inteligente (Clasificación Humana&amp;Vehicular Y  Detecciones de: Movimiento, Intrusión de Área, Cruce de Línea, Manipulación de Cámara, Objeto Abandonado, Remoción de Objeto, Intrusión de Área, Salide de Área, de Vehículos y de Humanos, Vehicle Detection , (Smart IR, WDR, 3D DNR, BLC), ONVIF, Monitoreo Remoto, APP VIGI, Web Service y VIGI Security Manager, Modo Corredor, ONVIF</t>
  </si>
  <si>
    <t>VIGI C240(2.8mm)</t>
    <phoneticPr fontId="3" type="noConversion"/>
  </si>
  <si>
    <t>4MP Full-Color Dome Network Camera
SPEC: H.265+/H.265/H.264+/H.264, 1/3" Progressive Scan CMOS, Color/0.005 Lux@F1.6, 0 Lux with IR/White Light, 25fps/30fps ( 2560x1440,2304x1296, 2048x1280, 1920x1080), PoE/12V DC, 2.8 mm Fixed Lens, Built-In Microphone, micro-SD Slot, IK10, IP67
FEATURE: Full-Color and IR Night Vision (Up to 30 m), Smart Detection (Human &amp;Vehicle Classification)(Motion Detection, Area Intrusion Detection, Line-Crossing Detection, Camera Tampering Detection, Abandoned Object Detection, Object Removal Detection, Area Entrance Detection, Area Exiting Detection, Vehicle Detection , Human detection), SmartVid (Smart IR, DWDR, 3D DNR, BLC), ONVIF, Remote Monitoring, VIGI App, Web, VIGI Security Manager</t>
  </si>
  <si>
    <t>VIGI C340I(4mm)</t>
    <phoneticPr fontId="3" type="noConversion"/>
  </si>
  <si>
    <t>VIGI C340I(2.8mm)</t>
    <phoneticPr fontId="3" type="noConversion"/>
  </si>
  <si>
    <t>VIGI C300HP-4</t>
    <phoneticPr fontId="4" type="noConversion"/>
  </si>
  <si>
    <t>Cámara de red Tipo Bala de 3MP para exteriores
H.265+/H.265/H.264+/H.264, 1 / 2.7 "CMOS de escaneo progresivo, Color / 0.1 Lux@F2.4, 0 Lux con IR, 25fps / 30fps (2304x1296, 2048x1280, 1920x1080, 1280x720), PoE / 12V DC, Lente fijo de 4 mm.
Funciones: Detección inteligente (detección de movimiento, manipulación de la cámara, cruce de línea, intrusión de área), SmartVid (Smart IR, WDR, 3D DNR, BLC), visión nocturna (hasta 30 m), IP67, ONVIF, monitoreo remoto, aplicación VIGI</t>
  </si>
  <si>
    <t>VIGI C320I(2.8mm)</t>
    <phoneticPr fontId="3" type="noConversion"/>
  </si>
  <si>
    <t>VIGI C440I(2.8mm)</t>
    <phoneticPr fontId="3" type="noConversion"/>
  </si>
  <si>
    <t>Cámara IP Torreta 4MP con CHIP de Inteligencia Artificial. ESPECIFICACIONES: Codecs H.265+/H.265/H.264+/H.264, CMOS de Escaneo Progresivo a 1/3", Color/0.04 Lux@F1.6, 0 Lux con IR/Luz Blanca, 25fps/30fps (2560x1440,2304x1296, 2048x1280, 1920x1080), PoE/12V DC, Lente Fijo 4 mm.  FUNCIONES: Detección Inteligente (Clasifica Humanos y Vehículos), Detección de Movimiento, Detección de Intrusión de Área, Detección de Cruce de Línea, Detección de Manipulación de Cámara, Detección de Objeto abandonado, Detección de Remoción de Objetos, Detección de Ingreso de Área, Detección de Salida de Área, Detección de Vehículos, Detección Humana; SmartVid (IR Inteligente, DWDR, 3D DNR, BLC), Visión Nocturna de IR (Hasta 30 m), ONVIF, Monitoreo Remoto con APP VIGI y por Web con el VIGI Security Manager</t>
  </si>
  <si>
    <t>VIGI C400HP-4</t>
    <phoneticPr fontId="4" type="noConversion"/>
  </si>
  <si>
    <t>Cámara de red Tipo Turret de 3MP
H.265+/H.265/H.264+/H.264, 1 / 2.7 "CMOS de escaneo progresivo, Color / 0.1 Lux@F2.4, 0 Lux con IR, 25fps / 30fps (2304x1296, 2048x1280, 1920x1080, 1280x720), PoE / 12V DC, Lente fijo de 4 mm.
Funciones: Detección inteligente (detección de movimiento, manipulación de la cámara, cruce de línea, intrusión de área), SmartVid (Smart IR, WDR, 3D DNR, BLC), visión nocturna (hasta 30 m), ONVIF, monitoreo remoto, aplicación VIGI</t>
  </si>
  <si>
    <t>VIGI C400HP-2.8</t>
    <phoneticPr fontId="4" type="noConversion"/>
  </si>
  <si>
    <t>Cámara de red Tipo Turret de 3MP
H.265+/H.265/H.264+/H.264, 1 / 2.7 "CMOS de escaneo progresivo, Color / 0.1 Lux@F2.4, 0 Lux con IR, 25fps / 30fps (2304x1296, 2048x1280, 1920x1080, 1280x720), PoE / 12V DC, Lente fijo de 2.8 mm.
Funciones: Detección inteligente (detección de movimiento, manipulación de la cámara, cruce de línea, intrusión de área), SmartVid (Smart IR, WDR, 3D DNR, BLC), visión nocturna (hasta 30 m), ONVIF, monitoreo remoto, aplicación VIGI</t>
  </si>
  <si>
    <t>VIGI C420I(2.8mm)</t>
    <phoneticPr fontId="3" type="noConversion"/>
  </si>
  <si>
    <t>Cámara IP Torreta 2MP con CHIP de Inteligencia Artificial. ESPECIFICACIONES: Codecs H.265+/H.265/H.264+/H.264, CMOS de Escaneo Progresivo, Color/0.1, Lux@2.0, 0 Lux con IR, 25fps/30fps (1920x1080, 1280x960, 1280x720), PoE/12V DC, Lente Fijo 2.8 mm.  FUNCIONES: Detección Inteligente (Clasifica Humanos y Vehículos), Detección de Movimiento, Detección de Intrusión de Área, Detección de Cruce de Línea, Detección de Manipulación de Cámara, Detección de Objeto abandonado, Detección de Remoción de Objetos, Detección de Ingreso de Área, Detección de Salida de Área, Detección de Vehículos, Detección Humana; Visión Nocturna de IR (hasta 30 m), IP67, ONVIF, Monitoreo Remoto con App VIGI y VIGI Security Manager</t>
  </si>
  <si>
    <t>VIGI C240I(2.8mm)</t>
    <phoneticPr fontId="3" type="noConversion"/>
  </si>
  <si>
    <t>4MP Dome Network Camera
SPEC:H.265+/H.265/H.264+/H.264, 1/3" Progressive Scan CMOS, Color/0.01 Lux@F2.2, 0 Lux with IR, 25fps/30fps ( 2560x1440,2304x1296, 2048x1280, 1920x1080), PoE/12V DC, 2.8 mm Fixed Lens, IK10, IP67
FEATURE: Smart Detection (Human &amp;Vehicle Classification)(Motion Detection, Area Intrusion Detection, Line-Crossing Detection, Camera Tampering Detection, Abandoned Object Detection, Object Removal Detection, Area Entrance Detection, Area Exiting Detection, Vehicle Detection , Human detection), IR Night Vision (Up to 30 m), SmartVid (Smart IR, WDR, 3D DNR, BLC), ONVIF, Remote Monitoring, VIGI App, Web, VIGI Security Manager</t>
  </si>
  <si>
    <t>Cámara IP Mini Domo 3MP y CHIP de Inteligencia Artificial.  ESPECIFICACIONES: Codecs H.265+/H.265/H.264+/H.264, CMOS de Escaneo Progresivo 1/2.8", Color/0.1, Lux@F 1.6, 0 Lux con IR, 25fps/30fps (2304x1296, 2048x1280, 1920x1080), PoE/12V DC, Lente Fijo 2.8 mm, Micrófono, Parlante y Ranura de MicroSD incorporados. FUNCIONES: Detección Inteligente (Clasifica Humanos y Vehículos), Detección de Movimiento, Detección de Intrusión de Área, Detección de Cruce de Línea, Detección de Manipulación de Cámara, Detección de Objeto abandonado, Detección de Remoción de Objetos, Detección de Ingreso de Área, Detección de Salida de Área, Detección de Vehículos, Detección Humana; SmartVid (IR Inteligente, DWDR, 3D DNR, BLC), IK08, ONVIF, Monitoreo Remoto con App VIGI y VIGI Security Manager</t>
  </si>
  <si>
    <t>VIGI C220I(2.8mm)</t>
    <phoneticPr fontId="3" type="noConversion"/>
  </si>
  <si>
    <t>Cámara IP Domo de 2MP con CHIP de Inteligencia Artificial. ESPECIFICACIONES: Codecs H.265+/H.265/H.264+/H.264, CMOS de Escaneo Progresivo, Color/0.1, Lux@2.0, 0 Lux con IR, 25fps/30fps (1920x1080, 1280x960, 1280x720), PoE/12V DC, Lente Fijo 2.8 mm, IK10. FUNCIONES: Detección Inteligente (Clasifica Humanos y Vehículos), Detección de Movimiento, Detección de Intrusión de Área, Detección de Cruce de Línea, Detección de Manipulación de Cámara, Detección de Objeto abandonado, Detección de Remoción de Objetos, Detección de Ingreso de Área, Detección de Salida de Área, Detección de Vehículos, Detección Humana; Visión Nocturna de IR (hasta 30 m), Audio de Dos vías, Ranura para MicroSD, ONVIF, SmartVid (IR Inteligente, DWDR, 3D DNR, BLC),  Monitoreo Remoto con App VIGI y VIGI Security Manager</t>
  </si>
  <si>
    <t>VIGI NVR2008H-8MP</t>
    <phoneticPr fontId="4" type="noConversion"/>
  </si>
  <si>
    <t>VIGI NVR1008H-8MP</t>
    <phoneticPr fontId="4" type="noConversion"/>
  </si>
  <si>
    <t>NVR PoE de 8 Canales 4K (8Mp) 
ESPECIFICACIONES: H.265+/H.265/H.264+/H.264, resolución hasta de 8MP, Capacidad de Decodificación/8-canales@2MP/4-canales @4MP, Ancho de banda entrante de 80 Mbps (hasta 8 canales), 8 Puertos PoE+ de 10//100 Mbps, Presupuesto de Potencia en PoE de 113W, 802.3 af/at, 1 interfaz SATA (hasta 10TB), 2V DC 1.5 A, 2 × USB 2.0, 1 × puerto VGA, 1 × puerto HDMI (hasta 4K), 53.5V DC/2.43A. FUNCIONES: Auto Inicio, Configuración &amp; Alarma con Detección Inteligente, Audio de Dos Vías, Reproducción Simultánea, ONVIF, Monitoreo Remoto por App VIGI y por Web con el VIGI Security</t>
  </si>
  <si>
    <t>VIGI NVR1008H-8P</t>
    <phoneticPr fontId="4" type="noConversion"/>
  </si>
  <si>
    <t>8 Channel PoE+ Network Video Recorder
SPEC: H.265+/H.265/H.264+/H.264, Up to 8MP resolution, Decoding capability/8-ch@2MP/4-ch @4MP,80 Mbps Incoming Bandwidth(up to 8 channels),8× 10/100 Mbps PoE+ Ports, PoE Powe 53W, 802.3 af/at,1× SATA Interface(up to 10 TB), 2× USB 2.0, 53.5V DC/1.31A, 1× VGA port &amp; 1× HDMI port(Up to 4K)(Synchronous Outputs)
FEATURE: Auto Initialization, Smart Detection Configuration &amp; Alarm, Two-Way Audio, Simultaneous Playback, ONVIF, Remote Monitoring, VIGI App, Web, VIGI Security Manager</t>
  </si>
  <si>
    <t>VIGI NVR1004H-4P</t>
    <phoneticPr fontId="4" type="noConversion"/>
  </si>
  <si>
    <t>NVR PoE de 4 Canales 4K  (8Mp)
ESPECIFICACIONES: H.265+/H.265/H.264+/H.264, resolución hasta de 8MP, Capacidad de Decodificación/4-canales @4MP, Ancho de banda entrante de 80 Mbps (hasta 4 canales),  4 Puertos PoE+ de 10//100 Mbps, Presupuesto de Potencia de 53W, 802.3 af/at,  1 interfaz SATA (hasta 10TB), 2 × USB 2.0, 1 × puerto VGA, 1 × puerto HDMI (hasta 4K), 53.5V DC/1.31A.FUNCIONES: Auto Inicio, Configuración &amp; Alarma con Detección Inteligente, Audio de Dos Vías, Reproducción Simultánea, ONVIF, Monitoreo Remoto por App VIGI y por Web con el VIGI Security Manager</t>
  </si>
  <si>
    <t>VIGI NVR4064H</t>
  </si>
  <si>
    <t>VIGI 64 Channel Network Video Recorder
SPEC: H.265+/H.265/H.264+/H.264, Up to 8MP resolution, 320Mbps Incoming Bandwidth, 320Mbps Outgoing Bandwidth, 32MP Decoding Capability, HDMI1/HDMI2 Independent Output, HDMI1/VGA Independent Output, 4 SATA up to 64TB, 2*1000Mbps Ethernet Ports, 2× USB 2.0, 1× USB 3.0, 100-240V AC/1.5A
FEATURE: Auto Initialization, Smart Detection Configuration &amp; Alarm, Two-Way Audio, 64-Channel Live View, 4K HDMI Video Output, 16-Channel Synchronous Playback, Streamlined Setup, ONVIF, Remote Monitoring, VIGI App, Web, GUI, VMS, VIGI Config Tool</t>
  </si>
  <si>
    <t>VIGI NVR4032H</t>
    <phoneticPr fontId="4" type="noConversion"/>
  </si>
  <si>
    <t>NVR de 32 Canales 4K  (8Mp) con Reconocimiento Facial (AI)
ESPECIFICACIONES: H.265+/H.265/H.264+/H.264, hasta 8MP de resolución, Capacidad de decodificación/16-ch @ 2MP, Velocidad de entrada de ancho de Banda de 320Mpbs (hasta 32 canales), soporta hasta 4 discos duros SATA de 10Tb c/u (hasta 40TB), 2 Puertos de 1000Mbps, 2 Puertos USB 2.0, 1 Puerto USB 3.0, 1 puerto VIG y 1 Puerto HDMI (cada puerto de video con salidas independientes).</t>
  </si>
  <si>
    <t>VIGI NVR1016H</t>
    <phoneticPr fontId="4" type="noConversion"/>
  </si>
  <si>
    <t>NVR de 16 canales 4K 
(8Mp)
SPEC: H.265 + / H.265 / H.264 + / H.264, resolución de hasta 8MP, ancho de banda entrante de 80 Mbps (hasta 16 canales), 1 × interfaz SATA (hasta 10 TB), 12V DC 1.5 A, 2 × USB 2.0, 1 × puerto VGA, 1 × puerto HDMI
FUNCIÓN: Audio bidireccional, reproducción simultánea, configuración optimizada, ONVIF, monitoreo remoto, aplicación VIGI</t>
  </si>
  <si>
    <t>VIGI NVR1008H</t>
    <phoneticPr fontId="4" type="noConversion"/>
  </si>
  <si>
    <t>VIGI NVR1004H</t>
    <phoneticPr fontId="4" type="noConversion"/>
  </si>
  <si>
    <t>VIGI SP9030</t>
    <phoneticPr fontId="4" type="noConversion"/>
  </si>
  <si>
    <t>VIGI Intelligent Solar Power Supply System
Spec：90W/18V_998*516*30mm Solar Panel; 30Ah/3*12VDC Output Battery, More than 500 cycles; Charging Condition:-20℃~45℃ (With intelligent auxiliary heat); Discharging Condition:  -30℃~60℃ (With intelligent auxiliary heat); 1*10/100Mbps RJ45
Function: 
Load Control\Battery Overtemperature Protection\Battery level display\Generation power display\Load power display\Generation power and Load power Statistics...</t>
  </si>
  <si>
    <t>VIGI SP6030</t>
    <phoneticPr fontId="4" type="noConversion"/>
  </si>
  <si>
    <t>VIGI Intelligent Solar Power Supply System
Spec：60W/18V_690*516*30mm Solar Panel; 30Ah/3*12VDC Output Battery, More than 500 cycles; Charging Condition:-20℃~45℃ (With intelligent auxiliary heat); Discharging Condition:  -30℃~60℃ (With intelligent auxiliary heat); 1*10/100Mbps RJ45
Function: 
Load Control\Battery Overtemperature Protection\Battery level display\Generation power display\Load power display\Generation power and Load power Statistics...</t>
  </si>
  <si>
    <t>VIGI SP6020</t>
    <phoneticPr fontId="4" type="noConversion"/>
  </si>
  <si>
    <t>VIGI Intelligent Solar Power Supply System
Spec：60W/18V_690*516*30mm Solar Panel; 20Ah/3*12VDC Output Battery, More than 500 cycles; Charging Condition:-20℃~45℃ (With intelligent auxiliary heat); Discharging Condition:  -30℃~60℃ (With intelligent auxiliary heat); 1*10/100Mbps RJ45
Function: 
Load Control\Battery Overtemperature Protection\Battery level display\Generation power display\Load power display\Generation power and Load power Statistics...</t>
  </si>
  <si>
    <t>VIGI PS90</t>
    <phoneticPr fontId="4" type="noConversion"/>
  </si>
  <si>
    <t>VIGI Solar System Controller
Spec：Up to 3 × 31.2Ah/3*12VDC Output Battery, More than 500 cycles; Charging Condition: -20℃~45℃(With intelligent auxiliary heat); Discharging Condition:  -30℃~60℃ (With intelligent auxiliary heat); 1*10/100Mbps RJ45
Function: 
Load Control\Battery Overtemperature Protection\Battery level display\Generation power display\Load power display\Generation power and Load power Statistics.</t>
  </si>
  <si>
    <t>VIGI PS30</t>
    <phoneticPr fontId="4" type="noConversion"/>
  </si>
  <si>
    <t>VIGI Intelligent Power Supply System Without Solar Panel
Spec：31.2Ah/3*12VDC Output Battery, More than 500 cycles; Charging Condition: -20℃~45℃(With intelligent auxiliary heat); Discharging Condition:  -30℃~60℃ (With intelligent auxiliary heat); 1*10/100Mbps RJ45
Function: 
Load Control\Battery Overtemperature Protection\Battery level display\Generation power display\Load power display\Generation power and Load power Statistics.</t>
  </si>
  <si>
    <t>VIGI PS20</t>
    <phoneticPr fontId="4" type="noConversion"/>
  </si>
  <si>
    <t>VIGI Intelligent Power Supply System Without Solar Panel
Spec：20.8Ah/3*12VDC Output Battery, More than 500 cycles; Charging Condition: -20℃~45℃(With intelligent auxiliary heat); Discharging Condition:  -30℃~60℃ (With intelligent auxiliary heat); 1*10/100Mbps RJ45
Function: 
Load Control\Battery Overtemperature Protection\Battery level display\Generation power display\Load power display\Generation power and Load power Statistics.</t>
  </si>
  <si>
    <t>VIGI 200W Solar Mount</t>
    <phoneticPr fontId="4" type="noConversion"/>
  </si>
  <si>
    <t>VIGI 200W Solar Mount
SPEC: SGCC Galvanized Steel, 5°/15°/25°/35°/45°/55° Adjustable Angles
FEATURE: Fits Poles 80mm to 160mm in Diameter</t>
  </si>
  <si>
    <t>VIGI 180W Solar Mount</t>
    <phoneticPr fontId="4" type="noConversion"/>
  </si>
  <si>
    <t>VIGI 180W Solar Mount
SPEC: SGCC Galvanized Steel, 5°/15°/25°/35°/45°/55° Adjustable Angles
FEATURE: Fits Poles 80mm to 160mm in Diameter</t>
  </si>
  <si>
    <t>VIGI Solar Panel 90W</t>
    <phoneticPr fontId="4" type="noConversion"/>
  </si>
  <si>
    <t>VIGI Solar Panel 60W
Spec: 90W/18V_998*516*30mm</t>
  </si>
  <si>
    <t>VIGI Solar Panel 60W</t>
    <phoneticPr fontId="4" type="noConversion"/>
  </si>
  <si>
    <t>VIGI Solar Panel 90W
Spec: 60W/18V_690*516*30mm</t>
  </si>
  <si>
    <t>HX710(2-pack)</t>
    <phoneticPr fontId="3" type="noConversion"/>
  </si>
  <si>
    <t>HX710(1-pack)</t>
    <phoneticPr fontId="3" type="noConversion"/>
  </si>
  <si>
    <t>HX520(1-pack)</t>
    <phoneticPr fontId="3" type="noConversion"/>
  </si>
  <si>
    <t>HX220(1-pack)</t>
  </si>
  <si>
    <t>Router AX1800  Mesh Wi-Fi AP
VELOCIDAD: 574 Mbps a 2,4 GHz +1201 Mbps a 5 GHz
ESPECIFICACIÓN: 4 Antenas internas, 3 Puertos Gigabit, CPU de doble núcleo
CARACTERÍSTICAS: EasyMesh R2, 802.11k/v/r,Aginet App, Modo Router/AP, IPv6, IPTV, Control parental, OFDMA, MU-MIMO, 1024-QAM, HE80, WPA3, Beamforming, TR-069(TR-181)</t>
  </si>
  <si>
    <t>HX141(1-pack)</t>
    <phoneticPr fontId="3" type="noConversion"/>
  </si>
  <si>
    <t>HC220-G5(1-Pack)</t>
    <phoneticPr fontId="3" type="noConversion"/>
  </si>
  <si>
    <t>EX710</t>
    <phoneticPr fontId="3" type="noConversion"/>
  </si>
  <si>
    <t>EX511</t>
    <phoneticPr fontId="3" type="noConversion"/>
  </si>
  <si>
    <t>EX141</t>
    <phoneticPr fontId="3" type="noConversion"/>
  </si>
  <si>
    <t>Archer C5</t>
    <phoneticPr fontId="3" type="noConversion"/>
  </si>
  <si>
    <t>AC1200 Dual-Band Wi-Fi Gigabit Router
SPEED: 300 Mbps at 2.4 GHz + 867 Mbps at 5 GHz
SPEC: 4× Antennas, 1× Gigabit WAN Port + 4× Gigabit LAN Ports + 1× USB 2.0 Port
FEATURE: Router/Access Point/Range Extender Mode, IPv6 Supported, IPTV, Multi-EWAN, Multi-SSID, VPN Server, TR-069(TR-098)</t>
  </si>
  <si>
    <t>EC220-G5</t>
    <phoneticPr fontId="3" type="noConversion"/>
  </si>
  <si>
    <t>Router con función de guardar firmware mediante herramienta Agile 2.0 y soporte de TR069 (ACS). Doble banda AC1200, 802.11ac/a/b/g/n, 867Mbps a 5GHz + 300Mbps a 2.4GHz, 5 puertos Gigabit (100/1000), 4 antenas fijas, encendido / apagado inalámbrico, WPS, IPv6, IPTV, Servidor VPN, Multi-EWAN, Multi-SSID, Gestión remota TR-069 (TR-098)</t>
  </si>
  <si>
    <t>EC220-F5</t>
    <phoneticPr fontId="3" type="noConversion"/>
  </si>
  <si>
    <t>Archer C20&lt;W&gt;</t>
    <phoneticPr fontId="4" type="noConversion"/>
  </si>
  <si>
    <t>Router con función de guardar firmware mediante herramienta Agile 2.0 y soporte de TR069 (ACS). Doble banda AC750, 802.11ac/a/b/g/n, 433Mbps a 5GHz + 300Mbps a 2.4GHz, 5 puertos 10 / 100M, 3 antenas fijas, encendido / apagado inalámbrico, WPS, IPv6, IPTV, Servidor VPN, Multi-EWAN, Multi-SSID, Gestión remota TR-069 (TR-098)</t>
  </si>
  <si>
    <t>TL-WR850N</t>
    <phoneticPr fontId="3" type="noConversion"/>
  </si>
  <si>
    <t>Router con función de guardar firmware mediante herramienta Agile 2.0 y soporte de TR069 (ACS). N300  Wi-Fi, 802.11b/g/n, 2T2R, 300Mbps a 2.4GHz, Flash 8MB / DDR2 64MB, 5 puertos 10 / 100M, 2 antenas fijas de 5dBi, WPS, IPv6, SSL, Red de invitados, TR-069 ( TR-098) Gestión remota, BBA1.0 SW</t>
  </si>
  <si>
    <t>XX530v</t>
    <phoneticPr fontId="4" type="noConversion"/>
  </si>
  <si>
    <t xml:space="preserve">AX3000 Wireless Gigabit GPON HGU with VOIP
Econet Chipset with G.984.x, Class B+
SPEED: 574 Mbps at 2.4 GHz + 2402 Mbps at 5 GHz. HT160
SPEC: 1 x GE WAN/LAN port +3 x GE LAN ports, 1 x RJ11(FXS) Port,1 x USB2.0 Port, 1 x SC/APC GPON port, 2 x Fixed Antennas, QoS, IGMP, OMCI, TR-069(TR-098/181), Easymesh, Aginet APP, Cloud support </t>
  </si>
  <si>
    <t>XX530</t>
    <phoneticPr fontId="3" type="noConversion"/>
  </si>
  <si>
    <t>XX231v</t>
    <phoneticPr fontId="8" type="noConversion"/>
  </si>
  <si>
    <t>XX230v</t>
    <phoneticPr fontId="4" type="noConversion"/>
  </si>
  <si>
    <t>XC220-G3v</t>
    <phoneticPr fontId="4" type="noConversion"/>
  </si>
  <si>
    <t>XC220-G3</t>
    <phoneticPr fontId="4" type="noConversion"/>
  </si>
  <si>
    <t>AC1200 Wireless Gigabit GPON HGU
Econet Chipset with G.984.x, Class B+
SPEED: 300 Mbps at 2.4 GHz + 867 Mbps at 5 GHz
SPEC: 2 x GE LAN ports, 1 x SC/APC GPON port, 2 x Fixed antennas, QoS, IGMP, OMCI, TR-069(TR-098), MU-MIMO, Beamforming</t>
    <phoneticPr fontId="3" type="noConversion"/>
  </si>
  <si>
    <t>XN020-G3</t>
    <phoneticPr fontId="3" type="noConversion"/>
  </si>
  <si>
    <t xml:space="preserve">300Mbps Wireless N GPON HGU
Econet Chipset with G.984.x, Class B+
SPEED:802.11b/g/n, 300Mbps at 2.4GHz
SPEC: 1 FE + 1 GE LAN ports, 1 SC/APC GPON port, 2 fixed antennas, QoS, IGMP, OMCI, TR069(TR098), EU Version </t>
    <phoneticPr fontId="3" type="noConversion"/>
  </si>
  <si>
    <t>XN020-G3v</t>
    <phoneticPr fontId="4" type="noConversion"/>
  </si>
  <si>
    <t>300Mbps N GPON HGU Inhalámbrico, Econet Chipset, 802.11b / g / n, 300Mbps a 2.4GHz, 1 puertos FE + 1 GE LAN, 1 RJ11 FXS, 1 puerto SC / APC GPON, 2 antenas fijas, G.984.x, Clase C +, QoS, IGMP, OMCI, TR069 (TR098), versión de la UE</t>
    <phoneticPr fontId="3" type="noConversion"/>
  </si>
  <si>
    <t>XN021-G3</t>
    <phoneticPr fontId="4" type="noConversion"/>
  </si>
  <si>
    <t>300Mbps Wireless N Gigabit XPON Router with CATV
Econet Chipset with G.984.x, Class B+
SPEED: 802.11b/g/n, 300Mbps at 2.4GHz
SPEC: 1 x GE + 1 x FE LAN ports, 1 x SC/APC XPON port, 1 x CATV port, 2 x Fixed antennas, QoS, IGMP, OMCI, TR-069(TR-098)</t>
    <phoneticPr fontId="3" type="noConversion"/>
  </si>
  <si>
    <t>XZ001-G7</t>
    <phoneticPr fontId="3" type="noConversion"/>
  </si>
  <si>
    <t>1-Port Gigabit GPON SFU with CATV
Econet Chipset with G.984.x, Class B+
SPEC: 1 x GE LAN port, 1 x SC/APC GPON port, 1 x CATV port, Bridge, QoS, VLAN, IGMP, OMCI</t>
    <phoneticPr fontId="3" type="noConversion"/>
  </si>
  <si>
    <t>XZ000-G3</t>
    <phoneticPr fontId="3" type="noConversion"/>
  </si>
  <si>
    <t>XZ000-G7</t>
    <phoneticPr fontId="3" type="noConversion"/>
  </si>
  <si>
    <t>XZ000-G6</t>
    <phoneticPr fontId="3" type="noConversion"/>
  </si>
  <si>
    <t>DS-P8000-X2</t>
    <phoneticPr fontId="3" type="noConversion"/>
  </si>
  <si>
    <t>2U Chassis OLT
SPEC：2×Main Control Boards, each with 6× 10GBbps SFP+ uplink ports, 1x Gigabit RJ45 uplink port, 1x RJ45 Console port, 1x Gigabit RJ45 Manage port; 
1× Power Supply Module which support AC and DC input; 
1× FAN Board
2x Service Board Slots</t>
  </si>
  <si>
    <t>DS-LGPA-16</t>
    <phoneticPr fontId="3" type="noConversion"/>
  </si>
  <si>
    <t>16-port OLT GPON Service Board
SPEC: 16x SFP GPON ports
FEATURE: Service Board for DS-P8000-X2 and DS-P8000-X7</t>
  </si>
  <si>
    <t>DS-LGPA-08</t>
    <phoneticPr fontId="3" type="noConversion"/>
  </si>
  <si>
    <t>8-port OLT GPON Service Board
SPEC: 8x SFP GPON ports
FEATURE: Service Board for DS-P8000-X2 and DS-P8000-X7</t>
  </si>
  <si>
    <t>DS-P7500-08</t>
    <phoneticPr fontId="3" type="noConversion"/>
  </si>
  <si>
    <t>8-port XGSPON&amp;GPON Combo OLT
Broadcom Chipset
SPEC:8x SFP XGSPON&amp;GPON Combo ports, 2x 40Gbps QSFP+ uplink ports, 2x 10Gbps SFP+ uplink ports, 1x RJ45 Console port, 1x Gigabit RJ45 Manage port, Hot-swap redundancy power, 2 AC or 2 DC or AC+DC power input</t>
  </si>
  <si>
    <t>PSM150-AC</t>
  </si>
  <si>
    <t>150W AC Power Supply Module
SPEC: Up to 150 watts output power
FEATURE: Modular Main Power Supply for DS-P7001-08, DS-P7001-16, DS-P7500-08, and DS-P7501-08</t>
  </si>
  <si>
    <t>DS-P7001-16(UN_NP)</t>
  </si>
  <si>
    <t>16-port GPON OLT
Broadcom Chipset
SPEC:16x SFP GPON ports, 4x 10Gbps SFP+ uplink ports, 1x Gigabit RJ45 uplink port，1x RJ45 Console port, 1x Gigabit RJ45 Manage port, AC or DC power input support, without Power Supply Module by default</t>
  </si>
  <si>
    <t>DS-P7001-08(UN_NP)</t>
  </si>
  <si>
    <t>8-port GPON OLT
Broadcom Chipset
SPEC:8x SFP GPON ports, 2x 10Gbps SFP+ uplink ports, 1x Gigabit RJ45 uplink port，1x RJ45 Console port, 1x Gigabit RJ45 Manage port, Hot-swap redundancy power, AC or DC power input support, without Power Supply Module by default</t>
  </si>
  <si>
    <t>DS-P7001-16</t>
    <phoneticPr fontId="3" type="noConversion"/>
  </si>
  <si>
    <t>16-port GPON OLT
Broadcom Chipset
SPEC:16x SFP GPON ports, 4x 10Gbps SFP+ uplink ports, 1x Gigabit RJ45 uplink port，1x RJ45 Console port, 1x Gigabit RJ45 Manage port, Hot-swap redundancy power, 2 AC or 2 DC or AC+DC power input</t>
  </si>
  <si>
    <t>DS-P7001-08</t>
    <phoneticPr fontId="3" type="noConversion"/>
  </si>
  <si>
    <t>OLT GPON de 8 puertos
Chipset Broadcom
SPEC:8x puertos SFP GPON, 2x puertos de enlace ascendente SFP+ de 10Gbps, 1x puerto de enlace ascendente Gigabit RJ45，1x puerto de consola RJ45, 1x puerto de gestión Gigabit RJ45, alimentación redundante en caliente, 2 entradas de alimentación AC o 2 DC o AC+DC</t>
  </si>
  <si>
    <t>DS-P7001-04</t>
    <phoneticPr fontId="3" type="noConversion"/>
  </si>
  <si>
    <t>OLT GPON de 4 puertos
Chipset Broadcom
SPEC:8x puertos SFP GPON, 2x puertos de enlace ascendente SFP+ de 10Gbps, 1x puerto de enlace ascendente Gigabit RJ45，1x puerto de consola RJ45, 1x puerto de gestión Gigabit RJ45, alimentación redundante en caliente, 2 entradas de alimentación AC o 2 DC o AC+DC</t>
  </si>
  <si>
    <t>DS-P7001-01</t>
    <phoneticPr fontId="3" type="noConversion"/>
  </si>
  <si>
    <t>1-port GPON OLT
Broadcom Chipset
SPEC:1x SFP GPON port, 1x 10Gbps SFP+ uplink ports, 1x 2.5Gbps RJ45 uplink ports, 1x 1Gbps RJ45 uplink ports, 1x RJ45 Console port, 12V DC Power Adapter, 802.3at PoE PD.</t>
    <phoneticPr fontId="3" type="noConversion"/>
  </si>
  <si>
    <t>DS-PMA-C+</t>
    <phoneticPr fontId="3" type="noConversion"/>
  </si>
  <si>
    <t>Módulo óptico GPON OLT SFP, Clase C +</t>
    <phoneticPr fontId="3" type="noConversion"/>
  </si>
  <si>
    <t>DS-PMA-C++</t>
    <phoneticPr fontId="3" type="noConversion"/>
  </si>
  <si>
    <t>GPON OLT SFP optical module, Class C++</t>
    <phoneticPr fontId="4" type="noConversion"/>
  </si>
  <si>
    <t>DS-PMA-Combo C+</t>
    <phoneticPr fontId="3" type="noConversion"/>
  </si>
  <si>
    <t>XGSPON&amp;GPON Combo OLT SFP optical module, Class C+</t>
    <phoneticPr fontId="4" type="noConversion"/>
  </si>
  <si>
    <t>MF80Xv</t>
  </si>
  <si>
    <t>MF80X</t>
  </si>
  <si>
    <t>MF30Gv</t>
  </si>
  <si>
    <t>AC1200 Inalámbrico Gigabit GPON HGU con VOIP, Econet Chipset, 866Mbps a 5GHz + 300Mbps a 2.4GHz, 802.11ac / a / b / g / n, 4 puertos LAN de GE, 2 RJ11 FXS, 1 USB 2.0, 1 puerto GPON SC / APC , 2 antenas fijas, G.984.x, Clase C +, QoS, IGMP, OMCI, TR069 (TR098), versión de la UE</t>
  </si>
  <si>
    <t>MF30G</t>
  </si>
  <si>
    <t>AC1200 Wireless Gigabit GPON HGU
Econet Chipset with G.984.x, Class B+
SPEED: 300 Mbps at 2.4 GHz + 867 Mbps at 5 GHz
SPEC: 2 x GE LAN ports, 1 x SC/APC GPON port, 2 x Fixed antennas, QoS, IGMP, OMCI, TR-069(TR-098), MU-MIMO, Beamforming</t>
  </si>
  <si>
    <t>MF01G</t>
  </si>
  <si>
    <t>Terminal GPON Gigabit de 1 puerto, control de calidad de servicio para la priorización de transacciones y administración de ancho de banda, método inteligente de ahorro de energía, protocolo Easy Remote Management-TR-069, puerto Gigabit completo. Normas GPON: ITU-T G.988, G.984.1, G.984.2, G.984.3, G.984.4. Módulo óptico: clase B +. Receptor: Super-TIA. Transmisor: DFB Laser.</t>
  </si>
  <si>
    <t>TL-SX1008</t>
  </si>
  <si>
    <t>8-Port 10G Multi-Gigabit Switch
PORT: 8× 10G RJ45 Ports
SPEC: 1U 13-inch Rack-mountable Steel Case
FEATURE: Plug and Play</t>
  </si>
  <si>
    <t>TL-SX105</t>
  </si>
  <si>
    <t>5-Port 10G Multi-Gigabit Desktop Switch
PORT: 5× 10G RJ45 Ports
SPEC: Desktop Steel Case
FEATURE: Plug and Play</t>
  </si>
  <si>
    <t>TL-SG108-M2</t>
  </si>
  <si>
    <t>8-Port 2.5G Multi-Gigabit Desktop Switch
PORT: 8× 2.5G RJ45 Ports
SPEC: Desktop Steel Case
FEATURE: Plug and Play</t>
  </si>
  <si>
    <t>TL-SG105-M2</t>
  </si>
  <si>
    <t>5-Port 2.5G Multi-Gigabit Desktop Switch
PORT: 5× 2.5G RJ45 Ports
SPEC: Desktop Steel Case
FEATURE: Plug and Play</t>
  </si>
  <si>
    <t>48-Port Gigabit Switch
PORT: 48× Gigabit RJ45 Ports
SPEC: 1U 19-inch Rack-mountable Steel Case
FEATURE: Plug and Play</t>
  </si>
  <si>
    <t>24-Port Gigabit Switch
PORT: 24× Gigabit RJ45 Ports
SPEC: 1U 13-inch Rack-mountable Steel Case
FEATURE: Plug and Play</t>
  </si>
  <si>
    <t>TL-SG1016D</t>
    <phoneticPr fontId="4" type="noConversion"/>
  </si>
  <si>
    <t>16-Port Gigabit Switch
PORT: 16× Gigabit RJ45 Ports
SPEC: 1U 13-inch Rack-mountable Steel Case
FEATURE: Plug and Play</t>
  </si>
  <si>
    <t>TL-SG116</t>
    <phoneticPr fontId="4" type="noConversion"/>
  </si>
  <si>
    <t>16-Port Gigabit Desktop Switch
PORT: 16× Gigabit RJ45 Ports
SPEC: Desktop Steel Case
FEATURE: Plug and Play</t>
  </si>
  <si>
    <t>TL-SG105</t>
    <phoneticPr fontId="3" type="noConversion"/>
  </si>
  <si>
    <t>5-Port Gigabit Desktop Switch
PORT: 5× Gigabit RJ45 Ports
SPEC: Desktop Steel Case
FEATURE: Plug and Play</t>
  </si>
  <si>
    <t>LiteWave 8-Port Gigabit Desktop Switch 
PORT: 8× Gigabit RJ45 Ports
SPEC: Desktop Plastic Case
FEATURE: Plug and Play</t>
  </si>
  <si>
    <t>LiteWave 5-Port Gigabit Desktop Switch
PORT: 5× Gigabit RJ45 Ports
SPEC: Desktop Plastic Case
FEATURE: Plug and Play</t>
  </si>
  <si>
    <t>48-Port 10/100 Mbps Switch
PORT: 48× 10/100 Mbps RJ45 Ports
SPEC: 1U 19-inch Rack-mountable Steel Case
FEATURE: Plug and Play</t>
  </si>
  <si>
    <t>24-Port 10/100 Mbps Switch
PORT: 24× 10/100 Mbps RJ45 Ports
SPEC: 1U 13-inch Rack-mountable Steel Case
FEATURE: Plug and Play</t>
  </si>
  <si>
    <t>TL-SF1016</t>
    <phoneticPr fontId="3" type="noConversion"/>
  </si>
  <si>
    <t>16-Port 10/100 Mbps Switch
PORT: 16× 10/100 Mbps RJ45 Ports
SPEC: 1U 19-inch Rack-mountable Steel Case
FEATURE: Plug and Play</t>
  </si>
  <si>
    <t>TL-SF1016D</t>
    <phoneticPr fontId="3" type="noConversion"/>
  </si>
  <si>
    <t>16-Port 10/100 Mbps Desktop Switch
PORT: 16× 10/100 Mbps RJ45 Ports
SPEC: Desktop Plastic Case
FEATURE: Plug and Play</t>
  </si>
  <si>
    <t>TL-SF1008D</t>
    <phoneticPr fontId="4" type="noConversion"/>
  </si>
  <si>
    <t>8-Port 10/100 Mbps Desktop Switch
PORT: 8× 10/100 Mbps RJ45 Ports
SPEC: Desktop Plastic Case
FEATURE: Plug and Play</t>
  </si>
  <si>
    <t>TL-SF1005D</t>
    <phoneticPr fontId="4" type="noConversion"/>
  </si>
  <si>
    <t>5-Port 10/100 Mbps Desktop Switch
PORT: 5× 10/100 Mbps RJ45 Ports
SPEC: Desktop Plastic Case
FEATURE: Plug and Play</t>
  </si>
  <si>
    <t>LS1008</t>
    <phoneticPr fontId="3" type="noConversion"/>
  </si>
  <si>
    <t>LiteWave 8-Port 10/100 Mbps Desktop Switch
PORT: 8× 10/100 Mbps RJ45 Ports
SPEC: Desktop Plastic Case
FEATURE: Plug and Play</t>
  </si>
  <si>
    <t>LiteWave 5-Port 10/100 Mbps Desktop Switch
PORT: 5× 10/100 Mbps RJ45 Ports
SPEC: Desktop Plastic Case
FEATURE: Plug and Play</t>
  </si>
  <si>
    <t>S6500-48GP6XF</t>
    <phoneticPr fontId="3" type="noConversion"/>
  </si>
  <si>
    <t>Omada Pro 48-Port Gigabit Stackable L3 Managed PoE+ Switch with 6 10G Slots
PORT: 48× Gigabit PoE+ RJ45 Ports, 6× 10G SFP+ Slots, RJ45/Type C USB Console Port, Management Port, 2× USB2.0 Ports
SPEC: 802.3at/af, max 1440 W PoE Power (depend on power supply module), 1U 19-inch Rack-mountable Steel Case
FEATURE: Integration with Omada Pro SDN Controller, Stacking, RIP, OSPF, BGP, IS-IS, VRRP, ECMP, PIM-SM/DM/SSM, MACsec, Secure Boot, Static Routing, DHCP Server, DHCP Relay, ERPS, RSPAN, Fast PoE, Perpetual PoE, QinQ, OAM, sFlow, DDM, 802.1Q VLAN, STP/RSTP/MSTP, IGMP Snooping, 802.1p/DSCP, QoS, ACL, 802.1x, BFD, NETCONF, GRE Tunnel, RADSEC, Radius/Tacacs+ Authentication, LACP, CLI, SNMP, Dual Image/Configuration, IPv6, Dual Redundant Power Supplies (Hot-swappable, shipping with only one power supply model)</t>
  </si>
  <si>
    <t>S6500-24GP4XF</t>
    <phoneticPr fontId="3" type="noConversion"/>
  </si>
  <si>
    <t>Omada Pro 24-Port Gigabit Stackable L3 Managed PoE+ Switch with 4 10G Slots
PORT: 24× Gigabit PoE+ RJ45 Ports, 4× 10G SFP+ Slots, RJ45/Type C USB Console Port, Management Port, 2× USB2.0 Ports
SPEC: 802.3at/af, max 720 W PoE Power (depend on power supply module), 1U 19-inch Rack-mountable Steel Case
FEATURE: Integration with Omada Pro SDN Controller, Stacking, RIP, OSPF, BGP, IS-IS, VRRP, ECMP, PIM-SM/DM/SSM, MACsec, Secure Boot, Static Routing, DHCP Server, DHCP Relay, ERPS, RSPAN, Fast PoE, Perpetual PoE, QinQ, OAM, sFlow, DDM, 802.1Q VLAN, STP/RSTP/MSTP, IGMP Snooping, 802.1p/DSCP, QoS, ACL, 802.1x, BFD, NETCONF, GRE Tunnel, RADSEC, Radius/Tacacs+ Authentication, LACP, CLI, SNMP, Dual Image/Configuration, IPv6, Dual Redundant Power Supplies (Hot-swappable, shipping with only one power supply model)</t>
  </si>
  <si>
    <t>SX6632YF</t>
    <phoneticPr fontId="3" type="noConversion"/>
  </si>
  <si>
    <t>Omada 26-Port 10G Stackable L3 Managed Aggregation Switch with 6 25G Slots
PORT: 26× 10G SFP+ Slots, 6× 25G SFP28 Slots, RJ45/Type C USB Console Port, Management Port, 2× USB3.0 Ports
SPEC: 1U 19-inch Rack-mountable Steel Case
FEATURE: Centralized Managed by Omada SDN Controller, Stacking, RIP, OSPF, VRRP, ECMP, PIM-SM/DM, ERPS, PBR, Static Routing, DHCP Server, DHCP Relay, RSPAN, QinQ, OAM, sFlow, DDM, 802.1Q VLAN, STP/RSTP/MSTP, IGMP Snooping, 802.1p/DSCP, QoS, ACL, 802.1x, Radius/Tacacs+ Authentication, LACP, CLI, SNMP, Dual Image/Configuration, IPv6, hot swappable fan and power supply modules (Hot-swappable, shipping with only one power supply module)</t>
  </si>
  <si>
    <t>SG6654XHP</t>
    <phoneticPr fontId="3" type="noConversion"/>
  </si>
  <si>
    <t>Omada 48-PortGigabit Stackable L3 Managed PoE+ Switch with 6 10GE SFP+ Slots
PORT: 48× Gigabit PoE+ RJ45 Ports, 6× 10G SFP+ Slots, RJ45/Type C USB Console Port, Management Port, 2× USB2.0 Ports
SPEC: 802.3at/af, max 1440 W PoE Power (depend on power supply module), 1U 19-inch Rack-mountable Steel Case
FEATURE: Centralized Managed by Omada SDN Controller, Stacking, RIP, OSPF, VRRP, ECMP, PIM- SM/DM, PBR, Static Routing, DHCP Server, DHCP Relay, ERPS, RSPAN, Fast PoE, Perpetual PoE, QinQ, OAM, sFlow, DDM, 802.1Q VLAN, STP/RSTP/MSTP, IGMP Snooping, 802.1p/DSCP, QoS, ACL, 802.1x, Radius/Tacacs+ Authentication, LACP, CLI, SNMP, Dual Image/Configuration, IPv6, Dual Redundant Power Supplies (Hot-swappable, shipping with only one power supply module)</t>
  </si>
  <si>
    <t>Omada 48-Port Gigabit Stackable L3 Managed Switch with 6 10GE SFP+ Slots
PORT: 48× Gigabit RJ45 Ports, 6× 10G SFP+ Slots, RJ45/Type C USB Console Port, Management Port, 2× USB2.0 Ports
SPEC: 1U 19-inch Rack-mountable Steel Case
FEATURE: Centralized Managed by Omada SDN Controller, Stacking, RIP, OSPF, VRRP, ECMP, PIM- SM/DM, Static Routing, PBR, DHCP Server, DHCP Relay, ERPS, RSPAN, QinQ, OAM, sFlow, DDM, 802.1Q VLAN, STP/RSTP/MSTP, IGMP Snooping, 802.1p/DSCP, QoS, ACL, 802.1x, Radius/Tacacs+ Authentication, LACP, CLI, SNMP, Dual Image/Configuration, IPv6, Internal Fixed Dual Redundant Power Supplies</t>
  </si>
  <si>
    <t>Omada 24-PortGigabit Stackable L3 Managed PoE+ Switch with 4 10GE SFP+ Slots
PORT: 24× Gigabit PoE+ RJ45 Ports, 4× 10G SFP+ Slots, RJ45/Type C USB Console Port, Management Port, 2× USB2.0 Ports
SPEC: 802.3at/af, max 720 W PoE Power (depend on power supply module), 1U 19-inch Rack-mountable Steel Case
FEATURE: Centralized Managed by Omada SDN Controller, Stacking, RIP, OSPF, VRRP, ECMP, PIM- SM/DM, Static Routing, PBR, DHCP Server, DHCP Relay, ERPS, RSPAN, Fast PoE, Perpetual PoE, QinQ, OAM, sFlow, DDM, 802.1Q VLAN, STP/RSTP/MSTP, IGMP Snooping, 802.1p/DSCP, QoS, ACL, 802.1x, Radius/Tacacs+ Authentication, LACP, CLI, SNMP, Dual Image/Configuration, IPv6, Dual Redundant Power Supplies (Hot-swappable, shipping with only one power supply module)</t>
  </si>
  <si>
    <t>Omada 24-Port Gigabit Stackable L3 Managed Switch with 4 10GE SFP+ Slots
PORT: 24× Gigabit RJ45 Ports, 4× 10G SFP+ Slots, RJ45/Type C USB Console Port, Management Port, 2× USB2.0 Ports
SPEC: 1U 19-inch Rack-mountable Steel Case
FEATURE: Centralized Managed by Omada SDN Controller, Stacking, RIP, OSPF, VRRP, ECMP, PIM- SM/DM, Static Routing, PBR, DHCP Server, DHCP Relay, ERPS, RSPAN, QinQ, OAM, sFlow, DDM, 802.1Q VLAN, STP/RSTP/MSTP, IGMP Snooping, 802.1p/DSCP, QoS, ACL, 802.1x, Radius/Tacacs+ Authentication, LACP, CLI, SNMP, Dual Image/Configuration, IPv6, Internal Fixed Dual Redundant Power Supplies</t>
  </si>
  <si>
    <t>SG5452XMPP</t>
  </si>
  <si>
    <t>Omada 48-Port Gigabit Stackable Lite L3 Managed PoE++ Switch with 4 10G Slots
PORT: 40× Gigabit PoE+ Ports, 8× Gigabit PoE++ Ports (up to 90 W/port), 4× 10G SFP+ Slots, RJ45/ USB Type C Console Port, 1× USB2.0 Port
SPEC: 802.3bt/at/af, 770W PoE Power, 1U 19-inch Rack-mountable Steel Case
FEATURE: Centralized Managed by Omada SDN Controller, Stacking, RIP, OSPF, Static Routing, ERPS, OAM, DDM, sFlow, Fast PoE, Perpetual PoE, 802.1Q VLAN, QinQ, STP/RSTP/MSTP, IGMP Snooping, 802.1p/DSCP QoS, ACL, 802.1x, Radius/Tacacs+ Authentication, LACP, CLI, SNMP, Dual Image/Configuration, IPv6</t>
  </si>
  <si>
    <t>SG5452X</t>
  </si>
  <si>
    <t>Omada 48-Port Gigabit Stackable Lite L3 Managed Switch with 4 10G Slots
PORT: 48× Gigabit RJ45 Ports, 4× 10G SFP+ Slots, RJ45/USB Type C Console Port, 1× USB2.0 Port
SPEC: 1U 19-inch Rack-mountable Steel Case
FEATURE: Centralized Managed by Omada SDN Controller, Stacking, RIP, OSPF, Static Routing, ERPS, OAM, sFlow, DDM, 802.1Q VLAN, QinQ, STP/RSTP/MSTP, IGMP Snooping, 802.1p/DSCP QoS, ACL, 802.1x, Radius/Tacacs+ Authentication, LACP, CLI, SNMP, Dual Image/Configuration, IPv6</t>
  </si>
  <si>
    <t>SG5428XMPP</t>
  </si>
  <si>
    <t>Omada 24-Port Gigabit Stackable Lite L3 Managed PoE++ Switch with 4 10G Slots
PORT: 16× Gigabit PoE+ Ports, 8× Gigabit PoE++ Ports (up to 90 W/port), 4× 10G SFP+ Slots, RJ45/ USB Type C Console Port, 1× USB2.0 Port
SPEC: 802.3bt/at/af, 500W PoE Power, 1U 19-inch Rack-mountable Steel Case
FEATURE: Centralized Managed by Omada SDN Controller, Stacking, RIP, OSPF, Static Routing, ERPS, OAM, DDM, sFlow, Fast PoE, Perpetual PoE, 802.1Q VLAN, QinQ, STP/RSTP/MSTP, IGMP Snooping, 802.1p/DSCP QoS, ACL, 802.1x, Radius/Tacacs+ Authentication, LACP, CLI, SNMP, Dual Image/Configuration, IPv6</t>
  </si>
  <si>
    <t>SG5428X</t>
  </si>
  <si>
    <t>Omada 24-Port Gigabit Stackable Lite L3 Managed Switch with 4 10G Slots
PORT: 24× Gigabit RJ45 Ports, 4× 10G SFP+ Slots, RJ45/USB Type C Console Port, 1× USB2.0 Port
SPEC: 1U 19-inch Rack-mountable Steel Case
FEATURE: Centralized Managed by Omada SDN Controller, Stacking, RIP, OSPF, Static Routing, ERPS, OAM, sFlow, DDM, 802.1Q VLAN, QinQ, STP/RSTP/MSTP, IGMP Snooping, 802.1p/DSCP QoS, ACL, 802.1x, Radius/Tacacs+ Authentication, LACP, CLI, SNMP, Dual Image/Configuration, IPv6</t>
  </si>
  <si>
    <t>SX3832MPP</t>
  </si>
  <si>
    <t>Omada 32-Port 10GE L2+ Managed Switch with 24-Port PoE++ 
PORT: 24× 10G RJ45 PoE++ Ports, 8× 10G SFP+ Slots, RJ45/USB Type C Console Port
SPEC: 802.3bt/at/af (up to 90W/port), 770 W PoE Power, 1U 19-inch Rack-mountable Steel Case
FEATURE: Centralized Managed by Omada SDN Controller, Static Routing, DHCP Server, OAM, DDM, 802.1Q VLAN, QinQ, Fast PoE, Perpetual PoE, STP/RSTP/MSTP, IGMP Snooping, 802.1p/DSCP QoS, ACL, 802.1x, Radius/Tacacs+ Authentication, ERPS, LACP, CLI, SNMP, Dual Image/Configuration, IPv6</t>
  </si>
  <si>
    <t>SG3452XMPP</t>
  </si>
  <si>
    <t>Omada 48-Port Gigabit and 4-Port 10GE SFP+ L2+ Managed Switch with 40-Port PoE+ &amp; 8-Port PoE++
PORT: 40× Gigabit PoE+ Ports, 8×Gigabit PoE++ Ports (max 90W/port), 4× 10G SFP+ Slots, RJ45/Micro-USB Console Port
SPEC: 802.3bt/at/af, 750 W PoE Power, 1U 19-inch Rack-mountable Steel Case
FEATURE: Centralized Managed by Omada SDN Controller, Static Routing, OAM, DDM, sFlow, 802.1Q VLAN, QinQ, STP/RSTP/MSTP, IGMP Snooping, 802.1p/DSCP QoS, ACL, 802.1x, Radius/Tacacs+ Authentication, LACP, CLI, SNMP, Dual Image/Configuration, IPv6</t>
  </si>
  <si>
    <t>SX3206HPP</t>
    <phoneticPr fontId="3" type="noConversion"/>
  </si>
  <si>
    <t>Omada 6-Port 10GE L2+ Managed Switch with 4-Port PoE++
PORT: 4× 10G PoE++ Ports, 2× 10G SFP+ Slots, RJ45/Micro-USB Console Port
SPEC: 802.3bt/at/af, 200 W PoE Power, 1U 13-inch Rack-mountable Steel Case
FEATURE: Centralized Managed by Omada SDN Controller, Static Routing, OAM, DDM, sFlow, 802.1Q VLAN, QinQ, STP/RSTP/MSTP, IGMP Snooping, 802.1p/DSCP QoS, ACL, 802.1x, Radius/Tacacs+ Authentication, LACP, CLI, SNMP, Dual Image/Configuration, IPv6</t>
  </si>
  <si>
    <t>Omada 16-Port 10GE SFP+ L2+ Managed Switch
PORT: 16× 10G SFP+ Slots, RJ45/Micro-USB Console Port
SPEC: 1U 19-inch Rack-mountable Steel Case
FEATURE: Centralized Managed by Omada SDN Controller, Static Routing, DHCP Server, ERPS, OAM, sFlow, DDM, 802.1Q VLAN, QinQ, STP/RSTP/MSTP, IGMP Snooping, 802.1p/DSCP, QoS, ACL, 802.1x, Radius/Tacacs+ Authentication, LACP, CLI, SNMP, Dual Image/Configuration, IPv6, Internal Fixed Dual Redundant Power Supplies</t>
  </si>
  <si>
    <t xml:space="preserve">Omada 8-Port 10GE SFP+ L2+ Managed Switch
PORT: 8× 10G SFP+ Slots, RJ45/Micro-USB Console Port
SPEC: 1U 19-inch Rack-mountable Steel Case
FEATURE: Centralized Managed by Omada SDN Controller, Static Routing, OAM, sFlow, DDM, 802.1Q VLAN, QinQ, STP/RSTP/MSTP, IGMP Snooping, 802.1p/DSCP, QoS, ACL, 802.1x, Radius/Tacacs+ Authentication, LACP, CLI, SNMP, Dual Image/Configuration, IPv6 </t>
  </si>
  <si>
    <t>SG3452XP</t>
  </si>
  <si>
    <t>Omada 48-Port Gigabit and 4-Port 10GE SFP+ L2+ Managed Switch with 48-Port PoE+
PORT: 48× Gigabit PoE+ Ports, 4× 10G SFP+ Slots, RJ45/Micro-USB Console Port
SPEC: 802.3at/af, 500 W PoE Power, 1U 19-inch Rack-mountable Steel Case
FEATURE: Centralized Managed by Omada SDN Controller, Static Routing, OAM, DDM, sFlow, 802.1Q VLAN, QinQ, STP/RSTP/MSTP, IGMP Snooping, 802.1p/DSCP QoS, ACL, 802.1x, Radius/Tacacs+ Authentication, LACP, CLI, SNMP, Dual Image/Configuration, IPv6</t>
  </si>
  <si>
    <t>SG3452X</t>
  </si>
  <si>
    <t>Omada 48-Port Gigabit L2+ Managed Switch with 4 10GE SFP+ Slots
PORT: 48× Gigabit RJ45 Ports, 4× 10G SFP+ Slots, RJ45/Micro-USB Console Port
SPEC: 1U 19-inch Rack-mountable Steel Case
FEATURE: Centralized Managed by Omada SDN Controller, Static Routing, OAM, sFlow, DDM, 802.1Q VLAN, QinQ, STP/RSTP/MSTP, IGMP Snooping, 802.1p/DSCP QoS, ACL, 802.1x, Radius/Tacacs+ Authentication, LACP, CLI, SNMP, Dual Image/Configuration, IPv6</t>
  </si>
  <si>
    <t>SG3218XP-M2</t>
    <phoneticPr fontId="3" type="noConversion"/>
  </si>
  <si>
    <t>Omada 16-Port 2.5GBASE-T and 2-Port 10GE SFP+ L2+ Managed Switch with 8-Port PoE+      
PORT: 8× 2.5G PoE+ Ports, 8× 2.5G Non-PoE Ports, 2× 10G SFP+ Slots, RJ45/Micro-USB Console Port
SPEC: 802.3at/af, 240 W PoE Power, 1U 19-inch Rack-mountable Steel Case
FEATURE: Centralized Managed by Omada SDN Controller,Static Routing, OAM, DDM, 802.1Q VLAN, QinQ, STP/RSTP/MSTP, IGMP Snooping, 802.1p/DSCP QoS, ACL, 802.1x, Radius/Tacacs+ Authentication, LACP, CLI, SNMP, Dual Image/Configuration, IPv6</t>
  </si>
  <si>
    <t>Omada 8-Port 2.5GBASE-T and 2-Port 10GE SFP+ L2+ Managed Switch with 8-Port PoE+
PORT: 8× 2.5G PoE+ Ports, 2× 10G SFP+ Slots, RJ45/Micro-USB Console Port
SPEC: 802.3at/af, 240 W PoE Power, 1U 19-inch Rack-mountable Steel Case
FEATURE: Centralized Managed by Omada SDN Controller, Static Routing, OAM, DDM, sFlow, 802.1Q VLAN, QinQ, STP/RSTP/MSTP, IGMP Snooping, 802.1p/DSCP QoS, ACL, 802.1x, Radius/Tacacs+ Authentication, LACP, CLI, SNMP, Dual Image/Configuration, IPv6</t>
  </si>
  <si>
    <t>SG3428XPP-M2</t>
    <phoneticPr fontId="3" type="noConversion"/>
  </si>
  <si>
    <t>Omada 24-Port 2.5GBASE-T and 4-Port 10GE SFP+ L2+ Managed Switch with 16-Port PoE+ &amp; 8-Port PoE++
PORT: 16× 2.5G PoE+ Ports, 8× 2.5G PoE++ Ports, 4× 10G SFP+ Slots, RJ45/Micro-USB Console Port
SPEC: 802.3bt/at/af, 500 W PoE Power, 1U 19-inch Rack-mountable Steel Case
FEATURE: Centralized Managed by Omada SDN Controller, Static Routing, OAM, DDM, 802.1Q VLAN, QinQ, STP/RSTP/MSTP, IGMP Snooping, 802.1p/DSCP QoS, ACL, 802.1x, Radius/Tacacs+ Authentication, LACP, CLI, SNMP, Dual Image/Configuration, IPv6</t>
  </si>
  <si>
    <t>Omada 24-Port Gigabit and 4-Port 10GE SFP+ L2+ Managed Switch with 24-Port PoE+ 
PORT: 24× Gigabit PoE+ Ports, 4× 10G SFP+ Slots, RJ45/Micro-USB Console Port
SPEC: 802.3at/af, 384 W PoE Power, 1U 19-inch Rack-mountable Steel Case
FEATURE: Centralized Managed by Omada SDN Controller, Static Routing, OAM, DDM, sFlow, 802.1Q VLAN, QinQ, STP/RSTP/MSTP, IGMP Snooping, 802.1p/DSCP QoS, ACL, 802.1x, Radius/Tacacs+ Authentication, LACP, CLI, SNMP, Dual Image/Configuration, IPv6</t>
  </si>
  <si>
    <t>SG3428X</t>
  </si>
  <si>
    <t xml:space="preserve">Omada 24-Port Gigabit L2+ Managed Switch with 4 10GE SFP+ Slots
PORT: 24× Gigabit RJ45 Ports, 4× 10G SFP+ Slots, RJ45/Micro-USB Console Port
SPEC: 1U 19-inch Rack-mountable Steel Case
FEATURE: Centralized Managed by Omada SDN Controller, Static Routing, OAM, sFlow, DDM, 802.1Q VLAN, QinQ, STP/RSTP/MSTP, IGMP Snooping, 802.1p/DSCP QoS, ACL, 802.1x, Radius/Tacacs+ Authentication, LACP, CLI, SNMP, Dual Image/Configuration, IPv6 </t>
  </si>
  <si>
    <t>Omada 24-Port SFP L2+ Managed Switch with 4 10GE SFP+ Slots
PORT: 20× Gigabit SFP Ports, 4× Gigabit SFP/RJ45 Combo Ports, 4× 10G SFP+ Slots, RJ45/Micro-USB Console Port
SPEC: 1U 19-inch Rack-mountable Steel Case
FEATURE: Centralized Managed by Omada SDN Controller, Static Routing, DHCP Server, ERPS, OAM, sFlow, DDM, 802.1Q VLAN, QinQ, STP/RSTP/MSTP, IGMP Snooping, 802.1p/DSCP QoS, ACL, 802.1x, Radius/Tacacs+ Authentication, LACP, CLI, SNMP, Dual Image/Configuration, IPv6, Internal Fixed Dual Redundant Power Supplies</t>
  </si>
  <si>
    <t>Omada 52-Port Gigabit L2+ Managed Switch with 48-Port PoE+
PORT: 48× Gigabit PoE+ Ports, 4× Gigabit SFP Slots, RJ45/Micro-USB Console Port
SPEC: 802.3at/af, 384 W PoE Power, 1U 19-inch Rack-mountable Steel Case
FEATURE: Centralized Managed by Omada SDN Controller,Static Routing, 802.1Q VLAN, QinQ, STP/RSTP/MSTP, IGMP Snooping, 802.1p/DSCP QoS, ACL, 802.1x, Radius/Tacacs+ Authentication, LACP, CLI, SNMP, Dual Image/Configuration, IPv6</t>
  </si>
  <si>
    <t>Omada 48-Port Gigabit L2+ Managed Switch with 4 SFP Slots
PORT: 48× Gigabit RJ45 Ports, 4× Gigabit SFP Slots, RJ45/Micro-USB Console Port
SPEC: 1U 19-inch Rack-mountable Steel Case
FEATURE: Centralized Managed by Omada SDN Controller, Static Routing, 802.1Q VLAN, QinQ, STP/RSTP/MSTP, IGMP Snooping, 802.1p/DSCP QoS, ACL, 802.1x, Radius/Tacacs+ Authentication, LACP, CLI, SNMP, Dual Image/Configuration, IPv6</t>
  </si>
  <si>
    <t>Omada 28-Port PoE+ Gigabit L2+ Managed Switch with 4 SFP Slots
PORT: 24× Gigabit PoE+ Ports, 4× Gigabit SFP Slots, RJ45/Micro-USB Console Port
SPEC: 802.3at/af, 384 W PoE Power, 1U 19-inch Rack-mountable Steel Case
FEATURE: Centralized Managed by Omada SDN Controller,Static Routing, OAM, 802.1Q VLAN, QinQ, STP/RSTP/MSTP, IGMP Snooping, 802.1p/DSCP QoS, ACL, 802.1x, Radius/Tacacs+ Authentication, LACP, CLI, SNMP, Dual Image/Configuration, IPv6</t>
  </si>
  <si>
    <t>Omada 24-Port Gigabit L2+ Managed Switch with 4 SFP Slots
PORT: 24× Gigabit RJ45 Ports, 4× Gigabit SFP Slots, RJ45/Micro-USB Console Port
SPEC: 1U 19-inch Rack-mountable Steel Case
FEATURE: Centralized Managed by Omada SDN Controller, Static Routing, OAM, 802.1Q VLAN, QinQ, STP/RSTP/MSTP, IGMP Snooping, 802.1p/DSCP QoS, ACL, 802.1x, Radius/Tacacs+ Authentication, LACP, CLI, SNMP, Dual Image/Configuration, IPv6</t>
  </si>
  <si>
    <t>Omada 8-Port Gigabit L2+ Managed Switch with 2 SFP Slots
PORT: 8× Gigabit RJ45 Ports, 2× Gigabit SFP Slots, RJ45/Micro-USB Console Port
SPEC: 1U 13-inch Rack-mountable Steel Case
FEATURE: Centralized Managed by Omada SDN Controller, Static Routing, OAM, DDM, 802.1Q VLAN, QinQ, STP/RSTP/MSTP, IGMP Snooping, 802.1p/DSCP QoS, ACL, 802.1x, Radius/Tacacs+ Authentication, LACP, CLI, SNMP, Dual Image/Configuration, IPv6</t>
  </si>
  <si>
    <t>PSM900-AC</t>
    <phoneticPr fontId="3" type="noConversion"/>
  </si>
  <si>
    <t>900W AC Power Supply Module
SPEC: Up to 900 watts output power, Steel Case with FAN
FEATURE: Hot swappable power supply module, 100 V–240 V~ 50/60 Hz input, 53.5 VDC output, Suitable for L3 PoE Switch such as SG6654XHP and SG6428XHP</t>
  </si>
  <si>
    <t>PSM550-AC</t>
  </si>
  <si>
    <t>550 W AC Power Supply Module
SPEC: Up to 550 watts output power, Steel Case with FAN
FEATURE: Hot swappable power supply module, 100 V–240 V~ 50/60 Hz input, 12 VDC output, Suitable for full fiber port L3 aggregation/core switch such as SX6632YF</t>
  </si>
  <si>
    <t>500 W AC Power Supply Module
SPEC: Up to 500 watts output power, Steel Case with FAN
FEATURE: Hot swappable power supply module, 100 V–240 V~ 50/60 Hz input, 53.5 VDC output, Suitable for L3 PoE switch such as SG6428XHP</t>
  </si>
  <si>
    <t>Omada 10-Port Gigabit Industrial Easy Managed Switch with 6-Port PoE+ and 2-Port PoE++
PORT: 2× Gigabit PoE++ Port, 6× Gigabit PoE+ Ports, 2× Combo Gigabit RJ45/SFP Ports
SPEC: 802.3af/at/bt type3, Up to 240 W PoE Power(Depends on power input specifications), -40-75 ℃ Operating Temperature, DIN-rail/Wall mounting Aluminum Case and Fanless
Power：Dual 12-57V DC Input, power adapter is not included
FEATURE: Centralized Management by Omada SDN Controller, Omada App. Flow Control, Loopback Detection, Port Mirroring, LAG, VLAN, IGMP Snooping, QoS, Storm Control</t>
  </si>
  <si>
    <t>Omada 6-Port Gigabit Industrial Easy Managed Switch with 3-Port PoE+ and 1-Port PoE++
PORT: 1× Gigabit PoE++ Port, 3× Gigabit PoE+ Ports, 1×Gigabit SFP Slot, 1× Combo Gigabit RJ45/SFP Port
SPEC: 802.3af/at/bt type3, Up to 120 W PoE Power(Depends on power input specifications), -40-75 ℃ Operating Temperature, DIN-rail/Wall mounting Aluminum Case and Fanless
Power：Dual 12-57V DC Input, power adapter is not included
FEATURE: Centralized Management by Omada SDN Controller, Omada App. Flow Control, Loopback Detection, Port Mirroring, LAG, VLAN, IGMP Snooping, QoS, Storm Control</t>
  </si>
  <si>
    <t>Omada 8-Port Gigabit Industrial Easy Managed Switch
PORT: 6× Gigabit RJ45 Ports, 2× Combo Gigabit RJ45/SFP Ports
SPEC: -40-75 ℃ Operating Temperature, DIN-rail/Wall mounting Aluminum Case and Fanless
Power：Dual 9.6-60V DC Input, power adapter is not included
FEATURE: Centralized Management by Omada SDN Controller, Omada App. Flow Control, Loopback Detection, Port Mirroring, LAG, VLAN, IGMP Snooping, QoS, Storm Control</t>
  </si>
  <si>
    <t>Omada 6-Port Gigabit Industrial Easy Managed Switch
PORT: 4× Gigabit RJ45 Ports, 1×Gigabit SFP Slot, 1× Combo Gigabit RJ45/SFP Port
SPEC: -40-75 ℃ Operating Temperature, DIN-rail/Wall mounting Aluminum Case and Fanless
Power：Dual 9.6-60V DC Input, power adapter is not included
FEATURE: Centralized Management by Omada SDN Controller, Omada App. Flow Control, Loopback Detection, Port Mirroring, LAG, VLAN, IGMP Snooping, QoS, Storm Control</t>
  </si>
  <si>
    <t>SG2428P</t>
    <phoneticPr fontId="3" type="noConversion"/>
  </si>
  <si>
    <t>Omada 28-Port PoE+ Gigabit Smart Switch with 4 SFP Slots
PORT: 24× Gigabit PoE+ Ports, 4× Gigabit SFP Slots
SPEC: 802.3at/af, 250 W PoE Power, 1U 19-inch Rack-mountable Steel Case
FEATURE: Centralized Managed by Omada SDN Controller, Static Routing, 802.1Q VLAN, STP/RSTP/MSTP, IGMP Snooping, 802.1p/DSCP QoS, ACL, 802.1x, Radius/Tacacs+ Authentication, LACP, CLI, SNMP, Dual Image, IPv6</t>
  </si>
  <si>
    <t>SG2218</t>
    <phoneticPr fontId="3" type="noConversion"/>
  </si>
  <si>
    <t>Omada 16-Port Gigabit Smart Switch with 2 Gigabit SFP Slots
PORT: 16× Gigabit RJ45 Ports, 2× Gigabit SFP Slots
SPEC: 1U 19-inch Rack-mountable Steel Case
FEATURE: Centralized Managed by Omada SDN Controller, Static Routing, 802.1Q VLAN, STP/RSTP/MSTP, IGMP Snooping, 802.1p/DSCP QoS, ACL, 802.1x, Radius/Tacacs+ Authentication, LACP, CLI, SNMP, Dual Image/Configuration, IPv6</t>
  </si>
  <si>
    <t>SG2210MP</t>
    <phoneticPr fontId="3" type="noConversion"/>
  </si>
  <si>
    <t>Omada 10-Port Gigabit Smart Switch with 8-Port PoE+
PORT: 8× Gigabit PoE+ Ports, 2× Gigabit SFP Slots
SPEC: 802.3at/af, 150 W PoE Power, 1U 13-inch Rack-mountable Steel Case
FEATURE: Centralized Managed by Omada SDN Controller, Static Routing, 802.1Q VLAN, STP/RSTP/MSTP, IGMP Snooping, 802.1p/DSCP QoS, ACL, 802.1x, Radius/Tacacs+ Authentication, LACP, CLI, SNMP, Dual Image, IPv6</t>
  </si>
  <si>
    <t>SG2016P</t>
    <phoneticPr fontId="3" type="noConversion"/>
  </si>
  <si>
    <t>Omada  16-Port Gigabit Smart Switch with 8-Port PoE+
PORT: 8× Gigabit PoE+ Ports
SPEC: 802.3at/af, 120 W PoE Power, Desktop Steel Case, Fanless
FEATURE: Centralized Managed by Omada SDN Controller, Static Routing, 802.1Q VLAN, STP/RSTP/MSTP, IGMP Snooping, 802.1p/DSCP QoS, ACL, 802.1x, Radius/Tacacs+ Authentication, LACP, CLI, SNMP, Dual Image, IPv6</t>
  </si>
  <si>
    <t>SG2210P</t>
    <phoneticPr fontId="3" type="noConversion"/>
  </si>
  <si>
    <t>Omada 10-Port Gigabit Smart Switch with 8-Port PoE+
PORT: 8× Gigabit PoE Ports, 2× Gigabit SFP Slots
SPEC: 802.3at/af, 61 W PoE Power, Desktop Steel Case
FEATURE: Centralized Managed by Omada SDN Controller, Static Routing, 802.1Q VLAN, STP/RSTP/MSTP, IGMP Snooping, 802.1p/DSCP QoS, ACL, 802.1x, Radius/Tacacs+ Authentication, LACP, CLI, SNMP, Dual Image, IPv6</t>
  </si>
  <si>
    <t>Omada 10-Port Gigabit Easy Managed Switch with 8-Port PoE+
PORT: 8× Gigabit PoE+ Ports, 1x Gigabit Non-PoE Ports, 1× Combo Gigabit RJ45/SFP Port
SPEC: 802.3at/af, 63 W PoE Power,  Desktop Steel Case and Fanless
FEATURE: Centralized Management by Omada SDN Controller, Omada App. Flow Control, Loopback Detection, Port Isolation, Port Mirroring, LAG, VLAN, IGMP Snooping, QoS, Storm Control</t>
  </si>
  <si>
    <t>SG2008P</t>
    <phoneticPr fontId="3" type="noConversion"/>
  </si>
  <si>
    <t>Omada 8-Port Gigabit Smart Switch with 4-Port PoE+
PORT: 4× Gigabit PoE+ Ports, 4× Gigabit Non-PoE Ports
SPEC: 802.3at/af, 62 W PoE Power, Desktop Steel Case
FEATURE: Centralized Managed by Omada SDN Controller, 802.1Q VLAN, STP/RSTP/MSTP, IGMP Snooping, 802.1p/DSCP QoS, ACL, 802.1x, Radius/Tacacs+ Authentication, LACP, CLI, SNMP, Dual Image, IPv6</t>
  </si>
  <si>
    <t>SG2206MP</t>
  </si>
  <si>
    <t>Omada Access 6-Port Gigabit Switch with 4-Port PoE+
PORT: 4× Gigabit PoE Ports, 1× Gigabit Non-PoE Port, 1× Gigabit SFP Slot
SPEC: 802.3at/af, 63 W PoE Power, Desktop Steel Case
FEATURE: Centralized Managed by Omada SDN Controller, 802.1Q VLAN, STP/RSTP/MSTP, IGMP Snooping, 802.1p/DSCP QoS, ACL, 802.1x, Fast PoE, Perpetual PoE, Radius/Tacacs+ Authentication, LACP, CLI, SNMP, Dual Image, IPv6</t>
  </si>
  <si>
    <t>SG2008</t>
    <phoneticPr fontId="3" type="noConversion"/>
  </si>
  <si>
    <t>Omada 8-Port Gigabit Smart Switch
PORT: 8× Gigabit RJ45 Ports including 1 PoE IN Port
SPEC: Desktop Steel Case
FEATURE: Centralized Managed by Omada SDN Controller, Static Routing, 802.1Q VLAN, STP/RSTP/MSTP, IGMP Snooping, 802.1p/DSCP QoS, ACL, 802.1x, Radius/Tacacs+ Authentication, LACP, CLI, SNMP, Dual Image, IPv6</t>
  </si>
  <si>
    <t>SL2428P</t>
    <phoneticPr fontId="3" type="noConversion"/>
  </si>
  <si>
    <t>Omada 24-Port 10/100 Mbps + 4-Port Gigabit Smart Switch with 24-Port PoE+
PORT: 24× 10/100 Mbps PoE+ Ports, 2× Gigabit Non-PoE Ports, 2× Combo Gigabit RJ45/SFP Ports
SPEC: 802.3at/af, 250 W PoE Power, 1U 19-inch Rack-mountable Steel Case
FEATURE: Centralized Managed by Omada SDN Controller, 802.1Q VLAN, STP/RSTP/MSTP, IGMP Snooping, 802.1p/DSCP QoS, ACL, 802.1x, Radius/Tacacs+ Authentication, LACP, CLI, SNMP, Dual Image, IPv6</t>
  </si>
  <si>
    <t>28-Port Gigabit Easy Smart Switch with 24-Port PoE+
PORT: 24× Gigabit PoE+ Ports, 2× Gigabit Non-PoE Ports, 2×  Gigabit SFP Slots
SPEC: 802.3at/af, 250 W PoE Power, 1U 19-inch Rack-mountable Steel Case
FEATURE: PoE Auto Recovery, MTU/Port/Tag-based VLAN, QoS, IGMP Snooping, Web/Utility Management</t>
  </si>
  <si>
    <t>18-Port Gigabit Easy Smart Switch with 16-Port PoE+
PORT: 16× Gigabit PoE+ Ports, 2× Gigabit SFP Slots
SPEC: 802.3at/af, 192 W PoE Power, 1U 19-inch Rack-mountable Steel Case
FEATURE: MTU/Port/Tag-based VLAN, QoS, IGMP Snooping, Web/Utility Management</t>
  </si>
  <si>
    <t>16-Port Gigabit Easy Smart Switch with 8-Port PoE+
PORT: 8× Gigabit PoE+ Ports, 8× Gigabit Non-PoE Ports
SPEC: 802.3at/af, 110 W PoE Power, 1U 13-inch Rack-mountable Steel Case
FEATURE: MTU/Port/Tag-based VLAN, QoS, IGMP Snooping, Web/Utility Management</t>
  </si>
  <si>
    <t>TL-SG1210MPE</t>
    <phoneticPr fontId="4" type="noConversion"/>
  </si>
  <si>
    <t>10-Port Gigabit Easy Smart Switch with 8-Port PoE+
PORT: 8× Gigabit PoE+ Ports, 2x Gigabit Non-PoE Ports, 1× Combo Gigabit SFP Slot
SPEC: 802.3at/af, 123 W PoE Power,  Desktop Steel Case
FEATURE: PoE Auto Recovery, MTU/Port/Tag-based VLAN, QoS, IGMP Snooping, Web/Utility Management, Plug and Play</t>
  </si>
  <si>
    <t>TL-SG108PE</t>
    <phoneticPr fontId="4" type="noConversion"/>
  </si>
  <si>
    <t>8-Port Gigabit Easy Smart Switch with 4-Port PoE
PORT: 4× Gigabit PoE Ports, 4× Gigabit Non-PoE Ports
SPEC: 802.3af, 55 W PoE Power, Desktop Steel Case
FEATURE: MTU/Port/Tag-based VLAN, QoS, IGMP Snooping, Web/Utility Management, Plug and Play</t>
  </si>
  <si>
    <t>5-Port Gigabit Easy Smart Switch with 4-Port PoE+
PORT: 4× Gigabit PoE+ Ports, 1× Gigabit Non-PoE Ports
SPEC: 802.3at/af, 65 W PoE Power, Desktop Steel Case
FEATURE: PoE Auto Recovery, MTU/Port/Tag-based VLAN, QoS, IGMP Snooping, Web/Utility Management, Plug and Play</t>
  </si>
  <si>
    <t>18-Port Gigabit Rackmount  Switch with 16-Port PoE+
PORT: 16× Gigabit PoE+ Ports, 2× Gigabit Non-PoE Ports, 2× Combo Gigabit SFP Slots
SPEC: 802.3at/af, 250 W PoE Power, 1U 19-inch Rack-mountable Steel Case
FEATURE: Plug and Play</t>
  </si>
  <si>
    <t>TL-SG1210MP</t>
  </si>
  <si>
    <t>10-Port Gigabit Desktop Switch with 8-Port PoE+
PORT: 8× Gigabit PoE+ Ports, 2x Gigabit Non-PoE Ports, 1× Combo Gigabit SFP Slot
SPEC: 802.3at/af, 123 W PoE Power,  Desktop Steel Case
FEATURE: Extend Mode for 250m PoE Transmitting, Priority Mode for Port1-2, Isolation Mode, PoE Auto Recovery, Plug and Play</t>
  </si>
  <si>
    <t>TL-SG1008MP</t>
    <phoneticPr fontId="4" type="noConversion"/>
  </si>
  <si>
    <t>8-Port Gigabit Switch with 8-Port PoE+ 
PORT: 8× Gigabit PoE+ Ports
SPEC: 802.3at/af, 126 W PoE Power, 1U 13-inch Rack-mountable Steel Case
FEATURE: Plug and Play</t>
  </si>
  <si>
    <t>10-Port Gigabit Switch with 8-Port PoE+ 
PORT: 8× Gigabit PoE+ Ports, 1x Gigabit Non-PoE Port, 1× Gigabit SFP Slot
SPEC: 802.3at/af, 63 W PoE Power,  Desktop Steel Case
FEATURE: Plug and Play</t>
  </si>
  <si>
    <t>TL-SG1008P</t>
    <phoneticPr fontId="3" type="noConversion"/>
  </si>
  <si>
    <t>8-Port Gigabit Desktop Switch with  4-Port PoE 
PORT: 4× Gigabit PoE Ports, 4× Gigabit Non-PoE Ports
SPEC: 802.3af, 55 W PoE Power, Desktop Steel Case
FEATURE: Plug and Play</t>
  </si>
  <si>
    <t>TL-SG1005P</t>
    <phoneticPr fontId="4" type="noConversion"/>
  </si>
  <si>
    <t>5-Port Gigabit Desktop Switch with  4-Port PoE 
PORT: 4× Gigabit PoE Ports, 1× Gigabit Non-PoE Port
SPEC: 802.3af, 56 W PoE Power, Desktop Steel Case
FEATURE: Plug and Play</t>
  </si>
  <si>
    <t>TL-SG1005LP</t>
    <phoneticPr fontId="4" type="noConversion"/>
  </si>
  <si>
    <t>5-Port Gigabit Desktop Switch with  4-Port PoE+ 
PORT: 4× Gigabit PoE+ Ports, 1× Gigabit Non-PoE Port
SPEC: 802.3af/at, 40 W PoE Power, Desktop Steel Case
FEATURE: Plug and Play</t>
  </si>
  <si>
    <t>TL-SL1226P</t>
    <phoneticPr fontId="4" type="noConversion"/>
  </si>
  <si>
    <t>24-Port 10/100 Mbps + 2-Port Gigabit Rackmount Switch with 24-Port PoE+ 
PORT: 24× 10/100 Mbps PoE+ Ports, 2× Gigabit Non-PoE Ports, 2× Combo Gigabit SFP Slots
SPEC: 802.3at/af, 250 W PoE Power, 1U 19-inch Rack-mountable Steel Case
FEATURE: Extend Mode for 250m PoE Transmitting, Priority Mode for Port1-8, Isolation Mode, Plug and Play</t>
  </si>
  <si>
    <t>TL-SL1218MP</t>
    <phoneticPr fontId="3" type="noConversion"/>
  </si>
  <si>
    <t>16-Port 10/100 Mbps + 2-Port Gigabit Rackmount Switch with 16-Port PoE+ 
PORT: 16× 10/100 Mbps PoE+ Ports, 2× Gigabit Non-PoE Ports, 2× Combo Gigabit SFP Slots
HARDWARE: 802.3at/af, 192 W PoE Power, 1U 19-inch Rack-mountable Steel Case
FEATURE: Extend Mode for 250 m PoE Transmitting, Priority Mode for Port 1-8, Plug and Play</t>
  </si>
  <si>
    <t>16-Port 10/100Mbps + 2-Port Gigabit Rackmount Switch with 16-Port PoE+
PORT: 16× 10/100 Mbps PoE+ Ports, 2× Gigabit Non-PoE Ports, 1× Combo Gigabit SFP Slot
HARDWARE: 802.3at/af, 150 W PoE Power, 1U 19-inch Rack-mountable Steel Case
FEATURE: Extend Mode for 250 m PoE Transmitting, Priority Mode for Port 1-8, Isolation Mode, Plug and Play</t>
  </si>
  <si>
    <t>TL-SL1311MP</t>
    <phoneticPr fontId="4" type="noConversion"/>
  </si>
  <si>
    <t>8-Port 10/100Mbps + 3-Port Gigabit Desktop Switch with 8-Port PoE+
PORT: 8× 10/100 Mbps PoE+ Ports, 2× Gigabit Non-PoE Ports, 1× Gigabit SFP Slots
SPEC: 802.3at/af, 124 W PoE Power, Desktop Steel Case
FEATURE: Extend Mode for 250m PoE Transmitting, Isolation Mode, PoE Auto Recovery, Plug and Play</t>
  </si>
  <si>
    <t>9-Port 10/100 Mbps Desktop Switch with 8-Port PoE+
PORT: 8× 10/100 Mbps PoE+ Ports, 1× 10/100 Mbps Non-PoE Ports
SPEC: 802.3at/af, 65 W PoE Power, Desktop Steel Case
FEATURE: Extend Mode for 250m PoE Transmitting, Priority Mode for Port1-2, Isolation Mode, Plug and Play</t>
  </si>
  <si>
    <t>TL-SF1008P</t>
    <phoneticPr fontId="3" type="noConversion"/>
  </si>
  <si>
    <t>8-Port 10/100 Mbps Desktop Switch with 4-Port PoE
PORT: 4× 10/100 Mbps PoE Ports, 4× 10/100 Mbps Non-PoE Ports
SPEC: 802.3af, 57 W PoE Power, Desktop Steel Case
FEATURE: Plug and Play</t>
  </si>
  <si>
    <t>TL-SF1008LP</t>
    <phoneticPr fontId="3" type="noConversion"/>
  </si>
  <si>
    <t>8-Port 10/100 Mbps Desktop Switch with 4-Port PoE
PORT: 4× 10/100 Mbps PoE Ports, 4× 10/100 Mbps Non-PoE Ports
SPEC: 802.3af, 41 W PoE Power, Desktop Steel Case
FEATURE: Extend Mode for 250m PoE Transmitting, Priority Mode for Port1-2, Plug and Play</t>
  </si>
  <si>
    <t>6-Port 10/100 Mbps Desktop Switch with 4-Port PoE+
PORT: 4× 10/100 Mbps PoE+ Ports, 2× 10/100 Mbps Non-PoE Ports
SPEC: 802.3at/af, 67 W PoE Power, Desktop Steel Case
FEATURE: Extend Mode for 250m PoE Transmitting, Priority Mode for Port1-2, Plug and Play</t>
  </si>
  <si>
    <t>5-Port 10/100 Mbps Desktop Switch with 4-Port PoE
PORT: 4× 10/100 Mbps PoE Ports, 1× 10/100 Mbps Non-PoE Port
SPEC: 802.3af, 58 W PoE Power, Desktop Steel Case
FEATURE: Plug and Play</t>
  </si>
  <si>
    <t>5-Port 10/100 Mbps Desktop Switch with 4-Port PoE
PORT: 4× 10/100 Mbps PoE Ports, 1× 10/100 Mbps Non-PoE Port
SPEC: 802.3af, 41 W PoE Power, Desktop Steel Case
FEATURE: Extend Mode for 250m PoE Transmitting, Priority Mode for Port1-2, Plug and Play</t>
  </si>
  <si>
    <t>24-Port Gigabit Easy Smart Switch
PORT: 24× Gigabit RJ45 Ports
SPEC: 1U 13-inch Rack-mountable Steel Case
FEATURE: MTU/Port/Tag-based VLAN, QoS, IGMP Snooping, Web/Utility Management, Plug and Play</t>
  </si>
  <si>
    <t>TL-SG116E</t>
    <phoneticPr fontId="4" type="noConversion"/>
  </si>
  <si>
    <t>16-Port Gigabit Easy Smart Switch
PORT: 16× Gigabit RJ45 Ports
SPEC: Desktop Steel Case
FEATURE: MTU/Port/Tag-based VLAN, QoS, IGMP Snooping, Web/Utility Management, Plug and Play</t>
  </si>
  <si>
    <t>8-Port Gigabit Easy Smart Switch
PORT: 8× Gigabit RJ45 Ports
SPEC: Desktop Steel Case
FEATURE: MTU/Port/Tag-based VLAN, QoS, IGMP Snooping, Web/Utility Management, Plug and Play</t>
  </si>
  <si>
    <t>TL-SG105E</t>
  </si>
  <si>
    <t>5-Port Gigabit Easy Smart Switch
PORT: 5× Gigabit RJ45 Ports
SPEC: Desktop Steel Case
FEATURE: MTU/Port/Tag-based VLAN, QoS, IGMP Snooping, Web/Utility Management, Plug and Play</t>
  </si>
  <si>
    <t>ER8411</t>
    <phoneticPr fontId="3" type="noConversion"/>
  </si>
  <si>
    <t>Omada VPN Router with 10G Ports
PORT: 1× 10G SFP+ WAN Port, 1× 10G SFP+ WAN/LAN Port,1× Gigabit SFP WAN/LAN Port, 8× Gigabit RJ45 WAN/LAN Ports, 2× USB3.0 port
FEATURE: Centralized Management by Omada SDN Controller, Omada App, Support SSL VPN, OpenVPN and IPsec/ PPTP/ L2TP/ L2TP over IPSec VPN, 1500000 Concurrent Sessions, Dual Power Supply, Load Balance, Link Backup, 4G LTE Backup with USB Dongle, Policy-based Firewall, Static Routing, Policy Routing, Multi-net DHCP, Guest Portal, VLAN, Support RJ45 SFP+/SFP Module</t>
  </si>
  <si>
    <t>ER7212PC</t>
    <phoneticPr fontId="3" type="noConversion"/>
  </si>
  <si>
    <t>Omada Gigabit VPN Router with PoE+ Ports and Controller Ability
PORT: 2× Gigabit SFP WAN/LAN Port, 1× Gigabit RJ45 WAN Port, 1× Gigabit RJ45 WAN/LAN Ports, 8× Gigabit RJ45 LAN ports
SPEC: 802.3at/af, 8 Ports with 110 W PoE Power, Desktop &amp; Wall-mount Steel Case
FEATURE: 3-in-1 (Router, PoE+ output, Controller), Support IPSec/PPTP/L2TP VPN &amp; OpenVPN, Load Balance, Link Backup, Policy-based Firewall, Static Routing, Policy Routing, Multi-net DHCP, Guest Portal, VLAN, Cloud Access, Multi-site Management, Omada App</t>
  </si>
  <si>
    <t>ER7412-M2</t>
    <phoneticPr fontId="3" type="noConversion"/>
  </si>
  <si>
    <t>Omada Multi-Gigabit VPN Router
PORT: 2× 2.5G WAN/LAN RJ45 Port, 2× Gigabit SFP WAN/LAN Port, 8× Gigabit WAN/LAN RJ45 Ports, 1× USB 3.0 port
SPEC: 1U 13-inch Rack-mountable Steel Case
FEATURE: Centralized Management by Omada SDN Controller, Omada App, Support SSL VPN, OpenVPN and IPsec/ PPTP/ L2TP/ L2TP over IPSec VPN, 1000000 Concurrent Sessions, Load Balance, Link Backup, 4G LTE Backup with USB Dongle, Policy-based Firewall, Static Routing, Policy Routing, Multi-net DHCP, Guest Portal, VLAN, Support RJ45/SFP Module</t>
  </si>
  <si>
    <t>ER706W</t>
    <phoneticPr fontId="3" type="noConversion"/>
  </si>
  <si>
    <t>Omada AX3000 Wi-Fi 6 Gigabit VPN Router
PORT: 1× Gigabit SFP WAN/LAN Port, 1× Gigabit RJ45 WAN Port, 4× Gigabit WAN/LAN RJ45 Ports, 1× USB 3.0
SPEED: 574Mbps at 2.4 GHz + 2402 Mbps at 5 GHz (HE160)
FEATURE: Centralized Management by Omada SDN Controller, Omada App, Support SSL VPN, OpenVPN and Wireguard/ IPsec/ PPTP/ L2TP/ L2TP over IPSec VPN, 3× Detachable Antennas, 160MHz  Supported, OFDMA, MU-MIMO, Beamforming, Load Balance, Link Backup, 4G LTE Backup with USB Dongle, Policy-based Firewall, Static Routing, Policy Routing, Multi-net DHCP, VLAN, stateful ACL, mDNS Repeater, Bridge VLAN</t>
  </si>
  <si>
    <t>Omada Gigabit VPN Router 
PORT: 1× Gigabit SFP WAN Port, 1× Gigabit RJ45 WAN Port, 2× Gigabit WAN/LAN RJ45 Ports, 2× Gigabit RJ45 LAN port
FEATURE: Centralized Management by Omada SDN Controller, Omada App, Support 100 IPsec VPN Tunnels, 50 PPTP/L2TP VPN Tunnels, 50 OpenVPN Tunnels, 150000 Concurrent Sessions, Load Balance, Link Backup, Policy-based Firewall, Static Routing, Policy Routing, Multi-net DHCP, Guest Portal, VLAN</t>
  </si>
  <si>
    <t>ER605</t>
    <phoneticPr fontId="3" type="noConversion"/>
  </si>
  <si>
    <t>Omada Gigabit VPN Router 
PORT: 1× Gigabit RJ45 WAN Port, 2× Gigabit RJ45 WAN/LAN Ports, 2× Gigabit RJ45 LAN Ports, 1× USB 2.0 Port;
FEATURE: Centralized Management by Omada SDN Controller, Omada App, Support 20 IPsec VPN Tunnels, 16 PPTP/L2TP VPN Tunnels, 16 OpenVPN Tunnels, 150000 Concurrent Sessions, Load Balance, Link Backup, Policy-based Firewall, Static Routing, Policy Routing, Multi-net DHCP, ACL, IPv6, IPTV, Guest Portal, VLAN</t>
  </si>
  <si>
    <t>Load Balance Broadband Router
PORT: 1× 10/100 Mbps WAN port + 3× 10/100 Mbps WAN/LAN ports + 1× 10/100 Mbps LAN Port
FEATURE: 30000 Concurrent Sessions, Load Balance, Link Backup, Policy-based Firewall, Static Routing, Policy Routing, Guest Portal, IPTV, IPv6, VLAN</t>
  </si>
  <si>
    <t>TL-R470T+</t>
  </si>
  <si>
    <t>Load Balance Broadband Router
PORT: 1× 10/100 Mbps WAN port + 3× 10/100 Mbps WAN/LAN ports + 1× 10/100 Mbps LAN Port
FEATURE: 10000 Concurrent Sessions, Load Balance, Link Backup, Policy-based Firewall, Static Routing, Policy Routing, Guest Portal, IPTV, IPv6, VLAN</t>
  </si>
  <si>
    <t>ER703WP-4G-Outdoor</t>
  </si>
  <si>
    <t>Omada 4G+Cat6 AX3000 Outdoor/Indoor Gateway
PORT: 3× Gigabit WAN/LAN Port, 1 Nano SIM slot(4G+ Cat6)
SPEC: 802.3bt/at/af，1 Ports PoE IN(support 802.3bt), 2 Ports with 45W PoE Power
SPEED: 574Mbps at 2.4 GHz + 2402 Mbps at 5 GHz (HE160) Wi-Fi Speed, 300 Mbps Download LTE Speed
FEATURE: Centralized Management by Omada SDN Controller, Omada App, Support SSL VPN, OpenVPN and Wireguard/ IPsec/ PPTP/ L2TP/ L2TP over IPSec VPN, 4G+ Cat6 LTE, 2× Detachable LTE Antennas, 160MHz Supported, OFDMA, MU-MIMO, Beamforming, Load Balance, Link Backup, Policy-based Firewall, Static Routing, Policy Routing, Multi-net DHCP, VLAN, stateful ACL, mDNS Repeater, Bridge VLAN, IP55 Weatherproof</t>
  </si>
  <si>
    <t>ER706W-4G</t>
  </si>
  <si>
    <t>Omada 4G+ Cat6 AX3000 Gigabit VPN Router
PORT: 1× Gigabit SFP WAN/LAN Port, 1× Gigabit RJ45 WAN Port, 4× Gigabit WAN/LAN RJ45 Ports, 2 Nano SIM slot (4G+ Cat6)
SPEED: 574Mbps at 2.4 GHz + 2402 Mbps at 5 GHz (HE160) Wi-Fi Speed, 300 Mbps Download LTE Speed
FEATURE: Centralized Management by Omada SDN Controller, Omada App, Support SSL VPN, OpenVPN and Wireguard/ IPsec/ PPTP/ L2TP/ L2TP over IPSec VPN, 4G+ Cat6 LTE, 2× Detachable LTE Antennas, 3× Detachable Wi-Fi Antennas, 160MHz Supported, OFDMA, MU-MIMO, Beamforming, Load Balance, Link Backup, Policy-based Firewall, Static Routing, Policy Routing, Multi-net DHCP, VLAN, stateful ACL, mDNS Repeater, Bridge VLAN</t>
  </si>
  <si>
    <t>Fusion 2.5G PoE</t>
  </si>
  <si>
    <t>Omada Fusion 2.5G PoE Gateway
PORT: 1 × 2.5GE RJ45 WAN, 8 × 2.5GE RJ45 LAN/WAN with PoE+, 110W PoE Budget , Bluetooth.
FEATURE: Omada OS &amp; Omada Network Application, Easy Setup with Bluetooth and 3.69-inch touch screen, Support 802.3at/af, LightLink VPN, IPSec/PPTP/L2TP VPN &amp; OpenVPN, SD-WAN(Easy Site-to Site VPN), Cloud Functions without License Fee, Policy-based Firewall (APP based ACL, APP based QoS), Content Filtering, AD Blocking, Load Balance, Link Backup, Static Routing, Policy Routing, Multi-Net DHCP, Guest Portal, VLAN, Support Central Management by Cloud Access &amp; Omada App, Support Recommended Management up to 30 devices and 300 clients.</t>
  </si>
  <si>
    <t>Fusion 2.5G</t>
  </si>
  <si>
    <t>Omada Fusion 2.5G Gateway
PORT: 1 x 2.5GE RJ45 WAN, 4 x 2.5GE RJ45 WAN/LAN, Bluetooth.
FEATURE: Omada OS &amp; Omada Network Application, Easy Setup with Bluetooth and 2.51-inch touch screen, Support Lightlink VPN, IPSec/PPTP/L2TP VPN &amp; OpenVPN, SD-WAN(Easy Site-to Site VPN), Cloud Functions without License Fee, Policy-based Firewall (APP based ACL, APP based QoS), Content Filtering, AD Blocking, Load Balance, Link Backup, Static Routing, Policy Routing, Multi-Net DHCP, Guest Portal, VLAN, Support Central Management by Cloud Access &amp; Omada App, Support Recommended Management up to 30 devices and 300 clients</t>
  </si>
  <si>
    <t>Fusion G+</t>
  </si>
  <si>
    <t>Omada Fusion G+ Gateway
PORT: 1 x 2.5GE RJ45 WAN, 4 x GE RJ45 WAN/LAN, Bluetooth.
FEATURE: Omada OS &amp; Omada Network Application, Easy Setup with Bluetooth and 2.51-inch touch screen, Support Lightlink VPN, IPSec/PPTP/L2TP VPN &amp; OpenVPN, SD-WAN(Easy Site-to Site VPN), Cloud Functions without License Fee, Policy-based Firewall (APP based ACL, APP based QoS), Content Filtering, AD Blocking, Load Balance, Link Backup, Static Routing, Policy Routing, Multi-Net DHCP, Guest Portal, VLAN, Support Central Management by Cloud Access &amp; Omada App, Support Recommended Management up to 30 devices and 300 clients</t>
  </si>
  <si>
    <t>OC200</t>
    <phoneticPr fontId="4" type="noConversion"/>
  </si>
  <si>
    <t>Omada Hardware Controller
PORT: 2× 10/100 Mbps Ethernet Ports, 1× USB 2.0 Port, 1× Micro USB Port
FEATURE: Cloud Access, Centralized Management for up to 100 Omada EAPs + 20 Omada switches + 10 Omada gateways, Powered by 802.3af PoE or Micro-USB Power Adapter, Omada App</t>
  </si>
  <si>
    <t>OC220</t>
  </si>
  <si>
    <t>Omada Hardware Controller
PORT: 2× 10/100/1000 Mbps Ethernet Ports, 1× USB 2.0 Port, 1× Micro USB Port
FEATURE: Cloud Access, Centralized Management for up to 100 Omada EAPs + 20 Omada switches + 10 Omada gateways, Powered by 802.3af/at PoE or Micro-USB Power Adapter, Omada App, Metal casing</t>
  </si>
  <si>
    <t>Omada Hardware Controller
PORT: 2× 10/100/1000 Mbps Ethernet Ports, 1× USB 3.0 Port 
FEATURE: Cloud Access, Centralized Management for up to 500 Omada EAPs + 100 Omada switches + 100 Omada gateways, Multi-site Management, Omada App, Metal casing, Rack-Mountable</t>
  </si>
  <si>
    <t>OC400</t>
  </si>
  <si>
    <t>Omada Hardware Controller
PORT: 2× 10G SFP+ Slots, 4× 10/100/1000 Mbps Ethernet Ports, 2× USB 3.0 Port, 1× RJ45 Console Port
FEATURE: Cloud Access, Centralized Management for up to 1000 Omada EAPs, 200 Omada switches and 100 Omada gateways, Multi-site Management, Omada App, Metal casing, Rack-Mountable, Dual Redundant Power Supplies</t>
  </si>
  <si>
    <t>AP9778</t>
  </si>
  <si>
    <t>Omada PRO BE22000 Ceiling Mount Tri-Band Wi-Fi 7 Access Point
PORT: 2×10G RJ45 Port, 1×USB 3.0
SPEED:1376Mbps at  2.4 GHz + 8640 Mbps at 5 GHz+ 11520 Mbps at 6 GHz
FEATURE: 802.3bt POE++ and 12V DC, 12×Internal Smart Antennas,Bluetooth 5.2, MU-MIMO, 320MHz Supported, Seamless Roaming, Band Steering, Beamforming, Load Balance, Airtime Fairness, MLO, 4K-QAM, Centralized Management by Omada PRO SDN Controller, Omada PRO App</t>
  </si>
  <si>
    <t>AP9788</t>
  </si>
  <si>
    <t>Omada Campus BE22000 Ceiling Mount Tri-Band Wi-Fi 7 Access Point
PORT: 2×10G RJ45 Port + 1× SFP+, 1×USB 2.0
SPEED:1376Mbps at 2.4 GHz + 8640 Mbps at 5 GHz+ 11520 Mbps at 6 GHz
FEATURE: 802.3bt POE++ and 12V DC, 12 Streams ,Smart Antennas, Bluetooth 6.0, TPM ,MU-MIMO, 320MHz Supported, Seamless Roaming, Band Steering, Beamforming, Load Balance, Airtime Fairness, MLO, 4K-QAM, Centralized Management by Omada SDN Controller, Omada App</t>
  </si>
  <si>
    <t>AP9665</t>
  </si>
  <si>
    <t>Omada Pro AX3600 Ceiling Mount Dual-Band Wi-Fi 6 Access Point 
PORT:1×2.5 Gigabit RJ45 Port+1×GE RJ45 Port+1 ×USB 3.0
SPEED:1148Mbps at  2.4 GHz + 2402 Mbps at 5 GHz
FEATURE: High Density connectivity（1000+ Clients）, 802.3at/bt POE and 12V DC, 8×Internal Antennas, MU-MIMO, Seamless Roaming, Band Steering, Beamforming, Load Balance, Airtime Fairness, Centralized Management by Omada Pro SDN Controller, Omada App</t>
  </si>
  <si>
    <t>AP8788</t>
  </si>
  <si>
    <t>EAP783</t>
    <phoneticPr fontId="3" type="noConversion"/>
  </si>
  <si>
    <t>Omada  BE22000 Ceiling Mount Tri-Band Wi-Fi 7 Access Point
PORT: 2×10G RJ45 Port
SPEED:1148Mbps at  2.4 GHz + 8640 Mbps at 5 GHz+ 11520 Mbps at 6 GHz
FEATURE: 802.3bt POE++ and 12V DC (Power Adapter is not included), 8×Internal Antennas, MU-MIMO, 320MHz Supported, Seamless Roaming, Band Steering, Beamforming, Load Balance, Airtime Fairness, MLO, 4K-QAM, Centralized Management by Omada SDN Controller, Omada App</t>
  </si>
  <si>
    <t>EAP787</t>
  </si>
  <si>
    <t>Omada  BE15000 Ceiling Mount Tri-Band Wi-Fi 7 Access Point
PORT: 1×10G RJ45 Port
SPEED:688Mbps at  2.4 GHz + 8640 Mbps at 5 GHz+ 5760 Mbps at 6 GHz
FEATURE: 802.3bt POE++ and 12V DC (Power Adapter is not included), 6×Internal Antennas, 8 Streams , Dedicated RF Scan, MU-MIMO, 320MHz Supported, Seamless Roaming, Band Steering, Beamforming, Load Balance, Airtime Fairness, MLO, 4K-QAM, Centralized Management by Omada SDN Controller, Omada App</t>
  </si>
  <si>
    <t>EAP770</t>
  </si>
  <si>
    <t>Omada BE11000 Ceiling Mount Tri-Band Wi-Fi 7 Access Point
PORT: 1×2.5G RJ45 Port
SPEED:688Mbps at 2.4 GHz + 4320 Mbps at 5 GHz+ 5760 Mbps at 6 GHz
FEATURE: 802.3at POE+ and 12V DC, 6 Streams,4×Internal Antennas, MU-MIMO, 320MHz Supported, Seamless Roaming, Band Steering, Beamforming, Load Balance, Airtime Fairness, MLO, 4K-QAM, Centralized Management by Omada SDN Controller, Omada App</t>
  </si>
  <si>
    <t>EAP773</t>
    <phoneticPr fontId="3" type="noConversion"/>
  </si>
  <si>
    <t>Omada  BE11000 Ceiling Mount Tri-Band Wi-Fi 7 Access Point
PORT: 1×10G RJ45 Port
SPEED:574Mbps at  2.4 GHz + 4320 Mbps at 5 GHz+ 5760 Mbps at 6 GHz
FEATURE: 802.3bt POE++ and 12V DC (Power Adapter is not included), 4×Internal Antennas, MU-MIMO, 320MHz Supported, Seamless Roaming, Band Steering, Beamforming, Load Balance, Airtime Fairness, MLO, 4K-QAM, Centralized Management by Omada SDN Controller, Omada App</t>
  </si>
  <si>
    <t>EAP772-Outdoor</t>
  </si>
  <si>
    <t>Omada  BE11000 Indoor/Outdoor Tri-Band Wi-Fi 7 Access Point
PORT: 1×2.5G RJ45 Port
SPEED:574Mbps at  2.4 GHz + 4320 Mbps at 5 GHz+ 5760 Mbps at 6 GHz
FEATURE: 802.3at PoE and Passive PoE, IP68 Weatherproof, 6×Internal Antennas,GNSS, Bluetooth ,MU-MIMO, 320MHz Supported, Seamless Roaming, Band Steering, Beamforming, Load Balance, Airtime Fairness, MLO, 4K-QAM, Centralized Management by Omada SDN Controller, Omada App</t>
  </si>
  <si>
    <t>EAP725-Outdoor</t>
  </si>
  <si>
    <t>BE5000 Indoor/Outdoor Dual-Band Wi-Fi 7 Access Point
PORT: 1×2.5G RJ45 Port
SPEED: 688Mbps at  2.4 GHz + 4320 Mbps at 5 GHz
FEATURE: 802.3at PoE, IP66 Weatherproof, Built-in Directional Antennas &amp; External Omni Antennas , Bluetooth ,MU-MIMO, Seamless Roaming, Band Steering, Beamforming, Load Balance, 4K-QAM, Centralized Management by Omada SDN Controller, Omada App</t>
  </si>
  <si>
    <t>EAP725-Wall</t>
    <phoneticPr fontId="3" type="noConversion"/>
  </si>
  <si>
    <t>BE5000 Wall-Plate Dual-Band Wi-Fi 7 Access Point 
PORT:  Uplink: 1× 2.5G RJ45 Port; Downlink: 1× 2.5G RJ45 Port +2× 1G RJ45 Port 
SPEED:688Mbps at  2.4 GHz + 4324 Mbps at 5 GHz
FEATURE: Compatible with US Standard Junction Box, 802.3 bt/at PoE, PoE Passthrough, 2× Internal Antennas, Bluetooth, 4K-QAM,MU-MIMO, Band Steering, Beamforming, Load Balance, Centralized Management by Omada SDN Controller , Omada App, 143 x 86 x 40 mm</t>
  </si>
  <si>
    <t>EAP723</t>
    <phoneticPr fontId="8" type="noConversion"/>
  </si>
  <si>
    <t>Omada  BE5000 Ceiling Mount Dual-Band Wi-Fi 7 Access Point
PORT: 1×2.5G RJ45 Port
SPEED:688Mbps at  2.4 GHz + 4320 Mbps at 5 GHz
FEATURE: 802.3at POE+ and 12V DC (Power Adapter is not included), 4×Internal Antennas, MU-MIMO, 240MHz Supported, Seamless Roaming, Band Steering, Beamforming, Load Balance, Airtime Fairness, 4K-QAM, Centralized Management by Omada SDN Controller, Omada App</t>
  </si>
  <si>
    <t>EAP720</t>
    <phoneticPr fontId="8" type="noConversion"/>
  </si>
  <si>
    <t>Omada  BE5000 Ceiling Mount Dual-Band Wi-Fi 7 Access Point
PORT: 1×2.5G RJ45 Port
SPEED:688Mbps at  2.4 GHz + 4320 Mbps at 5 GHz
FEATURE: 802.3at POE+ and 12V DC , 4×Internal Antennas,4 Streams, MU-MIMO, 240MHz Supported, Seamless Roaming, Band Steering, Beamforming, Load Balance, Airtime Fairness, MLO,4K-QAM, Centralized Management by Omada SDN Controller, Omada App</t>
  </si>
  <si>
    <t>EAP683 UR</t>
  </si>
  <si>
    <t>Omada  AX6000 Ceiling Mount Dual-Band Wi-Fi 6 Access Point
PORT: 1×2.5G RJ45 Port
SPEED:1148Mbps at  2.4 GHz + 4804 Mbps at 5 GHz
FEATURE: 802.3at POE+ and 12V DC (Power Adapter is not included), 4×Internal Antennas, MU-MIMO, 160MHz Supported, Seamless Roaming, Band Steering, Beamforming, Load Balance, Airtime Fairness, ,Centralized Management by Omada SDN Controller, Omada App</t>
  </si>
  <si>
    <t>EAP653 UR</t>
  </si>
  <si>
    <t>AX3000 Ceiling Mount Dual-Band Wi-Fi 6 Access Point 
PORT:1× Gigabit RJ45 Port
SPEED:574Mbps at  2.4 GHz + 2402 Mbps at 5 GHz
FEATURE: 802.3at POE and 12V DC (Power Adapter is not included), 3×Internal Antennas（One of the antennas is an auxiliary antenna for the 5G frequency band, which enhances coverage capability）, 160MHz  Supported, MU-MIMO, Seamless Roaming, Band Steering, Beamforming, Load Balance, Airtime Fairness, Centralized Management by Omada SDN Controller, Omada App</t>
  </si>
  <si>
    <t>AX3000 Wall-Plate Dual-Band Wi-Fi 6 Access Point 
PORT:  Uplink: 1× Gigabit RJ45 Port; Downlink: 3× Gigabit RJ45 Port 
SPEED:574Mbps at  2.4 GHz + 2402 Mbps at 5 GHz
FEATURE: Compatible with EU &amp; US Standard Junction Box, 802.3at/af PoE, PoE Passthrough, 2× Internal Antennas, MU-MIMO, Band Steering, Beamforming, Load Balance, Centralized Management by Omada SDN Controller , Omada App, 143 × 86 × 42.6 mm</t>
  </si>
  <si>
    <t>AX3600 Ceiling Mount Dual-Band Wi-Fi 6 Access Point 
PORT:1×2.5 Gigabit RJ45 Port
SPEED:1148Mbps at  2.4 GHz + 2402 Mbps at 5 GHz
FEATURE: High Density connectivity（1000+ Clients）, 802.3at POE and 12V DC, 8×Internal Antennas, MU-MIMO, Seamless Roaming, Band Steering, Beamforming, Load Balance, Airtime Fairness, Centralized Management by Omada SDN Controller, Omada App</t>
  </si>
  <si>
    <t>EAP650-Outdoor</t>
    <phoneticPr fontId="3" type="noConversion"/>
  </si>
  <si>
    <t>AX3000 Indoor/Outdoor Dual-Band Wi-Fi 6 Access Point 
PORT: 1× Gigabit RJ45 Port
SPEED: 574Mbps at  2.4 GHz + 2402 Mbps at 5 GHz
FEATURE: 802.3at PoE and Passive PoE, IP67 Weatherproof, 4×Internal Antennas, Mesh, Seamless Roaming, MU-MIMO, Band Steering, Beamforming, Load Balance, Airtime Fairness, Centralized Management by Omada SDN Controller, Omada App</t>
  </si>
  <si>
    <t>EAP650 D30-Outdoor</t>
    <phoneticPr fontId="3" type="noConversion"/>
  </si>
  <si>
    <t>AX3000 Indoor/Outdoor Dual-Band Wi-Fi 6 Access Point 
PORT: 1× Gigabit RJ45 Port
SPEED: 574Mbps at  2.4 GHz + 2402 Mbps at 5 GHz
FEATURE: 802.3at PoE and Passive PoE, IP68 Weatherproof,  Built-in  30° directional antenna, Mesh, Seamless Roaming, MU-MIMO, Band Steering, Beamforming, Load Balance, Airtime Fairness, Centralized Management by Omada SDN Controller, Omada App</t>
  </si>
  <si>
    <t>EAP650 D120-Outdoor</t>
    <phoneticPr fontId="3" type="noConversion"/>
  </si>
  <si>
    <t>AX3000 Indoor/Outdoor Dual-Band Wi-Fi 6 Access Point 
PORT: 1× Gigabit RJ45 Port
SPEED: 574Mbps at  2.4 GHz + 2402 Mbps at 5 GHz
FEATURE: 802.3at PoE and Passive PoE, IP68 Weatherproof,  Built-in  120° directional antenna, Mesh, Seamless Roaming, MU-MIMO, Band Steering, Beamforming, Load Balance, Airtime Fairness, Centralized Management by Omada SDN Controller, Omada App</t>
  </si>
  <si>
    <t>EAP650</t>
    <phoneticPr fontId="4" type="noConversion"/>
  </si>
  <si>
    <t>AX3000 Ceiling Mount Dual-Band Wi-Fi 6 Access Point 
PORT:1× Gigabit RJ45 Port
SPEED:574Mbps at  2.4 GHz + 2402 Mbps at 5 GHz
FEATURE: 802.3at POE and 12V DC, 2×Internal Antennas, 160MHz  Supported, MU-MIMO, Seamless Roaming, Band Steering, Beamforming, Load Balance, Airtime Fairness, Centralized Management by Omada SDN Controller, Omada App</t>
  </si>
  <si>
    <t>EAP653</t>
    <phoneticPr fontId="4" type="noConversion"/>
  </si>
  <si>
    <t>AX3000 Ceiling Mount Dual-Band Wi-Fi 6 Access Point 
PORT:1× Gigabit RJ45 Port
SPEED:574Mbps at  2.4 GHz + 2402 Mbps at 5 GHz
FEATURE: 802.3at POE and 12V DC (Power Adapter is not included), 2×Internal Antennas, 160MHz  Supported, MU-MIMO, Seamless Roaming, Band Steering, Beamforming, Load Balance, Airtime Fairness, Centralized Management by Omada SDN Controller, Omada App</t>
  </si>
  <si>
    <t>EAP620 HD</t>
    <phoneticPr fontId="3" type="noConversion"/>
  </si>
  <si>
    <t>AX1800 Ceiling Mount Dual-Band Wi-Fi 6 Access Point 
PORT:1× Gigabit RJ45 Port
SPEED:574Mbps at  2.4 GHz + 1201 Mbps at 5 GHz
FEATURE: High Density connectivity（1000+ Clients）, 802.3at POE and 12V DC, 2×Internal Antennas, MU-MIMO, Seamless Roaming, Band Steering, Beamforming, Load Balance, Airtime Fairness, Centralized Management by Omada SDN Controller, Omada App</t>
  </si>
  <si>
    <t>EAP610-Outdoor</t>
    <phoneticPr fontId="3" type="noConversion"/>
  </si>
  <si>
    <t>AX1800 Indoor/Outdoor Dual-Band Wi-Fi 6 Access Point 
PORT: 1× Gigabit RJ45 Port
SPEED: 574Mbps at 2.4 GHz + 1201 Mbps at 5 GHz
FEATURE: 802.3at PoE and Passive PoE, IP67 Weatherproof, 2×Internal Antennas, Mesh, Seamless Roaming, MU-MIMO, Band Steering, Beamforming, Load Balance, Airtime Fairness, Centralized Management by Omada SDN Controller, Omada App</t>
  </si>
  <si>
    <t>AX1800 Ceiling Mount Dual-Band Wi-Fi 6 Access Point 
PORT:1× Gigabit RJ45 Port
SPEED:574Mbps at  2.4 GHz + 1201 Mbps at 5 GHz
FEATURE: 802.3at POE and 12V DC, 2×Internal Antennas, MU-MIMO, Seamless Roaming, Band Steering, Beamforming, Load Balance, Airtime Fairness, Centralized Management by Omada SDN Controller, Omada App</t>
  </si>
  <si>
    <t>EAP613</t>
    <phoneticPr fontId="3" type="noConversion"/>
  </si>
  <si>
    <t>AX1800 Ceiling Mount Dual-Band Wi-Fi 6 Access Point 
PORT:1× Gigabit RJ45 Port
SPEED:574Mbps at  2.4 GHz + 1201 Mbps at 5 GHz
FEATURE: 802.3at POE and 12V DC (Power Adapter is not included), 2×Internal Antennas, MU-MIMO, Seamless Roaming, Band Steering, Beamforming, Load Balance, Airtime Fairness, Centralized Management by Omada SDN Controller, Omada App</t>
  </si>
  <si>
    <t>EAP615-Wall</t>
    <phoneticPr fontId="3" type="noConversion"/>
  </si>
  <si>
    <t>AX1800 Wall-Plate Dual-Band Wi-Fi 6 Access Point 
PORT:  Uplink: 1× Gigabit RJ45 Port; Downlink: 3× Gigabit RJ45 Port 
SPEED:574Mbps at  2.4 GHz + 1201 Mbps at 5 GHz
FEATURE: Compatible with EU &amp; US Standard Junction Box, 802.3at/af PoE, PoE Passthrough, 2× Internal Antennas, MU-MIMO, Band Steering, Beamforming, Load Balance, Centralized Management by Omada SDN Controller , Omada App, 143 × 86 × 19.7 mm</t>
  </si>
  <si>
    <t>EAP603GP-Desktop</t>
    <phoneticPr fontId="3" type="noConversion"/>
  </si>
  <si>
    <t>Omada  AX1800 Desktop Dual-Band Wi-Fi 6 GPON Access Point
PORT: 1×SC/UPC GPON+4×1G RJ45 Port+1×RJ11 Port
SPEED:574Mbps at  2.4 GHz + 1201 Mbps at 5 GHz
FEATURE: 12V DC (Power Adapter is  included), 4×Internal Antennas, MU-MIMO, 80MHz Supported, Seamless Roaming, Band Steering, Beamforming, Load Balance, Airtime Fairness, ,Centralized Management by Omada SDN Controller, Omada App</t>
  </si>
  <si>
    <t>EAP245</t>
    <phoneticPr fontId="4" type="noConversion"/>
  </si>
  <si>
    <t>AC1750 Ceiling Mount Dual-Band Wi-Fi Access Point 
PORT: 2× Gigabit RJ45 Port
SPEED: 450 Mbps at 2.4 GHz + 1300 Mbps at 5 GHz
FEATURE: 802.3af PoE and Passive PoE, 3× Internal Antennas, Seamless Roaming, MU-MIMO, Band Steering, Beamforming, Load Balance, Airtime Fairness, Centralized Management by Omada SDN Controller, Omada App</t>
  </si>
  <si>
    <t>EAP230-Wall</t>
    <phoneticPr fontId="4" type="noConversion"/>
  </si>
  <si>
    <t>AC1200 Wall-Plate Dual-Band Wi-Fi Access Point
PORT: 2× Gigabit RJ45 Port
SPEED: 300 Mbps at 2.4 GHz + 867 Mbps at 5 GHz
FEATURE:  Compatible with EU Standard Junction Box, 802.3af PoE, 2× Internal Antennas, MU-MIMO, Band Steering, Beamforming, Load Balance, Rate limit, Wireless Schedule, Centralized Management by Omada SDN Controller, Omada App, 86.8 × 86.8 × 30.2 mm</t>
  </si>
  <si>
    <t>EAP225-Outdoor</t>
    <phoneticPr fontId="4" type="noConversion"/>
  </si>
  <si>
    <t>AC1200 Indoor/Outdoor Dual-Band Wi-Fi Access Point
PORT: 1× Gigabit RJ45 Port
SPEED: 300 Mbps at 2.4 GHz + 867 Mbps at 5 GHz
FEATURE: 802.3af PoE and Passive PoE, 2× External Antennas, IP65 Weatherproof, Mesh, Seamless Roaming, MU-MIMO, Band Steering, Beamforming, Load Balance, Airtime Fairness, Centralized Management by Omada SDN Controller, Omada App</t>
  </si>
  <si>
    <t>AC1350 Ceiling Mount Dual-Band Wi-Fi Access Point 
PORT: 1× Gigabit RJ45 Port
SPEED: 450 Mbps at 2.4 GHz + 867 Mbps at 5 GHz
FEATURE: 802.3af PoE and Passive PoE, 3× Internal Antennas, Mesh, Seamless Roaming, MU-MIMO, Band Steering, Beamforming, Load Balance, Airtime Fairness, Centralized Management by Omada SDN Controller, Omada App</t>
  </si>
  <si>
    <t>EAP215-Bridge KIT</t>
    <phoneticPr fontId="3" type="noConversion"/>
  </si>
  <si>
    <t>5GHz AC867 Long-range Indoor/Outdoor Access Point
PORT: 3× Gigabit RJ45 Port
SPEED: 867 Mbps at 5 GHz
FEATURE:12V DC / 24V Passive PoE/ 802.3af POE(above V3.0),, 2× Internal Antennas, Wireless Bridge ,Up to 5Km,Auto-Pairing , IP65 Weatherproof &amp; 6KV Lightning Protection for Outdoors ,PTP &amp; PTMP, Management by Omada SDN Controller, Omada App</t>
  </si>
  <si>
    <t>EAP211-Bridge KIT</t>
    <phoneticPr fontId="3" type="noConversion"/>
  </si>
  <si>
    <t>5GHz AC867 Indoor/Outdoor Access Point
PORT: 3× Gigabit RJ45 Port
SPEED: 867 Mbps at 5 GHz
FEATURE:12V DC / 24V Passive PoE/ 802.3af POE(above V3.0),, 2× Internal Antennas, Wireless Bridge ,Up to 1Km,Auto-Pairing , IP65 Weatherproof &amp; 6KV Lightning Protection for Outdoors ,PTP &amp; PTMP ,Management by Omada SDN Controller, Omada App</t>
  </si>
  <si>
    <t>300 Mbps Ceiling Mount Wi-Fi Access Point 
PORT: 1× 10/100 Mbps RJ45 Port
SPEED: 300 Mbps at 2.4 GHz
FEATURE: 802.3af PoE &amp; 9V DC, 2× Internal Antennas,  Load Balance, Centralized Management by Omada SDN Controller, Omada App</t>
  </si>
  <si>
    <t>EAP100-Bridge KIT</t>
    <phoneticPr fontId="3" type="noConversion"/>
  </si>
  <si>
    <t>2.4GHz N300 Indoor/Outdoor Wireless Bridge
PORT: 3× FE RJ45 Port
SPEED: 300Mbps at 2.4 GHz
FEATURE:12V DC / 24V Passive PoE /802.3af POE, 2× Internal Antennas, Wireless Bridge ,Up to 500m,Auto-Pairing , Role Switch，IP65 Weatherproof &amp; 6KV Lightning Protection for Outdoors ,PTP,Management by Omada SDN Controller, Omada App</t>
  </si>
  <si>
    <t>EAP110-Outdoor</t>
    <phoneticPr fontId="3" type="noConversion"/>
  </si>
  <si>
    <t>300 Mbps Outdoor Wi-Fi Access Point
PORT: 1× 10/100 Mbps RJ45 Port
SPEED: 300 Mbps at 2.4 GHz
FEATURE: Passive PoE, 2× External Antennas, IP65 Weatherproof,  Load Balance, Centralized Management by Omada SDN Controller, Omada App</t>
  </si>
  <si>
    <t>300 Mbps Ceiling Mount Wi-Fi Access Point 
PORT: 1× 10/100 Mbps RJ45 Port
SPEED: 300 Mbps at 2.4 GHz
FEATURE: Passive PoE, 2× Internal Antennas,  Load Balance, Centralized Management by Omada SDN Controller, Omada App</t>
  </si>
  <si>
    <t>CPE710</t>
    <phoneticPr fontId="4" type="noConversion"/>
  </si>
  <si>
    <t>5 GHz AC867 23 dBi Outdoor CPE
Port: 1 × Gigabit Shielded Ethernet Port
SPEED: 867 Mbps at 5 GHz
FEATURE: 23dBi, 30+ km, IP65 Weatherproof, Passive PoE, Centralized Management, Spectrum Analyzer, AP/Client/AP Router/AP Client Router</t>
  </si>
  <si>
    <t>CPE605</t>
    <phoneticPr fontId="3" type="noConversion"/>
  </si>
  <si>
    <t>5 GHz 150 Mbps 23 dBi Outdoor CPE
Port: 1× 10/100 Mbps Shielded Ethernet Port
SPEED: 150 Mbps at 5 GHz
FEATURE: 23 dBi, 30+ km, IP65 Weatherproof, Passive PoE, MAXtream TDMA, Centralized Management, Spectrum Analyzer, AP/Client/AP Router/AP Client Router/Repeater/Bridge mode</t>
  </si>
  <si>
    <t>5 GHz 300 Mbps 13 dBi Outdoor CPE
Port: 1× 10/100 Mbps Shielded Ethernet Port
SPEED: 300 Mbps at 5 GHz
FEATURE: 13 dBi, 10+ km, IPX5 Weatherproof, Passive PoE, MAXtream TDMA, Centralized Management, Spectrum Analyzer, AP/Client/AP Router/AP Client Router/Repeater/Bridge mode</t>
  </si>
  <si>
    <t>CPE220</t>
    <phoneticPr fontId="4" type="noConversion"/>
  </si>
  <si>
    <t>2.4 GHz 300 Mbps 12 dBi Outdoor CPE
PORT: 1× 10/100 Mbps Shielded Ethernet Port (LAN 0, Passive PoE in); 1 × 10/100 Mbps Shielded Ethernet Port (LAN 1)
SPEED: 300 Mbps at 2.4 GHz
FEATURE: 12 dBi, 13+ km, IPX5 Weatherproof, Passive PoE, MAXtream TDMA, Centralized Management, Spectrum Analyzer, AP/Client/AP Router/AP Client Router/Repeater/Bridge mode</t>
  </si>
  <si>
    <t>2.4 GHz 300 Mbps 9 dBi Outdoor CPE
PORT: 1× 10/100 Mbps Shielded Ethernet Port
SPEED: 300 Mbps at 2.4 GHz
FEATURE: 9 dBi, 5+ km, IPX5 Weatherproof, Passive PoE, MAXtream TDMA, Centralized Management, Spectrum Analyzer, AP/Client/AP Router/AP Client Router/Repeater/Bridge mode</t>
  </si>
  <si>
    <t>RP108GE</t>
    <phoneticPr fontId="3" type="noConversion"/>
  </si>
  <si>
    <t>Omada 8-Port Gigabit Managed Reverse PoE Switch
PORT: 7× Gigabit Passive PoE In Ports, 1× Gigabit Passive PoE Out Port, 1×  5V/12V DC Out Port
SPEC: Passive PoE, Desktop Steel Case
FEATURE: MTU/Port/Tag-based VLAN, QoS, IGMP Snooping, Web/Utility Management, Plug and Play</t>
  </si>
  <si>
    <t>Omada PoE++ Injector Adapter
PORT: 1× Gigabit PoE Port, 1× Gigabit Non-PoE Port
SPEC: 802.3bt/at/af Compliant, 60 W PoE Power, Data and Power Carried over The Same Cable Up to 100 Meters, Steel Case, Pocket Size</t>
  </si>
  <si>
    <t>Omada PoE+ Injector Adapter
PORT: 1× Gigabit PoE Port, 1× Gigabit Non-PoE Port
SPEC: 802.3at/af Compliant, Data and Power Carried over The Same Cable Up to 100 Meters, Plastic Case, Pocket Size</t>
  </si>
  <si>
    <t>Omada PoE Injector Adapter
PORT: 1× Gigabit PoE Port, 1× Gigabit Non-PoE Port
SPEC: 802.3af Compliant, Data and Power Carried over The Same Cable Up to 100 Meters, Plastic Case, Pocket Size</t>
  </si>
  <si>
    <t>Omada 2.5G PoE+ Injector Adapter
PORT: 1× 2.5G PoE Port, 1× 2.5G Non-PoE Port
SPEC: 802.3at/af Compliant, Data and Power Carried over The Same Cable Up to 100 Meters, Plastic Case, Pocket Size</t>
  </si>
  <si>
    <t>Omada 48V Passive PoE Adapter
PORT: 1× Gigabit Passive PoE Port, 1× Gigabit Non-PoE Port
SPEC: 48V passive PoE supported, 24W PoE Power, Data and power carried over the same cable, Convenient wall-mounting design, Gigabit speed support, Plug-and-Play, Plastic Case</t>
  </si>
  <si>
    <t>Omada 24V Passive PoE Adapter
PORT: 1× Gigabit Passive PoE Port, 1× Gigabit Non-PoE Port
SPEC: 24V passive PoE supported, 12W PoE Power, Data and power carried over the same cable, Convenient wall-mounting design, Gigabit speed support, Plug-and-Play, Plastic Case</t>
  </si>
  <si>
    <t>POE5430G-M2</t>
    <phoneticPr fontId="3" type="noConversion"/>
  </si>
  <si>
    <t>Omada 54V 30W 2.5G Passive PoE Adapter
Port: 1× 2.5Gbps Passive PoE Port, 1× 2.5Gbps Non-PoE Port
SPEC: 54V passive PoE supported, 30W PoE Power, Data and power carried over the same cable, Convenient wall-mounting design, 2.5G speed support, Plug-and-Play, Plastic Case</t>
  </si>
  <si>
    <t>POE5460X</t>
  </si>
  <si>
    <t>Omada 54V 60W 10G Passive PoE Adapter 
Port: 1× 10Gbps Passive PoE Port, 1× 10Gbps Non-PoE Port
SPEC: 54V passive PoE supported, 60W PoE Power, Data and power carried over the same cable, Convenient wall-mounting design, 10G speed support, Plug-and-Play, Plastic Case</t>
  </si>
  <si>
    <t>Omada 10G Multi-Gigabit RJ45 to 10G SFP+ Slot Supporting MiniGBIC Modules
PORT: 1× 10G SFP+ Slot, 1× 10G Multi-Gigabit RJ45 Port (Auto MDI/MDIX)
SPEC: Chassis MC1400 Rack-mountable</t>
  </si>
  <si>
    <t>MC220L</t>
    <phoneticPr fontId="3" type="noConversion"/>
  </si>
  <si>
    <t>Omada 10/100/1000 Mbps RJ45 to 1000 Mbps SFP Slot Supporting MiniGBIC Modules
PORT: 1× Gigabit SFP Slot, 1× Gigabit RJ45 Port (Auto MDI/MDIX)
SPEC: Chassis MC1400 Rack-mountable</t>
  </si>
  <si>
    <t>Omada 10/100/1000 Mbps RJ45 to 1000 Mbps Single-Mode SC Fiber Converter 
PORT: 1× Gigabit SC Port, 1× Gigabit RJ45 Port (Auto MDI/MDIX)
SPEC: Full-duplex, Up to 15 km, Chassis MC1400 Rack-mountable</t>
  </si>
  <si>
    <t>Omada 10/100/1000 Mbps RJ45 to 1000 Mbps Multi-mode SC Fiber Converter
PORT: 1× Gigabit SC Port, 1× Gigabit RJ45 Port (Auto MDI/MDIX)
SPEC: Full-duplex, Up to 550 m, Chassis MC1400 Rack-mountable</t>
  </si>
  <si>
    <t>Omada 10/100 Mbps RJ45 to 100 Mbps Single-mode SC WDM Bi-Directional Fiber Converter
PORT: 1× 100Mbps SC Port, 1× 10/100M RJ45 Port (Auto MDI/MDIX)
SPEC: Full-duplex, Tx:1310 nm, Rx:1550 nm, Up to 20 km, Chassis MC1400 rack-mountable</t>
  </si>
  <si>
    <t>Omada 10/100 Mbps RJ45 to 100 Mbps Single-mode SC WDM Bi-Directional Fiber Converter
PORT: 1× 100Mbps SC Port, 1× 10/100M RJ45 Port (Auto MDI/MDIX)
SPEC: Full-duplex, Tx:1550 nm, Rx:1310 nm, Up to 20 km, Chassis MC1400 Rack-mountable</t>
  </si>
  <si>
    <t>MC100CM</t>
  </si>
  <si>
    <t>Omada 10/100 Mbps RJ45 to 100 Mbps Multi-mode SC Fiber Converter
PORT: 1× 100 Mbps SC Port, 1× 10/100 M RJ45 Port (Auto MDI/MDIX)
SPEC: Full-duplex, Up to 2 km, Chassis MC1400 Rack-mountable</t>
  </si>
  <si>
    <t>Omada 10/100 Mbps RJ45 to 100 Mbps Single-mode SC Fiber Converter
PORT: 1× 100 Mbps SC Port, 1× 10/100 M RJ45 Port (Auto MDI/MDIX)
SPEC: Full-duplex, Up to 20 km, Chassis MC1400 Rack-mountable</t>
  </si>
  <si>
    <t>MC212CS-20</t>
    <phoneticPr fontId="8" type="noConversion"/>
  </si>
  <si>
    <t>Omada 10/100/1000 Mbps RJ45 to 1000 Mbps Single-mode SC WDM Bi-Directional Fiber Converter
PORT: 1× Gigabit SC Port, 1× Gigabit RJ45 Port (Auto MDI/MDIX)
SPEC: Full-duplex, Tx:1310 nm, Rx:1550 nm, Up to 20 km, Chassis MC1400 rack-mountable</t>
  </si>
  <si>
    <t>MC211CS-20</t>
  </si>
  <si>
    <t>Omada 10/100/1000 Mbps RJ45 to 1000 Mbps Single-mode SC WDM Bi-Directional Fiber Converter
PORT: 1× Gigabit SC Port, 1× Gigabit RJ45 Port (Auto MDI/MDIX)
SPEC: Full-duplex, Tx:1550 nm, Rx:1310 nm, Up to 20 km, Chassis MC1400 rack-mountable</t>
  </si>
  <si>
    <t>FC311A-20</t>
    <phoneticPr fontId="3" type="noConversion"/>
  </si>
  <si>
    <t>Omada 10/100/1000 Mbps RJ45 to 1000 Mbps Single-mode SC WDM Bi-Directional Fiber Converter
PORT: 1× Gigabit SC Port, 1× Gigabit RJ45 Port (Auto MDI/MDIX)
SPEC: Full-duplex, Tx:1550 nm, Rx:1310 nm, Up to 20 km, Chassis FC1420 rack-mountable</t>
  </si>
  <si>
    <t>FC311B-20</t>
  </si>
  <si>
    <t>Omada 10/100/1000 Mbps RJ45 to 1000 Mbps Single-mode SC WDM Bi-Directional Fiber Converter
PORT: 1× Gigabit SC Port, 1× Gigabit RJ45 Port (Auto MDI/MDIX)
SPEC: Full-duplex, Tx:1310 nm, Rx:1550 nm, Up to 20 km, Chassis FC1420 rack-mountable</t>
  </si>
  <si>
    <t>SM9220-1M</t>
  </si>
  <si>
    <t>Omada 1 Meter 100G QSFP28 Direct Attach Cable
SPEC: Up to 1 m Distance, Support data rate of 100Gbps and 40Gbps, Compatible with 100G QSFP28 Slot and 40G QSFP+ Slot, Plug and Play</t>
  </si>
  <si>
    <t>SM6220-1M</t>
  </si>
  <si>
    <t>Omada 1 Meter 25G SFP28 Direct Attach Cable
SPEC: Up to 1 m Distance, Support data rate of 25Gbps and 10Gbps, Compatible with 25G SFP28 Slot and 10G SFP+ Slot, Plug and Play</t>
  </si>
  <si>
    <t>SM6110-LR</t>
  </si>
  <si>
    <t>Omada 25GBase-LR SFP28 LC Transceiver
SPEC: Dual Rate 25.78 Gbps and 10.31 Gbps, 1310 nm SMF (Single-mode fiber), Duplex LC/UPC, Up to 10 km Distance
FEATURE: Support DDM, Hot Swappable, Low Power Consumption (≤ 1.2 W)</t>
  </si>
  <si>
    <t>SM6110-SR</t>
  </si>
  <si>
    <t>Omada 25GBase-SR SFP28 LC Transceiver
SPEC: Dual Rate 25.78 Gbps and 10.31 Gbps, 850 nm MMF (Multimode fiber), Duplex LC/UPC, 100 m Distance @OM4 at 25.78 Gbps (70 m Distance @ OM3 at 25.78 Gbps, 300 m Distance  @OM3 at 10.31 Gbps)
FEATURE: Support DDM, Hot Swappable, Low Power Consumption (≤ 1 W)</t>
  </si>
  <si>
    <t>SM5110LSA-10</t>
    <phoneticPr fontId="3" type="noConversion"/>
  </si>
  <si>
    <t xml:space="preserve">Omada 10Gbase-BX Single-Mode WDM Bi-Directional SFP+ Module
SPEC: LC/UPC Connector, TX:1330nm/RX:1270nm, Single-mode, 10 km </t>
  </si>
  <si>
    <t>SM5110LSB-10</t>
  </si>
  <si>
    <t>Omada 10Gbase-BX Single-Mode WDM Bi-Directional SFP+ Module
SPEC: LC/UPC Connector, TX:1270nm/RX:1330nm, Single-mode, 10km</t>
  </si>
  <si>
    <t>Omada 10GBASE-T RJ45 SFP+ Module
SPEC: 10Gbps RJ45 Copper Transceiver, Plug and Play with SFP+ Slot, Support DDM (Temperature and Voltage), Up to 30 m Distance (Cat6a or above)</t>
  </si>
  <si>
    <t>SM5220-1M</t>
    <phoneticPr fontId="3" type="noConversion"/>
  </si>
  <si>
    <t>Omada 1M Direct Attach SFP+ Cable for 10 Gigabit Connections
SPEC: Up to 1 m Distance</t>
  </si>
  <si>
    <t>SM5220-3M</t>
  </si>
  <si>
    <t>Omada 3M Direct Attach SFP+ Cable for 10 Gigabit Connections
SPEC: Up to 3 m Distance</t>
  </si>
  <si>
    <t>Omada 10Gbase-LR SFP+ LC Transceiver
SPEC: 1310 nm Single-mode, LC Duplex Connector, Up to 10 km Distance</t>
  </si>
  <si>
    <t>Omada 10Gbase-SR SFP+ LC Transceiver
SPEC: 850nm Multi-mode, LC Duplex Connector, Up to 300m(Fiber Type 50/125um)/33m(Fiber Type 62.5/125um) Distance</t>
  </si>
  <si>
    <t>Omada 1000BASE-T RJ45 SFP Module
SPEC: 1000Mbps RJ45 Copper Transceiver, Plug and Play with SFP Slot, Up to 100 m Distance (Cat5e or above)</t>
  </si>
  <si>
    <t>ISM311LM</t>
  </si>
  <si>
    <t>Omada 1000Base-SX MMF Industrial SFP Module 
SPEC: Multi-mode, LC Interface, Wave Length 850nm, Up to 550m(Fiber Type 50/125um)/275m(Fiber Type 62.5/125um)  Distance, -40-85 ℃ Operating Temperature</t>
  </si>
  <si>
    <t>ISM311LS</t>
  </si>
  <si>
    <t>Omada 1000Base-LX SMF Industrial SFP Module 
SPEC: Single-mode, LC Interface, Wave Length 1310nm, Up to 20 km Distance, -40-85 ℃ Operating Temperature</t>
  </si>
  <si>
    <t>Omada Gigabit Single-Mode SFP Module
SPEC: Single-mode, MiniGBIC, LC Interface, Up to 20 km Distance</t>
  </si>
  <si>
    <t>Omada Gigabit Multi-Mode SFP Module
SPEC: Multi-mode, MiniGBIC, LC Interface, Up to 550m(Fiber Type 50/125um)/275m(Fiber Type 62.5/125um)  Distance</t>
  </si>
  <si>
    <t>Omada Gigabit Single-Mode WDM Bi-Directional SFP Module
SPEC: LC Connector, TX:1550nm/RX:1310nm, Single-mode, 20 km</t>
  </si>
  <si>
    <t>SM321B</t>
  </si>
  <si>
    <t>Omada Gigabit Single-Mode WDM Bi-Directional SFP Module
SPEC: TX:1310nm/RX:1550nm, Single-mode, 20 km</t>
  </si>
  <si>
    <t>MC1400</t>
  </si>
  <si>
    <t>Omada 14-Slot Media Converter Chassis
SPEC: 14-Slot, Rackmount
FEATURE: Redundant Power Supply, Mounted Two Fans, Compatible with TP-Link's Media Converter (9VDC Input)</t>
  </si>
  <si>
    <t>S7500-32C</t>
    <phoneticPr fontId="3" type="noConversion"/>
  </si>
  <si>
    <t>Omada Pro 32-Port 100G Stackable L3 Managed Core Switch
PORT: 32× 100G QSFP28 Slots, RJ45/Type C USB Console Port, Management Port, 2× USB3.0 Ports
SPEC: 1U 19-inch Rack-mountable Steel Case
FEATURE: Centralized Managed by Omada Pro SDN Controller, Stacking, RIP, OSPF, BGP, IS-IS, VRRP, ECMP, PIM-SM/DM/SSM, Secure Boot, Static Routing, DHCP Server, DHCP Relay, ERPS, RSPAN, QinQ, OAM, sFlow, DDM, 802.1Q VLAN, STP/RSTP/MSTP, IGMP Snooping, 802.1p/DSCP, QoS, ACL, 802.1x, BFD, NETCONF, GRE Tunnel, RADSEC, Radius/Tacacs+ Authentication, LACP, CLI, SNMP, Dual Image/Configuration, IPv6, Dual Redundant Power Supplies (Hot-swappable, shipping with only one power supply module)</t>
  </si>
  <si>
    <t>S7500-24Y4C</t>
  </si>
  <si>
    <t>Omada Pro 24-Port 25G Stackable L3 Managed Aggregation/Core Switch with 4 100G Slots 
PORT: 24× 25G SFP28 Slots, 4× 100G QSFP28 Slots, RJ45/Type C USB Console Port, Management Port, 2× USB3.0 Ports
SPEC: 1U 19-inch Rack-mountable Steel Case
FEATURE: Integration with Omada Pro SDN Controller, Stacking, RIP, OSPF, BGP, IS-IS, VRRP, ECMP, PIM-SM/DM/SSM, Secure Boot, Static Routing, DHCP Server, DHCP Relay, ERPS, RSPAN, QinQ, OAM, sFlow, DDM, 802.1Q VLAN, STP/RSTP/MSTP, IGMP Snooping, 802.1p/DSCP, QoS, ACL, 802.1x, BFD, NETCONF, GRE Tunnel, RADSEC, Radius/Tacacs+ Authentication, LACP, CLI, SNMP, Dual Image/Configuration, IPv6, Dual Redundant Power Supplies (Hot-swappable, shipping with only one power supply module)</t>
  </si>
  <si>
    <t>S7500-48XF4C</t>
  </si>
  <si>
    <t>Omada Pro 48-Port 10G Stackable L3 Managed Aggregation Switch with 4 100G Slots 
PORT: 48× 10G SFP+ Slots, 4×100G QSFP28 Slots, RJ45/Type C USB Console Port, Management Port, 2× USB3.0 Ports
SPEC: 1U 19-inch Rack-mountable Steel Case
FEATURE: Integration with Omada Pro SDN Controller, Stacking, RIP, OSPF, BGP, IS-IS, VRRP, ECMP, PIM-SM/DM/SSM, Secure Boot, Static Routing, DHCP Server, DHCP Relay, ERPS, RSPAN, QinQ, OAM, sFlow, DDM, 802.1Q VLAN, STP/RSTP/MSTP, IGMP Snooping, 802.1p/DSCP, QoS, ACL, 802.1x, BFD, NETCONF, GRE Tunnel, RADSEC, Radius/Tacacs+ Authentication, LACP, CLI, SNMP, Dual Image/Configuration, IPv6, Dual Redundant Power Supplies (Hot-swappable, shipping with only one power supply module)</t>
  </si>
  <si>
    <t>S7500-26XF6Y</t>
  </si>
  <si>
    <t>Omada Pro 26-Port 10G Stackable L3 Managed Aggregation Switch with 6 25G Slots
PORT: 26× 10G SFP+ Slots, 6× 25G SFP28 Slots, RJ45/Type C USB Console Port, Management Port, 2× USB3.0 Ports
SPEC: 1U 19-inch Rack-mountable Steel Case
FEATURE: Integration with Omada Pro SDN Controller, Stacking, RIP, OSPF, BGP, IS-IS, VRRP, ECMP, PIM-SM/DM/SSM, Secure Boot, Static Routing, DHCP Server, DHCP Relay, ERPS, RSPAN, QinQ, OAM, sFlow, DDM, 802.1Q VLAN, STP/RSTP/MSTP, IGMP Snooping, 802.1p/DSCP, QoS, ACL, 802.1x, BFD, NETCONF, GRE Tunnel, RADSEC, Radius/Tacacs+ Authentication, LACP, CLI, SNMP, Dual Image/Configuration, IPv6, Dual Redundant Power Supplies (Hot-swappable, shipping with only one power supply model)</t>
  </si>
  <si>
    <t>S6500-48MPP6Y</t>
  </si>
  <si>
    <t>Omada Pro 48-Port 2.5G Stackable L3 Managed PoE++ Switch with 6 25G Slots
PORT: 48× 2.5G PoE++ RJ45 Ports (up to 60W/port), 6× 25G SFP28 Slots, RJ45/Type C USB Console Port, Management Port, 2× USB2.0 Ports
SPEC: 802.3bt/at/af, max 1484 W PoE Power (depend on power supply module), 1U 19-inch Rack-mountable Steel Case
FEATURE: Integration with Omada Pro SDN Controller, Stacking, RIP, OSPF, BGP, IS-IS, VRRP, ECMP, PIM-SM/DM/SSM, MACsec, Secure Boot, Static Routing, DHCP Server, DHCP Relay, ERPS, RSPAN, QinQ, OAM, sFlow, DDM, 802.1Q VLAN, STP/RSTP/MSTP, IGMP Snooping, 802.1p/DSCP, QoS, ACL, 802.1x, BFD, NETCONF, GRE Tunnel, RADSEC, Radius/Tacacs+ Authentication, LACP, CLI, SNMP, Dual Image/Configuration, IPv6, Dual Redundant Power Supplies (Hot-swappable, shipping with only one power supply model)</t>
  </si>
  <si>
    <t>S6500-48M6Y</t>
  </si>
  <si>
    <t>Omada Pro 48-Port 2.5G Stackable L3 Managed Switch with 6 25G Slots
PORT: 48× 2.5G RJ45 Ports, 6× 25G SFP28 Slots, RJ45/Type C USB Console Port, Management Port, 2× USB2.0 Ports
SPEC: 1U 19-inch Rack-mountable Steel Case
FEATURE: Integration with Omada Pro SDN Controller, Stacking, RIP, OSPF, BGP, IS-IS, VRRP, ECMP, PIM-SM/DM/SSM, MACsec, Secure Boot, Static Routing, DHCP Server, DHCP Relay, ERPS, RSPAN, QinQ, OAM, sFlow, DDM, 802.1Q VLAN, STP/RSTP/MSTP, IGMP Snooping, 802.1p/DSCP, QoS, ACL, 802.1x, BFD, NETCONF, GRE Tunnel, RADSEC, Radius/Tacacs+ Authentication, LACP, CLI, SNMP, Dual Image/Configuration, IPv6, Dual Redundant Power Supplies (Hot-swappable, shipping with only one power supply module)</t>
  </si>
  <si>
    <t>S6500-24MPP4Y</t>
  </si>
  <si>
    <t>Omada Pro 24-Port 2.5G Stackable L3 Managed PoE++ Switch with 4 25G Slots
PORT: 24× 2.5G PoE++ RJ45 Ports (up to 60W/port), 4× 25G SFP28 Slots, RJ45/Type C USB Console Port, Management Port, 2× USB2.0 Ports
SPEC: 802.3bt/at/af, max 1440 W PoE Power (depend on power supply module), 1U 19-inch Rack-mountable Steel Case
FEATURE: Integration with Omada Pro SDN Controller, Stacking, RIP, OSPF, BGP, IS-IS, VRRP, ECMP, PIM-SM/DM/SSM, MACsec, Secure Boot, Static Routing, DHCP Server, DHCP Relay, ERPS, RSPAN, Fast PoE, Perpetual PoE, QinQ, OAM, sFlow, DDM, 802.1Q VLAN, STP/RSTP/MSTP, IGMP Snooping, 802.1p/DSCP, QoS, ACL, 802.1x, BFD, NETCONF, GRE Tunnel, RADSEC, Radius/Tacacs+ Authentication, LACP, CLI, SNMP, Dual Image/Configuration, IPv6, Dual Redundant Power Supplies (Hot-swappable, shipping with only one power supply module)</t>
  </si>
  <si>
    <t>S6500-24M4Y</t>
  </si>
  <si>
    <t>Omada Pro 24-Port 2.5G Stackable L3 Managed Switch with 4 25G Slots
PORT: 24× 2.5G RJ45 Ports, 4× 25G SFP28 Slots, RJ45/Type C USB Console Port, Management Port, 2× USB2.0 Ports
SPEC: 1U 19-inch Rack-mountable Steel Case
FEATURE: Integration with Omada Pro SDN Controller, Stacking, RIP, OSPF, BGP, IS-IS, VRRP, ECMP, PIM-SM/DM/SSM, MACsec, Secure Boot, Static Routing, DHCP Server, DHCP Relay, ERPS, RSPAN, QinQ, OAM, sFlow, DDM, 802.1Q VLAN, STP/RSTP/MSTP, IGMP Snooping, 802.1p/DSCP, QoS, ACL, 802.1x, BFD, NETCONF, GRE Tunnel, RADSEC, Radius/Tacacs+ Authentication, LACP, CLI, SNMP, Dual Image/Configuration, IPv6, Dual Redundant Power Supplies (Hot-swappable, shipping with only one power supply module)</t>
  </si>
  <si>
    <t>S6500-48G6XF</t>
  </si>
  <si>
    <t>Omada Pro 48-Port Gigabit Stackable L3 Managed Switch with 6 10G Slots
PORT: 48× Gigabit RJ45 Ports, 6× 10G SFP+ Slots, RJ45/Type C USB Console Port, Management Port, 2× USB2.0 Ports
SPEC: 1U 19-inch Rack-mountable Steel Case
FEATURE: Integration with Omada Pro SDN Controller, Stacking, RIP, OSPF, BGP, IS-IS, VRRP, ECMP, PIM-SM/DM/SSM, MACsec, Secure Boot, Static Routing, DHCP Server, DHCP Relay, ERPS, RSPAN, QinQ, OAM, sFlow, DDM, 802.1Q VLAN, STP/RSTP/MSTP, IGMP Snooping, 802.1p/DSCP, QoS, ACL, 802.1x, BFD, NETCONF, GRE Tunnel, RADSEC, Radius/Tacacs+ Authentication, LACP, CLI, SNMP, Dual Image/Configuration, IPv6, Internal Fixed Dual Redundant Power Supplies</t>
  </si>
  <si>
    <t>S6500-24G4XF</t>
  </si>
  <si>
    <t>Omada Pro 24-Port Gigabit Stackable L3 Managed Switch with 4 10G Slots
PORT: 24× Gigabit RJ45 Ports, 4× 10G SFP+ Slots, RJ45/Type C USB Console Port, Management Port, 2× USB2.0 Ports
SPEC: 1U 19-inch Rack-mountable Steel Case
FEATURE: Integration with Omada Pro SDN Controller, Stacking, RIP, OSPF, BGP, IS-IS, VRRP, ECMP, PIM-SM/DM/SSM, MACsec, Secure Boot, Static Routing, DHCP Server, DHCP Relay, ERPS, RSPAN, QinQ, OAM, sFlow, DDM, 802.1Q VLAN, STP/RSTP/MSTP, IGMP Snooping, 802.1p/DSCP, QoS, ACL, 802.1x, BFD, NETCONF, GRE Tunnel, RADSEC, Radius/Tacacs+ Authentication, LACP, CLI, SNMP, Dual Image/Configuration, IPv6, Internal Fixed Dual Redundant Power Supplies</t>
  </si>
  <si>
    <t>S5500-4XHPP2XF</t>
    <phoneticPr fontId="8" type="noConversion"/>
  </si>
  <si>
    <t>Omada Pro 4-Port PoE++ 10GE L2+ Managed Switch with 2 SFP+ Slots
PORT: 4× 10G PoE++ Ports, 2× 10G SFP+ Slots, RJ45/Micro-USB Console Port
SPEC: 802.3bt/at/af, 200 W PoE Power, 1U 13-inch Rack-mountable Steel Case
FEATURE: Integration with Omada Pro SDN Controller,Static Routing, OAM, DDM, sFlow, 802.1Q VLAN, QinQ, STP/RSTP/MSTP, IGMP Snooping, 802.1p/DSCP QoS, ACL, 802.1x, Radius/Tacacs+ Authentication, LACP, CLI, SNMP, Dual Image/Configuration, IPv6</t>
  </si>
  <si>
    <t>C5300</t>
  </si>
  <si>
    <t>Omada Pro Hardware Controller
PORT: 2× 10/100/1000 Mbps Ethernet Ports, 1× USB 3.0 Port
FEATURE: Cloud Access, Centralized Management for up to 100 Omada Pro EAPs, 20 Omada Pro switches and 10 Omada Pro routers, Multi-site Management, Omada App, Metal casing, Rack-Mountable</t>
  </si>
  <si>
    <t>LIC-OCC-PRO-L3SW-1YR</t>
  </si>
  <si>
    <t>Omada PRO Cloud Based Controller 1-year license fee for Layer 3 Switches</t>
  </si>
  <si>
    <t>LIC-OCC-PRO-L3SW-3YR</t>
  </si>
  <si>
    <t>Omada PRO Cloud Based Controller 3-year license fee for Layer 3 Switches</t>
  </si>
  <si>
    <t>LIC-OCC-PRO-L3SW-5YR</t>
  </si>
  <si>
    <t>Omada PRO Cloud Based Controller 5-year license fee for Layer 3 Switches</t>
  </si>
  <si>
    <t>LIC-OCC-PRO-1YR</t>
  </si>
  <si>
    <t>Omada PRO Cloud Based Controller 1-year license fee for one device (Layer 3 Switches Excluded)</t>
  </si>
  <si>
    <t>LIC-OCC-PRO-3YR</t>
  </si>
  <si>
    <t>Omada PRO Cloud Based Controller 3-year license fee for one device (Layer 3 Switches Excluded)</t>
  </si>
  <si>
    <t>LIC-OCC-PRO-5YR</t>
  </si>
  <si>
    <t>Omada PRO Cloud Based Controller 5-year license fee for one device (Layer 3 Switches Excluded)</t>
  </si>
  <si>
    <t>LIC-OCC-1YR</t>
  </si>
  <si>
    <t>Omada Cloud Based Controller 1-year license fee for one device</t>
  </si>
  <si>
    <t>LIC-OCC-3YR</t>
  </si>
  <si>
    <t>Omada Cloud Based Controller 3-year license fee for one device</t>
  </si>
  <si>
    <t>LIC-OCC-5YR</t>
  </si>
  <si>
    <t>Omada Cloud Based Controller 5-year license fee for one device</t>
  </si>
  <si>
    <t>4MP Outdoor Bullet Network Camera
SPEC: H.265+/H.265/H.264+/H.264, 1/3" Progressive Scan CMOS, Color/0.01 Lux@F2.2, 0 Lux with IR, 25fps/30fps (2560x1440,2304x1296,2048x1280, 1920x1080,1280x720), PoE/12V DC, 2.8 mm Fixed Lens, IP67
FEATURE: Smart Detection (Human &amp;Vehicle Classification)(Motion Detection, Area Intrusion Detection, Line-Crossing Detection, Camera Tampering Detection, Abandoned Object Detection, Object Removal Detection, Area Entrance Detection, Area Exiting Detection, Vehicle Detection , Human detection), SmartVid (Smart IR, DWDR, 3D DNR, BLC), IR Night Vision (Up to 30 m), ONVIF, Remote Monitoring, VIGI App, Web, VIGI Security Manager</t>
  </si>
  <si>
    <t>Cámara IP Bala de 2MP con CHIP de Inteligencia Artificial. ESPECIFICACIONES: Codecs H.265+/H.265/H.264+/H.264, CMOS de Escaneo Progresivo, Color/0.1, Lux@2.0, 0 Lux con IR, 25fps/30fps (1920x1080, 1280x960, 1280x720), PoE/12V DC, Lente Fijo 4 mm.  FUNCIONES: Detección Inteligente (Clasifica Humanos y Vehículos), Detección de Movimiento, Detección de Intrusión de Área, Detección de Cruce de Línea, Detección de Manipulación de Cámara, Detección de Objeto abandonado, Detección de Remoción de Objetos, Detección de Ingreso de Área, Detección de Salida de Área, Detección de Vehículos, Detección Humana; Visión Nocturna de IR (hasta 30 m), IP67, ONVIF, Monitoreo Remoto con App VIGI y VIGI Security Manager</t>
  </si>
  <si>
    <t>8 Channel PoE+ Network Video Recorder
SPEC: H.265+/H.265/H.264+/H.264, Up to 8MP resolution, Decoding capability/8-ch@2MP/4-ch @4MP,80 Mbps Incoming Bandwidth(up to 8 channels),8× 10/100 Mbps PoE+ Ports, PoE Powe 113W, 802.3 af/at,2× SATA Interface(up to 10 TB), 2× USB 2.0, 53.5V DC/1.31A, 1× VGA port &amp; 1× HDMI port(Up to 4K)(Synchronous Outputs)
FEATURE: Auto Initialization, Smart Detection Configuration &amp; Alarm, Two-Way Audio, Simultaneous Playback, ONVIF, Remote Monitoring, VIGI App, Web, VIGI Security Manager</t>
  </si>
  <si>
    <t>NVR de 8 canales 4K 
(8Mp)
H.265 + / H.265 / H.264 + / H.264, resolución de hasta 8MP, ancho de banda entrante de 80 Mbps (hasta 8 canales), 1 × interfaz SATA (hasta 10 TB), 12V DC 1.5 A, 2 × USB 2.0, 1 × puerto VGA, 1 × puerto HDMI
Funciones: Audio bidireccional, reproducción simultánea, configuración optimizada, ONVIF, monitoreo remoto, aplicación VIGI</t>
  </si>
  <si>
    <t>4 Channel Network Video Recorder
SPEC: H.265+/H.265/H.264+/H.264, Up to 8MP resolution, Decoding capability/8-ch @2MP, 80 Mbps Incoming Bandwidth(up to 4 channels), 1× SATA Interface(up to 10 TB), 1× 100Mbps Ports,  2× USB 2.0, 12V DC 1.5 A, 1× VGA port &amp; 1× HDMI port(Up to 4K)(Synchronous Outputs)
FEATURE: FEATURE: Auto Initialization, Smart Detection Configuration &amp; Alarm, Two-Way Audio, Simultaneous Playback, Streamlined Setup, ONVIF, Remote Monitoring, VIGI App, Web, VIGI Security Manager</t>
  </si>
  <si>
    <t>AX5400 Whole Home Mesh Wi-Fi AP
SPEED: 574 Mbps at 2.4 GHz + 4804 Mbps at 5 GHz
SPEC: Internal Antennas, 2× Gigabit Ports, Qualcomm Dual-Core CPU, 4 Streams for 5 GHz
FEATURE: EasyMesh R2, 802.11k/v/r, Aginet App, Router/AP Mode, IPv6, IPTV, Parental Controls, OFDMA, MU-MIMO, 1024-QAM, HE160, WPA3, Beamforming, TR-069(TR-098/TR-181), TR-143, TAUC</t>
  </si>
  <si>
    <t>AX3000 Whole Home Mesh Wi-Fi AP
SPEED: 574 Mbps at 2.4 GHz + 2402 Mbps at 5 GHz
SPEC: Internal Antennas, 3× Gigabit Ports, MediaTek Dual-Core CPU, 3T3R at 5GHz
FEATURE: EasyMesh R3, 802.11k/v/r, Aginet App, Router/AP Mode, IPv6, IPTV, Parental Controls, OFDMA, MU-MIMO, 1024-QAM, HE160, WPA3, Beamforming, TR-069(TR-098/TR-181), TR-143, TAUC</t>
  </si>
  <si>
    <t>AX1500 Whole Home Mesh Wi-Fi AP
SPEED: 300 Mbps at 2.4 GHz +1201 Mbps at 5 GHz
SPEC: Internal Antennas, 3× Gigabit Ports, Single-Core CPU
FEATURE: EasyMesh R1, 802.11k/v/r, Aginet App, Router/AP Mode, IPv6, IPTV, Parental Controls, OFDMA, MU-MIMO, 1024-QAM, HE80, WPA3, Beamforming, TR-069(TR-098/TR-181), TR-143</t>
  </si>
  <si>
    <t>Router AC1200 Mesh Wi-Fi AP
VELOCIDAD: 300 Mbps a 2,4 GHz + 867 Mbps a 5 GHz
4 Antenas internas, 3 Puertos Gigabit, CPU de doble núcleo
CARACTERÍSTICAS: EasyMesh R2, 802.11k/v/r, Tether App, Modo Router/AP, IPv6, IPTV, Control parental, QoS, MU-MIMO, Beamforming, TR-069(TR-181)</t>
  </si>
  <si>
    <t>AX5400 Dual-Band Wi-Fi 6 Router
SPEED: 574 Mbps at 2.4 GHz + 4804 Mbps at 5 GHz
SPEC: 6× Antennas, Qualcomm Dual-Core CPU, 1× Gigabit WAN Port + 4× Gigabit LAN Ports, USB 3.0 Port, 1024-QAM, OFDMA, HE160
FEATURE: EasyMesh R2, 802.11k/v/r, Aginet App, Router/AP Mode, IPv6, IPTV, MU-MIMO, Beamforming, Band Steering, Airtime Fairness, VPN Server, WPA3, TR-069(TR-098/TR-181), TR-143, TAUC</t>
  </si>
  <si>
    <t>AX3000 Dual-Band Wi-Fi 6 Router
SPEED: 574 Mbps at 2.4 GHz + 2402 Mbps at 5 GHz
SPEC: 4× Antennas, Qualcomm Dual-Core CPU, 1× Gigabit WAN Port + 4× Gigabit LAN Ports, 1024-QAM, OFDMA, HE160
FEATURE: EasyMesh R2, 802.11k/v/r, Aginet App, Router/AP Mode, IPv6, IPTV, MU-MIMO, Beamforming, Band Steering, Airtime Fairness, VPN Server, WPA3, TR-069(TR-098/TR-181), TR-143, TAUC</t>
  </si>
  <si>
    <t xml:space="preserve"> Router Wi-Fi 6 de doble banda AX1800
VELOCIDAD: 574 Mbps a 2,4 GHz + 1201 Mbps a 5 GHz
ESPECIFICACIÓN: 4× Antenas, CPU de doble núcleo, 1× Puerto WAN Gigabit + 4× Puertos LAN Gigabit, 1024-QAM, OFDMA, HE80
CARACTERÍSTICAS: EasyMesh R2, 802.11k/v/r, aplicación Aginet, modo router/AP, compatibilidad con IPv6, IPTV, MU-MIMO, Beamforming, Band Steering, Airtime Fairness, servidor VPN, TR-069(TR-098/181)</t>
  </si>
  <si>
    <t>AX1500 Dual-Band Wi-Fi 6 Router
SPEED: 300 Mbps at 2.4 GHz + 1201 Mbps at 5 GHz
SPEC:  4x Antennas, Single-Core CPU, 1 x Gigabit WAN Port, 3 x Gigabit LAN Ports, 1024-QAM, OFDMA, HE80
FEATURE: EasyMesh R1, 802.11k/v/r, Aginet App, IPv6, IPTV, MU-MIMO, Beamforming, Band Steering, Airtime Fairness, WPA3, TR-069(TR-181/TR-098), TR-143</t>
  </si>
  <si>
    <t>AC1200 Dual-Band Wi-Fi Router
SPEED: 300 Mbps at 2.4 GHz + 867 Mbps at 5 GHz
SPEC: 4× Antennas, 1× 10/100M WAN Port + 4× 10/100M LAN Ports 
FEATURE: Router/Access Point/Range Extender Mode, IPv6 Supported, IPTV, Multi-EWAN, Multi-SSID, VPN Server, TR-069(TR-098)</t>
  </si>
  <si>
    <t xml:space="preserve">AX3000 Wireless Gigabit GPON HGU
Econet Chipset with G.984.x, Class B+
SPEED: 574 Mbps at 2.4 GHz + 2402 Mbps at 5 GHz. HT160
SPEC: 1 x GE WAN/LAN port +3 x GE LAN ports, 1 x SC/APC GPON port, 2 x Fixed Antennas, QoS, IGMP, OMCI, TR-069(TR-098/181), Easymesh, Aginet APP, Cloud support </t>
  </si>
  <si>
    <t>AX1800 Wireless GPON Router with CATV
Econet Chipset with G.984.x, Class B+
SPEED: 574 Mbps at 2.4 GHz +1201 Mbps at 5 GHz. HT80
SPEC: 1 x GE WAN/LAN port + 3 x GE LAN ports, 1 x RJ11(FXS) Port, 1 x USB2.0 Port,1 x SC/APC GPON port, 1 x CATV port, 4 x Fixed Antennas, QoS, IGMP, OMCI, TR-069(TR-098/181), Easymesh, Aginet APP, Cloud support</t>
  </si>
  <si>
    <t>AX1800 Wireless Gigabit GPON HGU with VOIP
Econet Chipset with G.984.x, Class B+
SPEED: 574 Mbps at 2.4 GHz +1201 Mbps at 5 GHz. HT80
SPEC: 1 x GE WAN/LAN port + 3 x GE LAN ports, 1 x RJ11(FXS) Port, 1 x USB2.0 Port,1 x SC/APC GPON port, 4 x Fixed Antennas, QoS, IGMP, OMCI, TR-069(TR-098/181), Easymesh, Aginet APP, Cloud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</si>
</sst>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_-&quot;$&quot;\ * #,##0_-;\-&quot;$&quot;\ * #,##0_-;_-&quot;$&quot;\ * &quot;-&quot;??_-;_-@_-"/>
    <numFmt numFmtId="165" formatCode="0_);[Red]\(0\)"/>
    <numFmt numFmtId="166" formatCode="m/d"/>
  </numFmts>
  <fonts count="10" x14ac:knownFonts="1">
    <font>
      <sz val="11"/>
      <color theme="1"/>
      <name val="Aptos Narrow"/>
      <family val="2"/>
      <scheme val="minor"/>
    </font>
    <font>
      <sz val="11"/>
      <color theme="1"/>
      <name val="Aptos Narrow"/>
      <family val="2"/>
      <scheme val="minor"/>
    </font>
    <font>
      <sz val="11"/>
      <color theme="1"/>
      <name val="Arial"/>
      <family val="2"/>
    </font>
    <font>
      <sz val="11"/>
      <color rgb="FF282828"/>
      <name val="Arial"/>
      <family val="2"/>
    </font>
    <font>
      <sz val="11"/>
      <name val="Arial"/>
      <family val="2"/>
    </font>
    <font>
      <sz val="12"/>
      <name val="新細明體"/>
      <family val="1"/>
      <charset val="134"/>
    </font>
    <font>
      <b/>
      <sz val="11"/>
      <name val="Arial"/>
      <family val="2"/>
    </font>
    <font>
      <sz val="10"/>
      <color theme="0"/>
      <name val="Aptos Narrow"/>
      <family val="2"/>
      <scheme val="minor"/>
    </font>
    <font>
      <sz val="10"/>
      <name val="Arial"/>
      <family val="2"/>
    </font>
    <font>
      <sz val="11"/>
      <color rgb="FF282828"/>
      <name val="Arial"/>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medium">
        <color rgb="FF5D6975"/>
      </bottom>
      <diagonal/>
    </border>
    <border>
      <left style="thin">
        <color rgb="FF000000"/>
      </left>
      <right style="thin">
        <color rgb="FF000000"/>
      </right>
      <top/>
      <bottom style="medium">
        <color rgb="FF5D6975"/>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medium">
        <color rgb="FF5D6975"/>
      </bottom>
      <diagonal/>
    </border>
  </borders>
  <cellStyleXfs count="5">
    <xf numFmtId="0" fontId="0" fillId="0" borderId="0"/>
    <xf numFmtId="44" fontId="1" fillId="0" borderId="0" applyFont="0" applyFill="0" applyBorder="0" applyAlignment="0" applyProtection="0"/>
    <xf numFmtId="0" fontId="5" fillId="0" borderId="0"/>
    <xf numFmtId="0" fontId="8" fillId="0" borderId="0"/>
    <xf numFmtId="43" fontId="1" fillId="0" borderId="0" applyFont="0" applyFill="0" applyBorder="0" applyAlignment="0" applyProtection="0"/>
  </cellStyleXfs>
  <cellXfs count="45">
    <xf numFmtId="0" fontId="0" fillId="0" borderId="0" xfId="0"/>
    <xf numFmtId="0" fontId="2" fillId="0" borderId="0" xfId="0" applyFont="1"/>
    <xf numFmtId="164" fontId="2" fillId="0" borderId="0" xfId="1" applyNumberFormat="1" applyFont="1"/>
    <xf numFmtId="164" fontId="2" fillId="0" borderId="0" xfId="1" applyNumberFormat="1" applyFont="1" applyAlignment="1">
      <alignment horizontal="left" wrapText="1"/>
    </xf>
    <xf numFmtId="0" fontId="2" fillId="0" borderId="0" xfId="0" applyFont="1" applyAlignment="1">
      <alignment horizontal="left" wrapText="1"/>
    </xf>
    <xf numFmtId="0" fontId="2" fillId="0" borderId="0" xfId="0" applyFont="1" applyAlignment="1">
      <alignment horizontal="left"/>
    </xf>
    <xf numFmtId="164" fontId="3" fillId="0" borderId="1" xfId="1" applyNumberFormat="1" applyFont="1" applyBorder="1" applyAlignment="1">
      <alignment horizontal="center" vertical="center"/>
    </xf>
    <xf numFmtId="0" fontId="3" fillId="0" borderId="2" xfId="0" applyFont="1" applyBorder="1" applyAlignment="1">
      <alignment horizontal="center" vertical="center"/>
    </xf>
    <xf numFmtId="164" fontId="3" fillId="0" borderId="2" xfId="1" applyNumberFormat="1" applyFont="1" applyBorder="1" applyAlignment="1">
      <alignment horizontal="center" vertical="center"/>
    </xf>
    <xf numFmtId="0" fontId="3" fillId="0" borderId="1" xfId="0" applyFont="1" applyBorder="1" applyAlignment="1">
      <alignment horizontal="center" vertical="center"/>
    </xf>
    <xf numFmtId="0" fontId="4" fillId="0" borderId="0" xfId="0" applyFont="1"/>
    <xf numFmtId="164" fontId="4" fillId="0" borderId="1" xfId="1" applyNumberFormat="1" applyFont="1" applyBorder="1" applyAlignment="1">
      <alignment horizontal="center" vertical="center"/>
    </xf>
    <xf numFmtId="0" fontId="4" fillId="0" borderId="1" xfId="0" applyFont="1" applyBorder="1" applyAlignment="1">
      <alignment horizontal="center" vertical="center"/>
    </xf>
    <xf numFmtId="164" fontId="6" fillId="0" borderId="4" xfId="1" applyNumberFormat="1" applyFont="1" applyBorder="1" applyAlignment="1">
      <alignment horizontal="center" vertical="center"/>
    </xf>
    <xf numFmtId="164" fontId="6" fillId="0" borderId="5" xfId="1" applyNumberFormat="1" applyFont="1" applyBorder="1" applyAlignment="1">
      <alignment horizontal="center" vertical="center"/>
    </xf>
    <xf numFmtId="164" fontId="6" fillId="0" borderId="5" xfId="1" applyNumberFormat="1" applyFont="1" applyBorder="1" applyAlignment="1">
      <alignment horizontal="center" vertical="center" wrapText="1"/>
    </xf>
    <xf numFmtId="0" fontId="6" fillId="0" borderId="5" xfId="0" applyFont="1" applyBorder="1" applyAlignment="1">
      <alignment horizontal="center" vertical="center" wrapText="1"/>
    </xf>
    <xf numFmtId="164" fontId="7" fillId="0" borderId="3" xfId="1" applyNumberFormat="1" applyFont="1" applyBorder="1" applyAlignment="1">
      <alignment horizontal="center" vertical="center" wrapText="1"/>
    </xf>
    <xf numFmtId="0" fontId="7" fillId="0" borderId="3" xfId="3" applyFont="1" applyBorder="1" applyAlignment="1">
      <alignment horizontal="center" vertical="center" wrapText="1"/>
    </xf>
    <xf numFmtId="0" fontId="7" fillId="0" borderId="3" xfId="3" applyFont="1" applyBorder="1" applyAlignment="1">
      <alignment horizontal="center" vertical="center"/>
    </xf>
    <xf numFmtId="164" fontId="4" fillId="0" borderId="7" xfId="1" applyNumberFormat="1" applyFont="1" applyBorder="1" applyAlignment="1">
      <alignment horizontal="left" vertical="center" wrapText="1"/>
    </xf>
    <xf numFmtId="164" fontId="4" fillId="0" borderId="6" xfId="1" applyNumberFormat="1" applyFont="1" applyBorder="1" applyAlignment="1">
      <alignment horizontal="left" vertical="center" wrapText="1"/>
    </xf>
    <xf numFmtId="164" fontId="3" fillId="0" borderId="6" xfId="1" applyNumberFormat="1" applyFont="1" applyBorder="1" applyAlignment="1">
      <alignment horizontal="left" vertical="center" wrapText="1"/>
    </xf>
    <xf numFmtId="0" fontId="4" fillId="0" borderId="3" xfId="2" applyFont="1" applyBorder="1" applyAlignment="1" applyProtection="1">
      <alignment horizontal="center" vertical="center" wrapText="1"/>
      <protection locked="0"/>
    </xf>
    <xf numFmtId="0" fontId="4" fillId="0" borderId="3" xfId="2" applyFont="1" applyBorder="1" applyAlignment="1" applyProtection="1">
      <alignment horizontal="left" vertical="top" wrapText="1"/>
      <protection locked="0"/>
    </xf>
    <xf numFmtId="0" fontId="4" fillId="2" borderId="3" xfId="2" applyFont="1" applyFill="1" applyBorder="1" applyAlignment="1" applyProtection="1">
      <alignment horizontal="center" vertical="center"/>
      <protection locked="0"/>
    </xf>
    <xf numFmtId="0" fontId="2" fillId="0" borderId="3" xfId="2" applyFont="1" applyBorder="1" applyAlignment="1" applyProtection="1">
      <alignment horizontal="center" vertical="center" wrapText="1"/>
      <protection locked="0"/>
    </xf>
    <xf numFmtId="0" fontId="4" fillId="0" borderId="3" xfId="2" applyFont="1" applyBorder="1" applyAlignment="1" applyProtection="1">
      <alignment horizontal="center" vertical="center"/>
      <protection locked="0"/>
    </xf>
    <xf numFmtId="0" fontId="2" fillId="2" borderId="3" xfId="2" applyFont="1" applyFill="1" applyBorder="1" applyAlignment="1" applyProtection="1">
      <alignment horizontal="center" vertical="center" wrapText="1"/>
      <protection locked="0"/>
    </xf>
    <xf numFmtId="0" fontId="2" fillId="0" borderId="3" xfId="2" applyFont="1" applyBorder="1" applyAlignment="1" applyProtection="1">
      <alignment horizontal="center" vertical="center"/>
      <protection locked="0"/>
    </xf>
    <xf numFmtId="0" fontId="4" fillId="0" borderId="3" xfId="2" applyFont="1" applyBorder="1" applyAlignment="1" applyProtection="1">
      <alignment horizontal="left" vertical="center" wrapText="1"/>
      <protection locked="0"/>
    </xf>
    <xf numFmtId="0" fontId="4" fillId="0" borderId="3" xfId="2" applyFont="1" applyBorder="1" applyAlignment="1" applyProtection="1">
      <alignment horizontal="left" vertical="center"/>
      <protection locked="0"/>
    </xf>
    <xf numFmtId="0" fontId="2" fillId="0" borderId="3" xfId="2" applyFont="1" applyBorder="1" applyAlignment="1" applyProtection="1">
      <alignment horizontal="left" vertical="center" wrapText="1"/>
      <protection locked="0"/>
    </xf>
    <xf numFmtId="0" fontId="4" fillId="2" borderId="3" xfId="2" applyFont="1" applyFill="1" applyBorder="1" applyAlignment="1" applyProtection="1">
      <alignment horizontal="left" vertical="center"/>
      <protection locked="0"/>
    </xf>
    <xf numFmtId="0" fontId="2" fillId="0" borderId="3" xfId="2" applyFont="1" applyBorder="1" applyAlignment="1" applyProtection="1">
      <alignment horizontal="left" vertical="center"/>
      <protection locked="0"/>
    </xf>
    <xf numFmtId="165" fontId="4" fillId="0" borderId="3" xfId="2" applyNumberFormat="1" applyFont="1" applyBorder="1" applyAlignment="1" applyProtection="1">
      <alignment horizontal="left" vertical="top" wrapText="1"/>
      <protection locked="0"/>
    </xf>
    <xf numFmtId="38" fontId="4" fillId="0" borderId="3" xfId="4" applyNumberFormat="1" applyFont="1" applyBorder="1" applyAlignment="1" applyProtection="1">
      <alignment horizontal="center" vertical="center" wrapText="1"/>
      <protection locked="0"/>
    </xf>
    <xf numFmtId="38" fontId="4" fillId="0" borderId="3" xfId="2" applyNumberFormat="1" applyFont="1" applyBorder="1" applyAlignment="1" applyProtection="1">
      <alignment horizontal="center" vertical="center" wrapText="1"/>
      <protection locked="0"/>
    </xf>
    <xf numFmtId="164" fontId="9" fillId="0" borderId="1" xfId="1" applyNumberFormat="1" applyFont="1" applyBorder="1" applyAlignment="1">
      <alignment horizontal="center" vertical="center"/>
    </xf>
    <xf numFmtId="164" fontId="9" fillId="0" borderId="2" xfId="1" applyNumberFormat="1" applyFont="1" applyBorder="1" applyAlignment="1">
      <alignment horizontal="center" vertical="center"/>
    </xf>
    <xf numFmtId="164" fontId="6" fillId="0" borderId="9" xfId="1" applyNumberFormat="1" applyFont="1" applyBorder="1" applyAlignment="1">
      <alignment horizontal="center" vertical="center" wrapText="1"/>
    </xf>
    <xf numFmtId="164" fontId="3" fillId="0" borderId="8" xfId="1" applyNumberFormat="1" applyFont="1" applyBorder="1" applyAlignment="1">
      <alignment horizontal="left" vertical="center" wrapText="1"/>
    </xf>
    <xf numFmtId="164" fontId="4" fillId="0" borderId="3" xfId="1" applyNumberFormat="1" applyFont="1" applyBorder="1" applyAlignment="1">
      <alignment horizontal="left" vertical="center" wrapText="1"/>
    </xf>
    <xf numFmtId="164" fontId="3" fillId="0" borderId="3" xfId="1" applyNumberFormat="1" applyFont="1" applyBorder="1" applyAlignment="1">
      <alignment horizontal="left" vertical="center" wrapText="1"/>
    </xf>
    <xf numFmtId="166" fontId="4" fillId="0" borderId="3" xfId="2" applyNumberFormat="1" applyFont="1" applyBorder="1" applyAlignment="1">
      <alignment horizontal="left" vertical="top" wrapText="1"/>
    </xf>
  </cellXfs>
  <cellStyles count="5">
    <cellStyle name="Millares" xfId="4" builtinId="3"/>
    <cellStyle name="Moneda" xfId="1" builtinId="4"/>
    <cellStyle name="Normal" xfId="0" builtinId="0"/>
    <cellStyle name="Normal 2" xfId="3" xr:uid="{4604ECD2-4BE3-4FAF-A761-3094D44217AD}"/>
    <cellStyle name="一般_Book1" xfId="2" xr:uid="{7D9D34FD-5300-4974-84FD-476B48DADC65}"/>
  </cellStyles>
  <dxfs count="69">
    <dxf>
      <font>
        <b val="0"/>
        <i val="0"/>
        <strike val="0"/>
        <condense val="0"/>
        <extend val="0"/>
        <outline val="0"/>
        <shadow val="0"/>
        <u val="none"/>
        <vertAlign val="baseline"/>
        <sz val="11"/>
        <color rgb="FF282828"/>
        <name val="Arial"/>
        <family val="2"/>
        <scheme val="none"/>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282828"/>
        <name val="Arial"/>
        <family val="2"/>
        <scheme val="none"/>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282828"/>
        <name val="Arial"/>
        <family val="2"/>
        <scheme val="none"/>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165" formatCode="0_);[Red]\(0\)"/>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bgColor rgb="FFFFFF00"/>
        </patternFill>
      </fill>
    </dxf>
    <dxf>
      <fill>
        <patternFill>
          <bgColor theme="4"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Arial"/>
        <family val="2"/>
        <scheme val="none"/>
      </font>
      <numFmt numFmtId="6" formatCode="#,##0;[Red]\-#,##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rgb="FF282828"/>
        <name val="Arial"/>
        <scheme val="none"/>
      </font>
      <numFmt numFmtId="164" formatCode="_-&quot;$&quot;\ * #,##0_-;\-&quot;$&quot;\ * #,##0_-;_-&quot;$&quot;\ *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282828"/>
        <name val="Arial"/>
        <scheme val="none"/>
      </font>
      <numFmt numFmtId="164" formatCode="_-&quot;$&quot;\ * #,##0_-;\-&quot;$&quot;\ * #,##0_-;_-&quot;$&quot;\ *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282828"/>
        <name val="Arial"/>
        <scheme val="none"/>
      </font>
      <numFmt numFmtId="164" formatCode="_-&quot;$&quot;\ * #,##0_-;\-&quot;$&quot;\ * #,##0_-;_-&quot;$&quot;\ *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282828"/>
        <name val="Arial"/>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282828"/>
        <name val="Arial"/>
        <family val="2"/>
        <scheme val="none"/>
      </font>
      <numFmt numFmtId="164" formatCode="_-&quot;$&quot;\ * #,##0_-;\-&quot;$&quot;\ * #,##0_-;_-&quot;$&quot;\ * &quot;-&quot;??_-;_-@_-"/>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rgb="FFFF0000"/>
      </font>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282828"/>
        <name val="Arial"/>
        <scheme val="none"/>
      </font>
      <alignment horizontal="center" vertical="center" textRotation="0" wrapText="0" indent="0" justifyLastLine="0" shrinkToFit="0" readingOrder="0"/>
    </dxf>
    <dxf>
      <border outline="0">
        <bottom style="medium">
          <color rgb="FF5D6975"/>
        </bottom>
      </border>
    </dxf>
    <dxf>
      <font>
        <b/>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967083-D2BF-4EFD-90D7-3B034512F943}" name="Tabla130" displayName="Tabla130" ref="A1:K639" totalsRowShown="0" headerRowDxfId="68" dataDxfId="66" headerRowBorderDxfId="67" tableBorderDxfId="65" totalsRowBorderDxfId="64">
  <autoFilter ref="A1:K639" xr:uid="{00000000-0009-0000-0100-000001000000}"/>
  <sortState xmlns:xlrd2="http://schemas.microsoft.com/office/spreadsheetml/2017/richdata2" ref="A2:K348">
    <sortCondition sortBy="fontColor" ref="A1:A348" dxfId="63"/>
  </sortState>
  <tableColumns count="11">
    <tableColumn id="3" xr3:uid="{2900A8FE-6D54-423C-848B-DAB982879BEB}" name="REFERENCIA" dataDxfId="4" dataCellStyle="一般_Book1"/>
    <tableColumn id="4" xr3:uid="{E5AC7E10-1DD1-4378-8C28-0CEF4077E98D}" name="DESCRIPCION" dataDxfId="3" dataCellStyle="一般_Book1"/>
    <tableColumn id="1" xr3:uid="{C66ADBB6-F215-4D7E-AB99-0246C6EC2B7C}" name="PRECIO INSTALLER (CON IVA)" dataDxfId="2" dataCellStyle="Moneda">
      <calculatedColumnFormula>+Tabla130[[#This Row],[COSTO CON IVA]]/Tabla130[[#This Row],[UTILIDAD]]</calculatedColumnFormula>
    </tableColumn>
    <tableColumn id="10" xr3:uid="{95FE3606-44B0-4893-9380-499F705B1586}" name="PRECIO TIENDA (CON IVA)" dataDxfId="1" dataCellStyle="Moneda">
      <calculatedColumnFormula>+Tabla130[[#This Row],[PRECIO INSTALLER (CON IVA)]]-Tabla130[[#This Row],[Columna4]]</calculatedColumnFormula>
    </tableColumn>
    <tableColumn id="11" xr3:uid="{907B1156-EE47-4F94-A3EB-340E0EF9721C}" name="PRECIO CLIENTE FINAL (CON IVA)" dataDxfId="0" dataCellStyle="Moneda">
      <calculatedColumnFormula>+Tabla130[[#This Row],[PRECIO INSTALLER (CON IVA)]]/0.7</calculatedColumnFormula>
    </tableColumn>
    <tableColumn id="2" xr3:uid="{EAFDE80F-192B-40C2-9376-CDBA26198C1B}" name="Columna4" dataDxfId="62" dataCellStyle="Moneda">
      <calculatedColumnFormula>+Tabla130[[#This Row],[PRECIO INSTALLER (CON IVA)]]*5%</calculatedColumnFormula>
    </tableColumn>
    <tableColumn id="5" xr3:uid="{B90905EC-7BAD-483F-A8F4-31467CF653E7}" name="UTILIDAD" dataDxfId="61"/>
    <tableColumn id="6" xr3:uid="{CDAE1BD6-1A36-425C-B255-24B63761F3A7}" name="COSTO CON IVA" dataDxfId="60" dataCellStyle="Moneda">
      <calculatedColumnFormula>Tabla130[[#This Row],[COSTO]]*1.19</calculatedColumnFormula>
    </tableColumn>
    <tableColumn id="7" xr3:uid="{B2C08AD1-AD3A-4073-B928-21A514A3A617}" name="Columna1" dataDxfId="59" dataCellStyle="Moneda"/>
    <tableColumn id="8" xr3:uid="{55B70424-185D-43C4-A682-F2C92FE25ABE}" name="Columna2" dataDxfId="58" dataCellStyle="Moneda"/>
    <tableColumn id="9" xr3:uid="{C6D4130A-EDF2-42A0-AD34-BAC8ED582C8A}" name="COSTO" dataDxfId="57" dataCellStyle="Millares"/>
  </tableColumns>
  <tableStyleInfo name="TableStyleMedium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C06B-5394-4A5A-9039-33903F34F079}">
  <dimension ref="A1:K639"/>
  <sheetViews>
    <sheetView showGridLines="0" tabSelected="1" workbookViewId="0">
      <pane ySplit="1" topLeftCell="A631" activePane="bottomLeft" state="frozen"/>
      <selection pane="bottomLeft" activeCell="B639" sqref="B639"/>
    </sheetView>
  </sheetViews>
  <sheetFormatPr baseColWidth="10" defaultRowHeight="14.25" x14ac:dyDescent="0.2"/>
  <cols>
    <col min="1" max="1" width="28.140625" style="5" bestFit="1" customWidth="1"/>
    <col min="2" max="2" width="52.28515625" style="4" customWidth="1"/>
    <col min="3" max="3" width="20" style="3" customWidth="1"/>
    <col min="4" max="4" width="20.28515625" style="3" customWidth="1"/>
    <col min="5" max="5" width="19.7109375" style="3" customWidth="1"/>
    <col min="6" max="6" width="24.140625" style="3" hidden="1" customWidth="1"/>
    <col min="7" max="7" width="12" style="1" hidden="1" customWidth="1"/>
    <col min="8" max="8" width="15" style="2" hidden="1" customWidth="1"/>
    <col min="9" max="9" width="2" style="2" hidden="1" customWidth="1"/>
    <col min="10" max="10" width="2.5703125" style="2" hidden="1" customWidth="1"/>
    <col min="11" max="11" width="15.5703125" style="2" hidden="1" customWidth="1"/>
    <col min="12" max="16384" width="11.42578125" style="1"/>
  </cols>
  <sheetData>
    <row r="1" spans="1:11" s="10" customFormat="1" ht="48" customHeight="1" thickBot="1" x14ac:dyDescent="0.25">
      <c r="A1" s="19" t="s">
        <v>151</v>
      </c>
      <c r="B1" s="18" t="s">
        <v>150</v>
      </c>
      <c r="C1" s="17" t="s">
        <v>149</v>
      </c>
      <c r="D1" s="17" t="s">
        <v>148</v>
      </c>
      <c r="E1" s="17" t="s">
        <v>147</v>
      </c>
      <c r="F1" s="40" t="s">
        <v>146</v>
      </c>
      <c r="G1" s="16" t="s">
        <v>145</v>
      </c>
      <c r="H1" s="15" t="s">
        <v>144</v>
      </c>
      <c r="I1" s="14" t="s">
        <v>143</v>
      </c>
      <c r="J1" s="14" t="s">
        <v>142</v>
      </c>
      <c r="K1" s="13" t="s">
        <v>141</v>
      </c>
    </row>
    <row r="2" spans="1:11" ht="199.5" x14ac:dyDescent="0.2">
      <c r="A2" s="23" t="s">
        <v>152</v>
      </c>
      <c r="B2" s="24" t="s">
        <v>153</v>
      </c>
      <c r="C2" s="42">
        <f>+Tabla130[[#This Row],[COSTO CON IVA]]/Tabla130[[#This Row],[UTILIDAD]]</f>
        <v>2310000</v>
      </c>
      <c r="D2" s="42">
        <f>+Tabla130[[#This Row],[PRECIO INSTALLER (CON IVA)]]-Tabla130[[#This Row],[Columna4]]</f>
        <v>2194500</v>
      </c>
      <c r="E2" s="42">
        <f>+Tabla130[[#This Row],[PRECIO INSTALLER (CON IVA)]]/0.7</f>
        <v>3300000</v>
      </c>
      <c r="F2" s="20">
        <f>+Tabla130[[#This Row],[PRECIO INSTALLER (CON IVA)]]*5%</f>
        <v>115500</v>
      </c>
      <c r="G2" s="9">
        <v>0.85</v>
      </c>
      <c r="H2" s="6">
        <f>Tabla130[[#This Row],[COSTO]]*1.19</f>
        <v>1963500</v>
      </c>
      <c r="I2" s="6"/>
      <c r="J2" s="6"/>
      <c r="K2" s="36">
        <v>1650000</v>
      </c>
    </row>
    <row r="3" spans="1:11" ht="171" x14ac:dyDescent="0.2">
      <c r="A3" s="23" t="s">
        <v>154</v>
      </c>
      <c r="B3" s="24" t="s">
        <v>155</v>
      </c>
      <c r="C3" s="42">
        <f>+Tabla130[[#This Row],[COSTO CON IVA]]/Tabla130[[#This Row],[UTILIDAD]]</f>
        <v>1678460</v>
      </c>
      <c r="D3" s="42">
        <f>+Tabla130[[#This Row],[PRECIO INSTALLER (CON IVA)]]-Tabla130[[#This Row],[Columna4]]</f>
        <v>1594537</v>
      </c>
      <c r="E3" s="42">
        <f>+Tabla130[[#This Row],[PRECIO INSTALLER (CON IVA)]]/0.7</f>
        <v>2397800</v>
      </c>
      <c r="F3" s="20">
        <f>+Tabla130[[#This Row],[PRECIO INSTALLER (CON IVA)]]*5%</f>
        <v>83923</v>
      </c>
      <c r="G3" s="9">
        <v>0.85</v>
      </c>
      <c r="H3" s="6">
        <f>Tabla130[[#This Row],[COSTO]]*1.19</f>
        <v>1426691</v>
      </c>
      <c r="I3" s="6"/>
      <c r="J3" s="6"/>
      <c r="K3" s="36">
        <v>1198900</v>
      </c>
    </row>
    <row r="4" spans="1:11" ht="156.75" x14ac:dyDescent="0.2">
      <c r="A4" s="23" t="s">
        <v>140</v>
      </c>
      <c r="B4" s="24" t="s">
        <v>156</v>
      </c>
      <c r="C4" s="42">
        <f>+Tabla130[[#This Row],[COSTO CON IVA]]/Tabla130[[#This Row],[UTILIDAD]]</f>
        <v>909160</v>
      </c>
      <c r="D4" s="42">
        <f>+Tabla130[[#This Row],[PRECIO INSTALLER (CON IVA)]]-Tabla130[[#This Row],[Columna4]]</f>
        <v>863702</v>
      </c>
      <c r="E4" s="42">
        <f>+Tabla130[[#This Row],[PRECIO INSTALLER (CON IVA)]]/0.7</f>
        <v>1298800</v>
      </c>
      <c r="F4" s="20">
        <f>+Tabla130[[#This Row],[PRECIO INSTALLER (CON IVA)]]*5%</f>
        <v>45458</v>
      </c>
      <c r="G4" s="9">
        <v>0.85</v>
      </c>
      <c r="H4" s="6">
        <f>Tabla130[[#This Row],[COSTO]]*1.19</f>
        <v>772786</v>
      </c>
      <c r="I4" s="6"/>
      <c r="J4" s="6"/>
      <c r="K4" s="36">
        <v>649400</v>
      </c>
    </row>
    <row r="5" spans="1:11" ht="142.5" x14ac:dyDescent="0.2">
      <c r="A5" s="25" t="s">
        <v>139</v>
      </c>
      <c r="B5" s="24" t="s">
        <v>157</v>
      </c>
      <c r="C5" s="42">
        <f>+Tabla130[[#This Row],[COSTO CON IVA]]/Tabla130[[#This Row],[UTILIDAD]]</f>
        <v>1269660</v>
      </c>
      <c r="D5" s="42">
        <f>+Tabla130[[#This Row],[PRECIO INSTALLER (CON IVA)]]-Tabla130[[#This Row],[Columna4]]</f>
        <v>1206177</v>
      </c>
      <c r="E5" s="42">
        <f>+Tabla130[[#This Row],[PRECIO INSTALLER (CON IVA)]]/0.7</f>
        <v>1813800</v>
      </c>
      <c r="F5" s="20">
        <f>+Tabla130[[#This Row],[PRECIO INSTALLER (CON IVA)]]*5%</f>
        <v>63483</v>
      </c>
      <c r="G5" s="9">
        <v>0.85</v>
      </c>
      <c r="H5" s="6">
        <f>Tabla130[[#This Row],[COSTO]]*1.19</f>
        <v>1079211</v>
      </c>
      <c r="I5" s="6"/>
      <c r="J5" s="6"/>
      <c r="K5" s="36">
        <v>906900</v>
      </c>
    </row>
    <row r="6" spans="1:11" ht="142.5" x14ac:dyDescent="0.2">
      <c r="A6" s="25" t="s">
        <v>158</v>
      </c>
      <c r="B6" s="24" t="s">
        <v>157</v>
      </c>
      <c r="C6" s="42">
        <f>+Tabla130[[#This Row],[COSTO CON IVA]]/Tabla130[[#This Row],[UTILIDAD]]</f>
        <v>899500</v>
      </c>
      <c r="D6" s="42">
        <f>+Tabla130[[#This Row],[PRECIO INSTALLER (CON IVA)]]-Tabla130[[#This Row],[Columna4]]</f>
        <v>854525</v>
      </c>
      <c r="E6" s="42">
        <f>+Tabla130[[#This Row],[PRECIO INSTALLER (CON IVA)]]/0.7</f>
        <v>1285000</v>
      </c>
      <c r="F6" s="20">
        <f>+Tabla130[[#This Row],[PRECIO INSTALLER (CON IVA)]]*5%</f>
        <v>44975</v>
      </c>
      <c r="G6" s="9">
        <v>0.85</v>
      </c>
      <c r="H6" s="6">
        <f>Tabla130[[#This Row],[COSTO]]*1.19</f>
        <v>764575</v>
      </c>
      <c r="I6" s="6"/>
      <c r="J6" s="6"/>
      <c r="K6" s="36">
        <v>642500</v>
      </c>
    </row>
    <row r="7" spans="1:11" ht="142.5" x14ac:dyDescent="0.2">
      <c r="A7" s="25" t="s">
        <v>159</v>
      </c>
      <c r="B7" s="24" t="s">
        <v>160</v>
      </c>
      <c r="C7" s="42">
        <f>+Tabla130[[#This Row],[COSTO CON IVA]]/Tabla130[[#This Row],[UTILIDAD]]</f>
        <v>448980</v>
      </c>
      <c r="D7" s="42">
        <f>+Tabla130[[#This Row],[PRECIO INSTALLER (CON IVA)]]-Tabla130[[#This Row],[Columna4]]</f>
        <v>426531</v>
      </c>
      <c r="E7" s="42">
        <f>+Tabla130[[#This Row],[PRECIO INSTALLER (CON IVA)]]/0.7</f>
        <v>641400</v>
      </c>
      <c r="F7" s="20">
        <f>+Tabla130[[#This Row],[PRECIO INSTALLER (CON IVA)]]*5%</f>
        <v>22449</v>
      </c>
      <c r="G7" s="9">
        <v>0.85</v>
      </c>
      <c r="H7" s="6">
        <f>Tabla130[[#This Row],[COSTO]]*1.19</f>
        <v>381633</v>
      </c>
      <c r="I7" s="6"/>
      <c r="J7" s="6"/>
      <c r="K7" s="36">
        <v>320700</v>
      </c>
    </row>
    <row r="8" spans="1:11" ht="156.75" x14ac:dyDescent="0.2">
      <c r="A8" s="25" t="s">
        <v>161</v>
      </c>
      <c r="B8" s="24" t="s">
        <v>162</v>
      </c>
      <c r="C8" s="42">
        <f>+Tabla130[[#This Row],[COSTO CON IVA]]/Tabla130[[#This Row],[UTILIDAD]]</f>
        <v>642040</v>
      </c>
      <c r="D8" s="42">
        <f>+Tabla130[[#This Row],[PRECIO INSTALLER (CON IVA)]]-Tabla130[[#This Row],[Columna4]]</f>
        <v>609938</v>
      </c>
      <c r="E8" s="42">
        <f>+Tabla130[[#This Row],[PRECIO INSTALLER (CON IVA)]]/0.7</f>
        <v>917200</v>
      </c>
      <c r="F8" s="20">
        <f>+Tabla130[[#This Row],[PRECIO INSTALLER (CON IVA)]]*5%</f>
        <v>32102</v>
      </c>
      <c r="G8" s="9">
        <v>0.85</v>
      </c>
      <c r="H8" s="6">
        <f>Tabla130[[#This Row],[COSTO]]*1.19</f>
        <v>545734</v>
      </c>
      <c r="I8" s="6"/>
      <c r="J8" s="6"/>
      <c r="K8" s="36">
        <v>458600</v>
      </c>
    </row>
    <row r="9" spans="1:11" ht="142.5" x14ac:dyDescent="0.2">
      <c r="A9" s="23" t="s">
        <v>163</v>
      </c>
      <c r="B9" s="24" t="s">
        <v>164</v>
      </c>
      <c r="C9" s="42">
        <f>+Tabla130[[#This Row],[COSTO CON IVA]]/Tabla130[[#This Row],[UTILIDAD]]</f>
        <v>477960</v>
      </c>
      <c r="D9" s="42">
        <f>+Tabla130[[#This Row],[PRECIO INSTALLER (CON IVA)]]-Tabla130[[#This Row],[Columna4]]</f>
        <v>454062</v>
      </c>
      <c r="E9" s="42">
        <f>+Tabla130[[#This Row],[PRECIO INSTALLER (CON IVA)]]/0.7</f>
        <v>682800</v>
      </c>
      <c r="F9" s="20">
        <f>+Tabla130[[#This Row],[PRECIO INSTALLER (CON IVA)]]*5%</f>
        <v>23898</v>
      </c>
      <c r="G9" s="9">
        <v>0.85</v>
      </c>
      <c r="H9" s="6">
        <f>Tabla130[[#This Row],[COSTO]]*1.19</f>
        <v>406266</v>
      </c>
      <c r="I9" s="6"/>
      <c r="J9" s="6"/>
      <c r="K9" s="36">
        <v>341400</v>
      </c>
    </row>
    <row r="10" spans="1:11" ht="142.5" x14ac:dyDescent="0.2">
      <c r="A10" s="23" t="s">
        <v>165</v>
      </c>
      <c r="B10" s="24" t="s">
        <v>166</v>
      </c>
      <c r="C10" s="42">
        <f>+Tabla130[[#This Row],[COSTO CON IVA]]/Tabla130[[#This Row],[UTILIDAD]]</f>
        <v>1232140</v>
      </c>
      <c r="D10" s="42">
        <f>+Tabla130[[#This Row],[PRECIO INSTALLER (CON IVA)]]-Tabla130[[#This Row],[Columna4]]</f>
        <v>1170533</v>
      </c>
      <c r="E10" s="42">
        <f>+Tabla130[[#This Row],[PRECIO INSTALLER (CON IVA)]]/0.7</f>
        <v>1760200</v>
      </c>
      <c r="F10" s="20">
        <f>+Tabla130[[#This Row],[PRECIO INSTALLER (CON IVA)]]*5%</f>
        <v>61607</v>
      </c>
      <c r="G10" s="9">
        <v>0.85</v>
      </c>
      <c r="H10" s="6">
        <f>Tabla130[[#This Row],[COSTO]]*1.19</f>
        <v>1047319</v>
      </c>
      <c r="I10" s="6"/>
      <c r="J10" s="6"/>
      <c r="K10" s="36">
        <v>880100</v>
      </c>
    </row>
    <row r="11" spans="1:11" ht="142.5" x14ac:dyDescent="0.2">
      <c r="A11" s="23" t="s">
        <v>167</v>
      </c>
      <c r="B11" s="24" t="s">
        <v>166</v>
      </c>
      <c r="C11" s="42">
        <f>+Tabla130[[#This Row],[COSTO CON IVA]]/Tabla130[[#This Row],[UTILIDAD]]</f>
        <v>832720</v>
      </c>
      <c r="D11" s="42">
        <f>+Tabla130[[#This Row],[PRECIO INSTALLER (CON IVA)]]-Tabla130[[#This Row],[Columna4]]</f>
        <v>791084</v>
      </c>
      <c r="E11" s="42">
        <f>+Tabla130[[#This Row],[PRECIO INSTALLER (CON IVA)]]/0.7</f>
        <v>1189600</v>
      </c>
      <c r="F11" s="20">
        <f>+Tabla130[[#This Row],[PRECIO INSTALLER (CON IVA)]]*5%</f>
        <v>41636</v>
      </c>
      <c r="G11" s="9">
        <v>0.85</v>
      </c>
      <c r="H11" s="6">
        <f>Tabla130[[#This Row],[COSTO]]*1.19</f>
        <v>707812</v>
      </c>
      <c r="I11" s="6"/>
      <c r="J11" s="6"/>
      <c r="K11" s="36">
        <v>594800</v>
      </c>
    </row>
    <row r="12" spans="1:11" ht="142.5" x14ac:dyDescent="0.2">
      <c r="A12" s="23" t="s">
        <v>168</v>
      </c>
      <c r="B12" s="24" t="s">
        <v>169</v>
      </c>
      <c r="C12" s="42">
        <f>+Tabla130[[#This Row],[COSTO CON IVA]]/Tabla130[[#This Row],[UTILIDAD]]</f>
        <v>426720</v>
      </c>
      <c r="D12" s="42">
        <f>+Tabla130[[#This Row],[PRECIO INSTALLER (CON IVA)]]-Tabla130[[#This Row],[Columna4]]</f>
        <v>405384</v>
      </c>
      <c r="E12" s="42">
        <f>+Tabla130[[#This Row],[PRECIO INSTALLER (CON IVA)]]/0.7</f>
        <v>609600</v>
      </c>
      <c r="F12" s="20">
        <f>+Tabla130[[#This Row],[PRECIO INSTALLER (CON IVA)]]*5%</f>
        <v>21336</v>
      </c>
      <c r="G12" s="12">
        <v>0.85</v>
      </c>
      <c r="H12" s="11">
        <f>Tabla130[[#This Row],[COSTO]]*1.19</f>
        <v>362712</v>
      </c>
      <c r="I12" s="11"/>
      <c r="J12" s="11"/>
      <c r="K12" s="36">
        <v>304800</v>
      </c>
    </row>
    <row r="13" spans="1:11" s="10" customFormat="1" ht="128.25" x14ac:dyDescent="0.2">
      <c r="A13" s="23" t="s">
        <v>170</v>
      </c>
      <c r="B13" s="24" t="s">
        <v>171</v>
      </c>
      <c r="C13" s="42">
        <f>+Tabla130[[#This Row],[COSTO CON IVA]]/Tabla130[[#This Row],[UTILIDAD]]</f>
        <v>1064140</v>
      </c>
      <c r="D13" s="42">
        <f>+Tabla130[[#This Row],[PRECIO INSTALLER (CON IVA)]]-Tabla130[[#This Row],[Columna4]]</f>
        <v>1010933</v>
      </c>
      <c r="E13" s="42">
        <f>+Tabla130[[#This Row],[PRECIO INSTALLER (CON IVA)]]/0.7</f>
        <v>1520200</v>
      </c>
      <c r="F13" s="20">
        <f>+Tabla130[[#This Row],[PRECIO INSTALLER (CON IVA)]]*5%</f>
        <v>53207</v>
      </c>
      <c r="G13" s="9">
        <v>0.85</v>
      </c>
      <c r="H13" s="6">
        <f>Tabla130[[#This Row],[COSTO]]*1.19</f>
        <v>904519</v>
      </c>
      <c r="I13" s="6"/>
      <c r="J13" s="6"/>
      <c r="K13" s="36">
        <v>760100</v>
      </c>
    </row>
    <row r="14" spans="1:11" ht="128.25" x14ac:dyDescent="0.2">
      <c r="A14" s="23" t="s">
        <v>172</v>
      </c>
      <c r="B14" s="24" t="s">
        <v>171</v>
      </c>
      <c r="C14" s="42">
        <f>+Tabla130[[#This Row],[COSTO CON IVA]]/Tabla130[[#This Row],[UTILIDAD]]</f>
        <v>718620</v>
      </c>
      <c r="D14" s="42">
        <f>+Tabla130[[#This Row],[PRECIO INSTALLER (CON IVA)]]-Tabla130[[#This Row],[Columna4]]</f>
        <v>682689</v>
      </c>
      <c r="E14" s="42">
        <f>+Tabla130[[#This Row],[PRECIO INSTALLER (CON IVA)]]/0.7</f>
        <v>1026600.0000000001</v>
      </c>
      <c r="F14" s="20">
        <f>+Tabla130[[#This Row],[PRECIO INSTALLER (CON IVA)]]*5%</f>
        <v>35931</v>
      </c>
      <c r="G14" s="9">
        <v>0.85</v>
      </c>
      <c r="H14" s="6">
        <f>Tabla130[[#This Row],[COSTO]]*1.19</f>
        <v>610827</v>
      </c>
      <c r="I14" s="6"/>
      <c r="J14" s="6"/>
      <c r="K14" s="36">
        <v>513300</v>
      </c>
    </row>
    <row r="15" spans="1:11" ht="114" x14ac:dyDescent="0.2">
      <c r="A15" s="23" t="s">
        <v>138</v>
      </c>
      <c r="B15" s="24" t="s">
        <v>173</v>
      </c>
      <c r="C15" s="42">
        <f>+Tabla130[[#This Row],[COSTO CON IVA]]/Tabla130[[#This Row],[UTILIDAD]]</f>
        <v>1048740</v>
      </c>
      <c r="D15" s="42">
        <f>+Tabla130[[#This Row],[PRECIO INSTALLER (CON IVA)]]-Tabla130[[#This Row],[Columna4]]</f>
        <v>996303</v>
      </c>
      <c r="E15" s="42">
        <f>+Tabla130[[#This Row],[PRECIO INSTALLER (CON IVA)]]/0.7</f>
        <v>1498200</v>
      </c>
      <c r="F15" s="20">
        <f>+Tabla130[[#This Row],[PRECIO INSTALLER (CON IVA)]]*5%</f>
        <v>52437</v>
      </c>
      <c r="G15" s="9">
        <v>0.85</v>
      </c>
      <c r="H15" s="6">
        <f>Tabla130[[#This Row],[COSTO]]*1.19</f>
        <v>891429</v>
      </c>
      <c r="I15" s="6"/>
      <c r="J15" s="6"/>
      <c r="K15" s="36">
        <v>749100</v>
      </c>
    </row>
    <row r="16" spans="1:11" ht="114" x14ac:dyDescent="0.2">
      <c r="A16" s="23" t="s">
        <v>174</v>
      </c>
      <c r="B16" s="24" t="s">
        <v>173</v>
      </c>
      <c r="C16" s="42">
        <f>+Tabla130[[#This Row],[COSTO CON IVA]]/Tabla130[[#This Row],[UTILIDAD]]</f>
        <v>708260</v>
      </c>
      <c r="D16" s="42">
        <f>+Tabla130[[#This Row],[PRECIO INSTALLER (CON IVA)]]-Tabla130[[#This Row],[Columna4]]</f>
        <v>672847</v>
      </c>
      <c r="E16" s="42">
        <f>+Tabla130[[#This Row],[PRECIO INSTALLER (CON IVA)]]/0.7</f>
        <v>1011800.0000000001</v>
      </c>
      <c r="F16" s="20">
        <f>+Tabla130[[#This Row],[PRECIO INSTALLER (CON IVA)]]*5%</f>
        <v>35413</v>
      </c>
      <c r="G16" s="9">
        <v>0.85</v>
      </c>
      <c r="H16" s="6">
        <f>Tabla130[[#This Row],[COSTO]]*1.19</f>
        <v>602021</v>
      </c>
      <c r="I16" s="6"/>
      <c r="J16" s="6"/>
      <c r="K16" s="36">
        <v>505900</v>
      </c>
    </row>
    <row r="17" spans="1:11" ht="114" x14ac:dyDescent="0.2">
      <c r="A17" s="23" t="s">
        <v>175</v>
      </c>
      <c r="B17" s="24" t="s">
        <v>176</v>
      </c>
      <c r="C17" s="42">
        <f>+Tabla130[[#This Row],[COSTO CON IVA]]/Tabla130[[#This Row],[UTILIDAD]]</f>
        <v>377020</v>
      </c>
      <c r="D17" s="42">
        <f>+Tabla130[[#This Row],[PRECIO INSTALLER (CON IVA)]]-Tabla130[[#This Row],[Columna4]]</f>
        <v>358169</v>
      </c>
      <c r="E17" s="42">
        <f>+Tabla130[[#This Row],[PRECIO INSTALLER (CON IVA)]]/0.7</f>
        <v>538600</v>
      </c>
      <c r="F17" s="20">
        <f>+Tabla130[[#This Row],[PRECIO INSTALLER (CON IVA)]]*5%</f>
        <v>18851</v>
      </c>
      <c r="G17" s="9">
        <v>0.85</v>
      </c>
      <c r="H17" s="6">
        <f>Tabla130[[#This Row],[COSTO]]*1.19</f>
        <v>320467</v>
      </c>
      <c r="I17" s="6"/>
      <c r="J17" s="6"/>
      <c r="K17" s="36">
        <v>269300</v>
      </c>
    </row>
    <row r="18" spans="1:11" ht="114" x14ac:dyDescent="0.2">
      <c r="A18" s="23" t="s">
        <v>177</v>
      </c>
      <c r="B18" s="24" t="s">
        <v>178</v>
      </c>
      <c r="C18" s="42">
        <f>+Tabla130[[#This Row],[COSTO CON IVA]]/Tabla130[[#This Row],[UTILIDAD]]</f>
        <v>659820</v>
      </c>
      <c r="D18" s="42">
        <f>+Tabla130[[#This Row],[PRECIO INSTALLER (CON IVA)]]-Tabla130[[#This Row],[Columna4]]</f>
        <v>626829</v>
      </c>
      <c r="E18" s="42">
        <f>+Tabla130[[#This Row],[PRECIO INSTALLER (CON IVA)]]/0.7</f>
        <v>942600.00000000012</v>
      </c>
      <c r="F18" s="20">
        <f>+Tabla130[[#This Row],[PRECIO INSTALLER (CON IVA)]]*5%</f>
        <v>32991</v>
      </c>
      <c r="G18" s="9">
        <v>0.85</v>
      </c>
      <c r="H18" s="6">
        <f>Tabla130[[#This Row],[COSTO]]*1.19</f>
        <v>560847</v>
      </c>
      <c r="I18" s="6"/>
      <c r="J18" s="6"/>
      <c r="K18" s="36">
        <v>471300</v>
      </c>
    </row>
    <row r="19" spans="1:11" ht="114" x14ac:dyDescent="0.2">
      <c r="A19" s="23" t="s">
        <v>179</v>
      </c>
      <c r="B19" s="24" t="s">
        <v>178</v>
      </c>
      <c r="C19" s="42">
        <f>+Tabla130[[#This Row],[COSTO CON IVA]]/Tabla130[[#This Row],[UTILIDAD]]</f>
        <v>450520</v>
      </c>
      <c r="D19" s="42">
        <f>+Tabla130[[#This Row],[PRECIO INSTALLER (CON IVA)]]-Tabla130[[#This Row],[Columna4]]</f>
        <v>427994</v>
      </c>
      <c r="E19" s="42">
        <f>+Tabla130[[#This Row],[PRECIO INSTALLER (CON IVA)]]/0.7</f>
        <v>643600</v>
      </c>
      <c r="F19" s="20">
        <f>+Tabla130[[#This Row],[PRECIO INSTALLER (CON IVA)]]*5%</f>
        <v>22526</v>
      </c>
      <c r="G19" s="9">
        <v>0.85</v>
      </c>
      <c r="H19" s="6">
        <f>Tabla130[[#This Row],[COSTO]]*1.19</f>
        <v>382942</v>
      </c>
      <c r="I19" s="6"/>
      <c r="J19" s="6"/>
      <c r="K19" s="36">
        <v>321800</v>
      </c>
    </row>
    <row r="20" spans="1:11" ht="114" x14ac:dyDescent="0.2">
      <c r="A20" s="23" t="s">
        <v>137</v>
      </c>
      <c r="B20" s="24" t="s">
        <v>180</v>
      </c>
      <c r="C20" s="42">
        <f>+Tabla130[[#This Row],[COSTO CON IVA]]/Tabla130[[#This Row],[UTILIDAD]]</f>
        <v>241360</v>
      </c>
      <c r="D20" s="42">
        <f>+Tabla130[[#This Row],[PRECIO INSTALLER (CON IVA)]]-Tabla130[[#This Row],[Columna4]]</f>
        <v>229292</v>
      </c>
      <c r="E20" s="42">
        <f>+Tabla130[[#This Row],[PRECIO INSTALLER (CON IVA)]]/0.7</f>
        <v>344800</v>
      </c>
      <c r="F20" s="20">
        <f>+Tabla130[[#This Row],[PRECIO INSTALLER (CON IVA)]]*5%</f>
        <v>12068</v>
      </c>
      <c r="G20" s="9">
        <v>0.85</v>
      </c>
      <c r="H20" s="6">
        <f>Tabla130[[#This Row],[COSTO]]*1.19</f>
        <v>205156</v>
      </c>
      <c r="I20" s="6"/>
      <c r="J20" s="6"/>
      <c r="K20" s="36">
        <v>172400</v>
      </c>
    </row>
    <row r="21" spans="1:11" ht="99.75" x14ac:dyDescent="0.2">
      <c r="A21" s="26" t="s">
        <v>181</v>
      </c>
      <c r="B21" s="24" t="s">
        <v>182</v>
      </c>
      <c r="C21" s="42">
        <f>+Tabla130[[#This Row],[COSTO CON IVA]]/Tabla130[[#This Row],[UTILIDAD]]</f>
        <v>684180</v>
      </c>
      <c r="D21" s="42">
        <f>+Tabla130[[#This Row],[PRECIO INSTALLER (CON IVA)]]-Tabla130[[#This Row],[Columna4]]</f>
        <v>649971</v>
      </c>
      <c r="E21" s="42">
        <f>+Tabla130[[#This Row],[PRECIO INSTALLER (CON IVA)]]/0.7</f>
        <v>977400.00000000012</v>
      </c>
      <c r="F21" s="20">
        <f>+Tabla130[[#This Row],[PRECIO INSTALLER (CON IVA)]]*5%</f>
        <v>34209</v>
      </c>
      <c r="G21" s="9">
        <v>0.85</v>
      </c>
      <c r="H21" s="6">
        <f>Tabla130[[#This Row],[COSTO]]*1.19</f>
        <v>581553</v>
      </c>
      <c r="I21" s="6"/>
      <c r="J21" s="6"/>
      <c r="K21" s="36">
        <v>488700</v>
      </c>
    </row>
    <row r="22" spans="1:11" ht="99.75" x14ac:dyDescent="0.2">
      <c r="A22" s="26" t="s">
        <v>136</v>
      </c>
      <c r="B22" s="24" t="s">
        <v>182</v>
      </c>
      <c r="C22" s="42">
        <f>+Tabla130[[#This Row],[COSTO CON IVA]]/Tabla130[[#This Row],[UTILIDAD]]</f>
        <v>478240</v>
      </c>
      <c r="D22" s="42">
        <f>+Tabla130[[#This Row],[PRECIO INSTALLER (CON IVA)]]-Tabla130[[#This Row],[Columna4]]</f>
        <v>454328</v>
      </c>
      <c r="E22" s="42">
        <f>+Tabla130[[#This Row],[PRECIO INSTALLER (CON IVA)]]/0.7</f>
        <v>683200</v>
      </c>
      <c r="F22" s="20">
        <f>+Tabla130[[#This Row],[PRECIO INSTALLER (CON IVA)]]*5%</f>
        <v>23912</v>
      </c>
      <c r="G22" s="9">
        <v>0.85</v>
      </c>
      <c r="H22" s="6">
        <f>Tabla130[[#This Row],[COSTO]]*1.19</f>
        <v>406504</v>
      </c>
      <c r="I22" s="6"/>
      <c r="J22" s="6"/>
      <c r="K22" s="36">
        <v>341600</v>
      </c>
    </row>
    <row r="23" spans="1:11" ht="99.75" x14ac:dyDescent="0.2">
      <c r="A23" s="23" t="s">
        <v>135</v>
      </c>
      <c r="B23" s="24" t="s">
        <v>183</v>
      </c>
      <c r="C23" s="42">
        <f>+Tabla130[[#This Row],[COSTO CON IVA]]/Tabla130[[#This Row],[UTILIDAD]]</f>
        <v>252420</v>
      </c>
      <c r="D23" s="42">
        <f>+Tabla130[[#This Row],[PRECIO INSTALLER (CON IVA)]]-Tabla130[[#This Row],[Columna4]]</f>
        <v>239799</v>
      </c>
      <c r="E23" s="42">
        <f>+Tabla130[[#This Row],[PRECIO INSTALLER (CON IVA)]]/0.7</f>
        <v>360600</v>
      </c>
      <c r="F23" s="20">
        <f>+Tabla130[[#This Row],[PRECIO INSTALLER (CON IVA)]]*5%</f>
        <v>12621</v>
      </c>
      <c r="G23" s="9">
        <v>0.85</v>
      </c>
      <c r="H23" s="6">
        <f>Tabla130[[#This Row],[COSTO]]*1.19</f>
        <v>214557</v>
      </c>
      <c r="I23" s="6"/>
      <c r="J23" s="6"/>
      <c r="K23" s="36">
        <v>180300</v>
      </c>
    </row>
    <row r="24" spans="1:11" ht="128.25" x14ac:dyDescent="0.2">
      <c r="A24" s="26" t="s">
        <v>184</v>
      </c>
      <c r="B24" s="24" t="s">
        <v>185</v>
      </c>
      <c r="C24" s="42">
        <f>+Tabla130[[#This Row],[COSTO CON IVA]]/Tabla130[[#This Row],[UTILIDAD]]</f>
        <v>804580</v>
      </c>
      <c r="D24" s="42">
        <f>+Tabla130[[#This Row],[PRECIO INSTALLER (CON IVA)]]-Tabla130[[#This Row],[Columna4]]</f>
        <v>764351</v>
      </c>
      <c r="E24" s="42">
        <f>+Tabla130[[#This Row],[PRECIO INSTALLER (CON IVA)]]/0.7</f>
        <v>1149400</v>
      </c>
      <c r="F24" s="20">
        <f>+Tabla130[[#This Row],[PRECIO INSTALLER (CON IVA)]]*5%</f>
        <v>40229</v>
      </c>
      <c r="G24" s="9">
        <v>0.85</v>
      </c>
      <c r="H24" s="6">
        <f>Tabla130[[#This Row],[COSTO]]*1.19</f>
        <v>683893</v>
      </c>
      <c r="I24" s="6"/>
      <c r="J24" s="6"/>
      <c r="K24" s="36">
        <v>574700</v>
      </c>
    </row>
    <row r="25" spans="1:11" ht="128.25" x14ac:dyDescent="0.2">
      <c r="A25" s="26" t="s">
        <v>186</v>
      </c>
      <c r="B25" s="24" t="s">
        <v>185</v>
      </c>
      <c r="C25" s="42">
        <f>+Tabla130[[#This Row],[COSTO CON IVA]]/Tabla130[[#This Row],[UTILIDAD]]</f>
        <v>555240</v>
      </c>
      <c r="D25" s="42">
        <f>+Tabla130[[#This Row],[PRECIO INSTALLER (CON IVA)]]-Tabla130[[#This Row],[Columna4]]</f>
        <v>527478</v>
      </c>
      <c r="E25" s="42">
        <f>+Tabla130[[#This Row],[PRECIO INSTALLER (CON IVA)]]/0.7</f>
        <v>793200</v>
      </c>
      <c r="F25" s="20">
        <f>+Tabla130[[#This Row],[PRECIO INSTALLER (CON IVA)]]*5%</f>
        <v>27762</v>
      </c>
      <c r="G25" s="9">
        <v>0.85</v>
      </c>
      <c r="H25" s="6">
        <f>Tabla130[[#This Row],[COSTO]]*1.19</f>
        <v>471954</v>
      </c>
      <c r="I25" s="6"/>
      <c r="J25" s="6"/>
      <c r="K25" s="36">
        <v>396600</v>
      </c>
    </row>
    <row r="26" spans="1:11" ht="128.25" x14ac:dyDescent="0.2">
      <c r="A26" s="23" t="s">
        <v>187</v>
      </c>
      <c r="B26" s="24" t="s">
        <v>188</v>
      </c>
      <c r="C26" s="42">
        <f>+Tabla130[[#This Row],[COSTO CON IVA]]/Tabla130[[#This Row],[UTILIDAD]]</f>
        <v>281540</v>
      </c>
      <c r="D26" s="42">
        <f>+Tabla130[[#This Row],[PRECIO INSTALLER (CON IVA)]]-Tabla130[[#This Row],[Columna4]]</f>
        <v>267463</v>
      </c>
      <c r="E26" s="42">
        <f>+Tabla130[[#This Row],[PRECIO INSTALLER (CON IVA)]]/0.7</f>
        <v>402200</v>
      </c>
      <c r="F26" s="20">
        <f>+Tabla130[[#This Row],[PRECIO INSTALLER (CON IVA)]]*5%</f>
        <v>14077</v>
      </c>
      <c r="G26" s="9">
        <v>0.85</v>
      </c>
      <c r="H26" s="6">
        <f>Tabla130[[#This Row],[COSTO]]*1.19</f>
        <v>239309</v>
      </c>
      <c r="I26" s="6"/>
      <c r="J26" s="6"/>
      <c r="K26" s="36">
        <v>201100</v>
      </c>
    </row>
    <row r="27" spans="1:11" ht="99.75" x14ac:dyDescent="0.2">
      <c r="A27" s="26" t="s">
        <v>189</v>
      </c>
      <c r="B27" s="24" t="s">
        <v>190</v>
      </c>
      <c r="C27" s="42">
        <f>+Tabla130[[#This Row],[COSTO CON IVA]]/Tabla130[[#This Row],[UTILIDAD]]</f>
        <v>703360</v>
      </c>
      <c r="D27" s="42">
        <f>+Tabla130[[#This Row],[PRECIO INSTALLER (CON IVA)]]-Tabla130[[#This Row],[Columna4]]</f>
        <v>668192</v>
      </c>
      <c r="E27" s="42">
        <f>+Tabla130[[#This Row],[PRECIO INSTALLER (CON IVA)]]/0.7</f>
        <v>1004800.0000000001</v>
      </c>
      <c r="F27" s="20">
        <f>+Tabla130[[#This Row],[PRECIO INSTALLER (CON IVA)]]*5%</f>
        <v>35168</v>
      </c>
      <c r="G27" s="9">
        <v>0.85</v>
      </c>
      <c r="H27" s="6">
        <f>Tabla130[[#This Row],[COSTO]]*1.19</f>
        <v>597856</v>
      </c>
      <c r="I27" s="6"/>
      <c r="J27" s="6"/>
      <c r="K27" s="36">
        <v>502400</v>
      </c>
    </row>
    <row r="28" spans="1:11" ht="99.75" x14ac:dyDescent="0.2">
      <c r="A28" s="26" t="s">
        <v>191</v>
      </c>
      <c r="B28" s="24" t="s">
        <v>190</v>
      </c>
      <c r="C28" s="42">
        <f>+Tabla130[[#This Row],[COSTO CON IVA]]/Tabla130[[#This Row],[UTILIDAD]]</f>
        <v>441700</v>
      </c>
      <c r="D28" s="42">
        <f>+Tabla130[[#This Row],[PRECIO INSTALLER (CON IVA)]]-Tabla130[[#This Row],[Columna4]]</f>
        <v>419615</v>
      </c>
      <c r="E28" s="42">
        <f>+Tabla130[[#This Row],[PRECIO INSTALLER (CON IVA)]]/0.7</f>
        <v>631000</v>
      </c>
      <c r="F28" s="20">
        <f>+Tabla130[[#This Row],[PRECIO INSTALLER (CON IVA)]]*5%</f>
        <v>22085</v>
      </c>
      <c r="G28" s="9">
        <v>0.85</v>
      </c>
      <c r="H28" s="6">
        <f>Tabla130[[#This Row],[COSTO]]*1.19</f>
        <v>375445</v>
      </c>
      <c r="I28" s="6"/>
      <c r="J28" s="6"/>
      <c r="K28" s="36">
        <v>315500</v>
      </c>
    </row>
    <row r="29" spans="1:11" ht="99.75" x14ac:dyDescent="0.2">
      <c r="A29" s="26" t="s">
        <v>192</v>
      </c>
      <c r="B29" s="24" t="s">
        <v>193</v>
      </c>
      <c r="C29" s="42">
        <f>+Tabla130[[#This Row],[COSTO CON IVA]]/Tabla130[[#This Row],[UTILIDAD]]</f>
        <v>228340</v>
      </c>
      <c r="D29" s="42">
        <f>+Tabla130[[#This Row],[PRECIO INSTALLER (CON IVA)]]-Tabla130[[#This Row],[Columna4]]</f>
        <v>216923</v>
      </c>
      <c r="E29" s="42">
        <f>+Tabla130[[#This Row],[PRECIO INSTALLER (CON IVA)]]/0.7</f>
        <v>326200</v>
      </c>
      <c r="F29" s="20">
        <f>+Tabla130[[#This Row],[PRECIO INSTALLER (CON IVA)]]*5%</f>
        <v>11417</v>
      </c>
      <c r="G29" s="9">
        <v>0.85</v>
      </c>
      <c r="H29" s="6">
        <f>Tabla130[[#This Row],[COSTO]]*1.19</f>
        <v>194089</v>
      </c>
      <c r="I29" s="6"/>
      <c r="J29" s="6"/>
      <c r="K29" s="36">
        <v>163100</v>
      </c>
    </row>
    <row r="30" spans="1:11" ht="99.75" x14ac:dyDescent="0.2">
      <c r="A30" s="26" t="s">
        <v>194</v>
      </c>
      <c r="B30" s="24" t="s">
        <v>195</v>
      </c>
      <c r="C30" s="42">
        <f>+Tabla130[[#This Row],[COSTO CON IVA]]/Tabla130[[#This Row],[UTILIDAD]]</f>
        <v>382760</v>
      </c>
      <c r="D30" s="42">
        <f>+Tabla130[[#This Row],[PRECIO INSTALLER (CON IVA)]]-Tabla130[[#This Row],[Columna4]]</f>
        <v>363622</v>
      </c>
      <c r="E30" s="42">
        <f>+Tabla130[[#This Row],[PRECIO INSTALLER (CON IVA)]]/0.7</f>
        <v>546800</v>
      </c>
      <c r="F30" s="20">
        <f>+Tabla130[[#This Row],[PRECIO INSTALLER (CON IVA)]]*5%</f>
        <v>19138</v>
      </c>
      <c r="G30" s="9">
        <v>0.85</v>
      </c>
      <c r="H30" s="6">
        <f>Tabla130[[#This Row],[COSTO]]*1.19</f>
        <v>325346</v>
      </c>
      <c r="I30" s="6"/>
      <c r="J30" s="6"/>
      <c r="K30" s="36">
        <v>273400</v>
      </c>
    </row>
    <row r="31" spans="1:11" ht="99.75" x14ac:dyDescent="0.2">
      <c r="A31" s="23" t="s">
        <v>196</v>
      </c>
      <c r="B31" s="24" t="s">
        <v>195</v>
      </c>
      <c r="C31" s="42">
        <f>+Tabla130[[#This Row],[COSTO CON IVA]]/Tabla130[[#This Row],[UTILIDAD]]</f>
        <v>266420</v>
      </c>
      <c r="D31" s="42">
        <f>+Tabla130[[#This Row],[PRECIO INSTALLER (CON IVA)]]-Tabla130[[#This Row],[Columna4]]</f>
        <v>253099</v>
      </c>
      <c r="E31" s="42">
        <f>+Tabla130[[#This Row],[PRECIO INSTALLER (CON IVA)]]/0.7</f>
        <v>380600</v>
      </c>
      <c r="F31" s="20">
        <f>+Tabla130[[#This Row],[PRECIO INSTALLER (CON IVA)]]*5%</f>
        <v>13321</v>
      </c>
      <c r="G31" s="9">
        <v>0.85</v>
      </c>
      <c r="H31" s="6">
        <f>Tabla130[[#This Row],[COSTO]]*1.19</f>
        <v>226457</v>
      </c>
      <c r="I31" s="6"/>
      <c r="J31" s="6"/>
      <c r="K31" s="36">
        <v>190300</v>
      </c>
    </row>
    <row r="32" spans="1:11" ht="99.75" x14ac:dyDescent="0.2">
      <c r="A32" s="23" t="s">
        <v>197</v>
      </c>
      <c r="B32" s="24" t="s">
        <v>198</v>
      </c>
      <c r="C32" s="42">
        <f>+Tabla130[[#This Row],[COSTO CON IVA]]/Tabla130[[#This Row],[UTILIDAD]]</f>
        <v>150360</v>
      </c>
      <c r="D32" s="42">
        <f>+Tabla130[[#This Row],[PRECIO INSTALLER (CON IVA)]]-Tabla130[[#This Row],[Columna4]]</f>
        <v>142842</v>
      </c>
      <c r="E32" s="42">
        <f>+Tabla130[[#This Row],[PRECIO INSTALLER (CON IVA)]]/0.7</f>
        <v>214800</v>
      </c>
      <c r="F32" s="20">
        <f>+Tabla130[[#This Row],[PRECIO INSTALLER (CON IVA)]]*5%</f>
        <v>7518</v>
      </c>
      <c r="G32" s="9">
        <v>0.85</v>
      </c>
      <c r="H32" s="6">
        <f>Tabla130[[#This Row],[COSTO]]*1.19</f>
        <v>127806</v>
      </c>
      <c r="I32" s="6"/>
      <c r="J32" s="6"/>
      <c r="K32" s="36">
        <v>107400</v>
      </c>
    </row>
    <row r="33" spans="1:11" ht="185.25" x14ac:dyDescent="0.2">
      <c r="A33" s="25" t="s">
        <v>199</v>
      </c>
      <c r="B33" s="24" t="s">
        <v>200</v>
      </c>
      <c r="C33" s="42">
        <f>+Tabla130[[#This Row],[COSTO CON IVA]]/Tabla130[[#This Row],[UTILIDAD]]</f>
        <v>979020</v>
      </c>
      <c r="D33" s="42">
        <f>+Tabla130[[#This Row],[PRECIO INSTALLER (CON IVA)]]-Tabla130[[#This Row],[Columna4]]</f>
        <v>930069</v>
      </c>
      <c r="E33" s="42">
        <f>+Tabla130[[#This Row],[PRECIO INSTALLER (CON IVA)]]/0.7</f>
        <v>1398600</v>
      </c>
      <c r="F33" s="20">
        <f>+Tabla130[[#This Row],[PRECIO INSTALLER (CON IVA)]]*5%</f>
        <v>48951</v>
      </c>
      <c r="G33" s="9">
        <v>0.85</v>
      </c>
      <c r="H33" s="6">
        <f>Tabla130[[#This Row],[COSTO]]*1.19</f>
        <v>832167</v>
      </c>
      <c r="I33" s="6"/>
      <c r="J33" s="6"/>
      <c r="K33" s="36">
        <v>699300</v>
      </c>
    </row>
    <row r="34" spans="1:11" s="10" customFormat="1" ht="171" x14ac:dyDescent="0.2">
      <c r="A34" s="27" t="s">
        <v>201</v>
      </c>
      <c r="B34" s="24" t="s">
        <v>202</v>
      </c>
      <c r="C34" s="42">
        <f>+Tabla130[[#This Row],[COSTO CON IVA]]/Tabla130[[#This Row],[UTILIDAD]]</f>
        <v>534800</v>
      </c>
      <c r="D34" s="42">
        <f>+Tabla130[[#This Row],[PRECIO INSTALLER (CON IVA)]]-Tabla130[[#This Row],[Columna4]]</f>
        <v>508060</v>
      </c>
      <c r="E34" s="42">
        <f>+Tabla130[[#This Row],[PRECIO INSTALLER (CON IVA)]]/0.7</f>
        <v>764000</v>
      </c>
      <c r="F34" s="20">
        <f>+Tabla130[[#This Row],[PRECIO INSTALLER (CON IVA)]]*5%</f>
        <v>26740</v>
      </c>
      <c r="G34" s="9">
        <v>0.85</v>
      </c>
      <c r="H34" s="6">
        <f>Tabla130[[#This Row],[COSTO]]*1.19</f>
        <v>454580</v>
      </c>
      <c r="I34" s="6"/>
      <c r="J34" s="6"/>
      <c r="K34" s="36">
        <v>382000</v>
      </c>
    </row>
    <row r="35" spans="1:11" s="10" customFormat="1" ht="171" x14ac:dyDescent="0.2">
      <c r="A35" s="27" t="s">
        <v>203</v>
      </c>
      <c r="B35" s="24" t="s">
        <v>204</v>
      </c>
      <c r="C35" s="42">
        <f>+Tabla130[[#This Row],[COSTO CON IVA]]/Tabla130[[#This Row],[UTILIDAD]]</f>
        <v>1820000</v>
      </c>
      <c r="D35" s="42">
        <f>+Tabla130[[#This Row],[PRECIO INSTALLER (CON IVA)]]-Tabla130[[#This Row],[Columna4]]</f>
        <v>1729000</v>
      </c>
      <c r="E35" s="42">
        <f>+Tabla130[[#This Row],[PRECIO INSTALLER (CON IVA)]]/0.7</f>
        <v>2600000</v>
      </c>
      <c r="F35" s="20">
        <f>+Tabla130[[#This Row],[PRECIO INSTALLER (CON IVA)]]*5%</f>
        <v>91000</v>
      </c>
      <c r="G35" s="9">
        <v>0.85</v>
      </c>
      <c r="H35" s="6">
        <f>Tabla130[[#This Row],[COSTO]]*1.19</f>
        <v>1547000</v>
      </c>
      <c r="I35" s="6"/>
      <c r="J35" s="6"/>
      <c r="K35" s="36">
        <v>1300000</v>
      </c>
    </row>
    <row r="36" spans="1:11" s="10" customFormat="1" ht="185.25" x14ac:dyDescent="0.2">
      <c r="A36" s="27" t="s">
        <v>205</v>
      </c>
      <c r="B36" s="24" t="s">
        <v>206</v>
      </c>
      <c r="C36" s="42">
        <f>+Tabla130[[#This Row],[COSTO CON IVA]]/Tabla130[[#This Row],[UTILIDAD]]</f>
        <v>2299500</v>
      </c>
      <c r="D36" s="42">
        <f>+Tabla130[[#This Row],[PRECIO INSTALLER (CON IVA)]]-Tabla130[[#This Row],[Columna4]]</f>
        <v>2184525</v>
      </c>
      <c r="E36" s="42">
        <f>+Tabla130[[#This Row],[PRECIO INSTALLER (CON IVA)]]/0.7</f>
        <v>3285000</v>
      </c>
      <c r="F36" s="20">
        <f>+Tabla130[[#This Row],[PRECIO INSTALLER (CON IVA)]]*5%</f>
        <v>114975</v>
      </c>
      <c r="G36" s="9">
        <v>0.85</v>
      </c>
      <c r="H36" s="6">
        <f>Tabla130[[#This Row],[COSTO]]*1.19</f>
        <v>1954575</v>
      </c>
      <c r="I36" s="6"/>
      <c r="J36" s="6"/>
      <c r="K36" s="36">
        <v>1642500</v>
      </c>
    </row>
    <row r="37" spans="1:11" ht="171" x14ac:dyDescent="0.2">
      <c r="A37" s="23" t="s">
        <v>207</v>
      </c>
      <c r="B37" s="24" t="s">
        <v>208</v>
      </c>
      <c r="C37" s="42">
        <f>+Tabla130[[#This Row],[COSTO CON IVA]]/Tabla130[[#This Row],[UTILIDAD]]</f>
        <v>1319500</v>
      </c>
      <c r="D37" s="42">
        <f>+Tabla130[[#This Row],[PRECIO INSTALLER (CON IVA)]]-Tabla130[[#This Row],[Columna4]]</f>
        <v>1253525</v>
      </c>
      <c r="E37" s="42">
        <f>+Tabla130[[#This Row],[PRECIO INSTALLER (CON IVA)]]/0.7</f>
        <v>1885000.0000000002</v>
      </c>
      <c r="F37" s="20">
        <f>+Tabla130[[#This Row],[PRECIO INSTALLER (CON IVA)]]*5%</f>
        <v>65975</v>
      </c>
      <c r="G37" s="9">
        <v>0.85</v>
      </c>
      <c r="H37" s="6">
        <f>Tabla130[[#This Row],[COSTO]]*1.19</f>
        <v>1121575</v>
      </c>
      <c r="I37" s="6"/>
      <c r="J37" s="6"/>
      <c r="K37" s="36">
        <v>942500</v>
      </c>
    </row>
    <row r="38" spans="1:11" ht="171" x14ac:dyDescent="0.2">
      <c r="A38" s="23" t="s">
        <v>209</v>
      </c>
      <c r="B38" s="24" t="s">
        <v>210</v>
      </c>
      <c r="C38" s="42">
        <f>+Tabla130[[#This Row],[COSTO CON IVA]]/Tabla130[[#This Row],[UTILIDAD]]</f>
        <v>840000</v>
      </c>
      <c r="D38" s="42">
        <f>+Tabla130[[#This Row],[PRECIO INSTALLER (CON IVA)]]-Tabla130[[#This Row],[Columna4]]</f>
        <v>798000</v>
      </c>
      <c r="E38" s="42">
        <f>+Tabla130[[#This Row],[PRECIO INSTALLER (CON IVA)]]/0.7</f>
        <v>1200000</v>
      </c>
      <c r="F38" s="20">
        <f>+Tabla130[[#This Row],[PRECIO INSTALLER (CON IVA)]]*5%</f>
        <v>42000</v>
      </c>
      <c r="G38" s="9">
        <v>0.85</v>
      </c>
      <c r="H38" s="6">
        <f>Tabla130[[#This Row],[COSTO]]*1.19</f>
        <v>714000</v>
      </c>
      <c r="I38" s="6"/>
      <c r="J38" s="6"/>
      <c r="K38" s="36">
        <v>600000</v>
      </c>
    </row>
    <row r="39" spans="1:11" ht="156.75" x14ac:dyDescent="0.2">
      <c r="A39" s="25" t="s">
        <v>134</v>
      </c>
      <c r="B39" s="24" t="s">
        <v>211</v>
      </c>
      <c r="C39" s="42">
        <f>+Tabla130[[#This Row],[COSTO CON IVA]]/Tabla130[[#This Row],[UTILIDAD]]</f>
        <v>392000</v>
      </c>
      <c r="D39" s="42">
        <f>+Tabla130[[#This Row],[PRECIO INSTALLER (CON IVA)]]-Tabla130[[#This Row],[Columna4]]</f>
        <v>372400</v>
      </c>
      <c r="E39" s="42">
        <f>+Tabla130[[#This Row],[PRECIO INSTALLER (CON IVA)]]/0.7</f>
        <v>560000</v>
      </c>
      <c r="F39" s="20">
        <f>+Tabla130[[#This Row],[PRECIO INSTALLER (CON IVA)]]*5%</f>
        <v>19600</v>
      </c>
      <c r="G39" s="9">
        <v>0.85</v>
      </c>
      <c r="H39" s="6">
        <f>Tabla130[[#This Row],[COSTO]]*1.19</f>
        <v>333200</v>
      </c>
      <c r="I39" s="6"/>
      <c r="J39" s="6"/>
      <c r="K39" s="36">
        <v>280000</v>
      </c>
    </row>
    <row r="40" spans="1:11" ht="142.5" x14ac:dyDescent="0.2">
      <c r="A40" s="25" t="s">
        <v>212</v>
      </c>
      <c r="B40" s="24" t="s">
        <v>213</v>
      </c>
      <c r="C40" s="42">
        <f>+Tabla130[[#This Row],[COSTO CON IVA]]/Tabla130[[#This Row],[UTILIDAD]]</f>
        <v>350000</v>
      </c>
      <c r="D40" s="42">
        <f>+Tabla130[[#This Row],[PRECIO INSTALLER (CON IVA)]]-Tabla130[[#This Row],[Columna4]]</f>
        <v>332500</v>
      </c>
      <c r="E40" s="42">
        <f>+Tabla130[[#This Row],[PRECIO INSTALLER (CON IVA)]]/0.7</f>
        <v>500000.00000000006</v>
      </c>
      <c r="F40" s="20">
        <f>+Tabla130[[#This Row],[PRECIO INSTALLER (CON IVA)]]*5%</f>
        <v>17500</v>
      </c>
      <c r="G40" s="9">
        <v>0.85</v>
      </c>
      <c r="H40" s="6">
        <f>Tabla130[[#This Row],[COSTO]]*1.19</f>
        <v>297500</v>
      </c>
      <c r="I40" s="6"/>
      <c r="J40" s="6"/>
      <c r="K40" s="36">
        <v>250000</v>
      </c>
    </row>
    <row r="41" spans="1:11" ht="142.5" x14ac:dyDescent="0.2">
      <c r="A41" s="23" t="s">
        <v>214</v>
      </c>
      <c r="B41" s="24" t="s">
        <v>215</v>
      </c>
      <c r="C41" s="42">
        <f>+Tabla130[[#This Row],[COSTO CON IVA]]/Tabla130[[#This Row],[UTILIDAD]]</f>
        <v>1494640</v>
      </c>
      <c r="D41" s="42">
        <f>+Tabla130[[#This Row],[PRECIO INSTALLER (CON IVA)]]-Tabla130[[#This Row],[Columna4]]</f>
        <v>1419908</v>
      </c>
      <c r="E41" s="42">
        <f>+Tabla130[[#This Row],[PRECIO INSTALLER (CON IVA)]]/0.7</f>
        <v>2135200</v>
      </c>
      <c r="F41" s="20">
        <f>+Tabla130[[#This Row],[PRECIO INSTALLER (CON IVA)]]*5%</f>
        <v>74732</v>
      </c>
      <c r="G41" s="9">
        <v>0.85</v>
      </c>
      <c r="H41" s="6">
        <f>Tabla130[[#This Row],[COSTO]]*1.19</f>
        <v>1270444</v>
      </c>
      <c r="I41" s="6"/>
      <c r="J41" s="6"/>
      <c r="K41" s="36">
        <v>1067600</v>
      </c>
    </row>
    <row r="42" spans="1:11" ht="142.5" x14ac:dyDescent="0.2">
      <c r="A42" s="23" t="s">
        <v>216</v>
      </c>
      <c r="B42" s="24" t="s">
        <v>217</v>
      </c>
      <c r="C42" s="42">
        <f>+Tabla130[[#This Row],[COSTO CON IVA]]/Tabla130[[#This Row],[UTILIDAD]]</f>
        <v>615300</v>
      </c>
      <c r="D42" s="42">
        <f>+Tabla130[[#This Row],[PRECIO INSTALLER (CON IVA)]]-Tabla130[[#This Row],[Columna4]]</f>
        <v>584535</v>
      </c>
      <c r="E42" s="42">
        <f>+Tabla130[[#This Row],[PRECIO INSTALLER (CON IVA)]]/0.7</f>
        <v>879000</v>
      </c>
      <c r="F42" s="20">
        <f>+Tabla130[[#This Row],[PRECIO INSTALLER (CON IVA)]]*5%</f>
        <v>30765</v>
      </c>
      <c r="G42" s="12">
        <v>0.85</v>
      </c>
      <c r="H42" s="11">
        <f>Tabla130[[#This Row],[COSTO]]*1.19</f>
        <v>523005</v>
      </c>
      <c r="I42" s="11"/>
      <c r="J42" s="11"/>
      <c r="K42" s="36">
        <v>439500</v>
      </c>
    </row>
    <row r="43" spans="1:11" ht="142.5" x14ac:dyDescent="0.2">
      <c r="A43" s="27" t="s">
        <v>218</v>
      </c>
      <c r="B43" s="24" t="s">
        <v>219</v>
      </c>
      <c r="C43" s="42">
        <f>+Tabla130[[#This Row],[COSTO CON IVA]]/Tabla130[[#This Row],[UTILIDAD]]</f>
        <v>602000</v>
      </c>
      <c r="D43" s="42">
        <f>+Tabla130[[#This Row],[PRECIO INSTALLER (CON IVA)]]-Tabla130[[#This Row],[Columna4]]</f>
        <v>571900</v>
      </c>
      <c r="E43" s="42">
        <f>+Tabla130[[#This Row],[PRECIO INSTALLER (CON IVA)]]/0.7</f>
        <v>860000</v>
      </c>
      <c r="F43" s="20">
        <f>+Tabla130[[#This Row],[PRECIO INSTALLER (CON IVA)]]*5%</f>
        <v>30100</v>
      </c>
      <c r="G43" s="9">
        <v>0.85</v>
      </c>
      <c r="H43" s="6">
        <f>Tabla130[[#This Row],[COSTO]]*1.19</f>
        <v>511700</v>
      </c>
      <c r="I43" s="6"/>
      <c r="J43" s="6"/>
      <c r="K43" s="36">
        <v>430000</v>
      </c>
    </row>
    <row r="44" spans="1:11" ht="142.5" x14ac:dyDescent="0.2">
      <c r="A44" s="23" t="s">
        <v>220</v>
      </c>
      <c r="B44" s="24" t="s">
        <v>221</v>
      </c>
      <c r="C44" s="42">
        <f>+Tabla130[[#This Row],[COSTO CON IVA]]/Tabla130[[#This Row],[UTILIDAD]]</f>
        <v>532000</v>
      </c>
      <c r="D44" s="42">
        <f>+Tabla130[[#This Row],[PRECIO INSTALLER (CON IVA)]]-Tabla130[[#This Row],[Columna4]]</f>
        <v>505400</v>
      </c>
      <c r="E44" s="42">
        <f>+Tabla130[[#This Row],[PRECIO INSTALLER (CON IVA)]]/0.7</f>
        <v>760000</v>
      </c>
      <c r="F44" s="20">
        <f>+Tabla130[[#This Row],[PRECIO INSTALLER (CON IVA)]]*5%</f>
        <v>26600</v>
      </c>
      <c r="G44" s="9">
        <v>0.85</v>
      </c>
      <c r="H44" s="6">
        <f>Tabla130[[#This Row],[COSTO]]*1.19</f>
        <v>452200</v>
      </c>
      <c r="I44" s="6"/>
      <c r="J44" s="6"/>
      <c r="K44" s="36">
        <v>380000</v>
      </c>
    </row>
    <row r="45" spans="1:11" ht="142.5" x14ac:dyDescent="0.2">
      <c r="A45" s="27" t="s">
        <v>133</v>
      </c>
      <c r="B45" s="24" t="s">
        <v>222</v>
      </c>
      <c r="C45" s="42">
        <f>+Tabla130[[#This Row],[COSTO CON IVA]]/Tabla130[[#This Row],[UTILIDAD]]</f>
        <v>450520</v>
      </c>
      <c r="D45" s="42">
        <f>+Tabla130[[#This Row],[PRECIO INSTALLER (CON IVA)]]-Tabla130[[#This Row],[Columna4]]</f>
        <v>427994</v>
      </c>
      <c r="E45" s="42">
        <f>+Tabla130[[#This Row],[PRECIO INSTALLER (CON IVA)]]/0.7</f>
        <v>643600</v>
      </c>
      <c r="F45" s="20">
        <f>+Tabla130[[#This Row],[PRECIO INSTALLER (CON IVA)]]*5%</f>
        <v>22526</v>
      </c>
      <c r="G45" s="9">
        <v>0.85</v>
      </c>
      <c r="H45" s="6">
        <f>Tabla130[[#This Row],[COSTO]]*1.19</f>
        <v>382942</v>
      </c>
      <c r="I45" s="6"/>
      <c r="J45" s="6"/>
      <c r="K45" s="36">
        <v>321800</v>
      </c>
    </row>
    <row r="46" spans="1:11" ht="142.5" x14ac:dyDescent="0.2">
      <c r="A46" s="23" t="s">
        <v>223</v>
      </c>
      <c r="B46" s="24" t="s">
        <v>224</v>
      </c>
      <c r="C46" s="42">
        <f>+Tabla130[[#This Row],[COSTO CON IVA]]/Tabla130[[#This Row],[UTILIDAD]]</f>
        <v>364000</v>
      </c>
      <c r="D46" s="42">
        <f>+Tabla130[[#This Row],[PRECIO INSTALLER (CON IVA)]]-Tabla130[[#This Row],[Columna4]]</f>
        <v>345800</v>
      </c>
      <c r="E46" s="42">
        <f>+Tabla130[[#This Row],[PRECIO INSTALLER (CON IVA)]]/0.7</f>
        <v>520000.00000000006</v>
      </c>
      <c r="F46" s="20">
        <f>+Tabla130[[#This Row],[PRECIO INSTALLER (CON IVA)]]*5%</f>
        <v>18200</v>
      </c>
      <c r="G46" s="9">
        <v>0.85</v>
      </c>
      <c r="H46" s="6">
        <f>Tabla130[[#This Row],[COSTO]]*1.19</f>
        <v>309400</v>
      </c>
      <c r="I46" s="6"/>
      <c r="J46" s="6"/>
      <c r="K46" s="36">
        <v>260000</v>
      </c>
    </row>
    <row r="47" spans="1:11" ht="114" x14ac:dyDescent="0.2">
      <c r="A47" s="23" t="s">
        <v>225</v>
      </c>
      <c r="B47" s="24" t="s">
        <v>226</v>
      </c>
      <c r="C47" s="42">
        <f>+Tabla130[[#This Row],[COSTO CON IVA]]/Tabla130[[#This Row],[UTILIDAD]]</f>
        <v>231000</v>
      </c>
      <c r="D47" s="42">
        <f>+Tabla130[[#This Row],[PRECIO INSTALLER (CON IVA)]]-Tabla130[[#This Row],[Columna4]]</f>
        <v>219450</v>
      </c>
      <c r="E47" s="42">
        <f>+Tabla130[[#This Row],[PRECIO INSTALLER (CON IVA)]]/0.7</f>
        <v>330000</v>
      </c>
      <c r="F47" s="20">
        <f>+Tabla130[[#This Row],[PRECIO INSTALLER (CON IVA)]]*5%</f>
        <v>11550</v>
      </c>
      <c r="G47" s="9">
        <v>0.85</v>
      </c>
      <c r="H47" s="6">
        <f>Tabla130[[#This Row],[COSTO]]*1.19</f>
        <v>196350</v>
      </c>
      <c r="I47" s="6"/>
      <c r="J47" s="6"/>
      <c r="K47" s="36">
        <v>165000</v>
      </c>
    </row>
    <row r="48" spans="1:11" ht="128.25" x14ac:dyDescent="0.2">
      <c r="A48" s="23" t="s">
        <v>227</v>
      </c>
      <c r="B48" s="24" t="s">
        <v>228</v>
      </c>
      <c r="C48" s="42">
        <f>+Tabla130[[#This Row],[COSTO CON IVA]]/Tabla130[[#This Row],[UTILIDAD]]</f>
        <v>236880</v>
      </c>
      <c r="D48" s="42">
        <f>+Tabla130[[#This Row],[PRECIO INSTALLER (CON IVA)]]-Tabla130[[#This Row],[Columna4]]</f>
        <v>225036</v>
      </c>
      <c r="E48" s="42">
        <f>+Tabla130[[#This Row],[PRECIO INSTALLER (CON IVA)]]/0.7</f>
        <v>338400</v>
      </c>
      <c r="F48" s="20">
        <f>+Tabla130[[#This Row],[PRECIO INSTALLER (CON IVA)]]*5%</f>
        <v>11844</v>
      </c>
      <c r="G48" s="9">
        <v>0.85</v>
      </c>
      <c r="H48" s="6">
        <f>Tabla130[[#This Row],[COSTO]]*1.19</f>
        <v>201348</v>
      </c>
      <c r="I48" s="6"/>
      <c r="J48" s="6"/>
      <c r="K48" s="36">
        <v>169200</v>
      </c>
    </row>
    <row r="49" spans="1:11" ht="114" x14ac:dyDescent="0.2">
      <c r="A49" s="23" t="s">
        <v>229</v>
      </c>
      <c r="B49" s="24" t="s">
        <v>230</v>
      </c>
      <c r="C49" s="42">
        <f>+Tabla130[[#This Row],[COSTO CON IVA]]/Tabla130[[#This Row],[UTILIDAD]]</f>
        <v>194740</v>
      </c>
      <c r="D49" s="42">
        <f>+Tabla130[[#This Row],[PRECIO INSTALLER (CON IVA)]]-Tabla130[[#This Row],[Columna4]]</f>
        <v>185003</v>
      </c>
      <c r="E49" s="42">
        <f>+Tabla130[[#This Row],[PRECIO INSTALLER (CON IVA)]]/0.7</f>
        <v>278200</v>
      </c>
      <c r="F49" s="20">
        <f>+Tabla130[[#This Row],[PRECIO INSTALLER (CON IVA)]]*5%</f>
        <v>9737</v>
      </c>
      <c r="G49" s="9">
        <v>0.85</v>
      </c>
      <c r="H49" s="6">
        <f>Tabla130[[#This Row],[COSTO]]*1.19</f>
        <v>165529</v>
      </c>
      <c r="I49" s="6"/>
      <c r="J49" s="6"/>
      <c r="K49" s="36">
        <v>139100</v>
      </c>
    </row>
    <row r="50" spans="1:11" ht="128.25" x14ac:dyDescent="0.2">
      <c r="A50" s="23" t="s">
        <v>231</v>
      </c>
      <c r="B50" s="24" t="s">
        <v>232</v>
      </c>
      <c r="C50" s="42">
        <f>+Tabla130[[#This Row],[COSTO CON IVA]]/Tabla130[[#This Row],[UTILIDAD]]</f>
        <v>203980</v>
      </c>
      <c r="D50" s="42">
        <f>+Tabla130[[#This Row],[PRECIO INSTALLER (CON IVA)]]-Tabla130[[#This Row],[Columna4]]</f>
        <v>193781</v>
      </c>
      <c r="E50" s="42">
        <f>+Tabla130[[#This Row],[PRECIO INSTALLER (CON IVA)]]/0.7</f>
        <v>291400</v>
      </c>
      <c r="F50" s="20">
        <f>+Tabla130[[#This Row],[PRECIO INSTALLER (CON IVA)]]*5%</f>
        <v>10199</v>
      </c>
      <c r="G50" s="9">
        <v>0.85</v>
      </c>
      <c r="H50" s="6">
        <f>Tabla130[[#This Row],[COSTO]]*1.19</f>
        <v>173383</v>
      </c>
      <c r="I50" s="6"/>
      <c r="J50" s="6"/>
      <c r="K50" s="36">
        <v>145700</v>
      </c>
    </row>
    <row r="51" spans="1:11" ht="114" x14ac:dyDescent="0.2">
      <c r="A51" s="27" t="s">
        <v>233</v>
      </c>
      <c r="B51" s="24" t="s">
        <v>234</v>
      </c>
      <c r="C51" s="42">
        <f>+Tabla130[[#This Row],[COSTO CON IVA]]/Tabla130[[#This Row],[UTILIDAD]]</f>
        <v>168980</v>
      </c>
      <c r="D51" s="42">
        <f>+Tabla130[[#This Row],[PRECIO INSTALLER (CON IVA)]]-Tabla130[[#This Row],[Columna4]]</f>
        <v>160531</v>
      </c>
      <c r="E51" s="42">
        <f>+Tabla130[[#This Row],[PRECIO INSTALLER (CON IVA)]]/0.7</f>
        <v>241400.00000000003</v>
      </c>
      <c r="F51" s="20">
        <f>+Tabla130[[#This Row],[PRECIO INSTALLER (CON IVA)]]*5%</f>
        <v>8449</v>
      </c>
      <c r="G51" s="12">
        <v>0.85</v>
      </c>
      <c r="H51" s="11">
        <f>Tabla130[[#This Row],[COSTO]]*1.19</f>
        <v>143633</v>
      </c>
      <c r="I51" s="11"/>
      <c r="J51" s="11"/>
      <c r="K51" s="36">
        <v>120700</v>
      </c>
    </row>
    <row r="52" spans="1:11" ht="114" x14ac:dyDescent="0.2">
      <c r="A52" s="26" t="s">
        <v>235</v>
      </c>
      <c r="B52" s="24" t="s">
        <v>236</v>
      </c>
      <c r="C52" s="42">
        <f>+Tabla130[[#This Row],[COSTO CON IVA]]/Tabla130[[#This Row],[UTILIDAD]]</f>
        <v>194740</v>
      </c>
      <c r="D52" s="42">
        <f>+Tabla130[[#This Row],[PRECIO INSTALLER (CON IVA)]]-Tabla130[[#This Row],[Columna4]]</f>
        <v>185003</v>
      </c>
      <c r="E52" s="42">
        <f>+Tabla130[[#This Row],[PRECIO INSTALLER (CON IVA)]]/0.7</f>
        <v>278200</v>
      </c>
      <c r="F52" s="20">
        <f>+Tabla130[[#This Row],[PRECIO INSTALLER (CON IVA)]]*5%</f>
        <v>9737</v>
      </c>
      <c r="G52" s="9">
        <v>0.85</v>
      </c>
      <c r="H52" s="6">
        <f>Tabla130[[#This Row],[COSTO]]*1.19</f>
        <v>165529</v>
      </c>
      <c r="I52" s="6"/>
      <c r="J52" s="6"/>
      <c r="K52" s="36">
        <v>139100</v>
      </c>
    </row>
    <row r="53" spans="1:11" ht="114" x14ac:dyDescent="0.2">
      <c r="A53" s="26" t="s">
        <v>237</v>
      </c>
      <c r="B53" s="24" t="s">
        <v>238</v>
      </c>
      <c r="C53" s="42">
        <f>+Tabla130[[#This Row],[COSTO CON IVA]]/Tabla130[[#This Row],[UTILIDAD]]</f>
        <v>182700</v>
      </c>
      <c r="D53" s="42">
        <f>+Tabla130[[#This Row],[PRECIO INSTALLER (CON IVA)]]-Tabla130[[#This Row],[Columna4]]</f>
        <v>173565</v>
      </c>
      <c r="E53" s="42">
        <f>+Tabla130[[#This Row],[PRECIO INSTALLER (CON IVA)]]/0.7</f>
        <v>261000.00000000003</v>
      </c>
      <c r="F53" s="20">
        <f>+Tabla130[[#This Row],[PRECIO INSTALLER (CON IVA)]]*5%</f>
        <v>9135</v>
      </c>
      <c r="G53" s="9">
        <v>0.85</v>
      </c>
      <c r="H53" s="6">
        <f>Tabla130[[#This Row],[COSTO]]*1.19</f>
        <v>155295</v>
      </c>
      <c r="I53" s="6"/>
      <c r="J53" s="6"/>
      <c r="K53" s="36">
        <v>130500</v>
      </c>
    </row>
    <row r="54" spans="1:11" ht="114" x14ac:dyDescent="0.2">
      <c r="A54" s="28" t="s">
        <v>239</v>
      </c>
      <c r="B54" s="24" t="s">
        <v>240</v>
      </c>
      <c r="C54" s="42">
        <f>+Tabla130[[#This Row],[COSTO CON IVA]]/Tabla130[[#This Row],[UTILIDAD]]</f>
        <v>128800</v>
      </c>
      <c r="D54" s="42">
        <f>+Tabla130[[#This Row],[PRECIO INSTALLER (CON IVA)]]-Tabla130[[#This Row],[Columna4]]</f>
        <v>122360</v>
      </c>
      <c r="E54" s="42">
        <f>+Tabla130[[#This Row],[PRECIO INSTALLER (CON IVA)]]/0.7</f>
        <v>184000</v>
      </c>
      <c r="F54" s="20">
        <f>+Tabla130[[#This Row],[PRECIO INSTALLER (CON IVA)]]*5%</f>
        <v>6440</v>
      </c>
      <c r="G54" s="9">
        <v>0.85</v>
      </c>
      <c r="H54" s="6">
        <f>Tabla130[[#This Row],[COSTO]]*1.19</f>
        <v>109480</v>
      </c>
      <c r="I54" s="6"/>
      <c r="J54" s="6"/>
      <c r="K54" s="36">
        <v>92000</v>
      </c>
    </row>
    <row r="55" spans="1:11" ht="114" x14ac:dyDescent="0.2">
      <c r="A55" s="26" t="s">
        <v>241</v>
      </c>
      <c r="B55" s="24" t="s">
        <v>240</v>
      </c>
      <c r="C55" s="42">
        <f>+Tabla130[[#This Row],[COSTO CON IVA]]/Tabla130[[#This Row],[UTILIDAD]]</f>
        <v>128800</v>
      </c>
      <c r="D55" s="42">
        <f>+Tabla130[[#This Row],[PRECIO INSTALLER (CON IVA)]]-Tabla130[[#This Row],[Columna4]]</f>
        <v>122360</v>
      </c>
      <c r="E55" s="42">
        <f>+Tabla130[[#This Row],[PRECIO INSTALLER (CON IVA)]]/0.7</f>
        <v>184000</v>
      </c>
      <c r="F55" s="20">
        <f>+Tabla130[[#This Row],[PRECIO INSTALLER (CON IVA)]]*5%</f>
        <v>6440</v>
      </c>
      <c r="G55" s="9">
        <v>0.85</v>
      </c>
      <c r="H55" s="6">
        <f>Tabla130[[#This Row],[COSTO]]*1.19</f>
        <v>109480</v>
      </c>
      <c r="I55" s="6"/>
      <c r="J55" s="6"/>
      <c r="K55" s="36">
        <v>92000</v>
      </c>
    </row>
    <row r="56" spans="1:11" ht="99.75" x14ac:dyDescent="0.2">
      <c r="A56" s="26" t="s">
        <v>242</v>
      </c>
      <c r="B56" s="24" t="s">
        <v>243</v>
      </c>
      <c r="C56" s="42">
        <f>+Tabla130[[#This Row],[COSTO CON IVA]]/Tabla130[[#This Row],[UTILIDAD]]</f>
        <v>106260</v>
      </c>
      <c r="D56" s="42">
        <f>+Tabla130[[#This Row],[PRECIO INSTALLER (CON IVA)]]-Tabla130[[#This Row],[Columna4]]</f>
        <v>100947</v>
      </c>
      <c r="E56" s="42">
        <f>+Tabla130[[#This Row],[PRECIO INSTALLER (CON IVA)]]/0.7</f>
        <v>151800</v>
      </c>
      <c r="F56" s="20">
        <f>+Tabla130[[#This Row],[PRECIO INSTALLER (CON IVA)]]*5%</f>
        <v>5313</v>
      </c>
      <c r="G56" s="9">
        <v>0.85</v>
      </c>
      <c r="H56" s="6">
        <f>Tabla130[[#This Row],[COSTO]]*1.19</f>
        <v>90321</v>
      </c>
      <c r="I56" s="6"/>
      <c r="J56" s="6"/>
      <c r="K56" s="36">
        <v>75900</v>
      </c>
    </row>
    <row r="57" spans="1:11" ht="85.5" x14ac:dyDescent="0.2">
      <c r="A57" s="26" t="s">
        <v>244</v>
      </c>
      <c r="B57" s="24" t="s">
        <v>245</v>
      </c>
      <c r="C57" s="42">
        <f>+Tabla130[[#This Row],[COSTO CON IVA]]/Tabla130[[#This Row],[UTILIDAD]]</f>
        <v>92260</v>
      </c>
      <c r="D57" s="42">
        <f>+Tabla130[[#This Row],[PRECIO INSTALLER (CON IVA)]]-Tabla130[[#This Row],[Columna4]]</f>
        <v>87647</v>
      </c>
      <c r="E57" s="42">
        <f>+Tabla130[[#This Row],[PRECIO INSTALLER (CON IVA)]]/0.7</f>
        <v>131800</v>
      </c>
      <c r="F57" s="20">
        <f>+Tabla130[[#This Row],[PRECIO INSTALLER (CON IVA)]]*5%</f>
        <v>4613</v>
      </c>
      <c r="G57" s="9">
        <v>0.85</v>
      </c>
      <c r="H57" s="6">
        <f>Tabla130[[#This Row],[COSTO]]*1.19</f>
        <v>78421</v>
      </c>
      <c r="I57" s="6"/>
      <c r="J57" s="6"/>
      <c r="K57" s="36">
        <v>65900</v>
      </c>
    </row>
    <row r="58" spans="1:11" ht="85.5" x14ac:dyDescent="0.2">
      <c r="A58" s="26" t="s">
        <v>246</v>
      </c>
      <c r="B58" s="24" t="s">
        <v>247</v>
      </c>
      <c r="C58" s="42">
        <f>+Tabla130[[#This Row],[COSTO CON IVA]]/Tabla130[[#This Row],[UTILIDAD]]</f>
        <v>88060</v>
      </c>
      <c r="D58" s="42">
        <f>+Tabla130[[#This Row],[PRECIO INSTALLER (CON IVA)]]-Tabla130[[#This Row],[Columna4]]</f>
        <v>83657</v>
      </c>
      <c r="E58" s="42">
        <f>+Tabla130[[#This Row],[PRECIO INSTALLER (CON IVA)]]/0.7</f>
        <v>125800.00000000001</v>
      </c>
      <c r="F58" s="20">
        <f>+Tabla130[[#This Row],[PRECIO INSTALLER (CON IVA)]]*5%</f>
        <v>4403</v>
      </c>
      <c r="G58" s="9">
        <v>0.85</v>
      </c>
      <c r="H58" s="6">
        <f>Tabla130[[#This Row],[COSTO]]*1.19</f>
        <v>74851</v>
      </c>
      <c r="I58" s="6"/>
      <c r="J58" s="6"/>
      <c r="K58" s="36">
        <v>62900</v>
      </c>
    </row>
    <row r="59" spans="1:11" ht="85.5" x14ac:dyDescent="0.2">
      <c r="A59" s="27" t="s">
        <v>248</v>
      </c>
      <c r="B59" s="24" t="s">
        <v>249</v>
      </c>
      <c r="C59" s="42">
        <f>+Tabla130[[#This Row],[COSTO CON IVA]]/Tabla130[[#This Row],[UTILIDAD]]</f>
        <v>62153</v>
      </c>
      <c r="D59" s="42">
        <f>+Tabla130[[#This Row],[PRECIO INSTALLER (CON IVA)]]-Tabla130[[#This Row],[Columna4]]</f>
        <v>59045.35</v>
      </c>
      <c r="E59" s="42">
        <f>+Tabla130[[#This Row],[PRECIO INSTALLER (CON IVA)]]/0.7</f>
        <v>88790</v>
      </c>
      <c r="F59" s="20">
        <f>+Tabla130[[#This Row],[PRECIO INSTALLER (CON IVA)]]*5%</f>
        <v>3107.65</v>
      </c>
      <c r="G59" s="9">
        <v>0.85</v>
      </c>
      <c r="H59" s="6">
        <f>Tabla130[[#This Row],[COSTO]]*1.19</f>
        <v>52830.049999999996</v>
      </c>
      <c r="I59" s="6"/>
      <c r="J59" s="6"/>
      <c r="K59" s="36">
        <v>44395</v>
      </c>
    </row>
    <row r="60" spans="1:11" ht="99.75" x14ac:dyDescent="0.2">
      <c r="A60" s="27" t="s">
        <v>250</v>
      </c>
      <c r="B60" s="24" t="s">
        <v>251</v>
      </c>
      <c r="C60" s="42">
        <f>+Tabla130[[#This Row],[COSTO CON IVA]]/Tabla130[[#This Row],[UTILIDAD]]</f>
        <v>53200</v>
      </c>
      <c r="D60" s="42">
        <f>+Tabla130[[#This Row],[PRECIO INSTALLER (CON IVA)]]-Tabla130[[#This Row],[Columna4]]</f>
        <v>50540</v>
      </c>
      <c r="E60" s="42">
        <f>+Tabla130[[#This Row],[PRECIO INSTALLER (CON IVA)]]/0.7</f>
        <v>76000</v>
      </c>
      <c r="F60" s="20">
        <f>+Tabla130[[#This Row],[PRECIO INSTALLER (CON IVA)]]*5%</f>
        <v>2660</v>
      </c>
      <c r="G60" s="9">
        <v>0.85</v>
      </c>
      <c r="H60" s="6">
        <f>Tabla130[[#This Row],[COSTO]]*1.19</f>
        <v>45220</v>
      </c>
      <c r="I60" s="6"/>
      <c r="J60" s="6"/>
      <c r="K60" s="36">
        <v>38000</v>
      </c>
    </row>
    <row r="61" spans="1:11" ht="128.25" x14ac:dyDescent="0.2">
      <c r="A61" s="29" t="s">
        <v>132</v>
      </c>
      <c r="B61" s="24" t="s">
        <v>252</v>
      </c>
      <c r="C61" s="42">
        <f>+Tabla130[[#This Row],[COSTO CON IVA]]/Tabla130[[#This Row],[UTILIDAD]]</f>
        <v>266000</v>
      </c>
      <c r="D61" s="42">
        <f>+Tabla130[[#This Row],[PRECIO INSTALLER (CON IVA)]]-Tabla130[[#This Row],[Columna4]]</f>
        <v>252700</v>
      </c>
      <c r="E61" s="42">
        <f>+Tabla130[[#This Row],[PRECIO INSTALLER (CON IVA)]]/0.7</f>
        <v>380000</v>
      </c>
      <c r="F61" s="20">
        <f>+Tabla130[[#This Row],[PRECIO INSTALLER (CON IVA)]]*5%</f>
        <v>13300</v>
      </c>
      <c r="G61" s="9">
        <v>0.85</v>
      </c>
      <c r="H61" s="6">
        <f>Tabla130[[#This Row],[COSTO]]*1.19</f>
        <v>226100</v>
      </c>
      <c r="I61" s="6"/>
      <c r="J61" s="6"/>
      <c r="K61" s="36">
        <v>190000</v>
      </c>
    </row>
    <row r="62" spans="1:11" s="10" customFormat="1" ht="85.5" x14ac:dyDescent="0.2">
      <c r="A62" s="29" t="s">
        <v>253</v>
      </c>
      <c r="B62" s="24" t="s">
        <v>254</v>
      </c>
      <c r="C62" s="42">
        <f>+Tabla130[[#This Row],[COSTO CON IVA]]/Tabla130[[#This Row],[UTILIDAD]]</f>
        <v>326340</v>
      </c>
      <c r="D62" s="42">
        <f>+Tabla130[[#This Row],[PRECIO INSTALLER (CON IVA)]]-Tabla130[[#This Row],[Columna4]]</f>
        <v>310023</v>
      </c>
      <c r="E62" s="42">
        <f>+Tabla130[[#This Row],[PRECIO INSTALLER (CON IVA)]]/0.7</f>
        <v>466200.00000000006</v>
      </c>
      <c r="F62" s="20">
        <f>+Tabla130[[#This Row],[PRECIO INSTALLER (CON IVA)]]*5%</f>
        <v>16317</v>
      </c>
      <c r="G62" s="9">
        <v>0.85</v>
      </c>
      <c r="H62" s="6">
        <f>Tabla130[[#This Row],[COSTO]]*1.19</f>
        <v>277389</v>
      </c>
      <c r="I62" s="6"/>
      <c r="J62" s="6"/>
      <c r="K62" s="36">
        <v>233100</v>
      </c>
    </row>
    <row r="63" spans="1:11" s="10" customFormat="1" ht="99.75" x14ac:dyDescent="0.2">
      <c r="A63" s="29" t="s">
        <v>255</v>
      </c>
      <c r="B63" s="24" t="s">
        <v>256</v>
      </c>
      <c r="C63" s="42">
        <f>+Tabla130[[#This Row],[COSTO CON IVA]]/Tabla130[[#This Row],[UTILIDAD]]</f>
        <v>224980</v>
      </c>
      <c r="D63" s="42">
        <f>+Tabla130[[#This Row],[PRECIO INSTALLER (CON IVA)]]-Tabla130[[#This Row],[Columna4]]</f>
        <v>213731</v>
      </c>
      <c r="E63" s="42">
        <f>+Tabla130[[#This Row],[PRECIO INSTALLER (CON IVA)]]/0.7</f>
        <v>321400</v>
      </c>
      <c r="F63" s="20">
        <f>+Tabla130[[#This Row],[PRECIO INSTALLER (CON IVA)]]*5%</f>
        <v>11249</v>
      </c>
      <c r="G63" s="9">
        <v>0.85</v>
      </c>
      <c r="H63" s="6">
        <f>Tabla130[[#This Row],[COSTO]]*1.19</f>
        <v>191233</v>
      </c>
      <c r="I63" s="6"/>
      <c r="J63" s="6"/>
      <c r="K63" s="36">
        <v>160700</v>
      </c>
    </row>
    <row r="64" spans="1:11" s="10" customFormat="1" ht="142.5" x14ac:dyDescent="0.2">
      <c r="A64" s="29" t="s">
        <v>131</v>
      </c>
      <c r="B64" s="24" t="s">
        <v>257</v>
      </c>
      <c r="C64" s="42">
        <f>+Tabla130[[#This Row],[COSTO CON IVA]]/Tabla130[[#This Row],[UTILIDAD]]</f>
        <v>294000</v>
      </c>
      <c r="D64" s="42">
        <f>+Tabla130[[#This Row],[PRECIO INSTALLER (CON IVA)]]-Tabla130[[#This Row],[Columna4]]</f>
        <v>279300</v>
      </c>
      <c r="E64" s="42">
        <f>+Tabla130[[#This Row],[PRECIO INSTALLER (CON IVA)]]/0.7</f>
        <v>420000</v>
      </c>
      <c r="F64" s="20">
        <f>+Tabla130[[#This Row],[PRECIO INSTALLER (CON IVA)]]*5%</f>
        <v>14700</v>
      </c>
      <c r="G64" s="9">
        <v>0.85</v>
      </c>
      <c r="H64" s="6">
        <f>Tabla130[[#This Row],[COSTO]]*1.19</f>
        <v>249900</v>
      </c>
      <c r="I64" s="6"/>
      <c r="J64" s="6"/>
      <c r="K64" s="36">
        <v>210000</v>
      </c>
    </row>
    <row r="65" spans="1:11" s="10" customFormat="1" ht="71.25" x14ac:dyDescent="0.2">
      <c r="A65" s="27" t="s">
        <v>258</v>
      </c>
      <c r="B65" s="24" t="s">
        <v>259</v>
      </c>
      <c r="C65" s="42">
        <f>+Tabla130[[#This Row],[COSTO CON IVA]]/Tabla130[[#This Row],[UTILIDAD]]</f>
        <v>116200</v>
      </c>
      <c r="D65" s="42">
        <f>+Tabla130[[#This Row],[PRECIO INSTALLER (CON IVA)]]-Tabla130[[#This Row],[Columna4]]</f>
        <v>110390</v>
      </c>
      <c r="E65" s="42">
        <f>+Tabla130[[#This Row],[PRECIO INSTALLER (CON IVA)]]/0.7</f>
        <v>166000</v>
      </c>
      <c r="F65" s="20">
        <f>+Tabla130[[#This Row],[PRECIO INSTALLER (CON IVA)]]*5%</f>
        <v>5810</v>
      </c>
      <c r="G65" s="9">
        <v>0.85</v>
      </c>
      <c r="H65" s="6">
        <f>Tabla130[[#This Row],[COSTO]]*1.19</f>
        <v>98770</v>
      </c>
      <c r="I65" s="6"/>
      <c r="J65" s="6"/>
      <c r="K65" s="36">
        <v>83000</v>
      </c>
    </row>
    <row r="66" spans="1:11" s="10" customFormat="1" ht="71.25" x14ac:dyDescent="0.2">
      <c r="A66" s="27" t="s">
        <v>260</v>
      </c>
      <c r="B66" s="24" t="s">
        <v>261</v>
      </c>
      <c r="C66" s="42">
        <f>+Tabla130[[#This Row],[COSTO CON IVA]]/Tabla130[[#This Row],[UTILIDAD]]</f>
        <v>87220</v>
      </c>
      <c r="D66" s="42">
        <f>+Tabla130[[#This Row],[PRECIO INSTALLER (CON IVA)]]-Tabla130[[#This Row],[Columna4]]</f>
        <v>82859</v>
      </c>
      <c r="E66" s="42">
        <f>+Tabla130[[#This Row],[PRECIO INSTALLER (CON IVA)]]/0.7</f>
        <v>124600.00000000001</v>
      </c>
      <c r="F66" s="20">
        <f>+Tabla130[[#This Row],[PRECIO INSTALLER (CON IVA)]]*5%</f>
        <v>4361</v>
      </c>
      <c r="G66" s="9">
        <v>0.85</v>
      </c>
      <c r="H66" s="6">
        <f>Tabla130[[#This Row],[COSTO]]*1.19</f>
        <v>74137</v>
      </c>
      <c r="I66" s="6"/>
      <c r="J66" s="6"/>
      <c r="K66" s="36">
        <v>62300</v>
      </c>
    </row>
    <row r="67" spans="1:11" s="10" customFormat="1" ht="128.25" x14ac:dyDescent="0.2">
      <c r="A67" s="27" t="s">
        <v>262</v>
      </c>
      <c r="B67" s="24" t="s">
        <v>263</v>
      </c>
      <c r="C67" s="42">
        <f>+Tabla130[[#This Row],[COSTO CON IVA]]/Tabla130[[#This Row],[UTILIDAD]]</f>
        <v>345240</v>
      </c>
      <c r="D67" s="42">
        <f>+Tabla130[[#This Row],[PRECIO INSTALLER (CON IVA)]]-Tabla130[[#This Row],[Columna4]]</f>
        <v>327978</v>
      </c>
      <c r="E67" s="42">
        <f>+Tabla130[[#This Row],[PRECIO INSTALLER (CON IVA)]]/0.7</f>
        <v>493200.00000000006</v>
      </c>
      <c r="F67" s="20">
        <f>+Tabla130[[#This Row],[PRECIO INSTALLER (CON IVA)]]*5%</f>
        <v>17262</v>
      </c>
      <c r="G67" s="9">
        <v>0.85</v>
      </c>
      <c r="H67" s="6">
        <f>Tabla130[[#This Row],[COSTO]]*1.19</f>
        <v>293454</v>
      </c>
      <c r="I67" s="6"/>
      <c r="J67" s="6"/>
      <c r="K67" s="36">
        <v>246600</v>
      </c>
    </row>
    <row r="68" spans="1:11" s="10" customFormat="1" ht="128.25" x14ac:dyDescent="0.2">
      <c r="A68" s="27" t="s">
        <v>130</v>
      </c>
      <c r="B68" s="24" t="s">
        <v>264</v>
      </c>
      <c r="C68" s="42">
        <f>+Tabla130[[#This Row],[COSTO CON IVA]]/Tabla130[[#This Row],[UTILIDAD]]</f>
        <v>265580</v>
      </c>
      <c r="D68" s="42">
        <f>+Tabla130[[#This Row],[PRECIO INSTALLER (CON IVA)]]-Tabla130[[#This Row],[Columna4]]</f>
        <v>252301</v>
      </c>
      <c r="E68" s="42">
        <f>+Tabla130[[#This Row],[PRECIO INSTALLER (CON IVA)]]/0.7</f>
        <v>379400</v>
      </c>
      <c r="F68" s="20">
        <f>+Tabla130[[#This Row],[PRECIO INSTALLER (CON IVA)]]*5%</f>
        <v>13279</v>
      </c>
      <c r="G68" s="9">
        <v>0.85</v>
      </c>
      <c r="H68" s="6">
        <f>Tabla130[[#This Row],[COSTO]]*1.19</f>
        <v>225743</v>
      </c>
      <c r="I68" s="6"/>
      <c r="J68" s="6"/>
      <c r="K68" s="36">
        <v>189700</v>
      </c>
    </row>
    <row r="69" spans="1:11" s="10" customFormat="1" ht="114" x14ac:dyDescent="0.2">
      <c r="A69" s="27" t="s">
        <v>265</v>
      </c>
      <c r="B69" s="24" t="s">
        <v>266</v>
      </c>
      <c r="C69" s="42">
        <f>+Tabla130[[#This Row],[COSTO CON IVA]]/Tabla130[[#This Row],[UTILIDAD]]</f>
        <v>241360</v>
      </c>
      <c r="D69" s="42">
        <f>+Tabla130[[#This Row],[PRECIO INSTALLER (CON IVA)]]-Tabla130[[#This Row],[Columna4]]</f>
        <v>229292</v>
      </c>
      <c r="E69" s="42">
        <f>+Tabla130[[#This Row],[PRECIO INSTALLER (CON IVA)]]/0.7</f>
        <v>344800</v>
      </c>
      <c r="F69" s="20">
        <f>+Tabla130[[#This Row],[PRECIO INSTALLER (CON IVA)]]*5%</f>
        <v>12068</v>
      </c>
      <c r="G69" s="9">
        <v>0.85</v>
      </c>
      <c r="H69" s="6">
        <f>Tabla130[[#This Row],[COSTO]]*1.19</f>
        <v>205156</v>
      </c>
      <c r="I69" s="6"/>
      <c r="J69" s="6"/>
      <c r="K69" s="36">
        <v>172400</v>
      </c>
    </row>
    <row r="70" spans="1:11" s="10" customFormat="1" ht="114" x14ac:dyDescent="0.2">
      <c r="A70" s="29" t="s">
        <v>267</v>
      </c>
      <c r="B70" s="24" t="s">
        <v>268</v>
      </c>
      <c r="C70" s="42">
        <f>+Tabla130[[#This Row],[COSTO CON IVA]]/Tabla130[[#This Row],[UTILIDAD]]</f>
        <v>161000</v>
      </c>
      <c r="D70" s="42">
        <f>+Tabla130[[#This Row],[PRECIO INSTALLER (CON IVA)]]-Tabla130[[#This Row],[Columna4]]</f>
        <v>152950</v>
      </c>
      <c r="E70" s="42">
        <f>+Tabla130[[#This Row],[PRECIO INSTALLER (CON IVA)]]/0.7</f>
        <v>230000.00000000003</v>
      </c>
      <c r="F70" s="20">
        <f>+Tabla130[[#This Row],[PRECIO INSTALLER (CON IVA)]]*5%</f>
        <v>8050</v>
      </c>
      <c r="G70" s="9">
        <v>0.85</v>
      </c>
      <c r="H70" s="6">
        <f>Tabla130[[#This Row],[COSTO]]*1.19</f>
        <v>136850</v>
      </c>
      <c r="I70" s="6"/>
      <c r="J70" s="6"/>
      <c r="K70" s="36">
        <v>115000</v>
      </c>
    </row>
    <row r="71" spans="1:11" s="10" customFormat="1" ht="99.75" x14ac:dyDescent="0.2">
      <c r="A71" s="29" t="s">
        <v>269</v>
      </c>
      <c r="B71" s="24" t="s">
        <v>270</v>
      </c>
      <c r="C71" s="42">
        <f>+Tabla130[[#This Row],[COSTO CON IVA]]/Tabla130[[#This Row],[UTILIDAD]]</f>
        <v>326340</v>
      </c>
      <c r="D71" s="42">
        <f>+Tabla130[[#This Row],[PRECIO INSTALLER (CON IVA)]]-Tabla130[[#This Row],[Columna4]]</f>
        <v>310023</v>
      </c>
      <c r="E71" s="42">
        <f>+Tabla130[[#This Row],[PRECIO INSTALLER (CON IVA)]]/0.7</f>
        <v>466200.00000000006</v>
      </c>
      <c r="F71" s="20">
        <f>+Tabla130[[#This Row],[PRECIO INSTALLER (CON IVA)]]*5%</f>
        <v>16317</v>
      </c>
      <c r="G71" s="12">
        <v>0.85</v>
      </c>
      <c r="H71" s="11">
        <f>Tabla130[[#This Row],[COSTO]]*1.19</f>
        <v>277389</v>
      </c>
      <c r="I71" s="11"/>
      <c r="J71" s="11"/>
      <c r="K71" s="36">
        <v>233100</v>
      </c>
    </row>
    <row r="72" spans="1:11" s="10" customFormat="1" ht="99.75" x14ac:dyDescent="0.2">
      <c r="A72" s="26" t="s">
        <v>271</v>
      </c>
      <c r="B72" s="24" t="s">
        <v>272</v>
      </c>
      <c r="C72" s="42">
        <f>+Tabla130[[#This Row],[COSTO CON IVA]]/Tabla130[[#This Row],[UTILIDAD]]</f>
        <v>128800</v>
      </c>
      <c r="D72" s="42">
        <f>+Tabla130[[#This Row],[PRECIO INSTALLER (CON IVA)]]-Tabla130[[#This Row],[Columna4]]</f>
        <v>122360</v>
      </c>
      <c r="E72" s="42">
        <f>+Tabla130[[#This Row],[PRECIO INSTALLER (CON IVA)]]/0.7</f>
        <v>184000</v>
      </c>
      <c r="F72" s="20">
        <f>+Tabla130[[#This Row],[PRECIO INSTALLER (CON IVA)]]*5%</f>
        <v>6440</v>
      </c>
      <c r="G72" s="12">
        <v>0.85</v>
      </c>
      <c r="H72" s="11">
        <f>Tabla130[[#This Row],[COSTO]]*1.19</f>
        <v>109480</v>
      </c>
      <c r="I72" s="11"/>
      <c r="J72" s="11"/>
      <c r="K72" s="36">
        <v>92000</v>
      </c>
    </row>
    <row r="73" spans="1:11" s="10" customFormat="1" ht="99.75" x14ac:dyDescent="0.2">
      <c r="A73" s="29" t="s">
        <v>129</v>
      </c>
      <c r="B73" s="24" t="s">
        <v>273</v>
      </c>
      <c r="C73" s="42">
        <f>+Tabla130[[#This Row],[COSTO CON IVA]]/Tabla130[[#This Row],[UTILIDAD]]</f>
        <v>100800</v>
      </c>
      <c r="D73" s="42">
        <f>+Tabla130[[#This Row],[PRECIO INSTALLER (CON IVA)]]-Tabla130[[#This Row],[Columna4]]</f>
        <v>95760</v>
      </c>
      <c r="E73" s="42">
        <f>+Tabla130[[#This Row],[PRECIO INSTALLER (CON IVA)]]/0.7</f>
        <v>144000</v>
      </c>
      <c r="F73" s="20">
        <f>+Tabla130[[#This Row],[PRECIO INSTALLER (CON IVA)]]*5%</f>
        <v>5040</v>
      </c>
      <c r="G73" s="12">
        <v>0.85</v>
      </c>
      <c r="H73" s="11">
        <f>Tabla130[[#This Row],[COSTO]]*1.19</f>
        <v>85680</v>
      </c>
      <c r="I73" s="11"/>
      <c r="J73" s="11"/>
      <c r="K73" s="36">
        <v>72000</v>
      </c>
    </row>
    <row r="74" spans="1:11" s="10" customFormat="1" ht="99.75" x14ac:dyDescent="0.2">
      <c r="A74" s="29" t="s">
        <v>128</v>
      </c>
      <c r="B74" s="24" t="s">
        <v>274</v>
      </c>
      <c r="C74" s="42">
        <f>+Tabla130[[#This Row],[COSTO CON IVA]]/Tabla130[[#This Row],[UTILIDAD]]</f>
        <v>95200</v>
      </c>
      <c r="D74" s="42">
        <f>+Tabla130[[#This Row],[PRECIO INSTALLER (CON IVA)]]-Tabla130[[#This Row],[Columna4]]</f>
        <v>90440</v>
      </c>
      <c r="E74" s="42">
        <f>+Tabla130[[#This Row],[PRECIO INSTALLER (CON IVA)]]/0.7</f>
        <v>136000</v>
      </c>
      <c r="F74" s="20">
        <f>+Tabla130[[#This Row],[PRECIO INSTALLER (CON IVA)]]*5%</f>
        <v>4760</v>
      </c>
      <c r="G74" s="9">
        <v>0.85</v>
      </c>
      <c r="H74" s="6">
        <f>Tabla130[[#This Row],[COSTO]]*1.19</f>
        <v>80920</v>
      </c>
      <c r="I74" s="6"/>
      <c r="J74" s="6"/>
      <c r="K74" s="36">
        <v>68000</v>
      </c>
    </row>
    <row r="75" spans="1:11" ht="99.75" x14ac:dyDescent="0.2">
      <c r="A75" s="27" t="s">
        <v>275</v>
      </c>
      <c r="B75" s="24" t="s">
        <v>276</v>
      </c>
      <c r="C75" s="42">
        <f>+Tabla130[[#This Row],[COSTO CON IVA]]/Tabla130[[#This Row],[UTILIDAD]]</f>
        <v>68600</v>
      </c>
      <c r="D75" s="42">
        <f>+Tabla130[[#This Row],[PRECIO INSTALLER (CON IVA)]]-Tabla130[[#This Row],[Columna4]]</f>
        <v>65170</v>
      </c>
      <c r="E75" s="42">
        <f>+Tabla130[[#This Row],[PRECIO INSTALLER (CON IVA)]]/0.7</f>
        <v>98000</v>
      </c>
      <c r="F75" s="20">
        <f>+Tabla130[[#This Row],[PRECIO INSTALLER (CON IVA)]]*5%</f>
        <v>3430</v>
      </c>
      <c r="G75" s="9">
        <v>0.85</v>
      </c>
      <c r="H75" s="6">
        <f>Tabla130[[#This Row],[COSTO]]*1.19</f>
        <v>58310</v>
      </c>
      <c r="I75" s="6"/>
      <c r="J75" s="6"/>
      <c r="K75" s="36">
        <v>49000</v>
      </c>
    </row>
    <row r="76" spans="1:11" ht="99.75" x14ac:dyDescent="0.2">
      <c r="A76" s="27" t="s">
        <v>277</v>
      </c>
      <c r="B76" s="24" t="s">
        <v>278</v>
      </c>
      <c r="C76" s="42">
        <f>+Tabla130[[#This Row],[COSTO CON IVA]]/Tabla130[[#This Row],[UTILIDAD]]</f>
        <v>64400</v>
      </c>
      <c r="D76" s="42">
        <f>+Tabla130[[#This Row],[PRECIO INSTALLER (CON IVA)]]-Tabla130[[#This Row],[Columna4]]</f>
        <v>61180</v>
      </c>
      <c r="E76" s="42">
        <f>+Tabla130[[#This Row],[PRECIO INSTALLER (CON IVA)]]/0.7</f>
        <v>92000</v>
      </c>
      <c r="F76" s="20">
        <f>+Tabla130[[#This Row],[PRECIO INSTALLER (CON IVA)]]*5%</f>
        <v>3220</v>
      </c>
      <c r="G76" s="9">
        <v>0.85</v>
      </c>
      <c r="H76" s="6">
        <f>Tabla130[[#This Row],[COSTO]]*1.19</f>
        <v>54740</v>
      </c>
      <c r="I76" s="6"/>
      <c r="J76" s="6"/>
      <c r="K76" s="36">
        <v>46000</v>
      </c>
    </row>
    <row r="77" spans="1:11" ht="242.25" x14ac:dyDescent="0.2">
      <c r="A77" s="23" t="s">
        <v>279</v>
      </c>
      <c r="B77" s="24" t="s">
        <v>280</v>
      </c>
      <c r="C77" s="42">
        <f>+Tabla130[[#This Row],[COSTO CON IVA]]/Tabla130[[#This Row],[UTILIDAD]]</f>
        <v>326340</v>
      </c>
      <c r="D77" s="42">
        <f>+Tabla130[[#This Row],[PRECIO INSTALLER (CON IVA)]]-Tabla130[[#This Row],[Columna4]]</f>
        <v>310023</v>
      </c>
      <c r="E77" s="42">
        <f>+Tabla130[[#This Row],[PRECIO INSTALLER (CON IVA)]]/0.7</f>
        <v>466200.00000000006</v>
      </c>
      <c r="F77" s="20">
        <f>+Tabla130[[#This Row],[PRECIO INSTALLER (CON IVA)]]*5%</f>
        <v>16317</v>
      </c>
      <c r="G77" s="9">
        <v>0.85</v>
      </c>
      <c r="H77" s="6">
        <f>Tabla130[[#This Row],[COSTO]]*1.19</f>
        <v>277389</v>
      </c>
      <c r="I77" s="6"/>
      <c r="J77" s="6"/>
      <c r="K77" s="36">
        <v>233100</v>
      </c>
    </row>
    <row r="78" spans="1:11" ht="213.75" x14ac:dyDescent="0.2">
      <c r="A78" s="27" t="s">
        <v>281</v>
      </c>
      <c r="B78" s="24" t="s">
        <v>282</v>
      </c>
      <c r="C78" s="42">
        <f>+Tabla130[[#This Row],[COSTO CON IVA]]/Tabla130[[#This Row],[UTILIDAD]]</f>
        <v>254940</v>
      </c>
      <c r="D78" s="42">
        <f>+Tabla130[[#This Row],[PRECIO INSTALLER (CON IVA)]]-Tabla130[[#This Row],[Columna4]]</f>
        <v>242193</v>
      </c>
      <c r="E78" s="42">
        <f>+Tabla130[[#This Row],[PRECIO INSTALLER (CON IVA)]]/0.7</f>
        <v>364200</v>
      </c>
      <c r="F78" s="20">
        <f>+Tabla130[[#This Row],[PRECIO INSTALLER (CON IVA)]]*5%</f>
        <v>12747</v>
      </c>
      <c r="G78" s="9">
        <v>0.85</v>
      </c>
      <c r="H78" s="6">
        <f>Tabla130[[#This Row],[COSTO]]*1.19</f>
        <v>216699</v>
      </c>
      <c r="I78" s="6"/>
      <c r="J78" s="6"/>
      <c r="K78" s="36">
        <v>182100</v>
      </c>
    </row>
    <row r="79" spans="1:11" ht="99.75" x14ac:dyDescent="0.2">
      <c r="A79" s="27" t="s">
        <v>283</v>
      </c>
      <c r="B79" s="24" t="s">
        <v>284</v>
      </c>
      <c r="C79" s="42">
        <f>+Tabla130[[#This Row],[COSTO CON IVA]]/Tabla130[[#This Row],[UTILIDAD]]</f>
        <v>171080</v>
      </c>
      <c r="D79" s="42">
        <f>+Tabla130[[#This Row],[PRECIO INSTALLER (CON IVA)]]-Tabla130[[#This Row],[Columna4]]</f>
        <v>162526</v>
      </c>
      <c r="E79" s="42">
        <f>+Tabla130[[#This Row],[PRECIO INSTALLER (CON IVA)]]/0.7</f>
        <v>244400.00000000003</v>
      </c>
      <c r="F79" s="20">
        <f>+Tabla130[[#This Row],[PRECIO INSTALLER (CON IVA)]]*5%</f>
        <v>8554</v>
      </c>
      <c r="G79" s="9">
        <v>0.85</v>
      </c>
      <c r="H79" s="6">
        <f>Tabla130[[#This Row],[COSTO]]*1.19</f>
        <v>145418</v>
      </c>
      <c r="I79" s="6"/>
      <c r="J79" s="6"/>
      <c r="K79" s="36">
        <v>122200</v>
      </c>
    </row>
    <row r="80" spans="1:11" ht="99.75" x14ac:dyDescent="0.2">
      <c r="A80" s="25" t="s">
        <v>285</v>
      </c>
      <c r="B80" s="24" t="s">
        <v>286</v>
      </c>
      <c r="C80" s="42">
        <f>+Tabla130[[#This Row],[COSTO CON IVA]]/Tabla130[[#This Row],[UTILIDAD]]</f>
        <v>305760</v>
      </c>
      <c r="D80" s="42">
        <f>+Tabla130[[#This Row],[PRECIO INSTALLER (CON IVA)]]-Tabla130[[#This Row],[Columna4]]</f>
        <v>290472</v>
      </c>
      <c r="E80" s="42">
        <f>+Tabla130[[#This Row],[PRECIO INSTALLER (CON IVA)]]/0.7</f>
        <v>436800</v>
      </c>
      <c r="F80" s="20">
        <f>+Tabla130[[#This Row],[PRECIO INSTALLER (CON IVA)]]*5%</f>
        <v>15288</v>
      </c>
      <c r="G80" s="9">
        <v>0.85</v>
      </c>
      <c r="H80" s="6">
        <f>Tabla130[[#This Row],[COSTO]]*1.19</f>
        <v>259896</v>
      </c>
      <c r="I80" s="6"/>
      <c r="J80" s="6"/>
      <c r="K80" s="36">
        <v>218400</v>
      </c>
    </row>
    <row r="81" spans="1:11" ht="114" x14ac:dyDescent="0.2">
      <c r="A81" s="25" t="s">
        <v>287</v>
      </c>
      <c r="B81" s="24" t="s">
        <v>288</v>
      </c>
      <c r="C81" s="42">
        <f>+Tabla130[[#This Row],[COSTO CON IVA]]/Tabla130[[#This Row],[UTILIDAD]]</f>
        <v>0</v>
      </c>
      <c r="D81" s="42">
        <f>+Tabla130[[#This Row],[PRECIO INSTALLER (CON IVA)]]-Tabla130[[#This Row],[Columna4]]</f>
        <v>0</v>
      </c>
      <c r="E81" s="42">
        <f>+Tabla130[[#This Row],[PRECIO INSTALLER (CON IVA)]]/0.7</f>
        <v>0</v>
      </c>
      <c r="F81" s="20">
        <f>+Tabla130[[#This Row],[PRECIO INSTALLER (CON IVA)]]*5%</f>
        <v>0</v>
      </c>
      <c r="G81" s="9">
        <v>0.85</v>
      </c>
      <c r="H81" s="6">
        <f>Tabla130[[#This Row],[COSTO]]*1.19</f>
        <v>0</v>
      </c>
      <c r="I81" s="6"/>
      <c r="J81" s="6"/>
      <c r="K81" s="36"/>
    </row>
    <row r="82" spans="1:11" ht="85.5" x14ac:dyDescent="0.2">
      <c r="A82" s="25" t="s">
        <v>289</v>
      </c>
      <c r="B82" s="24" t="s">
        <v>290</v>
      </c>
      <c r="C82" s="42">
        <f>+Tabla130[[#This Row],[COSTO CON IVA]]/Tabla130[[#This Row],[UTILIDAD]]</f>
        <v>250600</v>
      </c>
      <c r="D82" s="42">
        <f>+Tabla130[[#This Row],[PRECIO INSTALLER (CON IVA)]]-Tabla130[[#This Row],[Columna4]]</f>
        <v>238070</v>
      </c>
      <c r="E82" s="42">
        <f>+Tabla130[[#This Row],[PRECIO INSTALLER (CON IVA)]]/0.7</f>
        <v>358000</v>
      </c>
      <c r="F82" s="20">
        <f>+Tabla130[[#This Row],[PRECIO INSTALLER (CON IVA)]]*5%</f>
        <v>12530</v>
      </c>
      <c r="G82" s="9">
        <v>0.85</v>
      </c>
      <c r="H82" s="6">
        <f>Tabla130[[#This Row],[COSTO]]*1.19</f>
        <v>213010</v>
      </c>
      <c r="I82" s="6"/>
      <c r="J82" s="6"/>
      <c r="K82" s="36">
        <v>179000</v>
      </c>
    </row>
    <row r="83" spans="1:11" ht="99.75" x14ac:dyDescent="0.2">
      <c r="A83" s="27" t="s">
        <v>127</v>
      </c>
      <c r="B83" s="24" t="s">
        <v>291</v>
      </c>
      <c r="C83" s="42">
        <f>+Tabla130[[#This Row],[COSTO CON IVA]]/Tabla130[[#This Row],[UTILIDAD]]</f>
        <v>194600</v>
      </c>
      <c r="D83" s="42">
        <f>+Tabla130[[#This Row],[PRECIO INSTALLER (CON IVA)]]-Tabla130[[#This Row],[Columna4]]</f>
        <v>184870</v>
      </c>
      <c r="E83" s="42">
        <f>+Tabla130[[#This Row],[PRECIO INSTALLER (CON IVA)]]/0.7</f>
        <v>278000</v>
      </c>
      <c r="F83" s="20">
        <f>+Tabla130[[#This Row],[PRECIO INSTALLER (CON IVA)]]*5%</f>
        <v>9730</v>
      </c>
      <c r="G83" s="9">
        <v>0.85</v>
      </c>
      <c r="H83" s="6">
        <f>Tabla130[[#This Row],[COSTO]]*1.19</f>
        <v>165410</v>
      </c>
      <c r="I83" s="6"/>
      <c r="J83" s="6"/>
      <c r="K83" s="36">
        <v>139000</v>
      </c>
    </row>
    <row r="84" spans="1:11" ht="85.5" x14ac:dyDescent="0.2">
      <c r="A84" s="27" t="s">
        <v>126</v>
      </c>
      <c r="B84" s="24" t="s">
        <v>292</v>
      </c>
      <c r="C84" s="42">
        <f>+Tabla130[[#This Row],[COSTO CON IVA]]/Tabla130[[#This Row],[UTILIDAD]]</f>
        <v>237580</v>
      </c>
      <c r="D84" s="42">
        <f>+Tabla130[[#This Row],[PRECIO INSTALLER (CON IVA)]]-Tabla130[[#This Row],[Columna4]]</f>
        <v>225701</v>
      </c>
      <c r="E84" s="42">
        <f>+Tabla130[[#This Row],[PRECIO INSTALLER (CON IVA)]]/0.7</f>
        <v>339400</v>
      </c>
      <c r="F84" s="20">
        <f>+Tabla130[[#This Row],[PRECIO INSTALLER (CON IVA)]]*5%</f>
        <v>11879</v>
      </c>
      <c r="G84" s="9">
        <v>0.85</v>
      </c>
      <c r="H84" s="6">
        <f>Tabla130[[#This Row],[COSTO]]*1.19</f>
        <v>201943</v>
      </c>
      <c r="I84" s="6"/>
      <c r="J84" s="6"/>
      <c r="K84" s="36">
        <v>169700</v>
      </c>
    </row>
    <row r="85" spans="1:11" ht="71.25" x14ac:dyDescent="0.2">
      <c r="A85" s="27" t="s">
        <v>125</v>
      </c>
      <c r="B85" s="24" t="s">
        <v>293</v>
      </c>
      <c r="C85" s="42">
        <f>+Tabla130[[#This Row],[COSTO CON IVA]]/Tabla130[[#This Row],[UTILIDAD]]</f>
        <v>194600</v>
      </c>
      <c r="D85" s="42">
        <f>+Tabla130[[#This Row],[PRECIO INSTALLER (CON IVA)]]-Tabla130[[#This Row],[Columna4]]</f>
        <v>184870</v>
      </c>
      <c r="E85" s="42">
        <f>+Tabla130[[#This Row],[PRECIO INSTALLER (CON IVA)]]/0.7</f>
        <v>278000</v>
      </c>
      <c r="F85" s="20">
        <f>+Tabla130[[#This Row],[PRECIO INSTALLER (CON IVA)]]*5%</f>
        <v>9730</v>
      </c>
      <c r="G85" s="9">
        <v>0.85</v>
      </c>
      <c r="H85" s="6">
        <f>Tabla130[[#This Row],[COSTO]]*1.19</f>
        <v>165410</v>
      </c>
      <c r="I85" s="6"/>
      <c r="J85" s="6"/>
      <c r="K85" s="36">
        <v>139000</v>
      </c>
    </row>
    <row r="86" spans="1:11" ht="57" x14ac:dyDescent="0.2">
      <c r="A86" s="27" t="s">
        <v>124</v>
      </c>
      <c r="B86" s="24" t="s">
        <v>294</v>
      </c>
      <c r="C86" s="42">
        <f>+Tabla130[[#This Row],[COSTO CON IVA]]/Tabla130[[#This Row],[UTILIDAD]]</f>
        <v>152600</v>
      </c>
      <c r="D86" s="42">
        <f>+Tabla130[[#This Row],[PRECIO INSTALLER (CON IVA)]]-Tabla130[[#This Row],[Columna4]]</f>
        <v>144970</v>
      </c>
      <c r="E86" s="42">
        <f>+Tabla130[[#This Row],[PRECIO INSTALLER (CON IVA)]]/0.7</f>
        <v>218000</v>
      </c>
      <c r="F86" s="20">
        <f>+Tabla130[[#This Row],[PRECIO INSTALLER (CON IVA)]]*5%</f>
        <v>7630</v>
      </c>
      <c r="G86" s="9">
        <v>0.85</v>
      </c>
      <c r="H86" s="6">
        <f>Tabla130[[#This Row],[COSTO]]*1.19</f>
        <v>129710</v>
      </c>
      <c r="I86" s="6"/>
      <c r="J86" s="6"/>
      <c r="K86" s="36">
        <v>109000</v>
      </c>
    </row>
    <row r="87" spans="1:11" ht="57" x14ac:dyDescent="0.2">
      <c r="A87" s="27" t="s">
        <v>295</v>
      </c>
      <c r="B87" s="24" t="s">
        <v>296</v>
      </c>
      <c r="C87" s="42">
        <f>+Tabla130[[#This Row],[COSTO CON IVA]]/Tabla130[[#This Row],[UTILIDAD]]</f>
        <v>166600</v>
      </c>
      <c r="D87" s="42">
        <f>+Tabla130[[#This Row],[PRECIO INSTALLER (CON IVA)]]-Tabla130[[#This Row],[Columna4]]</f>
        <v>158270</v>
      </c>
      <c r="E87" s="42">
        <f>+Tabla130[[#This Row],[PRECIO INSTALLER (CON IVA)]]/0.7</f>
        <v>238000.00000000003</v>
      </c>
      <c r="F87" s="20">
        <f>+Tabla130[[#This Row],[PRECIO INSTALLER (CON IVA)]]*5%</f>
        <v>8330</v>
      </c>
      <c r="G87" s="9">
        <v>0.85</v>
      </c>
      <c r="H87" s="6">
        <f>Tabla130[[#This Row],[COSTO]]*1.19</f>
        <v>141610</v>
      </c>
      <c r="I87" s="6"/>
      <c r="J87" s="6"/>
      <c r="K87" s="36">
        <v>119000</v>
      </c>
    </row>
    <row r="88" spans="1:11" ht="71.25" x14ac:dyDescent="0.2">
      <c r="A88" s="27" t="s">
        <v>297</v>
      </c>
      <c r="B88" s="24" t="s">
        <v>298</v>
      </c>
      <c r="C88" s="42">
        <f>+Tabla130[[#This Row],[COSTO CON IVA]]/Tabla130[[#This Row],[UTILIDAD]]</f>
        <v>175000</v>
      </c>
      <c r="D88" s="42">
        <f>+Tabla130[[#This Row],[PRECIO INSTALLER (CON IVA)]]-Tabla130[[#This Row],[Columna4]]</f>
        <v>166250</v>
      </c>
      <c r="E88" s="42">
        <f>+Tabla130[[#This Row],[PRECIO INSTALLER (CON IVA)]]/0.7</f>
        <v>250000.00000000003</v>
      </c>
      <c r="F88" s="20">
        <f>+Tabla130[[#This Row],[PRECIO INSTALLER (CON IVA)]]*5%</f>
        <v>8750</v>
      </c>
      <c r="G88" s="9">
        <v>0.85</v>
      </c>
      <c r="H88" s="6">
        <f>Tabla130[[#This Row],[COSTO]]*1.19</f>
        <v>148750</v>
      </c>
      <c r="I88" s="6"/>
      <c r="J88" s="6"/>
      <c r="K88" s="36">
        <v>125000</v>
      </c>
    </row>
    <row r="89" spans="1:11" ht="71.25" x14ac:dyDescent="0.2">
      <c r="A89" s="27" t="s">
        <v>299</v>
      </c>
      <c r="B89" s="24" t="s">
        <v>300</v>
      </c>
      <c r="C89" s="42">
        <f>+Tabla130[[#This Row],[COSTO CON IVA]]/Tabla130[[#This Row],[UTILIDAD]]</f>
        <v>184800</v>
      </c>
      <c r="D89" s="42">
        <f>+Tabla130[[#This Row],[PRECIO INSTALLER (CON IVA)]]-Tabla130[[#This Row],[Columna4]]</f>
        <v>175560</v>
      </c>
      <c r="E89" s="42">
        <f>+Tabla130[[#This Row],[PRECIO INSTALLER (CON IVA)]]/0.7</f>
        <v>264000</v>
      </c>
      <c r="F89" s="20">
        <f>+Tabla130[[#This Row],[PRECIO INSTALLER (CON IVA)]]*5%</f>
        <v>9240</v>
      </c>
      <c r="G89" s="9">
        <v>0.85</v>
      </c>
      <c r="H89" s="6">
        <f>Tabla130[[#This Row],[COSTO]]*1.19</f>
        <v>157080</v>
      </c>
      <c r="I89" s="6"/>
      <c r="J89" s="6"/>
      <c r="K89" s="36">
        <v>132000</v>
      </c>
    </row>
    <row r="90" spans="1:11" ht="71.25" x14ac:dyDescent="0.2">
      <c r="A90" s="27" t="s">
        <v>301</v>
      </c>
      <c r="B90" s="24" t="s">
        <v>302</v>
      </c>
      <c r="C90" s="42">
        <f>+Tabla130[[#This Row],[COSTO CON IVA]]/Tabla130[[#This Row],[UTILIDAD]]</f>
        <v>175000</v>
      </c>
      <c r="D90" s="42">
        <f>+Tabla130[[#This Row],[PRECIO INSTALLER (CON IVA)]]-Tabla130[[#This Row],[Columna4]]</f>
        <v>166250</v>
      </c>
      <c r="E90" s="42">
        <f>+Tabla130[[#This Row],[PRECIO INSTALLER (CON IVA)]]/0.7</f>
        <v>250000.00000000003</v>
      </c>
      <c r="F90" s="20">
        <f>+Tabla130[[#This Row],[PRECIO INSTALLER (CON IVA)]]*5%</f>
        <v>8750</v>
      </c>
      <c r="G90" s="9">
        <v>0.85</v>
      </c>
      <c r="H90" s="6">
        <f>Tabla130[[#This Row],[COSTO]]*1.19</f>
        <v>148750</v>
      </c>
      <c r="I90" s="6"/>
      <c r="J90" s="6"/>
      <c r="K90" s="36">
        <v>125000</v>
      </c>
    </row>
    <row r="91" spans="1:11" ht="57" x14ac:dyDescent="0.2">
      <c r="A91" s="23" t="s">
        <v>303</v>
      </c>
      <c r="B91" s="24" t="s">
        <v>304</v>
      </c>
      <c r="C91" s="42">
        <f>+Tabla130[[#This Row],[COSTO CON IVA]]/Tabla130[[#This Row],[UTILIDAD]]</f>
        <v>128800</v>
      </c>
      <c r="D91" s="42">
        <f>+Tabla130[[#This Row],[PRECIO INSTALLER (CON IVA)]]-Tabla130[[#This Row],[Columna4]]</f>
        <v>122360</v>
      </c>
      <c r="E91" s="42">
        <f>+Tabla130[[#This Row],[PRECIO INSTALLER (CON IVA)]]/0.7</f>
        <v>184000</v>
      </c>
      <c r="F91" s="20">
        <f>+Tabla130[[#This Row],[PRECIO INSTALLER (CON IVA)]]*5%</f>
        <v>6440</v>
      </c>
      <c r="G91" s="9">
        <v>0.85</v>
      </c>
      <c r="H91" s="6">
        <f>Tabla130[[#This Row],[COSTO]]*1.19</f>
        <v>109480</v>
      </c>
      <c r="I91" s="6"/>
      <c r="J91" s="6"/>
      <c r="K91" s="36">
        <v>92000</v>
      </c>
    </row>
    <row r="92" spans="1:11" ht="71.25" x14ac:dyDescent="0.2">
      <c r="A92" s="23" t="s">
        <v>305</v>
      </c>
      <c r="B92" s="24" t="s">
        <v>306</v>
      </c>
      <c r="C92" s="42">
        <f>+Tabla130[[#This Row],[COSTO CON IVA]]/Tabla130[[#This Row],[UTILIDAD]]</f>
        <v>115920</v>
      </c>
      <c r="D92" s="42">
        <f>+Tabla130[[#This Row],[PRECIO INSTALLER (CON IVA)]]-Tabla130[[#This Row],[Columna4]]</f>
        <v>110124</v>
      </c>
      <c r="E92" s="42">
        <f>+Tabla130[[#This Row],[PRECIO INSTALLER (CON IVA)]]/0.7</f>
        <v>165600</v>
      </c>
      <c r="F92" s="20">
        <f>+Tabla130[[#This Row],[PRECIO INSTALLER (CON IVA)]]*5%</f>
        <v>5796</v>
      </c>
      <c r="G92" s="12">
        <v>0.85</v>
      </c>
      <c r="H92" s="11">
        <f>Tabla130[[#This Row],[COSTO]]*1.19</f>
        <v>98532</v>
      </c>
      <c r="I92" s="11"/>
      <c r="J92" s="11"/>
      <c r="K92" s="36">
        <v>82800</v>
      </c>
    </row>
    <row r="93" spans="1:11" ht="57" x14ac:dyDescent="0.2">
      <c r="A93" s="27" t="s">
        <v>307</v>
      </c>
      <c r="B93" s="24" t="s">
        <v>308</v>
      </c>
      <c r="C93" s="42">
        <f>+Tabla130[[#This Row],[COSTO CON IVA]]/Tabla130[[#This Row],[UTILIDAD]]</f>
        <v>35000</v>
      </c>
      <c r="D93" s="42">
        <f>+Tabla130[[#This Row],[PRECIO INSTALLER (CON IVA)]]-Tabla130[[#This Row],[Columna4]]</f>
        <v>33250</v>
      </c>
      <c r="E93" s="42">
        <f>+Tabla130[[#This Row],[PRECIO INSTALLER (CON IVA)]]/0.7</f>
        <v>50000</v>
      </c>
      <c r="F93" s="20">
        <f>+Tabla130[[#This Row],[PRECIO INSTALLER (CON IVA)]]*5%</f>
        <v>1750</v>
      </c>
      <c r="G93" s="12">
        <v>0.85</v>
      </c>
      <c r="H93" s="11">
        <f>Tabla130[[#This Row],[COSTO]]*1.19</f>
        <v>29750</v>
      </c>
      <c r="I93" s="11"/>
      <c r="J93" s="11"/>
      <c r="K93" s="36">
        <v>25000</v>
      </c>
    </row>
    <row r="94" spans="1:11" ht="71.25" x14ac:dyDescent="0.2">
      <c r="A94" s="23" t="s">
        <v>309</v>
      </c>
      <c r="B94" s="24" t="s">
        <v>310</v>
      </c>
      <c r="C94" s="42">
        <f>+Tabla130[[#This Row],[COSTO CON IVA]]/Tabla130[[#This Row],[UTILIDAD]]</f>
        <v>171920</v>
      </c>
      <c r="D94" s="42">
        <f>+Tabla130[[#This Row],[PRECIO INSTALLER (CON IVA)]]-Tabla130[[#This Row],[Columna4]]</f>
        <v>163324</v>
      </c>
      <c r="E94" s="42">
        <f>+Tabla130[[#This Row],[PRECIO INSTALLER (CON IVA)]]/0.7</f>
        <v>245600.00000000003</v>
      </c>
      <c r="F94" s="20">
        <f>+Tabla130[[#This Row],[PRECIO INSTALLER (CON IVA)]]*5%</f>
        <v>8596</v>
      </c>
      <c r="G94" s="12">
        <v>0.85</v>
      </c>
      <c r="H94" s="11">
        <f>Tabla130[[#This Row],[COSTO]]*1.19</f>
        <v>146132</v>
      </c>
      <c r="I94" s="11"/>
      <c r="J94" s="11"/>
      <c r="K94" s="36">
        <v>122800</v>
      </c>
    </row>
    <row r="95" spans="1:11" ht="57" x14ac:dyDescent="0.2">
      <c r="A95" s="27" t="s">
        <v>311</v>
      </c>
      <c r="B95" s="24" t="s">
        <v>312</v>
      </c>
      <c r="C95" s="42">
        <f>+Tabla130[[#This Row],[COSTO CON IVA]]/Tabla130[[#This Row],[UTILIDAD]]</f>
        <v>154700</v>
      </c>
      <c r="D95" s="42">
        <f>+Tabla130[[#This Row],[PRECIO INSTALLER (CON IVA)]]-Tabla130[[#This Row],[Columna4]]</f>
        <v>146965</v>
      </c>
      <c r="E95" s="42">
        <f>+Tabla130[[#This Row],[PRECIO INSTALLER (CON IVA)]]/0.7</f>
        <v>221000</v>
      </c>
      <c r="F95" s="20">
        <f>+Tabla130[[#This Row],[PRECIO INSTALLER (CON IVA)]]*5%</f>
        <v>7735</v>
      </c>
      <c r="G95" s="12">
        <v>0.85</v>
      </c>
      <c r="H95" s="11">
        <f>Tabla130[[#This Row],[COSTO]]*1.19</f>
        <v>131495</v>
      </c>
      <c r="I95" s="11"/>
      <c r="J95" s="11"/>
      <c r="K95" s="36">
        <v>110500</v>
      </c>
    </row>
    <row r="96" spans="1:11" ht="57" x14ac:dyDescent="0.2">
      <c r="A96" s="27" t="s">
        <v>123</v>
      </c>
      <c r="B96" s="24" t="s">
        <v>313</v>
      </c>
      <c r="C96" s="42">
        <f>+Tabla130[[#This Row],[COSTO CON IVA]]/Tabla130[[#This Row],[UTILIDAD]]</f>
        <v>137480</v>
      </c>
      <c r="D96" s="42">
        <f>+Tabla130[[#This Row],[PRECIO INSTALLER (CON IVA)]]-Tabla130[[#This Row],[Columna4]]</f>
        <v>130606</v>
      </c>
      <c r="E96" s="42">
        <f>+Tabla130[[#This Row],[PRECIO INSTALLER (CON IVA)]]/0.7</f>
        <v>196400</v>
      </c>
      <c r="F96" s="20">
        <f>+Tabla130[[#This Row],[PRECIO INSTALLER (CON IVA)]]*5%</f>
        <v>6874</v>
      </c>
      <c r="G96" s="12">
        <v>0.85</v>
      </c>
      <c r="H96" s="11">
        <f>Tabla130[[#This Row],[COSTO]]*1.19</f>
        <v>116858</v>
      </c>
      <c r="I96" s="11"/>
      <c r="J96" s="11"/>
      <c r="K96" s="36">
        <v>98200</v>
      </c>
    </row>
    <row r="97" spans="1:11" ht="57" x14ac:dyDescent="0.2">
      <c r="A97" s="27" t="s">
        <v>314</v>
      </c>
      <c r="B97" s="24" t="s">
        <v>315</v>
      </c>
      <c r="C97" s="42">
        <f>+Tabla130[[#This Row],[COSTO CON IVA]]/Tabla130[[#This Row],[UTILIDAD]]</f>
        <v>112140</v>
      </c>
      <c r="D97" s="42">
        <f>+Tabla130[[#This Row],[PRECIO INSTALLER (CON IVA)]]-Tabla130[[#This Row],[Columna4]]</f>
        <v>106533</v>
      </c>
      <c r="E97" s="42">
        <f>+Tabla130[[#This Row],[PRECIO INSTALLER (CON IVA)]]/0.7</f>
        <v>160200</v>
      </c>
      <c r="F97" s="20">
        <f>+Tabla130[[#This Row],[PRECIO INSTALLER (CON IVA)]]*5%</f>
        <v>5607</v>
      </c>
      <c r="G97" s="12">
        <v>0.85</v>
      </c>
      <c r="H97" s="11">
        <f>Tabla130[[#This Row],[COSTO]]*1.19</f>
        <v>95319</v>
      </c>
      <c r="I97" s="11"/>
      <c r="J97" s="11"/>
      <c r="K97" s="36">
        <v>80100</v>
      </c>
    </row>
    <row r="98" spans="1:11" ht="57" x14ac:dyDescent="0.2">
      <c r="A98" s="27" t="s">
        <v>316</v>
      </c>
      <c r="B98" s="24" t="s">
        <v>317</v>
      </c>
      <c r="C98" s="42">
        <f>+Tabla130[[#This Row],[COSTO CON IVA]]/Tabla130[[#This Row],[UTILIDAD]]</f>
        <v>107380</v>
      </c>
      <c r="D98" s="42">
        <f>+Tabla130[[#This Row],[PRECIO INSTALLER (CON IVA)]]-Tabla130[[#This Row],[Columna4]]</f>
        <v>102011</v>
      </c>
      <c r="E98" s="42">
        <f>+Tabla130[[#This Row],[PRECIO INSTALLER (CON IVA)]]/0.7</f>
        <v>153400</v>
      </c>
      <c r="F98" s="20">
        <f>+Tabla130[[#This Row],[PRECIO INSTALLER (CON IVA)]]*5%</f>
        <v>5369</v>
      </c>
      <c r="G98" s="12">
        <v>0.85</v>
      </c>
      <c r="H98" s="11">
        <f>Tabla130[[#This Row],[COSTO]]*1.19</f>
        <v>91273</v>
      </c>
      <c r="I98" s="11"/>
      <c r="J98" s="11"/>
      <c r="K98" s="36">
        <v>76700</v>
      </c>
    </row>
    <row r="99" spans="1:11" ht="42.75" x14ac:dyDescent="0.2">
      <c r="A99" s="27" t="s">
        <v>318</v>
      </c>
      <c r="B99" s="24" t="s">
        <v>319</v>
      </c>
      <c r="C99" s="42">
        <f>+Tabla130[[#This Row],[COSTO CON IVA]]/Tabla130[[#This Row],[UTILIDAD]]</f>
        <v>77000</v>
      </c>
      <c r="D99" s="42">
        <f>+Tabla130[[#This Row],[PRECIO INSTALLER (CON IVA)]]-Tabla130[[#This Row],[Columna4]]</f>
        <v>73150</v>
      </c>
      <c r="E99" s="42">
        <f>+Tabla130[[#This Row],[PRECIO INSTALLER (CON IVA)]]/0.7</f>
        <v>110000</v>
      </c>
      <c r="F99" s="20">
        <f>+Tabla130[[#This Row],[PRECIO INSTALLER (CON IVA)]]*5%</f>
        <v>3850</v>
      </c>
      <c r="G99" s="12">
        <v>0.85</v>
      </c>
      <c r="H99" s="11">
        <f>Tabla130[[#This Row],[COSTO]]*1.19</f>
        <v>65450</v>
      </c>
      <c r="I99" s="11"/>
      <c r="J99" s="11"/>
      <c r="K99" s="36">
        <v>55000</v>
      </c>
    </row>
    <row r="100" spans="1:11" ht="42.75" x14ac:dyDescent="0.2">
      <c r="A100" s="27" t="s">
        <v>320</v>
      </c>
      <c r="B100" s="24" t="s">
        <v>321</v>
      </c>
      <c r="C100" s="42">
        <f>+Tabla130[[#This Row],[COSTO CON IVA]]/Tabla130[[#This Row],[UTILIDAD]]</f>
        <v>68600</v>
      </c>
      <c r="D100" s="42">
        <f>+Tabla130[[#This Row],[PRECIO INSTALLER (CON IVA)]]-Tabla130[[#This Row],[Columna4]]</f>
        <v>65170</v>
      </c>
      <c r="E100" s="42">
        <f>+Tabla130[[#This Row],[PRECIO INSTALLER (CON IVA)]]/0.7</f>
        <v>98000</v>
      </c>
      <c r="F100" s="20">
        <f>+Tabla130[[#This Row],[PRECIO INSTALLER (CON IVA)]]*5%</f>
        <v>3430</v>
      </c>
      <c r="G100" s="12">
        <v>0.85</v>
      </c>
      <c r="H100" s="11">
        <f>Tabla130[[#This Row],[COSTO]]*1.19</f>
        <v>58310</v>
      </c>
      <c r="I100" s="11"/>
      <c r="J100" s="11"/>
      <c r="K100" s="36">
        <v>49000</v>
      </c>
    </row>
    <row r="101" spans="1:11" ht="71.25" x14ac:dyDescent="0.2">
      <c r="A101" s="27" t="s">
        <v>322</v>
      </c>
      <c r="B101" s="24" t="s">
        <v>323</v>
      </c>
      <c r="C101" s="42">
        <f>+Tabla130[[#This Row],[COSTO CON IVA]]/Tabla130[[#This Row],[UTILIDAD]]</f>
        <v>63000</v>
      </c>
      <c r="D101" s="42">
        <f>+Tabla130[[#This Row],[PRECIO INSTALLER (CON IVA)]]-Tabla130[[#This Row],[Columna4]]</f>
        <v>59850</v>
      </c>
      <c r="E101" s="42">
        <f>+Tabla130[[#This Row],[PRECIO INSTALLER (CON IVA)]]/0.7</f>
        <v>90000</v>
      </c>
      <c r="F101" s="20">
        <f>+Tabla130[[#This Row],[PRECIO INSTALLER (CON IVA)]]*5%</f>
        <v>3150</v>
      </c>
      <c r="G101" s="12">
        <v>0.85</v>
      </c>
      <c r="H101" s="11">
        <f>Tabla130[[#This Row],[COSTO]]*1.19</f>
        <v>53550</v>
      </c>
      <c r="I101" s="11"/>
      <c r="J101" s="11"/>
      <c r="K101" s="36">
        <v>45000</v>
      </c>
    </row>
    <row r="102" spans="1:11" ht="42.75" x14ac:dyDescent="0.2">
      <c r="A102" s="27" t="s">
        <v>324</v>
      </c>
      <c r="B102" s="24" t="s">
        <v>325</v>
      </c>
      <c r="C102" s="42">
        <f>+Tabla130[[#This Row],[COSTO CON IVA]]/Tabla130[[#This Row],[UTILIDAD]]</f>
        <v>58100</v>
      </c>
      <c r="D102" s="42">
        <f>+Tabla130[[#This Row],[PRECIO INSTALLER (CON IVA)]]-Tabla130[[#This Row],[Columna4]]</f>
        <v>55195</v>
      </c>
      <c r="E102" s="42">
        <f>+Tabla130[[#This Row],[PRECIO INSTALLER (CON IVA)]]/0.7</f>
        <v>83000</v>
      </c>
      <c r="F102" s="20">
        <f>+Tabla130[[#This Row],[PRECIO INSTALLER (CON IVA)]]*5%</f>
        <v>2905</v>
      </c>
      <c r="G102" s="12">
        <v>0.85</v>
      </c>
      <c r="H102" s="11">
        <f>Tabla130[[#This Row],[COSTO]]*1.19</f>
        <v>49385</v>
      </c>
      <c r="I102" s="11"/>
      <c r="J102" s="11"/>
      <c r="K102" s="36">
        <v>41500</v>
      </c>
    </row>
    <row r="103" spans="1:11" ht="71.25" x14ac:dyDescent="0.2">
      <c r="A103" s="27" t="s">
        <v>326</v>
      </c>
      <c r="B103" s="24" t="s">
        <v>327</v>
      </c>
      <c r="C103" s="42">
        <f>+Tabla130[[#This Row],[COSTO CON IVA]]/Tabla130[[#This Row],[UTILIDAD]]</f>
        <v>53060</v>
      </c>
      <c r="D103" s="42">
        <f>+Tabla130[[#This Row],[PRECIO INSTALLER (CON IVA)]]-Tabla130[[#This Row],[Columna4]]</f>
        <v>50407</v>
      </c>
      <c r="E103" s="42">
        <f>+Tabla130[[#This Row],[PRECIO INSTALLER (CON IVA)]]/0.7</f>
        <v>75800</v>
      </c>
      <c r="F103" s="20">
        <f>+Tabla130[[#This Row],[PRECIO INSTALLER (CON IVA)]]*5%</f>
        <v>2653</v>
      </c>
      <c r="G103" s="12">
        <v>0.85</v>
      </c>
      <c r="H103" s="11">
        <f>Tabla130[[#This Row],[COSTO]]*1.19</f>
        <v>45101</v>
      </c>
      <c r="I103" s="11"/>
      <c r="J103" s="11"/>
      <c r="K103" s="36">
        <v>37900</v>
      </c>
    </row>
    <row r="104" spans="1:11" ht="71.25" x14ac:dyDescent="0.2">
      <c r="A104" s="27" t="s">
        <v>122</v>
      </c>
      <c r="B104" s="24" t="s">
        <v>328</v>
      </c>
      <c r="C104" s="42">
        <f>+Tabla130[[#This Row],[COSTO CON IVA]]/Tabla130[[#This Row],[UTILIDAD]]</f>
        <v>72380</v>
      </c>
      <c r="D104" s="42">
        <f>+Tabla130[[#This Row],[PRECIO INSTALLER (CON IVA)]]-Tabla130[[#This Row],[Columna4]]</f>
        <v>68761</v>
      </c>
      <c r="E104" s="42">
        <f>+Tabla130[[#This Row],[PRECIO INSTALLER (CON IVA)]]/0.7</f>
        <v>103400</v>
      </c>
      <c r="F104" s="20">
        <f>+Tabla130[[#This Row],[PRECIO INSTALLER (CON IVA)]]*5%</f>
        <v>3619</v>
      </c>
      <c r="G104" s="9">
        <v>0.85</v>
      </c>
      <c r="H104" s="6">
        <f>Tabla130[[#This Row],[COSTO]]*1.19</f>
        <v>61523</v>
      </c>
      <c r="I104" s="6"/>
      <c r="J104" s="6"/>
      <c r="K104" s="36">
        <v>51700</v>
      </c>
    </row>
    <row r="105" spans="1:11" ht="57" x14ac:dyDescent="0.2">
      <c r="A105" s="27" t="s">
        <v>329</v>
      </c>
      <c r="B105" s="24" t="s">
        <v>330</v>
      </c>
      <c r="C105" s="42">
        <f>+Tabla130[[#This Row],[COSTO CON IVA]]/Tabla130[[#This Row],[UTILIDAD]]</f>
        <v>36540</v>
      </c>
      <c r="D105" s="42">
        <f>+Tabla130[[#This Row],[PRECIO INSTALLER (CON IVA)]]-Tabla130[[#This Row],[Columna4]]</f>
        <v>34713</v>
      </c>
      <c r="E105" s="42">
        <f>+Tabla130[[#This Row],[PRECIO INSTALLER (CON IVA)]]/0.7</f>
        <v>52200</v>
      </c>
      <c r="F105" s="20">
        <f>+Tabla130[[#This Row],[PRECIO INSTALLER (CON IVA)]]*5%</f>
        <v>1827</v>
      </c>
      <c r="G105" s="9">
        <v>0.85</v>
      </c>
      <c r="H105" s="6">
        <f>Tabla130[[#This Row],[COSTO]]*1.19</f>
        <v>31059</v>
      </c>
      <c r="I105" s="6"/>
      <c r="J105" s="6"/>
      <c r="K105" s="36">
        <v>26100</v>
      </c>
    </row>
    <row r="106" spans="1:11" ht="57" x14ac:dyDescent="0.2">
      <c r="A106" s="27" t="s">
        <v>331</v>
      </c>
      <c r="B106" s="24" t="s">
        <v>332</v>
      </c>
      <c r="C106" s="42">
        <f>+Tabla130[[#This Row],[COSTO CON IVA]]/Tabla130[[#This Row],[UTILIDAD]]</f>
        <v>40180</v>
      </c>
      <c r="D106" s="42">
        <f>+Tabla130[[#This Row],[PRECIO INSTALLER (CON IVA)]]-Tabla130[[#This Row],[Columna4]]</f>
        <v>38171</v>
      </c>
      <c r="E106" s="42">
        <f>+Tabla130[[#This Row],[PRECIO INSTALLER (CON IVA)]]/0.7</f>
        <v>57400.000000000007</v>
      </c>
      <c r="F106" s="20">
        <f>+Tabla130[[#This Row],[PRECIO INSTALLER (CON IVA)]]*5%</f>
        <v>2009</v>
      </c>
      <c r="G106" s="9">
        <v>0.85</v>
      </c>
      <c r="H106" s="6">
        <f>Tabla130[[#This Row],[COSTO]]*1.19</f>
        <v>34153</v>
      </c>
      <c r="I106" s="6"/>
      <c r="J106" s="6"/>
      <c r="K106" s="36">
        <v>28700</v>
      </c>
    </row>
    <row r="107" spans="1:11" ht="42.75" x14ac:dyDescent="0.2">
      <c r="A107" s="27" t="s">
        <v>333</v>
      </c>
      <c r="B107" s="24" t="s">
        <v>334</v>
      </c>
      <c r="C107" s="42">
        <f>+Tabla130[[#This Row],[COSTO CON IVA]]/Tabla130[[#This Row],[UTILIDAD]]</f>
        <v>34160</v>
      </c>
      <c r="D107" s="42">
        <f>+Tabla130[[#This Row],[PRECIO INSTALLER (CON IVA)]]-Tabla130[[#This Row],[Columna4]]</f>
        <v>32452</v>
      </c>
      <c r="E107" s="42">
        <f>+Tabla130[[#This Row],[PRECIO INSTALLER (CON IVA)]]/0.7</f>
        <v>48800</v>
      </c>
      <c r="F107" s="20">
        <f>+Tabla130[[#This Row],[PRECIO INSTALLER (CON IVA)]]*5%</f>
        <v>1708</v>
      </c>
      <c r="G107" s="9">
        <v>0.85</v>
      </c>
      <c r="H107" s="6">
        <f>Tabla130[[#This Row],[COSTO]]*1.19</f>
        <v>29036</v>
      </c>
      <c r="I107" s="6"/>
      <c r="J107" s="6"/>
      <c r="K107" s="36">
        <v>24400</v>
      </c>
    </row>
    <row r="108" spans="1:11" ht="99.75" x14ac:dyDescent="0.2">
      <c r="A108" s="25" t="s">
        <v>121</v>
      </c>
      <c r="B108" s="24" t="s">
        <v>335</v>
      </c>
      <c r="C108" s="42">
        <f>+Tabla130[[#This Row],[COSTO CON IVA]]/Tabla130[[#This Row],[UTILIDAD]]</f>
        <v>302540</v>
      </c>
      <c r="D108" s="42">
        <f>+Tabla130[[#This Row],[PRECIO INSTALLER (CON IVA)]]-Tabla130[[#This Row],[Columna4]]</f>
        <v>287413</v>
      </c>
      <c r="E108" s="42">
        <f>+Tabla130[[#This Row],[PRECIO INSTALLER (CON IVA)]]/0.7</f>
        <v>432200</v>
      </c>
      <c r="F108" s="20">
        <f>+Tabla130[[#This Row],[PRECIO INSTALLER (CON IVA)]]*5%</f>
        <v>15127</v>
      </c>
      <c r="G108" s="9">
        <v>0.85</v>
      </c>
      <c r="H108" s="6">
        <f>Tabla130[[#This Row],[COSTO]]*1.19</f>
        <v>257159</v>
      </c>
      <c r="I108" s="6"/>
      <c r="J108" s="6"/>
      <c r="K108" s="36">
        <v>216100</v>
      </c>
    </row>
    <row r="109" spans="1:11" ht="128.25" x14ac:dyDescent="0.2">
      <c r="A109" s="27" t="s">
        <v>120</v>
      </c>
      <c r="B109" s="24" t="s">
        <v>336</v>
      </c>
      <c r="C109" s="42">
        <f>+Tabla130[[#This Row],[COSTO CON IVA]]/Tabla130[[#This Row],[UTILIDAD]]</f>
        <v>336280</v>
      </c>
      <c r="D109" s="42">
        <f>+Tabla130[[#This Row],[PRECIO INSTALLER (CON IVA)]]-Tabla130[[#This Row],[Columna4]]</f>
        <v>319466</v>
      </c>
      <c r="E109" s="42">
        <f>+Tabla130[[#This Row],[PRECIO INSTALLER (CON IVA)]]/0.7</f>
        <v>480400.00000000006</v>
      </c>
      <c r="F109" s="20">
        <f>+Tabla130[[#This Row],[PRECIO INSTALLER (CON IVA)]]*5%</f>
        <v>16814</v>
      </c>
      <c r="G109" s="9">
        <v>0.85</v>
      </c>
      <c r="H109" s="6">
        <f>Tabla130[[#This Row],[COSTO]]*1.19</f>
        <v>285838</v>
      </c>
      <c r="I109" s="6"/>
      <c r="J109" s="6"/>
      <c r="K109" s="36">
        <v>240200</v>
      </c>
    </row>
    <row r="110" spans="1:11" ht="99.75" x14ac:dyDescent="0.2">
      <c r="A110" s="25" t="s">
        <v>119</v>
      </c>
      <c r="B110" s="24" t="s">
        <v>337</v>
      </c>
      <c r="C110" s="42">
        <f>+Tabla130[[#This Row],[COSTO CON IVA]]/Tabla130[[#This Row],[UTILIDAD]]</f>
        <v>268800</v>
      </c>
      <c r="D110" s="42">
        <f>+Tabla130[[#This Row],[PRECIO INSTALLER (CON IVA)]]-Tabla130[[#This Row],[Columna4]]</f>
        <v>255360</v>
      </c>
      <c r="E110" s="42">
        <f>+Tabla130[[#This Row],[PRECIO INSTALLER (CON IVA)]]/0.7</f>
        <v>384000</v>
      </c>
      <c r="F110" s="20">
        <f>+Tabla130[[#This Row],[PRECIO INSTALLER (CON IVA)]]*5%</f>
        <v>13440</v>
      </c>
      <c r="G110" s="9">
        <v>0.85</v>
      </c>
      <c r="H110" s="6">
        <f>Tabla130[[#This Row],[COSTO]]*1.19</f>
        <v>228480</v>
      </c>
      <c r="I110" s="6"/>
      <c r="J110" s="6"/>
      <c r="K110" s="36">
        <v>192000</v>
      </c>
    </row>
    <row r="111" spans="1:11" ht="99.75" x14ac:dyDescent="0.2">
      <c r="A111" s="25" t="s">
        <v>118</v>
      </c>
      <c r="B111" s="24" t="s">
        <v>338</v>
      </c>
      <c r="C111" s="42">
        <f>+Tabla130[[#This Row],[COSTO CON IVA]]/Tabla130[[#This Row],[UTILIDAD]]</f>
        <v>140420</v>
      </c>
      <c r="D111" s="42">
        <f>+Tabla130[[#This Row],[PRECIO INSTALLER (CON IVA)]]-Tabla130[[#This Row],[Columna4]]</f>
        <v>133399</v>
      </c>
      <c r="E111" s="42">
        <f>+Tabla130[[#This Row],[PRECIO INSTALLER (CON IVA)]]/0.7</f>
        <v>200600</v>
      </c>
      <c r="F111" s="20">
        <f>+Tabla130[[#This Row],[PRECIO INSTALLER (CON IVA)]]*5%</f>
        <v>7021</v>
      </c>
      <c r="G111" s="9">
        <v>0.85</v>
      </c>
      <c r="H111" s="6">
        <f>Tabla130[[#This Row],[COSTO]]*1.19</f>
        <v>119357</v>
      </c>
      <c r="I111" s="6"/>
      <c r="J111" s="6"/>
      <c r="K111" s="36">
        <v>100300</v>
      </c>
    </row>
    <row r="112" spans="1:11" ht="99.75" x14ac:dyDescent="0.2">
      <c r="A112" s="27" t="s">
        <v>117</v>
      </c>
      <c r="B112" s="24" t="s">
        <v>339</v>
      </c>
      <c r="C112" s="42">
        <f>+Tabla130[[#This Row],[COSTO CON IVA]]/Tabla130[[#This Row],[UTILIDAD]]</f>
        <v>244160</v>
      </c>
      <c r="D112" s="42">
        <f>+Tabla130[[#This Row],[PRECIO INSTALLER (CON IVA)]]-Tabla130[[#This Row],[Columna4]]</f>
        <v>231952</v>
      </c>
      <c r="E112" s="42">
        <f>+Tabla130[[#This Row],[PRECIO INSTALLER (CON IVA)]]/0.7</f>
        <v>348800</v>
      </c>
      <c r="F112" s="20">
        <f>+Tabla130[[#This Row],[PRECIO INSTALLER (CON IVA)]]*5%</f>
        <v>12208</v>
      </c>
      <c r="G112" s="9">
        <v>0.85</v>
      </c>
      <c r="H112" s="6">
        <f>Tabla130[[#This Row],[COSTO]]*1.19</f>
        <v>207536</v>
      </c>
      <c r="I112" s="6"/>
      <c r="J112" s="6"/>
      <c r="K112" s="36">
        <v>174400</v>
      </c>
    </row>
    <row r="113" spans="1:11" ht="85.5" x14ac:dyDescent="0.2">
      <c r="A113" s="27" t="s">
        <v>116</v>
      </c>
      <c r="B113" s="24" t="s">
        <v>340</v>
      </c>
      <c r="C113" s="42">
        <f>+Tabla130[[#This Row],[COSTO CON IVA]]/Tabla130[[#This Row],[UTILIDAD]]</f>
        <v>175420</v>
      </c>
      <c r="D113" s="42">
        <f>+Tabla130[[#This Row],[PRECIO INSTALLER (CON IVA)]]-Tabla130[[#This Row],[Columna4]]</f>
        <v>166649</v>
      </c>
      <c r="E113" s="42">
        <f>+Tabla130[[#This Row],[PRECIO INSTALLER (CON IVA)]]/0.7</f>
        <v>250600.00000000003</v>
      </c>
      <c r="F113" s="20">
        <f>+Tabla130[[#This Row],[PRECIO INSTALLER (CON IVA)]]*5%</f>
        <v>8771</v>
      </c>
      <c r="G113" s="9">
        <v>0.85</v>
      </c>
      <c r="H113" s="6">
        <f>Tabla130[[#This Row],[COSTO]]*1.19</f>
        <v>149107</v>
      </c>
      <c r="I113" s="6"/>
      <c r="J113" s="6"/>
      <c r="K113" s="36">
        <v>125300</v>
      </c>
    </row>
    <row r="114" spans="1:11" ht="71.25" x14ac:dyDescent="0.2">
      <c r="A114" s="27" t="s">
        <v>341</v>
      </c>
      <c r="B114" s="24" t="s">
        <v>342</v>
      </c>
      <c r="C114" s="42">
        <f>+Tabla130[[#This Row],[COSTO CON IVA]]/Tabla130[[#This Row],[UTILIDAD]]</f>
        <v>163660</v>
      </c>
      <c r="D114" s="42">
        <f>+Tabla130[[#This Row],[PRECIO INSTALLER (CON IVA)]]-Tabla130[[#This Row],[Columna4]]</f>
        <v>155477</v>
      </c>
      <c r="E114" s="42">
        <f>+Tabla130[[#This Row],[PRECIO INSTALLER (CON IVA)]]/0.7</f>
        <v>233800.00000000003</v>
      </c>
      <c r="F114" s="20">
        <f>+Tabla130[[#This Row],[PRECIO INSTALLER (CON IVA)]]*5%</f>
        <v>8183</v>
      </c>
      <c r="G114" s="9">
        <v>0.85</v>
      </c>
      <c r="H114" s="6">
        <f>Tabla130[[#This Row],[COSTO]]*1.19</f>
        <v>139111</v>
      </c>
      <c r="I114" s="6"/>
      <c r="J114" s="6"/>
      <c r="K114" s="36">
        <v>116900</v>
      </c>
    </row>
    <row r="115" spans="1:11" ht="57" x14ac:dyDescent="0.2">
      <c r="A115" s="27" t="s">
        <v>343</v>
      </c>
      <c r="B115" s="24" t="s">
        <v>344</v>
      </c>
      <c r="C115" s="42">
        <f>+Tabla130[[#This Row],[COSTO CON IVA]]/Tabla130[[#This Row],[UTILIDAD]]</f>
        <v>146860</v>
      </c>
      <c r="D115" s="42">
        <f>+Tabla130[[#This Row],[PRECIO INSTALLER (CON IVA)]]-Tabla130[[#This Row],[Columna4]]</f>
        <v>139517</v>
      </c>
      <c r="E115" s="42">
        <f>+Tabla130[[#This Row],[PRECIO INSTALLER (CON IVA)]]/0.7</f>
        <v>209800</v>
      </c>
      <c r="F115" s="20">
        <f>+Tabla130[[#This Row],[PRECIO INSTALLER (CON IVA)]]*5%</f>
        <v>7343</v>
      </c>
      <c r="G115" s="9">
        <v>0.85</v>
      </c>
      <c r="H115" s="6">
        <f>Tabla130[[#This Row],[COSTO]]*1.19</f>
        <v>124831</v>
      </c>
      <c r="I115" s="6"/>
      <c r="J115" s="6"/>
      <c r="K115" s="36">
        <v>104900</v>
      </c>
    </row>
    <row r="116" spans="1:11" ht="42.75" x14ac:dyDescent="0.2">
      <c r="A116" s="27" t="s">
        <v>115</v>
      </c>
      <c r="B116" s="24" t="s">
        <v>345</v>
      </c>
      <c r="C116" s="42">
        <f>+Tabla130[[#This Row],[COSTO CON IVA]]/Tabla130[[#This Row],[UTILIDAD]]</f>
        <v>102480</v>
      </c>
      <c r="D116" s="42">
        <f>+Tabla130[[#This Row],[PRECIO INSTALLER (CON IVA)]]-Tabla130[[#This Row],[Columna4]]</f>
        <v>97356</v>
      </c>
      <c r="E116" s="42">
        <f>+Tabla130[[#This Row],[PRECIO INSTALLER (CON IVA)]]/0.7</f>
        <v>146400</v>
      </c>
      <c r="F116" s="20">
        <f>+Tabla130[[#This Row],[PRECIO INSTALLER (CON IVA)]]*5%</f>
        <v>5124</v>
      </c>
      <c r="G116" s="9">
        <v>0.85</v>
      </c>
      <c r="H116" s="6">
        <f>Tabla130[[#This Row],[COSTO]]*1.19</f>
        <v>87108</v>
      </c>
      <c r="I116" s="6"/>
      <c r="J116" s="6"/>
      <c r="K116" s="36">
        <v>73200</v>
      </c>
    </row>
    <row r="117" spans="1:11" ht="42.75" x14ac:dyDescent="0.2">
      <c r="A117" s="29" t="s">
        <v>114</v>
      </c>
      <c r="B117" s="24" t="s">
        <v>346</v>
      </c>
      <c r="C117" s="42">
        <f>+Tabla130[[#This Row],[COSTO CON IVA]]/Tabla130[[#This Row],[UTILIDAD]]</f>
        <v>91420</v>
      </c>
      <c r="D117" s="42">
        <f>+Tabla130[[#This Row],[PRECIO INSTALLER (CON IVA)]]-Tabla130[[#This Row],[Columna4]]</f>
        <v>86849</v>
      </c>
      <c r="E117" s="42">
        <f>+Tabla130[[#This Row],[PRECIO INSTALLER (CON IVA)]]/0.7</f>
        <v>130600.00000000001</v>
      </c>
      <c r="F117" s="20">
        <f>+Tabla130[[#This Row],[PRECIO INSTALLER (CON IVA)]]*5%</f>
        <v>4571</v>
      </c>
      <c r="G117" s="9">
        <v>0.85</v>
      </c>
      <c r="H117" s="6">
        <f>Tabla130[[#This Row],[COSTO]]*1.19</f>
        <v>77707</v>
      </c>
      <c r="I117" s="6"/>
      <c r="J117" s="6"/>
      <c r="K117" s="36">
        <v>65300</v>
      </c>
    </row>
    <row r="118" spans="1:11" ht="42.75" x14ac:dyDescent="0.2">
      <c r="A118" s="27" t="s">
        <v>113</v>
      </c>
      <c r="B118" s="24" t="s">
        <v>347</v>
      </c>
      <c r="C118" s="42">
        <f>+Tabla130[[#This Row],[COSTO CON IVA]]/Tabla130[[#This Row],[UTILIDAD]]</f>
        <v>48860</v>
      </c>
      <c r="D118" s="42">
        <f>+Tabla130[[#This Row],[PRECIO INSTALLER (CON IVA)]]-Tabla130[[#This Row],[Columna4]]</f>
        <v>46417</v>
      </c>
      <c r="E118" s="42">
        <f>+Tabla130[[#This Row],[PRECIO INSTALLER (CON IVA)]]/0.7</f>
        <v>69800</v>
      </c>
      <c r="F118" s="20">
        <f>+Tabla130[[#This Row],[PRECIO INSTALLER (CON IVA)]]*5%</f>
        <v>2443</v>
      </c>
      <c r="G118" s="9">
        <v>0.85</v>
      </c>
      <c r="H118" s="6">
        <f>Tabla130[[#This Row],[COSTO]]*1.19</f>
        <v>41531</v>
      </c>
      <c r="I118" s="6"/>
      <c r="J118" s="6"/>
      <c r="K118" s="36">
        <v>34900</v>
      </c>
    </row>
    <row r="119" spans="1:11" ht="42.75" x14ac:dyDescent="0.2">
      <c r="A119" s="27" t="s">
        <v>112</v>
      </c>
      <c r="B119" s="24" t="s">
        <v>348</v>
      </c>
      <c r="C119" s="42">
        <f>+Tabla130[[#This Row],[COSTO CON IVA]]/Tabla130[[#This Row],[UTILIDAD]]</f>
        <v>45640</v>
      </c>
      <c r="D119" s="42">
        <f>+Tabla130[[#This Row],[PRECIO INSTALLER (CON IVA)]]-Tabla130[[#This Row],[Columna4]]</f>
        <v>43358</v>
      </c>
      <c r="E119" s="42">
        <f>+Tabla130[[#This Row],[PRECIO INSTALLER (CON IVA)]]/0.7</f>
        <v>65200.000000000007</v>
      </c>
      <c r="F119" s="20">
        <f>+Tabla130[[#This Row],[PRECIO INSTALLER (CON IVA)]]*5%</f>
        <v>2282</v>
      </c>
      <c r="G119" s="9">
        <v>0.85</v>
      </c>
      <c r="H119" s="6">
        <f>Tabla130[[#This Row],[COSTO]]*1.19</f>
        <v>38794</v>
      </c>
      <c r="I119" s="6"/>
      <c r="J119" s="6"/>
      <c r="K119" s="36">
        <v>32600</v>
      </c>
    </row>
    <row r="120" spans="1:11" ht="57" x14ac:dyDescent="0.2">
      <c r="A120" s="27" t="s">
        <v>349</v>
      </c>
      <c r="B120" s="24" t="s">
        <v>350</v>
      </c>
      <c r="C120" s="42">
        <f>+Tabla130[[#This Row],[COSTO CON IVA]]/Tabla130[[#This Row],[UTILIDAD]]</f>
        <v>1018780</v>
      </c>
      <c r="D120" s="42">
        <f>+Tabla130[[#This Row],[PRECIO INSTALLER (CON IVA)]]-Tabla130[[#This Row],[Columna4]]</f>
        <v>967841</v>
      </c>
      <c r="E120" s="42">
        <f>+Tabla130[[#This Row],[PRECIO INSTALLER (CON IVA)]]/0.7</f>
        <v>1455400</v>
      </c>
      <c r="F120" s="20">
        <f>+Tabla130[[#This Row],[PRECIO INSTALLER (CON IVA)]]*5%</f>
        <v>50939</v>
      </c>
      <c r="G120" s="9">
        <v>0.85</v>
      </c>
      <c r="H120" s="6">
        <f>Tabla130[[#This Row],[COSTO]]*1.19</f>
        <v>865963</v>
      </c>
      <c r="I120" s="6"/>
      <c r="J120" s="6"/>
      <c r="K120" s="36">
        <v>727700</v>
      </c>
    </row>
    <row r="121" spans="1:11" ht="57" x14ac:dyDescent="0.2">
      <c r="A121" s="23" t="s">
        <v>351</v>
      </c>
      <c r="B121" s="24" t="s">
        <v>352</v>
      </c>
      <c r="C121" s="42">
        <f>+Tabla130[[#This Row],[COSTO CON IVA]]/Tabla130[[#This Row],[UTILIDAD]]</f>
        <v>86940</v>
      </c>
      <c r="D121" s="42">
        <f>+Tabla130[[#This Row],[PRECIO INSTALLER (CON IVA)]]-Tabla130[[#This Row],[Columna4]]</f>
        <v>82593</v>
      </c>
      <c r="E121" s="42">
        <f>+Tabla130[[#This Row],[PRECIO INSTALLER (CON IVA)]]/0.7</f>
        <v>124200.00000000001</v>
      </c>
      <c r="F121" s="20">
        <f>+Tabla130[[#This Row],[PRECIO INSTALLER (CON IVA)]]*5%</f>
        <v>4347</v>
      </c>
      <c r="G121" s="9">
        <v>0.85</v>
      </c>
      <c r="H121" s="6">
        <f>Tabla130[[#This Row],[COSTO]]*1.19</f>
        <v>73899</v>
      </c>
      <c r="I121" s="6"/>
      <c r="J121" s="6"/>
      <c r="K121" s="36">
        <v>62100</v>
      </c>
    </row>
    <row r="122" spans="1:11" x14ac:dyDescent="0.2">
      <c r="A122" s="27" t="s">
        <v>111</v>
      </c>
      <c r="B122" s="24" t="s">
        <v>353</v>
      </c>
      <c r="C122" s="42">
        <f>+Tabla130[[#This Row],[COSTO CON IVA]]/Tabla130[[#This Row],[UTILIDAD]]</f>
        <v>58940</v>
      </c>
      <c r="D122" s="42">
        <f>+Tabla130[[#This Row],[PRECIO INSTALLER (CON IVA)]]-Tabla130[[#This Row],[Columna4]]</f>
        <v>55993</v>
      </c>
      <c r="E122" s="42">
        <f>+Tabla130[[#This Row],[PRECIO INSTALLER (CON IVA)]]/0.7</f>
        <v>84200</v>
      </c>
      <c r="F122" s="20">
        <f>+Tabla130[[#This Row],[PRECIO INSTALLER (CON IVA)]]*5%</f>
        <v>2947</v>
      </c>
      <c r="G122" s="9">
        <v>0.85</v>
      </c>
      <c r="H122" s="6">
        <f>Tabla130[[#This Row],[COSTO]]*1.19</f>
        <v>50099</v>
      </c>
      <c r="I122" s="6"/>
      <c r="J122" s="6"/>
      <c r="K122" s="36">
        <v>42100</v>
      </c>
    </row>
    <row r="123" spans="1:11" ht="114" x14ac:dyDescent="0.2">
      <c r="A123" s="27" t="s">
        <v>110</v>
      </c>
      <c r="B123" s="24" t="s">
        <v>354</v>
      </c>
      <c r="C123" s="42">
        <f>+Tabla130[[#This Row],[COSTO CON IVA]]/Tabla130[[#This Row],[UTILIDAD]]</f>
        <v>108360</v>
      </c>
      <c r="D123" s="42">
        <f>+Tabla130[[#This Row],[PRECIO INSTALLER (CON IVA)]]-Tabla130[[#This Row],[Columna4]]</f>
        <v>102942</v>
      </c>
      <c r="E123" s="42">
        <f>+Tabla130[[#This Row],[PRECIO INSTALLER (CON IVA)]]/0.7</f>
        <v>154800</v>
      </c>
      <c r="F123" s="20">
        <f>+Tabla130[[#This Row],[PRECIO INSTALLER (CON IVA)]]*5%</f>
        <v>5418</v>
      </c>
      <c r="G123" s="9">
        <v>0.85</v>
      </c>
      <c r="H123" s="6">
        <f>Tabla130[[#This Row],[COSTO]]*1.19</f>
        <v>92106</v>
      </c>
      <c r="I123" s="6"/>
      <c r="J123" s="6"/>
      <c r="K123" s="36">
        <v>77400</v>
      </c>
    </row>
    <row r="124" spans="1:11" ht="114" x14ac:dyDescent="0.2">
      <c r="A124" s="27" t="s">
        <v>355</v>
      </c>
      <c r="B124" s="24" t="s">
        <v>356</v>
      </c>
      <c r="C124" s="42">
        <f>+Tabla130[[#This Row],[COSTO CON IVA]]/Tabla130[[#This Row],[UTILIDAD]]</f>
        <v>101360</v>
      </c>
      <c r="D124" s="42">
        <f>+Tabla130[[#This Row],[PRECIO INSTALLER (CON IVA)]]-Tabla130[[#This Row],[Columna4]]</f>
        <v>96292</v>
      </c>
      <c r="E124" s="42">
        <f>+Tabla130[[#This Row],[PRECIO INSTALLER (CON IVA)]]/0.7</f>
        <v>144800</v>
      </c>
      <c r="F124" s="20">
        <f>+Tabla130[[#This Row],[PRECIO INSTALLER (CON IVA)]]*5%</f>
        <v>5068</v>
      </c>
      <c r="G124" s="9">
        <v>0.85</v>
      </c>
      <c r="H124" s="6">
        <f>Tabla130[[#This Row],[COSTO]]*1.19</f>
        <v>86156</v>
      </c>
      <c r="I124" s="6"/>
      <c r="J124" s="6"/>
      <c r="K124" s="36">
        <v>72400</v>
      </c>
    </row>
    <row r="125" spans="1:11" ht="99.75" x14ac:dyDescent="0.2">
      <c r="A125" s="27" t="s">
        <v>357</v>
      </c>
      <c r="B125" s="24" t="s">
        <v>358</v>
      </c>
      <c r="C125" s="42">
        <f>+Tabla130[[#This Row],[COSTO CON IVA]]/Tabla130[[#This Row],[UTILIDAD]]</f>
        <v>112700</v>
      </c>
      <c r="D125" s="42">
        <f>+Tabla130[[#This Row],[PRECIO INSTALLER (CON IVA)]]-Tabla130[[#This Row],[Columna4]]</f>
        <v>107065</v>
      </c>
      <c r="E125" s="42">
        <f>+Tabla130[[#This Row],[PRECIO INSTALLER (CON IVA)]]/0.7</f>
        <v>161000</v>
      </c>
      <c r="F125" s="20">
        <f>+Tabla130[[#This Row],[PRECIO INSTALLER (CON IVA)]]*5%</f>
        <v>5635</v>
      </c>
      <c r="G125" s="9">
        <v>0.85</v>
      </c>
      <c r="H125" s="6">
        <f>Tabla130[[#This Row],[COSTO]]*1.19</f>
        <v>95795</v>
      </c>
      <c r="I125" s="6"/>
      <c r="J125" s="6"/>
      <c r="K125" s="36">
        <v>80500</v>
      </c>
    </row>
    <row r="126" spans="1:11" ht="71.25" x14ac:dyDescent="0.2">
      <c r="A126" s="27" t="s">
        <v>109</v>
      </c>
      <c r="B126" s="24" t="s">
        <v>359</v>
      </c>
      <c r="C126" s="42">
        <f>+Tabla130[[#This Row],[COSTO CON IVA]]/Tabla130[[#This Row],[UTILIDAD]]</f>
        <v>86380</v>
      </c>
      <c r="D126" s="42">
        <f>+Tabla130[[#This Row],[PRECIO INSTALLER (CON IVA)]]-Tabla130[[#This Row],[Columna4]]</f>
        <v>82061</v>
      </c>
      <c r="E126" s="42">
        <f>+Tabla130[[#This Row],[PRECIO INSTALLER (CON IVA)]]/0.7</f>
        <v>123400.00000000001</v>
      </c>
      <c r="F126" s="20">
        <f>+Tabla130[[#This Row],[PRECIO INSTALLER (CON IVA)]]*5%</f>
        <v>4319</v>
      </c>
      <c r="G126" s="9">
        <v>0.85</v>
      </c>
      <c r="H126" s="6">
        <f>Tabla130[[#This Row],[COSTO]]*1.19</f>
        <v>73423</v>
      </c>
      <c r="I126" s="6"/>
      <c r="J126" s="6"/>
      <c r="K126" s="36">
        <v>61700</v>
      </c>
    </row>
    <row r="127" spans="1:11" ht="99.75" x14ac:dyDescent="0.2">
      <c r="A127" s="27" t="s">
        <v>108</v>
      </c>
      <c r="B127" s="24" t="s">
        <v>360</v>
      </c>
      <c r="C127" s="42">
        <f>+Tabla130[[#This Row],[COSTO CON IVA]]/Tabla130[[#This Row],[UTILIDAD]]</f>
        <v>70700</v>
      </c>
      <c r="D127" s="42">
        <f>+Tabla130[[#This Row],[PRECIO INSTALLER (CON IVA)]]-Tabla130[[#This Row],[Columna4]]</f>
        <v>67165</v>
      </c>
      <c r="E127" s="42">
        <f>+Tabla130[[#This Row],[PRECIO INSTALLER (CON IVA)]]/0.7</f>
        <v>101000</v>
      </c>
      <c r="F127" s="20">
        <f>+Tabla130[[#This Row],[PRECIO INSTALLER (CON IVA)]]*5%</f>
        <v>3535</v>
      </c>
      <c r="G127" s="9">
        <v>0.85</v>
      </c>
      <c r="H127" s="6">
        <f>Tabla130[[#This Row],[COSTO]]*1.19</f>
        <v>60095</v>
      </c>
      <c r="I127" s="6"/>
      <c r="J127" s="6"/>
      <c r="K127" s="36">
        <v>50500</v>
      </c>
    </row>
    <row r="128" spans="1:11" ht="85.5" x14ac:dyDescent="0.2">
      <c r="A128" s="27" t="s">
        <v>361</v>
      </c>
      <c r="B128" s="24" t="s">
        <v>362</v>
      </c>
      <c r="C128" s="42">
        <f>+Tabla130[[#This Row],[COSTO CON IVA]]/Tabla130[[#This Row],[UTILIDAD]]</f>
        <v>67200</v>
      </c>
      <c r="D128" s="42">
        <f>+Tabla130[[#This Row],[PRECIO INSTALLER (CON IVA)]]-Tabla130[[#This Row],[Columna4]]</f>
        <v>63840</v>
      </c>
      <c r="E128" s="42">
        <f>+Tabla130[[#This Row],[PRECIO INSTALLER (CON IVA)]]/0.7</f>
        <v>96000</v>
      </c>
      <c r="F128" s="20">
        <f>+Tabla130[[#This Row],[PRECIO INSTALLER (CON IVA)]]*5%</f>
        <v>3360</v>
      </c>
      <c r="G128" s="9">
        <v>0.85</v>
      </c>
      <c r="H128" s="6">
        <f>Tabla130[[#This Row],[COSTO]]*1.19</f>
        <v>57120</v>
      </c>
      <c r="I128" s="6"/>
      <c r="J128" s="6"/>
      <c r="K128" s="36">
        <v>48000</v>
      </c>
    </row>
    <row r="129" spans="1:11" ht="85.5" x14ac:dyDescent="0.2">
      <c r="A129" s="27" t="s">
        <v>363</v>
      </c>
      <c r="B129" s="24" t="s">
        <v>364</v>
      </c>
      <c r="C129" s="42">
        <f>+Tabla130[[#This Row],[COSTO CON IVA]]/Tabla130[[#This Row],[UTILIDAD]]</f>
        <v>39900</v>
      </c>
      <c r="D129" s="42">
        <f>+Tabla130[[#This Row],[PRECIO INSTALLER (CON IVA)]]-Tabla130[[#This Row],[Columna4]]</f>
        <v>37905</v>
      </c>
      <c r="E129" s="42">
        <f>+Tabla130[[#This Row],[PRECIO INSTALLER (CON IVA)]]/0.7</f>
        <v>57000</v>
      </c>
      <c r="F129" s="20">
        <f>+Tabla130[[#This Row],[PRECIO INSTALLER (CON IVA)]]*5%</f>
        <v>1995</v>
      </c>
      <c r="G129" s="9">
        <v>0.85</v>
      </c>
      <c r="H129" s="6">
        <f>Tabla130[[#This Row],[COSTO]]*1.19</f>
        <v>33915</v>
      </c>
      <c r="I129" s="6"/>
      <c r="J129" s="6"/>
      <c r="K129" s="36">
        <v>28500</v>
      </c>
    </row>
    <row r="130" spans="1:11" ht="71.25" x14ac:dyDescent="0.2">
      <c r="A130" s="27" t="s">
        <v>365</v>
      </c>
      <c r="B130" s="24" t="s">
        <v>366</v>
      </c>
      <c r="C130" s="42">
        <f>+Tabla130[[#This Row],[COSTO CON IVA]]/Tabla130[[#This Row],[UTILIDAD]]</f>
        <v>56280</v>
      </c>
      <c r="D130" s="42">
        <f>+Tabla130[[#This Row],[PRECIO INSTALLER (CON IVA)]]-Tabla130[[#This Row],[Columna4]]</f>
        <v>53466</v>
      </c>
      <c r="E130" s="42">
        <f>+Tabla130[[#This Row],[PRECIO INSTALLER (CON IVA)]]/0.7</f>
        <v>80400</v>
      </c>
      <c r="F130" s="20">
        <f>+Tabla130[[#This Row],[PRECIO INSTALLER (CON IVA)]]*5%</f>
        <v>2814</v>
      </c>
      <c r="G130" s="9">
        <v>0.85</v>
      </c>
      <c r="H130" s="6">
        <f>Tabla130[[#This Row],[COSTO]]*1.19</f>
        <v>47838</v>
      </c>
      <c r="I130" s="6"/>
      <c r="J130" s="6"/>
      <c r="K130" s="36">
        <v>40200</v>
      </c>
    </row>
    <row r="131" spans="1:11" ht="28.5" x14ac:dyDescent="0.2">
      <c r="A131" s="27" t="s">
        <v>107</v>
      </c>
      <c r="B131" s="24" t="s">
        <v>367</v>
      </c>
      <c r="C131" s="42">
        <f>+Tabla130[[#This Row],[COSTO CON IVA]]/Tabla130[[#This Row],[UTILIDAD]]</f>
        <v>58800</v>
      </c>
      <c r="D131" s="42">
        <f>+Tabla130[[#This Row],[PRECIO INSTALLER (CON IVA)]]-Tabla130[[#This Row],[Columna4]]</f>
        <v>55860</v>
      </c>
      <c r="E131" s="42">
        <f>+Tabla130[[#This Row],[PRECIO INSTALLER (CON IVA)]]/0.7</f>
        <v>84000</v>
      </c>
      <c r="F131" s="20">
        <f>+Tabla130[[#This Row],[PRECIO INSTALLER (CON IVA)]]*5%</f>
        <v>2940</v>
      </c>
      <c r="G131" s="9">
        <v>0.85</v>
      </c>
      <c r="H131" s="6">
        <f>Tabla130[[#This Row],[COSTO]]*1.19</f>
        <v>49980</v>
      </c>
      <c r="I131" s="6"/>
      <c r="J131" s="6"/>
      <c r="K131" s="36">
        <v>42000</v>
      </c>
    </row>
    <row r="132" spans="1:11" ht="28.5" x14ac:dyDescent="0.2">
      <c r="A132" s="27" t="s">
        <v>368</v>
      </c>
      <c r="B132" s="24" t="s">
        <v>369</v>
      </c>
      <c r="C132" s="42">
        <f>+Tabla130[[#This Row],[COSTO CON IVA]]/Tabla130[[#This Row],[UTILIDAD]]</f>
        <v>50680</v>
      </c>
      <c r="D132" s="42">
        <f>+Tabla130[[#This Row],[PRECIO INSTALLER (CON IVA)]]-Tabla130[[#This Row],[Columna4]]</f>
        <v>48146</v>
      </c>
      <c r="E132" s="42">
        <f>+Tabla130[[#This Row],[PRECIO INSTALLER (CON IVA)]]/0.7</f>
        <v>72400</v>
      </c>
      <c r="F132" s="20">
        <f>+Tabla130[[#This Row],[PRECIO INSTALLER (CON IVA)]]*5%</f>
        <v>2534</v>
      </c>
      <c r="G132" s="9">
        <v>0.85</v>
      </c>
      <c r="H132" s="6">
        <f>Tabla130[[#This Row],[COSTO]]*1.19</f>
        <v>43078</v>
      </c>
      <c r="I132" s="6"/>
      <c r="J132" s="6"/>
      <c r="K132" s="36">
        <v>36200</v>
      </c>
    </row>
    <row r="133" spans="1:11" ht="28.5" x14ac:dyDescent="0.2">
      <c r="A133" s="27" t="s">
        <v>370</v>
      </c>
      <c r="B133" s="24" t="s">
        <v>371</v>
      </c>
      <c r="C133" s="42">
        <f>+Tabla130[[#This Row],[COSTO CON IVA]]/Tabla130[[#This Row],[UTILIDAD]]</f>
        <v>45640</v>
      </c>
      <c r="D133" s="42">
        <f>+Tabla130[[#This Row],[PRECIO INSTALLER (CON IVA)]]-Tabla130[[#This Row],[Columna4]]</f>
        <v>43358</v>
      </c>
      <c r="E133" s="42">
        <f>+Tabla130[[#This Row],[PRECIO INSTALLER (CON IVA)]]/0.7</f>
        <v>65200.000000000007</v>
      </c>
      <c r="F133" s="20">
        <f>+Tabla130[[#This Row],[PRECIO INSTALLER (CON IVA)]]*5%</f>
        <v>2282</v>
      </c>
      <c r="G133" s="9">
        <v>0.85</v>
      </c>
      <c r="H133" s="6">
        <f>Tabla130[[#This Row],[COSTO]]*1.19</f>
        <v>38794</v>
      </c>
      <c r="I133" s="6"/>
      <c r="J133" s="6"/>
      <c r="K133" s="36">
        <v>32600</v>
      </c>
    </row>
    <row r="134" spans="1:11" ht="99.75" x14ac:dyDescent="0.2">
      <c r="A134" s="27" t="s">
        <v>106</v>
      </c>
      <c r="B134" s="24" t="s">
        <v>372</v>
      </c>
      <c r="C134" s="42">
        <f>+Tabla130[[#This Row],[COSTO CON IVA]]/Tabla130[[#This Row],[UTILIDAD]]</f>
        <v>133560</v>
      </c>
      <c r="D134" s="42">
        <f>+Tabla130[[#This Row],[PRECIO INSTALLER (CON IVA)]]-Tabla130[[#This Row],[Columna4]]</f>
        <v>126882</v>
      </c>
      <c r="E134" s="42">
        <f>+Tabla130[[#This Row],[PRECIO INSTALLER (CON IVA)]]/0.7</f>
        <v>190800</v>
      </c>
      <c r="F134" s="20">
        <f>+Tabla130[[#This Row],[PRECIO INSTALLER (CON IVA)]]*5%</f>
        <v>6678</v>
      </c>
      <c r="G134" s="9">
        <v>0.85</v>
      </c>
      <c r="H134" s="6">
        <f>Tabla130[[#This Row],[COSTO]]*1.19</f>
        <v>113526</v>
      </c>
      <c r="I134" s="6"/>
      <c r="J134" s="6"/>
      <c r="K134" s="36">
        <v>95400</v>
      </c>
    </row>
    <row r="135" spans="1:11" ht="99.75" x14ac:dyDescent="0.2">
      <c r="A135" s="27" t="s">
        <v>373</v>
      </c>
      <c r="B135" s="24" t="s">
        <v>374</v>
      </c>
      <c r="C135" s="42">
        <f>+Tabla130[[#This Row],[COSTO CON IVA]]/Tabla130[[#This Row],[UTILIDAD]]</f>
        <v>144760</v>
      </c>
      <c r="D135" s="42">
        <f>+Tabla130[[#This Row],[PRECIO INSTALLER (CON IVA)]]-Tabla130[[#This Row],[Columna4]]</f>
        <v>137522</v>
      </c>
      <c r="E135" s="42">
        <f>+Tabla130[[#This Row],[PRECIO INSTALLER (CON IVA)]]/0.7</f>
        <v>206800</v>
      </c>
      <c r="F135" s="20">
        <f>+Tabla130[[#This Row],[PRECIO INSTALLER (CON IVA)]]*5%</f>
        <v>7238</v>
      </c>
      <c r="G135" s="9">
        <v>0.85</v>
      </c>
      <c r="H135" s="6">
        <f>Tabla130[[#This Row],[COSTO]]*1.19</f>
        <v>123046</v>
      </c>
      <c r="I135" s="6"/>
      <c r="J135" s="6"/>
      <c r="K135" s="36">
        <v>103400</v>
      </c>
    </row>
    <row r="136" spans="1:11" ht="85.5" x14ac:dyDescent="0.2">
      <c r="A136" s="27" t="s">
        <v>375</v>
      </c>
      <c r="B136" s="24" t="s">
        <v>376</v>
      </c>
      <c r="C136" s="42">
        <f>+Tabla130[[#This Row],[COSTO CON IVA]]/Tabla130[[#This Row],[UTILIDAD]]</f>
        <v>110600</v>
      </c>
      <c r="D136" s="42">
        <f>+Tabla130[[#This Row],[PRECIO INSTALLER (CON IVA)]]-Tabla130[[#This Row],[Columna4]]</f>
        <v>105070</v>
      </c>
      <c r="E136" s="42">
        <f>+Tabla130[[#This Row],[PRECIO INSTALLER (CON IVA)]]/0.7</f>
        <v>158000</v>
      </c>
      <c r="F136" s="20">
        <f>+Tabla130[[#This Row],[PRECIO INSTALLER (CON IVA)]]*5%</f>
        <v>5530</v>
      </c>
      <c r="G136" s="9">
        <v>0.85</v>
      </c>
      <c r="H136" s="6">
        <f>Tabla130[[#This Row],[COSTO]]*1.19</f>
        <v>94010</v>
      </c>
      <c r="I136" s="6"/>
      <c r="J136" s="6"/>
      <c r="K136" s="36">
        <v>79000</v>
      </c>
    </row>
    <row r="137" spans="1:11" ht="85.5" x14ac:dyDescent="0.2">
      <c r="A137" s="27" t="s">
        <v>377</v>
      </c>
      <c r="B137" s="24" t="s">
        <v>378</v>
      </c>
      <c r="C137" s="42">
        <f>+Tabla130[[#This Row],[COSTO CON IVA]]/Tabla130[[#This Row],[UTILIDAD]]</f>
        <v>96600</v>
      </c>
      <c r="D137" s="42">
        <f>+Tabla130[[#This Row],[PRECIO INSTALLER (CON IVA)]]-Tabla130[[#This Row],[Columna4]]</f>
        <v>91770</v>
      </c>
      <c r="E137" s="42">
        <f>+Tabla130[[#This Row],[PRECIO INSTALLER (CON IVA)]]/0.7</f>
        <v>138000</v>
      </c>
      <c r="F137" s="20">
        <f>+Tabla130[[#This Row],[PRECIO INSTALLER (CON IVA)]]*5%</f>
        <v>4830</v>
      </c>
      <c r="G137" s="9">
        <v>0.85</v>
      </c>
      <c r="H137" s="6">
        <f>Tabla130[[#This Row],[COSTO]]*1.19</f>
        <v>82110</v>
      </c>
      <c r="I137" s="6"/>
      <c r="J137" s="6"/>
      <c r="K137" s="36">
        <v>69000</v>
      </c>
    </row>
    <row r="138" spans="1:11" ht="71.25" x14ac:dyDescent="0.2">
      <c r="A138" s="27" t="s">
        <v>379</v>
      </c>
      <c r="B138" s="24" t="s">
        <v>380</v>
      </c>
      <c r="C138" s="42">
        <f>+Tabla130[[#This Row],[COSTO CON IVA]]/Tabla130[[#This Row],[UTILIDAD]]</f>
        <v>135380</v>
      </c>
      <c r="D138" s="42">
        <f>+Tabla130[[#This Row],[PRECIO INSTALLER (CON IVA)]]-Tabla130[[#This Row],[Columna4]]</f>
        <v>128611</v>
      </c>
      <c r="E138" s="42">
        <f>+Tabla130[[#This Row],[PRECIO INSTALLER (CON IVA)]]/0.7</f>
        <v>193400</v>
      </c>
      <c r="F138" s="20">
        <f>+Tabla130[[#This Row],[PRECIO INSTALLER (CON IVA)]]*5%</f>
        <v>6769</v>
      </c>
      <c r="G138" s="9">
        <v>0.85</v>
      </c>
      <c r="H138" s="6">
        <f>Tabla130[[#This Row],[COSTO]]*1.19</f>
        <v>115073</v>
      </c>
      <c r="I138" s="6"/>
      <c r="J138" s="6"/>
      <c r="K138" s="36">
        <v>96700</v>
      </c>
    </row>
    <row r="139" spans="1:11" ht="57" x14ac:dyDescent="0.2">
      <c r="A139" s="27" t="s">
        <v>381</v>
      </c>
      <c r="B139" s="24" t="s">
        <v>382</v>
      </c>
      <c r="C139" s="42">
        <f>+Tabla130[[#This Row],[COSTO CON IVA]]/Tabla130[[#This Row],[UTILIDAD]]</f>
        <v>54880</v>
      </c>
      <c r="D139" s="42">
        <f>+Tabla130[[#This Row],[PRECIO INSTALLER (CON IVA)]]-Tabla130[[#This Row],[Columna4]]</f>
        <v>52136</v>
      </c>
      <c r="E139" s="42">
        <f>+Tabla130[[#This Row],[PRECIO INSTALLER (CON IVA)]]/0.7</f>
        <v>78400</v>
      </c>
      <c r="F139" s="20">
        <f>+Tabla130[[#This Row],[PRECIO INSTALLER (CON IVA)]]*5%</f>
        <v>2744</v>
      </c>
      <c r="G139" s="9">
        <v>0.85</v>
      </c>
      <c r="H139" s="6">
        <f>Tabla130[[#This Row],[COSTO]]*1.19</f>
        <v>46648</v>
      </c>
      <c r="I139" s="6"/>
      <c r="J139" s="6"/>
      <c r="K139" s="36">
        <v>39200</v>
      </c>
    </row>
    <row r="140" spans="1:11" ht="99.75" x14ac:dyDescent="0.2">
      <c r="A140" s="27" t="s">
        <v>383</v>
      </c>
      <c r="B140" s="24" t="s">
        <v>384</v>
      </c>
      <c r="C140" s="42">
        <f>+Tabla130[[#This Row],[COSTO CON IVA]]/Tabla130[[#This Row],[UTILIDAD]]</f>
        <v>86940</v>
      </c>
      <c r="D140" s="42">
        <f>+Tabla130[[#This Row],[PRECIO INSTALLER (CON IVA)]]-Tabla130[[#This Row],[Columna4]]</f>
        <v>82593</v>
      </c>
      <c r="E140" s="42">
        <f>+Tabla130[[#This Row],[PRECIO INSTALLER (CON IVA)]]/0.7</f>
        <v>124200.00000000001</v>
      </c>
      <c r="F140" s="20">
        <f>+Tabla130[[#This Row],[PRECIO INSTALLER (CON IVA)]]*5%</f>
        <v>4347</v>
      </c>
      <c r="G140" s="9">
        <v>0.85</v>
      </c>
      <c r="H140" s="6">
        <f>Tabla130[[#This Row],[COSTO]]*1.19</f>
        <v>73899</v>
      </c>
      <c r="I140" s="6"/>
      <c r="J140" s="6"/>
      <c r="K140" s="36">
        <v>62100</v>
      </c>
    </row>
    <row r="141" spans="1:11" ht="85.5" x14ac:dyDescent="0.2">
      <c r="A141" s="27" t="s">
        <v>105</v>
      </c>
      <c r="B141" s="24" t="s">
        <v>385</v>
      </c>
      <c r="C141" s="42">
        <f>+Tabla130[[#This Row],[COSTO CON IVA]]/Tabla130[[#This Row],[UTILIDAD]]</f>
        <v>63000</v>
      </c>
      <c r="D141" s="42">
        <f>+Tabla130[[#This Row],[PRECIO INSTALLER (CON IVA)]]-Tabla130[[#This Row],[Columna4]]</f>
        <v>59850</v>
      </c>
      <c r="E141" s="42">
        <f>+Tabla130[[#This Row],[PRECIO INSTALLER (CON IVA)]]/0.7</f>
        <v>90000</v>
      </c>
      <c r="F141" s="20">
        <f>+Tabla130[[#This Row],[PRECIO INSTALLER (CON IVA)]]*5%</f>
        <v>3150</v>
      </c>
      <c r="G141" s="9">
        <v>0.85</v>
      </c>
      <c r="H141" s="6">
        <f>Tabla130[[#This Row],[COSTO]]*1.19</f>
        <v>53550</v>
      </c>
      <c r="I141" s="6"/>
      <c r="J141" s="6"/>
      <c r="K141" s="36">
        <v>45000</v>
      </c>
    </row>
    <row r="142" spans="1:11" ht="171" x14ac:dyDescent="0.2">
      <c r="A142" s="27" t="s">
        <v>386</v>
      </c>
      <c r="B142" s="24" t="s">
        <v>387</v>
      </c>
      <c r="C142" s="42">
        <f>+Tabla130[[#This Row],[COSTO CON IVA]]/Tabla130[[#This Row],[UTILIDAD]]</f>
        <v>406000</v>
      </c>
      <c r="D142" s="42">
        <f>+Tabla130[[#This Row],[PRECIO INSTALLER (CON IVA)]]-Tabla130[[#This Row],[Columna4]]</f>
        <v>385700</v>
      </c>
      <c r="E142" s="42">
        <f>+Tabla130[[#This Row],[PRECIO INSTALLER (CON IVA)]]/0.7</f>
        <v>580000</v>
      </c>
      <c r="F142" s="20">
        <f>+Tabla130[[#This Row],[PRECIO INSTALLER (CON IVA)]]*5%</f>
        <v>20300</v>
      </c>
      <c r="G142" s="9">
        <v>0.85</v>
      </c>
      <c r="H142" s="6">
        <f>Tabla130[[#This Row],[COSTO]]*1.19</f>
        <v>345100</v>
      </c>
      <c r="I142" s="6"/>
      <c r="J142" s="6"/>
      <c r="K142" s="36">
        <v>290000</v>
      </c>
    </row>
    <row r="143" spans="1:11" ht="171" x14ac:dyDescent="0.2">
      <c r="A143" s="27" t="s">
        <v>388</v>
      </c>
      <c r="B143" s="24" t="s">
        <v>389</v>
      </c>
      <c r="C143" s="42">
        <f>+Tabla130[[#This Row],[COSTO CON IVA]]/Tabla130[[#This Row],[UTILIDAD]]</f>
        <v>308000</v>
      </c>
      <c r="D143" s="42">
        <f>+Tabla130[[#This Row],[PRECIO INSTALLER (CON IVA)]]-Tabla130[[#This Row],[Columna4]]</f>
        <v>292600</v>
      </c>
      <c r="E143" s="42">
        <f>+Tabla130[[#This Row],[PRECIO INSTALLER (CON IVA)]]/0.7</f>
        <v>440000</v>
      </c>
      <c r="F143" s="20">
        <f>+Tabla130[[#This Row],[PRECIO INSTALLER (CON IVA)]]*5%</f>
        <v>15400</v>
      </c>
      <c r="G143" s="9">
        <v>0.85</v>
      </c>
      <c r="H143" s="6">
        <f>Tabla130[[#This Row],[COSTO]]*1.19</f>
        <v>261800</v>
      </c>
      <c r="I143" s="6"/>
      <c r="J143" s="6"/>
      <c r="K143" s="36">
        <v>220000</v>
      </c>
    </row>
    <row r="144" spans="1:11" ht="171" x14ac:dyDescent="0.2">
      <c r="A144" s="27" t="s">
        <v>390</v>
      </c>
      <c r="B144" s="24" t="s">
        <v>391</v>
      </c>
      <c r="C144" s="42">
        <f>+Tabla130[[#This Row],[COSTO CON IVA]]/Tabla130[[#This Row],[UTILIDAD]]</f>
        <v>141120</v>
      </c>
      <c r="D144" s="42">
        <f>+Tabla130[[#This Row],[PRECIO INSTALLER (CON IVA)]]-Tabla130[[#This Row],[Columna4]]</f>
        <v>134064</v>
      </c>
      <c r="E144" s="42">
        <f>+Tabla130[[#This Row],[PRECIO INSTALLER (CON IVA)]]/0.7</f>
        <v>201600</v>
      </c>
      <c r="F144" s="20">
        <f>+Tabla130[[#This Row],[PRECIO INSTALLER (CON IVA)]]*5%</f>
        <v>7056</v>
      </c>
      <c r="G144" s="9">
        <v>0.85</v>
      </c>
      <c r="H144" s="6">
        <f>Tabla130[[#This Row],[COSTO]]*1.19</f>
        <v>119952</v>
      </c>
      <c r="I144" s="6"/>
      <c r="J144" s="6"/>
      <c r="K144" s="36">
        <v>100800</v>
      </c>
    </row>
    <row r="145" spans="1:11" ht="156.75" x14ac:dyDescent="0.2">
      <c r="A145" s="27" t="s">
        <v>392</v>
      </c>
      <c r="B145" s="24" t="s">
        <v>393</v>
      </c>
      <c r="C145" s="42">
        <f>+Tabla130[[#This Row],[COSTO CON IVA]]/Tabla130[[#This Row],[UTILIDAD]]</f>
        <v>249060</v>
      </c>
      <c r="D145" s="42">
        <f>+Tabla130[[#This Row],[PRECIO INSTALLER (CON IVA)]]-Tabla130[[#This Row],[Columna4]]</f>
        <v>236607</v>
      </c>
      <c r="E145" s="42">
        <f>+Tabla130[[#This Row],[PRECIO INSTALLER (CON IVA)]]/0.7</f>
        <v>355800</v>
      </c>
      <c r="F145" s="20">
        <f>+Tabla130[[#This Row],[PRECIO INSTALLER (CON IVA)]]*5%</f>
        <v>12453</v>
      </c>
      <c r="G145" s="9">
        <v>0.85</v>
      </c>
      <c r="H145" s="6">
        <f>Tabla130[[#This Row],[COSTO]]*1.19</f>
        <v>211701</v>
      </c>
      <c r="I145" s="6"/>
      <c r="J145" s="6"/>
      <c r="K145" s="36">
        <v>177900</v>
      </c>
    </row>
    <row r="146" spans="1:11" ht="185.25" x14ac:dyDescent="0.2">
      <c r="A146" s="27" t="s">
        <v>394</v>
      </c>
      <c r="B146" s="24" t="s">
        <v>395</v>
      </c>
      <c r="C146" s="42">
        <f>+Tabla130[[#This Row],[COSTO CON IVA]]/Tabla130[[#This Row],[UTILIDAD]]</f>
        <v>252000</v>
      </c>
      <c r="D146" s="42">
        <f>+Tabla130[[#This Row],[PRECIO INSTALLER (CON IVA)]]-Tabla130[[#This Row],[Columna4]]</f>
        <v>239400</v>
      </c>
      <c r="E146" s="42">
        <f>+Tabla130[[#This Row],[PRECIO INSTALLER (CON IVA)]]/0.7</f>
        <v>360000</v>
      </c>
      <c r="F146" s="20">
        <f>+Tabla130[[#This Row],[PRECIO INSTALLER (CON IVA)]]*5%</f>
        <v>12600</v>
      </c>
      <c r="G146" s="9">
        <v>0.85</v>
      </c>
      <c r="H146" s="6">
        <f>Tabla130[[#This Row],[COSTO]]*1.19</f>
        <v>214200</v>
      </c>
      <c r="I146" s="6"/>
      <c r="J146" s="6"/>
      <c r="K146" s="36">
        <v>180000</v>
      </c>
    </row>
    <row r="147" spans="1:11" ht="142.5" x14ac:dyDescent="0.2">
      <c r="A147" s="27" t="s">
        <v>396</v>
      </c>
      <c r="B147" s="24" t="s">
        <v>397</v>
      </c>
      <c r="C147" s="42">
        <f>+Tabla130[[#This Row],[COSTO CON IVA]]/Tabla130[[#This Row],[UTILIDAD]]</f>
        <v>336000</v>
      </c>
      <c r="D147" s="42">
        <f>+Tabla130[[#This Row],[PRECIO INSTALLER (CON IVA)]]-Tabla130[[#This Row],[Columna4]]</f>
        <v>319200</v>
      </c>
      <c r="E147" s="42">
        <f>+Tabla130[[#This Row],[PRECIO INSTALLER (CON IVA)]]/0.7</f>
        <v>480000.00000000006</v>
      </c>
      <c r="F147" s="20">
        <f>+Tabla130[[#This Row],[PRECIO INSTALLER (CON IVA)]]*5%</f>
        <v>16800</v>
      </c>
      <c r="G147" s="9">
        <v>0.85</v>
      </c>
      <c r="H147" s="6">
        <f>Tabla130[[#This Row],[COSTO]]*1.19</f>
        <v>285600</v>
      </c>
      <c r="I147" s="6"/>
      <c r="J147" s="6"/>
      <c r="K147" s="36">
        <v>240000</v>
      </c>
    </row>
    <row r="148" spans="1:11" ht="142.5" x14ac:dyDescent="0.2">
      <c r="A148" s="27" t="s">
        <v>398</v>
      </c>
      <c r="B148" s="24" t="s">
        <v>399</v>
      </c>
      <c r="C148" s="42">
        <f>+Tabla130[[#This Row],[COSTO CON IVA]]/Tabla130[[#This Row],[UTILIDAD]]</f>
        <v>77000</v>
      </c>
      <c r="D148" s="42">
        <f>+Tabla130[[#This Row],[PRECIO INSTALLER (CON IVA)]]-Tabla130[[#This Row],[Columna4]]</f>
        <v>73150</v>
      </c>
      <c r="E148" s="42">
        <f>+Tabla130[[#This Row],[PRECIO INSTALLER (CON IVA)]]/0.7</f>
        <v>110000</v>
      </c>
      <c r="F148" s="20">
        <f>+Tabla130[[#This Row],[PRECIO INSTALLER (CON IVA)]]*5%</f>
        <v>3850</v>
      </c>
      <c r="G148" s="9">
        <v>0.85</v>
      </c>
      <c r="H148" s="6">
        <f>Tabla130[[#This Row],[COSTO]]*1.19</f>
        <v>65450</v>
      </c>
      <c r="I148" s="6"/>
      <c r="J148" s="6"/>
      <c r="K148" s="36">
        <v>55000</v>
      </c>
    </row>
    <row r="149" spans="1:11" ht="142.5" x14ac:dyDescent="0.2">
      <c r="A149" s="27" t="s">
        <v>400</v>
      </c>
      <c r="B149" s="24" t="s">
        <v>401</v>
      </c>
      <c r="C149" s="42">
        <f>+Tabla130[[#This Row],[COSTO CON IVA]]/Tabla130[[#This Row],[UTILIDAD]]</f>
        <v>126000</v>
      </c>
      <c r="D149" s="42">
        <f>+Tabla130[[#This Row],[PRECIO INSTALLER (CON IVA)]]-Tabla130[[#This Row],[Columna4]]</f>
        <v>119700</v>
      </c>
      <c r="E149" s="42">
        <f>+Tabla130[[#This Row],[PRECIO INSTALLER (CON IVA)]]/0.7</f>
        <v>180000</v>
      </c>
      <c r="F149" s="20">
        <f>+Tabla130[[#This Row],[PRECIO INSTALLER (CON IVA)]]*5%</f>
        <v>6300</v>
      </c>
      <c r="G149" s="9">
        <v>0.85</v>
      </c>
      <c r="H149" s="6">
        <f>Tabla130[[#This Row],[COSTO]]*1.19</f>
        <v>107100</v>
      </c>
      <c r="I149" s="6"/>
      <c r="J149" s="6"/>
      <c r="K149" s="36">
        <v>90000</v>
      </c>
    </row>
    <row r="150" spans="1:11" ht="128.25" x14ac:dyDescent="0.2">
      <c r="A150" s="27" t="s">
        <v>402</v>
      </c>
      <c r="B150" s="24" t="s">
        <v>403</v>
      </c>
      <c r="C150" s="42">
        <f>+Tabla130[[#This Row],[COSTO CON IVA]]/Tabla130[[#This Row],[UTILIDAD]]</f>
        <v>38640</v>
      </c>
      <c r="D150" s="42">
        <f>+Tabla130[[#This Row],[PRECIO INSTALLER (CON IVA)]]-Tabla130[[#This Row],[Columna4]]</f>
        <v>36708</v>
      </c>
      <c r="E150" s="42">
        <f>+Tabla130[[#This Row],[PRECIO INSTALLER (CON IVA)]]/0.7</f>
        <v>55200</v>
      </c>
      <c r="F150" s="20">
        <f>+Tabla130[[#This Row],[PRECIO INSTALLER (CON IVA)]]*5%</f>
        <v>1932</v>
      </c>
      <c r="G150" s="9">
        <v>0.85</v>
      </c>
      <c r="H150" s="6">
        <f>Tabla130[[#This Row],[COSTO]]*1.19</f>
        <v>32844</v>
      </c>
      <c r="I150" s="6"/>
      <c r="J150" s="6"/>
      <c r="K150" s="36">
        <v>27600</v>
      </c>
    </row>
    <row r="151" spans="1:11" ht="171" x14ac:dyDescent="0.2">
      <c r="A151" s="27" t="s">
        <v>404</v>
      </c>
      <c r="B151" s="24" t="s">
        <v>405</v>
      </c>
      <c r="C151" s="42">
        <f>+Tabla130[[#This Row],[COSTO CON IVA]]/Tabla130[[#This Row],[UTILIDAD]]</f>
        <v>91000</v>
      </c>
      <c r="D151" s="42">
        <f>+Tabla130[[#This Row],[PRECIO INSTALLER (CON IVA)]]-Tabla130[[#This Row],[Columna4]]</f>
        <v>86450</v>
      </c>
      <c r="E151" s="42">
        <f>+Tabla130[[#This Row],[PRECIO INSTALLER (CON IVA)]]/0.7</f>
        <v>130000.00000000001</v>
      </c>
      <c r="F151" s="20">
        <f>+Tabla130[[#This Row],[PRECIO INSTALLER (CON IVA)]]*5%</f>
        <v>4550</v>
      </c>
      <c r="G151" s="9">
        <v>0.85</v>
      </c>
      <c r="H151" s="6">
        <f>Tabla130[[#This Row],[COSTO]]*1.19</f>
        <v>77350</v>
      </c>
      <c r="I151" s="6"/>
      <c r="J151" s="6"/>
      <c r="K151" s="36">
        <v>65000</v>
      </c>
    </row>
    <row r="152" spans="1:11" ht="242.25" x14ac:dyDescent="0.2">
      <c r="A152" s="27" t="s">
        <v>406</v>
      </c>
      <c r="B152" s="24" t="s">
        <v>407</v>
      </c>
      <c r="C152" s="42">
        <f>+Tabla130[[#This Row],[COSTO CON IVA]]/Tabla130[[#This Row],[UTILIDAD]]</f>
        <v>147000</v>
      </c>
      <c r="D152" s="42">
        <f>+Tabla130[[#This Row],[PRECIO INSTALLER (CON IVA)]]-Tabla130[[#This Row],[Columna4]]</f>
        <v>139650</v>
      </c>
      <c r="E152" s="42">
        <f>+Tabla130[[#This Row],[PRECIO INSTALLER (CON IVA)]]/0.7</f>
        <v>210000</v>
      </c>
      <c r="F152" s="20">
        <f>+Tabla130[[#This Row],[PRECIO INSTALLER (CON IVA)]]*5%</f>
        <v>7350</v>
      </c>
      <c r="G152" s="9">
        <v>0.85</v>
      </c>
      <c r="H152" s="6">
        <f>Tabla130[[#This Row],[COSTO]]*1.19</f>
        <v>124950</v>
      </c>
      <c r="I152" s="6"/>
      <c r="J152" s="6"/>
      <c r="K152" s="36">
        <v>105000</v>
      </c>
    </row>
    <row r="153" spans="1:11" ht="185.25" x14ac:dyDescent="0.2">
      <c r="A153" s="27" t="s">
        <v>408</v>
      </c>
      <c r="B153" s="24" t="s">
        <v>409</v>
      </c>
      <c r="C153" s="42">
        <f>+Tabla130[[#This Row],[COSTO CON IVA]]/Tabla130[[#This Row],[UTILIDAD]]</f>
        <v>92400</v>
      </c>
      <c r="D153" s="42">
        <f>+Tabla130[[#This Row],[PRECIO INSTALLER (CON IVA)]]-Tabla130[[#This Row],[Columna4]]</f>
        <v>87780</v>
      </c>
      <c r="E153" s="42">
        <f>+Tabla130[[#This Row],[PRECIO INSTALLER (CON IVA)]]/0.7</f>
        <v>132000</v>
      </c>
      <c r="F153" s="20">
        <f>+Tabla130[[#This Row],[PRECIO INSTALLER (CON IVA)]]*5%</f>
        <v>4620</v>
      </c>
      <c r="G153" s="9">
        <v>0.85</v>
      </c>
      <c r="H153" s="6">
        <f>Tabla130[[#This Row],[COSTO]]*1.19</f>
        <v>78540</v>
      </c>
      <c r="I153" s="6"/>
      <c r="J153" s="6"/>
      <c r="K153" s="36">
        <v>66000</v>
      </c>
    </row>
    <row r="154" spans="1:11" ht="128.25" x14ac:dyDescent="0.2">
      <c r="A154" s="27" t="s">
        <v>410</v>
      </c>
      <c r="B154" s="24" t="s">
        <v>411</v>
      </c>
      <c r="C154" s="42">
        <f>+Tabla130[[#This Row],[COSTO CON IVA]]/Tabla130[[#This Row],[UTILIDAD]]</f>
        <v>105000</v>
      </c>
      <c r="D154" s="42">
        <f>+Tabla130[[#This Row],[PRECIO INSTALLER (CON IVA)]]-Tabla130[[#This Row],[Columna4]]</f>
        <v>99750</v>
      </c>
      <c r="E154" s="42">
        <f>+Tabla130[[#This Row],[PRECIO INSTALLER (CON IVA)]]/0.7</f>
        <v>150000</v>
      </c>
      <c r="F154" s="20">
        <f>+Tabla130[[#This Row],[PRECIO INSTALLER (CON IVA)]]*5%</f>
        <v>5250</v>
      </c>
      <c r="G154" s="9">
        <v>0.85</v>
      </c>
      <c r="H154" s="6">
        <f>Tabla130[[#This Row],[COSTO]]*1.19</f>
        <v>89250</v>
      </c>
      <c r="I154" s="6"/>
      <c r="J154" s="6"/>
      <c r="K154" s="36">
        <v>75000</v>
      </c>
    </row>
    <row r="155" spans="1:11" ht="128.25" x14ac:dyDescent="0.2">
      <c r="A155" s="27" t="s">
        <v>412</v>
      </c>
      <c r="B155" s="24" t="s">
        <v>413</v>
      </c>
      <c r="C155" s="42">
        <f>+Tabla130[[#This Row],[COSTO CON IVA]]/Tabla130[[#This Row],[UTILIDAD]]</f>
        <v>42000</v>
      </c>
      <c r="D155" s="42">
        <f>+Tabla130[[#This Row],[PRECIO INSTALLER (CON IVA)]]-Tabla130[[#This Row],[Columna4]]</f>
        <v>39900</v>
      </c>
      <c r="E155" s="42">
        <f>+Tabla130[[#This Row],[PRECIO INSTALLER (CON IVA)]]/0.7</f>
        <v>60000.000000000007</v>
      </c>
      <c r="F155" s="20">
        <f>+Tabla130[[#This Row],[PRECIO INSTALLER (CON IVA)]]*5%</f>
        <v>2100</v>
      </c>
      <c r="G155" s="9">
        <v>0.85</v>
      </c>
      <c r="H155" s="6">
        <f>Tabla130[[#This Row],[COSTO]]*1.19</f>
        <v>35700</v>
      </c>
      <c r="I155" s="6"/>
      <c r="J155" s="6"/>
      <c r="K155" s="36">
        <v>30000</v>
      </c>
    </row>
    <row r="156" spans="1:11" ht="171" x14ac:dyDescent="0.2">
      <c r="A156" s="27" t="s">
        <v>414</v>
      </c>
      <c r="B156" s="24" t="s">
        <v>415</v>
      </c>
      <c r="C156" s="42">
        <f>+Tabla130[[#This Row],[COSTO CON IVA]]/Tabla130[[#This Row],[UTILIDAD]]</f>
        <v>182000</v>
      </c>
      <c r="D156" s="42">
        <f>+Tabla130[[#This Row],[PRECIO INSTALLER (CON IVA)]]-Tabla130[[#This Row],[Columna4]]</f>
        <v>172900</v>
      </c>
      <c r="E156" s="42">
        <f>+Tabla130[[#This Row],[PRECIO INSTALLER (CON IVA)]]/0.7</f>
        <v>260000.00000000003</v>
      </c>
      <c r="F156" s="20">
        <f>+Tabla130[[#This Row],[PRECIO INSTALLER (CON IVA)]]*5%</f>
        <v>9100</v>
      </c>
      <c r="G156" s="9">
        <v>0.85</v>
      </c>
      <c r="H156" s="6">
        <f>Tabla130[[#This Row],[COSTO]]*1.19</f>
        <v>154700</v>
      </c>
      <c r="I156" s="6"/>
      <c r="J156" s="6"/>
      <c r="K156" s="36">
        <v>130000</v>
      </c>
    </row>
    <row r="157" spans="1:11" ht="171" x14ac:dyDescent="0.2">
      <c r="A157" s="27" t="s">
        <v>416</v>
      </c>
      <c r="B157" s="24" t="s">
        <v>417</v>
      </c>
      <c r="C157" s="42">
        <f>+Tabla130[[#This Row],[COSTO CON IVA]]/Tabla130[[#This Row],[UTILIDAD]]</f>
        <v>95200</v>
      </c>
      <c r="D157" s="42">
        <f>+Tabla130[[#This Row],[PRECIO INSTALLER (CON IVA)]]-Tabla130[[#This Row],[Columna4]]</f>
        <v>90440</v>
      </c>
      <c r="E157" s="42">
        <f>+Tabla130[[#This Row],[PRECIO INSTALLER (CON IVA)]]/0.7</f>
        <v>136000</v>
      </c>
      <c r="F157" s="20">
        <f>+Tabla130[[#This Row],[PRECIO INSTALLER (CON IVA)]]*5%</f>
        <v>4760</v>
      </c>
      <c r="G157" s="9">
        <v>0.85</v>
      </c>
      <c r="H157" s="6">
        <f>Tabla130[[#This Row],[COSTO]]*1.19</f>
        <v>80920</v>
      </c>
      <c r="I157" s="6"/>
      <c r="J157" s="6"/>
      <c r="K157" s="36">
        <v>68000</v>
      </c>
    </row>
    <row r="158" spans="1:11" ht="156.75" x14ac:dyDescent="0.2">
      <c r="A158" s="27" t="s">
        <v>418</v>
      </c>
      <c r="B158" s="24" t="s">
        <v>419</v>
      </c>
      <c r="C158" s="42">
        <f>+Tabla130[[#This Row],[COSTO CON IVA]]/Tabla130[[#This Row],[UTILIDAD]]</f>
        <v>53200</v>
      </c>
      <c r="D158" s="42">
        <f>+Tabla130[[#This Row],[PRECIO INSTALLER (CON IVA)]]-Tabla130[[#This Row],[Columna4]]</f>
        <v>50540</v>
      </c>
      <c r="E158" s="42">
        <f>+Tabla130[[#This Row],[PRECIO INSTALLER (CON IVA)]]/0.7</f>
        <v>76000</v>
      </c>
      <c r="F158" s="20">
        <f>+Tabla130[[#This Row],[PRECIO INSTALLER (CON IVA)]]*5%</f>
        <v>2660</v>
      </c>
      <c r="G158" s="9">
        <v>0.85</v>
      </c>
      <c r="H158" s="6">
        <f>Tabla130[[#This Row],[COSTO]]*1.19</f>
        <v>45220</v>
      </c>
      <c r="I158" s="6"/>
      <c r="J158" s="6"/>
      <c r="K158" s="36">
        <v>38000</v>
      </c>
    </row>
    <row r="159" spans="1:11" ht="114" x14ac:dyDescent="0.2">
      <c r="A159" s="27" t="s">
        <v>420</v>
      </c>
      <c r="B159" s="24" t="s">
        <v>421</v>
      </c>
      <c r="C159" s="42">
        <f>+Tabla130[[#This Row],[COSTO CON IVA]]/Tabla130[[#This Row],[UTILIDAD]]</f>
        <v>66500</v>
      </c>
      <c r="D159" s="42">
        <f>+Tabla130[[#This Row],[PRECIO INSTALLER (CON IVA)]]-Tabla130[[#This Row],[Columna4]]</f>
        <v>63175</v>
      </c>
      <c r="E159" s="42">
        <f>+Tabla130[[#This Row],[PRECIO INSTALLER (CON IVA)]]/0.7</f>
        <v>95000</v>
      </c>
      <c r="F159" s="20">
        <f>+Tabla130[[#This Row],[PRECIO INSTALLER (CON IVA)]]*5%</f>
        <v>3325</v>
      </c>
      <c r="G159" s="9">
        <v>0.85</v>
      </c>
      <c r="H159" s="6">
        <f>Tabla130[[#This Row],[COSTO]]*1.19</f>
        <v>56525</v>
      </c>
      <c r="I159" s="6"/>
      <c r="J159" s="6"/>
      <c r="K159" s="36">
        <v>47500</v>
      </c>
    </row>
    <row r="160" spans="1:11" ht="114" x14ac:dyDescent="0.2">
      <c r="A160" s="27" t="s">
        <v>422</v>
      </c>
      <c r="B160" s="24" t="s">
        <v>423</v>
      </c>
      <c r="C160" s="42">
        <f>+Tabla130[[#This Row],[COSTO CON IVA]]/Tabla130[[#This Row],[UTILIDAD]]</f>
        <v>47320</v>
      </c>
      <c r="D160" s="42">
        <f>+Tabla130[[#This Row],[PRECIO INSTALLER (CON IVA)]]-Tabla130[[#This Row],[Columna4]]</f>
        <v>44954</v>
      </c>
      <c r="E160" s="42">
        <f>+Tabla130[[#This Row],[PRECIO INSTALLER (CON IVA)]]/0.7</f>
        <v>67600</v>
      </c>
      <c r="F160" s="20">
        <f>+Tabla130[[#This Row],[PRECIO INSTALLER (CON IVA)]]*5%</f>
        <v>2366</v>
      </c>
      <c r="G160" s="9">
        <v>0.85</v>
      </c>
      <c r="H160" s="6">
        <f>Tabla130[[#This Row],[COSTO]]*1.19</f>
        <v>40222</v>
      </c>
      <c r="I160" s="6"/>
      <c r="J160" s="6"/>
      <c r="K160" s="36">
        <v>33800</v>
      </c>
    </row>
    <row r="161" spans="1:11" ht="171" x14ac:dyDescent="0.2">
      <c r="A161" s="27" t="s">
        <v>424</v>
      </c>
      <c r="B161" s="24" t="s">
        <v>425</v>
      </c>
      <c r="C161" s="42">
        <f>+Tabla130[[#This Row],[COSTO CON IVA]]/Tabla130[[#This Row],[UTILIDAD]]</f>
        <v>241360</v>
      </c>
      <c r="D161" s="42">
        <f>+Tabla130[[#This Row],[PRECIO INSTALLER (CON IVA)]]-Tabla130[[#This Row],[Columna4]]</f>
        <v>229292</v>
      </c>
      <c r="E161" s="42">
        <f>+Tabla130[[#This Row],[PRECIO INSTALLER (CON IVA)]]/0.7</f>
        <v>344800</v>
      </c>
      <c r="F161" s="20">
        <f>+Tabla130[[#This Row],[PRECIO INSTALLER (CON IVA)]]*5%</f>
        <v>12068</v>
      </c>
      <c r="G161" s="9">
        <v>0.85</v>
      </c>
      <c r="H161" s="6">
        <f>Tabla130[[#This Row],[COSTO]]*1.19</f>
        <v>205156</v>
      </c>
      <c r="I161" s="6"/>
      <c r="J161" s="6"/>
      <c r="K161" s="36">
        <v>172400</v>
      </c>
    </row>
    <row r="162" spans="1:11" ht="156.75" x14ac:dyDescent="0.2">
      <c r="A162" s="27" t="s">
        <v>426</v>
      </c>
      <c r="B162" s="24" t="s">
        <v>427</v>
      </c>
      <c r="C162" s="42">
        <f>+Tabla130[[#This Row],[COSTO CON IVA]]/Tabla130[[#This Row],[UTILIDAD]]</f>
        <v>114800</v>
      </c>
      <c r="D162" s="42">
        <f>+Tabla130[[#This Row],[PRECIO INSTALLER (CON IVA)]]-Tabla130[[#This Row],[Columna4]]</f>
        <v>109060</v>
      </c>
      <c r="E162" s="42">
        <f>+Tabla130[[#This Row],[PRECIO INSTALLER (CON IVA)]]/0.7</f>
        <v>164000</v>
      </c>
      <c r="F162" s="20">
        <f>+Tabla130[[#This Row],[PRECIO INSTALLER (CON IVA)]]*5%</f>
        <v>5740</v>
      </c>
      <c r="G162" s="9">
        <v>0.85</v>
      </c>
      <c r="H162" s="6">
        <f>Tabla130[[#This Row],[COSTO]]*1.19</f>
        <v>97580</v>
      </c>
      <c r="I162" s="6"/>
      <c r="J162" s="6"/>
      <c r="K162" s="36">
        <v>82000</v>
      </c>
    </row>
    <row r="163" spans="1:11" ht="85.5" x14ac:dyDescent="0.2">
      <c r="A163" s="27" t="s">
        <v>428</v>
      </c>
      <c r="B163" s="24" t="s">
        <v>429</v>
      </c>
      <c r="C163" s="42">
        <f>+Tabla130[[#This Row],[COSTO CON IVA]]/Tabla130[[#This Row],[UTILIDAD]]</f>
        <v>56280</v>
      </c>
      <c r="D163" s="42">
        <f>+Tabla130[[#This Row],[PRECIO INSTALLER (CON IVA)]]-Tabla130[[#This Row],[Columna4]]</f>
        <v>53466</v>
      </c>
      <c r="E163" s="42">
        <f>+Tabla130[[#This Row],[PRECIO INSTALLER (CON IVA)]]/0.7</f>
        <v>80400</v>
      </c>
      <c r="F163" s="20">
        <f>+Tabla130[[#This Row],[PRECIO INSTALLER (CON IVA)]]*5%</f>
        <v>2814</v>
      </c>
      <c r="G163" s="9">
        <v>0.85</v>
      </c>
      <c r="H163" s="6">
        <f>Tabla130[[#This Row],[COSTO]]*1.19</f>
        <v>47838</v>
      </c>
      <c r="I163" s="6"/>
      <c r="J163" s="6"/>
      <c r="K163" s="36">
        <v>40200</v>
      </c>
    </row>
    <row r="164" spans="1:11" ht="85.5" x14ac:dyDescent="0.2">
      <c r="A164" s="27" t="s">
        <v>430</v>
      </c>
      <c r="B164" s="24" t="s">
        <v>431</v>
      </c>
      <c r="C164" s="42">
        <f>+Tabla130[[#This Row],[COSTO CON IVA]]/Tabla130[[#This Row],[UTILIDAD]]</f>
        <v>59360</v>
      </c>
      <c r="D164" s="42">
        <f>+Tabla130[[#This Row],[PRECIO INSTALLER (CON IVA)]]-Tabla130[[#This Row],[Columna4]]</f>
        <v>56392</v>
      </c>
      <c r="E164" s="42">
        <f>+Tabla130[[#This Row],[PRECIO INSTALLER (CON IVA)]]/0.7</f>
        <v>84800</v>
      </c>
      <c r="F164" s="20">
        <f>+Tabla130[[#This Row],[PRECIO INSTALLER (CON IVA)]]*5%</f>
        <v>2968</v>
      </c>
      <c r="G164" s="9">
        <v>0.85</v>
      </c>
      <c r="H164" s="6">
        <f>Tabla130[[#This Row],[COSTO]]*1.19</f>
        <v>50456</v>
      </c>
      <c r="I164" s="6"/>
      <c r="J164" s="6"/>
      <c r="K164" s="36">
        <v>42400</v>
      </c>
    </row>
    <row r="165" spans="1:11" ht="156.75" x14ac:dyDescent="0.2">
      <c r="A165" s="27" t="s">
        <v>432</v>
      </c>
      <c r="B165" s="24" t="s">
        <v>433</v>
      </c>
      <c r="C165" s="42">
        <f>+Tabla130[[#This Row],[COSTO CON IVA]]/Tabla130[[#This Row],[UTILIDAD]]</f>
        <v>910000</v>
      </c>
      <c r="D165" s="42">
        <f>+Tabla130[[#This Row],[PRECIO INSTALLER (CON IVA)]]-Tabla130[[#This Row],[Columna4]]</f>
        <v>864500</v>
      </c>
      <c r="E165" s="42">
        <f>+Tabla130[[#This Row],[PRECIO INSTALLER (CON IVA)]]/0.7</f>
        <v>1300000</v>
      </c>
      <c r="F165" s="20">
        <f>+Tabla130[[#This Row],[PRECIO INSTALLER (CON IVA)]]*5%</f>
        <v>45500</v>
      </c>
      <c r="G165" s="9">
        <v>0.85</v>
      </c>
      <c r="H165" s="6">
        <f>Tabla130[[#This Row],[COSTO]]*1.19</f>
        <v>773500</v>
      </c>
      <c r="I165" s="6"/>
      <c r="J165" s="6"/>
      <c r="K165" s="36">
        <v>650000</v>
      </c>
    </row>
    <row r="166" spans="1:11" ht="142.5" x14ac:dyDescent="0.2">
      <c r="A166" s="27" t="s">
        <v>434</v>
      </c>
      <c r="B166" s="24" t="s">
        <v>435</v>
      </c>
      <c r="C166" s="42">
        <f>+Tabla130[[#This Row],[COSTO CON IVA]]/Tabla130[[#This Row],[UTILIDAD]]</f>
        <v>630000</v>
      </c>
      <c r="D166" s="42">
        <f>+Tabla130[[#This Row],[PRECIO INSTALLER (CON IVA)]]-Tabla130[[#This Row],[Columna4]]</f>
        <v>598500</v>
      </c>
      <c r="E166" s="42">
        <f>+Tabla130[[#This Row],[PRECIO INSTALLER (CON IVA)]]/0.7</f>
        <v>900000</v>
      </c>
      <c r="F166" s="20">
        <f>+Tabla130[[#This Row],[PRECIO INSTALLER (CON IVA)]]*5%</f>
        <v>31500</v>
      </c>
      <c r="G166" s="9">
        <v>0.85</v>
      </c>
      <c r="H166" s="6">
        <f>Tabla130[[#This Row],[COSTO]]*1.19</f>
        <v>535500</v>
      </c>
      <c r="I166" s="6"/>
      <c r="J166" s="6"/>
      <c r="K166" s="36">
        <v>450000</v>
      </c>
    </row>
    <row r="167" spans="1:11" ht="128.25" x14ac:dyDescent="0.2">
      <c r="A167" s="27" t="s">
        <v>104</v>
      </c>
      <c r="B167" s="24" t="s">
        <v>436</v>
      </c>
      <c r="C167" s="42">
        <f>+Tabla130[[#This Row],[COSTO CON IVA]]/Tabla130[[#This Row],[UTILIDAD]]</f>
        <v>490000</v>
      </c>
      <c r="D167" s="42">
        <f>+Tabla130[[#This Row],[PRECIO INSTALLER (CON IVA)]]-Tabla130[[#This Row],[Columna4]]</f>
        <v>465500</v>
      </c>
      <c r="E167" s="42">
        <f>+Tabla130[[#This Row],[PRECIO INSTALLER (CON IVA)]]/0.7</f>
        <v>700000</v>
      </c>
      <c r="F167" s="20">
        <f>+Tabla130[[#This Row],[PRECIO INSTALLER (CON IVA)]]*5%</f>
        <v>24500</v>
      </c>
      <c r="G167" s="9">
        <v>0.85</v>
      </c>
      <c r="H167" s="6">
        <f>Tabla130[[#This Row],[COSTO]]*1.19</f>
        <v>416500</v>
      </c>
      <c r="I167" s="6"/>
      <c r="J167" s="6"/>
      <c r="K167" s="36">
        <v>350000</v>
      </c>
    </row>
    <row r="168" spans="1:11" ht="142.5" x14ac:dyDescent="0.2">
      <c r="A168" s="27" t="s">
        <v>437</v>
      </c>
      <c r="B168" s="24" t="s">
        <v>438</v>
      </c>
      <c r="C168" s="42">
        <f>+Tabla130[[#This Row],[COSTO CON IVA]]/Tabla130[[#This Row],[UTILIDAD]]</f>
        <v>350000</v>
      </c>
      <c r="D168" s="42">
        <f>+Tabla130[[#This Row],[PRECIO INSTALLER (CON IVA)]]-Tabla130[[#This Row],[Columna4]]</f>
        <v>332500</v>
      </c>
      <c r="E168" s="42">
        <f>+Tabla130[[#This Row],[PRECIO INSTALLER (CON IVA)]]/0.7</f>
        <v>500000.00000000006</v>
      </c>
      <c r="F168" s="20">
        <f>+Tabla130[[#This Row],[PRECIO INSTALLER (CON IVA)]]*5%</f>
        <v>17500</v>
      </c>
      <c r="G168" s="9">
        <v>0.85</v>
      </c>
      <c r="H168" s="6">
        <f>Tabla130[[#This Row],[COSTO]]*1.19</f>
        <v>297500</v>
      </c>
      <c r="I168" s="6"/>
      <c r="J168" s="6"/>
      <c r="K168" s="36">
        <v>250000</v>
      </c>
    </row>
    <row r="169" spans="1:11" ht="171" x14ac:dyDescent="0.2">
      <c r="A169" s="27" t="s">
        <v>439</v>
      </c>
      <c r="B169" s="24" t="s">
        <v>440</v>
      </c>
      <c r="C169" s="42">
        <f>+Tabla130[[#This Row],[COSTO CON IVA]]/Tabla130[[#This Row],[UTILIDAD]]</f>
        <v>434420</v>
      </c>
      <c r="D169" s="42">
        <f>+Tabla130[[#This Row],[PRECIO INSTALLER (CON IVA)]]-Tabla130[[#This Row],[Columna4]]</f>
        <v>412699</v>
      </c>
      <c r="E169" s="42">
        <f>+Tabla130[[#This Row],[PRECIO INSTALLER (CON IVA)]]/0.7</f>
        <v>620600</v>
      </c>
      <c r="F169" s="20">
        <f>+Tabla130[[#This Row],[PRECIO INSTALLER (CON IVA)]]*5%</f>
        <v>21721</v>
      </c>
      <c r="G169" s="9">
        <v>0.85</v>
      </c>
      <c r="H169" s="6">
        <f>Tabla130[[#This Row],[COSTO]]*1.19</f>
        <v>369257</v>
      </c>
      <c r="I169" s="6"/>
      <c r="J169" s="6"/>
      <c r="K169" s="36">
        <v>310300</v>
      </c>
    </row>
    <row r="170" spans="1:11" ht="171" x14ac:dyDescent="0.2">
      <c r="A170" s="27" t="s">
        <v>441</v>
      </c>
      <c r="B170" s="24" t="s">
        <v>442</v>
      </c>
      <c r="C170" s="42">
        <f>+Tabla130[[#This Row],[COSTO CON IVA]]/Tabla130[[#This Row],[UTILIDAD]]</f>
        <v>550480</v>
      </c>
      <c r="D170" s="42">
        <f>+Tabla130[[#This Row],[PRECIO INSTALLER (CON IVA)]]-Tabla130[[#This Row],[Columna4]]</f>
        <v>522956</v>
      </c>
      <c r="E170" s="42">
        <f>+Tabla130[[#This Row],[PRECIO INSTALLER (CON IVA)]]/0.7</f>
        <v>786400</v>
      </c>
      <c r="F170" s="20">
        <f>+Tabla130[[#This Row],[PRECIO INSTALLER (CON IVA)]]*5%</f>
        <v>27524</v>
      </c>
      <c r="G170" s="9">
        <v>0.85</v>
      </c>
      <c r="H170" s="6">
        <f>Tabla130[[#This Row],[COSTO]]*1.19</f>
        <v>467908</v>
      </c>
      <c r="I170" s="6"/>
      <c r="J170" s="6"/>
      <c r="K170" s="36">
        <v>393200</v>
      </c>
    </row>
    <row r="171" spans="1:11" ht="171" x14ac:dyDescent="0.2">
      <c r="A171" s="27" t="s">
        <v>443</v>
      </c>
      <c r="B171" s="24" t="s">
        <v>440</v>
      </c>
      <c r="C171" s="42">
        <f>+Tabla130[[#This Row],[COSTO CON IVA]]/Tabla130[[#This Row],[UTILIDAD]]</f>
        <v>364000</v>
      </c>
      <c r="D171" s="42">
        <f>+Tabla130[[#This Row],[PRECIO INSTALLER (CON IVA)]]-Tabla130[[#This Row],[Columna4]]</f>
        <v>345800</v>
      </c>
      <c r="E171" s="42">
        <f>+Tabla130[[#This Row],[PRECIO INSTALLER (CON IVA)]]/0.7</f>
        <v>520000.00000000006</v>
      </c>
      <c r="F171" s="20">
        <f>+Tabla130[[#This Row],[PRECIO INSTALLER (CON IVA)]]*5%</f>
        <v>18200</v>
      </c>
      <c r="G171" s="9">
        <v>0.85</v>
      </c>
      <c r="H171" s="6">
        <f>Tabla130[[#This Row],[COSTO]]*1.19</f>
        <v>309400</v>
      </c>
      <c r="I171" s="6"/>
      <c r="J171" s="6"/>
      <c r="K171" s="36">
        <v>260000</v>
      </c>
    </row>
    <row r="172" spans="1:11" ht="142.5" x14ac:dyDescent="0.2">
      <c r="A172" s="27" t="s">
        <v>444</v>
      </c>
      <c r="B172" s="24" t="s">
        <v>445</v>
      </c>
      <c r="C172" s="42">
        <f>+Tabla130[[#This Row],[COSTO CON IVA]]/Tabla130[[#This Row],[UTILIDAD]]</f>
        <v>154000</v>
      </c>
      <c r="D172" s="42">
        <f>+Tabla130[[#This Row],[PRECIO INSTALLER (CON IVA)]]-Tabla130[[#This Row],[Columna4]]</f>
        <v>146300</v>
      </c>
      <c r="E172" s="42">
        <f>+Tabla130[[#This Row],[PRECIO INSTALLER (CON IVA)]]/0.7</f>
        <v>220000</v>
      </c>
      <c r="F172" s="20">
        <f>+Tabla130[[#This Row],[PRECIO INSTALLER (CON IVA)]]*5%</f>
        <v>7700</v>
      </c>
      <c r="G172" s="9">
        <v>0.85</v>
      </c>
      <c r="H172" s="6">
        <f>Tabla130[[#This Row],[COSTO]]*1.19</f>
        <v>130900</v>
      </c>
      <c r="I172" s="6"/>
      <c r="J172" s="6"/>
      <c r="K172" s="36">
        <v>110000</v>
      </c>
    </row>
    <row r="173" spans="1:11" ht="156.75" x14ac:dyDescent="0.2">
      <c r="A173" s="27" t="s">
        <v>446</v>
      </c>
      <c r="B173" s="24" t="s">
        <v>447</v>
      </c>
      <c r="C173" s="42">
        <f>+Tabla130[[#This Row],[COSTO CON IVA]]/Tabla130[[#This Row],[UTILIDAD]]</f>
        <v>77000</v>
      </c>
      <c r="D173" s="42">
        <f>+Tabla130[[#This Row],[PRECIO INSTALLER (CON IVA)]]-Tabla130[[#This Row],[Columna4]]</f>
        <v>73150</v>
      </c>
      <c r="E173" s="42">
        <f>+Tabla130[[#This Row],[PRECIO INSTALLER (CON IVA)]]/0.7</f>
        <v>110000</v>
      </c>
      <c r="F173" s="20">
        <f>+Tabla130[[#This Row],[PRECIO INSTALLER (CON IVA)]]*5%</f>
        <v>3850</v>
      </c>
      <c r="G173" s="9">
        <v>0.85</v>
      </c>
      <c r="H173" s="6">
        <f>Tabla130[[#This Row],[COSTO]]*1.19</f>
        <v>65450</v>
      </c>
      <c r="I173" s="6"/>
      <c r="J173" s="6"/>
      <c r="K173" s="36">
        <v>55000</v>
      </c>
    </row>
    <row r="174" spans="1:11" ht="156.75" x14ac:dyDescent="0.2">
      <c r="A174" s="27" t="s">
        <v>448</v>
      </c>
      <c r="B174" s="24" t="s">
        <v>449</v>
      </c>
      <c r="C174" s="42">
        <f>+Tabla130[[#This Row],[COSTO CON IVA]]/Tabla130[[#This Row],[UTILIDAD]]</f>
        <v>54880</v>
      </c>
      <c r="D174" s="42">
        <f>+Tabla130[[#This Row],[PRECIO INSTALLER (CON IVA)]]-Tabla130[[#This Row],[Columna4]]</f>
        <v>52136</v>
      </c>
      <c r="E174" s="42">
        <f>+Tabla130[[#This Row],[PRECIO INSTALLER (CON IVA)]]/0.7</f>
        <v>78400</v>
      </c>
      <c r="F174" s="20">
        <f>+Tabla130[[#This Row],[PRECIO INSTALLER (CON IVA)]]*5%</f>
        <v>2744</v>
      </c>
      <c r="G174" s="9">
        <v>0.85</v>
      </c>
      <c r="H174" s="6">
        <f>Tabla130[[#This Row],[COSTO]]*1.19</f>
        <v>46648</v>
      </c>
      <c r="I174" s="6"/>
      <c r="J174" s="6"/>
      <c r="K174" s="36">
        <v>39200</v>
      </c>
    </row>
    <row r="175" spans="1:11" ht="114" x14ac:dyDescent="0.2">
      <c r="A175" s="27" t="s">
        <v>450</v>
      </c>
      <c r="B175" s="24" t="s">
        <v>451</v>
      </c>
      <c r="C175" s="42">
        <f>+Tabla130[[#This Row],[COSTO CON IVA]]/Tabla130[[#This Row],[UTILIDAD]]</f>
        <v>69720</v>
      </c>
      <c r="D175" s="42">
        <f>+Tabla130[[#This Row],[PRECIO INSTALLER (CON IVA)]]-Tabla130[[#This Row],[Columna4]]</f>
        <v>66234</v>
      </c>
      <c r="E175" s="42">
        <f>+Tabla130[[#This Row],[PRECIO INSTALLER (CON IVA)]]/0.7</f>
        <v>99600</v>
      </c>
      <c r="F175" s="20">
        <f>+Tabla130[[#This Row],[PRECIO INSTALLER (CON IVA)]]*5%</f>
        <v>3486</v>
      </c>
      <c r="G175" s="9">
        <v>0.85</v>
      </c>
      <c r="H175" s="6">
        <f>Tabla130[[#This Row],[COSTO]]*1.19</f>
        <v>59262</v>
      </c>
      <c r="I175" s="6"/>
      <c r="J175" s="6"/>
      <c r="K175" s="36">
        <v>49800</v>
      </c>
    </row>
    <row r="176" spans="1:11" ht="185.25" x14ac:dyDescent="0.2">
      <c r="A176" s="27" t="s">
        <v>452</v>
      </c>
      <c r="B176" s="24" t="s">
        <v>453</v>
      </c>
      <c r="C176" s="42">
        <f>+Tabla130[[#This Row],[COSTO CON IVA]]/Tabla130[[#This Row],[UTILIDAD]]</f>
        <v>91000</v>
      </c>
      <c r="D176" s="42">
        <f>+Tabla130[[#This Row],[PRECIO INSTALLER (CON IVA)]]-Tabla130[[#This Row],[Columna4]]</f>
        <v>86450</v>
      </c>
      <c r="E176" s="42">
        <f>+Tabla130[[#This Row],[PRECIO INSTALLER (CON IVA)]]/0.7</f>
        <v>130000.00000000001</v>
      </c>
      <c r="F176" s="20">
        <f>+Tabla130[[#This Row],[PRECIO INSTALLER (CON IVA)]]*5%</f>
        <v>4550</v>
      </c>
      <c r="G176" s="9">
        <v>0.85</v>
      </c>
      <c r="H176" s="6">
        <f>Tabla130[[#This Row],[COSTO]]*1.19</f>
        <v>77350</v>
      </c>
      <c r="I176" s="6"/>
      <c r="J176" s="6"/>
      <c r="K176" s="36">
        <v>65000</v>
      </c>
    </row>
    <row r="177" spans="1:11" ht="156.75" x14ac:dyDescent="0.2">
      <c r="A177" s="27" t="s">
        <v>454</v>
      </c>
      <c r="B177" s="24" t="s">
        <v>455</v>
      </c>
      <c r="C177" s="42">
        <f>+Tabla130[[#This Row],[COSTO CON IVA]]/Tabla130[[#This Row],[UTILIDAD]]</f>
        <v>630000</v>
      </c>
      <c r="D177" s="42">
        <f>+Tabla130[[#This Row],[PRECIO INSTALLER (CON IVA)]]-Tabla130[[#This Row],[Columna4]]</f>
        <v>598500</v>
      </c>
      <c r="E177" s="42">
        <f>+Tabla130[[#This Row],[PRECIO INSTALLER (CON IVA)]]/0.7</f>
        <v>900000</v>
      </c>
      <c r="F177" s="20">
        <f>+Tabla130[[#This Row],[PRECIO INSTALLER (CON IVA)]]*5%</f>
        <v>31500</v>
      </c>
      <c r="G177" s="9">
        <v>0.85</v>
      </c>
      <c r="H177" s="6">
        <f>Tabla130[[#This Row],[COSTO]]*1.19</f>
        <v>535500</v>
      </c>
      <c r="I177" s="6"/>
      <c r="J177" s="6"/>
      <c r="K177" s="36">
        <v>450000</v>
      </c>
    </row>
    <row r="178" spans="1:11" ht="99.75" x14ac:dyDescent="0.2">
      <c r="A178" s="27" t="s">
        <v>103</v>
      </c>
      <c r="B178" s="24" t="s">
        <v>456</v>
      </c>
      <c r="C178" s="42">
        <f>+Tabla130[[#This Row],[COSTO CON IVA]]/Tabla130[[#This Row],[UTILIDAD]]</f>
        <v>127120</v>
      </c>
      <c r="D178" s="42">
        <f>+Tabla130[[#This Row],[PRECIO INSTALLER (CON IVA)]]-Tabla130[[#This Row],[Columna4]]</f>
        <v>120764</v>
      </c>
      <c r="E178" s="42">
        <f>+Tabla130[[#This Row],[PRECIO INSTALLER (CON IVA)]]/0.7</f>
        <v>181600</v>
      </c>
      <c r="F178" s="20">
        <f>+Tabla130[[#This Row],[PRECIO INSTALLER (CON IVA)]]*5%</f>
        <v>6356</v>
      </c>
      <c r="G178" s="9">
        <v>0.85</v>
      </c>
      <c r="H178" s="6">
        <f>Tabla130[[#This Row],[COSTO]]*1.19</f>
        <v>108052</v>
      </c>
      <c r="I178" s="6"/>
      <c r="J178" s="6"/>
      <c r="K178" s="36">
        <v>90800</v>
      </c>
    </row>
    <row r="179" spans="1:11" ht="185.25" x14ac:dyDescent="0.2">
      <c r="A179" s="25" t="s">
        <v>457</v>
      </c>
      <c r="B179" s="24" t="s">
        <v>458</v>
      </c>
      <c r="C179" s="42">
        <f>+Tabla130[[#This Row],[COSTO CON IVA]]/Tabla130[[#This Row],[UTILIDAD]]</f>
        <v>91420</v>
      </c>
      <c r="D179" s="42">
        <f>+Tabla130[[#This Row],[PRECIO INSTALLER (CON IVA)]]-Tabla130[[#This Row],[Columna4]]</f>
        <v>86849</v>
      </c>
      <c r="E179" s="42">
        <f>+Tabla130[[#This Row],[PRECIO INSTALLER (CON IVA)]]/0.7</f>
        <v>130600.00000000001</v>
      </c>
      <c r="F179" s="20">
        <f>+Tabla130[[#This Row],[PRECIO INSTALLER (CON IVA)]]*5%</f>
        <v>4571</v>
      </c>
      <c r="G179" s="9">
        <v>0.85</v>
      </c>
      <c r="H179" s="6">
        <f>Tabla130[[#This Row],[COSTO]]*1.19</f>
        <v>77707</v>
      </c>
      <c r="I179" s="6"/>
      <c r="J179" s="6"/>
      <c r="K179" s="36">
        <v>65300</v>
      </c>
    </row>
    <row r="180" spans="1:11" ht="99.75" x14ac:dyDescent="0.2">
      <c r="A180" s="27" t="s">
        <v>459</v>
      </c>
      <c r="B180" s="24" t="s">
        <v>460</v>
      </c>
      <c r="C180" s="42">
        <f>+Tabla130[[#This Row],[COSTO CON IVA]]/Tabla130[[#This Row],[UTILIDAD]]</f>
        <v>78260</v>
      </c>
      <c r="D180" s="42">
        <f>+Tabla130[[#This Row],[PRECIO INSTALLER (CON IVA)]]-Tabla130[[#This Row],[Columna4]]</f>
        <v>74347</v>
      </c>
      <c r="E180" s="42">
        <f>+Tabla130[[#This Row],[PRECIO INSTALLER (CON IVA)]]/0.7</f>
        <v>111800</v>
      </c>
      <c r="F180" s="20">
        <f>+Tabla130[[#This Row],[PRECIO INSTALLER (CON IVA)]]*5%</f>
        <v>3913</v>
      </c>
      <c r="G180" s="9">
        <v>0.85</v>
      </c>
      <c r="H180" s="6">
        <f>Tabla130[[#This Row],[COSTO]]*1.19</f>
        <v>66521</v>
      </c>
      <c r="I180" s="6"/>
      <c r="J180" s="6"/>
      <c r="K180" s="36">
        <v>55900</v>
      </c>
    </row>
    <row r="181" spans="1:11" ht="156.75" x14ac:dyDescent="0.2">
      <c r="A181" s="25" t="s">
        <v>461</v>
      </c>
      <c r="B181" s="24" t="s">
        <v>462</v>
      </c>
      <c r="C181" s="42">
        <f>+Tabla130[[#This Row],[COSTO CON IVA]]/Tabla130[[#This Row],[UTILIDAD]]</f>
        <v>281540</v>
      </c>
      <c r="D181" s="42">
        <f>+Tabla130[[#This Row],[PRECIO INSTALLER (CON IVA)]]-Tabla130[[#This Row],[Columna4]]</f>
        <v>267463</v>
      </c>
      <c r="E181" s="42">
        <f>+Tabla130[[#This Row],[PRECIO INSTALLER (CON IVA)]]/0.7</f>
        <v>402200</v>
      </c>
      <c r="F181" s="20">
        <f>+Tabla130[[#This Row],[PRECIO INSTALLER (CON IVA)]]*5%</f>
        <v>14077</v>
      </c>
      <c r="G181" s="9">
        <v>0.85</v>
      </c>
      <c r="H181" s="6">
        <f>Tabla130[[#This Row],[COSTO]]*1.19</f>
        <v>239309</v>
      </c>
      <c r="I181" s="6"/>
      <c r="J181" s="6"/>
      <c r="K181" s="36">
        <v>201100</v>
      </c>
    </row>
    <row r="182" spans="1:11" ht="142.5" x14ac:dyDescent="0.2">
      <c r="A182" s="25" t="s">
        <v>463</v>
      </c>
      <c r="B182" s="24" t="s">
        <v>464</v>
      </c>
      <c r="C182" s="42">
        <f>+Tabla130[[#This Row],[COSTO CON IVA]]/Tabla130[[#This Row],[UTILIDAD]]</f>
        <v>250740</v>
      </c>
      <c r="D182" s="42">
        <f>+Tabla130[[#This Row],[PRECIO INSTALLER (CON IVA)]]-Tabla130[[#This Row],[Columna4]]</f>
        <v>238203</v>
      </c>
      <c r="E182" s="42">
        <f>+Tabla130[[#This Row],[PRECIO INSTALLER (CON IVA)]]/0.7</f>
        <v>358200</v>
      </c>
      <c r="F182" s="20">
        <f>+Tabla130[[#This Row],[PRECIO INSTALLER (CON IVA)]]*5%</f>
        <v>12537</v>
      </c>
      <c r="G182" s="9">
        <v>0.85</v>
      </c>
      <c r="H182" s="6">
        <f>Tabla130[[#This Row],[COSTO]]*1.19</f>
        <v>213129</v>
      </c>
      <c r="I182" s="6"/>
      <c r="J182" s="6"/>
      <c r="K182" s="36">
        <v>179100</v>
      </c>
    </row>
    <row r="183" spans="1:11" ht="128.25" x14ac:dyDescent="0.2">
      <c r="A183" s="25" t="s">
        <v>465</v>
      </c>
      <c r="B183" s="24" t="s">
        <v>466</v>
      </c>
      <c r="C183" s="42">
        <f>+Tabla130[[#This Row],[COSTO CON IVA]]/Tabla130[[#This Row],[UTILIDAD]]</f>
        <v>225260</v>
      </c>
      <c r="D183" s="42">
        <f>+Tabla130[[#This Row],[PRECIO INSTALLER (CON IVA)]]-Tabla130[[#This Row],[Columna4]]</f>
        <v>213997</v>
      </c>
      <c r="E183" s="42">
        <f>+Tabla130[[#This Row],[PRECIO INSTALLER (CON IVA)]]/0.7</f>
        <v>321800</v>
      </c>
      <c r="F183" s="20">
        <f>+Tabla130[[#This Row],[PRECIO INSTALLER (CON IVA)]]*5%</f>
        <v>11263</v>
      </c>
      <c r="G183" s="9">
        <v>0.85</v>
      </c>
      <c r="H183" s="6">
        <f>Tabla130[[#This Row],[COSTO]]*1.19</f>
        <v>191471</v>
      </c>
      <c r="I183" s="6"/>
      <c r="J183" s="6"/>
      <c r="K183" s="36">
        <v>160900</v>
      </c>
    </row>
    <row r="184" spans="1:11" ht="114" x14ac:dyDescent="0.2">
      <c r="A184" s="25" t="s">
        <v>467</v>
      </c>
      <c r="B184" s="24" t="s">
        <v>468</v>
      </c>
      <c r="C184" s="42">
        <f>+Tabla130[[#This Row],[COSTO CON IVA]]/Tabla130[[#This Row],[UTILIDAD]]</f>
        <v>195160</v>
      </c>
      <c r="D184" s="42">
        <f>+Tabla130[[#This Row],[PRECIO INSTALLER (CON IVA)]]-Tabla130[[#This Row],[Columna4]]</f>
        <v>185402</v>
      </c>
      <c r="E184" s="42">
        <f>+Tabla130[[#This Row],[PRECIO INSTALLER (CON IVA)]]/0.7</f>
        <v>278800</v>
      </c>
      <c r="F184" s="20">
        <f>+Tabla130[[#This Row],[PRECIO INSTALLER (CON IVA)]]*5%</f>
        <v>9758</v>
      </c>
      <c r="G184" s="9">
        <v>0.85</v>
      </c>
      <c r="H184" s="6">
        <f>Tabla130[[#This Row],[COSTO]]*1.19</f>
        <v>165886</v>
      </c>
      <c r="I184" s="6"/>
      <c r="J184" s="6"/>
      <c r="K184" s="36">
        <v>139400</v>
      </c>
    </row>
    <row r="185" spans="1:11" ht="171" x14ac:dyDescent="0.2">
      <c r="A185" s="25" t="s">
        <v>469</v>
      </c>
      <c r="B185" s="24" t="s">
        <v>470</v>
      </c>
      <c r="C185" s="42">
        <f>+Tabla130[[#This Row],[COSTO CON IVA]]/Tabla130[[#This Row],[UTILIDAD]]</f>
        <v>463400</v>
      </c>
      <c r="D185" s="42">
        <f>+Tabla130[[#This Row],[PRECIO INSTALLER (CON IVA)]]-Tabla130[[#This Row],[Columna4]]</f>
        <v>440230</v>
      </c>
      <c r="E185" s="42">
        <f>+Tabla130[[#This Row],[PRECIO INSTALLER (CON IVA)]]/0.7</f>
        <v>662000</v>
      </c>
      <c r="F185" s="20">
        <f>+Tabla130[[#This Row],[PRECIO INSTALLER (CON IVA)]]*5%</f>
        <v>23170</v>
      </c>
      <c r="G185" s="9">
        <v>0.85</v>
      </c>
      <c r="H185" s="6">
        <f>Tabla130[[#This Row],[COSTO]]*1.19</f>
        <v>393890</v>
      </c>
      <c r="I185" s="6"/>
      <c r="J185" s="6"/>
      <c r="K185" s="36">
        <v>331000</v>
      </c>
    </row>
    <row r="186" spans="1:11" ht="142.5" x14ac:dyDescent="0.2">
      <c r="A186" s="25" t="s">
        <v>471</v>
      </c>
      <c r="B186" s="24" t="s">
        <v>472</v>
      </c>
      <c r="C186" s="42">
        <f>+Tabla130[[#This Row],[COSTO CON IVA]]/Tabla130[[#This Row],[UTILIDAD]]</f>
        <v>370720</v>
      </c>
      <c r="D186" s="42">
        <f>+Tabla130[[#This Row],[PRECIO INSTALLER (CON IVA)]]-Tabla130[[#This Row],[Columna4]]</f>
        <v>352184</v>
      </c>
      <c r="E186" s="42">
        <f>+Tabla130[[#This Row],[PRECIO INSTALLER (CON IVA)]]/0.7</f>
        <v>529600</v>
      </c>
      <c r="F186" s="20">
        <f>+Tabla130[[#This Row],[PRECIO INSTALLER (CON IVA)]]*5%</f>
        <v>18536</v>
      </c>
      <c r="G186" s="9">
        <v>0.85</v>
      </c>
      <c r="H186" s="6">
        <f>Tabla130[[#This Row],[COSTO]]*1.19</f>
        <v>315112</v>
      </c>
      <c r="I186" s="6"/>
      <c r="J186" s="6"/>
      <c r="K186" s="36">
        <v>264800</v>
      </c>
    </row>
    <row r="187" spans="1:11" ht="156.75" x14ac:dyDescent="0.2">
      <c r="A187" s="25" t="s">
        <v>473</v>
      </c>
      <c r="B187" s="24" t="s">
        <v>474</v>
      </c>
      <c r="C187" s="42">
        <f>+Tabla130[[#This Row],[COSTO CON IVA]]/Tabla130[[#This Row],[UTILIDAD]]</f>
        <v>370160</v>
      </c>
      <c r="D187" s="42">
        <f>+Tabla130[[#This Row],[PRECIO INSTALLER (CON IVA)]]-Tabla130[[#This Row],[Columna4]]</f>
        <v>351652</v>
      </c>
      <c r="E187" s="42">
        <f>+Tabla130[[#This Row],[PRECIO INSTALLER (CON IVA)]]/0.7</f>
        <v>528800</v>
      </c>
      <c r="F187" s="20">
        <f>+Tabla130[[#This Row],[PRECIO INSTALLER (CON IVA)]]*5%</f>
        <v>18508</v>
      </c>
      <c r="G187" s="9">
        <v>0.85</v>
      </c>
      <c r="H187" s="6">
        <f>Tabla130[[#This Row],[COSTO]]*1.19</f>
        <v>314636</v>
      </c>
      <c r="I187" s="6"/>
      <c r="J187" s="6"/>
      <c r="K187" s="36">
        <v>264400</v>
      </c>
    </row>
    <row r="188" spans="1:11" ht="142.5" x14ac:dyDescent="0.2">
      <c r="A188" s="25" t="s">
        <v>475</v>
      </c>
      <c r="B188" s="24" t="s">
        <v>476</v>
      </c>
      <c r="C188" s="42">
        <f>+Tabla130[[#This Row],[COSTO CON IVA]]/Tabla130[[#This Row],[UTILIDAD]]</f>
        <v>314580</v>
      </c>
      <c r="D188" s="42">
        <f>+Tabla130[[#This Row],[PRECIO INSTALLER (CON IVA)]]-Tabla130[[#This Row],[Columna4]]</f>
        <v>298851</v>
      </c>
      <c r="E188" s="42">
        <f>+Tabla130[[#This Row],[PRECIO INSTALLER (CON IVA)]]/0.7</f>
        <v>449400</v>
      </c>
      <c r="F188" s="20">
        <f>+Tabla130[[#This Row],[PRECIO INSTALLER (CON IVA)]]*5%</f>
        <v>15729</v>
      </c>
      <c r="G188" s="9">
        <v>0.85</v>
      </c>
      <c r="H188" s="6">
        <f>Tabla130[[#This Row],[COSTO]]*1.19</f>
        <v>267393</v>
      </c>
      <c r="I188" s="6"/>
      <c r="J188" s="6"/>
      <c r="K188" s="36">
        <v>224700</v>
      </c>
    </row>
    <row r="189" spans="1:11" ht="156.75" x14ac:dyDescent="0.2">
      <c r="A189" s="25" t="s">
        <v>477</v>
      </c>
      <c r="B189" s="24" t="s">
        <v>478</v>
      </c>
      <c r="C189" s="42">
        <f>+Tabla130[[#This Row],[COSTO CON IVA]]/Tabla130[[#This Row],[UTILIDAD]]</f>
        <v>172200</v>
      </c>
      <c r="D189" s="42">
        <f>+Tabla130[[#This Row],[PRECIO INSTALLER (CON IVA)]]-Tabla130[[#This Row],[Columna4]]</f>
        <v>163590</v>
      </c>
      <c r="E189" s="42">
        <f>+Tabla130[[#This Row],[PRECIO INSTALLER (CON IVA)]]/0.7</f>
        <v>246000.00000000003</v>
      </c>
      <c r="F189" s="20">
        <f>+Tabla130[[#This Row],[PRECIO INSTALLER (CON IVA)]]*5%</f>
        <v>8610</v>
      </c>
      <c r="G189" s="9">
        <v>0.85</v>
      </c>
      <c r="H189" s="6">
        <f>Tabla130[[#This Row],[COSTO]]*1.19</f>
        <v>146370</v>
      </c>
      <c r="I189" s="6"/>
      <c r="J189" s="6"/>
      <c r="K189" s="36">
        <v>123000</v>
      </c>
    </row>
    <row r="190" spans="1:11" ht="156.75" x14ac:dyDescent="0.2">
      <c r="A190" s="25" t="s">
        <v>479</v>
      </c>
      <c r="B190" s="24" t="s">
        <v>480</v>
      </c>
      <c r="C190" s="42">
        <f>+Tabla130[[#This Row],[COSTO CON IVA]]/Tabla130[[#This Row],[UTILIDAD]]</f>
        <v>154980</v>
      </c>
      <c r="D190" s="42">
        <f>+Tabla130[[#This Row],[PRECIO INSTALLER (CON IVA)]]-Tabla130[[#This Row],[Columna4]]</f>
        <v>147231</v>
      </c>
      <c r="E190" s="42">
        <f>+Tabla130[[#This Row],[PRECIO INSTALLER (CON IVA)]]/0.7</f>
        <v>221400</v>
      </c>
      <c r="F190" s="20">
        <f>+Tabla130[[#This Row],[PRECIO INSTALLER (CON IVA)]]*5%</f>
        <v>7749</v>
      </c>
      <c r="G190" s="9">
        <v>0.85</v>
      </c>
      <c r="H190" s="6">
        <f>Tabla130[[#This Row],[COSTO]]*1.19</f>
        <v>131733</v>
      </c>
      <c r="I190" s="6"/>
      <c r="J190" s="6"/>
      <c r="K190" s="36">
        <v>110700</v>
      </c>
    </row>
    <row r="191" spans="1:11" ht="114" x14ac:dyDescent="0.2">
      <c r="A191" s="25" t="s">
        <v>481</v>
      </c>
      <c r="B191" s="24" t="s">
        <v>482</v>
      </c>
      <c r="C191" s="42">
        <f>+Tabla130[[#This Row],[COSTO CON IVA]]/Tabla130[[#This Row],[UTILIDAD]]</f>
        <v>122920</v>
      </c>
      <c r="D191" s="42">
        <f>+Tabla130[[#This Row],[PRECIO INSTALLER (CON IVA)]]-Tabla130[[#This Row],[Columna4]]</f>
        <v>116774</v>
      </c>
      <c r="E191" s="42">
        <f>+Tabla130[[#This Row],[PRECIO INSTALLER (CON IVA)]]/0.7</f>
        <v>175600</v>
      </c>
      <c r="F191" s="20">
        <f>+Tabla130[[#This Row],[PRECIO INSTALLER (CON IVA)]]*5%</f>
        <v>6146</v>
      </c>
      <c r="G191" s="9">
        <v>0.85</v>
      </c>
      <c r="H191" s="6">
        <f>Tabla130[[#This Row],[COSTO]]*1.19</f>
        <v>104482</v>
      </c>
      <c r="I191" s="6"/>
      <c r="J191" s="6"/>
      <c r="K191" s="36">
        <v>87800</v>
      </c>
    </row>
    <row r="192" spans="1:11" ht="128.25" x14ac:dyDescent="0.2">
      <c r="A192" s="25" t="s">
        <v>483</v>
      </c>
      <c r="B192" s="24" t="s">
        <v>484</v>
      </c>
      <c r="C192" s="42">
        <f>+Tabla130[[#This Row],[COSTO CON IVA]]/Tabla130[[#This Row],[UTILIDAD]]</f>
        <v>106260</v>
      </c>
      <c r="D192" s="42">
        <f>+Tabla130[[#This Row],[PRECIO INSTALLER (CON IVA)]]-Tabla130[[#This Row],[Columna4]]</f>
        <v>100947</v>
      </c>
      <c r="E192" s="42">
        <f>+Tabla130[[#This Row],[PRECIO INSTALLER (CON IVA)]]/0.7</f>
        <v>151800</v>
      </c>
      <c r="F192" s="20">
        <f>+Tabla130[[#This Row],[PRECIO INSTALLER (CON IVA)]]*5%</f>
        <v>5313</v>
      </c>
      <c r="G192" s="9">
        <v>0.85</v>
      </c>
      <c r="H192" s="6">
        <f>Tabla130[[#This Row],[COSTO]]*1.19</f>
        <v>90321</v>
      </c>
      <c r="I192" s="6"/>
      <c r="J192" s="6"/>
      <c r="K192" s="36">
        <v>75900</v>
      </c>
    </row>
    <row r="193" spans="1:11" ht="114" x14ac:dyDescent="0.2">
      <c r="A193" s="25" t="s">
        <v>485</v>
      </c>
      <c r="B193" s="24" t="s">
        <v>486</v>
      </c>
      <c r="C193" s="42">
        <f>+Tabla130[[#This Row],[COSTO CON IVA]]/Tabla130[[#This Row],[UTILIDAD]]</f>
        <v>83300</v>
      </c>
      <c r="D193" s="42">
        <f>+Tabla130[[#This Row],[PRECIO INSTALLER (CON IVA)]]-Tabla130[[#This Row],[Columna4]]</f>
        <v>79135</v>
      </c>
      <c r="E193" s="42">
        <f>+Tabla130[[#This Row],[PRECIO INSTALLER (CON IVA)]]/0.7</f>
        <v>119000.00000000001</v>
      </c>
      <c r="F193" s="20">
        <f>+Tabla130[[#This Row],[PRECIO INSTALLER (CON IVA)]]*5%</f>
        <v>4165</v>
      </c>
      <c r="G193" s="9">
        <v>0.85</v>
      </c>
      <c r="H193" s="6">
        <f>Tabla130[[#This Row],[COSTO]]*1.19</f>
        <v>70805</v>
      </c>
      <c r="I193" s="6"/>
      <c r="J193" s="6"/>
      <c r="K193" s="36">
        <v>59500</v>
      </c>
    </row>
    <row r="194" spans="1:11" ht="171" x14ac:dyDescent="0.2">
      <c r="A194" s="25" t="s">
        <v>487</v>
      </c>
      <c r="B194" s="24" t="s">
        <v>488</v>
      </c>
      <c r="C194" s="42">
        <f>+Tabla130[[#This Row],[COSTO CON IVA]]/Tabla130[[#This Row],[UTILIDAD]]</f>
        <v>965580</v>
      </c>
      <c r="D194" s="42">
        <f>+Tabla130[[#This Row],[PRECIO INSTALLER (CON IVA)]]-Tabla130[[#This Row],[Columna4]]</f>
        <v>917301</v>
      </c>
      <c r="E194" s="42">
        <f>+Tabla130[[#This Row],[PRECIO INSTALLER (CON IVA)]]/0.7</f>
        <v>1379400</v>
      </c>
      <c r="F194" s="20">
        <f>+Tabla130[[#This Row],[PRECIO INSTALLER (CON IVA)]]*5%</f>
        <v>48279</v>
      </c>
      <c r="G194" s="9">
        <v>0.85</v>
      </c>
      <c r="H194" s="6">
        <f>Tabla130[[#This Row],[COSTO]]*1.19</f>
        <v>820743</v>
      </c>
      <c r="I194" s="6"/>
      <c r="J194" s="6"/>
      <c r="K194" s="36">
        <v>689700</v>
      </c>
    </row>
    <row r="195" spans="1:11" ht="171" x14ac:dyDescent="0.2">
      <c r="A195" s="25" t="s">
        <v>489</v>
      </c>
      <c r="B195" s="24" t="s">
        <v>490</v>
      </c>
      <c r="C195" s="42">
        <f>+Tabla130[[#This Row],[COSTO CON IVA]]/Tabla130[[#This Row],[UTILIDAD]]</f>
        <v>418600</v>
      </c>
      <c r="D195" s="42">
        <f>+Tabla130[[#This Row],[PRECIO INSTALLER (CON IVA)]]-Tabla130[[#This Row],[Columna4]]</f>
        <v>397670</v>
      </c>
      <c r="E195" s="42">
        <f>+Tabla130[[#This Row],[PRECIO INSTALLER (CON IVA)]]/0.7</f>
        <v>598000</v>
      </c>
      <c r="F195" s="20">
        <f>+Tabla130[[#This Row],[PRECIO INSTALLER (CON IVA)]]*5%</f>
        <v>20930</v>
      </c>
      <c r="G195" s="9">
        <v>0.85</v>
      </c>
      <c r="H195" s="6">
        <f>Tabla130[[#This Row],[COSTO]]*1.19</f>
        <v>355810</v>
      </c>
      <c r="I195" s="6"/>
      <c r="J195" s="6"/>
      <c r="K195" s="36">
        <v>299000</v>
      </c>
    </row>
    <row r="196" spans="1:11" ht="156.75" x14ac:dyDescent="0.2">
      <c r="A196" s="25" t="s">
        <v>491</v>
      </c>
      <c r="B196" s="24" t="s">
        <v>492</v>
      </c>
      <c r="C196" s="42">
        <f>+Tabla130[[#This Row],[COSTO CON IVA]]/Tabla130[[#This Row],[UTILIDAD]]</f>
        <v>336000</v>
      </c>
      <c r="D196" s="42">
        <f>+Tabla130[[#This Row],[PRECIO INSTALLER (CON IVA)]]-Tabla130[[#This Row],[Columna4]]</f>
        <v>319200</v>
      </c>
      <c r="E196" s="42">
        <f>+Tabla130[[#This Row],[PRECIO INSTALLER (CON IVA)]]/0.7</f>
        <v>480000.00000000006</v>
      </c>
      <c r="F196" s="20">
        <f>+Tabla130[[#This Row],[PRECIO INSTALLER (CON IVA)]]*5%</f>
        <v>16800</v>
      </c>
      <c r="G196" s="9">
        <v>0.85</v>
      </c>
      <c r="H196" s="6">
        <f>Tabla130[[#This Row],[COSTO]]*1.19</f>
        <v>285600</v>
      </c>
      <c r="I196" s="6"/>
      <c r="J196" s="6"/>
      <c r="K196" s="36">
        <v>240000</v>
      </c>
    </row>
    <row r="197" spans="1:11" ht="171" x14ac:dyDescent="0.2">
      <c r="A197" s="25" t="s">
        <v>493</v>
      </c>
      <c r="B197" s="24" t="s">
        <v>494</v>
      </c>
      <c r="C197" s="42">
        <f>+Tabla130[[#This Row],[COSTO CON IVA]]/Tabla130[[#This Row],[UTILIDAD]]</f>
        <v>1050000</v>
      </c>
      <c r="D197" s="42">
        <f>+Tabla130[[#This Row],[PRECIO INSTALLER (CON IVA)]]-Tabla130[[#This Row],[Columna4]]</f>
        <v>997500</v>
      </c>
      <c r="E197" s="42">
        <f>+Tabla130[[#This Row],[PRECIO INSTALLER (CON IVA)]]/0.7</f>
        <v>1500000</v>
      </c>
      <c r="F197" s="20">
        <f>+Tabla130[[#This Row],[PRECIO INSTALLER (CON IVA)]]*5%</f>
        <v>52500</v>
      </c>
      <c r="G197" s="9">
        <v>0.85</v>
      </c>
      <c r="H197" s="6">
        <f>Tabla130[[#This Row],[COSTO]]*1.19</f>
        <v>892500</v>
      </c>
      <c r="I197" s="6"/>
      <c r="J197" s="6"/>
      <c r="K197" s="36">
        <v>750000</v>
      </c>
    </row>
    <row r="198" spans="1:11" ht="185.25" x14ac:dyDescent="0.2">
      <c r="A198" s="27" t="s">
        <v>495</v>
      </c>
      <c r="B198" s="24" t="s">
        <v>496</v>
      </c>
      <c r="C198" s="42">
        <f>+Tabla130[[#This Row],[COSTO CON IVA]]/Tabla130[[#This Row],[UTILIDAD]]</f>
        <v>700000</v>
      </c>
      <c r="D198" s="42">
        <f>+Tabla130[[#This Row],[PRECIO INSTALLER (CON IVA)]]-Tabla130[[#This Row],[Columna4]]</f>
        <v>665000</v>
      </c>
      <c r="E198" s="42">
        <f>+Tabla130[[#This Row],[PRECIO INSTALLER (CON IVA)]]/0.7</f>
        <v>1000000.0000000001</v>
      </c>
      <c r="F198" s="20">
        <f>+Tabla130[[#This Row],[PRECIO INSTALLER (CON IVA)]]*5%</f>
        <v>35000</v>
      </c>
      <c r="G198" s="9">
        <v>0.85</v>
      </c>
      <c r="H198" s="6">
        <f>Tabla130[[#This Row],[COSTO]]*1.19</f>
        <v>595000</v>
      </c>
      <c r="I198" s="6"/>
      <c r="J198" s="6"/>
      <c r="K198" s="36">
        <v>500000</v>
      </c>
    </row>
    <row r="199" spans="1:11" ht="199.5" x14ac:dyDescent="0.2">
      <c r="A199" s="25" t="s">
        <v>497</v>
      </c>
      <c r="B199" s="24" t="s">
        <v>498</v>
      </c>
      <c r="C199" s="42">
        <f>+Tabla130[[#This Row],[COSTO CON IVA]]/Tabla130[[#This Row],[UTILIDAD]]</f>
        <v>602000</v>
      </c>
      <c r="D199" s="42">
        <f>+Tabla130[[#This Row],[PRECIO INSTALLER (CON IVA)]]-Tabla130[[#This Row],[Columna4]]</f>
        <v>571900</v>
      </c>
      <c r="E199" s="42">
        <f>+Tabla130[[#This Row],[PRECIO INSTALLER (CON IVA)]]/0.7</f>
        <v>860000</v>
      </c>
      <c r="F199" s="20">
        <f>+Tabla130[[#This Row],[PRECIO INSTALLER (CON IVA)]]*5%</f>
        <v>30100</v>
      </c>
      <c r="G199" s="9">
        <v>0.85</v>
      </c>
      <c r="H199" s="6">
        <f>Tabla130[[#This Row],[COSTO]]*1.19</f>
        <v>511700</v>
      </c>
      <c r="I199" s="6"/>
      <c r="J199" s="6"/>
      <c r="K199" s="36">
        <v>430000</v>
      </c>
    </row>
    <row r="200" spans="1:11" ht="171" x14ac:dyDescent="0.2">
      <c r="A200" s="25" t="s">
        <v>499</v>
      </c>
      <c r="B200" s="24" t="s">
        <v>500</v>
      </c>
      <c r="C200" s="42">
        <f>+Tabla130[[#This Row],[COSTO CON IVA]]/Tabla130[[#This Row],[UTILIDAD]]</f>
        <v>560000</v>
      </c>
      <c r="D200" s="42">
        <f>+Tabla130[[#This Row],[PRECIO INSTALLER (CON IVA)]]-Tabla130[[#This Row],[Columna4]]</f>
        <v>532000</v>
      </c>
      <c r="E200" s="42">
        <f>+Tabla130[[#This Row],[PRECIO INSTALLER (CON IVA)]]/0.7</f>
        <v>800000</v>
      </c>
      <c r="F200" s="20">
        <f>+Tabla130[[#This Row],[PRECIO INSTALLER (CON IVA)]]*5%</f>
        <v>28000</v>
      </c>
      <c r="G200" s="9">
        <v>0.85</v>
      </c>
      <c r="H200" s="6">
        <f>Tabla130[[#This Row],[COSTO]]*1.19</f>
        <v>476000</v>
      </c>
      <c r="I200" s="6"/>
      <c r="J200" s="6"/>
      <c r="K200" s="36">
        <v>400000</v>
      </c>
    </row>
    <row r="201" spans="1:11" ht="171" x14ac:dyDescent="0.2">
      <c r="A201" s="25" t="s">
        <v>501</v>
      </c>
      <c r="B201" s="24" t="s">
        <v>502</v>
      </c>
      <c r="C201" s="42">
        <f>+Tabla130[[#This Row],[COSTO CON IVA]]/Tabla130[[#This Row],[UTILIDAD]]</f>
        <v>315000</v>
      </c>
      <c r="D201" s="42">
        <f>+Tabla130[[#This Row],[PRECIO INSTALLER (CON IVA)]]-Tabla130[[#This Row],[Columna4]]</f>
        <v>299250</v>
      </c>
      <c r="E201" s="42">
        <f>+Tabla130[[#This Row],[PRECIO INSTALLER (CON IVA)]]/0.7</f>
        <v>450000</v>
      </c>
      <c r="F201" s="20">
        <f>+Tabla130[[#This Row],[PRECIO INSTALLER (CON IVA)]]*5%</f>
        <v>15750</v>
      </c>
      <c r="G201" s="9">
        <v>0.85</v>
      </c>
      <c r="H201" s="6">
        <f>Tabla130[[#This Row],[COSTO]]*1.19</f>
        <v>267750</v>
      </c>
      <c r="I201" s="6"/>
      <c r="J201" s="6"/>
      <c r="K201" s="36">
        <v>225000</v>
      </c>
    </row>
    <row r="202" spans="1:11" ht="171" x14ac:dyDescent="0.2">
      <c r="A202" s="25" t="s">
        <v>503</v>
      </c>
      <c r="B202" s="24" t="s">
        <v>504</v>
      </c>
      <c r="C202" s="42">
        <f>+Tabla130[[#This Row],[COSTO CON IVA]]/Tabla130[[#This Row],[UTILIDAD]]</f>
        <v>504000</v>
      </c>
      <c r="D202" s="42">
        <f>+Tabla130[[#This Row],[PRECIO INSTALLER (CON IVA)]]-Tabla130[[#This Row],[Columna4]]</f>
        <v>478800</v>
      </c>
      <c r="E202" s="42">
        <f>+Tabla130[[#This Row],[PRECIO INSTALLER (CON IVA)]]/0.7</f>
        <v>720000</v>
      </c>
      <c r="F202" s="20">
        <f>+Tabla130[[#This Row],[PRECIO INSTALLER (CON IVA)]]*5%</f>
        <v>25200</v>
      </c>
      <c r="G202" s="9">
        <v>0.85</v>
      </c>
      <c r="H202" s="6">
        <f>Tabla130[[#This Row],[COSTO]]*1.19</f>
        <v>428400</v>
      </c>
      <c r="I202" s="6"/>
      <c r="J202" s="6"/>
      <c r="K202" s="36">
        <v>360000</v>
      </c>
    </row>
    <row r="203" spans="1:11" x14ac:dyDescent="0.2">
      <c r="A203" s="25" t="s">
        <v>505</v>
      </c>
      <c r="B203" s="24"/>
      <c r="C203" s="42">
        <f>+Tabla130[[#This Row],[COSTO CON IVA]]/Tabla130[[#This Row],[UTILIDAD]]</f>
        <v>0</v>
      </c>
      <c r="D203" s="42">
        <f>+Tabla130[[#This Row],[PRECIO INSTALLER (CON IVA)]]-Tabla130[[#This Row],[Columna4]]</f>
        <v>0</v>
      </c>
      <c r="E203" s="42">
        <f>+Tabla130[[#This Row],[PRECIO INSTALLER (CON IVA)]]/0.7</f>
        <v>0</v>
      </c>
      <c r="F203" s="20">
        <f>+Tabla130[[#This Row],[PRECIO INSTALLER (CON IVA)]]*5%</f>
        <v>0</v>
      </c>
      <c r="G203" s="9">
        <v>0.85</v>
      </c>
      <c r="H203" s="6">
        <f>Tabla130[[#This Row],[COSTO]]*1.19</f>
        <v>0</v>
      </c>
      <c r="I203" s="6"/>
      <c r="J203" s="6"/>
      <c r="K203" s="36"/>
    </row>
    <row r="204" spans="1:11" ht="156.75" x14ac:dyDescent="0.2">
      <c r="A204" s="25" t="s">
        <v>506</v>
      </c>
      <c r="B204" s="24" t="s">
        <v>462</v>
      </c>
      <c r="C204" s="42">
        <f>+Tabla130[[#This Row],[COSTO CON IVA]]/Tabla130[[#This Row],[UTILIDAD]]</f>
        <v>281540</v>
      </c>
      <c r="D204" s="42">
        <f>+Tabla130[[#This Row],[PRECIO INSTALLER (CON IVA)]]-Tabla130[[#This Row],[Columna4]]</f>
        <v>267463</v>
      </c>
      <c r="E204" s="42">
        <f>+Tabla130[[#This Row],[PRECIO INSTALLER (CON IVA)]]/0.7</f>
        <v>402200</v>
      </c>
      <c r="F204" s="20">
        <f>+Tabla130[[#This Row],[PRECIO INSTALLER (CON IVA)]]*5%</f>
        <v>14077</v>
      </c>
      <c r="G204" s="9">
        <v>0.85</v>
      </c>
      <c r="H204" s="6">
        <f>Tabla130[[#This Row],[COSTO]]*1.19</f>
        <v>239309</v>
      </c>
      <c r="I204" s="6"/>
      <c r="J204" s="6"/>
      <c r="K204" s="36">
        <v>201100</v>
      </c>
    </row>
    <row r="205" spans="1:11" ht="156.75" x14ac:dyDescent="0.2">
      <c r="A205" s="27" t="s">
        <v>507</v>
      </c>
      <c r="B205" s="24" t="s">
        <v>508</v>
      </c>
      <c r="C205" s="42">
        <f>+Tabla130[[#This Row],[COSTO CON IVA]]/Tabla130[[#This Row],[UTILIDAD]]</f>
        <v>217000</v>
      </c>
      <c r="D205" s="42">
        <f>+Tabla130[[#This Row],[PRECIO INSTALLER (CON IVA)]]-Tabla130[[#This Row],[Columna4]]</f>
        <v>206150</v>
      </c>
      <c r="E205" s="42">
        <f>+Tabla130[[#This Row],[PRECIO INSTALLER (CON IVA)]]/0.7</f>
        <v>310000</v>
      </c>
      <c r="F205" s="20">
        <f>+Tabla130[[#This Row],[PRECIO INSTALLER (CON IVA)]]*5%</f>
        <v>10850</v>
      </c>
      <c r="G205" s="9">
        <v>0.85</v>
      </c>
      <c r="H205" s="6">
        <f>Tabla130[[#This Row],[COSTO]]*1.19</f>
        <v>184450</v>
      </c>
      <c r="I205" s="6"/>
      <c r="J205" s="6"/>
      <c r="K205" s="36">
        <v>155000</v>
      </c>
    </row>
    <row r="206" spans="1:11" ht="128.25" x14ac:dyDescent="0.2">
      <c r="A206" s="27" t="s">
        <v>509</v>
      </c>
      <c r="B206" s="24" t="s">
        <v>510</v>
      </c>
      <c r="C206" s="42">
        <f>+Tabla130[[#This Row],[COSTO CON IVA]]/Tabla130[[#This Row],[UTILIDAD]]</f>
        <v>189000</v>
      </c>
      <c r="D206" s="42">
        <f>+Tabla130[[#This Row],[PRECIO INSTALLER (CON IVA)]]-Tabla130[[#This Row],[Columna4]]</f>
        <v>179550</v>
      </c>
      <c r="E206" s="42">
        <f>+Tabla130[[#This Row],[PRECIO INSTALLER (CON IVA)]]/0.7</f>
        <v>270000</v>
      </c>
      <c r="F206" s="20">
        <f>+Tabla130[[#This Row],[PRECIO INSTALLER (CON IVA)]]*5%</f>
        <v>9450</v>
      </c>
      <c r="G206" s="9">
        <v>0.85</v>
      </c>
      <c r="H206" s="6">
        <f>Tabla130[[#This Row],[COSTO]]*1.19</f>
        <v>160650</v>
      </c>
      <c r="I206" s="6"/>
      <c r="J206" s="6"/>
      <c r="K206" s="36">
        <v>135000</v>
      </c>
    </row>
    <row r="207" spans="1:11" ht="128.25" x14ac:dyDescent="0.2">
      <c r="A207" s="25" t="s">
        <v>511</v>
      </c>
      <c r="B207" s="24" t="s">
        <v>512</v>
      </c>
      <c r="C207" s="42">
        <f>+Tabla130[[#This Row],[COSTO CON IVA]]/Tabla130[[#This Row],[UTILIDAD]]</f>
        <v>168000</v>
      </c>
      <c r="D207" s="42">
        <f>+Tabla130[[#This Row],[PRECIO INSTALLER (CON IVA)]]-Tabla130[[#This Row],[Columna4]]</f>
        <v>159600</v>
      </c>
      <c r="E207" s="42">
        <f>+Tabla130[[#This Row],[PRECIO INSTALLER (CON IVA)]]/0.7</f>
        <v>240000.00000000003</v>
      </c>
      <c r="F207" s="20">
        <f>+Tabla130[[#This Row],[PRECIO INSTALLER (CON IVA)]]*5%</f>
        <v>8400</v>
      </c>
      <c r="G207" s="9">
        <v>0.85</v>
      </c>
      <c r="H207" s="6">
        <f>Tabla130[[#This Row],[COSTO]]*1.19</f>
        <v>142800</v>
      </c>
      <c r="I207" s="6"/>
      <c r="J207" s="6"/>
      <c r="K207" s="36">
        <v>120000</v>
      </c>
    </row>
    <row r="208" spans="1:11" ht="213.75" x14ac:dyDescent="0.2">
      <c r="A208" s="25" t="s">
        <v>513</v>
      </c>
      <c r="B208" s="24" t="s">
        <v>514</v>
      </c>
      <c r="C208" s="42">
        <f>+Tabla130[[#This Row],[COSTO CON IVA]]/Tabla130[[#This Row],[UTILIDAD]]</f>
        <v>661920</v>
      </c>
      <c r="D208" s="42">
        <f>+Tabla130[[#This Row],[PRECIO INSTALLER (CON IVA)]]-Tabla130[[#This Row],[Columna4]]</f>
        <v>628824</v>
      </c>
      <c r="E208" s="42">
        <f>+Tabla130[[#This Row],[PRECIO INSTALLER (CON IVA)]]/0.7</f>
        <v>945600.00000000012</v>
      </c>
      <c r="F208" s="20">
        <f>+Tabla130[[#This Row],[PRECIO INSTALLER (CON IVA)]]*5%</f>
        <v>33096</v>
      </c>
      <c r="G208" s="9">
        <v>0.85</v>
      </c>
      <c r="H208" s="6">
        <f>Tabla130[[#This Row],[COSTO]]*1.19</f>
        <v>562632</v>
      </c>
      <c r="I208" s="6"/>
      <c r="J208" s="6"/>
      <c r="K208" s="36">
        <v>472800</v>
      </c>
    </row>
    <row r="209" spans="1:11" ht="171" x14ac:dyDescent="0.2">
      <c r="A209" s="25" t="s">
        <v>515</v>
      </c>
      <c r="B209" s="24" t="s">
        <v>470</v>
      </c>
      <c r="C209" s="42">
        <f>+Tabla130[[#This Row],[COSTO CON IVA]]/Tabla130[[#This Row],[UTILIDAD]]</f>
        <v>406000</v>
      </c>
      <c r="D209" s="42">
        <f>+Tabla130[[#This Row],[PRECIO INSTALLER (CON IVA)]]-Tabla130[[#This Row],[Columna4]]</f>
        <v>385700</v>
      </c>
      <c r="E209" s="42">
        <f>+Tabla130[[#This Row],[PRECIO INSTALLER (CON IVA)]]/0.7</f>
        <v>580000</v>
      </c>
      <c r="F209" s="20">
        <f>+Tabla130[[#This Row],[PRECIO INSTALLER (CON IVA)]]*5%</f>
        <v>20300</v>
      </c>
      <c r="G209" s="9">
        <v>0.85</v>
      </c>
      <c r="H209" s="6">
        <f>Tabla130[[#This Row],[COSTO]]*1.19</f>
        <v>345100</v>
      </c>
      <c r="I209" s="6"/>
      <c r="J209" s="6"/>
      <c r="K209" s="36">
        <v>290000</v>
      </c>
    </row>
    <row r="210" spans="1:11" ht="142.5" x14ac:dyDescent="0.2">
      <c r="A210" s="25" t="s">
        <v>516</v>
      </c>
      <c r="B210" s="24" t="s">
        <v>517</v>
      </c>
      <c r="C210" s="42">
        <f>+Tabla130[[#This Row],[COSTO CON IVA]]/Tabla130[[#This Row],[UTILIDAD]]</f>
        <v>370720</v>
      </c>
      <c r="D210" s="42">
        <f>+Tabla130[[#This Row],[PRECIO INSTALLER (CON IVA)]]-Tabla130[[#This Row],[Columna4]]</f>
        <v>352184</v>
      </c>
      <c r="E210" s="42">
        <f>+Tabla130[[#This Row],[PRECIO INSTALLER (CON IVA)]]/0.7</f>
        <v>529600</v>
      </c>
      <c r="F210" s="20">
        <f>+Tabla130[[#This Row],[PRECIO INSTALLER (CON IVA)]]*5%</f>
        <v>18536</v>
      </c>
      <c r="G210" s="9">
        <v>0.85</v>
      </c>
      <c r="H210" s="6">
        <f>Tabla130[[#This Row],[COSTO]]*1.19</f>
        <v>315112</v>
      </c>
      <c r="I210" s="6"/>
      <c r="J210" s="6"/>
      <c r="K210" s="36">
        <v>264800</v>
      </c>
    </row>
    <row r="211" spans="1:11" ht="156.75" x14ac:dyDescent="0.2">
      <c r="A211" s="25" t="s">
        <v>518</v>
      </c>
      <c r="B211" s="24" t="s">
        <v>519</v>
      </c>
      <c r="C211" s="42">
        <f>+Tabla130[[#This Row],[COSTO CON IVA]]/Tabla130[[#This Row],[UTILIDAD]]</f>
        <v>748300</v>
      </c>
      <c r="D211" s="42">
        <f>+Tabla130[[#This Row],[PRECIO INSTALLER (CON IVA)]]-Tabla130[[#This Row],[Columna4]]</f>
        <v>710885</v>
      </c>
      <c r="E211" s="42">
        <f>+Tabla130[[#This Row],[PRECIO INSTALLER (CON IVA)]]/0.7</f>
        <v>1069000</v>
      </c>
      <c r="F211" s="20">
        <f>+Tabla130[[#This Row],[PRECIO INSTALLER (CON IVA)]]*5%</f>
        <v>37415</v>
      </c>
      <c r="G211" s="9">
        <v>0.85</v>
      </c>
      <c r="H211" s="6">
        <f>Tabla130[[#This Row],[COSTO]]*1.19</f>
        <v>636055</v>
      </c>
      <c r="I211" s="6"/>
      <c r="J211" s="6"/>
      <c r="K211" s="36">
        <v>534500</v>
      </c>
    </row>
    <row r="212" spans="1:11" ht="156.75" x14ac:dyDescent="0.2">
      <c r="A212" s="25" t="s">
        <v>520</v>
      </c>
      <c r="B212" s="24" t="s">
        <v>521</v>
      </c>
      <c r="C212" s="42">
        <f>+Tabla130[[#This Row],[COSTO CON IVA]]/Tabla130[[#This Row],[UTILIDAD]]</f>
        <v>463960</v>
      </c>
      <c r="D212" s="42">
        <f>+Tabla130[[#This Row],[PRECIO INSTALLER (CON IVA)]]-Tabla130[[#This Row],[Columna4]]</f>
        <v>440762</v>
      </c>
      <c r="E212" s="42">
        <f>+Tabla130[[#This Row],[PRECIO INSTALLER (CON IVA)]]/0.7</f>
        <v>662800</v>
      </c>
      <c r="F212" s="20">
        <f>+Tabla130[[#This Row],[PRECIO INSTALLER (CON IVA)]]*5%</f>
        <v>23198</v>
      </c>
      <c r="G212" s="9">
        <v>0.85</v>
      </c>
      <c r="H212" s="6">
        <f>Tabla130[[#This Row],[COSTO]]*1.19</f>
        <v>394366</v>
      </c>
      <c r="I212" s="6"/>
      <c r="J212" s="6"/>
      <c r="K212" s="36">
        <v>331400</v>
      </c>
    </row>
    <row r="213" spans="1:11" ht="142.5" x14ac:dyDescent="0.2">
      <c r="A213" s="25" t="s">
        <v>522</v>
      </c>
      <c r="B213" s="24" t="s">
        <v>523</v>
      </c>
      <c r="C213" s="42">
        <f>+Tabla130[[#This Row],[COSTO CON IVA]]/Tabla130[[#This Row],[UTILIDAD]]</f>
        <v>321860</v>
      </c>
      <c r="D213" s="42">
        <f>+Tabla130[[#This Row],[PRECIO INSTALLER (CON IVA)]]-Tabla130[[#This Row],[Columna4]]</f>
        <v>305767</v>
      </c>
      <c r="E213" s="42">
        <f>+Tabla130[[#This Row],[PRECIO INSTALLER (CON IVA)]]/0.7</f>
        <v>459800.00000000006</v>
      </c>
      <c r="F213" s="20">
        <f>+Tabla130[[#This Row],[PRECIO INSTALLER (CON IVA)]]*5%</f>
        <v>16093</v>
      </c>
      <c r="G213" s="9">
        <v>0.85</v>
      </c>
      <c r="H213" s="6">
        <f>Tabla130[[#This Row],[COSTO]]*1.19</f>
        <v>273581</v>
      </c>
      <c r="I213" s="6"/>
      <c r="J213" s="6"/>
      <c r="K213" s="36">
        <v>229900</v>
      </c>
    </row>
    <row r="214" spans="1:11" ht="156.75" x14ac:dyDescent="0.2">
      <c r="A214" s="25" t="s">
        <v>524</v>
      </c>
      <c r="B214" s="24" t="s">
        <v>525</v>
      </c>
      <c r="C214" s="42">
        <f>+Tabla130[[#This Row],[COSTO CON IVA]]/Tabla130[[#This Row],[UTILIDAD]]</f>
        <v>296100</v>
      </c>
      <c r="D214" s="42">
        <f>+Tabla130[[#This Row],[PRECIO INSTALLER (CON IVA)]]-Tabla130[[#This Row],[Columna4]]</f>
        <v>281295</v>
      </c>
      <c r="E214" s="42">
        <f>+Tabla130[[#This Row],[PRECIO INSTALLER (CON IVA)]]/0.7</f>
        <v>423000</v>
      </c>
      <c r="F214" s="20">
        <f>+Tabla130[[#This Row],[PRECIO INSTALLER (CON IVA)]]*5%</f>
        <v>14805</v>
      </c>
      <c r="G214" s="9">
        <v>0.85</v>
      </c>
      <c r="H214" s="6">
        <f>Tabla130[[#This Row],[COSTO]]*1.19</f>
        <v>251685</v>
      </c>
      <c r="I214" s="6"/>
      <c r="J214" s="6"/>
      <c r="K214" s="36">
        <v>211500</v>
      </c>
    </row>
    <row r="215" spans="1:11" ht="142.5" x14ac:dyDescent="0.2">
      <c r="A215" s="25" t="s">
        <v>526</v>
      </c>
      <c r="B215" s="24" t="s">
        <v>476</v>
      </c>
      <c r="C215" s="42">
        <f>+Tabla130[[#This Row],[COSTO CON IVA]]/Tabla130[[#This Row],[UTILIDAD]]</f>
        <v>251720</v>
      </c>
      <c r="D215" s="42">
        <f>+Tabla130[[#This Row],[PRECIO INSTALLER (CON IVA)]]-Tabla130[[#This Row],[Columna4]]</f>
        <v>239134</v>
      </c>
      <c r="E215" s="42">
        <f>+Tabla130[[#This Row],[PRECIO INSTALLER (CON IVA)]]/0.7</f>
        <v>359600</v>
      </c>
      <c r="F215" s="20">
        <f>+Tabla130[[#This Row],[PRECIO INSTALLER (CON IVA)]]*5%</f>
        <v>12586</v>
      </c>
      <c r="G215" s="9">
        <v>0.85</v>
      </c>
      <c r="H215" s="6">
        <f>Tabla130[[#This Row],[COSTO]]*1.19</f>
        <v>213962</v>
      </c>
      <c r="I215" s="6"/>
      <c r="J215" s="6"/>
      <c r="K215" s="36">
        <v>179800</v>
      </c>
    </row>
    <row r="216" spans="1:11" ht="142.5" x14ac:dyDescent="0.2">
      <c r="A216" s="27" t="s">
        <v>527</v>
      </c>
      <c r="B216" s="24" t="s">
        <v>528</v>
      </c>
      <c r="C216" s="42">
        <f>+Tabla130[[#This Row],[COSTO CON IVA]]/Tabla130[[#This Row],[UTILIDAD]]</f>
        <v>175000</v>
      </c>
      <c r="D216" s="42">
        <f>+Tabla130[[#This Row],[PRECIO INSTALLER (CON IVA)]]-Tabla130[[#This Row],[Columna4]]</f>
        <v>166250</v>
      </c>
      <c r="E216" s="42">
        <f>+Tabla130[[#This Row],[PRECIO INSTALLER (CON IVA)]]/0.7</f>
        <v>250000.00000000003</v>
      </c>
      <c r="F216" s="20">
        <f>+Tabla130[[#This Row],[PRECIO INSTALLER (CON IVA)]]*5%</f>
        <v>8750</v>
      </c>
      <c r="G216" s="9">
        <v>0.85</v>
      </c>
      <c r="H216" s="6">
        <f>Tabla130[[#This Row],[COSTO]]*1.19</f>
        <v>148750</v>
      </c>
      <c r="I216" s="6"/>
      <c r="J216" s="6"/>
      <c r="K216" s="36">
        <v>125000</v>
      </c>
    </row>
    <row r="217" spans="1:11" ht="142.5" x14ac:dyDescent="0.2">
      <c r="A217" s="27" t="s">
        <v>529</v>
      </c>
      <c r="B217" s="24" t="s">
        <v>530</v>
      </c>
      <c r="C217" s="42">
        <f>+Tabla130[[#This Row],[COSTO CON IVA]]/Tabla130[[#This Row],[UTILIDAD]]</f>
        <v>152600</v>
      </c>
      <c r="D217" s="42">
        <f>+Tabla130[[#This Row],[PRECIO INSTALLER (CON IVA)]]-Tabla130[[#This Row],[Columna4]]</f>
        <v>144970</v>
      </c>
      <c r="E217" s="42">
        <f>+Tabla130[[#This Row],[PRECIO INSTALLER (CON IVA)]]/0.7</f>
        <v>218000</v>
      </c>
      <c r="F217" s="20">
        <f>+Tabla130[[#This Row],[PRECIO INSTALLER (CON IVA)]]*5%</f>
        <v>7630</v>
      </c>
      <c r="G217" s="9">
        <v>0.85</v>
      </c>
      <c r="H217" s="6">
        <f>Tabla130[[#This Row],[COSTO]]*1.19</f>
        <v>129710</v>
      </c>
      <c r="I217" s="6"/>
      <c r="J217" s="6"/>
      <c r="K217" s="36">
        <v>109000</v>
      </c>
    </row>
    <row r="218" spans="1:11" ht="171" x14ac:dyDescent="0.2">
      <c r="A218" s="25" t="s">
        <v>531</v>
      </c>
      <c r="B218" s="24" t="s">
        <v>532</v>
      </c>
      <c r="C218" s="42">
        <f>+Tabla130[[#This Row],[COSTO CON IVA]]/Tabla130[[#This Row],[UTILIDAD]]</f>
        <v>287000</v>
      </c>
      <c r="D218" s="42">
        <f>+Tabla130[[#This Row],[PRECIO INSTALLER (CON IVA)]]-Tabla130[[#This Row],[Columna4]]</f>
        <v>272650</v>
      </c>
      <c r="E218" s="42">
        <f>+Tabla130[[#This Row],[PRECIO INSTALLER (CON IVA)]]/0.7</f>
        <v>410000</v>
      </c>
      <c r="F218" s="20">
        <f>+Tabla130[[#This Row],[PRECIO INSTALLER (CON IVA)]]*5%</f>
        <v>14350</v>
      </c>
      <c r="G218" s="9">
        <v>0.85</v>
      </c>
      <c r="H218" s="6">
        <f>Tabla130[[#This Row],[COSTO]]*1.19</f>
        <v>243950</v>
      </c>
      <c r="I218" s="6"/>
      <c r="J218" s="6"/>
      <c r="K218" s="36">
        <v>205000</v>
      </c>
    </row>
    <row r="219" spans="1:11" ht="156.75" x14ac:dyDescent="0.2">
      <c r="A219" s="25" t="s">
        <v>533</v>
      </c>
      <c r="B219" s="24" t="s">
        <v>534</v>
      </c>
      <c r="C219" s="42">
        <f>+Tabla130[[#This Row],[COSTO CON IVA]]/Tabla130[[#This Row],[UTILIDAD]]</f>
        <v>210000</v>
      </c>
      <c r="D219" s="42">
        <f>+Tabla130[[#This Row],[PRECIO INSTALLER (CON IVA)]]-Tabla130[[#This Row],[Columna4]]</f>
        <v>199500</v>
      </c>
      <c r="E219" s="42">
        <f>+Tabla130[[#This Row],[PRECIO INSTALLER (CON IVA)]]/0.7</f>
        <v>300000</v>
      </c>
      <c r="F219" s="20">
        <f>+Tabla130[[#This Row],[PRECIO INSTALLER (CON IVA)]]*5%</f>
        <v>10500</v>
      </c>
      <c r="G219" s="9">
        <v>0.85</v>
      </c>
      <c r="H219" s="6">
        <f>Tabla130[[#This Row],[COSTO]]*1.19</f>
        <v>178500</v>
      </c>
      <c r="I219" s="6"/>
      <c r="J219" s="6"/>
      <c r="K219" s="36">
        <v>150000</v>
      </c>
    </row>
    <row r="220" spans="1:11" ht="156.75" x14ac:dyDescent="0.2">
      <c r="A220" s="25" t="s">
        <v>535</v>
      </c>
      <c r="B220" s="24" t="s">
        <v>536</v>
      </c>
      <c r="C220" s="42">
        <f>+Tabla130[[#This Row],[COSTO CON IVA]]/Tabla130[[#This Row],[UTILIDAD]]</f>
        <v>278600</v>
      </c>
      <c r="D220" s="42">
        <f>+Tabla130[[#This Row],[PRECIO INSTALLER (CON IVA)]]-Tabla130[[#This Row],[Columna4]]</f>
        <v>264670</v>
      </c>
      <c r="E220" s="42">
        <f>+Tabla130[[#This Row],[PRECIO INSTALLER (CON IVA)]]/0.7</f>
        <v>398000</v>
      </c>
      <c r="F220" s="20">
        <f>+Tabla130[[#This Row],[PRECIO INSTALLER (CON IVA)]]*5%</f>
        <v>13930</v>
      </c>
      <c r="G220" s="9">
        <v>0.85</v>
      </c>
      <c r="H220" s="6">
        <f>Tabla130[[#This Row],[COSTO]]*1.19</f>
        <v>236810</v>
      </c>
      <c r="I220" s="6"/>
      <c r="J220" s="6"/>
      <c r="K220" s="36">
        <v>199000</v>
      </c>
    </row>
    <row r="221" spans="1:11" ht="156.75" x14ac:dyDescent="0.2">
      <c r="A221" s="25" t="s">
        <v>537</v>
      </c>
      <c r="B221" s="24" t="s">
        <v>538</v>
      </c>
      <c r="C221" s="42">
        <f>+Tabla130[[#This Row],[COSTO CON IVA]]/Tabla130[[#This Row],[UTILIDAD]]</f>
        <v>224000</v>
      </c>
      <c r="D221" s="42">
        <f>+Tabla130[[#This Row],[PRECIO INSTALLER (CON IVA)]]-Tabla130[[#This Row],[Columna4]]</f>
        <v>212800</v>
      </c>
      <c r="E221" s="42">
        <f>+Tabla130[[#This Row],[PRECIO INSTALLER (CON IVA)]]/0.7</f>
        <v>320000</v>
      </c>
      <c r="F221" s="20">
        <f>+Tabla130[[#This Row],[PRECIO INSTALLER (CON IVA)]]*5%</f>
        <v>11200</v>
      </c>
      <c r="G221" s="9">
        <v>0.85</v>
      </c>
      <c r="H221" s="6">
        <f>Tabla130[[#This Row],[COSTO]]*1.19</f>
        <v>190400</v>
      </c>
      <c r="I221" s="6"/>
      <c r="J221" s="6"/>
      <c r="K221" s="36">
        <v>160000</v>
      </c>
    </row>
    <row r="222" spans="1:11" ht="156.75" x14ac:dyDescent="0.2">
      <c r="A222" s="25" t="s">
        <v>539</v>
      </c>
      <c r="B222" s="24" t="s">
        <v>478</v>
      </c>
      <c r="C222" s="42">
        <f>+Tabla130[[#This Row],[COSTO CON IVA]]/Tabla130[[#This Row],[UTILIDAD]]</f>
        <v>168000</v>
      </c>
      <c r="D222" s="42">
        <f>+Tabla130[[#This Row],[PRECIO INSTALLER (CON IVA)]]-Tabla130[[#This Row],[Columna4]]</f>
        <v>159600</v>
      </c>
      <c r="E222" s="42">
        <f>+Tabla130[[#This Row],[PRECIO INSTALLER (CON IVA)]]/0.7</f>
        <v>240000.00000000003</v>
      </c>
      <c r="F222" s="20">
        <f>+Tabla130[[#This Row],[PRECIO INSTALLER (CON IVA)]]*5%</f>
        <v>8400</v>
      </c>
      <c r="G222" s="9">
        <v>0.85</v>
      </c>
      <c r="H222" s="6">
        <f>Tabla130[[#This Row],[COSTO]]*1.19</f>
        <v>142800</v>
      </c>
      <c r="I222" s="6"/>
      <c r="J222" s="6"/>
      <c r="K222" s="36">
        <v>120000</v>
      </c>
    </row>
    <row r="223" spans="1:11" ht="156.75" x14ac:dyDescent="0.2">
      <c r="A223" s="25" t="s">
        <v>102</v>
      </c>
      <c r="B223" s="24" t="s">
        <v>478</v>
      </c>
      <c r="C223" s="42">
        <f>+Tabla130[[#This Row],[COSTO CON IVA]]/Tabla130[[#This Row],[UTILIDAD]]</f>
        <v>154000</v>
      </c>
      <c r="D223" s="42">
        <f>+Tabla130[[#This Row],[PRECIO INSTALLER (CON IVA)]]-Tabla130[[#This Row],[Columna4]]</f>
        <v>146300</v>
      </c>
      <c r="E223" s="42">
        <f>+Tabla130[[#This Row],[PRECIO INSTALLER (CON IVA)]]/0.7</f>
        <v>220000</v>
      </c>
      <c r="F223" s="20">
        <f>+Tabla130[[#This Row],[PRECIO INSTALLER (CON IVA)]]*5%</f>
        <v>7700</v>
      </c>
      <c r="G223" s="9">
        <v>0.85</v>
      </c>
      <c r="H223" s="6">
        <f>Tabla130[[#This Row],[COSTO]]*1.19</f>
        <v>130900</v>
      </c>
      <c r="I223" s="6"/>
      <c r="J223" s="6"/>
      <c r="K223" s="36">
        <v>110000</v>
      </c>
    </row>
    <row r="224" spans="1:11" ht="171" x14ac:dyDescent="0.2">
      <c r="A224" s="25" t="s">
        <v>540</v>
      </c>
      <c r="B224" s="24" t="s">
        <v>541</v>
      </c>
      <c r="C224" s="42">
        <f>+Tabla130[[#This Row],[COSTO CON IVA]]/Tabla130[[#This Row],[UTILIDAD]]</f>
        <v>201180</v>
      </c>
      <c r="D224" s="42">
        <f>+Tabla130[[#This Row],[PRECIO INSTALLER (CON IVA)]]-Tabla130[[#This Row],[Columna4]]</f>
        <v>191121</v>
      </c>
      <c r="E224" s="42">
        <f>+Tabla130[[#This Row],[PRECIO INSTALLER (CON IVA)]]/0.7</f>
        <v>287400</v>
      </c>
      <c r="F224" s="20">
        <f>+Tabla130[[#This Row],[PRECIO INSTALLER (CON IVA)]]*5%</f>
        <v>10059</v>
      </c>
      <c r="G224" s="9">
        <v>0.85</v>
      </c>
      <c r="H224" s="6">
        <f>Tabla130[[#This Row],[COSTO]]*1.19</f>
        <v>171003</v>
      </c>
      <c r="I224" s="6"/>
      <c r="J224" s="6"/>
      <c r="K224" s="36">
        <v>143700</v>
      </c>
    </row>
    <row r="225" spans="1:11" ht="156.75" x14ac:dyDescent="0.2">
      <c r="A225" s="25" t="s">
        <v>542</v>
      </c>
      <c r="B225" s="24" t="s">
        <v>543</v>
      </c>
      <c r="C225" s="42">
        <f>+Tabla130[[#This Row],[COSTO CON IVA]]/Tabla130[[#This Row],[UTILIDAD]]</f>
        <v>154000</v>
      </c>
      <c r="D225" s="42">
        <f>+Tabla130[[#This Row],[PRECIO INSTALLER (CON IVA)]]-Tabla130[[#This Row],[Columna4]]</f>
        <v>146300</v>
      </c>
      <c r="E225" s="42">
        <f>+Tabla130[[#This Row],[PRECIO INSTALLER (CON IVA)]]/0.7</f>
        <v>220000</v>
      </c>
      <c r="F225" s="20">
        <f>+Tabla130[[#This Row],[PRECIO INSTALLER (CON IVA)]]*5%</f>
        <v>7700</v>
      </c>
      <c r="G225" s="9">
        <v>0.85</v>
      </c>
      <c r="H225" s="6">
        <f>Tabla130[[#This Row],[COSTO]]*1.19</f>
        <v>130900</v>
      </c>
      <c r="I225" s="6"/>
      <c r="J225" s="6"/>
      <c r="K225" s="36">
        <v>110000</v>
      </c>
    </row>
    <row r="226" spans="1:11" ht="156.75" x14ac:dyDescent="0.2">
      <c r="A226" s="25" t="s">
        <v>544</v>
      </c>
      <c r="B226" s="24" t="s">
        <v>480</v>
      </c>
      <c r="C226" s="42">
        <f>+Tabla130[[#This Row],[COSTO CON IVA]]/Tabla130[[#This Row],[UTILIDAD]]</f>
        <v>137200</v>
      </c>
      <c r="D226" s="42">
        <f>+Tabla130[[#This Row],[PRECIO INSTALLER (CON IVA)]]-Tabla130[[#This Row],[Columna4]]</f>
        <v>130340</v>
      </c>
      <c r="E226" s="42">
        <f>+Tabla130[[#This Row],[PRECIO INSTALLER (CON IVA)]]/0.7</f>
        <v>196000</v>
      </c>
      <c r="F226" s="20">
        <f>+Tabla130[[#This Row],[PRECIO INSTALLER (CON IVA)]]*5%</f>
        <v>6860</v>
      </c>
      <c r="G226" s="9">
        <v>0.85</v>
      </c>
      <c r="H226" s="6">
        <f>Tabla130[[#This Row],[COSTO]]*1.19</f>
        <v>116620</v>
      </c>
      <c r="I226" s="6"/>
      <c r="J226" s="6"/>
      <c r="K226" s="36">
        <v>98000</v>
      </c>
    </row>
    <row r="227" spans="1:11" ht="128.25" x14ac:dyDescent="0.2">
      <c r="A227" s="25" t="s">
        <v>545</v>
      </c>
      <c r="B227" s="24" t="s">
        <v>546</v>
      </c>
      <c r="C227" s="42">
        <f>+Tabla130[[#This Row],[COSTO CON IVA]]/Tabla130[[#This Row],[UTILIDAD]]</f>
        <v>180600</v>
      </c>
      <c r="D227" s="42">
        <f>+Tabla130[[#This Row],[PRECIO INSTALLER (CON IVA)]]-Tabla130[[#This Row],[Columna4]]</f>
        <v>171570</v>
      </c>
      <c r="E227" s="42">
        <f>+Tabla130[[#This Row],[PRECIO INSTALLER (CON IVA)]]/0.7</f>
        <v>258000.00000000003</v>
      </c>
      <c r="F227" s="20">
        <f>+Tabla130[[#This Row],[PRECIO INSTALLER (CON IVA)]]*5%</f>
        <v>9030</v>
      </c>
      <c r="G227" s="9">
        <v>0.85</v>
      </c>
      <c r="H227" s="6">
        <f>Tabla130[[#This Row],[COSTO]]*1.19</f>
        <v>153510</v>
      </c>
      <c r="I227" s="6"/>
      <c r="J227" s="6"/>
      <c r="K227" s="36">
        <v>129000</v>
      </c>
    </row>
    <row r="228" spans="1:11" ht="142.5" x14ac:dyDescent="0.2">
      <c r="A228" s="27" t="s">
        <v>547</v>
      </c>
      <c r="B228" s="24" t="s">
        <v>548</v>
      </c>
      <c r="C228" s="42">
        <f>+Tabla130[[#This Row],[COSTO CON IVA]]/Tabla130[[#This Row],[UTILIDAD]]</f>
        <v>140000</v>
      </c>
      <c r="D228" s="42">
        <f>+Tabla130[[#This Row],[PRECIO INSTALLER (CON IVA)]]-Tabla130[[#This Row],[Columna4]]</f>
        <v>133000</v>
      </c>
      <c r="E228" s="42">
        <f>+Tabla130[[#This Row],[PRECIO INSTALLER (CON IVA)]]/0.7</f>
        <v>200000</v>
      </c>
      <c r="F228" s="20">
        <f>+Tabla130[[#This Row],[PRECIO INSTALLER (CON IVA)]]*5%</f>
        <v>7000</v>
      </c>
      <c r="G228" s="9">
        <v>0.85</v>
      </c>
      <c r="H228" s="6">
        <f>Tabla130[[#This Row],[COSTO]]*1.19</f>
        <v>119000</v>
      </c>
      <c r="I228" s="6"/>
      <c r="J228" s="6"/>
      <c r="K228" s="36">
        <v>100000</v>
      </c>
    </row>
    <row r="229" spans="1:11" ht="142.5" x14ac:dyDescent="0.2">
      <c r="A229" s="27" t="s">
        <v>549</v>
      </c>
      <c r="B229" s="24" t="s">
        <v>550</v>
      </c>
      <c r="C229" s="42">
        <f>+Tabla130[[#This Row],[COSTO CON IVA]]/Tabla130[[#This Row],[UTILIDAD]]</f>
        <v>112000</v>
      </c>
      <c r="D229" s="42">
        <f>+Tabla130[[#This Row],[PRECIO INSTALLER (CON IVA)]]-Tabla130[[#This Row],[Columna4]]</f>
        <v>106400</v>
      </c>
      <c r="E229" s="42">
        <f>+Tabla130[[#This Row],[PRECIO INSTALLER (CON IVA)]]/0.7</f>
        <v>160000</v>
      </c>
      <c r="F229" s="20">
        <f>+Tabla130[[#This Row],[PRECIO INSTALLER (CON IVA)]]*5%</f>
        <v>5600</v>
      </c>
      <c r="G229" s="9">
        <v>0.85</v>
      </c>
      <c r="H229" s="6">
        <f>Tabla130[[#This Row],[COSTO]]*1.19</f>
        <v>95200</v>
      </c>
      <c r="I229" s="6"/>
      <c r="J229" s="6"/>
      <c r="K229" s="36">
        <v>80000</v>
      </c>
    </row>
    <row r="230" spans="1:11" ht="128.25" x14ac:dyDescent="0.2">
      <c r="A230" s="27" t="s">
        <v>101</v>
      </c>
      <c r="B230" s="24" t="s">
        <v>551</v>
      </c>
      <c r="C230" s="42">
        <f>+Tabla130[[#This Row],[COSTO CON IVA]]/Tabla130[[#This Row],[UTILIDAD]]</f>
        <v>91000</v>
      </c>
      <c r="D230" s="42">
        <f>+Tabla130[[#This Row],[PRECIO INSTALLER (CON IVA)]]-Tabla130[[#This Row],[Columna4]]</f>
        <v>86450</v>
      </c>
      <c r="E230" s="42">
        <f>+Tabla130[[#This Row],[PRECIO INSTALLER (CON IVA)]]/0.7</f>
        <v>130000.00000000001</v>
      </c>
      <c r="F230" s="20">
        <f>+Tabla130[[#This Row],[PRECIO INSTALLER (CON IVA)]]*5%</f>
        <v>4550</v>
      </c>
      <c r="G230" s="9">
        <v>0.85</v>
      </c>
      <c r="H230" s="6">
        <f>Tabla130[[#This Row],[COSTO]]*1.19</f>
        <v>77350</v>
      </c>
      <c r="I230" s="6"/>
      <c r="J230" s="6"/>
      <c r="K230" s="36">
        <v>65000</v>
      </c>
    </row>
    <row r="231" spans="1:11" ht="128.25" x14ac:dyDescent="0.2">
      <c r="A231" s="27" t="s">
        <v>100</v>
      </c>
      <c r="B231" s="24" t="s">
        <v>551</v>
      </c>
      <c r="C231" s="42">
        <f>+Tabla130[[#This Row],[COSTO CON IVA]]/Tabla130[[#This Row],[UTILIDAD]]</f>
        <v>91000</v>
      </c>
      <c r="D231" s="42">
        <f>+Tabla130[[#This Row],[PRECIO INSTALLER (CON IVA)]]-Tabla130[[#This Row],[Columna4]]</f>
        <v>86450</v>
      </c>
      <c r="E231" s="42">
        <f>+Tabla130[[#This Row],[PRECIO INSTALLER (CON IVA)]]/0.7</f>
        <v>130000.00000000001</v>
      </c>
      <c r="F231" s="20">
        <f>+Tabla130[[#This Row],[PRECIO INSTALLER (CON IVA)]]*5%</f>
        <v>4550</v>
      </c>
      <c r="G231" s="9">
        <v>0.85</v>
      </c>
      <c r="H231" s="6">
        <f>Tabla130[[#This Row],[COSTO]]*1.19</f>
        <v>77350</v>
      </c>
      <c r="I231" s="6"/>
      <c r="J231" s="6"/>
      <c r="K231" s="36">
        <v>65000</v>
      </c>
    </row>
    <row r="232" spans="1:11" ht="114" x14ac:dyDescent="0.2">
      <c r="A232" s="27" t="s">
        <v>552</v>
      </c>
      <c r="B232" s="24" t="s">
        <v>553</v>
      </c>
      <c r="C232" s="42">
        <f>+Tabla130[[#This Row],[COSTO CON IVA]]/Tabla130[[#This Row],[UTILIDAD]]</f>
        <v>166600</v>
      </c>
      <c r="D232" s="42">
        <f>+Tabla130[[#This Row],[PRECIO INSTALLER (CON IVA)]]-Tabla130[[#This Row],[Columna4]]</f>
        <v>158270</v>
      </c>
      <c r="E232" s="42">
        <f>+Tabla130[[#This Row],[PRECIO INSTALLER (CON IVA)]]/0.7</f>
        <v>238000.00000000003</v>
      </c>
      <c r="F232" s="20">
        <f>+Tabla130[[#This Row],[PRECIO INSTALLER (CON IVA)]]*5%</f>
        <v>8330</v>
      </c>
      <c r="G232" s="9">
        <v>0.85</v>
      </c>
      <c r="H232" s="6">
        <f>Tabla130[[#This Row],[COSTO]]*1.19</f>
        <v>141610</v>
      </c>
      <c r="I232" s="6"/>
      <c r="J232" s="6"/>
      <c r="K232" s="36">
        <v>119000</v>
      </c>
    </row>
    <row r="233" spans="1:11" ht="142.5" x14ac:dyDescent="0.2">
      <c r="A233" s="27" t="s">
        <v>554</v>
      </c>
      <c r="B233" s="24" t="s">
        <v>555</v>
      </c>
      <c r="C233" s="42">
        <f>+Tabla130[[#This Row],[COSTO CON IVA]]/Tabla130[[#This Row],[UTILIDAD]]</f>
        <v>98000</v>
      </c>
      <c r="D233" s="42">
        <f>+Tabla130[[#This Row],[PRECIO INSTALLER (CON IVA)]]-Tabla130[[#This Row],[Columna4]]</f>
        <v>93100</v>
      </c>
      <c r="E233" s="42">
        <f>+Tabla130[[#This Row],[PRECIO INSTALLER (CON IVA)]]/0.7</f>
        <v>140000</v>
      </c>
      <c r="F233" s="20">
        <f>+Tabla130[[#This Row],[PRECIO INSTALLER (CON IVA)]]*5%</f>
        <v>4900</v>
      </c>
      <c r="G233" s="9">
        <v>0.85</v>
      </c>
      <c r="H233" s="6">
        <f>Tabla130[[#This Row],[COSTO]]*1.19</f>
        <v>83300</v>
      </c>
      <c r="I233" s="6"/>
      <c r="J233" s="6"/>
      <c r="K233" s="36">
        <v>70000</v>
      </c>
    </row>
    <row r="234" spans="1:11" ht="114" x14ac:dyDescent="0.2">
      <c r="A234" s="27" t="s">
        <v>99</v>
      </c>
      <c r="B234" s="24" t="s">
        <v>556</v>
      </c>
      <c r="C234" s="42">
        <f>+Tabla130[[#This Row],[COSTO CON IVA]]/Tabla130[[#This Row],[UTILIDAD]]</f>
        <v>84000</v>
      </c>
      <c r="D234" s="42">
        <f>+Tabla130[[#This Row],[PRECIO INSTALLER (CON IVA)]]-Tabla130[[#This Row],[Columna4]]</f>
        <v>79800</v>
      </c>
      <c r="E234" s="42">
        <f>+Tabla130[[#This Row],[PRECIO INSTALLER (CON IVA)]]/0.7</f>
        <v>120000.00000000001</v>
      </c>
      <c r="F234" s="20">
        <f>+Tabla130[[#This Row],[PRECIO INSTALLER (CON IVA)]]*5%</f>
        <v>4200</v>
      </c>
      <c r="G234" s="9">
        <v>0.85</v>
      </c>
      <c r="H234" s="6">
        <f>Tabla130[[#This Row],[COSTO]]*1.19</f>
        <v>71400</v>
      </c>
      <c r="I234" s="6"/>
      <c r="J234" s="6"/>
      <c r="K234" s="36">
        <v>60000</v>
      </c>
    </row>
    <row r="235" spans="1:11" ht="114" x14ac:dyDescent="0.2">
      <c r="A235" s="27" t="s">
        <v>98</v>
      </c>
      <c r="B235" s="24" t="s">
        <v>556</v>
      </c>
      <c r="C235" s="42">
        <f>+Tabla130[[#This Row],[COSTO CON IVA]]/Tabla130[[#This Row],[UTILIDAD]]</f>
        <v>84000</v>
      </c>
      <c r="D235" s="42">
        <f>+Tabla130[[#This Row],[PRECIO INSTALLER (CON IVA)]]-Tabla130[[#This Row],[Columna4]]</f>
        <v>79800</v>
      </c>
      <c r="E235" s="42">
        <f>+Tabla130[[#This Row],[PRECIO INSTALLER (CON IVA)]]/0.7</f>
        <v>120000.00000000001</v>
      </c>
      <c r="F235" s="20">
        <f>+Tabla130[[#This Row],[PRECIO INSTALLER (CON IVA)]]*5%</f>
        <v>4200</v>
      </c>
      <c r="G235" s="9">
        <v>0.85</v>
      </c>
      <c r="H235" s="6">
        <f>Tabla130[[#This Row],[COSTO]]*1.19</f>
        <v>71400</v>
      </c>
      <c r="I235" s="6"/>
      <c r="J235" s="6"/>
      <c r="K235" s="36">
        <v>60000</v>
      </c>
    </row>
    <row r="236" spans="1:11" ht="114" x14ac:dyDescent="0.2">
      <c r="A236" s="27" t="s">
        <v>97</v>
      </c>
      <c r="B236" s="24" t="s">
        <v>556</v>
      </c>
      <c r="C236" s="42">
        <f>+Tabla130[[#This Row],[COSTO CON IVA]]/Tabla130[[#This Row],[UTILIDAD]]</f>
        <v>84000</v>
      </c>
      <c r="D236" s="42">
        <f>+Tabla130[[#This Row],[PRECIO INSTALLER (CON IVA)]]-Tabla130[[#This Row],[Columna4]]</f>
        <v>79800</v>
      </c>
      <c r="E236" s="42">
        <f>+Tabla130[[#This Row],[PRECIO INSTALLER (CON IVA)]]/0.7</f>
        <v>120000.00000000001</v>
      </c>
      <c r="F236" s="20">
        <f>+Tabla130[[#This Row],[PRECIO INSTALLER (CON IVA)]]*5%</f>
        <v>4200</v>
      </c>
      <c r="G236" s="9">
        <v>0.85</v>
      </c>
      <c r="H236" s="6">
        <f>Tabla130[[#This Row],[COSTO]]*1.19</f>
        <v>71400</v>
      </c>
      <c r="I236" s="6"/>
      <c r="J236" s="6"/>
      <c r="K236" s="36">
        <v>60000</v>
      </c>
    </row>
    <row r="237" spans="1:11" ht="171" x14ac:dyDescent="0.2">
      <c r="A237" s="27" t="s">
        <v>96</v>
      </c>
      <c r="B237" s="24" t="s">
        <v>557</v>
      </c>
      <c r="C237" s="42">
        <f>+Tabla130[[#This Row],[COSTO CON IVA]]/Tabla130[[#This Row],[UTILIDAD]]</f>
        <v>180600</v>
      </c>
      <c r="D237" s="42">
        <f>+Tabla130[[#This Row],[PRECIO INSTALLER (CON IVA)]]-Tabla130[[#This Row],[Columna4]]</f>
        <v>171570</v>
      </c>
      <c r="E237" s="42">
        <f>+Tabla130[[#This Row],[PRECIO INSTALLER (CON IVA)]]/0.7</f>
        <v>258000.00000000003</v>
      </c>
      <c r="F237" s="20">
        <f>+Tabla130[[#This Row],[PRECIO INSTALLER (CON IVA)]]*5%</f>
        <v>9030</v>
      </c>
      <c r="G237" s="9">
        <v>0.85</v>
      </c>
      <c r="H237" s="6">
        <f>Tabla130[[#This Row],[COSTO]]*1.19</f>
        <v>153510</v>
      </c>
      <c r="I237" s="6"/>
      <c r="J237" s="6"/>
      <c r="K237" s="36">
        <v>129000</v>
      </c>
    </row>
    <row r="238" spans="1:11" ht="128.25" x14ac:dyDescent="0.2">
      <c r="A238" s="27" t="s">
        <v>558</v>
      </c>
      <c r="B238" s="24" t="s">
        <v>559</v>
      </c>
      <c r="C238" s="42">
        <f>+Tabla130[[#This Row],[COSTO CON IVA]]/Tabla130[[#This Row],[UTILIDAD]]</f>
        <v>105000</v>
      </c>
      <c r="D238" s="42">
        <f>+Tabla130[[#This Row],[PRECIO INSTALLER (CON IVA)]]-Tabla130[[#This Row],[Columna4]]</f>
        <v>99750</v>
      </c>
      <c r="E238" s="42">
        <f>+Tabla130[[#This Row],[PRECIO INSTALLER (CON IVA)]]/0.7</f>
        <v>150000</v>
      </c>
      <c r="F238" s="20">
        <f>+Tabla130[[#This Row],[PRECIO INSTALLER (CON IVA)]]*5%</f>
        <v>5250</v>
      </c>
      <c r="G238" s="9">
        <v>0.85</v>
      </c>
      <c r="H238" s="6">
        <f>Tabla130[[#This Row],[COSTO]]*1.19</f>
        <v>89250</v>
      </c>
      <c r="I238" s="6"/>
      <c r="J238" s="6"/>
      <c r="K238" s="36">
        <v>75000</v>
      </c>
    </row>
    <row r="239" spans="1:11" ht="114" x14ac:dyDescent="0.2">
      <c r="A239" s="27" t="s">
        <v>560</v>
      </c>
      <c r="B239" s="24" t="s">
        <v>561</v>
      </c>
      <c r="C239" s="42">
        <f>+Tabla130[[#This Row],[COSTO CON IVA]]/Tabla130[[#This Row],[UTILIDAD]]</f>
        <v>93800</v>
      </c>
      <c r="D239" s="42">
        <f>+Tabla130[[#This Row],[PRECIO INSTALLER (CON IVA)]]-Tabla130[[#This Row],[Columna4]]</f>
        <v>89110</v>
      </c>
      <c r="E239" s="42">
        <f>+Tabla130[[#This Row],[PRECIO INSTALLER (CON IVA)]]/0.7</f>
        <v>134000</v>
      </c>
      <c r="F239" s="20">
        <f>+Tabla130[[#This Row],[PRECIO INSTALLER (CON IVA)]]*5%</f>
        <v>4690</v>
      </c>
      <c r="G239" s="9">
        <v>0.85</v>
      </c>
      <c r="H239" s="6">
        <f>Tabla130[[#This Row],[COSTO]]*1.19</f>
        <v>79730</v>
      </c>
      <c r="I239" s="6"/>
      <c r="J239" s="6"/>
      <c r="K239" s="36">
        <v>67000</v>
      </c>
    </row>
    <row r="240" spans="1:11" ht="114" x14ac:dyDescent="0.2">
      <c r="A240" s="27" t="s">
        <v>562</v>
      </c>
      <c r="B240" s="24" t="s">
        <v>561</v>
      </c>
      <c r="C240" s="42">
        <f>+Tabla130[[#This Row],[COSTO CON IVA]]/Tabla130[[#This Row],[UTILIDAD]]</f>
        <v>93800</v>
      </c>
      <c r="D240" s="42">
        <f>+Tabla130[[#This Row],[PRECIO INSTALLER (CON IVA)]]-Tabla130[[#This Row],[Columna4]]</f>
        <v>89110</v>
      </c>
      <c r="E240" s="42">
        <f>+Tabla130[[#This Row],[PRECIO INSTALLER (CON IVA)]]/0.7</f>
        <v>134000</v>
      </c>
      <c r="F240" s="20">
        <f>+Tabla130[[#This Row],[PRECIO INSTALLER (CON IVA)]]*5%</f>
        <v>4690</v>
      </c>
      <c r="G240" s="9">
        <v>0.85</v>
      </c>
      <c r="H240" s="6">
        <f>Tabla130[[#This Row],[COSTO]]*1.19</f>
        <v>79730</v>
      </c>
      <c r="I240" s="6"/>
      <c r="J240" s="6"/>
      <c r="K240" s="36">
        <v>67000</v>
      </c>
    </row>
    <row r="241" spans="1:11" ht="114" x14ac:dyDescent="0.2">
      <c r="A241" s="27" t="s">
        <v>563</v>
      </c>
      <c r="B241" s="24" t="s">
        <v>564</v>
      </c>
      <c r="C241" s="42">
        <f>+Tabla130[[#This Row],[COSTO CON IVA]]/Tabla130[[#This Row],[UTILIDAD]]</f>
        <v>79800</v>
      </c>
      <c r="D241" s="42">
        <f>+Tabla130[[#This Row],[PRECIO INSTALLER (CON IVA)]]-Tabla130[[#This Row],[Columna4]]</f>
        <v>75810</v>
      </c>
      <c r="E241" s="42">
        <f>+Tabla130[[#This Row],[PRECIO INSTALLER (CON IVA)]]/0.7</f>
        <v>114000</v>
      </c>
      <c r="F241" s="20">
        <f>+Tabla130[[#This Row],[PRECIO INSTALLER (CON IVA)]]*5%</f>
        <v>3990</v>
      </c>
      <c r="G241" s="9">
        <v>0.85</v>
      </c>
      <c r="H241" s="6">
        <f>Tabla130[[#This Row],[COSTO]]*1.19</f>
        <v>67830</v>
      </c>
      <c r="I241" s="6"/>
      <c r="J241" s="6"/>
      <c r="K241" s="36">
        <v>57000</v>
      </c>
    </row>
    <row r="242" spans="1:11" s="10" customFormat="1" ht="114" x14ac:dyDescent="0.2">
      <c r="A242" s="27" t="s">
        <v>565</v>
      </c>
      <c r="B242" s="24" t="s">
        <v>564</v>
      </c>
      <c r="C242" s="42">
        <f>+Tabla130[[#This Row],[COSTO CON IVA]]/Tabla130[[#This Row],[UTILIDAD]]</f>
        <v>79800</v>
      </c>
      <c r="D242" s="42">
        <f>+Tabla130[[#This Row],[PRECIO INSTALLER (CON IVA)]]-Tabla130[[#This Row],[Columna4]]</f>
        <v>75810</v>
      </c>
      <c r="E242" s="42">
        <f>+Tabla130[[#This Row],[PRECIO INSTALLER (CON IVA)]]/0.7</f>
        <v>114000</v>
      </c>
      <c r="F242" s="20">
        <f>+Tabla130[[#This Row],[PRECIO INSTALLER (CON IVA)]]*5%</f>
        <v>3990</v>
      </c>
      <c r="G242" s="9">
        <v>0.85</v>
      </c>
      <c r="H242" s="6">
        <f>Tabla130[[#This Row],[COSTO]]*1.19</f>
        <v>67830</v>
      </c>
      <c r="I242" s="6"/>
      <c r="J242" s="6"/>
      <c r="K242" s="36">
        <v>57000</v>
      </c>
    </row>
    <row r="243" spans="1:11" ht="71.25" x14ac:dyDescent="0.2">
      <c r="A243" s="27" t="s">
        <v>566</v>
      </c>
      <c r="B243" s="24" t="s">
        <v>567</v>
      </c>
      <c r="C243" s="42">
        <f>+Tabla130[[#This Row],[COSTO CON IVA]]/Tabla130[[#This Row],[UTILIDAD]]</f>
        <v>119000</v>
      </c>
      <c r="D243" s="42">
        <f>+Tabla130[[#This Row],[PRECIO INSTALLER (CON IVA)]]-Tabla130[[#This Row],[Columna4]]</f>
        <v>113050</v>
      </c>
      <c r="E243" s="42">
        <f>+Tabla130[[#This Row],[PRECIO INSTALLER (CON IVA)]]/0.7</f>
        <v>170000</v>
      </c>
      <c r="F243" s="20">
        <f>+Tabla130[[#This Row],[PRECIO INSTALLER (CON IVA)]]*5%</f>
        <v>5950</v>
      </c>
      <c r="G243" s="9">
        <v>0.85</v>
      </c>
      <c r="H243" s="6">
        <f>Tabla130[[#This Row],[COSTO]]*1.19</f>
        <v>101150</v>
      </c>
      <c r="I243" s="6"/>
      <c r="J243" s="6"/>
      <c r="K243" s="36">
        <v>85000</v>
      </c>
    </row>
    <row r="244" spans="1:11" ht="85.5" x14ac:dyDescent="0.2">
      <c r="A244" s="27" t="s">
        <v>95</v>
      </c>
      <c r="B244" s="24" t="s">
        <v>568</v>
      </c>
      <c r="C244" s="42">
        <f>+Tabla130[[#This Row],[COSTO CON IVA]]/Tabla130[[#This Row],[UTILIDAD]]</f>
        <v>112700</v>
      </c>
      <c r="D244" s="42">
        <f>+Tabla130[[#This Row],[PRECIO INSTALLER (CON IVA)]]-Tabla130[[#This Row],[Columna4]]</f>
        <v>107065</v>
      </c>
      <c r="E244" s="42">
        <f>+Tabla130[[#This Row],[PRECIO INSTALLER (CON IVA)]]/0.7</f>
        <v>161000</v>
      </c>
      <c r="F244" s="20">
        <f>+Tabla130[[#This Row],[PRECIO INSTALLER (CON IVA)]]*5%</f>
        <v>5635</v>
      </c>
      <c r="G244" s="9">
        <v>0.85</v>
      </c>
      <c r="H244" s="6">
        <f>Tabla130[[#This Row],[COSTO]]*1.19</f>
        <v>95795</v>
      </c>
      <c r="I244" s="6"/>
      <c r="J244" s="6"/>
      <c r="K244" s="36">
        <v>80500</v>
      </c>
    </row>
    <row r="245" spans="1:11" ht="114" x14ac:dyDescent="0.2">
      <c r="A245" s="27" t="s">
        <v>569</v>
      </c>
      <c r="B245" s="24" t="s">
        <v>570</v>
      </c>
      <c r="C245" s="42">
        <f>+Tabla130[[#This Row],[COSTO CON IVA]]/Tabla130[[#This Row],[UTILIDAD]]</f>
        <v>112700</v>
      </c>
      <c r="D245" s="42">
        <f>+Tabla130[[#This Row],[PRECIO INSTALLER (CON IVA)]]-Tabla130[[#This Row],[Columna4]]</f>
        <v>107065</v>
      </c>
      <c r="E245" s="42">
        <f>+Tabla130[[#This Row],[PRECIO INSTALLER (CON IVA)]]/0.7</f>
        <v>161000</v>
      </c>
      <c r="F245" s="20">
        <f>+Tabla130[[#This Row],[PRECIO INSTALLER (CON IVA)]]*5%</f>
        <v>5635</v>
      </c>
      <c r="G245" s="9">
        <v>0.85</v>
      </c>
      <c r="H245" s="6">
        <f>Tabla130[[#This Row],[COSTO]]*1.19</f>
        <v>95795</v>
      </c>
      <c r="I245" s="6"/>
      <c r="J245" s="6"/>
      <c r="K245" s="36">
        <v>80500</v>
      </c>
    </row>
    <row r="246" spans="1:11" ht="327.75" x14ac:dyDescent="0.2">
      <c r="A246" s="27" t="s">
        <v>571</v>
      </c>
      <c r="B246" s="24" t="s">
        <v>572</v>
      </c>
      <c r="C246" s="42">
        <f>+Tabla130[[#This Row],[COSTO CON IVA]]/Tabla130[[#This Row],[UTILIDAD]]</f>
        <v>1890000</v>
      </c>
      <c r="D246" s="42">
        <f>+Tabla130[[#This Row],[PRECIO INSTALLER (CON IVA)]]-Tabla130[[#This Row],[Columna4]]</f>
        <v>1795500</v>
      </c>
      <c r="E246" s="42">
        <f>+Tabla130[[#This Row],[PRECIO INSTALLER (CON IVA)]]/0.7</f>
        <v>2700000</v>
      </c>
      <c r="F246" s="20">
        <f>+Tabla130[[#This Row],[PRECIO INSTALLER (CON IVA)]]*5%</f>
        <v>94500</v>
      </c>
      <c r="G246" s="9">
        <v>0.85</v>
      </c>
      <c r="H246" s="6">
        <f>Tabla130[[#This Row],[COSTO]]*1.19</f>
        <v>1606500</v>
      </c>
      <c r="I246" s="6"/>
      <c r="J246" s="6"/>
      <c r="K246" s="36">
        <v>1350000</v>
      </c>
    </row>
    <row r="247" spans="1:11" ht="199.5" x14ac:dyDescent="0.2">
      <c r="A247" s="27" t="s">
        <v>573</v>
      </c>
      <c r="B247" s="24" t="s">
        <v>574</v>
      </c>
      <c r="C247" s="42">
        <f>+Tabla130[[#This Row],[COSTO CON IVA]]/Tabla130[[#This Row],[UTILIDAD]]</f>
        <v>1158640</v>
      </c>
      <c r="D247" s="42">
        <f>+Tabla130[[#This Row],[PRECIO INSTALLER (CON IVA)]]-Tabla130[[#This Row],[Columna4]]</f>
        <v>1100708</v>
      </c>
      <c r="E247" s="42">
        <f>+Tabla130[[#This Row],[PRECIO INSTALLER (CON IVA)]]/0.7</f>
        <v>1655200</v>
      </c>
      <c r="F247" s="21">
        <f>+Tabla130[[#This Row],[PRECIO INSTALLER (CON IVA)]]*5%</f>
        <v>57932</v>
      </c>
      <c r="G247" s="7">
        <v>0.85</v>
      </c>
      <c r="H247" s="8">
        <f>Tabla130[[#This Row],[COSTO]]*1.19</f>
        <v>984844</v>
      </c>
      <c r="I247" s="8"/>
      <c r="J247" s="8"/>
      <c r="K247" s="36">
        <v>827600</v>
      </c>
    </row>
    <row r="248" spans="1:11" ht="171" x14ac:dyDescent="0.2">
      <c r="A248" s="27" t="s">
        <v>575</v>
      </c>
      <c r="B248" s="24" t="s">
        <v>576</v>
      </c>
      <c r="C248" s="42">
        <f>+Tabla130[[#This Row],[COSTO CON IVA]]/Tabla130[[#This Row],[UTILIDAD]]</f>
        <v>1013740</v>
      </c>
      <c r="D248" s="42">
        <f>+Tabla130[[#This Row],[PRECIO INSTALLER (CON IVA)]]-Tabla130[[#This Row],[Columna4]]</f>
        <v>963053</v>
      </c>
      <c r="E248" s="42">
        <f>+Tabla130[[#This Row],[PRECIO INSTALLER (CON IVA)]]/0.7</f>
        <v>1448200</v>
      </c>
      <c r="F248" s="21">
        <f>+Tabla130[[#This Row],[PRECIO INSTALLER (CON IVA)]]*5%</f>
        <v>50687</v>
      </c>
      <c r="G248" s="7">
        <v>0.85</v>
      </c>
      <c r="H248" s="6">
        <f>Tabla130[[#This Row],[COSTO]]*1.19</f>
        <v>861679</v>
      </c>
      <c r="I248" s="6"/>
      <c r="J248" s="6"/>
      <c r="K248" s="36">
        <v>724100</v>
      </c>
    </row>
    <row r="249" spans="1:11" ht="199.5" x14ac:dyDescent="0.2">
      <c r="A249" s="27" t="s">
        <v>577</v>
      </c>
      <c r="B249" s="24" t="s">
        <v>578</v>
      </c>
      <c r="C249" s="42">
        <f>+Tabla130[[#This Row],[COSTO CON IVA]]/Tabla130[[#This Row],[UTILIDAD]]</f>
        <v>1013740</v>
      </c>
      <c r="D249" s="42">
        <f>+Tabla130[[#This Row],[PRECIO INSTALLER (CON IVA)]]-Tabla130[[#This Row],[Columna4]]</f>
        <v>963053</v>
      </c>
      <c r="E249" s="42">
        <f>+Tabla130[[#This Row],[PRECIO INSTALLER (CON IVA)]]/0.7</f>
        <v>1448200</v>
      </c>
      <c r="F249" s="21">
        <f>+Tabla130[[#This Row],[PRECIO INSTALLER (CON IVA)]]*5%</f>
        <v>50687</v>
      </c>
      <c r="G249" s="7">
        <v>0.85</v>
      </c>
      <c r="H249" s="6">
        <f>Tabla130[[#This Row],[COSTO]]*1.19</f>
        <v>861679</v>
      </c>
      <c r="I249" s="6"/>
      <c r="J249" s="6"/>
      <c r="K249" s="36">
        <v>724100</v>
      </c>
    </row>
    <row r="250" spans="1:11" ht="171" x14ac:dyDescent="0.2">
      <c r="A250" s="27" t="s">
        <v>579</v>
      </c>
      <c r="B250" s="24" t="s">
        <v>580</v>
      </c>
      <c r="C250" s="43">
        <f>+Tabla130[[#This Row],[COSTO CON IVA]]/Tabla130[[#This Row],[UTILIDAD]]</f>
        <v>796600</v>
      </c>
      <c r="D250" s="43">
        <f>+Tabla130[[#This Row],[PRECIO INSTALLER (CON IVA)]]-Tabla130[[#This Row],[Columna4]]</f>
        <v>756770</v>
      </c>
      <c r="E250" s="43">
        <f>+Tabla130[[#This Row],[PRECIO INSTALLER (CON IVA)]]/0.7</f>
        <v>1138000</v>
      </c>
      <c r="F250" s="22">
        <f>+Tabla130[[#This Row],[PRECIO INSTALLER (CON IVA)]]*5%</f>
        <v>39830</v>
      </c>
      <c r="G250" s="7">
        <v>0.85</v>
      </c>
      <c r="H250" s="6">
        <f>Tabla130[[#This Row],[COSTO]]*1.19</f>
        <v>677110</v>
      </c>
      <c r="I250" s="6"/>
      <c r="J250" s="6"/>
      <c r="K250" s="36">
        <v>569000</v>
      </c>
    </row>
    <row r="251" spans="1:11" ht="57" x14ac:dyDescent="0.2">
      <c r="A251" s="27" t="s">
        <v>581</v>
      </c>
      <c r="B251" s="24" t="s">
        <v>582</v>
      </c>
      <c r="C251" s="43">
        <f>+Tabla130[[#This Row],[COSTO CON IVA]]/Tabla130[[#This Row],[UTILIDAD]]</f>
        <v>72380</v>
      </c>
      <c r="D251" s="43">
        <f>+Tabla130[[#This Row],[PRECIO INSTALLER (CON IVA)]]-Tabla130[[#This Row],[Columna4]]</f>
        <v>68761</v>
      </c>
      <c r="E251" s="43">
        <f>+Tabla130[[#This Row],[PRECIO INSTALLER (CON IVA)]]/0.7</f>
        <v>103400</v>
      </c>
      <c r="F251" s="22">
        <f>+Tabla130[[#This Row],[PRECIO INSTALLER (CON IVA)]]*5%</f>
        <v>3619</v>
      </c>
      <c r="G251" s="7">
        <v>0.85</v>
      </c>
      <c r="H251" s="6">
        <f>Tabla130[[#This Row],[COSTO]]*1.19</f>
        <v>61523</v>
      </c>
      <c r="I251" s="6"/>
      <c r="J251" s="6"/>
      <c r="K251" s="36">
        <v>51700</v>
      </c>
    </row>
    <row r="252" spans="1:11" ht="57" x14ac:dyDescent="0.2">
      <c r="A252" s="27" t="s">
        <v>94</v>
      </c>
      <c r="B252" s="24" t="s">
        <v>583</v>
      </c>
      <c r="C252" s="43">
        <f>+Tabla130[[#This Row],[COSTO CON IVA]]/Tabla130[[#This Row],[UTILIDAD]]</f>
        <v>80500</v>
      </c>
      <c r="D252" s="43">
        <f>+Tabla130[[#This Row],[PRECIO INSTALLER (CON IVA)]]-Tabla130[[#This Row],[Columna4]]</f>
        <v>76475</v>
      </c>
      <c r="E252" s="43">
        <f>+Tabla130[[#This Row],[PRECIO INSTALLER (CON IVA)]]/0.7</f>
        <v>115000.00000000001</v>
      </c>
      <c r="F252" s="22">
        <f>+Tabla130[[#This Row],[PRECIO INSTALLER (CON IVA)]]*5%</f>
        <v>4025</v>
      </c>
      <c r="G252" s="7">
        <v>0.85</v>
      </c>
      <c r="H252" s="6">
        <f>Tabla130[[#This Row],[COSTO]]*1.19</f>
        <v>68425</v>
      </c>
      <c r="I252" s="6"/>
      <c r="J252" s="6"/>
      <c r="K252" s="36">
        <v>57500</v>
      </c>
    </row>
    <row r="253" spans="1:11" ht="71.25" x14ac:dyDescent="0.2">
      <c r="A253" s="27" t="s">
        <v>93</v>
      </c>
      <c r="B253" s="24" t="s">
        <v>584</v>
      </c>
      <c r="C253" s="43">
        <f>+Tabla130[[#This Row],[COSTO CON IVA]]/Tabla130[[#This Row],[UTILIDAD]]</f>
        <v>80500</v>
      </c>
      <c r="D253" s="43">
        <f>+Tabla130[[#This Row],[PRECIO INSTALLER (CON IVA)]]-Tabla130[[#This Row],[Columna4]]</f>
        <v>76475</v>
      </c>
      <c r="E253" s="43">
        <f>+Tabla130[[#This Row],[PRECIO INSTALLER (CON IVA)]]/0.7</f>
        <v>115000.00000000001</v>
      </c>
      <c r="F253" s="22">
        <f>+Tabla130[[#This Row],[PRECIO INSTALLER (CON IVA)]]*5%</f>
        <v>4025</v>
      </c>
      <c r="G253" s="7">
        <v>0.85</v>
      </c>
      <c r="H253" s="6">
        <f>Tabla130[[#This Row],[COSTO]]*1.19</f>
        <v>68425</v>
      </c>
      <c r="I253" s="6"/>
      <c r="J253" s="6"/>
      <c r="K253" s="36">
        <v>57500</v>
      </c>
    </row>
    <row r="254" spans="1:11" ht="128.25" x14ac:dyDescent="0.2">
      <c r="A254" s="30" t="s">
        <v>585</v>
      </c>
      <c r="B254" s="24" t="s">
        <v>586</v>
      </c>
      <c r="C254" s="43">
        <f>+Tabla130[[#This Row],[COSTO CON IVA]]/Tabla130[[#This Row],[UTILIDAD]]</f>
        <v>610400</v>
      </c>
      <c r="D254" s="43">
        <f>+Tabla130[[#This Row],[PRECIO INSTALLER (CON IVA)]]-Tabla130[[#This Row],[Columna4]]</f>
        <v>579880</v>
      </c>
      <c r="E254" s="43">
        <f>+Tabla130[[#This Row],[PRECIO INSTALLER (CON IVA)]]/0.7</f>
        <v>872000</v>
      </c>
      <c r="F254" s="22">
        <f>+Tabla130[[#This Row],[PRECIO INSTALLER (CON IVA)]]*5%</f>
        <v>30520</v>
      </c>
      <c r="G254" s="7">
        <v>0.85</v>
      </c>
      <c r="H254" s="6">
        <f>Tabla130[[#This Row],[COSTO]]*1.19</f>
        <v>518840</v>
      </c>
      <c r="I254" s="6"/>
      <c r="J254" s="6"/>
      <c r="K254" s="36">
        <v>436000</v>
      </c>
    </row>
    <row r="255" spans="1:11" ht="128.25" x14ac:dyDescent="0.2">
      <c r="A255" s="30" t="s">
        <v>587</v>
      </c>
      <c r="B255" s="24" t="s">
        <v>586</v>
      </c>
      <c r="C255" s="43">
        <f>+Tabla130[[#This Row],[COSTO CON IVA]]/Tabla130[[#This Row],[UTILIDAD]]</f>
        <v>454580</v>
      </c>
      <c r="D255" s="43">
        <f>+Tabla130[[#This Row],[PRECIO INSTALLER (CON IVA)]]-Tabla130[[#This Row],[Columna4]]</f>
        <v>431851</v>
      </c>
      <c r="E255" s="43">
        <f>+Tabla130[[#This Row],[PRECIO INSTALLER (CON IVA)]]/0.7</f>
        <v>649400</v>
      </c>
      <c r="F255" s="22">
        <f>+Tabla130[[#This Row],[PRECIO INSTALLER (CON IVA)]]*5%</f>
        <v>22729</v>
      </c>
      <c r="G255" s="7">
        <v>0.85</v>
      </c>
      <c r="H255" s="6">
        <f>Tabla130[[#This Row],[COSTO]]*1.19</f>
        <v>386393</v>
      </c>
      <c r="I255" s="6"/>
      <c r="J255" s="6"/>
      <c r="K255" s="36">
        <v>324700</v>
      </c>
    </row>
    <row r="256" spans="1:11" ht="128.25" x14ac:dyDescent="0.2">
      <c r="A256" s="30" t="s">
        <v>588</v>
      </c>
      <c r="B256" s="24" t="s">
        <v>589</v>
      </c>
      <c r="C256" s="43">
        <f>+Tabla130[[#This Row],[COSTO CON IVA]]/Tabla130[[#This Row],[UTILIDAD]]</f>
        <v>363720</v>
      </c>
      <c r="D256" s="43">
        <f>+Tabla130[[#This Row],[PRECIO INSTALLER (CON IVA)]]-Tabla130[[#This Row],[Columna4]]</f>
        <v>345534</v>
      </c>
      <c r="E256" s="43">
        <f>+Tabla130[[#This Row],[PRECIO INSTALLER (CON IVA)]]/0.7</f>
        <v>519600.00000000006</v>
      </c>
      <c r="F256" s="22">
        <f>+Tabla130[[#This Row],[PRECIO INSTALLER (CON IVA)]]*5%</f>
        <v>18186</v>
      </c>
      <c r="G256" s="7">
        <v>0.85</v>
      </c>
      <c r="H256" s="6">
        <f>Tabla130[[#This Row],[COSTO]]*1.19</f>
        <v>309162</v>
      </c>
      <c r="I256" s="6"/>
      <c r="J256" s="6"/>
      <c r="K256" s="36">
        <v>259800</v>
      </c>
    </row>
    <row r="257" spans="1:11" ht="128.25" x14ac:dyDescent="0.2">
      <c r="A257" s="30" t="s">
        <v>590</v>
      </c>
      <c r="B257" s="24" t="s">
        <v>589</v>
      </c>
      <c r="C257" s="43">
        <f>+Tabla130[[#This Row],[COSTO CON IVA]]/Tabla130[[#This Row],[UTILIDAD]]</f>
        <v>246820</v>
      </c>
      <c r="D257" s="43">
        <f>+Tabla130[[#This Row],[PRECIO INSTALLER (CON IVA)]]-Tabla130[[#This Row],[Columna4]]</f>
        <v>234479</v>
      </c>
      <c r="E257" s="43">
        <f>+Tabla130[[#This Row],[PRECIO INSTALLER (CON IVA)]]/0.7</f>
        <v>352600</v>
      </c>
      <c r="F257" s="22">
        <f>+Tabla130[[#This Row],[PRECIO INSTALLER (CON IVA)]]*5%</f>
        <v>12341</v>
      </c>
      <c r="G257" s="7">
        <v>0.85</v>
      </c>
      <c r="H257" s="6">
        <f>Tabla130[[#This Row],[COSTO]]*1.19</f>
        <v>209797</v>
      </c>
      <c r="I257" s="6"/>
      <c r="J257" s="6"/>
      <c r="K257" s="36">
        <v>176300</v>
      </c>
    </row>
    <row r="258" spans="1:11" ht="71.25" x14ac:dyDescent="0.2">
      <c r="A258" s="30" t="s">
        <v>591</v>
      </c>
      <c r="B258" s="24" t="s">
        <v>592</v>
      </c>
      <c r="C258" s="43">
        <f>+Tabla130[[#This Row],[COSTO CON IVA]]/Tabla130[[#This Row],[UTILIDAD]]</f>
        <v>311640</v>
      </c>
      <c r="D258" s="43">
        <f>+Tabla130[[#This Row],[PRECIO INSTALLER (CON IVA)]]-Tabla130[[#This Row],[Columna4]]</f>
        <v>296058</v>
      </c>
      <c r="E258" s="43">
        <f>+Tabla130[[#This Row],[PRECIO INSTALLER (CON IVA)]]/0.7</f>
        <v>445200</v>
      </c>
      <c r="F258" s="22">
        <f>+Tabla130[[#This Row],[PRECIO INSTALLER (CON IVA)]]*5%</f>
        <v>15582</v>
      </c>
      <c r="G258" s="7">
        <v>0.85</v>
      </c>
      <c r="H258" s="6">
        <f>Tabla130[[#This Row],[COSTO]]*1.19</f>
        <v>264894</v>
      </c>
      <c r="I258" s="6"/>
      <c r="J258" s="6"/>
      <c r="K258" s="36">
        <v>222600</v>
      </c>
    </row>
    <row r="259" spans="1:11" ht="71.25" x14ac:dyDescent="0.2">
      <c r="A259" s="30" t="s">
        <v>593</v>
      </c>
      <c r="B259" s="24" t="s">
        <v>592</v>
      </c>
      <c r="C259" s="43">
        <f>+Tabla130[[#This Row],[COSTO CON IVA]]/Tabla130[[#This Row],[UTILIDAD]]</f>
        <v>207760</v>
      </c>
      <c r="D259" s="43">
        <f>+Tabla130[[#This Row],[PRECIO INSTALLER (CON IVA)]]-Tabla130[[#This Row],[Columna4]]</f>
        <v>197372</v>
      </c>
      <c r="E259" s="43">
        <f>+Tabla130[[#This Row],[PRECIO INSTALLER (CON IVA)]]/0.7</f>
        <v>296800</v>
      </c>
      <c r="F259" s="22">
        <f>+Tabla130[[#This Row],[PRECIO INSTALLER (CON IVA)]]*5%</f>
        <v>10388</v>
      </c>
      <c r="G259" s="7">
        <v>0.85</v>
      </c>
      <c r="H259" s="6">
        <f>Tabla130[[#This Row],[COSTO]]*1.19</f>
        <v>176596</v>
      </c>
      <c r="I259" s="6"/>
      <c r="J259" s="6"/>
      <c r="K259" s="36">
        <v>148400</v>
      </c>
    </row>
    <row r="260" spans="1:11" ht="185.25" x14ac:dyDescent="0.2">
      <c r="A260" s="31" t="s">
        <v>594</v>
      </c>
      <c r="B260" s="24" t="s">
        <v>595</v>
      </c>
      <c r="C260" s="43">
        <f>+Tabla130[[#This Row],[COSTO CON IVA]]/Tabla130[[#This Row],[UTILIDAD]]</f>
        <v>630000</v>
      </c>
      <c r="D260" s="43">
        <f>+Tabla130[[#This Row],[PRECIO INSTALLER (CON IVA)]]-Tabla130[[#This Row],[Columna4]]</f>
        <v>598500</v>
      </c>
      <c r="E260" s="43">
        <f>+Tabla130[[#This Row],[PRECIO INSTALLER (CON IVA)]]/0.7</f>
        <v>900000</v>
      </c>
      <c r="F260" s="22">
        <f>+Tabla130[[#This Row],[PRECIO INSTALLER (CON IVA)]]*5%</f>
        <v>31500</v>
      </c>
      <c r="G260" s="7">
        <v>0.85</v>
      </c>
      <c r="H260" s="6">
        <f>Tabla130[[#This Row],[COSTO]]*1.19</f>
        <v>535500</v>
      </c>
      <c r="I260" s="6"/>
      <c r="J260" s="6"/>
      <c r="K260" s="37">
        <v>450000</v>
      </c>
    </row>
    <row r="261" spans="1:11" ht="156.75" x14ac:dyDescent="0.2">
      <c r="A261" s="32" t="s">
        <v>596</v>
      </c>
      <c r="B261" s="24" t="s">
        <v>597</v>
      </c>
      <c r="C261" s="43">
        <f>+Tabla130[[#This Row],[COSTO CON IVA]]/Tabla130[[#This Row],[UTILIDAD]]</f>
        <v>314160</v>
      </c>
      <c r="D261" s="43">
        <f>+Tabla130[[#This Row],[PRECIO INSTALLER (CON IVA)]]-Tabla130[[#This Row],[Columna4]]</f>
        <v>298452</v>
      </c>
      <c r="E261" s="43">
        <f>+Tabla130[[#This Row],[PRECIO INSTALLER (CON IVA)]]/0.7</f>
        <v>448800</v>
      </c>
      <c r="F261" s="22">
        <f>+Tabla130[[#This Row],[PRECIO INSTALLER (CON IVA)]]*5%</f>
        <v>15708</v>
      </c>
      <c r="G261" s="7">
        <v>0.85</v>
      </c>
      <c r="H261" s="6">
        <f>Tabla130[[#This Row],[COSTO]]*1.19</f>
        <v>267036</v>
      </c>
      <c r="I261" s="6"/>
      <c r="J261" s="6"/>
      <c r="K261" s="36">
        <v>224400</v>
      </c>
    </row>
    <row r="262" spans="1:11" ht="156.75" x14ac:dyDescent="0.2">
      <c r="A262" s="32" t="s">
        <v>598</v>
      </c>
      <c r="B262" s="24" t="s">
        <v>599</v>
      </c>
      <c r="C262" s="43">
        <f>+Tabla130[[#This Row],[COSTO CON IVA]]/Tabla130[[#This Row],[UTILIDAD]]</f>
        <v>285600</v>
      </c>
      <c r="D262" s="43">
        <f>+Tabla130[[#This Row],[PRECIO INSTALLER (CON IVA)]]-Tabla130[[#This Row],[Columna4]]</f>
        <v>271320</v>
      </c>
      <c r="E262" s="43">
        <f>+Tabla130[[#This Row],[PRECIO INSTALLER (CON IVA)]]/0.7</f>
        <v>408000</v>
      </c>
      <c r="F262" s="22">
        <f>+Tabla130[[#This Row],[PRECIO INSTALLER (CON IVA)]]*5%</f>
        <v>14280</v>
      </c>
      <c r="G262" s="7">
        <v>0.85</v>
      </c>
      <c r="H262" s="6">
        <f>Tabla130[[#This Row],[COSTO]]*1.19</f>
        <v>242760</v>
      </c>
      <c r="I262" s="6"/>
      <c r="J262" s="6"/>
      <c r="K262" s="36">
        <v>204000</v>
      </c>
    </row>
    <row r="263" spans="1:11" ht="142.5" x14ac:dyDescent="0.2">
      <c r="A263" s="32" t="s">
        <v>92</v>
      </c>
      <c r="B263" s="24" t="s">
        <v>600</v>
      </c>
      <c r="C263" s="43">
        <f>+Tabla130[[#This Row],[COSTO CON IVA]]/Tabla130[[#This Row],[UTILIDAD]]</f>
        <v>233800</v>
      </c>
      <c r="D263" s="43">
        <f>+Tabla130[[#This Row],[PRECIO INSTALLER (CON IVA)]]-Tabla130[[#This Row],[Columna4]]</f>
        <v>222110</v>
      </c>
      <c r="E263" s="43">
        <f>+Tabla130[[#This Row],[PRECIO INSTALLER (CON IVA)]]/0.7</f>
        <v>334000</v>
      </c>
      <c r="F263" s="22">
        <f>+Tabla130[[#This Row],[PRECIO INSTALLER (CON IVA)]]*5%</f>
        <v>11690</v>
      </c>
      <c r="G263" s="7">
        <v>0.85</v>
      </c>
      <c r="H263" s="6">
        <f>Tabla130[[#This Row],[COSTO]]*1.19</f>
        <v>198730</v>
      </c>
      <c r="I263" s="6"/>
      <c r="J263" s="6"/>
      <c r="K263" s="36">
        <v>167000</v>
      </c>
    </row>
    <row r="264" spans="1:11" x14ac:dyDescent="0.2">
      <c r="A264" s="33" t="s">
        <v>601</v>
      </c>
      <c r="B264" s="24"/>
      <c r="C264" s="43">
        <f>+Tabla130[[#This Row],[COSTO CON IVA]]/Tabla130[[#This Row],[UTILIDAD]]</f>
        <v>0</v>
      </c>
      <c r="D264" s="43">
        <f>+Tabla130[[#This Row],[PRECIO INSTALLER (CON IVA)]]-Tabla130[[#This Row],[Columna4]]</f>
        <v>0</v>
      </c>
      <c r="E264" s="43">
        <f>+Tabla130[[#This Row],[PRECIO INSTALLER (CON IVA)]]/0.7</f>
        <v>0</v>
      </c>
      <c r="F264" s="22">
        <f>+Tabla130[[#This Row],[PRECIO INSTALLER (CON IVA)]]*5%</f>
        <v>0</v>
      </c>
      <c r="G264" s="7">
        <v>0.85</v>
      </c>
      <c r="H264" s="6">
        <f>Tabla130[[#This Row],[COSTO]]*1.19</f>
        <v>0</v>
      </c>
      <c r="I264" s="6"/>
      <c r="J264" s="6"/>
      <c r="K264" s="36"/>
    </row>
    <row r="265" spans="1:11" ht="142.5" x14ac:dyDescent="0.2">
      <c r="A265" s="33" t="s">
        <v>602</v>
      </c>
      <c r="B265" s="24" t="s">
        <v>603</v>
      </c>
      <c r="C265" s="43">
        <f>+Tabla130[[#This Row],[COSTO CON IVA]]/Tabla130[[#This Row],[UTILIDAD]]</f>
        <v>169540</v>
      </c>
      <c r="D265" s="43">
        <f>+Tabla130[[#This Row],[PRECIO INSTALLER (CON IVA)]]-Tabla130[[#This Row],[Columna4]]</f>
        <v>161063</v>
      </c>
      <c r="E265" s="43">
        <f>+Tabla130[[#This Row],[PRECIO INSTALLER (CON IVA)]]/0.7</f>
        <v>242200.00000000003</v>
      </c>
      <c r="F265" s="22">
        <f>+Tabla130[[#This Row],[PRECIO INSTALLER (CON IVA)]]*5%</f>
        <v>8477</v>
      </c>
      <c r="G265" s="7">
        <v>0.85</v>
      </c>
      <c r="H265" s="6">
        <f>Tabla130[[#This Row],[COSTO]]*1.19</f>
        <v>144109</v>
      </c>
      <c r="I265" s="6"/>
      <c r="J265" s="6"/>
      <c r="K265" s="36">
        <v>121100</v>
      </c>
    </row>
    <row r="266" spans="1:11" ht="142.5" x14ac:dyDescent="0.2">
      <c r="A266" s="32" t="s">
        <v>604</v>
      </c>
      <c r="B266" s="24" t="s">
        <v>605</v>
      </c>
      <c r="C266" s="43">
        <f>+Tabla130[[#This Row],[COSTO CON IVA]]/Tabla130[[#This Row],[UTILIDAD]]</f>
        <v>169540</v>
      </c>
      <c r="D266" s="43">
        <f>+Tabla130[[#This Row],[PRECIO INSTALLER (CON IVA)]]-Tabla130[[#This Row],[Columna4]]</f>
        <v>161063</v>
      </c>
      <c r="E266" s="43">
        <f>+Tabla130[[#This Row],[PRECIO INSTALLER (CON IVA)]]/0.7</f>
        <v>242200.00000000003</v>
      </c>
      <c r="F266" s="22">
        <f>+Tabla130[[#This Row],[PRECIO INSTALLER (CON IVA)]]*5%</f>
        <v>8477</v>
      </c>
      <c r="G266" s="7">
        <v>0.85</v>
      </c>
      <c r="H266" s="6">
        <f>Tabla130[[#This Row],[COSTO]]*1.19</f>
        <v>144109</v>
      </c>
      <c r="I266" s="6"/>
      <c r="J266" s="6"/>
      <c r="K266" s="36">
        <v>121100</v>
      </c>
    </row>
    <row r="267" spans="1:11" ht="128.25" x14ac:dyDescent="0.2">
      <c r="A267" s="30" t="s">
        <v>91</v>
      </c>
      <c r="B267" s="24" t="s">
        <v>606</v>
      </c>
      <c r="C267" s="43">
        <f>+Tabla130[[#This Row],[COSTO CON IVA]]/Tabla130[[#This Row],[UTILIDAD]]</f>
        <v>171360</v>
      </c>
      <c r="D267" s="43">
        <f>+Tabla130[[#This Row],[PRECIO INSTALLER (CON IVA)]]-Tabla130[[#This Row],[Columna4]]</f>
        <v>162792</v>
      </c>
      <c r="E267" s="43">
        <f>+Tabla130[[#This Row],[PRECIO INSTALLER (CON IVA)]]/0.7</f>
        <v>244800.00000000003</v>
      </c>
      <c r="F267" s="22">
        <f>+Tabla130[[#This Row],[PRECIO INSTALLER (CON IVA)]]*5%</f>
        <v>8568</v>
      </c>
      <c r="G267" s="7">
        <v>0.85</v>
      </c>
      <c r="H267" s="6">
        <f>Tabla130[[#This Row],[COSTO]]*1.19</f>
        <v>145656</v>
      </c>
      <c r="I267" s="6"/>
      <c r="J267" s="6"/>
      <c r="K267" s="36">
        <v>122400</v>
      </c>
    </row>
    <row r="268" spans="1:11" ht="142.5" x14ac:dyDescent="0.2">
      <c r="A268" s="32" t="s">
        <v>607</v>
      </c>
      <c r="B268" s="24" t="s">
        <v>608</v>
      </c>
      <c r="C268" s="43">
        <f>+Tabla130[[#This Row],[COSTO CON IVA]]/Tabla130[[#This Row],[UTILIDAD]]</f>
        <v>128800</v>
      </c>
      <c r="D268" s="43">
        <f>+Tabla130[[#This Row],[PRECIO INSTALLER (CON IVA)]]-Tabla130[[#This Row],[Columna4]]</f>
        <v>122360</v>
      </c>
      <c r="E268" s="43">
        <f>+Tabla130[[#This Row],[PRECIO INSTALLER (CON IVA)]]/0.7</f>
        <v>184000</v>
      </c>
      <c r="F268" s="22">
        <f>+Tabla130[[#This Row],[PRECIO INSTALLER (CON IVA)]]*5%</f>
        <v>6440</v>
      </c>
      <c r="G268" s="7">
        <v>0.85</v>
      </c>
      <c r="H268" s="6">
        <f>Tabla130[[#This Row],[COSTO]]*1.19</f>
        <v>109480</v>
      </c>
      <c r="I268" s="6"/>
      <c r="J268" s="6"/>
      <c r="K268" s="36">
        <v>92000</v>
      </c>
    </row>
    <row r="269" spans="1:11" ht="128.25" x14ac:dyDescent="0.2">
      <c r="A269" s="32" t="s">
        <v>90</v>
      </c>
      <c r="B269" s="24" t="s">
        <v>609</v>
      </c>
      <c r="C269" s="43">
        <f>+Tabla130[[#This Row],[COSTO CON IVA]]/Tabla130[[#This Row],[UTILIDAD]]</f>
        <v>96880</v>
      </c>
      <c r="D269" s="43">
        <f>+Tabla130[[#This Row],[PRECIO INSTALLER (CON IVA)]]-Tabla130[[#This Row],[Columna4]]</f>
        <v>92036</v>
      </c>
      <c r="E269" s="43">
        <f>+Tabla130[[#This Row],[PRECIO INSTALLER (CON IVA)]]/0.7</f>
        <v>138400</v>
      </c>
      <c r="F269" s="22">
        <f>+Tabla130[[#This Row],[PRECIO INSTALLER (CON IVA)]]*5%</f>
        <v>4844</v>
      </c>
      <c r="G269" s="7">
        <v>0.85</v>
      </c>
      <c r="H269" s="6">
        <f>Tabla130[[#This Row],[COSTO]]*1.19</f>
        <v>82348</v>
      </c>
      <c r="I269" s="6"/>
      <c r="J269" s="6"/>
      <c r="K269" s="36">
        <v>69200</v>
      </c>
    </row>
    <row r="270" spans="1:11" ht="128.25" x14ac:dyDescent="0.2">
      <c r="A270" s="32" t="s">
        <v>89</v>
      </c>
      <c r="B270" s="24" t="s">
        <v>610</v>
      </c>
      <c r="C270" s="43">
        <f>+Tabla130[[#This Row],[COSTO CON IVA]]/Tabla130[[#This Row],[UTILIDAD]]</f>
        <v>110180</v>
      </c>
      <c r="D270" s="43">
        <f>+Tabla130[[#This Row],[PRECIO INSTALLER (CON IVA)]]-Tabla130[[#This Row],[Columna4]]</f>
        <v>104671</v>
      </c>
      <c r="E270" s="43">
        <f>+Tabla130[[#This Row],[PRECIO INSTALLER (CON IVA)]]/0.7</f>
        <v>157400</v>
      </c>
      <c r="F270" s="22">
        <f>+Tabla130[[#This Row],[PRECIO INSTALLER (CON IVA)]]*5%</f>
        <v>5509</v>
      </c>
      <c r="G270" s="7">
        <v>0.85</v>
      </c>
      <c r="H270" s="6">
        <f>Tabla130[[#This Row],[COSTO]]*1.19</f>
        <v>93653</v>
      </c>
      <c r="I270" s="6"/>
      <c r="J270" s="6"/>
      <c r="K270" s="36">
        <v>78700</v>
      </c>
    </row>
    <row r="271" spans="1:11" ht="128.25" x14ac:dyDescent="0.2">
      <c r="A271" s="32" t="s">
        <v>88</v>
      </c>
      <c r="B271" s="24" t="s">
        <v>611</v>
      </c>
      <c r="C271" s="43">
        <f>+Tabla130[[#This Row],[COSTO CON IVA]]/Tabla130[[#This Row],[UTILIDAD]]</f>
        <v>86100</v>
      </c>
      <c r="D271" s="43">
        <f>+Tabla130[[#This Row],[PRECIO INSTALLER (CON IVA)]]-Tabla130[[#This Row],[Columna4]]</f>
        <v>81795</v>
      </c>
      <c r="E271" s="43">
        <f>+Tabla130[[#This Row],[PRECIO INSTALLER (CON IVA)]]/0.7</f>
        <v>123000.00000000001</v>
      </c>
      <c r="F271" s="22">
        <f>+Tabla130[[#This Row],[PRECIO INSTALLER (CON IVA)]]*5%</f>
        <v>4305</v>
      </c>
      <c r="G271" s="7">
        <v>0.85</v>
      </c>
      <c r="H271" s="6">
        <f>Tabla130[[#This Row],[COSTO]]*1.19</f>
        <v>73185</v>
      </c>
      <c r="I271" s="6"/>
      <c r="J271" s="6"/>
      <c r="K271" s="36">
        <v>61500</v>
      </c>
    </row>
    <row r="272" spans="1:11" ht="114" x14ac:dyDescent="0.2">
      <c r="A272" s="30" t="s">
        <v>612</v>
      </c>
      <c r="B272" s="24" t="s">
        <v>613</v>
      </c>
      <c r="C272" s="43">
        <f>+Tabla130[[#This Row],[COSTO CON IVA]]/Tabla130[[#This Row],[UTILIDAD]]</f>
        <v>81900</v>
      </c>
      <c r="D272" s="43">
        <f>+Tabla130[[#This Row],[PRECIO INSTALLER (CON IVA)]]-Tabla130[[#This Row],[Columna4]]</f>
        <v>77805</v>
      </c>
      <c r="E272" s="43">
        <f>+Tabla130[[#This Row],[PRECIO INSTALLER (CON IVA)]]/0.7</f>
        <v>117000.00000000001</v>
      </c>
      <c r="F272" s="22">
        <f>+Tabla130[[#This Row],[PRECIO INSTALLER (CON IVA)]]*5%</f>
        <v>4095</v>
      </c>
      <c r="G272" s="7">
        <v>0.85</v>
      </c>
      <c r="H272" s="6">
        <f>Tabla130[[#This Row],[COSTO]]*1.19</f>
        <v>69615</v>
      </c>
      <c r="I272" s="6"/>
      <c r="J272" s="6"/>
      <c r="K272" s="36">
        <v>58500</v>
      </c>
    </row>
    <row r="273" spans="1:11" ht="114" x14ac:dyDescent="0.2">
      <c r="A273" s="30" t="s">
        <v>86</v>
      </c>
      <c r="B273" s="24" t="s">
        <v>614</v>
      </c>
      <c r="C273" s="43">
        <f>+Tabla130[[#This Row],[COSTO CON IVA]]/Tabla130[[#This Row],[UTILIDAD]]</f>
        <v>71400</v>
      </c>
      <c r="D273" s="43">
        <f>+Tabla130[[#This Row],[PRECIO INSTALLER (CON IVA)]]-Tabla130[[#This Row],[Columna4]]</f>
        <v>67830</v>
      </c>
      <c r="E273" s="43">
        <f>+Tabla130[[#This Row],[PRECIO INSTALLER (CON IVA)]]/0.7</f>
        <v>102000</v>
      </c>
      <c r="F273" s="22">
        <f>+Tabla130[[#This Row],[PRECIO INSTALLER (CON IVA)]]*5%</f>
        <v>3570</v>
      </c>
      <c r="G273" s="7">
        <v>0.85</v>
      </c>
      <c r="H273" s="6">
        <f>Tabla130[[#This Row],[COSTO]]*1.19</f>
        <v>60690</v>
      </c>
      <c r="I273" s="6"/>
      <c r="J273" s="6"/>
      <c r="K273" s="36">
        <v>51000</v>
      </c>
    </row>
    <row r="274" spans="1:11" ht="114" x14ac:dyDescent="0.2">
      <c r="A274" s="30" t="s">
        <v>85</v>
      </c>
      <c r="B274" s="24" t="s">
        <v>615</v>
      </c>
      <c r="C274" s="43">
        <f>+Tabla130[[#This Row],[COSTO CON IVA]]/Tabla130[[#This Row],[UTILIDAD]]</f>
        <v>51940</v>
      </c>
      <c r="D274" s="43">
        <f>+Tabla130[[#This Row],[PRECIO INSTALLER (CON IVA)]]-Tabla130[[#This Row],[Columna4]]</f>
        <v>49343</v>
      </c>
      <c r="E274" s="43">
        <f>+Tabla130[[#This Row],[PRECIO INSTALLER (CON IVA)]]/0.7</f>
        <v>74200</v>
      </c>
      <c r="F274" s="22">
        <f>+Tabla130[[#This Row],[PRECIO INSTALLER (CON IVA)]]*5%</f>
        <v>2597</v>
      </c>
      <c r="G274" s="7">
        <v>0.85</v>
      </c>
      <c r="H274" s="6">
        <f>Tabla130[[#This Row],[COSTO]]*1.19</f>
        <v>44149</v>
      </c>
      <c r="I274" s="6"/>
      <c r="J274" s="6"/>
      <c r="K274" s="36">
        <v>37100</v>
      </c>
    </row>
    <row r="275" spans="1:11" ht="114" x14ac:dyDescent="0.2">
      <c r="A275" s="30" t="s">
        <v>84</v>
      </c>
      <c r="B275" s="24" t="s">
        <v>616</v>
      </c>
      <c r="C275" s="43">
        <f>+Tabla130[[#This Row],[COSTO CON IVA]]/Tabla130[[#This Row],[UTILIDAD]]</f>
        <v>45080</v>
      </c>
      <c r="D275" s="43">
        <f>+Tabla130[[#This Row],[PRECIO INSTALLER (CON IVA)]]-Tabla130[[#This Row],[Columna4]]</f>
        <v>42826</v>
      </c>
      <c r="E275" s="43">
        <f>+Tabla130[[#This Row],[PRECIO INSTALLER (CON IVA)]]/0.7</f>
        <v>64400.000000000007</v>
      </c>
      <c r="F275" s="22">
        <f>+Tabla130[[#This Row],[PRECIO INSTALLER (CON IVA)]]*5%</f>
        <v>2254</v>
      </c>
      <c r="G275" s="7">
        <v>0.85</v>
      </c>
      <c r="H275" s="6">
        <f>Tabla130[[#This Row],[COSTO]]*1.19</f>
        <v>38318</v>
      </c>
      <c r="I275" s="6"/>
      <c r="J275" s="6"/>
      <c r="K275" s="36">
        <v>32200</v>
      </c>
    </row>
    <row r="276" spans="1:11" ht="114" x14ac:dyDescent="0.2">
      <c r="A276" s="30" t="s">
        <v>83</v>
      </c>
      <c r="B276" s="24" t="s">
        <v>617</v>
      </c>
      <c r="C276" s="43">
        <f>+Tabla130[[#This Row],[COSTO CON IVA]]/Tabla130[[#This Row],[UTILIDAD]]</f>
        <v>113540</v>
      </c>
      <c r="D276" s="43">
        <f>+Tabla130[[#This Row],[PRECIO INSTALLER (CON IVA)]]-Tabla130[[#This Row],[Columna4]]</f>
        <v>107863</v>
      </c>
      <c r="E276" s="43">
        <f>+Tabla130[[#This Row],[PRECIO INSTALLER (CON IVA)]]/0.7</f>
        <v>162200</v>
      </c>
      <c r="F276" s="22">
        <f>+Tabla130[[#This Row],[PRECIO INSTALLER (CON IVA)]]*5%</f>
        <v>5677</v>
      </c>
      <c r="G276" s="7">
        <v>0.85</v>
      </c>
      <c r="H276" s="6">
        <f>Tabla130[[#This Row],[COSTO]]*1.19</f>
        <v>96509</v>
      </c>
      <c r="I276" s="6"/>
      <c r="J276" s="6"/>
      <c r="K276" s="36">
        <v>81100</v>
      </c>
    </row>
    <row r="277" spans="1:11" ht="171" x14ac:dyDescent="0.2">
      <c r="A277" s="33" t="s">
        <v>618</v>
      </c>
      <c r="B277" s="24" t="s">
        <v>619</v>
      </c>
      <c r="C277" s="43">
        <f>+Tabla130[[#This Row],[COSTO CON IVA]]/Tabla130[[#This Row],[UTILIDAD]]</f>
        <v>306460</v>
      </c>
      <c r="D277" s="43">
        <f>+Tabla130[[#This Row],[PRECIO INSTALLER (CON IVA)]]-Tabla130[[#This Row],[Columna4]]</f>
        <v>291137</v>
      </c>
      <c r="E277" s="43">
        <f>+Tabla130[[#This Row],[PRECIO INSTALLER (CON IVA)]]/0.7</f>
        <v>437800</v>
      </c>
      <c r="F277" s="22">
        <f>+Tabla130[[#This Row],[PRECIO INSTALLER (CON IVA)]]*5%</f>
        <v>15323</v>
      </c>
      <c r="G277" s="7">
        <v>0.85</v>
      </c>
      <c r="H277" s="6">
        <f>Tabla130[[#This Row],[COSTO]]*1.19</f>
        <v>260491</v>
      </c>
      <c r="I277" s="6"/>
      <c r="J277" s="6"/>
      <c r="K277" s="36">
        <v>218900</v>
      </c>
    </row>
    <row r="278" spans="1:11" ht="171" x14ac:dyDescent="0.2">
      <c r="A278" s="33" t="s">
        <v>87</v>
      </c>
      <c r="B278" s="24" t="s">
        <v>620</v>
      </c>
      <c r="C278" s="43">
        <f>+Tabla130[[#This Row],[COSTO CON IVA]]/Tabla130[[#This Row],[UTILIDAD]]</f>
        <v>285460</v>
      </c>
      <c r="D278" s="43">
        <f>+Tabla130[[#This Row],[PRECIO INSTALLER (CON IVA)]]-Tabla130[[#This Row],[Columna4]]</f>
        <v>271187</v>
      </c>
      <c r="E278" s="43">
        <f>+Tabla130[[#This Row],[PRECIO INSTALLER (CON IVA)]]/0.7</f>
        <v>407800</v>
      </c>
      <c r="F278" s="22">
        <f>+Tabla130[[#This Row],[PRECIO INSTALLER (CON IVA)]]*5%</f>
        <v>14273</v>
      </c>
      <c r="G278" s="7">
        <v>0.85</v>
      </c>
      <c r="H278" s="6">
        <f>Tabla130[[#This Row],[COSTO]]*1.19</f>
        <v>242641</v>
      </c>
      <c r="I278" s="6"/>
      <c r="J278" s="6"/>
      <c r="K278" s="36">
        <v>203900</v>
      </c>
    </row>
    <row r="279" spans="1:11" ht="142.5" x14ac:dyDescent="0.2">
      <c r="A279" s="30" t="s">
        <v>621</v>
      </c>
      <c r="B279" s="24" t="s">
        <v>622</v>
      </c>
      <c r="C279" s="43">
        <f>+Tabla130[[#This Row],[COSTO CON IVA]]/Tabla130[[#This Row],[UTILIDAD]]</f>
        <v>249900</v>
      </c>
      <c r="D279" s="43">
        <f>+Tabla130[[#This Row],[PRECIO INSTALLER (CON IVA)]]-Tabla130[[#This Row],[Columna4]]</f>
        <v>237405</v>
      </c>
      <c r="E279" s="43">
        <f>+Tabla130[[#This Row],[PRECIO INSTALLER (CON IVA)]]/0.7</f>
        <v>357000</v>
      </c>
      <c r="F279" s="22">
        <f>+Tabla130[[#This Row],[PRECIO INSTALLER (CON IVA)]]*5%</f>
        <v>12495</v>
      </c>
      <c r="G279" s="7">
        <v>0.85</v>
      </c>
      <c r="H279" s="6">
        <f>Tabla130[[#This Row],[COSTO]]*1.19</f>
        <v>212415</v>
      </c>
      <c r="I279" s="6"/>
      <c r="J279" s="6"/>
      <c r="K279" s="36">
        <v>178500</v>
      </c>
    </row>
    <row r="280" spans="1:11" ht="142.5" x14ac:dyDescent="0.2">
      <c r="A280" s="30" t="s">
        <v>623</v>
      </c>
      <c r="B280" s="24" t="s">
        <v>624</v>
      </c>
      <c r="C280" s="43">
        <f>+Tabla130[[#This Row],[COSTO CON IVA]]/Tabla130[[#This Row],[UTILIDAD]]</f>
        <v>228900</v>
      </c>
      <c r="D280" s="43">
        <f>+Tabla130[[#This Row],[PRECIO INSTALLER (CON IVA)]]-Tabla130[[#This Row],[Columna4]]</f>
        <v>217455</v>
      </c>
      <c r="E280" s="43">
        <f>+Tabla130[[#This Row],[PRECIO INSTALLER (CON IVA)]]/0.7</f>
        <v>327000</v>
      </c>
      <c r="F280" s="22">
        <f>+Tabla130[[#This Row],[PRECIO INSTALLER (CON IVA)]]*5%</f>
        <v>11445</v>
      </c>
      <c r="G280" s="7">
        <v>0.85</v>
      </c>
      <c r="H280" s="6">
        <f>Tabla130[[#This Row],[COSTO]]*1.19</f>
        <v>194565</v>
      </c>
      <c r="I280" s="6"/>
      <c r="J280" s="6"/>
      <c r="K280" s="36">
        <v>163500</v>
      </c>
    </row>
    <row r="281" spans="1:11" ht="185.25" x14ac:dyDescent="0.2">
      <c r="A281" s="30" t="s">
        <v>625</v>
      </c>
      <c r="B281" s="24" t="s">
        <v>626</v>
      </c>
      <c r="C281" s="43">
        <f>+Tabla130[[#This Row],[COSTO CON IVA]]/Tabla130[[#This Row],[UTILIDAD]]</f>
        <v>770000</v>
      </c>
      <c r="D281" s="43">
        <f>+Tabla130[[#This Row],[PRECIO INSTALLER (CON IVA)]]-Tabla130[[#This Row],[Columna4]]</f>
        <v>731500</v>
      </c>
      <c r="E281" s="43">
        <f>+Tabla130[[#This Row],[PRECIO INSTALLER (CON IVA)]]/0.7</f>
        <v>1100000</v>
      </c>
      <c r="F281" s="22">
        <f>+Tabla130[[#This Row],[PRECIO INSTALLER (CON IVA)]]*5%</f>
        <v>38500</v>
      </c>
      <c r="G281" s="7">
        <v>0.85</v>
      </c>
      <c r="H281" s="6">
        <f>Tabla130[[#This Row],[COSTO]]*1.19</f>
        <v>654500</v>
      </c>
      <c r="I281" s="6"/>
      <c r="J281" s="6"/>
      <c r="K281" s="36">
        <v>550000</v>
      </c>
    </row>
    <row r="282" spans="1:11" ht="85.5" x14ac:dyDescent="0.2">
      <c r="A282" s="32" t="s">
        <v>627</v>
      </c>
      <c r="B282" s="24" t="s">
        <v>628</v>
      </c>
      <c r="C282" s="43">
        <f>+Tabla130[[#This Row],[COSTO CON IVA]]/Tabla130[[#This Row],[UTILIDAD]]</f>
        <v>52640</v>
      </c>
      <c r="D282" s="43">
        <f>+Tabla130[[#This Row],[PRECIO INSTALLER (CON IVA)]]-Tabla130[[#This Row],[Columna4]]</f>
        <v>50008</v>
      </c>
      <c r="E282" s="43">
        <f>+Tabla130[[#This Row],[PRECIO INSTALLER (CON IVA)]]/0.7</f>
        <v>75200</v>
      </c>
      <c r="F282" s="22">
        <f>+Tabla130[[#This Row],[PRECIO INSTALLER (CON IVA)]]*5%</f>
        <v>2632</v>
      </c>
      <c r="G282" s="7">
        <v>0.85</v>
      </c>
      <c r="H282" s="6">
        <f>Tabla130[[#This Row],[COSTO]]*1.19</f>
        <v>44744</v>
      </c>
      <c r="I282" s="6"/>
      <c r="J282" s="6"/>
      <c r="K282" s="36">
        <v>37600</v>
      </c>
    </row>
    <row r="283" spans="1:11" ht="128.25" x14ac:dyDescent="0.2">
      <c r="A283" s="32" t="s">
        <v>629</v>
      </c>
      <c r="B283" s="24" t="s">
        <v>630</v>
      </c>
      <c r="C283" s="43">
        <f>+Tabla130[[#This Row],[COSTO CON IVA]]/Tabla130[[#This Row],[UTILIDAD]]</f>
        <v>77840</v>
      </c>
      <c r="D283" s="43">
        <f>+Tabla130[[#This Row],[PRECIO INSTALLER (CON IVA)]]-Tabla130[[#This Row],[Columna4]]</f>
        <v>73948</v>
      </c>
      <c r="E283" s="43">
        <f>+Tabla130[[#This Row],[PRECIO INSTALLER (CON IVA)]]/0.7</f>
        <v>111200</v>
      </c>
      <c r="F283" s="22">
        <f>+Tabla130[[#This Row],[PRECIO INSTALLER (CON IVA)]]*5%</f>
        <v>3892</v>
      </c>
      <c r="G283" s="7">
        <v>0.85</v>
      </c>
      <c r="H283" s="6">
        <f>Tabla130[[#This Row],[COSTO]]*1.19</f>
        <v>66164</v>
      </c>
      <c r="I283" s="6"/>
      <c r="J283" s="6"/>
      <c r="K283" s="36">
        <v>55600</v>
      </c>
    </row>
    <row r="284" spans="1:11" ht="114" x14ac:dyDescent="0.2">
      <c r="A284" s="32" t="s">
        <v>631</v>
      </c>
      <c r="B284" s="24" t="s">
        <v>632</v>
      </c>
      <c r="C284" s="43">
        <f>+Tabla130[[#This Row],[COSTO CON IVA]]/Tabla130[[#This Row],[UTILIDAD]]</f>
        <v>58520</v>
      </c>
      <c r="D284" s="43">
        <f>+Tabla130[[#This Row],[PRECIO INSTALLER (CON IVA)]]-Tabla130[[#This Row],[Columna4]]</f>
        <v>55594</v>
      </c>
      <c r="E284" s="43">
        <f>+Tabla130[[#This Row],[PRECIO INSTALLER (CON IVA)]]/0.7</f>
        <v>83600</v>
      </c>
      <c r="F284" s="22">
        <f>+Tabla130[[#This Row],[PRECIO INSTALLER (CON IVA)]]*5%</f>
        <v>2926</v>
      </c>
      <c r="G284" s="7">
        <v>0.85</v>
      </c>
      <c r="H284" s="6">
        <f>Tabla130[[#This Row],[COSTO]]*1.19</f>
        <v>49742</v>
      </c>
      <c r="I284" s="6"/>
      <c r="J284" s="6"/>
      <c r="K284" s="36">
        <v>41800</v>
      </c>
    </row>
    <row r="285" spans="1:11" ht="85.5" x14ac:dyDescent="0.2">
      <c r="A285" s="30" t="s">
        <v>82</v>
      </c>
      <c r="B285" s="24" t="s">
        <v>633</v>
      </c>
      <c r="C285" s="43">
        <f>+Tabla130[[#This Row],[COSTO CON IVA]]/Tabla130[[#This Row],[UTILIDAD]]</f>
        <v>86520</v>
      </c>
      <c r="D285" s="43">
        <f>+Tabla130[[#This Row],[PRECIO INSTALLER (CON IVA)]]-Tabla130[[#This Row],[Columna4]]</f>
        <v>82194</v>
      </c>
      <c r="E285" s="43">
        <f>+Tabla130[[#This Row],[PRECIO INSTALLER (CON IVA)]]/0.7</f>
        <v>123600.00000000001</v>
      </c>
      <c r="F285" s="22">
        <f>+Tabla130[[#This Row],[PRECIO INSTALLER (CON IVA)]]*5%</f>
        <v>4326</v>
      </c>
      <c r="G285" s="7">
        <v>0.85</v>
      </c>
      <c r="H285" s="6">
        <f>Tabla130[[#This Row],[COSTO]]*1.19</f>
        <v>73542</v>
      </c>
      <c r="I285" s="6"/>
      <c r="J285" s="6"/>
      <c r="K285" s="36">
        <v>61800</v>
      </c>
    </row>
    <row r="286" spans="1:11" ht="42.75" x14ac:dyDescent="0.2">
      <c r="A286" s="31" t="s">
        <v>81</v>
      </c>
      <c r="B286" s="24" t="s">
        <v>634</v>
      </c>
      <c r="C286" s="43">
        <f>+Tabla130[[#This Row],[COSTO CON IVA]]/Tabla130[[#This Row],[UTILIDAD]]</f>
        <v>51940</v>
      </c>
      <c r="D286" s="43">
        <f>+Tabla130[[#This Row],[PRECIO INSTALLER (CON IVA)]]-Tabla130[[#This Row],[Columna4]]</f>
        <v>49343</v>
      </c>
      <c r="E286" s="43">
        <f>+Tabla130[[#This Row],[PRECIO INSTALLER (CON IVA)]]/0.7</f>
        <v>74200</v>
      </c>
      <c r="F286" s="22">
        <f>+Tabla130[[#This Row],[PRECIO INSTALLER (CON IVA)]]*5%</f>
        <v>2597</v>
      </c>
      <c r="G286" s="7">
        <v>0.85</v>
      </c>
      <c r="H286" s="6">
        <f>Tabla130[[#This Row],[COSTO]]*1.19</f>
        <v>44149</v>
      </c>
      <c r="I286" s="6"/>
      <c r="J286" s="6"/>
      <c r="K286" s="36">
        <v>37100</v>
      </c>
    </row>
    <row r="287" spans="1:11" ht="71.25" x14ac:dyDescent="0.2">
      <c r="A287" s="31" t="s">
        <v>635</v>
      </c>
      <c r="B287" s="24" t="s">
        <v>636</v>
      </c>
      <c r="C287" s="43">
        <f>+Tabla130[[#This Row],[COSTO CON IVA]]/Tabla130[[#This Row],[UTILIDAD]]</f>
        <v>138600</v>
      </c>
      <c r="D287" s="43">
        <f>+Tabla130[[#This Row],[PRECIO INSTALLER (CON IVA)]]-Tabla130[[#This Row],[Columna4]]</f>
        <v>131670</v>
      </c>
      <c r="E287" s="43">
        <f>+Tabla130[[#This Row],[PRECIO INSTALLER (CON IVA)]]/0.7</f>
        <v>198000</v>
      </c>
      <c r="F287" s="22">
        <f>+Tabla130[[#This Row],[PRECIO INSTALLER (CON IVA)]]*5%</f>
        <v>6930</v>
      </c>
      <c r="G287" s="7">
        <v>0.85</v>
      </c>
      <c r="H287" s="6">
        <f>Tabla130[[#This Row],[COSTO]]*1.19</f>
        <v>117810</v>
      </c>
      <c r="I287" s="6"/>
      <c r="J287" s="6"/>
      <c r="K287" s="36">
        <v>99000</v>
      </c>
    </row>
    <row r="288" spans="1:11" ht="57" x14ac:dyDescent="0.2">
      <c r="A288" s="31" t="s">
        <v>80</v>
      </c>
      <c r="B288" s="24" t="s">
        <v>637</v>
      </c>
      <c r="C288" s="43">
        <f>+Tabla130[[#This Row],[COSTO CON IVA]]/Tabla130[[#This Row],[UTILIDAD]]</f>
        <v>54600</v>
      </c>
      <c r="D288" s="43">
        <f>+Tabla130[[#This Row],[PRECIO INSTALLER (CON IVA)]]-Tabla130[[#This Row],[Columna4]]</f>
        <v>51870</v>
      </c>
      <c r="E288" s="43">
        <f>+Tabla130[[#This Row],[PRECIO INSTALLER (CON IVA)]]/0.7</f>
        <v>78000</v>
      </c>
      <c r="F288" s="22">
        <f>+Tabla130[[#This Row],[PRECIO INSTALLER (CON IVA)]]*5%</f>
        <v>2730</v>
      </c>
      <c r="G288" s="7">
        <v>0.85</v>
      </c>
      <c r="H288" s="6">
        <f>Tabla130[[#This Row],[COSTO]]*1.19</f>
        <v>46410</v>
      </c>
      <c r="I288" s="6"/>
      <c r="J288" s="6"/>
      <c r="K288" s="36">
        <v>39000</v>
      </c>
    </row>
    <row r="289" spans="1:11" ht="57" x14ac:dyDescent="0.2">
      <c r="A289" s="31" t="s">
        <v>79</v>
      </c>
      <c r="B289" s="24" t="s">
        <v>638</v>
      </c>
      <c r="C289" s="43">
        <f>+Tabla130[[#This Row],[COSTO CON IVA]]/Tabla130[[#This Row],[UTILIDAD]]</f>
        <v>62860</v>
      </c>
      <c r="D289" s="43">
        <f>+Tabla130[[#This Row],[PRECIO INSTALLER (CON IVA)]]-Tabla130[[#This Row],[Columna4]]</f>
        <v>59717</v>
      </c>
      <c r="E289" s="43">
        <f>+Tabla130[[#This Row],[PRECIO INSTALLER (CON IVA)]]/0.7</f>
        <v>89800</v>
      </c>
      <c r="F289" s="22">
        <f>+Tabla130[[#This Row],[PRECIO INSTALLER (CON IVA)]]*5%</f>
        <v>3143</v>
      </c>
      <c r="G289" s="7">
        <v>0.85</v>
      </c>
      <c r="H289" s="6">
        <f>Tabla130[[#This Row],[COSTO]]*1.19</f>
        <v>53431</v>
      </c>
      <c r="I289" s="6"/>
      <c r="J289" s="6"/>
      <c r="K289" s="36">
        <v>44900</v>
      </c>
    </row>
    <row r="290" spans="1:11" ht="57" x14ac:dyDescent="0.2">
      <c r="A290" s="34" t="s">
        <v>639</v>
      </c>
      <c r="B290" s="24" t="s">
        <v>640</v>
      </c>
      <c r="C290" s="43">
        <f>+Tabla130[[#This Row],[COSTO CON IVA]]/Tabla130[[#This Row],[UTILIDAD]]</f>
        <v>78680</v>
      </c>
      <c r="D290" s="43">
        <f>+Tabla130[[#This Row],[PRECIO INSTALLER (CON IVA)]]-Tabla130[[#This Row],[Columna4]]</f>
        <v>74746</v>
      </c>
      <c r="E290" s="43">
        <f>+Tabla130[[#This Row],[PRECIO INSTALLER (CON IVA)]]/0.7</f>
        <v>112400</v>
      </c>
      <c r="F290" s="22">
        <f>+Tabla130[[#This Row],[PRECIO INSTALLER (CON IVA)]]*5%</f>
        <v>3934</v>
      </c>
      <c r="G290" s="7">
        <v>0.85</v>
      </c>
      <c r="H290" s="6">
        <f>Tabla130[[#This Row],[COSTO]]*1.19</f>
        <v>66878</v>
      </c>
      <c r="I290" s="6"/>
      <c r="J290" s="6"/>
      <c r="K290" s="36">
        <v>56200</v>
      </c>
    </row>
    <row r="291" spans="1:11" ht="57" x14ac:dyDescent="0.2">
      <c r="A291" s="31" t="s">
        <v>641</v>
      </c>
      <c r="B291" s="24" t="s">
        <v>642</v>
      </c>
      <c r="C291" s="43">
        <f>+Tabla130[[#This Row],[COSTO CON IVA]]/Tabla130[[#This Row],[UTILIDAD]]</f>
        <v>49000</v>
      </c>
      <c r="D291" s="43">
        <f>+Tabla130[[#This Row],[PRECIO INSTALLER (CON IVA)]]-Tabla130[[#This Row],[Columna4]]</f>
        <v>46550</v>
      </c>
      <c r="E291" s="43">
        <f>+Tabla130[[#This Row],[PRECIO INSTALLER (CON IVA)]]/0.7</f>
        <v>70000</v>
      </c>
      <c r="F291" s="22">
        <f>+Tabla130[[#This Row],[PRECIO INSTALLER (CON IVA)]]*5%</f>
        <v>2450</v>
      </c>
      <c r="G291" s="7">
        <v>0.85</v>
      </c>
      <c r="H291" s="6">
        <f>Tabla130[[#This Row],[COSTO]]*1.19</f>
        <v>41650</v>
      </c>
      <c r="I291" s="6"/>
      <c r="J291" s="6"/>
      <c r="K291" s="36">
        <v>35000</v>
      </c>
    </row>
    <row r="292" spans="1:11" ht="57" x14ac:dyDescent="0.2">
      <c r="A292" s="31" t="s">
        <v>78</v>
      </c>
      <c r="B292" s="24" t="s">
        <v>643</v>
      </c>
      <c r="C292" s="43">
        <f>+Tabla130[[#This Row],[COSTO CON IVA]]/Tabla130[[#This Row],[UTILIDAD]]</f>
        <v>40880</v>
      </c>
      <c r="D292" s="43">
        <f>+Tabla130[[#This Row],[PRECIO INSTALLER (CON IVA)]]-Tabla130[[#This Row],[Columna4]]</f>
        <v>38836</v>
      </c>
      <c r="E292" s="43">
        <f>+Tabla130[[#This Row],[PRECIO INSTALLER (CON IVA)]]/0.7</f>
        <v>58400.000000000007</v>
      </c>
      <c r="F292" s="22">
        <f>+Tabla130[[#This Row],[PRECIO INSTALLER (CON IVA)]]*5%</f>
        <v>2044</v>
      </c>
      <c r="G292" s="7">
        <v>0.85</v>
      </c>
      <c r="H292" s="6">
        <f>Tabla130[[#This Row],[COSTO]]*1.19</f>
        <v>34748</v>
      </c>
      <c r="I292" s="6"/>
      <c r="J292" s="6"/>
      <c r="K292" s="36">
        <v>29200</v>
      </c>
    </row>
    <row r="293" spans="1:11" ht="57" x14ac:dyDescent="0.2">
      <c r="A293" s="34" t="s">
        <v>644</v>
      </c>
      <c r="B293" s="24" t="s">
        <v>645</v>
      </c>
      <c r="C293" s="43">
        <f>+Tabla130[[#This Row],[COSTO CON IVA]]/Tabla130[[#This Row],[UTILIDAD]]</f>
        <v>23380</v>
      </c>
      <c r="D293" s="43">
        <f>+Tabla130[[#This Row],[PRECIO INSTALLER (CON IVA)]]-Tabla130[[#This Row],[Columna4]]</f>
        <v>22211</v>
      </c>
      <c r="E293" s="43">
        <f>+Tabla130[[#This Row],[PRECIO INSTALLER (CON IVA)]]/0.7</f>
        <v>33400</v>
      </c>
      <c r="F293" s="22">
        <f>+Tabla130[[#This Row],[PRECIO INSTALLER (CON IVA)]]*5%</f>
        <v>1169</v>
      </c>
      <c r="G293" s="7">
        <v>0.85</v>
      </c>
      <c r="H293" s="6">
        <f>Tabla130[[#This Row],[COSTO]]*1.19</f>
        <v>19873</v>
      </c>
      <c r="I293" s="6"/>
      <c r="J293" s="6"/>
      <c r="K293" s="36">
        <v>16700</v>
      </c>
    </row>
    <row r="294" spans="1:11" ht="57" x14ac:dyDescent="0.2">
      <c r="A294" s="34" t="s">
        <v>646</v>
      </c>
      <c r="B294" s="24" t="s">
        <v>647</v>
      </c>
      <c r="C294" s="43">
        <f>+Tabla130[[#This Row],[COSTO CON IVA]]/Tabla130[[#This Row],[UTILIDAD]]</f>
        <v>28420</v>
      </c>
      <c r="D294" s="43">
        <f>+Tabla130[[#This Row],[PRECIO INSTALLER (CON IVA)]]-Tabla130[[#This Row],[Columna4]]</f>
        <v>26999</v>
      </c>
      <c r="E294" s="43">
        <f>+Tabla130[[#This Row],[PRECIO INSTALLER (CON IVA)]]/0.7</f>
        <v>40600</v>
      </c>
      <c r="F294" s="22">
        <f>+Tabla130[[#This Row],[PRECIO INSTALLER (CON IVA)]]*5%</f>
        <v>1421</v>
      </c>
      <c r="G294" s="7">
        <v>0.85</v>
      </c>
      <c r="H294" s="6">
        <f>Tabla130[[#This Row],[COSTO]]*1.19</f>
        <v>24157</v>
      </c>
      <c r="I294" s="6"/>
      <c r="J294" s="6"/>
      <c r="K294" s="36">
        <v>20300</v>
      </c>
    </row>
    <row r="295" spans="1:11" ht="57" x14ac:dyDescent="0.2">
      <c r="A295" s="34" t="s">
        <v>77</v>
      </c>
      <c r="B295" s="24" t="s">
        <v>648</v>
      </c>
      <c r="C295" s="43">
        <f>+Tabla130[[#This Row],[COSTO CON IVA]]/Tabla130[[#This Row],[UTILIDAD]]</f>
        <v>21840</v>
      </c>
      <c r="D295" s="43">
        <f>+Tabla130[[#This Row],[PRECIO INSTALLER (CON IVA)]]-Tabla130[[#This Row],[Columna4]]</f>
        <v>20748</v>
      </c>
      <c r="E295" s="43">
        <f>+Tabla130[[#This Row],[PRECIO INSTALLER (CON IVA)]]/0.7</f>
        <v>31200.000000000004</v>
      </c>
      <c r="F295" s="22">
        <f>+Tabla130[[#This Row],[PRECIO INSTALLER (CON IVA)]]*5%</f>
        <v>1092</v>
      </c>
      <c r="G295" s="7">
        <v>0.85</v>
      </c>
      <c r="H295" s="6">
        <f>Tabla130[[#This Row],[COSTO]]*1.19</f>
        <v>18564</v>
      </c>
      <c r="I295" s="6"/>
      <c r="J295" s="6"/>
      <c r="K295" s="36">
        <v>15600</v>
      </c>
    </row>
    <row r="296" spans="1:11" x14ac:dyDescent="0.2">
      <c r="A296" s="34" t="s">
        <v>649</v>
      </c>
      <c r="B296" s="24"/>
      <c r="C296" s="43">
        <f>+Tabla130[[#This Row],[COSTO CON IVA]]/Tabla130[[#This Row],[UTILIDAD]]</f>
        <v>0</v>
      </c>
      <c r="D296" s="43">
        <f>+Tabla130[[#This Row],[PRECIO INSTALLER (CON IVA)]]-Tabla130[[#This Row],[Columna4]]</f>
        <v>0</v>
      </c>
      <c r="E296" s="43">
        <f>+Tabla130[[#This Row],[PRECIO INSTALLER (CON IVA)]]/0.7</f>
        <v>0</v>
      </c>
      <c r="F296" s="22">
        <f>+Tabla130[[#This Row],[PRECIO INSTALLER (CON IVA)]]*5%</f>
        <v>0</v>
      </c>
      <c r="G296" s="7">
        <v>0.85</v>
      </c>
      <c r="H296" s="6">
        <f>Tabla130[[#This Row],[COSTO]]*1.19</f>
        <v>0</v>
      </c>
      <c r="I296" s="6"/>
      <c r="J296" s="6"/>
      <c r="K296" s="36"/>
    </row>
    <row r="297" spans="1:11" ht="57" x14ac:dyDescent="0.2">
      <c r="A297" s="34" t="s">
        <v>650</v>
      </c>
      <c r="B297" s="24" t="s">
        <v>651</v>
      </c>
      <c r="C297" s="43">
        <f>+Tabla130[[#This Row],[COSTO CON IVA]]/Tabla130[[#This Row],[UTILIDAD]]</f>
        <v>17920</v>
      </c>
      <c r="D297" s="43">
        <f>+Tabla130[[#This Row],[PRECIO INSTALLER (CON IVA)]]-Tabla130[[#This Row],[Columna4]]</f>
        <v>17024</v>
      </c>
      <c r="E297" s="43">
        <f>+Tabla130[[#This Row],[PRECIO INSTALLER (CON IVA)]]/0.7</f>
        <v>25600</v>
      </c>
      <c r="F297" s="22">
        <f>+Tabla130[[#This Row],[PRECIO INSTALLER (CON IVA)]]*5%</f>
        <v>896</v>
      </c>
      <c r="G297" s="7">
        <v>0.85</v>
      </c>
      <c r="H297" s="6">
        <f>Tabla130[[#This Row],[COSTO]]*1.19</f>
        <v>15232</v>
      </c>
      <c r="I297" s="6"/>
      <c r="J297" s="6"/>
      <c r="K297" s="36">
        <v>12800</v>
      </c>
    </row>
    <row r="298" spans="1:11" ht="99.75" x14ac:dyDescent="0.2">
      <c r="A298" s="34" t="s">
        <v>652</v>
      </c>
      <c r="B298" s="24" t="s">
        <v>653</v>
      </c>
      <c r="C298" s="43">
        <f>+Tabla130[[#This Row],[COSTO CON IVA]]/Tabla130[[#This Row],[UTILIDAD]]</f>
        <v>222600</v>
      </c>
      <c r="D298" s="43">
        <f>+Tabla130[[#This Row],[PRECIO INSTALLER (CON IVA)]]-Tabla130[[#This Row],[Columna4]]</f>
        <v>211470</v>
      </c>
      <c r="E298" s="43">
        <f>+Tabla130[[#This Row],[PRECIO INSTALLER (CON IVA)]]/0.7</f>
        <v>318000</v>
      </c>
      <c r="F298" s="22">
        <f>+Tabla130[[#This Row],[PRECIO INSTALLER (CON IVA)]]*5%</f>
        <v>11130</v>
      </c>
      <c r="G298" s="7">
        <v>0.85</v>
      </c>
      <c r="H298" s="6">
        <f>Tabla130[[#This Row],[COSTO]]*1.19</f>
        <v>189210</v>
      </c>
      <c r="I298" s="6"/>
      <c r="J298" s="6"/>
      <c r="K298" s="36">
        <v>159000</v>
      </c>
    </row>
    <row r="299" spans="1:11" ht="99.75" x14ac:dyDescent="0.2">
      <c r="A299" s="34" t="s">
        <v>654</v>
      </c>
      <c r="B299" s="24" t="s">
        <v>655</v>
      </c>
      <c r="C299" s="43">
        <f>+Tabla130[[#This Row],[COSTO CON IVA]]/Tabla130[[#This Row],[UTILIDAD]]</f>
        <v>184100</v>
      </c>
      <c r="D299" s="43">
        <f>+Tabla130[[#This Row],[PRECIO INSTALLER (CON IVA)]]-Tabla130[[#This Row],[Columna4]]</f>
        <v>174895</v>
      </c>
      <c r="E299" s="43">
        <f>+Tabla130[[#This Row],[PRECIO INSTALLER (CON IVA)]]/0.7</f>
        <v>263000</v>
      </c>
      <c r="F299" s="22">
        <f>+Tabla130[[#This Row],[PRECIO INSTALLER (CON IVA)]]*5%</f>
        <v>9205</v>
      </c>
      <c r="G299" s="7">
        <v>0.85</v>
      </c>
      <c r="H299" s="6">
        <f>Tabla130[[#This Row],[COSTO]]*1.19</f>
        <v>156485</v>
      </c>
      <c r="I299" s="6"/>
      <c r="J299" s="6"/>
      <c r="K299" s="36">
        <v>131500</v>
      </c>
    </row>
    <row r="300" spans="1:11" ht="114" x14ac:dyDescent="0.2">
      <c r="A300" s="34" t="s">
        <v>656</v>
      </c>
      <c r="B300" s="24" t="s">
        <v>657</v>
      </c>
      <c r="C300" s="43">
        <f>+Tabla130[[#This Row],[COSTO CON IVA]]/Tabla130[[#This Row],[UTILIDAD]]</f>
        <v>154000</v>
      </c>
      <c r="D300" s="43">
        <f>+Tabla130[[#This Row],[PRECIO INSTALLER (CON IVA)]]-Tabla130[[#This Row],[Columna4]]</f>
        <v>146300</v>
      </c>
      <c r="E300" s="43">
        <f>+Tabla130[[#This Row],[PRECIO INSTALLER (CON IVA)]]/0.7</f>
        <v>220000</v>
      </c>
      <c r="F300" s="22">
        <f>+Tabla130[[#This Row],[PRECIO INSTALLER (CON IVA)]]*5%</f>
        <v>7700</v>
      </c>
      <c r="G300" s="7">
        <v>0.85</v>
      </c>
      <c r="H300" s="6">
        <f>Tabla130[[#This Row],[COSTO]]*1.19</f>
        <v>130900</v>
      </c>
      <c r="I300" s="6"/>
      <c r="J300" s="6"/>
      <c r="K300" s="36">
        <v>110000</v>
      </c>
    </row>
    <row r="301" spans="1:11" ht="99.75" x14ac:dyDescent="0.2">
      <c r="A301" s="34" t="s">
        <v>658</v>
      </c>
      <c r="B301" s="24" t="s">
        <v>659</v>
      </c>
      <c r="C301" s="43">
        <f>+Tabla130[[#This Row],[COSTO CON IVA]]/Tabla130[[#This Row],[UTILIDAD]]</f>
        <v>125860</v>
      </c>
      <c r="D301" s="43">
        <f>+Tabla130[[#This Row],[PRECIO INSTALLER (CON IVA)]]-Tabla130[[#This Row],[Columna4]]</f>
        <v>119567</v>
      </c>
      <c r="E301" s="43">
        <f>+Tabla130[[#This Row],[PRECIO INSTALLER (CON IVA)]]/0.7</f>
        <v>179800</v>
      </c>
      <c r="F301" s="22">
        <f>+Tabla130[[#This Row],[PRECIO INSTALLER (CON IVA)]]*5%</f>
        <v>6293</v>
      </c>
      <c r="G301" s="7">
        <v>0.85</v>
      </c>
      <c r="H301" s="6">
        <f>Tabla130[[#This Row],[COSTO]]*1.19</f>
        <v>106981</v>
      </c>
      <c r="I301" s="6"/>
      <c r="J301" s="6"/>
      <c r="K301" s="36">
        <v>89900</v>
      </c>
    </row>
    <row r="302" spans="1:11" ht="85.5" x14ac:dyDescent="0.2">
      <c r="A302" s="34" t="s">
        <v>660</v>
      </c>
      <c r="B302" s="24" t="s">
        <v>661</v>
      </c>
      <c r="C302" s="43">
        <f>+Tabla130[[#This Row],[COSTO CON IVA]]/Tabla130[[#This Row],[UTILIDAD]]</f>
        <v>70840</v>
      </c>
      <c r="D302" s="43">
        <f>+Tabla130[[#This Row],[PRECIO INSTALLER (CON IVA)]]-Tabla130[[#This Row],[Columna4]]</f>
        <v>67298</v>
      </c>
      <c r="E302" s="43">
        <f>+Tabla130[[#This Row],[PRECIO INSTALLER (CON IVA)]]/0.7</f>
        <v>101200</v>
      </c>
      <c r="F302" s="22">
        <f>+Tabla130[[#This Row],[PRECIO INSTALLER (CON IVA)]]*5%</f>
        <v>3542</v>
      </c>
      <c r="G302" s="7">
        <v>0.85</v>
      </c>
      <c r="H302" s="6">
        <f>Tabla130[[#This Row],[COSTO]]*1.19</f>
        <v>60214</v>
      </c>
      <c r="I302" s="6"/>
      <c r="J302" s="6"/>
      <c r="K302" s="36">
        <v>50600</v>
      </c>
    </row>
    <row r="303" spans="1:11" ht="85.5" x14ac:dyDescent="0.2">
      <c r="A303" s="34" t="s">
        <v>662</v>
      </c>
      <c r="B303" s="24" t="s">
        <v>663</v>
      </c>
      <c r="C303" s="43">
        <f>+Tabla130[[#This Row],[COSTO CON IVA]]/Tabla130[[#This Row],[UTILIDAD]]</f>
        <v>72800</v>
      </c>
      <c r="D303" s="43">
        <f>+Tabla130[[#This Row],[PRECIO INSTALLER (CON IVA)]]-Tabla130[[#This Row],[Columna4]]</f>
        <v>69160</v>
      </c>
      <c r="E303" s="43">
        <f>+Tabla130[[#This Row],[PRECIO INSTALLER (CON IVA)]]/0.7</f>
        <v>104000</v>
      </c>
      <c r="F303" s="22">
        <f>+Tabla130[[#This Row],[PRECIO INSTALLER (CON IVA)]]*5%</f>
        <v>3640</v>
      </c>
      <c r="G303" s="7">
        <v>0.85</v>
      </c>
      <c r="H303" s="6">
        <f>Tabla130[[#This Row],[COSTO]]*1.19</f>
        <v>61880</v>
      </c>
      <c r="I303" s="6"/>
      <c r="J303" s="6"/>
      <c r="K303" s="36">
        <v>52000</v>
      </c>
    </row>
    <row r="304" spans="1:11" ht="85.5" x14ac:dyDescent="0.2">
      <c r="A304" s="34" t="s">
        <v>664</v>
      </c>
      <c r="B304" s="24" t="s">
        <v>665</v>
      </c>
      <c r="C304" s="43">
        <f>+Tabla130[[#This Row],[COSTO CON IVA]]/Tabla130[[#This Row],[UTILIDAD]]</f>
        <v>49000</v>
      </c>
      <c r="D304" s="43">
        <f>+Tabla130[[#This Row],[PRECIO INSTALLER (CON IVA)]]-Tabla130[[#This Row],[Columna4]]</f>
        <v>46550</v>
      </c>
      <c r="E304" s="43">
        <f>+Tabla130[[#This Row],[PRECIO INSTALLER (CON IVA)]]/0.7</f>
        <v>70000</v>
      </c>
      <c r="F304" s="22">
        <f>+Tabla130[[#This Row],[PRECIO INSTALLER (CON IVA)]]*5%</f>
        <v>2450</v>
      </c>
      <c r="G304" s="7">
        <v>0.85</v>
      </c>
      <c r="H304" s="6">
        <f>Tabla130[[#This Row],[COSTO]]*1.19</f>
        <v>41650</v>
      </c>
      <c r="I304" s="6"/>
      <c r="J304" s="6"/>
      <c r="K304" s="36">
        <v>35000</v>
      </c>
    </row>
    <row r="305" spans="1:11" ht="99.75" x14ac:dyDescent="0.2">
      <c r="A305" s="31" t="s">
        <v>666</v>
      </c>
      <c r="B305" s="24" t="s">
        <v>667</v>
      </c>
      <c r="C305" s="43">
        <f>+Tabla130[[#This Row],[COSTO CON IVA]]/Tabla130[[#This Row],[UTILIDAD]]</f>
        <v>142800</v>
      </c>
      <c r="D305" s="43">
        <f>+Tabla130[[#This Row],[PRECIO INSTALLER (CON IVA)]]-Tabla130[[#This Row],[Columna4]]</f>
        <v>135660</v>
      </c>
      <c r="E305" s="43">
        <f>+Tabla130[[#This Row],[PRECIO INSTALLER (CON IVA)]]/0.7</f>
        <v>204000</v>
      </c>
      <c r="F305" s="22">
        <f>+Tabla130[[#This Row],[PRECIO INSTALLER (CON IVA)]]*5%</f>
        <v>7140</v>
      </c>
      <c r="G305" s="7">
        <v>0.85</v>
      </c>
      <c r="H305" s="6">
        <f>Tabla130[[#This Row],[COSTO]]*1.19</f>
        <v>121380</v>
      </c>
      <c r="I305" s="6"/>
      <c r="J305" s="6"/>
      <c r="K305" s="36">
        <v>102000</v>
      </c>
    </row>
    <row r="306" spans="1:11" ht="71.25" x14ac:dyDescent="0.2">
      <c r="A306" s="31" t="s">
        <v>668</v>
      </c>
      <c r="B306" s="24" t="s">
        <v>669</v>
      </c>
      <c r="C306" s="43">
        <f>+Tabla130[[#This Row],[COSTO CON IVA]]/Tabla130[[#This Row],[UTILIDAD]]</f>
        <v>49000</v>
      </c>
      <c r="D306" s="43">
        <f>+Tabla130[[#This Row],[PRECIO INSTALLER (CON IVA)]]-Tabla130[[#This Row],[Columna4]]</f>
        <v>46550</v>
      </c>
      <c r="E306" s="43">
        <f>+Tabla130[[#This Row],[PRECIO INSTALLER (CON IVA)]]/0.7</f>
        <v>70000</v>
      </c>
      <c r="F306" s="22">
        <f>+Tabla130[[#This Row],[PRECIO INSTALLER (CON IVA)]]*5%</f>
        <v>2450</v>
      </c>
      <c r="G306" s="7">
        <v>0.85</v>
      </c>
      <c r="H306" s="6">
        <f>Tabla130[[#This Row],[COSTO]]*1.19</f>
        <v>41650</v>
      </c>
      <c r="I306" s="6"/>
      <c r="J306" s="6"/>
      <c r="K306" s="36">
        <v>35000</v>
      </c>
    </row>
    <row r="307" spans="1:11" ht="71.25" x14ac:dyDescent="0.2">
      <c r="A307" s="31" t="s">
        <v>76</v>
      </c>
      <c r="B307" s="24" t="s">
        <v>670</v>
      </c>
      <c r="C307" s="43">
        <f>+Tabla130[[#This Row],[COSTO CON IVA]]/Tabla130[[#This Row],[UTILIDAD]]</f>
        <v>30800</v>
      </c>
      <c r="D307" s="43">
        <f>+Tabla130[[#This Row],[PRECIO INSTALLER (CON IVA)]]-Tabla130[[#This Row],[Columna4]]</f>
        <v>29260</v>
      </c>
      <c r="E307" s="43">
        <f>+Tabla130[[#This Row],[PRECIO INSTALLER (CON IVA)]]/0.7</f>
        <v>44000</v>
      </c>
      <c r="F307" s="22">
        <f>+Tabla130[[#This Row],[PRECIO INSTALLER (CON IVA)]]*5%</f>
        <v>1540</v>
      </c>
      <c r="G307" s="7">
        <v>0.85</v>
      </c>
      <c r="H307" s="6">
        <f>Tabla130[[#This Row],[COSTO]]*1.19</f>
        <v>26180</v>
      </c>
      <c r="I307" s="6"/>
      <c r="J307" s="6"/>
      <c r="K307" s="36">
        <v>22000</v>
      </c>
    </row>
    <row r="308" spans="1:11" ht="57" x14ac:dyDescent="0.2">
      <c r="A308" s="31" t="s">
        <v>75</v>
      </c>
      <c r="B308" s="24" t="s">
        <v>671</v>
      </c>
      <c r="C308" s="43">
        <f>+Tabla130[[#This Row],[COSTO CON IVA]]/Tabla130[[#This Row],[UTILIDAD]]</f>
        <v>27580</v>
      </c>
      <c r="D308" s="43">
        <f>+Tabla130[[#This Row],[PRECIO INSTALLER (CON IVA)]]-Tabla130[[#This Row],[Columna4]]</f>
        <v>26201</v>
      </c>
      <c r="E308" s="43">
        <f>+Tabla130[[#This Row],[PRECIO INSTALLER (CON IVA)]]/0.7</f>
        <v>39400</v>
      </c>
      <c r="F308" s="22">
        <f>+Tabla130[[#This Row],[PRECIO INSTALLER (CON IVA)]]*5%</f>
        <v>1379</v>
      </c>
      <c r="G308" s="7">
        <v>0.85</v>
      </c>
      <c r="H308" s="6">
        <f>Tabla130[[#This Row],[COSTO]]*1.19</f>
        <v>23443</v>
      </c>
      <c r="I308" s="6"/>
      <c r="J308" s="6"/>
      <c r="K308" s="36">
        <v>19700</v>
      </c>
    </row>
    <row r="309" spans="1:11" ht="57" x14ac:dyDescent="0.2">
      <c r="A309" s="31" t="s">
        <v>74</v>
      </c>
      <c r="B309" s="24" t="s">
        <v>672</v>
      </c>
      <c r="C309" s="43">
        <f>+Tabla130[[#This Row],[COSTO CON IVA]]/Tabla130[[#This Row],[UTILIDAD]]</f>
        <v>22680</v>
      </c>
      <c r="D309" s="43">
        <f>+Tabla130[[#This Row],[PRECIO INSTALLER (CON IVA)]]-Tabla130[[#This Row],[Columna4]]</f>
        <v>21546</v>
      </c>
      <c r="E309" s="43">
        <f>+Tabla130[[#This Row],[PRECIO INSTALLER (CON IVA)]]/0.7</f>
        <v>32400.000000000004</v>
      </c>
      <c r="F309" s="22">
        <f>+Tabla130[[#This Row],[PRECIO INSTALLER (CON IVA)]]*5%</f>
        <v>1134</v>
      </c>
      <c r="G309" s="7">
        <v>0.85</v>
      </c>
      <c r="H309" s="6">
        <f>Tabla130[[#This Row],[COSTO]]*1.19</f>
        <v>19278</v>
      </c>
      <c r="I309" s="6"/>
      <c r="J309" s="6"/>
      <c r="K309" s="36">
        <v>16200</v>
      </c>
    </row>
    <row r="310" spans="1:11" ht="142.5" x14ac:dyDescent="0.2">
      <c r="A310" s="31" t="s">
        <v>673</v>
      </c>
      <c r="B310" s="24" t="s">
        <v>674</v>
      </c>
      <c r="C310" s="43">
        <f>+Tabla130[[#This Row],[COSTO CON IVA]]/Tabla130[[#This Row],[UTILIDAD]]</f>
        <v>147000</v>
      </c>
      <c r="D310" s="43">
        <f>+Tabla130[[#This Row],[PRECIO INSTALLER (CON IVA)]]-Tabla130[[#This Row],[Columna4]]</f>
        <v>139650</v>
      </c>
      <c r="E310" s="43">
        <f>+Tabla130[[#This Row],[PRECIO INSTALLER (CON IVA)]]/0.7</f>
        <v>210000</v>
      </c>
      <c r="F310" s="22">
        <f>+Tabla130[[#This Row],[PRECIO INSTALLER (CON IVA)]]*5%</f>
        <v>7350</v>
      </c>
      <c r="G310" s="7">
        <v>0.85</v>
      </c>
      <c r="H310" s="6">
        <f>Tabla130[[#This Row],[COSTO]]*1.19</f>
        <v>124950</v>
      </c>
      <c r="I310" s="6"/>
      <c r="J310" s="6"/>
      <c r="K310" s="36">
        <v>105000</v>
      </c>
    </row>
    <row r="311" spans="1:11" ht="142.5" x14ac:dyDescent="0.2">
      <c r="A311" s="31" t="s">
        <v>675</v>
      </c>
      <c r="B311" s="24" t="s">
        <v>676</v>
      </c>
      <c r="C311" s="43">
        <f>+Tabla130[[#This Row],[COSTO CON IVA]]/Tabla130[[#This Row],[UTILIDAD]]</f>
        <v>137200</v>
      </c>
      <c r="D311" s="43">
        <f>+Tabla130[[#This Row],[PRECIO INSTALLER (CON IVA)]]-Tabla130[[#This Row],[Columna4]]</f>
        <v>130340</v>
      </c>
      <c r="E311" s="43">
        <f>+Tabla130[[#This Row],[PRECIO INSTALLER (CON IVA)]]/0.7</f>
        <v>196000</v>
      </c>
      <c r="F311" s="22">
        <f>+Tabla130[[#This Row],[PRECIO INSTALLER (CON IVA)]]*5%</f>
        <v>6860</v>
      </c>
      <c r="G311" s="7">
        <v>0.85</v>
      </c>
      <c r="H311" s="6">
        <f>Tabla130[[#This Row],[COSTO]]*1.19</f>
        <v>116620</v>
      </c>
      <c r="I311" s="6"/>
      <c r="J311" s="6"/>
      <c r="K311" s="36">
        <v>98000</v>
      </c>
    </row>
    <row r="312" spans="1:11" ht="156.75" x14ac:dyDescent="0.2">
      <c r="A312" s="31" t="s">
        <v>677</v>
      </c>
      <c r="B312" s="24" t="s">
        <v>678</v>
      </c>
      <c r="C312" s="43">
        <f>+Tabla130[[#This Row],[COSTO CON IVA]]/Tabla130[[#This Row],[UTILIDAD]]</f>
        <v>238000</v>
      </c>
      <c r="D312" s="43">
        <f>+Tabla130[[#This Row],[PRECIO INSTALLER (CON IVA)]]-Tabla130[[#This Row],[Columna4]]</f>
        <v>226100</v>
      </c>
      <c r="E312" s="43">
        <f>+Tabla130[[#This Row],[PRECIO INSTALLER (CON IVA)]]/0.7</f>
        <v>340000</v>
      </c>
      <c r="F312" s="22">
        <f>+Tabla130[[#This Row],[PRECIO INSTALLER (CON IVA)]]*5%</f>
        <v>11900</v>
      </c>
      <c r="G312" s="7">
        <v>0.85</v>
      </c>
      <c r="H312" s="6">
        <f>Tabla130[[#This Row],[COSTO]]*1.19</f>
        <v>202300</v>
      </c>
      <c r="I312" s="6"/>
      <c r="J312" s="6"/>
      <c r="K312" s="36">
        <v>170000</v>
      </c>
    </row>
    <row r="313" spans="1:11" ht="171" x14ac:dyDescent="0.2">
      <c r="A313" s="31" t="s">
        <v>679</v>
      </c>
      <c r="B313" s="24" t="s">
        <v>680</v>
      </c>
      <c r="C313" s="43">
        <f>+Tabla130[[#This Row],[COSTO CON IVA]]/Tabla130[[#This Row],[UTILIDAD]]</f>
        <v>105000</v>
      </c>
      <c r="D313" s="43">
        <f>+Tabla130[[#This Row],[PRECIO INSTALLER (CON IVA)]]-Tabla130[[#This Row],[Columna4]]</f>
        <v>99750</v>
      </c>
      <c r="E313" s="43">
        <f>+Tabla130[[#This Row],[PRECIO INSTALLER (CON IVA)]]/0.7</f>
        <v>150000</v>
      </c>
      <c r="F313" s="22">
        <f>+Tabla130[[#This Row],[PRECIO INSTALLER (CON IVA)]]*5%</f>
        <v>5250</v>
      </c>
      <c r="G313" s="7">
        <v>0.85</v>
      </c>
      <c r="H313" s="6">
        <f>Tabla130[[#This Row],[COSTO]]*1.19</f>
        <v>89250</v>
      </c>
      <c r="I313" s="6"/>
      <c r="J313" s="6"/>
      <c r="K313" s="36">
        <v>75000</v>
      </c>
    </row>
    <row r="314" spans="1:11" ht="156.75" x14ac:dyDescent="0.2">
      <c r="A314" s="33" t="s">
        <v>681</v>
      </c>
      <c r="B314" s="24" t="s">
        <v>682</v>
      </c>
      <c r="C314" s="43">
        <f>+Tabla130[[#This Row],[COSTO CON IVA]]/Tabla130[[#This Row],[UTILIDAD]]</f>
        <v>83020</v>
      </c>
      <c r="D314" s="43">
        <f>+Tabla130[[#This Row],[PRECIO INSTALLER (CON IVA)]]-Tabla130[[#This Row],[Columna4]]</f>
        <v>78869</v>
      </c>
      <c r="E314" s="43">
        <f>+Tabla130[[#This Row],[PRECIO INSTALLER (CON IVA)]]/0.7</f>
        <v>118600.00000000001</v>
      </c>
      <c r="F314" s="22">
        <f>+Tabla130[[#This Row],[PRECIO INSTALLER (CON IVA)]]*5%</f>
        <v>4151</v>
      </c>
      <c r="G314" s="7">
        <v>0.85</v>
      </c>
      <c r="H314" s="6">
        <f>Tabla130[[#This Row],[COSTO]]*1.19</f>
        <v>70567</v>
      </c>
      <c r="I314" s="6"/>
      <c r="J314" s="6"/>
      <c r="K314" s="36">
        <v>59300</v>
      </c>
    </row>
    <row r="315" spans="1:11" ht="156.75" x14ac:dyDescent="0.2">
      <c r="A315" s="31" t="s">
        <v>683</v>
      </c>
      <c r="B315" s="24" t="s">
        <v>684</v>
      </c>
      <c r="C315" s="43">
        <f>+Tabla130[[#This Row],[COSTO CON IVA]]/Tabla130[[#This Row],[UTILIDAD]]</f>
        <v>74760</v>
      </c>
      <c r="D315" s="43">
        <f>+Tabla130[[#This Row],[PRECIO INSTALLER (CON IVA)]]-Tabla130[[#This Row],[Columna4]]</f>
        <v>71022</v>
      </c>
      <c r="E315" s="43">
        <f>+Tabla130[[#This Row],[PRECIO INSTALLER (CON IVA)]]/0.7</f>
        <v>106800</v>
      </c>
      <c r="F315" s="22">
        <f>+Tabla130[[#This Row],[PRECIO INSTALLER (CON IVA)]]*5%</f>
        <v>3738</v>
      </c>
      <c r="G315" s="7">
        <v>0.85</v>
      </c>
      <c r="H315" s="6">
        <f>Tabla130[[#This Row],[COSTO]]*1.19</f>
        <v>63546</v>
      </c>
      <c r="I315" s="6"/>
      <c r="J315" s="6"/>
      <c r="K315" s="36">
        <v>53400</v>
      </c>
    </row>
    <row r="316" spans="1:11" ht="213.75" x14ac:dyDescent="0.2">
      <c r="A316" s="34" t="s">
        <v>685</v>
      </c>
      <c r="B316" s="35" t="s">
        <v>686</v>
      </c>
      <c r="C316" s="43">
        <f>+Tabla130[[#This Row],[COSTO CON IVA]]/Tabla130[[#This Row],[UTILIDAD]]</f>
        <v>384440</v>
      </c>
      <c r="D316" s="43">
        <f>+Tabla130[[#This Row],[PRECIO INSTALLER (CON IVA)]]-Tabla130[[#This Row],[Columna4]]</f>
        <v>365218</v>
      </c>
      <c r="E316" s="43">
        <f>+Tabla130[[#This Row],[PRECIO INSTALLER (CON IVA)]]/0.7</f>
        <v>549200</v>
      </c>
      <c r="F316" s="22">
        <f>+Tabla130[[#This Row],[PRECIO INSTALLER (CON IVA)]]*5%</f>
        <v>19222</v>
      </c>
      <c r="G316" s="7">
        <v>0.85</v>
      </c>
      <c r="H316" s="6">
        <f>Tabla130[[#This Row],[COSTO]]*1.19</f>
        <v>326774</v>
      </c>
      <c r="I316" s="6"/>
      <c r="J316" s="6"/>
      <c r="K316" s="36">
        <v>274600</v>
      </c>
    </row>
    <row r="317" spans="1:11" ht="199.5" x14ac:dyDescent="0.2">
      <c r="A317" s="34" t="s">
        <v>687</v>
      </c>
      <c r="B317" s="35" t="s">
        <v>688</v>
      </c>
      <c r="C317" s="43">
        <f>+Tabla130[[#This Row],[COSTO CON IVA]]/Tabla130[[#This Row],[UTILIDAD]]</f>
        <v>207620</v>
      </c>
      <c r="D317" s="43">
        <f>+Tabla130[[#This Row],[PRECIO INSTALLER (CON IVA)]]-Tabla130[[#This Row],[Columna4]]</f>
        <v>197239</v>
      </c>
      <c r="E317" s="43">
        <f>+Tabla130[[#This Row],[PRECIO INSTALLER (CON IVA)]]/0.7</f>
        <v>296600</v>
      </c>
      <c r="F317" s="22">
        <f>+Tabla130[[#This Row],[PRECIO INSTALLER (CON IVA)]]*5%</f>
        <v>10381</v>
      </c>
      <c r="G317" s="7">
        <v>0.85</v>
      </c>
      <c r="H317" s="6">
        <f>Tabla130[[#This Row],[COSTO]]*1.19</f>
        <v>176477</v>
      </c>
      <c r="I317" s="6"/>
      <c r="J317" s="6"/>
      <c r="K317" s="36">
        <v>148300</v>
      </c>
    </row>
    <row r="318" spans="1:11" ht="199.5" x14ac:dyDescent="0.2">
      <c r="A318" s="34" t="s">
        <v>689</v>
      </c>
      <c r="B318" s="35" t="s">
        <v>690</v>
      </c>
      <c r="C318" s="43">
        <f>+Tabla130[[#This Row],[COSTO CON IVA]]/Tabla130[[#This Row],[UTILIDAD]]</f>
        <v>212800</v>
      </c>
      <c r="D318" s="43">
        <f>+Tabla130[[#This Row],[PRECIO INSTALLER (CON IVA)]]-Tabla130[[#This Row],[Columna4]]</f>
        <v>202160</v>
      </c>
      <c r="E318" s="43">
        <f>+Tabla130[[#This Row],[PRECIO INSTALLER (CON IVA)]]/0.7</f>
        <v>304000</v>
      </c>
      <c r="F318" s="22">
        <f>+Tabla130[[#This Row],[PRECIO INSTALLER (CON IVA)]]*5%</f>
        <v>10640</v>
      </c>
      <c r="G318" s="7">
        <v>0.85</v>
      </c>
      <c r="H318" s="6">
        <f>Tabla130[[#This Row],[COSTO]]*1.19</f>
        <v>180880</v>
      </c>
      <c r="I318" s="6"/>
      <c r="J318" s="6"/>
      <c r="K318" s="36">
        <v>152000</v>
      </c>
    </row>
    <row r="319" spans="1:11" ht="199.5" x14ac:dyDescent="0.2">
      <c r="A319" s="31" t="s">
        <v>691</v>
      </c>
      <c r="B319" s="35" t="s">
        <v>692</v>
      </c>
      <c r="C319" s="43">
        <f>+Tabla130[[#This Row],[COSTO CON IVA]]/Tabla130[[#This Row],[UTILIDAD]]</f>
        <v>532000</v>
      </c>
      <c r="D319" s="43">
        <f>+Tabla130[[#This Row],[PRECIO INSTALLER (CON IVA)]]-Tabla130[[#This Row],[Columna4]]</f>
        <v>505400</v>
      </c>
      <c r="E319" s="43">
        <f>+Tabla130[[#This Row],[PRECIO INSTALLER (CON IVA)]]/0.7</f>
        <v>760000</v>
      </c>
      <c r="F319" s="22">
        <f>+Tabla130[[#This Row],[PRECIO INSTALLER (CON IVA)]]*5%</f>
        <v>26600</v>
      </c>
      <c r="G319" s="7">
        <v>0.85</v>
      </c>
      <c r="H319" s="6">
        <f>Tabla130[[#This Row],[COSTO]]*1.19</f>
        <v>452200</v>
      </c>
      <c r="I319" s="6"/>
      <c r="J319" s="6"/>
      <c r="K319" s="36">
        <v>380000</v>
      </c>
    </row>
    <row r="320" spans="1:11" ht="199.5" x14ac:dyDescent="0.2">
      <c r="A320" s="31" t="s">
        <v>693</v>
      </c>
      <c r="B320" s="35" t="s">
        <v>694</v>
      </c>
      <c r="C320" s="43">
        <f>+Tabla130[[#This Row],[COSTO CON IVA]]/Tabla130[[#This Row],[UTILIDAD]]</f>
        <v>532000</v>
      </c>
      <c r="D320" s="43">
        <f>+Tabla130[[#This Row],[PRECIO INSTALLER (CON IVA)]]-Tabla130[[#This Row],[Columna4]]</f>
        <v>505400</v>
      </c>
      <c r="E320" s="43">
        <f>+Tabla130[[#This Row],[PRECIO INSTALLER (CON IVA)]]/0.7</f>
        <v>760000</v>
      </c>
      <c r="F320" s="22">
        <f>+Tabla130[[#This Row],[PRECIO INSTALLER (CON IVA)]]*5%</f>
        <v>26600</v>
      </c>
      <c r="G320" s="7">
        <v>0.85</v>
      </c>
      <c r="H320" s="6">
        <f>Tabla130[[#This Row],[COSTO]]*1.19</f>
        <v>452200</v>
      </c>
      <c r="I320" s="6"/>
      <c r="J320" s="6"/>
      <c r="K320" s="36">
        <v>380000</v>
      </c>
    </row>
    <row r="321" spans="1:11" ht="199.5" x14ac:dyDescent="0.2">
      <c r="A321" s="31" t="s">
        <v>695</v>
      </c>
      <c r="B321" s="35" t="s">
        <v>696</v>
      </c>
      <c r="C321" s="43">
        <f>+Tabla130[[#This Row],[COSTO CON IVA]]/Tabla130[[#This Row],[UTILIDAD]]</f>
        <v>448000</v>
      </c>
      <c r="D321" s="43">
        <f>+Tabla130[[#This Row],[PRECIO INSTALLER (CON IVA)]]-Tabla130[[#This Row],[Columna4]]</f>
        <v>425600</v>
      </c>
      <c r="E321" s="43">
        <f>+Tabla130[[#This Row],[PRECIO INSTALLER (CON IVA)]]/0.7</f>
        <v>640000</v>
      </c>
      <c r="F321" s="22">
        <f>+Tabla130[[#This Row],[PRECIO INSTALLER (CON IVA)]]*5%</f>
        <v>22400</v>
      </c>
      <c r="G321" s="7">
        <v>0.85</v>
      </c>
      <c r="H321" s="6">
        <f>Tabla130[[#This Row],[COSTO]]*1.19</f>
        <v>380800</v>
      </c>
      <c r="I321" s="6"/>
      <c r="J321" s="6"/>
      <c r="K321" s="36">
        <v>320000</v>
      </c>
    </row>
    <row r="322" spans="1:11" ht="185.25" x14ac:dyDescent="0.2">
      <c r="A322" s="31" t="s">
        <v>697</v>
      </c>
      <c r="B322" s="35" t="s">
        <v>698</v>
      </c>
      <c r="C322" s="43">
        <f>+Tabla130[[#This Row],[COSTO CON IVA]]/Tabla130[[#This Row],[UTILIDAD]]</f>
        <v>644000</v>
      </c>
      <c r="D322" s="43">
        <f>+Tabla130[[#This Row],[PRECIO INSTALLER (CON IVA)]]-Tabla130[[#This Row],[Columna4]]</f>
        <v>611800</v>
      </c>
      <c r="E322" s="43">
        <f>+Tabla130[[#This Row],[PRECIO INSTALLER (CON IVA)]]/0.7</f>
        <v>920000.00000000012</v>
      </c>
      <c r="F322" s="22">
        <f>+Tabla130[[#This Row],[PRECIO INSTALLER (CON IVA)]]*5%</f>
        <v>32200</v>
      </c>
      <c r="G322" s="7">
        <v>0.85</v>
      </c>
      <c r="H322" s="6">
        <f>Tabla130[[#This Row],[COSTO]]*1.19</f>
        <v>547400</v>
      </c>
      <c r="I322" s="6"/>
      <c r="J322" s="6"/>
      <c r="K322" s="36">
        <v>460000</v>
      </c>
    </row>
    <row r="323" spans="1:11" ht="171" x14ac:dyDescent="0.2">
      <c r="A323" s="31" t="s">
        <v>699</v>
      </c>
      <c r="B323" s="35" t="s">
        <v>700</v>
      </c>
      <c r="C323" s="43">
        <f>+Tabla130[[#This Row],[COSTO CON IVA]]/Tabla130[[#This Row],[UTILIDAD]]</f>
        <v>644000</v>
      </c>
      <c r="D323" s="43">
        <f>+Tabla130[[#This Row],[PRECIO INSTALLER (CON IVA)]]-Tabla130[[#This Row],[Columna4]]</f>
        <v>611800</v>
      </c>
      <c r="E323" s="43">
        <f>+Tabla130[[#This Row],[PRECIO INSTALLER (CON IVA)]]/0.7</f>
        <v>920000.00000000012</v>
      </c>
      <c r="F323" s="22">
        <f>+Tabla130[[#This Row],[PRECIO INSTALLER (CON IVA)]]*5%</f>
        <v>32200</v>
      </c>
      <c r="G323" s="7">
        <v>0.85</v>
      </c>
      <c r="H323" s="6">
        <f>Tabla130[[#This Row],[COSTO]]*1.19</f>
        <v>547400</v>
      </c>
      <c r="I323" s="6"/>
      <c r="J323" s="6"/>
      <c r="K323" s="36">
        <v>460000</v>
      </c>
    </row>
    <row r="324" spans="1:11" ht="156.75" x14ac:dyDescent="0.2">
      <c r="A324" s="31" t="s">
        <v>701</v>
      </c>
      <c r="B324" s="35" t="s">
        <v>702</v>
      </c>
      <c r="C324" s="43">
        <f>+Tabla130[[#This Row],[COSTO CON IVA]]/Tabla130[[#This Row],[UTILIDAD]]</f>
        <v>868000</v>
      </c>
      <c r="D324" s="43">
        <f>+Tabla130[[#This Row],[PRECIO INSTALLER (CON IVA)]]-Tabla130[[#This Row],[Columna4]]</f>
        <v>824600</v>
      </c>
      <c r="E324" s="43">
        <f>+Tabla130[[#This Row],[PRECIO INSTALLER (CON IVA)]]/0.7</f>
        <v>1240000</v>
      </c>
      <c r="F324" s="22">
        <f>+Tabla130[[#This Row],[PRECIO INSTALLER (CON IVA)]]*5%</f>
        <v>43400</v>
      </c>
      <c r="G324" s="7">
        <v>0.85</v>
      </c>
      <c r="H324" s="6">
        <f>Tabla130[[#This Row],[COSTO]]*1.19</f>
        <v>737800</v>
      </c>
      <c r="I324" s="6"/>
      <c r="J324" s="6"/>
      <c r="K324" s="36">
        <v>620000</v>
      </c>
    </row>
    <row r="325" spans="1:11" ht="213.75" x14ac:dyDescent="0.2">
      <c r="A325" s="31" t="s">
        <v>703</v>
      </c>
      <c r="B325" s="35" t="s">
        <v>704</v>
      </c>
      <c r="C325" s="43">
        <f>+Tabla130[[#This Row],[COSTO CON IVA]]/Tabla130[[#This Row],[UTILIDAD]]</f>
        <v>2030000</v>
      </c>
      <c r="D325" s="43">
        <f>+Tabla130[[#This Row],[PRECIO INSTALLER (CON IVA)]]-Tabla130[[#This Row],[Columna4]]</f>
        <v>1928500</v>
      </c>
      <c r="E325" s="43">
        <f>+Tabla130[[#This Row],[PRECIO INSTALLER (CON IVA)]]/0.7</f>
        <v>2900000</v>
      </c>
      <c r="F325" s="22">
        <f>+Tabla130[[#This Row],[PRECIO INSTALLER (CON IVA)]]*5%</f>
        <v>101500</v>
      </c>
      <c r="G325" s="7">
        <v>0.85</v>
      </c>
      <c r="H325" s="6">
        <f>Tabla130[[#This Row],[COSTO]]*1.19</f>
        <v>1725500</v>
      </c>
      <c r="I325" s="6"/>
      <c r="J325" s="6"/>
      <c r="K325" s="36">
        <v>1450000</v>
      </c>
    </row>
    <row r="326" spans="1:11" ht="270.75" x14ac:dyDescent="0.2">
      <c r="A326" s="34" t="s">
        <v>705</v>
      </c>
      <c r="B326" s="35" t="s">
        <v>706</v>
      </c>
      <c r="C326" s="43">
        <f>+Tabla130[[#This Row],[COSTO CON IVA]]/Tabla130[[#This Row],[UTILIDAD]]</f>
        <v>560000</v>
      </c>
      <c r="D326" s="43">
        <f>+Tabla130[[#This Row],[PRECIO INSTALLER (CON IVA)]]-Tabla130[[#This Row],[Columna4]]</f>
        <v>532000</v>
      </c>
      <c r="E326" s="43">
        <f>+Tabla130[[#This Row],[PRECIO INSTALLER (CON IVA)]]/0.7</f>
        <v>800000</v>
      </c>
      <c r="F326" s="22">
        <f>+Tabla130[[#This Row],[PRECIO INSTALLER (CON IVA)]]*5%</f>
        <v>28000</v>
      </c>
      <c r="G326" s="7">
        <v>0.85</v>
      </c>
      <c r="H326" s="6">
        <f>Tabla130[[#This Row],[COSTO]]*1.19</f>
        <v>476000</v>
      </c>
      <c r="I326" s="6"/>
      <c r="J326" s="6"/>
      <c r="K326" s="36">
        <v>400000</v>
      </c>
    </row>
    <row r="327" spans="1:11" ht="313.5" x14ac:dyDescent="0.2">
      <c r="A327" s="34" t="s">
        <v>707</v>
      </c>
      <c r="B327" s="35" t="s">
        <v>708</v>
      </c>
      <c r="C327" s="43">
        <f>+Tabla130[[#This Row],[COSTO CON IVA]]/Tabla130[[#This Row],[UTILIDAD]]</f>
        <v>415940</v>
      </c>
      <c r="D327" s="43">
        <f>+Tabla130[[#This Row],[PRECIO INSTALLER (CON IVA)]]-Tabla130[[#This Row],[Columna4]]</f>
        <v>395143</v>
      </c>
      <c r="E327" s="43">
        <f>+Tabla130[[#This Row],[PRECIO INSTALLER (CON IVA)]]/0.7</f>
        <v>594200</v>
      </c>
      <c r="F327" s="22">
        <f>+Tabla130[[#This Row],[PRECIO INSTALLER (CON IVA)]]*5%</f>
        <v>20797</v>
      </c>
      <c r="G327" s="7">
        <v>0.85</v>
      </c>
      <c r="H327" s="6">
        <f>Tabla130[[#This Row],[COSTO]]*1.19</f>
        <v>353549</v>
      </c>
      <c r="I327" s="6"/>
      <c r="J327" s="6"/>
      <c r="K327" s="36">
        <v>297100</v>
      </c>
    </row>
    <row r="328" spans="1:11" ht="199.5" x14ac:dyDescent="0.2">
      <c r="A328" s="34" t="s">
        <v>73</v>
      </c>
      <c r="B328" s="35" t="s">
        <v>709</v>
      </c>
      <c r="C328" s="43">
        <f>+Tabla130[[#This Row],[COSTO CON IVA]]/Tabla130[[#This Row],[UTILIDAD]]</f>
        <v>313180</v>
      </c>
      <c r="D328" s="43">
        <f>+Tabla130[[#This Row],[PRECIO INSTALLER (CON IVA)]]-Tabla130[[#This Row],[Columna4]]</f>
        <v>297521</v>
      </c>
      <c r="E328" s="43">
        <f>+Tabla130[[#This Row],[PRECIO INSTALLER (CON IVA)]]/0.7</f>
        <v>447400</v>
      </c>
      <c r="F328" s="22">
        <f>+Tabla130[[#This Row],[PRECIO INSTALLER (CON IVA)]]*5%</f>
        <v>15659</v>
      </c>
      <c r="G328" s="7">
        <v>0.85</v>
      </c>
      <c r="H328" s="6">
        <f>Tabla130[[#This Row],[COSTO]]*1.19</f>
        <v>266203</v>
      </c>
      <c r="I328" s="6"/>
      <c r="J328" s="6"/>
      <c r="K328" s="36">
        <v>223700</v>
      </c>
    </row>
    <row r="329" spans="1:11" ht="199.5" x14ac:dyDescent="0.2">
      <c r="A329" s="31" t="s">
        <v>710</v>
      </c>
      <c r="B329" s="35" t="s">
        <v>711</v>
      </c>
      <c r="C329" s="43">
        <f>+Tabla130[[#This Row],[COSTO CON IVA]]/Tabla130[[#This Row],[UTILIDAD]]</f>
        <v>566300</v>
      </c>
      <c r="D329" s="43">
        <f>+Tabla130[[#This Row],[PRECIO INSTALLER (CON IVA)]]-Tabla130[[#This Row],[Columna4]]</f>
        <v>537985</v>
      </c>
      <c r="E329" s="43">
        <f>+Tabla130[[#This Row],[PRECIO INSTALLER (CON IVA)]]/0.7</f>
        <v>809000</v>
      </c>
      <c r="F329" s="22">
        <f>+Tabla130[[#This Row],[PRECIO INSTALLER (CON IVA)]]*5%</f>
        <v>28315</v>
      </c>
      <c r="G329" s="7">
        <v>0.85</v>
      </c>
      <c r="H329" s="6">
        <f>Tabla130[[#This Row],[COSTO]]*1.19</f>
        <v>481355</v>
      </c>
      <c r="I329" s="6"/>
      <c r="J329" s="6"/>
      <c r="K329" s="36">
        <v>404500</v>
      </c>
    </row>
    <row r="330" spans="1:11" ht="270.75" x14ac:dyDescent="0.2">
      <c r="A330" s="34" t="s">
        <v>712</v>
      </c>
      <c r="B330" s="35" t="s">
        <v>713</v>
      </c>
      <c r="C330" s="43">
        <f>+Tabla130[[#This Row],[COSTO CON IVA]]/Tabla130[[#This Row],[UTILIDAD]]</f>
        <v>266840</v>
      </c>
      <c r="D330" s="43">
        <f>+Tabla130[[#This Row],[PRECIO INSTALLER (CON IVA)]]-Tabla130[[#This Row],[Columna4]]</f>
        <v>253498</v>
      </c>
      <c r="E330" s="43">
        <f>+Tabla130[[#This Row],[PRECIO INSTALLER (CON IVA)]]/0.7</f>
        <v>381200</v>
      </c>
      <c r="F330" s="22">
        <f>+Tabla130[[#This Row],[PRECIO INSTALLER (CON IVA)]]*5%</f>
        <v>13342</v>
      </c>
      <c r="G330" s="7">
        <v>0.85</v>
      </c>
      <c r="H330" s="6">
        <f>Tabla130[[#This Row],[COSTO]]*1.19</f>
        <v>226814</v>
      </c>
      <c r="I330" s="6"/>
      <c r="J330" s="6"/>
      <c r="K330" s="36">
        <v>190600</v>
      </c>
    </row>
    <row r="331" spans="1:11" ht="199.5" x14ac:dyDescent="0.2">
      <c r="A331" s="34" t="s">
        <v>72</v>
      </c>
      <c r="B331" s="35" t="s">
        <v>714</v>
      </c>
      <c r="C331" s="43">
        <f>+Tabla130[[#This Row],[COSTO CON IVA]]/Tabla130[[#This Row],[UTILIDAD]]</f>
        <v>235340</v>
      </c>
      <c r="D331" s="43">
        <f>+Tabla130[[#This Row],[PRECIO INSTALLER (CON IVA)]]-Tabla130[[#This Row],[Columna4]]</f>
        <v>223573</v>
      </c>
      <c r="E331" s="43">
        <f>+Tabla130[[#This Row],[PRECIO INSTALLER (CON IVA)]]/0.7</f>
        <v>336200</v>
      </c>
      <c r="F331" s="22">
        <f>+Tabla130[[#This Row],[PRECIO INSTALLER (CON IVA)]]*5%</f>
        <v>11767</v>
      </c>
      <c r="G331" s="7">
        <v>0.85</v>
      </c>
      <c r="H331" s="6">
        <f>Tabla130[[#This Row],[COSTO]]*1.19</f>
        <v>200039</v>
      </c>
      <c r="I331" s="6"/>
      <c r="J331" s="6"/>
      <c r="K331" s="36">
        <v>168100</v>
      </c>
    </row>
    <row r="332" spans="1:11" ht="199.5" x14ac:dyDescent="0.2">
      <c r="A332" s="34" t="s">
        <v>715</v>
      </c>
      <c r="B332" s="35" t="s">
        <v>716</v>
      </c>
      <c r="C332" s="43">
        <f>+Tabla130[[#This Row],[COSTO CON IVA]]/Tabla130[[#This Row],[UTILIDAD]]</f>
        <v>235340</v>
      </c>
      <c r="D332" s="43">
        <f>+Tabla130[[#This Row],[PRECIO INSTALLER (CON IVA)]]-Tabla130[[#This Row],[Columna4]]</f>
        <v>223573</v>
      </c>
      <c r="E332" s="43">
        <f>+Tabla130[[#This Row],[PRECIO INSTALLER (CON IVA)]]/0.7</f>
        <v>336200</v>
      </c>
      <c r="F332" s="22">
        <f>+Tabla130[[#This Row],[PRECIO INSTALLER (CON IVA)]]*5%</f>
        <v>11767</v>
      </c>
      <c r="G332" s="7">
        <v>0.85</v>
      </c>
      <c r="H332" s="6">
        <f>Tabla130[[#This Row],[COSTO]]*1.19</f>
        <v>200039</v>
      </c>
      <c r="I332" s="6"/>
      <c r="J332" s="6"/>
      <c r="K332" s="36">
        <v>168100</v>
      </c>
    </row>
    <row r="333" spans="1:11" ht="199.5" x14ac:dyDescent="0.2">
      <c r="A333" s="31" t="s">
        <v>717</v>
      </c>
      <c r="B333" s="35" t="s">
        <v>718</v>
      </c>
      <c r="C333" s="43">
        <f>+Tabla130[[#This Row],[COSTO CON IVA]]/Tabla130[[#This Row],[UTILIDAD]]</f>
        <v>469560</v>
      </c>
      <c r="D333" s="43">
        <f>+Tabla130[[#This Row],[PRECIO INSTALLER (CON IVA)]]-Tabla130[[#This Row],[Columna4]]</f>
        <v>446082</v>
      </c>
      <c r="E333" s="43">
        <f>+Tabla130[[#This Row],[PRECIO INSTALLER (CON IVA)]]/0.7</f>
        <v>670800</v>
      </c>
      <c r="F333" s="22">
        <f>+Tabla130[[#This Row],[PRECIO INSTALLER (CON IVA)]]*5%</f>
        <v>23478</v>
      </c>
      <c r="G333" s="7">
        <v>0.85</v>
      </c>
      <c r="H333" s="6">
        <f>Tabla130[[#This Row],[COSTO]]*1.19</f>
        <v>399126</v>
      </c>
      <c r="I333" s="6"/>
      <c r="J333" s="6"/>
      <c r="K333" s="36">
        <v>335400</v>
      </c>
    </row>
    <row r="334" spans="1:11" ht="199.5" x14ac:dyDescent="0.2">
      <c r="A334" s="31" t="s">
        <v>719</v>
      </c>
      <c r="B334" s="35" t="s">
        <v>718</v>
      </c>
      <c r="C334" s="43">
        <f>+Tabla130[[#This Row],[COSTO CON IVA]]/Tabla130[[#This Row],[UTILIDAD]]</f>
        <v>469560</v>
      </c>
      <c r="D334" s="43">
        <f>+Tabla130[[#This Row],[PRECIO INSTALLER (CON IVA)]]-Tabla130[[#This Row],[Columna4]]</f>
        <v>446082</v>
      </c>
      <c r="E334" s="43">
        <f>+Tabla130[[#This Row],[PRECIO INSTALLER (CON IVA)]]/0.7</f>
        <v>670800</v>
      </c>
      <c r="F334" s="22">
        <f>+Tabla130[[#This Row],[PRECIO INSTALLER (CON IVA)]]*5%</f>
        <v>23478</v>
      </c>
      <c r="G334" s="7">
        <v>0.85</v>
      </c>
      <c r="H334" s="6">
        <f>Tabla130[[#This Row],[COSTO]]*1.19</f>
        <v>399126</v>
      </c>
      <c r="I334" s="6"/>
      <c r="J334" s="6"/>
      <c r="K334" s="36">
        <v>335400</v>
      </c>
    </row>
    <row r="335" spans="1:11" ht="199.5" x14ac:dyDescent="0.2">
      <c r="A335" s="34" t="s">
        <v>720</v>
      </c>
      <c r="B335" s="35" t="s">
        <v>721</v>
      </c>
      <c r="C335" s="43">
        <f>+Tabla130[[#This Row],[COSTO CON IVA]]/Tabla130[[#This Row],[UTILIDAD]]</f>
        <v>377580</v>
      </c>
      <c r="D335" s="43">
        <f>+Tabla130[[#This Row],[PRECIO INSTALLER (CON IVA)]]-Tabla130[[#This Row],[Columna4]]</f>
        <v>358701</v>
      </c>
      <c r="E335" s="43">
        <f>+Tabla130[[#This Row],[PRECIO INSTALLER (CON IVA)]]/0.7</f>
        <v>539400</v>
      </c>
      <c r="F335" s="22">
        <f>+Tabla130[[#This Row],[PRECIO INSTALLER (CON IVA)]]*5%</f>
        <v>18879</v>
      </c>
      <c r="G335" s="7">
        <v>0.85</v>
      </c>
      <c r="H335" s="6">
        <f>Tabla130[[#This Row],[COSTO]]*1.19</f>
        <v>320943</v>
      </c>
      <c r="I335" s="6"/>
      <c r="J335" s="6"/>
      <c r="K335" s="36">
        <v>269700</v>
      </c>
    </row>
    <row r="336" spans="1:11" ht="199.5" x14ac:dyDescent="0.2">
      <c r="A336" s="34" t="s">
        <v>722</v>
      </c>
      <c r="B336" s="35" t="s">
        <v>723</v>
      </c>
      <c r="C336" s="43">
        <f>+Tabla130[[#This Row],[COSTO CON IVA]]/Tabla130[[#This Row],[UTILIDAD]]</f>
        <v>377580</v>
      </c>
      <c r="D336" s="43">
        <f>+Tabla130[[#This Row],[PRECIO INSTALLER (CON IVA)]]-Tabla130[[#This Row],[Columna4]]</f>
        <v>358701</v>
      </c>
      <c r="E336" s="43">
        <f>+Tabla130[[#This Row],[PRECIO INSTALLER (CON IVA)]]/0.7</f>
        <v>539400</v>
      </c>
      <c r="F336" s="22">
        <f>+Tabla130[[#This Row],[PRECIO INSTALLER (CON IVA)]]*5%</f>
        <v>18879</v>
      </c>
      <c r="G336" s="7">
        <v>0.85</v>
      </c>
      <c r="H336" s="6">
        <f>Tabla130[[#This Row],[COSTO]]*1.19</f>
        <v>320943</v>
      </c>
      <c r="I336" s="6"/>
      <c r="J336" s="6"/>
      <c r="K336" s="36">
        <v>269700</v>
      </c>
    </row>
    <row r="337" spans="1:11" ht="199.5" x14ac:dyDescent="0.2">
      <c r="A337" s="34" t="s">
        <v>724</v>
      </c>
      <c r="B337" s="35" t="s">
        <v>725</v>
      </c>
      <c r="C337" s="43">
        <f>+Tabla130[[#This Row],[COSTO CON IVA]]/Tabla130[[#This Row],[UTILIDAD]]</f>
        <v>343560</v>
      </c>
      <c r="D337" s="43">
        <f>+Tabla130[[#This Row],[PRECIO INSTALLER (CON IVA)]]-Tabla130[[#This Row],[Columna4]]</f>
        <v>326382</v>
      </c>
      <c r="E337" s="43">
        <f>+Tabla130[[#This Row],[PRECIO INSTALLER (CON IVA)]]/0.7</f>
        <v>490800.00000000006</v>
      </c>
      <c r="F337" s="22">
        <f>+Tabla130[[#This Row],[PRECIO INSTALLER (CON IVA)]]*5%</f>
        <v>17178</v>
      </c>
      <c r="G337" s="7">
        <v>0.85</v>
      </c>
      <c r="H337" s="6">
        <f>Tabla130[[#This Row],[COSTO]]*1.19</f>
        <v>292026</v>
      </c>
      <c r="I337" s="6"/>
      <c r="J337" s="6"/>
      <c r="K337" s="36">
        <v>245400</v>
      </c>
    </row>
    <row r="338" spans="1:11" ht="199.5" x14ac:dyDescent="0.2">
      <c r="A338" s="34" t="s">
        <v>726</v>
      </c>
      <c r="B338" s="35" t="s">
        <v>725</v>
      </c>
      <c r="C338" s="43">
        <f>+Tabla130[[#This Row],[COSTO CON IVA]]/Tabla130[[#This Row],[UTILIDAD]]</f>
        <v>343560</v>
      </c>
      <c r="D338" s="43">
        <f>+Tabla130[[#This Row],[PRECIO INSTALLER (CON IVA)]]-Tabla130[[#This Row],[Columna4]]</f>
        <v>326382</v>
      </c>
      <c r="E338" s="43">
        <f>+Tabla130[[#This Row],[PRECIO INSTALLER (CON IVA)]]/0.7</f>
        <v>490800.00000000006</v>
      </c>
      <c r="F338" s="22">
        <f>+Tabla130[[#This Row],[PRECIO INSTALLER (CON IVA)]]*5%</f>
        <v>17178</v>
      </c>
      <c r="G338" s="7">
        <v>0.85</v>
      </c>
      <c r="H338" s="6">
        <f>Tabla130[[#This Row],[COSTO]]*1.19</f>
        <v>292026</v>
      </c>
      <c r="I338" s="6"/>
      <c r="J338" s="6"/>
      <c r="K338" s="36">
        <v>245400</v>
      </c>
    </row>
    <row r="339" spans="1:11" ht="199.5" x14ac:dyDescent="0.2">
      <c r="A339" s="34" t="s">
        <v>727</v>
      </c>
      <c r="B339" s="35" t="s">
        <v>725</v>
      </c>
      <c r="C339" s="43">
        <f>+Tabla130[[#This Row],[COSTO CON IVA]]/Tabla130[[#This Row],[UTILIDAD]]</f>
        <v>343560</v>
      </c>
      <c r="D339" s="43">
        <f>+Tabla130[[#This Row],[PRECIO INSTALLER (CON IVA)]]-Tabla130[[#This Row],[Columna4]]</f>
        <v>326382</v>
      </c>
      <c r="E339" s="43">
        <f>+Tabla130[[#This Row],[PRECIO INSTALLER (CON IVA)]]/0.7</f>
        <v>490800.00000000006</v>
      </c>
      <c r="F339" s="22">
        <f>+Tabla130[[#This Row],[PRECIO INSTALLER (CON IVA)]]*5%</f>
        <v>17178</v>
      </c>
      <c r="G339" s="7">
        <v>0.85</v>
      </c>
      <c r="H339" s="6">
        <f>Tabla130[[#This Row],[COSTO]]*1.19</f>
        <v>292026</v>
      </c>
      <c r="I339" s="6"/>
      <c r="J339" s="6"/>
      <c r="K339" s="36">
        <v>245400</v>
      </c>
    </row>
    <row r="340" spans="1:11" ht="199.5" x14ac:dyDescent="0.2">
      <c r="A340" s="34" t="s">
        <v>728</v>
      </c>
      <c r="B340" s="44" t="s">
        <v>725</v>
      </c>
      <c r="C340" s="43">
        <f>+Tabla130[[#This Row],[COSTO CON IVA]]/Tabla130[[#This Row],[UTILIDAD]]</f>
        <v>327600</v>
      </c>
      <c r="D340" s="43">
        <f>+Tabla130[[#This Row],[PRECIO INSTALLER (CON IVA)]]-Tabla130[[#This Row],[Columna4]]</f>
        <v>311220</v>
      </c>
      <c r="E340" s="43">
        <f>+Tabla130[[#This Row],[PRECIO INSTALLER (CON IVA)]]/0.7</f>
        <v>468000.00000000006</v>
      </c>
      <c r="F340" s="22">
        <f>+Tabla130[[#This Row],[PRECIO INSTALLER (CON IVA)]]*5%</f>
        <v>16380</v>
      </c>
      <c r="G340" s="7">
        <v>0.85</v>
      </c>
      <c r="H340" s="6">
        <f>Tabla130[[#This Row],[COSTO]]*1.19</f>
        <v>278460</v>
      </c>
      <c r="I340" s="6"/>
      <c r="J340" s="6"/>
      <c r="K340" s="36">
        <v>234000</v>
      </c>
    </row>
    <row r="341" spans="1:11" ht="199.5" x14ac:dyDescent="0.2">
      <c r="A341" s="34" t="s">
        <v>729</v>
      </c>
      <c r="B341" s="35" t="s">
        <v>730</v>
      </c>
      <c r="C341" s="43">
        <f>+Tabla130[[#This Row],[COSTO CON IVA]]/Tabla130[[#This Row],[UTILIDAD]]</f>
        <v>327600</v>
      </c>
      <c r="D341" s="43">
        <f>+Tabla130[[#This Row],[PRECIO INSTALLER (CON IVA)]]-Tabla130[[#This Row],[Columna4]]</f>
        <v>311220</v>
      </c>
      <c r="E341" s="43">
        <f>+Tabla130[[#This Row],[PRECIO INSTALLER (CON IVA)]]/0.7</f>
        <v>468000.00000000006</v>
      </c>
      <c r="F341" s="22">
        <f>+Tabla130[[#This Row],[PRECIO INSTALLER (CON IVA)]]*5%</f>
        <v>16380</v>
      </c>
      <c r="G341" s="7">
        <v>0.85</v>
      </c>
      <c r="H341" s="6">
        <f>Tabla130[[#This Row],[COSTO]]*1.19</f>
        <v>278460</v>
      </c>
      <c r="I341" s="6"/>
      <c r="J341" s="6"/>
      <c r="K341" s="36">
        <v>234000</v>
      </c>
    </row>
    <row r="342" spans="1:11" ht="199.5" x14ac:dyDescent="0.2">
      <c r="A342" s="34" t="s">
        <v>731</v>
      </c>
      <c r="B342" s="35" t="s">
        <v>732</v>
      </c>
      <c r="C342" s="43">
        <f>+Tabla130[[#This Row],[COSTO CON IVA]]/Tabla130[[#This Row],[UTILIDAD]]</f>
        <v>275380</v>
      </c>
      <c r="D342" s="43">
        <f>+Tabla130[[#This Row],[PRECIO INSTALLER (CON IVA)]]-Tabla130[[#This Row],[Columna4]]</f>
        <v>261611</v>
      </c>
      <c r="E342" s="43">
        <f>+Tabla130[[#This Row],[PRECIO INSTALLER (CON IVA)]]/0.7</f>
        <v>393400</v>
      </c>
      <c r="F342" s="22">
        <f>+Tabla130[[#This Row],[PRECIO INSTALLER (CON IVA)]]*5%</f>
        <v>13769</v>
      </c>
      <c r="G342" s="7">
        <v>0.85</v>
      </c>
      <c r="H342" s="6">
        <f>Tabla130[[#This Row],[COSTO]]*1.19</f>
        <v>234073</v>
      </c>
      <c r="I342" s="6"/>
      <c r="J342" s="6"/>
      <c r="K342" s="36">
        <v>196700</v>
      </c>
    </row>
    <row r="343" spans="1:11" ht="242.25" x14ac:dyDescent="0.2">
      <c r="A343" s="34" t="s">
        <v>733</v>
      </c>
      <c r="B343" s="44" t="s">
        <v>734</v>
      </c>
      <c r="C343" s="43">
        <f>+Tabla130[[#This Row],[COSTO CON IVA]]/Tabla130[[#This Row],[UTILIDAD]]</f>
        <v>275380</v>
      </c>
      <c r="D343" s="43">
        <f>+Tabla130[[#This Row],[PRECIO INSTALLER (CON IVA)]]-Tabla130[[#This Row],[Columna4]]</f>
        <v>261611</v>
      </c>
      <c r="E343" s="43">
        <f>+Tabla130[[#This Row],[PRECIO INSTALLER (CON IVA)]]/0.7</f>
        <v>393400</v>
      </c>
      <c r="F343" s="22">
        <f>+Tabla130[[#This Row],[PRECIO INSTALLER (CON IVA)]]*5%</f>
        <v>13769</v>
      </c>
      <c r="G343" s="7">
        <v>0.85</v>
      </c>
      <c r="H343" s="6">
        <f>Tabla130[[#This Row],[COSTO]]*1.19</f>
        <v>234073</v>
      </c>
      <c r="I343" s="6"/>
      <c r="J343" s="6"/>
      <c r="K343" s="36">
        <v>196700</v>
      </c>
    </row>
    <row r="344" spans="1:11" ht="409.5" x14ac:dyDescent="0.2">
      <c r="A344" s="34" t="s">
        <v>735</v>
      </c>
      <c r="B344" s="35" t="s">
        <v>736</v>
      </c>
      <c r="C344" s="43">
        <f>+Tabla130[[#This Row],[COSTO CON IVA]]/Tabla130[[#This Row],[UTILIDAD]]</f>
        <v>543340</v>
      </c>
      <c r="D344" s="43">
        <f>+Tabla130[[#This Row],[PRECIO INSTALLER (CON IVA)]]-Tabla130[[#This Row],[Columna4]]</f>
        <v>516173</v>
      </c>
      <c r="E344" s="43">
        <f>+Tabla130[[#This Row],[PRECIO INSTALLER (CON IVA)]]/0.7</f>
        <v>776200</v>
      </c>
      <c r="F344" s="22">
        <f>+Tabla130[[#This Row],[PRECIO INSTALLER (CON IVA)]]*5%</f>
        <v>27167</v>
      </c>
      <c r="G344" s="7">
        <v>0.85</v>
      </c>
      <c r="H344" s="6">
        <f>Tabla130[[#This Row],[COSTO]]*1.19</f>
        <v>461839</v>
      </c>
      <c r="I344" s="6"/>
      <c r="J344" s="6"/>
      <c r="K344" s="36">
        <v>388100</v>
      </c>
    </row>
    <row r="345" spans="1:11" ht="199.5" x14ac:dyDescent="0.2">
      <c r="A345" s="34" t="s">
        <v>737</v>
      </c>
      <c r="B345" s="35" t="s">
        <v>738</v>
      </c>
      <c r="C345" s="43">
        <f>+Tabla130[[#This Row],[COSTO CON IVA]]/Tabla130[[#This Row],[UTILIDAD]]</f>
        <v>233660</v>
      </c>
      <c r="D345" s="43">
        <f>+Tabla130[[#This Row],[PRECIO INSTALLER (CON IVA)]]-Tabla130[[#This Row],[Columna4]]</f>
        <v>221977</v>
      </c>
      <c r="E345" s="43">
        <f>+Tabla130[[#This Row],[PRECIO INSTALLER (CON IVA)]]/0.7</f>
        <v>333800</v>
      </c>
      <c r="F345" s="22">
        <f>+Tabla130[[#This Row],[PRECIO INSTALLER (CON IVA)]]*5%</f>
        <v>11683</v>
      </c>
      <c r="G345" s="7">
        <v>0.85</v>
      </c>
      <c r="H345" s="6">
        <f>Tabla130[[#This Row],[COSTO]]*1.19</f>
        <v>198611</v>
      </c>
      <c r="I345" s="6"/>
      <c r="J345" s="6"/>
      <c r="K345" s="36">
        <v>166900</v>
      </c>
    </row>
    <row r="346" spans="1:11" ht="199.5" x14ac:dyDescent="0.2">
      <c r="A346" s="34" t="s">
        <v>739</v>
      </c>
      <c r="B346" s="35" t="s">
        <v>738</v>
      </c>
      <c r="C346" s="43">
        <f>+Tabla130[[#This Row],[COSTO CON IVA]]/Tabla130[[#This Row],[UTILIDAD]]</f>
        <v>233660</v>
      </c>
      <c r="D346" s="43">
        <f>+Tabla130[[#This Row],[PRECIO INSTALLER (CON IVA)]]-Tabla130[[#This Row],[Columna4]]</f>
        <v>221977</v>
      </c>
      <c r="E346" s="43">
        <f>+Tabla130[[#This Row],[PRECIO INSTALLER (CON IVA)]]/0.7</f>
        <v>333800</v>
      </c>
      <c r="F346" s="22">
        <f>+Tabla130[[#This Row],[PRECIO INSTALLER (CON IVA)]]*5%</f>
        <v>11683</v>
      </c>
      <c r="G346" s="7">
        <v>0.85</v>
      </c>
      <c r="H346" s="6">
        <f>Tabla130[[#This Row],[COSTO]]*1.19</f>
        <v>198611</v>
      </c>
      <c r="I346" s="6"/>
      <c r="J346" s="6"/>
      <c r="K346" s="36">
        <v>166900</v>
      </c>
    </row>
    <row r="347" spans="1:11" ht="285" x14ac:dyDescent="0.2">
      <c r="A347" s="34" t="s">
        <v>740</v>
      </c>
      <c r="B347" s="35" t="s">
        <v>741</v>
      </c>
      <c r="C347" s="43">
        <f>+Tabla130[[#This Row],[COSTO CON IVA]]/Tabla130[[#This Row],[UTILIDAD]]</f>
        <v>271460</v>
      </c>
      <c r="D347" s="43">
        <f>+Tabla130[[#This Row],[PRECIO INSTALLER (CON IVA)]]-Tabla130[[#This Row],[Columna4]]</f>
        <v>257887</v>
      </c>
      <c r="E347" s="43">
        <f>+Tabla130[[#This Row],[PRECIO INSTALLER (CON IVA)]]/0.7</f>
        <v>387800</v>
      </c>
      <c r="F347" s="22">
        <f>+Tabla130[[#This Row],[PRECIO INSTALLER (CON IVA)]]*5%</f>
        <v>13573</v>
      </c>
      <c r="G347" s="7">
        <v>0.85</v>
      </c>
      <c r="H347" s="6">
        <f>Tabla130[[#This Row],[COSTO]]*1.19</f>
        <v>230741</v>
      </c>
      <c r="I347" s="6"/>
      <c r="J347" s="6"/>
      <c r="K347" s="36">
        <v>193900</v>
      </c>
    </row>
    <row r="348" spans="1:11" ht="228" x14ac:dyDescent="0.2">
      <c r="A348" s="34" t="s">
        <v>742</v>
      </c>
      <c r="B348" s="35" t="s">
        <v>743</v>
      </c>
      <c r="C348" s="43">
        <f>+Tabla130[[#This Row],[COSTO CON IVA]]/Tabla130[[#This Row],[UTILIDAD]]</f>
        <v>238560</v>
      </c>
      <c r="D348" s="43">
        <f>+Tabla130[[#This Row],[PRECIO INSTALLER (CON IVA)]]-Tabla130[[#This Row],[Columna4]]</f>
        <v>226632</v>
      </c>
      <c r="E348" s="43">
        <f>+Tabla130[[#This Row],[PRECIO INSTALLER (CON IVA)]]/0.7</f>
        <v>340800</v>
      </c>
      <c r="F348" s="22">
        <f>+Tabla130[[#This Row],[PRECIO INSTALLER (CON IVA)]]*5%</f>
        <v>11928</v>
      </c>
      <c r="G348" s="7">
        <v>0.85</v>
      </c>
      <c r="H348" s="6">
        <f>Tabla130[[#This Row],[COSTO]]*1.19</f>
        <v>202776</v>
      </c>
      <c r="I348" s="6"/>
      <c r="J348" s="6"/>
      <c r="K348" s="36">
        <v>170400</v>
      </c>
    </row>
    <row r="349" spans="1:11" ht="213.75" x14ac:dyDescent="0.2">
      <c r="A349" s="34" t="s">
        <v>744</v>
      </c>
      <c r="B349" s="35" t="s">
        <v>1227</v>
      </c>
      <c r="C349" s="43">
        <f>+Tabla130[[#This Row],[COSTO CON IVA]]/Tabla130[[#This Row],[UTILIDAD]]</f>
        <v>195160</v>
      </c>
      <c r="D349" s="43">
        <f>+Tabla130[[#This Row],[PRECIO INSTALLER (CON IVA)]]-Tabla130[[#This Row],[Columna4]]</f>
        <v>185402</v>
      </c>
      <c r="E349" s="43">
        <f>+Tabla130[[#This Row],[PRECIO INSTALLER (CON IVA)]]/0.7</f>
        <v>278800</v>
      </c>
      <c r="F349" s="22">
        <f>+Tabla130[[#This Row],[PRECIO INSTALLER (CON IVA)]]*5%</f>
        <v>9758</v>
      </c>
      <c r="G349" s="7">
        <v>0.85</v>
      </c>
      <c r="H349" s="38">
        <f>Tabla130[[#This Row],[COSTO]]*1.19</f>
        <v>165886</v>
      </c>
      <c r="I349" s="38"/>
      <c r="J349" s="38"/>
      <c r="K349" s="36">
        <v>139400</v>
      </c>
    </row>
    <row r="350" spans="1:11" ht="213.75" x14ac:dyDescent="0.2">
      <c r="A350" s="34" t="s">
        <v>745</v>
      </c>
      <c r="B350" s="35" t="s">
        <v>1227</v>
      </c>
      <c r="C350" s="43">
        <f>+Tabla130[[#This Row],[COSTO CON IVA]]/Tabla130[[#This Row],[UTILIDAD]]</f>
        <v>195160</v>
      </c>
      <c r="D350" s="43">
        <f>+Tabla130[[#This Row],[PRECIO INSTALLER (CON IVA)]]-Tabla130[[#This Row],[Columna4]]</f>
        <v>185402</v>
      </c>
      <c r="E350" s="43">
        <f>+Tabla130[[#This Row],[PRECIO INSTALLER (CON IVA)]]/0.7</f>
        <v>278800</v>
      </c>
      <c r="F350" s="41">
        <f>+Tabla130[[#This Row],[PRECIO INSTALLER (CON IVA)]]*5%</f>
        <v>9758</v>
      </c>
      <c r="G350" s="7">
        <v>0.85</v>
      </c>
      <c r="H350" s="38">
        <f>Tabla130[[#This Row],[COSTO]]*1.19</f>
        <v>165886</v>
      </c>
      <c r="I350" s="38"/>
      <c r="J350" s="38"/>
      <c r="K350" s="36">
        <v>139400</v>
      </c>
    </row>
    <row r="351" spans="1:11" ht="142.5" x14ac:dyDescent="0.2">
      <c r="A351" s="34" t="s">
        <v>746</v>
      </c>
      <c r="B351" s="35" t="s">
        <v>747</v>
      </c>
      <c r="C351" s="43">
        <f>+Tabla130[[#This Row],[COSTO CON IVA]]/Tabla130[[#This Row],[UTILIDAD]]</f>
        <v>195160</v>
      </c>
      <c r="D351" s="43">
        <f>+Tabla130[[#This Row],[PRECIO INSTALLER (CON IVA)]]-Tabla130[[#This Row],[Columna4]]</f>
        <v>185402</v>
      </c>
      <c r="E351" s="43">
        <f>+Tabla130[[#This Row],[PRECIO INSTALLER (CON IVA)]]/0.7</f>
        <v>278800</v>
      </c>
      <c r="F351" s="41">
        <f>+Tabla130[[#This Row],[PRECIO INSTALLER (CON IVA)]]*5%</f>
        <v>9758</v>
      </c>
      <c r="G351" s="7">
        <v>0.85</v>
      </c>
      <c r="H351" s="38">
        <f>Tabla130[[#This Row],[COSTO]]*1.19</f>
        <v>165886</v>
      </c>
      <c r="I351" s="38"/>
      <c r="J351" s="38"/>
      <c r="K351" s="36">
        <v>139400</v>
      </c>
    </row>
    <row r="352" spans="1:11" ht="228" x14ac:dyDescent="0.2">
      <c r="A352" s="34" t="s">
        <v>748</v>
      </c>
      <c r="B352" s="35" t="s">
        <v>1228</v>
      </c>
      <c r="C352" s="43">
        <f>+Tabla130[[#This Row],[COSTO CON IVA]]/Tabla130[[#This Row],[UTILIDAD]]</f>
        <v>162960</v>
      </c>
      <c r="D352" s="43">
        <f>+Tabla130[[#This Row],[PRECIO INSTALLER (CON IVA)]]-Tabla130[[#This Row],[Columna4]]</f>
        <v>154812</v>
      </c>
      <c r="E352" s="43">
        <f>+Tabla130[[#This Row],[PRECIO INSTALLER (CON IVA)]]/0.7</f>
        <v>232800.00000000003</v>
      </c>
      <c r="F352" s="41">
        <f>+Tabla130[[#This Row],[PRECIO INSTALLER (CON IVA)]]*5%</f>
        <v>8148</v>
      </c>
      <c r="G352" s="7">
        <v>0.85</v>
      </c>
      <c r="H352" s="38">
        <f>Tabla130[[#This Row],[COSTO]]*1.19</f>
        <v>138516</v>
      </c>
      <c r="I352" s="38"/>
      <c r="J352" s="38"/>
      <c r="K352" s="36">
        <v>116400</v>
      </c>
    </row>
    <row r="353" spans="1:11" ht="228" x14ac:dyDescent="0.2">
      <c r="A353" s="34" t="s">
        <v>71</v>
      </c>
      <c r="B353" s="35" t="s">
        <v>1228</v>
      </c>
      <c r="C353" s="43">
        <f>+Tabla130[[#This Row],[COSTO CON IVA]]/Tabla130[[#This Row],[UTILIDAD]]</f>
        <v>162960</v>
      </c>
      <c r="D353" s="43">
        <f>+Tabla130[[#This Row],[PRECIO INSTALLER (CON IVA)]]-Tabla130[[#This Row],[Columna4]]</f>
        <v>154812</v>
      </c>
      <c r="E353" s="43">
        <f>+Tabla130[[#This Row],[PRECIO INSTALLER (CON IVA)]]/0.7</f>
        <v>232800.00000000003</v>
      </c>
      <c r="F353" s="41">
        <f>+Tabla130[[#This Row],[PRECIO INSTALLER (CON IVA)]]*5%</f>
        <v>8148</v>
      </c>
      <c r="G353" s="7">
        <v>0.85</v>
      </c>
      <c r="H353" s="38">
        <f>Tabla130[[#This Row],[COSTO]]*1.19</f>
        <v>138516</v>
      </c>
      <c r="I353" s="38"/>
      <c r="J353" s="38"/>
      <c r="K353" s="36">
        <v>116400</v>
      </c>
    </row>
    <row r="354" spans="1:11" ht="242.25" x14ac:dyDescent="0.2">
      <c r="A354" s="34" t="s">
        <v>749</v>
      </c>
      <c r="B354" s="35" t="s">
        <v>750</v>
      </c>
      <c r="C354" s="43">
        <f>+Tabla130[[#This Row],[COSTO CON IVA]]/Tabla130[[#This Row],[UTILIDAD]]</f>
        <v>181580</v>
      </c>
      <c r="D354" s="43">
        <f>+Tabla130[[#This Row],[PRECIO INSTALLER (CON IVA)]]-Tabla130[[#This Row],[Columna4]]</f>
        <v>172501</v>
      </c>
      <c r="E354" s="43">
        <f>+Tabla130[[#This Row],[PRECIO INSTALLER (CON IVA)]]/0.7</f>
        <v>259400.00000000003</v>
      </c>
      <c r="F354" s="41">
        <f>+Tabla130[[#This Row],[PRECIO INSTALLER (CON IVA)]]*5%</f>
        <v>9079</v>
      </c>
      <c r="G354" s="7">
        <v>0.85</v>
      </c>
      <c r="H354" s="38">
        <f>Tabla130[[#This Row],[COSTO]]*1.19</f>
        <v>154343</v>
      </c>
      <c r="I354" s="38"/>
      <c r="J354" s="38"/>
      <c r="K354" s="36">
        <v>129700</v>
      </c>
    </row>
    <row r="355" spans="1:11" ht="142.5" x14ac:dyDescent="0.2">
      <c r="A355" s="34" t="s">
        <v>751</v>
      </c>
      <c r="B355" s="35" t="s">
        <v>752</v>
      </c>
      <c r="C355" s="43">
        <f>+Tabla130[[#This Row],[COSTO CON IVA]]/Tabla130[[#This Row],[UTILIDAD]]</f>
        <v>172620</v>
      </c>
      <c r="D355" s="43">
        <f>+Tabla130[[#This Row],[PRECIO INSTALLER (CON IVA)]]-Tabla130[[#This Row],[Columna4]]</f>
        <v>163989</v>
      </c>
      <c r="E355" s="43">
        <f>+Tabla130[[#This Row],[PRECIO INSTALLER (CON IVA)]]/0.7</f>
        <v>246600.00000000003</v>
      </c>
      <c r="F355" s="41">
        <f>+Tabla130[[#This Row],[PRECIO INSTALLER (CON IVA)]]*5%</f>
        <v>8631</v>
      </c>
      <c r="G355" s="7">
        <v>0.85</v>
      </c>
      <c r="H355" s="38">
        <f>Tabla130[[#This Row],[COSTO]]*1.19</f>
        <v>146727</v>
      </c>
      <c r="I355" s="38"/>
      <c r="J355" s="38"/>
      <c r="K355" s="36">
        <v>123300</v>
      </c>
    </row>
    <row r="356" spans="1:11" ht="142.5" x14ac:dyDescent="0.2">
      <c r="A356" s="34" t="s">
        <v>753</v>
      </c>
      <c r="B356" s="35" t="s">
        <v>754</v>
      </c>
      <c r="C356" s="43">
        <f>+Tabla130[[#This Row],[COSTO CON IVA]]/Tabla130[[#This Row],[UTILIDAD]]</f>
        <v>172620</v>
      </c>
      <c r="D356" s="43">
        <f>+Tabla130[[#This Row],[PRECIO INSTALLER (CON IVA)]]-Tabla130[[#This Row],[Columna4]]</f>
        <v>163989</v>
      </c>
      <c r="E356" s="43">
        <f>+Tabla130[[#This Row],[PRECIO INSTALLER (CON IVA)]]/0.7</f>
        <v>246600.00000000003</v>
      </c>
      <c r="F356" s="41">
        <f>+Tabla130[[#This Row],[PRECIO INSTALLER (CON IVA)]]*5%</f>
        <v>8631</v>
      </c>
      <c r="G356" s="7">
        <v>0.85</v>
      </c>
      <c r="H356" s="38">
        <f>Tabla130[[#This Row],[COSTO]]*1.19</f>
        <v>146727</v>
      </c>
      <c r="I356" s="38"/>
      <c r="J356" s="38"/>
      <c r="K356" s="36">
        <v>123300</v>
      </c>
    </row>
    <row r="357" spans="1:11" ht="228" x14ac:dyDescent="0.2">
      <c r="A357" s="34" t="s">
        <v>755</v>
      </c>
      <c r="B357" s="35" t="s">
        <v>756</v>
      </c>
      <c r="C357" s="43">
        <f>+Tabla130[[#This Row],[COSTO CON IVA]]/Tabla130[[#This Row],[UTILIDAD]]</f>
        <v>143780</v>
      </c>
      <c r="D357" s="43">
        <f>+Tabla130[[#This Row],[PRECIO INSTALLER (CON IVA)]]-Tabla130[[#This Row],[Columna4]]</f>
        <v>136591</v>
      </c>
      <c r="E357" s="43">
        <f>+Tabla130[[#This Row],[PRECIO INSTALLER (CON IVA)]]/0.7</f>
        <v>205400</v>
      </c>
      <c r="F357" s="41">
        <f>+Tabla130[[#This Row],[PRECIO INSTALLER (CON IVA)]]*5%</f>
        <v>7189</v>
      </c>
      <c r="G357" s="7">
        <v>0.85</v>
      </c>
      <c r="H357" s="38">
        <f>Tabla130[[#This Row],[COSTO]]*1.19</f>
        <v>122213</v>
      </c>
      <c r="I357" s="38"/>
      <c r="J357" s="38"/>
      <c r="K357" s="36">
        <v>102700</v>
      </c>
    </row>
    <row r="358" spans="1:11" ht="213.75" x14ac:dyDescent="0.2">
      <c r="A358" s="34" t="s">
        <v>757</v>
      </c>
      <c r="B358" s="35" t="s">
        <v>758</v>
      </c>
      <c r="C358" s="43">
        <f>+Tabla130[[#This Row],[COSTO CON IVA]]/Tabla130[[#This Row],[UTILIDAD]]</f>
        <v>223300</v>
      </c>
      <c r="D358" s="43">
        <f>+Tabla130[[#This Row],[PRECIO INSTALLER (CON IVA)]]-Tabla130[[#This Row],[Columna4]]</f>
        <v>212135</v>
      </c>
      <c r="E358" s="43">
        <f>+Tabla130[[#This Row],[PRECIO INSTALLER (CON IVA)]]/0.7</f>
        <v>319000</v>
      </c>
      <c r="F358" s="41">
        <f>+Tabla130[[#This Row],[PRECIO INSTALLER (CON IVA)]]*5%</f>
        <v>11165</v>
      </c>
      <c r="G358" s="7">
        <v>0.85</v>
      </c>
      <c r="H358" s="38">
        <f>Tabla130[[#This Row],[COSTO]]*1.19</f>
        <v>189805</v>
      </c>
      <c r="I358" s="38"/>
      <c r="J358" s="38"/>
      <c r="K358" s="36">
        <v>159500</v>
      </c>
    </row>
    <row r="359" spans="1:11" ht="242.25" x14ac:dyDescent="0.2">
      <c r="A359" s="34" t="s">
        <v>70</v>
      </c>
      <c r="B359" s="35" t="s">
        <v>759</v>
      </c>
      <c r="C359" s="43">
        <f>+Tabla130[[#This Row],[COSTO CON IVA]]/Tabla130[[#This Row],[UTILIDAD]]</f>
        <v>237860</v>
      </c>
      <c r="D359" s="43">
        <f>+Tabla130[[#This Row],[PRECIO INSTALLER (CON IVA)]]-Tabla130[[#This Row],[Columna4]]</f>
        <v>225967</v>
      </c>
      <c r="E359" s="43">
        <f>+Tabla130[[#This Row],[PRECIO INSTALLER (CON IVA)]]/0.7</f>
        <v>339800</v>
      </c>
      <c r="F359" s="41">
        <f>+Tabla130[[#This Row],[PRECIO INSTALLER (CON IVA)]]*5%</f>
        <v>11893</v>
      </c>
      <c r="G359" s="7">
        <v>0.85</v>
      </c>
      <c r="H359" s="38">
        <f>Tabla130[[#This Row],[COSTO]]*1.19</f>
        <v>202181</v>
      </c>
      <c r="I359" s="38"/>
      <c r="J359" s="38"/>
      <c r="K359" s="36">
        <v>169900</v>
      </c>
    </row>
    <row r="360" spans="1:11" ht="242.25" x14ac:dyDescent="0.2">
      <c r="A360" s="34" t="s">
        <v>760</v>
      </c>
      <c r="B360" s="35" t="s">
        <v>761</v>
      </c>
      <c r="C360" s="43">
        <f>+Tabla130[[#This Row],[COSTO CON IVA]]/Tabla130[[#This Row],[UTILIDAD]]</f>
        <v>158340</v>
      </c>
      <c r="D360" s="43">
        <f>+Tabla130[[#This Row],[PRECIO INSTALLER (CON IVA)]]-Tabla130[[#This Row],[Columna4]]</f>
        <v>150423</v>
      </c>
      <c r="E360" s="43">
        <f>+Tabla130[[#This Row],[PRECIO INSTALLER (CON IVA)]]/0.7</f>
        <v>226200</v>
      </c>
      <c r="F360" s="41">
        <f>+Tabla130[[#This Row],[PRECIO INSTALLER (CON IVA)]]*5%</f>
        <v>7917</v>
      </c>
      <c r="G360" s="7">
        <v>0.85</v>
      </c>
      <c r="H360" s="38">
        <f>Tabla130[[#This Row],[COSTO]]*1.19</f>
        <v>134589</v>
      </c>
      <c r="I360" s="38"/>
      <c r="J360" s="38"/>
      <c r="K360" s="36">
        <v>113100</v>
      </c>
    </row>
    <row r="361" spans="1:11" ht="171" x14ac:dyDescent="0.2">
      <c r="A361" s="34" t="s">
        <v>762</v>
      </c>
      <c r="B361" s="35" t="s">
        <v>1229</v>
      </c>
      <c r="C361" s="43">
        <f>+Tabla130[[#This Row],[COSTO CON IVA]]/Tabla130[[#This Row],[UTILIDAD]]</f>
        <v>849380</v>
      </c>
      <c r="D361" s="43">
        <f>+Tabla130[[#This Row],[PRECIO INSTALLER (CON IVA)]]-Tabla130[[#This Row],[Columna4]]</f>
        <v>806911</v>
      </c>
      <c r="E361" s="43">
        <f>+Tabla130[[#This Row],[PRECIO INSTALLER (CON IVA)]]/0.7</f>
        <v>1213400</v>
      </c>
      <c r="F361" s="41">
        <f>+Tabla130[[#This Row],[PRECIO INSTALLER (CON IVA)]]*5%</f>
        <v>42469</v>
      </c>
      <c r="G361" s="7">
        <v>0.85</v>
      </c>
      <c r="H361" s="38">
        <f>Tabla130[[#This Row],[COSTO]]*1.19</f>
        <v>721973</v>
      </c>
      <c r="I361" s="38"/>
      <c r="J361" s="38"/>
      <c r="K361" s="36">
        <v>606700</v>
      </c>
    </row>
    <row r="362" spans="1:11" ht="213.75" x14ac:dyDescent="0.2">
      <c r="A362" s="34" t="s">
        <v>763</v>
      </c>
      <c r="B362" s="35" t="s">
        <v>764</v>
      </c>
      <c r="C362" s="43">
        <f>+Tabla130[[#This Row],[COSTO CON IVA]]/Tabla130[[#This Row],[UTILIDAD]]</f>
        <v>566300</v>
      </c>
      <c r="D362" s="43">
        <f>+Tabla130[[#This Row],[PRECIO INSTALLER (CON IVA)]]-Tabla130[[#This Row],[Columna4]]</f>
        <v>537985</v>
      </c>
      <c r="E362" s="43">
        <f>+Tabla130[[#This Row],[PRECIO INSTALLER (CON IVA)]]/0.7</f>
        <v>809000</v>
      </c>
      <c r="F362" s="41">
        <f>+Tabla130[[#This Row],[PRECIO INSTALLER (CON IVA)]]*5%</f>
        <v>28315</v>
      </c>
      <c r="G362" s="7">
        <v>0.85</v>
      </c>
      <c r="H362" s="38">
        <f>Tabla130[[#This Row],[COSTO]]*1.19</f>
        <v>481355</v>
      </c>
      <c r="I362" s="38"/>
      <c r="J362" s="38"/>
      <c r="K362" s="36">
        <v>404500</v>
      </c>
    </row>
    <row r="363" spans="1:11" ht="171" x14ac:dyDescent="0.2">
      <c r="A363" s="34" t="s">
        <v>765</v>
      </c>
      <c r="B363" s="35" t="s">
        <v>766</v>
      </c>
      <c r="C363" s="43">
        <f>+Tabla130[[#This Row],[COSTO CON IVA]]/Tabla130[[#This Row],[UTILIDAD]]</f>
        <v>424760</v>
      </c>
      <c r="D363" s="43">
        <f>+Tabla130[[#This Row],[PRECIO INSTALLER (CON IVA)]]-Tabla130[[#This Row],[Columna4]]</f>
        <v>403522</v>
      </c>
      <c r="E363" s="43">
        <f>+Tabla130[[#This Row],[PRECIO INSTALLER (CON IVA)]]/0.7</f>
        <v>606800</v>
      </c>
      <c r="F363" s="41">
        <f>+Tabla130[[#This Row],[PRECIO INSTALLER (CON IVA)]]*5%</f>
        <v>21238</v>
      </c>
      <c r="G363" s="7">
        <v>0.85</v>
      </c>
      <c r="H363" s="38">
        <f>Tabla130[[#This Row],[COSTO]]*1.19</f>
        <v>361046</v>
      </c>
      <c r="I363" s="38"/>
      <c r="J363" s="38"/>
      <c r="K363" s="36">
        <v>303400</v>
      </c>
    </row>
    <row r="364" spans="1:11" ht="199.5" x14ac:dyDescent="0.2">
      <c r="A364" s="34" t="s">
        <v>767</v>
      </c>
      <c r="B364" s="35" t="s">
        <v>768</v>
      </c>
      <c r="C364" s="43">
        <f>+Tabla130[[#This Row],[COSTO CON IVA]]/Tabla130[[#This Row],[UTILIDAD]]</f>
        <v>358680</v>
      </c>
      <c r="D364" s="43">
        <f>+Tabla130[[#This Row],[PRECIO INSTALLER (CON IVA)]]-Tabla130[[#This Row],[Columna4]]</f>
        <v>340746</v>
      </c>
      <c r="E364" s="43">
        <f>+Tabla130[[#This Row],[PRECIO INSTALLER (CON IVA)]]/0.7</f>
        <v>512400.00000000006</v>
      </c>
      <c r="F364" s="41">
        <f>+Tabla130[[#This Row],[PRECIO INSTALLER (CON IVA)]]*5%</f>
        <v>17934</v>
      </c>
      <c r="G364" s="7">
        <v>0.85</v>
      </c>
      <c r="H364" s="38">
        <f>Tabla130[[#This Row],[COSTO]]*1.19</f>
        <v>304878</v>
      </c>
      <c r="I364" s="38"/>
      <c r="J364" s="38"/>
      <c r="K364" s="36">
        <v>256200</v>
      </c>
    </row>
    <row r="365" spans="1:11" ht="199.5" x14ac:dyDescent="0.2">
      <c r="A365" s="34" t="s">
        <v>769</v>
      </c>
      <c r="B365" s="35" t="s">
        <v>770</v>
      </c>
      <c r="C365" s="43">
        <f>+Tabla130[[#This Row],[COSTO CON IVA]]/Tabla130[[#This Row],[UTILIDAD]]</f>
        <v>2499000</v>
      </c>
      <c r="D365" s="43">
        <f>+Tabla130[[#This Row],[PRECIO INSTALLER (CON IVA)]]-Tabla130[[#This Row],[Columna4]]</f>
        <v>2374050</v>
      </c>
      <c r="E365" s="43">
        <f>+Tabla130[[#This Row],[PRECIO INSTALLER (CON IVA)]]/0.7</f>
        <v>3570000</v>
      </c>
      <c r="F365" s="41">
        <f>+Tabla130[[#This Row],[PRECIO INSTALLER (CON IVA)]]*5%</f>
        <v>124950</v>
      </c>
      <c r="G365" s="7">
        <v>0.85</v>
      </c>
      <c r="H365" s="38">
        <f>Tabla130[[#This Row],[COSTO]]*1.19</f>
        <v>2124150</v>
      </c>
      <c r="I365" s="38"/>
      <c r="J365" s="38"/>
      <c r="K365" s="36">
        <v>1785000</v>
      </c>
    </row>
    <row r="366" spans="1:11" ht="156.75" x14ac:dyDescent="0.2">
      <c r="A366" s="34" t="s">
        <v>771</v>
      </c>
      <c r="B366" s="35" t="s">
        <v>772</v>
      </c>
      <c r="C366" s="43">
        <f>+Tabla130[[#This Row],[COSTO CON IVA]]/Tabla130[[#This Row],[UTILIDAD]]</f>
        <v>1389360</v>
      </c>
      <c r="D366" s="43">
        <f>+Tabla130[[#This Row],[PRECIO INSTALLER (CON IVA)]]-Tabla130[[#This Row],[Columna4]]</f>
        <v>1319892</v>
      </c>
      <c r="E366" s="43">
        <f>+Tabla130[[#This Row],[PRECIO INSTALLER (CON IVA)]]/0.7</f>
        <v>1984800.0000000002</v>
      </c>
      <c r="F366" s="41">
        <f>+Tabla130[[#This Row],[PRECIO INSTALLER (CON IVA)]]*5%</f>
        <v>69468</v>
      </c>
      <c r="G366" s="7">
        <v>0.85</v>
      </c>
      <c r="H366" s="38">
        <f>Tabla130[[#This Row],[COSTO]]*1.19</f>
        <v>1180956</v>
      </c>
      <c r="I366" s="38"/>
      <c r="J366" s="38"/>
      <c r="K366" s="36">
        <v>992400</v>
      </c>
    </row>
    <row r="367" spans="1:11" ht="156.75" x14ac:dyDescent="0.2">
      <c r="A367" s="34" t="s">
        <v>773</v>
      </c>
      <c r="B367" s="35" t="s">
        <v>774</v>
      </c>
      <c r="C367" s="43">
        <f>+Tabla130[[#This Row],[COSTO CON IVA]]/Tabla130[[#This Row],[UTILIDAD]]</f>
        <v>465500</v>
      </c>
      <c r="D367" s="43">
        <f>+Tabla130[[#This Row],[PRECIO INSTALLER (CON IVA)]]-Tabla130[[#This Row],[Columna4]]</f>
        <v>442225</v>
      </c>
      <c r="E367" s="43">
        <f>+Tabla130[[#This Row],[PRECIO INSTALLER (CON IVA)]]/0.7</f>
        <v>665000</v>
      </c>
      <c r="F367" s="41">
        <f>+Tabla130[[#This Row],[PRECIO INSTALLER (CON IVA)]]*5%</f>
        <v>23275</v>
      </c>
      <c r="G367" s="7">
        <v>0.85</v>
      </c>
      <c r="H367" s="38">
        <f>Tabla130[[#This Row],[COSTO]]*1.19</f>
        <v>395675</v>
      </c>
      <c r="I367" s="38"/>
      <c r="J367" s="38"/>
      <c r="K367" s="36">
        <v>332500</v>
      </c>
    </row>
    <row r="368" spans="1:11" ht="128.25" x14ac:dyDescent="0.2">
      <c r="A368" s="34" t="s">
        <v>775</v>
      </c>
      <c r="B368" s="35" t="s">
        <v>1230</v>
      </c>
      <c r="C368" s="43">
        <f>+Tabla130[[#This Row],[COSTO CON IVA]]/Tabla130[[#This Row],[UTILIDAD]]</f>
        <v>305900</v>
      </c>
      <c r="D368" s="43">
        <f>+Tabla130[[#This Row],[PRECIO INSTALLER (CON IVA)]]-Tabla130[[#This Row],[Columna4]]</f>
        <v>290605</v>
      </c>
      <c r="E368" s="43">
        <f>+Tabla130[[#This Row],[PRECIO INSTALLER (CON IVA)]]/0.7</f>
        <v>437000</v>
      </c>
      <c r="F368" s="41">
        <f>+Tabla130[[#This Row],[PRECIO INSTALLER (CON IVA)]]*5%</f>
        <v>15295</v>
      </c>
      <c r="G368" s="7">
        <v>0.85</v>
      </c>
      <c r="H368" s="38">
        <f>Tabla130[[#This Row],[COSTO]]*1.19</f>
        <v>260015</v>
      </c>
      <c r="I368" s="38"/>
      <c r="J368" s="38"/>
      <c r="K368" s="36">
        <v>218500</v>
      </c>
    </row>
    <row r="369" spans="1:11" ht="171" x14ac:dyDescent="0.2">
      <c r="A369" s="34" t="s">
        <v>776</v>
      </c>
      <c r="B369" s="35" t="s">
        <v>1231</v>
      </c>
      <c r="C369" s="43">
        <f>+Tabla130[[#This Row],[COSTO CON IVA]]/Tabla130[[#This Row],[UTILIDAD]]</f>
        <v>239400</v>
      </c>
      <c r="D369" s="43">
        <f>+Tabla130[[#This Row],[PRECIO INSTALLER (CON IVA)]]-Tabla130[[#This Row],[Columna4]]</f>
        <v>227430</v>
      </c>
      <c r="E369" s="43">
        <f>+Tabla130[[#This Row],[PRECIO INSTALLER (CON IVA)]]/0.7</f>
        <v>342000</v>
      </c>
      <c r="F369" s="41">
        <f>+Tabla130[[#This Row],[PRECIO INSTALLER (CON IVA)]]*5%</f>
        <v>11970</v>
      </c>
      <c r="G369" s="7">
        <v>0.85</v>
      </c>
      <c r="H369" s="38">
        <f>Tabla130[[#This Row],[COSTO]]*1.19</f>
        <v>203490</v>
      </c>
      <c r="I369" s="38"/>
      <c r="J369" s="38"/>
      <c r="K369" s="36">
        <v>171000</v>
      </c>
    </row>
    <row r="370" spans="1:11" ht="156.75" x14ac:dyDescent="0.2">
      <c r="A370" s="34" t="s">
        <v>777</v>
      </c>
      <c r="B370" s="35" t="s">
        <v>778</v>
      </c>
      <c r="C370" s="43">
        <f>+Tabla130[[#This Row],[COSTO CON IVA]]/Tabla130[[#This Row],[UTILIDAD]]</f>
        <v>6289920</v>
      </c>
      <c r="D370" s="43">
        <f>+Tabla130[[#This Row],[PRECIO INSTALLER (CON IVA)]]-Tabla130[[#This Row],[Columna4]]</f>
        <v>5975424</v>
      </c>
      <c r="E370" s="43">
        <f>+Tabla130[[#This Row],[PRECIO INSTALLER (CON IVA)]]/0.7</f>
        <v>8985600</v>
      </c>
      <c r="F370" s="41">
        <f>+Tabla130[[#This Row],[PRECIO INSTALLER (CON IVA)]]*5%</f>
        <v>314496</v>
      </c>
      <c r="G370" s="7">
        <v>0.85</v>
      </c>
      <c r="H370" s="38">
        <f>Tabla130[[#This Row],[COSTO]]*1.19</f>
        <v>5346432</v>
      </c>
      <c r="I370" s="38"/>
      <c r="J370" s="38"/>
      <c r="K370" s="36">
        <v>4492800</v>
      </c>
    </row>
    <row r="371" spans="1:11" ht="156.75" x14ac:dyDescent="0.2">
      <c r="A371" s="34" t="s">
        <v>779</v>
      </c>
      <c r="B371" s="35" t="s">
        <v>780</v>
      </c>
      <c r="C371" s="43">
        <f>+Tabla130[[#This Row],[COSTO CON IVA]]/Tabla130[[#This Row],[UTILIDAD]]</f>
        <v>5660760</v>
      </c>
      <c r="D371" s="43">
        <f>+Tabla130[[#This Row],[PRECIO INSTALLER (CON IVA)]]-Tabla130[[#This Row],[Columna4]]</f>
        <v>5377722</v>
      </c>
      <c r="E371" s="43">
        <f>+Tabla130[[#This Row],[PRECIO INSTALLER (CON IVA)]]/0.7</f>
        <v>8086800.0000000009</v>
      </c>
      <c r="F371" s="41">
        <f>+Tabla130[[#This Row],[PRECIO INSTALLER (CON IVA)]]*5%</f>
        <v>283038</v>
      </c>
      <c r="G371" s="7">
        <v>0.85</v>
      </c>
      <c r="H371" s="38">
        <f>Tabla130[[#This Row],[COSTO]]*1.19</f>
        <v>4811646</v>
      </c>
      <c r="I371" s="38"/>
      <c r="J371" s="38"/>
      <c r="K371" s="36">
        <v>4043400</v>
      </c>
    </row>
    <row r="372" spans="1:11" ht="156.75" x14ac:dyDescent="0.2">
      <c r="A372" s="34" t="s">
        <v>781</v>
      </c>
      <c r="B372" s="35" t="s">
        <v>782</v>
      </c>
      <c r="C372" s="43">
        <f>+Tabla130[[#This Row],[COSTO CON IVA]]/Tabla130[[#This Row],[UTILIDAD]]</f>
        <v>4528580</v>
      </c>
      <c r="D372" s="43">
        <f>+Tabla130[[#This Row],[PRECIO INSTALLER (CON IVA)]]-Tabla130[[#This Row],[Columna4]]</f>
        <v>4302151</v>
      </c>
      <c r="E372" s="43">
        <f>+Tabla130[[#This Row],[PRECIO INSTALLER (CON IVA)]]/0.7</f>
        <v>6469400</v>
      </c>
      <c r="F372" s="41">
        <f>+Tabla130[[#This Row],[PRECIO INSTALLER (CON IVA)]]*5%</f>
        <v>226429</v>
      </c>
      <c r="G372" s="7">
        <v>0.85</v>
      </c>
      <c r="H372" s="38">
        <f>Tabla130[[#This Row],[COSTO]]*1.19</f>
        <v>3849293</v>
      </c>
      <c r="I372" s="38"/>
      <c r="J372" s="38"/>
      <c r="K372" s="36">
        <v>3234700</v>
      </c>
    </row>
    <row r="373" spans="1:11" ht="156.75" x14ac:dyDescent="0.2">
      <c r="A373" s="34" t="s">
        <v>783</v>
      </c>
      <c r="B373" s="35" t="s">
        <v>784</v>
      </c>
      <c r="C373" s="43">
        <f>+Tabla130[[#This Row],[COSTO CON IVA]]/Tabla130[[#This Row],[UTILIDAD]]</f>
        <v>11321800</v>
      </c>
      <c r="D373" s="43">
        <f>+Tabla130[[#This Row],[PRECIO INSTALLER (CON IVA)]]-Tabla130[[#This Row],[Columna4]]</f>
        <v>10755710</v>
      </c>
      <c r="E373" s="43">
        <f>+Tabla130[[#This Row],[PRECIO INSTALLER (CON IVA)]]/0.7</f>
        <v>16174000.000000002</v>
      </c>
      <c r="F373" s="41">
        <f>+Tabla130[[#This Row],[PRECIO INSTALLER (CON IVA)]]*5%</f>
        <v>566090</v>
      </c>
      <c r="G373" s="7">
        <v>0.85</v>
      </c>
      <c r="H373" s="38">
        <f>Tabla130[[#This Row],[COSTO]]*1.19</f>
        <v>9623530</v>
      </c>
      <c r="I373" s="38"/>
      <c r="J373" s="38"/>
      <c r="K373" s="36">
        <v>8087000</v>
      </c>
    </row>
    <row r="374" spans="1:11" ht="171" x14ac:dyDescent="0.2">
      <c r="A374" s="34" t="s">
        <v>785</v>
      </c>
      <c r="B374" s="35" t="s">
        <v>786</v>
      </c>
      <c r="C374" s="43">
        <f>+Tabla130[[#This Row],[COSTO CON IVA]]/Tabla130[[#This Row],[UTILIDAD]]</f>
        <v>4528580</v>
      </c>
      <c r="D374" s="43">
        <f>+Tabla130[[#This Row],[PRECIO INSTALLER (CON IVA)]]-Tabla130[[#This Row],[Columna4]]</f>
        <v>4302151</v>
      </c>
      <c r="E374" s="43">
        <f>+Tabla130[[#This Row],[PRECIO INSTALLER (CON IVA)]]/0.7</f>
        <v>6469400</v>
      </c>
      <c r="F374" s="41">
        <f>+Tabla130[[#This Row],[PRECIO INSTALLER (CON IVA)]]*5%</f>
        <v>226429</v>
      </c>
      <c r="G374" s="7">
        <v>0.85</v>
      </c>
      <c r="H374" s="38">
        <f>Tabla130[[#This Row],[COSTO]]*1.19</f>
        <v>3849293</v>
      </c>
      <c r="I374" s="38"/>
      <c r="J374" s="38"/>
      <c r="K374" s="36">
        <v>3234700</v>
      </c>
    </row>
    <row r="375" spans="1:11" ht="171" x14ac:dyDescent="0.2">
      <c r="A375" s="34" t="s">
        <v>787</v>
      </c>
      <c r="B375" s="35" t="s">
        <v>788</v>
      </c>
      <c r="C375" s="43">
        <f>+Tabla130[[#This Row],[COSTO CON IVA]]/Tabla130[[#This Row],[UTILIDAD]]</f>
        <v>3623060</v>
      </c>
      <c r="D375" s="43">
        <f>+Tabla130[[#This Row],[PRECIO INSTALLER (CON IVA)]]-Tabla130[[#This Row],[Columna4]]</f>
        <v>3441907</v>
      </c>
      <c r="E375" s="43">
        <f>+Tabla130[[#This Row],[PRECIO INSTALLER (CON IVA)]]/0.7</f>
        <v>5175800</v>
      </c>
      <c r="F375" s="41">
        <f>+Tabla130[[#This Row],[PRECIO INSTALLER (CON IVA)]]*5%</f>
        <v>181153</v>
      </c>
      <c r="G375" s="7">
        <v>0.85</v>
      </c>
      <c r="H375" s="38">
        <f>Tabla130[[#This Row],[COSTO]]*1.19</f>
        <v>3079601</v>
      </c>
      <c r="I375" s="38"/>
      <c r="J375" s="38"/>
      <c r="K375" s="36">
        <v>2587900</v>
      </c>
    </row>
    <row r="376" spans="1:11" ht="57" x14ac:dyDescent="0.2">
      <c r="A376" s="34" t="s">
        <v>789</v>
      </c>
      <c r="B376" s="35" t="s">
        <v>790</v>
      </c>
      <c r="C376" s="43">
        <f>+Tabla130[[#This Row],[COSTO CON IVA]]/Tabla130[[#This Row],[UTILIDAD]]</f>
        <v>4528580</v>
      </c>
      <c r="D376" s="43">
        <f>+Tabla130[[#This Row],[PRECIO INSTALLER (CON IVA)]]-Tabla130[[#This Row],[Columna4]]</f>
        <v>4302151</v>
      </c>
      <c r="E376" s="43">
        <f>+Tabla130[[#This Row],[PRECIO INSTALLER (CON IVA)]]/0.7</f>
        <v>6469400</v>
      </c>
      <c r="F376" s="41">
        <f>+Tabla130[[#This Row],[PRECIO INSTALLER (CON IVA)]]*5%</f>
        <v>226429</v>
      </c>
      <c r="G376" s="7">
        <v>0.85</v>
      </c>
      <c r="H376" s="38">
        <f>Tabla130[[#This Row],[COSTO]]*1.19</f>
        <v>3849293</v>
      </c>
      <c r="I376" s="38"/>
      <c r="J376" s="38"/>
      <c r="K376" s="36">
        <v>3234700</v>
      </c>
    </row>
    <row r="377" spans="1:11" ht="57" x14ac:dyDescent="0.2">
      <c r="A377" s="34" t="s">
        <v>791</v>
      </c>
      <c r="B377" s="35" t="s">
        <v>792</v>
      </c>
      <c r="C377" s="43">
        <f>+Tabla130[[#This Row],[COSTO CON IVA]]/Tabla130[[#This Row],[UTILIDAD]]</f>
        <v>3849440</v>
      </c>
      <c r="D377" s="43">
        <f>+Tabla130[[#This Row],[PRECIO INSTALLER (CON IVA)]]-Tabla130[[#This Row],[Columna4]]</f>
        <v>3656968</v>
      </c>
      <c r="E377" s="43">
        <f>+Tabla130[[#This Row],[PRECIO INSTALLER (CON IVA)]]/0.7</f>
        <v>5499200</v>
      </c>
      <c r="F377" s="41">
        <f>+Tabla130[[#This Row],[PRECIO INSTALLER (CON IVA)]]*5%</f>
        <v>192472</v>
      </c>
      <c r="G377" s="7">
        <v>0.85</v>
      </c>
      <c r="H377" s="38">
        <f>Tabla130[[#This Row],[COSTO]]*1.19</f>
        <v>3272024</v>
      </c>
      <c r="I377" s="38"/>
      <c r="J377" s="38"/>
      <c r="K377" s="36">
        <v>2749600</v>
      </c>
    </row>
    <row r="378" spans="1:11" ht="28.5" x14ac:dyDescent="0.2">
      <c r="A378" s="34" t="s">
        <v>793</v>
      </c>
      <c r="B378" s="35" t="s">
        <v>794</v>
      </c>
      <c r="C378" s="43">
        <f>+Tabla130[[#This Row],[COSTO CON IVA]]/Tabla130[[#This Row],[UTILIDAD]]</f>
        <v>1270360</v>
      </c>
      <c r="D378" s="43">
        <f>+Tabla130[[#This Row],[PRECIO INSTALLER (CON IVA)]]-Tabla130[[#This Row],[Columna4]]</f>
        <v>1206842</v>
      </c>
      <c r="E378" s="43">
        <f>+Tabla130[[#This Row],[PRECIO INSTALLER (CON IVA)]]/0.7</f>
        <v>1814800</v>
      </c>
      <c r="F378" s="41">
        <f>+Tabla130[[#This Row],[PRECIO INSTALLER (CON IVA)]]*5%</f>
        <v>63518</v>
      </c>
      <c r="G378" s="7">
        <v>0.85</v>
      </c>
      <c r="H378" s="38">
        <f>Tabla130[[#This Row],[COSTO]]*1.19</f>
        <v>1079806</v>
      </c>
      <c r="I378" s="38"/>
      <c r="J378" s="38"/>
      <c r="K378" s="36">
        <v>907400</v>
      </c>
    </row>
    <row r="379" spans="1:11" ht="28.5" x14ac:dyDescent="0.2">
      <c r="A379" s="34" t="s">
        <v>795</v>
      </c>
      <c r="B379" s="35" t="s">
        <v>796</v>
      </c>
      <c r="C379" s="43">
        <f>+Tabla130[[#This Row],[COSTO CON IVA]]/Tabla130[[#This Row],[UTILIDAD]]</f>
        <v>889140</v>
      </c>
      <c r="D379" s="43">
        <f>+Tabla130[[#This Row],[PRECIO INSTALLER (CON IVA)]]-Tabla130[[#This Row],[Columna4]]</f>
        <v>844683</v>
      </c>
      <c r="E379" s="43">
        <f>+Tabla130[[#This Row],[PRECIO INSTALLER (CON IVA)]]/0.7</f>
        <v>1270200</v>
      </c>
      <c r="F379" s="41">
        <f>+Tabla130[[#This Row],[PRECIO INSTALLER (CON IVA)]]*5%</f>
        <v>44457</v>
      </c>
      <c r="G379" s="7">
        <v>0.85</v>
      </c>
      <c r="H379" s="38">
        <f>Tabla130[[#This Row],[COSTO]]*1.19</f>
        <v>755769</v>
      </c>
      <c r="I379" s="38"/>
      <c r="J379" s="38"/>
      <c r="K379" s="36">
        <v>635100</v>
      </c>
    </row>
    <row r="380" spans="1:11" ht="128.25" x14ac:dyDescent="0.2">
      <c r="A380" s="34" t="s">
        <v>797</v>
      </c>
      <c r="B380" s="35" t="s">
        <v>1232</v>
      </c>
      <c r="C380" s="43">
        <f>+Tabla130[[#This Row],[COSTO CON IVA]]/Tabla130[[#This Row],[UTILIDAD]]</f>
        <v>963760</v>
      </c>
      <c r="D380" s="43">
        <f>+Tabla130[[#This Row],[PRECIO INSTALLER (CON IVA)]]-Tabla130[[#This Row],[Columna4]]</f>
        <v>915572</v>
      </c>
      <c r="E380" s="43">
        <f>+Tabla130[[#This Row],[PRECIO INSTALLER (CON IVA)]]/0.7</f>
        <v>1376800</v>
      </c>
      <c r="F380" s="41">
        <f>+Tabla130[[#This Row],[PRECIO INSTALLER (CON IVA)]]*5%</f>
        <v>48188</v>
      </c>
      <c r="G380" s="7">
        <v>0.85</v>
      </c>
      <c r="H380" s="38">
        <f>Tabla130[[#This Row],[COSTO]]*1.19</f>
        <v>819196</v>
      </c>
      <c r="I380" s="38"/>
      <c r="J380" s="38"/>
      <c r="K380" s="37">
        <v>688400</v>
      </c>
    </row>
    <row r="381" spans="1:11" ht="128.25" x14ac:dyDescent="0.2">
      <c r="A381" s="34" t="s">
        <v>798</v>
      </c>
      <c r="B381" s="35" t="s">
        <v>1232</v>
      </c>
      <c r="C381" s="43">
        <f>+Tabla130[[#This Row],[COSTO CON IVA]]/Tabla130[[#This Row],[UTILIDAD]]</f>
        <v>497140</v>
      </c>
      <c r="D381" s="43">
        <f>+Tabla130[[#This Row],[PRECIO INSTALLER (CON IVA)]]-Tabla130[[#This Row],[Columna4]]</f>
        <v>472283</v>
      </c>
      <c r="E381" s="43">
        <f>+Tabla130[[#This Row],[PRECIO INSTALLER (CON IVA)]]/0.7</f>
        <v>710200</v>
      </c>
      <c r="F381" s="41">
        <f>+Tabla130[[#This Row],[PRECIO INSTALLER (CON IVA)]]*5%</f>
        <v>24857</v>
      </c>
      <c r="G381" s="7">
        <v>0.85</v>
      </c>
      <c r="H381" s="38">
        <f>Tabla130[[#This Row],[COSTO]]*1.19</f>
        <v>422569</v>
      </c>
      <c r="I381" s="38"/>
      <c r="J381" s="38"/>
      <c r="K381" s="37">
        <v>355100</v>
      </c>
    </row>
    <row r="382" spans="1:11" ht="128.25" x14ac:dyDescent="0.2">
      <c r="A382" s="34" t="s">
        <v>799</v>
      </c>
      <c r="B382" s="35" t="s">
        <v>1233</v>
      </c>
      <c r="C382" s="43">
        <f>+Tabla130[[#This Row],[COSTO CON IVA]]/Tabla130[[#This Row],[UTILIDAD]]</f>
        <v>276640</v>
      </c>
      <c r="D382" s="43">
        <f>+Tabla130[[#This Row],[PRECIO INSTALLER (CON IVA)]]-Tabla130[[#This Row],[Columna4]]</f>
        <v>262808</v>
      </c>
      <c r="E382" s="43">
        <f>+Tabla130[[#This Row],[PRECIO INSTALLER (CON IVA)]]/0.7</f>
        <v>395200</v>
      </c>
      <c r="F382" s="41">
        <f>+Tabla130[[#This Row],[PRECIO INSTALLER (CON IVA)]]*5%</f>
        <v>13832</v>
      </c>
      <c r="G382" s="7">
        <v>0.85</v>
      </c>
      <c r="H382" s="38">
        <f>Tabla130[[#This Row],[COSTO]]*1.19</f>
        <v>235144</v>
      </c>
      <c r="I382" s="38"/>
      <c r="J382" s="38"/>
      <c r="K382" s="37">
        <v>197600</v>
      </c>
    </row>
    <row r="383" spans="1:11" ht="128.25" x14ac:dyDescent="0.2">
      <c r="A383" s="34" t="s">
        <v>800</v>
      </c>
      <c r="B383" s="35" t="s">
        <v>801</v>
      </c>
      <c r="C383" s="43">
        <f>+Tabla130[[#This Row],[COSTO CON IVA]]/Tabla130[[#This Row],[UTILIDAD]]</f>
        <v>263060</v>
      </c>
      <c r="D383" s="43">
        <f>+Tabla130[[#This Row],[PRECIO INSTALLER (CON IVA)]]-Tabla130[[#This Row],[Columna4]]</f>
        <v>249907</v>
      </c>
      <c r="E383" s="43">
        <f>+Tabla130[[#This Row],[PRECIO INSTALLER (CON IVA)]]/0.7</f>
        <v>375800</v>
      </c>
      <c r="F383" s="41">
        <f>+Tabla130[[#This Row],[PRECIO INSTALLER (CON IVA)]]*5%</f>
        <v>13153</v>
      </c>
      <c r="G383" s="7">
        <v>0.85</v>
      </c>
      <c r="H383" s="38">
        <f>Tabla130[[#This Row],[COSTO]]*1.19</f>
        <v>223601</v>
      </c>
      <c r="I383" s="38"/>
      <c r="J383" s="38"/>
      <c r="K383" s="37">
        <v>187900</v>
      </c>
    </row>
    <row r="384" spans="1:11" ht="114" x14ac:dyDescent="0.2">
      <c r="A384" s="34" t="s">
        <v>802</v>
      </c>
      <c r="B384" s="35" t="s">
        <v>1234</v>
      </c>
      <c r="C384" s="43">
        <f>+Tabla130[[#This Row],[COSTO CON IVA]]/Tabla130[[#This Row],[UTILIDAD]]</f>
        <v>172760</v>
      </c>
      <c r="D384" s="43">
        <f>+Tabla130[[#This Row],[PRECIO INSTALLER (CON IVA)]]-Tabla130[[#This Row],[Columna4]]</f>
        <v>164122</v>
      </c>
      <c r="E384" s="43">
        <f>+Tabla130[[#This Row],[PRECIO INSTALLER (CON IVA)]]/0.7</f>
        <v>246800.00000000003</v>
      </c>
      <c r="F384" s="41">
        <f>+Tabla130[[#This Row],[PRECIO INSTALLER (CON IVA)]]*5%</f>
        <v>8638</v>
      </c>
      <c r="G384" s="7">
        <v>0.85</v>
      </c>
      <c r="H384" s="38">
        <f>Tabla130[[#This Row],[COSTO]]*1.19</f>
        <v>146846</v>
      </c>
      <c r="I384" s="38"/>
      <c r="J384" s="38"/>
      <c r="K384" s="37">
        <v>123400</v>
      </c>
    </row>
    <row r="385" spans="1:11" ht="128.25" x14ac:dyDescent="0.2">
      <c r="A385" s="34" t="s">
        <v>803</v>
      </c>
      <c r="B385" s="35" t="s">
        <v>1235</v>
      </c>
      <c r="C385" s="43">
        <f>+Tabla130[[#This Row],[COSTO CON IVA]]/Tabla130[[#This Row],[UTILIDAD]]</f>
        <v>131880</v>
      </c>
      <c r="D385" s="43">
        <f>+Tabla130[[#This Row],[PRECIO INSTALLER (CON IVA)]]-Tabla130[[#This Row],[Columna4]]</f>
        <v>125286</v>
      </c>
      <c r="E385" s="43">
        <f>+Tabla130[[#This Row],[PRECIO INSTALLER (CON IVA)]]/0.7</f>
        <v>188400</v>
      </c>
      <c r="F385" s="41">
        <f>+Tabla130[[#This Row],[PRECIO INSTALLER (CON IVA)]]*5%</f>
        <v>6594</v>
      </c>
      <c r="G385" s="7">
        <v>0.85</v>
      </c>
      <c r="H385" s="38">
        <f>Tabla130[[#This Row],[COSTO]]*1.19</f>
        <v>112098</v>
      </c>
      <c r="I385" s="38"/>
      <c r="J385" s="38"/>
      <c r="K385" s="37">
        <v>94200</v>
      </c>
    </row>
    <row r="386" spans="1:11" ht="142.5" x14ac:dyDescent="0.2">
      <c r="A386" s="34" t="s">
        <v>804</v>
      </c>
      <c r="B386" s="35" t="s">
        <v>1236</v>
      </c>
      <c r="C386" s="43">
        <f>+Tabla130[[#This Row],[COSTO CON IVA]]/Tabla130[[#This Row],[UTILIDAD]]</f>
        <v>573720</v>
      </c>
      <c r="D386" s="43">
        <f>+Tabla130[[#This Row],[PRECIO INSTALLER (CON IVA)]]-Tabla130[[#This Row],[Columna4]]</f>
        <v>545034</v>
      </c>
      <c r="E386" s="43">
        <f>+Tabla130[[#This Row],[PRECIO INSTALLER (CON IVA)]]/0.7</f>
        <v>819600</v>
      </c>
      <c r="F386" s="41">
        <f>+Tabla130[[#This Row],[PRECIO INSTALLER (CON IVA)]]*5%</f>
        <v>28686</v>
      </c>
      <c r="G386" s="7">
        <v>0.85</v>
      </c>
      <c r="H386" s="38">
        <f>Tabla130[[#This Row],[COSTO]]*1.19</f>
        <v>487662</v>
      </c>
      <c r="I386" s="38"/>
      <c r="J386" s="38"/>
      <c r="K386" s="37">
        <v>409800</v>
      </c>
    </row>
    <row r="387" spans="1:11" ht="142.5" x14ac:dyDescent="0.2">
      <c r="A387" s="34" t="s">
        <v>805</v>
      </c>
      <c r="B387" s="35" t="s">
        <v>1237</v>
      </c>
      <c r="C387" s="43">
        <f>+Tabla130[[#This Row],[COSTO CON IVA]]/Tabla130[[#This Row],[UTILIDAD]]</f>
        <v>238560</v>
      </c>
      <c r="D387" s="43">
        <f>+Tabla130[[#This Row],[PRECIO INSTALLER (CON IVA)]]-Tabla130[[#This Row],[Columna4]]</f>
        <v>226632</v>
      </c>
      <c r="E387" s="43">
        <f>+Tabla130[[#This Row],[PRECIO INSTALLER (CON IVA)]]/0.7</f>
        <v>340800</v>
      </c>
      <c r="F387" s="41">
        <f>+Tabla130[[#This Row],[PRECIO INSTALLER (CON IVA)]]*5%</f>
        <v>11928</v>
      </c>
      <c r="G387" s="7">
        <v>0.85</v>
      </c>
      <c r="H387" s="38">
        <f>Tabla130[[#This Row],[COSTO]]*1.19</f>
        <v>202776</v>
      </c>
      <c r="I387" s="38"/>
      <c r="J387" s="38"/>
      <c r="K387" s="37">
        <v>170400</v>
      </c>
    </row>
    <row r="388" spans="1:11" ht="142.5" x14ac:dyDescent="0.2">
      <c r="A388" s="34" t="s">
        <v>69</v>
      </c>
      <c r="B388" s="35" t="s">
        <v>1238</v>
      </c>
      <c r="C388" s="43">
        <f>+Tabla130[[#This Row],[COSTO CON IVA]]/Tabla130[[#This Row],[UTILIDAD]]</f>
        <v>219380</v>
      </c>
      <c r="D388" s="43">
        <f>+Tabla130[[#This Row],[PRECIO INSTALLER (CON IVA)]]-Tabla130[[#This Row],[Columna4]]</f>
        <v>208411</v>
      </c>
      <c r="E388" s="43">
        <f>+Tabla130[[#This Row],[PRECIO INSTALLER (CON IVA)]]/0.7</f>
        <v>313400</v>
      </c>
      <c r="F388" s="41">
        <f>+Tabla130[[#This Row],[PRECIO INSTALLER (CON IVA)]]*5%</f>
        <v>10969</v>
      </c>
      <c r="G388" s="7">
        <v>0.85</v>
      </c>
      <c r="H388" s="38">
        <f>Tabla130[[#This Row],[COSTO]]*1.19</f>
        <v>186473</v>
      </c>
      <c r="I388" s="38"/>
      <c r="J388" s="38"/>
      <c r="K388" s="37">
        <v>156700</v>
      </c>
    </row>
    <row r="389" spans="1:11" ht="128.25" x14ac:dyDescent="0.2">
      <c r="A389" s="34" t="s">
        <v>806</v>
      </c>
      <c r="B389" s="35" t="s">
        <v>1239</v>
      </c>
      <c r="C389" s="43">
        <f>+Tabla130[[#This Row],[COSTO CON IVA]]/Tabla130[[#This Row],[UTILIDAD]]</f>
        <v>156100</v>
      </c>
      <c r="D389" s="43">
        <f>+Tabla130[[#This Row],[PRECIO INSTALLER (CON IVA)]]-Tabla130[[#This Row],[Columna4]]</f>
        <v>148295</v>
      </c>
      <c r="E389" s="43">
        <f>+Tabla130[[#This Row],[PRECIO INSTALLER (CON IVA)]]/0.7</f>
        <v>223000</v>
      </c>
      <c r="F389" s="41">
        <f>+Tabla130[[#This Row],[PRECIO INSTALLER (CON IVA)]]*5%</f>
        <v>7805</v>
      </c>
      <c r="G389" s="7">
        <v>0.85</v>
      </c>
      <c r="H389" s="38">
        <f>Tabla130[[#This Row],[COSTO]]*1.19</f>
        <v>132685</v>
      </c>
      <c r="I389" s="38"/>
      <c r="J389" s="38"/>
      <c r="K389" s="37">
        <v>111500</v>
      </c>
    </row>
    <row r="390" spans="1:11" ht="99.75" x14ac:dyDescent="0.2">
      <c r="A390" s="34" t="s">
        <v>807</v>
      </c>
      <c r="B390" s="35" t="s">
        <v>808</v>
      </c>
      <c r="C390" s="43">
        <f>+Tabla130[[#This Row],[COSTO CON IVA]]/Tabla130[[#This Row],[UTILIDAD]]</f>
        <v>195720</v>
      </c>
      <c r="D390" s="43">
        <f>+Tabla130[[#This Row],[PRECIO INSTALLER (CON IVA)]]-Tabla130[[#This Row],[Columna4]]</f>
        <v>185934</v>
      </c>
      <c r="E390" s="43">
        <f>+Tabla130[[#This Row],[PRECIO INSTALLER (CON IVA)]]/0.7</f>
        <v>279600</v>
      </c>
      <c r="F390" s="41">
        <f>+Tabla130[[#This Row],[PRECIO INSTALLER (CON IVA)]]*5%</f>
        <v>9786</v>
      </c>
      <c r="G390" s="7">
        <v>0.85</v>
      </c>
      <c r="H390" s="38">
        <f>Tabla130[[#This Row],[COSTO]]*1.19</f>
        <v>166362</v>
      </c>
      <c r="I390" s="38"/>
      <c r="J390" s="38"/>
      <c r="K390" s="37">
        <v>139800</v>
      </c>
    </row>
    <row r="391" spans="1:11" ht="99.75" x14ac:dyDescent="0.2">
      <c r="A391" s="34" t="s">
        <v>809</v>
      </c>
      <c r="B391" s="35" t="s">
        <v>810</v>
      </c>
      <c r="C391" s="43">
        <f>+Tabla130[[#This Row],[COSTO CON IVA]]/Tabla130[[#This Row],[UTILIDAD]]</f>
        <v>127820</v>
      </c>
      <c r="D391" s="43">
        <f>+Tabla130[[#This Row],[PRECIO INSTALLER (CON IVA)]]-Tabla130[[#This Row],[Columna4]]</f>
        <v>121429</v>
      </c>
      <c r="E391" s="43">
        <f>+Tabla130[[#This Row],[PRECIO INSTALLER (CON IVA)]]/0.7</f>
        <v>182600</v>
      </c>
      <c r="F391" s="41">
        <f>+Tabla130[[#This Row],[PRECIO INSTALLER (CON IVA)]]*5%</f>
        <v>6391</v>
      </c>
      <c r="G391" s="7">
        <v>0.85</v>
      </c>
      <c r="H391" s="38">
        <f>Tabla130[[#This Row],[COSTO]]*1.19</f>
        <v>108647</v>
      </c>
      <c r="I391" s="38"/>
      <c r="J391" s="38"/>
      <c r="K391" s="37">
        <v>91300</v>
      </c>
    </row>
    <row r="392" spans="1:11" ht="99.75" x14ac:dyDescent="0.2">
      <c r="A392" s="34" t="s">
        <v>811</v>
      </c>
      <c r="B392" s="35" t="s">
        <v>1240</v>
      </c>
      <c r="C392" s="43">
        <f>+Tabla130[[#This Row],[COSTO CON IVA]]/Tabla130[[#This Row],[UTILIDAD]]</f>
        <v>94080</v>
      </c>
      <c r="D392" s="43">
        <f>+Tabla130[[#This Row],[PRECIO INSTALLER (CON IVA)]]-Tabla130[[#This Row],[Columna4]]</f>
        <v>89376</v>
      </c>
      <c r="E392" s="43">
        <f>+Tabla130[[#This Row],[PRECIO INSTALLER (CON IVA)]]/0.7</f>
        <v>134400</v>
      </c>
      <c r="F392" s="41">
        <f>+Tabla130[[#This Row],[PRECIO INSTALLER (CON IVA)]]*5%</f>
        <v>4704</v>
      </c>
      <c r="G392" s="7">
        <v>0.85</v>
      </c>
      <c r="H392" s="38">
        <f>Tabla130[[#This Row],[COSTO]]*1.19</f>
        <v>79968</v>
      </c>
      <c r="I392" s="38"/>
      <c r="J392" s="38"/>
      <c r="K392" s="37">
        <v>67200</v>
      </c>
    </row>
    <row r="393" spans="1:11" ht="99.75" x14ac:dyDescent="0.2">
      <c r="A393" s="34" t="s">
        <v>812</v>
      </c>
      <c r="B393" s="35" t="s">
        <v>813</v>
      </c>
      <c r="C393" s="43">
        <f>+Tabla130[[#This Row],[COSTO CON IVA]]/Tabla130[[#This Row],[UTILIDAD]]</f>
        <v>94080</v>
      </c>
      <c r="D393" s="43">
        <f>+Tabla130[[#This Row],[PRECIO INSTALLER (CON IVA)]]-Tabla130[[#This Row],[Columna4]]</f>
        <v>89376</v>
      </c>
      <c r="E393" s="43">
        <f>+Tabla130[[#This Row],[PRECIO INSTALLER (CON IVA)]]/0.7</f>
        <v>134400</v>
      </c>
      <c r="F393" s="41">
        <f>+Tabla130[[#This Row],[PRECIO INSTALLER (CON IVA)]]*5%</f>
        <v>4704</v>
      </c>
      <c r="G393" s="7">
        <v>0.85</v>
      </c>
      <c r="H393" s="38">
        <f>Tabla130[[#This Row],[COSTO]]*1.19</f>
        <v>79968</v>
      </c>
      <c r="I393" s="38"/>
      <c r="J393" s="38"/>
      <c r="K393" s="37">
        <v>67200</v>
      </c>
    </row>
    <row r="394" spans="1:11" ht="99.75" x14ac:dyDescent="0.2">
      <c r="A394" s="34" t="s">
        <v>814</v>
      </c>
      <c r="B394" s="35" t="s">
        <v>815</v>
      </c>
      <c r="C394" s="43">
        <f>+Tabla130[[#This Row],[COSTO CON IVA]]/Tabla130[[#This Row],[UTILIDAD]]</f>
        <v>56560</v>
      </c>
      <c r="D394" s="43">
        <f>+Tabla130[[#This Row],[PRECIO INSTALLER (CON IVA)]]-Tabla130[[#This Row],[Columna4]]</f>
        <v>53732</v>
      </c>
      <c r="E394" s="43">
        <f>+Tabla130[[#This Row],[PRECIO INSTALLER (CON IVA)]]/0.7</f>
        <v>80800</v>
      </c>
      <c r="F394" s="41">
        <f>+Tabla130[[#This Row],[PRECIO INSTALLER (CON IVA)]]*5%</f>
        <v>2828</v>
      </c>
      <c r="G394" s="7">
        <v>0.85</v>
      </c>
      <c r="H394" s="38">
        <f>Tabla130[[#This Row],[COSTO]]*1.19</f>
        <v>48076</v>
      </c>
      <c r="I394" s="38"/>
      <c r="J394" s="38"/>
      <c r="K394" s="37">
        <v>40400</v>
      </c>
    </row>
    <row r="395" spans="1:11" ht="128.25" x14ac:dyDescent="0.2">
      <c r="A395" s="34" t="s">
        <v>816</v>
      </c>
      <c r="B395" s="35" t="s">
        <v>817</v>
      </c>
      <c r="C395" s="43">
        <f>+Tabla130[[#This Row],[COSTO CON IVA]]/Tabla130[[#This Row],[UTILIDAD]]</f>
        <v>247100</v>
      </c>
      <c r="D395" s="43">
        <f>+Tabla130[[#This Row],[PRECIO INSTALLER (CON IVA)]]-Tabla130[[#This Row],[Columna4]]</f>
        <v>234745</v>
      </c>
      <c r="E395" s="43">
        <f>+Tabla130[[#This Row],[PRECIO INSTALLER (CON IVA)]]/0.7</f>
        <v>353000</v>
      </c>
      <c r="F395" s="41">
        <f>+Tabla130[[#This Row],[PRECIO INSTALLER (CON IVA)]]*5%</f>
        <v>12355</v>
      </c>
      <c r="G395" s="7">
        <v>0.85</v>
      </c>
      <c r="H395" s="38">
        <f>Tabla130[[#This Row],[COSTO]]*1.19</f>
        <v>210035</v>
      </c>
      <c r="I395" s="38"/>
      <c r="J395" s="38"/>
      <c r="K395" s="37">
        <v>176500</v>
      </c>
    </row>
    <row r="396" spans="1:11" ht="114" x14ac:dyDescent="0.2">
      <c r="A396" s="34" t="s">
        <v>818</v>
      </c>
      <c r="B396" s="35" t="s">
        <v>1241</v>
      </c>
      <c r="C396" s="43">
        <f>+Tabla130[[#This Row],[COSTO CON IVA]]/Tabla130[[#This Row],[UTILIDAD]]</f>
        <v>216860</v>
      </c>
      <c r="D396" s="43">
        <f>+Tabla130[[#This Row],[PRECIO INSTALLER (CON IVA)]]-Tabla130[[#This Row],[Columna4]]</f>
        <v>206017</v>
      </c>
      <c r="E396" s="43">
        <f>+Tabla130[[#This Row],[PRECIO INSTALLER (CON IVA)]]/0.7</f>
        <v>309800</v>
      </c>
      <c r="F396" s="41">
        <f>+Tabla130[[#This Row],[PRECIO INSTALLER (CON IVA)]]*5%</f>
        <v>10843</v>
      </c>
      <c r="G396" s="7">
        <v>0.85</v>
      </c>
      <c r="H396" s="38">
        <f>Tabla130[[#This Row],[COSTO]]*1.19</f>
        <v>184331</v>
      </c>
      <c r="I396" s="38"/>
      <c r="J396" s="38"/>
      <c r="K396" s="37">
        <v>154900</v>
      </c>
    </row>
    <row r="397" spans="1:11" ht="128.25" x14ac:dyDescent="0.2">
      <c r="A397" s="34" t="s">
        <v>819</v>
      </c>
      <c r="B397" s="35" t="s">
        <v>1242</v>
      </c>
      <c r="C397" s="43">
        <f>+Tabla130[[#This Row],[COSTO CON IVA]]/Tabla130[[#This Row],[UTILIDAD]]</f>
        <v>235060</v>
      </c>
      <c r="D397" s="43">
        <f>+Tabla130[[#This Row],[PRECIO INSTALLER (CON IVA)]]-Tabla130[[#This Row],[Columna4]]</f>
        <v>223307</v>
      </c>
      <c r="E397" s="43">
        <f>+Tabla130[[#This Row],[PRECIO INSTALLER (CON IVA)]]/0.7</f>
        <v>335800</v>
      </c>
      <c r="F397" s="41">
        <f>+Tabla130[[#This Row],[PRECIO INSTALLER (CON IVA)]]*5%</f>
        <v>11753</v>
      </c>
      <c r="G397" s="7">
        <v>0.85</v>
      </c>
      <c r="H397" s="38">
        <f>Tabla130[[#This Row],[COSTO]]*1.19</f>
        <v>199801</v>
      </c>
      <c r="I397" s="38"/>
      <c r="J397" s="38"/>
      <c r="K397" s="37">
        <v>167900</v>
      </c>
    </row>
    <row r="398" spans="1:11" ht="128.25" x14ac:dyDescent="0.2">
      <c r="A398" s="34" t="s">
        <v>820</v>
      </c>
      <c r="B398" s="35" t="s">
        <v>1243</v>
      </c>
      <c r="C398" s="43">
        <f>+Tabla130[[#This Row],[COSTO CON IVA]]/Tabla130[[#This Row],[UTILIDAD]]</f>
        <v>201460</v>
      </c>
      <c r="D398" s="43">
        <f>+Tabla130[[#This Row],[PRECIO INSTALLER (CON IVA)]]-Tabla130[[#This Row],[Columna4]]</f>
        <v>191387</v>
      </c>
      <c r="E398" s="43">
        <f>+Tabla130[[#This Row],[PRECIO INSTALLER (CON IVA)]]/0.7</f>
        <v>287800</v>
      </c>
      <c r="F398" s="41">
        <f>+Tabla130[[#This Row],[PRECIO INSTALLER (CON IVA)]]*5%</f>
        <v>10073</v>
      </c>
      <c r="G398" s="7">
        <v>0.85</v>
      </c>
      <c r="H398" s="38">
        <f>Tabla130[[#This Row],[COSTO]]*1.19</f>
        <v>171241</v>
      </c>
      <c r="I398" s="38"/>
      <c r="J398" s="38"/>
      <c r="K398" s="37">
        <v>143900</v>
      </c>
    </row>
    <row r="399" spans="1:11" ht="85.5" x14ac:dyDescent="0.2">
      <c r="A399" s="34" t="s">
        <v>821</v>
      </c>
      <c r="B399" s="35" t="s">
        <v>866</v>
      </c>
      <c r="C399" s="43">
        <f>+Tabla130[[#This Row],[COSTO CON IVA]]/Tabla130[[#This Row],[UTILIDAD]]</f>
        <v>159880</v>
      </c>
      <c r="D399" s="43">
        <f>+Tabla130[[#This Row],[PRECIO INSTALLER (CON IVA)]]-Tabla130[[#This Row],[Columna4]]</f>
        <v>151886</v>
      </c>
      <c r="E399" s="43">
        <f>+Tabla130[[#This Row],[PRECIO INSTALLER (CON IVA)]]/0.7</f>
        <v>228400</v>
      </c>
      <c r="F399" s="41">
        <f>+Tabla130[[#This Row],[PRECIO INSTALLER (CON IVA)]]*5%</f>
        <v>7994</v>
      </c>
      <c r="G399" s="7">
        <v>0.85</v>
      </c>
      <c r="H399" s="38">
        <f>Tabla130[[#This Row],[COSTO]]*1.19</f>
        <v>135898</v>
      </c>
      <c r="I399" s="38"/>
      <c r="J399" s="38"/>
      <c r="K399" s="37">
        <v>114200</v>
      </c>
    </row>
    <row r="400" spans="1:11" ht="85.5" x14ac:dyDescent="0.2">
      <c r="A400" s="34" t="s">
        <v>822</v>
      </c>
      <c r="B400" s="35" t="s">
        <v>823</v>
      </c>
      <c r="C400" s="43">
        <f>+Tabla130[[#This Row],[COSTO CON IVA]]/Tabla130[[#This Row],[UTILIDAD]]</f>
        <v>135240</v>
      </c>
      <c r="D400" s="43">
        <f>+Tabla130[[#This Row],[PRECIO INSTALLER (CON IVA)]]-Tabla130[[#This Row],[Columna4]]</f>
        <v>128478</v>
      </c>
      <c r="E400" s="43">
        <f>+Tabla130[[#This Row],[PRECIO INSTALLER (CON IVA)]]/0.7</f>
        <v>193200</v>
      </c>
      <c r="F400" s="41">
        <f>+Tabla130[[#This Row],[PRECIO INSTALLER (CON IVA)]]*5%</f>
        <v>6762</v>
      </c>
      <c r="G400" s="7">
        <v>0.85</v>
      </c>
      <c r="H400" s="38">
        <f>Tabla130[[#This Row],[COSTO]]*1.19</f>
        <v>114954</v>
      </c>
      <c r="I400" s="38"/>
      <c r="J400" s="38"/>
      <c r="K400" s="37">
        <v>96600</v>
      </c>
    </row>
    <row r="401" spans="1:11" ht="85.5" x14ac:dyDescent="0.2">
      <c r="A401" s="34" t="s">
        <v>824</v>
      </c>
      <c r="B401" s="35" t="s">
        <v>825</v>
      </c>
      <c r="C401" s="43">
        <f>+Tabla130[[#This Row],[COSTO CON IVA]]/Tabla130[[#This Row],[UTILIDAD]]</f>
        <v>104860</v>
      </c>
      <c r="D401" s="43">
        <f>+Tabla130[[#This Row],[PRECIO INSTALLER (CON IVA)]]-Tabla130[[#This Row],[Columna4]]</f>
        <v>99617</v>
      </c>
      <c r="E401" s="43">
        <f>+Tabla130[[#This Row],[PRECIO INSTALLER (CON IVA)]]/0.7</f>
        <v>149800</v>
      </c>
      <c r="F401" s="41">
        <f>+Tabla130[[#This Row],[PRECIO INSTALLER (CON IVA)]]*5%</f>
        <v>5243</v>
      </c>
      <c r="G401" s="7">
        <v>0.85</v>
      </c>
      <c r="H401" s="38">
        <f>Tabla130[[#This Row],[COSTO]]*1.19</f>
        <v>89131</v>
      </c>
      <c r="I401" s="38"/>
      <c r="J401" s="38"/>
      <c r="K401" s="37">
        <v>74900</v>
      </c>
    </row>
    <row r="402" spans="1:11" ht="71.25" x14ac:dyDescent="0.2">
      <c r="A402" s="34" t="s">
        <v>826</v>
      </c>
      <c r="B402" s="35" t="s">
        <v>827</v>
      </c>
      <c r="C402" s="43">
        <f>+Tabla130[[#This Row],[COSTO CON IVA]]/Tabla130[[#This Row],[UTILIDAD]]</f>
        <v>135660</v>
      </c>
      <c r="D402" s="43">
        <f>+Tabla130[[#This Row],[PRECIO INSTALLER (CON IVA)]]-Tabla130[[#This Row],[Columna4]]</f>
        <v>128877</v>
      </c>
      <c r="E402" s="43">
        <f>+Tabla130[[#This Row],[PRECIO INSTALLER (CON IVA)]]/0.7</f>
        <v>193800</v>
      </c>
      <c r="F402" s="41">
        <f>+Tabla130[[#This Row],[PRECIO INSTALLER (CON IVA)]]*5%</f>
        <v>6783</v>
      </c>
      <c r="G402" s="7">
        <v>0.85</v>
      </c>
      <c r="H402" s="38">
        <f>Tabla130[[#This Row],[COSTO]]*1.19</f>
        <v>115311</v>
      </c>
      <c r="I402" s="38"/>
      <c r="J402" s="38"/>
      <c r="K402" s="37">
        <v>96900</v>
      </c>
    </row>
    <row r="403" spans="1:11" ht="85.5" x14ac:dyDescent="0.2">
      <c r="A403" s="34" t="s">
        <v>828</v>
      </c>
      <c r="B403" s="35" t="s">
        <v>829</v>
      </c>
      <c r="C403" s="43">
        <f>+Tabla130[[#This Row],[COSTO CON IVA]]/Tabla130[[#This Row],[UTILIDAD]]</f>
        <v>158060</v>
      </c>
      <c r="D403" s="43">
        <f>+Tabla130[[#This Row],[PRECIO INSTALLER (CON IVA)]]-Tabla130[[#This Row],[Columna4]]</f>
        <v>150157</v>
      </c>
      <c r="E403" s="43">
        <f>+Tabla130[[#This Row],[PRECIO INSTALLER (CON IVA)]]/0.7</f>
        <v>225800</v>
      </c>
      <c r="F403" s="41">
        <f>+Tabla130[[#This Row],[PRECIO INSTALLER (CON IVA)]]*5%</f>
        <v>7903</v>
      </c>
      <c r="G403" s="7">
        <v>0.85</v>
      </c>
      <c r="H403" s="38">
        <f>Tabla130[[#This Row],[COSTO]]*1.19</f>
        <v>134351</v>
      </c>
      <c r="I403" s="38"/>
      <c r="J403" s="38"/>
      <c r="K403" s="37">
        <v>112900</v>
      </c>
    </row>
    <row r="404" spans="1:11" ht="57" x14ac:dyDescent="0.2">
      <c r="A404" s="34" t="s">
        <v>830</v>
      </c>
      <c r="B404" s="35" t="s">
        <v>831</v>
      </c>
      <c r="C404" s="43">
        <f>+Tabla130[[#This Row],[COSTO CON IVA]]/Tabla130[[#This Row],[UTILIDAD]]</f>
        <v>123480</v>
      </c>
      <c r="D404" s="43">
        <f>+Tabla130[[#This Row],[PRECIO INSTALLER (CON IVA)]]-Tabla130[[#This Row],[Columna4]]</f>
        <v>117306</v>
      </c>
      <c r="E404" s="43">
        <f>+Tabla130[[#This Row],[PRECIO INSTALLER (CON IVA)]]/0.7</f>
        <v>176400</v>
      </c>
      <c r="F404" s="41">
        <f>+Tabla130[[#This Row],[PRECIO INSTALLER (CON IVA)]]*5%</f>
        <v>6174</v>
      </c>
      <c r="G404" s="7">
        <v>0.85</v>
      </c>
      <c r="H404" s="38">
        <f>Tabla130[[#This Row],[COSTO]]*1.19</f>
        <v>104958</v>
      </c>
      <c r="I404" s="38"/>
      <c r="J404" s="38"/>
      <c r="K404" s="37">
        <v>88200</v>
      </c>
    </row>
    <row r="405" spans="1:11" ht="114" x14ac:dyDescent="0.2">
      <c r="A405" s="34" t="s">
        <v>832</v>
      </c>
      <c r="B405" s="35" t="s">
        <v>870</v>
      </c>
      <c r="C405" s="43">
        <f>+Tabla130[[#This Row],[COSTO CON IVA]]/Tabla130[[#This Row],[UTILIDAD]]</f>
        <v>59360</v>
      </c>
      <c r="D405" s="43">
        <f>+Tabla130[[#This Row],[PRECIO INSTALLER (CON IVA)]]-Tabla130[[#This Row],[Columna4]]</f>
        <v>56392</v>
      </c>
      <c r="E405" s="43">
        <f>+Tabla130[[#This Row],[PRECIO INSTALLER (CON IVA)]]/0.7</f>
        <v>84800</v>
      </c>
      <c r="F405" s="41">
        <f>+Tabla130[[#This Row],[PRECIO INSTALLER (CON IVA)]]*5%</f>
        <v>2968</v>
      </c>
      <c r="G405" s="7">
        <v>0.85</v>
      </c>
      <c r="H405" s="38">
        <f>Tabla130[[#This Row],[COSTO]]*1.19</f>
        <v>50456</v>
      </c>
      <c r="I405" s="38"/>
      <c r="J405" s="38"/>
      <c r="K405" s="37">
        <v>42400</v>
      </c>
    </row>
    <row r="406" spans="1:11" ht="114" x14ac:dyDescent="0.2">
      <c r="A406" s="34" t="s">
        <v>833</v>
      </c>
      <c r="B406" s="35" t="s">
        <v>870</v>
      </c>
      <c r="C406" s="43">
        <f>+Tabla130[[#This Row],[COSTO CON IVA]]/Tabla130[[#This Row],[UTILIDAD]]</f>
        <v>59360</v>
      </c>
      <c r="D406" s="43">
        <f>+Tabla130[[#This Row],[PRECIO INSTALLER (CON IVA)]]-Tabla130[[#This Row],[Columna4]]</f>
        <v>56392</v>
      </c>
      <c r="E406" s="43">
        <f>+Tabla130[[#This Row],[PRECIO INSTALLER (CON IVA)]]/0.7</f>
        <v>84800</v>
      </c>
      <c r="F406" s="41">
        <f>+Tabla130[[#This Row],[PRECIO INSTALLER (CON IVA)]]*5%</f>
        <v>2968</v>
      </c>
      <c r="G406" s="7">
        <v>0.85</v>
      </c>
      <c r="H406" s="38">
        <f>Tabla130[[#This Row],[COSTO]]*1.19</f>
        <v>50456</v>
      </c>
      <c r="I406" s="38"/>
      <c r="J406" s="38"/>
      <c r="K406" s="37">
        <v>42400</v>
      </c>
    </row>
    <row r="407" spans="1:11" ht="114" x14ac:dyDescent="0.2">
      <c r="A407" s="34" t="s">
        <v>834</v>
      </c>
      <c r="B407" s="35" t="s">
        <v>870</v>
      </c>
      <c r="C407" s="43">
        <f>+Tabla130[[#This Row],[COSTO CON IVA]]/Tabla130[[#This Row],[UTILIDAD]]</f>
        <v>59360</v>
      </c>
      <c r="D407" s="43">
        <f>+Tabla130[[#This Row],[PRECIO INSTALLER (CON IVA)]]-Tabla130[[#This Row],[Columna4]]</f>
        <v>56392</v>
      </c>
      <c r="E407" s="43">
        <f>+Tabla130[[#This Row],[PRECIO INSTALLER (CON IVA)]]/0.7</f>
        <v>84800</v>
      </c>
      <c r="F407" s="41">
        <f>+Tabla130[[#This Row],[PRECIO INSTALLER (CON IVA)]]*5%</f>
        <v>2968</v>
      </c>
      <c r="G407" s="7">
        <v>0.85</v>
      </c>
      <c r="H407" s="38">
        <f>Tabla130[[#This Row],[COSTO]]*1.19</f>
        <v>50456</v>
      </c>
      <c r="I407" s="38"/>
      <c r="J407" s="38"/>
      <c r="K407" s="37">
        <v>42400</v>
      </c>
    </row>
    <row r="408" spans="1:11" ht="128.25" x14ac:dyDescent="0.2">
      <c r="A408" s="34" t="s">
        <v>835</v>
      </c>
      <c r="B408" s="35" t="s">
        <v>836</v>
      </c>
      <c r="C408" s="43">
        <f>+Tabla130[[#This Row],[COSTO CON IVA]]/Tabla130[[#This Row],[UTILIDAD]]</f>
        <v>12109160</v>
      </c>
      <c r="D408" s="43">
        <f>+Tabla130[[#This Row],[PRECIO INSTALLER (CON IVA)]]-Tabla130[[#This Row],[Columna4]]</f>
        <v>11503702</v>
      </c>
      <c r="E408" s="43">
        <f>+Tabla130[[#This Row],[PRECIO INSTALLER (CON IVA)]]/0.7</f>
        <v>17298800</v>
      </c>
      <c r="F408" s="41">
        <f>+Tabla130[[#This Row],[PRECIO INSTALLER (CON IVA)]]*5%</f>
        <v>605458</v>
      </c>
      <c r="G408" s="7">
        <v>0.85</v>
      </c>
      <c r="H408" s="38">
        <f>Tabla130[[#This Row],[COSTO]]*1.19</f>
        <v>10292786</v>
      </c>
      <c r="I408" s="38"/>
      <c r="J408" s="38"/>
      <c r="K408" s="37">
        <v>8649400</v>
      </c>
    </row>
    <row r="409" spans="1:11" ht="57" x14ac:dyDescent="0.2">
      <c r="A409" s="34" t="s">
        <v>837</v>
      </c>
      <c r="B409" s="35" t="s">
        <v>838</v>
      </c>
      <c r="C409" s="43">
        <f>+Tabla130[[#This Row],[COSTO CON IVA]]/Tabla130[[#This Row],[UTILIDAD]]</f>
        <v>12109160</v>
      </c>
      <c r="D409" s="43">
        <f>+Tabla130[[#This Row],[PRECIO INSTALLER (CON IVA)]]-Tabla130[[#This Row],[Columna4]]</f>
        <v>11503702</v>
      </c>
      <c r="E409" s="43">
        <f>+Tabla130[[#This Row],[PRECIO INSTALLER (CON IVA)]]/0.7</f>
        <v>17298800</v>
      </c>
      <c r="F409" s="41">
        <f>+Tabla130[[#This Row],[PRECIO INSTALLER (CON IVA)]]*5%</f>
        <v>605458</v>
      </c>
      <c r="G409" s="7">
        <v>0.85</v>
      </c>
      <c r="H409" s="38">
        <f>Tabla130[[#This Row],[COSTO]]*1.19</f>
        <v>10292786</v>
      </c>
      <c r="I409" s="38"/>
      <c r="J409" s="38"/>
      <c r="K409" s="37">
        <v>8649400</v>
      </c>
    </row>
    <row r="410" spans="1:11" ht="57" x14ac:dyDescent="0.2">
      <c r="A410" s="34" t="s">
        <v>839</v>
      </c>
      <c r="B410" s="35" t="s">
        <v>840</v>
      </c>
      <c r="C410" s="43">
        <f>+Tabla130[[#This Row],[COSTO CON IVA]]/Tabla130[[#This Row],[UTILIDAD]]</f>
        <v>6509160</v>
      </c>
      <c r="D410" s="43">
        <f>+Tabla130[[#This Row],[PRECIO INSTALLER (CON IVA)]]-Tabla130[[#This Row],[Columna4]]</f>
        <v>6183702</v>
      </c>
      <c r="E410" s="43">
        <f>+Tabla130[[#This Row],[PRECIO INSTALLER (CON IVA)]]/0.7</f>
        <v>9298800</v>
      </c>
      <c r="F410" s="41">
        <f>+Tabla130[[#This Row],[PRECIO INSTALLER (CON IVA)]]*5%</f>
        <v>325458</v>
      </c>
      <c r="G410" s="7">
        <v>0.85</v>
      </c>
      <c r="H410" s="38">
        <f>Tabla130[[#This Row],[COSTO]]*1.19</f>
        <v>5532786</v>
      </c>
      <c r="I410" s="38"/>
      <c r="J410" s="38"/>
      <c r="K410" s="37">
        <v>4649400</v>
      </c>
    </row>
    <row r="411" spans="1:11" ht="99.75" x14ac:dyDescent="0.2">
      <c r="A411" s="34" t="s">
        <v>841</v>
      </c>
      <c r="B411" s="35" t="s">
        <v>842</v>
      </c>
      <c r="C411" s="43">
        <f>+Tabla130[[#This Row],[COSTO CON IVA]]/Tabla130[[#This Row],[UTILIDAD]]</f>
        <v>24980900</v>
      </c>
      <c r="D411" s="43">
        <f>+Tabla130[[#This Row],[PRECIO INSTALLER (CON IVA)]]-Tabla130[[#This Row],[Columna4]]</f>
        <v>23731855</v>
      </c>
      <c r="E411" s="43">
        <f>+Tabla130[[#This Row],[PRECIO INSTALLER (CON IVA)]]/0.7</f>
        <v>35687000</v>
      </c>
      <c r="F411" s="41">
        <f>+Tabla130[[#This Row],[PRECIO INSTALLER (CON IVA)]]*5%</f>
        <v>1249045</v>
      </c>
      <c r="G411" s="7">
        <v>0.85</v>
      </c>
      <c r="H411" s="38">
        <f>Tabla130[[#This Row],[COSTO]]*1.19</f>
        <v>21233765</v>
      </c>
      <c r="I411" s="38"/>
      <c r="J411" s="38"/>
      <c r="K411" s="37">
        <v>17843500</v>
      </c>
    </row>
    <row r="412" spans="1:11" ht="57" x14ac:dyDescent="0.2">
      <c r="A412" s="34" t="s">
        <v>843</v>
      </c>
      <c r="B412" s="35" t="s">
        <v>844</v>
      </c>
      <c r="C412" s="43">
        <f>+Tabla130[[#This Row],[COSTO CON IVA]]/Tabla130[[#This Row],[UTILIDAD]]</f>
        <v>329420</v>
      </c>
      <c r="D412" s="43">
        <f>+Tabla130[[#This Row],[PRECIO INSTALLER (CON IVA)]]-Tabla130[[#This Row],[Columna4]]</f>
        <v>312949</v>
      </c>
      <c r="E412" s="43">
        <f>+Tabla130[[#This Row],[PRECIO INSTALLER (CON IVA)]]/0.7</f>
        <v>470600.00000000006</v>
      </c>
      <c r="F412" s="41">
        <f>+Tabla130[[#This Row],[PRECIO INSTALLER (CON IVA)]]*5%</f>
        <v>16471</v>
      </c>
      <c r="G412" s="7">
        <v>0.85</v>
      </c>
      <c r="H412" s="38">
        <f>Tabla130[[#This Row],[COSTO]]*1.19</f>
        <v>280007</v>
      </c>
      <c r="I412" s="38"/>
      <c r="J412" s="38"/>
      <c r="K412" s="37">
        <v>235300</v>
      </c>
    </row>
    <row r="413" spans="1:11" ht="85.5" x14ac:dyDescent="0.2">
      <c r="A413" s="34" t="s">
        <v>845</v>
      </c>
      <c r="B413" s="35" t="s">
        <v>846</v>
      </c>
      <c r="C413" s="43">
        <f>+Tabla130[[#This Row],[COSTO CON IVA]]/Tabla130[[#This Row],[UTILIDAD]]</f>
        <v>11809420</v>
      </c>
      <c r="D413" s="43">
        <f>+Tabla130[[#This Row],[PRECIO INSTALLER (CON IVA)]]-Tabla130[[#This Row],[Columna4]]</f>
        <v>11218949</v>
      </c>
      <c r="E413" s="43">
        <f>+Tabla130[[#This Row],[PRECIO INSTALLER (CON IVA)]]/0.7</f>
        <v>16870600</v>
      </c>
      <c r="F413" s="41">
        <f>+Tabla130[[#This Row],[PRECIO INSTALLER (CON IVA)]]*5%</f>
        <v>590471</v>
      </c>
      <c r="G413" s="7">
        <v>0.85</v>
      </c>
      <c r="H413" s="38">
        <f>Tabla130[[#This Row],[COSTO]]*1.19</f>
        <v>10038007</v>
      </c>
      <c r="I413" s="38"/>
      <c r="J413" s="38"/>
      <c r="K413" s="37">
        <v>8435300</v>
      </c>
    </row>
    <row r="414" spans="1:11" ht="99.75" x14ac:dyDescent="0.2">
      <c r="A414" s="34" t="s">
        <v>847</v>
      </c>
      <c r="B414" s="35" t="s">
        <v>848</v>
      </c>
      <c r="C414" s="43">
        <f>+Tabla130[[#This Row],[COSTO CON IVA]]/Tabla130[[#This Row],[UTILIDAD]]</f>
        <v>5359480</v>
      </c>
      <c r="D414" s="43">
        <f>+Tabla130[[#This Row],[PRECIO INSTALLER (CON IVA)]]-Tabla130[[#This Row],[Columna4]]</f>
        <v>5091506</v>
      </c>
      <c r="E414" s="43">
        <f>+Tabla130[[#This Row],[PRECIO INSTALLER (CON IVA)]]/0.7</f>
        <v>7656400.0000000009</v>
      </c>
      <c r="F414" s="41">
        <f>+Tabla130[[#This Row],[PRECIO INSTALLER (CON IVA)]]*5%</f>
        <v>267974</v>
      </c>
      <c r="G414" s="7">
        <v>0.85</v>
      </c>
      <c r="H414" s="38">
        <f>Tabla130[[#This Row],[COSTO]]*1.19</f>
        <v>4555558</v>
      </c>
      <c r="I414" s="38"/>
      <c r="J414" s="38"/>
      <c r="K414" s="37">
        <v>3828200</v>
      </c>
    </row>
    <row r="415" spans="1:11" ht="99.75" x14ac:dyDescent="0.2">
      <c r="A415" s="34" t="s">
        <v>849</v>
      </c>
      <c r="B415" s="35" t="s">
        <v>850</v>
      </c>
      <c r="C415" s="43">
        <f>+Tabla130[[#This Row],[COSTO CON IVA]]/Tabla130[[#This Row],[UTILIDAD]]</f>
        <v>12468260</v>
      </c>
      <c r="D415" s="43">
        <f>+Tabla130[[#This Row],[PRECIO INSTALLER (CON IVA)]]-Tabla130[[#This Row],[Columna4]]</f>
        <v>11844847</v>
      </c>
      <c r="E415" s="43">
        <f>+Tabla130[[#This Row],[PRECIO INSTALLER (CON IVA)]]/0.7</f>
        <v>17811800</v>
      </c>
      <c r="F415" s="41">
        <f>+Tabla130[[#This Row],[PRECIO INSTALLER (CON IVA)]]*5%</f>
        <v>623413</v>
      </c>
      <c r="G415" s="7">
        <v>0.85</v>
      </c>
      <c r="H415" s="38">
        <f>Tabla130[[#This Row],[COSTO]]*1.19</f>
        <v>10598021</v>
      </c>
      <c r="I415" s="38"/>
      <c r="J415" s="38"/>
      <c r="K415" s="37">
        <v>8905900</v>
      </c>
    </row>
    <row r="416" spans="1:11" ht="114" x14ac:dyDescent="0.2">
      <c r="A416" s="34" t="s">
        <v>851</v>
      </c>
      <c r="B416" s="35" t="s">
        <v>852</v>
      </c>
      <c r="C416" s="43">
        <f>+Tabla130[[#This Row],[COSTO CON IVA]]/Tabla130[[#This Row],[UTILIDAD]]</f>
        <v>6018320</v>
      </c>
      <c r="D416" s="43">
        <f>+Tabla130[[#This Row],[PRECIO INSTALLER (CON IVA)]]-Tabla130[[#This Row],[Columna4]]</f>
        <v>5717404</v>
      </c>
      <c r="E416" s="43">
        <f>+Tabla130[[#This Row],[PRECIO INSTALLER (CON IVA)]]/0.7</f>
        <v>8597600</v>
      </c>
      <c r="F416" s="41">
        <f>+Tabla130[[#This Row],[PRECIO INSTALLER (CON IVA)]]*5%</f>
        <v>300916</v>
      </c>
      <c r="G416" s="7">
        <v>0.85</v>
      </c>
      <c r="H416" s="38">
        <f>Tabla130[[#This Row],[COSTO]]*1.19</f>
        <v>5115572</v>
      </c>
      <c r="I416" s="38"/>
      <c r="J416" s="38"/>
      <c r="K416" s="37">
        <v>4298800</v>
      </c>
    </row>
    <row r="417" spans="1:11" ht="114" x14ac:dyDescent="0.2">
      <c r="A417" s="34" t="s">
        <v>853</v>
      </c>
      <c r="B417" s="35" t="s">
        <v>854</v>
      </c>
      <c r="C417" s="43">
        <f>+Tabla130[[#This Row],[COSTO CON IVA]]/Tabla130[[#This Row],[UTILIDAD]]</f>
        <v>4058320</v>
      </c>
      <c r="D417" s="43">
        <f>+Tabla130[[#This Row],[PRECIO INSTALLER (CON IVA)]]-Tabla130[[#This Row],[Columna4]]</f>
        <v>3855404</v>
      </c>
      <c r="E417" s="43">
        <f>+Tabla130[[#This Row],[PRECIO INSTALLER (CON IVA)]]/0.7</f>
        <v>5797600</v>
      </c>
      <c r="F417" s="41">
        <f>+Tabla130[[#This Row],[PRECIO INSTALLER (CON IVA)]]*5%</f>
        <v>202916</v>
      </c>
      <c r="G417" s="7">
        <v>0.85</v>
      </c>
      <c r="H417" s="38">
        <f>Tabla130[[#This Row],[COSTO]]*1.19</f>
        <v>3449572</v>
      </c>
      <c r="I417" s="38"/>
      <c r="J417" s="38"/>
      <c r="K417" s="37">
        <v>2898800</v>
      </c>
    </row>
    <row r="418" spans="1:11" ht="85.5" x14ac:dyDescent="0.2">
      <c r="A418" s="34" t="s">
        <v>855</v>
      </c>
      <c r="B418" s="35" t="s">
        <v>856</v>
      </c>
      <c r="C418" s="43">
        <f>+Tabla130[[#This Row],[COSTO CON IVA]]/Tabla130[[#This Row],[UTILIDAD]]</f>
        <v>1171100</v>
      </c>
      <c r="D418" s="43">
        <f>+Tabla130[[#This Row],[PRECIO INSTALLER (CON IVA)]]-Tabla130[[#This Row],[Columna4]]</f>
        <v>1112545</v>
      </c>
      <c r="E418" s="43">
        <f>+Tabla130[[#This Row],[PRECIO INSTALLER (CON IVA)]]/0.7</f>
        <v>1673000</v>
      </c>
      <c r="F418" s="41">
        <f>+Tabla130[[#This Row],[PRECIO INSTALLER (CON IVA)]]*5%</f>
        <v>58555</v>
      </c>
      <c r="G418" s="7">
        <v>0.85</v>
      </c>
      <c r="H418" s="38">
        <f>Tabla130[[#This Row],[COSTO]]*1.19</f>
        <v>995435</v>
      </c>
      <c r="I418" s="38"/>
      <c r="J418" s="38"/>
      <c r="K418" s="37">
        <v>836500</v>
      </c>
    </row>
    <row r="419" spans="1:11" x14ac:dyDescent="0.2">
      <c r="A419" s="34" t="s">
        <v>857</v>
      </c>
      <c r="B419" s="35" t="s">
        <v>858</v>
      </c>
      <c r="C419" s="43">
        <f>+Tabla130[[#This Row],[COSTO CON IVA]]/Tabla130[[#This Row],[UTILIDAD]]</f>
        <v>130060</v>
      </c>
      <c r="D419" s="43">
        <f>+Tabla130[[#This Row],[PRECIO INSTALLER (CON IVA)]]-Tabla130[[#This Row],[Columna4]]</f>
        <v>123557</v>
      </c>
      <c r="E419" s="43">
        <f>+Tabla130[[#This Row],[PRECIO INSTALLER (CON IVA)]]/0.7</f>
        <v>185800</v>
      </c>
      <c r="F419" s="41">
        <f>+Tabla130[[#This Row],[PRECIO INSTALLER (CON IVA)]]*5%</f>
        <v>6503</v>
      </c>
      <c r="G419" s="7">
        <v>0.85</v>
      </c>
      <c r="H419" s="38">
        <f>Tabla130[[#This Row],[COSTO]]*1.19</f>
        <v>110551</v>
      </c>
      <c r="I419" s="38"/>
      <c r="J419" s="38"/>
      <c r="K419" s="37">
        <v>92900</v>
      </c>
    </row>
    <row r="420" spans="1:11" x14ac:dyDescent="0.2">
      <c r="A420" s="34" t="s">
        <v>859</v>
      </c>
      <c r="B420" s="35" t="s">
        <v>860</v>
      </c>
      <c r="C420" s="43">
        <f>+Tabla130[[#This Row],[COSTO CON IVA]]/Tabla130[[#This Row],[UTILIDAD]]</f>
        <v>112280</v>
      </c>
      <c r="D420" s="43">
        <f>+Tabla130[[#This Row],[PRECIO INSTALLER (CON IVA)]]-Tabla130[[#This Row],[Columna4]]</f>
        <v>106666</v>
      </c>
      <c r="E420" s="43">
        <f>+Tabla130[[#This Row],[PRECIO INSTALLER (CON IVA)]]/0.7</f>
        <v>160400</v>
      </c>
      <c r="F420" s="41">
        <f>+Tabla130[[#This Row],[PRECIO INSTALLER (CON IVA)]]*5%</f>
        <v>5614</v>
      </c>
      <c r="G420" s="7">
        <v>0.85</v>
      </c>
      <c r="H420" s="38">
        <f>Tabla130[[#This Row],[COSTO]]*1.19</f>
        <v>95438</v>
      </c>
      <c r="I420" s="38"/>
      <c r="J420" s="38"/>
      <c r="K420" s="37">
        <v>80200</v>
      </c>
    </row>
    <row r="421" spans="1:11" ht="28.5" x14ac:dyDescent="0.2">
      <c r="A421" s="34" t="s">
        <v>861</v>
      </c>
      <c r="B421" s="35" t="s">
        <v>862</v>
      </c>
      <c r="C421" s="43">
        <f>+Tabla130[[#This Row],[COSTO CON IVA]]/Tabla130[[#This Row],[UTILIDAD]]</f>
        <v>900060</v>
      </c>
      <c r="D421" s="43">
        <f>+Tabla130[[#This Row],[PRECIO INSTALLER (CON IVA)]]-Tabla130[[#This Row],[Columna4]]</f>
        <v>855057</v>
      </c>
      <c r="E421" s="43">
        <f>+Tabla130[[#This Row],[PRECIO INSTALLER (CON IVA)]]/0.7</f>
        <v>1285800</v>
      </c>
      <c r="F421" s="41">
        <f>+Tabla130[[#This Row],[PRECIO INSTALLER (CON IVA)]]*5%</f>
        <v>45003</v>
      </c>
      <c r="G421" s="7">
        <v>0.85</v>
      </c>
      <c r="H421" s="38">
        <f>Tabla130[[#This Row],[COSTO]]*1.19</f>
        <v>765051</v>
      </c>
      <c r="I421" s="38"/>
      <c r="J421" s="38"/>
      <c r="K421" s="37">
        <v>642900</v>
      </c>
    </row>
    <row r="422" spans="1:11" ht="128.25" x14ac:dyDescent="0.2">
      <c r="A422" s="34" t="s">
        <v>863</v>
      </c>
      <c r="B422" s="35" t="s">
        <v>817</v>
      </c>
      <c r="C422" s="43">
        <f>+Tabla130[[#This Row],[COSTO CON IVA]]/Tabla130[[#This Row],[UTILIDAD]]</f>
        <v>205940</v>
      </c>
      <c r="D422" s="43">
        <f>+Tabla130[[#This Row],[PRECIO INSTALLER (CON IVA)]]-Tabla130[[#This Row],[Columna4]]</f>
        <v>195643</v>
      </c>
      <c r="E422" s="43">
        <f>+Tabla130[[#This Row],[PRECIO INSTALLER (CON IVA)]]/0.7</f>
        <v>294200</v>
      </c>
      <c r="F422" s="41">
        <f>+Tabla130[[#This Row],[PRECIO INSTALLER (CON IVA)]]*5%</f>
        <v>10297</v>
      </c>
      <c r="G422" s="7">
        <v>0.85</v>
      </c>
      <c r="H422" s="38">
        <f>Tabla130[[#This Row],[COSTO]]*1.19</f>
        <v>175049</v>
      </c>
      <c r="I422" s="38"/>
      <c r="J422" s="38"/>
      <c r="K422" s="37">
        <v>147100</v>
      </c>
    </row>
    <row r="423" spans="1:11" ht="114" x14ac:dyDescent="0.2">
      <c r="A423" s="34" t="s">
        <v>864</v>
      </c>
      <c r="B423" s="35" t="s">
        <v>1241</v>
      </c>
      <c r="C423" s="43">
        <f>+Tabla130[[#This Row],[COSTO CON IVA]]/Tabla130[[#This Row],[UTILIDAD]]</f>
        <v>200900</v>
      </c>
      <c r="D423" s="43">
        <f>+Tabla130[[#This Row],[PRECIO INSTALLER (CON IVA)]]-Tabla130[[#This Row],[Columna4]]</f>
        <v>190855</v>
      </c>
      <c r="E423" s="43">
        <f>+Tabla130[[#This Row],[PRECIO INSTALLER (CON IVA)]]/0.7</f>
        <v>287000</v>
      </c>
      <c r="F423" s="41">
        <f>+Tabla130[[#This Row],[PRECIO INSTALLER (CON IVA)]]*5%</f>
        <v>10045</v>
      </c>
      <c r="G423" s="7">
        <v>0.85</v>
      </c>
      <c r="H423" s="38">
        <f>Tabla130[[#This Row],[COSTO]]*1.19</f>
        <v>170765</v>
      </c>
      <c r="I423" s="38"/>
      <c r="J423" s="38"/>
      <c r="K423" s="37">
        <v>143500</v>
      </c>
    </row>
    <row r="424" spans="1:11" ht="85.5" x14ac:dyDescent="0.2">
      <c r="A424" s="34" t="s">
        <v>865</v>
      </c>
      <c r="B424" s="35" t="s">
        <v>866</v>
      </c>
      <c r="C424" s="43">
        <f>+Tabla130[[#This Row],[COSTO CON IVA]]/Tabla130[[#This Row],[UTILIDAD]]</f>
        <v>145460</v>
      </c>
      <c r="D424" s="43">
        <f>+Tabla130[[#This Row],[PRECIO INSTALLER (CON IVA)]]-Tabla130[[#This Row],[Columna4]]</f>
        <v>138187</v>
      </c>
      <c r="E424" s="43">
        <f>+Tabla130[[#This Row],[PRECIO INSTALLER (CON IVA)]]/0.7</f>
        <v>207800</v>
      </c>
      <c r="F424" s="41">
        <f>+Tabla130[[#This Row],[PRECIO INSTALLER (CON IVA)]]*5%</f>
        <v>7273</v>
      </c>
      <c r="G424" s="7">
        <v>0.85</v>
      </c>
      <c r="H424" s="38">
        <f>Tabla130[[#This Row],[COSTO]]*1.19</f>
        <v>123641</v>
      </c>
      <c r="I424" s="38"/>
      <c r="J424" s="38"/>
      <c r="K424" s="37">
        <v>103900</v>
      </c>
    </row>
    <row r="425" spans="1:11" ht="85.5" x14ac:dyDescent="0.2">
      <c r="A425" s="34" t="s">
        <v>867</v>
      </c>
      <c r="B425" s="35" t="s">
        <v>868</v>
      </c>
      <c r="C425" s="43">
        <f>+Tabla130[[#This Row],[COSTO CON IVA]]/Tabla130[[#This Row],[UTILIDAD]]</f>
        <v>128240</v>
      </c>
      <c r="D425" s="43">
        <f>+Tabla130[[#This Row],[PRECIO INSTALLER (CON IVA)]]-Tabla130[[#This Row],[Columna4]]</f>
        <v>121828</v>
      </c>
      <c r="E425" s="43">
        <f>+Tabla130[[#This Row],[PRECIO INSTALLER (CON IVA)]]/0.7</f>
        <v>183200</v>
      </c>
      <c r="F425" s="41">
        <f>+Tabla130[[#This Row],[PRECIO INSTALLER (CON IVA)]]*5%</f>
        <v>6412</v>
      </c>
      <c r="G425" s="7">
        <v>0.85</v>
      </c>
      <c r="H425" s="38">
        <f>Tabla130[[#This Row],[COSTO]]*1.19</f>
        <v>109004</v>
      </c>
      <c r="I425" s="38"/>
      <c r="J425" s="38"/>
      <c r="K425" s="37">
        <v>91600</v>
      </c>
    </row>
    <row r="426" spans="1:11" ht="114" x14ac:dyDescent="0.2">
      <c r="A426" s="34" t="s">
        <v>869</v>
      </c>
      <c r="B426" s="35" t="s">
        <v>870</v>
      </c>
      <c r="C426" s="43">
        <f>+Tabla130[[#This Row],[COSTO CON IVA]]/Tabla130[[#This Row],[UTILIDAD]]</f>
        <v>55160</v>
      </c>
      <c r="D426" s="43">
        <f>+Tabla130[[#This Row],[PRECIO INSTALLER (CON IVA)]]-Tabla130[[#This Row],[Columna4]]</f>
        <v>52402</v>
      </c>
      <c r="E426" s="43">
        <f>+Tabla130[[#This Row],[PRECIO INSTALLER (CON IVA)]]/0.7</f>
        <v>78800</v>
      </c>
      <c r="F426" s="41">
        <f>+Tabla130[[#This Row],[PRECIO INSTALLER (CON IVA)]]*5%</f>
        <v>2758</v>
      </c>
      <c r="G426" s="7">
        <v>0.85</v>
      </c>
      <c r="H426" s="38">
        <f>Tabla130[[#This Row],[COSTO]]*1.19</f>
        <v>46886</v>
      </c>
      <c r="I426" s="38"/>
      <c r="J426" s="38"/>
      <c r="K426" s="37">
        <v>39400</v>
      </c>
    </row>
    <row r="427" spans="1:11" ht="57" x14ac:dyDescent="0.2">
      <c r="A427" s="34" t="s">
        <v>871</v>
      </c>
      <c r="B427" s="35" t="s">
        <v>872</v>
      </c>
      <c r="C427" s="43">
        <f>+Tabla130[[#This Row],[COSTO CON IVA]]/Tabla130[[#This Row],[UTILIDAD]]</f>
        <v>2920820</v>
      </c>
      <c r="D427" s="43">
        <f>+Tabla130[[#This Row],[PRECIO INSTALLER (CON IVA)]]-Tabla130[[#This Row],[Columna4]]</f>
        <v>2774779</v>
      </c>
      <c r="E427" s="43">
        <f>+Tabla130[[#This Row],[PRECIO INSTALLER (CON IVA)]]/0.7</f>
        <v>4172600.0000000005</v>
      </c>
      <c r="F427" s="41">
        <f>+Tabla130[[#This Row],[PRECIO INSTALLER (CON IVA)]]*5%</f>
        <v>146041</v>
      </c>
      <c r="G427" s="7">
        <v>0.85</v>
      </c>
      <c r="H427" s="38">
        <f>Tabla130[[#This Row],[COSTO]]*1.19</f>
        <v>2482697</v>
      </c>
      <c r="I427" s="38"/>
      <c r="J427" s="38"/>
      <c r="K427" s="36">
        <v>2086300</v>
      </c>
    </row>
    <row r="428" spans="1:11" ht="57" x14ac:dyDescent="0.2">
      <c r="A428" s="34" t="s">
        <v>873</v>
      </c>
      <c r="B428" s="35" t="s">
        <v>874</v>
      </c>
      <c r="C428" s="43">
        <f>+Tabla130[[#This Row],[COSTO CON IVA]]/Tabla130[[#This Row],[UTILIDAD]]</f>
        <v>2114700</v>
      </c>
      <c r="D428" s="43">
        <f>+Tabla130[[#This Row],[PRECIO INSTALLER (CON IVA)]]-Tabla130[[#This Row],[Columna4]]</f>
        <v>2008965</v>
      </c>
      <c r="E428" s="43">
        <f>+Tabla130[[#This Row],[PRECIO INSTALLER (CON IVA)]]/0.7</f>
        <v>3021000</v>
      </c>
      <c r="F428" s="41">
        <f>+Tabla130[[#This Row],[PRECIO INSTALLER (CON IVA)]]*5%</f>
        <v>105735</v>
      </c>
      <c r="G428" s="7">
        <v>0.85</v>
      </c>
      <c r="H428" s="38">
        <f>Tabla130[[#This Row],[COSTO]]*1.19</f>
        <v>1797495</v>
      </c>
      <c r="I428" s="38"/>
      <c r="J428" s="38"/>
      <c r="K428" s="36">
        <v>1510500</v>
      </c>
    </row>
    <row r="429" spans="1:11" ht="57" x14ac:dyDescent="0.2">
      <c r="A429" s="34" t="s">
        <v>875</v>
      </c>
      <c r="B429" s="35" t="s">
        <v>876</v>
      </c>
      <c r="C429" s="43">
        <f>+Tabla130[[#This Row],[COSTO CON IVA]]/Tabla130[[#This Row],[UTILIDAD]]</f>
        <v>686000</v>
      </c>
      <c r="D429" s="43">
        <f>+Tabla130[[#This Row],[PRECIO INSTALLER (CON IVA)]]-Tabla130[[#This Row],[Columna4]]</f>
        <v>651700</v>
      </c>
      <c r="E429" s="43">
        <f>+Tabla130[[#This Row],[PRECIO INSTALLER (CON IVA)]]/0.7</f>
        <v>980000.00000000012</v>
      </c>
      <c r="F429" s="41">
        <f>+Tabla130[[#This Row],[PRECIO INSTALLER (CON IVA)]]*5%</f>
        <v>34300</v>
      </c>
      <c r="G429" s="7">
        <v>0.85</v>
      </c>
      <c r="H429" s="38">
        <f>Tabla130[[#This Row],[COSTO]]*1.19</f>
        <v>583100</v>
      </c>
      <c r="I429" s="38"/>
      <c r="J429" s="38"/>
      <c r="K429" s="36">
        <v>490000</v>
      </c>
    </row>
    <row r="430" spans="1:11" ht="57" x14ac:dyDescent="0.2">
      <c r="A430" s="34" t="s">
        <v>877</v>
      </c>
      <c r="B430" s="35" t="s">
        <v>878</v>
      </c>
      <c r="C430" s="43">
        <f>+Tabla130[[#This Row],[COSTO CON IVA]]/Tabla130[[#This Row],[UTILIDAD]]</f>
        <v>406000</v>
      </c>
      <c r="D430" s="43">
        <f>+Tabla130[[#This Row],[PRECIO INSTALLER (CON IVA)]]-Tabla130[[#This Row],[Columna4]]</f>
        <v>385700</v>
      </c>
      <c r="E430" s="43">
        <f>+Tabla130[[#This Row],[PRECIO INSTALLER (CON IVA)]]/0.7</f>
        <v>580000</v>
      </c>
      <c r="F430" s="41">
        <f>+Tabla130[[#This Row],[PRECIO INSTALLER (CON IVA)]]*5%</f>
        <v>20300</v>
      </c>
      <c r="G430" s="7">
        <v>0.85</v>
      </c>
      <c r="H430" s="38">
        <f>Tabla130[[#This Row],[COSTO]]*1.19</f>
        <v>345100</v>
      </c>
      <c r="I430" s="38"/>
      <c r="J430" s="38"/>
      <c r="K430" s="36">
        <v>290000</v>
      </c>
    </row>
    <row r="431" spans="1:11" ht="57" x14ac:dyDescent="0.2">
      <c r="A431" s="34" t="s">
        <v>68</v>
      </c>
      <c r="B431" s="35" t="s">
        <v>879</v>
      </c>
      <c r="C431" s="43">
        <f>+Tabla130[[#This Row],[COSTO CON IVA]]/Tabla130[[#This Row],[UTILIDAD]]</f>
        <v>1018220</v>
      </c>
      <c r="D431" s="43">
        <f>+Tabla130[[#This Row],[PRECIO INSTALLER (CON IVA)]]-Tabla130[[#This Row],[Columna4]]</f>
        <v>967309</v>
      </c>
      <c r="E431" s="43">
        <f>+Tabla130[[#This Row],[PRECIO INSTALLER (CON IVA)]]/0.7</f>
        <v>1454600</v>
      </c>
      <c r="F431" s="41">
        <f>+Tabla130[[#This Row],[PRECIO INSTALLER (CON IVA)]]*5%</f>
        <v>50911</v>
      </c>
      <c r="G431" s="7">
        <v>0.85</v>
      </c>
      <c r="H431" s="38">
        <f>Tabla130[[#This Row],[COSTO]]*1.19</f>
        <v>865487</v>
      </c>
      <c r="I431" s="38"/>
      <c r="J431" s="38"/>
      <c r="K431" s="36">
        <v>727300</v>
      </c>
    </row>
    <row r="432" spans="1:11" ht="57" x14ac:dyDescent="0.2">
      <c r="A432" s="34" t="s">
        <v>67</v>
      </c>
      <c r="B432" s="35" t="s">
        <v>880</v>
      </c>
      <c r="C432" s="43">
        <f>+Tabla130[[#This Row],[COSTO CON IVA]]/Tabla130[[#This Row],[UTILIDAD]]</f>
        <v>334040</v>
      </c>
      <c r="D432" s="43">
        <f>+Tabla130[[#This Row],[PRECIO INSTALLER (CON IVA)]]-Tabla130[[#This Row],[Columna4]]</f>
        <v>317338</v>
      </c>
      <c r="E432" s="43">
        <f>+Tabla130[[#This Row],[PRECIO INSTALLER (CON IVA)]]/0.7</f>
        <v>477200.00000000006</v>
      </c>
      <c r="F432" s="41">
        <f>+Tabla130[[#This Row],[PRECIO INSTALLER (CON IVA)]]*5%</f>
        <v>16702</v>
      </c>
      <c r="G432" s="7">
        <v>0.85</v>
      </c>
      <c r="H432" s="38">
        <f>Tabla130[[#This Row],[COSTO]]*1.19</f>
        <v>283934</v>
      </c>
      <c r="I432" s="38"/>
      <c r="J432" s="38"/>
      <c r="K432" s="36">
        <v>238600</v>
      </c>
    </row>
    <row r="433" spans="1:11" ht="57" x14ac:dyDescent="0.2">
      <c r="A433" s="34" t="s">
        <v>881</v>
      </c>
      <c r="B433" s="35" t="s">
        <v>882</v>
      </c>
      <c r="C433" s="43">
        <f>+Tabla130[[#This Row],[COSTO CON IVA]]/Tabla130[[#This Row],[UTILIDAD]]</f>
        <v>238700</v>
      </c>
      <c r="D433" s="43">
        <f>+Tabla130[[#This Row],[PRECIO INSTALLER (CON IVA)]]-Tabla130[[#This Row],[Columna4]]</f>
        <v>226765</v>
      </c>
      <c r="E433" s="43">
        <f>+Tabla130[[#This Row],[PRECIO INSTALLER (CON IVA)]]/0.7</f>
        <v>341000</v>
      </c>
      <c r="F433" s="41">
        <f>+Tabla130[[#This Row],[PRECIO INSTALLER (CON IVA)]]*5%</f>
        <v>11935</v>
      </c>
      <c r="G433" s="7">
        <v>0.85</v>
      </c>
      <c r="H433" s="38">
        <f>Tabla130[[#This Row],[COSTO]]*1.19</f>
        <v>202895</v>
      </c>
      <c r="I433" s="38"/>
      <c r="J433" s="38"/>
      <c r="K433" s="36">
        <v>170500</v>
      </c>
    </row>
    <row r="434" spans="1:11" ht="57" x14ac:dyDescent="0.2">
      <c r="A434" s="34" t="s">
        <v>883</v>
      </c>
      <c r="B434" s="35" t="s">
        <v>884</v>
      </c>
      <c r="C434" s="43">
        <f>+Tabla130[[#This Row],[COSTO CON IVA]]/Tabla130[[#This Row],[UTILIDAD]]</f>
        <v>307860</v>
      </c>
      <c r="D434" s="43">
        <f>+Tabla130[[#This Row],[PRECIO INSTALLER (CON IVA)]]-Tabla130[[#This Row],[Columna4]]</f>
        <v>292467</v>
      </c>
      <c r="E434" s="43">
        <f>+Tabla130[[#This Row],[PRECIO INSTALLER (CON IVA)]]/0.7</f>
        <v>439800</v>
      </c>
      <c r="F434" s="41">
        <f>+Tabla130[[#This Row],[PRECIO INSTALLER (CON IVA)]]*5%</f>
        <v>15393</v>
      </c>
      <c r="G434" s="7">
        <v>0.85</v>
      </c>
      <c r="H434" s="38">
        <f>Tabla130[[#This Row],[COSTO]]*1.19</f>
        <v>261681</v>
      </c>
      <c r="I434" s="38"/>
      <c r="J434" s="38"/>
      <c r="K434" s="36">
        <v>219900</v>
      </c>
    </row>
    <row r="435" spans="1:11" ht="57" x14ac:dyDescent="0.2">
      <c r="A435" s="34" t="s">
        <v>885</v>
      </c>
      <c r="B435" s="35" t="s">
        <v>886</v>
      </c>
      <c r="C435" s="43">
        <f>+Tabla130[[#This Row],[COSTO CON IVA]]/Tabla130[[#This Row],[UTILIDAD]]</f>
        <v>79380</v>
      </c>
      <c r="D435" s="43">
        <f>+Tabla130[[#This Row],[PRECIO INSTALLER (CON IVA)]]-Tabla130[[#This Row],[Columna4]]</f>
        <v>75411</v>
      </c>
      <c r="E435" s="43">
        <f>+Tabla130[[#This Row],[PRECIO INSTALLER (CON IVA)]]/0.7</f>
        <v>113400</v>
      </c>
      <c r="F435" s="41">
        <f>+Tabla130[[#This Row],[PRECIO INSTALLER (CON IVA)]]*5%</f>
        <v>3969</v>
      </c>
      <c r="G435" s="7">
        <v>0.85</v>
      </c>
      <c r="H435" s="38">
        <f>Tabla130[[#This Row],[COSTO]]*1.19</f>
        <v>67473</v>
      </c>
      <c r="I435" s="38"/>
      <c r="J435" s="38"/>
      <c r="K435" s="36">
        <v>56700</v>
      </c>
    </row>
    <row r="436" spans="1:11" ht="57" x14ac:dyDescent="0.2">
      <c r="A436" s="34" t="s">
        <v>66</v>
      </c>
      <c r="B436" s="35" t="s">
        <v>887</v>
      </c>
      <c r="C436" s="43">
        <f>+Tabla130[[#This Row],[COSTO CON IVA]]/Tabla130[[#This Row],[UTILIDAD]]</f>
        <v>74760</v>
      </c>
      <c r="D436" s="43">
        <f>+Tabla130[[#This Row],[PRECIO INSTALLER (CON IVA)]]-Tabla130[[#This Row],[Columna4]]</f>
        <v>71022</v>
      </c>
      <c r="E436" s="43">
        <f>+Tabla130[[#This Row],[PRECIO INSTALLER (CON IVA)]]/0.7</f>
        <v>106800</v>
      </c>
      <c r="F436" s="41">
        <f>+Tabla130[[#This Row],[PRECIO INSTALLER (CON IVA)]]*5%</f>
        <v>3738</v>
      </c>
      <c r="G436" s="7">
        <v>0.85</v>
      </c>
      <c r="H436" s="38">
        <f>Tabla130[[#This Row],[COSTO]]*1.19</f>
        <v>63546</v>
      </c>
      <c r="I436" s="38"/>
      <c r="J436" s="38"/>
      <c r="K436" s="36">
        <v>53400</v>
      </c>
    </row>
    <row r="437" spans="1:11" ht="57" x14ac:dyDescent="0.2">
      <c r="A437" s="34" t="s">
        <v>65</v>
      </c>
      <c r="B437" s="35" t="s">
        <v>888</v>
      </c>
      <c r="C437" s="43">
        <f>+Tabla130[[#This Row],[COSTO CON IVA]]/Tabla130[[#This Row],[UTILIDAD]]</f>
        <v>47740</v>
      </c>
      <c r="D437" s="43">
        <f>+Tabla130[[#This Row],[PRECIO INSTALLER (CON IVA)]]-Tabla130[[#This Row],[Columna4]]</f>
        <v>45353</v>
      </c>
      <c r="E437" s="43">
        <f>+Tabla130[[#This Row],[PRECIO INSTALLER (CON IVA)]]/0.7</f>
        <v>68200</v>
      </c>
      <c r="F437" s="41">
        <f>+Tabla130[[#This Row],[PRECIO INSTALLER (CON IVA)]]*5%</f>
        <v>2387</v>
      </c>
      <c r="G437" s="7">
        <v>0.85</v>
      </c>
      <c r="H437" s="38">
        <f>Tabla130[[#This Row],[COSTO]]*1.19</f>
        <v>40579</v>
      </c>
      <c r="I437" s="38"/>
      <c r="J437" s="38"/>
      <c r="K437" s="36">
        <v>34100</v>
      </c>
    </row>
    <row r="438" spans="1:11" ht="57" x14ac:dyDescent="0.2">
      <c r="A438" s="34" t="s">
        <v>64</v>
      </c>
      <c r="B438" s="35" t="s">
        <v>889</v>
      </c>
      <c r="C438" s="43">
        <f>+Tabla130[[#This Row],[COSTO CON IVA]]/Tabla130[[#This Row],[UTILIDAD]]</f>
        <v>558600</v>
      </c>
      <c r="D438" s="43">
        <f>+Tabla130[[#This Row],[PRECIO INSTALLER (CON IVA)]]-Tabla130[[#This Row],[Columna4]]</f>
        <v>530670</v>
      </c>
      <c r="E438" s="43">
        <f>+Tabla130[[#This Row],[PRECIO INSTALLER (CON IVA)]]/0.7</f>
        <v>798000</v>
      </c>
      <c r="F438" s="41">
        <f>+Tabla130[[#This Row],[PRECIO INSTALLER (CON IVA)]]*5%</f>
        <v>27930</v>
      </c>
      <c r="G438" s="7">
        <v>0.85</v>
      </c>
      <c r="H438" s="38">
        <f>Tabla130[[#This Row],[COSTO]]*1.19</f>
        <v>474810</v>
      </c>
      <c r="I438" s="38"/>
      <c r="J438" s="38"/>
      <c r="K438" s="36">
        <v>399000</v>
      </c>
    </row>
    <row r="439" spans="1:11" ht="57" x14ac:dyDescent="0.2">
      <c r="A439" s="34" t="s">
        <v>63</v>
      </c>
      <c r="B439" s="35" t="s">
        <v>890</v>
      </c>
      <c r="C439" s="43">
        <f>+Tabla130[[#This Row],[COSTO CON IVA]]/Tabla130[[#This Row],[UTILIDAD]]</f>
        <v>200340</v>
      </c>
      <c r="D439" s="43">
        <f>+Tabla130[[#This Row],[PRECIO INSTALLER (CON IVA)]]-Tabla130[[#This Row],[Columna4]]</f>
        <v>190323</v>
      </c>
      <c r="E439" s="43">
        <f>+Tabla130[[#This Row],[PRECIO INSTALLER (CON IVA)]]/0.7</f>
        <v>286200</v>
      </c>
      <c r="F439" s="41">
        <f>+Tabla130[[#This Row],[PRECIO INSTALLER (CON IVA)]]*5%</f>
        <v>10017</v>
      </c>
      <c r="G439" s="7">
        <v>0.85</v>
      </c>
      <c r="H439" s="38">
        <f>Tabla130[[#This Row],[COSTO]]*1.19</f>
        <v>170289</v>
      </c>
      <c r="I439" s="38"/>
      <c r="J439" s="38"/>
      <c r="K439" s="36">
        <v>143100</v>
      </c>
    </row>
    <row r="440" spans="1:11" ht="57" x14ac:dyDescent="0.2">
      <c r="A440" s="34" t="s">
        <v>891</v>
      </c>
      <c r="B440" s="35" t="s">
        <v>892</v>
      </c>
      <c r="C440" s="43">
        <f>+Tabla130[[#This Row],[COSTO CON IVA]]/Tabla130[[#This Row],[UTILIDAD]]</f>
        <v>171500</v>
      </c>
      <c r="D440" s="43">
        <f>+Tabla130[[#This Row],[PRECIO INSTALLER (CON IVA)]]-Tabla130[[#This Row],[Columna4]]</f>
        <v>162925</v>
      </c>
      <c r="E440" s="43">
        <f>+Tabla130[[#This Row],[PRECIO INSTALLER (CON IVA)]]/0.7</f>
        <v>245000.00000000003</v>
      </c>
      <c r="F440" s="41">
        <f>+Tabla130[[#This Row],[PRECIO INSTALLER (CON IVA)]]*5%</f>
        <v>8575</v>
      </c>
      <c r="G440" s="7">
        <v>0.85</v>
      </c>
      <c r="H440" s="38">
        <f>Tabla130[[#This Row],[COSTO]]*1.19</f>
        <v>145775</v>
      </c>
      <c r="I440" s="38"/>
      <c r="J440" s="38"/>
      <c r="K440" s="36">
        <v>122500</v>
      </c>
    </row>
    <row r="441" spans="1:11" ht="57" x14ac:dyDescent="0.2">
      <c r="A441" s="34" t="s">
        <v>893</v>
      </c>
      <c r="B441" s="35" t="s">
        <v>894</v>
      </c>
      <c r="C441" s="43">
        <f>+Tabla130[[#This Row],[COSTO CON IVA]]/Tabla130[[#This Row],[UTILIDAD]]</f>
        <v>118860</v>
      </c>
      <c r="D441" s="43">
        <f>+Tabla130[[#This Row],[PRECIO INSTALLER (CON IVA)]]-Tabla130[[#This Row],[Columna4]]</f>
        <v>112917</v>
      </c>
      <c r="E441" s="43">
        <f>+Tabla130[[#This Row],[PRECIO INSTALLER (CON IVA)]]/0.7</f>
        <v>169800</v>
      </c>
      <c r="F441" s="41">
        <f>+Tabla130[[#This Row],[PRECIO INSTALLER (CON IVA)]]*5%</f>
        <v>5943</v>
      </c>
      <c r="G441" s="7">
        <v>0.85</v>
      </c>
      <c r="H441" s="38">
        <f>Tabla130[[#This Row],[COSTO]]*1.19</f>
        <v>101031</v>
      </c>
      <c r="I441" s="38"/>
      <c r="J441" s="38"/>
      <c r="K441" s="36">
        <v>84900</v>
      </c>
    </row>
    <row r="442" spans="1:11" ht="57" x14ac:dyDescent="0.2">
      <c r="A442" s="34" t="s">
        <v>895</v>
      </c>
      <c r="B442" s="35" t="s">
        <v>896</v>
      </c>
      <c r="C442" s="43">
        <f>+Tabla130[[#This Row],[COSTO CON IVA]]/Tabla130[[#This Row],[UTILIDAD]]</f>
        <v>36260</v>
      </c>
      <c r="D442" s="43">
        <f>+Tabla130[[#This Row],[PRECIO INSTALLER (CON IVA)]]-Tabla130[[#This Row],[Columna4]]</f>
        <v>34447</v>
      </c>
      <c r="E442" s="43">
        <f>+Tabla130[[#This Row],[PRECIO INSTALLER (CON IVA)]]/0.7</f>
        <v>51800</v>
      </c>
      <c r="F442" s="41">
        <f>+Tabla130[[#This Row],[PRECIO INSTALLER (CON IVA)]]*5%</f>
        <v>1813</v>
      </c>
      <c r="G442" s="7">
        <v>0.85</v>
      </c>
      <c r="H442" s="38">
        <f>Tabla130[[#This Row],[COSTO]]*1.19</f>
        <v>30821</v>
      </c>
      <c r="I442" s="38"/>
      <c r="J442" s="38"/>
      <c r="K442" s="36">
        <v>25900</v>
      </c>
    </row>
    <row r="443" spans="1:11" ht="57" x14ac:dyDescent="0.2">
      <c r="A443" s="34" t="s">
        <v>897</v>
      </c>
      <c r="B443" s="35" t="s">
        <v>898</v>
      </c>
      <c r="C443" s="43">
        <f>+Tabla130[[#This Row],[COSTO CON IVA]]/Tabla130[[#This Row],[UTILIDAD]]</f>
        <v>30660</v>
      </c>
      <c r="D443" s="43">
        <f>+Tabla130[[#This Row],[PRECIO INSTALLER (CON IVA)]]-Tabla130[[#This Row],[Columna4]]</f>
        <v>29127</v>
      </c>
      <c r="E443" s="43">
        <f>+Tabla130[[#This Row],[PRECIO INSTALLER (CON IVA)]]/0.7</f>
        <v>43800</v>
      </c>
      <c r="F443" s="41">
        <f>+Tabla130[[#This Row],[PRECIO INSTALLER (CON IVA)]]*5%</f>
        <v>1533</v>
      </c>
      <c r="G443" s="7">
        <v>0.85</v>
      </c>
      <c r="H443" s="38">
        <f>Tabla130[[#This Row],[COSTO]]*1.19</f>
        <v>26061</v>
      </c>
      <c r="I443" s="38"/>
      <c r="J443" s="38"/>
      <c r="K443" s="36">
        <v>21900</v>
      </c>
    </row>
    <row r="444" spans="1:11" ht="57" x14ac:dyDescent="0.2">
      <c r="A444" s="34" t="s">
        <v>899</v>
      </c>
      <c r="B444" s="35" t="s">
        <v>900</v>
      </c>
      <c r="C444" s="43">
        <f>+Tabla130[[#This Row],[COSTO CON IVA]]/Tabla130[[#This Row],[UTILIDAD]]</f>
        <v>33320</v>
      </c>
      <c r="D444" s="43">
        <f>+Tabla130[[#This Row],[PRECIO INSTALLER (CON IVA)]]-Tabla130[[#This Row],[Columna4]]</f>
        <v>31654</v>
      </c>
      <c r="E444" s="43">
        <f>+Tabla130[[#This Row],[PRECIO INSTALLER (CON IVA)]]/0.7</f>
        <v>47600</v>
      </c>
      <c r="F444" s="41">
        <f>+Tabla130[[#This Row],[PRECIO INSTALLER (CON IVA)]]*5%</f>
        <v>1666</v>
      </c>
      <c r="G444" s="7">
        <v>0.85</v>
      </c>
      <c r="H444" s="38">
        <f>Tabla130[[#This Row],[COSTO]]*1.19</f>
        <v>28322</v>
      </c>
      <c r="I444" s="38"/>
      <c r="J444" s="38"/>
      <c r="K444" s="36">
        <v>23800</v>
      </c>
    </row>
    <row r="445" spans="1:11" ht="57" x14ac:dyDescent="0.2">
      <c r="A445" s="34" t="s">
        <v>62</v>
      </c>
      <c r="B445" s="35" t="s">
        <v>901</v>
      </c>
      <c r="C445" s="43">
        <f>+Tabla130[[#This Row],[COSTO CON IVA]]/Tabla130[[#This Row],[UTILIDAD]]</f>
        <v>27300</v>
      </c>
      <c r="D445" s="43">
        <f>+Tabla130[[#This Row],[PRECIO INSTALLER (CON IVA)]]-Tabla130[[#This Row],[Columna4]]</f>
        <v>25935</v>
      </c>
      <c r="E445" s="43">
        <f>+Tabla130[[#This Row],[PRECIO INSTALLER (CON IVA)]]/0.7</f>
        <v>39000</v>
      </c>
      <c r="F445" s="41">
        <f>+Tabla130[[#This Row],[PRECIO INSTALLER (CON IVA)]]*5%</f>
        <v>1365</v>
      </c>
      <c r="G445" s="7">
        <v>0.85</v>
      </c>
      <c r="H445" s="38">
        <f>Tabla130[[#This Row],[COSTO]]*1.19</f>
        <v>23205</v>
      </c>
      <c r="I445" s="38"/>
      <c r="J445" s="38"/>
      <c r="K445" s="36">
        <v>19500</v>
      </c>
    </row>
    <row r="446" spans="1:11" ht="285" x14ac:dyDescent="0.2">
      <c r="A446" s="34" t="s">
        <v>902</v>
      </c>
      <c r="B446" s="35" t="s">
        <v>903</v>
      </c>
      <c r="C446" s="43">
        <f>+Tabla130[[#This Row],[COSTO CON IVA]]/Tabla130[[#This Row],[UTILIDAD]]</f>
        <v>11613420</v>
      </c>
      <c r="D446" s="43">
        <f>+Tabla130[[#This Row],[PRECIO INSTALLER (CON IVA)]]-Tabla130[[#This Row],[Columna4]]</f>
        <v>11032749</v>
      </c>
      <c r="E446" s="43">
        <f>+Tabla130[[#This Row],[PRECIO INSTALLER (CON IVA)]]/0.7</f>
        <v>16590600.000000002</v>
      </c>
      <c r="F446" s="41">
        <f>+Tabla130[[#This Row],[PRECIO INSTALLER (CON IVA)]]*5%</f>
        <v>580671</v>
      </c>
      <c r="G446" s="7">
        <v>0.85</v>
      </c>
      <c r="H446" s="38">
        <f>Tabla130[[#This Row],[COSTO]]*1.19</f>
        <v>9871407</v>
      </c>
      <c r="I446" s="38"/>
      <c r="J446" s="38"/>
      <c r="K446" s="36">
        <v>8295300</v>
      </c>
    </row>
    <row r="447" spans="1:11" ht="285" x14ac:dyDescent="0.2">
      <c r="A447" s="34" t="s">
        <v>904</v>
      </c>
      <c r="B447" s="35" t="s">
        <v>905</v>
      </c>
      <c r="C447" s="43">
        <f>+Tabla130[[#This Row],[COSTO CON IVA]]/Tabla130[[#This Row],[UTILIDAD]]</f>
        <v>7931140</v>
      </c>
      <c r="D447" s="43">
        <f>+Tabla130[[#This Row],[PRECIO INSTALLER (CON IVA)]]-Tabla130[[#This Row],[Columna4]]</f>
        <v>7534583</v>
      </c>
      <c r="E447" s="43">
        <f>+Tabla130[[#This Row],[PRECIO INSTALLER (CON IVA)]]/0.7</f>
        <v>11330200</v>
      </c>
      <c r="F447" s="41">
        <f>+Tabla130[[#This Row],[PRECIO INSTALLER (CON IVA)]]*5%</f>
        <v>396557</v>
      </c>
      <c r="G447" s="7">
        <v>0.85</v>
      </c>
      <c r="H447" s="38">
        <f>Tabla130[[#This Row],[COSTO]]*1.19</f>
        <v>6741469</v>
      </c>
      <c r="I447" s="38"/>
      <c r="J447" s="38"/>
      <c r="K447" s="36">
        <v>5665100</v>
      </c>
    </row>
    <row r="448" spans="1:11" ht="228" x14ac:dyDescent="0.2">
      <c r="A448" s="34" t="s">
        <v>906</v>
      </c>
      <c r="B448" s="35" t="s">
        <v>907</v>
      </c>
      <c r="C448" s="43">
        <f>+Tabla130[[#This Row],[COSTO CON IVA]]/Tabla130[[#This Row],[UTILIDAD]]</f>
        <v>13332620</v>
      </c>
      <c r="D448" s="43">
        <f>+Tabla130[[#This Row],[PRECIO INSTALLER (CON IVA)]]-Tabla130[[#This Row],[Columna4]]</f>
        <v>12665989</v>
      </c>
      <c r="E448" s="43">
        <f>+Tabla130[[#This Row],[PRECIO INSTALLER (CON IVA)]]/0.7</f>
        <v>19046600</v>
      </c>
      <c r="F448" s="41">
        <f>+Tabla130[[#This Row],[PRECIO INSTALLER (CON IVA)]]*5%</f>
        <v>666631</v>
      </c>
      <c r="G448" s="7">
        <v>0.85</v>
      </c>
      <c r="H448" s="38">
        <f>Tabla130[[#This Row],[COSTO]]*1.19</f>
        <v>11332727</v>
      </c>
      <c r="I448" s="38"/>
      <c r="J448" s="38"/>
      <c r="K448" s="36">
        <v>9523300</v>
      </c>
    </row>
    <row r="449" spans="1:11" ht="256.5" x14ac:dyDescent="0.2">
      <c r="A449" s="34" t="s">
        <v>908</v>
      </c>
      <c r="B449" s="35" t="s">
        <v>909</v>
      </c>
      <c r="C449" s="43">
        <f>+Tabla130[[#This Row],[COSTO CON IVA]]/Tabla130[[#This Row],[UTILIDAD]]</f>
        <v>9670080</v>
      </c>
      <c r="D449" s="43">
        <f>+Tabla130[[#This Row],[PRECIO INSTALLER (CON IVA)]]-Tabla130[[#This Row],[Columna4]]</f>
        <v>9186576</v>
      </c>
      <c r="E449" s="43">
        <f>+Tabla130[[#This Row],[PRECIO INSTALLER (CON IVA)]]/0.7</f>
        <v>13814400</v>
      </c>
      <c r="F449" s="41">
        <f>+Tabla130[[#This Row],[PRECIO INSTALLER (CON IVA)]]*5%</f>
        <v>483504</v>
      </c>
      <c r="G449" s="7">
        <v>0.85</v>
      </c>
      <c r="H449" s="38">
        <f>Tabla130[[#This Row],[COSTO]]*1.19</f>
        <v>8219568</v>
      </c>
      <c r="I449" s="38"/>
      <c r="J449" s="38"/>
      <c r="K449" s="36">
        <v>6907200</v>
      </c>
    </row>
    <row r="450" spans="1:11" ht="213.75" x14ac:dyDescent="0.2">
      <c r="A450" s="34" t="s">
        <v>50</v>
      </c>
      <c r="B450" s="35" t="s">
        <v>910</v>
      </c>
      <c r="C450" s="43">
        <f>+Tabla130[[#This Row],[COSTO CON IVA]]/Tabla130[[#This Row],[UTILIDAD]]</f>
        <v>7032620</v>
      </c>
      <c r="D450" s="43">
        <f>+Tabla130[[#This Row],[PRECIO INSTALLER (CON IVA)]]-Tabla130[[#This Row],[Columna4]]</f>
        <v>6680989</v>
      </c>
      <c r="E450" s="43">
        <f>+Tabla130[[#This Row],[PRECIO INSTALLER (CON IVA)]]/0.7</f>
        <v>10046600</v>
      </c>
      <c r="F450" s="41">
        <f>+Tabla130[[#This Row],[PRECIO INSTALLER (CON IVA)]]*5%</f>
        <v>351631</v>
      </c>
      <c r="G450" s="7">
        <v>0.85</v>
      </c>
      <c r="H450" s="38">
        <f>Tabla130[[#This Row],[COSTO]]*1.19</f>
        <v>5977727</v>
      </c>
      <c r="I450" s="38"/>
      <c r="J450" s="38"/>
      <c r="K450" s="36">
        <v>5023300</v>
      </c>
    </row>
    <row r="451" spans="1:11" ht="256.5" x14ac:dyDescent="0.2">
      <c r="A451" s="34" t="s">
        <v>49</v>
      </c>
      <c r="B451" s="35" t="s">
        <v>911</v>
      </c>
      <c r="C451" s="43">
        <f>+Tabla130[[#This Row],[COSTO CON IVA]]/Tabla130[[#This Row],[UTILIDAD]]</f>
        <v>5128200</v>
      </c>
      <c r="D451" s="43">
        <f>+Tabla130[[#This Row],[PRECIO INSTALLER (CON IVA)]]-Tabla130[[#This Row],[Columna4]]</f>
        <v>4871790</v>
      </c>
      <c r="E451" s="43">
        <f>+Tabla130[[#This Row],[PRECIO INSTALLER (CON IVA)]]/0.7</f>
        <v>7326000</v>
      </c>
      <c r="F451" s="41">
        <f>+Tabla130[[#This Row],[PRECIO INSTALLER (CON IVA)]]*5%</f>
        <v>256410</v>
      </c>
      <c r="G451" s="7">
        <v>0.85</v>
      </c>
      <c r="H451" s="38">
        <f>Tabla130[[#This Row],[COSTO]]*1.19</f>
        <v>4358970</v>
      </c>
      <c r="I451" s="38"/>
      <c r="J451" s="38"/>
      <c r="K451" s="36">
        <v>3663000</v>
      </c>
    </row>
    <row r="452" spans="1:11" ht="213.75" x14ac:dyDescent="0.2">
      <c r="A452" s="34" t="s">
        <v>51</v>
      </c>
      <c r="B452" s="35" t="s">
        <v>912</v>
      </c>
      <c r="C452" s="43">
        <f>+Tabla130[[#This Row],[COSTO CON IVA]]/Tabla130[[#This Row],[UTILIDAD]]</f>
        <v>3370080</v>
      </c>
      <c r="D452" s="43">
        <f>+Tabla130[[#This Row],[PRECIO INSTALLER (CON IVA)]]-Tabla130[[#This Row],[Columna4]]</f>
        <v>3201576</v>
      </c>
      <c r="E452" s="43">
        <f>+Tabla130[[#This Row],[PRECIO INSTALLER (CON IVA)]]/0.7</f>
        <v>4814400</v>
      </c>
      <c r="F452" s="41">
        <f>+Tabla130[[#This Row],[PRECIO INSTALLER (CON IVA)]]*5%</f>
        <v>168504</v>
      </c>
      <c r="G452" s="7">
        <v>0.85</v>
      </c>
      <c r="H452" s="38">
        <f>Tabla130[[#This Row],[COSTO]]*1.19</f>
        <v>2864568</v>
      </c>
      <c r="I452" s="38"/>
      <c r="J452" s="38"/>
      <c r="K452" s="36">
        <v>2407200</v>
      </c>
    </row>
    <row r="453" spans="1:11" ht="199.5" x14ac:dyDescent="0.2">
      <c r="A453" s="34" t="s">
        <v>913</v>
      </c>
      <c r="B453" s="35" t="s">
        <v>914</v>
      </c>
      <c r="C453" s="43">
        <f>+Tabla130[[#This Row],[COSTO CON IVA]]/Tabla130[[#This Row],[UTILIDAD]]</f>
        <v>3903760</v>
      </c>
      <c r="D453" s="43">
        <f>+Tabla130[[#This Row],[PRECIO INSTALLER (CON IVA)]]-Tabla130[[#This Row],[Columna4]]</f>
        <v>3708572</v>
      </c>
      <c r="E453" s="43">
        <f>+Tabla130[[#This Row],[PRECIO INSTALLER (CON IVA)]]/0.7</f>
        <v>5576800</v>
      </c>
      <c r="F453" s="41">
        <f>+Tabla130[[#This Row],[PRECIO INSTALLER (CON IVA)]]*5%</f>
        <v>195188</v>
      </c>
      <c r="G453" s="7">
        <v>0.85</v>
      </c>
      <c r="H453" s="38">
        <f>Tabla130[[#This Row],[COSTO]]*1.19</f>
        <v>3318196</v>
      </c>
      <c r="I453" s="38"/>
      <c r="J453" s="38"/>
      <c r="K453" s="36">
        <v>2788400</v>
      </c>
    </row>
    <row r="454" spans="1:11" ht="156.75" x14ac:dyDescent="0.2">
      <c r="A454" s="34" t="s">
        <v>915</v>
      </c>
      <c r="B454" s="35" t="s">
        <v>916</v>
      </c>
      <c r="C454" s="43">
        <f>+Tabla130[[#This Row],[COSTO CON IVA]]/Tabla130[[#This Row],[UTILIDAD]]</f>
        <v>1920940</v>
      </c>
      <c r="D454" s="43">
        <f>+Tabla130[[#This Row],[PRECIO INSTALLER (CON IVA)]]-Tabla130[[#This Row],[Columna4]]</f>
        <v>1824893</v>
      </c>
      <c r="E454" s="43">
        <f>+Tabla130[[#This Row],[PRECIO INSTALLER (CON IVA)]]/0.7</f>
        <v>2744200</v>
      </c>
      <c r="F454" s="41">
        <f>+Tabla130[[#This Row],[PRECIO INSTALLER (CON IVA)]]*5%</f>
        <v>96047</v>
      </c>
      <c r="G454" s="7">
        <v>0.85</v>
      </c>
      <c r="H454" s="38">
        <f>Tabla130[[#This Row],[COSTO]]*1.19</f>
        <v>1632799</v>
      </c>
      <c r="I454" s="38"/>
      <c r="J454" s="38"/>
      <c r="K454" s="36">
        <v>1372100</v>
      </c>
    </row>
    <row r="455" spans="1:11" ht="199.5" x14ac:dyDescent="0.2">
      <c r="A455" s="34" t="s">
        <v>917</v>
      </c>
      <c r="B455" s="35" t="s">
        <v>918</v>
      </c>
      <c r="C455" s="43">
        <f>+Tabla130[[#This Row],[COSTO CON IVA]]/Tabla130[[#This Row],[UTILIDAD]]</f>
        <v>2994460</v>
      </c>
      <c r="D455" s="43">
        <f>+Tabla130[[#This Row],[PRECIO INSTALLER (CON IVA)]]-Tabla130[[#This Row],[Columna4]]</f>
        <v>2844737</v>
      </c>
      <c r="E455" s="43">
        <f>+Tabla130[[#This Row],[PRECIO INSTALLER (CON IVA)]]/0.7</f>
        <v>4277800</v>
      </c>
      <c r="F455" s="41">
        <f>+Tabla130[[#This Row],[PRECIO INSTALLER (CON IVA)]]*5%</f>
        <v>149723</v>
      </c>
      <c r="G455" s="7">
        <v>0.85</v>
      </c>
      <c r="H455" s="38">
        <f>Tabla130[[#This Row],[COSTO]]*1.19</f>
        <v>2545291</v>
      </c>
      <c r="I455" s="38"/>
      <c r="J455" s="38"/>
      <c r="K455" s="36">
        <v>2138900</v>
      </c>
    </row>
    <row r="456" spans="1:11" ht="156.75" x14ac:dyDescent="0.2">
      <c r="A456" s="34" t="s">
        <v>919</v>
      </c>
      <c r="B456" s="35" t="s">
        <v>920</v>
      </c>
      <c r="C456" s="43">
        <f>+Tabla130[[#This Row],[COSTO CON IVA]]/Tabla130[[#This Row],[UTILIDAD]]</f>
        <v>1440740</v>
      </c>
      <c r="D456" s="43">
        <f>+Tabla130[[#This Row],[PRECIO INSTALLER (CON IVA)]]-Tabla130[[#This Row],[Columna4]]</f>
        <v>1368703</v>
      </c>
      <c r="E456" s="43">
        <f>+Tabla130[[#This Row],[PRECIO INSTALLER (CON IVA)]]/0.7</f>
        <v>2058200.0000000002</v>
      </c>
      <c r="F456" s="41">
        <f>+Tabla130[[#This Row],[PRECIO INSTALLER (CON IVA)]]*5%</f>
        <v>72037</v>
      </c>
      <c r="G456" s="7">
        <v>0.85</v>
      </c>
      <c r="H456" s="38">
        <f>Tabla130[[#This Row],[COSTO]]*1.19</f>
        <v>1224629</v>
      </c>
      <c r="I456" s="38"/>
      <c r="J456" s="38"/>
      <c r="K456" s="37">
        <v>1029100</v>
      </c>
    </row>
    <row r="457" spans="1:11" ht="185.25" x14ac:dyDescent="0.2">
      <c r="A457" s="34" t="s">
        <v>921</v>
      </c>
      <c r="B457" s="35" t="s">
        <v>922</v>
      </c>
      <c r="C457" s="43">
        <f>+Tabla130[[#This Row],[COSTO CON IVA]]/Tabla130[[#This Row],[UTILIDAD]]</f>
        <v>12534900</v>
      </c>
      <c r="D457" s="43">
        <f>+Tabla130[[#This Row],[PRECIO INSTALLER (CON IVA)]]-Tabla130[[#This Row],[Columna4]]</f>
        <v>11908155</v>
      </c>
      <c r="E457" s="43">
        <f>+Tabla130[[#This Row],[PRECIO INSTALLER (CON IVA)]]/0.7</f>
        <v>17907000</v>
      </c>
      <c r="F457" s="41">
        <f>+Tabla130[[#This Row],[PRECIO INSTALLER (CON IVA)]]*5%</f>
        <v>626745</v>
      </c>
      <c r="G457" s="7">
        <v>0.85</v>
      </c>
      <c r="H457" s="38">
        <f>Tabla130[[#This Row],[COSTO]]*1.19</f>
        <v>10654665</v>
      </c>
      <c r="I457" s="38"/>
      <c r="J457" s="38"/>
      <c r="K457" s="36">
        <v>8953500</v>
      </c>
    </row>
    <row r="458" spans="1:11" ht="185.25" x14ac:dyDescent="0.2">
      <c r="A458" s="34" t="s">
        <v>923</v>
      </c>
      <c r="B458" s="35" t="s">
        <v>924</v>
      </c>
      <c r="C458" s="43">
        <f>+Tabla130[[#This Row],[COSTO CON IVA]]/Tabla130[[#This Row],[UTILIDAD]]</f>
        <v>5030200</v>
      </c>
      <c r="D458" s="43">
        <f>+Tabla130[[#This Row],[PRECIO INSTALLER (CON IVA)]]-Tabla130[[#This Row],[Columna4]]</f>
        <v>4778690</v>
      </c>
      <c r="E458" s="43">
        <f>+Tabla130[[#This Row],[PRECIO INSTALLER (CON IVA)]]/0.7</f>
        <v>7186000</v>
      </c>
      <c r="F458" s="41">
        <f>+Tabla130[[#This Row],[PRECIO INSTALLER (CON IVA)]]*5%</f>
        <v>251510</v>
      </c>
      <c r="G458" s="7">
        <v>0.85</v>
      </c>
      <c r="H458" s="38">
        <f>Tabla130[[#This Row],[COSTO]]*1.19</f>
        <v>4275670</v>
      </c>
      <c r="I458" s="38"/>
      <c r="J458" s="38"/>
      <c r="K458" s="36">
        <v>3593000</v>
      </c>
    </row>
    <row r="459" spans="1:11" ht="171" x14ac:dyDescent="0.2">
      <c r="A459" s="34" t="s">
        <v>925</v>
      </c>
      <c r="B459" s="35" t="s">
        <v>926</v>
      </c>
      <c r="C459" s="43">
        <f>+Tabla130[[#This Row],[COSTO CON IVA]]/Tabla130[[#This Row],[UTILIDAD]]</f>
        <v>3192000</v>
      </c>
      <c r="D459" s="43">
        <f>+Tabla130[[#This Row],[PRECIO INSTALLER (CON IVA)]]-Tabla130[[#This Row],[Columna4]]</f>
        <v>3032400</v>
      </c>
      <c r="E459" s="43">
        <f>+Tabla130[[#This Row],[PRECIO INSTALLER (CON IVA)]]/0.7</f>
        <v>4560000</v>
      </c>
      <c r="F459" s="41">
        <f>+Tabla130[[#This Row],[PRECIO INSTALLER (CON IVA)]]*5%</f>
        <v>159600</v>
      </c>
      <c r="G459" s="7">
        <v>0.85</v>
      </c>
      <c r="H459" s="38">
        <f>Tabla130[[#This Row],[COSTO]]*1.19</f>
        <v>2713200</v>
      </c>
      <c r="I459" s="38"/>
      <c r="J459" s="38"/>
      <c r="K459" s="36">
        <v>2280000</v>
      </c>
    </row>
    <row r="460" spans="1:11" ht="156.75" x14ac:dyDescent="0.2">
      <c r="A460" s="34" t="s">
        <v>61</v>
      </c>
      <c r="B460" s="35" t="s">
        <v>927</v>
      </c>
      <c r="C460" s="43">
        <f>+Tabla130[[#This Row],[COSTO CON IVA]]/Tabla130[[#This Row],[UTILIDAD]]</f>
        <v>3516240</v>
      </c>
      <c r="D460" s="43">
        <f>+Tabla130[[#This Row],[PRECIO INSTALLER (CON IVA)]]-Tabla130[[#This Row],[Columna4]]</f>
        <v>3340428</v>
      </c>
      <c r="E460" s="43">
        <f>+Tabla130[[#This Row],[PRECIO INSTALLER (CON IVA)]]/0.7</f>
        <v>5023200</v>
      </c>
      <c r="F460" s="41">
        <f>+Tabla130[[#This Row],[PRECIO INSTALLER (CON IVA)]]*5%</f>
        <v>175812</v>
      </c>
      <c r="G460" s="7">
        <v>0.85</v>
      </c>
      <c r="H460" s="38">
        <f>Tabla130[[#This Row],[COSTO]]*1.19</f>
        <v>2988804</v>
      </c>
      <c r="I460" s="38"/>
      <c r="J460" s="38"/>
      <c r="K460" s="36">
        <v>2511600</v>
      </c>
    </row>
    <row r="461" spans="1:11" ht="142.5" x14ac:dyDescent="0.2">
      <c r="A461" s="34" t="s">
        <v>60</v>
      </c>
      <c r="B461" s="35" t="s">
        <v>928</v>
      </c>
      <c r="C461" s="43">
        <f>+Tabla130[[#This Row],[COSTO CON IVA]]/Tabla130[[#This Row],[UTILIDAD]]</f>
        <v>1680000</v>
      </c>
      <c r="D461" s="43">
        <f>+Tabla130[[#This Row],[PRECIO INSTALLER (CON IVA)]]-Tabla130[[#This Row],[Columna4]]</f>
        <v>1596000</v>
      </c>
      <c r="E461" s="43">
        <f>+Tabla130[[#This Row],[PRECIO INSTALLER (CON IVA)]]/0.7</f>
        <v>2400000</v>
      </c>
      <c r="F461" s="41">
        <f>+Tabla130[[#This Row],[PRECIO INSTALLER (CON IVA)]]*5%</f>
        <v>84000</v>
      </c>
      <c r="G461" s="7">
        <v>0.85</v>
      </c>
      <c r="H461" s="38">
        <f>Tabla130[[#This Row],[COSTO]]*1.19</f>
        <v>1428000</v>
      </c>
      <c r="I461" s="38"/>
      <c r="J461" s="38"/>
      <c r="K461" s="36">
        <v>1200000</v>
      </c>
    </row>
    <row r="462" spans="1:11" ht="171" x14ac:dyDescent="0.2">
      <c r="A462" s="34" t="s">
        <v>929</v>
      </c>
      <c r="B462" s="35" t="s">
        <v>930</v>
      </c>
      <c r="C462" s="43">
        <f>+Tabla130[[#This Row],[COSTO CON IVA]]/Tabla130[[#This Row],[UTILIDAD]]</f>
        <v>2563680</v>
      </c>
      <c r="D462" s="43">
        <f>+Tabla130[[#This Row],[PRECIO INSTALLER (CON IVA)]]-Tabla130[[#This Row],[Columna4]]</f>
        <v>2435496</v>
      </c>
      <c r="E462" s="43">
        <f>+Tabla130[[#This Row],[PRECIO INSTALLER (CON IVA)]]/0.7</f>
        <v>3662400</v>
      </c>
      <c r="F462" s="41">
        <f>+Tabla130[[#This Row],[PRECIO INSTALLER (CON IVA)]]*5%</f>
        <v>128184</v>
      </c>
      <c r="G462" s="7">
        <v>0.85</v>
      </c>
      <c r="H462" s="38">
        <f>Tabla130[[#This Row],[COSTO]]*1.19</f>
        <v>2179128</v>
      </c>
      <c r="I462" s="38"/>
      <c r="J462" s="38"/>
      <c r="K462" s="36">
        <v>1831200</v>
      </c>
    </row>
    <row r="463" spans="1:11" ht="156.75" x14ac:dyDescent="0.2">
      <c r="A463" s="34" t="s">
        <v>931</v>
      </c>
      <c r="B463" s="35" t="s">
        <v>932</v>
      </c>
      <c r="C463" s="43">
        <f>+Tabla130[[#This Row],[COSTO CON IVA]]/Tabla130[[#This Row],[UTILIDAD]]</f>
        <v>1595300</v>
      </c>
      <c r="D463" s="43">
        <f>+Tabla130[[#This Row],[PRECIO INSTALLER (CON IVA)]]-Tabla130[[#This Row],[Columna4]]</f>
        <v>1515535</v>
      </c>
      <c r="E463" s="43">
        <f>+Tabla130[[#This Row],[PRECIO INSTALLER (CON IVA)]]/0.7</f>
        <v>2279000</v>
      </c>
      <c r="F463" s="41">
        <f>+Tabla130[[#This Row],[PRECIO INSTALLER (CON IVA)]]*5%</f>
        <v>79765</v>
      </c>
      <c r="G463" s="7">
        <v>0.85</v>
      </c>
      <c r="H463" s="38">
        <f>Tabla130[[#This Row],[COSTO]]*1.19</f>
        <v>1356005</v>
      </c>
      <c r="I463" s="38"/>
      <c r="J463" s="38"/>
      <c r="K463" s="36">
        <v>1139500</v>
      </c>
    </row>
    <row r="464" spans="1:11" ht="171" x14ac:dyDescent="0.2">
      <c r="A464" s="34" t="s">
        <v>933</v>
      </c>
      <c r="B464" s="35" t="s">
        <v>934</v>
      </c>
      <c r="C464" s="43">
        <f>+Tabla130[[#This Row],[COSTO CON IVA]]/Tabla130[[#This Row],[UTILIDAD]]</f>
        <v>2767800</v>
      </c>
      <c r="D464" s="43">
        <f>+Tabla130[[#This Row],[PRECIO INSTALLER (CON IVA)]]-Tabla130[[#This Row],[Columna4]]</f>
        <v>2629410</v>
      </c>
      <c r="E464" s="43">
        <f>+Tabla130[[#This Row],[PRECIO INSTALLER (CON IVA)]]/0.7</f>
        <v>3954000.0000000005</v>
      </c>
      <c r="F464" s="41">
        <f>+Tabla130[[#This Row],[PRECIO INSTALLER (CON IVA)]]*5%</f>
        <v>138390</v>
      </c>
      <c r="G464" s="7">
        <v>0.85</v>
      </c>
      <c r="H464" s="38">
        <f>Tabla130[[#This Row],[COSTO]]*1.19</f>
        <v>2352630</v>
      </c>
      <c r="I464" s="38"/>
      <c r="J464" s="38"/>
      <c r="K464" s="36">
        <v>1977000</v>
      </c>
    </row>
    <row r="465" spans="1:11" ht="171" x14ac:dyDescent="0.2">
      <c r="A465" s="34" t="s">
        <v>59</v>
      </c>
      <c r="B465" s="35" t="s">
        <v>935</v>
      </c>
      <c r="C465" s="43">
        <f>+Tabla130[[#This Row],[COSTO CON IVA]]/Tabla130[[#This Row],[UTILIDAD]]</f>
        <v>2472960</v>
      </c>
      <c r="D465" s="43">
        <f>+Tabla130[[#This Row],[PRECIO INSTALLER (CON IVA)]]-Tabla130[[#This Row],[Columna4]]</f>
        <v>2349312</v>
      </c>
      <c r="E465" s="43">
        <f>+Tabla130[[#This Row],[PRECIO INSTALLER (CON IVA)]]/0.7</f>
        <v>3532800</v>
      </c>
      <c r="F465" s="41">
        <f>+Tabla130[[#This Row],[PRECIO INSTALLER (CON IVA)]]*5%</f>
        <v>123648</v>
      </c>
      <c r="G465" s="7">
        <v>0.85</v>
      </c>
      <c r="H465" s="38">
        <f>Tabla130[[#This Row],[COSTO]]*1.19</f>
        <v>2102016</v>
      </c>
      <c r="I465" s="38"/>
      <c r="J465" s="38"/>
      <c r="K465" s="36">
        <v>1766400</v>
      </c>
    </row>
    <row r="466" spans="1:11" ht="185.25" x14ac:dyDescent="0.2">
      <c r="A466" s="34" t="s">
        <v>936</v>
      </c>
      <c r="B466" s="35" t="s">
        <v>937</v>
      </c>
      <c r="C466" s="43">
        <f>+Tabla130[[#This Row],[COSTO CON IVA]]/Tabla130[[#This Row],[UTILIDAD]]</f>
        <v>3255840</v>
      </c>
      <c r="D466" s="43">
        <f>+Tabla130[[#This Row],[PRECIO INSTALLER (CON IVA)]]-Tabla130[[#This Row],[Columna4]]</f>
        <v>3093048</v>
      </c>
      <c r="E466" s="43">
        <f>+Tabla130[[#This Row],[PRECIO INSTALLER (CON IVA)]]/0.7</f>
        <v>4651200</v>
      </c>
      <c r="F466" s="41">
        <f>+Tabla130[[#This Row],[PRECIO INSTALLER (CON IVA)]]*5%</f>
        <v>162792</v>
      </c>
      <c r="G466" s="7">
        <v>0.85</v>
      </c>
      <c r="H466" s="38">
        <f>Tabla130[[#This Row],[COSTO]]*1.19</f>
        <v>2767464</v>
      </c>
      <c r="I466" s="38"/>
      <c r="J466" s="38"/>
      <c r="K466" s="36">
        <v>2325600</v>
      </c>
    </row>
    <row r="467" spans="1:11" ht="171" x14ac:dyDescent="0.2">
      <c r="A467" s="34" t="s">
        <v>58</v>
      </c>
      <c r="B467" s="35" t="s">
        <v>938</v>
      </c>
      <c r="C467" s="43">
        <f>+Tabla130[[#This Row],[COSTO CON IVA]]/Tabla130[[#This Row],[UTILIDAD]]</f>
        <v>1611960</v>
      </c>
      <c r="D467" s="43">
        <f>+Tabla130[[#This Row],[PRECIO INSTALLER (CON IVA)]]-Tabla130[[#This Row],[Columna4]]</f>
        <v>1531362</v>
      </c>
      <c r="E467" s="43">
        <f>+Tabla130[[#This Row],[PRECIO INSTALLER (CON IVA)]]/0.7</f>
        <v>2302800</v>
      </c>
      <c r="F467" s="41">
        <f>+Tabla130[[#This Row],[PRECIO INSTALLER (CON IVA)]]*5%</f>
        <v>80598</v>
      </c>
      <c r="G467" s="7">
        <v>0.85</v>
      </c>
      <c r="H467" s="38">
        <f>Tabla130[[#This Row],[COSTO]]*1.19</f>
        <v>1370166</v>
      </c>
      <c r="I467" s="38"/>
      <c r="J467" s="38"/>
      <c r="K467" s="36">
        <v>1151400</v>
      </c>
    </row>
    <row r="468" spans="1:11" ht="156.75" x14ac:dyDescent="0.2">
      <c r="A468" s="34" t="s">
        <v>939</v>
      </c>
      <c r="B468" s="35" t="s">
        <v>940</v>
      </c>
      <c r="C468" s="43">
        <f>+Tabla130[[#This Row],[COSTO CON IVA]]/Tabla130[[#This Row],[UTILIDAD]]</f>
        <v>1019760</v>
      </c>
      <c r="D468" s="43">
        <f>+Tabla130[[#This Row],[PRECIO INSTALLER (CON IVA)]]-Tabla130[[#This Row],[Columna4]]</f>
        <v>968772</v>
      </c>
      <c r="E468" s="43">
        <f>+Tabla130[[#This Row],[PRECIO INSTALLER (CON IVA)]]/0.7</f>
        <v>1456800</v>
      </c>
      <c r="F468" s="41">
        <f>+Tabla130[[#This Row],[PRECIO INSTALLER (CON IVA)]]*5%</f>
        <v>50988</v>
      </c>
      <c r="G468" s="7">
        <v>0.85</v>
      </c>
      <c r="H468" s="38">
        <f>Tabla130[[#This Row],[COSTO]]*1.19</f>
        <v>866796</v>
      </c>
      <c r="I468" s="38"/>
      <c r="J468" s="38"/>
      <c r="K468" s="36">
        <v>728400</v>
      </c>
    </row>
    <row r="469" spans="1:11" ht="185.25" x14ac:dyDescent="0.2">
      <c r="A469" s="34" t="s">
        <v>57</v>
      </c>
      <c r="B469" s="35" t="s">
        <v>941</v>
      </c>
      <c r="C469" s="43">
        <f>+Tabla130[[#This Row],[COSTO CON IVA]]/Tabla130[[#This Row],[UTILIDAD]]</f>
        <v>3092880</v>
      </c>
      <c r="D469" s="43">
        <f>+Tabla130[[#This Row],[PRECIO INSTALLER (CON IVA)]]-Tabla130[[#This Row],[Columna4]]</f>
        <v>2938236</v>
      </c>
      <c r="E469" s="43">
        <f>+Tabla130[[#This Row],[PRECIO INSTALLER (CON IVA)]]/0.7</f>
        <v>4418400</v>
      </c>
      <c r="F469" s="41">
        <f>+Tabla130[[#This Row],[PRECIO INSTALLER (CON IVA)]]*5%</f>
        <v>154644</v>
      </c>
      <c r="G469" s="7">
        <v>0.85</v>
      </c>
      <c r="H469" s="38">
        <f>Tabla130[[#This Row],[COSTO]]*1.19</f>
        <v>2628948</v>
      </c>
      <c r="I469" s="38"/>
      <c r="J469" s="38"/>
      <c r="K469" s="36">
        <v>2209200</v>
      </c>
    </row>
    <row r="470" spans="1:11" ht="156.75" x14ac:dyDescent="0.2">
      <c r="A470" s="34" t="s">
        <v>56</v>
      </c>
      <c r="B470" s="35" t="s">
        <v>942</v>
      </c>
      <c r="C470" s="43">
        <f>+Tabla130[[#This Row],[COSTO CON IVA]]/Tabla130[[#This Row],[UTILIDAD]]</f>
        <v>2197580</v>
      </c>
      <c r="D470" s="43">
        <f>+Tabla130[[#This Row],[PRECIO INSTALLER (CON IVA)]]-Tabla130[[#This Row],[Columna4]]</f>
        <v>2087701</v>
      </c>
      <c r="E470" s="43">
        <f>+Tabla130[[#This Row],[PRECIO INSTALLER (CON IVA)]]/0.7</f>
        <v>3139400</v>
      </c>
      <c r="F470" s="41">
        <f>+Tabla130[[#This Row],[PRECIO INSTALLER (CON IVA)]]*5%</f>
        <v>109879</v>
      </c>
      <c r="G470" s="7">
        <v>0.85</v>
      </c>
      <c r="H470" s="38">
        <f>Tabla130[[#This Row],[COSTO]]*1.19</f>
        <v>1867943</v>
      </c>
      <c r="I470" s="38"/>
      <c r="J470" s="38"/>
      <c r="K470" s="36">
        <v>1569700</v>
      </c>
    </row>
    <row r="471" spans="1:11" ht="142.5" x14ac:dyDescent="0.2">
      <c r="A471" s="34" t="s">
        <v>55</v>
      </c>
      <c r="B471" s="35" t="s">
        <v>943</v>
      </c>
      <c r="C471" s="43">
        <f>+Tabla130[[#This Row],[COSTO CON IVA]]/Tabla130[[#This Row],[UTILIDAD]]</f>
        <v>1290100</v>
      </c>
      <c r="D471" s="43">
        <f>+Tabla130[[#This Row],[PRECIO INSTALLER (CON IVA)]]-Tabla130[[#This Row],[Columna4]]</f>
        <v>1225595</v>
      </c>
      <c r="E471" s="43">
        <f>+Tabla130[[#This Row],[PRECIO INSTALLER (CON IVA)]]/0.7</f>
        <v>1843000.0000000002</v>
      </c>
      <c r="F471" s="41">
        <f>+Tabla130[[#This Row],[PRECIO INSTALLER (CON IVA)]]*5%</f>
        <v>64505</v>
      </c>
      <c r="G471" s="7">
        <v>0.85</v>
      </c>
      <c r="H471" s="38">
        <f>Tabla130[[#This Row],[COSTO]]*1.19</f>
        <v>1096585</v>
      </c>
      <c r="I471" s="38"/>
      <c r="J471" s="38"/>
      <c r="K471" s="36">
        <v>921500</v>
      </c>
    </row>
    <row r="472" spans="1:11" ht="156.75" x14ac:dyDescent="0.2">
      <c r="A472" s="34" t="s">
        <v>54</v>
      </c>
      <c r="B472" s="35" t="s">
        <v>944</v>
      </c>
      <c r="C472" s="43">
        <f>+Tabla130[[#This Row],[COSTO CON IVA]]/Tabla130[[#This Row],[UTILIDAD]]</f>
        <v>1464960</v>
      </c>
      <c r="D472" s="43">
        <f>+Tabla130[[#This Row],[PRECIO INSTALLER (CON IVA)]]-Tabla130[[#This Row],[Columna4]]</f>
        <v>1391712</v>
      </c>
      <c r="E472" s="43">
        <f>+Tabla130[[#This Row],[PRECIO INSTALLER (CON IVA)]]/0.7</f>
        <v>2092800.0000000002</v>
      </c>
      <c r="F472" s="41">
        <f>+Tabla130[[#This Row],[PRECIO INSTALLER (CON IVA)]]*5%</f>
        <v>73248</v>
      </c>
      <c r="G472" s="7">
        <v>0.85</v>
      </c>
      <c r="H472" s="38">
        <f>Tabla130[[#This Row],[COSTO]]*1.19</f>
        <v>1245216</v>
      </c>
      <c r="I472" s="38"/>
      <c r="J472" s="38"/>
      <c r="K472" s="36">
        <v>1046400</v>
      </c>
    </row>
    <row r="473" spans="1:11" ht="142.5" x14ac:dyDescent="0.2">
      <c r="A473" s="34" t="s">
        <v>53</v>
      </c>
      <c r="B473" s="35" t="s">
        <v>945</v>
      </c>
      <c r="C473" s="43">
        <f>+Tabla130[[#This Row],[COSTO CON IVA]]/Tabla130[[#This Row],[UTILIDAD]]</f>
        <v>937580</v>
      </c>
      <c r="D473" s="43">
        <f>+Tabla130[[#This Row],[PRECIO INSTALLER (CON IVA)]]-Tabla130[[#This Row],[Columna4]]</f>
        <v>890701</v>
      </c>
      <c r="E473" s="43">
        <f>+Tabla130[[#This Row],[PRECIO INSTALLER (CON IVA)]]/0.7</f>
        <v>1339400</v>
      </c>
      <c r="F473" s="41">
        <f>+Tabla130[[#This Row],[PRECIO INSTALLER (CON IVA)]]*5%</f>
        <v>46879</v>
      </c>
      <c r="G473" s="7">
        <v>0.85</v>
      </c>
      <c r="H473" s="38">
        <f>Tabla130[[#This Row],[COSTO]]*1.19</f>
        <v>796943</v>
      </c>
      <c r="I473" s="38"/>
      <c r="J473" s="38"/>
      <c r="K473" s="36">
        <v>669700</v>
      </c>
    </row>
    <row r="474" spans="1:11" ht="156.75" x14ac:dyDescent="0.2">
      <c r="A474" s="34" t="s">
        <v>52</v>
      </c>
      <c r="B474" s="35" t="s">
        <v>946</v>
      </c>
      <c r="C474" s="43">
        <f>+Tabla130[[#This Row],[COSTO CON IVA]]/Tabla130[[#This Row],[UTILIDAD]]</f>
        <v>798000</v>
      </c>
      <c r="D474" s="43">
        <f>+Tabla130[[#This Row],[PRECIO INSTALLER (CON IVA)]]-Tabla130[[#This Row],[Columna4]]</f>
        <v>758100</v>
      </c>
      <c r="E474" s="43">
        <f>+Tabla130[[#This Row],[PRECIO INSTALLER (CON IVA)]]/0.7</f>
        <v>1140000</v>
      </c>
      <c r="F474" s="41">
        <f>+Tabla130[[#This Row],[PRECIO INSTALLER (CON IVA)]]*5%</f>
        <v>39900</v>
      </c>
      <c r="G474" s="7">
        <v>0.85</v>
      </c>
      <c r="H474" s="38">
        <f>Tabla130[[#This Row],[COSTO]]*1.19</f>
        <v>678300</v>
      </c>
      <c r="I474" s="38"/>
      <c r="J474" s="38"/>
      <c r="K474" s="36">
        <v>570000</v>
      </c>
    </row>
    <row r="475" spans="1:11" ht="99.75" x14ac:dyDescent="0.2">
      <c r="A475" s="34" t="s">
        <v>947</v>
      </c>
      <c r="B475" s="35" t="s">
        <v>948</v>
      </c>
      <c r="C475" s="43">
        <f>+Tabla130[[#This Row],[COSTO CON IVA]]/Tabla130[[#This Row],[UTILIDAD]]</f>
        <v>1953840</v>
      </c>
      <c r="D475" s="43">
        <f>+Tabla130[[#This Row],[PRECIO INSTALLER (CON IVA)]]-Tabla130[[#This Row],[Columna4]]</f>
        <v>1856148</v>
      </c>
      <c r="E475" s="43">
        <f>+Tabla130[[#This Row],[PRECIO INSTALLER (CON IVA)]]/0.7</f>
        <v>2791200</v>
      </c>
      <c r="F475" s="41">
        <f>+Tabla130[[#This Row],[PRECIO INSTALLER (CON IVA)]]*5%</f>
        <v>97692</v>
      </c>
      <c r="G475" s="7">
        <v>0.85</v>
      </c>
      <c r="H475" s="38">
        <f>Tabla130[[#This Row],[COSTO]]*1.19</f>
        <v>1660764</v>
      </c>
      <c r="I475" s="38"/>
      <c r="J475" s="38"/>
      <c r="K475" s="36">
        <v>1395600</v>
      </c>
    </row>
    <row r="476" spans="1:11" ht="99.75" x14ac:dyDescent="0.2">
      <c r="A476" s="34" t="s">
        <v>949</v>
      </c>
      <c r="B476" s="35" t="s">
        <v>950</v>
      </c>
      <c r="C476" s="43">
        <f>+Tabla130[[#This Row],[COSTO CON IVA]]/Tabla130[[#This Row],[UTILIDAD]]</f>
        <v>1465100</v>
      </c>
      <c r="D476" s="43">
        <f>+Tabla130[[#This Row],[PRECIO INSTALLER (CON IVA)]]-Tabla130[[#This Row],[Columna4]]</f>
        <v>1391845</v>
      </c>
      <c r="E476" s="43">
        <f>+Tabla130[[#This Row],[PRECIO INSTALLER (CON IVA)]]/0.7</f>
        <v>2093000.0000000002</v>
      </c>
      <c r="F476" s="41">
        <f>+Tabla130[[#This Row],[PRECIO INSTALLER (CON IVA)]]*5%</f>
        <v>73255</v>
      </c>
      <c r="G476" s="7">
        <v>0.85</v>
      </c>
      <c r="H476" s="38">
        <f>Tabla130[[#This Row],[COSTO]]*1.19</f>
        <v>1245335</v>
      </c>
      <c r="I476" s="38"/>
      <c r="J476" s="38"/>
      <c r="K476" s="36">
        <v>1046500</v>
      </c>
    </row>
    <row r="477" spans="1:11" ht="85.5" x14ac:dyDescent="0.2">
      <c r="A477" s="34" t="s">
        <v>48</v>
      </c>
      <c r="B477" s="35" t="s">
        <v>951</v>
      </c>
      <c r="C477" s="43">
        <f>+Tabla130[[#This Row],[COSTO CON IVA]]/Tabla130[[#This Row],[UTILIDAD]]</f>
        <v>1432620</v>
      </c>
      <c r="D477" s="43">
        <f>+Tabla130[[#This Row],[PRECIO INSTALLER (CON IVA)]]-Tabla130[[#This Row],[Columna4]]</f>
        <v>1360989</v>
      </c>
      <c r="E477" s="43">
        <f>+Tabla130[[#This Row],[PRECIO INSTALLER (CON IVA)]]/0.7</f>
        <v>2046600.0000000002</v>
      </c>
      <c r="F477" s="41">
        <f>+Tabla130[[#This Row],[PRECIO INSTALLER (CON IVA)]]*5%</f>
        <v>71631</v>
      </c>
      <c r="G477" s="7">
        <v>0.85</v>
      </c>
      <c r="H477" s="38">
        <f>Tabla130[[#This Row],[COSTO]]*1.19</f>
        <v>1217727</v>
      </c>
      <c r="I477" s="38"/>
      <c r="J477" s="38"/>
      <c r="K477" s="36">
        <v>1023300</v>
      </c>
    </row>
    <row r="478" spans="1:11" ht="199.5" x14ac:dyDescent="0.2">
      <c r="A478" s="34" t="s">
        <v>47</v>
      </c>
      <c r="B478" s="35" t="s">
        <v>952</v>
      </c>
      <c r="C478" s="43">
        <f>+Tabla130[[#This Row],[COSTO CON IVA]]/Tabla130[[#This Row],[UTILIDAD]]</f>
        <v>717920</v>
      </c>
      <c r="D478" s="43">
        <f>+Tabla130[[#This Row],[PRECIO INSTALLER (CON IVA)]]-Tabla130[[#This Row],[Columna4]]</f>
        <v>682024</v>
      </c>
      <c r="E478" s="43">
        <f>+Tabla130[[#This Row],[PRECIO INSTALLER (CON IVA)]]/0.7</f>
        <v>1025600.0000000001</v>
      </c>
      <c r="F478" s="41">
        <f>+Tabla130[[#This Row],[PRECIO INSTALLER (CON IVA)]]*5%</f>
        <v>35896</v>
      </c>
      <c r="G478" s="7">
        <v>0.85</v>
      </c>
      <c r="H478" s="38">
        <f>Tabla130[[#This Row],[COSTO]]*1.19</f>
        <v>610232</v>
      </c>
      <c r="I478" s="38"/>
      <c r="J478" s="38"/>
      <c r="K478" s="36">
        <v>512800</v>
      </c>
    </row>
    <row r="479" spans="1:11" ht="213.75" x14ac:dyDescent="0.2">
      <c r="A479" s="34" t="s">
        <v>46</v>
      </c>
      <c r="B479" s="35" t="s">
        <v>953</v>
      </c>
      <c r="C479" s="43">
        <f>+Tabla130[[#This Row],[COSTO CON IVA]]/Tabla130[[#This Row],[UTILIDAD]]</f>
        <v>584360</v>
      </c>
      <c r="D479" s="43">
        <f>+Tabla130[[#This Row],[PRECIO INSTALLER (CON IVA)]]-Tabla130[[#This Row],[Columna4]]</f>
        <v>555142</v>
      </c>
      <c r="E479" s="43">
        <f>+Tabla130[[#This Row],[PRECIO INSTALLER (CON IVA)]]/0.7</f>
        <v>834800</v>
      </c>
      <c r="F479" s="41">
        <f>+Tabla130[[#This Row],[PRECIO INSTALLER (CON IVA)]]*5%</f>
        <v>29218</v>
      </c>
      <c r="G479" s="7">
        <v>0.85</v>
      </c>
      <c r="H479" s="38">
        <f>Tabla130[[#This Row],[COSTO]]*1.19</f>
        <v>496706</v>
      </c>
      <c r="I479" s="38"/>
      <c r="J479" s="38"/>
      <c r="K479" s="36">
        <v>417400</v>
      </c>
    </row>
    <row r="480" spans="1:11" ht="171" x14ac:dyDescent="0.2">
      <c r="A480" s="34" t="s">
        <v>45</v>
      </c>
      <c r="B480" s="35" t="s">
        <v>954</v>
      </c>
      <c r="C480" s="43">
        <f>+Tabla130[[#This Row],[COSTO CON IVA]]/Tabla130[[#This Row],[UTILIDAD]]</f>
        <v>600740</v>
      </c>
      <c r="D480" s="43">
        <f>+Tabla130[[#This Row],[PRECIO INSTALLER (CON IVA)]]-Tabla130[[#This Row],[Columna4]]</f>
        <v>570703</v>
      </c>
      <c r="E480" s="43">
        <f>+Tabla130[[#This Row],[PRECIO INSTALLER (CON IVA)]]/0.7</f>
        <v>858200</v>
      </c>
      <c r="F480" s="41">
        <f>+Tabla130[[#This Row],[PRECIO INSTALLER (CON IVA)]]*5%</f>
        <v>30037</v>
      </c>
      <c r="G480" s="7">
        <v>0.85</v>
      </c>
      <c r="H480" s="38">
        <f>Tabla130[[#This Row],[COSTO]]*1.19</f>
        <v>510629</v>
      </c>
      <c r="I480" s="38"/>
      <c r="J480" s="38"/>
      <c r="K480" s="36">
        <v>429100</v>
      </c>
    </row>
    <row r="481" spans="1:11" ht="171" x14ac:dyDescent="0.2">
      <c r="A481" s="34" t="s">
        <v>44</v>
      </c>
      <c r="B481" s="35" t="s">
        <v>955</v>
      </c>
      <c r="C481" s="43">
        <f>+Tabla130[[#This Row],[COSTO CON IVA]]/Tabla130[[#This Row],[UTILIDAD]]</f>
        <v>509600</v>
      </c>
      <c r="D481" s="43">
        <f>+Tabla130[[#This Row],[PRECIO INSTALLER (CON IVA)]]-Tabla130[[#This Row],[Columna4]]</f>
        <v>484120</v>
      </c>
      <c r="E481" s="43">
        <f>+Tabla130[[#This Row],[PRECIO INSTALLER (CON IVA)]]/0.7</f>
        <v>728000</v>
      </c>
      <c r="F481" s="41">
        <f>+Tabla130[[#This Row],[PRECIO INSTALLER (CON IVA)]]*5%</f>
        <v>25480</v>
      </c>
      <c r="G481" s="7">
        <v>0.85</v>
      </c>
      <c r="H481" s="38">
        <f>Tabla130[[#This Row],[COSTO]]*1.19</f>
        <v>433160</v>
      </c>
      <c r="I481" s="38"/>
      <c r="J481" s="38"/>
      <c r="K481" s="36">
        <v>364000</v>
      </c>
    </row>
    <row r="482" spans="1:11" ht="142.5" x14ac:dyDescent="0.2">
      <c r="A482" s="34" t="s">
        <v>956</v>
      </c>
      <c r="B482" s="35" t="s">
        <v>957</v>
      </c>
      <c r="C482" s="43">
        <f>+Tabla130[[#This Row],[COSTO CON IVA]]/Tabla130[[#This Row],[UTILIDAD]]</f>
        <v>1106000</v>
      </c>
      <c r="D482" s="43">
        <f>+Tabla130[[#This Row],[PRECIO INSTALLER (CON IVA)]]-Tabla130[[#This Row],[Columna4]]</f>
        <v>1050700</v>
      </c>
      <c r="E482" s="43">
        <f>+Tabla130[[#This Row],[PRECIO INSTALLER (CON IVA)]]/0.7</f>
        <v>1580000</v>
      </c>
      <c r="F482" s="41">
        <f>+Tabla130[[#This Row],[PRECIO INSTALLER (CON IVA)]]*5%</f>
        <v>55300</v>
      </c>
      <c r="G482" s="7">
        <v>0.85</v>
      </c>
      <c r="H482" s="38">
        <f>Tabla130[[#This Row],[COSTO]]*1.19</f>
        <v>940100</v>
      </c>
      <c r="I482" s="38"/>
      <c r="J482" s="38"/>
      <c r="K482" s="36">
        <v>790000</v>
      </c>
    </row>
    <row r="483" spans="1:11" ht="128.25" x14ac:dyDescent="0.2">
      <c r="A483" s="34" t="s">
        <v>958</v>
      </c>
      <c r="B483" s="35" t="s">
        <v>959</v>
      </c>
      <c r="C483" s="43">
        <f>+Tabla130[[#This Row],[COSTO CON IVA]]/Tabla130[[#This Row],[UTILIDAD]]</f>
        <v>868000</v>
      </c>
      <c r="D483" s="43">
        <f>+Tabla130[[#This Row],[PRECIO INSTALLER (CON IVA)]]-Tabla130[[#This Row],[Columna4]]</f>
        <v>824600</v>
      </c>
      <c r="E483" s="43">
        <f>+Tabla130[[#This Row],[PRECIO INSTALLER (CON IVA)]]/0.7</f>
        <v>1240000</v>
      </c>
      <c r="F483" s="41">
        <f>+Tabla130[[#This Row],[PRECIO INSTALLER (CON IVA)]]*5%</f>
        <v>43400</v>
      </c>
      <c r="G483" s="7">
        <v>0.85</v>
      </c>
      <c r="H483" s="38">
        <f>Tabla130[[#This Row],[COSTO]]*1.19</f>
        <v>737800</v>
      </c>
      <c r="I483" s="38"/>
      <c r="J483" s="38"/>
      <c r="K483" s="36">
        <v>620000</v>
      </c>
    </row>
    <row r="484" spans="1:11" ht="142.5" x14ac:dyDescent="0.2">
      <c r="A484" s="34" t="s">
        <v>960</v>
      </c>
      <c r="B484" s="35" t="s">
        <v>961</v>
      </c>
      <c r="C484" s="43">
        <f>+Tabla130[[#This Row],[COSTO CON IVA]]/Tabla130[[#This Row],[UTILIDAD]]</f>
        <v>714000</v>
      </c>
      <c r="D484" s="43">
        <f>+Tabla130[[#This Row],[PRECIO INSTALLER (CON IVA)]]-Tabla130[[#This Row],[Columna4]]</f>
        <v>678300</v>
      </c>
      <c r="E484" s="43">
        <f>+Tabla130[[#This Row],[PRECIO INSTALLER (CON IVA)]]/0.7</f>
        <v>1020000.0000000001</v>
      </c>
      <c r="F484" s="41">
        <f>+Tabla130[[#This Row],[PRECIO INSTALLER (CON IVA)]]*5%</f>
        <v>35700</v>
      </c>
      <c r="G484" s="7">
        <v>0.85</v>
      </c>
      <c r="H484" s="38">
        <f>Tabla130[[#This Row],[COSTO]]*1.19</f>
        <v>606900</v>
      </c>
      <c r="I484" s="38"/>
      <c r="J484" s="38"/>
      <c r="K484" s="36">
        <v>510000</v>
      </c>
    </row>
    <row r="485" spans="1:11" ht="142.5" x14ac:dyDescent="0.2">
      <c r="A485" s="34" t="s">
        <v>962</v>
      </c>
      <c r="B485" s="35" t="s">
        <v>963</v>
      </c>
      <c r="C485" s="43">
        <f>+Tabla130[[#This Row],[COSTO CON IVA]]/Tabla130[[#This Row],[UTILIDAD]]</f>
        <v>672000</v>
      </c>
      <c r="D485" s="43">
        <f>+Tabla130[[#This Row],[PRECIO INSTALLER (CON IVA)]]-Tabla130[[#This Row],[Columna4]]</f>
        <v>638400</v>
      </c>
      <c r="E485" s="43">
        <f>+Tabla130[[#This Row],[PRECIO INSTALLER (CON IVA)]]/0.7</f>
        <v>960000.00000000012</v>
      </c>
      <c r="F485" s="41">
        <f>+Tabla130[[#This Row],[PRECIO INSTALLER (CON IVA)]]*5%</f>
        <v>33600</v>
      </c>
      <c r="G485" s="7">
        <v>0.85</v>
      </c>
      <c r="H485" s="38">
        <f>Tabla130[[#This Row],[COSTO]]*1.19</f>
        <v>571200</v>
      </c>
      <c r="I485" s="38"/>
      <c r="J485" s="38"/>
      <c r="K485" s="36">
        <v>480000</v>
      </c>
    </row>
    <row r="486" spans="1:11" ht="142.5" x14ac:dyDescent="0.2">
      <c r="A486" s="34" t="s">
        <v>964</v>
      </c>
      <c r="B486" s="35" t="s">
        <v>965</v>
      </c>
      <c r="C486" s="43">
        <f>+Tabla130[[#This Row],[COSTO CON IVA]]/Tabla130[[#This Row],[UTILIDAD]]</f>
        <v>546000</v>
      </c>
      <c r="D486" s="43">
        <f>+Tabla130[[#This Row],[PRECIO INSTALLER (CON IVA)]]-Tabla130[[#This Row],[Columna4]]</f>
        <v>518700</v>
      </c>
      <c r="E486" s="43">
        <f>+Tabla130[[#This Row],[PRECIO INSTALLER (CON IVA)]]/0.7</f>
        <v>780000</v>
      </c>
      <c r="F486" s="41">
        <f>+Tabla130[[#This Row],[PRECIO INSTALLER (CON IVA)]]*5%</f>
        <v>27300</v>
      </c>
      <c r="G486" s="7">
        <v>0.85</v>
      </c>
      <c r="H486" s="38">
        <f>Tabla130[[#This Row],[COSTO]]*1.19</f>
        <v>464100</v>
      </c>
      <c r="I486" s="38"/>
      <c r="J486" s="38"/>
      <c r="K486" s="36">
        <v>390000</v>
      </c>
    </row>
    <row r="487" spans="1:11" ht="142.5" x14ac:dyDescent="0.2">
      <c r="A487" s="34" t="s">
        <v>43</v>
      </c>
      <c r="B487" s="35" t="s">
        <v>966</v>
      </c>
      <c r="C487" s="43">
        <f>+Tabla130[[#This Row],[COSTO CON IVA]]/Tabla130[[#This Row],[UTILIDAD]]</f>
        <v>420000</v>
      </c>
      <c r="D487" s="43">
        <f>+Tabla130[[#This Row],[PRECIO INSTALLER (CON IVA)]]-Tabla130[[#This Row],[Columna4]]</f>
        <v>399000</v>
      </c>
      <c r="E487" s="43">
        <f>+Tabla130[[#This Row],[PRECIO INSTALLER (CON IVA)]]/0.7</f>
        <v>600000</v>
      </c>
      <c r="F487" s="41">
        <f>+Tabla130[[#This Row],[PRECIO INSTALLER (CON IVA)]]*5%</f>
        <v>21000</v>
      </c>
      <c r="G487" s="7">
        <v>0.85</v>
      </c>
      <c r="H487" s="38">
        <f>Tabla130[[#This Row],[COSTO]]*1.19</f>
        <v>357000</v>
      </c>
      <c r="I487" s="38"/>
      <c r="J487" s="38"/>
      <c r="K487" s="36">
        <v>300000</v>
      </c>
    </row>
    <row r="488" spans="1:11" ht="142.5" x14ac:dyDescent="0.2">
      <c r="A488" s="34" t="s">
        <v>967</v>
      </c>
      <c r="B488" s="35" t="s">
        <v>968</v>
      </c>
      <c r="C488" s="43">
        <f>+Tabla130[[#This Row],[COSTO CON IVA]]/Tabla130[[#This Row],[UTILIDAD]]</f>
        <v>448000</v>
      </c>
      <c r="D488" s="43">
        <f>+Tabla130[[#This Row],[PRECIO INSTALLER (CON IVA)]]-Tabla130[[#This Row],[Columna4]]</f>
        <v>425600</v>
      </c>
      <c r="E488" s="43">
        <f>+Tabla130[[#This Row],[PRECIO INSTALLER (CON IVA)]]/0.7</f>
        <v>640000</v>
      </c>
      <c r="F488" s="41">
        <f>+Tabla130[[#This Row],[PRECIO INSTALLER (CON IVA)]]*5%</f>
        <v>22400</v>
      </c>
      <c r="G488" s="7">
        <v>0.85</v>
      </c>
      <c r="H488" s="38">
        <f>Tabla130[[#This Row],[COSTO]]*1.19</f>
        <v>380800</v>
      </c>
      <c r="I488" s="38"/>
      <c r="J488" s="38"/>
      <c r="K488" s="36">
        <v>320000</v>
      </c>
    </row>
    <row r="489" spans="1:11" ht="156.75" x14ac:dyDescent="0.2">
      <c r="A489" s="34" t="s">
        <v>969</v>
      </c>
      <c r="B489" s="35" t="s">
        <v>970</v>
      </c>
      <c r="C489" s="43">
        <f>+Tabla130[[#This Row],[COSTO CON IVA]]/Tabla130[[#This Row],[UTILIDAD]]</f>
        <v>291340</v>
      </c>
      <c r="D489" s="43">
        <f>+Tabla130[[#This Row],[PRECIO INSTALLER (CON IVA)]]-Tabla130[[#This Row],[Columna4]]</f>
        <v>276773</v>
      </c>
      <c r="E489" s="43">
        <f>+Tabla130[[#This Row],[PRECIO INSTALLER (CON IVA)]]/0.7</f>
        <v>416200</v>
      </c>
      <c r="F489" s="41">
        <f>+Tabla130[[#This Row],[PRECIO INSTALLER (CON IVA)]]*5%</f>
        <v>14567</v>
      </c>
      <c r="G489" s="7">
        <v>0.85</v>
      </c>
      <c r="H489" s="38">
        <f>Tabla130[[#This Row],[COSTO]]*1.19</f>
        <v>247639</v>
      </c>
      <c r="I489" s="38"/>
      <c r="J489" s="38"/>
      <c r="K489" s="36">
        <v>208100</v>
      </c>
    </row>
    <row r="490" spans="1:11" ht="114" x14ac:dyDescent="0.2">
      <c r="A490" s="34" t="s">
        <v>971</v>
      </c>
      <c r="B490" s="35" t="s">
        <v>972</v>
      </c>
      <c r="C490" s="43">
        <f>+Tabla130[[#This Row],[COSTO CON IVA]]/Tabla130[[#This Row],[UTILIDAD]]</f>
        <v>567000</v>
      </c>
      <c r="D490" s="43">
        <f>+Tabla130[[#This Row],[PRECIO INSTALLER (CON IVA)]]-Tabla130[[#This Row],[Columna4]]</f>
        <v>538650</v>
      </c>
      <c r="E490" s="43">
        <f>+Tabla130[[#This Row],[PRECIO INSTALLER (CON IVA)]]/0.7</f>
        <v>810000</v>
      </c>
      <c r="F490" s="41">
        <f>+Tabla130[[#This Row],[PRECIO INSTALLER (CON IVA)]]*5%</f>
        <v>28350</v>
      </c>
      <c r="G490" s="7">
        <v>0.85</v>
      </c>
      <c r="H490" s="38">
        <f>Tabla130[[#This Row],[COSTO]]*1.19</f>
        <v>481950</v>
      </c>
      <c r="I490" s="38"/>
      <c r="J490" s="38"/>
      <c r="K490" s="36">
        <v>405000</v>
      </c>
    </row>
    <row r="491" spans="1:11" ht="156.75" x14ac:dyDescent="0.2">
      <c r="A491" s="34" t="s">
        <v>973</v>
      </c>
      <c r="B491" s="35" t="s">
        <v>974</v>
      </c>
      <c r="C491" s="43">
        <f>+Tabla130[[#This Row],[COSTO CON IVA]]/Tabla130[[#This Row],[UTILIDAD]]</f>
        <v>1422120</v>
      </c>
      <c r="D491" s="43">
        <f>+Tabla130[[#This Row],[PRECIO INSTALLER (CON IVA)]]-Tabla130[[#This Row],[Columna4]]</f>
        <v>1351014</v>
      </c>
      <c r="E491" s="43">
        <f>+Tabla130[[#This Row],[PRECIO INSTALLER (CON IVA)]]/0.7</f>
        <v>2031600.0000000002</v>
      </c>
      <c r="F491" s="41">
        <f>+Tabla130[[#This Row],[PRECIO INSTALLER (CON IVA)]]*5%</f>
        <v>71106</v>
      </c>
      <c r="G491" s="7">
        <v>0.85</v>
      </c>
      <c r="H491" s="38">
        <f>Tabla130[[#This Row],[COSTO]]*1.19</f>
        <v>1208802</v>
      </c>
      <c r="I491" s="38"/>
      <c r="J491" s="38"/>
      <c r="K491" s="36">
        <v>1015800</v>
      </c>
    </row>
    <row r="492" spans="1:11" ht="99.75" x14ac:dyDescent="0.2">
      <c r="A492" s="34" t="s">
        <v>42</v>
      </c>
      <c r="B492" s="35" t="s">
        <v>975</v>
      </c>
      <c r="C492" s="43">
        <f>+Tabla130[[#This Row],[COSTO CON IVA]]/Tabla130[[#This Row],[UTILIDAD]]</f>
        <v>833000</v>
      </c>
      <c r="D492" s="43">
        <f>+Tabla130[[#This Row],[PRECIO INSTALLER (CON IVA)]]-Tabla130[[#This Row],[Columna4]]</f>
        <v>791350</v>
      </c>
      <c r="E492" s="43">
        <f>+Tabla130[[#This Row],[PRECIO INSTALLER (CON IVA)]]/0.7</f>
        <v>1190000</v>
      </c>
      <c r="F492" s="41">
        <f>+Tabla130[[#This Row],[PRECIO INSTALLER (CON IVA)]]*5%</f>
        <v>41650</v>
      </c>
      <c r="G492" s="7">
        <v>0.85</v>
      </c>
      <c r="H492" s="38">
        <f>Tabla130[[#This Row],[COSTO]]*1.19</f>
        <v>708050</v>
      </c>
      <c r="I492" s="38"/>
      <c r="J492" s="38"/>
      <c r="K492" s="36">
        <v>595000</v>
      </c>
    </row>
    <row r="493" spans="1:11" ht="85.5" x14ac:dyDescent="0.2">
      <c r="A493" s="34" t="s">
        <v>41</v>
      </c>
      <c r="B493" s="35" t="s">
        <v>976</v>
      </c>
      <c r="C493" s="43">
        <f>+Tabla130[[#This Row],[COSTO CON IVA]]/Tabla130[[#This Row],[UTILIDAD]]</f>
        <v>758800</v>
      </c>
      <c r="D493" s="43">
        <f>+Tabla130[[#This Row],[PRECIO INSTALLER (CON IVA)]]-Tabla130[[#This Row],[Columna4]]</f>
        <v>720860</v>
      </c>
      <c r="E493" s="43">
        <f>+Tabla130[[#This Row],[PRECIO INSTALLER (CON IVA)]]/0.7</f>
        <v>1084000</v>
      </c>
      <c r="F493" s="41">
        <f>+Tabla130[[#This Row],[PRECIO INSTALLER (CON IVA)]]*5%</f>
        <v>37940</v>
      </c>
      <c r="G493" s="7">
        <v>0.85</v>
      </c>
      <c r="H493" s="38">
        <f>Tabla130[[#This Row],[COSTO]]*1.19</f>
        <v>644980</v>
      </c>
      <c r="I493" s="38"/>
      <c r="J493" s="38"/>
      <c r="K493" s="36">
        <v>542000</v>
      </c>
    </row>
    <row r="494" spans="1:11" ht="99.75" x14ac:dyDescent="0.2">
      <c r="A494" s="34" t="s">
        <v>40</v>
      </c>
      <c r="B494" s="35" t="s">
        <v>977</v>
      </c>
      <c r="C494" s="43">
        <f>+Tabla130[[#This Row],[COSTO CON IVA]]/Tabla130[[#This Row],[UTILIDAD]]</f>
        <v>616000</v>
      </c>
      <c r="D494" s="43">
        <f>+Tabla130[[#This Row],[PRECIO INSTALLER (CON IVA)]]-Tabla130[[#This Row],[Columna4]]</f>
        <v>585200</v>
      </c>
      <c r="E494" s="43">
        <f>+Tabla130[[#This Row],[PRECIO INSTALLER (CON IVA)]]/0.7</f>
        <v>880000</v>
      </c>
      <c r="F494" s="41">
        <f>+Tabla130[[#This Row],[PRECIO INSTALLER (CON IVA)]]*5%</f>
        <v>30800</v>
      </c>
      <c r="G494" s="7">
        <v>0.85</v>
      </c>
      <c r="H494" s="38">
        <f>Tabla130[[#This Row],[COSTO]]*1.19</f>
        <v>523600</v>
      </c>
      <c r="I494" s="38"/>
      <c r="J494" s="38"/>
      <c r="K494" s="36">
        <v>440000</v>
      </c>
    </row>
    <row r="495" spans="1:11" ht="114" x14ac:dyDescent="0.2">
      <c r="A495" s="34" t="s">
        <v>978</v>
      </c>
      <c r="B495" s="35" t="s">
        <v>979</v>
      </c>
      <c r="C495" s="43">
        <f>+Tabla130[[#This Row],[COSTO CON IVA]]/Tabla130[[#This Row],[UTILIDAD]]</f>
        <v>389900</v>
      </c>
      <c r="D495" s="43">
        <f>+Tabla130[[#This Row],[PRECIO INSTALLER (CON IVA)]]-Tabla130[[#This Row],[Columna4]]</f>
        <v>370405</v>
      </c>
      <c r="E495" s="43">
        <f>+Tabla130[[#This Row],[PRECIO INSTALLER (CON IVA)]]/0.7</f>
        <v>557000</v>
      </c>
      <c r="F495" s="41">
        <f>+Tabla130[[#This Row],[PRECIO INSTALLER (CON IVA)]]*5%</f>
        <v>19495</v>
      </c>
      <c r="G495" s="7">
        <v>0.85</v>
      </c>
      <c r="H495" s="38">
        <f>Tabla130[[#This Row],[COSTO]]*1.19</f>
        <v>331415</v>
      </c>
      <c r="I495" s="38"/>
      <c r="J495" s="38"/>
      <c r="K495" s="36">
        <v>278500</v>
      </c>
    </row>
    <row r="496" spans="1:11" ht="99.75" x14ac:dyDescent="0.2">
      <c r="A496" s="34" t="s">
        <v>980</v>
      </c>
      <c r="B496" s="35" t="s">
        <v>981</v>
      </c>
      <c r="C496" s="43">
        <f>+Tabla130[[#This Row],[COSTO CON IVA]]/Tabla130[[#This Row],[UTILIDAD]]</f>
        <v>241920</v>
      </c>
      <c r="D496" s="43">
        <f>+Tabla130[[#This Row],[PRECIO INSTALLER (CON IVA)]]-Tabla130[[#This Row],[Columna4]]</f>
        <v>229824</v>
      </c>
      <c r="E496" s="43">
        <f>+Tabla130[[#This Row],[PRECIO INSTALLER (CON IVA)]]/0.7</f>
        <v>345600</v>
      </c>
      <c r="F496" s="41">
        <f>+Tabla130[[#This Row],[PRECIO INSTALLER (CON IVA)]]*5%</f>
        <v>12096</v>
      </c>
      <c r="G496" s="7">
        <v>0.85</v>
      </c>
      <c r="H496" s="38">
        <f>Tabla130[[#This Row],[COSTO]]*1.19</f>
        <v>205632</v>
      </c>
      <c r="I496" s="38"/>
      <c r="J496" s="38"/>
      <c r="K496" s="36">
        <v>172800</v>
      </c>
    </row>
    <row r="497" spans="1:11" ht="114" x14ac:dyDescent="0.2">
      <c r="A497" s="34" t="s">
        <v>39</v>
      </c>
      <c r="B497" s="35" t="s">
        <v>982</v>
      </c>
      <c r="C497" s="43">
        <f>+Tabla130[[#This Row],[COSTO CON IVA]]/Tabla130[[#This Row],[UTILIDAD]]</f>
        <v>168000</v>
      </c>
      <c r="D497" s="43">
        <f>+Tabla130[[#This Row],[PRECIO INSTALLER (CON IVA)]]-Tabla130[[#This Row],[Columna4]]</f>
        <v>159600</v>
      </c>
      <c r="E497" s="43">
        <f>+Tabla130[[#This Row],[PRECIO INSTALLER (CON IVA)]]/0.7</f>
        <v>240000.00000000003</v>
      </c>
      <c r="F497" s="41">
        <f>+Tabla130[[#This Row],[PRECIO INSTALLER (CON IVA)]]*5%</f>
        <v>8400</v>
      </c>
      <c r="G497" s="7">
        <v>0.85</v>
      </c>
      <c r="H497" s="38">
        <f>Tabla130[[#This Row],[COSTO]]*1.19</f>
        <v>142800</v>
      </c>
      <c r="I497" s="38"/>
      <c r="J497" s="38"/>
      <c r="K497" s="36">
        <v>120000</v>
      </c>
    </row>
    <row r="498" spans="1:11" ht="85.5" x14ac:dyDescent="0.2">
      <c r="A498" s="34" t="s">
        <v>38</v>
      </c>
      <c r="B498" s="35" t="s">
        <v>983</v>
      </c>
      <c r="C498" s="43">
        <f>+Tabla130[[#This Row],[COSTO CON IVA]]/Tabla130[[#This Row],[UTILIDAD]]</f>
        <v>732620</v>
      </c>
      <c r="D498" s="43">
        <f>+Tabla130[[#This Row],[PRECIO INSTALLER (CON IVA)]]-Tabla130[[#This Row],[Columna4]]</f>
        <v>695989</v>
      </c>
      <c r="E498" s="43">
        <f>+Tabla130[[#This Row],[PRECIO INSTALLER (CON IVA)]]/0.7</f>
        <v>1046600.0000000001</v>
      </c>
      <c r="F498" s="41">
        <f>+Tabla130[[#This Row],[PRECIO INSTALLER (CON IVA)]]*5%</f>
        <v>36631</v>
      </c>
      <c r="G498" s="7">
        <v>0.85</v>
      </c>
      <c r="H498" s="38">
        <f>Tabla130[[#This Row],[COSTO]]*1.19</f>
        <v>622727</v>
      </c>
      <c r="I498" s="38"/>
      <c r="J498" s="38"/>
      <c r="K498" s="36">
        <v>523300</v>
      </c>
    </row>
    <row r="499" spans="1:11" ht="114" x14ac:dyDescent="0.2">
      <c r="A499" s="34" t="s">
        <v>984</v>
      </c>
      <c r="B499" s="35" t="s">
        <v>985</v>
      </c>
      <c r="C499" s="43">
        <f>+Tabla130[[#This Row],[COSTO CON IVA]]/Tabla130[[#This Row],[UTILIDAD]]</f>
        <v>454580</v>
      </c>
      <c r="D499" s="43">
        <f>+Tabla130[[#This Row],[PRECIO INSTALLER (CON IVA)]]-Tabla130[[#This Row],[Columna4]]</f>
        <v>431851</v>
      </c>
      <c r="E499" s="43">
        <f>+Tabla130[[#This Row],[PRECIO INSTALLER (CON IVA)]]/0.7</f>
        <v>649400</v>
      </c>
      <c r="F499" s="41">
        <f>+Tabla130[[#This Row],[PRECIO INSTALLER (CON IVA)]]*5%</f>
        <v>22729</v>
      </c>
      <c r="G499" s="7">
        <v>0.85</v>
      </c>
      <c r="H499" s="38">
        <f>Tabla130[[#This Row],[COSTO]]*1.19</f>
        <v>386393</v>
      </c>
      <c r="I499" s="38"/>
      <c r="J499" s="38"/>
      <c r="K499" s="36">
        <v>324700</v>
      </c>
    </row>
    <row r="500" spans="1:11" ht="71.25" x14ac:dyDescent="0.2">
      <c r="A500" s="34" t="s">
        <v>986</v>
      </c>
      <c r="B500" s="35" t="s">
        <v>987</v>
      </c>
      <c r="C500" s="43">
        <f>+Tabla130[[#This Row],[COSTO CON IVA]]/Tabla130[[#This Row],[UTILIDAD]]</f>
        <v>364000</v>
      </c>
      <c r="D500" s="43">
        <f>+Tabla130[[#This Row],[PRECIO INSTALLER (CON IVA)]]-Tabla130[[#This Row],[Columna4]]</f>
        <v>345800</v>
      </c>
      <c r="E500" s="43">
        <f>+Tabla130[[#This Row],[PRECIO INSTALLER (CON IVA)]]/0.7</f>
        <v>520000.00000000006</v>
      </c>
      <c r="F500" s="41">
        <f>+Tabla130[[#This Row],[PRECIO INSTALLER (CON IVA)]]*5%</f>
        <v>18200</v>
      </c>
      <c r="G500" s="7">
        <v>0.85</v>
      </c>
      <c r="H500" s="38">
        <f>Tabla130[[#This Row],[COSTO]]*1.19</f>
        <v>309400</v>
      </c>
      <c r="I500" s="38"/>
      <c r="J500" s="38"/>
      <c r="K500" s="36">
        <v>260000</v>
      </c>
    </row>
    <row r="501" spans="1:11" ht="85.5" x14ac:dyDescent="0.2">
      <c r="A501" s="34" t="s">
        <v>37</v>
      </c>
      <c r="B501" s="35" t="s">
        <v>988</v>
      </c>
      <c r="C501" s="43">
        <f>+Tabla130[[#This Row],[COSTO CON IVA]]/Tabla130[[#This Row],[UTILIDAD]]</f>
        <v>284900</v>
      </c>
      <c r="D501" s="43">
        <f>+Tabla130[[#This Row],[PRECIO INSTALLER (CON IVA)]]-Tabla130[[#This Row],[Columna4]]</f>
        <v>270655</v>
      </c>
      <c r="E501" s="43">
        <f>+Tabla130[[#This Row],[PRECIO INSTALLER (CON IVA)]]/0.7</f>
        <v>407000</v>
      </c>
      <c r="F501" s="41">
        <f>+Tabla130[[#This Row],[PRECIO INSTALLER (CON IVA)]]*5%</f>
        <v>14245</v>
      </c>
      <c r="G501" s="7">
        <v>0.85</v>
      </c>
      <c r="H501" s="38">
        <f>Tabla130[[#This Row],[COSTO]]*1.19</f>
        <v>242165</v>
      </c>
      <c r="I501" s="38"/>
      <c r="J501" s="38"/>
      <c r="K501" s="36">
        <v>203500</v>
      </c>
    </row>
    <row r="502" spans="1:11" ht="85.5" x14ac:dyDescent="0.2">
      <c r="A502" s="34" t="s">
        <v>989</v>
      </c>
      <c r="B502" s="35" t="s">
        <v>990</v>
      </c>
      <c r="C502" s="43">
        <f>+Tabla130[[#This Row],[COSTO CON IVA]]/Tabla130[[#This Row],[UTILIDAD]]</f>
        <v>209160</v>
      </c>
      <c r="D502" s="43">
        <f>+Tabla130[[#This Row],[PRECIO INSTALLER (CON IVA)]]-Tabla130[[#This Row],[Columna4]]</f>
        <v>198702</v>
      </c>
      <c r="E502" s="43">
        <f>+Tabla130[[#This Row],[PRECIO INSTALLER (CON IVA)]]/0.7</f>
        <v>298800</v>
      </c>
      <c r="F502" s="41">
        <f>+Tabla130[[#This Row],[PRECIO INSTALLER (CON IVA)]]*5%</f>
        <v>10458</v>
      </c>
      <c r="G502" s="7">
        <v>0.85</v>
      </c>
      <c r="H502" s="38">
        <f>Tabla130[[#This Row],[COSTO]]*1.19</f>
        <v>177786</v>
      </c>
      <c r="I502" s="38"/>
      <c r="J502" s="38"/>
      <c r="K502" s="36">
        <v>149400</v>
      </c>
    </row>
    <row r="503" spans="1:11" ht="85.5" x14ac:dyDescent="0.2">
      <c r="A503" s="34" t="s">
        <v>991</v>
      </c>
      <c r="B503" s="35" t="s">
        <v>992</v>
      </c>
      <c r="C503" s="43">
        <f>+Tabla130[[#This Row],[COSTO CON IVA]]/Tabla130[[#This Row],[UTILIDAD]]</f>
        <v>133000</v>
      </c>
      <c r="D503" s="43">
        <f>+Tabla130[[#This Row],[PRECIO INSTALLER (CON IVA)]]-Tabla130[[#This Row],[Columna4]]</f>
        <v>126350</v>
      </c>
      <c r="E503" s="43">
        <f>+Tabla130[[#This Row],[PRECIO INSTALLER (CON IVA)]]/0.7</f>
        <v>190000</v>
      </c>
      <c r="F503" s="41">
        <f>+Tabla130[[#This Row],[PRECIO INSTALLER (CON IVA)]]*5%</f>
        <v>6650</v>
      </c>
      <c r="G503" s="7">
        <v>0.85</v>
      </c>
      <c r="H503" s="38">
        <f>Tabla130[[#This Row],[COSTO]]*1.19</f>
        <v>113050</v>
      </c>
      <c r="I503" s="38"/>
      <c r="J503" s="38"/>
      <c r="K503" s="36">
        <v>95000</v>
      </c>
    </row>
    <row r="504" spans="1:11" ht="85.5" x14ac:dyDescent="0.2">
      <c r="A504" s="34" t="s">
        <v>993</v>
      </c>
      <c r="B504" s="35" t="s">
        <v>994</v>
      </c>
      <c r="C504" s="43">
        <f>+Tabla130[[#This Row],[COSTO CON IVA]]/Tabla130[[#This Row],[UTILIDAD]]</f>
        <v>124600</v>
      </c>
      <c r="D504" s="43">
        <f>+Tabla130[[#This Row],[PRECIO INSTALLER (CON IVA)]]-Tabla130[[#This Row],[Columna4]]</f>
        <v>118370</v>
      </c>
      <c r="E504" s="43">
        <f>+Tabla130[[#This Row],[PRECIO INSTALLER (CON IVA)]]/0.7</f>
        <v>178000</v>
      </c>
      <c r="F504" s="41">
        <f>+Tabla130[[#This Row],[PRECIO INSTALLER (CON IVA)]]*5%</f>
        <v>6230</v>
      </c>
      <c r="G504" s="7">
        <v>0.85</v>
      </c>
      <c r="H504" s="38">
        <f>Tabla130[[#This Row],[COSTO]]*1.19</f>
        <v>105910</v>
      </c>
      <c r="I504" s="38"/>
      <c r="J504" s="38"/>
      <c r="K504" s="36">
        <v>89000</v>
      </c>
    </row>
    <row r="505" spans="1:11" ht="128.25" x14ac:dyDescent="0.2">
      <c r="A505" s="34" t="s">
        <v>995</v>
      </c>
      <c r="B505" s="35" t="s">
        <v>996</v>
      </c>
      <c r="C505" s="43">
        <f>+Tabla130[[#This Row],[COSTO CON IVA]]/Tabla130[[#This Row],[UTILIDAD]]</f>
        <v>826000</v>
      </c>
      <c r="D505" s="43">
        <f>+Tabla130[[#This Row],[PRECIO INSTALLER (CON IVA)]]-Tabla130[[#This Row],[Columna4]]</f>
        <v>784700</v>
      </c>
      <c r="E505" s="43">
        <f>+Tabla130[[#This Row],[PRECIO INSTALLER (CON IVA)]]/0.7</f>
        <v>1180000</v>
      </c>
      <c r="F505" s="41">
        <f>+Tabla130[[#This Row],[PRECIO INSTALLER (CON IVA)]]*5%</f>
        <v>41300</v>
      </c>
      <c r="G505" s="7">
        <v>0.85</v>
      </c>
      <c r="H505" s="38">
        <f>Tabla130[[#This Row],[COSTO]]*1.19</f>
        <v>702100</v>
      </c>
      <c r="I505" s="38"/>
      <c r="J505" s="38"/>
      <c r="K505" s="36">
        <v>590000</v>
      </c>
    </row>
    <row r="506" spans="1:11" ht="114" x14ac:dyDescent="0.2">
      <c r="A506" s="34" t="s">
        <v>997</v>
      </c>
      <c r="B506" s="35" t="s">
        <v>998</v>
      </c>
      <c r="C506" s="43">
        <f>+Tabla130[[#This Row],[COSTO CON IVA]]/Tabla130[[#This Row],[UTILIDAD]]</f>
        <v>756840</v>
      </c>
      <c r="D506" s="43">
        <f>+Tabla130[[#This Row],[PRECIO INSTALLER (CON IVA)]]-Tabla130[[#This Row],[Columna4]]</f>
        <v>718998</v>
      </c>
      <c r="E506" s="43">
        <f>+Tabla130[[#This Row],[PRECIO INSTALLER (CON IVA)]]/0.7</f>
        <v>1081200</v>
      </c>
      <c r="F506" s="41">
        <f>+Tabla130[[#This Row],[PRECIO INSTALLER (CON IVA)]]*5%</f>
        <v>37842</v>
      </c>
      <c r="G506" s="7">
        <v>0.85</v>
      </c>
      <c r="H506" s="38">
        <f>Tabla130[[#This Row],[COSTO]]*1.19</f>
        <v>643314</v>
      </c>
      <c r="I506" s="38"/>
      <c r="J506" s="38"/>
      <c r="K506" s="36">
        <v>540600</v>
      </c>
    </row>
    <row r="507" spans="1:11" ht="128.25" x14ac:dyDescent="0.2">
      <c r="A507" s="34" t="s">
        <v>36</v>
      </c>
      <c r="B507" s="35" t="s">
        <v>999</v>
      </c>
      <c r="C507" s="43">
        <f>+Tabla130[[#This Row],[COSTO CON IVA]]/Tabla130[[#This Row],[UTILIDAD]]</f>
        <v>574000</v>
      </c>
      <c r="D507" s="43">
        <f>+Tabla130[[#This Row],[PRECIO INSTALLER (CON IVA)]]-Tabla130[[#This Row],[Columna4]]</f>
        <v>545300</v>
      </c>
      <c r="E507" s="43">
        <f>+Tabla130[[#This Row],[PRECIO INSTALLER (CON IVA)]]/0.7</f>
        <v>820000</v>
      </c>
      <c r="F507" s="41">
        <f>+Tabla130[[#This Row],[PRECIO INSTALLER (CON IVA)]]*5%</f>
        <v>28700</v>
      </c>
      <c r="G507" s="7">
        <v>0.85</v>
      </c>
      <c r="H507" s="38">
        <f>Tabla130[[#This Row],[COSTO]]*1.19</f>
        <v>487900</v>
      </c>
      <c r="I507" s="38"/>
      <c r="J507" s="38"/>
      <c r="K507" s="36">
        <v>410000</v>
      </c>
    </row>
    <row r="508" spans="1:11" ht="114" x14ac:dyDescent="0.2">
      <c r="A508" s="34" t="s">
        <v>1000</v>
      </c>
      <c r="B508" s="35" t="s">
        <v>1001</v>
      </c>
      <c r="C508" s="43">
        <f>+Tabla130[[#This Row],[COSTO CON IVA]]/Tabla130[[#This Row],[UTILIDAD]]</f>
        <v>332640</v>
      </c>
      <c r="D508" s="43">
        <f>+Tabla130[[#This Row],[PRECIO INSTALLER (CON IVA)]]-Tabla130[[#This Row],[Columna4]]</f>
        <v>316008</v>
      </c>
      <c r="E508" s="43">
        <f>+Tabla130[[#This Row],[PRECIO INSTALLER (CON IVA)]]/0.7</f>
        <v>475200.00000000006</v>
      </c>
      <c r="F508" s="41">
        <f>+Tabla130[[#This Row],[PRECIO INSTALLER (CON IVA)]]*5%</f>
        <v>16632</v>
      </c>
      <c r="G508" s="7">
        <v>0.85</v>
      </c>
      <c r="H508" s="38">
        <f>Tabla130[[#This Row],[COSTO]]*1.19</f>
        <v>282744</v>
      </c>
      <c r="I508" s="38"/>
      <c r="J508" s="38"/>
      <c r="K508" s="36">
        <v>237600</v>
      </c>
    </row>
    <row r="509" spans="1:11" ht="114" x14ac:dyDescent="0.2">
      <c r="A509" s="34" t="s">
        <v>35</v>
      </c>
      <c r="B509" s="35" t="s">
        <v>1002</v>
      </c>
      <c r="C509" s="43">
        <f>+Tabla130[[#This Row],[COSTO CON IVA]]/Tabla130[[#This Row],[UTILIDAD]]</f>
        <v>153860</v>
      </c>
      <c r="D509" s="43">
        <f>+Tabla130[[#This Row],[PRECIO INSTALLER (CON IVA)]]-Tabla130[[#This Row],[Columna4]]</f>
        <v>146167</v>
      </c>
      <c r="E509" s="43">
        <f>+Tabla130[[#This Row],[PRECIO INSTALLER (CON IVA)]]/0.7</f>
        <v>219800</v>
      </c>
      <c r="F509" s="41">
        <f>+Tabla130[[#This Row],[PRECIO INSTALLER (CON IVA)]]*5%</f>
        <v>7693</v>
      </c>
      <c r="G509" s="7">
        <v>0.85</v>
      </c>
      <c r="H509" s="38">
        <f>Tabla130[[#This Row],[COSTO]]*1.19</f>
        <v>130781</v>
      </c>
      <c r="I509" s="38"/>
      <c r="J509" s="38"/>
      <c r="K509" s="36">
        <v>109900</v>
      </c>
    </row>
    <row r="510" spans="1:11" ht="85.5" x14ac:dyDescent="0.2">
      <c r="A510" s="34" t="s">
        <v>1003</v>
      </c>
      <c r="B510" s="35" t="s">
        <v>1004</v>
      </c>
      <c r="C510" s="43">
        <f>+Tabla130[[#This Row],[COSTO CON IVA]]/Tabla130[[#This Row],[UTILIDAD]]</f>
        <v>166320</v>
      </c>
      <c r="D510" s="43">
        <f>+Tabla130[[#This Row],[PRECIO INSTALLER (CON IVA)]]-Tabla130[[#This Row],[Columna4]]</f>
        <v>158004</v>
      </c>
      <c r="E510" s="43">
        <f>+Tabla130[[#This Row],[PRECIO INSTALLER (CON IVA)]]/0.7</f>
        <v>237600.00000000003</v>
      </c>
      <c r="F510" s="41">
        <f>+Tabla130[[#This Row],[PRECIO INSTALLER (CON IVA)]]*5%</f>
        <v>8316</v>
      </c>
      <c r="G510" s="7">
        <v>0.85</v>
      </c>
      <c r="H510" s="38">
        <f>Tabla130[[#This Row],[COSTO]]*1.19</f>
        <v>141372</v>
      </c>
      <c r="I510" s="38"/>
      <c r="J510" s="38"/>
      <c r="K510" s="36">
        <v>118800</v>
      </c>
    </row>
    <row r="511" spans="1:11" ht="99.75" x14ac:dyDescent="0.2">
      <c r="A511" s="34" t="s">
        <v>1005</v>
      </c>
      <c r="B511" s="35" t="s">
        <v>1006</v>
      </c>
      <c r="C511" s="43">
        <f>+Tabla130[[#This Row],[COSTO CON IVA]]/Tabla130[[#This Row],[UTILIDAD]]</f>
        <v>158760</v>
      </c>
      <c r="D511" s="43">
        <f>+Tabla130[[#This Row],[PRECIO INSTALLER (CON IVA)]]-Tabla130[[#This Row],[Columna4]]</f>
        <v>150822</v>
      </c>
      <c r="E511" s="43">
        <f>+Tabla130[[#This Row],[PRECIO INSTALLER (CON IVA)]]/0.7</f>
        <v>226800</v>
      </c>
      <c r="F511" s="41">
        <f>+Tabla130[[#This Row],[PRECIO INSTALLER (CON IVA)]]*5%</f>
        <v>7938</v>
      </c>
      <c r="G511" s="7">
        <v>0.85</v>
      </c>
      <c r="H511" s="38">
        <f>Tabla130[[#This Row],[COSTO]]*1.19</f>
        <v>134946</v>
      </c>
      <c r="I511" s="38"/>
      <c r="J511" s="38"/>
      <c r="K511" s="36">
        <v>113400</v>
      </c>
    </row>
    <row r="512" spans="1:11" ht="99.75" x14ac:dyDescent="0.2">
      <c r="A512" s="34" t="s">
        <v>34</v>
      </c>
      <c r="B512" s="35" t="s">
        <v>1007</v>
      </c>
      <c r="C512" s="43">
        <f>+Tabla130[[#This Row],[COSTO CON IVA]]/Tabla130[[#This Row],[UTILIDAD]]</f>
        <v>144900</v>
      </c>
      <c r="D512" s="43">
        <f>+Tabla130[[#This Row],[PRECIO INSTALLER (CON IVA)]]-Tabla130[[#This Row],[Columna4]]</f>
        <v>137655</v>
      </c>
      <c r="E512" s="43">
        <f>+Tabla130[[#This Row],[PRECIO INSTALLER (CON IVA)]]/0.7</f>
        <v>207000</v>
      </c>
      <c r="F512" s="41">
        <f>+Tabla130[[#This Row],[PRECIO INSTALLER (CON IVA)]]*5%</f>
        <v>7245</v>
      </c>
      <c r="G512" s="7">
        <v>0.85</v>
      </c>
      <c r="H512" s="38">
        <f>Tabla130[[#This Row],[COSTO]]*1.19</f>
        <v>123165</v>
      </c>
      <c r="I512" s="38"/>
      <c r="J512" s="38"/>
      <c r="K512" s="36">
        <v>103500</v>
      </c>
    </row>
    <row r="513" spans="1:11" ht="85.5" x14ac:dyDescent="0.2">
      <c r="A513" s="34" t="s">
        <v>33</v>
      </c>
      <c r="B513" s="35" t="s">
        <v>1008</v>
      </c>
      <c r="C513" s="43">
        <f>+Tabla130[[#This Row],[COSTO CON IVA]]/Tabla130[[#This Row],[UTILIDAD]]</f>
        <v>123760</v>
      </c>
      <c r="D513" s="43">
        <f>+Tabla130[[#This Row],[PRECIO INSTALLER (CON IVA)]]-Tabla130[[#This Row],[Columna4]]</f>
        <v>117572</v>
      </c>
      <c r="E513" s="43">
        <f>+Tabla130[[#This Row],[PRECIO INSTALLER (CON IVA)]]/0.7</f>
        <v>176800</v>
      </c>
      <c r="F513" s="41">
        <f>+Tabla130[[#This Row],[PRECIO INSTALLER (CON IVA)]]*5%</f>
        <v>6188</v>
      </c>
      <c r="G513" s="7">
        <v>0.85</v>
      </c>
      <c r="H513" s="38">
        <f>Tabla130[[#This Row],[COSTO]]*1.19</f>
        <v>105196</v>
      </c>
      <c r="I513" s="38"/>
      <c r="J513" s="38"/>
      <c r="K513" s="36">
        <v>88400</v>
      </c>
    </row>
    <row r="514" spans="1:11" ht="99.75" x14ac:dyDescent="0.2">
      <c r="A514" s="34" t="s">
        <v>32</v>
      </c>
      <c r="B514" s="35" t="s">
        <v>1009</v>
      </c>
      <c r="C514" s="43">
        <f>+Tabla130[[#This Row],[COSTO CON IVA]]/Tabla130[[#This Row],[UTILIDAD]]</f>
        <v>113400</v>
      </c>
      <c r="D514" s="43">
        <f>+Tabla130[[#This Row],[PRECIO INSTALLER (CON IVA)]]-Tabla130[[#This Row],[Columna4]]</f>
        <v>107730</v>
      </c>
      <c r="E514" s="43">
        <f>+Tabla130[[#This Row],[PRECIO INSTALLER (CON IVA)]]/0.7</f>
        <v>162000</v>
      </c>
      <c r="F514" s="41">
        <f>+Tabla130[[#This Row],[PRECIO INSTALLER (CON IVA)]]*5%</f>
        <v>5670</v>
      </c>
      <c r="G514" s="7">
        <v>0.85</v>
      </c>
      <c r="H514" s="38">
        <f>Tabla130[[#This Row],[COSTO]]*1.19</f>
        <v>96390</v>
      </c>
      <c r="I514" s="38"/>
      <c r="J514" s="38"/>
      <c r="K514" s="36">
        <v>81000</v>
      </c>
    </row>
    <row r="515" spans="1:11" ht="71.25" x14ac:dyDescent="0.2">
      <c r="A515" s="34" t="s">
        <v>31</v>
      </c>
      <c r="B515" s="35" t="s">
        <v>1010</v>
      </c>
      <c r="C515" s="43">
        <f>+Tabla130[[#This Row],[COSTO CON IVA]]/Tabla130[[#This Row],[UTILIDAD]]</f>
        <v>753620</v>
      </c>
      <c r="D515" s="43">
        <f>+Tabla130[[#This Row],[PRECIO INSTALLER (CON IVA)]]-Tabla130[[#This Row],[Columna4]]</f>
        <v>715939</v>
      </c>
      <c r="E515" s="43">
        <f>+Tabla130[[#This Row],[PRECIO INSTALLER (CON IVA)]]/0.7</f>
        <v>1076600</v>
      </c>
      <c r="F515" s="41">
        <f>+Tabla130[[#This Row],[PRECIO INSTALLER (CON IVA)]]*5%</f>
        <v>37681</v>
      </c>
      <c r="G515" s="7">
        <v>0.85</v>
      </c>
      <c r="H515" s="38">
        <f>Tabla130[[#This Row],[COSTO]]*1.19</f>
        <v>640577</v>
      </c>
      <c r="I515" s="38"/>
      <c r="J515" s="38"/>
      <c r="K515" s="36">
        <v>538300</v>
      </c>
    </row>
    <row r="516" spans="1:11" ht="71.25" x14ac:dyDescent="0.2">
      <c r="A516" s="34" t="s">
        <v>1011</v>
      </c>
      <c r="B516" s="35" t="s">
        <v>1012</v>
      </c>
      <c r="C516" s="43">
        <f>+Tabla130[[#This Row],[COSTO CON IVA]]/Tabla130[[#This Row],[UTILIDAD]]</f>
        <v>496580</v>
      </c>
      <c r="D516" s="43">
        <f>+Tabla130[[#This Row],[PRECIO INSTALLER (CON IVA)]]-Tabla130[[#This Row],[Columna4]]</f>
        <v>471751</v>
      </c>
      <c r="E516" s="43">
        <f>+Tabla130[[#This Row],[PRECIO INSTALLER (CON IVA)]]/0.7</f>
        <v>709400</v>
      </c>
      <c r="F516" s="41">
        <f>+Tabla130[[#This Row],[PRECIO INSTALLER (CON IVA)]]*5%</f>
        <v>24829</v>
      </c>
      <c r="G516" s="7">
        <v>0.85</v>
      </c>
      <c r="H516" s="38">
        <f>Tabla130[[#This Row],[COSTO]]*1.19</f>
        <v>422093</v>
      </c>
      <c r="I516" s="38"/>
      <c r="J516" s="38"/>
      <c r="K516" s="36">
        <v>354700</v>
      </c>
    </row>
    <row r="517" spans="1:11" ht="71.25" x14ac:dyDescent="0.2">
      <c r="A517" s="34" t="s">
        <v>30</v>
      </c>
      <c r="B517" s="35" t="s">
        <v>1013</v>
      </c>
      <c r="C517" s="43">
        <f>+Tabla130[[#This Row],[COSTO CON IVA]]/Tabla130[[#This Row],[UTILIDAD]]</f>
        <v>215040</v>
      </c>
      <c r="D517" s="43">
        <f>+Tabla130[[#This Row],[PRECIO INSTALLER (CON IVA)]]-Tabla130[[#This Row],[Columna4]]</f>
        <v>204288</v>
      </c>
      <c r="E517" s="43">
        <f>+Tabla130[[#This Row],[PRECIO INSTALLER (CON IVA)]]/0.7</f>
        <v>307200</v>
      </c>
      <c r="F517" s="41">
        <f>+Tabla130[[#This Row],[PRECIO INSTALLER (CON IVA)]]*5%</f>
        <v>10752</v>
      </c>
      <c r="G517" s="7">
        <v>0.85</v>
      </c>
      <c r="H517" s="38">
        <f>Tabla130[[#This Row],[COSTO]]*1.19</f>
        <v>182784</v>
      </c>
      <c r="I517" s="38"/>
      <c r="J517" s="38"/>
      <c r="K517" s="36">
        <v>153600</v>
      </c>
    </row>
    <row r="518" spans="1:11" ht="71.25" x14ac:dyDescent="0.2">
      <c r="A518" s="34" t="s">
        <v>1014</v>
      </c>
      <c r="B518" s="35" t="s">
        <v>1015</v>
      </c>
      <c r="C518" s="43">
        <f>+Tabla130[[#This Row],[COSTO CON IVA]]/Tabla130[[#This Row],[UTILIDAD]]</f>
        <v>155400</v>
      </c>
      <c r="D518" s="43">
        <f>+Tabla130[[#This Row],[PRECIO INSTALLER (CON IVA)]]-Tabla130[[#This Row],[Columna4]]</f>
        <v>147630</v>
      </c>
      <c r="E518" s="43">
        <f>+Tabla130[[#This Row],[PRECIO INSTALLER (CON IVA)]]/0.7</f>
        <v>222000</v>
      </c>
      <c r="F518" s="41">
        <f>+Tabla130[[#This Row],[PRECIO INSTALLER (CON IVA)]]*5%</f>
        <v>7770</v>
      </c>
      <c r="G518" s="7">
        <v>0.85</v>
      </c>
      <c r="H518" s="38">
        <f>Tabla130[[#This Row],[COSTO]]*1.19</f>
        <v>132090</v>
      </c>
      <c r="I518" s="38"/>
      <c r="J518" s="38"/>
      <c r="K518" s="36">
        <v>111000</v>
      </c>
    </row>
    <row r="519" spans="1:11" ht="171" x14ac:dyDescent="0.2">
      <c r="A519" s="34" t="s">
        <v>1016</v>
      </c>
      <c r="B519" s="35" t="s">
        <v>1017</v>
      </c>
      <c r="C519" s="43">
        <f>+Tabla130[[#This Row],[COSTO CON IVA]]/Tabla130[[#This Row],[UTILIDAD]]</f>
        <v>2100000</v>
      </c>
      <c r="D519" s="43">
        <f>+Tabla130[[#This Row],[PRECIO INSTALLER (CON IVA)]]-Tabla130[[#This Row],[Columna4]]</f>
        <v>1995000</v>
      </c>
      <c r="E519" s="43">
        <f>+Tabla130[[#This Row],[PRECIO INSTALLER (CON IVA)]]/0.7</f>
        <v>3000000</v>
      </c>
      <c r="F519" s="41">
        <f>+Tabla130[[#This Row],[PRECIO INSTALLER (CON IVA)]]*5%</f>
        <v>105000</v>
      </c>
      <c r="G519" s="7">
        <v>0.85</v>
      </c>
      <c r="H519" s="38">
        <f>Tabla130[[#This Row],[COSTO]]*1.19</f>
        <v>1785000</v>
      </c>
      <c r="I519" s="38"/>
      <c r="J519" s="38"/>
      <c r="K519" s="36">
        <v>1500000</v>
      </c>
    </row>
    <row r="520" spans="1:11" ht="185.25" x14ac:dyDescent="0.2">
      <c r="A520" s="34" t="s">
        <v>1018</v>
      </c>
      <c r="B520" s="35" t="s">
        <v>1019</v>
      </c>
      <c r="C520" s="43">
        <f>+Tabla130[[#This Row],[COSTO CON IVA]]/Tabla130[[#This Row],[UTILIDAD]]</f>
        <v>1058120</v>
      </c>
      <c r="D520" s="43">
        <f>+Tabla130[[#This Row],[PRECIO INSTALLER (CON IVA)]]-Tabla130[[#This Row],[Columna4]]</f>
        <v>1005214</v>
      </c>
      <c r="E520" s="43">
        <f>+Tabla130[[#This Row],[PRECIO INSTALLER (CON IVA)]]/0.7</f>
        <v>1511600</v>
      </c>
      <c r="F520" s="41">
        <f>+Tabla130[[#This Row],[PRECIO INSTALLER (CON IVA)]]*5%</f>
        <v>52906</v>
      </c>
      <c r="G520" s="7">
        <v>0.85</v>
      </c>
      <c r="H520" s="38">
        <f>Tabla130[[#This Row],[COSTO]]*1.19</f>
        <v>899402</v>
      </c>
      <c r="I520" s="38"/>
      <c r="J520" s="38"/>
      <c r="K520" s="36">
        <v>755800</v>
      </c>
    </row>
    <row r="521" spans="1:11" ht="185.25" x14ac:dyDescent="0.2">
      <c r="A521" s="34" t="s">
        <v>1020</v>
      </c>
      <c r="B521" s="35" t="s">
        <v>1021</v>
      </c>
      <c r="C521" s="43">
        <f>+Tabla130[[#This Row],[COSTO CON IVA]]/Tabla130[[#This Row],[UTILIDAD]]</f>
        <v>1139600</v>
      </c>
      <c r="D521" s="43">
        <f>+Tabla130[[#This Row],[PRECIO INSTALLER (CON IVA)]]-Tabla130[[#This Row],[Columna4]]</f>
        <v>1082620</v>
      </c>
      <c r="E521" s="43">
        <f>+Tabla130[[#This Row],[PRECIO INSTALLER (CON IVA)]]/0.7</f>
        <v>1628000</v>
      </c>
      <c r="F521" s="41">
        <f>+Tabla130[[#This Row],[PRECIO INSTALLER (CON IVA)]]*5%</f>
        <v>56980</v>
      </c>
      <c r="G521" s="7">
        <v>0.85</v>
      </c>
      <c r="H521" s="38">
        <f>Tabla130[[#This Row],[COSTO]]*1.19</f>
        <v>968660</v>
      </c>
      <c r="I521" s="38"/>
      <c r="J521" s="38"/>
      <c r="K521" s="36">
        <v>814000</v>
      </c>
    </row>
    <row r="522" spans="1:11" ht="213.75" x14ac:dyDescent="0.2">
      <c r="A522" s="34" t="s">
        <v>1022</v>
      </c>
      <c r="B522" s="35" t="s">
        <v>1023</v>
      </c>
      <c r="C522" s="43">
        <f>+Tabla130[[#This Row],[COSTO CON IVA]]/Tabla130[[#This Row],[UTILIDAD]]</f>
        <v>630000</v>
      </c>
      <c r="D522" s="43">
        <f>+Tabla130[[#This Row],[PRECIO INSTALLER (CON IVA)]]-Tabla130[[#This Row],[Columna4]]</f>
        <v>598500</v>
      </c>
      <c r="E522" s="43">
        <f>+Tabla130[[#This Row],[PRECIO INSTALLER (CON IVA)]]/0.7</f>
        <v>900000</v>
      </c>
      <c r="F522" s="41">
        <f>+Tabla130[[#This Row],[PRECIO INSTALLER (CON IVA)]]*5%</f>
        <v>31500</v>
      </c>
      <c r="G522" s="7">
        <v>0.85</v>
      </c>
      <c r="H522" s="38">
        <f>Tabla130[[#This Row],[COSTO]]*1.19</f>
        <v>535500</v>
      </c>
      <c r="I522" s="38"/>
      <c r="J522" s="38"/>
      <c r="K522" s="36">
        <v>450000</v>
      </c>
    </row>
    <row r="523" spans="1:11" ht="142.5" x14ac:dyDescent="0.2">
      <c r="A523" s="34" t="s">
        <v>29</v>
      </c>
      <c r="B523" s="35" t="s">
        <v>1024</v>
      </c>
      <c r="C523" s="43">
        <f>+Tabla130[[#This Row],[COSTO CON IVA]]/Tabla130[[#This Row],[UTILIDAD]]</f>
        <v>896280</v>
      </c>
      <c r="D523" s="43">
        <f>+Tabla130[[#This Row],[PRECIO INSTALLER (CON IVA)]]-Tabla130[[#This Row],[Columna4]]</f>
        <v>851466</v>
      </c>
      <c r="E523" s="43">
        <f>+Tabla130[[#This Row],[PRECIO INSTALLER (CON IVA)]]/0.7</f>
        <v>1280400</v>
      </c>
      <c r="F523" s="41">
        <f>+Tabla130[[#This Row],[PRECIO INSTALLER (CON IVA)]]*5%</f>
        <v>44814</v>
      </c>
      <c r="G523" s="7">
        <v>0.85</v>
      </c>
      <c r="H523" s="38">
        <f>Tabla130[[#This Row],[COSTO]]*1.19</f>
        <v>761838</v>
      </c>
      <c r="I523" s="38"/>
      <c r="J523" s="38"/>
      <c r="K523" s="36">
        <v>640200</v>
      </c>
    </row>
    <row r="524" spans="1:11" ht="156.75" x14ac:dyDescent="0.2">
      <c r="A524" s="34" t="s">
        <v>1025</v>
      </c>
      <c r="B524" s="35" t="s">
        <v>1026</v>
      </c>
      <c r="C524" s="43">
        <f>+Tabla130[[#This Row],[COSTO CON IVA]]/Tabla130[[#This Row],[UTILIDAD]]</f>
        <v>252000</v>
      </c>
      <c r="D524" s="43">
        <f>+Tabla130[[#This Row],[PRECIO INSTALLER (CON IVA)]]-Tabla130[[#This Row],[Columna4]]</f>
        <v>239400</v>
      </c>
      <c r="E524" s="43">
        <f>+Tabla130[[#This Row],[PRECIO INSTALLER (CON IVA)]]/0.7</f>
        <v>360000</v>
      </c>
      <c r="F524" s="41">
        <f>+Tabla130[[#This Row],[PRECIO INSTALLER (CON IVA)]]*5%</f>
        <v>12600</v>
      </c>
      <c r="G524" s="7">
        <v>0.85</v>
      </c>
      <c r="H524" s="38">
        <f>Tabla130[[#This Row],[COSTO]]*1.19</f>
        <v>214200</v>
      </c>
      <c r="I524" s="38"/>
      <c r="J524" s="38"/>
      <c r="K524" s="36">
        <v>180000</v>
      </c>
    </row>
    <row r="525" spans="1:11" ht="99.75" x14ac:dyDescent="0.2">
      <c r="A525" s="34" t="s">
        <v>28</v>
      </c>
      <c r="B525" s="35" t="s">
        <v>1027</v>
      </c>
      <c r="C525" s="43">
        <f>+Tabla130[[#This Row],[COSTO CON IVA]]/Tabla130[[#This Row],[UTILIDAD]]</f>
        <v>340200</v>
      </c>
      <c r="D525" s="43">
        <f>+Tabla130[[#This Row],[PRECIO INSTALLER (CON IVA)]]-Tabla130[[#This Row],[Columna4]]</f>
        <v>323190</v>
      </c>
      <c r="E525" s="43">
        <f>+Tabla130[[#This Row],[PRECIO INSTALLER (CON IVA)]]/0.7</f>
        <v>486000.00000000006</v>
      </c>
      <c r="F525" s="41">
        <f>+Tabla130[[#This Row],[PRECIO INSTALLER (CON IVA)]]*5%</f>
        <v>17010</v>
      </c>
      <c r="G525" s="7">
        <v>0.85</v>
      </c>
      <c r="H525" s="38">
        <f>Tabla130[[#This Row],[COSTO]]*1.19</f>
        <v>289170</v>
      </c>
      <c r="I525" s="38"/>
      <c r="J525" s="38"/>
      <c r="K525" s="36">
        <v>243000</v>
      </c>
    </row>
    <row r="526" spans="1:11" ht="99.75" x14ac:dyDescent="0.2">
      <c r="A526" s="34" t="s">
        <v>1028</v>
      </c>
      <c r="B526" s="35" t="s">
        <v>1029</v>
      </c>
      <c r="C526" s="43">
        <f>+Tabla130[[#This Row],[COSTO CON IVA]]/Tabla130[[#This Row],[UTILIDAD]]</f>
        <v>226800</v>
      </c>
      <c r="D526" s="43">
        <f>+Tabla130[[#This Row],[PRECIO INSTALLER (CON IVA)]]-Tabla130[[#This Row],[Columna4]]</f>
        <v>215460</v>
      </c>
      <c r="E526" s="43">
        <f>+Tabla130[[#This Row],[PRECIO INSTALLER (CON IVA)]]/0.7</f>
        <v>324000</v>
      </c>
      <c r="F526" s="41">
        <f>+Tabla130[[#This Row],[PRECIO INSTALLER (CON IVA)]]*5%</f>
        <v>11340</v>
      </c>
      <c r="G526" s="7">
        <v>0.85</v>
      </c>
      <c r="H526" s="38">
        <f>Tabla130[[#This Row],[COSTO]]*1.19</f>
        <v>192780</v>
      </c>
      <c r="I526" s="38"/>
      <c r="J526" s="38"/>
      <c r="K526" s="36">
        <v>162000</v>
      </c>
    </row>
    <row r="527" spans="1:11" ht="242.25" x14ac:dyDescent="0.2">
      <c r="A527" s="34" t="s">
        <v>1030</v>
      </c>
      <c r="B527" s="35" t="s">
        <v>1031</v>
      </c>
      <c r="C527" s="43">
        <f>+Tabla130[[#This Row],[COSTO CON IVA]]/Tabla130[[#This Row],[UTILIDAD]]</f>
        <v>976780</v>
      </c>
      <c r="D527" s="43">
        <f>+Tabla130[[#This Row],[PRECIO INSTALLER (CON IVA)]]-Tabla130[[#This Row],[Columna4]]</f>
        <v>927941</v>
      </c>
      <c r="E527" s="43">
        <f>+Tabla130[[#This Row],[PRECIO INSTALLER (CON IVA)]]/0.7</f>
        <v>1395400</v>
      </c>
      <c r="F527" s="41">
        <f>+Tabla130[[#This Row],[PRECIO INSTALLER (CON IVA)]]*5%</f>
        <v>48839</v>
      </c>
      <c r="G527" s="7">
        <v>0.85</v>
      </c>
      <c r="H527" s="38">
        <f>Tabla130[[#This Row],[COSTO]]*1.19</f>
        <v>830263</v>
      </c>
      <c r="I527" s="38"/>
      <c r="J527" s="38"/>
      <c r="K527" s="36">
        <v>697700</v>
      </c>
    </row>
    <row r="528" spans="1:11" ht="228" x14ac:dyDescent="0.2">
      <c r="A528" s="34" t="s">
        <v>1032</v>
      </c>
      <c r="B528" s="35" t="s">
        <v>1033</v>
      </c>
      <c r="C528" s="43">
        <f>+Tabla130[[#This Row],[COSTO CON IVA]]/Tabla130[[#This Row],[UTILIDAD]]</f>
        <v>927920</v>
      </c>
      <c r="D528" s="43">
        <f>+Tabla130[[#This Row],[PRECIO INSTALLER (CON IVA)]]-Tabla130[[#This Row],[Columna4]]</f>
        <v>881524</v>
      </c>
      <c r="E528" s="43">
        <f>+Tabla130[[#This Row],[PRECIO INSTALLER (CON IVA)]]/0.7</f>
        <v>1325600</v>
      </c>
      <c r="F528" s="41">
        <f>+Tabla130[[#This Row],[PRECIO INSTALLER (CON IVA)]]*5%</f>
        <v>46396</v>
      </c>
      <c r="G528" s="7">
        <v>0.85</v>
      </c>
      <c r="H528" s="38">
        <f>Tabla130[[#This Row],[COSTO]]*1.19</f>
        <v>788732</v>
      </c>
      <c r="I528" s="38"/>
      <c r="J528" s="38"/>
      <c r="K528" s="36">
        <v>662800</v>
      </c>
    </row>
    <row r="529" spans="1:11" ht="213.75" x14ac:dyDescent="0.2">
      <c r="A529" s="34" t="s">
        <v>1034</v>
      </c>
      <c r="B529" s="35" t="s">
        <v>1035</v>
      </c>
      <c r="C529" s="43">
        <f>+Tabla130[[#This Row],[COSTO CON IVA]]/Tabla130[[#This Row],[UTILIDAD]]</f>
        <v>1856120</v>
      </c>
      <c r="D529" s="43">
        <f>+Tabla130[[#This Row],[PRECIO INSTALLER (CON IVA)]]-Tabla130[[#This Row],[Columna4]]</f>
        <v>1763314</v>
      </c>
      <c r="E529" s="43">
        <f>+Tabla130[[#This Row],[PRECIO INSTALLER (CON IVA)]]/0.7</f>
        <v>2651600</v>
      </c>
      <c r="F529" s="41">
        <f>+Tabla130[[#This Row],[PRECIO INSTALLER (CON IVA)]]*5%</f>
        <v>92806</v>
      </c>
      <c r="G529" s="7">
        <v>0.85</v>
      </c>
      <c r="H529" s="38">
        <f>Tabla130[[#This Row],[COSTO]]*1.19</f>
        <v>1577702</v>
      </c>
      <c r="I529" s="38"/>
      <c r="J529" s="38"/>
      <c r="K529" s="36">
        <v>1325800</v>
      </c>
    </row>
    <row r="530" spans="1:11" ht="213.75" x14ac:dyDescent="0.2">
      <c r="A530" s="34" t="s">
        <v>1036</v>
      </c>
      <c r="B530" s="35" t="s">
        <v>1037</v>
      </c>
      <c r="C530" s="43">
        <f>+Tabla130[[#This Row],[COSTO CON IVA]]/Tabla130[[#This Row],[UTILIDAD]]</f>
        <v>1051820</v>
      </c>
      <c r="D530" s="43">
        <f>+Tabla130[[#This Row],[PRECIO INSTALLER (CON IVA)]]-Tabla130[[#This Row],[Columna4]]</f>
        <v>999229</v>
      </c>
      <c r="E530" s="43">
        <f>+Tabla130[[#This Row],[PRECIO INSTALLER (CON IVA)]]/0.7</f>
        <v>1502600</v>
      </c>
      <c r="F530" s="41">
        <f>+Tabla130[[#This Row],[PRECIO INSTALLER (CON IVA)]]*5%</f>
        <v>52591</v>
      </c>
      <c r="G530" s="7">
        <v>0.85</v>
      </c>
      <c r="H530" s="38">
        <f>Tabla130[[#This Row],[COSTO]]*1.19</f>
        <v>894047</v>
      </c>
      <c r="I530" s="38"/>
      <c r="J530" s="38"/>
      <c r="K530" s="36">
        <v>751300</v>
      </c>
    </row>
    <row r="531" spans="1:11" ht="213.75" x14ac:dyDescent="0.2">
      <c r="A531" s="34" t="s">
        <v>1038</v>
      </c>
      <c r="B531" s="35" t="s">
        <v>1039</v>
      </c>
      <c r="C531" s="43">
        <f>+Tabla130[[#This Row],[COSTO CON IVA]]/Tabla130[[#This Row],[UTILIDAD]]</f>
        <v>866180</v>
      </c>
      <c r="D531" s="43">
        <f>+Tabla130[[#This Row],[PRECIO INSTALLER (CON IVA)]]-Tabla130[[#This Row],[Columna4]]</f>
        <v>822871</v>
      </c>
      <c r="E531" s="43">
        <f>+Tabla130[[#This Row],[PRECIO INSTALLER (CON IVA)]]/0.7</f>
        <v>1237400</v>
      </c>
      <c r="F531" s="41">
        <f>+Tabla130[[#This Row],[PRECIO INSTALLER (CON IVA)]]*5%</f>
        <v>43309</v>
      </c>
      <c r="G531" s="7">
        <v>0.85</v>
      </c>
      <c r="H531" s="38">
        <f>Tabla130[[#This Row],[COSTO]]*1.19</f>
        <v>736253</v>
      </c>
      <c r="I531" s="38"/>
      <c r="J531" s="38"/>
      <c r="K531" s="36">
        <v>618700</v>
      </c>
    </row>
    <row r="532" spans="1:11" ht="99.75" x14ac:dyDescent="0.2">
      <c r="A532" s="34" t="s">
        <v>1040</v>
      </c>
      <c r="B532" s="35" t="s">
        <v>1041</v>
      </c>
      <c r="C532" s="43">
        <f>+Tabla130[[#This Row],[COSTO CON IVA]]/Tabla130[[#This Row],[UTILIDAD]]</f>
        <v>546000</v>
      </c>
      <c r="D532" s="43">
        <f>+Tabla130[[#This Row],[PRECIO INSTALLER (CON IVA)]]-Tabla130[[#This Row],[Columna4]]</f>
        <v>518700</v>
      </c>
      <c r="E532" s="43">
        <f>+Tabla130[[#This Row],[PRECIO INSTALLER (CON IVA)]]/0.7</f>
        <v>780000</v>
      </c>
      <c r="F532" s="41">
        <f>+Tabla130[[#This Row],[PRECIO INSTALLER (CON IVA)]]*5%</f>
        <v>27300</v>
      </c>
      <c r="G532" s="7">
        <v>0.85</v>
      </c>
      <c r="H532" s="38">
        <f>Tabla130[[#This Row],[COSTO]]*1.19</f>
        <v>464100</v>
      </c>
      <c r="I532" s="38"/>
      <c r="J532" s="38"/>
      <c r="K532" s="36">
        <v>390000</v>
      </c>
    </row>
    <row r="533" spans="1:11" ht="99.75" x14ac:dyDescent="0.2">
      <c r="A533" s="34" t="s">
        <v>1042</v>
      </c>
      <c r="B533" s="35" t="s">
        <v>1043</v>
      </c>
      <c r="C533" s="43">
        <f>+Tabla130[[#This Row],[COSTO CON IVA]]/Tabla130[[#This Row],[UTILIDAD]]</f>
        <v>630000</v>
      </c>
      <c r="D533" s="43">
        <f>+Tabla130[[#This Row],[PRECIO INSTALLER (CON IVA)]]-Tabla130[[#This Row],[Columna4]]</f>
        <v>598500</v>
      </c>
      <c r="E533" s="43">
        <f>+Tabla130[[#This Row],[PRECIO INSTALLER (CON IVA)]]/0.7</f>
        <v>900000</v>
      </c>
      <c r="F533" s="41">
        <f>+Tabla130[[#This Row],[PRECIO INSTALLER (CON IVA)]]*5%</f>
        <v>31500</v>
      </c>
      <c r="G533" s="7">
        <v>0.85</v>
      </c>
      <c r="H533" s="38">
        <f>Tabla130[[#This Row],[COSTO]]*1.19</f>
        <v>535500</v>
      </c>
      <c r="I533" s="38"/>
      <c r="J533" s="38"/>
      <c r="K533" s="36">
        <v>450000</v>
      </c>
    </row>
    <row r="534" spans="1:11" ht="99.75" x14ac:dyDescent="0.2">
      <c r="A534" s="34" t="s">
        <v>27</v>
      </c>
      <c r="B534" s="35" t="s">
        <v>1044</v>
      </c>
      <c r="C534" s="43">
        <f>+Tabla130[[#This Row],[COSTO CON IVA]]/Tabla130[[#This Row],[UTILIDAD]]</f>
        <v>948360</v>
      </c>
      <c r="D534" s="43">
        <f>+Tabla130[[#This Row],[PRECIO INSTALLER (CON IVA)]]-Tabla130[[#This Row],[Columna4]]</f>
        <v>900942</v>
      </c>
      <c r="E534" s="43">
        <f>+Tabla130[[#This Row],[PRECIO INSTALLER (CON IVA)]]/0.7</f>
        <v>1354800</v>
      </c>
      <c r="F534" s="41">
        <f>+Tabla130[[#This Row],[PRECIO INSTALLER (CON IVA)]]*5%</f>
        <v>47418</v>
      </c>
      <c r="G534" s="7">
        <v>0.85</v>
      </c>
      <c r="H534" s="38">
        <f>Tabla130[[#This Row],[COSTO]]*1.19</f>
        <v>806106</v>
      </c>
      <c r="I534" s="38"/>
      <c r="J534" s="38"/>
      <c r="K534" s="36">
        <v>677400</v>
      </c>
    </row>
    <row r="535" spans="1:11" ht="128.25" x14ac:dyDescent="0.2">
      <c r="A535" s="34" t="s">
        <v>1045</v>
      </c>
      <c r="B535" s="35" t="s">
        <v>1046</v>
      </c>
      <c r="C535" s="43">
        <f>+Tabla130[[#This Row],[COSTO CON IVA]]/Tabla130[[#This Row],[UTILIDAD]]</f>
        <v>3500000</v>
      </c>
      <c r="D535" s="43">
        <f>+Tabla130[[#This Row],[PRECIO INSTALLER (CON IVA)]]-Tabla130[[#This Row],[Columna4]]</f>
        <v>3325000</v>
      </c>
      <c r="E535" s="43">
        <f>+Tabla130[[#This Row],[PRECIO INSTALLER (CON IVA)]]/0.7</f>
        <v>5000000</v>
      </c>
      <c r="F535" s="41">
        <f>+Tabla130[[#This Row],[PRECIO INSTALLER (CON IVA)]]*5%</f>
        <v>175000</v>
      </c>
      <c r="G535" s="7">
        <v>0.85</v>
      </c>
      <c r="H535" s="38">
        <f>Tabla130[[#This Row],[COSTO]]*1.19</f>
        <v>2975000</v>
      </c>
      <c r="I535" s="38"/>
      <c r="J535" s="38"/>
      <c r="K535" s="36">
        <v>2500000</v>
      </c>
    </row>
    <row r="536" spans="1:11" ht="156.75" x14ac:dyDescent="0.2">
      <c r="A536" s="34" t="s">
        <v>1047</v>
      </c>
      <c r="B536" s="35" t="s">
        <v>1048</v>
      </c>
      <c r="C536" s="43">
        <f>+Tabla130[[#This Row],[COSTO CON IVA]]/Tabla130[[#This Row],[UTILIDAD]]</f>
        <v>2586080</v>
      </c>
      <c r="D536" s="43">
        <f>+Tabla130[[#This Row],[PRECIO INSTALLER (CON IVA)]]-Tabla130[[#This Row],[Columna4]]</f>
        <v>2456776</v>
      </c>
      <c r="E536" s="43">
        <f>+Tabla130[[#This Row],[PRECIO INSTALLER (CON IVA)]]/0.7</f>
        <v>3694400.0000000005</v>
      </c>
      <c r="F536" s="41">
        <f>+Tabla130[[#This Row],[PRECIO INSTALLER (CON IVA)]]*5%</f>
        <v>129304</v>
      </c>
      <c r="G536" s="7">
        <v>0.85</v>
      </c>
      <c r="H536" s="38">
        <f>Tabla130[[#This Row],[COSTO]]*1.19</f>
        <v>2198168</v>
      </c>
      <c r="I536" s="38"/>
      <c r="J536" s="38"/>
      <c r="K536" s="36">
        <v>1847200</v>
      </c>
    </row>
    <row r="537" spans="1:11" ht="156.75" x14ac:dyDescent="0.2">
      <c r="A537" s="34" t="s">
        <v>1049</v>
      </c>
      <c r="B537" s="35" t="s">
        <v>1050</v>
      </c>
      <c r="C537" s="43">
        <f>+Tabla130[[#This Row],[COSTO CON IVA]]/Tabla130[[#This Row],[UTILIDAD]]</f>
        <v>3093440</v>
      </c>
      <c r="D537" s="43">
        <f>+Tabla130[[#This Row],[PRECIO INSTALLER (CON IVA)]]-Tabla130[[#This Row],[Columna4]]</f>
        <v>2938768</v>
      </c>
      <c r="E537" s="43">
        <f>+Tabla130[[#This Row],[PRECIO INSTALLER (CON IVA)]]/0.7</f>
        <v>4419200</v>
      </c>
      <c r="F537" s="41">
        <f>+Tabla130[[#This Row],[PRECIO INSTALLER (CON IVA)]]*5%</f>
        <v>154672</v>
      </c>
      <c r="G537" s="7">
        <v>0.85</v>
      </c>
      <c r="H537" s="38">
        <f>Tabla130[[#This Row],[COSTO]]*1.19</f>
        <v>2629424</v>
      </c>
      <c r="I537" s="38"/>
      <c r="J537" s="38"/>
      <c r="K537" s="36">
        <v>2209600</v>
      </c>
    </row>
    <row r="538" spans="1:11" ht="156.75" x14ac:dyDescent="0.2">
      <c r="A538" s="34" t="s">
        <v>1051</v>
      </c>
      <c r="B538" s="35" t="s">
        <v>1052</v>
      </c>
      <c r="C538" s="43">
        <f>+Tabla130[[#This Row],[COSTO CON IVA]]/Tabla130[[#This Row],[UTILIDAD]]</f>
        <v>1348760</v>
      </c>
      <c r="D538" s="43">
        <f>+Tabla130[[#This Row],[PRECIO INSTALLER (CON IVA)]]-Tabla130[[#This Row],[Columna4]]</f>
        <v>1281322</v>
      </c>
      <c r="E538" s="43">
        <f>+Tabla130[[#This Row],[PRECIO INSTALLER (CON IVA)]]/0.7</f>
        <v>1926800.0000000002</v>
      </c>
      <c r="F538" s="41">
        <f>+Tabla130[[#This Row],[PRECIO INSTALLER (CON IVA)]]*5%</f>
        <v>67438</v>
      </c>
      <c r="G538" s="7">
        <v>0.85</v>
      </c>
      <c r="H538" s="38">
        <f>Tabla130[[#This Row],[COSTO]]*1.19</f>
        <v>1146446</v>
      </c>
      <c r="I538" s="38"/>
      <c r="J538" s="38"/>
      <c r="K538" s="36">
        <v>963400</v>
      </c>
    </row>
    <row r="539" spans="1:11" x14ac:dyDescent="0.2">
      <c r="A539" s="34" t="s">
        <v>1053</v>
      </c>
      <c r="B539" s="35"/>
      <c r="C539" s="43">
        <f>+Tabla130[[#This Row],[COSTO CON IVA]]/Tabla130[[#This Row],[UTILIDAD]]</f>
        <v>0</v>
      </c>
      <c r="D539" s="43">
        <f>+Tabla130[[#This Row],[PRECIO INSTALLER (CON IVA)]]-Tabla130[[#This Row],[Columna4]]</f>
        <v>0</v>
      </c>
      <c r="E539" s="43">
        <f>+Tabla130[[#This Row],[PRECIO INSTALLER (CON IVA)]]/0.7</f>
        <v>0</v>
      </c>
      <c r="F539" s="41">
        <f>+Tabla130[[#This Row],[PRECIO INSTALLER (CON IVA)]]*5%</f>
        <v>0</v>
      </c>
      <c r="G539" s="7">
        <v>0.85</v>
      </c>
      <c r="H539" s="38">
        <f>Tabla130[[#This Row],[COSTO]]*1.19</f>
        <v>0</v>
      </c>
      <c r="I539" s="38"/>
      <c r="J539" s="38"/>
      <c r="K539" s="36"/>
    </row>
    <row r="540" spans="1:11" ht="156.75" x14ac:dyDescent="0.2">
      <c r="A540" s="34" t="s">
        <v>1054</v>
      </c>
      <c r="B540" s="35" t="s">
        <v>1055</v>
      </c>
      <c r="C540" s="43">
        <f>+Tabla130[[#This Row],[COSTO CON IVA]]/Tabla130[[#This Row],[UTILIDAD]]</f>
        <v>3255840</v>
      </c>
      <c r="D540" s="43">
        <f>+Tabla130[[#This Row],[PRECIO INSTALLER (CON IVA)]]-Tabla130[[#This Row],[Columna4]]</f>
        <v>3093048</v>
      </c>
      <c r="E540" s="43">
        <f>+Tabla130[[#This Row],[PRECIO INSTALLER (CON IVA)]]/0.7</f>
        <v>4651200</v>
      </c>
      <c r="F540" s="41">
        <f>+Tabla130[[#This Row],[PRECIO INSTALLER (CON IVA)]]*5%</f>
        <v>162792</v>
      </c>
      <c r="G540" s="7">
        <v>0.85</v>
      </c>
      <c r="H540" s="38">
        <f>Tabla130[[#This Row],[COSTO]]*1.19</f>
        <v>2767464</v>
      </c>
      <c r="I540" s="38"/>
      <c r="J540" s="38"/>
      <c r="K540" s="36">
        <v>2325600</v>
      </c>
    </row>
    <row r="541" spans="1:11" ht="171" x14ac:dyDescent="0.2">
      <c r="A541" s="34" t="s">
        <v>1056</v>
      </c>
      <c r="B541" s="35" t="s">
        <v>1057</v>
      </c>
      <c r="C541" s="43">
        <f>+Tabla130[[#This Row],[COSTO CON IVA]]/Tabla130[[#This Row],[UTILIDAD]]</f>
        <v>1872780</v>
      </c>
      <c r="D541" s="43">
        <f>+Tabla130[[#This Row],[PRECIO INSTALLER (CON IVA)]]-Tabla130[[#This Row],[Columna4]]</f>
        <v>1779141</v>
      </c>
      <c r="E541" s="43">
        <f>+Tabla130[[#This Row],[PRECIO INSTALLER (CON IVA)]]/0.7</f>
        <v>2675400</v>
      </c>
      <c r="F541" s="41">
        <f>+Tabla130[[#This Row],[PRECIO INSTALLER (CON IVA)]]*5%</f>
        <v>93639</v>
      </c>
      <c r="G541" s="7">
        <v>0.85</v>
      </c>
      <c r="H541" s="38">
        <f>Tabla130[[#This Row],[COSTO]]*1.19</f>
        <v>1591863</v>
      </c>
      <c r="I541" s="38"/>
      <c r="J541" s="38"/>
      <c r="K541" s="36">
        <v>1337700</v>
      </c>
    </row>
    <row r="542" spans="1:11" ht="156.75" x14ac:dyDescent="0.2">
      <c r="A542" s="34" t="s">
        <v>1058</v>
      </c>
      <c r="B542" s="35" t="s">
        <v>1059</v>
      </c>
      <c r="C542" s="43">
        <f>+Tabla130[[#This Row],[COSTO CON IVA]]/Tabla130[[#This Row],[UTILIDAD]]</f>
        <v>2034900</v>
      </c>
      <c r="D542" s="43">
        <f>+Tabla130[[#This Row],[PRECIO INSTALLER (CON IVA)]]-Tabla130[[#This Row],[Columna4]]</f>
        <v>1933155</v>
      </c>
      <c r="E542" s="43">
        <f>+Tabla130[[#This Row],[PRECIO INSTALLER (CON IVA)]]/0.7</f>
        <v>2907000</v>
      </c>
      <c r="F542" s="41">
        <f>+Tabla130[[#This Row],[PRECIO INSTALLER (CON IVA)]]*5%</f>
        <v>101745</v>
      </c>
      <c r="G542" s="7">
        <v>0.85</v>
      </c>
      <c r="H542" s="38">
        <f>Tabla130[[#This Row],[COSTO]]*1.19</f>
        <v>1729665</v>
      </c>
      <c r="I542" s="38"/>
      <c r="J542" s="38"/>
      <c r="K542" s="36">
        <v>1453500</v>
      </c>
    </row>
    <row r="543" spans="1:11" ht="156.75" x14ac:dyDescent="0.2">
      <c r="A543" s="34" t="s">
        <v>1060</v>
      </c>
      <c r="B543" s="35" t="s">
        <v>1061</v>
      </c>
      <c r="C543" s="43">
        <f>+Tabla130[[#This Row],[COSTO CON IVA]]/Tabla130[[#This Row],[UTILIDAD]]</f>
        <v>1302000</v>
      </c>
      <c r="D543" s="43">
        <f>+Tabla130[[#This Row],[PRECIO INSTALLER (CON IVA)]]-Tabla130[[#This Row],[Columna4]]</f>
        <v>1236900</v>
      </c>
      <c r="E543" s="43">
        <f>+Tabla130[[#This Row],[PRECIO INSTALLER (CON IVA)]]/0.7</f>
        <v>1860000.0000000002</v>
      </c>
      <c r="F543" s="41">
        <f>+Tabla130[[#This Row],[PRECIO INSTALLER (CON IVA)]]*5%</f>
        <v>65100</v>
      </c>
      <c r="G543" s="7">
        <v>0.85</v>
      </c>
      <c r="H543" s="38">
        <f>Tabla130[[#This Row],[COSTO]]*1.19</f>
        <v>1106700</v>
      </c>
      <c r="I543" s="38"/>
      <c r="J543" s="38"/>
      <c r="K543" s="36">
        <v>930000</v>
      </c>
    </row>
    <row r="544" spans="1:11" ht="156.75" x14ac:dyDescent="0.2">
      <c r="A544" s="34" t="s">
        <v>1062</v>
      </c>
      <c r="B544" s="35" t="s">
        <v>1063</v>
      </c>
      <c r="C544" s="43">
        <f>+Tabla130[[#This Row],[COSTO CON IVA]]/Tabla130[[#This Row],[UTILIDAD]]</f>
        <v>1260000</v>
      </c>
      <c r="D544" s="43">
        <f>+Tabla130[[#This Row],[PRECIO INSTALLER (CON IVA)]]-Tabla130[[#This Row],[Columna4]]</f>
        <v>1197000</v>
      </c>
      <c r="E544" s="43">
        <f>+Tabla130[[#This Row],[PRECIO INSTALLER (CON IVA)]]/0.7</f>
        <v>1800000</v>
      </c>
      <c r="F544" s="41">
        <f>+Tabla130[[#This Row],[PRECIO INSTALLER (CON IVA)]]*5%</f>
        <v>63000</v>
      </c>
      <c r="G544" s="7">
        <v>0.85</v>
      </c>
      <c r="H544" s="38">
        <f>Tabla130[[#This Row],[COSTO]]*1.19</f>
        <v>1071000</v>
      </c>
      <c r="I544" s="38"/>
      <c r="J544" s="38"/>
      <c r="K544" s="36">
        <v>900000</v>
      </c>
    </row>
    <row r="545" spans="1:11" ht="142.5" x14ac:dyDescent="0.2">
      <c r="A545" s="34" t="s">
        <v>1064</v>
      </c>
      <c r="B545" s="35" t="s">
        <v>1065</v>
      </c>
      <c r="C545" s="43">
        <f>+Tabla130[[#This Row],[COSTO CON IVA]]/Tabla130[[#This Row],[UTILIDAD]]</f>
        <v>1092000</v>
      </c>
      <c r="D545" s="43">
        <f>+Tabla130[[#This Row],[PRECIO INSTALLER (CON IVA)]]-Tabla130[[#This Row],[Columna4]]</f>
        <v>1037400</v>
      </c>
      <c r="E545" s="43">
        <f>+Tabla130[[#This Row],[PRECIO INSTALLER (CON IVA)]]/0.7</f>
        <v>1560000</v>
      </c>
      <c r="F545" s="41">
        <f>+Tabla130[[#This Row],[PRECIO INSTALLER (CON IVA)]]*5%</f>
        <v>54600</v>
      </c>
      <c r="G545" s="7">
        <v>0.85</v>
      </c>
      <c r="H545" s="38">
        <f>Tabla130[[#This Row],[COSTO]]*1.19</f>
        <v>928200</v>
      </c>
      <c r="I545" s="38"/>
      <c r="J545" s="38"/>
      <c r="K545" s="36">
        <v>780000</v>
      </c>
    </row>
    <row r="546" spans="1:11" ht="142.5" x14ac:dyDescent="0.2">
      <c r="A546" s="34" t="s">
        <v>1066</v>
      </c>
      <c r="B546" s="35" t="s">
        <v>1067</v>
      </c>
      <c r="C546" s="43">
        <f>+Tabla130[[#This Row],[COSTO CON IVA]]/Tabla130[[#This Row],[UTILIDAD]]</f>
        <v>634900</v>
      </c>
      <c r="D546" s="43">
        <f>+Tabla130[[#This Row],[PRECIO INSTALLER (CON IVA)]]-Tabla130[[#This Row],[Columna4]]</f>
        <v>603155</v>
      </c>
      <c r="E546" s="43">
        <f>+Tabla130[[#This Row],[PRECIO INSTALLER (CON IVA)]]/0.7</f>
        <v>907000</v>
      </c>
      <c r="F546" s="41">
        <f>+Tabla130[[#This Row],[PRECIO INSTALLER (CON IVA)]]*5%</f>
        <v>31745</v>
      </c>
      <c r="G546" s="7">
        <v>0.85</v>
      </c>
      <c r="H546" s="38">
        <f>Tabla130[[#This Row],[COSTO]]*1.19</f>
        <v>539665</v>
      </c>
      <c r="I546" s="38"/>
      <c r="J546" s="38"/>
      <c r="K546" s="36">
        <v>453500</v>
      </c>
    </row>
    <row r="547" spans="1:11" ht="142.5" x14ac:dyDescent="0.2">
      <c r="A547" s="34" t="s">
        <v>1068</v>
      </c>
      <c r="B547" s="35" t="s">
        <v>1069</v>
      </c>
      <c r="C547" s="43">
        <f>+Tabla130[[#This Row],[COSTO CON IVA]]/Tabla130[[#This Row],[UTILIDAD]]</f>
        <v>592200</v>
      </c>
      <c r="D547" s="43">
        <f>+Tabla130[[#This Row],[PRECIO INSTALLER (CON IVA)]]-Tabla130[[#This Row],[Columna4]]</f>
        <v>562590</v>
      </c>
      <c r="E547" s="43">
        <f>+Tabla130[[#This Row],[PRECIO INSTALLER (CON IVA)]]/0.7</f>
        <v>846000</v>
      </c>
      <c r="F547" s="41">
        <f>+Tabla130[[#This Row],[PRECIO INSTALLER (CON IVA)]]*5%</f>
        <v>29610</v>
      </c>
      <c r="G547" s="7">
        <v>0.85</v>
      </c>
      <c r="H547" s="38">
        <f>Tabla130[[#This Row],[COSTO]]*1.19</f>
        <v>503370</v>
      </c>
      <c r="I547" s="38"/>
      <c r="J547" s="38"/>
      <c r="K547" s="36">
        <v>423000</v>
      </c>
    </row>
    <row r="548" spans="1:11" ht="142.5" x14ac:dyDescent="0.2">
      <c r="A548" s="34" t="s">
        <v>1070</v>
      </c>
      <c r="B548" s="35" t="s">
        <v>1071</v>
      </c>
      <c r="C548" s="43">
        <f>+Tabla130[[#This Row],[COSTO CON IVA]]/Tabla130[[#This Row],[UTILIDAD]]</f>
        <v>719600</v>
      </c>
      <c r="D548" s="43">
        <f>+Tabla130[[#This Row],[PRECIO INSTALLER (CON IVA)]]-Tabla130[[#This Row],[Columna4]]</f>
        <v>683620</v>
      </c>
      <c r="E548" s="43">
        <f>+Tabla130[[#This Row],[PRECIO INSTALLER (CON IVA)]]/0.7</f>
        <v>1028000.0000000001</v>
      </c>
      <c r="F548" s="41">
        <f>+Tabla130[[#This Row],[PRECIO INSTALLER (CON IVA)]]*5%</f>
        <v>35980</v>
      </c>
      <c r="G548" s="7">
        <v>0.85</v>
      </c>
      <c r="H548" s="38">
        <f>Tabla130[[#This Row],[COSTO]]*1.19</f>
        <v>611660</v>
      </c>
      <c r="I548" s="38"/>
      <c r="J548" s="38"/>
      <c r="K548" s="36">
        <v>514000</v>
      </c>
    </row>
    <row r="549" spans="1:11" ht="142.5" x14ac:dyDescent="0.2">
      <c r="A549" s="34" t="s">
        <v>1072</v>
      </c>
      <c r="B549" s="35" t="s">
        <v>1073</v>
      </c>
      <c r="C549" s="43">
        <f>+Tabla130[[#This Row],[COSTO CON IVA]]/Tabla130[[#This Row],[UTILIDAD]]</f>
        <v>910000</v>
      </c>
      <c r="D549" s="43">
        <f>+Tabla130[[#This Row],[PRECIO INSTALLER (CON IVA)]]-Tabla130[[#This Row],[Columna4]]</f>
        <v>864500</v>
      </c>
      <c r="E549" s="43">
        <f>+Tabla130[[#This Row],[PRECIO INSTALLER (CON IVA)]]/0.7</f>
        <v>1300000</v>
      </c>
      <c r="F549" s="41">
        <f>+Tabla130[[#This Row],[PRECIO INSTALLER (CON IVA)]]*5%</f>
        <v>45500</v>
      </c>
      <c r="G549" s="7">
        <v>0.85</v>
      </c>
      <c r="H549" s="38">
        <f>Tabla130[[#This Row],[COSTO]]*1.19</f>
        <v>773500</v>
      </c>
      <c r="I549" s="38"/>
      <c r="J549" s="38"/>
      <c r="K549" s="36">
        <v>650000</v>
      </c>
    </row>
    <row r="550" spans="1:11" ht="171" x14ac:dyDescent="0.2">
      <c r="A550" s="34" t="s">
        <v>1074</v>
      </c>
      <c r="B550" s="35" t="s">
        <v>1075</v>
      </c>
      <c r="C550" s="43">
        <f>+Tabla130[[#This Row],[COSTO CON IVA]]/Tabla130[[#This Row],[UTILIDAD]]</f>
        <v>644000</v>
      </c>
      <c r="D550" s="43">
        <f>+Tabla130[[#This Row],[PRECIO INSTALLER (CON IVA)]]-Tabla130[[#This Row],[Columna4]]</f>
        <v>611800</v>
      </c>
      <c r="E550" s="43">
        <f>+Tabla130[[#This Row],[PRECIO INSTALLER (CON IVA)]]/0.7</f>
        <v>920000.00000000012</v>
      </c>
      <c r="F550" s="41">
        <f>+Tabla130[[#This Row],[PRECIO INSTALLER (CON IVA)]]*5%</f>
        <v>32200</v>
      </c>
      <c r="G550" s="7">
        <v>0.85</v>
      </c>
      <c r="H550" s="38">
        <f>Tabla130[[#This Row],[COSTO]]*1.19</f>
        <v>547400</v>
      </c>
      <c r="I550" s="38"/>
      <c r="J550" s="38"/>
      <c r="K550" s="36">
        <v>460000</v>
      </c>
    </row>
    <row r="551" spans="1:11" ht="142.5" x14ac:dyDescent="0.2">
      <c r="A551" s="34" t="s">
        <v>26</v>
      </c>
      <c r="B551" s="35" t="s">
        <v>1076</v>
      </c>
      <c r="C551" s="43">
        <f>+Tabla130[[#This Row],[COSTO CON IVA]]/Tabla130[[#This Row],[UTILIDAD]]</f>
        <v>627480</v>
      </c>
      <c r="D551" s="43">
        <f>+Tabla130[[#This Row],[PRECIO INSTALLER (CON IVA)]]-Tabla130[[#This Row],[Columna4]]</f>
        <v>596106</v>
      </c>
      <c r="E551" s="43">
        <f>+Tabla130[[#This Row],[PRECIO INSTALLER (CON IVA)]]/0.7</f>
        <v>896400</v>
      </c>
      <c r="F551" s="41">
        <f>+Tabla130[[#This Row],[PRECIO INSTALLER (CON IVA)]]*5%</f>
        <v>31374</v>
      </c>
      <c r="G551" s="7">
        <v>0.85</v>
      </c>
      <c r="H551" s="38">
        <f>Tabla130[[#This Row],[COSTO]]*1.19</f>
        <v>533358</v>
      </c>
      <c r="I551" s="38"/>
      <c r="J551" s="38"/>
      <c r="K551" s="36">
        <v>448200</v>
      </c>
    </row>
    <row r="552" spans="1:11" ht="142.5" x14ac:dyDescent="0.2">
      <c r="A552" s="34" t="s">
        <v>25</v>
      </c>
      <c r="B552" s="35" t="s">
        <v>1077</v>
      </c>
      <c r="C552" s="43">
        <f>+Tabla130[[#This Row],[COSTO CON IVA]]/Tabla130[[#This Row],[UTILIDAD]]</f>
        <v>1949640</v>
      </c>
      <c r="D552" s="43">
        <f>+Tabla130[[#This Row],[PRECIO INSTALLER (CON IVA)]]-Tabla130[[#This Row],[Columna4]]</f>
        <v>1852158</v>
      </c>
      <c r="E552" s="43">
        <f>+Tabla130[[#This Row],[PRECIO INSTALLER (CON IVA)]]/0.7</f>
        <v>2785200</v>
      </c>
      <c r="F552" s="41">
        <f>+Tabla130[[#This Row],[PRECIO INSTALLER (CON IVA)]]*5%</f>
        <v>97482</v>
      </c>
      <c r="G552" s="7">
        <v>0.85</v>
      </c>
      <c r="H552" s="38">
        <f>Tabla130[[#This Row],[COSTO]]*1.19</f>
        <v>1657194</v>
      </c>
      <c r="I552" s="38"/>
      <c r="J552" s="38"/>
      <c r="K552" s="36">
        <v>1392600</v>
      </c>
    </row>
    <row r="553" spans="1:11" ht="128.25" x14ac:dyDescent="0.2">
      <c r="A553" s="34" t="s">
        <v>1078</v>
      </c>
      <c r="B553" s="35" t="s">
        <v>1079</v>
      </c>
      <c r="C553" s="43">
        <f>+Tabla130[[#This Row],[COSTO CON IVA]]/Tabla130[[#This Row],[UTILIDAD]]</f>
        <v>813960</v>
      </c>
      <c r="D553" s="43">
        <f>+Tabla130[[#This Row],[PRECIO INSTALLER (CON IVA)]]-Tabla130[[#This Row],[Columna4]]</f>
        <v>773262</v>
      </c>
      <c r="E553" s="43">
        <f>+Tabla130[[#This Row],[PRECIO INSTALLER (CON IVA)]]/0.7</f>
        <v>1162800</v>
      </c>
      <c r="F553" s="41">
        <f>+Tabla130[[#This Row],[PRECIO INSTALLER (CON IVA)]]*5%</f>
        <v>40698</v>
      </c>
      <c r="G553" s="7">
        <v>0.85</v>
      </c>
      <c r="H553" s="38">
        <f>Tabla130[[#This Row],[COSTO]]*1.19</f>
        <v>691866</v>
      </c>
      <c r="I553" s="38"/>
      <c r="J553" s="38"/>
      <c r="K553" s="36">
        <v>581400</v>
      </c>
    </row>
    <row r="554" spans="1:11" ht="142.5" x14ac:dyDescent="0.2">
      <c r="A554" s="34" t="s">
        <v>1080</v>
      </c>
      <c r="B554" s="35" t="s">
        <v>1081</v>
      </c>
      <c r="C554" s="43">
        <f>+Tabla130[[#This Row],[COSTO CON IVA]]/Tabla130[[#This Row],[UTILIDAD]]</f>
        <v>768320</v>
      </c>
      <c r="D554" s="43">
        <f>+Tabla130[[#This Row],[PRECIO INSTALLER (CON IVA)]]-Tabla130[[#This Row],[Columna4]]</f>
        <v>729904</v>
      </c>
      <c r="E554" s="43">
        <f>+Tabla130[[#This Row],[PRECIO INSTALLER (CON IVA)]]/0.7</f>
        <v>1097600</v>
      </c>
      <c r="F554" s="41">
        <f>+Tabla130[[#This Row],[PRECIO INSTALLER (CON IVA)]]*5%</f>
        <v>38416</v>
      </c>
      <c r="G554" s="7">
        <v>0.85</v>
      </c>
      <c r="H554" s="38">
        <f>Tabla130[[#This Row],[COSTO]]*1.19</f>
        <v>653072</v>
      </c>
      <c r="I554" s="38"/>
      <c r="J554" s="38"/>
      <c r="K554" s="36">
        <v>548800</v>
      </c>
    </row>
    <row r="555" spans="1:11" ht="142.5" x14ac:dyDescent="0.2">
      <c r="A555" s="34" t="s">
        <v>1082</v>
      </c>
      <c r="B555" s="35" t="s">
        <v>1083</v>
      </c>
      <c r="C555" s="43">
        <f>+Tabla130[[#This Row],[COSTO CON IVA]]/Tabla130[[#This Row],[UTILIDAD]]</f>
        <v>768320</v>
      </c>
      <c r="D555" s="43">
        <f>+Tabla130[[#This Row],[PRECIO INSTALLER (CON IVA)]]-Tabla130[[#This Row],[Columna4]]</f>
        <v>729904</v>
      </c>
      <c r="E555" s="43">
        <f>+Tabla130[[#This Row],[PRECIO INSTALLER (CON IVA)]]/0.7</f>
        <v>1097600</v>
      </c>
      <c r="F555" s="41">
        <f>+Tabla130[[#This Row],[PRECIO INSTALLER (CON IVA)]]*5%</f>
        <v>38416</v>
      </c>
      <c r="G555" s="7">
        <v>0.85</v>
      </c>
      <c r="H555" s="38">
        <f>Tabla130[[#This Row],[COSTO]]*1.19</f>
        <v>653072</v>
      </c>
      <c r="I555" s="38"/>
      <c r="J555" s="38"/>
      <c r="K555" s="36">
        <v>548800</v>
      </c>
    </row>
    <row r="556" spans="1:11" ht="128.25" x14ac:dyDescent="0.2">
      <c r="A556" s="34" t="s">
        <v>1084</v>
      </c>
      <c r="B556" s="35" t="s">
        <v>1085</v>
      </c>
      <c r="C556" s="43">
        <f>+Tabla130[[#This Row],[COSTO CON IVA]]/Tabla130[[#This Row],[UTILIDAD]]</f>
        <v>588000</v>
      </c>
      <c r="D556" s="43">
        <f>+Tabla130[[#This Row],[PRECIO INSTALLER (CON IVA)]]-Tabla130[[#This Row],[Columna4]]</f>
        <v>558600</v>
      </c>
      <c r="E556" s="43">
        <f>+Tabla130[[#This Row],[PRECIO INSTALLER (CON IVA)]]/0.7</f>
        <v>840000</v>
      </c>
      <c r="F556" s="41">
        <f>+Tabla130[[#This Row],[PRECIO INSTALLER (CON IVA)]]*5%</f>
        <v>29400</v>
      </c>
      <c r="G556" s="7">
        <v>0.85</v>
      </c>
      <c r="H556" s="38">
        <f>Tabla130[[#This Row],[COSTO]]*1.19</f>
        <v>499800</v>
      </c>
      <c r="I556" s="38"/>
      <c r="J556" s="38"/>
      <c r="K556" s="36">
        <v>420000</v>
      </c>
    </row>
    <row r="557" spans="1:11" ht="142.5" x14ac:dyDescent="0.2">
      <c r="A557" s="34" t="s">
        <v>1086</v>
      </c>
      <c r="B557" s="35" t="s">
        <v>1087</v>
      </c>
      <c r="C557" s="43">
        <f>+Tabla130[[#This Row],[COSTO CON IVA]]/Tabla130[[#This Row],[UTILIDAD]]</f>
        <v>569800</v>
      </c>
      <c r="D557" s="43">
        <f>+Tabla130[[#This Row],[PRECIO INSTALLER (CON IVA)]]-Tabla130[[#This Row],[Columna4]]</f>
        <v>541310</v>
      </c>
      <c r="E557" s="43">
        <f>+Tabla130[[#This Row],[PRECIO INSTALLER (CON IVA)]]/0.7</f>
        <v>814000</v>
      </c>
      <c r="F557" s="41">
        <f>+Tabla130[[#This Row],[PRECIO INSTALLER (CON IVA)]]*5%</f>
        <v>28490</v>
      </c>
      <c r="G557" s="7">
        <v>0.85</v>
      </c>
      <c r="H557" s="38">
        <f>Tabla130[[#This Row],[COSTO]]*1.19</f>
        <v>484330</v>
      </c>
      <c r="I557" s="38"/>
      <c r="J557" s="38"/>
      <c r="K557" s="36">
        <v>407000</v>
      </c>
    </row>
    <row r="558" spans="1:11" ht="142.5" x14ac:dyDescent="0.2">
      <c r="A558" s="34" t="s">
        <v>1088</v>
      </c>
      <c r="B558" s="35" t="s">
        <v>1089</v>
      </c>
      <c r="C558" s="43">
        <f>+Tabla130[[#This Row],[COSTO CON IVA]]/Tabla130[[#This Row],[UTILIDAD]]</f>
        <v>651140</v>
      </c>
      <c r="D558" s="43">
        <f>+Tabla130[[#This Row],[PRECIO INSTALLER (CON IVA)]]-Tabla130[[#This Row],[Columna4]]</f>
        <v>618583</v>
      </c>
      <c r="E558" s="43">
        <f>+Tabla130[[#This Row],[PRECIO INSTALLER (CON IVA)]]/0.7</f>
        <v>930200.00000000012</v>
      </c>
      <c r="F558" s="41">
        <f>+Tabla130[[#This Row],[PRECIO INSTALLER (CON IVA)]]*5%</f>
        <v>32557</v>
      </c>
      <c r="G558" s="7">
        <v>0.85</v>
      </c>
      <c r="H558" s="38">
        <f>Tabla130[[#This Row],[COSTO]]*1.19</f>
        <v>553469</v>
      </c>
      <c r="I558" s="38"/>
      <c r="J558" s="38"/>
      <c r="K558" s="36">
        <v>465100</v>
      </c>
    </row>
    <row r="559" spans="1:11" ht="128.25" x14ac:dyDescent="0.2">
      <c r="A559" s="34" t="s">
        <v>1090</v>
      </c>
      <c r="B559" s="35" t="s">
        <v>1091</v>
      </c>
      <c r="C559" s="43">
        <f>+Tabla130[[#This Row],[COSTO CON IVA]]/Tabla130[[#This Row],[UTILIDAD]]</f>
        <v>602000</v>
      </c>
      <c r="D559" s="43">
        <f>+Tabla130[[#This Row],[PRECIO INSTALLER (CON IVA)]]-Tabla130[[#This Row],[Columna4]]</f>
        <v>571900</v>
      </c>
      <c r="E559" s="43">
        <f>+Tabla130[[#This Row],[PRECIO INSTALLER (CON IVA)]]/0.7</f>
        <v>860000</v>
      </c>
      <c r="F559" s="41">
        <f>+Tabla130[[#This Row],[PRECIO INSTALLER (CON IVA)]]*5%</f>
        <v>30100</v>
      </c>
      <c r="G559" s="7">
        <v>0.85</v>
      </c>
      <c r="H559" s="38">
        <f>Tabla130[[#This Row],[COSTO]]*1.19</f>
        <v>511700</v>
      </c>
      <c r="I559" s="38"/>
      <c r="J559" s="38"/>
      <c r="K559" s="36">
        <v>430000</v>
      </c>
    </row>
    <row r="560" spans="1:11" ht="128.25" x14ac:dyDescent="0.2">
      <c r="A560" s="34" t="s">
        <v>24</v>
      </c>
      <c r="B560" s="35" t="s">
        <v>1092</v>
      </c>
      <c r="C560" s="43">
        <f>+Tabla130[[#This Row],[COSTO CON IVA]]/Tabla130[[#This Row],[UTILIDAD]]</f>
        <v>556920</v>
      </c>
      <c r="D560" s="43">
        <f>+Tabla130[[#This Row],[PRECIO INSTALLER (CON IVA)]]-Tabla130[[#This Row],[Columna4]]</f>
        <v>529074</v>
      </c>
      <c r="E560" s="43">
        <f>+Tabla130[[#This Row],[PRECIO INSTALLER (CON IVA)]]/0.7</f>
        <v>795600</v>
      </c>
      <c r="F560" s="41">
        <f>+Tabla130[[#This Row],[PRECIO INSTALLER (CON IVA)]]*5%</f>
        <v>27846</v>
      </c>
      <c r="G560" s="7">
        <v>0.85</v>
      </c>
      <c r="H560" s="38">
        <f>Tabla130[[#This Row],[COSTO]]*1.19</f>
        <v>473382</v>
      </c>
      <c r="I560" s="38"/>
      <c r="J560" s="38"/>
      <c r="K560" s="36">
        <v>397800</v>
      </c>
    </row>
    <row r="561" spans="1:11" ht="128.25" x14ac:dyDescent="0.2">
      <c r="A561" s="34" t="s">
        <v>1093</v>
      </c>
      <c r="B561" s="35" t="s">
        <v>1094</v>
      </c>
      <c r="C561" s="43">
        <f>+Tabla130[[#This Row],[COSTO CON IVA]]/Tabla130[[#This Row],[UTILIDAD]]</f>
        <v>562800</v>
      </c>
      <c r="D561" s="43">
        <f>+Tabla130[[#This Row],[PRECIO INSTALLER (CON IVA)]]-Tabla130[[#This Row],[Columna4]]</f>
        <v>534660</v>
      </c>
      <c r="E561" s="43">
        <f>+Tabla130[[#This Row],[PRECIO INSTALLER (CON IVA)]]/0.7</f>
        <v>804000</v>
      </c>
      <c r="F561" s="41">
        <f>+Tabla130[[#This Row],[PRECIO INSTALLER (CON IVA)]]*5%</f>
        <v>28140</v>
      </c>
      <c r="G561" s="7">
        <v>0.85</v>
      </c>
      <c r="H561" s="38">
        <f>Tabla130[[#This Row],[COSTO]]*1.19</f>
        <v>478380</v>
      </c>
      <c r="I561" s="38"/>
      <c r="J561" s="38"/>
      <c r="K561" s="36">
        <v>402000</v>
      </c>
    </row>
    <row r="562" spans="1:11" ht="142.5" x14ac:dyDescent="0.2">
      <c r="A562" s="34" t="s">
        <v>1095</v>
      </c>
      <c r="B562" s="35" t="s">
        <v>1096</v>
      </c>
      <c r="C562" s="43">
        <f>+Tabla130[[#This Row],[COSTO CON IVA]]/Tabla130[[#This Row],[UTILIDAD]]</f>
        <v>406000</v>
      </c>
      <c r="D562" s="43">
        <f>+Tabla130[[#This Row],[PRECIO INSTALLER (CON IVA)]]-Tabla130[[#This Row],[Columna4]]</f>
        <v>385700</v>
      </c>
      <c r="E562" s="43">
        <f>+Tabla130[[#This Row],[PRECIO INSTALLER (CON IVA)]]/0.7</f>
        <v>580000</v>
      </c>
      <c r="F562" s="41">
        <f>+Tabla130[[#This Row],[PRECIO INSTALLER (CON IVA)]]*5%</f>
        <v>20300</v>
      </c>
      <c r="G562" s="7">
        <v>0.85</v>
      </c>
      <c r="H562" s="38">
        <f>Tabla130[[#This Row],[COSTO]]*1.19</f>
        <v>345100</v>
      </c>
      <c r="I562" s="38"/>
      <c r="J562" s="38"/>
      <c r="K562" s="36">
        <v>290000</v>
      </c>
    </row>
    <row r="563" spans="1:11" ht="142.5" x14ac:dyDescent="0.2">
      <c r="A563" s="34" t="s">
        <v>1097</v>
      </c>
      <c r="B563" s="35" t="s">
        <v>1098</v>
      </c>
      <c r="C563" s="43">
        <f>+Tabla130[[#This Row],[COSTO CON IVA]]/Tabla130[[#This Row],[UTILIDAD]]</f>
        <v>480200</v>
      </c>
      <c r="D563" s="43">
        <f>+Tabla130[[#This Row],[PRECIO INSTALLER (CON IVA)]]-Tabla130[[#This Row],[Columna4]]</f>
        <v>456190</v>
      </c>
      <c r="E563" s="43">
        <f>+Tabla130[[#This Row],[PRECIO INSTALLER (CON IVA)]]/0.7</f>
        <v>686000</v>
      </c>
      <c r="F563" s="41">
        <f>+Tabla130[[#This Row],[PRECIO INSTALLER (CON IVA)]]*5%</f>
        <v>24010</v>
      </c>
      <c r="G563" s="7">
        <v>0.85</v>
      </c>
      <c r="H563" s="38">
        <f>Tabla130[[#This Row],[COSTO]]*1.19</f>
        <v>408170</v>
      </c>
      <c r="I563" s="38"/>
      <c r="J563" s="38"/>
      <c r="K563" s="36">
        <v>343000</v>
      </c>
    </row>
    <row r="564" spans="1:11" ht="114" x14ac:dyDescent="0.2">
      <c r="A564" s="34" t="s">
        <v>1099</v>
      </c>
      <c r="B564" s="35" t="s">
        <v>1100</v>
      </c>
      <c r="C564" s="43">
        <f>+Tabla130[[#This Row],[COSTO CON IVA]]/Tabla130[[#This Row],[UTILIDAD]]</f>
        <v>413980</v>
      </c>
      <c r="D564" s="43">
        <f>+Tabla130[[#This Row],[PRECIO INSTALLER (CON IVA)]]-Tabla130[[#This Row],[Columna4]]</f>
        <v>393281</v>
      </c>
      <c r="E564" s="43">
        <f>+Tabla130[[#This Row],[PRECIO INSTALLER (CON IVA)]]/0.7</f>
        <v>591400</v>
      </c>
      <c r="F564" s="41">
        <f>+Tabla130[[#This Row],[PRECIO INSTALLER (CON IVA)]]*5%</f>
        <v>20699</v>
      </c>
      <c r="G564" s="7">
        <v>0.85</v>
      </c>
      <c r="H564" s="38">
        <f>Tabla130[[#This Row],[COSTO]]*1.19</f>
        <v>351883</v>
      </c>
      <c r="I564" s="38"/>
      <c r="J564" s="38"/>
      <c r="K564" s="36">
        <v>295700</v>
      </c>
    </row>
    <row r="565" spans="1:11" ht="128.25" x14ac:dyDescent="0.2">
      <c r="A565" s="34" t="s">
        <v>1101</v>
      </c>
      <c r="B565" s="35" t="s">
        <v>1102</v>
      </c>
      <c r="C565" s="43">
        <f>+Tabla130[[#This Row],[COSTO CON IVA]]/Tabla130[[#This Row],[UTILIDAD]]</f>
        <v>252000</v>
      </c>
      <c r="D565" s="43">
        <f>+Tabla130[[#This Row],[PRECIO INSTALLER (CON IVA)]]-Tabla130[[#This Row],[Columna4]]</f>
        <v>239400</v>
      </c>
      <c r="E565" s="43">
        <f>+Tabla130[[#This Row],[PRECIO INSTALLER (CON IVA)]]/0.7</f>
        <v>360000</v>
      </c>
      <c r="F565" s="41">
        <f>+Tabla130[[#This Row],[PRECIO INSTALLER (CON IVA)]]*5%</f>
        <v>12600</v>
      </c>
      <c r="G565" s="7">
        <v>0.85</v>
      </c>
      <c r="H565" s="38">
        <f>Tabla130[[#This Row],[COSTO]]*1.19</f>
        <v>214200</v>
      </c>
      <c r="I565" s="38"/>
      <c r="J565" s="38"/>
      <c r="K565" s="36">
        <v>180000</v>
      </c>
    </row>
    <row r="566" spans="1:11" ht="142.5" x14ac:dyDescent="0.2">
      <c r="A566" s="34" t="s">
        <v>1103</v>
      </c>
      <c r="B566" s="35" t="s">
        <v>1104</v>
      </c>
      <c r="C566" s="43">
        <f>+Tabla130[[#This Row],[COSTO CON IVA]]/Tabla130[[#This Row],[UTILIDAD]]</f>
        <v>308000</v>
      </c>
      <c r="D566" s="43">
        <f>+Tabla130[[#This Row],[PRECIO INSTALLER (CON IVA)]]-Tabla130[[#This Row],[Columna4]]</f>
        <v>292600</v>
      </c>
      <c r="E566" s="43">
        <f>+Tabla130[[#This Row],[PRECIO INSTALLER (CON IVA)]]/0.7</f>
        <v>440000</v>
      </c>
      <c r="F566" s="41">
        <f>+Tabla130[[#This Row],[PRECIO INSTALLER (CON IVA)]]*5%</f>
        <v>15400</v>
      </c>
      <c r="G566" s="7">
        <v>0.85</v>
      </c>
      <c r="H566" s="38">
        <f>Tabla130[[#This Row],[COSTO]]*1.19</f>
        <v>261800</v>
      </c>
      <c r="I566" s="38"/>
      <c r="J566" s="38"/>
      <c r="K566" s="36">
        <v>220000</v>
      </c>
    </row>
    <row r="567" spans="1:11" ht="114" x14ac:dyDescent="0.2">
      <c r="A567" s="34" t="s">
        <v>23</v>
      </c>
      <c r="B567" s="35" t="s">
        <v>1105</v>
      </c>
      <c r="C567" s="43">
        <f>+Tabla130[[#This Row],[COSTO CON IVA]]/Tabla130[[#This Row],[UTILIDAD]]</f>
        <v>331660</v>
      </c>
      <c r="D567" s="43">
        <f>+Tabla130[[#This Row],[PRECIO INSTALLER (CON IVA)]]-Tabla130[[#This Row],[Columna4]]</f>
        <v>315077</v>
      </c>
      <c r="E567" s="43">
        <f>+Tabla130[[#This Row],[PRECIO INSTALLER (CON IVA)]]/0.7</f>
        <v>473800.00000000006</v>
      </c>
      <c r="F567" s="41">
        <f>+Tabla130[[#This Row],[PRECIO INSTALLER (CON IVA)]]*5%</f>
        <v>16583</v>
      </c>
      <c r="G567" s="7">
        <v>0.85</v>
      </c>
      <c r="H567" s="38">
        <f>Tabla130[[#This Row],[COSTO]]*1.19</f>
        <v>281911</v>
      </c>
      <c r="I567" s="38"/>
      <c r="J567" s="38"/>
      <c r="K567" s="36">
        <v>236900</v>
      </c>
    </row>
    <row r="568" spans="1:11" ht="128.25" x14ac:dyDescent="0.2">
      <c r="A568" s="34" t="s">
        <v>1106</v>
      </c>
      <c r="B568" s="35" t="s">
        <v>1107</v>
      </c>
      <c r="C568" s="43">
        <f>+Tabla130[[#This Row],[COSTO CON IVA]]/Tabla130[[#This Row],[UTILIDAD]]</f>
        <v>630000</v>
      </c>
      <c r="D568" s="43">
        <f>+Tabla130[[#This Row],[PRECIO INSTALLER (CON IVA)]]-Tabla130[[#This Row],[Columna4]]</f>
        <v>598500</v>
      </c>
      <c r="E568" s="43">
        <f>+Tabla130[[#This Row],[PRECIO INSTALLER (CON IVA)]]/0.7</f>
        <v>900000</v>
      </c>
      <c r="F568" s="41">
        <f>+Tabla130[[#This Row],[PRECIO INSTALLER (CON IVA)]]*5%</f>
        <v>31500</v>
      </c>
      <c r="G568" s="7">
        <v>0.85</v>
      </c>
      <c r="H568" s="38">
        <f>Tabla130[[#This Row],[COSTO]]*1.19</f>
        <v>535500</v>
      </c>
      <c r="I568" s="38"/>
      <c r="J568" s="38"/>
      <c r="K568" s="36">
        <v>450000</v>
      </c>
    </row>
    <row r="569" spans="1:11" ht="114" x14ac:dyDescent="0.2">
      <c r="A569" s="34" t="s">
        <v>1108</v>
      </c>
      <c r="B569" s="35" t="s">
        <v>1109</v>
      </c>
      <c r="C569" s="43">
        <f>+Tabla130[[#This Row],[COSTO CON IVA]]/Tabla130[[#This Row],[UTILIDAD]]</f>
        <v>490000</v>
      </c>
      <c r="D569" s="43">
        <f>+Tabla130[[#This Row],[PRECIO INSTALLER (CON IVA)]]-Tabla130[[#This Row],[Columna4]]</f>
        <v>465500</v>
      </c>
      <c r="E569" s="43">
        <f>+Tabla130[[#This Row],[PRECIO INSTALLER (CON IVA)]]/0.7</f>
        <v>700000</v>
      </c>
      <c r="F569" s="41">
        <f>+Tabla130[[#This Row],[PRECIO INSTALLER (CON IVA)]]*5%</f>
        <v>24500</v>
      </c>
      <c r="G569" s="7">
        <v>0.85</v>
      </c>
      <c r="H569" s="38">
        <f>Tabla130[[#This Row],[COSTO]]*1.19</f>
        <v>416500</v>
      </c>
      <c r="I569" s="38"/>
      <c r="J569" s="38"/>
      <c r="K569" s="36">
        <v>350000</v>
      </c>
    </row>
    <row r="570" spans="1:11" ht="85.5" x14ac:dyDescent="0.2">
      <c r="A570" s="34" t="s">
        <v>22</v>
      </c>
      <c r="B570" s="35" t="s">
        <v>1110</v>
      </c>
      <c r="C570" s="43">
        <f>+Tabla130[[#This Row],[COSTO CON IVA]]/Tabla130[[#This Row],[UTILIDAD]]</f>
        <v>199080</v>
      </c>
      <c r="D570" s="43">
        <f>+Tabla130[[#This Row],[PRECIO INSTALLER (CON IVA)]]-Tabla130[[#This Row],[Columna4]]</f>
        <v>189126</v>
      </c>
      <c r="E570" s="43">
        <f>+Tabla130[[#This Row],[PRECIO INSTALLER (CON IVA)]]/0.7</f>
        <v>284400</v>
      </c>
      <c r="F570" s="41">
        <f>+Tabla130[[#This Row],[PRECIO INSTALLER (CON IVA)]]*5%</f>
        <v>9954</v>
      </c>
      <c r="G570" s="7">
        <v>0.85</v>
      </c>
      <c r="H570" s="38">
        <f>Tabla130[[#This Row],[COSTO]]*1.19</f>
        <v>169218</v>
      </c>
      <c r="I570" s="38"/>
      <c r="J570" s="38"/>
      <c r="K570" s="36">
        <v>142200</v>
      </c>
    </row>
    <row r="571" spans="1:11" ht="128.25" x14ac:dyDescent="0.2">
      <c r="A571" s="34" t="s">
        <v>1111</v>
      </c>
      <c r="B571" s="35" t="s">
        <v>1112</v>
      </c>
      <c r="C571" s="43">
        <f>+Tabla130[[#This Row],[COSTO CON IVA]]/Tabla130[[#This Row],[UTILIDAD]]</f>
        <v>210000</v>
      </c>
      <c r="D571" s="43">
        <f>+Tabla130[[#This Row],[PRECIO INSTALLER (CON IVA)]]-Tabla130[[#This Row],[Columna4]]</f>
        <v>199500</v>
      </c>
      <c r="E571" s="43">
        <f>+Tabla130[[#This Row],[PRECIO INSTALLER (CON IVA)]]/0.7</f>
        <v>300000</v>
      </c>
      <c r="F571" s="41">
        <f>+Tabla130[[#This Row],[PRECIO INSTALLER (CON IVA)]]*5%</f>
        <v>10500</v>
      </c>
      <c r="G571" s="7">
        <v>0.85</v>
      </c>
      <c r="H571" s="38">
        <f>Tabla130[[#This Row],[COSTO]]*1.19</f>
        <v>178500</v>
      </c>
      <c r="I571" s="38"/>
      <c r="J571" s="38"/>
      <c r="K571" s="36">
        <v>150000</v>
      </c>
    </row>
    <row r="572" spans="1:11" ht="85.5" x14ac:dyDescent="0.2">
      <c r="A572" s="34" t="s">
        <v>1113</v>
      </c>
      <c r="B572" s="35" t="s">
        <v>1114</v>
      </c>
      <c r="C572" s="43">
        <f>+Tabla130[[#This Row],[COSTO CON IVA]]/Tabla130[[#This Row],[UTILIDAD]]</f>
        <v>332640</v>
      </c>
      <c r="D572" s="43">
        <f>+Tabla130[[#This Row],[PRECIO INSTALLER (CON IVA)]]-Tabla130[[#This Row],[Columna4]]</f>
        <v>316008</v>
      </c>
      <c r="E572" s="43">
        <f>+Tabla130[[#This Row],[PRECIO INSTALLER (CON IVA)]]/0.7</f>
        <v>475200.00000000006</v>
      </c>
      <c r="F572" s="41">
        <f>+Tabla130[[#This Row],[PRECIO INSTALLER (CON IVA)]]*5%</f>
        <v>16632</v>
      </c>
      <c r="G572" s="7">
        <v>0.85</v>
      </c>
      <c r="H572" s="38">
        <f>Tabla130[[#This Row],[COSTO]]*1.19</f>
        <v>282744</v>
      </c>
      <c r="I572" s="38"/>
      <c r="J572" s="38"/>
      <c r="K572" s="36">
        <v>237600</v>
      </c>
    </row>
    <row r="573" spans="1:11" ht="85.5" x14ac:dyDescent="0.2">
      <c r="A573" s="34" t="s">
        <v>21</v>
      </c>
      <c r="B573" s="35" t="s">
        <v>1115</v>
      </c>
      <c r="C573" s="43">
        <f>+Tabla130[[#This Row],[COSTO CON IVA]]/Tabla130[[#This Row],[UTILIDAD]]</f>
        <v>266280</v>
      </c>
      <c r="D573" s="43">
        <f>+Tabla130[[#This Row],[PRECIO INSTALLER (CON IVA)]]-Tabla130[[#This Row],[Columna4]]</f>
        <v>252966</v>
      </c>
      <c r="E573" s="43">
        <f>+Tabla130[[#This Row],[PRECIO INSTALLER (CON IVA)]]/0.7</f>
        <v>380400</v>
      </c>
      <c r="F573" s="41">
        <f>+Tabla130[[#This Row],[PRECIO INSTALLER (CON IVA)]]*5%</f>
        <v>13314</v>
      </c>
      <c r="G573" s="7">
        <v>0.85</v>
      </c>
      <c r="H573" s="38">
        <f>Tabla130[[#This Row],[COSTO]]*1.19</f>
        <v>226338</v>
      </c>
      <c r="I573" s="38"/>
      <c r="J573" s="38"/>
      <c r="K573" s="36">
        <v>190200</v>
      </c>
    </row>
    <row r="574" spans="1:11" ht="85.5" x14ac:dyDescent="0.2">
      <c r="A574" s="34" t="s">
        <v>1116</v>
      </c>
      <c r="B574" s="35" t="s">
        <v>1117</v>
      </c>
      <c r="C574" s="43">
        <f>+Tabla130[[#This Row],[COSTO CON IVA]]/Tabla130[[#This Row],[UTILIDAD]]</f>
        <v>432600</v>
      </c>
      <c r="D574" s="43">
        <f>+Tabla130[[#This Row],[PRECIO INSTALLER (CON IVA)]]-Tabla130[[#This Row],[Columna4]]</f>
        <v>410970</v>
      </c>
      <c r="E574" s="43">
        <f>+Tabla130[[#This Row],[PRECIO INSTALLER (CON IVA)]]/0.7</f>
        <v>618000</v>
      </c>
      <c r="F574" s="41">
        <f>+Tabla130[[#This Row],[PRECIO INSTALLER (CON IVA)]]*5%</f>
        <v>21630</v>
      </c>
      <c r="G574" s="7">
        <v>0.85</v>
      </c>
      <c r="H574" s="38">
        <f>Tabla130[[#This Row],[COSTO]]*1.19</f>
        <v>367710</v>
      </c>
      <c r="I574" s="38"/>
      <c r="J574" s="38"/>
      <c r="K574" s="36">
        <v>309000</v>
      </c>
    </row>
    <row r="575" spans="1:11" ht="99.75" x14ac:dyDescent="0.2">
      <c r="A575" s="34" t="s">
        <v>1118</v>
      </c>
      <c r="B575" s="35" t="s">
        <v>1119</v>
      </c>
      <c r="C575" s="43">
        <f>+Tabla130[[#This Row],[COSTO CON IVA]]/Tabla130[[#This Row],[UTILIDAD]]</f>
        <v>257880</v>
      </c>
      <c r="D575" s="43">
        <f>+Tabla130[[#This Row],[PRECIO INSTALLER (CON IVA)]]-Tabla130[[#This Row],[Columna4]]</f>
        <v>244986</v>
      </c>
      <c r="E575" s="43">
        <f>+Tabla130[[#This Row],[PRECIO INSTALLER (CON IVA)]]/0.7</f>
        <v>368400</v>
      </c>
      <c r="F575" s="41">
        <f>+Tabla130[[#This Row],[PRECIO INSTALLER (CON IVA)]]*5%</f>
        <v>12894</v>
      </c>
      <c r="G575" s="7">
        <v>0.85</v>
      </c>
      <c r="H575" s="38">
        <f>Tabla130[[#This Row],[COSTO]]*1.19</f>
        <v>219198</v>
      </c>
      <c r="I575" s="38"/>
      <c r="J575" s="38"/>
      <c r="K575" s="36">
        <v>184200</v>
      </c>
    </row>
    <row r="576" spans="1:11" ht="99.75" x14ac:dyDescent="0.2">
      <c r="A576" s="34" t="s">
        <v>20</v>
      </c>
      <c r="B576" s="35" t="s">
        <v>1120</v>
      </c>
      <c r="C576" s="43">
        <f>+Tabla130[[#This Row],[COSTO CON IVA]]/Tabla130[[#This Row],[UTILIDAD]]</f>
        <v>277200</v>
      </c>
      <c r="D576" s="43">
        <f>+Tabla130[[#This Row],[PRECIO INSTALLER (CON IVA)]]-Tabla130[[#This Row],[Columna4]]</f>
        <v>263340</v>
      </c>
      <c r="E576" s="43">
        <f>+Tabla130[[#This Row],[PRECIO INSTALLER (CON IVA)]]/0.7</f>
        <v>396000</v>
      </c>
      <c r="F576" s="41">
        <f>+Tabla130[[#This Row],[PRECIO INSTALLER (CON IVA)]]*5%</f>
        <v>13860</v>
      </c>
      <c r="G576" s="7">
        <v>0.85</v>
      </c>
      <c r="H576" s="38">
        <f>Tabla130[[#This Row],[COSTO]]*1.19</f>
        <v>235620</v>
      </c>
      <c r="I576" s="38"/>
      <c r="J576" s="38"/>
      <c r="K576" s="36">
        <v>198000</v>
      </c>
    </row>
    <row r="577" spans="1:11" ht="128.25" x14ac:dyDescent="0.2">
      <c r="A577" s="34" t="s">
        <v>1121</v>
      </c>
      <c r="B577" s="35" t="s">
        <v>1122</v>
      </c>
      <c r="C577" s="43">
        <f>+Tabla130[[#This Row],[COSTO CON IVA]]/Tabla130[[#This Row],[UTILIDAD]]</f>
        <v>236880</v>
      </c>
      <c r="D577" s="43">
        <f>+Tabla130[[#This Row],[PRECIO INSTALLER (CON IVA)]]-Tabla130[[#This Row],[Columna4]]</f>
        <v>225036</v>
      </c>
      <c r="E577" s="43">
        <f>+Tabla130[[#This Row],[PRECIO INSTALLER (CON IVA)]]/0.7</f>
        <v>338400</v>
      </c>
      <c r="F577" s="41">
        <f>+Tabla130[[#This Row],[PRECIO INSTALLER (CON IVA)]]*5%</f>
        <v>11844</v>
      </c>
      <c r="G577" s="7">
        <v>0.85</v>
      </c>
      <c r="H577" s="38">
        <f>Tabla130[[#This Row],[COSTO]]*1.19</f>
        <v>201348</v>
      </c>
      <c r="I577" s="38"/>
      <c r="J577" s="38"/>
      <c r="K577" s="36">
        <v>169200</v>
      </c>
    </row>
    <row r="578" spans="1:11" ht="99.75" x14ac:dyDescent="0.2">
      <c r="A578" s="34" t="s">
        <v>19</v>
      </c>
      <c r="B578" s="35" t="s">
        <v>1123</v>
      </c>
      <c r="C578" s="43">
        <f>+Tabla130[[#This Row],[COSTO CON IVA]]/Tabla130[[#This Row],[UTILIDAD]]</f>
        <v>167020</v>
      </c>
      <c r="D578" s="43">
        <f>+Tabla130[[#This Row],[PRECIO INSTALLER (CON IVA)]]-Tabla130[[#This Row],[Columna4]]</f>
        <v>158669</v>
      </c>
      <c r="E578" s="43">
        <f>+Tabla130[[#This Row],[PRECIO INSTALLER (CON IVA)]]/0.7</f>
        <v>238600.00000000003</v>
      </c>
      <c r="F578" s="41">
        <f>+Tabla130[[#This Row],[PRECIO INSTALLER (CON IVA)]]*5%</f>
        <v>8351</v>
      </c>
      <c r="G578" s="7">
        <v>0.85</v>
      </c>
      <c r="H578" s="38">
        <f>Tabla130[[#This Row],[COSTO]]*1.19</f>
        <v>141967</v>
      </c>
      <c r="I578" s="38"/>
      <c r="J578" s="38"/>
      <c r="K578" s="36">
        <v>119300</v>
      </c>
    </row>
    <row r="579" spans="1:11" ht="85.5" x14ac:dyDescent="0.2">
      <c r="A579" s="34" t="s">
        <v>1124</v>
      </c>
      <c r="B579" s="35" t="s">
        <v>1125</v>
      </c>
      <c r="C579" s="43">
        <f>+Tabla130[[#This Row],[COSTO CON IVA]]/Tabla130[[#This Row],[UTILIDAD]]</f>
        <v>266280</v>
      </c>
      <c r="D579" s="43">
        <f>+Tabla130[[#This Row],[PRECIO INSTALLER (CON IVA)]]-Tabla130[[#This Row],[Columna4]]</f>
        <v>252966</v>
      </c>
      <c r="E579" s="43">
        <f>+Tabla130[[#This Row],[PRECIO INSTALLER (CON IVA)]]/0.7</f>
        <v>380400</v>
      </c>
      <c r="F579" s="41">
        <f>+Tabla130[[#This Row],[PRECIO INSTALLER (CON IVA)]]*5%</f>
        <v>13314</v>
      </c>
      <c r="G579" s="7">
        <v>0.85</v>
      </c>
      <c r="H579" s="38">
        <f>Tabla130[[#This Row],[COSTO]]*1.19</f>
        <v>226338</v>
      </c>
      <c r="I579" s="38"/>
      <c r="J579" s="38"/>
      <c r="K579" s="36">
        <v>190200</v>
      </c>
    </row>
    <row r="580" spans="1:11" ht="71.25" x14ac:dyDescent="0.2">
      <c r="A580" s="34" t="s">
        <v>18</v>
      </c>
      <c r="B580" s="35" t="s">
        <v>1126</v>
      </c>
      <c r="C580" s="43">
        <f>+Tabla130[[#This Row],[COSTO CON IVA]]/Tabla130[[#This Row],[UTILIDAD]]</f>
        <v>234360</v>
      </c>
      <c r="D580" s="43">
        <f>+Tabla130[[#This Row],[PRECIO INSTALLER (CON IVA)]]-Tabla130[[#This Row],[Columna4]]</f>
        <v>222642</v>
      </c>
      <c r="E580" s="43">
        <f>+Tabla130[[#This Row],[PRECIO INSTALLER (CON IVA)]]/0.7</f>
        <v>334800</v>
      </c>
      <c r="F580" s="41">
        <f>+Tabla130[[#This Row],[PRECIO INSTALLER (CON IVA)]]*5%</f>
        <v>11718</v>
      </c>
      <c r="G580" s="7">
        <v>0.85</v>
      </c>
      <c r="H580" s="38">
        <f>Tabla130[[#This Row],[COSTO]]*1.19</f>
        <v>199206</v>
      </c>
      <c r="I580" s="38"/>
      <c r="J580" s="38"/>
      <c r="K580" s="36">
        <v>167400</v>
      </c>
    </row>
    <row r="581" spans="1:11" ht="71.25" x14ac:dyDescent="0.2">
      <c r="A581" s="34" t="s">
        <v>17</v>
      </c>
      <c r="B581" s="35" t="s">
        <v>1127</v>
      </c>
      <c r="C581" s="43">
        <f>+Tabla130[[#This Row],[COSTO CON IVA]]/Tabla130[[#This Row],[UTILIDAD]]</f>
        <v>127260</v>
      </c>
      <c r="D581" s="43">
        <f>+Tabla130[[#This Row],[PRECIO INSTALLER (CON IVA)]]-Tabla130[[#This Row],[Columna4]]</f>
        <v>120897</v>
      </c>
      <c r="E581" s="43">
        <f>+Tabla130[[#This Row],[PRECIO INSTALLER (CON IVA)]]/0.7</f>
        <v>181800</v>
      </c>
      <c r="F581" s="41">
        <f>+Tabla130[[#This Row],[PRECIO INSTALLER (CON IVA)]]*5%</f>
        <v>6363</v>
      </c>
      <c r="G581" s="7">
        <v>0.85</v>
      </c>
      <c r="H581" s="38">
        <f>Tabla130[[#This Row],[COSTO]]*1.19</f>
        <v>108171</v>
      </c>
      <c r="I581" s="38"/>
      <c r="J581" s="38"/>
      <c r="K581" s="36">
        <v>90900</v>
      </c>
    </row>
    <row r="582" spans="1:11" ht="71.25" x14ac:dyDescent="0.2">
      <c r="A582" s="34" t="s">
        <v>16</v>
      </c>
      <c r="B582" s="35" t="s">
        <v>1128</v>
      </c>
      <c r="C582" s="43">
        <f>+Tabla130[[#This Row],[COSTO CON IVA]]/Tabla130[[#This Row],[UTILIDAD]]</f>
        <v>104860</v>
      </c>
      <c r="D582" s="43">
        <f>+Tabla130[[#This Row],[PRECIO INSTALLER (CON IVA)]]-Tabla130[[#This Row],[Columna4]]</f>
        <v>99617</v>
      </c>
      <c r="E582" s="43">
        <f>+Tabla130[[#This Row],[PRECIO INSTALLER (CON IVA)]]/0.7</f>
        <v>149800</v>
      </c>
      <c r="F582" s="41">
        <f>+Tabla130[[#This Row],[PRECIO INSTALLER (CON IVA)]]*5%</f>
        <v>5243</v>
      </c>
      <c r="G582" s="7">
        <v>0.85</v>
      </c>
      <c r="H582" s="38">
        <f>Tabla130[[#This Row],[COSTO]]*1.19</f>
        <v>89131</v>
      </c>
      <c r="I582" s="38"/>
      <c r="J582" s="38"/>
      <c r="K582" s="36">
        <v>74900</v>
      </c>
    </row>
    <row r="583" spans="1:11" ht="71.25" x14ac:dyDescent="0.2">
      <c r="A583" s="34" t="s">
        <v>15</v>
      </c>
      <c r="B583" s="35" t="s">
        <v>1129</v>
      </c>
      <c r="C583" s="43">
        <f>+Tabla130[[#This Row],[COSTO CON IVA]]/Tabla130[[#This Row],[UTILIDAD]]</f>
        <v>146160</v>
      </c>
      <c r="D583" s="43">
        <f>+Tabla130[[#This Row],[PRECIO INSTALLER (CON IVA)]]-Tabla130[[#This Row],[Columna4]]</f>
        <v>138852</v>
      </c>
      <c r="E583" s="43">
        <f>+Tabla130[[#This Row],[PRECIO INSTALLER (CON IVA)]]/0.7</f>
        <v>208800</v>
      </c>
      <c r="F583" s="41">
        <f>+Tabla130[[#This Row],[PRECIO INSTALLER (CON IVA)]]*5%</f>
        <v>7308</v>
      </c>
      <c r="G583" s="7">
        <v>0.85</v>
      </c>
      <c r="H583" s="38">
        <f>Tabla130[[#This Row],[COSTO]]*1.19</f>
        <v>124236</v>
      </c>
      <c r="I583" s="38"/>
      <c r="J583" s="38"/>
      <c r="K583" s="37">
        <v>104400</v>
      </c>
    </row>
    <row r="584" spans="1:11" ht="99.75" x14ac:dyDescent="0.2">
      <c r="A584" s="34" t="s">
        <v>14</v>
      </c>
      <c r="B584" s="35" t="s">
        <v>1130</v>
      </c>
      <c r="C584" s="43">
        <f>+Tabla130[[#This Row],[COSTO CON IVA]]/Tabla130[[#This Row],[UTILIDAD]]</f>
        <v>91420</v>
      </c>
      <c r="D584" s="43">
        <f>+Tabla130[[#This Row],[PRECIO INSTALLER (CON IVA)]]-Tabla130[[#This Row],[Columna4]]</f>
        <v>86849</v>
      </c>
      <c r="E584" s="43">
        <f>+Tabla130[[#This Row],[PRECIO INSTALLER (CON IVA)]]/0.7</f>
        <v>130600.00000000001</v>
      </c>
      <c r="F584" s="41">
        <f>+Tabla130[[#This Row],[PRECIO INSTALLER (CON IVA)]]*5%</f>
        <v>4571</v>
      </c>
      <c r="G584" s="7">
        <v>0.85</v>
      </c>
      <c r="H584" s="38">
        <f>Tabla130[[#This Row],[COSTO]]*1.19</f>
        <v>77707</v>
      </c>
      <c r="I584" s="38"/>
      <c r="J584" s="38"/>
      <c r="K584" s="36">
        <v>65300</v>
      </c>
    </row>
    <row r="585" spans="1:11" ht="99.75" x14ac:dyDescent="0.2">
      <c r="A585" s="34" t="s">
        <v>13</v>
      </c>
      <c r="B585" s="35" t="s">
        <v>1131</v>
      </c>
      <c r="C585" s="43">
        <f>+Tabla130[[#This Row],[COSTO CON IVA]]/Tabla130[[#This Row],[UTILIDAD]]</f>
        <v>71400</v>
      </c>
      <c r="D585" s="43">
        <f>+Tabla130[[#This Row],[PRECIO INSTALLER (CON IVA)]]-Tabla130[[#This Row],[Columna4]]</f>
        <v>67830</v>
      </c>
      <c r="E585" s="43">
        <f>+Tabla130[[#This Row],[PRECIO INSTALLER (CON IVA)]]/0.7</f>
        <v>102000</v>
      </c>
      <c r="F585" s="41">
        <f>+Tabla130[[#This Row],[PRECIO INSTALLER (CON IVA)]]*5%</f>
        <v>3570</v>
      </c>
      <c r="G585" s="7">
        <v>0.85</v>
      </c>
      <c r="H585" s="38">
        <f>Tabla130[[#This Row],[COSTO]]*1.19</f>
        <v>60690</v>
      </c>
      <c r="I585" s="38"/>
      <c r="J585" s="38"/>
      <c r="K585" s="36">
        <v>51000</v>
      </c>
    </row>
    <row r="586" spans="1:11" ht="99.75" x14ac:dyDescent="0.2">
      <c r="A586" s="34" t="s">
        <v>1132</v>
      </c>
      <c r="B586" s="35" t="s">
        <v>1133</v>
      </c>
      <c r="C586" s="43">
        <f>+Tabla130[[#This Row],[COSTO CON IVA]]/Tabla130[[#This Row],[UTILIDAD]]</f>
        <v>100940</v>
      </c>
      <c r="D586" s="43">
        <f>+Tabla130[[#This Row],[PRECIO INSTALLER (CON IVA)]]-Tabla130[[#This Row],[Columna4]]</f>
        <v>95893</v>
      </c>
      <c r="E586" s="43">
        <f>+Tabla130[[#This Row],[PRECIO INSTALLER (CON IVA)]]/0.7</f>
        <v>144200</v>
      </c>
      <c r="F586" s="41">
        <f>+Tabla130[[#This Row],[PRECIO INSTALLER (CON IVA)]]*5%</f>
        <v>5047</v>
      </c>
      <c r="G586" s="7">
        <v>0.85</v>
      </c>
      <c r="H586" s="38">
        <f>Tabla130[[#This Row],[COSTO]]*1.19</f>
        <v>85799</v>
      </c>
      <c r="I586" s="38"/>
      <c r="J586" s="38"/>
      <c r="K586" s="36">
        <v>72100</v>
      </c>
    </row>
    <row r="587" spans="1:11" ht="99.75" x14ac:dyDescent="0.2">
      <c r="A587" s="34" t="s">
        <v>1134</v>
      </c>
      <c r="B587" s="35" t="s">
        <v>1135</v>
      </c>
      <c r="C587" s="43">
        <f>+Tabla130[[#This Row],[COSTO CON IVA]]/Tabla130[[#This Row],[UTILIDAD]]</f>
        <v>131880</v>
      </c>
      <c r="D587" s="43">
        <f>+Tabla130[[#This Row],[PRECIO INSTALLER (CON IVA)]]-Tabla130[[#This Row],[Columna4]]</f>
        <v>125286</v>
      </c>
      <c r="E587" s="43">
        <f>+Tabla130[[#This Row],[PRECIO INSTALLER (CON IVA)]]/0.7</f>
        <v>188400</v>
      </c>
      <c r="F587" s="41">
        <f>+Tabla130[[#This Row],[PRECIO INSTALLER (CON IVA)]]*5%</f>
        <v>6594</v>
      </c>
      <c r="G587" s="7">
        <v>0.85</v>
      </c>
      <c r="H587" s="38">
        <f>Tabla130[[#This Row],[COSTO]]*1.19</f>
        <v>112098</v>
      </c>
      <c r="I587" s="38"/>
      <c r="J587" s="38"/>
      <c r="K587" s="36">
        <v>94200</v>
      </c>
    </row>
    <row r="588" spans="1:11" ht="71.25" x14ac:dyDescent="0.2">
      <c r="A588" s="34" t="s">
        <v>12</v>
      </c>
      <c r="B588" s="35" t="s">
        <v>1136</v>
      </c>
      <c r="C588" s="43">
        <f>+Tabla130[[#This Row],[COSTO CON IVA]]/Tabla130[[#This Row],[UTILIDAD]]</f>
        <v>260400</v>
      </c>
      <c r="D588" s="43">
        <f>+Tabla130[[#This Row],[PRECIO INSTALLER (CON IVA)]]-Tabla130[[#This Row],[Columna4]]</f>
        <v>247380</v>
      </c>
      <c r="E588" s="43">
        <f>+Tabla130[[#This Row],[PRECIO INSTALLER (CON IVA)]]/0.7</f>
        <v>372000</v>
      </c>
      <c r="F588" s="41">
        <f>+Tabla130[[#This Row],[PRECIO INSTALLER (CON IVA)]]*5%</f>
        <v>13020</v>
      </c>
      <c r="G588" s="7">
        <v>0.85</v>
      </c>
      <c r="H588" s="38">
        <f>Tabla130[[#This Row],[COSTO]]*1.19</f>
        <v>221340</v>
      </c>
      <c r="I588" s="38"/>
      <c r="J588" s="38"/>
      <c r="K588" s="36">
        <v>186000</v>
      </c>
    </row>
    <row r="589" spans="1:11" ht="71.25" x14ac:dyDescent="0.2">
      <c r="A589" s="34" t="s">
        <v>1137</v>
      </c>
      <c r="B589" s="35" t="s">
        <v>1138</v>
      </c>
      <c r="C589" s="43">
        <f>+Tabla130[[#This Row],[COSTO CON IVA]]/Tabla130[[#This Row],[UTILIDAD]]</f>
        <v>154420</v>
      </c>
      <c r="D589" s="43">
        <f>+Tabla130[[#This Row],[PRECIO INSTALLER (CON IVA)]]-Tabla130[[#This Row],[Columna4]]</f>
        <v>146699</v>
      </c>
      <c r="E589" s="43">
        <f>+Tabla130[[#This Row],[PRECIO INSTALLER (CON IVA)]]/0.7</f>
        <v>220600</v>
      </c>
      <c r="F589" s="41">
        <f>+Tabla130[[#This Row],[PRECIO INSTALLER (CON IVA)]]*5%</f>
        <v>7721</v>
      </c>
      <c r="G589" s="7">
        <v>0.85</v>
      </c>
      <c r="H589" s="38">
        <f>Tabla130[[#This Row],[COSTO]]*1.19</f>
        <v>131257</v>
      </c>
      <c r="I589" s="38"/>
      <c r="J589" s="38"/>
      <c r="K589" s="36">
        <v>110300</v>
      </c>
    </row>
    <row r="590" spans="1:11" ht="85.5" x14ac:dyDescent="0.2">
      <c r="A590" s="34" t="s">
        <v>11</v>
      </c>
      <c r="B590" s="35" t="s">
        <v>1139</v>
      </c>
      <c r="C590" s="43">
        <f>+Tabla130[[#This Row],[COSTO CON IVA]]/Tabla130[[#This Row],[UTILIDAD]]</f>
        <v>205800</v>
      </c>
      <c r="D590" s="43">
        <f>+Tabla130[[#This Row],[PRECIO INSTALLER (CON IVA)]]-Tabla130[[#This Row],[Columna4]]</f>
        <v>195510</v>
      </c>
      <c r="E590" s="43">
        <f>+Tabla130[[#This Row],[PRECIO INSTALLER (CON IVA)]]/0.7</f>
        <v>294000</v>
      </c>
      <c r="F590" s="41">
        <f>+Tabla130[[#This Row],[PRECIO INSTALLER (CON IVA)]]*5%</f>
        <v>10290</v>
      </c>
      <c r="G590" s="7">
        <v>0.85</v>
      </c>
      <c r="H590" s="38">
        <f>Tabla130[[#This Row],[COSTO]]*1.19</f>
        <v>174930</v>
      </c>
      <c r="I590" s="38"/>
      <c r="J590" s="38"/>
      <c r="K590" s="36">
        <v>147000</v>
      </c>
    </row>
    <row r="591" spans="1:11" ht="85.5" x14ac:dyDescent="0.2">
      <c r="A591" s="34" t="s">
        <v>10</v>
      </c>
      <c r="B591" s="35" t="s">
        <v>1140</v>
      </c>
      <c r="C591" s="43">
        <f>+Tabla130[[#This Row],[COSTO CON IVA]]/Tabla130[[#This Row],[UTILIDAD]]</f>
        <v>205800</v>
      </c>
      <c r="D591" s="43">
        <f>+Tabla130[[#This Row],[PRECIO INSTALLER (CON IVA)]]-Tabla130[[#This Row],[Columna4]]</f>
        <v>195510</v>
      </c>
      <c r="E591" s="43">
        <f>+Tabla130[[#This Row],[PRECIO INSTALLER (CON IVA)]]/0.7</f>
        <v>294000</v>
      </c>
      <c r="F591" s="41">
        <f>+Tabla130[[#This Row],[PRECIO INSTALLER (CON IVA)]]*5%</f>
        <v>10290</v>
      </c>
      <c r="G591" s="7">
        <v>0.85</v>
      </c>
      <c r="H591" s="38">
        <f>Tabla130[[#This Row],[COSTO]]*1.19</f>
        <v>174930</v>
      </c>
      <c r="I591" s="38"/>
      <c r="J591" s="38"/>
      <c r="K591" s="36">
        <v>147000</v>
      </c>
    </row>
    <row r="592" spans="1:11" ht="85.5" x14ac:dyDescent="0.2">
      <c r="A592" s="34" t="s">
        <v>9</v>
      </c>
      <c r="B592" s="35" t="s">
        <v>1141</v>
      </c>
      <c r="C592" s="43">
        <f>+Tabla130[[#This Row],[COSTO CON IVA]]/Tabla130[[#This Row],[UTILIDAD]]</f>
        <v>185640</v>
      </c>
      <c r="D592" s="43">
        <f>+Tabla130[[#This Row],[PRECIO INSTALLER (CON IVA)]]-Tabla130[[#This Row],[Columna4]]</f>
        <v>176358</v>
      </c>
      <c r="E592" s="43">
        <f>+Tabla130[[#This Row],[PRECIO INSTALLER (CON IVA)]]/0.7</f>
        <v>265200</v>
      </c>
      <c r="F592" s="41">
        <f>+Tabla130[[#This Row],[PRECIO INSTALLER (CON IVA)]]*5%</f>
        <v>9282</v>
      </c>
      <c r="G592" s="7">
        <v>0.85</v>
      </c>
      <c r="H592" s="38">
        <f>Tabla130[[#This Row],[COSTO]]*1.19</f>
        <v>157794</v>
      </c>
      <c r="I592" s="38"/>
      <c r="J592" s="38"/>
      <c r="K592" s="36">
        <v>132600</v>
      </c>
    </row>
    <row r="593" spans="1:11" ht="85.5" x14ac:dyDescent="0.2">
      <c r="A593" s="34" t="s">
        <v>8</v>
      </c>
      <c r="B593" s="35" t="s">
        <v>1142</v>
      </c>
      <c r="C593" s="43">
        <f>+Tabla130[[#This Row],[COSTO CON IVA]]/Tabla130[[#This Row],[UTILIDAD]]</f>
        <v>185640</v>
      </c>
      <c r="D593" s="43">
        <f>+Tabla130[[#This Row],[PRECIO INSTALLER (CON IVA)]]-Tabla130[[#This Row],[Columna4]]</f>
        <v>176358</v>
      </c>
      <c r="E593" s="43">
        <f>+Tabla130[[#This Row],[PRECIO INSTALLER (CON IVA)]]/0.7</f>
        <v>265200</v>
      </c>
      <c r="F593" s="41">
        <f>+Tabla130[[#This Row],[PRECIO INSTALLER (CON IVA)]]*5%</f>
        <v>9282</v>
      </c>
      <c r="G593" s="7">
        <v>0.85</v>
      </c>
      <c r="H593" s="38">
        <f>Tabla130[[#This Row],[COSTO]]*1.19</f>
        <v>157794</v>
      </c>
      <c r="I593" s="38"/>
      <c r="J593" s="38"/>
      <c r="K593" s="36">
        <v>132600</v>
      </c>
    </row>
    <row r="594" spans="1:11" ht="85.5" x14ac:dyDescent="0.2">
      <c r="A594" s="34" t="s">
        <v>1143</v>
      </c>
      <c r="B594" s="35" t="s">
        <v>1144</v>
      </c>
      <c r="C594" s="43">
        <f>+Tabla130[[#This Row],[COSTO CON IVA]]/Tabla130[[#This Row],[UTILIDAD]]</f>
        <v>179760</v>
      </c>
      <c r="D594" s="43">
        <f>+Tabla130[[#This Row],[PRECIO INSTALLER (CON IVA)]]-Tabla130[[#This Row],[Columna4]]</f>
        <v>170772</v>
      </c>
      <c r="E594" s="43">
        <f>+Tabla130[[#This Row],[PRECIO INSTALLER (CON IVA)]]/0.7</f>
        <v>256800.00000000003</v>
      </c>
      <c r="F594" s="41">
        <f>+Tabla130[[#This Row],[PRECIO INSTALLER (CON IVA)]]*5%</f>
        <v>8988</v>
      </c>
      <c r="G594" s="7">
        <v>0.85</v>
      </c>
      <c r="H594" s="38">
        <f>Tabla130[[#This Row],[COSTO]]*1.19</f>
        <v>152796</v>
      </c>
      <c r="I594" s="38"/>
      <c r="J594" s="38"/>
      <c r="K594" s="36">
        <v>128400</v>
      </c>
    </row>
    <row r="595" spans="1:11" ht="85.5" x14ac:dyDescent="0.2">
      <c r="A595" s="34" t="s">
        <v>7</v>
      </c>
      <c r="B595" s="35" t="s">
        <v>1145</v>
      </c>
      <c r="C595" s="43">
        <f>+Tabla130[[#This Row],[COSTO CON IVA]]/Tabla130[[#This Row],[UTILIDAD]]</f>
        <v>191380</v>
      </c>
      <c r="D595" s="43">
        <f>+Tabla130[[#This Row],[PRECIO INSTALLER (CON IVA)]]-Tabla130[[#This Row],[Columna4]]</f>
        <v>181811</v>
      </c>
      <c r="E595" s="43">
        <f>+Tabla130[[#This Row],[PRECIO INSTALLER (CON IVA)]]/0.7</f>
        <v>273400</v>
      </c>
      <c r="F595" s="41">
        <f>+Tabla130[[#This Row],[PRECIO INSTALLER (CON IVA)]]*5%</f>
        <v>9569</v>
      </c>
      <c r="G595" s="7">
        <v>0.85</v>
      </c>
      <c r="H595" s="38">
        <f>Tabla130[[#This Row],[COSTO]]*1.19</f>
        <v>162673</v>
      </c>
      <c r="I595" s="38"/>
      <c r="J595" s="38"/>
      <c r="K595" s="36">
        <v>136700</v>
      </c>
    </row>
    <row r="596" spans="1:11" ht="85.5" x14ac:dyDescent="0.2">
      <c r="A596" s="34" t="s">
        <v>1146</v>
      </c>
      <c r="B596" s="35" t="s">
        <v>1147</v>
      </c>
      <c r="C596" s="43">
        <f>+Tabla130[[#This Row],[COSTO CON IVA]]/Tabla130[[#This Row],[UTILIDAD]]</f>
        <v>185640</v>
      </c>
      <c r="D596" s="43">
        <f>+Tabla130[[#This Row],[PRECIO INSTALLER (CON IVA)]]-Tabla130[[#This Row],[Columna4]]</f>
        <v>176358</v>
      </c>
      <c r="E596" s="43">
        <f>+Tabla130[[#This Row],[PRECIO INSTALLER (CON IVA)]]/0.7</f>
        <v>265200</v>
      </c>
      <c r="F596" s="41">
        <f>+Tabla130[[#This Row],[PRECIO INSTALLER (CON IVA)]]*5%</f>
        <v>9282</v>
      </c>
      <c r="G596" s="7">
        <v>0.85</v>
      </c>
      <c r="H596" s="38">
        <f>Tabla130[[#This Row],[COSTO]]*1.19</f>
        <v>157794</v>
      </c>
      <c r="I596" s="38"/>
      <c r="J596" s="38"/>
      <c r="K596" s="36">
        <v>132600</v>
      </c>
    </row>
    <row r="597" spans="1:11" ht="85.5" x14ac:dyDescent="0.2">
      <c r="A597" s="34" t="s">
        <v>1148</v>
      </c>
      <c r="B597" s="35" t="s">
        <v>1149</v>
      </c>
      <c r="C597" s="43">
        <f>+Tabla130[[#This Row],[COSTO CON IVA]]/Tabla130[[#This Row],[UTILIDAD]]</f>
        <v>185640</v>
      </c>
      <c r="D597" s="43">
        <f>+Tabla130[[#This Row],[PRECIO INSTALLER (CON IVA)]]-Tabla130[[#This Row],[Columna4]]</f>
        <v>176358</v>
      </c>
      <c r="E597" s="43">
        <f>+Tabla130[[#This Row],[PRECIO INSTALLER (CON IVA)]]/0.7</f>
        <v>265200</v>
      </c>
      <c r="F597" s="41">
        <f>+Tabla130[[#This Row],[PRECIO INSTALLER (CON IVA)]]*5%</f>
        <v>9282</v>
      </c>
      <c r="G597" s="7">
        <v>0.85</v>
      </c>
      <c r="H597" s="38">
        <f>Tabla130[[#This Row],[COSTO]]*1.19</f>
        <v>157794</v>
      </c>
      <c r="I597" s="38"/>
      <c r="J597" s="38"/>
      <c r="K597" s="36">
        <v>132600</v>
      </c>
    </row>
    <row r="598" spans="1:11" ht="85.5" x14ac:dyDescent="0.2">
      <c r="A598" s="34" t="s">
        <v>1150</v>
      </c>
      <c r="B598" s="35" t="s">
        <v>1151</v>
      </c>
      <c r="C598" s="43">
        <f>+Tabla130[[#This Row],[COSTO CON IVA]]/Tabla130[[#This Row],[UTILIDAD]]</f>
        <v>205800</v>
      </c>
      <c r="D598" s="43">
        <f>+Tabla130[[#This Row],[PRECIO INSTALLER (CON IVA)]]-Tabla130[[#This Row],[Columna4]]</f>
        <v>195510</v>
      </c>
      <c r="E598" s="43">
        <f>+Tabla130[[#This Row],[PRECIO INSTALLER (CON IVA)]]/0.7</f>
        <v>294000</v>
      </c>
      <c r="F598" s="41">
        <f>+Tabla130[[#This Row],[PRECIO INSTALLER (CON IVA)]]*5%</f>
        <v>10290</v>
      </c>
      <c r="G598" s="7">
        <v>0.85</v>
      </c>
      <c r="H598" s="38">
        <f>Tabla130[[#This Row],[COSTO]]*1.19</f>
        <v>174930</v>
      </c>
      <c r="I598" s="38"/>
      <c r="J598" s="38"/>
      <c r="K598" s="36">
        <v>147000</v>
      </c>
    </row>
    <row r="599" spans="1:11" ht="85.5" x14ac:dyDescent="0.2">
      <c r="A599" s="34" t="s">
        <v>1152</v>
      </c>
      <c r="B599" s="35" t="s">
        <v>1153</v>
      </c>
      <c r="C599" s="43">
        <f>+Tabla130[[#This Row],[COSTO CON IVA]]/Tabla130[[#This Row],[UTILIDAD]]</f>
        <v>185640</v>
      </c>
      <c r="D599" s="43">
        <f>+Tabla130[[#This Row],[PRECIO INSTALLER (CON IVA)]]-Tabla130[[#This Row],[Columna4]]</f>
        <v>176358</v>
      </c>
      <c r="E599" s="43">
        <f>+Tabla130[[#This Row],[PRECIO INSTALLER (CON IVA)]]/0.7</f>
        <v>265200</v>
      </c>
      <c r="F599" s="41">
        <f>+Tabla130[[#This Row],[PRECIO INSTALLER (CON IVA)]]*5%</f>
        <v>9282</v>
      </c>
      <c r="G599" s="7">
        <v>0.85</v>
      </c>
      <c r="H599" s="38">
        <f>Tabla130[[#This Row],[COSTO]]*1.19</f>
        <v>157794</v>
      </c>
      <c r="I599" s="38"/>
      <c r="J599" s="38"/>
      <c r="K599" s="36">
        <v>132600</v>
      </c>
    </row>
    <row r="600" spans="1:11" ht="57" x14ac:dyDescent="0.2">
      <c r="A600" s="34" t="s">
        <v>1154</v>
      </c>
      <c r="B600" s="35" t="s">
        <v>1155</v>
      </c>
      <c r="C600" s="43">
        <f>+Tabla130[[#This Row],[COSTO CON IVA]]/Tabla130[[#This Row],[UTILIDAD]]</f>
        <v>423220</v>
      </c>
      <c r="D600" s="43">
        <f>+Tabla130[[#This Row],[PRECIO INSTALLER (CON IVA)]]-Tabla130[[#This Row],[Columna4]]</f>
        <v>402059</v>
      </c>
      <c r="E600" s="43">
        <f>+Tabla130[[#This Row],[PRECIO INSTALLER (CON IVA)]]/0.7</f>
        <v>604600</v>
      </c>
      <c r="F600" s="41">
        <f>+Tabla130[[#This Row],[PRECIO INSTALLER (CON IVA)]]*5%</f>
        <v>21161</v>
      </c>
      <c r="G600" s="7">
        <v>0.85</v>
      </c>
      <c r="H600" s="38">
        <f>Tabla130[[#This Row],[COSTO]]*1.19</f>
        <v>359737</v>
      </c>
      <c r="I600" s="38"/>
      <c r="J600" s="38"/>
      <c r="K600" s="36">
        <v>302300</v>
      </c>
    </row>
    <row r="601" spans="1:11" ht="57" x14ac:dyDescent="0.2">
      <c r="A601" s="34" t="s">
        <v>1156</v>
      </c>
      <c r="B601" s="35" t="s">
        <v>1157</v>
      </c>
      <c r="C601" s="43">
        <f>+Tabla130[[#This Row],[COSTO CON IVA]]/Tabla130[[#This Row],[UTILIDAD]]</f>
        <v>211680</v>
      </c>
      <c r="D601" s="43">
        <f>+Tabla130[[#This Row],[PRECIO INSTALLER (CON IVA)]]-Tabla130[[#This Row],[Columna4]]</f>
        <v>201096</v>
      </c>
      <c r="E601" s="43">
        <f>+Tabla130[[#This Row],[PRECIO INSTALLER (CON IVA)]]/0.7</f>
        <v>302400</v>
      </c>
      <c r="F601" s="41">
        <f>+Tabla130[[#This Row],[PRECIO INSTALLER (CON IVA)]]*5%</f>
        <v>10584</v>
      </c>
      <c r="G601" s="7">
        <v>0.85</v>
      </c>
      <c r="H601" s="38">
        <f>Tabla130[[#This Row],[COSTO]]*1.19</f>
        <v>179928</v>
      </c>
      <c r="I601" s="38"/>
      <c r="J601" s="38"/>
      <c r="K601" s="36">
        <v>151200</v>
      </c>
    </row>
    <row r="602" spans="1:11" ht="85.5" x14ac:dyDescent="0.2">
      <c r="A602" s="34" t="s">
        <v>1158</v>
      </c>
      <c r="B602" s="35" t="s">
        <v>1159</v>
      </c>
      <c r="C602" s="43">
        <f>+Tabla130[[#This Row],[COSTO CON IVA]]/Tabla130[[#This Row],[UTILIDAD]]</f>
        <v>390740</v>
      </c>
      <c r="D602" s="43">
        <f>+Tabla130[[#This Row],[PRECIO INSTALLER (CON IVA)]]-Tabla130[[#This Row],[Columna4]]</f>
        <v>371203</v>
      </c>
      <c r="E602" s="43">
        <f>+Tabla130[[#This Row],[PRECIO INSTALLER (CON IVA)]]/0.7</f>
        <v>558200</v>
      </c>
      <c r="F602" s="41">
        <f>+Tabla130[[#This Row],[PRECIO INSTALLER (CON IVA)]]*5%</f>
        <v>19537</v>
      </c>
      <c r="G602" s="7">
        <v>0.85</v>
      </c>
      <c r="H602" s="38">
        <f>Tabla130[[#This Row],[COSTO]]*1.19</f>
        <v>332129</v>
      </c>
      <c r="I602" s="38"/>
      <c r="J602" s="38"/>
      <c r="K602" s="36">
        <v>279100</v>
      </c>
    </row>
    <row r="603" spans="1:11" ht="114" x14ac:dyDescent="0.2">
      <c r="A603" s="34" t="s">
        <v>1160</v>
      </c>
      <c r="B603" s="35" t="s">
        <v>1161</v>
      </c>
      <c r="C603" s="43">
        <f>+Tabla130[[#This Row],[COSTO CON IVA]]/Tabla130[[#This Row],[UTILIDAD]]</f>
        <v>244160</v>
      </c>
      <c r="D603" s="43">
        <f>+Tabla130[[#This Row],[PRECIO INSTALLER (CON IVA)]]-Tabla130[[#This Row],[Columna4]]</f>
        <v>231952</v>
      </c>
      <c r="E603" s="43">
        <f>+Tabla130[[#This Row],[PRECIO INSTALLER (CON IVA)]]/0.7</f>
        <v>348800</v>
      </c>
      <c r="F603" s="41">
        <f>+Tabla130[[#This Row],[PRECIO INSTALLER (CON IVA)]]*5%</f>
        <v>12208</v>
      </c>
      <c r="G603" s="7">
        <v>0.85</v>
      </c>
      <c r="H603" s="38">
        <f>Tabla130[[#This Row],[COSTO]]*1.19</f>
        <v>207536</v>
      </c>
      <c r="I603" s="38"/>
      <c r="J603" s="38"/>
      <c r="K603" s="36">
        <v>174400</v>
      </c>
    </row>
    <row r="604" spans="1:11" ht="57" x14ac:dyDescent="0.2">
      <c r="A604" s="34" t="s">
        <v>1162</v>
      </c>
      <c r="B604" s="35" t="s">
        <v>1163</v>
      </c>
      <c r="C604" s="43">
        <f>+Tabla130[[#This Row],[COSTO CON IVA]]/Tabla130[[#This Row],[UTILIDAD]]</f>
        <v>195300</v>
      </c>
      <c r="D604" s="43">
        <f>+Tabla130[[#This Row],[PRECIO INSTALLER (CON IVA)]]-Tabla130[[#This Row],[Columna4]]</f>
        <v>185535</v>
      </c>
      <c r="E604" s="43">
        <f>+Tabla130[[#This Row],[PRECIO INSTALLER (CON IVA)]]/0.7</f>
        <v>279000</v>
      </c>
      <c r="F604" s="41">
        <f>+Tabla130[[#This Row],[PRECIO INSTALLER (CON IVA)]]*5%</f>
        <v>9765</v>
      </c>
      <c r="G604" s="7">
        <v>0.85</v>
      </c>
      <c r="H604" s="38">
        <f>Tabla130[[#This Row],[COSTO]]*1.19</f>
        <v>166005</v>
      </c>
      <c r="I604" s="38"/>
      <c r="J604" s="38"/>
      <c r="K604" s="36">
        <v>139500</v>
      </c>
    </row>
    <row r="605" spans="1:11" ht="57" x14ac:dyDescent="0.2">
      <c r="A605" s="34" t="s">
        <v>1164</v>
      </c>
      <c r="B605" s="35" t="s">
        <v>1165</v>
      </c>
      <c r="C605" s="43">
        <f>+Tabla130[[#This Row],[COSTO CON IVA]]/Tabla130[[#This Row],[UTILIDAD]]</f>
        <v>195300</v>
      </c>
      <c r="D605" s="43">
        <f>+Tabla130[[#This Row],[PRECIO INSTALLER (CON IVA)]]-Tabla130[[#This Row],[Columna4]]</f>
        <v>185535</v>
      </c>
      <c r="E605" s="43">
        <f>+Tabla130[[#This Row],[PRECIO INSTALLER (CON IVA)]]/0.7</f>
        <v>279000</v>
      </c>
      <c r="F605" s="41">
        <f>+Tabla130[[#This Row],[PRECIO INSTALLER (CON IVA)]]*5%</f>
        <v>9765</v>
      </c>
      <c r="G605" s="7">
        <v>0.85</v>
      </c>
      <c r="H605" s="38">
        <f>Tabla130[[#This Row],[COSTO]]*1.19</f>
        <v>166005</v>
      </c>
      <c r="I605" s="38"/>
      <c r="J605" s="38"/>
      <c r="K605" s="36">
        <v>139500</v>
      </c>
    </row>
    <row r="606" spans="1:11" ht="57" x14ac:dyDescent="0.2">
      <c r="A606" s="34" t="s">
        <v>6</v>
      </c>
      <c r="B606" s="35" t="s">
        <v>1166</v>
      </c>
      <c r="C606" s="43">
        <f>+Tabla130[[#This Row],[COSTO CON IVA]]/Tabla130[[#This Row],[UTILIDAD]]</f>
        <v>283080</v>
      </c>
      <c r="D606" s="43">
        <f>+Tabla130[[#This Row],[PRECIO INSTALLER (CON IVA)]]-Tabla130[[#This Row],[Columna4]]</f>
        <v>268926</v>
      </c>
      <c r="E606" s="43">
        <f>+Tabla130[[#This Row],[PRECIO INSTALLER (CON IVA)]]/0.7</f>
        <v>404400</v>
      </c>
      <c r="F606" s="41">
        <f>+Tabla130[[#This Row],[PRECIO INSTALLER (CON IVA)]]*5%</f>
        <v>14154</v>
      </c>
      <c r="G606" s="7">
        <v>0.85</v>
      </c>
      <c r="H606" s="38">
        <f>Tabla130[[#This Row],[COSTO]]*1.19</f>
        <v>240618</v>
      </c>
      <c r="I606" s="38"/>
      <c r="J606" s="38"/>
      <c r="K606" s="36">
        <v>202200</v>
      </c>
    </row>
    <row r="607" spans="1:11" ht="42.75" x14ac:dyDescent="0.2">
      <c r="A607" s="34" t="s">
        <v>1167</v>
      </c>
      <c r="B607" s="35" t="s">
        <v>1168</v>
      </c>
      <c r="C607" s="43">
        <f>+Tabla130[[#This Row],[COSTO CON IVA]]/Tabla130[[#This Row],[UTILIDAD]]</f>
        <v>163800</v>
      </c>
      <c r="D607" s="43">
        <f>+Tabla130[[#This Row],[PRECIO INSTALLER (CON IVA)]]-Tabla130[[#This Row],[Columna4]]</f>
        <v>155610</v>
      </c>
      <c r="E607" s="43">
        <f>+Tabla130[[#This Row],[PRECIO INSTALLER (CON IVA)]]/0.7</f>
        <v>234000.00000000003</v>
      </c>
      <c r="F607" s="41">
        <f>+Tabla130[[#This Row],[PRECIO INSTALLER (CON IVA)]]*5%</f>
        <v>8190</v>
      </c>
      <c r="G607" s="7">
        <v>0.85</v>
      </c>
      <c r="H607" s="38">
        <f>Tabla130[[#This Row],[COSTO]]*1.19</f>
        <v>139230</v>
      </c>
      <c r="I607" s="38"/>
      <c r="J607" s="38"/>
      <c r="K607" s="36">
        <v>117000</v>
      </c>
    </row>
    <row r="608" spans="1:11" ht="42.75" x14ac:dyDescent="0.2">
      <c r="A608" s="34" t="s">
        <v>1169</v>
      </c>
      <c r="B608" s="35" t="s">
        <v>1170</v>
      </c>
      <c r="C608" s="43">
        <f>+Tabla130[[#This Row],[COSTO CON IVA]]/Tabla130[[#This Row],[UTILIDAD]]</f>
        <v>219240</v>
      </c>
      <c r="D608" s="43">
        <f>+Tabla130[[#This Row],[PRECIO INSTALLER (CON IVA)]]-Tabla130[[#This Row],[Columna4]]</f>
        <v>208278</v>
      </c>
      <c r="E608" s="43">
        <f>+Tabla130[[#This Row],[PRECIO INSTALLER (CON IVA)]]/0.7</f>
        <v>313200</v>
      </c>
      <c r="F608" s="41">
        <f>+Tabla130[[#This Row],[PRECIO INSTALLER (CON IVA)]]*5%</f>
        <v>10962</v>
      </c>
      <c r="G608" s="7">
        <v>0.85</v>
      </c>
      <c r="H608" s="38">
        <f>Tabla130[[#This Row],[COSTO]]*1.19</f>
        <v>186354</v>
      </c>
      <c r="I608" s="38"/>
      <c r="J608" s="38"/>
      <c r="K608" s="36">
        <v>156600</v>
      </c>
    </row>
    <row r="609" spans="1:11" ht="42.75" x14ac:dyDescent="0.2">
      <c r="A609" s="34" t="s">
        <v>5</v>
      </c>
      <c r="B609" s="35" t="s">
        <v>1171</v>
      </c>
      <c r="C609" s="43">
        <f>+Tabla130[[#This Row],[COSTO CON IVA]]/Tabla130[[#This Row],[UTILIDAD]]</f>
        <v>253680</v>
      </c>
      <c r="D609" s="43">
        <f>+Tabla130[[#This Row],[PRECIO INSTALLER (CON IVA)]]-Tabla130[[#This Row],[Columna4]]</f>
        <v>240996</v>
      </c>
      <c r="E609" s="43">
        <f>+Tabla130[[#This Row],[PRECIO INSTALLER (CON IVA)]]/0.7</f>
        <v>362400</v>
      </c>
      <c r="F609" s="41">
        <f>+Tabla130[[#This Row],[PRECIO INSTALLER (CON IVA)]]*5%</f>
        <v>12684</v>
      </c>
      <c r="G609" s="7">
        <v>0.85</v>
      </c>
      <c r="H609" s="38">
        <f>Tabla130[[#This Row],[COSTO]]*1.19</f>
        <v>215628</v>
      </c>
      <c r="I609" s="38"/>
      <c r="J609" s="38"/>
      <c r="K609" s="36">
        <v>181200</v>
      </c>
    </row>
    <row r="610" spans="1:11" ht="57" x14ac:dyDescent="0.2">
      <c r="A610" s="34" t="s">
        <v>4</v>
      </c>
      <c r="B610" s="35" t="s">
        <v>1172</v>
      </c>
      <c r="C610" s="43">
        <f>+Tabla130[[#This Row],[COSTO CON IVA]]/Tabla130[[#This Row],[UTILIDAD]]</f>
        <v>126840</v>
      </c>
      <c r="D610" s="43">
        <f>+Tabla130[[#This Row],[PRECIO INSTALLER (CON IVA)]]-Tabla130[[#This Row],[Columna4]]</f>
        <v>120498</v>
      </c>
      <c r="E610" s="43">
        <f>+Tabla130[[#This Row],[PRECIO INSTALLER (CON IVA)]]/0.7</f>
        <v>181200</v>
      </c>
      <c r="F610" s="41">
        <f>+Tabla130[[#This Row],[PRECIO INSTALLER (CON IVA)]]*5%</f>
        <v>6342</v>
      </c>
      <c r="G610" s="7">
        <v>0.85</v>
      </c>
      <c r="H610" s="38">
        <f>Tabla130[[#This Row],[COSTO]]*1.19</f>
        <v>107814</v>
      </c>
      <c r="I610" s="38"/>
      <c r="J610" s="38"/>
      <c r="K610" s="36">
        <v>90600</v>
      </c>
    </row>
    <row r="611" spans="1:11" ht="57" x14ac:dyDescent="0.2">
      <c r="A611" s="34" t="s">
        <v>3</v>
      </c>
      <c r="B611" s="35" t="s">
        <v>1173</v>
      </c>
      <c r="C611" s="43">
        <f>+Tabla130[[#This Row],[COSTO CON IVA]]/Tabla130[[#This Row],[UTILIDAD]]</f>
        <v>126840</v>
      </c>
      <c r="D611" s="43">
        <f>+Tabla130[[#This Row],[PRECIO INSTALLER (CON IVA)]]-Tabla130[[#This Row],[Columna4]]</f>
        <v>120498</v>
      </c>
      <c r="E611" s="43">
        <f>+Tabla130[[#This Row],[PRECIO INSTALLER (CON IVA)]]/0.7</f>
        <v>181200</v>
      </c>
      <c r="F611" s="41">
        <f>+Tabla130[[#This Row],[PRECIO INSTALLER (CON IVA)]]*5%</f>
        <v>6342</v>
      </c>
      <c r="G611" s="7">
        <v>0.85</v>
      </c>
      <c r="H611" s="38">
        <f>Tabla130[[#This Row],[COSTO]]*1.19</f>
        <v>107814</v>
      </c>
      <c r="I611" s="38"/>
      <c r="J611" s="38"/>
      <c r="K611" s="36">
        <v>90600</v>
      </c>
    </row>
    <row r="612" spans="1:11" ht="71.25" x14ac:dyDescent="0.2">
      <c r="A612" s="34" t="s">
        <v>1174</v>
      </c>
      <c r="B612" s="35" t="s">
        <v>1175</v>
      </c>
      <c r="C612" s="43">
        <f>+Tabla130[[#This Row],[COSTO CON IVA]]/Tabla130[[#This Row],[UTILIDAD]]</f>
        <v>143220</v>
      </c>
      <c r="D612" s="43">
        <f>+Tabla130[[#This Row],[PRECIO INSTALLER (CON IVA)]]-Tabla130[[#This Row],[Columna4]]</f>
        <v>136059</v>
      </c>
      <c r="E612" s="43">
        <f>+Tabla130[[#This Row],[PRECIO INSTALLER (CON IVA)]]/0.7</f>
        <v>204600</v>
      </c>
      <c r="F612" s="41">
        <f>+Tabla130[[#This Row],[PRECIO INSTALLER (CON IVA)]]*5%</f>
        <v>7161</v>
      </c>
      <c r="G612" s="7">
        <v>0.85</v>
      </c>
      <c r="H612" s="38">
        <f>Tabla130[[#This Row],[COSTO]]*1.19</f>
        <v>121737</v>
      </c>
      <c r="I612" s="38"/>
      <c r="J612" s="38"/>
      <c r="K612" s="36">
        <v>102300</v>
      </c>
    </row>
    <row r="613" spans="1:11" ht="57" x14ac:dyDescent="0.2">
      <c r="A613" s="34" t="s">
        <v>1176</v>
      </c>
      <c r="B613" s="35" t="s">
        <v>1177</v>
      </c>
      <c r="C613" s="43">
        <f>+Tabla130[[#This Row],[COSTO CON IVA]]/Tabla130[[#This Row],[UTILIDAD]]</f>
        <v>154700</v>
      </c>
      <c r="D613" s="43">
        <f>+Tabla130[[#This Row],[PRECIO INSTALLER (CON IVA)]]-Tabla130[[#This Row],[Columna4]]</f>
        <v>146965</v>
      </c>
      <c r="E613" s="43">
        <f>+Tabla130[[#This Row],[PRECIO INSTALLER (CON IVA)]]/0.7</f>
        <v>221000</v>
      </c>
      <c r="F613" s="41">
        <f>+Tabla130[[#This Row],[PRECIO INSTALLER (CON IVA)]]*5%</f>
        <v>7735</v>
      </c>
      <c r="G613" s="7">
        <v>0.85</v>
      </c>
      <c r="H613" s="38">
        <f>Tabla130[[#This Row],[COSTO]]*1.19</f>
        <v>131495</v>
      </c>
      <c r="I613" s="38"/>
      <c r="J613" s="38"/>
      <c r="K613" s="36">
        <v>110500</v>
      </c>
    </row>
    <row r="614" spans="1:11" ht="42.75" x14ac:dyDescent="0.2">
      <c r="A614" s="34" t="s">
        <v>2</v>
      </c>
      <c r="B614" s="35" t="s">
        <v>1178</v>
      </c>
      <c r="C614" s="43">
        <f>+Tabla130[[#This Row],[COSTO CON IVA]]/Tabla130[[#This Row],[UTILIDAD]]</f>
        <v>130200</v>
      </c>
      <c r="D614" s="43">
        <f>+Tabla130[[#This Row],[PRECIO INSTALLER (CON IVA)]]-Tabla130[[#This Row],[Columna4]]</f>
        <v>123690</v>
      </c>
      <c r="E614" s="43">
        <f>+Tabla130[[#This Row],[PRECIO INSTALLER (CON IVA)]]/0.7</f>
        <v>186000</v>
      </c>
      <c r="F614" s="41">
        <f>+Tabla130[[#This Row],[PRECIO INSTALLER (CON IVA)]]*5%</f>
        <v>6510</v>
      </c>
      <c r="G614" s="7">
        <v>0.85</v>
      </c>
      <c r="H614" s="38">
        <f>Tabla130[[#This Row],[COSTO]]*1.19</f>
        <v>110670</v>
      </c>
      <c r="I614" s="38"/>
      <c r="J614" s="38"/>
      <c r="K614" s="36">
        <v>93000</v>
      </c>
    </row>
    <row r="615" spans="1:11" ht="57" x14ac:dyDescent="0.2">
      <c r="A615" s="34" t="s">
        <v>1</v>
      </c>
      <c r="B615" s="35" t="s">
        <v>1179</v>
      </c>
      <c r="C615" s="43">
        <f>+Tabla130[[#This Row],[COSTO CON IVA]]/Tabla130[[#This Row],[UTILIDAD]]</f>
        <v>115080</v>
      </c>
      <c r="D615" s="43">
        <f>+Tabla130[[#This Row],[PRECIO INSTALLER (CON IVA)]]-Tabla130[[#This Row],[Columna4]]</f>
        <v>109326</v>
      </c>
      <c r="E615" s="43">
        <f>+Tabla130[[#This Row],[PRECIO INSTALLER (CON IVA)]]/0.7</f>
        <v>164400</v>
      </c>
      <c r="F615" s="41">
        <f>+Tabla130[[#This Row],[PRECIO INSTALLER (CON IVA)]]*5%</f>
        <v>5754</v>
      </c>
      <c r="G615" s="7">
        <v>0.85</v>
      </c>
      <c r="H615" s="38">
        <f>Tabla130[[#This Row],[COSTO]]*1.19</f>
        <v>97818</v>
      </c>
      <c r="I615" s="38"/>
      <c r="J615" s="38"/>
      <c r="K615" s="36">
        <v>82200</v>
      </c>
    </row>
    <row r="616" spans="1:11" ht="57" x14ac:dyDescent="0.2">
      <c r="A616" s="34" t="s">
        <v>0</v>
      </c>
      <c r="B616" s="35" t="s">
        <v>1180</v>
      </c>
      <c r="C616" s="43">
        <f>+Tabla130[[#This Row],[COSTO CON IVA]]/Tabla130[[#This Row],[UTILIDAD]]</f>
        <v>261240</v>
      </c>
      <c r="D616" s="43">
        <f>+Tabla130[[#This Row],[PRECIO INSTALLER (CON IVA)]]-Tabla130[[#This Row],[Columna4]]</f>
        <v>248178</v>
      </c>
      <c r="E616" s="43">
        <f>+Tabla130[[#This Row],[PRECIO INSTALLER (CON IVA)]]/0.7</f>
        <v>373200</v>
      </c>
      <c r="F616" s="41">
        <f>+Tabla130[[#This Row],[PRECIO INSTALLER (CON IVA)]]*5%</f>
        <v>13062</v>
      </c>
      <c r="G616" s="7">
        <v>0.85</v>
      </c>
      <c r="H616" s="38">
        <f>Tabla130[[#This Row],[COSTO]]*1.19</f>
        <v>222054</v>
      </c>
      <c r="I616" s="38"/>
      <c r="J616" s="38"/>
      <c r="K616" s="36">
        <v>186600</v>
      </c>
    </row>
    <row r="617" spans="1:11" ht="42.75" x14ac:dyDescent="0.2">
      <c r="A617" s="34" t="s">
        <v>1181</v>
      </c>
      <c r="B617" s="35" t="s">
        <v>1182</v>
      </c>
      <c r="C617" s="43">
        <f>+Tabla130[[#This Row],[COSTO CON IVA]]/Tabla130[[#This Row],[UTILIDAD]]</f>
        <v>144620</v>
      </c>
      <c r="D617" s="43">
        <f>+Tabla130[[#This Row],[PRECIO INSTALLER (CON IVA)]]-Tabla130[[#This Row],[Columna4]]</f>
        <v>137389</v>
      </c>
      <c r="E617" s="43">
        <f>+Tabla130[[#This Row],[PRECIO INSTALLER (CON IVA)]]/0.7</f>
        <v>206600</v>
      </c>
      <c r="F617" s="41">
        <f>+Tabla130[[#This Row],[PRECIO INSTALLER (CON IVA)]]*5%</f>
        <v>7231</v>
      </c>
      <c r="G617" s="7">
        <v>0.85</v>
      </c>
      <c r="H617" s="38">
        <f>Tabla130[[#This Row],[COSTO]]*1.19</f>
        <v>122927</v>
      </c>
      <c r="I617" s="38"/>
      <c r="J617" s="38"/>
      <c r="K617" s="36">
        <v>103300</v>
      </c>
    </row>
    <row r="618" spans="1:11" ht="71.25" x14ac:dyDescent="0.2">
      <c r="A618" s="34" t="s">
        <v>1183</v>
      </c>
      <c r="B618" s="35" t="s">
        <v>1184</v>
      </c>
      <c r="C618" s="43">
        <f>+Tabla130[[#This Row],[COSTO CON IVA]]/Tabla130[[#This Row],[UTILIDAD]]</f>
        <v>1339800</v>
      </c>
      <c r="D618" s="43">
        <f>+Tabla130[[#This Row],[PRECIO INSTALLER (CON IVA)]]-Tabla130[[#This Row],[Columna4]]</f>
        <v>1272810</v>
      </c>
      <c r="E618" s="43">
        <f>+Tabla130[[#This Row],[PRECIO INSTALLER (CON IVA)]]/0.7</f>
        <v>1914000.0000000002</v>
      </c>
      <c r="F618" s="41">
        <f>+Tabla130[[#This Row],[PRECIO INSTALLER (CON IVA)]]*5%</f>
        <v>66990</v>
      </c>
      <c r="G618" s="7">
        <v>0.85</v>
      </c>
      <c r="H618" s="38">
        <f>Tabla130[[#This Row],[COSTO]]*1.19</f>
        <v>1138830</v>
      </c>
      <c r="I618" s="38"/>
      <c r="J618" s="38"/>
      <c r="K618" s="36">
        <v>957000</v>
      </c>
    </row>
    <row r="619" spans="1:11" ht="228" x14ac:dyDescent="0.2">
      <c r="A619" s="34" t="s">
        <v>1185</v>
      </c>
      <c r="B619" s="35" t="s">
        <v>1186</v>
      </c>
      <c r="C619" s="43">
        <f>+Tabla130[[#This Row],[COSTO CON IVA]]/Tabla130[[#This Row],[UTILIDAD]]</f>
        <v>55278860</v>
      </c>
      <c r="D619" s="43">
        <f>+Tabla130[[#This Row],[PRECIO INSTALLER (CON IVA)]]-Tabla130[[#This Row],[Columna4]]</f>
        <v>52514917</v>
      </c>
      <c r="E619" s="43">
        <f>+Tabla130[[#This Row],[PRECIO INSTALLER (CON IVA)]]/0.7</f>
        <v>78969800</v>
      </c>
      <c r="F619" s="41">
        <f>+Tabla130[[#This Row],[PRECIO INSTALLER (CON IVA)]]*5%</f>
        <v>2763943</v>
      </c>
      <c r="G619" s="7">
        <v>0.85</v>
      </c>
      <c r="H619" s="38">
        <f>Tabla130[[#This Row],[COSTO]]*1.19</f>
        <v>46987031</v>
      </c>
      <c r="I619" s="38"/>
      <c r="J619" s="38"/>
      <c r="K619" s="36">
        <v>39484900</v>
      </c>
    </row>
    <row r="620" spans="1:11" ht="242.25" x14ac:dyDescent="0.2">
      <c r="A620" s="34" t="s">
        <v>1187</v>
      </c>
      <c r="B620" s="35" t="s">
        <v>1188</v>
      </c>
      <c r="C620" s="43">
        <f>+Tabla130[[#This Row],[COSTO CON IVA]]/Tabla130[[#This Row],[UTILIDAD]]</f>
        <v>23690940</v>
      </c>
      <c r="D620" s="43">
        <f>+Tabla130[[#This Row],[PRECIO INSTALLER (CON IVA)]]-Tabla130[[#This Row],[Columna4]]</f>
        <v>22506393</v>
      </c>
      <c r="E620" s="43">
        <f>+Tabla130[[#This Row],[PRECIO INSTALLER (CON IVA)]]/0.7</f>
        <v>33844200</v>
      </c>
      <c r="F620" s="41">
        <f>+Tabla130[[#This Row],[PRECIO INSTALLER (CON IVA)]]*5%</f>
        <v>1184547</v>
      </c>
      <c r="G620" s="7">
        <v>0.85</v>
      </c>
      <c r="H620" s="38">
        <f>Tabla130[[#This Row],[COSTO]]*1.19</f>
        <v>20137299</v>
      </c>
      <c r="I620" s="38"/>
      <c r="J620" s="38"/>
      <c r="K620" s="36">
        <v>16922100</v>
      </c>
    </row>
    <row r="621" spans="1:11" ht="242.25" x14ac:dyDescent="0.2">
      <c r="A621" s="34" t="s">
        <v>1189</v>
      </c>
      <c r="B621" s="35" t="s">
        <v>1190</v>
      </c>
      <c r="C621" s="43">
        <f>+Tabla130[[#This Row],[COSTO CON IVA]]/Tabla130[[#This Row],[UTILIDAD]]</f>
        <v>23690940</v>
      </c>
      <c r="D621" s="43">
        <f>+Tabla130[[#This Row],[PRECIO INSTALLER (CON IVA)]]-Tabla130[[#This Row],[Columna4]]</f>
        <v>22506393</v>
      </c>
      <c r="E621" s="43">
        <f>+Tabla130[[#This Row],[PRECIO INSTALLER (CON IVA)]]/0.7</f>
        <v>33844200</v>
      </c>
      <c r="F621" s="41">
        <f>+Tabla130[[#This Row],[PRECIO INSTALLER (CON IVA)]]*5%</f>
        <v>1184547</v>
      </c>
      <c r="G621" s="7">
        <v>0.85</v>
      </c>
      <c r="H621" s="38">
        <f>Tabla130[[#This Row],[COSTO]]*1.19</f>
        <v>20137299</v>
      </c>
      <c r="I621" s="38"/>
      <c r="J621" s="38"/>
      <c r="K621" s="36">
        <v>16922100</v>
      </c>
    </row>
    <row r="622" spans="1:11" ht="242.25" x14ac:dyDescent="0.2">
      <c r="A622" s="34" t="s">
        <v>1191</v>
      </c>
      <c r="B622" s="35" t="s">
        <v>1192</v>
      </c>
      <c r="C622" s="43">
        <f>+Tabla130[[#This Row],[COSTO CON IVA]]/Tabla130[[#This Row],[UTILIDAD]]</f>
        <v>15793960</v>
      </c>
      <c r="D622" s="43">
        <f>+Tabla130[[#This Row],[PRECIO INSTALLER (CON IVA)]]-Tabla130[[#This Row],[Columna4]]</f>
        <v>15004262</v>
      </c>
      <c r="E622" s="43">
        <f>+Tabla130[[#This Row],[PRECIO INSTALLER (CON IVA)]]/0.7</f>
        <v>22562800</v>
      </c>
      <c r="F622" s="41">
        <f>+Tabla130[[#This Row],[PRECIO INSTALLER (CON IVA)]]*5%</f>
        <v>789698</v>
      </c>
      <c r="G622" s="7">
        <v>0.85</v>
      </c>
      <c r="H622" s="38">
        <f>Tabla130[[#This Row],[COSTO]]*1.19</f>
        <v>13424866</v>
      </c>
      <c r="I622" s="38"/>
      <c r="J622" s="38"/>
      <c r="K622" s="36">
        <v>11281400</v>
      </c>
    </row>
    <row r="623" spans="1:11" ht="270.75" x14ac:dyDescent="0.2">
      <c r="A623" s="34" t="s">
        <v>1193</v>
      </c>
      <c r="B623" s="35" t="s">
        <v>1194</v>
      </c>
      <c r="C623" s="43">
        <f>+Tabla130[[#This Row],[COSTO CON IVA]]/Tabla130[[#This Row],[UTILIDAD]]</f>
        <v>18952780</v>
      </c>
      <c r="D623" s="43">
        <f>+Tabla130[[#This Row],[PRECIO INSTALLER (CON IVA)]]-Tabla130[[#This Row],[Columna4]]</f>
        <v>18005141</v>
      </c>
      <c r="E623" s="43">
        <f>+Tabla130[[#This Row],[PRECIO INSTALLER (CON IVA)]]/0.7</f>
        <v>27075400</v>
      </c>
      <c r="F623" s="41">
        <f>+Tabla130[[#This Row],[PRECIO INSTALLER (CON IVA)]]*5%</f>
        <v>947639</v>
      </c>
      <c r="G623" s="7">
        <v>0.85</v>
      </c>
      <c r="H623" s="38">
        <f>Tabla130[[#This Row],[COSTO]]*1.19</f>
        <v>16109863</v>
      </c>
      <c r="I623" s="38"/>
      <c r="J623" s="38"/>
      <c r="K623" s="36">
        <v>13537700</v>
      </c>
    </row>
    <row r="624" spans="1:11" ht="242.25" x14ac:dyDescent="0.2">
      <c r="A624" s="34" t="s">
        <v>1195</v>
      </c>
      <c r="B624" s="35" t="s">
        <v>1196</v>
      </c>
      <c r="C624" s="43">
        <f>+Tabla130[[#This Row],[COSTO CON IVA]]/Tabla130[[#This Row],[UTILIDAD]]</f>
        <v>15793960</v>
      </c>
      <c r="D624" s="43">
        <f>+Tabla130[[#This Row],[PRECIO INSTALLER (CON IVA)]]-Tabla130[[#This Row],[Columna4]]</f>
        <v>15004262</v>
      </c>
      <c r="E624" s="43">
        <f>+Tabla130[[#This Row],[PRECIO INSTALLER (CON IVA)]]/0.7</f>
        <v>22562800</v>
      </c>
      <c r="F624" s="41">
        <f>+Tabla130[[#This Row],[PRECIO INSTALLER (CON IVA)]]*5%</f>
        <v>789698</v>
      </c>
      <c r="G624" s="7">
        <v>0.85</v>
      </c>
      <c r="H624" s="38">
        <f>Tabla130[[#This Row],[COSTO]]*1.19</f>
        <v>13424866</v>
      </c>
      <c r="I624" s="38"/>
      <c r="J624" s="38"/>
      <c r="K624" s="36">
        <v>11281400</v>
      </c>
    </row>
    <row r="625" spans="1:11" ht="285" x14ac:dyDescent="0.2">
      <c r="A625" s="34" t="s">
        <v>1197</v>
      </c>
      <c r="B625" s="35" t="s">
        <v>1198</v>
      </c>
      <c r="C625" s="43">
        <f>+Tabla130[[#This Row],[COSTO CON IVA]]/Tabla130[[#This Row],[UTILIDAD]]</f>
        <v>15793960</v>
      </c>
      <c r="D625" s="43">
        <f>+Tabla130[[#This Row],[PRECIO INSTALLER (CON IVA)]]-Tabla130[[#This Row],[Columna4]]</f>
        <v>15004262</v>
      </c>
      <c r="E625" s="43">
        <f>+Tabla130[[#This Row],[PRECIO INSTALLER (CON IVA)]]/0.7</f>
        <v>22562800</v>
      </c>
      <c r="F625" s="41">
        <f>+Tabla130[[#This Row],[PRECIO INSTALLER (CON IVA)]]*5%</f>
        <v>789698</v>
      </c>
      <c r="G625" s="7">
        <v>0.85</v>
      </c>
      <c r="H625" s="38">
        <f>Tabla130[[#This Row],[COSTO]]*1.19</f>
        <v>13424866</v>
      </c>
      <c r="I625" s="38"/>
      <c r="J625" s="38"/>
      <c r="K625" s="36">
        <v>11281400</v>
      </c>
    </row>
    <row r="626" spans="1:11" ht="242.25" x14ac:dyDescent="0.2">
      <c r="A626" s="34" t="s">
        <v>1199</v>
      </c>
      <c r="B626" s="35" t="s">
        <v>1200</v>
      </c>
      <c r="C626" s="43">
        <f>+Tabla130[[#This Row],[COSTO CON IVA]]/Tabla130[[#This Row],[UTILIDAD]]</f>
        <v>12635140</v>
      </c>
      <c r="D626" s="43">
        <f>+Tabla130[[#This Row],[PRECIO INSTALLER (CON IVA)]]-Tabla130[[#This Row],[Columna4]]</f>
        <v>12003383</v>
      </c>
      <c r="E626" s="43">
        <f>+Tabla130[[#This Row],[PRECIO INSTALLER (CON IVA)]]/0.7</f>
        <v>18050200</v>
      </c>
      <c r="F626" s="41">
        <f>+Tabla130[[#This Row],[PRECIO INSTALLER (CON IVA)]]*5%</f>
        <v>631757</v>
      </c>
      <c r="G626" s="7">
        <v>0.85</v>
      </c>
      <c r="H626" s="38">
        <f>Tabla130[[#This Row],[COSTO]]*1.19</f>
        <v>10739869</v>
      </c>
      <c r="I626" s="38"/>
      <c r="J626" s="38"/>
      <c r="K626" s="36">
        <v>9025100</v>
      </c>
    </row>
    <row r="627" spans="1:11" ht="228" x14ac:dyDescent="0.2">
      <c r="A627" s="34" t="s">
        <v>1201</v>
      </c>
      <c r="B627" s="35" t="s">
        <v>1202</v>
      </c>
      <c r="C627" s="43">
        <f>+Tabla130[[#This Row],[COSTO CON IVA]]/Tabla130[[#This Row],[UTILIDAD]]</f>
        <v>7107240</v>
      </c>
      <c r="D627" s="43">
        <f>+Tabla130[[#This Row],[PRECIO INSTALLER (CON IVA)]]-Tabla130[[#This Row],[Columna4]]</f>
        <v>6751878</v>
      </c>
      <c r="E627" s="43">
        <f>+Tabla130[[#This Row],[PRECIO INSTALLER (CON IVA)]]/0.7</f>
        <v>10153200</v>
      </c>
      <c r="F627" s="41">
        <f>+Tabla130[[#This Row],[PRECIO INSTALLER (CON IVA)]]*5%</f>
        <v>355362</v>
      </c>
      <c r="G627" s="7">
        <v>0.85</v>
      </c>
      <c r="H627" s="38">
        <f>Tabla130[[#This Row],[COSTO]]*1.19</f>
        <v>6041154</v>
      </c>
      <c r="I627" s="38"/>
      <c r="J627" s="38"/>
      <c r="K627" s="36">
        <v>5076600</v>
      </c>
    </row>
    <row r="628" spans="1:11" ht="228" x14ac:dyDescent="0.2">
      <c r="A628" s="34" t="s">
        <v>1203</v>
      </c>
      <c r="B628" s="35" t="s">
        <v>1204</v>
      </c>
      <c r="C628" s="43">
        <f>+Tabla130[[#This Row],[COSTO CON IVA]]/Tabla130[[#This Row],[UTILIDAD]]</f>
        <v>5527900</v>
      </c>
      <c r="D628" s="43">
        <f>+Tabla130[[#This Row],[PRECIO INSTALLER (CON IVA)]]-Tabla130[[#This Row],[Columna4]]</f>
        <v>5251505</v>
      </c>
      <c r="E628" s="43">
        <f>+Tabla130[[#This Row],[PRECIO INSTALLER (CON IVA)]]/0.7</f>
        <v>7897000.0000000009</v>
      </c>
      <c r="F628" s="41">
        <f>+Tabla130[[#This Row],[PRECIO INSTALLER (CON IVA)]]*5%</f>
        <v>276395</v>
      </c>
      <c r="G628" s="7">
        <v>0.85</v>
      </c>
      <c r="H628" s="38">
        <f>Tabla130[[#This Row],[COSTO]]*1.19</f>
        <v>4698715</v>
      </c>
      <c r="I628" s="38"/>
      <c r="J628" s="38"/>
      <c r="K628" s="36">
        <v>3948500</v>
      </c>
    </row>
    <row r="629" spans="1:11" ht="171" x14ac:dyDescent="0.2">
      <c r="A629" s="34" t="s">
        <v>1205</v>
      </c>
      <c r="B629" s="35" t="s">
        <v>1206</v>
      </c>
      <c r="C629" s="43">
        <f>+Tabla130[[#This Row],[COSTO CON IVA]]/Tabla130[[#This Row],[UTILIDAD]]</f>
        <v>3076780</v>
      </c>
      <c r="D629" s="43">
        <f>+Tabla130[[#This Row],[PRECIO INSTALLER (CON IVA)]]-Tabla130[[#This Row],[Columna4]]</f>
        <v>2922941</v>
      </c>
      <c r="E629" s="43">
        <f>+Tabla130[[#This Row],[PRECIO INSTALLER (CON IVA)]]/0.7</f>
        <v>4395400</v>
      </c>
      <c r="F629" s="41">
        <f>+Tabla130[[#This Row],[PRECIO INSTALLER (CON IVA)]]*5%</f>
        <v>153839</v>
      </c>
      <c r="G629" s="7">
        <v>0.85</v>
      </c>
      <c r="H629" s="38">
        <f>Tabla130[[#This Row],[COSTO]]*1.19</f>
        <v>2615263</v>
      </c>
      <c r="I629" s="38"/>
      <c r="J629" s="38"/>
      <c r="K629" s="36">
        <v>2197700</v>
      </c>
    </row>
    <row r="630" spans="1:11" ht="114" x14ac:dyDescent="0.2">
      <c r="A630" s="34" t="s">
        <v>1207</v>
      </c>
      <c r="B630" s="35" t="s">
        <v>1208</v>
      </c>
      <c r="C630" s="43">
        <f>+Tabla130[[#This Row],[COSTO CON IVA]]/Tabla130[[#This Row],[UTILIDAD]]</f>
        <v>1263500</v>
      </c>
      <c r="D630" s="43">
        <f>+Tabla130[[#This Row],[PRECIO INSTALLER (CON IVA)]]-Tabla130[[#This Row],[Columna4]]</f>
        <v>1200325</v>
      </c>
      <c r="E630" s="43">
        <f>+Tabla130[[#This Row],[PRECIO INSTALLER (CON IVA)]]/0.7</f>
        <v>1805000</v>
      </c>
      <c r="F630" s="41">
        <f>+Tabla130[[#This Row],[PRECIO INSTALLER (CON IVA)]]*5%</f>
        <v>63175</v>
      </c>
      <c r="G630" s="7">
        <v>0.85</v>
      </c>
      <c r="H630" s="38">
        <f>Tabla130[[#This Row],[COSTO]]*1.19</f>
        <v>1073975</v>
      </c>
      <c r="I630" s="38"/>
      <c r="J630" s="38"/>
      <c r="K630" s="36">
        <v>902500</v>
      </c>
    </row>
    <row r="631" spans="1:11" ht="28.5" x14ac:dyDescent="0.2">
      <c r="A631" s="34" t="s">
        <v>1209</v>
      </c>
      <c r="B631" s="35" t="s">
        <v>1210</v>
      </c>
      <c r="C631" s="43">
        <f>+Tabla130[[#This Row],[COSTO CON IVA]]/Tabla130[[#This Row],[UTILIDAD]]</f>
        <v>157920</v>
      </c>
      <c r="D631" s="43">
        <f>+Tabla130[[#This Row],[PRECIO INSTALLER (CON IVA)]]-Tabla130[[#This Row],[Columna4]]</f>
        <v>150024</v>
      </c>
      <c r="E631" s="43">
        <f>+Tabla130[[#This Row],[PRECIO INSTALLER (CON IVA)]]/0.7</f>
        <v>225600</v>
      </c>
      <c r="F631" s="41">
        <f>+Tabla130[[#This Row],[PRECIO INSTALLER (CON IVA)]]*5%</f>
        <v>7896</v>
      </c>
      <c r="G631" s="7">
        <v>0.85</v>
      </c>
      <c r="H631" s="38">
        <f>Tabla130[[#This Row],[COSTO]]*1.19</f>
        <v>134232</v>
      </c>
      <c r="I631" s="38"/>
      <c r="J631" s="38"/>
      <c r="K631" s="36">
        <v>112800</v>
      </c>
    </row>
    <row r="632" spans="1:11" ht="28.5" x14ac:dyDescent="0.2">
      <c r="A632" s="34" t="s">
        <v>1211</v>
      </c>
      <c r="B632" s="35" t="s">
        <v>1212</v>
      </c>
      <c r="C632" s="43">
        <f>+Tabla130[[#This Row],[COSTO CON IVA]]/Tabla130[[#This Row],[UTILIDAD]]</f>
        <v>379120</v>
      </c>
      <c r="D632" s="43">
        <f>+Tabla130[[#This Row],[PRECIO INSTALLER (CON IVA)]]-Tabla130[[#This Row],[Columna4]]</f>
        <v>360164</v>
      </c>
      <c r="E632" s="43">
        <f>+Tabla130[[#This Row],[PRECIO INSTALLER (CON IVA)]]/0.7</f>
        <v>541600</v>
      </c>
      <c r="F632" s="41">
        <f>+Tabla130[[#This Row],[PRECIO INSTALLER (CON IVA)]]*5%</f>
        <v>18956</v>
      </c>
      <c r="G632" s="7">
        <v>0.85</v>
      </c>
      <c r="H632" s="38">
        <f>Tabla130[[#This Row],[COSTO]]*1.19</f>
        <v>322252</v>
      </c>
      <c r="I632" s="38"/>
      <c r="J632" s="38"/>
      <c r="K632" s="36">
        <v>270800</v>
      </c>
    </row>
    <row r="633" spans="1:11" ht="28.5" x14ac:dyDescent="0.2">
      <c r="A633" s="34" t="s">
        <v>1213</v>
      </c>
      <c r="B633" s="35" t="s">
        <v>1214</v>
      </c>
      <c r="C633" s="43">
        <f>+Tabla130[[#This Row],[COSTO CON IVA]]/Tabla130[[#This Row],[UTILIDAD]]</f>
        <v>552020</v>
      </c>
      <c r="D633" s="43">
        <f>+Tabla130[[#This Row],[PRECIO INSTALLER (CON IVA)]]-Tabla130[[#This Row],[Columna4]]</f>
        <v>524419</v>
      </c>
      <c r="E633" s="43">
        <f>+Tabla130[[#This Row],[PRECIO INSTALLER (CON IVA)]]/0.7</f>
        <v>788600</v>
      </c>
      <c r="F633" s="41">
        <f>+Tabla130[[#This Row],[PRECIO INSTALLER (CON IVA)]]*5%</f>
        <v>27601</v>
      </c>
      <c r="G633" s="7">
        <v>0.85</v>
      </c>
      <c r="H633" s="38">
        <f>Tabla130[[#This Row],[COSTO]]*1.19</f>
        <v>469217</v>
      </c>
      <c r="I633" s="38"/>
      <c r="J633" s="38"/>
      <c r="K633" s="36">
        <v>394300</v>
      </c>
    </row>
    <row r="634" spans="1:11" ht="28.5" x14ac:dyDescent="0.2">
      <c r="A634" s="34" t="s">
        <v>1215</v>
      </c>
      <c r="B634" s="35" t="s">
        <v>1216</v>
      </c>
      <c r="C634" s="43">
        <f>+Tabla130[[#This Row],[COSTO CON IVA]]/Tabla130[[#This Row],[UTILIDAD]]</f>
        <v>126420</v>
      </c>
      <c r="D634" s="43">
        <f>+Tabla130[[#This Row],[PRECIO INSTALLER (CON IVA)]]-Tabla130[[#This Row],[Columna4]]</f>
        <v>120099</v>
      </c>
      <c r="E634" s="43">
        <f>+Tabla130[[#This Row],[PRECIO INSTALLER (CON IVA)]]/0.7</f>
        <v>180600</v>
      </c>
      <c r="F634" s="41">
        <f>+Tabla130[[#This Row],[PRECIO INSTALLER (CON IVA)]]*5%</f>
        <v>6321</v>
      </c>
      <c r="G634" s="7">
        <v>0.85</v>
      </c>
      <c r="H634" s="38">
        <f>Tabla130[[#This Row],[COSTO]]*1.19</f>
        <v>107457</v>
      </c>
      <c r="I634" s="38"/>
      <c r="J634" s="38"/>
      <c r="K634" s="36">
        <v>90300</v>
      </c>
    </row>
    <row r="635" spans="1:11" ht="28.5" x14ac:dyDescent="0.2">
      <c r="A635" s="34" t="s">
        <v>1217</v>
      </c>
      <c r="B635" s="35" t="s">
        <v>1218</v>
      </c>
      <c r="C635" s="43">
        <f>+Tabla130[[#This Row],[COSTO CON IVA]]/Tabla130[[#This Row],[UTILIDAD]]</f>
        <v>303100</v>
      </c>
      <c r="D635" s="43">
        <f>+Tabla130[[#This Row],[PRECIO INSTALLER (CON IVA)]]-Tabla130[[#This Row],[Columna4]]</f>
        <v>287945</v>
      </c>
      <c r="E635" s="43">
        <f>+Tabla130[[#This Row],[PRECIO INSTALLER (CON IVA)]]/0.7</f>
        <v>433000</v>
      </c>
      <c r="F635" s="41">
        <f>+Tabla130[[#This Row],[PRECIO INSTALLER (CON IVA)]]*5%</f>
        <v>15155</v>
      </c>
      <c r="G635" s="7">
        <v>0.85</v>
      </c>
      <c r="H635" s="38">
        <f>Tabla130[[#This Row],[COSTO]]*1.19</f>
        <v>257635</v>
      </c>
      <c r="I635" s="38"/>
      <c r="J635" s="38"/>
      <c r="K635" s="36">
        <v>216500</v>
      </c>
    </row>
    <row r="636" spans="1:11" ht="28.5" x14ac:dyDescent="0.2">
      <c r="A636" s="34" t="s">
        <v>1219</v>
      </c>
      <c r="B636" s="35" t="s">
        <v>1220</v>
      </c>
      <c r="C636" s="43">
        <f>+Tabla130[[#This Row],[COSTO CON IVA]]/Tabla130[[#This Row],[UTILIDAD]]</f>
        <v>441420</v>
      </c>
      <c r="D636" s="43">
        <f>+Tabla130[[#This Row],[PRECIO INSTALLER (CON IVA)]]-Tabla130[[#This Row],[Columna4]]</f>
        <v>419349</v>
      </c>
      <c r="E636" s="43">
        <f>+Tabla130[[#This Row],[PRECIO INSTALLER (CON IVA)]]/0.7</f>
        <v>630600</v>
      </c>
      <c r="F636" s="41">
        <f>+Tabla130[[#This Row],[PRECIO INSTALLER (CON IVA)]]*5%</f>
        <v>22071</v>
      </c>
      <c r="G636" s="7">
        <v>0.85</v>
      </c>
      <c r="H636" s="38">
        <f>Tabla130[[#This Row],[COSTO]]*1.19</f>
        <v>375207</v>
      </c>
      <c r="I636" s="38"/>
      <c r="J636" s="38"/>
      <c r="K636" s="36">
        <v>315300</v>
      </c>
    </row>
    <row r="637" spans="1:11" ht="28.5" x14ac:dyDescent="0.2">
      <c r="A637" s="34" t="s">
        <v>1221</v>
      </c>
      <c r="B637" s="35" t="s">
        <v>1222</v>
      </c>
      <c r="C637" s="43">
        <f>+Tabla130[[#This Row],[COSTO CON IVA]]/Tabla130[[#This Row],[UTILIDAD]]</f>
        <v>50820</v>
      </c>
      <c r="D637" s="43">
        <f>+Tabla130[[#This Row],[PRECIO INSTALLER (CON IVA)]]-Tabla130[[#This Row],[Columna4]]</f>
        <v>48279</v>
      </c>
      <c r="E637" s="43">
        <f>+Tabla130[[#This Row],[PRECIO INSTALLER (CON IVA)]]/0.7</f>
        <v>72600</v>
      </c>
      <c r="F637" s="41">
        <f>+Tabla130[[#This Row],[PRECIO INSTALLER (CON IVA)]]*5%</f>
        <v>2541</v>
      </c>
      <c r="G637" s="7">
        <v>0.85</v>
      </c>
      <c r="H637" s="38">
        <f>Tabla130[[#This Row],[COSTO]]*1.19</f>
        <v>43197</v>
      </c>
      <c r="I637" s="38"/>
      <c r="J637" s="38"/>
      <c r="K637" s="36">
        <v>36300</v>
      </c>
    </row>
    <row r="638" spans="1:11" ht="28.5" x14ac:dyDescent="0.2">
      <c r="A638" s="34" t="s">
        <v>1223</v>
      </c>
      <c r="B638" s="35" t="s">
        <v>1224</v>
      </c>
      <c r="C638" s="43">
        <f>+Tabla130[[#This Row],[COSTO CON IVA]]/Tabla130[[#This Row],[UTILIDAD]]</f>
        <v>142800</v>
      </c>
      <c r="D638" s="43">
        <f>+Tabla130[[#This Row],[PRECIO INSTALLER (CON IVA)]]-Tabla130[[#This Row],[Columna4]]</f>
        <v>135660</v>
      </c>
      <c r="E638" s="43">
        <f>+Tabla130[[#This Row],[PRECIO INSTALLER (CON IVA)]]/0.7</f>
        <v>204000</v>
      </c>
      <c r="F638" s="41">
        <f>+Tabla130[[#This Row],[PRECIO INSTALLER (CON IVA)]]*5%</f>
        <v>7140</v>
      </c>
      <c r="G638" s="7">
        <v>0.85</v>
      </c>
      <c r="H638" s="38">
        <f>Tabla130[[#This Row],[COSTO]]*1.19</f>
        <v>121380</v>
      </c>
      <c r="I638" s="38"/>
      <c r="J638" s="38"/>
      <c r="K638" s="36">
        <v>102000</v>
      </c>
    </row>
    <row r="639" spans="1:11" ht="28.5" x14ac:dyDescent="0.2">
      <c r="A639" s="34" t="s">
        <v>1225</v>
      </c>
      <c r="B639" s="35" t="s">
        <v>1226</v>
      </c>
      <c r="C639" s="43">
        <f>+Tabla130[[#This Row],[COSTO CON IVA]]/Tabla130[[#This Row],[UTILIDAD]]</f>
        <v>226240</v>
      </c>
      <c r="D639" s="43">
        <f>+Tabla130[[#This Row],[PRECIO INSTALLER (CON IVA)]]-Tabla130[[#This Row],[Columna4]]</f>
        <v>214928</v>
      </c>
      <c r="E639" s="43">
        <f>+Tabla130[[#This Row],[PRECIO INSTALLER (CON IVA)]]/0.7</f>
        <v>323200</v>
      </c>
      <c r="F639" s="41">
        <f>+Tabla130[[#This Row],[PRECIO INSTALLER (CON IVA)]]*5%</f>
        <v>11312</v>
      </c>
      <c r="G639" s="7">
        <v>0.85</v>
      </c>
      <c r="H639" s="39">
        <f>Tabla130[[#This Row],[COSTO]]*1.19</f>
        <v>192304</v>
      </c>
      <c r="I639" s="39"/>
      <c r="J639" s="39"/>
      <c r="K639" s="36">
        <v>161600</v>
      </c>
    </row>
  </sheetData>
  <conditionalFormatting sqref="A41:A42 A44 A46:A50 A112:A122 A124:A129 A159:A160 A216:A217 A231:A233 A240 A236 A242 A144:A147 A185:A186 A109 A9:A32 A37:A38 A163:A164 A87:A92 A97:A107 A170 A194:A197 A199:A205 A227:A229 A246:A250 A138:A141 A69:A82 A94 A52:A66 A2:A4 A173:A182 A207:A213">
    <cfRule type="duplicateValues" dxfId="56" priority="50"/>
  </conditionalFormatting>
  <conditionalFormatting sqref="A130:A133">
    <cfRule type="duplicateValues" dxfId="55" priority="51"/>
  </conditionalFormatting>
  <conditionalFormatting sqref="A224">
    <cfRule type="duplicateValues" dxfId="54" priority="49"/>
    <cfRule type="duplicateValues" dxfId="53" priority="48"/>
  </conditionalFormatting>
  <conditionalFormatting sqref="A254:A309">
    <cfRule type="duplicateValues" dxfId="52" priority="52"/>
  </conditionalFormatting>
  <conditionalFormatting sqref="A254:A348">
    <cfRule type="expression" dxfId="51" priority="44">
      <formula>#REF!="EOL"</formula>
    </cfRule>
  </conditionalFormatting>
  <conditionalFormatting sqref="A310:A315">
    <cfRule type="duplicateValues" dxfId="50" priority="46"/>
    <cfRule type="duplicateValues" dxfId="49" priority="47"/>
  </conditionalFormatting>
  <conditionalFormatting sqref="A319:A321">
    <cfRule type="duplicateValues" dxfId="48" priority="36"/>
  </conditionalFormatting>
  <conditionalFormatting sqref="A324">
    <cfRule type="duplicateValues" dxfId="47" priority="33"/>
    <cfRule type="duplicateValues" dxfId="46" priority="34"/>
    <cfRule type="duplicateValues" dxfId="45" priority="32"/>
  </conditionalFormatting>
  <conditionalFormatting sqref="A325 A319:A323">
    <cfRule type="duplicateValues" dxfId="44" priority="37"/>
  </conditionalFormatting>
  <conditionalFormatting sqref="A325 A322:A323">
    <cfRule type="duplicateValues" dxfId="43" priority="35"/>
  </conditionalFormatting>
  <conditionalFormatting sqref="A326">
    <cfRule type="duplicateValues" dxfId="42" priority="40"/>
  </conditionalFormatting>
  <conditionalFormatting sqref="A328 A331:A332 A335:A346">
    <cfRule type="duplicateValues" dxfId="41" priority="41"/>
  </conditionalFormatting>
  <conditionalFormatting sqref="A329 A337:A339">
    <cfRule type="duplicateValues" dxfId="40" priority="43"/>
    <cfRule type="duplicateValues" dxfId="39" priority="53"/>
  </conditionalFormatting>
  <conditionalFormatting sqref="A330:A332 A335:A348 A316:A323 A325:A328">
    <cfRule type="duplicateValues" dxfId="38" priority="42"/>
  </conditionalFormatting>
  <conditionalFormatting sqref="A333:A334">
    <cfRule type="duplicateValues" dxfId="37" priority="39"/>
    <cfRule type="duplicateValues" dxfId="36" priority="38"/>
  </conditionalFormatting>
  <conditionalFormatting sqref="A349:A360">
    <cfRule type="duplicateValues" dxfId="35" priority="20"/>
  </conditionalFormatting>
  <conditionalFormatting sqref="A354:A360 A396:A421">
    <cfRule type="expression" dxfId="34" priority="22">
      <formula>#REF!="EOL"</formula>
    </cfRule>
  </conditionalFormatting>
  <conditionalFormatting sqref="A355:A356">
    <cfRule type="duplicateValues" dxfId="33" priority="18"/>
  </conditionalFormatting>
  <conditionalFormatting sqref="A365:A367">
    <cfRule type="duplicateValues" dxfId="32" priority="17"/>
  </conditionalFormatting>
  <conditionalFormatting sqref="A368:A369 A362:A364">
    <cfRule type="duplicateValues" dxfId="31" priority="19"/>
  </conditionalFormatting>
  <conditionalFormatting sqref="A368:A379 A361:A364">
    <cfRule type="duplicateValues" dxfId="30" priority="23"/>
  </conditionalFormatting>
  <conditionalFormatting sqref="A370:A372 A361">
    <cfRule type="duplicateValues" dxfId="29" priority="21"/>
  </conditionalFormatting>
  <conditionalFormatting sqref="A373:A379">
    <cfRule type="duplicateValues" dxfId="28" priority="16"/>
  </conditionalFormatting>
  <conditionalFormatting sqref="A380:A394">
    <cfRule type="duplicateValues" dxfId="27" priority="24"/>
  </conditionalFormatting>
  <conditionalFormatting sqref="A396:A397">
    <cfRule type="duplicateValues" dxfId="26" priority="15"/>
  </conditionalFormatting>
  <conditionalFormatting sqref="A398:A419">
    <cfRule type="duplicateValues" dxfId="25" priority="25"/>
  </conditionalFormatting>
  <conditionalFormatting sqref="A420">
    <cfRule type="duplicateValues" dxfId="24" priority="13"/>
  </conditionalFormatting>
  <conditionalFormatting sqref="A421">
    <cfRule type="duplicateValues" dxfId="23" priority="14"/>
  </conditionalFormatting>
  <conditionalFormatting sqref="A422:A426">
    <cfRule type="duplicateValues" dxfId="22" priority="12"/>
    <cfRule type="duplicateValues" dxfId="21" priority="11"/>
  </conditionalFormatting>
  <conditionalFormatting sqref="A427:A445">
    <cfRule type="duplicateValues" dxfId="20" priority="26"/>
    <cfRule type="duplicateValues" dxfId="19" priority="27"/>
  </conditionalFormatting>
  <conditionalFormatting sqref="A461:A463 A468:A469">
    <cfRule type="duplicateValues" dxfId="18" priority="8"/>
  </conditionalFormatting>
  <conditionalFormatting sqref="A471 A473">
    <cfRule type="duplicateValues" dxfId="17" priority="9"/>
  </conditionalFormatting>
  <conditionalFormatting sqref="A483">
    <cfRule type="duplicateValues" dxfId="16" priority="7"/>
  </conditionalFormatting>
  <conditionalFormatting sqref="A490:A491">
    <cfRule type="duplicateValues" dxfId="15" priority="10"/>
  </conditionalFormatting>
  <conditionalFormatting sqref="A552">
    <cfRule type="duplicateValues" dxfId="14" priority="6"/>
    <cfRule type="duplicateValues" dxfId="13" priority="5"/>
    <cfRule type="duplicateValues" dxfId="12" priority="4"/>
    <cfRule type="duplicateValues" dxfId="11" priority="3"/>
  </conditionalFormatting>
  <conditionalFormatting sqref="A606:A611 A584:A585 A543 A490:A518 A482:A484 A488 A486 A553 A564:A567 A572:A582 A587 A459:A475 A446:A452 A614:A618 A555:A562 A532:A534 A522:A526 A540:A541 A589:A600">
    <cfRule type="duplicateValues" dxfId="10" priority="28"/>
  </conditionalFormatting>
  <conditionalFormatting sqref="A606:A611 A584:A585 A543 A491:A518 A470 A472 A464:A467 A474:A475 A482:A484 A486 A488 A553 A564:A567 A572:A582 A587 A446:A452 A459:A460 A614:A618 A555:A562 A532:A534 A522:A526 A540:A541 A589:A600">
    <cfRule type="duplicateValues" dxfId="9" priority="29"/>
  </conditionalFormatting>
  <conditionalFormatting sqref="A606:A611 A584:A585 A543 A491:A518 A470 A472 A464:A467 A482:A484 A486 A488 A553 A564:A567 A572:A582 A587 A614:A618 A555:A562 A532:A534 A522:A526 A540:A541 A589:A600">
    <cfRule type="duplicateValues" dxfId="8" priority="30"/>
  </conditionalFormatting>
  <conditionalFormatting sqref="A606:A611 A584:A585 A543 A491:A518 A482:A484 A486 A488 A553 A564:A567 A572:A582 A587 A459:A475 A446:A452 A614:A618 A555:A562 A532:A534 A522:A526 A540:A541 A589:A600">
    <cfRule type="duplicateValues" dxfId="7" priority="31"/>
  </conditionalFormatting>
  <conditionalFormatting sqref="K380:K382">
    <cfRule type="cellIs" dxfId="6" priority="1" operator="equal">
      <formula>"próximamente"</formula>
    </cfRule>
    <cfRule type="cellIs" dxfId="5" priority="2" operator="equal">
      <formula>"nuevo"</formula>
    </cfRule>
  </conditionalFormatting>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TP-LINK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dcterms:created xsi:type="dcterms:W3CDTF">2026-06-02T20:57:08Z</dcterms:created>
  <dcterms:modified xsi:type="dcterms:W3CDTF">2026-09-29T14:55:36Z</dcterms:modified>
</cp:coreProperties>
</file>